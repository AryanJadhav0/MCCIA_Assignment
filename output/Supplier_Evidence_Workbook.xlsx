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pplier_Impact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PO_Facts" sheetId="5" state="visible" r:id="rId5"/>
    <sheet xmlns:r="http://schemas.openxmlformats.org/officeDocument/2006/relationships" name="Returns_Confirmed" sheetId="6" state="visible" r:id="rId6"/>
    <sheet xmlns:r="http://schemas.openxmlformats.org/officeDocument/2006/relationships" name="Returns_Inferred" sheetId="7" state="visible" r:id="rId7"/>
    <sheet xmlns:r="http://schemas.openxmlformats.org/officeDocument/2006/relationships" name="Returns_Attributed" sheetId="8" state="visible" r:id="rId8"/>
    <sheet xmlns:r="http://schemas.openxmlformats.org/officeDocument/2006/relationships" name="Category_Scorecard" sheetId="9" state="visible" r:id="rId9"/>
    <sheet xmlns:r="http://schemas.openxmlformats.org/officeDocument/2006/relationships" name="Validation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Data_Quality_Log" sheetId="12" state="visible" r:id="rId12"/>
  </sheets>
  <definedNames>
    <definedName name="_xlnm._FilterDatabase" localSheetId="4" hidden="1">'PO_Facts'!$A$1:$U$4801</definedName>
    <definedName name="_xlnm._FilterDatabase" localSheetId="6" hidden="1">'Returns_Inferred'!$A$1:$H$4761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%"/>
    <numFmt numFmtId="166" formatCode="yyyy-mm-dd h:mm:ss"/>
    <numFmt numFmtId="167" formatCode="yyyy-mm-dd"/>
    <numFmt numFmtId="168" formatCode="#,##0;(#,##0);-"/>
    <numFmt numFmtId="169" formatCode="0.0"/>
    <numFmt numFmtId="170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8" fontId="6" fillId="0" borderId="0" pivotButton="0" quotePrefix="0" xfId="0"/>
    <xf numFmtId="0" fontId="4" fillId="0" borderId="0" pivotButton="0" quotePrefix="0" xfId="0"/>
    <xf numFmtId="169" fontId="6" fillId="0" borderId="0" pivotButton="0" quotePrefix="0" xfId="0"/>
    <xf numFmtId="164" fontId="3" fillId="2" borderId="0" pivotButton="0" quotePrefix="0" xfId="0"/>
    <xf numFmtId="165" fontId="3" fillId="2" borderId="0" pivotButton="0" quotePrefix="0" xfId="0"/>
    <xf numFmtId="9" fontId="3" fillId="2" borderId="0" pivotButton="0" quotePrefix="0" xfId="0"/>
    <xf numFmtId="9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vertical="center" wrapText="1"/>
    </xf>
    <xf numFmtId="0" fontId="3" fillId="0" borderId="0" pivotButton="0" quotePrefix="0" xfId="0"/>
    <xf numFmtId="1" fontId="6" fillId="0" borderId="0" pivotButton="0" quotePrefix="0" xfId="0"/>
    <xf numFmtId="168" fontId="4" fillId="0" borderId="0" pivotButton="0" quotePrefix="0" xfId="0"/>
    <xf numFmtId="168" fontId="2" fillId="0" borderId="0" pivotButton="0" quotePrefix="0" xfId="0"/>
    <xf numFmtId="1" fontId="4" fillId="0" borderId="0" pivotButton="0" quotePrefix="0" xfId="0"/>
    <xf numFmtId="168" fontId="3" fillId="0" borderId="0" pivotButton="0" quotePrefix="0" xfId="0"/>
    <xf numFmtId="1" fontId="2" fillId="0" borderId="0" pivotButton="0" quotePrefix="0" xfId="0"/>
    <xf numFmtId="2" fontId="6" fillId="0" borderId="0" pivotButton="0" quotePrefix="0" xfId="0"/>
    <xf numFmtId="2" fontId="3" fillId="0" borderId="0" pivotButton="0" quotePrefix="0" xfId="0"/>
    <xf numFmtId="169" fontId="4" fillId="0" borderId="0" pivotButton="0" quotePrefix="0" xfId="0"/>
    <xf numFmtId="169" fontId="2" fillId="0" borderId="0" pivotButton="0" quotePrefix="0" xfId="0"/>
    <xf numFmtId="0" fontId="6" fillId="0" borderId="0" pivotButton="0" quotePrefix="0" xfId="0"/>
    <xf numFmtId="170" fontId="6" fillId="0" borderId="0" pivotButton="0" quotePrefix="0" xfId="0"/>
    <xf numFmtId="2" fontId="2" fillId="0" borderId="0" pivotButton="0" quotePrefix="0" xfId="0"/>
    <xf numFmtId="167" fontId="3" fillId="0" borderId="0" pivotButton="0" quotePrefix="0" xfId="0"/>
    <xf numFmtId="2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0" customWidth="1" min="2" max="2"/>
  </cols>
  <sheetData>
    <row r="1">
      <c r="A1" s="1" t="inlineStr">
        <is>
          <t>Arora Traders - Supplier Evidence Workbook (PS 4)</t>
        </is>
      </c>
    </row>
    <row r="3">
      <c r="A3" s="2" t="inlineStr">
        <is>
          <t>Total billed to suppliers, 3 yrs (Rs)</t>
        </is>
      </c>
      <c r="B3" s="3">
        <f>Supplier_Impact!D38</f>
        <v/>
      </c>
    </row>
    <row r="4">
      <c r="A4" s="2" t="inlineStr">
        <is>
          <t>Total billing gap: billed minus received x price (Rs)</t>
        </is>
      </c>
      <c r="B4" s="3">
        <f>Supplier_Impact!F38</f>
        <v/>
      </c>
    </row>
    <row r="5">
      <c r="A5" s="4" t="inlineStr">
        <is>
          <t xml:space="preserve">  of which excess over panel-normal shortage (Rs)</t>
        </is>
      </c>
      <c r="B5" s="3">
        <f>Supplier_Impact!H38</f>
        <v/>
      </c>
    </row>
    <row r="6">
      <c r="A6" s="2" t="inlineStr">
        <is>
          <t>VS12 Nutan Tubes - headline loss (Rs)</t>
        </is>
      </c>
      <c r="B6" s="3">
        <f>INDEX(Supplier_Impact!L4:L37,MATCH("VS12",Supplier_Impact!A4:A37,0))</f>
        <v/>
      </c>
    </row>
    <row r="7">
      <c r="A7" s="2" t="inlineStr">
        <is>
          <t>VS19 Thakur Steel - headline loss (Rs)</t>
        </is>
      </c>
      <c r="B7" s="3">
        <f>INDEX(Supplier_Impact!L4:L37,MATCH("VS19",Supplier_Impact!A4:A37,0))</f>
        <v/>
      </c>
    </row>
    <row r="8">
      <c r="A8" s="2" t="inlineStr">
        <is>
          <t>VS03 Tata Steel Service - headline loss (Rs)</t>
        </is>
      </c>
      <c r="B8" s="3">
        <f>INDEX(Supplier_Impact!L4:L37,MATCH("VS03",Supplier_Impact!A4:A37,0))</f>
        <v/>
      </c>
    </row>
    <row r="9">
      <c r="A9" s="2" t="inlineStr">
        <is>
          <t>Suppliers rated POOR on the scorecard</t>
        </is>
      </c>
      <c r="B9" s="5">
        <f>COUNTIF(Scorecard!P4:P37,"POOR")</f>
        <v/>
      </c>
    </row>
    <row r="10">
      <c r="A10" s="2" t="inlineStr">
        <is>
          <t>Lowest composite score among the other suppliers</t>
        </is>
      </c>
      <c r="B10" s="5">
        <f>SMALL(Scorecard!O4:O37,4)</f>
        <v/>
      </c>
    </row>
    <row r="12">
      <c r="A12" s="4" t="inlineStr">
        <is>
          <t>Sheets: Assumptions | Supplier_Impact (rupees) | Scorecard | PO_Facts (every PO, formulas visible) | Returns_Confirmed | Returns_Inferred | Returns_Attributed | Category_Scorecard | Validation | Sensitivity | Data_Quality_Log</t>
        </is>
      </c>
    </row>
    <row r="13">
      <c r="A13" s="4" t="inlineStr">
        <is>
          <t>Worked example for VS12: filter PO_Facts on supplier_id = VS12 and sum column R (billed - received x price); it equals Supplier_Impact column 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90" customWidth="1" min="3" max="3"/>
  </cols>
  <sheetData>
    <row r="1">
      <c r="A1" s="1" t="inlineStr">
        <is>
          <t>Assumptions and inputs</t>
        </is>
      </c>
    </row>
    <row r="3">
      <c r="A3" s="2" t="inlineStr">
        <is>
          <t>Panel baseline short-delivery % (median supplier)</t>
        </is>
      </c>
      <c r="B3" s="6" t="n">
        <v>0.5111935880823941</v>
      </c>
      <c r="C3" s="4" t="inlineStr">
        <is>
          <t>Median of the 34 suppliers' qty-weighted short %. Computed from data, never from the underperformer flag. Used to separate normal tolerance from excess shortage.</t>
        </is>
      </c>
    </row>
    <row r="4">
      <c r="A4" s="2" t="inlineStr">
        <is>
          <t>Late-delivery carrying cost, % p.a. (memo only)</t>
        </is>
      </c>
      <c r="B4" s="7" t="n">
        <v>0.12</v>
      </c>
      <c r="C4" s="4" t="inlineStr">
        <is>
          <t>Assumption (not from the data). Late-delivery cost proxy is NOT part of the headline loss.</t>
        </is>
      </c>
    </row>
    <row r="6">
      <c r="A6" s="2" t="inlineStr">
        <is>
          <t>Scorecard weights (sum to 100%)</t>
        </is>
      </c>
    </row>
    <row r="7">
      <c r="A7" s="4" t="inlineStr">
        <is>
          <t>Short delivery %</t>
        </is>
      </c>
      <c r="B7" s="8" t="n">
        <v>0.35</v>
      </c>
    </row>
    <row r="8">
      <c r="A8" s="4" t="inlineStr">
        <is>
          <t>Late delivery (avg days)</t>
        </is>
      </c>
      <c r="B8" s="8" t="n">
        <v>0.25</v>
      </c>
    </row>
    <row r="9">
      <c r="A9" s="4" t="inlineStr">
        <is>
          <t>Rejection %</t>
        </is>
      </c>
      <c r="B9" s="8" t="n">
        <v>0.15</v>
      </c>
    </row>
    <row r="10">
      <c r="A10" s="4" t="inlineStr">
        <is>
          <t>Returns per 1,000 MT</t>
        </is>
      </c>
      <c r="B10" s="8" t="n">
        <v>0.15</v>
      </c>
    </row>
    <row r="11">
      <c r="A11" s="4" t="inlineStr">
        <is>
          <t>Price vs panel (scaled by z-score)</t>
        </is>
      </c>
      <c r="B11" s="8" t="n">
        <v>0.1</v>
      </c>
    </row>
    <row r="12">
      <c r="A12" s="2" t="inlineStr">
        <is>
          <t>Total</t>
        </is>
      </c>
      <c r="B12" s="9">
        <f>SUM(B7:B11)</f>
        <v/>
      </c>
    </row>
    <row r="13">
      <c r="A13" s="4" t="inlineStr">
        <is>
          <t>Price z-score at which price score reaches 0</t>
        </is>
      </c>
      <c r="B13" s="10" t="n">
        <v>3</v>
      </c>
    </row>
    <row r="14">
      <c r="A14" s="4" t="inlineStr">
        <is>
          <t>Tier cut-offs: POOR below / WATCH below</t>
        </is>
      </c>
      <c r="B14" s="10" t="n">
        <v>60</v>
      </c>
      <c r="C14" s="10" t="n">
        <v>85</v>
      </c>
    </row>
    <row r="17">
      <c r="A17" s="4" t="inlineStr">
        <is>
          <t>Colour code: blue = input taken from data or model output; black = formula; green = cross-sheet link. Yellow = assumption you may change.</t>
        </is>
      </c>
    </row>
    <row r="18">
      <c r="A18" s="4" t="inlineStr">
        <is>
          <t>Not used anywhere: years_of_relationship, is_underperformer. Category source of truth: supplier_master.</t>
        </is>
      </c>
    </row>
    <row r="19">
      <c r="A19" s="4" t="inlineStr">
        <is>
          <t>Inferred-return probabilities come from the Phase 2 model (see Validation). Per-return values are probability x quantity x batch price.</t>
        </is>
      </c>
    </row>
    <row r="20">
      <c r="A20" s="4" t="inlineStr">
        <is>
          <t>Dataset scale: total billed is ~Rs 1,009 Cr over 3 years, ~37x the Rs 70-85L/month in the problem statement. Reported as found.</t>
        </is>
      </c>
    </row>
    <row r="21">
      <c r="A21" s="4" t="inlineStr">
        <is>
          <t>Arora's own payment lateness (avg ~7.3 days) is in PO_Facts column M and Supplier_Impact: expect suppliers to raise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6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Rupee impact per supplier, 3 years (all figures are live formulas over PO_Facts and the returns sheets)</t>
        </is>
      </c>
    </row>
    <row r="3" ht="32" customHeight="1">
      <c r="A3" s="11" t="inlineStr">
        <is>
          <t>supplier_id</t>
        </is>
      </c>
      <c r="B3" s="11" t="inlineStr">
        <is>
          <t>supplier_name</t>
        </is>
      </c>
      <c r="C3" s="11" t="inlineStr">
        <is>
          <t>PO count</t>
        </is>
      </c>
      <c r="D3" s="11" t="inlineStr">
        <is>
          <t>Billed</t>
        </is>
      </c>
      <c r="E3" s="11" t="inlineStr">
        <is>
          <t>Received x price</t>
        </is>
      </c>
      <c r="F3" s="11" t="inlineStr">
        <is>
          <t>BILLING GAP (A)</t>
        </is>
      </c>
      <c r="G3" s="11" t="inlineStr">
        <is>
          <t>Panel-normal part of gap</t>
        </is>
      </c>
      <c r="H3" s="11" t="inlineStr">
        <is>
          <t>EXCESS GAP (A*)</t>
        </is>
      </c>
      <c r="I3" s="11" t="inlineStr">
        <is>
          <t>REJECTION LOSS (B)</t>
        </is>
      </c>
      <c r="J3" s="11" t="inlineStr">
        <is>
          <t>CONFIRMED RETURNS (C)</t>
        </is>
      </c>
      <c r="K3" s="11" t="inlineStr">
        <is>
          <t>INFERRED RETURNS, expected (D)</t>
        </is>
      </c>
      <c r="L3" s="11" t="inlineStr">
        <is>
          <t>HEADLINE LOSS = A*+B+C+D</t>
        </is>
      </c>
      <c r="M3" s="11" t="inlineStr">
        <is>
          <t>Rank</t>
        </is>
      </c>
      <c r="N3" s="11" t="inlineStr">
        <is>
          <t>Inferred range p10</t>
        </is>
      </c>
      <c r="O3" s="11" t="inlineStr">
        <is>
          <t>Inferred range p90</t>
        </is>
      </c>
      <c r="P3" s="11" t="inlineStr">
        <is>
          <t>Arora avg days late paying</t>
        </is>
      </c>
    </row>
    <row r="4">
      <c r="A4" s="4" t="inlineStr">
        <is>
          <t>VS01</t>
        </is>
      </c>
      <c r="B4" s="12" t="inlineStr">
        <is>
          <t>Jindal Steel &amp; Power</t>
        </is>
      </c>
      <c r="C4" s="13">
        <f>COUNTIFS(PO_Facts!$C$2:$C$4801,A4)</f>
        <v/>
      </c>
      <c r="D4" s="3">
        <f>SUMIFS(PO_Facts!$K$2:$K$4801,PO_Facts!$C$2:$C$4801,A4)</f>
        <v/>
      </c>
      <c r="E4" s="3">
        <f>SUMIFS(PO_Facts!$Q$2:$Q$4801,PO_Facts!$C$2:$C$4801,A4)</f>
        <v/>
      </c>
      <c r="F4" s="14">
        <f>D4-E4</f>
        <v/>
      </c>
      <c r="G4" s="3">
        <f>SUMIFS(PO_Facts!$S$2:$S$4801,PO_Facts!$C$2:$C$4801,A4)</f>
        <v/>
      </c>
      <c r="H4" s="3">
        <f>MAX(0,SUMIFS(PO_Facts!$T$2:$T$4801,PO_Facts!$C$2:$C$4801,A4))</f>
        <v/>
      </c>
      <c r="I4" s="3">
        <f>SUMIFS(PO_Facts!$U$2:$U$4801,PO_Facts!$C$2:$C$4801,A4)</f>
        <v/>
      </c>
      <c r="J4" s="3">
        <f>SUMIFS(Returns_Confirmed!$K$2:$K$241,Returns_Confirmed!$G$2:$G$241,A4)</f>
        <v/>
      </c>
      <c r="K4" s="3">
        <f>SUMIFS(Returns_Inferred!$H$2:$H$4761,Returns_Inferred!$B$2:$B$4761,A4)</f>
        <v/>
      </c>
      <c r="L4" s="15">
        <f>H4+I4+J4+K4</f>
        <v/>
      </c>
      <c r="M4" s="16">
        <f>RANK(L4,$L$4:$L$37)</f>
        <v/>
      </c>
      <c r="N4" s="17" t="n">
        <v>107456</v>
      </c>
      <c r="O4" s="17" t="n">
        <v>1218389</v>
      </c>
      <c r="P4" s="5">
        <f>AVERAGEIFS(PO_Facts!$M$2:$M$4801,PO_Facts!$C$2:$C$4801,A4)</f>
        <v/>
      </c>
    </row>
    <row r="5">
      <c r="A5" s="4" t="inlineStr">
        <is>
          <t>VS02</t>
        </is>
      </c>
      <c r="B5" s="12" t="inlineStr">
        <is>
          <t>SAIL Distribution</t>
        </is>
      </c>
      <c r="C5" s="13">
        <f>COUNTIFS(PO_Facts!$C$2:$C$4801,A5)</f>
        <v/>
      </c>
      <c r="D5" s="3">
        <f>SUMIFS(PO_Facts!$K$2:$K$4801,PO_Facts!$C$2:$C$4801,A5)</f>
        <v/>
      </c>
      <c r="E5" s="3">
        <f>SUMIFS(PO_Facts!$Q$2:$Q$4801,PO_Facts!$C$2:$C$4801,A5)</f>
        <v/>
      </c>
      <c r="F5" s="14">
        <f>D5-E5</f>
        <v/>
      </c>
      <c r="G5" s="3">
        <f>SUMIFS(PO_Facts!$S$2:$S$4801,PO_Facts!$C$2:$C$4801,A5)</f>
        <v/>
      </c>
      <c r="H5" s="3">
        <f>MAX(0,SUMIFS(PO_Facts!$T$2:$T$4801,PO_Facts!$C$2:$C$4801,A5))</f>
        <v/>
      </c>
      <c r="I5" s="3">
        <f>SUMIFS(PO_Facts!$U$2:$U$4801,PO_Facts!$C$2:$C$4801,A5)</f>
        <v/>
      </c>
      <c r="J5" s="3">
        <f>SUMIFS(Returns_Confirmed!$K$2:$K$241,Returns_Confirmed!$G$2:$G$241,A5)</f>
        <v/>
      </c>
      <c r="K5" s="3">
        <f>SUMIFS(Returns_Inferred!$H$2:$H$4761,Returns_Inferred!$B$2:$B$4761,A5)</f>
        <v/>
      </c>
      <c r="L5" s="15">
        <f>H5+I5+J5+K5</f>
        <v/>
      </c>
      <c r="M5" s="16">
        <f>RANK(L5,$L$4:$L$37)</f>
        <v/>
      </c>
      <c r="N5" s="17" t="n">
        <v>0</v>
      </c>
      <c r="O5" s="17" t="n">
        <v>722960</v>
      </c>
      <c r="P5" s="5">
        <f>AVERAGEIFS(PO_Facts!$M$2:$M$4801,PO_Facts!$C$2:$C$4801,A5)</f>
        <v/>
      </c>
    </row>
    <row r="6">
      <c r="A6" s="4" t="inlineStr">
        <is>
          <t>VS03</t>
        </is>
      </c>
      <c r="B6" s="12" t="inlineStr">
        <is>
          <t>Tata Steel Service</t>
        </is>
      </c>
      <c r="C6" s="13">
        <f>COUNTIFS(PO_Facts!$C$2:$C$4801,A6)</f>
        <v/>
      </c>
      <c r="D6" s="3">
        <f>SUMIFS(PO_Facts!$K$2:$K$4801,PO_Facts!$C$2:$C$4801,A6)</f>
        <v/>
      </c>
      <c r="E6" s="3">
        <f>SUMIFS(PO_Facts!$Q$2:$Q$4801,PO_Facts!$C$2:$C$4801,A6)</f>
        <v/>
      </c>
      <c r="F6" s="14">
        <f>D6-E6</f>
        <v/>
      </c>
      <c r="G6" s="3">
        <f>SUMIFS(PO_Facts!$S$2:$S$4801,PO_Facts!$C$2:$C$4801,A6)</f>
        <v/>
      </c>
      <c r="H6" s="3">
        <f>MAX(0,SUMIFS(PO_Facts!$T$2:$T$4801,PO_Facts!$C$2:$C$4801,A6))</f>
        <v/>
      </c>
      <c r="I6" s="3">
        <f>SUMIFS(PO_Facts!$U$2:$U$4801,PO_Facts!$C$2:$C$4801,A6)</f>
        <v/>
      </c>
      <c r="J6" s="3">
        <f>SUMIFS(Returns_Confirmed!$K$2:$K$241,Returns_Confirmed!$G$2:$G$241,A6)</f>
        <v/>
      </c>
      <c r="K6" s="3">
        <f>SUMIFS(Returns_Inferred!$H$2:$H$4761,Returns_Inferred!$B$2:$B$4761,A6)</f>
        <v/>
      </c>
      <c r="L6" s="15">
        <f>H6+I6+J6+K6</f>
        <v/>
      </c>
      <c r="M6" s="16">
        <f>RANK(L6,$L$4:$L$37)</f>
        <v/>
      </c>
      <c r="N6" s="17" t="n">
        <v>3114660</v>
      </c>
      <c r="O6" s="17" t="n">
        <v>5966349</v>
      </c>
      <c r="P6" s="5">
        <f>AVERAGEIFS(PO_Facts!$M$2:$M$4801,PO_Facts!$C$2:$C$4801,A6)</f>
        <v/>
      </c>
    </row>
    <row r="7">
      <c r="A7" s="4" t="inlineStr">
        <is>
          <t>VS04</t>
        </is>
      </c>
      <c r="B7" s="12" t="inlineStr">
        <is>
          <t>Shyam Metalics</t>
        </is>
      </c>
      <c r="C7" s="13">
        <f>COUNTIFS(PO_Facts!$C$2:$C$4801,A7)</f>
        <v/>
      </c>
      <c r="D7" s="3">
        <f>SUMIFS(PO_Facts!$K$2:$K$4801,PO_Facts!$C$2:$C$4801,A7)</f>
        <v/>
      </c>
      <c r="E7" s="3">
        <f>SUMIFS(PO_Facts!$Q$2:$Q$4801,PO_Facts!$C$2:$C$4801,A7)</f>
        <v/>
      </c>
      <c r="F7" s="14">
        <f>D7-E7</f>
        <v/>
      </c>
      <c r="G7" s="3">
        <f>SUMIFS(PO_Facts!$S$2:$S$4801,PO_Facts!$C$2:$C$4801,A7)</f>
        <v/>
      </c>
      <c r="H7" s="3">
        <f>MAX(0,SUMIFS(PO_Facts!$T$2:$T$4801,PO_Facts!$C$2:$C$4801,A7))</f>
        <v/>
      </c>
      <c r="I7" s="3">
        <f>SUMIFS(PO_Facts!$U$2:$U$4801,PO_Facts!$C$2:$C$4801,A7)</f>
        <v/>
      </c>
      <c r="J7" s="3">
        <f>SUMIFS(Returns_Confirmed!$K$2:$K$241,Returns_Confirmed!$G$2:$G$241,A7)</f>
        <v/>
      </c>
      <c r="K7" s="3">
        <f>SUMIFS(Returns_Inferred!$H$2:$H$4761,Returns_Inferred!$B$2:$B$4761,A7)</f>
        <v/>
      </c>
      <c r="L7" s="15">
        <f>H7+I7+J7+K7</f>
        <v/>
      </c>
      <c r="M7" s="16">
        <f>RANK(L7,$L$4:$L$37)</f>
        <v/>
      </c>
      <c r="N7" s="17" t="n">
        <v>0</v>
      </c>
      <c r="O7" s="17" t="n">
        <v>943948</v>
      </c>
      <c r="P7" s="5">
        <f>AVERAGEIFS(PO_Facts!$M$2:$M$4801,PO_Facts!$C$2:$C$4801,A7)</f>
        <v/>
      </c>
    </row>
    <row r="8">
      <c r="A8" s="4" t="inlineStr">
        <is>
          <t>VS05</t>
        </is>
      </c>
      <c r="B8" s="12" t="inlineStr">
        <is>
          <t>Bhushan Steel</t>
        </is>
      </c>
      <c r="C8" s="13">
        <f>COUNTIFS(PO_Facts!$C$2:$C$4801,A8)</f>
        <v/>
      </c>
      <c r="D8" s="3">
        <f>SUMIFS(PO_Facts!$K$2:$K$4801,PO_Facts!$C$2:$C$4801,A8)</f>
        <v/>
      </c>
      <c r="E8" s="3">
        <f>SUMIFS(PO_Facts!$Q$2:$Q$4801,PO_Facts!$C$2:$C$4801,A8)</f>
        <v/>
      </c>
      <c r="F8" s="14">
        <f>D8-E8</f>
        <v/>
      </c>
      <c r="G8" s="3">
        <f>SUMIFS(PO_Facts!$S$2:$S$4801,PO_Facts!$C$2:$C$4801,A8)</f>
        <v/>
      </c>
      <c r="H8" s="3">
        <f>MAX(0,SUMIFS(PO_Facts!$T$2:$T$4801,PO_Facts!$C$2:$C$4801,A8))</f>
        <v/>
      </c>
      <c r="I8" s="3">
        <f>SUMIFS(PO_Facts!$U$2:$U$4801,PO_Facts!$C$2:$C$4801,A8)</f>
        <v/>
      </c>
      <c r="J8" s="3">
        <f>SUMIFS(Returns_Confirmed!$K$2:$K$241,Returns_Confirmed!$G$2:$G$241,A8)</f>
        <v/>
      </c>
      <c r="K8" s="3">
        <f>SUMIFS(Returns_Inferred!$H$2:$H$4761,Returns_Inferred!$B$2:$B$4761,A8)</f>
        <v/>
      </c>
      <c r="L8" s="15">
        <f>H8+I8+J8+K8</f>
        <v/>
      </c>
      <c r="M8" s="16">
        <f>RANK(L8,$L$4:$L$37)</f>
        <v/>
      </c>
      <c r="N8" s="17" t="n">
        <v>13251</v>
      </c>
      <c r="O8" s="17" t="n">
        <v>1126742</v>
      </c>
      <c r="P8" s="5">
        <f>AVERAGEIFS(PO_Facts!$M$2:$M$4801,PO_Facts!$C$2:$C$4801,A8)</f>
        <v/>
      </c>
    </row>
    <row r="9">
      <c r="A9" s="4" t="inlineStr">
        <is>
          <t>VS06</t>
        </is>
      </c>
      <c r="B9" s="12" t="inlineStr">
        <is>
          <t>APL Apollo Tubes</t>
        </is>
      </c>
      <c r="C9" s="13">
        <f>COUNTIFS(PO_Facts!$C$2:$C$4801,A9)</f>
        <v/>
      </c>
      <c r="D9" s="3">
        <f>SUMIFS(PO_Facts!$K$2:$K$4801,PO_Facts!$C$2:$C$4801,A9)</f>
        <v/>
      </c>
      <c r="E9" s="3">
        <f>SUMIFS(PO_Facts!$Q$2:$Q$4801,PO_Facts!$C$2:$C$4801,A9)</f>
        <v/>
      </c>
      <c r="F9" s="14">
        <f>D9-E9</f>
        <v/>
      </c>
      <c r="G9" s="3">
        <f>SUMIFS(PO_Facts!$S$2:$S$4801,PO_Facts!$C$2:$C$4801,A9)</f>
        <v/>
      </c>
      <c r="H9" s="3">
        <f>MAX(0,SUMIFS(PO_Facts!$T$2:$T$4801,PO_Facts!$C$2:$C$4801,A9))</f>
        <v/>
      </c>
      <c r="I9" s="3">
        <f>SUMIFS(PO_Facts!$U$2:$U$4801,PO_Facts!$C$2:$C$4801,A9)</f>
        <v/>
      </c>
      <c r="J9" s="3">
        <f>SUMIFS(Returns_Confirmed!$K$2:$K$241,Returns_Confirmed!$G$2:$G$241,A9)</f>
        <v/>
      </c>
      <c r="K9" s="3">
        <f>SUMIFS(Returns_Inferred!$H$2:$H$4761,Returns_Inferred!$B$2:$B$4761,A9)</f>
        <v/>
      </c>
      <c r="L9" s="15">
        <f>H9+I9+J9+K9</f>
        <v/>
      </c>
      <c r="M9" s="16">
        <f>RANK(L9,$L$4:$L$37)</f>
        <v/>
      </c>
      <c r="N9" s="17" t="n">
        <v>53981</v>
      </c>
      <c r="O9" s="17" t="n">
        <v>1212694</v>
      </c>
      <c r="P9" s="5">
        <f>AVERAGEIFS(PO_Facts!$M$2:$M$4801,PO_Facts!$C$2:$C$4801,A9)</f>
        <v/>
      </c>
    </row>
    <row r="10">
      <c r="A10" s="4" t="inlineStr">
        <is>
          <t>VS07</t>
        </is>
      </c>
      <c r="B10" s="12" t="inlineStr">
        <is>
          <t>Prakash Industries</t>
        </is>
      </c>
      <c r="C10" s="13">
        <f>COUNTIFS(PO_Facts!$C$2:$C$4801,A10)</f>
        <v/>
      </c>
      <c r="D10" s="3">
        <f>SUMIFS(PO_Facts!$K$2:$K$4801,PO_Facts!$C$2:$C$4801,A10)</f>
        <v/>
      </c>
      <c r="E10" s="3">
        <f>SUMIFS(PO_Facts!$Q$2:$Q$4801,PO_Facts!$C$2:$C$4801,A10)</f>
        <v/>
      </c>
      <c r="F10" s="14">
        <f>D10-E10</f>
        <v/>
      </c>
      <c r="G10" s="3">
        <f>SUMIFS(PO_Facts!$S$2:$S$4801,PO_Facts!$C$2:$C$4801,A10)</f>
        <v/>
      </c>
      <c r="H10" s="3">
        <f>MAX(0,SUMIFS(PO_Facts!$T$2:$T$4801,PO_Facts!$C$2:$C$4801,A10))</f>
        <v/>
      </c>
      <c r="I10" s="3">
        <f>SUMIFS(PO_Facts!$U$2:$U$4801,PO_Facts!$C$2:$C$4801,A10)</f>
        <v/>
      </c>
      <c r="J10" s="3">
        <f>SUMIFS(Returns_Confirmed!$K$2:$K$241,Returns_Confirmed!$G$2:$G$241,A10)</f>
        <v/>
      </c>
      <c r="K10" s="3">
        <f>SUMIFS(Returns_Inferred!$H$2:$H$4761,Returns_Inferred!$B$2:$B$4761,A10)</f>
        <v/>
      </c>
      <c r="L10" s="15">
        <f>H10+I10+J10+K10</f>
        <v/>
      </c>
      <c r="M10" s="16">
        <f>RANK(L10,$L$4:$L$37)</f>
        <v/>
      </c>
      <c r="N10" s="17" t="n">
        <v>0</v>
      </c>
      <c r="O10" s="17" t="n">
        <v>490815</v>
      </c>
      <c r="P10" s="5">
        <f>AVERAGEIFS(PO_Facts!$M$2:$M$4801,PO_Facts!$C$2:$C$4801,A10)</f>
        <v/>
      </c>
    </row>
    <row r="11">
      <c r="A11" s="4" t="inlineStr">
        <is>
          <t>VS08</t>
        </is>
      </c>
      <c r="B11" s="12" t="inlineStr">
        <is>
          <t>Ratnamani Metals</t>
        </is>
      </c>
      <c r="C11" s="13">
        <f>COUNTIFS(PO_Facts!$C$2:$C$4801,A11)</f>
        <v/>
      </c>
      <c r="D11" s="3">
        <f>SUMIFS(PO_Facts!$K$2:$K$4801,PO_Facts!$C$2:$C$4801,A11)</f>
        <v/>
      </c>
      <c r="E11" s="3">
        <f>SUMIFS(PO_Facts!$Q$2:$Q$4801,PO_Facts!$C$2:$C$4801,A11)</f>
        <v/>
      </c>
      <c r="F11" s="14">
        <f>D11-E11</f>
        <v/>
      </c>
      <c r="G11" s="3">
        <f>SUMIFS(PO_Facts!$S$2:$S$4801,PO_Facts!$C$2:$C$4801,A11)</f>
        <v/>
      </c>
      <c r="H11" s="3">
        <f>MAX(0,SUMIFS(PO_Facts!$T$2:$T$4801,PO_Facts!$C$2:$C$4801,A11))</f>
        <v/>
      </c>
      <c r="I11" s="3">
        <f>SUMIFS(PO_Facts!$U$2:$U$4801,PO_Facts!$C$2:$C$4801,A11)</f>
        <v/>
      </c>
      <c r="J11" s="3">
        <f>SUMIFS(Returns_Confirmed!$K$2:$K$241,Returns_Confirmed!$G$2:$G$241,A11)</f>
        <v/>
      </c>
      <c r="K11" s="3">
        <f>SUMIFS(Returns_Inferred!$H$2:$H$4761,Returns_Inferred!$B$2:$B$4761,A11)</f>
        <v/>
      </c>
      <c r="L11" s="15">
        <f>H11+I11+J11+K11</f>
        <v/>
      </c>
      <c r="M11" s="16">
        <f>RANK(L11,$L$4:$L$37)</f>
        <v/>
      </c>
      <c r="N11" s="17" t="n">
        <v>66477</v>
      </c>
      <c r="O11" s="17" t="n">
        <v>1188820</v>
      </c>
      <c r="P11" s="5">
        <f>AVERAGEIFS(PO_Facts!$M$2:$M$4801,PO_Facts!$C$2:$C$4801,A11)</f>
        <v/>
      </c>
    </row>
    <row r="12">
      <c r="A12" s="4" t="inlineStr">
        <is>
          <t>VS09</t>
        </is>
      </c>
      <c r="B12" s="12" t="inlineStr">
        <is>
          <t>MSP Steel</t>
        </is>
      </c>
      <c r="C12" s="13">
        <f>COUNTIFS(PO_Facts!$C$2:$C$4801,A12)</f>
        <v/>
      </c>
      <c r="D12" s="3">
        <f>SUMIFS(PO_Facts!$K$2:$K$4801,PO_Facts!$C$2:$C$4801,A12)</f>
        <v/>
      </c>
      <c r="E12" s="3">
        <f>SUMIFS(PO_Facts!$Q$2:$Q$4801,PO_Facts!$C$2:$C$4801,A12)</f>
        <v/>
      </c>
      <c r="F12" s="14">
        <f>D12-E12</f>
        <v/>
      </c>
      <c r="G12" s="3">
        <f>SUMIFS(PO_Facts!$S$2:$S$4801,PO_Facts!$C$2:$C$4801,A12)</f>
        <v/>
      </c>
      <c r="H12" s="3">
        <f>MAX(0,SUMIFS(PO_Facts!$T$2:$T$4801,PO_Facts!$C$2:$C$4801,A12))</f>
        <v/>
      </c>
      <c r="I12" s="3">
        <f>SUMIFS(PO_Facts!$U$2:$U$4801,PO_Facts!$C$2:$C$4801,A12)</f>
        <v/>
      </c>
      <c r="J12" s="3">
        <f>SUMIFS(Returns_Confirmed!$K$2:$K$241,Returns_Confirmed!$G$2:$G$241,A12)</f>
        <v/>
      </c>
      <c r="K12" s="3">
        <f>SUMIFS(Returns_Inferred!$H$2:$H$4761,Returns_Inferred!$B$2:$B$4761,A12)</f>
        <v/>
      </c>
      <c r="L12" s="15">
        <f>H12+I12+J12+K12</f>
        <v/>
      </c>
      <c r="M12" s="16">
        <f>RANK(L12,$L$4:$L$37)</f>
        <v/>
      </c>
      <c r="N12" s="17" t="n">
        <v>0</v>
      </c>
      <c r="O12" s="17" t="n">
        <v>989282</v>
      </c>
      <c r="P12" s="5">
        <f>AVERAGEIFS(PO_Facts!$M$2:$M$4801,PO_Facts!$C$2:$C$4801,A12)</f>
        <v/>
      </c>
    </row>
    <row r="13">
      <c r="A13" s="4" t="inlineStr">
        <is>
          <t>VS10</t>
        </is>
      </c>
      <c r="B13" s="12" t="inlineStr">
        <is>
          <t>Gallantt Metal</t>
        </is>
      </c>
      <c r="C13" s="13">
        <f>COUNTIFS(PO_Facts!$C$2:$C$4801,A13)</f>
        <v/>
      </c>
      <c r="D13" s="3">
        <f>SUMIFS(PO_Facts!$K$2:$K$4801,PO_Facts!$C$2:$C$4801,A13)</f>
        <v/>
      </c>
      <c r="E13" s="3">
        <f>SUMIFS(PO_Facts!$Q$2:$Q$4801,PO_Facts!$C$2:$C$4801,A13)</f>
        <v/>
      </c>
      <c r="F13" s="14">
        <f>D13-E13</f>
        <v/>
      </c>
      <c r="G13" s="3">
        <f>SUMIFS(PO_Facts!$S$2:$S$4801,PO_Facts!$C$2:$C$4801,A13)</f>
        <v/>
      </c>
      <c r="H13" s="3">
        <f>MAX(0,SUMIFS(PO_Facts!$T$2:$T$4801,PO_Facts!$C$2:$C$4801,A13))</f>
        <v/>
      </c>
      <c r="I13" s="3">
        <f>SUMIFS(PO_Facts!$U$2:$U$4801,PO_Facts!$C$2:$C$4801,A13)</f>
        <v/>
      </c>
      <c r="J13" s="3">
        <f>SUMIFS(Returns_Confirmed!$K$2:$K$241,Returns_Confirmed!$G$2:$G$241,A13)</f>
        <v/>
      </c>
      <c r="K13" s="3">
        <f>SUMIFS(Returns_Inferred!$H$2:$H$4761,Returns_Inferred!$B$2:$B$4761,A13)</f>
        <v/>
      </c>
      <c r="L13" s="15">
        <f>H13+I13+J13+K13</f>
        <v/>
      </c>
      <c r="M13" s="16">
        <f>RANK(L13,$L$4:$L$37)</f>
        <v/>
      </c>
      <c r="N13" s="17" t="n">
        <v>137225</v>
      </c>
      <c r="O13" s="17" t="n">
        <v>1390500</v>
      </c>
      <c r="P13" s="5">
        <f>AVERAGEIFS(PO_Facts!$M$2:$M$4801,PO_Facts!$C$2:$C$4801,A13)</f>
        <v/>
      </c>
    </row>
    <row r="14">
      <c r="A14" s="4" t="inlineStr">
        <is>
          <t>VS11</t>
        </is>
      </c>
      <c r="B14" s="12" t="inlineStr">
        <is>
          <t>Sai Steel</t>
        </is>
      </c>
      <c r="C14" s="13">
        <f>COUNTIFS(PO_Facts!$C$2:$C$4801,A14)</f>
        <v/>
      </c>
      <c r="D14" s="3">
        <f>SUMIFS(PO_Facts!$K$2:$K$4801,PO_Facts!$C$2:$C$4801,A14)</f>
        <v/>
      </c>
      <c r="E14" s="3">
        <f>SUMIFS(PO_Facts!$Q$2:$Q$4801,PO_Facts!$C$2:$C$4801,A14)</f>
        <v/>
      </c>
      <c r="F14" s="14">
        <f>D14-E14</f>
        <v/>
      </c>
      <c r="G14" s="3">
        <f>SUMIFS(PO_Facts!$S$2:$S$4801,PO_Facts!$C$2:$C$4801,A14)</f>
        <v/>
      </c>
      <c r="H14" s="3">
        <f>MAX(0,SUMIFS(PO_Facts!$T$2:$T$4801,PO_Facts!$C$2:$C$4801,A14))</f>
        <v/>
      </c>
      <c r="I14" s="3">
        <f>SUMIFS(PO_Facts!$U$2:$U$4801,PO_Facts!$C$2:$C$4801,A14)</f>
        <v/>
      </c>
      <c r="J14" s="3">
        <f>SUMIFS(Returns_Confirmed!$K$2:$K$241,Returns_Confirmed!$G$2:$G$241,A14)</f>
        <v/>
      </c>
      <c r="K14" s="3">
        <f>SUMIFS(Returns_Inferred!$H$2:$H$4761,Returns_Inferred!$B$2:$B$4761,A14)</f>
        <v/>
      </c>
      <c r="L14" s="15">
        <f>H14+I14+J14+K14</f>
        <v/>
      </c>
      <c r="M14" s="16">
        <f>RANK(L14,$L$4:$L$37)</f>
        <v/>
      </c>
      <c r="N14" s="17" t="n">
        <v>222735</v>
      </c>
      <c r="O14" s="17" t="n">
        <v>1389189</v>
      </c>
      <c r="P14" s="5">
        <f>AVERAGEIFS(PO_Facts!$M$2:$M$4801,PO_Facts!$C$2:$C$4801,A14)</f>
        <v/>
      </c>
    </row>
    <row r="15">
      <c r="A15" s="4" t="inlineStr">
        <is>
          <t>VS12</t>
        </is>
      </c>
      <c r="B15" s="12" t="inlineStr">
        <is>
          <t>Nutan Tubes</t>
        </is>
      </c>
      <c r="C15" s="13">
        <f>COUNTIFS(PO_Facts!$C$2:$C$4801,A15)</f>
        <v/>
      </c>
      <c r="D15" s="3">
        <f>SUMIFS(PO_Facts!$K$2:$K$4801,PO_Facts!$C$2:$C$4801,A15)</f>
        <v/>
      </c>
      <c r="E15" s="3">
        <f>SUMIFS(PO_Facts!$Q$2:$Q$4801,PO_Facts!$C$2:$C$4801,A15)</f>
        <v/>
      </c>
      <c r="F15" s="14">
        <f>D15-E15</f>
        <v/>
      </c>
      <c r="G15" s="3">
        <f>SUMIFS(PO_Facts!$S$2:$S$4801,PO_Facts!$C$2:$C$4801,A15)</f>
        <v/>
      </c>
      <c r="H15" s="3">
        <f>MAX(0,SUMIFS(PO_Facts!$T$2:$T$4801,PO_Facts!$C$2:$C$4801,A15))</f>
        <v/>
      </c>
      <c r="I15" s="3">
        <f>SUMIFS(PO_Facts!$U$2:$U$4801,PO_Facts!$C$2:$C$4801,A15)</f>
        <v/>
      </c>
      <c r="J15" s="3">
        <f>SUMIFS(Returns_Confirmed!$K$2:$K$241,Returns_Confirmed!$G$2:$G$241,A15)</f>
        <v/>
      </c>
      <c r="K15" s="3">
        <f>SUMIFS(Returns_Inferred!$H$2:$H$4761,Returns_Inferred!$B$2:$B$4761,A15)</f>
        <v/>
      </c>
      <c r="L15" s="15">
        <f>H15+I15+J15+K15</f>
        <v/>
      </c>
      <c r="M15" s="16">
        <f>RANK(L15,$L$4:$L$37)</f>
        <v/>
      </c>
      <c r="N15" s="17" t="n">
        <v>4684100</v>
      </c>
      <c r="O15" s="17" t="n">
        <v>7799582</v>
      </c>
      <c r="P15" s="5">
        <f>AVERAGEIFS(PO_Facts!$M$2:$M$4801,PO_Facts!$C$2:$C$4801,A15)</f>
        <v/>
      </c>
    </row>
    <row r="16">
      <c r="A16" s="4" t="inlineStr">
        <is>
          <t>VS13</t>
        </is>
      </c>
      <c r="B16" s="12" t="inlineStr">
        <is>
          <t>Radhe Alloys</t>
        </is>
      </c>
      <c r="C16" s="13">
        <f>COUNTIFS(PO_Facts!$C$2:$C$4801,A16)</f>
        <v/>
      </c>
      <c r="D16" s="3">
        <f>SUMIFS(PO_Facts!$K$2:$K$4801,PO_Facts!$C$2:$C$4801,A16)</f>
        <v/>
      </c>
      <c r="E16" s="3">
        <f>SUMIFS(PO_Facts!$Q$2:$Q$4801,PO_Facts!$C$2:$C$4801,A16)</f>
        <v/>
      </c>
      <c r="F16" s="14">
        <f>D16-E16</f>
        <v/>
      </c>
      <c r="G16" s="3">
        <f>SUMIFS(PO_Facts!$S$2:$S$4801,PO_Facts!$C$2:$C$4801,A16)</f>
        <v/>
      </c>
      <c r="H16" s="3">
        <f>MAX(0,SUMIFS(PO_Facts!$T$2:$T$4801,PO_Facts!$C$2:$C$4801,A16))</f>
        <v/>
      </c>
      <c r="I16" s="3">
        <f>SUMIFS(PO_Facts!$U$2:$U$4801,PO_Facts!$C$2:$C$4801,A16)</f>
        <v/>
      </c>
      <c r="J16" s="3">
        <f>SUMIFS(Returns_Confirmed!$K$2:$K$241,Returns_Confirmed!$G$2:$G$241,A16)</f>
        <v/>
      </c>
      <c r="K16" s="3">
        <f>SUMIFS(Returns_Inferred!$H$2:$H$4761,Returns_Inferred!$B$2:$B$4761,A16)</f>
        <v/>
      </c>
      <c r="L16" s="15">
        <f>H16+I16+J16+K16</f>
        <v/>
      </c>
      <c r="M16" s="16">
        <f>RANK(L16,$L$4:$L$37)</f>
        <v/>
      </c>
      <c r="N16" s="17" t="n">
        <v>20982</v>
      </c>
      <c r="O16" s="17" t="n">
        <v>1178334</v>
      </c>
      <c r="P16" s="5">
        <f>AVERAGEIFS(PO_Facts!$M$2:$M$4801,PO_Facts!$C$2:$C$4801,A16)</f>
        <v/>
      </c>
    </row>
    <row r="17">
      <c r="A17" s="4" t="inlineStr">
        <is>
          <t>VS14</t>
        </is>
      </c>
      <c r="B17" s="12" t="inlineStr">
        <is>
          <t>Sunrise Metals</t>
        </is>
      </c>
      <c r="C17" s="13">
        <f>COUNTIFS(PO_Facts!$C$2:$C$4801,A17)</f>
        <v/>
      </c>
      <c r="D17" s="3">
        <f>SUMIFS(PO_Facts!$K$2:$K$4801,PO_Facts!$C$2:$C$4801,A17)</f>
        <v/>
      </c>
      <c r="E17" s="3">
        <f>SUMIFS(PO_Facts!$Q$2:$Q$4801,PO_Facts!$C$2:$C$4801,A17)</f>
        <v/>
      </c>
      <c r="F17" s="14">
        <f>D17-E17</f>
        <v/>
      </c>
      <c r="G17" s="3">
        <f>SUMIFS(PO_Facts!$S$2:$S$4801,PO_Facts!$C$2:$C$4801,A17)</f>
        <v/>
      </c>
      <c r="H17" s="3">
        <f>MAX(0,SUMIFS(PO_Facts!$T$2:$T$4801,PO_Facts!$C$2:$C$4801,A17))</f>
        <v/>
      </c>
      <c r="I17" s="3">
        <f>SUMIFS(PO_Facts!$U$2:$U$4801,PO_Facts!$C$2:$C$4801,A17)</f>
        <v/>
      </c>
      <c r="J17" s="3">
        <f>SUMIFS(Returns_Confirmed!$K$2:$K$241,Returns_Confirmed!$G$2:$G$241,A17)</f>
        <v/>
      </c>
      <c r="K17" s="3">
        <f>SUMIFS(Returns_Inferred!$H$2:$H$4761,Returns_Inferred!$B$2:$B$4761,A17)</f>
        <v/>
      </c>
      <c r="L17" s="15">
        <f>H17+I17+J17+K17</f>
        <v/>
      </c>
      <c r="M17" s="16">
        <f>RANK(L17,$L$4:$L$37)</f>
        <v/>
      </c>
      <c r="N17" s="17" t="n">
        <v>36895</v>
      </c>
      <c r="O17" s="17" t="n">
        <v>1169658</v>
      </c>
      <c r="P17" s="5">
        <f>AVERAGEIFS(PO_Facts!$M$2:$M$4801,PO_Facts!$C$2:$C$4801,A17)</f>
        <v/>
      </c>
    </row>
    <row r="18">
      <c r="A18" s="4" t="inlineStr">
        <is>
          <t>VS15</t>
        </is>
      </c>
      <c r="B18" s="12" t="inlineStr">
        <is>
          <t>Western Steel</t>
        </is>
      </c>
      <c r="C18" s="13">
        <f>COUNTIFS(PO_Facts!$C$2:$C$4801,A18)</f>
        <v/>
      </c>
      <c r="D18" s="3">
        <f>SUMIFS(PO_Facts!$K$2:$K$4801,PO_Facts!$C$2:$C$4801,A18)</f>
        <v/>
      </c>
      <c r="E18" s="3">
        <f>SUMIFS(PO_Facts!$Q$2:$Q$4801,PO_Facts!$C$2:$C$4801,A18)</f>
        <v/>
      </c>
      <c r="F18" s="14">
        <f>D18-E18</f>
        <v/>
      </c>
      <c r="G18" s="3">
        <f>SUMIFS(PO_Facts!$S$2:$S$4801,PO_Facts!$C$2:$C$4801,A18)</f>
        <v/>
      </c>
      <c r="H18" s="3">
        <f>MAX(0,SUMIFS(PO_Facts!$T$2:$T$4801,PO_Facts!$C$2:$C$4801,A18))</f>
        <v/>
      </c>
      <c r="I18" s="3">
        <f>SUMIFS(PO_Facts!$U$2:$U$4801,PO_Facts!$C$2:$C$4801,A18)</f>
        <v/>
      </c>
      <c r="J18" s="3">
        <f>SUMIFS(Returns_Confirmed!$K$2:$K$241,Returns_Confirmed!$G$2:$G$241,A18)</f>
        <v/>
      </c>
      <c r="K18" s="3">
        <f>SUMIFS(Returns_Inferred!$H$2:$H$4761,Returns_Inferred!$B$2:$B$4761,A18)</f>
        <v/>
      </c>
      <c r="L18" s="15">
        <f>H18+I18+J18+K18</f>
        <v/>
      </c>
      <c r="M18" s="16">
        <f>RANK(L18,$L$4:$L$37)</f>
        <v/>
      </c>
      <c r="N18" s="17" t="n">
        <v>0</v>
      </c>
      <c r="O18" s="17" t="n">
        <v>501449</v>
      </c>
      <c r="P18" s="5">
        <f>AVERAGEIFS(PO_Facts!$M$2:$M$4801,PO_Facts!$C$2:$C$4801,A18)</f>
        <v/>
      </c>
    </row>
    <row r="19">
      <c r="A19" s="4" t="inlineStr">
        <is>
          <t>VS16</t>
        </is>
      </c>
      <c r="B19" s="12" t="inlineStr">
        <is>
          <t>Garg Enterprises</t>
        </is>
      </c>
      <c r="C19" s="13">
        <f>COUNTIFS(PO_Facts!$C$2:$C$4801,A19)</f>
        <v/>
      </c>
      <c r="D19" s="3">
        <f>SUMIFS(PO_Facts!$K$2:$K$4801,PO_Facts!$C$2:$C$4801,A19)</f>
        <v/>
      </c>
      <c r="E19" s="3">
        <f>SUMIFS(PO_Facts!$Q$2:$Q$4801,PO_Facts!$C$2:$C$4801,A19)</f>
        <v/>
      </c>
      <c r="F19" s="14">
        <f>D19-E19</f>
        <v/>
      </c>
      <c r="G19" s="3">
        <f>SUMIFS(PO_Facts!$S$2:$S$4801,PO_Facts!$C$2:$C$4801,A19)</f>
        <v/>
      </c>
      <c r="H19" s="3">
        <f>MAX(0,SUMIFS(PO_Facts!$T$2:$T$4801,PO_Facts!$C$2:$C$4801,A19))</f>
        <v/>
      </c>
      <c r="I19" s="3">
        <f>SUMIFS(PO_Facts!$U$2:$U$4801,PO_Facts!$C$2:$C$4801,A19)</f>
        <v/>
      </c>
      <c r="J19" s="3">
        <f>SUMIFS(Returns_Confirmed!$K$2:$K$241,Returns_Confirmed!$G$2:$G$241,A19)</f>
        <v/>
      </c>
      <c r="K19" s="3">
        <f>SUMIFS(Returns_Inferred!$H$2:$H$4761,Returns_Inferred!$B$2:$B$4761,A19)</f>
        <v/>
      </c>
      <c r="L19" s="15">
        <f>H19+I19+J19+K19</f>
        <v/>
      </c>
      <c r="M19" s="16">
        <f>RANK(L19,$L$4:$L$37)</f>
        <v/>
      </c>
      <c r="N19" s="17" t="n">
        <v>223943</v>
      </c>
      <c r="O19" s="17" t="n">
        <v>1633037</v>
      </c>
      <c r="P19" s="5">
        <f>AVERAGEIFS(PO_Facts!$M$2:$M$4801,PO_Facts!$C$2:$C$4801,A19)</f>
        <v/>
      </c>
    </row>
    <row r="20">
      <c r="A20" s="4" t="inlineStr">
        <is>
          <t>VS17</t>
        </is>
      </c>
      <c r="B20" s="12" t="inlineStr">
        <is>
          <t>Modern Metals</t>
        </is>
      </c>
      <c r="C20" s="13">
        <f>COUNTIFS(PO_Facts!$C$2:$C$4801,A20)</f>
        <v/>
      </c>
      <c r="D20" s="3">
        <f>SUMIFS(PO_Facts!$K$2:$K$4801,PO_Facts!$C$2:$C$4801,A20)</f>
        <v/>
      </c>
      <c r="E20" s="3">
        <f>SUMIFS(PO_Facts!$Q$2:$Q$4801,PO_Facts!$C$2:$C$4801,A20)</f>
        <v/>
      </c>
      <c r="F20" s="14">
        <f>D20-E20</f>
        <v/>
      </c>
      <c r="G20" s="3">
        <f>SUMIFS(PO_Facts!$S$2:$S$4801,PO_Facts!$C$2:$C$4801,A20)</f>
        <v/>
      </c>
      <c r="H20" s="3">
        <f>MAX(0,SUMIFS(PO_Facts!$T$2:$T$4801,PO_Facts!$C$2:$C$4801,A20))</f>
        <v/>
      </c>
      <c r="I20" s="3">
        <f>SUMIFS(PO_Facts!$U$2:$U$4801,PO_Facts!$C$2:$C$4801,A20)</f>
        <v/>
      </c>
      <c r="J20" s="3">
        <f>SUMIFS(Returns_Confirmed!$K$2:$K$241,Returns_Confirmed!$G$2:$G$241,A20)</f>
        <v/>
      </c>
      <c r="K20" s="3">
        <f>SUMIFS(Returns_Inferred!$H$2:$H$4761,Returns_Inferred!$B$2:$B$4761,A20)</f>
        <v/>
      </c>
      <c r="L20" s="15">
        <f>H20+I20+J20+K20</f>
        <v/>
      </c>
      <c r="M20" s="16">
        <f>RANK(L20,$L$4:$L$37)</f>
        <v/>
      </c>
      <c r="N20" s="17" t="n">
        <v>219047</v>
      </c>
      <c r="O20" s="17" t="n">
        <v>1505404</v>
      </c>
      <c r="P20" s="5">
        <f>AVERAGEIFS(PO_Facts!$M$2:$M$4801,PO_Facts!$C$2:$C$4801,A20)</f>
        <v/>
      </c>
    </row>
    <row r="21">
      <c r="A21" s="4" t="inlineStr">
        <is>
          <t>VS18</t>
        </is>
      </c>
      <c r="B21" s="12" t="inlineStr">
        <is>
          <t>Kumar Hardware</t>
        </is>
      </c>
      <c r="C21" s="13">
        <f>COUNTIFS(PO_Facts!$C$2:$C$4801,A21)</f>
        <v/>
      </c>
      <c r="D21" s="3">
        <f>SUMIFS(PO_Facts!$K$2:$K$4801,PO_Facts!$C$2:$C$4801,A21)</f>
        <v/>
      </c>
      <c r="E21" s="3">
        <f>SUMIFS(PO_Facts!$Q$2:$Q$4801,PO_Facts!$C$2:$C$4801,A21)</f>
        <v/>
      </c>
      <c r="F21" s="14">
        <f>D21-E21</f>
        <v/>
      </c>
      <c r="G21" s="3">
        <f>SUMIFS(PO_Facts!$S$2:$S$4801,PO_Facts!$C$2:$C$4801,A21)</f>
        <v/>
      </c>
      <c r="H21" s="3">
        <f>MAX(0,SUMIFS(PO_Facts!$T$2:$T$4801,PO_Facts!$C$2:$C$4801,A21))</f>
        <v/>
      </c>
      <c r="I21" s="3">
        <f>SUMIFS(PO_Facts!$U$2:$U$4801,PO_Facts!$C$2:$C$4801,A21)</f>
        <v/>
      </c>
      <c r="J21" s="3">
        <f>SUMIFS(Returns_Confirmed!$K$2:$K$241,Returns_Confirmed!$G$2:$G$241,A21)</f>
        <v/>
      </c>
      <c r="K21" s="3">
        <f>SUMIFS(Returns_Inferred!$H$2:$H$4761,Returns_Inferred!$B$2:$B$4761,A21)</f>
        <v/>
      </c>
      <c r="L21" s="15">
        <f>H21+I21+J21+K21</f>
        <v/>
      </c>
      <c r="M21" s="16">
        <f>RANK(L21,$L$4:$L$37)</f>
        <v/>
      </c>
      <c r="N21" s="17" t="n">
        <v>47967</v>
      </c>
      <c r="O21" s="17" t="n">
        <v>1155184</v>
      </c>
      <c r="P21" s="5">
        <f>AVERAGEIFS(PO_Facts!$M$2:$M$4801,PO_Facts!$C$2:$C$4801,A21)</f>
        <v/>
      </c>
    </row>
    <row r="22">
      <c r="A22" s="4" t="inlineStr">
        <is>
          <t>VS19</t>
        </is>
      </c>
      <c r="B22" s="12" t="inlineStr">
        <is>
          <t>Thakur Steel</t>
        </is>
      </c>
      <c r="C22" s="13">
        <f>COUNTIFS(PO_Facts!$C$2:$C$4801,A22)</f>
        <v/>
      </c>
      <c r="D22" s="3">
        <f>SUMIFS(PO_Facts!$K$2:$K$4801,PO_Facts!$C$2:$C$4801,A22)</f>
        <v/>
      </c>
      <c r="E22" s="3">
        <f>SUMIFS(PO_Facts!$Q$2:$Q$4801,PO_Facts!$C$2:$C$4801,A22)</f>
        <v/>
      </c>
      <c r="F22" s="14">
        <f>D22-E22</f>
        <v/>
      </c>
      <c r="G22" s="3">
        <f>SUMIFS(PO_Facts!$S$2:$S$4801,PO_Facts!$C$2:$C$4801,A22)</f>
        <v/>
      </c>
      <c r="H22" s="3">
        <f>MAX(0,SUMIFS(PO_Facts!$T$2:$T$4801,PO_Facts!$C$2:$C$4801,A22))</f>
        <v/>
      </c>
      <c r="I22" s="3">
        <f>SUMIFS(PO_Facts!$U$2:$U$4801,PO_Facts!$C$2:$C$4801,A22)</f>
        <v/>
      </c>
      <c r="J22" s="3">
        <f>SUMIFS(Returns_Confirmed!$K$2:$K$241,Returns_Confirmed!$G$2:$G$241,A22)</f>
        <v/>
      </c>
      <c r="K22" s="3">
        <f>SUMIFS(Returns_Inferred!$H$2:$H$4761,Returns_Inferred!$B$2:$B$4761,A22)</f>
        <v/>
      </c>
      <c r="L22" s="15">
        <f>H22+I22+J22+K22</f>
        <v/>
      </c>
      <c r="M22" s="16">
        <f>RANK(L22,$L$4:$L$37)</f>
        <v/>
      </c>
      <c r="N22" s="17" t="n">
        <v>3026794</v>
      </c>
      <c r="O22" s="17" t="n">
        <v>5750911</v>
      </c>
      <c r="P22" s="5">
        <f>AVERAGEIFS(PO_Facts!$M$2:$M$4801,PO_Facts!$C$2:$C$4801,A22)</f>
        <v/>
      </c>
    </row>
    <row r="23">
      <c r="A23" s="4" t="inlineStr">
        <is>
          <t>VS20</t>
        </is>
      </c>
      <c r="B23" s="12" t="inlineStr">
        <is>
          <t>Bhavani Metals</t>
        </is>
      </c>
      <c r="C23" s="13">
        <f>COUNTIFS(PO_Facts!$C$2:$C$4801,A23)</f>
        <v/>
      </c>
      <c r="D23" s="3">
        <f>SUMIFS(PO_Facts!$K$2:$K$4801,PO_Facts!$C$2:$C$4801,A23)</f>
        <v/>
      </c>
      <c r="E23" s="3">
        <f>SUMIFS(PO_Facts!$Q$2:$Q$4801,PO_Facts!$C$2:$C$4801,A23)</f>
        <v/>
      </c>
      <c r="F23" s="14">
        <f>D23-E23</f>
        <v/>
      </c>
      <c r="G23" s="3">
        <f>SUMIFS(PO_Facts!$S$2:$S$4801,PO_Facts!$C$2:$C$4801,A23)</f>
        <v/>
      </c>
      <c r="H23" s="3">
        <f>MAX(0,SUMIFS(PO_Facts!$T$2:$T$4801,PO_Facts!$C$2:$C$4801,A23))</f>
        <v/>
      </c>
      <c r="I23" s="3">
        <f>SUMIFS(PO_Facts!$U$2:$U$4801,PO_Facts!$C$2:$C$4801,A23)</f>
        <v/>
      </c>
      <c r="J23" s="3">
        <f>SUMIFS(Returns_Confirmed!$K$2:$K$241,Returns_Confirmed!$G$2:$G$241,A23)</f>
        <v/>
      </c>
      <c r="K23" s="3">
        <f>SUMIFS(Returns_Inferred!$H$2:$H$4761,Returns_Inferred!$B$2:$B$4761,A23)</f>
        <v/>
      </c>
      <c r="L23" s="15">
        <f>H23+I23+J23+K23</f>
        <v/>
      </c>
      <c r="M23" s="16">
        <f>RANK(L23,$L$4:$L$37)</f>
        <v/>
      </c>
      <c r="N23" s="17" t="n">
        <v>0</v>
      </c>
      <c r="O23" s="17" t="n">
        <v>768583</v>
      </c>
      <c r="P23" s="5">
        <f>AVERAGEIFS(PO_Facts!$M$2:$M$4801,PO_Facts!$C$2:$C$4801,A23)</f>
        <v/>
      </c>
    </row>
    <row r="24">
      <c r="A24" s="4" t="inlineStr">
        <is>
          <t>VS21</t>
        </is>
      </c>
      <c r="B24" s="12" t="inlineStr">
        <is>
          <t>Viraj Profiles</t>
        </is>
      </c>
      <c r="C24" s="13">
        <f>COUNTIFS(PO_Facts!$C$2:$C$4801,A24)</f>
        <v/>
      </c>
      <c r="D24" s="3">
        <f>SUMIFS(PO_Facts!$K$2:$K$4801,PO_Facts!$C$2:$C$4801,A24)</f>
        <v/>
      </c>
      <c r="E24" s="3">
        <f>SUMIFS(PO_Facts!$Q$2:$Q$4801,PO_Facts!$C$2:$C$4801,A24)</f>
        <v/>
      </c>
      <c r="F24" s="14">
        <f>D24-E24</f>
        <v/>
      </c>
      <c r="G24" s="3">
        <f>SUMIFS(PO_Facts!$S$2:$S$4801,PO_Facts!$C$2:$C$4801,A24)</f>
        <v/>
      </c>
      <c r="H24" s="3">
        <f>MAX(0,SUMIFS(PO_Facts!$T$2:$T$4801,PO_Facts!$C$2:$C$4801,A24))</f>
        <v/>
      </c>
      <c r="I24" s="3">
        <f>SUMIFS(PO_Facts!$U$2:$U$4801,PO_Facts!$C$2:$C$4801,A24)</f>
        <v/>
      </c>
      <c r="J24" s="3">
        <f>SUMIFS(Returns_Confirmed!$K$2:$K$241,Returns_Confirmed!$G$2:$G$241,A24)</f>
        <v/>
      </c>
      <c r="K24" s="3">
        <f>SUMIFS(Returns_Inferred!$H$2:$H$4761,Returns_Inferred!$B$2:$B$4761,A24)</f>
        <v/>
      </c>
      <c r="L24" s="15">
        <f>H24+I24+J24+K24</f>
        <v/>
      </c>
      <c r="M24" s="16">
        <f>RANK(L24,$L$4:$L$37)</f>
        <v/>
      </c>
      <c r="N24" s="17" t="n">
        <v>0</v>
      </c>
      <c r="O24" s="17" t="n">
        <v>740621</v>
      </c>
      <c r="P24" s="5">
        <f>AVERAGEIFS(PO_Facts!$M$2:$M$4801,PO_Facts!$C$2:$C$4801,A24)</f>
        <v/>
      </c>
    </row>
    <row r="25">
      <c r="A25" s="4" t="inlineStr">
        <is>
          <t>VS22</t>
        </is>
      </c>
      <c r="B25" s="12" t="inlineStr">
        <is>
          <t>Ratan Steel</t>
        </is>
      </c>
      <c r="C25" s="13">
        <f>COUNTIFS(PO_Facts!$C$2:$C$4801,A25)</f>
        <v/>
      </c>
      <c r="D25" s="3">
        <f>SUMIFS(PO_Facts!$K$2:$K$4801,PO_Facts!$C$2:$C$4801,A25)</f>
        <v/>
      </c>
      <c r="E25" s="3">
        <f>SUMIFS(PO_Facts!$Q$2:$Q$4801,PO_Facts!$C$2:$C$4801,A25)</f>
        <v/>
      </c>
      <c r="F25" s="14">
        <f>D25-E25</f>
        <v/>
      </c>
      <c r="G25" s="3">
        <f>SUMIFS(PO_Facts!$S$2:$S$4801,PO_Facts!$C$2:$C$4801,A25)</f>
        <v/>
      </c>
      <c r="H25" s="3">
        <f>MAX(0,SUMIFS(PO_Facts!$T$2:$T$4801,PO_Facts!$C$2:$C$4801,A25))</f>
        <v/>
      </c>
      <c r="I25" s="3">
        <f>SUMIFS(PO_Facts!$U$2:$U$4801,PO_Facts!$C$2:$C$4801,A25)</f>
        <v/>
      </c>
      <c r="J25" s="3">
        <f>SUMIFS(Returns_Confirmed!$K$2:$K$241,Returns_Confirmed!$G$2:$G$241,A25)</f>
        <v/>
      </c>
      <c r="K25" s="3">
        <f>SUMIFS(Returns_Inferred!$H$2:$H$4761,Returns_Inferred!$B$2:$B$4761,A25)</f>
        <v/>
      </c>
      <c r="L25" s="15">
        <f>H25+I25+J25+K25</f>
        <v/>
      </c>
      <c r="M25" s="16">
        <f>RANK(L25,$L$4:$L$37)</f>
        <v/>
      </c>
      <c r="N25" s="17" t="n">
        <v>0</v>
      </c>
      <c r="O25" s="17" t="n">
        <v>497238</v>
      </c>
      <c r="P25" s="5">
        <f>AVERAGEIFS(PO_Facts!$M$2:$M$4801,PO_Facts!$C$2:$C$4801,A25)</f>
        <v/>
      </c>
    </row>
    <row r="26">
      <c r="A26" s="4" t="inlineStr">
        <is>
          <t>VS23</t>
        </is>
      </c>
      <c r="B26" s="12" t="inlineStr">
        <is>
          <t>Krishna Pipes</t>
        </is>
      </c>
      <c r="C26" s="13">
        <f>COUNTIFS(PO_Facts!$C$2:$C$4801,A26)</f>
        <v/>
      </c>
      <c r="D26" s="3">
        <f>SUMIFS(PO_Facts!$K$2:$K$4801,PO_Facts!$C$2:$C$4801,A26)</f>
        <v/>
      </c>
      <c r="E26" s="3">
        <f>SUMIFS(PO_Facts!$Q$2:$Q$4801,PO_Facts!$C$2:$C$4801,A26)</f>
        <v/>
      </c>
      <c r="F26" s="14">
        <f>D26-E26</f>
        <v/>
      </c>
      <c r="G26" s="3">
        <f>SUMIFS(PO_Facts!$S$2:$S$4801,PO_Facts!$C$2:$C$4801,A26)</f>
        <v/>
      </c>
      <c r="H26" s="3">
        <f>MAX(0,SUMIFS(PO_Facts!$T$2:$T$4801,PO_Facts!$C$2:$C$4801,A26))</f>
        <v/>
      </c>
      <c r="I26" s="3">
        <f>SUMIFS(PO_Facts!$U$2:$U$4801,PO_Facts!$C$2:$C$4801,A26)</f>
        <v/>
      </c>
      <c r="J26" s="3">
        <f>SUMIFS(Returns_Confirmed!$K$2:$K$241,Returns_Confirmed!$G$2:$G$241,A26)</f>
        <v/>
      </c>
      <c r="K26" s="3">
        <f>SUMIFS(Returns_Inferred!$H$2:$H$4761,Returns_Inferred!$B$2:$B$4761,A26)</f>
        <v/>
      </c>
      <c r="L26" s="15">
        <f>H26+I26+J26+K26</f>
        <v/>
      </c>
      <c r="M26" s="16">
        <f>RANK(L26,$L$4:$L$37)</f>
        <v/>
      </c>
      <c r="N26" s="17" t="n">
        <v>0</v>
      </c>
      <c r="O26" s="17" t="n">
        <v>784241</v>
      </c>
      <c r="P26" s="5">
        <f>AVERAGEIFS(PO_Facts!$M$2:$M$4801,PO_Facts!$C$2:$C$4801,A26)</f>
        <v/>
      </c>
    </row>
    <row r="27">
      <c r="A27" s="4" t="inlineStr">
        <is>
          <t>VS24</t>
        </is>
      </c>
      <c r="B27" s="12" t="inlineStr">
        <is>
          <t>Om Metals</t>
        </is>
      </c>
      <c r="C27" s="13">
        <f>COUNTIFS(PO_Facts!$C$2:$C$4801,A27)</f>
        <v/>
      </c>
      <c r="D27" s="3">
        <f>SUMIFS(PO_Facts!$K$2:$K$4801,PO_Facts!$C$2:$C$4801,A27)</f>
        <v/>
      </c>
      <c r="E27" s="3">
        <f>SUMIFS(PO_Facts!$Q$2:$Q$4801,PO_Facts!$C$2:$C$4801,A27)</f>
        <v/>
      </c>
      <c r="F27" s="14">
        <f>D27-E27</f>
        <v/>
      </c>
      <c r="G27" s="3">
        <f>SUMIFS(PO_Facts!$S$2:$S$4801,PO_Facts!$C$2:$C$4801,A27)</f>
        <v/>
      </c>
      <c r="H27" s="3">
        <f>MAX(0,SUMIFS(PO_Facts!$T$2:$T$4801,PO_Facts!$C$2:$C$4801,A27))</f>
        <v/>
      </c>
      <c r="I27" s="3">
        <f>SUMIFS(PO_Facts!$U$2:$U$4801,PO_Facts!$C$2:$C$4801,A27)</f>
        <v/>
      </c>
      <c r="J27" s="3">
        <f>SUMIFS(Returns_Confirmed!$K$2:$K$241,Returns_Confirmed!$G$2:$G$241,A27)</f>
        <v/>
      </c>
      <c r="K27" s="3">
        <f>SUMIFS(Returns_Inferred!$H$2:$H$4761,Returns_Inferred!$B$2:$B$4761,A27)</f>
        <v/>
      </c>
      <c r="L27" s="15">
        <f>H27+I27+J27+K27</f>
        <v/>
      </c>
      <c r="M27" s="16">
        <f>RANK(L27,$L$4:$L$37)</f>
        <v/>
      </c>
      <c r="N27" s="17" t="n">
        <v>0</v>
      </c>
      <c r="O27" s="17" t="n">
        <v>727777</v>
      </c>
      <c r="P27" s="5">
        <f>AVERAGEIFS(PO_Facts!$M$2:$M$4801,PO_Facts!$C$2:$C$4801,A27)</f>
        <v/>
      </c>
    </row>
    <row r="28">
      <c r="A28" s="4" t="inlineStr">
        <is>
          <t>VS25</t>
        </is>
      </c>
      <c r="B28" s="12" t="inlineStr">
        <is>
          <t>Laxmi Hardware</t>
        </is>
      </c>
      <c r="C28" s="13">
        <f>COUNTIFS(PO_Facts!$C$2:$C$4801,A28)</f>
        <v/>
      </c>
      <c r="D28" s="3">
        <f>SUMIFS(PO_Facts!$K$2:$K$4801,PO_Facts!$C$2:$C$4801,A28)</f>
        <v/>
      </c>
      <c r="E28" s="3">
        <f>SUMIFS(PO_Facts!$Q$2:$Q$4801,PO_Facts!$C$2:$C$4801,A28)</f>
        <v/>
      </c>
      <c r="F28" s="14">
        <f>D28-E28</f>
        <v/>
      </c>
      <c r="G28" s="3">
        <f>SUMIFS(PO_Facts!$S$2:$S$4801,PO_Facts!$C$2:$C$4801,A28)</f>
        <v/>
      </c>
      <c r="H28" s="3">
        <f>MAX(0,SUMIFS(PO_Facts!$T$2:$T$4801,PO_Facts!$C$2:$C$4801,A28))</f>
        <v/>
      </c>
      <c r="I28" s="3">
        <f>SUMIFS(PO_Facts!$U$2:$U$4801,PO_Facts!$C$2:$C$4801,A28)</f>
        <v/>
      </c>
      <c r="J28" s="3">
        <f>SUMIFS(Returns_Confirmed!$K$2:$K$241,Returns_Confirmed!$G$2:$G$241,A28)</f>
        <v/>
      </c>
      <c r="K28" s="3">
        <f>SUMIFS(Returns_Inferred!$H$2:$H$4761,Returns_Inferred!$B$2:$B$4761,A28)</f>
        <v/>
      </c>
      <c r="L28" s="15">
        <f>H28+I28+J28+K28</f>
        <v/>
      </c>
      <c r="M28" s="16">
        <f>RANK(L28,$L$4:$L$37)</f>
        <v/>
      </c>
      <c r="N28" s="17" t="n">
        <v>29222</v>
      </c>
      <c r="O28" s="17" t="n">
        <v>1179585</v>
      </c>
      <c r="P28" s="5">
        <f>AVERAGEIFS(PO_Facts!$M$2:$M$4801,PO_Facts!$C$2:$C$4801,A28)</f>
        <v/>
      </c>
    </row>
    <row r="29">
      <c r="A29" s="4" t="inlineStr">
        <is>
          <t>VS26</t>
        </is>
      </c>
      <c r="B29" s="12" t="inlineStr">
        <is>
          <t>Rajdhani Steel</t>
        </is>
      </c>
      <c r="C29" s="13">
        <f>COUNTIFS(PO_Facts!$C$2:$C$4801,A29)</f>
        <v/>
      </c>
      <c r="D29" s="3">
        <f>SUMIFS(PO_Facts!$K$2:$K$4801,PO_Facts!$C$2:$C$4801,A29)</f>
        <v/>
      </c>
      <c r="E29" s="3">
        <f>SUMIFS(PO_Facts!$Q$2:$Q$4801,PO_Facts!$C$2:$C$4801,A29)</f>
        <v/>
      </c>
      <c r="F29" s="14">
        <f>D29-E29</f>
        <v/>
      </c>
      <c r="G29" s="3">
        <f>SUMIFS(PO_Facts!$S$2:$S$4801,PO_Facts!$C$2:$C$4801,A29)</f>
        <v/>
      </c>
      <c r="H29" s="3">
        <f>MAX(0,SUMIFS(PO_Facts!$T$2:$T$4801,PO_Facts!$C$2:$C$4801,A29))</f>
        <v/>
      </c>
      <c r="I29" s="3">
        <f>SUMIFS(PO_Facts!$U$2:$U$4801,PO_Facts!$C$2:$C$4801,A29)</f>
        <v/>
      </c>
      <c r="J29" s="3">
        <f>SUMIFS(Returns_Confirmed!$K$2:$K$241,Returns_Confirmed!$G$2:$G$241,A29)</f>
        <v/>
      </c>
      <c r="K29" s="3">
        <f>SUMIFS(Returns_Inferred!$H$2:$H$4761,Returns_Inferred!$B$2:$B$4761,A29)</f>
        <v/>
      </c>
      <c r="L29" s="15">
        <f>H29+I29+J29+K29</f>
        <v/>
      </c>
      <c r="M29" s="16">
        <f>RANK(L29,$L$4:$L$37)</f>
        <v/>
      </c>
      <c r="N29" s="17" t="n">
        <v>0</v>
      </c>
      <c r="O29" s="17" t="n">
        <v>795948</v>
      </c>
      <c r="P29" s="5">
        <f>AVERAGEIFS(PO_Facts!$M$2:$M$4801,PO_Facts!$C$2:$C$4801,A29)</f>
        <v/>
      </c>
    </row>
    <row r="30">
      <c r="A30" s="4" t="inlineStr">
        <is>
          <t>VS27</t>
        </is>
      </c>
      <c r="B30" s="12" t="inlineStr">
        <is>
          <t>National Pipes</t>
        </is>
      </c>
      <c r="C30" s="13">
        <f>COUNTIFS(PO_Facts!$C$2:$C$4801,A30)</f>
        <v/>
      </c>
      <c r="D30" s="3">
        <f>SUMIFS(PO_Facts!$K$2:$K$4801,PO_Facts!$C$2:$C$4801,A30)</f>
        <v/>
      </c>
      <c r="E30" s="3">
        <f>SUMIFS(PO_Facts!$Q$2:$Q$4801,PO_Facts!$C$2:$C$4801,A30)</f>
        <v/>
      </c>
      <c r="F30" s="14">
        <f>D30-E30</f>
        <v/>
      </c>
      <c r="G30" s="3">
        <f>SUMIFS(PO_Facts!$S$2:$S$4801,PO_Facts!$C$2:$C$4801,A30)</f>
        <v/>
      </c>
      <c r="H30" s="3">
        <f>MAX(0,SUMIFS(PO_Facts!$T$2:$T$4801,PO_Facts!$C$2:$C$4801,A30))</f>
        <v/>
      </c>
      <c r="I30" s="3">
        <f>SUMIFS(PO_Facts!$U$2:$U$4801,PO_Facts!$C$2:$C$4801,A30)</f>
        <v/>
      </c>
      <c r="J30" s="3">
        <f>SUMIFS(Returns_Confirmed!$K$2:$K$241,Returns_Confirmed!$G$2:$G$241,A30)</f>
        <v/>
      </c>
      <c r="K30" s="3">
        <f>SUMIFS(Returns_Inferred!$H$2:$H$4761,Returns_Inferred!$B$2:$B$4761,A30)</f>
        <v/>
      </c>
      <c r="L30" s="15">
        <f>H30+I30+J30+K30</f>
        <v/>
      </c>
      <c r="M30" s="16">
        <f>RANK(L30,$L$4:$L$37)</f>
        <v/>
      </c>
      <c r="N30" s="17" t="n">
        <v>0</v>
      </c>
      <c r="O30" s="17" t="n">
        <v>746067</v>
      </c>
      <c r="P30" s="5">
        <f>AVERAGEIFS(PO_Facts!$M$2:$M$4801,PO_Facts!$C$2:$C$4801,A30)</f>
        <v/>
      </c>
    </row>
    <row r="31">
      <c r="A31" s="4" t="inlineStr">
        <is>
          <t>VS28</t>
        </is>
      </c>
      <c r="B31" s="12" t="inlineStr">
        <is>
          <t>Param Industries</t>
        </is>
      </c>
      <c r="C31" s="13">
        <f>COUNTIFS(PO_Facts!$C$2:$C$4801,A31)</f>
        <v/>
      </c>
      <c r="D31" s="3">
        <f>SUMIFS(PO_Facts!$K$2:$K$4801,PO_Facts!$C$2:$C$4801,A31)</f>
        <v/>
      </c>
      <c r="E31" s="3">
        <f>SUMIFS(PO_Facts!$Q$2:$Q$4801,PO_Facts!$C$2:$C$4801,A31)</f>
        <v/>
      </c>
      <c r="F31" s="14">
        <f>D31-E31</f>
        <v/>
      </c>
      <c r="G31" s="3">
        <f>SUMIFS(PO_Facts!$S$2:$S$4801,PO_Facts!$C$2:$C$4801,A31)</f>
        <v/>
      </c>
      <c r="H31" s="3">
        <f>MAX(0,SUMIFS(PO_Facts!$T$2:$T$4801,PO_Facts!$C$2:$C$4801,A31))</f>
        <v/>
      </c>
      <c r="I31" s="3">
        <f>SUMIFS(PO_Facts!$U$2:$U$4801,PO_Facts!$C$2:$C$4801,A31)</f>
        <v/>
      </c>
      <c r="J31" s="3">
        <f>SUMIFS(Returns_Confirmed!$K$2:$K$241,Returns_Confirmed!$G$2:$G$241,A31)</f>
        <v/>
      </c>
      <c r="K31" s="3">
        <f>SUMIFS(Returns_Inferred!$H$2:$H$4761,Returns_Inferred!$B$2:$B$4761,A31)</f>
        <v/>
      </c>
      <c r="L31" s="15">
        <f>H31+I31+J31+K31</f>
        <v/>
      </c>
      <c r="M31" s="16">
        <f>RANK(L31,$L$4:$L$37)</f>
        <v/>
      </c>
      <c r="N31" s="17" t="n">
        <v>131281</v>
      </c>
      <c r="O31" s="17" t="n">
        <v>1342956</v>
      </c>
      <c r="P31" s="5">
        <f>AVERAGEIFS(PO_Facts!$M$2:$M$4801,PO_Facts!$C$2:$C$4801,A31)</f>
        <v/>
      </c>
    </row>
    <row r="32">
      <c r="A32" s="4" t="inlineStr">
        <is>
          <t>VS29</t>
        </is>
      </c>
      <c r="B32" s="12" t="inlineStr">
        <is>
          <t>Global Metals</t>
        </is>
      </c>
      <c r="C32" s="13">
        <f>COUNTIFS(PO_Facts!$C$2:$C$4801,A32)</f>
        <v/>
      </c>
      <c r="D32" s="3">
        <f>SUMIFS(PO_Facts!$K$2:$K$4801,PO_Facts!$C$2:$C$4801,A32)</f>
        <v/>
      </c>
      <c r="E32" s="3">
        <f>SUMIFS(PO_Facts!$Q$2:$Q$4801,PO_Facts!$C$2:$C$4801,A32)</f>
        <v/>
      </c>
      <c r="F32" s="14">
        <f>D32-E32</f>
        <v/>
      </c>
      <c r="G32" s="3">
        <f>SUMIFS(PO_Facts!$S$2:$S$4801,PO_Facts!$C$2:$C$4801,A32)</f>
        <v/>
      </c>
      <c r="H32" s="3">
        <f>MAX(0,SUMIFS(PO_Facts!$T$2:$T$4801,PO_Facts!$C$2:$C$4801,A32))</f>
        <v/>
      </c>
      <c r="I32" s="3">
        <f>SUMIFS(PO_Facts!$U$2:$U$4801,PO_Facts!$C$2:$C$4801,A32)</f>
        <v/>
      </c>
      <c r="J32" s="3">
        <f>SUMIFS(Returns_Confirmed!$K$2:$K$241,Returns_Confirmed!$G$2:$G$241,A32)</f>
        <v/>
      </c>
      <c r="K32" s="3">
        <f>SUMIFS(Returns_Inferred!$H$2:$H$4761,Returns_Inferred!$B$2:$B$4761,A32)</f>
        <v/>
      </c>
      <c r="L32" s="15">
        <f>H32+I32+J32+K32</f>
        <v/>
      </c>
      <c r="M32" s="16">
        <f>RANK(L32,$L$4:$L$37)</f>
        <v/>
      </c>
      <c r="N32" s="17" t="n">
        <v>0</v>
      </c>
      <c r="O32" s="17" t="n">
        <v>856979</v>
      </c>
      <c r="P32" s="5">
        <f>AVERAGEIFS(PO_Facts!$M$2:$M$4801,PO_Facts!$C$2:$C$4801,A32)</f>
        <v/>
      </c>
    </row>
    <row r="33">
      <c r="A33" s="4" t="inlineStr">
        <is>
          <t>VS30</t>
        </is>
      </c>
      <c r="B33" s="12" t="inlineStr">
        <is>
          <t>Apex Hardware</t>
        </is>
      </c>
      <c r="C33" s="13">
        <f>COUNTIFS(PO_Facts!$C$2:$C$4801,A33)</f>
        <v/>
      </c>
      <c r="D33" s="3">
        <f>SUMIFS(PO_Facts!$K$2:$K$4801,PO_Facts!$C$2:$C$4801,A33)</f>
        <v/>
      </c>
      <c r="E33" s="3">
        <f>SUMIFS(PO_Facts!$Q$2:$Q$4801,PO_Facts!$C$2:$C$4801,A33)</f>
        <v/>
      </c>
      <c r="F33" s="14">
        <f>D33-E33</f>
        <v/>
      </c>
      <c r="G33" s="3">
        <f>SUMIFS(PO_Facts!$S$2:$S$4801,PO_Facts!$C$2:$C$4801,A33)</f>
        <v/>
      </c>
      <c r="H33" s="3">
        <f>MAX(0,SUMIFS(PO_Facts!$T$2:$T$4801,PO_Facts!$C$2:$C$4801,A33))</f>
        <v/>
      </c>
      <c r="I33" s="3">
        <f>SUMIFS(PO_Facts!$U$2:$U$4801,PO_Facts!$C$2:$C$4801,A33)</f>
        <v/>
      </c>
      <c r="J33" s="3">
        <f>SUMIFS(Returns_Confirmed!$K$2:$K$241,Returns_Confirmed!$G$2:$G$241,A33)</f>
        <v/>
      </c>
      <c r="K33" s="3">
        <f>SUMIFS(Returns_Inferred!$H$2:$H$4761,Returns_Inferred!$B$2:$B$4761,A33)</f>
        <v/>
      </c>
      <c r="L33" s="15">
        <f>H33+I33+J33+K33</f>
        <v/>
      </c>
      <c r="M33" s="16">
        <f>RANK(L33,$L$4:$L$37)</f>
        <v/>
      </c>
      <c r="N33" s="17" t="n">
        <v>0</v>
      </c>
      <c r="O33" s="17" t="n">
        <v>529529</v>
      </c>
      <c r="P33" s="5">
        <f>AVERAGEIFS(PO_Facts!$M$2:$M$4801,PO_Facts!$C$2:$C$4801,A33)</f>
        <v/>
      </c>
    </row>
    <row r="34">
      <c r="A34" s="4" t="inlineStr">
        <is>
          <t>VS31</t>
        </is>
      </c>
      <c r="B34" s="12" t="inlineStr">
        <is>
          <t>Sunrise Alloys</t>
        </is>
      </c>
      <c r="C34" s="13">
        <f>COUNTIFS(PO_Facts!$C$2:$C$4801,A34)</f>
        <v/>
      </c>
      <c r="D34" s="3">
        <f>SUMIFS(PO_Facts!$K$2:$K$4801,PO_Facts!$C$2:$C$4801,A34)</f>
        <v/>
      </c>
      <c r="E34" s="3">
        <f>SUMIFS(PO_Facts!$Q$2:$Q$4801,PO_Facts!$C$2:$C$4801,A34)</f>
        <v/>
      </c>
      <c r="F34" s="14">
        <f>D34-E34</f>
        <v/>
      </c>
      <c r="G34" s="3">
        <f>SUMIFS(PO_Facts!$S$2:$S$4801,PO_Facts!$C$2:$C$4801,A34)</f>
        <v/>
      </c>
      <c r="H34" s="3">
        <f>MAX(0,SUMIFS(PO_Facts!$T$2:$T$4801,PO_Facts!$C$2:$C$4801,A34))</f>
        <v/>
      </c>
      <c r="I34" s="3">
        <f>SUMIFS(PO_Facts!$U$2:$U$4801,PO_Facts!$C$2:$C$4801,A34)</f>
        <v/>
      </c>
      <c r="J34" s="3">
        <f>SUMIFS(Returns_Confirmed!$K$2:$K$241,Returns_Confirmed!$G$2:$G$241,A34)</f>
        <v/>
      </c>
      <c r="K34" s="3">
        <f>SUMIFS(Returns_Inferred!$H$2:$H$4761,Returns_Inferred!$B$2:$B$4761,A34)</f>
        <v/>
      </c>
      <c r="L34" s="15">
        <f>H34+I34+J34+K34</f>
        <v/>
      </c>
      <c r="M34" s="16">
        <f>RANK(L34,$L$4:$L$37)</f>
        <v/>
      </c>
      <c r="N34" s="17" t="n">
        <v>145984</v>
      </c>
      <c r="O34" s="17" t="n">
        <v>1340033</v>
      </c>
      <c r="P34" s="5">
        <f>AVERAGEIFS(PO_Facts!$M$2:$M$4801,PO_Facts!$C$2:$C$4801,A34)</f>
        <v/>
      </c>
    </row>
    <row r="35">
      <c r="A35" s="4" t="inlineStr">
        <is>
          <t>VS32</t>
        </is>
      </c>
      <c r="B35" s="12" t="inlineStr">
        <is>
          <t>Precision Steel</t>
        </is>
      </c>
      <c r="C35" s="13">
        <f>COUNTIFS(PO_Facts!$C$2:$C$4801,A35)</f>
        <v/>
      </c>
      <c r="D35" s="3">
        <f>SUMIFS(PO_Facts!$K$2:$K$4801,PO_Facts!$C$2:$C$4801,A35)</f>
        <v/>
      </c>
      <c r="E35" s="3">
        <f>SUMIFS(PO_Facts!$Q$2:$Q$4801,PO_Facts!$C$2:$C$4801,A35)</f>
        <v/>
      </c>
      <c r="F35" s="14">
        <f>D35-E35</f>
        <v/>
      </c>
      <c r="G35" s="3">
        <f>SUMIFS(PO_Facts!$S$2:$S$4801,PO_Facts!$C$2:$C$4801,A35)</f>
        <v/>
      </c>
      <c r="H35" s="3">
        <f>MAX(0,SUMIFS(PO_Facts!$T$2:$T$4801,PO_Facts!$C$2:$C$4801,A35))</f>
        <v/>
      </c>
      <c r="I35" s="3">
        <f>SUMIFS(PO_Facts!$U$2:$U$4801,PO_Facts!$C$2:$C$4801,A35)</f>
        <v/>
      </c>
      <c r="J35" s="3">
        <f>SUMIFS(Returns_Confirmed!$K$2:$K$241,Returns_Confirmed!$G$2:$G$241,A35)</f>
        <v/>
      </c>
      <c r="K35" s="3">
        <f>SUMIFS(Returns_Inferred!$H$2:$H$4761,Returns_Inferred!$B$2:$B$4761,A35)</f>
        <v/>
      </c>
      <c r="L35" s="15">
        <f>H35+I35+J35+K35</f>
        <v/>
      </c>
      <c r="M35" s="16">
        <f>RANK(L35,$L$4:$L$37)</f>
        <v/>
      </c>
      <c r="N35" s="17" t="n">
        <v>237689</v>
      </c>
      <c r="O35" s="17" t="n">
        <v>1553596</v>
      </c>
      <c r="P35" s="5">
        <f>AVERAGEIFS(PO_Facts!$M$2:$M$4801,PO_Facts!$C$2:$C$4801,A35)</f>
        <v/>
      </c>
    </row>
    <row r="36">
      <c r="A36" s="4" t="inlineStr">
        <is>
          <t>VS33</t>
        </is>
      </c>
      <c r="B36" s="12" t="inlineStr">
        <is>
          <t>Premium Metals</t>
        </is>
      </c>
      <c r="C36" s="13">
        <f>COUNTIFS(PO_Facts!$C$2:$C$4801,A36)</f>
        <v/>
      </c>
      <c r="D36" s="3">
        <f>SUMIFS(PO_Facts!$K$2:$K$4801,PO_Facts!$C$2:$C$4801,A36)</f>
        <v/>
      </c>
      <c r="E36" s="3">
        <f>SUMIFS(PO_Facts!$Q$2:$Q$4801,PO_Facts!$C$2:$C$4801,A36)</f>
        <v/>
      </c>
      <c r="F36" s="14">
        <f>D36-E36</f>
        <v/>
      </c>
      <c r="G36" s="3">
        <f>SUMIFS(PO_Facts!$S$2:$S$4801,PO_Facts!$C$2:$C$4801,A36)</f>
        <v/>
      </c>
      <c r="H36" s="3">
        <f>MAX(0,SUMIFS(PO_Facts!$T$2:$T$4801,PO_Facts!$C$2:$C$4801,A36))</f>
        <v/>
      </c>
      <c r="I36" s="3">
        <f>SUMIFS(PO_Facts!$U$2:$U$4801,PO_Facts!$C$2:$C$4801,A36)</f>
        <v/>
      </c>
      <c r="J36" s="3">
        <f>SUMIFS(Returns_Confirmed!$K$2:$K$241,Returns_Confirmed!$G$2:$G$241,A36)</f>
        <v/>
      </c>
      <c r="K36" s="3">
        <f>SUMIFS(Returns_Inferred!$H$2:$H$4761,Returns_Inferred!$B$2:$B$4761,A36)</f>
        <v/>
      </c>
      <c r="L36" s="15">
        <f>H36+I36+J36+K36</f>
        <v/>
      </c>
      <c r="M36" s="16">
        <f>RANK(L36,$L$4:$L$37)</f>
        <v/>
      </c>
      <c r="N36" s="17" t="n">
        <v>0</v>
      </c>
      <c r="O36" s="17" t="n">
        <v>931864</v>
      </c>
      <c r="P36" s="5">
        <f>AVERAGEIFS(PO_Facts!$M$2:$M$4801,PO_Facts!$C$2:$C$4801,A36)</f>
        <v/>
      </c>
    </row>
    <row r="37">
      <c r="A37" s="4" t="inlineStr">
        <is>
          <t>VS34</t>
        </is>
      </c>
      <c r="B37" s="12" t="inlineStr">
        <is>
          <t>Supreme Fittings</t>
        </is>
      </c>
      <c r="C37" s="13">
        <f>COUNTIFS(PO_Facts!$C$2:$C$4801,A37)</f>
        <v/>
      </c>
      <c r="D37" s="3">
        <f>SUMIFS(PO_Facts!$K$2:$K$4801,PO_Facts!$C$2:$C$4801,A37)</f>
        <v/>
      </c>
      <c r="E37" s="3">
        <f>SUMIFS(PO_Facts!$Q$2:$Q$4801,PO_Facts!$C$2:$C$4801,A37)</f>
        <v/>
      </c>
      <c r="F37" s="14">
        <f>D37-E37</f>
        <v/>
      </c>
      <c r="G37" s="3">
        <f>SUMIFS(PO_Facts!$S$2:$S$4801,PO_Facts!$C$2:$C$4801,A37)</f>
        <v/>
      </c>
      <c r="H37" s="3">
        <f>MAX(0,SUMIFS(PO_Facts!$T$2:$T$4801,PO_Facts!$C$2:$C$4801,A37))</f>
        <v/>
      </c>
      <c r="I37" s="3">
        <f>SUMIFS(PO_Facts!$U$2:$U$4801,PO_Facts!$C$2:$C$4801,A37)</f>
        <v/>
      </c>
      <c r="J37" s="3">
        <f>SUMIFS(Returns_Confirmed!$K$2:$K$241,Returns_Confirmed!$G$2:$G$241,A37)</f>
        <v/>
      </c>
      <c r="K37" s="3">
        <f>SUMIFS(Returns_Inferred!$H$2:$H$4761,Returns_Inferred!$B$2:$B$4761,A37)</f>
        <v/>
      </c>
      <c r="L37" s="15">
        <f>H37+I37+J37+K37</f>
        <v/>
      </c>
      <c r="M37" s="16">
        <f>RANK(L37,$L$4:$L$37)</f>
        <v/>
      </c>
      <c r="N37" s="17" t="n">
        <v>28873</v>
      </c>
      <c r="O37" s="17" t="n">
        <v>1163396</v>
      </c>
      <c r="P37" s="5">
        <f>AVERAGEIFS(PO_Facts!$M$2:$M$4801,PO_Facts!$C$2:$C$4801,A37)</f>
        <v/>
      </c>
    </row>
    <row r="38">
      <c r="B38" s="2" t="inlineStr">
        <is>
          <t>PANEL TOTAL</t>
        </is>
      </c>
      <c r="C38" s="18">
        <f>SUM(C4:C37)</f>
        <v/>
      </c>
      <c r="D38" s="15">
        <f>SUM(D4:D37)</f>
        <v/>
      </c>
      <c r="E38" s="15">
        <f>SUM(E4:E37)</f>
        <v/>
      </c>
      <c r="F38" s="15">
        <f>SUM(F4:F37)</f>
        <v/>
      </c>
      <c r="G38" s="15">
        <f>SUM(G4:G37)</f>
        <v/>
      </c>
      <c r="H38" s="15">
        <f>SUM(H4:H37)</f>
        <v/>
      </c>
      <c r="I38" s="15">
        <f>SUM(I4:I37)</f>
        <v/>
      </c>
      <c r="J38" s="15">
        <f>SUM(J4:J37)</f>
        <v/>
      </c>
      <c r="K38" s="15">
        <f>SUM(K4:K37)</f>
        <v/>
      </c>
      <c r="L38" s="15">
        <f>SUM(L4:L37)</f>
        <v/>
      </c>
    </row>
    <row r="40">
      <c r="A40" s="4" t="inlineStr">
        <is>
          <t>A = invoice_amount_billed - quantity_received x unit_price_quoted.  A* = A minus the panel-normal part (floored at 0 per supplier).  B = rejection_qty x unit price (rejected goods are inside received qty and were billed).</t>
        </is>
      </c>
    </row>
    <row r="41">
      <c r="A41" s="4" t="inlineStr">
        <is>
          <t>C = confirmed returns, capped per batch.  D = probability-weighted expected value of the 140 unattributed returns (80% range in columns N-O, from 4,000 simulated assignments).</t>
        </is>
      </c>
    </row>
    <row r="42">
      <c r="A42" s="4" t="inlineStr">
        <is>
          <t>Price premium and late-delivery carrying cost are NOT in the headline: no supplier shows a statistically significant price premium, and the late cost is an assumption.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3" customWidth="1" min="4" max="4"/>
    <col width="9" customWidth="1" min="5" max="5"/>
    <col width="9" customWidth="1" min="6" max="6"/>
    <col width="12" customWidth="1" min="7" max="7"/>
    <col width="14" customWidth="1" min="8" max="8"/>
    <col width="11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1" customWidth="1" min="15" max="15"/>
    <col width="12" customWidth="1" min="16" max="16"/>
    <col width="9" customWidth="1" min="17" max="17"/>
    <col width="10" customWidth="1" min="18" max="18"/>
  </cols>
  <sheetData>
    <row r="1">
      <c r="A1" s="1" t="inlineStr">
        <is>
          <t>34-supplier scorecard - performance only (no relationship years). Score 100 = panel median or better, 0 = as bad as the worst supplier on that metric</t>
        </is>
      </c>
    </row>
    <row r="3" ht="32" customHeight="1">
      <c r="A3" s="11" t="inlineStr">
        <is>
          <t>supplier_id</t>
        </is>
      </c>
      <c r="B3" s="11" t="inlineStr">
        <is>
          <t>supplier_name</t>
        </is>
      </c>
      <c r="C3" s="11" t="inlineStr">
        <is>
          <t>PO count</t>
        </is>
      </c>
      <c r="D3" s="11" t="inlineStr">
        <is>
          <t>Short delivery % of ordered qty</t>
        </is>
      </c>
      <c r="E3" s="11" t="inlineStr">
        <is>
          <t>Late POs %</t>
        </is>
      </c>
      <c r="F3" s="11" t="inlineStr">
        <is>
          <t>Avg days late</t>
        </is>
      </c>
      <c r="G3" s="11" t="inlineStr">
        <is>
          <t>Rejection % of received</t>
        </is>
      </c>
      <c r="H3" s="11" t="inlineStr">
        <is>
          <t>Returns per 1,000 MT received</t>
        </is>
      </c>
      <c r="I3" s="11" t="inlineStr">
        <is>
          <t>Price vs panel z-score</t>
        </is>
      </c>
      <c r="J3" s="11" t="inlineStr">
        <is>
          <t>Score: short</t>
        </is>
      </c>
      <c r="K3" s="11" t="inlineStr">
        <is>
          <t>Score: late</t>
        </is>
      </c>
      <c r="L3" s="11" t="inlineStr">
        <is>
          <t>Score: rejection</t>
        </is>
      </c>
      <c r="M3" s="11" t="inlineStr">
        <is>
          <t>Score: returns</t>
        </is>
      </c>
      <c r="N3" s="11" t="inlineStr">
        <is>
          <t>Score: price</t>
        </is>
      </c>
      <c r="O3" s="11" t="inlineStr">
        <is>
          <t>COMPOSITE</t>
        </is>
      </c>
      <c r="P3" s="11" t="inlineStr">
        <is>
          <t>Tier</t>
        </is>
      </c>
      <c r="Q3" s="11" t="inlineStr">
        <is>
          <t>Rank (1 = worst)</t>
        </is>
      </c>
      <c r="R3" s="11" t="inlineStr">
        <is>
          <t>MT received</t>
        </is>
      </c>
    </row>
    <row r="4">
      <c r="A4" s="4" t="inlineStr">
        <is>
          <t>VS01</t>
        </is>
      </c>
      <c r="B4" s="12" t="inlineStr">
        <is>
          <t>Jindal Steel &amp; Power</t>
        </is>
      </c>
      <c r="C4" s="13">
        <f>COUNTIFS(PO_Facts!$C$2:$C$4801,A4)</f>
        <v/>
      </c>
      <c r="D4" s="19">
        <f>SUMIFS(PO_Facts!$N$2:$N$4801,PO_Facts!$C$2:$C$4801,A4)/SUMIFS(PO_Facts!$F$2:$F$4801,PO_Facts!$C$2:$C$4801,A4)*100</f>
        <v/>
      </c>
      <c r="E4" s="5">
        <f>COUNTIFS(PO_Facts!$C$2:$C$4801,A4,PO_Facts!$O$2:$O$4801,"&gt;0")/C4*100</f>
        <v/>
      </c>
      <c r="F4" s="19">
        <f>AVERAGEIFS(PO_Facts!$O$2:$O$4801,PO_Facts!$C$2:$C$4801,A4)</f>
        <v/>
      </c>
      <c r="G4" s="19">
        <f>SUMIFS(PO_Facts!$L$2:$L$4801,PO_Facts!$C$2:$C$4801,A4)/R4*100</f>
        <v/>
      </c>
      <c r="H4" s="19">
        <f>(COUNTIFS(Returns_Confirmed!$G$2:$G$241,A4)+SUMIFS(Returns_Inferred!$C$2:$C$4761,Returns_Inferred!$B$2:$B$4761,A4))/R4*1000</f>
        <v/>
      </c>
      <c r="I4" s="20" t="n">
        <v>-1.5</v>
      </c>
      <c r="J4" s="21">
        <f>100*(1-MIN(1,MAX(0,(D4-MEDIAN($D$4:$D$37))/(MAX($D$4:$D$37)-MEDIAN($D$4:$D$37)))))</f>
        <v/>
      </c>
      <c r="K4" s="21">
        <f>100*(1-MIN(1,MAX(0,(F4-MEDIAN($F$4:$F$37))/(MAX($F$4:$F$37)-MEDIAN($F$4:$F$37)))))</f>
        <v/>
      </c>
      <c r="L4" s="21">
        <f>100*(1-MIN(1,MAX(0,(G4-MEDIAN($G$4:$G$37))/(MAX($G$4:$G$37)-MEDIAN($G$4:$G$37)))))</f>
        <v/>
      </c>
      <c r="M4" s="21">
        <f>100*(1-MIN(1,MAX(0,(H4-MEDIAN($H$4:$H$37))/(MAX($H$4:$H$37)-MEDIAN($H$4:$H$37)))))</f>
        <v/>
      </c>
      <c r="N4" s="5">
        <f>100*(1-MIN(1,MAX(I4,0)/Assumptions!$B$13))</f>
        <v/>
      </c>
      <c r="O4" s="22">
        <f>J4*Assumptions!$B$7+K4*Assumptions!$B$8+L4*Assumptions!$B$9+M4*Assumptions!$B$10+N4*Assumptions!$B$11</f>
        <v/>
      </c>
      <c r="P4" s="23">
        <f>IF(O4&lt;Assumptions!$B$14,"POOR",IF(O4&lt;Assumptions!$C$14,"WATCH","ACCEPTABLE"))</f>
        <v/>
      </c>
      <c r="Q4" s="16">
        <f>RANK(O4,$O$4:$O$37,1)</f>
        <v/>
      </c>
      <c r="R4" s="24">
        <f>SUMIFS(PO_Facts!$J$2:$J$4801,PO_Facts!$C$2:$C$4801,A4)</f>
        <v/>
      </c>
    </row>
    <row r="5">
      <c r="A5" s="4" t="inlineStr">
        <is>
          <t>VS02</t>
        </is>
      </c>
      <c r="B5" s="12" t="inlineStr">
        <is>
          <t>SAIL Distribution</t>
        </is>
      </c>
      <c r="C5" s="13">
        <f>COUNTIFS(PO_Facts!$C$2:$C$4801,A5)</f>
        <v/>
      </c>
      <c r="D5" s="19">
        <f>SUMIFS(PO_Facts!$N$2:$N$4801,PO_Facts!$C$2:$C$4801,A5)/SUMIFS(PO_Facts!$F$2:$F$4801,PO_Facts!$C$2:$C$4801,A5)*100</f>
        <v/>
      </c>
      <c r="E5" s="5">
        <f>COUNTIFS(PO_Facts!$C$2:$C$4801,A5,PO_Facts!$O$2:$O$4801,"&gt;0")/C5*100</f>
        <v/>
      </c>
      <c r="F5" s="19">
        <f>AVERAGEIFS(PO_Facts!$O$2:$O$4801,PO_Facts!$C$2:$C$4801,A5)</f>
        <v/>
      </c>
      <c r="G5" s="19">
        <f>SUMIFS(PO_Facts!$L$2:$L$4801,PO_Facts!$C$2:$C$4801,A5)/R5*100</f>
        <v/>
      </c>
      <c r="H5" s="19">
        <f>(COUNTIFS(Returns_Confirmed!$G$2:$G$241,A5)+SUMIFS(Returns_Inferred!$C$2:$C$4761,Returns_Inferred!$B$2:$B$4761,A5))/R5*1000</f>
        <v/>
      </c>
      <c r="I5" s="20" t="n">
        <v>-0.35</v>
      </c>
      <c r="J5" s="21">
        <f>100*(1-MIN(1,MAX(0,(D5-MEDIAN($D$4:$D$37))/(MAX($D$4:$D$37)-MEDIAN($D$4:$D$37)))))</f>
        <v/>
      </c>
      <c r="K5" s="21">
        <f>100*(1-MIN(1,MAX(0,(F5-MEDIAN($F$4:$F$37))/(MAX($F$4:$F$37)-MEDIAN($F$4:$F$37)))))</f>
        <v/>
      </c>
      <c r="L5" s="21">
        <f>100*(1-MIN(1,MAX(0,(G5-MEDIAN($G$4:$G$37))/(MAX($G$4:$G$37)-MEDIAN($G$4:$G$37)))))</f>
        <v/>
      </c>
      <c r="M5" s="21">
        <f>100*(1-MIN(1,MAX(0,(H5-MEDIAN($H$4:$H$37))/(MAX($H$4:$H$37)-MEDIAN($H$4:$H$37)))))</f>
        <v/>
      </c>
      <c r="N5" s="5">
        <f>100*(1-MIN(1,MAX(I5,0)/Assumptions!$B$13))</f>
        <v/>
      </c>
      <c r="O5" s="22">
        <f>J5*Assumptions!$B$7+K5*Assumptions!$B$8+L5*Assumptions!$B$9+M5*Assumptions!$B$10+N5*Assumptions!$B$11</f>
        <v/>
      </c>
      <c r="P5" s="23">
        <f>IF(O5&lt;Assumptions!$B$14,"POOR",IF(O5&lt;Assumptions!$C$14,"WATCH","ACCEPTABLE"))</f>
        <v/>
      </c>
      <c r="Q5" s="16">
        <f>RANK(O5,$O$4:$O$37,1)</f>
        <v/>
      </c>
      <c r="R5" s="24">
        <f>SUMIFS(PO_Facts!$J$2:$J$4801,PO_Facts!$C$2:$C$4801,A5)</f>
        <v/>
      </c>
    </row>
    <row r="6">
      <c r="A6" s="4" t="inlineStr">
        <is>
          <t>VS03</t>
        </is>
      </c>
      <c r="B6" s="12" t="inlineStr">
        <is>
          <t>Tata Steel Service</t>
        </is>
      </c>
      <c r="C6" s="13">
        <f>COUNTIFS(PO_Facts!$C$2:$C$4801,A6)</f>
        <v/>
      </c>
      <c r="D6" s="19">
        <f>SUMIFS(PO_Facts!$N$2:$N$4801,PO_Facts!$C$2:$C$4801,A6)/SUMIFS(PO_Facts!$F$2:$F$4801,PO_Facts!$C$2:$C$4801,A6)*100</f>
        <v/>
      </c>
      <c r="E6" s="5">
        <f>COUNTIFS(PO_Facts!$C$2:$C$4801,A6,PO_Facts!$O$2:$O$4801,"&gt;0")/C6*100</f>
        <v/>
      </c>
      <c r="F6" s="19">
        <f>AVERAGEIFS(PO_Facts!$O$2:$O$4801,PO_Facts!$C$2:$C$4801,A6)</f>
        <v/>
      </c>
      <c r="G6" s="19">
        <f>SUMIFS(PO_Facts!$L$2:$L$4801,PO_Facts!$C$2:$C$4801,A6)/R6*100</f>
        <v/>
      </c>
      <c r="H6" s="19">
        <f>(COUNTIFS(Returns_Confirmed!$G$2:$G$241,A6)+SUMIFS(Returns_Inferred!$C$2:$C$4761,Returns_Inferred!$B$2:$B$4761,A6))/R6*1000</f>
        <v/>
      </c>
      <c r="I6" s="20" t="n">
        <v>1.54</v>
      </c>
      <c r="J6" s="21">
        <f>100*(1-MIN(1,MAX(0,(D6-MEDIAN($D$4:$D$37))/(MAX($D$4:$D$37)-MEDIAN($D$4:$D$37)))))</f>
        <v/>
      </c>
      <c r="K6" s="21">
        <f>100*(1-MIN(1,MAX(0,(F6-MEDIAN($F$4:$F$37))/(MAX($F$4:$F$37)-MEDIAN($F$4:$F$37)))))</f>
        <v/>
      </c>
      <c r="L6" s="21">
        <f>100*(1-MIN(1,MAX(0,(G6-MEDIAN($G$4:$G$37))/(MAX($G$4:$G$37)-MEDIAN($G$4:$G$37)))))</f>
        <v/>
      </c>
      <c r="M6" s="21">
        <f>100*(1-MIN(1,MAX(0,(H6-MEDIAN($H$4:$H$37))/(MAX($H$4:$H$37)-MEDIAN($H$4:$H$37)))))</f>
        <v/>
      </c>
      <c r="N6" s="5">
        <f>100*(1-MIN(1,MAX(I6,0)/Assumptions!$B$13))</f>
        <v/>
      </c>
      <c r="O6" s="22">
        <f>J6*Assumptions!$B$7+K6*Assumptions!$B$8+L6*Assumptions!$B$9+M6*Assumptions!$B$10+N6*Assumptions!$B$11</f>
        <v/>
      </c>
      <c r="P6" s="23">
        <f>IF(O6&lt;Assumptions!$B$14,"POOR",IF(O6&lt;Assumptions!$C$14,"WATCH","ACCEPTABLE"))</f>
        <v/>
      </c>
      <c r="Q6" s="16">
        <f>RANK(O6,$O$4:$O$37,1)</f>
        <v/>
      </c>
      <c r="R6" s="24">
        <f>SUMIFS(PO_Facts!$J$2:$J$4801,PO_Facts!$C$2:$C$4801,A6)</f>
        <v/>
      </c>
    </row>
    <row r="7">
      <c r="A7" s="4" t="inlineStr">
        <is>
          <t>VS04</t>
        </is>
      </c>
      <c r="B7" s="12" t="inlineStr">
        <is>
          <t>Shyam Metalics</t>
        </is>
      </c>
      <c r="C7" s="13">
        <f>COUNTIFS(PO_Facts!$C$2:$C$4801,A7)</f>
        <v/>
      </c>
      <c r="D7" s="19">
        <f>SUMIFS(PO_Facts!$N$2:$N$4801,PO_Facts!$C$2:$C$4801,A7)/SUMIFS(PO_Facts!$F$2:$F$4801,PO_Facts!$C$2:$C$4801,A7)*100</f>
        <v/>
      </c>
      <c r="E7" s="5">
        <f>COUNTIFS(PO_Facts!$C$2:$C$4801,A7,PO_Facts!$O$2:$O$4801,"&gt;0")/C7*100</f>
        <v/>
      </c>
      <c r="F7" s="19">
        <f>AVERAGEIFS(PO_Facts!$O$2:$O$4801,PO_Facts!$C$2:$C$4801,A7)</f>
        <v/>
      </c>
      <c r="G7" s="19">
        <f>SUMIFS(PO_Facts!$L$2:$L$4801,PO_Facts!$C$2:$C$4801,A7)/R7*100</f>
        <v/>
      </c>
      <c r="H7" s="19">
        <f>(COUNTIFS(Returns_Confirmed!$G$2:$G$241,A7)+SUMIFS(Returns_Inferred!$C$2:$C$4761,Returns_Inferred!$B$2:$B$4761,A7))/R7*1000</f>
        <v/>
      </c>
      <c r="I7" s="20" t="n">
        <v>-1.62</v>
      </c>
      <c r="J7" s="21">
        <f>100*(1-MIN(1,MAX(0,(D7-MEDIAN($D$4:$D$37))/(MAX($D$4:$D$37)-MEDIAN($D$4:$D$37)))))</f>
        <v/>
      </c>
      <c r="K7" s="21">
        <f>100*(1-MIN(1,MAX(0,(F7-MEDIAN($F$4:$F$37))/(MAX($F$4:$F$37)-MEDIAN($F$4:$F$37)))))</f>
        <v/>
      </c>
      <c r="L7" s="21">
        <f>100*(1-MIN(1,MAX(0,(G7-MEDIAN($G$4:$G$37))/(MAX($G$4:$G$37)-MEDIAN($G$4:$G$37)))))</f>
        <v/>
      </c>
      <c r="M7" s="21">
        <f>100*(1-MIN(1,MAX(0,(H7-MEDIAN($H$4:$H$37))/(MAX($H$4:$H$37)-MEDIAN($H$4:$H$37)))))</f>
        <v/>
      </c>
      <c r="N7" s="5">
        <f>100*(1-MIN(1,MAX(I7,0)/Assumptions!$B$13))</f>
        <v/>
      </c>
      <c r="O7" s="22">
        <f>J7*Assumptions!$B$7+K7*Assumptions!$B$8+L7*Assumptions!$B$9+M7*Assumptions!$B$10+N7*Assumptions!$B$11</f>
        <v/>
      </c>
      <c r="P7" s="23">
        <f>IF(O7&lt;Assumptions!$B$14,"POOR",IF(O7&lt;Assumptions!$C$14,"WATCH","ACCEPTABLE"))</f>
        <v/>
      </c>
      <c r="Q7" s="16">
        <f>RANK(O7,$O$4:$O$37,1)</f>
        <v/>
      </c>
      <c r="R7" s="24">
        <f>SUMIFS(PO_Facts!$J$2:$J$4801,PO_Facts!$C$2:$C$4801,A7)</f>
        <v/>
      </c>
    </row>
    <row r="8">
      <c r="A8" s="4" t="inlineStr">
        <is>
          <t>VS05</t>
        </is>
      </c>
      <c r="B8" s="12" t="inlineStr">
        <is>
          <t>Bhushan Steel</t>
        </is>
      </c>
      <c r="C8" s="13">
        <f>COUNTIFS(PO_Facts!$C$2:$C$4801,A8)</f>
        <v/>
      </c>
      <c r="D8" s="19">
        <f>SUMIFS(PO_Facts!$N$2:$N$4801,PO_Facts!$C$2:$C$4801,A8)/SUMIFS(PO_Facts!$F$2:$F$4801,PO_Facts!$C$2:$C$4801,A8)*100</f>
        <v/>
      </c>
      <c r="E8" s="5">
        <f>COUNTIFS(PO_Facts!$C$2:$C$4801,A8,PO_Facts!$O$2:$O$4801,"&gt;0")/C8*100</f>
        <v/>
      </c>
      <c r="F8" s="19">
        <f>AVERAGEIFS(PO_Facts!$O$2:$O$4801,PO_Facts!$C$2:$C$4801,A8)</f>
        <v/>
      </c>
      <c r="G8" s="19">
        <f>SUMIFS(PO_Facts!$L$2:$L$4801,PO_Facts!$C$2:$C$4801,A8)/R8*100</f>
        <v/>
      </c>
      <c r="H8" s="19">
        <f>(COUNTIFS(Returns_Confirmed!$G$2:$G$241,A8)+SUMIFS(Returns_Inferred!$C$2:$C$4761,Returns_Inferred!$B$2:$B$4761,A8))/R8*1000</f>
        <v/>
      </c>
      <c r="I8" s="20" t="n">
        <v>-1.44</v>
      </c>
      <c r="J8" s="21">
        <f>100*(1-MIN(1,MAX(0,(D8-MEDIAN($D$4:$D$37))/(MAX($D$4:$D$37)-MEDIAN($D$4:$D$37)))))</f>
        <v/>
      </c>
      <c r="K8" s="21">
        <f>100*(1-MIN(1,MAX(0,(F8-MEDIAN($F$4:$F$37))/(MAX($F$4:$F$37)-MEDIAN($F$4:$F$37)))))</f>
        <v/>
      </c>
      <c r="L8" s="21">
        <f>100*(1-MIN(1,MAX(0,(G8-MEDIAN($G$4:$G$37))/(MAX($G$4:$G$37)-MEDIAN($G$4:$G$37)))))</f>
        <v/>
      </c>
      <c r="M8" s="21">
        <f>100*(1-MIN(1,MAX(0,(H8-MEDIAN($H$4:$H$37))/(MAX($H$4:$H$37)-MEDIAN($H$4:$H$37)))))</f>
        <v/>
      </c>
      <c r="N8" s="5">
        <f>100*(1-MIN(1,MAX(I8,0)/Assumptions!$B$13))</f>
        <v/>
      </c>
      <c r="O8" s="22">
        <f>J8*Assumptions!$B$7+K8*Assumptions!$B$8+L8*Assumptions!$B$9+M8*Assumptions!$B$10+N8*Assumptions!$B$11</f>
        <v/>
      </c>
      <c r="P8" s="23">
        <f>IF(O8&lt;Assumptions!$B$14,"POOR",IF(O8&lt;Assumptions!$C$14,"WATCH","ACCEPTABLE"))</f>
        <v/>
      </c>
      <c r="Q8" s="16">
        <f>RANK(O8,$O$4:$O$37,1)</f>
        <v/>
      </c>
      <c r="R8" s="24">
        <f>SUMIFS(PO_Facts!$J$2:$J$4801,PO_Facts!$C$2:$C$4801,A8)</f>
        <v/>
      </c>
    </row>
    <row r="9">
      <c r="A9" s="4" t="inlineStr">
        <is>
          <t>VS06</t>
        </is>
      </c>
      <c r="B9" s="12" t="inlineStr">
        <is>
          <t>APL Apollo Tubes</t>
        </is>
      </c>
      <c r="C9" s="13">
        <f>COUNTIFS(PO_Facts!$C$2:$C$4801,A9)</f>
        <v/>
      </c>
      <c r="D9" s="19">
        <f>SUMIFS(PO_Facts!$N$2:$N$4801,PO_Facts!$C$2:$C$4801,A9)/SUMIFS(PO_Facts!$F$2:$F$4801,PO_Facts!$C$2:$C$4801,A9)*100</f>
        <v/>
      </c>
      <c r="E9" s="5">
        <f>COUNTIFS(PO_Facts!$C$2:$C$4801,A9,PO_Facts!$O$2:$O$4801,"&gt;0")/C9*100</f>
        <v/>
      </c>
      <c r="F9" s="19">
        <f>AVERAGEIFS(PO_Facts!$O$2:$O$4801,PO_Facts!$C$2:$C$4801,A9)</f>
        <v/>
      </c>
      <c r="G9" s="19">
        <f>SUMIFS(PO_Facts!$L$2:$L$4801,PO_Facts!$C$2:$C$4801,A9)/R9*100</f>
        <v/>
      </c>
      <c r="H9" s="19">
        <f>(COUNTIFS(Returns_Confirmed!$G$2:$G$241,A9)+SUMIFS(Returns_Inferred!$C$2:$C$4761,Returns_Inferred!$B$2:$B$4761,A9))/R9*1000</f>
        <v/>
      </c>
      <c r="I9" s="20" t="n">
        <v>0.92</v>
      </c>
      <c r="J9" s="21">
        <f>100*(1-MIN(1,MAX(0,(D9-MEDIAN($D$4:$D$37))/(MAX($D$4:$D$37)-MEDIAN($D$4:$D$37)))))</f>
        <v/>
      </c>
      <c r="K9" s="21">
        <f>100*(1-MIN(1,MAX(0,(F9-MEDIAN($F$4:$F$37))/(MAX($F$4:$F$37)-MEDIAN($F$4:$F$37)))))</f>
        <v/>
      </c>
      <c r="L9" s="21">
        <f>100*(1-MIN(1,MAX(0,(G9-MEDIAN($G$4:$G$37))/(MAX($G$4:$G$37)-MEDIAN($G$4:$G$37)))))</f>
        <v/>
      </c>
      <c r="M9" s="21">
        <f>100*(1-MIN(1,MAX(0,(H9-MEDIAN($H$4:$H$37))/(MAX($H$4:$H$37)-MEDIAN($H$4:$H$37)))))</f>
        <v/>
      </c>
      <c r="N9" s="5">
        <f>100*(1-MIN(1,MAX(I9,0)/Assumptions!$B$13))</f>
        <v/>
      </c>
      <c r="O9" s="22">
        <f>J9*Assumptions!$B$7+K9*Assumptions!$B$8+L9*Assumptions!$B$9+M9*Assumptions!$B$10+N9*Assumptions!$B$11</f>
        <v/>
      </c>
      <c r="P9" s="23">
        <f>IF(O9&lt;Assumptions!$B$14,"POOR",IF(O9&lt;Assumptions!$C$14,"WATCH","ACCEPTABLE"))</f>
        <v/>
      </c>
      <c r="Q9" s="16">
        <f>RANK(O9,$O$4:$O$37,1)</f>
        <v/>
      </c>
      <c r="R9" s="24">
        <f>SUMIFS(PO_Facts!$J$2:$J$4801,PO_Facts!$C$2:$C$4801,A9)</f>
        <v/>
      </c>
    </row>
    <row r="10">
      <c r="A10" s="4" t="inlineStr">
        <is>
          <t>VS07</t>
        </is>
      </c>
      <c r="B10" s="12" t="inlineStr">
        <is>
          <t>Prakash Industries</t>
        </is>
      </c>
      <c r="C10" s="13">
        <f>COUNTIFS(PO_Facts!$C$2:$C$4801,A10)</f>
        <v/>
      </c>
      <c r="D10" s="19">
        <f>SUMIFS(PO_Facts!$N$2:$N$4801,PO_Facts!$C$2:$C$4801,A10)/SUMIFS(PO_Facts!$F$2:$F$4801,PO_Facts!$C$2:$C$4801,A10)*100</f>
        <v/>
      </c>
      <c r="E10" s="5">
        <f>COUNTIFS(PO_Facts!$C$2:$C$4801,A10,PO_Facts!$O$2:$O$4801,"&gt;0")/C10*100</f>
        <v/>
      </c>
      <c r="F10" s="19">
        <f>AVERAGEIFS(PO_Facts!$O$2:$O$4801,PO_Facts!$C$2:$C$4801,A10)</f>
        <v/>
      </c>
      <c r="G10" s="19">
        <f>SUMIFS(PO_Facts!$L$2:$L$4801,PO_Facts!$C$2:$C$4801,A10)/R10*100</f>
        <v/>
      </c>
      <c r="H10" s="19">
        <f>(COUNTIFS(Returns_Confirmed!$G$2:$G$241,A10)+SUMIFS(Returns_Inferred!$C$2:$C$4761,Returns_Inferred!$B$2:$B$4761,A10))/R10*1000</f>
        <v/>
      </c>
      <c r="I10" s="20" t="n">
        <v>-1.31</v>
      </c>
      <c r="J10" s="21">
        <f>100*(1-MIN(1,MAX(0,(D10-MEDIAN($D$4:$D$37))/(MAX($D$4:$D$37)-MEDIAN($D$4:$D$37)))))</f>
        <v/>
      </c>
      <c r="K10" s="21">
        <f>100*(1-MIN(1,MAX(0,(F10-MEDIAN($F$4:$F$37))/(MAX($F$4:$F$37)-MEDIAN($F$4:$F$37)))))</f>
        <v/>
      </c>
      <c r="L10" s="21">
        <f>100*(1-MIN(1,MAX(0,(G10-MEDIAN($G$4:$G$37))/(MAX($G$4:$G$37)-MEDIAN($G$4:$G$37)))))</f>
        <v/>
      </c>
      <c r="M10" s="21">
        <f>100*(1-MIN(1,MAX(0,(H10-MEDIAN($H$4:$H$37))/(MAX($H$4:$H$37)-MEDIAN($H$4:$H$37)))))</f>
        <v/>
      </c>
      <c r="N10" s="5">
        <f>100*(1-MIN(1,MAX(I10,0)/Assumptions!$B$13))</f>
        <v/>
      </c>
      <c r="O10" s="22">
        <f>J10*Assumptions!$B$7+K10*Assumptions!$B$8+L10*Assumptions!$B$9+M10*Assumptions!$B$10+N10*Assumptions!$B$11</f>
        <v/>
      </c>
      <c r="P10" s="23">
        <f>IF(O10&lt;Assumptions!$B$14,"POOR",IF(O10&lt;Assumptions!$C$14,"WATCH","ACCEPTABLE"))</f>
        <v/>
      </c>
      <c r="Q10" s="16">
        <f>RANK(O10,$O$4:$O$37,1)</f>
        <v/>
      </c>
      <c r="R10" s="24">
        <f>SUMIFS(PO_Facts!$J$2:$J$4801,PO_Facts!$C$2:$C$4801,A10)</f>
        <v/>
      </c>
    </row>
    <row r="11">
      <c r="A11" s="4" t="inlineStr">
        <is>
          <t>VS08</t>
        </is>
      </c>
      <c r="B11" s="12" t="inlineStr">
        <is>
          <t>Ratnamani Metals</t>
        </is>
      </c>
      <c r="C11" s="13">
        <f>COUNTIFS(PO_Facts!$C$2:$C$4801,A11)</f>
        <v/>
      </c>
      <c r="D11" s="19">
        <f>SUMIFS(PO_Facts!$N$2:$N$4801,PO_Facts!$C$2:$C$4801,A11)/SUMIFS(PO_Facts!$F$2:$F$4801,PO_Facts!$C$2:$C$4801,A11)*100</f>
        <v/>
      </c>
      <c r="E11" s="5">
        <f>COUNTIFS(PO_Facts!$C$2:$C$4801,A11,PO_Facts!$O$2:$O$4801,"&gt;0")/C11*100</f>
        <v/>
      </c>
      <c r="F11" s="19">
        <f>AVERAGEIFS(PO_Facts!$O$2:$O$4801,PO_Facts!$C$2:$C$4801,A11)</f>
        <v/>
      </c>
      <c r="G11" s="19">
        <f>SUMIFS(PO_Facts!$L$2:$L$4801,PO_Facts!$C$2:$C$4801,A11)/R11*100</f>
        <v/>
      </c>
      <c r="H11" s="19">
        <f>(COUNTIFS(Returns_Confirmed!$G$2:$G$241,A11)+SUMIFS(Returns_Inferred!$C$2:$C$4761,Returns_Inferred!$B$2:$B$4761,A11))/R11*1000</f>
        <v/>
      </c>
      <c r="I11" s="20" t="n">
        <v>-0.45</v>
      </c>
      <c r="J11" s="21">
        <f>100*(1-MIN(1,MAX(0,(D11-MEDIAN($D$4:$D$37))/(MAX($D$4:$D$37)-MEDIAN($D$4:$D$37)))))</f>
        <v/>
      </c>
      <c r="K11" s="21">
        <f>100*(1-MIN(1,MAX(0,(F11-MEDIAN($F$4:$F$37))/(MAX($F$4:$F$37)-MEDIAN($F$4:$F$37)))))</f>
        <v/>
      </c>
      <c r="L11" s="21">
        <f>100*(1-MIN(1,MAX(0,(G11-MEDIAN($G$4:$G$37))/(MAX($G$4:$G$37)-MEDIAN($G$4:$G$37)))))</f>
        <v/>
      </c>
      <c r="M11" s="21">
        <f>100*(1-MIN(1,MAX(0,(H11-MEDIAN($H$4:$H$37))/(MAX($H$4:$H$37)-MEDIAN($H$4:$H$37)))))</f>
        <v/>
      </c>
      <c r="N11" s="5">
        <f>100*(1-MIN(1,MAX(I11,0)/Assumptions!$B$13))</f>
        <v/>
      </c>
      <c r="O11" s="22">
        <f>J11*Assumptions!$B$7+K11*Assumptions!$B$8+L11*Assumptions!$B$9+M11*Assumptions!$B$10+N11*Assumptions!$B$11</f>
        <v/>
      </c>
      <c r="P11" s="23">
        <f>IF(O11&lt;Assumptions!$B$14,"POOR",IF(O11&lt;Assumptions!$C$14,"WATCH","ACCEPTABLE"))</f>
        <v/>
      </c>
      <c r="Q11" s="16">
        <f>RANK(O11,$O$4:$O$37,1)</f>
        <v/>
      </c>
      <c r="R11" s="24">
        <f>SUMIFS(PO_Facts!$J$2:$J$4801,PO_Facts!$C$2:$C$4801,A11)</f>
        <v/>
      </c>
    </row>
    <row r="12">
      <c r="A12" s="4" t="inlineStr">
        <is>
          <t>VS09</t>
        </is>
      </c>
      <c r="B12" s="12" t="inlineStr">
        <is>
          <t>MSP Steel</t>
        </is>
      </c>
      <c r="C12" s="13">
        <f>COUNTIFS(PO_Facts!$C$2:$C$4801,A12)</f>
        <v/>
      </c>
      <c r="D12" s="19">
        <f>SUMIFS(PO_Facts!$N$2:$N$4801,PO_Facts!$C$2:$C$4801,A12)/SUMIFS(PO_Facts!$F$2:$F$4801,PO_Facts!$C$2:$C$4801,A12)*100</f>
        <v/>
      </c>
      <c r="E12" s="5">
        <f>COUNTIFS(PO_Facts!$C$2:$C$4801,A12,PO_Facts!$O$2:$O$4801,"&gt;0")/C12*100</f>
        <v/>
      </c>
      <c r="F12" s="19">
        <f>AVERAGEIFS(PO_Facts!$O$2:$O$4801,PO_Facts!$C$2:$C$4801,A12)</f>
        <v/>
      </c>
      <c r="G12" s="19">
        <f>SUMIFS(PO_Facts!$L$2:$L$4801,PO_Facts!$C$2:$C$4801,A12)/R12*100</f>
        <v/>
      </c>
      <c r="H12" s="19">
        <f>(COUNTIFS(Returns_Confirmed!$G$2:$G$241,A12)+SUMIFS(Returns_Inferred!$C$2:$C$4761,Returns_Inferred!$B$2:$B$4761,A12))/R12*1000</f>
        <v/>
      </c>
      <c r="I12" s="20" t="n">
        <v>1.22</v>
      </c>
      <c r="J12" s="21">
        <f>100*(1-MIN(1,MAX(0,(D12-MEDIAN($D$4:$D$37))/(MAX($D$4:$D$37)-MEDIAN($D$4:$D$37)))))</f>
        <v/>
      </c>
      <c r="K12" s="21">
        <f>100*(1-MIN(1,MAX(0,(F12-MEDIAN($F$4:$F$37))/(MAX($F$4:$F$37)-MEDIAN($F$4:$F$37)))))</f>
        <v/>
      </c>
      <c r="L12" s="21">
        <f>100*(1-MIN(1,MAX(0,(G12-MEDIAN($G$4:$G$37))/(MAX($G$4:$G$37)-MEDIAN($G$4:$G$37)))))</f>
        <v/>
      </c>
      <c r="M12" s="21">
        <f>100*(1-MIN(1,MAX(0,(H12-MEDIAN($H$4:$H$37))/(MAX($H$4:$H$37)-MEDIAN($H$4:$H$37)))))</f>
        <v/>
      </c>
      <c r="N12" s="5">
        <f>100*(1-MIN(1,MAX(I12,0)/Assumptions!$B$13))</f>
        <v/>
      </c>
      <c r="O12" s="22">
        <f>J12*Assumptions!$B$7+K12*Assumptions!$B$8+L12*Assumptions!$B$9+M12*Assumptions!$B$10+N12*Assumptions!$B$11</f>
        <v/>
      </c>
      <c r="P12" s="23">
        <f>IF(O12&lt;Assumptions!$B$14,"POOR",IF(O12&lt;Assumptions!$C$14,"WATCH","ACCEPTABLE"))</f>
        <v/>
      </c>
      <c r="Q12" s="16">
        <f>RANK(O12,$O$4:$O$37,1)</f>
        <v/>
      </c>
      <c r="R12" s="24">
        <f>SUMIFS(PO_Facts!$J$2:$J$4801,PO_Facts!$C$2:$C$4801,A12)</f>
        <v/>
      </c>
    </row>
    <row r="13">
      <c r="A13" s="4" t="inlineStr">
        <is>
          <t>VS10</t>
        </is>
      </c>
      <c r="B13" s="12" t="inlineStr">
        <is>
          <t>Gallantt Metal</t>
        </is>
      </c>
      <c r="C13" s="13">
        <f>COUNTIFS(PO_Facts!$C$2:$C$4801,A13)</f>
        <v/>
      </c>
      <c r="D13" s="19">
        <f>SUMIFS(PO_Facts!$N$2:$N$4801,PO_Facts!$C$2:$C$4801,A13)/SUMIFS(PO_Facts!$F$2:$F$4801,PO_Facts!$C$2:$C$4801,A13)*100</f>
        <v/>
      </c>
      <c r="E13" s="5">
        <f>COUNTIFS(PO_Facts!$C$2:$C$4801,A13,PO_Facts!$O$2:$O$4801,"&gt;0")/C13*100</f>
        <v/>
      </c>
      <c r="F13" s="19">
        <f>AVERAGEIFS(PO_Facts!$O$2:$O$4801,PO_Facts!$C$2:$C$4801,A13)</f>
        <v/>
      </c>
      <c r="G13" s="19">
        <f>SUMIFS(PO_Facts!$L$2:$L$4801,PO_Facts!$C$2:$C$4801,A13)/R13*100</f>
        <v/>
      </c>
      <c r="H13" s="19">
        <f>(COUNTIFS(Returns_Confirmed!$G$2:$G$241,A13)+SUMIFS(Returns_Inferred!$C$2:$C$4761,Returns_Inferred!$B$2:$B$4761,A13))/R13*1000</f>
        <v/>
      </c>
      <c r="I13" s="20" t="n">
        <v>0.43</v>
      </c>
      <c r="J13" s="21">
        <f>100*(1-MIN(1,MAX(0,(D13-MEDIAN($D$4:$D$37))/(MAX($D$4:$D$37)-MEDIAN($D$4:$D$37)))))</f>
        <v/>
      </c>
      <c r="K13" s="21">
        <f>100*(1-MIN(1,MAX(0,(F13-MEDIAN($F$4:$F$37))/(MAX($F$4:$F$37)-MEDIAN($F$4:$F$37)))))</f>
        <v/>
      </c>
      <c r="L13" s="21">
        <f>100*(1-MIN(1,MAX(0,(G13-MEDIAN($G$4:$G$37))/(MAX($G$4:$G$37)-MEDIAN($G$4:$G$37)))))</f>
        <v/>
      </c>
      <c r="M13" s="21">
        <f>100*(1-MIN(1,MAX(0,(H13-MEDIAN($H$4:$H$37))/(MAX($H$4:$H$37)-MEDIAN($H$4:$H$37)))))</f>
        <v/>
      </c>
      <c r="N13" s="5">
        <f>100*(1-MIN(1,MAX(I13,0)/Assumptions!$B$13))</f>
        <v/>
      </c>
      <c r="O13" s="22">
        <f>J13*Assumptions!$B$7+K13*Assumptions!$B$8+L13*Assumptions!$B$9+M13*Assumptions!$B$10+N13*Assumptions!$B$11</f>
        <v/>
      </c>
      <c r="P13" s="23">
        <f>IF(O13&lt;Assumptions!$B$14,"POOR",IF(O13&lt;Assumptions!$C$14,"WATCH","ACCEPTABLE"))</f>
        <v/>
      </c>
      <c r="Q13" s="16">
        <f>RANK(O13,$O$4:$O$37,1)</f>
        <v/>
      </c>
      <c r="R13" s="24">
        <f>SUMIFS(PO_Facts!$J$2:$J$4801,PO_Facts!$C$2:$C$4801,A13)</f>
        <v/>
      </c>
    </row>
    <row r="14">
      <c r="A14" s="4" t="inlineStr">
        <is>
          <t>VS11</t>
        </is>
      </c>
      <c r="B14" s="12" t="inlineStr">
        <is>
          <t>Sai Steel</t>
        </is>
      </c>
      <c r="C14" s="13">
        <f>COUNTIFS(PO_Facts!$C$2:$C$4801,A14)</f>
        <v/>
      </c>
      <c r="D14" s="19">
        <f>SUMIFS(PO_Facts!$N$2:$N$4801,PO_Facts!$C$2:$C$4801,A14)/SUMIFS(PO_Facts!$F$2:$F$4801,PO_Facts!$C$2:$C$4801,A14)*100</f>
        <v/>
      </c>
      <c r="E14" s="5">
        <f>COUNTIFS(PO_Facts!$C$2:$C$4801,A14,PO_Facts!$O$2:$O$4801,"&gt;0")/C14*100</f>
        <v/>
      </c>
      <c r="F14" s="19">
        <f>AVERAGEIFS(PO_Facts!$O$2:$O$4801,PO_Facts!$C$2:$C$4801,A14)</f>
        <v/>
      </c>
      <c r="G14" s="19">
        <f>SUMIFS(PO_Facts!$L$2:$L$4801,PO_Facts!$C$2:$C$4801,A14)/R14*100</f>
        <v/>
      </c>
      <c r="H14" s="19">
        <f>(COUNTIFS(Returns_Confirmed!$G$2:$G$241,A14)+SUMIFS(Returns_Inferred!$C$2:$C$4761,Returns_Inferred!$B$2:$B$4761,A14))/R14*1000</f>
        <v/>
      </c>
      <c r="I14" s="20" t="n">
        <v>0.48</v>
      </c>
      <c r="J14" s="21">
        <f>100*(1-MIN(1,MAX(0,(D14-MEDIAN($D$4:$D$37))/(MAX($D$4:$D$37)-MEDIAN($D$4:$D$37)))))</f>
        <v/>
      </c>
      <c r="K14" s="21">
        <f>100*(1-MIN(1,MAX(0,(F14-MEDIAN($F$4:$F$37))/(MAX($F$4:$F$37)-MEDIAN($F$4:$F$37)))))</f>
        <v/>
      </c>
      <c r="L14" s="21">
        <f>100*(1-MIN(1,MAX(0,(G14-MEDIAN($G$4:$G$37))/(MAX($G$4:$G$37)-MEDIAN($G$4:$G$37)))))</f>
        <v/>
      </c>
      <c r="M14" s="21">
        <f>100*(1-MIN(1,MAX(0,(H14-MEDIAN($H$4:$H$37))/(MAX($H$4:$H$37)-MEDIAN($H$4:$H$37)))))</f>
        <v/>
      </c>
      <c r="N14" s="5">
        <f>100*(1-MIN(1,MAX(I14,0)/Assumptions!$B$13))</f>
        <v/>
      </c>
      <c r="O14" s="22">
        <f>J14*Assumptions!$B$7+K14*Assumptions!$B$8+L14*Assumptions!$B$9+M14*Assumptions!$B$10+N14*Assumptions!$B$11</f>
        <v/>
      </c>
      <c r="P14" s="23">
        <f>IF(O14&lt;Assumptions!$B$14,"POOR",IF(O14&lt;Assumptions!$C$14,"WATCH","ACCEPTABLE"))</f>
        <v/>
      </c>
      <c r="Q14" s="16">
        <f>RANK(O14,$O$4:$O$37,1)</f>
        <v/>
      </c>
      <c r="R14" s="24">
        <f>SUMIFS(PO_Facts!$J$2:$J$4801,PO_Facts!$C$2:$C$4801,A14)</f>
        <v/>
      </c>
    </row>
    <row r="15">
      <c r="A15" s="4" t="inlineStr">
        <is>
          <t>VS12</t>
        </is>
      </c>
      <c r="B15" s="12" t="inlineStr">
        <is>
          <t>Nutan Tubes</t>
        </is>
      </c>
      <c r="C15" s="13">
        <f>COUNTIFS(PO_Facts!$C$2:$C$4801,A15)</f>
        <v/>
      </c>
      <c r="D15" s="19">
        <f>SUMIFS(PO_Facts!$N$2:$N$4801,PO_Facts!$C$2:$C$4801,A15)/SUMIFS(PO_Facts!$F$2:$F$4801,PO_Facts!$C$2:$C$4801,A15)*100</f>
        <v/>
      </c>
      <c r="E15" s="5">
        <f>COUNTIFS(PO_Facts!$C$2:$C$4801,A15,PO_Facts!$O$2:$O$4801,"&gt;0")/C15*100</f>
        <v/>
      </c>
      <c r="F15" s="19">
        <f>AVERAGEIFS(PO_Facts!$O$2:$O$4801,PO_Facts!$C$2:$C$4801,A15)</f>
        <v/>
      </c>
      <c r="G15" s="19">
        <f>SUMIFS(PO_Facts!$L$2:$L$4801,PO_Facts!$C$2:$C$4801,A15)/R15*100</f>
        <v/>
      </c>
      <c r="H15" s="19">
        <f>(COUNTIFS(Returns_Confirmed!$G$2:$G$241,A15)+SUMIFS(Returns_Inferred!$C$2:$C$4761,Returns_Inferred!$B$2:$B$4761,A15))/R15*1000</f>
        <v/>
      </c>
      <c r="I15" s="20" t="n">
        <v>0.43</v>
      </c>
      <c r="J15" s="21">
        <f>100*(1-MIN(1,MAX(0,(D15-MEDIAN($D$4:$D$37))/(MAX($D$4:$D$37)-MEDIAN($D$4:$D$37)))))</f>
        <v/>
      </c>
      <c r="K15" s="21">
        <f>100*(1-MIN(1,MAX(0,(F15-MEDIAN($F$4:$F$37))/(MAX($F$4:$F$37)-MEDIAN($F$4:$F$37)))))</f>
        <v/>
      </c>
      <c r="L15" s="21">
        <f>100*(1-MIN(1,MAX(0,(G15-MEDIAN($G$4:$G$37))/(MAX($G$4:$G$37)-MEDIAN($G$4:$G$37)))))</f>
        <v/>
      </c>
      <c r="M15" s="21">
        <f>100*(1-MIN(1,MAX(0,(H15-MEDIAN($H$4:$H$37))/(MAX($H$4:$H$37)-MEDIAN($H$4:$H$37)))))</f>
        <v/>
      </c>
      <c r="N15" s="5">
        <f>100*(1-MIN(1,MAX(I15,0)/Assumptions!$B$13))</f>
        <v/>
      </c>
      <c r="O15" s="22">
        <f>J15*Assumptions!$B$7+K15*Assumptions!$B$8+L15*Assumptions!$B$9+M15*Assumptions!$B$10+N15*Assumptions!$B$11</f>
        <v/>
      </c>
      <c r="P15" s="23">
        <f>IF(O15&lt;Assumptions!$B$14,"POOR",IF(O15&lt;Assumptions!$C$14,"WATCH","ACCEPTABLE"))</f>
        <v/>
      </c>
      <c r="Q15" s="16">
        <f>RANK(O15,$O$4:$O$37,1)</f>
        <v/>
      </c>
      <c r="R15" s="24">
        <f>SUMIFS(PO_Facts!$J$2:$J$4801,PO_Facts!$C$2:$C$4801,A15)</f>
        <v/>
      </c>
    </row>
    <row r="16">
      <c r="A16" s="4" t="inlineStr">
        <is>
          <t>VS13</t>
        </is>
      </c>
      <c r="B16" s="12" t="inlineStr">
        <is>
          <t>Radhe Alloys</t>
        </is>
      </c>
      <c r="C16" s="13">
        <f>COUNTIFS(PO_Facts!$C$2:$C$4801,A16)</f>
        <v/>
      </c>
      <c r="D16" s="19">
        <f>SUMIFS(PO_Facts!$N$2:$N$4801,PO_Facts!$C$2:$C$4801,A16)/SUMIFS(PO_Facts!$F$2:$F$4801,PO_Facts!$C$2:$C$4801,A16)*100</f>
        <v/>
      </c>
      <c r="E16" s="5">
        <f>COUNTIFS(PO_Facts!$C$2:$C$4801,A16,PO_Facts!$O$2:$O$4801,"&gt;0")/C16*100</f>
        <v/>
      </c>
      <c r="F16" s="19">
        <f>AVERAGEIFS(PO_Facts!$O$2:$O$4801,PO_Facts!$C$2:$C$4801,A16)</f>
        <v/>
      </c>
      <c r="G16" s="19">
        <f>SUMIFS(PO_Facts!$L$2:$L$4801,PO_Facts!$C$2:$C$4801,A16)/R16*100</f>
        <v/>
      </c>
      <c r="H16" s="19">
        <f>(COUNTIFS(Returns_Confirmed!$G$2:$G$241,A16)+SUMIFS(Returns_Inferred!$C$2:$C$4761,Returns_Inferred!$B$2:$B$4761,A16))/R16*1000</f>
        <v/>
      </c>
      <c r="I16" s="20" t="n">
        <v>0.3</v>
      </c>
      <c r="J16" s="21">
        <f>100*(1-MIN(1,MAX(0,(D16-MEDIAN($D$4:$D$37))/(MAX($D$4:$D$37)-MEDIAN($D$4:$D$37)))))</f>
        <v/>
      </c>
      <c r="K16" s="21">
        <f>100*(1-MIN(1,MAX(0,(F16-MEDIAN($F$4:$F$37))/(MAX($F$4:$F$37)-MEDIAN($F$4:$F$37)))))</f>
        <v/>
      </c>
      <c r="L16" s="21">
        <f>100*(1-MIN(1,MAX(0,(G16-MEDIAN($G$4:$G$37))/(MAX($G$4:$G$37)-MEDIAN($G$4:$G$37)))))</f>
        <v/>
      </c>
      <c r="M16" s="21">
        <f>100*(1-MIN(1,MAX(0,(H16-MEDIAN($H$4:$H$37))/(MAX($H$4:$H$37)-MEDIAN($H$4:$H$37)))))</f>
        <v/>
      </c>
      <c r="N16" s="5">
        <f>100*(1-MIN(1,MAX(I16,0)/Assumptions!$B$13))</f>
        <v/>
      </c>
      <c r="O16" s="22">
        <f>J16*Assumptions!$B$7+K16*Assumptions!$B$8+L16*Assumptions!$B$9+M16*Assumptions!$B$10+N16*Assumptions!$B$11</f>
        <v/>
      </c>
      <c r="P16" s="23">
        <f>IF(O16&lt;Assumptions!$B$14,"POOR",IF(O16&lt;Assumptions!$C$14,"WATCH","ACCEPTABLE"))</f>
        <v/>
      </c>
      <c r="Q16" s="16">
        <f>RANK(O16,$O$4:$O$37,1)</f>
        <v/>
      </c>
      <c r="R16" s="24">
        <f>SUMIFS(PO_Facts!$J$2:$J$4801,PO_Facts!$C$2:$C$4801,A16)</f>
        <v/>
      </c>
    </row>
    <row r="17">
      <c r="A17" s="4" t="inlineStr">
        <is>
          <t>VS14</t>
        </is>
      </c>
      <c r="B17" s="12" t="inlineStr">
        <is>
          <t>Sunrise Metals</t>
        </is>
      </c>
      <c r="C17" s="13">
        <f>COUNTIFS(PO_Facts!$C$2:$C$4801,A17)</f>
        <v/>
      </c>
      <c r="D17" s="19">
        <f>SUMIFS(PO_Facts!$N$2:$N$4801,PO_Facts!$C$2:$C$4801,A17)/SUMIFS(PO_Facts!$F$2:$F$4801,PO_Facts!$C$2:$C$4801,A17)*100</f>
        <v/>
      </c>
      <c r="E17" s="5">
        <f>COUNTIFS(PO_Facts!$C$2:$C$4801,A17,PO_Facts!$O$2:$O$4801,"&gt;0")/C17*100</f>
        <v/>
      </c>
      <c r="F17" s="19">
        <f>AVERAGEIFS(PO_Facts!$O$2:$O$4801,PO_Facts!$C$2:$C$4801,A17)</f>
        <v/>
      </c>
      <c r="G17" s="19">
        <f>SUMIFS(PO_Facts!$L$2:$L$4801,PO_Facts!$C$2:$C$4801,A17)/R17*100</f>
        <v/>
      </c>
      <c r="H17" s="19">
        <f>(COUNTIFS(Returns_Confirmed!$G$2:$G$241,A17)+SUMIFS(Returns_Inferred!$C$2:$C$4761,Returns_Inferred!$B$2:$B$4761,A17))/R17*1000</f>
        <v/>
      </c>
      <c r="I17" s="20" t="n">
        <v>-1.79</v>
      </c>
      <c r="J17" s="21">
        <f>100*(1-MIN(1,MAX(0,(D17-MEDIAN($D$4:$D$37))/(MAX($D$4:$D$37)-MEDIAN($D$4:$D$37)))))</f>
        <v/>
      </c>
      <c r="K17" s="21">
        <f>100*(1-MIN(1,MAX(0,(F17-MEDIAN($F$4:$F$37))/(MAX($F$4:$F$37)-MEDIAN($F$4:$F$37)))))</f>
        <v/>
      </c>
      <c r="L17" s="21">
        <f>100*(1-MIN(1,MAX(0,(G17-MEDIAN($G$4:$G$37))/(MAX($G$4:$G$37)-MEDIAN($G$4:$G$37)))))</f>
        <v/>
      </c>
      <c r="M17" s="21">
        <f>100*(1-MIN(1,MAX(0,(H17-MEDIAN($H$4:$H$37))/(MAX($H$4:$H$37)-MEDIAN($H$4:$H$37)))))</f>
        <v/>
      </c>
      <c r="N17" s="5">
        <f>100*(1-MIN(1,MAX(I17,0)/Assumptions!$B$13))</f>
        <v/>
      </c>
      <c r="O17" s="22">
        <f>J17*Assumptions!$B$7+K17*Assumptions!$B$8+L17*Assumptions!$B$9+M17*Assumptions!$B$10+N17*Assumptions!$B$11</f>
        <v/>
      </c>
      <c r="P17" s="23">
        <f>IF(O17&lt;Assumptions!$B$14,"POOR",IF(O17&lt;Assumptions!$C$14,"WATCH","ACCEPTABLE"))</f>
        <v/>
      </c>
      <c r="Q17" s="16">
        <f>RANK(O17,$O$4:$O$37,1)</f>
        <v/>
      </c>
      <c r="R17" s="24">
        <f>SUMIFS(PO_Facts!$J$2:$J$4801,PO_Facts!$C$2:$C$4801,A17)</f>
        <v/>
      </c>
    </row>
    <row r="18">
      <c r="A18" s="4" t="inlineStr">
        <is>
          <t>VS15</t>
        </is>
      </c>
      <c r="B18" s="12" t="inlineStr">
        <is>
          <t>Western Steel</t>
        </is>
      </c>
      <c r="C18" s="13">
        <f>COUNTIFS(PO_Facts!$C$2:$C$4801,A18)</f>
        <v/>
      </c>
      <c r="D18" s="19">
        <f>SUMIFS(PO_Facts!$N$2:$N$4801,PO_Facts!$C$2:$C$4801,A18)/SUMIFS(PO_Facts!$F$2:$F$4801,PO_Facts!$C$2:$C$4801,A18)*100</f>
        <v/>
      </c>
      <c r="E18" s="5">
        <f>COUNTIFS(PO_Facts!$C$2:$C$4801,A18,PO_Facts!$O$2:$O$4801,"&gt;0")/C18*100</f>
        <v/>
      </c>
      <c r="F18" s="19">
        <f>AVERAGEIFS(PO_Facts!$O$2:$O$4801,PO_Facts!$C$2:$C$4801,A18)</f>
        <v/>
      </c>
      <c r="G18" s="19">
        <f>SUMIFS(PO_Facts!$L$2:$L$4801,PO_Facts!$C$2:$C$4801,A18)/R18*100</f>
        <v/>
      </c>
      <c r="H18" s="19">
        <f>(COUNTIFS(Returns_Confirmed!$G$2:$G$241,A18)+SUMIFS(Returns_Inferred!$C$2:$C$4761,Returns_Inferred!$B$2:$B$4761,A18))/R18*1000</f>
        <v/>
      </c>
      <c r="I18" s="20" t="n">
        <v>0.86</v>
      </c>
      <c r="J18" s="21">
        <f>100*(1-MIN(1,MAX(0,(D18-MEDIAN($D$4:$D$37))/(MAX($D$4:$D$37)-MEDIAN($D$4:$D$37)))))</f>
        <v/>
      </c>
      <c r="K18" s="21">
        <f>100*(1-MIN(1,MAX(0,(F18-MEDIAN($F$4:$F$37))/(MAX($F$4:$F$37)-MEDIAN($F$4:$F$37)))))</f>
        <v/>
      </c>
      <c r="L18" s="21">
        <f>100*(1-MIN(1,MAX(0,(G18-MEDIAN($G$4:$G$37))/(MAX($G$4:$G$37)-MEDIAN($G$4:$G$37)))))</f>
        <v/>
      </c>
      <c r="M18" s="21">
        <f>100*(1-MIN(1,MAX(0,(H18-MEDIAN($H$4:$H$37))/(MAX($H$4:$H$37)-MEDIAN($H$4:$H$37)))))</f>
        <v/>
      </c>
      <c r="N18" s="5">
        <f>100*(1-MIN(1,MAX(I18,0)/Assumptions!$B$13))</f>
        <v/>
      </c>
      <c r="O18" s="22">
        <f>J18*Assumptions!$B$7+K18*Assumptions!$B$8+L18*Assumptions!$B$9+M18*Assumptions!$B$10+N18*Assumptions!$B$11</f>
        <v/>
      </c>
      <c r="P18" s="23">
        <f>IF(O18&lt;Assumptions!$B$14,"POOR",IF(O18&lt;Assumptions!$C$14,"WATCH","ACCEPTABLE"))</f>
        <v/>
      </c>
      <c r="Q18" s="16">
        <f>RANK(O18,$O$4:$O$37,1)</f>
        <v/>
      </c>
      <c r="R18" s="24">
        <f>SUMIFS(PO_Facts!$J$2:$J$4801,PO_Facts!$C$2:$C$4801,A18)</f>
        <v/>
      </c>
    </row>
    <row r="19">
      <c r="A19" s="4" t="inlineStr">
        <is>
          <t>VS16</t>
        </is>
      </c>
      <c r="B19" s="12" t="inlineStr">
        <is>
          <t>Garg Enterprises</t>
        </is>
      </c>
      <c r="C19" s="13">
        <f>COUNTIFS(PO_Facts!$C$2:$C$4801,A19)</f>
        <v/>
      </c>
      <c r="D19" s="19">
        <f>SUMIFS(PO_Facts!$N$2:$N$4801,PO_Facts!$C$2:$C$4801,A19)/SUMIFS(PO_Facts!$F$2:$F$4801,PO_Facts!$C$2:$C$4801,A19)*100</f>
        <v/>
      </c>
      <c r="E19" s="5">
        <f>COUNTIFS(PO_Facts!$C$2:$C$4801,A19,PO_Facts!$O$2:$O$4801,"&gt;0")/C19*100</f>
        <v/>
      </c>
      <c r="F19" s="19">
        <f>AVERAGEIFS(PO_Facts!$O$2:$O$4801,PO_Facts!$C$2:$C$4801,A19)</f>
        <v/>
      </c>
      <c r="G19" s="19">
        <f>SUMIFS(PO_Facts!$L$2:$L$4801,PO_Facts!$C$2:$C$4801,A19)/R19*100</f>
        <v/>
      </c>
      <c r="H19" s="19">
        <f>(COUNTIFS(Returns_Confirmed!$G$2:$G$241,A19)+SUMIFS(Returns_Inferred!$C$2:$C$4761,Returns_Inferred!$B$2:$B$4761,A19))/R19*1000</f>
        <v/>
      </c>
      <c r="I19" s="20" t="n">
        <v>2.02</v>
      </c>
      <c r="J19" s="21">
        <f>100*(1-MIN(1,MAX(0,(D19-MEDIAN($D$4:$D$37))/(MAX($D$4:$D$37)-MEDIAN($D$4:$D$37)))))</f>
        <v/>
      </c>
      <c r="K19" s="21">
        <f>100*(1-MIN(1,MAX(0,(F19-MEDIAN($F$4:$F$37))/(MAX($F$4:$F$37)-MEDIAN($F$4:$F$37)))))</f>
        <v/>
      </c>
      <c r="L19" s="21">
        <f>100*(1-MIN(1,MAX(0,(G19-MEDIAN($G$4:$G$37))/(MAX($G$4:$G$37)-MEDIAN($G$4:$G$37)))))</f>
        <v/>
      </c>
      <c r="M19" s="21">
        <f>100*(1-MIN(1,MAX(0,(H19-MEDIAN($H$4:$H$37))/(MAX($H$4:$H$37)-MEDIAN($H$4:$H$37)))))</f>
        <v/>
      </c>
      <c r="N19" s="5">
        <f>100*(1-MIN(1,MAX(I19,0)/Assumptions!$B$13))</f>
        <v/>
      </c>
      <c r="O19" s="22">
        <f>J19*Assumptions!$B$7+K19*Assumptions!$B$8+L19*Assumptions!$B$9+M19*Assumptions!$B$10+N19*Assumptions!$B$11</f>
        <v/>
      </c>
      <c r="P19" s="23">
        <f>IF(O19&lt;Assumptions!$B$14,"POOR",IF(O19&lt;Assumptions!$C$14,"WATCH","ACCEPTABLE"))</f>
        <v/>
      </c>
      <c r="Q19" s="16">
        <f>RANK(O19,$O$4:$O$37,1)</f>
        <v/>
      </c>
      <c r="R19" s="24">
        <f>SUMIFS(PO_Facts!$J$2:$J$4801,PO_Facts!$C$2:$C$4801,A19)</f>
        <v/>
      </c>
    </row>
    <row r="20">
      <c r="A20" s="4" t="inlineStr">
        <is>
          <t>VS17</t>
        </is>
      </c>
      <c r="B20" s="12" t="inlineStr">
        <is>
          <t>Modern Metals</t>
        </is>
      </c>
      <c r="C20" s="13">
        <f>COUNTIFS(PO_Facts!$C$2:$C$4801,A20)</f>
        <v/>
      </c>
      <c r="D20" s="19">
        <f>SUMIFS(PO_Facts!$N$2:$N$4801,PO_Facts!$C$2:$C$4801,A20)/SUMIFS(PO_Facts!$F$2:$F$4801,PO_Facts!$C$2:$C$4801,A20)*100</f>
        <v/>
      </c>
      <c r="E20" s="5">
        <f>COUNTIFS(PO_Facts!$C$2:$C$4801,A20,PO_Facts!$O$2:$O$4801,"&gt;0")/C20*100</f>
        <v/>
      </c>
      <c r="F20" s="19">
        <f>AVERAGEIFS(PO_Facts!$O$2:$O$4801,PO_Facts!$C$2:$C$4801,A20)</f>
        <v/>
      </c>
      <c r="G20" s="19">
        <f>SUMIFS(PO_Facts!$L$2:$L$4801,PO_Facts!$C$2:$C$4801,A20)/R20*100</f>
        <v/>
      </c>
      <c r="H20" s="19">
        <f>(COUNTIFS(Returns_Confirmed!$G$2:$G$241,A20)+SUMIFS(Returns_Inferred!$C$2:$C$4761,Returns_Inferred!$B$2:$B$4761,A20))/R20*1000</f>
        <v/>
      </c>
      <c r="I20" s="20" t="n">
        <v>-0.75</v>
      </c>
      <c r="J20" s="21">
        <f>100*(1-MIN(1,MAX(0,(D20-MEDIAN($D$4:$D$37))/(MAX($D$4:$D$37)-MEDIAN($D$4:$D$37)))))</f>
        <v/>
      </c>
      <c r="K20" s="21">
        <f>100*(1-MIN(1,MAX(0,(F20-MEDIAN($F$4:$F$37))/(MAX($F$4:$F$37)-MEDIAN($F$4:$F$37)))))</f>
        <v/>
      </c>
      <c r="L20" s="21">
        <f>100*(1-MIN(1,MAX(0,(G20-MEDIAN($G$4:$G$37))/(MAX($G$4:$G$37)-MEDIAN($G$4:$G$37)))))</f>
        <v/>
      </c>
      <c r="M20" s="21">
        <f>100*(1-MIN(1,MAX(0,(H20-MEDIAN($H$4:$H$37))/(MAX($H$4:$H$37)-MEDIAN($H$4:$H$37)))))</f>
        <v/>
      </c>
      <c r="N20" s="5">
        <f>100*(1-MIN(1,MAX(I20,0)/Assumptions!$B$13))</f>
        <v/>
      </c>
      <c r="O20" s="22">
        <f>J20*Assumptions!$B$7+K20*Assumptions!$B$8+L20*Assumptions!$B$9+M20*Assumptions!$B$10+N20*Assumptions!$B$11</f>
        <v/>
      </c>
      <c r="P20" s="23">
        <f>IF(O20&lt;Assumptions!$B$14,"POOR",IF(O20&lt;Assumptions!$C$14,"WATCH","ACCEPTABLE"))</f>
        <v/>
      </c>
      <c r="Q20" s="16">
        <f>RANK(O20,$O$4:$O$37,1)</f>
        <v/>
      </c>
      <c r="R20" s="24">
        <f>SUMIFS(PO_Facts!$J$2:$J$4801,PO_Facts!$C$2:$C$4801,A20)</f>
        <v/>
      </c>
    </row>
    <row r="21">
      <c r="A21" s="4" t="inlineStr">
        <is>
          <t>VS18</t>
        </is>
      </c>
      <c r="B21" s="12" t="inlineStr">
        <is>
          <t>Kumar Hardware</t>
        </is>
      </c>
      <c r="C21" s="13">
        <f>COUNTIFS(PO_Facts!$C$2:$C$4801,A21)</f>
        <v/>
      </c>
      <c r="D21" s="19">
        <f>SUMIFS(PO_Facts!$N$2:$N$4801,PO_Facts!$C$2:$C$4801,A21)/SUMIFS(PO_Facts!$F$2:$F$4801,PO_Facts!$C$2:$C$4801,A21)*100</f>
        <v/>
      </c>
      <c r="E21" s="5">
        <f>COUNTIFS(PO_Facts!$C$2:$C$4801,A21,PO_Facts!$O$2:$O$4801,"&gt;0")/C21*100</f>
        <v/>
      </c>
      <c r="F21" s="19">
        <f>AVERAGEIFS(PO_Facts!$O$2:$O$4801,PO_Facts!$C$2:$C$4801,A21)</f>
        <v/>
      </c>
      <c r="G21" s="19">
        <f>SUMIFS(PO_Facts!$L$2:$L$4801,PO_Facts!$C$2:$C$4801,A21)/R21*100</f>
        <v/>
      </c>
      <c r="H21" s="19">
        <f>(COUNTIFS(Returns_Confirmed!$G$2:$G$241,A21)+SUMIFS(Returns_Inferred!$C$2:$C$4761,Returns_Inferred!$B$2:$B$4761,A21))/R21*1000</f>
        <v/>
      </c>
      <c r="I21" s="20" t="n">
        <v>1.02</v>
      </c>
      <c r="J21" s="21">
        <f>100*(1-MIN(1,MAX(0,(D21-MEDIAN($D$4:$D$37))/(MAX($D$4:$D$37)-MEDIAN($D$4:$D$37)))))</f>
        <v/>
      </c>
      <c r="K21" s="21">
        <f>100*(1-MIN(1,MAX(0,(F21-MEDIAN($F$4:$F$37))/(MAX($F$4:$F$37)-MEDIAN($F$4:$F$37)))))</f>
        <v/>
      </c>
      <c r="L21" s="21">
        <f>100*(1-MIN(1,MAX(0,(G21-MEDIAN($G$4:$G$37))/(MAX($G$4:$G$37)-MEDIAN($G$4:$G$37)))))</f>
        <v/>
      </c>
      <c r="M21" s="21">
        <f>100*(1-MIN(1,MAX(0,(H21-MEDIAN($H$4:$H$37))/(MAX($H$4:$H$37)-MEDIAN($H$4:$H$37)))))</f>
        <v/>
      </c>
      <c r="N21" s="5">
        <f>100*(1-MIN(1,MAX(I21,0)/Assumptions!$B$13))</f>
        <v/>
      </c>
      <c r="O21" s="22">
        <f>J21*Assumptions!$B$7+K21*Assumptions!$B$8+L21*Assumptions!$B$9+M21*Assumptions!$B$10+N21*Assumptions!$B$11</f>
        <v/>
      </c>
      <c r="P21" s="23">
        <f>IF(O21&lt;Assumptions!$B$14,"POOR",IF(O21&lt;Assumptions!$C$14,"WATCH","ACCEPTABLE"))</f>
        <v/>
      </c>
      <c r="Q21" s="16">
        <f>RANK(O21,$O$4:$O$37,1)</f>
        <v/>
      </c>
      <c r="R21" s="24">
        <f>SUMIFS(PO_Facts!$J$2:$J$4801,PO_Facts!$C$2:$C$4801,A21)</f>
        <v/>
      </c>
    </row>
    <row r="22">
      <c r="A22" s="4" t="inlineStr">
        <is>
          <t>VS19</t>
        </is>
      </c>
      <c r="B22" s="12" t="inlineStr">
        <is>
          <t>Thakur Steel</t>
        </is>
      </c>
      <c r="C22" s="13">
        <f>COUNTIFS(PO_Facts!$C$2:$C$4801,A22)</f>
        <v/>
      </c>
      <c r="D22" s="19">
        <f>SUMIFS(PO_Facts!$N$2:$N$4801,PO_Facts!$C$2:$C$4801,A22)/SUMIFS(PO_Facts!$F$2:$F$4801,PO_Facts!$C$2:$C$4801,A22)*100</f>
        <v/>
      </c>
      <c r="E22" s="5">
        <f>COUNTIFS(PO_Facts!$C$2:$C$4801,A22,PO_Facts!$O$2:$O$4801,"&gt;0")/C22*100</f>
        <v/>
      </c>
      <c r="F22" s="19">
        <f>AVERAGEIFS(PO_Facts!$O$2:$O$4801,PO_Facts!$C$2:$C$4801,A22)</f>
        <v/>
      </c>
      <c r="G22" s="19">
        <f>SUMIFS(PO_Facts!$L$2:$L$4801,PO_Facts!$C$2:$C$4801,A22)/R22*100</f>
        <v/>
      </c>
      <c r="H22" s="19">
        <f>(COUNTIFS(Returns_Confirmed!$G$2:$G$241,A22)+SUMIFS(Returns_Inferred!$C$2:$C$4761,Returns_Inferred!$B$2:$B$4761,A22))/R22*1000</f>
        <v/>
      </c>
      <c r="I22" s="20" t="n">
        <v>1.04</v>
      </c>
      <c r="J22" s="21">
        <f>100*(1-MIN(1,MAX(0,(D22-MEDIAN($D$4:$D$37))/(MAX($D$4:$D$37)-MEDIAN($D$4:$D$37)))))</f>
        <v/>
      </c>
      <c r="K22" s="21">
        <f>100*(1-MIN(1,MAX(0,(F22-MEDIAN($F$4:$F$37))/(MAX($F$4:$F$37)-MEDIAN($F$4:$F$37)))))</f>
        <v/>
      </c>
      <c r="L22" s="21">
        <f>100*(1-MIN(1,MAX(0,(G22-MEDIAN($G$4:$G$37))/(MAX($G$4:$G$37)-MEDIAN($G$4:$G$37)))))</f>
        <v/>
      </c>
      <c r="M22" s="21">
        <f>100*(1-MIN(1,MAX(0,(H22-MEDIAN($H$4:$H$37))/(MAX($H$4:$H$37)-MEDIAN($H$4:$H$37)))))</f>
        <v/>
      </c>
      <c r="N22" s="5">
        <f>100*(1-MIN(1,MAX(I22,0)/Assumptions!$B$13))</f>
        <v/>
      </c>
      <c r="O22" s="22">
        <f>J22*Assumptions!$B$7+K22*Assumptions!$B$8+L22*Assumptions!$B$9+M22*Assumptions!$B$10+N22*Assumptions!$B$11</f>
        <v/>
      </c>
      <c r="P22" s="23">
        <f>IF(O22&lt;Assumptions!$B$14,"POOR",IF(O22&lt;Assumptions!$C$14,"WATCH","ACCEPTABLE"))</f>
        <v/>
      </c>
      <c r="Q22" s="16">
        <f>RANK(O22,$O$4:$O$37,1)</f>
        <v/>
      </c>
      <c r="R22" s="24">
        <f>SUMIFS(PO_Facts!$J$2:$J$4801,PO_Facts!$C$2:$C$4801,A22)</f>
        <v/>
      </c>
    </row>
    <row r="23">
      <c r="A23" s="4" t="inlineStr">
        <is>
          <t>VS20</t>
        </is>
      </c>
      <c r="B23" s="12" t="inlineStr">
        <is>
          <t>Bhavani Metals</t>
        </is>
      </c>
      <c r="C23" s="13">
        <f>COUNTIFS(PO_Facts!$C$2:$C$4801,A23)</f>
        <v/>
      </c>
      <c r="D23" s="19">
        <f>SUMIFS(PO_Facts!$N$2:$N$4801,PO_Facts!$C$2:$C$4801,A23)/SUMIFS(PO_Facts!$F$2:$F$4801,PO_Facts!$C$2:$C$4801,A23)*100</f>
        <v/>
      </c>
      <c r="E23" s="5">
        <f>COUNTIFS(PO_Facts!$C$2:$C$4801,A23,PO_Facts!$O$2:$O$4801,"&gt;0")/C23*100</f>
        <v/>
      </c>
      <c r="F23" s="19">
        <f>AVERAGEIFS(PO_Facts!$O$2:$O$4801,PO_Facts!$C$2:$C$4801,A23)</f>
        <v/>
      </c>
      <c r="G23" s="19">
        <f>SUMIFS(PO_Facts!$L$2:$L$4801,PO_Facts!$C$2:$C$4801,A23)/R23*100</f>
        <v/>
      </c>
      <c r="H23" s="19">
        <f>(COUNTIFS(Returns_Confirmed!$G$2:$G$241,A23)+SUMIFS(Returns_Inferred!$C$2:$C$4761,Returns_Inferred!$B$2:$B$4761,A23))/R23*1000</f>
        <v/>
      </c>
      <c r="I23" s="20" t="n">
        <v>0.95</v>
      </c>
      <c r="J23" s="21">
        <f>100*(1-MIN(1,MAX(0,(D23-MEDIAN($D$4:$D$37))/(MAX($D$4:$D$37)-MEDIAN($D$4:$D$37)))))</f>
        <v/>
      </c>
      <c r="K23" s="21">
        <f>100*(1-MIN(1,MAX(0,(F23-MEDIAN($F$4:$F$37))/(MAX($F$4:$F$37)-MEDIAN($F$4:$F$37)))))</f>
        <v/>
      </c>
      <c r="L23" s="21">
        <f>100*(1-MIN(1,MAX(0,(G23-MEDIAN($G$4:$G$37))/(MAX($G$4:$G$37)-MEDIAN($G$4:$G$37)))))</f>
        <v/>
      </c>
      <c r="M23" s="21">
        <f>100*(1-MIN(1,MAX(0,(H23-MEDIAN($H$4:$H$37))/(MAX($H$4:$H$37)-MEDIAN($H$4:$H$37)))))</f>
        <v/>
      </c>
      <c r="N23" s="5">
        <f>100*(1-MIN(1,MAX(I23,0)/Assumptions!$B$13))</f>
        <v/>
      </c>
      <c r="O23" s="22">
        <f>J23*Assumptions!$B$7+K23*Assumptions!$B$8+L23*Assumptions!$B$9+M23*Assumptions!$B$10+N23*Assumptions!$B$11</f>
        <v/>
      </c>
      <c r="P23" s="23">
        <f>IF(O23&lt;Assumptions!$B$14,"POOR",IF(O23&lt;Assumptions!$C$14,"WATCH","ACCEPTABLE"))</f>
        <v/>
      </c>
      <c r="Q23" s="16">
        <f>RANK(O23,$O$4:$O$37,1)</f>
        <v/>
      </c>
      <c r="R23" s="24">
        <f>SUMIFS(PO_Facts!$J$2:$J$4801,PO_Facts!$C$2:$C$4801,A23)</f>
        <v/>
      </c>
    </row>
    <row r="24">
      <c r="A24" s="4" t="inlineStr">
        <is>
          <t>VS21</t>
        </is>
      </c>
      <c r="B24" s="12" t="inlineStr">
        <is>
          <t>Viraj Profiles</t>
        </is>
      </c>
      <c r="C24" s="13">
        <f>COUNTIFS(PO_Facts!$C$2:$C$4801,A24)</f>
        <v/>
      </c>
      <c r="D24" s="19">
        <f>SUMIFS(PO_Facts!$N$2:$N$4801,PO_Facts!$C$2:$C$4801,A24)/SUMIFS(PO_Facts!$F$2:$F$4801,PO_Facts!$C$2:$C$4801,A24)*100</f>
        <v/>
      </c>
      <c r="E24" s="5">
        <f>COUNTIFS(PO_Facts!$C$2:$C$4801,A24,PO_Facts!$O$2:$O$4801,"&gt;0")/C24*100</f>
        <v/>
      </c>
      <c r="F24" s="19">
        <f>AVERAGEIFS(PO_Facts!$O$2:$O$4801,PO_Facts!$C$2:$C$4801,A24)</f>
        <v/>
      </c>
      <c r="G24" s="19">
        <f>SUMIFS(PO_Facts!$L$2:$L$4801,PO_Facts!$C$2:$C$4801,A24)/R24*100</f>
        <v/>
      </c>
      <c r="H24" s="19">
        <f>(COUNTIFS(Returns_Confirmed!$G$2:$G$241,A24)+SUMIFS(Returns_Inferred!$C$2:$C$4761,Returns_Inferred!$B$2:$B$4761,A24))/R24*1000</f>
        <v/>
      </c>
      <c r="I24" s="20" t="n">
        <v>-1.71</v>
      </c>
      <c r="J24" s="21">
        <f>100*(1-MIN(1,MAX(0,(D24-MEDIAN($D$4:$D$37))/(MAX($D$4:$D$37)-MEDIAN($D$4:$D$37)))))</f>
        <v/>
      </c>
      <c r="K24" s="21">
        <f>100*(1-MIN(1,MAX(0,(F24-MEDIAN($F$4:$F$37))/(MAX($F$4:$F$37)-MEDIAN($F$4:$F$37)))))</f>
        <v/>
      </c>
      <c r="L24" s="21">
        <f>100*(1-MIN(1,MAX(0,(G24-MEDIAN($G$4:$G$37))/(MAX($G$4:$G$37)-MEDIAN($G$4:$G$37)))))</f>
        <v/>
      </c>
      <c r="M24" s="21">
        <f>100*(1-MIN(1,MAX(0,(H24-MEDIAN($H$4:$H$37))/(MAX($H$4:$H$37)-MEDIAN($H$4:$H$37)))))</f>
        <v/>
      </c>
      <c r="N24" s="5">
        <f>100*(1-MIN(1,MAX(I24,0)/Assumptions!$B$13))</f>
        <v/>
      </c>
      <c r="O24" s="22">
        <f>J24*Assumptions!$B$7+K24*Assumptions!$B$8+L24*Assumptions!$B$9+M24*Assumptions!$B$10+N24*Assumptions!$B$11</f>
        <v/>
      </c>
      <c r="P24" s="23">
        <f>IF(O24&lt;Assumptions!$B$14,"POOR",IF(O24&lt;Assumptions!$C$14,"WATCH","ACCEPTABLE"))</f>
        <v/>
      </c>
      <c r="Q24" s="16">
        <f>RANK(O24,$O$4:$O$37,1)</f>
        <v/>
      </c>
      <c r="R24" s="24">
        <f>SUMIFS(PO_Facts!$J$2:$J$4801,PO_Facts!$C$2:$C$4801,A24)</f>
        <v/>
      </c>
    </row>
    <row r="25">
      <c r="A25" s="4" t="inlineStr">
        <is>
          <t>VS22</t>
        </is>
      </c>
      <c r="B25" s="12" t="inlineStr">
        <is>
          <t>Ratan Steel</t>
        </is>
      </c>
      <c r="C25" s="13">
        <f>COUNTIFS(PO_Facts!$C$2:$C$4801,A25)</f>
        <v/>
      </c>
      <c r="D25" s="19">
        <f>SUMIFS(PO_Facts!$N$2:$N$4801,PO_Facts!$C$2:$C$4801,A25)/SUMIFS(PO_Facts!$F$2:$F$4801,PO_Facts!$C$2:$C$4801,A25)*100</f>
        <v/>
      </c>
      <c r="E25" s="5">
        <f>COUNTIFS(PO_Facts!$C$2:$C$4801,A25,PO_Facts!$O$2:$O$4801,"&gt;0")/C25*100</f>
        <v/>
      </c>
      <c r="F25" s="19">
        <f>AVERAGEIFS(PO_Facts!$O$2:$O$4801,PO_Facts!$C$2:$C$4801,A25)</f>
        <v/>
      </c>
      <c r="G25" s="19">
        <f>SUMIFS(PO_Facts!$L$2:$L$4801,PO_Facts!$C$2:$C$4801,A25)/R25*100</f>
        <v/>
      </c>
      <c r="H25" s="19">
        <f>(COUNTIFS(Returns_Confirmed!$G$2:$G$241,A25)+SUMIFS(Returns_Inferred!$C$2:$C$4761,Returns_Inferred!$B$2:$B$4761,A25))/R25*1000</f>
        <v/>
      </c>
      <c r="I25" s="20" t="n">
        <v>-0.22</v>
      </c>
      <c r="J25" s="21">
        <f>100*(1-MIN(1,MAX(0,(D25-MEDIAN($D$4:$D$37))/(MAX($D$4:$D$37)-MEDIAN($D$4:$D$37)))))</f>
        <v/>
      </c>
      <c r="K25" s="21">
        <f>100*(1-MIN(1,MAX(0,(F25-MEDIAN($F$4:$F$37))/(MAX($F$4:$F$37)-MEDIAN($F$4:$F$37)))))</f>
        <v/>
      </c>
      <c r="L25" s="21">
        <f>100*(1-MIN(1,MAX(0,(G25-MEDIAN($G$4:$G$37))/(MAX($G$4:$G$37)-MEDIAN($G$4:$G$37)))))</f>
        <v/>
      </c>
      <c r="M25" s="21">
        <f>100*(1-MIN(1,MAX(0,(H25-MEDIAN($H$4:$H$37))/(MAX($H$4:$H$37)-MEDIAN($H$4:$H$37)))))</f>
        <v/>
      </c>
      <c r="N25" s="5">
        <f>100*(1-MIN(1,MAX(I25,0)/Assumptions!$B$13))</f>
        <v/>
      </c>
      <c r="O25" s="22">
        <f>J25*Assumptions!$B$7+K25*Assumptions!$B$8+L25*Assumptions!$B$9+M25*Assumptions!$B$10+N25*Assumptions!$B$11</f>
        <v/>
      </c>
      <c r="P25" s="23">
        <f>IF(O25&lt;Assumptions!$B$14,"POOR",IF(O25&lt;Assumptions!$C$14,"WATCH","ACCEPTABLE"))</f>
        <v/>
      </c>
      <c r="Q25" s="16">
        <f>RANK(O25,$O$4:$O$37,1)</f>
        <v/>
      </c>
      <c r="R25" s="24">
        <f>SUMIFS(PO_Facts!$J$2:$J$4801,PO_Facts!$C$2:$C$4801,A25)</f>
        <v/>
      </c>
    </row>
    <row r="26">
      <c r="A26" s="4" t="inlineStr">
        <is>
          <t>VS23</t>
        </is>
      </c>
      <c r="B26" s="12" t="inlineStr">
        <is>
          <t>Krishna Pipes</t>
        </is>
      </c>
      <c r="C26" s="13">
        <f>COUNTIFS(PO_Facts!$C$2:$C$4801,A26)</f>
        <v/>
      </c>
      <c r="D26" s="19">
        <f>SUMIFS(PO_Facts!$N$2:$N$4801,PO_Facts!$C$2:$C$4801,A26)/SUMIFS(PO_Facts!$F$2:$F$4801,PO_Facts!$C$2:$C$4801,A26)*100</f>
        <v/>
      </c>
      <c r="E26" s="5">
        <f>COUNTIFS(PO_Facts!$C$2:$C$4801,A26,PO_Facts!$O$2:$O$4801,"&gt;0")/C26*100</f>
        <v/>
      </c>
      <c r="F26" s="19">
        <f>AVERAGEIFS(PO_Facts!$O$2:$O$4801,PO_Facts!$C$2:$C$4801,A26)</f>
        <v/>
      </c>
      <c r="G26" s="19">
        <f>SUMIFS(PO_Facts!$L$2:$L$4801,PO_Facts!$C$2:$C$4801,A26)/R26*100</f>
        <v/>
      </c>
      <c r="H26" s="19">
        <f>(COUNTIFS(Returns_Confirmed!$G$2:$G$241,A26)+SUMIFS(Returns_Inferred!$C$2:$C$4761,Returns_Inferred!$B$2:$B$4761,A26))/R26*1000</f>
        <v/>
      </c>
      <c r="I26" s="20" t="n">
        <v>0.35</v>
      </c>
      <c r="J26" s="21">
        <f>100*(1-MIN(1,MAX(0,(D26-MEDIAN($D$4:$D$37))/(MAX($D$4:$D$37)-MEDIAN($D$4:$D$37)))))</f>
        <v/>
      </c>
      <c r="K26" s="21">
        <f>100*(1-MIN(1,MAX(0,(F26-MEDIAN($F$4:$F$37))/(MAX($F$4:$F$37)-MEDIAN($F$4:$F$37)))))</f>
        <v/>
      </c>
      <c r="L26" s="21">
        <f>100*(1-MIN(1,MAX(0,(G26-MEDIAN($G$4:$G$37))/(MAX($G$4:$G$37)-MEDIAN($G$4:$G$37)))))</f>
        <v/>
      </c>
      <c r="M26" s="21">
        <f>100*(1-MIN(1,MAX(0,(H26-MEDIAN($H$4:$H$37))/(MAX($H$4:$H$37)-MEDIAN($H$4:$H$37)))))</f>
        <v/>
      </c>
      <c r="N26" s="5">
        <f>100*(1-MIN(1,MAX(I26,0)/Assumptions!$B$13))</f>
        <v/>
      </c>
      <c r="O26" s="22">
        <f>J26*Assumptions!$B$7+K26*Assumptions!$B$8+L26*Assumptions!$B$9+M26*Assumptions!$B$10+N26*Assumptions!$B$11</f>
        <v/>
      </c>
      <c r="P26" s="23">
        <f>IF(O26&lt;Assumptions!$B$14,"POOR",IF(O26&lt;Assumptions!$C$14,"WATCH","ACCEPTABLE"))</f>
        <v/>
      </c>
      <c r="Q26" s="16">
        <f>RANK(O26,$O$4:$O$37,1)</f>
        <v/>
      </c>
      <c r="R26" s="24">
        <f>SUMIFS(PO_Facts!$J$2:$J$4801,PO_Facts!$C$2:$C$4801,A26)</f>
        <v/>
      </c>
    </row>
    <row r="27">
      <c r="A27" s="4" t="inlineStr">
        <is>
          <t>VS24</t>
        </is>
      </c>
      <c r="B27" s="12" t="inlineStr">
        <is>
          <t>Om Metals</t>
        </is>
      </c>
      <c r="C27" s="13">
        <f>COUNTIFS(PO_Facts!$C$2:$C$4801,A27)</f>
        <v/>
      </c>
      <c r="D27" s="19">
        <f>SUMIFS(PO_Facts!$N$2:$N$4801,PO_Facts!$C$2:$C$4801,A27)/SUMIFS(PO_Facts!$F$2:$F$4801,PO_Facts!$C$2:$C$4801,A27)*100</f>
        <v/>
      </c>
      <c r="E27" s="5">
        <f>COUNTIFS(PO_Facts!$C$2:$C$4801,A27,PO_Facts!$O$2:$O$4801,"&gt;0")/C27*100</f>
        <v/>
      </c>
      <c r="F27" s="19">
        <f>AVERAGEIFS(PO_Facts!$O$2:$O$4801,PO_Facts!$C$2:$C$4801,A27)</f>
        <v/>
      </c>
      <c r="G27" s="19">
        <f>SUMIFS(PO_Facts!$L$2:$L$4801,PO_Facts!$C$2:$C$4801,A27)/R27*100</f>
        <v/>
      </c>
      <c r="H27" s="19">
        <f>(COUNTIFS(Returns_Confirmed!$G$2:$G$241,A27)+SUMIFS(Returns_Inferred!$C$2:$C$4761,Returns_Inferred!$B$2:$B$4761,A27))/R27*1000</f>
        <v/>
      </c>
      <c r="I27" s="20" t="n">
        <v>-1.15</v>
      </c>
      <c r="J27" s="21">
        <f>100*(1-MIN(1,MAX(0,(D27-MEDIAN($D$4:$D$37))/(MAX($D$4:$D$37)-MEDIAN($D$4:$D$37)))))</f>
        <v/>
      </c>
      <c r="K27" s="21">
        <f>100*(1-MIN(1,MAX(0,(F27-MEDIAN($F$4:$F$37))/(MAX($F$4:$F$37)-MEDIAN($F$4:$F$37)))))</f>
        <v/>
      </c>
      <c r="L27" s="21">
        <f>100*(1-MIN(1,MAX(0,(G27-MEDIAN($G$4:$G$37))/(MAX($G$4:$G$37)-MEDIAN($G$4:$G$37)))))</f>
        <v/>
      </c>
      <c r="M27" s="21">
        <f>100*(1-MIN(1,MAX(0,(H27-MEDIAN($H$4:$H$37))/(MAX($H$4:$H$37)-MEDIAN($H$4:$H$37)))))</f>
        <v/>
      </c>
      <c r="N27" s="5">
        <f>100*(1-MIN(1,MAX(I27,0)/Assumptions!$B$13))</f>
        <v/>
      </c>
      <c r="O27" s="22">
        <f>J27*Assumptions!$B$7+K27*Assumptions!$B$8+L27*Assumptions!$B$9+M27*Assumptions!$B$10+N27*Assumptions!$B$11</f>
        <v/>
      </c>
      <c r="P27" s="23">
        <f>IF(O27&lt;Assumptions!$B$14,"POOR",IF(O27&lt;Assumptions!$C$14,"WATCH","ACCEPTABLE"))</f>
        <v/>
      </c>
      <c r="Q27" s="16">
        <f>RANK(O27,$O$4:$O$37,1)</f>
        <v/>
      </c>
      <c r="R27" s="24">
        <f>SUMIFS(PO_Facts!$J$2:$J$4801,PO_Facts!$C$2:$C$4801,A27)</f>
        <v/>
      </c>
    </row>
    <row r="28">
      <c r="A28" s="4" t="inlineStr">
        <is>
          <t>VS25</t>
        </is>
      </c>
      <c r="B28" s="12" t="inlineStr">
        <is>
          <t>Laxmi Hardware</t>
        </is>
      </c>
      <c r="C28" s="13">
        <f>COUNTIFS(PO_Facts!$C$2:$C$4801,A28)</f>
        <v/>
      </c>
      <c r="D28" s="19">
        <f>SUMIFS(PO_Facts!$N$2:$N$4801,PO_Facts!$C$2:$C$4801,A28)/SUMIFS(PO_Facts!$F$2:$F$4801,PO_Facts!$C$2:$C$4801,A28)*100</f>
        <v/>
      </c>
      <c r="E28" s="5">
        <f>COUNTIFS(PO_Facts!$C$2:$C$4801,A28,PO_Facts!$O$2:$O$4801,"&gt;0")/C28*100</f>
        <v/>
      </c>
      <c r="F28" s="19">
        <f>AVERAGEIFS(PO_Facts!$O$2:$O$4801,PO_Facts!$C$2:$C$4801,A28)</f>
        <v/>
      </c>
      <c r="G28" s="19">
        <f>SUMIFS(PO_Facts!$L$2:$L$4801,PO_Facts!$C$2:$C$4801,A28)/R28*100</f>
        <v/>
      </c>
      <c r="H28" s="19">
        <f>(COUNTIFS(Returns_Confirmed!$G$2:$G$241,A28)+SUMIFS(Returns_Inferred!$C$2:$C$4761,Returns_Inferred!$B$2:$B$4761,A28))/R28*1000</f>
        <v/>
      </c>
      <c r="I28" s="20" t="n">
        <v>-0.26</v>
      </c>
      <c r="J28" s="21">
        <f>100*(1-MIN(1,MAX(0,(D28-MEDIAN($D$4:$D$37))/(MAX($D$4:$D$37)-MEDIAN($D$4:$D$37)))))</f>
        <v/>
      </c>
      <c r="K28" s="21">
        <f>100*(1-MIN(1,MAX(0,(F28-MEDIAN($F$4:$F$37))/(MAX($F$4:$F$37)-MEDIAN($F$4:$F$37)))))</f>
        <v/>
      </c>
      <c r="L28" s="21">
        <f>100*(1-MIN(1,MAX(0,(G28-MEDIAN($G$4:$G$37))/(MAX($G$4:$G$37)-MEDIAN($G$4:$G$37)))))</f>
        <v/>
      </c>
      <c r="M28" s="21">
        <f>100*(1-MIN(1,MAX(0,(H28-MEDIAN($H$4:$H$37))/(MAX($H$4:$H$37)-MEDIAN($H$4:$H$37)))))</f>
        <v/>
      </c>
      <c r="N28" s="5">
        <f>100*(1-MIN(1,MAX(I28,0)/Assumptions!$B$13))</f>
        <v/>
      </c>
      <c r="O28" s="22">
        <f>J28*Assumptions!$B$7+K28*Assumptions!$B$8+L28*Assumptions!$B$9+M28*Assumptions!$B$10+N28*Assumptions!$B$11</f>
        <v/>
      </c>
      <c r="P28" s="23">
        <f>IF(O28&lt;Assumptions!$B$14,"POOR",IF(O28&lt;Assumptions!$C$14,"WATCH","ACCEPTABLE"))</f>
        <v/>
      </c>
      <c r="Q28" s="16">
        <f>RANK(O28,$O$4:$O$37,1)</f>
        <v/>
      </c>
      <c r="R28" s="24">
        <f>SUMIFS(PO_Facts!$J$2:$J$4801,PO_Facts!$C$2:$C$4801,A28)</f>
        <v/>
      </c>
    </row>
    <row r="29">
      <c r="A29" s="4" t="inlineStr">
        <is>
          <t>VS26</t>
        </is>
      </c>
      <c r="B29" s="12" t="inlineStr">
        <is>
          <t>Rajdhani Steel</t>
        </is>
      </c>
      <c r="C29" s="13">
        <f>COUNTIFS(PO_Facts!$C$2:$C$4801,A29)</f>
        <v/>
      </c>
      <c r="D29" s="19">
        <f>SUMIFS(PO_Facts!$N$2:$N$4801,PO_Facts!$C$2:$C$4801,A29)/SUMIFS(PO_Facts!$F$2:$F$4801,PO_Facts!$C$2:$C$4801,A29)*100</f>
        <v/>
      </c>
      <c r="E29" s="5">
        <f>COUNTIFS(PO_Facts!$C$2:$C$4801,A29,PO_Facts!$O$2:$O$4801,"&gt;0")/C29*100</f>
        <v/>
      </c>
      <c r="F29" s="19">
        <f>AVERAGEIFS(PO_Facts!$O$2:$O$4801,PO_Facts!$C$2:$C$4801,A29)</f>
        <v/>
      </c>
      <c r="G29" s="19">
        <f>SUMIFS(PO_Facts!$L$2:$L$4801,PO_Facts!$C$2:$C$4801,A29)/R29*100</f>
        <v/>
      </c>
      <c r="H29" s="19">
        <f>(COUNTIFS(Returns_Confirmed!$G$2:$G$241,A29)+SUMIFS(Returns_Inferred!$C$2:$C$4761,Returns_Inferred!$B$2:$B$4761,A29))/R29*1000</f>
        <v/>
      </c>
      <c r="I29" s="20" t="n">
        <v>0.57</v>
      </c>
      <c r="J29" s="21">
        <f>100*(1-MIN(1,MAX(0,(D29-MEDIAN($D$4:$D$37))/(MAX($D$4:$D$37)-MEDIAN($D$4:$D$37)))))</f>
        <v/>
      </c>
      <c r="K29" s="21">
        <f>100*(1-MIN(1,MAX(0,(F29-MEDIAN($F$4:$F$37))/(MAX($F$4:$F$37)-MEDIAN($F$4:$F$37)))))</f>
        <v/>
      </c>
      <c r="L29" s="21">
        <f>100*(1-MIN(1,MAX(0,(G29-MEDIAN($G$4:$G$37))/(MAX($G$4:$G$37)-MEDIAN($G$4:$G$37)))))</f>
        <v/>
      </c>
      <c r="M29" s="21">
        <f>100*(1-MIN(1,MAX(0,(H29-MEDIAN($H$4:$H$37))/(MAX($H$4:$H$37)-MEDIAN($H$4:$H$37)))))</f>
        <v/>
      </c>
      <c r="N29" s="5">
        <f>100*(1-MIN(1,MAX(I29,0)/Assumptions!$B$13))</f>
        <v/>
      </c>
      <c r="O29" s="22">
        <f>J29*Assumptions!$B$7+K29*Assumptions!$B$8+L29*Assumptions!$B$9+M29*Assumptions!$B$10+N29*Assumptions!$B$11</f>
        <v/>
      </c>
      <c r="P29" s="23">
        <f>IF(O29&lt;Assumptions!$B$14,"POOR",IF(O29&lt;Assumptions!$C$14,"WATCH","ACCEPTABLE"))</f>
        <v/>
      </c>
      <c r="Q29" s="16">
        <f>RANK(O29,$O$4:$O$37,1)</f>
        <v/>
      </c>
      <c r="R29" s="24">
        <f>SUMIFS(PO_Facts!$J$2:$J$4801,PO_Facts!$C$2:$C$4801,A29)</f>
        <v/>
      </c>
    </row>
    <row r="30">
      <c r="A30" s="4" t="inlineStr">
        <is>
          <t>VS27</t>
        </is>
      </c>
      <c r="B30" s="12" t="inlineStr">
        <is>
          <t>National Pipes</t>
        </is>
      </c>
      <c r="C30" s="13">
        <f>COUNTIFS(PO_Facts!$C$2:$C$4801,A30)</f>
        <v/>
      </c>
      <c r="D30" s="19">
        <f>SUMIFS(PO_Facts!$N$2:$N$4801,PO_Facts!$C$2:$C$4801,A30)/SUMIFS(PO_Facts!$F$2:$F$4801,PO_Facts!$C$2:$C$4801,A30)*100</f>
        <v/>
      </c>
      <c r="E30" s="5">
        <f>COUNTIFS(PO_Facts!$C$2:$C$4801,A30,PO_Facts!$O$2:$O$4801,"&gt;0")/C30*100</f>
        <v/>
      </c>
      <c r="F30" s="19">
        <f>AVERAGEIFS(PO_Facts!$O$2:$O$4801,PO_Facts!$C$2:$C$4801,A30)</f>
        <v/>
      </c>
      <c r="G30" s="19">
        <f>SUMIFS(PO_Facts!$L$2:$L$4801,PO_Facts!$C$2:$C$4801,A30)/R30*100</f>
        <v/>
      </c>
      <c r="H30" s="19">
        <f>(COUNTIFS(Returns_Confirmed!$G$2:$G$241,A30)+SUMIFS(Returns_Inferred!$C$2:$C$4761,Returns_Inferred!$B$2:$B$4761,A30))/R30*1000</f>
        <v/>
      </c>
      <c r="I30" s="20" t="n">
        <v>0.1</v>
      </c>
      <c r="J30" s="21">
        <f>100*(1-MIN(1,MAX(0,(D30-MEDIAN($D$4:$D$37))/(MAX($D$4:$D$37)-MEDIAN($D$4:$D$37)))))</f>
        <v/>
      </c>
      <c r="K30" s="21">
        <f>100*(1-MIN(1,MAX(0,(F30-MEDIAN($F$4:$F$37))/(MAX($F$4:$F$37)-MEDIAN($F$4:$F$37)))))</f>
        <v/>
      </c>
      <c r="L30" s="21">
        <f>100*(1-MIN(1,MAX(0,(G30-MEDIAN($G$4:$G$37))/(MAX($G$4:$G$37)-MEDIAN($G$4:$G$37)))))</f>
        <v/>
      </c>
      <c r="M30" s="21">
        <f>100*(1-MIN(1,MAX(0,(H30-MEDIAN($H$4:$H$37))/(MAX($H$4:$H$37)-MEDIAN($H$4:$H$37)))))</f>
        <v/>
      </c>
      <c r="N30" s="5">
        <f>100*(1-MIN(1,MAX(I30,0)/Assumptions!$B$13))</f>
        <v/>
      </c>
      <c r="O30" s="22">
        <f>J30*Assumptions!$B$7+K30*Assumptions!$B$8+L30*Assumptions!$B$9+M30*Assumptions!$B$10+N30*Assumptions!$B$11</f>
        <v/>
      </c>
      <c r="P30" s="23">
        <f>IF(O30&lt;Assumptions!$B$14,"POOR",IF(O30&lt;Assumptions!$C$14,"WATCH","ACCEPTABLE"))</f>
        <v/>
      </c>
      <c r="Q30" s="16">
        <f>RANK(O30,$O$4:$O$37,1)</f>
        <v/>
      </c>
      <c r="R30" s="24">
        <f>SUMIFS(PO_Facts!$J$2:$J$4801,PO_Facts!$C$2:$C$4801,A30)</f>
        <v/>
      </c>
    </row>
    <row r="31">
      <c r="A31" s="4" t="inlineStr">
        <is>
          <t>VS28</t>
        </is>
      </c>
      <c r="B31" s="12" t="inlineStr">
        <is>
          <t>Param Industries</t>
        </is>
      </c>
      <c r="C31" s="13">
        <f>COUNTIFS(PO_Facts!$C$2:$C$4801,A31)</f>
        <v/>
      </c>
      <c r="D31" s="19">
        <f>SUMIFS(PO_Facts!$N$2:$N$4801,PO_Facts!$C$2:$C$4801,A31)/SUMIFS(PO_Facts!$F$2:$F$4801,PO_Facts!$C$2:$C$4801,A31)*100</f>
        <v/>
      </c>
      <c r="E31" s="5">
        <f>COUNTIFS(PO_Facts!$C$2:$C$4801,A31,PO_Facts!$O$2:$O$4801,"&gt;0")/C31*100</f>
        <v/>
      </c>
      <c r="F31" s="19">
        <f>AVERAGEIFS(PO_Facts!$O$2:$O$4801,PO_Facts!$C$2:$C$4801,A31)</f>
        <v/>
      </c>
      <c r="G31" s="19">
        <f>SUMIFS(PO_Facts!$L$2:$L$4801,PO_Facts!$C$2:$C$4801,A31)/R31*100</f>
        <v/>
      </c>
      <c r="H31" s="19">
        <f>(COUNTIFS(Returns_Confirmed!$G$2:$G$241,A31)+SUMIFS(Returns_Inferred!$C$2:$C$4761,Returns_Inferred!$B$2:$B$4761,A31))/R31*1000</f>
        <v/>
      </c>
      <c r="I31" s="20" t="n">
        <v>-0.74</v>
      </c>
      <c r="J31" s="21">
        <f>100*(1-MIN(1,MAX(0,(D31-MEDIAN($D$4:$D$37))/(MAX($D$4:$D$37)-MEDIAN($D$4:$D$37)))))</f>
        <v/>
      </c>
      <c r="K31" s="21">
        <f>100*(1-MIN(1,MAX(0,(F31-MEDIAN($F$4:$F$37))/(MAX($F$4:$F$37)-MEDIAN($F$4:$F$37)))))</f>
        <v/>
      </c>
      <c r="L31" s="21">
        <f>100*(1-MIN(1,MAX(0,(G31-MEDIAN($G$4:$G$37))/(MAX($G$4:$G$37)-MEDIAN($G$4:$G$37)))))</f>
        <v/>
      </c>
      <c r="M31" s="21">
        <f>100*(1-MIN(1,MAX(0,(H31-MEDIAN($H$4:$H$37))/(MAX($H$4:$H$37)-MEDIAN($H$4:$H$37)))))</f>
        <v/>
      </c>
      <c r="N31" s="5">
        <f>100*(1-MIN(1,MAX(I31,0)/Assumptions!$B$13))</f>
        <v/>
      </c>
      <c r="O31" s="22">
        <f>J31*Assumptions!$B$7+K31*Assumptions!$B$8+L31*Assumptions!$B$9+M31*Assumptions!$B$10+N31*Assumptions!$B$11</f>
        <v/>
      </c>
      <c r="P31" s="23">
        <f>IF(O31&lt;Assumptions!$B$14,"POOR",IF(O31&lt;Assumptions!$C$14,"WATCH","ACCEPTABLE"))</f>
        <v/>
      </c>
      <c r="Q31" s="16">
        <f>RANK(O31,$O$4:$O$37,1)</f>
        <v/>
      </c>
      <c r="R31" s="24">
        <f>SUMIFS(PO_Facts!$J$2:$J$4801,PO_Facts!$C$2:$C$4801,A31)</f>
        <v/>
      </c>
    </row>
    <row r="32">
      <c r="A32" s="4" t="inlineStr">
        <is>
          <t>VS29</t>
        </is>
      </c>
      <c r="B32" s="12" t="inlineStr">
        <is>
          <t>Global Metals</t>
        </is>
      </c>
      <c r="C32" s="13">
        <f>COUNTIFS(PO_Facts!$C$2:$C$4801,A32)</f>
        <v/>
      </c>
      <c r="D32" s="19">
        <f>SUMIFS(PO_Facts!$N$2:$N$4801,PO_Facts!$C$2:$C$4801,A32)/SUMIFS(PO_Facts!$F$2:$F$4801,PO_Facts!$C$2:$C$4801,A32)*100</f>
        <v/>
      </c>
      <c r="E32" s="5">
        <f>COUNTIFS(PO_Facts!$C$2:$C$4801,A32,PO_Facts!$O$2:$O$4801,"&gt;0")/C32*100</f>
        <v/>
      </c>
      <c r="F32" s="19">
        <f>AVERAGEIFS(PO_Facts!$O$2:$O$4801,PO_Facts!$C$2:$C$4801,A32)</f>
        <v/>
      </c>
      <c r="G32" s="19">
        <f>SUMIFS(PO_Facts!$L$2:$L$4801,PO_Facts!$C$2:$C$4801,A32)/R32*100</f>
        <v/>
      </c>
      <c r="H32" s="19">
        <f>(COUNTIFS(Returns_Confirmed!$G$2:$G$241,A32)+SUMIFS(Returns_Inferred!$C$2:$C$4761,Returns_Inferred!$B$2:$B$4761,A32))/R32*1000</f>
        <v/>
      </c>
      <c r="I32" s="20" t="n">
        <v>0</v>
      </c>
      <c r="J32" s="21">
        <f>100*(1-MIN(1,MAX(0,(D32-MEDIAN($D$4:$D$37))/(MAX($D$4:$D$37)-MEDIAN($D$4:$D$37)))))</f>
        <v/>
      </c>
      <c r="K32" s="21">
        <f>100*(1-MIN(1,MAX(0,(F32-MEDIAN($F$4:$F$37))/(MAX($F$4:$F$37)-MEDIAN($F$4:$F$37)))))</f>
        <v/>
      </c>
      <c r="L32" s="21">
        <f>100*(1-MIN(1,MAX(0,(G32-MEDIAN($G$4:$G$37))/(MAX($G$4:$G$37)-MEDIAN($G$4:$G$37)))))</f>
        <v/>
      </c>
      <c r="M32" s="21">
        <f>100*(1-MIN(1,MAX(0,(H32-MEDIAN($H$4:$H$37))/(MAX($H$4:$H$37)-MEDIAN($H$4:$H$37)))))</f>
        <v/>
      </c>
      <c r="N32" s="5">
        <f>100*(1-MIN(1,MAX(I32,0)/Assumptions!$B$13))</f>
        <v/>
      </c>
      <c r="O32" s="22">
        <f>J32*Assumptions!$B$7+K32*Assumptions!$B$8+L32*Assumptions!$B$9+M32*Assumptions!$B$10+N32*Assumptions!$B$11</f>
        <v/>
      </c>
      <c r="P32" s="23">
        <f>IF(O32&lt;Assumptions!$B$14,"POOR",IF(O32&lt;Assumptions!$C$14,"WATCH","ACCEPTABLE"))</f>
        <v/>
      </c>
      <c r="Q32" s="16">
        <f>RANK(O32,$O$4:$O$37,1)</f>
        <v/>
      </c>
      <c r="R32" s="24">
        <f>SUMIFS(PO_Facts!$J$2:$J$4801,PO_Facts!$C$2:$C$4801,A32)</f>
        <v/>
      </c>
    </row>
    <row r="33">
      <c r="A33" s="4" t="inlineStr">
        <is>
          <t>VS30</t>
        </is>
      </c>
      <c r="B33" s="12" t="inlineStr">
        <is>
          <t>Apex Hardware</t>
        </is>
      </c>
      <c r="C33" s="13">
        <f>COUNTIFS(PO_Facts!$C$2:$C$4801,A33)</f>
        <v/>
      </c>
      <c r="D33" s="19">
        <f>SUMIFS(PO_Facts!$N$2:$N$4801,PO_Facts!$C$2:$C$4801,A33)/SUMIFS(PO_Facts!$F$2:$F$4801,PO_Facts!$C$2:$C$4801,A33)*100</f>
        <v/>
      </c>
      <c r="E33" s="5">
        <f>COUNTIFS(PO_Facts!$C$2:$C$4801,A33,PO_Facts!$O$2:$O$4801,"&gt;0")/C33*100</f>
        <v/>
      </c>
      <c r="F33" s="19">
        <f>AVERAGEIFS(PO_Facts!$O$2:$O$4801,PO_Facts!$C$2:$C$4801,A33)</f>
        <v/>
      </c>
      <c r="G33" s="19">
        <f>SUMIFS(PO_Facts!$L$2:$L$4801,PO_Facts!$C$2:$C$4801,A33)/R33*100</f>
        <v/>
      </c>
      <c r="H33" s="19">
        <f>(COUNTIFS(Returns_Confirmed!$G$2:$G$241,A33)+SUMIFS(Returns_Inferred!$C$2:$C$4761,Returns_Inferred!$B$2:$B$4761,A33))/R33*1000</f>
        <v/>
      </c>
      <c r="I33" s="20" t="n">
        <v>0.05</v>
      </c>
      <c r="J33" s="21">
        <f>100*(1-MIN(1,MAX(0,(D33-MEDIAN($D$4:$D$37))/(MAX($D$4:$D$37)-MEDIAN($D$4:$D$37)))))</f>
        <v/>
      </c>
      <c r="K33" s="21">
        <f>100*(1-MIN(1,MAX(0,(F33-MEDIAN($F$4:$F$37))/(MAX($F$4:$F$37)-MEDIAN($F$4:$F$37)))))</f>
        <v/>
      </c>
      <c r="L33" s="21">
        <f>100*(1-MIN(1,MAX(0,(G33-MEDIAN($G$4:$G$37))/(MAX($G$4:$G$37)-MEDIAN($G$4:$G$37)))))</f>
        <v/>
      </c>
      <c r="M33" s="21">
        <f>100*(1-MIN(1,MAX(0,(H33-MEDIAN($H$4:$H$37))/(MAX($H$4:$H$37)-MEDIAN($H$4:$H$37)))))</f>
        <v/>
      </c>
      <c r="N33" s="5">
        <f>100*(1-MIN(1,MAX(I33,0)/Assumptions!$B$13))</f>
        <v/>
      </c>
      <c r="O33" s="22">
        <f>J33*Assumptions!$B$7+K33*Assumptions!$B$8+L33*Assumptions!$B$9+M33*Assumptions!$B$10+N33*Assumptions!$B$11</f>
        <v/>
      </c>
      <c r="P33" s="23">
        <f>IF(O33&lt;Assumptions!$B$14,"POOR",IF(O33&lt;Assumptions!$C$14,"WATCH","ACCEPTABLE"))</f>
        <v/>
      </c>
      <c r="Q33" s="16">
        <f>RANK(O33,$O$4:$O$37,1)</f>
        <v/>
      </c>
      <c r="R33" s="24">
        <f>SUMIFS(PO_Facts!$J$2:$J$4801,PO_Facts!$C$2:$C$4801,A33)</f>
        <v/>
      </c>
    </row>
    <row r="34">
      <c r="A34" s="4" t="inlineStr">
        <is>
          <t>VS31</t>
        </is>
      </c>
      <c r="B34" s="12" t="inlineStr">
        <is>
          <t>Sunrise Alloys</t>
        </is>
      </c>
      <c r="C34" s="13">
        <f>COUNTIFS(PO_Facts!$C$2:$C$4801,A34)</f>
        <v/>
      </c>
      <c r="D34" s="19">
        <f>SUMIFS(PO_Facts!$N$2:$N$4801,PO_Facts!$C$2:$C$4801,A34)/SUMIFS(PO_Facts!$F$2:$F$4801,PO_Facts!$C$2:$C$4801,A34)*100</f>
        <v/>
      </c>
      <c r="E34" s="5">
        <f>COUNTIFS(PO_Facts!$C$2:$C$4801,A34,PO_Facts!$O$2:$O$4801,"&gt;0")/C34*100</f>
        <v/>
      </c>
      <c r="F34" s="19">
        <f>AVERAGEIFS(PO_Facts!$O$2:$O$4801,PO_Facts!$C$2:$C$4801,A34)</f>
        <v/>
      </c>
      <c r="G34" s="19">
        <f>SUMIFS(PO_Facts!$L$2:$L$4801,PO_Facts!$C$2:$C$4801,A34)/R34*100</f>
        <v/>
      </c>
      <c r="H34" s="19">
        <f>(COUNTIFS(Returns_Confirmed!$G$2:$G$241,A34)+SUMIFS(Returns_Inferred!$C$2:$C$4761,Returns_Inferred!$B$2:$B$4761,A34))/R34*1000</f>
        <v/>
      </c>
      <c r="I34" s="20" t="n">
        <v>0.73</v>
      </c>
      <c r="J34" s="21">
        <f>100*(1-MIN(1,MAX(0,(D34-MEDIAN($D$4:$D$37))/(MAX($D$4:$D$37)-MEDIAN($D$4:$D$37)))))</f>
        <v/>
      </c>
      <c r="K34" s="21">
        <f>100*(1-MIN(1,MAX(0,(F34-MEDIAN($F$4:$F$37))/(MAX($F$4:$F$37)-MEDIAN($F$4:$F$37)))))</f>
        <v/>
      </c>
      <c r="L34" s="21">
        <f>100*(1-MIN(1,MAX(0,(G34-MEDIAN($G$4:$G$37))/(MAX($G$4:$G$37)-MEDIAN($G$4:$G$37)))))</f>
        <v/>
      </c>
      <c r="M34" s="21">
        <f>100*(1-MIN(1,MAX(0,(H34-MEDIAN($H$4:$H$37))/(MAX($H$4:$H$37)-MEDIAN($H$4:$H$37)))))</f>
        <v/>
      </c>
      <c r="N34" s="5">
        <f>100*(1-MIN(1,MAX(I34,0)/Assumptions!$B$13))</f>
        <v/>
      </c>
      <c r="O34" s="22">
        <f>J34*Assumptions!$B$7+K34*Assumptions!$B$8+L34*Assumptions!$B$9+M34*Assumptions!$B$10+N34*Assumptions!$B$11</f>
        <v/>
      </c>
      <c r="P34" s="23">
        <f>IF(O34&lt;Assumptions!$B$14,"POOR",IF(O34&lt;Assumptions!$C$14,"WATCH","ACCEPTABLE"))</f>
        <v/>
      </c>
      <c r="Q34" s="16">
        <f>RANK(O34,$O$4:$O$37,1)</f>
        <v/>
      </c>
      <c r="R34" s="24">
        <f>SUMIFS(PO_Facts!$J$2:$J$4801,PO_Facts!$C$2:$C$4801,A34)</f>
        <v/>
      </c>
    </row>
    <row r="35">
      <c r="A35" s="4" t="inlineStr">
        <is>
          <t>VS32</t>
        </is>
      </c>
      <c r="B35" s="12" t="inlineStr">
        <is>
          <t>Precision Steel</t>
        </is>
      </c>
      <c r="C35" s="13">
        <f>COUNTIFS(PO_Facts!$C$2:$C$4801,A35)</f>
        <v/>
      </c>
      <c r="D35" s="19">
        <f>SUMIFS(PO_Facts!$N$2:$N$4801,PO_Facts!$C$2:$C$4801,A35)/SUMIFS(PO_Facts!$F$2:$F$4801,PO_Facts!$C$2:$C$4801,A35)*100</f>
        <v/>
      </c>
      <c r="E35" s="5">
        <f>COUNTIFS(PO_Facts!$C$2:$C$4801,A35,PO_Facts!$O$2:$O$4801,"&gt;0")/C35*100</f>
        <v/>
      </c>
      <c r="F35" s="19">
        <f>AVERAGEIFS(PO_Facts!$O$2:$O$4801,PO_Facts!$C$2:$C$4801,A35)</f>
        <v/>
      </c>
      <c r="G35" s="19">
        <f>SUMIFS(PO_Facts!$L$2:$L$4801,PO_Facts!$C$2:$C$4801,A35)/R35*100</f>
        <v/>
      </c>
      <c r="H35" s="19">
        <f>(COUNTIFS(Returns_Confirmed!$G$2:$G$241,A35)+SUMIFS(Returns_Inferred!$C$2:$C$4761,Returns_Inferred!$B$2:$B$4761,A35))/R35*1000</f>
        <v/>
      </c>
      <c r="I35" s="20" t="n">
        <v>-0.98</v>
      </c>
      <c r="J35" s="21">
        <f>100*(1-MIN(1,MAX(0,(D35-MEDIAN($D$4:$D$37))/(MAX($D$4:$D$37)-MEDIAN($D$4:$D$37)))))</f>
        <v/>
      </c>
      <c r="K35" s="21">
        <f>100*(1-MIN(1,MAX(0,(F35-MEDIAN($F$4:$F$37))/(MAX($F$4:$F$37)-MEDIAN($F$4:$F$37)))))</f>
        <v/>
      </c>
      <c r="L35" s="21">
        <f>100*(1-MIN(1,MAX(0,(G35-MEDIAN($G$4:$G$37))/(MAX($G$4:$G$37)-MEDIAN($G$4:$G$37)))))</f>
        <v/>
      </c>
      <c r="M35" s="21">
        <f>100*(1-MIN(1,MAX(0,(H35-MEDIAN($H$4:$H$37))/(MAX($H$4:$H$37)-MEDIAN($H$4:$H$37)))))</f>
        <v/>
      </c>
      <c r="N35" s="5">
        <f>100*(1-MIN(1,MAX(I35,0)/Assumptions!$B$13))</f>
        <v/>
      </c>
      <c r="O35" s="22">
        <f>J35*Assumptions!$B$7+K35*Assumptions!$B$8+L35*Assumptions!$B$9+M35*Assumptions!$B$10+N35*Assumptions!$B$11</f>
        <v/>
      </c>
      <c r="P35" s="23">
        <f>IF(O35&lt;Assumptions!$B$14,"POOR",IF(O35&lt;Assumptions!$C$14,"WATCH","ACCEPTABLE"))</f>
        <v/>
      </c>
      <c r="Q35" s="16">
        <f>RANK(O35,$O$4:$O$37,1)</f>
        <v/>
      </c>
      <c r="R35" s="24">
        <f>SUMIFS(PO_Facts!$J$2:$J$4801,PO_Facts!$C$2:$C$4801,A35)</f>
        <v/>
      </c>
    </row>
    <row r="36">
      <c r="A36" s="4" t="inlineStr">
        <is>
          <t>VS33</t>
        </is>
      </c>
      <c r="B36" s="12" t="inlineStr">
        <is>
          <t>Premium Metals</t>
        </is>
      </c>
      <c r="C36" s="13">
        <f>COUNTIFS(PO_Facts!$C$2:$C$4801,A36)</f>
        <v/>
      </c>
      <c r="D36" s="19">
        <f>SUMIFS(PO_Facts!$N$2:$N$4801,PO_Facts!$C$2:$C$4801,A36)/SUMIFS(PO_Facts!$F$2:$F$4801,PO_Facts!$C$2:$C$4801,A36)*100</f>
        <v/>
      </c>
      <c r="E36" s="5">
        <f>COUNTIFS(PO_Facts!$C$2:$C$4801,A36,PO_Facts!$O$2:$O$4801,"&gt;0")/C36*100</f>
        <v/>
      </c>
      <c r="F36" s="19">
        <f>AVERAGEIFS(PO_Facts!$O$2:$O$4801,PO_Facts!$C$2:$C$4801,A36)</f>
        <v/>
      </c>
      <c r="G36" s="19">
        <f>SUMIFS(PO_Facts!$L$2:$L$4801,PO_Facts!$C$2:$C$4801,A36)/R36*100</f>
        <v/>
      </c>
      <c r="H36" s="19">
        <f>(COUNTIFS(Returns_Confirmed!$G$2:$G$241,A36)+SUMIFS(Returns_Inferred!$C$2:$C$4761,Returns_Inferred!$B$2:$B$4761,A36))/R36*1000</f>
        <v/>
      </c>
      <c r="I36" s="20" t="n">
        <v>0.39</v>
      </c>
      <c r="J36" s="21">
        <f>100*(1-MIN(1,MAX(0,(D36-MEDIAN($D$4:$D$37))/(MAX($D$4:$D$37)-MEDIAN($D$4:$D$37)))))</f>
        <v/>
      </c>
      <c r="K36" s="21">
        <f>100*(1-MIN(1,MAX(0,(F36-MEDIAN($F$4:$F$37))/(MAX($F$4:$F$37)-MEDIAN($F$4:$F$37)))))</f>
        <v/>
      </c>
      <c r="L36" s="21">
        <f>100*(1-MIN(1,MAX(0,(G36-MEDIAN($G$4:$G$37))/(MAX($G$4:$G$37)-MEDIAN($G$4:$G$37)))))</f>
        <v/>
      </c>
      <c r="M36" s="21">
        <f>100*(1-MIN(1,MAX(0,(H36-MEDIAN($H$4:$H$37))/(MAX($H$4:$H$37)-MEDIAN($H$4:$H$37)))))</f>
        <v/>
      </c>
      <c r="N36" s="5">
        <f>100*(1-MIN(1,MAX(I36,0)/Assumptions!$B$13))</f>
        <v/>
      </c>
      <c r="O36" s="22">
        <f>J36*Assumptions!$B$7+K36*Assumptions!$B$8+L36*Assumptions!$B$9+M36*Assumptions!$B$10+N36*Assumptions!$B$11</f>
        <v/>
      </c>
      <c r="P36" s="23">
        <f>IF(O36&lt;Assumptions!$B$14,"POOR",IF(O36&lt;Assumptions!$C$14,"WATCH","ACCEPTABLE"))</f>
        <v/>
      </c>
      <c r="Q36" s="16">
        <f>RANK(O36,$O$4:$O$37,1)</f>
        <v/>
      </c>
      <c r="R36" s="24">
        <f>SUMIFS(PO_Facts!$J$2:$J$4801,PO_Facts!$C$2:$C$4801,A36)</f>
        <v/>
      </c>
    </row>
    <row r="37">
      <c r="A37" s="4" t="inlineStr">
        <is>
          <t>VS34</t>
        </is>
      </c>
      <c r="B37" s="12" t="inlineStr">
        <is>
          <t>Supreme Fittings</t>
        </is>
      </c>
      <c r="C37" s="13">
        <f>COUNTIFS(PO_Facts!$C$2:$C$4801,A37)</f>
        <v/>
      </c>
      <c r="D37" s="19">
        <f>SUMIFS(PO_Facts!$N$2:$N$4801,PO_Facts!$C$2:$C$4801,A37)/SUMIFS(PO_Facts!$F$2:$F$4801,PO_Facts!$C$2:$C$4801,A37)*100</f>
        <v/>
      </c>
      <c r="E37" s="5">
        <f>COUNTIFS(PO_Facts!$C$2:$C$4801,A37,PO_Facts!$O$2:$O$4801,"&gt;0")/C37*100</f>
        <v/>
      </c>
      <c r="F37" s="19">
        <f>AVERAGEIFS(PO_Facts!$O$2:$O$4801,PO_Facts!$C$2:$C$4801,A37)</f>
        <v/>
      </c>
      <c r="G37" s="19">
        <f>SUMIFS(PO_Facts!$L$2:$L$4801,PO_Facts!$C$2:$C$4801,A37)/R37*100</f>
        <v/>
      </c>
      <c r="H37" s="19">
        <f>(COUNTIFS(Returns_Confirmed!$G$2:$G$241,A37)+SUMIFS(Returns_Inferred!$C$2:$C$4761,Returns_Inferred!$B$2:$B$4761,A37))/R37*1000</f>
        <v/>
      </c>
      <c r="I37" s="20" t="n">
        <v>0.97</v>
      </c>
      <c r="J37" s="21">
        <f>100*(1-MIN(1,MAX(0,(D37-MEDIAN($D$4:$D$37))/(MAX($D$4:$D$37)-MEDIAN($D$4:$D$37)))))</f>
        <v/>
      </c>
      <c r="K37" s="21">
        <f>100*(1-MIN(1,MAX(0,(F37-MEDIAN($F$4:$F$37))/(MAX($F$4:$F$37)-MEDIAN($F$4:$F$37)))))</f>
        <v/>
      </c>
      <c r="L37" s="21">
        <f>100*(1-MIN(1,MAX(0,(G37-MEDIAN($G$4:$G$37))/(MAX($G$4:$G$37)-MEDIAN($G$4:$G$37)))))</f>
        <v/>
      </c>
      <c r="M37" s="21">
        <f>100*(1-MIN(1,MAX(0,(H37-MEDIAN($H$4:$H$37))/(MAX($H$4:$H$37)-MEDIAN($H$4:$H$37)))))</f>
        <v/>
      </c>
      <c r="N37" s="5">
        <f>100*(1-MIN(1,MAX(I37,0)/Assumptions!$B$13))</f>
        <v/>
      </c>
      <c r="O37" s="22">
        <f>J37*Assumptions!$B$7+K37*Assumptions!$B$8+L37*Assumptions!$B$9+M37*Assumptions!$B$10+N37*Assumptions!$B$11</f>
        <v/>
      </c>
      <c r="P37" s="23">
        <f>IF(O37&lt;Assumptions!$B$14,"POOR",IF(O37&lt;Assumptions!$C$14,"WATCH","ACCEPTABLE"))</f>
        <v/>
      </c>
      <c r="Q37" s="16">
        <f>RANK(O37,$O$4:$O$37,1)</f>
        <v/>
      </c>
      <c r="R37" s="24">
        <f>SUMIFS(PO_Facts!$J$2:$J$4801,PO_Facts!$C$2:$C$4801,A37)</f>
        <v/>
      </c>
    </row>
    <row r="38">
      <c r="B38" s="2" t="inlineStr">
        <is>
          <t>Panel median</t>
        </is>
      </c>
      <c r="D38" s="25">
        <f>MEDIAN(D4:D37)</f>
        <v/>
      </c>
      <c r="E38" s="25">
        <f>MEDIAN(E4:E37)</f>
        <v/>
      </c>
      <c r="F38" s="25">
        <f>MEDIAN(F4:F37)</f>
        <v/>
      </c>
      <c r="G38" s="25">
        <f>MEDIAN(G4:G37)</f>
        <v/>
      </c>
      <c r="H38" s="25">
        <f>MEDIAN(H4:H37)</f>
        <v/>
      </c>
    </row>
    <row r="40">
      <c r="A40" s="4" t="inlineStr">
        <is>
          <t>Price z-score = mean % above/below the same material's panel average that year, divided by its standard error (from the pipeline). Price is scored by statistical evidence, so noise is not penalised.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80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9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3" customWidth="1" min="21" max="21"/>
  </cols>
  <sheetData>
    <row r="1" ht="32" customHeight="1">
      <c r="A1" s="11" t="inlineStr">
        <is>
          <t>po_id</t>
        </is>
      </c>
      <c r="B1" s="11" t="inlineStr">
        <is>
          <t>po_date</t>
        </is>
      </c>
      <c r="C1" s="11" t="inlineStr">
        <is>
          <t>supplier_id</t>
        </is>
      </c>
      <c r="D1" s="11" t="inlineStr">
        <is>
          <t>material_id</t>
        </is>
      </c>
      <c r="E1" s="11" t="inlineStr">
        <is>
          <t>in_master</t>
        </is>
      </c>
      <c r="F1" s="11" t="inlineStr">
        <is>
          <t>qty_ordered_MT</t>
        </is>
      </c>
      <c r="G1" s="11" t="inlineStr">
        <is>
          <t>unit_price_quoted</t>
        </is>
      </c>
      <c r="H1" s="11" t="inlineStr">
        <is>
          <t>delivery_promised</t>
        </is>
      </c>
      <c r="I1" s="11" t="inlineStr">
        <is>
          <t>receipt_date</t>
        </is>
      </c>
      <c r="J1" s="11" t="inlineStr">
        <is>
          <t>qty_received_MT</t>
        </is>
      </c>
      <c r="K1" s="11" t="inlineStr">
        <is>
          <t>invoice_billed</t>
        </is>
      </c>
      <c r="L1" s="11" t="inlineStr">
        <is>
          <t>rejection_qty_MT</t>
        </is>
      </c>
      <c r="M1" s="11" t="inlineStr">
        <is>
          <t>arora_days_late_paying</t>
        </is>
      </c>
      <c r="N1" s="11" t="inlineStr">
        <is>
          <t>short_qty_MT</t>
        </is>
      </c>
      <c r="O1" s="11" t="inlineStr">
        <is>
          <t>days_late_delivery</t>
        </is>
      </c>
      <c r="P1" s="11" t="inlineStr">
        <is>
          <t>ordered_value</t>
        </is>
      </c>
      <c r="Q1" s="11" t="inlineStr">
        <is>
          <t>received_value</t>
        </is>
      </c>
      <c r="R1" s="11" t="inlineStr">
        <is>
          <t>BILLING GAP (billed - received x price)</t>
        </is>
      </c>
      <c r="S1" s="11" t="inlineStr">
        <is>
          <t>baseline_gap</t>
        </is>
      </c>
      <c r="T1" s="11" t="inlineStr">
        <is>
          <t>excess_gap</t>
        </is>
      </c>
      <c r="U1" s="11" t="inlineStr">
        <is>
          <t>rejection_loss</t>
        </is>
      </c>
    </row>
    <row r="2">
      <c r="A2" s="12" t="inlineStr">
        <is>
          <t>PO-2021-0000</t>
        </is>
      </c>
      <c r="B2" s="26" t="n">
        <v>44351</v>
      </c>
      <c r="C2" s="12" t="inlineStr">
        <is>
          <t>VS29</t>
        </is>
      </c>
      <c r="D2" s="12" t="inlineStr">
        <is>
          <t>Spring Steel</t>
        </is>
      </c>
      <c r="E2" s="12" t="inlineStr">
        <is>
          <t>N</t>
        </is>
      </c>
      <c r="F2" s="12" t="n">
        <v>5.8</v>
      </c>
      <c r="G2" s="17" t="n">
        <v>93910.87</v>
      </c>
      <c r="H2" s="26" t="n">
        <v>44362</v>
      </c>
      <c r="I2" s="26" t="n">
        <v>44363</v>
      </c>
      <c r="J2" s="12" t="n">
        <v>5.78</v>
      </c>
      <c r="K2" s="17" t="n">
        <v>544683.05</v>
      </c>
      <c r="L2" s="12" t="n">
        <v>0</v>
      </c>
      <c r="M2" s="12" t="n">
        <v>0</v>
      </c>
      <c r="N2" s="27">
        <f>F2-J2</f>
        <v/>
      </c>
      <c r="O2" s="16">
        <f>I2-H2</f>
        <v/>
      </c>
      <c r="P2" s="14">
        <f>F2*G2</f>
        <v/>
      </c>
      <c r="Q2" s="14">
        <f>J2*G2</f>
        <v/>
      </c>
      <c r="R2" s="14">
        <f>K2-Q2</f>
        <v/>
      </c>
      <c r="S2" s="3">
        <f>P2*Assumptions!$B$3/100</f>
        <v/>
      </c>
      <c r="T2" s="14">
        <f>R2-S2</f>
        <v/>
      </c>
      <c r="U2" s="14">
        <f>L2*G2</f>
        <v/>
      </c>
    </row>
    <row r="3">
      <c r="A3" s="12" t="inlineStr">
        <is>
          <t>PO-2021-0001</t>
        </is>
      </c>
      <c r="B3" s="26" t="n">
        <v>44227</v>
      </c>
      <c r="C3" s="12" t="inlineStr">
        <is>
          <t>VS06</t>
        </is>
      </c>
      <c r="D3" s="12" t="inlineStr">
        <is>
          <t>HR Coils</t>
        </is>
      </c>
      <c r="E3" s="12" t="inlineStr">
        <is>
          <t>N</t>
        </is>
      </c>
      <c r="F3" s="12" t="n">
        <v>9.15</v>
      </c>
      <c r="G3" s="17" t="n">
        <v>81423.08</v>
      </c>
      <c r="H3" s="26" t="n">
        <v>44233</v>
      </c>
      <c r="I3" s="26" t="n">
        <v>44233</v>
      </c>
      <c r="J3" s="12" t="n">
        <v>9.06</v>
      </c>
      <c r="K3" s="17" t="n">
        <v>745021.1800000001</v>
      </c>
      <c r="L3" s="12" t="n">
        <v>0</v>
      </c>
      <c r="M3" s="12" t="n">
        <v>21</v>
      </c>
      <c r="N3" s="27">
        <f>F3-J3</f>
        <v/>
      </c>
      <c r="O3" s="16">
        <f>I3-H3</f>
        <v/>
      </c>
      <c r="P3" s="14">
        <f>F3*G3</f>
        <v/>
      </c>
      <c r="Q3" s="14">
        <f>J3*G3</f>
        <v/>
      </c>
      <c r="R3" s="14">
        <f>K3-Q3</f>
        <v/>
      </c>
      <c r="S3" s="3">
        <f>P3*Assumptions!$B$3/100</f>
        <v/>
      </c>
      <c r="T3" s="14">
        <f>R3-S3</f>
        <v/>
      </c>
      <c r="U3" s="14">
        <f>L3*G3</f>
        <v/>
      </c>
    </row>
    <row r="4">
      <c r="A4" s="12" t="inlineStr">
        <is>
          <t>PO-2021-0002</t>
        </is>
      </c>
      <c r="B4" s="26" t="n">
        <v>45018</v>
      </c>
      <c r="C4" s="12" t="inlineStr">
        <is>
          <t>VS04</t>
        </is>
      </c>
      <c r="D4" s="12" t="inlineStr">
        <is>
          <t>MS Sheets</t>
        </is>
      </c>
      <c r="E4" s="12" t="inlineStr">
        <is>
          <t>N</t>
        </is>
      </c>
      <c r="F4" s="12" t="n">
        <v>19.57</v>
      </c>
      <c r="G4" s="17" t="n">
        <v>118898.16</v>
      </c>
      <c r="H4" s="26" t="n">
        <v>45025</v>
      </c>
      <c r="I4" s="26" t="n">
        <v>45028</v>
      </c>
      <c r="J4" s="12" t="n">
        <v>19.42</v>
      </c>
      <c r="K4" s="17" t="n">
        <v>2326836.99</v>
      </c>
      <c r="L4" s="12" t="n">
        <v>0</v>
      </c>
      <c r="M4" s="12" t="n">
        <v>14</v>
      </c>
      <c r="N4" s="27">
        <f>F4-J4</f>
        <v/>
      </c>
      <c r="O4" s="16">
        <f>I4-H4</f>
        <v/>
      </c>
      <c r="P4" s="14">
        <f>F4*G4</f>
        <v/>
      </c>
      <c r="Q4" s="14">
        <f>J4*G4</f>
        <v/>
      </c>
      <c r="R4" s="14">
        <f>K4-Q4</f>
        <v/>
      </c>
      <c r="S4" s="3">
        <f>P4*Assumptions!$B$3/100</f>
        <v/>
      </c>
      <c r="T4" s="14">
        <f>R4-S4</f>
        <v/>
      </c>
      <c r="U4" s="14">
        <f>L4*G4</f>
        <v/>
      </c>
    </row>
    <row r="5">
      <c r="A5" s="12" t="inlineStr">
        <is>
          <t>PO-2021-0003</t>
        </is>
      </c>
      <c r="B5" s="26" t="n">
        <v>45128</v>
      </c>
      <c r="C5" s="12" t="inlineStr">
        <is>
          <t>VS19</t>
        </is>
      </c>
      <c r="D5" s="12" t="inlineStr">
        <is>
          <t>GI Wire</t>
        </is>
      </c>
      <c r="E5" s="12" t="inlineStr">
        <is>
          <t>N</t>
        </is>
      </c>
      <c r="F5" s="12" t="n">
        <v>35.13</v>
      </c>
      <c r="G5" s="17" t="n">
        <v>103779.41</v>
      </c>
      <c r="H5" s="26" t="n">
        <v>45143</v>
      </c>
      <c r="I5" s="26" t="n">
        <v>45148</v>
      </c>
      <c r="J5" s="12" t="n">
        <v>33.7</v>
      </c>
      <c r="K5" s="17" t="n">
        <v>3645770.67</v>
      </c>
      <c r="L5" s="12" t="n">
        <v>1.55</v>
      </c>
      <c r="M5" s="12" t="n">
        <v>21</v>
      </c>
      <c r="N5" s="27">
        <f>F5-J5</f>
        <v/>
      </c>
      <c r="O5" s="16">
        <f>I5-H5</f>
        <v/>
      </c>
      <c r="P5" s="14">
        <f>F5*G5</f>
        <v/>
      </c>
      <c r="Q5" s="14">
        <f>J5*G5</f>
        <v/>
      </c>
      <c r="R5" s="14">
        <f>K5-Q5</f>
        <v/>
      </c>
      <c r="S5" s="3">
        <f>P5*Assumptions!$B$3/100</f>
        <v/>
      </c>
      <c r="T5" s="14">
        <f>R5-S5</f>
        <v/>
      </c>
      <c r="U5" s="14">
        <f>L5*G5</f>
        <v/>
      </c>
    </row>
    <row r="6">
      <c r="A6" s="12" t="inlineStr">
        <is>
          <t>PO-2021-0004</t>
        </is>
      </c>
      <c r="B6" s="26" t="n">
        <v>45193</v>
      </c>
      <c r="C6" s="12" t="inlineStr">
        <is>
          <t>VS10</t>
        </is>
      </c>
      <c r="D6" s="12" t="inlineStr">
        <is>
          <t>GI Sheets</t>
        </is>
      </c>
      <c r="E6" s="12" t="inlineStr">
        <is>
          <t>N</t>
        </is>
      </c>
      <c r="F6" s="12" t="n">
        <v>15.54</v>
      </c>
      <c r="G6" s="17" t="n">
        <v>117653.2</v>
      </c>
      <c r="H6" s="26" t="n">
        <v>45205</v>
      </c>
      <c r="I6" s="26" t="n">
        <v>45206</v>
      </c>
      <c r="J6" s="12" t="n">
        <v>15.5</v>
      </c>
      <c r="K6" s="17" t="n">
        <v>1828330.73</v>
      </c>
      <c r="L6" s="12" t="n">
        <v>0</v>
      </c>
      <c r="M6" s="12" t="n">
        <v>16</v>
      </c>
      <c r="N6" s="27">
        <f>F6-J6</f>
        <v/>
      </c>
      <c r="O6" s="16">
        <f>I6-H6</f>
        <v/>
      </c>
      <c r="P6" s="14">
        <f>F6*G6</f>
        <v/>
      </c>
      <c r="Q6" s="14">
        <f>J6*G6</f>
        <v/>
      </c>
      <c r="R6" s="14">
        <f>K6-Q6</f>
        <v/>
      </c>
      <c r="S6" s="3">
        <f>P6*Assumptions!$B$3/100</f>
        <v/>
      </c>
      <c r="T6" s="14">
        <f>R6-S6</f>
        <v/>
      </c>
      <c r="U6" s="14">
        <f>L6*G6</f>
        <v/>
      </c>
    </row>
    <row r="7">
      <c r="A7" s="12" t="inlineStr">
        <is>
          <t>PO-2021-0005</t>
        </is>
      </c>
      <c r="B7" s="26" t="n">
        <v>44321</v>
      </c>
      <c r="C7" s="12" t="inlineStr">
        <is>
          <t>VS21</t>
        </is>
      </c>
      <c r="D7" s="12" t="inlineStr">
        <is>
          <t>GI Pipes</t>
        </is>
      </c>
      <c r="E7" s="12" t="inlineStr">
        <is>
          <t>N</t>
        </is>
      </c>
      <c r="F7" s="12" t="n">
        <v>3.46</v>
      </c>
      <c r="G7" s="17" t="n">
        <v>80759.14</v>
      </c>
      <c r="H7" s="26" t="n">
        <v>44332</v>
      </c>
      <c r="I7" s="26" t="n">
        <v>44334</v>
      </c>
      <c r="J7" s="12" t="n">
        <v>3.43</v>
      </c>
      <c r="K7" s="17" t="n">
        <v>279426.62</v>
      </c>
      <c r="L7" s="12" t="n">
        <v>0</v>
      </c>
      <c r="M7" s="12" t="n">
        <v>1</v>
      </c>
      <c r="N7" s="27">
        <f>F7-J7</f>
        <v/>
      </c>
      <c r="O7" s="16">
        <f>I7-H7</f>
        <v/>
      </c>
      <c r="P7" s="14">
        <f>F7*G7</f>
        <v/>
      </c>
      <c r="Q7" s="14">
        <f>J7*G7</f>
        <v/>
      </c>
      <c r="R7" s="14">
        <f>K7-Q7</f>
        <v/>
      </c>
      <c r="S7" s="3">
        <f>P7*Assumptions!$B$3/100</f>
        <v/>
      </c>
      <c r="T7" s="14">
        <f>R7-S7</f>
        <v/>
      </c>
      <c r="U7" s="14">
        <f>L7*G7</f>
        <v/>
      </c>
    </row>
    <row r="8">
      <c r="A8" s="12" t="inlineStr">
        <is>
          <t>PO-2021-0006</t>
        </is>
      </c>
      <c r="B8" s="26" t="n">
        <v>44519</v>
      </c>
      <c r="C8" s="12" t="inlineStr">
        <is>
          <t>VS04</t>
        </is>
      </c>
      <c r="D8" s="12" t="inlineStr">
        <is>
          <t>Hex Bars</t>
        </is>
      </c>
      <c r="E8" s="12" t="inlineStr">
        <is>
          <t>N</t>
        </is>
      </c>
      <c r="F8" s="12" t="n">
        <v>4.93</v>
      </c>
      <c r="G8" s="17" t="n">
        <v>58936.87</v>
      </c>
      <c r="H8" s="26" t="n">
        <v>44531</v>
      </c>
      <c r="I8" s="26" t="n">
        <v>44531</v>
      </c>
      <c r="J8" s="12" t="n">
        <v>4.9</v>
      </c>
      <c r="K8" s="17" t="n">
        <v>290558.77</v>
      </c>
      <c r="L8" s="12" t="n">
        <v>0</v>
      </c>
      <c r="M8" s="12" t="n">
        <v>19</v>
      </c>
      <c r="N8" s="27">
        <f>F8-J8</f>
        <v/>
      </c>
      <c r="O8" s="16">
        <f>I8-H8</f>
        <v/>
      </c>
      <c r="P8" s="14">
        <f>F8*G8</f>
        <v/>
      </c>
      <c r="Q8" s="14">
        <f>J8*G8</f>
        <v/>
      </c>
      <c r="R8" s="14">
        <f>K8-Q8</f>
        <v/>
      </c>
      <c r="S8" s="3">
        <f>P8*Assumptions!$B$3/100</f>
        <v/>
      </c>
      <c r="T8" s="14">
        <f>R8-S8</f>
        <v/>
      </c>
      <c r="U8" s="14">
        <f>L8*G8</f>
        <v/>
      </c>
    </row>
    <row r="9">
      <c r="A9" s="12" t="inlineStr">
        <is>
          <t>PO-2021-0007</t>
        </is>
      </c>
      <c r="B9" s="26" t="n">
        <v>44336</v>
      </c>
      <c r="C9" s="12" t="inlineStr">
        <is>
          <t>VS16</t>
        </is>
      </c>
      <c r="D9" s="12" t="inlineStr">
        <is>
          <t>MS Rods</t>
        </is>
      </c>
      <c r="E9" s="12" t="inlineStr">
        <is>
          <t>Y</t>
        </is>
      </c>
      <c r="F9" s="12" t="n">
        <v>6.87</v>
      </c>
      <c r="G9" s="17" t="n">
        <v>111771.55</v>
      </c>
      <c r="H9" s="26" t="n">
        <v>44342</v>
      </c>
      <c r="I9" s="26" t="n">
        <v>44343</v>
      </c>
      <c r="J9" s="12" t="n">
        <v>6.86</v>
      </c>
      <c r="K9" s="17" t="n">
        <v>767870.55</v>
      </c>
      <c r="L9" s="12" t="n">
        <v>0</v>
      </c>
      <c r="M9" s="12" t="n">
        <v>4</v>
      </c>
      <c r="N9" s="27">
        <f>F9-J9</f>
        <v/>
      </c>
      <c r="O9" s="16">
        <f>I9-H9</f>
        <v/>
      </c>
      <c r="P9" s="14">
        <f>F9*G9</f>
        <v/>
      </c>
      <c r="Q9" s="14">
        <f>J9*G9</f>
        <v/>
      </c>
      <c r="R9" s="14">
        <f>K9-Q9</f>
        <v/>
      </c>
      <c r="S9" s="3">
        <f>P9*Assumptions!$B$3/100</f>
        <v/>
      </c>
      <c r="T9" s="14">
        <f>R9-S9</f>
        <v/>
      </c>
      <c r="U9" s="14">
        <f>L9*G9</f>
        <v/>
      </c>
    </row>
    <row r="10">
      <c r="A10" s="12" t="inlineStr">
        <is>
          <t>PO-2021-0008</t>
        </is>
      </c>
      <c r="B10" s="26" t="n">
        <v>44278</v>
      </c>
      <c r="C10" s="12" t="inlineStr">
        <is>
          <t>VS06</t>
        </is>
      </c>
      <c r="D10" s="12" t="inlineStr">
        <is>
          <t>GI Wire</t>
        </is>
      </c>
      <c r="E10" s="12" t="inlineStr">
        <is>
          <t>N</t>
        </is>
      </c>
      <c r="F10" s="12" t="n">
        <v>33.21</v>
      </c>
      <c r="G10" s="17" t="n">
        <v>87392.02</v>
      </c>
      <c r="H10" s="26" t="n">
        <v>44286</v>
      </c>
      <c r="I10" s="26" t="n">
        <v>44287</v>
      </c>
      <c r="J10" s="12" t="n">
        <v>32.91</v>
      </c>
      <c r="K10" s="17" t="n">
        <v>2902288.98</v>
      </c>
      <c r="L10" s="12" t="n">
        <v>0</v>
      </c>
      <c r="M10" s="12" t="n">
        <v>17</v>
      </c>
      <c r="N10" s="27">
        <f>F10-J10</f>
        <v/>
      </c>
      <c r="O10" s="16">
        <f>I10-H10</f>
        <v/>
      </c>
      <c r="P10" s="14">
        <f>F10*G10</f>
        <v/>
      </c>
      <c r="Q10" s="14">
        <f>J10*G10</f>
        <v/>
      </c>
      <c r="R10" s="14">
        <f>K10-Q10</f>
        <v/>
      </c>
      <c r="S10" s="3">
        <f>P10*Assumptions!$B$3/100</f>
        <v/>
      </c>
      <c r="T10" s="14">
        <f>R10-S10</f>
        <v/>
      </c>
      <c r="U10" s="14">
        <f>L10*G10</f>
        <v/>
      </c>
    </row>
    <row r="11">
      <c r="A11" s="12" t="inlineStr">
        <is>
          <t>PO-2021-0009</t>
        </is>
      </c>
      <c r="B11" s="26" t="n">
        <v>44731</v>
      </c>
      <c r="C11" s="12" t="inlineStr">
        <is>
          <t>VS14</t>
        </is>
      </c>
      <c r="D11" s="12" t="inlineStr">
        <is>
          <t>MS Flats</t>
        </is>
      </c>
      <c r="E11" s="12" t="inlineStr">
        <is>
          <t>N</t>
        </is>
      </c>
      <c r="F11" s="12" t="n">
        <v>12.7</v>
      </c>
      <c r="G11" s="17" t="n">
        <v>74683.94</v>
      </c>
      <c r="H11" s="26" t="n">
        <v>44744</v>
      </c>
      <c r="I11" s="26" t="n">
        <v>44746</v>
      </c>
      <c r="J11" s="12" t="n">
        <v>12.64</v>
      </c>
      <c r="K11" s="17" t="n">
        <v>948486.04</v>
      </c>
      <c r="L11" s="12" t="n">
        <v>0</v>
      </c>
      <c r="M11" s="12" t="n">
        <v>1</v>
      </c>
      <c r="N11" s="27">
        <f>F11-J11</f>
        <v/>
      </c>
      <c r="O11" s="16">
        <f>I11-H11</f>
        <v/>
      </c>
      <c r="P11" s="14">
        <f>F11*G11</f>
        <v/>
      </c>
      <c r="Q11" s="14">
        <f>J11*G11</f>
        <v/>
      </c>
      <c r="R11" s="14">
        <f>K11-Q11</f>
        <v/>
      </c>
      <c r="S11" s="3">
        <f>P11*Assumptions!$B$3/100</f>
        <v/>
      </c>
      <c r="T11" s="14">
        <f>R11-S11</f>
        <v/>
      </c>
      <c r="U11" s="14">
        <f>L11*G11</f>
        <v/>
      </c>
    </row>
    <row r="12">
      <c r="A12" s="12" t="inlineStr">
        <is>
          <t>PO-2021-0010</t>
        </is>
      </c>
      <c r="B12" s="26" t="n">
        <v>44811</v>
      </c>
      <c r="C12" s="12" t="inlineStr">
        <is>
          <t>VS30</t>
        </is>
      </c>
      <c r="D12" s="12" t="inlineStr">
        <is>
          <t>MS Flats</t>
        </is>
      </c>
      <c r="E12" s="12" t="inlineStr">
        <is>
          <t>N</t>
        </is>
      </c>
      <c r="F12" s="12" t="n">
        <v>46.52</v>
      </c>
      <c r="G12" s="17" t="n">
        <v>115180.07</v>
      </c>
      <c r="H12" s="26" t="n">
        <v>44814</v>
      </c>
      <c r="I12" s="26" t="n">
        <v>44817</v>
      </c>
      <c r="J12" s="12" t="n">
        <v>46.32</v>
      </c>
      <c r="K12" s="17" t="n">
        <v>5358176.86</v>
      </c>
      <c r="L12" s="12" t="n">
        <v>0</v>
      </c>
      <c r="M12" s="12" t="n">
        <v>19</v>
      </c>
      <c r="N12" s="27">
        <f>F12-J12</f>
        <v/>
      </c>
      <c r="O12" s="16">
        <f>I12-H12</f>
        <v/>
      </c>
      <c r="P12" s="14">
        <f>F12*G12</f>
        <v/>
      </c>
      <c r="Q12" s="14">
        <f>J12*G12</f>
        <v/>
      </c>
      <c r="R12" s="14">
        <f>K12-Q12</f>
        <v/>
      </c>
      <c r="S12" s="3">
        <f>P12*Assumptions!$B$3/100</f>
        <v/>
      </c>
      <c r="T12" s="14">
        <f>R12-S12</f>
        <v/>
      </c>
      <c r="U12" s="14">
        <f>L12*G12</f>
        <v/>
      </c>
    </row>
    <row r="13">
      <c r="A13" s="12" t="inlineStr">
        <is>
          <t>PO-2021-0011</t>
        </is>
      </c>
      <c r="B13" s="26" t="n">
        <v>45135</v>
      </c>
      <c r="C13" s="12" t="inlineStr">
        <is>
          <t>VS07</t>
        </is>
      </c>
      <c r="D13" s="12" t="inlineStr">
        <is>
          <t>SS Pipes</t>
        </is>
      </c>
      <c r="E13" s="12" t="inlineStr">
        <is>
          <t>N</t>
        </is>
      </c>
      <c r="F13" s="12" t="n">
        <v>27.34</v>
      </c>
      <c r="G13" s="17" t="n">
        <v>82941.35000000001</v>
      </c>
      <c r="H13" s="26" t="n">
        <v>45140</v>
      </c>
      <c r="I13" s="26" t="n">
        <v>45141</v>
      </c>
      <c r="J13" s="12" t="n">
        <v>27.16</v>
      </c>
      <c r="K13" s="17" t="n">
        <v>2267616.51</v>
      </c>
      <c r="L13" s="12" t="n">
        <v>0</v>
      </c>
      <c r="M13" s="12" t="n">
        <v>21</v>
      </c>
      <c r="N13" s="27">
        <f>F13-J13</f>
        <v/>
      </c>
      <c r="O13" s="16">
        <f>I13-H13</f>
        <v/>
      </c>
      <c r="P13" s="14">
        <f>F13*G13</f>
        <v/>
      </c>
      <c r="Q13" s="14">
        <f>J13*G13</f>
        <v/>
      </c>
      <c r="R13" s="14">
        <f>K13-Q13</f>
        <v/>
      </c>
      <c r="S13" s="3">
        <f>P13*Assumptions!$B$3/100</f>
        <v/>
      </c>
      <c r="T13" s="14">
        <f>R13-S13</f>
        <v/>
      </c>
      <c r="U13" s="14">
        <f>L13*G13</f>
        <v/>
      </c>
    </row>
    <row r="14">
      <c r="A14" s="12" t="inlineStr">
        <is>
          <t>PO-2021-0012</t>
        </is>
      </c>
      <c r="B14" s="26" t="n">
        <v>44911</v>
      </c>
      <c r="C14" s="12" t="inlineStr">
        <is>
          <t>VS05</t>
        </is>
      </c>
      <c r="D14" s="12" t="inlineStr">
        <is>
          <t>HR Coils</t>
        </is>
      </c>
      <c r="E14" s="12" t="inlineStr">
        <is>
          <t>N</t>
        </is>
      </c>
      <c r="F14" s="12" t="n">
        <v>19.11</v>
      </c>
      <c r="G14" s="17" t="n">
        <v>56831.01</v>
      </c>
      <c r="H14" s="26" t="n">
        <v>44922</v>
      </c>
      <c r="I14" s="26" t="n">
        <v>44925</v>
      </c>
      <c r="J14" s="12" t="n">
        <v>18.94</v>
      </c>
      <c r="K14" s="17" t="n">
        <v>1086040.6</v>
      </c>
      <c r="L14" s="12" t="n">
        <v>0</v>
      </c>
      <c r="M14" s="12" t="n">
        <v>15</v>
      </c>
      <c r="N14" s="27">
        <f>F14-J14</f>
        <v/>
      </c>
      <c r="O14" s="16">
        <f>I14-H14</f>
        <v/>
      </c>
      <c r="P14" s="14">
        <f>F14*G14</f>
        <v/>
      </c>
      <c r="Q14" s="14">
        <f>J14*G14</f>
        <v/>
      </c>
      <c r="R14" s="14">
        <f>K14-Q14</f>
        <v/>
      </c>
      <c r="S14" s="3">
        <f>P14*Assumptions!$B$3/100</f>
        <v/>
      </c>
      <c r="T14" s="14">
        <f>R14-S14</f>
        <v/>
      </c>
      <c r="U14" s="14">
        <f>L14*G14</f>
        <v/>
      </c>
    </row>
    <row r="15">
      <c r="A15" s="12" t="inlineStr">
        <is>
          <t>PO-2021-0013</t>
        </is>
      </c>
      <c r="B15" s="26" t="n">
        <v>44816</v>
      </c>
      <c r="C15" s="12" t="inlineStr">
        <is>
          <t>VS34</t>
        </is>
      </c>
      <c r="D15" s="12" t="inlineStr">
        <is>
          <t>MS Pipes</t>
        </is>
      </c>
      <c r="E15" s="12" t="inlineStr">
        <is>
          <t>N</t>
        </is>
      </c>
      <c r="F15" s="12" t="n">
        <v>33.73</v>
      </c>
      <c r="G15" s="17" t="n">
        <v>86595.17</v>
      </c>
      <c r="H15" s="26" t="n">
        <v>44829</v>
      </c>
      <c r="I15" s="26" t="n">
        <v>44829</v>
      </c>
      <c r="J15" s="12" t="n">
        <v>33.68</v>
      </c>
      <c r="K15" s="17" t="n">
        <v>2920855.08</v>
      </c>
      <c r="L15" s="12" t="n">
        <v>0</v>
      </c>
      <c r="M15" s="12" t="n">
        <v>14</v>
      </c>
      <c r="N15" s="27">
        <f>F15-J15</f>
        <v/>
      </c>
      <c r="O15" s="16">
        <f>I15-H15</f>
        <v/>
      </c>
      <c r="P15" s="14">
        <f>F15*G15</f>
        <v/>
      </c>
      <c r="Q15" s="14">
        <f>J15*G15</f>
        <v/>
      </c>
      <c r="R15" s="14">
        <f>K15-Q15</f>
        <v/>
      </c>
      <c r="S15" s="3">
        <f>P15*Assumptions!$B$3/100</f>
        <v/>
      </c>
      <c r="T15" s="14">
        <f>R15-S15</f>
        <v/>
      </c>
      <c r="U15" s="14">
        <f>L15*G15</f>
        <v/>
      </c>
    </row>
    <row r="16">
      <c r="A16" s="12" t="inlineStr">
        <is>
          <t>PO-2021-0014</t>
        </is>
      </c>
      <c r="B16" s="26" t="n">
        <v>44409</v>
      </c>
      <c r="C16" s="12" t="inlineStr">
        <is>
          <t>VS09</t>
        </is>
      </c>
      <c r="D16" s="12" t="inlineStr">
        <is>
          <t>CR Sheets</t>
        </is>
      </c>
      <c r="E16" s="12" t="inlineStr">
        <is>
          <t>N</t>
        </is>
      </c>
      <c r="F16" s="12" t="n">
        <v>6.66</v>
      </c>
      <c r="G16" s="17" t="n">
        <v>53027.7</v>
      </c>
      <c r="H16" s="26" t="n">
        <v>44420</v>
      </c>
      <c r="I16" s="26" t="n">
        <v>44420</v>
      </c>
      <c r="J16" s="12" t="n">
        <v>6.61</v>
      </c>
      <c r="K16" s="17" t="n">
        <v>353164.48</v>
      </c>
      <c r="L16" s="12" t="n">
        <v>0</v>
      </c>
      <c r="M16" s="12" t="n">
        <v>14</v>
      </c>
      <c r="N16" s="27">
        <f>F16-J16</f>
        <v/>
      </c>
      <c r="O16" s="16">
        <f>I16-H16</f>
        <v/>
      </c>
      <c r="P16" s="14">
        <f>F16*G16</f>
        <v/>
      </c>
      <c r="Q16" s="14">
        <f>J16*G16</f>
        <v/>
      </c>
      <c r="R16" s="14">
        <f>K16-Q16</f>
        <v/>
      </c>
      <c r="S16" s="3">
        <f>P16*Assumptions!$B$3/100</f>
        <v/>
      </c>
      <c r="T16" s="14">
        <f>R16-S16</f>
        <v/>
      </c>
      <c r="U16" s="14">
        <f>L16*G16</f>
        <v/>
      </c>
    </row>
    <row r="17">
      <c r="A17" s="12" t="inlineStr">
        <is>
          <t>PO-2021-0015</t>
        </is>
      </c>
      <c r="B17" s="26" t="n">
        <v>44515</v>
      </c>
      <c r="C17" s="12" t="inlineStr">
        <is>
          <t>VS18</t>
        </is>
      </c>
      <c r="D17" s="12" t="inlineStr">
        <is>
          <t>SS Sheets</t>
        </is>
      </c>
      <c r="E17" s="12" t="inlineStr">
        <is>
          <t>N</t>
        </is>
      </c>
      <c r="F17" s="12" t="n">
        <v>30.64</v>
      </c>
      <c r="G17" s="17" t="n">
        <v>98820.91</v>
      </c>
      <c r="H17" s="26" t="n">
        <v>44521</v>
      </c>
      <c r="I17" s="26" t="n">
        <v>44524</v>
      </c>
      <c r="J17" s="12" t="n">
        <v>30.49</v>
      </c>
      <c r="K17" s="17" t="n">
        <v>3027872.68</v>
      </c>
      <c r="L17" s="12" t="n">
        <v>0</v>
      </c>
      <c r="M17" s="12" t="n">
        <v>0</v>
      </c>
      <c r="N17" s="27">
        <f>F17-J17</f>
        <v/>
      </c>
      <c r="O17" s="16">
        <f>I17-H17</f>
        <v/>
      </c>
      <c r="P17" s="14">
        <f>F17*G17</f>
        <v/>
      </c>
      <c r="Q17" s="14">
        <f>J17*G17</f>
        <v/>
      </c>
      <c r="R17" s="14">
        <f>K17-Q17</f>
        <v/>
      </c>
      <c r="S17" s="3">
        <f>P17*Assumptions!$B$3/100</f>
        <v/>
      </c>
      <c r="T17" s="14">
        <f>R17-S17</f>
        <v/>
      </c>
      <c r="U17" s="14">
        <f>L17*G17</f>
        <v/>
      </c>
    </row>
    <row r="18">
      <c r="A18" s="12" t="inlineStr">
        <is>
          <t>PO-2021-0016</t>
        </is>
      </c>
      <c r="B18" s="26" t="n">
        <v>44737</v>
      </c>
      <c r="C18" s="12" t="inlineStr">
        <is>
          <t>VS33</t>
        </is>
      </c>
      <c r="D18" s="12" t="inlineStr">
        <is>
          <t>Structural Steel</t>
        </is>
      </c>
      <c r="E18" s="12" t="inlineStr">
        <is>
          <t>N</t>
        </is>
      </c>
      <c r="F18" s="12" t="n">
        <v>13.3</v>
      </c>
      <c r="G18" s="17" t="n">
        <v>113111.93</v>
      </c>
      <c r="H18" s="26" t="n">
        <v>44740</v>
      </c>
      <c r="I18" s="26" t="n">
        <v>44742</v>
      </c>
      <c r="J18" s="12" t="n">
        <v>13.18</v>
      </c>
      <c r="K18" s="17" t="n">
        <v>1504388.67</v>
      </c>
      <c r="L18" s="12" t="n">
        <v>0</v>
      </c>
      <c r="M18" s="12" t="n">
        <v>19</v>
      </c>
      <c r="N18" s="27">
        <f>F18-J18</f>
        <v/>
      </c>
      <c r="O18" s="16">
        <f>I18-H18</f>
        <v/>
      </c>
      <c r="P18" s="14">
        <f>F18*G18</f>
        <v/>
      </c>
      <c r="Q18" s="14">
        <f>J18*G18</f>
        <v/>
      </c>
      <c r="R18" s="14">
        <f>K18-Q18</f>
        <v/>
      </c>
      <c r="S18" s="3">
        <f>P18*Assumptions!$B$3/100</f>
        <v/>
      </c>
      <c r="T18" s="14">
        <f>R18-S18</f>
        <v/>
      </c>
      <c r="U18" s="14">
        <f>L18*G18</f>
        <v/>
      </c>
    </row>
    <row r="19">
      <c r="A19" s="12" t="inlineStr">
        <is>
          <t>PO-2021-0017</t>
        </is>
      </c>
      <c r="B19" s="26" t="n">
        <v>44386</v>
      </c>
      <c r="C19" s="12" t="inlineStr">
        <is>
          <t>VS28</t>
        </is>
      </c>
      <c r="D19" s="12" t="inlineStr">
        <is>
          <t>CR Sheets</t>
        </is>
      </c>
      <c r="E19" s="12" t="inlineStr">
        <is>
          <t>N</t>
        </is>
      </c>
      <c r="F19" s="12" t="n">
        <v>3.16</v>
      </c>
      <c r="G19" s="17" t="n">
        <v>70016.74000000001</v>
      </c>
      <c r="H19" s="26" t="n">
        <v>44391</v>
      </c>
      <c r="I19" s="26" t="n">
        <v>44394</v>
      </c>
      <c r="J19" s="12" t="n">
        <v>3.13</v>
      </c>
      <c r="K19" s="17" t="n">
        <v>221252.9</v>
      </c>
      <c r="L19" s="12" t="n">
        <v>0</v>
      </c>
      <c r="M19" s="12" t="n">
        <v>2</v>
      </c>
      <c r="N19" s="27">
        <f>F19-J19</f>
        <v/>
      </c>
      <c r="O19" s="16">
        <f>I19-H19</f>
        <v/>
      </c>
      <c r="P19" s="14">
        <f>F19*G19</f>
        <v/>
      </c>
      <c r="Q19" s="14">
        <f>J19*G19</f>
        <v/>
      </c>
      <c r="R19" s="14">
        <f>K19-Q19</f>
        <v/>
      </c>
      <c r="S19" s="3">
        <f>P19*Assumptions!$B$3/100</f>
        <v/>
      </c>
      <c r="T19" s="14">
        <f>R19-S19</f>
        <v/>
      </c>
      <c r="U19" s="14">
        <f>L19*G19</f>
        <v/>
      </c>
    </row>
    <row r="20">
      <c r="A20" s="12" t="inlineStr">
        <is>
          <t>PO-2021-0018</t>
        </is>
      </c>
      <c r="B20" s="26" t="n">
        <v>44733</v>
      </c>
      <c r="C20" s="12" t="inlineStr">
        <is>
          <t>VS11</t>
        </is>
      </c>
      <c r="D20" s="12" t="inlineStr">
        <is>
          <t>Fasteners &amp; Fittings</t>
        </is>
      </c>
      <c r="E20" s="12" t="inlineStr">
        <is>
          <t>N</t>
        </is>
      </c>
      <c r="F20" s="12" t="n">
        <v>28.03</v>
      </c>
      <c r="G20" s="17" t="n">
        <v>77076.52</v>
      </c>
      <c r="H20" s="26" t="n">
        <v>44736</v>
      </c>
      <c r="I20" s="26" t="n">
        <v>44739</v>
      </c>
      <c r="J20" s="12" t="n">
        <v>27.82</v>
      </c>
      <c r="K20" s="17" t="n">
        <v>2160454.86</v>
      </c>
      <c r="L20" s="12" t="n">
        <v>0</v>
      </c>
      <c r="M20" s="12" t="n">
        <v>6</v>
      </c>
      <c r="N20" s="27">
        <f>F20-J20</f>
        <v/>
      </c>
      <c r="O20" s="16">
        <f>I20-H20</f>
        <v/>
      </c>
      <c r="P20" s="14">
        <f>F20*G20</f>
        <v/>
      </c>
      <c r="Q20" s="14">
        <f>J20*G20</f>
        <v/>
      </c>
      <c r="R20" s="14">
        <f>K20-Q20</f>
        <v/>
      </c>
      <c r="S20" s="3">
        <f>P20*Assumptions!$B$3/100</f>
        <v/>
      </c>
      <c r="T20" s="14">
        <f>R20-S20</f>
        <v/>
      </c>
      <c r="U20" s="14">
        <f>L20*G20</f>
        <v/>
      </c>
    </row>
    <row r="21">
      <c r="A21" s="12" t="inlineStr">
        <is>
          <t>PO-2021-0019</t>
        </is>
      </c>
      <c r="B21" s="26" t="n">
        <v>44426</v>
      </c>
      <c r="C21" s="12" t="inlineStr">
        <is>
          <t>VS05</t>
        </is>
      </c>
      <c r="D21" s="12" t="inlineStr">
        <is>
          <t>Square/Rect Tubes</t>
        </is>
      </c>
      <c r="E21" s="12" t="inlineStr">
        <is>
          <t>N</t>
        </is>
      </c>
      <c r="F21" s="12" t="n">
        <v>27.73</v>
      </c>
      <c r="G21" s="17" t="n">
        <v>107594.63</v>
      </c>
      <c r="H21" s="26" t="n">
        <v>44438</v>
      </c>
      <c r="I21" s="26" t="n">
        <v>44440</v>
      </c>
      <c r="J21" s="12" t="n">
        <v>27.51</v>
      </c>
      <c r="K21" s="17" t="n">
        <v>2983599.09</v>
      </c>
      <c r="L21" s="12" t="n">
        <v>0</v>
      </c>
      <c r="M21" s="12" t="n">
        <v>11</v>
      </c>
      <c r="N21" s="27">
        <f>F21-J21</f>
        <v/>
      </c>
      <c r="O21" s="16">
        <f>I21-H21</f>
        <v/>
      </c>
      <c r="P21" s="14">
        <f>F21*G21</f>
        <v/>
      </c>
      <c r="Q21" s="14">
        <f>J21*G21</f>
        <v/>
      </c>
      <c r="R21" s="14">
        <f>K21-Q21</f>
        <v/>
      </c>
      <c r="S21" s="3">
        <f>P21*Assumptions!$B$3/100</f>
        <v/>
      </c>
      <c r="T21" s="14">
        <f>R21-S21</f>
        <v/>
      </c>
      <c r="U21" s="14">
        <f>L21*G21</f>
        <v/>
      </c>
    </row>
    <row r="22">
      <c r="A22" s="12" t="inlineStr">
        <is>
          <t>PO-2021-0020</t>
        </is>
      </c>
      <c r="B22" s="26" t="n">
        <v>44500</v>
      </c>
      <c r="C22" s="12" t="inlineStr">
        <is>
          <t>VS28</t>
        </is>
      </c>
      <c r="D22" s="12" t="inlineStr">
        <is>
          <t>Square/Rect Tubes</t>
        </is>
      </c>
      <c r="E22" s="12" t="inlineStr">
        <is>
          <t>N</t>
        </is>
      </c>
      <c r="F22" s="12" t="n">
        <v>3.05</v>
      </c>
      <c r="G22" s="17" t="n">
        <v>72348.86</v>
      </c>
      <c r="H22" s="26" t="n">
        <v>44515</v>
      </c>
      <c r="I22" s="26" t="n">
        <v>44518</v>
      </c>
      <c r="J22" s="12" t="n">
        <v>3.04</v>
      </c>
      <c r="K22" s="17" t="n">
        <v>220664.02</v>
      </c>
      <c r="L22" s="12" t="n">
        <v>0</v>
      </c>
      <c r="M22" s="12" t="n">
        <v>9</v>
      </c>
      <c r="N22" s="27">
        <f>F22-J22</f>
        <v/>
      </c>
      <c r="O22" s="16">
        <f>I22-H22</f>
        <v/>
      </c>
      <c r="P22" s="14">
        <f>F22*G22</f>
        <v/>
      </c>
      <c r="Q22" s="14">
        <f>J22*G22</f>
        <v/>
      </c>
      <c r="R22" s="14">
        <f>K22-Q22</f>
        <v/>
      </c>
      <c r="S22" s="3">
        <f>P22*Assumptions!$B$3/100</f>
        <v/>
      </c>
      <c r="T22" s="14">
        <f>R22-S22</f>
        <v/>
      </c>
      <c r="U22" s="14">
        <f>L22*G22</f>
        <v/>
      </c>
    </row>
    <row r="23">
      <c r="A23" s="12" t="inlineStr">
        <is>
          <t>PO-2021-0021</t>
        </is>
      </c>
      <c r="B23" s="26" t="n">
        <v>44278</v>
      </c>
      <c r="C23" s="12" t="inlineStr">
        <is>
          <t>VS23</t>
        </is>
      </c>
      <c r="D23" s="12" t="inlineStr">
        <is>
          <t>GI Sheets</t>
        </is>
      </c>
      <c r="E23" s="12" t="inlineStr">
        <is>
          <t>N</t>
        </is>
      </c>
      <c r="F23" s="12" t="n">
        <v>34.42</v>
      </c>
      <c r="G23" s="17" t="n">
        <v>95020.00999999999</v>
      </c>
      <c r="H23" s="26" t="n">
        <v>44286</v>
      </c>
      <c r="I23" s="26" t="n">
        <v>44289</v>
      </c>
      <c r="J23" s="12" t="n">
        <v>34.34</v>
      </c>
      <c r="K23" s="17" t="n">
        <v>3270588.74</v>
      </c>
      <c r="L23" s="12" t="n">
        <v>0</v>
      </c>
      <c r="M23" s="12" t="n">
        <v>0</v>
      </c>
      <c r="N23" s="27">
        <f>F23-J23</f>
        <v/>
      </c>
      <c r="O23" s="16">
        <f>I23-H23</f>
        <v/>
      </c>
      <c r="P23" s="14">
        <f>F23*G23</f>
        <v/>
      </c>
      <c r="Q23" s="14">
        <f>J23*G23</f>
        <v/>
      </c>
      <c r="R23" s="14">
        <f>K23-Q23</f>
        <v/>
      </c>
      <c r="S23" s="3">
        <f>P23*Assumptions!$B$3/100</f>
        <v/>
      </c>
      <c r="T23" s="14">
        <f>R23-S23</f>
        <v/>
      </c>
      <c r="U23" s="14">
        <f>L23*G23</f>
        <v/>
      </c>
    </row>
    <row r="24">
      <c r="A24" s="12" t="inlineStr">
        <is>
          <t>PO-2021-0022</t>
        </is>
      </c>
      <c r="B24" s="26" t="n">
        <v>45029</v>
      </c>
      <c r="C24" s="12" t="inlineStr">
        <is>
          <t>VS10</t>
        </is>
      </c>
      <c r="D24" s="12" t="inlineStr">
        <is>
          <t>HR Coils</t>
        </is>
      </c>
      <c r="E24" s="12" t="inlineStr">
        <is>
          <t>N</t>
        </is>
      </c>
      <c r="F24" s="12" t="n">
        <v>43.37</v>
      </c>
      <c r="G24" s="17" t="n">
        <v>118215.45</v>
      </c>
      <c r="H24" s="26" t="n">
        <v>45044</v>
      </c>
      <c r="I24" s="26" t="n">
        <v>45047</v>
      </c>
      <c r="J24" s="12" t="n">
        <v>43.14</v>
      </c>
      <c r="K24" s="17" t="n">
        <v>5127004.07</v>
      </c>
      <c r="L24" s="12" t="n">
        <v>0</v>
      </c>
      <c r="M24" s="12" t="n">
        <v>15</v>
      </c>
      <c r="N24" s="27">
        <f>F24-J24</f>
        <v/>
      </c>
      <c r="O24" s="16">
        <f>I24-H24</f>
        <v/>
      </c>
      <c r="P24" s="14">
        <f>F24*G24</f>
        <v/>
      </c>
      <c r="Q24" s="14">
        <f>J24*G24</f>
        <v/>
      </c>
      <c r="R24" s="14">
        <f>K24-Q24</f>
        <v/>
      </c>
      <c r="S24" s="3">
        <f>P24*Assumptions!$B$3/100</f>
        <v/>
      </c>
      <c r="T24" s="14">
        <f>R24-S24</f>
        <v/>
      </c>
      <c r="U24" s="14">
        <f>L24*G24</f>
        <v/>
      </c>
    </row>
    <row r="25">
      <c r="A25" s="12" t="inlineStr">
        <is>
          <t>PO-2021-0023</t>
        </is>
      </c>
      <c r="B25" s="26" t="n">
        <v>44559</v>
      </c>
      <c r="C25" s="12" t="inlineStr">
        <is>
          <t>VS27</t>
        </is>
      </c>
      <c r="D25" s="12" t="inlineStr">
        <is>
          <t>MS Pipes</t>
        </is>
      </c>
      <c r="E25" s="12" t="inlineStr">
        <is>
          <t>N</t>
        </is>
      </c>
      <c r="F25" s="12" t="n">
        <v>9.789999999999999</v>
      </c>
      <c r="G25" s="17" t="n">
        <v>114336.55</v>
      </c>
      <c r="H25" s="26" t="n">
        <v>44574</v>
      </c>
      <c r="I25" s="26" t="n">
        <v>44577</v>
      </c>
      <c r="J25" s="12" t="n">
        <v>9.779999999999999</v>
      </c>
      <c r="K25" s="17" t="n">
        <v>1119354.82</v>
      </c>
      <c r="L25" s="12" t="n">
        <v>0</v>
      </c>
      <c r="M25" s="12" t="n">
        <v>0</v>
      </c>
      <c r="N25" s="27">
        <f>F25-J25</f>
        <v/>
      </c>
      <c r="O25" s="16">
        <f>I25-H25</f>
        <v/>
      </c>
      <c r="P25" s="14">
        <f>F25*G25</f>
        <v/>
      </c>
      <c r="Q25" s="14">
        <f>J25*G25</f>
        <v/>
      </c>
      <c r="R25" s="14">
        <f>K25-Q25</f>
        <v/>
      </c>
      <c r="S25" s="3">
        <f>P25*Assumptions!$B$3/100</f>
        <v/>
      </c>
      <c r="T25" s="14">
        <f>R25-S25</f>
        <v/>
      </c>
      <c r="U25" s="14">
        <f>L25*G25</f>
        <v/>
      </c>
    </row>
    <row r="26">
      <c r="A26" s="12" t="inlineStr">
        <is>
          <t>PO-2021-0024</t>
        </is>
      </c>
      <c r="B26" s="26" t="n">
        <v>45040</v>
      </c>
      <c r="C26" s="12" t="inlineStr">
        <is>
          <t>VS16</t>
        </is>
      </c>
      <c r="D26" s="12" t="inlineStr">
        <is>
          <t>CR Sheets</t>
        </is>
      </c>
      <c r="E26" s="12" t="inlineStr">
        <is>
          <t>N</t>
        </is>
      </c>
      <c r="F26" s="12" t="n">
        <v>8.800000000000001</v>
      </c>
      <c r="G26" s="17" t="n">
        <v>97595.86</v>
      </c>
      <c r="H26" s="26" t="n">
        <v>45049</v>
      </c>
      <c r="I26" s="26" t="n">
        <v>45052</v>
      </c>
      <c r="J26" s="12" t="n">
        <v>8.74</v>
      </c>
      <c r="K26" s="17" t="n">
        <v>858843.5699999999</v>
      </c>
      <c r="L26" s="12" t="n">
        <v>0</v>
      </c>
      <c r="M26" s="12" t="n">
        <v>1</v>
      </c>
      <c r="N26" s="27">
        <f>F26-J26</f>
        <v/>
      </c>
      <c r="O26" s="16">
        <f>I26-H26</f>
        <v/>
      </c>
      <c r="P26" s="14">
        <f>F26*G26</f>
        <v/>
      </c>
      <c r="Q26" s="14">
        <f>J26*G26</f>
        <v/>
      </c>
      <c r="R26" s="14">
        <f>K26-Q26</f>
        <v/>
      </c>
      <c r="S26" s="3">
        <f>P26*Assumptions!$B$3/100</f>
        <v/>
      </c>
      <c r="T26" s="14">
        <f>R26-S26</f>
        <v/>
      </c>
      <c r="U26" s="14">
        <f>L26*G26</f>
        <v/>
      </c>
    </row>
    <row r="27">
      <c r="A27" s="12" t="inlineStr">
        <is>
          <t>PO-2021-0025</t>
        </is>
      </c>
      <c r="B27" s="26" t="n">
        <v>44276</v>
      </c>
      <c r="C27" s="12" t="inlineStr">
        <is>
          <t>VS31</t>
        </is>
      </c>
      <c r="D27" s="12" t="inlineStr">
        <is>
          <t>HR Coils</t>
        </is>
      </c>
      <c r="E27" s="12" t="inlineStr">
        <is>
          <t>N</t>
        </is>
      </c>
      <c r="F27" s="12" t="n">
        <v>10.78</v>
      </c>
      <c r="G27" s="17" t="n">
        <v>113883.89</v>
      </c>
      <c r="H27" s="26" t="n">
        <v>44284</v>
      </c>
      <c r="I27" s="26" t="n">
        <v>44286</v>
      </c>
      <c r="J27" s="12" t="n">
        <v>10.77</v>
      </c>
      <c r="K27" s="17" t="n">
        <v>1227668.33</v>
      </c>
      <c r="L27" s="12" t="n">
        <v>0</v>
      </c>
      <c r="M27" s="12" t="n">
        <v>21</v>
      </c>
      <c r="N27" s="27">
        <f>F27-J27</f>
        <v/>
      </c>
      <c r="O27" s="16">
        <f>I27-H27</f>
        <v/>
      </c>
      <c r="P27" s="14">
        <f>F27*G27</f>
        <v/>
      </c>
      <c r="Q27" s="14">
        <f>J27*G27</f>
        <v/>
      </c>
      <c r="R27" s="14">
        <f>K27-Q27</f>
        <v/>
      </c>
      <c r="S27" s="3">
        <f>P27*Assumptions!$B$3/100</f>
        <v/>
      </c>
      <c r="T27" s="14">
        <f>R27-S27</f>
        <v/>
      </c>
      <c r="U27" s="14">
        <f>L27*G27</f>
        <v/>
      </c>
    </row>
    <row r="28">
      <c r="A28" s="12" t="inlineStr">
        <is>
          <t>PO-2021-0026</t>
        </is>
      </c>
      <c r="B28" s="26" t="n">
        <v>44822</v>
      </c>
      <c r="C28" s="12" t="inlineStr">
        <is>
          <t>VS15</t>
        </is>
      </c>
      <c r="D28" s="12" t="inlineStr">
        <is>
          <t>HR Coils</t>
        </is>
      </c>
      <c r="E28" s="12" t="inlineStr">
        <is>
          <t>Y</t>
        </is>
      </c>
      <c r="F28" s="12" t="n">
        <v>2.16</v>
      </c>
      <c r="G28" s="17" t="n">
        <v>59484.73</v>
      </c>
      <c r="H28" s="26" t="n">
        <v>44830</v>
      </c>
      <c r="I28" s="26" t="n">
        <v>44833</v>
      </c>
      <c r="J28" s="12" t="n">
        <v>2.15</v>
      </c>
      <c r="K28" s="17" t="n">
        <v>128487.02</v>
      </c>
      <c r="L28" s="12" t="n">
        <v>0</v>
      </c>
      <c r="M28" s="12" t="n">
        <v>23</v>
      </c>
      <c r="N28" s="27">
        <f>F28-J28</f>
        <v/>
      </c>
      <c r="O28" s="16">
        <f>I28-H28</f>
        <v/>
      </c>
      <c r="P28" s="14">
        <f>F28*G28</f>
        <v/>
      </c>
      <c r="Q28" s="14">
        <f>J28*G28</f>
        <v/>
      </c>
      <c r="R28" s="14">
        <f>K28-Q28</f>
        <v/>
      </c>
      <c r="S28" s="3">
        <f>P28*Assumptions!$B$3/100</f>
        <v/>
      </c>
      <c r="T28" s="14">
        <f>R28-S28</f>
        <v/>
      </c>
      <c r="U28" s="14">
        <f>L28*G28</f>
        <v/>
      </c>
    </row>
    <row r="29">
      <c r="A29" s="12" t="inlineStr">
        <is>
          <t>PO-2021-0027</t>
        </is>
      </c>
      <c r="B29" s="26" t="n">
        <v>44767</v>
      </c>
      <c r="C29" s="12" t="inlineStr">
        <is>
          <t>VS05</t>
        </is>
      </c>
      <c r="D29" s="12" t="inlineStr">
        <is>
          <t>CR Sheets</t>
        </is>
      </c>
      <c r="E29" s="12" t="inlineStr">
        <is>
          <t>Y</t>
        </is>
      </c>
      <c r="F29" s="12" t="n">
        <v>18.21</v>
      </c>
      <c r="G29" s="17" t="n">
        <v>83205.42999999999</v>
      </c>
      <c r="H29" s="26" t="n">
        <v>44780</v>
      </c>
      <c r="I29" s="26" t="n">
        <v>44781</v>
      </c>
      <c r="J29" s="12" t="n">
        <v>18.18</v>
      </c>
      <c r="K29" s="17" t="n">
        <v>1515170.88</v>
      </c>
      <c r="L29" s="12" t="n">
        <v>0</v>
      </c>
      <c r="M29" s="12" t="n">
        <v>16</v>
      </c>
      <c r="N29" s="27">
        <f>F29-J29</f>
        <v/>
      </c>
      <c r="O29" s="16">
        <f>I29-H29</f>
        <v/>
      </c>
      <c r="P29" s="14">
        <f>F29*G29</f>
        <v/>
      </c>
      <c r="Q29" s="14">
        <f>J29*G29</f>
        <v/>
      </c>
      <c r="R29" s="14">
        <f>K29-Q29</f>
        <v/>
      </c>
      <c r="S29" s="3">
        <f>P29*Assumptions!$B$3/100</f>
        <v/>
      </c>
      <c r="T29" s="14">
        <f>R29-S29</f>
        <v/>
      </c>
      <c r="U29" s="14">
        <f>L29*G29</f>
        <v/>
      </c>
    </row>
    <row r="30">
      <c r="A30" s="12" t="inlineStr">
        <is>
          <t>PO-2021-0028</t>
        </is>
      </c>
      <c r="B30" s="26" t="n">
        <v>44875</v>
      </c>
      <c r="C30" s="12" t="inlineStr">
        <is>
          <t>VS02</t>
        </is>
      </c>
      <c r="D30" s="12" t="inlineStr">
        <is>
          <t>ERW Pipes</t>
        </is>
      </c>
      <c r="E30" s="12" t="inlineStr">
        <is>
          <t>N</t>
        </is>
      </c>
      <c r="F30" s="12" t="n">
        <v>43.97</v>
      </c>
      <c r="G30" s="17" t="n">
        <v>64591.14</v>
      </c>
      <c r="H30" s="26" t="n">
        <v>44887</v>
      </c>
      <c r="I30" s="26" t="n">
        <v>44890</v>
      </c>
      <c r="J30" s="12" t="n">
        <v>43.86</v>
      </c>
      <c r="K30" s="17" t="n">
        <v>2840072.43</v>
      </c>
      <c r="L30" s="12" t="n">
        <v>0</v>
      </c>
      <c r="M30" s="12" t="n">
        <v>6</v>
      </c>
      <c r="N30" s="27">
        <f>F30-J30</f>
        <v/>
      </c>
      <c r="O30" s="16">
        <f>I30-H30</f>
        <v/>
      </c>
      <c r="P30" s="14">
        <f>F30*G30</f>
        <v/>
      </c>
      <c r="Q30" s="14">
        <f>J30*G30</f>
        <v/>
      </c>
      <c r="R30" s="14">
        <f>K30-Q30</f>
        <v/>
      </c>
      <c r="S30" s="3">
        <f>P30*Assumptions!$B$3/100</f>
        <v/>
      </c>
      <c r="T30" s="14">
        <f>R30-S30</f>
        <v/>
      </c>
      <c r="U30" s="14">
        <f>L30*G30</f>
        <v/>
      </c>
    </row>
    <row r="31">
      <c r="A31" s="12" t="inlineStr">
        <is>
          <t>PO-2021-0029</t>
        </is>
      </c>
      <c r="B31" s="26" t="n">
        <v>44740</v>
      </c>
      <c r="C31" s="12" t="inlineStr">
        <is>
          <t>VS03</t>
        </is>
      </c>
      <c r="D31" s="12" t="inlineStr">
        <is>
          <t>ERW Pipes</t>
        </is>
      </c>
      <c r="E31" s="12" t="inlineStr">
        <is>
          <t>N</t>
        </is>
      </c>
      <c r="F31" s="12" t="n">
        <v>30.23</v>
      </c>
      <c r="G31" s="17" t="n">
        <v>73763.59</v>
      </c>
      <c r="H31" s="26" t="n">
        <v>44755</v>
      </c>
      <c r="I31" s="26" t="n">
        <v>44758</v>
      </c>
      <c r="J31" s="12" t="n">
        <v>28.88</v>
      </c>
      <c r="K31" s="17" t="n">
        <v>2229873.33</v>
      </c>
      <c r="L31" s="12" t="n">
        <v>0.84</v>
      </c>
      <c r="M31" s="12" t="n">
        <v>24</v>
      </c>
      <c r="N31" s="27">
        <f>F31-J31</f>
        <v/>
      </c>
      <c r="O31" s="16">
        <f>I31-H31</f>
        <v/>
      </c>
      <c r="P31" s="14">
        <f>F31*G31</f>
        <v/>
      </c>
      <c r="Q31" s="14">
        <f>J31*G31</f>
        <v/>
      </c>
      <c r="R31" s="14">
        <f>K31-Q31</f>
        <v/>
      </c>
      <c r="S31" s="3">
        <f>P31*Assumptions!$B$3/100</f>
        <v/>
      </c>
      <c r="T31" s="14">
        <f>R31-S31</f>
        <v/>
      </c>
      <c r="U31" s="14">
        <f>L31*G31</f>
        <v/>
      </c>
    </row>
    <row r="32">
      <c r="A32" s="12" t="inlineStr">
        <is>
          <t>PO-2021-0030</t>
        </is>
      </c>
      <c r="B32" s="26" t="n">
        <v>44839</v>
      </c>
      <c r="C32" s="12" t="inlineStr">
        <is>
          <t>VS28</t>
        </is>
      </c>
      <c r="D32" s="12" t="inlineStr">
        <is>
          <t>Hex Bars</t>
        </is>
      </c>
      <c r="E32" s="12" t="inlineStr">
        <is>
          <t>N</t>
        </is>
      </c>
      <c r="F32" s="12" t="n">
        <v>6.67</v>
      </c>
      <c r="G32" s="17" t="n">
        <v>112462.85</v>
      </c>
      <c r="H32" s="26" t="n">
        <v>44845</v>
      </c>
      <c r="I32" s="26" t="n">
        <v>44848</v>
      </c>
      <c r="J32" s="12" t="n">
        <v>6.63</v>
      </c>
      <c r="K32" s="17" t="n">
        <v>750127.21</v>
      </c>
      <c r="L32" s="12" t="n">
        <v>0</v>
      </c>
      <c r="M32" s="12" t="n">
        <v>6</v>
      </c>
      <c r="N32" s="27">
        <f>F32-J32</f>
        <v/>
      </c>
      <c r="O32" s="16">
        <f>I32-H32</f>
        <v/>
      </c>
      <c r="P32" s="14">
        <f>F32*G32</f>
        <v/>
      </c>
      <c r="Q32" s="14">
        <f>J32*G32</f>
        <v/>
      </c>
      <c r="R32" s="14">
        <f>K32-Q32</f>
        <v/>
      </c>
      <c r="S32" s="3">
        <f>P32*Assumptions!$B$3/100</f>
        <v/>
      </c>
      <c r="T32" s="14">
        <f>R32-S32</f>
        <v/>
      </c>
      <c r="U32" s="14">
        <f>L32*G32</f>
        <v/>
      </c>
    </row>
    <row r="33">
      <c r="A33" s="12" t="inlineStr">
        <is>
          <t>PO-2021-0031</t>
        </is>
      </c>
      <c r="B33" s="26" t="n">
        <v>44718</v>
      </c>
      <c r="C33" s="12" t="inlineStr">
        <is>
          <t>VS03</t>
        </is>
      </c>
      <c r="D33" s="12" t="inlineStr">
        <is>
          <t>GI Wire</t>
        </is>
      </c>
      <c r="E33" s="12" t="inlineStr">
        <is>
          <t>N</t>
        </is>
      </c>
      <c r="F33" s="12" t="n">
        <v>1.08</v>
      </c>
      <c r="G33" s="17" t="n">
        <v>118994.86</v>
      </c>
      <c r="H33" s="26" t="n">
        <v>44729</v>
      </c>
      <c r="I33" s="26" t="n">
        <v>44737</v>
      </c>
      <c r="J33" s="12" t="n">
        <v>1.04</v>
      </c>
      <c r="K33" s="17" t="n">
        <v>128514.45</v>
      </c>
      <c r="L33" s="12" t="n">
        <v>0.04</v>
      </c>
      <c r="M33" s="12" t="n">
        <v>0</v>
      </c>
      <c r="N33" s="27">
        <f>F33-J33</f>
        <v/>
      </c>
      <c r="O33" s="16">
        <f>I33-H33</f>
        <v/>
      </c>
      <c r="P33" s="14">
        <f>F33*G33</f>
        <v/>
      </c>
      <c r="Q33" s="14">
        <f>J33*G33</f>
        <v/>
      </c>
      <c r="R33" s="14">
        <f>K33-Q33</f>
        <v/>
      </c>
      <c r="S33" s="3">
        <f>P33*Assumptions!$B$3/100</f>
        <v/>
      </c>
      <c r="T33" s="14">
        <f>R33-S33</f>
        <v/>
      </c>
      <c r="U33" s="14">
        <f>L33*G33</f>
        <v/>
      </c>
    </row>
    <row r="34">
      <c r="A34" s="12" t="inlineStr">
        <is>
          <t>PO-2021-0032</t>
        </is>
      </c>
      <c r="B34" s="26" t="n">
        <v>44600</v>
      </c>
      <c r="C34" s="12" t="inlineStr">
        <is>
          <t>VS24</t>
        </is>
      </c>
      <c r="D34" s="12" t="inlineStr">
        <is>
          <t>GI Wire</t>
        </is>
      </c>
      <c r="E34" s="12" t="inlineStr">
        <is>
          <t>N</t>
        </is>
      </c>
      <c r="F34" s="12" t="n">
        <v>4.43</v>
      </c>
      <c r="G34" s="17" t="n">
        <v>94817.83</v>
      </c>
      <c r="H34" s="26" t="n">
        <v>44608</v>
      </c>
      <c r="I34" s="26" t="n">
        <v>44610</v>
      </c>
      <c r="J34" s="12" t="n">
        <v>4.43</v>
      </c>
      <c r="K34" s="17" t="n">
        <v>420042.99</v>
      </c>
      <c r="L34" s="12" t="n">
        <v>0</v>
      </c>
      <c r="M34" s="12" t="n">
        <v>0</v>
      </c>
      <c r="N34" s="27">
        <f>F34-J34</f>
        <v/>
      </c>
      <c r="O34" s="16">
        <f>I34-H34</f>
        <v/>
      </c>
      <c r="P34" s="14">
        <f>F34*G34</f>
        <v/>
      </c>
      <c r="Q34" s="14">
        <f>J34*G34</f>
        <v/>
      </c>
      <c r="R34" s="14">
        <f>K34-Q34</f>
        <v/>
      </c>
      <c r="S34" s="3">
        <f>P34*Assumptions!$B$3/100</f>
        <v/>
      </c>
      <c r="T34" s="14">
        <f>R34-S34</f>
        <v/>
      </c>
      <c r="U34" s="14">
        <f>L34*G34</f>
        <v/>
      </c>
    </row>
    <row r="35">
      <c r="A35" s="12" t="inlineStr">
        <is>
          <t>PO-2021-0033</t>
        </is>
      </c>
      <c r="B35" s="26" t="n">
        <v>44839</v>
      </c>
      <c r="C35" s="12" t="inlineStr">
        <is>
          <t>VS08</t>
        </is>
      </c>
      <c r="D35" s="12" t="inlineStr">
        <is>
          <t>SS Sheets</t>
        </is>
      </c>
      <c r="E35" s="12" t="inlineStr">
        <is>
          <t>Y</t>
        </is>
      </c>
      <c r="F35" s="12" t="n">
        <v>25.85</v>
      </c>
      <c r="G35" s="17" t="n">
        <v>95016.97</v>
      </c>
      <c r="H35" s="26" t="n">
        <v>44847</v>
      </c>
      <c r="I35" s="26" t="n">
        <v>44849</v>
      </c>
      <c r="J35" s="12" t="n">
        <v>25.77</v>
      </c>
      <c r="K35" s="17" t="n">
        <v>2456188.67</v>
      </c>
      <c r="L35" s="12" t="n">
        <v>0</v>
      </c>
      <c r="M35" s="12" t="n">
        <v>0</v>
      </c>
      <c r="N35" s="27">
        <f>F35-J35</f>
        <v/>
      </c>
      <c r="O35" s="16">
        <f>I35-H35</f>
        <v/>
      </c>
      <c r="P35" s="14">
        <f>F35*G35</f>
        <v/>
      </c>
      <c r="Q35" s="14">
        <f>J35*G35</f>
        <v/>
      </c>
      <c r="R35" s="14">
        <f>K35-Q35</f>
        <v/>
      </c>
      <c r="S35" s="3">
        <f>P35*Assumptions!$B$3/100</f>
        <v/>
      </c>
      <c r="T35" s="14">
        <f>R35-S35</f>
        <v/>
      </c>
      <c r="U35" s="14">
        <f>L35*G35</f>
        <v/>
      </c>
    </row>
    <row r="36">
      <c r="A36" s="12" t="inlineStr">
        <is>
          <t>PO-2021-0034</t>
        </is>
      </c>
      <c r="B36" s="26" t="n">
        <v>45021</v>
      </c>
      <c r="C36" s="12" t="inlineStr">
        <is>
          <t>VS19</t>
        </is>
      </c>
      <c r="D36" s="12" t="inlineStr">
        <is>
          <t>Spring Steel</t>
        </is>
      </c>
      <c r="E36" s="12" t="inlineStr">
        <is>
          <t>N</t>
        </is>
      </c>
      <c r="F36" s="12" t="n">
        <v>7.24</v>
      </c>
      <c r="G36" s="17" t="n">
        <v>79594.81</v>
      </c>
      <c r="H36" s="26" t="n">
        <v>45030</v>
      </c>
      <c r="I36" s="26" t="n">
        <v>45038</v>
      </c>
      <c r="J36" s="12" t="n">
        <v>6.9</v>
      </c>
      <c r="K36" s="17" t="n">
        <v>576266.42</v>
      </c>
      <c r="L36" s="12" t="n">
        <v>0.03</v>
      </c>
      <c r="M36" s="12" t="n">
        <v>0</v>
      </c>
      <c r="N36" s="27">
        <f>F36-J36</f>
        <v/>
      </c>
      <c r="O36" s="16">
        <f>I36-H36</f>
        <v/>
      </c>
      <c r="P36" s="14">
        <f>F36*G36</f>
        <v/>
      </c>
      <c r="Q36" s="14">
        <f>J36*G36</f>
        <v/>
      </c>
      <c r="R36" s="14">
        <f>K36-Q36</f>
        <v/>
      </c>
      <c r="S36" s="3">
        <f>P36*Assumptions!$B$3/100</f>
        <v/>
      </c>
      <c r="T36" s="14">
        <f>R36-S36</f>
        <v/>
      </c>
      <c r="U36" s="14">
        <f>L36*G36</f>
        <v/>
      </c>
    </row>
    <row r="37">
      <c r="A37" s="12" t="inlineStr">
        <is>
          <t>PO-2021-0035</t>
        </is>
      </c>
      <c r="B37" s="26" t="n">
        <v>44553</v>
      </c>
      <c r="C37" s="12" t="inlineStr">
        <is>
          <t>VS20</t>
        </is>
      </c>
      <c r="D37" s="12" t="inlineStr">
        <is>
          <t>MS Rods</t>
        </is>
      </c>
      <c r="E37" s="12" t="inlineStr">
        <is>
          <t>N</t>
        </is>
      </c>
      <c r="F37" s="12" t="n">
        <v>27.85</v>
      </c>
      <c r="G37" s="17" t="n">
        <v>45030.45</v>
      </c>
      <c r="H37" s="26" t="n">
        <v>44560</v>
      </c>
      <c r="I37" s="26" t="n">
        <v>44563</v>
      </c>
      <c r="J37" s="12" t="n">
        <v>27.58</v>
      </c>
      <c r="K37" s="17" t="n">
        <v>1254098.03</v>
      </c>
      <c r="L37" s="12" t="n">
        <v>0</v>
      </c>
      <c r="M37" s="12" t="n">
        <v>16</v>
      </c>
      <c r="N37" s="27">
        <f>F37-J37</f>
        <v/>
      </c>
      <c r="O37" s="16">
        <f>I37-H37</f>
        <v/>
      </c>
      <c r="P37" s="14">
        <f>F37*G37</f>
        <v/>
      </c>
      <c r="Q37" s="14">
        <f>J37*G37</f>
        <v/>
      </c>
      <c r="R37" s="14">
        <f>K37-Q37</f>
        <v/>
      </c>
      <c r="S37" s="3">
        <f>P37*Assumptions!$B$3/100</f>
        <v/>
      </c>
      <c r="T37" s="14">
        <f>R37-S37</f>
        <v/>
      </c>
      <c r="U37" s="14">
        <f>L37*G37</f>
        <v/>
      </c>
    </row>
    <row r="38">
      <c r="A38" s="12" t="inlineStr">
        <is>
          <t>PO-2021-0036</t>
        </is>
      </c>
      <c r="B38" s="26" t="n">
        <v>44627</v>
      </c>
      <c r="C38" s="12" t="inlineStr">
        <is>
          <t>VS28</t>
        </is>
      </c>
      <c r="D38" s="12" t="inlineStr">
        <is>
          <t>MS Flats</t>
        </is>
      </c>
      <c r="E38" s="12" t="inlineStr">
        <is>
          <t>N</t>
        </is>
      </c>
      <c r="F38" s="12" t="n">
        <v>23.78</v>
      </c>
      <c r="G38" s="17" t="n">
        <v>78161.98</v>
      </c>
      <c r="H38" s="26" t="n">
        <v>44633</v>
      </c>
      <c r="I38" s="26" t="n">
        <v>44635</v>
      </c>
      <c r="J38" s="12" t="n">
        <v>23.58</v>
      </c>
      <c r="K38" s="17" t="n">
        <v>1858691.88</v>
      </c>
      <c r="L38" s="12" t="n">
        <v>0</v>
      </c>
      <c r="M38" s="12" t="n">
        <v>20</v>
      </c>
      <c r="N38" s="27">
        <f>F38-J38</f>
        <v/>
      </c>
      <c r="O38" s="16">
        <f>I38-H38</f>
        <v/>
      </c>
      <c r="P38" s="14">
        <f>F38*G38</f>
        <v/>
      </c>
      <c r="Q38" s="14">
        <f>J38*G38</f>
        <v/>
      </c>
      <c r="R38" s="14">
        <f>K38-Q38</f>
        <v/>
      </c>
      <c r="S38" s="3">
        <f>P38*Assumptions!$B$3/100</f>
        <v/>
      </c>
      <c r="T38" s="14">
        <f>R38-S38</f>
        <v/>
      </c>
      <c r="U38" s="14">
        <f>L38*G38</f>
        <v/>
      </c>
    </row>
    <row r="39">
      <c r="A39" s="12" t="inlineStr">
        <is>
          <t>PO-2021-0037</t>
        </is>
      </c>
      <c r="B39" s="26" t="n">
        <v>45243</v>
      </c>
      <c r="C39" s="12" t="inlineStr">
        <is>
          <t>VS31</t>
        </is>
      </c>
      <c r="D39" s="12" t="inlineStr">
        <is>
          <t>MS Sheets</t>
        </is>
      </c>
      <c r="E39" s="12" t="inlineStr">
        <is>
          <t>N</t>
        </is>
      </c>
      <c r="F39" s="12" t="n">
        <v>33.28</v>
      </c>
      <c r="G39" s="17" t="n">
        <v>66283.98</v>
      </c>
      <c r="H39" s="26" t="n">
        <v>45256</v>
      </c>
      <c r="I39" s="26" t="n">
        <v>45259</v>
      </c>
      <c r="J39" s="12" t="n">
        <v>33.15</v>
      </c>
      <c r="K39" s="17" t="n">
        <v>2205930.85</v>
      </c>
      <c r="L39" s="12" t="n">
        <v>0</v>
      </c>
      <c r="M39" s="12" t="n">
        <v>22</v>
      </c>
      <c r="N39" s="27">
        <f>F39-J39</f>
        <v/>
      </c>
      <c r="O39" s="16">
        <f>I39-H39</f>
        <v/>
      </c>
      <c r="P39" s="14">
        <f>F39*G39</f>
        <v/>
      </c>
      <c r="Q39" s="14">
        <f>J39*G39</f>
        <v/>
      </c>
      <c r="R39" s="14">
        <f>K39-Q39</f>
        <v/>
      </c>
      <c r="S39" s="3">
        <f>P39*Assumptions!$B$3/100</f>
        <v/>
      </c>
      <c r="T39" s="14">
        <f>R39-S39</f>
        <v/>
      </c>
      <c r="U39" s="14">
        <f>L39*G39</f>
        <v/>
      </c>
    </row>
    <row r="40">
      <c r="A40" s="12" t="inlineStr">
        <is>
          <t>PO-2021-0038</t>
        </is>
      </c>
      <c r="B40" s="26" t="n">
        <v>44883</v>
      </c>
      <c r="C40" s="12" t="inlineStr">
        <is>
          <t>VS06</t>
        </is>
      </c>
      <c r="D40" s="12" t="inlineStr">
        <is>
          <t>HR Coils</t>
        </is>
      </c>
      <c r="E40" s="12" t="inlineStr">
        <is>
          <t>N</t>
        </is>
      </c>
      <c r="F40" s="12" t="n">
        <v>33.97</v>
      </c>
      <c r="G40" s="17" t="n">
        <v>61848.05</v>
      </c>
      <c r="H40" s="26" t="n">
        <v>44889</v>
      </c>
      <c r="I40" s="26" t="n">
        <v>44891</v>
      </c>
      <c r="J40" s="12" t="n">
        <v>33.91</v>
      </c>
      <c r="K40" s="17" t="n">
        <v>2100978.26</v>
      </c>
      <c r="L40" s="12" t="n">
        <v>0</v>
      </c>
      <c r="M40" s="12" t="n">
        <v>14</v>
      </c>
      <c r="N40" s="27">
        <f>F40-J40</f>
        <v/>
      </c>
      <c r="O40" s="16">
        <f>I40-H40</f>
        <v/>
      </c>
      <c r="P40" s="14">
        <f>F40*G40</f>
        <v/>
      </c>
      <c r="Q40" s="14">
        <f>J40*G40</f>
        <v/>
      </c>
      <c r="R40" s="14">
        <f>K40-Q40</f>
        <v/>
      </c>
      <c r="S40" s="3">
        <f>P40*Assumptions!$B$3/100</f>
        <v/>
      </c>
      <c r="T40" s="14">
        <f>R40-S40</f>
        <v/>
      </c>
      <c r="U40" s="14">
        <f>L40*G40</f>
        <v/>
      </c>
    </row>
    <row r="41">
      <c r="A41" s="12" t="inlineStr">
        <is>
          <t>PO-2021-0039</t>
        </is>
      </c>
      <c r="B41" s="26" t="n">
        <v>44498</v>
      </c>
      <c r="C41" s="12" t="inlineStr">
        <is>
          <t>VS02</t>
        </is>
      </c>
      <c r="D41" s="12" t="inlineStr">
        <is>
          <t>GI Pipes</t>
        </is>
      </c>
      <c r="E41" s="12" t="inlineStr">
        <is>
          <t>N</t>
        </is>
      </c>
      <c r="F41" s="12" t="n">
        <v>13</v>
      </c>
      <c r="G41" s="17" t="n">
        <v>80635.23</v>
      </c>
      <c r="H41" s="26" t="n">
        <v>44513</v>
      </c>
      <c r="I41" s="26" t="n">
        <v>44515</v>
      </c>
      <c r="J41" s="12" t="n">
        <v>12.97</v>
      </c>
      <c r="K41" s="17" t="n">
        <v>1048257.99</v>
      </c>
      <c r="L41" s="12" t="n">
        <v>0</v>
      </c>
      <c r="M41" s="12" t="n">
        <v>0</v>
      </c>
      <c r="N41" s="27">
        <f>F41-J41</f>
        <v/>
      </c>
      <c r="O41" s="16">
        <f>I41-H41</f>
        <v/>
      </c>
      <c r="P41" s="14">
        <f>F41*G41</f>
        <v/>
      </c>
      <c r="Q41" s="14">
        <f>J41*G41</f>
        <v/>
      </c>
      <c r="R41" s="14">
        <f>K41-Q41</f>
        <v/>
      </c>
      <c r="S41" s="3">
        <f>P41*Assumptions!$B$3/100</f>
        <v/>
      </c>
      <c r="T41" s="14">
        <f>R41-S41</f>
        <v/>
      </c>
      <c r="U41" s="14">
        <f>L41*G41</f>
        <v/>
      </c>
    </row>
    <row r="42">
      <c r="A42" s="12" t="inlineStr">
        <is>
          <t>PO-2021-0040</t>
        </is>
      </c>
      <c r="B42" s="26" t="n">
        <v>44346</v>
      </c>
      <c r="C42" s="12" t="inlineStr">
        <is>
          <t>VS30</t>
        </is>
      </c>
      <c r="D42" s="12" t="inlineStr">
        <is>
          <t>GI Wire</t>
        </is>
      </c>
      <c r="E42" s="12" t="inlineStr">
        <is>
          <t>N</t>
        </is>
      </c>
      <c r="F42" s="12" t="n">
        <v>44.42</v>
      </c>
      <c r="G42" s="17" t="n">
        <v>88175.32000000001</v>
      </c>
      <c r="H42" s="26" t="n">
        <v>44360</v>
      </c>
      <c r="I42" s="26" t="n">
        <v>44360</v>
      </c>
      <c r="J42" s="12" t="n">
        <v>44.02</v>
      </c>
      <c r="K42" s="17" t="n">
        <v>3916747.71</v>
      </c>
      <c r="L42" s="12" t="n">
        <v>0</v>
      </c>
      <c r="M42" s="12" t="n">
        <v>13</v>
      </c>
      <c r="N42" s="27">
        <f>F42-J42</f>
        <v/>
      </c>
      <c r="O42" s="16">
        <f>I42-H42</f>
        <v/>
      </c>
      <c r="P42" s="14">
        <f>F42*G42</f>
        <v/>
      </c>
      <c r="Q42" s="14">
        <f>J42*G42</f>
        <v/>
      </c>
      <c r="R42" s="14">
        <f>K42-Q42</f>
        <v/>
      </c>
      <c r="S42" s="3">
        <f>P42*Assumptions!$B$3/100</f>
        <v/>
      </c>
      <c r="T42" s="14">
        <f>R42-S42</f>
        <v/>
      </c>
      <c r="U42" s="14">
        <f>L42*G42</f>
        <v/>
      </c>
    </row>
    <row r="43">
      <c r="A43" s="12" t="inlineStr">
        <is>
          <t>PO-2021-0041</t>
        </is>
      </c>
      <c r="B43" s="26" t="n">
        <v>44983</v>
      </c>
      <c r="C43" s="12" t="inlineStr">
        <is>
          <t>VS32</t>
        </is>
      </c>
      <c r="D43" s="12" t="inlineStr">
        <is>
          <t>MS Rods</t>
        </is>
      </c>
      <c r="E43" s="12" t="inlineStr">
        <is>
          <t>N</t>
        </is>
      </c>
      <c r="F43" s="12" t="n">
        <v>12.96</v>
      </c>
      <c r="G43" s="17" t="n">
        <v>94204.35000000001</v>
      </c>
      <c r="H43" s="26" t="n">
        <v>44986</v>
      </c>
      <c r="I43" s="26" t="n">
        <v>44989</v>
      </c>
      <c r="J43" s="12" t="n">
        <v>12.95</v>
      </c>
      <c r="K43" s="17" t="n">
        <v>1220888.38</v>
      </c>
      <c r="L43" s="12" t="n">
        <v>0</v>
      </c>
      <c r="M43" s="12" t="n">
        <v>16</v>
      </c>
      <c r="N43" s="27">
        <f>F43-J43</f>
        <v/>
      </c>
      <c r="O43" s="16">
        <f>I43-H43</f>
        <v/>
      </c>
      <c r="P43" s="14">
        <f>F43*G43</f>
        <v/>
      </c>
      <c r="Q43" s="14">
        <f>J43*G43</f>
        <v/>
      </c>
      <c r="R43" s="14">
        <f>K43-Q43</f>
        <v/>
      </c>
      <c r="S43" s="3">
        <f>P43*Assumptions!$B$3/100</f>
        <v/>
      </c>
      <c r="T43" s="14">
        <f>R43-S43</f>
        <v/>
      </c>
      <c r="U43" s="14">
        <f>L43*G43</f>
        <v/>
      </c>
    </row>
    <row r="44">
      <c r="A44" s="12" t="inlineStr">
        <is>
          <t>PO-2021-0042</t>
        </is>
      </c>
      <c r="B44" s="26" t="n">
        <v>44415</v>
      </c>
      <c r="C44" s="12" t="inlineStr">
        <is>
          <t>VS28</t>
        </is>
      </c>
      <c r="D44" s="12" t="inlineStr">
        <is>
          <t>HR Coils</t>
        </is>
      </c>
      <c r="E44" s="12" t="inlineStr">
        <is>
          <t>Y</t>
        </is>
      </c>
      <c r="F44" s="12" t="n">
        <v>9.619999999999999</v>
      </c>
      <c r="G44" s="17" t="n">
        <v>116847.45</v>
      </c>
      <c r="H44" s="26" t="n">
        <v>44426</v>
      </c>
      <c r="I44" s="26" t="n">
        <v>44429</v>
      </c>
      <c r="J44" s="12" t="n">
        <v>9.56</v>
      </c>
      <c r="K44" s="17" t="n">
        <v>1124072.47</v>
      </c>
      <c r="L44" s="12" t="n">
        <v>0</v>
      </c>
      <c r="M44" s="12" t="n">
        <v>0</v>
      </c>
      <c r="N44" s="27">
        <f>F44-J44</f>
        <v/>
      </c>
      <c r="O44" s="16">
        <f>I44-H44</f>
        <v/>
      </c>
      <c r="P44" s="14">
        <f>F44*G44</f>
        <v/>
      </c>
      <c r="Q44" s="14">
        <f>J44*G44</f>
        <v/>
      </c>
      <c r="R44" s="14">
        <f>K44-Q44</f>
        <v/>
      </c>
      <c r="S44" s="3">
        <f>P44*Assumptions!$B$3/100</f>
        <v/>
      </c>
      <c r="T44" s="14">
        <f>R44-S44</f>
        <v/>
      </c>
      <c r="U44" s="14">
        <f>L44*G44</f>
        <v/>
      </c>
    </row>
    <row r="45">
      <c r="A45" s="12" t="inlineStr">
        <is>
          <t>PO-2021-0043</t>
        </is>
      </c>
      <c r="B45" s="26" t="n">
        <v>45148</v>
      </c>
      <c r="C45" s="12" t="inlineStr">
        <is>
          <t>VS04</t>
        </is>
      </c>
      <c r="D45" s="12" t="inlineStr">
        <is>
          <t>Spring Steel</t>
        </is>
      </c>
      <c r="E45" s="12" t="inlineStr">
        <is>
          <t>Y</t>
        </is>
      </c>
      <c r="F45" s="12" t="n">
        <v>13.21</v>
      </c>
      <c r="G45" s="17" t="n">
        <v>108625.23</v>
      </c>
      <c r="H45" s="26" t="n">
        <v>45158</v>
      </c>
      <c r="I45" s="26" t="n">
        <v>45160</v>
      </c>
      <c r="J45" s="12" t="n">
        <v>13.12</v>
      </c>
      <c r="K45" s="17" t="n">
        <v>1434939.29</v>
      </c>
      <c r="L45" s="12" t="n">
        <v>0</v>
      </c>
      <c r="M45" s="12" t="n">
        <v>0</v>
      </c>
      <c r="N45" s="27">
        <f>F45-J45</f>
        <v/>
      </c>
      <c r="O45" s="16">
        <f>I45-H45</f>
        <v/>
      </c>
      <c r="P45" s="14">
        <f>F45*G45</f>
        <v/>
      </c>
      <c r="Q45" s="14">
        <f>J45*G45</f>
        <v/>
      </c>
      <c r="R45" s="14">
        <f>K45-Q45</f>
        <v/>
      </c>
      <c r="S45" s="3">
        <f>P45*Assumptions!$B$3/100</f>
        <v/>
      </c>
      <c r="T45" s="14">
        <f>R45-S45</f>
        <v/>
      </c>
      <c r="U45" s="14">
        <f>L45*G45</f>
        <v/>
      </c>
    </row>
    <row r="46">
      <c r="A46" s="12" t="inlineStr">
        <is>
          <t>PO-2021-0044</t>
        </is>
      </c>
      <c r="B46" s="26" t="n">
        <v>44470</v>
      </c>
      <c r="C46" s="12" t="inlineStr">
        <is>
          <t>VS30</t>
        </is>
      </c>
      <c r="D46" s="12" t="inlineStr">
        <is>
          <t>Hex Bars</t>
        </is>
      </c>
      <c r="E46" s="12" t="inlineStr">
        <is>
          <t>N</t>
        </is>
      </c>
      <c r="F46" s="12" t="n">
        <v>49.41</v>
      </c>
      <c r="G46" s="17" t="n">
        <v>89658.92</v>
      </c>
      <c r="H46" s="26" t="n">
        <v>44485</v>
      </c>
      <c r="I46" s="26" t="n">
        <v>44487</v>
      </c>
      <c r="J46" s="12" t="n">
        <v>49.12</v>
      </c>
      <c r="K46" s="17" t="n">
        <v>4430047.24</v>
      </c>
      <c r="L46" s="12" t="n">
        <v>0</v>
      </c>
      <c r="M46" s="12" t="n">
        <v>19</v>
      </c>
      <c r="N46" s="27">
        <f>F46-J46</f>
        <v/>
      </c>
      <c r="O46" s="16">
        <f>I46-H46</f>
        <v/>
      </c>
      <c r="P46" s="14">
        <f>F46*G46</f>
        <v/>
      </c>
      <c r="Q46" s="14">
        <f>J46*G46</f>
        <v/>
      </c>
      <c r="R46" s="14">
        <f>K46-Q46</f>
        <v/>
      </c>
      <c r="S46" s="3">
        <f>P46*Assumptions!$B$3/100</f>
        <v/>
      </c>
      <c r="T46" s="14">
        <f>R46-S46</f>
        <v/>
      </c>
      <c r="U46" s="14">
        <f>L46*G46</f>
        <v/>
      </c>
    </row>
    <row r="47">
      <c r="A47" s="12" t="inlineStr">
        <is>
          <t>PO-2021-0045</t>
        </is>
      </c>
      <c r="B47" s="26" t="n">
        <v>45103</v>
      </c>
      <c r="C47" s="12" t="inlineStr">
        <is>
          <t>VS33</t>
        </is>
      </c>
      <c r="D47" s="12" t="inlineStr">
        <is>
          <t>GI Wire</t>
        </is>
      </c>
      <c r="E47" s="12" t="inlineStr">
        <is>
          <t>N</t>
        </is>
      </c>
      <c r="F47" s="12" t="n">
        <v>41.7</v>
      </c>
      <c r="G47" s="17" t="n">
        <v>86090.39999999999</v>
      </c>
      <c r="H47" s="26" t="n">
        <v>45108</v>
      </c>
      <c r="I47" s="26" t="n">
        <v>45109</v>
      </c>
      <c r="J47" s="12" t="n">
        <v>41.5</v>
      </c>
      <c r="K47" s="17" t="n">
        <v>3589969.68</v>
      </c>
      <c r="L47" s="12" t="n">
        <v>0</v>
      </c>
      <c r="M47" s="12" t="n">
        <v>14</v>
      </c>
      <c r="N47" s="27">
        <f>F47-J47</f>
        <v/>
      </c>
      <c r="O47" s="16">
        <f>I47-H47</f>
        <v/>
      </c>
      <c r="P47" s="14">
        <f>F47*G47</f>
        <v/>
      </c>
      <c r="Q47" s="14">
        <f>J47*G47</f>
        <v/>
      </c>
      <c r="R47" s="14">
        <f>K47-Q47</f>
        <v/>
      </c>
      <c r="S47" s="3">
        <f>P47*Assumptions!$B$3/100</f>
        <v/>
      </c>
      <c r="T47" s="14">
        <f>R47-S47</f>
        <v/>
      </c>
      <c r="U47" s="14">
        <f>L47*G47</f>
        <v/>
      </c>
    </row>
    <row r="48">
      <c r="A48" s="12" t="inlineStr">
        <is>
          <t>PO-2021-0046</t>
        </is>
      </c>
      <c r="B48" s="26" t="n">
        <v>45169</v>
      </c>
      <c r="C48" s="12" t="inlineStr">
        <is>
          <t>VS29</t>
        </is>
      </c>
      <c r="D48" s="12" t="inlineStr">
        <is>
          <t>CR Sheets</t>
        </is>
      </c>
      <c r="E48" s="12" t="inlineStr">
        <is>
          <t>N</t>
        </is>
      </c>
      <c r="F48" s="12" t="n">
        <v>37.84</v>
      </c>
      <c r="G48" s="17" t="n">
        <v>107989.72</v>
      </c>
      <c r="H48" s="26" t="n">
        <v>45176</v>
      </c>
      <c r="I48" s="26" t="n">
        <v>45177</v>
      </c>
      <c r="J48" s="12" t="n">
        <v>37.52</v>
      </c>
      <c r="K48" s="17" t="n">
        <v>4086331</v>
      </c>
      <c r="L48" s="12" t="n">
        <v>0</v>
      </c>
      <c r="M48" s="12" t="n">
        <v>17</v>
      </c>
      <c r="N48" s="27">
        <f>F48-J48</f>
        <v/>
      </c>
      <c r="O48" s="16">
        <f>I48-H48</f>
        <v/>
      </c>
      <c r="P48" s="14">
        <f>F48*G48</f>
        <v/>
      </c>
      <c r="Q48" s="14">
        <f>J48*G48</f>
        <v/>
      </c>
      <c r="R48" s="14">
        <f>K48-Q48</f>
        <v/>
      </c>
      <c r="S48" s="3">
        <f>P48*Assumptions!$B$3/100</f>
        <v/>
      </c>
      <c r="T48" s="14">
        <f>R48-S48</f>
        <v/>
      </c>
      <c r="U48" s="14">
        <f>L48*G48</f>
        <v/>
      </c>
    </row>
    <row r="49">
      <c r="A49" s="12" t="inlineStr">
        <is>
          <t>PO-2021-0047</t>
        </is>
      </c>
      <c r="B49" s="26" t="n">
        <v>45264</v>
      </c>
      <c r="C49" s="12" t="inlineStr">
        <is>
          <t>VS32</t>
        </is>
      </c>
      <c r="D49" s="12" t="inlineStr">
        <is>
          <t>HR Coils</t>
        </is>
      </c>
      <c r="E49" s="12" t="inlineStr">
        <is>
          <t>N</t>
        </is>
      </c>
      <c r="F49" s="12" t="n">
        <v>14.46</v>
      </c>
      <c r="G49" s="17" t="n">
        <v>50811.25</v>
      </c>
      <c r="H49" s="26" t="n">
        <v>45271</v>
      </c>
      <c r="I49" s="26" t="n">
        <v>45272</v>
      </c>
      <c r="J49" s="12" t="n">
        <v>14.36</v>
      </c>
      <c r="K49" s="17" t="n">
        <v>734730.6800000001</v>
      </c>
      <c r="L49" s="12" t="n">
        <v>0</v>
      </c>
      <c r="M49" s="12" t="n">
        <v>0</v>
      </c>
      <c r="N49" s="27">
        <f>F49-J49</f>
        <v/>
      </c>
      <c r="O49" s="16">
        <f>I49-H49</f>
        <v/>
      </c>
      <c r="P49" s="14">
        <f>F49*G49</f>
        <v/>
      </c>
      <c r="Q49" s="14">
        <f>J49*G49</f>
        <v/>
      </c>
      <c r="R49" s="14">
        <f>K49-Q49</f>
        <v/>
      </c>
      <c r="S49" s="3">
        <f>P49*Assumptions!$B$3/100</f>
        <v/>
      </c>
      <c r="T49" s="14">
        <f>R49-S49</f>
        <v/>
      </c>
      <c r="U49" s="14">
        <f>L49*G49</f>
        <v/>
      </c>
    </row>
    <row r="50">
      <c r="A50" s="12" t="inlineStr">
        <is>
          <t>PO-2021-0048</t>
        </is>
      </c>
      <c r="B50" s="26" t="n">
        <v>44677</v>
      </c>
      <c r="C50" s="12" t="inlineStr">
        <is>
          <t>VS18</t>
        </is>
      </c>
      <c r="D50" s="12" t="inlineStr">
        <is>
          <t>MS Flats</t>
        </is>
      </c>
      <c r="E50" s="12" t="inlineStr">
        <is>
          <t>N</t>
        </is>
      </c>
      <c r="F50" s="12" t="n">
        <v>16.67</v>
      </c>
      <c r="G50" s="17" t="n">
        <v>85511.42</v>
      </c>
      <c r="H50" s="26" t="n">
        <v>44682</v>
      </c>
      <c r="I50" s="26" t="n">
        <v>44684</v>
      </c>
      <c r="J50" s="12" t="n">
        <v>16.66</v>
      </c>
      <c r="K50" s="17" t="n">
        <v>1425475.37</v>
      </c>
      <c r="L50" s="12" t="n">
        <v>0</v>
      </c>
      <c r="M50" s="12" t="n">
        <v>3</v>
      </c>
      <c r="N50" s="27">
        <f>F50-J50</f>
        <v/>
      </c>
      <c r="O50" s="16">
        <f>I50-H50</f>
        <v/>
      </c>
      <c r="P50" s="14">
        <f>F50*G50</f>
        <v/>
      </c>
      <c r="Q50" s="14">
        <f>J50*G50</f>
        <v/>
      </c>
      <c r="R50" s="14">
        <f>K50-Q50</f>
        <v/>
      </c>
      <c r="S50" s="3">
        <f>P50*Assumptions!$B$3/100</f>
        <v/>
      </c>
      <c r="T50" s="14">
        <f>R50-S50</f>
        <v/>
      </c>
      <c r="U50" s="14">
        <f>L50*G50</f>
        <v/>
      </c>
    </row>
    <row r="51">
      <c r="A51" s="12" t="inlineStr">
        <is>
          <t>PO-2021-0049</t>
        </is>
      </c>
      <c r="B51" s="26" t="n">
        <v>44505</v>
      </c>
      <c r="C51" s="12" t="inlineStr">
        <is>
          <t>VS15</t>
        </is>
      </c>
      <c r="D51" s="12" t="inlineStr">
        <is>
          <t>MS Rods</t>
        </is>
      </c>
      <c r="E51" s="12" t="inlineStr">
        <is>
          <t>N</t>
        </is>
      </c>
      <c r="F51" s="12" t="n">
        <v>35</v>
      </c>
      <c r="G51" s="17" t="n">
        <v>97981.44</v>
      </c>
      <c r="H51" s="26" t="n">
        <v>44509</v>
      </c>
      <c r="I51" s="26" t="n">
        <v>44509</v>
      </c>
      <c r="J51" s="12" t="n">
        <v>34.92</v>
      </c>
      <c r="K51" s="17" t="n">
        <v>3429350.4</v>
      </c>
      <c r="L51" s="12" t="n">
        <v>0</v>
      </c>
      <c r="M51" s="12" t="n">
        <v>0</v>
      </c>
      <c r="N51" s="27">
        <f>F51-J51</f>
        <v/>
      </c>
      <c r="O51" s="16">
        <f>I51-H51</f>
        <v/>
      </c>
      <c r="P51" s="14">
        <f>F51*G51</f>
        <v/>
      </c>
      <c r="Q51" s="14">
        <f>J51*G51</f>
        <v/>
      </c>
      <c r="R51" s="14">
        <f>K51-Q51</f>
        <v/>
      </c>
      <c r="S51" s="3">
        <f>P51*Assumptions!$B$3/100</f>
        <v/>
      </c>
      <c r="T51" s="14">
        <f>R51-S51</f>
        <v/>
      </c>
      <c r="U51" s="14">
        <f>L51*G51</f>
        <v/>
      </c>
    </row>
    <row r="52">
      <c r="A52" s="12" t="inlineStr">
        <is>
          <t>PO-2021-0050</t>
        </is>
      </c>
      <c r="B52" s="26" t="n">
        <v>45046</v>
      </c>
      <c r="C52" s="12" t="inlineStr">
        <is>
          <t>VS27</t>
        </is>
      </c>
      <c r="D52" s="12" t="inlineStr">
        <is>
          <t>MS Flats</t>
        </is>
      </c>
      <c r="E52" s="12" t="inlineStr">
        <is>
          <t>N</t>
        </is>
      </c>
      <c r="F52" s="12" t="n">
        <v>27.59</v>
      </c>
      <c r="G52" s="17" t="n">
        <v>76183.07000000001</v>
      </c>
      <c r="H52" s="26" t="n">
        <v>45052</v>
      </c>
      <c r="I52" s="26" t="n">
        <v>45052</v>
      </c>
      <c r="J52" s="12" t="n">
        <v>27.48</v>
      </c>
      <c r="K52" s="17" t="n">
        <v>2101890.9</v>
      </c>
      <c r="L52" s="12" t="n">
        <v>0</v>
      </c>
      <c r="M52" s="12" t="n">
        <v>12</v>
      </c>
      <c r="N52" s="27">
        <f>F52-J52</f>
        <v/>
      </c>
      <c r="O52" s="16">
        <f>I52-H52</f>
        <v/>
      </c>
      <c r="P52" s="14">
        <f>F52*G52</f>
        <v/>
      </c>
      <c r="Q52" s="14">
        <f>J52*G52</f>
        <v/>
      </c>
      <c r="R52" s="14">
        <f>K52-Q52</f>
        <v/>
      </c>
      <c r="S52" s="3">
        <f>P52*Assumptions!$B$3/100</f>
        <v/>
      </c>
      <c r="T52" s="14">
        <f>R52-S52</f>
        <v/>
      </c>
      <c r="U52" s="14">
        <f>L52*G52</f>
        <v/>
      </c>
    </row>
    <row r="53">
      <c r="A53" s="12" t="inlineStr">
        <is>
          <t>PO-2021-0051</t>
        </is>
      </c>
      <c r="B53" s="26" t="n">
        <v>45057</v>
      </c>
      <c r="C53" s="12" t="inlineStr">
        <is>
          <t>VS25</t>
        </is>
      </c>
      <c r="D53" s="12" t="inlineStr">
        <is>
          <t>MS Pipes</t>
        </is>
      </c>
      <c r="E53" s="12" t="inlineStr">
        <is>
          <t>N</t>
        </is>
      </c>
      <c r="F53" s="12" t="n">
        <v>42.98</v>
      </c>
      <c r="G53" s="17" t="n">
        <v>102419.59</v>
      </c>
      <c r="H53" s="26" t="n">
        <v>45066</v>
      </c>
      <c r="I53" s="26" t="n">
        <v>45069</v>
      </c>
      <c r="J53" s="12" t="n">
        <v>42.78</v>
      </c>
      <c r="K53" s="17" t="n">
        <v>4401993.98</v>
      </c>
      <c r="L53" s="12" t="n">
        <v>0</v>
      </c>
      <c r="M53" s="12" t="n">
        <v>25</v>
      </c>
      <c r="N53" s="27">
        <f>F53-J53</f>
        <v/>
      </c>
      <c r="O53" s="16">
        <f>I53-H53</f>
        <v/>
      </c>
      <c r="P53" s="14">
        <f>F53*G53</f>
        <v/>
      </c>
      <c r="Q53" s="14">
        <f>J53*G53</f>
        <v/>
      </c>
      <c r="R53" s="14">
        <f>K53-Q53</f>
        <v/>
      </c>
      <c r="S53" s="3">
        <f>P53*Assumptions!$B$3/100</f>
        <v/>
      </c>
      <c r="T53" s="14">
        <f>R53-S53</f>
        <v/>
      </c>
      <c r="U53" s="14">
        <f>L53*G53</f>
        <v/>
      </c>
    </row>
    <row r="54">
      <c r="A54" s="12" t="inlineStr">
        <is>
          <t>PO-2021-0052</t>
        </is>
      </c>
      <c r="B54" s="26" t="n">
        <v>45173</v>
      </c>
      <c r="C54" s="12" t="inlineStr">
        <is>
          <t>VS01</t>
        </is>
      </c>
      <c r="D54" s="12" t="inlineStr">
        <is>
          <t>Angles &amp; Channels</t>
        </is>
      </c>
      <c r="E54" s="12" t="inlineStr">
        <is>
          <t>N</t>
        </is>
      </c>
      <c r="F54" s="12" t="n">
        <v>15.63</v>
      </c>
      <c r="G54" s="17" t="n">
        <v>74249</v>
      </c>
      <c r="H54" s="26" t="n">
        <v>45182</v>
      </c>
      <c r="I54" s="26" t="n">
        <v>45185</v>
      </c>
      <c r="J54" s="12" t="n">
        <v>15.48</v>
      </c>
      <c r="K54" s="17" t="n">
        <v>1160511.87</v>
      </c>
      <c r="L54" s="12" t="n">
        <v>0</v>
      </c>
      <c r="M54" s="12" t="n">
        <v>0</v>
      </c>
      <c r="N54" s="27">
        <f>F54-J54</f>
        <v/>
      </c>
      <c r="O54" s="16">
        <f>I54-H54</f>
        <v/>
      </c>
      <c r="P54" s="14">
        <f>F54*G54</f>
        <v/>
      </c>
      <c r="Q54" s="14">
        <f>J54*G54</f>
        <v/>
      </c>
      <c r="R54" s="14">
        <f>K54-Q54</f>
        <v/>
      </c>
      <c r="S54" s="3">
        <f>P54*Assumptions!$B$3/100</f>
        <v/>
      </c>
      <c r="T54" s="14">
        <f>R54-S54</f>
        <v/>
      </c>
      <c r="U54" s="14">
        <f>L54*G54</f>
        <v/>
      </c>
    </row>
    <row r="55">
      <c r="A55" s="12" t="inlineStr">
        <is>
          <t>PO-2021-0053</t>
        </is>
      </c>
      <c r="B55" s="26" t="n">
        <v>44648</v>
      </c>
      <c r="C55" s="12" t="inlineStr">
        <is>
          <t>VS32</t>
        </is>
      </c>
      <c r="D55" s="12" t="inlineStr">
        <is>
          <t>HR Coils</t>
        </is>
      </c>
      <c r="E55" s="12" t="inlineStr">
        <is>
          <t>N</t>
        </is>
      </c>
      <c r="F55" s="12" t="n">
        <v>14.37</v>
      </c>
      <c r="G55" s="17" t="n">
        <v>81423.14999999999</v>
      </c>
      <c r="H55" s="26" t="n">
        <v>44657</v>
      </c>
      <c r="I55" s="26" t="n">
        <v>44660</v>
      </c>
      <c r="J55" s="12" t="n">
        <v>14.33</v>
      </c>
      <c r="K55" s="17" t="n">
        <v>1170050.67</v>
      </c>
      <c r="L55" s="12" t="n">
        <v>0</v>
      </c>
      <c r="M55" s="12" t="n">
        <v>11</v>
      </c>
      <c r="N55" s="27">
        <f>F55-J55</f>
        <v/>
      </c>
      <c r="O55" s="16">
        <f>I55-H55</f>
        <v/>
      </c>
      <c r="P55" s="14">
        <f>F55*G55</f>
        <v/>
      </c>
      <c r="Q55" s="14">
        <f>J55*G55</f>
        <v/>
      </c>
      <c r="R55" s="14">
        <f>K55-Q55</f>
        <v/>
      </c>
      <c r="S55" s="3">
        <f>P55*Assumptions!$B$3/100</f>
        <v/>
      </c>
      <c r="T55" s="14">
        <f>R55-S55</f>
        <v/>
      </c>
      <c r="U55" s="14">
        <f>L55*G55</f>
        <v/>
      </c>
    </row>
    <row r="56">
      <c r="A56" s="12" t="inlineStr">
        <is>
          <t>PO-2021-0054</t>
        </is>
      </c>
      <c r="B56" s="26" t="n">
        <v>44885</v>
      </c>
      <c r="C56" s="12" t="inlineStr">
        <is>
          <t>VS26</t>
        </is>
      </c>
      <c r="D56" s="12" t="inlineStr">
        <is>
          <t>MS Sheets</t>
        </is>
      </c>
      <c r="E56" s="12" t="inlineStr">
        <is>
          <t>N</t>
        </is>
      </c>
      <c r="F56" s="12" t="n">
        <v>42.18</v>
      </c>
      <c r="G56" s="17" t="n">
        <v>113965.62</v>
      </c>
      <c r="H56" s="26" t="n">
        <v>44897</v>
      </c>
      <c r="I56" s="26" t="n">
        <v>44898</v>
      </c>
      <c r="J56" s="12" t="n">
        <v>42.15</v>
      </c>
      <c r="K56" s="17" t="n">
        <v>4807069.85</v>
      </c>
      <c r="L56" s="12" t="n">
        <v>0</v>
      </c>
      <c r="M56" s="12" t="n">
        <v>0</v>
      </c>
      <c r="N56" s="27">
        <f>F56-J56</f>
        <v/>
      </c>
      <c r="O56" s="16">
        <f>I56-H56</f>
        <v/>
      </c>
      <c r="P56" s="14">
        <f>F56*G56</f>
        <v/>
      </c>
      <c r="Q56" s="14">
        <f>J56*G56</f>
        <v/>
      </c>
      <c r="R56" s="14">
        <f>K56-Q56</f>
        <v/>
      </c>
      <c r="S56" s="3">
        <f>P56*Assumptions!$B$3/100</f>
        <v/>
      </c>
      <c r="T56" s="14">
        <f>R56-S56</f>
        <v/>
      </c>
      <c r="U56" s="14">
        <f>L56*G56</f>
        <v/>
      </c>
    </row>
    <row r="57">
      <c r="A57" s="12" t="inlineStr">
        <is>
          <t>PO-2021-0055</t>
        </is>
      </c>
      <c r="B57" s="26" t="n">
        <v>45290</v>
      </c>
      <c r="C57" s="12" t="inlineStr">
        <is>
          <t>VS02</t>
        </is>
      </c>
      <c r="D57" s="12" t="inlineStr">
        <is>
          <t>MS Rods</t>
        </is>
      </c>
      <c r="E57" s="12" t="inlineStr">
        <is>
          <t>N</t>
        </is>
      </c>
      <c r="F57" s="12" t="n">
        <v>30</v>
      </c>
      <c r="G57" s="17" t="n">
        <v>94724.98</v>
      </c>
      <c r="H57" s="26" t="n">
        <v>45294</v>
      </c>
      <c r="I57" s="26" t="n">
        <v>45297</v>
      </c>
      <c r="J57" s="12" t="n">
        <v>29.72</v>
      </c>
      <c r="K57" s="17" t="n">
        <v>2841749.4</v>
      </c>
      <c r="L57" s="12" t="n">
        <v>0</v>
      </c>
      <c r="M57" s="12" t="n">
        <v>4</v>
      </c>
      <c r="N57" s="27">
        <f>F57-J57</f>
        <v/>
      </c>
      <c r="O57" s="16">
        <f>I57-H57</f>
        <v/>
      </c>
      <c r="P57" s="14">
        <f>F57*G57</f>
        <v/>
      </c>
      <c r="Q57" s="14">
        <f>J57*G57</f>
        <v/>
      </c>
      <c r="R57" s="14">
        <f>K57-Q57</f>
        <v/>
      </c>
      <c r="S57" s="3">
        <f>P57*Assumptions!$B$3/100</f>
        <v/>
      </c>
      <c r="T57" s="14">
        <f>R57-S57</f>
        <v/>
      </c>
      <c r="U57" s="14">
        <f>L57*G57</f>
        <v/>
      </c>
    </row>
    <row r="58">
      <c r="A58" s="12" t="inlineStr">
        <is>
          <t>PO-2021-0056</t>
        </is>
      </c>
      <c r="B58" s="26" t="n">
        <v>45074</v>
      </c>
      <c r="C58" s="12" t="inlineStr">
        <is>
          <t>VS09</t>
        </is>
      </c>
      <c r="D58" s="12" t="inlineStr">
        <is>
          <t>Fasteners &amp; Fittings</t>
        </is>
      </c>
      <c r="E58" s="12" t="inlineStr">
        <is>
          <t>N</t>
        </is>
      </c>
      <c r="F58" s="12" t="n">
        <v>9.9</v>
      </c>
      <c r="G58" s="17" t="n">
        <v>64511.72</v>
      </c>
      <c r="H58" s="26" t="n">
        <v>45082</v>
      </c>
      <c r="I58" s="26" t="n">
        <v>45083</v>
      </c>
      <c r="J58" s="12" t="n">
        <v>9.890000000000001</v>
      </c>
      <c r="K58" s="17" t="n">
        <v>638666.03</v>
      </c>
      <c r="L58" s="12" t="n">
        <v>0</v>
      </c>
      <c r="M58" s="12" t="n">
        <v>10</v>
      </c>
      <c r="N58" s="27">
        <f>F58-J58</f>
        <v/>
      </c>
      <c r="O58" s="16">
        <f>I58-H58</f>
        <v/>
      </c>
      <c r="P58" s="14">
        <f>F58*G58</f>
        <v/>
      </c>
      <c r="Q58" s="14">
        <f>J58*G58</f>
        <v/>
      </c>
      <c r="R58" s="14">
        <f>K58-Q58</f>
        <v/>
      </c>
      <c r="S58" s="3">
        <f>P58*Assumptions!$B$3/100</f>
        <v/>
      </c>
      <c r="T58" s="14">
        <f>R58-S58</f>
        <v/>
      </c>
      <c r="U58" s="14">
        <f>L58*G58</f>
        <v/>
      </c>
    </row>
    <row r="59">
      <c r="A59" s="12" t="inlineStr">
        <is>
          <t>PO-2021-0057</t>
        </is>
      </c>
      <c r="B59" s="26" t="n">
        <v>44630</v>
      </c>
      <c r="C59" s="12" t="inlineStr">
        <is>
          <t>VS30</t>
        </is>
      </c>
      <c r="D59" s="12" t="inlineStr">
        <is>
          <t>MS Flats</t>
        </is>
      </c>
      <c r="E59" s="12" t="inlineStr">
        <is>
          <t>N</t>
        </is>
      </c>
      <c r="F59" s="12" t="n">
        <v>17.54</v>
      </c>
      <c r="G59" s="17" t="n">
        <v>110973</v>
      </c>
      <c r="H59" s="26" t="n">
        <v>44637</v>
      </c>
      <c r="I59" s="26" t="n">
        <v>44640</v>
      </c>
      <c r="J59" s="12" t="n">
        <v>17.37</v>
      </c>
      <c r="K59" s="17" t="n">
        <v>1946466.42</v>
      </c>
      <c r="L59" s="12" t="n">
        <v>0</v>
      </c>
      <c r="M59" s="12" t="n">
        <v>0</v>
      </c>
      <c r="N59" s="27">
        <f>F59-J59</f>
        <v/>
      </c>
      <c r="O59" s="16">
        <f>I59-H59</f>
        <v/>
      </c>
      <c r="P59" s="14">
        <f>F59*G59</f>
        <v/>
      </c>
      <c r="Q59" s="14">
        <f>J59*G59</f>
        <v/>
      </c>
      <c r="R59" s="14">
        <f>K59-Q59</f>
        <v/>
      </c>
      <c r="S59" s="3">
        <f>P59*Assumptions!$B$3/100</f>
        <v/>
      </c>
      <c r="T59" s="14">
        <f>R59-S59</f>
        <v/>
      </c>
      <c r="U59" s="14">
        <f>L59*G59</f>
        <v/>
      </c>
    </row>
    <row r="60">
      <c r="A60" s="12" t="inlineStr">
        <is>
          <t>PO-2021-0058</t>
        </is>
      </c>
      <c r="B60" s="26" t="n">
        <v>45060</v>
      </c>
      <c r="C60" s="12" t="inlineStr">
        <is>
          <t>VS17</t>
        </is>
      </c>
      <c r="D60" s="12" t="inlineStr">
        <is>
          <t>SS Pipes</t>
        </is>
      </c>
      <c r="E60" s="12" t="inlineStr">
        <is>
          <t>N</t>
        </is>
      </c>
      <c r="F60" s="12" t="n">
        <v>24.05</v>
      </c>
      <c r="G60" s="17" t="n">
        <v>101176.82</v>
      </c>
      <c r="H60" s="26" t="n">
        <v>45063</v>
      </c>
      <c r="I60" s="26" t="n">
        <v>45066</v>
      </c>
      <c r="J60" s="12" t="n">
        <v>24.02</v>
      </c>
      <c r="K60" s="17" t="n">
        <v>2433302.52</v>
      </c>
      <c r="L60" s="12" t="n">
        <v>0</v>
      </c>
      <c r="M60" s="12" t="n">
        <v>0</v>
      </c>
      <c r="N60" s="27">
        <f>F60-J60</f>
        <v/>
      </c>
      <c r="O60" s="16">
        <f>I60-H60</f>
        <v/>
      </c>
      <c r="P60" s="14">
        <f>F60*G60</f>
        <v/>
      </c>
      <c r="Q60" s="14">
        <f>J60*G60</f>
        <v/>
      </c>
      <c r="R60" s="14">
        <f>K60-Q60</f>
        <v/>
      </c>
      <c r="S60" s="3">
        <f>P60*Assumptions!$B$3/100</f>
        <v/>
      </c>
      <c r="T60" s="14">
        <f>R60-S60</f>
        <v/>
      </c>
      <c r="U60" s="14">
        <f>L60*G60</f>
        <v/>
      </c>
    </row>
    <row r="61">
      <c r="A61" s="12" t="inlineStr">
        <is>
          <t>PO-2021-0059</t>
        </is>
      </c>
      <c r="B61" s="26" t="n">
        <v>44913</v>
      </c>
      <c r="C61" s="12" t="inlineStr">
        <is>
          <t>VS15</t>
        </is>
      </c>
      <c r="D61" s="12" t="inlineStr">
        <is>
          <t>SS Pipes</t>
        </is>
      </c>
      <c r="E61" s="12" t="inlineStr">
        <is>
          <t>N</t>
        </is>
      </c>
      <c r="F61" s="12" t="n">
        <v>39.28</v>
      </c>
      <c r="G61" s="17" t="n">
        <v>93881.60000000001</v>
      </c>
      <c r="H61" s="26" t="n">
        <v>44928</v>
      </c>
      <c r="I61" s="26" t="n">
        <v>44930</v>
      </c>
      <c r="J61" s="12" t="n">
        <v>39.07</v>
      </c>
      <c r="K61" s="17" t="n">
        <v>3687669.25</v>
      </c>
      <c r="L61" s="12" t="n">
        <v>0</v>
      </c>
      <c r="M61" s="12" t="n">
        <v>13</v>
      </c>
      <c r="N61" s="27">
        <f>F61-J61</f>
        <v/>
      </c>
      <c r="O61" s="16">
        <f>I61-H61</f>
        <v/>
      </c>
      <c r="P61" s="14">
        <f>F61*G61</f>
        <v/>
      </c>
      <c r="Q61" s="14">
        <f>J61*G61</f>
        <v/>
      </c>
      <c r="R61" s="14">
        <f>K61-Q61</f>
        <v/>
      </c>
      <c r="S61" s="3">
        <f>P61*Assumptions!$B$3/100</f>
        <v/>
      </c>
      <c r="T61" s="14">
        <f>R61-S61</f>
        <v/>
      </c>
      <c r="U61" s="14">
        <f>L61*G61</f>
        <v/>
      </c>
    </row>
    <row r="62">
      <c r="A62" s="12" t="inlineStr">
        <is>
          <t>PO-2021-0060</t>
        </is>
      </c>
      <c r="B62" s="26" t="n">
        <v>44260</v>
      </c>
      <c r="C62" s="12" t="inlineStr">
        <is>
          <t>VS16</t>
        </is>
      </c>
      <c r="D62" s="12" t="inlineStr">
        <is>
          <t>GI Sheets</t>
        </is>
      </c>
      <c r="E62" s="12" t="inlineStr">
        <is>
          <t>N</t>
        </is>
      </c>
      <c r="F62" s="12" t="n">
        <v>42.12</v>
      </c>
      <c r="G62" s="17" t="n">
        <v>91600.17</v>
      </c>
      <c r="H62" s="26" t="n">
        <v>44266</v>
      </c>
      <c r="I62" s="26" t="n">
        <v>44267</v>
      </c>
      <c r="J62" s="12" t="n">
        <v>41.94</v>
      </c>
      <c r="K62" s="17" t="n">
        <v>3858199.16</v>
      </c>
      <c r="L62" s="12" t="n">
        <v>0</v>
      </c>
      <c r="M62" s="12" t="n">
        <v>8</v>
      </c>
      <c r="N62" s="27">
        <f>F62-J62</f>
        <v/>
      </c>
      <c r="O62" s="16">
        <f>I62-H62</f>
        <v/>
      </c>
      <c r="P62" s="14">
        <f>F62*G62</f>
        <v/>
      </c>
      <c r="Q62" s="14">
        <f>J62*G62</f>
        <v/>
      </c>
      <c r="R62" s="14">
        <f>K62-Q62</f>
        <v/>
      </c>
      <c r="S62" s="3">
        <f>P62*Assumptions!$B$3/100</f>
        <v/>
      </c>
      <c r="T62" s="14">
        <f>R62-S62</f>
        <v/>
      </c>
      <c r="U62" s="14">
        <f>L62*G62</f>
        <v/>
      </c>
    </row>
    <row r="63">
      <c r="A63" s="12" t="inlineStr">
        <is>
          <t>PO-2021-0061</t>
        </is>
      </c>
      <c r="B63" s="26" t="n">
        <v>44455</v>
      </c>
      <c r="C63" s="12" t="inlineStr">
        <is>
          <t>VS31</t>
        </is>
      </c>
      <c r="D63" s="12" t="inlineStr">
        <is>
          <t>ERW Pipes</t>
        </is>
      </c>
      <c r="E63" s="12" t="inlineStr">
        <is>
          <t>Y</t>
        </is>
      </c>
      <c r="F63" s="12" t="n">
        <v>28.63</v>
      </c>
      <c r="G63" s="17" t="n">
        <v>61347.34</v>
      </c>
      <c r="H63" s="26" t="n">
        <v>44469</v>
      </c>
      <c r="I63" s="26" t="n">
        <v>44470</v>
      </c>
      <c r="J63" s="12" t="n">
        <v>28.45</v>
      </c>
      <c r="K63" s="17" t="n">
        <v>1756374.34</v>
      </c>
      <c r="L63" s="12" t="n">
        <v>0</v>
      </c>
      <c r="M63" s="12" t="n">
        <v>0</v>
      </c>
      <c r="N63" s="27">
        <f>F63-J63</f>
        <v/>
      </c>
      <c r="O63" s="16">
        <f>I63-H63</f>
        <v/>
      </c>
      <c r="P63" s="14">
        <f>F63*G63</f>
        <v/>
      </c>
      <c r="Q63" s="14">
        <f>J63*G63</f>
        <v/>
      </c>
      <c r="R63" s="14">
        <f>K63-Q63</f>
        <v/>
      </c>
      <c r="S63" s="3">
        <f>P63*Assumptions!$B$3/100</f>
        <v/>
      </c>
      <c r="T63" s="14">
        <f>R63-S63</f>
        <v/>
      </c>
      <c r="U63" s="14">
        <f>L63*G63</f>
        <v/>
      </c>
    </row>
    <row r="64">
      <c r="A64" s="12" t="inlineStr">
        <is>
          <t>PO-2021-0062</t>
        </is>
      </c>
      <c r="B64" s="26" t="n">
        <v>44721</v>
      </c>
      <c r="C64" s="12" t="inlineStr">
        <is>
          <t>VS24</t>
        </is>
      </c>
      <c r="D64" s="12" t="inlineStr">
        <is>
          <t>MS Sheets</t>
        </is>
      </c>
      <c r="E64" s="12" t="inlineStr">
        <is>
          <t>N</t>
        </is>
      </c>
      <c r="F64" s="12" t="n">
        <v>30.69</v>
      </c>
      <c r="G64" s="17" t="n">
        <v>117280.11</v>
      </c>
      <c r="H64" s="26" t="n">
        <v>44735</v>
      </c>
      <c r="I64" s="26" t="n">
        <v>44738</v>
      </c>
      <c r="J64" s="12" t="n">
        <v>30.56</v>
      </c>
      <c r="K64" s="17" t="n">
        <v>3599326.58</v>
      </c>
      <c r="L64" s="12" t="n">
        <v>0</v>
      </c>
      <c r="M64" s="12" t="n">
        <v>11</v>
      </c>
      <c r="N64" s="27">
        <f>F64-J64</f>
        <v/>
      </c>
      <c r="O64" s="16">
        <f>I64-H64</f>
        <v/>
      </c>
      <c r="P64" s="14">
        <f>F64*G64</f>
        <v/>
      </c>
      <c r="Q64" s="14">
        <f>J64*G64</f>
        <v/>
      </c>
      <c r="R64" s="14">
        <f>K64-Q64</f>
        <v/>
      </c>
      <c r="S64" s="3">
        <f>P64*Assumptions!$B$3/100</f>
        <v/>
      </c>
      <c r="T64" s="14">
        <f>R64-S64</f>
        <v/>
      </c>
      <c r="U64" s="14">
        <f>L64*G64</f>
        <v/>
      </c>
    </row>
    <row r="65">
      <c r="A65" s="12" t="inlineStr">
        <is>
          <t>PO-2021-0063</t>
        </is>
      </c>
      <c r="B65" s="26" t="n">
        <v>44431</v>
      </c>
      <c r="C65" s="12" t="inlineStr">
        <is>
          <t>VS11</t>
        </is>
      </c>
      <c r="D65" s="12" t="inlineStr">
        <is>
          <t>SS Sheets</t>
        </is>
      </c>
      <c r="E65" s="12" t="inlineStr">
        <is>
          <t>N</t>
        </is>
      </c>
      <c r="F65" s="12" t="n">
        <v>6.3</v>
      </c>
      <c r="G65" s="17" t="n">
        <v>46925.88</v>
      </c>
      <c r="H65" s="26" t="n">
        <v>44438</v>
      </c>
      <c r="I65" s="26" t="n">
        <v>44441</v>
      </c>
      <c r="J65" s="12" t="n">
        <v>6.24</v>
      </c>
      <c r="K65" s="17" t="n">
        <v>295633.04</v>
      </c>
      <c r="L65" s="12" t="n">
        <v>0</v>
      </c>
      <c r="M65" s="12" t="n">
        <v>6</v>
      </c>
      <c r="N65" s="27">
        <f>F65-J65</f>
        <v/>
      </c>
      <c r="O65" s="16">
        <f>I65-H65</f>
        <v/>
      </c>
      <c r="P65" s="14">
        <f>F65*G65</f>
        <v/>
      </c>
      <c r="Q65" s="14">
        <f>J65*G65</f>
        <v/>
      </c>
      <c r="R65" s="14">
        <f>K65-Q65</f>
        <v/>
      </c>
      <c r="S65" s="3">
        <f>P65*Assumptions!$B$3/100</f>
        <v/>
      </c>
      <c r="T65" s="14">
        <f>R65-S65</f>
        <v/>
      </c>
      <c r="U65" s="14">
        <f>L65*G65</f>
        <v/>
      </c>
    </row>
    <row r="66">
      <c r="A66" s="12" t="inlineStr">
        <is>
          <t>PO-2021-0064</t>
        </is>
      </c>
      <c r="B66" s="26" t="n">
        <v>44965</v>
      </c>
      <c r="C66" s="12" t="inlineStr">
        <is>
          <t>VS26</t>
        </is>
      </c>
      <c r="D66" s="12" t="inlineStr">
        <is>
          <t>GI Sheets</t>
        </is>
      </c>
      <c r="E66" s="12" t="inlineStr">
        <is>
          <t>N</t>
        </is>
      </c>
      <c r="F66" s="12" t="n">
        <v>4.72</v>
      </c>
      <c r="G66" s="17" t="n">
        <v>96796.08</v>
      </c>
      <c r="H66" s="26" t="n">
        <v>44978</v>
      </c>
      <c r="I66" s="26" t="n">
        <v>44978</v>
      </c>
      <c r="J66" s="12" t="n">
        <v>4.72</v>
      </c>
      <c r="K66" s="17" t="n">
        <v>456877.5</v>
      </c>
      <c r="L66" s="12" t="n">
        <v>0</v>
      </c>
      <c r="M66" s="12" t="n">
        <v>21</v>
      </c>
      <c r="N66" s="27">
        <f>F66-J66</f>
        <v/>
      </c>
      <c r="O66" s="16">
        <f>I66-H66</f>
        <v/>
      </c>
      <c r="P66" s="14">
        <f>F66*G66</f>
        <v/>
      </c>
      <c r="Q66" s="14">
        <f>J66*G66</f>
        <v/>
      </c>
      <c r="R66" s="14">
        <f>K66-Q66</f>
        <v/>
      </c>
      <c r="S66" s="3">
        <f>P66*Assumptions!$B$3/100</f>
        <v/>
      </c>
      <c r="T66" s="14">
        <f>R66-S66</f>
        <v/>
      </c>
      <c r="U66" s="14">
        <f>L66*G66</f>
        <v/>
      </c>
    </row>
    <row r="67">
      <c r="A67" s="12" t="inlineStr">
        <is>
          <t>PO-2021-0065</t>
        </is>
      </c>
      <c r="B67" s="26" t="n">
        <v>44694</v>
      </c>
      <c r="C67" s="12" t="inlineStr">
        <is>
          <t>VS07</t>
        </is>
      </c>
      <c r="D67" s="12" t="inlineStr">
        <is>
          <t>SS Sheets</t>
        </is>
      </c>
      <c r="E67" s="12" t="inlineStr">
        <is>
          <t>N</t>
        </is>
      </c>
      <c r="F67" s="12" t="n">
        <v>42.66</v>
      </c>
      <c r="G67" s="17" t="n">
        <v>90030.87</v>
      </c>
      <c r="H67" s="26" t="n">
        <v>44698</v>
      </c>
      <c r="I67" s="26" t="n">
        <v>44700</v>
      </c>
      <c r="J67" s="12" t="n">
        <v>42.29</v>
      </c>
      <c r="K67" s="17" t="n">
        <v>3840716.91</v>
      </c>
      <c r="L67" s="12" t="n">
        <v>0</v>
      </c>
      <c r="M67" s="12" t="n">
        <v>0</v>
      </c>
      <c r="N67" s="27">
        <f>F67-J67</f>
        <v/>
      </c>
      <c r="O67" s="16">
        <f>I67-H67</f>
        <v/>
      </c>
      <c r="P67" s="14">
        <f>F67*G67</f>
        <v/>
      </c>
      <c r="Q67" s="14">
        <f>J67*G67</f>
        <v/>
      </c>
      <c r="R67" s="14">
        <f>K67-Q67</f>
        <v/>
      </c>
      <c r="S67" s="3">
        <f>P67*Assumptions!$B$3/100</f>
        <v/>
      </c>
      <c r="T67" s="14">
        <f>R67-S67</f>
        <v/>
      </c>
      <c r="U67" s="14">
        <f>L67*G67</f>
        <v/>
      </c>
    </row>
    <row r="68">
      <c r="A68" s="12" t="inlineStr">
        <is>
          <t>PO-2021-0066</t>
        </is>
      </c>
      <c r="B68" s="26" t="n">
        <v>44281</v>
      </c>
      <c r="C68" s="12" t="inlineStr">
        <is>
          <t>VS23</t>
        </is>
      </c>
      <c r="D68" s="12" t="inlineStr">
        <is>
          <t>Spring Steel</t>
        </is>
      </c>
      <c r="E68" s="12" t="inlineStr">
        <is>
          <t>N</t>
        </is>
      </c>
      <c r="F68" s="12" t="n">
        <v>21.99</v>
      </c>
      <c r="G68" s="17" t="n">
        <v>72792.82000000001</v>
      </c>
      <c r="H68" s="26" t="n">
        <v>44292</v>
      </c>
      <c r="I68" s="26" t="n">
        <v>44295</v>
      </c>
      <c r="J68" s="12" t="n">
        <v>21.81</v>
      </c>
      <c r="K68" s="17" t="n">
        <v>1600714.11</v>
      </c>
      <c r="L68" s="12" t="n">
        <v>0</v>
      </c>
      <c r="M68" s="12" t="n">
        <v>16</v>
      </c>
      <c r="N68" s="27">
        <f>F68-J68</f>
        <v/>
      </c>
      <c r="O68" s="16">
        <f>I68-H68</f>
        <v/>
      </c>
      <c r="P68" s="14">
        <f>F68*G68</f>
        <v/>
      </c>
      <c r="Q68" s="14">
        <f>J68*G68</f>
        <v/>
      </c>
      <c r="R68" s="14">
        <f>K68-Q68</f>
        <v/>
      </c>
      <c r="S68" s="3">
        <f>P68*Assumptions!$B$3/100</f>
        <v/>
      </c>
      <c r="T68" s="14">
        <f>R68-S68</f>
        <v/>
      </c>
      <c r="U68" s="14">
        <f>L68*G68</f>
        <v/>
      </c>
    </row>
    <row r="69">
      <c r="A69" s="12" t="inlineStr">
        <is>
          <t>PO-2021-0067</t>
        </is>
      </c>
      <c r="B69" s="26" t="n">
        <v>44895</v>
      </c>
      <c r="C69" s="12" t="inlineStr">
        <is>
          <t>VS01</t>
        </is>
      </c>
      <c r="D69" s="12" t="inlineStr">
        <is>
          <t>GI Wire</t>
        </is>
      </c>
      <c r="E69" s="12" t="inlineStr">
        <is>
          <t>N</t>
        </is>
      </c>
      <c r="F69" s="12" t="n">
        <v>41.29</v>
      </c>
      <c r="G69" s="17" t="n">
        <v>52915.42</v>
      </c>
      <c r="H69" s="26" t="n">
        <v>44903</v>
      </c>
      <c r="I69" s="26" t="n">
        <v>44903</v>
      </c>
      <c r="J69" s="12" t="n">
        <v>41.05</v>
      </c>
      <c r="K69" s="17" t="n">
        <v>2184877.69</v>
      </c>
      <c r="L69" s="12" t="n">
        <v>0</v>
      </c>
      <c r="M69" s="12" t="n">
        <v>0</v>
      </c>
      <c r="N69" s="27">
        <f>F69-J69</f>
        <v/>
      </c>
      <c r="O69" s="16">
        <f>I69-H69</f>
        <v/>
      </c>
      <c r="P69" s="14">
        <f>F69*G69</f>
        <v/>
      </c>
      <c r="Q69" s="14">
        <f>J69*G69</f>
        <v/>
      </c>
      <c r="R69" s="14">
        <f>K69-Q69</f>
        <v/>
      </c>
      <c r="S69" s="3">
        <f>P69*Assumptions!$B$3/100</f>
        <v/>
      </c>
      <c r="T69" s="14">
        <f>R69-S69</f>
        <v/>
      </c>
      <c r="U69" s="14">
        <f>L69*G69</f>
        <v/>
      </c>
    </row>
    <row r="70">
      <c r="A70" s="12" t="inlineStr">
        <is>
          <t>PO-2021-0068</t>
        </is>
      </c>
      <c r="B70" s="26" t="n">
        <v>45138</v>
      </c>
      <c r="C70" s="12" t="inlineStr">
        <is>
          <t>VS10</t>
        </is>
      </c>
      <c r="D70" s="12" t="inlineStr">
        <is>
          <t>GI Wire</t>
        </is>
      </c>
      <c r="E70" s="12" t="inlineStr">
        <is>
          <t>N</t>
        </is>
      </c>
      <c r="F70" s="12" t="n">
        <v>9.630000000000001</v>
      </c>
      <c r="G70" s="17" t="n">
        <v>84131.00999999999</v>
      </c>
      <c r="H70" s="26" t="n">
        <v>45151</v>
      </c>
      <c r="I70" s="26" t="n">
        <v>45152</v>
      </c>
      <c r="J70" s="12" t="n">
        <v>9.56</v>
      </c>
      <c r="K70" s="17" t="n">
        <v>810181.63</v>
      </c>
      <c r="L70" s="12" t="n">
        <v>0</v>
      </c>
      <c r="M70" s="12" t="n">
        <v>0</v>
      </c>
      <c r="N70" s="27">
        <f>F70-J70</f>
        <v/>
      </c>
      <c r="O70" s="16">
        <f>I70-H70</f>
        <v/>
      </c>
      <c r="P70" s="14">
        <f>F70*G70</f>
        <v/>
      </c>
      <c r="Q70" s="14">
        <f>J70*G70</f>
        <v/>
      </c>
      <c r="R70" s="14">
        <f>K70-Q70</f>
        <v/>
      </c>
      <c r="S70" s="3">
        <f>P70*Assumptions!$B$3/100</f>
        <v/>
      </c>
      <c r="T70" s="14">
        <f>R70-S70</f>
        <v/>
      </c>
      <c r="U70" s="14">
        <f>L70*G70</f>
        <v/>
      </c>
    </row>
    <row r="71">
      <c r="A71" s="12" t="inlineStr">
        <is>
          <t>PO-2021-0069</t>
        </is>
      </c>
      <c r="B71" s="26" t="n">
        <v>44750</v>
      </c>
      <c r="C71" s="12" t="inlineStr">
        <is>
          <t>VS31</t>
        </is>
      </c>
      <c r="D71" s="12" t="inlineStr">
        <is>
          <t>Fasteners &amp; Fittings</t>
        </is>
      </c>
      <c r="E71" s="12" t="inlineStr">
        <is>
          <t>N</t>
        </is>
      </c>
      <c r="F71" s="12" t="n">
        <v>22.34</v>
      </c>
      <c r="G71" s="17" t="n">
        <v>99826.97</v>
      </c>
      <c r="H71" s="26" t="n">
        <v>44757</v>
      </c>
      <c r="I71" s="26" t="n">
        <v>44758</v>
      </c>
      <c r="J71" s="12" t="n">
        <v>22.16</v>
      </c>
      <c r="K71" s="17" t="n">
        <v>2230134.51</v>
      </c>
      <c r="L71" s="12" t="n">
        <v>0</v>
      </c>
      <c r="M71" s="12" t="n">
        <v>0</v>
      </c>
      <c r="N71" s="27">
        <f>F71-J71</f>
        <v/>
      </c>
      <c r="O71" s="16">
        <f>I71-H71</f>
        <v/>
      </c>
      <c r="P71" s="14">
        <f>F71*G71</f>
        <v/>
      </c>
      <c r="Q71" s="14">
        <f>J71*G71</f>
        <v/>
      </c>
      <c r="R71" s="14">
        <f>K71-Q71</f>
        <v/>
      </c>
      <c r="S71" s="3">
        <f>P71*Assumptions!$B$3/100</f>
        <v/>
      </c>
      <c r="T71" s="14">
        <f>R71-S71</f>
        <v/>
      </c>
      <c r="U71" s="14">
        <f>L71*G71</f>
        <v/>
      </c>
    </row>
    <row r="72">
      <c r="A72" s="12" t="inlineStr">
        <is>
          <t>PO-2021-0070</t>
        </is>
      </c>
      <c r="B72" s="26" t="n">
        <v>44857</v>
      </c>
      <c r="C72" s="12" t="inlineStr">
        <is>
          <t>VS16</t>
        </is>
      </c>
      <c r="D72" s="12" t="inlineStr">
        <is>
          <t>SS Pipes</t>
        </is>
      </c>
      <c r="E72" s="12" t="inlineStr">
        <is>
          <t>N</t>
        </is>
      </c>
      <c r="F72" s="12" t="n">
        <v>14.67</v>
      </c>
      <c r="G72" s="17" t="n">
        <v>78810.14999999999</v>
      </c>
      <c r="H72" s="26" t="n">
        <v>44872</v>
      </c>
      <c r="I72" s="26" t="n">
        <v>44872</v>
      </c>
      <c r="J72" s="12" t="n">
        <v>14.64</v>
      </c>
      <c r="K72" s="17" t="n">
        <v>1156144.9</v>
      </c>
      <c r="L72" s="12" t="n">
        <v>0</v>
      </c>
      <c r="M72" s="12" t="n">
        <v>0</v>
      </c>
      <c r="N72" s="27">
        <f>F72-J72</f>
        <v/>
      </c>
      <c r="O72" s="16">
        <f>I72-H72</f>
        <v/>
      </c>
      <c r="P72" s="14">
        <f>F72*G72</f>
        <v/>
      </c>
      <c r="Q72" s="14">
        <f>J72*G72</f>
        <v/>
      </c>
      <c r="R72" s="14">
        <f>K72-Q72</f>
        <v/>
      </c>
      <c r="S72" s="3">
        <f>P72*Assumptions!$B$3/100</f>
        <v/>
      </c>
      <c r="T72" s="14">
        <f>R72-S72</f>
        <v/>
      </c>
      <c r="U72" s="14">
        <f>L72*G72</f>
        <v/>
      </c>
    </row>
    <row r="73">
      <c r="A73" s="12" t="inlineStr">
        <is>
          <t>PO-2021-0071</t>
        </is>
      </c>
      <c r="B73" s="26" t="n">
        <v>45148</v>
      </c>
      <c r="C73" s="12" t="inlineStr">
        <is>
          <t>VS25</t>
        </is>
      </c>
      <c r="D73" s="12" t="inlineStr">
        <is>
          <t>MS Flats</t>
        </is>
      </c>
      <c r="E73" s="12" t="inlineStr">
        <is>
          <t>N</t>
        </is>
      </c>
      <c r="F73" s="12" t="n">
        <v>2.41</v>
      </c>
      <c r="G73" s="17" t="n">
        <v>108821.46</v>
      </c>
      <c r="H73" s="26" t="n">
        <v>45153</v>
      </c>
      <c r="I73" s="26" t="n">
        <v>45154</v>
      </c>
      <c r="J73" s="12" t="n">
        <v>2.39</v>
      </c>
      <c r="K73" s="17" t="n">
        <v>262259.72</v>
      </c>
      <c r="L73" s="12" t="n">
        <v>0</v>
      </c>
      <c r="M73" s="12" t="n">
        <v>20</v>
      </c>
      <c r="N73" s="27">
        <f>F73-J73</f>
        <v/>
      </c>
      <c r="O73" s="16">
        <f>I73-H73</f>
        <v/>
      </c>
      <c r="P73" s="14">
        <f>F73*G73</f>
        <v/>
      </c>
      <c r="Q73" s="14">
        <f>J73*G73</f>
        <v/>
      </c>
      <c r="R73" s="14">
        <f>K73-Q73</f>
        <v/>
      </c>
      <c r="S73" s="3">
        <f>P73*Assumptions!$B$3/100</f>
        <v/>
      </c>
      <c r="T73" s="14">
        <f>R73-S73</f>
        <v/>
      </c>
      <c r="U73" s="14">
        <f>L73*G73</f>
        <v/>
      </c>
    </row>
    <row r="74">
      <c r="A74" s="12" t="inlineStr">
        <is>
          <t>PO-2021-0072</t>
        </is>
      </c>
      <c r="B74" s="26" t="n">
        <v>45195</v>
      </c>
      <c r="C74" s="12" t="inlineStr">
        <is>
          <t>VS14</t>
        </is>
      </c>
      <c r="D74" s="12" t="inlineStr">
        <is>
          <t>Angles &amp; Channels</t>
        </is>
      </c>
      <c r="E74" s="12" t="inlineStr">
        <is>
          <t>N</t>
        </is>
      </c>
      <c r="F74" s="12" t="n">
        <v>40.09</v>
      </c>
      <c r="G74" s="17" t="n">
        <v>70525.41</v>
      </c>
      <c r="H74" s="26" t="n">
        <v>45207</v>
      </c>
      <c r="I74" s="26" t="n">
        <v>45207</v>
      </c>
      <c r="J74" s="12" t="n">
        <v>40</v>
      </c>
      <c r="K74" s="17" t="n">
        <v>2827363.69</v>
      </c>
      <c r="L74" s="12" t="n">
        <v>0</v>
      </c>
      <c r="M74" s="12" t="n">
        <v>0</v>
      </c>
      <c r="N74" s="27">
        <f>F74-J74</f>
        <v/>
      </c>
      <c r="O74" s="16">
        <f>I74-H74</f>
        <v/>
      </c>
      <c r="P74" s="14">
        <f>F74*G74</f>
        <v/>
      </c>
      <c r="Q74" s="14">
        <f>J74*G74</f>
        <v/>
      </c>
      <c r="R74" s="14">
        <f>K74-Q74</f>
        <v/>
      </c>
      <c r="S74" s="3">
        <f>P74*Assumptions!$B$3/100</f>
        <v/>
      </c>
      <c r="T74" s="14">
        <f>R74-S74</f>
        <v/>
      </c>
      <c r="U74" s="14">
        <f>L74*G74</f>
        <v/>
      </c>
    </row>
    <row r="75">
      <c r="A75" s="12" t="inlineStr">
        <is>
          <t>PO-2021-0073</t>
        </is>
      </c>
      <c r="B75" s="26" t="n">
        <v>44762</v>
      </c>
      <c r="C75" s="12" t="inlineStr">
        <is>
          <t>VS01</t>
        </is>
      </c>
      <c r="D75" s="12" t="inlineStr">
        <is>
          <t>Hex Bars</t>
        </is>
      </c>
      <c r="E75" s="12" t="inlineStr">
        <is>
          <t>N</t>
        </is>
      </c>
      <c r="F75" s="12" t="n">
        <v>47.46</v>
      </c>
      <c r="G75" s="17" t="n">
        <v>51420.97</v>
      </c>
      <c r="H75" s="26" t="n">
        <v>44776</v>
      </c>
      <c r="I75" s="26" t="n">
        <v>44776</v>
      </c>
      <c r="J75" s="12" t="n">
        <v>47.38</v>
      </c>
      <c r="K75" s="17" t="n">
        <v>2440439.24</v>
      </c>
      <c r="L75" s="12" t="n">
        <v>0</v>
      </c>
      <c r="M75" s="12" t="n">
        <v>10</v>
      </c>
      <c r="N75" s="27">
        <f>F75-J75</f>
        <v/>
      </c>
      <c r="O75" s="16">
        <f>I75-H75</f>
        <v/>
      </c>
      <c r="P75" s="14">
        <f>F75*G75</f>
        <v/>
      </c>
      <c r="Q75" s="14">
        <f>J75*G75</f>
        <v/>
      </c>
      <c r="R75" s="14">
        <f>K75-Q75</f>
        <v/>
      </c>
      <c r="S75" s="3">
        <f>P75*Assumptions!$B$3/100</f>
        <v/>
      </c>
      <c r="T75" s="14">
        <f>R75-S75</f>
        <v/>
      </c>
      <c r="U75" s="14">
        <f>L75*G75</f>
        <v/>
      </c>
    </row>
    <row r="76">
      <c r="A76" s="12" t="inlineStr">
        <is>
          <t>PO-2021-0074</t>
        </is>
      </c>
      <c r="B76" s="26" t="n">
        <v>45029</v>
      </c>
      <c r="C76" s="12" t="inlineStr">
        <is>
          <t>VS32</t>
        </is>
      </c>
      <c r="D76" s="12" t="inlineStr">
        <is>
          <t>Spring Steel</t>
        </is>
      </c>
      <c r="E76" s="12" t="inlineStr">
        <is>
          <t>N</t>
        </is>
      </c>
      <c r="F76" s="12" t="n">
        <v>38.15</v>
      </c>
      <c r="G76" s="17" t="n">
        <v>96795.7</v>
      </c>
      <c r="H76" s="26" t="n">
        <v>45042</v>
      </c>
      <c r="I76" s="26" t="n">
        <v>45044</v>
      </c>
      <c r="J76" s="12" t="n">
        <v>38.04</v>
      </c>
      <c r="K76" s="17" t="n">
        <v>3692755.95</v>
      </c>
      <c r="L76" s="12" t="n">
        <v>0</v>
      </c>
      <c r="M76" s="12" t="n">
        <v>0</v>
      </c>
      <c r="N76" s="27">
        <f>F76-J76</f>
        <v/>
      </c>
      <c r="O76" s="16">
        <f>I76-H76</f>
        <v/>
      </c>
      <c r="P76" s="14">
        <f>F76*G76</f>
        <v/>
      </c>
      <c r="Q76" s="14">
        <f>J76*G76</f>
        <v/>
      </c>
      <c r="R76" s="14">
        <f>K76-Q76</f>
        <v/>
      </c>
      <c r="S76" s="3">
        <f>P76*Assumptions!$B$3/100</f>
        <v/>
      </c>
      <c r="T76" s="14">
        <f>R76-S76</f>
        <v/>
      </c>
      <c r="U76" s="14">
        <f>L76*G76</f>
        <v/>
      </c>
    </row>
    <row r="77">
      <c r="A77" s="12" t="inlineStr">
        <is>
          <t>PO-2021-0075</t>
        </is>
      </c>
      <c r="B77" s="26" t="n">
        <v>45202</v>
      </c>
      <c r="C77" s="12" t="inlineStr">
        <is>
          <t>VS29</t>
        </is>
      </c>
      <c r="D77" s="12" t="inlineStr">
        <is>
          <t>MS Pipes</t>
        </is>
      </c>
      <c r="E77" s="12" t="inlineStr">
        <is>
          <t>N</t>
        </is>
      </c>
      <c r="F77" s="12" t="n">
        <v>5.56</v>
      </c>
      <c r="G77" s="17" t="n">
        <v>61619.73</v>
      </c>
      <c r="H77" s="26" t="n">
        <v>45216</v>
      </c>
      <c r="I77" s="26" t="n">
        <v>45216</v>
      </c>
      <c r="J77" s="12" t="n">
        <v>5.53</v>
      </c>
      <c r="K77" s="17" t="n">
        <v>342605.7</v>
      </c>
      <c r="L77" s="12" t="n">
        <v>0</v>
      </c>
      <c r="M77" s="12" t="n">
        <v>0</v>
      </c>
      <c r="N77" s="27">
        <f>F77-J77</f>
        <v/>
      </c>
      <c r="O77" s="16">
        <f>I77-H77</f>
        <v/>
      </c>
      <c r="P77" s="14">
        <f>F77*G77</f>
        <v/>
      </c>
      <c r="Q77" s="14">
        <f>J77*G77</f>
        <v/>
      </c>
      <c r="R77" s="14">
        <f>K77-Q77</f>
        <v/>
      </c>
      <c r="S77" s="3">
        <f>P77*Assumptions!$B$3/100</f>
        <v/>
      </c>
      <c r="T77" s="14">
        <f>R77-S77</f>
        <v/>
      </c>
      <c r="U77" s="14">
        <f>L77*G77</f>
        <v/>
      </c>
    </row>
    <row r="78">
      <c r="A78" s="12" t="inlineStr">
        <is>
          <t>PO-2021-0076</t>
        </is>
      </c>
      <c r="B78" s="26" t="n">
        <v>44695</v>
      </c>
      <c r="C78" s="12" t="inlineStr">
        <is>
          <t>VS20</t>
        </is>
      </c>
      <c r="D78" s="12" t="inlineStr">
        <is>
          <t>Angles &amp; Channels</t>
        </is>
      </c>
      <c r="E78" s="12" t="inlineStr">
        <is>
          <t>N</t>
        </is>
      </c>
      <c r="F78" s="12" t="n">
        <v>24.19</v>
      </c>
      <c r="G78" s="17" t="n">
        <v>84819.14</v>
      </c>
      <c r="H78" s="26" t="n">
        <v>44704</v>
      </c>
      <c r="I78" s="26" t="n">
        <v>44705</v>
      </c>
      <c r="J78" s="12" t="n">
        <v>23.99</v>
      </c>
      <c r="K78" s="17" t="n">
        <v>2051775</v>
      </c>
      <c r="L78" s="12" t="n">
        <v>0</v>
      </c>
      <c r="M78" s="12" t="n">
        <v>16</v>
      </c>
      <c r="N78" s="27">
        <f>F78-J78</f>
        <v/>
      </c>
      <c r="O78" s="16">
        <f>I78-H78</f>
        <v/>
      </c>
      <c r="P78" s="14">
        <f>F78*G78</f>
        <v/>
      </c>
      <c r="Q78" s="14">
        <f>J78*G78</f>
        <v/>
      </c>
      <c r="R78" s="14">
        <f>K78-Q78</f>
        <v/>
      </c>
      <c r="S78" s="3">
        <f>P78*Assumptions!$B$3/100</f>
        <v/>
      </c>
      <c r="T78" s="14">
        <f>R78-S78</f>
        <v/>
      </c>
      <c r="U78" s="14">
        <f>L78*G78</f>
        <v/>
      </c>
    </row>
    <row r="79">
      <c r="A79" s="12" t="inlineStr">
        <is>
          <t>PO-2021-0077</t>
        </is>
      </c>
      <c r="B79" s="26" t="n">
        <v>44874</v>
      </c>
      <c r="C79" s="12" t="inlineStr">
        <is>
          <t>VS23</t>
        </is>
      </c>
      <c r="D79" s="12" t="inlineStr">
        <is>
          <t>Fasteners &amp; Fittings</t>
        </is>
      </c>
      <c r="E79" s="12" t="inlineStr">
        <is>
          <t>N</t>
        </is>
      </c>
      <c r="F79" s="12" t="n">
        <v>14.27</v>
      </c>
      <c r="G79" s="17" t="n">
        <v>63855.28</v>
      </c>
      <c r="H79" s="26" t="n">
        <v>44878</v>
      </c>
      <c r="I79" s="26" t="n">
        <v>44881</v>
      </c>
      <c r="J79" s="12" t="n">
        <v>14.17</v>
      </c>
      <c r="K79" s="17" t="n">
        <v>911214.85</v>
      </c>
      <c r="L79" s="12" t="n">
        <v>0</v>
      </c>
      <c r="M79" s="12" t="n">
        <v>9</v>
      </c>
      <c r="N79" s="27">
        <f>F79-J79</f>
        <v/>
      </c>
      <c r="O79" s="16">
        <f>I79-H79</f>
        <v/>
      </c>
      <c r="P79" s="14">
        <f>F79*G79</f>
        <v/>
      </c>
      <c r="Q79" s="14">
        <f>J79*G79</f>
        <v/>
      </c>
      <c r="R79" s="14">
        <f>K79-Q79</f>
        <v/>
      </c>
      <c r="S79" s="3">
        <f>P79*Assumptions!$B$3/100</f>
        <v/>
      </c>
      <c r="T79" s="14">
        <f>R79-S79</f>
        <v/>
      </c>
      <c r="U79" s="14">
        <f>L79*G79</f>
        <v/>
      </c>
    </row>
    <row r="80">
      <c r="A80" s="12" t="inlineStr">
        <is>
          <t>PO-2021-0078</t>
        </is>
      </c>
      <c r="B80" s="26" t="n">
        <v>44591</v>
      </c>
      <c r="C80" s="12" t="inlineStr">
        <is>
          <t>VS21</t>
        </is>
      </c>
      <c r="D80" s="12" t="inlineStr">
        <is>
          <t>ERW Pipes</t>
        </is>
      </c>
      <c r="E80" s="12" t="inlineStr">
        <is>
          <t>Y</t>
        </is>
      </c>
      <c r="F80" s="12" t="n">
        <v>37.4</v>
      </c>
      <c r="G80" s="17" t="n">
        <v>116315.82</v>
      </c>
      <c r="H80" s="26" t="n">
        <v>44605</v>
      </c>
      <c r="I80" s="26" t="n">
        <v>44607</v>
      </c>
      <c r="J80" s="12" t="n">
        <v>37.06</v>
      </c>
      <c r="K80" s="17" t="n">
        <v>4350211.67</v>
      </c>
      <c r="L80" s="12" t="n">
        <v>0</v>
      </c>
      <c r="M80" s="12" t="n">
        <v>0</v>
      </c>
      <c r="N80" s="27">
        <f>F80-J80</f>
        <v/>
      </c>
      <c r="O80" s="16">
        <f>I80-H80</f>
        <v/>
      </c>
      <c r="P80" s="14">
        <f>F80*G80</f>
        <v/>
      </c>
      <c r="Q80" s="14">
        <f>J80*G80</f>
        <v/>
      </c>
      <c r="R80" s="14">
        <f>K80-Q80</f>
        <v/>
      </c>
      <c r="S80" s="3">
        <f>P80*Assumptions!$B$3/100</f>
        <v/>
      </c>
      <c r="T80" s="14">
        <f>R80-S80</f>
        <v/>
      </c>
      <c r="U80" s="14">
        <f>L80*G80</f>
        <v/>
      </c>
    </row>
    <row r="81">
      <c r="A81" s="12" t="inlineStr">
        <is>
          <t>PO-2021-0079</t>
        </is>
      </c>
      <c r="B81" s="26" t="n">
        <v>44576</v>
      </c>
      <c r="C81" s="12" t="inlineStr">
        <is>
          <t>VS13</t>
        </is>
      </c>
      <c r="D81" s="12" t="inlineStr">
        <is>
          <t>GI Sheets</t>
        </is>
      </c>
      <c r="E81" s="12" t="inlineStr">
        <is>
          <t>N</t>
        </is>
      </c>
      <c r="F81" s="12" t="n">
        <v>37.19</v>
      </c>
      <c r="G81" s="17" t="n">
        <v>65737.47</v>
      </c>
      <c r="H81" s="26" t="n">
        <v>44588</v>
      </c>
      <c r="I81" s="26" t="n">
        <v>44590</v>
      </c>
      <c r="J81" s="12" t="n">
        <v>36.91</v>
      </c>
      <c r="K81" s="17" t="n">
        <v>2444776.51</v>
      </c>
      <c r="L81" s="12" t="n">
        <v>0</v>
      </c>
      <c r="M81" s="12" t="n">
        <v>14</v>
      </c>
      <c r="N81" s="27">
        <f>F81-J81</f>
        <v/>
      </c>
      <c r="O81" s="16">
        <f>I81-H81</f>
        <v/>
      </c>
      <c r="P81" s="14">
        <f>F81*G81</f>
        <v/>
      </c>
      <c r="Q81" s="14">
        <f>J81*G81</f>
        <v/>
      </c>
      <c r="R81" s="14">
        <f>K81-Q81</f>
        <v/>
      </c>
      <c r="S81" s="3">
        <f>P81*Assumptions!$B$3/100</f>
        <v/>
      </c>
      <c r="T81" s="14">
        <f>R81-S81</f>
        <v/>
      </c>
      <c r="U81" s="14">
        <f>L81*G81</f>
        <v/>
      </c>
    </row>
    <row r="82">
      <c r="A82" s="12" t="inlineStr">
        <is>
          <t>PO-2021-0080</t>
        </is>
      </c>
      <c r="B82" s="26" t="n">
        <v>45271</v>
      </c>
      <c r="C82" s="12" t="inlineStr">
        <is>
          <t>VS19</t>
        </is>
      </c>
      <c r="D82" s="12" t="inlineStr">
        <is>
          <t>ERW Pipes</t>
        </is>
      </c>
      <c r="E82" s="12" t="inlineStr">
        <is>
          <t>Y</t>
        </is>
      </c>
      <c r="F82" s="12" t="n">
        <v>41.8</v>
      </c>
      <c r="G82" s="17" t="n">
        <v>69907.22</v>
      </c>
      <c r="H82" s="26" t="n">
        <v>45279</v>
      </c>
      <c r="I82" s="26" t="n">
        <v>45281</v>
      </c>
      <c r="J82" s="12" t="n">
        <v>40.69</v>
      </c>
      <c r="K82" s="17" t="n">
        <v>2922121.8</v>
      </c>
      <c r="L82" s="12" t="n">
        <v>1.75</v>
      </c>
      <c r="M82" s="12" t="n">
        <v>0</v>
      </c>
      <c r="N82" s="27">
        <f>F82-J82</f>
        <v/>
      </c>
      <c r="O82" s="16">
        <f>I82-H82</f>
        <v/>
      </c>
      <c r="P82" s="14">
        <f>F82*G82</f>
        <v/>
      </c>
      <c r="Q82" s="14">
        <f>J82*G82</f>
        <v/>
      </c>
      <c r="R82" s="14">
        <f>K82-Q82</f>
        <v/>
      </c>
      <c r="S82" s="3">
        <f>P82*Assumptions!$B$3/100</f>
        <v/>
      </c>
      <c r="T82" s="14">
        <f>R82-S82</f>
        <v/>
      </c>
      <c r="U82" s="14">
        <f>L82*G82</f>
        <v/>
      </c>
    </row>
    <row r="83">
      <c r="A83" s="12" t="inlineStr">
        <is>
          <t>PO-2021-0081</t>
        </is>
      </c>
      <c r="B83" s="26" t="n">
        <v>44564</v>
      </c>
      <c r="C83" s="12" t="inlineStr">
        <is>
          <t>VS20</t>
        </is>
      </c>
      <c r="D83" s="12" t="inlineStr">
        <is>
          <t>MS Pipes</t>
        </is>
      </c>
      <c r="E83" s="12" t="inlineStr">
        <is>
          <t>N</t>
        </is>
      </c>
      <c r="F83" s="12" t="n">
        <v>35.69</v>
      </c>
      <c r="G83" s="17" t="n">
        <v>54493.72</v>
      </c>
      <c r="H83" s="26" t="n">
        <v>44567</v>
      </c>
      <c r="I83" s="26" t="n">
        <v>44569</v>
      </c>
      <c r="J83" s="12" t="n">
        <v>35.52</v>
      </c>
      <c r="K83" s="17" t="n">
        <v>1944880.87</v>
      </c>
      <c r="L83" s="12" t="n">
        <v>0</v>
      </c>
      <c r="M83" s="12" t="n">
        <v>21</v>
      </c>
      <c r="N83" s="27">
        <f>F83-J83</f>
        <v/>
      </c>
      <c r="O83" s="16">
        <f>I83-H83</f>
        <v/>
      </c>
      <c r="P83" s="14">
        <f>F83*G83</f>
        <v/>
      </c>
      <c r="Q83" s="14">
        <f>J83*G83</f>
        <v/>
      </c>
      <c r="R83" s="14">
        <f>K83-Q83</f>
        <v/>
      </c>
      <c r="S83" s="3">
        <f>P83*Assumptions!$B$3/100</f>
        <v/>
      </c>
      <c r="T83" s="14">
        <f>R83-S83</f>
        <v/>
      </c>
      <c r="U83" s="14">
        <f>L83*G83</f>
        <v/>
      </c>
    </row>
    <row r="84">
      <c r="A84" s="12" t="inlineStr">
        <is>
          <t>PO-2021-0082</t>
        </is>
      </c>
      <c r="B84" s="26" t="n">
        <v>44308</v>
      </c>
      <c r="C84" s="12" t="inlineStr">
        <is>
          <t>VS19</t>
        </is>
      </c>
      <c r="D84" s="12" t="inlineStr">
        <is>
          <t>Square/Rect Tubes</t>
        </is>
      </c>
      <c r="E84" s="12" t="inlineStr">
        <is>
          <t>N</t>
        </is>
      </c>
      <c r="F84" s="12" t="n">
        <v>32.26</v>
      </c>
      <c r="G84" s="17" t="n">
        <v>105517.79</v>
      </c>
      <c r="H84" s="26" t="n">
        <v>44312</v>
      </c>
      <c r="I84" s="26" t="n">
        <v>44316</v>
      </c>
      <c r="J84" s="12" t="n">
        <v>31.16</v>
      </c>
      <c r="K84" s="17" t="n">
        <v>3404003.91</v>
      </c>
      <c r="L84" s="12" t="n">
        <v>1.22</v>
      </c>
      <c r="M84" s="12" t="n">
        <v>19</v>
      </c>
      <c r="N84" s="27">
        <f>F84-J84</f>
        <v/>
      </c>
      <c r="O84" s="16">
        <f>I84-H84</f>
        <v/>
      </c>
      <c r="P84" s="14">
        <f>F84*G84</f>
        <v/>
      </c>
      <c r="Q84" s="14">
        <f>J84*G84</f>
        <v/>
      </c>
      <c r="R84" s="14">
        <f>K84-Q84</f>
        <v/>
      </c>
      <c r="S84" s="3">
        <f>P84*Assumptions!$B$3/100</f>
        <v/>
      </c>
      <c r="T84" s="14">
        <f>R84-S84</f>
        <v/>
      </c>
      <c r="U84" s="14">
        <f>L84*G84</f>
        <v/>
      </c>
    </row>
    <row r="85">
      <c r="A85" s="12" t="inlineStr">
        <is>
          <t>PO-2021-0083</t>
        </is>
      </c>
      <c r="B85" s="26" t="n">
        <v>44222</v>
      </c>
      <c r="C85" s="12" t="inlineStr">
        <is>
          <t>VS19</t>
        </is>
      </c>
      <c r="D85" s="12" t="inlineStr">
        <is>
          <t>Structural Steel</t>
        </is>
      </c>
      <c r="E85" s="12" t="inlineStr">
        <is>
          <t>N</t>
        </is>
      </c>
      <c r="F85" s="12" t="n">
        <v>24.46</v>
      </c>
      <c r="G85" s="17" t="n">
        <v>73375.06</v>
      </c>
      <c r="H85" s="26" t="n">
        <v>44225</v>
      </c>
      <c r="I85" s="26" t="n">
        <v>44227</v>
      </c>
      <c r="J85" s="12" t="n">
        <v>23.32</v>
      </c>
      <c r="K85" s="17" t="n">
        <v>1794753.97</v>
      </c>
      <c r="L85" s="12" t="n">
        <v>0.67</v>
      </c>
      <c r="M85" s="12" t="n">
        <v>15</v>
      </c>
      <c r="N85" s="27">
        <f>F85-J85</f>
        <v/>
      </c>
      <c r="O85" s="16">
        <f>I85-H85</f>
        <v/>
      </c>
      <c r="P85" s="14">
        <f>F85*G85</f>
        <v/>
      </c>
      <c r="Q85" s="14">
        <f>J85*G85</f>
        <v/>
      </c>
      <c r="R85" s="14">
        <f>K85-Q85</f>
        <v/>
      </c>
      <c r="S85" s="3">
        <f>P85*Assumptions!$B$3/100</f>
        <v/>
      </c>
      <c r="T85" s="14">
        <f>R85-S85</f>
        <v/>
      </c>
      <c r="U85" s="14">
        <f>L85*G85</f>
        <v/>
      </c>
    </row>
    <row r="86">
      <c r="A86" s="12" t="inlineStr">
        <is>
          <t>PO-2021-0084</t>
        </is>
      </c>
      <c r="B86" s="26" t="n">
        <v>44714</v>
      </c>
      <c r="C86" s="12" t="inlineStr">
        <is>
          <t>VS31</t>
        </is>
      </c>
      <c r="D86" s="12" t="inlineStr">
        <is>
          <t>ERW Pipes</t>
        </is>
      </c>
      <c r="E86" s="12" t="inlineStr">
        <is>
          <t>Y</t>
        </is>
      </c>
      <c r="F86" s="12" t="n">
        <v>41.28</v>
      </c>
      <c r="G86" s="17" t="n">
        <v>75053.06</v>
      </c>
      <c r="H86" s="26" t="n">
        <v>44718</v>
      </c>
      <c r="I86" s="26" t="n">
        <v>44718</v>
      </c>
      <c r="J86" s="12" t="n">
        <v>40.97</v>
      </c>
      <c r="K86" s="17" t="n">
        <v>3098190.32</v>
      </c>
      <c r="L86" s="12" t="n">
        <v>0</v>
      </c>
      <c r="M86" s="12" t="n">
        <v>0</v>
      </c>
      <c r="N86" s="27">
        <f>F86-J86</f>
        <v/>
      </c>
      <c r="O86" s="16">
        <f>I86-H86</f>
        <v/>
      </c>
      <c r="P86" s="14">
        <f>F86*G86</f>
        <v/>
      </c>
      <c r="Q86" s="14">
        <f>J86*G86</f>
        <v/>
      </c>
      <c r="R86" s="14">
        <f>K86-Q86</f>
        <v/>
      </c>
      <c r="S86" s="3">
        <f>P86*Assumptions!$B$3/100</f>
        <v/>
      </c>
      <c r="T86" s="14">
        <f>R86-S86</f>
        <v/>
      </c>
      <c r="U86" s="14">
        <f>L86*G86</f>
        <v/>
      </c>
    </row>
    <row r="87">
      <c r="A87" s="12" t="inlineStr">
        <is>
          <t>PO-2021-0085</t>
        </is>
      </c>
      <c r="B87" s="26" t="n">
        <v>44306</v>
      </c>
      <c r="C87" s="12" t="inlineStr">
        <is>
          <t>VS10</t>
        </is>
      </c>
      <c r="D87" s="12" t="inlineStr">
        <is>
          <t>Square/Rect Tubes</t>
        </is>
      </c>
      <c r="E87" s="12" t="inlineStr">
        <is>
          <t>N</t>
        </is>
      </c>
      <c r="F87" s="12" t="n">
        <v>40.75</v>
      </c>
      <c r="G87" s="17" t="n">
        <v>116184.42</v>
      </c>
      <c r="H87" s="26" t="n">
        <v>44310</v>
      </c>
      <c r="I87" s="26" t="n">
        <v>44312</v>
      </c>
      <c r="J87" s="12" t="n">
        <v>40.73</v>
      </c>
      <c r="K87" s="17" t="n">
        <v>4734515.12</v>
      </c>
      <c r="L87" s="12" t="n">
        <v>0</v>
      </c>
      <c r="M87" s="12" t="n">
        <v>12</v>
      </c>
      <c r="N87" s="27">
        <f>F87-J87</f>
        <v/>
      </c>
      <c r="O87" s="16">
        <f>I87-H87</f>
        <v/>
      </c>
      <c r="P87" s="14">
        <f>F87*G87</f>
        <v/>
      </c>
      <c r="Q87" s="14">
        <f>J87*G87</f>
        <v/>
      </c>
      <c r="R87" s="14">
        <f>K87-Q87</f>
        <v/>
      </c>
      <c r="S87" s="3">
        <f>P87*Assumptions!$B$3/100</f>
        <v/>
      </c>
      <c r="T87" s="14">
        <f>R87-S87</f>
        <v/>
      </c>
      <c r="U87" s="14">
        <f>L87*G87</f>
        <v/>
      </c>
    </row>
    <row r="88">
      <c r="A88" s="12" t="inlineStr">
        <is>
          <t>PO-2021-0086</t>
        </is>
      </c>
      <c r="B88" s="26" t="n">
        <v>44705</v>
      </c>
      <c r="C88" s="12" t="inlineStr">
        <is>
          <t>VS08</t>
        </is>
      </c>
      <c r="D88" s="12" t="inlineStr">
        <is>
          <t>Spring Steel</t>
        </is>
      </c>
      <c r="E88" s="12" t="inlineStr">
        <is>
          <t>N</t>
        </is>
      </c>
      <c r="F88" s="12" t="n">
        <v>38.46</v>
      </c>
      <c r="G88" s="17" t="n">
        <v>90473.82000000001</v>
      </c>
      <c r="H88" s="26" t="n">
        <v>44720</v>
      </c>
      <c r="I88" s="26" t="n">
        <v>44720</v>
      </c>
      <c r="J88" s="12" t="n">
        <v>38.2</v>
      </c>
      <c r="K88" s="17" t="n">
        <v>3479623.12</v>
      </c>
      <c r="L88" s="12" t="n">
        <v>0</v>
      </c>
      <c r="M88" s="12" t="n">
        <v>0</v>
      </c>
      <c r="N88" s="27">
        <f>F88-J88</f>
        <v/>
      </c>
      <c r="O88" s="16">
        <f>I88-H88</f>
        <v/>
      </c>
      <c r="P88" s="14">
        <f>F88*G88</f>
        <v/>
      </c>
      <c r="Q88" s="14">
        <f>J88*G88</f>
        <v/>
      </c>
      <c r="R88" s="14">
        <f>K88-Q88</f>
        <v/>
      </c>
      <c r="S88" s="3">
        <f>P88*Assumptions!$B$3/100</f>
        <v/>
      </c>
      <c r="T88" s="14">
        <f>R88-S88</f>
        <v/>
      </c>
      <c r="U88" s="14">
        <f>L88*G88</f>
        <v/>
      </c>
    </row>
    <row r="89">
      <c r="A89" s="12" t="inlineStr">
        <is>
          <t>PO-2021-0087</t>
        </is>
      </c>
      <c r="B89" s="26" t="n">
        <v>44659</v>
      </c>
      <c r="C89" s="12" t="inlineStr">
        <is>
          <t>VS34</t>
        </is>
      </c>
      <c r="D89" s="12" t="inlineStr">
        <is>
          <t>MS Rods</t>
        </is>
      </c>
      <c r="E89" s="12" t="inlineStr">
        <is>
          <t>N</t>
        </is>
      </c>
      <c r="F89" s="12" t="n">
        <v>23.08</v>
      </c>
      <c r="G89" s="17" t="n">
        <v>78204.08</v>
      </c>
      <c r="H89" s="26" t="n">
        <v>44671</v>
      </c>
      <c r="I89" s="26" t="n">
        <v>44674</v>
      </c>
      <c r="J89" s="12" t="n">
        <v>23.02</v>
      </c>
      <c r="K89" s="17" t="n">
        <v>1804950.17</v>
      </c>
      <c r="L89" s="12" t="n">
        <v>0</v>
      </c>
      <c r="M89" s="12" t="n">
        <v>18</v>
      </c>
      <c r="N89" s="27">
        <f>F89-J89</f>
        <v/>
      </c>
      <c r="O89" s="16">
        <f>I89-H89</f>
        <v/>
      </c>
      <c r="P89" s="14">
        <f>F89*G89</f>
        <v/>
      </c>
      <c r="Q89" s="14">
        <f>J89*G89</f>
        <v/>
      </c>
      <c r="R89" s="14">
        <f>K89-Q89</f>
        <v/>
      </c>
      <c r="S89" s="3">
        <f>P89*Assumptions!$B$3/100</f>
        <v/>
      </c>
      <c r="T89" s="14">
        <f>R89-S89</f>
        <v/>
      </c>
      <c r="U89" s="14">
        <f>L89*G89</f>
        <v/>
      </c>
    </row>
    <row r="90">
      <c r="A90" s="12" t="inlineStr">
        <is>
          <t>PO-2021-0088</t>
        </is>
      </c>
      <c r="B90" s="26" t="n">
        <v>45075</v>
      </c>
      <c r="C90" s="12" t="inlineStr">
        <is>
          <t>VS20</t>
        </is>
      </c>
      <c r="D90" s="12" t="inlineStr">
        <is>
          <t>GI Pipes</t>
        </is>
      </c>
      <c r="E90" s="12" t="inlineStr">
        <is>
          <t>N</t>
        </is>
      </c>
      <c r="F90" s="12" t="n">
        <v>30.87</v>
      </c>
      <c r="G90" s="17" t="n">
        <v>100506.7</v>
      </c>
      <c r="H90" s="26" t="n">
        <v>45090</v>
      </c>
      <c r="I90" s="26" t="n">
        <v>45091</v>
      </c>
      <c r="J90" s="12" t="n">
        <v>30.67</v>
      </c>
      <c r="K90" s="17" t="n">
        <v>3102641.83</v>
      </c>
      <c r="L90" s="12" t="n">
        <v>0</v>
      </c>
      <c r="M90" s="12" t="n">
        <v>0</v>
      </c>
      <c r="N90" s="27">
        <f>F90-J90</f>
        <v/>
      </c>
      <c r="O90" s="16">
        <f>I90-H90</f>
        <v/>
      </c>
      <c r="P90" s="14">
        <f>F90*G90</f>
        <v/>
      </c>
      <c r="Q90" s="14">
        <f>J90*G90</f>
        <v/>
      </c>
      <c r="R90" s="14">
        <f>K90-Q90</f>
        <v/>
      </c>
      <c r="S90" s="3">
        <f>P90*Assumptions!$B$3/100</f>
        <v/>
      </c>
      <c r="T90" s="14">
        <f>R90-S90</f>
        <v/>
      </c>
      <c r="U90" s="14">
        <f>L90*G90</f>
        <v/>
      </c>
    </row>
    <row r="91">
      <c r="A91" s="12" t="inlineStr">
        <is>
          <t>PO-2021-0089</t>
        </is>
      </c>
      <c r="B91" s="26" t="n">
        <v>44622</v>
      </c>
      <c r="C91" s="12" t="inlineStr">
        <is>
          <t>VS14</t>
        </is>
      </c>
      <c r="D91" s="12" t="inlineStr">
        <is>
          <t>CR Sheets</t>
        </is>
      </c>
      <c r="E91" s="12" t="inlineStr">
        <is>
          <t>N</t>
        </is>
      </c>
      <c r="F91" s="12" t="n">
        <v>33.36</v>
      </c>
      <c r="G91" s="17" t="n">
        <v>56779.28</v>
      </c>
      <c r="H91" s="26" t="n">
        <v>44627</v>
      </c>
      <c r="I91" s="26" t="n">
        <v>44630</v>
      </c>
      <c r="J91" s="12" t="n">
        <v>33.21</v>
      </c>
      <c r="K91" s="17" t="n">
        <v>1894156.78</v>
      </c>
      <c r="L91" s="12" t="n">
        <v>0</v>
      </c>
      <c r="M91" s="12" t="n">
        <v>0</v>
      </c>
      <c r="N91" s="27">
        <f>F91-J91</f>
        <v/>
      </c>
      <c r="O91" s="16">
        <f>I91-H91</f>
        <v/>
      </c>
      <c r="P91" s="14">
        <f>F91*G91</f>
        <v/>
      </c>
      <c r="Q91" s="14">
        <f>J91*G91</f>
        <v/>
      </c>
      <c r="R91" s="14">
        <f>K91-Q91</f>
        <v/>
      </c>
      <c r="S91" s="3">
        <f>P91*Assumptions!$B$3/100</f>
        <v/>
      </c>
      <c r="T91" s="14">
        <f>R91-S91</f>
        <v/>
      </c>
      <c r="U91" s="14">
        <f>L91*G91</f>
        <v/>
      </c>
    </row>
    <row r="92">
      <c r="A92" s="12" t="inlineStr">
        <is>
          <t>PO-2021-0090</t>
        </is>
      </c>
      <c r="B92" s="26" t="n">
        <v>44350</v>
      </c>
      <c r="C92" s="12" t="inlineStr">
        <is>
          <t>VS11</t>
        </is>
      </c>
      <c r="D92" s="12" t="inlineStr">
        <is>
          <t>MS Pipes</t>
        </is>
      </c>
      <c r="E92" s="12" t="inlineStr">
        <is>
          <t>N</t>
        </is>
      </c>
      <c r="F92" s="12" t="n">
        <v>21.02</v>
      </c>
      <c r="G92" s="17" t="n">
        <v>96702.84</v>
      </c>
      <c r="H92" s="26" t="n">
        <v>44360</v>
      </c>
      <c r="I92" s="26" t="n">
        <v>44363</v>
      </c>
      <c r="J92" s="12" t="n">
        <v>20.92</v>
      </c>
      <c r="K92" s="17" t="n">
        <v>2032693.7</v>
      </c>
      <c r="L92" s="12" t="n">
        <v>0</v>
      </c>
      <c r="M92" s="12" t="n">
        <v>12</v>
      </c>
      <c r="N92" s="27">
        <f>F92-J92</f>
        <v/>
      </c>
      <c r="O92" s="16">
        <f>I92-H92</f>
        <v/>
      </c>
      <c r="P92" s="14">
        <f>F92*G92</f>
        <v/>
      </c>
      <c r="Q92" s="14">
        <f>J92*G92</f>
        <v/>
      </c>
      <c r="R92" s="14">
        <f>K92-Q92</f>
        <v/>
      </c>
      <c r="S92" s="3">
        <f>P92*Assumptions!$B$3/100</f>
        <v/>
      </c>
      <c r="T92" s="14">
        <f>R92-S92</f>
        <v/>
      </c>
      <c r="U92" s="14">
        <f>L92*G92</f>
        <v/>
      </c>
    </row>
    <row r="93">
      <c r="A93" s="12" t="inlineStr">
        <is>
          <t>PO-2021-0091</t>
        </is>
      </c>
      <c r="B93" s="26" t="n">
        <v>44793</v>
      </c>
      <c r="C93" s="12" t="inlineStr">
        <is>
          <t>VS03</t>
        </is>
      </c>
      <c r="D93" s="12" t="inlineStr">
        <is>
          <t>HR Coils</t>
        </is>
      </c>
      <c r="E93" s="12" t="inlineStr">
        <is>
          <t>N</t>
        </is>
      </c>
      <c r="F93" s="12" t="n">
        <v>15.12</v>
      </c>
      <c r="G93" s="17" t="n">
        <v>68852.03</v>
      </c>
      <c r="H93" s="26" t="n">
        <v>44803</v>
      </c>
      <c r="I93" s="26" t="n">
        <v>44805</v>
      </c>
      <c r="J93" s="12" t="n">
        <v>14.47</v>
      </c>
      <c r="K93" s="17" t="n">
        <v>1041042.69</v>
      </c>
      <c r="L93" s="12" t="n">
        <v>0.43</v>
      </c>
      <c r="M93" s="12" t="n">
        <v>0</v>
      </c>
      <c r="N93" s="27">
        <f>F93-J93</f>
        <v/>
      </c>
      <c r="O93" s="16">
        <f>I93-H93</f>
        <v/>
      </c>
      <c r="P93" s="14">
        <f>F93*G93</f>
        <v/>
      </c>
      <c r="Q93" s="14">
        <f>J93*G93</f>
        <v/>
      </c>
      <c r="R93" s="14">
        <f>K93-Q93</f>
        <v/>
      </c>
      <c r="S93" s="3">
        <f>P93*Assumptions!$B$3/100</f>
        <v/>
      </c>
      <c r="T93" s="14">
        <f>R93-S93</f>
        <v/>
      </c>
      <c r="U93" s="14">
        <f>L93*G93</f>
        <v/>
      </c>
    </row>
    <row r="94">
      <c r="A94" s="12" t="inlineStr">
        <is>
          <t>PO-2021-0092</t>
        </is>
      </c>
      <c r="B94" s="26" t="n">
        <v>44342</v>
      </c>
      <c r="C94" s="12" t="inlineStr">
        <is>
          <t>VS15</t>
        </is>
      </c>
      <c r="D94" s="12" t="inlineStr">
        <is>
          <t>CR Sheets</t>
        </is>
      </c>
      <c r="E94" s="12" t="inlineStr">
        <is>
          <t>N</t>
        </is>
      </c>
      <c r="F94" s="12" t="n">
        <v>39.6</v>
      </c>
      <c r="G94" s="17" t="n">
        <v>91879.35000000001</v>
      </c>
      <c r="H94" s="26" t="n">
        <v>44355</v>
      </c>
      <c r="I94" s="26" t="n">
        <v>44356</v>
      </c>
      <c r="J94" s="12" t="n">
        <v>39.25</v>
      </c>
      <c r="K94" s="17" t="n">
        <v>3638422.26</v>
      </c>
      <c r="L94" s="12" t="n">
        <v>0</v>
      </c>
      <c r="M94" s="12" t="n">
        <v>7</v>
      </c>
      <c r="N94" s="27">
        <f>F94-J94</f>
        <v/>
      </c>
      <c r="O94" s="16">
        <f>I94-H94</f>
        <v/>
      </c>
      <c r="P94" s="14">
        <f>F94*G94</f>
        <v/>
      </c>
      <c r="Q94" s="14">
        <f>J94*G94</f>
        <v/>
      </c>
      <c r="R94" s="14">
        <f>K94-Q94</f>
        <v/>
      </c>
      <c r="S94" s="3">
        <f>P94*Assumptions!$B$3/100</f>
        <v/>
      </c>
      <c r="T94" s="14">
        <f>R94-S94</f>
        <v/>
      </c>
      <c r="U94" s="14">
        <f>L94*G94</f>
        <v/>
      </c>
    </row>
    <row r="95">
      <c r="A95" s="12" t="inlineStr">
        <is>
          <t>PO-2021-0093</t>
        </is>
      </c>
      <c r="B95" s="26" t="n">
        <v>44602</v>
      </c>
      <c r="C95" s="12" t="inlineStr">
        <is>
          <t>VS28</t>
        </is>
      </c>
      <c r="D95" s="12" t="inlineStr">
        <is>
          <t>ERW Pipes</t>
        </is>
      </c>
      <c r="E95" s="12" t="inlineStr">
        <is>
          <t>N</t>
        </is>
      </c>
      <c r="F95" s="12" t="n">
        <v>27.68</v>
      </c>
      <c r="G95" s="17" t="n">
        <v>93572.60000000001</v>
      </c>
      <c r="H95" s="26" t="n">
        <v>44609</v>
      </c>
      <c r="I95" s="26" t="n">
        <v>44612</v>
      </c>
      <c r="J95" s="12" t="n">
        <v>27.41</v>
      </c>
      <c r="K95" s="17" t="n">
        <v>2590089.57</v>
      </c>
      <c r="L95" s="12" t="n">
        <v>0</v>
      </c>
      <c r="M95" s="12" t="n">
        <v>3</v>
      </c>
      <c r="N95" s="27">
        <f>F95-J95</f>
        <v/>
      </c>
      <c r="O95" s="16">
        <f>I95-H95</f>
        <v/>
      </c>
      <c r="P95" s="14">
        <f>F95*G95</f>
        <v/>
      </c>
      <c r="Q95" s="14">
        <f>J95*G95</f>
        <v/>
      </c>
      <c r="R95" s="14">
        <f>K95-Q95</f>
        <v/>
      </c>
      <c r="S95" s="3">
        <f>P95*Assumptions!$B$3/100</f>
        <v/>
      </c>
      <c r="T95" s="14">
        <f>R95-S95</f>
        <v/>
      </c>
      <c r="U95" s="14">
        <f>L95*G95</f>
        <v/>
      </c>
    </row>
    <row r="96">
      <c r="A96" s="12" t="inlineStr">
        <is>
          <t>PO-2021-0094</t>
        </is>
      </c>
      <c r="B96" s="26" t="n">
        <v>44488</v>
      </c>
      <c r="C96" s="12" t="inlineStr">
        <is>
          <t>VS05</t>
        </is>
      </c>
      <c r="D96" s="12" t="inlineStr">
        <is>
          <t>GI Pipes</t>
        </is>
      </c>
      <c r="E96" s="12" t="inlineStr">
        <is>
          <t>N</t>
        </is>
      </c>
      <c r="F96" s="12" t="n">
        <v>9.130000000000001</v>
      </c>
      <c r="G96" s="17" t="n">
        <v>68070.89</v>
      </c>
      <c r="H96" s="26" t="n">
        <v>44502</v>
      </c>
      <c r="I96" s="26" t="n">
        <v>44504</v>
      </c>
      <c r="J96" s="12" t="n">
        <v>9.09</v>
      </c>
      <c r="K96" s="17" t="n">
        <v>621487.23</v>
      </c>
      <c r="L96" s="12" t="n">
        <v>0</v>
      </c>
      <c r="M96" s="12" t="n">
        <v>4</v>
      </c>
      <c r="N96" s="27">
        <f>F96-J96</f>
        <v/>
      </c>
      <c r="O96" s="16">
        <f>I96-H96</f>
        <v/>
      </c>
      <c r="P96" s="14">
        <f>F96*G96</f>
        <v/>
      </c>
      <c r="Q96" s="14">
        <f>J96*G96</f>
        <v/>
      </c>
      <c r="R96" s="14">
        <f>K96-Q96</f>
        <v/>
      </c>
      <c r="S96" s="3">
        <f>P96*Assumptions!$B$3/100</f>
        <v/>
      </c>
      <c r="T96" s="14">
        <f>R96-S96</f>
        <v/>
      </c>
      <c r="U96" s="14">
        <f>L96*G96</f>
        <v/>
      </c>
    </row>
    <row r="97">
      <c r="A97" s="12" t="inlineStr">
        <is>
          <t>PO-2021-0095</t>
        </is>
      </c>
      <c r="B97" s="26" t="n">
        <v>44788</v>
      </c>
      <c r="C97" s="12" t="inlineStr">
        <is>
          <t>VS29</t>
        </is>
      </c>
      <c r="D97" s="12" t="inlineStr">
        <is>
          <t>ERW Pipes</t>
        </is>
      </c>
      <c r="E97" s="12" t="inlineStr">
        <is>
          <t>N</t>
        </is>
      </c>
      <c r="F97" s="12" t="n">
        <v>23.97</v>
      </c>
      <c r="G97" s="17" t="n">
        <v>67806.84</v>
      </c>
      <c r="H97" s="26" t="n">
        <v>44797</v>
      </c>
      <c r="I97" s="26" t="n">
        <v>44798</v>
      </c>
      <c r="J97" s="12" t="n">
        <v>23.96</v>
      </c>
      <c r="K97" s="17" t="n">
        <v>1625329.95</v>
      </c>
      <c r="L97" s="12" t="n">
        <v>0</v>
      </c>
      <c r="M97" s="12" t="n">
        <v>16</v>
      </c>
      <c r="N97" s="27">
        <f>F97-J97</f>
        <v/>
      </c>
      <c r="O97" s="16">
        <f>I97-H97</f>
        <v/>
      </c>
      <c r="P97" s="14">
        <f>F97*G97</f>
        <v/>
      </c>
      <c r="Q97" s="14">
        <f>J97*G97</f>
        <v/>
      </c>
      <c r="R97" s="14">
        <f>K97-Q97</f>
        <v/>
      </c>
      <c r="S97" s="3">
        <f>P97*Assumptions!$B$3/100</f>
        <v/>
      </c>
      <c r="T97" s="14">
        <f>R97-S97</f>
        <v/>
      </c>
      <c r="U97" s="14">
        <f>L97*G97</f>
        <v/>
      </c>
    </row>
    <row r="98">
      <c r="A98" s="12" t="inlineStr">
        <is>
          <t>PO-2021-0096</t>
        </is>
      </c>
      <c r="B98" s="26" t="n">
        <v>44754</v>
      </c>
      <c r="C98" s="12" t="inlineStr">
        <is>
          <t>VS33</t>
        </is>
      </c>
      <c r="D98" s="12" t="inlineStr">
        <is>
          <t>Spring Steel</t>
        </is>
      </c>
      <c r="E98" s="12" t="inlineStr">
        <is>
          <t>N</t>
        </is>
      </c>
      <c r="F98" s="12" t="n">
        <v>25.2</v>
      </c>
      <c r="G98" s="17" t="n">
        <v>51033.14</v>
      </c>
      <c r="H98" s="26" t="n">
        <v>44757</v>
      </c>
      <c r="I98" s="26" t="n">
        <v>44758</v>
      </c>
      <c r="J98" s="12" t="n">
        <v>25.08</v>
      </c>
      <c r="K98" s="17" t="n">
        <v>1286035.13</v>
      </c>
      <c r="L98" s="12" t="n">
        <v>0</v>
      </c>
      <c r="M98" s="12" t="n">
        <v>0</v>
      </c>
      <c r="N98" s="27">
        <f>F98-J98</f>
        <v/>
      </c>
      <c r="O98" s="16">
        <f>I98-H98</f>
        <v/>
      </c>
      <c r="P98" s="14">
        <f>F98*G98</f>
        <v/>
      </c>
      <c r="Q98" s="14">
        <f>J98*G98</f>
        <v/>
      </c>
      <c r="R98" s="14">
        <f>K98-Q98</f>
        <v/>
      </c>
      <c r="S98" s="3">
        <f>P98*Assumptions!$B$3/100</f>
        <v/>
      </c>
      <c r="T98" s="14">
        <f>R98-S98</f>
        <v/>
      </c>
      <c r="U98" s="14">
        <f>L98*G98</f>
        <v/>
      </c>
    </row>
    <row r="99">
      <c r="A99" s="12" t="inlineStr">
        <is>
          <t>PO-2021-0097</t>
        </is>
      </c>
      <c r="B99" s="26" t="n">
        <v>45081</v>
      </c>
      <c r="C99" s="12" t="inlineStr">
        <is>
          <t>VS21</t>
        </is>
      </c>
      <c r="D99" s="12" t="inlineStr">
        <is>
          <t>CR Sheets</t>
        </is>
      </c>
      <c r="E99" s="12" t="inlineStr">
        <is>
          <t>N</t>
        </is>
      </c>
      <c r="F99" s="12" t="n">
        <v>2.27</v>
      </c>
      <c r="G99" s="17" t="n">
        <v>62169.33</v>
      </c>
      <c r="H99" s="26" t="n">
        <v>45094</v>
      </c>
      <c r="I99" s="26" t="n">
        <v>45097</v>
      </c>
      <c r="J99" s="12" t="n">
        <v>2.25</v>
      </c>
      <c r="K99" s="17" t="n">
        <v>141124.38</v>
      </c>
      <c r="L99" s="12" t="n">
        <v>0</v>
      </c>
      <c r="M99" s="12" t="n">
        <v>0</v>
      </c>
      <c r="N99" s="27">
        <f>F99-J99</f>
        <v/>
      </c>
      <c r="O99" s="16">
        <f>I99-H99</f>
        <v/>
      </c>
      <c r="P99" s="14">
        <f>F99*G99</f>
        <v/>
      </c>
      <c r="Q99" s="14">
        <f>J99*G99</f>
        <v/>
      </c>
      <c r="R99" s="14">
        <f>K99-Q99</f>
        <v/>
      </c>
      <c r="S99" s="3">
        <f>P99*Assumptions!$B$3/100</f>
        <v/>
      </c>
      <c r="T99" s="14">
        <f>R99-S99</f>
        <v/>
      </c>
      <c r="U99" s="14">
        <f>L99*G99</f>
        <v/>
      </c>
    </row>
    <row r="100">
      <c r="A100" s="12" t="inlineStr">
        <is>
          <t>PO-2021-0098</t>
        </is>
      </c>
      <c r="B100" s="26" t="n">
        <v>44239</v>
      </c>
      <c r="C100" s="12" t="inlineStr">
        <is>
          <t>VS18</t>
        </is>
      </c>
      <c r="D100" s="12" t="inlineStr">
        <is>
          <t>GI Pipes</t>
        </is>
      </c>
      <c r="E100" s="12" t="inlineStr">
        <is>
          <t>N</t>
        </is>
      </c>
      <c r="F100" s="12" t="n">
        <v>38.39</v>
      </c>
      <c r="G100" s="17" t="n">
        <v>58139.3</v>
      </c>
      <c r="H100" s="26" t="n">
        <v>44250</v>
      </c>
      <c r="I100" s="26" t="n">
        <v>44253</v>
      </c>
      <c r="J100" s="12" t="n">
        <v>38.08</v>
      </c>
      <c r="K100" s="17" t="n">
        <v>2231967.73</v>
      </c>
      <c r="L100" s="12" t="n">
        <v>0</v>
      </c>
      <c r="M100" s="12" t="n">
        <v>0</v>
      </c>
      <c r="N100" s="27">
        <f>F100-J100</f>
        <v/>
      </c>
      <c r="O100" s="16">
        <f>I100-H100</f>
        <v/>
      </c>
      <c r="P100" s="14">
        <f>F100*G100</f>
        <v/>
      </c>
      <c r="Q100" s="14">
        <f>J100*G100</f>
        <v/>
      </c>
      <c r="R100" s="14">
        <f>K100-Q100</f>
        <v/>
      </c>
      <c r="S100" s="3">
        <f>P100*Assumptions!$B$3/100</f>
        <v/>
      </c>
      <c r="T100" s="14">
        <f>R100-S100</f>
        <v/>
      </c>
      <c r="U100" s="14">
        <f>L100*G100</f>
        <v/>
      </c>
    </row>
    <row r="101">
      <c r="A101" s="12" t="inlineStr">
        <is>
          <t>PO-2021-0099</t>
        </is>
      </c>
      <c r="B101" s="26" t="n">
        <v>45102</v>
      </c>
      <c r="C101" s="12" t="inlineStr">
        <is>
          <t>VS18</t>
        </is>
      </c>
      <c r="D101" s="12" t="inlineStr">
        <is>
          <t>MS Sheets</t>
        </is>
      </c>
      <c r="E101" s="12" t="inlineStr">
        <is>
          <t>N</t>
        </is>
      </c>
      <c r="F101" s="12" t="n">
        <v>49.85</v>
      </c>
      <c r="G101" s="17" t="n">
        <v>77691.37</v>
      </c>
      <c r="H101" s="26" t="n">
        <v>45112</v>
      </c>
      <c r="I101" s="26" t="n">
        <v>45112</v>
      </c>
      <c r="J101" s="12" t="n">
        <v>49.48</v>
      </c>
      <c r="K101" s="17" t="n">
        <v>3872914.79</v>
      </c>
      <c r="L101" s="12" t="n">
        <v>0</v>
      </c>
      <c r="M101" s="12" t="n">
        <v>6</v>
      </c>
      <c r="N101" s="27">
        <f>F101-J101</f>
        <v/>
      </c>
      <c r="O101" s="16">
        <f>I101-H101</f>
        <v/>
      </c>
      <c r="P101" s="14">
        <f>F101*G101</f>
        <v/>
      </c>
      <c r="Q101" s="14">
        <f>J101*G101</f>
        <v/>
      </c>
      <c r="R101" s="14">
        <f>K101-Q101</f>
        <v/>
      </c>
      <c r="S101" s="3">
        <f>P101*Assumptions!$B$3/100</f>
        <v/>
      </c>
      <c r="T101" s="14">
        <f>R101-S101</f>
        <v/>
      </c>
      <c r="U101" s="14">
        <f>L101*G101</f>
        <v/>
      </c>
    </row>
    <row r="102">
      <c r="A102" s="12" t="inlineStr">
        <is>
          <t>PO-2021-0100</t>
        </is>
      </c>
      <c r="B102" s="26" t="n">
        <v>44383</v>
      </c>
      <c r="C102" s="12" t="inlineStr">
        <is>
          <t>VS31</t>
        </is>
      </c>
      <c r="D102" s="12" t="inlineStr">
        <is>
          <t>Angles &amp; Channels</t>
        </is>
      </c>
      <c r="E102" s="12" t="inlineStr">
        <is>
          <t>N</t>
        </is>
      </c>
      <c r="F102" s="12" t="n">
        <v>21.01</v>
      </c>
      <c r="G102" s="17" t="n">
        <v>69079.37</v>
      </c>
      <c r="H102" s="26" t="n">
        <v>44387</v>
      </c>
      <c r="I102" s="26" t="n">
        <v>44389</v>
      </c>
      <c r="J102" s="12" t="n">
        <v>20.92</v>
      </c>
      <c r="K102" s="17" t="n">
        <v>1451357.56</v>
      </c>
      <c r="L102" s="12" t="n">
        <v>0</v>
      </c>
      <c r="M102" s="12" t="n">
        <v>0</v>
      </c>
      <c r="N102" s="27">
        <f>F102-J102</f>
        <v/>
      </c>
      <c r="O102" s="16">
        <f>I102-H102</f>
        <v/>
      </c>
      <c r="P102" s="14">
        <f>F102*G102</f>
        <v/>
      </c>
      <c r="Q102" s="14">
        <f>J102*G102</f>
        <v/>
      </c>
      <c r="R102" s="14">
        <f>K102-Q102</f>
        <v/>
      </c>
      <c r="S102" s="3">
        <f>P102*Assumptions!$B$3/100</f>
        <v/>
      </c>
      <c r="T102" s="14">
        <f>R102-S102</f>
        <v/>
      </c>
      <c r="U102" s="14">
        <f>L102*G102</f>
        <v/>
      </c>
    </row>
    <row r="103">
      <c r="A103" s="12" t="inlineStr">
        <is>
          <t>PO-2021-0101</t>
        </is>
      </c>
      <c r="B103" s="26" t="n">
        <v>44526</v>
      </c>
      <c r="C103" s="12" t="inlineStr">
        <is>
          <t>VS22</t>
        </is>
      </c>
      <c r="D103" s="12" t="inlineStr">
        <is>
          <t>GI Wire</t>
        </is>
      </c>
      <c r="E103" s="12" t="inlineStr">
        <is>
          <t>N</t>
        </is>
      </c>
      <c r="F103" s="12" t="n">
        <v>34.99</v>
      </c>
      <c r="G103" s="17" t="n">
        <v>66616.33</v>
      </c>
      <c r="H103" s="26" t="n">
        <v>44535</v>
      </c>
      <c r="I103" s="26" t="n">
        <v>44536</v>
      </c>
      <c r="J103" s="12" t="n">
        <v>34.84</v>
      </c>
      <c r="K103" s="17" t="n">
        <v>2330905.39</v>
      </c>
      <c r="L103" s="12" t="n">
        <v>0</v>
      </c>
      <c r="M103" s="12" t="n">
        <v>7</v>
      </c>
      <c r="N103" s="27">
        <f>F103-J103</f>
        <v/>
      </c>
      <c r="O103" s="16">
        <f>I103-H103</f>
        <v/>
      </c>
      <c r="P103" s="14">
        <f>F103*G103</f>
        <v/>
      </c>
      <c r="Q103" s="14">
        <f>J103*G103</f>
        <v/>
      </c>
      <c r="R103" s="14">
        <f>K103-Q103</f>
        <v/>
      </c>
      <c r="S103" s="3">
        <f>P103*Assumptions!$B$3/100</f>
        <v/>
      </c>
      <c r="T103" s="14">
        <f>R103-S103</f>
        <v/>
      </c>
      <c r="U103" s="14">
        <f>L103*G103</f>
        <v/>
      </c>
    </row>
    <row r="104">
      <c r="A104" s="12" t="inlineStr">
        <is>
          <t>PO-2021-0102</t>
        </is>
      </c>
      <c r="B104" s="26" t="n">
        <v>44272</v>
      </c>
      <c r="C104" s="12" t="inlineStr">
        <is>
          <t>VS30</t>
        </is>
      </c>
      <c r="D104" s="12" t="inlineStr">
        <is>
          <t>SS Pipes</t>
        </is>
      </c>
      <c r="E104" s="12" t="inlineStr">
        <is>
          <t>N</t>
        </is>
      </c>
      <c r="F104" s="12" t="n">
        <v>16.41</v>
      </c>
      <c r="G104" s="17" t="n">
        <v>69245.53</v>
      </c>
      <c r="H104" s="26" t="n">
        <v>44287</v>
      </c>
      <c r="I104" s="26" t="n">
        <v>44290</v>
      </c>
      <c r="J104" s="12" t="n">
        <v>16.4</v>
      </c>
      <c r="K104" s="17" t="n">
        <v>1136319.15</v>
      </c>
      <c r="L104" s="12" t="n">
        <v>0</v>
      </c>
      <c r="M104" s="12" t="n">
        <v>9</v>
      </c>
      <c r="N104" s="27">
        <f>F104-J104</f>
        <v/>
      </c>
      <c r="O104" s="16">
        <f>I104-H104</f>
        <v/>
      </c>
      <c r="P104" s="14">
        <f>F104*G104</f>
        <v/>
      </c>
      <c r="Q104" s="14">
        <f>J104*G104</f>
        <v/>
      </c>
      <c r="R104" s="14">
        <f>K104-Q104</f>
        <v/>
      </c>
      <c r="S104" s="3">
        <f>P104*Assumptions!$B$3/100</f>
        <v/>
      </c>
      <c r="T104" s="14">
        <f>R104-S104</f>
        <v/>
      </c>
      <c r="U104" s="14">
        <f>L104*G104</f>
        <v/>
      </c>
    </row>
    <row r="105">
      <c r="A105" s="12" t="inlineStr">
        <is>
          <t>PO-2021-0103</t>
        </is>
      </c>
      <c r="B105" s="26" t="n">
        <v>45024</v>
      </c>
      <c r="C105" s="12" t="inlineStr">
        <is>
          <t>VS33</t>
        </is>
      </c>
      <c r="D105" s="12" t="inlineStr">
        <is>
          <t>MS Pipes</t>
        </is>
      </c>
      <c r="E105" s="12" t="inlineStr">
        <is>
          <t>N</t>
        </is>
      </c>
      <c r="F105" s="12" t="n">
        <v>33.23</v>
      </c>
      <c r="G105" s="17" t="n">
        <v>85694.52</v>
      </c>
      <c r="H105" s="26" t="n">
        <v>45033</v>
      </c>
      <c r="I105" s="26" t="n">
        <v>45036</v>
      </c>
      <c r="J105" s="12" t="n">
        <v>33</v>
      </c>
      <c r="K105" s="17" t="n">
        <v>2847628.9</v>
      </c>
      <c r="L105" s="12" t="n">
        <v>0</v>
      </c>
      <c r="M105" s="12" t="n">
        <v>4</v>
      </c>
      <c r="N105" s="27">
        <f>F105-J105</f>
        <v/>
      </c>
      <c r="O105" s="16">
        <f>I105-H105</f>
        <v/>
      </c>
      <c r="P105" s="14">
        <f>F105*G105</f>
        <v/>
      </c>
      <c r="Q105" s="14">
        <f>J105*G105</f>
        <v/>
      </c>
      <c r="R105" s="14">
        <f>K105-Q105</f>
        <v/>
      </c>
      <c r="S105" s="3">
        <f>P105*Assumptions!$B$3/100</f>
        <v/>
      </c>
      <c r="T105" s="14">
        <f>R105-S105</f>
        <v/>
      </c>
      <c r="U105" s="14">
        <f>L105*G105</f>
        <v/>
      </c>
    </row>
    <row r="106">
      <c r="A106" s="12" t="inlineStr">
        <is>
          <t>PO-2021-0104</t>
        </is>
      </c>
      <c r="B106" s="26" t="n">
        <v>44308</v>
      </c>
      <c r="C106" s="12" t="inlineStr">
        <is>
          <t>VS13</t>
        </is>
      </c>
      <c r="D106" s="12" t="inlineStr">
        <is>
          <t>Hex Bars</t>
        </is>
      </c>
      <c r="E106" s="12" t="inlineStr">
        <is>
          <t>N</t>
        </is>
      </c>
      <c r="F106" s="12" t="n">
        <v>18.73</v>
      </c>
      <c r="G106" s="17" t="n">
        <v>101733.24</v>
      </c>
      <c r="H106" s="26" t="n">
        <v>44321</v>
      </c>
      <c r="I106" s="26" t="n">
        <v>44324</v>
      </c>
      <c r="J106" s="12" t="n">
        <v>18.54</v>
      </c>
      <c r="K106" s="17" t="n">
        <v>1905463.59</v>
      </c>
      <c r="L106" s="12" t="n">
        <v>0</v>
      </c>
      <c r="M106" s="12" t="n">
        <v>19</v>
      </c>
      <c r="N106" s="27">
        <f>F106-J106</f>
        <v/>
      </c>
      <c r="O106" s="16">
        <f>I106-H106</f>
        <v/>
      </c>
      <c r="P106" s="14">
        <f>F106*G106</f>
        <v/>
      </c>
      <c r="Q106" s="14">
        <f>J106*G106</f>
        <v/>
      </c>
      <c r="R106" s="14">
        <f>K106-Q106</f>
        <v/>
      </c>
      <c r="S106" s="3">
        <f>P106*Assumptions!$B$3/100</f>
        <v/>
      </c>
      <c r="T106" s="14">
        <f>R106-S106</f>
        <v/>
      </c>
      <c r="U106" s="14">
        <f>L106*G106</f>
        <v/>
      </c>
    </row>
    <row r="107">
      <c r="A107" s="12" t="inlineStr">
        <is>
          <t>PO-2021-0105</t>
        </is>
      </c>
      <c r="B107" s="26" t="n">
        <v>45102</v>
      </c>
      <c r="C107" s="12" t="inlineStr">
        <is>
          <t>VS04</t>
        </is>
      </c>
      <c r="D107" s="12" t="inlineStr">
        <is>
          <t>GI Sheets</t>
        </is>
      </c>
      <c r="E107" s="12" t="inlineStr">
        <is>
          <t>N</t>
        </is>
      </c>
      <c r="F107" s="12" t="n">
        <v>14.09</v>
      </c>
      <c r="G107" s="17" t="n">
        <v>54825.99</v>
      </c>
      <c r="H107" s="26" t="n">
        <v>45109</v>
      </c>
      <c r="I107" s="26" t="n">
        <v>45110</v>
      </c>
      <c r="J107" s="12" t="n">
        <v>14.03</v>
      </c>
      <c r="K107" s="17" t="n">
        <v>772498.2</v>
      </c>
      <c r="L107" s="12" t="n">
        <v>0</v>
      </c>
      <c r="M107" s="12" t="n">
        <v>14</v>
      </c>
      <c r="N107" s="27">
        <f>F107-J107</f>
        <v/>
      </c>
      <c r="O107" s="16">
        <f>I107-H107</f>
        <v/>
      </c>
      <c r="P107" s="14">
        <f>F107*G107</f>
        <v/>
      </c>
      <c r="Q107" s="14">
        <f>J107*G107</f>
        <v/>
      </c>
      <c r="R107" s="14">
        <f>K107-Q107</f>
        <v/>
      </c>
      <c r="S107" s="3">
        <f>P107*Assumptions!$B$3/100</f>
        <v/>
      </c>
      <c r="T107" s="14">
        <f>R107-S107</f>
        <v/>
      </c>
      <c r="U107" s="14">
        <f>L107*G107</f>
        <v/>
      </c>
    </row>
    <row r="108">
      <c r="A108" s="12" t="inlineStr">
        <is>
          <t>PO-2021-0106</t>
        </is>
      </c>
      <c r="B108" s="26" t="n">
        <v>45094</v>
      </c>
      <c r="C108" s="12" t="inlineStr">
        <is>
          <t>VS32</t>
        </is>
      </c>
      <c r="D108" s="12" t="inlineStr">
        <is>
          <t>ERW Pipes</t>
        </is>
      </c>
      <c r="E108" s="12" t="inlineStr">
        <is>
          <t>N</t>
        </is>
      </c>
      <c r="F108" s="12" t="n">
        <v>2.41</v>
      </c>
      <c r="G108" s="17" t="n">
        <v>92251.67</v>
      </c>
      <c r="H108" s="26" t="n">
        <v>45109</v>
      </c>
      <c r="I108" s="26" t="n">
        <v>45109</v>
      </c>
      <c r="J108" s="12" t="n">
        <v>2.4</v>
      </c>
      <c r="K108" s="17" t="n">
        <v>222326.52</v>
      </c>
      <c r="L108" s="12" t="n">
        <v>0</v>
      </c>
      <c r="M108" s="12" t="n">
        <v>20</v>
      </c>
      <c r="N108" s="27">
        <f>F108-J108</f>
        <v/>
      </c>
      <c r="O108" s="16">
        <f>I108-H108</f>
        <v/>
      </c>
      <c r="P108" s="14">
        <f>F108*G108</f>
        <v/>
      </c>
      <c r="Q108" s="14">
        <f>J108*G108</f>
        <v/>
      </c>
      <c r="R108" s="14">
        <f>K108-Q108</f>
        <v/>
      </c>
      <c r="S108" s="3">
        <f>P108*Assumptions!$B$3/100</f>
        <v/>
      </c>
      <c r="T108" s="14">
        <f>R108-S108</f>
        <v/>
      </c>
      <c r="U108" s="14">
        <f>L108*G108</f>
        <v/>
      </c>
    </row>
    <row r="109">
      <c r="A109" s="12" t="inlineStr">
        <is>
          <t>PO-2021-0107</t>
        </is>
      </c>
      <c r="B109" s="26" t="n">
        <v>44687</v>
      </c>
      <c r="C109" s="12" t="inlineStr">
        <is>
          <t>VS11</t>
        </is>
      </c>
      <c r="D109" s="12" t="inlineStr">
        <is>
          <t>SS Sheets</t>
        </is>
      </c>
      <c r="E109" s="12" t="inlineStr">
        <is>
          <t>N</t>
        </is>
      </c>
      <c r="F109" s="12" t="n">
        <v>27.99</v>
      </c>
      <c r="G109" s="17" t="n">
        <v>86418.86</v>
      </c>
      <c r="H109" s="26" t="n">
        <v>44691</v>
      </c>
      <c r="I109" s="26" t="n">
        <v>44693</v>
      </c>
      <c r="J109" s="12" t="n">
        <v>27.73</v>
      </c>
      <c r="K109" s="17" t="n">
        <v>2418863.89</v>
      </c>
      <c r="L109" s="12" t="n">
        <v>0</v>
      </c>
      <c r="M109" s="12" t="n">
        <v>17</v>
      </c>
      <c r="N109" s="27">
        <f>F109-J109</f>
        <v/>
      </c>
      <c r="O109" s="16">
        <f>I109-H109</f>
        <v/>
      </c>
      <c r="P109" s="14">
        <f>F109*G109</f>
        <v/>
      </c>
      <c r="Q109" s="14">
        <f>J109*G109</f>
        <v/>
      </c>
      <c r="R109" s="14">
        <f>K109-Q109</f>
        <v/>
      </c>
      <c r="S109" s="3">
        <f>P109*Assumptions!$B$3/100</f>
        <v/>
      </c>
      <c r="T109" s="14">
        <f>R109-S109</f>
        <v/>
      </c>
      <c r="U109" s="14">
        <f>L109*G109</f>
        <v/>
      </c>
    </row>
    <row r="110">
      <c r="A110" s="12" t="inlineStr">
        <is>
          <t>PO-2021-0108</t>
        </is>
      </c>
      <c r="B110" s="26" t="n">
        <v>44657</v>
      </c>
      <c r="C110" s="12" t="inlineStr">
        <is>
          <t>VS08</t>
        </is>
      </c>
      <c r="D110" s="12" t="inlineStr">
        <is>
          <t>Fasteners &amp; Fittings</t>
        </is>
      </c>
      <c r="E110" s="12" t="inlineStr">
        <is>
          <t>N</t>
        </is>
      </c>
      <c r="F110" s="12" t="n">
        <v>47.41</v>
      </c>
      <c r="G110" s="17" t="n">
        <v>93578.23</v>
      </c>
      <c r="H110" s="26" t="n">
        <v>44662</v>
      </c>
      <c r="I110" s="26" t="n">
        <v>44663</v>
      </c>
      <c r="J110" s="12" t="n">
        <v>47.19</v>
      </c>
      <c r="K110" s="17" t="n">
        <v>4436543.88</v>
      </c>
      <c r="L110" s="12" t="n">
        <v>0</v>
      </c>
      <c r="M110" s="12" t="n">
        <v>0</v>
      </c>
      <c r="N110" s="27">
        <f>F110-J110</f>
        <v/>
      </c>
      <c r="O110" s="16">
        <f>I110-H110</f>
        <v/>
      </c>
      <c r="P110" s="14">
        <f>F110*G110</f>
        <v/>
      </c>
      <c r="Q110" s="14">
        <f>J110*G110</f>
        <v/>
      </c>
      <c r="R110" s="14">
        <f>K110-Q110</f>
        <v/>
      </c>
      <c r="S110" s="3">
        <f>P110*Assumptions!$B$3/100</f>
        <v/>
      </c>
      <c r="T110" s="14">
        <f>R110-S110</f>
        <v/>
      </c>
      <c r="U110" s="14">
        <f>L110*G110</f>
        <v/>
      </c>
    </row>
    <row r="111">
      <c r="A111" s="12" t="inlineStr">
        <is>
          <t>PO-2021-0109</t>
        </is>
      </c>
      <c r="B111" s="26" t="n">
        <v>45217</v>
      </c>
      <c r="C111" s="12" t="inlineStr">
        <is>
          <t>VS19</t>
        </is>
      </c>
      <c r="D111" s="12" t="inlineStr">
        <is>
          <t>Hex Bars</t>
        </is>
      </c>
      <c r="E111" s="12" t="inlineStr">
        <is>
          <t>N</t>
        </is>
      </c>
      <c r="F111" s="12" t="n">
        <v>35.57</v>
      </c>
      <c r="G111" s="17" t="n">
        <v>79208.25</v>
      </c>
      <c r="H111" s="26" t="n">
        <v>45227</v>
      </c>
      <c r="I111" s="26" t="n">
        <v>45234</v>
      </c>
      <c r="J111" s="12" t="n">
        <v>33.88</v>
      </c>
      <c r="K111" s="17" t="n">
        <v>2817437.45</v>
      </c>
      <c r="L111" s="12" t="n">
        <v>1.59</v>
      </c>
      <c r="M111" s="12" t="n">
        <v>12</v>
      </c>
      <c r="N111" s="27">
        <f>F111-J111</f>
        <v/>
      </c>
      <c r="O111" s="16">
        <f>I111-H111</f>
        <v/>
      </c>
      <c r="P111" s="14">
        <f>F111*G111</f>
        <v/>
      </c>
      <c r="Q111" s="14">
        <f>J111*G111</f>
        <v/>
      </c>
      <c r="R111" s="14">
        <f>K111-Q111</f>
        <v/>
      </c>
      <c r="S111" s="3">
        <f>P111*Assumptions!$B$3/100</f>
        <v/>
      </c>
      <c r="T111" s="14">
        <f>R111-S111</f>
        <v/>
      </c>
      <c r="U111" s="14">
        <f>L111*G111</f>
        <v/>
      </c>
    </row>
    <row r="112">
      <c r="A112" s="12" t="inlineStr">
        <is>
          <t>PO-2021-0110</t>
        </is>
      </c>
      <c r="B112" s="26" t="n">
        <v>45164</v>
      </c>
      <c r="C112" s="12" t="inlineStr">
        <is>
          <t>VS16</t>
        </is>
      </c>
      <c r="D112" s="12" t="inlineStr">
        <is>
          <t>Fasteners &amp; Fittings</t>
        </is>
      </c>
      <c r="E112" s="12" t="inlineStr">
        <is>
          <t>N</t>
        </is>
      </c>
      <c r="F112" s="12" t="n">
        <v>28.01</v>
      </c>
      <c r="G112" s="17" t="n">
        <v>73768.95</v>
      </c>
      <c r="H112" s="26" t="n">
        <v>45176</v>
      </c>
      <c r="I112" s="26" t="n">
        <v>45177</v>
      </c>
      <c r="J112" s="12" t="n">
        <v>27.93</v>
      </c>
      <c r="K112" s="17" t="n">
        <v>2066268.29</v>
      </c>
      <c r="L112" s="12" t="n">
        <v>0</v>
      </c>
      <c r="M112" s="12" t="n">
        <v>4</v>
      </c>
      <c r="N112" s="27">
        <f>F112-J112</f>
        <v/>
      </c>
      <c r="O112" s="16">
        <f>I112-H112</f>
        <v/>
      </c>
      <c r="P112" s="14">
        <f>F112*G112</f>
        <v/>
      </c>
      <c r="Q112" s="14">
        <f>J112*G112</f>
        <v/>
      </c>
      <c r="R112" s="14">
        <f>K112-Q112</f>
        <v/>
      </c>
      <c r="S112" s="3">
        <f>P112*Assumptions!$B$3/100</f>
        <v/>
      </c>
      <c r="T112" s="14">
        <f>R112-S112</f>
        <v/>
      </c>
      <c r="U112" s="14">
        <f>L112*G112</f>
        <v/>
      </c>
    </row>
    <row r="113">
      <c r="A113" s="12" t="inlineStr">
        <is>
          <t>PO-2021-0111</t>
        </is>
      </c>
      <c r="B113" s="26" t="n">
        <v>45237</v>
      </c>
      <c r="C113" s="12" t="inlineStr">
        <is>
          <t>VS09</t>
        </is>
      </c>
      <c r="D113" s="12" t="inlineStr">
        <is>
          <t>SS Pipes</t>
        </is>
      </c>
      <c r="E113" s="12" t="inlineStr">
        <is>
          <t>Y</t>
        </is>
      </c>
      <c r="F113" s="12" t="n">
        <v>14.54</v>
      </c>
      <c r="G113" s="17" t="n">
        <v>104250.46</v>
      </c>
      <c r="H113" s="26" t="n">
        <v>45246</v>
      </c>
      <c r="I113" s="26" t="n">
        <v>45246</v>
      </c>
      <c r="J113" s="12" t="n">
        <v>14.41</v>
      </c>
      <c r="K113" s="17" t="n">
        <v>1515801.69</v>
      </c>
      <c r="L113" s="12" t="n">
        <v>0</v>
      </c>
      <c r="M113" s="12" t="n">
        <v>2</v>
      </c>
      <c r="N113" s="27">
        <f>F113-J113</f>
        <v/>
      </c>
      <c r="O113" s="16">
        <f>I113-H113</f>
        <v/>
      </c>
      <c r="P113" s="14">
        <f>F113*G113</f>
        <v/>
      </c>
      <c r="Q113" s="14">
        <f>J113*G113</f>
        <v/>
      </c>
      <c r="R113" s="14">
        <f>K113-Q113</f>
        <v/>
      </c>
      <c r="S113" s="3">
        <f>P113*Assumptions!$B$3/100</f>
        <v/>
      </c>
      <c r="T113" s="14">
        <f>R113-S113</f>
        <v/>
      </c>
      <c r="U113" s="14">
        <f>L113*G113</f>
        <v/>
      </c>
    </row>
    <row r="114">
      <c r="A114" s="12" t="inlineStr">
        <is>
          <t>PO-2021-0112</t>
        </is>
      </c>
      <c r="B114" s="26" t="n">
        <v>44893</v>
      </c>
      <c r="C114" s="12" t="inlineStr">
        <is>
          <t>VS33</t>
        </is>
      </c>
      <c r="D114" s="12" t="inlineStr">
        <is>
          <t>CR Sheets</t>
        </is>
      </c>
      <c r="E114" s="12" t="inlineStr">
        <is>
          <t>N</t>
        </is>
      </c>
      <c r="F114" s="12" t="n">
        <v>41.21</v>
      </c>
      <c r="G114" s="17" t="n">
        <v>66212.92</v>
      </c>
      <c r="H114" s="26" t="n">
        <v>44900</v>
      </c>
      <c r="I114" s="26" t="n">
        <v>44902</v>
      </c>
      <c r="J114" s="12" t="n">
        <v>40.92</v>
      </c>
      <c r="K114" s="17" t="n">
        <v>2728634.43</v>
      </c>
      <c r="L114" s="12" t="n">
        <v>0</v>
      </c>
      <c r="M114" s="12" t="n">
        <v>25</v>
      </c>
      <c r="N114" s="27">
        <f>F114-J114</f>
        <v/>
      </c>
      <c r="O114" s="16">
        <f>I114-H114</f>
        <v/>
      </c>
      <c r="P114" s="14">
        <f>F114*G114</f>
        <v/>
      </c>
      <c r="Q114" s="14">
        <f>J114*G114</f>
        <v/>
      </c>
      <c r="R114" s="14">
        <f>K114-Q114</f>
        <v/>
      </c>
      <c r="S114" s="3">
        <f>P114*Assumptions!$B$3/100</f>
        <v/>
      </c>
      <c r="T114" s="14">
        <f>R114-S114</f>
        <v/>
      </c>
      <c r="U114" s="14">
        <f>L114*G114</f>
        <v/>
      </c>
    </row>
    <row r="115">
      <c r="A115" s="12" t="inlineStr">
        <is>
          <t>PO-2021-0113</t>
        </is>
      </c>
      <c r="B115" s="26" t="n">
        <v>45199</v>
      </c>
      <c r="C115" s="12" t="inlineStr">
        <is>
          <t>VS10</t>
        </is>
      </c>
      <c r="D115" s="12" t="inlineStr">
        <is>
          <t>Fasteners &amp; Fittings</t>
        </is>
      </c>
      <c r="E115" s="12" t="inlineStr">
        <is>
          <t>N</t>
        </is>
      </c>
      <c r="F115" s="12" t="n">
        <v>27.39</v>
      </c>
      <c r="G115" s="17" t="n">
        <v>70884.3</v>
      </c>
      <c r="H115" s="26" t="n">
        <v>45210</v>
      </c>
      <c r="I115" s="26" t="n">
        <v>45210</v>
      </c>
      <c r="J115" s="12" t="n">
        <v>27.23</v>
      </c>
      <c r="K115" s="17" t="n">
        <v>1941520.98</v>
      </c>
      <c r="L115" s="12" t="n">
        <v>0</v>
      </c>
      <c r="M115" s="12" t="n">
        <v>0</v>
      </c>
      <c r="N115" s="27">
        <f>F115-J115</f>
        <v/>
      </c>
      <c r="O115" s="16">
        <f>I115-H115</f>
        <v/>
      </c>
      <c r="P115" s="14">
        <f>F115*G115</f>
        <v/>
      </c>
      <c r="Q115" s="14">
        <f>J115*G115</f>
        <v/>
      </c>
      <c r="R115" s="14">
        <f>K115-Q115</f>
        <v/>
      </c>
      <c r="S115" s="3">
        <f>P115*Assumptions!$B$3/100</f>
        <v/>
      </c>
      <c r="T115" s="14">
        <f>R115-S115</f>
        <v/>
      </c>
      <c r="U115" s="14">
        <f>L115*G115</f>
        <v/>
      </c>
    </row>
    <row r="116">
      <c r="A116" s="12" t="inlineStr">
        <is>
          <t>PO-2021-0114</t>
        </is>
      </c>
      <c r="B116" s="26" t="n">
        <v>44969</v>
      </c>
      <c r="C116" s="12" t="inlineStr">
        <is>
          <t>VS30</t>
        </is>
      </c>
      <c r="D116" s="12" t="inlineStr">
        <is>
          <t>MS Flats</t>
        </is>
      </c>
      <c r="E116" s="12" t="inlineStr">
        <is>
          <t>N</t>
        </is>
      </c>
      <c r="F116" s="12" t="n">
        <v>43.61</v>
      </c>
      <c r="G116" s="17" t="n">
        <v>118558.1</v>
      </c>
      <c r="H116" s="26" t="n">
        <v>44975</v>
      </c>
      <c r="I116" s="26" t="n">
        <v>44978</v>
      </c>
      <c r="J116" s="12" t="n">
        <v>43.44</v>
      </c>
      <c r="K116" s="17" t="n">
        <v>5170318.74</v>
      </c>
      <c r="L116" s="12" t="n">
        <v>0</v>
      </c>
      <c r="M116" s="12" t="n">
        <v>1</v>
      </c>
      <c r="N116" s="27">
        <f>F116-J116</f>
        <v/>
      </c>
      <c r="O116" s="16">
        <f>I116-H116</f>
        <v/>
      </c>
      <c r="P116" s="14">
        <f>F116*G116</f>
        <v/>
      </c>
      <c r="Q116" s="14">
        <f>J116*G116</f>
        <v/>
      </c>
      <c r="R116" s="14">
        <f>K116-Q116</f>
        <v/>
      </c>
      <c r="S116" s="3">
        <f>P116*Assumptions!$B$3/100</f>
        <v/>
      </c>
      <c r="T116" s="14">
        <f>R116-S116</f>
        <v/>
      </c>
      <c r="U116" s="14">
        <f>L116*G116</f>
        <v/>
      </c>
    </row>
    <row r="117">
      <c r="A117" s="12" t="inlineStr">
        <is>
          <t>PO-2021-0115</t>
        </is>
      </c>
      <c r="B117" s="26" t="n">
        <v>44981</v>
      </c>
      <c r="C117" s="12" t="inlineStr">
        <is>
          <t>VS15</t>
        </is>
      </c>
      <c r="D117" s="12" t="inlineStr">
        <is>
          <t>GI Wire</t>
        </is>
      </c>
      <c r="E117" s="12" t="inlineStr">
        <is>
          <t>N</t>
        </is>
      </c>
      <c r="F117" s="12" t="n">
        <v>3.14</v>
      </c>
      <c r="G117" s="17" t="n">
        <v>100852.89</v>
      </c>
      <c r="H117" s="26" t="n">
        <v>44995</v>
      </c>
      <c r="I117" s="26" t="n">
        <v>44995</v>
      </c>
      <c r="J117" s="12" t="n">
        <v>3.11</v>
      </c>
      <c r="K117" s="17" t="n">
        <v>316678.07</v>
      </c>
      <c r="L117" s="12" t="n">
        <v>0</v>
      </c>
      <c r="M117" s="12" t="n">
        <v>0</v>
      </c>
      <c r="N117" s="27">
        <f>F117-J117</f>
        <v/>
      </c>
      <c r="O117" s="16">
        <f>I117-H117</f>
        <v/>
      </c>
      <c r="P117" s="14">
        <f>F117*G117</f>
        <v/>
      </c>
      <c r="Q117" s="14">
        <f>J117*G117</f>
        <v/>
      </c>
      <c r="R117" s="14">
        <f>K117-Q117</f>
        <v/>
      </c>
      <c r="S117" s="3">
        <f>P117*Assumptions!$B$3/100</f>
        <v/>
      </c>
      <c r="T117" s="14">
        <f>R117-S117</f>
        <v/>
      </c>
      <c r="U117" s="14">
        <f>L117*G117</f>
        <v/>
      </c>
    </row>
    <row r="118">
      <c r="A118" s="12" t="inlineStr">
        <is>
          <t>PO-2021-0116</t>
        </is>
      </c>
      <c r="B118" s="26" t="n">
        <v>44977</v>
      </c>
      <c r="C118" s="12" t="inlineStr">
        <is>
          <t>VS25</t>
        </is>
      </c>
      <c r="D118" s="12" t="inlineStr">
        <is>
          <t>Square/Rect Tubes</t>
        </is>
      </c>
      <c r="E118" s="12" t="inlineStr">
        <is>
          <t>N</t>
        </is>
      </c>
      <c r="F118" s="12" t="n">
        <v>25.27</v>
      </c>
      <c r="G118" s="17" t="n">
        <v>47776.47</v>
      </c>
      <c r="H118" s="26" t="n">
        <v>44988</v>
      </c>
      <c r="I118" s="26" t="n">
        <v>44991</v>
      </c>
      <c r="J118" s="12" t="n">
        <v>25.12</v>
      </c>
      <c r="K118" s="17" t="n">
        <v>1207311.4</v>
      </c>
      <c r="L118" s="12" t="n">
        <v>0</v>
      </c>
      <c r="M118" s="12" t="n">
        <v>14</v>
      </c>
      <c r="N118" s="27">
        <f>F118-J118</f>
        <v/>
      </c>
      <c r="O118" s="16">
        <f>I118-H118</f>
        <v/>
      </c>
      <c r="P118" s="14">
        <f>F118*G118</f>
        <v/>
      </c>
      <c r="Q118" s="14">
        <f>J118*G118</f>
        <v/>
      </c>
      <c r="R118" s="14">
        <f>K118-Q118</f>
        <v/>
      </c>
      <c r="S118" s="3">
        <f>P118*Assumptions!$B$3/100</f>
        <v/>
      </c>
      <c r="T118" s="14">
        <f>R118-S118</f>
        <v/>
      </c>
      <c r="U118" s="14">
        <f>L118*G118</f>
        <v/>
      </c>
    </row>
    <row r="119">
      <c r="A119" s="12" t="inlineStr">
        <is>
          <t>PO-2021-0117</t>
        </is>
      </c>
      <c r="B119" s="26" t="n">
        <v>44876</v>
      </c>
      <c r="C119" s="12" t="inlineStr">
        <is>
          <t>VS07</t>
        </is>
      </c>
      <c r="D119" s="12" t="inlineStr">
        <is>
          <t>Fasteners &amp; Fittings</t>
        </is>
      </c>
      <c r="E119" s="12" t="inlineStr">
        <is>
          <t>Y</t>
        </is>
      </c>
      <c r="F119" s="12" t="n">
        <v>5.89</v>
      </c>
      <c r="G119" s="17" t="n">
        <v>113283.13</v>
      </c>
      <c r="H119" s="26" t="n">
        <v>44879</v>
      </c>
      <c r="I119" s="26" t="n">
        <v>44881</v>
      </c>
      <c r="J119" s="12" t="n">
        <v>5.87</v>
      </c>
      <c r="K119" s="17" t="n">
        <v>667237.64</v>
      </c>
      <c r="L119" s="12" t="n">
        <v>0</v>
      </c>
      <c r="M119" s="12" t="n">
        <v>0</v>
      </c>
      <c r="N119" s="27">
        <f>F119-J119</f>
        <v/>
      </c>
      <c r="O119" s="16">
        <f>I119-H119</f>
        <v/>
      </c>
      <c r="P119" s="14">
        <f>F119*G119</f>
        <v/>
      </c>
      <c r="Q119" s="14">
        <f>J119*G119</f>
        <v/>
      </c>
      <c r="R119" s="14">
        <f>K119-Q119</f>
        <v/>
      </c>
      <c r="S119" s="3">
        <f>P119*Assumptions!$B$3/100</f>
        <v/>
      </c>
      <c r="T119" s="14">
        <f>R119-S119</f>
        <v/>
      </c>
      <c r="U119" s="14">
        <f>L119*G119</f>
        <v/>
      </c>
    </row>
    <row r="120">
      <c r="A120" s="12" t="inlineStr">
        <is>
          <t>PO-2021-0118</t>
        </is>
      </c>
      <c r="B120" s="26" t="n">
        <v>44492</v>
      </c>
      <c r="C120" s="12" t="inlineStr">
        <is>
          <t>VS27</t>
        </is>
      </c>
      <c r="D120" s="12" t="inlineStr">
        <is>
          <t>Square/Rect Tubes</t>
        </is>
      </c>
      <c r="E120" s="12" t="inlineStr">
        <is>
          <t>N</t>
        </is>
      </c>
      <c r="F120" s="12" t="n">
        <v>4.67</v>
      </c>
      <c r="G120" s="17" t="n">
        <v>103614.4</v>
      </c>
      <c r="H120" s="26" t="n">
        <v>44499</v>
      </c>
      <c r="I120" s="26" t="n">
        <v>44499</v>
      </c>
      <c r="J120" s="12" t="n">
        <v>4.64</v>
      </c>
      <c r="K120" s="17" t="n">
        <v>483879.25</v>
      </c>
      <c r="L120" s="12" t="n">
        <v>0</v>
      </c>
      <c r="M120" s="12" t="n">
        <v>22</v>
      </c>
      <c r="N120" s="27">
        <f>F120-J120</f>
        <v/>
      </c>
      <c r="O120" s="16">
        <f>I120-H120</f>
        <v/>
      </c>
      <c r="P120" s="14">
        <f>F120*G120</f>
        <v/>
      </c>
      <c r="Q120" s="14">
        <f>J120*G120</f>
        <v/>
      </c>
      <c r="R120" s="14">
        <f>K120-Q120</f>
        <v/>
      </c>
      <c r="S120" s="3">
        <f>P120*Assumptions!$B$3/100</f>
        <v/>
      </c>
      <c r="T120" s="14">
        <f>R120-S120</f>
        <v/>
      </c>
      <c r="U120" s="14">
        <f>L120*G120</f>
        <v/>
      </c>
    </row>
    <row r="121">
      <c r="A121" s="12" t="inlineStr">
        <is>
          <t>PO-2021-0119</t>
        </is>
      </c>
      <c r="B121" s="26" t="n">
        <v>44890</v>
      </c>
      <c r="C121" s="12" t="inlineStr">
        <is>
          <t>VS26</t>
        </is>
      </c>
      <c r="D121" s="12" t="inlineStr">
        <is>
          <t>SS Pipes</t>
        </is>
      </c>
      <c r="E121" s="12" t="inlineStr">
        <is>
          <t>N</t>
        </is>
      </c>
      <c r="F121" s="12" t="n">
        <v>42.74</v>
      </c>
      <c r="G121" s="17" t="n">
        <v>108925.6</v>
      </c>
      <c r="H121" s="26" t="n">
        <v>44901</v>
      </c>
      <c r="I121" s="26" t="n">
        <v>44904</v>
      </c>
      <c r="J121" s="12" t="n">
        <v>42.42</v>
      </c>
      <c r="K121" s="17" t="n">
        <v>4655480.14</v>
      </c>
      <c r="L121" s="12" t="n">
        <v>0</v>
      </c>
      <c r="M121" s="12" t="n">
        <v>0</v>
      </c>
      <c r="N121" s="27">
        <f>F121-J121</f>
        <v/>
      </c>
      <c r="O121" s="16">
        <f>I121-H121</f>
        <v/>
      </c>
      <c r="P121" s="14">
        <f>F121*G121</f>
        <v/>
      </c>
      <c r="Q121" s="14">
        <f>J121*G121</f>
        <v/>
      </c>
      <c r="R121" s="14">
        <f>K121-Q121</f>
        <v/>
      </c>
      <c r="S121" s="3">
        <f>P121*Assumptions!$B$3/100</f>
        <v/>
      </c>
      <c r="T121" s="14">
        <f>R121-S121</f>
        <v/>
      </c>
      <c r="U121" s="14">
        <f>L121*G121</f>
        <v/>
      </c>
    </row>
    <row r="122">
      <c r="A122" s="12" t="inlineStr">
        <is>
          <t>PO-2021-0120</t>
        </is>
      </c>
      <c r="B122" s="26" t="n">
        <v>44975</v>
      </c>
      <c r="C122" s="12" t="inlineStr">
        <is>
          <t>VS21</t>
        </is>
      </c>
      <c r="D122" s="12" t="inlineStr">
        <is>
          <t>Structural Steel</t>
        </is>
      </c>
      <c r="E122" s="12" t="inlineStr">
        <is>
          <t>N</t>
        </is>
      </c>
      <c r="F122" s="12" t="n">
        <v>43.75</v>
      </c>
      <c r="G122" s="17" t="n">
        <v>47692.43</v>
      </c>
      <c r="H122" s="26" t="n">
        <v>44979</v>
      </c>
      <c r="I122" s="26" t="n">
        <v>44979</v>
      </c>
      <c r="J122" s="12" t="n">
        <v>43.41</v>
      </c>
      <c r="K122" s="17" t="n">
        <v>2086543.81</v>
      </c>
      <c r="L122" s="12" t="n">
        <v>0</v>
      </c>
      <c r="M122" s="12" t="n">
        <v>0</v>
      </c>
      <c r="N122" s="27">
        <f>F122-J122</f>
        <v/>
      </c>
      <c r="O122" s="16">
        <f>I122-H122</f>
        <v/>
      </c>
      <c r="P122" s="14">
        <f>F122*G122</f>
        <v/>
      </c>
      <c r="Q122" s="14">
        <f>J122*G122</f>
        <v/>
      </c>
      <c r="R122" s="14">
        <f>K122-Q122</f>
        <v/>
      </c>
      <c r="S122" s="3">
        <f>P122*Assumptions!$B$3/100</f>
        <v/>
      </c>
      <c r="T122" s="14">
        <f>R122-S122</f>
        <v/>
      </c>
      <c r="U122" s="14">
        <f>L122*G122</f>
        <v/>
      </c>
    </row>
    <row r="123">
      <c r="A123" s="12" t="inlineStr">
        <is>
          <t>PO-2021-0121</t>
        </is>
      </c>
      <c r="B123" s="26" t="n">
        <v>44677</v>
      </c>
      <c r="C123" s="12" t="inlineStr">
        <is>
          <t>VS19</t>
        </is>
      </c>
      <c r="D123" s="12" t="inlineStr">
        <is>
          <t>HR Coils</t>
        </is>
      </c>
      <c r="E123" s="12" t="inlineStr">
        <is>
          <t>N</t>
        </is>
      </c>
      <c r="F123" s="12" t="n">
        <v>37.59</v>
      </c>
      <c r="G123" s="17" t="n">
        <v>80649.77</v>
      </c>
      <c r="H123" s="26" t="n">
        <v>44681</v>
      </c>
      <c r="I123" s="26" t="n">
        <v>44683</v>
      </c>
      <c r="J123" s="12" t="n">
        <v>36.25</v>
      </c>
      <c r="K123" s="17" t="n">
        <v>3031624.85</v>
      </c>
      <c r="L123" s="12" t="n">
        <v>1.65</v>
      </c>
      <c r="M123" s="12" t="n">
        <v>8</v>
      </c>
      <c r="N123" s="27">
        <f>F123-J123</f>
        <v/>
      </c>
      <c r="O123" s="16">
        <f>I123-H123</f>
        <v/>
      </c>
      <c r="P123" s="14">
        <f>F123*G123</f>
        <v/>
      </c>
      <c r="Q123" s="14">
        <f>J123*G123</f>
        <v/>
      </c>
      <c r="R123" s="14">
        <f>K123-Q123</f>
        <v/>
      </c>
      <c r="S123" s="3">
        <f>P123*Assumptions!$B$3/100</f>
        <v/>
      </c>
      <c r="T123" s="14">
        <f>R123-S123</f>
        <v/>
      </c>
      <c r="U123" s="14">
        <f>L123*G123</f>
        <v/>
      </c>
    </row>
    <row r="124">
      <c r="A124" s="12" t="inlineStr">
        <is>
          <t>PO-2021-0122</t>
        </is>
      </c>
      <c r="B124" s="26" t="n">
        <v>44402</v>
      </c>
      <c r="C124" s="12" t="inlineStr">
        <is>
          <t>VS29</t>
        </is>
      </c>
      <c r="D124" s="12" t="inlineStr">
        <is>
          <t>MS Sheets</t>
        </is>
      </c>
      <c r="E124" s="12" t="inlineStr">
        <is>
          <t>N</t>
        </is>
      </c>
      <c r="F124" s="12" t="n">
        <v>35.01</v>
      </c>
      <c r="G124" s="17" t="n">
        <v>112756.8</v>
      </c>
      <c r="H124" s="26" t="n">
        <v>44405</v>
      </c>
      <c r="I124" s="26" t="n">
        <v>44407</v>
      </c>
      <c r="J124" s="12" t="n">
        <v>34.92</v>
      </c>
      <c r="K124" s="17" t="n">
        <v>3947615.57</v>
      </c>
      <c r="L124" s="12" t="n">
        <v>0</v>
      </c>
      <c r="M124" s="12" t="n">
        <v>0</v>
      </c>
      <c r="N124" s="27">
        <f>F124-J124</f>
        <v/>
      </c>
      <c r="O124" s="16">
        <f>I124-H124</f>
        <v/>
      </c>
      <c r="P124" s="14">
        <f>F124*G124</f>
        <v/>
      </c>
      <c r="Q124" s="14">
        <f>J124*G124</f>
        <v/>
      </c>
      <c r="R124" s="14">
        <f>K124-Q124</f>
        <v/>
      </c>
      <c r="S124" s="3">
        <f>P124*Assumptions!$B$3/100</f>
        <v/>
      </c>
      <c r="T124" s="14">
        <f>R124-S124</f>
        <v/>
      </c>
      <c r="U124" s="14">
        <f>L124*G124</f>
        <v/>
      </c>
    </row>
    <row r="125">
      <c r="A125" s="12" t="inlineStr">
        <is>
          <t>PO-2021-0123</t>
        </is>
      </c>
      <c r="B125" s="26" t="n">
        <v>44861</v>
      </c>
      <c r="C125" s="12" t="inlineStr">
        <is>
          <t>VS04</t>
        </is>
      </c>
      <c r="D125" s="12" t="inlineStr">
        <is>
          <t>SS Sheets</t>
        </is>
      </c>
      <c r="E125" s="12" t="inlineStr">
        <is>
          <t>N</t>
        </is>
      </c>
      <c r="F125" s="12" t="n">
        <v>18.56</v>
      </c>
      <c r="G125" s="17" t="n">
        <v>77301.50999999999</v>
      </c>
      <c r="H125" s="26" t="n">
        <v>44867</v>
      </c>
      <c r="I125" s="26" t="n">
        <v>44868</v>
      </c>
      <c r="J125" s="12" t="n">
        <v>18.38</v>
      </c>
      <c r="K125" s="17" t="n">
        <v>1434716.03</v>
      </c>
      <c r="L125" s="12" t="n">
        <v>0</v>
      </c>
      <c r="M125" s="12" t="n">
        <v>4</v>
      </c>
      <c r="N125" s="27">
        <f>F125-J125</f>
        <v/>
      </c>
      <c r="O125" s="16">
        <f>I125-H125</f>
        <v/>
      </c>
      <c r="P125" s="14">
        <f>F125*G125</f>
        <v/>
      </c>
      <c r="Q125" s="14">
        <f>J125*G125</f>
        <v/>
      </c>
      <c r="R125" s="14">
        <f>K125-Q125</f>
        <v/>
      </c>
      <c r="S125" s="3">
        <f>P125*Assumptions!$B$3/100</f>
        <v/>
      </c>
      <c r="T125" s="14">
        <f>R125-S125</f>
        <v/>
      </c>
      <c r="U125" s="14">
        <f>L125*G125</f>
        <v/>
      </c>
    </row>
    <row r="126">
      <c r="A126" s="12" t="inlineStr">
        <is>
          <t>PO-2021-0124</t>
        </is>
      </c>
      <c r="B126" s="26" t="n">
        <v>45284</v>
      </c>
      <c r="C126" s="12" t="inlineStr">
        <is>
          <t>VS27</t>
        </is>
      </c>
      <c r="D126" s="12" t="inlineStr">
        <is>
          <t>MS Sheets</t>
        </is>
      </c>
      <c r="E126" s="12" t="inlineStr">
        <is>
          <t>N</t>
        </is>
      </c>
      <c r="F126" s="12" t="n">
        <v>9.33</v>
      </c>
      <c r="G126" s="17" t="n">
        <v>50922.63</v>
      </c>
      <c r="H126" s="26" t="n">
        <v>45293</v>
      </c>
      <c r="I126" s="26" t="n">
        <v>45296</v>
      </c>
      <c r="J126" s="12" t="n">
        <v>9.25</v>
      </c>
      <c r="K126" s="17" t="n">
        <v>475108.14</v>
      </c>
      <c r="L126" s="12" t="n">
        <v>0</v>
      </c>
      <c r="M126" s="12" t="n">
        <v>16</v>
      </c>
      <c r="N126" s="27">
        <f>F126-J126</f>
        <v/>
      </c>
      <c r="O126" s="16">
        <f>I126-H126</f>
        <v/>
      </c>
      <c r="P126" s="14">
        <f>F126*G126</f>
        <v/>
      </c>
      <c r="Q126" s="14">
        <f>J126*G126</f>
        <v/>
      </c>
      <c r="R126" s="14">
        <f>K126-Q126</f>
        <v/>
      </c>
      <c r="S126" s="3">
        <f>P126*Assumptions!$B$3/100</f>
        <v/>
      </c>
      <c r="T126" s="14">
        <f>R126-S126</f>
        <v/>
      </c>
      <c r="U126" s="14">
        <f>L126*G126</f>
        <v/>
      </c>
    </row>
    <row r="127">
      <c r="A127" s="12" t="inlineStr">
        <is>
          <t>PO-2021-0125</t>
        </is>
      </c>
      <c r="B127" s="26" t="n">
        <v>44690</v>
      </c>
      <c r="C127" s="12" t="inlineStr">
        <is>
          <t>VS32</t>
        </is>
      </c>
      <c r="D127" s="12" t="inlineStr">
        <is>
          <t>Square/Rect Tubes</t>
        </is>
      </c>
      <c r="E127" s="12" t="inlineStr">
        <is>
          <t>N</t>
        </is>
      </c>
      <c r="F127" s="12" t="n">
        <v>12.38</v>
      </c>
      <c r="G127" s="17" t="n">
        <v>92842.85000000001</v>
      </c>
      <c r="H127" s="26" t="n">
        <v>44700</v>
      </c>
      <c r="I127" s="26" t="n">
        <v>44701</v>
      </c>
      <c r="J127" s="12" t="n">
        <v>12.31</v>
      </c>
      <c r="K127" s="17" t="n">
        <v>1149394.48</v>
      </c>
      <c r="L127" s="12" t="n">
        <v>0</v>
      </c>
      <c r="M127" s="12" t="n">
        <v>0</v>
      </c>
      <c r="N127" s="27">
        <f>F127-J127</f>
        <v/>
      </c>
      <c r="O127" s="16">
        <f>I127-H127</f>
        <v/>
      </c>
      <c r="P127" s="14">
        <f>F127*G127</f>
        <v/>
      </c>
      <c r="Q127" s="14">
        <f>J127*G127</f>
        <v/>
      </c>
      <c r="R127" s="14">
        <f>K127-Q127</f>
        <v/>
      </c>
      <c r="S127" s="3">
        <f>P127*Assumptions!$B$3/100</f>
        <v/>
      </c>
      <c r="T127" s="14">
        <f>R127-S127</f>
        <v/>
      </c>
      <c r="U127" s="14">
        <f>L127*G127</f>
        <v/>
      </c>
    </row>
    <row r="128">
      <c r="A128" s="12" t="inlineStr">
        <is>
          <t>PO-2021-0126</t>
        </is>
      </c>
      <c r="B128" s="26" t="n">
        <v>44719</v>
      </c>
      <c r="C128" s="12" t="inlineStr">
        <is>
          <t>VS01</t>
        </is>
      </c>
      <c r="D128" s="12" t="inlineStr">
        <is>
          <t>Fasteners &amp; Fittings</t>
        </is>
      </c>
      <c r="E128" s="12" t="inlineStr">
        <is>
          <t>N</t>
        </is>
      </c>
      <c r="F128" s="12" t="n">
        <v>45.16</v>
      </c>
      <c r="G128" s="17" t="n">
        <v>95820.82000000001</v>
      </c>
      <c r="H128" s="26" t="n">
        <v>44724</v>
      </c>
      <c r="I128" s="26" t="n">
        <v>44724</v>
      </c>
      <c r="J128" s="12" t="n">
        <v>44.9</v>
      </c>
      <c r="K128" s="17" t="n">
        <v>4327268.23</v>
      </c>
      <c r="L128" s="12" t="n">
        <v>0</v>
      </c>
      <c r="M128" s="12" t="n">
        <v>0</v>
      </c>
      <c r="N128" s="27">
        <f>F128-J128</f>
        <v/>
      </c>
      <c r="O128" s="16">
        <f>I128-H128</f>
        <v/>
      </c>
      <c r="P128" s="14">
        <f>F128*G128</f>
        <v/>
      </c>
      <c r="Q128" s="14">
        <f>J128*G128</f>
        <v/>
      </c>
      <c r="R128" s="14">
        <f>K128-Q128</f>
        <v/>
      </c>
      <c r="S128" s="3">
        <f>P128*Assumptions!$B$3/100</f>
        <v/>
      </c>
      <c r="T128" s="14">
        <f>R128-S128</f>
        <v/>
      </c>
      <c r="U128" s="14">
        <f>L128*G128</f>
        <v/>
      </c>
    </row>
    <row r="129">
      <c r="A129" s="12" t="inlineStr">
        <is>
          <t>PO-2021-0127</t>
        </is>
      </c>
      <c r="B129" s="26" t="n">
        <v>44348</v>
      </c>
      <c r="C129" s="12" t="inlineStr">
        <is>
          <t>VS29</t>
        </is>
      </c>
      <c r="D129" s="12" t="inlineStr">
        <is>
          <t>Angles &amp; Channels</t>
        </is>
      </c>
      <c r="E129" s="12" t="inlineStr">
        <is>
          <t>N</t>
        </is>
      </c>
      <c r="F129" s="12" t="n">
        <v>49.39</v>
      </c>
      <c r="G129" s="17" t="n">
        <v>67436.57000000001</v>
      </c>
      <c r="H129" s="26" t="n">
        <v>44357</v>
      </c>
      <c r="I129" s="26" t="n">
        <v>44359</v>
      </c>
      <c r="J129" s="12" t="n">
        <v>49.06</v>
      </c>
      <c r="K129" s="17" t="n">
        <v>3330692.19</v>
      </c>
      <c r="L129" s="12" t="n">
        <v>0</v>
      </c>
      <c r="M129" s="12" t="n">
        <v>0</v>
      </c>
      <c r="N129" s="27">
        <f>F129-J129</f>
        <v/>
      </c>
      <c r="O129" s="16">
        <f>I129-H129</f>
        <v/>
      </c>
      <c r="P129" s="14">
        <f>F129*G129</f>
        <v/>
      </c>
      <c r="Q129" s="14">
        <f>J129*G129</f>
        <v/>
      </c>
      <c r="R129" s="14">
        <f>K129-Q129</f>
        <v/>
      </c>
      <c r="S129" s="3">
        <f>P129*Assumptions!$B$3/100</f>
        <v/>
      </c>
      <c r="T129" s="14">
        <f>R129-S129</f>
        <v/>
      </c>
      <c r="U129" s="14">
        <f>L129*G129</f>
        <v/>
      </c>
    </row>
    <row r="130">
      <c r="A130" s="12" t="inlineStr">
        <is>
          <t>PO-2021-0128</t>
        </is>
      </c>
      <c r="B130" s="26" t="n">
        <v>44709</v>
      </c>
      <c r="C130" s="12" t="inlineStr">
        <is>
          <t>VS30</t>
        </is>
      </c>
      <c r="D130" s="12" t="inlineStr">
        <is>
          <t>SS Sheets</t>
        </is>
      </c>
      <c r="E130" s="12" t="inlineStr">
        <is>
          <t>N</t>
        </is>
      </c>
      <c r="F130" s="12" t="n">
        <v>10.76</v>
      </c>
      <c r="G130" s="17" t="n">
        <v>73851.99000000001</v>
      </c>
      <c r="H130" s="26" t="n">
        <v>44719</v>
      </c>
      <c r="I130" s="26" t="n">
        <v>44720</v>
      </c>
      <c r="J130" s="12" t="n">
        <v>10.68</v>
      </c>
      <c r="K130" s="17" t="n">
        <v>794647.41</v>
      </c>
      <c r="L130" s="12" t="n">
        <v>0</v>
      </c>
      <c r="M130" s="12" t="n">
        <v>0</v>
      </c>
      <c r="N130" s="27">
        <f>F130-J130</f>
        <v/>
      </c>
      <c r="O130" s="16">
        <f>I130-H130</f>
        <v/>
      </c>
      <c r="P130" s="14">
        <f>F130*G130</f>
        <v/>
      </c>
      <c r="Q130" s="14">
        <f>J130*G130</f>
        <v/>
      </c>
      <c r="R130" s="14">
        <f>K130-Q130</f>
        <v/>
      </c>
      <c r="S130" s="3">
        <f>P130*Assumptions!$B$3/100</f>
        <v/>
      </c>
      <c r="T130" s="14">
        <f>R130-S130</f>
        <v/>
      </c>
      <c r="U130" s="14">
        <f>L130*G130</f>
        <v/>
      </c>
    </row>
    <row r="131">
      <c r="A131" s="12" t="inlineStr">
        <is>
          <t>PO-2021-0129</t>
        </is>
      </c>
      <c r="B131" s="26" t="n">
        <v>44415</v>
      </c>
      <c r="C131" s="12" t="inlineStr">
        <is>
          <t>VS16</t>
        </is>
      </c>
      <c r="D131" s="12" t="inlineStr">
        <is>
          <t>MS Rods</t>
        </is>
      </c>
      <c r="E131" s="12" t="inlineStr">
        <is>
          <t>Y</t>
        </is>
      </c>
      <c r="F131" s="12" t="n">
        <v>29.02</v>
      </c>
      <c r="G131" s="17" t="n">
        <v>88110.89</v>
      </c>
      <c r="H131" s="26" t="n">
        <v>44429</v>
      </c>
      <c r="I131" s="26" t="n">
        <v>44432</v>
      </c>
      <c r="J131" s="12" t="n">
        <v>28.75</v>
      </c>
      <c r="K131" s="17" t="n">
        <v>2556978.03</v>
      </c>
      <c r="L131" s="12" t="n">
        <v>0</v>
      </c>
      <c r="M131" s="12" t="n">
        <v>0</v>
      </c>
      <c r="N131" s="27">
        <f>F131-J131</f>
        <v/>
      </c>
      <c r="O131" s="16">
        <f>I131-H131</f>
        <v/>
      </c>
      <c r="P131" s="14">
        <f>F131*G131</f>
        <v/>
      </c>
      <c r="Q131" s="14">
        <f>J131*G131</f>
        <v/>
      </c>
      <c r="R131" s="14">
        <f>K131-Q131</f>
        <v/>
      </c>
      <c r="S131" s="3">
        <f>P131*Assumptions!$B$3/100</f>
        <v/>
      </c>
      <c r="T131" s="14">
        <f>R131-S131</f>
        <v/>
      </c>
      <c r="U131" s="14">
        <f>L131*G131</f>
        <v/>
      </c>
    </row>
    <row r="132">
      <c r="A132" s="12" t="inlineStr">
        <is>
          <t>PO-2021-0130</t>
        </is>
      </c>
      <c r="B132" s="26" t="n">
        <v>44801</v>
      </c>
      <c r="C132" s="12" t="inlineStr">
        <is>
          <t>VS02</t>
        </is>
      </c>
      <c r="D132" s="12" t="inlineStr">
        <is>
          <t>MS Rods</t>
        </is>
      </c>
      <c r="E132" s="12" t="inlineStr">
        <is>
          <t>N</t>
        </is>
      </c>
      <c r="F132" s="12" t="n">
        <v>14.45</v>
      </c>
      <c r="G132" s="17" t="n">
        <v>87444.67999999999</v>
      </c>
      <c r="H132" s="26" t="n">
        <v>44814</v>
      </c>
      <c r="I132" s="26" t="n">
        <v>44816</v>
      </c>
      <c r="J132" s="12" t="n">
        <v>14.38</v>
      </c>
      <c r="K132" s="17" t="n">
        <v>1263575.63</v>
      </c>
      <c r="L132" s="12" t="n">
        <v>0</v>
      </c>
      <c r="M132" s="12" t="n">
        <v>0</v>
      </c>
      <c r="N132" s="27">
        <f>F132-J132</f>
        <v/>
      </c>
      <c r="O132" s="16">
        <f>I132-H132</f>
        <v/>
      </c>
      <c r="P132" s="14">
        <f>F132*G132</f>
        <v/>
      </c>
      <c r="Q132" s="14">
        <f>J132*G132</f>
        <v/>
      </c>
      <c r="R132" s="14">
        <f>K132-Q132</f>
        <v/>
      </c>
      <c r="S132" s="3">
        <f>P132*Assumptions!$B$3/100</f>
        <v/>
      </c>
      <c r="T132" s="14">
        <f>R132-S132</f>
        <v/>
      </c>
      <c r="U132" s="14">
        <f>L132*G132</f>
        <v/>
      </c>
    </row>
    <row r="133">
      <c r="A133" s="12" t="inlineStr">
        <is>
          <t>PO-2021-0131</t>
        </is>
      </c>
      <c r="B133" s="26" t="n">
        <v>44297</v>
      </c>
      <c r="C133" s="12" t="inlineStr">
        <is>
          <t>VS32</t>
        </is>
      </c>
      <c r="D133" s="12" t="inlineStr">
        <is>
          <t>SS Sheets</t>
        </is>
      </c>
      <c r="E133" s="12" t="inlineStr">
        <is>
          <t>N</t>
        </is>
      </c>
      <c r="F133" s="12" t="n">
        <v>39.01</v>
      </c>
      <c r="G133" s="17" t="n">
        <v>62258.88</v>
      </c>
      <c r="H133" s="26" t="n">
        <v>44312</v>
      </c>
      <c r="I133" s="26" t="n">
        <v>44315</v>
      </c>
      <c r="J133" s="12" t="n">
        <v>38.62</v>
      </c>
      <c r="K133" s="17" t="n">
        <v>2428718.91</v>
      </c>
      <c r="L133" s="12" t="n">
        <v>0</v>
      </c>
      <c r="M133" s="12" t="n">
        <v>22</v>
      </c>
      <c r="N133" s="27">
        <f>F133-J133</f>
        <v/>
      </c>
      <c r="O133" s="16">
        <f>I133-H133</f>
        <v/>
      </c>
      <c r="P133" s="14">
        <f>F133*G133</f>
        <v/>
      </c>
      <c r="Q133" s="14">
        <f>J133*G133</f>
        <v/>
      </c>
      <c r="R133" s="14">
        <f>K133-Q133</f>
        <v/>
      </c>
      <c r="S133" s="3">
        <f>P133*Assumptions!$B$3/100</f>
        <v/>
      </c>
      <c r="T133" s="14">
        <f>R133-S133</f>
        <v/>
      </c>
      <c r="U133" s="14">
        <f>L133*G133</f>
        <v/>
      </c>
    </row>
    <row r="134">
      <c r="A134" s="12" t="inlineStr">
        <is>
          <t>PO-2021-0132</t>
        </is>
      </c>
      <c r="B134" s="26" t="n">
        <v>44918</v>
      </c>
      <c r="C134" s="12" t="inlineStr">
        <is>
          <t>VS15</t>
        </is>
      </c>
      <c r="D134" s="12" t="inlineStr">
        <is>
          <t>GI Sheets</t>
        </is>
      </c>
      <c r="E134" s="12" t="inlineStr">
        <is>
          <t>N</t>
        </is>
      </c>
      <c r="F134" s="12" t="n">
        <v>31.42</v>
      </c>
      <c r="G134" s="17" t="n">
        <v>95832.33</v>
      </c>
      <c r="H134" s="26" t="n">
        <v>44932</v>
      </c>
      <c r="I134" s="26" t="n">
        <v>44932</v>
      </c>
      <c r="J134" s="12" t="n">
        <v>31.33</v>
      </c>
      <c r="K134" s="17" t="n">
        <v>3011051.81</v>
      </c>
      <c r="L134" s="12" t="n">
        <v>0</v>
      </c>
      <c r="M134" s="12" t="n">
        <v>23</v>
      </c>
      <c r="N134" s="27">
        <f>F134-J134</f>
        <v/>
      </c>
      <c r="O134" s="16">
        <f>I134-H134</f>
        <v/>
      </c>
      <c r="P134" s="14">
        <f>F134*G134</f>
        <v/>
      </c>
      <c r="Q134" s="14">
        <f>J134*G134</f>
        <v/>
      </c>
      <c r="R134" s="14">
        <f>K134-Q134</f>
        <v/>
      </c>
      <c r="S134" s="3">
        <f>P134*Assumptions!$B$3/100</f>
        <v/>
      </c>
      <c r="T134" s="14">
        <f>R134-S134</f>
        <v/>
      </c>
      <c r="U134" s="14">
        <f>L134*G134</f>
        <v/>
      </c>
    </row>
    <row r="135">
      <c r="A135" s="12" t="inlineStr">
        <is>
          <t>PO-2021-0133</t>
        </is>
      </c>
      <c r="B135" s="26" t="n">
        <v>44477</v>
      </c>
      <c r="C135" s="12" t="inlineStr">
        <is>
          <t>VS07</t>
        </is>
      </c>
      <c r="D135" s="12" t="inlineStr">
        <is>
          <t>GI Pipes</t>
        </is>
      </c>
      <c r="E135" s="12" t="inlineStr">
        <is>
          <t>N</t>
        </is>
      </c>
      <c r="F135" s="12" t="n">
        <v>16.14</v>
      </c>
      <c r="G135" s="17" t="n">
        <v>78061.74000000001</v>
      </c>
      <c r="H135" s="26" t="n">
        <v>44489</v>
      </c>
      <c r="I135" s="26" t="n">
        <v>44492</v>
      </c>
      <c r="J135" s="12" t="n">
        <v>16.06</v>
      </c>
      <c r="K135" s="17" t="n">
        <v>1259916.48</v>
      </c>
      <c r="L135" s="12" t="n">
        <v>0</v>
      </c>
      <c r="M135" s="12" t="n">
        <v>2</v>
      </c>
      <c r="N135" s="27">
        <f>F135-J135</f>
        <v/>
      </c>
      <c r="O135" s="16">
        <f>I135-H135</f>
        <v/>
      </c>
      <c r="P135" s="14">
        <f>F135*G135</f>
        <v/>
      </c>
      <c r="Q135" s="14">
        <f>J135*G135</f>
        <v/>
      </c>
      <c r="R135" s="14">
        <f>K135-Q135</f>
        <v/>
      </c>
      <c r="S135" s="3">
        <f>P135*Assumptions!$B$3/100</f>
        <v/>
      </c>
      <c r="T135" s="14">
        <f>R135-S135</f>
        <v/>
      </c>
      <c r="U135" s="14">
        <f>L135*G135</f>
        <v/>
      </c>
    </row>
    <row r="136">
      <c r="A136" s="12" t="inlineStr">
        <is>
          <t>PO-2021-0134</t>
        </is>
      </c>
      <c r="B136" s="26" t="n">
        <v>44944</v>
      </c>
      <c r="C136" s="12" t="inlineStr">
        <is>
          <t>VS09</t>
        </is>
      </c>
      <c r="D136" s="12" t="inlineStr">
        <is>
          <t>SS Pipes</t>
        </is>
      </c>
      <c r="E136" s="12" t="inlineStr">
        <is>
          <t>Y</t>
        </is>
      </c>
      <c r="F136" s="12" t="n">
        <v>45.57</v>
      </c>
      <c r="G136" s="17" t="n">
        <v>69503.92999999999</v>
      </c>
      <c r="H136" s="26" t="n">
        <v>44953</v>
      </c>
      <c r="I136" s="26" t="n">
        <v>44954</v>
      </c>
      <c r="J136" s="12" t="n">
        <v>45.13</v>
      </c>
      <c r="K136" s="17" t="n">
        <v>3167294.09</v>
      </c>
      <c r="L136" s="12" t="n">
        <v>0</v>
      </c>
      <c r="M136" s="12" t="n">
        <v>0</v>
      </c>
      <c r="N136" s="27">
        <f>F136-J136</f>
        <v/>
      </c>
      <c r="O136" s="16">
        <f>I136-H136</f>
        <v/>
      </c>
      <c r="P136" s="14">
        <f>F136*G136</f>
        <v/>
      </c>
      <c r="Q136" s="14">
        <f>J136*G136</f>
        <v/>
      </c>
      <c r="R136" s="14">
        <f>K136-Q136</f>
        <v/>
      </c>
      <c r="S136" s="3">
        <f>P136*Assumptions!$B$3/100</f>
        <v/>
      </c>
      <c r="T136" s="14">
        <f>R136-S136</f>
        <v/>
      </c>
      <c r="U136" s="14">
        <f>L136*G136</f>
        <v/>
      </c>
    </row>
    <row r="137">
      <c r="A137" s="12" t="inlineStr">
        <is>
          <t>PO-2021-0135</t>
        </is>
      </c>
      <c r="B137" s="26" t="n">
        <v>44556</v>
      </c>
      <c r="C137" s="12" t="inlineStr">
        <is>
          <t>VS13</t>
        </is>
      </c>
      <c r="D137" s="12" t="inlineStr">
        <is>
          <t>Square/Rect Tubes</t>
        </is>
      </c>
      <c r="E137" s="12" t="inlineStr">
        <is>
          <t>N</t>
        </is>
      </c>
      <c r="F137" s="12" t="n">
        <v>39.54</v>
      </c>
      <c r="G137" s="17" t="n">
        <v>110734.54</v>
      </c>
      <c r="H137" s="26" t="n">
        <v>44564</v>
      </c>
      <c r="I137" s="26" t="n">
        <v>44566</v>
      </c>
      <c r="J137" s="12" t="n">
        <v>39.17</v>
      </c>
      <c r="K137" s="17" t="n">
        <v>4378443.71</v>
      </c>
      <c r="L137" s="12" t="n">
        <v>0</v>
      </c>
      <c r="M137" s="12" t="n">
        <v>8</v>
      </c>
      <c r="N137" s="27">
        <f>F137-J137</f>
        <v/>
      </c>
      <c r="O137" s="16">
        <f>I137-H137</f>
        <v/>
      </c>
      <c r="P137" s="14">
        <f>F137*G137</f>
        <v/>
      </c>
      <c r="Q137" s="14">
        <f>J137*G137</f>
        <v/>
      </c>
      <c r="R137" s="14">
        <f>K137-Q137</f>
        <v/>
      </c>
      <c r="S137" s="3">
        <f>P137*Assumptions!$B$3/100</f>
        <v/>
      </c>
      <c r="T137" s="14">
        <f>R137-S137</f>
        <v/>
      </c>
      <c r="U137" s="14">
        <f>L137*G137</f>
        <v/>
      </c>
    </row>
    <row r="138">
      <c r="A138" s="12" t="inlineStr">
        <is>
          <t>PO-2021-0136</t>
        </is>
      </c>
      <c r="B138" s="26" t="n">
        <v>45284</v>
      </c>
      <c r="C138" s="12" t="inlineStr">
        <is>
          <t>VS33</t>
        </is>
      </c>
      <c r="D138" s="12" t="inlineStr">
        <is>
          <t>CR Sheets</t>
        </is>
      </c>
      <c r="E138" s="12" t="inlineStr">
        <is>
          <t>N</t>
        </is>
      </c>
      <c r="F138" s="12" t="n">
        <v>41.69</v>
      </c>
      <c r="G138" s="17" t="n">
        <v>64272.76</v>
      </c>
      <c r="H138" s="26" t="n">
        <v>45294</v>
      </c>
      <c r="I138" s="26" t="n">
        <v>45294</v>
      </c>
      <c r="J138" s="12" t="n">
        <v>41.32</v>
      </c>
      <c r="K138" s="17" t="n">
        <v>2679531.36</v>
      </c>
      <c r="L138" s="12" t="n">
        <v>0</v>
      </c>
      <c r="M138" s="12" t="n">
        <v>19</v>
      </c>
      <c r="N138" s="27">
        <f>F138-J138</f>
        <v/>
      </c>
      <c r="O138" s="16">
        <f>I138-H138</f>
        <v/>
      </c>
      <c r="P138" s="14">
        <f>F138*G138</f>
        <v/>
      </c>
      <c r="Q138" s="14">
        <f>J138*G138</f>
        <v/>
      </c>
      <c r="R138" s="14">
        <f>K138-Q138</f>
        <v/>
      </c>
      <c r="S138" s="3">
        <f>P138*Assumptions!$B$3/100</f>
        <v/>
      </c>
      <c r="T138" s="14">
        <f>R138-S138</f>
        <v/>
      </c>
      <c r="U138" s="14">
        <f>L138*G138</f>
        <v/>
      </c>
    </row>
    <row r="139">
      <c r="A139" s="12" t="inlineStr">
        <is>
          <t>PO-2021-0137</t>
        </is>
      </c>
      <c r="B139" s="26" t="n">
        <v>44801</v>
      </c>
      <c r="C139" s="12" t="inlineStr">
        <is>
          <t>VS22</t>
        </is>
      </c>
      <c r="D139" s="12" t="inlineStr">
        <is>
          <t>ERW Pipes</t>
        </is>
      </c>
      <c r="E139" s="12" t="inlineStr">
        <is>
          <t>N</t>
        </is>
      </c>
      <c r="F139" s="12" t="n">
        <v>23.95</v>
      </c>
      <c r="G139" s="17" t="n">
        <v>50647.45</v>
      </c>
      <c r="H139" s="26" t="n">
        <v>44816</v>
      </c>
      <c r="I139" s="26" t="n">
        <v>44817</v>
      </c>
      <c r="J139" s="12" t="n">
        <v>23.84</v>
      </c>
      <c r="K139" s="17" t="n">
        <v>1213006.43</v>
      </c>
      <c r="L139" s="12" t="n">
        <v>0</v>
      </c>
      <c r="M139" s="12" t="n">
        <v>0</v>
      </c>
      <c r="N139" s="27">
        <f>F139-J139</f>
        <v/>
      </c>
      <c r="O139" s="16">
        <f>I139-H139</f>
        <v/>
      </c>
      <c r="P139" s="14">
        <f>F139*G139</f>
        <v/>
      </c>
      <c r="Q139" s="14">
        <f>J139*G139</f>
        <v/>
      </c>
      <c r="R139" s="14">
        <f>K139-Q139</f>
        <v/>
      </c>
      <c r="S139" s="3">
        <f>P139*Assumptions!$B$3/100</f>
        <v/>
      </c>
      <c r="T139" s="14">
        <f>R139-S139</f>
        <v/>
      </c>
      <c r="U139" s="14">
        <f>L139*G139</f>
        <v/>
      </c>
    </row>
    <row r="140">
      <c r="A140" s="12" t="inlineStr">
        <is>
          <t>PO-2021-0138</t>
        </is>
      </c>
      <c r="B140" s="26" t="n">
        <v>44659</v>
      </c>
      <c r="C140" s="12" t="inlineStr">
        <is>
          <t>VS26</t>
        </is>
      </c>
      <c r="D140" s="12" t="inlineStr">
        <is>
          <t>Spring Steel</t>
        </is>
      </c>
      <c r="E140" s="12" t="inlineStr">
        <is>
          <t>N</t>
        </is>
      </c>
      <c r="F140" s="12" t="n">
        <v>18.92</v>
      </c>
      <c r="G140" s="17" t="n">
        <v>104301.15</v>
      </c>
      <c r="H140" s="26" t="n">
        <v>44662</v>
      </c>
      <c r="I140" s="26" t="n">
        <v>44664</v>
      </c>
      <c r="J140" s="12" t="n">
        <v>18.75</v>
      </c>
      <c r="K140" s="17" t="n">
        <v>1973377.76</v>
      </c>
      <c r="L140" s="12" t="n">
        <v>0</v>
      </c>
      <c r="M140" s="12" t="n">
        <v>22</v>
      </c>
      <c r="N140" s="27">
        <f>F140-J140</f>
        <v/>
      </c>
      <c r="O140" s="16">
        <f>I140-H140</f>
        <v/>
      </c>
      <c r="P140" s="14">
        <f>F140*G140</f>
        <v/>
      </c>
      <c r="Q140" s="14">
        <f>J140*G140</f>
        <v/>
      </c>
      <c r="R140" s="14">
        <f>K140-Q140</f>
        <v/>
      </c>
      <c r="S140" s="3">
        <f>P140*Assumptions!$B$3/100</f>
        <v/>
      </c>
      <c r="T140" s="14">
        <f>R140-S140</f>
        <v/>
      </c>
      <c r="U140" s="14">
        <f>L140*G140</f>
        <v/>
      </c>
    </row>
    <row r="141">
      <c r="A141" s="12" t="inlineStr">
        <is>
          <t>PO-2021-0139</t>
        </is>
      </c>
      <c r="B141" s="26" t="n">
        <v>44738</v>
      </c>
      <c r="C141" s="12" t="inlineStr">
        <is>
          <t>VS08</t>
        </is>
      </c>
      <c r="D141" s="12" t="inlineStr">
        <is>
          <t>Fasteners &amp; Fittings</t>
        </is>
      </c>
      <c r="E141" s="12" t="inlineStr">
        <is>
          <t>N</t>
        </is>
      </c>
      <c r="F141" s="12" t="n">
        <v>19.06</v>
      </c>
      <c r="G141" s="17" t="n">
        <v>101175.87</v>
      </c>
      <c r="H141" s="26" t="n">
        <v>44745</v>
      </c>
      <c r="I141" s="26" t="n">
        <v>44746</v>
      </c>
      <c r="J141" s="12" t="n">
        <v>19.05</v>
      </c>
      <c r="K141" s="17" t="n">
        <v>1928412.08</v>
      </c>
      <c r="L141" s="12" t="n">
        <v>0</v>
      </c>
      <c r="M141" s="12" t="n">
        <v>6</v>
      </c>
      <c r="N141" s="27">
        <f>F141-J141</f>
        <v/>
      </c>
      <c r="O141" s="16">
        <f>I141-H141</f>
        <v/>
      </c>
      <c r="P141" s="14">
        <f>F141*G141</f>
        <v/>
      </c>
      <c r="Q141" s="14">
        <f>J141*G141</f>
        <v/>
      </c>
      <c r="R141" s="14">
        <f>K141-Q141</f>
        <v/>
      </c>
      <c r="S141" s="3">
        <f>P141*Assumptions!$B$3/100</f>
        <v/>
      </c>
      <c r="T141" s="14">
        <f>R141-S141</f>
        <v/>
      </c>
      <c r="U141" s="14">
        <f>L141*G141</f>
        <v/>
      </c>
    </row>
    <row r="142">
      <c r="A142" s="12" t="inlineStr">
        <is>
          <t>PO-2021-0140</t>
        </is>
      </c>
      <c r="B142" s="26" t="n">
        <v>44977</v>
      </c>
      <c r="C142" s="12" t="inlineStr">
        <is>
          <t>VS24</t>
        </is>
      </c>
      <c r="D142" s="12" t="inlineStr">
        <is>
          <t>ERW Pipes</t>
        </is>
      </c>
      <c r="E142" s="12" t="inlineStr">
        <is>
          <t>N</t>
        </is>
      </c>
      <c r="F142" s="12" t="n">
        <v>34.07</v>
      </c>
      <c r="G142" s="17" t="n">
        <v>80360.77</v>
      </c>
      <c r="H142" s="26" t="n">
        <v>44989</v>
      </c>
      <c r="I142" s="26" t="n">
        <v>44989</v>
      </c>
      <c r="J142" s="12" t="n">
        <v>34.01</v>
      </c>
      <c r="K142" s="17" t="n">
        <v>2737891.43</v>
      </c>
      <c r="L142" s="12" t="n">
        <v>0</v>
      </c>
      <c r="M142" s="12" t="n">
        <v>6</v>
      </c>
      <c r="N142" s="27">
        <f>F142-J142</f>
        <v/>
      </c>
      <c r="O142" s="16">
        <f>I142-H142</f>
        <v/>
      </c>
      <c r="P142" s="14">
        <f>F142*G142</f>
        <v/>
      </c>
      <c r="Q142" s="14">
        <f>J142*G142</f>
        <v/>
      </c>
      <c r="R142" s="14">
        <f>K142-Q142</f>
        <v/>
      </c>
      <c r="S142" s="3">
        <f>P142*Assumptions!$B$3/100</f>
        <v/>
      </c>
      <c r="T142" s="14">
        <f>R142-S142</f>
        <v/>
      </c>
      <c r="U142" s="14">
        <f>L142*G142</f>
        <v/>
      </c>
    </row>
    <row r="143">
      <c r="A143" s="12" t="inlineStr">
        <is>
          <t>PO-2021-0141</t>
        </is>
      </c>
      <c r="B143" s="26" t="n">
        <v>44868</v>
      </c>
      <c r="C143" s="12" t="inlineStr">
        <is>
          <t>VS15</t>
        </is>
      </c>
      <c r="D143" s="12" t="inlineStr">
        <is>
          <t>SS Pipes</t>
        </is>
      </c>
      <c r="E143" s="12" t="inlineStr">
        <is>
          <t>N</t>
        </is>
      </c>
      <c r="F143" s="12" t="n">
        <v>32.13</v>
      </c>
      <c r="G143" s="17" t="n">
        <v>79820.07000000001</v>
      </c>
      <c r="H143" s="26" t="n">
        <v>44882</v>
      </c>
      <c r="I143" s="26" t="n">
        <v>44883</v>
      </c>
      <c r="J143" s="12" t="n">
        <v>32.05</v>
      </c>
      <c r="K143" s="17" t="n">
        <v>2564618.85</v>
      </c>
      <c r="L143" s="12" t="n">
        <v>0</v>
      </c>
      <c r="M143" s="12" t="n">
        <v>6</v>
      </c>
      <c r="N143" s="27">
        <f>F143-J143</f>
        <v/>
      </c>
      <c r="O143" s="16">
        <f>I143-H143</f>
        <v/>
      </c>
      <c r="P143" s="14">
        <f>F143*G143</f>
        <v/>
      </c>
      <c r="Q143" s="14">
        <f>J143*G143</f>
        <v/>
      </c>
      <c r="R143" s="14">
        <f>K143-Q143</f>
        <v/>
      </c>
      <c r="S143" s="3">
        <f>P143*Assumptions!$B$3/100</f>
        <v/>
      </c>
      <c r="T143" s="14">
        <f>R143-S143</f>
        <v/>
      </c>
      <c r="U143" s="14">
        <f>L143*G143</f>
        <v/>
      </c>
    </row>
    <row r="144">
      <c r="A144" s="12" t="inlineStr">
        <is>
          <t>PO-2021-0142</t>
        </is>
      </c>
      <c r="B144" s="26" t="n">
        <v>44815</v>
      </c>
      <c r="C144" s="12" t="inlineStr">
        <is>
          <t>VS27</t>
        </is>
      </c>
      <c r="D144" s="12" t="inlineStr">
        <is>
          <t>ERW Pipes</t>
        </is>
      </c>
      <c r="E144" s="12" t="inlineStr">
        <is>
          <t>N</t>
        </is>
      </c>
      <c r="F144" s="12" t="n">
        <v>7.85</v>
      </c>
      <c r="G144" s="17" t="n">
        <v>115969.61</v>
      </c>
      <c r="H144" s="26" t="n">
        <v>44822</v>
      </c>
      <c r="I144" s="26" t="n">
        <v>44824</v>
      </c>
      <c r="J144" s="12" t="n">
        <v>7.81</v>
      </c>
      <c r="K144" s="17" t="n">
        <v>910361.4399999999</v>
      </c>
      <c r="L144" s="12" t="n">
        <v>0</v>
      </c>
      <c r="M144" s="12" t="n">
        <v>0</v>
      </c>
      <c r="N144" s="27">
        <f>F144-J144</f>
        <v/>
      </c>
      <c r="O144" s="16">
        <f>I144-H144</f>
        <v/>
      </c>
      <c r="P144" s="14">
        <f>F144*G144</f>
        <v/>
      </c>
      <c r="Q144" s="14">
        <f>J144*G144</f>
        <v/>
      </c>
      <c r="R144" s="14">
        <f>K144-Q144</f>
        <v/>
      </c>
      <c r="S144" s="3">
        <f>P144*Assumptions!$B$3/100</f>
        <v/>
      </c>
      <c r="T144" s="14">
        <f>R144-S144</f>
        <v/>
      </c>
      <c r="U144" s="14">
        <f>L144*G144</f>
        <v/>
      </c>
    </row>
    <row r="145">
      <c r="A145" s="12" t="inlineStr">
        <is>
          <t>PO-2021-0143</t>
        </is>
      </c>
      <c r="B145" s="26" t="n">
        <v>45205</v>
      </c>
      <c r="C145" s="12" t="inlineStr">
        <is>
          <t>VS08</t>
        </is>
      </c>
      <c r="D145" s="12" t="inlineStr">
        <is>
          <t>ERW Pipes</t>
        </is>
      </c>
      <c r="E145" s="12" t="inlineStr">
        <is>
          <t>N</t>
        </is>
      </c>
      <c r="F145" s="12" t="n">
        <v>12.51</v>
      </c>
      <c r="G145" s="17" t="n">
        <v>85316</v>
      </c>
      <c r="H145" s="26" t="n">
        <v>45214</v>
      </c>
      <c r="I145" s="26" t="n">
        <v>45214</v>
      </c>
      <c r="J145" s="12" t="n">
        <v>12.43</v>
      </c>
      <c r="K145" s="17" t="n">
        <v>1067303.16</v>
      </c>
      <c r="L145" s="12" t="n">
        <v>0</v>
      </c>
      <c r="M145" s="12" t="n">
        <v>12</v>
      </c>
      <c r="N145" s="27">
        <f>F145-J145</f>
        <v/>
      </c>
      <c r="O145" s="16">
        <f>I145-H145</f>
        <v/>
      </c>
      <c r="P145" s="14">
        <f>F145*G145</f>
        <v/>
      </c>
      <c r="Q145" s="14">
        <f>J145*G145</f>
        <v/>
      </c>
      <c r="R145" s="14">
        <f>K145-Q145</f>
        <v/>
      </c>
      <c r="S145" s="3">
        <f>P145*Assumptions!$B$3/100</f>
        <v/>
      </c>
      <c r="T145" s="14">
        <f>R145-S145</f>
        <v/>
      </c>
      <c r="U145" s="14">
        <f>L145*G145</f>
        <v/>
      </c>
    </row>
    <row r="146">
      <c r="A146" s="12" t="inlineStr">
        <is>
          <t>PO-2021-0144</t>
        </is>
      </c>
      <c r="B146" s="26" t="n">
        <v>45126</v>
      </c>
      <c r="C146" s="12" t="inlineStr">
        <is>
          <t>VS24</t>
        </is>
      </c>
      <c r="D146" s="12" t="inlineStr">
        <is>
          <t>Spring Steel</t>
        </is>
      </c>
      <c r="E146" s="12" t="inlineStr">
        <is>
          <t>Y</t>
        </is>
      </c>
      <c r="F146" s="12" t="n">
        <v>21.54</v>
      </c>
      <c r="G146" s="17" t="n">
        <v>100670.18</v>
      </c>
      <c r="H146" s="26" t="n">
        <v>45131</v>
      </c>
      <c r="I146" s="26" t="n">
        <v>45133</v>
      </c>
      <c r="J146" s="12" t="n">
        <v>21.52</v>
      </c>
      <c r="K146" s="17" t="n">
        <v>2168435.68</v>
      </c>
      <c r="L146" s="12" t="n">
        <v>0</v>
      </c>
      <c r="M146" s="12" t="n">
        <v>7</v>
      </c>
      <c r="N146" s="27">
        <f>F146-J146</f>
        <v/>
      </c>
      <c r="O146" s="16">
        <f>I146-H146</f>
        <v/>
      </c>
      <c r="P146" s="14">
        <f>F146*G146</f>
        <v/>
      </c>
      <c r="Q146" s="14">
        <f>J146*G146</f>
        <v/>
      </c>
      <c r="R146" s="14">
        <f>K146-Q146</f>
        <v/>
      </c>
      <c r="S146" s="3">
        <f>P146*Assumptions!$B$3/100</f>
        <v/>
      </c>
      <c r="T146" s="14">
        <f>R146-S146</f>
        <v/>
      </c>
      <c r="U146" s="14">
        <f>L146*G146</f>
        <v/>
      </c>
    </row>
    <row r="147">
      <c r="A147" s="12" t="inlineStr">
        <is>
          <t>PO-2021-0145</t>
        </is>
      </c>
      <c r="B147" s="26" t="n">
        <v>45046</v>
      </c>
      <c r="C147" s="12" t="inlineStr">
        <is>
          <t>VS07</t>
        </is>
      </c>
      <c r="D147" s="12" t="inlineStr">
        <is>
          <t>Structural Steel</t>
        </is>
      </c>
      <c r="E147" s="12" t="inlineStr">
        <is>
          <t>N</t>
        </is>
      </c>
      <c r="F147" s="12" t="n">
        <v>31.17</v>
      </c>
      <c r="G147" s="17" t="n">
        <v>115428.98</v>
      </c>
      <c r="H147" s="26" t="n">
        <v>45053</v>
      </c>
      <c r="I147" s="26" t="n">
        <v>45053</v>
      </c>
      <c r="J147" s="12" t="n">
        <v>30.99</v>
      </c>
      <c r="K147" s="17" t="n">
        <v>3597921.31</v>
      </c>
      <c r="L147" s="12" t="n">
        <v>0</v>
      </c>
      <c r="M147" s="12" t="n">
        <v>6</v>
      </c>
      <c r="N147" s="27">
        <f>F147-J147</f>
        <v/>
      </c>
      <c r="O147" s="16">
        <f>I147-H147</f>
        <v/>
      </c>
      <c r="P147" s="14">
        <f>F147*G147</f>
        <v/>
      </c>
      <c r="Q147" s="14">
        <f>J147*G147</f>
        <v/>
      </c>
      <c r="R147" s="14">
        <f>K147-Q147</f>
        <v/>
      </c>
      <c r="S147" s="3">
        <f>P147*Assumptions!$B$3/100</f>
        <v/>
      </c>
      <c r="T147" s="14">
        <f>R147-S147</f>
        <v/>
      </c>
      <c r="U147" s="14">
        <f>L147*G147</f>
        <v/>
      </c>
    </row>
    <row r="148">
      <c r="A148" s="12" t="inlineStr">
        <is>
          <t>PO-2021-0146</t>
        </is>
      </c>
      <c r="B148" s="26" t="n">
        <v>44264</v>
      </c>
      <c r="C148" s="12" t="inlineStr">
        <is>
          <t>VS24</t>
        </is>
      </c>
      <c r="D148" s="12" t="inlineStr">
        <is>
          <t>GI Sheets</t>
        </is>
      </c>
      <c r="E148" s="12" t="inlineStr">
        <is>
          <t>N</t>
        </is>
      </c>
      <c r="F148" s="12" t="n">
        <v>22.73</v>
      </c>
      <c r="G148" s="17" t="n">
        <v>116291.64</v>
      </c>
      <c r="H148" s="26" t="n">
        <v>44272</v>
      </c>
      <c r="I148" s="26" t="n">
        <v>44275</v>
      </c>
      <c r="J148" s="12" t="n">
        <v>22.52</v>
      </c>
      <c r="K148" s="17" t="n">
        <v>2643308.98</v>
      </c>
      <c r="L148" s="12" t="n">
        <v>0</v>
      </c>
      <c r="M148" s="12" t="n">
        <v>0</v>
      </c>
      <c r="N148" s="27">
        <f>F148-J148</f>
        <v/>
      </c>
      <c r="O148" s="16">
        <f>I148-H148</f>
        <v/>
      </c>
      <c r="P148" s="14">
        <f>F148*G148</f>
        <v/>
      </c>
      <c r="Q148" s="14">
        <f>J148*G148</f>
        <v/>
      </c>
      <c r="R148" s="14">
        <f>K148-Q148</f>
        <v/>
      </c>
      <c r="S148" s="3">
        <f>P148*Assumptions!$B$3/100</f>
        <v/>
      </c>
      <c r="T148" s="14">
        <f>R148-S148</f>
        <v/>
      </c>
      <c r="U148" s="14">
        <f>L148*G148</f>
        <v/>
      </c>
    </row>
    <row r="149">
      <c r="A149" s="12" t="inlineStr">
        <is>
          <t>PO-2021-0147</t>
        </is>
      </c>
      <c r="B149" s="26" t="n">
        <v>44400</v>
      </c>
      <c r="C149" s="12" t="inlineStr">
        <is>
          <t>VS24</t>
        </is>
      </c>
      <c r="D149" s="12" t="inlineStr">
        <is>
          <t>Spring Steel</t>
        </is>
      </c>
      <c r="E149" s="12" t="inlineStr">
        <is>
          <t>Y</t>
        </is>
      </c>
      <c r="F149" s="12" t="n">
        <v>45.18</v>
      </c>
      <c r="G149" s="17" t="n">
        <v>93362.00999999999</v>
      </c>
      <c r="H149" s="26" t="n">
        <v>44403</v>
      </c>
      <c r="I149" s="26" t="n">
        <v>44404</v>
      </c>
      <c r="J149" s="12" t="n">
        <v>45.17</v>
      </c>
      <c r="K149" s="17" t="n">
        <v>4218095.61</v>
      </c>
      <c r="L149" s="12" t="n">
        <v>0</v>
      </c>
      <c r="M149" s="12" t="n">
        <v>19</v>
      </c>
      <c r="N149" s="27">
        <f>F149-J149</f>
        <v/>
      </c>
      <c r="O149" s="16">
        <f>I149-H149</f>
        <v/>
      </c>
      <c r="P149" s="14">
        <f>F149*G149</f>
        <v/>
      </c>
      <c r="Q149" s="14">
        <f>J149*G149</f>
        <v/>
      </c>
      <c r="R149" s="14">
        <f>K149-Q149</f>
        <v/>
      </c>
      <c r="S149" s="3">
        <f>P149*Assumptions!$B$3/100</f>
        <v/>
      </c>
      <c r="T149" s="14">
        <f>R149-S149</f>
        <v/>
      </c>
      <c r="U149" s="14">
        <f>L149*G149</f>
        <v/>
      </c>
    </row>
    <row r="150">
      <c r="A150" s="12" t="inlineStr">
        <is>
          <t>PO-2021-0148</t>
        </is>
      </c>
      <c r="B150" s="26" t="n">
        <v>45012</v>
      </c>
      <c r="C150" s="12" t="inlineStr">
        <is>
          <t>VS18</t>
        </is>
      </c>
      <c r="D150" s="12" t="inlineStr">
        <is>
          <t>GI Sheets</t>
        </is>
      </c>
      <c r="E150" s="12" t="inlineStr">
        <is>
          <t>N</t>
        </is>
      </c>
      <c r="F150" s="12" t="n">
        <v>48.44</v>
      </c>
      <c r="G150" s="17" t="n">
        <v>116175.81</v>
      </c>
      <c r="H150" s="26" t="n">
        <v>45022</v>
      </c>
      <c r="I150" s="26" t="n">
        <v>45024</v>
      </c>
      <c r="J150" s="12" t="n">
        <v>48.36</v>
      </c>
      <c r="K150" s="17" t="n">
        <v>5627556.24</v>
      </c>
      <c r="L150" s="12" t="n">
        <v>0</v>
      </c>
      <c r="M150" s="12" t="n">
        <v>25</v>
      </c>
      <c r="N150" s="27">
        <f>F150-J150</f>
        <v/>
      </c>
      <c r="O150" s="16">
        <f>I150-H150</f>
        <v/>
      </c>
      <c r="P150" s="14">
        <f>F150*G150</f>
        <v/>
      </c>
      <c r="Q150" s="14">
        <f>J150*G150</f>
        <v/>
      </c>
      <c r="R150" s="14">
        <f>K150-Q150</f>
        <v/>
      </c>
      <c r="S150" s="3">
        <f>P150*Assumptions!$B$3/100</f>
        <v/>
      </c>
      <c r="T150" s="14">
        <f>R150-S150</f>
        <v/>
      </c>
      <c r="U150" s="14">
        <f>L150*G150</f>
        <v/>
      </c>
    </row>
    <row r="151">
      <c r="A151" s="12" t="inlineStr">
        <is>
          <t>PO-2021-0149</t>
        </is>
      </c>
      <c r="B151" s="26" t="n">
        <v>44384</v>
      </c>
      <c r="C151" s="12" t="inlineStr">
        <is>
          <t>VS14</t>
        </is>
      </c>
      <c r="D151" s="12" t="inlineStr">
        <is>
          <t>MS Pipes</t>
        </is>
      </c>
      <c r="E151" s="12" t="inlineStr">
        <is>
          <t>N</t>
        </is>
      </c>
      <c r="F151" s="12" t="n">
        <v>3.48</v>
      </c>
      <c r="G151" s="17" t="n">
        <v>70013.19</v>
      </c>
      <c r="H151" s="26" t="n">
        <v>44389</v>
      </c>
      <c r="I151" s="26" t="n">
        <v>44391</v>
      </c>
      <c r="J151" s="12" t="n">
        <v>3.47</v>
      </c>
      <c r="K151" s="17" t="n">
        <v>243645.9</v>
      </c>
      <c r="L151" s="12" t="n">
        <v>0</v>
      </c>
      <c r="M151" s="12" t="n">
        <v>11</v>
      </c>
      <c r="N151" s="27">
        <f>F151-J151</f>
        <v/>
      </c>
      <c r="O151" s="16">
        <f>I151-H151</f>
        <v/>
      </c>
      <c r="P151" s="14">
        <f>F151*G151</f>
        <v/>
      </c>
      <c r="Q151" s="14">
        <f>J151*G151</f>
        <v/>
      </c>
      <c r="R151" s="14">
        <f>K151-Q151</f>
        <v/>
      </c>
      <c r="S151" s="3">
        <f>P151*Assumptions!$B$3/100</f>
        <v/>
      </c>
      <c r="T151" s="14">
        <f>R151-S151</f>
        <v/>
      </c>
      <c r="U151" s="14">
        <f>L151*G151</f>
        <v/>
      </c>
    </row>
    <row r="152">
      <c r="A152" s="12" t="inlineStr">
        <is>
          <t>PO-2021-0150</t>
        </is>
      </c>
      <c r="B152" s="26" t="n">
        <v>44617</v>
      </c>
      <c r="C152" s="12" t="inlineStr">
        <is>
          <t>VS05</t>
        </is>
      </c>
      <c r="D152" s="12" t="inlineStr">
        <is>
          <t>Spring Steel</t>
        </is>
      </c>
      <c r="E152" s="12" t="inlineStr">
        <is>
          <t>N</t>
        </is>
      </c>
      <c r="F152" s="12" t="n">
        <v>11.15</v>
      </c>
      <c r="G152" s="17" t="n">
        <v>61196.35</v>
      </c>
      <c r="H152" s="26" t="n">
        <v>44623</v>
      </c>
      <c r="I152" s="26" t="n">
        <v>44625</v>
      </c>
      <c r="J152" s="12" t="n">
        <v>11.14</v>
      </c>
      <c r="K152" s="17" t="n">
        <v>682339.3</v>
      </c>
      <c r="L152" s="12" t="n">
        <v>0</v>
      </c>
      <c r="M152" s="12" t="n">
        <v>0</v>
      </c>
      <c r="N152" s="27">
        <f>F152-J152</f>
        <v/>
      </c>
      <c r="O152" s="16">
        <f>I152-H152</f>
        <v/>
      </c>
      <c r="P152" s="14">
        <f>F152*G152</f>
        <v/>
      </c>
      <c r="Q152" s="14">
        <f>J152*G152</f>
        <v/>
      </c>
      <c r="R152" s="14">
        <f>K152-Q152</f>
        <v/>
      </c>
      <c r="S152" s="3">
        <f>P152*Assumptions!$B$3/100</f>
        <v/>
      </c>
      <c r="T152" s="14">
        <f>R152-S152</f>
        <v/>
      </c>
      <c r="U152" s="14">
        <f>L152*G152</f>
        <v/>
      </c>
    </row>
    <row r="153">
      <c r="A153" s="12" t="inlineStr">
        <is>
          <t>PO-2021-0151</t>
        </is>
      </c>
      <c r="B153" s="26" t="n">
        <v>44869</v>
      </c>
      <c r="C153" s="12" t="inlineStr">
        <is>
          <t>VS10</t>
        </is>
      </c>
      <c r="D153" s="12" t="inlineStr">
        <is>
          <t>MS Pipes</t>
        </is>
      </c>
      <c r="E153" s="12" t="inlineStr">
        <is>
          <t>N</t>
        </is>
      </c>
      <c r="F153" s="12" t="n">
        <v>14.59</v>
      </c>
      <c r="G153" s="17" t="n">
        <v>118802.11</v>
      </c>
      <c r="H153" s="26" t="n">
        <v>44874</v>
      </c>
      <c r="I153" s="26" t="n">
        <v>44877</v>
      </c>
      <c r="J153" s="12" t="n">
        <v>14.56</v>
      </c>
      <c r="K153" s="17" t="n">
        <v>1733322.78</v>
      </c>
      <c r="L153" s="12" t="n">
        <v>0</v>
      </c>
      <c r="M153" s="12" t="n">
        <v>22</v>
      </c>
      <c r="N153" s="27">
        <f>F153-J153</f>
        <v/>
      </c>
      <c r="O153" s="16">
        <f>I153-H153</f>
        <v/>
      </c>
      <c r="P153" s="14">
        <f>F153*G153</f>
        <v/>
      </c>
      <c r="Q153" s="14">
        <f>J153*G153</f>
        <v/>
      </c>
      <c r="R153" s="14">
        <f>K153-Q153</f>
        <v/>
      </c>
      <c r="S153" s="3">
        <f>P153*Assumptions!$B$3/100</f>
        <v/>
      </c>
      <c r="T153" s="14">
        <f>R153-S153</f>
        <v/>
      </c>
      <c r="U153" s="14">
        <f>L153*G153</f>
        <v/>
      </c>
    </row>
    <row r="154">
      <c r="A154" s="12" t="inlineStr">
        <is>
          <t>PO-2021-0152</t>
        </is>
      </c>
      <c r="B154" s="26" t="n">
        <v>44710</v>
      </c>
      <c r="C154" s="12" t="inlineStr">
        <is>
          <t>VS12</t>
        </is>
      </c>
      <c r="D154" s="12" t="inlineStr">
        <is>
          <t>ERW Pipes</t>
        </is>
      </c>
      <c r="E154" s="12" t="inlineStr">
        <is>
          <t>N</t>
        </is>
      </c>
      <c r="F154" s="12" t="n">
        <v>33.39</v>
      </c>
      <c r="G154" s="17" t="n">
        <v>48810.85</v>
      </c>
      <c r="H154" s="26" t="n">
        <v>44713</v>
      </c>
      <c r="I154" s="26" t="n">
        <v>44716</v>
      </c>
      <c r="J154" s="12" t="n">
        <v>32.11</v>
      </c>
      <c r="K154" s="17" t="n">
        <v>1629794.28</v>
      </c>
      <c r="L154" s="12" t="n">
        <v>0.5600000000000001</v>
      </c>
      <c r="M154" s="12" t="n">
        <v>10</v>
      </c>
      <c r="N154" s="27">
        <f>F154-J154</f>
        <v/>
      </c>
      <c r="O154" s="16">
        <f>I154-H154</f>
        <v/>
      </c>
      <c r="P154" s="14">
        <f>F154*G154</f>
        <v/>
      </c>
      <c r="Q154" s="14">
        <f>J154*G154</f>
        <v/>
      </c>
      <c r="R154" s="14">
        <f>K154-Q154</f>
        <v/>
      </c>
      <c r="S154" s="3">
        <f>P154*Assumptions!$B$3/100</f>
        <v/>
      </c>
      <c r="T154" s="14">
        <f>R154-S154</f>
        <v/>
      </c>
      <c r="U154" s="14">
        <f>L154*G154</f>
        <v/>
      </c>
    </row>
    <row r="155">
      <c r="A155" s="12" t="inlineStr">
        <is>
          <t>PO-2021-0153</t>
        </is>
      </c>
      <c r="B155" s="26" t="n">
        <v>44930</v>
      </c>
      <c r="C155" s="12" t="inlineStr">
        <is>
          <t>VS16</t>
        </is>
      </c>
      <c r="D155" s="12" t="inlineStr">
        <is>
          <t>MS Flats</t>
        </is>
      </c>
      <c r="E155" s="12" t="inlineStr">
        <is>
          <t>N</t>
        </is>
      </c>
      <c r="F155" s="12" t="n">
        <v>1.77</v>
      </c>
      <c r="G155" s="17" t="n">
        <v>64902.56</v>
      </c>
      <c r="H155" s="26" t="n">
        <v>44935</v>
      </c>
      <c r="I155" s="26" t="n">
        <v>44936</v>
      </c>
      <c r="J155" s="12" t="n">
        <v>1.76</v>
      </c>
      <c r="K155" s="17" t="n">
        <v>114877.53</v>
      </c>
      <c r="L155" s="12" t="n">
        <v>0</v>
      </c>
      <c r="M155" s="12" t="n">
        <v>0</v>
      </c>
      <c r="N155" s="27">
        <f>F155-J155</f>
        <v/>
      </c>
      <c r="O155" s="16">
        <f>I155-H155</f>
        <v/>
      </c>
      <c r="P155" s="14">
        <f>F155*G155</f>
        <v/>
      </c>
      <c r="Q155" s="14">
        <f>J155*G155</f>
        <v/>
      </c>
      <c r="R155" s="14">
        <f>K155-Q155</f>
        <v/>
      </c>
      <c r="S155" s="3">
        <f>P155*Assumptions!$B$3/100</f>
        <v/>
      </c>
      <c r="T155" s="14">
        <f>R155-S155</f>
        <v/>
      </c>
      <c r="U155" s="14">
        <f>L155*G155</f>
        <v/>
      </c>
    </row>
    <row r="156">
      <c r="A156" s="12" t="inlineStr">
        <is>
          <t>PO-2021-0154</t>
        </is>
      </c>
      <c r="B156" s="26" t="n">
        <v>45059</v>
      </c>
      <c r="C156" s="12" t="inlineStr">
        <is>
          <t>VS34</t>
        </is>
      </c>
      <c r="D156" s="12" t="inlineStr">
        <is>
          <t>ERW Pipes</t>
        </is>
      </c>
      <c r="E156" s="12" t="inlineStr">
        <is>
          <t>N</t>
        </is>
      </c>
      <c r="F156" s="12" t="n">
        <v>37.54</v>
      </c>
      <c r="G156" s="17" t="n">
        <v>80718.45</v>
      </c>
      <c r="H156" s="26" t="n">
        <v>45074</v>
      </c>
      <c r="I156" s="26" t="n">
        <v>45076</v>
      </c>
      <c r="J156" s="12" t="n">
        <v>37.41</v>
      </c>
      <c r="K156" s="17" t="n">
        <v>3030170.61</v>
      </c>
      <c r="L156" s="12" t="n">
        <v>0</v>
      </c>
      <c r="M156" s="12" t="n">
        <v>0</v>
      </c>
      <c r="N156" s="27">
        <f>F156-J156</f>
        <v/>
      </c>
      <c r="O156" s="16">
        <f>I156-H156</f>
        <v/>
      </c>
      <c r="P156" s="14">
        <f>F156*G156</f>
        <v/>
      </c>
      <c r="Q156" s="14">
        <f>J156*G156</f>
        <v/>
      </c>
      <c r="R156" s="14">
        <f>K156-Q156</f>
        <v/>
      </c>
      <c r="S156" s="3">
        <f>P156*Assumptions!$B$3/100</f>
        <v/>
      </c>
      <c r="T156" s="14">
        <f>R156-S156</f>
        <v/>
      </c>
      <c r="U156" s="14">
        <f>L156*G156</f>
        <v/>
      </c>
    </row>
    <row r="157">
      <c r="A157" s="12" t="inlineStr">
        <is>
          <t>PO-2021-0155</t>
        </is>
      </c>
      <c r="B157" s="26" t="n">
        <v>44938</v>
      </c>
      <c r="C157" s="12" t="inlineStr">
        <is>
          <t>VS33</t>
        </is>
      </c>
      <c r="D157" s="12" t="inlineStr">
        <is>
          <t>ERW Pipes</t>
        </is>
      </c>
      <c r="E157" s="12" t="inlineStr">
        <is>
          <t>Y</t>
        </is>
      </c>
      <c r="F157" s="12" t="n">
        <v>23.15</v>
      </c>
      <c r="G157" s="17" t="n">
        <v>61616.23</v>
      </c>
      <c r="H157" s="26" t="n">
        <v>44950</v>
      </c>
      <c r="I157" s="26" t="n">
        <v>44953</v>
      </c>
      <c r="J157" s="12" t="n">
        <v>22.97</v>
      </c>
      <c r="K157" s="17" t="n">
        <v>1426415.72</v>
      </c>
      <c r="L157" s="12" t="n">
        <v>0</v>
      </c>
      <c r="M157" s="12" t="n">
        <v>0</v>
      </c>
      <c r="N157" s="27">
        <f>F157-J157</f>
        <v/>
      </c>
      <c r="O157" s="16">
        <f>I157-H157</f>
        <v/>
      </c>
      <c r="P157" s="14">
        <f>F157*G157</f>
        <v/>
      </c>
      <c r="Q157" s="14">
        <f>J157*G157</f>
        <v/>
      </c>
      <c r="R157" s="14">
        <f>K157-Q157</f>
        <v/>
      </c>
      <c r="S157" s="3">
        <f>P157*Assumptions!$B$3/100</f>
        <v/>
      </c>
      <c r="T157" s="14">
        <f>R157-S157</f>
        <v/>
      </c>
      <c r="U157" s="14">
        <f>L157*G157</f>
        <v/>
      </c>
    </row>
    <row r="158">
      <c r="A158" s="12" t="inlineStr">
        <is>
          <t>PO-2021-0156</t>
        </is>
      </c>
      <c r="B158" s="26" t="n">
        <v>44285</v>
      </c>
      <c r="C158" s="12" t="inlineStr">
        <is>
          <t>VS34</t>
        </is>
      </c>
      <c r="D158" s="12" t="inlineStr">
        <is>
          <t>SS Sheets</t>
        </is>
      </c>
      <c r="E158" s="12" t="inlineStr">
        <is>
          <t>N</t>
        </is>
      </c>
      <c r="F158" s="12" t="n">
        <v>23.44</v>
      </c>
      <c r="G158" s="17" t="n">
        <v>117301.96</v>
      </c>
      <c r="H158" s="26" t="n">
        <v>44288</v>
      </c>
      <c r="I158" s="26" t="n">
        <v>44291</v>
      </c>
      <c r="J158" s="12" t="n">
        <v>23.37</v>
      </c>
      <c r="K158" s="17" t="n">
        <v>2749557.94</v>
      </c>
      <c r="L158" s="12" t="n">
        <v>0</v>
      </c>
      <c r="M158" s="12" t="n">
        <v>3</v>
      </c>
      <c r="N158" s="27">
        <f>F158-J158</f>
        <v/>
      </c>
      <c r="O158" s="16">
        <f>I158-H158</f>
        <v/>
      </c>
      <c r="P158" s="14">
        <f>F158*G158</f>
        <v/>
      </c>
      <c r="Q158" s="14">
        <f>J158*G158</f>
        <v/>
      </c>
      <c r="R158" s="14">
        <f>K158-Q158</f>
        <v/>
      </c>
      <c r="S158" s="3">
        <f>P158*Assumptions!$B$3/100</f>
        <v/>
      </c>
      <c r="T158" s="14">
        <f>R158-S158</f>
        <v/>
      </c>
      <c r="U158" s="14">
        <f>L158*G158</f>
        <v/>
      </c>
    </row>
    <row r="159">
      <c r="A159" s="12" t="inlineStr">
        <is>
          <t>PO-2021-0157</t>
        </is>
      </c>
      <c r="B159" s="26" t="n">
        <v>45177</v>
      </c>
      <c r="C159" s="12" t="inlineStr">
        <is>
          <t>VS26</t>
        </is>
      </c>
      <c r="D159" s="12" t="inlineStr">
        <is>
          <t>GI Wire</t>
        </is>
      </c>
      <c r="E159" s="12" t="inlineStr">
        <is>
          <t>N</t>
        </is>
      </c>
      <c r="F159" s="12" t="n">
        <v>34.62</v>
      </c>
      <c r="G159" s="17" t="n">
        <v>81770.16</v>
      </c>
      <c r="H159" s="26" t="n">
        <v>45187</v>
      </c>
      <c r="I159" s="26" t="n">
        <v>45190</v>
      </c>
      <c r="J159" s="12" t="n">
        <v>34.33</v>
      </c>
      <c r="K159" s="17" t="n">
        <v>2830882.94</v>
      </c>
      <c r="L159" s="12" t="n">
        <v>0</v>
      </c>
      <c r="M159" s="12" t="n">
        <v>3</v>
      </c>
      <c r="N159" s="27">
        <f>F159-J159</f>
        <v/>
      </c>
      <c r="O159" s="16">
        <f>I159-H159</f>
        <v/>
      </c>
      <c r="P159" s="14">
        <f>F159*G159</f>
        <v/>
      </c>
      <c r="Q159" s="14">
        <f>J159*G159</f>
        <v/>
      </c>
      <c r="R159" s="14">
        <f>K159-Q159</f>
        <v/>
      </c>
      <c r="S159" s="3">
        <f>P159*Assumptions!$B$3/100</f>
        <v/>
      </c>
      <c r="T159" s="14">
        <f>R159-S159</f>
        <v/>
      </c>
      <c r="U159" s="14">
        <f>L159*G159</f>
        <v/>
      </c>
    </row>
    <row r="160">
      <c r="A160" s="12" t="inlineStr">
        <is>
          <t>PO-2021-0158</t>
        </is>
      </c>
      <c r="B160" s="26" t="n">
        <v>44347</v>
      </c>
      <c r="C160" s="12" t="inlineStr">
        <is>
          <t>VS06</t>
        </is>
      </c>
      <c r="D160" s="12" t="inlineStr">
        <is>
          <t>MS Flats</t>
        </is>
      </c>
      <c r="E160" s="12" t="inlineStr">
        <is>
          <t>N</t>
        </is>
      </c>
      <c r="F160" s="12" t="n">
        <v>30.81</v>
      </c>
      <c r="G160" s="17" t="n">
        <v>49926.17</v>
      </c>
      <c r="H160" s="26" t="n">
        <v>44354</v>
      </c>
      <c r="I160" s="26" t="n">
        <v>44356</v>
      </c>
      <c r="J160" s="12" t="n">
        <v>30.56</v>
      </c>
      <c r="K160" s="17" t="n">
        <v>1538225.3</v>
      </c>
      <c r="L160" s="12" t="n">
        <v>0</v>
      </c>
      <c r="M160" s="12" t="n">
        <v>2</v>
      </c>
      <c r="N160" s="27">
        <f>F160-J160</f>
        <v/>
      </c>
      <c r="O160" s="16">
        <f>I160-H160</f>
        <v/>
      </c>
      <c r="P160" s="14">
        <f>F160*G160</f>
        <v/>
      </c>
      <c r="Q160" s="14">
        <f>J160*G160</f>
        <v/>
      </c>
      <c r="R160" s="14">
        <f>K160-Q160</f>
        <v/>
      </c>
      <c r="S160" s="3">
        <f>P160*Assumptions!$B$3/100</f>
        <v/>
      </c>
      <c r="T160" s="14">
        <f>R160-S160</f>
        <v/>
      </c>
      <c r="U160" s="14">
        <f>L160*G160</f>
        <v/>
      </c>
    </row>
    <row r="161">
      <c r="A161" s="12" t="inlineStr">
        <is>
          <t>PO-2021-0159</t>
        </is>
      </c>
      <c r="B161" s="26" t="n">
        <v>44862</v>
      </c>
      <c r="C161" s="12" t="inlineStr">
        <is>
          <t>VS25</t>
        </is>
      </c>
      <c r="D161" s="12" t="inlineStr">
        <is>
          <t>Hex Bars</t>
        </is>
      </c>
      <c r="E161" s="12" t="inlineStr">
        <is>
          <t>N</t>
        </is>
      </c>
      <c r="F161" s="12" t="n">
        <v>15.45</v>
      </c>
      <c r="G161" s="17" t="n">
        <v>82916.33</v>
      </c>
      <c r="H161" s="26" t="n">
        <v>44871</v>
      </c>
      <c r="I161" s="26" t="n">
        <v>44872</v>
      </c>
      <c r="J161" s="12" t="n">
        <v>15.39</v>
      </c>
      <c r="K161" s="17" t="n">
        <v>1281057.3</v>
      </c>
      <c r="L161" s="12" t="n">
        <v>0</v>
      </c>
      <c r="M161" s="12" t="n">
        <v>0</v>
      </c>
      <c r="N161" s="27">
        <f>F161-J161</f>
        <v/>
      </c>
      <c r="O161" s="16">
        <f>I161-H161</f>
        <v/>
      </c>
      <c r="P161" s="14">
        <f>F161*G161</f>
        <v/>
      </c>
      <c r="Q161" s="14">
        <f>J161*G161</f>
        <v/>
      </c>
      <c r="R161" s="14">
        <f>K161-Q161</f>
        <v/>
      </c>
      <c r="S161" s="3">
        <f>P161*Assumptions!$B$3/100</f>
        <v/>
      </c>
      <c r="T161" s="14">
        <f>R161-S161</f>
        <v/>
      </c>
      <c r="U161" s="14">
        <f>L161*G161</f>
        <v/>
      </c>
    </row>
    <row r="162">
      <c r="A162" s="12" t="inlineStr">
        <is>
          <t>PO-2021-0160</t>
        </is>
      </c>
      <c r="B162" s="26" t="n">
        <v>44400</v>
      </c>
      <c r="C162" s="12" t="inlineStr">
        <is>
          <t>VS08</t>
        </is>
      </c>
      <c r="D162" s="12" t="inlineStr">
        <is>
          <t>Spring Steel</t>
        </is>
      </c>
      <c r="E162" s="12" t="inlineStr">
        <is>
          <t>N</t>
        </is>
      </c>
      <c r="F162" s="12" t="n">
        <v>36.32</v>
      </c>
      <c r="G162" s="17" t="n">
        <v>61126.73</v>
      </c>
      <c r="H162" s="26" t="n">
        <v>44410</v>
      </c>
      <c r="I162" s="26" t="n">
        <v>44412</v>
      </c>
      <c r="J162" s="12" t="n">
        <v>36.18</v>
      </c>
      <c r="K162" s="17" t="n">
        <v>2220122.83</v>
      </c>
      <c r="L162" s="12" t="n">
        <v>0</v>
      </c>
      <c r="M162" s="12" t="n">
        <v>11</v>
      </c>
      <c r="N162" s="27">
        <f>F162-J162</f>
        <v/>
      </c>
      <c r="O162" s="16">
        <f>I162-H162</f>
        <v/>
      </c>
      <c r="P162" s="14">
        <f>F162*G162</f>
        <v/>
      </c>
      <c r="Q162" s="14">
        <f>J162*G162</f>
        <v/>
      </c>
      <c r="R162" s="14">
        <f>K162-Q162</f>
        <v/>
      </c>
      <c r="S162" s="3">
        <f>P162*Assumptions!$B$3/100</f>
        <v/>
      </c>
      <c r="T162" s="14">
        <f>R162-S162</f>
        <v/>
      </c>
      <c r="U162" s="14">
        <f>L162*G162</f>
        <v/>
      </c>
    </row>
    <row r="163">
      <c r="A163" s="12" t="inlineStr">
        <is>
          <t>PO-2021-0161</t>
        </is>
      </c>
      <c r="B163" s="26" t="n">
        <v>44664</v>
      </c>
      <c r="C163" s="12" t="inlineStr">
        <is>
          <t>VS27</t>
        </is>
      </c>
      <c r="D163" s="12" t="inlineStr">
        <is>
          <t>MS Flats</t>
        </is>
      </c>
      <c r="E163" s="12" t="inlineStr">
        <is>
          <t>N</t>
        </is>
      </c>
      <c r="F163" s="12" t="n">
        <v>41.54</v>
      </c>
      <c r="G163" s="17" t="n">
        <v>74904.75999999999</v>
      </c>
      <c r="H163" s="26" t="n">
        <v>44678</v>
      </c>
      <c r="I163" s="26" t="n">
        <v>44681</v>
      </c>
      <c r="J163" s="12" t="n">
        <v>41.19</v>
      </c>
      <c r="K163" s="17" t="n">
        <v>3111543.73</v>
      </c>
      <c r="L163" s="12" t="n">
        <v>0</v>
      </c>
      <c r="M163" s="12" t="n">
        <v>13</v>
      </c>
      <c r="N163" s="27">
        <f>F163-J163</f>
        <v/>
      </c>
      <c r="O163" s="16">
        <f>I163-H163</f>
        <v/>
      </c>
      <c r="P163" s="14">
        <f>F163*G163</f>
        <v/>
      </c>
      <c r="Q163" s="14">
        <f>J163*G163</f>
        <v/>
      </c>
      <c r="R163" s="14">
        <f>K163-Q163</f>
        <v/>
      </c>
      <c r="S163" s="3">
        <f>P163*Assumptions!$B$3/100</f>
        <v/>
      </c>
      <c r="T163" s="14">
        <f>R163-S163</f>
        <v/>
      </c>
      <c r="U163" s="14">
        <f>L163*G163</f>
        <v/>
      </c>
    </row>
    <row r="164">
      <c r="A164" s="12" t="inlineStr">
        <is>
          <t>PO-2021-0162</t>
        </is>
      </c>
      <c r="B164" s="26" t="n">
        <v>44391</v>
      </c>
      <c r="C164" s="12" t="inlineStr">
        <is>
          <t>VS21</t>
        </is>
      </c>
      <c r="D164" s="12" t="inlineStr">
        <is>
          <t>GI Wire</t>
        </is>
      </c>
      <c r="E164" s="12" t="inlineStr">
        <is>
          <t>N</t>
        </is>
      </c>
      <c r="F164" s="12" t="n">
        <v>16.31</v>
      </c>
      <c r="G164" s="17" t="n">
        <v>64116.73</v>
      </c>
      <c r="H164" s="26" t="n">
        <v>44396</v>
      </c>
      <c r="I164" s="26" t="n">
        <v>44398</v>
      </c>
      <c r="J164" s="12" t="n">
        <v>16.22</v>
      </c>
      <c r="K164" s="17" t="n">
        <v>1045743.87</v>
      </c>
      <c r="L164" s="12" t="n">
        <v>0</v>
      </c>
      <c r="M164" s="12" t="n">
        <v>0</v>
      </c>
      <c r="N164" s="27">
        <f>F164-J164</f>
        <v/>
      </c>
      <c r="O164" s="16">
        <f>I164-H164</f>
        <v/>
      </c>
      <c r="P164" s="14">
        <f>F164*G164</f>
        <v/>
      </c>
      <c r="Q164" s="14">
        <f>J164*G164</f>
        <v/>
      </c>
      <c r="R164" s="14">
        <f>K164-Q164</f>
        <v/>
      </c>
      <c r="S164" s="3">
        <f>P164*Assumptions!$B$3/100</f>
        <v/>
      </c>
      <c r="T164" s="14">
        <f>R164-S164</f>
        <v/>
      </c>
      <c r="U164" s="14">
        <f>L164*G164</f>
        <v/>
      </c>
    </row>
    <row r="165">
      <c r="A165" s="12" t="inlineStr">
        <is>
          <t>PO-2021-0163</t>
        </is>
      </c>
      <c r="B165" s="26" t="n">
        <v>45168</v>
      </c>
      <c r="C165" s="12" t="inlineStr">
        <is>
          <t>VS05</t>
        </is>
      </c>
      <c r="D165" s="12" t="inlineStr">
        <is>
          <t>SS Pipes</t>
        </is>
      </c>
      <c r="E165" s="12" t="inlineStr">
        <is>
          <t>N</t>
        </is>
      </c>
      <c r="F165" s="12" t="n">
        <v>41.76</v>
      </c>
      <c r="G165" s="17" t="n">
        <v>51992.26</v>
      </c>
      <c r="H165" s="26" t="n">
        <v>45172</v>
      </c>
      <c r="I165" s="26" t="n">
        <v>45175</v>
      </c>
      <c r="J165" s="12" t="n">
        <v>41.66</v>
      </c>
      <c r="K165" s="17" t="n">
        <v>2171196.78</v>
      </c>
      <c r="L165" s="12" t="n">
        <v>0</v>
      </c>
      <c r="M165" s="12" t="n">
        <v>11</v>
      </c>
      <c r="N165" s="27">
        <f>F165-J165</f>
        <v/>
      </c>
      <c r="O165" s="16">
        <f>I165-H165</f>
        <v/>
      </c>
      <c r="P165" s="14">
        <f>F165*G165</f>
        <v/>
      </c>
      <c r="Q165" s="14">
        <f>J165*G165</f>
        <v/>
      </c>
      <c r="R165" s="14">
        <f>K165-Q165</f>
        <v/>
      </c>
      <c r="S165" s="3">
        <f>P165*Assumptions!$B$3/100</f>
        <v/>
      </c>
      <c r="T165" s="14">
        <f>R165-S165</f>
        <v/>
      </c>
      <c r="U165" s="14">
        <f>L165*G165</f>
        <v/>
      </c>
    </row>
    <row r="166">
      <c r="A166" s="12" t="inlineStr">
        <is>
          <t>PO-2021-0164</t>
        </is>
      </c>
      <c r="B166" s="26" t="n">
        <v>44960</v>
      </c>
      <c r="C166" s="12" t="inlineStr">
        <is>
          <t>VS09</t>
        </is>
      </c>
      <c r="D166" s="12" t="inlineStr">
        <is>
          <t>Spring Steel</t>
        </is>
      </c>
      <c r="E166" s="12" t="inlineStr">
        <is>
          <t>N</t>
        </is>
      </c>
      <c r="F166" s="12" t="n">
        <v>3.94</v>
      </c>
      <c r="G166" s="17" t="n">
        <v>116746.85</v>
      </c>
      <c r="H166" s="26" t="n">
        <v>44971</v>
      </c>
      <c r="I166" s="26" t="n">
        <v>44972</v>
      </c>
      <c r="J166" s="12" t="n">
        <v>3.94</v>
      </c>
      <c r="K166" s="17" t="n">
        <v>459982.59</v>
      </c>
      <c r="L166" s="12" t="n">
        <v>0</v>
      </c>
      <c r="M166" s="12" t="n">
        <v>0</v>
      </c>
      <c r="N166" s="27">
        <f>F166-J166</f>
        <v/>
      </c>
      <c r="O166" s="16">
        <f>I166-H166</f>
        <v/>
      </c>
      <c r="P166" s="14">
        <f>F166*G166</f>
        <v/>
      </c>
      <c r="Q166" s="14">
        <f>J166*G166</f>
        <v/>
      </c>
      <c r="R166" s="14">
        <f>K166-Q166</f>
        <v/>
      </c>
      <c r="S166" s="3">
        <f>P166*Assumptions!$B$3/100</f>
        <v/>
      </c>
      <c r="T166" s="14">
        <f>R166-S166</f>
        <v/>
      </c>
      <c r="U166" s="14">
        <f>L166*G166</f>
        <v/>
      </c>
    </row>
    <row r="167">
      <c r="A167" s="12" t="inlineStr">
        <is>
          <t>PO-2021-0165</t>
        </is>
      </c>
      <c r="B167" s="26" t="n">
        <v>44872</v>
      </c>
      <c r="C167" s="12" t="inlineStr">
        <is>
          <t>VS08</t>
        </is>
      </c>
      <c r="D167" s="12" t="inlineStr">
        <is>
          <t>GI Wire</t>
        </is>
      </c>
      <c r="E167" s="12" t="inlineStr">
        <is>
          <t>N</t>
        </is>
      </c>
      <c r="F167" s="12" t="n">
        <v>18.33</v>
      </c>
      <c r="G167" s="17" t="n">
        <v>94900.53999999999</v>
      </c>
      <c r="H167" s="26" t="n">
        <v>44887</v>
      </c>
      <c r="I167" s="26" t="n">
        <v>44887</v>
      </c>
      <c r="J167" s="12" t="n">
        <v>18.3</v>
      </c>
      <c r="K167" s="17" t="n">
        <v>1739526.9</v>
      </c>
      <c r="L167" s="12" t="n">
        <v>0</v>
      </c>
      <c r="M167" s="12" t="n">
        <v>4</v>
      </c>
      <c r="N167" s="27">
        <f>F167-J167</f>
        <v/>
      </c>
      <c r="O167" s="16">
        <f>I167-H167</f>
        <v/>
      </c>
      <c r="P167" s="14">
        <f>F167*G167</f>
        <v/>
      </c>
      <c r="Q167" s="14">
        <f>J167*G167</f>
        <v/>
      </c>
      <c r="R167" s="14">
        <f>K167-Q167</f>
        <v/>
      </c>
      <c r="S167" s="3">
        <f>P167*Assumptions!$B$3/100</f>
        <v/>
      </c>
      <c r="T167" s="14">
        <f>R167-S167</f>
        <v/>
      </c>
      <c r="U167" s="14">
        <f>L167*G167</f>
        <v/>
      </c>
    </row>
    <row r="168">
      <c r="A168" s="12" t="inlineStr">
        <is>
          <t>PO-2021-0166</t>
        </is>
      </c>
      <c r="B168" s="26" t="n">
        <v>45063</v>
      </c>
      <c r="C168" s="12" t="inlineStr">
        <is>
          <t>VS04</t>
        </is>
      </c>
      <c r="D168" s="12" t="inlineStr">
        <is>
          <t>SS Sheets</t>
        </is>
      </c>
      <c r="E168" s="12" t="inlineStr">
        <is>
          <t>N</t>
        </is>
      </c>
      <c r="F168" s="12" t="n">
        <v>30.42</v>
      </c>
      <c r="G168" s="17" t="n">
        <v>71373.46000000001</v>
      </c>
      <c r="H168" s="26" t="n">
        <v>45075</v>
      </c>
      <c r="I168" s="26" t="n">
        <v>45075</v>
      </c>
      <c r="J168" s="12" t="n">
        <v>30.35</v>
      </c>
      <c r="K168" s="17" t="n">
        <v>2171180.65</v>
      </c>
      <c r="L168" s="12" t="n">
        <v>0</v>
      </c>
      <c r="M168" s="12" t="n">
        <v>17</v>
      </c>
      <c r="N168" s="27">
        <f>F168-J168</f>
        <v/>
      </c>
      <c r="O168" s="16">
        <f>I168-H168</f>
        <v/>
      </c>
      <c r="P168" s="14">
        <f>F168*G168</f>
        <v/>
      </c>
      <c r="Q168" s="14">
        <f>J168*G168</f>
        <v/>
      </c>
      <c r="R168" s="14">
        <f>K168-Q168</f>
        <v/>
      </c>
      <c r="S168" s="3">
        <f>P168*Assumptions!$B$3/100</f>
        <v/>
      </c>
      <c r="T168" s="14">
        <f>R168-S168</f>
        <v/>
      </c>
      <c r="U168" s="14">
        <f>L168*G168</f>
        <v/>
      </c>
    </row>
    <row r="169">
      <c r="A169" s="12" t="inlineStr">
        <is>
          <t>PO-2021-0167</t>
        </is>
      </c>
      <c r="B169" s="26" t="n">
        <v>45236</v>
      </c>
      <c r="C169" s="12" t="inlineStr">
        <is>
          <t>VS14</t>
        </is>
      </c>
      <c r="D169" s="12" t="inlineStr">
        <is>
          <t>Square/Rect Tubes</t>
        </is>
      </c>
      <c r="E169" s="12" t="inlineStr">
        <is>
          <t>N</t>
        </is>
      </c>
      <c r="F169" s="12" t="n">
        <v>33.18</v>
      </c>
      <c r="G169" s="17" t="n">
        <v>61818.37</v>
      </c>
      <c r="H169" s="26" t="n">
        <v>45240</v>
      </c>
      <c r="I169" s="26" t="n">
        <v>45242</v>
      </c>
      <c r="J169" s="12" t="n">
        <v>33.16</v>
      </c>
      <c r="K169" s="17" t="n">
        <v>2051133.52</v>
      </c>
      <c r="L169" s="12" t="n">
        <v>0</v>
      </c>
      <c r="M169" s="12" t="n">
        <v>6</v>
      </c>
      <c r="N169" s="27">
        <f>F169-J169</f>
        <v/>
      </c>
      <c r="O169" s="16">
        <f>I169-H169</f>
        <v/>
      </c>
      <c r="P169" s="14">
        <f>F169*G169</f>
        <v/>
      </c>
      <c r="Q169" s="14">
        <f>J169*G169</f>
        <v/>
      </c>
      <c r="R169" s="14">
        <f>K169-Q169</f>
        <v/>
      </c>
      <c r="S169" s="3">
        <f>P169*Assumptions!$B$3/100</f>
        <v/>
      </c>
      <c r="T169" s="14">
        <f>R169-S169</f>
        <v/>
      </c>
      <c r="U169" s="14">
        <f>L169*G169</f>
        <v/>
      </c>
    </row>
    <row r="170">
      <c r="A170" s="12" t="inlineStr">
        <is>
          <t>PO-2021-0168</t>
        </is>
      </c>
      <c r="B170" s="26" t="n">
        <v>44914</v>
      </c>
      <c r="C170" s="12" t="inlineStr">
        <is>
          <t>VS24</t>
        </is>
      </c>
      <c r="D170" s="12" t="inlineStr">
        <is>
          <t>ERW Pipes</t>
        </is>
      </c>
      <c r="E170" s="12" t="inlineStr">
        <is>
          <t>N</t>
        </is>
      </c>
      <c r="F170" s="12" t="n">
        <v>38.37</v>
      </c>
      <c r="G170" s="17" t="n">
        <v>88057.5</v>
      </c>
      <c r="H170" s="26" t="n">
        <v>44929</v>
      </c>
      <c r="I170" s="26" t="n">
        <v>44929</v>
      </c>
      <c r="J170" s="12" t="n">
        <v>38.23</v>
      </c>
      <c r="K170" s="17" t="n">
        <v>3378766.27</v>
      </c>
      <c r="L170" s="12" t="n">
        <v>0</v>
      </c>
      <c r="M170" s="12" t="n">
        <v>0</v>
      </c>
      <c r="N170" s="27">
        <f>F170-J170</f>
        <v/>
      </c>
      <c r="O170" s="16">
        <f>I170-H170</f>
        <v/>
      </c>
      <c r="P170" s="14">
        <f>F170*G170</f>
        <v/>
      </c>
      <c r="Q170" s="14">
        <f>J170*G170</f>
        <v/>
      </c>
      <c r="R170" s="14">
        <f>K170-Q170</f>
        <v/>
      </c>
      <c r="S170" s="3">
        <f>P170*Assumptions!$B$3/100</f>
        <v/>
      </c>
      <c r="T170" s="14">
        <f>R170-S170</f>
        <v/>
      </c>
      <c r="U170" s="14">
        <f>L170*G170</f>
        <v/>
      </c>
    </row>
    <row r="171">
      <c r="A171" s="12" t="inlineStr">
        <is>
          <t>PO-2021-0169</t>
        </is>
      </c>
      <c r="B171" s="26" t="n">
        <v>45075</v>
      </c>
      <c r="C171" s="12" t="inlineStr">
        <is>
          <t>VS02</t>
        </is>
      </c>
      <c r="D171" s="12" t="inlineStr">
        <is>
          <t>CR Sheets</t>
        </is>
      </c>
      <c r="E171" s="12" t="inlineStr">
        <is>
          <t>N</t>
        </is>
      </c>
      <c r="F171" s="12" t="n">
        <v>2.42</v>
      </c>
      <c r="G171" s="17" t="n">
        <v>65495.28</v>
      </c>
      <c r="H171" s="26" t="n">
        <v>45090</v>
      </c>
      <c r="I171" s="26" t="n">
        <v>45092</v>
      </c>
      <c r="J171" s="12" t="n">
        <v>2.41</v>
      </c>
      <c r="K171" s="17" t="n">
        <v>158498.58</v>
      </c>
      <c r="L171" s="12" t="n">
        <v>0</v>
      </c>
      <c r="M171" s="12" t="n">
        <v>7</v>
      </c>
      <c r="N171" s="27">
        <f>F171-J171</f>
        <v/>
      </c>
      <c r="O171" s="16">
        <f>I171-H171</f>
        <v/>
      </c>
      <c r="P171" s="14">
        <f>F171*G171</f>
        <v/>
      </c>
      <c r="Q171" s="14">
        <f>J171*G171</f>
        <v/>
      </c>
      <c r="R171" s="14">
        <f>K171-Q171</f>
        <v/>
      </c>
      <c r="S171" s="3">
        <f>P171*Assumptions!$B$3/100</f>
        <v/>
      </c>
      <c r="T171" s="14">
        <f>R171-S171</f>
        <v/>
      </c>
      <c r="U171" s="14">
        <f>L171*G171</f>
        <v/>
      </c>
    </row>
    <row r="172">
      <c r="A172" s="12" t="inlineStr">
        <is>
          <t>PO-2021-0170</t>
        </is>
      </c>
      <c r="B172" s="26" t="n">
        <v>44829</v>
      </c>
      <c r="C172" s="12" t="inlineStr">
        <is>
          <t>VS22</t>
        </is>
      </c>
      <c r="D172" s="12" t="inlineStr">
        <is>
          <t>Angles &amp; Channels</t>
        </is>
      </c>
      <c r="E172" s="12" t="inlineStr">
        <is>
          <t>N</t>
        </is>
      </c>
      <c r="F172" s="12" t="n">
        <v>1.3</v>
      </c>
      <c r="G172" s="17" t="n">
        <v>110239.7</v>
      </c>
      <c r="H172" s="26" t="n">
        <v>44841</v>
      </c>
      <c r="I172" s="26" t="n">
        <v>44841</v>
      </c>
      <c r="J172" s="12" t="n">
        <v>1.3</v>
      </c>
      <c r="K172" s="17" t="n">
        <v>143311.61</v>
      </c>
      <c r="L172" s="12" t="n">
        <v>0</v>
      </c>
      <c r="M172" s="12" t="n">
        <v>0</v>
      </c>
      <c r="N172" s="27">
        <f>F172-J172</f>
        <v/>
      </c>
      <c r="O172" s="16">
        <f>I172-H172</f>
        <v/>
      </c>
      <c r="P172" s="14">
        <f>F172*G172</f>
        <v/>
      </c>
      <c r="Q172" s="14">
        <f>J172*G172</f>
        <v/>
      </c>
      <c r="R172" s="14">
        <f>K172-Q172</f>
        <v/>
      </c>
      <c r="S172" s="3">
        <f>P172*Assumptions!$B$3/100</f>
        <v/>
      </c>
      <c r="T172" s="14">
        <f>R172-S172</f>
        <v/>
      </c>
      <c r="U172" s="14">
        <f>L172*G172</f>
        <v/>
      </c>
    </row>
    <row r="173">
      <c r="A173" s="12" t="inlineStr">
        <is>
          <t>PO-2021-0171</t>
        </is>
      </c>
      <c r="B173" s="26" t="n">
        <v>45017</v>
      </c>
      <c r="C173" s="12" t="inlineStr">
        <is>
          <t>VS05</t>
        </is>
      </c>
      <c r="D173" s="12" t="inlineStr">
        <is>
          <t>Square/Rect Tubes</t>
        </is>
      </c>
      <c r="E173" s="12" t="inlineStr">
        <is>
          <t>N</t>
        </is>
      </c>
      <c r="F173" s="12" t="n">
        <v>37.31</v>
      </c>
      <c r="G173" s="17" t="n">
        <v>117885.77</v>
      </c>
      <c r="H173" s="26" t="n">
        <v>45021</v>
      </c>
      <c r="I173" s="26" t="n">
        <v>45021</v>
      </c>
      <c r="J173" s="12" t="n">
        <v>37.15</v>
      </c>
      <c r="K173" s="17" t="n">
        <v>4398318.08</v>
      </c>
      <c r="L173" s="12" t="n">
        <v>0</v>
      </c>
      <c r="M173" s="12" t="n">
        <v>0</v>
      </c>
      <c r="N173" s="27">
        <f>F173-J173</f>
        <v/>
      </c>
      <c r="O173" s="16">
        <f>I173-H173</f>
        <v/>
      </c>
      <c r="P173" s="14">
        <f>F173*G173</f>
        <v/>
      </c>
      <c r="Q173" s="14">
        <f>J173*G173</f>
        <v/>
      </c>
      <c r="R173" s="14">
        <f>K173-Q173</f>
        <v/>
      </c>
      <c r="S173" s="3">
        <f>P173*Assumptions!$B$3/100</f>
        <v/>
      </c>
      <c r="T173" s="14">
        <f>R173-S173</f>
        <v/>
      </c>
      <c r="U173" s="14">
        <f>L173*G173</f>
        <v/>
      </c>
    </row>
    <row r="174">
      <c r="A174" s="12" t="inlineStr">
        <is>
          <t>PO-2021-0172</t>
        </is>
      </c>
      <c r="B174" s="26" t="n">
        <v>45283</v>
      </c>
      <c r="C174" s="12" t="inlineStr">
        <is>
          <t>VS14</t>
        </is>
      </c>
      <c r="D174" s="12" t="inlineStr">
        <is>
          <t>MS Rods</t>
        </is>
      </c>
      <c r="E174" s="12" t="inlineStr">
        <is>
          <t>N</t>
        </is>
      </c>
      <c r="F174" s="12" t="n">
        <v>21.57</v>
      </c>
      <c r="G174" s="17" t="n">
        <v>70567.2</v>
      </c>
      <c r="H174" s="26" t="n">
        <v>45291</v>
      </c>
      <c r="I174" s="26" t="n">
        <v>45291</v>
      </c>
      <c r="J174" s="12" t="n">
        <v>21.44</v>
      </c>
      <c r="K174" s="17" t="n">
        <v>1522134.5</v>
      </c>
      <c r="L174" s="12" t="n">
        <v>0</v>
      </c>
      <c r="M174" s="12" t="n">
        <v>0</v>
      </c>
      <c r="N174" s="27">
        <f>F174-J174</f>
        <v/>
      </c>
      <c r="O174" s="16">
        <f>I174-H174</f>
        <v/>
      </c>
      <c r="P174" s="14">
        <f>F174*G174</f>
        <v/>
      </c>
      <c r="Q174" s="14">
        <f>J174*G174</f>
        <v/>
      </c>
      <c r="R174" s="14">
        <f>K174-Q174</f>
        <v/>
      </c>
      <c r="S174" s="3">
        <f>P174*Assumptions!$B$3/100</f>
        <v/>
      </c>
      <c r="T174" s="14">
        <f>R174-S174</f>
        <v/>
      </c>
      <c r="U174" s="14">
        <f>L174*G174</f>
        <v/>
      </c>
    </row>
    <row r="175">
      <c r="A175" s="12" t="inlineStr">
        <is>
          <t>PO-2021-0173</t>
        </is>
      </c>
      <c r="B175" s="26" t="n">
        <v>44835</v>
      </c>
      <c r="C175" s="12" t="inlineStr">
        <is>
          <t>VS21</t>
        </is>
      </c>
      <c r="D175" s="12" t="inlineStr">
        <is>
          <t>SS Pipes</t>
        </is>
      </c>
      <c r="E175" s="12" t="inlineStr">
        <is>
          <t>N</t>
        </is>
      </c>
      <c r="F175" s="12" t="n">
        <v>44.28</v>
      </c>
      <c r="G175" s="17" t="n">
        <v>56668.49</v>
      </c>
      <c r="H175" s="26" t="n">
        <v>44850</v>
      </c>
      <c r="I175" s="26" t="n">
        <v>44853</v>
      </c>
      <c r="J175" s="12" t="n">
        <v>43.94</v>
      </c>
      <c r="K175" s="17" t="n">
        <v>2509280.74</v>
      </c>
      <c r="L175" s="12" t="n">
        <v>0</v>
      </c>
      <c r="M175" s="12" t="n">
        <v>5</v>
      </c>
      <c r="N175" s="27">
        <f>F175-J175</f>
        <v/>
      </c>
      <c r="O175" s="16">
        <f>I175-H175</f>
        <v/>
      </c>
      <c r="P175" s="14">
        <f>F175*G175</f>
        <v/>
      </c>
      <c r="Q175" s="14">
        <f>J175*G175</f>
        <v/>
      </c>
      <c r="R175" s="14">
        <f>K175-Q175</f>
        <v/>
      </c>
      <c r="S175" s="3">
        <f>P175*Assumptions!$B$3/100</f>
        <v/>
      </c>
      <c r="T175" s="14">
        <f>R175-S175</f>
        <v/>
      </c>
      <c r="U175" s="14">
        <f>L175*G175</f>
        <v/>
      </c>
    </row>
    <row r="176">
      <c r="A176" s="12" t="inlineStr">
        <is>
          <t>PO-2021-0174</t>
        </is>
      </c>
      <c r="B176" s="26" t="n">
        <v>44298</v>
      </c>
      <c r="C176" s="12" t="inlineStr">
        <is>
          <t>VS06</t>
        </is>
      </c>
      <c r="D176" s="12" t="inlineStr">
        <is>
          <t>CR Sheets</t>
        </is>
      </c>
      <c r="E176" s="12" t="inlineStr">
        <is>
          <t>N</t>
        </is>
      </c>
      <c r="F176" s="12" t="n">
        <v>22.71</v>
      </c>
      <c r="G176" s="17" t="n">
        <v>76801.11</v>
      </c>
      <c r="H176" s="26" t="n">
        <v>44310</v>
      </c>
      <c r="I176" s="26" t="n">
        <v>44311</v>
      </c>
      <c r="J176" s="12" t="n">
        <v>22.55</v>
      </c>
      <c r="K176" s="17" t="n">
        <v>1744153.21</v>
      </c>
      <c r="L176" s="12" t="n">
        <v>0</v>
      </c>
      <c r="M176" s="12" t="n">
        <v>22</v>
      </c>
      <c r="N176" s="27">
        <f>F176-J176</f>
        <v/>
      </c>
      <c r="O176" s="16">
        <f>I176-H176</f>
        <v/>
      </c>
      <c r="P176" s="14">
        <f>F176*G176</f>
        <v/>
      </c>
      <c r="Q176" s="14">
        <f>J176*G176</f>
        <v/>
      </c>
      <c r="R176" s="14">
        <f>K176-Q176</f>
        <v/>
      </c>
      <c r="S176" s="3">
        <f>P176*Assumptions!$B$3/100</f>
        <v/>
      </c>
      <c r="T176" s="14">
        <f>R176-S176</f>
        <v/>
      </c>
      <c r="U176" s="14">
        <f>L176*G176</f>
        <v/>
      </c>
    </row>
    <row r="177">
      <c r="A177" s="12" t="inlineStr">
        <is>
          <t>PO-2021-0175</t>
        </is>
      </c>
      <c r="B177" s="26" t="n">
        <v>45102</v>
      </c>
      <c r="C177" s="12" t="inlineStr">
        <is>
          <t>VS27</t>
        </is>
      </c>
      <c r="D177" s="12" t="inlineStr">
        <is>
          <t>CR Sheets</t>
        </is>
      </c>
      <c r="E177" s="12" t="inlineStr">
        <is>
          <t>N</t>
        </is>
      </c>
      <c r="F177" s="12" t="n">
        <v>11.56</v>
      </c>
      <c r="G177" s="17" t="n">
        <v>83425.97</v>
      </c>
      <c r="H177" s="26" t="n">
        <v>45110</v>
      </c>
      <c r="I177" s="26" t="n">
        <v>45113</v>
      </c>
      <c r="J177" s="12" t="n">
        <v>11.49</v>
      </c>
      <c r="K177" s="17" t="n">
        <v>964404.21</v>
      </c>
      <c r="L177" s="12" t="n">
        <v>0</v>
      </c>
      <c r="M177" s="12" t="n">
        <v>0</v>
      </c>
      <c r="N177" s="27">
        <f>F177-J177</f>
        <v/>
      </c>
      <c r="O177" s="16">
        <f>I177-H177</f>
        <v/>
      </c>
      <c r="P177" s="14">
        <f>F177*G177</f>
        <v/>
      </c>
      <c r="Q177" s="14">
        <f>J177*G177</f>
        <v/>
      </c>
      <c r="R177" s="14">
        <f>K177-Q177</f>
        <v/>
      </c>
      <c r="S177" s="3">
        <f>P177*Assumptions!$B$3/100</f>
        <v/>
      </c>
      <c r="T177" s="14">
        <f>R177-S177</f>
        <v/>
      </c>
      <c r="U177" s="14">
        <f>L177*G177</f>
        <v/>
      </c>
    </row>
    <row r="178">
      <c r="A178" s="12" t="inlineStr">
        <is>
          <t>PO-2021-0176</t>
        </is>
      </c>
      <c r="B178" s="26" t="n">
        <v>45077</v>
      </c>
      <c r="C178" s="12" t="inlineStr">
        <is>
          <t>VS08</t>
        </is>
      </c>
      <c r="D178" s="12" t="inlineStr">
        <is>
          <t>SS Sheets</t>
        </is>
      </c>
      <c r="E178" s="12" t="inlineStr">
        <is>
          <t>Y</t>
        </is>
      </c>
      <c r="F178" s="12" t="n">
        <v>34.23</v>
      </c>
      <c r="G178" s="17" t="n">
        <v>89485.07000000001</v>
      </c>
      <c r="H178" s="26" t="n">
        <v>45088</v>
      </c>
      <c r="I178" s="26" t="n">
        <v>45089</v>
      </c>
      <c r="J178" s="12" t="n">
        <v>33.93</v>
      </c>
      <c r="K178" s="17" t="n">
        <v>3063073.95</v>
      </c>
      <c r="L178" s="12" t="n">
        <v>0</v>
      </c>
      <c r="M178" s="12" t="n">
        <v>0</v>
      </c>
      <c r="N178" s="27">
        <f>F178-J178</f>
        <v/>
      </c>
      <c r="O178" s="16">
        <f>I178-H178</f>
        <v/>
      </c>
      <c r="P178" s="14">
        <f>F178*G178</f>
        <v/>
      </c>
      <c r="Q178" s="14">
        <f>J178*G178</f>
        <v/>
      </c>
      <c r="R178" s="14">
        <f>K178-Q178</f>
        <v/>
      </c>
      <c r="S178" s="3">
        <f>P178*Assumptions!$B$3/100</f>
        <v/>
      </c>
      <c r="T178" s="14">
        <f>R178-S178</f>
        <v/>
      </c>
      <c r="U178" s="14">
        <f>L178*G178</f>
        <v/>
      </c>
    </row>
    <row r="179">
      <c r="A179" s="12" t="inlineStr">
        <is>
          <t>PO-2021-0177</t>
        </is>
      </c>
      <c r="B179" s="26" t="n">
        <v>44828</v>
      </c>
      <c r="C179" s="12" t="inlineStr">
        <is>
          <t>VS03</t>
        </is>
      </c>
      <c r="D179" s="12" t="inlineStr">
        <is>
          <t>HR Coils</t>
        </is>
      </c>
      <c r="E179" s="12" t="inlineStr">
        <is>
          <t>N</t>
        </is>
      </c>
      <c r="F179" s="12" t="n">
        <v>20.37</v>
      </c>
      <c r="G179" s="17" t="n">
        <v>93547.35000000001</v>
      </c>
      <c r="H179" s="26" t="n">
        <v>44831</v>
      </c>
      <c r="I179" s="26" t="n">
        <v>44833</v>
      </c>
      <c r="J179" s="12" t="n">
        <v>19.49</v>
      </c>
      <c r="K179" s="17" t="n">
        <v>1905559.52</v>
      </c>
      <c r="L179" s="12" t="n">
        <v>0.76</v>
      </c>
      <c r="M179" s="12" t="n">
        <v>0</v>
      </c>
      <c r="N179" s="27">
        <f>F179-J179</f>
        <v/>
      </c>
      <c r="O179" s="16">
        <f>I179-H179</f>
        <v/>
      </c>
      <c r="P179" s="14">
        <f>F179*G179</f>
        <v/>
      </c>
      <c r="Q179" s="14">
        <f>J179*G179</f>
        <v/>
      </c>
      <c r="R179" s="14">
        <f>K179-Q179</f>
        <v/>
      </c>
      <c r="S179" s="3">
        <f>P179*Assumptions!$B$3/100</f>
        <v/>
      </c>
      <c r="T179" s="14">
        <f>R179-S179</f>
        <v/>
      </c>
      <c r="U179" s="14">
        <f>L179*G179</f>
        <v/>
      </c>
    </row>
    <row r="180">
      <c r="A180" s="12" t="inlineStr">
        <is>
          <t>PO-2021-0178</t>
        </is>
      </c>
      <c r="B180" s="26" t="n">
        <v>44615</v>
      </c>
      <c r="C180" s="12" t="inlineStr">
        <is>
          <t>VS20</t>
        </is>
      </c>
      <c r="D180" s="12" t="inlineStr">
        <is>
          <t>GI Sheets</t>
        </is>
      </c>
      <c r="E180" s="12" t="inlineStr">
        <is>
          <t>N</t>
        </is>
      </c>
      <c r="F180" s="12" t="n">
        <v>38.6</v>
      </c>
      <c r="G180" s="17" t="n">
        <v>102312.07</v>
      </c>
      <c r="H180" s="26" t="n">
        <v>44622</v>
      </c>
      <c r="I180" s="26" t="n">
        <v>44622</v>
      </c>
      <c r="J180" s="12" t="n">
        <v>38.44</v>
      </c>
      <c r="K180" s="17" t="n">
        <v>3949245.9</v>
      </c>
      <c r="L180" s="12" t="n">
        <v>0</v>
      </c>
      <c r="M180" s="12" t="n">
        <v>0</v>
      </c>
      <c r="N180" s="27">
        <f>F180-J180</f>
        <v/>
      </c>
      <c r="O180" s="16">
        <f>I180-H180</f>
        <v/>
      </c>
      <c r="P180" s="14">
        <f>F180*G180</f>
        <v/>
      </c>
      <c r="Q180" s="14">
        <f>J180*G180</f>
        <v/>
      </c>
      <c r="R180" s="14">
        <f>K180-Q180</f>
        <v/>
      </c>
      <c r="S180" s="3">
        <f>P180*Assumptions!$B$3/100</f>
        <v/>
      </c>
      <c r="T180" s="14">
        <f>R180-S180</f>
        <v/>
      </c>
      <c r="U180" s="14">
        <f>L180*G180</f>
        <v/>
      </c>
    </row>
    <row r="181">
      <c r="A181" s="12" t="inlineStr">
        <is>
          <t>PO-2021-0179</t>
        </is>
      </c>
      <c r="B181" s="26" t="n">
        <v>44868</v>
      </c>
      <c r="C181" s="12" t="inlineStr">
        <is>
          <t>VS08</t>
        </is>
      </c>
      <c r="D181" s="12" t="inlineStr">
        <is>
          <t>MS Pipes</t>
        </is>
      </c>
      <c r="E181" s="12" t="inlineStr">
        <is>
          <t>N</t>
        </is>
      </c>
      <c r="F181" s="12" t="n">
        <v>25.37</v>
      </c>
      <c r="G181" s="17" t="n">
        <v>77299.13</v>
      </c>
      <c r="H181" s="26" t="n">
        <v>44873</v>
      </c>
      <c r="I181" s="26" t="n">
        <v>44875</v>
      </c>
      <c r="J181" s="12" t="n">
        <v>25.35</v>
      </c>
      <c r="K181" s="17" t="n">
        <v>1961078.93</v>
      </c>
      <c r="L181" s="12" t="n">
        <v>0</v>
      </c>
      <c r="M181" s="12" t="n">
        <v>22</v>
      </c>
      <c r="N181" s="27">
        <f>F181-J181</f>
        <v/>
      </c>
      <c r="O181" s="16">
        <f>I181-H181</f>
        <v/>
      </c>
      <c r="P181" s="14">
        <f>F181*G181</f>
        <v/>
      </c>
      <c r="Q181" s="14">
        <f>J181*G181</f>
        <v/>
      </c>
      <c r="R181" s="14">
        <f>K181-Q181</f>
        <v/>
      </c>
      <c r="S181" s="3">
        <f>P181*Assumptions!$B$3/100</f>
        <v/>
      </c>
      <c r="T181" s="14">
        <f>R181-S181</f>
        <v/>
      </c>
      <c r="U181" s="14">
        <f>L181*G181</f>
        <v/>
      </c>
    </row>
    <row r="182">
      <c r="A182" s="12" t="inlineStr">
        <is>
          <t>PO-2021-0180</t>
        </is>
      </c>
      <c r="B182" s="26" t="n">
        <v>44975</v>
      </c>
      <c r="C182" s="12" t="inlineStr">
        <is>
          <t>VS15</t>
        </is>
      </c>
      <c r="D182" s="12" t="inlineStr">
        <is>
          <t>Hex Bars</t>
        </is>
      </c>
      <c r="E182" s="12" t="inlineStr">
        <is>
          <t>N</t>
        </is>
      </c>
      <c r="F182" s="12" t="n">
        <v>28.38</v>
      </c>
      <c r="G182" s="17" t="n">
        <v>95103.61</v>
      </c>
      <c r="H182" s="26" t="n">
        <v>44983</v>
      </c>
      <c r="I182" s="26" t="n">
        <v>44983</v>
      </c>
      <c r="J182" s="12" t="n">
        <v>28.36</v>
      </c>
      <c r="K182" s="17" t="n">
        <v>2699040.45</v>
      </c>
      <c r="L182" s="12" t="n">
        <v>0</v>
      </c>
      <c r="M182" s="12" t="n">
        <v>15</v>
      </c>
      <c r="N182" s="27">
        <f>F182-J182</f>
        <v/>
      </c>
      <c r="O182" s="16">
        <f>I182-H182</f>
        <v/>
      </c>
      <c r="P182" s="14">
        <f>F182*G182</f>
        <v/>
      </c>
      <c r="Q182" s="14">
        <f>J182*G182</f>
        <v/>
      </c>
      <c r="R182" s="14">
        <f>K182-Q182</f>
        <v/>
      </c>
      <c r="S182" s="3">
        <f>P182*Assumptions!$B$3/100</f>
        <v/>
      </c>
      <c r="T182" s="14">
        <f>R182-S182</f>
        <v/>
      </c>
      <c r="U182" s="14">
        <f>L182*G182</f>
        <v/>
      </c>
    </row>
    <row r="183">
      <c r="A183" s="12" t="inlineStr">
        <is>
          <t>PO-2021-0181</t>
        </is>
      </c>
      <c r="B183" s="26" t="n">
        <v>44344</v>
      </c>
      <c r="C183" s="12" t="inlineStr">
        <is>
          <t>VS26</t>
        </is>
      </c>
      <c r="D183" s="12" t="inlineStr">
        <is>
          <t>GI Pipes</t>
        </is>
      </c>
      <c r="E183" s="12" t="inlineStr">
        <is>
          <t>N</t>
        </is>
      </c>
      <c r="F183" s="12" t="n">
        <v>22.37</v>
      </c>
      <c r="G183" s="17" t="n">
        <v>79481.57000000001</v>
      </c>
      <c r="H183" s="26" t="n">
        <v>44348</v>
      </c>
      <c r="I183" s="26" t="n">
        <v>44350</v>
      </c>
      <c r="J183" s="12" t="n">
        <v>22.18</v>
      </c>
      <c r="K183" s="17" t="n">
        <v>1778002.72</v>
      </c>
      <c r="L183" s="12" t="n">
        <v>0</v>
      </c>
      <c r="M183" s="12" t="n">
        <v>5</v>
      </c>
      <c r="N183" s="27">
        <f>F183-J183</f>
        <v/>
      </c>
      <c r="O183" s="16">
        <f>I183-H183</f>
        <v/>
      </c>
      <c r="P183" s="14">
        <f>F183*G183</f>
        <v/>
      </c>
      <c r="Q183" s="14">
        <f>J183*G183</f>
        <v/>
      </c>
      <c r="R183" s="14">
        <f>K183-Q183</f>
        <v/>
      </c>
      <c r="S183" s="3">
        <f>P183*Assumptions!$B$3/100</f>
        <v/>
      </c>
      <c r="T183" s="14">
        <f>R183-S183</f>
        <v/>
      </c>
      <c r="U183" s="14">
        <f>L183*G183</f>
        <v/>
      </c>
    </row>
    <row r="184">
      <c r="A184" s="12" t="inlineStr">
        <is>
          <t>PO-2021-0182</t>
        </is>
      </c>
      <c r="B184" s="26" t="n">
        <v>44838</v>
      </c>
      <c r="C184" s="12" t="inlineStr">
        <is>
          <t>VS28</t>
        </is>
      </c>
      <c r="D184" s="12" t="inlineStr">
        <is>
          <t>MS Rods</t>
        </is>
      </c>
      <c r="E184" s="12" t="inlineStr">
        <is>
          <t>N</t>
        </is>
      </c>
      <c r="F184" s="12" t="n">
        <v>35.77</v>
      </c>
      <c r="G184" s="17" t="n">
        <v>76327.05</v>
      </c>
      <c r="H184" s="26" t="n">
        <v>44842</v>
      </c>
      <c r="I184" s="26" t="n">
        <v>44842</v>
      </c>
      <c r="J184" s="12" t="n">
        <v>35.75</v>
      </c>
      <c r="K184" s="17" t="n">
        <v>2730218.58</v>
      </c>
      <c r="L184" s="12" t="n">
        <v>0</v>
      </c>
      <c r="M184" s="12" t="n">
        <v>0</v>
      </c>
      <c r="N184" s="27">
        <f>F184-J184</f>
        <v/>
      </c>
      <c r="O184" s="16">
        <f>I184-H184</f>
        <v/>
      </c>
      <c r="P184" s="14">
        <f>F184*G184</f>
        <v/>
      </c>
      <c r="Q184" s="14">
        <f>J184*G184</f>
        <v/>
      </c>
      <c r="R184" s="14">
        <f>K184-Q184</f>
        <v/>
      </c>
      <c r="S184" s="3">
        <f>P184*Assumptions!$B$3/100</f>
        <v/>
      </c>
      <c r="T184" s="14">
        <f>R184-S184</f>
        <v/>
      </c>
      <c r="U184" s="14">
        <f>L184*G184</f>
        <v/>
      </c>
    </row>
    <row r="185">
      <c r="A185" s="12" t="inlineStr">
        <is>
          <t>PO-2021-0183</t>
        </is>
      </c>
      <c r="B185" s="26" t="n">
        <v>45026</v>
      </c>
      <c r="C185" s="12" t="inlineStr">
        <is>
          <t>VS02</t>
        </is>
      </c>
      <c r="D185" s="12" t="inlineStr">
        <is>
          <t>MS Flats</t>
        </is>
      </c>
      <c r="E185" s="12" t="inlineStr">
        <is>
          <t>N</t>
        </is>
      </c>
      <c r="F185" s="12" t="n">
        <v>9.42</v>
      </c>
      <c r="G185" s="17" t="n">
        <v>116071.07</v>
      </c>
      <c r="H185" s="26" t="n">
        <v>45036</v>
      </c>
      <c r="I185" s="26" t="n">
        <v>45039</v>
      </c>
      <c r="J185" s="12" t="n">
        <v>9.34</v>
      </c>
      <c r="K185" s="17" t="n">
        <v>1093389.48</v>
      </c>
      <c r="L185" s="12" t="n">
        <v>0</v>
      </c>
      <c r="M185" s="12" t="n">
        <v>0</v>
      </c>
      <c r="N185" s="27">
        <f>F185-J185</f>
        <v/>
      </c>
      <c r="O185" s="16">
        <f>I185-H185</f>
        <v/>
      </c>
      <c r="P185" s="14">
        <f>F185*G185</f>
        <v/>
      </c>
      <c r="Q185" s="14">
        <f>J185*G185</f>
        <v/>
      </c>
      <c r="R185" s="14">
        <f>K185-Q185</f>
        <v/>
      </c>
      <c r="S185" s="3">
        <f>P185*Assumptions!$B$3/100</f>
        <v/>
      </c>
      <c r="T185" s="14">
        <f>R185-S185</f>
        <v/>
      </c>
      <c r="U185" s="14">
        <f>L185*G185</f>
        <v/>
      </c>
    </row>
    <row r="186">
      <c r="A186" s="12" t="inlineStr">
        <is>
          <t>PO-2021-0184</t>
        </is>
      </c>
      <c r="B186" s="26" t="n">
        <v>44938</v>
      </c>
      <c r="C186" s="12" t="inlineStr">
        <is>
          <t>VS06</t>
        </is>
      </c>
      <c r="D186" s="12" t="inlineStr">
        <is>
          <t>GI Wire</t>
        </is>
      </c>
      <c r="E186" s="12" t="inlineStr">
        <is>
          <t>N</t>
        </is>
      </c>
      <c r="F186" s="12" t="n">
        <v>42.38</v>
      </c>
      <c r="G186" s="17" t="n">
        <v>63248.74</v>
      </c>
      <c r="H186" s="26" t="n">
        <v>44950</v>
      </c>
      <c r="I186" s="26" t="n">
        <v>44953</v>
      </c>
      <c r="J186" s="12" t="n">
        <v>42.09</v>
      </c>
      <c r="K186" s="17" t="n">
        <v>2680481.6</v>
      </c>
      <c r="L186" s="12" t="n">
        <v>0</v>
      </c>
      <c r="M186" s="12" t="n">
        <v>0</v>
      </c>
      <c r="N186" s="27">
        <f>F186-J186</f>
        <v/>
      </c>
      <c r="O186" s="16">
        <f>I186-H186</f>
        <v/>
      </c>
      <c r="P186" s="14">
        <f>F186*G186</f>
        <v/>
      </c>
      <c r="Q186" s="14">
        <f>J186*G186</f>
        <v/>
      </c>
      <c r="R186" s="14">
        <f>K186-Q186</f>
        <v/>
      </c>
      <c r="S186" s="3">
        <f>P186*Assumptions!$B$3/100</f>
        <v/>
      </c>
      <c r="T186" s="14">
        <f>R186-S186</f>
        <v/>
      </c>
      <c r="U186" s="14">
        <f>L186*G186</f>
        <v/>
      </c>
    </row>
    <row r="187">
      <c r="A187" s="12" t="inlineStr">
        <is>
          <t>PO-2021-0185</t>
        </is>
      </c>
      <c r="B187" s="26" t="n">
        <v>45017</v>
      </c>
      <c r="C187" s="12" t="inlineStr">
        <is>
          <t>VS34</t>
        </is>
      </c>
      <c r="D187" s="12" t="inlineStr">
        <is>
          <t>SS Pipes</t>
        </is>
      </c>
      <c r="E187" s="12" t="inlineStr">
        <is>
          <t>N</t>
        </is>
      </c>
      <c r="F187" s="12" t="n">
        <v>20.39</v>
      </c>
      <c r="G187" s="17" t="n">
        <v>68270.59</v>
      </c>
      <c r="H187" s="26" t="n">
        <v>45025</v>
      </c>
      <c r="I187" s="26" t="n">
        <v>45027</v>
      </c>
      <c r="J187" s="12" t="n">
        <v>20.29</v>
      </c>
      <c r="K187" s="17" t="n">
        <v>1392037.33</v>
      </c>
      <c r="L187" s="12" t="n">
        <v>0</v>
      </c>
      <c r="M187" s="12" t="n">
        <v>2</v>
      </c>
      <c r="N187" s="27">
        <f>F187-J187</f>
        <v/>
      </c>
      <c r="O187" s="16">
        <f>I187-H187</f>
        <v/>
      </c>
      <c r="P187" s="14">
        <f>F187*G187</f>
        <v/>
      </c>
      <c r="Q187" s="14">
        <f>J187*G187</f>
        <v/>
      </c>
      <c r="R187" s="14">
        <f>K187-Q187</f>
        <v/>
      </c>
      <c r="S187" s="3">
        <f>P187*Assumptions!$B$3/100</f>
        <v/>
      </c>
      <c r="T187" s="14">
        <f>R187-S187</f>
        <v/>
      </c>
      <c r="U187" s="14">
        <f>L187*G187</f>
        <v/>
      </c>
    </row>
    <row r="188">
      <c r="A188" s="12" t="inlineStr">
        <is>
          <t>PO-2021-0186</t>
        </is>
      </c>
      <c r="B188" s="26" t="n">
        <v>44650</v>
      </c>
      <c r="C188" s="12" t="inlineStr">
        <is>
          <t>VS22</t>
        </is>
      </c>
      <c r="D188" s="12" t="inlineStr">
        <is>
          <t>MS Sheets</t>
        </is>
      </c>
      <c r="E188" s="12" t="inlineStr">
        <is>
          <t>N</t>
        </is>
      </c>
      <c r="F188" s="12" t="n">
        <v>4.74</v>
      </c>
      <c r="G188" s="17" t="n">
        <v>92491.85000000001</v>
      </c>
      <c r="H188" s="26" t="n">
        <v>44661</v>
      </c>
      <c r="I188" s="26" t="n">
        <v>44664</v>
      </c>
      <c r="J188" s="12" t="n">
        <v>4.72</v>
      </c>
      <c r="K188" s="17" t="n">
        <v>438411.37</v>
      </c>
      <c r="L188" s="12" t="n">
        <v>0</v>
      </c>
      <c r="M188" s="12" t="n">
        <v>15</v>
      </c>
      <c r="N188" s="27">
        <f>F188-J188</f>
        <v/>
      </c>
      <c r="O188" s="16">
        <f>I188-H188</f>
        <v/>
      </c>
      <c r="P188" s="14">
        <f>F188*G188</f>
        <v/>
      </c>
      <c r="Q188" s="14">
        <f>J188*G188</f>
        <v/>
      </c>
      <c r="R188" s="14">
        <f>K188-Q188</f>
        <v/>
      </c>
      <c r="S188" s="3">
        <f>P188*Assumptions!$B$3/100</f>
        <v/>
      </c>
      <c r="T188" s="14">
        <f>R188-S188</f>
        <v/>
      </c>
      <c r="U188" s="14">
        <f>L188*G188</f>
        <v/>
      </c>
    </row>
    <row r="189">
      <c r="A189" s="12" t="inlineStr">
        <is>
          <t>PO-2021-0187</t>
        </is>
      </c>
      <c r="B189" s="26" t="n">
        <v>45241</v>
      </c>
      <c r="C189" s="12" t="inlineStr">
        <is>
          <t>VS13</t>
        </is>
      </c>
      <c r="D189" s="12" t="inlineStr">
        <is>
          <t>Angles &amp; Channels</t>
        </is>
      </c>
      <c r="E189" s="12" t="inlineStr">
        <is>
          <t>N</t>
        </is>
      </c>
      <c r="F189" s="12" t="n">
        <v>18.2</v>
      </c>
      <c r="G189" s="17" t="n">
        <v>116866.75</v>
      </c>
      <c r="H189" s="26" t="n">
        <v>45254</v>
      </c>
      <c r="I189" s="26" t="n">
        <v>45254</v>
      </c>
      <c r="J189" s="12" t="n">
        <v>18.13</v>
      </c>
      <c r="K189" s="17" t="n">
        <v>2126974.85</v>
      </c>
      <c r="L189" s="12" t="n">
        <v>0</v>
      </c>
      <c r="M189" s="12" t="n">
        <v>0</v>
      </c>
      <c r="N189" s="27">
        <f>F189-J189</f>
        <v/>
      </c>
      <c r="O189" s="16">
        <f>I189-H189</f>
        <v/>
      </c>
      <c r="P189" s="14">
        <f>F189*G189</f>
        <v/>
      </c>
      <c r="Q189" s="14">
        <f>J189*G189</f>
        <v/>
      </c>
      <c r="R189" s="14">
        <f>K189-Q189</f>
        <v/>
      </c>
      <c r="S189" s="3">
        <f>P189*Assumptions!$B$3/100</f>
        <v/>
      </c>
      <c r="T189" s="14">
        <f>R189-S189</f>
        <v/>
      </c>
      <c r="U189" s="14">
        <f>L189*G189</f>
        <v/>
      </c>
    </row>
    <row r="190">
      <c r="A190" s="12" t="inlineStr">
        <is>
          <t>PO-2021-0188</t>
        </is>
      </c>
      <c r="B190" s="26" t="n">
        <v>44499</v>
      </c>
      <c r="C190" s="12" t="inlineStr">
        <is>
          <t>VS16</t>
        </is>
      </c>
      <c r="D190" s="12" t="inlineStr">
        <is>
          <t>ERW Pipes</t>
        </is>
      </c>
      <c r="E190" s="12" t="inlineStr">
        <is>
          <t>N</t>
        </is>
      </c>
      <c r="F190" s="12" t="n">
        <v>8.18</v>
      </c>
      <c r="G190" s="17" t="n">
        <v>59795.39</v>
      </c>
      <c r="H190" s="26" t="n">
        <v>44511</v>
      </c>
      <c r="I190" s="26" t="n">
        <v>44513</v>
      </c>
      <c r="J190" s="12" t="n">
        <v>8.109999999999999</v>
      </c>
      <c r="K190" s="17" t="n">
        <v>489126.29</v>
      </c>
      <c r="L190" s="12" t="n">
        <v>0</v>
      </c>
      <c r="M190" s="12" t="n">
        <v>0</v>
      </c>
      <c r="N190" s="27">
        <f>F190-J190</f>
        <v/>
      </c>
      <c r="O190" s="16">
        <f>I190-H190</f>
        <v/>
      </c>
      <c r="P190" s="14">
        <f>F190*G190</f>
        <v/>
      </c>
      <c r="Q190" s="14">
        <f>J190*G190</f>
        <v/>
      </c>
      <c r="R190" s="14">
        <f>K190-Q190</f>
        <v/>
      </c>
      <c r="S190" s="3">
        <f>P190*Assumptions!$B$3/100</f>
        <v/>
      </c>
      <c r="T190" s="14">
        <f>R190-S190</f>
        <v/>
      </c>
      <c r="U190" s="14">
        <f>L190*G190</f>
        <v/>
      </c>
    </row>
    <row r="191">
      <c r="A191" s="12" t="inlineStr">
        <is>
          <t>PO-2021-0189</t>
        </is>
      </c>
      <c r="B191" s="26" t="n">
        <v>44510</v>
      </c>
      <c r="C191" s="12" t="inlineStr">
        <is>
          <t>VS05</t>
        </is>
      </c>
      <c r="D191" s="12" t="inlineStr">
        <is>
          <t>MS Sheets</t>
        </is>
      </c>
      <c r="E191" s="12" t="inlineStr">
        <is>
          <t>N</t>
        </is>
      </c>
      <c r="F191" s="12" t="n">
        <v>47.61</v>
      </c>
      <c r="G191" s="17" t="n">
        <v>92096.16</v>
      </c>
      <c r="H191" s="26" t="n">
        <v>44520</v>
      </c>
      <c r="I191" s="26" t="n">
        <v>44521</v>
      </c>
      <c r="J191" s="12" t="n">
        <v>47.24</v>
      </c>
      <c r="K191" s="17" t="n">
        <v>4384698.18</v>
      </c>
      <c r="L191" s="12" t="n">
        <v>0</v>
      </c>
      <c r="M191" s="12" t="n">
        <v>9</v>
      </c>
      <c r="N191" s="27">
        <f>F191-J191</f>
        <v/>
      </c>
      <c r="O191" s="16">
        <f>I191-H191</f>
        <v/>
      </c>
      <c r="P191" s="14">
        <f>F191*G191</f>
        <v/>
      </c>
      <c r="Q191" s="14">
        <f>J191*G191</f>
        <v/>
      </c>
      <c r="R191" s="14">
        <f>K191-Q191</f>
        <v/>
      </c>
      <c r="S191" s="3">
        <f>P191*Assumptions!$B$3/100</f>
        <v/>
      </c>
      <c r="T191" s="14">
        <f>R191-S191</f>
        <v/>
      </c>
      <c r="U191" s="14">
        <f>L191*G191</f>
        <v/>
      </c>
    </row>
    <row r="192">
      <c r="A192" s="12" t="inlineStr">
        <is>
          <t>PO-2021-0190</t>
        </is>
      </c>
      <c r="B192" s="26" t="n">
        <v>45116</v>
      </c>
      <c r="C192" s="12" t="inlineStr">
        <is>
          <t>VS21</t>
        </is>
      </c>
      <c r="D192" s="12" t="inlineStr">
        <is>
          <t>MS Flats</t>
        </is>
      </c>
      <c r="E192" s="12" t="inlineStr">
        <is>
          <t>N</t>
        </is>
      </c>
      <c r="F192" s="12" t="n">
        <v>8.4</v>
      </c>
      <c r="G192" s="17" t="n">
        <v>50121.47</v>
      </c>
      <c r="H192" s="26" t="n">
        <v>45126</v>
      </c>
      <c r="I192" s="26" t="n">
        <v>45128</v>
      </c>
      <c r="J192" s="12" t="n">
        <v>8.35</v>
      </c>
      <c r="K192" s="17" t="n">
        <v>421020.35</v>
      </c>
      <c r="L192" s="12" t="n">
        <v>0</v>
      </c>
      <c r="M192" s="12" t="n">
        <v>23</v>
      </c>
      <c r="N192" s="27">
        <f>F192-J192</f>
        <v/>
      </c>
      <c r="O192" s="16">
        <f>I192-H192</f>
        <v/>
      </c>
      <c r="P192" s="14">
        <f>F192*G192</f>
        <v/>
      </c>
      <c r="Q192" s="14">
        <f>J192*G192</f>
        <v/>
      </c>
      <c r="R192" s="14">
        <f>K192-Q192</f>
        <v/>
      </c>
      <c r="S192" s="3">
        <f>P192*Assumptions!$B$3/100</f>
        <v/>
      </c>
      <c r="T192" s="14">
        <f>R192-S192</f>
        <v/>
      </c>
      <c r="U192" s="14">
        <f>L192*G192</f>
        <v/>
      </c>
    </row>
    <row r="193">
      <c r="A193" s="12" t="inlineStr">
        <is>
          <t>PO-2021-0191</t>
        </is>
      </c>
      <c r="B193" s="26" t="n">
        <v>44817</v>
      </c>
      <c r="C193" s="12" t="inlineStr">
        <is>
          <t>VS18</t>
        </is>
      </c>
      <c r="D193" s="12" t="inlineStr">
        <is>
          <t>GI Pipes</t>
        </is>
      </c>
      <c r="E193" s="12" t="inlineStr">
        <is>
          <t>N</t>
        </is>
      </c>
      <c r="F193" s="12" t="n">
        <v>18.25</v>
      </c>
      <c r="G193" s="17" t="n">
        <v>50564.3</v>
      </c>
      <c r="H193" s="26" t="n">
        <v>44827</v>
      </c>
      <c r="I193" s="26" t="n">
        <v>44828</v>
      </c>
      <c r="J193" s="12" t="n">
        <v>18.1</v>
      </c>
      <c r="K193" s="17" t="n">
        <v>922798.48</v>
      </c>
      <c r="L193" s="12" t="n">
        <v>0</v>
      </c>
      <c r="M193" s="12" t="n">
        <v>0</v>
      </c>
      <c r="N193" s="27">
        <f>F193-J193</f>
        <v/>
      </c>
      <c r="O193" s="16">
        <f>I193-H193</f>
        <v/>
      </c>
      <c r="P193" s="14">
        <f>F193*G193</f>
        <v/>
      </c>
      <c r="Q193" s="14">
        <f>J193*G193</f>
        <v/>
      </c>
      <c r="R193" s="14">
        <f>K193-Q193</f>
        <v/>
      </c>
      <c r="S193" s="3">
        <f>P193*Assumptions!$B$3/100</f>
        <v/>
      </c>
      <c r="T193" s="14">
        <f>R193-S193</f>
        <v/>
      </c>
      <c r="U193" s="14">
        <f>L193*G193</f>
        <v/>
      </c>
    </row>
    <row r="194">
      <c r="A194" s="12" t="inlineStr">
        <is>
          <t>PO-2021-0192</t>
        </is>
      </c>
      <c r="B194" s="26" t="n">
        <v>45122</v>
      </c>
      <c r="C194" s="12" t="inlineStr">
        <is>
          <t>VS03</t>
        </is>
      </c>
      <c r="D194" s="12" t="inlineStr">
        <is>
          <t>GI Pipes</t>
        </is>
      </c>
      <c r="E194" s="12" t="inlineStr">
        <is>
          <t>N</t>
        </is>
      </c>
      <c r="F194" s="12" t="n">
        <v>19.07</v>
      </c>
      <c r="G194" s="17" t="n">
        <v>69192.00999999999</v>
      </c>
      <c r="H194" s="26" t="n">
        <v>45135</v>
      </c>
      <c r="I194" s="26" t="n">
        <v>45143</v>
      </c>
      <c r="J194" s="12" t="n">
        <v>18.57</v>
      </c>
      <c r="K194" s="17" t="n">
        <v>1319491.63</v>
      </c>
      <c r="L194" s="12" t="n">
        <v>0.71</v>
      </c>
      <c r="M194" s="12" t="n">
        <v>0</v>
      </c>
      <c r="N194" s="27">
        <f>F194-J194</f>
        <v/>
      </c>
      <c r="O194" s="16">
        <f>I194-H194</f>
        <v/>
      </c>
      <c r="P194" s="14">
        <f>F194*G194</f>
        <v/>
      </c>
      <c r="Q194" s="14">
        <f>J194*G194</f>
        <v/>
      </c>
      <c r="R194" s="14">
        <f>K194-Q194</f>
        <v/>
      </c>
      <c r="S194" s="3">
        <f>P194*Assumptions!$B$3/100</f>
        <v/>
      </c>
      <c r="T194" s="14">
        <f>R194-S194</f>
        <v/>
      </c>
      <c r="U194" s="14">
        <f>L194*G194</f>
        <v/>
      </c>
    </row>
    <row r="195">
      <c r="A195" s="12" t="inlineStr">
        <is>
          <t>PO-2021-0193</t>
        </is>
      </c>
      <c r="B195" s="26" t="n">
        <v>44381</v>
      </c>
      <c r="C195" s="12" t="inlineStr">
        <is>
          <t>VS33</t>
        </is>
      </c>
      <c r="D195" s="12" t="inlineStr">
        <is>
          <t>MS Rods</t>
        </is>
      </c>
      <c r="E195" s="12" t="inlineStr">
        <is>
          <t>N</t>
        </is>
      </c>
      <c r="F195" s="12" t="n">
        <v>23.67</v>
      </c>
      <c r="G195" s="17" t="n">
        <v>86573.73</v>
      </c>
      <c r="H195" s="26" t="n">
        <v>44396</v>
      </c>
      <c r="I195" s="26" t="n">
        <v>44399</v>
      </c>
      <c r="J195" s="12" t="n">
        <v>23.6</v>
      </c>
      <c r="K195" s="17" t="n">
        <v>2049200.19</v>
      </c>
      <c r="L195" s="12" t="n">
        <v>0</v>
      </c>
      <c r="M195" s="12" t="n">
        <v>0</v>
      </c>
      <c r="N195" s="27">
        <f>F195-J195</f>
        <v/>
      </c>
      <c r="O195" s="16">
        <f>I195-H195</f>
        <v/>
      </c>
      <c r="P195" s="14">
        <f>F195*G195</f>
        <v/>
      </c>
      <c r="Q195" s="14">
        <f>J195*G195</f>
        <v/>
      </c>
      <c r="R195" s="14">
        <f>K195-Q195</f>
        <v/>
      </c>
      <c r="S195" s="3">
        <f>P195*Assumptions!$B$3/100</f>
        <v/>
      </c>
      <c r="T195" s="14">
        <f>R195-S195</f>
        <v/>
      </c>
      <c r="U195" s="14">
        <f>L195*G195</f>
        <v/>
      </c>
    </row>
    <row r="196">
      <c r="A196" s="12" t="inlineStr">
        <is>
          <t>PO-2021-0194</t>
        </is>
      </c>
      <c r="B196" s="26" t="n">
        <v>44281</v>
      </c>
      <c r="C196" s="12" t="inlineStr">
        <is>
          <t>VS29</t>
        </is>
      </c>
      <c r="D196" s="12" t="inlineStr">
        <is>
          <t>GI Sheets</t>
        </is>
      </c>
      <c r="E196" s="12" t="inlineStr">
        <is>
          <t>N</t>
        </is>
      </c>
      <c r="F196" s="12" t="n">
        <v>16.75</v>
      </c>
      <c r="G196" s="17" t="n">
        <v>80672.17999999999</v>
      </c>
      <c r="H196" s="26" t="n">
        <v>44286</v>
      </c>
      <c r="I196" s="26" t="n">
        <v>44289</v>
      </c>
      <c r="J196" s="12" t="n">
        <v>16.71</v>
      </c>
      <c r="K196" s="17" t="n">
        <v>1351259.01</v>
      </c>
      <c r="L196" s="12" t="n">
        <v>0</v>
      </c>
      <c r="M196" s="12" t="n">
        <v>0</v>
      </c>
      <c r="N196" s="27">
        <f>F196-J196</f>
        <v/>
      </c>
      <c r="O196" s="16">
        <f>I196-H196</f>
        <v/>
      </c>
      <c r="P196" s="14">
        <f>F196*G196</f>
        <v/>
      </c>
      <c r="Q196" s="14">
        <f>J196*G196</f>
        <v/>
      </c>
      <c r="R196" s="14">
        <f>K196-Q196</f>
        <v/>
      </c>
      <c r="S196" s="3">
        <f>P196*Assumptions!$B$3/100</f>
        <v/>
      </c>
      <c r="T196" s="14">
        <f>R196-S196</f>
        <v/>
      </c>
      <c r="U196" s="14">
        <f>L196*G196</f>
        <v/>
      </c>
    </row>
    <row r="197">
      <c r="A197" s="12" t="inlineStr">
        <is>
          <t>PO-2021-0195</t>
        </is>
      </c>
      <c r="B197" s="26" t="n">
        <v>44323</v>
      </c>
      <c r="C197" s="12" t="inlineStr">
        <is>
          <t>VS29</t>
        </is>
      </c>
      <c r="D197" s="12" t="inlineStr">
        <is>
          <t>ERW Pipes</t>
        </is>
      </c>
      <c r="E197" s="12" t="inlineStr">
        <is>
          <t>N</t>
        </is>
      </c>
      <c r="F197" s="12" t="n">
        <v>40.74</v>
      </c>
      <c r="G197" s="17" t="n">
        <v>107803.29</v>
      </c>
      <c r="H197" s="26" t="n">
        <v>44337</v>
      </c>
      <c r="I197" s="26" t="n">
        <v>44339</v>
      </c>
      <c r="J197" s="12" t="n">
        <v>40.43</v>
      </c>
      <c r="K197" s="17" t="n">
        <v>4391906.03</v>
      </c>
      <c r="L197" s="12" t="n">
        <v>0</v>
      </c>
      <c r="M197" s="12" t="n">
        <v>9</v>
      </c>
      <c r="N197" s="27">
        <f>F197-J197</f>
        <v/>
      </c>
      <c r="O197" s="16">
        <f>I197-H197</f>
        <v/>
      </c>
      <c r="P197" s="14">
        <f>F197*G197</f>
        <v/>
      </c>
      <c r="Q197" s="14">
        <f>J197*G197</f>
        <v/>
      </c>
      <c r="R197" s="14">
        <f>K197-Q197</f>
        <v/>
      </c>
      <c r="S197" s="3">
        <f>P197*Assumptions!$B$3/100</f>
        <v/>
      </c>
      <c r="T197" s="14">
        <f>R197-S197</f>
        <v/>
      </c>
      <c r="U197" s="14">
        <f>L197*G197</f>
        <v/>
      </c>
    </row>
    <row r="198">
      <c r="A198" s="12" t="inlineStr">
        <is>
          <t>PO-2021-0196</t>
        </is>
      </c>
      <c r="B198" s="26" t="n">
        <v>44369</v>
      </c>
      <c r="C198" s="12" t="inlineStr">
        <is>
          <t>VS33</t>
        </is>
      </c>
      <c r="D198" s="12" t="inlineStr">
        <is>
          <t>MS Sheets</t>
        </is>
      </c>
      <c r="E198" s="12" t="inlineStr">
        <is>
          <t>N</t>
        </is>
      </c>
      <c r="F198" s="12" t="n">
        <v>2.92</v>
      </c>
      <c r="G198" s="17" t="n">
        <v>98071.63</v>
      </c>
      <c r="H198" s="26" t="n">
        <v>44379</v>
      </c>
      <c r="I198" s="26" t="n">
        <v>44379</v>
      </c>
      <c r="J198" s="12" t="n">
        <v>2.91</v>
      </c>
      <c r="K198" s="17" t="n">
        <v>286369.16</v>
      </c>
      <c r="L198" s="12" t="n">
        <v>0</v>
      </c>
      <c r="M198" s="12" t="n">
        <v>9</v>
      </c>
      <c r="N198" s="27">
        <f>F198-J198</f>
        <v/>
      </c>
      <c r="O198" s="16">
        <f>I198-H198</f>
        <v/>
      </c>
      <c r="P198" s="14">
        <f>F198*G198</f>
        <v/>
      </c>
      <c r="Q198" s="14">
        <f>J198*G198</f>
        <v/>
      </c>
      <c r="R198" s="14">
        <f>K198-Q198</f>
        <v/>
      </c>
      <c r="S198" s="3">
        <f>P198*Assumptions!$B$3/100</f>
        <v/>
      </c>
      <c r="T198" s="14">
        <f>R198-S198</f>
        <v/>
      </c>
      <c r="U198" s="14">
        <f>L198*G198</f>
        <v/>
      </c>
    </row>
    <row r="199">
      <c r="A199" s="12" t="inlineStr">
        <is>
          <t>PO-2021-0197</t>
        </is>
      </c>
      <c r="B199" s="26" t="n">
        <v>45270</v>
      </c>
      <c r="C199" s="12" t="inlineStr">
        <is>
          <t>VS34</t>
        </is>
      </c>
      <c r="D199" s="12" t="inlineStr">
        <is>
          <t>MS Sheets</t>
        </is>
      </c>
      <c r="E199" s="12" t="inlineStr">
        <is>
          <t>N</t>
        </is>
      </c>
      <c r="F199" s="12" t="n">
        <v>18.83</v>
      </c>
      <c r="G199" s="17" t="n">
        <v>113845.26</v>
      </c>
      <c r="H199" s="26" t="n">
        <v>45279</v>
      </c>
      <c r="I199" s="26" t="n">
        <v>45282</v>
      </c>
      <c r="J199" s="12" t="n">
        <v>18.79</v>
      </c>
      <c r="K199" s="17" t="n">
        <v>2143706.25</v>
      </c>
      <c r="L199" s="12" t="n">
        <v>0</v>
      </c>
      <c r="M199" s="12" t="n">
        <v>0</v>
      </c>
      <c r="N199" s="27">
        <f>F199-J199</f>
        <v/>
      </c>
      <c r="O199" s="16">
        <f>I199-H199</f>
        <v/>
      </c>
      <c r="P199" s="14">
        <f>F199*G199</f>
        <v/>
      </c>
      <c r="Q199" s="14">
        <f>J199*G199</f>
        <v/>
      </c>
      <c r="R199" s="14">
        <f>K199-Q199</f>
        <v/>
      </c>
      <c r="S199" s="3">
        <f>P199*Assumptions!$B$3/100</f>
        <v/>
      </c>
      <c r="T199" s="14">
        <f>R199-S199</f>
        <v/>
      </c>
      <c r="U199" s="14">
        <f>L199*G199</f>
        <v/>
      </c>
    </row>
    <row r="200">
      <c r="A200" s="12" t="inlineStr">
        <is>
          <t>PO-2021-0198</t>
        </is>
      </c>
      <c r="B200" s="26" t="n">
        <v>45034</v>
      </c>
      <c r="C200" s="12" t="inlineStr">
        <is>
          <t>VS22</t>
        </is>
      </c>
      <c r="D200" s="12" t="inlineStr">
        <is>
          <t>GI Pipes</t>
        </is>
      </c>
      <c r="E200" s="12" t="inlineStr">
        <is>
          <t>N</t>
        </is>
      </c>
      <c r="F200" s="12" t="n">
        <v>39.67</v>
      </c>
      <c r="G200" s="17" t="n">
        <v>93547.89999999999</v>
      </c>
      <c r="H200" s="26" t="n">
        <v>45038</v>
      </c>
      <c r="I200" s="26" t="n">
        <v>45040</v>
      </c>
      <c r="J200" s="12" t="n">
        <v>39.46</v>
      </c>
      <c r="K200" s="17" t="n">
        <v>3711045.19</v>
      </c>
      <c r="L200" s="12" t="n">
        <v>0</v>
      </c>
      <c r="M200" s="12" t="n">
        <v>7</v>
      </c>
      <c r="N200" s="27">
        <f>F200-J200</f>
        <v/>
      </c>
      <c r="O200" s="16">
        <f>I200-H200</f>
        <v/>
      </c>
      <c r="P200" s="14">
        <f>F200*G200</f>
        <v/>
      </c>
      <c r="Q200" s="14">
        <f>J200*G200</f>
        <v/>
      </c>
      <c r="R200" s="14">
        <f>K200-Q200</f>
        <v/>
      </c>
      <c r="S200" s="3">
        <f>P200*Assumptions!$B$3/100</f>
        <v/>
      </c>
      <c r="T200" s="14">
        <f>R200-S200</f>
        <v/>
      </c>
      <c r="U200" s="14">
        <f>L200*G200</f>
        <v/>
      </c>
    </row>
    <row r="201">
      <c r="A201" s="12" t="inlineStr">
        <is>
          <t>PO-2021-0199</t>
        </is>
      </c>
      <c r="B201" s="26" t="n">
        <v>44872</v>
      </c>
      <c r="C201" s="12" t="inlineStr">
        <is>
          <t>VS07</t>
        </is>
      </c>
      <c r="D201" s="12" t="inlineStr">
        <is>
          <t>Spring Steel</t>
        </is>
      </c>
      <c r="E201" s="12" t="inlineStr">
        <is>
          <t>N</t>
        </is>
      </c>
      <c r="F201" s="12" t="n">
        <v>34.24</v>
      </c>
      <c r="G201" s="17" t="n">
        <v>66311.02</v>
      </c>
      <c r="H201" s="26" t="n">
        <v>44886</v>
      </c>
      <c r="I201" s="26" t="n">
        <v>44889</v>
      </c>
      <c r="J201" s="12" t="n">
        <v>34.01</v>
      </c>
      <c r="K201" s="17" t="n">
        <v>2270489.32</v>
      </c>
      <c r="L201" s="12" t="n">
        <v>0</v>
      </c>
      <c r="M201" s="12" t="n">
        <v>0</v>
      </c>
      <c r="N201" s="27">
        <f>F201-J201</f>
        <v/>
      </c>
      <c r="O201" s="16">
        <f>I201-H201</f>
        <v/>
      </c>
      <c r="P201" s="14">
        <f>F201*G201</f>
        <v/>
      </c>
      <c r="Q201" s="14">
        <f>J201*G201</f>
        <v/>
      </c>
      <c r="R201" s="14">
        <f>K201-Q201</f>
        <v/>
      </c>
      <c r="S201" s="3">
        <f>P201*Assumptions!$B$3/100</f>
        <v/>
      </c>
      <c r="T201" s="14">
        <f>R201-S201</f>
        <v/>
      </c>
      <c r="U201" s="14">
        <f>L201*G201</f>
        <v/>
      </c>
    </row>
    <row r="202">
      <c r="A202" s="12" t="inlineStr">
        <is>
          <t>PO-2021-0200</t>
        </is>
      </c>
      <c r="B202" s="26" t="n">
        <v>44504</v>
      </c>
      <c r="C202" s="12" t="inlineStr">
        <is>
          <t>VS22</t>
        </is>
      </c>
      <c r="D202" s="12" t="inlineStr">
        <is>
          <t>SS Pipes</t>
        </is>
      </c>
      <c r="E202" s="12" t="inlineStr">
        <is>
          <t>N</t>
        </is>
      </c>
      <c r="F202" s="12" t="n">
        <v>29.55</v>
      </c>
      <c r="G202" s="17" t="n">
        <v>55607.13</v>
      </c>
      <c r="H202" s="26" t="n">
        <v>44512</v>
      </c>
      <c r="I202" s="26" t="n">
        <v>44513</v>
      </c>
      <c r="J202" s="12" t="n">
        <v>29.3</v>
      </c>
      <c r="K202" s="17" t="n">
        <v>1643190.69</v>
      </c>
      <c r="L202" s="12" t="n">
        <v>0</v>
      </c>
      <c r="M202" s="12" t="n">
        <v>0</v>
      </c>
      <c r="N202" s="27">
        <f>F202-J202</f>
        <v/>
      </c>
      <c r="O202" s="16">
        <f>I202-H202</f>
        <v/>
      </c>
      <c r="P202" s="14">
        <f>F202*G202</f>
        <v/>
      </c>
      <c r="Q202" s="14">
        <f>J202*G202</f>
        <v/>
      </c>
      <c r="R202" s="14">
        <f>K202-Q202</f>
        <v/>
      </c>
      <c r="S202" s="3">
        <f>P202*Assumptions!$B$3/100</f>
        <v/>
      </c>
      <c r="T202" s="14">
        <f>R202-S202</f>
        <v/>
      </c>
      <c r="U202" s="14">
        <f>L202*G202</f>
        <v/>
      </c>
    </row>
    <row r="203">
      <c r="A203" s="12" t="inlineStr">
        <is>
          <t>PO-2021-0201</t>
        </is>
      </c>
      <c r="B203" s="26" t="n">
        <v>44832</v>
      </c>
      <c r="C203" s="12" t="inlineStr">
        <is>
          <t>VS26</t>
        </is>
      </c>
      <c r="D203" s="12" t="inlineStr">
        <is>
          <t>Square/Rect Tubes</t>
        </is>
      </c>
      <c r="E203" s="12" t="inlineStr">
        <is>
          <t>N</t>
        </is>
      </c>
      <c r="F203" s="12" t="n">
        <v>30.16</v>
      </c>
      <c r="G203" s="17" t="n">
        <v>115350.16</v>
      </c>
      <c r="H203" s="26" t="n">
        <v>44839</v>
      </c>
      <c r="I203" s="26" t="n">
        <v>44839</v>
      </c>
      <c r="J203" s="12" t="n">
        <v>30.03</v>
      </c>
      <c r="K203" s="17" t="n">
        <v>3478960.83</v>
      </c>
      <c r="L203" s="12" t="n">
        <v>0</v>
      </c>
      <c r="M203" s="12" t="n">
        <v>0</v>
      </c>
      <c r="N203" s="27">
        <f>F203-J203</f>
        <v/>
      </c>
      <c r="O203" s="16">
        <f>I203-H203</f>
        <v/>
      </c>
      <c r="P203" s="14">
        <f>F203*G203</f>
        <v/>
      </c>
      <c r="Q203" s="14">
        <f>J203*G203</f>
        <v/>
      </c>
      <c r="R203" s="14">
        <f>K203-Q203</f>
        <v/>
      </c>
      <c r="S203" s="3">
        <f>P203*Assumptions!$B$3/100</f>
        <v/>
      </c>
      <c r="T203" s="14">
        <f>R203-S203</f>
        <v/>
      </c>
      <c r="U203" s="14">
        <f>L203*G203</f>
        <v/>
      </c>
    </row>
    <row r="204">
      <c r="A204" s="12" t="inlineStr">
        <is>
          <t>PO-2021-0202</t>
        </is>
      </c>
      <c r="B204" s="26" t="n">
        <v>44968</v>
      </c>
      <c r="C204" s="12" t="inlineStr">
        <is>
          <t>VS22</t>
        </is>
      </c>
      <c r="D204" s="12" t="inlineStr">
        <is>
          <t>Square/Rect Tubes</t>
        </is>
      </c>
      <c r="E204" s="12" t="inlineStr">
        <is>
          <t>N</t>
        </is>
      </c>
      <c r="F204" s="12" t="n">
        <v>33.84</v>
      </c>
      <c r="G204" s="17" t="n">
        <v>107171.92</v>
      </c>
      <c r="H204" s="26" t="n">
        <v>44982</v>
      </c>
      <c r="I204" s="26" t="n">
        <v>44982</v>
      </c>
      <c r="J204" s="12" t="n">
        <v>33.65</v>
      </c>
      <c r="K204" s="17" t="n">
        <v>3626697.77</v>
      </c>
      <c r="L204" s="12" t="n">
        <v>0</v>
      </c>
      <c r="M204" s="12" t="n">
        <v>11</v>
      </c>
      <c r="N204" s="27">
        <f>F204-J204</f>
        <v/>
      </c>
      <c r="O204" s="16">
        <f>I204-H204</f>
        <v/>
      </c>
      <c r="P204" s="14">
        <f>F204*G204</f>
        <v/>
      </c>
      <c r="Q204" s="14">
        <f>J204*G204</f>
        <v/>
      </c>
      <c r="R204" s="14">
        <f>K204-Q204</f>
        <v/>
      </c>
      <c r="S204" s="3">
        <f>P204*Assumptions!$B$3/100</f>
        <v/>
      </c>
      <c r="T204" s="14">
        <f>R204-S204</f>
        <v/>
      </c>
      <c r="U204" s="14">
        <f>L204*G204</f>
        <v/>
      </c>
    </row>
    <row r="205">
      <c r="A205" s="12" t="inlineStr">
        <is>
          <t>PO-2021-0203</t>
        </is>
      </c>
      <c r="B205" s="26" t="n">
        <v>45275</v>
      </c>
      <c r="C205" s="12" t="inlineStr">
        <is>
          <t>VS06</t>
        </is>
      </c>
      <c r="D205" s="12" t="inlineStr">
        <is>
          <t>GI Wire</t>
        </is>
      </c>
      <c r="E205" s="12" t="inlineStr">
        <is>
          <t>N</t>
        </is>
      </c>
      <c r="F205" s="12" t="n">
        <v>25.92</v>
      </c>
      <c r="G205" s="17" t="n">
        <v>46367.29</v>
      </c>
      <c r="H205" s="26" t="n">
        <v>45282</v>
      </c>
      <c r="I205" s="26" t="n">
        <v>45285</v>
      </c>
      <c r="J205" s="12" t="n">
        <v>25.68</v>
      </c>
      <c r="K205" s="17" t="n">
        <v>1201840.16</v>
      </c>
      <c r="L205" s="12" t="n">
        <v>0</v>
      </c>
      <c r="M205" s="12" t="n">
        <v>0</v>
      </c>
      <c r="N205" s="27">
        <f>F205-J205</f>
        <v/>
      </c>
      <c r="O205" s="16">
        <f>I205-H205</f>
        <v/>
      </c>
      <c r="P205" s="14">
        <f>F205*G205</f>
        <v/>
      </c>
      <c r="Q205" s="14">
        <f>J205*G205</f>
        <v/>
      </c>
      <c r="R205" s="14">
        <f>K205-Q205</f>
        <v/>
      </c>
      <c r="S205" s="3">
        <f>P205*Assumptions!$B$3/100</f>
        <v/>
      </c>
      <c r="T205" s="14">
        <f>R205-S205</f>
        <v/>
      </c>
      <c r="U205" s="14">
        <f>L205*G205</f>
        <v/>
      </c>
    </row>
    <row r="206">
      <c r="A206" s="12" t="inlineStr">
        <is>
          <t>PO-2021-0204</t>
        </is>
      </c>
      <c r="B206" s="26" t="n">
        <v>44566</v>
      </c>
      <c r="C206" s="12" t="inlineStr">
        <is>
          <t>VS14</t>
        </is>
      </c>
      <c r="D206" s="12" t="inlineStr">
        <is>
          <t>MS Flats</t>
        </is>
      </c>
      <c r="E206" s="12" t="inlineStr">
        <is>
          <t>N</t>
        </is>
      </c>
      <c r="F206" s="12" t="n">
        <v>47.44</v>
      </c>
      <c r="G206" s="17" t="n">
        <v>81470.32000000001</v>
      </c>
      <c r="H206" s="26" t="n">
        <v>44572</v>
      </c>
      <c r="I206" s="26" t="n">
        <v>44574</v>
      </c>
      <c r="J206" s="12" t="n">
        <v>47.11</v>
      </c>
      <c r="K206" s="17" t="n">
        <v>3864951.98</v>
      </c>
      <c r="L206" s="12" t="n">
        <v>0</v>
      </c>
      <c r="M206" s="12" t="n">
        <v>3</v>
      </c>
      <c r="N206" s="27">
        <f>F206-J206</f>
        <v/>
      </c>
      <c r="O206" s="16">
        <f>I206-H206</f>
        <v/>
      </c>
      <c r="P206" s="14">
        <f>F206*G206</f>
        <v/>
      </c>
      <c r="Q206" s="14">
        <f>J206*G206</f>
        <v/>
      </c>
      <c r="R206" s="14">
        <f>K206-Q206</f>
        <v/>
      </c>
      <c r="S206" s="3">
        <f>P206*Assumptions!$B$3/100</f>
        <v/>
      </c>
      <c r="T206" s="14">
        <f>R206-S206</f>
        <v/>
      </c>
      <c r="U206" s="14">
        <f>L206*G206</f>
        <v/>
      </c>
    </row>
    <row r="207">
      <c r="A207" s="12" t="inlineStr">
        <is>
          <t>PO-2021-0205</t>
        </is>
      </c>
      <c r="B207" s="26" t="n">
        <v>44478</v>
      </c>
      <c r="C207" s="12" t="inlineStr">
        <is>
          <t>VS10</t>
        </is>
      </c>
      <c r="D207" s="12" t="inlineStr">
        <is>
          <t>SS Pipes</t>
        </is>
      </c>
      <c r="E207" s="12" t="inlineStr">
        <is>
          <t>N</t>
        </is>
      </c>
      <c r="F207" s="12" t="n">
        <v>15.49</v>
      </c>
      <c r="G207" s="17" t="n">
        <v>104109.01</v>
      </c>
      <c r="H207" s="26" t="n">
        <v>44489</v>
      </c>
      <c r="I207" s="26" t="n">
        <v>44492</v>
      </c>
      <c r="J207" s="12" t="n">
        <v>15.37</v>
      </c>
      <c r="K207" s="17" t="n">
        <v>1612648.56</v>
      </c>
      <c r="L207" s="12" t="n">
        <v>0</v>
      </c>
      <c r="M207" s="12" t="n">
        <v>0</v>
      </c>
      <c r="N207" s="27">
        <f>F207-J207</f>
        <v/>
      </c>
      <c r="O207" s="16">
        <f>I207-H207</f>
        <v/>
      </c>
      <c r="P207" s="14">
        <f>F207*G207</f>
        <v/>
      </c>
      <c r="Q207" s="14">
        <f>J207*G207</f>
        <v/>
      </c>
      <c r="R207" s="14">
        <f>K207-Q207</f>
        <v/>
      </c>
      <c r="S207" s="3">
        <f>P207*Assumptions!$B$3/100</f>
        <v/>
      </c>
      <c r="T207" s="14">
        <f>R207-S207</f>
        <v/>
      </c>
      <c r="U207" s="14">
        <f>L207*G207</f>
        <v/>
      </c>
    </row>
    <row r="208">
      <c r="A208" s="12" t="inlineStr">
        <is>
          <t>PO-2021-0206</t>
        </is>
      </c>
      <c r="B208" s="26" t="n">
        <v>45275</v>
      </c>
      <c r="C208" s="12" t="inlineStr">
        <is>
          <t>VS03</t>
        </is>
      </c>
      <c r="D208" s="12" t="inlineStr">
        <is>
          <t>MS Flats</t>
        </is>
      </c>
      <c r="E208" s="12" t="inlineStr">
        <is>
          <t>N</t>
        </is>
      </c>
      <c r="F208" s="12" t="n">
        <v>43.94</v>
      </c>
      <c r="G208" s="17" t="n">
        <v>95006.45</v>
      </c>
      <c r="H208" s="26" t="n">
        <v>45287</v>
      </c>
      <c r="I208" s="26" t="n">
        <v>45291</v>
      </c>
      <c r="J208" s="12" t="n">
        <v>42.09</v>
      </c>
      <c r="K208" s="17" t="n">
        <v>4174583.41</v>
      </c>
      <c r="L208" s="12" t="n">
        <v>1.97</v>
      </c>
      <c r="M208" s="12" t="n">
        <v>19</v>
      </c>
      <c r="N208" s="27">
        <f>F208-J208</f>
        <v/>
      </c>
      <c r="O208" s="16">
        <f>I208-H208</f>
        <v/>
      </c>
      <c r="P208" s="14">
        <f>F208*G208</f>
        <v/>
      </c>
      <c r="Q208" s="14">
        <f>J208*G208</f>
        <v/>
      </c>
      <c r="R208" s="14">
        <f>K208-Q208</f>
        <v/>
      </c>
      <c r="S208" s="3">
        <f>P208*Assumptions!$B$3/100</f>
        <v/>
      </c>
      <c r="T208" s="14">
        <f>R208-S208</f>
        <v/>
      </c>
      <c r="U208" s="14">
        <f>L208*G208</f>
        <v/>
      </c>
    </row>
    <row r="209">
      <c r="A209" s="12" t="inlineStr">
        <is>
          <t>PO-2021-0207</t>
        </is>
      </c>
      <c r="B209" s="26" t="n">
        <v>44968</v>
      </c>
      <c r="C209" s="12" t="inlineStr">
        <is>
          <t>VS10</t>
        </is>
      </c>
      <c r="D209" s="12" t="inlineStr">
        <is>
          <t>MS Sheets</t>
        </is>
      </c>
      <c r="E209" s="12" t="inlineStr">
        <is>
          <t>Y</t>
        </is>
      </c>
      <c r="F209" s="12" t="n">
        <v>9.859999999999999</v>
      </c>
      <c r="G209" s="17" t="n">
        <v>96963.42</v>
      </c>
      <c r="H209" s="26" t="n">
        <v>44980</v>
      </c>
      <c r="I209" s="26" t="n">
        <v>44982</v>
      </c>
      <c r="J209" s="12" t="n">
        <v>9.779999999999999</v>
      </c>
      <c r="K209" s="17" t="n">
        <v>956059.3199999999</v>
      </c>
      <c r="L209" s="12" t="n">
        <v>0</v>
      </c>
      <c r="M209" s="12" t="n">
        <v>0</v>
      </c>
      <c r="N209" s="27">
        <f>F209-J209</f>
        <v/>
      </c>
      <c r="O209" s="16">
        <f>I209-H209</f>
        <v/>
      </c>
      <c r="P209" s="14">
        <f>F209*G209</f>
        <v/>
      </c>
      <c r="Q209" s="14">
        <f>J209*G209</f>
        <v/>
      </c>
      <c r="R209" s="14">
        <f>K209-Q209</f>
        <v/>
      </c>
      <c r="S209" s="3">
        <f>P209*Assumptions!$B$3/100</f>
        <v/>
      </c>
      <c r="T209" s="14">
        <f>R209-S209</f>
        <v/>
      </c>
      <c r="U209" s="14">
        <f>L209*G209</f>
        <v/>
      </c>
    </row>
    <row r="210">
      <c r="A210" s="12" t="inlineStr">
        <is>
          <t>PO-2021-0208</t>
        </is>
      </c>
      <c r="B210" s="26" t="n">
        <v>44536</v>
      </c>
      <c r="C210" s="12" t="inlineStr">
        <is>
          <t>VS29</t>
        </is>
      </c>
      <c r="D210" s="12" t="inlineStr">
        <is>
          <t>GI Pipes</t>
        </is>
      </c>
      <c r="E210" s="12" t="inlineStr">
        <is>
          <t>N</t>
        </is>
      </c>
      <c r="F210" s="12" t="n">
        <v>21.13</v>
      </c>
      <c r="G210" s="17" t="n">
        <v>95727.22</v>
      </c>
      <c r="H210" s="26" t="n">
        <v>44542</v>
      </c>
      <c r="I210" s="26" t="n">
        <v>44542</v>
      </c>
      <c r="J210" s="12" t="n">
        <v>21</v>
      </c>
      <c r="K210" s="17" t="n">
        <v>2022716.16</v>
      </c>
      <c r="L210" s="12" t="n">
        <v>0</v>
      </c>
      <c r="M210" s="12" t="n">
        <v>0</v>
      </c>
      <c r="N210" s="27">
        <f>F210-J210</f>
        <v/>
      </c>
      <c r="O210" s="16">
        <f>I210-H210</f>
        <v/>
      </c>
      <c r="P210" s="14">
        <f>F210*G210</f>
        <v/>
      </c>
      <c r="Q210" s="14">
        <f>J210*G210</f>
        <v/>
      </c>
      <c r="R210" s="14">
        <f>K210-Q210</f>
        <v/>
      </c>
      <c r="S210" s="3">
        <f>P210*Assumptions!$B$3/100</f>
        <v/>
      </c>
      <c r="T210" s="14">
        <f>R210-S210</f>
        <v/>
      </c>
      <c r="U210" s="14">
        <f>L210*G210</f>
        <v/>
      </c>
    </row>
    <row r="211">
      <c r="A211" s="12" t="inlineStr">
        <is>
          <t>PO-2021-0209</t>
        </is>
      </c>
      <c r="B211" s="26" t="n">
        <v>45106</v>
      </c>
      <c r="C211" s="12" t="inlineStr">
        <is>
          <t>VS19</t>
        </is>
      </c>
      <c r="D211" s="12" t="inlineStr">
        <is>
          <t>Fasteners &amp; Fittings</t>
        </is>
      </c>
      <c r="E211" s="12" t="inlineStr">
        <is>
          <t>N</t>
        </is>
      </c>
      <c r="F211" s="12" t="n">
        <v>12.47</v>
      </c>
      <c r="G211" s="17" t="n">
        <v>65455.14</v>
      </c>
      <c r="H211" s="26" t="n">
        <v>45121</v>
      </c>
      <c r="I211" s="26" t="n">
        <v>45128</v>
      </c>
      <c r="J211" s="12" t="n">
        <v>12.11</v>
      </c>
      <c r="K211" s="17" t="n">
        <v>816225.6</v>
      </c>
      <c r="L211" s="12" t="n">
        <v>0.04</v>
      </c>
      <c r="M211" s="12" t="n">
        <v>15</v>
      </c>
      <c r="N211" s="27">
        <f>F211-J211</f>
        <v/>
      </c>
      <c r="O211" s="16">
        <f>I211-H211</f>
        <v/>
      </c>
      <c r="P211" s="14">
        <f>F211*G211</f>
        <v/>
      </c>
      <c r="Q211" s="14">
        <f>J211*G211</f>
        <v/>
      </c>
      <c r="R211" s="14">
        <f>K211-Q211</f>
        <v/>
      </c>
      <c r="S211" s="3">
        <f>P211*Assumptions!$B$3/100</f>
        <v/>
      </c>
      <c r="T211" s="14">
        <f>R211-S211</f>
        <v/>
      </c>
      <c r="U211" s="14">
        <f>L211*G211</f>
        <v/>
      </c>
    </row>
    <row r="212">
      <c r="A212" s="12" t="inlineStr">
        <is>
          <t>PO-2021-0210</t>
        </is>
      </c>
      <c r="B212" s="26" t="n">
        <v>45157</v>
      </c>
      <c r="C212" s="12" t="inlineStr">
        <is>
          <t>VS13</t>
        </is>
      </c>
      <c r="D212" s="12" t="inlineStr">
        <is>
          <t>Angles &amp; Channels</t>
        </is>
      </c>
      <c r="E212" s="12" t="inlineStr">
        <is>
          <t>N</t>
        </is>
      </c>
      <c r="F212" s="12" t="n">
        <v>34.24</v>
      </c>
      <c r="G212" s="17" t="n">
        <v>87781.45</v>
      </c>
      <c r="H212" s="26" t="n">
        <v>45167</v>
      </c>
      <c r="I212" s="26" t="n">
        <v>45170</v>
      </c>
      <c r="J212" s="12" t="n">
        <v>34.22</v>
      </c>
      <c r="K212" s="17" t="n">
        <v>3005636.85</v>
      </c>
      <c r="L212" s="12" t="n">
        <v>0</v>
      </c>
      <c r="M212" s="12" t="n">
        <v>10</v>
      </c>
      <c r="N212" s="27">
        <f>F212-J212</f>
        <v/>
      </c>
      <c r="O212" s="16">
        <f>I212-H212</f>
        <v/>
      </c>
      <c r="P212" s="14">
        <f>F212*G212</f>
        <v/>
      </c>
      <c r="Q212" s="14">
        <f>J212*G212</f>
        <v/>
      </c>
      <c r="R212" s="14">
        <f>K212-Q212</f>
        <v/>
      </c>
      <c r="S212" s="3">
        <f>P212*Assumptions!$B$3/100</f>
        <v/>
      </c>
      <c r="T212" s="14">
        <f>R212-S212</f>
        <v/>
      </c>
      <c r="U212" s="14">
        <f>L212*G212</f>
        <v/>
      </c>
    </row>
    <row r="213">
      <c r="A213" s="12" t="inlineStr">
        <is>
          <t>PO-2021-0211</t>
        </is>
      </c>
      <c r="B213" s="26" t="n">
        <v>45142</v>
      </c>
      <c r="C213" s="12" t="inlineStr">
        <is>
          <t>VS19</t>
        </is>
      </c>
      <c r="D213" s="12" t="inlineStr">
        <is>
          <t>MS Rods</t>
        </is>
      </c>
      <c r="E213" s="12" t="inlineStr">
        <is>
          <t>N</t>
        </is>
      </c>
      <c r="F213" s="12" t="n">
        <v>25.64</v>
      </c>
      <c r="G213" s="17" t="n">
        <v>79455.53999999999</v>
      </c>
      <c r="H213" s="26" t="n">
        <v>45147</v>
      </c>
      <c r="I213" s="26" t="n">
        <v>45153</v>
      </c>
      <c r="J213" s="12" t="n">
        <v>24.51</v>
      </c>
      <c r="K213" s="17" t="n">
        <v>2037240.05</v>
      </c>
      <c r="L213" s="12" t="n">
        <v>1.17</v>
      </c>
      <c r="M213" s="12" t="n">
        <v>25</v>
      </c>
      <c r="N213" s="27">
        <f>F213-J213</f>
        <v/>
      </c>
      <c r="O213" s="16">
        <f>I213-H213</f>
        <v/>
      </c>
      <c r="P213" s="14">
        <f>F213*G213</f>
        <v/>
      </c>
      <c r="Q213" s="14">
        <f>J213*G213</f>
        <v/>
      </c>
      <c r="R213" s="14">
        <f>K213-Q213</f>
        <v/>
      </c>
      <c r="S213" s="3">
        <f>P213*Assumptions!$B$3/100</f>
        <v/>
      </c>
      <c r="T213" s="14">
        <f>R213-S213</f>
        <v/>
      </c>
      <c r="U213" s="14">
        <f>L213*G213</f>
        <v/>
      </c>
    </row>
    <row r="214">
      <c r="A214" s="12" t="inlineStr">
        <is>
          <t>PO-2021-0212</t>
        </is>
      </c>
      <c r="B214" s="26" t="n">
        <v>44605</v>
      </c>
      <c r="C214" s="12" t="inlineStr">
        <is>
          <t>VS09</t>
        </is>
      </c>
      <c r="D214" s="12" t="inlineStr">
        <is>
          <t>CR Sheets</t>
        </is>
      </c>
      <c r="E214" s="12" t="inlineStr">
        <is>
          <t>N</t>
        </is>
      </c>
      <c r="F214" s="12" t="n">
        <v>3.56</v>
      </c>
      <c r="G214" s="17" t="n">
        <v>81044.3</v>
      </c>
      <c r="H214" s="26" t="n">
        <v>44613</v>
      </c>
      <c r="I214" s="26" t="n">
        <v>44616</v>
      </c>
      <c r="J214" s="12" t="n">
        <v>3.55</v>
      </c>
      <c r="K214" s="17" t="n">
        <v>288517.71</v>
      </c>
      <c r="L214" s="12" t="n">
        <v>0</v>
      </c>
      <c r="M214" s="12" t="n">
        <v>13</v>
      </c>
      <c r="N214" s="27">
        <f>F214-J214</f>
        <v/>
      </c>
      <c r="O214" s="16">
        <f>I214-H214</f>
        <v/>
      </c>
      <c r="P214" s="14">
        <f>F214*G214</f>
        <v/>
      </c>
      <c r="Q214" s="14">
        <f>J214*G214</f>
        <v/>
      </c>
      <c r="R214" s="14">
        <f>K214-Q214</f>
        <v/>
      </c>
      <c r="S214" s="3">
        <f>P214*Assumptions!$B$3/100</f>
        <v/>
      </c>
      <c r="T214" s="14">
        <f>R214-S214</f>
        <v/>
      </c>
      <c r="U214" s="14">
        <f>L214*G214</f>
        <v/>
      </c>
    </row>
    <row r="215">
      <c r="A215" s="12" t="inlineStr">
        <is>
          <t>PO-2021-0213</t>
        </is>
      </c>
      <c r="B215" s="26" t="n">
        <v>44407</v>
      </c>
      <c r="C215" s="12" t="inlineStr">
        <is>
          <t>VS34</t>
        </is>
      </c>
      <c r="D215" s="12" t="inlineStr">
        <is>
          <t>ERW Pipes</t>
        </is>
      </c>
      <c r="E215" s="12" t="inlineStr">
        <is>
          <t>N</t>
        </is>
      </c>
      <c r="F215" s="12" t="n">
        <v>14.97</v>
      </c>
      <c r="G215" s="17" t="n">
        <v>102233.76</v>
      </c>
      <c r="H215" s="26" t="n">
        <v>44414</v>
      </c>
      <c r="I215" s="26" t="n">
        <v>44416</v>
      </c>
      <c r="J215" s="12" t="n">
        <v>14.95</v>
      </c>
      <c r="K215" s="17" t="n">
        <v>1530439.39</v>
      </c>
      <c r="L215" s="12" t="n">
        <v>0</v>
      </c>
      <c r="M215" s="12" t="n">
        <v>0</v>
      </c>
      <c r="N215" s="27">
        <f>F215-J215</f>
        <v/>
      </c>
      <c r="O215" s="16">
        <f>I215-H215</f>
        <v/>
      </c>
      <c r="P215" s="14">
        <f>F215*G215</f>
        <v/>
      </c>
      <c r="Q215" s="14">
        <f>J215*G215</f>
        <v/>
      </c>
      <c r="R215" s="14">
        <f>K215-Q215</f>
        <v/>
      </c>
      <c r="S215" s="3">
        <f>P215*Assumptions!$B$3/100</f>
        <v/>
      </c>
      <c r="T215" s="14">
        <f>R215-S215</f>
        <v/>
      </c>
      <c r="U215" s="14">
        <f>L215*G215</f>
        <v/>
      </c>
    </row>
    <row r="216">
      <c r="A216" s="12" t="inlineStr">
        <is>
          <t>PO-2021-0214</t>
        </is>
      </c>
      <c r="B216" s="26" t="n">
        <v>45117</v>
      </c>
      <c r="C216" s="12" t="inlineStr">
        <is>
          <t>VS33</t>
        </is>
      </c>
      <c r="D216" s="12" t="inlineStr">
        <is>
          <t>Square/Rect Tubes</t>
        </is>
      </c>
      <c r="E216" s="12" t="inlineStr">
        <is>
          <t>N</t>
        </is>
      </c>
      <c r="F216" s="12" t="n">
        <v>41.72</v>
      </c>
      <c r="G216" s="17" t="n">
        <v>51878.52</v>
      </c>
      <c r="H216" s="26" t="n">
        <v>45123</v>
      </c>
      <c r="I216" s="26" t="n">
        <v>45124</v>
      </c>
      <c r="J216" s="12" t="n">
        <v>41.63</v>
      </c>
      <c r="K216" s="17" t="n">
        <v>2164371.85</v>
      </c>
      <c r="L216" s="12" t="n">
        <v>0</v>
      </c>
      <c r="M216" s="12" t="n">
        <v>0</v>
      </c>
      <c r="N216" s="27">
        <f>F216-J216</f>
        <v/>
      </c>
      <c r="O216" s="16">
        <f>I216-H216</f>
        <v/>
      </c>
      <c r="P216" s="14">
        <f>F216*G216</f>
        <v/>
      </c>
      <c r="Q216" s="14">
        <f>J216*G216</f>
        <v/>
      </c>
      <c r="R216" s="14">
        <f>K216-Q216</f>
        <v/>
      </c>
      <c r="S216" s="3">
        <f>P216*Assumptions!$B$3/100</f>
        <v/>
      </c>
      <c r="T216" s="14">
        <f>R216-S216</f>
        <v/>
      </c>
      <c r="U216" s="14">
        <f>L216*G216</f>
        <v/>
      </c>
    </row>
    <row r="217">
      <c r="A217" s="12" t="inlineStr">
        <is>
          <t>PO-2021-0215</t>
        </is>
      </c>
      <c r="B217" s="26" t="n">
        <v>45120</v>
      </c>
      <c r="C217" s="12" t="inlineStr">
        <is>
          <t>VS23</t>
        </is>
      </c>
      <c r="D217" s="12" t="inlineStr">
        <is>
          <t>MS Pipes</t>
        </is>
      </c>
      <c r="E217" s="12" t="inlineStr">
        <is>
          <t>N</t>
        </is>
      </c>
      <c r="F217" s="12" t="n">
        <v>21.33</v>
      </c>
      <c r="G217" s="17" t="n">
        <v>74734.05</v>
      </c>
      <c r="H217" s="26" t="n">
        <v>45128</v>
      </c>
      <c r="I217" s="26" t="n">
        <v>45130</v>
      </c>
      <c r="J217" s="12" t="n">
        <v>21.15</v>
      </c>
      <c r="K217" s="17" t="n">
        <v>1594077.29</v>
      </c>
      <c r="L217" s="12" t="n">
        <v>0</v>
      </c>
      <c r="M217" s="12" t="n">
        <v>18</v>
      </c>
      <c r="N217" s="27">
        <f>F217-J217</f>
        <v/>
      </c>
      <c r="O217" s="16">
        <f>I217-H217</f>
        <v/>
      </c>
      <c r="P217" s="14">
        <f>F217*G217</f>
        <v/>
      </c>
      <c r="Q217" s="14">
        <f>J217*G217</f>
        <v/>
      </c>
      <c r="R217" s="14">
        <f>K217-Q217</f>
        <v/>
      </c>
      <c r="S217" s="3">
        <f>P217*Assumptions!$B$3/100</f>
        <v/>
      </c>
      <c r="T217" s="14">
        <f>R217-S217</f>
        <v/>
      </c>
      <c r="U217" s="14">
        <f>L217*G217</f>
        <v/>
      </c>
    </row>
    <row r="218">
      <c r="A218" s="12" t="inlineStr">
        <is>
          <t>PO-2021-0216</t>
        </is>
      </c>
      <c r="B218" s="26" t="n">
        <v>44679</v>
      </c>
      <c r="C218" s="12" t="inlineStr">
        <is>
          <t>VS25</t>
        </is>
      </c>
      <c r="D218" s="12" t="inlineStr">
        <is>
          <t>SS Pipes</t>
        </is>
      </c>
      <c r="E218" s="12" t="inlineStr">
        <is>
          <t>N</t>
        </is>
      </c>
      <c r="F218" s="12" t="n">
        <v>19.37</v>
      </c>
      <c r="G218" s="17" t="n">
        <v>47114.07</v>
      </c>
      <c r="H218" s="26" t="n">
        <v>44683</v>
      </c>
      <c r="I218" s="26" t="n">
        <v>44684</v>
      </c>
      <c r="J218" s="12" t="n">
        <v>19.24</v>
      </c>
      <c r="K218" s="17" t="n">
        <v>912599.54</v>
      </c>
      <c r="L218" s="12" t="n">
        <v>0</v>
      </c>
      <c r="M218" s="12" t="n">
        <v>0</v>
      </c>
      <c r="N218" s="27">
        <f>F218-J218</f>
        <v/>
      </c>
      <c r="O218" s="16">
        <f>I218-H218</f>
        <v/>
      </c>
      <c r="P218" s="14">
        <f>F218*G218</f>
        <v/>
      </c>
      <c r="Q218" s="14">
        <f>J218*G218</f>
        <v/>
      </c>
      <c r="R218" s="14">
        <f>K218-Q218</f>
        <v/>
      </c>
      <c r="S218" s="3">
        <f>P218*Assumptions!$B$3/100</f>
        <v/>
      </c>
      <c r="T218" s="14">
        <f>R218-S218</f>
        <v/>
      </c>
      <c r="U218" s="14">
        <f>L218*G218</f>
        <v/>
      </c>
    </row>
    <row r="219">
      <c r="A219" s="12" t="inlineStr">
        <is>
          <t>PO-2021-0217</t>
        </is>
      </c>
      <c r="B219" s="26" t="n">
        <v>44883</v>
      </c>
      <c r="C219" s="12" t="inlineStr">
        <is>
          <t>VS10</t>
        </is>
      </c>
      <c r="D219" s="12" t="inlineStr">
        <is>
          <t>Square/Rect Tubes</t>
        </is>
      </c>
      <c r="E219" s="12" t="inlineStr">
        <is>
          <t>N</t>
        </is>
      </c>
      <c r="F219" s="12" t="n">
        <v>2.88</v>
      </c>
      <c r="G219" s="17" t="n">
        <v>113804.71</v>
      </c>
      <c r="H219" s="26" t="n">
        <v>44893</v>
      </c>
      <c r="I219" s="26" t="n">
        <v>44894</v>
      </c>
      <c r="J219" s="12" t="n">
        <v>2.88</v>
      </c>
      <c r="K219" s="17" t="n">
        <v>327757.56</v>
      </c>
      <c r="L219" s="12" t="n">
        <v>0</v>
      </c>
      <c r="M219" s="12" t="n">
        <v>16</v>
      </c>
      <c r="N219" s="27">
        <f>F219-J219</f>
        <v/>
      </c>
      <c r="O219" s="16">
        <f>I219-H219</f>
        <v/>
      </c>
      <c r="P219" s="14">
        <f>F219*G219</f>
        <v/>
      </c>
      <c r="Q219" s="14">
        <f>J219*G219</f>
        <v/>
      </c>
      <c r="R219" s="14">
        <f>K219-Q219</f>
        <v/>
      </c>
      <c r="S219" s="3">
        <f>P219*Assumptions!$B$3/100</f>
        <v/>
      </c>
      <c r="T219" s="14">
        <f>R219-S219</f>
        <v/>
      </c>
      <c r="U219" s="14">
        <f>L219*G219</f>
        <v/>
      </c>
    </row>
    <row r="220">
      <c r="A220" s="12" t="inlineStr">
        <is>
          <t>PO-2021-0218</t>
        </is>
      </c>
      <c r="B220" s="26" t="n">
        <v>44481</v>
      </c>
      <c r="C220" s="12" t="inlineStr">
        <is>
          <t>VS31</t>
        </is>
      </c>
      <c r="D220" s="12" t="inlineStr">
        <is>
          <t>Fasteners &amp; Fittings</t>
        </is>
      </c>
      <c r="E220" s="12" t="inlineStr">
        <is>
          <t>N</t>
        </is>
      </c>
      <c r="F220" s="12" t="n">
        <v>31.15</v>
      </c>
      <c r="G220" s="17" t="n">
        <v>112939.31</v>
      </c>
      <c r="H220" s="26" t="n">
        <v>44484</v>
      </c>
      <c r="I220" s="26" t="n">
        <v>44484</v>
      </c>
      <c r="J220" s="12" t="n">
        <v>31.12</v>
      </c>
      <c r="K220" s="17" t="n">
        <v>3518059.51</v>
      </c>
      <c r="L220" s="12" t="n">
        <v>0</v>
      </c>
      <c r="M220" s="12" t="n">
        <v>9</v>
      </c>
      <c r="N220" s="27">
        <f>F220-J220</f>
        <v/>
      </c>
      <c r="O220" s="16">
        <f>I220-H220</f>
        <v/>
      </c>
      <c r="P220" s="14">
        <f>F220*G220</f>
        <v/>
      </c>
      <c r="Q220" s="14">
        <f>J220*G220</f>
        <v/>
      </c>
      <c r="R220" s="14">
        <f>K220-Q220</f>
        <v/>
      </c>
      <c r="S220" s="3">
        <f>P220*Assumptions!$B$3/100</f>
        <v/>
      </c>
      <c r="T220" s="14">
        <f>R220-S220</f>
        <v/>
      </c>
      <c r="U220" s="14">
        <f>L220*G220</f>
        <v/>
      </c>
    </row>
    <row r="221">
      <c r="A221" s="12" t="inlineStr">
        <is>
          <t>PO-2021-0219</t>
        </is>
      </c>
      <c r="B221" s="26" t="n">
        <v>44721</v>
      </c>
      <c r="C221" s="12" t="inlineStr">
        <is>
          <t>VS14</t>
        </is>
      </c>
      <c r="D221" s="12" t="inlineStr">
        <is>
          <t>Square/Rect Tubes</t>
        </is>
      </c>
      <c r="E221" s="12" t="inlineStr">
        <is>
          <t>N</t>
        </is>
      </c>
      <c r="F221" s="12" t="n">
        <v>27.89</v>
      </c>
      <c r="G221" s="17" t="n">
        <v>99542.61</v>
      </c>
      <c r="H221" s="26" t="n">
        <v>44732</v>
      </c>
      <c r="I221" s="26" t="n">
        <v>44732</v>
      </c>
      <c r="J221" s="12" t="n">
        <v>27.87</v>
      </c>
      <c r="K221" s="17" t="n">
        <v>2776243.39</v>
      </c>
      <c r="L221" s="12" t="n">
        <v>0</v>
      </c>
      <c r="M221" s="12" t="n">
        <v>25</v>
      </c>
      <c r="N221" s="27">
        <f>F221-J221</f>
        <v/>
      </c>
      <c r="O221" s="16">
        <f>I221-H221</f>
        <v/>
      </c>
      <c r="P221" s="14">
        <f>F221*G221</f>
        <v/>
      </c>
      <c r="Q221" s="14">
        <f>J221*G221</f>
        <v/>
      </c>
      <c r="R221" s="14">
        <f>K221-Q221</f>
        <v/>
      </c>
      <c r="S221" s="3">
        <f>P221*Assumptions!$B$3/100</f>
        <v/>
      </c>
      <c r="T221" s="14">
        <f>R221-S221</f>
        <v/>
      </c>
      <c r="U221" s="14">
        <f>L221*G221</f>
        <v/>
      </c>
    </row>
    <row r="222">
      <c r="A222" s="12" t="inlineStr">
        <is>
          <t>PO-2021-0220</t>
        </is>
      </c>
      <c r="B222" s="26" t="n">
        <v>45063</v>
      </c>
      <c r="C222" s="12" t="inlineStr">
        <is>
          <t>VS08</t>
        </is>
      </c>
      <c r="D222" s="12" t="inlineStr">
        <is>
          <t>SS Sheets</t>
        </is>
      </c>
      <c r="E222" s="12" t="inlineStr">
        <is>
          <t>Y</t>
        </is>
      </c>
      <c r="F222" s="12" t="n">
        <v>12.64</v>
      </c>
      <c r="G222" s="17" t="n">
        <v>54138.63</v>
      </c>
      <c r="H222" s="26" t="n">
        <v>45069</v>
      </c>
      <c r="I222" s="26" t="n">
        <v>45071</v>
      </c>
      <c r="J222" s="12" t="n">
        <v>12.56</v>
      </c>
      <c r="K222" s="17" t="n">
        <v>684312.28</v>
      </c>
      <c r="L222" s="12" t="n">
        <v>0</v>
      </c>
      <c r="M222" s="12" t="n">
        <v>11</v>
      </c>
      <c r="N222" s="27">
        <f>F222-J222</f>
        <v/>
      </c>
      <c r="O222" s="16">
        <f>I222-H222</f>
        <v/>
      </c>
      <c r="P222" s="14">
        <f>F222*G222</f>
        <v/>
      </c>
      <c r="Q222" s="14">
        <f>J222*G222</f>
        <v/>
      </c>
      <c r="R222" s="14">
        <f>K222-Q222</f>
        <v/>
      </c>
      <c r="S222" s="3">
        <f>P222*Assumptions!$B$3/100</f>
        <v/>
      </c>
      <c r="T222" s="14">
        <f>R222-S222</f>
        <v/>
      </c>
      <c r="U222" s="14">
        <f>L222*G222</f>
        <v/>
      </c>
    </row>
    <row r="223">
      <c r="A223" s="12" t="inlineStr">
        <is>
          <t>PO-2021-0221</t>
        </is>
      </c>
      <c r="B223" s="26" t="n">
        <v>45056</v>
      </c>
      <c r="C223" s="12" t="inlineStr">
        <is>
          <t>VS30</t>
        </is>
      </c>
      <c r="D223" s="12" t="inlineStr">
        <is>
          <t>SS Pipes</t>
        </is>
      </c>
      <c r="E223" s="12" t="inlineStr">
        <is>
          <t>N</t>
        </is>
      </c>
      <c r="F223" s="12" t="n">
        <v>6.43</v>
      </c>
      <c r="G223" s="17" t="n">
        <v>112886.02</v>
      </c>
      <c r="H223" s="26" t="n">
        <v>45068</v>
      </c>
      <c r="I223" s="26" t="n">
        <v>45069</v>
      </c>
      <c r="J223" s="12" t="n">
        <v>6.37</v>
      </c>
      <c r="K223" s="17" t="n">
        <v>725857.11</v>
      </c>
      <c r="L223" s="12" t="n">
        <v>0</v>
      </c>
      <c r="M223" s="12" t="n">
        <v>12</v>
      </c>
      <c r="N223" s="27">
        <f>F223-J223</f>
        <v/>
      </c>
      <c r="O223" s="16">
        <f>I223-H223</f>
        <v/>
      </c>
      <c r="P223" s="14">
        <f>F223*G223</f>
        <v/>
      </c>
      <c r="Q223" s="14">
        <f>J223*G223</f>
        <v/>
      </c>
      <c r="R223" s="14">
        <f>K223-Q223</f>
        <v/>
      </c>
      <c r="S223" s="3">
        <f>P223*Assumptions!$B$3/100</f>
        <v/>
      </c>
      <c r="T223" s="14">
        <f>R223-S223</f>
        <v/>
      </c>
      <c r="U223" s="14">
        <f>L223*G223</f>
        <v/>
      </c>
    </row>
    <row r="224">
      <c r="A224" s="12" t="inlineStr">
        <is>
          <t>PO-2021-0222</t>
        </is>
      </c>
      <c r="B224" s="26" t="n">
        <v>44230</v>
      </c>
      <c r="C224" s="12" t="inlineStr">
        <is>
          <t>VS33</t>
        </is>
      </c>
      <c r="D224" s="12" t="inlineStr">
        <is>
          <t>HR Coils</t>
        </is>
      </c>
      <c r="E224" s="12" t="inlineStr">
        <is>
          <t>Y</t>
        </is>
      </c>
      <c r="F224" s="12" t="n">
        <v>36.21</v>
      </c>
      <c r="G224" s="17" t="n">
        <v>66845.39999999999</v>
      </c>
      <c r="H224" s="26" t="n">
        <v>44233</v>
      </c>
      <c r="I224" s="26" t="n">
        <v>44236</v>
      </c>
      <c r="J224" s="12" t="n">
        <v>35.96</v>
      </c>
      <c r="K224" s="17" t="n">
        <v>2420471.93</v>
      </c>
      <c r="L224" s="12" t="n">
        <v>0</v>
      </c>
      <c r="M224" s="12" t="n">
        <v>0</v>
      </c>
      <c r="N224" s="27">
        <f>F224-J224</f>
        <v/>
      </c>
      <c r="O224" s="16">
        <f>I224-H224</f>
        <v/>
      </c>
      <c r="P224" s="14">
        <f>F224*G224</f>
        <v/>
      </c>
      <c r="Q224" s="14">
        <f>J224*G224</f>
        <v/>
      </c>
      <c r="R224" s="14">
        <f>K224-Q224</f>
        <v/>
      </c>
      <c r="S224" s="3">
        <f>P224*Assumptions!$B$3/100</f>
        <v/>
      </c>
      <c r="T224" s="14">
        <f>R224-S224</f>
        <v/>
      </c>
      <c r="U224" s="14">
        <f>L224*G224</f>
        <v/>
      </c>
    </row>
    <row r="225">
      <c r="A225" s="12" t="inlineStr">
        <is>
          <t>PO-2021-0223</t>
        </is>
      </c>
      <c r="B225" s="26" t="n">
        <v>44919</v>
      </c>
      <c r="C225" s="12" t="inlineStr">
        <is>
          <t>VS16</t>
        </is>
      </c>
      <c r="D225" s="12" t="inlineStr">
        <is>
          <t>GI Wire</t>
        </is>
      </c>
      <c r="E225" s="12" t="inlineStr">
        <is>
          <t>N</t>
        </is>
      </c>
      <c r="F225" s="12" t="n">
        <v>10.18</v>
      </c>
      <c r="G225" s="17" t="n">
        <v>95116.12</v>
      </c>
      <c r="H225" s="26" t="n">
        <v>44930</v>
      </c>
      <c r="I225" s="26" t="n">
        <v>44931</v>
      </c>
      <c r="J225" s="12" t="n">
        <v>10.11</v>
      </c>
      <c r="K225" s="17" t="n">
        <v>968282.1</v>
      </c>
      <c r="L225" s="12" t="n">
        <v>0</v>
      </c>
      <c r="M225" s="12" t="n">
        <v>0</v>
      </c>
      <c r="N225" s="27">
        <f>F225-J225</f>
        <v/>
      </c>
      <c r="O225" s="16">
        <f>I225-H225</f>
        <v/>
      </c>
      <c r="P225" s="14">
        <f>F225*G225</f>
        <v/>
      </c>
      <c r="Q225" s="14">
        <f>J225*G225</f>
        <v/>
      </c>
      <c r="R225" s="14">
        <f>K225-Q225</f>
        <v/>
      </c>
      <c r="S225" s="3">
        <f>P225*Assumptions!$B$3/100</f>
        <v/>
      </c>
      <c r="T225" s="14">
        <f>R225-S225</f>
        <v/>
      </c>
      <c r="U225" s="14">
        <f>L225*G225</f>
        <v/>
      </c>
    </row>
    <row r="226">
      <c r="A226" s="12" t="inlineStr">
        <is>
          <t>PO-2021-0224</t>
        </is>
      </c>
      <c r="B226" s="26" t="n">
        <v>44935</v>
      </c>
      <c r="C226" s="12" t="inlineStr">
        <is>
          <t>VS05</t>
        </is>
      </c>
      <c r="D226" s="12" t="inlineStr">
        <is>
          <t>Hex Bars</t>
        </is>
      </c>
      <c r="E226" s="12" t="inlineStr">
        <is>
          <t>N</t>
        </is>
      </c>
      <c r="F226" s="12" t="n">
        <v>27.66</v>
      </c>
      <c r="G226" s="17" t="n">
        <v>103980.93</v>
      </c>
      <c r="H226" s="26" t="n">
        <v>44946</v>
      </c>
      <c r="I226" s="26" t="n">
        <v>44948</v>
      </c>
      <c r="J226" s="12" t="n">
        <v>27.39</v>
      </c>
      <c r="K226" s="17" t="n">
        <v>2876112.52</v>
      </c>
      <c r="L226" s="12" t="n">
        <v>0</v>
      </c>
      <c r="M226" s="12" t="n">
        <v>15</v>
      </c>
      <c r="N226" s="27">
        <f>F226-J226</f>
        <v/>
      </c>
      <c r="O226" s="16">
        <f>I226-H226</f>
        <v/>
      </c>
      <c r="P226" s="14">
        <f>F226*G226</f>
        <v/>
      </c>
      <c r="Q226" s="14">
        <f>J226*G226</f>
        <v/>
      </c>
      <c r="R226" s="14">
        <f>K226-Q226</f>
        <v/>
      </c>
      <c r="S226" s="3">
        <f>P226*Assumptions!$B$3/100</f>
        <v/>
      </c>
      <c r="T226" s="14">
        <f>R226-S226</f>
        <v/>
      </c>
      <c r="U226" s="14">
        <f>L226*G226</f>
        <v/>
      </c>
    </row>
    <row r="227">
      <c r="A227" s="12" t="inlineStr">
        <is>
          <t>PO-2021-0225</t>
        </is>
      </c>
      <c r="B227" s="26" t="n">
        <v>44238</v>
      </c>
      <c r="C227" s="12" t="inlineStr">
        <is>
          <t>VS25</t>
        </is>
      </c>
      <c r="D227" s="12" t="inlineStr">
        <is>
          <t>Structural Steel</t>
        </is>
      </c>
      <c r="E227" s="12" t="inlineStr">
        <is>
          <t>N</t>
        </is>
      </c>
      <c r="F227" s="12" t="n">
        <v>3.13</v>
      </c>
      <c r="G227" s="17" t="n">
        <v>74016.10000000001</v>
      </c>
      <c r="H227" s="26" t="n">
        <v>44246</v>
      </c>
      <c r="I227" s="26" t="n">
        <v>44248</v>
      </c>
      <c r="J227" s="12" t="n">
        <v>3.1</v>
      </c>
      <c r="K227" s="17" t="n">
        <v>231670.39</v>
      </c>
      <c r="L227" s="12" t="n">
        <v>0</v>
      </c>
      <c r="M227" s="12" t="n">
        <v>18</v>
      </c>
      <c r="N227" s="27">
        <f>F227-J227</f>
        <v/>
      </c>
      <c r="O227" s="16">
        <f>I227-H227</f>
        <v/>
      </c>
      <c r="P227" s="14">
        <f>F227*G227</f>
        <v/>
      </c>
      <c r="Q227" s="14">
        <f>J227*G227</f>
        <v/>
      </c>
      <c r="R227" s="14">
        <f>K227-Q227</f>
        <v/>
      </c>
      <c r="S227" s="3">
        <f>P227*Assumptions!$B$3/100</f>
        <v/>
      </c>
      <c r="T227" s="14">
        <f>R227-S227</f>
        <v/>
      </c>
      <c r="U227" s="14">
        <f>L227*G227</f>
        <v/>
      </c>
    </row>
    <row r="228">
      <c r="A228" s="12" t="inlineStr">
        <is>
          <t>PO-2021-0226</t>
        </is>
      </c>
      <c r="B228" s="26" t="n">
        <v>44716</v>
      </c>
      <c r="C228" s="12" t="inlineStr">
        <is>
          <t>VS02</t>
        </is>
      </c>
      <c r="D228" s="12" t="inlineStr">
        <is>
          <t>Angles &amp; Channels</t>
        </is>
      </c>
      <c r="E228" s="12" t="inlineStr">
        <is>
          <t>N</t>
        </is>
      </c>
      <c r="F228" s="12" t="n">
        <v>39.64</v>
      </c>
      <c r="G228" s="17" t="n">
        <v>70860.19</v>
      </c>
      <c r="H228" s="26" t="n">
        <v>44730</v>
      </c>
      <c r="I228" s="26" t="n">
        <v>44731</v>
      </c>
      <c r="J228" s="12" t="n">
        <v>39.27</v>
      </c>
      <c r="K228" s="17" t="n">
        <v>2808897.93</v>
      </c>
      <c r="L228" s="12" t="n">
        <v>0</v>
      </c>
      <c r="M228" s="12" t="n">
        <v>0</v>
      </c>
      <c r="N228" s="27">
        <f>F228-J228</f>
        <v/>
      </c>
      <c r="O228" s="16">
        <f>I228-H228</f>
        <v/>
      </c>
      <c r="P228" s="14">
        <f>F228*G228</f>
        <v/>
      </c>
      <c r="Q228" s="14">
        <f>J228*G228</f>
        <v/>
      </c>
      <c r="R228" s="14">
        <f>K228-Q228</f>
        <v/>
      </c>
      <c r="S228" s="3">
        <f>P228*Assumptions!$B$3/100</f>
        <v/>
      </c>
      <c r="T228" s="14">
        <f>R228-S228</f>
        <v/>
      </c>
      <c r="U228" s="14">
        <f>L228*G228</f>
        <v/>
      </c>
    </row>
    <row r="229">
      <c r="A229" s="12" t="inlineStr">
        <is>
          <t>PO-2021-0227</t>
        </is>
      </c>
      <c r="B229" s="26" t="n">
        <v>44409</v>
      </c>
      <c r="C229" s="12" t="inlineStr">
        <is>
          <t>VS22</t>
        </is>
      </c>
      <c r="D229" s="12" t="inlineStr">
        <is>
          <t>Square/Rect Tubes</t>
        </is>
      </c>
      <c r="E229" s="12" t="inlineStr">
        <is>
          <t>N</t>
        </is>
      </c>
      <c r="F229" s="12" t="n">
        <v>3.17</v>
      </c>
      <c r="G229" s="17" t="n">
        <v>85951.03</v>
      </c>
      <c r="H229" s="26" t="n">
        <v>44422</v>
      </c>
      <c r="I229" s="26" t="n">
        <v>44424</v>
      </c>
      <c r="J229" s="12" t="n">
        <v>3.14</v>
      </c>
      <c r="K229" s="17" t="n">
        <v>272464.77</v>
      </c>
      <c r="L229" s="12" t="n">
        <v>0</v>
      </c>
      <c r="M229" s="12" t="n">
        <v>21</v>
      </c>
      <c r="N229" s="27">
        <f>F229-J229</f>
        <v/>
      </c>
      <c r="O229" s="16">
        <f>I229-H229</f>
        <v/>
      </c>
      <c r="P229" s="14">
        <f>F229*G229</f>
        <v/>
      </c>
      <c r="Q229" s="14">
        <f>J229*G229</f>
        <v/>
      </c>
      <c r="R229" s="14">
        <f>K229-Q229</f>
        <v/>
      </c>
      <c r="S229" s="3">
        <f>P229*Assumptions!$B$3/100</f>
        <v/>
      </c>
      <c r="T229" s="14">
        <f>R229-S229</f>
        <v/>
      </c>
      <c r="U229" s="14">
        <f>L229*G229</f>
        <v/>
      </c>
    </row>
    <row r="230">
      <c r="A230" s="12" t="inlineStr">
        <is>
          <t>PO-2021-0228</t>
        </is>
      </c>
      <c r="B230" s="26" t="n">
        <v>44555</v>
      </c>
      <c r="C230" s="12" t="inlineStr">
        <is>
          <t>VS30</t>
        </is>
      </c>
      <c r="D230" s="12" t="inlineStr">
        <is>
          <t>Structural Steel</t>
        </is>
      </c>
      <c r="E230" s="12" t="inlineStr">
        <is>
          <t>Y</t>
        </is>
      </c>
      <c r="F230" s="12" t="n">
        <v>31.96</v>
      </c>
      <c r="G230" s="17" t="n">
        <v>105862.33</v>
      </c>
      <c r="H230" s="26" t="n">
        <v>44559</v>
      </c>
      <c r="I230" s="26" t="n">
        <v>44562</v>
      </c>
      <c r="J230" s="12" t="n">
        <v>31.66</v>
      </c>
      <c r="K230" s="17" t="n">
        <v>3383360.07</v>
      </c>
      <c r="L230" s="12" t="n">
        <v>0</v>
      </c>
      <c r="M230" s="12" t="n">
        <v>0</v>
      </c>
      <c r="N230" s="27">
        <f>F230-J230</f>
        <v/>
      </c>
      <c r="O230" s="16">
        <f>I230-H230</f>
        <v/>
      </c>
      <c r="P230" s="14">
        <f>F230*G230</f>
        <v/>
      </c>
      <c r="Q230" s="14">
        <f>J230*G230</f>
        <v/>
      </c>
      <c r="R230" s="14">
        <f>K230-Q230</f>
        <v/>
      </c>
      <c r="S230" s="3">
        <f>P230*Assumptions!$B$3/100</f>
        <v/>
      </c>
      <c r="T230" s="14">
        <f>R230-S230</f>
        <v/>
      </c>
      <c r="U230" s="14">
        <f>L230*G230</f>
        <v/>
      </c>
    </row>
    <row r="231">
      <c r="A231" s="12" t="inlineStr">
        <is>
          <t>PO-2021-0229</t>
        </is>
      </c>
      <c r="B231" s="26" t="n">
        <v>45134</v>
      </c>
      <c r="C231" s="12" t="inlineStr">
        <is>
          <t>VS03</t>
        </is>
      </c>
      <c r="D231" s="12" t="inlineStr">
        <is>
          <t>SS Sheets</t>
        </is>
      </c>
      <c r="E231" s="12" t="inlineStr">
        <is>
          <t>N</t>
        </is>
      </c>
      <c r="F231" s="12" t="n">
        <v>10.88</v>
      </c>
      <c r="G231" s="17" t="n">
        <v>108506.52</v>
      </c>
      <c r="H231" s="26" t="n">
        <v>45137</v>
      </c>
      <c r="I231" s="26" t="n">
        <v>45141</v>
      </c>
      <c r="J231" s="12" t="n">
        <v>10.37</v>
      </c>
      <c r="K231" s="17" t="n">
        <v>1180550.94</v>
      </c>
      <c r="L231" s="12" t="n">
        <v>0.01</v>
      </c>
      <c r="M231" s="12" t="n">
        <v>0</v>
      </c>
      <c r="N231" s="27">
        <f>F231-J231</f>
        <v/>
      </c>
      <c r="O231" s="16">
        <f>I231-H231</f>
        <v/>
      </c>
      <c r="P231" s="14">
        <f>F231*G231</f>
        <v/>
      </c>
      <c r="Q231" s="14">
        <f>J231*G231</f>
        <v/>
      </c>
      <c r="R231" s="14">
        <f>K231-Q231</f>
        <v/>
      </c>
      <c r="S231" s="3">
        <f>P231*Assumptions!$B$3/100</f>
        <v/>
      </c>
      <c r="T231" s="14">
        <f>R231-S231</f>
        <v/>
      </c>
      <c r="U231" s="14">
        <f>L231*G231</f>
        <v/>
      </c>
    </row>
    <row r="232">
      <c r="A232" s="12" t="inlineStr">
        <is>
          <t>PO-2021-0230</t>
        </is>
      </c>
      <c r="B232" s="26" t="n">
        <v>44843</v>
      </c>
      <c r="C232" s="12" t="inlineStr">
        <is>
          <t>VS20</t>
        </is>
      </c>
      <c r="D232" s="12" t="inlineStr">
        <is>
          <t>Hex Bars</t>
        </is>
      </c>
      <c r="E232" s="12" t="inlineStr">
        <is>
          <t>N</t>
        </is>
      </c>
      <c r="F232" s="12" t="n">
        <v>20.51</v>
      </c>
      <c r="G232" s="17" t="n">
        <v>106155.46</v>
      </c>
      <c r="H232" s="26" t="n">
        <v>44853</v>
      </c>
      <c r="I232" s="26" t="n">
        <v>44853</v>
      </c>
      <c r="J232" s="12" t="n">
        <v>20.38</v>
      </c>
      <c r="K232" s="17" t="n">
        <v>2177248.48</v>
      </c>
      <c r="L232" s="12" t="n">
        <v>0</v>
      </c>
      <c r="M232" s="12" t="n">
        <v>1</v>
      </c>
      <c r="N232" s="27">
        <f>F232-J232</f>
        <v/>
      </c>
      <c r="O232" s="16">
        <f>I232-H232</f>
        <v/>
      </c>
      <c r="P232" s="14">
        <f>F232*G232</f>
        <v/>
      </c>
      <c r="Q232" s="14">
        <f>J232*G232</f>
        <v/>
      </c>
      <c r="R232" s="14">
        <f>K232-Q232</f>
        <v/>
      </c>
      <c r="S232" s="3">
        <f>P232*Assumptions!$B$3/100</f>
        <v/>
      </c>
      <c r="T232" s="14">
        <f>R232-S232</f>
        <v/>
      </c>
      <c r="U232" s="14">
        <f>L232*G232</f>
        <v/>
      </c>
    </row>
    <row r="233">
      <c r="A233" s="12" t="inlineStr">
        <is>
          <t>PO-2021-0231</t>
        </is>
      </c>
      <c r="B233" s="26" t="n">
        <v>44715</v>
      </c>
      <c r="C233" s="12" t="inlineStr">
        <is>
          <t>VS03</t>
        </is>
      </c>
      <c r="D233" s="12" t="inlineStr">
        <is>
          <t>GI Sheets</t>
        </is>
      </c>
      <c r="E233" s="12" t="inlineStr">
        <is>
          <t>N</t>
        </is>
      </c>
      <c r="F233" s="12" t="n">
        <v>15.02</v>
      </c>
      <c r="G233" s="17" t="n">
        <v>114046.81</v>
      </c>
      <c r="H233" s="26" t="n">
        <v>44718</v>
      </c>
      <c r="I233" s="26" t="n">
        <v>44724</v>
      </c>
      <c r="J233" s="12" t="n">
        <v>14.66</v>
      </c>
      <c r="K233" s="17" t="n">
        <v>1712983.09</v>
      </c>
      <c r="L233" s="12" t="n">
        <v>0.04</v>
      </c>
      <c r="M233" s="12" t="n">
        <v>0</v>
      </c>
      <c r="N233" s="27">
        <f>F233-J233</f>
        <v/>
      </c>
      <c r="O233" s="16">
        <f>I233-H233</f>
        <v/>
      </c>
      <c r="P233" s="14">
        <f>F233*G233</f>
        <v/>
      </c>
      <c r="Q233" s="14">
        <f>J233*G233</f>
        <v/>
      </c>
      <c r="R233" s="14">
        <f>K233-Q233</f>
        <v/>
      </c>
      <c r="S233" s="3">
        <f>P233*Assumptions!$B$3/100</f>
        <v/>
      </c>
      <c r="T233" s="14">
        <f>R233-S233</f>
        <v/>
      </c>
      <c r="U233" s="14">
        <f>L233*G233</f>
        <v/>
      </c>
    </row>
    <row r="234">
      <c r="A234" s="12" t="inlineStr">
        <is>
          <t>PO-2021-0232</t>
        </is>
      </c>
      <c r="B234" s="26" t="n">
        <v>44876</v>
      </c>
      <c r="C234" s="12" t="inlineStr">
        <is>
          <t>VS18</t>
        </is>
      </c>
      <c r="D234" s="12" t="inlineStr">
        <is>
          <t>ERW Pipes</t>
        </is>
      </c>
      <c r="E234" s="12" t="inlineStr">
        <is>
          <t>N</t>
        </is>
      </c>
      <c r="F234" s="12" t="n">
        <v>40.17</v>
      </c>
      <c r="G234" s="17" t="n">
        <v>77771.35000000001</v>
      </c>
      <c r="H234" s="26" t="n">
        <v>44885</v>
      </c>
      <c r="I234" s="26" t="n">
        <v>44887</v>
      </c>
      <c r="J234" s="12" t="n">
        <v>40.02</v>
      </c>
      <c r="K234" s="17" t="n">
        <v>3124075.13</v>
      </c>
      <c r="L234" s="12" t="n">
        <v>0</v>
      </c>
      <c r="M234" s="12" t="n">
        <v>0</v>
      </c>
      <c r="N234" s="27">
        <f>F234-J234</f>
        <v/>
      </c>
      <c r="O234" s="16">
        <f>I234-H234</f>
        <v/>
      </c>
      <c r="P234" s="14">
        <f>F234*G234</f>
        <v/>
      </c>
      <c r="Q234" s="14">
        <f>J234*G234</f>
        <v/>
      </c>
      <c r="R234" s="14">
        <f>K234-Q234</f>
        <v/>
      </c>
      <c r="S234" s="3">
        <f>P234*Assumptions!$B$3/100</f>
        <v/>
      </c>
      <c r="T234" s="14">
        <f>R234-S234</f>
        <v/>
      </c>
      <c r="U234" s="14">
        <f>L234*G234</f>
        <v/>
      </c>
    </row>
    <row r="235">
      <c r="A235" s="12" t="inlineStr">
        <is>
          <t>PO-2021-0233</t>
        </is>
      </c>
      <c r="B235" s="26" t="n">
        <v>45097</v>
      </c>
      <c r="C235" s="12" t="inlineStr">
        <is>
          <t>VS25</t>
        </is>
      </c>
      <c r="D235" s="12" t="inlineStr">
        <is>
          <t>MS Flats</t>
        </is>
      </c>
      <c r="E235" s="12" t="inlineStr">
        <is>
          <t>N</t>
        </is>
      </c>
      <c r="F235" s="12" t="n">
        <v>48.71</v>
      </c>
      <c r="G235" s="17" t="n">
        <v>82215.24000000001</v>
      </c>
      <c r="H235" s="26" t="n">
        <v>45107</v>
      </c>
      <c r="I235" s="26" t="n">
        <v>45107</v>
      </c>
      <c r="J235" s="12" t="n">
        <v>48.36</v>
      </c>
      <c r="K235" s="17" t="n">
        <v>4004704.34</v>
      </c>
      <c r="L235" s="12" t="n">
        <v>0</v>
      </c>
      <c r="M235" s="12" t="n">
        <v>17</v>
      </c>
      <c r="N235" s="27">
        <f>F235-J235</f>
        <v/>
      </c>
      <c r="O235" s="16">
        <f>I235-H235</f>
        <v/>
      </c>
      <c r="P235" s="14">
        <f>F235*G235</f>
        <v/>
      </c>
      <c r="Q235" s="14">
        <f>J235*G235</f>
        <v/>
      </c>
      <c r="R235" s="14">
        <f>K235-Q235</f>
        <v/>
      </c>
      <c r="S235" s="3">
        <f>P235*Assumptions!$B$3/100</f>
        <v/>
      </c>
      <c r="T235" s="14">
        <f>R235-S235</f>
        <v/>
      </c>
      <c r="U235" s="14">
        <f>L235*G235</f>
        <v/>
      </c>
    </row>
    <row r="236">
      <c r="A236" s="12" t="inlineStr">
        <is>
          <t>PO-2021-0234</t>
        </is>
      </c>
      <c r="B236" s="26" t="n">
        <v>44949</v>
      </c>
      <c r="C236" s="12" t="inlineStr">
        <is>
          <t>VS34</t>
        </is>
      </c>
      <c r="D236" s="12" t="inlineStr">
        <is>
          <t>CR Sheets</t>
        </is>
      </c>
      <c r="E236" s="12" t="inlineStr">
        <is>
          <t>N</t>
        </is>
      </c>
      <c r="F236" s="12" t="n">
        <v>40.26</v>
      </c>
      <c r="G236" s="17" t="n">
        <v>99531.10000000001</v>
      </c>
      <c r="H236" s="26" t="n">
        <v>44953</v>
      </c>
      <c r="I236" s="26" t="n">
        <v>44955</v>
      </c>
      <c r="J236" s="12" t="n">
        <v>40.24</v>
      </c>
      <c r="K236" s="17" t="n">
        <v>4007122.09</v>
      </c>
      <c r="L236" s="12" t="n">
        <v>0</v>
      </c>
      <c r="M236" s="12" t="n">
        <v>4</v>
      </c>
      <c r="N236" s="27">
        <f>F236-J236</f>
        <v/>
      </c>
      <c r="O236" s="16">
        <f>I236-H236</f>
        <v/>
      </c>
      <c r="P236" s="14">
        <f>F236*G236</f>
        <v/>
      </c>
      <c r="Q236" s="14">
        <f>J236*G236</f>
        <v/>
      </c>
      <c r="R236" s="14">
        <f>K236-Q236</f>
        <v/>
      </c>
      <c r="S236" s="3">
        <f>P236*Assumptions!$B$3/100</f>
        <v/>
      </c>
      <c r="T236" s="14">
        <f>R236-S236</f>
        <v/>
      </c>
      <c r="U236" s="14">
        <f>L236*G236</f>
        <v/>
      </c>
    </row>
    <row r="237">
      <c r="A237" s="12" t="inlineStr">
        <is>
          <t>PO-2021-0235</t>
        </is>
      </c>
      <c r="B237" s="26" t="n">
        <v>45078</v>
      </c>
      <c r="C237" s="12" t="inlineStr">
        <is>
          <t>VS12</t>
        </is>
      </c>
      <c r="D237" s="12" t="inlineStr">
        <is>
          <t>Spring Steel</t>
        </is>
      </c>
      <c r="E237" s="12" t="inlineStr">
        <is>
          <t>Y</t>
        </is>
      </c>
      <c r="F237" s="12" t="n">
        <v>15.39</v>
      </c>
      <c r="G237" s="17" t="n">
        <v>54802.64</v>
      </c>
      <c r="H237" s="26" t="n">
        <v>45086</v>
      </c>
      <c r="I237" s="26" t="n">
        <v>45088</v>
      </c>
      <c r="J237" s="12" t="n">
        <v>14.66</v>
      </c>
      <c r="K237" s="17" t="n">
        <v>843412.63</v>
      </c>
      <c r="L237" s="12" t="n">
        <v>0.45</v>
      </c>
      <c r="M237" s="12" t="n">
        <v>0</v>
      </c>
      <c r="N237" s="27">
        <f>F237-J237</f>
        <v/>
      </c>
      <c r="O237" s="16">
        <f>I237-H237</f>
        <v/>
      </c>
      <c r="P237" s="14">
        <f>F237*G237</f>
        <v/>
      </c>
      <c r="Q237" s="14">
        <f>J237*G237</f>
        <v/>
      </c>
      <c r="R237" s="14">
        <f>K237-Q237</f>
        <v/>
      </c>
      <c r="S237" s="3">
        <f>P237*Assumptions!$B$3/100</f>
        <v/>
      </c>
      <c r="T237" s="14">
        <f>R237-S237</f>
        <v/>
      </c>
      <c r="U237" s="14">
        <f>L237*G237</f>
        <v/>
      </c>
    </row>
    <row r="238">
      <c r="A238" s="12" t="inlineStr">
        <is>
          <t>PO-2021-0236</t>
        </is>
      </c>
      <c r="B238" s="26" t="n">
        <v>44802</v>
      </c>
      <c r="C238" s="12" t="inlineStr">
        <is>
          <t>VS20</t>
        </is>
      </c>
      <c r="D238" s="12" t="inlineStr">
        <is>
          <t>Fasteners &amp; Fittings</t>
        </is>
      </c>
      <c r="E238" s="12" t="inlineStr">
        <is>
          <t>Y</t>
        </is>
      </c>
      <c r="F238" s="12" t="n">
        <v>30.53</v>
      </c>
      <c r="G238" s="17" t="n">
        <v>76958.71000000001</v>
      </c>
      <c r="H238" s="26" t="n">
        <v>44816</v>
      </c>
      <c r="I238" s="26" t="n">
        <v>44818</v>
      </c>
      <c r="J238" s="12" t="n">
        <v>30.49</v>
      </c>
      <c r="K238" s="17" t="n">
        <v>2349549.42</v>
      </c>
      <c r="L238" s="12" t="n">
        <v>0</v>
      </c>
      <c r="M238" s="12" t="n">
        <v>20</v>
      </c>
      <c r="N238" s="27">
        <f>F238-J238</f>
        <v/>
      </c>
      <c r="O238" s="16">
        <f>I238-H238</f>
        <v/>
      </c>
      <c r="P238" s="14">
        <f>F238*G238</f>
        <v/>
      </c>
      <c r="Q238" s="14">
        <f>J238*G238</f>
        <v/>
      </c>
      <c r="R238" s="14">
        <f>K238-Q238</f>
        <v/>
      </c>
      <c r="S238" s="3">
        <f>P238*Assumptions!$B$3/100</f>
        <v/>
      </c>
      <c r="T238" s="14">
        <f>R238-S238</f>
        <v/>
      </c>
      <c r="U238" s="14">
        <f>L238*G238</f>
        <v/>
      </c>
    </row>
    <row r="239">
      <c r="A239" s="12" t="inlineStr">
        <is>
          <t>PO-2021-0237</t>
        </is>
      </c>
      <c r="B239" s="26" t="n">
        <v>45106</v>
      </c>
      <c r="C239" s="12" t="inlineStr">
        <is>
          <t>VS23</t>
        </is>
      </c>
      <c r="D239" s="12" t="inlineStr">
        <is>
          <t>Fasteners &amp; Fittings</t>
        </is>
      </c>
      <c r="E239" s="12" t="inlineStr">
        <is>
          <t>N</t>
        </is>
      </c>
      <c r="F239" s="12" t="n">
        <v>3.08</v>
      </c>
      <c r="G239" s="17" t="n">
        <v>110252.79</v>
      </c>
      <c r="H239" s="26" t="n">
        <v>45114</v>
      </c>
      <c r="I239" s="26" t="n">
        <v>45116</v>
      </c>
      <c r="J239" s="12" t="n">
        <v>3.06</v>
      </c>
      <c r="K239" s="17" t="n">
        <v>339578.59</v>
      </c>
      <c r="L239" s="12" t="n">
        <v>0</v>
      </c>
      <c r="M239" s="12" t="n">
        <v>24</v>
      </c>
      <c r="N239" s="27">
        <f>F239-J239</f>
        <v/>
      </c>
      <c r="O239" s="16">
        <f>I239-H239</f>
        <v/>
      </c>
      <c r="P239" s="14">
        <f>F239*G239</f>
        <v/>
      </c>
      <c r="Q239" s="14">
        <f>J239*G239</f>
        <v/>
      </c>
      <c r="R239" s="14">
        <f>K239-Q239</f>
        <v/>
      </c>
      <c r="S239" s="3">
        <f>P239*Assumptions!$B$3/100</f>
        <v/>
      </c>
      <c r="T239" s="14">
        <f>R239-S239</f>
        <v/>
      </c>
      <c r="U239" s="14">
        <f>L239*G239</f>
        <v/>
      </c>
    </row>
    <row r="240">
      <c r="A240" s="12" t="inlineStr">
        <is>
          <t>PO-2021-0238</t>
        </is>
      </c>
      <c r="B240" s="26" t="n">
        <v>45087</v>
      </c>
      <c r="C240" s="12" t="inlineStr">
        <is>
          <t>VS18</t>
        </is>
      </c>
      <c r="D240" s="12" t="inlineStr">
        <is>
          <t>GI Pipes</t>
        </is>
      </c>
      <c r="E240" s="12" t="inlineStr">
        <is>
          <t>N</t>
        </is>
      </c>
      <c r="F240" s="12" t="n">
        <v>4.68</v>
      </c>
      <c r="G240" s="17" t="n">
        <v>92813.44</v>
      </c>
      <c r="H240" s="26" t="n">
        <v>45095</v>
      </c>
      <c r="I240" s="26" t="n">
        <v>45098</v>
      </c>
      <c r="J240" s="12" t="n">
        <v>4.67</v>
      </c>
      <c r="K240" s="17" t="n">
        <v>434366.9</v>
      </c>
      <c r="L240" s="12" t="n">
        <v>0</v>
      </c>
      <c r="M240" s="12" t="n">
        <v>5</v>
      </c>
      <c r="N240" s="27">
        <f>F240-J240</f>
        <v/>
      </c>
      <c r="O240" s="16">
        <f>I240-H240</f>
        <v/>
      </c>
      <c r="P240" s="14">
        <f>F240*G240</f>
        <v/>
      </c>
      <c r="Q240" s="14">
        <f>J240*G240</f>
        <v/>
      </c>
      <c r="R240" s="14">
        <f>K240-Q240</f>
        <v/>
      </c>
      <c r="S240" s="3">
        <f>P240*Assumptions!$B$3/100</f>
        <v/>
      </c>
      <c r="T240" s="14">
        <f>R240-S240</f>
        <v/>
      </c>
      <c r="U240" s="14">
        <f>L240*G240</f>
        <v/>
      </c>
    </row>
    <row r="241">
      <c r="A241" s="12" t="inlineStr">
        <is>
          <t>PO-2021-0239</t>
        </is>
      </c>
      <c r="B241" s="26" t="n">
        <v>45247</v>
      </c>
      <c r="C241" s="12" t="inlineStr">
        <is>
          <t>VS11</t>
        </is>
      </c>
      <c r="D241" s="12" t="inlineStr">
        <is>
          <t>MS Pipes</t>
        </is>
      </c>
      <c r="E241" s="12" t="inlineStr">
        <is>
          <t>N</t>
        </is>
      </c>
      <c r="F241" s="12" t="n">
        <v>8</v>
      </c>
      <c r="G241" s="17" t="n">
        <v>90567.97</v>
      </c>
      <c r="H241" s="26" t="n">
        <v>45262</v>
      </c>
      <c r="I241" s="26" t="n">
        <v>45262</v>
      </c>
      <c r="J241" s="12" t="n">
        <v>7.99</v>
      </c>
      <c r="K241" s="17" t="n">
        <v>724543.76</v>
      </c>
      <c r="L241" s="12" t="n">
        <v>0</v>
      </c>
      <c r="M241" s="12" t="n">
        <v>12</v>
      </c>
      <c r="N241" s="27">
        <f>F241-J241</f>
        <v/>
      </c>
      <c r="O241" s="16">
        <f>I241-H241</f>
        <v/>
      </c>
      <c r="P241" s="14">
        <f>F241*G241</f>
        <v/>
      </c>
      <c r="Q241" s="14">
        <f>J241*G241</f>
        <v/>
      </c>
      <c r="R241" s="14">
        <f>K241-Q241</f>
        <v/>
      </c>
      <c r="S241" s="3">
        <f>P241*Assumptions!$B$3/100</f>
        <v/>
      </c>
      <c r="T241" s="14">
        <f>R241-S241</f>
        <v/>
      </c>
      <c r="U241" s="14">
        <f>L241*G241</f>
        <v/>
      </c>
    </row>
    <row r="242">
      <c r="A242" s="12" t="inlineStr">
        <is>
          <t>PO-2021-0240</t>
        </is>
      </c>
      <c r="B242" s="26" t="n">
        <v>45094</v>
      </c>
      <c r="C242" s="12" t="inlineStr">
        <is>
          <t>VS03</t>
        </is>
      </c>
      <c r="D242" s="12" t="inlineStr">
        <is>
          <t>Square/Rect Tubes</t>
        </is>
      </c>
      <c r="E242" s="12" t="inlineStr">
        <is>
          <t>N</t>
        </is>
      </c>
      <c r="F242" s="12" t="n">
        <v>4.29</v>
      </c>
      <c r="G242" s="17" t="n">
        <v>107524.2</v>
      </c>
      <c r="H242" s="26" t="n">
        <v>45102</v>
      </c>
      <c r="I242" s="26" t="n">
        <v>45104</v>
      </c>
      <c r="J242" s="12" t="n">
        <v>4.12</v>
      </c>
      <c r="K242" s="17" t="n">
        <v>461278.82</v>
      </c>
      <c r="L242" s="12" t="n">
        <v>0.15</v>
      </c>
      <c r="M242" s="12" t="n">
        <v>25</v>
      </c>
      <c r="N242" s="27">
        <f>F242-J242</f>
        <v/>
      </c>
      <c r="O242" s="16">
        <f>I242-H242</f>
        <v/>
      </c>
      <c r="P242" s="14">
        <f>F242*G242</f>
        <v/>
      </c>
      <c r="Q242" s="14">
        <f>J242*G242</f>
        <v/>
      </c>
      <c r="R242" s="14">
        <f>K242-Q242</f>
        <v/>
      </c>
      <c r="S242" s="3">
        <f>P242*Assumptions!$B$3/100</f>
        <v/>
      </c>
      <c r="T242" s="14">
        <f>R242-S242</f>
        <v/>
      </c>
      <c r="U242" s="14">
        <f>L242*G242</f>
        <v/>
      </c>
    </row>
    <row r="243">
      <c r="A243" s="12" t="inlineStr">
        <is>
          <t>PO-2021-0241</t>
        </is>
      </c>
      <c r="B243" s="26" t="n">
        <v>44938</v>
      </c>
      <c r="C243" s="12" t="inlineStr">
        <is>
          <t>VS25</t>
        </is>
      </c>
      <c r="D243" s="12" t="inlineStr">
        <is>
          <t>GI Pipes</t>
        </is>
      </c>
      <c r="E243" s="12" t="inlineStr">
        <is>
          <t>N</t>
        </is>
      </c>
      <c r="F243" s="12" t="n">
        <v>30.65</v>
      </c>
      <c r="G243" s="17" t="n">
        <v>95929.64999999999</v>
      </c>
      <c r="H243" s="26" t="n">
        <v>44946</v>
      </c>
      <c r="I243" s="26" t="n">
        <v>44948</v>
      </c>
      <c r="J243" s="12" t="n">
        <v>30.53</v>
      </c>
      <c r="K243" s="17" t="n">
        <v>2940243.77</v>
      </c>
      <c r="L243" s="12" t="n">
        <v>0</v>
      </c>
      <c r="M243" s="12" t="n">
        <v>13</v>
      </c>
      <c r="N243" s="27">
        <f>F243-J243</f>
        <v/>
      </c>
      <c r="O243" s="16">
        <f>I243-H243</f>
        <v/>
      </c>
      <c r="P243" s="14">
        <f>F243*G243</f>
        <v/>
      </c>
      <c r="Q243" s="14">
        <f>J243*G243</f>
        <v/>
      </c>
      <c r="R243" s="14">
        <f>K243-Q243</f>
        <v/>
      </c>
      <c r="S243" s="3">
        <f>P243*Assumptions!$B$3/100</f>
        <v/>
      </c>
      <c r="T243" s="14">
        <f>R243-S243</f>
        <v/>
      </c>
      <c r="U243" s="14">
        <f>L243*G243</f>
        <v/>
      </c>
    </row>
    <row r="244">
      <c r="A244" s="12" t="inlineStr">
        <is>
          <t>PO-2021-0242</t>
        </is>
      </c>
      <c r="B244" s="26" t="n">
        <v>44958</v>
      </c>
      <c r="C244" s="12" t="inlineStr">
        <is>
          <t>VS29</t>
        </is>
      </c>
      <c r="D244" s="12" t="inlineStr">
        <is>
          <t>SS Pipes</t>
        </is>
      </c>
      <c r="E244" s="12" t="inlineStr">
        <is>
          <t>N</t>
        </is>
      </c>
      <c r="F244" s="12" t="n">
        <v>29.12</v>
      </c>
      <c r="G244" s="17" t="n">
        <v>84709.49000000001</v>
      </c>
      <c r="H244" s="26" t="n">
        <v>44967</v>
      </c>
      <c r="I244" s="26" t="n">
        <v>44967</v>
      </c>
      <c r="J244" s="12" t="n">
        <v>29.01</v>
      </c>
      <c r="K244" s="17" t="n">
        <v>2466740.35</v>
      </c>
      <c r="L244" s="12" t="n">
        <v>0</v>
      </c>
      <c r="M244" s="12" t="n">
        <v>13</v>
      </c>
      <c r="N244" s="27">
        <f>F244-J244</f>
        <v/>
      </c>
      <c r="O244" s="16">
        <f>I244-H244</f>
        <v/>
      </c>
      <c r="P244" s="14">
        <f>F244*G244</f>
        <v/>
      </c>
      <c r="Q244" s="14">
        <f>J244*G244</f>
        <v/>
      </c>
      <c r="R244" s="14">
        <f>K244-Q244</f>
        <v/>
      </c>
      <c r="S244" s="3">
        <f>P244*Assumptions!$B$3/100</f>
        <v/>
      </c>
      <c r="T244" s="14">
        <f>R244-S244</f>
        <v/>
      </c>
      <c r="U244" s="14">
        <f>L244*G244</f>
        <v/>
      </c>
    </row>
    <row r="245">
      <c r="A245" s="12" t="inlineStr">
        <is>
          <t>PO-2021-0243</t>
        </is>
      </c>
      <c r="B245" s="26" t="n">
        <v>44840</v>
      </c>
      <c r="C245" s="12" t="inlineStr">
        <is>
          <t>VS18</t>
        </is>
      </c>
      <c r="D245" s="12" t="inlineStr">
        <is>
          <t>HR Coils</t>
        </is>
      </c>
      <c r="E245" s="12" t="inlineStr">
        <is>
          <t>N</t>
        </is>
      </c>
      <c r="F245" s="12" t="n">
        <v>48.07</v>
      </c>
      <c r="G245" s="17" t="n">
        <v>46943.5</v>
      </c>
      <c r="H245" s="26" t="n">
        <v>44845</v>
      </c>
      <c r="I245" s="26" t="n">
        <v>44845</v>
      </c>
      <c r="J245" s="12" t="n">
        <v>47.75</v>
      </c>
      <c r="K245" s="17" t="n">
        <v>2256574.04</v>
      </c>
      <c r="L245" s="12" t="n">
        <v>0</v>
      </c>
      <c r="M245" s="12" t="n">
        <v>0</v>
      </c>
      <c r="N245" s="27">
        <f>F245-J245</f>
        <v/>
      </c>
      <c r="O245" s="16">
        <f>I245-H245</f>
        <v/>
      </c>
      <c r="P245" s="14">
        <f>F245*G245</f>
        <v/>
      </c>
      <c r="Q245" s="14">
        <f>J245*G245</f>
        <v/>
      </c>
      <c r="R245" s="14">
        <f>K245-Q245</f>
        <v/>
      </c>
      <c r="S245" s="3">
        <f>P245*Assumptions!$B$3/100</f>
        <v/>
      </c>
      <c r="T245" s="14">
        <f>R245-S245</f>
        <v/>
      </c>
      <c r="U245" s="14">
        <f>L245*G245</f>
        <v/>
      </c>
    </row>
    <row r="246">
      <c r="A246" s="12" t="inlineStr">
        <is>
          <t>PO-2021-0244</t>
        </is>
      </c>
      <c r="B246" s="26" t="n">
        <v>45219</v>
      </c>
      <c r="C246" s="12" t="inlineStr">
        <is>
          <t>VS34</t>
        </is>
      </c>
      <c r="D246" s="12" t="inlineStr">
        <is>
          <t>MS Rods</t>
        </is>
      </c>
      <c r="E246" s="12" t="inlineStr">
        <is>
          <t>N</t>
        </is>
      </c>
      <c r="F246" s="12" t="n">
        <v>45.76</v>
      </c>
      <c r="G246" s="17" t="n">
        <v>53832.07</v>
      </c>
      <c r="H246" s="26" t="n">
        <v>45234</v>
      </c>
      <c r="I246" s="26" t="n">
        <v>45236</v>
      </c>
      <c r="J246" s="12" t="n">
        <v>45.47</v>
      </c>
      <c r="K246" s="17" t="n">
        <v>2463355.52</v>
      </c>
      <c r="L246" s="12" t="n">
        <v>0</v>
      </c>
      <c r="M246" s="12" t="n">
        <v>8</v>
      </c>
      <c r="N246" s="27">
        <f>F246-J246</f>
        <v/>
      </c>
      <c r="O246" s="16">
        <f>I246-H246</f>
        <v/>
      </c>
      <c r="P246" s="14">
        <f>F246*G246</f>
        <v/>
      </c>
      <c r="Q246" s="14">
        <f>J246*G246</f>
        <v/>
      </c>
      <c r="R246" s="14">
        <f>K246-Q246</f>
        <v/>
      </c>
      <c r="S246" s="3">
        <f>P246*Assumptions!$B$3/100</f>
        <v/>
      </c>
      <c r="T246" s="14">
        <f>R246-S246</f>
        <v/>
      </c>
      <c r="U246" s="14">
        <f>L246*G246</f>
        <v/>
      </c>
    </row>
    <row r="247">
      <c r="A247" s="12" t="inlineStr">
        <is>
          <t>PO-2021-0245</t>
        </is>
      </c>
      <c r="B247" s="26" t="n">
        <v>44730</v>
      </c>
      <c r="C247" s="12" t="inlineStr">
        <is>
          <t>VS29</t>
        </is>
      </c>
      <c r="D247" s="12" t="inlineStr">
        <is>
          <t>GI Sheets</t>
        </is>
      </c>
      <c r="E247" s="12" t="inlineStr">
        <is>
          <t>N</t>
        </is>
      </c>
      <c r="F247" s="12" t="n">
        <v>49.82</v>
      </c>
      <c r="G247" s="17" t="n">
        <v>66418.27</v>
      </c>
      <c r="H247" s="26" t="n">
        <v>44740</v>
      </c>
      <c r="I247" s="26" t="n">
        <v>44743</v>
      </c>
      <c r="J247" s="12" t="n">
        <v>49.54</v>
      </c>
      <c r="K247" s="17" t="n">
        <v>3308958.21</v>
      </c>
      <c r="L247" s="12" t="n">
        <v>0</v>
      </c>
      <c r="M247" s="12" t="n">
        <v>2</v>
      </c>
      <c r="N247" s="27">
        <f>F247-J247</f>
        <v/>
      </c>
      <c r="O247" s="16">
        <f>I247-H247</f>
        <v/>
      </c>
      <c r="P247" s="14">
        <f>F247*G247</f>
        <v/>
      </c>
      <c r="Q247" s="14">
        <f>J247*G247</f>
        <v/>
      </c>
      <c r="R247" s="14">
        <f>K247-Q247</f>
        <v/>
      </c>
      <c r="S247" s="3">
        <f>P247*Assumptions!$B$3/100</f>
        <v/>
      </c>
      <c r="T247" s="14">
        <f>R247-S247</f>
        <v/>
      </c>
      <c r="U247" s="14">
        <f>L247*G247</f>
        <v/>
      </c>
    </row>
    <row r="248">
      <c r="A248" s="12" t="inlineStr">
        <is>
          <t>PO-2021-0246</t>
        </is>
      </c>
      <c r="B248" s="26" t="n">
        <v>44606</v>
      </c>
      <c r="C248" s="12" t="inlineStr">
        <is>
          <t>VS08</t>
        </is>
      </c>
      <c r="D248" s="12" t="inlineStr">
        <is>
          <t>Square/Rect Tubes</t>
        </is>
      </c>
      <c r="E248" s="12" t="inlineStr">
        <is>
          <t>N</t>
        </is>
      </c>
      <c r="F248" s="12" t="n">
        <v>42.79</v>
      </c>
      <c r="G248" s="17" t="n">
        <v>78903.2</v>
      </c>
      <c r="H248" s="26" t="n">
        <v>44620</v>
      </c>
      <c r="I248" s="26" t="n">
        <v>44621</v>
      </c>
      <c r="J248" s="12" t="n">
        <v>42.77</v>
      </c>
      <c r="K248" s="17" t="n">
        <v>3376267.93</v>
      </c>
      <c r="L248" s="12" t="n">
        <v>0</v>
      </c>
      <c r="M248" s="12" t="n">
        <v>0</v>
      </c>
      <c r="N248" s="27">
        <f>F248-J248</f>
        <v/>
      </c>
      <c r="O248" s="16">
        <f>I248-H248</f>
        <v/>
      </c>
      <c r="P248" s="14">
        <f>F248*G248</f>
        <v/>
      </c>
      <c r="Q248" s="14">
        <f>J248*G248</f>
        <v/>
      </c>
      <c r="R248" s="14">
        <f>K248-Q248</f>
        <v/>
      </c>
      <c r="S248" s="3">
        <f>P248*Assumptions!$B$3/100</f>
        <v/>
      </c>
      <c r="T248" s="14">
        <f>R248-S248</f>
        <v/>
      </c>
      <c r="U248" s="14">
        <f>L248*G248</f>
        <v/>
      </c>
    </row>
    <row r="249">
      <c r="A249" s="12" t="inlineStr">
        <is>
          <t>PO-2021-0247</t>
        </is>
      </c>
      <c r="B249" s="26" t="n">
        <v>45108</v>
      </c>
      <c r="C249" s="12" t="inlineStr">
        <is>
          <t>VS06</t>
        </is>
      </c>
      <c r="D249" s="12" t="inlineStr">
        <is>
          <t>MS Flats</t>
        </is>
      </c>
      <c r="E249" s="12" t="inlineStr">
        <is>
          <t>N</t>
        </is>
      </c>
      <c r="F249" s="12" t="n">
        <v>33.72</v>
      </c>
      <c r="G249" s="17" t="n">
        <v>98215.53999999999</v>
      </c>
      <c r="H249" s="26" t="n">
        <v>45119</v>
      </c>
      <c r="I249" s="26" t="n">
        <v>45120</v>
      </c>
      <c r="J249" s="12" t="n">
        <v>33.71</v>
      </c>
      <c r="K249" s="17" t="n">
        <v>3311828.01</v>
      </c>
      <c r="L249" s="12" t="n">
        <v>0</v>
      </c>
      <c r="M249" s="12" t="n">
        <v>9</v>
      </c>
      <c r="N249" s="27">
        <f>F249-J249</f>
        <v/>
      </c>
      <c r="O249" s="16">
        <f>I249-H249</f>
        <v/>
      </c>
      <c r="P249" s="14">
        <f>F249*G249</f>
        <v/>
      </c>
      <c r="Q249" s="14">
        <f>J249*G249</f>
        <v/>
      </c>
      <c r="R249" s="14">
        <f>K249-Q249</f>
        <v/>
      </c>
      <c r="S249" s="3">
        <f>P249*Assumptions!$B$3/100</f>
        <v/>
      </c>
      <c r="T249" s="14">
        <f>R249-S249</f>
        <v/>
      </c>
      <c r="U249" s="14">
        <f>L249*G249</f>
        <v/>
      </c>
    </row>
    <row r="250">
      <c r="A250" s="12" t="inlineStr">
        <is>
          <t>PO-2021-0248</t>
        </is>
      </c>
      <c r="B250" s="26" t="n">
        <v>44791</v>
      </c>
      <c r="C250" s="12" t="inlineStr">
        <is>
          <t>VS20</t>
        </is>
      </c>
      <c r="D250" s="12" t="inlineStr">
        <is>
          <t>MS Sheets</t>
        </is>
      </c>
      <c r="E250" s="12" t="inlineStr">
        <is>
          <t>Y</t>
        </is>
      </c>
      <c r="F250" s="12" t="n">
        <v>35.88</v>
      </c>
      <c r="G250" s="17" t="n">
        <v>114549.33</v>
      </c>
      <c r="H250" s="26" t="n">
        <v>44804</v>
      </c>
      <c r="I250" s="26" t="n">
        <v>44805</v>
      </c>
      <c r="J250" s="12" t="n">
        <v>35.53</v>
      </c>
      <c r="K250" s="17" t="n">
        <v>4110029.96</v>
      </c>
      <c r="L250" s="12" t="n">
        <v>0</v>
      </c>
      <c r="M250" s="12" t="n">
        <v>0</v>
      </c>
      <c r="N250" s="27">
        <f>F250-J250</f>
        <v/>
      </c>
      <c r="O250" s="16">
        <f>I250-H250</f>
        <v/>
      </c>
      <c r="P250" s="14">
        <f>F250*G250</f>
        <v/>
      </c>
      <c r="Q250" s="14">
        <f>J250*G250</f>
        <v/>
      </c>
      <c r="R250" s="14">
        <f>K250-Q250</f>
        <v/>
      </c>
      <c r="S250" s="3">
        <f>P250*Assumptions!$B$3/100</f>
        <v/>
      </c>
      <c r="T250" s="14">
        <f>R250-S250</f>
        <v/>
      </c>
      <c r="U250" s="14">
        <f>L250*G250</f>
        <v/>
      </c>
    </row>
    <row r="251">
      <c r="A251" s="12" t="inlineStr">
        <is>
          <t>PO-2021-0249</t>
        </is>
      </c>
      <c r="B251" s="26" t="n">
        <v>44553</v>
      </c>
      <c r="C251" s="12" t="inlineStr">
        <is>
          <t>VS24</t>
        </is>
      </c>
      <c r="D251" s="12" t="inlineStr">
        <is>
          <t>Hex Bars</t>
        </is>
      </c>
      <c r="E251" s="12" t="inlineStr">
        <is>
          <t>N</t>
        </is>
      </c>
      <c r="F251" s="12" t="n">
        <v>11.99</v>
      </c>
      <c r="G251" s="17" t="n">
        <v>118884.94</v>
      </c>
      <c r="H251" s="26" t="n">
        <v>44568</v>
      </c>
      <c r="I251" s="26" t="n">
        <v>44568</v>
      </c>
      <c r="J251" s="12" t="n">
        <v>11.96</v>
      </c>
      <c r="K251" s="17" t="n">
        <v>1425430.43</v>
      </c>
      <c r="L251" s="12" t="n">
        <v>0</v>
      </c>
      <c r="M251" s="12" t="n">
        <v>17</v>
      </c>
      <c r="N251" s="27">
        <f>F251-J251</f>
        <v/>
      </c>
      <c r="O251" s="16">
        <f>I251-H251</f>
        <v/>
      </c>
      <c r="P251" s="14">
        <f>F251*G251</f>
        <v/>
      </c>
      <c r="Q251" s="14">
        <f>J251*G251</f>
        <v/>
      </c>
      <c r="R251" s="14">
        <f>K251-Q251</f>
        <v/>
      </c>
      <c r="S251" s="3">
        <f>P251*Assumptions!$B$3/100</f>
        <v/>
      </c>
      <c r="T251" s="14">
        <f>R251-S251</f>
        <v/>
      </c>
      <c r="U251" s="14">
        <f>L251*G251</f>
        <v/>
      </c>
    </row>
    <row r="252">
      <c r="A252" s="12" t="inlineStr">
        <is>
          <t>PO-2021-0250</t>
        </is>
      </c>
      <c r="B252" s="26" t="n">
        <v>44481</v>
      </c>
      <c r="C252" s="12" t="inlineStr">
        <is>
          <t>VS16</t>
        </is>
      </c>
      <c r="D252" s="12" t="inlineStr">
        <is>
          <t>Structural Steel</t>
        </is>
      </c>
      <c r="E252" s="12" t="inlineStr">
        <is>
          <t>N</t>
        </is>
      </c>
      <c r="F252" s="12" t="n">
        <v>2.29</v>
      </c>
      <c r="G252" s="17" t="n">
        <v>86551.61</v>
      </c>
      <c r="H252" s="26" t="n">
        <v>44489</v>
      </c>
      <c r="I252" s="26" t="n">
        <v>44489</v>
      </c>
      <c r="J252" s="12" t="n">
        <v>2.28</v>
      </c>
      <c r="K252" s="17" t="n">
        <v>198203.19</v>
      </c>
      <c r="L252" s="12" t="n">
        <v>0</v>
      </c>
      <c r="M252" s="12" t="n">
        <v>6</v>
      </c>
      <c r="N252" s="27">
        <f>F252-J252</f>
        <v/>
      </c>
      <c r="O252" s="16">
        <f>I252-H252</f>
        <v/>
      </c>
      <c r="P252" s="14">
        <f>F252*G252</f>
        <v/>
      </c>
      <c r="Q252" s="14">
        <f>J252*G252</f>
        <v/>
      </c>
      <c r="R252" s="14">
        <f>K252-Q252</f>
        <v/>
      </c>
      <c r="S252" s="3">
        <f>P252*Assumptions!$B$3/100</f>
        <v/>
      </c>
      <c r="T252" s="14">
        <f>R252-S252</f>
        <v/>
      </c>
      <c r="U252" s="14">
        <f>L252*G252</f>
        <v/>
      </c>
    </row>
    <row r="253">
      <c r="A253" s="12" t="inlineStr">
        <is>
          <t>PO-2021-0251</t>
        </is>
      </c>
      <c r="B253" s="26" t="n">
        <v>45154</v>
      </c>
      <c r="C253" s="12" t="inlineStr">
        <is>
          <t>VS09</t>
        </is>
      </c>
      <c r="D253" s="12" t="inlineStr">
        <is>
          <t>SS Pipes</t>
        </is>
      </c>
      <c r="E253" s="12" t="inlineStr">
        <is>
          <t>Y</t>
        </is>
      </c>
      <c r="F253" s="12" t="n">
        <v>4.22</v>
      </c>
      <c r="G253" s="17" t="n">
        <v>74862</v>
      </c>
      <c r="H253" s="26" t="n">
        <v>45168</v>
      </c>
      <c r="I253" s="26" t="n">
        <v>45170</v>
      </c>
      <c r="J253" s="12" t="n">
        <v>4.22</v>
      </c>
      <c r="K253" s="17" t="n">
        <v>315917.64</v>
      </c>
      <c r="L253" s="12" t="n">
        <v>0</v>
      </c>
      <c r="M253" s="12" t="n">
        <v>4</v>
      </c>
      <c r="N253" s="27">
        <f>F253-J253</f>
        <v/>
      </c>
      <c r="O253" s="16">
        <f>I253-H253</f>
        <v/>
      </c>
      <c r="P253" s="14">
        <f>F253*G253</f>
        <v/>
      </c>
      <c r="Q253" s="14">
        <f>J253*G253</f>
        <v/>
      </c>
      <c r="R253" s="14">
        <f>K253-Q253</f>
        <v/>
      </c>
      <c r="S253" s="3">
        <f>P253*Assumptions!$B$3/100</f>
        <v/>
      </c>
      <c r="T253" s="14">
        <f>R253-S253</f>
        <v/>
      </c>
      <c r="U253" s="14">
        <f>L253*G253</f>
        <v/>
      </c>
    </row>
    <row r="254">
      <c r="A254" s="12" t="inlineStr">
        <is>
          <t>PO-2021-0252</t>
        </is>
      </c>
      <c r="B254" s="26" t="n">
        <v>45177</v>
      </c>
      <c r="C254" s="12" t="inlineStr">
        <is>
          <t>VS34</t>
        </is>
      </c>
      <c r="D254" s="12" t="inlineStr">
        <is>
          <t>GI Wire</t>
        </is>
      </c>
      <c r="E254" s="12" t="inlineStr">
        <is>
          <t>Y</t>
        </is>
      </c>
      <c r="F254" s="12" t="n">
        <v>38.69</v>
      </c>
      <c r="G254" s="17" t="n">
        <v>106750.45</v>
      </c>
      <c r="H254" s="26" t="n">
        <v>45181</v>
      </c>
      <c r="I254" s="26" t="n">
        <v>45184</v>
      </c>
      <c r="J254" s="12" t="n">
        <v>38.39</v>
      </c>
      <c r="K254" s="17" t="n">
        <v>4130174.91</v>
      </c>
      <c r="L254" s="12" t="n">
        <v>0</v>
      </c>
      <c r="M254" s="12" t="n">
        <v>0</v>
      </c>
      <c r="N254" s="27">
        <f>F254-J254</f>
        <v/>
      </c>
      <c r="O254" s="16">
        <f>I254-H254</f>
        <v/>
      </c>
      <c r="P254" s="14">
        <f>F254*G254</f>
        <v/>
      </c>
      <c r="Q254" s="14">
        <f>J254*G254</f>
        <v/>
      </c>
      <c r="R254" s="14">
        <f>K254-Q254</f>
        <v/>
      </c>
      <c r="S254" s="3">
        <f>P254*Assumptions!$B$3/100</f>
        <v/>
      </c>
      <c r="T254" s="14">
        <f>R254-S254</f>
        <v/>
      </c>
      <c r="U254" s="14">
        <f>L254*G254</f>
        <v/>
      </c>
    </row>
    <row r="255">
      <c r="A255" s="12" t="inlineStr">
        <is>
          <t>PO-2021-0253</t>
        </is>
      </c>
      <c r="B255" s="26" t="n">
        <v>44453</v>
      </c>
      <c r="C255" s="12" t="inlineStr">
        <is>
          <t>VS21</t>
        </is>
      </c>
      <c r="D255" s="12" t="inlineStr">
        <is>
          <t>SS Pipes</t>
        </is>
      </c>
      <c r="E255" s="12" t="inlineStr">
        <is>
          <t>N</t>
        </is>
      </c>
      <c r="F255" s="12" t="n">
        <v>23.05</v>
      </c>
      <c r="G255" s="17" t="n">
        <v>96008.17</v>
      </c>
      <c r="H255" s="26" t="n">
        <v>44461</v>
      </c>
      <c r="I255" s="26" t="n">
        <v>44461</v>
      </c>
      <c r="J255" s="12" t="n">
        <v>23.02</v>
      </c>
      <c r="K255" s="17" t="n">
        <v>2212988.32</v>
      </c>
      <c r="L255" s="12" t="n">
        <v>0</v>
      </c>
      <c r="M255" s="12" t="n">
        <v>19</v>
      </c>
      <c r="N255" s="27">
        <f>F255-J255</f>
        <v/>
      </c>
      <c r="O255" s="16">
        <f>I255-H255</f>
        <v/>
      </c>
      <c r="P255" s="14">
        <f>F255*G255</f>
        <v/>
      </c>
      <c r="Q255" s="14">
        <f>J255*G255</f>
        <v/>
      </c>
      <c r="R255" s="14">
        <f>K255-Q255</f>
        <v/>
      </c>
      <c r="S255" s="3">
        <f>P255*Assumptions!$B$3/100</f>
        <v/>
      </c>
      <c r="T255" s="14">
        <f>R255-S255</f>
        <v/>
      </c>
      <c r="U255" s="14">
        <f>L255*G255</f>
        <v/>
      </c>
    </row>
    <row r="256">
      <c r="A256" s="12" t="inlineStr">
        <is>
          <t>PO-2021-0254</t>
        </is>
      </c>
      <c r="B256" s="26" t="n">
        <v>44459</v>
      </c>
      <c r="C256" s="12" t="inlineStr">
        <is>
          <t>VS12</t>
        </is>
      </c>
      <c r="D256" s="12" t="inlineStr">
        <is>
          <t>Square/Rect Tubes</t>
        </is>
      </c>
      <c r="E256" s="12" t="inlineStr">
        <is>
          <t>N</t>
        </is>
      </c>
      <c r="F256" s="12" t="n">
        <v>22.2</v>
      </c>
      <c r="G256" s="17" t="n">
        <v>117835.56</v>
      </c>
      <c r="H256" s="26" t="n">
        <v>44462</v>
      </c>
      <c r="I256" s="26" t="n">
        <v>44467</v>
      </c>
      <c r="J256" s="12" t="n">
        <v>21.72</v>
      </c>
      <c r="K256" s="17" t="n">
        <v>2615949.43</v>
      </c>
      <c r="L256" s="12" t="n">
        <v>0.34</v>
      </c>
      <c r="M256" s="12" t="n">
        <v>3</v>
      </c>
      <c r="N256" s="27">
        <f>F256-J256</f>
        <v/>
      </c>
      <c r="O256" s="16">
        <f>I256-H256</f>
        <v/>
      </c>
      <c r="P256" s="14">
        <f>F256*G256</f>
        <v/>
      </c>
      <c r="Q256" s="14">
        <f>J256*G256</f>
        <v/>
      </c>
      <c r="R256" s="14">
        <f>K256-Q256</f>
        <v/>
      </c>
      <c r="S256" s="3">
        <f>P256*Assumptions!$B$3/100</f>
        <v/>
      </c>
      <c r="T256" s="14">
        <f>R256-S256</f>
        <v/>
      </c>
      <c r="U256" s="14">
        <f>L256*G256</f>
        <v/>
      </c>
    </row>
    <row r="257">
      <c r="A257" s="12" t="inlineStr">
        <is>
          <t>PO-2021-0255</t>
        </is>
      </c>
      <c r="B257" s="26" t="n">
        <v>44451</v>
      </c>
      <c r="C257" s="12" t="inlineStr">
        <is>
          <t>VS34</t>
        </is>
      </c>
      <c r="D257" s="12" t="inlineStr">
        <is>
          <t>Square/Rect Tubes</t>
        </is>
      </c>
      <c r="E257" s="12" t="inlineStr">
        <is>
          <t>N</t>
        </is>
      </c>
      <c r="F257" s="12" t="n">
        <v>15.9</v>
      </c>
      <c r="G257" s="17" t="n">
        <v>57147.52</v>
      </c>
      <c r="H257" s="26" t="n">
        <v>44465</v>
      </c>
      <c r="I257" s="26" t="n">
        <v>44466</v>
      </c>
      <c r="J257" s="12" t="n">
        <v>15.75</v>
      </c>
      <c r="K257" s="17" t="n">
        <v>908645.5699999999</v>
      </c>
      <c r="L257" s="12" t="n">
        <v>0</v>
      </c>
      <c r="M257" s="12" t="n">
        <v>17</v>
      </c>
      <c r="N257" s="27">
        <f>F257-J257</f>
        <v/>
      </c>
      <c r="O257" s="16">
        <f>I257-H257</f>
        <v/>
      </c>
      <c r="P257" s="14">
        <f>F257*G257</f>
        <v/>
      </c>
      <c r="Q257" s="14">
        <f>J257*G257</f>
        <v/>
      </c>
      <c r="R257" s="14">
        <f>K257-Q257</f>
        <v/>
      </c>
      <c r="S257" s="3">
        <f>P257*Assumptions!$B$3/100</f>
        <v/>
      </c>
      <c r="T257" s="14">
        <f>R257-S257</f>
        <v/>
      </c>
      <c r="U257" s="14">
        <f>L257*G257</f>
        <v/>
      </c>
    </row>
    <row r="258">
      <c r="A258" s="12" t="inlineStr">
        <is>
          <t>PO-2021-0256</t>
        </is>
      </c>
      <c r="B258" s="26" t="n">
        <v>44658</v>
      </c>
      <c r="C258" s="12" t="inlineStr">
        <is>
          <t>VS23</t>
        </is>
      </c>
      <c r="D258" s="12" t="inlineStr">
        <is>
          <t>Hex Bars</t>
        </is>
      </c>
      <c r="E258" s="12" t="inlineStr">
        <is>
          <t>N</t>
        </is>
      </c>
      <c r="F258" s="12" t="n">
        <v>44.85</v>
      </c>
      <c r="G258" s="17" t="n">
        <v>108445.03</v>
      </c>
      <c r="H258" s="26" t="n">
        <v>44665</v>
      </c>
      <c r="I258" s="26" t="n">
        <v>44668</v>
      </c>
      <c r="J258" s="12" t="n">
        <v>44.63</v>
      </c>
      <c r="K258" s="17" t="n">
        <v>4863759.6</v>
      </c>
      <c r="L258" s="12" t="n">
        <v>0</v>
      </c>
      <c r="M258" s="12" t="n">
        <v>0</v>
      </c>
      <c r="N258" s="27">
        <f>F258-J258</f>
        <v/>
      </c>
      <c r="O258" s="16">
        <f>I258-H258</f>
        <v/>
      </c>
      <c r="P258" s="14">
        <f>F258*G258</f>
        <v/>
      </c>
      <c r="Q258" s="14">
        <f>J258*G258</f>
        <v/>
      </c>
      <c r="R258" s="14">
        <f>K258-Q258</f>
        <v/>
      </c>
      <c r="S258" s="3">
        <f>P258*Assumptions!$B$3/100</f>
        <v/>
      </c>
      <c r="T258" s="14">
        <f>R258-S258</f>
        <v/>
      </c>
      <c r="U258" s="14">
        <f>L258*G258</f>
        <v/>
      </c>
    </row>
    <row r="259">
      <c r="A259" s="12" t="inlineStr">
        <is>
          <t>PO-2021-0257</t>
        </is>
      </c>
      <c r="B259" s="26" t="n">
        <v>44599</v>
      </c>
      <c r="C259" s="12" t="inlineStr">
        <is>
          <t>VS18</t>
        </is>
      </c>
      <c r="D259" s="12" t="inlineStr">
        <is>
          <t>Square/Rect Tubes</t>
        </is>
      </c>
      <c r="E259" s="12" t="inlineStr">
        <is>
          <t>N</t>
        </is>
      </c>
      <c r="F259" s="12" t="n">
        <v>31.63</v>
      </c>
      <c r="G259" s="17" t="n">
        <v>91082.12</v>
      </c>
      <c r="H259" s="26" t="n">
        <v>44603</v>
      </c>
      <c r="I259" s="26" t="n">
        <v>44606</v>
      </c>
      <c r="J259" s="12" t="n">
        <v>31.5</v>
      </c>
      <c r="K259" s="17" t="n">
        <v>2880927.46</v>
      </c>
      <c r="L259" s="12" t="n">
        <v>0</v>
      </c>
      <c r="M259" s="12" t="n">
        <v>0</v>
      </c>
      <c r="N259" s="27">
        <f>F259-J259</f>
        <v/>
      </c>
      <c r="O259" s="16">
        <f>I259-H259</f>
        <v/>
      </c>
      <c r="P259" s="14">
        <f>F259*G259</f>
        <v/>
      </c>
      <c r="Q259" s="14">
        <f>J259*G259</f>
        <v/>
      </c>
      <c r="R259" s="14">
        <f>K259-Q259</f>
        <v/>
      </c>
      <c r="S259" s="3">
        <f>P259*Assumptions!$B$3/100</f>
        <v/>
      </c>
      <c r="T259" s="14">
        <f>R259-S259</f>
        <v/>
      </c>
      <c r="U259" s="14">
        <f>L259*G259</f>
        <v/>
      </c>
    </row>
    <row r="260">
      <c r="A260" s="12" t="inlineStr">
        <is>
          <t>PO-2021-0258</t>
        </is>
      </c>
      <c r="B260" s="26" t="n">
        <v>45226</v>
      </c>
      <c r="C260" s="12" t="inlineStr">
        <is>
          <t>VS11</t>
        </is>
      </c>
      <c r="D260" s="12" t="inlineStr">
        <is>
          <t>Square/Rect Tubes</t>
        </is>
      </c>
      <c r="E260" s="12" t="inlineStr">
        <is>
          <t>N</t>
        </is>
      </c>
      <c r="F260" s="12" t="n">
        <v>9.390000000000001</v>
      </c>
      <c r="G260" s="17" t="n">
        <v>91835.94</v>
      </c>
      <c r="H260" s="26" t="n">
        <v>45238</v>
      </c>
      <c r="I260" s="26" t="n">
        <v>45238</v>
      </c>
      <c r="J260" s="12" t="n">
        <v>9.32</v>
      </c>
      <c r="K260" s="17" t="n">
        <v>862339.48</v>
      </c>
      <c r="L260" s="12" t="n">
        <v>0</v>
      </c>
      <c r="M260" s="12" t="n">
        <v>11</v>
      </c>
      <c r="N260" s="27">
        <f>F260-J260</f>
        <v/>
      </c>
      <c r="O260" s="16">
        <f>I260-H260</f>
        <v/>
      </c>
      <c r="P260" s="14">
        <f>F260*G260</f>
        <v/>
      </c>
      <c r="Q260" s="14">
        <f>J260*G260</f>
        <v/>
      </c>
      <c r="R260" s="14">
        <f>K260-Q260</f>
        <v/>
      </c>
      <c r="S260" s="3">
        <f>P260*Assumptions!$B$3/100</f>
        <v/>
      </c>
      <c r="T260" s="14">
        <f>R260-S260</f>
        <v/>
      </c>
      <c r="U260" s="14">
        <f>L260*G260</f>
        <v/>
      </c>
    </row>
    <row r="261">
      <c r="A261" s="12" t="inlineStr">
        <is>
          <t>PO-2021-0259</t>
        </is>
      </c>
      <c r="B261" s="26" t="n">
        <v>44888</v>
      </c>
      <c r="C261" s="12" t="inlineStr">
        <is>
          <t>VS03</t>
        </is>
      </c>
      <c r="D261" s="12" t="inlineStr">
        <is>
          <t>MS Pipes</t>
        </is>
      </c>
      <c r="E261" s="12" t="inlineStr">
        <is>
          <t>N</t>
        </is>
      </c>
      <c r="F261" s="12" t="n">
        <v>4.98</v>
      </c>
      <c r="G261" s="17" t="n">
        <v>120786.65</v>
      </c>
      <c r="H261" s="26" t="n">
        <v>44903</v>
      </c>
      <c r="I261" s="26" t="n">
        <v>44910</v>
      </c>
      <c r="J261" s="12" t="n">
        <v>4.88</v>
      </c>
      <c r="K261" s="17" t="n">
        <v>601517.52</v>
      </c>
      <c r="L261" s="12" t="n">
        <v>0.01</v>
      </c>
      <c r="M261" s="12" t="n">
        <v>0</v>
      </c>
      <c r="N261" s="27">
        <f>F261-J261</f>
        <v/>
      </c>
      <c r="O261" s="16">
        <f>I261-H261</f>
        <v/>
      </c>
      <c r="P261" s="14">
        <f>F261*G261</f>
        <v/>
      </c>
      <c r="Q261" s="14">
        <f>J261*G261</f>
        <v/>
      </c>
      <c r="R261" s="14">
        <f>K261-Q261</f>
        <v/>
      </c>
      <c r="S261" s="3">
        <f>P261*Assumptions!$B$3/100</f>
        <v/>
      </c>
      <c r="T261" s="14">
        <f>R261-S261</f>
        <v/>
      </c>
      <c r="U261" s="14">
        <f>L261*G261</f>
        <v/>
      </c>
    </row>
    <row r="262">
      <c r="A262" s="12" t="inlineStr">
        <is>
          <t>PO-2021-0260</t>
        </is>
      </c>
      <c r="B262" s="26" t="n">
        <v>44739</v>
      </c>
      <c r="C262" s="12" t="inlineStr">
        <is>
          <t>VS14</t>
        </is>
      </c>
      <c r="D262" s="12" t="inlineStr">
        <is>
          <t>GI Wire</t>
        </is>
      </c>
      <c r="E262" s="12" t="inlineStr">
        <is>
          <t>N</t>
        </is>
      </c>
      <c r="F262" s="12" t="n">
        <v>31.29</v>
      </c>
      <c r="G262" s="17" t="n">
        <v>47271.44</v>
      </c>
      <c r="H262" s="26" t="n">
        <v>44752</v>
      </c>
      <c r="I262" s="26" t="n">
        <v>44752</v>
      </c>
      <c r="J262" s="12" t="n">
        <v>31.21</v>
      </c>
      <c r="K262" s="17" t="n">
        <v>1479123.36</v>
      </c>
      <c r="L262" s="12" t="n">
        <v>0</v>
      </c>
      <c r="M262" s="12" t="n">
        <v>4</v>
      </c>
      <c r="N262" s="27">
        <f>F262-J262</f>
        <v/>
      </c>
      <c r="O262" s="16">
        <f>I262-H262</f>
        <v/>
      </c>
      <c r="P262" s="14">
        <f>F262*G262</f>
        <v/>
      </c>
      <c r="Q262" s="14">
        <f>J262*G262</f>
        <v/>
      </c>
      <c r="R262" s="14">
        <f>K262-Q262</f>
        <v/>
      </c>
      <c r="S262" s="3">
        <f>P262*Assumptions!$B$3/100</f>
        <v/>
      </c>
      <c r="T262" s="14">
        <f>R262-S262</f>
        <v/>
      </c>
      <c r="U262" s="14">
        <f>L262*G262</f>
        <v/>
      </c>
    </row>
    <row r="263">
      <c r="A263" s="12" t="inlineStr">
        <is>
          <t>PO-2021-0261</t>
        </is>
      </c>
      <c r="B263" s="26" t="n">
        <v>44790</v>
      </c>
      <c r="C263" s="12" t="inlineStr">
        <is>
          <t>VS20</t>
        </is>
      </c>
      <c r="D263" s="12" t="inlineStr">
        <is>
          <t>Structural Steel</t>
        </is>
      </c>
      <c r="E263" s="12" t="inlineStr">
        <is>
          <t>N</t>
        </is>
      </c>
      <c r="F263" s="12" t="n">
        <v>13</v>
      </c>
      <c r="G263" s="17" t="n">
        <v>105551.2</v>
      </c>
      <c r="H263" s="26" t="n">
        <v>44799</v>
      </c>
      <c r="I263" s="26" t="n">
        <v>44799</v>
      </c>
      <c r="J263" s="12" t="n">
        <v>12.88</v>
      </c>
      <c r="K263" s="17" t="n">
        <v>1372165.6</v>
      </c>
      <c r="L263" s="12" t="n">
        <v>0</v>
      </c>
      <c r="M263" s="12" t="n">
        <v>21</v>
      </c>
      <c r="N263" s="27">
        <f>F263-J263</f>
        <v/>
      </c>
      <c r="O263" s="16">
        <f>I263-H263</f>
        <v/>
      </c>
      <c r="P263" s="14">
        <f>F263*G263</f>
        <v/>
      </c>
      <c r="Q263" s="14">
        <f>J263*G263</f>
        <v/>
      </c>
      <c r="R263" s="14">
        <f>K263-Q263</f>
        <v/>
      </c>
      <c r="S263" s="3">
        <f>P263*Assumptions!$B$3/100</f>
        <v/>
      </c>
      <c r="T263" s="14">
        <f>R263-S263</f>
        <v/>
      </c>
      <c r="U263" s="14">
        <f>L263*G263</f>
        <v/>
      </c>
    </row>
    <row r="264">
      <c r="A264" s="12" t="inlineStr">
        <is>
          <t>PO-2021-0262</t>
        </is>
      </c>
      <c r="B264" s="26" t="n">
        <v>44806</v>
      </c>
      <c r="C264" s="12" t="inlineStr">
        <is>
          <t>VS30</t>
        </is>
      </c>
      <c r="D264" s="12" t="inlineStr">
        <is>
          <t>SS Pipes</t>
        </is>
      </c>
      <c r="E264" s="12" t="inlineStr">
        <is>
          <t>N</t>
        </is>
      </c>
      <c r="F264" s="12" t="n">
        <v>34.74</v>
      </c>
      <c r="G264" s="17" t="n">
        <v>56856.03</v>
      </c>
      <c r="H264" s="26" t="n">
        <v>44815</v>
      </c>
      <c r="I264" s="26" t="n">
        <v>44817</v>
      </c>
      <c r="J264" s="12" t="n">
        <v>34.66</v>
      </c>
      <c r="K264" s="17" t="n">
        <v>1975178.48</v>
      </c>
      <c r="L264" s="12" t="n">
        <v>0</v>
      </c>
      <c r="M264" s="12" t="n">
        <v>24</v>
      </c>
      <c r="N264" s="27">
        <f>F264-J264</f>
        <v/>
      </c>
      <c r="O264" s="16">
        <f>I264-H264</f>
        <v/>
      </c>
      <c r="P264" s="14">
        <f>F264*G264</f>
        <v/>
      </c>
      <c r="Q264" s="14">
        <f>J264*G264</f>
        <v/>
      </c>
      <c r="R264" s="14">
        <f>K264-Q264</f>
        <v/>
      </c>
      <c r="S264" s="3">
        <f>P264*Assumptions!$B$3/100</f>
        <v/>
      </c>
      <c r="T264" s="14">
        <f>R264-S264</f>
        <v/>
      </c>
      <c r="U264" s="14">
        <f>L264*G264</f>
        <v/>
      </c>
    </row>
    <row r="265">
      <c r="A265" s="12" t="inlineStr">
        <is>
          <t>PO-2021-0263</t>
        </is>
      </c>
      <c r="B265" s="26" t="n">
        <v>45188</v>
      </c>
      <c r="C265" s="12" t="inlineStr">
        <is>
          <t>VS30</t>
        </is>
      </c>
      <c r="D265" s="12" t="inlineStr">
        <is>
          <t>GI Sheets</t>
        </is>
      </c>
      <c r="E265" s="12" t="inlineStr">
        <is>
          <t>Y</t>
        </is>
      </c>
      <c r="F265" s="12" t="n">
        <v>17.67</v>
      </c>
      <c r="G265" s="17" t="n">
        <v>55775.15</v>
      </c>
      <c r="H265" s="26" t="n">
        <v>45202</v>
      </c>
      <c r="I265" s="26" t="n">
        <v>45202</v>
      </c>
      <c r="J265" s="12" t="n">
        <v>17.64</v>
      </c>
      <c r="K265" s="17" t="n">
        <v>985546.9</v>
      </c>
      <c r="L265" s="12" t="n">
        <v>0</v>
      </c>
      <c r="M265" s="12" t="n">
        <v>0</v>
      </c>
      <c r="N265" s="27">
        <f>F265-J265</f>
        <v/>
      </c>
      <c r="O265" s="16">
        <f>I265-H265</f>
        <v/>
      </c>
      <c r="P265" s="14">
        <f>F265*G265</f>
        <v/>
      </c>
      <c r="Q265" s="14">
        <f>J265*G265</f>
        <v/>
      </c>
      <c r="R265" s="14">
        <f>K265-Q265</f>
        <v/>
      </c>
      <c r="S265" s="3">
        <f>P265*Assumptions!$B$3/100</f>
        <v/>
      </c>
      <c r="T265" s="14">
        <f>R265-S265</f>
        <v/>
      </c>
      <c r="U265" s="14">
        <f>L265*G265</f>
        <v/>
      </c>
    </row>
    <row r="266">
      <c r="A266" s="12" t="inlineStr">
        <is>
          <t>PO-2021-0264</t>
        </is>
      </c>
      <c r="B266" s="26" t="n">
        <v>44850</v>
      </c>
      <c r="C266" s="12" t="inlineStr">
        <is>
          <t>VS23</t>
        </is>
      </c>
      <c r="D266" s="12" t="inlineStr">
        <is>
          <t>MS Rods</t>
        </is>
      </c>
      <c r="E266" s="12" t="inlineStr">
        <is>
          <t>N</t>
        </is>
      </c>
      <c r="F266" s="12" t="n">
        <v>7.41</v>
      </c>
      <c r="G266" s="17" t="n">
        <v>72790.50999999999</v>
      </c>
      <c r="H266" s="26" t="n">
        <v>44861</v>
      </c>
      <c r="I266" s="26" t="n">
        <v>44862</v>
      </c>
      <c r="J266" s="12" t="n">
        <v>7.38</v>
      </c>
      <c r="K266" s="17" t="n">
        <v>539377.6800000001</v>
      </c>
      <c r="L266" s="12" t="n">
        <v>0</v>
      </c>
      <c r="M266" s="12" t="n">
        <v>0</v>
      </c>
      <c r="N266" s="27">
        <f>F266-J266</f>
        <v/>
      </c>
      <c r="O266" s="16">
        <f>I266-H266</f>
        <v/>
      </c>
      <c r="P266" s="14">
        <f>F266*G266</f>
        <v/>
      </c>
      <c r="Q266" s="14">
        <f>J266*G266</f>
        <v/>
      </c>
      <c r="R266" s="14">
        <f>K266-Q266</f>
        <v/>
      </c>
      <c r="S266" s="3">
        <f>P266*Assumptions!$B$3/100</f>
        <v/>
      </c>
      <c r="T266" s="14">
        <f>R266-S266</f>
        <v/>
      </c>
      <c r="U266" s="14">
        <f>L266*G266</f>
        <v/>
      </c>
    </row>
    <row r="267">
      <c r="A267" s="12" t="inlineStr">
        <is>
          <t>PO-2021-0265</t>
        </is>
      </c>
      <c r="B267" s="26" t="n">
        <v>44414</v>
      </c>
      <c r="C267" s="12" t="inlineStr">
        <is>
          <t>VS21</t>
        </is>
      </c>
      <c r="D267" s="12" t="inlineStr">
        <is>
          <t>HR Coils</t>
        </is>
      </c>
      <c r="E267" s="12" t="inlineStr">
        <is>
          <t>N</t>
        </is>
      </c>
      <c r="F267" s="12" t="n">
        <v>23.86</v>
      </c>
      <c r="G267" s="17" t="n">
        <v>65060.38</v>
      </c>
      <c r="H267" s="26" t="n">
        <v>44420</v>
      </c>
      <c r="I267" s="26" t="n">
        <v>44420</v>
      </c>
      <c r="J267" s="12" t="n">
        <v>23.75</v>
      </c>
      <c r="K267" s="17" t="n">
        <v>1552340.67</v>
      </c>
      <c r="L267" s="12" t="n">
        <v>0</v>
      </c>
      <c r="M267" s="12" t="n">
        <v>9</v>
      </c>
      <c r="N267" s="27">
        <f>F267-J267</f>
        <v/>
      </c>
      <c r="O267" s="16">
        <f>I267-H267</f>
        <v/>
      </c>
      <c r="P267" s="14">
        <f>F267*G267</f>
        <v/>
      </c>
      <c r="Q267" s="14">
        <f>J267*G267</f>
        <v/>
      </c>
      <c r="R267" s="14">
        <f>K267-Q267</f>
        <v/>
      </c>
      <c r="S267" s="3">
        <f>P267*Assumptions!$B$3/100</f>
        <v/>
      </c>
      <c r="T267" s="14">
        <f>R267-S267</f>
        <v/>
      </c>
      <c r="U267" s="14">
        <f>L267*G267</f>
        <v/>
      </c>
    </row>
    <row r="268">
      <c r="A268" s="12" t="inlineStr">
        <is>
          <t>PO-2021-0266</t>
        </is>
      </c>
      <c r="B268" s="26" t="n">
        <v>44485</v>
      </c>
      <c r="C268" s="12" t="inlineStr">
        <is>
          <t>VS07</t>
        </is>
      </c>
      <c r="D268" s="12" t="inlineStr">
        <is>
          <t>GI Pipes</t>
        </is>
      </c>
      <c r="E268" s="12" t="inlineStr">
        <is>
          <t>N</t>
        </is>
      </c>
      <c r="F268" s="12" t="n">
        <v>15.22</v>
      </c>
      <c r="G268" s="17" t="n">
        <v>73811.24000000001</v>
      </c>
      <c r="H268" s="26" t="n">
        <v>44497</v>
      </c>
      <c r="I268" s="26" t="n">
        <v>44497</v>
      </c>
      <c r="J268" s="12" t="n">
        <v>15.11</v>
      </c>
      <c r="K268" s="17" t="n">
        <v>1123407.07</v>
      </c>
      <c r="L268" s="12" t="n">
        <v>0</v>
      </c>
      <c r="M268" s="12" t="n">
        <v>0</v>
      </c>
      <c r="N268" s="27">
        <f>F268-J268</f>
        <v/>
      </c>
      <c r="O268" s="16">
        <f>I268-H268</f>
        <v/>
      </c>
      <c r="P268" s="14">
        <f>F268*G268</f>
        <v/>
      </c>
      <c r="Q268" s="14">
        <f>J268*G268</f>
        <v/>
      </c>
      <c r="R268" s="14">
        <f>K268-Q268</f>
        <v/>
      </c>
      <c r="S268" s="3">
        <f>P268*Assumptions!$B$3/100</f>
        <v/>
      </c>
      <c r="T268" s="14">
        <f>R268-S268</f>
        <v/>
      </c>
      <c r="U268" s="14">
        <f>L268*G268</f>
        <v/>
      </c>
    </row>
    <row r="269">
      <c r="A269" s="12" t="inlineStr">
        <is>
          <t>PO-2021-0267</t>
        </is>
      </c>
      <c r="B269" s="26" t="n">
        <v>45053</v>
      </c>
      <c r="C269" s="12" t="inlineStr">
        <is>
          <t>VS16</t>
        </is>
      </c>
      <c r="D269" s="12" t="inlineStr">
        <is>
          <t>MS Sheets</t>
        </is>
      </c>
      <c r="E269" s="12" t="inlineStr">
        <is>
          <t>N</t>
        </is>
      </c>
      <c r="F269" s="12" t="n">
        <v>40.86</v>
      </c>
      <c r="G269" s="17" t="n">
        <v>115031.37</v>
      </c>
      <c r="H269" s="26" t="n">
        <v>45067</v>
      </c>
      <c r="I269" s="26" t="n">
        <v>45067</v>
      </c>
      <c r="J269" s="12" t="n">
        <v>40.61</v>
      </c>
      <c r="K269" s="17" t="n">
        <v>4700181.78</v>
      </c>
      <c r="L269" s="12" t="n">
        <v>0</v>
      </c>
      <c r="M269" s="12" t="n">
        <v>0</v>
      </c>
      <c r="N269" s="27">
        <f>F269-J269</f>
        <v/>
      </c>
      <c r="O269" s="16">
        <f>I269-H269</f>
        <v/>
      </c>
      <c r="P269" s="14">
        <f>F269*G269</f>
        <v/>
      </c>
      <c r="Q269" s="14">
        <f>J269*G269</f>
        <v/>
      </c>
      <c r="R269" s="14">
        <f>K269-Q269</f>
        <v/>
      </c>
      <c r="S269" s="3">
        <f>P269*Assumptions!$B$3/100</f>
        <v/>
      </c>
      <c r="T269" s="14">
        <f>R269-S269</f>
        <v/>
      </c>
      <c r="U269" s="14">
        <f>L269*G269</f>
        <v/>
      </c>
    </row>
    <row r="270">
      <c r="A270" s="12" t="inlineStr">
        <is>
          <t>PO-2021-0268</t>
        </is>
      </c>
      <c r="B270" s="26" t="n">
        <v>44837</v>
      </c>
      <c r="C270" s="12" t="inlineStr">
        <is>
          <t>VS13</t>
        </is>
      </c>
      <c r="D270" s="12" t="inlineStr">
        <is>
          <t>MS Sheets</t>
        </is>
      </c>
      <c r="E270" s="12" t="inlineStr">
        <is>
          <t>N</t>
        </is>
      </c>
      <c r="F270" s="12" t="n">
        <v>25.42</v>
      </c>
      <c r="G270" s="17" t="n">
        <v>83604.36</v>
      </c>
      <c r="H270" s="26" t="n">
        <v>44847</v>
      </c>
      <c r="I270" s="26" t="n">
        <v>44847</v>
      </c>
      <c r="J270" s="12" t="n">
        <v>25.27</v>
      </c>
      <c r="K270" s="17" t="n">
        <v>2125222.83</v>
      </c>
      <c r="L270" s="12" t="n">
        <v>0</v>
      </c>
      <c r="M270" s="12" t="n">
        <v>0</v>
      </c>
      <c r="N270" s="27">
        <f>F270-J270</f>
        <v/>
      </c>
      <c r="O270" s="16">
        <f>I270-H270</f>
        <v/>
      </c>
      <c r="P270" s="14">
        <f>F270*G270</f>
        <v/>
      </c>
      <c r="Q270" s="14">
        <f>J270*G270</f>
        <v/>
      </c>
      <c r="R270" s="14">
        <f>K270-Q270</f>
        <v/>
      </c>
      <c r="S270" s="3">
        <f>P270*Assumptions!$B$3/100</f>
        <v/>
      </c>
      <c r="T270" s="14">
        <f>R270-S270</f>
        <v/>
      </c>
      <c r="U270" s="14">
        <f>L270*G270</f>
        <v/>
      </c>
    </row>
    <row r="271">
      <c r="A271" s="12" t="inlineStr">
        <is>
          <t>PO-2021-0269</t>
        </is>
      </c>
      <c r="B271" s="26" t="n">
        <v>44828</v>
      </c>
      <c r="C271" s="12" t="inlineStr">
        <is>
          <t>VS32</t>
        </is>
      </c>
      <c r="D271" s="12" t="inlineStr">
        <is>
          <t>MS Pipes</t>
        </is>
      </c>
      <c r="E271" s="12" t="inlineStr">
        <is>
          <t>N</t>
        </is>
      </c>
      <c r="F271" s="12" t="n">
        <v>5.41</v>
      </c>
      <c r="G271" s="17" t="n">
        <v>74493.16</v>
      </c>
      <c r="H271" s="26" t="n">
        <v>44838</v>
      </c>
      <c r="I271" s="26" t="n">
        <v>44841</v>
      </c>
      <c r="J271" s="12" t="n">
        <v>5.39</v>
      </c>
      <c r="K271" s="17" t="n">
        <v>403008</v>
      </c>
      <c r="L271" s="12" t="n">
        <v>0</v>
      </c>
      <c r="M271" s="12" t="n">
        <v>14</v>
      </c>
      <c r="N271" s="27">
        <f>F271-J271</f>
        <v/>
      </c>
      <c r="O271" s="16">
        <f>I271-H271</f>
        <v/>
      </c>
      <c r="P271" s="14">
        <f>F271*G271</f>
        <v/>
      </c>
      <c r="Q271" s="14">
        <f>J271*G271</f>
        <v/>
      </c>
      <c r="R271" s="14">
        <f>K271-Q271</f>
        <v/>
      </c>
      <c r="S271" s="3">
        <f>P271*Assumptions!$B$3/100</f>
        <v/>
      </c>
      <c r="T271" s="14">
        <f>R271-S271</f>
        <v/>
      </c>
      <c r="U271" s="14">
        <f>L271*G271</f>
        <v/>
      </c>
    </row>
    <row r="272">
      <c r="A272" s="12" t="inlineStr">
        <is>
          <t>PO-2021-0270</t>
        </is>
      </c>
      <c r="B272" s="26" t="n">
        <v>44690</v>
      </c>
      <c r="C272" s="12" t="inlineStr">
        <is>
          <t>VS14</t>
        </is>
      </c>
      <c r="D272" s="12" t="inlineStr">
        <is>
          <t>Angles &amp; Channels</t>
        </is>
      </c>
      <c r="E272" s="12" t="inlineStr">
        <is>
          <t>N</t>
        </is>
      </c>
      <c r="F272" s="12" t="n">
        <v>3.38</v>
      </c>
      <c r="G272" s="17" t="n">
        <v>66101.73</v>
      </c>
      <c r="H272" s="26" t="n">
        <v>44702</v>
      </c>
      <c r="I272" s="26" t="n">
        <v>44704</v>
      </c>
      <c r="J272" s="12" t="n">
        <v>3.35</v>
      </c>
      <c r="K272" s="17" t="n">
        <v>223423.85</v>
      </c>
      <c r="L272" s="12" t="n">
        <v>0</v>
      </c>
      <c r="M272" s="12" t="n">
        <v>0</v>
      </c>
      <c r="N272" s="27">
        <f>F272-J272</f>
        <v/>
      </c>
      <c r="O272" s="16">
        <f>I272-H272</f>
        <v/>
      </c>
      <c r="P272" s="14">
        <f>F272*G272</f>
        <v/>
      </c>
      <c r="Q272" s="14">
        <f>J272*G272</f>
        <v/>
      </c>
      <c r="R272" s="14">
        <f>K272-Q272</f>
        <v/>
      </c>
      <c r="S272" s="3">
        <f>P272*Assumptions!$B$3/100</f>
        <v/>
      </c>
      <c r="T272" s="14">
        <f>R272-S272</f>
        <v/>
      </c>
      <c r="U272" s="14">
        <f>L272*G272</f>
        <v/>
      </c>
    </row>
    <row r="273">
      <c r="A273" s="12" t="inlineStr">
        <is>
          <t>PO-2021-0271</t>
        </is>
      </c>
      <c r="B273" s="26" t="n">
        <v>45160</v>
      </c>
      <c r="C273" s="12" t="inlineStr">
        <is>
          <t>VS19</t>
        </is>
      </c>
      <c r="D273" s="12" t="inlineStr">
        <is>
          <t>Spring Steel</t>
        </is>
      </c>
      <c r="E273" s="12" t="inlineStr">
        <is>
          <t>N</t>
        </is>
      </c>
      <c r="F273" s="12" t="n">
        <v>1.4</v>
      </c>
      <c r="G273" s="17" t="n">
        <v>55184.77</v>
      </c>
      <c r="H273" s="26" t="n">
        <v>45165</v>
      </c>
      <c r="I273" s="26" t="n">
        <v>45170</v>
      </c>
      <c r="J273" s="12" t="n">
        <v>1.37</v>
      </c>
      <c r="K273" s="17" t="n">
        <v>77258.67999999999</v>
      </c>
      <c r="L273" s="12" t="n">
        <v>0</v>
      </c>
      <c r="M273" s="12" t="n">
        <v>1</v>
      </c>
      <c r="N273" s="27">
        <f>F273-J273</f>
        <v/>
      </c>
      <c r="O273" s="16">
        <f>I273-H273</f>
        <v/>
      </c>
      <c r="P273" s="14">
        <f>F273*G273</f>
        <v/>
      </c>
      <c r="Q273" s="14">
        <f>J273*G273</f>
        <v/>
      </c>
      <c r="R273" s="14">
        <f>K273-Q273</f>
        <v/>
      </c>
      <c r="S273" s="3">
        <f>P273*Assumptions!$B$3/100</f>
        <v/>
      </c>
      <c r="T273" s="14">
        <f>R273-S273</f>
        <v/>
      </c>
      <c r="U273" s="14">
        <f>L273*G273</f>
        <v/>
      </c>
    </row>
    <row r="274">
      <c r="A274" s="12" t="inlineStr">
        <is>
          <t>PO-2021-0272</t>
        </is>
      </c>
      <c r="B274" s="26" t="n">
        <v>44738</v>
      </c>
      <c r="C274" s="12" t="inlineStr">
        <is>
          <t>VS24</t>
        </is>
      </c>
      <c r="D274" s="12" t="inlineStr">
        <is>
          <t>MS Rods</t>
        </is>
      </c>
      <c r="E274" s="12" t="inlineStr">
        <is>
          <t>N</t>
        </is>
      </c>
      <c r="F274" s="12" t="n">
        <v>18.93</v>
      </c>
      <c r="G274" s="17" t="n">
        <v>75043.62</v>
      </c>
      <c r="H274" s="26" t="n">
        <v>44750</v>
      </c>
      <c r="I274" s="26" t="n">
        <v>44750</v>
      </c>
      <c r="J274" s="12" t="n">
        <v>18.87</v>
      </c>
      <c r="K274" s="17" t="n">
        <v>1420575.73</v>
      </c>
      <c r="L274" s="12" t="n">
        <v>0</v>
      </c>
      <c r="M274" s="12" t="n">
        <v>0</v>
      </c>
      <c r="N274" s="27">
        <f>F274-J274</f>
        <v/>
      </c>
      <c r="O274" s="16">
        <f>I274-H274</f>
        <v/>
      </c>
      <c r="P274" s="14">
        <f>F274*G274</f>
        <v/>
      </c>
      <c r="Q274" s="14">
        <f>J274*G274</f>
        <v/>
      </c>
      <c r="R274" s="14">
        <f>K274-Q274</f>
        <v/>
      </c>
      <c r="S274" s="3">
        <f>P274*Assumptions!$B$3/100</f>
        <v/>
      </c>
      <c r="T274" s="14">
        <f>R274-S274</f>
        <v/>
      </c>
      <c r="U274" s="14">
        <f>L274*G274</f>
        <v/>
      </c>
    </row>
    <row r="275">
      <c r="A275" s="12" t="inlineStr">
        <is>
          <t>PO-2021-0273</t>
        </is>
      </c>
      <c r="B275" s="26" t="n">
        <v>44595</v>
      </c>
      <c r="C275" s="12" t="inlineStr">
        <is>
          <t>VS24</t>
        </is>
      </c>
      <c r="D275" s="12" t="inlineStr">
        <is>
          <t>Spring Steel</t>
        </is>
      </c>
      <c r="E275" s="12" t="inlineStr">
        <is>
          <t>Y</t>
        </is>
      </c>
      <c r="F275" s="12" t="n">
        <v>15.14</v>
      </c>
      <c r="G275" s="17" t="n">
        <v>73976.16</v>
      </c>
      <c r="H275" s="26" t="n">
        <v>44605</v>
      </c>
      <c r="I275" s="26" t="n">
        <v>44607</v>
      </c>
      <c r="J275" s="12" t="n">
        <v>15.14</v>
      </c>
      <c r="K275" s="17" t="n">
        <v>1119999.06</v>
      </c>
      <c r="L275" s="12" t="n">
        <v>0</v>
      </c>
      <c r="M275" s="12" t="n">
        <v>0</v>
      </c>
      <c r="N275" s="27">
        <f>F275-J275</f>
        <v/>
      </c>
      <c r="O275" s="16">
        <f>I275-H275</f>
        <v/>
      </c>
      <c r="P275" s="14">
        <f>F275*G275</f>
        <v/>
      </c>
      <c r="Q275" s="14">
        <f>J275*G275</f>
        <v/>
      </c>
      <c r="R275" s="14">
        <f>K275-Q275</f>
        <v/>
      </c>
      <c r="S275" s="3">
        <f>P275*Assumptions!$B$3/100</f>
        <v/>
      </c>
      <c r="T275" s="14">
        <f>R275-S275</f>
        <v/>
      </c>
      <c r="U275" s="14">
        <f>L275*G275</f>
        <v/>
      </c>
    </row>
    <row r="276">
      <c r="A276" s="12" t="inlineStr">
        <is>
          <t>PO-2021-0274</t>
        </is>
      </c>
      <c r="B276" s="26" t="n">
        <v>44769</v>
      </c>
      <c r="C276" s="12" t="inlineStr">
        <is>
          <t>VS08</t>
        </is>
      </c>
      <c r="D276" s="12" t="inlineStr">
        <is>
          <t>Square/Rect Tubes</t>
        </is>
      </c>
      <c r="E276" s="12" t="inlineStr">
        <is>
          <t>N</t>
        </is>
      </c>
      <c r="F276" s="12" t="n">
        <v>48.78</v>
      </c>
      <c r="G276" s="17" t="n">
        <v>74542.78</v>
      </c>
      <c r="H276" s="26" t="n">
        <v>44784</v>
      </c>
      <c r="I276" s="26" t="n">
        <v>44785</v>
      </c>
      <c r="J276" s="12" t="n">
        <v>48.48</v>
      </c>
      <c r="K276" s="17" t="n">
        <v>3636196.81</v>
      </c>
      <c r="L276" s="12" t="n">
        <v>0</v>
      </c>
      <c r="M276" s="12" t="n">
        <v>0</v>
      </c>
      <c r="N276" s="27">
        <f>F276-J276</f>
        <v/>
      </c>
      <c r="O276" s="16">
        <f>I276-H276</f>
        <v/>
      </c>
      <c r="P276" s="14">
        <f>F276*G276</f>
        <v/>
      </c>
      <c r="Q276" s="14">
        <f>J276*G276</f>
        <v/>
      </c>
      <c r="R276" s="14">
        <f>K276-Q276</f>
        <v/>
      </c>
      <c r="S276" s="3">
        <f>P276*Assumptions!$B$3/100</f>
        <v/>
      </c>
      <c r="T276" s="14">
        <f>R276-S276</f>
        <v/>
      </c>
      <c r="U276" s="14">
        <f>L276*G276</f>
        <v/>
      </c>
    </row>
    <row r="277">
      <c r="A277" s="12" t="inlineStr">
        <is>
          <t>PO-2021-0275</t>
        </is>
      </c>
      <c r="B277" s="26" t="n">
        <v>44891</v>
      </c>
      <c r="C277" s="12" t="inlineStr">
        <is>
          <t>VS24</t>
        </is>
      </c>
      <c r="D277" s="12" t="inlineStr">
        <is>
          <t>Square/Rect Tubes</t>
        </is>
      </c>
      <c r="E277" s="12" t="inlineStr">
        <is>
          <t>N</t>
        </is>
      </c>
      <c r="F277" s="12" t="n">
        <v>10.75</v>
      </c>
      <c r="G277" s="17" t="n">
        <v>83184.19</v>
      </c>
      <c r="H277" s="26" t="n">
        <v>44902</v>
      </c>
      <c r="I277" s="26" t="n">
        <v>44902</v>
      </c>
      <c r="J277" s="12" t="n">
        <v>10.64</v>
      </c>
      <c r="K277" s="17" t="n">
        <v>894230.04</v>
      </c>
      <c r="L277" s="12" t="n">
        <v>0</v>
      </c>
      <c r="M277" s="12" t="n">
        <v>15</v>
      </c>
      <c r="N277" s="27">
        <f>F277-J277</f>
        <v/>
      </c>
      <c r="O277" s="16">
        <f>I277-H277</f>
        <v/>
      </c>
      <c r="P277" s="14">
        <f>F277*G277</f>
        <v/>
      </c>
      <c r="Q277" s="14">
        <f>J277*G277</f>
        <v/>
      </c>
      <c r="R277" s="14">
        <f>K277-Q277</f>
        <v/>
      </c>
      <c r="S277" s="3">
        <f>P277*Assumptions!$B$3/100</f>
        <v/>
      </c>
      <c r="T277" s="14">
        <f>R277-S277</f>
        <v/>
      </c>
      <c r="U277" s="14">
        <f>L277*G277</f>
        <v/>
      </c>
    </row>
    <row r="278">
      <c r="A278" s="12" t="inlineStr">
        <is>
          <t>PO-2021-0276</t>
        </is>
      </c>
      <c r="B278" s="26" t="n">
        <v>44279</v>
      </c>
      <c r="C278" s="12" t="inlineStr">
        <is>
          <t>VS03</t>
        </is>
      </c>
      <c r="D278" s="12" t="inlineStr">
        <is>
          <t>GI Pipes</t>
        </is>
      </c>
      <c r="E278" s="12" t="inlineStr">
        <is>
          <t>N</t>
        </is>
      </c>
      <c r="F278" s="12" t="n">
        <v>7.71</v>
      </c>
      <c r="G278" s="17" t="n">
        <v>72777.17999999999</v>
      </c>
      <c r="H278" s="26" t="n">
        <v>44289</v>
      </c>
      <c r="I278" s="26" t="n">
        <v>44292</v>
      </c>
      <c r="J278" s="12" t="n">
        <v>7.52</v>
      </c>
      <c r="K278" s="17" t="n">
        <v>561112.0600000001</v>
      </c>
      <c r="L278" s="12" t="n">
        <v>0.27</v>
      </c>
      <c r="M278" s="12" t="n">
        <v>0</v>
      </c>
      <c r="N278" s="27">
        <f>F278-J278</f>
        <v/>
      </c>
      <c r="O278" s="16">
        <f>I278-H278</f>
        <v/>
      </c>
      <c r="P278" s="14">
        <f>F278*G278</f>
        <v/>
      </c>
      <c r="Q278" s="14">
        <f>J278*G278</f>
        <v/>
      </c>
      <c r="R278" s="14">
        <f>K278-Q278</f>
        <v/>
      </c>
      <c r="S278" s="3">
        <f>P278*Assumptions!$B$3/100</f>
        <v/>
      </c>
      <c r="T278" s="14">
        <f>R278-S278</f>
        <v/>
      </c>
      <c r="U278" s="14">
        <f>L278*G278</f>
        <v/>
      </c>
    </row>
    <row r="279">
      <c r="A279" s="12" t="inlineStr">
        <is>
          <t>PO-2021-0277</t>
        </is>
      </c>
      <c r="B279" s="26" t="n">
        <v>45260</v>
      </c>
      <c r="C279" s="12" t="inlineStr">
        <is>
          <t>VS30</t>
        </is>
      </c>
      <c r="D279" s="12" t="inlineStr">
        <is>
          <t>Square/Rect Tubes</t>
        </is>
      </c>
      <c r="E279" s="12" t="inlineStr">
        <is>
          <t>Y</t>
        </is>
      </c>
      <c r="F279" s="12" t="n">
        <v>30.71</v>
      </c>
      <c r="G279" s="17" t="n">
        <v>83662.92999999999</v>
      </c>
      <c r="H279" s="26" t="n">
        <v>45268</v>
      </c>
      <c r="I279" s="26" t="n">
        <v>45268</v>
      </c>
      <c r="J279" s="12" t="n">
        <v>30.61</v>
      </c>
      <c r="K279" s="17" t="n">
        <v>2569288.58</v>
      </c>
      <c r="L279" s="12" t="n">
        <v>0</v>
      </c>
      <c r="M279" s="12" t="n">
        <v>0</v>
      </c>
      <c r="N279" s="27">
        <f>F279-J279</f>
        <v/>
      </c>
      <c r="O279" s="16">
        <f>I279-H279</f>
        <v/>
      </c>
      <c r="P279" s="14">
        <f>F279*G279</f>
        <v/>
      </c>
      <c r="Q279" s="14">
        <f>J279*G279</f>
        <v/>
      </c>
      <c r="R279" s="14">
        <f>K279-Q279</f>
        <v/>
      </c>
      <c r="S279" s="3">
        <f>P279*Assumptions!$B$3/100</f>
        <v/>
      </c>
      <c r="T279" s="14">
        <f>R279-S279</f>
        <v/>
      </c>
      <c r="U279" s="14">
        <f>L279*G279</f>
        <v/>
      </c>
    </row>
    <row r="280">
      <c r="A280" s="12" t="inlineStr">
        <is>
          <t>PO-2021-0278</t>
        </is>
      </c>
      <c r="B280" s="26" t="n">
        <v>44849</v>
      </c>
      <c r="C280" s="12" t="inlineStr">
        <is>
          <t>VS11</t>
        </is>
      </c>
      <c r="D280" s="12" t="inlineStr">
        <is>
          <t>MS Rods</t>
        </is>
      </c>
      <c r="E280" s="12" t="inlineStr">
        <is>
          <t>N</t>
        </is>
      </c>
      <c r="F280" s="12" t="n">
        <v>49.54</v>
      </c>
      <c r="G280" s="17" t="n">
        <v>100448.95</v>
      </c>
      <c r="H280" s="26" t="n">
        <v>44856</v>
      </c>
      <c r="I280" s="26" t="n">
        <v>44859</v>
      </c>
      <c r="J280" s="12" t="n">
        <v>49.12</v>
      </c>
      <c r="K280" s="17" t="n">
        <v>4976240.98</v>
      </c>
      <c r="L280" s="12" t="n">
        <v>0</v>
      </c>
      <c r="M280" s="12" t="n">
        <v>0</v>
      </c>
      <c r="N280" s="27">
        <f>F280-J280</f>
        <v/>
      </c>
      <c r="O280" s="16">
        <f>I280-H280</f>
        <v/>
      </c>
      <c r="P280" s="14">
        <f>F280*G280</f>
        <v/>
      </c>
      <c r="Q280" s="14">
        <f>J280*G280</f>
        <v/>
      </c>
      <c r="R280" s="14">
        <f>K280-Q280</f>
        <v/>
      </c>
      <c r="S280" s="3">
        <f>P280*Assumptions!$B$3/100</f>
        <v/>
      </c>
      <c r="T280" s="14">
        <f>R280-S280</f>
        <v/>
      </c>
      <c r="U280" s="14">
        <f>L280*G280</f>
        <v/>
      </c>
    </row>
    <row r="281">
      <c r="A281" s="12" t="inlineStr">
        <is>
          <t>PO-2021-0279</t>
        </is>
      </c>
      <c r="B281" s="26" t="n">
        <v>44885</v>
      </c>
      <c r="C281" s="12" t="inlineStr">
        <is>
          <t>VS33</t>
        </is>
      </c>
      <c r="D281" s="12" t="inlineStr">
        <is>
          <t>Hex Bars</t>
        </is>
      </c>
      <c r="E281" s="12" t="inlineStr">
        <is>
          <t>N</t>
        </is>
      </c>
      <c r="F281" s="12" t="n">
        <v>27.08</v>
      </c>
      <c r="G281" s="17" t="n">
        <v>98155.49000000001</v>
      </c>
      <c r="H281" s="26" t="n">
        <v>44892</v>
      </c>
      <c r="I281" s="26" t="n">
        <v>44895</v>
      </c>
      <c r="J281" s="12" t="n">
        <v>26.87</v>
      </c>
      <c r="K281" s="17" t="n">
        <v>2658050.67</v>
      </c>
      <c r="L281" s="12" t="n">
        <v>0</v>
      </c>
      <c r="M281" s="12" t="n">
        <v>0</v>
      </c>
      <c r="N281" s="27">
        <f>F281-J281</f>
        <v/>
      </c>
      <c r="O281" s="16">
        <f>I281-H281</f>
        <v/>
      </c>
      <c r="P281" s="14">
        <f>F281*G281</f>
        <v/>
      </c>
      <c r="Q281" s="14">
        <f>J281*G281</f>
        <v/>
      </c>
      <c r="R281" s="14">
        <f>K281-Q281</f>
        <v/>
      </c>
      <c r="S281" s="3">
        <f>P281*Assumptions!$B$3/100</f>
        <v/>
      </c>
      <c r="T281" s="14">
        <f>R281-S281</f>
        <v/>
      </c>
      <c r="U281" s="14">
        <f>L281*G281</f>
        <v/>
      </c>
    </row>
    <row r="282">
      <c r="A282" s="12" t="inlineStr">
        <is>
          <t>PO-2021-0280</t>
        </is>
      </c>
      <c r="B282" s="26" t="n">
        <v>45169</v>
      </c>
      <c r="C282" s="12" t="inlineStr">
        <is>
          <t>VS02</t>
        </is>
      </c>
      <c r="D282" s="12" t="inlineStr">
        <is>
          <t>Angles &amp; Channels</t>
        </is>
      </c>
      <c r="E282" s="12" t="inlineStr">
        <is>
          <t>N</t>
        </is>
      </c>
      <c r="F282" s="12" t="n">
        <v>17.23</v>
      </c>
      <c r="G282" s="17" t="n">
        <v>53220.34</v>
      </c>
      <c r="H282" s="26" t="n">
        <v>45178</v>
      </c>
      <c r="I282" s="26" t="n">
        <v>45180</v>
      </c>
      <c r="J282" s="12" t="n">
        <v>17.06</v>
      </c>
      <c r="K282" s="17" t="n">
        <v>916986.46</v>
      </c>
      <c r="L282" s="12" t="n">
        <v>0</v>
      </c>
      <c r="M282" s="12" t="n">
        <v>22</v>
      </c>
      <c r="N282" s="27">
        <f>F282-J282</f>
        <v/>
      </c>
      <c r="O282" s="16">
        <f>I282-H282</f>
        <v/>
      </c>
      <c r="P282" s="14">
        <f>F282*G282</f>
        <v/>
      </c>
      <c r="Q282" s="14">
        <f>J282*G282</f>
        <v/>
      </c>
      <c r="R282" s="14">
        <f>K282-Q282</f>
        <v/>
      </c>
      <c r="S282" s="3">
        <f>P282*Assumptions!$B$3/100</f>
        <v/>
      </c>
      <c r="T282" s="14">
        <f>R282-S282</f>
        <v/>
      </c>
      <c r="U282" s="14">
        <f>L282*G282</f>
        <v/>
      </c>
    </row>
    <row r="283">
      <c r="A283" s="12" t="inlineStr">
        <is>
          <t>PO-2021-0281</t>
        </is>
      </c>
      <c r="B283" s="26" t="n">
        <v>44827</v>
      </c>
      <c r="C283" s="12" t="inlineStr">
        <is>
          <t>VS02</t>
        </is>
      </c>
      <c r="D283" s="12" t="inlineStr">
        <is>
          <t>Structural Steel</t>
        </is>
      </c>
      <c r="E283" s="12" t="inlineStr">
        <is>
          <t>N</t>
        </is>
      </c>
      <c r="F283" s="12" t="n">
        <v>14.01</v>
      </c>
      <c r="G283" s="17" t="n">
        <v>94169.32000000001</v>
      </c>
      <c r="H283" s="26" t="n">
        <v>44842</v>
      </c>
      <c r="I283" s="26" t="n">
        <v>44843</v>
      </c>
      <c r="J283" s="12" t="n">
        <v>13.97</v>
      </c>
      <c r="K283" s="17" t="n">
        <v>1319312.17</v>
      </c>
      <c r="L283" s="12" t="n">
        <v>0</v>
      </c>
      <c r="M283" s="12" t="n">
        <v>2</v>
      </c>
      <c r="N283" s="27">
        <f>F283-J283</f>
        <v/>
      </c>
      <c r="O283" s="16">
        <f>I283-H283</f>
        <v/>
      </c>
      <c r="P283" s="14">
        <f>F283*G283</f>
        <v/>
      </c>
      <c r="Q283" s="14">
        <f>J283*G283</f>
        <v/>
      </c>
      <c r="R283" s="14">
        <f>K283-Q283</f>
        <v/>
      </c>
      <c r="S283" s="3">
        <f>P283*Assumptions!$B$3/100</f>
        <v/>
      </c>
      <c r="T283" s="14">
        <f>R283-S283</f>
        <v/>
      </c>
      <c r="U283" s="14">
        <f>L283*G283</f>
        <v/>
      </c>
    </row>
    <row r="284">
      <c r="A284" s="12" t="inlineStr">
        <is>
          <t>PO-2021-0282</t>
        </is>
      </c>
      <c r="B284" s="26" t="n">
        <v>44663</v>
      </c>
      <c r="C284" s="12" t="inlineStr">
        <is>
          <t>VS04</t>
        </is>
      </c>
      <c r="D284" s="12" t="inlineStr">
        <is>
          <t>Structural Steel</t>
        </is>
      </c>
      <c r="E284" s="12" t="inlineStr">
        <is>
          <t>N</t>
        </is>
      </c>
      <c r="F284" s="12" t="n">
        <v>9.359999999999999</v>
      </c>
      <c r="G284" s="17" t="n">
        <v>92176.89</v>
      </c>
      <c r="H284" s="26" t="n">
        <v>44675</v>
      </c>
      <c r="I284" s="26" t="n">
        <v>44675</v>
      </c>
      <c r="J284" s="12" t="n">
        <v>9.359999999999999</v>
      </c>
      <c r="K284" s="17" t="n">
        <v>862775.6899999999</v>
      </c>
      <c r="L284" s="12" t="n">
        <v>0</v>
      </c>
      <c r="M284" s="12" t="n">
        <v>3</v>
      </c>
      <c r="N284" s="27">
        <f>F284-J284</f>
        <v/>
      </c>
      <c r="O284" s="16">
        <f>I284-H284</f>
        <v/>
      </c>
      <c r="P284" s="14">
        <f>F284*G284</f>
        <v/>
      </c>
      <c r="Q284" s="14">
        <f>J284*G284</f>
        <v/>
      </c>
      <c r="R284" s="14">
        <f>K284-Q284</f>
        <v/>
      </c>
      <c r="S284" s="3">
        <f>P284*Assumptions!$B$3/100</f>
        <v/>
      </c>
      <c r="T284" s="14">
        <f>R284-S284</f>
        <v/>
      </c>
      <c r="U284" s="14">
        <f>L284*G284</f>
        <v/>
      </c>
    </row>
    <row r="285">
      <c r="A285" s="12" t="inlineStr">
        <is>
          <t>PO-2021-0283</t>
        </is>
      </c>
      <c r="B285" s="26" t="n">
        <v>44975</v>
      </c>
      <c r="C285" s="12" t="inlineStr">
        <is>
          <t>VS10</t>
        </is>
      </c>
      <c r="D285" s="12" t="inlineStr">
        <is>
          <t>HR Coils</t>
        </is>
      </c>
      <c r="E285" s="12" t="inlineStr">
        <is>
          <t>N</t>
        </is>
      </c>
      <c r="F285" s="12" t="n">
        <v>2.55</v>
      </c>
      <c r="G285" s="17" t="n">
        <v>116115.39</v>
      </c>
      <c r="H285" s="26" t="n">
        <v>44979</v>
      </c>
      <c r="I285" s="26" t="n">
        <v>44979</v>
      </c>
      <c r="J285" s="12" t="n">
        <v>2.54</v>
      </c>
      <c r="K285" s="17" t="n">
        <v>296094.24</v>
      </c>
      <c r="L285" s="12" t="n">
        <v>0</v>
      </c>
      <c r="M285" s="12" t="n">
        <v>0</v>
      </c>
      <c r="N285" s="27">
        <f>F285-J285</f>
        <v/>
      </c>
      <c r="O285" s="16">
        <f>I285-H285</f>
        <v/>
      </c>
      <c r="P285" s="14">
        <f>F285*G285</f>
        <v/>
      </c>
      <c r="Q285" s="14">
        <f>J285*G285</f>
        <v/>
      </c>
      <c r="R285" s="14">
        <f>K285-Q285</f>
        <v/>
      </c>
      <c r="S285" s="3">
        <f>P285*Assumptions!$B$3/100</f>
        <v/>
      </c>
      <c r="T285" s="14">
        <f>R285-S285</f>
        <v/>
      </c>
      <c r="U285" s="14">
        <f>L285*G285</f>
        <v/>
      </c>
    </row>
    <row r="286">
      <c r="A286" s="12" t="inlineStr">
        <is>
          <t>PO-2021-0284</t>
        </is>
      </c>
      <c r="B286" s="26" t="n">
        <v>44587</v>
      </c>
      <c r="C286" s="12" t="inlineStr">
        <is>
          <t>VS02</t>
        </is>
      </c>
      <c r="D286" s="12" t="inlineStr">
        <is>
          <t>Fasteners &amp; Fittings</t>
        </is>
      </c>
      <c r="E286" s="12" t="inlineStr">
        <is>
          <t>N</t>
        </is>
      </c>
      <c r="F286" s="12" t="n">
        <v>16.37</v>
      </c>
      <c r="G286" s="17" t="n">
        <v>56357.34</v>
      </c>
      <c r="H286" s="26" t="n">
        <v>44601</v>
      </c>
      <c r="I286" s="26" t="n">
        <v>44604</v>
      </c>
      <c r="J286" s="12" t="n">
        <v>16.36</v>
      </c>
      <c r="K286" s="17" t="n">
        <v>922569.66</v>
      </c>
      <c r="L286" s="12" t="n">
        <v>0</v>
      </c>
      <c r="M286" s="12" t="n">
        <v>0</v>
      </c>
      <c r="N286" s="27">
        <f>F286-J286</f>
        <v/>
      </c>
      <c r="O286" s="16">
        <f>I286-H286</f>
        <v/>
      </c>
      <c r="P286" s="14">
        <f>F286*G286</f>
        <v/>
      </c>
      <c r="Q286" s="14">
        <f>J286*G286</f>
        <v/>
      </c>
      <c r="R286" s="14">
        <f>K286-Q286</f>
        <v/>
      </c>
      <c r="S286" s="3">
        <f>P286*Assumptions!$B$3/100</f>
        <v/>
      </c>
      <c r="T286" s="14">
        <f>R286-S286</f>
        <v/>
      </c>
      <c r="U286" s="14">
        <f>L286*G286</f>
        <v/>
      </c>
    </row>
    <row r="287">
      <c r="A287" s="12" t="inlineStr">
        <is>
          <t>PO-2021-0285</t>
        </is>
      </c>
      <c r="B287" s="26" t="n">
        <v>44614</v>
      </c>
      <c r="C287" s="12" t="inlineStr">
        <is>
          <t>VS27</t>
        </is>
      </c>
      <c r="D287" s="12" t="inlineStr">
        <is>
          <t>Hex Bars</t>
        </is>
      </c>
      <c r="E287" s="12" t="inlineStr">
        <is>
          <t>N</t>
        </is>
      </c>
      <c r="F287" s="12" t="n">
        <v>38.97</v>
      </c>
      <c r="G287" s="17" t="n">
        <v>114039.07</v>
      </c>
      <c r="H287" s="26" t="n">
        <v>44628</v>
      </c>
      <c r="I287" s="26" t="n">
        <v>44630</v>
      </c>
      <c r="J287" s="12" t="n">
        <v>38.62</v>
      </c>
      <c r="K287" s="17" t="n">
        <v>4444102.56</v>
      </c>
      <c r="L287" s="12" t="n">
        <v>0</v>
      </c>
      <c r="M287" s="12" t="n">
        <v>0</v>
      </c>
      <c r="N287" s="27">
        <f>F287-J287</f>
        <v/>
      </c>
      <c r="O287" s="16">
        <f>I287-H287</f>
        <v/>
      </c>
      <c r="P287" s="14">
        <f>F287*G287</f>
        <v/>
      </c>
      <c r="Q287" s="14">
        <f>J287*G287</f>
        <v/>
      </c>
      <c r="R287" s="14">
        <f>K287-Q287</f>
        <v/>
      </c>
      <c r="S287" s="3">
        <f>P287*Assumptions!$B$3/100</f>
        <v/>
      </c>
      <c r="T287" s="14">
        <f>R287-S287</f>
        <v/>
      </c>
      <c r="U287" s="14">
        <f>L287*G287</f>
        <v/>
      </c>
    </row>
    <row r="288">
      <c r="A288" s="12" t="inlineStr">
        <is>
          <t>PO-2021-0286</t>
        </is>
      </c>
      <c r="B288" s="26" t="n">
        <v>44324</v>
      </c>
      <c r="C288" s="12" t="inlineStr">
        <is>
          <t>VS09</t>
        </is>
      </c>
      <c r="D288" s="12" t="inlineStr">
        <is>
          <t>Hex Bars</t>
        </is>
      </c>
      <c r="E288" s="12" t="inlineStr">
        <is>
          <t>N</t>
        </is>
      </c>
      <c r="F288" s="12" t="n">
        <v>11.16</v>
      </c>
      <c r="G288" s="17" t="n">
        <v>69378.72</v>
      </c>
      <c r="H288" s="26" t="n">
        <v>44337</v>
      </c>
      <c r="I288" s="26" t="n">
        <v>44339</v>
      </c>
      <c r="J288" s="12" t="n">
        <v>11.16</v>
      </c>
      <c r="K288" s="17" t="n">
        <v>774266.52</v>
      </c>
      <c r="L288" s="12" t="n">
        <v>0</v>
      </c>
      <c r="M288" s="12" t="n">
        <v>25</v>
      </c>
      <c r="N288" s="27">
        <f>F288-J288</f>
        <v/>
      </c>
      <c r="O288" s="16">
        <f>I288-H288</f>
        <v/>
      </c>
      <c r="P288" s="14">
        <f>F288*G288</f>
        <v/>
      </c>
      <c r="Q288" s="14">
        <f>J288*G288</f>
        <v/>
      </c>
      <c r="R288" s="14">
        <f>K288-Q288</f>
        <v/>
      </c>
      <c r="S288" s="3">
        <f>P288*Assumptions!$B$3/100</f>
        <v/>
      </c>
      <c r="T288" s="14">
        <f>R288-S288</f>
        <v/>
      </c>
      <c r="U288" s="14">
        <f>L288*G288</f>
        <v/>
      </c>
    </row>
    <row r="289">
      <c r="A289" s="12" t="inlineStr">
        <is>
          <t>PO-2021-0287</t>
        </is>
      </c>
      <c r="B289" s="26" t="n">
        <v>45176</v>
      </c>
      <c r="C289" s="12" t="inlineStr">
        <is>
          <t>VS34</t>
        </is>
      </c>
      <c r="D289" s="12" t="inlineStr">
        <is>
          <t>MS Rods</t>
        </is>
      </c>
      <c r="E289" s="12" t="inlineStr">
        <is>
          <t>N</t>
        </is>
      </c>
      <c r="F289" s="12" t="n">
        <v>16.37</v>
      </c>
      <c r="G289" s="17" t="n">
        <v>57988.68</v>
      </c>
      <c r="H289" s="26" t="n">
        <v>45187</v>
      </c>
      <c r="I289" s="26" t="n">
        <v>45188</v>
      </c>
      <c r="J289" s="12" t="n">
        <v>16.27</v>
      </c>
      <c r="K289" s="17" t="n">
        <v>949274.6899999999</v>
      </c>
      <c r="L289" s="12" t="n">
        <v>0</v>
      </c>
      <c r="M289" s="12" t="n">
        <v>7</v>
      </c>
      <c r="N289" s="27">
        <f>F289-J289</f>
        <v/>
      </c>
      <c r="O289" s="16">
        <f>I289-H289</f>
        <v/>
      </c>
      <c r="P289" s="14">
        <f>F289*G289</f>
        <v/>
      </c>
      <c r="Q289" s="14">
        <f>J289*G289</f>
        <v/>
      </c>
      <c r="R289" s="14">
        <f>K289-Q289</f>
        <v/>
      </c>
      <c r="S289" s="3">
        <f>P289*Assumptions!$B$3/100</f>
        <v/>
      </c>
      <c r="T289" s="14">
        <f>R289-S289</f>
        <v/>
      </c>
      <c r="U289" s="14">
        <f>L289*G289</f>
        <v/>
      </c>
    </row>
    <row r="290">
      <c r="A290" s="12" t="inlineStr">
        <is>
          <t>PO-2021-0288</t>
        </is>
      </c>
      <c r="B290" s="26" t="n">
        <v>44898</v>
      </c>
      <c r="C290" s="12" t="inlineStr">
        <is>
          <t>VS23</t>
        </is>
      </c>
      <c r="D290" s="12" t="inlineStr">
        <is>
          <t>CR Sheets</t>
        </is>
      </c>
      <c r="E290" s="12" t="inlineStr">
        <is>
          <t>N</t>
        </is>
      </c>
      <c r="F290" s="12" t="n">
        <v>30.89</v>
      </c>
      <c r="G290" s="17" t="n">
        <v>59419.81</v>
      </c>
      <c r="H290" s="26" t="n">
        <v>44904</v>
      </c>
      <c r="I290" s="26" t="n">
        <v>44906</v>
      </c>
      <c r="J290" s="12" t="n">
        <v>30.7</v>
      </c>
      <c r="K290" s="17" t="n">
        <v>1835477.93</v>
      </c>
      <c r="L290" s="12" t="n">
        <v>0</v>
      </c>
      <c r="M290" s="12" t="n">
        <v>1</v>
      </c>
      <c r="N290" s="27">
        <f>F290-J290</f>
        <v/>
      </c>
      <c r="O290" s="16">
        <f>I290-H290</f>
        <v/>
      </c>
      <c r="P290" s="14">
        <f>F290*G290</f>
        <v/>
      </c>
      <c r="Q290" s="14">
        <f>J290*G290</f>
        <v/>
      </c>
      <c r="R290" s="14">
        <f>K290-Q290</f>
        <v/>
      </c>
      <c r="S290" s="3">
        <f>P290*Assumptions!$B$3/100</f>
        <v/>
      </c>
      <c r="T290" s="14">
        <f>R290-S290</f>
        <v/>
      </c>
      <c r="U290" s="14">
        <f>L290*G290</f>
        <v/>
      </c>
    </row>
    <row r="291">
      <c r="A291" s="12" t="inlineStr">
        <is>
          <t>PO-2021-0289</t>
        </is>
      </c>
      <c r="B291" s="26" t="n">
        <v>44768</v>
      </c>
      <c r="C291" s="12" t="inlineStr">
        <is>
          <t>VS20</t>
        </is>
      </c>
      <c r="D291" s="12" t="inlineStr">
        <is>
          <t>HR Coils</t>
        </is>
      </c>
      <c r="E291" s="12" t="inlineStr">
        <is>
          <t>N</t>
        </is>
      </c>
      <c r="F291" s="12" t="n">
        <v>47.13</v>
      </c>
      <c r="G291" s="17" t="n">
        <v>118669.52</v>
      </c>
      <c r="H291" s="26" t="n">
        <v>44783</v>
      </c>
      <c r="I291" s="26" t="n">
        <v>44783</v>
      </c>
      <c r="J291" s="12" t="n">
        <v>47.1</v>
      </c>
      <c r="K291" s="17" t="n">
        <v>5592894.48</v>
      </c>
      <c r="L291" s="12" t="n">
        <v>0</v>
      </c>
      <c r="M291" s="12" t="n">
        <v>0</v>
      </c>
      <c r="N291" s="27">
        <f>F291-J291</f>
        <v/>
      </c>
      <c r="O291" s="16">
        <f>I291-H291</f>
        <v/>
      </c>
      <c r="P291" s="14">
        <f>F291*G291</f>
        <v/>
      </c>
      <c r="Q291" s="14">
        <f>J291*G291</f>
        <v/>
      </c>
      <c r="R291" s="14">
        <f>K291-Q291</f>
        <v/>
      </c>
      <c r="S291" s="3">
        <f>P291*Assumptions!$B$3/100</f>
        <v/>
      </c>
      <c r="T291" s="14">
        <f>R291-S291</f>
        <v/>
      </c>
      <c r="U291" s="14">
        <f>L291*G291</f>
        <v/>
      </c>
    </row>
    <row r="292">
      <c r="A292" s="12" t="inlineStr">
        <is>
          <t>PO-2021-0290</t>
        </is>
      </c>
      <c r="B292" s="26" t="n">
        <v>44788</v>
      </c>
      <c r="C292" s="12" t="inlineStr">
        <is>
          <t>VS14</t>
        </is>
      </c>
      <c r="D292" s="12" t="inlineStr">
        <is>
          <t>Structural Steel</t>
        </is>
      </c>
      <c r="E292" s="12" t="inlineStr">
        <is>
          <t>Y</t>
        </is>
      </c>
      <c r="F292" s="12" t="n">
        <v>16.53</v>
      </c>
      <c r="G292" s="17" t="n">
        <v>71160.24000000001</v>
      </c>
      <c r="H292" s="26" t="n">
        <v>44803</v>
      </c>
      <c r="I292" s="26" t="n">
        <v>44806</v>
      </c>
      <c r="J292" s="12" t="n">
        <v>16.44</v>
      </c>
      <c r="K292" s="17" t="n">
        <v>1176278.77</v>
      </c>
      <c r="L292" s="12" t="n">
        <v>0</v>
      </c>
      <c r="M292" s="12" t="n">
        <v>3</v>
      </c>
      <c r="N292" s="27">
        <f>F292-J292</f>
        <v/>
      </c>
      <c r="O292" s="16">
        <f>I292-H292</f>
        <v/>
      </c>
      <c r="P292" s="14">
        <f>F292*G292</f>
        <v/>
      </c>
      <c r="Q292" s="14">
        <f>J292*G292</f>
        <v/>
      </c>
      <c r="R292" s="14">
        <f>K292-Q292</f>
        <v/>
      </c>
      <c r="S292" s="3">
        <f>P292*Assumptions!$B$3/100</f>
        <v/>
      </c>
      <c r="T292" s="14">
        <f>R292-S292</f>
        <v/>
      </c>
      <c r="U292" s="14">
        <f>L292*G292</f>
        <v/>
      </c>
    </row>
    <row r="293">
      <c r="A293" s="12" t="inlineStr">
        <is>
          <t>PO-2021-0291</t>
        </is>
      </c>
      <c r="B293" s="26" t="n">
        <v>44757</v>
      </c>
      <c r="C293" s="12" t="inlineStr">
        <is>
          <t>VS19</t>
        </is>
      </c>
      <c r="D293" s="12" t="inlineStr">
        <is>
          <t>ERW Pipes</t>
        </is>
      </c>
      <c r="E293" s="12" t="inlineStr">
        <is>
          <t>Y</t>
        </is>
      </c>
      <c r="F293" s="12" t="n">
        <v>29.1</v>
      </c>
      <c r="G293" s="17" t="n">
        <v>89168.89</v>
      </c>
      <c r="H293" s="26" t="n">
        <v>44766</v>
      </c>
      <c r="I293" s="26" t="n">
        <v>44774</v>
      </c>
      <c r="J293" s="12" t="n">
        <v>28.07</v>
      </c>
      <c r="K293" s="17" t="n">
        <v>2594814.7</v>
      </c>
      <c r="L293" s="12" t="n">
        <v>0.14</v>
      </c>
      <c r="M293" s="12" t="n">
        <v>0</v>
      </c>
      <c r="N293" s="27">
        <f>F293-J293</f>
        <v/>
      </c>
      <c r="O293" s="16">
        <f>I293-H293</f>
        <v/>
      </c>
      <c r="P293" s="14">
        <f>F293*G293</f>
        <v/>
      </c>
      <c r="Q293" s="14">
        <f>J293*G293</f>
        <v/>
      </c>
      <c r="R293" s="14">
        <f>K293-Q293</f>
        <v/>
      </c>
      <c r="S293" s="3">
        <f>P293*Assumptions!$B$3/100</f>
        <v/>
      </c>
      <c r="T293" s="14">
        <f>R293-S293</f>
        <v/>
      </c>
      <c r="U293" s="14">
        <f>L293*G293</f>
        <v/>
      </c>
    </row>
    <row r="294">
      <c r="A294" s="12" t="inlineStr">
        <is>
          <t>PO-2021-0292</t>
        </is>
      </c>
      <c r="B294" s="26" t="n">
        <v>44903</v>
      </c>
      <c r="C294" s="12" t="inlineStr">
        <is>
          <t>VS10</t>
        </is>
      </c>
      <c r="D294" s="12" t="inlineStr">
        <is>
          <t>SS Sheets</t>
        </is>
      </c>
      <c r="E294" s="12" t="inlineStr">
        <is>
          <t>N</t>
        </is>
      </c>
      <c r="F294" s="12" t="n">
        <v>3.06</v>
      </c>
      <c r="G294" s="17" t="n">
        <v>116648.53</v>
      </c>
      <c r="H294" s="26" t="n">
        <v>44907</v>
      </c>
      <c r="I294" s="26" t="n">
        <v>44909</v>
      </c>
      <c r="J294" s="12" t="n">
        <v>3.04</v>
      </c>
      <c r="K294" s="17" t="n">
        <v>356944.5</v>
      </c>
      <c r="L294" s="12" t="n">
        <v>0</v>
      </c>
      <c r="M294" s="12" t="n">
        <v>0</v>
      </c>
      <c r="N294" s="27">
        <f>F294-J294</f>
        <v/>
      </c>
      <c r="O294" s="16">
        <f>I294-H294</f>
        <v/>
      </c>
      <c r="P294" s="14">
        <f>F294*G294</f>
        <v/>
      </c>
      <c r="Q294" s="14">
        <f>J294*G294</f>
        <v/>
      </c>
      <c r="R294" s="14">
        <f>K294-Q294</f>
        <v/>
      </c>
      <c r="S294" s="3">
        <f>P294*Assumptions!$B$3/100</f>
        <v/>
      </c>
      <c r="T294" s="14">
        <f>R294-S294</f>
        <v/>
      </c>
      <c r="U294" s="14">
        <f>L294*G294</f>
        <v/>
      </c>
    </row>
    <row r="295">
      <c r="A295" s="12" t="inlineStr">
        <is>
          <t>PO-2021-0293</t>
        </is>
      </c>
      <c r="B295" s="26" t="n">
        <v>44906</v>
      </c>
      <c r="C295" s="12" t="inlineStr">
        <is>
          <t>VS29</t>
        </is>
      </c>
      <c r="D295" s="12" t="inlineStr">
        <is>
          <t>CR Sheets</t>
        </is>
      </c>
      <c r="E295" s="12" t="inlineStr">
        <is>
          <t>N</t>
        </is>
      </c>
      <c r="F295" s="12" t="n">
        <v>37.62</v>
      </c>
      <c r="G295" s="17" t="n">
        <v>61049.01</v>
      </c>
      <c r="H295" s="26" t="n">
        <v>44917</v>
      </c>
      <c r="I295" s="26" t="n">
        <v>44919</v>
      </c>
      <c r="J295" s="12" t="n">
        <v>37.5</v>
      </c>
      <c r="K295" s="17" t="n">
        <v>2296663.76</v>
      </c>
      <c r="L295" s="12" t="n">
        <v>0</v>
      </c>
      <c r="M295" s="12" t="n">
        <v>12</v>
      </c>
      <c r="N295" s="27">
        <f>F295-J295</f>
        <v/>
      </c>
      <c r="O295" s="16">
        <f>I295-H295</f>
        <v/>
      </c>
      <c r="P295" s="14">
        <f>F295*G295</f>
        <v/>
      </c>
      <c r="Q295" s="14">
        <f>J295*G295</f>
        <v/>
      </c>
      <c r="R295" s="14">
        <f>K295-Q295</f>
        <v/>
      </c>
      <c r="S295" s="3">
        <f>P295*Assumptions!$B$3/100</f>
        <v/>
      </c>
      <c r="T295" s="14">
        <f>R295-S295</f>
        <v/>
      </c>
      <c r="U295" s="14">
        <f>L295*G295</f>
        <v/>
      </c>
    </row>
    <row r="296">
      <c r="A296" s="12" t="inlineStr">
        <is>
          <t>PO-2021-0294</t>
        </is>
      </c>
      <c r="B296" s="26" t="n">
        <v>44752</v>
      </c>
      <c r="C296" s="12" t="inlineStr">
        <is>
          <t>VS18</t>
        </is>
      </c>
      <c r="D296" s="12" t="inlineStr">
        <is>
          <t>Square/Rect Tubes</t>
        </is>
      </c>
      <c r="E296" s="12" t="inlineStr">
        <is>
          <t>N</t>
        </is>
      </c>
      <c r="F296" s="12" t="n">
        <v>6.35</v>
      </c>
      <c r="G296" s="17" t="n">
        <v>100566.82</v>
      </c>
      <c r="H296" s="26" t="n">
        <v>44758</v>
      </c>
      <c r="I296" s="26" t="n">
        <v>44761</v>
      </c>
      <c r="J296" s="12" t="n">
        <v>6.3</v>
      </c>
      <c r="K296" s="17" t="n">
        <v>638599.3100000001</v>
      </c>
      <c r="L296" s="12" t="n">
        <v>0</v>
      </c>
      <c r="M296" s="12" t="n">
        <v>10</v>
      </c>
      <c r="N296" s="27">
        <f>F296-J296</f>
        <v/>
      </c>
      <c r="O296" s="16">
        <f>I296-H296</f>
        <v/>
      </c>
      <c r="P296" s="14">
        <f>F296*G296</f>
        <v/>
      </c>
      <c r="Q296" s="14">
        <f>J296*G296</f>
        <v/>
      </c>
      <c r="R296" s="14">
        <f>K296-Q296</f>
        <v/>
      </c>
      <c r="S296" s="3">
        <f>P296*Assumptions!$B$3/100</f>
        <v/>
      </c>
      <c r="T296" s="14">
        <f>R296-S296</f>
        <v/>
      </c>
      <c r="U296" s="14">
        <f>L296*G296</f>
        <v/>
      </c>
    </row>
    <row r="297">
      <c r="A297" s="12" t="inlineStr">
        <is>
          <t>PO-2021-0295</t>
        </is>
      </c>
      <c r="B297" s="26" t="n">
        <v>44693</v>
      </c>
      <c r="C297" s="12" t="inlineStr">
        <is>
          <t>VS04</t>
        </is>
      </c>
      <c r="D297" s="12" t="inlineStr">
        <is>
          <t>Hex Bars</t>
        </is>
      </c>
      <c r="E297" s="12" t="inlineStr">
        <is>
          <t>N</t>
        </is>
      </c>
      <c r="F297" s="12" t="n">
        <v>12.06</v>
      </c>
      <c r="G297" s="17" t="n">
        <v>62462.74</v>
      </c>
      <c r="H297" s="26" t="n">
        <v>44697</v>
      </c>
      <c r="I297" s="26" t="n">
        <v>44698</v>
      </c>
      <c r="J297" s="12" t="n">
        <v>12.05</v>
      </c>
      <c r="K297" s="17" t="n">
        <v>753300.64</v>
      </c>
      <c r="L297" s="12" t="n">
        <v>0</v>
      </c>
      <c r="M297" s="12" t="n">
        <v>0</v>
      </c>
      <c r="N297" s="27">
        <f>F297-J297</f>
        <v/>
      </c>
      <c r="O297" s="16">
        <f>I297-H297</f>
        <v/>
      </c>
      <c r="P297" s="14">
        <f>F297*G297</f>
        <v/>
      </c>
      <c r="Q297" s="14">
        <f>J297*G297</f>
        <v/>
      </c>
      <c r="R297" s="14">
        <f>K297-Q297</f>
        <v/>
      </c>
      <c r="S297" s="3">
        <f>P297*Assumptions!$B$3/100</f>
        <v/>
      </c>
      <c r="T297" s="14">
        <f>R297-S297</f>
        <v/>
      </c>
      <c r="U297" s="14">
        <f>L297*G297</f>
        <v/>
      </c>
    </row>
    <row r="298">
      <c r="A298" s="12" t="inlineStr">
        <is>
          <t>PO-2021-0296</t>
        </is>
      </c>
      <c r="B298" s="26" t="n">
        <v>45043</v>
      </c>
      <c r="C298" s="12" t="inlineStr">
        <is>
          <t>VS22</t>
        </is>
      </c>
      <c r="D298" s="12" t="inlineStr">
        <is>
          <t>Structural Steel</t>
        </is>
      </c>
      <c r="E298" s="12" t="inlineStr">
        <is>
          <t>Y</t>
        </is>
      </c>
      <c r="F298" s="12" t="n">
        <v>5.93</v>
      </c>
      <c r="G298" s="17" t="n">
        <v>102807.45</v>
      </c>
      <c r="H298" s="26" t="n">
        <v>45046</v>
      </c>
      <c r="I298" s="26" t="n">
        <v>45046</v>
      </c>
      <c r="J298" s="12" t="n">
        <v>5.93</v>
      </c>
      <c r="K298" s="17" t="n">
        <v>609648.1800000001</v>
      </c>
      <c r="L298" s="12" t="n">
        <v>0</v>
      </c>
      <c r="M298" s="12" t="n">
        <v>0</v>
      </c>
      <c r="N298" s="27">
        <f>F298-J298</f>
        <v/>
      </c>
      <c r="O298" s="16">
        <f>I298-H298</f>
        <v/>
      </c>
      <c r="P298" s="14">
        <f>F298*G298</f>
        <v/>
      </c>
      <c r="Q298" s="14">
        <f>J298*G298</f>
        <v/>
      </c>
      <c r="R298" s="14">
        <f>K298-Q298</f>
        <v/>
      </c>
      <c r="S298" s="3">
        <f>P298*Assumptions!$B$3/100</f>
        <v/>
      </c>
      <c r="T298" s="14">
        <f>R298-S298</f>
        <v/>
      </c>
      <c r="U298" s="14">
        <f>L298*G298</f>
        <v/>
      </c>
    </row>
    <row r="299">
      <c r="A299" s="12" t="inlineStr">
        <is>
          <t>PO-2021-0297</t>
        </is>
      </c>
      <c r="B299" s="26" t="n">
        <v>44520</v>
      </c>
      <c r="C299" s="12" t="inlineStr">
        <is>
          <t>VS27</t>
        </is>
      </c>
      <c r="D299" s="12" t="inlineStr">
        <is>
          <t>Structural Steel</t>
        </is>
      </c>
      <c r="E299" s="12" t="inlineStr">
        <is>
          <t>N</t>
        </is>
      </c>
      <c r="F299" s="12" t="n">
        <v>24.39</v>
      </c>
      <c r="G299" s="17" t="n">
        <v>59959.2</v>
      </c>
      <c r="H299" s="26" t="n">
        <v>44527</v>
      </c>
      <c r="I299" s="26" t="n">
        <v>44530</v>
      </c>
      <c r="J299" s="12" t="n">
        <v>24.2</v>
      </c>
      <c r="K299" s="17" t="n">
        <v>1462404.89</v>
      </c>
      <c r="L299" s="12" t="n">
        <v>0</v>
      </c>
      <c r="M299" s="12" t="n">
        <v>0</v>
      </c>
      <c r="N299" s="27">
        <f>F299-J299</f>
        <v/>
      </c>
      <c r="O299" s="16">
        <f>I299-H299</f>
        <v/>
      </c>
      <c r="P299" s="14">
        <f>F299*G299</f>
        <v/>
      </c>
      <c r="Q299" s="14">
        <f>J299*G299</f>
        <v/>
      </c>
      <c r="R299" s="14">
        <f>K299-Q299</f>
        <v/>
      </c>
      <c r="S299" s="3">
        <f>P299*Assumptions!$B$3/100</f>
        <v/>
      </c>
      <c r="T299" s="14">
        <f>R299-S299</f>
        <v/>
      </c>
      <c r="U299" s="14">
        <f>L299*G299</f>
        <v/>
      </c>
    </row>
    <row r="300">
      <c r="A300" s="12" t="inlineStr">
        <is>
          <t>PO-2021-0298</t>
        </is>
      </c>
      <c r="B300" s="26" t="n">
        <v>44854</v>
      </c>
      <c r="C300" s="12" t="inlineStr">
        <is>
          <t>VS19</t>
        </is>
      </c>
      <c r="D300" s="12" t="inlineStr">
        <is>
          <t>GI Pipes</t>
        </is>
      </c>
      <c r="E300" s="12" t="inlineStr">
        <is>
          <t>N</t>
        </is>
      </c>
      <c r="F300" s="12" t="n">
        <v>45.49</v>
      </c>
      <c r="G300" s="17" t="n">
        <v>53777.94</v>
      </c>
      <c r="H300" s="26" t="n">
        <v>44866</v>
      </c>
      <c r="I300" s="26" t="n">
        <v>44873</v>
      </c>
      <c r="J300" s="12" t="n">
        <v>43.26</v>
      </c>
      <c r="K300" s="17" t="n">
        <v>2446358.49</v>
      </c>
      <c r="L300" s="12" t="n">
        <v>0.76</v>
      </c>
      <c r="M300" s="12" t="n">
        <v>18</v>
      </c>
      <c r="N300" s="27">
        <f>F300-J300</f>
        <v/>
      </c>
      <c r="O300" s="16">
        <f>I300-H300</f>
        <v/>
      </c>
      <c r="P300" s="14">
        <f>F300*G300</f>
        <v/>
      </c>
      <c r="Q300" s="14">
        <f>J300*G300</f>
        <v/>
      </c>
      <c r="R300" s="14">
        <f>K300-Q300</f>
        <v/>
      </c>
      <c r="S300" s="3">
        <f>P300*Assumptions!$B$3/100</f>
        <v/>
      </c>
      <c r="T300" s="14">
        <f>R300-S300</f>
        <v/>
      </c>
      <c r="U300" s="14">
        <f>L300*G300</f>
        <v/>
      </c>
    </row>
    <row r="301">
      <c r="A301" s="12" t="inlineStr">
        <is>
          <t>PO-2021-0299</t>
        </is>
      </c>
      <c r="B301" s="26" t="n">
        <v>44672</v>
      </c>
      <c r="C301" s="12" t="inlineStr">
        <is>
          <t>VS03</t>
        </is>
      </c>
      <c r="D301" s="12" t="inlineStr">
        <is>
          <t>MS Sheets</t>
        </is>
      </c>
      <c r="E301" s="12" t="inlineStr">
        <is>
          <t>N</t>
        </is>
      </c>
      <c r="F301" s="12" t="n">
        <v>21.48</v>
      </c>
      <c r="G301" s="17" t="n">
        <v>112133.18</v>
      </c>
      <c r="H301" s="26" t="n">
        <v>44675</v>
      </c>
      <c r="I301" s="26" t="n">
        <v>44679</v>
      </c>
      <c r="J301" s="12" t="n">
        <v>20.89</v>
      </c>
      <c r="K301" s="17" t="n">
        <v>2408620.71</v>
      </c>
      <c r="L301" s="12" t="n">
        <v>0.22</v>
      </c>
      <c r="M301" s="12" t="n">
        <v>3</v>
      </c>
      <c r="N301" s="27">
        <f>F301-J301</f>
        <v/>
      </c>
      <c r="O301" s="16">
        <f>I301-H301</f>
        <v/>
      </c>
      <c r="P301" s="14">
        <f>F301*G301</f>
        <v/>
      </c>
      <c r="Q301" s="14">
        <f>J301*G301</f>
        <v/>
      </c>
      <c r="R301" s="14">
        <f>K301-Q301</f>
        <v/>
      </c>
      <c r="S301" s="3">
        <f>P301*Assumptions!$B$3/100</f>
        <v/>
      </c>
      <c r="T301" s="14">
        <f>R301-S301</f>
        <v/>
      </c>
      <c r="U301" s="14">
        <f>L301*G301</f>
        <v/>
      </c>
    </row>
    <row r="302">
      <c r="A302" s="12" t="inlineStr">
        <is>
          <t>PO-2021-0300</t>
        </is>
      </c>
      <c r="B302" s="26" t="n">
        <v>45010</v>
      </c>
      <c r="C302" s="12" t="inlineStr">
        <is>
          <t>VS32</t>
        </is>
      </c>
      <c r="D302" s="12" t="inlineStr">
        <is>
          <t>MS Sheets</t>
        </is>
      </c>
      <c r="E302" s="12" t="inlineStr">
        <is>
          <t>N</t>
        </is>
      </c>
      <c r="F302" s="12" t="n">
        <v>46.89</v>
      </c>
      <c r="G302" s="17" t="n">
        <v>117159.85</v>
      </c>
      <c r="H302" s="26" t="n">
        <v>45017</v>
      </c>
      <c r="I302" s="26" t="n">
        <v>45020</v>
      </c>
      <c r="J302" s="12" t="n">
        <v>46.65</v>
      </c>
      <c r="K302" s="17" t="n">
        <v>5493625.37</v>
      </c>
      <c r="L302" s="12" t="n">
        <v>0</v>
      </c>
      <c r="M302" s="12" t="n">
        <v>25</v>
      </c>
      <c r="N302" s="27">
        <f>F302-J302</f>
        <v/>
      </c>
      <c r="O302" s="16">
        <f>I302-H302</f>
        <v/>
      </c>
      <c r="P302" s="14">
        <f>F302*G302</f>
        <v/>
      </c>
      <c r="Q302" s="14">
        <f>J302*G302</f>
        <v/>
      </c>
      <c r="R302" s="14">
        <f>K302-Q302</f>
        <v/>
      </c>
      <c r="S302" s="3">
        <f>P302*Assumptions!$B$3/100</f>
        <v/>
      </c>
      <c r="T302" s="14">
        <f>R302-S302</f>
        <v/>
      </c>
      <c r="U302" s="14">
        <f>L302*G302</f>
        <v/>
      </c>
    </row>
    <row r="303">
      <c r="A303" s="12" t="inlineStr">
        <is>
          <t>PO-2021-0301</t>
        </is>
      </c>
      <c r="B303" s="26" t="n">
        <v>44273</v>
      </c>
      <c r="C303" s="12" t="inlineStr">
        <is>
          <t>VS01</t>
        </is>
      </c>
      <c r="D303" s="12" t="inlineStr">
        <is>
          <t>SS Sheets</t>
        </is>
      </c>
      <c r="E303" s="12" t="inlineStr">
        <is>
          <t>N</t>
        </is>
      </c>
      <c r="F303" s="12" t="n">
        <v>28.83</v>
      </c>
      <c r="G303" s="17" t="n">
        <v>53047.55</v>
      </c>
      <c r="H303" s="26" t="n">
        <v>44281</v>
      </c>
      <c r="I303" s="26" t="n">
        <v>44281</v>
      </c>
      <c r="J303" s="12" t="n">
        <v>28.74</v>
      </c>
      <c r="K303" s="17" t="n">
        <v>1529360.87</v>
      </c>
      <c r="L303" s="12" t="n">
        <v>0</v>
      </c>
      <c r="M303" s="12" t="n">
        <v>25</v>
      </c>
      <c r="N303" s="27">
        <f>F303-J303</f>
        <v/>
      </c>
      <c r="O303" s="16">
        <f>I303-H303</f>
        <v/>
      </c>
      <c r="P303" s="14">
        <f>F303*G303</f>
        <v/>
      </c>
      <c r="Q303" s="14">
        <f>J303*G303</f>
        <v/>
      </c>
      <c r="R303" s="14">
        <f>K303-Q303</f>
        <v/>
      </c>
      <c r="S303" s="3">
        <f>P303*Assumptions!$B$3/100</f>
        <v/>
      </c>
      <c r="T303" s="14">
        <f>R303-S303</f>
        <v/>
      </c>
      <c r="U303" s="14">
        <f>L303*G303</f>
        <v/>
      </c>
    </row>
    <row r="304">
      <c r="A304" s="12" t="inlineStr">
        <is>
          <t>PO-2021-0302</t>
        </is>
      </c>
      <c r="B304" s="26" t="n">
        <v>44779</v>
      </c>
      <c r="C304" s="12" t="inlineStr">
        <is>
          <t>VS30</t>
        </is>
      </c>
      <c r="D304" s="12" t="inlineStr">
        <is>
          <t>Spring Steel</t>
        </is>
      </c>
      <c r="E304" s="12" t="inlineStr">
        <is>
          <t>N</t>
        </is>
      </c>
      <c r="F304" s="12" t="n">
        <v>26.69</v>
      </c>
      <c r="G304" s="17" t="n">
        <v>111694.5</v>
      </c>
      <c r="H304" s="26" t="n">
        <v>44784</v>
      </c>
      <c r="I304" s="26" t="n">
        <v>44787</v>
      </c>
      <c r="J304" s="12" t="n">
        <v>26.56</v>
      </c>
      <c r="K304" s="17" t="n">
        <v>2981126.21</v>
      </c>
      <c r="L304" s="12" t="n">
        <v>0</v>
      </c>
      <c r="M304" s="12" t="n">
        <v>22</v>
      </c>
      <c r="N304" s="27">
        <f>F304-J304</f>
        <v/>
      </c>
      <c r="O304" s="16">
        <f>I304-H304</f>
        <v/>
      </c>
      <c r="P304" s="14">
        <f>F304*G304</f>
        <v/>
      </c>
      <c r="Q304" s="14">
        <f>J304*G304</f>
        <v/>
      </c>
      <c r="R304" s="14">
        <f>K304-Q304</f>
        <v/>
      </c>
      <c r="S304" s="3">
        <f>P304*Assumptions!$B$3/100</f>
        <v/>
      </c>
      <c r="T304" s="14">
        <f>R304-S304</f>
        <v/>
      </c>
      <c r="U304" s="14">
        <f>L304*G304</f>
        <v/>
      </c>
    </row>
    <row r="305">
      <c r="A305" s="12" t="inlineStr">
        <is>
          <t>PO-2021-0303</t>
        </is>
      </c>
      <c r="B305" s="26" t="n">
        <v>45229</v>
      </c>
      <c r="C305" s="12" t="inlineStr">
        <is>
          <t>VS30</t>
        </is>
      </c>
      <c r="D305" s="12" t="inlineStr">
        <is>
          <t>CR Sheets</t>
        </is>
      </c>
      <c r="E305" s="12" t="inlineStr">
        <is>
          <t>N</t>
        </is>
      </c>
      <c r="F305" s="12" t="n">
        <v>10.45</v>
      </c>
      <c r="G305" s="17" t="n">
        <v>53448.51</v>
      </c>
      <c r="H305" s="26" t="n">
        <v>45234</v>
      </c>
      <c r="I305" s="26" t="n">
        <v>45237</v>
      </c>
      <c r="J305" s="12" t="n">
        <v>10.36</v>
      </c>
      <c r="K305" s="17" t="n">
        <v>558536.9300000001</v>
      </c>
      <c r="L305" s="12" t="n">
        <v>0</v>
      </c>
      <c r="M305" s="12" t="n">
        <v>0</v>
      </c>
      <c r="N305" s="27">
        <f>F305-J305</f>
        <v/>
      </c>
      <c r="O305" s="16">
        <f>I305-H305</f>
        <v/>
      </c>
      <c r="P305" s="14">
        <f>F305*G305</f>
        <v/>
      </c>
      <c r="Q305" s="14">
        <f>J305*G305</f>
        <v/>
      </c>
      <c r="R305" s="14">
        <f>K305-Q305</f>
        <v/>
      </c>
      <c r="S305" s="3">
        <f>P305*Assumptions!$B$3/100</f>
        <v/>
      </c>
      <c r="T305" s="14">
        <f>R305-S305</f>
        <v/>
      </c>
      <c r="U305" s="14">
        <f>L305*G305</f>
        <v/>
      </c>
    </row>
    <row r="306">
      <c r="A306" s="12" t="inlineStr">
        <is>
          <t>PO-2021-0304</t>
        </is>
      </c>
      <c r="B306" s="26" t="n">
        <v>45136</v>
      </c>
      <c r="C306" s="12" t="inlineStr">
        <is>
          <t>VS17</t>
        </is>
      </c>
      <c r="D306" s="12" t="inlineStr">
        <is>
          <t>MS Sheets</t>
        </is>
      </c>
      <c r="E306" s="12" t="inlineStr">
        <is>
          <t>N</t>
        </is>
      </c>
      <c r="F306" s="12" t="n">
        <v>1.69</v>
      </c>
      <c r="G306" s="17" t="n">
        <v>70283.41</v>
      </c>
      <c r="H306" s="26" t="n">
        <v>45143</v>
      </c>
      <c r="I306" s="26" t="n">
        <v>45146</v>
      </c>
      <c r="J306" s="12" t="n">
        <v>1.67</v>
      </c>
      <c r="K306" s="17" t="n">
        <v>118778.96</v>
      </c>
      <c r="L306" s="12" t="n">
        <v>0</v>
      </c>
      <c r="M306" s="12" t="n">
        <v>0</v>
      </c>
      <c r="N306" s="27">
        <f>F306-J306</f>
        <v/>
      </c>
      <c r="O306" s="16">
        <f>I306-H306</f>
        <v/>
      </c>
      <c r="P306" s="14">
        <f>F306*G306</f>
        <v/>
      </c>
      <c r="Q306" s="14">
        <f>J306*G306</f>
        <v/>
      </c>
      <c r="R306" s="14">
        <f>K306-Q306</f>
        <v/>
      </c>
      <c r="S306" s="3">
        <f>P306*Assumptions!$B$3/100</f>
        <v/>
      </c>
      <c r="T306" s="14">
        <f>R306-S306</f>
        <v/>
      </c>
      <c r="U306" s="14">
        <f>L306*G306</f>
        <v/>
      </c>
    </row>
    <row r="307">
      <c r="A307" s="12" t="inlineStr">
        <is>
          <t>PO-2021-0305</t>
        </is>
      </c>
      <c r="B307" s="26" t="n">
        <v>44592</v>
      </c>
      <c r="C307" s="12" t="inlineStr">
        <is>
          <t>VS12</t>
        </is>
      </c>
      <c r="D307" s="12" t="inlineStr">
        <is>
          <t>MS Rods</t>
        </is>
      </c>
      <c r="E307" s="12" t="inlineStr">
        <is>
          <t>N</t>
        </is>
      </c>
      <c r="F307" s="12" t="n">
        <v>41.52</v>
      </c>
      <c r="G307" s="17" t="n">
        <v>86991.89</v>
      </c>
      <c r="H307" s="26" t="n">
        <v>44596</v>
      </c>
      <c r="I307" s="26" t="n">
        <v>44603</v>
      </c>
      <c r="J307" s="12" t="n">
        <v>39.64</v>
      </c>
      <c r="K307" s="17" t="n">
        <v>3611903.27</v>
      </c>
      <c r="L307" s="12" t="n">
        <v>1.69</v>
      </c>
      <c r="M307" s="12" t="n">
        <v>0</v>
      </c>
      <c r="N307" s="27">
        <f>F307-J307</f>
        <v/>
      </c>
      <c r="O307" s="16">
        <f>I307-H307</f>
        <v/>
      </c>
      <c r="P307" s="14">
        <f>F307*G307</f>
        <v/>
      </c>
      <c r="Q307" s="14">
        <f>J307*G307</f>
        <v/>
      </c>
      <c r="R307" s="14">
        <f>K307-Q307</f>
        <v/>
      </c>
      <c r="S307" s="3">
        <f>P307*Assumptions!$B$3/100</f>
        <v/>
      </c>
      <c r="T307" s="14">
        <f>R307-S307</f>
        <v/>
      </c>
      <c r="U307" s="14">
        <f>L307*G307</f>
        <v/>
      </c>
    </row>
    <row r="308">
      <c r="A308" s="12" t="inlineStr">
        <is>
          <t>PO-2021-0306</t>
        </is>
      </c>
      <c r="B308" s="26" t="n">
        <v>45017</v>
      </c>
      <c r="C308" s="12" t="inlineStr">
        <is>
          <t>VS07</t>
        </is>
      </c>
      <c r="D308" s="12" t="inlineStr">
        <is>
          <t>MS Sheets</t>
        </is>
      </c>
      <c r="E308" s="12" t="inlineStr">
        <is>
          <t>N</t>
        </is>
      </c>
      <c r="F308" s="12" t="n">
        <v>49.1</v>
      </c>
      <c r="G308" s="17" t="n">
        <v>80809.06</v>
      </c>
      <c r="H308" s="26" t="n">
        <v>45023</v>
      </c>
      <c r="I308" s="26" t="n">
        <v>45025</v>
      </c>
      <c r="J308" s="12" t="n">
        <v>48.94</v>
      </c>
      <c r="K308" s="17" t="n">
        <v>3967724.85</v>
      </c>
      <c r="L308" s="12" t="n">
        <v>0</v>
      </c>
      <c r="M308" s="12" t="n">
        <v>11</v>
      </c>
      <c r="N308" s="27">
        <f>F308-J308</f>
        <v/>
      </c>
      <c r="O308" s="16">
        <f>I308-H308</f>
        <v/>
      </c>
      <c r="P308" s="14">
        <f>F308*G308</f>
        <v/>
      </c>
      <c r="Q308" s="14">
        <f>J308*G308</f>
        <v/>
      </c>
      <c r="R308" s="14">
        <f>K308-Q308</f>
        <v/>
      </c>
      <c r="S308" s="3">
        <f>P308*Assumptions!$B$3/100</f>
        <v/>
      </c>
      <c r="T308" s="14">
        <f>R308-S308</f>
        <v/>
      </c>
      <c r="U308" s="14">
        <f>L308*G308</f>
        <v/>
      </c>
    </row>
    <row r="309">
      <c r="A309" s="12" t="inlineStr">
        <is>
          <t>PO-2021-0307</t>
        </is>
      </c>
      <c r="B309" s="26" t="n">
        <v>44210</v>
      </c>
      <c r="C309" s="12" t="inlineStr">
        <is>
          <t>VS17</t>
        </is>
      </c>
      <c r="D309" s="12" t="inlineStr">
        <is>
          <t>MS Rods</t>
        </is>
      </c>
      <c r="E309" s="12" t="inlineStr">
        <is>
          <t>N</t>
        </is>
      </c>
      <c r="F309" s="12" t="n">
        <v>12.54</v>
      </c>
      <c r="G309" s="17" t="n">
        <v>101531.75</v>
      </c>
      <c r="H309" s="26" t="n">
        <v>44218</v>
      </c>
      <c r="I309" s="26" t="n">
        <v>44220</v>
      </c>
      <c r="J309" s="12" t="n">
        <v>12.53</v>
      </c>
      <c r="K309" s="17" t="n">
        <v>1273208.15</v>
      </c>
      <c r="L309" s="12" t="n">
        <v>0</v>
      </c>
      <c r="M309" s="12" t="n">
        <v>3</v>
      </c>
      <c r="N309" s="27">
        <f>F309-J309</f>
        <v/>
      </c>
      <c r="O309" s="16">
        <f>I309-H309</f>
        <v/>
      </c>
      <c r="P309" s="14">
        <f>F309*G309</f>
        <v/>
      </c>
      <c r="Q309" s="14">
        <f>J309*G309</f>
        <v/>
      </c>
      <c r="R309" s="14">
        <f>K309-Q309</f>
        <v/>
      </c>
      <c r="S309" s="3">
        <f>P309*Assumptions!$B$3/100</f>
        <v/>
      </c>
      <c r="T309" s="14">
        <f>R309-S309</f>
        <v/>
      </c>
      <c r="U309" s="14">
        <f>L309*G309</f>
        <v/>
      </c>
    </row>
    <row r="310">
      <c r="A310" s="12" t="inlineStr">
        <is>
          <t>PO-2021-0308</t>
        </is>
      </c>
      <c r="B310" s="26" t="n">
        <v>44815</v>
      </c>
      <c r="C310" s="12" t="inlineStr">
        <is>
          <t>VS01</t>
        </is>
      </c>
      <c r="D310" s="12" t="inlineStr">
        <is>
          <t>CR Sheets</t>
        </is>
      </c>
      <c r="E310" s="12" t="inlineStr">
        <is>
          <t>Y</t>
        </is>
      </c>
      <c r="F310" s="12" t="n">
        <v>33.03</v>
      </c>
      <c r="G310" s="17" t="n">
        <v>96957.64</v>
      </c>
      <c r="H310" s="26" t="n">
        <v>44818</v>
      </c>
      <c r="I310" s="26" t="n">
        <v>44820</v>
      </c>
      <c r="J310" s="12" t="n">
        <v>32.81</v>
      </c>
      <c r="K310" s="17" t="n">
        <v>3202510.85</v>
      </c>
      <c r="L310" s="12" t="n">
        <v>0</v>
      </c>
      <c r="M310" s="12" t="n">
        <v>20</v>
      </c>
      <c r="N310" s="27">
        <f>F310-J310</f>
        <v/>
      </c>
      <c r="O310" s="16">
        <f>I310-H310</f>
        <v/>
      </c>
      <c r="P310" s="14">
        <f>F310*G310</f>
        <v/>
      </c>
      <c r="Q310" s="14">
        <f>J310*G310</f>
        <v/>
      </c>
      <c r="R310" s="14">
        <f>K310-Q310</f>
        <v/>
      </c>
      <c r="S310" s="3">
        <f>P310*Assumptions!$B$3/100</f>
        <v/>
      </c>
      <c r="T310" s="14">
        <f>R310-S310</f>
        <v/>
      </c>
      <c r="U310" s="14">
        <f>L310*G310</f>
        <v/>
      </c>
    </row>
    <row r="311">
      <c r="A311" s="12" t="inlineStr">
        <is>
          <t>PO-2021-0309</t>
        </is>
      </c>
      <c r="B311" s="26" t="n">
        <v>44439</v>
      </c>
      <c r="C311" s="12" t="inlineStr">
        <is>
          <t>VS30</t>
        </is>
      </c>
      <c r="D311" s="12" t="inlineStr">
        <is>
          <t>SS Sheets</t>
        </is>
      </c>
      <c r="E311" s="12" t="inlineStr">
        <is>
          <t>N</t>
        </is>
      </c>
      <c r="F311" s="12" t="n">
        <v>8.83</v>
      </c>
      <c r="G311" s="17" t="n">
        <v>96455.52</v>
      </c>
      <c r="H311" s="26" t="n">
        <v>44453</v>
      </c>
      <c r="I311" s="26" t="n">
        <v>44453</v>
      </c>
      <c r="J311" s="12" t="n">
        <v>8.83</v>
      </c>
      <c r="K311" s="17" t="n">
        <v>851702.24</v>
      </c>
      <c r="L311" s="12" t="n">
        <v>0</v>
      </c>
      <c r="M311" s="12" t="n">
        <v>12</v>
      </c>
      <c r="N311" s="27">
        <f>F311-J311</f>
        <v/>
      </c>
      <c r="O311" s="16">
        <f>I311-H311</f>
        <v/>
      </c>
      <c r="P311" s="14">
        <f>F311*G311</f>
        <v/>
      </c>
      <c r="Q311" s="14">
        <f>J311*G311</f>
        <v/>
      </c>
      <c r="R311" s="14">
        <f>K311-Q311</f>
        <v/>
      </c>
      <c r="S311" s="3">
        <f>P311*Assumptions!$B$3/100</f>
        <v/>
      </c>
      <c r="T311" s="14">
        <f>R311-S311</f>
        <v/>
      </c>
      <c r="U311" s="14">
        <f>L311*G311</f>
        <v/>
      </c>
    </row>
    <row r="312">
      <c r="A312" s="12" t="inlineStr">
        <is>
          <t>PO-2021-0310</t>
        </is>
      </c>
      <c r="B312" s="26" t="n">
        <v>44833</v>
      </c>
      <c r="C312" s="12" t="inlineStr">
        <is>
          <t>VS08</t>
        </is>
      </c>
      <c r="D312" s="12" t="inlineStr">
        <is>
          <t>SS Sheets</t>
        </is>
      </c>
      <c r="E312" s="12" t="inlineStr">
        <is>
          <t>Y</t>
        </is>
      </c>
      <c r="F312" s="12" t="n">
        <v>19.01</v>
      </c>
      <c r="G312" s="17" t="n">
        <v>61563.69</v>
      </c>
      <c r="H312" s="26" t="n">
        <v>44838</v>
      </c>
      <c r="I312" s="26" t="n">
        <v>44838</v>
      </c>
      <c r="J312" s="12" t="n">
        <v>18.92</v>
      </c>
      <c r="K312" s="17" t="n">
        <v>1170325.75</v>
      </c>
      <c r="L312" s="12" t="n">
        <v>0</v>
      </c>
      <c r="M312" s="12" t="n">
        <v>7</v>
      </c>
      <c r="N312" s="27">
        <f>F312-J312</f>
        <v/>
      </c>
      <c r="O312" s="16">
        <f>I312-H312</f>
        <v/>
      </c>
      <c r="P312" s="14">
        <f>F312*G312</f>
        <v/>
      </c>
      <c r="Q312" s="14">
        <f>J312*G312</f>
        <v/>
      </c>
      <c r="R312" s="14">
        <f>K312-Q312</f>
        <v/>
      </c>
      <c r="S312" s="3">
        <f>P312*Assumptions!$B$3/100</f>
        <v/>
      </c>
      <c r="T312" s="14">
        <f>R312-S312</f>
        <v/>
      </c>
      <c r="U312" s="14">
        <f>L312*G312</f>
        <v/>
      </c>
    </row>
    <row r="313">
      <c r="A313" s="12" t="inlineStr">
        <is>
          <t>PO-2021-0311</t>
        </is>
      </c>
      <c r="B313" s="26" t="n">
        <v>45176</v>
      </c>
      <c r="C313" s="12" t="inlineStr">
        <is>
          <t>VS10</t>
        </is>
      </c>
      <c r="D313" s="12" t="inlineStr">
        <is>
          <t>Fasteners &amp; Fittings</t>
        </is>
      </c>
      <c r="E313" s="12" t="inlineStr">
        <is>
          <t>N</t>
        </is>
      </c>
      <c r="F313" s="12" t="n">
        <v>37.64</v>
      </c>
      <c r="G313" s="17" t="n">
        <v>90430.42</v>
      </c>
      <c r="H313" s="26" t="n">
        <v>45185</v>
      </c>
      <c r="I313" s="26" t="n">
        <v>45185</v>
      </c>
      <c r="J313" s="12" t="n">
        <v>37.51</v>
      </c>
      <c r="K313" s="17" t="n">
        <v>3403801.01</v>
      </c>
      <c r="L313" s="12" t="n">
        <v>0</v>
      </c>
      <c r="M313" s="12" t="n">
        <v>0</v>
      </c>
      <c r="N313" s="27">
        <f>F313-J313</f>
        <v/>
      </c>
      <c r="O313" s="16">
        <f>I313-H313</f>
        <v/>
      </c>
      <c r="P313" s="14">
        <f>F313*G313</f>
        <v/>
      </c>
      <c r="Q313" s="14">
        <f>J313*G313</f>
        <v/>
      </c>
      <c r="R313" s="14">
        <f>K313-Q313</f>
        <v/>
      </c>
      <c r="S313" s="3">
        <f>P313*Assumptions!$B$3/100</f>
        <v/>
      </c>
      <c r="T313" s="14">
        <f>R313-S313</f>
        <v/>
      </c>
      <c r="U313" s="14">
        <f>L313*G313</f>
        <v/>
      </c>
    </row>
    <row r="314">
      <c r="A314" s="12" t="inlineStr">
        <is>
          <t>PO-2021-0312</t>
        </is>
      </c>
      <c r="B314" s="26" t="n">
        <v>45161</v>
      </c>
      <c r="C314" s="12" t="inlineStr">
        <is>
          <t>VS14</t>
        </is>
      </c>
      <c r="D314" s="12" t="inlineStr">
        <is>
          <t>HR Coils</t>
        </is>
      </c>
      <c r="E314" s="12" t="inlineStr">
        <is>
          <t>N</t>
        </is>
      </c>
      <c r="F314" s="12" t="n">
        <v>34.34</v>
      </c>
      <c r="G314" s="17" t="n">
        <v>89686.08</v>
      </c>
      <c r="H314" s="26" t="n">
        <v>45176</v>
      </c>
      <c r="I314" s="26" t="n">
        <v>45177</v>
      </c>
      <c r="J314" s="12" t="n">
        <v>34.19</v>
      </c>
      <c r="K314" s="17" t="n">
        <v>3079819.99</v>
      </c>
      <c r="L314" s="12" t="n">
        <v>0</v>
      </c>
      <c r="M314" s="12" t="n">
        <v>0</v>
      </c>
      <c r="N314" s="27">
        <f>F314-J314</f>
        <v/>
      </c>
      <c r="O314" s="16">
        <f>I314-H314</f>
        <v/>
      </c>
      <c r="P314" s="14">
        <f>F314*G314</f>
        <v/>
      </c>
      <c r="Q314" s="14">
        <f>J314*G314</f>
        <v/>
      </c>
      <c r="R314" s="14">
        <f>K314-Q314</f>
        <v/>
      </c>
      <c r="S314" s="3">
        <f>P314*Assumptions!$B$3/100</f>
        <v/>
      </c>
      <c r="T314" s="14">
        <f>R314-S314</f>
        <v/>
      </c>
      <c r="U314" s="14">
        <f>L314*G314</f>
        <v/>
      </c>
    </row>
    <row r="315">
      <c r="A315" s="12" t="inlineStr">
        <is>
          <t>PO-2021-0313</t>
        </is>
      </c>
      <c r="B315" s="26" t="n">
        <v>44364</v>
      </c>
      <c r="C315" s="12" t="inlineStr">
        <is>
          <t>VS34</t>
        </is>
      </c>
      <c r="D315" s="12" t="inlineStr">
        <is>
          <t>Fasteners &amp; Fittings</t>
        </is>
      </c>
      <c r="E315" s="12" t="inlineStr">
        <is>
          <t>N</t>
        </is>
      </c>
      <c r="F315" s="12" t="n">
        <v>26.88</v>
      </c>
      <c r="G315" s="17" t="n">
        <v>72133.87</v>
      </c>
      <c r="H315" s="26" t="n">
        <v>44376</v>
      </c>
      <c r="I315" s="26" t="n">
        <v>44379</v>
      </c>
      <c r="J315" s="12" t="n">
        <v>26.78</v>
      </c>
      <c r="K315" s="17" t="n">
        <v>1938958.43</v>
      </c>
      <c r="L315" s="12" t="n">
        <v>0</v>
      </c>
      <c r="M315" s="12" t="n">
        <v>2</v>
      </c>
      <c r="N315" s="27">
        <f>F315-J315</f>
        <v/>
      </c>
      <c r="O315" s="16">
        <f>I315-H315</f>
        <v/>
      </c>
      <c r="P315" s="14">
        <f>F315*G315</f>
        <v/>
      </c>
      <c r="Q315" s="14">
        <f>J315*G315</f>
        <v/>
      </c>
      <c r="R315" s="14">
        <f>K315-Q315</f>
        <v/>
      </c>
      <c r="S315" s="3">
        <f>P315*Assumptions!$B$3/100</f>
        <v/>
      </c>
      <c r="T315" s="14">
        <f>R315-S315</f>
        <v/>
      </c>
      <c r="U315" s="14">
        <f>L315*G315</f>
        <v/>
      </c>
    </row>
    <row r="316">
      <c r="A316" s="12" t="inlineStr">
        <is>
          <t>PO-2021-0314</t>
        </is>
      </c>
      <c r="B316" s="26" t="n">
        <v>44426</v>
      </c>
      <c r="C316" s="12" t="inlineStr">
        <is>
          <t>VS04</t>
        </is>
      </c>
      <c r="D316" s="12" t="inlineStr">
        <is>
          <t>Spring Steel</t>
        </is>
      </c>
      <c r="E316" s="12" t="inlineStr">
        <is>
          <t>Y</t>
        </is>
      </c>
      <c r="F316" s="12" t="n">
        <v>45.24</v>
      </c>
      <c r="G316" s="17" t="n">
        <v>60161.76</v>
      </c>
      <c r="H316" s="26" t="n">
        <v>44437</v>
      </c>
      <c r="I316" s="26" t="n">
        <v>44440</v>
      </c>
      <c r="J316" s="12" t="n">
        <v>44.85</v>
      </c>
      <c r="K316" s="17" t="n">
        <v>2721718.02</v>
      </c>
      <c r="L316" s="12" t="n">
        <v>0</v>
      </c>
      <c r="M316" s="12" t="n">
        <v>15</v>
      </c>
      <c r="N316" s="27">
        <f>F316-J316</f>
        <v/>
      </c>
      <c r="O316" s="16">
        <f>I316-H316</f>
        <v/>
      </c>
      <c r="P316" s="14">
        <f>F316*G316</f>
        <v/>
      </c>
      <c r="Q316" s="14">
        <f>J316*G316</f>
        <v/>
      </c>
      <c r="R316" s="14">
        <f>K316-Q316</f>
        <v/>
      </c>
      <c r="S316" s="3">
        <f>P316*Assumptions!$B$3/100</f>
        <v/>
      </c>
      <c r="T316" s="14">
        <f>R316-S316</f>
        <v/>
      </c>
      <c r="U316" s="14">
        <f>L316*G316</f>
        <v/>
      </c>
    </row>
    <row r="317">
      <c r="A317" s="12" t="inlineStr">
        <is>
          <t>PO-2021-0315</t>
        </is>
      </c>
      <c r="B317" s="26" t="n">
        <v>44503</v>
      </c>
      <c r="C317" s="12" t="inlineStr">
        <is>
          <t>VS11</t>
        </is>
      </c>
      <c r="D317" s="12" t="inlineStr">
        <is>
          <t>MS Flats</t>
        </is>
      </c>
      <c r="E317" s="12" t="inlineStr">
        <is>
          <t>N</t>
        </is>
      </c>
      <c r="F317" s="12" t="n">
        <v>42.87</v>
      </c>
      <c r="G317" s="17" t="n">
        <v>78138.03999999999</v>
      </c>
      <c r="H317" s="26" t="n">
        <v>44516</v>
      </c>
      <c r="I317" s="26" t="n">
        <v>44516</v>
      </c>
      <c r="J317" s="12" t="n">
        <v>42.61</v>
      </c>
      <c r="K317" s="17" t="n">
        <v>3349777.77</v>
      </c>
      <c r="L317" s="12" t="n">
        <v>0</v>
      </c>
      <c r="M317" s="12" t="n">
        <v>23</v>
      </c>
      <c r="N317" s="27">
        <f>F317-J317</f>
        <v/>
      </c>
      <c r="O317" s="16">
        <f>I317-H317</f>
        <v/>
      </c>
      <c r="P317" s="14">
        <f>F317*G317</f>
        <v/>
      </c>
      <c r="Q317" s="14">
        <f>J317*G317</f>
        <v/>
      </c>
      <c r="R317" s="14">
        <f>K317-Q317</f>
        <v/>
      </c>
      <c r="S317" s="3">
        <f>P317*Assumptions!$B$3/100</f>
        <v/>
      </c>
      <c r="T317" s="14">
        <f>R317-S317</f>
        <v/>
      </c>
      <c r="U317" s="14">
        <f>L317*G317</f>
        <v/>
      </c>
    </row>
    <row r="318">
      <c r="A318" s="12" t="inlineStr">
        <is>
          <t>PO-2021-0316</t>
        </is>
      </c>
      <c r="B318" s="26" t="n">
        <v>44617</v>
      </c>
      <c r="C318" s="12" t="inlineStr">
        <is>
          <t>VS32</t>
        </is>
      </c>
      <c r="D318" s="12" t="inlineStr">
        <is>
          <t>SS Pipes</t>
        </is>
      </c>
      <c r="E318" s="12" t="inlineStr">
        <is>
          <t>N</t>
        </is>
      </c>
      <c r="F318" s="12" t="n">
        <v>45.05</v>
      </c>
      <c r="G318" s="17" t="n">
        <v>78411.2</v>
      </c>
      <c r="H318" s="26" t="n">
        <v>44620</v>
      </c>
      <c r="I318" s="26" t="n">
        <v>44621</v>
      </c>
      <c r="J318" s="12" t="n">
        <v>44.96</v>
      </c>
      <c r="K318" s="17" t="n">
        <v>3532424.56</v>
      </c>
      <c r="L318" s="12" t="n">
        <v>0</v>
      </c>
      <c r="M318" s="12" t="n">
        <v>0</v>
      </c>
      <c r="N318" s="27">
        <f>F318-J318</f>
        <v/>
      </c>
      <c r="O318" s="16">
        <f>I318-H318</f>
        <v/>
      </c>
      <c r="P318" s="14">
        <f>F318*G318</f>
        <v/>
      </c>
      <c r="Q318" s="14">
        <f>J318*G318</f>
        <v/>
      </c>
      <c r="R318" s="14">
        <f>K318-Q318</f>
        <v/>
      </c>
      <c r="S318" s="3">
        <f>P318*Assumptions!$B$3/100</f>
        <v/>
      </c>
      <c r="T318" s="14">
        <f>R318-S318</f>
        <v/>
      </c>
      <c r="U318" s="14">
        <f>L318*G318</f>
        <v/>
      </c>
    </row>
    <row r="319">
      <c r="A319" s="12" t="inlineStr">
        <is>
          <t>PO-2021-0317</t>
        </is>
      </c>
      <c r="B319" s="26" t="n">
        <v>45125</v>
      </c>
      <c r="C319" s="12" t="inlineStr">
        <is>
          <t>VS09</t>
        </is>
      </c>
      <c r="D319" s="12" t="inlineStr">
        <is>
          <t>Hex Bars</t>
        </is>
      </c>
      <c r="E319" s="12" t="inlineStr">
        <is>
          <t>N</t>
        </is>
      </c>
      <c r="F319" s="12" t="n">
        <v>21.36</v>
      </c>
      <c r="G319" s="17" t="n">
        <v>87293.34</v>
      </c>
      <c r="H319" s="26" t="n">
        <v>45136</v>
      </c>
      <c r="I319" s="26" t="n">
        <v>45137</v>
      </c>
      <c r="J319" s="12" t="n">
        <v>21.26</v>
      </c>
      <c r="K319" s="17" t="n">
        <v>1864585.74</v>
      </c>
      <c r="L319" s="12" t="n">
        <v>0</v>
      </c>
      <c r="M319" s="12" t="n">
        <v>0</v>
      </c>
      <c r="N319" s="27">
        <f>F319-J319</f>
        <v/>
      </c>
      <c r="O319" s="16">
        <f>I319-H319</f>
        <v/>
      </c>
      <c r="P319" s="14">
        <f>F319*G319</f>
        <v/>
      </c>
      <c r="Q319" s="14">
        <f>J319*G319</f>
        <v/>
      </c>
      <c r="R319" s="14">
        <f>K319-Q319</f>
        <v/>
      </c>
      <c r="S319" s="3">
        <f>P319*Assumptions!$B$3/100</f>
        <v/>
      </c>
      <c r="T319" s="14">
        <f>R319-S319</f>
        <v/>
      </c>
      <c r="U319" s="14">
        <f>L319*G319</f>
        <v/>
      </c>
    </row>
    <row r="320">
      <c r="A320" s="12" t="inlineStr">
        <is>
          <t>PO-2021-0318</t>
        </is>
      </c>
      <c r="B320" s="26" t="n">
        <v>45143</v>
      </c>
      <c r="C320" s="12" t="inlineStr">
        <is>
          <t>VS20</t>
        </is>
      </c>
      <c r="D320" s="12" t="inlineStr">
        <is>
          <t>MS Pipes</t>
        </is>
      </c>
      <c r="E320" s="12" t="inlineStr">
        <is>
          <t>N</t>
        </is>
      </c>
      <c r="F320" s="12" t="n">
        <v>20.4</v>
      </c>
      <c r="G320" s="17" t="n">
        <v>106233.99</v>
      </c>
      <c r="H320" s="26" t="n">
        <v>45157</v>
      </c>
      <c r="I320" s="26" t="n">
        <v>45157</v>
      </c>
      <c r="J320" s="12" t="n">
        <v>20.2</v>
      </c>
      <c r="K320" s="17" t="n">
        <v>2167173.4</v>
      </c>
      <c r="L320" s="12" t="n">
        <v>0</v>
      </c>
      <c r="M320" s="12" t="n">
        <v>18</v>
      </c>
      <c r="N320" s="27">
        <f>F320-J320</f>
        <v/>
      </c>
      <c r="O320" s="16">
        <f>I320-H320</f>
        <v/>
      </c>
      <c r="P320" s="14">
        <f>F320*G320</f>
        <v/>
      </c>
      <c r="Q320" s="14">
        <f>J320*G320</f>
        <v/>
      </c>
      <c r="R320" s="14">
        <f>K320-Q320</f>
        <v/>
      </c>
      <c r="S320" s="3">
        <f>P320*Assumptions!$B$3/100</f>
        <v/>
      </c>
      <c r="T320" s="14">
        <f>R320-S320</f>
        <v/>
      </c>
      <c r="U320" s="14">
        <f>L320*G320</f>
        <v/>
      </c>
    </row>
    <row r="321">
      <c r="A321" s="12" t="inlineStr">
        <is>
          <t>PO-2021-0319</t>
        </is>
      </c>
      <c r="B321" s="26" t="n">
        <v>44643</v>
      </c>
      <c r="C321" s="12" t="inlineStr">
        <is>
          <t>VS05</t>
        </is>
      </c>
      <c r="D321" s="12" t="inlineStr">
        <is>
          <t>GI Pipes</t>
        </is>
      </c>
      <c r="E321" s="12" t="inlineStr">
        <is>
          <t>N</t>
        </is>
      </c>
      <c r="F321" s="12" t="n">
        <v>21.76</v>
      </c>
      <c r="G321" s="17" t="n">
        <v>97528.87</v>
      </c>
      <c r="H321" s="26" t="n">
        <v>44654</v>
      </c>
      <c r="I321" s="26" t="n">
        <v>44654</v>
      </c>
      <c r="J321" s="12" t="n">
        <v>21.61</v>
      </c>
      <c r="K321" s="17" t="n">
        <v>2122228.21</v>
      </c>
      <c r="L321" s="12" t="n">
        <v>0</v>
      </c>
      <c r="M321" s="12" t="n">
        <v>20</v>
      </c>
      <c r="N321" s="27">
        <f>F321-J321</f>
        <v/>
      </c>
      <c r="O321" s="16">
        <f>I321-H321</f>
        <v/>
      </c>
      <c r="P321" s="14">
        <f>F321*G321</f>
        <v/>
      </c>
      <c r="Q321" s="14">
        <f>J321*G321</f>
        <v/>
      </c>
      <c r="R321" s="14">
        <f>K321-Q321</f>
        <v/>
      </c>
      <c r="S321" s="3">
        <f>P321*Assumptions!$B$3/100</f>
        <v/>
      </c>
      <c r="T321" s="14">
        <f>R321-S321</f>
        <v/>
      </c>
      <c r="U321" s="14">
        <f>L321*G321</f>
        <v/>
      </c>
    </row>
    <row r="322">
      <c r="A322" s="12" t="inlineStr">
        <is>
          <t>PO-2021-0320</t>
        </is>
      </c>
      <c r="B322" s="26" t="n">
        <v>44320</v>
      </c>
      <c r="C322" s="12" t="inlineStr">
        <is>
          <t>VS05</t>
        </is>
      </c>
      <c r="D322" s="12" t="inlineStr">
        <is>
          <t>Structural Steel</t>
        </is>
      </c>
      <c r="E322" s="12" t="inlineStr">
        <is>
          <t>N</t>
        </is>
      </c>
      <c r="F322" s="12" t="n">
        <v>2.56</v>
      </c>
      <c r="G322" s="17" t="n">
        <v>75665.02</v>
      </c>
      <c r="H322" s="26" t="n">
        <v>44335</v>
      </c>
      <c r="I322" s="26" t="n">
        <v>44336</v>
      </c>
      <c r="J322" s="12" t="n">
        <v>2.55</v>
      </c>
      <c r="K322" s="17" t="n">
        <v>193702.45</v>
      </c>
      <c r="L322" s="12" t="n">
        <v>0</v>
      </c>
      <c r="M322" s="12" t="n">
        <v>2</v>
      </c>
      <c r="N322" s="27">
        <f>F322-J322</f>
        <v/>
      </c>
      <c r="O322" s="16">
        <f>I322-H322</f>
        <v/>
      </c>
      <c r="P322" s="14">
        <f>F322*G322</f>
        <v/>
      </c>
      <c r="Q322" s="14">
        <f>J322*G322</f>
        <v/>
      </c>
      <c r="R322" s="14">
        <f>K322-Q322</f>
        <v/>
      </c>
      <c r="S322" s="3">
        <f>P322*Assumptions!$B$3/100</f>
        <v/>
      </c>
      <c r="T322" s="14">
        <f>R322-S322</f>
        <v/>
      </c>
      <c r="U322" s="14">
        <f>L322*G322</f>
        <v/>
      </c>
    </row>
    <row r="323">
      <c r="A323" s="12" t="inlineStr">
        <is>
          <t>PO-2021-0321</t>
        </is>
      </c>
      <c r="B323" s="26" t="n">
        <v>44474</v>
      </c>
      <c r="C323" s="12" t="inlineStr">
        <is>
          <t>VS27</t>
        </is>
      </c>
      <c r="D323" s="12" t="inlineStr">
        <is>
          <t>Angles &amp; Channels</t>
        </is>
      </c>
      <c r="E323" s="12" t="inlineStr">
        <is>
          <t>N</t>
        </is>
      </c>
      <c r="F323" s="12" t="n">
        <v>49.65</v>
      </c>
      <c r="G323" s="17" t="n">
        <v>73685.97</v>
      </c>
      <c r="H323" s="26" t="n">
        <v>44483</v>
      </c>
      <c r="I323" s="26" t="n">
        <v>44484</v>
      </c>
      <c r="J323" s="12" t="n">
        <v>49.64</v>
      </c>
      <c r="K323" s="17" t="n">
        <v>3658508.41</v>
      </c>
      <c r="L323" s="12" t="n">
        <v>0</v>
      </c>
      <c r="M323" s="12" t="n">
        <v>0</v>
      </c>
      <c r="N323" s="27">
        <f>F323-J323</f>
        <v/>
      </c>
      <c r="O323" s="16">
        <f>I323-H323</f>
        <v/>
      </c>
      <c r="P323" s="14">
        <f>F323*G323</f>
        <v/>
      </c>
      <c r="Q323" s="14">
        <f>J323*G323</f>
        <v/>
      </c>
      <c r="R323" s="14">
        <f>K323-Q323</f>
        <v/>
      </c>
      <c r="S323" s="3">
        <f>P323*Assumptions!$B$3/100</f>
        <v/>
      </c>
      <c r="T323" s="14">
        <f>R323-S323</f>
        <v/>
      </c>
      <c r="U323" s="14">
        <f>L323*G323</f>
        <v/>
      </c>
    </row>
    <row r="324">
      <c r="A324" s="12" t="inlineStr">
        <is>
          <t>PO-2021-0322</t>
        </is>
      </c>
      <c r="B324" s="26" t="n">
        <v>44966</v>
      </c>
      <c r="C324" s="12" t="inlineStr">
        <is>
          <t>VS06</t>
        </is>
      </c>
      <c r="D324" s="12" t="inlineStr">
        <is>
          <t>Spring Steel</t>
        </is>
      </c>
      <c r="E324" s="12" t="inlineStr">
        <is>
          <t>N</t>
        </is>
      </c>
      <c r="F324" s="12" t="n">
        <v>7.52</v>
      </c>
      <c r="G324" s="17" t="n">
        <v>109521.49</v>
      </c>
      <c r="H324" s="26" t="n">
        <v>44970</v>
      </c>
      <c r="I324" s="26" t="n">
        <v>44972</v>
      </c>
      <c r="J324" s="12" t="n">
        <v>7.45</v>
      </c>
      <c r="K324" s="17" t="n">
        <v>823601.6</v>
      </c>
      <c r="L324" s="12" t="n">
        <v>0</v>
      </c>
      <c r="M324" s="12" t="n">
        <v>0</v>
      </c>
      <c r="N324" s="27">
        <f>F324-J324</f>
        <v/>
      </c>
      <c r="O324" s="16">
        <f>I324-H324</f>
        <v/>
      </c>
      <c r="P324" s="14">
        <f>F324*G324</f>
        <v/>
      </c>
      <c r="Q324" s="14">
        <f>J324*G324</f>
        <v/>
      </c>
      <c r="R324" s="14">
        <f>K324-Q324</f>
        <v/>
      </c>
      <c r="S324" s="3">
        <f>P324*Assumptions!$B$3/100</f>
        <v/>
      </c>
      <c r="T324" s="14">
        <f>R324-S324</f>
        <v/>
      </c>
      <c r="U324" s="14">
        <f>L324*G324</f>
        <v/>
      </c>
    </row>
    <row r="325">
      <c r="A325" s="12" t="inlineStr">
        <is>
          <t>PO-2021-0323</t>
        </is>
      </c>
      <c r="B325" s="26" t="n">
        <v>44562</v>
      </c>
      <c r="C325" s="12" t="inlineStr">
        <is>
          <t>VS26</t>
        </is>
      </c>
      <c r="D325" s="12" t="inlineStr">
        <is>
          <t>Hex Bars</t>
        </is>
      </c>
      <c r="E325" s="12" t="inlineStr">
        <is>
          <t>N</t>
        </is>
      </c>
      <c r="F325" s="12" t="n">
        <v>7.24</v>
      </c>
      <c r="G325" s="17" t="n">
        <v>118404.33</v>
      </c>
      <c r="H325" s="26" t="n">
        <v>44565</v>
      </c>
      <c r="I325" s="26" t="n">
        <v>44568</v>
      </c>
      <c r="J325" s="12" t="n">
        <v>7.19</v>
      </c>
      <c r="K325" s="17" t="n">
        <v>857247.35</v>
      </c>
      <c r="L325" s="12" t="n">
        <v>0</v>
      </c>
      <c r="M325" s="12" t="n">
        <v>2</v>
      </c>
      <c r="N325" s="27">
        <f>F325-J325</f>
        <v/>
      </c>
      <c r="O325" s="16">
        <f>I325-H325</f>
        <v/>
      </c>
      <c r="P325" s="14">
        <f>F325*G325</f>
        <v/>
      </c>
      <c r="Q325" s="14">
        <f>J325*G325</f>
        <v/>
      </c>
      <c r="R325" s="14">
        <f>K325-Q325</f>
        <v/>
      </c>
      <c r="S325" s="3">
        <f>P325*Assumptions!$B$3/100</f>
        <v/>
      </c>
      <c r="T325" s="14">
        <f>R325-S325</f>
        <v/>
      </c>
      <c r="U325" s="14">
        <f>L325*G325</f>
        <v/>
      </c>
    </row>
    <row r="326">
      <c r="A326" s="12" t="inlineStr">
        <is>
          <t>PO-2021-0324</t>
        </is>
      </c>
      <c r="B326" s="26" t="n">
        <v>44243</v>
      </c>
      <c r="C326" s="12" t="inlineStr">
        <is>
          <t>VS20</t>
        </is>
      </c>
      <c r="D326" s="12" t="inlineStr">
        <is>
          <t>Fasteners &amp; Fittings</t>
        </is>
      </c>
      <c r="E326" s="12" t="inlineStr">
        <is>
          <t>Y</t>
        </is>
      </c>
      <c r="F326" s="12" t="n">
        <v>34</v>
      </c>
      <c r="G326" s="17" t="n">
        <v>85833.39999999999</v>
      </c>
      <c r="H326" s="26" t="n">
        <v>44254</v>
      </c>
      <c r="I326" s="26" t="n">
        <v>44257</v>
      </c>
      <c r="J326" s="12" t="n">
        <v>33.92</v>
      </c>
      <c r="K326" s="17" t="n">
        <v>2918335.6</v>
      </c>
      <c r="L326" s="12" t="n">
        <v>0</v>
      </c>
      <c r="M326" s="12" t="n">
        <v>0</v>
      </c>
      <c r="N326" s="27">
        <f>F326-J326</f>
        <v/>
      </c>
      <c r="O326" s="16">
        <f>I326-H326</f>
        <v/>
      </c>
      <c r="P326" s="14">
        <f>F326*G326</f>
        <v/>
      </c>
      <c r="Q326" s="14">
        <f>J326*G326</f>
        <v/>
      </c>
      <c r="R326" s="14">
        <f>K326-Q326</f>
        <v/>
      </c>
      <c r="S326" s="3">
        <f>P326*Assumptions!$B$3/100</f>
        <v/>
      </c>
      <c r="T326" s="14">
        <f>R326-S326</f>
        <v/>
      </c>
      <c r="U326" s="14">
        <f>L326*G326</f>
        <v/>
      </c>
    </row>
    <row r="327">
      <c r="A327" s="12" t="inlineStr">
        <is>
          <t>PO-2021-0325</t>
        </is>
      </c>
      <c r="B327" s="26" t="n">
        <v>44973</v>
      </c>
      <c r="C327" s="12" t="inlineStr">
        <is>
          <t>VS15</t>
        </is>
      </c>
      <c r="D327" s="12" t="inlineStr">
        <is>
          <t>HR Coils</t>
        </is>
      </c>
      <c r="E327" s="12" t="inlineStr">
        <is>
          <t>Y</t>
        </is>
      </c>
      <c r="F327" s="12" t="n">
        <v>23.57</v>
      </c>
      <c r="G327" s="17" t="n">
        <v>56634.1</v>
      </c>
      <c r="H327" s="26" t="n">
        <v>44979</v>
      </c>
      <c r="I327" s="26" t="n">
        <v>44982</v>
      </c>
      <c r="J327" s="12" t="n">
        <v>23.5</v>
      </c>
      <c r="K327" s="17" t="n">
        <v>1334865.74</v>
      </c>
      <c r="L327" s="12" t="n">
        <v>0</v>
      </c>
      <c r="M327" s="12" t="n">
        <v>0</v>
      </c>
      <c r="N327" s="27">
        <f>F327-J327</f>
        <v/>
      </c>
      <c r="O327" s="16">
        <f>I327-H327</f>
        <v/>
      </c>
      <c r="P327" s="14">
        <f>F327*G327</f>
        <v/>
      </c>
      <c r="Q327" s="14">
        <f>J327*G327</f>
        <v/>
      </c>
      <c r="R327" s="14">
        <f>K327-Q327</f>
        <v/>
      </c>
      <c r="S327" s="3">
        <f>P327*Assumptions!$B$3/100</f>
        <v/>
      </c>
      <c r="T327" s="14">
        <f>R327-S327</f>
        <v/>
      </c>
      <c r="U327" s="14">
        <f>L327*G327</f>
        <v/>
      </c>
    </row>
    <row r="328">
      <c r="A328" s="12" t="inlineStr">
        <is>
          <t>PO-2021-0326</t>
        </is>
      </c>
      <c r="B328" s="26" t="n">
        <v>44428</v>
      </c>
      <c r="C328" s="12" t="inlineStr">
        <is>
          <t>VS03</t>
        </is>
      </c>
      <c r="D328" s="12" t="inlineStr">
        <is>
          <t>GI Wire</t>
        </is>
      </c>
      <c r="E328" s="12" t="inlineStr">
        <is>
          <t>N</t>
        </is>
      </c>
      <c r="F328" s="12" t="n">
        <v>31.13</v>
      </c>
      <c r="G328" s="17" t="n">
        <v>119826.56</v>
      </c>
      <c r="H328" s="26" t="n">
        <v>44431</v>
      </c>
      <c r="I328" s="26" t="n">
        <v>44437</v>
      </c>
      <c r="J328" s="12" t="n">
        <v>30.14</v>
      </c>
      <c r="K328" s="17" t="n">
        <v>3730200.81</v>
      </c>
      <c r="L328" s="12" t="n">
        <v>0.57</v>
      </c>
      <c r="M328" s="12" t="n">
        <v>24</v>
      </c>
      <c r="N328" s="27">
        <f>F328-J328</f>
        <v/>
      </c>
      <c r="O328" s="16">
        <f>I328-H328</f>
        <v/>
      </c>
      <c r="P328" s="14">
        <f>F328*G328</f>
        <v/>
      </c>
      <c r="Q328" s="14">
        <f>J328*G328</f>
        <v/>
      </c>
      <c r="R328" s="14">
        <f>K328-Q328</f>
        <v/>
      </c>
      <c r="S328" s="3">
        <f>P328*Assumptions!$B$3/100</f>
        <v/>
      </c>
      <c r="T328" s="14">
        <f>R328-S328</f>
        <v/>
      </c>
      <c r="U328" s="14">
        <f>L328*G328</f>
        <v/>
      </c>
    </row>
    <row r="329">
      <c r="A329" s="12" t="inlineStr">
        <is>
          <t>PO-2021-0327</t>
        </is>
      </c>
      <c r="B329" s="26" t="n">
        <v>44689</v>
      </c>
      <c r="C329" s="12" t="inlineStr">
        <is>
          <t>VS14</t>
        </is>
      </c>
      <c r="D329" s="12" t="inlineStr">
        <is>
          <t>SS Pipes</t>
        </is>
      </c>
      <c r="E329" s="12" t="inlineStr">
        <is>
          <t>N</t>
        </is>
      </c>
      <c r="F329" s="12" t="n">
        <v>5.94</v>
      </c>
      <c r="G329" s="17" t="n">
        <v>47518.22</v>
      </c>
      <c r="H329" s="26" t="n">
        <v>44701</v>
      </c>
      <c r="I329" s="26" t="n">
        <v>44703</v>
      </c>
      <c r="J329" s="12" t="n">
        <v>5.89</v>
      </c>
      <c r="K329" s="17" t="n">
        <v>282258.23</v>
      </c>
      <c r="L329" s="12" t="n">
        <v>0</v>
      </c>
      <c r="M329" s="12" t="n">
        <v>10</v>
      </c>
      <c r="N329" s="27">
        <f>F329-J329</f>
        <v/>
      </c>
      <c r="O329" s="16">
        <f>I329-H329</f>
        <v/>
      </c>
      <c r="P329" s="14">
        <f>F329*G329</f>
        <v/>
      </c>
      <c r="Q329" s="14">
        <f>J329*G329</f>
        <v/>
      </c>
      <c r="R329" s="14">
        <f>K329-Q329</f>
        <v/>
      </c>
      <c r="S329" s="3">
        <f>P329*Assumptions!$B$3/100</f>
        <v/>
      </c>
      <c r="T329" s="14">
        <f>R329-S329</f>
        <v/>
      </c>
      <c r="U329" s="14">
        <f>L329*G329</f>
        <v/>
      </c>
    </row>
    <row r="330">
      <c r="A330" s="12" t="inlineStr">
        <is>
          <t>PO-2021-0328</t>
        </is>
      </c>
      <c r="B330" s="26" t="n">
        <v>44296</v>
      </c>
      <c r="C330" s="12" t="inlineStr">
        <is>
          <t>VS16</t>
        </is>
      </c>
      <c r="D330" s="12" t="inlineStr">
        <is>
          <t>GI Pipes</t>
        </is>
      </c>
      <c r="E330" s="12" t="inlineStr">
        <is>
          <t>N</t>
        </is>
      </c>
      <c r="F330" s="12" t="n">
        <v>20.71</v>
      </c>
      <c r="G330" s="17" t="n">
        <v>62575.45</v>
      </c>
      <c r="H330" s="26" t="n">
        <v>44302</v>
      </c>
      <c r="I330" s="26" t="n">
        <v>44305</v>
      </c>
      <c r="J330" s="12" t="n">
        <v>20.51</v>
      </c>
      <c r="K330" s="17" t="n">
        <v>1295937.57</v>
      </c>
      <c r="L330" s="12" t="n">
        <v>0</v>
      </c>
      <c r="M330" s="12" t="n">
        <v>15</v>
      </c>
      <c r="N330" s="27">
        <f>F330-J330</f>
        <v/>
      </c>
      <c r="O330" s="16">
        <f>I330-H330</f>
        <v/>
      </c>
      <c r="P330" s="14">
        <f>F330*G330</f>
        <v/>
      </c>
      <c r="Q330" s="14">
        <f>J330*G330</f>
        <v/>
      </c>
      <c r="R330" s="14">
        <f>K330-Q330</f>
        <v/>
      </c>
      <c r="S330" s="3">
        <f>P330*Assumptions!$B$3/100</f>
        <v/>
      </c>
      <c r="T330" s="14">
        <f>R330-S330</f>
        <v/>
      </c>
      <c r="U330" s="14">
        <f>L330*G330</f>
        <v/>
      </c>
    </row>
    <row r="331">
      <c r="A331" s="12" t="inlineStr">
        <is>
          <t>PO-2021-0329</t>
        </is>
      </c>
      <c r="B331" s="26" t="n">
        <v>44312</v>
      </c>
      <c r="C331" s="12" t="inlineStr">
        <is>
          <t>VS09</t>
        </is>
      </c>
      <c r="D331" s="12" t="inlineStr">
        <is>
          <t>Hex Bars</t>
        </is>
      </c>
      <c r="E331" s="12" t="inlineStr">
        <is>
          <t>N</t>
        </is>
      </c>
      <c r="F331" s="12" t="n">
        <v>49.68</v>
      </c>
      <c r="G331" s="17" t="n">
        <v>62562.11</v>
      </c>
      <c r="H331" s="26" t="n">
        <v>44326</v>
      </c>
      <c r="I331" s="26" t="n">
        <v>44327</v>
      </c>
      <c r="J331" s="12" t="n">
        <v>49.31</v>
      </c>
      <c r="K331" s="17" t="n">
        <v>3108085.62</v>
      </c>
      <c r="L331" s="12" t="n">
        <v>0</v>
      </c>
      <c r="M331" s="12" t="n">
        <v>0</v>
      </c>
      <c r="N331" s="27">
        <f>F331-J331</f>
        <v/>
      </c>
      <c r="O331" s="16">
        <f>I331-H331</f>
        <v/>
      </c>
      <c r="P331" s="14">
        <f>F331*G331</f>
        <v/>
      </c>
      <c r="Q331" s="14">
        <f>J331*G331</f>
        <v/>
      </c>
      <c r="R331" s="14">
        <f>K331-Q331</f>
        <v/>
      </c>
      <c r="S331" s="3">
        <f>P331*Assumptions!$B$3/100</f>
        <v/>
      </c>
      <c r="T331" s="14">
        <f>R331-S331</f>
        <v/>
      </c>
      <c r="U331" s="14">
        <f>L331*G331</f>
        <v/>
      </c>
    </row>
    <row r="332">
      <c r="A332" s="12" t="inlineStr">
        <is>
          <t>PO-2021-0330</t>
        </is>
      </c>
      <c r="B332" s="26" t="n">
        <v>44850</v>
      </c>
      <c r="C332" s="12" t="inlineStr">
        <is>
          <t>VS21</t>
        </is>
      </c>
      <c r="D332" s="12" t="inlineStr">
        <is>
          <t>HR Coils</t>
        </is>
      </c>
      <c r="E332" s="12" t="inlineStr">
        <is>
          <t>N</t>
        </is>
      </c>
      <c r="F332" s="12" t="n">
        <v>15.79</v>
      </c>
      <c r="G332" s="17" t="n">
        <v>55744.53</v>
      </c>
      <c r="H332" s="26" t="n">
        <v>44863</v>
      </c>
      <c r="I332" s="26" t="n">
        <v>44864</v>
      </c>
      <c r="J332" s="12" t="n">
        <v>15.77</v>
      </c>
      <c r="K332" s="17" t="n">
        <v>880206.13</v>
      </c>
      <c r="L332" s="12" t="n">
        <v>0</v>
      </c>
      <c r="M332" s="12" t="n">
        <v>0</v>
      </c>
      <c r="N332" s="27">
        <f>F332-J332</f>
        <v/>
      </c>
      <c r="O332" s="16">
        <f>I332-H332</f>
        <v/>
      </c>
      <c r="P332" s="14">
        <f>F332*G332</f>
        <v/>
      </c>
      <c r="Q332" s="14">
        <f>J332*G332</f>
        <v/>
      </c>
      <c r="R332" s="14">
        <f>K332-Q332</f>
        <v/>
      </c>
      <c r="S332" s="3">
        <f>P332*Assumptions!$B$3/100</f>
        <v/>
      </c>
      <c r="T332" s="14">
        <f>R332-S332</f>
        <v/>
      </c>
      <c r="U332" s="14">
        <f>L332*G332</f>
        <v/>
      </c>
    </row>
    <row r="333">
      <c r="A333" s="12" t="inlineStr">
        <is>
          <t>PO-2021-0331</t>
        </is>
      </c>
      <c r="B333" s="26" t="n">
        <v>45264</v>
      </c>
      <c r="C333" s="12" t="inlineStr">
        <is>
          <t>VS15</t>
        </is>
      </c>
      <c r="D333" s="12" t="inlineStr">
        <is>
          <t>GI Wire</t>
        </is>
      </c>
      <c r="E333" s="12" t="inlineStr">
        <is>
          <t>N</t>
        </is>
      </c>
      <c r="F333" s="12" t="n">
        <v>15.72</v>
      </c>
      <c r="G333" s="17" t="n">
        <v>49571.82</v>
      </c>
      <c r="H333" s="26" t="n">
        <v>45276</v>
      </c>
      <c r="I333" s="26" t="n">
        <v>45276</v>
      </c>
      <c r="J333" s="12" t="n">
        <v>15.62</v>
      </c>
      <c r="K333" s="17" t="n">
        <v>779269.01</v>
      </c>
      <c r="L333" s="12" t="n">
        <v>0</v>
      </c>
      <c r="M333" s="12" t="n">
        <v>0</v>
      </c>
      <c r="N333" s="27">
        <f>F333-J333</f>
        <v/>
      </c>
      <c r="O333" s="16">
        <f>I333-H333</f>
        <v/>
      </c>
      <c r="P333" s="14">
        <f>F333*G333</f>
        <v/>
      </c>
      <c r="Q333" s="14">
        <f>J333*G333</f>
        <v/>
      </c>
      <c r="R333" s="14">
        <f>K333-Q333</f>
        <v/>
      </c>
      <c r="S333" s="3">
        <f>P333*Assumptions!$B$3/100</f>
        <v/>
      </c>
      <c r="T333" s="14">
        <f>R333-S333</f>
        <v/>
      </c>
      <c r="U333" s="14">
        <f>L333*G333</f>
        <v/>
      </c>
    </row>
    <row r="334">
      <c r="A334" s="12" t="inlineStr">
        <is>
          <t>PO-2021-0332</t>
        </is>
      </c>
      <c r="B334" s="26" t="n">
        <v>44555</v>
      </c>
      <c r="C334" s="12" t="inlineStr">
        <is>
          <t>VS28</t>
        </is>
      </c>
      <c r="D334" s="12" t="inlineStr">
        <is>
          <t>Spring Steel</t>
        </is>
      </c>
      <c r="E334" s="12" t="inlineStr">
        <is>
          <t>N</t>
        </is>
      </c>
      <c r="F334" s="12" t="n">
        <v>25.29</v>
      </c>
      <c r="G334" s="17" t="n">
        <v>117921.77</v>
      </c>
      <c r="H334" s="26" t="n">
        <v>44568</v>
      </c>
      <c r="I334" s="26" t="n">
        <v>44571</v>
      </c>
      <c r="J334" s="12" t="n">
        <v>25.15</v>
      </c>
      <c r="K334" s="17" t="n">
        <v>2982241.56</v>
      </c>
      <c r="L334" s="12" t="n">
        <v>0</v>
      </c>
      <c r="M334" s="12" t="n">
        <v>8</v>
      </c>
      <c r="N334" s="27">
        <f>F334-J334</f>
        <v/>
      </c>
      <c r="O334" s="16">
        <f>I334-H334</f>
        <v/>
      </c>
      <c r="P334" s="14">
        <f>F334*G334</f>
        <v/>
      </c>
      <c r="Q334" s="14">
        <f>J334*G334</f>
        <v/>
      </c>
      <c r="R334" s="14">
        <f>K334-Q334</f>
        <v/>
      </c>
      <c r="S334" s="3">
        <f>P334*Assumptions!$B$3/100</f>
        <v/>
      </c>
      <c r="T334" s="14">
        <f>R334-S334</f>
        <v/>
      </c>
      <c r="U334" s="14">
        <f>L334*G334</f>
        <v/>
      </c>
    </row>
    <row r="335">
      <c r="A335" s="12" t="inlineStr">
        <is>
          <t>PO-2021-0333</t>
        </is>
      </c>
      <c r="B335" s="26" t="n">
        <v>44977</v>
      </c>
      <c r="C335" s="12" t="inlineStr">
        <is>
          <t>VS34</t>
        </is>
      </c>
      <c r="D335" s="12" t="inlineStr">
        <is>
          <t>MS Flats</t>
        </is>
      </c>
      <c r="E335" s="12" t="inlineStr">
        <is>
          <t>N</t>
        </is>
      </c>
      <c r="F335" s="12" t="n">
        <v>35.12</v>
      </c>
      <c r="G335" s="17" t="n">
        <v>75619.44</v>
      </c>
      <c r="H335" s="26" t="n">
        <v>44984</v>
      </c>
      <c r="I335" s="26" t="n">
        <v>44985</v>
      </c>
      <c r="J335" s="12" t="n">
        <v>34.9</v>
      </c>
      <c r="K335" s="17" t="n">
        <v>2655754.73</v>
      </c>
      <c r="L335" s="12" t="n">
        <v>0</v>
      </c>
      <c r="M335" s="12" t="n">
        <v>23</v>
      </c>
      <c r="N335" s="27">
        <f>F335-J335</f>
        <v/>
      </c>
      <c r="O335" s="16">
        <f>I335-H335</f>
        <v/>
      </c>
      <c r="P335" s="14">
        <f>F335*G335</f>
        <v/>
      </c>
      <c r="Q335" s="14">
        <f>J335*G335</f>
        <v/>
      </c>
      <c r="R335" s="14">
        <f>K335-Q335</f>
        <v/>
      </c>
      <c r="S335" s="3">
        <f>P335*Assumptions!$B$3/100</f>
        <v/>
      </c>
      <c r="T335" s="14">
        <f>R335-S335</f>
        <v/>
      </c>
      <c r="U335" s="14">
        <f>L335*G335</f>
        <v/>
      </c>
    </row>
    <row r="336">
      <c r="A336" s="12" t="inlineStr">
        <is>
          <t>PO-2021-0334</t>
        </is>
      </c>
      <c r="B336" s="26" t="n">
        <v>44967</v>
      </c>
      <c r="C336" s="12" t="inlineStr">
        <is>
          <t>VS12</t>
        </is>
      </c>
      <c r="D336" s="12" t="inlineStr">
        <is>
          <t>Spring Steel</t>
        </is>
      </c>
      <c r="E336" s="12" t="inlineStr">
        <is>
          <t>Y</t>
        </is>
      </c>
      <c r="F336" s="12" t="n">
        <v>24.2</v>
      </c>
      <c r="G336" s="17" t="n">
        <v>113048.59</v>
      </c>
      <c r="H336" s="26" t="n">
        <v>44974</v>
      </c>
      <c r="I336" s="26" t="n">
        <v>44980</v>
      </c>
      <c r="J336" s="12" t="n">
        <v>23.4</v>
      </c>
      <c r="K336" s="17" t="n">
        <v>2735775.88</v>
      </c>
      <c r="L336" s="12" t="n">
        <v>0.05</v>
      </c>
      <c r="M336" s="12" t="n">
        <v>16</v>
      </c>
      <c r="N336" s="27">
        <f>F336-J336</f>
        <v/>
      </c>
      <c r="O336" s="16">
        <f>I336-H336</f>
        <v/>
      </c>
      <c r="P336" s="14">
        <f>F336*G336</f>
        <v/>
      </c>
      <c r="Q336" s="14">
        <f>J336*G336</f>
        <v/>
      </c>
      <c r="R336" s="14">
        <f>K336-Q336</f>
        <v/>
      </c>
      <c r="S336" s="3">
        <f>P336*Assumptions!$B$3/100</f>
        <v/>
      </c>
      <c r="T336" s="14">
        <f>R336-S336</f>
        <v/>
      </c>
      <c r="U336" s="14">
        <f>L336*G336</f>
        <v/>
      </c>
    </row>
    <row r="337">
      <c r="A337" s="12" t="inlineStr">
        <is>
          <t>PO-2021-0335</t>
        </is>
      </c>
      <c r="B337" s="26" t="n">
        <v>44492</v>
      </c>
      <c r="C337" s="12" t="inlineStr">
        <is>
          <t>VS30</t>
        </is>
      </c>
      <c r="D337" s="12" t="inlineStr">
        <is>
          <t>GI Pipes</t>
        </is>
      </c>
      <c r="E337" s="12" t="inlineStr">
        <is>
          <t>N</t>
        </is>
      </c>
      <c r="F337" s="12" t="n">
        <v>28.56</v>
      </c>
      <c r="G337" s="17" t="n">
        <v>117583.96</v>
      </c>
      <c r="H337" s="26" t="n">
        <v>44503</v>
      </c>
      <c r="I337" s="26" t="n">
        <v>44503</v>
      </c>
      <c r="J337" s="12" t="n">
        <v>28.54</v>
      </c>
      <c r="K337" s="17" t="n">
        <v>3358197.9</v>
      </c>
      <c r="L337" s="12" t="n">
        <v>0</v>
      </c>
      <c r="M337" s="12" t="n">
        <v>0</v>
      </c>
      <c r="N337" s="27">
        <f>F337-J337</f>
        <v/>
      </c>
      <c r="O337" s="16">
        <f>I337-H337</f>
        <v/>
      </c>
      <c r="P337" s="14">
        <f>F337*G337</f>
        <v/>
      </c>
      <c r="Q337" s="14">
        <f>J337*G337</f>
        <v/>
      </c>
      <c r="R337" s="14">
        <f>K337-Q337</f>
        <v/>
      </c>
      <c r="S337" s="3">
        <f>P337*Assumptions!$B$3/100</f>
        <v/>
      </c>
      <c r="T337" s="14">
        <f>R337-S337</f>
        <v/>
      </c>
      <c r="U337" s="14">
        <f>L337*G337</f>
        <v/>
      </c>
    </row>
    <row r="338">
      <c r="A338" s="12" t="inlineStr">
        <is>
          <t>PO-2021-0336</t>
        </is>
      </c>
      <c r="B338" s="26" t="n">
        <v>45282</v>
      </c>
      <c r="C338" s="12" t="inlineStr">
        <is>
          <t>VS09</t>
        </is>
      </c>
      <c r="D338" s="12" t="inlineStr">
        <is>
          <t>MS Rods</t>
        </is>
      </c>
      <c r="E338" s="12" t="inlineStr">
        <is>
          <t>N</t>
        </is>
      </c>
      <c r="F338" s="12" t="n">
        <v>12.9</v>
      </c>
      <c r="G338" s="17" t="n">
        <v>60250.25</v>
      </c>
      <c r="H338" s="26" t="n">
        <v>45295</v>
      </c>
      <c r="I338" s="26" t="n">
        <v>45296</v>
      </c>
      <c r="J338" s="12" t="n">
        <v>12.87</v>
      </c>
      <c r="K338" s="17" t="n">
        <v>777228.22</v>
      </c>
      <c r="L338" s="12" t="n">
        <v>0</v>
      </c>
      <c r="M338" s="12" t="n">
        <v>25</v>
      </c>
      <c r="N338" s="27">
        <f>F338-J338</f>
        <v/>
      </c>
      <c r="O338" s="16">
        <f>I338-H338</f>
        <v/>
      </c>
      <c r="P338" s="14">
        <f>F338*G338</f>
        <v/>
      </c>
      <c r="Q338" s="14">
        <f>J338*G338</f>
        <v/>
      </c>
      <c r="R338" s="14">
        <f>K338-Q338</f>
        <v/>
      </c>
      <c r="S338" s="3">
        <f>P338*Assumptions!$B$3/100</f>
        <v/>
      </c>
      <c r="T338" s="14">
        <f>R338-S338</f>
        <v/>
      </c>
      <c r="U338" s="14">
        <f>L338*G338</f>
        <v/>
      </c>
    </row>
    <row r="339">
      <c r="A339" s="12" t="inlineStr">
        <is>
          <t>PO-2021-0337</t>
        </is>
      </c>
      <c r="B339" s="26" t="n">
        <v>44358</v>
      </c>
      <c r="C339" s="12" t="inlineStr">
        <is>
          <t>VS29</t>
        </is>
      </c>
      <c r="D339" s="12" t="inlineStr">
        <is>
          <t>Angles &amp; Channels</t>
        </is>
      </c>
      <c r="E339" s="12" t="inlineStr">
        <is>
          <t>N</t>
        </is>
      </c>
      <c r="F339" s="12" t="n">
        <v>5.53</v>
      </c>
      <c r="G339" s="17" t="n">
        <v>99343.85000000001</v>
      </c>
      <c r="H339" s="26" t="n">
        <v>44364</v>
      </c>
      <c r="I339" s="26" t="n">
        <v>44364</v>
      </c>
      <c r="J339" s="12" t="n">
        <v>5.49</v>
      </c>
      <c r="K339" s="17" t="n">
        <v>549371.49</v>
      </c>
      <c r="L339" s="12" t="n">
        <v>0</v>
      </c>
      <c r="M339" s="12" t="n">
        <v>2</v>
      </c>
      <c r="N339" s="27">
        <f>F339-J339</f>
        <v/>
      </c>
      <c r="O339" s="16">
        <f>I339-H339</f>
        <v/>
      </c>
      <c r="P339" s="14">
        <f>F339*G339</f>
        <v/>
      </c>
      <c r="Q339" s="14">
        <f>J339*G339</f>
        <v/>
      </c>
      <c r="R339" s="14">
        <f>K339-Q339</f>
        <v/>
      </c>
      <c r="S339" s="3">
        <f>P339*Assumptions!$B$3/100</f>
        <v/>
      </c>
      <c r="T339" s="14">
        <f>R339-S339</f>
        <v/>
      </c>
      <c r="U339" s="14">
        <f>L339*G339</f>
        <v/>
      </c>
    </row>
    <row r="340">
      <c r="A340" s="12" t="inlineStr">
        <is>
          <t>PO-2021-0338</t>
        </is>
      </c>
      <c r="B340" s="26" t="n">
        <v>44302</v>
      </c>
      <c r="C340" s="12" t="inlineStr">
        <is>
          <t>VS18</t>
        </is>
      </c>
      <c r="D340" s="12" t="inlineStr">
        <is>
          <t>MS Rods</t>
        </is>
      </c>
      <c r="E340" s="12" t="inlineStr">
        <is>
          <t>Y</t>
        </is>
      </c>
      <c r="F340" s="12" t="n">
        <v>34.01</v>
      </c>
      <c r="G340" s="17" t="n">
        <v>90219.14999999999</v>
      </c>
      <c r="H340" s="26" t="n">
        <v>44306</v>
      </c>
      <c r="I340" s="26" t="n">
        <v>44309</v>
      </c>
      <c r="J340" s="12" t="n">
        <v>33.82</v>
      </c>
      <c r="K340" s="17" t="n">
        <v>3068353.29</v>
      </c>
      <c r="L340" s="12" t="n">
        <v>0</v>
      </c>
      <c r="M340" s="12" t="n">
        <v>13</v>
      </c>
      <c r="N340" s="27">
        <f>F340-J340</f>
        <v/>
      </c>
      <c r="O340" s="16">
        <f>I340-H340</f>
        <v/>
      </c>
      <c r="P340" s="14">
        <f>F340*G340</f>
        <v/>
      </c>
      <c r="Q340" s="14">
        <f>J340*G340</f>
        <v/>
      </c>
      <c r="R340" s="14">
        <f>K340-Q340</f>
        <v/>
      </c>
      <c r="S340" s="3">
        <f>P340*Assumptions!$B$3/100</f>
        <v/>
      </c>
      <c r="T340" s="14">
        <f>R340-S340</f>
        <v/>
      </c>
      <c r="U340" s="14">
        <f>L340*G340</f>
        <v/>
      </c>
    </row>
    <row r="341">
      <c r="A341" s="12" t="inlineStr">
        <is>
          <t>PO-2021-0339</t>
        </is>
      </c>
      <c r="B341" s="26" t="n">
        <v>44582</v>
      </c>
      <c r="C341" s="12" t="inlineStr">
        <is>
          <t>VS14</t>
        </is>
      </c>
      <c r="D341" s="12" t="inlineStr">
        <is>
          <t>Structural Steel</t>
        </is>
      </c>
      <c r="E341" s="12" t="inlineStr">
        <is>
          <t>Y</t>
        </is>
      </c>
      <c r="F341" s="12" t="n">
        <v>11.24</v>
      </c>
      <c r="G341" s="17" t="n">
        <v>113027.46</v>
      </c>
      <c r="H341" s="26" t="n">
        <v>44589</v>
      </c>
      <c r="I341" s="26" t="n">
        <v>44589</v>
      </c>
      <c r="J341" s="12" t="n">
        <v>11.22</v>
      </c>
      <c r="K341" s="17" t="n">
        <v>1270428.65</v>
      </c>
      <c r="L341" s="12" t="n">
        <v>0</v>
      </c>
      <c r="M341" s="12" t="n">
        <v>11</v>
      </c>
      <c r="N341" s="27">
        <f>F341-J341</f>
        <v/>
      </c>
      <c r="O341" s="16">
        <f>I341-H341</f>
        <v/>
      </c>
      <c r="P341" s="14">
        <f>F341*G341</f>
        <v/>
      </c>
      <c r="Q341" s="14">
        <f>J341*G341</f>
        <v/>
      </c>
      <c r="R341" s="14">
        <f>K341-Q341</f>
        <v/>
      </c>
      <c r="S341" s="3">
        <f>P341*Assumptions!$B$3/100</f>
        <v/>
      </c>
      <c r="T341" s="14">
        <f>R341-S341</f>
        <v/>
      </c>
      <c r="U341" s="14">
        <f>L341*G341</f>
        <v/>
      </c>
    </row>
    <row r="342">
      <c r="A342" s="12" t="inlineStr">
        <is>
          <t>PO-2021-0340</t>
        </is>
      </c>
      <c r="B342" s="26" t="n">
        <v>44228</v>
      </c>
      <c r="C342" s="12" t="inlineStr">
        <is>
          <t>VS14</t>
        </is>
      </c>
      <c r="D342" s="12" t="inlineStr">
        <is>
          <t>GI Sheets</t>
        </is>
      </c>
      <c r="E342" s="12" t="inlineStr">
        <is>
          <t>N</t>
        </is>
      </c>
      <c r="F342" s="12" t="n">
        <v>48.14</v>
      </c>
      <c r="G342" s="17" t="n">
        <v>53798.71</v>
      </c>
      <c r="H342" s="26" t="n">
        <v>44243</v>
      </c>
      <c r="I342" s="26" t="n">
        <v>44244</v>
      </c>
      <c r="J342" s="12" t="n">
        <v>47.89</v>
      </c>
      <c r="K342" s="17" t="n">
        <v>2589869.9</v>
      </c>
      <c r="L342" s="12" t="n">
        <v>0</v>
      </c>
      <c r="M342" s="12" t="n">
        <v>12</v>
      </c>
      <c r="N342" s="27">
        <f>F342-J342</f>
        <v/>
      </c>
      <c r="O342" s="16">
        <f>I342-H342</f>
        <v/>
      </c>
      <c r="P342" s="14">
        <f>F342*G342</f>
        <v/>
      </c>
      <c r="Q342" s="14">
        <f>J342*G342</f>
        <v/>
      </c>
      <c r="R342" s="14">
        <f>K342-Q342</f>
        <v/>
      </c>
      <c r="S342" s="3">
        <f>P342*Assumptions!$B$3/100</f>
        <v/>
      </c>
      <c r="T342" s="14">
        <f>R342-S342</f>
        <v/>
      </c>
      <c r="U342" s="14">
        <f>L342*G342</f>
        <v/>
      </c>
    </row>
    <row r="343">
      <c r="A343" s="12" t="inlineStr">
        <is>
          <t>PO-2021-0341</t>
        </is>
      </c>
      <c r="B343" s="26" t="n">
        <v>45177</v>
      </c>
      <c r="C343" s="12" t="inlineStr">
        <is>
          <t>VS16</t>
        </is>
      </c>
      <c r="D343" s="12" t="inlineStr">
        <is>
          <t>GI Sheets</t>
        </is>
      </c>
      <c r="E343" s="12" t="inlineStr">
        <is>
          <t>N</t>
        </is>
      </c>
      <c r="F343" s="12" t="n">
        <v>20.43</v>
      </c>
      <c r="G343" s="17" t="n">
        <v>62949.82</v>
      </c>
      <c r="H343" s="26" t="n">
        <v>45185</v>
      </c>
      <c r="I343" s="26" t="n">
        <v>45187</v>
      </c>
      <c r="J343" s="12" t="n">
        <v>20.38</v>
      </c>
      <c r="K343" s="17" t="n">
        <v>1286064.82</v>
      </c>
      <c r="L343" s="12" t="n">
        <v>0</v>
      </c>
      <c r="M343" s="12" t="n">
        <v>0</v>
      </c>
      <c r="N343" s="27">
        <f>F343-J343</f>
        <v/>
      </c>
      <c r="O343" s="16">
        <f>I343-H343</f>
        <v/>
      </c>
      <c r="P343" s="14">
        <f>F343*G343</f>
        <v/>
      </c>
      <c r="Q343" s="14">
        <f>J343*G343</f>
        <v/>
      </c>
      <c r="R343" s="14">
        <f>K343-Q343</f>
        <v/>
      </c>
      <c r="S343" s="3">
        <f>P343*Assumptions!$B$3/100</f>
        <v/>
      </c>
      <c r="T343" s="14">
        <f>R343-S343</f>
        <v/>
      </c>
      <c r="U343" s="14">
        <f>L343*G343</f>
        <v/>
      </c>
    </row>
    <row r="344">
      <c r="A344" s="12" t="inlineStr">
        <is>
          <t>PO-2021-0342</t>
        </is>
      </c>
      <c r="B344" s="26" t="n">
        <v>44776</v>
      </c>
      <c r="C344" s="12" t="inlineStr">
        <is>
          <t>VS25</t>
        </is>
      </c>
      <c r="D344" s="12" t="inlineStr">
        <is>
          <t>Fasteners &amp; Fittings</t>
        </is>
      </c>
      <c r="E344" s="12" t="inlineStr">
        <is>
          <t>N</t>
        </is>
      </c>
      <c r="F344" s="12" t="n">
        <v>27.15</v>
      </c>
      <c r="G344" s="17" t="n">
        <v>71944.47</v>
      </c>
      <c r="H344" s="26" t="n">
        <v>44783</v>
      </c>
      <c r="I344" s="26" t="n">
        <v>44783</v>
      </c>
      <c r="J344" s="12" t="n">
        <v>27.04</v>
      </c>
      <c r="K344" s="17" t="n">
        <v>1953292.36</v>
      </c>
      <c r="L344" s="12" t="n">
        <v>0</v>
      </c>
      <c r="M344" s="12" t="n">
        <v>0</v>
      </c>
      <c r="N344" s="27">
        <f>F344-J344</f>
        <v/>
      </c>
      <c r="O344" s="16">
        <f>I344-H344</f>
        <v/>
      </c>
      <c r="P344" s="14">
        <f>F344*G344</f>
        <v/>
      </c>
      <c r="Q344" s="14">
        <f>J344*G344</f>
        <v/>
      </c>
      <c r="R344" s="14">
        <f>K344-Q344</f>
        <v/>
      </c>
      <c r="S344" s="3">
        <f>P344*Assumptions!$B$3/100</f>
        <v/>
      </c>
      <c r="T344" s="14">
        <f>R344-S344</f>
        <v/>
      </c>
      <c r="U344" s="14">
        <f>L344*G344</f>
        <v/>
      </c>
    </row>
    <row r="345">
      <c r="A345" s="12" t="inlineStr">
        <is>
          <t>PO-2021-0343</t>
        </is>
      </c>
      <c r="B345" s="26" t="n">
        <v>44933</v>
      </c>
      <c r="C345" s="12" t="inlineStr">
        <is>
          <t>VS33</t>
        </is>
      </c>
      <c r="D345" s="12" t="inlineStr">
        <is>
          <t>Structural Steel</t>
        </is>
      </c>
      <c r="E345" s="12" t="inlineStr">
        <is>
          <t>N</t>
        </is>
      </c>
      <c r="F345" s="12" t="n">
        <v>23.83</v>
      </c>
      <c r="G345" s="17" t="n">
        <v>105211.25</v>
      </c>
      <c r="H345" s="26" t="n">
        <v>44947</v>
      </c>
      <c r="I345" s="26" t="n">
        <v>44948</v>
      </c>
      <c r="J345" s="12" t="n">
        <v>23.69</v>
      </c>
      <c r="K345" s="17" t="n">
        <v>2507184.09</v>
      </c>
      <c r="L345" s="12" t="n">
        <v>0</v>
      </c>
      <c r="M345" s="12" t="n">
        <v>9</v>
      </c>
      <c r="N345" s="27">
        <f>F345-J345</f>
        <v/>
      </c>
      <c r="O345" s="16">
        <f>I345-H345</f>
        <v/>
      </c>
      <c r="P345" s="14">
        <f>F345*G345</f>
        <v/>
      </c>
      <c r="Q345" s="14">
        <f>J345*G345</f>
        <v/>
      </c>
      <c r="R345" s="14">
        <f>K345-Q345</f>
        <v/>
      </c>
      <c r="S345" s="3">
        <f>P345*Assumptions!$B$3/100</f>
        <v/>
      </c>
      <c r="T345" s="14">
        <f>R345-S345</f>
        <v/>
      </c>
      <c r="U345" s="14">
        <f>L345*G345</f>
        <v/>
      </c>
    </row>
    <row r="346">
      <c r="A346" s="12" t="inlineStr">
        <is>
          <t>PO-2021-0344</t>
        </is>
      </c>
      <c r="B346" s="26" t="n">
        <v>45158</v>
      </c>
      <c r="C346" s="12" t="inlineStr">
        <is>
          <t>VS21</t>
        </is>
      </c>
      <c r="D346" s="12" t="inlineStr">
        <is>
          <t>GI Sheets</t>
        </is>
      </c>
      <c r="E346" s="12" t="inlineStr">
        <is>
          <t>Y</t>
        </is>
      </c>
      <c r="F346" s="12" t="n">
        <v>19.16</v>
      </c>
      <c r="G346" s="17" t="n">
        <v>76044.75999999999</v>
      </c>
      <c r="H346" s="26" t="n">
        <v>45170</v>
      </c>
      <c r="I346" s="26" t="n">
        <v>45171</v>
      </c>
      <c r="J346" s="12" t="n">
        <v>19.06</v>
      </c>
      <c r="K346" s="17" t="n">
        <v>1457017.6</v>
      </c>
      <c r="L346" s="12" t="n">
        <v>0</v>
      </c>
      <c r="M346" s="12" t="n">
        <v>0</v>
      </c>
      <c r="N346" s="27">
        <f>F346-J346</f>
        <v/>
      </c>
      <c r="O346" s="16">
        <f>I346-H346</f>
        <v/>
      </c>
      <c r="P346" s="14">
        <f>F346*G346</f>
        <v/>
      </c>
      <c r="Q346" s="14">
        <f>J346*G346</f>
        <v/>
      </c>
      <c r="R346" s="14">
        <f>K346-Q346</f>
        <v/>
      </c>
      <c r="S346" s="3">
        <f>P346*Assumptions!$B$3/100</f>
        <v/>
      </c>
      <c r="T346" s="14">
        <f>R346-S346</f>
        <v/>
      </c>
      <c r="U346" s="14">
        <f>L346*G346</f>
        <v/>
      </c>
    </row>
    <row r="347">
      <c r="A347" s="12" t="inlineStr">
        <is>
          <t>PO-2021-0345</t>
        </is>
      </c>
      <c r="B347" s="26" t="n">
        <v>44650</v>
      </c>
      <c r="C347" s="12" t="inlineStr">
        <is>
          <t>VS10</t>
        </is>
      </c>
      <c r="D347" s="12" t="inlineStr">
        <is>
          <t>MS Pipes</t>
        </is>
      </c>
      <c r="E347" s="12" t="inlineStr">
        <is>
          <t>N</t>
        </is>
      </c>
      <c r="F347" s="12" t="n">
        <v>13.78</v>
      </c>
      <c r="G347" s="17" t="n">
        <v>115106.87</v>
      </c>
      <c r="H347" s="26" t="n">
        <v>44662</v>
      </c>
      <c r="I347" s="26" t="n">
        <v>44664</v>
      </c>
      <c r="J347" s="12" t="n">
        <v>13.76</v>
      </c>
      <c r="K347" s="17" t="n">
        <v>1586172.67</v>
      </c>
      <c r="L347" s="12" t="n">
        <v>0</v>
      </c>
      <c r="M347" s="12" t="n">
        <v>13</v>
      </c>
      <c r="N347" s="27">
        <f>F347-J347</f>
        <v/>
      </c>
      <c r="O347" s="16">
        <f>I347-H347</f>
        <v/>
      </c>
      <c r="P347" s="14">
        <f>F347*G347</f>
        <v/>
      </c>
      <c r="Q347" s="14">
        <f>J347*G347</f>
        <v/>
      </c>
      <c r="R347" s="14">
        <f>K347-Q347</f>
        <v/>
      </c>
      <c r="S347" s="3">
        <f>P347*Assumptions!$B$3/100</f>
        <v/>
      </c>
      <c r="T347" s="14">
        <f>R347-S347</f>
        <v/>
      </c>
      <c r="U347" s="14">
        <f>L347*G347</f>
        <v/>
      </c>
    </row>
    <row r="348">
      <c r="A348" s="12" t="inlineStr">
        <is>
          <t>PO-2021-0346</t>
        </is>
      </c>
      <c r="B348" s="26" t="n">
        <v>45052</v>
      </c>
      <c r="C348" s="12" t="inlineStr">
        <is>
          <t>VS19</t>
        </is>
      </c>
      <c r="D348" s="12" t="inlineStr">
        <is>
          <t>Square/Rect Tubes</t>
        </is>
      </c>
      <c r="E348" s="12" t="inlineStr">
        <is>
          <t>N</t>
        </is>
      </c>
      <c r="F348" s="12" t="n">
        <v>10.61</v>
      </c>
      <c r="G348" s="17" t="n">
        <v>64741.45</v>
      </c>
      <c r="H348" s="26" t="n">
        <v>45064</v>
      </c>
      <c r="I348" s="26" t="n">
        <v>45068</v>
      </c>
      <c r="J348" s="12" t="n">
        <v>10.13</v>
      </c>
      <c r="K348" s="17" t="n">
        <v>686906.78</v>
      </c>
      <c r="L348" s="12" t="n">
        <v>0.07000000000000001</v>
      </c>
      <c r="M348" s="12" t="n">
        <v>0</v>
      </c>
      <c r="N348" s="27">
        <f>F348-J348</f>
        <v/>
      </c>
      <c r="O348" s="16">
        <f>I348-H348</f>
        <v/>
      </c>
      <c r="P348" s="14">
        <f>F348*G348</f>
        <v/>
      </c>
      <c r="Q348" s="14">
        <f>J348*G348</f>
        <v/>
      </c>
      <c r="R348" s="14">
        <f>K348-Q348</f>
        <v/>
      </c>
      <c r="S348" s="3">
        <f>P348*Assumptions!$B$3/100</f>
        <v/>
      </c>
      <c r="T348" s="14">
        <f>R348-S348</f>
        <v/>
      </c>
      <c r="U348" s="14">
        <f>L348*G348</f>
        <v/>
      </c>
    </row>
    <row r="349">
      <c r="A349" s="12" t="inlineStr">
        <is>
          <t>PO-2021-0347</t>
        </is>
      </c>
      <c r="B349" s="26" t="n">
        <v>44700</v>
      </c>
      <c r="C349" s="12" t="inlineStr">
        <is>
          <t>VS32</t>
        </is>
      </c>
      <c r="D349" s="12" t="inlineStr">
        <is>
          <t>Spring Steel</t>
        </is>
      </c>
      <c r="E349" s="12" t="inlineStr">
        <is>
          <t>N</t>
        </is>
      </c>
      <c r="F349" s="12" t="n">
        <v>33.08</v>
      </c>
      <c r="G349" s="17" t="n">
        <v>96363.5</v>
      </c>
      <c r="H349" s="26" t="n">
        <v>44707</v>
      </c>
      <c r="I349" s="26" t="n">
        <v>44708</v>
      </c>
      <c r="J349" s="12" t="n">
        <v>32.83</v>
      </c>
      <c r="K349" s="17" t="n">
        <v>3187704.58</v>
      </c>
      <c r="L349" s="12" t="n">
        <v>0</v>
      </c>
      <c r="M349" s="12" t="n">
        <v>17</v>
      </c>
      <c r="N349" s="27">
        <f>F349-J349</f>
        <v/>
      </c>
      <c r="O349" s="16">
        <f>I349-H349</f>
        <v/>
      </c>
      <c r="P349" s="14">
        <f>F349*G349</f>
        <v/>
      </c>
      <c r="Q349" s="14">
        <f>J349*G349</f>
        <v/>
      </c>
      <c r="R349" s="14">
        <f>K349-Q349</f>
        <v/>
      </c>
      <c r="S349" s="3">
        <f>P349*Assumptions!$B$3/100</f>
        <v/>
      </c>
      <c r="T349" s="14">
        <f>R349-S349</f>
        <v/>
      </c>
      <c r="U349" s="14">
        <f>L349*G349</f>
        <v/>
      </c>
    </row>
    <row r="350">
      <c r="A350" s="12" t="inlineStr">
        <is>
          <t>PO-2021-0348</t>
        </is>
      </c>
      <c r="B350" s="26" t="n">
        <v>45197</v>
      </c>
      <c r="C350" s="12" t="inlineStr">
        <is>
          <t>VS32</t>
        </is>
      </c>
      <c r="D350" s="12" t="inlineStr">
        <is>
          <t>Fasteners &amp; Fittings</t>
        </is>
      </c>
      <c r="E350" s="12" t="inlineStr">
        <is>
          <t>Y</t>
        </is>
      </c>
      <c r="F350" s="12" t="n">
        <v>9.24</v>
      </c>
      <c r="G350" s="17" t="n">
        <v>104623.16</v>
      </c>
      <c r="H350" s="26" t="n">
        <v>45202</v>
      </c>
      <c r="I350" s="26" t="n">
        <v>45205</v>
      </c>
      <c r="J350" s="12" t="n">
        <v>9.17</v>
      </c>
      <c r="K350" s="17" t="n">
        <v>966718</v>
      </c>
      <c r="L350" s="12" t="n">
        <v>0</v>
      </c>
      <c r="M350" s="12" t="n">
        <v>17</v>
      </c>
      <c r="N350" s="27">
        <f>F350-J350</f>
        <v/>
      </c>
      <c r="O350" s="16">
        <f>I350-H350</f>
        <v/>
      </c>
      <c r="P350" s="14">
        <f>F350*G350</f>
        <v/>
      </c>
      <c r="Q350" s="14">
        <f>J350*G350</f>
        <v/>
      </c>
      <c r="R350" s="14">
        <f>K350-Q350</f>
        <v/>
      </c>
      <c r="S350" s="3">
        <f>P350*Assumptions!$B$3/100</f>
        <v/>
      </c>
      <c r="T350" s="14">
        <f>R350-S350</f>
        <v/>
      </c>
      <c r="U350" s="14">
        <f>L350*G350</f>
        <v/>
      </c>
    </row>
    <row r="351">
      <c r="A351" s="12" t="inlineStr">
        <is>
          <t>PO-2021-0349</t>
        </is>
      </c>
      <c r="B351" s="26" t="n">
        <v>44483</v>
      </c>
      <c r="C351" s="12" t="inlineStr">
        <is>
          <t>VS32</t>
        </is>
      </c>
      <c r="D351" s="12" t="inlineStr">
        <is>
          <t>MS Sheets</t>
        </is>
      </c>
      <c r="E351" s="12" t="inlineStr">
        <is>
          <t>N</t>
        </is>
      </c>
      <c r="F351" s="12" t="n">
        <v>45.93</v>
      </c>
      <c r="G351" s="17" t="n">
        <v>85660.25999999999</v>
      </c>
      <c r="H351" s="26" t="n">
        <v>44496</v>
      </c>
      <c r="I351" s="26" t="n">
        <v>44497</v>
      </c>
      <c r="J351" s="12" t="n">
        <v>45.87</v>
      </c>
      <c r="K351" s="17" t="n">
        <v>3934375.74</v>
      </c>
      <c r="L351" s="12" t="n">
        <v>0</v>
      </c>
      <c r="M351" s="12" t="n">
        <v>21</v>
      </c>
      <c r="N351" s="27">
        <f>F351-J351</f>
        <v/>
      </c>
      <c r="O351" s="16">
        <f>I351-H351</f>
        <v/>
      </c>
      <c r="P351" s="14">
        <f>F351*G351</f>
        <v/>
      </c>
      <c r="Q351" s="14">
        <f>J351*G351</f>
        <v/>
      </c>
      <c r="R351" s="14">
        <f>K351-Q351</f>
        <v/>
      </c>
      <c r="S351" s="3">
        <f>P351*Assumptions!$B$3/100</f>
        <v/>
      </c>
      <c r="T351" s="14">
        <f>R351-S351</f>
        <v/>
      </c>
      <c r="U351" s="14">
        <f>L351*G351</f>
        <v/>
      </c>
    </row>
    <row r="352">
      <c r="A352" s="12" t="inlineStr">
        <is>
          <t>PO-2021-0350</t>
        </is>
      </c>
      <c r="B352" s="26" t="n">
        <v>44317</v>
      </c>
      <c r="C352" s="12" t="inlineStr">
        <is>
          <t>VS34</t>
        </is>
      </c>
      <c r="D352" s="12" t="inlineStr">
        <is>
          <t>GI Pipes</t>
        </is>
      </c>
      <c r="E352" s="12" t="inlineStr">
        <is>
          <t>N</t>
        </is>
      </c>
      <c r="F352" s="12" t="n">
        <v>42.11</v>
      </c>
      <c r="G352" s="17" t="n">
        <v>50574.78</v>
      </c>
      <c r="H352" s="26" t="n">
        <v>44330</v>
      </c>
      <c r="I352" s="26" t="n">
        <v>44333</v>
      </c>
      <c r="J352" s="12" t="n">
        <v>41.72</v>
      </c>
      <c r="K352" s="17" t="n">
        <v>2129703.99</v>
      </c>
      <c r="L352" s="12" t="n">
        <v>0</v>
      </c>
      <c r="M352" s="12" t="n">
        <v>1</v>
      </c>
      <c r="N352" s="27">
        <f>F352-J352</f>
        <v/>
      </c>
      <c r="O352" s="16">
        <f>I352-H352</f>
        <v/>
      </c>
      <c r="P352" s="14">
        <f>F352*G352</f>
        <v/>
      </c>
      <c r="Q352" s="14">
        <f>J352*G352</f>
        <v/>
      </c>
      <c r="R352" s="14">
        <f>K352-Q352</f>
        <v/>
      </c>
      <c r="S352" s="3">
        <f>P352*Assumptions!$B$3/100</f>
        <v/>
      </c>
      <c r="T352" s="14">
        <f>R352-S352</f>
        <v/>
      </c>
      <c r="U352" s="14">
        <f>L352*G352</f>
        <v/>
      </c>
    </row>
    <row r="353">
      <c r="A353" s="12" t="inlineStr">
        <is>
          <t>PO-2021-0351</t>
        </is>
      </c>
      <c r="B353" s="26" t="n">
        <v>44296</v>
      </c>
      <c r="C353" s="12" t="inlineStr">
        <is>
          <t>VS01</t>
        </is>
      </c>
      <c r="D353" s="12" t="inlineStr">
        <is>
          <t>GI Wire</t>
        </is>
      </c>
      <c r="E353" s="12" t="inlineStr">
        <is>
          <t>N</t>
        </is>
      </c>
      <c r="F353" s="12" t="n">
        <v>7.74</v>
      </c>
      <c r="G353" s="17" t="n">
        <v>92302.62</v>
      </c>
      <c r="H353" s="26" t="n">
        <v>44300</v>
      </c>
      <c r="I353" s="26" t="n">
        <v>44300</v>
      </c>
      <c r="J353" s="12" t="n">
        <v>7.68</v>
      </c>
      <c r="K353" s="17" t="n">
        <v>714422.28</v>
      </c>
      <c r="L353" s="12" t="n">
        <v>0</v>
      </c>
      <c r="M353" s="12" t="n">
        <v>0</v>
      </c>
      <c r="N353" s="27">
        <f>F353-J353</f>
        <v/>
      </c>
      <c r="O353" s="16">
        <f>I353-H353</f>
        <v/>
      </c>
      <c r="P353" s="14">
        <f>F353*G353</f>
        <v/>
      </c>
      <c r="Q353" s="14">
        <f>J353*G353</f>
        <v/>
      </c>
      <c r="R353" s="14">
        <f>K353-Q353</f>
        <v/>
      </c>
      <c r="S353" s="3">
        <f>P353*Assumptions!$B$3/100</f>
        <v/>
      </c>
      <c r="T353" s="14">
        <f>R353-S353</f>
        <v/>
      </c>
      <c r="U353" s="14">
        <f>L353*G353</f>
        <v/>
      </c>
    </row>
    <row r="354">
      <c r="A354" s="12" t="inlineStr">
        <is>
          <t>PO-2021-0352</t>
        </is>
      </c>
      <c r="B354" s="26" t="n">
        <v>44506</v>
      </c>
      <c r="C354" s="12" t="inlineStr">
        <is>
          <t>VS01</t>
        </is>
      </c>
      <c r="D354" s="12" t="inlineStr">
        <is>
          <t>GI Sheets</t>
        </is>
      </c>
      <c r="E354" s="12" t="inlineStr">
        <is>
          <t>N</t>
        </is>
      </c>
      <c r="F354" s="12" t="n">
        <v>25.78</v>
      </c>
      <c r="G354" s="17" t="n">
        <v>72990.05</v>
      </c>
      <c r="H354" s="26" t="n">
        <v>44518</v>
      </c>
      <c r="I354" s="26" t="n">
        <v>44518</v>
      </c>
      <c r="J354" s="12" t="n">
        <v>25.76</v>
      </c>
      <c r="K354" s="17" t="n">
        <v>1881683.49</v>
      </c>
      <c r="L354" s="12" t="n">
        <v>0</v>
      </c>
      <c r="M354" s="12" t="n">
        <v>18</v>
      </c>
      <c r="N354" s="27">
        <f>F354-J354</f>
        <v/>
      </c>
      <c r="O354" s="16">
        <f>I354-H354</f>
        <v/>
      </c>
      <c r="P354" s="14">
        <f>F354*G354</f>
        <v/>
      </c>
      <c r="Q354" s="14">
        <f>J354*G354</f>
        <v/>
      </c>
      <c r="R354" s="14">
        <f>K354-Q354</f>
        <v/>
      </c>
      <c r="S354" s="3">
        <f>P354*Assumptions!$B$3/100</f>
        <v/>
      </c>
      <c r="T354" s="14">
        <f>R354-S354</f>
        <v/>
      </c>
      <c r="U354" s="14">
        <f>L354*G354</f>
        <v/>
      </c>
    </row>
    <row r="355">
      <c r="A355" s="12" t="inlineStr">
        <is>
          <t>PO-2021-0353</t>
        </is>
      </c>
      <c r="B355" s="26" t="n">
        <v>45186</v>
      </c>
      <c r="C355" s="12" t="inlineStr">
        <is>
          <t>VS32</t>
        </is>
      </c>
      <c r="D355" s="12" t="inlineStr">
        <is>
          <t>MS Pipes</t>
        </is>
      </c>
      <c r="E355" s="12" t="inlineStr">
        <is>
          <t>N</t>
        </is>
      </c>
      <c r="F355" s="12" t="n">
        <v>1.32</v>
      </c>
      <c r="G355" s="17" t="n">
        <v>86373.27</v>
      </c>
      <c r="H355" s="26" t="n">
        <v>45189</v>
      </c>
      <c r="I355" s="26" t="n">
        <v>45190</v>
      </c>
      <c r="J355" s="12" t="n">
        <v>1.31</v>
      </c>
      <c r="K355" s="17" t="n">
        <v>114012.72</v>
      </c>
      <c r="L355" s="12" t="n">
        <v>0</v>
      </c>
      <c r="M355" s="12" t="n">
        <v>7</v>
      </c>
      <c r="N355" s="27">
        <f>F355-J355</f>
        <v/>
      </c>
      <c r="O355" s="16">
        <f>I355-H355</f>
        <v/>
      </c>
      <c r="P355" s="14">
        <f>F355*G355</f>
        <v/>
      </c>
      <c r="Q355" s="14">
        <f>J355*G355</f>
        <v/>
      </c>
      <c r="R355" s="14">
        <f>K355-Q355</f>
        <v/>
      </c>
      <c r="S355" s="3">
        <f>P355*Assumptions!$B$3/100</f>
        <v/>
      </c>
      <c r="T355" s="14">
        <f>R355-S355</f>
        <v/>
      </c>
      <c r="U355" s="14">
        <f>L355*G355</f>
        <v/>
      </c>
    </row>
    <row r="356">
      <c r="A356" s="12" t="inlineStr">
        <is>
          <t>PO-2021-0354</t>
        </is>
      </c>
      <c r="B356" s="26" t="n">
        <v>44231</v>
      </c>
      <c r="C356" s="12" t="inlineStr">
        <is>
          <t>VS34</t>
        </is>
      </c>
      <c r="D356" s="12" t="inlineStr">
        <is>
          <t>CR Sheets</t>
        </is>
      </c>
      <c r="E356" s="12" t="inlineStr">
        <is>
          <t>N</t>
        </is>
      </c>
      <c r="F356" s="12" t="n">
        <v>27.25</v>
      </c>
      <c r="G356" s="17" t="n">
        <v>66501.64</v>
      </c>
      <c r="H356" s="26" t="n">
        <v>44242</v>
      </c>
      <c r="I356" s="26" t="n">
        <v>44242</v>
      </c>
      <c r="J356" s="12" t="n">
        <v>27.23</v>
      </c>
      <c r="K356" s="17" t="n">
        <v>1812169.69</v>
      </c>
      <c r="L356" s="12" t="n">
        <v>0</v>
      </c>
      <c r="M356" s="12" t="n">
        <v>0</v>
      </c>
      <c r="N356" s="27">
        <f>F356-J356</f>
        <v/>
      </c>
      <c r="O356" s="16">
        <f>I356-H356</f>
        <v/>
      </c>
      <c r="P356" s="14">
        <f>F356*G356</f>
        <v/>
      </c>
      <c r="Q356" s="14">
        <f>J356*G356</f>
        <v/>
      </c>
      <c r="R356" s="14">
        <f>K356-Q356</f>
        <v/>
      </c>
      <c r="S356" s="3">
        <f>P356*Assumptions!$B$3/100</f>
        <v/>
      </c>
      <c r="T356" s="14">
        <f>R356-S356</f>
        <v/>
      </c>
      <c r="U356" s="14">
        <f>L356*G356</f>
        <v/>
      </c>
    </row>
    <row r="357">
      <c r="A357" s="12" t="inlineStr">
        <is>
          <t>PO-2021-0355</t>
        </is>
      </c>
      <c r="B357" s="26" t="n">
        <v>45078</v>
      </c>
      <c r="C357" s="12" t="inlineStr">
        <is>
          <t>VS12</t>
        </is>
      </c>
      <c r="D357" s="12" t="inlineStr">
        <is>
          <t>ERW Pipes</t>
        </is>
      </c>
      <c r="E357" s="12" t="inlineStr">
        <is>
          <t>N</t>
        </is>
      </c>
      <c r="F357" s="12" t="n">
        <v>45.98</v>
      </c>
      <c r="G357" s="17" t="n">
        <v>87702.06</v>
      </c>
      <c r="H357" s="26" t="n">
        <v>45084</v>
      </c>
      <c r="I357" s="26" t="n">
        <v>45091</v>
      </c>
      <c r="J357" s="12" t="n">
        <v>44.47</v>
      </c>
      <c r="K357" s="17" t="n">
        <v>4032540.72</v>
      </c>
      <c r="L357" s="12" t="n">
        <v>0.01</v>
      </c>
      <c r="M357" s="12" t="n">
        <v>4</v>
      </c>
      <c r="N357" s="27">
        <f>F357-J357</f>
        <v/>
      </c>
      <c r="O357" s="16">
        <f>I357-H357</f>
        <v/>
      </c>
      <c r="P357" s="14">
        <f>F357*G357</f>
        <v/>
      </c>
      <c r="Q357" s="14">
        <f>J357*G357</f>
        <v/>
      </c>
      <c r="R357" s="14">
        <f>K357-Q357</f>
        <v/>
      </c>
      <c r="S357" s="3">
        <f>P357*Assumptions!$B$3/100</f>
        <v/>
      </c>
      <c r="T357" s="14">
        <f>R357-S357</f>
        <v/>
      </c>
      <c r="U357" s="14">
        <f>L357*G357</f>
        <v/>
      </c>
    </row>
    <row r="358">
      <c r="A358" s="12" t="inlineStr">
        <is>
          <t>PO-2021-0356</t>
        </is>
      </c>
      <c r="B358" s="26" t="n">
        <v>44590</v>
      </c>
      <c r="C358" s="12" t="inlineStr">
        <is>
          <t>VS34</t>
        </is>
      </c>
      <c r="D358" s="12" t="inlineStr">
        <is>
          <t>CR Sheets</t>
        </is>
      </c>
      <c r="E358" s="12" t="inlineStr">
        <is>
          <t>N</t>
        </is>
      </c>
      <c r="F358" s="12" t="n">
        <v>40.95</v>
      </c>
      <c r="G358" s="17" t="n">
        <v>65049.36</v>
      </c>
      <c r="H358" s="26" t="n">
        <v>44599</v>
      </c>
      <c r="I358" s="26" t="n">
        <v>44599</v>
      </c>
      <c r="J358" s="12" t="n">
        <v>40.65</v>
      </c>
      <c r="K358" s="17" t="n">
        <v>2663771.29</v>
      </c>
      <c r="L358" s="12" t="n">
        <v>0</v>
      </c>
      <c r="M358" s="12" t="n">
        <v>0</v>
      </c>
      <c r="N358" s="27">
        <f>F358-J358</f>
        <v/>
      </c>
      <c r="O358" s="16">
        <f>I358-H358</f>
        <v/>
      </c>
      <c r="P358" s="14">
        <f>F358*G358</f>
        <v/>
      </c>
      <c r="Q358" s="14">
        <f>J358*G358</f>
        <v/>
      </c>
      <c r="R358" s="14">
        <f>K358-Q358</f>
        <v/>
      </c>
      <c r="S358" s="3">
        <f>P358*Assumptions!$B$3/100</f>
        <v/>
      </c>
      <c r="T358" s="14">
        <f>R358-S358</f>
        <v/>
      </c>
      <c r="U358" s="14">
        <f>L358*G358</f>
        <v/>
      </c>
    </row>
    <row r="359">
      <c r="A359" s="12" t="inlineStr">
        <is>
          <t>PO-2021-0357</t>
        </is>
      </c>
      <c r="B359" s="26" t="n">
        <v>44358</v>
      </c>
      <c r="C359" s="12" t="inlineStr">
        <is>
          <t>VS24</t>
        </is>
      </c>
      <c r="D359" s="12" t="inlineStr">
        <is>
          <t>MS Rods</t>
        </is>
      </c>
      <c r="E359" s="12" t="inlineStr">
        <is>
          <t>N</t>
        </is>
      </c>
      <c r="F359" s="12" t="n">
        <v>23.49</v>
      </c>
      <c r="G359" s="17" t="n">
        <v>63240.59</v>
      </c>
      <c r="H359" s="26" t="n">
        <v>44372</v>
      </c>
      <c r="I359" s="26" t="n">
        <v>44372</v>
      </c>
      <c r="J359" s="12" t="n">
        <v>23.45</v>
      </c>
      <c r="K359" s="17" t="n">
        <v>1485521.46</v>
      </c>
      <c r="L359" s="12" t="n">
        <v>0</v>
      </c>
      <c r="M359" s="12" t="n">
        <v>0</v>
      </c>
      <c r="N359" s="27">
        <f>F359-J359</f>
        <v/>
      </c>
      <c r="O359" s="16">
        <f>I359-H359</f>
        <v/>
      </c>
      <c r="P359" s="14">
        <f>F359*G359</f>
        <v/>
      </c>
      <c r="Q359" s="14">
        <f>J359*G359</f>
        <v/>
      </c>
      <c r="R359" s="14">
        <f>K359-Q359</f>
        <v/>
      </c>
      <c r="S359" s="3">
        <f>P359*Assumptions!$B$3/100</f>
        <v/>
      </c>
      <c r="T359" s="14">
        <f>R359-S359</f>
        <v/>
      </c>
      <c r="U359" s="14">
        <f>L359*G359</f>
        <v/>
      </c>
    </row>
    <row r="360">
      <c r="A360" s="12" t="inlineStr">
        <is>
          <t>PO-2021-0358</t>
        </is>
      </c>
      <c r="B360" s="26" t="n">
        <v>44659</v>
      </c>
      <c r="C360" s="12" t="inlineStr">
        <is>
          <t>VS20</t>
        </is>
      </c>
      <c r="D360" s="12" t="inlineStr">
        <is>
          <t>SS Pipes</t>
        </is>
      </c>
      <c r="E360" s="12" t="inlineStr">
        <is>
          <t>N</t>
        </is>
      </c>
      <c r="F360" s="12" t="n">
        <v>33.03</v>
      </c>
      <c r="G360" s="17" t="n">
        <v>109366.44</v>
      </c>
      <c r="H360" s="26" t="n">
        <v>44674</v>
      </c>
      <c r="I360" s="26" t="n">
        <v>44675</v>
      </c>
      <c r="J360" s="12" t="n">
        <v>32.94</v>
      </c>
      <c r="K360" s="17" t="n">
        <v>3612373.51</v>
      </c>
      <c r="L360" s="12" t="n">
        <v>0</v>
      </c>
      <c r="M360" s="12" t="n">
        <v>6</v>
      </c>
      <c r="N360" s="27">
        <f>F360-J360</f>
        <v/>
      </c>
      <c r="O360" s="16">
        <f>I360-H360</f>
        <v/>
      </c>
      <c r="P360" s="14">
        <f>F360*G360</f>
        <v/>
      </c>
      <c r="Q360" s="14">
        <f>J360*G360</f>
        <v/>
      </c>
      <c r="R360" s="14">
        <f>K360-Q360</f>
        <v/>
      </c>
      <c r="S360" s="3">
        <f>P360*Assumptions!$B$3/100</f>
        <v/>
      </c>
      <c r="T360" s="14">
        <f>R360-S360</f>
        <v/>
      </c>
      <c r="U360" s="14">
        <f>L360*G360</f>
        <v/>
      </c>
    </row>
    <row r="361">
      <c r="A361" s="12" t="inlineStr">
        <is>
          <t>PO-2021-0359</t>
        </is>
      </c>
      <c r="B361" s="26" t="n">
        <v>44261</v>
      </c>
      <c r="C361" s="12" t="inlineStr">
        <is>
          <t>VS06</t>
        </is>
      </c>
      <c r="D361" s="12" t="inlineStr">
        <is>
          <t>MS Rods</t>
        </is>
      </c>
      <c r="E361" s="12" t="inlineStr">
        <is>
          <t>Y</t>
        </is>
      </c>
      <c r="F361" s="12" t="n">
        <v>19.58</v>
      </c>
      <c r="G361" s="17" t="n">
        <v>86452.61</v>
      </c>
      <c r="H361" s="26" t="n">
        <v>44264</v>
      </c>
      <c r="I361" s="26" t="n">
        <v>44265</v>
      </c>
      <c r="J361" s="12" t="n">
        <v>19.56</v>
      </c>
      <c r="K361" s="17" t="n">
        <v>1692742.1</v>
      </c>
      <c r="L361" s="12" t="n">
        <v>0</v>
      </c>
      <c r="M361" s="12" t="n">
        <v>0</v>
      </c>
      <c r="N361" s="27">
        <f>F361-J361</f>
        <v/>
      </c>
      <c r="O361" s="16">
        <f>I361-H361</f>
        <v/>
      </c>
      <c r="P361" s="14">
        <f>F361*G361</f>
        <v/>
      </c>
      <c r="Q361" s="14">
        <f>J361*G361</f>
        <v/>
      </c>
      <c r="R361" s="14">
        <f>K361-Q361</f>
        <v/>
      </c>
      <c r="S361" s="3">
        <f>P361*Assumptions!$B$3/100</f>
        <v/>
      </c>
      <c r="T361" s="14">
        <f>R361-S361</f>
        <v/>
      </c>
      <c r="U361" s="14">
        <f>L361*G361</f>
        <v/>
      </c>
    </row>
    <row r="362">
      <c r="A362" s="12" t="inlineStr">
        <is>
          <t>PO-2021-0360</t>
        </is>
      </c>
      <c r="B362" s="26" t="n">
        <v>44216</v>
      </c>
      <c r="C362" s="12" t="inlineStr">
        <is>
          <t>VS11</t>
        </is>
      </c>
      <c r="D362" s="12" t="inlineStr">
        <is>
          <t>SS Pipes</t>
        </is>
      </c>
      <c r="E362" s="12" t="inlineStr">
        <is>
          <t>Y</t>
        </is>
      </c>
      <c r="F362" s="12" t="n">
        <v>25.49</v>
      </c>
      <c r="G362" s="17" t="n">
        <v>77543.22</v>
      </c>
      <c r="H362" s="26" t="n">
        <v>44231</v>
      </c>
      <c r="I362" s="26" t="n">
        <v>44234</v>
      </c>
      <c r="J362" s="12" t="n">
        <v>25.34</v>
      </c>
      <c r="K362" s="17" t="n">
        <v>1976576.68</v>
      </c>
      <c r="L362" s="12" t="n">
        <v>0</v>
      </c>
      <c r="M362" s="12" t="n">
        <v>5</v>
      </c>
      <c r="N362" s="27">
        <f>F362-J362</f>
        <v/>
      </c>
      <c r="O362" s="16">
        <f>I362-H362</f>
        <v/>
      </c>
      <c r="P362" s="14">
        <f>F362*G362</f>
        <v/>
      </c>
      <c r="Q362" s="14">
        <f>J362*G362</f>
        <v/>
      </c>
      <c r="R362" s="14">
        <f>K362-Q362</f>
        <v/>
      </c>
      <c r="S362" s="3">
        <f>P362*Assumptions!$B$3/100</f>
        <v/>
      </c>
      <c r="T362" s="14">
        <f>R362-S362</f>
        <v/>
      </c>
      <c r="U362" s="14">
        <f>L362*G362</f>
        <v/>
      </c>
    </row>
    <row r="363">
      <c r="A363" s="12" t="inlineStr">
        <is>
          <t>PO-2021-0361</t>
        </is>
      </c>
      <c r="B363" s="26" t="n">
        <v>44875</v>
      </c>
      <c r="C363" s="12" t="inlineStr">
        <is>
          <t>VS07</t>
        </is>
      </c>
      <c r="D363" s="12" t="inlineStr">
        <is>
          <t>Hex Bars</t>
        </is>
      </c>
      <c r="E363" s="12" t="inlineStr">
        <is>
          <t>N</t>
        </is>
      </c>
      <c r="F363" s="12" t="n">
        <v>46.04</v>
      </c>
      <c r="G363" s="17" t="n">
        <v>62232.49</v>
      </c>
      <c r="H363" s="26" t="n">
        <v>44889</v>
      </c>
      <c r="I363" s="26" t="n">
        <v>44890</v>
      </c>
      <c r="J363" s="12" t="n">
        <v>45.71</v>
      </c>
      <c r="K363" s="17" t="n">
        <v>2865183.84</v>
      </c>
      <c r="L363" s="12" t="n">
        <v>0</v>
      </c>
      <c r="M363" s="12" t="n">
        <v>0</v>
      </c>
      <c r="N363" s="27">
        <f>F363-J363</f>
        <v/>
      </c>
      <c r="O363" s="16">
        <f>I363-H363</f>
        <v/>
      </c>
      <c r="P363" s="14">
        <f>F363*G363</f>
        <v/>
      </c>
      <c r="Q363" s="14">
        <f>J363*G363</f>
        <v/>
      </c>
      <c r="R363" s="14">
        <f>K363-Q363</f>
        <v/>
      </c>
      <c r="S363" s="3">
        <f>P363*Assumptions!$B$3/100</f>
        <v/>
      </c>
      <c r="T363" s="14">
        <f>R363-S363</f>
        <v/>
      </c>
      <c r="U363" s="14">
        <f>L363*G363</f>
        <v/>
      </c>
    </row>
    <row r="364">
      <c r="A364" s="12" t="inlineStr">
        <is>
          <t>PO-2021-0362</t>
        </is>
      </c>
      <c r="B364" s="26" t="n">
        <v>45170</v>
      </c>
      <c r="C364" s="12" t="inlineStr">
        <is>
          <t>VS18</t>
        </is>
      </c>
      <c r="D364" s="12" t="inlineStr">
        <is>
          <t>GI Pipes</t>
        </is>
      </c>
      <c r="E364" s="12" t="inlineStr">
        <is>
          <t>N</t>
        </is>
      </c>
      <c r="F364" s="12" t="n">
        <v>46.28</v>
      </c>
      <c r="G364" s="17" t="n">
        <v>96332.16</v>
      </c>
      <c r="H364" s="26" t="n">
        <v>45177</v>
      </c>
      <c r="I364" s="26" t="n">
        <v>45178</v>
      </c>
      <c r="J364" s="12" t="n">
        <v>45.94</v>
      </c>
      <c r="K364" s="17" t="n">
        <v>4458252.36</v>
      </c>
      <c r="L364" s="12" t="n">
        <v>0</v>
      </c>
      <c r="M364" s="12" t="n">
        <v>21</v>
      </c>
      <c r="N364" s="27">
        <f>F364-J364</f>
        <v/>
      </c>
      <c r="O364" s="16">
        <f>I364-H364</f>
        <v/>
      </c>
      <c r="P364" s="14">
        <f>F364*G364</f>
        <v/>
      </c>
      <c r="Q364" s="14">
        <f>J364*G364</f>
        <v/>
      </c>
      <c r="R364" s="14">
        <f>K364-Q364</f>
        <v/>
      </c>
      <c r="S364" s="3">
        <f>P364*Assumptions!$B$3/100</f>
        <v/>
      </c>
      <c r="T364" s="14">
        <f>R364-S364</f>
        <v/>
      </c>
      <c r="U364" s="14">
        <f>L364*G364</f>
        <v/>
      </c>
    </row>
    <row r="365">
      <c r="A365" s="12" t="inlineStr">
        <is>
          <t>PO-2021-0363</t>
        </is>
      </c>
      <c r="B365" s="26" t="n">
        <v>44264</v>
      </c>
      <c r="C365" s="12" t="inlineStr">
        <is>
          <t>VS12</t>
        </is>
      </c>
      <c r="D365" s="12" t="inlineStr">
        <is>
          <t>MS Flats</t>
        </is>
      </c>
      <c r="E365" s="12" t="inlineStr">
        <is>
          <t>Y</t>
        </is>
      </c>
      <c r="F365" s="12" t="n">
        <v>1.77</v>
      </c>
      <c r="G365" s="17" t="n">
        <v>62958.33</v>
      </c>
      <c r="H365" s="26" t="n">
        <v>44269</v>
      </c>
      <c r="I365" s="26" t="n">
        <v>44272</v>
      </c>
      <c r="J365" s="12" t="n">
        <v>1.72</v>
      </c>
      <c r="K365" s="17" t="n">
        <v>111436.24</v>
      </c>
      <c r="L365" s="12" t="n">
        <v>0.04</v>
      </c>
      <c r="M365" s="12" t="n">
        <v>20</v>
      </c>
      <c r="N365" s="27">
        <f>F365-J365</f>
        <v/>
      </c>
      <c r="O365" s="16">
        <f>I365-H365</f>
        <v/>
      </c>
      <c r="P365" s="14">
        <f>F365*G365</f>
        <v/>
      </c>
      <c r="Q365" s="14">
        <f>J365*G365</f>
        <v/>
      </c>
      <c r="R365" s="14">
        <f>K365-Q365</f>
        <v/>
      </c>
      <c r="S365" s="3">
        <f>P365*Assumptions!$B$3/100</f>
        <v/>
      </c>
      <c r="T365" s="14">
        <f>R365-S365</f>
        <v/>
      </c>
      <c r="U365" s="14">
        <f>L365*G365</f>
        <v/>
      </c>
    </row>
    <row r="366">
      <c r="A366" s="12" t="inlineStr">
        <is>
          <t>PO-2021-0364</t>
        </is>
      </c>
      <c r="B366" s="26" t="n">
        <v>45012</v>
      </c>
      <c r="C366" s="12" t="inlineStr">
        <is>
          <t>VS05</t>
        </is>
      </c>
      <c r="D366" s="12" t="inlineStr">
        <is>
          <t>SS Sheets</t>
        </is>
      </c>
      <c r="E366" s="12" t="inlineStr">
        <is>
          <t>N</t>
        </is>
      </c>
      <c r="F366" s="12" t="n">
        <v>8.960000000000001</v>
      </c>
      <c r="G366" s="17" t="n">
        <v>63035.41</v>
      </c>
      <c r="H366" s="26" t="n">
        <v>45021</v>
      </c>
      <c r="I366" s="26" t="n">
        <v>45021</v>
      </c>
      <c r="J366" s="12" t="n">
        <v>8.9</v>
      </c>
      <c r="K366" s="17" t="n">
        <v>564797.27</v>
      </c>
      <c r="L366" s="12" t="n">
        <v>0</v>
      </c>
      <c r="M366" s="12" t="n">
        <v>14</v>
      </c>
      <c r="N366" s="27">
        <f>F366-J366</f>
        <v/>
      </c>
      <c r="O366" s="16">
        <f>I366-H366</f>
        <v/>
      </c>
      <c r="P366" s="14">
        <f>F366*G366</f>
        <v/>
      </c>
      <c r="Q366" s="14">
        <f>J366*G366</f>
        <v/>
      </c>
      <c r="R366" s="14">
        <f>K366-Q366</f>
        <v/>
      </c>
      <c r="S366" s="3">
        <f>P366*Assumptions!$B$3/100</f>
        <v/>
      </c>
      <c r="T366" s="14">
        <f>R366-S366</f>
        <v/>
      </c>
      <c r="U366" s="14">
        <f>L366*G366</f>
        <v/>
      </c>
    </row>
    <row r="367">
      <c r="A367" s="12" t="inlineStr">
        <is>
          <t>PO-2021-0365</t>
        </is>
      </c>
      <c r="B367" s="26" t="n">
        <v>44876</v>
      </c>
      <c r="C367" s="12" t="inlineStr">
        <is>
          <t>VS25</t>
        </is>
      </c>
      <c r="D367" s="12" t="inlineStr">
        <is>
          <t>Square/Rect Tubes</t>
        </is>
      </c>
      <c r="E367" s="12" t="inlineStr">
        <is>
          <t>N</t>
        </is>
      </c>
      <c r="F367" s="12" t="n">
        <v>39.73</v>
      </c>
      <c r="G367" s="17" t="n">
        <v>96698.28999999999</v>
      </c>
      <c r="H367" s="26" t="n">
        <v>44880</v>
      </c>
      <c r="I367" s="26" t="n">
        <v>44880</v>
      </c>
      <c r="J367" s="12" t="n">
        <v>39.61</v>
      </c>
      <c r="K367" s="17" t="n">
        <v>3841823.06</v>
      </c>
      <c r="L367" s="12" t="n">
        <v>0</v>
      </c>
      <c r="M367" s="12" t="n">
        <v>15</v>
      </c>
      <c r="N367" s="27">
        <f>F367-J367</f>
        <v/>
      </c>
      <c r="O367" s="16">
        <f>I367-H367</f>
        <v/>
      </c>
      <c r="P367" s="14">
        <f>F367*G367</f>
        <v/>
      </c>
      <c r="Q367" s="14">
        <f>J367*G367</f>
        <v/>
      </c>
      <c r="R367" s="14">
        <f>K367-Q367</f>
        <v/>
      </c>
      <c r="S367" s="3">
        <f>P367*Assumptions!$B$3/100</f>
        <v/>
      </c>
      <c r="T367" s="14">
        <f>R367-S367</f>
        <v/>
      </c>
      <c r="U367" s="14">
        <f>L367*G367</f>
        <v/>
      </c>
    </row>
    <row r="368">
      <c r="A368" s="12" t="inlineStr">
        <is>
          <t>PO-2021-0366</t>
        </is>
      </c>
      <c r="B368" s="26" t="n">
        <v>45222</v>
      </c>
      <c r="C368" s="12" t="inlineStr">
        <is>
          <t>VS23</t>
        </is>
      </c>
      <c r="D368" s="12" t="inlineStr">
        <is>
          <t>GI Pipes</t>
        </is>
      </c>
      <c r="E368" s="12" t="inlineStr">
        <is>
          <t>N</t>
        </is>
      </c>
      <c r="F368" s="12" t="n">
        <v>5.79</v>
      </c>
      <c r="G368" s="17" t="n">
        <v>62410.8</v>
      </c>
      <c r="H368" s="26" t="n">
        <v>45226</v>
      </c>
      <c r="I368" s="26" t="n">
        <v>45227</v>
      </c>
      <c r="J368" s="12" t="n">
        <v>5.75</v>
      </c>
      <c r="K368" s="17" t="n">
        <v>361358.53</v>
      </c>
      <c r="L368" s="12" t="n">
        <v>0</v>
      </c>
      <c r="M368" s="12" t="n">
        <v>0</v>
      </c>
      <c r="N368" s="27">
        <f>F368-J368</f>
        <v/>
      </c>
      <c r="O368" s="16">
        <f>I368-H368</f>
        <v/>
      </c>
      <c r="P368" s="14">
        <f>F368*G368</f>
        <v/>
      </c>
      <c r="Q368" s="14">
        <f>J368*G368</f>
        <v/>
      </c>
      <c r="R368" s="14">
        <f>K368-Q368</f>
        <v/>
      </c>
      <c r="S368" s="3">
        <f>P368*Assumptions!$B$3/100</f>
        <v/>
      </c>
      <c r="T368" s="14">
        <f>R368-S368</f>
        <v/>
      </c>
      <c r="U368" s="14">
        <f>L368*G368</f>
        <v/>
      </c>
    </row>
    <row r="369">
      <c r="A369" s="12" t="inlineStr">
        <is>
          <t>PO-2021-0367</t>
        </is>
      </c>
      <c r="B369" s="26" t="n">
        <v>44894</v>
      </c>
      <c r="C369" s="12" t="inlineStr">
        <is>
          <t>VS26</t>
        </is>
      </c>
      <c r="D369" s="12" t="inlineStr">
        <is>
          <t>MS Flats</t>
        </is>
      </c>
      <c r="E369" s="12" t="inlineStr">
        <is>
          <t>N</t>
        </is>
      </c>
      <c r="F369" s="12" t="n">
        <v>2.45</v>
      </c>
      <c r="G369" s="17" t="n">
        <v>65499.53</v>
      </c>
      <c r="H369" s="26" t="n">
        <v>44904</v>
      </c>
      <c r="I369" s="26" t="n">
        <v>44907</v>
      </c>
      <c r="J369" s="12" t="n">
        <v>2.45</v>
      </c>
      <c r="K369" s="17" t="n">
        <v>160473.85</v>
      </c>
      <c r="L369" s="12" t="n">
        <v>0</v>
      </c>
      <c r="M369" s="12" t="n">
        <v>5</v>
      </c>
      <c r="N369" s="27">
        <f>F369-J369</f>
        <v/>
      </c>
      <c r="O369" s="16">
        <f>I369-H369</f>
        <v/>
      </c>
      <c r="P369" s="14">
        <f>F369*G369</f>
        <v/>
      </c>
      <c r="Q369" s="14">
        <f>J369*G369</f>
        <v/>
      </c>
      <c r="R369" s="14">
        <f>K369-Q369</f>
        <v/>
      </c>
      <c r="S369" s="3">
        <f>P369*Assumptions!$B$3/100</f>
        <v/>
      </c>
      <c r="T369" s="14">
        <f>R369-S369</f>
        <v/>
      </c>
      <c r="U369" s="14">
        <f>L369*G369</f>
        <v/>
      </c>
    </row>
    <row r="370">
      <c r="A370" s="12" t="inlineStr">
        <is>
          <t>PO-2021-0368</t>
        </is>
      </c>
      <c r="B370" s="26" t="n">
        <v>45201</v>
      </c>
      <c r="C370" s="12" t="inlineStr">
        <is>
          <t>VS15</t>
        </is>
      </c>
      <c r="D370" s="12" t="inlineStr">
        <is>
          <t>Angles &amp; Channels</t>
        </is>
      </c>
      <c r="E370" s="12" t="inlineStr">
        <is>
          <t>N</t>
        </is>
      </c>
      <c r="F370" s="12" t="n">
        <v>28.1</v>
      </c>
      <c r="G370" s="17" t="n">
        <v>73157.02</v>
      </c>
      <c r="H370" s="26" t="n">
        <v>45206</v>
      </c>
      <c r="I370" s="26" t="n">
        <v>45206</v>
      </c>
      <c r="J370" s="12" t="n">
        <v>27.91</v>
      </c>
      <c r="K370" s="17" t="n">
        <v>2055712.26</v>
      </c>
      <c r="L370" s="12" t="n">
        <v>0</v>
      </c>
      <c r="M370" s="12" t="n">
        <v>7</v>
      </c>
      <c r="N370" s="27">
        <f>F370-J370</f>
        <v/>
      </c>
      <c r="O370" s="16">
        <f>I370-H370</f>
        <v/>
      </c>
      <c r="P370" s="14">
        <f>F370*G370</f>
        <v/>
      </c>
      <c r="Q370" s="14">
        <f>J370*G370</f>
        <v/>
      </c>
      <c r="R370" s="14">
        <f>K370-Q370</f>
        <v/>
      </c>
      <c r="S370" s="3">
        <f>P370*Assumptions!$B$3/100</f>
        <v/>
      </c>
      <c r="T370" s="14">
        <f>R370-S370</f>
        <v/>
      </c>
      <c r="U370" s="14">
        <f>L370*G370</f>
        <v/>
      </c>
    </row>
    <row r="371">
      <c r="A371" s="12" t="inlineStr">
        <is>
          <t>PO-2021-0369</t>
        </is>
      </c>
      <c r="B371" s="26" t="n">
        <v>44975</v>
      </c>
      <c r="C371" s="12" t="inlineStr">
        <is>
          <t>VS06</t>
        </is>
      </c>
      <c r="D371" s="12" t="inlineStr">
        <is>
          <t>SS Sheets</t>
        </is>
      </c>
      <c r="E371" s="12" t="inlineStr">
        <is>
          <t>N</t>
        </is>
      </c>
      <c r="F371" s="12" t="n">
        <v>40.1</v>
      </c>
      <c r="G371" s="17" t="n">
        <v>98483.14</v>
      </c>
      <c r="H371" s="26" t="n">
        <v>44979</v>
      </c>
      <c r="I371" s="26" t="n">
        <v>44979</v>
      </c>
      <c r="J371" s="12" t="n">
        <v>39.9</v>
      </c>
      <c r="K371" s="17" t="n">
        <v>3949173.91</v>
      </c>
      <c r="L371" s="12" t="n">
        <v>0</v>
      </c>
      <c r="M371" s="12" t="n">
        <v>10</v>
      </c>
      <c r="N371" s="27">
        <f>F371-J371</f>
        <v/>
      </c>
      <c r="O371" s="16">
        <f>I371-H371</f>
        <v/>
      </c>
      <c r="P371" s="14">
        <f>F371*G371</f>
        <v/>
      </c>
      <c r="Q371" s="14">
        <f>J371*G371</f>
        <v/>
      </c>
      <c r="R371" s="14">
        <f>K371-Q371</f>
        <v/>
      </c>
      <c r="S371" s="3">
        <f>P371*Assumptions!$B$3/100</f>
        <v/>
      </c>
      <c r="T371" s="14">
        <f>R371-S371</f>
        <v/>
      </c>
      <c r="U371" s="14">
        <f>L371*G371</f>
        <v/>
      </c>
    </row>
    <row r="372">
      <c r="A372" s="12" t="inlineStr">
        <is>
          <t>PO-2021-0370</t>
        </is>
      </c>
      <c r="B372" s="26" t="n">
        <v>44745</v>
      </c>
      <c r="C372" s="12" t="inlineStr">
        <is>
          <t>VS10</t>
        </is>
      </c>
      <c r="D372" s="12" t="inlineStr">
        <is>
          <t>MS Rods</t>
        </is>
      </c>
      <c r="E372" s="12" t="inlineStr">
        <is>
          <t>N</t>
        </is>
      </c>
      <c r="F372" s="12" t="n">
        <v>35.87</v>
      </c>
      <c r="G372" s="17" t="n">
        <v>92542.57000000001</v>
      </c>
      <c r="H372" s="26" t="n">
        <v>44759</v>
      </c>
      <c r="I372" s="26" t="n">
        <v>44759</v>
      </c>
      <c r="J372" s="12" t="n">
        <v>35.72</v>
      </c>
      <c r="K372" s="17" t="n">
        <v>3319501.99</v>
      </c>
      <c r="L372" s="12" t="n">
        <v>0</v>
      </c>
      <c r="M372" s="12" t="n">
        <v>18</v>
      </c>
      <c r="N372" s="27">
        <f>F372-J372</f>
        <v/>
      </c>
      <c r="O372" s="16">
        <f>I372-H372</f>
        <v/>
      </c>
      <c r="P372" s="14">
        <f>F372*G372</f>
        <v/>
      </c>
      <c r="Q372" s="14">
        <f>J372*G372</f>
        <v/>
      </c>
      <c r="R372" s="14">
        <f>K372-Q372</f>
        <v/>
      </c>
      <c r="S372" s="3">
        <f>P372*Assumptions!$B$3/100</f>
        <v/>
      </c>
      <c r="T372" s="14">
        <f>R372-S372</f>
        <v/>
      </c>
      <c r="U372" s="14">
        <f>L372*G372</f>
        <v/>
      </c>
    </row>
    <row r="373">
      <c r="A373" s="12" t="inlineStr">
        <is>
          <t>PO-2021-0371</t>
        </is>
      </c>
      <c r="B373" s="26" t="n">
        <v>44994</v>
      </c>
      <c r="C373" s="12" t="inlineStr">
        <is>
          <t>VS21</t>
        </is>
      </c>
      <c r="D373" s="12" t="inlineStr">
        <is>
          <t>Angles &amp; Channels</t>
        </is>
      </c>
      <c r="E373" s="12" t="inlineStr">
        <is>
          <t>N</t>
        </is>
      </c>
      <c r="F373" s="12" t="n">
        <v>6.22</v>
      </c>
      <c r="G373" s="17" t="n">
        <v>45389.64</v>
      </c>
      <c r="H373" s="26" t="n">
        <v>45001</v>
      </c>
      <c r="I373" s="26" t="n">
        <v>45001</v>
      </c>
      <c r="J373" s="12" t="n">
        <v>6.21</v>
      </c>
      <c r="K373" s="17" t="n">
        <v>282323.56</v>
      </c>
      <c r="L373" s="12" t="n">
        <v>0</v>
      </c>
      <c r="M373" s="12" t="n">
        <v>0</v>
      </c>
      <c r="N373" s="27">
        <f>F373-J373</f>
        <v/>
      </c>
      <c r="O373" s="16">
        <f>I373-H373</f>
        <v/>
      </c>
      <c r="P373" s="14">
        <f>F373*G373</f>
        <v/>
      </c>
      <c r="Q373" s="14">
        <f>J373*G373</f>
        <v/>
      </c>
      <c r="R373" s="14">
        <f>K373-Q373</f>
        <v/>
      </c>
      <c r="S373" s="3">
        <f>P373*Assumptions!$B$3/100</f>
        <v/>
      </c>
      <c r="T373" s="14">
        <f>R373-S373</f>
        <v/>
      </c>
      <c r="U373" s="14">
        <f>L373*G373</f>
        <v/>
      </c>
    </row>
    <row r="374">
      <c r="A374" s="12" t="inlineStr">
        <is>
          <t>PO-2021-0372</t>
        </is>
      </c>
      <c r="B374" s="26" t="n">
        <v>45107</v>
      </c>
      <c r="C374" s="12" t="inlineStr">
        <is>
          <t>VS24</t>
        </is>
      </c>
      <c r="D374" s="12" t="inlineStr">
        <is>
          <t>CR Sheets</t>
        </is>
      </c>
      <c r="E374" s="12" t="inlineStr">
        <is>
          <t>N</t>
        </is>
      </c>
      <c r="F374" s="12" t="n">
        <v>6.01</v>
      </c>
      <c r="G374" s="17" t="n">
        <v>51547.29</v>
      </c>
      <c r="H374" s="26" t="n">
        <v>45116</v>
      </c>
      <c r="I374" s="26" t="n">
        <v>45119</v>
      </c>
      <c r="J374" s="12" t="n">
        <v>5.96</v>
      </c>
      <c r="K374" s="17" t="n">
        <v>309799.21</v>
      </c>
      <c r="L374" s="12" t="n">
        <v>0</v>
      </c>
      <c r="M374" s="12" t="n">
        <v>0</v>
      </c>
      <c r="N374" s="27">
        <f>F374-J374</f>
        <v/>
      </c>
      <c r="O374" s="16">
        <f>I374-H374</f>
        <v/>
      </c>
      <c r="P374" s="14">
        <f>F374*G374</f>
        <v/>
      </c>
      <c r="Q374" s="14">
        <f>J374*G374</f>
        <v/>
      </c>
      <c r="R374" s="14">
        <f>K374-Q374</f>
        <v/>
      </c>
      <c r="S374" s="3">
        <f>P374*Assumptions!$B$3/100</f>
        <v/>
      </c>
      <c r="T374" s="14">
        <f>R374-S374</f>
        <v/>
      </c>
      <c r="U374" s="14">
        <f>L374*G374</f>
        <v/>
      </c>
    </row>
    <row r="375">
      <c r="A375" s="12" t="inlineStr">
        <is>
          <t>PO-2021-0373</t>
        </is>
      </c>
      <c r="B375" s="26" t="n">
        <v>45116</v>
      </c>
      <c r="C375" s="12" t="inlineStr">
        <is>
          <t>VS33</t>
        </is>
      </c>
      <c r="D375" s="12" t="inlineStr">
        <is>
          <t>GI Wire</t>
        </is>
      </c>
      <c r="E375" s="12" t="inlineStr">
        <is>
          <t>N</t>
        </is>
      </c>
      <c r="F375" s="12" t="n">
        <v>6.06</v>
      </c>
      <c r="G375" s="17" t="n">
        <v>51721.41</v>
      </c>
      <c r="H375" s="26" t="n">
        <v>45127</v>
      </c>
      <c r="I375" s="26" t="n">
        <v>45130</v>
      </c>
      <c r="J375" s="12" t="n">
        <v>6.03</v>
      </c>
      <c r="K375" s="17" t="n">
        <v>313431.74</v>
      </c>
      <c r="L375" s="12" t="n">
        <v>0</v>
      </c>
      <c r="M375" s="12" t="n">
        <v>0</v>
      </c>
      <c r="N375" s="27">
        <f>F375-J375</f>
        <v/>
      </c>
      <c r="O375" s="16">
        <f>I375-H375</f>
        <v/>
      </c>
      <c r="P375" s="14">
        <f>F375*G375</f>
        <v/>
      </c>
      <c r="Q375" s="14">
        <f>J375*G375</f>
        <v/>
      </c>
      <c r="R375" s="14">
        <f>K375-Q375</f>
        <v/>
      </c>
      <c r="S375" s="3">
        <f>P375*Assumptions!$B$3/100</f>
        <v/>
      </c>
      <c r="T375" s="14">
        <f>R375-S375</f>
        <v/>
      </c>
      <c r="U375" s="14">
        <f>L375*G375</f>
        <v/>
      </c>
    </row>
    <row r="376">
      <c r="A376" s="12" t="inlineStr">
        <is>
          <t>PO-2021-0374</t>
        </is>
      </c>
      <c r="B376" s="26" t="n">
        <v>44387</v>
      </c>
      <c r="C376" s="12" t="inlineStr">
        <is>
          <t>VS21</t>
        </is>
      </c>
      <c r="D376" s="12" t="inlineStr">
        <is>
          <t>MS Rods</t>
        </is>
      </c>
      <c r="E376" s="12" t="inlineStr">
        <is>
          <t>N</t>
        </is>
      </c>
      <c r="F376" s="12" t="n">
        <v>1.6</v>
      </c>
      <c r="G376" s="17" t="n">
        <v>76035.75999999999</v>
      </c>
      <c r="H376" s="26" t="n">
        <v>44402</v>
      </c>
      <c r="I376" s="26" t="n">
        <v>44402</v>
      </c>
      <c r="J376" s="12" t="n">
        <v>1.59</v>
      </c>
      <c r="K376" s="17" t="n">
        <v>121657.22</v>
      </c>
      <c r="L376" s="12" t="n">
        <v>0</v>
      </c>
      <c r="M376" s="12" t="n">
        <v>0</v>
      </c>
      <c r="N376" s="27">
        <f>F376-J376</f>
        <v/>
      </c>
      <c r="O376" s="16">
        <f>I376-H376</f>
        <v/>
      </c>
      <c r="P376" s="14">
        <f>F376*G376</f>
        <v/>
      </c>
      <c r="Q376" s="14">
        <f>J376*G376</f>
        <v/>
      </c>
      <c r="R376" s="14">
        <f>K376-Q376</f>
        <v/>
      </c>
      <c r="S376" s="3">
        <f>P376*Assumptions!$B$3/100</f>
        <v/>
      </c>
      <c r="T376" s="14">
        <f>R376-S376</f>
        <v/>
      </c>
      <c r="U376" s="14">
        <f>L376*G376</f>
        <v/>
      </c>
    </row>
    <row r="377">
      <c r="A377" s="12" t="inlineStr">
        <is>
          <t>PO-2021-0375</t>
        </is>
      </c>
      <c r="B377" s="26" t="n">
        <v>44370</v>
      </c>
      <c r="C377" s="12" t="inlineStr">
        <is>
          <t>VS16</t>
        </is>
      </c>
      <c r="D377" s="12" t="inlineStr">
        <is>
          <t>Hex Bars</t>
        </is>
      </c>
      <c r="E377" s="12" t="inlineStr">
        <is>
          <t>N</t>
        </is>
      </c>
      <c r="F377" s="12" t="n">
        <v>9.31</v>
      </c>
      <c r="G377" s="17" t="n">
        <v>73554.89999999999</v>
      </c>
      <c r="H377" s="26" t="n">
        <v>44375</v>
      </c>
      <c r="I377" s="26" t="n">
        <v>44377</v>
      </c>
      <c r="J377" s="12" t="n">
        <v>9.289999999999999</v>
      </c>
      <c r="K377" s="17" t="n">
        <v>684796.12</v>
      </c>
      <c r="L377" s="12" t="n">
        <v>0</v>
      </c>
      <c r="M377" s="12" t="n">
        <v>0</v>
      </c>
      <c r="N377" s="27">
        <f>F377-J377</f>
        <v/>
      </c>
      <c r="O377" s="16">
        <f>I377-H377</f>
        <v/>
      </c>
      <c r="P377" s="14">
        <f>F377*G377</f>
        <v/>
      </c>
      <c r="Q377" s="14">
        <f>J377*G377</f>
        <v/>
      </c>
      <c r="R377" s="14">
        <f>K377-Q377</f>
        <v/>
      </c>
      <c r="S377" s="3">
        <f>P377*Assumptions!$B$3/100</f>
        <v/>
      </c>
      <c r="T377" s="14">
        <f>R377-S377</f>
        <v/>
      </c>
      <c r="U377" s="14">
        <f>L377*G377</f>
        <v/>
      </c>
    </row>
    <row r="378">
      <c r="A378" s="12" t="inlineStr">
        <is>
          <t>PO-2021-0376</t>
        </is>
      </c>
      <c r="B378" s="26" t="n">
        <v>44747</v>
      </c>
      <c r="C378" s="12" t="inlineStr">
        <is>
          <t>VS20</t>
        </is>
      </c>
      <c r="D378" s="12" t="inlineStr">
        <is>
          <t>CR Sheets</t>
        </is>
      </c>
      <c r="E378" s="12" t="inlineStr">
        <is>
          <t>N</t>
        </is>
      </c>
      <c r="F378" s="12" t="n">
        <v>25.16</v>
      </c>
      <c r="G378" s="17" t="n">
        <v>49745.04</v>
      </c>
      <c r="H378" s="26" t="n">
        <v>44756</v>
      </c>
      <c r="I378" s="26" t="n">
        <v>44758</v>
      </c>
      <c r="J378" s="12" t="n">
        <v>24.99</v>
      </c>
      <c r="K378" s="17" t="n">
        <v>1251585.21</v>
      </c>
      <c r="L378" s="12" t="n">
        <v>0</v>
      </c>
      <c r="M378" s="12" t="n">
        <v>0</v>
      </c>
      <c r="N378" s="27">
        <f>F378-J378</f>
        <v/>
      </c>
      <c r="O378" s="16">
        <f>I378-H378</f>
        <v/>
      </c>
      <c r="P378" s="14">
        <f>F378*G378</f>
        <v/>
      </c>
      <c r="Q378" s="14">
        <f>J378*G378</f>
        <v/>
      </c>
      <c r="R378" s="14">
        <f>K378-Q378</f>
        <v/>
      </c>
      <c r="S378" s="3">
        <f>P378*Assumptions!$B$3/100</f>
        <v/>
      </c>
      <c r="T378" s="14">
        <f>R378-S378</f>
        <v/>
      </c>
      <c r="U378" s="14">
        <f>L378*G378</f>
        <v/>
      </c>
    </row>
    <row r="379">
      <c r="A379" s="12" t="inlineStr">
        <is>
          <t>PO-2021-0377</t>
        </is>
      </c>
      <c r="B379" s="26" t="n">
        <v>44762</v>
      </c>
      <c r="C379" s="12" t="inlineStr">
        <is>
          <t>VS27</t>
        </is>
      </c>
      <c r="D379" s="12" t="inlineStr">
        <is>
          <t>SS Sheets</t>
        </is>
      </c>
      <c r="E379" s="12" t="inlineStr">
        <is>
          <t>N</t>
        </is>
      </c>
      <c r="F379" s="12" t="n">
        <v>24.73</v>
      </c>
      <c r="G379" s="17" t="n">
        <v>50769.1</v>
      </c>
      <c r="H379" s="26" t="n">
        <v>44769</v>
      </c>
      <c r="I379" s="26" t="n">
        <v>44770</v>
      </c>
      <c r="J379" s="12" t="n">
        <v>24.6</v>
      </c>
      <c r="K379" s="17" t="n">
        <v>1255519.84</v>
      </c>
      <c r="L379" s="12" t="n">
        <v>0</v>
      </c>
      <c r="M379" s="12" t="n">
        <v>17</v>
      </c>
      <c r="N379" s="27">
        <f>F379-J379</f>
        <v/>
      </c>
      <c r="O379" s="16">
        <f>I379-H379</f>
        <v/>
      </c>
      <c r="P379" s="14">
        <f>F379*G379</f>
        <v/>
      </c>
      <c r="Q379" s="14">
        <f>J379*G379</f>
        <v/>
      </c>
      <c r="R379" s="14">
        <f>K379-Q379</f>
        <v/>
      </c>
      <c r="S379" s="3">
        <f>P379*Assumptions!$B$3/100</f>
        <v/>
      </c>
      <c r="T379" s="14">
        <f>R379-S379</f>
        <v/>
      </c>
      <c r="U379" s="14">
        <f>L379*G379</f>
        <v/>
      </c>
    </row>
    <row r="380">
      <c r="A380" s="12" t="inlineStr">
        <is>
          <t>PO-2021-0378</t>
        </is>
      </c>
      <c r="B380" s="26" t="n">
        <v>44702</v>
      </c>
      <c r="C380" s="12" t="inlineStr">
        <is>
          <t>VS32</t>
        </is>
      </c>
      <c r="D380" s="12" t="inlineStr">
        <is>
          <t>GI Sheets</t>
        </is>
      </c>
      <c r="E380" s="12" t="inlineStr">
        <is>
          <t>N</t>
        </is>
      </c>
      <c r="F380" s="12" t="n">
        <v>23.44</v>
      </c>
      <c r="G380" s="17" t="n">
        <v>55161.71</v>
      </c>
      <c r="H380" s="26" t="n">
        <v>44705</v>
      </c>
      <c r="I380" s="26" t="n">
        <v>44708</v>
      </c>
      <c r="J380" s="12" t="n">
        <v>23.35</v>
      </c>
      <c r="K380" s="17" t="n">
        <v>1292990.48</v>
      </c>
      <c r="L380" s="12" t="n">
        <v>0</v>
      </c>
      <c r="M380" s="12" t="n">
        <v>0</v>
      </c>
      <c r="N380" s="27">
        <f>F380-J380</f>
        <v/>
      </c>
      <c r="O380" s="16">
        <f>I380-H380</f>
        <v/>
      </c>
      <c r="P380" s="14">
        <f>F380*G380</f>
        <v/>
      </c>
      <c r="Q380" s="14">
        <f>J380*G380</f>
        <v/>
      </c>
      <c r="R380" s="14">
        <f>K380-Q380</f>
        <v/>
      </c>
      <c r="S380" s="3">
        <f>P380*Assumptions!$B$3/100</f>
        <v/>
      </c>
      <c r="T380" s="14">
        <f>R380-S380</f>
        <v/>
      </c>
      <c r="U380" s="14">
        <f>L380*G380</f>
        <v/>
      </c>
    </row>
    <row r="381">
      <c r="A381" s="12" t="inlineStr">
        <is>
          <t>PO-2021-0379</t>
        </is>
      </c>
      <c r="B381" s="26" t="n">
        <v>45007</v>
      </c>
      <c r="C381" s="12" t="inlineStr">
        <is>
          <t>VS22</t>
        </is>
      </c>
      <c r="D381" s="12" t="inlineStr">
        <is>
          <t>MS Rods</t>
        </is>
      </c>
      <c r="E381" s="12" t="inlineStr">
        <is>
          <t>N</t>
        </is>
      </c>
      <c r="F381" s="12" t="n">
        <v>40.4</v>
      </c>
      <c r="G381" s="17" t="n">
        <v>69715.63</v>
      </c>
      <c r="H381" s="26" t="n">
        <v>45015</v>
      </c>
      <c r="I381" s="26" t="n">
        <v>45018</v>
      </c>
      <c r="J381" s="12" t="n">
        <v>40.29</v>
      </c>
      <c r="K381" s="17" t="n">
        <v>2816511.45</v>
      </c>
      <c r="L381" s="12" t="n">
        <v>0</v>
      </c>
      <c r="M381" s="12" t="n">
        <v>0</v>
      </c>
      <c r="N381" s="27">
        <f>F381-J381</f>
        <v/>
      </c>
      <c r="O381" s="16">
        <f>I381-H381</f>
        <v/>
      </c>
      <c r="P381" s="14">
        <f>F381*G381</f>
        <v/>
      </c>
      <c r="Q381" s="14">
        <f>J381*G381</f>
        <v/>
      </c>
      <c r="R381" s="14">
        <f>K381-Q381</f>
        <v/>
      </c>
      <c r="S381" s="3">
        <f>P381*Assumptions!$B$3/100</f>
        <v/>
      </c>
      <c r="T381" s="14">
        <f>R381-S381</f>
        <v/>
      </c>
      <c r="U381" s="14">
        <f>L381*G381</f>
        <v/>
      </c>
    </row>
    <row r="382">
      <c r="A382" s="12" t="inlineStr">
        <is>
          <t>PO-2021-0380</t>
        </is>
      </c>
      <c r="B382" s="26" t="n">
        <v>45078</v>
      </c>
      <c r="C382" s="12" t="inlineStr">
        <is>
          <t>VS09</t>
        </is>
      </c>
      <c r="D382" s="12" t="inlineStr">
        <is>
          <t>SS Sheets</t>
        </is>
      </c>
      <c r="E382" s="12" t="inlineStr">
        <is>
          <t>N</t>
        </is>
      </c>
      <c r="F382" s="12" t="n">
        <v>16.71</v>
      </c>
      <c r="G382" s="17" t="n">
        <v>116045.92</v>
      </c>
      <c r="H382" s="26" t="n">
        <v>45084</v>
      </c>
      <c r="I382" s="26" t="n">
        <v>45085</v>
      </c>
      <c r="J382" s="12" t="n">
        <v>16.58</v>
      </c>
      <c r="K382" s="17" t="n">
        <v>1939127.32</v>
      </c>
      <c r="L382" s="12" t="n">
        <v>0</v>
      </c>
      <c r="M382" s="12" t="n">
        <v>0</v>
      </c>
      <c r="N382" s="27">
        <f>F382-J382</f>
        <v/>
      </c>
      <c r="O382" s="16">
        <f>I382-H382</f>
        <v/>
      </c>
      <c r="P382" s="14">
        <f>F382*G382</f>
        <v/>
      </c>
      <c r="Q382" s="14">
        <f>J382*G382</f>
        <v/>
      </c>
      <c r="R382" s="14">
        <f>K382-Q382</f>
        <v/>
      </c>
      <c r="S382" s="3">
        <f>P382*Assumptions!$B$3/100</f>
        <v/>
      </c>
      <c r="T382" s="14">
        <f>R382-S382</f>
        <v/>
      </c>
      <c r="U382" s="14">
        <f>L382*G382</f>
        <v/>
      </c>
    </row>
    <row r="383">
      <c r="A383" s="12" t="inlineStr">
        <is>
          <t>PO-2021-0381</t>
        </is>
      </c>
      <c r="B383" s="26" t="n">
        <v>45178</v>
      </c>
      <c r="C383" s="12" t="inlineStr">
        <is>
          <t>VS21</t>
        </is>
      </c>
      <c r="D383" s="12" t="inlineStr">
        <is>
          <t>MS Sheets</t>
        </is>
      </c>
      <c r="E383" s="12" t="inlineStr">
        <is>
          <t>N</t>
        </is>
      </c>
      <c r="F383" s="12" t="n">
        <v>48.26</v>
      </c>
      <c r="G383" s="17" t="n">
        <v>117654.39</v>
      </c>
      <c r="H383" s="26" t="n">
        <v>45185</v>
      </c>
      <c r="I383" s="26" t="n">
        <v>45187</v>
      </c>
      <c r="J383" s="12" t="n">
        <v>47.9</v>
      </c>
      <c r="K383" s="17" t="n">
        <v>5678000.86</v>
      </c>
      <c r="L383" s="12" t="n">
        <v>0</v>
      </c>
      <c r="M383" s="12" t="n">
        <v>13</v>
      </c>
      <c r="N383" s="27">
        <f>F383-J383</f>
        <v/>
      </c>
      <c r="O383" s="16">
        <f>I383-H383</f>
        <v/>
      </c>
      <c r="P383" s="14">
        <f>F383*G383</f>
        <v/>
      </c>
      <c r="Q383" s="14">
        <f>J383*G383</f>
        <v/>
      </c>
      <c r="R383" s="14">
        <f>K383-Q383</f>
        <v/>
      </c>
      <c r="S383" s="3">
        <f>P383*Assumptions!$B$3/100</f>
        <v/>
      </c>
      <c r="T383" s="14">
        <f>R383-S383</f>
        <v/>
      </c>
      <c r="U383" s="14">
        <f>L383*G383</f>
        <v/>
      </c>
    </row>
    <row r="384">
      <c r="A384" s="12" t="inlineStr">
        <is>
          <t>PO-2021-0382</t>
        </is>
      </c>
      <c r="B384" s="26" t="n">
        <v>45202</v>
      </c>
      <c r="C384" s="12" t="inlineStr">
        <is>
          <t>VS16</t>
        </is>
      </c>
      <c r="D384" s="12" t="inlineStr">
        <is>
          <t>MS Flats</t>
        </is>
      </c>
      <c r="E384" s="12" t="inlineStr">
        <is>
          <t>N</t>
        </is>
      </c>
      <c r="F384" s="12" t="n">
        <v>19.43</v>
      </c>
      <c r="G384" s="17" t="n">
        <v>106237.09</v>
      </c>
      <c r="H384" s="26" t="n">
        <v>45211</v>
      </c>
      <c r="I384" s="26" t="n">
        <v>45214</v>
      </c>
      <c r="J384" s="12" t="n">
        <v>19.24</v>
      </c>
      <c r="K384" s="17" t="n">
        <v>2064186.66</v>
      </c>
      <c r="L384" s="12" t="n">
        <v>0</v>
      </c>
      <c r="M384" s="12" t="n">
        <v>22</v>
      </c>
      <c r="N384" s="27">
        <f>F384-J384</f>
        <v/>
      </c>
      <c r="O384" s="16">
        <f>I384-H384</f>
        <v/>
      </c>
      <c r="P384" s="14">
        <f>F384*G384</f>
        <v/>
      </c>
      <c r="Q384" s="14">
        <f>J384*G384</f>
        <v/>
      </c>
      <c r="R384" s="14">
        <f>K384-Q384</f>
        <v/>
      </c>
      <c r="S384" s="3">
        <f>P384*Assumptions!$B$3/100</f>
        <v/>
      </c>
      <c r="T384" s="14">
        <f>R384-S384</f>
        <v/>
      </c>
      <c r="U384" s="14">
        <f>L384*G384</f>
        <v/>
      </c>
    </row>
    <row r="385">
      <c r="A385" s="12" t="inlineStr">
        <is>
          <t>PO-2021-0383</t>
        </is>
      </c>
      <c r="B385" s="26" t="n">
        <v>44944</v>
      </c>
      <c r="C385" s="12" t="inlineStr">
        <is>
          <t>VS08</t>
        </is>
      </c>
      <c r="D385" s="12" t="inlineStr">
        <is>
          <t>GI Sheets</t>
        </is>
      </c>
      <c r="E385" s="12" t="inlineStr">
        <is>
          <t>Y</t>
        </is>
      </c>
      <c r="F385" s="12" t="n">
        <v>30.02</v>
      </c>
      <c r="G385" s="17" t="n">
        <v>85922.17999999999</v>
      </c>
      <c r="H385" s="26" t="n">
        <v>44957</v>
      </c>
      <c r="I385" s="26" t="n">
        <v>44958</v>
      </c>
      <c r="J385" s="12" t="n">
        <v>29.9</v>
      </c>
      <c r="K385" s="17" t="n">
        <v>2579383.84</v>
      </c>
      <c r="L385" s="12" t="n">
        <v>0</v>
      </c>
      <c r="M385" s="12" t="n">
        <v>0</v>
      </c>
      <c r="N385" s="27">
        <f>F385-J385</f>
        <v/>
      </c>
      <c r="O385" s="16">
        <f>I385-H385</f>
        <v/>
      </c>
      <c r="P385" s="14">
        <f>F385*G385</f>
        <v/>
      </c>
      <c r="Q385" s="14">
        <f>J385*G385</f>
        <v/>
      </c>
      <c r="R385" s="14">
        <f>K385-Q385</f>
        <v/>
      </c>
      <c r="S385" s="3">
        <f>P385*Assumptions!$B$3/100</f>
        <v/>
      </c>
      <c r="T385" s="14">
        <f>R385-S385</f>
        <v/>
      </c>
      <c r="U385" s="14">
        <f>L385*G385</f>
        <v/>
      </c>
    </row>
    <row r="386">
      <c r="A386" s="12" t="inlineStr">
        <is>
          <t>PO-2021-0384</t>
        </is>
      </c>
      <c r="B386" s="26" t="n">
        <v>44252</v>
      </c>
      <c r="C386" s="12" t="inlineStr">
        <is>
          <t>VS30</t>
        </is>
      </c>
      <c r="D386" s="12" t="inlineStr">
        <is>
          <t>GI Sheets</t>
        </is>
      </c>
      <c r="E386" s="12" t="inlineStr">
        <is>
          <t>Y</t>
        </is>
      </c>
      <c r="F386" s="12" t="n">
        <v>22.48</v>
      </c>
      <c r="G386" s="17" t="n">
        <v>66849.84</v>
      </c>
      <c r="H386" s="26" t="n">
        <v>44266</v>
      </c>
      <c r="I386" s="26" t="n">
        <v>44267</v>
      </c>
      <c r="J386" s="12" t="n">
        <v>22.34</v>
      </c>
      <c r="K386" s="17" t="n">
        <v>1502784.4</v>
      </c>
      <c r="L386" s="12" t="n">
        <v>0</v>
      </c>
      <c r="M386" s="12" t="n">
        <v>7</v>
      </c>
      <c r="N386" s="27">
        <f>F386-J386</f>
        <v/>
      </c>
      <c r="O386" s="16">
        <f>I386-H386</f>
        <v/>
      </c>
      <c r="P386" s="14">
        <f>F386*G386</f>
        <v/>
      </c>
      <c r="Q386" s="14">
        <f>J386*G386</f>
        <v/>
      </c>
      <c r="R386" s="14">
        <f>K386-Q386</f>
        <v/>
      </c>
      <c r="S386" s="3">
        <f>P386*Assumptions!$B$3/100</f>
        <v/>
      </c>
      <c r="T386" s="14">
        <f>R386-S386</f>
        <v/>
      </c>
      <c r="U386" s="14">
        <f>L386*G386</f>
        <v/>
      </c>
    </row>
    <row r="387">
      <c r="A387" s="12" t="inlineStr">
        <is>
          <t>PO-2021-0385</t>
        </is>
      </c>
      <c r="B387" s="26" t="n">
        <v>44338</v>
      </c>
      <c r="C387" s="12" t="inlineStr">
        <is>
          <t>VS27</t>
        </is>
      </c>
      <c r="D387" s="12" t="inlineStr">
        <is>
          <t>Structural Steel</t>
        </is>
      </c>
      <c r="E387" s="12" t="inlineStr">
        <is>
          <t>N</t>
        </is>
      </c>
      <c r="F387" s="12" t="n">
        <v>7.82</v>
      </c>
      <c r="G387" s="17" t="n">
        <v>67712.45</v>
      </c>
      <c r="H387" s="26" t="n">
        <v>44345</v>
      </c>
      <c r="I387" s="26" t="n">
        <v>44347</v>
      </c>
      <c r="J387" s="12" t="n">
        <v>7.75</v>
      </c>
      <c r="K387" s="17" t="n">
        <v>529511.36</v>
      </c>
      <c r="L387" s="12" t="n">
        <v>0</v>
      </c>
      <c r="M387" s="12" t="n">
        <v>5</v>
      </c>
      <c r="N387" s="27">
        <f>F387-J387</f>
        <v/>
      </c>
      <c r="O387" s="16">
        <f>I387-H387</f>
        <v/>
      </c>
      <c r="P387" s="14">
        <f>F387*G387</f>
        <v/>
      </c>
      <c r="Q387" s="14">
        <f>J387*G387</f>
        <v/>
      </c>
      <c r="R387" s="14">
        <f>K387-Q387</f>
        <v/>
      </c>
      <c r="S387" s="3">
        <f>P387*Assumptions!$B$3/100</f>
        <v/>
      </c>
      <c r="T387" s="14">
        <f>R387-S387</f>
        <v/>
      </c>
      <c r="U387" s="14">
        <f>L387*G387</f>
        <v/>
      </c>
    </row>
    <row r="388">
      <c r="A388" s="12" t="inlineStr">
        <is>
          <t>PO-2021-0386</t>
        </is>
      </c>
      <c r="B388" s="26" t="n">
        <v>44512</v>
      </c>
      <c r="C388" s="12" t="inlineStr">
        <is>
          <t>VS28</t>
        </is>
      </c>
      <c r="D388" s="12" t="inlineStr">
        <is>
          <t>MS Rods</t>
        </is>
      </c>
      <c r="E388" s="12" t="inlineStr">
        <is>
          <t>N</t>
        </is>
      </c>
      <c r="F388" s="12" t="n">
        <v>4.62</v>
      </c>
      <c r="G388" s="17" t="n">
        <v>119302.55</v>
      </c>
      <c r="H388" s="26" t="n">
        <v>44522</v>
      </c>
      <c r="I388" s="26" t="n">
        <v>44525</v>
      </c>
      <c r="J388" s="12" t="n">
        <v>4.62</v>
      </c>
      <c r="K388" s="17" t="n">
        <v>551177.78</v>
      </c>
      <c r="L388" s="12" t="n">
        <v>0</v>
      </c>
      <c r="M388" s="12" t="n">
        <v>19</v>
      </c>
      <c r="N388" s="27">
        <f>F388-J388</f>
        <v/>
      </c>
      <c r="O388" s="16">
        <f>I388-H388</f>
        <v/>
      </c>
      <c r="P388" s="14">
        <f>F388*G388</f>
        <v/>
      </c>
      <c r="Q388" s="14">
        <f>J388*G388</f>
        <v/>
      </c>
      <c r="R388" s="14">
        <f>K388-Q388</f>
        <v/>
      </c>
      <c r="S388" s="3">
        <f>P388*Assumptions!$B$3/100</f>
        <v/>
      </c>
      <c r="T388" s="14">
        <f>R388-S388</f>
        <v/>
      </c>
      <c r="U388" s="14">
        <f>L388*G388</f>
        <v/>
      </c>
    </row>
    <row r="389">
      <c r="A389" s="12" t="inlineStr">
        <is>
          <t>PO-2021-0387</t>
        </is>
      </c>
      <c r="B389" s="26" t="n">
        <v>45017</v>
      </c>
      <c r="C389" s="12" t="inlineStr">
        <is>
          <t>VS33</t>
        </is>
      </c>
      <c r="D389" s="12" t="inlineStr">
        <is>
          <t>GI Wire</t>
        </is>
      </c>
      <c r="E389" s="12" t="inlineStr">
        <is>
          <t>N</t>
        </is>
      </c>
      <c r="F389" s="12" t="n">
        <v>27.64</v>
      </c>
      <c r="G389" s="17" t="n">
        <v>104304.07</v>
      </c>
      <c r="H389" s="26" t="n">
        <v>45025</v>
      </c>
      <c r="I389" s="26" t="n">
        <v>45025</v>
      </c>
      <c r="J389" s="12" t="n">
        <v>27.59</v>
      </c>
      <c r="K389" s="17" t="n">
        <v>2882964.49</v>
      </c>
      <c r="L389" s="12" t="n">
        <v>0</v>
      </c>
      <c r="M389" s="12" t="n">
        <v>20</v>
      </c>
      <c r="N389" s="27">
        <f>F389-J389</f>
        <v/>
      </c>
      <c r="O389" s="16">
        <f>I389-H389</f>
        <v/>
      </c>
      <c r="P389" s="14">
        <f>F389*G389</f>
        <v/>
      </c>
      <c r="Q389" s="14">
        <f>J389*G389</f>
        <v/>
      </c>
      <c r="R389" s="14">
        <f>K389-Q389</f>
        <v/>
      </c>
      <c r="S389" s="3">
        <f>P389*Assumptions!$B$3/100</f>
        <v/>
      </c>
      <c r="T389" s="14">
        <f>R389-S389</f>
        <v/>
      </c>
      <c r="U389" s="14">
        <f>L389*G389</f>
        <v/>
      </c>
    </row>
    <row r="390">
      <c r="A390" s="12" t="inlineStr">
        <is>
          <t>PO-2021-0388</t>
        </is>
      </c>
      <c r="B390" s="26" t="n">
        <v>44371</v>
      </c>
      <c r="C390" s="12" t="inlineStr">
        <is>
          <t>VS07</t>
        </is>
      </c>
      <c r="D390" s="12" t="inlineStr">
        <is>
          <t>HR Coils</t>
        </is>
      </c>
      <c r="E390" s="12" t="inlineStr">
        <is>
          <t>N</t>
        </is>
      </c>
      <c r="F390" s="12" t="n">
        <v>33.22</v>
      </c>
      <c r="G390" s="17" t="n">
        <v>71625.66</v>
      </c>
      <c r="H390" s="26" t="n">
        <v>44384</v>
      </c>
      <c r="I390" s="26" t="n">
        <v>44385</v>
      </c>
      <c r="J390" s="12" t="n">
        <v>32.94</v>
      </c>
      <c r="K390" s="17" t="n">
        <v>2379404.43</v>
      </c>
      <c r="L390" s="12" t="n">
        <v>0</v>
      </c>
      <c r="M390" s="12" t="n">
        <v>0</v>
      </c>
      <c r="N390" s="27">
        <f>F390-J390</f>
        <v/>
      </c>
      <c r="O390" s="16">
        <f>I390-H390</f>
        <v/>
      </c>
      <c r="P390" s="14">
        <f>F390*G390</f>
        <v/>
      </c>
      <c r="Q390" s="14">
        <f>J390*G390</f>
        <v/>
      </c>
      <c r="R390" s="14">
        <f>K390-Q390</f>
        <v/>
      </c>
      <c r="S390" s="3">
        <f>P390*Assumptions!$B$3/100</f>
        <v/>
      </c>
      <c r="T390" s="14">
        <f>R390-S390</f>
        <v/>
      </c>
      <c r="U390" s="14">
        <f>L390*G390</f>
        <v/>
      </c>
    </row>
    <row r="391">
      <c r="A391" s="12" t="inlineStr">
        <is>
          <t>PO-2021-0389</t>
        </is>
      </c>
      <c r="B391" s="26" t="n">
        <v>44287</v>
      </c>
      <c r="C391" s="12" t="inlineStr">
        <is>
          <t>VS26</t>
        </is>
      </c>
      <c r="D391" s="12" t="inlineStr">
        <is>
          <t>MS Flats</t>
        </is>
      </c>
      <c r="E391" s="12" t="inlineStr">
        <is>
          <t>N</t>
        </is>
      </c>
      <c r="F391" s="12" t="n">
        <v>48.32</v>
      </c>
      <c r="G391" s="17" t="n">
        <v>77284.17</v>
      </c>
      <c r="H391" s="26" t="n">
        <v>44290</v>
      </c>
      <c r="I391" s="26" t="n">
        <v>44292</v>
      </c>
      <c r="J391" s="12" t="n">
        <v>47.95</v>
      </c>
      <c r="K391" s="17" t="n">
        <v>3734371.09</v>
      </c>
      <c r="L391" s="12" t="n">
        <v>0</v>
      </c>
      <c r="M391" s="12" t="n">
        <v>17</v>
      </c>
      <c r="N391" s="27">
        <f>F391-J391</f>
        <v/>
      </c>
      <c r="O391" s="16">
        <f>I391-H391</f>
        <v/>
      </c>
      <c r="P391" s="14">
        <f>F391*G391</f>
        <v/>
      </c>
      <c r="Q391" s="14">
        <f>J391*G391</f>
        <v/>
      </c>
      <c r="R391" s="14">
        <f>K391-Q391</f>
        <v/>
      </c>
      <c r="S391" s="3">
        <f>P391*Assumptions!$B$3/100</f>
        <v/>
      </c>
      <c r="T391" s="14">
        <f>R391-S391</f>
        <v/>
      </c>
      <c r="U391" s="14">
        <f>L391*G391</f>
        <v/>
      </c>
    </row>
    <row r="392">
      <c r="A392" s="12" t="inlineStr">
        <is>
          <t>PO-2021-0390</t>
        </is>
      </c>
      <c r="B392" s="26" t="n">
        <v>44398</v>
      </c>
      <c r="C392" s="12" t="inlineStr">
        <is>
          <t>VS17</t>
        </is>
      </c>
      <c r="D392" s="12" t="inlineStr">
        <is>
          <t>HR Coils</t>
        </is>
      </c>
      <c r="E392" s="12" t="inlineStr">
        <is>
          <t>N</t>
        </is>
      </c>
      <c r="F392" s="12" t="n">
        <v>26.02</v>
      </c>
      <c r="G392" s="17" t="n">
        <v>83909.83</v>
      </c>
      <c r="H392" s="26" t="n">
        <v>44410</v>
      </c>
      <c r="I392" s="26" t="n">
        <v>44410</v>
      </c>
      <c r="J392" s="12" t="n">
        <v>25.85</v>
      </c>
      <c r="K392" s="17" t="n">
        <v>2183333.78</v>
      </c>
      <c r="L392" s="12" t="n">
        <v>0</v>
      </c>
      <c r="M392" s="12" t="n">
        <v>0</v>
      </c>
      <c r="N392" s="27">
        <f>F392-J392</f>
        <v/>
      </c>
      <c r="O392" s="16">
        <f>I392-H392</f>
        <v/>
      </c>
      <c r="P392" s="14">
        <f>F392*G392</f>
        <v/>
      </c>
      <c r="Q392" s="14">
        <f>J392*G392</f>
        <v/>
      </c>
      <c r="R392" s="14">
        <f>K392-Q392</f>
        <v/>
      </c>
      <c r="S392" s="3">
        <f>P392*Assumptions!$B$3/100</f>
        <v/>
      </c>
      <c r="T392" s="14">
        <f>R392-S392</f>
        <v/>
      </c>
      <c r="U392" s="14">
        <f>L392*G392</f>
        <v/>
      </c>
    </row>
    <row r="393">
      <c r="A393" s="12" t="inlineStr">
        <is>
          <t>PO-2021-0391</t>
        </is>
      </c>
      <c r="B393" s="26" t="n">
        <v>44649</v>
      </c>
      <c r="C393" s="12" t="inlineStr">
        <is>
          <t>VS29</t>
        </is>
      </c>
      <c r="D393" s="12" t="inlineStr">
        <is>
          <t>Angles &amp; Channels</t>
        </is>
      </c>
      <c r="E393" s="12" t="inlineStr">
        <is>
          <t>N</t>
        </is>
      </c>
      <c r="F393" s="12" t="n">
        <v>20.17</v>
      </c>
      <c r="G393" s="17" t="n">
        <v>102925.67</v>
      </c>
      <c r="H393" s="26" t="n">
        <v>44661</v>
      </c>
      <c r="I393" s="26" t="n">
        <v>44662</v>
      </c>
      <c r="J393" s="12" t="n">
        <v>19.99</v>
      </c>
      <c r="K393" s="17" t="n">
        <v>2076010.76</v>
      </c>
      <c r="L393" s="12" t="n">
        <v>0</v>
      </c>
      <c r="M393" s="12" t="n">
        <v>0</v>
      </c>
      <c r="N393" s="27">
        <f>F393-J393</f>
        <v/>
      </c>
      <c r="O393" s="16">
        <f>I393-H393</f>
        <v/>
      </c>
      <c r="P393" s="14">
        <f>F393*G393</f>
        <v/>
      </c>
      <c r="Q393" s="14">
        <f>J393*G393</f>
        <v/>
      </c>
      <c r="R393" s="14">
        <f>K393-Q393</f>
        <v/>
      </c>
      <c r="S393" s="3">
        <f>P393*Assumptions!$B$3/100</f>
        <v/>
      </c>
      <c r="T393" s="14">
        <f>R393-S393</f>
        <v/>
      </c>
      <c r="U393" s="14">
        <f>L393*G393</f>
        <v/>
      </c>
    </row>
    <row r="394">
      <c r="A394" s="12" t="inlineStr">
        <is>
          <t>PO-2021-0392</t>
        </is>
      </c>
      <c r="B394" s="26" t="n">
        <v>45221</v>
      </c>
      <c r="C394" s="12" t="inlineStr">
        <is>
          <t>VS10</t>
        </is>
      </c>
      <c r="D394" s="12" t="inlineStr">
        <is>
          <t>Angles &amp; Channels</t>
        </is>
      </c>
      <c r="E394" s="12" t="inlineStr">
        <is>
          <t>Y</t>
        </is>
      </c>
      <c r="F394" s="12" t="n">
        <v>49.89</v>
      </c>
      <c r="G394" s="17" t="n">
        <v>81207.83</v>
      </c>
      <c r="H394" s="26" t="n">
        <v>45228</v>
      </c>
      <c r="I394" s="26" t="n">
        <v>45228</v>
      </c>
      <c r="J394" s="12" t="n">
        <v>49.4</v>
      </c>
      <c r="K394" s="17" t="n">
        <v>4051458.64</v>
      </c>
      <c r="L394" s="12" t="n">
        <v>0</v>
      </c>
      <c r="M394" s="12" t="n">
        <v>12</v>
      </c>
      <c r="N394" s="27">
        <f>F394-J394</f>
        <v/>
      </c>
      <c r="O394" s="16">
        <f>I394-H394</f>
        <v/>
      </c>
      <c r="P394" s="14">
        <f>F394*G394</f>
        <v/>
      </c>
      <c r="Q394" s="14">
        <f>J394*G394</f>
        <v/>
      </c>
      <c r="R394" s="14">
        <f>K394-Q394</f>
        <v/>
      </c>
      <c r="S394" s="3">
        <f>P394*Assumptions!$B$3/100</f>
        <v/>
      </c>
      <c r="T394" s="14">
        <f>R394-S394</f>
        <v/>
      </c>
      <c r="U394" s="14">
        <f>L394*G394</f>
        <v/>
      </c>
    </row>
    <row r="395">
      <c r="A395" s="12" t="inlineStr">
        <is>
          <t>PO-2021-0393</t>
        </is>
      </c>
      <c r="B395" s="26" t="n">
        <v>45048</v>
      </c>
      <c r="C395" s="12" t="inlineStr">
        <is>
          <t>VS06</t>
        </is>
      </c>
      <c r="D395" s="12" t="inlineStr">
        <is>
          <t>ERW Pipes</t>
        </is>
      </c>
      <c r="E395" s="12" t="inlineStr">
        <is>
          <t>N</t>
        </is>
      </c>
      <c r="F395" s="12" t="n">
        <v>41.73</v>
      </c>
      <c r="G395" s="17" t="n">
        <v>99761.3</v>
      </c>
      <c r="H395" s="26" t="n">
        <v>45056</v>
      </c>
      <c r="I395" s="26" t="n">
        <v>45059</v>
      </c>
      <c r="J395" s="12" t="n">
        <v>41.58</v>
      </c>
      <c r="K395" s="17" t="n">
        <v>4163039.05</v>
      </c>
      <c r="L395" s="12" t="n">
        <v>0</v>
      </c>
      <c r="M395" s="12" t="n">
        <v>0</v>
      </c>
      <c r="N395" s="27">
        <f>F395-J395</f>
        <v/>
      </c>
      <c r="O395" s="16">
        <f>I395-H395</f>
        <v/>
      </c>
      <c r="P395" s="14">
        <f>F395*G395</f>
        <v/>
      </c>
      <c r="Q395" s="14">
        <f>J395*G395</f>
        <v/>
      </c>
      <c r="R395" s="14">
        <f>K395-Q395</f>
        <v/>
      </c>
      <c r="S395" s="3">
        <f>P395*Assumptions!$B$3/100</f>
        <v/>
      </c>
      <c r="T395" s="14">
        <f>R395-S395</f>
        <v/>
      </c>
      <c r="U395" s="14">
        <f>L395*G395</f>
        <v/>
      </c>
    </row>
    <row r="396">
      <c r="A396" s="12" t="inlineStr">
        <is>
          <t>PO-2021-0394</t>
        </is>
      </c>
      <c r="B396" s="26" t="n">
        <v>44835</v>
      </c>
      <c r="C396" s="12" t="inlineStr">
        <is>
          <t>VS22</t>
        </is>
      </c>
      <c r="D396" s="12" t="inlineStr">
        <is>
          <t>Fasteners &amp; Fittings</t>
        </is>
      </c>
      <c r="E396" s="12" t="inlineStr">
        <is>
          <t>N</t>
        </is>
      </c>
      <c r="F396" s="12" t="n">
        <v>39.43</v>
      </c>
      <c r="G396" s="17" t="n">
        <v>84083.61</v>
      </c>
      <c r="H396" s="26" t="n">
        <v>44843</v>
      </c>
      <c r="I396" s="26" t="n">
        <v>44846</v>
      </c>
      <c r="J396" s="12" t="n">
        <v>39.35</v>
      </c>
      <c r="K396" s="17" t="n">
        <v>3315416.74</v>
      </c>
      <c r="L396" s="12" t="n">
        <v>0</v>
      </c>
      <c r="M396" s="12" t="n">
        <v>1</v>
      </c>
      <c r="N396" s="27">
        <f>F396-J396</f>
        <v/>
      </c>
      <c r="O396" s="16">
        <f>I396-H396</f>
        <v/>
      </c>
      <c r="P396" s="14">
        <f>F396*G396</f>
        <v/>
      </c>
      <c r="Q396" s="14">
        <f>J396*G396</f>
        <v/>
      </c>
      <c r="R396" s="14">
        <f>K396-Q396</f>
        <v/>
      </c>
      <c r="S396" s="3">
        <f>P396*Assumptions!$B$3/100</f>
        <v/>
      </c>
      <c r="T396" s="14">
        <f>R396-S396</f>
        <v/>
      </c>
      <c r="U396" s="14">
        <f>L396*G396</f>
        <v/>
      </c>
    </row>
    <row r="397">
      <c r="A397" s="12" t="inlineStr">
        <is>
          <t>PO-2021-0395</t>
        </is>
      </c>
      <c r="B397" s="26" t="n">
        <v>45172</v>
      </c>
      <c r="C397" s="12" t="inlineStr">
        <is>
          <t>VS07</t>
        </is>
      </c>
      <c r="D397" s="12" t="inlineStr">
        <is>
          <t>Fasteners &amp; Fittings</t>
        </is>
      </c>
      <c r="E397" s="12" t="inlineStr">
        <is>
          <t>Y</t>
        </is>
      </c>
      <c r="F397" s="12" t="n">
        <v>36.38</v>
      </c>
      <c r="G397" s="17" t="n">
        <v>78933.53999999999</v>
      </c>
      <c r="H397" s="26" t="n">
        <v>45176</v>
      </c>
      <c r="I397" s="26" t="n">
        <v>45178</v>
      </c>
      <c r="J397" s="12" t="n">
        <v>36.1</v>
      </c>
      <c r="K397" s="17" t="n">
        <v>2871602.19</v>
      </c>
      <c r="L397" s="12" t="n">
        <v>0</v>
      </c>
      <c r="M397" s="12" t="n">
        <v>0</v>
      </c>
      <c r="N397" s="27">
        <f>F397-J397</f>
        <v/>
      </c>
      <c r="O397" s="16">
        <f>I397-H397</f>
        <v/>
      </c>
      <c r="P397" s="14">
        <f>F397*G397</f>
        <v/>
      </c>
      <c r="Q397" s="14">
        <f>J397*G397</f>
        <v/>
      </c>
      <c r="R397" s="14">
        <f>K397-Q397</f>
        <v/>
      </c>
      <c r="S397" s="3">
        <f>P397*Assumptions!$B$3/100</f>
        <v/>
      </c>
      <c r="T397" s="14">
        <f>R397-S397</f>
        <v/>
      </c>
      <c r="U397" s="14">
        <f>L397*G397</f>
        <v/>
      </c>
    </row>
    <row r="398">
      <c r="A398" s="12" t="inlineStr">
        <is>
          <t>PO-2021-0396</t>
        </is>
      </c>
      <c r="B398" s="26" t="n">
        <v>44811</v>
      </c>
      <c r="C398" s="12" t="inlineStr">
        <is>
          <t>VS03</t>
        </is>
      </c>
      <c r="D398" s="12" t="inlineStr">
        <is>
          <t>ERW Pipes</t>
        </is>
      </c>
      <c r="E398" s="12" t="inlineStr">
        <is>
          <t>N</t>
        </is>
      </c>
      <c r="F398" s="12" t="n">
        <v>2.11</v>
      </c>
      <c r="G398" s="17" t="n">
        <v>73560.08</v>
      </c>
      <c r="H398" s="26" t="n">
        <v>44815</v>
      </c>
      <c r="I398" s="26" t="n">
        <v>44819</v>
      </c>
      <c r="J398" s="12" t="n">
        <v>2.01</v>
      </c>
      <c r="K398" s="17" t="n">
        <v>155211.77</v>
      </c>
      <c r="L398" s="12" t="n">
        <v>0.03</v>
      </c>
      <c r="M398" s="12" t="n">
        <v>22</v>
      </c>
      <c r="N398" s="27">
        <f>F398-J398</f>
        <v/>
      </c>
      <c r="O398" s="16">
        <f>I398-H398</f>
        <v/>
      </c>
      <c r="P398" s="14">
        <f>F398*G398</f>
        <v/>
      </c>
      <c r="Q398" s="14">
        <f>J398*G398</f>
        <v/>
      </c>
      <c r="R398" s="14">
        <f>K398-Q398</f>
        <v/>
      </c>
      <c r="S398" s="3">
        <f>P398*Assumptions!$B$3/100</f>
        <v/>
      </c>
      <c r="T398" s="14">
        <f>R398-S398</f>
        <v/>
      </c>
      <c r="U398" s="14">
        <f>L398*G398</f>
        <v/>
      </c>
    </row>
    <row r="399">
      <c r="A399" s="12" t="inlineStr">
        <is>
          <t>PO-2021-0397</t>
        </is>
      </c>
      <c r="B399" s="26" t="n">
        <v>44533</v>
      </c>
      <c r="C399" s="12" t="inlineStr">
        <is>
          <t>VS16</t>
        </is>
      </c>
      <c r="D399" s="12" t="inlineStr">
        <is>
          <t>Hex Bars</t>
        </is>
      </c>
      <c r="E399" s="12" t="inlineStr">
        <is>
          <t>N</t>
        </is>
      </c>
      <c r="F399" s="12" t="n">
        <v>9.550000000000001</v>
      </c>
      <c r="G399" s="17" t="n">
        <v>57010.18</v>
      </c>
      <c r="H399" s="26" t="n">
        <v>44544</v>
      </c>
      <c r="I399" s="26" t="n">
        <v>44547</v>
      </c>
      <c r="J399" s="12" t="n">
        <v>9.5</v>
      </c>
      <c r="K399" s="17" t="n">
        <v>544447.22</v>
      </c>
      <c r="L399" s="12" t="n">
        <v>0</v>
      </c>
      <c r="M399" s="12" t="n">
        <v>19</v>
      </c>
      <c r="N399" s="27">
        <f>F399-J399</f>
        <v/>
      </c>
      <c r="O399" s="16">
        <f>I399-H399</f>
        <v/>
      </c>
      <c r="P399" s="14">
        <f>F399*G399</f>
        <v/>
      </c>
      <c r="Q399" s="14">
        <f>J399*G399</f>
        <v/>
      </c>
      <c r="R399" s="14">
        <f>K399-Q399</f>
        <v/>
      </c>
      <c r="S399" s="3">
        <f>P399*Assumptions!$B$3/100</f>
        <v/>
      </c>
      <c r="T399" s="14">
        <f>R399-S399</f>
        <v/>
      </c>
      <c r="U399" s="14">
        <f>L399*G399</f>
        <v/>
      </c>
    </row>
    <row r="400">
      <c r="A400" s="12" t="inlineStr">
        <is>
          <t>PO-2021-0398</t>
        </is>
      </c>
      <c r="B400" s="26" t="n">
        <v>45070</v>
      </c>
      <c r="C400" s="12" t="inlineStr">
        <is>
          <t>VS30</t>
        </is>
      </c>
      <c r="D400" s="12" t="inlineStr">
        <is>
          <t>HR Coils</t>
        </is>
      </c>
      <c r="E400" s="12" t="inlineStr">
        <is>
          <t>N</t>
        </is>
      </c>
      <c r="F400" s="12" t="n">
        <v>40.09</v>
      </c>
      <c r="G400" s="17" t="n">
        <v>92232.02</v>
      </c>
      <c r="H400" s="26" t="n">
        <v>45075</v>
      </c>
      <c r="I400" s="26" t="n">
        <v>45078</v>
      </c>
      <c r="J400" s="12" t="n">
        <v>40</v>
      </c>
      <c r="K400" s="17" t="n">
        <v>3697581.68</v>
      </c>
      <c r="L400" s="12" t="n">
        <v>0</v>
      </c>
      <c r="M400" s="12" t="n">
        <v>0</v>
      </c>
      <c r="N400" s="27">
        <f>F400-J400</f>
        <v/>
      </c>
      <c r="O400" s="16">
        <f>I400-H400</f>
        <v/>
      </c>
      <c r="P400" s="14">
        <f>F400*G400</f>
        <v/>
      </c>
      <c r="Q400" s="14">
        <f>J400*G400</f>
        <v/>
      </c>
      <c r="R400" s="14">
        <f>K400-Q400</f>
        <v/>
      </c>
      <c r="S400" s="3">
        <f>P400*Assumptions!$B$3/100</f>
        <v/>
      </c>
      <c r="T400" s="14">
        <f>R400-S400</f>
        <v/>
      </c>
      <c r="U400" s="14">
        <f>L400*G400</f>
        <v/>
      </c>
    </row>
    <row r="401">
      <c r="A401" s="12" t="inlineStr">
        <is>
          <t>PO-2021-0399</t>
        </is>
      </c>
      <c r="B401" s="26" t="n">
        <v>45082</v>
      </c>
      <c r="C401" s="12" t="inlineStr">
        <is>
          <t>VS26</t>
        </is>
      </c>
      <c r="D401" s="12" t="inlineStr">
        <is>
          <t>MS Pipes</t>
        </is>
      </c>
      <c r="E401" s="12" t="inlineStr">
        <is>
          <t>N</t>
        </is>
      </c>
      <c r="F401" s="12" t="n">
        <v>37.13</v>
      </c>
      <c r="G401" s="17" t="n">
        <v>111232.3</v>
      </c>
      <c r="H401" s="26" t="n">
        <v>45092</v>
      </c>
      <c r="I401" s="26" t="n">
        <v>45094</v>
      </c>
      <c r="J401" s="12" t="n">
        <v>36.95</v>
      </c>
      <c r="K401" s="17" t="n">
        <v>4130055.3</v>
      </c>
      <c r="L401" s="12" t="n">
        <v>0</v>
      </c>
      <c r="M401" s="12" t="n">
        <v>0</v>
      </c>
      <c r="N401" s="27">
        <f>F401-J401</f>
        <v/>
      </c>
      <c r="O401" s="16">
        <f>I401-H401</f>
        <v/>
      </c>
      <c r="P401" s="14">
        <f>F401*G401</f>
        <v/>
      </c>
      <c r="Q401" s="14">
        <f>J401*G401</f>
        <v/>
      </c>
      <c r="R401" s="14">
        <f>K401-Q401</f>
        <v/>
      </c>
      <c r="S401" s="3">
        <f>P401*Assumptions!$B$3/100</f>
        <v/>
      </c>
      <c r="T401" s="14">
        <f>R401-S401</f>
        <v/>
      </c>
      <c r="U401" s="14">
        <f>L401*G401</f>
        <v/>
      </c>
    </row>
    <row r="402">
      <c r="A402" s="12" t="inlineStr">
        <is>
          <t>PO-2021-0400</t>
        </is>
      </c>
      <c r="B402" s="26" t="n">
        <v>45076</v>
      </c>
      <c r="C402" s="12" t="inlineStr">
        <is>
          <t>VS25</t>
        </is>
      </c>
      <c r="D402" s="12" t="inlineStr">
        <is>
          <t>MS Pipes</t>
        </is>
      </c>
      <c r="E402" s="12" t="inlineStr">
        <is>
          <t>N</t>
        </is>
      </c>
      <c r="F402" s="12" t="n">
        <v>35.53</v>
      </c>
      <c r="G402" s="17" t="n">
        <v>60433.84</v>
      </c>
      <c r="H402" s="26" t="n">
        <v>45091</v>
      </c>
      <c r="I402" s="26" t="n">
        <v>45091</v>
      </c>
      <c r="J402" s="12" t="n">
        <v>35.34</v>
      </c>
      <c r="K402" s="17" t="n">
        <v>2147214.34</v>
      </c>
      <c r="L402" s="12" t="n">
        <v>0</v>
      </c>
      <c r="M402" s="12" t="n">
        <v>15</v>
      </c>
      <c r="N402" s="27">
        <f>F402-J402</f>
        <v/>
      </c>
      <c r="O402" s="16">
        <f>I402-H402</f>
        <v/>
      </c>
      <c r="P402" s="14">
        <f>F402*G402</f>
        <v/>
      </c>
      <c r="Q402" s="14">
        <f>J402*G402</f>
        <v/>
      </c>
      <c r="R402" s="14">
        <f>K402-Q402</f>
        <v/>
      </c>
      <c r="S402" s="3">
        <f>P402*Assumptions!$B$3/100</f>
        <v/>
      </c>
      <c r="T402" s="14">
        <f>R402-S402</f>
        <v/>
      </c>
      <c r="U402" s="14">
        <f>L402*G402</f>
        <v/>
      </c>
    </row>
    <row r="403">
      <c r="A403" s="12" t="inlineStr">
        <is>
          <t>PO-2021-0401</t>
        </is>
      </c>
      <c r="B403" s="26" t="n">
        <v>44325</v>
      </c>
      <c r="C403" s="12" t="inlineStr">
        <is>
          <t>VS07</t>
        </is>
      </c>
      <c r="D403" s="12" t="inlineStr">
        <is>
          <t>Spring Steel</t>
        </is>
      </c>
      <c r="E403" s="12" t="inlineStr">
        <is>
          <t>N</t>
        </is>
      </c>
      <c r="F403" s="12" t="n">
        <v>10.16</v>
      </c>
      <c r="G403" s="17" t="n">
        <v>69448.87</v>
      </c>
      <c r="H403" s="26" t="n">
        <v>44335</v>
      </c>
      <c r="I403" s="26" t="n">
        <v>44336</v>
      </c>
      <c r="J403" s="12" t="n">
        <v>10.1</v>
      </c>
      <c r="K403" s="17" t="n">
        <v>705600.52</v>
      </c>
      <c r="L403" s="12" t="n">
        <v>0</v>
      </c>
      <c r="M403" s="12" t="n">
        <v>0</v>
      </c>
      <c r="N403" s="27">
        <f>F403-J403</f>
        <v/>
      </c>
      <c r="O403" s="16">
        <f>I403-H403</f>
        <v/>
      </c>
      <c r="P403" s="14">
        <f>F403*G403</f>
        <v/>
      </c>
      <c r="Q403" s="14">
        <f>J403*G403</f>
        <v/>
      </c>
      <c r="R403" s="14">
        <f>K403-Q403</f>
        <v/>
      </c>
      <c r="S403" s="3">
        <f>P403*Assumptions!$B$3/100</f>
        <v/>
      </c>
      <c r="T403" s="14">
        <f>R403-S403</f>
        <v/>
      </c>
      <c r="U403" s="14">
        <f>L403*G403</f>
        <v/>
      </c>
    </row>
    <row r="404">
      <c r="A404" s="12" t="inlineStr">
        <is>
          <t>PO-2021-0402</t>
        </is>
      </c>
      <c r="B404" s="26" t="n">
        <v>44430</v>
      </c>
      <c r="C404" s="12" t="inlineStr">
        <is>
          <t>VS17</t>
        </is>
      </c>
      <c r="D404" s="12" t="inlineStr">
        <is>
          <t>Structural Steel</t>
        </is>
      </c>
      <c r="E404" s="12" t="inlineStr">
        <is>
          <t>N</t>
        </is>
      </c>
      <c r="F404" s="12" t="n">
        <v>26.86</v>
      </c>
      <c r="G404" s="17" t="n">
        <v>92933.14</v>
      </c>
      <c r="H404" s="26" t="n">
        <v>44442</v>
      </c>
      <c r="I404" s="26" t="n">
        <v>44442</v>
      </c>
      <c r="J404" s="12" t="n">
        <v>26.86</v>
      </c>
      <c r="K404" s="17" t="n">
        <v>2496184.14</v>
      </c>
      <c r="L404" s="12" t="n">
        <v>0</v>
      </c>
      <c r="M404" s="12" t="n">
        <v>0</v>
      </c>
      <c r="N404" s="27">
        <f>F404-J404</f>
        <v/>
      </c>
      <c r="O404" s="16">
        <f>I404-H404</f>
        <v/>
      </c>
      <c r="P404" s="14">
        <f>F404*G404</f>
        <v/>
      </c>
      <c r="Q404" s="14">
        <f>J404*G404</f>
        <v/>
      </c>
      <c r="R404" s="14">
        <f>K404-Q404</f>
        <v/>
      </c>
      <c r="S404" s="3">
        <f>P404*Assumptions!$B$3/100</f>
        <v/>
      </c>
      <c r="T404" s="14">
        <f>R404-S404</f>
        <v/>
      </c>
      <c r="U404" s="14">
        <f>L404*G404</f>
        <v/>
      </c>
    </row>
    <row r="405">
      <c r="A405" s="12" t="inlineStr">
        <is>
          <t>PO-2021-0403</t>
        </is>
      </c>
      <c r="B405" s="26" t="n">
        <v>44992</v>
      </c>
      <c r="C405" s="12" t="inlineStr">
        <is>
          <t>VS26</t>
        </is>
      </c>
      <c r="D405" s="12" t="inlineStr">
        <is>
          <t>ERW Pipes</t>
        </is>
      </c>
      <c r="E405" s="12" t="inlineStr">
        <is>
          <t>N</t>
        </is>
      </c>
      <c r="F405" s="12" t="n">
        <v>18.05</v>
      </c>
      <c r="G405" s="17" t="n">
        <v>108413.84</v>
      </c>
      <c r="H405" s="26" t="n">
        <v>45004</v>
      </c>
      <c r="I405" s="26" t="n">
        <v>45007</v>
      </c>
      <c r="J405" s="12" t="n">
        <v>17.87</v>
      </c>
      <c r="K405" s="17" t="n">
        <v>1956869.81</v>
      </c>
      <c r="L405" s="12" t="n">
        <v>0</v>
      </c>
      <c r="M405" s="12" t="n">
        <v>0</v>
      </c>
      <c r="N405" s="27">
        <f>F405-J405</f>
        <v/>
      </c>
      <c r="O405" s="16">
        <f>I405-H405</f>
        <v/>
      </c>
      <c r="P405" s="14">
        <f>F405*G405</f>
        <v/>
      </c>
      <c r="Q405" s="14">
        <f>J405*G405</f>
        <v/>
      </c>
      <c r="R405" s="14">
        <f>K405-Q405</f>
        <v/>
      </c>
      <c r="S405" s="3">
        <f>P405*Assumptions!$B$3/100</f>
        <v/>
      </c>
      <c r="T405" s="14">
        <f>R405-S405</f>
        <v/>
      </c>
      <c r="U405" s="14">
        <f>L405*G405</f>
        <v/>
      </c>
    </row>
    <row r="406">
      <c r="A406" s="12" t="inlineStr">
        <is>
          <t>PO-2021-0404</t>
        </is>
      </c>
      <c r="B406" s="26" t="n">
        <v>44550</v>
      </c>
      <c r="C406" s="12" t="inlineStr">
        <is>
          <t>VS20</t>
        </is>
      </c>
      <c r="D406" s="12" t="inlineStr">
        <is>
          <t>SS Pipes</t>
        </is>
      </c>
      <c r="E406" s="12" t="inlineStr">
        <is>
          <t>N</t>
        </is>
      </c>
      <c r="F406" s="12" t="n">
        <v>33.93</v>
      </c>
      <c r="G406" s="17" t="n">
        <v>68488.92999999999</v>
      </c>
      <c r="H406" s="26" t="n">
        <v>44556</v>
      </c>
      <c r="I406" s="26" t="n">
        <v>44559</v>
      </c>
      <c r="J406" s="12" t="n">
        <v>33.76</v>
      </c>
      <c r="K406" s="17" t="n">
        <v>2323829.39</v>
      </c>
      <c r="L406" s="12" t="n">
        <v>0</v>
      </c>
      <c r="M406" s="12" t="n">
        <v>0</v>
      </c>
      <c r="N406" s="27">
        <f>F406-J406</f>
        <v/>
      </c>
      <c r="O406" s="16">
        <f>I406-H406</f>
        <v/>
      </c>
      <c r="P406" s="14">
        <f>F406*G406</f>
        <v/>
      </c>
      <c r="Q406" s="14">
        <f>J406*G406</f>
        <v/>
      </c>
      <c r="R406" s="14">
        <f>K406-Q406</f>
        <v/>
      </c>
      <c r="S406" s="3">
        <f>P406*Assumptions!$B$3/100</f>
        <v/>
      </c>
      <c r="T406" s="14">
        <f>R406-S406</f>
        <v/>
      </c>
      <c r="U406" s="14">
        <f>L406*G406</f>
        <v/>
      </c>
    </row>
    <row r="407">
      <c r="A407" s="12" t="inlineStr">
        <is>
          <t>PO-2021-0405</t>
        </is>
      </c>
      <c r="B407" s="26" t="n">
        <v>44822</v>
      </c>
      <c r="C407" s="12" t="inlineStr">
        <is>
          <t>VS08</t>
        </is>
      </c>
      <c r="D407" s="12" t="inlineStr">
        <is>
          <t>MS Sheets</t>
        </is>
      </c>
      <c r="E407" s="12" t="inlineStr">
        <is>
          <t>N</t>
        </is>
      </c>
      <c r="F407" s="12" t="n">
        <v>19.29</v>
      </c>
      <c r="G407" s="17" t="n">
        <v>55601.89</v>
      </c>
      <c r="H407" s="26" t="n">
        <v>44831</v>
      </c>
      <c r="I407" s="26" t="n">
        <v>44834</v>
      </c>
      <c r="J407" s="12" t="n">
        <v>19.16</v>
      </c>
      <c r="K407" s="17" t="n">
        <v>1072560.46</v>
      </c>
      <c r="L407" s="12" t="n">
        <v>0</v>
      </c>
      <c r="M407" s="12" t="n">
        <v>0</v>
      </c>
      <c r="N407" s="27">
        <f>F407-J407</f>
        <v/>
      </c>
      <c r="O407" s="16">
        <f>I407-H407</f>
        <v/>
      </c>
      <c r="P407" s="14">
        <f>F407*G407</f>
        <v/>
      </c>
      <c r="Q407" s="14">
        <f>J407*G407</f>
        <v/>
      </c>
      <c r="R407" s="14">
        <f>K407-Q407</f>
        <v/>
      </c>
      <c r="S407" s="3">
        <f>P407*Assumptions!$B$3/100</f>
        <v/>
      </c>
      <c r="T407" s="14">
        <f>R407-S407</f>
        <v/>
      </c>
      <c r="U407" s="14">
        <f>L407*G407</f>
        <v/>
      </c>
    </row>
    <row r="408">
      <c r="A408" s="12" t="inlineStr">
        <is>
          <t>PO-2021-0406</t>
        </is>
      </c>
      <c r="B408" s="26" t="n">
        <v>45053</v>
      </c>
      <c r="C408" s="12" t="inlineStr">
        <is>
          <t>VS09</t>
        </is>
      </c>
      <c r="D408" s="12" t="inlineStr">
        <is>
          <t>MS Rods</t>
        </is>
      </c>
      <c r="E408" s="12" t="inlineStr">
        <is>
          <t>N</t>
        </is>
      </c>
      <c r="F408" s="12" t="n">
        <v>21.73</v>
      </c>
      <c r="G408" s="17" t="n">
        <v>81500.27</v>
      </c>
      <c r="H408" s="26" t="n">
        <v>45064</v>
      </c>
      <c r="I408" s="26" t="n">
        <v>45065</v>
      </c>
      <c r="J408" s="12" t="n">
        <v>21.69</v>
      </c>
      <c r="K408" s="17" t="n">
        <v>1771000.87</v>
      </c>
      <c r="L408" s="12" t="n">
        <v>0</v>
      </c>
      <c r="M408" s="12" t="n">
        <v>0</v>
      </c>
      <c r="N408" s="27">
        <f>F408-J408</f>
        <v/>
      </c>
      <c r="O408" s="16">
        <f>I408-H408</f>
        <v/>
      </c>
      <c r="P408" s="14">
        <f>F408*G408</f>
        <v/>
      </c>
      <c r="Q408" s="14">
        <f>J408*G408</f>
        <v/>
      </c>
      <c r="R408" s="14">
        <f>K408-Q408</f>
        <v/>
      </c>
      <c r="S408" s="3">
        <f>P408*Assumptions!$B$3/100</f>
        <v/>
      </c>
      <c r="T408" s="14">
        <f>R408-S408</f>
        <v/>
      </c>
      <c r="U408" s="14">
        <f>L408*G408</f>
        <v/>
      </c>
    </row>
    <row r="409">
      <c r="A409" s="12" t="inlineStr">
        <is>
          <t>PO-2021-0407</t>
        </is>
      </c>
      <c r="B409" s="26" t="n">
        <v>44551</v>
      </c>
      <c r="C409" s="12" t="inlineStr">
        <is>
          <t>VS11</t>
        </is>
      </c>
      <c r="D409" s="12" t="inlineStr">
        <is>
          <t>Structural Steel</t>
        </is>
      </c>
      <c r="E409" s="12" t="inlineStr">
        <is>
          <t>N</t>
        </is>
      </c>
      <c r="F409" s="12" t="n">
        <v>15.15</v>
      </c>
      <c r="G409" s="17" t="n">
        <v>59032.39</v>
      </c>
      <c r="H409" s="26" t="n">
        <v>44561</v>
      </c>
      <c r="I409" s="26" t="n">
        <v>44564</v>
      </c>
      <c r="J409" s="12" t="n">
        <v>15.08</v>
      </c>
      <c r="K409" s="17" t="n">
        <v>894340.71</v>
      </c>
      <c r="L409" s="12" t="n">
        <v>0</v>
      </c>
      <c r="M409" s="12" t="n">
        <v>0</v>
      </c>
      <c r="N409" s="27">
        <f>F409-J409</f>
        <v/>
      </c>
      <c r="O409" s="16">
        <f>I409-H409</f>
        <v/>
      </c>
      <c r="P409" s="14">
        <f>F409*G409</f>
        <v/>
      </c>
      <c r="Q409" s="14">
        <f>J409*G409</f>
        <v/>
      </c>
      <c r="R409" s="14">
        <f>K409-Q409</f>
        <v/>
      </c>
      <c r="S409" s="3">
        <f>P409*Assumptions!$B$3/100</f>
        <v/>
      </c>
      <c r="T409" s="14">
        <f>R409-S409</f>
        <v/>
      </c>
      <c r="U409" s="14">
        <f>L409*G409</f>
        <v/>
      </c>
    </row>
    <row r="410">
      <c r="A410" s="12" t="inlineStr">
        <is>
          <t>PO-2021-0408</t>
        </is>
      </c>
      <c r="B410" s="26" t="n">
        <v>44306</v>
      </c>
      <c r="C410" s="12" t="inlineStr">
        <is>
          <t>VS23</t>
        </is>
      </c>
      <c r="D410" s="12" t="inlineStr">
        <is>
          <t>MS Pipes</t>
        </is>
      </c>
      <c r="E410" s="12" t="inlineStr">
        <is>
          <t>N</t>
        </is>
      </c>
      <c r="F410" s="12" t="n">
        <v>24.75</v>
      </c>
      <c r="G410" s="17" t="n">
        <v>59634.64</v>
      </c>
      <c r="H410" s="26" t="n">
        <v>44315</v>
      </c>
      <c r="I410" s="26" t="n">
        <v>44315</v>
      </c>
      <c r="J410" s="12" t="n">
        <v>24.61</v>
      </c>
      <c r="K410" s="17" t="n">
        <v>1475957.34</v>
      </c>
      <c r="L410" s="12" t="n">
        <v>0</v>
      </c>
      <c r="M410" s="12" t="n">
        <v>19</v>
      </c>
      <c r="N410" s="27">
        <f>F410-J410</f>
        <v/>
      </c>
      <c r="O410" s="16">
        <f>I410-H410</f>
        <v/>
      </c>
      <c r="P410" s="14">
        <f>F410*G410</f>
        <v/>
      </c>
      <c r="Q410" s="14">
        <f>J410*G410</f>
        <v/>
      </c>
      <c r="R410" s="14">
        <f>K410-Q410</f>
        <v/>
      </c>
      <c r="S410" s="3">
        <f>P410*Assumptions!$B$3/100</f>
        <v/>
      </c>
      <c r="T410" s="14">
        <f>R410-S410</f>
        <v/>
      </c>
      <c r="U410" s="14">
        <f>L410*G410</f>
        <v/>
      </c>
    </row>
    <row r="411">
      <c r="A411" s="12" t="inlineStr">
        <is>
          <t>PO-2021-0409</t>
        </is>
      </c>
      <c r="B411" s="26" t="n">
        <v>45232</v>
      </c>
      <c r="C411" s="12" t="inlineStr">
        <is>
          <t>VS32</t>
        </is>
      </c>
      <c r="D411" s="12" t="inlineStr">
        <is>
          <t>GI Wire</t>
        </is>
      </c>
      <c r="E411" s="12" t="inlineStr">
        <is>
          <t>N</t>
        </is>
      </c>
      <c r="F411" s="12" t="n">
        <v>34.55</v>
      </c>
      <c r="G411" s="17" t="n">
        <v>76172.28</v>
      </c>
      <c r="H411" s="26" t="n">
        <v>45242</v>
      </c>
      <c r="I411" s="26" t="n">
        <v>45245</v>
      </c>
      <c r="J411" s="12" t="n">
        <v>34.49</v>
      </c>
      <c r="K411" s="17" t="n">
        <v>2631752.27</v>
      </c>
      <c r="L411" s="12" t="n">
        <v>0</v>
      </c>
      <c r="M411" s="12" t="n">
        <v>0</v>
      </c>
      <c r="N411" s="27">
        <f>F411-J411</f>
        <v/>
      </c>
      <c r="O411" s="16">
        <f>I411-H411</f>
        <v/>
      </c>
      <c r="P411" s="14">
        <f>F411*G411</f>
        <v/>
      </c>
      <c r="Q411" s="14">
        <f>J411*G411</f>
        <v/>
      </c>
      <c r="R411" s="14">
        <f>K411-Q411</f>
        <v/>
      </c>
      <c r="S411" s="3">
        <f>P411*Assumptions!$B$3/100</f>
        <v/>
      </c>
      <c r="T411" s="14">
        <f>R411-S411</f>
        <v/>
      </c>
      <c r="U411" s="14">
        <f>L411*G411</f>
        <v/>
      </c>
    </row>
    <row r="412">
      <c r="A412" s="12" t="inlineStr">
        <is>
          <t>PO-2021-0410</t>
        </is>
      </c>
      <c r="B412" s="26" t="n">
        <v>45197</v>
      </c>
      <c r="C412" s="12" t="inlineStr">
        <is>
          <t>VS11</t>
        </is>
      </c>
      <c r="D412" s="12" t="inlineStr">
        <is>
          <t>SS Pipes</t>
        </is>
      </c>
      <c r="E412" s="12" t="inlineStr">
        <is>
          <t>Y</t>
        </is>
      </c>
      <c r="F412" s="12" t="n">
        <v>28.7</v>
      </c>
      <c r="G412" s="17" t="n">
        <v>104691.07</v>
      </c>
      <c r="H412" s="26" t="n">
        <v>45203</v>
      </c>
      <c r="I412" s="26" t="n">
        <v>45205</v>
      </c>
      <c r="J412" s="12" t="n">
        <v>28.59</v>
      </c>
      <c r="K412" s="17" t="n">
        <v>3004633.71</v>
      </c>
      <c r="L412" s="12" t="n">
        <v>0</v>
      </c>
      <c r="M412" s="12" t="n">
        <v>0</v>
      </c>
      <c r="N412" s="27">
        <f>F412-J412</f>
        <v/>
      </c>
      <c r="O412" s="16">
        <f>I412-H412</f>
        <v/>
      </c>
      <c r="P412" s="14">
        <f>F412*G412</f>
        <v/>
      </c>
      <c r="Q412" s="14">
        <f>J412*G412</f>
        <v/>
      </c>
      <c r="R412" s="14">
        <f>K412-Q412</f>
        <v/>
      </c>
      <c r="S412" s="3">
        <f>P412*Assumptions!$B$3/100</f>
        <v/>
      </c>
      <c r="T412" s="14">
        <f>R412-S412</f>
        <v/>
      </c>
      <c r="U412" s="14">
        <f>L412*G412</f>
        <v/>
      </c>
    </row>
    <row r="413">
      <c r="A413" s="12" t="inlineStr">
        <is>
          <t>PO-2021-0411</t>
        </is>
      </c>
      <c r="B413" s="26" t="n">
        <v>44795</v>
      </c>
      <c r="C413" s="12" t="inlineStr">
        <is>
          <t>VS03</t>
        </is>
      </c>
      <c r="D413" s="12" t="inlineStr">
        <is>
          <t>CR Sheets</t>
        </is>
      </c>
      <c r="E413" s="12" t="inlineStr">
        <is>
          <t>N</t>
        </is>
      </c>
      <c r="F413" s="12" t="n">
        <v>12.02</v>
      </c>
      <c r="G413" s="17" t="n">
        <v>69316.28</v>
      </c>
      <c r="H413" s="26" t="n">
        <v>44810</v>
      </c>
      <c r="I413" s="26" t="n">
        <v>44814</v>
      </c>
      <c r="J413" s="12" t="n">
        <v>11.52</v>
      </c>
      <c r="K413" s="17" t="n">
        <v>833181.6899999999</v>
      </c>
      <c r="L413" s="12" t="n">
        <v>0.05</v>
      </c>
      <c r="M413" s="12" t="n">
        <v>0</v>
      </c>
      <c r="N413" s="27">
        <f>F413-J413</f>
        <v/>
      </c>
      <c r="O413" s="16">
        <f>I413-H413</f>
        <v/>
      </c>
      <c r="P413" s="14">
        <f>F413*G413</f>
        <v/>
      </c>
      <c r="Q413" s="14">
        <f>J413*G413</f>
        <v/>
      </c>
      <c r="R413" s="14">
        <f>K413-Q413</f>
        <v/>
      </c>
      <c r="S413" s="3">
        <f>P413*Assumptions!$B$3/100</f>
        <v/>
      </c>
      <c r="T413" s="14">
        <f>R413-S413</f>
        <v/>
      </c>
      <c r="U413" s="14">
        <f>L413*G413</f>
        <v/>
      </c>
    </row>
    <row r="414">
      <c r="A414" s="12" t="inlineStr">
        <is>
          <t>PO-2021-0412</t>
        </is>
      </c>
      <c r="B414" s="26" t="n">
        <v>45133</v>
      </c>
      <c r="C414" s="12" t="inlineStr">
        <is>
          <t>VS32</t>
        </is>
      </c>
      <c r="D414" s="12" t="inlineStr">
        <is>
          <t>Spring Steel</t>
        </is>
      </c>
      <c r="E414" s="12" t="inlineStr">
        <is>
          <t>N</t>
        </is>
      </c>
      <c r="F414" s="12" t="n">
        <v>26.03</v>
      </c>
      <c r="G414" s="17" t="n">
        <v>87953.55</v>
      </c>
      <c r="H414" s="26" t="n">
        <v>45140</v>
      </c>
      <c r="I414" s="26" t="n">
        <v>45142</v>
      </c>
      <c r="J414" s="12" t="n">
        <v>25.99</v>
      </c>
      <c r="K414" s="17" t="n">
        <v>2289430.91</v>
      </c>
      <c r="L414" s="12" t="n">
        <v>0</v>
      </c>
      <c r="M414" s="12" t="n">
        <v>25</v>
      </c>
      <c r="N414" s="27">
        <f>F414-J414</f>
        <v/>
      </c>
      <c r="O414" s="16">
        <f>I414-H414</f>
        <v/>
      </c>
      <c r="P414" s="14">
        <f>F414*G414</f>
        <v/>
      </c>
      <c r="Q414" s="14">
        <f>J414*G414</f>
        <v/>
      </c>
      <c r="R414" s="14">
        <f>K414-Q414</f>
        <v/>
      </c>
      <c r="S414" s="3">
        <f>P414*Assumptions!$B$3/100</f>
        <v/>
      </c>
      <c r="T414" s="14">
        <f>R414-S414</f>
        <v/>
      </c>
      <c r="U414" s="14">
        <f>L414*G414</f>
        <v/>
      </c>
    </row>
    <row r="415">
      <c r="A415" s="12" t="inlineStr">
        <is>
          <t>PO-2021-0413</t>
        </is>
      </c>
      <c r="B415" s="26" t="n">
        <v>44948</v>
      </c>
      <c r="C415" s="12" t="inlineStr">
        <is>
          <t>VS03</t>
        </is>
      </c>
      <c r="D415" s="12" t="inlineStr">
        <is>
          <t>Fasteners &amp; Fittings</t>
        </is>
      </c>
      <c r="E415" s="12" t="inlineStr">
        <is>
          <t>N</t>
        </is>
      </c>
      <c r="F415" s="12" t="n">
        <v>27.77</v>
      </c>
      <c r="G415" s="17" t="n">
        <v>124002.51</v>
      </c>
      <c r="H415" s="26" t="n">
        <v>44952</v>
      </c>
      <c r="I415" s="26" t="n">
        <v>44956</v>
      </c>
      <c r="J415" s="12" t="n">
        <v>26.57</v>
      </c>
      <c r="K415" s="17" t="n">
        <v>3443549.7</v>
      </c>
      <c r="L415" s="12" t="n">
        <v>0.31</v>
      </c>
      <c r="M415" s="12" t="n">
        <v>12</v>
      </c>
      <c r="N415" s="27">
        <f>F415-J415</f>
        <v/>
      </c>
      <c r="O415" s="16">
        <f>I415-H415</f>
        <v/>
      </c>
      <c r="P415" s="14">
        <f>F415*G415</f>
        <v/>
      </c>
      <c r="Q415" s="14">
        <f>J415*G415</f>
        <v/>
      </c>
      <c r="R415" s="14">
        <f>K415-Q415</f>
        <v/>
      </c>
      <c r="S415" s="3">
        <f>P415*Assumptions!$B$3/100</f>
        <v/>
      </c>
      <c r="T415" s="14">
        <f>R415-S415</f>
        <v/>
      </c>
      <c r="U415" s="14">
        <f>L415*G415</f>
        <v/>
      </c>
    </row>
    <row r="416">
      <c r="A416" s="12" t="inlineStr">
        <is>
          <t>PO-2021-0414</t>
        </is>
      </c>
      <c r="B416" s="26" t="n">
        <v>44703</v>
      </c>
      <c r="C416" s="12" t="inlineStr">
        <is>
          <t>VS20</t>
        </is>
      </c>
      <c r="D416" s="12" t="inlineStr">
        <is>
          <t>GI Pipes</t>
        </is>
      </c>
      <c r="E416" s="12" t="inlineStr">
        <is>
          <t>N</t>
        </is>
      </c>
      <c r="F416" s="12" t="n">
        <v>23.04</v>
      </c>
      <c r="G416" s="17" t="n">
        <v>71143.27</v>
      </c>
      <c r="H416" s="26" t="n">
        <v>44707</v>
      </c>
      <c r="I416" s="26" t="n">
        <v>44709</v>
      </c>
      <c r="J416" s="12" t="n">
        <v>22.96</v>
      </c>
      <c r="K416" s="17" t="n">
        <v>1639140.94</v>
      </c>
      <c r="L416" s="12" t="n">
        <v>0</v>
      </c>
      <c r="M416" s="12" t="n">
        <v>0</v>
      </c>
      <c r="N416" s="27">
        <f>F416-J416</f>
        <v/>
      </c>
      <c r="O416" s="16">
        <f>I416-H416</f>
        <v/>
      </c>
      <c r="P416" s="14">
        <f>F416*G416</f>
        <v/>
      </c>
      <c r="Q416" s="14">
        <f>J416*G416</f>
        <v/>
      </c>
      <c r="R416" s="14">
        <f>K416-Q416</f>
        <v/>
      </c>
      <c r="S416" s="3">
        <f>P416*Assumptions!$B$3/100</f>
        <v/>
      </c>
      <c r="T416" s="14">
        <f>R416-S416</f>
        <v/>
      </c>
      <c r="U416" s="14">
        <f>L416*G416</f>
        <v/>
      </c>
    </row>
    <row r="417">
      <c r="A417" s="12" t="inlineStr">
        <is>
          <t>PO-2021-0415</t>
        </is>
      </c>
      <c r="B417" s="26" t="n">
        <v>45096</v>
      </c>
      <c r="C417" s="12" t="inlineStr">
        <is>
          <t>VS08</t>
        </is>
      </c>
      <c r="D417" s="12" t="inlineStr">
        <is>
          <t>HR Coils</t>
        </is>
      </c>
      <c r="E417" s="12" t="inlineStr">
        <is>
          <t>N</t>
        </is>
      </c>
      <c r="F417" s="12" t="n">
        <v>11.28</v>
      </c>
      <c r="G417" s="17" t="n">
        <v>100320.97</v>
      </c>
      <c r="H417" s="26" t="n">
        <v>45110</v>
      </c>
      <c r="I417" s="26" t="n">
        <v>45113</v>
      </c>
      <c r="J417" s="12" t="n">
        <v>11.28</v>
      </c>
      <c r="K417" s="17" t="n">
        <v>1131620.54</v>
      </c>
      <c r="L417" s="12" t="n">
        <v>0</v>
      </c>
      <c r="M417" s="12" t="n">
        <v>0</v>
      </c>
      <c r="N417" s="27">
        <f>F417-J417</f>
        <v/>
      </c>
      <c r="O417" s="16">
        <f>I417-H417</f>
        <v/>
      </c>
      <c r="P417" s="14">
        <f>F417*G417</f>
        <v/>
      </c>
      <c r="Q417" s="14">
        <f>J417*G417</f>
        <v/>
      </c>
      <c r="R417" s="14">
        <f>K417-Q417</f>
        <v/>
      </c>
      <c r="S417" s="3">
        <f>P417*Assumptions!$B$3/100</f>
        <v/>
      </c>
      <c r="T417" s="14">
        <f>R417-S417</f>
        <v/>
      </c>
      <c r="U417" s="14">
        <f>L417*G417</f>
        <v/>
      </c>
    </row>
    <row r="418">
      <c r="A418" s="12" t="inlineStr">
        <is>
          <t>PO-2021-0416</t>
        </is>
      </c>
      <c r="B418" s="26" t="n">
        <v>44915</v>
      </c>
      <c r="C418" s="12" t="inlineStr">
        <is>
          <t>VS28</t>
        </is>
      </c>
      <c r="D418" s="12" t="inlineStr">
        <is>
          <t>MS Sheets</t>
        </is>
      </c>
      <c r="E418" s="12" t="inlineStr">
        <is>
          <t>N</t>
        </is>
      </c>
      <c r="F418" s="12" t="n">
        <v>31.19</v>
      </c>
      <c r="G418" s="17" t="n">
        <v>103863.7</v>
      </c>
      <c r="H418" s="26" t="n">
        <v>44921</v>
      </c>
      <c r="I418" s="26" t="n">
        <v>44923</v>
      </c>
      <c r="J418" s="12" t="n">
        <v>31.17</v>
      </c>
      <c r="K418" s="17" t="n">
        <v>3239508.8</v>
      </c>
      <c r="L418" s="12" t="n">
        <v>0</v>
      </c>
      <c r="M418" s="12" t="n">
        <v>0</v>
      </c>
      <c r="N418" s="27">
        <f>F418-J418</f>
        <v/>
      </c>
      <c r="O418" s="16">
        <f>I418-H418</f>
        <v/>
      </c>
      <c r="P418" s="14">
        <f>F418*G418</f>
        <v/>
      </c>
      <c r="Q418" s="14">
        <f>J418*G418</f>
        <v/>
      </c>
      <c r="R418" s="14">
        <f>K418-Q418</f>
        <v/>
      </c>
      <c r="S418" s="3">
        <f>P418*Assumptions!$B$3/100</f>
        <v/>
      </c>
      <c r="T418" s="14">
        <f>R418-S418</f>
        <v/>
      </c>
      <c r="U418" s="14">
        <f>L418*G418</f>
        <v/>
      </c>
    </row>
    <row r="419">
      <c r="A419" s="12" t="inlineStr">
        <is>
          <t>PO-2021-0417</t>
        </is>
      </c>
      <c r="B419" s="26" t="n">
        <v>44318</v>
      </c>
      <c r="C419" s="12" t="inlineStr">
        <is>
          <t>VS23</t>
        </is>
      </c>
      <c r="D419" s="12" t="inlineStr">
        <is>
          <t>Spring Steel</t>
        </is>
      </c>
      <c r="E419" s="12" t="inlineStr">
        <is>
          <t>N</t>
        </is>
      </c>
      <c r="F419" s="12" t="n">
        <v>14.77</v>
      </c>
      <c r="G419" s="17" t="n">
        <v>85407.64</v>
      </c>
      <c r="H419" s="26" t="n">
        <v>44326</v>
      </c>
      <c r="I419" s="26" t="n">
        <v>44326</v>
      </c>
      <c r="J419" s="12" t="n">
        <v>14.69</v>
      </c>
      <c r="K419" s="17" t="n">
        <v>1261470.84</v>
      </c>
      <c r="L419" s="12" t="n">
        <v>0</v>
      </c>
      <c r="M419" s="12" t="n">
        <v>0</v>
      </c>
      <c r="N419" s="27">
        <f>F419-J419</f>
        <v/>
      </c>
      <c r="O419" s="16">
        <f>I419-H419</f>
        <v/>
      </c>
      <c r="P419" s="14">
        <f>F419*G419</f>
        <v/>
      </c>
      <c r="Q419" s="14">
        <f>J419*G419</f>
        <v/>
      </c>
      <c r="R419" s="14">
        <f>K419-Q419</f>
        <v/>
      </c>
      <c r="S419" s="3">
        <f>P419*Assumptions!$B$3/100</f>
        <v/>
      </c>
      <c r="T419" s="14">
        <f>R419-S419</f>
        <v/>
      </c>
      <c r="U419" s="14">
        <f>L419*G419</f>
        <v/>
      </c>
    </row>
    <row r="420">
      <c r="A420" s="12" t="inlineStr">
        <is>
          <t>PO-2021-0418</t>
        </is>
      </c>
      <c r="B420" s="26" t="n">
        <v>44796</v>
      </c>
      <c r="C420" s="12" t="inlineStr">
        <is>
          <t>VS19</t>
        </is>
      </c>
      <c r="D420" s="12" t="inlineStr">
        <is>
          <t>CR Sheets</t>
        </is>
      </c>
      <c r="E420" s="12" t="inlineStr">
        <is>
          <t>Y</t>
        </is>
      </c>
      <c r="F420" s="12" t="n">
        <v>47.67</v>
      </c>
      <c r="G420" s="17" t="n">
        <v>86924.37</v>
      </c>
      <c r="H420" s="26" t="n">
        <v>44809</v>
      </c>
      <c r="I420" s="26" t="n">
        <v>44817</v>
      </c>
      <c r="J420" s="12" t="n">
        <v>45.59</v>
      </c>
      <c r="K420" s="17" t="n">
        <v>4143684.72</v>
      </c>
      <c r="L420" s="12" t="n">
        <v>0.53</v>
      </c>
      <c r="M420" s="12" t="n">
        <v>10</v>
      </c>
      <c r="N420" s="27">
        <f>F420-J420</f>
        <v/>
      </c>
      <c r="O420" s="16">
        <f>I420-H420</f>
        <v/>
      </c>
      <c r="P420" s="14">
        <f>F420*G420</f>
        <v/>
      </c>
      <c r="Q420" s="14">
        <f>J420*G420</f>
        <v/>
      </c>
      <c r="R420" s="14">
        <f>K420-Q420</f>
        <v/>
      </c>
      <c r="S420" s="3">
        <f>P420*Assumptions!$B$3/100</f>
        <v/>
      </c>
      <c r="T420" s="14">
        <f>R420-S420</f>
        <v/>
      </c>
      <c r="U420" s="14">
        <f>L420*G420</f>
        <v/>
      </c>
    </row>
    <row r="421">
      <c r="A421" s="12" t="inlineStr">
        <is>
          <t>PO-2021-0419</t>
        </is>
      </c>
      <c r="B421" s="26" t="n">
        <v>44392</v>
      </c>
      <c r="C421" s="12" t="inlineStr">
        <is>
          <t>VS09</t>
        </is>
      </c>
      <c r="D421" s="12" t="inlineStr">
        <is>
          <t>GI Wire</t>
        </is>
      </c>
      <c r="E421" s="12" t="inlineStr">
        <is>
          <t>N</t>
        </is>
      </c>
      <c r="F421" s="12" t="n">
        <v>46.02</v>
      </c>
      <c r="G421" s="17" t="n">
        <v>119436.47</v>
      </c>
      <c r="H421" s="26" t="n">
        <v>44405</v>
      </c>
      <c r="I421" s="26" t="n">
        <v>44405</v>
      </c>
      <c r="J421" s="12" t="n">
        <v>45.96</v>
      </c>
      <c r="K421" s="17" t="n">
        <v>5496466.35</v>
      </c>
      <c r="L421" s="12" t="n">
        <v>0</v>
      </c>
      <c r="M421" s="12" t="n">
        <v>17</v>
      </c>
      <c r="N421" s="27">
        <f>F421-J421</f>
        <v/>
      </c>
      <c r="O421" s="16">
        <f>I421-H421</f>
        <v/>
      </c>
      <c r="P421" s="14">
        <f>F421*G421</f>
        <v/>
      </c>
      <c r="Q421" s="14">
        <f>J421*G421</f>
        <v/>
      </c>
      <c r="R421" s="14">
        <f>K421-Q421</f>
        <v/>
      </c>
      <c r="S421" s="3">
        <f>P421*Assumptions!$B$3/100</f>
        <v/>
      </c>
      <c r="T421" s="14">
        <f>R421-S421</f>
        <v/>
      </c>
      <c r="U421" s="14">
        <f>L421*G421</f>
        <v/>
      </c>
    </row>
    <row r="422">
      <c r="A422" s="12" t="inlineStr">
        <is>
          <t>PO-2021-0420</t>
        </is>
      </c>
      <c r="B422" s="26" t="n">
        <v>44456</v>
      </c>
      <c r="C422" s="12" t="inlineStr">
        <is>
          <t>VS09</t>
        </is>
      </c>
      <c r="D422" s="12" t="inlineStr">
        <is>
          <t>HR Coils</t>
        </is>
      </c>
      <c r="E422" s="12" t="inlineStr">
        <is>
          <t>Y</t>
        </is>
      </c>
      <c r="F422" s="12" t="n">
        <v>8.17</v>
      </c>
      <c r="G422" s="17" t="n">
        <v>69157.25</v>
      </c>
      <c r="H422" s="26" t="n">
        <v>44462</v>
      </c>
      <c r="I422" s="26" t="n">
        <v>44464</v>
      </c>
      <c r="J422" s="12" t="n">
        <v>8.140000000000001</v>
      </c>
      <c r="K422" s="17" t="n">
        <v>565014.73</v>
      </c>
      <c r="L422" s="12" t="n">
        <v>0</v>
      </c>
      <c r="M422" s="12" t="n">
        <v>5</v>
      </c>
      <c r="N422" s="27">
        <f>F422-J422</f>
        <v/>
      </c>
      <c r="O422" s="16">
        <f>I422-H422</f>
        <v/>
      </c>
      <c r="P422" s="14">
        <f>F422*G422</f>
        <v/>
      </c>
      <c r="Q422" s="14">
        <f>J422*G422</f>
        <v/>
      </c>
      <c r="R422" s="14">
        <f>K422-Q422</f>
        <v/>
      </c>
      <c r="S422" s="3">
        <f>P422*Assumptions!$B$3/100</f>
        <v/>
      </c>
      <c r="T422" s="14">
        <f>R422-S422</f>
        <v/>
      </c>
      <c r="U422" s="14">
        <f>L422*G422</f>
        <v/>
      </c>
    </row>
    <row r="423">
      <c r="A423" s="12" t="inlineStr">
        <is>
          <t>PO-2021-0421</t>
        </is>
      </c>
      <c r="B423" s="26" t="n">
        <v>45001</v>
      </c>
      <c r="C423" s="12" t="inlineStr">
        <is>
          <t>VS32</t>
        </is>
      </c>
      <c r="D423" s="12" t="inlineStr">
        <is>
          <t>Square/Rect Tubes</t>
        </is>
      </c>
      <c r="E423" s="12" t="inlineStr">
        <is>
          <t>N</t>
        </is>
      </c>
      <c r="F423" s="12" t="n">
        <v>29.29</v>
      </c>
      <c r="G423" s="17" t="n">
        <v>65153.79</v>
      </c>
      <c r="H423" s="26" t="n">
        <v>45010</v>
      </c>
      <c r="I423" s="26" t="n">
        <v>45011</v>
      </c>
      <c r="J423" s="12" t="n">
        <v>29.11</v>
      </c>
      <c r="K423" s="17" t="n">
        <v>1908354.51</v>
      </c>
      <c r="L423" s="12" t="n">
        <v>0</v>
      </c>
      <c r="M423" s="12" t="n">
        <v>0</v>
      </c>
      <c r="N423" s="27">
        <f>F423-J423</f>
        <v/>
      </c>
      <c r="O423" s="16">
        <f>I423-H423</f>
        <v/>
      </c>
      <c r="P423" s="14">
        <f>F423*G423</f>
        <v/>
      </c>
      <c r="Q423" s="14">
        <f>J423*G423</f>
        <v/>
      </c>
      <c r="R423" s="14">
        <f>K423-Q423</f>
        <v/>
      </c>
      <c r="S423" s="3">
        <f>P423*Assumptions!$B$3/100</f>
        <v/>
      </c>
      <c r="T423" s="14">
        <f>R423-S423</f>
        <v/>
      </c>
      <c r="U423" s="14">
        <f>L423*G423</f>
        <v/>
      </c>
    </row>
    <row r="424">
      <c r="A424" s="12" t="inlineStr">
        <is>
          <t>PO-2021-0422</t>
        </is>
      </c>
      <c r="B424" s="26" t="n">
        <v>44965</v>
      </c>
      <c r="C424" s="12" t="inlineStr">
        <is>
          <t>VS29</t>
        </is>
      </c>
      <c r="D424" s="12" t="inlineStr">
        <is>
          <t>SS Pipes</t>
        </is>
      </c>
      <c r="E424" s="12" t="inlineStr">
        <is>
          <t>N</t>
        </is>
      </c>
      <c r="F424" s="12" t="n">
        <v>32.05</v>
      </c>
      <c r="G424" s="17" t="n">
        <v>111009.38</v>
      </c>
      <c r="H424" s="26" t="n">
        <v>44969</v>
      </c>
      <c r="I424" s="26" t="n">
        <v>44971</v>
      </c>
      <c r="J424" s="12" t="n">
        <v>31.8</v>
      </c>
      <c r="K424" s="17" t="n">
        <v>3557850.63</v>
      </c>
      <c r="L424" s="12" t="n">
        <v>0</v>
      </c>
      <c r="M424" s="12" t="n">
        <v>0</v>
      </c>
      <c r="N424" s="27">
        <f>F424-J424</f>
        <v/>
      </c>
      <c r="O424" s="16">
        <f>I424-H424</f>
        <v/>
      </c>
      <c r="P424" s="14">
        <f>F424*G424</f>
        <v/>
      </c>
      <c r="Q424" s="14">
        <f>J424*G424</f>
        <v/>
      </c>
      <c r="R424" s="14">
        <f>K424-Q424</f>
        <v/>
      </c>
      <c r="S424" s="3">
        <f>P424*Assumptions!$B$3/100</f>
        <v/>
      </c>
      <c r="T424" s="14">
        <f>R424-S424</f>
        <v/>
      </c>
      <c r="U424" s="14">
        <f>L424*G424</f>
        <v/>
      </c>
    </row>
    <row r="425">
      <c r="A425" s="12" t="inlineStr">
        <is>
          <t>PO-2021-0423</t>
        </is>
      </c>
      <c r="B425" s="26" t="n">
        <v>45022</v>
      </c>
      <c r="C425" s="12" t="inlineStr">
        <is>
          <t>VS33</t>
        </is>
      </c>
      <c r="D425" s="12" t="inlineStr">
        <is>
          <t>CR Sheets</t>
        </is>
      </c>
      <c r="E425" s="12" t="inlineStr">
        <is>
          <t>N</t>
        </is>
      </c>
      <c r="F425" s="12" t="n">
        <v>35.04</v>
      </c>
      <c r="G425" s="17" t="n">
        <v>110798.8</v>
      </c>
      <c r="H425" s="26" t="n">
        <v>45032</v>
      </c>
      <c r="I425" s="26" t="n">
        <v>45032</v>
      </c>
      <c r="J425" s="12" t="n">
        <v>35.03</v>
      </c>
      <c r="K425" s="17" t="n">
        <v>3882389.95</v>
      </c>
      <c r="L425" s="12" t="n">
        <v>0</v>
      </c>
      <c r="M425" s="12" t="n">
        <v>7</v>
      </c>
      <c r="N425" s="27">
        <f>F425-J425</f>
        <v/>
      </c>
      <c r="O425" s="16">
        <f>I425-H425</f>
        <v/>
      </c>
      <c r="P425" s="14">
        <f>F425*G425</f>
        <v/>
      </c>
      <c r="Q425" s="14">
        <f>J425*G425</f>
        <v/>
      </c>
      <c r="R425" s="14">
        <f>K425-Q425</f>
        <v/>
      </c>
      <c r="S425" s="3">
        <f>P425*Assumptions!$B$3/100</f>
        <v/>
      </c>
      <c r="T425" s="14">
        <f>R425-S425</f>
        <v/>
      </c>
      <c r="U425" s="14">
        <f>L425*G425</f>
        <v/>
      </c>
    </row>
    <row r="426">
      <c r="A426" s="12" t="inlineStr">
        <is>
          <t>PO-2021-0424</t>
        </is>
      </c>
      <c r="B426" s="26" t="n">
        <v>45196</v>
      </c>
      <c r="C426" s="12" t="inlineStr">
        <is>
          <t>VS21</t>
        </is>
      </c>
      <c r="D426" s="12" t="inlineStr">
        <is>
          <t>MS Pipes</t>
        </is>
      </c>
      <c r="E426" s="12" t="inlineStr">
        <is>
          <t>N</t>
        </is>
      </c>
      <c r="F426" s="12" t="n">
        <v>43.58</v>
      </c>
      <c r="G426" s="17" t="n">
        <v>108537.55</v>
      </c>
      <c r="H426" s="26" t="n">
        <v>45200</v>
      </c>
      <c r="I426" s="26" t="n">
        <v>45203</v>
      </c>
      <c r="J426" s="12" t="n">
        <v>43.43</v>
      </c>
      <c r="K426" s="17" t="n">
        <v>4730066.43</v>
      </c>
      <c r="L426" s="12" t="n">
        <v>0</v>
      </c>
      <c r="M426" s="12" t="n">
        <v>0</v>
      </c>
      <c r="N426" s="27">
        <f>F426-J426</f>
        <v/>
      </c>
      <c r="O426" s="16">
        <f>I426-H426</f>
        <v/>
      </c>
      <c r="P426" s="14">
        <f>F426*G426</f>
        <v/>
      </c>
      <c r="Q426" s="14">
        <f>J426*G426</f>
        <v/>
      </c>
      <c r="R426" s="14">
        <f>K426-Q426</f>
        <v/>
      </c>
      <c r="S426" s="3">
        <f>P426*Assumptions!$B$3/100</f>
        <v/>
      </c>
      <c r="T426" s="14">
        <f>R426-S426</f>
        <v/>
      </c>
      <c r="U426" s="14">
        <f>L426*G426</f>
        <v/>
      </c>
    </row>
    <row r="427">
      <c r="A427" s="12" t="inlineStr">
        <is>
          <t>PO-2021-0425</t>
        </is>
      </c>
      <c r="B427" s="26" t="n">
        <v>45135</v>
      </c>
      <c r="C427" s="12" t="inlineStr">
        <is>
          <t>VS23</t>
        </is>
      </c>
      <c r="D427" s="12" t="inlineStr">
        <is>
          <t>SS Pipes</t>
        </is>
      </c>
      <c r="E427" s="12" t="inlineStr">
        <is>
          <t>N</t>
        </is>
      </c>
      <c r="F427" s="12" t="n">
        <v>39.99</v>
      </c>
      <c r="G427" s="17" t="n">
        <v>74828.69</v>
      </c>
      <c r="H427" s="26" t="n">
        <v>45144</v>
      </c>
      <c r="I427" s="26" t="n">
        <v>45145</v>
      </c>
      <c r="J427" s="12" t="n">
        <v>39.63</v>
      </c>
      <c r="K427" s="17" t="n">
        <v>2992399.31</v>
      </c>
      <c r="L427" s="12" t="n">
        <v>0</v>
      </c>
      <c r="M427" s="12" t="n">
        <v>8</v>
      </c>
      <c r="N427" s="27">
        <f>F427-J427</f>
        <v/>
      </c>
      <c r="O427" s="16">
        <f>I427-H427</f>
        <v/>
      </c>
      <c r="P427" s="14">
        <f>F427*G427</f>
        <v/>
      </c>
      <c r="Q427" s="14">
        <f>J427*G427</f>
        <v/>
      </c>
      <c r="R427" s="14">
        <f>K427-Q427</f>
        <v/>
      </c>
      <c r="S427" s="3">
        <f>P427*Assumptions!$B$3/100</f>
        <v/>
      </c>
      <c r="T427" s="14">
        <f>R427-S427</f>
        <v/>
      </c>
      <c r="U427" s="14">
        <f>L427*G427</f>
        <v/>
      </c>
    </row>
    <row r="428">
      <c r="A428" s="12" t="inlineStr">
        <is>
          <t>PO-2021-0426</t>
        </is>
      </c>
      <c r="B428" s="26" t="n">
        <v>44630</v>
      </c>
      <c r="C428" s="12" t="inlineStr">
        <is>
          <t>VS32</t>
        </is>
      </c>
      <c r="D428" s="12" t="inlineStr">
        <is>
          <t>CR Sheets</t>
        </is>
      </c>
      <c r="E428" s="12" t="inlineStr">
        <is>
          <t>N</t>
        </is>
      </c>
      <c r="F428" s="12" t="n">
        <v>16.82</v>
      </c>
      <c r="G428" s="17" t="n">
        <v>66269.48</v>
      </c>
      <c r="H428" s="26" t="n">
        <v>44641</v>
      </c>
      <c r="I428" s="26" t="n">
        <v>44642</v>
      </c>
      <c r="J428" s="12" t="n">
        <v>16.81</v>
      </c>
      <c r="K428" s="17" t="n">
        <v>1114652.65</v>
      </c>
      <c r="L428" s="12" t="n">
        <v>0</v>
      </c>
      <c r="M428" s="12" t="n">
        <v>0</v>
      </c>
      <c r="N428" s="27">
        <f>F428-J428</f>
        <v/>
      </c>
      <c r="O428" s="16">
        <f>I428-H428</f>
        <v/>
      </c>
      <c r="P428" s="14">
        <f>F428*G428</f>
        <v/>
      </c>
      <c r="Q428" s="14">
        <f>J428*G428</f>
        <v/>
      </c>
      <c r="R428" s="14">
        <f>K428-Q428</f>
        <v/>
      </c>
      <c r="S428" s="3">
        <f>P428*Assumptions!$B$3/100</f>
        <v/>
      </c>
      <c r="T428" s="14">
        <f>R428-S428</f>
        <v/>
      </c>
      <c r="U428" s="14">
        <f>L428*G428</f>
        <v/>
      </c>
    </row>
    <row r="429">
      <c r="A429" s="12" t="inlineStr">
        <is>
          <t>PO-2021-0427</t>
        </is>
      </c>
      <c r="B429" s="26" t="n">
        <v>44464</v>
      </c>
      <c r="C429" s="12" t="inlineStr">
        <is>
          <t>VS32</t>
        </is>
      </c>
      <c r="D429" s="12" t="inlineStr">
        <is>
          <t>MS Flats</t>
        </is>
      </c>
      <c r="E429" s="12" t="inlineStr">
        <is>
          <t>N</t>
        </is>
      </c>
      <c r="F429" s="12" t="n">
        <v>44.81</v>
      </c>
      <c r="G429" s="17" t="n">
        <v>102169.05</v>
      </c>
      <c r="H429" s="26" t="n">
        <v>44467</v>
      </c>
      <c r="I429" s="26" t="n">
        <v>44470</v>
      </c>
      <c r="J429" s="12" t="n">
        <v>44.67</v>
      </c>
      <c r="K429" s="17" t="n">
        <v>4578195.13</v>
      </c>
      <c r="L429" s="12" t="n">
        <v>0</v>
      </c>
      <c r="M429" s="12" t="n">
        <v>0</v>
      </c>
      <c r="N429" s="27">
        <f>F429-J429</f>
        <v/>
      </c>
      <c r="O429" s="16">
        <f>I429-H429</f>
        <v/>
      </c>
      <c r="P429" s="14">
        <f>F429*G429</f>
        <v/>
      </c>
      <c r="Q429" s="14">
        <f>J429*G429</f>
        <v/>
      </c>
      <c r="R429" s="14">
        <f>K429-Q429</f>
        <v/>
      </c>
      <c r="S429" s="3">
        <f>P429*Assumptions!$B$3/100</f>
        <v/>
      </c>
      <c r="T429" s="14">
        <f>R429-S429</f>
        <v/>
      </c>
      <c r="U429" s="14">
        <f>L429*G429</f>
        <v/>
      </c>
    </row>
    <row r="430">
      <c r="A430" s="12" t="inlineStr">
        <is>
          <t>PO-2021-0428</t>
        </is>
      </c>
      <c r="B430" s="26" t="n">
        <v>44400</v>
      </c>
      <c r="C430" s="12" t="inlineStr">
        <is>
          <t>VS30</t>
        </is>
      </c>
      <c r="D430" s="12" t="inlineStr">
        <is>
          <t>MS Pipes</t>
        </is>
      </c>
      <c r="E430" s="12" t="inlineStr">
        <is>
          <t>N</t>
        </is>
      </c>
      <c r="F430" s="12" t="n">
        <v>7.09</v>
      </c>
      <c r="G430" s="17" t="n">
        <v>109323.87</v>
      </c>
      <c r="H430" s="26" t="n">
        <v>44410</v>
      </c>
      <c r="I430" s="26" t="n">
        <v>44412</v>
      </c>
      <c r="J430" s="12" t="n">
        <v>7.06</v>
      </c>
      <c r="K430" s="17" t="n">
        <v>775106.24</v>
      </c>
      <c r="L430" s="12" t="n">
        <v>0</v>
      </c>
      <c r="M430" s="12" t="n">
        <v>11</v>
      </c>
      <c r="N430" s="27">
        <f>F430-J430</f>
        <v/>
      </c>
      <c r="O430" s="16">
        <f>I430-H430</f>
        <v/>
      </c>
      <c r="P430" s="14">
        <f>F430*G430</f>
        <v/>
      </c>
      <c r="Q430" s="14">
        <f>J430*G430</f>
        <v/>
      </c>
      <c r="R430" s="14">
        <f>K430-Q430</f>
        <v/>
      </c>
      <c r="S430" s="3">
        <f>P430*Assumptions!$B$3/100</f>
        <v/>
      </c>
      <c r="T430" s="14">
        <f>R430-S430</f>
        <v/>
      </c>
      <c r="U430" s="14">
        <f>L430*G430</f>
        <v/>
      </c>
    </row>
    <row r="431">
      <c r="A431" s="12" t="inlineStr">
        <is>
          <t>PO-2021-0429</t>
        </is>
      </c>
      <c r="B431" s="26" t="n">
        <v>45131</v>
      </c>
      <c r="C431" s="12" t="inlineStr">
        <is>
          <t>VS01</t>
        </is>
      </c>
      <c r="D431" s="12" t="inlineStr">
        <is>
          <t>GI Wire</t>
        </is>
      </c>
      <c r="E431" s="12" t="inlineStr">
        <is>
          <t>N</t>
        </is>
      </c>
      <c r="F431" s="12" t="n">
        <v>10.91</v>
      </c>
      <c r="G431" s="17" t="n">
        <v>96644.39</v>
      </c>
      <c r="H431" s="26" t="n">
        <v>45136</v>
      </c>
      <c r="I431" s="26" t="n">
        <v>45137</v>
      </c>
      <c r="J431" s="12" t="n">
        <v>10.9</v>
      </c>
      <c r="K431" s="17" t="n">
        <v>1054390.29</v>
      </c>
      <c r="L431" s="12" t="n">
        <v>0</v>
      </c>
      <c r="M431" s="12" t="n">
        <v>0</v>
      </c>
      <c r="N431" s="27">
        <f>F431-J431</f>
        <v/>
      </c>
      <c r="O431" s="16">
        <f>I431-H431</f>
        <v/>
      </c>
      <c r="P431" s="14">
        <f>F431*G431</f>
        <v/>
      </c>
      <c r="Q431" s="14">
        <f>J431*G431</f>
        <v/>
      </c>
      <c r="R431" s="14">
        <f>K431-Q431</f>
        <v/>
      </c>
      <c r="S431" s="3">
        <f>P431*Assumptions!$B$3/100</f>
        <v/>
      </c>
      <c r="T431" s="14">
        <f>R431-S431</f>
        <v/>
      </c>
      <c r="U431" s="14">
        <f>L431*G431</f>
        <v/>
      </c>
    </row>
    <row r="432">
      <c r="A432" s="12" t="inlineStr">
        <is>
          <t>PO-2021-0430</t>
        </is>
      </c>
      <c r="B432" s="26" t="n">
        <v>44815</v>
      </c>
      <c r="C432" s="12" t="inlineStr">
        <is>
          <t>VS11</t>
        </is>
      </c>
      <c r="D432" s="12" t="inlineStr">
        <is>
          <t>CR Sheets</t>
        </is>
      </c>
      <c r="E432" s="12" t="inlineStr">
        <is>
          <t>N</t>
        </is>
      </c>
      <c r="F432" s="12" t="n">
        <v>5.57</v>
      </c>
      <c r="G432" s="17" t="n">
        <v>72032.64999999999</v>
      </c>
      <c r="H432" s="26" t="n">
        <v>44819</v>
      </c>
      <c r="I432" s="26" t="n">
        <v>44821</v>
      </c>
      <c r="J432" s="12" t="n">
        <v>5.56</v>
      </c>
      <c r="K432" s="17" t="n">
        <v>401221.86</v>
      </c>
      <c r="L432" s="12" t="n">
        <v>0</v>
      </c>
      <c r="M432" s="12" t="n">
        <v>20</v>
      </c>
      <c r="N432" s="27">
        <f>F432-J432</f>
        <v/>
      </c>
      <c r="O432" s="16">
        <f>I432-H432</f>
        <v/>
      </c>
      <c r="P432" s="14">
        <f>F432*G432</f>
        <v/>
      </c>
      <c r="Q432" s="14">
        <f>J432*G432</f>
        <v/>
      </c>
      <c r="R432" s="14">
        <f>K432-Q432</f>
        <v/>
      </c>
      <c r="S432" s="3">
        <f>P432*Assumptions!$B$3/100</f>
        <v/>
      </c>
      <c r="T432" s="14">
        <f>R432-S432</f>
        <v/>
      </c>
      <c r="U432" s="14">
        <f>L432*G432</f>
        <v/>
      </c>
    </row>
    <row r="433">
      <c r="A433" s="12" t="inlineStr">
        <is>
          <t>PO-2021-0431</t>
        </is>
      </c>
      <c r="B433" s="26" t="n">
        <v>44958</v>
      </c>
      <c r="C433" s="12" t="inlineStr">
        <is>
          <t>VS11</t>
        </is>
      </c>
      <c r="D433" s="12" t="inlineStr">
        <is>
          <t>GI Pipes</t>
        </is>
      </c>
      <c r="E433" s="12" t="inlineStr">
        <is>
          <t>N</t>
        </is>
      </c>
      <c r="F433" s="12" t="n">
        <v>20.42</v>
      </c>
      <c r="G433" s="17" t="n">
        <v>67913.19</v>
      </c>
      <c r="H433" s="26" t="n">
        <v>44972</v>
      </c>
      <c r="I433" s="26" t="n">
        <v>44974</v>
      </c>
      <c r="J433" s="12" t="n">
        <v>20.41</v>
      </c>
      <c r="K433" s="17" t="n">
        <v>1386787.34</v>
      </c>
      <c r="L433" s="12" t="n">
        <v>0</v>
      </c>
      <c r="M433" s="12" t="n">
        <v>0</v>
      </c>
      <c r="N433" s="27">
        <f>F433-J433</f>
        <v/>
      </c>
      <c r="O433" s="16">
        <f>I433-H433</f>
        <v/>
      </c>
      <c r="P433" s="14">
        <f>F433*G433</f>
        <v/>
      </c>
      <c r="Q433" s="14">
        <f>J433*G433</f>
        <v/>
      </c>
      <c r="R433" s="14">
        <f>K433-Q433</f>
        <v/>
      </c>
      <c r="S433" s="3">
        <f>P433*Assumptions!$B$3/100</f>
        <v/>
      </c>
      <c r="T433" s="14">
        <f>R433-S433</f>
        <v/>
      </c>
      <c r="U433" s="14">
        <f>L433*G433</f>
        <v/>
      </c>
    </row>
    <row r="434">
      <c r="A434" s="12" t="inlineStr">
        <is>
          <t>PO-2021-0432</t>
        </is>
      </c>
      <c r="B434" s="26" t="n">
        <v>44676</v>
      </c>
      <c r="C434" s="12" t="inlineStr">
        <is>
          <t>VS28</t>
        </is>
      </c>
      <c r="D434" s="12" t="inlineStr">
        <is>
          <t>SS Pipes</t>
        </is>
      </c>
      <c r="E434" s="12" t="inlineStr">
        <is>
          <t>Y</t>
        </is>
      </c>
      <c r="F434" s="12" t="n">
        <v>35.48</v>
      </c>
      <c r="G434" s="17" t="n">
        <v>45081.47</v>
      </c>
      <c r="H434" s="26" t="n">
        <v>44686</v>
      </c>
      <c r="I434" s="26" t="n">
        <v>44687</v>
      </c>
      <c r="J434" s="12" t="n">
        <v>35.43</v>
      </c>
      <c r="K434" s="17" t="n">
        <v>1599490.56</v>
      </c>
      <c r="L434" s="12" t="n">
        <v>0</v>
      </c>
      <c r="M434" s="12" t="n">
        <v>12</v>
      </c>
      <c r="N434" s="27">
        <f>F434-J434</f>
        <v/>
      </c>
      <c r="O434" s="16">
        <f>I434-H434</f>
        <v/>
      </c>
      <c r="P434" s="14">
        <f>F434*G434</f>
        <v/>
      </c>
      <c r="Q434" s="14">
        <f>J434*G434</f>
        <v/>
      </c>
      <c r="R434" s="14">
        <f>K434-Q434</f>
        <v/>
      </c>
      <c r="S434" s="3">
        <f>P434*Assumptions!$B$3/100</f>
        <v/>
      </c>
      <c r="T434" s="14">
        <f>R434-S434</f>
        <v/>
      </c>
      <c r="U434" s="14">
        <f>L434*G434</f>
        <v/>
      </c>
    </row>
    <row r="435">
      <c r="A435" s="12" t="inlineStr">
        <is>
          <t>PO-2021-0433</t>
        </is>
      </c>
      <c r="B435" s="26" t="n">
        <v>44356</v>
      </c>
      <c r="C435" s="12" t="inlineStr">
        <is>
          <t>VS09</t>
        </is>
      </c>
      <c r="D435" s="12" t="inlineStr">
        <is>
          <t>HR Coils</t>
        </is>
      </c>
      <c r="E435" s="12" t="inlineStr">
        <is>
          <t>Y</t>
        </is>
      </c>
      <c r="F435" s="12" t="n">
        <v>26.45</v>
      </c>
      <c r="G435" s="17" t="n">
        <v>78380.02</v>
      </c>
      <c r="H435" s="26" t="n">
        <v>44359</v>
      </c>
      <c r="I435" s="26" t="n">
        <v>44362</v>
      </c>
      <c r="J435" s="12" t="n">
        <v>26.33</v>
      </c>
      <c r="K435" s="17" t="n">
        <v>2073151.53</v>
      </c>
      <c r="L435" s="12" t="n">
        <v>0</v>
      </c>
      <c r="M435" s="12" t="n">
        <v>23</v>
      </c>
      <c r="N435" s="27">
        <f>F435-J435</f>
        <v/>
      </c>
      <c r="O435" s="16">
        <f>I435-H435</f>
        <v/>
      </c>
      <c r="P435" s="14">
        <f>F435*G435</f>
        <v/>
      </c>
      <c r="Q435" s="14">
        <f>J435*G435</f>
        <v/>
      </c>
      <c r="R435" s="14">
        <f>K435-Q435</f>
        <v/>
      </c>
      <c r="S435" s="3">
        <f>P435*Assumptions!$B$3/100</f>
        <v/>
      </c>
      <c r="T435" s="14">
        <f>R435-S435</f>
        <v/>
      </c>
      <c r="U435" s="14">
        <f>L435*G435</f>
        <v/>
      </c>
    </row>
    <row r="436">
      <c r="A436" s="12" t="inlineStr">
        <is>
          <t>PO-2021-0434</t>
        </is>
      </c>
      <c r="B436" s="26" t="n">
        <v>44900</v>
      </c>
      <c r="C436" s="12" t="inlineStr">
        <is>
          <t>VS08</t>
        </is>
      </c>
      <c r="D436" s="12" t="inlineStr">
        <is>
          <t>GI Wire</t>
        </is>
      </c>
      <c r="E436" s="12" t="inlineStr">
        <is>
          <t>N</t>
        </is>
      </c>
      <c r="F436" s="12" t="n">
        <v>35.01</v>
      </c>
      <c r="G436" s="17" t="n">
        <v>80827.52</v>
      </c>
      <c r="H436" s="26" t="n">
        <v>44906</v>
      </c>
      <c r="I436" s="26" t="n">
        <v>44906</v>
      </c>
      <c r="J436" s="12" t="n">
        <v>34.75</v>
      </c>
      <c r="K436" s="17" t="n">
        <v>2829771.48</v>
      </c>
      <c r="L436" s="12" t="n">
        <v>0</v>
      </c>
      <c r="M436" s="12" t="n">
        <v>22</v>
      </c>
      <c r="N436" s="27">
        <f>F436-J436</f>
        <v/>
      </c>
      <c r="O436" s="16">
        <f>I436-H436</f>
        <v/>
      </c>
      <c r="P436" s="14">
        <f>F436*G436</f>
        <v/>
      </c>
      <c r="Q436" s="14">
        <f>J436*G436</f>
        <v/>
      </c>
      <c r="R436" s="14">
        <f>K436-Q436</f>
        <v/>
      </c>
      <c r="S436" s="3">
        <f>P436*Assumptions!$B$3/100</f>
        <v/>
      </c>
      <c r="T436" s="14">
        <f>R436-S436</f>
        <v/>
      </c>
      <c r="U436" s="14">
        <f>L436*G436</f>
        <v/>
      </c>
    </row>
    <row r="437">
      <c r="A437" s="12" t="inlineStr">
        <is>
          <t>PO-2021-0435</t>
        </is>
      </c>
      <c r="B437" s="26" t="n">
        <v>44981</v>
      </c>
      <c r="C437" s="12" t="inlineStr">
        <is>
          <t>VS06</t>
        </is>
      </c>
      <c r="D437" s="12" t="inlineStr">
        <is>
          <t>ERW Pipes</t>
        </is>
      </c>
      <c r="E437" s="12" t="inlineStr">
        <is>
          <t>N</t>
        </is>
      </c>
      <c r="F437" s="12" t="n">
        <v>6.06</v>
      </c>
      <c r="G437" s="17" t="n">
        <v>72567.13</v>
      </c>
      <c r="H437" s="26" t="n">
        <v>44988</v>
      </c>
      <c r="I437" s="26" t="n">
        <v>44989</v>
      </c>
      <c r="J437" s="12" t="n">
        <v>6.02</v>
      </c>
      <c r="K437" s="17" t="n">
        <v>439756.81</v>
      </c>
      <c r="L437" s="12" t="n">
        <v>0</v>
      </c>
      <c r="M437" s="12" t="n">
        <v>13</v>
      </c>
      <c r="N437" s="27">
        <f>F437-J437</f>
        <v/>
      </c>
      <c r="O437" s="16">
        <f>I437-H437</f>
        <v/>
      </c>
      <c r="P437" s="14">
        <f>F437*G437</f>
        <v/>
      </c>
      <c r="Q437" s="14">
        <f>J437*G437</f>
        <v/>
      </c>
      <c r="R437" s="14">
        <f>K437-Q437</f>
        <v/>
      </c>
      <c r="S437" s="3">
        <f>P437*Assumptions!$B$3/100</f>
        <v/>
      </c>
      <c r="T437" s="14">
        <f>R437-S437</f>
        <v/>
      </c>
      <c r="U437" s="14">
        <f>L437*G437</f>
        <v/>
      </c>
    </row>
    <row r="438">
      <c r="A438" s="12" t="inlineStr">
        <is>
          <t>PO-2021-0436</t>
        </is>
      </c>
      <c r="B438" s="26" t="n">
        <v>44477</v>
      </c>
      <c r="C438" s="12" t="inlineStr">
        <is>
          <t>VS25</t>
        </is>
      </c>
      <c r="D438" s="12" t="inlineStr">
        <is>
          <t>Square/Rect Tubes</t>
        </is>
      </c>
      <c r="E438" s="12" t="inlineStr">
        <is>
          <t>N</t>
        </is>
      </c>
      <c r="F438" s="12" t="n">
        <v>32.44</v>
      </c>
      <c r="G438" s="17" t="n">
        <v>95785.28</v>
      </c>
      <c r="H438" s="26" t="n">
        <v>44481</v>
      </c>
      <c r="I438" s="26" t="n">
        <v>44481</v>
      </c>
      <c r="J438" s="12" t="n">
        <v>32.41</v>
      </c>
      <c r="K438" s="17" t="n">
        <v>3107274.48</v>
      </c>
      <c r="L438" s="12" t="n">
        <v>0</v>
      </c>
      <c r="M438" s="12" t="n">
        <v>1</v>
      </c>
      <c r="N438" s="27">
        <f>F438-J438</f>
        <v/>
      </c>
      <c r="O438" s="16">
        <f>I438-H438</f>
        <v/>
      </c>
      <c r="P438" s="14">
        <f>F438*G438</f>
        <v/>
      </c>
      <c r="Q438" s="14">
        <f>J438*G438</f>
        <v/>
      </c>
      <c r="R438" s="14">
        <f>K438-Q438</f>
        <v/>
      </c>
      <c r="S438" s="3">
        <f>P438*Assumptions!$B$3/100</f>
        <v/>
      </c>
      <c r="T438" s="14">
        <f>R438-S438</f>
        <v/>
      </c>
      <c r="U438" s="14">
        <f>L438*G438</f>
        <v/>
      </c>
    </row>
    <row r="439">
      <c r="A439" s="12" t="inlineStr">
        <is>
          <t>PO-2021-0437</t>
        </is>
      </c>
      <c r="B439" s="26" t="n">
        <v>45283</v>
      </c>
      <c r="C439" s="12" t="inlineStr">
        <is>
          <t>VS01</t>
        </is>
      </c>
      <c r="D439" s="12" t="inlineStr">
        <is>
          <t>MS Sheets</t>
        </is>
      </c>
      <c r="E439" s="12" t="inlineStr">
        <is>
          <t>N</t>
        </is>
      </c>
      <c r="F439" s="12" t="n">
        <v>22.56</v>
      </c>
      <c r="G439" s="17" t="n">
        <v>99182.39999999999</v>
      </c>
      <c r="H439" s="26" t="n">
        <v>45296</v>
      </c>
      <c r="I439" s="26" t="n">
        <v>45299</v>
      </c>
      <c r="J439" s="12" t="n">
        <v>22.43</v>
      </c>
      <c r="K439" s="17" t="n">
        <v>2237554.94</v>
      </c>
      <c r="L439" s="12" t="n">
        <v>0</v>
      </c>
      <c r="M439" s="12" t="n">
        <v>23</v>
      </c>
      <c r="N439" s="27">
        <f>F439-J439</f>
        <v/>
      </c>
      <c r="O439" s="16">
        <f>I439-H439</f>
        <v/>
      </c>
      <c r="P439" s="14">
        <f>F439*G439</f>
        <v/>
      </c>
      <c r="Q439" s="14">
        <f>J439*G439</f>
        <v/>
      </c>
      <c r="R439" s="14">
        <f>K439-Q439</f>
        <v/>
      </c>
      <c r="S439" s="3">
        <f>P439*Assumptions!$B$3/100</f>
        <v/>
      </c>
      <c r="T439" s="14">
        <f>R439-S439</f>
        <v/>
      </c>
      <c r="U439" s="14">
        <f>L439*G439</f>
        <v/>
      </c>
    </row>
    <row r="440">
      <c r="A440" s="12" t="inlineStr">
        <is>
          <t>PO-2021-0438</t>
        </is>
      </c>
      <c r="B440" s="26" t="n">
        <v>44507</v>
      </c>
      <c r="C440" s="12" t="inlineStr">
        <is>
          <t>VS27</t>
        </is>
      </c>
      <c r="D440" s="12" t="inlineStr">
        <is>
          <t>Fasteners &amp; Fittings</t>
        </is>
      </c>
      <c r="E440" s="12" t="inlineStr">
        <is>
          <t>N</t>
        </is>
      </c>
      <c r="F440" s="12" t="n">
        <v>43.14</v>
      </c>
      <c r="G440" s="17" t="n">
        <v>51501.6</v>
      </c>
      <c r="H440" s="26" t="n">
        <v>44511</v>
      </c>
      <c r="I440" s="26" t="n">
        <v>44514</v>
      </c>
      <c r="J440" s="12" t="n">
        <v>42.71</v>
      </c>
      <c r="K440" s="17" t="n">
        <v>2221779.02</v>
      </c>
      <c r="L440" s="12" t="n">
        <v>0</v>
      </c>
      <c r="M440" s="12" t="n">
        <v>0</v>
      </c>
      <c r="N440" s="27">
        <f>F440-J440</f>
        <v/>
      </c>
      <c r="O440" s="16">
        <f>I440-H440</f>
        <v/>
      </c>
      <c r="P440" s="14">
        <f>F440*G440</f>
        <v/>
      </c>
      <c r="Q440" s="14">
        <f>J440*G440</f>
        <v/>
      </c>
      <c r="R440" s="14">
        <f>K440-Q440</f>
        <v/>
      </c>
      <c r="S440" s="3">
        <f>P440*Assumptions!$B$3/100</f>
        <v/>
      </c>
      <c r="T440" s="14">
        <f>R440-S440</f>
        <v/>
      </c>
      <c r="U440" s="14">
        <f>L440*G440</f>
        <v/>
      </c>
    </row>
    <row r="441">
      <c r="A441" s="12" t="inlineStr">
        <is>
          <t>PO-2021-0439</t>
        </is>
      </c>
      <c r="B441" s="26" t="n">
        <v>44483</v>
      </c>
      <c r="C441" s="12" t="inlineStr">
        <is>
          <t>VS08</t>
        </is>
      </c>
      <c r="D441" s="12" t="inlineStr">
        <is>
          <t>MS Rods</t>
        </is>
      </c>
      <c r="E441" s="12" t="inlineStr">
        <is>
          <t>N</t>
        </is>
      </c>
      <c r="F441" s="12" t="n">
        <v>18.23</v>
      </c>
      <c r="G441" s="17" t="n">
        <v>77204.16</v>
      </c>
      <c r="H441" s="26" t="n">
        <v>44498</v>
      </c>
      <c r="I441" s="26" t="n">
        <v>44498</v>
      </c>
      <c r="J441" s="12" t="n">
        <v>18.13</v>
      </c>
      <c r="K441" s="17" t="n">
        <v>1407431.84</v>
      </c>
      <c r="L441" s="12" t="n">
        <v>0</v>
      </c>
      <c r="M441" s="12" t="n">
        <v>0</v>
      </c>
      <c r="N441" s="27">
        <f>F441-J441</f>
        <v/>
      </c>
      <c r="O441" s="16">
        <f>I441-H441</f>
        <v/>
      </c>
      <c r="P441" s="14">
        <f>F441*G441</f>
        <v/>
      </c>
      <c r="Q441" s="14">
        <f>J441*G441</f>
        <v/>
      </c>
      <c r="R441" s="14">
        <f>K441-Q441</f>
        <v/>
      </c>
      <c r="S441" s="3">
        <f>P441*Assumptions!$B$3/100</f>
        <v/>
      </c>
      <c r="T441" s="14">
        <f>R441-S441</f>
        <v/>
      </c>
      <c r="U441" s="14">
        <f>L441*G441</f>
        <v/>
      </c>
    </row>
    <row r="442">
      <c r="A442" s="12" t="inlineStr">
        <is>
          <t>PO-2021-0440</t>
        </is>
      </c>
      <c r="B442" s="26" t="n">
        <v>44483</v>
      </c>
      <c r="C442" s="12" t="inlineStr">
        <is>
          <t>VS16</t>
        </is>
      </c>
      <c r="D442" s="12" t="inlineStr">
        <is>
          <t>CR Sheets</t>
        </is>
      </c>
      <c r="E442" s="12" t="inlineStr">
        <is>
          <t>N</t>
        </is>
      </c>
      <c r="F442" s="12" t="n">
        <v>32.59</v>
      </c>
      <c r="G442" s="17" t="n">
        <v>63612.53</v>
      </c>
      <c r="H442" s="26" t="n">
        <v>44495</v>
      </c>
      <c r="I442" s="26" t="n">
        <v>44497</v>
      </c>
      <c r="J442" s="12" t="n">
        <v>32.41</v>
      </c>
      <c r="K442" s="17" t="n">
        <v>2073132.35</v>
      </c>
      <c r="L442" s="12" t="n">
        <v>0</v>
      </c>
      <c r="M442" s="12" t="n">
        <v>0</v>
      </c>
      <c r="N442" s="27">
        <f>F442-J442</f>
        <v/>
      </c>
      <c r="O442" s="16">
        <f>I442-H442</f>
        <v/>
      </c>
      <c r="P442" s="14">
        <f>F442*G442</f>
        <v/>
      </c>
      <c r="Q442" s="14">
        <f>J442*G442</f>
        <v/>
      </c>
      <c r="R442" s="14">
        <f>K442-Q442</f>
        <v/>
      </c>
      <c r="S442" s="3">
        <f>P442*Assumptions!$B$3/100</f>
        <v/>
      </c>
      <c r="T442" s="14">
        <f>R442-S442</f>
        <v/>
      </c>
      <c r="U442" s="14">
        <f>L442*G442</f>
        <v/>
      </c>
    </row>
    <row r="443">
      <c r="A443" s="12" t="inlineStr">
        <is>
          <t>PO-2021-0441</t>
        </is>
      </c>
      <c r="B443" s="26" t="n">
        <v>44780</v>
      </c>
      <c r="C443" s="12" t="inlineStr">
        <is>
          <t>VS02</t>
        </is>
      </c>
      <c r="D443" s="12" t="inlineStr">
        <is>
          <t>SS Sheets</t>
        </is>
      </c>
      <c r="E443" s="12" t="inlineStr">
        <is>
          <t>N</t>
        </is>
      </c>
      <c r="F443" s="12" t="n">
        <v>11.07</v>
      </c>
      <c r="G443" s="17" t="n">
        <v>90519.52</v>
      </c>
      <c r="H443" s="26" t="n">
        <v>44786</v>
      </c>
      <c r="I443" s="26" t="n">
        <v>44786</v>
      </c>
      <c r="J443" s="12" t="n">
        <v>11.06</v>
      </c>
      <c r="K443" s="17" t="n">
        <v>1002051.09</v>
      </c>
      <c r="L443" s="12" t="n">
        <v>0</v>
      </c>
      <c r="M443" s="12" t="n">
        <v>7</v>
      </c>
      <c r="N443" s="27">
        <f>F443-J443</f>
        <v/>
      </c>
      <c r="O443" s="16">
        <f>I443-H443</f>
        <v/>
      </c>
      <c r="P443" s="14">
        <f>F443*G443</f>
        <v/>
      </c>
      <c r="Q443" s="14">
        <f>J443*G443</f>
        <v/>
      </c>
      <c r="R443" s="14">
        <f>K443-Q443</f>
        <v/>
      </c>
      <c r="S443" s="3">
        <f>P443*Assumptions!$B$3/100</f>
        <v/>
      </c>
      <c r="T443" s="14">
        <f>R443-S443</f>
        <v/>
      </c>
      <c r="U443" s="14">
        <f>L443*G443</f>
        <v/>
      </c>
    </row>
    <row r="444">
      <c r="A444" s="12" t="inlineStr">
        <is>
          <t>PO-2021-0442</t>
        </is>
      </c>
      <c r="B444" s="26" t="n">
        <v>44999</v>
      </c>
      <c r="C444" s="12" t="inlineStr">
        <is>
          <t>VS19</t>
        </is>
      </c>
      <c r="D444" s="12" t="inlineStr">
        <is>
          <t>GI Pipes</t>
        </is>
      </c>
      <c r="E444" s="12" t="inlineStr">
        <is>
          <t>N</t>
        </is>
      </c>
      <c r="F444" s="12" t="n">
        <v>39.41</v>
      </c>
      <c r="G444" s="17" t="n">
        <v>108714.69</v>
      </c>
      <c r="H444" s="26" t="n">
        <v>45005</v>
      </c>
      <c r="I444" s="26" t="n">
        <v>45008</v>
      </c>
      <c r="J444" s="12" t="n">
        <v>37.84</v>
      </c>
      <c r="K444" s="17" t="n">
        <v>4284445.93</v>
      </c>
      <c r="L444" s="12" t="n">
        <v>0.74</v>
      </c>
      <c r="M444" s="12" t="n">
        <v>0</v>
      </c>
      <c r="N444" s="27">
        <f>F444-J444</f>
        <v/>
      </c>
      <c r="O444" s="16">
        <f>I444-H444</f>
        <v/>
      </c>
      <c r="P444" s="14">
        <f>F444*G444</f>
        <v/>
      </c>
      <c r="Q444" s="14">
        <f>J444*G444</f>
        <v/>
      </c>
      <c r="R444" s="14">
        <f>K444-Q444</f>
        <v/>
      </c>
      <c r="S444" s="3">
        <f>P444*Assumptions!$B$3/100</f>
        <v/>
      </c>
      <c r="T444" s="14">
        <f>R444-S444</f>
        <v/>
      </c>
      <c r="U444" s="14">
        <f>L444*G444</f>
        <v/>
      </c>
    </row>
    <row r="445">
      <c r="A445" s="12" t="inlineStr">
        <is>
          <t>PO-2021-0443</t>
        </is>
      </c>
      <c r="B445" s="26" t="n">
        <v>45210</v>
      </c>
      <c r="C445" s="12" t="inlineStr">
        <is>
          <t>VS25</t>
        </is>
      </c>
      <c r="D445" s="12" t="inlineStr">
        <is>
          <t>ERW Pipes</t>
        </is>
      </c>
      <c r="E445" s="12" t="inlineStr">
        <is>
          <t>N</t>
        </is>
      </c>
      <c r="F445" s="12" t="n">
        <v>12.81</v>
      </c>
      <c r="G445" s="17" t="n">
        <v>92856.17</v>
      </c>
      <c r="H445" s="26" t="n">
        <v>45214</v>
      </c>
      <c r="I445" s="26" t="n">
        <v>45215</v>
      </c>
      <c r="J445" s="12" t="n">
        <v>12.8</v>
      </c>
      <c r="K445" s="17" t="n">
        <v>1189487.54</v>
      </c>
      <c r="L445" s="12" t="n">
        <v>0</v>
      </c>
      <c r="M445" s="12" t="n">
        <v>7</v>
      </c>
      <c r="N445" s="27">
        <f>F445-J445</f>
        <v/>
      </c>
      <c r="O445" s="16">
        <f>I445-H445</f>
        <v/>
      </c>
      <c r="P445" s="14">
        <f>F445*G445</f>
        <v/>
      </c>
      <c r="Q445" s="14">
        <f>J445*G445</f>
        <v/>
      </c>
      <c r="R445" s="14">
        <f>K445-Q445</f>
        <v/>
      </c>
      <c r="S445" s="3">
        <f>P445*Assumptions!$B$3/100</f>
        <v/>
      </c>
      <c r="T445" s="14">
        <f>R445-S445</f>
        <v/>
      </c>
      <c r="U445" s="14">
        <f>L445*G445</f>
        <v/>
      </c>
    </row>
    <row r="446">
      <c r="A446" s="12" t="inlineStr">
        <is>
          <t>PO-2021-0444</t>
        </is>
      </c>
      <c r="B446" s="26" t="n">
        <v>45278</v>
      </c>
      <c r="C446" s="12" t="inlineStr">
        <is>
          <t>VS01</t>
        </is>
      </c>
      <c r="D446" s="12" t="inlineStr">
        <is>
          <t>Angles &amp; Channels</t>
        </is>
      </c>
      <c r="E446" s="12" t="inlineStr">
        <is>
          <t>N</t>
        </is>
      </c>
      <c r="F446" s="12" t="n">
        <v>46.76</v>
      </c>
      <c r="G446" s="17" t="n">
        <v>54898.72</v>
      </c>
      <c r="H446" s="26" t="n">
        <v>45290</v>
      </c>
      <c r="I446" s="26" t="n">
        <v>45292</v>
      </c>
      <c r="J446" s="12" t="n">
        <v>46.48</v>
      </c>
      <c r="K446" s="17" t="n">
        <v>2567064.15</v>
      </c>
      <c r="L446" s="12" t="n">
        <v>0</v>
      </c>
      <c r="M446" s="12" t="n">
        <v>0</v>
      </c>
      <c r="N446" s="27">
        <f>F446-J446</f>
        <v/>
      </c>
      <c r="O446" s="16">
        <f>I446-H446</f>
        <v/>
      </c>
      <c r="P446" s="14">
        <f>F446*G446</f>
        <v/>
      </c>
      <c r="Q446" s="14">
        <f>J446*G446</f>
        <v/>
      </c>
      <c r="R446" s="14">
        <f>K446-Q446</f>
        <v/>
      </c>
      <c r="S446" s="3">
        <f>P446*Assumptions!$B$3/100</f>
        <v/>
      </c>
      <c r="T446" s="14">
        <f>R446-S446</f>
        <v/>
      </c>
      <c r="U446" s="14">
        <f>L446*G446</f>
        <v/>
      </c>
    </row>
    <row r="447">
      <c r="A447" s="12" t="inlineStr">
        <is>
          <t>PO-2021-0445</t>
        </is>
      </c>
      <c r="B447" s="26" t="n">
        <v>45058</v>
      </c>
      <c r="C447" s="12" t="inlineStr">
        <is>
          <t>VS24</t>
        </is>
      </c>
      <c r="D447" s="12" t="inlineStr">
        <is>
          <t>Spring Steel</t>
        </is>
      </c>
      <c r="E447" s="12" t="inlineStr">
        <is>
          <t>Y</t>
        </is>
      </c>
      <c r="F447" s="12" t="n">
        <v>34.46</v>
      </c>
      <c r="G447" s="17" t="n">
        <v>102204.45</v>
      </c>
      <c r="H447" s="26" t="n">
        <v>45073</v>
      </c>
      <c r="I447" s="26" t="n">
        <v>45074</v>
      </c>
      <c r="J447" s="12" t="n">
        <v>34.4</v>
      </c>
      <c r="K447" s="17" t="n">
        <v>3521965.35</v>
      </c>
      <c r="L447" s="12" t="n">
        <v>0</v>
      </c>
      <c r="M447" s="12" t="n">
        <v>1</v>
      </c>
      <c r="N447" s="27">
        <f>F447-J447</f>
        <v/>
      </c>
      <c r="O447" s="16">
        <f>I447-H447</f>
        <v/>
      </c>
      <c r="P447" s="14">
        <f>F447*G447</f>
        <v/>
      </c>
      <c r="Q447" s="14">
        <f>J447*G447</f>
        <v/>
      </c>
      <c r="R447" s="14">
        <f>K447-Q447</f>
        <v/>
      </c>
      <c r="S447" s="3">
        <f>P447*Assumptions!$B$3/100</f>
        <v/>
      </c>
      <c r="T447" s="14">
        <f>R447-S447</f>
        <v/>
      </c>
      <c r="U447" s="14">
        <f>L447*G447</f>
        <v/>
      </c>
    </row>
    <row r="448">
      <c r="A448" s="12" t="inlineStr">
        <is>
          <t>PO-2021-0446</t>
        </is>
      </c>
      <c r="B448" s="26" t="n">
        <v>44346</v>
      </c>
      <c r="C448" s="12" t="inlineStr">
        <is>
          <t>VS02</t>
        </is>
      </c>
      <c r="D448" s="12" t="inlineStr">
        <is>
          <t>SS Pipes</t>
        </is>
      </c>
      <c r="E448" s="12" t="inlineStr">
        <is>
          <t>Y</t>
        </is>
      </c>
      <c r="F448" s="12" t="n">
        <v>1.68</v>
      </c>
      <c r="G448" s="17" t="n">
        <v>61180.72</v>
      </c>
      <c r="H448" s="26" t="n">
        <v>44349</v>
      </c>
      <c r="I448" s="26" t="n">
        <v>44352</v>
      </c>
      <c r="J448" s="12" t="n">
        <v>1.66</v>
      </c>
      <c r="K448" s="17" t="n">
        <v>102783.61</v>
      </c>
      <c r="L448" s="12" t="n">
        <v>0</v>
      </c>
      <c r="M448" s="12" t="n">
        <v>18</v>
      </c>
      <c r="N448" s="27">
        <f>F448-J448</f>
        <v/>
      </c>
      <c r="O448" s="16">
        <f>I448-H448</f>
        <v/>
      </c>
      <c r="P448" s="14">
        <f>F448*G448</f>
        <v/>
      </c>
      <c r="Q448" s="14">
        <f>J448*G448</f>
        <v/>
      </c>
      <c r="R448" s="14">
        <f>K448-Q448</f>
        <v/>
      </c>
      <c r="S448" s="3">
        <f>P448*Assumptions!$B$3/100</f>
        <v/>
      </c>
      <c r="T448" s="14">
        <f>R448-S448</f>
        <v/>
      </c>
      <c r="U448" s="14">
        <f>L448*G448</f>
        <v/>
      </c>
    </row>
    <row r="449">
      <c r="A449" s="12" t="inlineStr">
        <is>
          <t>PO-2021-0447</t>
        </is>
      </c>
      <c r="B449" s="26" t="n">
        <v>45012</v>
      </c>
      <c r="C449" s="12" t="inlineStr">
        <is>
          <t>VS33</t>
        </is>
      </c>
      <c r="D449" s="12" t="inlineStr">
        <is>
          <t>SS Sheets</t>
        </is>
      </c>
      <c r="E449" s="12" t="inlineStr">
        <is>
          <t>N</t>
        </is>
      </c>
      <c r="F449" s="12" t="n">
        <v>31.8</v>
      </c>
      <c r="G449" s="17" t="n">
        <v>82578.67</v>
      </c>
      <c r="H449" s="26" t="n">
        <v>45021</v>
      </c>
      <c r="I449" s="26" t="n">
        <v>45023</v>
      </c>
      <c r="J449" s="12" t="n">
        <v>31.6</v>
      </c>
      <c r="K449" s="17" t="n">
        <v>2626001.71</v>
      </c>
      <c r="L449" s="12" t="n">
        <v>0</v>
      </c>
      <c r="M449" s="12" t="n">
        <v>8</v>
      </c>
      <c r="N449" s="27">
        <f>F449-J449</f>
        <v/>
      </c>
      <c r="O449" s="16">
        <f>I449-H449</f>
        <v/>
      </c>
      <c r="P449" s="14">
        <f>F449*G449</f>
        <v/>
      </c>
      <c r="Q449" s="14">
        <f>J449*G449</f>
        <v/>
      </c>
      <c r="R449" s="14">
        <f>K449-Q449</f>
        <v/>
      </c>
      <c r="S449" s="3">
        <f>P449*Assumptions!$B$3/100</f>
        <v/>
      </c>
      <c r="T449" s="14">
        <f>R449-S449</f>
        <v/>
      </c>
      <c r="U449" s="14">
        <f>L449*G449</f>
        <v/>
      </c>
    </row>
    <row r="450">
      <c r="A450" s="12" t="inlineStr">
        <is>
          <t>PO-2021-0448</t>
        </is>
      </c>
      <c r="B450" s="26" t="n">
        <v>45064</v>
      </c>
      <c r="C450" s="12" t="inlineStr">
        <is>
          <t>VS26</t>
        </is>
      </c>
      <c r="D450" s="12" t="inlineStr">
        <is>
          <t>SS Pipes</t>
        </is>
      </c>
      <c r="E450" s="12" t="inlineStr">
        <is>
          <t>N</t>
        </is>
      </c>
      <c r="F450" s="12" t="n">
        <v>32.39</v>
      </c>
      <c r="G450" s="17" t="n">
        <v>85324.14999999999</v>
      </c>
      <c r="H450" s="26" t="n">
        <v>45069</v>
      </c>
      <c r="I450" s="26" t="n">
        <v>45070</v>
      </c>
      <c r="J450" s="12" t="n">
        <v>32.26</v>
      </c>
      <c r="K450" s="17" t="n">
        <v>2763649.22</v>
      </c>
      <c r="L450" s="12" t="n">
        <v>0</v>
      </c>
      <c r="M450" s="12" t="n">
        <v>18</v>
      </c>
      <c r="N450" s="27">
        <f>F450-J450</f>
        <v/>
      </c>
      <c r="O450" s="16">
        <f>I450-H450</f>
        <v/>
      </c>
      <c r="P450" s="14">
        <f>F450*G450</f>
        <v/>
      </c>
      <c r="Q450" s="14">
        <f>J450*G450</f>
        <v/>
      </c>
      <c r="R450" s="14">
        <f>K450-Q450</f>
        <v/>
      </c>
      <c r="S450" s="3">
        <f>P450*Assumptions!$B$3/100</f>
        <v/>
      </c>
      <c r="T450" s="14">
        <f>R450-S450</f>
        <v/>
      </c>
      <c r="U450" s="14">
        <f>L450*G450</f>
        <v/>
      </c>
    </row>
    <row r="451">
      <c r="A451" s="12" t="inlineStr">
        <is>
          <t>PO-2021-0449</t>
        </is>
      </c>
      <c r="B451" s="26" t="n">
        <v>44765</v>
      </c>
      <c r="C451" s="12" t="inlineStr">
        <is>
          <t>VS06</t>
        </is>
      </c>
      <c r="D451" s="12" t="inlineStr">
        <is>
          <t>SS Sheets</t>
        </is>
      </c>
      <c r="E451" s="12" t="inlineStr">
        <is>
          <t>N</t>
        </is>
      </c>
      <c r="F451" s="12" t="n">
        <v>4.87</v>
      </c>
      <c r="G451" s="17" t="n">
        <v>114069.36</v>
      </c>
      <c r="H451" s="26" t="n">
        <v>44780</v>
      </c>
      <c r="I451" s="26" t="n">
        <v>44782</v>
      </c>
      <c r="J451" s="12" t="n">
        <v>4.85</v>
      </c>
      <c r="K451" s="17" t="n">
        <v>555517.78</v>
      </c>
      <c r="L451" s="12" t="n">
        <v>0</v>
      </c>
      <c r="M451" s="12" t="n">
        <v>0</v>
      </c>
      <c r="N451" s="27">
        <f>F451-J451</f>
        <v/>
      </c>
      <c r="O451" s="16">
        <f>I451-H451</f>
        <v/>
      </c>
      <c r="P451" s="14">
        <f>F451*G451</f>
        <v/>
      </c>
      <c r="Q451" s="14">
        <f>J451*G451</f>
        <v/>
      </c>
      <c r="R451" s="14">
        <f>K451-Q451</f>
        <v/>
      </c>
      <c r="S451" s="3">
        <f>P451*Assumptions!$B$3/100</f>
        <v/>
      </c>
      <c r="T451" s="14">
        <f>R451-S451</f>
        <v/>
      </c>
      <c r="U451" s="14">
        <f>L451*G451</f>
        <v/>
      </c>
    </row>
    <row r="452">
      <c r="A452" s="12" t="inlineStr">
        <is>
          <t>PO-2021-0450</t>
        </is>
      </c>
      <c r="B452" s="26" t="n">
        <v>44515</v>
      </c>
      <c r="C452" s="12" t="inlineStr">
        <is>
          <t>VS21</t>
        </is>
      </c>
      <c r="D452" s="12" t="inlineStr">
        <is>
          <t>MS Rods</t>
        </is>
      </c>
      <c r="E452" s="12" t="inlineStr">
        <is>
          <t>N</t>
        </is>
      </c>
      <c r="F452" s="12" t="n">
        <v>29.74</v>
      </c>
      <c r="G452" s="17" t="n">
        <v>102241.81</v>
      </c>
      <c r="H452" s="26" t="n">
        <v>44528</v>
      </c>
      <c r="I452" s="26" t="n">
        <v>44528</v>
      </c>
      <c r="J452" s="12" t="n">
        <v>29.66</v>
      </c>
      <c r="K452" s="17" t="n">
        <v>3040671.43</v>
      </c>
      <c r="L452" s="12" t="n">
        <v>0</v>
      </c>
      <c r="M452" s="12" t="n">
        <v>0</v>
      </c>
      <c r="N452" s="27">
        <f>F452-J452</f>
        <v/>
      </c>
      <c r="O452" s="16">
        <f>I452-H452</f>
        <v/>
      </c>
      <c r="P452" s="14">
        <f>F452*G452</f>
        <v/>
      </c>
      <c r="Q452" s="14">
        <f>J452*G452</f>
        <v/>
      </c>
      <c r="R452" s="14">
        <f>K452-Q452</f>
        <v/>
      </c>
      <c r="S452" s="3">
        <f>P452*Assumptions!$B$3/100</f>
        <v/>
      </c>
      <c r="T452" s="14">
        <f>R452-S452</f>
        <v/>
      </c>
      <c r="U452" s="14">
        <f>L452*G452</f>
        <v/>
      </c>
    </row>
    <row r="453">
      <c r="A453" s="12" t="inlineStr">
        <is>
          <t>PO-2021-0451</t>
        </is>
      </c>
      <c r="B453" s="26" t="n">
        <v>44332</v>
      </c>
      <c r="C453" s="12" t="inlineStr">
        <is>
          <t>VS20</t>
        </is>
      </c>
      <c r="D453" s="12" t="inlineStr">
        <is>
          <t>GI Wire</t>
        </is>
      </c>
      <c r="E453" s="12" t="inlineStr">
        <is>
          <t>N</t>
        </is>
      </c>
      <c r="F453" s="12" t="n">
        <v>36.77</v>
      </c>
      <c r="G453" s="17" t="n">
        <v>108485.11</v>
      </c>
      <c r="H453" s="26" t="n">
        <v>44335</v>
      </c>
      <c r="I453" s="26" t="n">
        <v>44338</v>
      </c>
      <c r="J453" s="12" t="n">
        <v>36.75</v>
      </c>
      <c r="K453" s="17" t="n">
        <v>3988997.49</v>
      </c>
      <c r="L453" s="12" t="n">
        <v>0</v>
      </c>
      <c r="M453" s="12" t="n">
        <v>24</v>
      </c>
      <c r="N453" s="27">
        <f>F453-J453</f>
        <v/>
      </c>
      <c r="O453" s="16">
        <f>I453-H453</f>
        <v/>
      </c>
      <c r="P453" s="14">
        <f>F453*G453</f>
        <v/>
      </c>
      <c r="Q453" s="14">
        <f>J453*G453</f>
        <v/>
      </c>
      <c r="R453" s="14">
        <f>K453-Q453</f>
        <v/>
      </c>
      <c r="S453" s="3">
        <f>P453*Assumptions!$B$3/100</f>
        <v/>
      </c>
      <c r="T453" s="14">
        <f>R453-S453</f>
        <v/>
      </c>
      <c r="U453" s="14">
        <f>L453*G453</f>
        <v/>
      </c>
    </row>
    <row r="454">
      <c r="A454" s="12" t="inlineStr">
        <is>
          <t>PO-2021-0452</t>
        </is>
      </c>
      <c r="B454" s="26" t="n">
        <v>44697</v>
      </c>
      <c r="C454" s="12" t="inlineStr">
        <is>
          <t>VS06</t>
        </is>
      </c>
      <c r="D454" s="12" t="inlineStr">
        <is>
          <t>GI Wire</t>
        </is>
      </c>
      <c r="E454" s="12" t="inlineStr">
        <is>
          <t>N</t>
        </is>
      </c>
      <c r="F454" s="12" t="n">
        <v>6.68</v>
      </c>
      <c r="G454" s="17" t="n">
        <v>90922.25999999999</v>
      </c>
      <c r="H454" s="26" t="n">
        <v>44700</v>
      </c>
      <c r="I454" s="26" t="n">
        <v>44701</v>
      </c>
      <c r="J454" s="12" t="n">
        <v>6.64</v>
      </c>
      <c r="K454" s="17" t="n">
        <v>607360.7</v>
      </c>
      <c r="L454" s="12" t="n">
        <v>0</v>
      </c>
      <c r="M454" s="12" t="n">
        <v>8</v>
      </c>
      <c r="N454" s="27">
        <f>F454-J454</f>
        <v/>
      </c>
      <c r="O454" s="16">
        <f>I454-H454</f>
        <v/>
      </c>
      <c r="P454" s="14">
        <f>F454*G454</f>
        <v/>
      </c>
      <c r="Q454" s="14">
        <f>J454*G454</f>
        <v/>
      </c>
      <c r="R454" s="14">
        <f>K454-Q454</f>
        <v/>
      </c>
      <c r="S454" s="3">
        <f>P454*Assumptions!$B$3/100</f>
        <v/>
      </c>
      <c r="T454" s="14">
        <f>R454-S454</f>
        <v/>
      </c>
      <c r="U454" s="14">
        <f>L454*G454</f>
        <v/>
      </c>
    </row>
    <row r="455">
      <c r="A455" s="12" t="inlineStr">
        <is>
          <t>PO-2021-0453</t>
        </is>
      </c>
      <c r="B455" s="26" t="n">
        <v>44830</v>
      </c>
      <c r="C455" s="12" t="inlineStr">
        <is>
          <t>VS12</t>
        </is>
      </c>
      <c r="D455" s="12" t="inlineStr">
        <is>
          <t>ERW Pipes</t>
        </is>
      </c>
      <c r="E455" s="12" t="inlineStr">
        <is>
          <t>N</t>
        </is>
      </c>
      <c r="F455" s="12" t="n">
        <v>1.62</v>
      </c>
      <c r="G455" s="17" t="n">
        <v>57502.52</v>
      </c>
      <c r="H455" s="26" t="n">
        <v>44833</v>
      </c>
      <c r="I455" s="26" t="n">
        <v>44837</v>
      </c>
      <c r="J455" s="12" t="n">
        <v>1.54</v>
      </c>
      <c r="K455" s="17" t="n">
        <v>93154.08</v>
      </c>
      <c r="L455" s="12" t="n">
        <v>0.07000000000000001</v>
      </c>
      <c r="M455" s="12" t="n">
        <v>0</v>
      </c>
      <c r="N455" s="27">
        <f>F455-J455</f>
        <v/>
      </c>
      <c r="O455" s="16">
        <f>I455-H455</f>
        <v/>
      </c>
      <c r="P455" s="14">
        <f>F455*G455</f>
        <v/>
      </c>
      <c r="Q455" s="14">
        <f>J455*G455</f>
        <v/>
      </c>
      <c r="R455" s="14">
        <f>K455-Q455</f>
        <v/>
      </c>
      <c r="S455" s="3">
        <f>P455*Assumptions!$B$3/100</f>
        <v/>
      </c>
      <c r="T455" s="14">
        <f>R455-S455</f>
        <v/>
      </c>
      <c r="U455" s="14">
        <f>L455*G455</f>
        <v/>
      </c>
    </row>
    <row r="456">
      <c r="A456" s="12" t="inlineStr">
        <is>
          <t>PO-2021-0454</t>
        </is>
      </c>
      <c r="B456" s="26" t="n">
        <v>44532</v>
      </c>
      <c r="C456" s="12" t="inlineStr">
        <is>
          <t>VS32</t>
        </is>
      </c>
      <c r="D456" s="12" t="inlineStr">
        <is>
          <t>Angles &amp; Channels</t>
        </is>
      </c>
      <c r="E456" s="12" t="inlineStr">
        <is>
          <t>N</t>
        </is>
      </c>
      <c r="F456" s="12" t="n">
        <v>26.63</v>
      </c>
      <c r="G456" s="17" t="n">
        <v>103724.03</v>
      </c>
      <c r="H456" s="26" t="n">
        <v>44546</v>
      </c>
      <c r="I456" s="26" t="n">
        <v>44546</v>
      </c>
      <c r="J456" s="12" t="n">
        <v>26.37</v>
      </c>
      <c r="K456" s="17" t="n">
        <v>2762170.92</v>
      </c>
      <c r="L456" s="12" t="n">
        <v>0</v>
      </c>
      <c r="M456" s="12" t="n">
        <v>0</v>
      </c>
      <c r="N456" s="27">
        <f>F456-J456</f>
        <v/>
      </c>
      <c r="O456" s="16">
        <f>I456-H456</f>
        <v/>
      </c>
      <c r="P456" s="14">
        <f>F456*G456</f>
        <v/>
      </c>
      <c r="Q456" s="14">
        <f>J456*G456</f>
        <v/>
      </c>
      <c r="R456" s="14">
        <f>K456-Q456</f>
        <v/>
      </c>
      <c r="S456" s="3">
        <f>P456*Assumptions!$B$3/100</f>
        <v/>
      </c>
      <c r="T456" s="14">
        <f>R456-S456</f>
        <v/>
      </c>
      <c r="U456" s="14">
        <f>L456*G456</f>
        <v/>
      </c>
    </row>
    <row r="457">
      <c r="A457" s="12" t="inlineStr">
        <is>
          <t>PO-2021-0455</t>
        </is>
      </c>
      <c r="B457" s="26" t="n">
        <v>44727</v>
      </c>
      <c r="C457" s="12" t="inlineStr">
        <is>
          <t>VS11</t>
        </is>
      </c>
      <c r="D457" s="12" t="inlineStr">
        <is>
          <t>Angles &amp; Channels</t>
        </is>
      </c>
      <c r="E457" s="12" t="inlineStr">
        <is>
          <t>N</t>
        </is>
      </c>
      <c r="F457" s="12" t="n">
        <v>7.22</v>
      </c>
      <c r="G457" s="17" t="n">
        <v>103584.3</v>
      </c>
      <c r="H457" s="26" t="n">
        <v>44734</v>
      </c>
      <c r="I457" s="26" t="n">
        <v>44734</v>
      </c>
      <c r="J457" s="12" t="n">
        <v>7.2</v>
      </c>
      <c r="K457" s="17" t="n">
        <v>747878.65</v>
      </c>
      <c r="L457" s="12" t="n">
        <v>0</v>
      </c>
      <c r="M457" s="12" t="n">
        <v>14</v>
      </c>
      <c r="N457" s="27">
        <f>F457-J457</f>
        <v/>
      </c>
      <c r="O457" s="16">
        <f>I457-H457</f>
        <v/>
      </c>
      <c r="P457" s="14">
        <f>F457*G457</f>
        <v/>
      </c>
      <c r="Q457" s="14">
        <f>J457*G457</f>
        <v/>
      </c>
      <c r="R457" s="14">
        <f>K457-Q457</f>
        <v/>
      </c>
      <c r="S457" s="3">
        <f>P457*Assumptions!$B$3/100</f>
        <v/>
      </c>
      <c r="T457" s="14">
        <f>R457-S457</f>
        <v/>
      </c>
      <c r="U457" s="14">
        <f>L457*G457</f>
        <v/>
      </c>
    </row>
    <row r="458">
      <c r="A458" s="12" t="inlineStr">
        <is>
          <t>PO-2021-0456</t>
        </is>
      </c>
      <c r="B458" s="26" t="n">
        <v>44438</v>
      </c>
      <c r="C458" s="12" t="inlineStr">
        <is>
          <t>VS02</t>
        </is>
      </c>
      <c r="D458" s="12" t="inlineStr">
        <is>
          <t>MS Flats</t>
        </is>
      </c>
      <c r="E458" s="12" t="inlineStr">
        <is>
          <t>N</t>
        </is>
      </c>
      <c r="F458" s="12" t="n">
        <v>40.55</v>
      </c>
      <c r="G458" s="17" t="n">
        <v>65398.54</v>
      </c>
      <c r="H458" s="26" t="n">
        <v>44442</v>
      </c>
      <c r="I458" s="26" t="n">
        <v>44442</v>
      </c>
      <c r="J458" s="12" t="n">
        <v>40.18</v>
      </c>
      <c r="K458" s="17" t="n">
        <v>2651910.8</v>
      </c>
      <c r="L458" s="12" t="n">
        <v>0</v>
      </c>
      <c r="M458" s="12" t="n">
        <v>13</v>
      </c>
      <c r="N458" s="27">
        <f>F458-J458</f>
        <v/>
      </c>
      <c r="O458" s="16">
        <f>I458-H458</f>
        <v/>
      </c>
      <c r="P458" s="14">
        <f>F458*G458</f>
        <v/>
      </c>
      <c r="Q458" s="14">
        <f>J458*G458</f>
        <v/>
      </c>
      <c r="R458" s="14">
        <f>K458-Q458</f>
        <v/>
      </c>
      <c r="S458" s="3">
        <f>P458*Assumptions!$B$3/100</f>
        <v/>
      </c>
      <c r="T458" s="14">
        <f>R458-S458</f>
        <v/>
      </c>
      <c r="U458" s="14">
        <f>L458*G458</f>
        <v/>
      </c>
    </row>
    <row r="459">
      <c r="A459" s="12" t="inlineStr">
        <is>
          <t>PO-2021-0457</t>
        </is>
      </c>
      <c r="B459" s="26" t="n">
        <v>44735</v>
      </c>
      <c r="C459" s="12" t="inlineStr">
        <is>
          <t>VS05</t>
        </is>
      </c>
      <c r="D459" s="12" t="inlineStr">
        <is>
          <t>Structural Steel</t>
        </is>
      </c>
      <c r="E459" s="12" t="inlineStr">
        <is>
          <t>N</t>
        </is>
      </c>
      <c r="F459" s="12" t="n">
        <v>23.3</v>
      </c>
      <c r="G459" s="17" t="n">
        <v>72009.28999999999</v>
      </c>
      <c r="H459" s="26" t="n">
        <v>44745</v>
      </c>
      <c r="I459" s="26" t="n">
        <v>44748</v>
      </c>
      <c r="J459" s="12" t="n">
        <v>23.08</v>
      </c>
      <c r="K459" s="17" t="n">
        <v>1677816.46</v>
      </c>
      <c r="L459" s="12" t="n">
        <v>0</v>
      </c>
      <c r="M459" s="12" t="n">
        <v>9</v>
      </c>
      <c r="N459" s="27">
        <f>F459-J459</f>
        <v/>
      </c>
      <c r="O459" s="16">
        <f>I459-H459</f>
        <v/>
      </c>
      <c r="P459" s="14">
        <f>F459*G459</f>
        <v/>
      </c>
      <c r="Q459" s="14">
        <f>J459*G459</f>
        <v/>
      </c>
      <c r="R459" s="14">
        <f>K459-Q459</f>
        <v/>
      </c>
      <c r="S459" s="3">
        <f>P459*Assumptions!$B$3/100</f>
        <v/>
      </c>
      <c r="T459" s="14">
        <f>R459-S459</f>
        <v/>
      </c>
      <c r="U459" s="14">
        <f>L459*G459</f>
        <v/>
      </c>
    </row>
    <row r="460">
      <c r="A460" s="12" t="inlineStr">
        <is>
          <t>PO-2021-0458</t>
        </is>
      </c>
      <c r="B460" s="26" t="n">
        <v>44538</v>
      </c>
      <c r="C460" s="12" t="inlineStr">
        <is>
          <t>VS24</t>
        </is>
      </c>
      <c r="D460" s="12" t="inlineStr">
        <is>
          <t>MS Sheets</t>
        </is>
      </c>
      <c r="E460" s="12" t="inlineStr">
        <is>
          <t>N</t>
        </is>
      </c>
      <c r="F460" s="12" t="n">
        <v>13.5</v>
      </c>
      <c r="G460" s="17" t="n">
        <v>52717.87</v>
      </c>
      <c r="H460" s="26" t="n">
        <v>44550</v>
      </c>
      <c r="I460" s="26" t="n">
        <v>44553</v>
      </c>
      <c r="J460" s="12" t="n">
        <v>13.39</v>
      </c>
      <c r="K460" s="17" t="n">
        <v>711691.24</v>
      </c>
      <c r="L460" s="12" t="n">
        <v>0</v>
      </c>
      <c r="M460" s="12" t="n">
        <v>1</v>
      </c>
      <c r="N460" s="27">
        <f>F460-J460</f>
        <v/>
      </c>
      <c r="O460" s="16">
        <f>I460-H460</f>
        <v/>
      </c>
      <c r="P460" s="14">
        <f>F460*G460</f>
        <v/>
      </c>
      <c r="Q460" s="14">
        <f>J460*G460</f>
        <v/>
      </c>
      <c r="R460" s="14">
        <f>K460-Q460</f>
        <v/>
      </c>
      <c r="S460" s="3">
        <f>P460*Assumptions!$B$3/100</f>
        <v/>
      </c>
      <c r="T460" s="14">
        <f>R460-S460</f>
        <v/>
      </c>
      <c r="U460" s="14">
        <f>L460*G460</f>
        <v/>
      </c>
    </row>
    <row r="461">
      <c r="A461" s="12" t="inlineStr">
        <is>
          <t>PO-2021-0459</t>
        </is>
      </c>
      <c r="B461" s="26" t="n">
        <v>44433</v>
      </c>
      <c r="C461" s="12" t="inlineStr">
        <is>
          <t>VS15</t>
        </is>
      </c>
      <c r="D461" s="12" t="inlineStr">
        <is>
          <t>Hex Bars</t>
        </is>
      </c>
      <c r="E461" s="12" t="inlineStr">
        <is>
          <t>N</t>
        </is>
      </c>
      <c r="F461" s="12" t="n">
        <v>1.13</v>
      </c>
      <c r="G461" s="17" t="n">
        <v>109401.68</v>
      </c>
      <c r="H461" s="26" t="n">
        <v>44436</v>
      </c>
      <c r="I461" s="26" t="n">
        <v>44438</v>
      </c>
      <c r="J461" s="12" t="n">
        <v>1.13</v>
      </c>
      <c r="K461" s="17" t="n">
        <v>123623.9</v>
      </c>
      <c r="L461" s="12" t="n">
        <v>0</v>
      </c>
      <c r="M461" s="12" t="n">
        <v>18</v>
      </c>
      <c r="N461" s="27">
        <f>F461-J461</f>
        <v/>
      </c>
      <c r="O461" s="16">
        <f>I461-H461</f>
        <v/>
      </c>
      <c r="P461" s="14">
        <f>F461*G461</f>
        <v/>
      </c>
      <c r="Q461" s="14">
        <f>J461*G461</f>
        <v/>
      </c>
      <c r="R461" s="14">
        <f>K461-Q461</f>
        <v/>
      </c>
      <c r="S461" s="3">
        <f>P461*Assumptions!$B$3/100</f>
        <v/>
      </c>
      <c r="T461" s="14">
        <f>R461-S461</f>
        <v/>
      </c>
      <c r="U461" s="14">
        <f>L461*G461</f>
        <v/>
      </c>
    </row>
    <row r="462">
      <c r="A462" s="12" t="inlineStr">
        <is>
          <t>PO-2021-0460</t>
        </is>
      </c>
      <c r="B462" s="26" t="n">
        <v>44697</v>
      </c>
      <c r="C462" s="12" t="inlineStr">
        <is>
          <t>VS03</t>
        </is>
      </c>
      <c r="D462" s="12" t="inlineStr">
        <is>
          <t>Structural Steel</t>
        </is>
      </c>
      <c r="E462" s="12" t="inlineStr">
        <is>
          <t>N</t>
        </is>
      </c>
      <c r="F462" s="12" t="n">
        <v>18.83</v>
      </c>
      <c r="G462" s="17" t="n">
        <v>118577.67</v>
      </c>
      <c r="H462" s="26" t="n">
        <v>44702</v>
      </c>
      <c r="I462" s="26" t="n">
        <v>44705</v>
      </c>
      <c r="J462" s="12" t="n">
        <v>18.42</v>
      </c>
      <c r="K462" s="17" t="n">
        <v>2232817.53</v>
      </c>
      <c r="L462" s="12" t="n">
        <v>0.79</v>
      </c>
      <c r="M462" s="12" t="n">
        <v>0</v>
      </c>
      <c r="N462" s="27">
        <f>F462-J462</f>
        <v/>
      </c>
      <c r="O462" s="16">
        <f>I462-H462</f>
        <v/>
      </c>
      <c r="P462" s="14">
        <f>F462*G462</f>
        <v/>
      </c>
      <c r="Q462" s="14">
        <f>J462*G462</f>
        <v/>
      </c>
      <c r="R462" s="14">
        <f>K462-Q462</f>
        <v/>
      </c>
      <c r="S462" s="3">
        <f>P462*Assumptions!$B$3/100</f>
        <v/>
      </c>
      <c r="T462" s="14">
        <f>R462-S462</f>
        <v/>
      </c>
      <c r="U462" s="14">
        <f>L462*G462</f>
        <v/>
      </c>
    </row>
    <row r="463">
      <c r="A463" s="12" t="inlineStr">
        <is>
          <t>PO-2021-0461</t>
        </is>
      </c>
      <c r="B463" s="26" t="n">
        <v>44269</v>
      </c>
      <c r="C463" s="12" t="inlineStr">
        <is>
          <t>VS27</t>
        </is>
      </c>
      <c r="D463" s="12" t="inlineStr">
        <is>
          <t>HR Coils</t>
        </is>
      </c>
      <c r="E463" s="12" t="inlineStr">
        <is>
          <t>N</t>
        </is>
      </c>
      <c r="F463" s="12" t="n">
        <v>16.77</v>
      </c>
      <c r="G463" s="17" t="n">
        <v>76219.24000000001</v>
      </c>
      <c r="H463" s="26" t="n">
        <v>44283</v>
      </c>
      <c r="I463" s="26" t="n">
        <v>44283</v>
      </c>
      <c r="J463" s="12" t="n">
        <v>16.72</v>
      </c>
      <c r="K463" s="17" t="n">
        <v>1278196.65</v>
      </c>
      <c r="L463" s="12" t="n">
        <v>0</v>
      </c>
      <c r="M463" s="12" t="n">
        <v>25</v>
      </c>
      <c r="N463" s="27">
        <f>F463-J463</f>
        <v/>
      </c>
      <c r="O463" s="16">
        <f>I463-H463</f>
        <v/>
      </c>
      <c r="P463" s="14">
        <f>F463*G463</f>
        <v/>
      </c>
      <c r="Q463" s="14">
        <f>J463*G463</f>
        <v/>
      </c>
      <c r="R463" s="14">
        <f>K463-Q463</f>
        <v/>
      </c>
      <c r="S463" s="3">
        <f>P463*Assumptions!$B$3/100</f>
        <v/>
      </c>
      <c r="T463" s="14">
        <f>R463-S463</f>
        <v/>
      </c>
      <c r="U463" s="14">
        <f>L463*G463</f>
        <v/>
      </c>
    </row>
    <row r="464">
      <c r="A464" s="12" t="inlineStr">
        <is>
          <t>PO-2021-0462</t>
        </is>
      </c>
      <c r="B464" s="26" t="n">
        <v>44852</v>
      </c>
      <c r="C464" s="12" t="inlineStr">
        <is>
          <t>VS18</t>
        </is>
      </c>
      <c r="D464" s="12" t="inlineStr">
        <is>
          <t>SS Pipes</t>
        </is>
      </c>
      <c r="E464" s="12" t="inlineStr">
        <is>
          <t>Y</t>
        </is>
      </c>
      <c r="F464" s="12" t="n">
        <v>29.01</v>
      </c>
      <c r="G464" s="17" t="n">
        <v>53955.07</v>
      </c>
      <c r="H464" s="26" t="n">
        <v>44865</v>
      </c>
      <c r="I464" s="26" t="n">
        <v>44866</v>
      </c>
      <c r="J464" s="12" t="n">
        <v>28.91</v>
      </c>
      <c r="K464" s="17" t="n">
        <v>1565236.58</v>
      </c>
      <c r="L464" s="12" t="n">
        <v>0</v>
      </c>
      <c r="M464" s="12" t="n">
        <v>0</v>
      </c>
      <c r="N464" s="27">
        <f>F464-J464</f>
        <v/>
      </c>
      <c r="O464" s="16">
        <f>I464-H464</f>
        <v/>
      </c>
      <c r="P464" s="14">
        <f>F464*G464</f>
        <v/>
      </c>
      <c r="Q464" s="14">
        <f>J464*G464</f>
        <v/>
      </c>
      <c r="R464" s="14">
        <f>K464-Q464</f>
        <v/>
      </c>
      <c r="S464" s="3">
        <f>P464*Assumptions!$B$3/100</f>
        <v/>
      </c>
      <c r="T464" s="14">
        <f>R464-S464</f>
        <v/>
      </c>
      <c r="U464" s="14">
        <f>L464*G464</f>
        <v/>
      </c>
    </row>
    <row r="465">
      <c r="A465" s="12" t="inlineStr">
        <is>
          <t>PO-2021-0463</t>
        </is>
      </c>
      <c r="B465" s="26" t="n">
        <v>44304</v>
      </c>
      <c r="C465" s="12" t="inlineStr">
        <is>
          <t>VS12</t>
        </is>
      </c>
      <c r="D465" s="12" t="inlineStr">
        <is>
          <t>HR Coils</t>
        </is>
      </c>
      <c r="E465" s="12" t="inlineStr">
        <is>
          <t>Y</t>
        </is>
      </c>
      <c r="F465" s="12" t="n">
        <v>40.41</v>
      </c>
      <c r="G465" s="17" t="n">
        <v>123350.28</v>
      </c>
      <c r="H465" s="26" t="n">
        <v>44313</v>
      </c>
      <c r="I465" s="26" t="n">
        <v>44320</v>
      </c>
      <c r="J465" s="12" t="n">
        <v>39.57</v>
      </c>
      <c r="K465" s="17" t="n">
        <v>4984584.81</v>
      </c>
      <c r="L465" s="12" t="n">
        <v>1.65</v>
      </c>
      <c r="M465" s="12" t="n">
        <v>0</v>
      </c>
      <c r="N465" s="27">
        <f>F465-J465</f>
        <v/>
      </c>
      <c r="O465" s="16">
        <f>I465-H465</f>
        <v/>
      </c>
      <c r="P465" s="14">
        <f>F465*G465</f>
        <v/>
      </c>
      <c r="Q465" s="14">
        <f>J465*G465</f>
        <v/>
      </c>
      <c r="R465" s="14">
        <f>K465-Q465</f>
        <v/>
      </c>
      <c r="S465" s="3">
        <f>P465*Assumptions!$B$3/100</f>
        <v/>
      </c>
      <c r="T465" s="14">
        <f>R465-S465</f>
        <v/>
      </c>
      <c r="U465" s="14">
        <f>L465*G465</f>
        <v/>
      </c>
    </row>
    <row r="466">
      <c r="A466" s="12" t="inlineStr">
        <is>
          <t>PO-2021-0464</t>
        </is>
      </c>
      <c r="B466" s="26" t="n">
        <v>44338</v>
      </c>
      <c r="C466" s="12" t="inlineStr">
        <is>
          <t>VS30</t>
        </is>
      </c>
      <c r="D466" s="12" t="inlineStr">
        <is>
          <t>SS Sheets</t>
        </is>
      </c>
      <c r="E466" s="12" t="inlineStr">
        <is>
          <t>N</t>
        </is>
      </c>
      <c r="F466" s="12" t="n">
        <v>38.9</v>
      </c>
      <c r="G466" s="17" t="n">
        <v>68302.33</v>
      </c>
      <c r="H466" s="26" t="n">
        <v>44342</v>
      </c>
      <c r="I466" s="26" t="n">
        <v>44342</v>
      </c>
      <c r="J466" s="12" t="n">
        <v>38.81</v>
      </c>
      <c r="K466" s="17" t="n">
        <v>2656960.64</v>
      </c>
      <c r="L466" s="12" t="n">
        <v>0</v>
      </c>
      <c r="M466" s="12" t="n">
        <v>0</v>
      </c>
      <c r="N466" s="27">
        <f>F466-J466</f>
        <v/>
      </c>
      <c r="O466" s="16">
        <f>I466-H466</f>
        <v/>
      </c>
      <c r="P466" s="14">
        <f>F466*G466</f>
        <v/>
      </c>
      <c r="Q466" s="14">
        <f>J466*G466</f>
        <v/>
      </c>
      <c r="R466" s="14">
        <f>K466-Q466</f>
        <v/>
      </c>
      <c r="S466" s="3">
        <f>P466*Assumptions!$B$3/100</f>
        <v/>
      </c>
      <c r="T466" s="14">
        <f>R466-S466</f>
        <v/>
      </c>
      <c r="U466" s="14">
        <f>L466*G466</f>
        <v/>
      </c>
    </row>
    <row r="467">
      <c r="A467" s="12" t="inlineStr">
        <is>
          <t>PO-2021-0465</t>
        </is>
      </c>
      <c r="B467" s="26" t="n">
        <v>45132</v>
      </c>
      <c r="C467" s="12" t="inlineStr">
        <is>
          <t>VS01</t>
        </is>
      </c>
      <c r="D467" s="12" t="inlineStr">
        <is>
          <t>Angles &amp; Channels</t>
        </is>
      </c>
      <c r="E467" s="12" t="inlineStr">
        <is>
          <t>N</t>
        </is>
      </c>
      <c r="F467" s="12" t="n">
        <v>10.83</v>
      </c>
      <c r="G467" s="17" t="n">
        <v>87285.50999999999</v>
      </c>
      <c r="H467" s="26" t="n">
        <v>45139</v>
      </c>
      <c r="I467" s="26" t="n">
        <v>45142</v>
      </c>
      <c r="J467" s="12" t="n">
        <v>10.77</v>
      </c>
      <c r="K467" s="17" t="n">
        <v>945302.0699999999</v>
      </c>
      <c r="L467" s="12" t="n">
        <v>0</v>
      </c>
      <c r="M467" s="12" t="n">
        <v>0</v>
      </c>
      <c r="N467" s="27">
        <f>F467-J467</f>
        <v/>
      </c>
      <c r="O467" s="16">
        <f>I467-H467</f>
        <v/>
      </c>
      <c r="P467" s="14">
        <f>F467*G467</f>
        <v/>
      </c>
      <c r="Q467" s="14">
        <f>J467*G467</f>
        <v/>
      </c>
      <c r="R467" s="14">
        <f>K467-Q467</f>
        <v/>
      </c>
      <c r="S467" s="3">
        <f>P467*Assumptions!$B$3/100</f>
        <v/>
      </c>
      <c r="T467" s="14">
        <f>R467-S467</f>
        <v/>
      </c>
      <c r="U467" s="14">
        <f>L467*G467</f>
        <v/>
      </c>
    </row>
    <row r="468">
      <c r="A468" s="12" t="inlineStr">
        <is>
          <t>PO-2021-0466</t>
        </is>
      </c>
      <c r="B468" s="26" t="n">
        <v>44693</v>
      </c>
      <c r="C468" s="12" t="inlineStr">
        <is>
          <t>VS30</t>
        </is>
      </c>
      <c r="D468" s="12" t="inlineStr">
        <is>
          <t>Angles &amp; Channels</t>
        </is>
      </c>
      <c r="E468" s="12" t="inlineStr">
        <is>
          <t>N</t>
        </is>
      </c>
      <c r="F468" s="12" t="n">
        <v>29.99</v>
      </c>
      <c r="G468" s="17" t="n">
        <v>82002.05</v>
      </c>
      <c r="H468" s="26" t="n">
        <v>44708</v>
      </c>
      <c r="I468" s="26" t="n">
        <v>44709</v>
      </c>
      <c r="J468" s="12" t="n">
        <v>29.71</v>
      </c>
      <c r="K468" s="17" t="n">
        <v>2459241.48</v>
      </c>
      <c r="L468" s="12" t="n">
        <v>0</v>
      </c>
      <c r="M468" s="12" t="n">
        <v>0</v>
      </c>
      <c r="N468" s="27">
        <f>F468-J468</f>
        <v/>
      </c>
      <c r="O468" s="16">
        <f>I468-H468</f>
        <v/>
      </c>
      <c r="P468" s="14">
        <f>F468*G468</f>
        <v/>
      </c>
      <c r="Q468" s="14">
        <f>J468*G468</f>
        <v/>
      </c>
      <c r="R468" s="14">
        <f>K468-Q468</f>
        <v/>
      </c>
      <c r="S468" s="3">
        <f>P468*Assumptions!$B$3/100</f>
        <v/>
      </c>
      <c r="T468" s="14">
        <f>R468-S468</f>
        <v/>
      </c>
      <c r="U468" s="14">
        <f>L468*G468</f>
        <v/>
      </c>
    </row>
    <row r="469">
      <c r="A469" s="12" t="inlineStr">
        <is>
          <t>PO-2021-0467</t>
        </is>
      </c>
      <c r="B469" s="26" t="n">
        <v>44597</v>
      </c>
      <c r="C469" s="12" t="inlineStr">
        <is>
          <t>VS16</t>
        </is>
      </c>
      <c r="D469" s="12" t="inlineStr">
        <is>
          <t>Square/Rect Tubes</t>
        </is>
      </c>
      <c r="E469" s="12" t="inlineStr">
        <is>
          <t>N</t>
        </is>
      </c>
      <c r="F469" s="12" t="n">
        <v>1.31</v>
      </c>
      <c r="G469" s="17" t="n">
        <v>75752.71000000001</v>
      </c>
      <c r="H469" s="26" t="n">
        <v>44603</v>
      </c>
      <c r="I469" s="26" t="n">
        <v>44605</v>
      </c>
      <c r="J469" s="12" t="n">
        <v>1.3</v>
      </c>
      <c r="K469" s="17" t="n">
        <v>99236.05</v>
      </c>
      <c r="L469" s="12" t="n">
        <v>0</v>
      </c>
      <c r="M469" s="12" t="n">
        <v>0</v>
      </c>
      <c r="N469" s="27">
        <f>F469-J469</f>
        <v/>
      </c>
      <c r="O469" s="16">
        <f>I469-H469</f>
        <v/>
      </c>
      <c r="P469" s="14">
        <f>F469*G469</f>
        <v/>
      </c>
      <c r="Q469" s="14">
        <f>J469*G469</f>
        <v/>
      </c>
      <c r="R469" s="14">
        <f>K469-Q469</f>
        <v/>
      </c>
      <c r="S469" s="3">
        <f>P469*Assumptions!$B$3/100</f>
        <v/>
      </c>
      <c r="T469" s="14">
        <f>R469-S469</f>
        <v/>
      </c>
      <c r="U469" s="14">
        <f>L469*G469</f>
        <v/>
      </c>
    </row>
    <row r="470">
      <c r="A470" s="12" t="inlineStr">
        <is>
          <t>PO-2021-0468</t>
        </is>
      </c>
      <c r="B470" s="26" t="n">
        <v>44906</v>
      </c>
      <c r="C470" s="12" t="inlineStr">
        <is>
          <t>VS01</t>
        </is>
      </c>
      <c r="D470" s="12" t="inlineStr">
        <is>
          <t>MS Flats</t>
        </is>
      </c>
      <c r="E470" s="12" t="inlineStr">
        <is>
          <t>N</t>
        </is>
      </c>
      <c r="F470" s="12" t="n">
        <v>1.07</v>
      </c>
      <c r="G470" s="17" t="n">
        <v>94297.78999999999</v>
      </c>
      <c r="H470" s="26" t="n">
        <v>44920</v>
      </c>
      <c r="I470" s="26" t="n">
        <v>44923</v>
      </c>
      <c r="J470" s="12" t="n">
        <v>1.07</v>
      </c>
      <c r="K470" s="17" t="n">
        <v>100898.64</v>
      </c>
      <c r="L470" s="12" t="n">
        <v>0</v>
      </c>
      <c r="M470" s="12" t="n">
        <v>2</v>
      </c>
      <c r="N470" s="27">
        <f>F470-J470</f>
        <v/>
      </c>
      <c r="O470" s="16">
        <f>I470-H470</f>
        <v/>
      </c>
      <c r="P470" s="14">
        <f>F470*G470</f>
        <v/>
      </c>
      <c r="Q470" s="14">
        <f>J470*G470</f>
        <v/>
      </c>
      <c r="R470" s="14">
        <f>K470-Q470</f>
        <v/>
      </c>
      <c r="S470" s="3">
        <f>P470*Assumptions!$B$3/100</f>
        <v/>
      </c>
      <c r="T470" s="14">
        <f>R470-S470</f>
        <v/>
      </c>
      <c r="U470" s="14">
        <f>L470*G470</f>
        <v/>
      </c>
    </row>
    <row r="471">
      <c r="A471" s="12" t="inlineStr">
        <is>
          <t>PO-2021-0469</t>
        </is>
      </c>
      <c r="B471" s="26" t="n">
        <v>44826</v>
      </c>
      <c r="C471" s="12" t="inlineStr">
        <is>
          <t>VS07</t>
        </is>
      </c>
      <c r="D471" s="12" t="inlineStr">
        <is>
          <t>GI Sheets</t>
        </is>
      </c>
      <c r="E471" s="12" t="inlineStr">
        <is>
          <t>N</t>
        </is>
      </c>
      <c r="F471" s="12" t="n">
        <v>26.96</v>
      </c>
      <c r="G471" s="17" t="n">
        <v>62862.57</v>
      </c>
      <c r="H471" s="26" t="n">
        <v>44836</v>
      </c>
      <c r="I471" s="26" t="n">
        <v>44839</v>
      </c>
      <c r="J471" s="12" t="n">
        <v>26.92</v>
      </c>
      <c r="K471" s="17" t="n">
        <v>1694774.89</v>
      </c>
      <c r="L471" s="12" t="n">
        <v>0</v>
      </c>
      <c r="M471" s="12" t="n">
        <v>0</v>
      </c>
      <c r="N471" s="27">
        <f>F471-J471</f>
        <v/>
      </c>
      <c r="O471" s="16">
        <f>I471-H471</f>
        <v/>
      </c>
      <c r="P471" s="14">
        <f>F471*G471</f>
        <v/>
      </c>
      <c r="Q471" s="14">
        <f>J471*G471</f>
        <v/>
      </c>
      <c r="R471" s="14">
        <f>K471-Q471</f>
        <v/>
      </c>
      <c r="S471" s="3">
        <f>P471*Assumptions!$B$3/100</f>
        <v/>
      </c>
      <c r="T471" s="14">
        <f>R471-S471</f>
        <v/>
      </c>
      <c r="U471" s="14">
        <f>L471*G471</f>
        <v/>
      </c>
    </row>
    <row r="472">
      <c r="A472" s="12" t="inlineStr">
        <is>
          <t>PO-2021-0470</t>
        </is>
      </c>
      <c r="B472" s="26" t="n">
        <v>44319</v>
      </c>
      <c r="C472" s="12" t="inlineStr">
        <is>
          <t>VS10</t>
        </is>
      </c>
      <c r="D472" s="12" t="inlineStr">
        <is>
          <t>CR Sheets</t>
        </is>
      </c>
      <c r="E472" s="12" t="inlineStr">
        <is>
          <t>N</t>
        </is>
      </c>
      <c r="F472" s="12" t="n">
        <v>5.56</v>
      </c>
      <c r="G472" s="17" t="n">
        <v>114095.58</v>
      </c>
      <c r="H472" s="26" t="n">
        <v>44330</v>
      </c>
      <c r="I472" s="26" t="n">
        <v>44332</v>
      </c>
      <c r="J472" s="12" t="n">
        <v>5.54</v>
      </c>
      <c r="K472" s="17" t="n">
        <v>634371.42</v>
      </c>
      <c r="L472" s="12" t="n">
        <v>0</v>
      </c>
      <c r="M472" s="12" t="n">
        <v>0</v>
      </c>
      <c r="N472" s="27">
        <f>F472-J472</f>
        <v/>
      </c>
      <c r="O472" s="16">
        <f>I472-H472</f>
        <v/>
      </c>
      <c r="P472" s="14">
        <f>F472*G472</f>
        <v/>
      </c>
      <c r="Q472" s="14">
        <f>J472*G472</f>
        <v/>
      </c>
      <c r="R472" s="14">
        <f>K472-Q472</f>
        <v/>
      </c>
      <c r="S472" s="3">
        <f>P472*Assumptions!$B$3/100</f>
        <v/>
      </c>
      <c r="T472" s="14">
        <f>R472-S472</f>
        <v/>
      </c>
      <c r="U472" s="14">
        <f>L472*G472</f>
        <v/>
      </c>
    </row>
    <row r="473">
      <c r="A473" s="12" t="inlineStr">
        <is>
          <t>PO-2021-0471</t>
        </is>
      </c>
      <c r="B473" s="26" t="n">
        <v>45042</v>
      </c>
      <c r="C473" s="12" t="inlineStr">
        <is>
          <t>VS24</t>
        </is>
      </c>
      <c r="D473" s="12" t="inlineStr">
        <is>
          <t>Fasteners &amp; Fittings</t>
        </is>
      </c>
      <c r="E473" s="12" t="inlineStr">
        <is>
          <t>N</t>
        </is>
      </c>
      <c r="F473" s="12" t="n">
        <v>48.75</v>
      </c>
      <c r="G473" s="17" t="n">
        <v>51367.68</v>
      </c>
      <c r="H473" s="26" t="n">
        <v>45046</v>
      </c>
      <c r="I473" s="26" t="n">
        <v>45047</v>
      </c>
      <c r="J473" s="12" t="n">
        <v>48.32</v>
      </c>
      <c r="K473" s="17" t="n">
        <v>2504174.4</v>
      </c>
      <c r="L473" s="12" t="n">
        <v>0</v>
      </c>
      <c r="M473" s="12" t="n">
        <v>0</v>
      </c>
      <c r="N473" s="27">
        <f>F473-J473</f>
        <v/>
      </c>
      <c r="O473" s="16">
        <f>I473-H473</f>
        <v/>
      </c>
      <c r="P473" s="14">
        <f>F473*G473</f>
        <v/>
      </c>
      <c r="Q473" s="14">
        <f>J473*G473</f>
        <v/>
      </c>
      <c r="R473" s="14">
        <f>K473-Q473</f>
        <v/>
      </c>
      <c r="S473" s="3">
        <f>P473*Assumptions!$B$3/100</f>
        <v/>
      </c>
      <c r="T473" s="14">
        <f>R473-S473</f>
        <v/>
      </c>
      <c r="U473" s="14">
        <f>L473*G473</f>
        <v/>
      </c>
    </row>
    <row r="474">
      <c r="A474" s="12" t="inlineStr">
        <is>
          <t>PO-2021-0472</t>
        </is>
      </c>
      <c r="B474" s="26" t="n">
        <v>45232</v>
      </c>
      <c r="C474" s="12" t="inlineStr">
        <is>
          <t>VS09</t>
        </is>
      </c>
      <c r="D474" s="12" t="inlineStr">
        <is>
          <t>MS Rods</t>
        </is>
      </c>
      <c r="E474" s="12" t="inlineStr">
        <is>
          <t>N</t>
        </is>
      </c>
      <c r="F474" s="12" t="n">
        <v>4.67</v>
      </c>
      <c r="G474" s="17" t="n">
        <v>87586.55</v>
      </c>
      <c r="H474" s="26" t="n">
        <v>45241</v>
      </c>
      <c r="I474" s="26" t="n">
        <v>45242</v>
      </c>
      <c r="J474" s="12" t="n">
        <v>4.66</v>
      </c>
      <c r="K474" s="17" t="n">
        <v>409029.19</v>
      </c>
      <c r="L474" s="12" t="n">
        <v>0</v>
      </c>
      <c r="M474" s="12" t="n">
        <v>5</v>
      </c>
      <c r="N474" s="27">
        <f>F474-J474</f>
        <v/>
      </c>
      <c r="O474" s="16">
        <f>I474-H474</f>
        <v/>
      </c>
      <c r="P474" s="14">
        <f>F474*G474</f>
        <v/>
      </c>
      <c r="Q474" s="14">
        <f>J474*G474</f>
        <v/>
      </c>
      <c r="R474" s="14">
        <f>K474-Q474</f>
        <v/>
      </c>
      <c r="S474" s="3">
        <f>P474*Assumptions!$B$3/100</f>
        <v/>
      </c>
      <c r="T474" s="14">
        <f>R474-S474</f>
        <v/>
      </c>
      <c r="U474" s="14">
        <f>L474*G474</f>
        <v/>
      </c>
    </row>
    <row r="475">
      <c r="A475" s="12" t="inlineStr">
        <is>
          <t>PO-2021-0473</t>
        </is>
      </c>
      <c r="B475" s="26" t="n">
        <v>44464</v>
      </c>
      <c r="C475" s="12" t="inlineStr">
        <is>
          <t>VS16</t>
        </is>
      </c>
      <c r="D475" s="12" t="inlineStr">
        <is>
          <t>SS Sheets</t>
        </is>
      </c>
      <c r="E475" s="12" t="inlineStr">
        <is>
          <t>N</t>
        </is>
      </c>
      <c r="F475" s="12" t="n">
        <v>13.79</v>
      </c>
      <c r="G475" s="17" t="n">
        <v>68625.67</v>
      </c>
      <c r="H475" s="26" t="n">
        <v>44479</v>
      </c>
      <c r="I475" s="26" t="n">
        <v>44482</v>
      </c>
      <c r="J475" s="12" t="n">
        <v>13.68</v>
      </c>
      <c r="K475" s="17" t="n">
        <v>946347.99</v>
      </c>
      <c r="L475" s="12" t="n">
        <v>0</v>
      </c>
      <c r="M475" s="12" t="n">
        <v>0</v>
      </c>
      <c r="N475" s="27">
        <f>F475-J475</f>
        <v/>
      </c>
      <c r="O475" s="16">
        <f>I475-H475</f>
        <v/>
      </c>
      <c r="P475" s="14">
        <f>F475*G475</f>
        <v/>
      </c>
      <c r="Q475" s="14">
        <f>J475*G475</f>
        <v/>
      </c>
      <c r="R475" s="14">
        <f>K475-Q475</f>
        <v/>
      </c>
      <c r="S475" s="3">
        <f>P475*Assumptions!$B$3/100</f>
        <v/>
      </c>
      <c r="T475" s="14">
        <f>R475-S475</f>
        <v/>
      </c>
      <c r="U475" s="14">
        <f>L475*G475</f>
        <v/>
      </c>
    </row>
    <row r="476">
      <c r="A476" s="12" t="inlineStr">
        <is>
          <t>PO-2021-0474</t>
        </is>
      </c>
      <c r="B476" s="26" t="n">
        <v>45001</v>
      </c>
      <c r="C476" s="12" t="inlineStr">
        <is>
          <t>VS21</t>
        </is>
      </c>
      <c r="D476" s="12" t="inlineStr">
        <is>
          <t>MS Flats</t>
        </is>
      </c>
      <c r="E476" s="12" t="inlineStr">
        <is>
          <t>N</t>
        </is>
      </c>
      <c r="F476" s="12" t="n">
        <v>23.19</v>
      </c>
      <c r="G476" s="17" t="n">
        <v>62520.84</v>
      </c>
      <c r="H476" s="26" t="n">
        <v>45007</v>
      </c>
      <c r="I476" s="26" t="n">
        <v>45010</v>
      </c>
      <c r="J476" s="12" t="n">
        <v>23.15</v>
      </c>
      <c r="K476" s="17" t="n">
        <v>1449858.28</v>
      </c>
      <c r="L476" s="12" t="n">
        <v>0</v>
      </c>
      <c r="M476" s="12" t="n">
        <v>0</v>
      </c>
      <c r="N476" s="27">
        <f>F476-J476</f>
        <v/>
      </c>
      <c r="O476" s="16">
        <f>I476-H476</f>
        <v/>
      </c>
      <c r="P476" s="14">
        <f>F476*G476</f>
        <v/>
      </c>
      <c r="Q476" s="14">
        <f>J476*G476</f>
        <v/>
      </c>
      <c r="R476" s="14">
        <f>K476-Q476</f>
        <v/>
      </c>
      <c r="S476" s="3">
        <f>P476*Assumptions!$B$3/100</f>
        <v/>
      </c>
      <c r="T476" s="14">
        <f>R476-S476</f>
        <v/>
      </c>
      <c r="U476" s="14">
        <f>L476*G476</f>
        <v/>
      </c>
    </row>
    <row r="477">
      <c r="A477" s="12" t="inlineStr">
        <is>
          <t>PO-2021-0475</t>
        </is>
      </c>
      <c r="B477" s="26" t="n">
        <v>44475</v>
      </c>
      <c r="C477" s="12" t="inlineStr">
        <is>
          <t>VS07</t>
        </is>
      </c>
      <c r="D477" s="12" t="inlineStr">
        <is>
          <t>Square/Rect Tubes</t>
        </is>
      </c>
      <c r="E477" s="12" t="inlineStr">
        <is>
          <t>N</t>
        </is>
      </c>
      <c r="F477" s="12" t="n">
        <v>6.18</v>
      </c>
      <c r="G477" s="17" t="n">
        <v>78717.50999999999</v>
      </c>
      <c r="H477" s="26" t="n">
        <v>44483</v>
      </c>
      <c r="I477" s="26" t="n">
        <v>44486</v>
      </c>
      <c r="J477" s="12" t="n">
        <v>6.14</v>
      </c>
      <c r="K477" s="17" t="n">
        <v>486474.21</v>
      </c>
      <c r="L477" s="12" t="n">
        <v>0</v>
      </c>
      <c r="M477" s="12" t="n">
        <v>0</v>
      </c>
      <c r="N477" s="27">
        <f>F477-J477</f>
        <v/>
      </c>
      <c r="O477" s="16">
        <f>I477-H477</f>
        <v/>
      </c>
      <c r="P477" s="14">
        <f>F477*G477</f>
        <v/>
      </c>
      <c r="Q477" s="14">
        <f>J477*G477</f>
        <v/>
      </c>
      <c r="R477" s="14">
        <f>K477-Q477</f>
        <v/>
      </c>
      <c r="S477" s="3">
        <f>P477*Assumptions!$B$3/100</f>
        <v/>
      </c>
      <c r="T477" s="14">
        <f>R477-S477</f>
        <v/>
      </c>
      <c r="U477" s="14">
        <f>L477*G477</f>
        <v/>
      </c>
    </row>
    <row r="478">
      <c r="A478" s="12" t="inlineStr">
        <is>
          <t>PO-2021-0476</t>
        </is>
      </c>
      <c r="B478" s="26" t="n">
        <v>45029</v>
      </c>
      <c r="C478" s="12" t="inlineStr">
        <is>
          <t>VS08</t>
        </is>
      </c>
      <c r="D478" s="12" t="inlineStr">
        <is>
          <t>Spring Steel</t>
        </is>
      </c>
      <c r="E478" s="12" t="inlineStr">
        <is>
          <t>N</t>
        </is>
      </c>
      <c r="F478" s="12" t="n">
        <v>18.56</v>
      </c>
      <c r="G478" s="17" t="n">
        <v>102775.26</v>
      </c>
      <c r="H478" s="26" t="n">
        <v>45039</v>
      </c>
      <c r="I478" s="26" t="n">
        <v>45040</v>
      </c>
      <c r="J478" s="12" t="n">
        <v>18.53</v>
      </c>
      <c r="K478" s="17" t="n">
        <v>1907508.83</v>
      </c>
      <c r="L478" s="12" t="n">
        <v>0</v>
      </c>
      <c r="M478" s="12" t="n">
        <v>10</v>
      </c>
      <c r="N478" s="27">
        <f>F478-J478</f>
        <v/>
      </c>
      <c r="O478" s="16">
        <f>I478-H478</f>
        <v/>
      </c>
      <c r="P478" s="14">
        <f>F478*G478</f>
        <v/>
      </c>
      <c r="Q478" s="14">
        <f>J478*G478</f>
        <v/>
      </c>
      <c r="R478" s="14">
        <f>K478-Q478</f>
        <v/>
      </c>
      <c r="S478" s="3">
        <f>P478*Assumptions!$B$3/100</f>
        <v/>
      </c>
      <c r="T478" s="14">
        <f>R478-S478</f>
        <v/>
      </c>
      <c r="U478" s="14">
        <f>L478*G478</f>
        <v/>
      </c>
    </row>
    <row r="479">
      <c r="A479" s="12" t="inlineStr">
        <is>
          <t>PO-2021-0477</t>
        </is>
      </c>
      <c r="B479" s="26" t="n">
        <v>44828</v>
      </c>
      <c r="C479" s="12" t="inlineStr">
        <is>
          <t>VS30</t>
        </is>
      </c>
      <c r="D479" s="12" t="inlineStr">
        <is>
          <t>CR Sheets</t>
        </is>
      </c>
      <c r="E479" s="12" t="inlineStr">
        <is>
          <t>N</t>
        </is>
      </c>
      <c r="F479" s="12" t="n">
        <v>42.77</v>
      </c>
      <c r="G479" s="17" t="n">
        <v>51781.57</v>
      </c>
      <c r="H479" s="26" t="n">
        <v>44843</v>
      </c>
      <c r="I479" s="26" t="n">
        <v>44844</v>
      </c>
      <c r="J479" s="12" t="n">
        <v>42.52</v>
      </c>
      <c r="K479" s="17" t="n">
        <v>2214697.75</v>
      </c>
      <c r="L479" s="12" t="n">
        <v>0</v>
      </c>
      <c r="M479" s="12" t="n">
        <v>19</v>
      </c>
      <c r="N479" s="27">
        <f>F479-J479</f>
        <v/>
      </c>
      <c r="O479" s="16">
        <f>I479-H479</f>
        <v/>
      </c>
      <c r="P479" s="14">
        <f>F479*G479</f>
        <v/>
      </c>
      <c r="Q479" s="14">
        <f>J479*G479</f>
        <v/>
      </c>
      <c r="R479" s="14">
        <f>K479-Q479</f>
        <v/>
      </c>
      <c r="S479" s="3">
        <f>P479*Assumptions!$B$3/100</f>
        <v/>
      </c>
      <c r="T479" s="14">
        <f>R479-S479</f>
        <v/>
      </c>
      <c r="U479" s="14">
        <f>L479*G479</f>
        <v/>
      </c>
    </row>
    <row r="480">
      <c r="A480" s="12" t="inlineStr">
        <is>
          <t>PO-2021-0478</t>
        </is>
      </c>
      <c r="B480" s="26" t="n">
        <v>44820</v>
      </c>
      <c r="C480" s="12" t="inlineStr">
        <is>
          <t>VS03</t>
        </is>
      </c>
      <c r="D480" s="12" t="inlineStr">
        <is>
          <t>GI Sheets</t>
        </is>
      </c>
      <c r="E480" s="12" t="inlineStr">
        <is>
          <t>N</t>
        </is>
      </c>
      <c r="F480" s="12" t="n">
        <v>41.96</v>
      </c>
      <c r="G480" s="17" t="n">
        <v>72367.91</v>
      </c>
      <c r="H480" s="26" t="n">
        <v>44824</v>
      </c>
      <c r="I480" s="26" t="n">
        <v>44830</v>
      </c>
      <c r="J480" s="12" t="n">
        <v>40.16</v>
      </c>
      <c r="K480" s="17" t="n">
        <v>3036557.5</v>
      </c>
      <c r="L480" s="12" t="n">
        <v>1.02</v>
      </c>
      <c r="M480" s="12" t="n">
        <v>17</v>
      </c>
      <c r="N480" s="27">
        <f>F480-J480</f>
        <v/>
      </c>
      <c r="O480" s="16">
        <f>I480-H480</f>
        <v/>
      </c>
      <c r="P480" s="14">
        <f>F480*G480</f>
        <v/>
      </c>
      <c r="Q480" s="14">
        <f>J480*G480</f>
        <v/>
      </c>
      <c r="R480" s="14">
        <f>K480-Q480</f>
        <v/>
      </c>
      <c r="S480" s="3">
        <f>P480*Assumptions!$B$3/100</f>
        <v/>
      </c>
      <c r="T480" s="14">
        <f>R480-S480</f>
        <v/>
      </c>
      <c r="U480" s="14">
        <f>L480*G480</f>
        <v/>
      </c>
    </row>
    <row r="481">
      <c r="A481" s="12" t="inlineStr">
        <is>
          <t>PO-2021-0479</t>
        </is>
      </c>
      <c r="B481" s="26" t="n">
        <v>44705</v>
      </c>
      <c r="C481" s="12" t="inlineStr">
        <is>
          <t>VS23</t>
        </is>
      </c>
      <c r="D481" s="12" t="inlineStr">
        <is>
          <t>MS Rods</t>
        </is>
      </c>
      <c r="E481" s="12" t="inlineStr">
        <is>
          <t>N</t>
        </is>
      </c>
      <c r="F481" s="12" t="n">
        <v>26.16</v>
      </c>
      <c r="G481" s="17" t="n">
        <v>95788.75</v>
      </c>
      <c r="H481" s="26" t="n">
        <v>44712</v>
      </c>
      <c r="I481" s="26" t="n">
        <v>44712</v>
      </c>
      <c r="J481" s="12" t="n">
        <v>26.01</v>
      </c>
      <c r="K481" s="17" t="n">
        <v>2505833.7</v>
      </c>
      <c r="L481" s="12" t="n">
        <v>0</v>
      </c>
      <c r="M481" s="12" t="n">
        <v>0</v>
      </c>
      <c r="N481" s="27">
        <f>F481-J481</f>
        <v/>
      </c>
      <c r="O481" s="16">
        <f>I481-H481</f>
        <v/>
      </c>
      <c r="P481" s="14">
        <f>F481*G481</f>
        <v/>
      </c>
      <c r="Q481" s="14">
        <f>J481*G481</f>
        <v/>
      </c>
      <c r="R481" s="14">
        <f>K481-Q481</f>
        <v/>
      </c>
      <c r="S481" s="3">
        <f>P481*Assumptions!$B$3/100</f>
        <v/>
      </c>
      <c r="T481" s="14">
        <f>R481-S481</f>
        <v/>
      </c>
      <c r="U481" s="14">
        <f>L481*G481</f>
        <v/>
      </c>
    </row>
    <row r="482">
      <c r="A482" s="12" t="inlineStr">
        <is>
          <t>PO-2021-0480</t>
        </is>
      </c>
      <c r="B482" s="26" t="n">
        <v>44553</v>
      </c>
      <c r="C482" s="12" t="inlineStr">
        <is>
          <t>VS02</t>
        </is>
      </c>
      <c r="D482" s="12" t="inlineStr">
        <is>
          <t>MS Rods</t>
        </is>
      </c>
      <c r="E482" s="12" t="inlineStr">
        <is>
          <t>N</t>
        </is>
      </c>
      <c r="F482" s="12" t="n">
        <v>42.88</v>
      </c>
      <c r="G482" s="17" t="n">
        <v>86696.53</v>
      </c>
      <c r="H482" s="26" t="n">
        <v>44564</v>
      </c>
      <c r="I482" s="26" t="n">
        <v>44567</v>
      </c>
      <c r="J482" s="12" t="n">
        <v>42.57</v>
      </c>
      <c r="K482" s="17" t="n">
        <v>3717547.21</v>
      </c>
      <c r="L482" s="12" t="n">
        <v>0</v>
      </c>
      <c r="M482" s="12" t="n">
        <v>22</v>
      </c>
      <c r="N482" s="27">
        <f>F482-J482</f>
        <v/>
      </c>
      <c r="O482" s="16">
        <f>I482-H482</f>
        <v/>
      </c>
      <c r="P482" s="14">
        <f>F482*G482</f>
        <v/>
      </c>
      <c r="Q482" s="14">
        <f>J482*G482</f>
        <v/>
      </c>
      <c r="R482" s="14">
        <f>K482-Q482</f>
        <v/>
      </c>
      <c r="S482" s="3">
        <f>P482*Assumptions!$B$3/100</f>
        <v/>
      </c>
      <c r="T482" s="14">
        <f>R482-S482</f>
        <v/>
      </c>
      <c r="U482" s="14">
        <f>L482*G482</f>
        <v/>
      </c>
    </row>
    <row r="483">
      <c r="A483" s="12" t="inlineStr">
        <is>
          <t>PO-2021-0481</t>
        </is>
      </c>
      <c r="B483" s="26" t="n">
        <v>44708</v>
      </c>
      <c r="C483" s="12" t="inlineStr">
        <is>
          <t>VS07</t>
        </is>
      </c>
      <c r="D483" s="12" t="inlineStr">
        <is>
          <t>Fasteners &amp; Fittings</t>
        </is>
      </c>
      <c r="E483" s="12" t="inlineStr">
        <is>
          <t>Y</t>
        </is>
      </c>
      <c r="F483" s="12" t="n">
        <v>5.99</v>
      </c>
      <c r="G483" s="17" t="n">
        <v>104535.73</v>
      </c>
      <c r="H483" s="26" t="n">
        <v>44712</v>
      </c>
      <c r="I483" s="26" t="n">
        <v>44713</v>
      </c>
      <c r="J483" s="12" t="n">
        <v>5.94</v>
      </c>
      <c r="K483" s="17" t="n">
        <v>626169.02</v>
      </c>
      <c r="L483" s="12" t="n">
        <v>0</v>
      </c>
      <c r="M483" s="12" t="n">
        <v>0</v>
      </c>
      <c r="N483" s="27">
        <f>F483-J483</f>
        <v/>
      </c>
      <c r="O483" s="16">
        <f>I483-H483</f>
        <v/>
      </c>
      <c r="P483" s="14">
        <f>F483*G483</f>
        <v/>
      </c>
      <c r="Q483" s="14">
        <f>J483*G483</f>
        <v/>
      </c>
      <c r="R483" s="14">
        <f>K483-Q483</f>
        <v/>
      </c>
      <c r="S483" s="3">
        <f>P483*Assumptions!$B$3/100</f>
        <v/>
      </c>
      <c r="T483" s="14">
        <f>R483-S483</f>
        <v/>
      </c>
      <c r="U483" s="14">
        <f>L483*G483</f>
        <v/>
      </c>
    </row>
    <row r="484">
      <c r="A484" s="12" t="inlineStr">
        <is>
          <t>PO-2021-0482</t>
        </is>
      </c>
      <c r="B484" s="26" t="n">
        <v>44221</v>
      </c>
      <c r="C484" s="12" t="inlineStr">
        <is>
          <t>VS04</t>
        </is>
      </c>
      <c r="D484" s="12" t="inlineStr">
        <is>
          <t>HR Coils</t>
        </is>
      </c>
      <c r="E484" s="12" t="inlineStr">
        <is>
          <t>Y</t>
        </is>
      </c>
      <c r="F484" s="12" t="n">
        <v>7.41</v>
      </c>
      <c r="G484" s="17" t="n">
        <v>106775.51</v>
      </c>
      <c r="H484" s="26" t="n">
        <v>44229</v>
      </c>
      <c r="I484" s="26" t="n">
        <v>44229</v>
      </c>
      <c r="J484" s="12" t="n">
        <v>7.39</v>
      </c>
      <c r="K484" s="17" t="n">
        <v>791206.53</v>
      </c>
      <c r="L484" s="12" t="n">
        <v>0</v>
      </c>
      <c r="M484" s="12" t="n">
        <v>0</v>
      </c>
      <c r="N484" s="27">
        <f>F484-J484</f>
        <v/>
      </c>
      <c r="O484" s="16">
        <f>I484-H484</f>
        <v/>
      </c>
      <c r="P484" s="14">
        <f>F484*G484</f>
        <v/>
      </c>
      <c r="Q484" s="14">
        <f>J484*G484</f>
        <v/>
      </c>
      <c r="R484" s="14">
        <f>K484-Q484</f>
        <v/>
      </c>
      <c r="S484" s="3">
        <f>P484*Assumptions!$B$3/100</f>
        <v/>
      </c>
      <c r="T484" s="14">
        <f>R484-S484</f>
        <v/>
      </c>
      <c r="U484" s="14">
        <f>L484*G484</f>
        <v/>
      </c>
    </row>
    <row r="485">
      <c r="A485" s="12" t="inlineStr">
        <is>
          <t>PO-2021-0483</t>
        </is>
      </c>
      <c r="B485" s="26" t="n">
        <v>44369</v>
      </c>
      <c r="C485" s="12" t="inlineStr">
        <is>
          <t>VS17</t>
        </is>
      </c>
      <c r="D485" s="12" t="inlineStr">
        <is>
          <t>SS Pipes</t>
        </is>
      </c>
      <c r="E485" s="12" t="inlineStr">
        <is>
          <t>N</t>
        </is>
      </c>
      <c r="F485" s="12" t="n">
        <v>2.07</v>
      </c>
      <c r="G485" s="17" t="n">
        <v>49835.4</v>
      </c>
      <c r="H485" s="26" t="n">
        <v>44382</v>
      </c>
      <c r="I485" s="26" t="n">
        <v>44383</v>
      </c>
      <c r="J485" s="12" t="n">
        <v>2.06</v>
      </c>
      <c r="K485" s="17" t="n">
        <v>103159.28</v>
      </c>
      <c r="L485" s="12" t="n">
        <v>0</v>
      </c>
      <c r="M485" s="12" t="n">
        <v>4</v>
      </c>
      <c r="N485" s="27">
        <f>F485-J485</f>
        <v/>
      </c>
      <c r="O485" s="16">
        <f>I485-H485</f>
        <v/>
      </c>
      <c r="P485" s="14">
        <f>F485*G485</f>
        <v/>
      </c>
      <c r="Q485" s="14">
        <f>J485*G485</f>
        <v/>
      </c>
      <c r="R485" s="14">
        <f>K485-Q485</f>
        <v/>
      </c>
      <c r="S485" s="3">
        <f>P485*Assumptions!$B$3/100</f>
        <v/>
      </c>
      <c r="T485" s="14">
        <f>R485-S485</f>
        <v/>
      </c>
      <c r="U485" s="14">
        <f>L485*G485</f>
        <v/>
      </c>
    </row>
    <row r="486">
      <c r="A486" s="12" t="inlineStr">
        <is>
          <t>PO-2021-0484</t>
        </is>
      </c>
      <c r="B486" s="26" t="n">
        <v>45105</v>
      </c>
      <c r="C486" s="12" t="inlineStr">
        <is>
          <t>VS09</t>
        </is>
      </c>
      <c r="D486" s="12" t="inlineStr">
        <is>
          <t>SS Pipes</t>
        </is>
      </c>
      <c r="E486" s="12" t="inlineStr">
        <is>
          <t>Y</t>
        </is>
      </c>
      <c r="F486" s="12" t="n">
        <v>45.35</v>
      </c>
      <c r="G486" s="17" t="n">
        <v>107201.71</v>
      </c>
      <c r="H486" s="26" t="n">
        <v>45113</v>
      </c>
      <c r="I486" s="26" t="n">
        <v>45114</v>
      </c>
      <c r="J486" s="12" t="n">
        <v>45.25</v>
      </c>
      <c r="K486" s="17" t="n">
        <v>4861597.55</v>
      </c>
      <c r="L486" s="12" t="n">
        <v>0</v>
      </c>
      <c r="M486" s="12" t="n">
        <v>0</v>
      </c>
      <c r="N486" s="27">
        <f>F486-J486</f>
        <v/>
      </c>
      <c r="O486" s="16">
        <f>I486-H486</f>
        <v/>
      </c>
      <c r="P486" s="14">
        <f>F486*G486</f>
        <v/>
      </c>
      <c r="Q486" s="14">
        <f>J486*G486</f>
        <v/>
      </c>
      <c r="R486" s="14">
        <f>K486-Q486</f>
        <v/>
      </c>
      <c r="S486" s="3">
        <f>P486*Assumptions!$B$3/100</f>
        <v/>
      </c>
      <c r="T486" s="14">
        <f>R486-S486</f>
        <v/>
      </c>
      <c r="U486" s="14">
        <f>L486*G486</f>
        <v/>
      </c>
    </row>
    <row r="487">
      <c r="A487" s="12" t="inlineStr">
        <is>
          <t>PO-2021-0485</t>
        </is>
      </c>
      <c r="B487" s="26" t="n">
        <v>44447</v>
      </c>
      <c r="C487" s="12" t="inlineStr">
        <is>
          <t>VS03</t>
        </is>
      </c>
      <c r="D487" s="12" t="inlineStr">
        <is>
          <t>Fasteners &amp; Fittings</t>
        </is>
      </c>
      <c r="E487" s="12" t="inlineStr">
        <is>
          <t>N</t>
        </is>
      </c>
      <c r="F487" s="12" t="n">
        <v>3.48</v>
      </c>
      <c r="G487" s="17" t="n">
        <v>118882.27</v>
      </c>
      <c r="H487" s="26" t="n">
        <v>44456</v>
      </c>
      <c r="I487" s="26" t="n">
        <v>44463</v>
      </c>
      <c r="J487" s="12" t="n">
        <v>3.39</v>
      </c>
      <c r="K487" s="17" t="n">
        <v>413710.3</v>
      </c>
      <c r="L487" s="12" t="n">
        <v>0.14</v>
      </c>
      <c r="M487" s="12" t="n">
        <v>24</v>
      </c>
      <c r="N487" s="27">
        <f>F487-J487</f>
        <v/>
      </c>
      <c r="O487" s="16">
        <f>I487-H487</f>
        <v/>
      </c>
      <c r="P487" s="14">
        <f>F487*G487</f>
        <v/>
      </c>
      <c r="Q487" s="14">
        <f>J487*G487</f>
        <v/>
      </c>
      <c r="R487" s="14">
        <f>K487-Q487</f>
        <v/>
      </c>
      <c r="S487" s="3">
        <f>P487*Assumptions!$B$3/100</f>
        <v/>
      </c>
      <c r="T487" s="14">
        <f>R487-S487</f>
        <v/>
      </c>
      <c r="U487" s="14">
        <f>L487*G487</f>
        <v/>
      </c>
    </row>
    <row r="488">
      <c r="A488" s="12" t="inlineStr">
        <is>
          <t>PO-2021-0486</t>
        </is>
      </c>
      <c r="B488" s="26" t="n">
        <v>45005</v>
      </c>
      <c r="C488" s="12" t="inlineStr">
        <is>
          <t>VS32</t>
        </is>
      </c>
      <c r="D488" s="12" t="inlineStr">
        <is>
          <t>MS Pipes</t>
        </is>
      </c>
      <c r="E488" s="12" t="inlineStr">
        <is>
          <t>N</t>
        </is>
      </c>
      <c r="F488" s="12" t="n">
        <v>19.75</v>
      </c>
      <c r="G488" s="17" t="n">
        <v>76999.8</v>
      </c>
      <c r="H488" s="26" t="n">
        <v>45013</v>
      </c>
      <c r="I488" s="26" t="n">
        <v>45014</v>
      </c>
      <c r="J488" s="12" t="n">
        <v>19.63</v>
      </c>
      <c r="K488" s="17" t="n">
        <v>1520746.05</v>
      </c>
      <c r="L488" s="12" t="n">
        <v>0</v>
      </c>
      <c r="M488" s="12" t="n">
        <v>0</v>
      </c>
      <c r="N488" s="27">
        <f>F488-J488</f>
        <v/>
      </c>
      <c r="O488" s="16">
        <f>I488-H488</f>
        <v/>
      </c>
      <c r="P488" s="14">
        <f>F488*G488</f>
        <v/>
      </c>
      <c r="Q488" s="14">
        <f>J488*G488</f>
        <v/>
      </c>
      <c r="R488" s="14">
        <f>K488-Q488</f>
        <v/>
      </c>
      <c r="S488" s="3">
        <f>P488*Assumptions!$B$3/100</f>
        <v/>
      </c>
      <c r="T488" s="14">
        <f>R488-S488</f>
        <v/>
      </c>
      <c r="U488" s="14">
        <f>L488*G488</f>
        <v/>
      </c>
    </row>
    <row r="489">
      <c r="A489" s="12" t="inlineStr">
        <is>
          <t>PO-2021-0487</t>
        </is>
      </c>
      <c r="B489" s="26" t="n">
        <v>44636</v>
      </c>
      <c r="C489" s="12" t="inlineStr">
        <is>
          <t>VS12</t>
        </is>
      </c>
      <c r="D489" s="12" t="inlineStr">
        <is>
          <t>CR Sheets</t>
        </is>
      </c>
      <c r="E489" s="12" t="inlineStr">
        <is>
          <t>N</t>
        </is>
      </c>
      <c r="F489" s="12" t="n">
        <v>14.71</v>
      </c>
      <c r="G489" s="17" t="n">
        <v>115707.06</v>
      </c>
      <c r="H489" s="26" t="n">
        <v>44639</v>
      </c>
      <c r="I489" s="26" t="n">
        <v>44644</v>
      </c>
      <c r="J489" s="12" t="n">
        <v>14.23</v>
      </c>
      <c r="K489" s="17" t="n">
        <v>1702050.85</v>
      </c>
      <c r="L489" s="12" t="n">
        <v>0.43</v>
      </c>
      <c r="M489" s="12" t="n">
        <v>0</v>
      </c>
      <c r="N489" s="27">
        <f>F489-J489</f>
        <v/>
      </c>
      <c r="O489" s="16">
        <f>I489-H489</f>
        <v/>
      </c>
      <c r="P489" s="14">
        <f>F489*G489</f>
        <v/>
      </c>
      <c r="Q489" s="14">
        <f>J489*G489</f>
        <v/>
      </c>
      <c r="R489" s="14">
        <f>K489-Q489</f>
        <v/>
      </c>
      <c r="S489" s="3">
        <f>P489*Assumptions!$B$3/100</f>
        <v/>
      </c>
      <c r="T489" s="14">
        <f>R489-S489</f>
        <v/>
      </c>
      <c r="U489" s="14">
        <f>L489*G489</f>
        <v/>
      </c>
    </row>
    <row r="490">
      <c r="A490" s="12" t="inlineStr">
        <is>
          <t>PO-2021-0488</t>
        </is>
      </c>
      <c r="B490" s="26" t="n">
        <v>44700</v>
      </c>
      <c r="C490" s="12" t="inlineStr">
        <is>
          <t>VS19</t>
        </is>
      </c>
      <c r="D490" s="12" t="inlineStr">
        <is>
          <t>Structural Steel</t>
        </is>
      </c>
      <c r="E490" s="12" t="inlineStr">
        <is>
          <t>N</t>
        </is>
      </c>
      <c r="F490" s="12" t="n">
        <v>21.19</v>
      </c>
      <c r="G490" s="17" t="n">
        <v>89753.72</v>
      </c>
      <c r="H490" s="26" t="n">
        <v>44703</v>
      </c>
      <c r="I490" s="26" t="n">
        <v>44711</v>
      </c>
      <c r="J490" s="12" t="n">
        <v>20.68</v>
      </c>
      <c r="K490" s="17" t="n">
        <v>1901881.33</v>
      </c>
      <c r="L490" s="12" t="n">
        <v>0.97</v>
      </c>
      <c r="M490" s="12" t="n">
        <v>0</v>
      </c>
      <c r="N490" s="27">
        <f>F490-J490</f>
        <v/>
      </c>
      <c r="O490" s="16">
        <f>I490-H490</f>
        <v/>
      </c>
      <c r="P490" s="14">
        <f>F490*G490</f>
        <v/>
      </c>
      <c r="Q490" s="14">
        <f>J490*G490</f>
        <v/>
      </c>
      <c r="R490" s="14">
        <f>K490-Q490</f>
        <v/>
      </c>
      <c r="S490" s="3">
        <f>P490*Assumptions!$B$3/100</f>
        <v/>
      </c>
      <c r="T490" s="14">
        <f>R490-S490</f>
        <v/>
      </c>
      <c r="U490" s="14">
        <f>L490*G490</f>
        <v/>
      </c>
    </row>
    <row r="491">
      <c r="A491" s="12" t="inlineStr">
        <is>
          <t>PO-2021-0489</t>
        </is>
      </c>
      <c r="B491" s="26" t="n">
        <v>44376</v>
      </c>
      <c r="C491" s="12" t="inlineStr">
        <is>
          <t>VS18</t>
        </is>
      </c>
      <c r="D491" s="12" t="inlineStr">
        <is>
          <t>MS Rods</t>
        </is>
      </c>
      <c r="E491" s="12" t="inlineStr">
        <is>
          <t>Y</t>
        </is>
      </c>
      <c r="F491" s="12" t="n">
        <v>7.72</v>
      </c>
      <c r="G491" s="17" t="n">
        <v>59959.34</v>
      </c>
      <c r="H491" s="26" t="n">
        <v>44391</v>
      </c>
      <c r="I491" s="26" t="n">
        <v>44392</v>
      </c>
      <c r="J491" s="12" t="n">
        <v>7.71</v>
      </c>
      <c r="K491" s="17" t="n">
        <v>462886.1</v>
      </c>
      <c r="L491" s="12" t="n">
        <v>0</v>
      </c>
      <c r="M491" s="12" t="n">
        <v>9</v>
      </c>
      <c r="N491" s="27">
        <f>F491-J491</f>
        <v/>
      </c>
      <c r="O491" s="16">
        <f>I491-H491</f>
        <v/>
      </c>
      <c r="P491" s="14">
        <f>F491*G491</f>
        <v/>
      </c>
      <c r="Q491" s="14">
        <f>J491*G491</f>
        <v/>
      </c>
      <c r="R491" s="14">
        <f>K491-Q491</f>
        <v/>
      </c>
      <c r="S491" s="3">
        <f>P491*Assumptions!$B$3/100</f>
        <v/>
      </c>
      <c r="T491" s="14">
        <f>R491-S491</f>
        <v/>
      </c>
      <c r="U491" s="14">
        <f>L491*G491</f>
        <v/>
      </c>
    </row>
    <row r="492">
      <c r="A492" s="12" t="inlineStr">
        <is>
          <t>PO-2021-0490</t>
        </is>
      </c>
      <c r="B492" s="26" t="n">
        <v>45273</v>
      </c>
      <c r="C492" s="12" t="inlineStr">
        <is>
          <t>VS16</t>
        </is>
      </c>
      <c r="D492" s="12" t="inlineStr">
        <is>
          <t>Spring Steel</t>
        </is>
      </c>
      <c r="E492" s="12" t="inlineStr">
        <is>
          <t>N</t>
        </is>
      </c>
      <c r="F492" s="12" t="n">
        <v>39.95</v>
      </c>
      <c r="G492" s="17" t="n">
        <v>119205.27</v>
      </c>
      <c r="H492" s="26" t="n">
        <v>45288</v>
      </c>
      <c r="I492" s="26" t="n">
        <v>45290</v>
      </c>
      <c r="J492" s="12" t="n">
        <v>39.65</v>
      </c>
      <c r="K492" s="17" t="n">
        <v>4762250.54</v>
      </c>
      <c r="L492" s="12" t="n">
        <v>0</v>
      </c>
      <c r="M492" s="12" t="n">
        <v>11</v>
      </c>
      <c r="N492" s="27">
        <f>F492-J492</f>
        <v/>
      </c>
      <c r="O492" s="16">
        <f>I492-H492</f>
        <v/>
      </c>
      <c r="P492" s="14">
        <f>F492*G492</f>
        <v/>
      </c>
      <c r="Q492" s="14">
        <f>J492*G492</f>
        <v/>
      </c>
      <c r="R492" s="14">
        <f>K492-Q492</f>
        <v/>
      </c>
      <c r="S492" s="3">
        <f>P492*Assumptions!$B$3/100</f>
        <v/>
      </c>
      <c r="T492" s="14">
        <f>R492-S492</f>
        <v/>
      </c>
      <c r="U492" s="14">
        <f>L492*G492</f>
        <v/>
      </c>
    </row>
    <row r="493">
      <c r="A493" s="12" t="inlineStr">
        <is>
          <t>PO-2021-0491</t>
        </is>
      </c>
      <c r="B493" s="26" t="n">
        <v>44932</v>
      </c>
      <c r="C493" s="12" t="inlineStr">
        <is>
          <t>VS31</t>
        </is>
      </c>
      <c r="D493" s="12" t="inlineStr">
        <is>
          <t>Spring Steel</t>
        </is>
      </c>
      <c r="E493" s="12" t="inlineStr">
        <is>
          <t>N</t>
        </is>
      </c>
      <c r="F493" s="12" t="n">
        <v>39.29</v>
      </c>
      <c r="G493" s="17" t="n">
        <v>70802.56</v>
      </c>
      <c r="H493" s="26" t="n">
        <v>44944</v>
      </c>
      <c r="I493" s="26" t="n">
        <v>44946</v>
      </c>
      <c r="J493" s="12" t="n">
        <v>39.2</v>
      </c>
      <c r="K493" s="17" t="n">
        <v>2781832.58</v>
      </c>
      <c r="L493" s="12" t="n">
        <v>0</v>
      </c>
      <c r="M493" s="12" t="n">
        <v>15</v>
      </c>
      <c r="N493" s="27">
        <f>F493-J493</f>
        <v/>
      </c>
      <c r="O493" s="16">
        <f>I493-H493</f>
        <v/>
      </c>
      <c r="P493" s="14">
        <f>F493*G493</f>
        <v/>
      </c>
      <c r="Q493" s="14">
        <f>J493*G493</f>
        <v/>
      </c>
      <c r="R493" s="14">
        <f>K493-Q493</f>
        <v/>
      </c>
      <c r="S493" s="3">
        <f>P493*Assumptions!$B$3/100</f>
        <v/>
      </c>
      <c r="T493" s="14">
        <f>R493-S493</f>
        <v/>
      </c>
      <c r="U493" s="14">
        <f>L493*G493</f>
        <v/>
      </c>
    </row>
    <row r="494">
      <c r="A494" s="12" t="inlineStr">
        <is>
          <t>PO-2021-0492</t>
        </is>
      </c>
      <c r="B494" s="26" t="n">
        <v>45225</v>
      </c>
      <c r="C494" s="12" t="inlineStr">
        <is>
          <t>VS21</t>
        </is>
      </c>
      <c r="D494" s="12" t="inlineStr">
        <is>
          <t>MS Rods</t>
        </is>
      </c>
      <c r="E494" s="12" t="inlineStr">
        <is>
          <t>N</t>
        </is>
      </c>
      <c r="F494" s="12" t="n">
        <v>14.25</v>
      </c>
      <c r="G494" s="17" t="n">
        <v>46954.72</v>
      </c>
      <c r="H494" s="26" t="n">
        <v>45237</v>
      </c>
      <c r="I494" s="26" t="n">
        <v>45240</v>
      </c>
      <c r="J494" s="12" t="n">
        <v>14.22</v>
      </c>
      <c r="K494" s="17" t="n">
        <v>669104.76</v>
      </c>
      <c r="L494" s="12" t="n">
        <v>0</v>
      </c>
      <c r="M494" s="12" t="n">
        <v>13</v>
      </c>
      <c r="N494" s="27">
        <f>F494-J494</f>
        <v/>
      </c>
      <c r="O494" s="16">
        <f>I494-H494</f>
        <v/>
      </c>
      <c r="P494" s="14">
        <f>F494*G494</f>
        <v/>
      </c>
      <c r="Q494" s="14">
        <f>J494*G494</f>
        <v/>
      </c>
      <c r="R494" s="14">
        <f>K494-Q494</f>
        <v/>
      </c>
      <c r="S494" s="3">
        <f>P494*Assumptions!$B$3/100</f>
        <v/>
      </c>
      <c r="T494" s="14">
        <f>R494-S494</f>
        <v/>
      </c>
      <c r="U494" s="14">
        <f>L494*G494</f>
        <v/>
      </c>
    </row>
    <row r="495">
      <c r="A495" s="12" t="inlineStr">
        <is>
          <t>PO-2021-0493</t>
        </is>
      </c>
      <c r="B495" s="26" t="n">
        <v>44645</v>
      </c>
      <c r="C495" s="12" t="inlineStr">
        <is>
          <t>VS02</t>
        </is>
      </c>
      <c r="D495" s="12" t="inlineStr">
        <is>
          <t>CR Sheets</t>
        </is>
      </c>
      <c r="E495" s="12" t="inlineStr">
        <is>
          <t>N</t>
        </is>
      </c>
      <c r="F495" s="12" t="n">
        <v>3.87</v>
      </c>
      <c r="G495" s="17" t="n">
        <v>119364.85</v>
      </c>
      <c r="H495" s="26" t="n">
        <v>44656</v>
      </c>
      <c r="I495" s="26" t="n">
        <v>44659</v>
      </c>
      <c r="J495" s="12" t="n">
        <v>3.85</v>
      </c>
      <c r="K495" s="17" t="n">
        <v>461941.97</v>
      </c>
      <c r="L495" s="12" t="n">
        <v>0</v>
      </c>
      <c r="M495" s="12" t="n">
        <v>23</v>
      </c>
      <c r="N495" s="27">
        <f>F495-J495</f>
        <v/>
      </c>
      <c r="O495" s="16">
        <f>I495-H495</f>
        <v/>
      </c>
      <c r="P495" s="14">
        <f>F495*G495</f>
        <v/>
      </c>
      <c r="Q495" s="14">
        <f>J495*G495</f>
        <v/>
      </c>
      <c r="R495" s="14">
        <f>K495-Q495</f>
        <v/>
      </c>
      <c r="S495" s="3">
        <f>P495*Assumptions!$B$3/100</f>
        <v/>
      </c>
      <c r="T495" s="14">
        <f>R495-S495</f>
        <v/>
      </c>
      <c r="U495" s="14">
        <f>L495*G495</f>
        <v/>
      </c>
    </row>
    <row r="496">
      <c r="A496" s="12" t="inlineStr">
        <is>
          <t>PO-2021-0494</t>
        </is>
      </c>
      <c r="B496" s="26" t="n">
        <v>44929</v>
      </c>
      <c r="C496" s="12" t="inlineStr">
        <is>
          <t>VS15</t>
        </is>
      </c>
      <c r="D496" s="12" t="inlineStr">
        <is>
          <t>MS Sheets</t>
        </is>
      </c>
      <c r="E496" s="12" t="inlineStr">
        <is>
          <t>N</t>
        </is>
      </c>
      <c r="F496" s="12" t="n">
        <v>5.91</v>
      </c>
      <c r="G496" s="17" t="n">
        <v>94264.83</v>
      </c>
      <c r="H496" s="26" t="n">
        <v>44936</v>
      </c>
      <c r="I496" s="26" t="n">
        <v>44936</v>
      </c>
      <c r="J496" s="12" t="n">
        <v>5.87</v>
      </c>
      <c r="K496" s="17" t="n">
        <v>557105.15</v>
      </c>
      <c r="L496" s="12" t="n">
        <v>0</v>
      </c>
      <c r="M496" s="12" t="n">
        <v>15</v>
      </c>
      <c r="N496" s="27">
        <f>F496-J496</f>
        <v/>
      </c>
      <c r="O496" s="16">
        <f>I496-H496</f>
        <v/>
      </c>
      <c r="P496" s="14">
        <f>F496*G496</f>
        <v/>
      </c>
      <c r="Q496" s="14">
        <f>J496*G496</f>
        <v/>
      </c>
      <c r="R496" s="14">
        <f>K496-Q496</f>
        <v/>
      </c>
      <c r="S496" s="3">
        <f>P496*Assumptions!$B$3/100</f>
        <v/>
      </c>
      <c r="T496" s="14">
        <f>R496-S496</f>
        <v/>
      </c>
      <c r="U496" s="14">
        <f>L496*G496</f>
        <v/>
      </c>
    </row>
    <row r="497">
      <c r="A497" s="12" t="inlineStr">
        <is>
          <t>PO-2021-0495</t>
        </is>
      </c>
      <c r="B497" s="26" t="n">
        <v>45289</v>
      </c>
      <c r="C497" s="12" t="inlineStr">
        <is>
          <t>VS04</t>
        </is>
      </c>
      <c r="D497" s="12" t="inlineStr">
        <is>
          <t>HR Coils</t>
        </is>
      </c>
      <c r="E497" s="12" t="inlineStr">
        <is>
          <t>Y</t>
        </is>
      </c>
      <c r="F497" s="12" t="n">
        <v>29.21</v>
      </c>
      <c r="G497" s="17" t="n">
        <v>118699.85</v>
      </c>
      <c r="H497" s="26" t="n">
        <v>45298</v>
      </c>
      <c r="I497" s="26" t="n">
        <v>45299</v>
      </c>
      <c r="J497" s="12" t="n">
        <v>28.93</v>
      </c>
      <c r="K497" s="17" t="n">
        <v>3467222.62</v>
      </c>
      <c r="L497" s="12" t="n">
        <v>0</v>
      </c>
      <c r="M497" s="12" t="n">
        <v>3</v>
      </c>
      <c r="N497" s="27">
        <f>F497-J497</f>
        <v/>
      </c>
      <c r="O497" s="16">
        <f>I497-H497</f>
        <v/>
      </c>
      <c r="P497" s="14">
        <f>F497*G497</f>
        <v/>
      </c>
      <c r="Q497" s="14">
        <f>J497*G497</f>
        <v/>
      </c>
      <c r="R497" s="14">
        <f>K497-Q497</f>
        <v/>
      </c>
      <c r="S497" s="3">
        <f>P497*Assumptions!$B$3/100</f>
        <v/>
      </c>
      <c r="T497" s="14">
        <f>R497-S497</f>
        <v/>
      </c>
      <c r="U497" s="14">
        <f>L497*G497</f>
        <v/>
      </c>
    </row>
    <row r="498">
      <c r="A498" s="12" t="inlineStr">
        <is>
          <t>PO-2021-0496</t>
        </is>
      </c>
      <c r="B498" s="26" t="n">
        <v>44923</v>
      </c>
      <c r="C498" s="12" t="inlineStr">
        <is>
          <t>VS12</t>
        </is>
      </c>
      <c r="D498" s="12" t="inlineStr">
        <is>
          <t>MS Sheets</t>
        </is>
      </c>
      <c r="E498" s="12" t="inlineStr">
        <is>
          <t>N</t>
        </is>
      </c>
      <c r="F498" s="12" t="n">
        <v>12.59</v>
      </c>
      <c r="G498" s="17" t="n">
        <v>71604.34</v>
      </c>
      <c r="H498" s="26" t="n">
        <v>44937</v>
      </c>
      <c r="I498" s="26" t="n">
        <v>44943</v>
      </c>
      <c r="J498" s="12" t="n">
        <v>12.23</v>
      </c>
      <c r="K498" s="17" t="n">
        <v>901498.64</v>
      </c>
      <c r="L498" s="12" t="n">
        <v>0.01</v>
      </c>
      <c r="M498" s="12" t="n">
        <v>0</v>
      </c>
      <c r="N498" s="27">
        <f>F498-J498</f>
        <v/>
      </c>
      <c r="O498" s="16">
        <f>I498-H498</f>
        <v/>
      </c>
      <c r="P498" s="14">
        <f>F498*G498</f>
        <v/>
      </c>
      <c r="Q498" s="14">
        <f>J498*G498</f>
        <v/>
      </c>
      <c r="R498" s="14">
        <f>K498-Q498</f>
        <v/>
      </c>
      <c r="S498" s="3">
        <f>P498*Assumptions!$B$3/100</f>
        <v/>
      </c>
      <c r="T498" s="14">
        <f>R498-S498</f>
        <v/>
      </c>
      <c r="U498" s="14">
        <f>L498*G498</f>
        <v/>
      </c>
    </row>
    <row r="499">
      <c r="A499" s="12" t="inlineStr">
        <is>
          <t>PO-2021-0497</t>
        </is>
      </c>
      <c r="B499" s="26" t="n">
        <v>44931</v>
      </c>
      <c r="C499" s="12" t="inlineStr">
        <is>
          <t>VS02</t>
        </is>
      </c>
      <c r="D499" s="12" t="inlineStr">
        <is>
          <t>Angles &amp; Channels</t>
        </is>
      </c>
      <c r="E499" s="12" t="inlineStr">
        <is>
          <t>N</t>
        </is>
      </c>
      <c r="F499" s="12" t="n">
        <v>47.43</v>
      </c>
      <c r="G499" s="17" t="n">
        <v>87270.49000000001</v>
      </c>
      <c r="H499" s="26" t="n">
        <v>44943</v>
      </c>
      <c r="I499" s="26" t="n">
        <v>44946</v>
      </c>
      <c r="J499" s="12" t="n">
        <v>47.18</v>
      </c>
      <c r="K499" s="17" t="n">
        <v>4139239.34</v>
      </c>
      <c r="L499" s="12" t="n">
        <v>0</v>
      </c>
      <c r="M499" s="12" t="n">
        <v>14</v>
      </c>
      <c r="N499" s="27">
        <f>F499-J499</f>
        <v/>
      </c>
      <c r="O499" s="16">
        <f>I499-H499</f>
        <v/>
      </c>
      <c r="P499" s="14">
        <f>F499*G499</f>
        <v/>
      </c>
      <c r="Q499" s="14">
        <f>J499*G499</f>
        <v/>
      </c>
      <c r="R499" s="14">
        <f>K499-Q499</f>
        <v/>
      </c>
      <c r="S499" s="3">
        <f>P499*Assumptions!$B$3/100</f>
        <v/>
      </c>
      <c r="T499" s="14">
        <f>R499-S499</f>
        <v/>
      </c>
      <c r="U499" s="14">
        <f>L499*G499</f>
        <v/>
      </c>
    </row>
    <row r="500">
      <c r="A500" s="12" t="inlineStr">
        <is>
          <t>PO-2021-0498</t>
        </is>
      </c>
      <c r="B500" s="26" t="n">
        <v>44582</v>
      </c>
      <c r="C500" s="12" t="inlineStr">
        <is>
          <t>VS32</t>
        </is>
      </c>
      <c r="D500" s="12" t="inlineStr">
        <is>
          <t>Spring Steel</t>
        </is>
      </c>
      <c r="E500" s="12" t="inlineStr">
        <is>
          <t>N</t>
        </is>
      </c>
      <c r="F500" s="12" t="n">
        <v>16.14</v>
      </c>
      <c r="G500" s="17" t="n">
        <v>81782.73</v>
      </c>
      <c r="H500" s="26" t="n">
        <v>44586</v>
      </c>
      <c r="I500" s="26" t="n">
        <v>44588</v>
      </c>
      <c r="J500" s="12" t="n">
        <v>16.09</v>
      </c>
      <c r="K500" s="17" t="n">
        <v>1319973.26</v>
      </c>
      <c r="L500" s="12" t="n">
        <v>0</v>
      </c>
      <c r="M500" s="12" t="n">
        <v>1</v>
      </c>
      <c r="N500" s="27">
        <f>F500-J500</f>
        <v/>
      </c>
      <c r="O500" s="16">
        <f>I500-H500</f>
        <v/>
      </c>
      <c r="P500" s="14">
        <f>F500*G500</f>
        <v/>
      </c>
      <c r="Q500" s="14">
        <f>J500*G500</f>
        <v/>
      </c>
      <c r="R500" s="14">
        <f>K500-Q500</f>
        <v/>
      </c>
      <c r="S500" s="3">
        <f>P500*Assumptions!$B$3/100</f>
        <v/>
      </c>
      <c r="T500" s="14">
        <f>R500-S500</f>
        <v/>
      </c>
      <c r="U500" s="14">
        <f>L500*G500</f>
        <v/>
      </c>
    </row>
    <row r="501">
      <c r="A501" s="12" t="inlineStr">
        <is>
          <t>PO-2021-0499</t>
        </is>
      </c>
      <c r="B501" s="26" t="n">
        <v>44312</v>
      </c>
      <c r="C501" s="12" t="inlineStr">
        <is>
          <t>VS15</t>
        </is>
      </c>
      <c r="D501" s="12" t="inlineStr">
        <is>
          <t>HR Coils</t>
        </is>
      </c>
      <c r="E501" s="12" t="inlineStr">
        <is>
          <t>Y</t>
        </is>
      </c>
      <c r="F501" s="12" t="n">
        <v>1.98</v>
      </c>
      <c r="G501" s="17" t="n">
        <v>80849.17</v>
      </c>
      <c r="H501" s="26" t="n">
        <v>44320</v>
      </c>
      <c r="I501" s="26" t="n">
        <v>44320</v>
      </c>
      <c r="J501" s="12" t="n">
        <v>1.98</v>
      </c>
      <c r="K501" s="17" t="n">
        <v>160081.36</v>
      </c>
      <c r="L501" s="12" t="n">
        <v>0</v>
      </c>
      <c r="M501" s="12" t="n">
        <v>9</v>
      </c>
      <c r="N501" s="27">
        <f>F501-J501</f>
        <v/>
      </c>
      <c r="O501" s="16">
        <f>I501-H501</f>
        <v/>
      </c>
      <c r="P501" s="14">
        <f>F501*G501</f>
        <v/>
      </c>
      <c r="Q501" s="14">
        <f>J501*G501</f>
        <v/>
      </c>
      <c r="R501" s="14">
        <f>K501-Q501</f>
        <v/>
      </c>
      <c r="S501" s="3">
        <f>P501*Assumptions!$B$3/100</f>
        <v/>
      </c>
      <c r="T501" s="14">
        <f>R501-S501</f>
        <v/>
      </c>
      <c r="U501" s="14">
        <f>L501*G501</f>
        <v/>
      </c>
    </row>
    <row r="502">
      <c r="A502" s="12" t="inlineStr">
        <is>
          <t>PO-2021-0500</t>
        </is>
      </c>
      <c r="B502" s="26" t="n">
        <v>44609</v>
      </c>
      <c r="C502" s="12" t="inlineStr">
        <is>
          <t>VS09</t>
        </is>
      </c>
      <c r="D502" s="12" t="inlineStr">
        <is>
          <t>MS Flats</t>
        </is>
      </c>
      <c r="E502" s="12" t="inlineStr">
        <is>
          <t>N</t>
        </is>
      </c>
      <c r="F502" s="12" t="n">
        <v>36.13</v>
      </c>
      <c r="G502" s="17" t="n">
        <v>113908.56</v>
      </c>
      <c r="H502" s="26" t="n">
        <v>44617</v>
      </c>
      <c r="I502" s="26" t="n">
        <v>44618</v>
      </c>
      <c r="J502" s="12" t="n">
        <v>36.05</v>
      </c>
      <c r="K502" s="17" t="n">
        <v>4115516.27</v>
      </c>
      <c r="L502" s="12" t="n">
        <v>0</v>
      </c>
      <c r="M502" s="12" t="n">
        <v>0</v>
      </c>
      <c r="N502" s="27">
        <f>F502-J502</f>
        <v/>
      </c>
      <c r="O502" s="16">
        <f>I502-H502</f>
        <v/>
      </c>
      <c r="P502" s="14">
        <f>F502*G502</f>
        <v/>
      </c>
      <c r="Q502" s="14">
        <f>J502*G502</f>
        <v/>
      </c>
      <c r="R502" s="14">
        <f>K502-Q502</f>
        <v/>
      </c>
      <c r="S502" s="3">
        <f>P502*Assumptions!$B$3/100</f>
        <v/>
      </c>
      <c r="T502" s="14">
        <f>R502-S502</f>
        <v/>
      </c>
      <c r="U502" s="14">
        <f>L502*G502</f>
        <v/>
      </c>
    </row>
    <row r="503">
      <c r="A503" s="12" t="inlineStr">
        <is>
          <t>PO-2021-0501</t>
        </is>
      </c>
      <c r="B503" s="26" t="n">
        <v>44318</v>
      </c>
      <c r="C503" s="12" t="inlineStr">
        <is>
          <t>VS02</t>
        </is>
      </c>
      <c r="D503" s="12" t="inlineStr">
        <is>
          <t>Square/Rect Tubes</t>
        </is>
      </c>
      <c r="E503" s="12" t="inlineStr">
        <is>
          <t>N</t>
        </is>
      </c>
      <c r="F503" s="12" t="n">
        <v>29.74</v>
      </c>
      <c r="G503" s="17" t="n">
        <v>113791.81</v>
      </c>
      <c r="H503" s="26" t="n">
        <v>44333</v>
      </c>
      <c r="I503" s="26" t="n">
        <v>44336</v>
      </c>
      <c r="J503" s="12" t="n">
        <v>29.72</v>
      </c>
      <c r="K503" s="17" t="n">
        <v>3384168.43</v>
      </c>
      <c r="L503" s="12" t="n">
        <v>0</v>
      </c>
      <c r="M503" s="12" t="n">
        <v>1</v>
      </c>
      <c r="N503" s="27">
        <f>F503-J503</f>
        <v/>
      </c>
      <c r="O503" s="16">
        <f>I503-H503</f>
        <v/>
      </c>
      <c r="P503" s="14">
        <f>F503*G503</f>
        <v/>
      </c>
      <c r="Q503" s="14">
        <f>J503*G503</f>
        <v/>
      </c>
      <c r="R503" s="14">
        <f>K503-Q503</f>
        <v/>
      </c>
      <c r="S503" s="3">
        <f>P503*Assumptions!$B$3/100</f>
        <v/>
      </c>
      <c r="T503" s="14">
        <f>R503-S503</f>
        <v/>
      </c>
      <c r="U503" s="14">
        <f>L503*G503</f>
        <v/>
      </c>
    </row>
    <row r="504">
      <c r="A504" s="12" t="inlineStr">
        <is>
          <t>PO-2021-0502</t>
        </is>
      </c>
      <c r="B504" s="26" t="n">
        <v>44424</v>
      </c>
      <c r="C504" s="12" t="inlineStr">
        <is>
          <t>VS34</t>
        </is>
      </c>
      <c r="D504" s="12" t="inlineStr">
        <is>
          <t>Angles &amp; Channels</t>
        </is>
      </c>
      <c r="E504" s="12" t="inlineStr">
        <is>
          <t>N</t>
        </is>
      </c>
      <c r="F504" s="12" t="n">
        <v>48.07</v>
      </c>
      <c r="G504" s="17" t="n">
        <v>73019.31</v>
      </c>
      <c r="H504" s="26" t="n">
        <v>44437</v>
      </c>
      <c r="I504" s="26" t="n">
        <v>44438</v>
      </c>
      <c r="J504" s="12" t="n">
        <v>48.03</v>
      </c>
      <c r="K504" s="17" t="n">
        <v>3510038.23</v>
      </c>
      <c r="L504" s="12" t="n">
        <v>0</v>
      </c>
      <c r="M504" s="12" t="n">
        <v>12</v>
      </c>
      <c r="N504" s="27">
        <f>F504-J504</f>
        <v/>
      </c>
      <c r="O504" s="16">
        <f>I504-H504</f>
        <v/>
      </c>
      <c r="P504" s="14">
        <f>F504*G504</f>
        <v/>
      </c>
      <c r="Q504" s="14">
        <f>J504*G504</f>
        <v/>
      </c>
      <c r="R504" s="14">
        <f>K504-Q504</f>
        <v/>
      </c>
      <c r="S504" s="3">
        <f>P504*Assumptions!$B$3/100</f>
        <v/>
      </c>
      <c r="T504" s="14">
        <f>R504-S504</f>
        <v/>
      </c>
      <c r="U504" s="14">
        <f>L504*G504</f>
        <v/>
      </c>
    </row>
    <row r="505">
      <c r="A505" s="12" t="inlineStr">
        <is>
          <t>PO-2021-0503</t>
        </is>
      </c>
      <c r="B505" s="26" t="n">
        <v>45007</v>
      </c>
      <c r="C505" s="12" t="inlineStr">
        <is>
          <t>VS07</t>
        </is>
      </c>
      <c r="D505" s="12" t="inlineStr">
        <is>
          <t>MS Flats</t>
        </is>
      </c>
      <c r="E505" s="12" t="inlineStr">
        <is>
          <t>N</t>
        </is>
      </c>
      <c r="F505" s="12" t="n">
        <v>15.79</v>
      </c>
      <c r="G505" s="17" t="n">
        <v>55233.88</v>
      </c>
      <c r="H505" s="26" t="n">
        <v>45012</v>
      </c>
      <c r="I505" s="26" t="n">
        <v>45012</v>
      </c>
      <c r="J505" s="12" t="n">
        <v>15.74</v>
      </c>
      <c r="K505" s="17" t="n">
        <v>872142.97</v>
      </c>
      <c r="L505" s="12" t="n">
        <v>0</v>
      </c>
      <c r="M505" s="12" t="n">
        <v>18</v>
      </c>
      <c r="N505" s="27">
        <f>F505-J505</f>
        <v/>
      </c>
      <c r="O505" s="16">
        <f>I505-H505</f>
        <v/>
      </c>
      <c r="P505" s="14">
        <f>F505*G505</f>
        <v/>
      </c>
      <c r="Q505" s="14">
        <f>J505*G505</f>
        <v/>
      </c>
      <c r="R505" s="14">
        <f>K505-Q505</f>
        <v/>
      </c>
      <c r="S505" s="3">
        <f>P505*Assumptions!$B$3/100</f>
        <v/>
      </c>
      <c r="T505" s="14">
        <f>R505-S505</f>
        <v/>
      </c>
      <c r="U505" s="14">
        <f>L505*G505</f>
        <v/>
      </c>
    </row>
    <row r="506">
      <c r="A506" s="12" t="inlineStr">
        <is>
          <t>PO-2021-0504</t>
        </is>
      </c>
      <c r="B506" s="26" t="n">
        <v>45091</v>
      </c>
      <c r="C506" s="12" t="inlineStr">
        <is>
          <t>VS32</t>
        </is>
      </c>
      <c r="D506" s="12" t="inlineStr">
        <is>
          <t>MS Flats</t>
        </is>
      </c>
      <c r="E506" s="12" t="inlineStr">
        <is>
          <t>N</t>
        </is>
      </c>
      <c r="F506" s="12" t="n">
        <v>9.539999999999999</v>
      </c>
      <c r="G506" s="17" t="n">
        <v>117655.72</v>
      </c>
      <c r="H506" s="26" t="n">
        <v>45105</v>
      </c>
      <c r="I506" s="26" t="n">
        <v>45107</v>
      </c>
      <c r="J506" s="12" t="n">
        <v>9.539999999999999</v>
      </c>
      <c r="K506" s="17" t="n">
        <v>1122435.57</v>
      </c>
      <c r="L506" s="12" t="n">
        <v>0</v>
      </c>
      <c r="M506" s="12" t="n">
        <v>22</v>
      </c>
      <c r="N506" s="27">
        <f>F506-J506</f>
        <v/>
      </c>
      <c r="O506" s="16">
        <f>I506-H506</f>
        <v/>
      </c>
      <c r="P506" s="14">
        <f>F506*G506</f>
        <v/>
      </c>
      <c r="Q506" s="14">
        <f>J506*G506</f>
        <v/>
      </c>
      <c r="R506" s="14">
        <f>K506-Q506</f>
        <v/>
      </c>
      <c r="S506" s="3">
        <f>P506*Assumptions!$B$3/100</f>
        <v/>
      </c>
      <c r="T506" s="14">
        <f>R506-S506</f>
        <v/>
      </c>
      <c r="U506" s="14">
        <f>L506*G506</f>
        <v/>
      </c>
    </row>
    <row r="507">
      <c r="A507" s="12" t="inlineStr">
        <is>
          <t>PO-2021-0505</t>
        </is>
      </c>
      <c r="B507" s="26" t="n">
        <v>44927</v>
      </c>
      <c r="C507" s="12" t="inlineStr">
        <is>
          <t>VS15</t>
        </is>
      </c>
      <c r="D507" s="12" t="inlineStr">
        <is>
          <t>MS Sheets</t>
        </is>
      </c>
      <c r="E507" s="12" t="inlineStr">
        <is>
          <t>N</t>
        </is>
      </c>
      <c r="F507" s="12" t="n">
        <v>19.54</v>
      </c>
      <c r="G507" s="17" t="n">
        <v>100049.62</v>
      </c>
      <c r="H507" s="26" t="n">
        <v>44934</v>
      </c>
      <c r="I507" s="26" t="n">
        <v>44937</v>
      </c>
      <c r="J507" s="12" t="n">
        <v>19.38</v>
      </c>
      <c r="K507" s="17" t="n">
        <v>1954969.57</v>
      </c>
      <c r="L507" s="12" t="n">
        <v>0</v>
      </c>
      <c r="M507" s="12" t="n">
        <v>0</v>
      </c>
      <c r="N507" s="27">
        <f>F507-J507</f>
        <v/>
      </c>
      <c r="O507" s="16">
        <f>I507-H507</f>
        <v/>
      </c>
      <c r="P507" s="14">
        <f>F507*G507</f>
        <v/>
      </c>
      <c r="Q507" s="14">
        <f>J507*G507</f>
        <v/>
      </c>
      <c r="R507" s="14">
        <f>K507-Q507</f>
        <v/>
      </c>
      <c r="S507" s="3">
        <f>P507*Assumptions!$B$3/100</f>
        <v/>
      </c>
      <c r="T507" s="14">
        <f>R507-S507</f>
        <v/>
      </c>
      <c r="U507" s="14">
        <f>L507*G507</f>
        <v/>
      </c>
    </row>
    <row r="508">
      <c r="A508" s="12" t="inlineStr">
        <is>
          <t>PO-2021-0506</t>
        </is>
      </c>
      <c r="B508" s="26" t="n">
        <v>44457</v>
      </c>
      <c r="C508" s="12" t="inlineStr">
        <is>
          <t>VS12</t>
        </is>
      </c>
      <c r="D508" s="12" t="inlineStr">
        <is>
          <t>MS Pipes</t>
        </is>
      </c>
      <c r="E508" s="12" t="inlineStr">
        <is>
          <t>N</t>
        </is>
      </c>
      <c r="F508" s="12" t="n">
        <v>47.49</v>
      </c>
      <c r="G508" s="17" t="n">
        <v>120798.46</v>
      </c>
      <c r="H508" s="26" t="n">
        <v>44466</v>
      </c>
      <c r="I508" s="26" t="n">
        <v>44473</v>
      </c>
      <c r="J508" s="12" t="n">
        <v>46.49</v>
      </c>
      <c r="K508" s="17" t="n">
        <v>5736718.87</v>
      </c>
      <c r="L508" s="12" t="n">
        <v>0.92</v>
      </c>
      <c r="M508" s="12" t="n">
        <v>9</v>
      </c>
      <c r="N508" s="27">
        <f>F508-J508</f>
        <v/>
      </c>
      <c r="O508" s="16">
        <f>I508-H508</f>
        <v/>
      </c>
      <c r="P508" s="14">
        <f>F508*G508</f>
        <v/>
      </c>
      <c r="Q508" s="14">
        <f>J508*G508</f>
        <v/>
      </c>
      <c r="R508" s="14">
        <f>K508-Q508</f>
        <v/>
      </c>
      <c r="S508" s="3">
        <f>P508*Assumptions!$B$3/100</f>
        <v/>
      </c>
      <c r="T508" s="14">
        <f>R508-S508</f>
        <v/>
      </c>
      <c r="U508" s="14">
        <f>L508*G508</f>
        <v/>
      </c>
    </row>
    <row r="509">
      <c r="A509" s="12" t="inlineStr">
        <is>
          <t>PO-2021-0507</t>
        </is>
      </c>
      <c r="B509" s="26" t="n">
        <v>44263</v>
      </c>
      <c r="C509" s="12" t="inlineStr">
        <is>
          <t>VS12</t>
        </is>
      </c>
      <c r="D509" s="12" t="inlineStr">
        <is>
          <t>MS Flats</t>
        </is>
      </c>
      <c r="E509" s="12" t="inlineStr">
        <is>
          <t>Y</t>
        </is>
      </c>
      <c r="F509" s="12" t="n">
        <v>46.13</v>
      </c>
      <c r="G509" s="17" t="n">
        <v>122267.47</v>
      </c>
      <c r="H509" s="26" t="n">
        <v>44269</v>
      </c>
      <c r="I509" s="26" t="n">
        <v>44272</v>
      </c>
      <c r="J509" s="12" t="n">
        <v>44.09</v>
      </c>
      <c r="K509" s="17" t="n">
        <v>5640198.39</v>
      </c>
      <c r="L509" s="12" t="n">
        <v>1.12</v>
      </c>
      <c r="M509" s="12" t="n">
        <v>25</v>
      </c>
      <c r="N509" s="27">
        <f>F509-J509</f>
        <v/>
      </c>
      <c r="O509" s="16">
        <f>I509-H509</f>
        <v/>
      </c>
      <c r="P509" s="14">
        <f>F509*G509</f>
        <v/>
      </c>
      <c r="Q509" s="14">
        <f>J509*G509</f>
        <v/>
      </c>
      <c r="R509" s="14">
        <f>K509-Q509</f>
        <v/>
      </c>
      <c r="S509" s="3">
        <f>P509*Assumptions!$B$3/100</f>
        <v/>
      </c>
      <c r="T509" s="14">
        <f>R509-S509</f>
        <v/>
      </c>
      <c r="U509" s="14">
        <f>L509*G509</f>
        <v/>
      </c>
    </row>
    <row r="510">
      <c r="A510" s="12" t="inlineStr">
        <is>
          <t>PO-2021-0508</t>
        </is>
      </c>
      <c r="B510" s="26" t="n">
        <v>44410</v>
      </c>
      <c r="C510" s="12" t="inlineStr">
        <is>
          <t>VS32</t>
        </is>
      </c>
      <c r="D510" s="12" t="inlineStr">
        <is>
          <t>Square/Rect Tubes</t>
        </is>
      </c>
      <c r="E510" s="12" t="inlineStr">
        <is>
          <t>N</t>
        </is>
      </c>
      <c r="F510" s="12" t="n">
        <v>17.23</v>
      </c>
      <c r="G510" s="17" t="n">
        <v>50835.5</v>
      </c>
      <c r="H510" s="26" t="n">
        <v>44418</v>
      </c>
      <c r="I510" s="26" t="n">
        <v>44418</v>
      </c>
      <c r="J510" s="12" t="n">
        <v>17.09</v>
      </c>
      <c r="K510" s="17" t="n">
        <v>875895.67</v>
      </c>
      <c r="L510" s="12" t="n">
        <v>0</v>
      </c>
      <c r="M510" s="12" t="n">
        <v>20</v>
      </c>
      <c r="N510" s="27">
        <f>F510-J510</f>
        <v/>
      </c>
      <c r="O510" s="16">
        <f>I510-H510</f>
        <v/>
      </c>
      <c r="P510" s="14">
        <f>F510*G510</f>
        <v/>
      </c>
      <c r="Q510" s="14">
        <f>J510*G510</f>
        <v/>
      </c>
      <c r="R510" s="14">
        <f>K510-Q510</f>
        <v/>
      </c>
      <c r="S510" s="3">
        <f>P510*Assumptions!$B$3/100</f>
        <v/>
      </c>
      <c r="T510" s="14">
        <f>R510-S510</f>
        <v/>
      </c>
      <c r="U510" s="14">
        <f>L510*G510</f>
        <v/>
      </c>
    </row>
    <row r="511">
      <c r="A511" s="12" t="inlineStr">
        <is>
          <t>PO-2021-0509</t>
        </is>
      </c>
      <c r="B511" s="26" t="n">
        <v>44851</v>
      </c>
      <c r="C511" s="12" t="inlineStr">
        <is>
          <t>VS11</t>
        </is>
      </c>
      <c r="D511" s="12" t="inlineStr">
        <is>
          <t>SS Pipes</t>
        </is>
      </c>
      <c r="E511" s="12" t="inlineStr">
        <is>
          <t>Y</t>
        </is>
      </c>
      <c r="F511" s="12" t="n">
        <v>41.26</v>
      </c>
      <c r="G511" s="17" t="n">
        <v>95251.84</v>
      </c>
      <c r="H511" s="26" t="n">
        <v>44865</v>
      </c>
      <c r="I511" s="26" t="n">
        <v>44867</v>
      </c>
      <c r="J511" s="12" t="n">
        <v>41.12</v>
      </c>
      <c r="K511" s="17" t="n">
        <v>3930090.92</v>
      </c>
      <c r="L511" s="12" t="n">
        <v>0</v>
      </c>
      <c r="M511" s="12" t="n">
        <v>18</v>
      </c>
      <c r="N511" s="27">
        <f>F511-J511</f>
        <v/>
      </c>
      <c r="O511" s="16">
        <f>I511-H511</f>
        <v/>
      </c>
      <c r="P511" s="14">
        <f>F511*G511</f>
        <v/>
      </c>
      <c r="Q511" s="14">
        <f>J511*G511</f>
        <v/>
      </c>
      <c r="R511" s="14">
        <f>K511-Q511</f>
        <v/>
      </c>
      <c r="S511" s="3">
        <f>P511*Assumptions!$B$3/100</f>
        <v/>
      </c>
      <c r="T511" s="14">
        <f>R511-S511</f>
        <v/>
      </c>
      <c r="U511" s="14">
        <f>L511*G511</f>
        <v/>
      </c>
    </row>
    <row r="512">
      <c r="A512" s="12" t="inlineStr">
        <is>
          <t>PO-2021-0510</t>
        </is>
      </c>
      <c r="B512" s="26" t="n">
        <v>44884</v>
      </c>
      <c r="C512" s="12" t="inlineStr">
        <is>
          <t>VS29</t>
        </is>
      </c>
      <c r="D512" s="12" t="inlineStr">
        <is>
          <t>MS Pipes</t>
        </is>
      </c>
      <c r="E512" s="12" t="inlineStr">
        <is>
          <t>N</t>
        </is>
      </c>
      <c r="F512" s="12" t="n">
        <v>14</v>
      </c>
      <c r="G512" s="17" t="n">
        <v>63715.56</v>
      </c>
      <c r="H512" s="26" t="n">
        <v>44888</v>
      </c>
      <c r="I512" s="26" t="n">
        <v>44891</v>
      </c>
      <c r="J512" s="12" t="n">
        <v>13.93</v>
      </c>
      <c r="K512" s="17" t="n">
        <v>892017.84</v>
      </c>
      <c r="L512" s="12" t="n">
        <v>0</v>
      </c>
      <c r="M512" s="12" t="n">
        <v>24</v>
      </c>
      <c r="N512" s="27">
        <f>F512-J512</f>
        <v/>
      </c>
      <c r="O512" s="16">
        <f>I512-H512</f>
        <v/>
      </c>
      <c r="P512" s="14">
        <f>F512*G512</f>
        <v/>
      </c>
      <c r="Q512" s="14">
        <f>J512*G512</f>
        <v/>
      </c>
      <c r="R512" s="14">
        <f>K512-Q512</f>
        <v/>
      </c>
      <c r="S512" s="3">
        <f>P512*Assumptions!$B$3/100</f>
        <v/>
      </c>
      <c r="T512" s="14">
        <f>R512-S512</f>
        <v/>
      </c>
      <c r="U512" s="14">
        <f>L512*G512</f>
        <v/>
      </c>
    </row>
    <row r="513">
      <c r="A513" s="12" t="inlineStr">
        <is>
          <t>PO-2021-0511</t>
        </is>
      </c>
      <c r="B513" s="26" t="n">
        <v>44914</v>
      </c>
      <c r="C513" s="12" t="inlineStr">
        <is>
          <t>VS17</t>
        </is>
      </c>
      <c r="D513" s="12" t="inlineStr">
        <is>
          <t>ERW Pipes</t>
        </is>
      </c>
      <c r="E513" s="12" t="inlineStr">
        <is>
          <t>Y</t>
        </is>
      </c>
      <c r="F513" s="12" t="n">
        <v>36.3</v>
      </c>
      <c r="G513" s="17" t="n">
        <v>48611.06</v>
      </c>
      <c r="H513" s="26" t="n">
        <v>44924</v>
      </c>
      <c r="I513" s="26" t="n">
        <v>44927</v>
      </c>
      <c r="J513" s="12" t="n">
        <v>36.29</v>
      </c>
      <c r="K513" s="17" t="n">
        <v>1764581.48</v>
      </c>
      <c r="L513" s="12" t="n">
        <v>0</v>
      </c>
      <c r="M513" s="12" t="n">
        <v>5</v>
      </c>
      <c r="N513" s="27">
        <f>F513-J513</f>
        <v/>
      </c>
      <c r="O513" s="16">
        <f>I513-H513</f>
        <v/>
      </c>
      <c r="P513" s="14">
        <f>F513*G513</f>
        <v/>
      </c>
      <c r="Q513" s="14">
        <f>J513*G513</f>
        <v/>
      </c>
      <c r="R513" s="14">
        <f>K513-Q513</f>
        <v/>
      </c>
      <c r="S513" s="3">
        <f>P513*Assumptions!$B$3/100</f>
        <v/>
      </c>
      <c r="T513" s="14">
        <f>R513-S513</f>
        <v/>
      </c>
      <c r="U513" s="14">
        <f>L513*G513</f>
        <v/>
      </c>
    </row>
    <row r="514">
      <c r="A514" s="12" t="inlineStr">
        <is>
          <t>PO-2021-0512</t>
        </is>
      </c>
      <c r="B514" s="26" t="n">
        <v>45056</v>
      </c>
      <c r="C514" s="12" t="inlineStr">
        <is>
          <t>VS11</t>
        </is>
      </c>
      <c r="D514" s="12" t="inlineStr">
        <is>
          <t>GI Wire</t>
        </is>
      </c>
      <c r="E514" s="12" t="inlineStr">
        <is>
          <t>N</t>
        </is>
      </c>
      <c r="F514" s="12" t="n">
        <v>25.16</v>
      </c>
      <c r="G514" s="17" t="n">
        <v>73403.44</v>
      </c>
      <c r="H514" s="26" t="n">
        <v>45067</v>
      </c>
      <c r="I514" s="26" t="n">
        <v>45068</v>
      </c>
      <c r="J514" s="12" t="n">
        <v>25.06</v>
      </c>
      <c r="K514" s="17" t="n">
        <v>1846830.55</v>
      </c>
      <c r="L514" s="12" t="n">
        <v>0</v>
      </c>
      <c r="M514" s="12" t="n">
        <v>0</v>
      </c>
      <c r="N514" s="27">
        <f>F514-J514</f>
        <v/>
      </c>
      <c r="O514" s="16">
        <f>I514-H514</f>
        <v/>
      </c>
      <c r="P514" s="14">
        <f>F514*G514</f>
        <v/>
      </c>
      <c r="Q514" s="14">
        <f>J514*G514</f>
        <v/>
      </c>
      <c r="R514" s="14">
        <f>K514-Q514</f>
        <v/>
      </c>
      <c r="S514" s="3">
        <f>P514*Assumptions!$B$3/100</f>
        <v/>
      </c>
      <c r="T514" s="14">
        <f>R514-S514</f>
        <v/>
      </c>
      <c r="U514" s="14">
        <f>L514*G514</f>
        <v/>
      </c>
    </row>
    <row r="515">
      <c r="A515" s="12" t="inlineStr">
        <is>
          <t>PO-2021-0513</t>
        </is>
      </c>
      <c r="B515" s="26" t="n">
        <v>44965</v>
      </c>
      <c r="C515" s="12" t="inlineStr">
        <is>
          <t>VS07</t>
        </is>
      </c>
      <c r="D515" s="12" t="inlineStr">
        <is>
          <t>Structural Steel</t>
        </is>
      </c>
      <c r="E515" s="12" t="inlineStr">
        <is>
          <t>N</t>
        </is>
      </c>
      <c r="F515" s="12" t="n">
        <v>39.65</v>
      </c>
      <c r="G515" s="17" t="n">
        <v>88354.16</v>
      </c>
      <c r="H515" s="26" t="n">
        <v>44980</v>
      </c>
      <c r="I515" s="26" t="n">
        <v>44983</v>
      </c>
      <c r="J515" s="12" t="n">
        <v>39.59</v>
      </c>
      <c r="K515" s="17" t="n">
        <v>3503242.44</v>
      </c>
      <c r="L515" s="12" t="n">
        <v>0</v>
      </c>
      <c r="M515" s="12" t="n">
        <v>0</v>
      </c>
      <c r="N515" s="27">
        <f>F515-J515</f>
        <v/>
      </c>
      <c r="O515" s="16">
        <f>I515-H515</f>
        <v/>
      </c>
      <c r="P515" s="14">
        <f>F515*G515</f>
        <v/>
      </c>
      <c r="Q515" s="14">
        <f>J515*G515</f>
        <v/>
      </c>
      <c r="R515" s="14">
        <f>K515-Q515</f>
        <v/>
      </c>
      <c r="S515" s="3">
        <f>P515*Assumptions!$B$3/100</f>
        <v/>
      </c>
      <c r="T515" s="14">
        <f>R515-S515</f>
        <v/>
      </c>
      <c r="U515" s="14">
        <f>L515*G515</f>
        <v/>
      </c>
    </row>
    <row r="516">
      <c r="A516" s="12" t="inlineStr">
        <is>
          <t>PO-2021-0514</t>
        </is>
      </c>
      <c r="B516" s="26" t="n">
        <v>44658</v>
      </c>
      <c r="C516" s="12" t="inlineStr">
        <is>
          <t>VS11</t>
        </is>
      </c>
      <c r="D516" s="12" t="inlineStr">
        <is>
          <t>Fasteners &amp; Fittings</t>
        </is>
      </c>
      <c r="E516" s="12" t="inlineStr">
        <is>
          <t>N</t>
        </is>
      </c>
      <c r="F516" s="12" t="n">
        <v>4.61</v>
      </c>
      <c r="G516" s="17" t="n">
        <v>108432.19</v>
      </c>
      <c r="H516" s="26" t="n">
        <v>44665</v>
      </c>
      <c r="I516" s="26" t="n">
        <v>44667</v>
      </c>
      <c r="J516" s="12" t="n">
        <v>4.57</v>
      </c>
      <c r="K516" s="17" t="n">
        <v>499872.4</v>
      </c>
      <c r="L516" s="12" t="n">
        <v>0</v>
      </c>
      <c r="M516" s="12" t="n">
        <v>3</v>
      </c>
      <c r="N516" s="27">
        <f>F516-J516</f>
        <v/>
      </c>
      <c r="O516" s="16">
        <f>I516-H516</f>
        <v/>
      </c>
      <c r="P516" s="14">
        <f>F516*G516</f>
        <v/>
      </c>
      <c r="Q516" s="14">
        <f>J516*G516</f>
        <v/>
      </c>
      <c r="R516" s="14">
        <f>K516-Q516</f>
        <v/>
      </c>
      <c r="S516" s="3">
        <f>P516*Assumptions!$B$3/100</f>
        <v/>
      </c>
      <c r="T516" s="14">
        <f>R516-S516</f>
        <v/>
      </c>
      <c r="U516" s="14">
        <f>L516*G516</f>
        <v/>
      </c>
    </row>
    <row r="517">
      <c r="A517" s="12" t="inlineStr">
        <is>
          <t>PO-2021-0515</t>
        </is>
      </c>
      <c r="B517" s="26" t="n">
        <v>44238</v>
      </c>
      <c r="C517" s="12" t="inlineStr">
        <is>
          <t>VS21</t>
        </is>
      </c>
      <c r="D517" s="12" t="inlineStr">
        <is>
          <t>CR Sheets</t>
        </is>
      </c>
      <c r="E517" s="12" t="inlineStr">
        <is>
          <t>N</t>
        </is>
      </c>
      <c r="F517" s="12" t="n">
        <v>47.63</v>
      </c>
      <c r="G517" s="17" t="n">
        <v>50565.03</v>
      </c>
      <c r="H517" s="26" t="n">
        <v>44243</v>
      </c>
      <c r="I517" s="26" t="n">
        <v>44244</v>
      </c>
      <c r="J517" s="12" t="n">
        <v>47.28</v>
      </c>
      <c r="K517" s="17" t="n">
        <v>2408412.38</v>
      </c>
      <c r="L517" s="12" t="n">
        <v>0</v>
      </c>
      <c r="M517" s="12" t="n">
        <v>10</v>
      </c>
      <c r="N517" s="27">
        <f>F517-J517</f>
        <v/>
      </c>
      <c r="O517" s="16">
        <f>I517-H517</f>
        <v/>
      </c>
      <c r="P517" s="14">
        <f>F517*G517</f>
        <v/>
      </c>
      <c r="Q517" s="14">
        <f>J517*G517</f>
        <v/>
      </c>
      <c r="R517" s="14">
        <f>K517-Q517</f>
        <v/>
      </c>
      <c r="S517" s="3">
        <f>P517*Assumptions!$B$3/100</f>
        <v/>
      </c>
      <c r="T517" s="14">
        <f>R517-S517</f>
        <v/>
      </c>
      <c r="U517" s="14">
        <f>L517*G517</f>
        <v/>
      </c>
    </row>
    <row r="518">
      <c r="A518" s="12" t="inlineStr">
        <is>
          <t>PO-2021-0516</t>
        </is>
      </c>
      <c r="B518" s="26" t="n">
        <v>44965</v>
      </c>
      <c r="C518" s="12" t="inlineStr">
        <is>
          <t>VS11</t>
        </is>
      </c>
      <c r="D518" s="12" t="inlineStr">
        <is>
          <t>SS Pipes</t>
        </is>
      </c>
      <c r="E518" s="12" t="inlineStr">
        <is>
          <t>Y</t>
        </is>
      </c>
      <c r="F518" s="12" t="n">
        <v>27.81</v>
      </c>
      <c r="G518" s="17" t="n">
        <v>112359.31</v>
      </c>
      <c r="H518" s="26" t="n">
        <v>44969</v>
      </c>
      <c r="I518" s="26" t="n">
        <v>44971</v>
      </c>
      <c r="J518" s="12" t="n">
        <v>27.72</v>
      </c>
      <c r="K518" s="17" t="n">
        <v>3124712.41</v>
      </c>
      <c r="L518" s="12" t="n">
        <v>0</v>
      </c>
      <c r="M518" s="12" t="n">
        <v>6</v>
      </c>
      <c r="N518" s="27">
        <f>F518-J518</f>
        <v/>
      </c>
      <c r="O518" s="16">
        <f>I518-H518</f>
        <v/>
      </c>
      <c r="P518" s="14">
        <f>F518*G518</f>
        <v/>
      </c>
      <c r="Q518" s="14">
        <f>J518*G518</f>
        <v/>
      </c>
      <c r="R518" s="14">
        <f>K518-Q518</f>
        <v/>
      </c>
      <c r="S518" s="3">
        <f>P518*Assumptions!$B$3/100</f>
        <v/>
      </c>
      <c r="T518" s="14">
        <f>R518-S518</f>
        <v/>
      </c>
      <c r="U518" s="14">
        <f>L518*G518</f>
        <v/>
      </c>
    </row>
    <row r="519">
      <c r="A519" s="12" t="inlineStr">
        <is>
          <t>PO-2021-0517</t>
        </is>
      </c>
      <c r="B519" s="26" t="n">
        <v>44889</v>
      </c>
      <c r="C519" s="12" t="inlineStr">
        <is>
          <t>VS31</t>
        </is>
      </c>
      <c r="D519" s="12" t="inlineStr">
        <is>
          <t>MS Pipes</t>
        </is>
      </c>
      <c r="E519" s="12" t="inlineStr">
        <is>
          <t>N</t>
        </is>
      </c>
      <c r="F519" s="12" t="n">
        <v>22.13</v>
      </c>
      <c r="G519" s="17" t="n">
        <v>94022.64</v>
      </c>
      <c r="H519" s="26" t="n">
        <v>44901</v>
      </c>
      <c r="I519" s="26" t="n">
        <v>44901</v>
      </c>
      <c r="J519" s="12" t="n">
        <v>22.01</v>
      </c>
      <c r="K519" s="17" t="n">
        <v>2080721.02</v>
      </c>
      <c r="L519" s="12" t="n">
        <v>0</v>
      </c>
      <c r="M519" s="12" t="n">
        <v>0</v>
      </c>
      <c r="N519" s="27">
        <f>F519-J519</f>
        <v/>
      </c>
      <c r="O519" s="16">
        <f>I519-H519</f>
        <v/>
      </c>
      <c r="P519" s="14">
        <f>F519*G519</f>
        <v/>
      </c>
      <c r="Q519" s="14">
        <f>J519*G519</f>
        <v/>
      </c>
      <c r="R519" s="14">
        <f>K519-Q519</f>
        <v/>
      </c>
      <c r="S519" s="3">
        <f>P519*Assumptions!$B$3/100</f>
        <v/>
      </c>
      <c r="T519" s="14">
        <f>R519-S519</f>
        <v/>
      </c>
      <c r="U519" s="14">
        <f>L519*G519</f>
        <v/>
      </c>
    </row>
    <row r="520">
      <c r="A520" s="12" t="inlineStr">
        <is>
          <t>PO-2021-0518</t>
        </is>
      </c>
      <c r="B520" s="26" t="n">
        <v>45086</v>
      </c>
      <c r="C520" s="12" t="inlineStr">
        <is>
          <t>VS11</t>
        </is>
      </c>
      <c r="D520" s="12" t="inlineStr">
        <is>
          <t>GI Pipes</t>
        </is>
      </c>
      <c r="E520" s="12" t="inlineStr">
        <is>
          <t>N</t>
        </is>
      </c>
      <c r="F520" s="12" t="n">
        <v>5.96</v>
      </c>
      <c r="G520" s="17" t="n">
        <v>60416.29</v>
      </c>
      <c r="H520" s="26" t="n">
        <v>45092</v>
      </c>
      <c r="I520" s="26" t="n">
        <v>45095</v>
      </c>
      <c r="J520" s="12" t="n">
        <v>5.96</v>
      </c>
      <c r="K520" s="17" t="n">
        <v>360081.09</v>
      </c>
      <c r="L520" s="12" t="n">
        <v>0</v>
      </c>
      <c r="M520" s="12" t="n">
        <v>0</v>
      </c>
      <c r="N520" s="27">
        <f>F520-J520</f>
        <v/>
      </c>
      <c r="O520" s="16">
        <f>I520-H520</f>
        <v/>
      </c>
      <c r="P520" s="14">
        <f>F520*G520</f>
        <v/>
      </c>
      <c r="Q520" s="14">
        <f>J520*G520</f>
        <v/>
      </c>
      <c r="R520" s="14">
        <f>K520-Q520</f>
        <v/>
      </c>
      <c r="S520" s="3">
        <f>P520*Assumptions!$B$3/100</f>
        <v/>
      </c>
      <c r="T520" s="14">
        <f>R520-S520</f>
        <v/>
      </c>
      <c r="U520" s="14">
        <f>L520*G520</f>
        <v/>
      </c>
    </row>
    <row r="521">
      <c r="A521" s="12" t="inlineStr">
        <is>
          <t>PO-2021-0519</t>
        </is>
      </c>
      <c r="B521" s="26" t="n">
        <v>45035</v>
      </c>
      <c r="C521" s="12" t="inlineStr">
        <is>
          <t>VS17</t>
        </is>
      </c>
      <c r="D521" s="12" t="inlineStr">
        <is>
          <t>SS Sheets</t>
        </is>
      </c>
      <c r="E521" s="12" t="inlineStr">
        <is>
          <t>N</t>
        </is>
      </c>
      <c r="F521" s="12" t="n">
        <v>15.57</v>
      </c>
      <c r="G521" s="17" t="n">
        <v>52193.69</v>
      </c>
      <c r="H521" s="26" t="n">
        <v>45044</v>
      </c>
      <c r="I521" s="26" t="n">
        <v>45044</v>
      </c>
      <c r="J521" s="12" t="n">
        <v>15.45</v>
      </c>
      <c r="K521" s="17" t="n">
        <v>812655.75</v>
      </c>
      <c r="L521" s="12" t="n">
        <v>0</v>
      </c>
      <c r="M521" s="12" t="n">
        <v>24</v>
      </c>
      <c r="N521" s="27">
        <f>F521-J521</f>
        <v/>
      </c>
      <c r="O521" s="16">
        <f>I521-H521</f>
        <v/>
      </c>
      <c r="P521" s="14">
        <f>F521*G521</f>
        <v/>
      </c>
      <c r="Q521" s="14">
        <f>J521*G521</f>
        <v/>
      </c>
      <c r="R521" s="14">
        <f>K521-Q521</f>
        <v/>
      </c>
      <c r="S521" s="3">
        <f>P521*Assumptions!$B$3/100</f>
        <v/>
      </c>
      <c r="T521" s="14">
        <f>R521-S521</f>
        <v/>
      </c>
      <c r="U521" s="14">
        <f>L521*G521</f>
        <v/>
      </c>
    </row>
    <row r="522">
      <c r="A522" s="12" t="inlineStr">
        <is>
          <t>PO-2021-0520</t>
        </is>
      </c>
      <c r="B522" s="26" t="n">
        <v>45202</v>
      </c>
      <c r="C522" s="12" t="inlineStr">
        <is>
          <t>VS10</t>
        </is>
      </c>
      <c r="D522" s="12" t="inlineStr">
        <is>
          <t>GI Pipes</t>
        </is>
      </c>
      <c r="E522" s="12" t="inlineStr">
        <is>
          <t>N</t>
        </is>
      </c>
      <c r="F522" s="12" t="n">
        <v>18.68</v>
      </c>
      <c r="G522" s="17" t="n">
        <v>77070.45</v>
      </c>
      <c r="H522" s="26" t="n">
        <v>45209</v>
      </c>
      <c r="I522" s="26" t="n">
        <v>45212</v>
      </c>
      <c r="J522" s="12" t="n">
        <v>18.52</v>
      </c>
      <c r="K522" s="17" t="n">
        <v>1439676.01</v>
      </c>
      <c r="L522" s="12" t="n">
        <v>0</v>
      </c>
      <c r="M522" s="12" t="n">
        <v>2</v>
      </c>
      <c r="N522" s="27">
        <f>F522-J522</f>
        <v/>
      </c>
      <c r="O522" s="16">
        <f>I522-H522</f>
        <v/>
      </c>
      <c r="P522" s="14">
        <f>F522*G522</f>
        <v/>
      </c>
      <c r="Q522" s="14">
        <f>J522*G522</f>
        <v/>
      </c>
      <c r="R522" s="14">
        <f>K522-Q522</f>
        <v/>
      </c>
      <c r="S522" s="3">
        <f>P522*Assumptions!$B$3/100</f>
        <v/>
      </c>
      <c r="T522" s="14">
        <f>R522-S522</f>
        <v/>
      </c>
      <c r="U522" s="14">
        <f>L522*G522</f>
        <v/>
      </c>
    </row>
    <row r="523">
      <c r="A523" s="12" t="inlineStr">
        <is>
          <t>PO-2021-0521</t>
        </is>
      </c>
      <c r="B523" s="26" t="n">
        <v>45180</v>
      </c>
      <c r="C523" s="12" t="inlineStr">
        <is>
          <t>VS13</t>
        </is>
      </c>
      <c r="D523" s="12" t="inlineStr">
        <is>
          <t>ERW Pipes</t>
        </is>
      </c>
      <c r="E523" s="12" t="inlineStr">
        <is>
          <t>N</t>
        </is>
      </c>
      <c r="F523" s="12" t="n">
        <v>2.26</v>
      </c>
      <c r="G523" s="17" t="n">
        <v>57812.41</v>
      </c>
      <c r="H523" s="26" t="n">
        <v>45187</v>
      </c>
      <c r="I523" s="26" t="n">
        <v>45190</v>
      </c>
      <c r="J523" s="12" t="n">
        <v>2.26</v>
      </c>
      <c r="K523" s="17" t="n">
        <v>130656.05</v>
      </c>
      <c r="L523" s="12" t="n">
        <v>0</v>
      </c>
      <c r="M523" s="12" t="n">
        <v>0</v>
      </c>
      <c r="N523" s="27">
        <f>F523-J523</f>
        <v/>
      </c>
      <c r="O523" s="16">
        <f>I523-H523</f>
        <v/>
      </c>
      <c r="P523" s="14">
        <f>F523*G523</f>
        <v/>
      </c>
      <c r="Q523" s="14">
        <f>J523*G523</f>
        <v/>
      </c>
      <c r="R523" s="14">
        <f>K523-Q523</f>
        <v/>
      </c>
      <c r="S523" s="3">
        <f>P523*Assumptions!$B$3/100</f>
        <v/>
      </c>
      <c r="T523" s="14">
        <f>R523-S523</f>
        <v/>
      </c>
      <c r="U523" s="14">
        <f>L523*G523</f>
        <v/>
      </c>
    </row>
    <row r="524">
      <c r="A524" s="12" t="inlineStr">
        <is>
          <t>PO-2021-0522</t>
        </is>
      </c>
      <c r="B524" s="26" t="n">
        <v>44364</v>
      </c>
      <c r="C524" s="12" t="inlineStr">
        <is>
          <t>VS31</t>
        </is>
      </c>
      <c r="D524" s="12" t="inlineStr">
        <is>
          <t>ERW Pipes</t>
        </is>
      </c>
      <c r="E524" s="12" t="inlineStr">
        <is>
          <t>Y</t>
        </is>
      </c>
      <c r="F524" s="12" t="n">
        <v>16.11</v>
      </c>
      <c r="G524" s="17" t="n">
        <v>74810.05</v>
      </c>
      <c r="H524" s="26" t="n">
        <v>44374</v>
      </c>
      <c r="I524" s="26" t="n">
        <v>44377</v>
      </c>
      <c r="J524" s="12" t="n">
        <v>15.97</v>
      </c>
      <c r="K524" s="17" t="n">
        <v>1205189.91</v>
      </c>
      <c r="L524" s="12" t="n">
        <v>0</v>
      </c>
      <c r="M524" s="12" t="n">
        <v>1</v>
      </c>
      <c r="N524" s="27">
        <f>F524-J524</f>
        <v/>
      </c>
      <c r="O524" s="16">
        <f>I524-H524</f>
        <v/>
      </c>
      <c r="P524" s="14">
        <f>F524*G524</f>
        <v/>
      </c>
      <c r="Q524" s="14">
        <f>J524*G524</f>
        <v/>
      </c>
      <c r="R524" s="14">
        <f>K524-Q524</f>
        <v/>
      </c>
      <c r="S524" s="3">
        <f>P524*Assumptions!$B$3/100</f>
        <v/>
      </c>
      <c r="T524" s="14">
        <f>R524-S524</f>
        <v/>
      </c>
      <c r="U524" s="14">
        <f>L524*G524</f>
        <v/>
      </c>
    </row>
    <row r="525">
      <c r="A525" s="12" t="inlineStr">
        <is>
          <t>PO-2021-0523</t>
        </is>
      </c>
      <c r="B525" s="26" t="n">
        <v>44739</v>
      </c>
      <c r="C525" s="12" t="inlineStr">
        <is>
          <t>VS06</t>
        </is>
      </c>
      <c r="D525" s="12" t="inlineStr">
        <is>
          <t>Spring Steel</t>
        </is>
      </c>
      <c r="E525" s="12" t="inlineStr">
        <is>
          <t>N</t>
        </is>
      </c>
      <c r="F525" s="12" t="n">
        <v>19.99</v>
      </c>
      <c r="G525" s="17" t="n">
        <v>72826.53999999999</v>
      </c>
      <c r="H525" s="26" t="n">
        <v>44748</v>
      </c>
      <c r="I525" s="26" t="n">
        <v>44750</v>
      </c>
      <c r="J525" s="12" t="n">
        <v>19.98</v>
      </c>
      <c r="K525" s="17" t="n">
        <v>1455802.53</v>
      </c>
      <c r="L525" s="12" t="n">
        <v>0</v>
      </c>
      <c r="M525" s="12" t="n">
        <v>0</v>
      </c>
      <c r="N525" s="27">
        <f>F525-J525</f>
        <v/>
      </c>
      <c r="O525" s="16">
        <f>I525-H525</f>
        <v/>
      </c>
      <c r="P525" s="14">
        <f>F525*G525</f>
        <v/>
      </c>
      <c r="Q525" s="14">
        <f>J525*G525</f>
        <v/>
      </c>
      <c r="R525" s="14">
        <f>K525-Q525</f>
        <v/>
      </c>
      <c r="S525" s="3">
        <f>P525*Assumptions!$B$3/100</f>
        <v/>
      </c>
      <c r="T525" s="14">
        <f>R525-S525</f>
        <v/>
      </c>
      <c r="U525" s="14">
        <f>L525*G525</f>
        <v/>
      </c>
    </row>
    <row r="526">
      <c r="A526" s="12" t="inlineStr">
        <is>
          <t>PO-2021-0524</t>
        </is>
      </c>
      <c r="B526" s="26" t="n">
        <v>44953</v>
      </c>
      <c r="C526" s="12" t="inlineStr">
        <is>
          <t>VS12</t>
        </is>
      </c>
      <c r="D526" s="12" t="inlineStr">
        <is>
          <t>Fasteners &amp; Fittings</t>
        </is>
      </c>
      <c r="E526" s="12" t="inlineStr">
        <is>
          <t>N</t>
        </is>
      </c>
      <c r="F526" s="12" t="n">
        <v>3.19</v>
      </c>
      <c r="G526" s="17" t="n">
        <v>81099.75</v>
      </c>
      <c r="H526" s="26" t="n">
        <v>44960</v>
      </c>
      <c r="I526" s="26" t="n">
        <v>44963</v>
      </c>
      <c r="J526" s="12" t="n">
        <v>3.05</v>
      </c>
      <c r="K526" s="17" t="n">
        <v>258708.2</v>
      </c>
      <c r="L526" s="12" t="n">
        <v>0.12</v>
      </c>
      <c r="M526" s="12" t="n">
        <v>12</v>
      </c>
      <c r="N526" s="27">
        <f>F526-J526</f>
        <v/>
      </c>
      <c r="O526" s="16">
        <f>I526-H526</f>
        <v/>
      </c>
      <c r="P526" s="14">
        <f>F526*G526</f>
        <v/>
      </c>
      <c r="Q526" s="14">
        <f>J526*G526</f>
        <v/>
      </c>
      <c r="R526" s="14">
        <f>K526-Q526</f>
        <v/>
      </c>
      <c r="S526" s="3">
        <f>P526*Assumptions!$B$3/100</f>
        <v/>
      </c>
      <c r="T526" s="14">
        <f>R526-S526</f>
        <v/>
      </c>
      <c r="U526" s="14">
        <f>L526*G526</f>
        <v/>
      </c>
    </row>
    <row r="527">
      <c r="A527" s="12" t="inlineStr">
        <is>
          <t>PO-2021-0525</t>
        </is>
      </c>
      <c r="B527" s="26" t="n">
        <v>44660</v>
      </c>
      <c r="C527" s="12" t="inlineStr">
        <is>
          <t>VS18</t>
        </is>
      </c>
      <c r="D527" s="12" t="inlineStr">
        <is>
          <t>GI Pipes</t>
        </is>
      </c>
      <c r="E527" s="12" t="inlineStr">
        <is>
          <t>N</t>
        </is>
      </c>
      <c r="F527" s="12" t="n">
        <v>8.41</v>
      </c>
      <c r="G527" s="17" t="n">
        <v>97235.32000000001</v>
      </c>
      <c r="H527" s="26" t="n">
        <v>44664</v>
      </c>
      <c r="I527" s="26" t="n">
        <v>44664</v>
      </c>
      <c r="J527" s="12" t="n">
        <v>8.359999999999999</v>
      </c>
      <c r="K527" s="17" t="n">
        <v>817749.04</v>
      </c>
      <c r="L527" s="12" t="n">
        <v>0</v>
      </c>
      <c r="M527" s="12" t="n">
        <v>23</v>
      </c>
      <c r="N527" s="27">
        <f>F527-J527</f>
        <v/>
      </c>
      <c r="O527" s="16">
        <f>I527-H527</f>
        <v/>
      </c>
      <c r="P527" s="14">
        <f>F527*G527</f>
        <v/>
      </c>
      <c r="Q527" s="14">
        <f>J527*G527</f>
        <v/>
      </c>
      <c r="R527" s="14">
        <f>K527-Q527</f>
        <v/>
      </c>
      <c r="S527" s="3">
        <f>P527*Assumptions!$B$3/100</f>
        <v/>
      </c>
      <c r="T527" s="14">
        <f>R527-S527</f>
        <v/>
      </c>
      <c r="U527" s="14">
        <f>L527*G527</f>
        <v/>
      </c>
    </row>
    <row r="528">
      <c r="A528" s="12" t="inlineStr">
        <is>
          <t>PO-2021-0526</t>
        </is>
      </c>
      <c r="B528" s="26" t="n">
        <v>44372</v>
      </c>
      <c r="C528" s="12" t="inlineStr">
        <is>
          <t>VS23</t>
        </is>
      </c>
      <c r="D528" s="12" t="inlineStr">
        <is>
          <t>Spring Steel</t>
        </is>
      </c>
      <c r="E528" s="12" t="inlineStr">
        <is>
          <t>N</t>
        </is>
      </c>
      <c r="F528" s="12" t="n">
        <v>21.29</v>
      </c>
      <c r="G528" s="17" t="n">
        <v>101734.27</v>
      </c>
      <c r="H528" s="26" t="n">
        <v>44378</v>
      </c>
      <c r="I528" s="26" t="n">
        <v>44378</v>
      </c>
      <c r="J528" s="12" t="n">
        <v>21.24</v>
      </c>
      <c r="K528" s="17" t="n">
        <v>2165922.61</v>
      </c>
      <c r="L528" s="12" t="n">
        <v>0</v>
      </c>
      <c r="M528" s="12" t="n">
        <v>0</v>
      </c>
      <c r="N528" s="27">
        <f>F528-J528</f>
        <v/>
      </c>
      <c r="O528" s="16">
        <f>I528-H528</f>
        <v/>
      </c>
      <c r="P528" s="14">
        <f>F528*G528</f>
        <v/>
      </c>
      <c r="Q528" s="14">
        <f>J528*G528</f>
        <v/>
      </c>
      <c r="R528" s="14">
        <f>K528-Q528</f>
        <v/>
      </c>
      <c r="S528" s="3">
        <f>P528*Assumptions!$B$3/100</f>
        <v/>
      </c>
      <c r="T528" s="14">
        <f>R528-S528</f>
        <v/>
      </c>
      <c r="U528" s="14">
        <f>L528*G528</f>
        <v/>
      </c>
    </row>
    <row r="529">
      <c r="A529" s="12" t="inlineStr">
        <is>
          <t>PO-2021-0527</t>
        </is>
      </c>
      <c r="B529" s="26" t="n">
        <v>44321</v>
      </c>
      <c r="C529" s="12" t="inlineStr">
        <is>
          <t>VS25</t>
        </is>
      </c>
      <c r="D529" s="12" t="inlineStr">
        <is>
          <t>Hex Bars</t>
        </is>
      </c>
      <c r="E529" s="12" t="inlineStr">
        <is>
          <t>N</t>
        </is>
      </c>
      <c r="F529" s="12" t="n">
        <v>21.51</v>
      </c>
      <c r="G529" s="17" t="n">
        <v>85163.58</v>
      </c>
      <c r="H529" s="26" t="n">
        <v>44331</v>
      </c>
      <c r="I529" s="26" t="n">
        <v>44332</v>
      </c>
      <c r="J529" s="12" t="n">
        <v>21.42</v>
      </c>
      <c r="K529" s="17" t="n">
        <v>1831868.61</v>
      </c>
      <c r="L529" s="12" t="n">
        <v>0</v>
      </c>
      <c r="M529" s="12" t="n">
        <v>21</v>
      </c>
      <c r="N529" s="27">
        <f>F529-J529</f>
        <v/>
      </c>
      <c r="O529" s="16">
        <f>I529-H529</f>
        <v/>
      </c>
      <c r="P529" s="14">
        <f>F529*G529</f>
        <v/>
      </c>
      <c r="Q529" s="14">
        <f>J529*G529</f>
        <v/>
      </c>
      <c r="R529" s="14">
        <f>K529-Q529</f>
        <v/>
      </c>
      <c r="S529" s="3">
        <f>P529*Assumptions!$B$3/100</f>
        <v/>
      </c>
      <c r="T529" s="14">
        <f>R529-S529</f>
        <v/>
      </c>
      <c r="U529" s="14">
        <f>L529*G529</f>
        <v/>
      </c>
    </row>
    <row r="530">
      <c r="A530" s="12" t="inlineStr">
        <is>
          <t>PO-2021-0528</t>
        </is>
      </c>
      <c r="B530" s="26" t="n">
        <v>44679</v>
      </c>
      <c r="C530" s="12" t="inlineStr">
        <is>
          <t>VS31</t>
        </is>
      </c>
      <c r="D530" s="12" t="inlineStr">
        <is>
          <t>SS Sheets</t>
        </is>
      </c>
      <c r="E530" s="12" t="inlineStr">
        <is>
          <t>N</t>
        </is>
      </c>
      <c r="F530" s="12" t="n">
        <v>4.87</v>
      </c>
      <c r="G530" s="17" t="n">
        <v>112708.29</v>
      </c>
      <c r="H530" s="26" t="n">
        <v>44693</v>
      </c>
      <c r="I530" s="26" t="n">
        <v>44695</v>
      </c>
      <c r="J530" s="12" t="n">
        <v>4.87</v>
      </c>
      <c r="K530" s="17" t="n">
        <v>548889.37</v>
      </c>
      <c r="L530" s="12" t="n">
        <v>0</v>
      </c>
      <c r="M530" s="12" t="n">
        <v>21</v>
      </c>
      <c r="N530" s="27">
        <f>F530-J530</f>
        <v/>
      </c>
      <c r="O530" s="16">
        <f>I530-H530</f>
        <v/>
      </c>
      <c r="P530" s="14">
        <f>F530*G530</f>
        <v/>
      </c>
      <c r="Q530" s="14">
        <f>J530*G530</f>
        <v/>
      </c>
      <c r="R530" s="14">
        <f>K530-Q530</f>
        <v/>
      </c>
      <c r="S530" s="3">
        <f>P530*Assumptions!$B$3/100</f>
        <v/>
      </c>
      <c r="T530" s="14">
        <f>R530-S530</f>
        <v/>
      </c>
      <c r="U530" s="14">
        <f>L530*G530</f>
        <v/>
      </c>
    </row>
    <row r="531">
      <c r="A531" s="12" t="inlineStr">
        <is>
          <t>PO-2021-0529</t>
        </is>
      </c>
      <c r="B531" s="26" t="n">
        <v>44268</v>
      </c>
      <c r="C531" s="12" t="inlineStr">
        <is>
          <t>VS33</t>
        </is>
      </c>
      <c r="D531" s="12" t="inlineStr">
        <is>
          <t>Hex Bars</t>
        </is>
      </c>
      <c r="E531" s="12" t="inlineStr">
        <is>
          <t>N</t>
        </is>
      </c>
      <c r="F531" s="12" t="n">
        <v>40.22</v>
      </c>
      <c r="G531" s="17" t="n">
        <v>95815.12</v>
      </c>
      <c r="H531" s="26" t="n">
        <v>44280</v>
      </c>
      <c r="I531" s="26" t="n">
        <v>44281</v>
      </c>
      <c r="J531" s="12" t="n">
        <v>40.02</v>
      </c>
      <c r="K531" s="17" t="n">
        <v>3853684.13</v>
      </c>
      <c r="L531" s="12" t="n">
        <v>0</v>
      </c>
      <c r="M531" s="12" t="n">
        <v>0</v>
      </c>
      <c r="N531" s="27">
        <f>F531-J531</f>
        <v/>
      </c>
      <c r="O531" s="16">
        <f>I531-H531</f>
        <v/>
      </c>
      <c r="P531" s="14">
        <f>F531*G531</f>
        <v/>
      </c>
      <c r="Q531" s="14">
        <f>J531*G531</f>
        <v/>
      </c>
      <c r="R531" s="14">
        <f>K531-Q531</f>
        <v/>
      </c>
      <c r="S531" s="3">
        <f>P531*Assumptions!$B$3/100</f>
        <v/>
      </c>
      <c r="T531" s="14">
        <f>R531-S531</f>
        <v/>
      </c>
      <c r="U531" s="14">
        <f>L531*G531</f>
        <v/>
      </c>
    </row>
    <row r="532">
      <c r="A532" s="12" t="inlineStr">
        <is>
          <t>PO-2021-0530</t>
        </is>
      </c>
      <c r="B532" s="26" t="n">
        <v>44498</v>
      </c>
      <c r="C532" s="12" t="inlineStr">
        <is>
          <t>VS08</t>
        </is>
      </c>
      <c r="D532" s="12" t="inlineStr">
        <is>
          <t>Fasteners &amp; Fittings</t>
        </is>
      </c>
      <c r="E532" s="12" t="inlineStr">
        <is>
          <t>N</t>
        </is>
      </c>
      <c r="F532" s="12" t="n">
        <v>9.470000000000001</v>
      </c>
      <c r="G532" s="17" t="n">
        <v>118827.6</v>
      </c>
      <c r="H532" s="26" t="n">
        <v>44504</v>
      </c>
      <c r="I532" s="26" t="n">
        <v>44505</v>
      </c>
      <c r="J532" s="12" t="n">
        <v>9.449999999999999</v>
      </c>
      <c r="K532" s="17" t="n">
        <v>1125297.37</v>
      </c>
      <c r="L532" s="12" t="n">
        <v>0</v>
      </c>
      <c r="M532" s="12" t="n">
        <v>4</v>
      </c>
      <c r="N532" s="27">
        <f>F532-J532</f>
        <v/>
      </c>
      <c r="O532" s="16">
        <f>I532-H532</f>
        <v/>
      </c>
      <c r="P532" s="14">
        <f>F532*G532</f>
        <v/>
      </c>
      <c r="Q532" s="14">
        <f>J532*G532</f>
        <v/>
      </c>
      <c r="R532" s="14">
        <f>K532-Q532</f>
        <v/>
      </c>
      <c r="S532" s="3">
        <f>P532*Assumptions!$B$3/100</f>
        <v/>
      </c>
      <c r="T532" s="14">
        <f>R532-S532</f>
        <v/>
      </c>
      <c r="U532" s="14">
        <f>L532*G532</f>
        <v/>
      </c>
    </row>
    <row r="533">
      <c r="A533" s="12" t="inlineStr">
        <is>
          <t>PO-2021-0531</t>
        </is>
      </c>
      <c r="B533" s="26" t="n">
        <v>44591</v>
      </c>
      <c r="C533" s="12" t="inlineStr">
        <is>
          <t>VS09</t>
        </is>
      </c>
      <c r="D533" s="12" t="inlineStr">
        <is>
          <t>GI Pipes</t>
        </is>
      </c>
      <c r="E533" s="12" t="inlineStr">
        <is>
          <t>N</t>
        </is>
      </c>
      <c r="F533" s="12" t="n">
        <v>21.75</v>
      </c>
      <c r="G533" s="17" t="n">
        <v>119121</v>
      </c>
      <c r="H533" s="26" t="n">
        <v>44600</v>
      </c>
      <c r="I533" s="26" t="n">
        <v>44603</v>
      </c>
      <c r="J533" s="12" t="n">
        <v>21.68</v>
      </c>
      <c r="K533" s="17" t="n">
        <v>2590881.75</v>
      </c>
      <c r="L533" s="12" t="n">
        <v>0</v>
      </c>
      <c r="M533" s="12" t="n">
        <v>15</v>
      </c>
      <c r="N533" s="27">
        <f>F533-J533</f>
        <v/>
      </c>
      <c r="O533" s="16">
        <f>I533-H533</f>
        <v/>
      </c>
      <c r="P533" s="14">
        <f>F533*G533</f>
        <v/>
      </c>
      <c r="Q533" s="14">
        <f>J533*G533</f>
        <v/>
      </c>
      <c r="R533" s="14">
        <f>K533-Q533</f>
        <v/>
      </c>
      <c r="S533" s="3">
        <f>P533*Assumptions!$B$3/100</f>
        <v/>
      </c>
      <c r="T533" s="14">
        <f>R533-S533</f>
        <v/>
      </c>
      <c r="U533" s="14">
        <f>L533*G533</f>
        <v/>
      </c>
    </row>
    <row r="534">
      <c r="A534" s="12" t="inlineStr">
        <is>
          <t>PO-2021-0532</t>
        </is>
      </c>
      <c r="B534" s="26" t="n">
        <v>44610</v>
      </c>
      <c r="C534" s="12" t="inlineStr">
        <is>
          <t>VS10</t>
        </is>
      </c>
      <c r="D534" s="12" t="inlineStr">
        <is>
          <t>CR Sheets</t>
        </is>
      </c>
      <c r="E534" s="12" t="inlineStr">
        <is>
          <t>N</t>
        </is>
      </c>
      <c r="F534" s="12" t="n">
        <v>16.67</v>
      </c>
      <c r="G534" s="17" t="n">
        <v>99532.73</v>
      </c>
      <c r="H534" s="26" t="n">
        <v>44625</v>
      </c>
      <c r="I534" s="26" t="n">
        <v>44626</v>
      </c>
      <c r="J534" s="12" t="n">
        <v>16.52</v>
      </c>
      <c r="K534" s="17" t="n">
        <v>1659210.61</v>
      </c>
      <c r="L534" s="12" t="n">
        <v>0</v>
      </c>
      <c r="M534" s="12" t="n">
        <v>0</v>
      </c>
      <c r="N534" s="27">
        <f>F534-J534</f>
        <v/>
      </c>
      <c r="O534" s="16">
        <f>I534-H534</f>
        <v/>
      </c>
      <c r="P534" s="14">
        <f>F534*G534</f>
        <v/>
      </c>
      <c r="Q534" s="14">
        <f>J534*G534</f>
        <v/>
      </c>
      <c r="R534" s="14">
        <f>K534-Q534</f>
        <v/>
      </c>
      <c r="S534" s="3">
        <f>P534*Assumptions!$B$3/100</f>
        <v/>
      </c>
      <c r="T534" s="14">
        <f>R534-S534</f>
        <v/>
      </c>
      <c r="U534" s="14">
        <f>L534*G534</f>
        <v/>
      </c>
    </row>
    <row r="535">
      <c r="A535" s="12" t="inlineStr">
        <is>
          <t>PO-2021-0533</t>
        </is>
      </c>
      <c r="B535" s="26" t="n">
        <v>44334</v>
      </c>
      <c r="C535" s="12" t="inlineStr">
        <is>
          <t>VS06</t>
        </is>
      </c>
      <c r="D535" s="12" t="inlineStr">
        <is>
          <t>MS Rods</t>
        </is>
      </c>
      <c r="E535" s="12" t="inlineStr">
        <is>
          <t>Y</t>
        </is>
      </c>
      <c r="F535" s="12" t="n">
        <v>28.26</v>
      </c>
      <c r="G535" s="17" t="n">
        <v>86404.06</v>
      </c>
      <c r="H535" s="26" t="n">
        <v>44341</v>
      </c>
      <c r="I535" s="26" t="n">
        <v>44344</v>
      </c>
      <c r="J535" s="12" t="n">
        <v>28.04</v>
      </c>
      <c r="K535" s="17" t="n">
        <v>2441778.74</v>
      </c>
      <c r="L535" s="12" t="n">
        <v>0</v>
      </c>
      <c r="M535" s="12" t="n">
        <v>0</v>
      </c>
      <c r="N535" s="27">
        <f>F535-J535</f>
        <v/>
      </c>
      <c r="O535" s="16">
        <f>I535-H535</f>
        <v/>
      </c>
      <c r="P535" s="14">
        <f>F535*G535</f>
        <v/>
      </c>
      <c r="Q535" s="14">
        <f>J535*G535</f>
        <v/>
      </c>
      <c r="R535" s="14">
        <f>K535-Q535</f>
        <v/>
      </c>
      <c r="S535" s="3">
        <f>P535*Assumptions!$B$3/100</f>
        <v/>
      </c>
      <c r="T535" s="14">
        <f>R535-S535</f>
        <v/>
      </c>
      <c r="U535" s="14">
        <f>L535*G535</f>
        <v/>
      </c>
    </row>
    <row r="536">
      <c r="A536" s="12" t="inlineStr">
        <is>
          <t>PO-2021-0534</t>
        </is>
      </c>
      <c r="B536" s="26" t="n">
        <v>45261</v>
      </c>
      <c r="C536" s="12" t="inlineStr">
        <is>
          <t>VS30</t>
        </is>
      </c>
      <c r="D536" s="12" t="inlineStr">
        <is>
          <t>MS Pipes</t>
        </is>
      </c>
      <c r="E536" s="12" t="inlineStr">
        <is>
          <t>N</t>
        </is>
      </c>
      <c r="F536" s="12" t="n">
        <v>39.54</v>
      </c>
      <c r="G536" s="17" t="n">
        <v>91729.34</v>
      </c>
      <c r="H536" s="26" t="n">
        <v>45272</v>
      </c>
      <c r="I536" s="26" t="n">
        <v>45274</v>
      </c>
      <c r="J536" s="12" t="n">
        <v>39.45</v>
      </c>
      <c r="K536" s="17" t="n">
        <v>3626978.1</v>
      </c>
      <c r="L536" s="12" t="n">
        <v>0</v>
      </c>
      <c r="M536" s="12" t="n">
        <v>0</v>
      </c>
      <c r="N536" s="27">
        <f>F536-J536</f>
        <v/>
      </c>
      <c r="O536" s="16">
        <f>I536-H536</f>
        <v/>
      </c>
      <c r="P536" s="14">
        <f>F536*G536</f>
        <v/>
      </c>
      <c r="Q536" s="14">
        <f>J536*G536</f>
        <v/>
      </c>
      <c r="R536" s="14">
        <f>K536-Q536</f>
        <v/>
      </c>
      <c r="S536" s="3">
        <f>P536*Assumptions!$B$3/100</f>
        <v/>
      </c>
      <c r="T536" s="14">
        <f>R536-S536</f>
        <v/>
      </c>
      <c r="U536" s="14">
        <f>L536*G536</f>
        <v/>
      </c>
    </row>
    <row r="537">
      <c r="A537" s="12" t="inlineStr">
        <is>
          <t>PO-2021-0535</t>
        </is>
      </c>
      <c r="B537" s="26" t="n">
        <v>45056</v>
      </c>
      <c r="C537" s="12" t="inlineStr">
        <is>
          <t>VS08</t>
        </is>
      </c>
      <c r="D537" s="12" t="inlineStr">
        <is>
          <t>GI Wire</t>
        </is>
      </c>
      <c r="E537" s="12" t="inlineStr">
        <is>
          <t>N</t>
        </is>
      </c>
      <c r="F537" s="12" t="n">
        <v>8.33</v>
      </c>
      <c r="G537" s="17" t="n">
        <v>87494.53999999999</v>
      </c>
      <c r="H537" s="26" t="n">
        <v>45068</v>
      </c>
      <c r="I537" s="26" t="n">
        <v>45070</v>
      </c>
      <c r="J537" s="12" t="n">
        <v>8.26</v>
      </c>
      <c r="K537" s="17" t="n">
        <v>728829.52</v>
      </c>
      <c r="L537" s="12" t="n">
        <v>0</v>
      </c>
      <c r="M537" s="12" t="n">
        <v>0</v>
      </c>
      <c r="N537" s="27">
        <f>F537-J537</f>
        <v/>
      </c>
      <c r="O537" s="16">
        <f>I537-H537</f>
        <v/>
      </c>
      <c r="P537" s="14">
        <f>F537*G537</f>
        <v/>
      </c>
      <c r="Q537" s="14">
        <f>J537*G537</f>
        <v/>
      </c>
      <c r="R537" s="14">
        <f>K537-Q537</f>
        <v/>
      </c>
      <c r="S537" s="3">
        <f>P537*Assumptions!$B$3/100</f>
        <v/>
      </c>
      <c r="T537" s="14">
        <f>R537-S537</f>
        <v/>
      </c>
      <c r="U537" s="14">
        <f>L537*G537</f>
        <v/>
      </c>
    </row>
    <row r="538">
      <c r="A538" s="12" t="inlineStr">
        <is>
          <t>PO-2021-0536</t>
        </is>
      </c>
      <c r="B538" s="26" t="n">
        <v>44402</v>
      </c>
      <c r="C538" s="12" t="inlineStr">
        <is>
          <t>VS07</t>
        </is>
      </c>
      <c r="D538" s="12" t="inlineStr">
        <is>
          <t>ERW Pipes</t>
        </is>
      </c>
      <c r="E538" s="12" t="inlineStr">
        <is>
          <t>N</t>
        </is>
      </c>
      <c r="F538" s="12" t="n">
        <v>39.5</v>
      </c>
      <c r="G538" s="17" t="n">
        <v>110060.65</v>
      </c>
      <c r="H538" s="26" t="n">
        <v>44410</v>
      </c>
      <c r="I538" s="26" t="n">
        <v>44413</v>
      </c>
      <c r="J538" s="12" t="n">
        <v>39.16</v>
      </c>
      <c r="K538" s="17" t="n">
        <v>4347395.67</v>
      </c>
      <c r="L538" s="12" t="n">
        <v>0</v>
      </c>
      <c r="M538" s="12" t="n">
        <v>15</v>
      </c>
      <c r="N538" s="27">
        <f>F538-J538</f>
        <v/>
      </c>
      <c r="O538" s="16">
        <f>I538-H538</f>
        <v/>
      </c>
      <c r="P538" s="14">
        <f>F538*G538</f>
        <v/>
      </c>
      <c r="Q538" s="14">
        <f>J538*G538</f>
        <v/>
      </c>
      <c r="R538" s="14">
        <f>K538-Q538</f>
        <v/>
      </c>
      <c r="S538" s="3">
        <f>P538*Assumptions!$B$3/100</f>
        <v/>
      </c>
      <c r="T538" s="14">
        <f>R538-S538</f>
        <v/>
      </c>
      <c r="U538" s="14">
        <f>L538*G538</f>
        <v/>
      </c>
    </row>
    <row r="539">
      <c r="A539" s="12" t="inlineStr">
        <is>
          <t>PO-2021-0537</t>
        </is>
      </c>
      <c r="B539" s="26" t="n">
        <v>45038</v>
      </c>
      <c r="C539" s="12" t="inlineStr">
        <is>
          <t>VS17</t>
        </is>
      </c>
      <c r="D539" s="12" t="inlineStr">
        <is>
          <t>MS Rods</t>
        </is>
      </c>
      <c r="E539" s="12" t="inlineStr">
        <is>
          <t>N</t>
        </is>
      </c>
      <c r="F539" s="12" t="n">
        <v>33.08</v>
      </c>
      <c r="G539" s="17" t="n">
        <v>87901.74000000001</v>
      </c>
      <c r="H539" s="26" t="n">
        <v>45048</v>
      </c>
      <c r="I539" s="26" t="n">
        <v>45051</v>
      </c>
      <c r="J539" s="12" t="n">
        <v>33.03</v>
      </c>
      <c r="K539" s="17" t="n">
        <v>2907789.56</v>
      </c>
      <c r="L539" s="12" t="n">
        <v>0</v>
      </c>
      <c r="M539" s="12" t="n">
        <v>6</v>
      </c>
      <c r="N539" s="27">
        <f>F539-J539</f>
        <v/>
      </c>
      <c r="O539" s="16">
        <f>I539-H539</f>
        <v/>
      </c>
      <c r="P539" s="14">
        <f>F539*G539</f>
        <v/>
      </c>
      <c r="Q539" s="14">
        <f>J539*G539</f>
        <v/>
      </c>
      <c r="R539" s="14">
        <f>K539-Q539</f>
        <v/>
      </c>
      <c r="S539" s="3">
        <f>P539*Assumptions!$B$3/100</f>
        <v/>
      </c>
      <c r="T539" s="14">
        <f>R539-S539</f>
        <v/>
      </c>
      <c r="U539" s="14">
        <f>L539*G539</f>
        <v/>
      </c>
    </row>
    <row r="540">
      <c r="A540" s="12" t="inlineStr">
        <is>
          <t>PO-2021-0538</t>
        </is>
      </c>
      <c r="B540" s="26" t="n">
        <v>44273</v>
      </c>
      <c r="C540" s="12" t="inlineStr">
        <is>
          <t>VS12</t>
        </is>
      </c>
      <c r="D540" s="12" t="inlineStr">
        <is>
          <t>CR Sheets</t>
        </is>
      </c>
      <c r="E540" s="12" t="inlineStr">
        <is>
          <t>N</t>
        </is>
      </c>
      <c r="F540" s="12" t="n">
        <v>20.75</v>
      </c>
      <c r="G540" s="17" t="n">
        <v>95023.07000000001</v>
      </c>
      <c r="H540" s="26" t="n">
        <v>44286</v>
      </c>
      <c r="I540" s="26" t="n">
        <v>44289</v>
      </c>
      <c r="J540" s="12" t="n">
        <v>20.05</v>
      </c>
      <c r="K540" s="17" t="n">
        <v>1971728.7</v>
      </c>
      <c r="L540" s="12" t="n">
        <v>0.25</v>
      </c>
      <c r="M540" s="12" t="n">
        <v>0</v>
      </c>
      <c r="N540" s="27">
        <f>F540-J540</f>
        <v/>
      </c>
      <c r="O540" s="16">
        <f>I540-H540</f>
        <v/>
      </c>
      <c r="P540" s="14">
        <f>F540*G540</f>
        <v/>
      </c>
      <c r="Q540" s="14">
        <f>J540*G540</f>
        <v/>
      </c>
      <c r="R540" s="14">
        <f>K540-Q540</f>
        <v/>
      </c>
      <c r="S540" s="3">
        <f>P540*Assumptions!$B$3/100</f>
        <v/>
      </c>
      <c r="T540" s="14">
        <f>R540-S540</f>
        <v/>
      </c>
      <c r="U540" s="14">
        <f>L540*G540</f>
        <v/>
      </c>
    </row>
    <row r="541">
      <c r="A541" s="12" t="inlineStr">
        <is>
          <t>PO-2021-0539</t>
        </is>
      </c>
      <c r="B541" s="26" t="n">
        <v>45019</v>
      </c>
      <c r="C541" s="12" t="inlineStr">
        <is>
          <t>VS03</t>
        </is>
      </c>
      <c r="D541" s="12" t="inlineStr">
        <is>
          <t>MS Rods</t>
        </is>
      </c>
      <c r="E541" s="12" t="inlineStr">
        <is>
          <t>N</t>
        </is>
      </c>
      <c r="F541" s="12" t="n">
        <v>44.59</v>
      </c>
      <c r="G541" s="17" t="n">
        <v>72656.53999999999</v>
      </c>
      <c r="H541" s="26" t="n">
        <v>45025</v>
      </c>
      <c r="I541" s="26" t="n">
        <v>45030</v>
      </c>
      <c r="J541" s="12" t="n">
        <v>43.27</v>
      </c>
      <c r="K541" s="17" t="n">
        <v>3239755.12</v>
      </c>
      <c r="L541" s="12" t="n">
        <v>0.35</v>
      </c>
      <c r="M541" s="12" t="n">
        <v>7</v>
      </c>
      <c r="N541" s="27">
        <f>F541-J541</f>
        <v/>
      </c>
      <c r="O541" s="16">
        <f>I541-H541</f>
        <v/>
      </c>
      <c r="P541" s="14">
        <f>F541*G541</f>
        <v/>
      </c>
      <c r="Q541" s="14">
        <f>J541*G541</f>
        <v/>
      </c>
      <c r="R541" s="14">
        <f>K541-Q541</f>
        <v/>
      </c>
      <c r="S541" s="3">
        <f>P541*Assumptions!$B$3/100</f>
        <v/>
      </c>
      <c r="T541" s="14">
        <f>R541-S541</f>
        <v/>
      </c>
      <c r="U541" s="14">
        <f>L541*G541</f>
        <v/>
      </c>
    </row>
    <row r="542">
      <c r="A542" s="12" t="inlineStr">
        <is>
          <t>PO-2021-0540</t>
        </is>
      </c>
      <c r="B542" s="26" t="n">
        <v>44297</v>
      </c>
      <c r="C542" s="12" t="inlineStr">
        <is>
          <t>VS31</t>
        </is>
      </c>
      <c r="D542" s="12" t="inlineStr">
        <is>
          <t>CR Sheets</t>
        </is>
      </c>
      <c r="E542" s="12" t="inlineStr">
        <is>
          <t>N</t>
        </is>
      </c>
      <c r="F542" s="12" t="n">
        <v>44.95</v>
      </c>
      <c r="G542" s="17" t="n">
        <v>46517.47</v>
      </c>
      <c r="H542" s="26" t="n">
        <v>44312</v>
      </c>
      <c r="I542" s="26" t="n">
        <v>44315</v>
      </c>
      <c r="J542" s="12" t="n">
        <v>44.84</v>
      </c>
      <c r="K542" s="17" t="n">
        <v>2090960.28</v>
      </c>
      <c r="L542" s="12" t="n">
        <v>0</v>
      </c>
      <c r="M542" s="12" t="n">
        <v>16</v>
      </c>
      <c r="N542" s="27">
        <f>F542-J542</f>
        <v/>
      </c>
      <c r="O542" s="16">
        <f>I542-H542</f>
        <v/>
      </c>
      <c r="P542" s="14">
        <f>F542*G542</f>
        <v/>
      </c>
      <c r="Q542" s="14">
        <f>J542*G542</f>
        <v/>
      </c>
      <c r="R542" s="14">
        <f>K542-Q542</f>
        <v/>
      </c>
      <c r="S542" s="3">
        <f>P542*Assumptions!$B$3/100</f>
        <v/>
      </c>
      <c r="T542" s="14">
        <f>R542-S542</f>
        <v/>
      </c>
      <c r="U542" s="14">
        <f>L542*G542</f>
        <v/>
      </c>
    </row>
    <row r="543">
      <c r="A543" s="12" t="inlineStr">
        <is>
          <t>PO-2021-0541</t>
        </is>
      </c>
      <c r="B543" s="26" t="n">
        <v>44817</v>
      </c>
      <c r="C543" s="12" t="inlineStr">
        <is>
          <t>VS20</t>
        </is>
      </c>
      <c r="D543" s="12" t="inlineStr">
        <is>
          <t>CR Sheets</t>
        </is>
      </c>
      <c r="E543" s="12" t="inlineStr">
        <is>
          <t>N</t>
        </is>
      </c>
      <c r="F543" s="12" t="n">
        <v>42.3</v>
      </c>
      <c r="G543" s="17" t="n">
        <v>109367.61</v>
      </c>
      <c r="H543" s="26" t="n">
        <v>44830</v>
      </c>
      <c r="I543" s="26" t="n">
        <v>44833</v>
      </c>
      <c r="J543" s="12" t="n">
        <v>42.02</v>
      </c>
      <c r="K543" s="17" t="n">
        <v>4626249.9</v>
      </c>
      <c r="L543" s="12" t="n">
        <v>0</v>
      </c>
      <c r="M543" s="12" t="n">
        <v>9</v>
      </c>
      <c r="N543" s="27">
        <f>F543-J543</f>
        <v/>
      </c>
      <c r="O543" s="16">
        <f>I543-H543</f>
        <v/>
      </c>
      <c r="P543" s="14">
        <f>F543*G543</f>
        <v/>
      </c>
      <c r="Q543" s="14">
        <f>J543*G543</f>
        <v/>
      </c>
      <c r="R543" s="14">
        <f>K543-Q543</f>
        <v/>
      </c>
      <c r="S543" s="3">
        <f>P543*Assumptions!$B$3/100</f>
        <v/>
      </c>
      <c r="T543" s="14">
        <f>R543-S543</f>
        <v/>
      </c>
      <c r="U543" s="14">
        <f>L543*G543</f>
        <v/>
      </c>
    </row>
    <row r="544">
      <c r="A544" s="12" t="inlineStr">
        <is>
          <t>PO-2021-0542</t>
        </is>
      </c>
      <c r="B544" s="26" t="n">
        <v>44398</v>
      </c>
      <c r="C544" s="12" t="inlineStr">
        <is>
          <t>VS15</t>
        </is>
      </c>
      <c r="D544" s="12" t="inlineStr">
        <is>
          <t>Square/Rect Tubes</t>
        </is>
      </c>
      <c r="E544" s="12" t="inlineStr">
        <is>
          <t>N</t>
        </is>
      </c>
      <c r="F544" s="12" t="n">
        <v>15.72</v>
      </c>
      <c r="G544" s="17" t="n">
        <v>100779.27</v>
      </c>
      <c r="H544" s="26" t="n">
        <v>44413</v>
      </c>
      <c r="I544" s="26" t="n">
        <v>44415</v>
      </c>
      <c r="J544" s="12" t="n">
        <v>15.62</v>
      </c>
      <c r="K544" s="17" t="n">
        <v>1584250.12</v>
      </c>
      <c r="L544" s="12" t="n">
        <v>0</v>
      </c>
      <c r="M544" s="12" t="n">
        <v>22</v>
      </c>
      <c r="N544" s="27">
        <f>F544-J544</f>
        <v/>
      </c>
      <c r="O544" s="16">
        <f>I544-H544</f>
        <v/>
      </c>
      <c r="P544" s="14">
        <f>F544*G544</f>
        <v/>
      </c>
      <c r="Q544" s="14">
        <f>J544*G544</f>
        <v/>
      </c>
      <c r="R544" s="14">
        <f>K544-Q544</f>
        <v/>
      </c>
      <c r="S544" s="3">
        <f>P544*Assumptions!$B$3/100</f>
        <v/>
      </c>
      <c r="T544" s="14">
        <f>R544-S544</f>
        <v/>
      </c>
      <c r="U544" s="14">
        <f>L544*G544</f>
        <v/>
      </c>
    </row>
    <row r="545">
      <c r="A545" s="12" t="inlineStr">
        <is>
          <t>PO-2021-0543</t>
        </is>
      </c>
      <c r="B545" s="26" t="n">
        <v>44854</v>
      </c>
      <c r="C545" s="12" t="inlineStr">
        <is>
          <t>VS18</t>
        </is>
      </c>
      <c r="D545" s="12" t="inlineStr">
        <is>
          <t>GI Wire</t>
        </is>
      </c>
      <c r="E545" s="12" t="inlineStr">
        <is>
          <t>N</t>
        </is>
      </c>
      <c r="F545" s="12" t="n">
        <v>30.64</v>
      </c>
      <c r="G545" s="17" t="n">
        <v>51696.51</v>
      </c>
      <c r="H545" s="26" t="n">
        <v>44864</v>
      </c>
      <c r="I545" s="26" t="n">
        <v>44864</v>
      </c>
      <c r="J545" s="12" t="n">
        <v>30.34</v>
      </c>
      <c r="K545" s="17" t="n">
        <v>1583981.07</v>
      </c>
      <c r="L545" s="12" t="n">
        <v>0</v>
      </c>
      <c r="M545" s="12" t="n">
        <v>0</v>
      </c>
      <c r="N545" s="27">
        <f>F545-J545</f>
        <v/>
      </c>
      <c r="O545" s="16">
        <f>I545-H545</f>
        <v/>
      </c>
      <c r="P545" s="14">
        <f>F545*G545</f>
        <v/>
      </c>
      <c r="Q545" s="14">
        <f>J545*G545</f>
        <v/>
      </c>
      <c r="R545" s="14">
        <f>K545-Q545</f>
        <v/>
      </c>
      <c r="S545" s="3">
        <f>P545*Assumptions!$B$3/100</f>
        <v/>
      </c>
      <c r="T545" s="14">
        <f>R545-S545</f>
        <v/>
      </c>
      <c r="U545" s="14">
        <f>L545*G545</f>
        <v/>
      </c>
    </row>
    <row r="546">
      <c r="A546" s="12" t="inlineStr">
        <is>
          <t>PO-2021-0544</t>
        </is>
      </c>
      <c r="B546" s="26" t="n">
        <v>44629</v>
      </c>
      <c r="C546" s="12" t="inlineStr">
        <is>
          <t>VS27</t>
        </is>
      </c>
      <c r="D546" s="12" t="inlineStr">
        <is>
          <t>Structural Steel</t>
        </is>
      </c>
      <c r="E546" s="12" t="inlineStr">
        <is>
          <t>N</t>
        </is>
      </c>
      <c r="F546" s="12" t="n">
        <v>38.22</v>
      </c>
      <c r="G546" s="17" t="n">
        <v>110039.17</v>
      </c>
      <c r="H546" s="26" t="n">
        <v>44632</v>
      </c>
      <c r="I546" s="26" t="n">
        <v>44632</v>
      </c>
      <c r="J546" s="12" t="n">
        <v>37.85</v>
      </c>
      <c r="K546" s="17" t="n">
        <v>4205697.08</v>
      </c>
      <c r="L546" s="12" t="n">
        <v>0</v>
      </c>
      <c r="M546" s="12" t="n">
        <v>5</v>
      </c>
      <c r="N546" s="27">
        <f>F546-J546</f>
        <v/>
      </c>
      <c r="O546" s="16">
        <f>I546-H546</f>
        <v/>
      </c>
      <c r="P546" s="14">
        <f>F546*G546</f>
        <v/>
      </c>
      <c r="Q546" s="14">
        <f>J546*G546</f>
        <v/>
      </c>
      <c r="R546" s="14">
        <f>K546-Q546</f>
        <v/>
      </c>
      <c r="S546" s="3">
        <f>P546*Assumptions!$B$3/100</f>
        <v/>
      </c>
      <c r="T546" s="14">
        <f>R546-S546</f>
        <v/>
      </c>
      <c r="U546" s="14">
        <f>L546*G546</f>
        <v/>
      </c>
    </row>
    <row r="547">
      <c r="A547" s="12" t="inlineStr">
        <is>
          <t>PO-2021-0545</t>
        </is>
      </c>
      <c r="B547" s="26" t="n">
        <v>45252</v>
      </c>
      <c r="C547" s="12" t="inlineStr">
        <is>
          <t>VS11</t>
        </is>
      </c>
      <c r="D547" s="12" t="inlineStr">
        <is>
          <t>SS Pipes</t>
        </is>
      </c>
      <c r="E547" s="12" t="inlineStr">
        <is>
          <t>Y</t>
        </is>
      </c>
      <c r="F547" s="12" t="n">
        <v>16.25</v>
      </c>
      <c r="G547" s="17" t="n">
        <v>83009.64999999999</v>
      </c>
      <c r="H547" s="26" t="n">
        <v>45257</v>
      </c>
      <c r="I547" s="26" t="n">
        <v>45259</v>
      </c>
      <c r="J547" s="12" t="n">
        <v>16.2</v>
      </c>
      <c r="K547" s="17" t="n">
        <v>1348906.81</v>
      </c>
      <c r="L547" s="12" t="n">
        <v>0</v>
      </c>
      <c r="M547" s="12" t="n">
        <v>16</v>
      </c>
      <c r="N547" s="27">
        <f>F547-J547</f>
        <v/>
      </c>
      <c r="O547" s="16">
        <f>I547-H547</f>
        <v/>
      </c>
      <c r="P547" s="14">
        <f>F547*G547</f>
        <v/>
      </c>
      <c r="Q547" s="14">
        <f>J547*G547</f>
        <v/>
      </c>
      <c r="R547" s="14">
        <f>K547-Q547</f>
        <v/>
      </c>
      <c r="S547" s="3">
        <f>P547*Assumptions!$B$3/100</f>
        <v/>
      </c>
      <c r="T547" s="14">
        <f>R547-S547</f>
        <v/>
      </c>
      <c r="U547" s="14">
        <f>L547*G547</f>
        <v/>
      </c>
    </row>
    <row r="548">
      <c r="A548" s="12" t="inlineStr">
        <is>
          <t>PO-2021-0546</t>
        </is>
      </c>
      <c r="B548" s="26" t="n">
        <v>45270</v>
      </c>
      <c r="C548" s="12" t="inlineStr">
        <is>
          <t>VS02</t>
        </is>
      </c>
      <c r="D548" s="12" t="inlineStr">
        <is>
          <t>MS Sheets</t>
        </is>
      </c>
      <c r="E548" s="12" t="inlineStr">
        <is>
          <t>N</t>
        </is>
      </c>
      <c r="F548" s="12" t="n">
        <v>10.45</v>
      </c>
      <c r="G548" s="17" t="n">
        <v>107469.74</v>
      </c>
      <c r="H548" s="26" t="n">
        <v>45273</v>
      </c>
      <c r="I548" s="26" t="n">
        <v>45274</v>
      </c>
      <c r="J548" s="12" t="n">
        <v>10.36</v>
      </c>
      <c r="K548" s="17" t="n">
        <v>1123058.78</v>
      </c>
      <c r="L548" s="12" t="n">
        <v>0</v>
      </c>
      <c r="M548" s="12" t="n">
        <v>20</v>
      </c>
      <c r="N548" s="27">
        <f>F548-J548</f>
        <v/>
      </c>
      <c r="O548" s="16">
        <f>I548-H548</f>
        <v/>
      </c>
      <c r="P548" s="14">
        <f>F548*G548</f>
        <v/>
      </c>
      <c r="Q548" s="14">
        <f>J548*G548</f>
        <v/>
      </c>
      <c r="R548" s="14">
        <f>K548-Q548</f>
        <v/>
      </c>
      <c r="S548" s="3">
        <f>P548*Assumptions!$B$3/100</f>
        <v/>
      </c>
      <c r="T548" s="14">
        <f>R548-S548</f>
        <v/>
      </c>
      <c r="U548" s="14">
        <f>L548*G548</f>
        <v/>
      </c>
    </row>
    <row r="549">
      <c r="A549" s="12" t="inlineStr">
        <is>
          <t>PO-2021-0547</t>
        </is>
      </c>
      <c r="B549" s="26" t="n">
        <v>44707</v>
      </c>
      <c r="C549" s="12" t="inlineStr">
        <is>
          <t>VS03</t>
        </is>
      </c>
      <c r="D549" s="12" t="inlineStr">
        <is>
          <t>Fasteners &amp; Fittings</t>
        </is>
      </c>
      <c r="E549" s="12" t="inlineStr">
        <is>
          <t>N</t>
        </is>
      </c>
      <c r="F549" s="12" t="n">
        <v>3.48</v>
      </c>
      <c r="G549" s="17" t="n">
        <v>74909.25999999999</v>
      </c>
      <c r="H549" s="26" t="n">
        <v>44713</v>
      </c>
      <c r="I549" s="26" t="n">
        <v>44720</v>
      </c>
      <c r="J549" s="12" t="n">
        <v>3.31</v>
      </c>
      <c r="K549" s="17" t="n">
        <v>260684.22</v>
      </c>
      <c r="L549" s="12" t="n">
        <v>0.03</v>
      </c>
      <c r="M549" s="12" t="n">
        <v>16</v>
      </c>
      <c r="N549" s="27">
        <f>F549-J549</f>
        <v/>
      </c>
      <c r="O549" s="16">
        <f>I549-H549</f>
        <v/>
      </c>
      <c r="P549" s="14">
        <f>F549*G549</f>
        <v/>
      </c>
      <c r="Q549" s="14">
        <f>J549*G549</f>
        <v/>
      </c>
      <c r="R549" s="14">
        <f>K549-Q549</f>
        <v/>
      </c>
      <c r="S549" s="3">
        <f>P549*Assumptions!$B$3/100</f>
        <v/>
      </c>
      <c r="T549" s="14">
        <f>R549-S549</f>
        <v/>
      </c>
      <c r="U549" s="14">
        <f>L549*G549</f>
        <v/>
      </c>
    </row>
    <row r="550">
      <c r="A550" s="12" t="inlineStr">
        <is>
          <t>PO-2021-0548</t>
        </is>
      </c>
      <c r="B550" s="26" t="n">
        <v>44758</v>
      </c>
      <c r="C550" s="12" t="inlineStr">
        <is>
          <t>VS24</t>
        </is>
      </c>
      <c r="D550" s="12" t="inlineStr">
        <is>
          <t>Fasteners &amp; Fittings</t>
        </is>
      </c>
      <c r="E550" s="12" t="inlineStr">
        <is>
          <t>N</t>
        </is>
      </c>
      <c r="F550" s="12" t="n">
        <v>25.75</v>
      </c>
      <c r="G550" s="17" t="n">
        <v>92655.74000000001</v>
      </c>
      <c r="H550" s="26" t="n">
        <v>44762</v>
      </c>
      <c r="I550" s="26" t="n">
        <v>44765</v>
      </c>
      <c r="J550" s="12" t="n">
        <v>25.53</v>
      </c>
      <c r="K550" s="17" t="n">
        <v>2385885.31</v>
      </c>
      <c r="L550" s="12" t="n">
        <v>0</v>
      </c>
      <c r="M550" s="12" t="n">
        <v>23</v>
      </c>
      <c r="N550" s="27">
        <f>F550-J550</f>
        <v/>
      </c>
      <c r="O550" s="16">
        <f>I550-H550</f>
        <v/>
      </c>
      <c r="P550" s="14">
        <f>F550*G550</f>
        <v/>
      </c>
      <c r="Q550" s="14">
        <f>J550*G550</f>
        <v/>
      </c>
      <c r="R550" s="14">
        <f>K550-Q550</f>
        <v/>
      </c>
      <c r="S550" s="3">
        <f>P550*Assumptions!$B$3/100</f>
        <v/>
      </c>
      <c r="T550" s="14">
        <f>R550-S550</f>
        <v/>
      </c>
      <c r="U550" s="14">
        <f>L550*G550</f>
        <v/>
      </c>
    </row>
    <row r="551">
      <c r="A551" s="12" t="inlineStr">
        <is>
          <t>PO-2021-0549</t>
        </is>
      </c>
      <c r="B551" s="26" t="n">
        <v>44259</v>
      </c>
      <c r="C551" s="12" t="inlineStr">
        <is>
          <t>VS16</t>
        </is>
      </c>
      <c r="D551" s="12" t="inlineStr">
        <is>
          <t>Angles &amp; Channels</t>
        </is>
      </c>
      <c r="E551" s="12" t="inlineStr">
        <is>
          <t>Y</t>
        </is>
      </c>
      <c r="F551" s="12" t="n">
        <v>24.95</v>
      </c>
      <c r="G551" s="17" t="n">
        <v>78457.75999999999</v>
      </c>
      <c r="H551" s="26" t="n">
        <v>44269</v>
      </c>
      <c r="I551" s="26" t="n">
        <v>44271</v>
      </c>
      <c r="J551" s="12" t="n">
        <v>24.71</v>
      </c>
      <c r="K551" s="17" t="n">
        <v>1957521.11</v>
      </c>
      <c r="L551" s="12" t="n">
        <v>0</v>
      </c>
      <c r="M551" s="12" t="n">
        <v>20</v>
      </c>
      <c r="N551" s="27">
        <f>F551-J551</f>
        <v/>
      </c>
      <c r="O551" s="16">
        <f>I551-H551</f>
        <v/>
      </c>
      <c r="P551" s="14">
        <f>F551*G551</f>
        <v/>
      </c>
      <c r="Q551" s="14">
        <f>J551*G551</f>
        <v/>
      </c>
      <c r="R551" s="14">
        <f>K551-Q551</f>
        <v/>
      </c>
      <c r="S551" s="3">
        <f>P551*Assumptions!$B$3/100</f>
        <v/>
      </c>
      <c r="T551" s="14">
        <f>R551-S551</f>
        <v/>
      </c>
      <c r="U551" s="14">
        <f>L551*G551</f>
        <v/>
      </c>
    </row>
    <row r="552">
      <c r="A552" s="12" t="inlineStr">
        <is>
          <t>PO-2021-0550</t>
        </is>
      </c>
      <c r="B552" s="26" t="n">
        <v>44913</v>
      </c>
      <c r="C552" s="12" t="inlineStr">
        <is>
          <t>VS23</t>
        </is>
      </c>
      <c r="D552" s="12" t="inlineStr">
        <is>
          <t>MS Sheets</t>
        </is>
      </c>
      <c r="E552" s="12" t="inlineStr">
        <is>
          <t>N</t>
        </is>
      </c>
      <c r="F552" s="12" t="n">
        <v>42.05</v>
      </c>
      <c r="G552" s="17" t="n">
        <v>64399.49</v>
      </c>
      <c r="H552" s="26" t="n">
        <v>44927</v>
      </c>
      <c r="I552" s="26" t="n">
        <v>44928</v>
      </c>
      <c r="J552" s="12" t="n">
        <v>41.63</v>
      </c>
      <c r="K552" s="17" t="n">
        <v>2707998.55</v>
      </c>
      <c r="L552" s="12" t="n">
        <v>0</v>
      </c>
      <c r="M552" s="12" t="n">
        <v>0</v>
      </c>
      <c r="N552" s="27">
        <f>F552-J552</f>
        <v/>
      </c>
      <c r="O552" s="16">
        <f>I552-H552</f>
        <v/>
      </c>
      <c r="P552" s="14">
        <f>F552*G552</f>
        <v/>
      </c>
      <c r="Q552" s="14">
        <f>J552*G552</f>
        <v/>
      </c>
      <c r="R552" s="14">
        <f>K552-Q552</f>
        <v/>
      </c>
      <c r="S552" s="3">
        <f>P552*Assumptions!$B$3/100</f>
        <v/>
      </c>
      <c r="T552" s="14">
        <f>R552-S552</f>
        <v/>
      </c>
      <c r="U552" s="14">
        <f>L552*G552</f>
        <v/>
      </c>
    </row>
    <row r="553">
      <c r="A553" s="12" t="inlineStr">
        <is>
          <t>PO-2021-0551</t>
        </is>
      </c>
      <c r="B553" s="26" t="n">
        <v>44382</v>
      </c>
      <c r="C553" s="12" t="inlineStr">
        <is>
          <t>VS19</t>
        </is>
      </c>
      <c r="D553" s="12" t="inlineStr">
        <is>
          <t>MS Pipes</t>
        </is>
      </c>
      <c r="E553" s="12" t="inlineStr">
        <is>
          <t>Y</t>
        </is>
      </c>
      <c r="F553" s="12" t="n">
        <v>19.94</v>
      </c>
      <c r="G553" s="17" t="n">
        <v>59506.78</v>
      </c>
      <c r="H553" s="26" t="n">
        <v>44394</v>
      </c>
      <c r="I553" s="26" t="n">
        <v>44401</v>
      </c>
      <c r="J553" s="12" t="n">
        <v>19.03</v>
      </c>
      <c r="K553" s="17" t="n">
        <v>1186565.19</v>
      </c>
      <c r="L553" s="12" t="n">
        <v>0.78</v>
      </c>
      <c r="M553" s="12" t="n">
        <v>23</v>
      </c>
      <c r="N553" s="27">
        <f>F553-J553</f>
        <v/>
      </c>
      <c r="O553" s="16">
        <f>I553-H553</f>
        <v/>
      </c>
      <c r="P553" s="14">
        <f>F553*G553</f>
        <v/>
      </c>
      <c r="Q553" s="14">
        <f>J553*G553</f>
        <v/>
      </c>
      <c r="R553" s="14">
        <f>K553-Q553</f>
        <v/>
      </c>
      <c r="S553" s="3">
        <f>P553*Assumptions!$B$3/100</f>
        <v/>
      </c>
      <c r="T553" s="14">
        <f>R553-S553</f>
        <v/>
      </c>
      <c r="U553" s="14">
        <f>L553*G553</f>
        <v/>
      </c>
    </row>
    <row r="554">
      <c r="A554" s="12" t="inlineStr">
        <is>
          <t>PO-2021-0552</t>
        </is>
      </c>
      <c r="B554" s="26" t="n">
        <v>44635</v>
      </c>
      <c r="C554" s="12" t="inlineStr">
        <is>
          <t>VS15</t>
        </is>
      </c>
      <c r="D554" s="12" t="inlineStr">
        <is>
          <t>HR Coils</t>
        </is>
      </c>
      <c r="E554" s="12" t="inlineStr">
        <is>
          <t>Y</t>
        </is>
      </c>
      <c r="F554" s="12" t="n">
        <v>34.21</v>
      </c>
      <c r="G554" s="17" t="n">
        <v>65181.27</v>
      </c>
      <c r="H554" s="26" t="n">
        <v>44644</v>
      </c>
      <c r="I554" s="26" t="n">
        <v>44645</v>
      </c>
      <c r="J554" s="12" t="n">
        <v>34.21</v>
      </c>
      <c r="K554" s="17" t="n">
        <v>2229851.25</v>
      </c>
      <c r="L554" s="12" t="n">
        <v>0</v>
      </c>
      <c r="M554" s="12" t="n">
        <v>6</v>
      </c>
      <c r="N554" s="27">
        <f>F554-J554</f>
        <v/>
      </c>
      <c r="O554" s="16">
        <f>I554-H554</f>
        <v/>
      </c>
      <c r="P554" s="14">
        <f>F554*G554</f>
        <v/>
      </c>
      <c r="Q554" s="14">
        <f>J554*G554</f>
        <v/>
      </c>
      <c r="R554" s="14">
        <f>K554-Q554</f>
        <v/>
      </c>
      <c r="S554" s="3">
        <f>P554*Assumptions!$B$3/100</f>
        <v/>
      </c>
      <c r="T554" s="14">
        <f>R554-S554</f>
        <v/>
      </c>
      <c r="U554" s="14">
        <f>L554*G554</f>
        <v/>
      </c>
    </row>
    <row r="555">
      <c r="A555" s="12" t="inlineStr">
        <is>
          <t>PO-2021-0553</t>
        </is>
      </c>
      <c r="B555" s="26" t="n">
        <v>45248</v>
      </c>
      <c r="C555" s="12" t="inlineStr">
        <is>
          <t>VS02</t>
        </is>
      </c>
      <c r="D555" s="12" t="inlineStr">
        <is>
          <t>MS Pipes</t>
        </is>
      </c>
      <c r="E555" s="12" t="inlineStr">
        <is>
          <t>N</t>
        </is>
      </c>
      <c r="F555" s="12" t="n">
        <v>24.23</v>
      </c>
      <c r="G555" s="17" t="n">
        <v>54923.56</v>
      </c>
      <c r="H555" s="26" t="n">
        <v>45253</v>
      </c>
      <c r="I555" s="26" t="n">
        <v>45254</v>
      </c>
      <c r="J555" s="12" t="n">
        <v>24.13</v>
      </c>
      <c r="K555" s="17" t="n">
        <v>1330797.86</v>
      </c>
      <c r="L555" s="12" t="n">
        <v>0</v>
      </c>
      <c r="M555" s="12" t="n">
        <v>8</v>
      </c>
      <c r="N555" s="27">
        <f>F555-J555</f>
        <v/>
      </c>
      <c r="O555" s="16">
        <f>I555-H555</f>
        <v/>
      </c>
      <c r="P555" s="14">
        <f>F555*G555</f>
        <v/>
      </c>
      <c r="Q555" s="14">
        <f>J555*G555</f>
        <v/>
      </c>
      <c r="R555" s="14">
        <f>K555-Q555</f>
        <v/>
      </c>
      <c r="S555" s="3">
        <f>P555*Assumptions!$B$3/100</f>
        <v/>
      </c>
      <c r="T555" s="14">
        <f>R555-S555</f>
        <v/>
      </c>
      <c r="U555" s="14">
        <f>L555*G555</f>
        <v/>
      </c>
    </row>
    <row r="556">
      <c r="A556" s="12" t="inlineStr">
        <is>
          <t>PO-2021-0554</t>
        </is>
      </c>
      <c r="B556" s="26" t="n">
        <v>44214</v>
      </c>
      <c r="C556" s="12" t="inlineStr">
        <is>
          <t>VS15</t>
        </is>
      </c>
      <c r="D556" s="12" t="inlineStr">
        <is>
          <t>CR Sheets</t>
        </is>
      </c>
      <c r="E556" s="12" t="inlineStr">
        <is>
          <t>N</t>
        </is>
      </c>
      <c r="F556" s="12" t="n">
        <v>30.81</v>
      </c>
      <c r="G556" s="17" t="n">
        <v>115725.37</v>
      </c>
      <c r="H556" s="26" t="n">
        <v>44228</v>
      </c>
      <c r="I556" s="26" t="n">
        <v>44229</v>
      </c>
      <c r="J556" s="12" t="n">
        <v>30.76</v>
      </c>
      <c r="K556" s="17" t="n">
        <v>3565498.65</v>
      </c>
      <c r="L556" s="12" t="n">
        <v>0</v>
      </c>
      <c r="M556" s="12" t="n">
        <v>0</v>
      </c>
      <c r="N556" s="27">
        <f>F556-J556</f>
        <v/>
      </c>
      <c r="O556" s="16">
        <f>I556-H556</f>
        <v/>
      </c>
      <c r="P556" s="14">
        <f>F556*G556</f>
        <v/>
      </c>
      <c r="Q556" s="14">
        <f>J556*G556</f>
        <v/>
      </c>
      <c r="R556" s="14">
        <f>K556-Q556</f>
        <v/>
      </c>
      <c r="S556" s="3">
        <f>P556*Assumptions!$B$3/100</f>
        <v/>
      </c>
      <c r="T556" s="14">
        <f>R556-S556</f>
        <v/>
      </c>
      <c r="U556" s="14">
        <f>L556*G556</f>
        <v/>
      </c>
    </row>
    <row r="557">
      <c r="A557" s="12" t="inlineStr">
        <is>
          <t>PO-2021-0555</t>
        </is>
      </c>
      <c r="B557" s="26" t="n">
        <v>44760</v>
      </c>
      <c r="C557" s="12" t="inlineStr">
        <is>
          <t>VS28</t>
        </is>
      </c>
      <c r="D557" s="12" t="inlineStr">
        <is>
          <t>MS Rods</t>
        </is>
      </c>
      <c r="E557" s="12" t="inlineStr">
        <is>
          <t>N</t>
        </is>
      </c>
      <c r="F557" s="12" t="n">
        <v>42.73</v>
      </c>
      <c r="G557" s="17" t="n">
        <v>79424.85000000001</v>
      </c>
      <c r="H557" s="26" t="n">
        <v>44766</v>
      </c>
      <c r="I557" s="26" t="n">
        <v>44766</v>
      </c>
      <c r="J557" s="12" t="n">
        <v>42.67</v>
      </c>
      <c r="K557" s="17" t="n">
        <v>3393823.84</v>
      </c>
      <c r="L557" s="12" t="n">
        <v>0</v>
      </c>
      <c r="M557" s="12" t="n">
        <v>0</v>
      </c>
      <c r="N557" s="27">
        <f>F557-J557</f>
        <v/>
      </c>
      <c r="O557" s="16">
        <f>I557-H557</f>
        <v/>
      </c>
      <c r="P557" s="14">
        <f>F557*G557</f>
        <v/>
      </c>
      <c r="Q557" s="14">
        <f>J557*G557</f>
        <v/>
      </c>
      <c r="R557" s="14">
        <f>K557-Q557</f>
        <v/>
      </c>
      <c r="S557" s="3">
        <f>P557*Assumptions!$B$3/100</f>
        <v/>
      </c>
      <c r="T557" s="14">
        <f>R557-S557</f>
        <v/>
      </c>
      <c r="U557" s="14">
        <f>L557*G557</f>
        <v/>
      </c>
    </row>
    <row r="558">
      <c r="A558" s="12" t="inlineStr">
        <is>
          <t>PO-2021-0556</t>
        </is>
      </c>
      <c r="B558" s="26" t="n">
        <v>45152</v>
      </c>
      <c r="C558" s="12" t="inlineStr">
        <is>
          <t>VS20</t>
        </is>
      </c>
      <c r="D558" s="12" t="inlineStr">
        <is>
          <t>Hex Bars</t>
        </is>
      </c>
      <c r="E558" s="12" t="inlineStr">
        <is>
          <t>N</t>
        </is>
      </c>
      <c r="F558" s="12" t="n">
        <v>41.39</v>
      </c>
      <c r="G558" s="17" t="n">
        <v>74786.44</v>
      </c>
      <c r="H558" s="26" t="n">
        <v>45156</v>
      </c>
      <c r="I558" s="26" t="n">
        <v>45159</v>
      </c>
      <c r="J558" s="12" t="n">
        <v>41.27</v>
      </c>
      <c r="K558" s="17" t="n">
        <v>3095410.75</v>
      </c>
      <c r="L558" s="12" t="n">
        <v>0</v>
      </c>
      <c r="M558" s="12" t="n">
        <v>0</v>
      </c>
      <c r="N558" s="27">
        <f>F558-J558</f>
        <v/>
      </c>
      <c r="O558" s="16">
        <f>I558-H558</f>
        <v/>
      </c>
      <c r="P558" s="14">
        <f>F558*G558</f>
        <v/>
      </c>
      <c r="Q558" s="14">
        <f>J558*G558</f>
        <v/>
      </c>
      <c r="R558" s="14">
        <f>K558-Q558</f>
        <v/>
      </c>
      <c r="S558" s="3">
        <f>P558*Assumptions!$B$3/100</f>
        <v/>
      </c>
      <c r="T558" s="14">
        <f>R558-S558</f>
        <v/>
      </c>
      <c r="U558" s="14">
        <f>L558*G558</f>
        <v/>
      </c>
    </row>
    <row r="559">
      <c r="A559" s="12" t="inlineStr">
        <is>
          <t>PO-2021-0557</t>
        </is>
      </c>
      <c r="B559" s="26" t="n">
        <v>44212</v>
      </c>
      <c r="C559" s="12" t="inlineStr">
        <is>
          <t>VS33</t>
        </is>
      </c>
      <c r="D559" s="12" t="inlineStr">
        <is>
          <t>Angles &amp; Channels</t>
        </is>
      </c>
      <c r="E559" s="12" t="inlineStr">
        <is>
          <t>N</t>
        </is>
      </c>
      <c r="F559" s="12" t="n">
        <v>28.51</v>
      </c>
      <c r="G559" s="17" t="n">
        <v>89532.94</v>
      </c>
      <c r="H559" s="26" t="n">
        <v>44219</v>
      </c>
      <c r="I559" s="26" t="n">
        <v>44219</v>
      </c>
      <c r="J559" s="12" t="n">
        <v>28.35</v>
      </c>
      <c r="K559" s="17" t="n">
        <v>2552584.12</v>
      </c>
      <c r="L559" s="12" t="n">
        <v>0</v>
      </c>
      <c r="M559" s="12" t="n">
        <v>9</v>
      </c>
      <c r="N559" s="27">
        <f>F559-J559</f>
        <v/>
      </c>
      <c r="O559" s="16">
        <f>I559-H559</f>
        <v/>
      </c>
      <c r="P559" s="14">
        <f>F559*G559</f>
        <v/>
      </c>
      <c r="Q559" s="14">
        <f>J559*G559</f>
        <v/>
      </c>
      <c r="R559" s="14">
        <f>K559-Q559</f>
        <v/>
      </c>
      <c r="S559" s="3">
        <f>P559*Assumptions!$B$3/100</f>
        <v/>
      </c>
      <c r="T559" s="14">
        <f>R559-S559</f>
        <v/>
      </c>
      <c r="U559" s="14">
        <f>L559*G559</f>
        <v/>
      </c>
    </row>
    <row r="560">
      <c r="A560" s="12" t="inlineStr">
        <is>
          <t>PO-2021-0558</t>
        </is>
      </c>
      <c r="B560" s="26" t="n">
        <v>44808</v>
      </c>
      <c r="C560" s="12" t="inlineStr">
        <is>
          <t>VS07</t>
        </is>
      </c>
      <c r="D560" s="12" t="inlineStr">
        <is>
          <t>Structural Steel</t>
        </is>
      </c>
      <c r="E560" s="12" t="inlineStr">
        <is>
          <t>N</t>
        </is>
      </c>
      <c r="F560" s="12" t="n">
        <v>4.13</v>
      </c>
      <c r="G560" s="17" t="n">
        <v>119127.07</v>
      </c>
      <c r="H560" s="26" t="n">
        <v>44821</v>
      </c>
      <c r="I560" s="26" t="n">
        <v>44824</v>
      </c>
      <c r="J560" s="12" t="n">
        <v>4.12</v>
      </c>
      <c r="K560" s="17" t="n">
        <v>491994.8</v>
      </c>
      <c r="L560" s="12" t="n">
        <v>0</v>
      </c>
      <c r="M560" s="12" t="n">
        <v>15</v>
      </c>
      <c r="N560" s="27">
        <f>F560-J560</f>
        <v/>
      </c>
      <c r="O560" s="16">
        <f>I560-H560</f>
        <v/>
      </c>
      <c r="P560" s="14">
        <f>F560*G560</f>
        <v/>
      </c>
      <c r="Q560" s="14">
        <f>J560*G560</f>
        <v/>
      </c>
      <c r="R560" s="14">
        <f>K560-Q560</f>
        <v/>
      </c>
      <c r="S560" s="3">
        <f>P560*Assumptions!$B$3/100</f>
        <v/>
      </c>
      <c r="T560" s="14">
        <f>R560-S560</f>
        <v/>
      </c>
      <c r="U560" s="14">
        <f>L560*G560</f>
        <v/>
      </c>
    </row>
    <row r="561">
      <c r="A561" s="12" t="inlineStr">
        <is>
          <t>PO-2021-0559</t>
        </is>
      </c>
      <c r="B561" s="26" t="n">
        <v>44862</v>
      </c>
      <c r="C561" s="12" t="inlineStr">
        <is>
          <t>VS18</t>
        </is>
      </c>
      <c r="D561" s="12" t="inlineStr">
        <is>
          <t>CR Sheets</t>
        </is>
      </c>
      <c r="E561" s="12" t="inlineStr">
        <is>
          <t>N</t>
        </is>
      </c>
      <c r="F561" s="12" t="n">
        <v>33.15</v>
      </c>
      <c r="G561" s="17" t="n">
        <v>116414.08</v>
      </c>
      <c r="H561" s="26" t="n">
        <v>44875</v>
      </c>
      <c r="I561" s="26" t="n">
        <v>44877</v>
      </c>
      <c r="J561" s="12" t="n">
        <v>32.82</v>
      </c>
      <c r="K561" s="17" t="n">
        <v>3859126.75</v>
      </c>
      <c r="L561" s="12" t="n">
        <v>0</v>
      </c>
      <c r="M561" s="12" t="n">
        <v>20</v>
      </c>
      <c r="N561" s="27">
        <f>F561-J561</f>
        <v/>
      </c>
      <c r="O561" s="16">
        <f>I561-H561</f>
        <v/>
      </c>
      <c r="P561" s="14">
        <f>F561*G561</f>
        <v/>
      </c>
      <c r="Q561" s="14">
        <f>J561*G561</f>
        <v/>
      </c>
      <c r="R561" s="14">
        <f>K561-Q561</f>
        <v/>
      </c>
      <c r="S561" s="3">
        <f>P561*Assumptions!$B$3/100</f>
        <v/>
      </c>
      <c r="T561" s="14">
        <f>R561-S561</f>
        <v/>
      </c>
      <c r="U561" s="14">
        <f>L561*G561</f>
        <v/>
      </c>
    </row>
    <row r="562">
      <c r="A562" s="12" t="inlineStr">
        <is>
          <t>PO-2021-0560</t>
        </is>
      </c>
      <c r="B562" s="26" t="n">
        <v>44808</v>
      </c>
      <c r="C562" s="12" t="inlineStr">
        <is>
          <t>VS13</t>
        </is>
      </c>
      <c r="D562" s="12" t="inlineStr">
        <is>
          <t>Square/Rect Tubes</t>
        </is>
      </c>
      <c r="E562" s="12" t="inlineStr">
        <is>
          <t>N</t>
        </is>
      </c>
      <c r="F562" s="12" t="n">
        <v>26.35</v>
      </c>
      <c r="G562" s="17" t="n">
        <v>63022.66</v>
      </c>
      <c r="H562" s="26" t="n">
        <v>44811</v>
      </c>
      <c r="I562" s="26" t="n">
        <v>44811</v>
      </c>
      <c r="J562" s="12" t="n">
        <v>26.15</v>
      </c>
      <c r="K562" s="17" t="n">
        <v>1660647.09</v>
      </c>
      <c r="L562" s="12" t="n">
        <v>0</v>
      </c>
      <c r="M562" s="12" t="n">
        <v>13</v>
      </c>
      <c r="N562" s="27">
        <f>F562-J562</f>
        <v/>
      </c>
      <c r="O562" s="16">
        <f>I562-H562</f>
        <v/>
      </c>
      <c r="P562" s="14">
        <f>F562*G562</f>
        <v/>
      </c>
      <c r="Q562" s="14">
        <f>J562*G562</f>
        <v/>
      </c>
      <c r="R562" s="14">
        <f>K562-Q562</f>
        <v/>
      </c>
      <c r="S562" s="3">
        <f>P562*Assumptions!$B$3/100</f>
        <v/>
      </c>
      <c r="T562" s="14">
        <f>R562-S562</f>
        <v/>
      </c>
      <c r="U562" s="14">
        <f>L562*G562</f>
        <v/>
      </c>
    </row>
    <row r="563">
      <c r="A563" s="12" t="inlineStr">
        <is>
          <t>PO-2021-0561</t>
        </is>
      </c>
      <c r="B563" s="26" t="n">
        <v>45024</v>
      </c>
      <c r="C563" s="12" t="inlineStr">
        <is>
          <t>VS21</t>
        </is>
      </c>
      <c r="D563" s="12" t="inlineStr">
        <is>
          <t>Square/Rect Tubes</t>
        </is>
      </c>
      <c r="E563" s="12" t="inlineStr">
        <is>
          <t>N</t>
        </is>
      </c>
      <c r="F563" s="12" t="n">
        <v>36.34</v>
      </c>
      <c r="G563" s="17" t="n">
        <v>94155.03999999999</v>
      </c>
      <c r="H563" s="26" t="n">
        <v>45031</v>
      </c>
      <c r="I563" s="26" t="n">
        <v>45033</v>
      </c>
      <c r="J563" s="12" t="n">
        <v>36</v>
      </c>
      <c r="K563" s="17" t="n">
        <v>3421594.15</v>
      </c>
      <c r="L563" s="12" t="n">
        <v>0</v>
      </c>
      <c r="M563" s="12" t="n">
        <v>25</v>
      </c>
      <c r="N563" s="27">
        <f>F563-J563</f>
        <v/>
      </c>
      <c r="O563" s="16">
        <f>I563-H563</f>
        <v/>
      </c>
      <c r="P563" s="14">
        <f>F563*G563</f>
        <v/>
      </c>
      <c r="Q563" s="14">
        <f>J563*G563</f>
        <v/>
      </c>
      <c r="R563" s="14">
        <f>K563-Q563</f>
        <v/>
      </c>
      <c r="S563" s="3">
        <f>P563*Assumptions!$B$3/100</f>
        <v/>
      </c>
      <c r="T563" s="14">
        <f>R563-S563</f>
        <v/>
      </c>
      <c r="U563" s="14">
        <f>L563*G563</f>
        <v/>
      </c>
    </row>
    <row r="564">
      <c r="A564" s="12" t="inlineStr">
        <is>
          <t>PO-2021-0562</t>
        </is>
      </c>
      <c r="B564" s="26" t="n">
        <v>44728</v>
      </c>
      <c r="C564" s="12" t="inlineStr">
        <is>
          <t>VS27</t>
        </is>
      </c>
      <c r="D564" s="12" t="inlineStr">
        <is>
          <t>MS Rods</t>
        </is>
      </c>
      <c r="E564" s="12" t="inlineStr">
        <is>
          <t>N</t>
        </is>
      </c>
      <c r="F564" s="12" t="n">
        <v>20.03</v>
      </c>
      <c r="G564" s="17" t="n">
        <v>47648.93</v>
      </c>
      <c r="H564" s="26" t="n">
        <v>44742</v>
      </c>
      <c r="I564" s="26" t="n">
        <v>44745</v>
      </c>
      <c r="J564" s="12" t="n">
        <v>19.85</v>
      </c>
      <c r="K564" s="17" t="n">
        <v>954408.0699999999</v>
      </c>
      <c r="L564" s="12" t="n">
        <v>0</v>
      </c>
      <c r="M564" s="12" t="n">
        <v>0</v>
      </c>
      <c r="N564" s="27">
        <f>F564-J564</f>
        <v/>
      </c>
      <c r="O564" s="16">
        <f>I564-H564</f>
        <v/>
      </c>
      <c r="P564" s="14">
        <f>F564*G564</f>
        <v/>
      </c>
      <c r="Q564" s="14">
        <f>J564*G564</f>
        <v/>
      </c>
      <c r="R564" s="14">
        <f>K564-Q564</f>
        <v/>
      </c>
      <c r="S564" s="3">
        <f>P564*Assumptions!$B$3/100</f>
        <v/>
      </c>
      <c r="T564" s="14">
        <f>R564-S564</f>
        <v/>
      </c>
      <c r="U564" s="14">
        <f>L564*G564</f>
        <v/>
      </c>
    </row>
    <row r="565">
      <c r="A565" s="12" t="inlineStr">
        <is>
          <t>PO-2021-0563</t>
        </is>
      </c>
      <c r="B565" s="26" t="n">
        <v>44585</v>
      </c>
      <c r="C565" s="12" t="inlineStr">
        <is>
          <t>VS22</t>
        </is>
      </c>
      <c r="D565" s="12" t="inlineStr">
        <is>
          <t>HR Coils</t>
        </is>
      </c>
      <c r="E565" s="12" t="inlineStr">
        <is>
          <t>N</t>
        </is>
      </c>
      <c r="F565" s="12" t="n">
        <v>34.63</v>
      </c>
      <c r="G565" s="17" t="n">
        <v>92873.52</v>
      </c>
      <c r="H565" s="26" t="n">
        <v>44595</v>
      </c>
      <c r="I565" s="26" t="n">
        <v>44597</v>
      </c>
      <c r="J565" s="12" t="n">
        <v>34.48</v>
      </c>
      <c r="K565" s="17" t="n">
        <v>3216210</v>
      </c>
      <c r="L565" s="12" t="n">
        <v>0</v>
      </c>
      <c r="M565" s="12" t="n">
        <v>7</v>
      </c>
      <c r="N565" s="27">
        <f>F565-J565</f>
        <v/>
      </c>
      <c r="O565" s="16">
        <f>I565-H565</f>
        <v/>
      </c>
      <c r="P565" s="14">
        <f>F565*G565</f>
        <v/>
      </c>
      <c r="Q565" s="14">
        <f>J565*G565</f>
        <v/>
      </c>
      <c r="R565" s="14">
        <f>K565-Q565</f>
        <v/>
      </c>
      <c r="S565" s="3">
        <f>P565*Assumptions!$B$3/100</f>
        <v/>
      </c>
      <c r="T565" s="14">
        <f>R565-S565</f>
        <v/>
      </c>
      <c r="U565" s="14">
        <f>L565*G565</f>
        <v/>
      </c>
    </row>
    <row r="566">
      <c r="A566" s="12" t="inlineStr">
        <is>
          <t>PO-2021-0564</t>
        </is>
      </c>
      <c r="B566" s="26" t="n">
        <v>44931</v>
      </c>
      <c r="C566" s="12" t="inlineStr">
        <is>
          <t>VS33</t>
        </is>
      </c>
      <c r="D566" s="12" t="inlineStr">
        <is>
          <t>SS Sheets</t>
        </is>
      </c>
      <c r="E566" s="12" t="inlineStr">
        <is>
          <t>N</t>
        </is>
      </c>
      <c r="F566" s="12" t="n">
        <v>42.43</v>
      </c>
      <c r="G566" s="17" t="n">
        <v>108047.9</v>
      </c>
      <c r="H566" s="26" t="n">
        <v>44942</v>
      </c>
      <c r="I566" s="26" t="n">
        <v>44942</v>
      </c>
      <c r="J566" s="12" t="n">
        <v>42.3</v>
      </c>
      <c r="K566" s="17" t="n">
        <v>4584472.4</v>
      </c>
      <c r="L566" s="12" t="n">
        <v>0</v>
      </c>
      <c r="M566" s="12" t="n">
        <v>0</v>
      </c>
      <c r="N566" s="27">
        <f>F566-J566</f>
        <v/>
      </c>
      <c r="O566" s="16">
        <f>I566-H566</f>
        <v/>
      </c>
      <c r="P566" s="14">
        <f>F566*G566</f>
        <v/>
      </c>
      <c r="Q566" s="14">
        <f>J566*G566</f>
        <v/>
      </c>
      <c r="R566" s="14">
        <f>K566-Q566</f>
        <v/>
      </c>
      <c r="S566" s="3">
        <f>P566*Assumptions!$B$3/100</f>
        <v/>
      </c>
      <c r="T566" s="14">
        <f>R566-S566</f>
        <v/>
      </c>
      <c r="U566" s="14">
        <f>L566*G566</f>
        <v/>
      </c>
    </row>
    <row r="567">
      <c r="A567" s="12" t="inlineStr">
        <is>
          <t>PO-2021-0565</t>
        </is>
      </c>
      <c r="B567" s="26" t="n">
        <v>44567</v>
      </c>
      <c r="C567" s="12" t="inlineStr">
        <is>
          <t>VS19</t>
        </is>
      </c>
      <c r="D567" s="12" t="inlineStr">
        <is>
          <t>ERW Pipes</t>
        </is>
      </c>
      <c r="E567" s="12" t="inlineStr">
        <is>
          <t>Y</t>
        </is>
      </c>
      <c r="F567" s="12" t="n">
        <v>24.07</v>
      </c>
      <c r="G567" s="17" t="n">
        <v>104591.67</v>
      </c>
      <c r="H567" s="26" t="n">
        <v>44581</v>
      </c>
      <c r="I567" s="26" t="n">
        <v>44589</v>
      </c>
      <c r="J567" s="12" t="n">
        <v>23.4</v>
      </c>
      <c r="K567" s="17" t="n">
        <v>2517521.5</v>
      </c>
      <c r="L567" s="12" t="n">
        <v>0.65</v>
      </c>
      <c r="M567" s="12" t="n">
        <v>0</v>
      </c>
      <c r="N567" s="27">
        <f>F567-J567</f>
        <v/>
      </c>
      <c r="O567" s="16">
        <f>I567-H567</f>
        <v/>
      </c>
      <c r="P567" s="14">
        <f>F567*G567</f>
        <v/>
      </c>
      <c r="Q567" s="14">
        <f>J567*G567</f>
        <v/>
      </c>
      <c r="R567" s="14">
        <f>K567-Q567</f>
        <v/>
      </c>
      <c r="S567" s="3">
        <f>P567*Assumptions!$B$3/100</f>
        <v/>
      </c>
      <c r="T567" s="14">
        <f>R567-S567</f>
        <v/>
      </c>
      <c r="U567" s="14">
        <f>L567*G567</f>
        <v/>
      </c>
    </row>
    <row r="568">
      <c r="A568" s="12" t="inlineStr">
        <is>
          <t>PO-2021-0566</t>
        </is>
      </c>
      <c r="B568" s="26" t="n">
        <v>44571</v>
      </c>
      <c r="C568" s="12" t="inlineStr">
        <is>
          <t>VS22</t>
        </is>
      </c>
      <c r="D568" s="12" t="inlineStr">
        <is>
          <t>SS Pipes</t>
        </is>
      </c>
      <c r="E568" s="12" t="inlineStr">
        <is>
          <t>N</t>
        </is>
      </c>
      <c r="F568" s="12" t="n">
        <v>11.89</v>
      </c>
      <c r="G568" s="17" t="n">
        <v>61749.59</v>
      </c>
      <c r="H568" s="26" t="n">
        <v>44578</v>
      </c>
      <c r="I568" s="26" t="n">
        <v>44580</v>
      </c>
      <c r="J568" s="12" t="n">
        <v>11.86</v>
      </c>
      <c r="K568" s="17" t="n">
        <v>734202.63</v>
      </c>
      <c r="L568" s="12" t="n">
        <v>0</v>
      </c>
      <c r="M568" s="12" t="n">
        <v>3</v>
      </c>
      <c r="N568" s="27">
        <f>F568-J568</f>
        <v/>
      </c>
      <c r="O568" s="16">
        <f>I568-H568</f>
        <v/>
      </c>
      <c r="P568" s="14">
        <f>F568*G568</f>
        <v/>
      </c>
      <c r="Q568" s="14">
        <f>J568*G568</f>
        <v/>
      </c>
      <c r="R568" s="14">
        <f>K568-Q568</f>
        <v/>
      </c>
      <c r="S568" s="3">
        <f>P568*Assumptions!$B$3/100</f>
        <v/>
      </c>
      <c r="T568" s="14">
        <f>R568-S568</f>
        <v/>
      </c>
      <c r="U568" s="14">
        <f>L568*G568</f>
        <v/>
      </c>
    </row>
    <row r="569">
      <c r="A569" s="12" t="inlineStr">
        <is>
          <t>PO-2021-0567</t>
        </is>
      </c>
      <c r="B569" s="26" t="n">
        <v>45058</v>
      </c>
      <c r="C569" s="12" t="inlineStr">
        <is>
          <t>VS22</t>
        </is>
      </c>
      <c r="D569" s="12" t="inlineStr">
        <is>
          <t>Angles &amp; Channels</t>
        </is>
      </c>
      <c r="E569" s="12" t="inlineStr">
        <is>
          <t>N</t>
        </is>
      </c>
      <c r="F569" s="12" t="n">
        <v>13.77</v>
      </c>
      <c r="G569" s="17" t="n">
        <v>67053.83</v>
      </c>
      <c r="H569" s="26" t="n">
        <v>45062</v>
      </c>
      <c r="I569" s="26" t="n">
        <v>45065</v>
      </c>
      <c r="J569" s="12" t="n">
        <v>13.69</v>
      </c>
      <c r="K569" s="17" t="n">
        <v>923331.24</v>
      </c>
      <c r="L569" s="12" t="n">
        <v>0</v>
      </c>
      <c r="M569" s="12" t="n">
        <v>0</v>
      </c>
      <c r="N569" s="27">
        <f>F569-J569</f>
        <v/>
      </c>
      <c r="O569" s="16">
        <f>I569-H569</f>
        <v/>
      </c>
      <c r="P569" s="14">
        <f>F569*G569</f>
        <v/>
      </c>
      <c r="Q569" s="14">
        <f>J569*G569</f>
        <v/>
      </c>
      <c r="R569" s="14">
        <f>K569-Q569</f>
        <v/>
      </c>
      <c r="S569" s="3">
        <f>P569*Assumptions!$B$3/100</f>
        <v/>
      </c>
      <c r="T569" s="14">
        <f>R569-S569</f>
        <v/>
      </c>
      <c r="U569" s="14">
        <f>L569*G569</f>
        <v/>
      </c>
    </row>
    <row r="570">
      <c r="A570" s="12" t="inlineStr">
        <is>
          <t>PO-2021-0568</t>
        </is>
      </c>
      <c r="B570" s="26" t="n">
        <v>45160</v>
      </c>
      <c r="C570" s="12" t="inlineStr">
        <is>
          <t>VS04</t>
        </is>
      </c>
      <c r="D570" s="12" t="inlineStr">
        <is>
          <t>SS Pipes</t>
        </is>
      </c>
      <c r="E570" s="12" t="inlineStr">
        <is>
          <t>N</t>
        </is>
      </c>
      <c r="F570" s="12" t="n">
        <v>24.14</v>
      </c>
      <c r="G570" s="17" t="n">
        <v>59590.79</v>
      </c>
      <c r="H570" s="26" t="n">
        <v>45164</v>
      </c>
      <c r="I570" s="26" t="n">
        <v>45167</v>
      </c>
      <c r="J570" s="12" t="n">
        <v>24.1</v>
      </c>
      <c r="K570" s="17" t="n">
        <v>1438521.67</v>
      </c>
      <c r="L570" s="12" t="n">
        <v>0</v>
      </c>
      <c r="M570" s="12" t="n">
        <v>0</v>
      </c>
      <c r="N570" s="27">
        <f>F570-J570</f>
        <v/>
      </c>
      <c r="O570" s="16">
        <f>I570-H570</f>
        <v/>
      </c>
      <c r="P570" s="14">
        <f>F570*G570</f>
        <v/>
      </c>
      <c r="Q570" s="14">
        <f>J570*G570</f>
        <v/>
      </c>
      <c r="R570" s="14">
        <f>K570-Q570</f>
        <v/>
      </c>
      <c r="S570" s="3">
        <f>P570*Assumptions!$B$3/100</f>
        <v/>
      </c>
      <c r="T570" s="14">
        <f>R570-S570</f>
        <v/>
      </c>
      <c r="U570" s="14">
        <f>L570*G570</f>
        <v/>
      </c>
    </row>
    <row r="571">
      <c r="A571" s="12" t="inlineStr">
        <is>
          <t>PO-2021-0569</t>
        </is>
      </c>
      <c r="B571" s="26" t="n">
        <v>44978</v>
      </c>
      <c r="C571" s="12" t="inlineStr">
        <is>
          <t>VS34</t>
        </is>
      </c>
      <c r="D571" s="12" t="inlineStr">
        <is>
          <t>SS Sheets</t>
        </is>
      </c>
      <c r="E571" s="12" t="inlineStr">
        <is>
          <t>N</t>
        </is>
      </c>
      <c r="F571" s="12" t="n">
        <v>21.24</v>
      </c>
      <c r="G571" s="17" t="n">
        <v>110313.69</v>
      </c>
      <c r="H571" s="26" t="n">
        <v>44983</v>
      </c>
      <c r="I571" s="26" t="n">
        <v>44983</v>
      </c>
      <c r="J571" s="12" t="n">
        <v>21.15</v>
      </c>
      <c r="K571" s="17" t="n">
        <v>2343062.78</v>
      </c>
      <c r="L571" s="12" t="n">
        <v>0</v>
      </c>
      <c r="M571" s="12" t="n">
        <v>19</v>
      </c>
      <c r="N571" s="27">
        <f>F571-J571</f>
        <v/>
      </c>
      <c r="O571" s="16">
        <f>I571-H571</f>
        <v/>
      </c>
      <c r="P571" s="14">
        <f>F571*G571</f>
        <v/>
      </c>
      <c r="Q571" s="14">
        <f>J571*G571</f>
        <v/>
      </c>
      <c r="R571" s="14">
        <f>K571-Q571</f>
        <v/>
      </c>
      <c r="S571" s="3">
        <f>P571*Assumptions!$B$3/100</f>
        <v/>
      </c>
      <c r="T571" s="14">
        <f>R571-S571</f>
        <v/>
      </c>
      <c r="U571" s="14">
        <f>L571*G571</f>
        <v/>
      </c>
    </row>
    <row r="572">
      <c r="A572" s="12" t="inlineStr">
        <is>
          <t>PO-2021-0570</t>
        </is>
      </c>
      <c r="B572" s="26" t="n">
        <v>44478</v>
      </c>
      <c r="C572" s="12" t="inlineStr">
        <is>
          <t>VS13</t>
        </is>
      </c>
      <c r="D572" s="12" t="inlineStr">
        <is>
          <t>MS Flats</t>
        </is>
      </c>
      <c r="E572" s="12" t="inlineStr">
        <is>
          <t>N</t>
        </is>
      </c>
      <c r="F572" s="12" t="n">
        <v>21.05</v>
      </c>
      <c r="G572" s="17" t="n">
        <v>87705.27</v>
      </c>
      <c r="H572" s="26" t="n">
        <v>44488</v>
      </c>
      <c r="I572" s="26" t="n">
        <v>44488</v>
      </c>
      <c r="J572" s="12" t="n">
        <v>20.86</v>
      </c>
      <c r="K572" s="17" t="n">
        <v>1846195.93</v>
      </c>
      <c r="L572" s="12" t="n">
        <v>0</v>
      </c>
      <c r="M572" s="12" t="n">
        <v>0</v>
      </c>
      <c r="N572" s="27">
        <f>F572-J572</f>
        <v/>
      </c>
      <c r="O572" s="16">
        <f>I572-H572</f>
        <v/>
      </c>
      <c r="P572" s="14">
        <f>F572*G572</f>
        <v/>
      </c>
      <c r="Q572" s="14">
        <f>J572*G572</f>
        <v/>
      </c>
      <c r="R572" s="14">
        <f>K572-Q572</f>
        <v/>
      </c>
      <c r="S572" s="3">
        <f>P572*Assumptions!$B$3/100</f>
        <v/>
      </c>
      <c r="T572" s="14">
        <f>R572-S572</f>
        <v/>
      </c>
      <c r="U572" s="14">
        <f>L572*G572</f>
        <v/>
      </c>
    </row>
    <row r="573">
      <c r="A573" s="12" t="inlineStr">
        <is>
          <t>PO-2021-0571</t>
        </is>
      </c>
      <c r="B573" s="26" t="n">
        <v>44490</v>
      </c>
      <c r="C573" s="12" t="inlineStr">
        <is>
          <t>VS21</t>
        </is>
      </c>
      <c r="D573" s="12" t="inlineStr">
        <is>
          <t>MS Sheets</t>
        </is>
      </c>
      <c r="E573" s="12" t="inlineStr">
        <is>
          <t>N</t>
        </is>
      </c>
      <c r="F573" s="12" t="n">
        <v>39.17</v>
      </c>
      <c r="G573" s="17" t="n">
        <v>81568.56</v>
      </c>
      <c r="H573" s="26" t="n">
        <v>44503</v>
      </c>
      <c r="I573" s="26" t="n">
        <v>44505</v>
      </c>
      <c r="J573" s="12" t="n">
        <v>39.1</v>
      </c>
      <c r="K573" s="17" t="n">
        <v>3195040.5</v>
      </c>
      <c r="L573" s="12" t="n">
        <v>0</v>
      </c>
      <c r="M573" s="12" t="n">
        <v>0</v>
      </c>
      <c r="N573" s="27">
        <f>F573-J573</f>
        <v/>
      </c>
      <c r="O573" s="16">
        <f>I573-H573</f>
        <v/>
      </c>
      <c r="P573" s="14">
        <f>F573*G573</f>
        <v/>
      </c>
      <c r="Q573" s="14">
        <f>J573*G573</f>
        <v/>
      </c>
      <c r="R573" s="14">
        <f>K573-Q573</f>
        <v/>
      </c>
      <c r="S573" s="3">
        <f>P573*Assumptions!$B$3/100</f>
        <v/>
      </c>
      <c r="T573" s="14">
        <f>R573-S573</f>
        <v/>
      </c>
      <c r="U573" s="14">
        <f>L573*G573</f>
        <v/>
      </c>
    </row>
    <row r="574">
      <c r="A574" s="12" t="inlineStr">
        <is>
          <t>PO-2021-0572</t>
        </is>
      </c>
      <c r="B574" s="26" t="n">
        <v>44559</v>
      </c>
      <c r="C574" s="12" t="inlineStr">
        <is>
          <t>VS21</t>
        </is>
      </c>
      <c r="D574" s="12" t="inlineStr">
        <is>
          <t>GI Pipes</t>
        </is>
      </c>
      <c r="E574" s="12" t="inlineStr">
        <is>
          <t>N</t>
        </is>
      </c>
      <c r="F574" s="12" t="n">
        <v>1.23</v>
      </c>
      <c r="G574" s="17" t="n">
        <v>65514.59</v>
      </c>
      <c r="H574" s="26" t="n">
        <v>44574</v>
      </c>
      <c r="I574" s="26" t="n">
        <v>44577</v>
      </c>
      <c r="J574" s="12" t="n">
        <v>1.23</v>
      </c>
      <c r="K574" s="17" t="n">
        <v>80582.95</v>
      </c>
      <c r="L574" s="12" t="n">
        <v>0</v>
      </c>
      <c r="M574" s="12" t="n">
        <v>3</v>
      </c>
      <c r="N574" s="27">
        <f>F574-J574</f>
        <v/>
      </c>
      <c r="O574" s="16">
        <f>I574-H574</f>
        <v/>
      </c>
      <c r="P574" s="14">
        <f>F574*G574</f>
        <v/>
      </c>
      <c r="Q574" s="14">
        <f>J574*G574</f>
        <v/>
      </c>
      <c r="R574" s="14">
        <f>K574-Q574</f>
        <v/>
      </c>
      <c r="S574" s="3">
        <f>P574*Assumptions!$B$3/100</f>
        <v/>
      </c>
      <c r="T574" s="14">
        <f>R574-S574</f>
        <v/>
      </c>
      <c r="U574" s="14">
        <f>L574*G574</f>
        <v/>
      </c>
    </row>
    <row r="575">
      <c r="A575" s="12" t="inlineStr">
        <is>
          <t>PO-2021-0573</t>
        </is>
      </c>
      <c r="B575" s="26" t="n">
        <v>44542</v>
      </c>
      <c r="C575" s="12" t="inlineStr">
        <is>
          <t>VS11</t>
        </is>
      </c>
      <c r="D575" s="12" t="inlineStr">
        <is>
          <t>Structural Steel</t>
        </is>
      </c>
      <c r="E575" s="12" t="inlineStr">
        <is>
          <t>N</t>
        </is>
      </c>
      <c r="F575" s="12" t="n">
        <v>39.48</v>
      </c>
      <c r="G575" s="17" t="n">
        <v>103481.43</v>
      </c>
      <c r="H575" s="26" t="n">
        <v>44547</v>
      </c>
      <c r="I575" s="26" t="n">
        <v>44550</v>
      </c>
      <c r="J575" s="12" t="n">
        <v>39.12</v>
      </c>
      <c r="K575" s="17" t="n">
        <v>4085446.86</v>
      </c>
      <c r="L575" s="12" t="n">
        <v>0</v>
      </c>
      <c r="M575" s="12" t="n">
        <v>18</v>
      </c>
      <c r="N575" s="27">
        <f>F575-J575</f>
        <v/>
      </c>
      <c r="O575" s="16">
        <f>I575-H575</f>
        <v/>
      </c>
      <c r="P575" s="14">
        <f>F575*G575</f>
        <v/>
      </c>
      <c r="Q575" s="14">
        <f>J575*G575</f>
        <v/>
      </c>
      <c r="R575" s="14">
        <f>K575-Q575</f>
        <v/>
      </c>
      <c r="S575" s="3">
        <f>P575*Assumptions!$B$3/100</f>
        <v/>
      </c>
      <c r="T575" s="14">
        <f>R575-S575</f>
        <v/>
      </c>
      <c r="U575" s="14">
        <f>L575*G575</f>
        <v/>
      </c>
    </row>
    <row r="576">
      <c r="A576" s="12" t="inlineStr">
        <is>
          <t>PO-2021-0574</t>
        </is>
      </c>
      <c r="B576" s="26" t="n">
        <v>45085</v>
      </c>
      <c r="C576" s="12" t="inlineStr">
        <is>
          <t>VS28</t>
        </is>
      </c>
      <c r="D576" s="12" t="inlineStr">
        <is>
          <t>MS Rods</t>
        </is>
      </c>
      <c r="E576" s="12" t="inlineStr">
        <is>
          <t>N</t>
        </is>
      </c>
      <c r="F576" s="12" t="n">
        <v>22.02</v>
      </c>
      <c r="G576" s="17" t="n">
        <v>80805.02</v>
      </c>
      <c r="H576" s="26" t="n">
        <v>45088</v>
      </c>
      <c r="I576" s="26" t="n">
        <v>45089</v>
      </c>
      <c r="J576" s="12" t="n">
        <v>21.83</v>
      </c>
      <c r="K576" s="17" t="n">
        <v>1779326.54</v>
      </c>
      <c r="L576" s="12" t="n">
        <v>0</v>
      </c>
      <c r="M576" s="12" t="n">
        <v>0</v>
      </c>
      <c r="N576" s="27">
        <f>F576-J576</f>
        <v/>
      </c>
      <c r="O576" s="16">
        <f>I576-H576</f>
        <v/>
      </c>
      <c r="P576" s="14">
        <f>F576*G576</f>
        <v/>
      </c>
      <c r="Q576" s="14">
        <f>J576*G576</f>
        <v/>
      </c>
      <c r="R576" s="14">
        <f>K576-Q576</f>
        <v/>
      </c>
      <c r="S576" s="3">
        <f>P576*Assumptions!$B$3/100</f>
        <v/>
      </c>
      <c r="T576" s="14">
        <f>R576-S576</f>
        <v/>
      </c>
      <c r="U576" s="14">
        <f>L576*G576</f>
        <v/>
      </c>
    </row>
    <row r="577">
      <c r="A577" s="12" t="inlineStr">
        <is>
          <t>PO-2021-0575</t>
        </is>
      </c>
      <c r="B577" s="26" t="n">
        <v>44274</v>
      </c>
      <c r="C577" s="12" t="inlineStr">
        <is>
          <t>VS13</t>
        </is>
      </c>
      <c r="D577" s="12" t="inlineStr">
        <is>
          <t>Angles &amp; Channels</t>
        </is>
      </c>
      <c r="E577" s="12" t="inlineStr">
        <is>
          <t>N</t>
        </is>
      </c>
      <c r="F577" s="12" t="n">
        <v>47.55</v>
      </c>
      <c r="G577" s="17" t="n">
        <v>111900.48</v>
      </c>
      <c r="H577" s="26" t="n">
        <v>44289</v>
      </c>
      <c r="I577" s="26" t="n">
        <v>44291</v>
      </c>
      <c r="J577" s="12" t="n">
        <v>47.25</v>
      </c>
      <c r="K577" s="17" t="n">
        <v>5320867.82</v>
      </c>
      <c r="L577" s="12" t="n">
        <v>0</v>
      </c>
      <c r="M577" s="12" t="n">
        <v>15</v>
      </c>
      <c r="N577" s="27">
        <f>F577-J577</f>
        <v/>
      </c>
      <c r="O577" s="16">
        <f>I577-H577</f>
        <v/>
      </c>
      <c r="P577" s="14">
        <f>F577*G577</f>
        <v/>
      </c>
      <c r="Q577" s="14">
        <f>J577*G577</f>
        <v/>
      </c>
      <c r="R577" s="14">
        <f>K577-Q577</f>
        <v/>
      </c>
      <c r="S577" s="3">
        <f>P577*Assumptions!$B$3/100</f>
        <v/>
      </c>
      <c r="T577" s="14">
        <f>R577-S577</f>
        <v/>
      </c>
      <c r="U577" s="14">
        <f>L577*G577</f>
        <v/>
      </c>
    </row>
    <row r="578">
      <c r="A578" s="12" t="inlineStr">
        <is>
          <t>PO-2021-0576</t>
        </is>
      </c>
      <c r="B578" s="26" t="n">
        <v>45284</v>
      </c>
      <c r="C578" s="12" t="inlineStr">
        <is>
          <t>VS13</t>
        </is>
      </c>
      <c r="D578" s="12" t="inlineStr">
        <is>
          <t>MS Pipes</t>
        </is>
      </c>
      <c r="E578" s="12" t="inlineStr">
        <is>
          <t>N</t>
        </is>
      </c>
      <c r="F578" s="12" t="n">
        <v>34.16</v>
      </c>
      <c r="G578" s="17" t="n">
        <v>92001.52</v>
      </c>
      <c r="H578" s="26" t="n">
        <v>45290</v>
      </c>
      <c r="I578" s="26" t="n">
        <v>45291</v>
      </c>
      <c r="J578" s="12" t="n">
        <v>34.06</v>
      </c>
      <c r="K578" s="17" t="n">
        <v>3142771.92</v>
      </c>
      <c r="L578" s="12" t="n">
        <v>0</v>
      </c>
      <c r="M578" s="12" t="n">
        <v>0</v>
      </c>
      <c r="N578" s="27">
        <f>F578-J578</f>
        <v/>
      </c>
      <c r="O578" s="16">
        <f>I578-H578</f>
        <v/>
      </c>
      <c r="P578" s="14">
        <f>F578*G578</f>
        <v/>
      </c>
      <c r="Q578" s="14">
        <f>J578*G578</f>
        <v/>
      </c>
      <c r="R578" s="14">
        <f>K578-Q578</f>
        <v/>
      </c>
      <c r="S578" s="3">
        <f>P578*Assumptions!$B$3/100</f>
        <v/>
      </c>
      <c r="T578" s="14">
        <f>R578-S578</f>
        <v/>
      </c>
      <c r="U578" s="14">
        <f>L578*G578</f>
        <v/>
      </c>
    </row>
    <row r="579">
      <c r="A579" s="12" t="inlineStr">
        <is>
          <t>PO-2021-0577</t>
        </is>
      </c>
      <c r="B579" s="26" t="n">
        <v>44660</v>
      </c>
      <c r="C579" s="12" t="inlineStr">
        <is>
          <t>VS23</t>
        </is>
      </c>
      <c r="D579" s="12" t="inlineStr">
        <is>
          <t>SS Sheets</t>
        </is>
      </c>
      <c r="E579" s="12" t="inlineStr">
        <is>
          <t>N</t>
        </is>
      </c>
      <c r="F579" s="12" t="n">
        <v>7.32</v>
      </c>
      <c r="G579" s="17" t="n">
        <v>73766.28999999999</v>
      </c>
      <c r="H579" s="26" t="n">
        <v>44672</v>
      </c>
      <c r="I579" s="26" t="n">
        <v>44672</v>
      </c>
      <c r="J579" s="12" t="n">
        <v>7.27</v>
      </c>
      <c r="K579" s="17" t="n">
        <v>539969.24</v>
      </c>
      <c r="L579" s="12" t="n">
        <v>0</v>
      </c>
      <c r="M579" s="12" t="n">
        <v>4</v>
      </c>
      <c r="N579" s="27">
        <f>F579-J579</f>
        <v/>
      </c>
      <c r="O579" s="16">
        <f>I579-H579</f>
        <v/>
      </c>
      <c r="P579" s="14">
        <f>F579*G579</f>
        <v/>
      </c>
      <c r="Q579" s="14">
        <f>J579*G579</f>
        <v/>
      </c>
      <c r="R579" s="14">
        <f>K579-Q579</f>
        <v/>
      </c>
      <c r="S579" s="3">
        <f>P579*Assumptions!$B$3/100</f>
        <v/>
      </c>
      <c r="T579" s="14">
        <f>R579-S579</f>
        <v/>
      </c>
      <c r="U579" s="14">
        <f>L579*G579</f>
        <v/>
      </c>
    </row>
    <row r="580">
      <c r="A580" s="12" t="inlineStr">
        <is>
          <t>PO-2021-0578</t>
        </is>
      </c>
      <c r="B580" s="26" t="n">
        <v>44823</v>
      </c>
      <c r="C580" s="12" t="inlineStr">
        <is>
          <t>VS11</t>
        </is>
      </c>
      <c r="D580" s="12" t="inlineStr">
        <is>
          <t>SS Pipes</t>
        </is>
      </c>
      <c r="E580" s="12" t="inlineStr">
        <is>
          <t>Y</t>
        </is>
      </c>
      <c r="F580" s="12" t="n">
        <v>41.37</v>
      </c>
      <c r="G580" s="17" t="n">
        <v>67365.17</v>
      </c>
      <c r="H580" s="26" t="n">
        <v>44830</v>
      </c>
      <c r="I580" s="26" t="n">
        <v>44831</v>
      </c>
      <c r="J580" s="12" t="n">
        <v>41.36</v>
      </c>
      <c r="K580" s="17" t="n">
        <v>2786897.08</v>
      </c>
      <c r="L580" s="12" t="n">
        <v>0</v>
      </c>
      <c r="M580" s="12" t="n">
        <v>17</v>
      </c>
      <c r="N580" s="27">
        <f>F580-J580</f>
        <v/>
      </c>
      <c r="O580" s="16">
        <f>I580-H580</f>
        <v/>
      </c>
      <c r="P580" s="14">
        <f>F580*G580</f>
        <v/>
      </c>
      <c r="Q580" s="14">
        <f>J580*G580</f>
        <v/>
      </c>
      <c r="R580" s="14">
        <f>K580-Q580</f>
        <v/>
      </c>
      <c r="S580" s="3">
        <f>P580*Assumptions!$B$3/100</f>
        <v/>
      </c>
      <c r="T580" s="14">
        <f>R580-S580</f>
        <v/>
      </c>
      <c r="U580" s="14">
        <f>L580*G580</f>
        <v/>
      </c>
    </row>
    <row r="581">
      <c r="A581" s="12" t="inlineStr">
        <is>
          <t>PO-2021-0579</t>
        </is>
      </c>
      <c r="B581" s="26" t="n">
        <v>45130</v>
      </c>
      <c r="C581" s="12" t="inlineStr">
        <is>
          <t>VS34</t>
        </is>
      </c>
      <c r="D581" s="12" t="inlineStr">
        <is>
          <t>Hex Bars</t>
        </is>
      </c>
      <c r="E581" s="12" t="inlineStr">
        <is>
          <t>N</t>
        </is>
      </c>
      <c r="F581" s="12" t="n">
        <v>17.55</v>
      </c>
      <c r="G581" s="17" t="n">
        <v>111598.05</v>
      </c>
      <c r="H581" s="26" t="n">
        <v>45135</v>
      </c>
      <c r="I581" s="26" t="n">
        <v>45138</v>
      </c>
      <c r="J581" s="12" t="n">
        <v>17.49</v>
      </c>
      <c r="K581" s="17" t="n">
        <v>1958545.78</v>
      </c>
      <c r="L581" s="12" t="n">
        <v>0</v>
      </c>
      <c r="M581" s="12" t="n">
        <v>23</v>
      </c>
      <c r="N581" s="27">
        <f>F581-J581</f>
        <v/>
      </c>
      <c r="O581" s="16">
        <f>I581-H581</f>
        <v/>
      </c>
      <c r="P581" s="14">
        <f>F581*G581</f>
        <v/>
      </c>
      <c r="Q581" s="14">
        <f>J581*G581</f>
        <v/>
      </c>
      <c r="R581" s="14">
        <f>K581-Q581</f>
        <v/>
      </c>
      <c r="S581" s="3">
        <f>P581*Assumptions!$B$3/100</f>
        <v/>
      </c>
      <c r="T581" s="14">
        <f>R581-S581</f>
        <v/>
      </c>
      <c r="U581" s="14">
        <f>L581*G581</f>
        <v/>
      </c>
    </row>
    <row r="582">
      <c r="A582" s="12" t="inlineStr">
        <is>
          <t>PO-2021-0580</t>
        </is>
      </c>
      <c r="B582" s="26" t="n">
        <v>44898</v>
      </c>
      <c r="C582" s="12" t="inlineStr">
        <is>
          <t>VS32</t>
        </is>
      </c>
      <c r="D582" s="12" t="inlineStr">
        <is>
          <t>Angles &amp; Channels</t>
        </is>
      </c>
      <c r="E582" s="12" t="inlineStr">
        <is>
          <t>N</t>
        </is>
      </c>
      <c r="F582" s="12" t="n">
        <v>37.76</v>
      </c>
      <c r="G582" s="17" t="n">
        <v>57366.26</v>
      </c>
      <c r="H582" s="26" t="n">
        <v>44913</v>
      </c>
      <c r="I582" s="26" t="n">
        <v>44915</v>
      </c>
      <c r="J582" s="12" t="n">
        <v>37.73</v>
      </c>
      <c r="K582" s="17" t="n">
        <v>2166149.98</v>
      </c>
      <c r="L582" s="12" t="n">
        <v>0</v>
      </c>
      <c r="M582" s="12" t="n">
        <v>21</v>
      </c>
      <c r="N582" s="27">
        <f>F582-J582</f>
        <v/>
      </c>
      <c r="O582" s="16">
        <f>I582-H582</f>
        <v/>
      </c>
      <c r="P582" s="14">
        <f>F582*G582</f>
        <v/>
      </c>
      <c r="Q582" s="14">
        <f>J582*G582</f>
        <v/>
      </c>
      <c r="R582" s="14">
        <f>K582-Q582</f>
        <v/>
      </c>
      <c r="S582" s="3">
        <f>P582*Assumptions!$B$3/100</f>
        <v/>
      </c>
      <c r="T582" s="14">
        <f>R582-S582</f>
        <v/>
      </c>
      <c r="U582" s="14">
        <f>L582*G582</f>
        <v/>
      </c>
    </row>
    <row r="583">
      <c r="A583" s="12" t="inlineStr">
        <is>
          <t>PO-2021-0581</t>
        </is>
      </c>
      <c r="B583" s="26" t="n">
        <v>45023</v>
      </c>
      <c r="C583" s="12" t="inlineStr">
        <is>
          <t>VS02</t>
        </is>
      </c>
      <c r="D583" s="12" t="inlineStr">
        <is>
          <t>HR Coils</t>
        </is>
      </c>
      <c r="E583" s="12" t="inlineStr">
        <is>
          <t>N</t>
        </is>
      </c>
      <c r="F583" s="12" t="n">
        <v>11.99</v>
      </c>
      <c r="G583" s="17" t="n">
        <v>118865.96</v>
      </c>
      <c r="H583" s="26" t="n">
        <v>45029</v>
      </c>
      <c r="I583" s="26" t="n">
        <v>45029</v>
      </c>
      <c r="J583" s="12" t="n">
        <v>11.98</v>
      </c>
      <c r="K583" s="17" t="n">
        <v>1425202.86</v>
      </c>
      <c r="L583" s="12" t="n">
        <v>0</v>
      </c>
      <c r="M583" s="12" t="n">
        <v>0</v>
      </c>
      <c r="N583" s="27">
        <f>F583-J583</f>
        <v/>
      </c>
      <c r="O583" s="16">
        <f>I583-H583</f>
        <v/>
      </c>
      <c r="P583" s="14">
        <f>F583*G583</f>
        <v/>
      </c>
      <c r="Q583" s="14">
        <f>J583*G583</f>
        <v/>
      </c>
      <c r="R583" s="14">
        <f>K583-Q583</f>
        <v/>
      </c>
      <c r="S583" s="3">
        <f>P583*Assumptions!$B$3/100</f>
        <v/>
      </c>
      <c r="T583" s="14">
        <f>R583-S583</f>
        <v/>
      </c>
      <c r="U583" s="14">
        <f>L583*G583</f>
        <v/>
      </c>
    </row>
    <row r="584">
      <c r="A584" s="12" t="inlineStr">
        <is>
          <t>PO-2021-0582</t>
        </is>
      </c>
      <c r="B584" s="26" t="n">
        <v>44241</v>
      </c>
      <c r="C584" s="12" t="inlineStr">
        <is>
          <t>VS33</t>
        </is>
      </c>
      <c r="D584" s="12" t="inlineStr">
        <is>
          <t>MS Sheets</t>
        </is>
      </c>
      <c r="E584" s="12" t="inlineStr">
        <is>
          <t>N</t>
        </is>
      </c>
      <c r="F584" s="12" t="n">
        <v>7.03</v>
      </c>
      <c r="G584" s="17" t="n">
        <v>98333.25999999999</v>
      </c>
      <c r="H584" s="26" t="n">
        <v>44256</v>
      </c>
      <c r="I584" s="26" t="n">
        <v>44258</v>
      </c>
      <c r="J584" s="12" t="n">
        <v>6.99</v>
      </c>
      <c r="K584" s="17" t="n">
        <v>691282.8199999999</v>
      </c>
      <c r="L584" s="12" t="n">
        <v>0</v>
      </c>
      <c r="M584" s="12" t="n">
        <v>0</v>
      </c>
      <c r="N584" s="27">
        <f>F584-J584</f>
        <v/>
      </c>
      <c r="O584" s="16">
        <f>I584-H584</f>
        <v/>
      </c>
      <c r="P584" s="14">
        <f>F584*G584</f>
        <v/>
      </c>
      <c r="Q584" s="14">
        <f>J584*G584</f>
        <v/>
      </c>
      <c r="R584" s="14">
        <f>K584-Q584</f>
        <v/>
      </c>
      <c r="S584" s="3">
        <f>P584*Assumptions!$B$3/100</f>
        <v/>
      </c>
      <c r="T584" s="14">
        <f>R584-S584</f>
        <v/>
      </c>
      <c r="U584" s="14">
        <f>L584*G584</f>
        <v/>
      </c>
    </row>
    <row r="585">
      <c r="A585" s="12" t="inlineStr">
        <is>
          <t>PO-2021-0583</t>
        </is>
      </c>
      <c r="B585" s="26" t="n">
        <v>44273</v>
      </c>
      <c r="C585" s="12" t="inlineStr">
        <is>
          <t>VS25</t>
        </is>
      </c>
      <c r="D585" s="12" t="inlineStr">
        <is>
          <t>CR Sheets</t>
        </is>
      </c>
      <c r="E585" s="12" t="inlineStr">
        <is>
          <t>Y</t>
        </is>
      </c>
      <c r="F585" s="12" t="n">
        <v>38.79</v>
      </c>
      <c r="G585" s="17" t="n">
        <v>91735.11</v>
      </c>
      <c r="H585" s="26" t="n">
        <v>44285</v>
      </c>
      <c r="I585" s="26" t="n">
        <v>44286</v>
      </c>
      <c r="J585" s="12" t="n">
        <v>38.77</v>
      </c>
      <c r="K585" s="17" t="n">
        <v>3558404.92</v>
      </c>
      <c r="L585" s="12" t="n">
        <v>0</v>
      </c>
      <c r="M585" s="12" t="n">
        <v>0</v>
      </c>
      <c r="N585" s="27">
        <f>F585-J585</f>
        <v/>
      </c>
      <c r="O585" s="16">
        <f>I585-H585</f>
        <v/>
      </c>
      <c r="P585" s="14">
        <f>F585*G585</f>
        <v/>
      </c>
      <c r="Q585" s="14">
        <f>J585*G585</f>
        <v/>
      </c>
      <c r="R585" s="14">
        <f>K585-Q585</f>
        <v/>
      </c>
      <c r="S585" s="3">
        <f>P585*Assumptions!$B$3/100</f>
        <v/>
      </c>
      <c r="T585" s="14">
        <f>R585-S585</f>
        <v/>
      </c>
      <c r="U585" s="14">
        <f>L585*G585</f>
        <v/>
      </c>
    </row>
    <row r="586">
      <c r="A586" s="12" t="inlineStr">
        <is>
          <t>PO-2021-0584</t>
        </is>
      </c>
      <c r="B586" s="26" t="n">
        <v>44295</v>
      </c>
      <c r="C586" s="12" t="inlineStr">
        <is>
          <t>VS07</t>
        </is>
      </c>
      <c r="D586" s="12" t="inlineStr">
        <is>
          <t>MS Pipes</t>
        </is>
      </c>
      <c r="E586" s="12" t="inlineStr">
        <is>
          <t>N</t>
        </is>
      </c>
      <c r="F586" s="12" t="n">
        <v>3.36</v>
      </c>
      <c r="G586" s="17" t="n">
        <v>53684.24</v>
      </c>
      <c r="H586" s="26" t="n">
        <v>44305</v>
      </c>
      <c r="I586" s="26" t="n">
        <v>44306</v>
      </c>
      <c r="J586" s="12" t="n">
        <v>3.35</v>
      </c>
      <c r="K586" s="17" t="n">
        <v>180379.05</v>
      </c>
      <c r="L586" s="12" t="n">
        <v>0</v>
      </c>
      <c r="M586" s="12" t="n">
        <v>3</v>
      </c>
      <c r="N586" s="27">
        <f>F586-J586</f>
        <v/>
      </c>
      <c r="O586" s="16">
        <f>I586-H586</f>
        <v/>
      </c>
      <c r="P586" s="14">
        <f>F586*G586</f>
        <v/>
      </c>
      <c r="Q586" s="14">
        <f>J586*G586</f>
        <v/>
      </c>
      <c r="R586" s="14">
        <f>K586-Q586</f>
        <v/>
      </c>
      <c r="S586" s="3">
        <f>P586*Assumptions!$B$3/100</f>
        <v/>
      </c>
      <c r="T586" s="14">
        <f>R586-S586</f>
        <v/>
      </c>
      <c r="U586" s="14">
        <f>L586*G586</f>
        <v/>
      </c>
    </row>
    <row r="587">
      <c r="A587" s="12" t="inlineStr">
        <is>
          <t>PO-2021-0585</t>
        </is>
      </c>
      <c r="B587" s="26" t="n">
        <v>44975</v>
      </c>
      <c r="C587" s="12" t="inlineStr">
        <is>
          <t>VS08</t>
        </is>
      </c>
      <c r="D587" s="12" t="inlineStr">
        <is>
          <t>Spring Steel</t>
        </is>
      </c>
      <c r="E587" s="12" t="inlineStr">
        <is>
          <t>N</t>
        </is>
      </c>
      <c r="F587" s="12" t="n">
        <v>13.38</v>
      </c>
      <c r="G587" s="17" t="n">
        <v>97640.12</v>
      </c>
      <c r="H587" s="26" t="n">
        <v>44981</v>
      </c>
      <c r="I587" s="26" t="n">
        <v>44981</v>
      </c>
      <c r="J587" s="12" t="n">
        <v>13.26</v>
      </c>
      <c r="K587" s="17" t="n">
        <v>1306424.81</v>
      </c>
      <c r="L587" s="12" t="n">
        <v>0</v>
      </c>
      <c r="M587" s="12" t="n">
        <v>0</v>
      </c>
      <c r="N587" s="27">
        <f>F587-J587</f>
        <v/>
      </c>
      <c r="O587" s="16">
        <f>I587-H587</f>
        <v/>
      </c>
      <c r="P587" s="14">
        <f>F587*G587</f>
        <v/>
      </c>
      <c r="Q587" s="14">
        <f>J587*G587</f>
        <v/>
      </c>
      <c r="R587" s="14">
        <f>K587-Q587</f>
        <v/>
      </c>
      <c r="S587" s="3">
        <f>P587*Assumptions!$B$3/100</f>
        <v/>
      </c>
      <c r="T587" s="14">
        <f>R587-S587</f>
        <v/>
      </c>
      <c r="U587" s="14">
        <f>L587*G587</f>
        <v/>
      </c>
    </row>
    <row r="588">
      <c r="A588" s="12" t="inlineStr">
        <is>
          <t>PO-2021-0586</t>
        </is>
      </c>
      <c r="B588" s="26" t="n">
        <v>44216</v>
      </c>
      <c r="C588" s="12" t="inlineStr">
        <is>
          <t>VS20</t>
        </is>
      </c>
      <c r="D588" s="12" t="inlineStr">
        <is>
          <t>GI Wire</t>
        </is>
      </c>
      <c r="E588" s="12" t="inlineStr">
        <is>
          <t>N</t>
        </is>
      </c>
      <c r="F588" s="12" t="n">
        <v>33.42</v>
      </c>
      <c r="G588" s="17" t="n">
        <v>94686.22</v>
      </c>
      <c r="H588" s="26" t="n">
        <v>44223</v>
      </c>
      <c r="I588" s="26" t="n">
        <v>44224</v>
      </c>
      <c r="J588" s="12" t="n">
        <v>33.36</v>
      </c>
      <c r="K588" s="17" t="n">
        <v>3164413.47</v>
      </c>
      <c r="L588" s="12" t="n">
        <v>0</v>
      </c>
      <c r="M588" s="12" t="n">
        <v>0</v>
      </c>
      <c r="N588" s="27">
        <f>F588-J588</f>
        <v/>
      </c>
      <c r="O588" s="16">
        <f>I588-H588</f>
        <v/>
      </c>
      <c r="P588" s="14">
        <f>F588*G588</f>
        <v/>
      </c>
      <c r="Q588" s="14">
        <f>J588*G588</f>
        <v/>
      </c>
      <c r="R588" s="14">
        <f>K588-Q588</f>
        <v/>
      </c>
      <c r="S588" s="3">
        <f>P588*Assumptions!$B$3/100</f>
        <v/>
      </c>
      <c r="T588" s="14">
        <f>R588-S588</f>
        <v/>
      </c>
      <c r="U588" s="14">
        <f>L588*G588</f>
        <v/>
      </c>
    </row>
    <row r="589">
      <c r="A589" s="12" t="inlineStr">
        <is>
          <t>PO-2021-0587</t>
        </is>
      </c>
      <c r="B589" s="26" t="n">
        <v>44477</v>
      </c>
      <c r="C589" s="12" t="inlineStr">
        <is>
          <t>VS27</t>
        </is>
      </c>
      <c r="D589" s="12" t="inlineStr">
        <is>
          <t>ERW Pipes</t>
        </is>
      </c>
      <c r="E589" s="12" t="inlineStr">
        <is>
          <t>N</t>
        </is>
      </c>
      <c r="F589" s="12" t="n">
        <v>26.07</v>
      </c>
      <c r="G589" s="17" t="n">
        <v>91327.35000000001</v>
      </c>
      <c r="H589" s="26" t="n">
        <v>44484</v>
      </c>
      <c r="I589" s="26" t="n">
        <v>44487</v>
      </c>
      <c r="J589" s="12" t="n">
        <v>26.03</v>
      </c>
      <c r="K589" s="17" t="n">
        <v>2380904.01</v>
      </c>
      <c r="L589" s="12" t="n">
        <v>0</v>
      </c>
      <c r="M589" s="12" t="n">
        <v>5</v>
      </c>
      <c r="N589" s="27">
        <f>F589-J589</f>
        <v/>
      </c>
      <c r="O589" s="16">
        <f>I589-H589</f>
        <v/>
      </c>
      <c r="P589" s="14">
        <f>F589*G589</f>
        <v/>
      </c>
      <c r="Q589" s="14">
        <f>J589*G589</f>
        <v/>
      </c>
      <c r="R589" s="14">
        <f>K589-Q589</f>
        <v/>
      </c>
      <c r="S589" s="3">
        <f>P589*Assumptions!$B$3/100</f>
        <v/>
      </c>
      <c r="T589" s="14">
        <f>R589-S589</f>
        <v/>
      </c>
      <c r="U589" s="14">
        <f>L589*G589</f>
        <v/>
      </c>
    </row>
    <row r="590">
      <c r="A590" s="12" t="inlineStr">
        <is>
          <t>PO-2021-0588</t>
        </is>
      </c>
      <c r="B590" s="26" t="n">
        <v>44430</v>
      </c>
      <c r="C590" s="12" t="inlineStr">
        <is>
          <t>VS07</t>
        </is>
      </c>
      <c r="D590" s="12" t="inlineStr">
        <is>
          <t>Structural Steel</t>
        </is>
      </c>
      <c r="E590" s="12" t="inlineStr">
        <is>
          <t>N</t>
        </is>
      </c>
      <c r="F590" s="12" t="n">
        <v>10.73</v>
      </c>
      <c r="G590" s="17" t="n">
        <v>59981.2</v>
      </c>
      <c r="H590" s="26" t="n">
        <v>44437</v>
      </c>
      <c r="I590" s="26" t="n">
        <v>44440</v>
      </c>
      <c r="J590" s="12" t="n">
        <v>10.7</v>
      </c>
      <c r="K590" s="17" t="n">
        <v>643598.28</v>
      </c>
      <c r="L590" s="12" t="n">
        <v>0</v>
      </c>
      <c r="M590" s="12" t="n">
        <v>24</v>
      </c>
      <c r="N590" s="27">
        <f>F590-J590</f>
        <v/>
      </c>
      <c r="O590" s="16">
        <f>I590-H590</f>
        <v/>
      </c>
      <c r="P590" s="14">
        <f>F590*G590</f>
        <v/>
      </c>
      <c r="Q590" s="14">
        <f>J590*G590</f>
        <v/>
      </c>
      <c r="R590" s="14">
        <f>K590-Q590</f>
        <v/>
      </c>
      <c r="S590" s="3">
        <f>P590*Assumptions!$B$3/100</f>
        <v/>
      </c>
      <c r="T590" s="14">
        <f>R590-S590</f>
        <v/>
      </c>
      <c r="U590" s="14">
        <f>L590*G590</f>
        <v/>
      </c>
    </row>
    <row r="591">
      <c r="A591" s="12" t="inlineStr">
        <is>
          <t>PO-2021-0589</t>
        </is>
      </c>
      <c r="B591" s="26" t="n">
        <v>45268</v>
      </c>
      <c r="C591" s="12" t="inlineStr">
        <is>
          <t>VS13</t>
        </is>
      </c>
      <c r="D591" s="12" t="inlineStr">
        <is>
          <t>Angles &amp; Channels</t>
        </is>
      </c>
      <c r="E591" s="12" t="inlineStr">
        <is>
          <t>N</t>
        </is>
      </c>
      <c r="F591" s="12" t="n">
        <v>35.47</v>
      </c>
      <c r="G591" s="17" t="n">
        <v>67151.34</v>
      </c>
      <c r="H591" s="26" t="n">
        <v>45271</v>
      </c>
      <c r="I591" s="26" t="n">
        <v>45272</v>
      </c>
      <c r="J591" s="12" t="n">
        <v>35.26</v>
      </c>
      <c r="K591" s="17" t="n">
        <v>2381858.03</v>
      </c>
      <c r="L591" s="12" t="n">
        <v>0</v>
      </c>
      <c r="M591" s="12" t="n">
        <v>2</v>
      </c>
      <c r="N591" s="27">
        <f>F591-J591</f>
        <v/>
      </c>
      <c r="O591" s="16">
        <f>I591-H591</f>
        <v/>
      </c>
      <c r="P591" s="14">
        <f>F591*G591</f>
        <v/>
      </c>
      <c r="Q591" s="14">
        <f>J591*G591</f>
        <v/>
      </c>
      <c r="R591" s="14">
        <f>K591-Q591</f>
        <v/>
      </c>
      <c r="S591" s="3">
        <f>P591*Assumptions!$B$3/100</f>
        <v/>
      </c>
      <c r="T591" s="14">
        <f>R591-S591</f>
        <v/>
      </c>
      <c r="U591" s="14">
        <f>L591*G591</f>
        <v/>
      </c>
    </row>
    <row r="592">
      <c r="A592" s="12" t="inlineStr">
        <is>
          <t>PO-2021-0590</t>
        </is>
      </c>
      <c r="B592" s="26" t="n">
        <v>45213</v>
      </c>
      <c r="C592" s="12" t="inlineStr">
        <is>
          <t>VS14</t>
        </is>
      </c>
      <c r="D592" s="12" t="inlineStr">
        <is>
          <t>Structural Steel</t>
        </is>
      </c>
      <c r="E592" s="12" t="inlineStr">
        <is>
          <t>Y</t>
        </is>
      </c>
      <c r="F592" s="12" t="n">
        <v>17.2</v>
      </c>
      <c r="G592" s="17" t="n">
        <v>45205.35</v>
      </c>
      <c r="H592" s="26" t="n">
        <v>45226</v>
      </c>
      <c r="I592" s="26" t="n">
        <v>45226</v>
      </c>
      <c r="J592" s="12" t="n">
        <v>17.2</v>
      </c>
      <c r="K592" s="17" t="n">
        <v>777532.02</v>
      </c>
      <c r="L592" s="12" t="n">
        <v>0</v>
      </c>
      <c r="M592" s="12" t="n">
        <v>0</v>
      </c>
      <c r="N592" s="27">
        <f>F592-J592</f>
        <v/>
      </c>
      <c r="O592" s="16">
        <f>I592-H592</f>
        <v/>
      </c>
      <c r="P592" s="14">
        <f>F592*G592</f>
        <v/>
      </c>
      <c r="Q592" s="14">
        <f>J592*G592</f>
        <v/>
      </c>
      <c r="R592" s="14">
        <f>K592-Q592</f>
        <v/>
      </c>
      <c r="S592" s="3">
        <f>P592*Assumptions!$B$3/100</f>
        <v/>
      </c>
      <c r="T592" s="14">
        <f>R592-S592</f>
        <v/>
      </c>
      <c r="U592" s="14">
        <f>L592*G592</f>
        <v/>
      </c>
    </row>
    <row r="593">
      <c r="A593" s="12" t="inlineStr">
        <is>
          <t>PO-2021-0591</t>
        </is>
      </c>
      <c r="B593" s="26" t="n">
        <v>44379</v>
      </c>
      <c r="C593" s="12" t="inlineStr">
        <is>
          <t>VS08</t>
        </is>
      </c>
      <c r="D593" s="12" t="inlineStr">
        <is>
          <t>Structural Steel</t>
        </is>
      </c>
      <c r="E593" s="12" t="inlineStr">
        <is>
          <t>N</t>
        </is>
      </c>
      <c r="F593" s="12" t="n">
        <v>8.31</v>
      </c>
      <c r="G593" s="17" t="n">
        <v>51756.2</v>
      </c>
      <c r="H593" s="26" t="n">
        <v>44390</v>
      </c>
      <c r="I593" s="26" t="n">
        <v>44390</v>
      </c>
      <c r="J593" s="12" t="n">
        <v>8.31</v>
      </c>
      <c r="K593" s="17" t="n">
        <v>430094.02</v>
      </c>
      <c r="L593" s="12" t="n">
        <v>0</v>
      </c>
      <c r="M593" s="12" t="n">
        <v>23</v>
      </c>
      <c r="N593" s="27">
        <f>F593-J593</f>
        <v/>
      </c>
      <c r="O593" s="16">
        <f>I593-H593</f>
        <v/>
      </c>
      <c r="P593" s="14">
        <f>F593*G593</f>
        <v/>
      </c>
      <c r="Q593" s="14">
        <f>J593*G593</f>
        <v/>
      </c>
      <c r="R593" s="14">
        <f>K593-Q593</f>
        <v/>
      </c>
      <c r="S593" s="3">
        <f>P593*Assumptions!$B$3/100</f>
        <v/>
      </c>
      <c r="T593" s="14">
        <f>R593-S593</f>
        <v/>
      </c>
      <c r="U593" s="14">
        <f>L593*G593</f>
        <v/>
      </c>
    </row>
    <row r="594">
      <c r="A594" s="12" t="inlineStr">
        <is>
          <t>PO-2021-0592</t>
        </is>
      </c>
      <c r="B594" s="26" t="n">
        <v>44350</v>
      </c>
      <c r="C594" s="12" t="inlineStr">
        <is>
          <t>VS07</t>
        </is>
      </c>
      <c r="D594" s="12" t="inlineStr">
        <is>
          <t>CR Sheets</t>
        </is>
      </c>
      <c r="E594" s="12" t="inlineStr">
        <is>
          <t>N</t>
        </is>
      </c>
      <c r="F594" s="12" t="n">
        <v>32.57</v>
      </c>
      <c r="G594" s="17" t="n">
        <v>79256.34</v>
      </c>
      <c r="H594" s="26" t="n">
        <v>44357</v>
      </c>
      <c r="I594" s="26" t="n">
        <v>44359</v>
      </c>
      <c r="J594" s="12" t="n">
        <v>32.54</v>
      </c>
      <c r="K594" s="17" t="n">
        <v>2581378.99</v>
      </c>
      <c r="L594" s="12" t="n">
        <v>0</v>
      </c>
      <c r="M594" s="12" t="n">
        <v>2</v>
      </c>
      <c r="N594" s="27">
        <f>F594-J594</f>
        <v/>
      </c>
      <c r="O594" s="16">
        <f>I594-H594</f>
        <v/>
      </c>
      <c r="P594" s="14">
        <f>F594*G594</f>
        <v/>
      </c>
      <c r="Q594" s="14">
        <f>J594*G594</f>
        <v/>
      </c>
      <c r="R594" s="14">
        <f>K594-Q594</f>
        <v/>
      </c>
      <c r="S594" s="3">
        <f>P594*Assumptions!$B$3/100</f>
        <v/>
      </c>
      <c r="T594" s="14">
        <f>R594-S594</f>
        <v/>
      </c>
      <c r="U594" s="14">
        <f>L594*G594</f>
        <v/>
      </c>
    </row>
    <row r="595">
      <c r="A595" s="12" t="inlineStr">
        <is>
          <t>PO-2021-0593</t>
        </is>
      </c>
      <c r="B595" s="26" t="n">
        <v>44737</v>
      </c>
      <c r="C595" s="12" t="inlineStr">
        <is>
          <t>VS30</t>
        </is>
      </c>
      <c r="D595" s="12" t="inlineStr">
        <is>
          <t>GI Pipes</t>
        </is>
      </c>
      <c r="E595" s="12" t="inlineStr">
        <is>
          <t>N</t>
        </is>
      </c>
      <c r="F595" s="12" t="n">
        <v>5.89</v>
      </c>
      <c r="G595" s="17" t="n">
        <v>58102.64</v>
      </c>
      <c r="H595" s="26" t="n">
        <v>44740</v>
      </c>
      <c r="I595" s="26" t="n">
        <v>44740</v>
      </c>
      <c r="J595" s="12" t="n">
        <v>5.87</v>
      </c>
      <c r="K595" s="17" t="n">
        <v>342224.55</v>
      </c>
      <c r="L595" s="12" t="n">
        <v>0</v>
      </c>
      <c r="M595" s="12" t="n">
        <v>25</v>
      </c>
      <c r="N595" s="27">
        <f>F595-J595</f>
        <v/>
      </c>
      <c r="O595" s="16">
        <f>I595-H595</f>
        <v/>
      </c>
      <c r="P595" s="14">
        <f>F595*G595</f>
        <v/>
      </c>
      <c r="Q595" s="14">
        <f>J595*G595</f>
        <v/>
      </c>
      <c r="R595" s="14">
        <f>K595-Q595</f>
        <v/>
      </c>
      <c r="S595" s="3">
        <f>P595*Assumptions!$B$3/100</f>
        <v/>
      </c>
      <c r="T595" s="14">
        <f>R595-S595</f>
        <v/>
      </c>
      <c r="U595" s="14">
        <f>L595*G595</f>
        <v/>
      </c>
    </row>
    <row r="596">
      <c r="A596" s="12" t="inlineStr">
        <is>
          <t>PO-2021-0594</t>
        </is>
      </c>
      <c r="B596" s="26" t="n">
        <v>44792</v>
      </c>
      <c r="C596" s="12" t="inlineStr">
        <is>
          <t>VS24</t>
        </is>
      </c>
      <c r="D596" s="12" t="inlineStr">
        <is>
          <t>MS Flats</t>
        </is>
      </c>
      <c r="E596" s="12" t="inlineStr">
        <is>
          <t>N</t>
        </is>
      </c>
      <c r="F596" s="12" t="n">
        <v>21.87</v>
      </c>
      <c r="G596" s="17" t="n">
        <v>53692.58</v>
      </c>
      <c r="H596" s="26" t="n">
        <v>44807</v>
      </c>
      <c r="I596" s="26" t="n">
        <v>44810</v>
      </c>
      <c r="J596" s="12" t="n">
        <v>21.68</v>
      </c>
      <c r="K596" s="17" t="n">
        <v>1174256.72</v>
      </c>
      <c r="L596" s="12" t="n">
        <v>0</v>
      </c>
      <c r="M596" s="12" t="n">
        <v>0</v>
      </c>
      <c r="N596" s="27">
        <f>F596-J596</f>
        <v/>
      </c>
      <c r="O596" s="16">
        <f>I596-H596</f>
        <v/>
      </c>
      <c r="P596" s="14">
        <f>F596*G596</f>
        <v/>
      </c>
      <c r="Q596" s="14">
        <f>J596*G596</f>
        <v/>
      </c>
      <c r="R596" s="14">
        <f>K596-Q596</f>
        <v/>
      </c>
      <c r="S596" s="3">
        <f>P596*Assumptions!$B$3/100</f>
        <v/>
      </c>
      <c r="T596" s="14">
        <f>R596-S596</f>
        <v/>
      </c>
      <c r="U596" s="14">
        <f>L596*G596</f>
        <v/>
      </c>
    </row>
    <row r="597">
      <c r="A597" s="12" t="inlineStr">
        <is>
          <t>PO-2021-0595</t>
        </is>
      </c>
      <c r="B597" s="26" t="n">
        <v>44290</v>
      </c>
      <c r="C597" s="12" t="inlineStr">
        <is>
          <t>VS01</t>
        </is>
      </c>
      <c r="D597" s="12" t="inlineStr">
        <is>
          <t>Square/Rect Tubes</t>
        </is>
      </c>
      <c r="E597" s="12" t="inlineStr">
        <is>
          <t>N</t>
        </is>
      </c>
      <c r="F597" s="12" t="n">
        <v>33.5</v>
      </c>
      <c r="G597" s="17" t="n">
        <v>57788.42</v>
      </c>
      <c r="H597" s="26" t="n">
        <v>44298</v>
      </c>
      <c r="I597" s="26" t="n">
        <v>44301</v>
      </c>
      <c r="J597" s="12" t="n">
        <v>33.19</v>
      </c>
      <c r="K597" s="17" t="n">
        <v>1935912.07</v>
      </c>
      <c r="L597" s="12" t="n">
        <v>0</v>
      </c>
      <c r="M597" s="12" t="n">
        <v>0</v>
      </c>
      <c r="N597" s="27">
        <f>F597-J597</f>
        <v/>
      </c>
      <c r="O597" s="16">
        <f>I597-H597</f>
        <v/>
      </c>
      <c r="P597" s="14">
        <f>F597*G597</f>
        <v/>
      </c>
      <c r="Q597" s="14">
        <f>J597*G597</f>
        <v/>
      </c>
      <c r="R597" s="14">
        <f>K597-Q597</f>
        <v/>
      </c>
      <c r="S597" s="3">
        <f>P597*Assumptions!$B$3/100</f>
        <v/>
      </c>
      <c r="T597" s="14">
        <f>R597-S597</f>
        <v/>
      </c>
      <c r="U597" s="14">
        <f>L597*G597</f>
        <v/>
      </c>
    </row>
    <row r="598">
      <c r="A598" s="12" t="inlineStr">
        <is>
          <t>PO-2021-0596</t>
        </is>
      </c>
      <c r="B598" s="26" t="n">
        <v>45093</v>
      </c>
      <c r="C598" s="12" t="inlineStr">
        <is>
          <t>VS18</t>
        </is>
      </c>
      <c r="D598" s="12" t="inlineStr">
        <is>
          <t>SS Pipes</t>
        </is>
      </c>
      <c r="E598" s="12" t="inlineStr">
        <is>
          <t>Y</t>
        </is>
      </c>
      <c r="F598" s="12" t="n">
        <v>19.26</v>
      </c>
      <c r="G598" s="17" t="n">
        <v>70704.2</v>
      </c>
      <c r="H598" s="26" t="n">
        <v>45097</v>
      </c>
      <c r="I598" s="26" t="n">
        <v>45098</v>
      </c>
      <c r="J598" s="12" t="n">
        <v>19.1</v>
      </c>
      <c r="K598" s="17" t="n">
        <v>1361762.89</v>
      </c>
      <c r="L598" s="12" t="n">
        <v>0</v>
      </c>
      <c r="M598" s="12" t="n">
        <v>0</v>
      </c>
      <c r="N598" s="27">
        <f>F598-J598</f>
        <v/>
      </c>
      <c r="O598" s="16">
        <f>I598-H598</f>
        <v/>
      </c>
      <c r="P598" s="14">
        <f>F598*G598</f>
        <v/>
      </c>
      <c r="Q598" s="14">
        <f>J598*G598</f>
        <v/>
      </c>
      <c r="R598" s="14">
        <f>K598-Q598</f>
        <v/>
      </c>
      <c r="S598" s="3">
        <f>P598*Assumptions!$B$3/100</f>
        <v/>
      </c>
      <c r="T598" s="14">
        <f>R598-S598</f>
        <v/>
      </c>
      <c r="U598" s="14">
        <f>L598*G598</f>
        <v/>
      </c>
    </row>
    <row r="599">
      <c r="A599" s="12" t="inlineStr">
        <is>
          <t>PO-2021-0597</t>
        </is>
      </c>
      <c r="B599" s="26" t="n">
        <v>45017</v>
      </c>
      <c r="C599" s="12" t="inlineStr">
        <is>
          <t>VS26</t>
        </is>
      </c>
      <c r="D599" s="12" t="inlineStr">
        <is>
          <t>Fasteners &amp; Fittings</t>
        </is>
      </c>
      <c r="E599" s="12" t="inlineStr">
        <is>
          <t>Y</t>
        </is>
      </c>
      <c r="F599" s="12" t="n">
        <v>14.32</v>
      </c>
      <c r="G599" s="17" t="n">
        <v>73928.66</v>
      </c>
      <c r="H599" s="26" t="n">
        <v>45027</v>
      </c>
      <c r="I599" s="26" t="n">
        <v>45029</v>
      </c>
      <c r="J599" s="12" t="n">
        <v>14.31</v>
      </c>
      <c r="K599" s="17" t="n">
        <v>1058658.41</v>
      </c>
      <c r="L599" s="12" t="n">
        <v>0</v>
      </c>
      <c r="M599" s="12" t="n">
        <v>19</v>
      </c>
      <c r="N599" s="27">
        <f>F599-J599</f>
        <v/>
      </c>
      <c r="O599" s="16">
        <f>I599-H599</f>
        <v/>
      </c>
      <c r="P599" s="14">
        <f>F599*G599</f>
        <v/>
      </c>
      <c r="Q599" s="14">
        <f>J599*G599</f>
        <v/>
      </c>
      <c r="R599" s="14">
        <f>K599-Q599</f>
        <v/>
      </c>
      <c r="S599" s="3">
        <f>P599*Assumptions!$B$3/100</f>
        <v/>
      </c>
      <c r="T599" s="14">
        <f>R599-S599</f>
        <v/>
      </c>
      <c r="U599" s="14">
        <f>L599*G599</f>
        <v/>
      </c>
    </row>
    <row r="600">
      <c r="A600" s="12" t="inlineStr">
        <is>
          <t>PO-2021-0598</t>
        </is>
      </c>
      <c r="B600" s="26" t="n">
        <v>45060</v>
      </c>
      <c r="C600" s="12" t="inlineStr">
        <is>
          <t>VS11</t>
        </is>
      </c>
      <c r="D600" s="12" t="inlineStr">
        <is>
          <t>ERW Pipes</t>
        </is>
      </c>
      <c r="E600" s="12" t="inlineStr">
        <is>
          <t>N</t>
        </is>
      </c>
      <c r="F600" s="12" t="n">
        <v>7.49</v>
      </c>
      <c r="G600" s="17" t="n">
        <v>99480.83</v>
      </c>
      <c r="H600" s="26" t="n">
        <v>45065</v>
      </c>
      <c r="I600" s="26" t="n">
        <v>45067</v>
      </c>
      <c r="J600" s="12" t="n">
        <v>7.46</v>
      </c>
      <c r="K600" s="17" t="n">
        <v>745111.42</v>
      </c>
      <c r="L600" s="12" t="n">
        <v>0</v>
      </c>
      <c r="M600" s="12" t="n">
        <v>13</v>
      </c>
      <c r="N600" s="27">
        <f>F600-J600</f>
        <v/>
      </c>
      <c r="O600" s="16">
        <f>I600-H600</f>
        <v/>
      </c>
      <c r="P600" s="14">
        <f>F600*G600</f>
        <v/>
      </c>
      <c r="Q600" s="14">
        <f>J600*G600</f>
        <v/>
      </c>
      <c r="R600" s="14">
        <f>K600-Q600</f>
        <v/>
      </c>
      <c r="S600" s="3">
        <f>P600*Assumptions!$B$3/100</f>
        <v/>
      </c>
      <c r="T600" s="14">
        <f>R600-S600</f>
        <v/>
      </c>
      <c r="U600" s="14">
        <f>L600*G600</f>
        <v/>
      </c>
    </row>
    <row r="601">
      <c r="A601" s="12" t="inlineStr">
        <is>
          <t>PO-2021-0599</t>
        </is>
      </c>
      <c r="B601" s="26" t="n">
        <v>44409</v>
      </c>
      <c r="C601" s="12" t="inlineStr">
        <is>
          <t>VS27</t>
        </is>
      </c>
      <c r="D601" s="12" t="inlineStr">
        <is>
          <t>Structural Steel</t>
        </is>
      </c>
      <c r="E601" s="12" t="inlineStr">
        <is>
          <t>N</t>
        </is>
      </c>
      <c r="F601" s="12" t="n">
        <v>40.31</v>
      </c>
      <c r="G601" s="17" t="n">
        <v>95879.49000000001</v>
      </c>
      <c r="H601" s="26" t="n">
        <v>44414</v>
      </c>
      <c r="I601" s="26" t="n">
        <v>44415</v>
      </c>
      <c r="J601" s="12" t="n">
        <v>39.93</v>
      </c>
      <c r="K601" s="17" t="n">
        <v>3864902.24</v>
      </c>
      <c r="L601" s="12" t="n">
        <v>0</v>
      </c>
      <c r="M601" s="12" t="n">
        <v>9</v>
      </c>
      <c r="N601" s="27">
        <f>F601-J601</f>
        <v/>
      </c>
      <c r="O601" s="16">
        <f>I601-H601</f>
        <v/>
      </c>
      <c r="P601" s="14">
        <f>F601*G601</f>
        <v/>
      </c>
      <c r="Q601" s="14">
        <f>J601*G601</f>
        <v/>
      </c>
      <c r="R601" s="14">
        <f>K601-Q601</f>
        <v/>
      </c>
      <c r="S601" s="3">
        <f>P601*Assumptions!$B$3/100</f>
        <v/>
      </c>
      <c r="T601" s="14">
        <f>R601-S601</f>
        <v/>
      </c>
      <c r="U601" s="14">
        <f>L601*G601</f>
        <v/>
      </c>
    </row>
    <row r="602">
      <c r="A602" s="12" t="inlineStr">
        <is>
          <t>PO-2021-0600</t>
        </is>
      </c>
      <c r="B602" s="26" t="n">
        <v>44974</v>
      </c>
      <c r="C602" s="12" t="inlineStr">
        <is>
          <t>VS23</t>
        </is>
      </c>
      <c r="D602" s="12" t="inlineStr">
        <is>
          <t>MS Pipes</t>
        </is>
      </c>
      <c r="E602" s="12" t="inlineStr">
        <is>
          <t>N</t>
        </is>
      </c>
      <c r="F602" s="12" t="n">
        <v>43.27</v>
      </c>
      <c r="G602" s="17" t="n">
        <v>110996.27</v>
      </c>
      <c r="H602" s="26" t="n">
        <v>44988</v>
      </c>
      <c r="I602" s="26" t="n">
        <v>44990</v>
      </c>
      <c r="J602" s="12" t="n">
        <v>43.08</v>
      </c>
      <c r="K602" s="17" t="n">
        <v>4802808.6</v>
      </c>
      <c r="L602" s="12" t="n">
        <v>0</v>
      </c>
      <c r="M602" s="12" t="n">
        <v>0</v>
      </c>
      <c r="N602" s="27">
        <f>F602-J602</f>
        <v/>
      </c>
      <c r="O602" s="16">
        <f>I602-H602</f>
        <v/>
      </c>
      <c r="P602" s="14">
        <f>F602*G602</f>
        <v/>
      </c>
      <c r="Q602" s="14">
        <f>J602*G602</f>
        <v/>
      </c>
      <c r="R602" s="14">
        <f>K602-Q602</f>
        <v/>
      </c>
      <c r="S602" s="3">
        <f>P602*Assumptions!$B$3/100</f>
        <v/>
      </c>
      <c r="T602" s="14">
        <f>R602-S602</f>
        <v/>
      </c>
      <c r="U602" s="14">
        <f>L602*G602</f>
        <v/>
      </c>
    </row>
    <row r="603">
      <c r="A603" s="12" t="inlineStr">
        <is>
          <t>PO-2021-0601</t>
        </is>
      </c>
      <c r="B603" s="26" t="n">
        <v>44464</v>
      </c>
      <c r="C603" s="12" t="inlineStr">
        <is>
          <t>VS31</t>
        </is>
      </c>
      <c r="D603" s="12" t="inlineStr">
        <is>
          <t>Structural Steel</t>
        </is>
      </c>
      <c r="E603" s="12" t="inlineStr">
        <is>
          <t>N</t>
        </is>
      </c>
      <c r="F603" s="12" t="n">
        <v>6.53</v>
      </c>
      <c r="G603" s="17" t="n">
        <v>75846.32000000001</v>
      </c>
      <c r="H603" s="26" t="n">
        <v>44467</v>
      </c>
      <c r="I603" s="26" t="n">
        <v>44469</v>
      </c>
      <c r="J603" s="12" t="n">
        <v>6.49</v>
      </c>
      <c r="K603" s="17" t="n">
        <v>495276.47</v>
      </c>
      <c r="L603" s="12" t="n">
        <v>0</v>
      </c>
      <c r="M603" s="12" t="n">
        <v>15</v>
      </c>
      <c r="N603" s="27">
        <f>F603-J603</f>
        <v/>
      </c>
      <c r="O603" s="16">
        <f>I603-H603</f>
        <v/>
      </c>
      <c r="P603" s="14">
        <f>F603*G603</f>
        <v/>
      </c>
      <c r="Q603" s="14">
        <f>J603*G603</f>
        <v/>
      </c>
      <c r="R603" s="14">
        <f>K603-Q603</f>
        <v/>
      </c>
      <c r="S603" s="3">
        <f>P603*Assumptions!$B$3/100</f>
        <v/>
      </c>
      <c r="T603" s="14">
        <f>R603-S603</f>
        <v/>
      </c>
      <c r="U603" s="14">
        <f>L603*G603</f>
        <v/>
      </c>
    </row>
    <row r="604">
      <c r="A604" s="12" t="inlineStr">
        <is>
          <t>PO-2021-0602</t>
        </is>
      </c>
      <c r="B604" s="26" t="n">
        <v>44326</v>
      </c>
      <c r="C604" s="12" t="inlineStr">
        <is>
          <t>VS17</t>
        </is>
      </c>
      <c r="D604" s="12" t="inlineStr">
        <is>
          <t>MS Flats</t>
        </is>
      </c>
      <c r="E604" s="12" t="inlineStr">
        <is>
          <t>N</t>
        </is>
      </c>
      <c r="F604" s="12" t="n">
        <v>1.61</v>
      </c>
      <c r="G604" s="17" t="n">
        <v>110124.92</v>
      </c>
      <c r="H604" s="26" t="n">
        <v>44337</v>
      </c>
      <c r="I604" s="26" t="n">
        <v>44337</v>
      </c>
      <c r="J604" s="12" t="n">
        <v>1.6</v>
      </c>
      <c r="K604" s="17" t="n">
        <v>177301.12</v>
      </c>
      <c r="L604" s="12" t="n">
        <v>0</v>
      </c>
      <c r="M604" s="12" t="n">
        <v>7</v>
      </c>
      <c r="N604" s="27">
        <f>F604-J604</f>
        <v/>
      </c>
      <c r="O604" s="16">
        <f>I604-H604</f>
        <v/>
      </c>
      <c r="P604" s="14">
        <f>F604*G604</f>
        <v/>
      </c>
      <c r="Q604" s="14">
        <f>J604*G604</f>
        <v/>
      </c>
      <c r="R604" s="14">
        <f>K604-Q604</f>
        <v/>
      </c>
      <c r="S604" s="3">
        <f>P604*Assumptions!$B$3/100</f>
        <v/>
      </c>
      <c r="T604" s="14">
        <f>R604-S604</f>
        <v/>
      </c>
      <c r="U604" s="14">
        <f>L604*G604</f>
        <v/>
      </c>
    </row>
    <row r="605">
      <c r="A605" s="12" t="inlineStr">
        <is>
          <t>PO-2021-0603</t>
        </is>
      </c>
      <c r="B605" s="26" t="n">
        <v>44655</v>
      </c>
      <c r="C605" s="12" t="inlineStr">
        <is>
          <t>VS22</t>
        </is>
      </c>
      <c r="D605" s="12" t="inlineStr">
        <is>
          <t>Hex Bars</t>
        </is>
      </c>
      <c r="E605" s="12" t="inlineStr">
        <is>
          <t>N</t>
        </is>
      </c>
      <c r="F605" s="12" t="n">
        <v>26.63</v>
      </c>
      <c r="G605" s="17" t="n">
        <v>97543.50999999999</v>
      </c>
      <c r="H605" s="26" t="n">
        <v>44659</v>
      </c>
      <c r="I605" s="26" t="n">
        <v>44662</v>
      </c>
      <c r="J605" s="12" t="n">
        <v>26.63</v>
      </c>
      <c r="K605" s="17" t="n">
        <v>2597583.67</v>
      </c>
      <c r="L605" s="12" t="n">
        <v>0</v>
      </c>
      <c r="M605" s="12" t="n">
        <v>0</v>
      </c>
      <c r="N605" s="27">
        <f>F605-J605</f>
        <v/>
      </c>
      <c r="O605" s="16">
        <f>I605-H605</f>
        <v/>
      </c>
      <c r="P605" s="14">
        <f>F605*G605</f>
        <v/>
      </c>
      <c r="Q605" s="14">
        <f>J605*G605</f>
        <v/>
      </c>
      <c r="R605" s="14">
        <f>K605-Q605</f>
        <v/>
      </c>
      <c r="S605" s="3">
        <f>P605*Assumptions!$B$3/100</f>
        <v/>
      </c>
      <c r="T605" s="14">
        <f>R605-S605</f>
        <v/>
      </c>
      <c r="U605" s="14">
        <f>L605*G605</f>
        <v/>
      </c>
    </row>
    <row r="606">
      <c r="A606" s="12" t="inlineStr">
        <is>
          <t>PO-2021-0604</t>
        </is>
      </c>
      <c r="B606" s="26" t="n">
        <v>45083</v>
      </c>
      <c r="C606" s="12" t="inlineStr">
        <is>
          <t>VS16</t>
        </is>
      </c>
      <c r="D606" s="12" t="inlineStr">
        <is>
          <t>Structural Steel</t>
        </is>
      </c>
      <c r="E606" s="12" t="inlineStr">
        <is>
          <t>N</t>
        </is>
      </c>
      <c r="F606" s="12" t="n">
        <v>17.94</v>
      </c>
      <c r="G606" s="17" t="n">
        <v>95722.17</v>
      </c>
      <c r="H606" s="26" t="n">
        <v>45092</v>
      </c>
      <c r="I606" s="26" t="n">
        <v>45093</v>
      </c>
      <c r="J606" s="12" t="n">
        <v>17.76</v>
      </c>
      <c r="K606" s="17" t="n">
        <v>1717255.73</v>
      </c>
      <c r="L606" s="12" t="n">
        <v>0</v>
      </c>
      <c r="M606" s="12" t="n">
        <v>0</v>
      </c>
      <c r="N606" s="27">
        <f>F606-J606</f>
        <v/>
      </c>
      <c r="O606" s="16">
        <f>I606-H606</f>
        <v/>
      </c>
      <c r="P606" s="14">
        <f>F606*G606</f>
        <v/>
      </c>
      <c r="Q606" s="14">
        <f>J606*G606</f>
        <v/>
      </c>
      <c r="R606" s="14">
        <f>K606-Q606</f>
        <v/>
      </c>
      <c r="S606" s="3">
        <f>P606*Assumptions!$B$3/100</f>
        <v/>
      </c>
      <c r="T606" s="14">
        <f>R606-S606</f>
        <v/>
      </c>
      <c r="U606" s="14">
        <f>L606*G606</f>
        <v/>
      </c>
    </row>
    <row r="607">
      <c r="A607" s="12" t="inlineStr">
        <is>
          <t>PO-2021-0605</t>
        </is>
      </c>
      <c r="B607" s="26" t="n">
        <v>44501</v>
      </c>
      <c r="C607" s="12" t="inlineStr">
        <is>
          <t>VS04</t>
        </is>
      </c>
      <c r="D607" s="12" t="inlineStr">
        <is>
          <t>MS Pipes</t>
        </is>
      </c>
      <c r="E607" s="12" t="inlineStr">
        <is>
          <t>N</t>
        </is>
      </c>
      <c r="F607" s="12" t="n">
        <v>32.53</v>
      </c>
      <c r="G607" s="17" t="n">
        <v>56769.55</v>
      </c>
      <c r="H607" s="26" t="n">
        <v>44511</v>
      </c>
      <c r="I607" s="26" t="n">
        <v>44513</v>
      </c>
      <c r="J607" s="12" t="n">
        <v>32.36</v>
      </c>
      <c r="K607" s="17" t="n">
        <v>1846713.46</v>
      </c>
      <c r="L607" s="12" t="n">
        <v>0</v>
      </c>
      <c r="M607" s="12" t="n">
        <v>24</v>
      </c>
      <c r="N607" s="27">
        <f>F607-J607</f>
        <v/>
      </c>
      <c r="O607" s="16">
        <f>I607-H607</f>
        <v/>
      </c>
      <c r="P607" s="14">
        <f>F607*G607</f>
        <v/>
      </c>
      <c r="Q607" s="14">
        <f>J607*G607</f>
        <v/>
      </c>
      <c r="R607" s="14">
        <f>K607-Q607</f>
        <v/>
      </c>
      <c r="S607" s="3">
        <f>P607*Assumptions!$B$3/100</f>
        <v/>
      </c>
      <c r="T607" s="14">
        <f>R607-S607</f>
        <v/>
      </c>
      <c r="U607" s="14">
        <f>L607*G607</f>
        <v/>
      </c>
    </row>
    <row r="608">
      <c r="A608" s="12" t="inlineStr">
        <is>
          <t>PO-2021-0606</t>
        </is>
      </c>
      <c r="B608" s="26" t="n">
        <v>45212</v>
      </c>
      <c r="C608" s="12" t="inlineStr">
        <is>
          <t>VS11</t>
        </is>
      </c>
      <c r="D608" s="12" t="inlineStr">
        <is>
          <t>SS Pipes</t>
        </is>
      </c>
      <c r="E608" s="12" t="inlineStr">
        <is>
          <t>Y</t>
        </is>
      </c>
      <c r="F608" s="12" t="n">
        <v>37.82</v>
      </c>
      <c r="G608" s="17" t="n">
        <v>69047.53999999999</v>
      </c>
      <c r="H608" s="26" t="n">
        <v>45220</v>
      </c>
      <c r="I608" s="26" t="n">
        <v>45223</v>
      </c>
      <c r="J608" s="12" t="n">
        <v>37.77</v>
      </c>
      <c r="K608" s="17" t="n">
        <v>2611377.96</v>
      </c>
      <c r="L608" s="12" t="n">
        <v>0</v>
      </c>
      <c r="M608" s="12" t="n">
        <v>0</v>
      </c>
      <c r="N608" s="27">
        <f>F608-J608</f>
        <v/>
      </c>
      <c r="O608" s="16">
        <f>I608-H608</f>
        <v/>
      </c>
      <c r="P608" s="14">
        <f>F608*G608</f>
        <v/>
      </c>
      <c r="Q608" s="14">
        <f>J608*G608</f>
        <v/>
      </c>
      <c r="R608" s="14">
        <f>K608-Q608</f>
        <v/>
      </c>
      <c r="S608" s="3">
        <f>P608*Assumptions!$B$3/100</f>
        <v/>
      </c>
      <c r="T608" s="14">
        <f>R608-S608</f>
        <v/>
      </c>
      <c r="U608" s="14">
        <f>L608*G608</f>
        <v/>
      </c>
    </row>
    <row r="609">
      <c r="A609" s="12" t="inlineStr">
        <is>
          <t>PO-2021-0607</t>
        </is>
      </c>
      <c r="B609" s="26" t="n">
        <v>44766</v>
      </c>
      <c r="C609" s="12" t="inlineStr">
        <is>
          <t>VS04</t>
        </is>
      </c>
      <c r="D609" s="12" t="inlineStr">
        <is>
          <t>Hex Bars</t>
        </is>
      </c>
      <c r="E609" s="12" t="inlineStr">
        <is>
          <t>N</t>
        </is>
      </c>
      <c r="F609" s="12" t="n">
        <v>11.91</v>
      </c>
      <c r="G609" s="17" t="n">
        <v>93248.8</v>
      </c>
      <c r="H609" s="26" t="n">
        <v>44775</v>
      </c>
      <c r="I609" s="26" t="n">
        <v>44775</v>
      </c>
      <c r="J609" s="12" t="n">
        <v>11.8</v>
      </c>
      <c r="K609" s="17" t="n">
        <v>1110593.21</v>
      </c>
      <c r="L609" s="12" t="n">
        <v>0</v>
      </c>
      <c r="M609" s="12" t="n">
        <v>16</v>
      </c>
      <c r="N609" s="27">
        <f>F609-J609</f>
        <v/>
      </c>
      <c r="O609" s="16">
        <f>I609-H609</f>
        <v/>
      </c>
      <c r="P609" s="14">
        <f>F609*G609</f>
        <v/>
      </c>
      <c r="Q609" s="14">
        <f>J609*G609</f>
        <v/>
      </c>
      <c r="R609" s="14">
        <f>K609-Q609</f>
        <v/>
      </c>
      <c r="S609" s="3">
        <f>P609*Assumptions!$B$3/100</f>
        <v/>
      </c>
      <c r="T609" s="14">
        <f>R609-S609</f>
        <v/>
      </c>
      <c r="U609" s="14">
        <f>L609*G609</f>
        <v/>
      </c>
    </row>
    <row r="610">
      <c r="A610" s="12" t="inlineStr">
        <is>
          <t>PO-2021-0608</t>
        </is>
      </c>
      <c r="B610" s="26" t="n">
        <v>44678</v>
      </c>
      <c r="C610" s="12" t="inlineStr">
        <is>
          <t>VS06</t>
        </is>
      </c>
      <c r="D610" s="12" t="inlineStr">
        <is>
          <t>Fasteners &amp; Fittings</t>
        </is>
      </c>
      <c r="E610" s="12" t="inlineStr">
        <is>
          <t>N</t>
        </is>
      </c>
      <c r="F610" s="12" t="n">
        <v>22.77</v>
      </c>
      <c r="G610" s="17" t="n">
        <v>87977.62</v>
      </c>
      <c r="H610" s="26" t="n">
        <v>44682</v>
      </c>
      <c r="I610" s="26" t="n">
        <v>44682</v>
      </c>
      <c r="J610" s="12" t="n">
        <v>22.67</v>
      </c>
      <c r="K610" s="17" t="n">
        <v>2003250.41</v>
      </c>
      <c r="L610" s="12" t="n">
        <v>0</v>
      </c>
      <c r="M610" s="12" t="n">
        <v>9</v>
      </c>
      <c r="N610" s="27">
        <f>F610-J610</f>
        <v/>
      </c>
      <c r="O610" s="16">
        <f>I610-H610</f>
        <v/>
      </c>
      <c r="P610" s="14">
        <f>F610*G610</f>
        <v/>
      </c>
      <c r="Q610" s="14">
        <f>J610*G610</f>
        <v/>
      </c>
      <c r="R610" s="14">
        <f>K610-Q610</f>
        <v/>
      </c>
      <c r="S610" s="3">
        <f>P610*Assumptions!$B$3/100</f>
        <v/>
      </c>
      <c r="T610" s="14">
        <f>R610-S610</f>
        <v/>
      </c>
      <c r="U610" s="14">
        <f>L610*G610</f>
        <v/>
      </c>
    </row>
    <row r="611">
      <c r="A611" s="12" t="inlineStr">
        <is>
          <t>PO-2021-0609</t>
        </is>
      </c>
      <c r="B611" s="26" t="n">
        <v>45217</v>
      </c>
      <c r="C611" s="12" t="inlineStr">
        <is>
          <t>VS29</t>
        </is>
      </c>
      <c r="D611" s="12" t="inlineStr">
        <is>
          <t>MS Flats</t>
        </is>
      </c>
      <c r="E611" s="12" t="inlineStr">
        <is>
          <t>Y</t>
        </is>
      </c>
      <c r="F611" s="12" t="n">
        <v>6.82</v>
      </c>
      <c r="G611" s="17" t="n">
        <v>82303</v>
      </c>
      <c r="H611" s="26" t="n">
        <v>45230</v>
      </c>
      <c r="I611" s="26" t="n">
        <v>45233</v>
      </c>
      <c r="J611" s="12" t="n">
        <v>6.81</v>
      </c>
      <c r="K611" s="17" t="n">
        <v>561306.46</v>
      </c>
      <c r="L611" s="12" t="n">
        <v>0</v>
      </c>
      <c r="M611" s="12" t="n">
        <v>18</v>
      </c>
      <c r="N611" s="27">
        <f>F611-J611</f>
        <v/>
      </c>
      <c r="O611" s="16">
        <f>I611-H611</f>
        <v/>
      </c>
      <c r="P611" s="14">
        <f>F611*G611</f>
        <v/>
      </c>
      <c r="Q611" s="14">
        <f>J611*G611</f>
        <v/>
      </c>
      <c r="R611" s="14">
        <f>K611-Q611</f>
        <v/>
      </c>
      <c r="S611" s="3">
        <f>P611*Assumptions!$B$3/100</f>
        <v/>
      </c>
      <c r="T611" s="14">
        <f>R611-S611</f>
        <v/>
      </c>
      <c r="U611" s="14">
        <f>L611*G611</f>
        <v/>
      </c>
    </row>
    <row r="612">
      <c r="A612" s="12" t="inlineStr">
        <is>
          <t>PO-2021-0610</t>
        </is>
      </c>
      <c r="B612" s="26" t="n">
        <v>44233</v>
      </c>
      <c r="C612" s="12" t="inlineStr">
        <is>
          <t>VS07</t>
        </is>
      </c>
      <c r="D612" s="12" t="inlineStr">
        <is>
          <t>MS Rods</t>
        </is>
      </c>
      <c r="E612" s="12" t="inlineStr">
        <is>
          <t>N</t>
        </is>
      </c>
      <c r="F612" s="12" t="n">
        <v>21.2</v>
      </c>
      <c r="G612" s="17" t="n">
        <v>86784.83</v>
      </c>
      <c r="H612" s="26" t="n">
        <v>44236</v>
      </c>
      <c r="I612" s="26" t="n">
        <v>44236</v>
      </c>
      <c r="J612" s="12" t="n">
        <v>21.17</v>
      </c>
      <c r="K612" s="17" t="n">
        <v>1839838.4</v>
      </c>
      <c r="L612" s="12" t="n">
        <v>0</v>
      </c>
      <c r="M612" s="12" t="n">
        <v>0</v>
      </c>
      <c r="N612" s="27">
        <f>F612-J612</f>
        <v/>
      </c>
      <c r="O612" s="16">
        <f>I612-H612</f>
        <v/>
      </c>
      <c r="P612" s="14">
        <f>F612*G612</f>
        <v/>
      </c>
      <c r="Q612" s="14">
        <f>J612*G612</f>
        <v/>
      </c>
      <c r="R612" s="14">
        <f>K612-Q612</f>
        <v/>
      </c>
      <c r="S612" s="3">
        <f>P612*Assumptions!$B$3/100</f>
        <v/>
      </c>
      <c r="T612" s="14">
        <f>R612-S612</f>
        <v/>
      </c>
      <c r="U612" s="14">
        <f>L612*G612</f>
        <v/>
      </c>
    </row>
    <row r="613">
      <c r="A613" s="12" t="inlineStr">
        <is>
          <t>PO-2021-0611</t>
        </is>
      </c>
      <c r="B613" s="26" t="n">
        <v>44383</v>
      </c>
      <c r="C613" s="12" t="inlineStr">
        <is>
          <t>VS20</t>
        </is>
      </c>
      <c r="D613" s="12" t="inlineStr">
        <is>
          <t>Hex Bars</t>
        </is>
      </c>
      <c r="E613" s="12" t="inlineStr">
        <is>
          <t>N</t>
        </is>
      </c>
      <c r="F613" s="12" t="n">
        <v>28.55</v>
      </c>
      <c r="G613" s="17" t="n">
        <v>94094.7</v>
      </c>
      <c r="H613" s="26" t="n">
        <v>44393</v>
      </c>
      <c r="I613" s="26" t="n">
        <v>44394</v>
      </c>
      <c r="J613" s="12" t="n">
        <v>28.32</v>
      </c>
      <c r="K613" s="17" t="n">
        <v>2686403.69</v>
      </c>
      <c r="L613" s="12" t="n">
        <v>0</v>
      </c>
      <c r="M613" s="12" t="n">
        <v>0</v>
      </c>
      <c r="N613" s="27">
        <f>F613-J613</f>
        <v/>
      </c>
      <c r="O613" s="16">
        <f>I613-H613</f>
        <v/>
      </c>
      <c r="P613" s="14">
        <f>F613*G613</f>
        <v/>
      </c>
      <c r="Q613" s="14">
        <f>J613*G613</f>
        <v/>
      </c>
      <c r="R613" s="14">
        <f>K613-Q613</f>
        <v/>
      </c>
      <c r="S613" s="3">
        <f>P613*Assumptions!$B$3/100</f>
        <v/>
      </c>
      <c r="T613" s="14">
        <f>R613-S613</f>
        <v/>
      </c>
      <c r="U613" s="14">
        <f>L613*G613</f>
        <v/>
      </c>
    </row>
    <row r="614">
      <c r="A614" s="12" t="inlineStr">
        <is>
          <t>PO-2021-0612</t>
        </is>
      </c>
      <c r="B614" s="26" t="n">
        <v>44895</v>
      </c>
      <c r="C614" s="12" t="inlineStr">
        <is>
          <t>VS24</t>
        </is>
      </c>
      <c r="D614" s="12" t="inlineStr">
        <is>
          <t>GI Pipes</t>
        </is>
      </c>
      <c r="E614" s="12" t="inlineStr">
        <is>
          <t>N</t>
        </is>
      </c>
      <c r="F614" s="12" t="n">
        <v>41.01</v>
      </c>
      <c r="G614" s="17" t="n">
        <v>108323.81</v>
      </c>
      <c r="H614" s="26" t="n">
        <v>44903</v>
      </c>
      <c r="I614" s="26" t="n">
        <v>44904</v>
      </c>
      <c r="J614" s="12" t="n">
        <v>40.76</v>
      </c>
      <c r="K614" s="17" t="n">
        <v>4442359.45</v>
      </c>
      <c r="L614" s="12" t="n">
        <v>0</v>
      </c>
      <c r="M614" s="12" t="n">
        <v>0</v>
      </c>
      <c r="N614" s="27">
        <f>F614-J614</f>
        <v/>
      </c>
      <c r="O614" s="16">
        <f>I614-H614</f>
        <v/>
      </c>
      <c r="P614" s="14">
        <f>F614*G614</f>
        <v/>
      </c>
      <c r="Q614" s="14">
        <f>J614*G614</f>
        <v/>
      </c>
      <c r="R614" s="14">
        <f>K614-Q614</f>
        <v/>
      </c>
      <c r="S614" s="3">
        <f>P614*Assumptions!$B$3/100</f>
        <v/>
      </c>
      <c r="T614" s="14">
        <f>R614-S614</f>
        <v/>
      </c>
      <c r="U614" s="14">
        <f>L614*G614</f>
        <v/>
      </c>
    </row>
    <row r="615">
      <c r="A615" s="12" t="inlineStr">
        <is>
          <t>PO-2021-0613</t>
        </is>
      </c>
      <c r="B615" s="26" t="n">
        <v>45165</v>
      </c>
      <c r="C615" s="12" t="inlineStr">
        <is>
          <t>VS24</t>
        </is>
      </c>
      <c r="D615" s="12" t="inlineStr">
        <is>
          <t>Fasteners &amp; Fittings</t>
        </is>
      </c>
      <c r="E615" s="12" t="inlineStr">
        <is>
          <t>N</t>
        </is>
      </c>
      <c r="F615" s="12" t="n">
        <v>6.59</v>
      </c>
      <c r="G615" s="17" t="n">
        <v>101949</v>
      </c>
      <c r="H615" s="26" t="n">
        <v>45171</v>
      </c>
      <c r="I615" s="26" t="n">
        <v>45174</v>
      </c>
      <c r="J615" s="12" t="n">
        <v>6.53</v>
      </c>
      <c r="K615" s="17" t="n">
        <v>671843.91</v>
      </c>
      <c r="L615" s="12" t="n">
        <v>0</v>
      </c>
      <c r="M615" s="12" t="n">
        <v>0</v>
      </c>
      <c r="N615" s="27">
        <f>F615-J615</f>
        <v/>
      </c>
      <c r="O615" s="16">
        <f>I615-H615</f>
        <v/>
      </c>
      <c r="P615" s="14">
        <f>F615*G615</f>
        <v/>
      </c>
      <c r="Q615" s="14">
        <f>J615*G615</f>
        <v/>
      </c>
      <c r="R615" s="14">
        <f>K615-Q615</f>
        <v/>
      </c>
      <c r="S615" s="3">
        <f>P615*Assumptions!$B$3/100</f>
        <v/>
      </c>
      <c r="T615" s="14">
        <f>R615-S615</f>
        <v/>
      </c>
      <c r="U615" s="14">
        <f>L615*G615</f>
        <v/>
      </c>
    </row>
    <row r="616">
      <c r="A616" s="12" t="inlineStr">
        <is>
          <t>PO-2021-0614</t>
        </is>
      </c>
      <c r="B616" s="26" t="n">
        <v>44201</v>
      </c>
      <c r="C616" s="12" t="inlineStr">
        <is>
          <t>VS22</t>
        </is>
      </c>
      <c r="D616" s="12" t="inlineStr">
        <is>
          <t>Angles &amp; Channels</t>
        </is>
      </c>
      <c r="E616" s="12" t="inlineStr">
        <is>
          <t>N</t>
        </is>
      </c>
      <c r="F616" s="12" t="n">
        <v>41.66</v>
      </c>
      <c r="G616" s="17" t="n">
        <v>117332.53</v>
      </c>
      <c r="H616" s="26" t="n">
        <v>44208</v>
      </c>
      <c r="I616" s="26" t="n">
        <v>44209</v>
      </c>
      <c r="J616" s="12" t="n">
        <v>41.36</v>
      </c>
      <c r="K616" s="17" t="n">
        <v>4888073.2</v>
      </c>
      <c r="L616" s="12" t="n">
        <v>0</v>
      </c>
      <c r="M616" s="12" t="n">
        <v>4</v>
      </c>
      <c r="N616" s="27">
        <f>F616-J616</f>
        <v/>
      </c>
      <c r="O616" s="16">
        <f>I616-H616</f>
        <v/>
      </c>
      <c r="P616" s="14">
        <f>F616*G616</f>
        <v/>
      </c>
      <c r="Q616" s="14">
        <f>J616*G616</f>
        <v/>
      </c>
      <c r="R616" s="14">
        <f>K616-Q616</f>
        <v/>
      </c>
      <c r="S616" s="3">
        <f>P616*Assumptions!$B$3/100</f>
        <v/>
      </c>
      <c r="T616" s="14">
        <f>R616-S616</f>
        <v/>
      </c>
      <c r="U616" s="14">
        <f>L616*G616</f>
        <v/>
      </c>
    </row>
    <row r="617">
      <c r="A617" s="12" t="inlineStr">
        <is>
          <t>PO-2021-0615</t>
        </is>
      </c>
      <c r="B617" s="26" t="n">
        <v>45266</v>
      </c>
      <c r="C617" s="12" t="inlineStr">
        <is>
          <t>VS24</t>
        </is>
      </c>
      <c r="D617" s="12" t="inlineStr">
        <is>
          <t>ERW Pipes</t>
        </is>
      </c>
      <c r="E617" s="12" t="inlineStr">
        <is>
          <t>N</t>
        </is>
      </c>
      <c r="F617" s="12" t="n">
        <v>3.24</v>
      </c>
      <c r="G617" s="17" t="n">
        <v>57311.65</v>
      </c>
      <c r="H617" s="26" t="n">
        <v>45271</v>
      </c>
      <c r="I617" s="26" t="n">
        <v>45271</v>
      </c>
      <c r="J617" s="12" t="n">
        <v>3.21</v>
      </c>
      <c r="K617" s="17" t="n">
        <v>185689.75</v>
      </c>
      <c r="L617" s="12" t="n">
        <v>0</v>
      </c>
      <c r="M617" s="12" t="n">
        <v>0</v>
      </c>
      <c r="N617" s="27">
        <f>F617-J617</f>
        <v/>
      </c>
      <c r="O617" s="16">
        <f>I617-H617</f>
        <v/>
      </c>
      <c r="P617" s="14">
        <f>F617*G617</f>
        <v/>
      </c>
      <c r="Q617" s="14">
        <f>J617*G617</f>
        <v/>
      </c>
      <c r="R617" s="14">
        <f>K617-Q617</f>
        <v/>
      </c>
      <c r="S617" s="3">
        <f>P617*Assumptions!$B$3/100</f>
        <v/>
      </c>
      <c r="T617" s="14">
        <f>R617-S617</f>
        <v/>
      </c>
      <c r="U617" s="14">
        <f>L617*G617</f>
        <v/>
      </c>
    </row>
    <row r="618">
      <c r="A618" s="12" t="inlineStr">
        <is>
          <t>PO-2021-0616</t>
        </is>
      </c>
      <c r="B618" s="26" t="n">
        <v>45035</v>
      </c>
      <c r="C618" s="12" t="inlineStr">
        <is>
          <t>VS07</t>
        </is>
      </c>
      <c r="D618" s="12" t="inlineStr">
        <is>
          <t>CR Sheets</t>
        </is>
      </c>
      <c r="E618" s="12" t="inlineStr">
        <is>
          <t>N</t>
        </is>
      </c>
      <c r="F618" s="12" t="n">
        <v>30.93</v>
      </c>
      <c r="G618" s="17" t="n">
        <v>59065.76</v>
      </c>
      <c r="H618" s="26" t="n">
        <v>45044</v>
      </c>
      <c r="I618" s="26" t="n">
        <v>45045</v>
      </c>
      <c r="J618" s="12" t="n">
        <v>30.62</v>
      </c>
      <c r="K618" s="17" t="n">
        <v>1826903.96</v>
      </c>
      <c r="L618" s="12" t="n">
        <v>0</v>
      </c>
      <c r="M618" s="12" t="n">
        <v>14</v>
      </c>
      <c r="N618" s="27">
        <f>F618-J618</f>
        <v/>
      </c>
      <c r="O618" s="16">
        <f>I618-H618</f>
        <v/>
      </c>
      <c r="P618" s="14">
        <f>F618*G618</f>
        <v/>
      </c>
      <c r="Q618" s="14">
        <f>J618*G618</f>
        <v/>
      </c>
      <c r="R618" s="14">
        <f>K618-Q618</f>
        <v/>
      </c>
      <c r="S618" s="3">
        <f>P618*Assumptions!$B$3/100</f>
        <v/>
      </c>
      <c r="T618" s="14">
        <f>R618-S618</f>
        <v/>
      </c>
      <c r="U618" s="14">
        <f>L618*G618</f>
        <v/>
      </c>
    </row>
    <row r="619">
      <c r="A619" s="12" t="inlineStr">
        <is>
          <t>PO-2021-0617</t>
        </is>
      </c>
      <c r="B619" s="26" t="n">
        <v>44638</v>
      </c>
      <c r="C619" s="12" t="inlineStr">
        <is>
          <t>VS30</t>
        </is>
      </c>
      <c r="D619" s="12" t="inlineStr">
        <is>
          <t>GI Sheets</t>
        </is>
      </c>
      <c r="E619" s="12" t="inlineStr">
        <is>
          <t>Y</t>
        </is>
      </c>
      <c r="F619" s="12" t="n">
        <v>36.12</v>
      </c>
      <c r="G619" s="17" t="n">
        <v>53082.43</v>
      </c>
      <c r="H619" s="26" t="n">
        <v>44647</v>
      </c>
      <c r="I619" s="26" t="n">
        <v>44649</v>
      </c>
      <c r="J619" s="12" t="n">
        <v>35.9</v>
      </c>
      <c r="K619" s="17" t="n">
        <v>1917337.37</v>
      </c>
      <c r="L619" s="12" t="n">
        <v>0</v>
      </c>
      <c r="M619" s="12" t="n">
        <v>25</v>
      </c>
      <c r="N619" s="27">
        <f>F619-J619</f>
        <v/>
      </c>
      <c r="O619" s="16">
        <f>I619-H619</f>
        <v/>
      </c>
      <c r="P619" s="14">
        <f>F619*G619</f>
        <v/>
      </c>
      <c r="Q619" s="14">
        <f>J619*G619</f>
        <v/>
      </c>
      <c r="R619" s="14">
        <f>K619-Q619</f>
        <v/>
      </c>
      <c r="S619" s="3">
        <f>P619*Assumptions!$B$3/100</f>
        <v/>
      </c>
      <c r="T619" s="14">
        <f>R619-S619</f>
        <v/>
      </c>
      <c r="U619" s="14">
        <f>L619*G619</f>
        <v/>
      </c>
    </row>
    <row r="620">
      <c r="A620" s="12" t="inlineStr">
        <is>
          <t>PO-2021-0618</t>
        </is>
      </c>
      <c r="B620" s="26" t="n">
        <v>44292</v>
      </c>
      <c r="C620" s="12" t="inlineStr">
        <is>
          <t>VS08</t>
        </is>
      </c>
      <c r="D620" s="12" t="inlineStr">
        <is>
          <t>Fasteners &amp; Fittings</t>
        </is>
      </c>
      <c r="E620" s="12" t="inlineStr">
        <is>
          <t>N</t>
        </is>
      </c>
      <c r="F620" s="12" t="n">
        <v>23.41</v>
      </c>
      <c r="G620" s="17" t="n">
        <v>89198.71000000001</v>
      </c>
      <c r="H620" s="26" t="n">
        <v>44303</v>
      </c>
      <c r="I620" s="26" t="n">
        <v>44303</v>
      </c>
      <c r="J620" s="12" t="n">
        <v>23.35</v>
      </c>
      <c r="K620" s="17" t="n">
        <v>2088141.8</v>
      </c>
      <c r="L620" s="12" t="n">
        <v>0</v>
      </c>
      <c r="M620" s="12" t="n">
        <v>0</v>
      </c>
      <c r="N620" s="27">
        <f>F620-J620</f>
        <v/>
      </c>
      <c r="O620" s="16">
        <f>I620-H620</f>
        <v/>
      </c>
      <c r="P620" s="14">
        <f>F620*G620</f>
        <v/>
      </c>
      <c r="Q620" s="14">
        <f>J620*G620</f>
        <v/>
      </c>
      <c r="R620" s="14">
        <f>K620-Q620</f>
        <v/>
      </c>
      <c r="S620" s="3">
        <f>P620*Assumptions!$B$3/100</f>
        <v/>
      </c>
      <c r="T620" s="14">
        <f>R620-S620</f>
        <v/>
      </c>
      <c r="U620" s="14">
        <f>L620*G620</f>
        <v/>
      </c>
    </row>
    <row r="621">
      <c r="A621" s="12" t="inlineStr">
        <is>
          <t>PO-2021-0619</t>
        </is>
      </c>
      <c r="B621" s="26" t="n">
        <v>44472</v>
      </c>
      <c r="C621" s="12" t="inlineStr">
        <is>
          <t>VS32</t>
        </is>
      </c>
      <c r="D621" s="12" t="inlineStr">
        <is>
          <t>MS Pipes</t>
        </is>
      </c>
      <c r="E621" s="12" t="inlineStr">
        <is>
          <t>N</t>
        </is>
      </c>
      <c r="F621" s="12" t="n">
        <v>26.99</v>
      </c>
      <c r="G621" s="17" t="n">
        <v>48642.87</v>
      </c>
      <c r="H621" s="26" t="n">
        <v>44481</v>
      </c>
      <c r="I621" s="26" t="n">
        <v>44484</v>
      </c>
      <c r="J621" s="12" t="n">
        <v>26.88</v>
      </c>
      <c r="K621" s="17" t="n">
        <v>1312871.06</v>
      </c>
      <c r="L621" s="12" t="n">
        <v>0</v>
      </c>
      <c r="M621" s="12" t="n">
        <v>0</v>
      </c>
      <c r="N621" s="27">
        <f>F621-J621</f>
        <v/>
      </c>
      <c r="O621" s="16">
        <f>I621-H621</f>
        <v/>
      </c>
      <c r="P621" s="14">
        <f>F621*G621</f>
        <v/>
      </c>
      <c r="Q621" s="14">
        <f>J621*G621</f>
        <v/>
      </c>
      <c r="R621" s="14">
        <f>K621-Q621</f>
        <v/>
      </c>
      <c r="S621" s="3">
        <f>P621*Assumptions!$B$3/100</f>
        <v/>
      </c>
      <c r="T621" s="14">
        <f>R621-S621</f>
        <v/>
      </c>
      <c r="U621" s="14">
        <f>L621*G621</f>
        <v/>
      </c>
    </row>
    <row r="622">
      <c r="A622" s="12" t="inlineStr">
        <is>
          <t>PO-2021-0620</t>
        </is>
      </c>
      <c r="B622" s="26" t="n">
        <v>45186</v>
      </c>
      <c r="C622" s="12" t="inlineStr">
        <is>
          <t>VS33</t>
        </is>
      </c>
      <c r="D622" s="12" t="inlineStr">
        <is>
          <t>MS Sheets</t>
        </is>
      </c>
      <c r="E622" s="12" t="inlineStr">
        <is>
          <t>N</t>
        </is>
      </c>
      <c r="F622" s="12" t="n">
        <v>34.9</v>
      </c>
      <c r="G622" s="17" t="n">
        <v>58023.77</v>
      </c>
      <c r="H622" s="26" t="n">
        <v>45191</v>
      </c>
      <c r="I622" s="26" t="n">
        <v>45192</v>
      </c>
      <c r="J622" s="12" t="n">
        <v>34.71</v>
      </c>
      <c r="K622" s="17" t="n">
        <v>2025029.57</v>
      </c>
      <c r="L622" s="12" t="n">
        <v>0</v>
      </c>
      <c r="M622" s="12" t="n">
        <v>4</v>
      </c>
      <c r="N622" s="27">
        <f>F622-J622</f>
        <v/>
      </c>
      <c r="O622" s="16">
        <f>I622-H622</f>
        <v/>
      </c>
      <c r="P622" s="14">
        <f>F622*G622</f>
        <v/>
      </c>
      <c r="Q622" s="14">
        <f>J622*G622</f>
        <v/>
      </c>
      <c r="R622" s="14">
        <f>K622-Q622</f>
        <v/>
      </c>
      <c r="S622" s="3">
        <f>P622*Assumptions!$B$3/100</f>
        <v/>
      </c>
      <c r="T622" s="14">
        <f>R622-S622</f>
        <v/>
      </c>
      <c r="U622" s="14">
        <f>L622*G622</f>
        <v/>
      </c>
    </row>
    <row r="623">
      <c r="A623" s="12" t="inlineStr">
        <is>
          <t>PO-2021-0621</t>
        </is>
      </c>
      <c r="B623" s="26" t="n">
        <v>44409</v>
      </c>
      <c r="C623" s="12" t="inlineStr">
        <is>
          <t>VS25</t>
        </is>
      </c>
      <c r="D623" s="12" t="inlineStr">
        <is>
          <t>MS Flats</t>
        </is>
      </c>
      <c r="E623" s="12" t="inlineStr">
        <is>
          <t>N</t>
        </is>
      </c>
      <c r="F623" s="12" t="n">
        <v>25.7</v>
      </c>
      <c r="G623" s="17" t="n">
        <v>73849.7</v>
      </c>
      <c r="H623" s="26" t="n">
        <v>44421</v>
      </c>
      <c r="I623" s="26" t="n">
        <v>44423</v>
      </c>
      <c r="J623" s="12" t="n">
        <v>25.62</v>
      </c>
      <c r="K623" s="17" t="n">
        <v>1897937.29</v>
      </c>
      <c r="L623" s="12" t="n">
        <v>0</v>
      </c>
      <c r="M623" s="12" t="n">
        <v>15</v>
      </c>
      <c r="N623" s="27">
        <f>F623-J623</f>
        <v/>
      </c>
      <c r="O623" s="16">
        <f>I623-H623</f>
        <v/>
      </c>
      <c r="P623" s="14">
        <f>F623*G623</f>
        <v/>
      </c>
      <c r="Q623" s="14">
        <f>J623*G623</f>
        <v/>
      </c>
      <c r="R623" s="14">
        <f>K623-Q623</f>
        <v/>
      </c>
      <c r="S623" s="3">
        <f>P623*Assumptions!$B$3/100</f>
        <v/>
      </c>
      <c r="T623" s="14">
        <f>R623-S623</f>
        <v/>
      </c>
      <c r="U623" s="14">
        <f>L623*G623</f>
        <v/>
      </c>
    </row>
    <row r="624">
      <c r="A624" s="12" t="inlineStr">
        <is>
          <t>PO-2021-0622</t>
        </is>
      </c>
      <c r="B624" s="26" t="n">
        <v>44705</v>
      </c>
      <c r="C624" s="12" t="inlineStr">
        <is>
          <t>VS18</t>
        </is>
      </c>
      <c r="D624" s="12" t="inlineStr">
        <is>
          <t>MS Rods</t>
        </is>
      </c>
      <c r="E624" s="12" t="inlineStr">
        <is>
          <t>Y</t>
        </is>
      </c>
      <c r="F624" s="12" t="n">
        <v>48.22</v>
      </c>
      <c r="G624" s="17" t="n">
        <v>117786.87</v>
      </c>
      <c r="H624" s="26" t="n">
        <v>44715</v>
      </c>
      <c r="I624" s="26" t="n">
        <v>44716</v>
      </c>
      <c r="J624" s="12" t="n">
        <v>47.84</v>
      </c>
      <c r="K624" s="17" t="n">
        <v>5679682.87</v>
      </c>
      <c r="L624" s="12" t="n">
        <v>0</v>
      </c>
      <c r="M624" s="12" t="n">
        <v>0</v>
      </c>
      <c r="N624" s="27">
        <f>F624-J624</f>
        <v/>
      </c>
      <c r="O624" s="16">
        <f>I624-H624</f>
        <v/>
      </c>
      <c r="P624" s="14">
        <f>F624*G624</f>
        <v/>
      </c>
      <c r="Q624" s="14">
        <f>J624*G624</f>
        <v/>
      </c>
      <c r="R624" s="14">
        <f>K624-Q624</f>
        <v/>
      </c>
      <c r="S624" s="3">
        <f>P624*Assumptions!$B$3/100</f>
        <v/>
      </c>
      <c r="T624" s="14">
        <f>R624-S624</f>
        <v/>
      </c>
      <c r="U624" s="14">
        <f>L624*G624</f>
        <v/>
      </c>
    </row>
    <row r="625">
      <c r="A625" s="12" t="inlineStr">
        <is>
          <t>PO-2021-0623</t>
        </is>
      </c>
      <c r="B625" s="26" t="n">
        <v>44470</v>
      </c>
      <c r="C625" s="12" t="inlineStr">
        <is>
          <t>VS09</t>
        </is>
      </c>
      <c r="D625" s="12" t="inlineStr">
        <is>
          <t>GI Wire</t>
        </is>
      </c>
      <c r="E625" s="12" t="inlineStr">
        <is>
          <t>N</t>
        </is>
      </c>
      <c r="F625" s="12" t="n">
        <v>30.52</v>
      </c>
      <c r="G625" s="17" t="n">
        <v>111482.76</v>
      </c>
      <c r="H625" s="26" t="n">
        <v>44481</v>
      </c>
      <c r="I625" s="26" t="n">
        <v>44484</v>
      </c>
      <c r="J625" s="12" t="n">
        <v>30.44</v>
      </c>
      <c r="K625" s="17" t="n">
        <v>3402453.84</v>
      </c>
      <c r="L625" s="12" t="n">
        <v>0</v>
      </c>
      <c r="M625" s="12" t="n">
        <v>0</v>
      </c>
      <c r="N625" s="27">
        <f>F625-J625</f>
        <v/>
      </c>
      <c r="O625" s="16">
        <f>I625-H625</f>
        <v/>
      </c>
      <c r="P625" s="14">
        <f>F625*G625</f>
        <v/>
      </c>
      <c r="Q625" s="14">
        <f>J625*G625</f>
        <v/>
      </c>
      <c r="R625" s="14">
        <f>K625-Q625</f>
        <v/>
      </c>
      <c r="S625" s="3">
        <f>P625*Assumptions!$B$3/100</f>
        <v/>
      </c>
      <c r="T625" s="14">
        <f>R625-S625</f>
        <v/>
      </c>
      <c r="U625" s="14">
        <f>L625*G625</f>
        <v/>
      </c>
    </row>
    <row r="626">
      <c r="A626" s="12" t="inlineStr">
        <is>
          <t>PO-2021-0624</t>
        </is>
      </c>
      <c r="B626" s="26" t="n">
        <v>44809</v>
      </c>
      <c r="C626" s="12" t="inlineStr">
        <is>
          <t>VS21</t>
        </is>
      </c>
      <c r="D626" s="12" t="inlineStr">
        <is>
          <t>Spring Steel</t>
        </is>
      </c>
      <c r="E626" s="12" t="inlineStr">
        <is>
          <t>N</t>
        </is>
      </c>
      <c r="F626" s="12" t="n">
        <v>32</v>
      </c>
      <c r="G626" s="17" t="n">
        <v>60066.68</v>
      </c>
      <c r="H626" s="26" t="n">
        <v>44821</v>
      </c>
      <c r="I626" s="26" t="n">
        <v>44823</v>
      </c>
      <c r="J626" s="12" t="n">
        <v>31.96</v>
      </c>
      <c r="K626" s="17" t="n">
        <v>1922133.76</v>
      </c>
      <c r="L626" s="12" t="n">
        <v>0</v>
      </c>
      <c r="M626" s="12" t="n">
        <v>21</v>
      </c>
      <c r="N626" s="27">
        <f>F626-J626</f>
        <v/>
      </c>
      <c r="O626" s="16">
        <f>I626-H626</f>
        <v/>
      </c>
      <c r="P626" s="14">
        <f>F626*G626</f>
        <v/>
      </c>
      <c r="Q626" s="14">
        <f>J626*G626</f>
        <v/>
      </c>
      <c r="R626" s="14">
        <f>K626-Q626</f>
        <v/>
      </c>
      <c r="S626" s="3">
        <f>P626*Assumptions!$B$3/100</f>
        <v/>
      </c>
      <c r="T626" s="14">
        <f>R626-S626</f>
        <v/>
      </c>
      <c r="U626" s="14">
        <f>L626*G626</f>
        <v/>
      </c>
    </row>
    <row r="627">
      <c r="A627" s="12" t="inlineStr">
        <is>
          <t>PO-2021-0625</t>
        </is>
      </c>
      <c r="B627" s="26" t="n">
        <v>44792</v>
      </c>
      <c r="C627" s="12" t="inlineStr">
        <is>
          <t>VS23</t>
        </is>
      </c>
      <c r="D627" s="12" t="inlineStr">
        <is>
          <t>Square/Rect Tubes</t>
        </is>
      </c>
      <c r="E627" s="12" t="inlineStr">
        <is>
          <t>N</t>
        </is>
      </c>
      <c r="F627" s="12" t="n">
        <v>49.09</v>
      </c>
      <c r="G627" s="17" t="n">
        <v>93756.48</v>
      </c>
      <c r="H627" s="26" t="n">
        <v>44797</v>
      </c>
      <c r="I627" s="26" t="n">
        <v>44799</v>
      </c>
      <c r="J627" s="12" t="n">
        <v>48.96</v>
      </c>
      <c r="K627" s="17" t="n">
        <v>4602505.6</v>
      </c>
      <c r="L627" s="12" t="n">
        <v>0</v>
      </c>
      <c r="M627" s="12" t="n">
        <v>0</v>
      </c>
      <c r="N627" s="27">
        <f>F627-J627</f>
        <v/>
      </c>
      <c r="O627" s="16">
        <f>I627-H627</f>
        <v/>
      </c>
      <c r="P627" s="14">
        <f>F627*G627</f>
        <v/>
      </c>
      <c r="Q627" s="14">
        <f>J627*G627</f>
        <v/>
      </c>
      <c r="R627" s="14">
        <f>K627-Q627</f>
        <v/>
      </c>
      <c r="S627" s="3">
        <f>P627*Assumptions!$B$3/100</f>
        <v/>
      </c>
      <c r="T627" s="14">
        <f>R627-S627</f>
        <v/>
      </c>
      <c r="U627" s="14">
        <f>L627*G627</f>
        <v/>
      </c>
    </row>
    <row r="628">
      <c r="A628" s="12" t="inlineStr">
        <is>
          <t>PO-2021-0626</t>
        </is>
      </c>
      <c r="B628" s="26" t="n">
        <v>45228</v>
      </c>
      <c r="C628" s="12" t="inlineStr">
        <is>
          <t>VS21</t>
        </is>
      </c>
      <c r="D628" s="12" t="inlineStr">
        <is>
          <t>ERW Pipes</t>
        </is>
      </c>
      <c r="E628" s="12" t="inlineStr">
        <is>
          <t>Y</t>
        </is>
      </c>
      <c r="F628" s="12" t="n">
        <v>38.28</v>
      </c>
      <c r="G628" s="17" t="n">
        <v>87171.02</v>
      </c>
      <c r="H628" s="26" t="n">
        <v>45240</v>
      </c>
      <c r="I628" s="26" t="n">
        <v>45243</v>
      </c>
      <c r="J628" s="12" t="n">
        <v>38.09</v>
      </c>
      <c r="K628" s="17" t="n">
        <v>3336906.65</v>
      </c>
      <c r="L628" s="12" t="n">
        <v>0</v>
      </c>
      <c r="M628" s="12" t="n">
        <v>18</v>
      </c>
      <c r="N628" s="27">
        <f>F628-J628</f>
        <v/>
      </c>
      <c r="O628" s="16">
        <f>I628-H628</f>
        <v/>
      </c>
      <c r="P628" s="14">
        <f>F628*G628</f>
        <v/>
      </c>
      <c r="Q628" s="14">
        <f>J628*G628</f>
        <v/>
      </c>
      <c r="R628" s="14">
        <f>K628-Q628</f>
        <v/>
      </c>
      <c r="S628" s="3">
        <f>P628*Assumptions!$B$3/100</f>
        <v/>
      </c>
      <c r="T628" s="14">
        <f>R628-S628</f>
        <v/>
      </c>
      <c r="U628" s="14">
        <f>L628*G628</f>
        <v/>
      </c>
    </row>
    <row r="629">
      <c r="A629" s="12" t="inlineStr">
        <is>
          <t>PO-2021-0627</t>
        </is>
      </c>
      <c r="B629" s="26" t="n">
        <v>45051</v>
      </c>
      <c r="C629" s="12" t="inlineStr">
        <is>
          <t>VS19</t>
        </is>
      </c>
      <c r="D629" s="12" t="inlineStr">
        <is>
          <t>GI Wire</t>
        </is>
      </c>
      <c r="E629" s="12" t="inlineStr">
        <is>
          <t>N</t>
        </is>
      </c>
      <c r="F629" s="12" t="n">
        <v>40.61</v>
      </c>
      <c r="G629" s="17" t="n">
        <v>87572.94</v>
      </c>
      <c r="H629" s="26" t="n">
        <v>45054</v>
      </c>
      <c r="I629" s="26" t="n">
        <v>45062</v>
      </c>
      <c r="J629" s="12" t="n">
        <v>38.87</v>
      </c>
      <c r="K629" s="17" t="n">
        <v>3556337.09</v>
      </c>
      <c r="L629" s="12" t="n">
        <v>1.12</v>
      </c>
      <c r="M629" s="12" t="n">
        <v>0</v>
      </c>
      <c r="N629" s="27">
        <f>F629-J629</f>
        <v/>
      </c>
      <c r="O629" s="16">
        <f>I629-H629</f>
        <v/>
      </c>
      <c r="P629" s="14">
        <f>F629*G629</f>
        <v/>
      </c>
      <c r="Q629" s="14">
        <f>J629*G629</f>
        <v/>
      </c>
      <c r="R629" s="14">
        <f>K629-Q629</f>
        <v/>
      </c>
      <c r="S629" s="3">
        <f>P629*Assumptions!$B$3/100</f>
        <v/>
      </c>
      <c r="T629" s="14">
        <f>R629-S629</f>
        <v/>
      </c>
      <c r="U629" s="14">
        <f>L629*G629</f>
        <v/>
      </c>
    </row>
    <row r="630">
      <c r="A630" s="12" t="inlineStr">
        <is>
          <t>PO-2021-0628</t>
        </is>
      </c>
      <c r="B630" s="26" t="n">
        <v>44977</v>
      </c>
      <c r="C630" s="12" t="inlineStr">
        <is>
          <t>VS10</t>
        </is>
      </c>
      <c r="D630" s="12" t="inlineStr">
        <is>
          <t>GI Pipes</t>
        </is>
      </c>
      <c r="E630" s="12" t="inlineStr">
        <is>
          <t>N</t>
        </is>
      </c>
      <c r="F630" s="12" t="n">
        <v>33.84</v>
      </c>
      <c r="G630" s="17" t="n">
        <v>59992.68</v>
      </c>
      <c r="H630" s="26" t="n">
        <v>44992</v>
      </c>
      <c r="I630" s="26" t="n">
        <v>44993</v>
      </c>
      <c r="J630" s="12" t="n">
        <v>33.52</v>
      </c>
      <c r="K630" s="17" t="n">
        <v>2030152.29</v>
      </c>
      <c r="L630" s="12" t="n">
        <v>0</v>
      </c>
      <c r="M630" s="12" t="n">
        <v>0</v>
      </c>
      <c r="N630" s="27">
        <f>F630-J630</f>
        <v/>
      </c>
      <c r="O630" s="16">
        <f>I630-H630</f>
        <v/>
      </c>
      <c r="P630" s="14">
        <f>F630*G630</f>
        <v/>
      </c>
      <c r="Q630" s="14">
        <f>J630*G630</f>
        <v/>
      </c>
      <c r="R630" s="14">
        <f>K630-Q630</f>
        <v/>
      </c>
      <c r="S630" s="3">
        <f>P630*Assumptions!$B$3/100</f>
        <v/>
      </c>
      <c r="T630" s="14">
        <f>R630-S630</f>
        <v/>
      </c>
      <c r="U630" s="14">
        <f>L630*G630</f>
        <v/>
      </c>
    </row>
    <row r="631">
      <c r="A631" s="12" t="inlineStr">
        <is>
          <t>PO-2021-0629</t>
        </is>
      </c>
      <c r="B631" s="26" t="n">
        <v>44526</v>
      </c>
      <c r="C631" s="12" t="inlineStr">
        <is>
          <t>VS19</t>
        </is>
      </c>
      <c r="D631" s="12" t="inlineStr">
        <is>
          <t>CR Sheets</t>
        </is>
      </c>
      <c r="E631" s="12" t="inlineStr">
        <is>
          <t>Y</t>
        </is>
      </c>
      <c r="F631" s="12" t="n">
        <v>8.17</v>
      </c>
      <c r="G631" s="17" t="n">
        <v>51638.56</v>
      </c>
      <c r="H631" s="26" t="n">
        <v>44541</v>
      </c>
      <c r="I631" s="26" t="n">
        <v>44548</v>
      </c>
      <c r="J631" s="12" t="n">
        <v>7.76</v>
      </c>
      <c r="K631" s="17" t="n">
        <v>421887.04</v>
      </c>
      <c r="L631" s="12" t="n">
        <v>0.09</v>
      </c>
      <c r="M631" s="12" t="n">
        <v>0</v>
      </c>
      <c r="N631" s="27">
        <f>F631-J631</f>
        <v/>
      </c>
      <c r="O631" s="16">
        <f>I631-H631</f>
        <v/>
      </c>
      <c r="P631" s="14">
        <f>F631*G631</f>
        <v/>
      </c>
      <c r="Q631" s="14">
        <f>J631*G631</f>
        <v/>
      </c>
      <c r="R631" s="14">
        <f>K631-Q631</f>
        <v/>
      </c>
      <c r="S631" s="3">
        <f>P631*Assumptions!$B$3/100</f>
        <v/>
      </c>
      <c r="T631" s="14">
        <f>R631-S631</f>
        <v/>
      </c>
      <c r="U631" s="14">
        <f>L631*G631</f>
        <v/>
      </c>
    </row>
    <row r="632">
      <c r="A632" s="12" t="inlineStr">
        <is>
          <t>PO-2021-0630</t>
        </is>
      </c>
      <c r="B632" s="26" t="n">
        <v>44801</v>
      </c>
      <c r="C632" s="12" t="inlineStr">
        <is>
          <t>VS14</t>
        </is>
      </c>
      <c r="D632" s="12" t="inlineStr">
        <is>
          <t>Spring Steel</t>
        </is>
      </c>
      <c r="E632" s="12" t="inlineStr">
        <is>
          <t>N</t>
        </is>
      </c>
      <c r="F632" s="12" t="n">
        <v>2.58</v>
      </c>
      <c r="G632" s="17" t="n">
        <v>106051.97</v>
      </c>
      <c r="H632" s="26" t="n">
        <v>44805</v>
      </c>
      <c r="I632" s="26" t="n">
        <v>44807</v>
      </c>
      <c r="J632" s="12" t="n">
        <v>2.57</v>
      </c>
      <c r="K632" s="17" t="n">
        <v>273614.08</v>
      </c>
      <c r="L632" s="12" t="n">
        <v>0</v>
      </c>
      <c r="M632" s="12" t="n">
        <v>0</v>
      </c>
      <c r="N632" s="27">
        <f>F632-J632</f>
        <v/>
      </c>
      <c r="O632" s="16">
        <f>I632-H632</f>
        <v/>
      </c>
      <c r="P632" s="14">
        <f>F632*G632</f>
        <v/>
      </c>
      <c r="Q632" s="14">
        <f>J632*G632</f>
        <v/>
      </c>
      <c r="R632" s="14">
        <f>K632-Q632</f>
        <v/>
      </c>
      <c r="S632" s="3">
        <f>P632*Assumptions!$B$3/100</f>
        <v/>
      </c>
      <c r="T632" s="14">
        <f>R632-S632</f>
        <v/>
      </c>
      <c r="U632" s="14">
        <f>L632*G632</f>
        <v/>
      </c>
    </row>
    <row r="633">
      <c r="A633" s="12" t="inlineStr">
        <is>
          <t>PO-2021-0631</t>
        </is>
      </c>
      <c r="B633" s="26" t="n">
        <v>44656</v>
      </c>
      <c r="C633" s="12" t="inlineStr">
        <is>
          <t>VS25</t>
        </is>
      </c>
      <c r="D633" s="12" t="inlineStr">
        <is>
          <t>HR Coils</t>
        </is>
      </c>
      <c r="E633" s="12" t="inlineStr">
        <is>
          <t>N</t>
        </is>
      </c>
      <c r="F633" s="12" t="n">
        <v>26.04</v>
      </c>
      <c r="G633" s="17" t="n">
        <v>104762.52</v>
      </c>
      <c r="H633" s="26" t="n">
        <v>44670</v>
      </c>
      <c r="I633" s="26" t="n">
        <v>44672</v>
      </c>
      <c r="J633" s="12" t="n">
        <v>25.98</v>
      </c>
      <c r="K633" s="17" t="n">
        <v>2728016.02</v>
      </c>
      <c r="L633" s="12" t="n">
        <v>0</v>
      </c>
      <c r="M633" s="12" t="n">
        <v>4</v>
      </c>
      <c r="N633" s="27">
        <f>F633-J633</f>
        <v/>
      </c>
      <c r="O633" s="16">
        <f>I633-H633</f>
        <v/>
      </c>
      <c r="P633" s="14">
        <f>F633*G633</f>
        <v/>
      </c>
      <c r="Q633" s="14">
        <f>J633*G633</f>
        <v/>
      </c>
      <c r="R633" s="14">
        <f>K633-Q633</f>
        <v/>
      </c>
      <c r="S633" s="3">
        <f>P633*Assumptions!$B$3/100</f>
        <v/>
      </c>
      <c r="T633" s="14">
        <f>R633-S633</f>
        <v/>
      </c>
      <c r="U633" s="14">
        <f>L633*G633</f>
        <v/>
      </c>
    </row>
    <row r="634">
      <c r="A634" s="12" t="inlineStr">
        <is>
          <t>PO-2021-0632</t>
        </is>
      </c>
      <c r="B634" s="26" t="n">
        <v>44786</v>
      </c>
      <c r="C634" s="12" t="inlineStr">
        <is>
          <t>VS04</t>
        </is>
      </c>
      <c r="D634" s="12" t="inlineStr">
        <is>
          <t>MS Rods</t>
        </is>
      </c>
      <c r="E634" s="12" t="inlineStr">
        <is>
          <t>N</t>
        </is>
      </c>
      <c r="F634" s="12" t="n">
        <v>19.99</v>
      </c>
      <c r="G634" s="17" t="n">
        <v>116752.65</v>
      </c>
      <c r="H634" s="26" t="n">
        <v>44799</v>
      </c>
      <c r="I634" s="26" t="n">
        <v>44802</v>
      </c>
      <c r="J634" s="12" t="n">
        <v>19.93</v>
      </c>
      <c r="K634" s="17" t="n">
        <v>2333885.47</v>
      </c>
      <c r="L634" s="12" t="n">
        <v>0</v>
      </c>
      <c r="M634" s="12" t="n">
        <v>0</v>
      </c>
      <c r="N634" s="27">
        <f>F634-J634</f>
        <v/>
      </c>
      <c r="O634" s="16">
        <f>I634-H634</f>
        <v/>
      </c>
      <c r="P634" s="14">
        <f>F634*G634</f>
        <v/>
      </c>
      <c r="Q634" s="14">
        <f>J634*G634</f>
        <v/>
      </c>
      <c r="R634" s="14">
        <f>K634-Q634</f>
        <v/>
      </c>
      <c r="S634" s="3">
        <f>P634*Assumptions!$B$3/100</f>
        <v/>
      </c>
      <c r="T634" s="14">
        <f>R634-S634</f>
        <v/>
      </c>
      <c r="U634" s="14">
        <f>L634*G634</f>
        <v/>
      </c>
    </row>
    <row r="635">
      <c r="A635" s="12" t="inlineStr">
        <is>
          <t>PO-2021-0633</t>
        </is>
      </c>
      <c r="B635" s="26" t="n">
        <v>44837</v>
      </c>
      <c r="C635" s="12" t="inlineStr">
        <is>
          <t>VS04</t>
        </is>
      </c>
      <c r="D635" s="12" t="inlineStr">
        <is>
          <t>MS Pipes</t>
        </is>
      </c>
      <c r="E635" s="12" t="inlineStr">
        <is>
          <t>N</t>
        </is>
      </c>
      <c r="F635" s="12" t="n">
        <v>37.44</v>
      </c>
      <c r="G635" s="17" t="n">
        <v>60231.54</v>
      </c>
      <c r="H635" s="26" t="n">
        <v>44852</v>
      </c>
      <c r="I635" s="26" t="n">
        <v>44854</v>
      </c>
      <c r="J635" s="12" t="n">
        <v>37.39</v>
      </c>
      <c r="K635" s="17" t="n">
        <v>2255068.86</v>
      </c>
      <c r="L635" s="12" t="n">
        <v>0</v>
      </c>
      <c r="M635" s="12" t="n">
        <v>4</v>
      </c>
      <c r="N635" s="27">
        <f>F635-J635</f>
        <v/>
      </c>
      <c r="O635" s="16">
        <f>I635-H635</f>
        <v/>
      </c>
      <c r="P635" s="14">
        <f>F635*G635</f>
        <v/>
      </c>
      <c r="Q635" s="14">
        <f>J635*G635</f>
        <v/>
      </c>
      <c r="R635" s="14">
        <f>K635-Q635</f>
        <v/>
      </c>
      <c r="S635" s="3">
        <f>P635*Assumptions!$B$3/100</f>
        <v/>
      </c>
      <c r="T635" s="14">
        <f>R635-S635</f>
        <v/>
      </c>
      <c r="U635" s="14">
        <f>L635*G635</f>
        <v/>
      </c>
    </row>
    <row r="636">
      <c r="A636" s="12" t="inlineStr">
        <is>
          <t>PO-2021-0634</t>
        </is>
      </c>
      <c r="B636" s="26" t="n">
        <v>45104</v>
      </c>
      <c r="C636" s="12" t="inlineStr">
        <is>
          <t>VS15</t>
        </is>
      </c>
      <c r="D636" s="12" t="inlineStr">
        <is>
          <t>Angles &amp; Channels</t>
        </is>
      </c>
      <c r="E636" s="12" t="inlineStr">
        <is>
          <t>N</t>
        </is>
      </c>
      <c r="F636" s="12" t="n">
        <v>38</v>
      </c>
      <c r="G636" s="17" t="n">
        <v>85996.14</v>
      </c>
      <c r="H636" s="26" t="n">
        <v>45116</v>
      </c>
      <c r="I636" s="26" t="n">
        <v>45118</v>
      </c>
      <c r="J636" s="12" t="n">
        <v>37.66</v>
      </c>
      <c r="K636" s="17" t="n">
        <v>3267853.32</v>
      </c>
      <c r="L636" s="12" t="n">
        <v>0</v>
      </c>
      <c r="M636" s="12" t="n">
        <v>1</v>
      </c>
      <c r="N636" s="27">
        <f>F636-J636</f>
        <v/>
      </c>
      <c r="O636" s="16">
        <f>I636-H636</f>
        <v/>
      </c>
      <c r="P636" s="14">
        <f>F636*G636</f>
        <v/>
      </c>
      <c r="Q636" s="14">
        <f>J636*G636</f>
        <v/>
      </c>
      <c r="R636" s="14">
        <f>K636-Q636</f>
        <v/>
      </c>
      <c r="S636" s="3">
        <f>P636*Assumptions!$B$3/100</f>
        <v/>
      </c>
      <c r="T636" s="14">
        <f>R636-S636</f>
        <v/>
      </c>
      <c r="U636" s="14">
        <f>L636*G636</f>
        <v/>
      </c>
    </row>
    <row r="637">
      <c r="A637" s="12" t="inlineStr">
        <is>
          <t>PO-2021-0635</t>
        </is>
      </c>
      <c r="B637" s="26" t="n">
        <v>44599</v>
      </c>
      <c r="C637" s="12" t="inlineStr">
        <is>
          <t>VS13</t>
        </is>
      </c>
      <c r="D637" s="12" t="inlineStr">
        <is>
          <t>SS Sheets</t>
        </is>
      </c>
      <c r="E637" s="12" t="inlineStr">
        <is>
          <t>N</t>
        </is>
      </c>
      <c r="F637" s="12" t="n">
        <v>22.99</v>
      </c>
      <c r="G637" s="17" t="n">
        <v>118759</v>
      </c>
      <c r="H637" s="26" t="n">
        <v>44603</v>
      </c>
      <c r="I637" s="26" t="n">
        <v>44606</v>
      </c>
      <c r="J637" s="12" t="n">
        <v>22.85</v>
      </c>
      <c r="K637" s="17" t="n">
        <v>2730269.41</v>
      </c>
      <c r="L637" s="12" t="n">
        <v>0</v>
      </c>
      <c r="M637" s="12" t="n">
        <v>0</v>
      </c>
      <c r="N637" s="27">
        <f>F637-J637</f>
        <v/>
      </c>
      <c r="O637" s="16">
        <f>I637-H637</f>
        <v/>
      </c>
      <c r="P637" s="14">
        <f>F637*G637</f>
        <v/>
      </c>
      <c r="Q637" s="14">
        <f>J637*G637</f>
        <v/>
      </c>
      <c r="R637" s="14">
        <f>K637-Q637</f>
        <v/>
      </c>
      <c r="S637" s="3">
        <f>P637*Assumptions!$B$3/100</f>
        <v/>
      </c>
      <c r="T637" s="14">
        <f>R637-S637</f>
        <v/>
      </c>
      <c r="U637" s="14">
        <f>L637*G637</f>
        <v/>
      </c>
    </row>
    <row r="638">
      <c r="A638" s="12" t="inlineStr">
        <is>
          <t>PO-2021-0636</t>
        </is>
      </c>
      <c r="B638" s="26" t="n">
        <v>44579</v>
      </c>
      <c r="C638" s="12" t="inlineStr">
        <is>
          <t>VS12</t>
        </is>
      </c>
      <c r="D638" s="12" t="inlineStr">
        <is>
          <t>Hex Bars</t>
        </is>
      </c>
      <c r="E638" s="12" t="inlineStr">
        <is>
          <t>N</t>
        </is>
      </c>
      <c r="F638" s="12" t="n">
        <v>6.85</v>
      </c>
      <c r="G638" s="17" t="n">
        <v>49969.47</v>
      </c>
      <c r="H638" s="26" t="n">
        <v>44586</v>
      </c>
      <c r="I638" s="26" t="n">
        <v>44589</v>
      </c>
      <c r="J638" s="12" t="n">
        <v>6.59</v>
      </c>
      <c r="K638" s="17" t="n">
        <v>342290.87</v>
      </c>
      <c r="L638" s="12" t="n">
        <v>0.25</v>
      </c>
      <c r="M638" s="12" t="n">
        <v>4</v>
      </c>
      <c r="N638" s="27">
        <f>F638-J638</f>
        <v/>
      </c>
      <c r="O638" s="16">
        <f>I638-H638</f>
        <v/>
      </c>
      <c r="P638" s="14">
        <f>F638*G638</f>
        <v/>
      </c>
      <c r="Q638" s="14">
        <f>J638*G638</f>
        <v/>
      </c>
      <c r="R638" s="14">
        <f>K638-Q638</f>
        <v/>
      </c>
      <c r="S638" s="3">
        <f>P638*Assumptions!$B$3/100</f>
        <v/>
      </c>
      <c r="T638" s="14">
        <f>R638-S638</f>
        <v/>
      </c>
      <c r="U638" s="14">
        <f>L638*G638</f>
        <v/>
      </c>
    </row>
    <row r="639">
      <c r="A639" s="12" t="inlineStr">
        <is>
          <t>PO-2021-0637</t>
        </is>
      </c>
      <c r="B639" s="26" t="n">
        <v>44738</v>
      </c>
      <c r="C639" s="12" t="inlineStr">
        <is>
          <t>VS09</t>
        </is>
      </c>
      <c r="D639" s="12" t="inlineStr">
        <is>
          <t>MS Sheets</t>
        </is>
      </c>
      <c r="E639" s="12" t="inlineStr">
        <is>
          <t>N</t>
        </is>
      </c>
      <c r="F639" s="12" t="n">
        <v>29.62</v>
      </c>
      <c r="G639" s="17" t="n">
        <v>64126.21</v>
      </c>
      <c r="H639" s="26" t="n">
        <v>44746</v>
      </c>
      <c r="I639" s="26" t="n">
        <v>44748</v>
      </c>
      <c r="J639" s="12" t="n">
        <v>29.52</v>
      </c>
      <c r="K639" s="17" t="n">
        <v>1899418.34</v>
      </c>
      <c r="L639" s="12" t="n">
        <v>0</v>
      </c>
      <c r="M639" s="12" t="n">
        <v>0</v>
      </c>
      <c r="N639" s="27">
        <f>F639-J639</f>
        <v/>
      </c>
      <c r="O639" s="16">
        <f>I639-H639</f>
        <v/>
      </c>
      <c r="P639" s="14">
        <f>F639*G639</f>
        <v/>
      </c>
      <c r="Q639" s="14">
        <f>J639*G639</f>
        <v/>
      </c>
      <c r="R639" s="14">
        <f>K639-Q639</f>
        <v/>
      </c>
      <c r="S639" s="3">
        <f>P639*Assumptions!$B$3/100</f>
        <v/>
      </c>
      <c r="T639" s="14">
        <f>R639-S639</f>
        <v/>
      </c>
      <c r="U639" s="14">
        <f>L639*G639</f>
        <v/>
      </c>
    </row>
    <row r="640">
      <c r="A640" s="12" t="inlineStr">
        <is>
          <t>PO-2021-0638</t>
        </is>
      </c>
      <c r="B640" s="26" t="n">
        <v>45152</v>
      </c>
      <c r="C640" s="12" t="inlineStr">
        <is>
          <t>VS10</t>
        </is>
      </c>
      <c r="D640" s="12" t="inlineStr">
        <is>
          <t>GI Pipes</t>
        </is>
      </c>
      <c r="E640" s="12" t="inlineStr">
        <is>
          <t>N</t>
        </is>
      </c>
      <c r="F640" s="12" t="n">
        <v>8.529999999999999</v>
      </c>
      <c r="G640" s="17" t="n">
        <v>69197.25</v>
      </c>
      <c r="H640" s="26" t="n">
        <v>45155</v>
      </c>
      <c r="I640" s="26" t="n">
        <v>45158</v>
      </c>
      <c r="J640" s="12" t="n">
        <v>8.52</v>
      </c>
      <c r="K640" s="17" t="n">
        <v>590252.54</v>
      </c>
      <c r="L640" s="12" t="n">
        <v>0</v>
      </c>
      <c r="M640" s="12" t="n">
        <v>0</v>
      </c>
      <c r="N640" s="27">
        <f>F640-J640</f>
        <v/>
      </c>
      <c r="O640" s="16">
        <f>I640-H640</f>
        <v/>
      </c>
      <c r="P640" s="14">
        <f>F640*G640</f>
        <v/>
      </c>
      <c r="Q640" s="14">
        <f>J640*G640</f>
        <v/>
      </c>
      <c r="R640" s="14">
        <f>K640-Q640</f>
        <v/>
      </c>
      <c r="S640" s="3">
        <f>P640*Assumptions!$B$3/100</f>
        <v/>
      </c>
      <c r="T640" s="14">
        <f>R640-S640</f>
        <v/>
      </c>
      <c r="U640" s="14">
        <f>L640*G640</f>
        <v/>
      </c>
    </row>
    <row r="641">
      <c r="A641" s="12" t="inlineStr">
        <is>
          <t>PO-2021-0639</t>
        </is>
      </c>
      <c r="B641" s="26" t="n">
        <v>44813</v>
      </c>
      <c r="C641" s="12" t="inlineStr">
        <is>
          <t>VS32</t>
        </is>
      </c>
      <c r="D641" s="12" t="inlineStr">
        <is>
          <t>Spring Steel</t>
        </is>
      </c>
      <c r="E641" s="12" t="inlineStr">
        <is>
          <t>N</t>
        </is>
      </c>
      <c r="F641" s="12" t="n">
        <v>18.55</v>
      </c>
      <c r="G641" s="17" t="n">
        <v>103802.36</v>
      </c>
      <c r="H641" s="26" t="n">
        <v>44821</v>
      </c>
      <c r="I641" s="26" t="n">
        <v>44821</v>
      </c>
      <c r="J641" s="12" t="n">
        <v>18.49</v>
      </c>
      <c r="K641" s="17" t="n">
        <v>1925533.78</v>
      </c>
      <c r="L641" s="12" t="n">
        <v>0</v>
      </c>
      <c r="M641" s="12" t="n">
        <v>0</v>
      </c>
      <c r="N641" s="27">
        <f>F641-J641</f>
        <v/>
      </c>
      <c r="O641" s="16">
        <f>I641-H641</f>
        <v/>
      </c>
      <c r="P641" s="14">
        <f>F641*G641</f>
        <v/>
      </c>
      <c r="Q641" s="14">
        <f>J641*G641</f>
        <v/>
      </c>
      <c r="R641" s="14">
        <f>K641-Q641</f>
        <v/>
      </c>
      <c r="S641" s="3">
        <f>P641*Assumptions!$B$3/100</f>
        <v/>
      </c>
      <c r="T641" s="14">
        <f>R641-S641</f>
        <v/>
      </c>
      <c r="U641" s="14">
        <f>L641*G641</f>
        <v/>
      </c>
    </row>
    <row r="642">
      <c r="A642" s="12" t="inlineStr">
        <is>
          <t>PO-2021-0640</t>
        </is>
      </c>
      <c r="B642" s="26" t="n">
        <v>45273</v>
      </c>
      <c r="C642" s="12" t="inlineStr">
        <is>
          <t>VS15</t>
        </is>
      </c>
      <c r="D642" s="12" t="inlineStr">
        <is>
          <t>MS Sheets</t>
        </is>
      </c>
      <c r="E642" s="12" t="inlineStr">
        <is>
          <t>N</t>
        </is>
      </c>
      <c r="F642" s="12" t="n">
        <v>26.51</v>
      </c>
      <c r="G642" s="17" t="n">
        <v>103969.37</v>
      </c>
      <c r="H642" s="26" t="n">
        <v>45278</v>
      </c>
      <c r="I642" s="26" t="n">
        <v>45280</v>
      </c>
      <c r="J642" s="12" t="n">
        <v>26.31</v>
      </c>
      <c r="K642" s="17" t="n">
        <v>2756228</v>
      </c>
      <c r="L642" s="12" t="n">
        <v>0</v>
      </c>
      <c r="M642" s="12" t="n">
        <v>0</v>
      </c>
      <c r="N642" s="27">
        <f>F642-J642</f>
        <v/>
      </c>
      <c r="O642" s="16">
        <f>I642-H642</f>
        <v/>
      </c>
      <c r="P642" s="14">
        <f>F642*G642</f>
        <v/>
      </c>
      <c r="Q642" s="14">
        <f>J642*G642</f>
        <v/>
      </c>
      <c r="R642" s="14">
        <f>K642-Q642</f>
        <v/>
      </c>
      <c r="S642" s="3">
        <f>P642*Assumptions!$B$3/100</f>
        <v/>
      </c>
      <c r="T642" s="14">
        <f>R642-S642</f>
        <v/>
      </c>
      <c r="U642" s="14">
        <f>L642*G642</f>
        <v/>
      </c>
    </row>
    <row r="643">
      <c r="A643" s="12" t="inlineStr">
        <is>
          <t>PO-2021-0641</t>
        </is>
      </c>
      <c r="B643" s="26" t="n">
        <v>45048</v>
      </c>
      <c r="C643" s="12" t="inlineStr">
        <is>
          <t>VS26</t>
        </is>
      </c>
      <c r="D643" s="12" t="inlineStr">
        <is>
          <t>SS Pipes</t>
        </is>
      </c>
      <c r="E643" s="12" t="inlineStr">
        <is>
          <t>N</t>
        </is>
      </c>
      <c r="F643" s="12" t="n">
        <v>18.12</v>
      </c>
      <c r="G643" s="17" t="n">
        <v>111254.76</v>
      </c>
      <c r="H643" s="26" t="n">
        <v>45061</v>
      </c>
      <c r="I643" s="26" t="n">
        <v>45062</v>
      </c>
      <c r="J643" s="12" t="n">
        <v>18.11</v>
      </c>
      <c r="K643" s="17" t="n">
        <v>2015936.25</v>
      </c>
      <c r="L643" s="12" t="n">
        <v>0</v>
      </c>
      <c r="M643" s="12" t="n">
        <v>0</v>
      </c>
      <c r="N643" s="27">
        <f>F643-J643</f>
        <v/>
      </c>
      <c r="O643" s="16">
        <f>I643-H643</f>
        <v/>
      </c>
      <c r="P643" s="14">
        <f>F643*G643</f>
        <v/>
      </c>
      <c r="Q643" s="14">
        <f>J643*G643</f>
        <v/>
      </c>
      <c r="R643" s="14">
        <f>K643-Q643</f>
        <v/>
      </c>
      <c r="S643" s="3">
        <f>P643*Assumptions!$B$3/100</f>
        <v/>
      </c>
      <c r="T643" s="14">
        <f>R643-S643</f>
        <v/>
      </c>
      <c r="U643" s="14">
        <f>L643*G643</f>
        <v/>
      </c>
    </row>
    <row r="644">
      <c r="A644" s="12" t="inlineStr">
        <is>
          <t>PO-2021-0642</t>
        </is>
      </c>
      <c r="B644" s="26" t="n">
        <v>44876</v>
      </c>
      <c r="C644" s="12" t="inlineStr">
        <is>
          <t>VS22</t>
        </is>
      </c>
      <c r="D644" s="12" t="inlineStr">
        <is>
          <t>Angles &amp; Channels</t>
        </is>
      </c>
      <c r="E644" s="12" t="inlineStr">
        <is>
          <t>N</t>
        </is>
      </c>
      <c r="F644" s="12" t="n">
        <v>15.39</v>
      </c>
      <c r="G644" s="17" t="n">
        <v>116273.12</v>
      </c>
      <c r="H644" s="26" t="n">
        <v>44888</v>
      </c>
      <c r="I644" s="26" t="n">
        <v>44890</v>
      </c>
      <c r="J644" s="12" t="n">
        <v>15.38</v>
      </c>
      <c r="K644" s="17" t="n">
        <v>1789443.32</v>
      </c>
      <c r="L644" s="12" t="n">
        <v>0</v>
      </c>
      <c r="M644" s="12" t="n">
        <v>16</v>
      </c>
      <c r="N644" s="27">
        <f>F644-J644</f>
        <v/>
      </c>
      <c r="O644" s="16">
        <f>I644-H644</f>
        <v/>
      </c>
      <c r="P644" s="14">
        <f>F644*G644</f>
        <v/>
      </c>
      <c r="Q644" s="14">
        <f>J644*G644</f>
        <v/>
      </c>
      <c r="R644" s="14">
        <f>K644-Q644</f>
        <v/>
      </c>
      <c r="S644" s="3">
        <f>P644*Assumptions!$B$3/100</f>
        <v/>
      </c>
      <c r="T644" s="14">
        <f>R644-S644</f>
        <v/>
      </c>
      <c r="U644" s="14">
        <f>L644*G644</f>
        <v/>
      </c>
    </row>
    <row r="645">
      <c r="A645" s="12" t="inlineStr">
        <is>
          <t>PO-2021-0643</t>
        </is>
      </c>
      <c r="B645" s="26" t="n">
        <v>45283</v>
      </c>
      <c r="C645" s="12" t="inlineStr">
        <is>
          <t>VS31</t>
        </is>
      </c>
      <c r="D645" s="12" t="inlineStr">
        <is>
          <t>Spring Steel</t>
        </is>
      </c>
      <c r="E645" s="12" t="inlineStr">
        <is>
          <t>N</t>
        </is>
      </c>
      <c r="F645" s="12" t="n">
        <v>41.36</v>
      </c>
      <c r="G645" s="17" t="n">
        <v>118584.99</v>
      </c>
      <c r="H645" s="26" t="n">
        <v>45286</v>
      </c>
      <c r="I645" s="26" t="n">
        <v>45286</v>
      </c>
      <c r="J645" s="12" t="n">
        <v>41.14</v>
      </c>
      <c r="K645" s="17" t="n">
        <v>4904675.19</v>
      </c>
      <c r="L645" s="12" t="n">
        <v>0</v>
      </c>
      <c r="M645" s="12" t="n">
        <v>0</v>
      </c>
      <c r="N645" s="27">
        <f>F645-J645</f>
        <v/>
      </c>
      <c r="O645" s="16">
        <f>I645-H645</f>
        <v/>
      </c>
      <c r="P645" s="14">
        <f>F645*G645</f>
        <v/>
      </c>
      <c r="Q645" s="14">
        <f>J645*G645</f>
        <v/>
      </c>
      <c r="R645" s="14">
        <f>K645-Q645</f>
        <v/>
      </c>
      <c r="S645" s="3">
        <f>P645*Assumptions!$B$3/100</f>
        <v/>
      </c>
      <c r="T645" s="14">
        <f>R645-S645</f>
        <v/>
      </c>
      <c r="U645" s="14">
        <f>L645*G645</f>
        <v/>
      </c>
    </row>
    <row r="646">
      <c r="A646" s="12" t="inlineStr">
        <is>
          <t>PO-2021-0644</t>
        </is>
      </c>
      <c r="B646" s="26" t="n">
        <v>44431</v>
      </c>
      <c r="C646" s="12" t="inlineStr">
        <is>
          <t>VS23</t>
        </is>
      </c>
      <c r="D646" s="12" t="inlineStr">
        <is>
          <t>Fasteners &amp; Fittings</t>
        </is>
      </c>
      <c r="E646" s="12" t="inlineStr">
        <is>
          <t>N</t>
        </is>
      </c>
      <c r="F646" s="12" t="n">
        <v>12.78</v>
      </c>
      <c r="G646" s="17" t="n">
        <v>93169.83</v>
      </c>
      <c r="H646" s="26" t="n">
        <v>44443</v>
      </c>
      <c r="I646" s="26" t="n">
        <v>44446</v>
      </c>
      <c r="J646" s="12" t="n">
        <v>12.7</v>
      </c>
      <c r="K646" s="17" t="n">
        <v>1190710.43</v>
      </c>
      <c r="L646" s="12" t="n">
        <v>0</v>
      </c>
      <c r="M646" s="12" t="n">
        <v>0</v>
      </c>
      <c r="N646" s="27">
        <f>F646-J646</f>
        <v/>
      </c>
      <c r="O646" s="16">
        <f>I646-H646</f>
        <v/>
      </c>
      <c r="P646" s="14">
        <f>F646*G646</f>
        <v/>
      </c>
      <c r="Q646" s="14">
        <f>J646*G646</f>
        <v/>
      </c>
      <c r="R646" s="14">
        <f>K646-Q646</f>
        <v/>
      </c>
      <c r="S646" s="3">
        <f>P646*Assumptions!$B$3/100</f>
        <v/>
      </c>
      <c r="T646" s="14">
        <f>R646-S646</f>
        <v/>
      </c>
      <c r="U646" s="14">
        <f>L646*G646</f>
        <v/>
      </c>
    </row>
    <row r="647">
      <c r="A647" s="12" t="inlineStr">
        <is>
          <t>PO-2021-0645</t>
        </is>
      </c>
      <c r="B647" s="26" t="n">
        <v>44696</v>
      </c>
      <c r="C647" s="12" t="inlineStr">
        <is>
          <t>VS03</t>
        </is>
      </c>
      <c r="D647" s="12" t="inlineStr">
        <is>
          <t>MS Flats</t>
        </is>
      </c>
      <c r="E647" s="12" t="inlineStr">
        <is>
          <t>N</t>
        </is>
      </c>
      <c r="F647" s="12" t="n">
        <v>19.69</v>
      </c>
      <c r="G647" s="17" t="n">
        <v>108904.11</v>
      </c>
      <c r="H647" s="26" t="n">
        <v>44700</v>
      </c>
      <c r="I647" s="26" t="n">
        <v>44706</v>
      </c>
      <c r="J647" s="12" t="n">
        <v>19.15</v>
      </c>
      <c r="K647" s="17" t="n">
        <v>2144321.93</v>
      </c>
      <c r="L647" s="12" t="n">
        <v>0.88</v>
      </c>
      <c r="M647" s="12" t="n">
        <v>20</v>
      </c>
      <c r="N647" s="27">
        <f>F647-J647</f>
        <v/>
      </c>
      <c r="O647" s="16">
        <f>I647-H647</f>
        <v/>
      </c>
      <c r="P647" s="14">
        <f>F647*G647</f>
        <v/>
      </c>
      <c r="Q647" s="14">
        <f>J647*G647</f>
        <v/>
      </c>
      <c r="R647" s="14">
        <f>K647-Q647</f>
        <v/>
      </c>
      <c r="S647" s="3">
        <f>P647*Assumptions!$B$3/100</f>
        <v/>
      </c>
      <c r="T647" s="14">
        <f>R647-S647</f>
        <v/>
      </c>
      <c r="U647" s="14">
        <f>L647*G647</f>
        <v/>
      </c>
    </row>
    <row r="648">
      <c r="A648" s="12" t="inlineStr">
        <is>
          <t>PO-2021-0646</t>
        </is>
      </c>
      <c r="B648" s="26" t="n">
        <v>44987</v>
      </c>
      <c r="C648" s="12" t="inlineStr">
        <is>
          <t>VS17</t>
        </is>
      </c>
      <c r="D648" s="12" t="inlineStr">
        <is>
          <t>Spring Steel</t>
        </is>
      </c>
      <c r="E648" s="12" t="inlineStr">
        <is>
          <t>N</t>
        </is>
      </c>
      <c r="F648" s="12" t="n">
        <v>36.47</v>
      </c>
      <c r="G648" s="17" t="n">
        <v>46852.93</v>
      </c>
      <c r="H648" s="26" t="n">
        <v>44998</v>
      </c>
      <c r="I648" s="26" t="n">
        <v>45000</v>
      </c>
      <c r="J648" s="12" t="n">
        <v>36.26</v>
      </c>
      <c r="K648" s="17" t="n">
        <v>1708726.36</v>
      </c>
      <c r="L648" s="12" t="n">
        <v>0</v>
      </c>
      <c r="M648" s="12" t="n">
        <v>0</v>
      </c>
      <c r="N648" s="27">
        <f>F648-J648</f>
        <v/>
      </c>
      <c r="O648" s="16">
        <f>I648-H648</f>
        <v/>
      </c>
      <c r="P648" s="14">
        <f>F648*G648</f>
        <v/>
      </c>
      <c r="Q648" s="14">
        <f>J648*G648</f>
        <v/>
      </c>
      <c r="R648" s="14">
        <f>K648-Q648</f>
        <v/>
      </c>
      <c r="S648" s="3">
        <f>P648*Assumptions!$B$3/100</f>
        <v/>
      </c>
      <c r="T648" s="14">
        <f>R648-S648</f>
        <v/>
      </c>
      <c r="U648" s="14">
        <f>L648*G648</f>
        <v/>
      </c>
    </row>
    <row r="649">
      <c r="A649" s="12" t="inlineStr">
        <is>
          <t>PO-2021-0647</t>
        </is>
      </c>
      <c r="B649" s="26" t="n">
        <v>44964</v>
      </c>
      <c r="C649" s="12" t="inlineStr">
        <is>
          <t>VS33</t>
        </is>
      </c>
      <c r="D649" s="12" t="inlineStr">
        <is>
          <t>Hex Bars</t>
        </is>
      </c>
      <c r="E649" s="12" t="inlineStr">
        <is>
          <t>N</t>
        </is>
      </c>
      <c r="F649" s="12" t="n">
        <v>22.83</v>
      </c>
      <c r="G649" s="17" t="n">
        <v>48288.87</v>
      </c>
      <c r="H649" s="26" t="n">
        <v>44977</v>
      </c>
      <c r="I649" s="26" t="n">
        <v>44977</v>
      </c>
      <c r="J649" s="12" t="n">
        <v>22.69</v>
      </c>
      <c r="K649" s="17" t="n">
        <v>1102434.9</v>
      </c>
      <c r="L649" s="12" t="n">
        <v>0</v>
      </c>
      <c r="M649" s="12" t="n">
        <v>0</v>
      </c>
      <c r="N649" s="27">
        <f>F649-J649</f>
        <v/>
      </c>
      <c r="O649" s="16">
        <f>I649-H649</f>
        <v/>
      </c>
      <c r="P649" s="14">
        <f>F649*G649</f>
        <v/>
      </c>
      <c r="Q649" s="14">
        <f>J649*G649</f>
        <v/>
      </c>
      <c r="R649" s="14">
        <f>K649-Q649</f>
        <v/>
      </c>
      <c r="S649" s="3">
        <f>P649*Assumptions!$B$3/100</f>
        <v/>
      </c>
      <c r="T649" s="14">
        <f>R649-S649</f>
        <v/>
      </c>
      <c r="U649" s="14">
        <f>L649*G649</f>
        <v/>
      </c>
    </row>
    <row r="650">
      <c r="A650" s="12" t="inlineStr">
        <is>
          <t>PO-2021-0648</t>
        </is>
      </c>
      <c r="B650" s="26" t="n">
        <v>44591</v>
      </c>
      <c r="C650" s="12" t="inlineStr">
        <is>
          <t>VS21</t>
        </is>
      </c>
      <c r="D650" s="12" t="inlineStr">
        <is>
          <t>Hex Bars</t>
        </is>
      </c>
      <c r="E650" s="12" t="inlineStr">
        <is>
          <t>N</t>
        </is>
      </c>
      <c r="F650" s="12" t="n">
        <v>5.03</v>
      </c>
      <c r="G650" s="17" t="n">
        <v>52196.73</v>
      </c>
      <c r="H650" s="26" t="n">
        <v>44606</v>
      </c>
      <c r="I650" s="26" t="n">
        <v>44608</v>
      </c>
      <c r="J650" s="12" t="n">
        <v>5.03</v>
      </c>
      <c r="K650" s="17" t="n">
        <v>262549.55</v>
      </c>
      <c r="L650" s="12" t="n">
        <v>0</v>
      </c>
      <c r="M650" s="12" t="n">
        <v>11</v>
      </c>
      <c r="N650" s="27">
        <f>F650-J650</f>
        <v/>
      </c>
      <c r="O650" s="16">
        <f>I650-H650</f>
        <v/>
      </c>
      <c r="P650" s="14">
        <f>F650*G650</f>
        <v/>
      </c>
      <c r="Q650" s="14">
        <f>J650*G650</f>
        <v/>
      </c>
      <c r="R650" s="14">
        <f>K650-Q650</f>
        <v/>
      </c>
      <c r="S650" s="3">
        <f>P650*Assumptions!$B$3/100</f>
        <v/>
      </c>
      <c r="T650" s="14">
        <f>R650-S650</f>
        <v/>
      </c>
      <c r="U650" s="14">
        <f>L650*G650</f>
        <v/>
      </c>
    </row>
    <row r="651">
      <c r="A651" s="12" t="inlineStr">
        <is>
          <t>PO-2021-0649</t>
        </is>
      </c>
      <c r="B651" s="26" t="n">
        <v>45289</v>
      </c>
      <c r="C651" s="12" t="inlineStr">
        <is>
          <t>VS01</t>
        </is>
      </c>
      <c r="D651" s="12" t="inlineStr">
        <is>
          <t>SS Pipes</t>
        </is>
      </c>
      <c r="E651" s="12" t="inlineStr">
        <is>
          <t>N</t>
        </is>
      </c>
      <c r="F651" s="12" t="n">
        <v>11.33</v>
      </c>
      <c r="G651" s="17" t="n">
        <v>92213.59</v>
      </c>
      <c r="H651" s="26" t="n">
        <v>45295</v>
      </c>
      <c r="I651" s="26" t="n">
        <v>45297</v>
      </c>
      <c r="J651" s="12" t="n">
        <v>11.29</v>
      </c>
      <c r="K651" s="17" t="n">
        <v>1044779.97</v>
      </c>
      <c r="L651" s="12" t="n">
        <v>0</v>
      </c>
      <c r="M651" s="12" t="n">
        <v>5</v>
      </c>
      <c r="N651" s="27">
        <f>F651-J651</f>
        <v/>
      </c>
      <c r="O651" s="16">
        <f>I651-H651</f>
        <v/>
      </c>
      <c r="P651" s="14">
        <f>F651*G651</f>
        <v/>
      </c>
      <c r="Q651" s="14">
        <f>J651*G651</f>
        <v/>
      </c>
      <c r="R651" s="14">
        <f>K651-Q651</f>
        <v/>
      </c>
      <c r="S651" s="3">
        <f>P651*Assumptions!$B$3/100</f>
        <v/>
      </c>
      <c r="T651" s="14">
        <f>R651-S651</f>
        <v/>
      </c>
      <c r="U651" s="14">
        <f>L651*G651</f>
        <v/>
      </c>
    </row>
    <row r="652">
      <c r="A652" s="12" t="inlineStr">
        <is>
          <t>PO-2021-0650</t>
        </is>
      </c>
      <c r="B652" s="26" t="n">
        <v>45065</v>
      </c>
      <c r="C652" s="12" t="inlineStr">
        <is>
          <t>VS07</t>
        </is>
      </c>
      <c r="D652" s="12" t="inlineStr">
        <is>
          <t>GI Sheets</t>
        </is>
      </c>
      <c r="E652" s="12" t="inlineStr">
        <is>
          <t>N</t>
        </is>
      </c>
      <c r="F652" s="12" t="n">
        <v>27.35</v>
      </c>
      <c r="G652" s="17" t="n">
        <v>97705.71000000001</v>
      </c>
      <c r="H652" s="26" t="n">
        <v>45079</v>
      </c>
      <c r="I652" s="26" t="n">
        <v>45080</v>
      </c>
      <c r="J652" s="12" t="n">
        <v>27.09</v>
      </c>
      <c r="K652" s="17" t="n">
        <v>2672251.17</v>
      </c>
      <c r="L652" s="12" t="n">
        <v>0</v>
      </c>
      <c r="M652" s="12" t="n">
        <v>0</v>
      </c>
      <c r="N652" s="27">
        <f>F652-J652</f>
        <v/>
      </c>
      <c r="O652" s="16">
        <f>I652-H652</f>
        <v/>
      </c>
      <c r="P652" s="14">
        <f>F652*G652</f>
        <v/>
      </c>
      <c r="Q652" s="14">
        <f>J652*G652</f>
        <v/>
      </c>
      <c r="R652" s="14">
        <f>K652-Q652</f>
        <v/>
      </c>
      <c r="S652" s="3">
        <f>P652*Assumptions!$B$3/100</f>
        <v/>
      </c>
      <c r="T652" s="14">
        <f>R652-S652</f>
        <v/>
      </c>
      <c r="U652" s="14">
        <f>L652*G652</f>
        <v/>
      </c>
    </row>
    <row r="653">
      <c r="A653" s="12" t="inlineStr">
        <is>
          <t>PO-2021-0651</t>
        </is>
      </c>
      <c r="B653" s="26" t="n">
        <v>45088</v>
      </c>
      <c r="C653" s="12" t="inlineStr">
        <is>
          <t>VS05</t>
        </is>
      </c>
      <c r="D653" s="12" t="inlineStr">
        <is>
          <t>Square/Rect Tubes</t>
        </is>
      </c>
      <c r="E653" s="12" t="inlineStr">
        <is>
          <t>N</t>
        </is>
      </c>
      <c r="F653" s="12" t="n">
        <v>2.16</v>
      </c>
      <c r="G653" s="17" t="n">
        <v>98765.12</v>
      </c>
      <c r="H653" s="26" t="n">
        <v>45091</v>
      </c>
      <c r="I653" s="26" t="n">
        <v>45091</v>
      </c>
      <c r="J653" s="12" t="n">
        <v>2.16</v>
      </c>
      <c r="K653" s="17" t="n">
        <v>213332.66</v>
      </c>
      <c r="L653" s="12" t="n">
        <v>0</v>
      </c>
      <c r="M653" s="12" t="n">
        <v>19</v>
      </c>
      <c r="N653" s="27">
        <f>F653-J653</f>
        <v/>
      </c>
      <c r="O653" s="16">
        <f>I653-H653</f>
        <v/>
      </c>
      <c r="P653" s="14">
        <f>F653*G653</f>
        <v/>
      </c>
      <c r="Q653" s="14">
        <f>J653*G653</f>
        <v/>
      </c>
      <c r="R653" s="14">
        <f>K653-Q653</f>
        <v/>
      </c>
      <c r="S653" s="3">
        <f>P653*Assumptions!$B$3/100</f>
        <v/>
      </c>
      <c r="T653" s="14">
        <f>R653-S653</f>
        <v/>
      </c>
      <c r="U653" s="14">
        <f>L653*G653</f>
        <v/>
      </c>
    </row>
    <row r="654">
      <c r="A654" s="12" t="inlineStr">
        <is>
          <t>PO-2021-0652</t>
        </is>
      </c>
      <c r="B654" s="26" t="n">
        <v>44376</v>
      </c>
      <c r="C654" s="12" t="inlineStr">
        <is>
          <t>VS05</t>
        </is>
      </c>
      <c r="D654" s="12" t="inlineStr">
        <is>
          <t>GI Pipes</t>
        </is>
      </c>
      <c r="E654" s="12" t="inlineStr">
        <is>
          <t>N</t>
        </is>
      </c>
      <c r="F654" s="12" t="n">
        <v>9.720000000000001</v>
      </c>
      <c r="G654" s="17" t="n">
        <v>63893.1</v>
      </c>
      <c r="H654" s="26" t="n">
        <v>44380</v>
      </c>
      <c r="I654" s="26" t="n">
        <v>44383</v>
      </c>
      <c r="J654" s="12" t="n">
        <v>9.720000000000001</v>
      </c>
      <c r="K654" s="17" t="n">
        <v>621040.9300000001</v>
      </c>
      <c r="L654" s="12" t="n">
        <v>0</v>
      </c>
      <c r="M654" s="12" t="n">
        <v>25</v>
      </c>
      <c r="N654" s="27">
        <f>F654-J654</f>
        <v/>
      </c>
      <c r="O654" s="16">
        <f>I654-H654</f>
        <v/>
      </c>
      <c r="P654" s="14">
        <f>F654*G654</f>
        <v/>
      </c>
      <c r="Q654" s="14">
        <f>J654*G654</f>
        <v/>
      </c>
      <c r="R654" s="14">
        <f>K654-Q654</f>
        <v/>
      </c>
      <c r="S654" s="3">
        <f>P654*Assumptions!$B$3/100</f>
        <v/>
      </c>
      <c r="T654" s="14">
        <f>R654-S654</f>
        <v/>
      </c>
      <c r="U654" s="14">
        <f>L654*G654</f>
        <v/>
      </c>
    </row>
    <row r="655">
      <c r="A655" s="12" t="inlineStr">
        <is>
          <t>PO-2021-0653</t>
        </is>
      </c>
      <c r="B655" s="26" t="n">
        <v>44663</v>
      </c>
      <c r="C655" s="12" t="inlineStr">
        <is>
          <t>VS17</t>
        </is>
      </c>
      <c r="D655" s="12" t="inlineStr">
        <is>
          <t>GI Wire</t>
        </is>
      </c>
      <c r="E655" s="12" t="inlineStr">
        <is>
          <t>N</t>
        </is>
      </c>
      <c r="F655" s="12" t="n">
        <v>20.01</v>
      </c>
      <c r="G655" s="17" t="n">
        <v>92266.28999999999</v>
      </c>
      <c r="H655" s="26" t="n">
        <v>44672</v>
      </c>
      <c r="I655" s="26" t="n">
        <v>44673</v>
      </c>
      <c r="J655" s="12" t="n">
        <v>19.87</v>
      </c>
      <c r="K655" s="17" t="n">
        <v>1846248.46</v>
      </c>
      <c r="L655" s="12" t="n">
        <v>0</v>
      </c>
      <c r="M655" s="12" t="n">
        <v>15</v>
      </c>
      <c r="N655" s="27">
        <f>F655-J655</f>
        <v/>
      </c>
      <c r="O655" s="16">
        <f>I655-H655</f>
        <v/>
      </c>
      <c r="P655" s="14">
        <f>F655*G655</f>
        <v/>
      </c>
      <c r="Q655" s="14">
        <f>J655*G655</f>
        <v/>
      </c>
      <c r="R655" s="14">
        <f>K655-Q655</f>
        <v/>
      </c>
      <c r="S655" s="3">
        <f>P655*Assumptions!$B$3/100</f>
        <v/>
      </c>
      <c r="T655" s="14">
        <f>R655-S655</f>
        <v/>
      </c>
      <c r="U655" s="14">
        <f>L655*G655</f>
        <v/>
      </c>
    </row>
    <row r="656">
      <c r="A656" s="12" t="inlineStr">
        <is>
          <t>PO-2021-0654</t>
        </is>
      </c>
      <c r="B656" s="26" t="n">
        <v>44844</v>
      </c>
      <c r="C656" s="12" t="inlineStr">
        <is>
          <t>VS02</t>
        </is>
      </c>
      <c r="D656" s="12" t="inlineStr">
        <is>
          <t>MS Rods</t>
        </is>
      </c>
      <c r="E656" s="12" t="inlineStr">
        <is>
          <t>N</t>
        </is>
      </c>
      <c r="F656" s="12" t="n">
        <v>33.99</v>
      </c>
      <c r="G656" s="17" t="n">
        <v>85112.58</v>
      </c>
      <c r="H656" s="26" t="n">
        <v>44857</v>
      </c>
      <c r="I656" s="26" t="n">
        <v>44857</v>
      </c>
      <c r="J656" s="12" t="n">
        <v>33.82</v>
      </c>
      <c r="K656" s="17" t="n">
        <v>2892976.59</v>
      </c>
      <c r="L656" s="12" t="n">
        <v>0</v>
      </c>
      <c r="M656" s="12" t="n">
        <v>0</v>
      </c>
      <c r="N656" s="27">
        <f>F656-J656</f>
        <v/>
      </c>
      <c r="O656" s="16">
        <f>I656-H656</f>
        <v/>
      </c>
      <c r="P656" s="14">
        <f>F656*G656</f>
        <v/>
      </c>
      <c r="Q656" s="14">
        <f>J656*G656</f>
        <v/>
      </c>
      <c r="R656" s="14">
        <f>K656-Q656</f>
        <v/>
      </c>
      <c r="S656" s="3">
        <f>P656*Assumptions!$B$3/100</f>
        <v/>
      </c>
      <c r="T656" s="14">
        <f>R656-S656</f>
        <v/>
      </c>
      <c r="U656" s="14">
        <f>L656*G656</f>
        <v/>
      </c>
    </row>
    <row r="657">
      <c r="A657" s="12" t="inlineStr">
        <is>
          <t>PO-2021-0655</t>
        </is>
      </c>
      <c r="B657" s="26" t="n">
        <v>44326</v>
      </c>
      <c r="C657" s="12" t="inlineStr">
        <is>
          <t>VS03</t>
        </is>
      </c>
      <c r="D657" s="12" t="inlineStr">
        <is>
          <t>SS Pipes</t>
        </is>
      </c>
      <c r="E657" s="12" t="inlineStr">
        <is>
          <t>N</t>
        </is>
      </c>
      <c r="F657" s="12" t="n">
        <v>18.53</v>
      </c>
      <c r="G657" s="17" t="n">
        <v>86021.28</v>
      </c>
      <c r="H657" s="26" t="n">
        <v>44333</v>
      </c>
      <c r="I657" s="26" t="n">
        <v>44338</v>
      </c>
      <c r="J657" s="12" t="n">
        <v>17.93</v>
      </c>
      <c r="K657" s="17" t="n">
        <v>1593974.32</v>
      </c>
      <c r="L657" s="12" t="n">
        <v>0.13</v>
      </c>
      <c r="M657" s="12" t="n">
        <v>0</v>
      </c>
      <c r="N657" s="27">
        <f>F657-J657</f>
        <v/>
      </c>
      <c r="O657" s="16">
        <f>I657-H657</f>
        <v/>
      </c>
      <c r="P657" s="14">
        <f>F657*G657</f>
        <v/>
      </c>
      <c r="Q657" s="14">
        <f>J657*G657</f>
        <v/>
      </c>
      <c r="R657" s="14">
        <f>K657-Q657</f>
        <v/>
      </c>
      <c r="S657" s="3">
        <f>P657*Assumptions!$B$3/100</f>
        <v/>
      </c>
      <c r="T657" s="14">
        <f>R657-S657</f>
        <v/>
      </c>
      <c r="U657" s="14">
        <f>L657*G657</f>
        <v/>
      </c>
    </row>
    <row r="658">
      <c r="A658" s="12" t="inlineStr">
        <is>
          <t>PO-2021-0656</t>
        </is>
      </c>
      <c r="B658" s="26" t="n">
        <v>44814</v>
      </c>
      <c r="C658" s="12" t="inlineStr">
        <is>
          <t>VS06</t>
        </is>
      </c>
      <c r="D658" s="12" t="inlineStr">
        <is>
          <t>SS Sheets</t>
        </is>
      </c>
      <c r="E658" s="12" t="inlineStr">
        <is>
          <t>N</t>
        </is>
      </c>
      <c r="F658" s="12" t="n">
        <v>38.5</v>
      </c>
      <c r="G658" s="17" t="n">
        <v>77825.71000000001</v>
      </c>
      <c r="H658" s="26" t="n">
        <v>44823</v>
      </c>
      <c r="I658" s="26" t="n">
        <v>44825</v>
      </c>
      <c r="J658" s="12" t="n">
        <v>38.22</v>
      </c>
      <c r="K658" s="17" t="n">
        <v>2996289.84</v>
      </c>
      <c r="L658" s="12" t="n">
        <v>0</v>
      </c>
      <c r="M658" s="12" t="n">
        <v>6</v>
      </c>
      <c r="N658" s="27">
        <f>F658-J658</f>
        <v/>
      </c>
      <c r="O658" s="16">
        <f>I658-H658</f>
        <v/>
      </c>
      <c r="P658" s="14">
        <f>F658*G658</f>
        <v/>
      </c>
      <c r="Q658" s="14">
        <f>J658*G658</f>
        <v/>
      </c>
      <c r="R658" s="14">
        <f>K658-Q658</f>
        <v/>
      </c>
      <c r="S658" s="3">
        <f>P658*Assumptions!$B$3/100</f>
        <v/>
      </c>
      <c r="T658" s="14">
        <f>R658-S658</f>
        <v/>
      </c>
      <c r="U658" s="14">
        <f>L658*G658</f>
        <v/>
      </c>
    </row>
    <row r="659">
      <c r="A659" s="12" t="inlineStr">
        <is>
          <t>PO-2021-0657</t>
        </is>
      </c>
      <c r="B659" s="26" t="n">
        <v>44260</v>
      </c>
      <c r="C659" s="12" t="inlineStr">
        <is>
          <t>VS31</t>
        </is>
      </c>
      <c r="D659" s="12" t="inlineStr">
        <is>
          <t>MS Sheets</t>
        </is>
      </c>
      <c r="E659" s="12" t="inlineStr">
        <is>
          <t>N</t>
        </is>
      </c>
      <c r="F659" s="12" t="n">
        <v>27.14</v>
      </c>
      <c r="G659" s="17" t="n">
        <v>55228.61</v>
      </c>
      <c r="H659" s="26" t="n">
        <v>44269</v>
      </c>
      <c r="I659" s="26" t="n">
        <v>44270</v>
      </c>
      <c r="J659" s="12" t="n">
        <v>26.98</v>
      </c>
      <c r="K659" s="17" t="n">
        <v>1498904.48</v>
      </c>
      <c r="L659" s="12" t="n">
        <v>0</v>
      </c>
      <c r="M659" s="12" t="n">
        <v>5</v>
      </c>
      <c r="N659" s="27">
        <f>F659-J659</f>
        <v/>
      </c>
      <c r="O659" s="16">
        <f>I659-H659</f>
        <v/>
      </c>
      <c r="P659" s="14">
        <f>F659*G659</f>
        <v/>
      </c>
      <c r="Q659" s="14">
        <f>J659*G659</f>
        <v/>
      </c>
      <c r="R659" s="14">
        <f>K659-Q659</f>
        <v/>
      </c>
      <c r="S659" s="3">
        <f>P659*Assumptions!$B$3/100</f>
        <v/>
      </c>
      <c r="T659" s="14">
        <f>R659-S659</f>
        <v/>
      </c>
      <c r="U659" s="14">
        <f>L659*G659</f>
        <v/>
      </c>
    </row>
    <row r="660">
      <c r="A660" s="12" t="inlineStr">
        <is>
          <t>PO-2021-0658</t>
        </is>
      </c>
      <c r="B660" s="26" t="n">
        <v>44801</v>
      </c>
      <c r="C660" s="12" t="inlineStr">
        <is>
          <t>VS10</t>
        </is>
      </c>
      <c r="D660" s="12" t="inlineStr">
        <is>
          <t>SS Sheets</t>
        </is>
      </c>
      <c r="E660" s="12" t="inlineStr">
        <is>
          <t>N</t>
        </is>
      </c>
      <c r="F660" s="12" t="n">
        <v>34.19</v>
      </c>
      <c r="G660" s="17" t="n">
        <v>113562.67</v>
      </c>
      <c r="H660" s="26" t="n">
        <v>44816</v>
      </c>
      <c r="I660" s="26" t="n">
        <v>44818</v>
      </c>
      <c r="J660" s="12" t="n">
        <v>33.89</v>
      </c>
      <c r="K660" s="17" t="n">
        <v>3882707.69</v>
      </c>
      <c r="L660" s="12" t="n">
        <v>0</v>
      </c>
      <c r="M660" s="12" t="n">
        <v>13</v>
      </c>
      <c r="N660" s="27">
        <f>F660-J660</f>
        <v/>
      </c>
      <c r="O660" s="16">
        <f>I660-H660</f>
        <v/>
      </c>
      <c r="P660" s="14">
        <f>F660*G660</f>
        <v/>
      </c>
      <c r="Q660" s="14">
        <f>J660*G660</f>
        <v/>
      </c>
      <c r="R660" s="14">
        <f>K660-Q660</f>
        <v/>
      </c>
      <c r="S660" s="3">
        <f>P660*Assumptions!$B$3/100</f>
        <v/>
      </c>
      <c r="T660" s="14">
        <f>R660-S660</f>
        <v/>
      </c>
      <c r="U660" s="14">
        <f>L660*G660</f>
        <v/>
      </c>
    </row>
    <row r="661">
      <c r="A661" s="12" t="inlineStr">
        <is>
          <t>PO-2021-0659</t>
        </is>
      </c>
      <c r="B661" s="26" t="n">
        <v>44961</v>
      </c>
      <c r="C661" s="12" t="inlineStr">
        <is>
          <t>VS01</t>
        </is>
      </c>
      <c r="D661" s="12" t="inlineStr">
        <is>
          <t>Spring Steel</t>
        </is>
      </c>
      <c r="E661" s="12" t="inlineStr">
        <is>
          <t>N</t>
        </is>
      </c>
      <c r="F661" s="12" t="n">
        <v>43.86</v>
      </c>
      <c r="G661" s="17" t="n">
        <v>55603.04</v>
      </c>
      <c r="H661" s="26" t="n">
        <v>44964</v>
      </c>
      <c r="I661" s="26" t="n">
        <v>44966</v>
      </c>
      <c r="J661" s="12" t="n">
        <v>43.72</v>
      </c>
      <c r="K661" s="17" t="n">
        <v>2438749.33</v>
      </c>
      <c r="L661" s="12" t="n">
        <v>0</v>
      </c>
      <c r="M661" s="12" t="n">
        <v>3</v>
      </c>
      <c r="N661" s="27">
        <f>F661-J661</f>
        <v/>
      </c>
      <c r="O661" s="16">
        <f>I661-H661</f>
        <v/>
      </c>
      <c r="P661" s="14">
        <f>F661*G661</f>
        <v/>
      </c>
      <c r="Q661" s="14">
        <f>J661*G661</f>
        <v/>
      </c>
      <c r="R661" s="14">
        <f>K661-Q661</f>
        <v/>
      </c>
      <c r="S661" s="3">
        <f>P661*Assumptions!$B$3/100</f>
        <v/>
      </c>
      <c r="T661" s="14">
        <f>R661-S661</f>
        <v/>
      </c>
      <c r="U661" s="14">
        <f>L661*G661</f>
        <v/>
      </c>
    </row>
    <row r="662">
      <c r="A662" s="12" t="inlineStr">
        <is>
          <t>PO-2021-0660</t>
        </is>
      </c>
      <c r="B662" s="26" t="n">
        <v>44207</v>
      </c>
      <c r="C662" s="12" t="inlineStr">
        <is>
          <t>VS26</t>
        </is>
      </c>
      <c r="D662" s="12" t="inlineStr">
        <is>
          <t>Spring Steel</t>
        </is>
      </c>
      <c r="E662" s="12" t="inlineStr">
        <is>
          <t>N</t>
        </is>
      </c>
      <c r="F662" s="12" t="n">
        <v>27.83</v>
      </c>
      <c r="G662" s="17" t="n">
        <v>51384.51</v>
      </c>
      <c r="H662" s="26" t="n">
        <v>44213</v>
      </c>
      <c r="I662" s="26" t="n">
        <v>44214</v>
      </c>
      <c r="J662" s="12" t="n">
        <v>27.61</v>
      </c>
      <c r="K662" s="17" t="n">
        <v>1430030.91</v>
      </c>
      <c r="L662" s="12" t="n">
        <v>0</v>
      </c>
      <c r="M662" s="12" t="n">
        <v>24</v>
      </c>
      <c r="N662" s="27">
        <f>F662-J662</f>
        <v/>
      </c>
      <c r="O662" s="16">
        <f>I662-H662</f>
        <v/>
      </c>
      <c r="P662" s="14">
        <f>F662*G662</f>
        <v/>
      </c>
      <c r="Q662" s="14">
        <f>J662*G662</f>
        <v/>
      </c>
      <c r="R662" s="14">
        <f>K662-Q662</f>
        <v/>
      </c>
      <c r="S662" s="3">
        <f>P662*Assumptions!$B$3/100</f>
        <v/>
      </c>
      <c r="T662" s="14">
        <f>R662-S662</f>
        <v/>
      </c>
      <c r="U662" s="14">
        <f>L662*G662</f>
        <v/>
      </c>
    </row>
    <row r="663">
      <c r="A663" s="12" t="inlineStr">
        <is>
          <t>PO-2021-0661</t>
        </is>
      </c>
      <c r="B663" s="26" t="n">
        <v>44901</v>
      </c>
      <c r="C663" s="12" t="inlineStr">
        <is>
          <t>VS14</t>
        </is>
      </c>
      <c r="D663" s="12" t="inlineStr">
        <is>
          <t>GI Wire</t>
        </is>
      </c>
      <c r="E663" s="12" t="inlineStr">
        <is>
          <t>N</t>
        </is>
      </c>
      <c r="F663" s="12" t="n">
        <v>45.38</v>
      </c>
      <c r="G663" s="17" t="n">
        <v>108859.41</v>
      </c>
      <c r="H663" s="26" t="n">
        <v>44906</v>
      </c>
      <c r="I663" s="26" t="n">
        <v>44909</v>
      </c>
      <c r="J663" s="12" t="n">
        <v>45.07</v>
      </c>
      <c r="K663" s="17" t="n">
        <v>4940040.03</v>
      </c>
      <c r="L663" s="12" t="n">
        <v>0</v>
      </c>
      <c r="M663" s="12" t="n">
        <v>0</v>
      </c>
      <c r="N663" s="27">
        <f>F663-J663</f>
        <v/>
      </c>
      <c r="O663" s="16">
        <f>I663-H663</f>
        <v/>
      </c>
      <c r="P663" s="14">
        <f>F663*G663</f>
        <v/>
      </c>
      <c r="Q663" s="14">
        <f>J663*G663</f>
        <v/>
      </c>
      <c r="R663" s="14">
        <f>K663-Q663</f>
        <v/>
      </c>
      <c r="S663" s="3">
        <f>P663*Assumptions!$B$3/100</f>
        <v/>
      </c>
      <c r="T663" s="14">
        <f>R663-S663</f>
        <v/>
      </c>
      <c r="U663" s="14">
        <f>L663*G663</f>
        <v/>
      </c>
    </row>
    <row r="664">
      <c r="A664" s="12" t="inlineStr">
        <is>
          <t>PO-2021-0662</t>
        </is>
      </c>
      <c r="B664" s="26" t="n">
        <v>44526</v>
      </c>
      <c r="C664" s="12" t="inlineStr">
        <is>
          <t>VS12</t>
        </is>
      </c>
      <c r="D664" s="12" t="inlineStr">
        <is>
          <t>HR Coils</t>
        </is>
      </c>
      <c r="E664" s="12" t="inlineStr">
        <is>
          <t>Y</t>
        </is>
      </c>
      <c r="F664" s="12" t="n">
        <v>31.23</v>
      </c>
      <c r="G664" s="17" t="n">
        <v>66513.86</v>
      </c>
      <c r="H664" s="26" t="n">
        <v>44530</v>
      </c>
      <c r="I664" s="26" t="n">
        <v>44533</v>
      </c>
      <c r="J664" s="12" t="n">
        <v>29.96</v>
      </c>
      <c r="K664" s="17" t="n">
        <v>2077227.85</v>
      </c>
      <c r="L664" s="12" t="n">
        <v>1.01</v>
      </c>
      <c r="M664" s="12" t="n">
        <v>0</v>
      </c>
      <c r="N664" s="27">
        <f>F664-J664</f>
        <v/>
      </c>
      <c r="O664" s="16">
        <f>I664-H664</f>
        <v/>
      </c>
      <c r="P664" s="14">
        <f>F664*G664</f>
        <v/>
      </c>
      <c r="Q664" s="14">
        <f>J664*G664</f>
        <v/>
      </c>
      <c r="R664" s="14">
        <f>K664-Q664</f>
        <v/>
      </c>
      <c r="S664" s="3">
        <f>P664*Assumptions!$B$3/100</f>
        <v/>
      </c>
      <c r="T664" s="14">
        <f>R664-S664</f>
        <v/>
      </c>
      <c r="U664" s="14">
        <f>L664*G664</f>
        <v/>
      </c>
    </row>
    <row r="665">
      <c r="A665" s="12" t="inlineStr">
        <is>
          <t>PO-2021-0663</t>
        </is>
      </c>
      <c r="B665" s="26" t="n">
        <v>44568</v>
      </c>
      <c r="C665" s="12" t="inlineStr">
        <is>
          <t>VS04</t>
        </is>
      </c>
      <c r="D665" s="12" t="inlineStr">
        <is>
          <t>Spring Steel</t>
        </is>
      </c>
      <c r="E665" s="12" t="inlineStr">
        <is>
          <t>Y</t>
        </is>
      </c>
      <c r="F665" s="12" t="n">
        <v>23.6</v>
      </c>
      <c r="G665" s="17" t="n">
        <v>86224.85000000001</v>
      </c>
      <c r="H665" s="26" t="n">
        <v>44575</v>
      </c>
      <c r="I665" s="26" t="n">
        <v>44575</v>
      </c>
      <c r="J665" s="12" t="n">
        <v>23.43</v>
      </c>
      <c r="K665" s="17" t="n">
        <v>2034906.46</v>
      </c>
      <c r="L665" s="12" t="n">
        <v>0</v>
      </c>
      <c r="M665" s="12" t="n">
        <v>2</v>
      </c>
      <c r="N665" s="27">
        <f>F665-J665</f>
        <v/>
      </c>
      <c r="O665" s="16">
        <f>I665-H665</f>
        <v/>
      </c>
      <c r="P665" s="14">
        <f>F665*G665</f>
        <v/>
      </c>
      <c r="Q665" s="14">
        <f>J665*G665</f>
        <v/>
      </c>
      <c r="R665" s="14">
        <f>K665-Q665</f>
        <v/>
      </c>
      <c r="S665" s="3">
        <f>P665*Assumptions!$B$3/100</f>
        <v/>
      </c>
      <c r="T665" s="14">
        <f>R665-S665</f>
        <v/>
      </c>
      <c r="U665" s="14">
        <f>L665*G665</f>
        <v/>
      </c>
    </row>
    <row r="666">
      <c r="A666" s="12" t="inlineStr">
        <is>
          <t>PO-2021-0664</t>
        </is>
      </c>
      <c r="B666" s="26" t="n">
        <v>44334</v>
      </c>
      <c r="C666" s="12" t="inlineStr">
        <is>
          <t>VS17</t>
        </is>
      </c>
      <c r="D666" s="12" t="inlineStr">
        <is>
          <t>ERW Pipes</t>
        </is>
      </c>
      <c r="E666" s="12" t="inlineStr">
        <is>
          <t>Y</t>
        </is>
      </c>
      <c r="F666" s="12" t="n">
        <v>10.67</v>
      </c>
      <c r="G666" s="17" t="n">
        <v>88544.67</v>
      </c>
      <c r="H666" s="26" t="n">
        <v>44342</v>
      </c>
      <c r="I666" s="26" t="n">
        <v>44343</v>
      </c>
      <c r="J666" s="12" t="n">
        <v>10.59</v>
      </c>
      <c r="K666" s="17" t="n">
        <v>944771.63</v>
      </c>
      <c r="L666" s="12" t="n">
        <v>0</v>
      </c>
      <c r="M666" s="12" t="n">
        <v>0</v>
      </c>
      <c r="N666" s="27">
        <f>F666-J666</f>
        <v/>
      </c>
      <c r="O666" s="16">
        <f>I666-H666</f>
        <v/>
      </c>
      <c r="P666" s="14">
        <f>F666*G666</f>
        <v/>
      </c>
      <c r="Q666" s="14">
        <f>J666*G666</f>
        <v/>
      </c>
      <c r="R666" s="14">
        <f>K666-Q666</f>
        <v/>
      </c>
      <c r="S666" s="3">
        <f>P666*Assumptions!$B$3/100</f>
        <v/>
      </c>
      <c r="T666" s="14">
        <f>R666-S666</f>
        <v/>
      </c>
      <c r="U666" s="14">
        <f>L666*G666</f>
        <v/>
      </c>
    </row>
    <row r="667">
      <c r="A667" s="12" t="inlineStr">
        <is>
          <t>PO-2021-0665</t>
        </is>
      </c>
      <c r="B667" s="26" t="n">
        <v>44928</v>
      </c>
      <c r="C667" s="12" t="inlineStr">
        <is>
          <t>VS09</t>
        </is>
      </c>
      <c r="D667" s="12" t="inlineStr">
        <is>
          <t>HR Coils</t>
        </is>
      </c>
      <c r="E667" s="12" t="inlineStr">
        <is>
          <t>Y</t>
        </is>
      </c>
      <c r="F667" s="12" t="n">
        <v>5.9</v>
      </c>
      <c r="G667" s="17" t="n">
        <v>91463.67999999999</v>
      </c>
      <c r="H667" s="26" t="n">
        <v>44934</v>
      </c>
      <c r="I667" s="26" t="n">
        <v>44934</v>
      </c>
      <c r="J667" s="12" t="n">
        <v>5.85</v>
      </c>
      <c r="K667" s="17" t="n">
        <v>539635.71</v>
      </c>
      <c r="L667" s="12" t="n">
        <v>0</v>
      </c>
      <c r="M667" s="12" t="n">
        <v>0</v>
      </c>
      <c r="N667" s="27">
        <f>F667-J667</f>
        <v/>
      </c>
      <c r="O667" s="16">
        <f>I667-H667</f>
        <v/>
      </c>
      <c r="P667" s="14">
        <f>F667*G667</f>
        <v/>
      </c>
      <c r="Q667" s="14">
        <f>J667*G667</f>
        <v/>
      </c>
      <c r="R667" s="14">
        <f>K667-Q667</f>
        <v/>
      </c>
      <c r="S667" s="3">
        <f>P667*Assumptions!$B$3/100</f>
        <v/>
      </c>
      <c r="T667" s="14">
        <f>R667-S667</f>
        <v/>
      </c>
      <c r="U667" s="14">
        <f>L667*G667</f>
        <v/>
      </c>
    </row>
    <row r="668">
      <c r="A668" s="12" t="inlineStr">
        <is>
          <t>PO-2021-0666</t>
        </is>
      </c>
      <c r="B668" s="26" t="n">
        <v>44847</v>
      </c>
      <c r="C668" s="12" t="inlineStr">
        <is>
          <t>VS32</t>
        </is>
      </c>
      <c r="D668" s="12" t="inlineStr">
        <is>
          <t>Fasteners &amp; Fittings</t>
        </is>
      </c>
      <c r="E668" s="12" t="inlineStr">
        <is>
          <t>Y</t>
        </is>
      </c>
      <c r="F668" s="12" t="n">
        <v>17.09</v>
      </c>
      <c r="G668" s="17" t="n">
        <v>94456.67</v>
      </c>
      <c r="H668" s="26" t="n">
        <v>44861</v>
      </c>
      <c r="I668" s="26" t="n">
        <v>44862</v>
      </c>
      <c r="J668" s="12" t="n">
        <v>16.96</v>
      </c>
      <c r="K668" s="17" t="n">
        <v>1614264.49</v>
      </c>
      <c r="L668" s="12" t="n">
        <v>0</v>
      </c>
      <c r="M668" s="12" t="n">
        <v>0</v>
      </c>
      <c r="N668" s="27">
        <f>F668-J668</f>
        <v/>
      </c>
      <c r="O668" s="16">
        <f>I668-H668</f>
        <v/>
      </c>
      <c r="P668" s="14">
        <f>F668*G668</f>
        <v/>
      </c>
      <c r="Q668" s="14">
        <f>J668*G668</f>
        <v/>
      </c>
      <c r="R668" s="14">
        <f>K668-Q668</f>
        <v/>
      </c>
      <c r="S668" s="3">
        <f>P668*Assumptions!$B$3/100</f>
        <v/>
      </c>
      <c r="T668" s="14">
        <f>R668-S668</f>
        <v/>
      </c>
      <c r="U668" s="14">
        <f>L668*G668</f>
        <v/>
      </c>
    </row>
    <row r="669">
      <c r="A669" s="12" t="inlineStr">
        <is>
          <t>PO-2021-0667</t>
        </is>
      </c>
      <c r="B669" s="26" t="n">
        <v>44509</v>
      </c>
      <c r="C669" s="12" t="inlineStr">
        <is>
          <t>VS24</t>
        </is>
      </c>
      <c r="D669" s="12" t="inlineStr">
        <is>
          <t>MS Flats</t>
        </is>
      </c>
      <c r="E669" s="12" t="inlineStr">
        <is>
          <t>N</t>
        </is>
      </c>
      <c r="F669" s="12" t="n">
        <v>47.97</v>
      </c>
      <c r="G669" s="17" t="n">
        <v>57647.96</v>
      </c>
      <c r="H669" s="26" t="n">
        <v>44517</v>
      </c>
      <c r="I669" s="26" t="n">
        <v>44517</v>
      </c>
      <c r="J669" s="12" t="n">
        <v>47.63</v>
      </c>
      <c r="K669" s="17" t="n">
        <v>2765372.64</v>
      </c>
      <c r="L669" s="12" t="n">
        <v>0</v>
      </c>
      <c r="M669" s="12" t="n">
        <v>0</v>
      </c>
      <c r="N669" s="27">
        <f>F669-J669</f>
        <v/>
      </c>
      <c r="O669" s="16">
        <f>I669-H669</f>
        <v/>
      </c>
      <c r="P669" s="14">
        <f>F669*G669</f>
        <v/>
      </c>
      <c r="Q669" s="14">
        <f>J669*G669</f>
        <v/>
      </c>
      <c r="R669" s="14">
        <f>K669-Q669</f>
        <v/>
      </c>
      <c r="S669" s="3">
        <f>P669*Assumptions!$B$3/100</f>
        <v/>
      </c>
      <c r="T669" s="14">
        <f>R669-S669</f>
        <v/>
      </c>
      <c r="U669" s="14">
        <f>L669*G669</f>
        <v/>
      </c>
    </row>
    <row r="670">
      <c r="A670" s="12" t="inlineStr">
        <is>
          <t>PO-2021-0668</t>
        </is>
      </c>
      <c r="B670" s="26" t="n">
        <v>44701</v>
      </c>
      <c r="C670" s="12" t="inlineStr">
        <is>
          <t>VS15</t>
        </is>
      </c>
      <c r="D670" s="12" t="inlineStr">
        <is>
          <t>GI Wire</t>
        </is>
      </c>
      <c r="E670" s="12" t="inlineStr">
        <is>
          <t>N</t>
        </is>
      </c>
      <c r="F670" s="12" t="n">
        <v>14.56</v>
      </c>
      <c r="G670" s="17" t="n">
        <v>71961.45</v>
      </c>
      <c r="H670" s="26" t="n">
        <v>44714</v>
      </c>
      <c r="I670" s="26" t="n">
        <v>44716</v>
      </c>
      <c r="J670" s="12" t="n">
        <v>14.54</v>
      </c>
      <c r="K670" s="17" t="n">
        <v>1047758.71</v>
      </c>
      <c r="L670" s="12" t="n">
        <v>0</v>
      </c>
      <c r="M670" s="12" t="n">
        <v>0</v>
      </c>
      <c r="N670" s="27">
        <f>F670-J670</f>
        <v/>
      </c>
      <c r="O670" s="16">
        <f>I670-H670</f>
        <v/>
      </c>
      <c r="P670" s="14">
        <f>F670*G670</f>
        <v/>
      </c>
      <c r="Q670" s="14">
        <f>J670*G670</f>
        <v/>
      </c>
      <c r="R670" s="14">
        <f>K670-Q670</f>
        <v/>
      </c>
      <c r="S670" s="3">
        <f>P670*Assumptions!$B$3/100</f>
        <v/>
      </c>
      <c r="T670" s="14">
        <f>R670-S670</f>
        <v/>
      </c>
      <c r="U670" s="14">
        <f>L670*G670</f>
        <v/>
      </c>
    </row>
    <row r="671">
      <c r="A671" s="12" t="inlineStr">
        <is>
          <t>PO-2021-0669</t>
        </is>
      </c>
      <c r="B671" s="26" t="n">
        <v>44876</v>
      </c>
      <c r="C671" s="12" t="inlineStr">
        <is>
          <t>VS31</t>
        </is>
      </c>
      <c r="D671" s="12" t="inlineStr">
        <is>
          <t>Fasteners &amp; Fittings</t>
        </is>
      </c>
      <c r="E671" s="12" t="inlineStr">
        <is>
          <t>N</t>
        </is>
      </c>
      <c r="F671" s="12" t="n">
        <v>22.82</v>
      </c>
      <c r="G671" s="17" t="n">
        <v>103107.52</v>
      </c>
      <c r="H671" s="26" t="n">
        <v>44886</v>
      </c>
      <c r="I671" s="26" t="n">
        <v>44887</v>
      </c>
      <c r="J671" s="12" t="n">
        <v>22.75</v>
      </c>
      <c r="K671" s="17" t="n">
        <v>2352913.61</v>
      </c>
      <c r="L671" s="12" t="n">
        <v>0</v>
      </c>
      <c r="M671" s="12" t="n">
        <v>10</v>
      </c>
      <c r="N671" s="27">
        <f>F671-J671</f>
        <v/>
      </c>
      <c r="O671" s="16">
        <f>I671-H671</f>
        <v/>
      </c>
      <c r="P671" s="14">
        <f>F671*G671</f>
        <v/>
      </c>
      <c r="Q671" s="14">
        <f>J671*G671</f>
        <v/>
      </c>
      <c r="R671" s="14">
        <f>K671-Q671</f>
        <v/>
      </c>
      <c r="S671" s="3">
        <f>P671*Assumptions!$B$3/100</f>
        <v/>
      </c>
      <c r="T671" s="14">
        <f>R671-S671</f>
        <v/>
      </c>
      <c r="U671" s="14">
        <f>L671*G671</f>
        <v/>
      </c>
    </row>
    <row r="672">
      <c r="A672" s="12" t="inlineStr">
        <is>
          <t>PO-2021-0670</t>
        </is>
      </c>
      <c r="B672" s="26" t="n">
        <v>44419</v>
      </c>
      <c r="C672" s="12" t="inlineStr">
        <is>
          <t>VS12</t>
        </is>
      </c>
      <c r="D672" s="12" t="inlineStr">
        <is>
          <t>SS Pipes</t>
        </is>
      </c>
      <c r="E672" s="12" t="inlineStr">
        <is>
          <t>N</t>
        </is>
      </c>
      <c r="F672" s="12" t="n">
        <v>42.25</v>
      </c>
      <c r="G672" s="17" t="n">
        <v>113779.67</v>
      </c>
      <c r="H672" s="26" t="n">
        <v>44424</v>
      </c>
      <c r="I672" s="26" t="n">
        <v>44428</v>
      </c>
      <c r="J672" s="12" t="n">
        <v>41.02</v>
      </c>
      <c r="K672" s="17" t="n">
        <v>4807191.06</v>
      </c>
      <c r="L672" s="12" t="n">
        <v>2.02</v>
      </c>
      <c r="M672" s="12" t="n">
        <v>3</v>
      </c>
      <c r="N672" s="27">
        <f>F672-J672</f>
        <v/>
      </c>
      <c r="O672" s="16">
        <f>I672-H672</f>
        <v/>
      </c>
      <c r="P672" s="14">
        <f>F672*G672</f>
        <v/>
      </c>
      <c r="Q672" s="14">
        <f>J672*G672</f>
        <v/>
      </c>
      <c r="R672" s="14">
        <f>K672-Q672</f>
        <v/>
      </c>
      <c r="S672" s="3">
        <f>P672*Assumptions!$B$3/100</f>
        <v/>
      </c>
      <c r="T672" s="14">
        <f>R672-S672</f>
        <v/>
      </c>
      <c r="U672" s="14">
        <f>L672*G672</f>
        <v/>
      </c>
    </row>
    <row r="673">
      <c r="A673" s="12" t="inlineStr">
        <is>
          <t>PO-2021-0671</t>
        </is>
      </c>
      <c r="B673" s="26" t="n">
        <v>44599</v>
      </c>
      <c r="C673" s="12" t="inlineStr">
        <is>
          <t>VS17</t>
        </is>
      </c>
      <c r="D673" s="12" t="inlineStr">
        <is>
          <t>SS Pipes</t>
        </is>
      </c>
      <c r="E673" s="12" t="inlineStr">
        <is>
          <t>N</t>
        </is>
      </c>
      <c r="F673" s="12" t="n">
        <v>36.64</v>
      </c>
      <c r="G673" s="17" t="n">
        <v>111907.89</v>
      </c>
      <c r="H673" s="26" t="n">
        <v>44610</v>
      </c>
      <c r="I673" s="26" t="n">
        <v>44611</v>
      </c>
      <c r="J673" s="12" t="n">
        <v>36.29</v>
      </c>
      <c r="K673" s="17" t="n">
        <v>4100305.09</v>
      </c>
      <c r="L673" s="12" t="n">
        <v>0</v>
      </c>
      <c r="M673" s="12" t="n">
        <v>0</v>
      </c>
      <c r="N673" s="27">
        <f>F673-J673</f>
        <v/>
      </c>
      <c r="O673" s="16">
        <f>I673-H673</f>
        <v/>
      </c>
      <c r="P673" s="14">
        <f>F673*G673</f>
        <v/>
      </c>
      <c r="Q673" s="14">
        <f>J673*G673</f>
        <v/>
      </c>
      <c r="R673" s="14">
        <f>K673-Q673</f>
        <v/>
      </c>
      <c r="S673" s="3">
        <f>P673*Assumptions!$B$3/100</f>
        <v/>
      </c>
      <c r="T673" s="14">
        <f>R673-S673</f>
        <v/>
      </c>
      <c r="U673" s="14">
        <f>L673*G673</f>
        <v/>
      </c>
    </row>
    <row r="674">
      <c r="A674" s="12" t="inlineStr">
        <is>
          <t>PO-2021-0672</t>
        </is>
      </c>
      <c r="B674" s="26" t="n">
        <v>44260</v>
      </c>
      <c r="C674" s="12" t="inlineStr">
        <is>
          <t>VS26</t>
        </is>
      </c>
      <c r="D674" s="12" t="inlineStr">
        <is>
          <t>GI Sheets</t>
        </is>
      </c>
      <c r="E674" s="12" t="inlineStr">
        <is>
          <t>N</t>
        </is>
      </c>
      <c r="F674" s="12" t="n">
        <v>45.41</v>
      </c>
      <c r="G674" s="17" t="n">
        <v>86369.55</v>
      </c>
      <c r="H674" s="26" t="n">
        <v>44271</v>
      </c>
      <c r="I674" s="26" t="n">
        <v>44271</v>
      </c>
      <c r="J674" s="12" t="n">
        <v>45.17</v>
      </c>
      <c r="K674" s="17" t="n">
        <v>3922041.27</v>
      </c>
      <c r="L674" s="12" t="n">
        <v>0</v>
      </c>
      <c r="M674" s="12" t="n">
        <v>1</v>
      </c>
      <c r="N674" s="27">
        <f>F674-J674</f>
        <v/>
      </c>
      <c r="O674" s="16">
        <f>I674-H674</f>
        <v/>
      </c>
      <c r="P674" s="14">
        <f>F674*G674</f>
        <v/>
      </c>
      <c r="Q674" s="14">
        <f>J674*G674</f>
        <v/>
      </c>
      <c r="R674" s="14">
        <f>K674-Q674</f>
        <v/>
      </c>
      <c r="S674" s="3">
        <f>P674*Assumptions!$B$3/100</f>
        <v/>
      </c>
      <c r="T674" s="14">
        <f>R674-S674</f>
        <v/>
      </c>
      <c r="U674" s="14">
        <f>L674*G674</f>
        <v/>
      </c>
    </row>
    <row r="675">
      <c r="A675" s="12" t="inlineStr">
        <is>
          <t>PO-2021-0673</t>
        </is>
      </c>
      <c r="B675" s="26" t="n">
        <v>45163</v>
      </c>
      <c r="C675" s="12" t="inlineStr">
        <is>
          <t>VS10</t>
        </is>
      </c>
      <c r="D675" s="12" t="inlineStr">
        <is>
          <t>Angles &amp; Channels</t>
        </is>
      </c>
      <c r="E675" s="12" t="inlineStr">
        <is>
          <t>Y</t>
        </is>
      </c>
      <c r="F675" s="12" t="n">
        <v>20.23</v>
      </c>
      <c r="G675" s="17" t="n">
        <v>111857.82</v>
      </c>
      <c r="H675" s="26" t="n">
        <v>45175</v>
      </c>
      <c r="I675" s="26" t="n">
        <v>45176</v>
      </c>
      <c r="J675" s="12" t="n">
        <v>20.11</v>
      </c>
      <c r="K675" s="17" t="n">
        <v>2262883.7</v>
      </c>
      <c r="L675" s="12" t="n">
        <v>0</v>
      </c>
      <c r="M675" s="12" t="n">
        <v>0</v>
      </c>
      <c r="N675" s="27">
        <f>F675-J675</f>
        <v/>
      </c>
      <c r="O675" s="16">
        <f>I675-H675</f>
        <v/>
      </c>
      <c r="P675" s="14">
        <f>F675*G675</f>
        <v/>
      </c>
      <c r="Q675" s="14">
        <f>J675*G675</f>
        <v/>
      </c>
      <c r="R675" s="14">
        <f>K675-Q675</f>
        <v/>
      </c>
      <c r="S675" s="3">
        <f>P675*Assumptions!$B$3/100</f>
        <v/>
      </c>
      <c r="T675" s="14">
        <f>R675-S675</f>
        <v/>
      </c>
      <c r="U675" s="14">
        <f>L675*G675</f>
        <v/>
      </c>
    </row>
    <row r="676">
      <c r="A676" s="12" t="inlineStr">
        <is>
          <t>PO-2021-0674</t>
        </is>
      </c>
      <c r="B676" s="26" t="n">
        <v>44792</v>
      </c>
      <c r="C676" s="12" t="inlineStr">
        <is>
          <t>VS09</t>
        </is>
      </c>
      <c r="D676" s="12" t="inlineStr">
        <is>
          <t>Fasteners &amp; Fittings</t>
        </is>
      </c>
      <c r="E676" s="12" t="inlineStr">
        <is>
          <t>N</t>
        </is>
      </c>
      <c r="F676" s="12" t="n">
        <v>25.56</v>
      </c>
      <c r="G676" s="17" t="n">
        <v>51791.55</v>
      </c>
      <c r="H676" s="26" t="n">
        <v>44800</v>
      </c>
      <c r="I676" s="26" t="n">
        <v>44802</v>
      </c>
      <c r="J676" s="12" t="n">
        <v>25.54</v>
      </c>
      <c r="K676" s="17" t="n">
        <v>1323792.02</v>
      </c>
      <c r="L676" s="12" t="n">
        <v>0</v>
      </c>
      <c r="M676" s="12" t="n">
        <v>0</v>
      </c>
      <c r="N676" s="27">
        <f>F676-J676</f>
        <v/>
      </c>
      <c r="O676" s="16">
        <f>I676-H676</f>
        <v/>
      </c>
      <c r="P676" s="14">
        <f>F676*G676</f>
        <v/>
      </c>
      <c r="Q676" s="14">
        <f>J676*G676</f>
        <v/>
      </c>
      <c r="R676" s="14">
        <f>K676-Q676</f>
        <v/>
      </c>
      <c r="S676" s="3">
        <f>P676*Assumptions!$B$3/100</f>
        <v/>
      </c>
      <c r="T676" s="14">
        <f>R676-S676</f>
        <v/>
      </c>
      <c r="U676" s="14">
        <f>L676*G676</f>
        <v/>
      </c>
    </row>
    <row r="677">
      <c r="A677" s="12" t="inlineStr">
        <is>
          <t>PO-2021-0675</t>
        </is>
      </c>
      <c r="B677" s="26" t="n">
        <v>45225</v>
      </c>
      <c r="C677" s="12" t="inlineStr">
        <is>
          <t>VS01</t>
        </is>
      </c>
      <c r="D677" s="12" t="inlineStr">
        <is>
          <t>HR Coils</t>
        </is>
      </c>
      <c r="E677" s="12" t="inlineStr">
        <is>
          <t>N</t>
        </is>
      </c>
      <c r="F677" s="12" t="n">
        <v>42.55</v>
      </c>
      <c r="G677" s="17" t="n">
        <v>105490.5</v>
      </c>
      <c r="H677" s="26" t="n">
        <v>45237</v>
      </c>
      <c r="I677" s="26" t="n">
        <v>45239</v>
      </c>
      <c r="J677" s="12" t="n">
        <v>42.46</v>
      </c>
      <c r="K677" s="17" t="n">
        <v>4488620.77</v>
      </c>
      <c r="L677" s="12" t="n">
        <v>0</v>
      </c>
      <c r="M677" s="12" t="n">
        <v>0</v>
      </c>
      <c r="N677" s="27">
        <f>F677-J677</f>
        <v/>
      </c>
      <c r="O677" s="16">
        <f>I677-H677</f>
        <v/>
      </c>
      <c r="P677" s="14">
        <f>F677*G677</f>
        <v/>
      </c>
      <c r="Q677" s="14">
        <f>J677*G677</f>
        <v/>
      </c>
      <c r="R677" s="14">
        <f>K677-Q677</f>
        <v/>
      </c>
      <c r="S677" s="3">
        <f>P677*Assumptions!$B$3/100</f>
        <v/>
      </c>
      <c r="T677" s="14">
        <f>R677-S677</f>
        <v/>
      </c>
      <c r="U677" s="14">
        <f>L677*G677</f>
        <v/>
      </c>
    </row>
    <row r="678">
      <c r="A678" s="12" t="inlineStr">
        <is>
          <t>PO-2021-0676</t>
        </is>
      </c>
      <c r="B678" s="26" t="n">
        <v>44536</v>
      </c>
      <c r="C678" s="12" t="inlineStr">
        <is>
          <t>VS33</t>
        </is>
      </c>
      <c r="D678" s="12" t="inlineStr">
        <is>
          <t>Square/Rect Tubes</t>
        </is>
      </c>
      <c r="E678" s="12" t="inlineStr">
        <is>
          <t>N</t>
        </is>
      </c>
      <c r="F678" s="12" t="n">
        <v>22.86</v>
      </c>
      <c r="G678" s="17" t="n">
        <v>58435.89</v>
      </c>
      <c r="H678" s="26" t="n">
        <v>44548</v>
      </c>
      <c r="I678" s="26" t="n">
        <v>44548</v>
      </c>
      <c r="J678" s="12" t="n">
        <v>22.81</v>
      </c>
      <c r="K678" s="17" t="n">
        <v>1335844.45</v>
      </c>
      <c r="L678" s="12" t="n">
        <v>0</v>
      </c>
      <c r="M678" s="12" t="n">
        <v>25</v>
      </c>
      <c r="N678" s="27">
        <f>F678-J678</f>
        <v/>
      </c>
      <c r="O678" s="16">
        <f>I678-H678</f>
        <v/>
      </c>
      <c r="P678" s="14">
        <f>F678*G678</f>
        <v/>
      </c>
      <c r="Q678" s="14">
        <f>J678*G678</f>
        <v/>
      </c>
      <c r="R678" s="14">
        <f>K678-Q678</f>
        <v/>
      </c>
      <c r="S678" s="3">
        <f>P678*Assumptions!$B$3/100</f>
        <v/>
      </c>
      <c r="T678" s="14">
        <f>R678-S678</f>
        <v/>
      </c>
      <c r="U678" s="14">
        <f>L678*G678</f>
        <v/>
      </c>
    </row>
    <row r="679">
      <c r="A679" s="12" t="inlineStr">
        <is>
          <t>PO-2021-0677</t>
        </is>
      </c>
      <c r="B679" s="26" t="n">
        <v>44496</v>
      </c>
      <c r="C679" s="12" t="inlineStr">
        <is>
          <t>VS31</t>
        </is>
      </c>
      <c r="D679" s="12" t="inlineStr">
        <is>
          <t>Angles &amp; Channels</t>
        </is>
      </c>
      <c r="E679" s="12" t="inlineStr">
        <is>
          <t>N</t>
        </is>
      </c>
      <c r="F679" s="12" t="n">
        <v>2.98</v>
      </c>
      <c r="G679" s="17" t="n">
        <v>102110.43</v>
      </c>
      <c r="H679" s="26" t="n">
        <v>44502</v>
      </c>
      <c r="I679" s="26" t="n">
        <v>44503</v>
      </c>
      <c r="J679" s="12" t="n">
        <v>2.98</v>
      </c>
      <c r="K679" s="17" t="n">
        <v>304289.08</v>
      </c>
      <c r="L679" s="12" t="n">
        <v>0</v>
      </c>
      <c r="M679" s="12" t="n">
        <v>15</v>
      </c>
      <c r="N679" s="27">
        <f>F679-J679</f>
        <v/>
      </c>
      <c r="O679" s="16">
        <f>I679-H679</f>
        <v/>
      </c>
      <c r="P679" s="14">
        <f>F679*G679</f>
        <v/>
      </c>
      <c r="Q679" s="14">
        <f>J679*G679</f>
        <v/>
      </c>
      <c r="R679" s="14">
        <f>K679-Q679</f>
        <v/>
      </c>
      <c r="S679" s="3">
        <f>P679*Assumptions!$B$3/100</f>
        <v/>
      </c>
      <c r="T679" s="14">
        <f>R679-S679</f>
        <v/>
      </c>
      <c r="U679" s="14">
        <f>L679*G679</f>
        <v/>
      </c>
    </row>
    <row r="680">
      <c r="A680" s="12" t="inlineStr">
        <is>
          <t>PO-2021-0678</t>
        </is>
      </c>
      <c r="B680" s="26" t="n">
        <v>44325</v>
      </c>
      <c r="C680" s="12" t="inlineStr">
        <is>
          <t>VS17</t>
        </is>
      </c>
      <c r="D680" s="12" t="inlineStr">
        <is>
          <t>Angles &amp; Channels</t>
        </is>
      </c>
      <c r="E680" s="12" t="inlineStr">
        <is>
          <t>N</t>
        </is>
      </c>
      <c r="F680" s="12" t="n">
        <v>12.47</v>
      </c>
      <c r="G680" s="17" t="n">
        <v>95143.92</v>
      </c>
      <c r="H680" s="26" t="n">
        <v>44336</v>
      </c>
      <c r="I680" s="26" t="n">
        <v>44336</v>
      </c>
      <c r="J680" s="12" t="n">
        <v>12.46</v>
      </c>
      <c r="K680" s="17" t="n">
        <v>1186444.68</v>
      </c>
      <c r="L680" s="12" t="n">
        <v>0</v>
      </c>
      <c r="M680" s="12" t="n">
        <v>0</v>
      </c>
      <c r="N680" s="27">
        <f>F680-J680</f>
        <v/>
      </c>
      <c r="O680" s="16">
        <f>I680-H680</f>
        <v/>
      </c>
      <c r="P680" s="14">
        <f>F680*G680</f>
        <v/>
      </c>
      <c r="Q680" s="14">
        <f>J680*G680</f>
        <v/>
      </c>
      <c r="R680" s="14">
        <f>K680-Q680</f>
        <v/>
      </c>
      <c r="S680" s="3">
        <f>P680*Assumptions!$B$3/100</f>
        <v/>
      </c>
      <c r="T680" s="14">
        <f>R680-S680</f>
        <v/>
      </c>
      <c r="U680" s="14">
        <f>L680*G680</f>
        <v/>
      </c>
    </row>
    <row r="681">
      <c r="A681" s="12" t="inlineStr">
        <is>
          <t>PO-2021-0679</t>
        </is>
      </c>
      <c r="B681" s="26" t="n">
        <v>44936</v>
      </c>
      <c r="C681" s="12" t="inlineStr">
        <is>
          <t>VS25</t>
        </is>
      </c>
      <c r="D681" s="12" t="inlineStr">
        <is>
          <t>Structural Steel</t>
        </is>
      </c>
      <c r="E681" s="12" t="inlineStr">
        <is>
          <t>N</t>
        </is>
      </c>
      <c r="F681" s="12" t="n">
        <v>45.98</v>
      </c>
      <c r="G681" s="17" t="n">
        <v>111116.4</v>
      </c>
      <c r="H681" s="26" t="n">
        <v>44939</v>
      </c>
      <c r="I681" s="26" t="n">
        <v>44942</v>
      </c>
      <c r="J681" s="12" t="n">
        <v>45.83</v>
      </c>
      <c r="K681" s="17" t="n">
        <v>5109132.07</v>
      </c>
      <c r="L681" s="12" t="n">
        <v>0</v>
      </c>
      <c r="M681" s="12" t="n">
        <v>10</v>
      </c>
      <c r="N681" s="27">
        <f>F681-J681</f>
        <v/>
      </c>
      <c r="O681" s="16">
        <f>I681-H681</f>
        <v/>
      </c>
      <c r="P681" s="14">
        <f>F681*G681</f>
        <v/>
      </c>
      <c r="Q681" s="14">
        <f>J681*G681</f>
        <v/>
      </c>
      <c r="R681" s="14">
        <f>K681-Q681</f>
        <v/>
      </c>
      <c r="S681" s="3">
        <f>P681*Assumptions!$B$3/100</f>
        <v/>
      </c>
      <c r="T681" s="14">
        <f>R681-S681</f>
        <v/>
      </c>
      <c r="U681" s="14">
        <f>L681*G681</f>
        <v/>
      </c>
    </row>
    <row r="682">
      <c r="A682" s="12" t="inlineStr">
        <is>
          <t>PO-2021-0680</t>
        </is>
      </c>
      <c r="B682" s="26" t="n">
        <v>44860</v>
      </c>
      <c r="C682" s="12" t="inlineStr">
        <is>
          <t>VS07</t>
        </is>
      </c>
      <c r="D682" s="12" t="inlineStr">
        <is>
          <t>Hex Bars</t>
        </is>
      </c>
      <c r="E682" s="12" t="inlineStr">
        <is>
          <t>N</t>
        </is>
      </c>
      <c r="F682" s="12" t="n">
        <v>32.04</v>
      </c>
      <c r="G682" s="17" t="n">
        <v>65512.15</v>
      </c>
      <c r="H682" s="26" t="n">
        <v>44874</v>
      </c>
      <c r="I682" s="26" t="n">
        <v>44877</v>
      </c>
      <c r="J682" s="12" t="n">
        <v>31.82</v>
      </c>
      <c r="K682" s="17" t="n">
        <v>2099009.29</v>
      </c>
      <c r="L682" s="12" t="n">
        <v>0</v>
      </c>
      <c r="M682" s="12" t="n">
        <v>0</v>
      </c>
      <c r="N682" s="27">
        <f>F682-J682</f>
        <v/>
      </c>
      <c r="O682" s="16">
        <f>I682-H682</f>
        <v/>
      </c>
      <c r="P682" s="14">
        <f>F682*G682</f>
        <v/>
      </c>
      <c r="Q682" s="14">
        <f>J682*G682</f>
        <v/>
      </c>
      <c r="R682" s="14">
        <f>K682-Q682</f>
        <v/>
      </c>
      <c r="S682" s="3">
        <f>P682*Assumptions!$B$3/100</f>
        <v/>
      </c>
      <c r="T682" s="14">
        <f>R682-S682</f>
        <v/>
      </c>
      <c r="U682" s="14">
        <f>L682*G682</f>
        <v/>
      </c>
    </row>
    <row r="683">
      <c r="A683" s="12" t="inlineStr">
        <is>
          <t>PO-2021-0681</t>
        </is>
      </c>
      <c r="B683" s="26" t="n">
        <v>44736</v>
      </c>
      <c r="C683" s="12" t="inlineStr">
        <is>
          <t>VS12</t>
        </is>
      </c>
      <c r="D683" s="12" t="inlineStr">
        <is>
          <t>MS Rods</t>
        </is>
      </c>
      <c r="E683" s="12" t="inlineStr">
        <is>
          <t>N</t>
        </is>
      </c>
      <c r="F683" s="12" t="n">
        <v>33.03</v>
      </c>
      <c r="G683" s="17" t="n">
        <v>75293.14999999999</v>
      </c>
      <c r="H683" s="26" t="n">
        <v>44749</v>
      </c>
      <c r="I683" s="26" t="n">
        <v>44751</v>
      </c>
      <c r="J683" s="12" t="n">
        <v>32.28</v>
      </c>
      <c r="K683" s="17" t="n">
        <v>2486932.74</v>
      </c>
      <c r="L683" s="12" t="n">
        <v>0.27</v>
      </c>
      <c r="M683" s="12" t="n">
        <v>1</v>
      </c>
      <c r="N683" s="27">
        <f>F683-J683</f>
        <v/>
      </c>
      <c r="O683" s="16">
        <f>I683-H683</f>
        <v/>
      </c>
      <c r="P683" s="14">
        <f>F683*G683</f>
        <v/>
      </c>
      <c r="Q683" s="14">
        <f>J683*G683</f>
        <v/>
      </c>
      <c r="R683" s="14">
        <f>K683-Q683</f>
        <v/>
      </c>
      <c r="S683" s="3">
        <f>P683*Assumptions!$B$3/100</f>
        <v/>
      </c>
      <c r="T683" s="14">
        <f>R683-S683</f>
        <v/>
      </c>
      <c r="U683" s="14">
        <f>L683*G683</f>
        <v/>
      </c>
    </row>
    <row r="684">
      <c r="A684" s="12" t="inlineStr">
        <is>
          <t>PO-2021-0682</t>
        </is>
      </c>
      <c r="B684" s="26" t="n">
        <v>44356</v>
      </c>
      <c r="C684" s="12" t="inlineStr">
        <is>
          <t>VS34</t>
        </is>
      </c>
      <c r="D684" s="12" t="inlineStr">
        <is>
          <t>CR Sheets</t>
        </is>
      </c>
      <c r="E684" s="12" t="inlineStr">
        <is>
          <t>N</t>
        </is>
      </c>
      <c r="F684" s="12" t="n">
        <v>19.44</v>
      </c>
      <c r="G684" s="17" t="n">
        <v>113043.18</v>
      </c>
      <c r="H684" s="26" t="n">
        <v>44367</v>
      </c>
      <c r="I684" s="26" t="n">
        <v>44368</v>
      </c>
      <c r="J684" s="12" t="n">
        <v>19.37</v>
      </c>
      <c r="K684" s="17" t="n">
        <v>2197559.42</v>
      </c>
      <c r="L684" s="12" t="n">
        <v>0</v>
      </c>
      <c r="M684" s="12" t="n">
        <v>0</v>
      </c>
      <c r="N684" s="27">
        <f>F684-J684</f>
        <v/>
      </c>
      <c r="O684" s="16">
        <f>I684-H684</f>
        <v/>
      </c>
      <c r="P684" s="14">
        <f>F684*G684</f>
        <v/>
      </c>
      <c r="Q684" s="14">
        <f>J684*G684</f>
        <v/>
      </c>
      <c r="R684" s="14">
        <f>K684-Q684</f>
        <v/>
      </c>
      <c r="S684" s="3">
        <f>P684*Assumptions!$B$3/100</f>
        <v/>
      </c>
      <c r="T684" s="14">
        <f>R684-S684</f>
        <v/>
      </c>
      <c r="U684" s="14">
        <f>L684*G684</f>
        <v/>
      </c>
    </row>
    <row r="685">
      <c r="A685" s="12" t="inlineStr">
        <is>
          <t>PO-2021-0683</t>
        </is>
      </c>
      <c r="B685" s="26" t="n">
        <v>45028</v>
      </c>
      <c r="C685" s="12" t="inlineStr">
        <is>
          <t>VS23</t>
        </is>
      </c>
      <c r="D685" s="12" t="inlineStr">
        <is>
          <t>Angles &amp; Channels</t>
        </is>
      </c>
      <c r="E685" s="12" t="inlineStr">
        <is>
          <t>N</t>
        </is>
      </c>
      <c r="F685" s="12" t="n">
        <v>24.86</v>
      </c>
      <c r="G685" s="17" t="n">
        <v>81158.25999999999</v>
      </c>
      <c r="H685" s="26" t="n">
        <v>45040</v>
      </c>
      <c r="I685" s="26" t="n">
        <v>45040</v>
      </c>
      <c r="J685" s="12" t="n">
        <v>24.7</v>
      </c>
      <c r="K685" s="17" t="n">
        <v>2017594.34</v>
      </c>
      <c r="L685" s="12" t="n">
        <v>0</v>
      </c>
      <c r="M685" s="12" t="n">
        <v>10</v>
      </c>
      <c r="N685" s="27">
        <f>F685-J685</f>
        <v/>
      </c>
      <c r="O685" s="16">
        <f>I685-H685</f>
        <v/>
      </c>
      <c r="P685" s="14">
        <f>F685*G685</f>
        <v/>
      </c>
      <c r="Q685" s="14">
        <f>J685*G685</f>
        <v/>
      </c>
      <c r="R685" s="14">
        <f>K685-Q685</f>
        <v/>
      </c>
      <c r="S685" s="3">
        <f>P685*Assumptions!$B$3/100</f>
        <v/>
      </c>
      <c r="T685" s="14">
        <f>R685-S685</f>
        <v/>
      </c>
      <c r="U685" s="14">
        <f>L685*G685</f>
        <v/>
      </c>
    </row>
    <row r="686">
      <c r="A686" s="12" t="inlineStr">
        <is>
          <t>PO-2021-0684</t>
        </is>
      </c>
      <c r="B686" s="26" t="n">
        <v>44210</v>
      </c>
      <c r="C686" s="12" t="inlineStr">
        <is>
          <t>VS33</t>
        </is>
      </c>
      <c r="D686" s="12" t="inlineStr">
        <is>
          <t>Square/Rect Tubes</t>
        </is>
      </c>
      <c r="E686" s="12" t="inlineStr">
        <is>
          <t>N</t>
        </is>
      </c>
      <c r="F686" s="12" t="n">
        <v>22.56</v>
      </c>
      <c r="G686" s="17" t="n">
        <v>62249.31</v>
      </c>
      <c r="H686" s="26" t="n">
        <v>44221</v>
      </c>
      <c r="I686" s="26" t="n">
        <v>44223</v>
      </c>
      <c r="J686" s="12" t="n">
        <v>22.43</v>
      </c>
      <c r="K686" s="17" t="n">
        <v>1404344.43</v>
      </c>
      <c r="L686" s="12" t="n">
        <v>0</v>
      </c>
      <c r="M686" s="12" t="n">
        <v>0</v>
      </c>
      <c r="N686" s="27">
        <f>F686-J686</f>
        <v/>
      </c>
      <c r="O686" s="16">
        <f>I686-H686</f>
        <v/>
      </c>
      <c r="P686" s="14">
        <f>F686*G686</f>
        <v/>
      </c>
      <c r="Q686" s="14">
        <f>J686*G686</f>
        <v/>
      </c>
      <c r="R686" s="14">
        <f>K686-Q686</f>
        <v/>
      </c>
      <c r="S686" s="3">
        <f>P686*Assumptions!$B$3/100</f>
        <v/>
      </c>
      <c r="T686" s="14">
        <f>R686-S686</f>
        <v/>
      </c>
      <c r="U686" s="14">
        <f>L686*G686</f>
        <v/>
      </c>
    </row>
    <row r="687">
      <c r="A687" s="12" t="inlineStr">
        <is>
          <t>PO-2021-0685</t>
        </is>
      </c>
      <c r="B687" s="26" t="n">
        <v>44772</v>
      </c>
      <c r="C687" s="12" t="inlineStr">
        <is>
          <t>VS14</t>
        </is>
      </c>
      <c r="D687" s="12" t="inlineStr">
        <is>
          <t>Square/Rect Tubes</t>
        </is>
      </c>
      <c r="E687" s="12" t="inlineStr">
        <is>
          <t>N</t>
        </is>
      </c>
      <c r="F687" s="12" t="n">
        <v>10.16</v>
      </c>
      <c r="G687" s="17" t="n">
        <v>72166.72</v>
      </c>
      <c r="H687" s="26" t="n">
        <v>44786</v>
      </c>
      <c r="I687" s="26" t="n">
        <v>44788</v>
      </c>
      <c r="J687" s="12" t="n">
        <v>10.08</v>
      </c>
      <c r="K687" s="17" t="n">
        <v>733213.88</v>
      </c>
      <c r="L687" s="12" t="n">
        <v>0</v>
      </c>
      <c r="M687" s="12" t="n">
        <v>0</v>
      </c>
      <c r="N687" s="27">
        <f>F687-J687</f>
        <v/>
      </c>
      <c r="O687" s="16">
        <f>I687-H687</f>
        <v/>
      </c>
      <c r="P687" s="14">
        <f>F687*G687</f>
        <v/>
      </c>
      <c r="Q687" s="14">
        <f>J687*G687</f>
        <v/>
      </c>
      <c r="R687" s="14">
        <f>K687-Q687</f>
        <v/>
      </c>
      <c r="S687" s="3">
        <f>P687*Assumptions!$B$3/100</f>
        <v/>
      </c>
      <c r="T687" s="14">
        <f>R687-S687</f>
        <v/>
      </c>
      <c r="U687" s="14">
        <f>L687*G687</f>
        <v/>
      </c>
    </row>
    <row r="688">
      <c r="A688" s="12" t="inlineStr">
        <is>
          <t>PO-2021-0686</t>
        </is>
      </c>
      <c r="B688" s="26" t="n">
        <v>44439</v>
      </c>
      <c r="C688" s="12" t="inlineStr">
        <is>
          <t>VS15</t>
        </is>
      </c>
      <c r="D688" s="12" t="inlineStr">
        <is>
          <t>GI Wire</t>
        </is>
      </c>
      <c r="E688" s="12" t="inlineStr">
        <is>
          <t>N</t>
        </is>
      </c>
      <c r="F688" s="12" t="n">
        <v>40.75</v>
      </c>
      <c r="G688" s="17" t="n">
        <v>99019.17</v>
      </c>
      <c r="H688" s="26" t="n">
        <v>44449</v>
      </c>
      <c r="I688" s="26" t="n">
        <v>44451</v>
      </c>
      <c r="J688" s="12" t="n">
        <v>40.49</v>
      </c>
      <c r="K688" s="17" t="n">
        <v>4035031.18</v>
      </c>
      <c r="L688" s="12" t="n">
        <v>0</v>
      </c>
      <c r="M688" s="12" t="n">
        <v>0</v>
      </c>
      <c r="N688" s="27">
        <f>F688-J688</f>
        <v/>
      </c>
      <c r="O688" s="16">
        <f>I688-H688</f>
        <v/>
      </c>
      <c r="P688" s="14">
        <f>F688*G688</f>
        <v/>
      </c>
      <c r="Q688" s="14">
        <f>J688*G688</f>
        <v/>
      </c>
      <c r="R688" s="14">
        <f>K688-Q688</f>
        <v/>
      </c>
      <c r="S688" s="3">
        <f>P688*Assumptions!$B$3/100</f>
        <v/>
      </c>
      <c r="T688" s="14">
        <f>R688-S688</f>
        <v/>
      </c>
      <c r="U688" s="14">
        <f>L688*G688</f>
        <v/>
      </c>
    </row>
    <row r="689">
      <c r="A689" s="12" t="inlineStr">
        <is>
          <t>PO-2021-0687</t>
        </is>
      </c>
      <c r="B689" s="26" t="n">
        <v>45177</v>
      </c>
      <c r="C689" s="12" t="inlineStr">
        <is>
          <t>VS31</t>
        </is>
      </c>
      <c r="D689" s="12" t="inlineStr">
        <is>
          <t>GI Sheets</t>
        </is>
      </c>
      <c r="E689" s="12" t="inlineStr">
        <is>
          <t>Y</t>
        </is>
      </c>
      <c r="F689" s="12" t="n">
        <v>29.95</v>
      </c>
      <c r="G689" s="17" t="n">
        <v>93544.44</v>
      </c>
      <c r="H689" s="26" t="n">
        <v>45186</v>
      </c>
      <c r="I689" s="26" t="n">
        <v>45188</v>
      </c>
      <c r="J689" s="12" t="n">
        <v>29.82</v>
      </c>
      <c r="K689" s="17" t="n">
        <v>2801655.98</v>
      </c>
      <c r="L689" s="12" t="n">
        <v>0</v>
      </c>
      <c r="M689" s="12" t="n">
        <v>5</v>
      </c>
      <c r="N689" s="27">
        <f>F689-J689</f>
        <v/>
      </c>
      <c r="O689" s="16">
        <f>I689-H689</f>
        <v/>
      </c>
      <c r="P689" s="14">
        <f>F689*G689</f>
        <v/>
      </c>
      <c r="Q689" s="14">
        <f>J689*G689</f>
        <v/>
      </c>
      <c r="R689" s="14">
        <f>K689-Q689</f>
        <v/>
      </c>
      <c r="S689" s="3">
        <f>P689*Assumptions!$B$3/100</f>
        <v/>
      </c>
      <c r="T689" s="14">
        <f>R689-S689</f>
        <v/>
      </c>
      <c r="U689" s="14">
        <f>L689*G689</f>
        <v/>
      </c>
    </row>
    <row r="690">
      <c r="A690" s="12" t="inlineStr">
        <is>
          <t>PO-2021-0688</t>
        </is>
      </c>
      <c r="B690" s="26" t="n">
        <v>44242</v>
      </c>
      <c r="C690" s="12" t="inlineStr">
        <is>
          <t>VS16</t>
        </is>
      </c>
      <c r="D690" s="12" t="inlineStr">
        <is>
          <t>GI Pipes</t>
        </is>
      </c>
      <c r="E690" s="12" t="inlineStr">
        <is>
          <t>N</t>
        </is>
      </c>
      <c r="F690" s="12" t="n">
        <v>7.27</v>
      </c>
      <c r="G690" s="17" t="n">
        <v>89426.07000000001</v>
      </c>
      <c r="H690" s="26" t="n">
        <v>44247</v>
      </c>
      <c r="I690" s="26" t="n">
        <v>44248</v>
      </c>
      <c r="J690" s="12" t="n">
        <v>7.27</v>
      </c>
      <c r="K690" s="17" t="n">
        <v>650127.53</v>
      </c>
      <c r="L690" s="12" t="n">
        <v>0</v>
      </c>
      <c r="M690" s="12" t="n">
        <v>12</v>
      </c>
      <c r="N690" s="27">
        <f>F690-J690</f>
        <v/>
      </c>
      <c r="O690" s="16">
        <f>I690-H690</f>
        <v/>
      </c>
      <c r="P690" s="14">
        <f>F690*G690</f>
        <v/>
      </c>
      <c r="Q690" s="14">
        <f>J690*G690</f>
        <v/>
      </c>
      <c r="R690" s="14">
        <f>K690-Q690</f>
        <v/>
      </c>
      <c r="S690" s="3">
        <f>P690*Assumptions!$B$3/100</f>
        <v/>
      </c>
      <c r="T690" s="14">
        <f>R690-S690</f>
        <v/>
      </c>
      <c r="U690" s="14">
        <f>L690*G690</f>
        <v/>
      </c>
    </row>
    <row r="691">
      <c r="A691" s="12" t="inlineStr">
        <is>
          <t>PO-2021-0689</t>
        </is>
      </c>
      <c r="B691" s="26" t="n">
        <v>45246</v>
      </c>
      <c r="C691" s="12" t="inlineStr">
        <is>
          <t>VS03</t>
        </is>
      </c>
      <c r="D691" s="12" t="inlineStr">
        <is>
          <t>Square/Rect Tubes</t>
        </is>
      </c>
      <c r="E691" s="12" t="inlineStr">
        <is>
          <t>N</t>
        </is>
      </c>
      <c r="F691" s="12" t="n">
        <v>3.74</v>
      </c>
      <c r="G691" s="17" t="n">
        <v>66944.25</v>
      </c>
      <c r="H691" s="26" t="n">
        <v>45251</v>
      </c>
      <c r="I691" s="26" t="n">
        <v>45256</v>
      </c>
      <c r="J691" s="12" t="n">
        <v>3.55</v>
      </c>
      <c r="K691" s="17" t="n">
        <v>250371.5</v>
      </c>
      <c r="L691" s="12" t="n">
        <v>0.09</v>
      </c>
      <c r="M691" s="12" t="n">
        <v>4</v>
      </c>
      <c r="N691" s="27">
        <f>F691-J691</f>
        <v/>
      </c>
      <c r="O691" s="16">
        <f>I691-H691</f>
        <v/>
      </c>
      <c r="P691" s="14">
        <f>F691*G691</f>
        <v/>
      </c>
      <c r="Q691" s="14">
        <f>J691*G691</f>
        <v/>
      </c>
      <c r="R691" s="14">
        <f>K691-Q691</f>
        <v/>
      </c>
      <c r="S691" s="3">
        <f>P691*Assumptions!$B$3/100</f>
        <v/>
      </c>
      <c r="T691" s="14">
        <f>R691-S691</f>
        <v/>
      </c>
      <c r="U691" s="14">
        <f>L691*G691</f>
        <v/>
      </c>
    </row>
    <row r="692">
      <c r="A692" s="12" t="inlineStr">
        <is>
          <t>PO-2021-0690</t>
        </is>
      </c>
      <c r="B692" s="26" t="n">
        <v>45255</v>
      </c>
      <c r="C692" s="12" t="inlineStr">
        <is>
          <t>VS26</t>
        </is>
      </c>
      <c r="D692" s="12" t="inlineStr">
        <is>
          <t>MS Pipes</t>
        </is>
      </c>
      <c r="E692" s="12" t="inlineStr">
        <is>
          <t>N</t>
        </is>
      </c>
      <c r="F692" s="12" t="n">
        <v>44.05</v>
      </c>
      <c r="G692" s="17" t="n">
        <v>99598.07000000001</v>
      </c>
      <c r="H692" s="26" t="n">
        <v>45262</v>
      </c>
      <c r="I692" s="26" t="n">
        <v>45264</v>
      </c>
      <c r="J692" s="12" t="n">
        <v>44.02</v>
      </c>
      <c r="K692" s="17" t="n">
        <v>4387294.98</v>
      </c>
      <c r="L692" s="12" t="n">
        <v>0</v>
      </c>
      <c r="M692" s="12" t="n">
        <v>18</v>
      </c>
      <c r="N692" s="27">
        <f>F692-J692</f>
        <v/>
      </c>
      <c r="O692" s="16">
        <f>I692-H692</f>
        <v/>
      </c>
      <c r="P692" s="14">
        <f>F692*G692</f>
        <v/>
      </c>
      <c r="Q692" s="14">
        <f>J692*G692</f>
        <v/>
      </c>
      <c r="R692" s="14">
        <f>K692-Q692</f>
        <v/>
      </c>
      <c r="S692" s="3">
        <f>P692*Assumptions!$B$3/100</f>
        <v/>
      </c>
      <c r="T692" s="14">
        <f>R692-S692</f>
        <v/>
      </c>
      <c r="U692" s="14">
        <f>L692*G692</f>
        <v/>
      </c>
    </row>
    <row r="693">
      <c r="A693" s="12" t="inlineStr">
        <is>
          <t>PO-2021-0691</t>
        </is>
      </c>
      <c r="B693" s="26" t="n">
        <v>44372</v>
      </c>
      <c r="C693" s="12" t="inlineStr">
        <is>
          <t>VS14</t>
        </is>
      </c>
      <c r="D693" s="12" t="inlineStr">
        <is>
          <t>Fasteners &amp; Fittings</t>
        </is>
      </c>
      <c r="E693" s="12" t="inlineStr">
        <is>
          <t>N</t>
        </is>
      </c>
      <c r="F693" s="12" t="n">
        <v>30.72</v>
      </c>
      <c r="G693" s="17" t="n">
        <v>80356.00999999999</v>
      </c>
      <c r="H693" s="26" t="n">
        <v>44382</v>
      </c>
      <c r="I693" s="26" t="n">
        <v>44383</v>
      </c>
      <c r="J693" s="12" t="n">
        <v>30.61</v>
      </c>
      <c r="K693" s="17" t="n">
        <v>2468536.63</v>
      </c>
      <c r="L693" s="12" t="n">
        <v>0</v>
      </c>
      <c r="M693" s="12" t="n">
        <v>4</v>
      </c>
      <c r="N693" s="27">
        <f>F693-J693</f>
        <v/>
      </c>
      <c r="O693" s="16">
        <f>I693-H693</f>
        <v/>
      </c>
      <c r="P693" s="14">
        <f>F693*G693</f>
        <v/>
      </c>
      <c r="Q693" s="14">
        <f>J693*G693</f>
        <v/>
      </c>
      <c r="R693" s="14">
        <f>K693-Q693</f>
        <v/>
      </c>
      <c r="S693" s="3">
        <f>P693*Assumptions!$B$3/100</f>
        <v/>
      </c>
      <c r="T693" s="14">
        <f>R693-S693</f>
        <v/>
      </c>
      <c r="U693" s="14">
        <f>L693*G693</f>
        <v/>
      </c>
    </row>
    <row r="694">
      <c r="A694" s="12" t="inlineStr">
        <is>
          <t>PO-2021-0692</t>
        </is>
      </c>
      <c r="B694" s="26" t="n">
        <v>44546</v>
      </c>
      <c r="C694" s="12" t="inlineStr">
        <is>
          <t>VS15</t>
        </is>
      </c>
      <c r="D694" s="12" t="inlineStr">
        <is>
          <t>GI Wire</t>
        </is>
      </c>
      <c r="E694" s="12" t="inlineStr">
        <is>
          <t>N</t>
        </is>
      </c>
      <c r="F694" s="12" t="n">
        <v>30.44</v>
      </c>
      <c r="G694" s="17" t="n">
        <v>104596.21</v>
      </c>
      <c r="H694" s="26" t="n">
        <v>44561</v>
      </c>
      <c r="I694" s="26" t="n">
        <v>44564</v>
      </c>
      <c r="J694" s="12" t="n">
        <v>30.4</v>
      </c>
      <c r="K694" s="17" t="n">
        <v>3183908.63</v>
      </c>
      <c r="L694" s="12" t="n">
        <v>0</v>
      </c>
      <c r="M694" s="12" t="n">
        <v>12</v>
      </c>
      <c r="N694" s="27">
        <f>F694-J694</f>
        <v/>
      </c>
      <c r="O694" s="16">
        <f>I694-H694</f>
        <v/>
      </c>
      <c r="P694" s="14">
        <f>F694*G694</f>
        <v/>
      </c>
      <c r="Q694" s="14">
        <f>J694*G694</f>
        <v/>
      </c>
      <c r="R694" s="14">
        <f>K694-Q694</f>
        <v/>
      </c>
      <c r="S694" s="3">
        <f>P694*Assumptions!$B$3/100</f>
        <v/>
      </c>
      <c r="T694" s="14">
        <f>R694-S694</f>
        <v/>
      </c>
      <c r="U694" s="14">
        <f>L694*G694</f>
        <v/>
      </c>
    </row>
    <row r="695">
      <c r="A695" s="12" t="inlineStr">
        <is>
          <t>PO-2021-0693</t>
        </is>
      </c>
      <c r="B695" s="26" t="n">
        <v>44569</v>
      </c>
      <c r="C695" s="12" t="inlineStr">
        <is>
          <t>VS33</t>
        </is>
      </c>
      <c r="D695" s="12" t="inlineStr">
        <is>
          <t>CR Sheets</t>
        </is>
      </c>
      <c r="E695" s="12" t="inlineStr">
        <is>
          <t>N</t>
        </is>
      </c>
      <c r="F695" s="12" t="n">
        <v>9.220000000000001</v>
      </c>
      <c r="G695" s="17" t="n">
        <v>96419.34</v>
      </c>
      <c r="H695" s="26" t="n">
        <v>44579</v>
      </c>
      <c r="I695" s="26" t="n">
        <v>44579</v>
      </c>
      <c r="J695" s="12" t="n">
        <v>9.15</v>
      </c>
      <c r="K695" s="17" t="n">
        <v>888986.3100000001</v>
      </c>
      <c r="L695" s="12" t="n">
        <v>0</v>
      </c>
      <c r="M695" s="12" t="n">
        <v>18</v>
      </c>
      <c r="N695" s="27">
        <f>F695-J695</f>
        <v/>
      </c>
      <c r="O695" s="16">
        <f>I695-H695</f>
        <v/>
      </c>
      <c r="P695" s="14">
        <f>F695*G695</f>
        <v/>
      </c>
      <c r="Q695" s="14">
        <f>J695*G695</f>
        <v/>
      </c>
      <c r="R695" s="14">
        <f>K695-Q695</f>
        <v/>
      </c>
      <c r="S695" s="3">
        <f>P695*Assumptions!$B$3/100</f>
        <v/>
      </c>
      <c r="T695" s="14">
        <f>R695-S695</f>
        <v/>
      </c>
      <c r="U695" s="14">
        <f>L695*G695</f>
        <v/>
      </c>
    </row>
    <row r="696">
      <c r="A696" s="12" t="inlineStr">
        <is>
          <t>PO-2021-0694</t>
        </is>
      </c>
      <c r="B696" s="26" t="n">
        <v>44337</v>
      </c>
      <c r="C696" s="12" t="inlineStr">
        <is>
          <t>VS15</t>
        </is>
      </c>
      <c r="D696" s="12" t="inlineStr">
        <is>
          <t>MS Rods</t>
        </is>
      </c>
      <c r="E696" s="12" t="inlineStr">
        <is>
          <t>N</t>
        </is>
      </c>
      <c r="F696" s="12" t="n">
        <v>19.89</v>
      </c>
      <c r="G696" s="17" t="n">
        <v>53142.76</v>
      </c>
      <c r="H696" s="26" t="n">
        <v>44343</v>
      </c>
      <c r="I696" s="26" t="n">
        <v>44343</v>
      </c>
      <c r="J696" s="12" t="n">
        <v>19.7</v>
      </c>
      <c r="K696" s="17" t="n">
        <v>1057009.5</v>
      </c>
      <c r="L696" s="12" t="n">
        <v>0</v>
      </c>
      <c r="M696" s="12" t="n">
        <v>18</v>
      </c>
      <c r="N696" s="27">
        <f>F696-J696</f>
        <v/>
      </c>
      <c r="O696" s="16">
        <f>I696-H696</f>
        <v/>
      </c>
      <c r="P696" s="14">
        <f>F696*G696</f>
        <v/>
      </c>
      <c r="Q696" s="14">
        <f>J696*G696</f>
        <v/>
      </c>
      <c r="R696" s="14">
        <f>K696-Q696</f>
        <v/>
      </c>
      <c r="S696" s="3">
        <f>P696*Assumptions!$B$3/100</f>
        <v/>
      </c>
      <c r="T696" s="14">
        <f>R696-S696</f>
        <v/>
      </c>
      <c r="U696" s="14">
        <f>L696*G696</f>
        <v/>
      </c>
    </row>
    <row r="697">
      <c r="A697" s="12" t="inlineStr">
        <is>
          <t>PO-2021-0695</t>
        </is>
      </c>
      <c r="B697" s="26" t="n">
        <v>45267</v>
      </c>
      <c r="C697" s="12" t="inlineStr">
        <is>
          <t>VS33</t>
        </is>
      </c>
      <c r="D697" s="12" t="inlineStr">
        <is>
          <t>GI Wire</t>
        </is>
      </c>
      <c r="E697" s="12" t="inlineStr">
        <is>
          <t>N</t>
        </is>
      </c>
      <c r="F697" s="12" t="n">
        <v>41.5</v>
      </c>
      <c r="G697" s="17" t="n">
        <v>90413.33</v>
      </c>
      <c r="H697" s="26" t="n">
        <v>45272</v>
      </c>
      <c r="I697" s="26" t="n">
        <v>45273</v>
      </c>
      <c r="J697" s="12" t="n">
        <v>41.25</v>
      </c>
      <c r="K697" s="17" t="n">
        <v>3752153.2</v>
      </c>
      <c r="L697" s="12" t="n">
        <v>0</v>
      </c>
      <c r="M697" s="12" t="n">
        <v>16</v>
      </c>
      <c r="N697" s="27">
        <f>F697-J697</f>
        <v/>
      </c>
      <c r="O697" s="16">
        <f>I697-H697</f>
        <v/>
      </c>
      <c r="P697" s="14">
        <f>F697*G697</f>
        <v/>
      </c>
      <c r="Q697" s="14">
        <f>J697*G697</f>
        <v/>
      </c>
      <c r="R697" s="14">
        <f>K697-Q697</f>
        <v/>
      </c>
      <c r="S697" s="3">
        <f>P697*Assumptions!$B$3/100</f>
        <v/>
      </c>
      <c r="T697" s="14">
        <f>R697-S697</f>
        <v/>
      </c>
      <c r="U697" s="14">
        <f>L697*G697</f>
        <v/>
      </c>
    </row>
    <row r="698">
      <c r="A698" s="12" t="inlineStr">
        <is>
          <t>PO-2021-0696</t>
        </is>
      </c>
      <c r="B698" s="26" t="n">
        <v>45171</v>
      </c>
      <c r="C698" s="12" t="inlineStr">
        <is>
          <t>VS03</t>
        </is>
      </c>
      <c r="D698" s="12" t="inlineStr">
        <is>
          <t>Spring Steel</t>
        </is>
      </c>
      <c r="E698" s="12" t="inlineStr">
        <is>
          <t>N</t>
        </is>
      </c>
      <c r="F698" s="12" t="n">
        <v>25.66</v>
      </c>
      <c r="G698" s="17" t="n">
        <v>55966.28</v>
      </c>
      <c r="H698" s="26" t="n">
        <v>45181</v>
      </c>
      <c r="I698" s="26" t="n">
        <v>45186</v>
      </c>
      <c r="J698" s="12" t="n">
        <v>25.06</v>
      </c>
      <c r="K698" s="17" t="n">
        <v>1436094.74</v>
      </c>
      <c r="L698" s="12" t="n">
        <v>0.71</v>
      </c>
      <c r="M698" s="12" t="n">
        <v>5</v>
      </c>
      <c r="N698" s="27">
        <f>F698-J698</f>
        <v/>
      </c>
      <c r="O698" s="16">
        <f>I698-H698</f>
        <v/>
      </c>
      <c r="P698" s="14">
        <f>F698*G698</f>
        <v/>
      </c>
      <c r="Q698" s="14">
        <f>J698*G698</f>
        <v/>
      </c>
      <c r="R698" s="14">
        <f>K698-Q698</f>
        <v/>
      </c>
      <c r="S698" s="3">
        <f>P698*Assumptions!$B$3/100</f>
        <v/>
      </c>
      <c r="T698" s="14">
        <f>R698-S698</f>
        <v/>
      </c>
      <c r="U698" s="14">
        <f>L698*G698</f>
        <v/>
      </c>
    </row>
    <row r="699">
      <c r="A699" s="12" t="inlineStr">
        <is>
          <t>PO-2021-0697</t>
        </is>
      </c>
      <c r="B699" s="26" t="n">
        <v>44463</v>
      </c>
      <c r="C699" s="12" t="inlineStr">
        <is>
          <t>VS01</t>
        </is>
      </c>
      <c r="D699" s="12" t="inlineStr">
        <is>
          <t>GI Wire</t>
        </is>
      </c>
      <c r="E699" s="12" t="inlineStr">
        <is>
          <t>N</t>
        </is>
      </c>
      <c r="F699" s="12" t="n">
        <v>26.58</v>
      </c>
      <c r="G699" s="17" t="n">
        <v>72778.31</v>
      </c>
      <c r="H699" s="26" t="n">
        <v>44466</v>
      </c>
      <c r="I699" s="26" t="n">
        <v>44467</v>
      </c>
      <c r="J699" s="12" t="n">
        <v>26.35</v>
      </c>
      <c r="K699" s="17" t="n">
        <v>1934447.48</v>
      </c>
      <c r="L699" s="12" t="n">
        <v>0</v>
      </c>
      <c r="M699" s="12" t="n">
        <v>2</v>
      </c>
      <c r="N699" s="27">
        <f>F699-J699</f>
        <v/>
      </c>
      <c r="O699" s="16">
        <f>I699-H699</f>
        <v/>
      </c>
      <c r="P699" s="14">
        <f>F699*G699</f>
        <v/>
      </c>
      <c r="Q699" s="14">
        <f>J699*G699</f>
        <v/>
      </c>
      <c r="R699" s="14">
        <f>K699-Q699</f>
        <v/>
      </c>
      <c r="S699" s="3">
        <f>P699*Assumptions!$B$3/100</f>
        <v/>
      </c>
      <c r="T699" s="14">
        <f>R699-S699</f>
        <v/>
      </c>
      <c r="U699" s="14">
        <f>L699*G699</f>
        <v/>
      </c>
    </row>
    <row r="700">
      <c r="A700" s="12" t="inlineStr">
        <is>
          <t>PO-2021-0698</t>
        </is>
      </c>
      <c r="B700" s="26" t="n">
        <v>45282</v>
      </c>
      <c r="C700" s="12" t="inlineStr">
        <is>
          <t>VS28</t>
        </is>
      </c>
      <c r="D700" s="12" t="inlineStr">
        <is>
          <t>HR Coils</t>
        </is>
      </c>
      <c r="E700" s="12" t="inlineStr">
        <is>
          <t>Y</t>
        </is>
      </c>
      <c r="F700" s="12" t="n">
        <v>46.98</v>
      </c>
      <c r="G700" s="17" t="n">
        <v>81159.25999999999</v>
      </c>
      <c r="H700" s="26" t="n">
        <v>45297</v>
      </c>
      <c r="I700" s="26" t="n">
        <v>45300</v>
      </c>
      <c r="J700" s="12" t="n">
        <v>46.69</v>
      </c>
      <c r="K700" s="17" t="n">
        <v>3812862.03</v>
      </c>
      <c r="L700" s="12" t="n">
        <v>0</v>
      </c>
      <c r="M700" s="12" t="n">
        <v>8</v>
      </c>
      <c r="N700" s="27">
        <f>F700-J700</f>
        <v/>
      </c>
      <c r="O700" s="16">
        <f>I700-H700</f>
        <v/>
      </c>
      <c r="P700" s="14">
        <f>F700*G700</f>
        <v/>
      </c>
      <c r="Q700" s="14">
        <f>J700*G700</f>
        <v/>
      </c>
      <c r="R700" s="14">
        <f>K700-Q700</f>
        <v/>
      </c>
      <c r="S700" s="3">
        <f>P700*Assumptions!$B$3/100</f>
        <v/>
      </c>
      <c r="T700" s="14">
        <f>R700-S700</f>
        <v/>
      </c>
      <c r="U700" s="14">
        <f>L700*G700</f>
        <v/>
      </c>
    </row>
    <row r="701">
      <c r="A701" s="12" t="inlineStr">
        <is>
          <t>PO-2021-0699</t>
        </is>
      </c>
      <c r="B701" s="26" t="n">
        <v>44977</v>
      </c>
      <c r="C701" s="12" t="inlineStr">
        <is>
          <t>VS23</t>
        </is>
      </c>
      <c r="D701" s="12" t="inlineStr">
        <is>
          <t>ERW Pipes</t>
        </is>
      </c>
      <c r="E701" s="12" t="inlineStr">
        <is>
          <t>N</t>
        </is>
      </c>
      <c r="F701" s="12" t="n">
        <v>21.85</v>
      </c>
      <c r="G701" s="17" t="n">
        <v>64088.85</v>
      </c>
      <c r="H701" s="26" t="n">
        <v>44992</v>
      </c>
      <c r="I701" s="26" t="n">
        <v>44992</v>
      </c>
      <c r="J701" s="12" t="n">
        <v>21.72</v>
      </c>
      <c r="K701" s="17" t="n">
        <v>1400341.37</v>
      </c>
      <c r="L701" s="12" t="n">
        <v>0</v>
      </c>
      <c r="M701" s="12" t="n">
        <v>0</v>
      </c>
      <c r="N701" s="27">
        <f>F701-J701</f>
        <v/>
      </c>
      <c r="O701" s="16">
        <f>I701-H701</f>
        <v/>
      </c>
      <c r="P701" s="14">
        <f>F701*G701</f>
        <v/>
      </c>
      <c r="Q701" s="14">
        <f>J701*G701</f>
        <v/>
      </c>
      <c r="R701" s="14">
        <f>K701-Q701</f>
        <v/>
      </c>
      <c r="S701" s="3">
        <f>P701*Assumptions!$B$3/100</f>
        <v/>
      </c>
      <c r="T701" s="14">
        <f>R701-S701</f>
        <v/>
      </c>
      <c r="U701" s="14">
        <f>L701*G701</f>
        <v/>
      </c>
    </row>
    <row r="702">
      <c r="A702" s="12" t="inlineStr">
        <is>
          <t>PO-2021-0700</t>
        </is>
      </c>
      <c r="B702" s="26" t="n">
        <v>44673</v>
      </c>
      <c r="C702" s="12" t="inlineStr">
        <is>
          <t>VS06</t>
        </is>
      </c>
      <c r="D702" s="12" t="inlineStr">
        <is>
          <t>SS Sheets</t>
        </is>
      </c>
      <c r="E702" s="12" t="inlineStr">
        <is>
          <t>N</t>
        </is>
      </c>
      <c r="F702" s="12" t="n">
        <v>30.32</v>
      </c>
      <c r="G702" s="17" t="n">
        <v>85779.83</v>
      </c>
      <c r="H702" s="26" t="n">
        <v>44680</v>
      </c>
      <c r="I702" s="26" t="n">
        <v>44680</v>
      </c>
      <c r="J702" s="12" t="n">
        <v>30.15</v>
      </c>
      <c r="K702" s="17" t="n">
        <v>2600844.45</v>
      </c>
      <c r="L702" s="12" t="n">
        <v>0</v>
      </c>
      <c r="M702" s="12" t="n">
        <v>24</v>
      </c>
      <c r="N702" s="27">
        <f>F702-J702</f>
        <v/>
      </c>
      <c r="O702" s="16">
        <f>I702-H702</f>
        <v/>
      </c>
      <c r="P702" s="14">
        <f>F702*G702</f>
        <v/>
      </c>
      <c r="Q702" s="14">
        <f>J702*G702</f>
        <v/>
      </c>
      <c r="R702" s="14">
        <f>K702-Q702</f>
        <v/>
      </c>
      <c r="S702" s="3">
        <f>P702*Assumptions!$B$3/100</f>
        <v/>
      </c>
      <c r="T702" s="14">
        <f>R702-S702</f>
        <v/>
      </c>
      <c r="U702" s="14">
        <f>L702*G702</f>
        <v/>
      </c>
    </row>
    <row r="703">
      <c r="A703" s="12" t="inlineStr">
        <is>
          <t>PO-2021-0701</t>
        </is>
      </c>
      <c r="B703" s="26" t="n">
        <v>44584</v>
      </c>
      <c r="C703" s="12" t="inlineStr">
        <is>
          <t>VS01</t>
        </is>
      </c>
      <c r="D703" s="12" t="inlineStr">
        <is>
          <t>MS Pipes</t>
        </is>
      </c>
      <c r="E703" s="12" t="inlineStr">
        <is>
          <t>Y</t>
        </is>
      </c>
      <c r="F703" s="12" t="n">
        <v>29.32</v>
      </c>
      <c r="G703" s="17" t="n">
        <v>53837.15</v>
      </c>
      <c r="H703" s="26" t="n">
        <v>44587</v>
      </c>
      <c r="I703" s="26" t="n">
        <v>44587</v>
      </c>
      <c r="J703" s="12" t="n">
        <v>29.3</v>
      </c>
      <c r="K703" s="17" t="n">
        <v>1578505.24</v>
      </c>
      <c r="L703" s="12" t="n">
        <v>0</v>
      </c>
      <c r="M703" s="12" t="n">
        <v>18</v>
      </c>
      <c r="N703" s="27">
        <f>F703-J703</f>
        <v/>
      </c>
      <c r="O703" s="16">
        <f>I703-H703</f>
        <v/>
      </c>
      <c r="P703" s="14">
        <f>F703*G703</f>
        <v/>
      </c>
      <c r="Q703" s="14">
        <f>J703*G703</f>
        <v/>
      </c>
      <c r="R703" s="14">
        <f>K703-Q703</f>
        <v/>
      </c>
      <c r="S703" s="3">
        <f>P703*Assumptions!$B$3/100</f>
        <v/>
      </c>
      <c r="T703" s="14">
        <f>R703-S703</f>
        <v/>
      </c>
      <c r="U703" s="14">
        <f>L703*G703</f>
        <v/>
      </c>
    </row>
    <row r="704">
      <c r="A704" s="12" t="inlineStr">
        <is>
          <t>PO-2021-0702</t>
        </is>
      </c>
      <c r="B704" s="26" t="n">
        <v>44965</v>
      </c>
      <c r="C704" s="12" t="inlineStr">
        <is>
          <t>VS14</t>
        </is>
      </c>
      <c r="D704" s="12" t="inlineStr">
        <is>
          <t>MS Flats</t>
        </is>
      </c>
      <c r="E704" s="12" t="inlineStr">
        <is>
          <t>N</t>
        </is>
      </c>
      <c r="F704" s="12" t="n">
        <v>21.03</v>
      </c>
      <c r="G704" s="17" t="n">
        <v>52993.74</v>
      </c>
      <c r="H704" s="26" t="n">
        <v>44974</v>
      </c>
      <c r="I704" s="26" t="n">
        <v>44976</v>
      </c>
      <c r="J704" s="12" t="n">
        <v>20.96</v>
      </c>
      <c r="K704" s="17" t="n">
        <v>1114458.35</v>
      </c>
      <c r="L704" s="12" t="n">
        <v>0</v>
      </c>
      <c r="M704" s="12" t="n">
        <v>13</v>
      </c>
      <c r="N704" s="27">
        <f>F704-J704</f>
        <v/>
      </c>
      <c r="O704" s="16">
        <f>I704-H704</f>
        <v/>
      </c>
      <c r="P704" s="14">
        <f>F704*G704</f>
        <v/>
      </c>
      <c r="Q704" s="14">
        <f>J704*G704</f>
        <v/>
      </c>
      <c r="R704" s="14">
        <f>K704-Q704</f>
        <v/>
      </c>
      <c r="S704" s="3">
        <f>P704*Assumptions!$B$3/100</f>
        <v/>
      </c>
      <c r="T704" s="14">
        <f>R704-S704</f>
        <v/>
      </c>
      <c r="U704" s="14">
        <f>L704*G704</f>
        <v/>
      </c>
    </row>
    <row r="705">
      <c r="A705" s="12" t="inlineStr">
        <is>
          <t>PO-2021-0703</t>
        </is>
      </c>
      <c r="B705" s="26" t="n">
        <v>44716</v>
      </c>
      <c r="C705" s="12" t="inlineStr">
        <is>
          <t>VS17</t>
        </is>
      </c>
      <c r="D705" s="12" t="inlineStr">
        <is>
          <t>Spring Steel</t>
        </is>
      </c>
      <c r="E705" s="12" t="inlineStr">
        <is>
          <t>N</t>
        </is>
      </c>
      <c r="F705" s="12" t="n">
        <v>21.75</v>
      </c>
      <c r="G705" s="17" t="n">
        <v>72423.31</v>
      </c>
      <c r="H705" s="26" t="n">
        <v>44723</v>
      </c>
      <c r="I705" s="26" t="n">
        <v>44723</v>
      </c>
      <c r="J705" s="12" t="n">
        <v>21.54</v>
      </c>
      <c r="K705" s="17" t="n">
        <v>1575206.99</v>
      </c>
      <c r="L705" s="12" t="n">
        <v>0</v>
      </c>
      <c r="M705" s="12" t="n">
        <v>0</v>
      </c>
      <c r="N705" s="27">
        <f>F705-J705</f>
        <v/>
      </c>
      <c r="O705" s="16">
        <f>I705-H705</f>
        <v/>
      </c>
      <c r="P705" s="14">
        <f>F705*G705</f>
        <v/>
      </c>
      <c r="Q705" s="14">
        <f>J705*G705</f>
        <v/>
      </c>
      <c r="R705" s="14">
        <f>K705-Q705</f>
        <v/>
      </c>
      <c r="S705" s="3">
        <f>P705*Assumptions!$B$3/100</f>
        <v/>
      </c>
      <c r="T705" s="14">
        <f>R705-S705</f>
        <v/>
      </c>
      <c r="U705" s="14">
        <f>L705*G705</f>
        <v/>
      </c>
    </row>
    <row r="706">
      <c r="A706" s="12" t="inlineStr">
        <is>
          <t>PO-2021-0704</t>
        </is>
      </c>
      <c r="B706" s="26" t="n">
        <v>45010</v>
      </c>
      <c r="C706" s="12" t="inlineStr">
        <is>
          <t>VS14</t>
        </is>
      </c>
      <c r="D706" s="12" t="inlineStr">
        <is>
          <t>GI Wire</t>
        </is>
      </c>
      <c r="E706" s="12" t="inlineStr">
        <is>
          <t>N</t>
        </is>
      </c>
      <c r="F706" s="12" t="n">
        <v>28.05</v>
      </c>
      <c r="G706" s="17" t="n">
        <v>86817.2</v>
      </c>
      <c r="H706" s="26" t="n">
        <v>45015</v>
      </c>
      <c r="I706" s="26" t="n">
        <v>45016</v>
      </c>
      <c r="J706" s="12" t="n">
        <v>27.84</v>
      </c>
      <c r="K706" s="17" t="n">
        <v>2435222.46</v>
      </c>
      <c r="L706" s="12" t="n">
        <v>0</v>
      </c>
      <c r="M706" s="12" t="n">
        <v>0</v>
      </c>
      <c r="N706" s="27">
        <f>F706-J706</f>
        <v/>
      </c>
      <c r="O706" s="16">
        <f>I706-H706</f>
        <v/>
      </c>
      <c r="P706" s="14">
        <f>F706*G706</f>
        <v/>
      </c>
      <c r="Q706" s="14">
        <f>J706*G706</f>
        <v/>
      </c>
      <c r="R706" s="14">
        <f>K706-Q706</f>
        <v/>
      </c>
      <c r="S706" s="3">
        <f>P706*Assumptions!$B$3/100</f>
        <v/>
      </c>
      <c r="T706" s="14">
        <f>R706-S706</f>
        <v/>
      </c>
      <c r="U706" s="14">
        <f>L706*G706</f>
        <v/>
      </c>
    </row>
    <row r="707">
      <c r="A707" s="12" t="inlineStr">
        <is>
          <t>PO-2021-0705</t>
        </is>
      </c>
      <c r="B707" s="26" t="n">
        <v>44955</v>
      </c>
      <c r="C707" s="12" t="inlineStr">
        <is>
          <t>VS31</t>
        </is>
      </c>
      <c r="D707" s="12" t="inlineStr">
        <is>
          <t>CR Sheets</t>
        </is>
      </c>
      <c r="E707" s="12" t="inlineStr">
        <is>
          <t>N</t>
        </is>
      </c>
      <c r="F707" s="12" t="n">
        <v>49.44</v>
      </c>
      <c r="G707" s="17" t="n">
        <v>88323.84</v>
      </c>
      <c r="H707" s="26" t="n">
        <v>44970</v>
      </c>
      <c r="I707" s="26" t="n">
        <v>44970</v>
      </c>
      <c r="J707" s="12" t="n">
        <v>49.17</v>
      </c>
      <c r="K707" s="17" t="n">
        <v>4366730.65</v>
      </c>
      <c r="L707" s="12" t="n">
        <v>0</v>
      </c>
      <c r="M707" s="12" t="n">
        <v>0</v>
      </c>
      <c r="N707" s="27">
        <f>F707-J707</f>
        <v/>
      </c>
      <c r="O707" s="16">
        <f>I707-H707</f>
        <v/>
      </c>
      <c r="P707" s="14">
        <f>F707*G707</f>
        <v/>
      </c>
      <c r="Q707" s="14">
        <f>J707*G707</f>
        <v/>
      </c>
      <c r="R707" s="14">
        <f>K707-Q707</f>
        <v/>
      </c>
      <c r="S707" s="3">
        <f>P707*Assumptions!$B$3/100</f>
        <v/>
      </c>
      <c r="T707" s="14">
        <f>R707-S707</f>
        <v/>
      </c>
      <c r="U707" s="14">
        <f>L707*G707</f>
        <v/>
      </c>
    </row>
    <row r="708">
      <c r="A708" s="12" t="inlineStr">
        <is>
          <t>PO-2021-0706</t>
        </is>
      </c>
      <c r="B708" s="26" t="n">
        <v>45012</v>
      </c>
      <c r="C708" s="12" t="inlineStr">
        <is>
          <t>VS09</t>
        </is>
      </c>
      <c r="D708" s="12" t="inlineStr">
        <is>
          <t>ERW Pipes</t>
        </is>
      </c>
      <c r="E708" s="12" t="inlineStr">
        <is>
          <t>N</t>
        </is>
      </c>
      <c r="F708" s="12" t="n">
        <v>37.64</v>
      </c>
      <c r="G708" s="17" t="n">
        <v>78494.62</v>
      </c>
      <c r="H708" s="26" t="n">
        <v>45026</v>
      </c>
      <c r="I708" s="26" t="n">
        <v>45029</v>
      </c>
      <c r="J708" s="12" t="n">
        <v>37.6</v>
      </c>
      <c r="K708" s="17" t="n">
        <v>2954537.5</v>
      </c>
      <c r="L708" s="12" t="n">
        <v>0</v>
      </c>
      <c r="M708" s="12" t="n">
        <v>17</v>
      </c>
      <c r="N708" s="27">
        <f>F708-J708</f>
        <v/>
      </c>
      <c r="O708" s="16">
        <f>I708-H708</f>
        <v/>
      </c>
      <c r="P708" s="14">
        <f>F708*G708</f>
        <v/>
      </c>
      <c r="Q708" s="14">
        <f>J708*G708</f>
        <v/>
      </c>
      <c r="R708" s="14">
        <f>K708-Q708</f>
        <v/>
      </c>
      <c r="S708" s="3">
        <f>P708*Assumptions!$B$3/100</f>
        <v/>
      </c>
      <c r="T708" s="14">
        <f>R708-S708</f>
        <v/>
      </c>
      <c r="U708" s="14">
        <f>L708*G708</f>
        <v/>
      </c>
    </row>
    <row r="709">
      <c r="A709" s="12" t="inlineStr">
        <is>
          <t>PO-2021-0707</t>
        </is>
      </c>
      <c r="B709" s="26" t="n">
        <v>44528</v>
      </c>
      <c r="C709" s="12" t="inlineStr">
        <is>
          <t>VS07</t>
        </is>
      </c>
      <c r="D709" s="12" t="inlineStr">
        <is>
          <t>GI Sheets</t>
        </is>
      </c>
      <c r="E709" s="12" t="inlineStr">
        <is>
          <t>N</t>
        </is>
      </c>
      <c r="F709" s="12" t="n">
        <v>25.91</v>
      </c>
      <c r="G709" s="17" t="n">
        <v>103956.08</v>
      </c>
      <c r="H709" s="26" t="n">
        <v>44543</v>
      </c>
      <c r="I709" s="26" t="n">
        <v>44546</v>
      </c>
      <c r="J709" s="12" t="n">
        <v>25.7</v>
      </c>
      <c r="K709" s="17" t="n">
        <v>2693502.03</v>
      </c>
      <c r="L709" s="12" t="n">
        <v>0</v>
      </c>
      <c r="M709" s="12" t="n">
        <v>19</v>
      </c>
      <c r="N709" s="27">
        <f>F709-J709</f>
        <v/>
      </c>
      <c r="O709" s="16">
        <f>I709-H709</f>
        <v/>
      </c>
      <c r="P709" s="14">
        <f>F709*G709</f>
        <v/>
      </c>
      <c r="Q709" s="14">
        <f>J709*G709</f>
        <v/>
      </c>
      <c r="R709" s="14">
        <f>K709-Q709</f>
        <v/>
      </c>
      <c r="S709" s="3">
        <f>P709*Assumptions!$B$3/100</f>
        <v/>
      </c>
      <c r="T709" s="14">
        <f>R709-S709</f>
        <v/>
      </c>
      <c r="U709" s="14">
        <f>L709*G709</f>
        <v/>
      </c>
    </row>
    <row r="710">
      <c r="A710" s="12" t="inlineStr">
        <is>
          <t>PO-2021-0708</t>
        </is>
      </c>
      <c r="B710" s="26" t="n">
        <v>44303</v>
      </c>
      <c r="C710" s="12" t="inlineStr">
        <is>
          <t>VS11</t>
        </is>
      </c>
      <c r="D710" s="12" t="inlineStr">
        <is>
          <t>MS Rods</t>
        </is>
      </c>
      <c r="E710" s="12" t="inlineStr">
        <is>
          <t>N</t>
        </is>
      </c>
      <c r="F710" s="12" t="n">
        <v>48.26</v>
      </c>
      <c r="G710" s="17" t="n">
        <v>45396.8</v>
      </c>
      <c r="H710" s="26" t="n">
        <v>44307</v>
      </c>
      <c r="I710" s="26" t="n">
        <v>44308</v>
      </c>
      <c r="J710" s="12" t="n">
        <v>48.11</v>
      </c>
      <c r="K710" s="17" t="n">
        <v>2190849.57</v>
      </c>
      <c r="L710" s="12" t="n">
        <v>0</v>
      </c>
      <c r="M710" s="12" t="n">
        <v>0</v>
      </c>
      <c r="N710" s="27">
        <f>F710-J710</f>
        <v/>
      </c>
      <c r="O710" s="16">
        <f>I710-H710</f>
        <v/>
      </c>
      <c r="P710" s="14">
        <f>F710*G710</f>
        <v/>
      </c>
      <c r="Q710" s="14">
        <f>J710*G710</f>
        <v/>
      </c>
      <c r="R710" s="14">
        <f>K710-Q710</f>
        <v/>
      </c>
      <c r="S710" s="3">
        <f>P710*Assumptions!$B$3/100</f>
        <v/>
      </c>
      <c r="T710" s="14">
        <f>R710-S710</f>
        <v/>
      </c>
      <c r="U710" s="14">
        <f>L710*G710</f>
        <v/>
      </c>
    </row>
    <row r="711">
      <c r="A711" s="12" t="inlineStr">
        <is>
          <t>PO-2021-0709</t>
        </is>
      </c>
      <c r="B711" s="26" t="n">
        <v>44494</v>
      </c>
      <c r="C711" s="12" t="inlineStr">
        <is>
          <t>VS31</t>
        </is>
      </c>
      <c r="D711" s="12" t="inlineStr">
        <is>
          <t>GI Wire</t>
        </is>
      </c>
      <c r="E711" s="12" t="inlineStr">
        <is>
          <t>N</t>
        </is>
      </c>
      <c r="F711" s="12" t="n">
        <v>5.32</v>
      </c>
      <c r="G711" s="17" t="n">
        <v>64731.9</v>
      </c>
      <c r="H711" s="26" t="n">
        <v>44502</v>
      </c>
      <c r="I711" s="26" t="n">
        <v>44503</v>
      </c>
      <c r="J711" s="12" t="n">
        <v>5.3</v>
      </c>
      <c r="K711" s="17" t="n">
        <v>344373.71</v>
      </c>
      <c r="L711" s="12" t="n">
        <v>0</v>
      </c>
      <c r="M711" s="12" t="n">
        <v>14</v>
      </c>
      <c r="N711" s="27">
        <f>F711-J711</f>
        <v/>
      </c>
      <c r="O711" s="16">
        <f>I711-H711</f>
        <v/>
      </c>
      <c r="P711" s="14">
        <f>F711*G711</f>
        <v/>
      </c>
      <c r="Q711" s="14">
        <f>J711*G711</f>
        <v/>
      </c>
      <c r="R711" s="14">
        <f>K711-Q711</f>
        <v/>
      </c>
      <c r="S711" s="3">
        <f>P711*Assumptions!$B$3/100</f>
        <v/>
      </c>
      <c r="T711" s="14">
        <f>R711-S711</f>
        <v/>
      </c>
      <c r="U711" s="14">
        <f>L711*G711</f>
        <v/>
      </c>
    </row>
    <row r="712">
      <c r="A712" s="12" t="inlineStr">
        <is>
          <t>PO-2021-0710</t>
        </is>
      </c>
      <c r="B712" s="26" t="n">
        <v>44360</v>
      </c>
      <c r="C712" s="12" t="inlineStr">
        <is>
          <t>VS03</t>
        </is>
      </c>
      <c r="D712" s="12" t="inlineStr">
        <is>
          <t>MS Rods</t>
        </is>
      </c>
      <c r="E712" s="12" t="inlineStr">
        <is>
          <t>N</t>
        </is>
      </c>
      <c r="F712" s="12" t="n">
        <v>46.6</v>
      </c>
      <c r="G712" s="17" t="n">
        <v>78050.3</v>
      </c>
      <c r="H712" s="26" t="n">
        <v>44373</v>
      </c>
      <c r="I712" s="26" t="n">
        <v>44380</v>
      </c>
      <c r="J712" s="12" t="n">
        <v>45.1</v>
      </c>
      <c r="K712" s="17" t="n">
        <v>3637143.98</v>
      </c>
      <c r="L712" s="12" t="n">
        <v>1.3</v>
      </c>
      <c r="M712" s="12" t="n">
        <v>0</v>
      </c>
      <c r="N712" s="27">
        <f>F712-J712</f>
        <v/>
      </c>
      <c r="O712" s="16">
        <f>I712-H712</f>
        <v/>
      </c>
      <c r="P712" s="14">
        <f>F712*G712</f>
        <v/>
      </c>
      <c r="Q712" s="14">
        <f>J712*G712</f>
        <v/>
      </c>
      <c r="R712" s="14">
        <f>K712-Q712</f>
        <v/>
      </c>
      <c r="S712" s="3">
        <f>P712*Assumptions!$B$3/100</f>
        <v/>
      </c>
      <c r="T712" s="14">
        <f>R712-S712</f>
        <v/>
      </c>
      <c r="U712" s="14">
        <f>L712*G712</f>
        <v/>
      </c>
    </row>
    <row r="713">
      <c r="A713" s="12" t="inlineStr">
        <is>
          <t>PO-2021-0711</t>
        </is>
      </c>
      <c r="B713" s="26" t="n">
        <v>45264</v>
      </c>
      <c r="C713" s="12" t="inlineStr">
        <is>
          <t>VS19</t>
        </is>
      </c>
      <c r="D713" s="12" t="inlineStr">
        <is>
          <t>GI Pipes</t>
        </is>
      </c>
      <c r="E713" s="12" t="inlineStr">
        <is>
          <t>N</t>
        </is>
      </c>
      <c r="F713" s="12" t="n">
        <v>47.34</v>
      </c>
      <c r="G713" s="17" t="n">
        <v>110777.84</v>
      </c>
      <c r="H713" s="26" t="n">
        <v>45277</v>
      </c>
      <c r="I713" s="26" t="n">
        <v>45279</v>
      </c>
      <c r="J713" s="12" t="n">
        <v>44.98</v>
      </c>
      <c r="K713" s="17" t="n">
        <v>5244222.95</v>
      </c>
      <c r="L713" s="12" t="n">
        <v>0.76</v>
      </c>
      <c r="M713" s="12" t="n">
        <v>0</v>
      </c>
      <c r="N713" s="27">
        <f>F713-J713</f>
        <v/>
      </c>
      <c r="O713" s="16">
        <f>I713-H713</f>
        <v/>
      </c>
      <c r="P713" s="14">
        <f>F713*G713</f>
        <v/>
      </c>
      <c r="Q713" s="14">
        <f>J713*G713</f>
        <v/>
      </c>
      <c r="R713" s="14">
        <f>K713-Q713</f>
        <v/>
      </c>
      <c r="S713" s="3">
        <f>P713*Assumptions!$B$3/100</f>
        <v/>
      </c>
      <c r="T713" s="14">
        <f>R713-S713</f>
        <v/>
      </c>
      <c r="U713" s="14">
        <f>L713*G713</f>
        <v/>
      </c>
    </row>
    <row r="714">
      <c r="A714" s="12" t="inlineStr">
        <is>
          <t>PO-2021-0712</t>
        </is>
      </c>
      <c r="B714" s="26" t="n">
        <v>45209</v>
      </c>
      <c r="C714" s="12" t="inlineStr">
        <is>
          <t>VS29</t>
        </is>
      </c>
      <c r="D714" s="12" t="inlineStr">
        <is>
          <t>MS Pipes</t>
        </is>
      </c>
      <c r="E714" s="12" t="inlineStr">
        <is>
          <t>N</t>
        </is>
      </c>
      <c r="F714" s="12" t="n">
        <v>10.88</v>
      </c>
      <c r="G714" s="17" t="n">
        <v>94266.32000000001</v>
      </c>
      <c r="H714" s="26" t="n">
        <v>45224</v>
      </c>
      <c r="I714" s="26" t="n">
        <v>45227</v>
      </c>
      <c r="J714" s="12" t="n">
        <v>10.78</v>
      </c>
      <c r="K714" s="17" t="n">
        <v>1025617.56</v>
      </c>
      <c r="L714" s="12" t="n">
        <v>0</v>
      </c>
      <c r="M714" s="12" t="n">
        <v>14</v>
      </c>
      <c r="N714" s="27">
        <f>F714-J714</f>
        <v/>
      </c>
      <c r="O714" s="16">
        <f>I714-H714</f>
        <v/>
      </c>
      <c r="P714" s="14">
        <f>F714*G714</f>
        <v/>
      </c>
      <c r="Q714" s="14">
        <f>J714*G714</f>
        <v/>
      </c>
      <c r="R714" s="14">
        <f>K714-Q714</f>
        <v/>
      </c>
      <c r="S714" s="3">
        <f>P714*Assumptions!$B$3/100</f>
        <v/>
      </c>
      <c r="T714" s="14">
        <f>R714-S714</f>
        <v/>
      </c>
      <c r="U714" s="14">
        <f>L714*G714</f>
        <v/>
      </c>
    </row>
    <row r="715">
      <c r="A715" s="12" t="inlineStr">
        <is>
          <t>PO-2021-0713</t>
        </is>
      </c>
      <c r="B715" s="26" t="n">
        <v>45258</v>
      </c>
      <c r="C715" s="12" t="inlineStr">
        <is>
          <t>VS19</t>
        </is>
      </c>
      <c r="D715" s="12" t="inlineStr">
        <is>
          <t>GI Sheets</t>
        </is>
      </c>
      <c r="E715" s="12" t="inlineStr">
        <is>
          <t>N</t>
        </is>
      </c>
      <c r="F715" s="12" t="n">
        <v>2.65</v>
      </c>
      <c r="G715" s="17" t="n">
        <v>93562.16</v>
      </c>
      <c r="H715" s="26" t="n">
        <v>45269</v>
      </c>
      <c r="I715" s="26" t="n">
        <v>45271</v>
      </c>
      <c r="J715" s="12" t="n">
        <v>2.59</v>
      </c>
      <c r="K715" s="17" t="n">
        <v>247939.72</v>
      </c>
      <c r="L715" s="12" t="n">
        <v>0.12</v>
      </c>
      <c r="M715" s="12" t="n">
        <v>17</v>
      </c>
      <c r="N715" s="27">
        <f>F715-J715</f>
        <v/>
      </c>
      <c r="O715" s="16">
        <f>I715-H715</f>
        <v/>
      </c>
      <c r="P715" s="14">
        <f>F715*G715</f>
        <v/>
      </c>
      <c r="Q715" s="14">
        <f>J715*G715</f>
        <v/>
      </c>
      <c r="R715" s="14">
        <f>K715-Q715</f>
        <v/>
      </c>
      <c r="S715" s="3">
        <f>P715*Assumptions!$B$3/100</f>
        <v/>
      </c>
      <c r="T715" s="14">
        <f>R715-S715</f>
        <v/>
      </c>
      <c r="U715" s="14">
        <f>L715*G715</f>
        <v/>
      </c>
    </row>
    <row r="716">
      <c r="A716" s="12" t="inlineStr">
        <is>
          <t>PO-2021-0714</t>
        </is>
      </c>
      <c r="B716" s="26" t="n">
        <v>44671</v>
      </c>
      <c r="C716" s="12" t="inlineStr">
        <is>
          <t>VS11</t>
        </is>
      </c>
      <c r="D716" s="12" t="inlineStr">
        <is>
          <t>GI Pipes</t>
        </is>
      </c>
      <c r="E716" s="12" t="inlineStr">
        <is>
          <t>N</t>
        </is>
      </c>
      <c r="F716" s="12" t="n">
        <v>18.63</v>
      </c>
      <c r="G716" s="17" t="n">
        <v>94126.42999999999</v>
      </c>
      <c r="H716" s="26" t="n">
        <v>44676</v>
      </c>
      <c r="I716" s="26" t="n">
        <v>44677</v>
      </c>
      <c r="J716" s="12" t="n">
        <v>18.54</v>
      </c>
      <c r="K716" s="17" t="n">
        <v>1753575.39</v>
      </c>
      <c r="L716" s="12" t="n">
        <v>0</v>
      </c>
      <c r="M716" s="12" t="n">
        <v>0</v>
      </c>
      <c r="N716" s="27">
        <f>F716-J716</f>
        <v/>
      </c>
      <c r="O716" s="16">
        <f>I716-H716</f>
        <v/>
      </c>
      <c r="P716" s="14">
        <f>F716*G716</f>
        <v/>
      </c>
      <c r="Q716" s="14">
        <f>J716*G716</f>
        <v/>
      </c>
      <c r="R716" s="14">
        <f>K716-Q716</f>
        <v/>
      </c>
      <c r="S716" s="3">
        <f>P716*Assumptions!$B$3/100</f>
        <v/>
      </c>
      <c r="T716" s="14">
        <f>R716-S716</f>
        <v/>
      </c>
      <c r="U716" s="14">
        <f>L716*G716</f>
        <v/>
      </c>
    </row>
    <row r="717">
      <c r="A717" s="12" t="inlineStr">
        <is>
          <t>PO-2021-0715</t>
        </is>
      </c>
      <c r="B717" s="26" t="n">
        <v>44374</v>
      </c>
      <c r="C717" s="12" t="inlineStr">
        <is>
          <t>VS18</t>
        </is>
      </c>
      <c r="D717" s="12" t="inlineStr">
        <is>
          <t>MS Rods</t>
        </is>
      </c>
      <c r="E717" s="12" t="inlineStr">
        <is>
          <t>Y</t>
        </is>
      </c>
      <c r="F717" s="12" t="n">
        <v>18.3</v>
      </c>
      <c r="G717" s="17" t="n">
        <v>74635.73</v>
      </c>
      <c r="H717" s="26" t="n">
        <v>44386</v>
      </c>
      <c r="I717" s="26" t="n">
        <v>44389</v>
      </c>
      <c r="J717" s="12" t="n">
        <v>18.2</v>
      </c>
      <c r="K717" s="17" t="n">
        <v>1365833.86</v>
      </c>
      <c r="L717" s="12" t="n">
        <v>0</v>
      </c>
      <c r="M717" s="12" t="n">
        <v>0</v>
      </c>
      <c r="N717" s="27">
        <f>F717-J717</f>
        <v/>
      </c>
      <c r="O717" s="16">
        <f>I717-H717</f>
        <v/>
      </c>
      <c r="P717" s="14">
        <f>F717*G717</f>
        <v/>
      </c>
      <c r="Q717" s="14">
        <f>J717*G717</f>
        <v/>
      </c>
      <c r="R717" s="14">
        <f>K717-Q717</f>
        <v/>
      </c>
      <c r="S717" s="3">
        <f>P717*Assumptions!$B$3/100</f>
        <v/>
      </c>
      <c r="T717" s="14">
        <f>R717-S717</f>
        <v/>
      </c>
      <c r="U717" s="14">
        <f>L717*G717</f>
        <v/>
      </c>
    </row>
    <row r="718">
      <c r="A718" s="12" t="inlineStr">
        <is>
          <t>PO-2021-0716</t>
        </is>
      </c>
      <c r="B718" s="26" t="n">
        <v>44607</v>
      </c>
      <c r="C718" s="12" t="inlineStr">
        <is>
          <t>VS34</t>
        </is>
      </c>
      <c r="D718" s="12" t="inlineStr">
        <is>
          <t>MS Pipes</t>
        </is>
      </c>
      <c r="E718" s="12" t="inlineStr">
        <is>
          <t>N</t>
        </is>
      </c>
      <c r="F718" s="12" t="n">
        <v>37.11</v>
      </c>
      <c r="G718" s="17" t="n">
        <v>50146.29</v>
      </c>
      <c r="H718" s="26" t="n">
        <v>44611</v>
      </c>
      <c r="I718" s="26" t="n">
        <v>44612</v>
      </c>
      <c r="J718" s="12" t="n">
        <v>36.91</v>
      </c>
      <c r="K718" s="17" t="n">
        <v>1860928.82</v>
      </c>
      <c r="L718" s="12" t="n">
        <v>0</v>
      </c>
      <c r="M718" s="12" t="n">
        <v>22</v>
      </c>
      <c r="N718" s="27">
        <f>F718-J718</f>
        <v/>
      </c>
      <c r="O718" s="16">
        <f>I718-H718</f>
        <v/>
      </c>
      <c r="P718" s="14">
        <f>F718*G718</f>
        <v/>
      </c>
      <c r="Q718" s="14">
        <f>J718*G718</f>
        <v/>
      </c>
      <c r="R718" s="14">
        <f>K718-Q718</f>
        <v/>
      </c>
      <c r="S718" s="3">
        <f>P718*Assumptions!$B$3/100</f>
        <v/>
      </c>
      <c r="T718" s="14">
        <f>R718-S718</f>
        <v/>
      </c>
      <c r="U718" s="14">
        <f>L718*G718</f>
        <v/>
      </c>
    </row>
    <row r="719">
      <c r="A719" s="12" t="inlineStr">
        <is>
          <t>PO-2021-0717</t>
        </is>
      </c>
      <c r="B719" s="26" t="n">
        <v>44779</v>
      </c>
      <c r="C719" s="12" t="inlineStr">
        <is>
          <t>VS23</t>
        </is>
      </c>
      <c r="D719" s="12" t="inlineStr">
        <is>
          <t>Angles &amp; Channels</t>
        </is>
      </c>
      <c r="E719" s="12" t="inlineStr">
        <is>
          <t>N</t>
        </is>
      </c>
      <c r="F719" s="12" t="n">
        <v>48.2</v>
      </c>
      <c r="G719" s="17" t="n">
        <v>65738.09</v>
      </c>
      <c r="H719" s="26" t="n">
        <v>44791</v>
      </c>
      <c r="I719" s="26" t="n">
        <v>44793</v>
      </c>
      <c r="J719" s="12" t="n">
        <v>47.86</v>
      </c>
      <c r="K719" s="17" t="n">
        <v>3168575.94</v>
      </c>
      <c r="L719" s="12" t="n">
        <v>0</v>
      </c>
      <c r="M719" s="12" t="n">
        <v>0</v>
      </c>
      <c r="N719" s="27">
        <f>F719-J719</f>
        <v/>
      </c>
      <c r="O719" s="16">
        <f>I719-H719</f>
        <v/>
      </c>
      <c r="P719" s="14">
        <f>F719*G719</f>
        <v/>
      </c>
      <c r="Q719" s="14">
        <f>J719*G719</f>
        <v/>
      </c>
      <c r="R719" s="14">
        <f>K719-Q719</f>
        <v/>
      </c>
      <c r="S719" s="3">
        <f>P719*Assumptions!$B$3/100</f>
        <v/>
      </c>
      <c r="T719" s="14">
        <f>R719-S719</f>
        <v/>
      </c>
      <c r="U719" s="14">
        <f>L719*G719</f>
        <v/>
      </c>
    </row>
    <row r="720">
      <c r="A720" s="12" t="inlineStr">
        <is>
          <t>PO-2021-0718</t>
        </is>
      </c>
      <c r="B720" s="26" t="n">
        <v>44595</v>
      </c>
      <c r="C720" s="12" t="inlineStr">
        <is>
          <t>VS30</t>
        </is>
      </c>
      <c r="D720" s="12" t="inlineStr">
        <is>
          <t>MS Rods</t>
        </is>
      </c>
      <c r="E720" s="12" t="inlineStr">
        <is>
          <t>N</t>
        </is>
      </c>
      <c r="F720" s="12" t="n">
        <v>29.17</v>
      </c>
      <c r="G720" s="17" t="n">
        <v>64583.06</v>
      </c>
      <c r="H720" s="26" t="n">
        <v>44604</v>
      </c>
      <c r="I720" s="26" t="n">
        <v>44606</v>
      </c>
      <c r="J720" s="12" t="n">
        <v>29.02</v>
      </c>
      <c r="K720" s="17" t="n">
        <v>1883887.86</v>
      </c>
      <c r="L720" s="12" t="n">
        <v>0</v>
      </c>
      <c r="M720" s="12" t="n">
        <v>9</v>
      </c>
      <c r="N720" s="27">
        <f>F720-J720</f>
        <v/>
      </c>
      <c r="O720" s="16">
        <f>I720-H720</f>
        <v/>
      </c>
      <c r="P720" s="14">
        <f>F720*G720</f>
        <v/>
      </c>
      <c r="Q720" s="14">
        <f>J720*G720</f>
        <v/>
      </c>
      <c r="R720" s="14">
        <f>K720-Q720</f>
        <v/>
      </c>
      <c r="S720" s="3">
        <f>P720*Assumptions!$B$3/100</f>
        <v/>
      </c>
      <c r="T720" s="14">
        <f>R720-S720</f>
        <v/>
      </c>
      <c r="U720" s="14">
        <f>L720*G720</f>
        <v/>
      </c>
    </row>
    <row r="721">
      <c r="A721" s="12" t="inlineStr">
        <is>
          <t>PO-2021-0719</t>
        </is>
      </c>
      <c r="B721" s="26" t="n">
        <v>45233</v>
      </c>
      <c r="C721" s="12" t="inlineStr">
        <is>
          <t>VS07</t>
        </is>
      </c>
      <c r="D721" s="12" t="inlineStr">
        <is>
          <t>Spring Steel</t>
        </is>
      </c>
      <c r="E721" s="12" t="inlineStr">
        <is>
          <t>N</t>
        </is>
      </c>
      <c r="F721" s="12" t="n">
        <v>4.55</v>
      </c>
      <c r="G721" s="17" t="n">
        <v>67068.89</v>
      </c>
      <c r="H721" s="26" t="n">
        <v>45237</v>
      </c>
      <c r="I721" s="26" t="n">
        <v>45240</v>
      </c>
      <c r="J721" s="12" t="n">
        <v>4.54</v>
      </c>
      <c r="K721" s="17" t="n">
        <v>305163.45</v>
      </c>
      <c r="L721" s="12" t="n">
        <v>0</v>
      </c>
      <c r="M721" s="12" t="n">
        <v>4</v>
      </c>
      <c r="N721" s="27">
        <f>F721-J721</f>
        <v/>
      </c>
      <c r="O721" s="16">
        <f>I721-H721</f>
        <v/>
      </c>
      <c r="P721" s="14">
        <f>F721*G721</f>
        <v/>
      </c>
      <c r="Q721" s="14">
        <f>J721*G721</f>
        <v/>
      </c>
      <c r="R721" s="14">
        <f>K721-Q721</f>
        <v/>
      </c>
      <c r="S721" s="3">
        <f>P721*Assumptions!$B$3/100</f>
        <v/>
      </c>
      <c r="T721" s="14">
        <f>R721-S721</f>
        <v/>
      </c>
      <c r="U721" s="14">
        <f>L721*G721</f>
        <v/>
      </c>
    </row>
    <row r="722">
      <c r="A722" s="12" t="inlineStr">
        <is>
          <t>PO-2021-0720</t>
        </is>
      </c>
      <c r="B722" s="26" t="n">
        <v>45248</v>
      </c>
      <c r="C722" s="12" t="inlineStr">
        <is>
          <t>VS17</t>
        </is>
      </c>
      <c r="D722" s="12" t="inlineStr">
        <is>
          <t>Spring Steel</t>
        </is>
      </c>
      <c r="E722" s="12" t="inlineStr">
        <is>
          <t>N</t>
        </is>
      </c>
      <c r="F722" s="12" t="n">
        <v>40.84</v>
      </c>
      <c r="G722" s="17" t="n">
        <v>88117.03999999999</v>
      </c>
      <c r="H722" s="26" t="n">
        <v>45262</v>
      </c>
      <c r="I722" s="26" t="n">
        <v>45263</v>
      </c>
      <c r="J722" s="12" t="n">
        <v>40.46</v>
      </c>
      <c r="K722" s="17" t="n">
        <v>3598699.91</v>
      </c>
      <c r="L722" s="12" t="n">
        <v>0</v>
      </c>
      <c r="M722" s="12" t="n">
        <v>5</v>
      </c>
      <c r="N722" s="27">
        <f>F722-J722</f>
        <v/>
      </c>
      <c r="O722" s="16">
        <f>I722-H722</f>
        <v/>
      </c>
      <c r="P722" s="14">
        <f>F722*G722</f>
        <v/>
      </c>
      <c r="Q722" s="14">
        <f>J722*G722</f>
        <v/>
      </c>
      <c r="R722" s="14">
        <f>K722-Q722</f>
        <v/>
      </c>
      <c r="S722" s="3">
        <f>P722*Assumptions!$B$3/100</f>
        <v/>
      </c>
      <c r="T722" s="14">
        <f>R722-S722</f>
        <v/>
      </c>
      <c r="U722" s="14">
        <f>L722*G722</f>
        <v/>
      </c>
    </row>
    <row r="723">
      <c r="A723" s="12" t="inlineStr">
        <is>
          <t>PO-2021-0721</t>
        </is>
      </c>
      <c r="B723" s="26" t="n">
        <v>45103</v>
      </c>
      <c r="C723" s="12" t="inlineStr">
        <is>
          <t>VS25</t>
        </is>
      </c>
      <c r="D723" s="12" t="inlineStr">
        <is>
          <t>Structural Steel</t>
        </is>
      </c>
      <c r="E723" s="12" t="inlineStr">
        <is>
          <t>N</t>
        </is>
      </c>
      <c r="F723" s="12" t="n">
        <v>38.73</v>
      </c>
      <c r="G723" s="17" t="n">
        <v>101810.5</v>
      </c>
      <c r="H723" s="26" t="n">
        <v>45118</v>
      </c>
      <c r="I723" s="26" t="n">
        <v>45119</v>
      </c>
      <c r="J723" s="12" t="n">
        <v>38.4</v>
      </c>
      <c r="K723" s="17" t="n">
        <v>3943120.66</v>
      </c>
      <c r="L723" s="12" t="n">
        <v>0</v>
      </c>
      <c r="M723" s="12" t="n">
        <v>22</v>
      </c>
      <c r="N723" s="27">
        <f>F723-J723</f>
        <v/>
      </c>
      <c r="O723" s="16">
        <f>I723-H723</f>
        <v/>
      </c>
      <c r="P723" s="14">
        <f>F723*G723</f>
        <v/>
      </c>
      <c r="Q723" s="14">
        <f>J723*G723</f>
        <v/>
      </c>
      <c r="R723" s="14">
        <f>K723-Q723</f>
        <v/>
      </c>
      <c r="S723" s="3">
        <f>P723*Assumptions!$B$3/100</f>
        <v/>
      </c>
      <c r="T723" s="14">
        <f>R723-S723</f>
        <v/>
      </c>
      <c r="U723" s="14">
        <f>L723*G723</f>
        <v/>
      </c>
    </row>
    <row r="724">
      <c r="A724" s="12" t="inlineStr">
        <is>
          <t>PO-2021-0722</t>
        </is>
      </c>
      <c r="B724" s="26" t="n">
        <v>45136</v>
      </c>
      <c r="C724" s="12" t="inlineStr">
        <is>
          <t>VS30</t>
        </is>
      </c>
      <c r="D724" s="12" t="inlineStr">
        <is>
          <t>MS Pipes</t>
        </is>
      </c>
      <c r="E724" s="12" t="inlineStr">
        <is>
          <t>N</t>
        </is>
      </c>
      <c r="F724" s="12" t="n">
        <v>24.62</v>
      </c>
      <c r="G724" s="17" t="n">
        <v>64336.48</v>
      </c>
      <c r="H724" s="26" t="n">
        <v>45145</v>
      </c>
      <c r="I724" s="26" t="n">
        <v>45145</v>
      </c>
      <c r="J724" s="12" t="n">
        <v>24.61</v>
      </c>
      <c r="K724" s="17" t="n">
        <v>1583964.14</v>
      </c>
      <c r="L724" s="12" t="n">
        <v>0</v>
      </c>
      <c r="M724" s="12" t="n">
        <v>14</v>
      </c>
      <c r="N724" s="27">
        <f>F724-J724</f>
        <v/>
      </c>
      <c r="O724" s="16">
        <f>I724-H724</f>
        <v/>
      </c>
      <c r="P724" s="14">
        <f>F724*G724</f>
        <v/>
      </c>
      <c r="Q724" s="14">
        <f>J724*G724</f>
        <v/>
      </c>
      <c r="R724" s="14">
        <f>K724-Q724</f>
        <v/>
      </c>
      <c r="S724" s="3">
        <f>P724*Assumptions!$B$3/100</f>
        <v/>
      </c>
      <c r="T724" s="14">
        <f>R724-S724</f>
        <v/>
      </c>
      <c r="U724" s="14">
        <f>L724*G724</f>
        <v/>
      </c>
    </row>
    <row r="725">
      <c r="A725" s="12" t="inlineStr">
        <is>
          <t>PO-2021-0723</t>
        </is>
      </c>
      <c r="B725" s="26" t="n">
        <v>44648</v>
      </c>
      <c r="C725" s="12" t="inlineStr">
        <is>
          <t>VS15</t>
        </is>
      </c>
      <c r="D725" s="12" t="inlineStr">
        <is>
          <t>MS Flats</t>
        </is>
      </c>
      <c r="E725" s="12" t="inlineStr">
        <is>
          <t>N</t>
        </is>
      </c>
      <c r="F725" s="12" t="n">
        <v>21.21</v>
      </c>
      <c r="G725" s="17" t="n">
        <v>71482.22</v>
      </c>
      <c r="H725" s="26" t="n">
        <v>44659</v>
      </c>
      <c r="I725" s="26" t="n">
        <v>44662</v>
      </c>
      <c r="J725" s="12" t="n">
        <v>21.2</v>
      </c>
      <c r="K725" s="17" t="n">
        <v>1516137.89</v>
      </c>
      <c r="L725" s="12" t="n">
        <v>0</v>
      </c>
      <c r="M725" s="12" t="n">
        <v>0</v>
      </c>
      <c r="N725" s="27">
        <f>F725-J725</f>
        <v/>
      </c>
      <c r="O725" s="16">
        <f>I725-H725</f>
        <v/>
      </c>
      <c r="P725" s="14">
        <f>F725*G725</f>
        <v/>
      </c>
      <c r="Q725" s="14">
        <f>J725*G725</f>
        <v/>
      </c>
      <c r="R725" s="14">
        <f>K725-Q725</f>
        <v/>
      </c>
      <c r="S725" s="3">
        <f>P725*Assumptions!$B$3/100</f>
        <v/>
      </c>
      <c r="T725" s="14">
        <f>R725-S725</f>
        <v/>
      </c>
      <c r="U725" s="14">
        <f>L725*G725</f>
        <v/>
      </c>
    </row>
    <row r="726">
      <c r="A726" s="12" t="inlineStr">
        <is>
          <t>PO-2021-0724</t>
        </is>
      </c>
      <c r="B726" s="26" t="n">
        <v>44216</v>
      </c>
      <c r="C726" s="12" t="inlineStr">
        <is>
          <t>VS17</t>
        </is>
      </c>
      <c r="D726" s="12" t="inlineStr">
        <is>
          <t>HR Coils</t>
        </is>
      </c>
      <c r="E726" s="12" t="inlineStr">
        <is>
          <t>N</t>
        </is>
      </c>
      <c r="F726" s="12" t="n">
        <v>15.08</v>
      </c>
      <c r="G726" s="17" t="n">
        <v>74919.8</v>
      </c>
      <c r="H726" s="26" t="n">
        <v>44230</v>
      </c>
      <c r="I726" s="26" t="n">
        <v>44230</v>
      </c>
      <c r="J726" s="12" t="n">
        <v>15.07</v>
      </c>
      <c r="K726" s="17" t="n">
        <v>1129790.58</v>
      </c>
      <c r="L726" s="12" t="n">
        <v>0</v>
      </c>
      <c r="M726" s="12" t="n">
        <v>15</v>
      </c>
      <c r="N726" s="27">
        <f>F726-J726</f>
        <v/>
      </c>
      <c r="O726" s="16">
        <f>I726-H726</f>
        <v/>
      </c>
      <c r="P726" s="14">
        <f>F726*G726</f>
        <v/>
      </c>
      <c r="Q726" s="14">
        <f>J726*G726</f>
        <v/>
      </c>
      <c r="R726" s="14">
        <f>K726-Q726</f>
        <v/>
      </c>
      <c r="S726" s="3">
        <f>P726*Assumptions!$B$3/100</f>
        <v/>
      </c>
      <c r="T726" s="14">
        <f>R726-S726</f>
        <v/>
      </c>
      <c r="U726" s="14">
        <f>L726*G726</f>
        <v/>
      </c>
    </row>
    <row r="727">
      <c r="A727" s="12" t="inlineStr">
        <is>
          <t>PO-2021-0725</t>
        </is>
      </c>
      <c r="B727" s="26" t="n">
        <v>44897</v>
      </c>
      <c r="C727" s="12" t="inlineStr">
        <is>
          <t>VS05</t>
        </is>
      </c>
      <c r="D727" s="12" t="inlineStr">
        <is>
          <t>Spring Steel</t>
        </is>
      </c>
      <c r="E727" s="12" t="inlineStr">
        <is>
          <t>N</t>
        </is>
      </c>
      <c r="F727" s="12" t="n">
        <v>46.64</v>
      </c>
      <c r="G727" s="17" t="n">
        <v>80741.66</v>
      </c>
      <c r="H727" s="26" t="n">
        <v>44905</v>
      </c>
      <c r="I727" s="26" t="n">
        <v>44908</v>
      </c>
      <c r="J727" s="12" t="n">
        <v>46.5</v>
      </c>
      <c r="K727" s="17" t="n">
        <v>3765791.02</v>
      </c>
      <c r="L727" s="12" t="n">
        <v>0</v>
      </c>
      <c r="M727" s="12" t="n">
        <v>0</v>
      </c>
      <c r="N727" s="27">
        <f>F727-J727</f>
        <v/>
      </c>
      <c r="O727" s="16">
        <f>I727-H727</f>
        <v/>
      </c>
      <c r="P727" s="14">
        <f>F727*G727</f>
        <v/>
      </c>
      <c r="Q727" s="14">
        <f>J727*G727</f>
        <v/>
      </c>
      <c r="R727" s="14">
        <f>K727-Q727</f>
        <v/>
      </c>
      <c r="S727" s="3">
        <f>P727*Assumptions!$B$3/100</f>
        <v/>
      </c>
      <c r="T727" s="14">
        <f>R727-S727</f>
        <v/>
      </c>
      <c r="U727" s="14">
        <f>L727*G727</f>
        <v/>
      </c>
    </row>
    <row r="728">
      <c r="A728" s="12" t="inlineStr">
        <is>
          <t>PO-2021-0726</t>
        </is>
      </c>
      <c r="B728" s="26" t="n">
        <v>44644</v>
      </c>
      <c r="C728" s="12" t="inlineStr">
        <is>
          <t>VS18</t>
        </is>
      </c>
      <c r="D728" s="12" t="inlineStr">
        <is>
          <t>MS Sheets</t>
        </is>
      </c>
      <c r="E728" s="12" t="inlineStr">
        <is>
          <t>N</t>
        </is>
      </c>
      <c r="F728" s="12" t="n">
        <v>47.41</v>
      </c>
      <c r="G728" s="17" t="n">
        <v>96233.05</v>
      </c>
      <c r="H728" s="26" t="n">
        <v>44650</v>
      </c>
      <c r="I728" s="26" t="n">
        <v>44652</v>
      </c>
      <c r="J728" s="12" t="n">
        <v>47</v>
      </c>
      <c r="K728" s="17" t="n">
        <v>4562408.9</v>
      </c>
      <c r="L728" s="12" t="n">
        <v>0</v>
      </c>
      <c r="M728" s="12" t="n">
        <v>21</v>
      </c>
      <c r="N728" s="27">
        <f>F728-J728</f>
        <v/>
      </c>
      <c r="O728" s="16">
        <f>I728-H728</f>
        <v/>
      </c>
      <c r="P728" s="14">
        <f>F728*G728</f>
        <v/>
      </c>
      <c r="Q728" s="14">
        <f>J728*G728</f>
        <v/>
      </c>
      <c r="R728" s="14">
        <f>K728-Q728</f>
        <v/>
      </c>
      <c r="S728" s="3">
        <f>P728*Assumptions!$B$3/100</f>
        <v/>
      </c>
      <c r="T728" s="14">
        <f>R728-S728</f>
        <v/>
      </c>
      <c r="U728" s="14">
        <f>L728*G728</f>
        <v/>
      </c>
    </row>
    <row r="729">
      <c r="A729" s="12" t="inlineStr">
        <is>
          <t>PO-2021-0727</t>
        </is>
      </c>
      <c r="B729" s="26" t="n">
        <v>45218</v>
      </c>
      <c r="C729" s="12" t="inlineStr">
        <is>
          <t>VS13</t>
        </is>
      </c>
      <c r="D729" s="12" t="inlineStr">
        <is>
          <t>HR Coils</t>
        </is>
      </c>
      <c r="E729" s="12" t="inlineStr">
        <is>
          <t>N</t>
        </is>
      </c>
      <c r="F729" s="12" t="n">
        <v>37.04</v>
      </c>
      <c r="G729" s="17" t="n">
        <v>110455.69</v>
      </c>
      <c r="H729" s="26" t="n">
        <v>45224</v>
      </c>
      <c r="I729" s="26" t="n">
        <v>45227</v>
      </c>
      <c r="J729" s="12" t="n">
        <v>36.82</v>
      </c>
      <c r="K729" s="17" t="n">
        <v>4091278.76</v>
      </c>
      <c r="L729" s="12" t="n">
        <v>0</v>
      </c>
      <c r="M729" s="12" t="n">
        <v>0</v>
      </c>
      <c r="N729" s="27">
        <f>F729-J729</f>
        <v/>
      </c>
      <c r="O729" s="16">
        <f>I729-H729</f>
        <v/>
      </c>
      <c r="P729" s="14">
        <f>F729*G729</f>
        <v/>
      </c>
      <c r="Q729" s="14">
        <f>J729*G729</f>
        <v/>
      </c>
      <c r="R729" s="14">
        <f>K729-Q729</f>
        <v/>
      </c>
      <c r="S729" s="3">
        <f>P729*Assumptions!$B$3/100</f>
        <v/>
      </c>
      <c r="T729" s="14">
        <f>R729-S729</f>
        <v/>
      </c>
      <c r="U729" s="14">
        <f>L729*G729</f>
        <v/>
      </c>
    </row>
    <row r="730">
      <c r="A730" s="12" t="inlineStr">
        <is>
          <t>PO-2021-0728</t>
        </is>
      </c>
      <c r="B730" s="26" t="n">
        <v>44666</v>
      </c>
      <c r="C730" s="12" t="inlineStr">
        <is>
          <t>VS13</t>
        </is>
      </c>
      <c r="D730" s="12" t="inlineStr">
        <is>
          <t>HR Coils</t>
        </is>
      </c>
      <c r="E730" s="12" t="inlineStr">
        <is>
          <t>N</t>
        </is>
      </c>
      <c r="F730" s="12" t="n">
        <v>41.98</v>
      </c>
      <c r="G730" s="17" t="n">
        <v>71702.05</v>
      </c>
      <c r="H730" s="26" t="n">
        <v>44681</v>
      </c>
      <c r="I730" s="26" t="n">
        <v>44684</v>
      </c>
      <c r="J730" s="12" t="n">
        <v>41.9</v>
      </c>
      <c r="K730" s="17" t="n">
        <v>3010052.06</v>
      </c>
      <c r="L730" s="12" t="n">
        <v>0</v>
      </c>
      <c r="M730" s="12" t="n">
        <v>3</v>
      </c>
      <c r="N730" s="27">
        <f>F730-J730</f>
        <v/>
      </c>
      <c r="O730" s="16">
        <f>I730-H730</f>
        <v/>
      </c>
      <c r="P730" s="14">
        <f>F730*G730</f>
        <v/>
      </c>
      <c r="Q730" s="14">
        <f>J730*G730</f>
        <v/>
      </c>
      <c r="R730" s="14">
        <f>K730-Q730</f>
        <v/>
      </c>
      <c r="S730" s="3">
        <f>P730*Assumptions!$B$3/100</f>
        <v/>
      </c>
      <c r="T730" s="14">
        <f>R730-S730</f>
        <v/>
      </c>
      <c r="U730" s="14">
        <f>L730*G730</f>
        <v/>
      </c>
    </row>
    <row r="731">
      <c r="A731" s="12" t="inlineStr">
        <is>
          <t>PO-2021-0729</t>
        </is>
      </c>
      <c r="B731" s="26" t="n">
        <v>44415</v>
      </c>
      <c r="C731" s="12" t="inlineStr">
        <is>
          <t>VS08</t>
        </is>
      </c>
      <c r="D731" s="12" t="inlineStr">
        <is>
          <t>SS Pipes</t>
        </is>
      </c>
      <c r="E731" s="12" t="inlineStr">
        <is>
          <t>N</t>
        </is>
      </c>
      <c r="F731" s="12" t="n">
        <v>34.11</v>
      </c>
      <c r="G731" s="17" t="n">
        <v>94756.81</v>
      </c>
      <c r="H731" s="26" t="n">
        <v>44427</v>
      </c>
      <c r="I731" s="26" t="n">
        <v>44430</v>
      </c>
      <c r="J731" s="12" t="n">
        <v>34.07</v>
      </c>
      <c r="K731" s="17" t="n">
        <v>3232154.79</v>
      </c>
      <c r="L731" s="12" t="n">
        <v>0</v>
      </c>
      <c r="M731" s="12" t="n">
        <v>10</v>
      </c>
      <c r="N731" s="27">
        <f>F731-J731</f>
        <v/>
      </c>
      <c r="O731" s="16">
        <f>I731-H731</f>
        <v/>
      </c>
      <c r="P731" s="14">
        <f>F731*G731</f>
        <v/>
      </c>
      <c r="Q731" s="14">
        <f>J731*G731</f>
        <v/>
      </c>
      <c r="R731" s="14">
        <f>K731-Q731</f>
        <v/>
      </c>
      <c r="S731" s="3">
        <f>P731*Assumptions!$B$3/100</f>
        <v/>
      </c>
      <c r="T731" s="14">
        <f>R731-S731</f>
        <v/>
      </c>
      <c r="U731" s="14">
        <f>L731*G731</f>
        <v/>
      </c>
    </row>
    <row r="732">
      <c r="A732" s="12" t="inlineStr">
        <is>
          <t>PO-2021-0730</t>
        </is>
      </c>
      <c r="B732" s="26" t="n">
        <v>44210</v>
      </c>
      <c r="C732" s="12" t="inlineStr">
        <is>
          <t>VS03</t>
        </is>
      </c>
      <c r="D732" s="12" t="inlineStr">
        <is>
          <t>Structural Steel</t>
        </is>
      </c>
      <c r="E732" s="12" t="inlineStr">
        <is>
          <t>N</t>
        </is>
      </c>
      <c r="F732" s="12" t="n">
        <v>19.19</v>
      </c>
      <c r="G732" s="17" t="n">
        <v>71402.52</v>
      </c>
      <c r="H732" s="26" t="n">
        <v>44222</v>
      </c>
      <c r="I732" s="26" t="n">
        <v>44225</v>
      </c>
      <c r="J732" s="12" t="n">
        <v>18.63</v>
      </c>
      <c r="K732" s="17" t="n">
        <v>1370214.36</v>
      </c>
      <c r="L732" s="12" t="n">
        <v>0.24</v>
      </c>
      <c r="M732" s="12" t="n">
        <v>0</v>
      </c>
      <c r="N732" s="27">
        <f>F732-J732</f>
        <v/>
      </c>
      <c r="O732" s="16">
        <f>I732-H732</f>
        <v/>
      </c>
      <c r="P732" s="14">
        <f>F732*G732</f>
        <v/>
      </c>
      <c r="Q732" s="14">
        <f>J732*G732</f>
        <v/>
      </c>
      <c r="R732" s="14">
        <f>K732-Q732</f>
        <v/>
      </c>
      <c r="S732" s="3">
        <f>P732*Assumptions!$B$3/100</f>
        <v/>
      </c>
      <c r="T732" s="14">
        <f>R732-S732</f>
        <v/>
      </c>
      <c r="U732" s="14">
        <f>L732*G732</f>
        <v/>
      </c>
    </row>
    <row r="733">
      <c r="A733" s="12" t="inlineStr">
        <is>
          <t>PO-2021-0731</t>
        </is>
      </c>
      <c r="B733" s="26" t="n">
        <v>44759</v>
      </c>
      <c r="C733" s="12" t="inlineStr">
        <is>
          <t>VS32</t>
        </is>
      </c>
      <c r="D733" s="12" t="inlineStr">
        <is>
          <t>MS Sheets</t>
        </is>
      </c>
      <c r="E733" s="12" t="inlineStr">
        <is>
          <t>N</t>
        </is>
      </c>
      <c r="F733" s="12" t="n">
        <v>49.24</v>
      </c>
      <c r="G733" s="17" t="n">
        <v>113700.51</v>
      </c>
      <c r="H733" s="26" t="n">
        <v>44766</v>
      </c>
      <c r="I733" s="26" t="n">
        <v>44767</v>
      </c>
      <c r="J733" s="12" t="n">
        <v>48.93</v>
      </c>
      <c r="K733" s="17" t="n">
        <v>5598613.11</v>
      </c>
      <c r="L733" s="12" t="n">
        <v>0</v>
      </c>
      <c r="M733" s="12" t="n">
        <v>8</v>
      </c>
      <c r="N733" s="27">
        <f>F733-J733</f>
        <v/>
      </c>
      <c r="O733" s="16">
        <f>I733-H733</f>
        <v/>
      </c>
      <c r="P733" s="14">
        <f>F733*G733</f>
        <v/>
      </c>
      <c r="Q733" s="14">
        <f>J733*G733</f>
        <v/>
      </c>
      <c r="R733" s="14">
        <f>K733-Q733</f>
        <v/>
      </c>
      <c r="S733" s="3">
        <f>P733*Assumptions!$B$3/100</f>
        <v/>
      </c>
      <c r="T733" s="14">
        <f>R733-S733</f>
        <v/>
      </c>
      <c r="U733" s="14">
        <f>L733*G733</f>
        <v/>
      </c>
    </row>
    <row r="734">
      <c r="A734" s="12" t="inlineStr">
        <is>
          <t>PO-2021-0732</t>
        </is>
      </c>
      <c r="B734" s="26" t="n">
        <v>45011</v>
      </c>
      <c r="C734" s="12" t="inlineStr">
        <is>
          <t>VS15</t>
        </is>
      </c>
      <c r="D734" s="12" t="inlineStr">
        <is>
          <t>Square/Rect Tubes</t>
        </is>
      </c>
      <c r="E734" s="12" t="inlineStr">
        <is>
          <t>N</t>
        </is>
      </c>
      <c r="F734" s="12" t="n">
        <v>3.65</v>
      </c>
      <c r="G734" s="17" t="n">
        <v>104945.24</v>
      </c>
      <c r="H734" s="26" t="n">
        <v>45021</v>
      </c>
      <c r="I734" s="26" t="n">
        <v>45024</v>
      </c>
      <c r="J734" s="12" t="n">
        <v>3.63</v>
      </c>
      <c r="K734" s="17" t="n">
        <v>383050.13</v>
      </c>
      <c r="L734" s="12" t="n">
        <v>0</v>
      </c>
      <c r="M734" s="12" t="n">
        <v>22</v>
      </c>
      <c r="N734" s="27">
        <f>F734-J734</f>
        <v/>
      </c>
      <c r="O734" s="16">
        <f>I734-H734</f>
        <v/>
      </c>
      <c r="P734" s="14">
        <f>F734*G734</f>
        <v/>
      </c>
      <c r="Q734" s="14">
        <f>J734*G734</f>
        <v/>
      </c>
      <c r="R734" s="14">
        <f>K734-Q734</f>
        <v/>
      </c>
      <c r="S734" s="3">
        <f>P734*Assumptions!$B$3/100</f>
        <v/>
      </c>
      <c r="T734" s="14">
        <f>R734-S734</f>
        <v/>
      </c>
      <c r="U734" s="14">
        <f>L734*G734</f>
        <v/>
      </c>
    </row>
    <row r="735">
      <c r="A735" s="12" t="inlineStr">
        <is>
          <t>PO-2021-0733</t>
        </is>
      </c>
      <c r="B735" s="26" t="n">
        <v>44263</v>
      </c>
      <c r="C735" s="12" t="inlineStr">
        <is>
          <t>VS33</t>
        </is>
      </c>
      <c r="D735" s="12" t="inlineStr">
        <is>
          <t>Angles &amp; Channels</t>
        </is>
      </c>
      <c r="E735" s="12" t="inlineStr">
        <is>
          <t>N</t>
        </is>
      </c>
      <c r="F735" s="12" t="n">
        <v>20.29</v>
      </c>
      <c r="G735" s="17" t="n">
        <v>96475.39999999999</v>
      </c>
      <c r="H735" s="26" t="n">
        <v>44268</v>
      </c>
      <c r="I735" s="26" t="n">
        <v>44270</v>
      </c>
      <c r="J735" s="12" t="n">
        <v>20.18</v>
      </c>
      <c r="K735" s="17" t="n">
        <v>1957485.87</v>
      </c>
      <c r="L735" s="12" t="n">
        <v>0</v>
      </c>
      <c r="M735" s="12" t="n">
        <v>8</v>
      </c>
      <c r="N735" s="27">
        <f>F735-J735</f>
        <v/>
      </c>
      <c r="O735" s="16">
        <f>I735-H735</f>
        <v/>
      </c>
      <c r="P735" s="14">
        <f>F735*G735</f>
        <v/>
      </c>
      <c r="Q735" s="14">
        <f>J735*G735</f>
        <v/>
      </c>
      <c r="R735" s="14">
        <f>K735-Q735</f>
        <v/>
      </c>
      <c r="S735" s="3">
        <f>P735*Assumptions!$B$3/100</f>
        <v/>
      </c>
      <c r="T735" s="14">
        <f>R735-S735</f>
        <v/>
      </c>
      <c r="U735" s="14">
        <f>L735*G735</f>
        <v/>
      </c>
    </row>
    <row r="736">
      <c r="A736" s="12" t="inlineStr">
        <is>
          <t>PO-2021-0734</t>
        </is>
      </c>
      <c r="B736" s="26" t="n">
        <v>45133</v>
      </c>
      <c r="C736" s="12" t="inlineStr">
        <is>
          <t>VS08</t>
        </is>
      </c>
      <c r="D736" s="12" t="inlineStr">
        <is>
          <t>Hex Bars</t>
        </is>
      </c>
      <c r="E736" s="12" t="inlineStr">
        <is>
          <t>N</t>
        </is>
      </c>
      <c r="F736" s="12" t="n">
        <v>23.54</v>
      </c>
      <c r="G736" s="17" t="n">
        <v>96690.78999999999</v>
      </c>
      <c r="H736" s="26" t="n">
        <v>45136</v>
      </c>
      <c r="I736" s="26" t="n">
        <v>45138</v>
      </c>
      <c r="J736" s="12" t="n">
        <v>23.31</v>
      </c>
      <c r="K736" s="17" t="n">
        <v>2276101.2</v>
      </c>
      <c r="L736" s="12" t="n">
        <v>0</v>
      </c>
      <c r="M736" s="12" t="n">
        <v>12</v>
      </c>
      <c r="N736" s="27">
        <f>F736-J736</f>
        <v/>
      </c>
      <c r="O736" s="16">
        <f>I736-H736</f>
        <v/>
      </c>
      <c r="P736" s="14">
        <f>F736*G736</f>
        <v/>
      </c>
      <c r="Q736" s="14">
        <f>J736*G736</f>
        <v/>
      </c>
      <c r="R736" s="14">
        <f>K736-Q736</f>
        <v/>
      </c>
      <c r="S736" s="3">
        <f>P736*Assumptions!$B$3/100</f>
        <v/>
      </c>
      <c r="T736" s="14">
        <f>R736-S736</f>
        <v/>
      </c>
      <c r="U736" s="14">
        <f>L736*G736</f>
        <v/>
      </c>
    </row>
    <row r="737">
      <c r="A737" s="12" t="inlineStr">
        <is>
          <t>PO-2021-0735</t>
        </is>
      </c>
      <c r="B737" s="26" t="n">
        <v>44628</v>
      </c>
      <c r="C737" s="12" t="inlineStr">
        <is>
          <t>VS25</t>
        </is>
      </c>
      <c r="D737" s="12" t="inlineStr">
        <is>
          <t>ERW Pipes</t>
        </is>
      </c>
      <c r="E737" s="12" t="inlineStr">
        <is>
          <t>N</t>
        </is>
      </c>
      <c r="F737" s="12" t="n">
        <v>16.95</v>
      </c>
      <c r="G737" s="17" t="n">
        <v>90958.36</v>
      </c>
      <c r="H737" s="26" t="n">
        <v>44635</v>
      </c>
      <c r="I737" s="26" t="n">
        <v>44637</v>
      </c>
      <c r="J737" s="12" t="n">
        <v>16.85</v>
      </c>
      <c r="K737" s="17" t="n">
        <v>1541744.2</v>
      </c>
      <c r="L737" s="12" t="n">
        <v>0</v>
      </c>
      <c r="M737" s="12" t="n">
        <v>0</v>
      </c>
      <c r="N737" s="27">
        <f>F737-J737</f>
        <v/>
      </c>
      <c r="O737" s="16">
        <f>I737-H737</f>
        <v/>
      </c>
      <c r="P737" s="14">
        <f>F737*G737</f>
        <v/>
      </c>
      <c r="Q737" s="14">
        <f>J737*G737</f>
        <v/>
      </c>
      <c r="R737" s="14">
        <f>K737-Q737</f>
        <v/>
      </c>
      <c r="S737" s="3">
        <f>P737*Assumptions!$B$3/100</f>
        <v/>
      </c>
      <c r="T737" s="14">
        <f>R737-S737</f>
        <v/>
      </c>
      <c r="U737" s="14">
        <f>L737*G737</f>
        <v/>
      </c>
    </row>
    <row r="738">
      <c r="A738" s="12" t="inlineStr">
        <is>
          <t>PO-2021-0736</t>
        </is>
      </c>
      <c r="B738" s="26" t="n">
        <v>44580</v>
      </c>
      <c r="C738" s="12" t="inlineStr">
        <is>
          <t>VS17</t>
        </is>
      </c>
      <c r="D738" s="12" t="inlineStr">
        <is>
          <t>HR Coils</t>
        </is>
      </c>
      <c r="E738" s="12" t="inlineStr">
        <is>
          <t>N</t>
        </is>
      </c>
      <c r="F738" s="12" t="n">
        <v>14.2</v>
      </c>
      <c r="G738" s="17" t="n">
        <v>116889.51</v>
      </c>
      <c r="H738" s="26" t="n">
        <v>44588</v>
      </c>
      <c r="I738" s="26" t="n">
        <v>44591</v>
      </c>
      <c r="J738" s="12" t="n">
        <v>14.12</v>
      </c>
      <c r="K738" s="17" t="n">
        <v>1659831.04</v>
      </c>
      <c r="L738" s="12" t="n">
        <v>0</v>
      </c>
      <c r="M738" s="12" t="n">
        <v>0</v>
      </c>
      <c r="N738" s="27">
        <f>F738-J738</f>
        <v/>
      </c>
      <c r="O738" s="16">
        <f>I738-H738</f>
        <v/>
      </c>
      <c r="P738" s="14">
        <f>F738*G738</f>
        <v/>
      </c>
      <c r="Q738" s="14">
        <f>J738*G738</f>
        <v/>
      </c>
      <c r="R738" s="14">
        <f>K738-Q738</f>
        <v/>
      </c>
      <c r="S738" s="3">
        <f>P738*Assumptions!$B$3/100</f>
        <v/>
      </c>
      <c r="T738" s="14">
        <f>R738-S738</f>
        <v/>
      </c>
      <c r="U738" s="14">
        <f>L738*G738</f>
        <v/>
      </c>
    </row>
    <row r="739">
      <c r="A739" s="12" t="inlineStr">
        <is>
          <t>PO-2021-0737</t>
        </is>
      </c>
      <c r="B739" s="26" t="n">
        <v>44946</v>
      </c>
      <c r="C739" s="12" t="inlineStr">
        <is>
          <t>VS12</t>
        </is>
      </c>
      <c r="D739" s="12" t="inlineStr">
        <is>
          <t>Structural Steel</t>
        </is>
      </c>
      <c r="E739" s="12" t="inlineStr">
        <is>
          <t>N</t>
        </is>
      </c>
      <c r="F739" s="12" t="n">
        <v>21.77</v>
      </c>
      <c r="G739" s="17" t="n">
        <v>79489.25</v>
      </c>
      <c r="H739" s="26" t="n">
        <v>44961</v>
      </c>
      <c r="I739" s="26" t="n">
        <v>44963</v>
      </c>
      <c r="J739" s="12" t="n">
        <v>20.77</v>
      </c>
      <c r="K739" s="17" t="n">
        <v>1730480.97</v>
      </c>
      <c r="L739" s="12" t="n">
        <v>0.64</v>
      </c>
      <c r="M739" s="12" t="n">
        <v>25</v>
      </c>
      <c r="N739" s="27">
        <f>F739-J739</f>
        <v/>
      </c>
      <c r="O739" s="16">
        <f>I739-H739</f>
        <v/>
      </c>
      <c r="P739" s="14">
        <f>F739*G739</f>
        <v/>
      </c>
      <c r="Q739" s="14">
        <f>J739*G739</f>
        <v/>
      </c>
      <c r="R739" s="14">
        <f>K739-Q739</f>
        <v/>
      </c>
      <c r="S739" s="3">
        <f>P739*Assumptions!$B$3/100</f>
        <v/>
      </c>
      <c r="T739" s="14">
        <f>R739-S739</f>
        <v/>
      </c>
      <c r="U739" s="14">
        <f>L739*G739</f>
        <v/>
      </c>
    </row>
    <row r="740">
      <c r="A740" s="12" t="inlineStr">
        <is>
          <t>PO-2021-0738</t>
        </is>
      </c>
      <c r="B740" s="26" t="n">
        <v>44959</v>
      </c>
      <c r="C740" s="12" t="inlineStr">
        <is>
          <t>VS24</t>
        </is>
      </c>
      <c r="D740" s="12" t="inlineStr">
        <is>
          <t>MS Rods</t>
        </is>
      </c>
      <c r="E740" s="12" t="inlineStr">
        <is>
          <t>N</t>
        </is>
      </c>
      <c r="F740" s="12" t="n">
        <v>14.7</v>
      </c>
      <c r="G740" s="17" t="n">
        <v>58491.69</v>
      </c>
      <c r="H740" s="26" t="n">
        <v>44964</v>
      </c>
      <c r="I740" s="26" t="n">
        <v>44967</v>
      </c>
      <c r="J740" s="12" t="n">
        <v>14.69</v>
      </c>
      <c r="K740" s="17" t="n">
        <v>859827.84</v>
      </c>
      <c r="L740" s="12" t="n">
        <v>0</v>
      </c>
      <c r="M740" s="12" t="n">
        <v>13</v>
      </c>
      <c r="N740" s="27">
        <f>F740-J740</f>
        <v/>
      </c>
      <c r="O740" s="16">
        <f>I740-H740</f>
        <v/>
      </c>
      <c r="P740" s="14">
        <f>F740*G740</f>
        <v/>
      </c>
      <c r="Q740" s="14">
        <f>J740*G740</f>
        <v/>
      </c>
      <c r="R740" s="14">
        <f>K740-Q740</f>
        <v/>
      </c>
      <c r="S740" s="3">
        <f>P740*Assumptions!$B$3/100</f>
        <v/>
      </c>
      <c r="T740" s="14">
        <f>R740-S740</f>
        <v/>
      </c>
      <c r="U740" s="14">
        <f>L740*G740</f>
        <v/>
      </c>
    </row>
    <row r="741">
      <c r="A741" s="12" t="inlineStr">
        <is>
          <t>PO-2021-0739</t>
        </is>
      </c>
      <c r="B741" s="26" t="n">
        <v>44665</v>
      </c>
      <c r="C741" s="12" t="inlineStr">
        <is>
          <t>VS07</t>
        </is>
      </c>
      <c r="D741" s="12" t="inlineStr">
        <is>
          <t>CR Sheets</t>
        </is>
      </c>
      <c r="E741" s="12" t="inlineStr">
        <is>
          <t>N</t>
        </is>
      </c>
      <c r="F741" s="12" t="n">
        <v>40.4</v>
      </c>
      <c r="G741" s="17" t="n">
        <v>86650.5</v>
      </c>
      <c r="H741" s="26" t="n">
        <v>44674</v>
      </c>
      <c r="I741" s="26" t="n">
        <v>44676</v>
      </c>
      <c r="J741" s="12" t="n">
        <v>40.06</v>
      </c>
      <c r="K741" s="17" t="n">
        <v>3500680.2</v>
      </c>
      <c r="L741" s="12" t="n">
        <v>0</v>
      </c>
      <c r="M741" s="12" t="n">
        <v>0</v>
      </c>
      <c r="N741" s="27">
        <f>F741-J741</f>
        <v/>
      </c>
      <c r="O741" s="16">
        <f>I741-H741</f>
        <v/>
      </c>
      <c r="P741" s="14">
        <f>F741*G741</f>
        <v/>
      </c>
      <c r="Q741" s="14">
        <f>J741*G741</f>
        <v/>
      </c>
      <c r="R741" s="14">
        <f>K741-Q741</f>
        <v/>
      </c>
      <c r="S741" s="3">
        <f>P741*Assumptions!$B$3/100</f>
        <v/>
      </c>
      <c r="T741" s="14">
        <f>R741-S741</f>
        <v/>
      </c>
      <c r="U741" s="14">
        <f>L741*G741</f>
        <v/>
      </c>
    </row>
    <row r="742">
      <c r="A742" s="12" t="inlineStr">
        <is>
          <t>PO-2021-0740</t>
        </is>
      </c>
      <c r="B742" s="26" t="n">
        <v>44598</v>
      </c>
      <c r="C742" s="12" t="inlineStr">
        <is>
          <t>VS10</t>
        </is>
      </c>
      <c r="D742" s="12" t="inlineStr">
        <is>
          <t>Square/Rect Tubes</t>
        </is>
      </c>
      <c r="E742" s="12" t="inlineStr">
        <is>
          <t>N</t>
        </is>
      </c>
      <c r="F742" s="12" t="n">
        <v>24.18</v>
      </c>
      <c r="G742" s="17" t="n">
        <v>45730.67</v>
      </c>
      <c r="H742" s="26" t="n">
        <v>44607</v>
      </c>
      <c r="I742" s="26" t="n">
        <v>44607</v>
      </c>
      <c r="J742" s="12" t="n">
        <v>24.13</v>
      </c>
      <c r="K742" s="17" t="n">
        <v>1105767.6</v>
      </c>
      <c r="L742" s="12" t="n">
        <v>0</v>
      </c>
      <c r="M742" s="12" t="n">
        <v>9</v>
      </c>
      <c r="N742" s="27">
        <f>F742-J742</f>
        <v/>
      </c>
      <c r="O742" s="16">
        <f>I742-H742</f>
        <v/>
      </c>
      <c r="P742" s="14">
        <f>F742*G742</f>
        <v/>
      </c>
      <c r="Q742" s="14">
        <f>J742*G742</f>
        <v/>
      </c>
      <c r="R742" s="14">
        <f>K742-Q742</f>
        <v/>
      </c>
      <c r="S742" s="3">
        <f>P742*Assumptions!$B$3/100</f>
        <v/>
      </c>
      <c r="T742" s="14">
        <f>R742-S742</f>
        <v/>
      </c>
      <c r="U742" s="14">
        <f>L742*G742</f>
        <v/>
      </c>
    </row>
    <row r="743">
      <c r="A743" s="12" t="inlineStr">
        <is>
          <t>PO-2021-0741</t>
        </is>
      </c>
      <c r="B743" s="26" t="n">
        <v>45220</v>
      </c>
      <c r="C743" s="12" t="inlineStr">
        <is>
          <t>VS09</t>
        </is>
      </c>
      <c r="D743" s="12" t="inlineStr">
        <is>
          <t>Hex Bars</t>
        </is>
      </c>
      <c r="E743" s="12" t="inlineStr">
        <is>
          <t>N</t>
        </is>
      </c>
      <c r="F743" s="12" t="n">
        <v>27.17</v>
      </c>
      <c r="G743" s="17" t="n">
        <v>68679.53999999999</v>
      </c>
      <c r="H743" s="26" t="n">
        <v>45230</v>
      </c>
      <c r="I743" s="26" t="n">
        <v>45231</v>
      </c>
      <c r="J743" s="12" t="n">
        <v>27.14</v>
      </c>
      <c r="K743" s="17" t="n">
        <v>1866023.1</v>
      </c>
      <c r="L743" s="12" t="n">
        <v>0</v>
      </c>
      <c r="M743" s="12" t="n">
        <v>0</v>
      </c>
      <c r="N743" s="27">
        <f>F743-J743</f>
        <v/>
      </c>
      <c r="O743" s="16">
        <f>I743-H743</f>
        <v/>
      </c>
      <c r="P743" s="14">
        <f>F743*G743</f>
        <v/>
      </c>
      <c r="Q743" s="14">
        <f>J743*G743</f>
        <v/>
      </c>
      <c r="R743" s="14">
        <f>K743-Q743</f>
        <v/>
      </c>
      <c r="S743" s="3">
        <f>P743*Assumptions!$B$3/100</f>
        <v/>
      </c>
      <c r="T743" s="14">
        <f>R743-S743</f>
        <v/>
      </c>
      <c r="U743" s="14">
        <f>L743*G743</f>
        <v/>
      </c>
    </row>
    <row r="744">
      <c r="A744" s="12" t="inlineStr">
        <is>
          <t>PO-2021-0742</t>
        </is>
      </c>
      <c r="B744" s="26" t="n">
        <v>44811</v>
      </c>
      <c r="C744" s="12" t="inlineStr">
        <is>
          <t>VS17</t>
        </is>
      </c>
      <c r="D744" s="12" t="inlineStr">
        <is>
          <t>Spring Steel</t>
        </is>
      </c>
      <c r="E744" s="12" t="inlineStr">
        <is>
          <t>N</t>
        </is>
      </c>
      <c r="F744" s="12" t="n">
        <v>43.07</v>
      </c>
      <c r="G744" s="17" t="n">
        <v>48578.2</v>
      </c>
      <c r="H744" s="26" t="n">
        <v>44815</v>
      </c>
      <c r="I744" s="26" t="n">
        <v>44815</v>
      </c>
      <c r="J744" s="12" t="n">
        <v>42.94</v>
      </c>
      <c r="K744" s="17" t="n">
        <v>2092263.07</v>
      </c>
      <c r="L744" s="12" t="n">
        <v>0</v>
      </c>
      <c r="M744" s="12" t="n">
        <v>0</v>
      </c>
      <c r="N744" s="27">
        <f>F744-J744</f>
        <v/>
      </c>
      <c r="O744" s="16">
        <f>I744-H744</f>
        <v/>
      </c>
      <c r="P744" s="14">
        <f>F744*G744</f>
        <v/>
      </c>
      <c r="Q744" s="14">
        <f>J744*G744</f>
        <v/>
      </c>
      <c r="R744" s="14">
        <f>K744-Q744</f>
        <v/>
      </c>
      <c r="S744" s="3">
        <f>P744*Assumptions!$B$3/100</f>
        <v/>
      </c>
      <c r="T744" s="14">
        <f>R744-S744</f>
        <v/>
      </c>
      <c r="U744" s="14">
        <f>L744*G744</f>
        <v/>
      </c>
    </row>
    <row r="745">
      <c r="A745" s="12" t="inlineStr">
        <is>
          <t>PO-2021-0743</t>
        </is>
      </c>
      <c r="B745" s="26" t="n">
        <v>44531</v>
      </c>
      <c r="C745" s="12" t="inlineStr">
        <is>
          <t>VS04</t>
        </is>
      </c>
      <c r="D745" s="12" t="inlineStr">
        <is>
          <t>GI Sheets</t>
        </is>
      </c>
      <c r="E745" s="12" t="inlineStr">
        <is>
          <t>N</t>
        </is>
      </c>
      <c r="F745" s="12" t="n">
        <v>40.88</v>
      </c>
      <c r="G745" s="17" t="n">
        <v>80740.46000000001</v>
      </c>
      <c r="H745" s="26" t="n">
        <v>44544</v>
      </c>
      <c r="I745" s="26" t="n">
        <v>44546</v>
      </c>
      <c r="J745" s="12" t="n">
        <v>40.52</v>
      </c>
      <c r="K745" s="17" t="n">
        <v>3300670</v>
      </c>
      <c r="L745" s="12" t="n">
        <v>0</v>
      </c>
      <c r="M745" s="12" t="n">
        <v>0</v>
      </c>
      <c r="N745" s="27">
        <f>F745-J745</f>
        <v/>
      </c>
      <c r="O745" s="16">
        <f>I745-H745</f>
        <v/>
      </c>
      <c r="P745" s="14">
        <f>F745*G745</f>
        <v/>
      </c>
      <c r="Q745" s="14">
        <f>J745*G745</f>
        <v/>
      </c>
      <c r="R745" s="14">
        <f>K745-Q745</f>
        <v/>
      </c>
      <c r="S745" s="3">
        <f>P745*Assumptions!$B$3/100</f>
        <v/>
      </c>
      <c r="T745" s="14">
        <f>R745-S745</f>
        <v/>
      </c>
      <c r="U745" s="14">
        <f>L745*G745</f>
        <v/>
      </c>
    </row>
    <row r="746">
      <c r="A746" s="12" t="inlineStr">
        <is>
          <t>PO-2021-0744</t>
        </is>
      </c>
      <c r="B746" s="26" t="n">
        <v>44394</v>
      </c>
      <c r="C746" s="12" t="inlineStr">
        <is>
          <t>VS29</t>
        </is>
      </c>
      <c r="D746" s="12" t="inlineStr">
        <is>
          <t>MS Flats</t>
        </is>
      </c>
      <c r="E746" s="12" t="inlineStr">
        <is>
          <t>Y</t>
        </is>
      </c>
      <c r="F746" s="12" t="n">
        <v>13.73</v>
      </c>
      <c r="G746" s="17" t="n">
        <v>72022.99000000001</v>
      </c>
      <c r="H746" s="26" t="n">
        <v>44405</v>
      </c>
      <c r="I746" s="26" t="n">
        <v>44405</v>
      </c>
      <c r="J746" s="12" t="n">
        <v>13.64</v>
      </c>
      <c r="K746" s="17" t="n">
        <v>988875.65</v>
      </c>
      <c r="L746" s="12" t="n">
        <v>0</v>
      </c>
      <c r="M746" s="12" t="n">
        <v>10</v>
      </c>
      <c r="N746" s="27">
        <f>F746-J746</f>
        <v/>
      </c>
      <c r="O746" s="16">
        <f>I746-H746</f>
        <v/>
      </c>
      <c r="P746" s="14">
        <f>F746*G746</f>
        <v/>
      </c>
      <c r="Q746" s="14">
        <f>J746*G746</f>
        <v/>
      </c>
      <c r="R746" s="14">
        <f>K746-Q746</f>
        <v/>
      </c>
      <c r="S746" s="3">
        <f>P746*Assumptions!$B$3/100</f>
        <v/>
      </c>
      <c r="T746" s="14">
        <f>R746-S746</f>
        <v/>
      </c>
      <c r="U746" s="14">
        <f>L746*G746</f>
        <v/>
      </c>
    </row>
    <row r="747">
      <c r="A747" s="12" t="inlineStr">
        <is>
          <t>PO-2021-0745</t>
        </is>
      </c>
      <c r="B747" s="26" t="n">
        <v>44724</v>
      </c>
      <c r="C747" s="12" t="inlineStr">
        <is>
          <t>VS23</t>
        </is>
      </c>
      <c r="D747" s="12" t="inlineStr">
        <is>
          <t>MS Pipes</t>
        </is>
      </c>
      <c r="E747" s="12" t="inlineStr">
        <is>
          <t>N</t>
        </is>
      </c>
      <c r="F747" s="12" t="n">
        <v>21.18</v>
      </c>
      <c r="G747" s="17" t="n">
        <v>71331.78999999999</v>
      </c>
      <c r="H747" s="26" t="n">
        <v>44737</v>
      </c>
      <c r="I747" s="26" t="n">
        <v>44737</v>
      </c>
      <c r="J747" s="12" t="n">
        <v>21.1</v>
      </c>
      <c r="K747" s="17" t="n">
        <v>1510807.31</v>
      </c>
      <c r="L747" s="12" t="n">
        <v>0</v>
      </c>
      <c r="M747" s="12" t="n">
        <v>11</v>
      </c>
      <c r="N747" s="27">
        <f>F747-J747</f>
        <v/>
      </c>
      <c r="O747" s="16">
        <f>I747-H747</f>
        <v/>
      </c>
      <c r="P747" s="14">
        <f>F747*G747</f>
        <v/>
      </c>
      <c r="Q747" s="14">
        <f>J747*G747</f>
        <v/>
      </c>
      <c r="R747" s="14">
        <f>K747-Q747</f>
        <v/>
      </c>
      <c r="S747" s="3">
        <f>P747*Assumptions!$B$3/100</f>
        <v/>
      </c>
      <c r="T747" s="14">
        <f>R747-S747</f>
        <v/>
      </c>
      <c r="U747" s="14">
        <f>L747*G747</f>
        <v/>
      </c>
    </row>
    <row r="748">
      <c r="A748" s="12" t="inlineStr">
        <is>
          <t>PO-2021-0746</t>
        </is>
      </c>
      <c r="B748" s="26" t="n">
        <v>44604</v>
      </c>
      <c r="C748" s="12" t="inlineStr">
        <is>
          <t>VS12</t>
        </is>
      </c>
      <c r="D748" s="12" t="inlineStr">
        <is>
          <t>SS Sheets</t>
        </is>
      </c>
      <c r="E748" s="12" t="inlineStr">
        <is>
          <t>N</t>
        </is>
      </c>
      <c r="F748" s="12" t="n">
        <v>18.4</v>
      </c>
      <c r="G748" s="17" t="n">
        <v>99309.03999999999</v>
      </c>
      <c r="H748" s="26" t="n">
        <v>44614</v>
      </c>
      <c r="I748" s="26" t="n">
        <v>44618</v>
      </c>
      <c r="J748" s="12" t="n">
        <v>17.69</v>
      </c>
      <c r="K748" s="17" t="n">
        <v>1827286.34</v>
      </c>
      <c r="L748" s="12" t="n">
        <v>0.63</v>
      </c>
      <c r="M748" s="12" t="n">
        <v>0</v>
      </c>
      <c r="N748" s="27">
        <f>F748-J748</f>
        <v/>
      </c>
      <c r="O748" s="16">
        <f>I748-H748</f>
        <v/>
      </c>
      <c r="P748" s="14">
        <f>F748*G748</f>
        <v/>
      </c>
      <c r="Q748" s="14">
        <f>J748*G748</f>
        <v/>
      </c>
      <c r="R748" s="14">
        <f>K748-Q748</f>
        <v/>
      </c>
      <c r="S748" s="3">
        <f>P748*Assumptions!$B$3/100</f>
        <v/>
      </c>
      <c r="T748" s="14">
        <f>R748-S748</f>
        <v/>
      </c>
      <c r="U748" s="14">
        <f>L748*G748</f>
        <v/>
      </c>
    </row>
    <row r="749">
      <c r="A749" s="12" t="inlineStr">
        <is>
          <t>PO-2021-0747</t>
        </is>
      </c>
      <c r="B749" s="26" t="n">
        <v>45112</v>
      </c>
      <c r="C749" s="12" t="inlineStr">
        <is>
          <t>VS06</t>
        </is>
      </c>
      <c r="D749" s="12" t="inlineStr">
        <is>
          <t>MS Rods</t>
        </is>
      </c>
      <c r="E749" s="12" t="inlineStr">
        <is>
          <t>Y</t>
        </is>
      </c>
      <c r="F749" s="12" t="n">
        <v>31.07</v>
      </c>
      <c r="G749" s="17" t="n">
        <v>79781.41</v>
      </c>
      <c r="H749" s="26" t="n">
        <v>45117</v>
      </c>
      <c r="I749" s="26" t="n">
        <v>45117</v>
      </c>
      <c r="J749" s="12" t="n">
        <v>31.01</v>
      </c>
      <c r="K749" s="17" t="n">
        <v>2478808.41</v>
      </c>
      <c r="L749" s="12" t="n">
        <v>0</v>
      </c>
      <c r="M749" s="12" t="n">
        <v>9</v>
      </c>
      <c r="N749" s="27">
        <f>F749-J749</f>
        <v/>
      </c>
      <c r="O749" s="16">
        <f>I749-H749</f>
        <v/>
      </c>
      <c r="P749" s="14">
        <f>F749*G749</f>
        <v/>
      </c>
      <c r="Q749" s="14">
        <f>J749*G749</f>
        <v/>
      </c>
      <c r="R749" s="14">
        <f>K749-Q749</f>
        <v/>
      </c>
      <c r="S749" s="3">
        <f>P749*Assumptions!$B$3/100</f>
        <v/>
      </c>
      <c r="T749" s="14">
        <f>R749-S749</f>
        <v/>
      </c>
      <c r="U749" s="14">
        <f>L749*G749</f>
        <v/>
      </c>
    </row>
    <row r="750">
      <c r="A750" s="12" t="inlineStr">
        <is>
          <t>PO-2021-0748</t>
        </is>
      </c>
      <c r="B750" s="26" t="n">
        <v>44540</v>
      </c>
      <c r="C750" s="12" t="inlineStr">
        <is>
          <t>VS22</t>
        </is>
      </c>
      <c r="D750" s="12" t="inlineStr">
        <is>
          <t>GI Wire</t>
        </is>
      </c>
      <c r="E750" s="12" t="inlineStr">
        <is>
          <t>N</t>
        </is>
      </c>
      <c r="F750" s="12" t="n">
        <v>31.93</v>
      </c>
      <c r="G750" s="17" t="n">
        <v>87872.82000000001</v>
      </c>
      <c r="H750" s="26" t="n">
        <v>44544</v>
      </c>
      <c r="I750" s="26" t="n">
        <v>44547</v>
      </c>
      <c r="J750" s="12" t="n">
        <v>31.73</v>
      </c>
      <c r="K750" s="17" t="n">
        <v>2805779.14</v>
      </c>
      <c r="L750" s="12" t="n">
        <v>0</v>
      </c>
      <c r="M750" s="12" t="n">
        <v>0</v>
      </c>
      <c r="N750" s="27">
        <f>F750-J750</f>
        <v/>
      </c>
      <c r="O750" s="16">
        <f>I750-H750</f>
        <v/>
      </c>
      <c r="P750" s="14">
        <f>F750*G750</f>
        <v/>
      </c>
      <c r="Q750" s="14">
        <f>J750*G750</f>
        <v/>
      </c>
      <c r="R750" s="14">
        <f>K750-Q750</f>
        <v/>
      </c>
      <c r="S750" s="3">
        <f>P750*Assumptions!$B$3/100</f>
        <v/>
      </c>
      <c r="T750" s="14">
        <f>R750-S750</f>
        <v/>
      </c>
      <c r="U750" s="14">
        <f>L750*G750</f>
        <v/>
      </c>
    </row>
    <row r="751">
      <c r="A751" s="12" t="inlineStr">
        <is>
          <t>PO-2021-0749</t>
        </is>
      </c>
      <c r="B751" s="26" t="n">
        <v>44359</v>
      </c>
      <c r="C751" s="12" t="inlineStr">
        <is>
          <t>VS11</t>
        </is>
      </c>
      <c r="D751" s="12" t="inlineStr">
        <is>
          <t>MS Flats</t>
        </is>
      </c>
      <c r="E751" s="12" t="inlineStr">
        <is>
          <t>N</t>
        </is>
      </c>
      <c r="F751" s="12" t="n">
        <v>12.18</v>
      </c>
      <c r="G751" s="17" t="n">
        <v>68765.87</v>
      </c>
      <c r="H751" s="26" t="n">
        <v>44366</v>
      </c>
      <c r="I751" s="26" t="n">
        <v>44368</v>
      </c>
      <c r="J751" s="12" t="n">
        <v>12.14</v>
      </c>
      <c r="K751" s="17" t="n">
        <v>837568.3</v>
      </c>
      <c r="L751" s="12" t="n">
        <v>0</v>
      </c>
      <c r="M751" s="12" t="n">
        <v>11</v>
      </c>
      <c r="N751" s="27">
        <f>F751-J751</f>
        <v/>
      </c>
      <c r="O751" s="16">
        <f>I751-H751</f>
        <v/>
      </c>
      <c r="P751" s="14">
        <f>F751*G751</f>
        <v/>
      </c>
      <c r="Q751" s="14">
        <f>J751*G751</f>
        <v/>
      </c>
      <c r="R751" s="14">
        <f>K751-Q751</f>
        <v/>
      </c>
      <c r="S751" s="3">
        <f>P751*Assumptions!$B$3/100</f>
        <v/>
      </c>
      <c r="T751" s="14">
        <f>R751-S751</f>
        <v/>
      </c>
      <c r="U751" s="14">
        <f>L751*G751</f>
        <v/>
      </c>
    </row>
    <row r="752">
      <c r="A752" s="12" t="inlineStr">
        <is>
          <t>PO-2021-0750</t>
        </is>
      </c>
      <c r="B752" s="26" t="n">
        <v>44744</v>
      </c>
      <c r="C752" s="12" t="inlineStr">
        <is>
          <t>VS26</t>
        </is>
      </c>
      <c r="D752" s="12" t="inlineStr">
        <is>
          <t>CR Sheets</t>
        </is>
      </c>
      <c r="E752" s="12" t="inlineStr">
        <is>
          <t>N</t>
        </is>
      </c>
      <c r="F752" s="12" t="n">
        <v>44.5</v>
      </c>
      <c r="G752" s="17" t="n">
        <v>103573.05</v>
      </c>
      <c r="H752" s="26" t="n">
        <v>44752</v>
      </c>
      <c r="I752" s="26" t="n">
        <v>44755</v>
      </c>
      <c r="J752" s="12" t="n">
        <v>44.31</v>
      </c>
      <c r="K752" s="17" t="n">
        <v>4609000.73</v>
      </c>
      <c r="L752" s="12" t="n">
        <v>0</v>
      </c>
      <c r="M752" s="12" t="n">
        <v>0</v>
      </c>
      <c r="N752" s="27">
        <f>F752-J752</f>
        <v/>
      </c>
      <c r="O752" s="16">
        <f>I752-H752</f>
        <v/>
      </c>
      <c r="P752" s="14">
        <f>F752*G752</f>
        <v/>
      </c>
      <c r="Q752" s="14">
        <f>J752*G752</f>
        <v/>
      </c>
      <c r="R752" s="14">
        <f>K752-Q752</f>
        <v/>
      </c>
      <c r="S752" s="3">
        <f>P752*Assumptions!$B$3/100</f>
        <v/>
      </c>
      <c r="T752" s="14">
        <f>R752-S752</f>
        <v/>
      </c>
      <c r="U752" s="14">
        <f>L752*G752</f>
        <v/>
      </c>
    </row>
    <row r="753">
      <c r="A753" s="12" t="inlineStr">
        <is>
          <t>PO-2021-0751</t>
        </is>
      </c>
      <c r="B753" s="26" t="n">
        <v>45263</v>
      </c>
      <c r="C753" s="12" t="inlineStr">
        <is>
          <t>VS29</t>
        </is>
      </c>
      <c r="D753" s="12" t="inlineStr">
        <is>
          <t>GI Wire</t>
        </is>
      </c>
      <c r="E753" s="12" t="inlineStr">
        <is>
          <t>N</t>
        </is>
      </c>
      <c r="F753" s="12" t="n">
        <v>9.199999999999999</v>
      </c>
      <c r="G753" s="17" t="n">
        <v>109065.89</v>
      </c>
      <c r="H753" s="26" t="n">
        <v>45268</v>
      </c>
      <c r="I753" s="26" t="n">
        <v>45268</v>
      </c>
      <c r="J753" s="12" t="n">
        <v>9.19</v>
      </c>
      <c r="K753" s="17" t="n">
        <v>1003406.19</v>
      </c>
      <c r="L753" s="12" t="n">
        <v>0</v>
      </c>
      <c r="M753" s="12" t="n">
        <v>0</v>
      </c>
      <c r="N753" s="27">
        <f>F753-J753</f>
        <v/>
      </c>
      <c r="O753" s="16">
        <f>I753-H753</f>
        <v/>
      </c>
      <c r="P753" s="14">
        <f>F753*G753</f>
        <v/>
      </c>
      <c r="Q753" s="14">
        <f>J753*G753</f>
        <v/>
      </c>
      <c r="R753" s="14">
        <f>K753-Q753</f>
        <v/>
      </c>
      <c r="S753" s="3">
        <f>P753*Assumptions!$B$3/100</f>
        <v/>
      </c>
      <c r="T753" s="14">
        <f>R753-S753</f>
        <v/>
      </c>
      <c r="U753" s="14">
        <f>L753*G753</f>
        <v/>
      </c>
    </row>
    <row r="754">
      <c r="A754" s="12" t="inlineStr">
        <is>
          <t>PO-2021-0752</t>
        </is>
      </c>
      <c r="B754" s="26" t="n">
        <v>44677</v>
      </c>
      <c r="C754" s="12" t="inlineStr">
        <is>
          <t>VS17</t>
        </is>
      </c>
      <c r="D754" s="12" t="inlineStr">
        <is>
          <t>SS Pipes</t>
        </is>
      </c>
      <c r="E754" s="12" t="inlineStr">
        <is>
          <t>N</t>
        </is>
      </c>
      <c r="F754" s="12" t="n">
        <v>11.32</v>
      </c>
      <c r="G754" s="17" t="n">
        <v>74778.42</v>
      </c>
      <c r="H754" s="26" t="n">
        <v>44681</v>
      </c>
      <c r="I754" s="26" t="n">
        <v>44682</v>
      </c>
      <c r="J754" s="12" t="n">
        <v>11.27</v>
      </c>
      <c r="K754" s="17" t="n">
        <v>846491.71</v>
      </c>
      <c r="L754" s="12" t="n">
        <v>0</v>
      </c>
      <c r="M754" s="12" t="n">
        <v>0</v>
      </c>
      <c r="N754" s="27">
        <f>F754-J754</f>
        <v/>
      </c>
      <c r="O754" s="16">
        <f>I754-H754</f>
        <v/>
      </c>
      <c r="P754" s="14">
        <f>F754*G754</f>
        <v/>
      </c>
      <c r="Q754" s="14">
        <f>J754*G754</f>
        <v/>
      </c>
      <c r="R754" s="14">
        <f>K754-Q754</f>
        <v/>
      </c>
      <c r="S754" s="3">
        <f>P754*Assumptions!$B$3/100</f>
        <v/>
      </c>
      <c r="T754" s="14">
        <f>R754-S754</f>
        <v/>
      </c>
      <c r="U754" s="14">
        <f>L754*G754</f>
        <v/>
      </c>
    </row>
    <row r="755">
      <c r="A755" s="12" t="inlineStr">
        <is>
          <t>PO-2021-0753</t>
        </is>
      </c>
      <c r="B755" s="26" t="n">
        <v>44327</v>
      </c>
      <c r="C755" s="12" t="inlineStr">
        <is>
          <t>VS31</t>
        </is>
      </c>
      <c r="D755" s="12" t="inlineStr">
        <is>
          <t>Spring Steel</t>
        </is>
      </c>
      <c r="E755" s="12" t="inlineStr">
        <is>
          <t>N</t>
        </is>
      </c>
      <c r="F755" s="12" t="n">
        <v>3.64</v>
      </c>
      <c r="G755" s="17" t="n">
        <v>102820.03</v>
      </c>
      <c r="H755" s="26" t="n">
        <v>44338</v>
      </c>
      <c r="I755" s="26" t="n">
        <v>44339</v>
      </c>
      <c r="J755" s="12" t="n">
        <v>3.64</v>
      </c>
      <c r="K755" s="17" t="n">
        <v>374264.91</v>
      </c>
      <c r="L755" s="12" t="n">
        <v>0</v>
      </c>
      <c r="M755" s="12" t="n">
        <v>2</v>
      </c>
      <c r="N755" s="27">
        <f>F755-J755</f>
        <v/>
      </c>
      <c r="O755" s="16">
        <f>I755-H755</f>
        <v/>
      </c>
      <c r="P755" s="14">
        <f>F755*G755</f>
        <v/>
      </c>
      <c r="Q755" s="14">
        <f>J755*G755</f>
        <v/>
      </c>
      <c r="R755" s="14">
        <f>K755-Q755</f>
        <v/>
      </c>
      <c r="S755" s="3">
        <f>P755*Assumptions!$B$3/100</f>
        <v/>
      </c>
      <c r="T755" s="14">
        <f>R755-S755</f>
        <v/>
      </c>
      <c r="U755" s="14">
        <f>L755*G755</f>
        <v/>
      </c>
    </row>
    <row r="756">
      <c r="A756" s="12" t="inlineStr">
        <is>
          <t>PO-2021-0754</t>
        </is>
      </c>
      <c r="B756" s="26" t="n">
        <v>44367</v>
      </c>
      <c r="C756" s="12" t="inlineStr">
        <is>
          <t>VS07</t>
        </is>
      </c>
      <c r="D756" s="12" t="inlineStr">
        <is>
          <t>CR Sheets</t>
        </is>
      </c>
      <c r="E756" s="12" t="inlineStr">
        <is>
          <t>N</t>
        </is>
      </c>
      <c r="F756" s="12" t="n">
        <v>31.29</v>
      </c>
      <c r="G756" s="17" t="n">
        <v>51323.34</v>
      </c>
      <c r="H756" s="26" t="n">
        <v>44376</v>
      </c>
      <c r="I756" s="26" t="n">
        <v>44378</v>
      </c>
      <c r="J756" s="12" t="n">
        <v>31</v>
      </c>
      <c r="K756" s="17" t="n">
        <v>1605907.31</v>
      </c>
      <c r="L756" s="12" t="n">
        <v>0</v>
      </c>
      <c r="M756" s="12" t="n">
        <v>0</v>
      </c>
      <c r="N756" s="27">
        <f>F756-J756</f>
        <v/>
      </c>
      <c r="O756" s="16">
        <f>I756-H756</f>
        <v/>
      </c>
      <c r="P756" s="14">
        <f>F756*G756</f>
        <v/>
      </c>
      <c r="Q756" s="14">
        <f>J756*G756</f>
        <v/>
      </c>
      <c r="R756" s="14">
        <f>K756-Q756</f>
        <v/>
      </c>
      <c r="S756" s="3">
        <f>P756*Assumptions!$B$3/100</f>
        <v/>
      </c>
      <c r="T756" s="14">
        <f>R756-S756</f>
        <v/>
      </c>
      <c r="U756" s="14">
        <f>L756*G756</f>
        <v/>
      </c>
    </row>
    <row r="757">
      <c r="A757" s="12" t="inlineStr">
        <is>
          <t>PO-2021-0755</t>
        </is>
      </c>
      <c r="B757" s="26" t="n">
        <v>44830</v>
      </c>
      <c r="C757" s="12" t="inlineStr">
        <is>
          <t>VS15</t>
        </is>
      </c>
      <c r="D757" s="12" t="inlineStr">
        <is>
          <t>HR Coils</t>
        </is>
      </c>
      <c r="E757" s="12" t="inlineStr">
        <is>
          <t>Y</t>
        </is>
      </c>
      <c r="F757" s="12" t="n">
        <v>37.14</v>
      </c>
      <c r="G757" s="17" t="n">
        <v>78237.03</v>
      </c>
      <c r="H757" s="26" t="n">
        <v>44835</v>
      </c>
      <c r="I757" s="26" t="n">
        <v>44835</v>
      </c>
      <c r="J757" s="12" t="n">
        <v>36.8</v>
      </c>
      <c r="K757" s="17" t="n">
        <v>2905723.29</v>
      </c>
      <c r="L757" s="12" t="n">
        <v>0</v>
      </c>
      <c r="M757" s="12" t="n">
        <v>22</v>
      </c>
      <c r="N757" s="27">
        <f>F757-J757</f>
        <v/>
      </c>
      <c r="O757" s="16">
        <f>I757-H757</f>
        <v/>
      </c>
      <c r="P757" s="14">
        <f>F757*G757</f>
        <v/>
      </c>
      <c r="Q757" s="14">
        <f>J757*G757</f>
        <v/>
      </c>
      <c r="R757" s="14">
        <f>K757-Q757</f>
        <v/>
      </c>
      <c r="S757" s="3">
        <f>P757*Assumptions!$B$3/100</f>
        <v/>
      </c>
      <c r="T757" s="14">
        <f>R757-S757</f>
        <v/>
      </c>
      <c r="U757" s="14">
        <f>L757*G757</f>
        <v/>
      </c>
    </row>
    <row r="758">
      <c r="A758" s="12" t="inlineStr">
        <is>
          <t>PO-2021-0756</t>
        </is>
      </c>
      <c r="B758" s="26" t="n">
        <v>44465</v>
      </c>
      <c r="C758" s="12" t="inlineStr">
        <is>
          <t>VS34</t>
        </is>
      </c>
      <c r="D758" s="12" t="inlineStr">
        <is>
          <t>MS Sheets</t>
        </is>
      </c>
      <c r="E758" s="12" t="inlineStr">
        <is>
          <t>N</t>
        </is>
      </c>
      <c r="F758" s="12" t="n">
        <v>2.4</v>
      </c>
      <c r="G758" s="17" t="n">
        <v>94766.19</v>
      </c>
      <c r="H758" s="26" t="n">
        <v>44473</v>
      </c>
      <c r="I758" s="26" t="n">
        <v>44473</v>
      </c>
      <c r="J758" s="12" t="n">
        <v>2.4</v>
      </c>
      <c r="K758" s="17" t="n">
        <v>227438.86</v>
      </c>
      <c r="L758" s="12" t="n">
        <v>0</v>
      </c>
      <c r="M758" s="12" t="n">
        <v>1</v>
      </c>
      <c r="N758" s="27">
        <f>F758-J758</f>
        <v/>
      </c>
      <c r="O758" s="16">
        <f>I758-H758</f>
        <v/>
      </c>
      <c r="P758" s="14">
        <f>F758*G758</f>
        <v/>
      </c>
      <c r="Q758" s="14">
        <f>J758*G758</f>
        <v/>
      </c>
      <c r="R758" s="14">
        <f>K758-Q758</f>
        <v/>
      </c>
      <c r="S758" s="3">
        <f>P758*Assumptions!$B$3/100</f>
        <v/>
      </c>
      <c r="T758" s="14">
        <f>R758-S758</f>
        <v/>
      </c>
      <c r="U758" s="14">
        <f>L758*G758</f>
        <v/>
      </c>
    </row>
    <row r="759">
      <c r="A759" s="12" t="inlineStr">
        <is>
          <t>PO-2021-0757</t>
        </is>
      </c>
      <c r="B759" s="26" t="n">
        <v>45172</v>
      </c>
      <c r="C759" s="12" t="inlineStr">
        <is>
          <t>VS30</t>
        </is>
      </c>
      <c r="D759" s="12" t="inlineStr">
        <is>
          <t>Spring Steel</t>
        </is>
      </c>
      <c r="E759" s="12" t="inlineStr">
        <is>
          <t>N</t>
        </is>
      </c>
      <c r="F759" s="12" t="n">
        <v>46.81</v>
      </c>
      <c r="G759" s="17" t="n">
        <v>86140.89999999999</v>
      </c>
      <c r="H759" s="26" t="n">
        <v>45177</v>
      </c>
      <c r="I759" s="26" t="n">
        <v>45179</v>
      </c>
      <c r="J759" s="12" t="n">
        <v>46.6</v>
      </c>
      <c r="K759" s="17" t="n">
        <v>4032255.53</v>
      </c>
      <c r="L759" s="12" t="n">
        <v>0</v>
      </c>
      <c r="M759" s="12" t="n">
        <v>0</v>
      </c>
      <c r="N759" s="27">
        <f>F759-J759</f>
        <v/>
      </c>
      <c r="O759" s="16">
        <f>I759-H759</f>
        <v/>
      </c>
      <c r="P759" s="14">
        <f>F759*G759</f>
        <v/>
      </c>
      <c r="Q759" s="14">
        <f>J759*G759</f>
        <v/>
      </c>
      <c r="R759" s="14">
        <f>K759-Q759</f>
        <v/>
      </c>
      <c r="S759" s="3">
        <f>P759*Assumptions!$B$3/100</f>
        <v/>
      </c>
      <c r="T759" s="14">
        <f>R759-S759</f>
        <v/>
      </c>
      <c r="U759" s="14">
        <f>L759*G759</f>
        <v/>
      </c>
    </row>
    <row r="760">
      <c r="A760" s="12" t="inlineStr">
        <is>
          <t>PO-2021-0758</t>
        </is>
      </c>
      <c r="B760" s="26" t="n">
        <v>44559</v>
      </c>
      <c r="C760" s="12" t="inlineStr">
        <is>
          <t>VS30</t>
        </is>
      </c>
      <c r="D760" s="12" t="inlineStr">
        <is>
          <t>GI Wire</t>
        </is>
      </c>
      <c r="E760" s="12" t="inlineStr">
        <is>
          <t>N</t>
        </is>
      </c>
      <c r="F760" s="12" t="n">
        <v>26.65</v>
      </c>
      <c r="G760" s="17" t="n">
        <v>92964.62</v>
      </c>
      <c r="H760" s="26" t="n">
        <v>44566</v>
      </c>
      <c r="I760" s="26" t="n">
        <v>44569</v>
      </c>
      <c r="J760" s="12" t="n">
        <v>26.38</v>
      </c>
      <c r="K760" s="17" t="n">
        <v>2477507.12</v>
      </c>
      <c r="L760" s="12" t="n">
        <v>0</v>
      </c>
      <c r="M760" s="12" t="n">
        <v>9</v>
      </c>
      <c r="N760" s="27">
        <f>F760-J760</f>
        <v/>
      </c>
      <c r="O760" s="16">
        <f>I760-H760</f>
        <v/>
      </c>
      <c r="P760" s="14">
        <f>F760*G760</f>
        <v/>
      </c>
      <c r="Q760" s="14">
        <f>J760*G760</f>
        <v/>
      </c>
      <c r="R760" s="14">
        <f>K760-Q760</f>
        <v/>
      </c>
      <c r="S760" s="3">
        <f>P760*Assumptions!$B$3/100</f>
        <v/>
      </c>
      <c r="T760" s="14">
        <f>R760-S760</f>
        <v/>
      </c>
      <c r="U760" s="14">
        <f>L760*G760</f>
        <v/>
      </c>
    </row>
    <row r="761">
      <c r="A761" s="12" t="inlineStr">
        <is>
          <t>PO-2021-0759</t>
        </is>
      </c>
      <c r="B761" s="26" t="n">
        <v>44908</v>
      </c>
      <c r="C761" s="12" t="inlineStr">
        <is>
          <t>VS31</t>
        </is>
      </c>
      <c r="D761" s="12" t="inlineStr">
        <is>
          <t>Spring Steel</t>
        </is>
      </c>
      <c r="E761" s="12" t="inlineStr">
        <is>
          <t>N</t>
        </is>
      </c>
      <c r="F761" s="12" t="n">
        <v>12.13</v>
      </c>
      <c r="G761" s="17" t="n">
        <v>51716.55</v>
      </c>
      <c r="H761" s="26" t="n">
        <v>44915</v>
      </c>
      <c r="I761" s="26" t="n">
        <v>44915</v>
      </c>
      <c r="J761" s="12" t="n">
        <v>12.07</v>
      </c>
      <c r="K761" s="17" t="n">
        <v>627321.75</v>
      </c>
      <c r="L761" s="12" t="n">
        <v>0</v>
      </c>
      <c r="M761" s="12" t="n">
        <v>0</v>
      </c>
      <c r="N761" s="27">
        <f>F761-J761</f>
        <v/>
      </c>
      <c r="O761" s="16">
        <f>I761-H761</f>
        <v/>
      </c>
      <c r="P761" s="14">
        <f>F761*G761</f>
        <v/>
      </c>
      <c r="Q761" s="14">
        <f>J761*G761</f>
        <v/>
      </c>
      <c r="R761" s="14">
        <f>K761-Q761</f>
        <v/>
      </c>
      <c r="S761" s="3">
        <f>P761*Assumptions!$B$3/100</f>
        <v/>
      </c>
      <c r="T761" s="14">
        <f>R761-S761</f>
        <v/>
      </c>
      <c r="U761" s="14">
        <f>L761*G761</f>
        <v/>
      </c>
    </row>
    <row r="762">
      <c r="A762" s="12" t="inlineStr">
        <is>
          <t>PO-2021-0760</t>
        </is>
      </c>
      <c r="B762" s="26" t="n">
        <v>44946</v>
      </c>
      <c r="C762" s="12" t="inlineStr">
        <is>
          <t>VS27</t>
        </is>
      </c>
      <c r="D762" s="12" t="inlineStr">
        <is>
          <t>CR Sheets</t>
        </is>
      </c>
      <c r="E762" s="12" t="inlineStr">
        <is>
          <t>N</t>
        </is>
      </c>
      <c r="F762" s="12" t="n">
        <v>8.630000000000001</v>
      </c>
      <c r="G762" s="17" t="n">
        <v>45791.69</v>
      </c>
      <c r="H762" s="26" t="n">
        <v>44957</v>
      </c>
      <c r="I762" s="26" t="n">
        <v>44960</v>
      </c>
      <c r="J762" s="12" t="n">
        <v>8.59</v>
      </c>
      <c r="K762" s="17" t="n">
        <v>395182.28</v>
      </c>
      <c r="L762" s="12" t="n">
        <v>0</v>
      </c>
      <c r="M762" s="12" t="n">
        <v>16</v>
      </c>
      <c r="N762" s="27">
        <f>F762-J762</f>
        <v/>
      </c>
      <c r="O762" s="16">
        <f>I762-H762</f>
        <v/>
      </c>
      <c r="P762" s="14">
        <f>F762*G762</f>
        <v/>
      </c>
      <c r="Q762" s="14">
        <f>J762*G762</f>
        <v/>
      </c>
      <c r="R762" s="14">
        <f>K762-Q762</f>
        <v/>
      </c>
      <c r="S762" s="3">
        <f>P762*Assumptions!$B$3/100</f>
        <v/>
      </c>
      <c r="T762" s="14">
        <f>R762-S762</f>
        <v/>
      </c>
      <c r="U762" s="14">
        <f>L762*G762</f>
        <v/>
      </c>
    </row>
    <row r="763">
      <c r="A763" s="12" t="inlineStr">
        <is>
          <t>PO-2021-0761</t>
        </is>
      </c>
      <c r="B763" s="26" t="n">
        <v>44476</v>
      </c>
      <c r="C763" s="12" t="inlineStr">
        <is>
          <t>VS23</t>
        </is>
      </c>
      <c r="D763" s="12" t="inlineStr">
        <is>
          <t>SS Sheets</t>
        </is>
      </c>
      <c r="E763" s="12" t="inlineStr">
        <is>
          <t>N</t>
        </is>
      </c>
      <c r="F763" s="12" t="n">
        <v>23.99</v>
      </c>
      <c r="G763" s="17" t="n">
        <v>45623.78</v>
      </c>
      <c r="H763" s="26" t="n">
        <v>44486</v>
      </c>
      <c r="I763" s="26" t="n">
        <v>44488</v>
      </c>
      <c r="J763" s="12" t="n">
        <v>23.79</v>
      </c>
      <c r="K763" s="17" t="n">
        <v>1094514.48</v>
      </c>
      <c r="L763" s="12" t="n">
        <v>0</v>
      </c>
      <c r="M763" s="12" t="n">
        <v>0</v>
      </c>
      <c r="N763" s="27">
        <f>F763-J763</f>
        <v/>
      </c>
      <c r="O763" s="16">
        <f>I763-H763</f>
        <v/>
      </c>
      <c r="P763" s="14">
        <f>F763*G763</f>
        <v/>
      </c>
      <c r="Q763" s="14">
        <f>J763*G763</f>
        <v/>
      </c>
      <c r="R763" s="14">
        <f>K763-Q763</f>
        <v/>
      </c>
      <c r="S763" s="3">
        <f>P763*Assumptions!$B$3/100</f>
        <v/>
      </c>
      <c r="T763" s="14">
        <f>R763-S763</f>
        <v/>
      </c>
      <c r="U763" s="14">
        <f>L763*G763</f>
        <v/>
      </c>
    </row>
    <row r="764">
      <c r="A764" s="12" t="inlineStr">
        <is>
          <t>PO-2021-0762</t>
        </is>
      </c>
      <c r="B764" s="26" t="n">
        <v>45174</v>
      </c>
      <c r="C764" s="12" t="inlineStr">
        <is>
          <t>VS20</t>
        </is>
      </c>
      <c r="D764" s="12" t="inlineStr">
        <is>
          <t>MS Pipes</t>
        </is>
      </c>
      <c r="E764" s="12" t="inlineStr">
        <is>
          <t>N</t>
        </is>
      </c>
      <c r="F764" s="12" t="n">
        <v>38.53</v>
      </c>
      <c r="G764" s="17" t="n">
        <v>104847.36</v>
      </c>
      <c r="H764" s="26" t="n">
        <v>45186</v>
      </c>
      <c r="I764" s="26" t="n">
        <v>45189</v>
      </c>
      <c r="J764" s="12" t="n">
        <v>38.39</v>
      </c>
      <c r="K764" s="17" t="n">
        <v>4039768.78</v>
      </c>
      <c r="L764" s="12" t="n">
        <v>0</v>
      </c>
      <c r="M764" s="12" t="n">
        <v>0</v>
      </c>
      <c r="N764" s="27">
        <f>F764-J764</f>
        <v/>
      </c>
      <c r="O764" s="16">
        <f>I764-H764</f>
        <v/>
      </c>
      <c r="P764" s="14">
        <f>F764*G764</f>
        <v/>
      </c>
      <c r="Q764" s="14">
        <f>J764*G764</f>
        <v/>
      </c>
      <c r="R764" s="14">
        <f>K764-Q764</f>
        <v/>
      </c>
      <c r="S764" s="3">
        <f>P764*Assumptions!$B$3/100</f>
        <v/>
      </c>
      <c r="T764" s="14">
        <f>R764-S764</f>
        <v/>
      </c>
      <c r="U764" s="14">
        <f>L764*G764</f>
        <v/>
      </c>
    </row>
    <row r="765">
      <c r="A765" s="12" t="inlineStr">
        <is>
          <t>PO-2021-0763</t>
        </is>
      </c>
      <c r="B765" s="26" t="n">
        <v>44670</v>
      </c>
      <c r="C765" s="12" t="inlineStr">
        <is>
          <t>VS01</t>
        </is>
      </c>
      <c r="D765" s="12" t="inlineStr">
        <is>
          <t>Spring Steel</t>
        </is>
      </c>
      <c r="E765" s="12" t="inlineStr">
        <is>
          <t>N</t>
        </is>
      </c>
      <c r="F765" s="12" t="n">
        <v>19.31</v>
      </c>
      <c r="G765" s="17" t="n">
        <v>75880.19</v>
      </c>
      <c r="H765" s="26" t="n">
        <v>44681</v>
      </c>
      <c r="I765" s="26" t="n">
        <v>44681</v>
      </c>
      <c r="J765" s="12" t="n">
        <v>19.21</v>
      </c>
      <c r="K765" s="17" t="n">
        <v>1465246.47</v>
      </c>
      <c r="L765" s="12" t="n">
        <v>0</v>
      </c>
      <c r="M765" s="12" t="n">
        <v>7</v>
      </c>
      <c r="N765" s="27">
        <f>F765-J765</f>
        <v/>
      </c>
      <c r="O765" s="16">
        <f>I765-H765</f>
        <v/>
      </c>
      <c r="P765" s="14">
        <f>F765*G765</f>
        <v/>
      </c>
      <c r="Q765" s="14">
        <f>J765*G765</f>
        <v/>
      </c>
      <c r="R765" s="14">
        <f>K765-Q765</f>
        <v/>
      </c>
      <c r="S765" s="3">
        <f>P765*Assumptions!$B$3/100</f>
        <v/>
      </c>
      <c r="T765" s="14">
        <f>R765-S765</f>
        <v/>
      </c>
      <c r="U765" s="14">
        <f>L765*G765</f>
        <v/>
      </c>
    </row>
    <row r="766">
      <c r="A766" s="12" t="inlineStr">
        <is>
          <t>PO-2021-0764</t>
        </is>
      </c>
      <c r="B766" s="26" t="n">
        <v>45092</v>
      </c>
      <c r="C766" s="12" t="inlineStr">
        <is>
          <t>VS26</t>
        </is>
      </c>
      <c r="D766" s="12" t="inlineStr">
        <is>
          <t>HR Coils</t>
        </is>
      </c>
      <c r="E766" s="12" t="inlineStr">
        <is>
          <t>N</t>
        </is>
      </c>
      <c r="F766" s="12" t="n">
        <v>9</v>
      </c>
      <c r="G766" s="17" t="n">
        <v>100283.84</v>
      </c>
      <c r="H766" s="26" t="n">
        <v>45101</v>
      </c>
      <c r="I766" s="26" t="n">
        <v>45101</v>
      </c>
      <c r="J766" s="12" t="n">
        <v>8.94</v>
      </c>
      <c r="K766" s="17" t="n">
        <v>902554.5600000001</v>
      </c>
      <c r="L766" s="12" t="n">
        <v>0</v>
      </c>
      <c r="M766" s="12" t="n">
        <v>0</v>
      </c>
      <c r="N766" s="27">
        <f>F766-J766</f>
        <v/>
      </c>
      <c r="O766" s="16">
        <f>I766-H766</f>
        <v/>
      </c>
      <c r="P766" s="14">
        <f>F766*G766</f>
        <v/>
      </c>
      <c r="Q766" s="14">
        <f>J766*G766</f>
        <v/>
      </c>
      <c r="R766" s="14">
        <f>K766-Q766</f>
        <v/>
      </c>
      <c r="S766" s="3">
        <f>P766*Assumptions!$B$3/100</f>
        <v/>
      </c>
      <c r="T766" s="14">
        <f>R766-S766</f>
        <v/>
      </c>
      <c r="U766" s="14">
        <f>L766*G766</f>
        <v/>
      </c>
    </row>
    <row r="767">
      <c r="A767" s="12" t="inlineStr">
        <is>
          <t>PO-2021-0765</t>
        </is>
      </c>
      <c r="B767" s="26" t="n">
        <v>44971</v>
      </c>
      <c r="C767" s="12" t="inlineStr">
        <is>
          <t>VS15</t>
        </is>
      </c>
      <c r="D767" s="12" t="inlineStr">
        <is>
          <t>CR Sheets</t>
        </is>
      </c>
      <c r="E767" s="12" t="inlineStr">
        <is>
          <t>N</t>
        </is>
      </c>
      <c r="F767" s="12" t="n">
        <v>4.88</v>
      </c>
      <c r="G767" s="17" t="n">
        <v>91899.23</v>
      </c>
      <c r="H767" s="26" t="n">
        <v>44982</v>
      </c>
      <c r="I767" s="26" t="n">
        <v>44985</v>
      </c>
      <c r="J767" s="12" t="n">
        <v>4.88</v>
      </c>
      <c r="K767" s="17" t="n">
        <v>448468.24</v>
      </c>
      <c r="L767" s="12" t="n">
        <v>0</v>
      </c>
      <c r="M767" s="12" t="n">
        <v>0</v>
      </c>
      <c r="N767" s="27">
        <f>F767-J767</f>
        <v/>
      </c>
      <c r="O767" s="16">
        <f>I767-H767</f>
        <v/>
      </c>
      <c r="P767" s="14">
        <f>F767*G767</f>
        <v/>
      </c>
      <c r="Q767" s="14">
        <f>J767*G767</f>
        <v/>
      </c>
      <c r="R767" s="14">
        <f>K767-Q767</f>
        <v/>
      </c>
      <c r="S767" s="3">
        <f>P767*Assumptions!$B$3/100</f>
        <v/>
      </c>
      <c r="T767" s="14">
        <f>R767-S767</f>
        <v/>
      </c>
      <c r="U767" s="14">
        <f>L767*G767</f>
        <v/>
      </c>
    </row>
    <row r="768">
      <c r="A768" s="12" t="inlineStr">
        <is>
          <t>PO-2021-0766</t>
        </is>
      </c>
      <c r="B768" s="26" t="n">
        <v>44753</v>
      </c>
      <c r="C768" s="12" t="inlineStr">
        <is>
          <t>VS19</t>
        </is>
      </c>
      <c r="D768" s="12" t="inlineStr">
        <is>
          <t>Spring Steel</t>
        </is>
      </c>
      <c r="E768" s="12" t="inlineStr">
        <is>
          <t>N</t>
        </is>
      </c>
      <c r="F768" s="12" t="n">
        <v>40.63</v>
      </c>
      <c r="G768" s="17" t="n">
        <v>79006.5</v>
      </c>
      <c r="H768" s="26" t="n">
        <v>44757</v>
      </c>
      <c r="I768" s="26" t="n">
        <v>44764</v>
      </c>
      <c r="J768" s="12" t="n">
        <v>39.14</v>
      </c>
      <c r="K768" s="17" t="n">
        <v>3210034.1</v>
      </c>
      <c r="L768" s="12" t="n">
        <v>0.74</v>
      </c>
      <c r="M768" s="12" t="n">
        <v>24</v>
      </c>
      <c r="N768" s="27">
        <f>F768-J768</f>
        <v/>
      </c>
      <c r="O768" s="16">
        <f>I768-H768</f>
        <v/>
      </c>
      <c r="P768" s="14">
        <f>F768*G768</f>
        <v/>
      </c>
      <c r="Q768" s="14">
        <f>J768*G768</f>
        <v/>
      </c>
      <c r="R768" s="14">
        <f>K768-Q768</f>
        <v/>
      </c>
      <c r="S768" s="3">
        <f>P768*Assumptions!$B$3/100</f>
        <v/>
      </c>
      <c r="T768" s="14">
        <f>R768-S768</f>
        <v/>
      </c>
      <c r="U768" s="14">
        <f>L768*G768</f>
        <v/>
      </c>
    </row>
    <row r="769">
      <c r="A769" s="12" t="inlineStr">
        <is>
          <t>PO-2021-0767</t>
        </is>
      </c>
      <c r="B769" s="26" t="n">
        <v>44570</v>
      </c>
      <c r="C769" s="12" t="inlineStr">
        <is>
          <t>VS09</t>
        </is>
      </c>
      <c r="D769" s="12" t="inlineStr">
        <is>
          <t>SS Sheets</t>
        </is>
      </c>
      <c r="E769" s="12" t="inlineStr">
        <is>
          <t>N</t>
        </is>
      </c>
      <c r="F769" s="12" t="n">
        <v>6.41</v>
      </c>
      <c r="G769" s="17" t="n">
        <v>79150.73</v>
      </c>
      <c r="H769" s="26" t="n">
        <v>44580</v>
      </c>
      <c r="I769" s="26" t="n">
        <v>44581</v>
      </c>
      <c r="J769" s="12" t="n">
        <v>6.39</v>
      </c>
      <c r="K769" s="17" t="n">
        <v>507356.18</v>
      </c>
      <c r="L769" s="12" t="n">
        <v>0</v>
      </c>
      <c r="M769" s="12" t="n">
        <v>0</v>
      </c>
      <c r="N769" s="27">
        <f>F769-J769</f>
        <v/>
      </c>
      <c r="O769" s="16">
        <f>I769-H769</f>
        <v/>
      </c>
      <c r="P769" s="14">
        <f>F769*G769</f>
        <v/>
      </c>
      <c r="Q769" s="14">
        <f>J769*G769</f>
        <v/>
      </c>
      <c r="R769" s="14">
        <f>K769-Q769</f>
        <v/>
      </c>
      <c r="S769" s="3">
        <f>P769*Assumptions!$B$3/100</f>
        <v/>
      </c>
      <c r="T769" s="14">
        <f>R769-S769</f>
        <v/>
      </c>
      <c r="U769" s="14">
        <f>L769*G769</f>
        <v/>
      </c>
    </row>
    <row r="770">
      <c r="A770" s="12" t="inlineStr">
        <is>
          <t>PO-2021-0768</t>
        </is>
      </c>
      <c r="B770" s="26" t="n">
        <v>44754</v>
      </c>
      <c r="C770" s="12" t="inlineStr">
        <is>
          <t>VS32</t>
        </is>
      </c>
      <c r="D770" s="12" t="inlineStr">
        <is>
          <t>GI Sheets</t>
        </is>
      </c>
      <c r="E770" s="12" t="inlineStr">
        <is>
          <t>N</t>
        </is>
      </c>
      <c r="F770" s="12" t="n">
        <v>16.71</v>
      </c>
      <c r="G770" s="17" t="n">
        <v>56411.2</v>
      </c>
      <c r="H770" s="26" t="n">
        <v>44765</v>
      </c>
      <c r="I770" s="26" t="n">
        <v>44768</v>
      </c>
      <c r="J770" s="12" t="n">
        <v>16.56</v>
      </c>
      <c r="K770" s="17" t="n">
        <v>942631.15</v>
      </c>
      <c r="L770" s="12" t="n">
        <v>0</v>
      </c>
      <c r="M770" s="12" t="n">
        <v>5</v>
      </c>
      <c r="N770" s="27">
        <f>F770-J770</f>
        <v/>
      </c>
      <c r="O770" s="16">
        <f>I770-H770</f>
        <v/>
      </c>
      <c r="P770" s="14">
        <f>F770*G770</f>
        <v/>
      </c>
      <c r="Q770" s="14">
        <f>J770*G770</f>
        <v/>
      </c>
      <c r="R770" s="14">
        <f>K770-Q770</f>
        <v/>
      </c>
      <c r="S770" s="3">
        <f>P770*Assumptions!$B$3/100</f>
        <v/>
      </c>
      <c r="T770" s="14">
        <f>R770-S770</f>
        <v/>
      </c>
      <c r="U770" s="14">
        <f>L770*G770</f>
        <v/>
      </c>
    </row>
    <row r="771">
      <c r="A771" s="12" t="inlineStr">
        <is>
          <t>PO-2021-0769</t>
        </is>
      </c>
      <c r="B771" s="26" t="n">
        <v>44242</v>
      </c>
      <c r="C771" s="12" t="inlineStr">
        <is>
          <t>VS12</t>
        </is>
      </c>
      <c r="D771" s="12" t="inlineStr">
        <is>
          <t>ERW Pipes</t>
        </is>
      </c>
      <c r="E771" s="12" t="inlineStr">
        <is>
          <t>N</t>
        </is>
      </c>
      <c r="F771" s="12" t="n">
        <v>14.82</v>
      </c>
      <c r="G771" s="17" t="n">
        <v>56553.06</v>
      </c>
      <c r="H771" s="26" t="n">
        <v>44252</v>
      </c>
      <c r="I771" s="26" t="n">
        <v>44254</v>
      </c>
      <c r="J771" s="12" t="n">
        <v>14.12</v>
      </c>
      <c r="K771" s="17" t="n">
        <v>838116.35</v>
      </c>
      <c r="L771" s="12" t="n">
        <v>0.65</v>
      </c>
      <c r="M771" s="12" t="n">
        <v>16</v>
      </c>
      <c r="N771" s="27">
        <f>F771-J771</f>
        <v/>
      </c>
      <c r="O771" s="16">
        <f>I771-H771</f>
        <v/>
      </c>
      <c r="P771" s="14">
        <f>F771*G771</f>
        <v/>
      </c>
      <c r="Q771" s="14">
        <f>J771*G771</f>
        <v/>
      </c>
      <c r="R771" s="14">
        <f>K771-Q771</f>
        <v/>
      </c>
      <c r="S771" s="3">
        <f>P771*Assumptions!$B$3/100</f>
        <v/>
      </c>
      <c r="T771" s="14">
        <f>R771-S771</f>
        <v/>
      </c>
      <c r="U771" s="14">
        <f>L771*G771</f>
        <v/>
      </c>
    </row>
    <row r="772">
      <c r="A772" s="12" t="inlineStr">
        <is>
          <t>PO-2021-0770</t>
        </is>
      </c>
      <c r="B772" s="26" t="n">
        <v>44213</v>
      </c>
      <c r="C772" s="12" t="inlineStr">
        <is>
          <t>VS15</t>
        </is>
      </c>
      <c r="D772" s="12" t="inlineStr">
        <is>
          <t>SS Pipes</t>
        </is>
      </c>
      <c r="E772" s="12" t="inlineStr">
        <is>
          <t>N</t>
        </is>
      </c>
      <c r="F772" s="12" t="n">
        <v>8.380000000000001</v>
      </c>
      <c r="G772" s="17" t="n">
        <v>82018.47</v>
      </c>
      <c r="H772" s="26" t="n">
        <v>44221</v>
      </c>
      <c r="I772" s="26" t="n">
        <v>44221</v>
      </c>
      <c r="J772" s="12" t="n">
        <v>8.300000000000001</v>
      </c>
      <c r="K772" s="17" t="n">
        <v>687314.78</v>
      </c>
      <c r="L772" s="12" t="n">
        <v>0</v>
      </c>
      <c r="M772" s="12" t="n">
        <v>0</v>
      </c>
      <c r="N772" s="27">
        <f>F772-J772</f>
        <v/>
      </c>
      <c r="O772" s="16">
        <f>I772-H772</f>
        <v/>
      </c>
      <c r="P772" s="14">
        <f>F772*G772</f>
        <v/>
      </c>
      <c r="Q772" s="14">
        <f>J772*G772</f>
        <v/>
      </c>
      <c r="R772" s="14">
        <f>K772-Q772</f>
        <v/>
      </c>
      <c r="S772" s="3">
        <f>P772*Assumptions!$B$3/100</f>
        <v/>
      </c>
      <c r="T772" s="14">
        <f>R772-S772</f>
        <v/>
      </c>
      <c r="U772" s="14">
        <f>L772*G772</f>
        <v/>
      </c>
    </row>
    <row r="773">
      <c r="A773" s="12" t="inlineStr">
        <is>
          <t>PO-2021-0771</t>
        </is>
      </c>
      <c r="B773" s="26" t="n">
        <v>45057</v>
      </c>
      <c r="C773" s="12" t="inlineStr">
        <is>
          <t>VS20</t>
        </is>
      </c>
      <c r="D773" s="12" t="inlineStr">
        <is>
          <t>Structural Steel</t>
        </is>
      </c>
      <c r="E773" s="12" t="inlineStr">
        <is>
          <t>N</t>
        </is>
      </c>
      <c r="F773" s="12" t="n">
        <v>49.9</v>
      </c>
      <c r="G773" s="17" t="n">
        <v>79776.34</v>
      </c>
      <c r="H773" s="26" t="n">
        <v>45072</v>
      </c>
      <c r="I773" s="26" t="n">
        <v>45072</v>
      </c>
      <c r="J773" s="12" t="n">
        <v>49.81</v>
      </c>
      <c r="K773" s="17" t="n">
        <v>3980839.37</v>
      </c>
      <c r="L773" s="12" t="n">
        <v>0</v>
      </c>
      <c r="M773" s="12" t="n">
        <v>22</v>
      </c>
      <c r="N773" s="27">
        <f>F773-J773</f>
        <v/>
      </c>
      <c r="O773" s="16">
        <f>I773-H773</f>
        <v/>
      </c>
      <c r="P773" s="14">
        <f>F773*G773</f>
        <v/>
      </c>
      <c r="Q773" s="14">
        <f>J773*G773</f>
        <v/>
      </c>
      <c r="R773" s="14">
        <f>K773-Q773</f>
        <v/>
      </c>
      <c r="S773" s="3">
        <f>P773*Assumptions!$B$3/100</f>
        <v/>
      </c>
      <c r="T773" s="14">
        <f>R773-S773</f>
        <v/>
      </c>
      <c r="U773" s="14">
        <f>L773*G773</f>
        <v/>
      </c>
    </row>
    <row r="774">
      <c r="A774" s="12" t="inlineStr">
        <is>
          <t>PO-2021-0772</t>
        </is>
      </c>
      <c r="B774" s="26" t="n">
        <v>44261</v>
      </c>
      <c r="C774" s="12" t="inlineStr">
        <is>
          <t>VS22</t>
        </is>
      </c>
      <c r="D774" s="12" t="inlineStr">
        <is>
          <t>SS Pipes</t>
        </is>
      </c>
      <c r="E774" s="12" t="inlineStr">
        <is>
          <t>N</t>
        </is>
      </c>
      <c r="F774" s="12" t="n">
        <v>42.33</v>
      </c>
      <c r="G774" s="17" t="n">
        <v>116373.3</v>
      </c>
      <c r="H774" s="26" t="n">
        <v>44264</v>
      </c>
      <c r="I774" s="26" t="n">
        <v>44266</v>
      </c>
      <c r="J774" s="12" t="n">
        <v>41.92</v>
      </c>
      <c r="K774" s="17" t="n">
        <v>4926081.79</v>
      </c>
      <c r="L774" s="12" t="n">
        <v>0</v>
      </c>
      <c r="M774" s="12" t="n">
        <v>23</v>
      </c>
      <c r="N774" s="27">
        <f>F774-J774</f>
        <v/>
      </c>
      <c r="O774" s="16">
        <f>I774-H774</f>
        <v/>
      </c>
      <c r="P774" s="14">
        <f>F774*G774</f>
        <v/>
      </c>
      <c r="Q774" s="14">
        <f>J774*G774</f>
        <v/>
      </c>
      <c r="R774" s="14">
        <f>K774-Q774</f>
        <v/>
      </c>
      <c r="S774" s="3">
        <f>P774*Assumptions!$B$3/100</f>
        <v/>
      </c>
      <c r="T774" s="14">
        <f>R774-S774</f>
        <v/>
      </c>
      <c r="U774" s="14">
        <f>L774*G774</f>
        <v/>
      </c>
    </row>
    <row r="775">
      <c r="A775" s="12" t="inlineStr">
        <is>
          <t>PO-2021-0773</t>
        </is>
      </c>
      <c r="B775" s="26" t="n">
        <v>44742</v>
      </c>
      <c r="C775" s="12" t="inlineStr">
        <is>
          <t>VS26</t>
        </is>
      </c>
      <c r="D775" s="12" t="inlineStr">
        <is>
          <t>SS Pipes</t>
        </is>
      </c>
      <c r="E775" s="12" t="inlineStr">
        <is>
          <t>N</t>
        </is>
      </c>
      <c r="F775" s="12" t="n">
        <v>27.62</v>
      </c>
      <c r="G775" s="17" t="n">
        <v>58620.28</v>
      </c>
      <c r="H775" s="26" t="n">
        <v>44749</v>
      </c>
      <c r="I775" s="26" t="n">
        <v>44749</v>
      </c>
      <c r="J775" s="12" t="n">
        <v>27.45</v>
      </c>
      <c r="K775" s="17" t="n">
        <v>1619092.13</v>
      </c>
      <c r="L775" s="12" t="n">
        <v>0</v>
      </c>
      <c r="M775" s="12" t="n">
        <v>24</v>
      </c>
      <c r="N775" s="27">
        <f>F775-J775</f>
        <v/>
      </c>
      <c r="O775" s="16">
        <f>I775-H775</f>
        <v/>
      </c>
      <c r="P775" s="14">
        <f>F775*G775</f>
        <v/>
      </c>
      <c r="Q775" s="14">
        <f>J775*G775</f>
        <v/>
      </c>
      <c r="R775" s="14">
        <f>K775-Q775</f>
        <v/>
      </c>
      <c r="S775" s="3">
        <f>P775*Assumptions!$B$3/100</f>
        <v/>
      </c>
      <c r="T775" s="14">
        <f>R775-S775</f>
        <v/>
      </c>
      <c r="U775" s="14">
        <f>L775*G775</f>
        <v/>
      </c>
    </row>
    <row r="776">
      <c r="A776" s="12" t="inlineStr">
        <is>
          <t>PO-2021-0774</t>
        </is>
      </c>
      <c r="B776" s="26" t="n">
        <v>44978</v>
      </c>
      <c r="C776" s="12" t="inlineStr">
        <is>
          <t>VS01</t>
        </is>
      </c>
      <c r="D776" s="12" t="inlineStr">
        <is>
          <t>ERW Pipes</t>
        </is>
      </c>
      <c r="E776" s="12" t="inlineStr">
        <is>
          <t>Y</t>
        </is>
      </c>
      <c r="F776" s="12" t="n">
        <v>48.76</v>
      </c>
      <c r="G776" s="17" t="n">
        <v>98601.19</v>
      </c>
      <c r="H776" s="26" t="n">
        <v>44987</v>
      </c>
      <c r="I776" s="26" t="n">
        <v>44989</v>
      </c>
      <c r="J776" s="12" t="n">
        <v>48.6</v>
      </c>
      <c r="K776" s="17" t="n">
        <v>4807794.02</v>
      </c>
      <c r="L776" s="12" t="n">
        <v>0</v>
      </c>
      <c r="M776" s="12" t="n">
        <v>25</v>
      </c>
      <c r="N776" s="27">
        <f>F776-J776</f>
        <v/>
      </c>
      <c r="O776" s="16">
        <f>I776-H776</f>
        <v/>
      </c>
      <c r="P776" s="14">
        <f>F776*G776</f>
        <v/>
      </c>
      <c r="Q776" s="14">
        <f>J776*G776</f>
        <v/>
      </c>
      <c r="R776" s="14">
        <f>K776-Q776</f>
        <v/>
      </c>
      <c r="S776" s="3">
        <f>P776*Assumptions!$B$3/100</f>
        <v/>
      </c>
      <c r="T776" s="14">
        <f>R776-S776</f>
        <v/>
      </c>
      <c r="U776" s="14">
        <f>L776*G776</f>
        <v/>
      </c>
    </row>
    <row r="777">
      <c r="A777" s="12" t="inlineStr">
        <is>
          <t>PO-2021-0775</t>
        </is>
      </c>
      <c r="B777" s="26" t="n">
        <v>45104</v>
      </c>
      <c r="C777" s="12" t="inlineStr">
        <is>
          <t>VS16</t>
        </is>
      </c>
      <c r="D777" s="12" t="inlineStr">
        <is>
          <t>GI Pipes</t>
        </is>
      </c>
      <c r="E777" s="12" t="inlineStr">
        <is>
          <t>N</t>
        </is>
      </c>
      <c r="F777" s="12" t="n">
        <v>10.76</v>
      </c>
      <c r="G777" s="17" t="n">
        <v>100149.21</v>
      </c>
      <c r="H777" s="26" t="n">
        <v>45108</v>
      </c>
      <c r="I777" s="26" t="n">
        <v>45111</v>
      </c>
      <c r="J777" s="12" t="n">
        <v>10.67</v>
      </c>
      <c r="K777" s="17" t="n">
        <v>1077605.5</v>
      </c>
      <c r="L777" s="12" t="n">
        <v>0</v>
      </c>
      <c r="M777" s="12" t="n">
        <v>19</v>
      </c>
      <c r="N777" s="27">
        <f>F777-J777</f>
        <v/>
      </c>
      <c r="O777" s="16">
        <f>I777-H777</f>
        <v/>
      </c>
      <c r="P777" s="14">
        <f>F777*G777</f>
        <v/>
      </c>
      <c r="Q777" s="14">
        <f>J777*G777</f>
        <v/>
      </c>
      <c r="R777" s="14">
        <f>K777-Q777</f>
        <v/>
      </c>
      <c r="S777" s="3">
        <f>P777*Assumptions!$B$3/100</f>
        <v/>
      </c>
      <c r="T777" s="14">
        <f>R777-S777</f>
        <v/>
      </c>
      <c r="U777" s="14">
        <f>L777*G777</f>
        <v/>
      </c>
    </row>
    <row r="778">
      <c r="A778" s="12" t="inlineStr">
        <is>
          <t>PO-2021-0776</t>
        </is>
      </c>
      <c r="B778" s="26" t="n">
        <v>45264</v>
      </c>
      <c r="C778" s="12" t="inlineStr">
        <is>
          <t>VS14</t>
        </is>
      </c>
      <c r="D778" s="12" t="inlineStr">
        <is>
          <t>Structural Steel</t>
        </is>
      </c>
      <c r="E778" s="12" t="inlineStr">
        <is>
          <t>Y</t>
        </is>
      </c>
      <c r="F778" s="12" t="n">
        <v>20.07</v>
      </c>
      <c r="G778" s="17" t="n">
        <v>117091.04</v>
      </c>
      <c r="H778" s="26" t="n">
        <v>45272</v>
      </c>
      <c r="I778" s="26" t="n">
        <v>45273</v>
      </c>
      <c r="J778" s="12" t="n">
        <v>20.01</v>
      </c>
      <c r="K778" s="17" t="n">
        <v>2350017.17</v>
      </c>
      <c r="L778" s="12" t="n">
        <v>0</v>
      </c>
      <c r="M778" s="12" t="n">
        <v>0</v>
      </c>
      <c r="N778" s="27">
        <f>F778-J778</f>
        <v/>
      </c>
      <c r="O778" s="16">
        <f>I778-H778</f>
        <v/>
      </c>
      <c r="P778" s="14">
        <f>F778*G778</f>
        <v/>
      </c>
      <c r="Q778" s="14">
        <f>J778*G778</f>
        <v/>
      </c>
      <c r="R778" s="14">
        <f>K778-Q778</f>
        <v/>
      </c>
      <c r="S778" s="3">
        <f>P778*Assumptions!$B$3/100</f>
        <v/>
      </c>
      <c r="T778" s="14">
        <f>R778-S778</f>
        <v/>
      </c>
      <c r="U778" s="14">
        <f>L778*G778</f>
        <v/>
      </c>
    </row>
    <row r="779">
      <c r="A779" s="12" t="inlineStr">
        <is>
          <t>PO-2021-0777</t>
        </is>
      </c>
      <c r="B779" s="26" t="n">
        <v>44521</v>
      </c>
      <c r="C779" s="12" t="inlineStr">
        <is>
          <t>VS03</t>
        </is>
      </c>
      <c r="D779" s="12" t="inlineStr">
        <is>
          <t>Spring Steel</t>
        </is>
      </c>
      <c r="E779" s="12" t="inlineStr">
        <is>
          <t>N</t>
        </is>
      </c>
      <c r="F779" s="12" t="n">
        <v>26.53</v>
      </c>
      <c r="G779" s="17" t="n">
        <v>66558.39</v>
      </c>
      <c r="H779" s="26" t="n">
        <v>44534</v>
      </c>
      <c r="I779" s="26" t="n">
        <v>44536</v>
      </c>
      <c r="J779" s="12" t="n">
        <v>25.27</v>
      </c>
      <c r="K779" s="17" t="n">
        <v>1765794.09</v>
      </c>
      <c r="L779" s="12" t="n">
        <v>1.25</v>
      </c>
      <c r="M779" s="12" t="n">
        <v>0</v>
      </c>
      <c r="N779" s="27">
        <f>F779-J779</f>
        <v/>
      </c>
      <c r="O779" s="16">
        <f>I779-H779</f>
        <v/>
      </c>
      <c r="P779" s="14">
        <f>F779*G779</f>
        <v/>
      </c>
      <c r="Q779" s="14">
        <f>J779*G779</f>
        <v/>
      </c>
      <c r="R779" s="14">
        <f>K779-Q779</f>
        <v/>
      </c>
      <c r="S779" s="3">
        <f>P779*Assumptions!$B$3/100</f>
        <v/>
      </c>
      <c r="T779" s="14">
        <f>R779-S779</f>
        <v/>
      </c>
      <c r="U779" s="14">
        <f>L779*G779</f>
        <v/>
      </c>
    </row>
    <row r="780">
      <c r="A780" s="12" t="inlineStr">
        <is>
          <t>PO-2021-0778</t>
        </is>
      </c>
      <c r="B780" s="26" t="n">
        <v>44808</v>
      </c>
      <c r="C780" s="12" t="inlineStr">
        <is>
          <t>VS13</t>
        </is>
      </c>
      <c r="D780" s="12" t="inlineStr">
        <is>
          <t>Angles &amp; Channels</t>
        </is>
      </c>
      <c r="E780" s="12" t="inlineStr">
        <is>
          <t>N</t>
        </is>
      </c>
      <c r="F780" s="12" t="n">
        <v>44.49</v>
      </c>
      <c r="G780" s="17" t="n">
        <v>109774.32</v>
      </c>
      <c r="H780" s="26" t="n">
        <v>44814</v>
      </c>
      <c r="I780" s="26" t="n">
        <v>44817</v>
      </c>
      <c r="J780" s="12" t="n">
        <v>44.21</v>
      </c>
      <c r="K780" s="17" t="n">
        <v>4883859.5</v>
      </c>
      <c r="L780" s="12" t="n">
        <v>0</v>
      </c>
      <c r="M780" s="12" t="n">
        <v>12</v>
      </c>
      <c r="N780" s="27">
        <f>F780-J780</f>
        <v/>
      </c>
      <c r="O780" s="16">
        <f>I780-H780</f>
        <v/>
      </c>
      <c r="P780" s="14">
        <f>F780*G780</f>
        <v/>
      </c>
      <c r="Q780" s="14">
        <f>J780*G780</f>
        <v/>
      </c>
      <c r="R780" s="14">
        <f>K780-Q780</f>
        <v/>
      </c>
      <c r="S780" s="3">
        <f>P780*Assumptions!$B$3/100</f>
        <v/>
      </c>
      <c r="T780" s="14">
        <f>R780-S780</f>
        <v/>
      </c>
      <c r="U780" s="14">
        <f>L780*G780</f>
        <v/>
      </c>
    </row>
    <row r="781">
      <c r="A781" s="12" t="inlineStr">
        <is>
          <t>PO-2021-0779</t>
        </is>
      </c>
      <c r="B781" s="26" t="n">
        <v>44428</v>
      </c>
      <c r="C781" s="12" t="inlineStr">
        <is>
          <t>VS16</t>
        </is>
      </c>
      <c r="D781" s="12" t="inlineStr">
        <is>
          <t>GI Wire</t>
        </is>
      </c>
      <c r="E781" s="12" t="inlineStr">
        <is>
          <t>N</t>
        </is>
      </c>
      <c r="F781" s="12" t="n">
        <v>16.9</v>
      </c>
      <c r="G781" s="17" t="n">
        <v>57552.03</v>
      </c>
      <c r="H781" s="26" t="n">
        <v>44435</v>
      </c>
      <c r="I781" s="26" t="n">
        <v>44438</v>
      </c>
      <c r="J781" s="12" t="n">
        <v>16.78</v>
      </c>
      <c r="K781" s="17" t="n">
        <v>972629.3100000001</v>
      </c>
      <c r="L781" s="12" t="n">
        <v>0</v>
      </c>
      <c r="M781" s="12" t="n">
        <v>0</v>
      </c>
      <c r="N781" s="27">
        <f>F781-J781</f>
        <v/>
      </c>
      <c r="O781" s="16">
        <f>I781-H781</f>
        <v/>
      </c>
      <c r="P781" s="14">
        <f>F781*G781</f>
        <v/>
      </c>
      <c r="Q781" s="14">
        <f>J781*G781</f>
        <v/>
      </c>
      <c r="R781" s="14">
        <f>K781-Q781</f>
        <v/>
      </c>
      <c r="S781" s="3">
        <f>P781*Assumptions!$B$3/100</f>
        <v/>
      </c>
      <c r="T781" s="14">
        <f>R781-S781</f>
        <v/>
      </c>
      <c r="U781" s="14">
        <f>L781*G781</f>
        <v/>
      </c>
    </row>
    <row r="782">
      <c r="A782" s="12" t="inlineStr">
        <is>
          <t>PO-2021-0780</t>
        </is>
      </c>
      <c r="B782" s="26" t="n">
        <v>44442</v>
      </c>
      <c r="C782" s="12" t="inlineStr">
        <is>
          <t>VS26</t>
        </is>
      </c>
      <c r="D782" s="12" t="inlineStr">
        <is>
          <t>HR Coils</t>
        </is>
      </c>
      <c r="E782" s="12" t="inlineStr">
        <is>
          <t>N</t>
        </is>
      </c>
      <c r="F782" s="12" t="n">
        <v>1.44</v>
      </c>
      <c r="G782" s="17" t="n">
        <v>48149.5</v>
      </c>
      <c r="H782" s="26" t="n">
        <v>44457</v>
      </c>
      <c r="I782" s="26" t="n">
        <v>44459</v>
      </c>
      <c r="J782" s="12" t="n">
        <v>1.43</v>
      </c>
      <c r="K782" s="17" t="n">
        <v>69335.28</v>
      </c>
      <c r="L782" s="12" t="n">
        <v>0</v>
      </c>
      <c r="M782" s="12" t="n">
        <v>14</v>
      </c>
      <c r="N782" s="27">
        <f>F782-J782</f>
        <v/>
      </c>
      <c r="O782" s="16">
        <f>I782-H782</f>
        <v/>
      </c>
      <c r="P782" s="14">
        <f>F782*G782</f>
        <v/>
      </c>
      <c r="Q782" s="14">
        <f>J782*G782</f>
        <v/>
      </c>
      <c r="R782" s="14">
        <f>K782-Q782</f>
        <v/>
      </c>
      <c r="S782" s="3">
        <f>P782*Assumptions!$B$3/100</f>
        <v/>
      </c>
      <c r="T782" s="14">
        <f>R782-S782</f>
        <v/>
      </c>
      <c r="U782" s="14">
        <f>L782*G782</f>
        <v/>
      </c>
    </row>
    <row r="783">
      <c r="A783" s="12" t="inlineStr">
        <is>
          <t>PO-2021-0781</t>
        </is>
      </c>
      <c r="B783" s="26" t="n">
        <v>45170</v>
      </c>
      <c r="C783" s="12" t="inlineStr">
        <is>
          <t>VS10</t>
        </is>
      </c>
      <c r="D783" s="12" t="inlineStr">
        <is>
          <t>Angles &amp; Channels</t>
        </is>
      </c>
      <c r="E783" s="12" t="inlineStr">
        <is>
          <t>Y</t>
        </is>
      </c>
      <c r="F783" s="12" t="n">
        <v>38.77</v>
      </c>
      <c r="G783" s="17" t="n">
        <v>63654.17</v>
      </c>
      <c r="H783" s="26" t="n">
        <v>45180</v>
      </c>
      <c r="I783" s="26" t="n">
        <v>45183</v>
      </c>
      <c r="J783" s="12" t="n">
        <v>38.51</v>
      </c>
      <c r="K783" s="17" t="n">
        <v>2467872.17</v>
      </c>
      <c r="L783" s="12" t="n">
        <v>0</v>
      </c>
      <c r="M783" s="12" t="n">
        <v>0</v>
      </c>
      <c r="N783" s="27">
        <f>F783-J783</f>
        <v/>
      </c>
      <c r="O783" s="16">
        <f>I783-H783</f>
        <v/>
      </c>
      <c r="P783" s="14">
        <f>F783*G783</f>
        <v/>
      </c>
      <c r="Q783" s="14">
        <f>J783*G783</f>
        <v/>
      </c>
      <c r="R783" s="14">
        <f>K783-Q783</f>
        <v/>
      </c>
      <c r="S783" s="3">
        <f>P783*Assumptions!$B$3/100</f>
        <v/>
      </c>
      <c r="T783" s="14">
        <f>R783-S783</f>
        <v/>
      </c>
      <c r="U783" s="14">
        <f>L783*G783</f>
        <v/>
      </c>
    </row>
    <row r="784">
      <c r="A784" s="12" t="inlineStr">
        <is>
          <t>PO-2021-0782</t>
        </is>
      </c>
      <c r="B784" s="26" t="n">
        <v>44384</v>
      </c>
      <c r="C784" s="12" t="inlineStr">
        <is>
          <t>VS22</t>
        </is>
      </c>
      <c r="D784" s="12" t="inlineStr">
        <is>
          <t>GI Pipes</t>
        </is>
      </c>
      <c r="E784" s="12" t="inlineStr">
        <is>
          <t>N</t>
        </is>
      </c>
      <c r="F784" s="12" t="n">
        <v>3.93</v>
      </c>
      <c r="G784" s="17" t="n">
        <v>93343.12</v>
      </c>
      <c r="H784" s="26" t="n">
        <v>44398</v>
      </c>
      <c r="I784" s="26" t="n">
        <v>44401</v>
      </c>
      <c r="J784" s="12" t="n">
        <v>3.92</v>
      </c>
      <c r="K784" s="17" t="n">
        <v>366838.46</v>
      </c>
      <c r="L784" s="12" t="n">
        <v>0</v>
      </c>
      <c r="M784" s="12" t="n">
        <v>16</v>
      </c>
      <c r="N784" s="27">
        <f>F784-J784</f>
        <v/>
      </c>
      <c r="O784" s="16">
        <f>I784-H784</f>
        <v/>
      </c>
      <c r="P784" s="14">
        <f>F784*G784</f>
        <v/>
      </c>
      <c r="Q784" s="14">
        <f>J784*G784</f>
        <v/>
      </c>
      <c r="R784" s="14">
        <f>K784-Q784</f>
        <v/>
      </c>
      <c r="S784" s="3">
        <f>P784*Assumptions!$B$3/100</f>
        <v/>
      </c>
      <c r="T784" s="14">
        <f>R784-S784</f>
        <v/>
      </c>
      <c r="U784" s="14">
        <f>L784*G784</f>
        <v/>
      </c>
    </row>
    <row r="785">
      <c r="A785" s="12" t="inlineStr">
        <is>
          <t>PO-2021-0783</t>
        </is>
      </c>
      <c r="B785" s="26" t="n">
        <v>44416</v>
      </c>
      <c r="C785" s="12" t="inlineStr">
        <is>
          <t>VS09</t>
        </is>
      </c>
      <c r="D785" s="12" t="inlineStr">
        <is>
          <t>Structural Steel</t>
        </is>
      </c>
      <c r="E785" s="12" t="inlineStr">
        <is>
          <t>N</t>
        </is>
      </c>
      <c r="F785" s="12" t="n">
        <v>12.4</v>
      </c>
      <c r="G785" s="17" t="n">
        <v>118625.68</v>
      </c>
      <c r="H785" s="26" t="n">
        <v>44431</v>
      </c>
      <c r="I785" s="26" t="n">
        <v>44432</v>
      </c>
      <c r="J785" s="12" t="n">
        <v>12.32</v>
      </c>
      <c r="K785" s="17" t="n">
        <v>1470958.43</v>
      </c>
      <c r="L785" s="12" t="n">
        <v>0</v>
      </c>
      <c r="M785" s="12" t="n">
        <v>25</v>
      </c>
      <c r="N785" s="27">
        <f>F785-J785</f>
        <v/>
      </c>
      <c r="O785" s="16">
        <f>I785-H785</f>
        <v/>
      </c>
      <c r="P785" s="14">
        <f>F785*G785</f>
        <v/>
      </c>
      <c r="Q785" s="14">
        <f>J785*G785</f>
        <v/>
      </c>
      <c r="R785" s="14">
        <f>K785-Q785</f>
        <v/>
      </c>
      <c r="S785" s="3">
        <f>P785*Assumptions!$B$3/100</f>
        <v/>
      </c>
      <c r="T785" s="14">
        <f>R785-S785</f>
        <v/>
      </c>
      <c r="U785" s="14">
        <f>L785*G785</f>
        <v/>
      </c>
    </row>
    <row r="786">
      <c r="A786" s="12" t="inlineStr">
        <is>
          <t>PO-2021-0784</t>
        </is>
      </c>
      <c r="B786" s="26" t="n">
        <v>44908</v>
      </c>
      <c r="C786" s="12" t="inlineStr">
        <is>
          <t>VS29</t>
        </is>
      </c>
      <c r="D786" s="12" t="inlineStr">
        <is>
          <t>GI Sheets</t>
        </is>
      </c>
      <c r="E786" s="12" t="inlineStr">
        <is>
          <t>N</t>
        </is>
      </c>
      <c r="F786" s="12" t="n">
        <v>2.05</v>
      </c>
      <c r="G786" s="17" t="n">
        <v>73332.67</v>
      </c>
      <c r="H786" s="26" t="n">
        <v>44922</v>
      </c>
      <c r="I786" s="26" t="n">
        <v>44924</v>
      </c>
      <c r="J786" s="12" t="n">
        <v>2.04</v>
      </c>
      <c r="K786" s="17" t="n">
        <v>150331.97</v>
      </c>
      <c r="L786" s="12" t="n">
        <v>0</v>
      </c>
      <c r="M786" s="12" t="n">
        <v>7</v>
      </c>
      <c r="N786" s="27">
        <f>F786-J786</f>
        <v/>
      </c>
      <c r="O786" s="16">
        <f>I786-H786</f>
        <v/>
      </c>
      <c r="P786" s="14">
        <f>F786*G786</f>
        <v/>
      </c>
      <c r="Q786" s="14">
        <f>J786*G786</f>
        <v/>
      </c>
      <c r="R786" s="14">
        <f>K786-Q786</f>
        <v/>
      </c>
      <c r="S786" s="3">
        <f>P786*Assumptions!$B$3/100</f>
        <v/>
      </c>
      <c r="T786" s="14">
        <f>R786-S786</f>
        <v/>
      </c>
      <c r="U786" s="14">
        <f>L786*G786</f>
        <v/>
      </c>
    </row>
    <row r="787">
      <c r="A787" s="12" t="inlineStr">
        <is>
          <t>PO-2021-0785</t>
        </is>
      </c>
      <c r="B787" s="26" t="n">
        <v>44472</v>
      </c>
      <c r="C787" s="12" t="inlineStr">
        <is>
          <t>VS17</t>
        </is>
      </c>
      <c r="D787" s="12" t="inlineStr">
        <is>
          <t>GI Pipes</t>
        </is>
      </c>
      <c r="E787" s="12" t="inlineStr">
        <is>
          <t>N</t>
        </is>
      </c>
      <c r="F787" s="12" t="n">
        <v>24.78</v>
      </c>
      <c r="G787" s="17" t="n">
        <v>77812.5</v>
      </c>
      <c r="H787" s="26" t="n">
        <v>44479</v>
      </c>
      <c r="I787" s="26" t="n">
        <v>44479</v>
      </c>
      <c r="J787" s="12" t="n">
        <v>24.6</v>
      </c>
      <c r="K787" s="17" t="n">
        <v>1928193.75</v>
      </c>
      <c r="L787" s="12" t="n">
        <v>0</v>
      </c>
      <c r="M787" s="12" t="n">
        <v>1</v>
      </c>
      <c r="N787" s="27">
        <f>F787-J787</f>
        <v/>
      </c>
      <c r="O787" s="16">
        <f>I787-H787</f>
        <v/>
      </c>
      <c r="P787" s="14">
        <f>F787*G787</f>
        <v/>
      </c>
      <c r="Q787" s="14">
        <f>J787*G787</f>
        <v/>
      </c>
      <c r="R787" s="14">
        <f>K787-Q787</f>
        <v/>
      </c>
      <c r="S787" s="3">
        <f>P787*Assumptions!$B$3/100</f>
        <v/>
      </c>
      <c r="T787" s="14">
        <f>R787-S787</f>
        <v/>
      </c>
      <c r="U787" s="14">
        <f>L787*G787</f>
        <v/>
      </c>
    </row>
    <row r="788">
      <c r="A788" s="12" t="inlineStr">
        <is>
          <t>PO-2021-0786</t>
        </is>
      </c>
      <c r="B788" s="26" t="n">
        <v>45200</v>
      </c>
      <c r="C788" s="12" t="inlineStr">
        <is>
          <t>VS13</t>
        </is>
      </c>
      <c r="D788" s="12" t="inlineStr">
        <is>
          <t>MS Sheets</t>
        </is>
      </c>
      <c r="E788" s="12" t="inlineStr">
        <is>
          <t>N</t>
        </is>
      </c>
      <c r="F788" s="12" t="n">
        <v>27.64</v>
      </c>
      <c r="G788" s="17" t="n">
        <v>69276.07000000001</v>
      </c>
      <c r="H788" s="26" t="n">
        <v>45210</v>
      </c>
      <c r="I788" s="26" t="n">
        <v>45212</v>
      </c>
      <c r="J788" s="12" t="n">
        <v>27.39</v>
      </c>
      <c r="K788" s="17" t="n">
        <v>1914790.57</v>
      </c>
      <c r="L788" s="12" t="n">
        <v>0</v>
      </c>
      <c r="M788" s="12" t="n">
        <v>0</v>
      </c>
      <c r="N788" s="27">
        <f>F788-J788</f>
        <v/>
      </c>
      <c r="O788" s="16">
        <f>I788-H788</f>
        <v/>
      </c>
      <c r="P788" s="14">
        <f>F788*G788</f>
        <v/>
      </c>
      <c r="Q788" s="14">
        <f>J788*G788</f>
        <v/>
      </c>
      <c r="R788" s="14">
        <f>K788-Q788</f>
        <v/>
      </c>
      <c r="S788" s="3">
        <f>P788*Assumptions!$B$3/100</f>
        <v/>
      </c>
      <c r="T788" s="14">
        <f>R788-S788</f>
        <v/>
      </c>
      <c r="U788" s="14">
        <f>L788*G788</f>
        <v/>
      </c>
    </row>
    <row r="789">
      <c r="A789" s="12" t="inlineStr">
        <is>
          <t>PO-2021-0787</t>
        </is>
      </c>
      <c r="B789" s="26" t="n">
        <v>44760</v>
      </c>
      <c r="C789" s="12" t="inlineStr">
        <is>
          <t>VS11</t>
        </is>
      </c>
      <c r="D789" s="12" t="inlineStr">
        <is>
          <t>SS Pipes</t>
        </is>
      </c>
      <c r="E789" s="12" t="inlineStr">
        <is>
          <t>Y</t>
        </is>
      </c>
      <c r="F789" s="12" t="n">
        <v>27.03</v>
      </c>
      <c r="G789" s="17" t="n">
        <v>78703.81</v>
      </c>
      <c r="H789" s="26" t="n">
        <v>44767</v>
      </c>
      <c r="I789" s="26" t="n">
        <v>44768</v>
      </c>
      <c r="J789" s="12" t="n">
        <v>26.88</v>
      </c>
      <c r="K789" s="17" t="n">
        <v>2127363.98</v>
      </c>
      <c r="L789" s="12" t="n">
        <v>0</v>
      </c>
      <c r="M789" s="12" t="n">
        <v>8</v>
      </c>
      <c r="N789" s="27">
        <f>F789-J789</f>
        <v/>
      </c>
      <c r="O789" s="16">
        <f>I789-H789</f>
        <v/>
      </c>
      <c r="P789" s="14">
        <f>F789*G789</f>
        <v/>
      </c>
      <c r="Q789" s="14">
        <f>J789*G789</f>
        <v/>
      </c>
      <c r="R789" s="14">
        <f>K789-Q789</f>
        <v/>
      </c>
      <c r="S789" s="3">
        <f>P789*Assumptions!$B$3/100</f>
        <v/>
      </c>
      <c r="T789" s="14">
        <f>R789-S789</f>
        <v/>
      </c>
      <c r="U789" s="14">
        <f>L789*G789</f>
        <v/>
      </c>
    </row>
    <row r="790">
      <c r="A790" s="12" t="inlineStr">
        <is>
          <t>PO-2021-0788</t>
        </is>
      </c>
      <c r="B790" s="26" t="n">
        <v>44948</v>
      </c>
      <c r="C790" s="12" t="inlineStr">
        <is>
          <t>VS30</t>
        </is>
      </c>
      <c r="D790" s="12" t="inlineStr">
        <is>
          <t>MS Pipes</t>
        </is>
      </c>
      <c r="E790" s="12" t="inlineStr">
        <is>
          <t>N</t>
        </is>
      </c>
      <c r="F790" s="12" t="n">
        <v>39.02</v>
      </c>
      <c r="G790" s="17" t="n">
        <v>82946.83</v>
      </c>
      <c r="H790" s="26" t="n">
        <v>44962</v>
      </c>
      <c r="I790" s="26" t="n">
        <v>44964</v>
      </c>
      <c r="J790" s="12" t="n">
        <v>38.67</v>
      </c>
      <c r="K790" s="17" t="n">
        <v>3236585.31</v>
      </c>
      <c r="L790" s="12" t="n">
        <v>0</v>
      </c>
      <c r="M790" s="12" t="n">
        <v>0</v>
      </c>
      <c r="N790" s="27">
        <f>F790-J790</f>
        <v/>
      </c>
      <c r="O790" s="16">
        <f>I790-H790</f>
        <v/>
      </c>
      <c r="P790" s="14">
        <f>F790*G790</f>
        <v/>
      </c>
      <c r="Q790" s="14">
        <f>J790*G790</f>
        <v/>
      </c>
      <c r="R790" s="14">
        <f>K790-Q790</f>
        <v/>
      </c>
      <c r="S790" s="3">
        <f>P790*Assumptions!$B$3/100</f>
        <v/>
      </c>
      <c r="T790" s="14">
        <f>R790-S790</f>
        <v/>
      </c>
      <c r="U790" s="14">
        <f>L790*G790</f>
        <v/>
      </c>
    </row>
    <row r="791">
      <c r="A791" s="12" t="inlineStr">
        <is>
          <t>PO-2021-0789</t>
        </is>
      </c>
      <c r="B791" s="26" t="n">
        <v>44576</v>
      </c>
      <c r="C791" s="12" t="inlineStr">
        <is>
          <t>VS02</t>
        </is>
      </c>
      <c r="D791" s="12" t="inlineStr">
        <is>
          <t>Angles &amp; Channels</t>
        </is>
      </c>
      <c r="E791" s="12" t="inlineStr">
        <is>
          <t>N</t>
        </is>
      </c>
      <c r="F791" s="12" t="n">
        <v>39.02</v>
      </c>
      <c r="G791" s="17" t="n">
        <v>62908.99</v>
      </c>
      <c r="H791" s="26" t="n">
        <v>44590</v>
      </c>
      <c r="I791" s="26" t="n">
        <v>44591</v>
      </c>
      <c r="J791" s="12" t="n">
        <v>38.81</v>
      </c>
      <c r="K791" s="17" t="n">
        <v>2454708.79</v>
      </c>
      <c r="L791" s="12" t="n">
        <v>0</v>
      </c>
      <c r="M791" s="12" t="n">
        <v>1</v>
      </c>
      <c r="N791" s="27">
        <f>F791-J791</f>
        <v/>
      </c>
      <c r="O791" s="16">
        <f>I791-H791</f>
        <v/>
      </c>
      <c r="P791" s="14">
        <f>F791*G791</f>
        <v/>
      </c>
      <c r="Q791" s="14">
        <f>J791*G791</f>
        <v/>
      </c>
      <c r="R791" s="14">
        <f>K791-Q791</f>
        <v/>
      </c>
      <c r="S791" s="3">
        <f>P791*Assumptions!$B$3/100</f>
        <v/>
      </c>
      <c r="T791" s="14">
        <f>R791-S791</f>
        <v/>
      </c>
      <c r="U791" s="14">
        <f>L791*G791</f>
        <v/>
      </c>
    </row>
    <row r="792">
      <c r="A792" s="12" t="inlineStr">
        <is>
          <t>PO-2021-0790</t>
        </is>
      </c>
      <c r="B792" s="26" t="n">
        <v>44326</v>
      </c>
      <c r="C792" s="12" t="inlineStr">
        <is>
          <t>VS25</t>
        </is>
      </c>
      <c r="D792" s="12" t="inlineStr">
        <is>
          <t>GI Sheets</t>
        </is>
      </c>
      <c r="E792" s="12" t="inlineStr">
        <is>
          <t>N</t>
        </is>
      </c>
      <c r="F792" s="12" t="n">
        <v>26.68</v>
      </c>
      <c r="G792" s="17" t="n">
        <v>82316.19</v>
      </c>
      <c r="H792" s="26" t="n">
        <v>44337</v>
      </c>
      <c r="I792" s="26" t="n">
        <v>44338</v>
      </c>
      <c r="J792" s="12" t="n">
        <v>26.64</v>
      </c>
      <c r="K792" s="17" t="n">
        <v>2196195.95</v>
      </c>
      <c r="L792" s="12" t="n">
        <v>0</v>
      </c>
      <c r="M792" s="12" t="n">
        <v>14</v>
      </c>
      <c r="N792" s="27">
        <f>F792-J792</f>
        <v/>
      </c>
      <c r="O792" s="16">
        <f>I792-H792</f>
        <v/>
      </c>
      <c r="P792" s="14">
        <f>F792*G792</f>
        <v/>
      </c>
      <c r="Q792" s="14">
        <f>J792*G792</f>
        <v/>
      </c>
      <c r="R792" s="14">
        <f>K792-Q792</f>
        <v/>
      </c>
      <c r="S792" s="3">
        <f>P792*Assumptions!$B$3/100</f>
        <v/>
      </c>
      <c r="T792" s="14">
        <f>R792-S792</f>
        <v/>
      </c>
      <c r="U792" s="14">
        <f>L792*G792</f>
        <v/>
      </c>
    </row>
    <row r="793">
      <c r="A793" s="12" t="inlineStr">
        <is>
          <t>PO-2021-0791</t>
        </is>
      </c>
      <c r="B793" s="26" t="n">
        <v>44512</v>
      </c>
      <c r="C793" s="12" t="inlineStr">
        <is>
          <t>VS19</t>
        </is>
      </c>
      <c r="D793" s="12" t="inlineStr">
        <is>
          <t>MS Flats</t>
        </is>
      </c>
      <c r="E793" s="12" t="inlineStr">
        <is>
          <t>N</t>
        </is>
      </c>
      <c r="F793" s="12" t="n">
        <v>21.08</v>
      </c>
      <c r="G793" s="17" t="n">
        <v>71917.88</v>
      </c>
      <c r="H793" s="26" t="n">
        <v>44516</v>
      </c>
      <c r="I793" s="26" t="n">
        <v>44523</v>
      </c>
      <c r="J793" s="12" t="n">
        <v>20.39</v>
      </c>
      <c r="K793" s="17" t="n">
        <v>1516028.91</v>
      </c>
      <c r="L793" s="12" t="n">
        <v>0.8</v>
      </c>
      <c r="M793" s="12" t="n">
        <v>6</v>
      </c>
      <c r="N793" s="27">
        <f>F793-J793</f>
        <v/>
      </c>
      <c r="O793" s="16">
        <f>I793-H793</f>
        <v/>
      </c>
      <c r="P793" s="14">
        <f>F793*G793</f>
        <v/>
      </c>
      <c r="Q793" s="14">
        <f>J793*G793</f>
        <v/>
      </c>
      <c r="R793" s="14">
        <f>K793-Q793</f>
        <v/>
      </c>
      <c r="S793" s="3">
        <f>P793*Assumptions!$B$3/100</f>
        <v/>
      </c>
      <c r="T793" s="14">
        <f>R793-S793</f>
        <v/>
      </c>
      <c r="U793" s="14">
        <f>L793*G793</f>
        <v/>
      </c>
    </row>
    <row r="794">
      <c r="A794" s="12" t="inlineStr">
        <is>
          <t>PO-2021-0792</t>
        </is>
      </c>
      <c r="B794" s="26" t="n">
        <v>45268</v>
      </c>
      <c r="C794" s="12" t="inlineStr">
        <is>
          <t>VS05</t>
        </is>
      </c>
      <c r="D794" s="12" t="inlineStr">
        <is>
          <t>GI Pipes</t>
        </is>
      </c>
      <c r="E794" s="12" t="inlineStr">
        <is>
          <t>N</t>
        </is>
      </c>
      <c r="F794" s="12" t="n">
        <v>41.92</v>
      </c>
      <c r="G794" s="17" t="n">
        <v>54733.07</v>
      </c>
      <c r="H794" s="26" t="n">
        <v>45271</v>
      </c>
      <c r="I794" s="26" t="n">
        <v>45274</v>
      </c>
      <c r="J794" s="12" t="n">
        <v>41.66</v>
      </c>
      <c r="K794" s="17" t="n">
        <v>2294410.29</v>
      </c>
      <c r="L794" s="12" t="n">
        <v>0</v>
      </c>
      <c r="M794" s="12" t="n">
        <v>0</v>
      </c>
      <c r="N794" s="27">
        <f>F794-J794</f>
        <v/>
      </c>
      <c r="O794" s="16">
        <f>I794-H794</f>
        <v/>
      </c>
      <c r="P794" s="14">
        <f>F794*G794</f>
        <v/>
      </c>
      <c r="Q794" s="14">
        <f>J794*G794</f>
        <v/>
      </c>
      <c r="R794" s="14">
        <f>K794-Q794</f>
        <v/>
      </c>
      <c r="S794" s="3">
        <f>P794*Assumptions!$B$3/100</f>
        <v/>
      </c>
      <c r="T794" s="14">
        <f>R794-S794</f>
        <v/>
      </c>
      <c r="U794" s="14">
        <f>L794*G794</f>
        <v/>
      </c>
    </row>
    <row r="795">
      <c r="A795" s="12" t="inlineStr">
        <is>
          <t>PO-2021-0793</t>
        </is>
      </c>
      <c r="B795" s="26" t="n">
        <v>44610</v>
      </c>
      <c r="C795" s="12" t="inlineStr">
        <is>
          <t>VS07</t>
        </is>
      </c>
      <c r="D795" s="12" t="inlineStr">
        <is>
          <t>Structural Steel</t>
        </is>
      </c>
      <c r="E795" s="12" t="inlineStr">
        <is>
          <t>N</t>
        </is>
      </c>
      <c r="F795" s="12" t="n">
        <v>10.39</v>
      </c>
      <c r="G795" s="17" t="n">
        <v>47386.29</v>
      </c>
      <c r="H795" s="26" t="n">
        <v>44623</v>
      </c>
      <c r="I795" s="26" t="n">
        <v>44626</v>
      </c>
      <c r="J795" s="12" t="n">
        <v>10.37</v>
      </c>
      <c r="K795" s="17" t="n">
        <v>492343.55</v>
      </c>
      <c r="L795" s="12" t="n">
        <v>0</v>
      </c>
      <c r="M795" s="12" t="n">
        <v>7</v>
      </c>
      <c r="N795" s="27">
        <f>F795-J795</f>
        <v/>
      </c>
      <c r="O795" s="16">
        <f>I795-H795</f>
        <v/>
      </c>
      <c r="P795" s="14">
        <f>F795*G795</f>
        <v/>
      </c>
      <c r="Q795" s="14">
        <f>J795*G795</f>
        <v/>
      </c>
      <c r="R795" s="14">
        <f>K795-Q795</f>
        <v/>
      </c>
      <c r="S795" s="3">
        <f>P795*Assumptions!$B$3/100</f>
        <v/>
      </c>
      <c r="T795" s="14">
        <f>R795-S795</f>
        <v/>
      </c>
      <c r="U795" s="14">
        <f>L795*G795</f>
        <v/>
      </c>
    </row>
    <row r="796">
      <c r="A796" s="12" t="inlineStr">
        <is>
          <t>PO-2021-0794</t>
        </is>
      </c>
      <c r="B796" s="26" t="n">
        <v>44992</v>
      </c>
      <c r="C796" s="12" t="inlineStr">
        <is>
          <t>VS32</t>
        </is>
      </c>
      <c r="D796" s="12" t="inlineStr">
        <is>
          <t>Hex Bars</t>
        </is>
      </c>
      <c r="E796" s="12" t="inlineStr">
        <is>
          <t>N</t>
        </is>
      </c>
      <c r="F796" s="12" t="n">
        <v>31.57</v>
      </c>
      <c r="G796" s="17" t="n">
        <v>89272.57000000001</v>
      </c>
      <c r="H796" s="26" t="n">
        <v>44995</v>
      </c>
      <c r="I796" s="26" t="n">
        <v>44997</v>
      </c>
      <c r="J796" s="12" t="n">
        <v>31.36</v>
      </c>
      <c r="K796" s="17" t="n">
        <v>2818335.03</v>
      </c>
      <c r="L796" s="12" t="n">
        <v>0</v>
      </c>
      <c r="M796" s="12" t="n">
        <v>10</v>
      </c>
      <c r="N796" s="27">
        <f>F796-J796</f>
        <v/>
      </c>
      <c r="O796" s="16">
        <f>I796-H796</f>
        <v/>
      </c>
      <c r="P796" s="14">
        <f>F796*G796</f>
        <v/>
      </c>
      <c r="Q796" s="14">
        <f>J796*G796</f>
        <v/>
      </c>
      <c r="R796" s="14">
        <f>K796-Q796</f>
        <v/>
      </c>
      <c r="S796" s="3">
        <f>P796*Assumptions!$B$3/100</f>
        <v/>
      </c>
      <c r="T796" s="14">
        <f>R796-S796</f>
        <v/>
      </c>
      <c r="U796" s="14">
        <f>L796*G796</f>
        <v/>
      </c>
    </row>
    <row r="797">
      <c r="A797" s="12" t="inlineStr">
        <is>
          <t>PO-2021-0795</t>
        </is>
      </c>
      <c r="B797" s="26" t="n">
        <v>44947</v>
      </c>
      <c r="C797" s="12" t="inlineStr">
        <is>
          <t>VS15</t>
        </is>
      </c>
      <c r="D797" s="12" t="inlineStr">
        <is>
          <t>SS Pipes</t>
        </is>
      </c>
      <c r="E797" s="12" t="inlineStr">
        <is>
          <t>N</t>
        </is>
      </c>
      <c r="F797" s="12" t="n">
        <v>1.64</v>
      </c>
      <c r="G797" s="17" t="n">
        <v>114077.64</v>
      </c>
      <c r="H797" s="26" t="n">
        <v>44960</v>
      </c>
      <c r="I797" s="26" t="n">
        <v>44963</v>
      </c>
      <c r="J797" s="12" t="n">
        <v>1.63</v>
      </c>
      <c r="K797" s="17" t="n">
        <v>187087.33</v>
      </c>
      <c r="L797" s="12" t="n">
        <v>0</v>
      </c>
      <c r="M797" s="12" t="n">
        <v>20</v>
      </c>
      <c r="N797" s="27">
        <f>F797-J797</f>
        <v/>
      </c>
      <c r="O797" s="16">
        <f>I797-H797</f>
        <v/>
      </c>
      <c r="P797" s="14">
        <f>F797*G797</f>
        <v/>
      </c>
      <c r="Q797" s="14">
        <f>J797*G797</f>
        <v/>
      </c>
      <c r="R797" s="14">
        <f>K797-Q797</f>
        <v/>
      </c>
      <c r="S797" s="3">
        <f>P797*Assumptions!$B$3/100</f>
        <v/>
      </c>
      <c r="T797" s="14">
        <f>R797-S797</f>
        <v/>
      </c>
      <c r="U797" s="14">
        <f>L797*G797</f>
        <v/>
      </c>
    </row>
    <row r="798">
      <c r="A798" s="12" t="inlineStr">
        <is>
          <t>PO-2021-0796</t>
        </is>
      </c>
      <c r="B798" s="26" t="n">
        <v>45203</v>
      </c>
      <c r="C798" s="12" t="inlineStr">
        <is>
          <t>VS06</t>
        </is>
      </c>
      <c r="D798" s="12" t="inlineStr">
        <is>
          <t>Fasteners &amp; Fittings</t>
        </is>
      </c>
      <c r="E798" s="12" t="inlineStr">
        <is>
          <t>N</t>
        </is>
      </c>
      <c r="F798" s="12" t="n">
        <v>40.25</v>
      </c>
      <c r="G798" s="17" t="n">
        <v>49552.51</v>
      </c>
      <c r="H798" s="26" t="n">
        <v>45214</v>
      </c>
      <c r="I798" s="26" t="n">
        <v>45214</v>
      </c>
      <c r="J798" s="12" t="n">
        <v>40.17</v>
      </c>
      <c r="K798" s="17" t="n">
        <v>1994488.53</v>
      </c>
      <c r="L798" s="12" t="n">
        <v>0</v>
      </c>
      <c r="M798" s="12" t="n">
        <v>6</v>
      </c>
      <c r="N798" s="27">
        <f>F798-J798</f>
        <v/>
      </c>
      <c r="O798" s="16">
        <f>I798-H798</f>
        <v/>
      </c>
      <c r="P798" s="14">
        <f>F798*G798</f>
        <v/>
      </c>
      <c r="Q798" s="14">
        <f>J798*G798</f>
        <v/>
      </c>
      <c r="R798" s="14">
        <f>K798-Q798</f>
        <v/>
      </c>
      <c r="S798" s="3">
        <f>P798*Assumptions!$B$3/100</f>
        <v/>
      </c>
      <c r="T798" s="14">
        <f>R798-S798</f>
        <v/>
      </c>
      <c r="U798" s="14">
        <f>L798*G798</f>
        <v/>
      </c>
    </row>
    <row r="799">
      <c r="A799" s="12" t="inlineStr">
        <is>
          <t>PO-2021-0797</t>
        </is>
      </c>
      <c r="B799" s="26" t="n">
        <v>45048</v>
      </c>
      <c r="C799" s="12" t="inlineStr">
        <is>
          <t>VS24</t>
        </is>
      </c>
      <c r="D799" s="12" t="inlineStr">
        <is>
          <t>GI Pipes</t>
        </is>
      </c>
      <c r="E799" s="12" t="inlineStr">
        <is>
          <t>N</t>
        </is>
      </c>
      <c r="F799" s="12" t="n">
        <v>41.36</v>
      </c>
      <c r="G799" s="17" t="n">
        <v>64936.17</v>
      </c>
      <c r="H799" s="26" t="n">
        <v>45051</v>
      </c>
      <c r="I799" s="26" t="n">
        <v>45053</v>
      </c>
      <c r="J799" s="12" t="n">
        <v>41.2</v>
      </c>
      <c r="K799" s="17" t="n">
        <v>2685759.99</v>
      </c>
      <c r="L799" s="12" t="n">
        <v>0</v>
      </c>
      <c r="M799" s="12" t="n">
        <v>0</v>
      </c>
      <c r="N799" s="27">
        <f>F799-J799</f>
        <v/>
      </c>
      <c r="O799" s="16">
        <f>I799-H799</f>
        <v/>
      </c>
      <c r="P799" s="14">
        <f>F799*G799</f>
        <v/>
      </c>
      <c r="Q799" s="14">
        <f>J799*G799</f>
        <v/>
      </c>
      <c r="R799" s="14">
        <f>K799-Q799</f>
        <v/>
      </c>
      <c r="S799" s="3">
        <f>P799*Assumptions!$B$3/100</f>
        <v/>
      </c>
      <c r="T799" s="14">
        <f>R799-S799</f>
        <v/>
      </c>
      <c r="U799" s="14">
        <f>L799*G799</f>
        <v/>
      </c>
    </row>
    <row r="800">
      <c r="A800" s="12" t="inlineStr">
        <is>
          <t>PO-2021-0798</t>
        </is>
      </c>
      <c r="B800" s="26" t="n">
        <v>44341</v>
      </c>
      <c r="C800" s="12" t="inlineStr">
        <is>
          <t>VS20</t>
        </is>
      </c>
      <c r="D800" s="12" t="inlineStr">
        <is>
          <t>SS Pipes</t>
        </is>
      </c>
      <c r="E800" s="12" t="inlineStr">
        <is>
          <t>N</t>
        </is>
      </c>
      <c r="F800" s="12" t="n">
        <v>47.29</v>
      </c>
      <c r="G800" s="17" t="n">
        <v>117044.01</v>
      </c>
      <c r="H800" s="26" t="n">
        <v>44345</v>
      </c>
      <c r="I800" s="26" t="n">
        <v>44345</v>
      </c>
      <c r="J800" s="12" t="n">
        <v>46.95</v>
      </c>
      <c r="K800" s="17" t="n">
        <v>5535011.23</v>
      </c>
      <c r="L800" s="12" t="n">
        <v>0</v>
      </c>
      <c r="M800" s="12" t="n">
        <v>15</v>
      </c>
      <c r="N800" s="27">
        <f>F800-J800</f>
        <v/>
      </c>
      <c r="O800" s="16">
        <f>I800-H800</f>
        <v/>
      </c>
      <c r="P800" s="14">
        <f>F800*G800</f>
        <v/>
      </c>
      <c r="Q800" s="14">
        <f>J800*G800</f>
        <v/>
      </c>
      <c r="R800" s="14">
        <f>K800-Q800</f>
        <v/>
      </c>
      <c r="S800" s="3">
        <f>P800*Assumptions!$B$3/100</f>
        <v/>
      </c>
      <c r="T800" s="14">
        <f>R800-S800</f>
        <v/>
      </c>
      <c r="U800" s="14">
        <f>L800*G800</f>
        <v/>
      </c>
    </row>
    <row r="801">
      <c r="A801" s="12" t="inlineStr">
        <is>
          <t>PO-2021-0799</t>
        </is>
      </c>
      <c r="B801" s="26" t="n">
        <v>44404</v>
      </c>
      <c r="C801" s="12" t="inlineStr">
        <is>
          <t>VS15</t>
        </is>
      </c>
      <c r="D801" s="12" t="inlineStr">
        <is>
          <t>Spring Steel</t>
        </is>
      </c>
      <c r="E801" s="12" t="inlineStr">
        <is>
          <t>N</t>
        </is>
      </c>
      <c r="F801" s="12" t="n">
        <v>19.88</v>
      </c>
      <c r="G801" s="17" t="n">
        <v>59483.96</v>
      </c>
      <c r="H801" s="26" t="n">
        <v>44417</v>
      </c>
      <c r="I801" s="26" t="n">
        <v>44417</v>
      </c>
      <c r="J801" s="12" t="n">
        <v>19.78</v>
      </c>
      <c r="K801" s="17" t="n">
        <v>1182541.12</v>
      </c>
      <c r="L801" s="12" t="n">
        <v>0</v>
      </c>
      <c r="M801" s="12" t="n">
        <v>0</v>
      </c>
      <c r="N801" s="27">
        <f>F801-J801</f>
        <v/>
      </c>
      <c r="O801" s="16">
        <f>I801-H801</f>
        <v/>
      </c>
      <c r="P801" s="14">
        <f>F801*G801</f>
        <v/>
      </c>
      <c r="Q801" s="14">
        <f>J801*G801</f>
        <v/>
      </c>
      <c r="R801" s="14">
        <f>K801-Q801</f>
        <v/>
      </c>
      <c r="S801" s="3">
        <f>P801*Assumptions!$B$3/100</f>
        <v/>
      </c>
      <c r="T801" s="14">
        <f>R801-S801</f>
        <v/>
      </c>
      <c r="U801" s="14">
        <f>L801*G801</f>
        <v/>
      </c>
    </row>
    <row r="802">
      <c r="A802" s="12" t="inlineStr">
        <is>
          <t>PO-2021-0800</t>
        </is>
      </c>
      <c r="B802" s="26" t="n">
        <v>44706</v>
      </c>
      <c r="C802" s="12" t="inlineStr">
        <is>
          <t>VS12</t>
        </is>
      </c>
      <c r="D802" s="12" t="inlineStr">
        <is>
          <t>Spring Steel</t>
        </is>
      </c>
      <c r="E802" s="12" t="inlineStr">
        <is>
          <t>Y</t>
        </is>
      </c>
      <c r="F802" s="12" t="n">
        <v>37.71</v>
      </c>
      <c r="G802" s="17" t="n">
        <v>79184.39999999999</v>
      </c>
      <c r="H802" s="26" t="n">
        <v>44710</v>
      </c>
      <c r="I802" s="26" t="n">
        <v>44716</v>
      </c>
      <c r="J802" s="12" t="n">
        <v>36.28</v>
      </c>
      <c r="K802" s="17" t="n">
        <v>2986043.72</v>
      </c>
      <c r="L802" s="12" t="n">
        <v>0.51</v>
      </c>
      <c r="M802" s="12" t="n">
        <v>0</v>
      </c>
      <c r="N802" s="27">
        <f>F802-J802</f>
        <v/>
      </c>
      <c r="O802" s="16">
        <f>I802-H802</f>
        <v/>
      </c>
      <c r="P802" s="14">
        <f>F802*G802</f>
        <v/>
      </c>
      <c r="Q802" s="14">
        <f>J802*G802</f>
        <v/>
      </c>
      <c r="R802" s="14">
        <f>K802-Q802</f>
        <v/>
      </c>
      <c r="S802" s="3">
        <f>P802*Assumptions!$B$3/100</f>
        <v/>
      </c>
      <c r="T802" s="14">
        <f>R802-S802</f>
        <v/>
      </c>
      <c r="U802" s="14">
        <f>L802*G802</f>
        <v/>
      </c>
    </row>
    <row r="803">
      <c r="A803" s="12" t="inlineStr">
        <is>
          <t>PO-2021-0801</t>
        </is>
      </c>
      <c r="B803" s="26" t="n">
        <v>44930</v>
      </c>
      <c r="C803" s="12" t="inlineStr">
        <is>
          <t>VS30</t>
        </is>
      </c>
      <c r="D803" s="12" t="inlineStr">
        <is>
          <t>GI Wire</t>
        </is>
      </c>
      <c r="E803" s="12" t="inlineStr">
        <is>
          <t>N</t>
        </is>
      </c>
      <c r="F803" s="12" t="n">
        <v>44.26</v>
      </c>
      <c r="G803" s="17" t="n">
        <v>57510.7</v>
      </c>
      <c r="H803" s="26" t="n">
        <v>44935</v>
      </c>
      <c r="I803" s="26" t="n">
        <v>44937</v>
      </c>
      <c r="J803" s="12" t="n">
        <v>44.01</v>
      </c>
      <c r="K803" s="17" t="n">
        <v>2545423.58</v>
      </c>
      <c r="L803" s="12" t="n">
        <v>0</v>
      </c>
      <c r="M803" s="12" t="n">
        <v>0</v>
      </c>
      <c r="N803" s="27">
        <f>F803-J803</f>
        <v/>
      </c>
      <c r="O803" s="16">
        <f>I803-H803</f>
        <v/>
      </c>
      <c r="P803" s="14">
        <f>F803*G803</f>
        <v/>
      </c>
      <c r="Q803" s="14">
        <f>J803*G803</f>
        <v/>
      </c>
      <c r="R803" s="14">
        <f>K803-Q803</f>
        <v/>
      </c>
      <c r="S803" s="3">
        <f>P803*Assumptions!$B$3/100</f>
        <v/>
      </c>
      <c r="T803" s="14">
        <f>R803-S803</f>
        <v/>
      </c>
      <c r="U803" s="14">
        <f>L803*G803</f>
        <v/>
      </c>
    </row>
    <row r="804">
      <c r="A804" s="12" t="inlineStr">
        <is>
          <t>PO-2021-0802</t>
        </is>
      </c>
      <c r="B804" s="26" t="n">
        <v>45019</v>
      </c>
      <c r="C804" s="12" t="inlineStr">
        <is>
          <t>VS33</t>
        </is>
      </c>
      <c r="D804" s="12" t="inlineStr">
        <is>
          <t>MS Flats</t>
        </is>
      </c>
      <c r="E804" s="12" t="inlineStr">
        <is>
          <t>Y</t>
        </is>
      </c>
      <c r="F804" s="12" t="n">
        <v>33.22</v>
      </c>
      <c r="G804" s="17" t="n">
        <v>85042.53999999999</v>
      </c>
      <c r="H804" s="26" t="n">
        <v>45031</v>
      </c>
      <c r="I804" s="26" t="n">
        <v>45033</v>
      </c>
      <c r="J804" s="12" t="n">
        <v>32.9</v>
      </c>
      <c r="K804" s="17" t="n">
        <v>2825113.18</v>
      </c>
      <c r="L804" s="12" t="n">
        <v>0</v>
      </c>
      <c r="M804" s="12" t="n">
        <v>0</v>
      </c>
      <c r="N804" s="27">
        <f>F804-J804</f>
        <v/>
      </c>
      <c r="O804" s="16">
        <f>I804-H804</f>
        <v/>
      </c>
      <c r="P804" s="14">
        <f>F804*G804</f>
        <v/>
      </c>
      <c r="Q804" s="14">
        <f>J804*G804</f>
        <v/>
      </c>
      <c r="R804" s="14">
        <f>K804-Q804</f>
        <v/>
      </c>
      <c r="S804" s="3">
        <f>P804*Assumptions!$B$3/100</f>
        <v/>
      </c>
      <c r="T804" s="14">
        <f>R804-S804</f>
        <v/>
      </c>
      <c r="U804" s="14">
        <f>L804*G804</f>
        <v/>
      </c>
    </row>
    <row r="805">
      <c r="A805" s="12" t="inlineStr">
        <is>
          <t>PO-2021-0803</t>
        </is>
      </c>
      <c r="B805" s="26" t="n">
        <v>45104</v>
      </c>
      <c r="C805" s="12" t="inlineStr">
        <is>
          <t>VS23</t>
        </is>
      </c>
      <c r="D805" s="12" t="inlineStr">
        <is>
          <t>MS Flats</t>
        </is>
      </c>
      <c r="E805" s="12" t="inlineStr">
        <is>
          <t>N</t>
        </is>
      </c>
      <c r="F805" s="12" t="n">
        <v>27.95</v>
      </c>
      <c r="G805" s="17" t="n">
        <v>119763.77</v>
      </c>
      <c r="H805" s="26" t="n">
        <v>45112</v>
      </c>
      <c r="I805" s="26" t="n">
        <v>45115</v>
      </c>
      <c r="J805" s="12" t="n">
        <v>27.73</v>
      </c>
      <c r="K805" s="17" t="n">
        <v>3347397.37</v>
      </c>
      <c r="L805" s="12" t="n">
        <v>0</v>
      </c>
      <c r="M805" s="12" t="n">
        <v>14</v>
      </c>
      <c r="N805" s="27">
        <f>F805-J805</f>
        <v/>
      </c>
      <c r="O805" s="16">
        <f>I805-H805</f>
        <v/>
      </c>
      <c r="P805" s="14">
        <f>F805*G805</f>
        <v/>
      </c>
      <c r="Q805" s="14">
        <f>J805*G805</f>
        <v/>
      </c>
      <c r="R805" s="14">
        <f>K805-Q805</f>
        <v/>
      </c>
      <c r="S805" s="3">
        <f>P805*Assumptions!$B$3/100</f>
        <v/>
      </c>
      <c r="T805" s="14">
        <f>R805-S805</f>
        <v/>
      </c>
      <c r="U805" s="14">
        <f>L805*G805</f>
        <v/>
      </c>
    </row>
    <row r="806">
      <c r="A806" s="12" t="inlineStr">
        <is>
          <t>PO-2021-0804</t>
        </is>
      </c>
      <c r="B806" s="26" t="n">
        <v>45041</v>
      </c>
      <c r="C806" s="12" t="inlineStr">
        <is>
          <t>VS28</t>
        </is>
      </c>
      <c r="D806" s="12" t="inlineStr">
        <is>
          <t>MS Flats</t>
        </is>
      </c>
      <c r="E806" s="12" t="inlineStr">
        <is>
          <t>N</t>
        </is>
      </c>
      <c r="F806" s="12" t="n">
        <v>30.81</v>
      </c>
      <c r="G806" s="17" t="n">
        <v>87235.85000000001</v>
      </c>
      <c r="H806" s="26" t="n">
        <v>45047</v>
      </c>
      <c r="I806" s="26" t="n">
        <v>45049</v>
      </c>
      <c r="J806" s="12" t="n">
        <v>30.74</v>
      </c>
      <c r="K806" s="17" t="n">
        <v>2687736.54</v>
      </c>
      <c r="L806" s="12" t="n">
        <v>0</v>
      </c>
      <c r="M806" s="12" t="n">
        <v>0</v>
      </c>
      <c r="N806" s="27">
        <f>F806-J806</f>
        <v/>
      </c>
      <c r="O806" s="16">
        <f>I806-H806</f>
        <v/>
      </c>
      <c r="P806" s="14">
        <f>F806*G806</f>
        <v/>
      </c>
      <c r="Q806" s="14">
        <f>J806*G806</f>
        <v/>
      </c>
      <c r="R806" s="14">
        <f>K806-Q806</f>
        <v/>
      </c>
      <c r="S806" s="3">
        <f>P806*Assumptions!$B$3/100</f>
        <v/>
      </c>
      <c r="T806" s="14">
        <f>R806-S806</f>
        <v/>
      </c>
      <c r="U806" s="14">
        <f>L806*G806</f>
        <v/>
      </c>
    </row>
    <row r="807">
      <c r="A807" s="12" t="inlineStr">
        <is>
          <t>PO-2021-0805</t>
        </is>
      </c>
      <c r="B807" s="26" t="n">
        <v>44965</v>
      </c>
      <c r="C807" s="12" t="inlineStr">
        <is>
          <t>VS17</t>
        </is>
      </c>
      <c r="D807" s="12" t="inlineStr">
        <is>
          <t>Angles &amp; Channels</t>
        </is>
      </c>
      <c r="E807" s="12" t="inlineStr">
        <is>
          <t>N</t>
        </is>
      </c>
      <c r="F807" s="12" t="n">
        <v>48.12</v>
      </c>
      <c r="G807" s="17" t="n">
        <v>78562.48</v>
      </c>
      <c r="H807" s="26" t="n">
        <v>44974</v>
      </c>
      <c r="I807" s="26" t="n">
        <v>44975</v>
      </c>
      <c r="J807" s="12" t="n">
        <v>48.11</v>
      </c>
      <c r="K807" s="17" t="n">
        <v>3780426.54</v>
      </c>
      <c r="L807" s="12" t="n">
        <v>0</v>
      </c>
      <c r="M807" s="12" t="n">
        <v>0</v>
      </c>
      <c r="N807" s="27">
        <f>F807-J807</f>
        <v/>
      </c>
      <c r="O807" s="16">
        <f>I807-H807</f>
        <v/>
      </c>
      <c r="P807" s="14">
        <f>F807*G807</f>
        <v/>
      </c>
      <c r="Q807" s="14">
        <f>J807*G807</f>
        <v/>
      </c>
      <c r="R807" s="14">
        <f>K807-Q807</f>
        <v/>
      </c>
      <c r="S807" s="3">
        <f>P807*Assumptions!$B$3/100</f>
        <v/>
      </c>
      <c r="T807" s="14">
        <f>R807-S807</f>
        <v/>
      </c>
      <c r="U807" s="14">
        <f>L807*G807</f>
        <v/>
      </c>
    </row>
    <row r="808">
      <c r="A808" s="12" t="inlineStr">
        <is>
          <t>PO-2021-0806</t>
        </is>
      </c>
      <c r="B808" s="26" t="n">
        <v>44197</v>
      </c>
      <c r="C808" s="12" t="inlineStr">
        <is>
          <t>VS03</t>
        </is>
      </c>
      <c r="D808" s="12" t="inlineStr">
        <is>
          <t>SS Sheets</t>
        </is>
      </c>
      <c r="E808" s="12" t="inlineStr">
        <is>
          <t>N</t>
        </is>
      </c>
      <c r="F808" s="12" t="n">
        <v>30.19</v>
      </c>
      <c r="G808" s="17" t="n">
        <v>87173.53</v>
      </c>
      <c r="H808" s="26" t="n">
        <v>44204</v>
      </c>
      <c r="I808" s="26" t="n">
        <v>44206</v>
      </c>
      <c r="J808" s="12" t="n">
        <v>29.5</v>
      </c>
      <c r="K808" s="17" t="n">
        <v>2631768.87</v>
      </c>
      <c r="L808" s="12" t="n">
        <v>0.13</v>
      </c>
      <c r="M808" s="12" t="n">
        <v>19</v>
      </c>
      <c r="N808" s="27">
        <f>F808-J808</f>
        <v/>
      </c>
      <c r="O808" s="16">
        <f>I808-H808</f>
        <v/>
      </c>
      <c r="P808" s="14">
        <f>F808*G808</f>
        <v/>
      </c>
      <c r="Q808" s="14">
        <f>J808*G808</f>
        <v/>
      </c>
      <c r="R808" s="14">
        <f>K808-Q808</f>
        <v/>
      </c>
      <c r="S808" s="3">
        <f>P808*Assumptions!$B$3/100</f>
        <v/>
      </c>
      <c r="T808" s="14">
        <f>R808-S808</f>
        <v/>
      </c>
      <c r="U808" s="14">
        <f>L808*G808</f>
        <v/>
      </c>
    </row>
    <row r="809">
      <c r="A809" s="12" t="inlineStr">
        <is>
          <t>PO-2021-0807</t>
        </is>
      </c>
      <c r="B809" s="26" t="n">
        <v>44210</v>
      </c>
      <c r="C809" s="12" t="inlineStr">
        <is>
          <t>VS20</t>
        </is>
      </c>
      <c r="D809" s="12" t="inlineStr">
        <is>
          <t>HR Coils</t>
        </is>
      </c>
      <c r="E809" s="12" t="inlineStr">
        <is>
          <t>N</t>
        </is>
      </c>
      <c r="F809" s="12" t="n">
        <v>11.53</v>
      </c>
      <c r="G809" s="17" t="n">
        <v>68617.85000000001</v>
      </c>
      <c r="H809" s="26" t="n">
        <v>44225</v>
      </c>
      <c r="I809" s="26" t="n">
        <v>44227</v>
      </c>
      <c r="J809" s="12" t="n">
        <v>11.51</v>
      </c>
      <c r="K809" s="17" t="n">
        <v>791163.8100000001</v>
      </c>
      <c r="L809" s="12" t="n">
        <v>0</v>
      </c>
      <c r="M809" s="12" t="n">
        <v>0</v>
      </c>
      <c r="N809" s="27">
        <f>F809-J809</f>
        <v/>
      </c>
      <c r="O809" s="16">
        <f>I809-H809</f>
        <v/>
      </c>
      <c r="P809" s="14">
        <f>F809*G809</f>
        <v/>
      </c>
      <c r="Q809" s="14">
        <f>J809*G809</f>
        <v/>
      </c>
      <c r="R809" s="14">
        <f>K809-Q809</f>
        <v/>
      </c>
      <c r="S809" s="3">
        <f>P809*Assumptions!$B$3/100</f>
        <v/>
      </c>
      <c r="T809" s="14">
        <f>R809-S809</f>
        <v/>
      </c>
      <c r="U809" s="14">
        <f>L809*G809</f>
        <v/>
      </c>
    </row>
    <row r="810">
      <c r="A810" s="12" t="inlineStr">
        <is>
          <t>PO-2021-0808</t>
        </is>
      </c>
      <c r="B810" s="26" t="n">
        <v>44762</v>
      </c>
      <c r="C810" s="12" t="inlineStr">
        <is>
          <t>VS33</t>
        </is>
      </c>
      <c r="D810" s="12" t="inlineStr">
        <is>
          <t>Spring Steel</t>
        </is>
      </c>
      <c r="E810" s="12" t="inlineStr">
        <is>
          <t>N</t>
        </is>
      </c>
      <c r="F810" s="12" t="n">
        <v>28.96</v>
      </c>
      <c r="G810" s="17" t="n">
        <v>87870.89</v>
      </c>
      <c r="H810" s="26" t="n">
        <v>44766</v>
      </c>
      <c r="I810" s="26" t="n">
        <v>44768</v>
      </c>
      <c r="J810" s="12" t="n">
        <v>28.79</v>
      </c>
      <c r="K810" s="17" t="n">
        <v>2544740.97</v>
      </c>
      <c r="L810" s="12" t="n">
        <v>0</v>
      </c>
      <c r="M810" s="12" t="n">
        <v>25</v>
      </c>
      <c r="N810" s="27">
        <f>F810-J810</f>
        <v/>
      </c>
      <c r="O810" s="16">
        <f>I810-H810</f>
        <v/>
      </c>
      <c r="P810" s="14">
        <f>F810*G810</f>
        <v/>
      </c>
      <c r="Q810" s="14">
        <f>J810*G810</f>
        <v/>
      </c>
      <c r="R810" s="14">
        <f>K810-Q810</f>
        <v/>
      </c>
      <c r="S810" s="3">
        <f>P810*Assumptions!$B$3/100</f>
        <v/>
      </c>
      <c r="T810" s="14">
        <f>R810-S810</f>
        <v/>
      </c>
      <c r="U810" s="14">
        <f>L810*G810</f>
        <v/>
      </c>
    </row>
    <row r="811">
      <c r="A811" s="12" t="inlineStr">
        <is>
          <t>PO-2021-0809</t>
        </is>
      </c>
      <c r="B811" s="26" t="n">
        <v>44274</v>
      </c>
      <c r="C811" s="12" t="inlineStr">
        <is>
          <t>VS30</t>
        </is>
      </c>
      <c r="D811" s="12" t="inlineStr">
        <is>
          <t>Angles &amp; Channels</t>
        </is>
      </c>
      <c r="E811" s="12" t="inlineStr">
        <is>
          <t>N</t>
        </is>
      </c>
      <c r="F811" s="12" t="n">
        <v>8.65</v>
      </c>
      <c r="G811" s="17" t="n">
        <v>64874.11</v>
      </c>
      <c r="H811" s="26" t="n">
        <v>44286</v>
      </c>
      <c r="I811" s="26" t="n">
        <v>44288</v>
      </c>
      <c r="J811" s="12" t="n">
        <v>8.619999999999999</v>
      </c>
      <c r="K811" s="17" t="n">
        <v>561161.05</v>
      </c>
      <c r="L811" s="12" t="n">
        <v>0</v>
      </c>
      <c r="M811" s="12" t="n">
        <v>8</v>
      </c>
      <c r="N811" s="27">
        <f>F811-J811</f>
        <v/>
      </c>
      <c r="O811" s="16">
        <f>I811-H811</f>
        <v/>
      </c>
      <c r="P811" s="14">
        <f>F811*G811</f>
        <v/>
      </c>
      <c r="Q811" s="14">
        <f>J811*G811</f>
        <v/>
      </c>
      <c r="R811" s="14">
        <f>K811-Q811</f>
        <v/>
      </c>
      <c r="S811" s="3">
        <f>P811*Assumptions!$B$3/100</f>
        <v/>
      </c>
      <c r="T811" s="14">
        <f>R811-S811</f>
        <v/>
      </c>
      <c r="U811" s="14">
        <f>L811*G811</f>
        <v/>
      </c>
    </row>
    <row r="812">
      <c r="A812" s="12" t="inlineStr">
        <is>
          <t>PO-2021-0810</t>
        </is>
      </c>
      <c r="B812" s="26" t="n">
        <v>44708</v>
      </c>
      <c r="C812" s="12" t="inlineStr">
        <is>
          <t>VS15</t>
        </is>
      </c>
      <c r="D812" s="12" t="inlineStr">
        <is>
          <t>CR Sheets</t>
        </is>
      </c>
      <c r="E812" s="12" t="inlineStr">
        <is>
          <t>N</t>
        </is>
      </c>
      <c r="F812" s="12" t="n">
        <v>40.74</v>
      </c>
      <c r="G812" s="17" t="n">
        <v>51892.88</v>
      </c>
      <c r="H812" s="26" t="n">
        <v>44717</v>
      </c>
      <c r="I812" s="26" t="n">
        <v>44717</v>
      </c>
      <c r="J812" s="12" t="n">
        <v>40.43</v>
      </c>
      <c r="K812" s="17" t="n">
        <v>2114115.93</v>
      </c>
      <c r="L812" s="12" t="n">
        <v>0</v>
      </c>
      <c r="M812" s="12" t="n">
        <v>4</v>
      </c>
      <c r="N812" s="27">
        <f>F812-J812</f>
        <v/>
      </c>
      <c r="O812" s="16">
        <f>I812-H812</f>
        <v/>
      </c>
      <c r="P812" s="14">
        <f>F812*G812</f>
        <v/>
      </c>
      <c r="Q812" s="14">
        <f>J812*G812</f>
        <v/>
      </c>
      <c r="R812" s="14">
        <f>K812-Q812</f>
        <v/>
      </c>
      <c r="S812" s="3">
        <f>P812*Assumptions!$B$3/100</f>
        <v/>
      </c>
      <c r="T812" s="14">
        <f>R812-S812</f>
        <v/>
      </c>
      <c r="U812" s="14">
        <f>L812*G812</f>
        <v/>
      </c>
    </row>
    <row r="813">
      <c r="A813" s="12" t="inlineStr">
        <is>
          <t>PO-2021-0811</t>
        </is>
      </c>
      <c r="B813" s="26" t="n">
        <v>44642</v>
      </c>
      <c r="C813" s="12" t="inlineStr">
        <is>
          <t>VS05</t>
        </is>
      </c>
      <c r="D813" s="12" t="inlineStr">
        <is>
          <t>MS Flats</t>
        </is>
      </c>
      <c r="E813" s="12" t="inlineStr">
        <is>
          <t>Y</t>
        </is>
      </c>
      <c r="F813" s="12" t="n">
        <v>39.85</v>
      </c>
      <c r="G813" s="17" t="n">
        <v>57967.69</v>
      </c>
      <c r="H813" s="26" t="n">
        <v>44656</v>
      </c>
      <c r="I813" s="26" t="n">
        <v>44659</v>
      </c>
      <c r="J813" s="12" t="n">
        <v>39.5</v>
      </c>
      <c r="K813" s="17" t="n">
        <v>2310012.45</v>
      </c>
      <c r="L813" s="12" t="n">
        <v>0</v>
      </c>
      <c r="M813" s="12" t="n">
        <v>13</v>
      </c>
      <c r="N813" s="27">
        <f>F813-J813</f>
        <v/>
      </c>
      <c r="O813" s="16">
        <f>I813-H813</f>
        <v/>
      </c>
      <c r="P813" s="14">
        <f>F813*G813</f>
        <v/>
      </c>
      <c r="Q813" s="14">
        <f>J813*G813</f>
        <v/>
      </c>
      <c r="R813" s="14">
        <f>K813-Q813</f>
        <v/>
      </c>
      <c r="S813" s="3">
        <f>P813*Assumptions!$B$3/100</f>
        <v/>
      </c>
      <c r="T813" s="14">
        <f>R813-S813</f>
        <v/>
      </c>
      <c r="U813" s="14">
        <f>L813*G813</f>
        <v/>
      </c>
    </row>
    <row r="814">
      <c r="A814" s="12" t="inlineStr">
        <is>
          <t>PO-2021-0812</t>
        </is>
      </c>
      <c r="B814" s="26" t="n">
        <v>44392</v>
      </c>
      <c r="C814" s="12" t="inlineStr">
        <is>
          <t>VS20</t>
        </is>
      </c>
      <c r="D814" s="12" t="inlineStr">
        <is>
          <t>GI Pipes</t>
        </is>
      </c>
      <c r="E814" s="12" t="inlineStr">
        <is>
          <t>N</t>
        </is>
      </c>
      <c r="F814" s="12" t="n">
        <v>36.81</v>
      </c>
      <c r="G814" s="17" t="n">
        <v>88221.28</v>
      </c>
      <c r="H814" s="26" t="n">
        <v>44396</v>
      </c>
      <c r="I814" s="26" t="n">
        <v>44397</v>
      </c>
      <c r="J814" s="12" t="n">
        <v>36.46</v>
      </c>
      <c r="K814" s="17" t="n">
        <v>3247425.32</v>
      </c>
      <c r="L814" s="12" t="n">
        <v>0</v>
      </c>
      <c r="M814" s="12" t="n">
        <v>4</v>
      </c>
      <c r="N814" s="27">
        <f>F814-J814</f>
        <v/>
      </c>
      <c r="O814" s="16">
        <f>I814-H814</f>
        <v/>
      </c>
      <c r="P814" s="14">
        <f>F814*G814</f>
        <v/>
      </c>
      <c r="Q814" s="14">
        <f>J814*G814</f>
        <v/>
      </c>
      <c r="R814" s="14">
        <f>K814-Q814</f>
        <v/>
      </c>
      <c r="S814" s="3">
        <f>P814*Assumptions!$B$3/100</f>
        <v/>
      </c>
      <c r="T814" s="14">
        <f>R814-S814</f>
        <v/>
      </c>
      <c r="U814" s="14">
        <f>L814*G814</f>
        <v/>
      </c>
    </row>
    <row r="815">
      <c r="A815" s="12" t="inlineStr">
        <is>
          <t>PO-2021-0813</t>
        </is>
      </c>
      <c r="B815" s="26" t="n">
        <v>44311</v>
      </c>
      <c r="C815" s="12" t="inlineStr">
        <is>
          <t>VS22</t>
        </is>
      </c>
      <c r="D815" s="12" t="inlineStr">
        <is>
          <t>Angles &amp; Channels</t>
        </is>
      </c>
      <c r="E815" s="12" t="inlineStr">
        <is>
          <t>N</t>
        </is>
      </c>
      <c r="F815" s="12" t="n">
        <v>44.11</v>
      </c>
      <c r="G815" s="17" t="n">
        <v>77572.83</v>
      </c>
      <c r="H815" s="26" t="n">
        <v>44315</v>
      </c>
      <c r="I815" s="26" t="n">
        <v>44318</v>
      </c>
      <c r="J815" s="12" t="n">
        <v>43.99</v>
      </c>
      <c r="K815" s="17" t="n">
        <v>3421737.53</v>
      </c>
      <c r="L815" s="12" t="n">
        <v>0</v>
      </c>
      <c r="M815" s="12" t="n">
        <v>22</v>
      </c>
      <c r="N815" s="27">
        <f>F815-J815</f>
        <v/>
      </c>
      <c r="O815" s="16">
        <f>I815-H815</f>
        <v/>
      </c>
      <c r="P815" s="14">
        <f>F815*G815</f>
        <v/>
      </c>
      <c r="Q815" s="14">
        <f>J815*G815</f>
        <v/>
      </c>
      <c r="R815" s="14">
        <f>K815-Q815</f>
        <v/>
      </c>
      <c r="S815" s="3">
        <f>P815*Assumptions!$B$3/100</f>
        <v/>
      </c>
      <c r="T815" s="14">
        <f>R815-S815</f>
        <v/>
      </c>
      <c r="U815" s="14">
        <f>L815*G815</f>
        <v/>
      </c>
    </row>
    <row r="816">
      <c r="A816" s="12" t="inlineStr">
        <is>
          <t>PO-2021-0814</t>
        </is>
      </c>
      <c r="B816" s="26" t="n">
        <v>44661</v>
      </c>
      <c r="C816" s="12" t="inlineStr">
        <is>
          <t>VS01</t>
        </is>
      </c>
      <c r="D816" s="12" t="inlineStr">
        <is>
          <t>MS Rods</t>
        </is>
      </c>
      <c r="E816" s="12" t="inlineStr">
        <is>
          <t>N</t>
        </is>
      </c>
      <c r="F816" s="12" t="n">
        <v>3.65</v>
      </c>
      <c r="G816" s="17" t="n">
        <v>84328.75</v>
      </c>
      <c r="H816" s="26" t="n">
        <v>44669</v>
      </c>
      <c r="I816" s="26" t="n">
        <v>44671</v>
      </c>
      <c r="J816" s="12" t="n">
        <v>3.64</v>
      </c>
      <c r="K816" s="17" t="n">
        <v>307799.94</v>
      </c>
      <c r="L816" s="12" t="n">
        <v>0</v>
      </c>
      <c r="M816" s="12" t="n">
        <v>0</v>
      </c>
      <c r="N816" s="27">
        <f>F816-J816</f>
        <v/>
      </c>
      <c r="O816" s="16">
        <f>I816-H816</f>
        <v/>
      </c>
      <c r="P816" s="14">
        <f>F816*G816</f>
        <v/>
      </c>
      <c r="Q816" s="14">
        <f>J816*G816</f>
        <v/>
      </c>
      <c r="R816" s="14">
        <f>K816-Q816</f>
        <v/>
      </c>
      <c r="S816" s="3">
        <f>P816*Assumptions!$B$3/100</f>
        <v/>
      </c>
      <c r="T816" s="14">
        <f>R816-S816</f>
        <v/>
      </c>
      <c r="U816" s="14">
        <f>L816*G816</f>
        <v/>
      </c>
    </row>
    <row r="817">
      <c r="A817" s="12" t="inlineStr">
        <is>
          <t>PO-2021-0815</t>
        </is>
      </c>
      <c r="B817" s="26" t="n">
        <v>44503</v>
      </c>
      <c r="C817" s="12" t="inlineStr">
        <is>
          <t>VS21</t>
        </is>
      </c>
      <c r="D817" s="12" t="inlineStr">
        <is>
          <t>Hex Bars</t>
        </is>
      </c>
      <c r="E817" s="12" t="inlineStr">
        <is>
          <t>N</t>
        </is>
      </c>
      <c r="F817" s="12" t="n">
        <v>35.19</v>
      </c>
      <c r="G817" s="17" t="n">
        <v>56489.81</v>
      </c>
      <c r="H817" s="26" t="n">
        <v>44516</v>
      </c>
      <c r="I817" s="26" t="n">
        <v>44516</v>
      </c>
      <c r="J817" s="12" t="n">
        <v>35.15</v>
      </c>
      <c r="K817" s="17" t="n">
        <v>1987876.41</v>
      </c>
      <c r="L817" s="12" t="n">
        <v>0</v>
      </c>
      <c r="M817" s="12" t="n">
        <v>0</v>
      </c>
      <c r="N817" s="27">
        <f>F817-J817</f>
        <v/>
      </c>
      <c r="O817" s="16">
        <f>I817-H817</f>
        <v/>
      </c>
      <c r="P817" s="14">
        <f>F817*G817</f>
        <v/>
      </c>
      <c r="Q817" s="14">
        <f>J817*G817</f>
        <v/>
      </c>
      <c r="R817" s="14">
        <f>K817-Q817</f>
        <v/>
      </c>
      <c r="S817" s="3">
        <f>P817*Assumptions!$B$3/100</f>
        <v/>
      </c>
      <c r="T817" s="14">
        <f>R817-S817</f>
        <v/>
      </c>
      <c r="U817" s="14">
        <f>L817*G817</f>
        <v/>
      </c>
    </row>
    <row r="818">
      <c r="A818" s="12" t="inlineStr">
        <is>
          <t>PO-2021-0816</t>
        </is>
      </c>
      <c r="B818" s="26" t="n">
        <v>45001</v>
      </c>
      <c r="C818" s="12" t="inlineStr">
        <is>
          <t>VS29</t>
        </is>
      </c>
      <c r="D818" s="12" t="inlineStr">
        <is>
          <t>Hex Bars</t>
        </is>
      </c>
      <c r="E818" s="12" t="inlineStr">
        <is>
          <t>N</t>
        </is>
      </c>
      <c r="F818" s="12" t="n">
        <v>5.41</v>
      </c>
      <c r="G818" s="17" t="n">
        <v>77395.17999999999</v>
      </c>
      <c r="H818" s="26" t="n">
        <v>45016</v>
      </c>
      <c r="I818" s="26" t="n">
        <v>45017</v>
      </c>
      <c r="J818" s="12" t="n">
        <v>5.36</v>
      </c>
      <c r="K818" s="17" t="n">
        <v>418707.92</v>
      </c>
      <c r="L818" s="12" t="n">
        <v>0</v>
      </c>
      <c r="M818" s="12" t="n">
        <v>0</v>
      </c>
      <c r="N818" s="27">
        <f>F818-J818</f>
        <v/>
      </c>
      <c r="O818" s="16">
        <f>I818-H818</f>
        <v/>
      </c>
      <c r="P818" s="14">
        <f>F818*G818</f>
        <v/>
      </c>
      <c r="Q818" s="14">
        <f>J818*G818</f>
        <v/>
      </c>
      <c r="R818" s="14">
        <f>K818-Q818</f>
        <v/>
      </c>
      <c r="S818" s="3">
        <f>P818*Assumptions!$B$3/100</f>
        <v/>
      </c>
      <c r="T818" s="14">
        <f>R818-S818</f>
        <v/>
      </c>
      <c r="U818" s="14">
        <f>L818*G818</f>
        <v/>
      </c>
    </row>
    <row r="819">
      <c r="A819" s="12" t="inlineStr">
        <is>
          <t>PO-2021-0817</t>
        </is>
      </c>
      <c r="B819" s="26" t="n">
        <v>45004</v>
      </c>
      <c r="C819" s="12" t="inlineStr">
        <is>
          <t>VS10</t>
        </is>
      </c>
      <c r="D819" s="12" t="inlineStr">
        <is>
          <t>Square/Rect Tubes</t>
        </is>
      </c>
      <c r="E819" s="12" t="inlineStr">
        <is>
          <t>N</t>
        </is>
      </c>
      <c r="F819" s="12" t="n">
        <v>17.47</v>
      </c>
      <c r="G819" s="17" t="n">
        <v>80689.10000000001</v>
      </c>
      <c r="H819" s="26" t="n">
        <v>45018</v>
      </c>
      <c r="I819" s="26" t="n">
        <v>45020</v>
      </c>
      <c r="J819" s="12" t="n">
        <v>17.32</v>
      </c>
      <c r="K819" s="17" t="n">
        <v>1409638.58</v>
      </c>
      <c r="L819" s="12" t="n">
        <v>0</v>
      </c>
      <c r="M819" s="12" t="n">
        <v>0</v>
      </c>
      <c r="N819" s="27">
        <f>F819-J819</f>
        <v/>
      </c>
      <c r="O819" s="16">
        <f>I819-H819</f>
        <v/>
      </c>
      <c r="P819" s="14">
        <f>F819*G819</f>
        <v/>
      </c>
      <c r="Q819" s="14">
        <f>J819*G819</f>
        <v/>
      </c>
      <c r="R819" s="14">
        <f>K819-Q819</f>
        <v/>
      </c>
      <c r="S819" s="3">
        <f>P819*Assumptions!$B$3/100</f>
        <v/>
      </c>
      <c r="T819" s="14">
        <f>R819-S819</f>
        <v/>
      </c>
      <c r="U819" s="14">
        <f>L819*G819</f>
        <v/>
      </c>
    </row>
    <row r="820">
      <c r="A820" s="12" t="inlineStr">
        <is>
          <t>PO-2021-0818</t>
        </is>
      </c>
      <c r="B820" s="26" t="n">
        <v>44297</v>
      </c>
      <c r="C820" s="12" t="inlineStr">
        <is>
          <t>VS26</t>
        </is>
      </c>
      <c r="D820" s="12" t="inlineStr">
        <is>
          <t>CR Sheets</t>
        </is>
      </c>
      <c r="E820" s="12" t="inlineStr">
        <is>
          <t>N</t>
        </is>
      </c>
      <c r="F820" s="12" t="n">
        <v>5.17</v>
      </c>
      <c r="G820" s="17" t="n">
        <v>82636.73</v>
      </c>
      <c r="H820" s="26" t="n">
        <v>44312</v>
      </c>
      <c r="I820" s="26" t="n">
        <v>44315</v>
      </c>
      <c r="J820" s="12" t="n">
        <v>5.15</v>
      </c>
      <c r="K820" s="17" t="n">
        <v>427231.89</v>
      </c>
      <c r="L820" s="12" t="n">
        <v>0</v>
      </c>
      <c r="M820" s="12" t="n">
        <v>0</v>
      </c>
      <c r="N820" s="27">
        <f>F820-J820</f>
        <v/>
      </c>
      <c r="O820" s="16">
        <f>I820-H820</f>
        <v/>
      </c>
      <c r="P820" s="14">
        <f>F820*G820</f>
        <v/>
      </c>
      <c r="Q820" s="14">
        <f>J820*G820</f>
        <v/>
      </c>
      <c r="R820" s="14">
        <f>K820-Q820</f>
        <v/>
      </c>
      <c r="S820" s="3">
        <f>P820*Assumptions!$B$3/100</f>
        <v/>
      </c>
      <c r="T820" s="14">
        <f>R820-S820</f>
        <v/>
      </c>
      <c r="U820" s="14">
        <f>L820*G820</f>
        <v/>
      </c>
    </row>
    <row r="821">
      <c r="A821" s="12" t="inlineStr">
        <is>
          <t>PO-2021-0819</t>
        </is>
      </c>
      <c r="B821" s="26" t="n">
        <v>44464</v>
      </c>
      <c r="C821" s="12" t="inlineStr">
        <is>
          <t>VS09</t>
        </is>
      </c>
      <c r="D821" s="12" t="inlineStr">
        <is>
          <t>Structural Steel</t>
        </is>
      </c>
      <c r="E821" s="12" t="inlineStr">
        <is>
          <t>N</t>
        </is>
      </c>
      <c r="F821" s="12" t="n">
        <v>28.41</v>
      </c>
      <c r="G821" s="17" t="n">
        <v>81589.58</v>
      </c>
      <c r="H821" s="26" t="n">
        <v>44477</v>
      </c>
      <c r="I821" s="26" t="n">
        <v>44477</v>
      </c>
      <c r="J821" s="12" t="n">
        <v>28.22</v>
      </c>
      <c r="K821" s="17" t="n">
        <v>2317959.97</v>
      </c>
      <c r="L821" s="12" t="n">
        <v>0</v>
      </c>
      <c r="M821" s="12" t="n">
        <v>0</v>
      </c>
      <c r="N821" s="27">
        <f>F821-J821</f>
        <v/>
      </c>
      <c r="O821" s="16">
        <f>I821-H821</f>
        <v/>
      </c>
      <c r="P821" s="14">
        <f>F821*G821</f>
        <v/>
      </c>
      <c r="Q821" s="14">
        <f>J821*G821</f>
        <v/>
      </c>
      <c r="R821" s="14">
        <f>K821-Q821</f>
        <v/>
      </c>
      <c r="S821" s="3">
        <f>P821*Assumptions!$B$3/100</f>
        <v/>
      </c>
      <c r="T821" s="14">
        <f>R821-S821</f>
        <v/>
      </c>
      <c r="U821" s="14">
        <f>L821*G821</f>
        <v/>
      </c>
    </row>
    <row r="822">
      <c r="A822" s="12" t="inlineStr">
        <is>
          <t>PO-2021-0820</t>
        </is>
      </c>
      <c r="B822" s="26" t="n">
        <v>44598</v>
      </c>
      <c r="C822" s="12" t="inlineStr">
        <is>
          <t>VS34</t>
        </is>
      </c>
      <c r="D822" s="12" t="inlineStr">
        <is>
          <t>HR Coils</t>
        </is>
      </c>
      <c r="E822" s="12" t="inlineStr">
        <is>
          <t>N</t>
        </is>
      </c>
      <c r="F822" s="12" t="n">
        <v>12.87</v>
      </c>
      <c r="G822" s="17" t="n">
        <v>64969.28</v>
      </c>
      <c r="H822" s="26" t="n">
        <v>44607</v>
      </c>
      <c r="I822" s="26" t="n">
        <v>44609</v>
      </c>
      <c r="J822" s="12" t="n">
        <v>12.81</v>
      </c>
      <c r="K822" s="17" t="n">
        <v>836154.63</v>
      </c>
      <c r="L822" s="12" t="n">
        <v>0</v>
      </c>
      <c r="M822" s="12" t="n">
        <v>25</v>
      </c>
      <c r="N822" s="27">
        <f>F822-J822</f>
        <v/>
      </c>
      <c r="O822" s="16">
        <f>I822-H822</f>
        <v/>
      </c>
      <c r="P822" s="14">
        <f>F822*G822</f>
        <v/>
      </c>
      <c r="Q822" s="14">
        <f>J822*G822</f>
        <v/>
      </c>
      <c r="R822" s="14">
        <f>K822-Q822</f>
        <v/>
      </c>
      <c r="S822" s="3">
        <f>P822*Assumptions!$B$3/100</f>
        <v/>
      </c>
      <c r="T822" s="14">
        <f>R822-S822</f>
        <v/>
      </c>
      <c r="U822" s="14">
        <f>L822*G822</f>
        <v/>
      </c>
    </row>
    <row r="823">
      <c r="A823" s="12" t="inlineStr">
        <is>
          <t>PO-2021-0821</t>
        </is>
      </c>
      <c r="B823" s="26" t="n">
        <v>44859</v>
      </c>
      <c r="C823" s="12" t="inlineStr">
        <is>
          <t>VS06</t>
        </is>
      </c>
      <c r="D823" s="12" t="inlineStr">
        <is>
          <t>ERW Pipes</t>
        </is>
      </c>
      <c r="E823" s="12" t="inlineStr">
        <is>
          <t>N</t>
        </is>
      </c>
      <c r="F823" s="12" t="n">
        <v>33.92</v>
      </c>
      <c r="G823" s="17" t="n">
        <v>76765.55</v>
      </c>
      <c r="H823" s="26" t="n">
        <v>44867</v>
      </c>
      <c r="I823" s="26" t="n">
        <v>44870</v>
      </c>
      <c r="J823" s="12" t="n">
        <v>33.89</v>
      </c>
      <c r="K823" s="17" t="n">
        <v>2603887.46</v>
      </c>
      <c r="L823" s="12" t="n">
        <v>0</v>
      </c>
      <c r="M823" s="12" t="n">
        <v>25</v>
      </c>
      <c r="N823" s="27">
        <f>F823-J823</f>
        <v/>
      </c>
      <c r="O823" s="16">
        <f>I823-H823</f>
        <v/>
      </c>
      <c r="P823" s="14">
        <f>F823*G823</f>
        <v/>
      </c>
      <c r="Q823" s="14">
        <f>J823*G823</f>
        <v/>
      </c>
      <c r="R823" s="14">
        <f>K823-Q823</f>
        <v/>
      </c>
      <c r="S823" s="3">
        <f>P823*Assumptions!$B$3/100</f>
        <v/>
      </c>
      <c r="T823" s="14">
        <f>R823-S823</f>
        <v/>
      </c>
      <c r="U823" s="14">
        <f>L823*G823</f>
        <v/>
      </c>
    </row>
    <row r="824">
      <c r="A824" s="12" t="inlineStr">
        <is>
          <t>PO-2021-0822</t>
        </is>
      </c>
      <c r="B824" s="26" t="n">
        <v>44587</v>
      </c>
      <c r="C824" s="12" t="inlineStr">
        <is>
          <t>VS21</t>
        </is>
      </c>
      <c r="D824" s="12" t="inlineStr">
        <is>
          <t>Angles &amp; Channels</t>
        </is>
      </c>
      <c r="E824" s="12" t="inlineStr">
        <is>
          <t>N</t>
        </is>
      </c>
      <c r="F824" s="12" t="n">
        <v>30.1</v>
      </c>
      <c r="G824" s="17" t="n">
        <v>46815.51</v>
      </c>
      <c r="H824" s="26" t="n">
        <v>44594</v>
      </c>
      <c r="I824" s="26" t="n">
        <v>44594</v>
      </c>
      <c r="J824" s="12" t="n">
        <v>30.02</v>
      </c>
      <c r="K824" s="17" t="n">
        <v>1409146.85</v>
      </c>
      <c r="L824" s="12" t="n">
        <v>0</v>
      </c>
      <c r="M824" s="12" t="n">
        <v>0</v>
      </c>
      <c r="N824" s="27">
        <f>F824-J824</f>
        <v/>
      </c>
      <c r="O824" s="16">
        <f>I824-H824</f>
        <v/>
      </c>
      <c r="P824" s="14">
        <f>F824*G824</f>
        <v/>
      </c>
      <c r="Q824" s="14">
        <f>J824*G824</f>
        <v/>
      </c>
      <c r="R824" s="14">
        <f>K824-Q824</f>
        <v/>
      </c>
      <c r="S824" s="3">
        <f>P824*Assumptions!$B$3/100</f>
        <v/>
      </c>
      <c r="T824" s="14">
        <f>R824-S824</f>
        <v/>
      </c>
      <c r="U824" s="14">
        <f>L824*G824</f>
        <v/>
      </c>
    </row>
    <row r="825">
      <c r="A825" s="12" t="inlineStr">
        <is>
          <t>PO-2021-0823</t>
        </is>
      </c>
      <c r="B825" s="26" t="n">
        <v>44543</v>
      </c>
      <c r="C825" s="12" t="inlineStr">
        <is>
          <t>VS23</t>
        </is>
      </c>
      <c r="D825" s="12" t="inlineStr">
        <is>
          <t>Fasteners &amp; Fittings</t>
        </is>
      </c>
      <c r="E825" s="12" t="inlineStr">
        <is>
          <t>N</t>
        </is>
      </c>
      <c r="F825" s="12" t="n">
        <v>31.54</v>
      </c>
      <c r="G825" s="17" t="n">
        <v>78034.75999999999</v>
      </c>
      <c r="H825" s="26" t="n">
        <v>44549</v>
      </c>
      <c r="I825" s="26" t="n">
        <v>44549</v>
      </c>
      <c r="J825" s="12" t="n">
        <v>31.49</v>
      </c>
      <c r="K825" s="17" t="n">
        <v>2461216.33</v>
      </c>
      <c r="L825" s="12" t="n">
        <v>0</v>
      </c>
      <c r="M825" s="12" t="n">
        <v>13</v>
      </c>
      <c r="N825" s="27">
        <f>F825-J825</f>
        <v/>
      </c>
      <c r="O825" s="16">
        <f>I825-H825</f>
        <v/>
      </c>
      <c r="P825" s="14">
        <f>F825*G825</f>
        <v/>
      </c>
      <c r="Q825" s="14">
        <f>J825*G825</f>
        <v/>
      </c>
      <c r="R825" s="14">
        <f>K825-Q825</f>
        <v/>
      </c>
      <c r="S825" s="3">
        <f>P825*Assumptions!$B$3/100</f>
        <v/>
      </c>
      <c r="T825" s="14">
        <f>R825-S825</f>
        <v/>
      </c>
      <c r="U825" s="14">
        <f>L825*G825</f>
        <v/>
      </c>
    </row>
    <row r="826">
      <c r="A826" s="12" t="inlineStr">
        <is>
          <t>PO-2021-0824</t>
        </is>
      </c>
      <c r="B826" s="26" t="n">
        <v>44605</v>
      </c>
      <c r="C826" s="12" t="inlineStr">
        <is>
          <t>VS24</t>
        </is>
      </c>
      <c r="D826" s="12" t="inlineStr">
        <is>
          <t>Square/Rect Tubes</t>
        </is>
      </c>
      <c r="E826" s="12" t="inlineStr">
        <is>
          <t>N</t>
        </is>
      </c>
      <c r="F826" s="12" t="n">
        <v>38.13</v>
      </c>
      <c r="G826" s="17" t="n">
        <v>108957.31</v>
      </c>
      <c r="H826" s="26" t="n">
        <v>44609</v>
      </c>
      <c r="I826" s="26" t="n">
        <v>44612</v>
      </c>
      <c r="J826" s="12" t="n">
        <v>38.12</v>
      </c>
      <c r="K826" s="17" t="n">
        <v>4154542.23</v>
      </c>
      <c r="L826" s="12" t="n">
        <v>0</v>
      </c>
      <c r="M826" s="12" t="n">
        <v>0</v>
      </c>
      <c r="N826" s="27">
        <f>F826-J826</f>
        <v/>
      </c>
      <c r="O826" s="16">
        <f>I826-H826</f>
        <v/>
      </c>
      <c r="P826" s="14">
        <f>F826*G826</f>
        <v/>
      </c>
      <c r="Q826" s="14">
        <f>J826*G826</f>
        <v/>
      </c>
      <c r="R826" s="14">
        <f>K826-Q826</f>
        <v/>
      </c>
      <c r="S826" s="3">
        <f>P826*Assumptions!$B$3/100</f>
        <v/>
      </c>
      <c r="T826" s="14">
        <f>R826-S826</f>
        <v/>
      </c>
      <c r="U826" s="14">
        <f>L826*G826</f>
        <v/>
      </c>
    </row>
    <row r="827">
      <c r="A827" s="12" t="inlineStr">
        <is>
          <t>PO-2021-0825</t>
        </is>
      </c>
      <c r="B827" s="26" t="n">
        <v>44308</v>
      </c>
      <c r="C827" s="12" t="inlineStr">
        <is>
          <t>VS16</t>
        </is>
      </c>
      <c r="D827" s="12" t="inlineStr">
        <is>
          <t>Square/Rect Tubes</t>
        </is>
      </c>
      <c r="E827" s="12" t="inlineStr">
        <is>
          <t>N</t>
        </is>
      </c>
      <c r="F827" s="12" t="n">
        <v>43.57</v>
      </c>
      <c r="G827" s="17" t="n">
        <v>106510.05</v>
      </c>
      <c r="H827" s="26" t="n">
        <v>44311</v>
      </c>
      <c r="I827" s="26" t="n">
        <v>44313</v>
      </c>
      <c r="J827" s="12" t="n">
        <v>43.33</v>
      </c>
      <c r="K827" s="17" t="n">
        <v>4640642.88</v>
      </c>
      <c r="L827" s="12" t="n">
        <v>0</v>
      </c>
      <c r="M827" s="12" t="n">
        <v>0</v>
      </c>
      <c r="N827" s="27">
        <f>F827-J827</f>
        <v/>
      </c>
      <c r="O827" s="16">
        <f>I827-H827</f>
        <v/>
      </c>
      <c r="P827" s="14">
        <f>F827*G827</f>
        <v/>
      </c>
      <c r="Q827" s="14">
        <f>J827*G827</f>
        <v/>
      </c>
      <c r="R827" s="14">
        <f>K827-Q827</f>
        <v/>
      </c>
      <c r="S827" s="3">
        <f>P827*Assumptions!$B$3/100</f>
        <v/>
      </c>
      <c r="T827" s="14">
        <f>R827-S827</f>
        <v/>
      </c>
      <c r="U827" s="14">
        <f>L827*G827</f>
        <v/>
      </c>
    </row>
    <row r="828">
      <c r="A828" s="12" t="inlineStr">
        <is>
          <t>PO-2021-0826</t>
        </is>
      </c>
      <c r="B828" s="26" t="n">
        <v>44900</v>
      </c>
      <c r="C828" s="12" t="inlineStr">
        <is>
          <t>VS08</t>
        </is>
      </c>
      <c r="D828" s="12" t="inlineStr">
        <is>
          <t>SS Sheets</t>
        </is>
      </c>
      <c r="E828" s="12" t="inlineStr">
        <is>
          <t>Y</t>
        </is>
      </c>
      <c r="F828" s="12" t="n">
        <v>23.05</v>
      </c>
      <c r="G828" s="17" t="n">
        <v>46706.11</v>
      </c>
      <c r="H828" s="26" t="n">
        <v>44906</v>
      </c>
      <c r="I828" s="26" t="n">
        <v>44906</v>
      </c>
      <c r="J828" s="12" t="n">
        <v>22.89</v>
      </c>
      <c r="K828" s="17" t="n">
        <v>1076575.84</v>
      </c>
      <c r="L828" s="12" t="n">
        <v>0</v>
      </c>
      <c r="M828" s="12" t="n">
        <v>23</v>
      </c>
      <c r="N828" s="27">
        <f>F828-J828</f>
        <v/>
      </c>
      <c r="O828" s="16">
        <f>I828-H828</f>
        <v/>
      </c>
      <c r="P828" s="14">
        <f>F828*G828</f>
        <v/>
      </c>
      <c r="Q828" s="14">
        <f>J828*G828</f>
        <v/>
      </c>
      <c r="R828" s="14">
        <f>K828-Q828</f>
        <v/>
      </c>
      <c r="S828" s="3">
        <f>P828*Assumptions!$B$3/100</f>
        <v/>
      </c>
      <c r="T828" s="14">
        <f>R828-S828</f>
        <v/>
      </c>
      <c r="U828" s="14">
        <f>L828*G828</f>
        <v/>
      </c>
    </row>
    <row r="829">
      <c r="A829" s="12" t="inlineStr">
        <is>
          <t>PO-2021-0827</t>
        </is>
      </c>
      <c r="B829" s="26" t="n">
        <v>44630</v>
      </c>
      <c r="C829" s="12" t="inlineStr">
        <is>
          <t>VS14</t>
        </is>
      </c>
      <c r="D829" s="12" t="inlineStr">
        <is>
          <t>Spring Steel</t>
        </is>
      </c>
      <c r="E829" s="12" t="inlineStr">
        <is>
          <t>N</t>
        </is>
      </c>
      <c r="F829" s="12" t="n">
        <v>26.64</v>
      </c>
      <c r="G829" s="17" t="n">
        <v>64399.35</v>
      </c>
      <c r="H829" s="26" t="n">
        <v>44640</v>
      </c>
      <c r="I829" s="26" t="n">
        <v>44641</v>
      </c>
      <c r="J829" s="12" t="n">
        <v>26.62</v>
      </c>
      <c r="K829" s="17" t="n">
        <v>1715598.68</v>
      </c>
      <c r="L829" s="12" t="n">
        <v>0</v>
      </c>
      <c r="M829" s="12" t="n">
        <v>23</v>
      </c>
      <c r="N829" s="27">
        <f>F829-J829</f>
        <v/>
      </c>
      <c r="O829" s="16">
        <f>I829-H829</f>
        <v/>
      </c>
      <c r="P829" s="14">
        <f>F829*G829</f>
        <v/>
      </c>
      <c r="Q829" s="14">
        <f>J829*G829</f>
        <v/>
      </c>
      <c r="R829" s="14">
        <f>K829-Q829</f>
        <v/>
      </c>
      <c r="S829" s="3">
        <f>P829*Assumptions!$B$3/100</f>
        <v/>
      </c>
      <c r="T829" s="14">
        <f>R829-S829</f>
        <v/>
      </c>
      <c r="U829" s="14">
        <f>L829*G829</f>
        <v/>
      </c>
    </row>
    <row r="830">
      <c r="A830" s="12" t="inlineStr">
        <is>
          <t>PO-2021-0828</t>
        </is>
      </c>
      <c r="B830" s="26" t="n">
        <v>44486</v>
      </c>
      <c r="C830" s="12" t="inlineStr">
        <is>
          <t>VS02</t>
        </is>
      </c>
      <c r="D830" s="12" t="inlineStr">
        <is>
          <t>MS Rods</t>
        </is>
      </c>
      <c r="E830" s="12" t="inlineStr">
        <is>
          <t>N</t>
        </is>
      </c>
      <c r="F830" s="12" t="n">
        <v>29.57</v>
      </c>
      <c r="G830" s="17" t="n">
        <v>94764.63</v>
      </c>
      <c r="H830" s="26" t="n">
        <v>44489</v>
      </c>
      <c r="I830" s="26" t="n">
        <v>44492</v>
      </c>
      <c r="J830" s="12" t="n">
        <v>29.49</v>
      </c>
      <c r="K830" s="17" t="n">
        <v>2802190.11</v>
      </c>
      <c r="L830" s="12" t="n">
        <v>0</v>
      </c>
      <c r="M830" s="12" t="n">
        <v>8</v>
      </c>
      <c r="N830" s="27">
        <f>F830-J830</f>
        <v/>
      </c>
      <c r="O830" s="16">
        <f>I830-H830</f>
        <v/>
      </c>
      <c r="P830" s="14">
        <f>F830*G830</f>
        <v/>
      </c>
      <c r="Q830" s="14">
        <f>J830*G830</f>
        <v/>
      </c>
      <c r="R830" s="14">
        <f>K830-Q830</f>
        <v/>
      </c>
      <c r="S830" s="3">
        <f>P830*Assumptions!$B$3/100</f>
        <v/>
      </c>
      <c r="T830" s="14">
        <f>R830-S830</f>
        <v/>
      </c>
      <c r="U830" s="14">
        <f>L830*G830</f>
        <v/>
      </c>
    </row>
    <row r="831">
      <c r="A831" s="12" t="inlineStr">
        <is>
          <t>PO-2021-0829</t>
        </is>
      </c>
      <c r="B831" s="26" t="n">
        <v>44720</v>
      </c>
      <c r="C831" s="12" t="inlineStr">
        <is>
          <t>VS11</t>
        </is>
      </c>
      <c r="D831" s="12" t="inlineStr">
        <is>
          <t>GI Pipes</t>
        </is>
      </c>
      <c r="E831" s="12" t="inlineStr">
        <is>
          <t>N</t>
        </is>
      </c>
      <c r="F831" s="12" t="n">
        <v>14.92</v>
      </c>
      <c r="G831" s="17" t="n">
        <v>104189.14</v>
      </c>
      <c r="H831" s="26" t="n">
        <v>44732</v>
      </c>
      <c r="I831" s="26" t="n">
        <v>44735</v>
      </c>
      <c r="J831" s="12" t="n">
        <v>14.92</v>
      </c>
      <c r="K831" s="17" t="n">
        <v>1554501.97</v>
      </c>
      <c r="L831" s="12" t="n">
        <v>0</v>
      </c>
      <c r="M831" s="12" t="n">
        <v>3</v>
      </c>
      <c r="N831" s="27">
        <f>F831-J831</f>
        <v/>
      </c>
      <c r="O831" s="16">
        <f>I831-H831</f>
        <v/>
      </c>
      <c r="P831" s="14">
        <f>F831*G831</f>
        <v/>
      </c>
      <c r="Q831" s="14">
        <f>J831*G831</f>
        <v/>
      </c>
      <c r="R831" s="14">
        <f>K831-Q831</f>
        <v/>
      </c>
      <c r="S831" s="3">
        <f>P831*Assumptions!$B$3/100</f>
        <v/>
      </c>
      <c r="T831" s="14">
        <f>R831-S831</f>
        <v/>
      </c>
      <c r="U831" s="14">
        <f>L831*G831</f>
        <v/>
      </c>
    </row>
    <row r="832">
      <c r="A832" s="12" t="inlineStr">
        <is>
          <t>PO-2021-0830</t>
        </is>
      </c>
      <c r="B832" s="26" t="n">
        <v>44752</v>
      </c>
      <c r="C832" s="12" t="inlineStr">
        <is>
          <t>VS04</t>
        </is>
      </c>
      <c r="D832" s="12" t="inlineStr">
        <is>
          <t>Fasteners &amp; Fittings</t>
        </is>
      </c>
      <c r="E832" s="12" t="inlineStr">
        <is>
          <t>N</t>
        </is>
      </c>
      <c r="F832" s="12" t="n">
        <v>33.08</v>
      </c>
      <c r="G832" s="17" t="n">
        <v>45625.06</v>
      </c>
      <c r="H832" s="26" t="n">
        <v>44761</v>
      </c>
      <c r="I832" s="26" t="n">
        <v>44761</v>
      </c>
      <c r="J832" s="12" t="n">
        <v>32.84</v>
      </c>
      <c r="K832" s="17" t="n">
        <v>1509276.98</v>
      </c>
      <c r="L832" s="12" t="n">
        <v>0</v>
      </c>
      <c r="M832" s="12" t="n">
        <v>2</v>
      </c>
      <c r="N832" s="27">
        <f>F832-J832</f>
        <v/>
      </c>
      <c r="O832" s="16">
        <f>I832-H832</f>
        <v/>
      </c>
      <c r="P832" s="14">
        <f>F832*G832</f>
        <v/>
      </c>
      <c r="Q832" s="14">
        <f>J832*G832</f>
        <v/>
      </c>
      <c r="R832" s="14">
        <f>K832-Q832</f>
        <v/>
      </c>
      <c r="S832" s="3">
        <f>P832*Assumptions!$B$3/100</f>
        <v/>
      </c>
      <c r="T832" s="14">
        <f>R832-S832</f>
        <v/>
      </c>
      <c r="U832" s="14">
        <f>L832*G832</f>
        <v/>
      </c>
    </row>
    <row r="833">
      <c r="A833" s="12" t="inlineStr">
        <is>
          <t>PO-2021-0831</t>
        </is>
      </c>
      <c r="B833" s="26" t="n">
        <v>44752</v>
      </c>
      <c r="C833" s="12" t="inlineStr">
        <is>
          <t>VS24</t>
        </is>
      </c>
      <c r="D833" s="12" t="inlineStr">
        <is>
          <t>ERW Pipes</t>
        </is>
      </c>
      <c r="E833" s="12" t="inlineStr">
        <is>
          <t>N</t>
        </is>
      </c>
      <c r="F833" s="12" t="n">
        <v>1.93</v>
      </c>
      <c r="G833" s="17" t="n">
        <v>110055.78</v>
      </c>
      <c r="H833" s="26" t="n">
        <v>44765</v>
      </c>
      <c r="I833" s="26" t="n">
        <v>44768</v>
      </c>
      <c r="J833" s="12" t="n">
        <v>1.91</v>
      </c>
      <c r="K833" s="17" t="n">
        <v>212407.66</v>
      </c>
      <c r="L833" s="12" t="n">
        <v>0</v>
      </c>
      <c r="M833" s="12" t="n">
        <v>0</v>
      </c>
      <c r="N833" s="27">
        <f>F833-J833</f>
        <v/>
      </c>
      <c r="O833" s="16">
        <f>I833-H833</f>
        <v/>
      </c>
      <c r="P833" s="14">
        <f>F833*G833</f>
        <v/>
      </c>
      <c r="Q833" s="14">
        <f>J833*G833</f>
        <v/>
      </c>
      <c r="R833" s="14">
        <f>K833-Q833</f>
        <v/>
      </c>
      <c r="S833" s="3">
        <f>P833*Assumptions!$B$3/100</f>
        <v/>
      </c>
      <c r="T833" s="14">
        <f>R833-S833</f>
        <v/>
      </c>
      <c r="U833" s="14">
        <f>L833*G833</f>
        <v/>
      </c>
    </row>
    <row r="834">
      <c r="A834" s="12" t="inlineStr">
        <is>
          <t>PO-2021-0832</t>
        </is>
      </c>
      <c r="B834" s="26" t="n">
        <v>44988</v>
      </c>
      <c r="C834" s="12" t="inlineStr">
        <is>
          <t>VS15</t>
        </is>
      </c>
      <c r="D834" s="12" t="inlineStr">
        <is>
          <t>MS Rods</t>
        </is>
      </c>
      <c r="E834" s="12" t="inlineStr">
        <is>
          <t>N</t>
        </is>
      </c>
      <c r="F834" s="12" t="n">
        <v>25.92</v>
      </c>
      <c r="G834" s="17" t="n">
        <v>98226.66</v>
      </c>
      <c r="H834" s="26" t="n">
        <v>44996</v>
      </c>
      <c r="I834" s="26" t="n">
        <v>44996</v>
      </c>
      <c r="J834" s="12" t="n">
        <v>25.87</v>
      </c>
      <c r="K834" s="17" t="n">
        <v>2546035.03</v>
      </c>
      <c r="L834" s="12" t="n">
        <v>0</v>
      </c>
      <c r="M834" s="12" t="n">
        <v>9</v>
      </c>
      <c r="N834" s="27">
        <f>F834-J834</f>
        <v/>
      </c>
      <c r="O834" s="16">
        <f>I834-H834</f>
        <v/>
      </c>
      <c r="P834" s="14">
        <f>F834*G834</f>
        <v/>
      </c>
      <c r="Q834" s="14">
        <f>J834*G834</f>
        <v/>
      </c>
      <c r="R834" s="14">
        <f>K834-Q834</f>
        <v/>
      </c>
      <c r="S834" s="3">
        <f>P834*Assumptions!$B$3/100</f>
        <v/>
      </c>
      <c r="T834" s="14">
        <f>R834-S834</f>
        <v/>
      </c>
      <c r="U834" s="14">
        <f>L834*G834</f>
        <v/>
      </c>
    </row>
    <row r="835">
      <c r="A835" s="12" t="inlineStr">
        <is>
          <t>PO-2021-0833</t>
        </is>
      </c>
      <c r="B835" s="26" t="n">
        <v>45189</v>
      </c>
      <c r="C835" s="12" t="inlineStr">
        <is>
          <t>VS06</t>
        </is>
      </c>
      <c r="D835" s="12" t="inlineStr">
        <is>
          <t>MS Sheets</t>
        </is>
      </c>
      <c r="E835" s="12" t="inlineStr">
        <is>
          <t>N</t>
        </is>
      </c>
      <c r="F835" s="12" t="n">
        <v>10.74</v>
      </c>
      <c r="G835" s="17" t="n">
        <v>117509.35</v>
      </c>
      <c r="H835" s="26" t="n">
        <v>45200</v>
      </c>
      <c r="I835" s="26" t="n">
        <v>45201</v>
      </c>
      <c r="J835" s="12" t="n">
        <v>10.7</v>
      </c>
      <c r="K835" s="17" t="n">
        <v>1262050.42</v>
      </c>
      <c r="L835" s="12" t="n">
        <v>0</v>
      </c>
      <c r="M835" s="12" t="n">
        <v>13</v>
      </c>
      <c r="N835" s="27">
        <f>F835-J835</f>
        <v/>
      </c>
      <c r="O835" s="16">
        <f>I835-H835</f>
        <v/>
      </c>
      <c r="P835" s="14">
        <f>F835*G835</f>
        <v/>
      </c>
      <c r="Q835" s="14">
        <f>J835*G835</f>
        <v/>
      </c>
      <c r="R835" s="14">
        <f>K835-Q835</f>
        <v/>
      </c>
      <c r="S835" s="3">
        <f>P835*Assumptions!$B$3/100</f>
        <v/>
      </c>
      <c r="T835" s="14">
        <f>R835-S835</f>
        <v/>
      </c>
      <c r="U835" s="14">
        <f>L835*G835</f>
        <v/>
      </c>
    </row>
    <row r="836">
      <c r="A836" s="12" t="inlineStr">
        <is>
          <t>PO-2021-0834</t>
        </is>
      </c>
      <c r="B836" s="26" t="n">
        <v>44241</v>
      </c>
      <c r="C836" s="12" t="inlineStr">
        <is>
          <t>VS03</t>
        </is>
      </c>
      <c r="D836" s="12" t="inlineStr">
        <is>
          <t>HR Coils</t>
        </is>
      </c>
      <c r="E836" s="12" t="inlineStr">
        <is>
          <t>N</t>
        </is>
      </c>
      <c r="F836" s="12" t="n">
        <v>46.19</v>
      </c>
      <c r="G836" s="17" t="n">
        <v>70584.35000000001</v>
      </c>
      <c r="H836" s="26" t="n">
        <v>44251</v>
      </c>
      <c r="I836" s="26" t="n">
        <v>44256</v>
      </c>
      <c r="J836" s="12" t="n">
        <v>45.08</v>
      </c>
      <c r="K836" s="17" t="n">
        <v>3260291.13</v>
      </c>
      <c r="L836" s="12" t="n">
        <v>1.89</v>
      </c>
      <c r="M836" s="12" t="n">
        <v>17</v>
      </c>
      <c r="N836" s="27">
        <f>F836-J836</f>
        <v/>
      </c>
      <c r="O836" s="16">
        <f>I836-H836</f>
        <v/>
      </c>
      <c r="P836" s="14">
        <f>F836*G836</f>
        <v/>
      </c>
      <c r="Q836" s="14">
        <f>J836*G836</f>
        <v/>
      </c>
      <c r="R836" s="14">
        <f>K836-Q836</f>
        <v/>
      </c>
      <c r="S836" s="3">
        <f>P836*Assumptions!$B$3/100</f>
        <v/>
      </c>
      <c r="T836" s="14">
        <f>R836-S836</f>
        <v/>
      </c>
      <c r="U836" s="14">
        <f>L836*G836</f>
        <v/>
      </c>
    </row>
    <row r="837">
      <c r="A837" s="12" t="inlineStr">
        <is>
          <t>PO-2021-0835</t>
        </is>
      </c>
      <c r="B837" s="26" t="n">
        <v>45002</v>
      </c>
      <c r="C837" s="12" t="inlineStr">
        <is>
          <t>VS11</t>
        </is>
      </c>
      <c r="D837" s="12" t="inlineStr">
        <is>
          <t>MS Pipes</t>
        </is>
      </c>
      <c r="E837" s="12" t="inlineStr">
        <is>
          <t>N</t>
        </is>
      </c>
      <c r="F837" s="12" t="n">
        <v>17.99</v>
      </c>
      <c r="G837" s="17" t="n">
        <v>71393.48</v>
      </c>
      <c r="H837" s="26" t="n">
        <v>45015</v>
      </c>
      <c r="I837" s="26" t="n">
        <v>45018</v>
      </c>
      <c r="J837" s="12" t="n">
        <v>17.92</v>
      </c>
      <c r="K837" s="17" t="n">
        <v>1284368.71</v>
      </c>
      <c r="L837" s="12" t="n">
        <v>0</v>
      </c>
      <c r="M837" s="12" t="n">
        <v>0</v>
      </c>
      <c r="N837" s="27">
        <f>F837-J837</f>
        <v/>
      </c>
      <c r="O837" s="16">
        <f>I837-H837</f>
        <v/>
      </c>
      <c r="P837" s="14">
        <f>F837*G837</f>
        <v/>
      </c>
      <c r="Q837" s="14">
        <f>J837*G837</f>
        <v/>
      </c>
      <c r="R837" s="14">
        <f>K837-Q837</f>
        <v/>
      </c>
      <c r="S837" s="3">
        <f>P837*Assumptions!$B$3/100</f>
        <v/>
      </c>
      <c r="T837" s="14">
        <f>R837-S837</f>
        <v/>
      </c>
      <c r="U837" s="14">
        <f>L837*G837</f>
        <v/>
      </c>
    </row>
    <row r="838">
      <c r="A838" s="12" t="inlineStr">
        <is>
          <t>PO-2021-0836</t>
        </is>
      </c>
      <c r="B838" s="26" t="n">
        <v>44816</v>
      </c>
      <c r="C838" s="12" t="inlineStr">
        <is>
          <t>VS16</t>
        </is>
      </c>
      <c r="D838" s="12" t="inlineStr">
        <is>
          <t>Hex Bars</t>
        </is>
      </c>
      <c r="E838" s="12" t="inlineStr">
        <is>
          <t>N</t>
        </is>
      </c>
      <c r="F838" s="12" t="n">
        <v>14.52</v>
      </c>
      <c r="G838" s="17" t="n">
        <v>49650.73</v>
      </c>
      <c r="H838" s="26" t="n">
        <v>44823</v>
      </c>
      <c r="I838" s="26" t="n">
        <v>44826</v>
      </c>
      <c r="J838" s="12" t="n">
        <v>14.51</v>
      </c>
      <c r="K838" s="17" t="n">
        <v>720928.6</v>
      </c>
      <c r="L838" s="12" t="n">
        <v>0</v>
      </c>
      <c r="M838" s="12" t="n">
        <v>0</v>
      </c>
      <c r="N838" s="27">
        <f>F838-J838</f>
        <v/>
      </c>
      <c r="O838" s="16">
        <f>I838-H838</f>
        <v/>
      </c>
      <c r="P838" s="14">
        <f>F838*G838</f>
        <v/>
      </c>
      <c r="Q838" s="14">
        <f>J838*G838</f>
        <v/>
      </c>
      <c r="R838" s="14">
        <f>K838-Q838</f>
        <v/>
      </c>
      <c r="S838" s="3">
        <f>P838*Assumptions!$B$3/100</f>
        <v/>
      </c>
      <c r="T838" s="14">
        <f>R838-S838</f>
        <v/>
      </c>
      <c r="U838" s="14">
        <f>L838*G838</f>
        <v/>
      </c>
    </row>
    <row r="839">
      <c r="A839" s="12" t="inlineStr">
        <is>
          <t>PO-2021-0837</t>
        </is>
      </c>
      <c r="B839" s="26" t="n">
        <v>44989</v>
      </c>
      <c r="C839" s="12" t="inlineStr">
        <is>
          <t>VS02</t>
        </is>
      </c>
      <c r="D839" s="12" t="inlineStr">
        <is>
          <t>Spring Steel</t>
        </is>
      </c>
      <c r="E839" s="12" t="inlineStr">
        <is>
          <t>Y</t>
        </is>
      </c>
      <c r="F839" s="12" t="n">
        <v>47.51</v>
      </c>
      <c r="G839" s="17" t="n">
        <v>61918.7</v>
      </c>
      <c r="H839" s="26" t="n">
        <v>44997</v>
      </c>
      <c r="I839" s="26" t="n">
        <v>44999</v>
      </c>
      <c r="J839" s="12" t="n">
        <v>47.17</v>
      </c>
      <c r="K839" s="17" t="n">
        <v>2941757.44</v>
      </c>
      <c r="L839" s="12" t="n">
        <v>0</v>
      </c>
      <c r="M839" s="12" t="n">
        <v>9</v>
      </c>
      <c r="N839" s="27">
        <f>F839-J839</f>
        <v/>
      </c>
      <c r="O839" s="16">
        <f>I839-H839</f>
        <v/>
      </c>
      <c r="P839" s="14">
        <f>F839*G839</f>
        <v/>
      </c>
      <c r="Q839" s="14">
        <f>J839*G839</f>
        <v/>
      </c>
      <c r="R839" s="14">
        <f>K839-Q839</f>
        <v/>
      </c>
      <c r="S839" s="3">
        <f>P839*Assumptions!$B$3/100</f>
        <v/>
      </c>
      <c r="T839" s="14">
        <f>R839-S839</f>
        <v/>
      </c>
      <c r="U839" s="14">
        <f>L839*G839</f>
        <v/>
      </c>
    </row>
    <row r="840">
      <c r="A840" s="12" t="inlineStr">
        <is>
          <t>PO-2021-0838</t>
        </is>
      </c>
      <c r="B840" s="26" t="n">
        <v>45001</v>
      </c>
      <c r="C840" s="12" t="inlineStr">
        <is>
          <t>VS09</t>
        </is>
      </c>
      <c r="D840" s="12" t="inlineStr">
        <is>
          <t>SS Pipes</t>
        </is>
      </c>
      <c r="E840" s="12" t="inlineStr">
        <is>
          <t>Y</t>
        </is>
      </c>
      <c r="F840" s="12" t="n">
        <v>36.76</v>
      </c>
      <c r="G840" s="17" t="n">
        <v>84053.84</v>
      </c>
      <c r="H840" s="26" t="n">
        <v>45014</v>
      </c>
      <c r="I840" s="26" t="n">
        <v>45016</v>
      </c>
      <c r="J840" s="12" t="n">
        <v>36.72</v>
      </c>
      <c r="K840" s="17" t="n">
        <v>3089819.16</v>
      </c>
      <c r="L840" s="12" t="n">
        <v>0</v>
      </c>
      <c r="M840" s="12" t="n">
        <v>0</v>
      </c>
      <c r="N840" s="27">
        <f>F840-J840</f>
        <v/>
      </c>
      <c r="O840" s="16">
        <f>I840-H840</f>
        <v/>
      </c>
      <c r="P840" s="14">
        <f>F840*G840</f>
        <v/>
      </c>
      <c r="Q840" s="14">
        <f>J840*G840</f>
        <v/>
      </c>
      <c r="R840" s="14">
        <f>K840-Q840</f>
        <v/>
      </c>
      <c r="S840" s="3">
        <f>P840*Assumptions!$B$3/100</f>
        <v/>
      </c>
      <c r="T840" s="14">
        <f>R840-S840</f>
        <v/>
      </c>
      <c r="U840" s="14">
        <f>L840*G840</f>
        <v/>
      </c>
    </row>
    <row r="841">
      <c r="A841" s="12" t="inlineStr">
        <is>
          <t>PO-2021-0839</t>
        </is>
      </c>
      <c r="B841" s="26" t="n">
        <v>44662</v>
      </c>
      <c r="C841" s="12" t="inlineStr">
        <is>
          <t>VS27</t>
        </is>
      </c>
      <c r="D841" s="12" t="inlineStr">
        <is>
          <t>HR Coils</t>
        </is>
      </c>
      <c r="E841" s="12" t="inlineStr">
        <is>
          <t>N</t>
        </is>
      </c>
      <c r="F841" s="12" t="n">
        <v>29.07</v>
      </c>
      <c r="G841" s="17" t="n">
        <v>76984.87</v>
      </c>
      <c r="H841" s="26" t="n">
        <v>44669</v>
      </c>
      <c r="I841" s="26" t="n">
        <v>44669</v>
      </c>
      <c r="J841" s="12" t="n">
        <v>28.85</v>
      </c>
      <c r="K841" s="17" t="n">
        <v>2237950.17</v>
      </c>
      <c r="L841" s="12" t="n">
        <v>0</v>
      </c>
      <c r="M841" s="12" t="n">
        <v>16</v>
      </c>
      <c r="N841" s="27">
        <f>F841-J841</f>
        <v/>
      </c>
      <c r="O841" s="16">
        <f>I841-H841</f>
        <v/>
      </c>
      <c r="P841" s="14">
        <f>F841*G841</f>
        <v/>
      </c>
      <c r="Q841" s="14">
        <f>J841*G841</f>
        <v/>
      </c>
      <c r="R841" s="14">
        <f>K841-Q841</f>
        <v/>
      </c>
      <c r="S841" s="3">
        <f>P841*Assumptions!$B$3/100</f>
        <v/>
      </c>
      <c r="T841" s="14">
        <f>R841-S841</f>
        <v/>
      </c>
      <c r="U841" s="14">
        <f>L841*G841</f>
        <v/>
      </c>
    </row>
    <row r="842">
      <c r="A842" s="12" t="inlineStr">
        <is>
          <t>PO-2021-0840</t>
        </is>
      </c>
      <c r="B842" s="26" t="n">
        <v>44871</v>
      </c>
      <c r="C842" s="12" t="inlineStr">
        <is>
          <t>VS29</t>
        </is>
      </c>
      <c r="D842" s="12" t="inlineStr">
        <is>
          <t>Spring Steel</t>
        </is>
      </c>
      <c r="E842" s="12" t="inlineStr">
        <is>
          <t>N</t>
        </is>
      </c>
      <c r="F842" s="12" t="n">
        <v>7.46</v>
      </c>
      <c r="G842" s="17" t="n">
        <v>93935.45</v>
      </c>
      <c r="H842" s="26" t="n">
        <v>44883</v>
      </c>
      <c r="I842" s="26" t="n">
        <v>44883</v>
      </c>
      <c r="J842" s="12" t="n">
        <v>7.45</v>
      </c>
      <c r="K842" s="17" t="n">
        <v>700758.46</v>
      </c>
      <c r="L842" s="12" t="n">
        <v>0</v>
      </c>
      <c r="M842" s="12" t="n">
        <v>3</v>
      </c>
      <c r="N842" s="27">
        <f>F842-J842</f>
        <v/>
      </c>
      <c r="O842" s="16">
        <f>I842-H842</f>
        <v/>
      </c>
      <c r="P842" s="14">
        <f>F842*G842</f>
        <v/>
      </c>
      <c r="Q842" s="14">
        <f>J842*G842</f>
        <v/>
      </c>
      <c r="R842" s="14">
        <f>K842-Q842</f>
        <v/>
      </c>
      <c r="S842" s="3">
        <f>P842*Assumptions!$B$3/100</f>
        <v/>
      </c>
      <c r="T842" s="14">
        <f>R842-S842</f>
        <v/>
      </c>
      <c r="U842" s="14">
        <f>L842*G842</f>
        <v/>
      </c>
    </row>
    <row r="843">
      <c r="A843" s="12" t="inlineStr">
        <is>
          <t>PO-2021-0841</t>
        </is>
      </c>
      <c r="B843" s="26" t="n">
        <v>44611</v>
      </c>
      <c r="C843" s="12" t="inlineStr">
        <is>
          <t>VS09</t>
        </is>
      </c>
      <c r="D843" s="12" t="inlineStr">
        <is>
          <t>SS Sheets</t>
        </is>
      </c>
      <c r="E843" s="12" t="inlineStr">
        <is>
          <t>N</t>
        </is>
      </c>
      <c r="F843" s="12" t="n">
        <v>34.74</v>
      </c>
      <c r="G843" s="17" t="n">
        <v>112398.24</v>
      </c>
      <c r="H843" s="26" t="n">
        <v>44616</v>
      </c>
      <c r="I843" s="26" t="n">
        <v>44617</v>
      </c>
      <c r="J843" s="12" t="n">
        <v>34.54</v>
      </c>
      <c r="K843" s="17" t="n">
        <v>3904714.86</v>
      </c>
      <c r="L843" s="12" t="n">
        <v>0</v>
      </c>
      <c r="M843" s="12" t="n">
        <v>0</v>
      </c>
      <c r="N843" s="27">
        <f>F843-J843</f>
        <v/>
      </c>
      <c r="O843" s="16">
        <f>I843-H843</f>
        <v/>
      </c>
      <c r="P843" s="14">
        <f>F843*G843</f>
        <v/>
      </c>
      <c r="Q843" s="14">
        <f>J843*G843</f>
        <v/>
      </c>
      <c r="R843" s="14">
        <f>K843-Q843</f>
        <v/>
      </c>
      <c r="S843" s="3">
        <f>P843*Assumptions!$B$3/100</f>
        <v/>
      </c>
      <c r="T843" s="14">
        <f>R843-S843</f>
        <v/>
      </c>
      <c r="U843" s="14">
        <f>L843*G843</f>
        <v/>
      </c>
    </row>
    <row r="844">
      <c r="A844" s="12" t="inlineStr">
        <is>
          <t>PO-2021-0842</t>
        </is>
      </c>
      <c r="B844" s="26" t="n">
        <v>45077</v>
      </c>
      <c r="C844" s="12" t="inlineStr">
        <is>
          <t>VS10</t>
        </is>
      </c>
      <c r="D844" s="12" t="inlineStr">
        <is>
          <t>MS Sheets</t>
        </is>
      </c>
      <c r="E844" s="12" t="inlineStr">
        <is>
          <t>Y</t>
        </is>
      </c>
      <c r="F844" s="12" t="n">
        <v>16.56</v>
      </c>
      <c r="G844" s="17" t="n">
        <v>86800.52</v>
      </c>
      <c r="H844" s="26" t="n">
        <v>45091</v>
      </c>
      <c r="I844" s="26" t="n">
        <v>45093</v>
      </c>
      <c r="J844" s="12" t="n">
        <v>16.55</v>
      </c>
      <c r="K844" s="17" t="n">
        <v>1437416.61</v>
      </c>
      <c r="L844" s="12" t="n">
        <v>0</v>
      </c>
      <c r="M844" s="12" t="n">
        <v>15</v>
      </c>
      <c r="N844" s="27">
        <f>F844-J844</f>
        <v/>
      </c>
      <c r="O844" s="16">
        <f>I844-H844</f>
        <v/>
      </c>
      <c r="P844" s="14">
        <f>F844*G844</f>
        <v/>
      </c>
      <c r="Q844" s="14">
        <f>J844*G844</f>
        <v/>
      </c>
      <c r="R844" s="14">
        <f>K844-Q844</f>
        <v/>
      </c>
      <c r="S844" s="3">
        <f>P844*Assumptions!$B$3/100</f>
        <v/>
      </c>
      <c r="T844" s="14">
        <f>R844-S844</f>
        <v/>
      </c>
      <c r="U844" s="14">
        <f>L844*G844</f>
        <v/>
      </c>
    </row>
    <row r="845">
      <c r="A845" s="12" t="inlineStr">
        <is>
          <t>PO-2021-0843</t>
        </is>
      </c>
      <c r="B845" s="26" t="n">
        <v>44439</v>
      </c>
      <c r="C845" s="12" t="inlineStr">
        <is>
          <t>VS12</t>
        </is>
      </c>
      <c r="D845" s="12" t="inlineStr">
        <is>
          <t>MS Flats</t>
        </is>
      </c>
      <c r="E845" s="12" t="inlineStr">
        <is>
          <t>Y</t>
        </is>
      </c>
      <c r="F845" s="12" t="n">
        <v>42.14</v>
      </c>
      <c r="G845" s="17" t="n">
        <v>58150.78</v>
      </c>
      <c r="H845" s="26" t="n">
        <v>44442</v>
      </c>
      <c r="I845" s="26" t="n">
        <v>44449</v>
      </c>
      <c r="J845" s="12" t="n">
        <v>40.61</v>
      </c>
      <c r="K845" s="17" t="n">
        <v>2450473.87</v>
      </c>
      <c r="L845" s="12" t="n">
        <v>1.35</v>
      </c>
      <c r="M845" s="12" t="n">
        <v>18</v>
      </c>
      <c r="N845" s="27">
        <f>F845-J845</f>
        <v/>
      </c>
      <c r="O845" s="16">
        <f>I845-H845</f>
        <v/>
      </c>
      <c r="P845" s="14">
        <f>F845*G845</f>
        <v/>
      </c>
      <c r="Q845" s="14">
        <f>J845*G845</f>
        <v/>
      </c>
      <c r="R845" s="14">
        <f>K845-Q845</f>
        <v/>
      </c>
      <c r="S845" s="3">
        <f>P845*Assumptions!$B$3/100</f>
        <v/>
      </c>
      <c r="T845" s="14">
        <f>R845-S845</f>
        <v/>
      </c>
      <c r="U845" s="14">
        <f>L845*G845</f>
        <v/>
      </c>
    </row>
    <row r="846">
      <c r="A846" s="12" t="inlineStr">
        <is>
          <t>PO-2021-0844</t>
        </is>
      </c>
      <c r="B846" s="26" t="n">
        <v>44849</v>
      </c>
      <c r="C846" s="12" t="inlineStr">
        <is>
          <t>VS27</t>
        </is>
      </c>
      <c r="D846" s="12" t="inlineStr">
        <is>
          <t>GI Wire</t>
        </is>
      </c>
      <c r="E846" s="12" t="inlineStr">
        <is>
          <t>N</t>
        </is>
      </c>
      <c r="F846" s="12" t="n">
        <v>15.86</v>
      </c>
      <c r="G846" s="17" t="n">
        <v>100920.73</v>
      </c>
      <c r="H846" s="26" t="n">
        <v>44862</v>
      </c>
      <c r="I846" s="26" t="n">
        <v>44863</v>
      </c>
      <c r="J846" s="12" t="n">
        <v>15.74</v>
      </c>
      <c r="K846" s="17" t="n">
        <v>1600602.78</v>
      </c>
      <c r="L846" s="12" t="n">
        <v>0</v>
      </c>
      <c r="M846" s="12" t="n">
        <v>5</v>
      </c>
      <c r="N846" s="27">
        <f>F846-J846</f>
        <v/>
      </c>
      <c r="O846" s="16">
        <f>I846-H846</f>
        <v/>
      </c>
      <c r="P846" s="14">
        <f>F846*G846</f>
        <v/>
      </c>
      <c r="Q846" s="14">
        <f>J846*G846</f>
        <v/>
      </c>
      <c r="R846" s="14">
        <f>K846-Q846</f>
        <v/>
      </c>
      <c r="S846" s="3">
        <f>P846*Assumptions!$B$3/100</f>
        <v/>
      </c>
      <c r="T846" s="14">
        <f>R846-S846</f>
        <v/>
      </c>
      <c r="U846" s="14">
        <f>L846*G846</f>
        <v/>
      </c>
    </row>
    <row r="847">
      <c r="A847" s="12" t="inlineStr">
        <is>
          <t>PO-2021-0845</t>
        </is>
      </c>
      <c r="B847" s="26" t="n">
        <v>44757</v>
      </c>
      <c r="C847" s="12" t="inlineStr">
        <is>
          <t>VS10</t>
        </is>
      </c>
      <c r="D847" s="12" t="inlineStr">
        <is>
          <t>GI Sheets</t>
        </is>
      </c>
      <c r="E847" s="12" t="inlineStr">
        <is>
          <t>N</t>
        </is>
      </c>
      <c r="F847" s="12" t="n">
        <v>6.23</v>
      </c>
      <c r="G847" s="17" t="n">
        <v>58855.99</v>
      </c>
      <c r="H847" s="26" t="n">
        <v>44772</v>
      </c>
      <c r="I847" s="26" t="n">
        <v>44772</v>
      </c>
      <c r="J847" s="12" t="n">
        <v>6.17</v>
      </c>
      <c r="K847" s="17" t="n">
        <v>366672.82</v>
      </c>
      <c r="L847" s="12" t="n">
        <v>0</v>
      </c>
      <c r="M847" s="12" t="n">
        <v>6</v>
      </c>
      <c r="N847" s="27">
        <f>F847-J847</f>
        <v/>
      </c>
      <c r="O847" s="16">
        <f>I847-H847</f>
        <v/>
      </c>
      <c r="P847" s="14">
        <f>F847*G847</f>
        <v/>
      </c>
      <c r="Q847" s="14">
        <f>J847*G847</f>
        <v/>
      </c>
      <c r="R847" s="14">
        <f>K847-Q847</f>
        <v/>
      </c>
      <c r="S847" s="3">
        <f>P847*Assumptions!$B$3/100</f>
        <v/>
      </c>
      <c r="T847" s="14">
        <f>R847-S847</f>
        <v/>
      </c>
      <c r="U847" s="14">
        <f>L847*G847</f>
        <v/>
      </c>
    </row>
    <row r="848">
      <c r="A848" s="12" t="inlineStr">
        <is>
          <t>PO-2021-0846</t>
        </is>
      </c>
      <c r="B848" s="26" t="n">
        <v>44743</v>
      </c>
      <c r="C848" s="12" t="inlineStr">
        <is>
          <t>VS15</t>
        </is>
      </c>
      <c r="D848" s="12" t="inlineStr">
        <is>
          <t>HR Coils</t>
        </is>
      </c>
      <c r="E848" s="12" t="inlineStr">
        <is>
          <t>Y</t>
        </is>
      </c>
      <c r="F848" s="12" t="n">
        <v>12.31</v>
      </c>
      <c r="G848" s="17" t="n">
        <v>46956.34</v>
      </c>
      <c r="H848" s="26" t="n">
        <v>44747</v>
      </c>
      <c r="I848" s="26" t="n">
        <v>44749</v>
      </c>
      <c r="J848" s="12" t="n">
        <v>12.28</v>
      </c>
      <c r="K848" s="17" t="n">
        <v>578032.55</v>
      </c>
      <c r="L848" s="12" t="n">
        <v>0</v>
      </c>
      <c r="M848" s="12" t="n">
        <v>16</v>
      </c>
      <c r="N848" s="27">
        <f>F848-J848</f>
        <v/>
      </c>
      <c r="O848" s="16">
        <f>I848-H848</f>
        <v/>
      </c>
      <c r="P848" s="14">
        <f>F848*G848</f>
        <v/>
      </c>
      <c r="Q848" s="14">
        <f>J848*G848</f>
        <v/>
      </c>
      <c r="R848" s="14">
        <f>K848-Q848</f>
        <v/>
      </c>
      <c r="S848" s="3">
        <f>P848*Assumptions!$B$3/100</f>
        <v/>
      </c>
      <c r="T848" s="14">
        <f>R848-S848</f>
        <v/>
      </c>
      <c r="U848" s="14">
        <f>L848*G848</f>
        <v/>
      </c>
    </row>
    <row r="849">
      <c r="A849" s="12" t="inlineStr">
        <is>
          <t>PO-2021-0847</t>
        </is>
      </c>
      <c r="B849" s="26" t="n">
        <v>45173</v>
      </c>
      <c r="C849" s="12" t="inlineStr">
        <is>
          <t>VS09</t>
        </is>
      </c>
      <c r="D849" s="12" t="inlineStr">
        <is>
          <t>Hex Bars</t>
        </is>
      </c>
      <c r="E849" s="12" t="inlineStr">
        <is>
          <t>N</t>
        </is>
      </c>
      <c r="F849" s="12" t="n">
        <v>42.46</v>
      </c>
      <c r="G849" s="17" t="n">
        <v>80157.25999999999</v>
      </c>
      <c r="H849" s="26" t="n">
        <v>45186</v>
      </c>
      <c r="I849" s="26" t="n">
        <v>45187</v>
      </c>
      <c r="J849" s="12" t="n">
        <v>42.21</v>
      </c>
      <c r="K849" s="17" t="n">
        <v>3403477.26</v>
      </c>
      <c r="L849" s="12" t="n">
        <v>0</v>
      </c>
      <c r="M849" s="12" t="n">
        <v>23</v>
      </c>
      <c r="N849" s="27">
        <f>F849-J849</f>
        <v/>
      </c>
      <c r="O849" s="16">
        <f>I849-H849</f>
        <v/>
      </c>
      <c r="P849" s="14">
        <f>F849*G849</f>
        <v/>
      </c>
      <c r="Q849" s="14">
        <f>J849*G849</f>
        <v/>
      </c>
      <c r="R849" s="14">
        <f>K849-Q849</f>
        <v/>
      </c>
      <c r="S849" s="3">
        <f>P849*Assumptions!$B$3/100</f>
        <v/>
      </c>
      <c r="T849" s="14">
        <f>R849-S849</f>
        <v/>
      </c>
      <c r="U849" s="14">
        <f>L849*G849</f>
        <v/>
      </c>
    </row>
    <row r="850">
      <c r="A850" s="12" t="inlineStr">
        <is>
          <t>PO-2021-0848</t>
        </is>
      </c>
      <c r="B850" s="26" t="n">
        <v>44962</v>
      </c>
      <c r="C850" s="12" t="inlineStr">
        <is>
          <t>VS12</t>
        </is>
      </c>
      <c r="D850" s="12" t="inlineStr">
        <is>
          <t>MS Rods</t>
        </is>
      </c>
      <c r="E850" s="12" t="inlineStr">
        <is>
          <t>N</t>
        </is>
      </c>
      <c r="F850" s="12" t="n">
        <v>25.08</v>
      </c>
      <c r="G850" s="17" t="n">
        <v>57525.99</v>
      </c>
      <c r="H850" s="26" t="n">
        <v>44968</v>
      </c>
      <c r="I850" s="26" t="n">
        <v>44973</v>
      </c>
      <c r="J850" s="12" t="n">
        <v>23.92</v>
      </c>
      <c r="K850" s="17" t="n">
        <v>1442751.83</v>
      </c>
      <c r="L850" s="12" t="n">
        <v>1.06</v>
      </c>
      <c r="M850" s="12" t="n">
        <v>0</v>
      </c>
      <c r="N850" s="27">
        <f>F850-J850</f>
        <v/>
      </c>
      <c r="O850" s="16">
        <f>I850-H850</f>
        <v/>
      </c>
      <c r="P850" s="14">
        <f>F850*G850</f>
        <v/>
      </c>
      <c r="Q850" s="14">
        <f>J850*G850</f>
        <v/>
      </c>
      <c r="R850" s="14">
        <f>K850-Q850</f>
        <v/>
      </c>
      <c r="S850" s="3">
        <f>P850*Assumptions!$B$3/100</f>
        <v/>
      </c>
      <c r="T850" s="14">
        <f>R850-S850</f>
        <v/>
      </c>
      <c r="U850" s="14">
        <f>L850*G850</f>
        <v/>
      </c>
    </row>
    <row r="851">
      <c r="A851" s="12" t="inlineStr">
        <is>
          <t>PO-2021-0849</t>
        </is>
      </c>
      <c r="B851" s="26" t="n">
        <v>44660</v>
      </c>
      <c r="C851" s="12" t="inlineStr">
        <is>
          <t>VS03</t>
        </is>
      </c>
      <c r="D851" s="12" t="inlineStr">
        <is>
          <t>GI Wire</t>
        </is>
      </c>
      <c r="E851" s="12" t="inlineStr">
        <is>
          <t>N</t>
        </is>
      </c>
      <c r="F851" s="12" t="n">
        <v>38.46</v>
      </c>
      <c r="G851" s="17" t="n">
        <v>47971.11</v>
      </c>
      <c r="H851" s="26" t="n">
        <v>44667</v>
      </c>
      <c r="I851" s="26" t="n">
        <v>44673</v>
      </c>
      <c r="J851" s="12" t="n">
        <v>37.46</v>
      </c>
      <c r="K851" s="17" t="n">
        <v>1844968.89</v>
      </c>
      <c r="L851" s="12" t="n">
        <v>0.25</v>
      </c>
      <c r="M851" s="12" t="n">
        <v>17</v>
      </c>
      <c r="N851" s="27">
        <f>F851-J851</f>
        <v/>
      </c>
      <c r="O851" s="16">
        <f>I851-H851</f>
        <v/>
      </c>
      <c r="P851" s="14">
        <f>F851*G851</f>
        <v/>
      </c>
      <c r="Q851" s="14">
        <f>J851*G851</f>
        <v/>
      </c>
      <c r="R851" s="14">
        <f>K851-Q851</f>
        <v/>
      </c>
      <c r="S851" s="3">
        <f>P851*Assumptions!$B$3/100</f>
        <v/>
      </c>
      <c r="T851" s="14">
        <f>R851-S851</f>
        <v/>
      </c>
      <c r="U851" s="14">
        <f>L851*G851</f>
        <v/>
      </c>
    </row>
    <row r="852">
      <c r="A852" s="12" t="inlineStr">
        <is>
          <t>PO-2021-0850</t>
        </is>
      </c>
      <c r="B852" s="26" t="n">
        <v>45042</v>
      </c>
      <c r="C852" s="12" t="inlineStr">
        <is>
          <t>VS15</t>
        </is>
      </c>
      <c r="D852" s="12" t="inlineStr">
        <is>
          <t>GI Sheets</t>
        </is>
      </c>
      <c r="E852" s="12" t="inlineStr">
        <is>
          <t>N</t>
        </is>
      </c>
      <c r="F852" s="12" t="n">
        <v>38.13</v>
      </c>
      <c r="G852" s="17" t="n">
        <v>49960.22</v>
      </c>
      <c r="H852" s="26" t="n">
        <v>45052</v>
      </c>
      <c r="I852" s="26" t="n">
        <v>45053</v>
      </c>
      <c r="J852" s="12" t="n">
        <v>38.08</v>
      </c>
      <c r="K852" s="17" t="n">
        <v>1904983.19</v>
      </c>
      <c r="L852" s="12" t="n">
        <v>0</v>
      </c>
      <c r="M852" s="12" t="n">
        <v>21</v>
      </c>
      <c r="N852" s="27">
        <f>F852-J852</f>
        <v/>
      </c>
      <c r="O852" s="16">
        <f>I852-H852</f>
        <v/>
      </c>
      <c r="P852" s="14">
        <f>F852*G852</f>
        <v/>
      </c>
      <c r="Q852" s="14">
        <f>J852*G852</f>
        <v/>
      </c>
      <c r="R852" s="14">
        <f>K852-Q852</f>
        <v/>
      </c>
      <c r="S852" s="3">
        <f>P852*Assumptions!$B$3/100</f>
        <v/>
      </c>
      <c r="T852" s="14">
        <f>R852-S852</f>
        <v/>
      </c>
      <c r="U852" s="14">
        <f>L852*G852</f>
        <v/>
      </c>
    </row>
    <row r="853">
      <c r="A853" s="12" t="inlineStr">
        <is>
          <t>PO-2021-0851</t>
        </is>
      </c>
      <c r="B853" s="26" t="n">
        <v>45200</v>
      </c>
      <c r="C853" s="12" t="inlineStr">
        <is>
          <t>VS21</t>
        </is>
      </c>
      <c r="D853" s="12" t="inlineStr">
        <is>
          <t>Fasteners &amp; Fittings</t>
        </is>
      </c>
      <c r="E853" s="12" t="inlineStr">
        <is>
          <t>N</t>
        </is>
      </c>
      <c r="F853" s="12" t="n">
        <v>44.49</v>
      </c>
      <c r="G853" s="17" t="n">
        <v>77066.67999999999</v>
      </c>
      <c r="H853" s="26" t="n">
        <v>45215</v>
      </c>
      <c r="I853" s="26" t="n">
        <v>45218</v>
      </c>
      <c r="J853" s="12" t="n">
        <v>44.06</v>
      </c>
      <c r="K853" s="17" t="n">
        <v>3428696.59</v>
      </c>
      <c r="L853" s="12" t="n">
        <v>0</v>
      </c>
      <c r="M853" s="12" t="n">
        <v>0</v>
      </c>
      <c r="N853" s="27">
        <f>F853-J853</f>
        <v/>
      </c>
      <c r="O853" s="16">
        <f>I853-H853</f>
        <v/>
      </c>
      <c r="P853" s="14">
        <f>F853*G853</f>
        <v/>
      </c>
      <c r="Q853" s="14">
        <f>J853*G853</f>
        <v/>
      </c>
      <c r="R853" s="14">
        <f>K853-Q853</f>
        <v/>
      </c>
      <c r="S853" s="3">
        <f>P853*Assumptions!$B$3/100</f>
        <v/>
      </c>
      <c r="T853" s="14">
        <f>R853-S853</f>
        <v/>
      </c>
      <c r="U853" s="14">
        <f>L853*G853</f>
        <v/>
      </c>
    </row>
    <row r="854">
      <c r="A854" s="12" t="inlineStr">
        <is>
          <t>PO-2021-0852</t>
        </is>
      </c>
      <c r="B854" s="26" t="n">
        <v>44282</v>
      </c>
      <c r="C854" s="12" t="inlineStr">
        <is>
          <t>VS25</t>
        </is>
      </c>
      <c r="D854" s="12" t="inlineStr">
        <is>
          <t>MS Flats</t>
        </is>
      </c>
      <c r="E854" s="12" t="inlineStr">
        <is>
          <t>N</t>
        </is>
      </c>
      <c r="F854" s="12" t="n">
        <v>20.31</v>
      </c>
      <c r="G854" s="17" t="n">
        <v>115435.43</v>
      </c>
      <c r="H854" s="26" t="n">
        <v>44294</v>
      </c>
      <c r="I854" s="26" t="n">
        <v>44296</v>
      </c>
      <c r="J854" s="12" t="n">
        <v>20.23</v>
      </c>
      <c r="K854" s="17" t="n">
        <v>2344493.58</v>
      </c>
      <c r="L854" s="12" t="n">
        <v>0</v>
      </c>
      <c r="M854" s="12" t="n">
        <v>25</v>
      </c>
      <c r="N854" s="27">
        <f>F854-J854</f>
        <v/>
      </c>
      <c r="O854" s="16">
        <f>I854-H854</f>
        <v/>
      </c>
      <c r="P854" s="14">
        <f>F854*G854</f>
        <v/>
      </c>
      <c r="Q854" s="14">
        <f>J854*G854</f>
        <v/>
      </c>
      <c r="R854" s="14">
        <f>K854-Q854</f>
        <v/>
      </c>
      <c r="S854" s="3">
        <f>P854*Assumptions!$B$3/100</f>
        <v/>
      </c>
      <c r="T854" s="14">
        <f>R854-S854</f>
        <v/>
      </c>
      <c r="U854" s="14">
        <f>L854*G854</f>
        <v/>
      </c>
    </row>
    <row r="855">
      <c r="A855" s="12" t="inlineStr">
        <is>
          <t>PO-2021-0853</t>
        </is>
      </c>
      <c r="B855" s="26" t="n">
        <v>45272</v>
      </c>
      <c r="C855" s="12" t="inlineStr">
        <is>
          <t>VS03</t>
        </is>
      </c>
      <c r="D855" s="12" t="inlineStr">
        <is>
          <t>Hex Bars</t>
        </is>
      </c>
      <c r="E855" s="12" t="inlineStr">
        <is>
          <t>Y</t>
        </is>
      </c>
      <c r="F855" s="12" t="n">
        <v>6.36</v>
      </c>
      <c r="G855" s="17" t="n">
        <v>82438.23</v>
      </c>
      <c r="H855" s="26" t="n">
        <v>45275</v>
      </c>
      <c r="I855" s="26" t="n">
        <v>45283</v>
      </c>
      <c r="J855" s="12" t="n">
        <v>6.1</v>
      </c>
      <c r="K855" s="17" t="n">
        <v>524307.14</v>
      </c>
      <c r="L855" s="12" t="n">
        <v>0.07000000000000001</v>
      </c>
      <c r="M855" s="12" t="n">
        <v>1</v>
      </c>
      <c r="N855" s="27">
        <f>F855-J855</f>
        <v/>
      </c>
      <c r="O855" s="16">
        <f>I855-H855</f>
        <v/>
      </c>
      <c r="P855" s="14">
        <f>F855*G855</f>
        <v/>
      </c>
      <c r="Q855" s="14">
        <f>J855*G855</f>
        <v/>
      </c>
      <c r="R855" s="14">
        <f>K855-Q855</f>
        <v/>
      </c>
      <c r="S855" s="3">
        <f>P855*Assumptions!$B$3/100</f>
        <v/>
      </c>
      <c r="T855" s="14">
        <f>R855-S855</f>
        <v/>
      </c>
      <c r="U855" s="14">
        <f>L855*G855</f>
        <v/>
      </c>
    </row>
    <row r="856">
      <c r="A856" s="12" t="inlineStr">
        <is>
          <t>PO-2021-0854</t>
        </is>
      </c>
      <c r="B856" s="26" t="n">
        <v>44700</v>
      </c>
      <c r="C856" s="12" t="inlineStr">
        <is>
          <t>VS34</t>
        </is>
      </c>
      <c r="D856" s="12" t="inlineStr">
        <is>
          <t>Spring Steel</t>
        </is>
      </c>
      <c r="E856" s="12" t="inlineStr">
        <is>
          <t>N</t>
        </is>
      </c>
      <c r="F856" s="12" t="n">
        <v>20.38</v>
      </c>
      <c r="G856" s="17" t="n">
        <v>100137.76</v>
      </c>
      <c r="H856" s="26" t="n">
        <v>44711</v>
      </c>
      <c r="I856" s="26" t="n">
        <v>44711</v>
      </c>
      <c r="J856" s="12" t="n">
        <v>20.2</v>
      </c>
      <c r="K856" s="17" t="n">
        <v>2040807.55</v>
      </c>
      <c r="L856" s="12" t="n">
        <v>0</v>
      </c>
      <c r="M856" s="12" t="n">
        <v>4</v>
      </c>
      <c r="N856" s="27">
        <f>F856-J856</f>
        <v/>
      </c>
      <c r="O856" s="16">
        <f>I856-H856</f>
        <v/>
      </c>
      <c r="P856" s="14">
        <f>F856*G856</f>
        <v/>
      </c>
      <c r="Q856" s="14">
        <f>J856*G856</f>
        <v/>
      </c>
      <c r="R856" s="14">
        <f>K856-Q856</f>
        <v/>
      </c>
      <c r="S856" s="3">
        <f>P856*Assumptions!$B$3/100</f>
        <v/>
      </c>
      <c r="T856" s="14">
        <f>R856-S856</f>
        <v/>
      </c>
      <c r="U856" s="14">
        <f>L856*G856</f>
        <v/>
      </c>
    </row>
    <row r="857">
      <c r="A857" s="12" t="inlineStr">
        <is>
          <t>PO-2021-0855</t>
        </is>
      </c>
      <c r="B857" s="26" t="n">
        <v>44990</v>
      </c>
      <c r="C857" s="12" t="inlineStr">
        <is>
          <t>VS34</t>
        </is>
      </c>
      <c r="D857" s="12" t="inlineStr">
        <is>
          <t>GI Pipes</t>
        </is>
      </c>
      <c r="E857" s="12" t="inlineStr">
        <is>
          <t>N</t>
        </is>
      </c>
      <c r="F857" s="12" t="n">
        <v>10.3</v>
      </c>
      <c r="G857" s="17" t="n">
        <v>77966.53999999999</v>
      </c>
      <c r="H857" s="26" t="n">
        <v>44997</v>
      </c>
      <c r="I857" s="26" t="n">
        <v>45000</v>
      </c>
      <c r="J857" s="12" t="n">
        <v>10.26</v>
      </c>
      <c r="K857" s="17" t="n">
        <v>803055.36</v>
      </c>
      <c r="L857" s="12" t="n">
        <v>0</v>
      </c>
      <c r="M857" s="12" t="n">
        <v>9</v>
      </c>
      <c r="N857" s="27">
        <f>F857-J857</f>
        <v/>
      </c>
      <c r="O857" s="16">
        <f>I857-H857</f>
        <v/>
      </c>
      <c r="P857" s="14">
        <f>F857*G857</f>
        <v/>
      </c>
      <c r="Q857" s="14">
        <f>J857*G857</f>
        <v/>
      </c>
      <c r="R857" s="14">
        <f>K857-Q857</f>
        <v/>
      </c>
      <c r="S857" s="3">
        <f>P857*Assumptions!$B$3/100</f>
        <v/>
      </c>
      <c r="T857" s="14">
        <f>R857-S857</f>
        <v/>
      </c>
      <c r="U857" s="14">
        <f>L857*G857</f>
        <v/>
      </c>
    </row>
    <row r="858">
      <c r="A858" s="12" t="inlineStr">
        <is>
          <t>PO-2021-0856</t>
        </is>
      </c>
      <c r="B858" s="26" t="n">
        <v>44782</v>
      </c>
      <c r="C858" s="12" t="inlineStr">
        <is>
          <t>VS30</t>
        </is>
      </c>
      <c r="D858" s="12" t="inlineStr">
        <is>
          <t>MS Sheets</t>
        </is>
      </c>
      <c r="E858" s="12" t="inlineStr">
        <is>
          <t>N</t>
        </is>
      </c>
      <c r="F858" s="12" t="n">
        <v>21.7</v>
      </c>
      <c r="G858" s="17" t="n">
        <v>90985.07000000001</v>
      </c>
      <c r="H858" s="26" t="n">
        <v>44785</v>
      </c>
      <c r="I858" s="26" t="n">
        <v>44786</v>
      </c>
      <c r="J858" s="12" t="n">
        <v>21.54</v>
      </c>
      <c r="K858" s="17" t="n">
        <v>1974376.02</v>
      </c>
      <c r="L858" s="12" t="n">
        <v>0</v>
      </c>
      <c r="M858" s="12" t="n">
        <v>23</v>
      </c>
      <c r="N858" s="27">
        <f>F858-J858</f>
        <v/>
      </c>
      <c r="O858" s="16">
        <f>I858-H858</f>
        <v/>
      </c>
      <c r="P858" s="14">
        <f>F858*G858</f>
        <v/>
      </c>
      <c r="Q858" s="14">
        <f>J858*G858</f>
        <v/>
      </c>
      <c r="R858" s="14">
        <f>K858-Q858</f>
        <v/>
      </c>
      <c r="S858" s="3">
        <f>P858*Assumptions!$B$3/100</f>
        <v/>
      </c>
      <c r="T858" s="14">
        <f>R858-S858</f>
        <v/>
      </c>
      <c r="U858" s="14">
        <f>L858*G858</f>
        <v/>
      </c>
    </row>
    <row r="859">
      <c r="A859" s="12" t="inlineStr">
        <is>
          <t>PO-2021-0857</t>
        </is>
      </c>
      <c r="B859" s="26" t="n">
        <v>45255</v>
      </c>
      <c r="C859" s="12" t="inlineStr">
        <is>
          <t>VS10</t>
        </is>
      </c>
      <c r="D859" s="12" t="inlineStr">
        <is>
          <t>Fasteners &amp; Fittings</t>
        </is>
      </c>
      <c r="E859" s="12" t="inlineStr">
        <is>
          <t>N</t>
        </is>
      </c>
      <c r="F859" s="12" t="n">
        <v>41.66</v>
      </c>
      <c r="G859" s="17" t="n">
        <v>78877.36</v>
      </c>
      <c r="H859" s="26" t="n">
        <v>45269</v>
      </c>
      <c r="I859" s="26" t="n">
        <v>45272</v>
      </c>
      <c r="J859" s="12" t="n">
        <v>41.64</v>
      </c>
      <c r="K859" s="17" t="n">
        <v>3286030.82</v>
      </c>
      <c r="L859" s="12" t="n">
        <v>0</v>
      </c>
      <c r="M859" s="12" t="n">
        <v>25</v>
      </c>
      <c r="N859" s="27">
        <f>F859-J859</f>
        <v/>
      </c>
      <c r="O859" s="16">
        <f>I859-H859</f>
        <v/>
      </c>
      <c r="P859" s="14">
        <f>F859*G859</f>
        <v/>
      </c>
      <c r="Q859" s="14">
        <f>J859*G859</f>
        <v/>
      </c>
      <c r="R859" s="14">
        <f>K859-Q859</f>
        <v/>
      </c>
      <c r="S859" s="3">
        <f>P859*Assumptions!$B$3/100</f>
        <v/>
      </c>
      <c r="T859" s="14">
        <f>R859-S859</f>
        <v/>
      </c>
      <c r="U859" s="14">
        <f>L859*G859</f>
        <v/>
      </c>
    </row>
    <row r="860">
      <c r="A860" s="12" t="inlineStr">
        <is>
          <t>PO-2021-0858</t>
        </is>
      </c>
      <c r="B860" s="26" t="n">
        <v>45222</v>
      </c>
      <c r="C860" s="12" t="inlineStr">
        <is>
          <t>VS08</t>
        </is>
      </c>
      <c r="D860" s="12" t="inlineStr">
        <is>
          <t>MS Sheets</t>
        </is>
      </c>
      <c r="E860" s="12" t="inlineStr">
        <is>
          <t>N</t>
        </is>
      </c>
      <c r="F860" s="12" t="n">
        <v>39.16</v>
      </c>
      <c r="G860" s="17" t="n">
        <v>115338.18</v>
      </c>
      <c r="H860" s="26" t="n">
        <v>45236</v>
      </c>
      <c r="I860" s="26" t="n">
        <v>45239</v>
      </c>
      <c r="J860" s="12" t="n">
        <v>38.79</v>
      </c>
      <c r="K860" s="17" t="n">
        <v>4516643.13</v>
      </c>
      <c r="L860" s="12" t="n">
        <v>0</v>
      </c>
      <c r="M860" s="12" t="n">
        <v>1</v>
      </c>
      <c r="N860" s="27">
        <f>F860-J860</f>
        <v/>
      </c>
      <c r="O860" s="16">
        <f>I860-H860</f>
        <v/>
      </c>
      <c r="P860" s="14">
        <f>F860*G860</f>
        <v/>
      </c>
      <c r="Q860" s="14">
        <f>J860*G860</f>
        <v/>
      </c>
      <c r="R860" s="14">
        <f>K860-Q860</f>
        <v/>
      </c>
      <c r="S860" s="3">
        <f>P860*Assumptions!$B$3/100</f>
        <v/>
      </c>
      <c r="T860" s="14">
        <f>R860-S860</f>
        <v/>
      </c>
      <c r="U860" s="14">
        <f>L860*G860</f>
        <v/>
      </c>
    </row>
    <row r="861">
      <c r="A861" s="12" t="inlineStr">
        <is>
          <t>PO-2021-0859</t>
        </is>
      </c>
      <c r="B861" s="26" t="n">
        <v>44474</v>
      </c>
      <c r="C861" s="12" t="inlineStr">
        <is>
          <t>VS26</t>
        </is>
      </c>
      <c r="D861" s="12" t="inlineStr">
        <is>
          <t>GI Wire</t>
        </is>
      </c>
      <c r="E861" s="12" t="inlineStr">
        <is>
          <t>N</t>
        </is>
      </c>
      <c r="F861" s="12" t="n">
        <v>16.85</v>
      </c>
      <c r="G861" s="17" t="n">
        <v>46868.41</v>
      </c>
      <c r="H861" s="26" t="n">
        <v>44484</v>
      </c>
      <c r="I861" s="26" t="n">
        <v>44485</v>
      </c>
      <c r="J861" s="12" t="n">
        <v>16.73</v>
      </c>
      <c r="K861" s="17" t="n">
        <v>789732.71</v>
      </c>
      <c r="L861" s="12" t="n">
        <v>0</v>
      </c>
      <c r="M861" s="12" t="n">
        <v>5</v>
      </c>
      <c r="N861" s="27">
        <f>F861-J861</f>
        <v/>
      </c>
      <c r="O861" s="16">
        <f>I861-H861</f>
        <v/>
      </c>
      <c r="P861" s="14">
        <f>F861*G861</f>
        <v/>
      </c>
      <c r="Q861" s="14">
        <f>J861*G861</f>
        <v/>
      </c>
      <c r="R861" s="14">
        <f>K861-Q861</f>
        <v/>
      </c>
      <c r="S861" s="3">
        <f>P861*Assumptions!$B$3/100</f>
        <v/>
      </c>
      <c r="T861" s="14">
        <f>R861-S861</f>
        <v/>
      </c>
      <c r="U861" s="14">
        <f>L861*G861</f>
        <v/>
      </c>
    </row>
    <row r="862">
      <c r="A862" s="12" t="inlineStr">
        <is>
          <t>PO-2021-0860</t>
        </is>
      </c>
      <c r="B862" s="26" t="n">
        <v>44610</v>
      </c>
      <c r="C862" s="12" t="inlineStr">
        <is>
          <t>VS30</t>
        </is>
      </c>
      <c r="D862" s="12" t="inlineStr">
        <is>
          <t>SS Pipes</t>
        </is>
      </c>
      <c r="E862" s="12" t="inlineStr">
        <is>
          <t>N</t>
        </is>
      </c>
      <c r="F862" s="12" t="n">
        <v>13.25</v>
      </c>
      <c r="G862" s="17" t="n">
        <v>96878.81</v>
      </c>
      <c r="H862" s="26" t="n">
        <v>44624</v>
      </c>
      <c r="I862" s="26" t="n">
        <v>44626</v>
      </c>
      <c r="J862" s="12" t="n">
        <v>13.17</v>
      </c>
      <c r="K862" s="17" t="n">
        <v>1283644.23</v>
      </c>
      <c r="L862" s="12" t="n">
        <v>0</v>
      </c>
      <c r="M862" s="12" t="n">
        <v>23</v>
      </c>
      <c r="N862" s="27">
        <f>F862-J862</f>
        <v/>
      </c>
      <c r="O862" s="16">
        <f>I862-H862</f>
        <v/>
      </c>
      <c r="P862" s="14">
        <f>F862*G862</f>
        <v/>
      </c>
      <c r="Q862" s="14">
        <f>J862*G862</f>
        <v/>
      </c>
      <c r="R862" s="14">
        <f>K862-Q862</f>
        <v/>
      </c>
      <c r="S862" s="3">
        <f>P862*Assumptions!$B$3/100</f>
        <v/>
      </c>
      <c r="T862" s="14">
        <f>R862-S862</f>
        <v/>
      </c>
      <c r="U862" s="14">
        <f>L862*G862</f>
        <v/>
      </c>
    </row>
    <row r="863">
      <c r="A863" s="12" t="inlineStr">
        <is>
          <t>PO-2021-0861</t>
        </is>
      </c>
      <c r="B863" s="26" t="n">
        <v>44532</v>
      </c>
      <c r="C863" s="12" t="inlineStr">
        <is>
          <t>VS08</t>
        </is>
      </c>
      <c r="D863" s="12" t="inlineStr">
        <is>
          <t>SS Pipes</t>
        </is>
      </c>
      <c r="E863" s="12" t="inlineStr">
        <is>
          <t>N</t>
        </is>
      </c>
      <c r="F863" s="12" t="n">
        <v>6.59</v>
      </c>
      <c r="G863" s="17" t="n">
        <v>78704.88</v>
      </c>
      <c r="H863" s="26" t="n">
        <v>44540</v>
      </c>
      <c r="I863" s="26" t="n">
        <v>44540</v>
      </c>
      <c r="J863" s="12" t="n">
        <v>6.53</v>
      </c>
      <c r="K863" s="17" t="n">
        <v>518665.16</v>
      </c>
      <c r="L863" s="12" t="n">
        <v>0</v>
      </c>
      <c r="M863" s="12" t="n">
        <v>3</v>
      </c>
      <c r="N863" s="27">
        <f>F863-J863</f>
        <v/>
      </c>
      <c r="O863" s="16">
        <f>I863-H863</f>
        <v/>
      </c>
      <c r="P863" s="14">
        <f>F863*G863</f>
        <v/>
      </c>
      <c r="Q863" s="14">
        <f>J863*G863</f>
        <v/>
      </c>
      <c r="R863" s="14">
        <f>K863-Q863</f>
        <v/>
      </c>
      <c r="S863" s="3">
        <f>P863*Assumptions!$B$3/100</f>
        <v/>
      </c>
      <c r="T863" s="14">
        <f>R863-S863</f>
        <v/>
      </c>
      <c r="U863" s="14">
        <f>L863*G863</f>
        <v/>
      </c>
    </row>
    <row r="864">
      <c r="A864" s="12" t="inlineStr">
        <is>
          <t>PO-2021-0862</t>
        </is>
      </c>
      <c r="B864" s="26" t="n">
        <v>44371</v>
      </c>
      <c r="C864" s="12" t="inlineStr">
        <is>
          <t>VS34</t>
        </is>
      </c>
      <c r="D864" s="12" t="inlineStr">
        <is>
          <t>MS Rods</t>
        </is>
      </c>
      <c r="E864" s="12" t="inlineStr">
        <is>
          <t>N</t>
        </is>
      </c>
      <c r="F864" s="12" t="n">
        <v>36.62</v>
      </c>
      <c r="G864" s="17" t="n">
        <v>118139.36</v>
      </c>
      <c r="H864" s="26" t="n">
        <v>44383</v>
      </c>
      <c r="I864" s="26" t="n">
        <v>44384</v>
      </c>
      <c r="J864" s="12" t="n">
        <v>36.45</v>
      </c>
      <c r="K864" s="17" t="n">
        <v>4326263.36</v>
      </c>
      <c r="L864" s="12" t="n">
        <v>0</v>
      </c>
      <c r="M864" s="12" t="n">
        <v>10</v>
      </c>
      <c r="N864" s="27">
        <f>F864-J864</f>
        <v/>
      </c>
      <c r="O864" s="16">
        <f>I864-H864</f>
        <v/>
      </c>
      <c r="P864" s="14">
        <f>F864*G864</f>
        <v/>
      </c>
      <c r="Q864" s="14">
        <f>J864*G864</f>
        <v/>
      </c>
      <c r="R864" s="14">
        <f>K864-Q864</f>
        <v/>
      </c>
      <c r="S864" s="3">
        <f>P864*Assumptions!$B$3/100</f>
        <v/>
      </c>
      <c r="T864" s="14">
        <f>R864-S864</f>
        <v/>
      </c>
      <c r="U864" s="14">
        <f>L864*G864</f>
        <v/>
      </c>
    </row>
    <row r="865">
      <c r="A865" s="12" t="inlineStr">
        <is>
          <t>PO-2021-0863</t>
        </is>
      </c>
      <c r="B865" s="26" t="n">
        <v>44524</v>
      </c>
      <c r="C865" s="12" t="inlineStr">
        <is>
          <t>VS25</t>
        </is>
      </c>
      <c r="D865" s="12" t="inlineStr">
        <is>
          <t>Spring Steel</t>
        </is>
      </c>
      <c r="E865" s="12" t="inlineStr">
        <is>
          <t>N</t>
        </is>
      </c>
      <c r="F865" s="12" t="n">
        <v>19.65</v>
      </c>
      <c r="G865" s="17" t="n">
        <v>102619.52</v>
      </c>
      <c r="H865" s="26" t="n">
        <v>44532</v>
      </c>
      <c r="I865" s="26" t="n">
        <v>44535</v>
      </c>
      <c r="J865" s="12" t="n">
        <v>19.56</v>
      </c>
      <c r="K865" s="17" t="n">
        <v>2016473.57</v>
      </c>
      <c r="L865" s="12" t="n">
        <v>0</v>
      </c>
      <c r="M865" s="12" t="n">
        <v>0</v>
      </c>
      <c r="N865" s="27">
        <f>F865-J865</f>
        <v/>
      </c>
      <c r="O865" s="16">
        <f>I865-H865</f>
        <v/>
      </c>
      <c r="P865" s="14">
        <f>F865*G865</f>
        <v/>
      </c>
      <c r="Q865" s="14">
        <f>J865*G865</f>
        <v/>
      </c>
      <c r="R865" s="14">
        <f>K865-Q865</f>
        <v/>
      </c>
      <c r="S865" s="3">
        <f>P865*Assumptions!$B$3/100</f>
        <v/>
      </c>
      <c r="T865" s="14">
        <f>R865-S865</f>
        <v/>
      </c>
      <c r="U865" s="14">
        <f>L865*G865</f>
        <v/>
      </c>
    </row>
    <row r="866">
      <c r="A866" s="12" t="inlineStr">
        <is>
          <t>PO-2021-0864</t>
        </is>
      </c>
      <c r="B866" s="26" t="n">
        <v>44504</v>
      </c>
      <c r="C866" s="12" t="inlineStr">
        <is>
          <t>VS11</t>
        </is>
      </c>
      <c r="D866" s="12" t="inlineStr">
        <is>
          <t>Square/Rect Tubes</t>
        </is>
      </c>
      <c r="E866" s="12" t="inlineStr">
        <is>
          <t>N</t>
        </is>
      </c>
      <c r="F866" s="12" t="n">
        <v>9.76</v>
      </c>
      <c r="G866" s="17" t="n">
        <v>98403.56</v>
      </c>
      <c r="H866" s="26" t="n">
        <v>44513</v>
      </c>
      <c r="I866" s="26" t="n">
        <v>44516</v>
      </c>
      <c r="J866" s="12" t="n">
        <v>9.720000000000001</v>
      </c>
      <c r="K866" s="17" t="n">
        <v>960418.75</v>
      </c>
      <c r="L866" s="12" t="n">
        <v>0</v>
      </c>
      <c r="M866" s="12" t="n">
        <v>0</v>
      </c>
      <c r="N866" s="27">
        <f>F866-J866</f>
        <v/>
      </c>
      <c r="O866" s="16">
        <f>I866-H866</f>
        <v/>
      </c>
      <c r="P866" s="14">
        <f>F866*G866</f>
        <v/>
      </c>
      <c r="Q866" s="14">
        <f>J866*G866</f>
        <v/>
      </c>
      <c r="R866" s="14">
        <f>K866-Q866</f>
        <v/>
      </c>
      <c r="S866" s="3">
        <f>P866*Assumptions!$B$3/100</f>
        <v/>
      </c>
      <c r="T866" s="14">
        <f>R866-S866</f>
        <v/>
      </c>
      <c r="U866" s="14">
        <f>L866*G866</f>
        <v/>
      </c>
    </row>
    <row r="867">
      <c r="A867" s="12" t="inlineStr">
        <is>
          <t>PO-2021-0865</t>
        </is>
      </c>
      <c r="B867" s="26" t="n">
        <v>44827</v>
      </c>
      <c r="C867" s="12" t="inlineStr">
        <is>
          <t>VS20</t>
        </is>
      </c>
      <c r="D867" s="12" t="inlineStr">
        <is>
          <t>Fasteners &amp; Fittings</t>
        </is>
      </c>
      <c r="E867" s="12" t="inlineStr">
        <is>
          <t>Y</t>
        </is>
      </c>
      <c r="F867" s="12" t="n">
        <v>15.15</v>
      </c>
      <c r="G867" s="17" t="n">
        <v>58552.2</v>
      </c>
      <c r="H867" s="26" t="n">
        <v>44832</v>
      </c>
      <c r="I867" s="26" t="n">
        <v>44835</v>
      </c>
      <c r="J867" s="12" t="n">
        <v>15.06</v>
      </c>
      <c r="K867" s="17" t="n">
        <v>887065.83</v>
      </c>
      <c r="L867" s="12" t="n">
        <v>0</v>
      </c>
      <c r="M867" s="12" t="n">
        <v>11</v>
      </c>
      <c r="N867" s="27">
        <f>F867-J867</f>
        <v/>
      </c>
      <c r="O867" s="16">
        <f>I867-H867</f>
        <v/>
      </c>
      <c r="P867" s="14">
        <f>F867*G867</f>
        <v/>
      </c>
      <c r="Q867" s="14">
        <f>J867*G867</f>
        <v/>
      </c>
      <c r="R867" s="14">
        <f>K867-Q867</f>
        <v/>
      </c>
      <c r="S867" s="3">
        <f>P867*Assumptions!$B$3/100</f>
        <v/>
      </c>
      <c r="T867" s="14">
        <f>R867-S867</f>
        <v/>
      </c>
      <c r="U867" s="14">
        <f>L867*G867</f>
        <v/>
      </c>
    </row>
    <row r="868">
      <c r="A868" s="12" t="inlineStr">
        <is>
          <t>PO-2021-0866</t>
        </is>
      </c>
      <c r="B868" s="26" t="n">
        <v>44612</v>
      </c>
      <c r="C868" s="12" t="inlineStr">
        <is>
          <t>VS01</t>
        </is>
      </c>
      <c r="D868" s="12" t="inlineStr">
        <is>
          <t>CR Sheets</t>
        </is>
      </c>
      <c r="E868" s="12" t="inlineStr">
        <is>
          <t>Y</t>
        </is>
      </c>
      <c r="F868" s="12" t="n">
        <v>1.6</v>
      </c>
      <c r="G868" s="17" t="n">
        <v>82322.07000000001</v>
      </c>
      <c r="H868" s="26" t="n">
        <v>44622</v>
      </c>
      <c r="I868" s="26" t="n">
        <v>44624</v>
      </c>
      <c r="J868" s="12" t="n">
        <v>1.59</v>
      </c>
      <c r="K868" s="17" t="n">
        <v>131715.31</v>
      </c>
      <c r="L868" s="12" t="n">
        <v>0</v>
      </c>
      <c r="M868" s="12" t="n">
        <v>0</v>
      </c>
      <c r="N868" s="27">
        <f>F868-J868</f>
        <v/>
      </c>
      <c r="O868" s="16">
        <f>I868-H868</f>
        <v/>
      </c>
      <c r="P868" s="14">
        <f>F868*G868</f>
        <v/>
      </c>
      <c r="Q868" s="14">
        <f>J868*G868</f>
        <v/>
      </c>
      <c r="R868" s="14">
        <f>K868-Q868</f>
        <v/>
      </c>
      <c r="S868" s="3">
        <f>P868*Assumptions!$B$3/100</f>
        <v/>
      </c>
      <c r="T868" s="14">
        <f>R868-S868</f>
        <v/>
      </c>
      <c r="U868" s="14">
        <f>L868*G868</f>
        <v/>
      </c>
    </row>
    <row r="869">
      <c r="A869" s="12" t="inlineStr">
        <is>
          <t>PO-2021-0867</t>
        </is>
      </c>
      <c r="B869" s="26" t="n">
        <v>44208</v>
      </c>
      <c r="C869" s="12" t="inlineStr">
        <is>
          <t>VS32</t>
        </is>
      </c>
      <c r="D869" s="12" t="inlineStr">
        <is>
          <t>HR Coils</t>
        </is>
      </c>
      <c r="E869" s="12" t="inlineStr">
        <is>
          <t>N</t>
        </is>
      </c>
      <c r="F869" s="12" t="n">
        <v>11.63</v>
      </c>
      <c r="G869" s="17" t="n">
        <v>94460.3</v>
      </c>
      <c r="H869" s="26" t="n">
        <v>44218</v>
      </c>
      <c r="I869" s="26" t="n">
        <v>44220</v>
      </c>
      <c r="J869" s="12" t="n">
        <v>11.57</v>
      </c>
      <c r="K869" s="17" t="n">
        <v>1098573.29</v>
      </c>
      <c r="L869" s="12" t="n">
        <v>0</v>
      </c>
      <c r="M869" s="12" t="n">
        <v>0</v>
      </c>
      <c r="N869" s="27">
        <f>F869-J869</f>
        <v/>
      </c>
      <c r="O869" s="16">
        <f>I869-H869</f>
        <v/>
      </c>
      <c r="P869" s="14">
        <f>F869*G869</f>
        <v/>
      </c>
      <c r="Q869" s="14">
        <f>J869*G869</f>
        <v/>
      </c>
      <c r="R869" s="14">
        <f>K869-Q869</f>
        <v/>
      </c>
      <c r="S869" s="3">
        <f>P869*Assumptions!$B$3/100</f>
        <v/>
      </c>
      <c r="T869" s="14">
        <f>R869-S869</f>
        <v/>
      </c>
      <c r="U869" s="14">
        <f>L869*G869</f>
        <v/>
      </c>
    </row>
    <row r="870">
      <c r="A870" s="12" t="inlineStr">
        <is>
          <t>PO-2021-0868</t>
        </is>
      </c>
      <c r="B870" s="26" t="n">
        <v>45036</v>
      </c>
      <c r="C870" s="12" t="inlineStr">
        <is>
          <t>VS29</t>
        </is>
      </c>
      <c r="D870" s="12" t="inlineStr">
        <is>
          <t>SS Pipes</t>
        </is>
      </c>
      <c r="E870" s="12" t="inlineStr">
        <is>
          <t>N</t>
        </is>
      </c>
      <c r="F870" s="12" t="n">
        <v>30.46</v>
      </c>
      <c r="G870" s="17" t="n">
        <v>45492.98</v>
      </c>
      <c r="H870" s="26" t="n">
        <v>45047</v>
      </c>
      <c r="I870" s="26" t="n">
        <v>45048</v>
      </c>
      <c r="J870" s="12" t="n">
        <v>30.26</v>
      </c>
      <c r="K870" s="17" t="n">
        <v>1385716.17</v>
      </c>
      <c r="L870" s="12" t="n">
        <v>0</v>
      </c>
      <c r="M870" s="12" t="n">
        <v>19</v>
      </c>
      <c r="N870" s="27">
        <f>F870-J870</f>
        <v/>
      </c>
      <c r="O870" s="16">
        <f>I870-H870</f>
        <v/>
      </c>
      <c r="P870" s="14">
        <f>F870*G870</f>
        <v/>
      </c>
      <c r="Q870" s="14">
        <f>J870*G870</f>
        <v/>
      </c>
      <c r="R870" s="14">
        <f>K870-Q870</f>
        <v/>
      </c>
      <c r="S870" s="3">
        <f>P870*Assumptions!$B$3/100</f>
        <v/>
      </c>
      <c r="T870" s="14">
        <f>R870-S870</f>
        <v/>
      </c>
      <c r="U870" s="14">
        <f>L870*G870</f>
        <v/>
      </c>
    </row>
    <row r="871">
      <c r="A871" s="12" t="inlineStr">
        <is>
          <t>PO-2021-0869</t>
        </is>
      </c>
      <c r="B871" s="26" t="n">
        <v>44766</v>
      </c>
      <c r="C871" s="12" t="inlineStr">
        <is>
          <t>VS14</t>
        </is>
      </c>
      <c r="D871" s="12" t="inlineStr">
        <is>
          <t>GI Pipes</t>
        </is>
      </c>
      <c r="E871" s="12" t="inlineStr">
        <is>
          <t>N</t>
        </is>
      </c>
      <c r="F871" s="12" t="n">
        <v>10.06</v>
      </c>
      <c r="G871" s="17" t="n">
        <v>49129.8</v>
      </c>
      <c r="H871" s="26" t="n">
        <v>44774</v>
      </c>
      <c r="I871" s="26" t="n">
        <v>44776</v>
      </c>
      <c r="J871" s="12" t="n">
        <v>9.970000000000001</v>
      </c>
      <c r="K871" s="17" t="n">
        <v>494245.79</v>
      </c>
      <c r="L871" s="12" t="n">
        <v>0</v>
      </c>
      <c r="M871" s="12" t="n">
        <v>0</v>
      </c>
      <c r="N871" s="27">
        <f>F871-J871</f>
        <v/>
      </c>
      <c r="O871" s="16">
        <f>I871-H871</f>
        <v/>
      </c>
      <c r="P871" s="14">
        <f>F871*G871</f>
        <v/>
      </c>
      <c r="Q871" s="14">
        <f>J871*G871</f>
        <v/>
      </c>
      <c r="R871" s="14">
        <f>K871-Q871</f>
        <v/>
      </c>
      <c r="S871" s="3">
        <f>P871*Assumptions!$B$3/100</f>
        <v/>
      </c>
      <c r="T871" s="14">
        <f>R871-S871</f>
        <v/>
      </c>
      <c r="U871" s="14">
        <f>L871*G871</f>
        <v/>
      </c>
    </row>
    <row r="872">
      <c r="A872" s="12" t="inlineStr">
        <is>
          <t>PO-2021-0870</t>
        </is>
      </c>
      <c r="B872" s="26" t="n">
        <v>44272</v>
      </c>
      <c r="C872" s="12" t="inlineStr">
        <is>
          <t>VS10</t>
        </is>
      </c>
      <c r="D872" s="12" t="inlineStr">
        <is>
          <t>GI Pipes</t>
        </is>
      </c>
      <c r="E872" s="12" t="inlineStr">
        <is>
          <t>N</t>
        </is>
      </c>
      <c r="F872" s="12" t="n">
        <v>33.68</v>
      </c>
      <c r="G872" s="17" t="n">
        <v>107851.08</v>
      </c>
      <c r="H872" s="26" t="n">
        <v>44279</v>
      </c>
      <c r="I872" s="26" t="n">
        <v>44280</v>
      </c>
      <c r="J872" s="12" t="n">
        <v>33.55</v>
      </c>
      <c r="K872" s="17" t="n">
        <v>3632424.37</v>
      </c>
      <c r="L872" s="12" t="n">
        <v>0</v>
      </c>
      <c r="M872" s="12" t="n">
        <v>0</v>
      </c>
      <c r="N872" s="27">
        <f>F872-J872</f>
        <v/>
      </c>
      <c r="O872" s="16">
        <f>I872-H872</f>
        <v/>
      </c>
      <c r="P872" s="14">
        <f>F872*G872</f>
        <v/>
      </c>
      <c r="Q872" s="14">
        <f>J872*G872</f>
        <v/>
      </c>
      <c r="R872" s="14">
        <f>K872-Q872</f>
        <v/>
      </c>
      <c r="S872" s="3">
        <f>P872*Assumptions!$B$3/100</f>
        <v/>
      </c>
      <c r="T872" s="14">
        <f>R872-S872</f>
        <v/>
      </c>
      <c r="U872" s="14">
        <f>L872*G872</f>
        <v/>
      </c>
    </row>
    <row r="873">
      <c r="A873" s="12" t="inlineStr">
        <is>
          <t>PO-2021-0871</t>
        </is>
      </c>
      <c r="B873" s="26" t="n">
        <v>44875</v>
      </c>
      <c r="C873" s="12" t="inlineStr">
        <is>
          <t>VS06</t>
        </is>
      </c>
      <c r="D873" s="12" t="inlineStr">
        <is>
          <t>GI Pipes</t>
        </is>
      </c>
      <c r="E873" s="12" t="inlineStr">
        <is>
          <t>N</t>
        </is>
      </c>
      <c r="F873" s="12" t="n">
        <v>6.34</v>
      </c>
      <c r="G873" s="17" t="n">
        <v>119530.14</v>
      </c>
      <c r="H873" s="26" t="n">
        <v>44880</v>
      </c>
      <c r="I873" s="26" t="n">
        <v>44881</v>
      </c>
      <c r="J873" s="12" t="n">
        <v>6.3</v>
      </c>
      <c r="K873" s="17" t="n">
        <v>757821.09</v>
      </c>
      <c r="L873" s="12" t="n">
        <v>0</v>
      </c>
      <c r="M873" s="12" t="n">
        <v>22</v>
      </c>
      <c r="N873" s="27">
        <f>F873-J873</f>
        <v/>
      </c>
      <c r="O873" s="16">
        <f>I873-H873</f>
        <v/>
      </c>
      <c r="P873" s="14">
        <f>F873*G873</f>
        <v/>
      </c>
      <c r="Q873" s="14">
        <f>J873*G873</f>
        <v/>
      </c>
      <c r="R873" s="14">
        <f>K873-Q873</f>
        <v/>
      </c>
      <c r="S873" s="3">
        <f>P873*Assumptions!$B$3/100</f>
        <v/>
      </c>
      <c r="T873" s="14">
        <f>R873-S873</f>
        <v/>
      </c>
      <c r="U873" s="14">
        <f>L873*G873</f>
        <v/>
      </c>
    </row>
    <row r="874">
      <c r="A874" s="12" t="inlineStr">
        <is>
          <t>PO-2021-0872</t>
        </is>
      </c>
      <c r="B874" s="26" t="n">
        <v>44779</v>
      </c>
      <c r="C874" s="12" t="inlineStr">
        <is>
          <t>VS12</t>
        </is>
      </c>
      <c r="D874" s="12" t="inlineStr">
        <is>
          <t>Fasteners &amp; Fittings</t>
        </is>
      </c>
      <c r="E874" s="12" t="inlineStr">
        <is>
          <t>N</t>
        </is>
      </c>
      <c r="F874" s="12" t="n">
        <v>37.72</v>
      </c>
      <c r="G874" s="17" t="n">
        <v>74894.71000000001</v>
      </c>
      <c r="H874" s="26" t="n">
        <v>44782</v>
      </c>
      <c r="I874" s="26" t="n">
        <v>44789</v>
      </c>
      <c r="J874" s="12" t="n">
        <v>36.43</v>
      </c>
      <c r="K874" s="17" t="n">
        <v>2825028.46</v>
      </c>
      <c r="L874" s="12" t="n">
        <v>0.98</v>
      </c>
      <c r="M874" s="12" t="n">
        <v>0</v>
      </c>
      <c r="N874" s="27">
        <f>F874-J874</f>
        <v/>
      </c>
      <c r="O874" s="16">
        <f>I874-H874</f>
        <v/>
      </c>
      <c r="P874" s="14">
        <f>F874*G874</f>
        <v/>
      </c>
      <c r="Q874" s="14">
        <f>J874*G874</f>
        <v/>
      </c>
      <c r="R874" s="14">
        <f>K874-Q874</f>
        <v/>
      </c>
      <c r="S874" s="3">
        <f>P874*Assumptions!$B$3/100</f>
        <v/>
      </c>
      <c r="T874" s="14">
        <f>R874-S874</f>
        <v/>
      </c>
      <c r="U874" s="14">
        <f>L874*G874</f>
        <v/>
      </c>
    </row>
    <row r="875">
      <c r="A875" s="12" t="inlineStr">
        <is>
          <t>PO-2021-0873</t>
        </is>
      </c>
      <c r="B875" s="26" t="n">
        <v>44387</v>
      </c>
      <c r="C875" s="12" t="inlineStr">
        <is>
          <t>VS20</t>
        </is>
      </c>
      <c r="D875" s="12" t="inlineStr">
        <is>
          <t>MS Flats</t>
        </is>
      </c>
      <c r="E875" s="12" t="inlineStr">
        <is>
          <t>N</t>
        </is>
      </c>
      <c r="F875" s="12" t="n">
        <v>19.06</v>
      </c>
      <c r="G875" s="17" t="n">
        <v>73420.45</v>
      </c>
      <c r="H875" s="26" t="n">
        <v>44391</v>
      </c>
      <c r="I875" s="26" t="n">
        <v>44391</v>
      </c>
      <c r="J875" s="12" t="n">
        <v>19.04</v>
      </c>
      <c r="K875" s="17" t="n">
        <v>1399393.78</v>
      </c>
      <c r="L875" s="12" t="n">
        <v>0</v>
      </c>
      <c r="M875" s="12" t="n">
        <v>0</v>
      </c>
      <c r="N875" s="27">
        <f>F875-J875</f>
        <v/>
      </c>
      <c r="O875" s="16">
        <f>I875-H875</f>
        <v/>
      </c>
      <c r="P875" s="14">
        <f>F875*G875</f>
        <v/>
      </c>
      <c r="Q875" s="14">
        <f>J875*G875</f>
        <v/>
      </c>
      <c r="R875" s="14">
        <f>K875-Q875</f>
        <v/>
      </c>
      <c r="S875" s="3">
        <f>P875*Assumptions!$B$3/100</f>
        <v/>
      </c>
      <c r="T875" s="14">
        <f>R875-S875</f>
        <v/>
      </c>
      <c r="U875" s="14">
        <f>L875*G875</f>
        <v/>
      </c>
    </row>
    <row r="876">
      <c r="A876" s="12" t="inlineStr">
        <is>
          <t>PO-2021-0874</t>
        </is>
      </c>
      <c r="B876" s="26" t="n">
        <v>45072</v>
      </c>
      <c r="C876" s="12" t="inlineStr">
        <is>
          <t>VS05</t>
        </is>
      </c>
      <c r="D876" s="12" t="inlineStr">
        <is>
          <t>SS Sheets</t>
        </is>
      </c>
      <c r="E876" s="12" t="inlineStr">
        <is>
          <t>N</t>
        </is>
      </c>
      <c r="F876" s="12" t="n">
        <v>24.07</v>
      </c>
      <c r="G876" s="17" t="n">
        <v>54151.74</v>
      </c>
      <c r="H876" s="26" t="n">
        <v>45079</v>
      </c>
      <c r="I876" s="26" t="n">
        <v>45081</v>
      </c>
      <c r="J876" s="12" t="n">
        <v>23.92</v>
      </c>
      <c r="K876" s="17" t="n">
        <v>1303432.38</v>
      </c>
      <c r="L876" s="12" t="n">
        <v>0</v>
      </c>
      <c r="M876" s="12" t="n">
        <v>20</v>
      </c>
      <c r="N876" s="27">
        <f>F876-J876</f>
        <v/>
      </c>
      <c r="O876" s="16">
        <f>I876-H876</f>
        <v/>
      </c>
      <c r="P876" s="14">
        <f>F876*G876</f>
        <v/>
      </c>
      <c r="Q876" s="14">
        <f>J876*G876</f>
        <v/>
      </c>
      <c r="R876" s="14">
        <f>K876-Q876</f>
        <v/>
      </c>
      <c r="S876" s="3">
        <f>P876*Assumptions!$B$3/100</f>
        <v/>
      </c>
      <c r="T876" s="14">
        <f>R876-S876</f>
        <v/>
      </c>
      <c r="U876" s="14">
        <f>L876*G876</f>
        <v/>
      </c>
    </row>
    <row r="877">
      <c r="A877" s="12" t="inlineStr">
        <is>
          <t>PO-2021-0875</t>
        </is>
      </c>
      <c r="B877" s="26" t="n">
        <v>44871</v>
      </c>
      <c r="C877" s="12" t="inlineStr">
        <is>
          <t>VS34</t>
        </is>
      </c>
      <c r="D877" s="12" t="inlineStr">
        <is>
          <t>GI Wire</t>
        </is>
      </c>
      <c r="E877" s="12" t="inlineStr">
        <is>
          <t>Y</t>
        </is>
      </c>
      <c r="F877" s="12" t="n">
        <v>26.71</v>
      </c>
      <c r="G877" s="17" t="n">
        <v>97187.21000000001</v>
      </c>
      <c r="H877" s="26" t="n">
        <v>44883</v>
      </c>
      <c r="I877" s="26" t="n">
        <v>44885</v>
      </c>
      <c r="J877" s="12" t="n">
        <v>26.49</v>
      </c>
      <c r="K877" s="17" t="n">
        <v>2595870.38</v>
      </c>
      <c r="L877" s="12" t="n">
        <v>0</v>
      </c>
      <c r="M877" s="12" t="n">
        <v>11</v>
      </c>
      <c r="N877" s="27">
        <f>F877-J877</f>
        <v/>
      </c>
      <c r="O877" s="16">
        <f>I877-H877</f>
        <v/>
      </c>
      <c r="P877" s="14">
        <f>F877*G877</f>
        <v/>
      </c>
      <c r="Q877" s="14">
        <f>J877*G877</f>
        <v/>
      </c>
      <c r="R877" s="14">
        <f>K877-Q877</f>
        <v/>
      </c>
      <c r="S877" s="3">
        <f>P877*Assumptions!$B$3/100</f>
        <v/>
      </c>
      <c r="T877" s="14">
        <f>R877-S877</f>
        <v/>
      </c>
      <c r="U877" s="14">
        <f>L877*G877</f>
        <v/>
      </c>
    </row>
    <row r="878">
      <c r="A878" s="12" t="inlineStr">
        <is>
          <t>PO-2021-0876</t>
        </is>
      </c>
      <c r="B878" s="26" t="n">
        <v>44316</v>
      </c>
      <c r="C878" s="12" t="inlineStr">
        <is>
          <t>VS07</t>
        </is>
      </c>
      <c r="D878" s="12" t="inlineStr">
        <is>
          <t>Hex Bars</t>
        </is>
      </c>
      <c r="E878" s="12" t="inlineStr">
        <is>
          <t>N</t>
        </is>
      </c>
      <c r="F878" s="12" t="n">
        <v>49.37</v>
      </c>
      <c r="G878" s="17" t="n">
        <v>81274.72</v>
      </c>
      <c r="H878" s="26" t="n">
        <v>44330</v>
      </c>
      <c r="I878" s="26" t="n">
        <v>44331</v>
      </c>
      <c r="J878" s="12" t="n">
        <v>49.37</v>
      </c>
      <c r="K878" s="17" t="n">
        <v>4012532.93</v>
      </c>
      <c r="L878" s="12" t="n">
        <v>0</v>
      </c>
      <c r="M878" s="12" t="n">
        <v>0</v>
      </c>
      <c r="N878" s="27">
        <f>F878-J878</f>
        <v/>
      </c>
      <c r="O878" s="16">
        <f>I878-H878</f>
        <v/>
      </c>
      <c r="P878" s="14">
        <f>F878*G878</f>
        <v/>
      </c>
      <c r="Q878" s="14">
        <f>J878*G878</f>
        <v/>
      </c>
      <c r="R878" s="14">
        <f>K878-Q878</f>
        <v/>
      </c>
      <c r="S878" s="3">
        <f>P878*Assumptions!$B$3/100</f>
        <v/>
      </c>
      <c r="T878" s="14">
        <f>R878-S878</f>
        <v/>
      </c>
      <c r="U878" s="14">
        <f>L878*G878</f>
        <v/>
      </c>
    </row>
    <row r="879">
      <c r="A879" s="12" t="inlineStr">
        <is>
          <t>PO-2021-0877</t>
        </is>
      </c>
      <c r="B879" s="26" t="n">
        <v>44785</v>
      </c>
      <c r="C879" s="12" t="inlineStr">
        <is>
          <t>VS28</t>
        </is>
      </c>
      <c r="D879" s="12" t="inlineStr">
        <is>
          <t>MS Flats</t>
        </is>
      </c>
      <c r="E879" s="12" t="inlineStr">
        <is>
          <t>N</t>
        </is>
      </c>
      <c r="F879" s="12" t="n">
        <v>13.72</v>
      </c>
      <c r="G879" s="17" t="n">
        <v>88135.7</v>
      </c>
      <c r="H879" s="26" t="n">
        <v>44797</v>
      </c>
      <c r="I879" s="26" t="n">
        <v>44799</v>
      </c>
      <c r="J879" s="12" t="n">
        <v>13.64</v>
      </c>
      <c r="K879" s="17" t="n">
        <v>1209221.8</v>
      </c>
      <c r="L879" s="12" t="n">
        <v>0</v>
      </c>
      <c r="M879" s="12" t="n">
        <v>0</v>
      </c>
      <c r="N879" s="27">
        <f>F879-J879</f>
        <v/>
      </c>
      <c r="O879" s="16">
        <f>I879-H879</f>
        <v/>
      </c>
      <c r="P879" s="14">
        <f>F879*G879</f>
        <v/>
      </c>
      <c r="Q879" s="14">
        <f>J879*G879</f>
        <v/>
      </c>
      <c r="R879" s="14">
        <f>K879-Q879</f>
        <v/>
      </c>
      <c r="S879" s="3">
        <f>P879*Assumptions!$B$3/100</f>
        <v/>
      </c>
      <c r="T879" s="14">
        <f>R879-S879</f>
        <v/>
      </c>
      <c r="U879" s="14">
        <f>L879*G879</f>
        <v/>
      </c>
    </row>
    <row r="880">
      <c r="A880" s="12" t="inlineStr">
        <is>
          <t>PO-2021-0878</t>
        </is>
      </c>
      <c r="B880" s="26" t="n">
        <v>44921</v>
      </c>
      <c r="C880" s="12" t="inlineStr">
        <is>
          <t>VS09</t>
        </is>
      </c>
      <c r="D880" s="12" t="inlineStr">
        <is>
          <t>Structural Steel</t>
        </is>
      </c>
      <c r="E880" s="12" t="inlineStr">
        <is>
          <t>N</t>
        </is>
      </c>
      <c r="F880" s="12" t="n">
        <v>26.47</v>
      </c>
      <c r="G880" s="17" t="n">
        <v>92389.32000000001</v>
      </c>
      <c r="H880" s="26" t="n">
        <v>44931</v>
      </c>
      <c r="I880" s="26" t="n">
        <v>44933</v>
      </c>
      <c r="J880" s="12" t="n">
        <v>26.25</v>
      </c>
      <c r="K880" s="17" t="n">
        <v>2445545.3</v>
      </c>
      <c r="L880" s="12" t="n">
        <v>0</v>
      </c>
      <c r="M880" s="12" t="n">
        <v>21</v>
      </c>
      <c r="N880" s="27">
        <f>F880-J880</f>
        <v/>
      </c>
      <c r="O880" s="16">
        <f>I880-H880</f>
        <v/>
      </c>
      <c r="P880" s="14">
        <f>F880*G880</f>
        <v/>
      </c>
      <c r="Q880" s="14">
        <f>J880*G880</f>
        <v/>
      </c>
      <c r="R880" s="14">
        <f>K880-Q880</f>
        <v/>
      </c>
      <c r="S880" s="3">
        <f>P880*Assumptions!$B$3/100</f>
        <v/>
      </c>
      <c r="T880" s="14">
        <f>R880-S880</f>
        <v/>
      </c>
      <c r="U880" s="14">
        <f>L880*G880</f>
        <v/>
      </c>
    </row>
    <row r="881">
      <c r="A881" s="12" t="inlineStr">
        <is>
          <t>PO-2021-0879</t>
        </is>
      </c>
      <c r="B881" s="26" t="n">
        <v>44565</v>
      </c>
      <c r="C881" s="12" t="inlineStr">
        <is>
          <t>VS15</t>
        </is>
      </c>
      <c r="D881" s="12" t="inlineStr">
        <is>
          <t>SS Sheets</t>
        </is>
      </c>
      <c r="E881" s="12" t="inlineStr">
        <is>
          <t>N</t>
        </is>
      </c>
      <c r="F881" s="12" t="n">
        <v>48.98</v>
      </c>
      <c r="G881" s="17" t="n">
        <v>45118.57</v>
      </c>
      <c r="H881" s="26" t="n">
        <v>44568</v>
      </c>
      <c r="I881" s="26" t="n">
        <v>44568</v>
      </c>
      <c r="J881" s="12" t="n">
        <v>48.82</v>
      </c>
      <c r="K881" s="17" t="n">
        <v>2209907.56</v>
      </c>
      <c r="L881" s="12" t="n">
        <v>0</v>
      </c>
      <c r="M881" s="12" t="n">
        <v>0</v>
      </c>
      <c r="N881" s="27">
        <f>F881-J881</f>
        <v/>
      </c>
      <c r="O881" s="16">
        <f>I881-H881</f>
        <v/>
      </c>
      <c r="P881" s="14">
        <f>F881*G881</f>
        <v/>
      </c>
      <c r="Q881" s="14">
        <f>J881*G881</f>
        <v/>
      </c>
      <c r="R881" s="14">
        <f>K881-Q881</f>
        <v/>
      </c>
      <c r="S881" s="3">
        <f>P881*Assumptions!$B$3/100</f>
        <v/>
      </c>
      <c r="T881" s="14">
        <f>R881-S881</f>
        <v/>
      </c>
      <c r="U881" s="14">
        <f>L881*G881</f>
        <v/>
      </c>
    </row>
    <row r="882">
      <c r="A882" s="12" t="inlineStr">
        <is>
          <t>PO-2021-0880</t>
        </is>
      </c>
      <c r="B882" s="26" t="n">
        <v>45149</v>
      </c>
      <c r="C882" s="12" t="inlineStr">
        <is>
          <t>VS08</t>
        </is>
      </c>
      <c r="D882" s="12" t="inlineStr">
        <is>
          <t>GI Sheets</t>
        </is>
      </c>
      <c r="E882" s="12" t="inlineStr">
        <is>
          <t>Y</t>
        </is>
      </c>
      <c r="F882" s="12" t="n">
        <v>40.18</v>
      </c>
      <c r="G882" s="17" t="n">
        <v>119924.03</v>
      </c>
      <c r="H882" s="26" t="n">
        <v>45158</v>
      </c>
      <c r="I882" s="26" t="n">
        <v>45159</v>
      </c>
      <c r="J882" s="12" t="n">
        <v>40.11</v>
      </c>
      <c r="K882" s="17" t="n">
        <v>4818547.53</v>
      </c>
      <c r="L882" s="12" t="n">
        <v>0</v>
      </c>
      <c r="M882" s="12" t="n">
        <v>14</v>
      </c>
      <c r="N882" s="27">
        <f>F882-J882</f>
        <v/>
      </c>
      <c r="O882" s="16">
        <f>I882-H882</f>
        <v/>
      </c>
      <c r="P882" s="14">
        <f>F882*G882</f>
        <v/>
      </c>
      <c r="Q882" s="14">
        <f>J882*G882</f>
        <v/>
      </c>
      <c r="R882" s="14">
        <f>K882-Q882</f>
        <v/>
      </c>
      <c r="S882" s="3">
        <f>P882*Assumptions!$B$3/100</f>
        <v/>
      </c>
      <c r="T882" s="14">
        <f>R882-S882</f>
        <v/>
      </c>
      <c r="U882" s="14">
        <f>L882*G882</f>
        <v/>
      </c>
    </row>
    <row r="883">
      <c r="A883" s="12" t="inlineStr">
        <is>
          <t>PO-2021-0881</t>
        </is>
      </c>
      <c r="B883" s="26" t="n">
        <v>44290</v>
      </c>
      <c r="C883" s="12" t="inlineStr">
        <is>
          <t>VS22</t>
        </is>
      </c>
      <c r="D883" s="12" t="inlineStr">
        <is>
          <t>Angles &amp; Channels</t>
        </is>
      </c>
      <c r="E883" s="12" t="inlineStr">
        <is>
          <t>N</t>
        </is>
      </c>
      <c r="F883" s="12" t="n">
        <v>28.46</v>
      </c>
      <c r="G883" s="17" t="n">
        <v>92812.77</v>
      </c>
      <c r="H883" s="26" t="n">
        <v>44293</v>
      </c>
      <c r="I883" s="26" t="n">
        <v>44296</v>
      </c>
      <c r="J883" s="12" t="n">
        <v>28.2</v>
      </c>
      <c r="K883" s="17" t="n">
        <v>2641451.43</v>
      </c>
      <c r="L883" s="12" t="n">
        <v>0</v>
      </c>
      <c r="M883" s="12" t="n">
        <v>0</v>
      </c>
      <c r="N883" s="27">
        <f>F883-J883</f>
        <v/>
      </c>
      <c r="O883" s="16">
        <f>I883-H883</f>
        <v/>
      </c>
      <c r="P883" s="14">
        <f>F883*G883</f>
        <v/>
      </c>
      <c r="Q883" s="14">
        <f>J883*G883</f>
        <v/>
      </c>
      <c r="R883" s="14">
        <f>K883-Q883</f>
        <v/>
      </c>
      <c r="S883" s="3">
        <f>P883*Assumptions!$B$3/100</f>
        <v/>
      </c>
      <c r="T883" s="14">
        <f>R883-S883</f>
        <v/>
      </c>
      <c r="U883" s="14">
        <f>L883*G883</f>
        <v/>
      </c>
    </row>
    <row r="884">
      <c r="A884" s="12" t="inlineStr">
        <is>
          <t>PO-2021-0882</t>
        </is>
      </c>
      <c r="B884" s="26" t="n">
        <v>44609</v>
      </c>
      <c r="C884" s="12" t="inlineStr">
        <is>
          <t>VS19</t>
        </is>
      </c>
      <c r="D884" s="12" t="inlineStr">
        <is>
          <t>CR Sheets</t>
        </is>
      </c>
      <c r="E884" s="12" t="inlineStr">
        <is>
          <t>Y</t>
        </is>
      </c>
      <c r="F884" s="12" t="n">
        <v>39.72</v>
      </c>
      <c r="G884" s="17" t="n">
        <v>70806.25999999999</v>
      </c>
      <c r="H884" s="26" t="n">
        <v>44620</v>
      </c>
      <c r="I884" s="26" t="n">
        <v>44623</v>
      </c>
      <c r="J884" s="12" t="n">
        <v>38.62</v>
      </c>
      <c r="K884" s="17" t="n">
        <v>2812424.65</v>
      </c>
      <c r="L884" s="12" t="n">
        <v>1.77</v>
      </c>
      <c r="M884" s="12" t="n">
        <v>10</v>
      </c>
      <c r="N884" s="27">
        <f>F884-J884</f>
        <v/>
      </c>
      <c r="O884" s="16">
        <f>I884-H884</f>
        <v/>
      </c>
      <c r="P884" s="14">
        <f>F884*G884</f>
        <v/>
      </c>
      <c r="Q884" s="14">
        <f>J884*G884</f>
        <v/>
      </c>
      <c r="R884" s="14">
        <f>K884-Q884</f>
        <v/>
      </c>
      <c r="S884" s="3">
        <f>P884*Assumptions!$B$3/100</f>
        <v/>
      </c>
      <c r="T884" s="14">
        <f>R884-S884</f>
        <v/>
      </c>
      <c r="U884" s="14">
        <f>L884*G884</f>
        <v/>
      </c>
    </row>
    <row r="885">
      <c r="A885" s="12" t="inlineStr">
        <is>
          <t>PO-2021-0883</t>
        </is>
      </c>
      <c r="B885" s="26" t="n">
        <v>44860</v>
      </c>
      <c r="C885" s="12" t="inlineStr">
        <is>
          <t>VS01</t>
        </is>
      </c>
      <c r="D885" s="12" t="inlineStr">
        <is>
          <t>ERW Pipes</t>
        </is>
      </c>
      <c r="E885" s="12" t="inlineStr">
        <is>
          <t>Y</t>
        </is>
      </c>
      <c r="F885" s="12" t="n">
        <v>34.61</v>
      </c>
      <c r="G885" s="17" t="n">
        <v>70602.12</v>
      </c>
      <c r="H885" s="26" t="n">
        <v>44874</v>
      </c>
      <c r="I885" s="26" t="n">
        <v>44877</v>
      </c>
      <c r="J885" s="12" t="n">
        <v>34.59</v>
      </c>
      <c r="K885" s="17" t="n">
        <v>2443539.37</v>
      </c>
      <c r="L885" s="12" t="n">
        <v>0</v>
      </c>
      <c r="M885" s="12" t="n">
        <v>12</v>
      </c>
      <c r="N885" s="27">
        <f>F885-J885</f>
        <v/>
      </c>
      <c r="O885" s="16">
        <f>I885-H885</f>
        <v/>
      </c>
      <c r="P885" s="14">
        <f>F885*G885</f>
        <v/>
      </c>
      <c r="Q885" s="14">
        <f>J885*G885</f>
        <v/>
      </c>
      <c r="R885" s="14">
        <f>K885-Q885</f>
        <v/>
      </c>
      <c r="S885" s="3">
        <f>P885*Assumptions!$B$3/100</f>
        <v/>
      </c>
      <c r="T885" s="14">
        <f>R885-S885</f>
        <v/>
      </c>
      <c r="U885" s="14">
        <f>L885*G885</f>
        <v/>
      </c>
    </row>
    <row r="886">
      <c r="A886" s="12" t="inlineStr">
        <is>
          <t>PO-2021-0884</t>
        </is>
      </c>
      <c r="B886" s="26" t="n">
        <v>44256</v>
      </c>
      <c r="C886" s="12" t="inlineStr">
        <is>
          <t>VS12</t>
        </is>
      </c>
      <c r="D886" s="12" t="inlineStr">
        <is>
          <t>GI Sheets</t>
        </is>
      </c>
      <c r="E886" s="12" t="inlineStr">
        <is>
          <t>N</t>
        </is>
      </c>
      <c r="F886" s="12" t="n">
        <v>17.2</v>
      </c>
      <c r="G886" s="17" t="n">
        <v>73159.07000000001</v>
      </c>
      <c r="H886" s="26" t="n">
        <v>44269</v>
      </c>
      <c r="I886" s="26" t="n">
        <v>44273</v>
      </c>
      <c r="J886" s="12" t="n">
        <v>16.41</v>
      </c>
      <c r="K886" s="17" t="n">
        <v>1258336</v>
      </c>
      <c r="L886" s="12" t="n">
        <v>0.36</v>
      </c>
      <c r="M886" s="12" t="n">
        <v>6</v>
      </c>
      <c r="N886" s="27">
        <f>F886-J886</f>
        <v/>
      </c>
      <c r="O886" s="16">
        <f>I886-H886</f>
        <v/>
      </c>
      <c r="P886" s="14">
        <f>F886*G886</f>
        <v/>
      </c>
      <c r="Q886" s="14">
        <f>J886*G886</f>
        <v/>
      </c>
      <c r="R886" s="14">
        <f>K886-Q886</f>
        <v/>
      </c>
      <c r="S886" s="3">
        <f>P886*Assumptions!$B$3/100</f>
        <v/>
      </c>
      <c r="T886" s="14">
        <f>R886-S886</f>
        <v/>
      </c>
      <c r="U886" s="14">
        <f>L886*G886</f>
        <v/>
      </c>
    </row>
    <row r="887">
      <c r="A887" s="12" t="inlineStr">
        <is>
          <t>PO-2021-0885</t>
        </is>
      </c>
      <c r="B887" s="26" t="n">
        <v>45178</v>
      </c>
      <c r="C887" s="12" t="inlineStr">
        <is>
          <t>VS31</t>
        </is>
      </c>
      <c r="D887" s="12" t="inlineStr">
        <is>
          <t>GI Pipes</t>
        </is>
      </c>
      <c r="E887" s="12" t="inlineStr">
        <is>
          <t>N</t>
        </is>
      </c>
      <c r="F887" s="12" t="n">
        <v>32.64</v>
      </c>
      <c r="G887" s="17" t="n">
        <v>81112.16</v>
      </c>
      <c r="H887" s="26" t="n">
        <v>45191</v>
      </c>
      <c r="I887" s="26" t="n">
        <v>45194</v>
      </c>
      <c r="J887" s="12" t="n">
        <v>32.49</v>
      </c>
      <c r="K887" s="17" t="n">
        <v>2647500.9</v>
      </c>
      <c r="L887" s="12" t="n">
        <v>0</v>
      </c>
      <c r="M887" s="12" t="n">
        <v>0</v>
      </c>
      <c r="N887" s="27">
        <f>F887-J887</f>
        <v/>
      </c>
      <c r="O887" s="16">
        <f>I887-H887</f>
        <v/>
      </c>
      <c r="P887" s="14">
        <f>F887*G887</f>
        <v/>
      </c>
      <c r="Q887" s="14">
        <f>J887*G887</f>
        <v/>
      </c>
      <c r="R887" s="14">
        <f>K887-Q887</f>
        <v/>
      </c>
      <c r="S887" s="3">
        <f>P887*Assumptions!$B$3/100</f>
        <v/>
      </c>
      <c r="T887" s="14">
        <f>R887-S887</f>
        <v/>
      </c>
      <c r="U887" s="14">
        <f>L887*G887</f>
        <v/>
      </c>
    </row>
    <row r="888">
      <c r="A888" s="12" t="inlineStr">
        <is>
          <t>PO-2021-0886</t>
        </is>
      </c>
      <c r="B888" s="26" t="n">
        <v>45140</v>
      </c>
      <c r="C888" s="12" t="inlineStr">
        <is>
          <t>VS22</t>
        </is>
      </c>
      <c r="D888" s="12" t="inlineStr">
        <is>
          <t>Fasteners &amp; Fittings</t>
        </is>
      </c>
      <c r="E888" s="12" t="inlineStr">
        <is>
          <t>N</t>
        </is>
      </c>
      <c r="F888" s="12" t="n">
        <v>39.42</v>
      </c>
      <c r="G888" s="17" t="n">
        <v>76046.48</v>
      </c>
      <c r="H888" s="26" t="n">
        <v>45154</v>
      </c>
      <c r="I888" s="26" t="n">
        <v>45157</v>
      </c>
      <c r="J888" s="12" t="n">
        <v>39.4</v>
      </c>
      <c r="K888" s="17" t="n">
        <v>2997752.24</v>
      </c>
      <c r="L888" s="12" t="n">
        <v>0</v>
      </c>
      <c r="M888" s="12" t="n">
        <v>0</v>
      </c>
      <c r="N888" s="27">
        <f>F888-J888</f>
        <v/>
      </c>
      <c r="O888" s="16">
        <f>I888-H888</f>
        <v/>
      </c>
      <c r="P888" s="14">
        <f>F888*G888</f>
        <v/>
      </c>
      <c r="Q888" s="14">
        <f>J888*G888</f>
        <v/>
      </c>
      <c r="R888" s="14">
        <f>K888-Q888</f>
        <v/>
      </c>
      <c r="S888" s="3">
        <f>P888*Assumptions!$B$3/100</f>
        <v/>
      </c>
      <c r="T888" s="14">
        <f>R888-S888</f>
        <v/>
      </c>
      <c r="U888" s="14">
        <f>L888*G888</f>
        <v/>
      </c>
    </row>
    <row r="889">
      <c r="A889" s="12" t="inlineStr">
        <is>
          <t>PO-2021-0887</t>
        </is>
      </c>
      <c r="B889" s="26" t="n">
        <v>44311</v>
      </c>
      <c r="C889" s="12" t="inlineStr">
        <is>
          <t>VS34</t>
        </is>
      </c>
      <c r="D889" s="12" t="inlineStr">
        <is>
          <t>SS Sheets</t>
        </is>
      </c>
      <c r="E889" s="12" t="inlineStr">
        <is>
          <t>N</t>
        </is>
      </c>
      <c r="F889" s="12" t="n">
        <v>28.68</v>
      </c>
      <c r="G889" s="17" t="n">
        <v>95864.82000000001</v>
      </c>
      <c r="H889" s="26" t="n">
        <v>44322</v>
      </c>
      <c r="I889" s="26" t="n">
        <v>44324</v>
      </c>
      <c r="J889" s="12" t="n">
        <v>28.45</v>
      </c>
      <c r="K889" s="17" t="n">
        <v>2749403.04</v>
      </c>
      <c r="L889" s="12" t="n">
        <v>0</v>
      </c>
      <c r="M889" s="12" t="n">
        <v>10</v>
      </c>
      <c r="N889" s="27">
        <f>F889-J889</f>
        <v/>
      </c>
      <c r="O889" s="16">
        <f>I889-H889</f>
        <v/>
      </c>
      <c r="P889" s="14">
        <f>F889*G889</f>
        <v/>
      </c>
      <c r="Q889" s="14">
        <f>J889*G889</f>
        <v/>
      </c>
      <c r="R889" s="14">
        <f>K889-Q889</f>
        <v/>
      </c>
      <c r="S889" s="3">
        <f>P889*Assumptions!$B$3/100</f>
        <v/>
      </c>
      <c r="T889" s="14">
        <f>R889-S889</f>
        <v/>
      </c>
      <c r="U889" s="14">
        <f>L889*G889</f>
        <v/>
      </c>
    </row>
    <row r="890">
      <c r="A890" s="12" t="inlineStr">
        <is>
          <t>PO-2021-0888</t>
        </is>
      </c>
      <c r="B890" s="26" t="n">
        <v>44235</v>
      </c>
      <c r="C890" s="12" t="inlineStr">
        <is>
          <t>VS14</t>
        </is>
      </c>
      <c r="D890" s="12" t="inlineStr">
        <is>
          <t>MS Flats</t>
        </is>
      </c>
      <c r="E890" s="12" t="inlineStr">
        <is>
          <t>N</t>
        </is>
      </c>
      <c r="F890" s="12" t="n">
        <v>40.18</v>
      </c>
      <c r="G890" s="17" t="n">
        <v>111602.21</v>
      </c>
      <c r="H890" s="26" t="n">
        <v>44243</v>
      </c>
      <c r="I890" s="26" t="n">
        <v>44246</v>
      </c>
      <c r="J890" s="12" t="n">
        <v>40.08</v>
      </c>
      <c r="K890" s="17" t="n">
        <v>4484176.8</v>
      </c>
      <c r="L890" s="12" t="n">
        <v>0</v>
      </c>
      <c r="M890" s="12" t="n">
        <v>3</v>
      </c>
      <c r="N890" s="27">
        <f>F890-J890</f>
        <v/>
      </c>
      <c r="O890" s="16">
        <f>I890-H890</f>
        <v/>
      </c>
      <c r="P890" s="14">
        <f>F890*G890</f>
        <v/>
      </c>
      <c r="Q890" s="14">
        <f>J890*G890</f>
        <v/>
      </c>
      <c r="R890" s="14">
        <f>K890-Q890</f>
        <v/>
      </c>
      <c r="S890" s="3">
        <f>P890*Assumptions!$B$3/100</f>
        <v/>
      </c>
      <c r="T890" s="14">
        <f>R890-S890</f>
        <v/>
      </c>
      <c r="U890" s="14">
        <f>L890*G890</f>
        <v/>
      </c>
    </row>
    <row r="891">
      <c r="A891" s="12" t="inlineStr">
        <is>
          <t>PO-2021-0889</t>
        </is>
      </c>
      <c r="B891" s="26" t="n">
        <v>44332</v>
      </c>
      <c r="C891" s="12" t="inlineStr">
        <is>
          <t>VS10</t>
        </is>
      </c>
      <c r="D891" s="12" t="inlineStr">
        <is>
          <t>CR Sheets</t>
        </is>
      </c>
      <c r="E891" s="12" t="inlineStr">
        <is>
          <t>N</t>
        </is>
      </c>
      <c r="F891" s="12" t="n">
        <v>42.2</v>
      </c>
      <c r="G891" s="17" t="n">
        <v>70436.42999999999</v>
      </c>
      <c r="H891" s="26" t="n">
        <v>44341</v>
      </c>
      <c r="I891" s="26" t="n">
        <v>44342</v>
      </c>
      <c r="J891" s="12" t="n">
        <v>41.84</v>
      </c>
      <c r="K891" s="17" t="n">
        <v>2972417.35</v>
      </c>
      <c r="L891" s="12" t="n">
        <v>0</v>
      </c>
      <c r="M891" s="12" t="n">
        <v>23</v>
      </c>
      <c r="N891" s="27">
        <f>F891-J891</f>
        <v/>
      </c>
      <c r="O891" s="16">
        <f>I891-H891</f>
        <v/>
      </c>
      <c r="P891" s="14">
        <f>F891*G891</f>
        <v/>
      </c>
      <c r="Q891" s="14">
        <f>J891*G891</f>
        <v/>
      </c>
      <c r="R891" s="14">
        <f>K891-Q891</f>
        <v/>
      </c>
      <c r="S891" s="3">
        <f>P891*Assumptions!$B$3/100</f>
        <v/>
      </c>
      <c r="T891" s="14">
        <f>R891-S891</f>
        <v/>
      </c>
      <c r="U891" s="14">
        <f>L891*G891</f>
        <v/>
      </c>
    </row>
    <row r="892">
      <c r="A892" s="12" t="inlineStr">
        <is>
          <t>PO-2021-0890</t>
        </is>
      </c>
      <c r="B892" s="26" t="n">
        <v>45291</v>
      </c>
      <c r="C892" s="12" t="inlineStr">
        <is>
          <t>VS11</t>
        </is>
      </c>
      <c r="D892" s="12" t="inlineStr">
        <is>
          <t>MS Rods</t>
        </is>
      </c>
      <c r="E892" s="12" t="inlineStr">
        <is>
          <t>N</t>
        </is>
      </c>
      <c r="F892" s="12" t="n">
        <v>10.18</v>
      </c>
      <c r="G892" s="17" t="n">
        <v>53763.35</v>
      </c>
      <c r="H892" s="26" t="n">
        <v>45306</v>
      </c>
      <c r="I892" s="26" t="n">
        <v>45309</v>
      </c>
      <c r="J892" s="12" t="n">
        <v>10.12</v>
      </c>
      <c r="K892" s="17" t="n">
        <v>547310.9</v>
      </c>
      <c r="L892" s="12" t="n">
        <v>0</v>
      </c>
      <c r="M892" s="12" t="n">
        <v>3</v>
      </c>
      <c r="N892" s="27">
        <f>F892-J892</f>
        <v/>
      </c>
      <c r="O892" s="16">
        <f>I892-H892</f>
        <v/>
      </c>
      <c r="P892" s="14">
        <f>F892*G892</f>
        <v/>
      </c>
      <c r="Q892" s="14">
        <f>J892*G892</f>
        <v/>
      </c>
      <c r="R892" s="14">
        <f>K892-Q892</f>
        <v/>
      </c>
      <c r="S892" s="3">
        <f>P892*Assumptions!$B$3/100</f>
        <v/>
      </c>
      <c r="T892" s="14">
        <f>R892-S892</f>
        <v/>
      </c>
      <c r="U892" s="14">
        <f>L892*G892</f>
        <v/>
      </c>
    </row>
    <row r="893">
      <c r="A893" s="12" t="inlineStr">
        <is>
          <t>PO-2021-0891</t>
        </is>
      </c>
      <c r="B893" s="26" t="n">
        <v>44828</v>
      </c>
      <c r="C893" s="12" t="inlineStr">
        <is>
          <t>VS21</t>
        </is>
      </c>
      <c r="D893" s="12" t="inlineStr">
        <is>
          <t>GI Pipes</t>
        </is>
      </c>
      <c r="E893" s="12" t="inlineStr">
        <is>
          <t>N</t>
        </is>
      </c>
      <c r="F893" s="12" t="n">
        <v>14.3</v>
      </c>
      <c r="G893" s="17" t="n">
        <v>51509.83</v>
      </c>
      <c r="H893" s="26" t="n">
        <v>44834</v>
      </c>
      <c r="I893" s="26" t="n">
        <v>44836</v>
      </c>
      <c r="J893" s="12" t="n">
        <v>14.22</v>
      </c>
      <c r="K893" s="17" t="n">
        <v>736590.5699999999</v>
      </c>
      <c r="L893" s="12" t="n">
        <v>0</v>
      </c>
      <c r="M893" s="12" t="n">
        <v>0</v>
      </c>
      <c r="N893" s="27">
        <f>F893-J893</f>
        <v/>
      </c>
      <c r="O893" s="16">
        <f>I893-H893</f>
        <v/>
      </c>
      <c r="P893" s="14">
        <f>F893*G893</f>
        <v/>
      </c>
      <c r="Q893" s="14">
        <f>J893*G893</f>
        <v/>
      </c>
      <c r="R893" s="14">
        <f>K893-Q893</f>
        <v/>
      </c>
      <c r="S893" s="3">
        <f>P893*Assumptions!$B$3/100</f>
        <v/>
      </c>
      <c r="T893" s="14">
        <f>R893-S893</f>
        <v/>
      </c>
      <c r="U893" s="14">
        <f>L893*G893</f>
        <v/>
      </c>
    </row>
    <row r="894">
      <c r="A894" s="12" t="inlineStr">
        <is>
          <t>PO-2021-0892</t>
        </is>
      </c>
      <c r="B894" s="26" t="n">
        <v>44958</v>
      </c>
      <c r="C894" s="12" t="inlineStr">
        <is>
          <t>VS29</t>
        </is>
      </c>
      <c r="D894" s="12" t="inlineStr">
        <is>
          <t>SS Sheets</t>
        </is>
      </c>
      <c r="E894" s="12" t="inlineStr">
        <is>
          <t>N</t>
        </is>
      </c>
      <c r="F894" s="12" t="n">
        <v>11.59</v>
      </c>
      <c r="G894" s="17" t="n">
        <v>67673.87</v>
      </c>
      <c r="H894" s="26" t="n">
        <v>44962</v>
      </c>
      <c r="I894" s="26" t="n">
        <v>44962</v>
      </c>
      <c r="J894" s="12" t="n">
        <v>11.52</v>
      </c>
      <c r="K894" s="17" t="n">
        <v>784340.15</v>
      </c>
      <c r="L894" s="12" t="n">
        <v>0</v>
      </c>
      <c r="M894" s="12" t="n">
        <v>18</v>
      </c>
      <c r="N894" s="27">
        <f>F894-J894</f>
        <v/>
      </c>
      <c r="O894" s="16">
        <f>I894-H894</f>
        <v/>
      </c>
      <c r="P894" s="14">
        <f>F894*G894</f>
        <v/>
      </c>
      <c r="Q894" s="14">
        <f>J894*G894</f>
        <v/>
      </c>
      <c r="R894" s="14">
        <f>K894-Q894</f>
        <v/>
      </c>
      <c r="S894" s="3">
        <f>P894*Assumptions!$B$3/100</f>
        <v/>
      </c>
      <c r="T894" s="14">
        <f>R894-S894</f>
        <v/>
      </c>
      <c r="U894" s="14">
        <f>L894*G894</f>
        <v/>
      </c>
    </row>
    <row r="895">
      <c r="A895" s="12" t="inlineStr">
        <is>
          <t>PO-2021-0893</t>
        </is>
      </c>
      <c r="B895" s="26" t="n">
        <v>44963</v>
      </c>
      <c r="C895" s="12" t="inlineStr">
        <is>
          <t>VS03</t>
        </is>
      </c>
      <c r="D895" s="12" t="inlineStr">
        <is>
          <t>GI Sheets</t>
        </is>
      </c>
      <c r="E895" s="12" t="inlineStr">
        <is>
          <t>N</t>
        </is>
      </c>
      <c r="F895" s="12" t="n">
        <v>45.75</v>
      </c>
      <c r="G895" s="17" t="n">
        <v>81414.38</v>
      </c>
      <c r="H895" s="26" t="n">
        <v>44966</v>
      </c>
      <c r="I895" s="26" t="n">
        <v>44974</v>
      </c>
      <c r="J895" s="12" t="n">
        <v>43.77</v>
      </c>
      <c r="K895" s="17" t="n">
        <v>3724707.89</v>
      </c>
      <c r="L895" s="12" t="n">
        <v>1.4</v>
      </c>
      <c r="M895" s="12" t="n">
        <v>23</v>
      </c>
      <c r="N895" s="27">
        <f>F895-J895</f>
        <v/>
      </c>
      <c r="O895" s="16">
        <f>I895-H895</f>
        <v/>
      </c>
      <c r="P895" s="14">
        <f>F895*G895</f>
        <v/>
      </c>
      <c r="Q895" s="14">
        <f>J895*G895</f>
        <v/>
      </c>
      <c r="R895" s="14">
        <f>K895-Q895</f>
        <v/>
      </c>
      <c r="S895" s="3">
        <f>P895*Assumptions!$B$3/100</f>
        <v/>
      </c>
      <c r="T895" s="14">
        <f>R895-S895</f>
        <v/>
      </c>
      <c r="U895" s="14">
        <f>L895*G895</f>
        <v/>
      </c>
    </row>
    <row r="896">
      <c r="A896" s="12" t="inlineStr">
        <is>
          <t>PO-2021-0894</t>
        </is>
      </c>
      <c r="B896" s="26" t="n">
        <v>45185</v>
      </c>
      <c r="C896" s="12" t="inlineStr">
        <is>
          <t>VS33</t>
        </is>
      </c>
      <c r="D896" s="12" t="inlineStr">
        <is>
          <t>Square/Rect Tubes</t>
        </is>
      </c>
      <c r="E896" s="12" t="inlineStr">
        <is>
          <t>N</t>
        </is>
      </c>
      <c r="F896" s="12" t="n">
        <v>10.32</v>
      </c>
      <c r="G896" s="17" t="n">
        <v>114272.76</v>
      </c>
      <c r="H896" s="26" t="n">
        <v>45199</v>
      </c>
      <c r="I896" s="26" t="n">
        <v>45201</v>
      </c>
      <c r="J896" s="12" t="n">
        <v>10.27</v>
      </c>
      <c r="K896" s="17" t="n">
        <v>1179294.88</v>
      </c>
      <c r="L896" s="12" t="n">
        <v>0</v>
      </c>
      <c r="M896" s="12" t="n">
        <v>17</v>
      </c>
      <c r="N896" s="27">
        <f>F896-J896</f>
        <v/>
      </c>
      <c r="O896" s="16">
        <f>I896-H896</f>
        <v/>
      </c>
      <c r="P896" s="14">
        <f>F896*G896</f>
        <v/>
      </c>
      <c r="Q896" s="14">
        <f>J896*G896</f>
        <v/>
      </c>
      <c r="R896" s="14">
        <f>K896-Q896</f>
        <v/>
      </c>
      <c r="S896" s="3">
        <f>P896*Assumptions!$B$3/100</f>
        <v/>
      </c>
      <c r="T896" s="14">
        <f>R896-S896</f>
        <v/>
      </c>
      <c r="U896" s="14">
        <f>L896*G896</f>
        <v/>
      </c>
    </row>
    <row r="897">
      <c r="A897" s="12" t="inlineStr">
        <is>
          <t>PO-2021-0895</t>
        </is>
      </c>
      <c r="B897" s="26" t="n">
        <v>45269</v>
      </c>
      <c r="C897" s="12" t="inlineStr">
        <is>
          <t>VS20</t>
        </is>
      </c>
      <c r="D897" s="12" t="inlineStr">
        <is>
          <t>MS Flats</t>
        </is>
      </c>
      <c r="E897" s="12" t="inlineStr">
        <is>
          <t>N</t>
        </is>
      </c>
      <c r="F897" s="12" t="n">
        <v>8.02</v>
      </c>
      <c r="G897" s="17" t="n">
        <v>110384.92</v>
      </c>
      <c r="H897" s="26" t="n">
        <v>45280</v>
      </c>
      <c r="I897" s="26" t="n">
        <v>45283</v>
      </c>
      <c r="J897" s="12" t="n">
        <v>7.95</v>
      </c>
      <c r="K897" s="17" t="n">
        <v>885287.0600000001</v>
      </c>
      <c r="L897" s="12" t="n">
        <v>0</v>
      </c>
      <c r="M897" s="12" t="n">
        <v>0</v>
      </c>
      <c r="N897" s="27">
        <f>F897-J897</f>
        <v/>
      </c>
      <c r="O897" s="16">
        <f>I897-H897</f>
        <v/>
      </c>
      <c r="P897" s="14">
        <f>F897*G897</f>
        <v/>
      </c>
      <c r="Q897" s="14">
        <f>J897*G897</f>
        <v/>
      </c>
      <c r="R897" s="14">
        <f>K897-Q897</f>
        <v/>
      </c>
      <c r="S897" s="3">
        <f>P897*Assumptions!$B$3/100</f>
        <v/>
      </c>
      <c r="T897" s="14">
        <f>R897-S897</f>
        <v/>
      </c>
      <c r="U897" s="14">
        <f>L897*G897</f>
        <v/>
      </c>
    </row>
    <row r="898">
      <c r="A898" s="12" t="inlineStr">
        <is>
          <t>PO-2021-0896</t>
        </is>
      </c>
      <c r="B898" s="26" t="n">
        <v>44468</v>
      </c>
      <c r="C898" s="12" t="inlineStr">
        <is>
          <t>VS14</t>
        </is>
      </c>
      <c r="D898" s="12" t="inlineStr">
        <is>
          <t>GI Pipes</t>
        </is>
      </c>
      <c r="E898" s="12" t="inlineStr">
        <is>
          <t>N</t>
        </is>
      </c>
      <c r="F898" s="12" t="n">
        <v>23.51</v>
      </c>
      <c r="G898" s="17" t="n">
        <v>98525.8</v>
      </c>
      <c r="H898" s="26" t="n">
        <v>44479</v>
      </c>
      <c r="I898" s="26" t="n">
        <v>44480</v>
      </c>
      <c r="J898" s="12" t="n">
        <v>23.48</v>
      </c>
      <c r="K898" s="17" t="n">
        <v>2316341.56</v>
      </c>
      <c r="L898" s="12" t="n">
        <v>0</v>
      </c>
      <c r="M898" s="12" t="n">
        <v>0</v>
      </c>
      <c r="N898" s="27">
        <f>F898-J898</f>
        <v/>
      </c>
      <c r="O898" s="16">
        <f>I898-H898</f>
        <v/>
      </c>
      <c r="P898" s="14">
        <f>F898*G898</f>
        <v/>
      </c>
      <c r="Q898" s="14">
        <f>J898*G898</f>
        <v/>
      </c>
      <c r="R898" s="14">
        <f>K898-Q898</f>
        <v/>
      </c>
      <c r="S898" s="3">
        <f>P898*Assumptions!$B$3/100</f>
        <v/>
      </c>
      <c r="T898" s="14">
        <f>R898-S898</f>
        <v/>
      </c>
      <c r="U898" s="14">
        <f>L898*G898</f>
        <v/>
      </c>
    </row>
    <row r="899">
      <c r="A899" s="12" t="inlineStr">
        <is>
          <t>PO-2021-0897</t>
        </is>
      </c>
      <c r="B899" s="26" t="n">
        <v>44434</v>
      </c>
      <c r="C899" s="12" t="inlineStr">
        <is>
          <t>VS01</t>
        </is>
      </c>
      <c r="D899" s="12" t="inlineStr">
        <is>
          <t>SS Sheets</t>
        </is>
      </c>
      <c r="E899" s="12" t="inlineStr">
        <is>
          <t>N</t>
        </is>
      </c>
      <c r="F899" s="12" t="n">
        <v>46.68</v>
      </c>
      <c r="G899" s="17" t="n">
        <v>96528.92</v>
      </c>
      <c r="H899" s="26" t="n">
        <v>44446</v>
      </c>
      <c r="I899" s="26" t="n">
        <v>44449</v>
      </c>
      <c r="J899" s="12" t="n">
        <v>46.51</v>
      </c>
      <c r="K899" s="17" t="n">
        <v>4505969.99</v>
      </c>
      <c r="L899" s="12" t="n">
        <v>0</v>
      </c>
      <c r="M899" s="12" t="n">
        <v>0</v>
      </c>
      <c r="N899" s="27">
        <f>F899-J899</f>
        <v/>
      </c>
      <c r="O899" s="16">
        <f>I899-H899</f>
        <v/>
      </c>
      <c r="P899" s="14">
        <f>F899*G899</f>
        <v/>
      </c>
      <c r="Q899" s="14">
        <f>J899*G899</f>
        <v/>
      </c>
      <c r="R899" s="14">
        <f>K899-Q899</f>
        <v/>
      </c>
      <c r="S899" s="3">
        <f>P899*Assumptions!$B$3/100</f>
        <v/>
      </c>
      <c r="T899" s="14">
        <f>R899-S899</f>
        <v/>
      </c>
      <c r="U899" s="14">
        <f>L899*G899</f>
        <v/>
      </c>
    </row>
    <row r="900">
      <c r="A900" s="12" t="inlineStr">
        <is>
          <t>PO-2021-0898</t>
        </is>
      </c>
      <c r="B900" s="26" t="n">
        <v>44375</v>
      </c>
      <c r="C900" s="12" t="inlineStr">
        <is>
          <t>VS22</t>
        </is>
      </c>
      <c r="D900" s="12" t="inlineStr">
        <is>
          <t>Fasteners &amp; Fittings</t>
        </is>
      </c>
      <c r="E900" s="12" t="inlineStr">
        <is>
          <t>N</t>
        </is>
      </c>
      <c r="F900" s="12" t="n">
        <v>44.57</v>
      </c>
      <c r="G900" s="17" t="n">
        <v>52732.71</v>
      </c>
      <c r="H900" s="26" t="n">
        <v>44390</v>
      </c>
      <c r="I900" s="26" t="n">
        <v>44390</v>
      </c>
      <c r="J900" s="12" t="n">
        <v>44.24</v>
      </c>
      <c r="K900" s="17" t="n">
        <v>2350296.88</v>
      </c>
      <c r="L900" s="12" t="n">
        <v>0</v>
      </c>
      <c r="M900" s="12" t="n">
        <v>0</v>
      </c>
      <c r="N900" s="27">
        <f>F900-J900</f>
        <v/>
      </c>
      <c r="O900" s="16">
        <f>I900-H900</f>
        <v/>
      </c>
      <c r="P900" s="14">
        <f>F900*G900</f>
        <v/>
      </c>
      <c r="Q900" s="14">
        <f>J900*G900</f>
        <v/>
      </c>
      <c r="R900" s="14">
        <f>K900-Q900</f>
        <v/>
      </c>
      <c r="S900" s="3">
        <f>P900*Assumptions!$B$3/100</f>
        <v/>
      </c>
      <c r="T900" s="14">
        <f>R900-S900</f>
        <v/>
      </c>
      <c r="U900" s="14">
        <f>L900*G900</f>
        <v/>
      </c>
    </row>
    <row r="901">
      <c r="A901" s="12" t="inlineStr">
        <is>
          <t>PO-2021-0899</t>
        </is>
      </c>
      <c r="B901" s="26" t="n">
        <v>44836</v>
      </c>
      <c r="C901" s="12" t="inlineStr">
        <is>
          <t>VS02</t>
        </is>
      </c>
      <c r="D901" s="12" t="inlineStr">
        <is>
          <t>SS Sheets</t>
        </is>
      </c>
      <c r="E901" s="12" t="inlineStr">
        <is>
          <t>N</t>
        </is>
      </c>
      <c r="F901" s="12" t="n">
        <v>32.3</v>
      </c>
      <c r="G901" s="17" t="n">
        <v>60738.43</v>
      </c>
      <c r="H901" s="26" t="n">
        <v>44842</v>
      </c>
      <c r="I901" s="26" t="n">
        <v>44844</v>
      </c>
      <c r="J901" s="12" t="n">
        <v>32.15</v>
      </c>
      <c r="K901" s="17" t="n">
        <v>1961851.29</v>
      </c>
      <c r="L901" s="12" t="n">
        <v>0</v>
      </c>
      <c r="M901" s="12" t="n">
        <v>21</v>
      </c>
      <c r="N901" s="27">
        <f>F901-J901</f>
        <v/>
      </c>
      <c r="O901" s="16">
        <f>I901-H901</f>
        <v/>
      </c>
      <c r="P901" s="14">
        <f>F901*G901</f>
        <v/>
      </c>
      <c r="Q901" s="14">
        <f>J901*G901</f>
        <v/>
      </c>
      <c r="R901" s="14">
        <f>K901-Q901</f>
        <v/>
      </c>
      <c r="S901" s="3">
        <f>P901*Assumptions!$B$3/100</f>
        <v/>
      </c>
      <c r="T901" s="14">
        <f>R901-S901</f>
        <v/>
      </c>
      <c r="U901" s="14">
        <f>L901*G901</f>
        <v/>
      </c>
    </row>
    <row r="902">
      <c r="A902" s="12" t="inlineStr">
        <is>
          <t>PO-2021-0900</t>
        </is>
      </c>
      <c r="B902" s="26" t="n">
        <v>44591</v>
      </c>
      <c r="C902" s="12" t="inlineStr">
        <is>
          <t>VS19</t>
        </is>
      </c>
      <c r="D902" s="12" t="inlineStr">
        <is>
          <t>CR Sheets</t>
        </is>
      </c>
      <c r="E902" s="12" t="inlineStr">
        <is>
          <t>Y</t>
        </is>
      </c>
      <c r="F902" s="12" t="n">
        <v>27.08</v>
      </c>
      <c r="G902" s="17" t="n">
        <v>107077.39</v>
      </c>
      <c r="H902" s="26" t="n">
        <v>44604</v>
      </c>
      <c r="I902" s="26" t="n">
        <v>44607</v>
      </c>
      <c r="J902" s="12" t="n">
        <v>25.78</v>
      </c>
      <c r="K902" s="17" t="n">
        <v>2899655.72</v>
      </c>
      <c r="L902" s="12" t="n">
        <v>0.16</v>
      </c>
      <c r="M902" s="12" t="n">
        <v>0</v>
      </c>
      <c r="N902" s="27">
        <f>F902-J902</f>
        <v/>
      </c>
      <c r="O902" s="16">
        <f>I902-H902</f>
        <v/>
      </c>
      <c r="P902" s="14">
        <f>F902*G902</f>
        <v/>
      </c>
      <c r="Q902" s="14">
        <f>J902*G902</f>
        <v/>
      </c>
      <c r="R902" s="14">
        <f>K902-Q902</f>
        <v/>
      </c>
      <c r="S902" s="3">
        <f>P902*Assumptions!$B$3/100</f>
        <v/>
      </c>
      <c r="T902" s="14">
        <f>R902-S902</f>
        <v/>
      </c>
      <c r="U902" s="14">
        <f>L902*G902</f>
        <v/>
      </c>
    </row>
    <row r="903">
      <c r="A903" s="12" t="inlineStr">
        <is>
          <t>PO-2021-0901</t>
        </is>
      </c>
      <c r="B903" s="26" t="n">
        <v>44437</v>
      </c>
      <c r="C903" s="12" t="inlineStr">
        <is>
          <t>VS18</t>
        </is>
      </c>
      <c r="D903" s="12" t="inlineStr">
        <is>
          <t>Square/Rect Tubes</t>
        </is>
      </c>
      <c r="E903" s="12" t="inlineStr">
        <is>
          <t>N</t>
        </is>
      </c>
      <c r="F903" s="12" t="n">
        <v>8.720000000000001</v>
      </c>
      <c r="G903" s="17" t="n">
        <v>53584.53</v>
      </c>
      <c r="H903" s="26" t="n">
        <v>44449</v>
      </c>
      <c r="I903" s="26" t="n">
        <v>44450</v>
      </c>
      <c r="J903" s="12" t="n">
        <v>8.699999999999999</v>
      </c>
      <c r="K903" s="17" t="n">
        <v>467257.1</v>
      </c>
      <c r="L903" s="12" t="n">
        <v>0</v>
      </c>
      <c r="M903" s="12" t="n">
        <v>0</v>
      </c>
      <c r="N903" s="27">
        <f>F903-J903</f>
        <v/>
      </c>
      <c r="O903" s="16">
        <f>I903-H903</f>
        <v/>
      </c>
      <c r="P903" s="14">
        <f>F903*G903</f>
        <v/>
      </c>
      <c r="Q903" s="14">
        <f>J903*G903</f>
        <v/>
      </c>
      <c r="R903" s="14">
        <f>K903-Q903</f>
        <v/>
      </c>
      <c r="S903" s="3">
        <f>P903*Assumptions!$B$3/100</f>
        <v/>
      </c>
      <c r="T903" s="14">
        <f>R903-S903</f>
        <v/>
      </c>
      <c r="U903" s="14">
        <f>L903*G903</f>
        <v/>
      </c>
    </row>
    <row r="904">
      <c r="A904" s="12" t="inlineStr">
        <is>
          <t>PO-2021-0902</t>
        </is>
      </c>
      <c r="B904" s="26" t="n">
        <v>45249</v>
      </c>
      <c r="C904" s="12" t="inlineStr">
        <is>
          <t>VS07</t>
        </is>
      </c>
      <c r="D904" s="12" t="inlineStr">
        <is>
          <t>GI Sheets</t>
        </is>
      </c>
      <c r="E904" s="12" t="inlineStr">
        <is>
          <t>N</t>
        </is>
      </c>
      <c r="F904" s="12" t="n">
        <v>27.58</v>
      </c>
      <c r="G904" s="17" t="n">
        <v>86202.42</v>
      </c>
      <c r="H904" s="26" t="n">
        <v>45256</v>
      </c>
      <c r="I904" s="26" t="n">
        <v>45257</v>
      </c>
      <c r="J904" s="12" t="n">
        <v>27.35</v>
      </c>
      <c r="K904" s="17" t="n">
        <v>2377462.74</v>
      </c>
      <c r="L904" s="12" t="n">
        <v>0</v>
      </c>
      <c r="M904" s="12" t="n">
        <v>19</v>
      </c>
      <c r="N904" s="27">
        <f>F904-J904</f>
        <v/>
      </c>
      <c r="O904" s="16">
        <f>I904-H904</f>
        <v/>
      </c>
      <c r="P904" s="14">
        <f>F904*G904</f>
        <v/>
      </c>
      <c r="Q904" s="14">
        <f>J904*G904</f>
        <v/>
      </c>
      <c r="R904" s="14">
        <f>K904-Q904</f>
        <v/>
      </c>
      <c r="S904" s="3">
        <f>P904*Assumptions!$B$3/100</f>
        <v/>
      </c>
      <c r="T904" s="14">
        <f>R904-S904</f>
        <v/>
      </c>
      <c r="U904" s="14">
        <f>L904*G904</f>
        <v/>
      </c>
    </row>
    <row r="905">
      <c r="A905" s="12" t="inlineStr">
        <is>
          <t>PO-2021-0903</t>
        </is>
      </c>
      <c r="B905" s="26" t="n">
        <v>44486</v>
      </c>
      <c r="C905" s="12" t="inlineStr">
        <is>
          <t>VS19</t>
        </is>
      </c>
      <c r="D905" s="12" t="inlineStr">
        <is>
          <t>HR Coils</t>
        </is>
      </c>
      <c r="E905" s="12" t="inlineStr">
        <is>
          <t>N</t>
        </is>
      </c>
      <c r="F905" s="12" t="n">
        <v>9.390000000000001</v>
      </c>
      <c r="G905" s="17" t="n">
        <v>71087.45</v>
      </c>
      <c r="H905" s="26" t="n">
        <v>44494</v>
      </c>
      <c r="I905" s="26" t="n">
        <v>44496</v>
      </c>
      <c r="J905" s="12" t="n">
        <v>9.01</v>
      </c>
      <c r="K905" s="17" t="n">
        <v>667511.16</v>
      </c>
      <c r="L905" s="12" t="n">
        <v>0.07000000000000001</v>
      </c>
      <c r="M905" s="12" t="n">
        <v>22</v>
      </c>
      <c r="N905" s="27">
        <f>F905-J905</f>
        <v/>
      </c>
      <c r="O905" s="16">
        <f>I905-H905</f>
        <v/>
      </c>
      <c r="P905" s="14">
        <f>F905*G905</f>
        <v/>
      </c>
      <c r="Q905" s="14">
        <f>J905*G905</f>
        <v/>
      </c>
      <c r="R905" s="14">
        <f>K905-Q905</f>
        <v/>
      </c>
      <c r="S905" s="3">
        <f>P905*Assumptions!$B$3/100</f>
        <v/>
      </c>
      <c r="T905" s="14">
        <f>R905-S905</f>
        <v/>
      </c>
      <c r="U905" s="14">
        <f>L905*G905</f>
        <v/>
      </c>
    </row>
    <row r="906">
      <c r="A906" s="12" t="inlineStr">
        <is>
          <t>PO-2021-0904</t>
        </is>
      </c>
      <c r="B906" s="26" t="n">
        <v>45105</v>
      </c>
      <c r="C906" s="12" t="inlineStr">
        <is>
          <t>VS04</t>
        </is>
      </c>
      <c r="D906" s="12" t="inlineStr">
        <is>
          <t>Square/Rect Tubes</t>
        </is>
      </c>
      <c r="E906" s="12" t="inlineStr">
        <is>
          <t>N</t>
        </is>
      </c>
      <c r="F906" s="12" t="n">
        <v>2.42</v>
      </c>
      <c r="G906" s="17" t="n">
        <v>112746.93</v>
      </c>
      <c r="H906" s="26" t="n">
        <v>45108</v>
      </c>
      <c r="I906" s="26" t="n">
        <v>45108</v>
      </c>
      <c r="J906" s="12" t="n">
        <v>2.41</v>
      </c>
      <c r="K906" s="17" t="n">
        <v>272847.57</v>
      </c>
      <c r="L906" s="12" t="n">
        <v>0</v>
      </c>
      <c r="M906" s="12" t="n">
        <v>0</v>
      </c>
      <c r="N906" s="27">
        <f>F906-J906</f>
        <v/>
      </c>
      <c r="O906" s="16">
        <f>I906-H906</f>
        <v/>
      </c>
      <c r="P906" s="14">
        <f>F906*G906</f>
        <v/>
      </c>
      <c r="Q906" s="14">
        <f>J906*G906</f>
        <v/>
      </c>
      <c r="R906" s="14">
        <f>K906-Q906</f>
        <v/>
      </c>
      <c r="S906" s="3">
        <f>P906*Assumptions!$B$3/100</f>
        <v/>
      </c>
      <c r="T906" s="14">
        <f>R906-S906</f>
        <v/>
      </c>
      <c r="U906" s="14">
        <f>L906*G906</f>
        <v/>
      </c>
    </row>
    <row r="907">
      <c r="A907" s="12" t="inlineStr">
        <is>
          <t>PO-2021-0905</t>
        </is>
      </c>
      <c r="B907" s="26" t="n">
        <v>44413</v>
      </c>
      <c r="C907" s="12" t="inlineStr">
        <is>
          <t>VS25</t>
        </is>
      </c>
      <c r="D907" s="12" t="inlineStr">
        <is>
          <t>GI Pipes</t>
        </is>
      </c>
      <c r="E907" s="12" t="inlineStr">
        <is>
          <t>N</t>
        </is>
      </c>
      <c r="F907" s="12" t="n">
        <v>5.22</v>
      </c>
      <c r="G907" s="17" t="n">
        <v>74393.75999999999</v>
      </c>
      <c r="H907" s="26" t="n">
        <v>44427</v>
      </c>
      <c r="I907" s="26" t="n">
        <v>44429</v>
      </c>
      <c r="J907" s="12" t="n">
        <v>5.19</v>
      </c>
      <c r="K907" s="17" t="n">
        <v>388335.43</v>
      </c>
      <c r="L907" s="12" t="n">
        <v>0</v>
      </c>
      <c r="M907" s="12" t="n">
        <v>0</v>
      </c>
      <c r="N907" s="27">
        <f>F907-J907</f>
        <v/>
      </c>
      <c r="O907" s="16">
        <f>I907-H907</f>
        <v/>
      </c>
      <c r="P907" s="14">
        <f>F907*G907</f>
        <v/>
      </c>
      <c r="Q907" s="14">
        <f>J907*G907</f>
        <v/>
      </c>
      <c r="R907" s="14">
        <f>K907-Q907</f>
        <v/>
      </c>
      <c r="S907" s="3">
        <f>P907*Assumptions!$B$3/100</f>
        <v/>
      </c>
      <c r="T907" s="14">
        <f>R907-S907</f>
        <v/>
      </c>
      <c r="U907" s="14">
        <f>L907*G907</f>
        <v/>
      </c>
    </row>
    <row r="908">
      <c r="A908" s="12" t="inlineStr">
        <is>
          <t>PO-2021-0906</t>
        </is>
      </c>
      <c r="B908" s="26" t="n">
        <v>45110</v>
      </c>
      <c r="C908" s="12" t="inlineStr">
        <is>
          <t>VS23</t>
        </is>
      </c>
      <c r="D908" s="12" t="inlineStr">
        <is>
          <t>SS Sheets</t>
        </is>
      </c>
      <c r="E908" s="12" t="inlineStr">
        <is>
          <t>N</t>
        </is>
      </c>
      <c r="F908" s="12" t="n">
        <v>17.28</v>
      </c>
      <c r="G908" s="17" t="n">
        <v>59861.04</v>
      </c>
      <c r="H908" s="26" t="n">
        <v>45125</v>
      </c>
      <c r="I908" s="26" t="n">
        <v>45128</v>
      </c>
      <c r="J908" s="12" t="n">
        <v>17.2</v>
      </c>
      <c r="K908" s="17" t="n">
        <v>1034398.77</v>
      </c>
      <c r="L908" s="12" t="n">
        <v>0</v>
      </c>
      <c r="M908" s="12" t="n">
        <v>0</v>
      </c>
      <c r="N908" s="27">
        <f>F908-J908</f>
        <v/>
      </c>
      <c r="O908" s="16">
        <f>I908-H908</f>
        <v/>
      </c>
      <c r="P908" s="14">
        <f>F908*G908</f>
        <v/>
      </c>
      <c r="Q908" s="14">
        <f>J908*G908</f>
        <v/>
      </c>
      <c r="R908" s="14">
        <f>K908-Q908</f>
        <v/>
      </c>
      <c r="S908" s="3">
        <f>P908*Assumptions!$B$3/100</f>
        <v/>
      </c>
      <c r="T908" s="14">
        <f>R908-S908</f>
        <v/>
      </c>
      <c r="U908" s="14">
        <f>L908*G908</f>
        <v/>
      </c>
    </row>
    <row r="909">
      <c r="A909" s="12" t="inlineStr">
        <is>
          <t>PO-2021-0907</t>
        </is>
      </c>
      <c r="B909" s="26" t="n">
        <v>45289</v>
      </c>
      <c r="C909" s="12" t="inlineStr">
        <is>
          <t>VS06</t>
        </is>
      </c>
      <c r="D909" s="12" t="inlineStr">
        <is>
          <t>Fasteners &amp; Fittings</t>
        </is>
      </c>
      <c r="E909" s="12" t="inlineStr">
        <is>
          <t>N</t>
        </is>
      </c>
      <c r="F909" s="12" t="n">
        <v>28.82</v>
      </c>
      <c r="G909" s="17" t="n">
        <v>51968.71</v>
      </c>
      <c r="H909" s="26" t="n">
        <v>45304</v>
      </c>
      <c r="I909" s="26" t="n">
        <v>45305</v>
      </c>
      <c r="J909" s="12" t="n">
        <v>28.81</v>
      </c>
      <c r="K909" s="17" t="n">
        <v>1497738.22</v>
      </c>
      <c r="L909" s="12" t="n">
        <v>0</v>
      </c>
      <c r="M909" s="12" t="n">
        <v>4</v>
      </c>
      <c r="N909" s="27">
        <f>F909-J909</f>
        <v/>
      </c>
      <c r="O909" s="16">
        <f>I909-H909</f>
        <v/>
      </c>
      <c r="P909" s="14">
        <f>F909*G909</f>
        <v/>
      </c>
      <c r="Q909" s="14">
        <f>J909*G909</f>
        <v/>
      </c>
      <c r="R909" s="14">
        <f>K909-Q909</f>
        <v/>
      </c>
      <c r="S909" s="3">
        <f>P909*Assumptions!$B$3/100</f>
        <v/>
      </c>
      <c r="T909" s="14">
        <f>R909-S909</f>
        <v/>
      </c>
      <c r="U909" s="14">
        <f>L909*G909</f>
        <v/>
      </c>
    </row>
    <row r="910">
      <c r="A910" s="12" t="inlineStr">
        <is>
          <t>PO-2021-0908</t>
        </is>
      </c>
      <c r="B910" s="26" t="n">
        <v>45156</v>
      </c>
      <c r="C910" s="12" t="inlineStr">
        <is>
          <t>VS07</t>
        </is>
      </c>
      <c r="D910" s="12" t="inlineStr">
        <is>
          <t>Fasteners &amp; Fittings</t>
        </is>
      </c>
      <c r="E910" s="12" t="inlineStr">
        <is>
          <t>Y</t>
        </is>
      </c>
      <c r="F910" s="12" t="n">
        <v>16.21</v>
      </c>
      <c r="G910" s="17" t="n">
        <v>93331.39999999999</v>
      </c>
      <c r="H910" s="26" t="n">
        <v>45171</v>
      </c>
      <c r="I910" s="26" t="n">
        <v>45174</v>
      </c>
      <c r="J910" s="12" t="n">
        <v>16.15</v>
      </c>
      <c r="K910" s="17" t="n">
        <v>1512901.99</v>
      </c>
      <c r="L910" s="12" t="n">
        <v>0</v>
      </c>
      <c r="M910" s="12" t="n">
        <v>8</v>
      </c>
      <c r="N910" s="27">
        <f>F910-J910</f>
        <v/>
      </c>
      <c r="O910" s="16">
        <f>I910-H910</f>
        <v/>
      </c>
      <c r="P910" s="14">
        <f>F910*G910</f>
        <v/>
      </c>
      <c r="Q910" s="14">
        <f>J910*G910</f>
        <v/>
      </c>
      <c r="R910" s="14">
        <f>K910-Q910</f>
        <v/>
      </c>
      <c r="S910" s="3">
        <f>P910*Assumptions!$B$3/100</f>
        <v/>
      </c>
      <c r="T910" s="14">
        <f>R910-S910</f>
        <v/>
      </c>
      <c r="U910" s="14">
        <f>L910*G910</f>
        <v/>
      </c>
    </row>
    <row r="911">
      <c r="A911" s="12" t="inlineStr">
        <is>
          <t>PO-2021-0909</t>
        </is>
      </c>
      <c r="B911" s="26" t="n">
        <v>45150</v>
      </c>
      <c r="C911" s="12" t="inlineStr">
        <is>
          <t>VS31</t>
        </is>
      </c>
      <c r="D911" s="12" t="inlineStr">
        <is>
          <t>HR Coils</t>
        </is>
      </c>
      <c r="E911" s="12" t="inlineStr">
        <is>
          <t>N</t>
        </is>
      </c>
      <c r="F911" s="12" t="n">
        <v>47.42</v>
      </c>
      <c r="G911" s="17" t="n">
        <v>55779.13</v>
      </c>
      <c r="H911" s="26" t="n">
        <v>45162</v>
      </c>
      <c r="I911" s="26" t="n">
        <v>45162</v>
      </c>
      <c r="J911" s="12" t="n">
        <v>47</v>
      </c>
      <c r="K911" s="17" t="n">
        <v>2645046.34</v>
      </c>
      <c r="L911" s="12" t="n">
        <v>0</v>
      </c>
      <c r="M911" s="12" t="n">
        <v>5</v>
      </c>
      <c r="N911" s="27">
        <f>F911-J911</f>
        <v/>
      </c>
      <c r="O911" s="16">
        <f>I911-H911</f>
        <v/>
      </c>
      <c r="P911" s="14">
        <f>F911*G911</f>
        <v/>
      </c>
      <c r="Q911" s="14">
        <f>J911*G911</f>
        <v/>
      </c>
      <c r="R911" s="14">
        <f>K911-Q911</f>
        <v/>
      </c>
      <c r="S911" s="3">
        <f>P911*Assumptions!$B$3/100</f>
        <v/>
      </c>
      <c r="T911" s="14">
        <f>R911-S911</f>
        <v/>
      </c>
      <c r="U911" s="14">
        <f>L911*G911</f>
        <v/>
      </c>
    </row>
    <row r="912">
      <c r="A912" s="12" t="inlineStr">
        <is>
          <t>PO-2021-0910</t>
        </is>
      </c>
      <c r="B912" s="26" t="n">
        <v>44725</v>
      </c>
      <c r="C912" s="12" t="inlineStr">
        <is>
          <t>VS24</t>
        </is>
      </c>
      <c r="D912" s="12" t="inlineStr">
        <is>
          <t>MS Rods</t>
        </is>
      </c>
      <c r="E912" s="12" t="inlineStr">
        <is>
          <t>N</t>
        </is>
      </c>
      <c r="F912" s="12" t="n">
        <v>9.98</v>
      </c>
      <c r="G912" s="17" t="n">
        <v>113794.83</v>
      </c>
      <c r="H912" s="26" t="n">
        <v>44733</v>
      </c>
      <c r="I912" s="26" t="n">
        <v>44733</v>
      </c>
      <c r="J912" s="12" t="n">
        <v>9.92</v>
      </c>
      <c r="K912" s="17" t="n">
        <v>1135672.4</v>
      </c>
      <c r="L912" s="12" t="n">
        <v>0</v>
      </c>
      <c r="M912" s="12" t="n">
        <v>23</v>
      </c>
      <c r="N912" s="27">
        <f>F912-J912</f>
        <v/>
      </c>
      <c r="O912" s="16">
        <f>I912-H912</f>
        <v/>
      </c>
      <c r="P912" s="14">
        <f>F912*G912</f>
        <v/>
      </c>
      <c r="Q912" s="14">
        <f>J912*G912</f>
        <v/>
      </c>
      <c r="R912" s="14">
        <f>K912-Q912</f>
        <v/>
      </c>
      <c r="S912" s="3">
        <f>P912*Assumptions!$B$3/100</f>
        <v/>
      </c>
      <c r="T912" s="14">
        <f>R912-S912</f>
        <v/>
      </c>
      <c r="U912" s="14">
        <f>L912*G912</f>
        <v/>
      </c>
    </row>
    <row r="913">
      <c r="A913" s="12" t="inlineStr">
        <is>
          <t>PO-2021-0911</t>
        </is>
      </c>
      <c r="B913" s="26" t="n">
        <v>44862</v>
      </c>
      <c r="C913" s="12" t="inlineStr">
        <is>
          <t>VS30</t>
        </is>
      </c>
      <c r="D913" s="12" t="inlineStr">
        <is>
          <t>Structural Steel</t>
        </is>
      </c>
      <c r="E913" s="12" t="inlineStr">
        <is>
          <t>Y</t>
        </is>
      </c>
      <c r="F913" s="12" t="n">
        <v>2.48</v>
      </c>
      <c r="G913" s="17" t="n">
        <v>80650.08</v>
      </c>
      <c r="H913" s="26" t="n">
        <v>44870</v>
      </c>
      <c r="I913" s="26" t="n">
        <v>44873</v>
      </c>
      <c r="J913" s="12" t="n">
        <v>2.47</v>
      </c>
      <c r="K913" s="17" t="n">
        <v>200012.2</v>
      </c>
      <c r="L913" s="12" t="n">
        <v>0</v>
      </c>
      <c r="M913" s="12" t="n">
        <v>0</v>
      </c>
      <c r="N913" s="27">
        <f>F913-J913</f>
        <v/>
      </c>
      <c r="O913" s="16">
        <f>I913-H913</f>
        <v/>
      </c>
      <c r="P913" s="14">
        <f>F913*G913</f>
        <v/>
      </c>
      <c r="Q913" s="14">
        <f>J913*G913</f>
        <v/>
      </c>
      <c r="R913" s="14">
        <f>K913-Q913</f>
        <v/>
      </c>
      <c r="S913" s="3">
        <f>P913*Assumptions!$B$3/100</f>
        <v/>
      </c>
      <c r="T913" s="14">
        <f>R913-S913</f>
        <v/>
      </c>
      <c r="U913" s="14">
        <f>L913*G913</f>
        <v/>
      </c>
    </row>
    <row r="914">
      <c r="A914" s="12" t="inlineStr">
        <is>
          <t>PO-2021-0912</t>
        </is>
      </c>
      <c r="B914" s="26" t="n">
        <v>45177</v>
      </c>
      <c r="C914" s="12" t="inlineStr">
        <is>
          <t>VS30</t>
        </is>
      </c>
      <c r="D914" s="12" t="inlineStr">
        <is>
          <t>MS Sheets</t>
        </is>
      </c>
      <c r="E914" s="12" t="inlineStr">
        <is>
          <t>N</t>
        </is>
      </c>
      <c r="F914" s="12" t="n">
        <v>14.83</v>
      </c>
      <c r="G914" s="17" t="n">
        <v>71146.16</v>
      </c>
      <c r="H914" s="26" t="n">
        <v>45189</v>
      </c>
      <c r="I914" s="26" t="n">
        <v>45192</v>
      </c>
      <c r="J914" s="12" t="n">
        <v>14.81</v>
      </c>
      <c r="K914" s="17" t="n">
        <v>1055097.55</v>
      </c>
      <c r="L914" s="12" t="n">
        <v>0</v>
      </c>
      <c r="M914" s="12" t="n">
        <v>5</v>
      </c>
      <c r="N914" s="27">
        <f>F914-J914</f>
        <v/>
      </c>
      <c r="O914" s="16">
        <f>I914-H914</f>
        <v/>
      </c>
      <c r="P914" s="14">
        <f>F914*G914</f>
        <v/>
      </c>
      <c r="Q914" s="14">
        <f>J914*G914</f>
        <v/>
      </c>
      <c r="R914" s="14">
        <f>K914-Q914</f>
        <v/>
      </c>
      <c r="S914" s="3">
        <f>P914*Assumptions!$B$3/100</f>
        <v/>
      </c>
      <c r="T914" s="14">
        <f>R914-S914</f>
        <v/>
      </c>
      <c r="U914" s="14">
        <f>L914*G914</f>
        <v/>
      </c>
    </row>
    <row r="915">
      <c r="A915" s="12" t="inlineStr">
        <is>
          <t>PO-2021-0913</t>
        </is>
      </c>
      <c r="B915" s="26" t="n">
        <v>44457</v>
      </c>
      <c r="C915" s="12" t="inlineStr">
        <is>
          <t>VS33</t>
        </is>
      </c>
      <c r="D915" s="12" t="inlineStr">
        <is>
          <t>ERW Pipes</t>
        </is>
      </c>
      <c r="E915" s="12" t="inlineStr">
        <is>
          <t>Y</t>
        </is>
      </c>
      <c r="F915" s="12" t="n">
        <v>20.88</v>
      </c>
      <c r="G915" s="17" t="n">
        <v>98570.48</v>
      </c>
      <c r="H915" s="26" t="n">
        <v>44461</v>
      </c>
      <c r="I915" s="26" t="n">
        <v>44462</v>
      </c>
      <c r="J915" s="12" t="n">
        <v>20.78</v>
      </c>
      <c r="K915" s="17" t="n">
        <v>2058151.62</v>
      </c>
      <c r="L915" s="12" t="n">
        <v>0</v>
      </c>
      <c r="M915" s="12" t="n">
        <v>11</v>
      </c>
      <c r="N915" s="27">
        <f>F915-J915</f>
        <v/>
      </c>
      <c r="O915" s="16">
        <f>I915-H915</f>
        <v/>
      </c>
      <c r="P915" s="14">
        <f>F915*G915</f>
        <v/>
      </c>
      <c r="Q915" s="14">
        <f>J915*G915</f>
        <v/>
      </c>
      <c r="R915" s="14">
        <f>K915-Q915</f>
        <v/>
      </c>
      <c r="S915" s="3">
        <f>P915*Assumptions!$B$3/100</f>
        <v/>
      </c>
      <c r="T915" s="14">
        <f>R915-S915</f>
        <v/>
      </c>
      <c r="U915" s="14">
        <f>L915*G915</f>
        <v/>
      </c>
    </row>
    <row r="916">
      <c r="A916" s="12" t="inlineStr">
        <is>
          <t>PO-2021-0914</t>
        </is>
      </c>
      <c r="B916" s="26" t="n">
        <v>44864</v>
      </c>
      <c r="C916" s="12" t="inlineStr">
        <is>
          <t>VS05</t>
        </is>
      </c>
      <c r="D916" s="12" t="inlineStr">
        <is>
          <t>SS Sheets</t>
        </is>
      </c>
      <c r="E916" s="12" t="inlineStr">
        <is>
          <t>N</t>
        </is>
      </c>
      <c r="F916" s="12" t="n">
        <v>27.1</v>
      </c>
      <c r="G916" s="17" t="n">
        <v>75061.24000000001</v>
      </c>
      <c r="H916" s="26" t="n">
        <v>44873</v>
      </c>
      <c r="I916" s="26" t="n">
        <v>44876</v>
      </c>
      <c r="J916" s="12" t="n">
        <v>26.99</v>
      </c>
      <c r="K916" s="17" t="n">
        <v>2034159.6</v>
      </c>
      <c r="L916" s="12" t="n">
        <v>0</v>
      </c>
      <c r="M916" s="12" t="n">
        <v>23</v>
      </c>
      <c r="N916" s="27">
        <f>F916-J916</f>
        <v/>
      </c>
      <c r="O916" s="16">
        <f>I916-H916</f>
        <v/>
      </c>
      <c r="P916" s="14">
        <f>F916*G916</f>
        <v/>
      </c>
      <c r="Q916" s="14">
        <f>J916*G916</f>
        <v/>
      </c>
      <c r="R916" s="14">
        <f>K916-Q916</f>
        <v/>
      </c>
      <c r="S916" s="3">
        <f>P916*Assumptions!$B$3/100</f>
        <v/>
      </c>
      <c r="T916" s="14">
        <f>R916-S916</f>
        <v/>
      </c>
      <c r="U916" s="14">
        <f>L916*G916</f>
        <v/>
      </c>
    </row>
    <row r="917">
      <c r="A917" s="12" t="inlineStr">
        <is>
          <t>PO-2021-0915</t>
        </is>
      </c>
      <c r="B917" s="26" t="n">
        <v>44685</v>
      </c>
      <c r="C917" s="12" t="inlineStr">
        <is>
          <t>VS16</t>
        </is>
      </c>
      <c r="D917" s="12" t="inlineStr">
        <is>
          <t>Spring Steel</t>
        </is>
      </c>
      <c r="E917" s="12" t="inlineStr">
        <is>
          <t>N</t>
        </is>
      </c>
      <c r="F917" s="12" t="n">
        <v>8.789999999999999</v>
      </c>
      <c r="G917" s="17" t="n">
        <v>81178.10000000001</v>
      </c>
      <c r="H917" s="26" t="n">
        <v>44689</v>
      </c>
      <c r="I917" s="26" t="n">
        <v>44691</v>
      </c>
      <c r="J917" s="12" t="n">
        <v>8.75</v>
      </c>
      <c r="K917" s="17" t="n">
        <v>713555.5</v>
      </c>
      <c r="L917" s="12" t="n">
        <v>0</v>
      </c>
      <c r="M917" s="12" t="n">
        <v>0</v>
      </c>
      <c r="N917" s="27">
        <f>F917-J917</f>
        <v/>
      </c>
      <c r="O917" s="16">
        <f>I917-H917</f>
        <v/>
      </c>
      <c r="P917" s="14">
        <f>F917*G917</f>
        <v/>
      </c>
      <c r="Q917" s="14">
        <f>J917*G917</f>
        <v/>
      </c>
      <c r="R917" s="14">
        <f>K917-Q917</f>
        <v/>
      </c>
      <c r="S917" s="3">
        <f>P917*Assumptions!$B$3/100</f>
        <v/>
      </c>
      <c r="T917" s="14">
        <f>R917-S917</f>
        <v/>
      </c>
      <c r="U917" s="14">
        <f>L917*G917</f>
        <v/>
      </c>
    </row>
    <row r="918">
      <c r="A918" s="12" t="inlineStr">
        <is>
          <t>PO-2021-0916</t>
        </is>
      </c>
      <c r="B918" s="26" t="n">
        <v>44894</v>
      </c>
      <c r="C918" s="12" t="inlineStr">
        <is>
          <t>VS14</t>
        </is>
      </c>
      <c r="D918" s="12" t="inlineStr">
        <is>
          <t>GI Wire</t>
        </is>
      </c>
      <c r="E918" s="12" t="inlineStr">
        <is>
          <t>N</t>
        </is>
      </c>
      <c r="F918" s="12" t="n">
        <v>39.43</v>
      </c>
      <c r="G918" s="17" t="n">
        <v>77651.53</v>
      </c>
      <c r="H918" s="26" t="n">
        <v>44909</v>
      </c>
      <c r="I918" s="26" t="n">
        <v>44912</v>
      </c>
      <c r="J918" s="12" t="n">
        <v>39.23</v>
      </c>
      <c r="K918" s="17" t="n">
        <v>3061799.83</v>
      </c>
      <c r="L918" s="12" t="n">
        <v>0</v>
      </c>
      <c r="M918" s="12" t="n">
        <v>13</v>
      </c>
      <c r="N918" s="27">
        <f>F918-J918</f>
        <v/>
      </c>
      <c r="O918" s="16">
        <f>I918-H918</f>
        <v/>
      </c>
      <c r="P918" s="14">
        <f>F918*G918</f>
        <v/>
      </c>
      <c r="Q918" s="14">
        <f>J918*G918</f>
        <v/>
      </c>
      <c r="R918" s="14">
        <f>K918-Q918</f>
        <v/>
      </c>
      <c r="S918" s="3">
        <f>P918*Assumptions!$B$3/100</f>
        <v/>
      </c>
      <c r="T918" s="14">
        <f>R918-S918</f>
        <v/>
      </c>
      <c r="U918" s="14">
        <f>L918*G918</f>
        <v/>
      </c>
    </row>
    <row r="919">
      <c r="A919" s="12" t="inlineStr">
        <is>
          <t>PO-2021-0917</t>
        </is>
      </c>
      <c r="B919" s="26" t="n">
        <v>44897</v>
      </c>
      <c r="C919" s="12" t="inlineStr">
        <is>
          <t>VS16</t>
        </is>
      </c>
      <c r="D919" s="12" t="inlineStr">
        <is>
          <t>MS Sheets</t>
        </is>
      </c>
      <c r="E919" s="12" t="inlineStr">
        <is>
          <t>N</t>
        </is>
      </c>
      <c r="F919" s="12" t="n">
        <v>33.47</v>
      </c>
      <c r="G919" s="17" t="n">
        <v>50842.08</v>
      </c>
      <c r="H919" s="26" t="n">
        <v>44911</v>
      </c>
      <c r="I919" s="26" t="n">
        <v>44912</v>
      </c>
      <c r="J919" s="12" t="n">
        <v>33.2</v>
      </c>
      <c r="K919" s="17" t="n">
        <v>1701684.42</v>
      </c>
      <c r="L919" s="12" t="n">
        <v>0</v>
      </c>
      <c r="M919" s="12" t="n">
        <v>22</v>
      </c>
      <c r="N919" s="27">
        <f>F919-J919</f>
        <v/>
      </c>
      <c r="O919" s="16">
        <f>I919-H919</f>
        <v/>
      </c>
      <c r="P919" s="14">
        <f>F919*G919</f>
        <v/>
      </c>
      <c r="Q919" s="14">
        <f>J919*G919</f>
        <v/>
      </c>
      <c r="R919" s="14">
        <f>K919-Q919</f>
        <v/>
      </c>
      <c r="S919" s="3">
        <f>P919*Assumptions!$B$3/100</f>
        <v/>
      </c>
      <c r="T919" s="14">
        <f>R919-S919</f>
        <v/>
      </c>
      <c r="U919" s="14">
        <f>L919*G919</f>
        <v/>
      </c>
    </row>
    <row r="920">
      <c r="A920" s="12" t="inlineStr">
        <is>
          <t>PO-2021-0918</t>
        </is>
      </c>
      <c r="B920" s="26" t="n">
        <v>45193</v>
      </c>
      <c r="C920" s="12" t="inlineStr">
        <is>
          <t>VS08</t>
        </is>
      </c>
      <c r="D920" s="12" t="inlineStr">
        <is>
          <t>Fasteners &amp; Fittings</t>
        </is>
      </c>
      <c r="E920" s="12" t="inlineStr">
        <is>
          <t>N</t>
        </is>
      </c>
      <c r="F920" s="12" t="n">
        <v>16.94</v>
      </c>
      <c r="G920" s="17" t="n">
        <v>52324.04</v>
      </c>
      <c r="H920" s="26" t="n">
        <v>45203</v>
      </c>
      <c r="I920" s="26" t="n">
        <v>45203</v>
      </c>
      <c r="J920" s="12" t="n">
        <v>16.93</v>
      </c>
      <c r="K920" s="17" t="n">
        <v>886369.24</v>
      </c>
      <c r="L920" s="12" t="n">
        <v>0</v>
      </c>
      <c r="M920" s="12" t="n">
        <v>0</v>
      </c>
      <c r="N920" s="27">
        <f>F920-J920</f>
        <v/>
      </c>
      <c r="O920" s="16">
        <f>I920-H920</f>
        <v/>
      </c>
      <c r="P920" s="14">
        <f>F920*G920</f>
        <v/>
      </c>
      <c r="Q920" s="14">
        <f>J920*G920</f>
        <v/>
      </c>
      <c r="R920" s="14">
        <f>K920-Q920</f>
        <v/>
      </c>
      <c r="S920" s="3">
        <f>P920*Assumptions!$B$3/100</f>
        <v/>
      </c>
      <c r="T920" s="14">
        <f>R920-S920</f>
        <v/>
      </c>
      <c r="U920" s="14">
        <f>L920*G920</f>
        <v/>
      </c>
    </row>
    <row r="921">
      <c r="A921" s="12" t="inlineStr">
        <is>
          <t>PO-2021-0919</t>
        </is>
      </c>
      <c r="B921" s="26" t="n">
        <v>44557</v>
      </c>
      <c r="C921" s="12" t="inlineStr">
        <is>
          <t>VS20</t>
        </is>
      </c>
      <c r="D921" s="12" t="inlineStr">
        <is>
          <t>MS Rods</t>
        </is>
      </c>
      <c r="E921" s="12" t="inlineStr">
        <is>
          <t>N</t>
        </is>
      </c>
      <c r="F921" s="12" t="n">
        <v>4.41</v>
      </c>
      <c r="G921" s="17" t="n">
        <v>53155.85</v>
      </c>
      <c r="H921" s="26" t="n">
        <v>44569</v>
      </c>
      <c r="I921" s="26" t="n">
        <v>44571</v>
      </c>
      <c r="J921" s="12" t="n">
        <v>4.39</v>
      </c>
      <c r="K921" s="17" t="n">
        <v>234417.3</v>
      </c>
      <c r="L921" s="12" t="n">
        <v>0</v>
      </c>
      <c r="M921" s="12" t="n">
        <v>3</v>
      </c>
      <c r="N921" s="27">
        <f>F921-J921</f>
        <v/>
      </c>
      <c r="O921" s="16">
        <f>I921-H921</f>
        <v/>
      </c>
      <c r="P921" s="14">
        <f>F921*G921</f>
        <v/>
      </c>
      <c r="Q921" s="14">
        <f>J921*G921</f>
        <v/>
      </c>
      <c r="R921" s="14">
        <f>K921-Q921</f>
        <v/>
      </c>
      <c r="S921" s="3">
        <f>P921*Assumptions!$B$3/100</f>
        <v/>
      </c>
      <c r="T921" s="14">
        <f>R921-S921</f>
        <v/>
      </c>
      <c r="U921" s="14">
        <f>L921*G921</f>
        <v/>
      </c>
    </row>
    <row r="922">
      <c r="A922" s="12" t="inlineStr">
        <is>
          <t>PO-2021-0920</t>
        </is>
      </c>
      <c r="B922" s="26" t="n">
        <v>44973</v>
      </c>
      <c r="C922" s="12" t="inlineStr">
        <is>
          <t>VS21</t>
        </is>
      </c>
      <c r="D922" s="12" t="inlineStr">
        <is>
          <t>Structural Steel</t>
        </is>
      </c>
      <c r="E922" s="12" t="inlineStr">
        <is>
          <t>N</t>
        </is>
      </c>
      <c r="F922" s="12" t="n">
        <v>32.6</v>
      </c>
      <c r="G922" s="17" t="n">
        <v>49611.17</v>
      </c>
      <c r="H922" s="26" t="n">
        <v>44979</v>
      </c>
      <c r="I922" s="26" t="n">
        <v>44981</v>
      </c>
      <c r="J922" s="12" t="n">
        <v>32.45</v>
      </c>
      <c r="K922" s="17" t="n">
        <v>1617324.14</v>
      </c>
      <c r="L922" s="12" t="n">
        <v>0</v>
      </c>
      <c r="M922" s="12" t="n">
        <v>23</v>
      </c>
      <c r="N922" s="27">
        <f>F922-J922</f>
        <v/>
      </c>
      <c r="O922" s="16">
        <f>I922-H922</f>
        <v/>
      </c>
      <c r="P922" s="14">
        <f>F922*G922</f>
        <v/>
      </c>
      <c r="Q922" s="14">
        <f>J922*G922</f>
        <v/>
      </c>
      <c r="R922" s="14">
        <f>K922-Q922</f>
        <v/>
      </c>
      <c r="S922" s="3">
        <f>P922*Assumptions!$B$3/100</f>
        <v/>
      </c>
      <c r="T922" s="14">
        <f>R922-S922</f>
        <v/>
      </c>
      <c r="U922" s="14">
        <f>L922*G922</f>
        <v/>
      </c>
    </row>
    <row r="923">
      <c r="A923" s="12" t="inlineStr">
        <is>
          <t>PO-2021-0921</t>
        </is>
      </c>
      <c r="B923" s="26" t="n">
        <v>44481</v>
      </c>
      <c r="C923" s="12" t="inlineStr">
        <is>
          <t>VS01</t>
        </is>
      </c>
      <c r="D923" s="12" t="inlineStr">
        <is>
          <t>Square/Rect Tubes</t>
        </is>
      </c>
      <c r="E923" s="12" t="inlineStr">
        <is>
          <t>N</t>
        </is>
      </c>
      <c r="F923" s="12" t="n">
        <v>33.38</v>
      </c>
      <c r="G923" s="17" t="n">
        <v>78973.08</v>
      </c>
      <c r="H923" s="26" t="n">
        <v>44488</v>
      </c>
      <c r="I923" s="26" t="n">
        <v>44491</v>
      </c>
      <c r="J923" s="12" t="n">
        <v>33.06</v>
      </c>
      <c r="K923" s="17" t="n">
        <v>2636121.41</v>
      </c>
      <c r="L923" s="12" t="n">
        <v>0</v>
      </c>
      <c r="M923" s="12" t="n">
        <v>0</v>
      </c>
      <c r="N923" s="27">
        <f>F923-J923</f>
        <v/>
      </c>
      <c r="O923" s="16">
        <f>I923-H923</f>
        <v/>
      </c>
      <c r="P923" s="14">
        <f>F923*G923</f>
        <v/>
      </c>
      <c r="Q923" s="14">
        <f>J923*G923</f>
        <v/>
      </c>
      <c r="R923" s="14">
        <f>K923-Q923</f>
        <v/>
      </c>
      <c r="S923" s="3">
        <f>P923*Assumptions!$B$3/100</f>
        <v/>
      </c>
      <c r="T923" s="14">
        <f>R923-S923</f>
        <v/>
      </c>
      <c r="U923" s="14">
        <f>L923*G923</f>
        <v/>
      </c>
    </row>
    <row r="924">
      <c r="A924" s="12" t="inlineStr">
        <is>
          <t>PO-2021-0922</t>
        </is>
      </c>
      <c r="B924" s="26" t="n">
        <v>44995</v>
      </c>
      <c r="C924" s="12" t="inlineStr">
        <is>
          <t>VS29</t>
        </is>
      </c>
      <c r="D924" s="12" t="inlineStr">
        <is>
          <t>GI Sheets</t>
        </is>
      </c>
      <c r="E924" s="12" t="inlineStr">
        <is>
          <t>N</t>
        </is>
      </c>
      <c r="F924" s="12" t="n">
        <v>11.08</v>
      </c>
      <c r="G924" s="17" t="n">
        <v>110806.9</v>
      </c>
      <c r="H924" s="26" t="n">
        <v>45002</v>
      </c>
      <c r="I924" s="26" t="n">
        <v>45005</v>
      </c>
      <c r="J924" s="12" t="n">
        <v>11.07</v>
      </c>
      <c r="K924" s="17" t="n">
        <v>1227740.45</v>
      </c>
      <c r="L924" s="12" t="n">
        <v>0</v>
      </c>
      <c r="M924" s="12" t="n">
        <v>0</v>
      </c>
      <c r="N924" s="27">
        <f>F924-J924</f>
        <v/>
      </c>
      <c r="O924" s="16">
        <f>I924-H924</f>
        <v/>
      </c>
      <c r="P924" s="14">
        <f>F924*G924</f>
        <v/>
      </c>
      <c r="Q924" s="14">
        <f>J924*G924</f>
        <v/>
      </c>
      <c r="R924" s="14">
        <f>K924-Q924</f>
        <v/>
      </c>
      <c r="S924" s="3">
        <f>P924*Assumptions!$B$3/100</f>
        <v/>
      </c>
      <c r="T924" s="14">
        <f>R924-S924</f>
        <v/>
      </c>
      <c r="U924" s="14">
        <f>L924*G924</f>
        <v/>
      </c>
    </row>
    <row r="925">
      <c r="A925" s="12" t="inlineStr">
        <is>
          <t>PO-2021-0923</t>
        </is>
      </c>
      <c r="B925" s="26" t="n">
        <v>44820</v>
      </c>
      <c r="C925" s="12" t="inlineStr">
        <is>
          <t>VS28</t>
        </is>
      </c>
      <c r="D925" s="12" t="inlineStr">
        <is>
          <t>Angles &amp; Channels</t>
        </is>
      </c>
      <c r="E925" s="12" t="inlineStr">
        <is>
          <t>N</t>
        </is>
      </c>
      <c r="F925" s="12" t="n">
        <v>49.52</v>
      </c>
      <c r="G925" s="17" t="n">
        <v>88704.52</v>
      </c>
      <c r="H925" s="26" t="n">
        <v>44832</v>
      </c>
      <c r="I925" s="26" t="n">
        <v>44834</v>
      </c>
      <c r="J925" s="12" t="n">
        <v>49.49</v>
      </c>
      <c r="K925" s="17" t="n">
        <v>4392647.83</v>
      </c>
      <c r="L925" s="12" t="n">
        <v>0</v>
      </c>
      <c r="M925" s="12" t="n">
        <v>0</v>
      </c>
      <c r="N925" s="27">
        <f>F925-J925</f>
        <v/>
      </c>
      <c r="O925" s="16">
        <f>I925-H925</f>
        <v/>
      </c>
      <c r="P925" s="14">
        <f>F925*G925</f>
        <v/>
      </c>
      <c r="Q925" s="14">
        <f>J925*G925</f>
        <v/>
      </c>
      <c r="R925" s="14">
        <f>K925-Q925</f>
        <v/>
      </c>
      <c r="S925" s="3">
        <f>P925*Assumptions!$B$3/100</f>
        <v/>
      </c>
      <c r="T925" s="14">
        <f>R925-S925</f>
        <v/>
      </c>
      <c r="U925" s="14">
        <f>L925*G925</f>
        <v/>
      </c>
    </row>
    <row r="926">
      <c r="A926" s="12" t="inlineStr">
        <is>
          <t>PO-2021-0924</t>
        </is>
      </c>
      <c r="B926" s="26" t="n">
        <v>45242</v>
      </c>
      <c r="C926" s="12" t="inlineStr">
        <is>
          <t>VS26</t>
        </is>
      </c>
      <c r="D926" s="12" t="inlineStr">
        <is>
          <t>Square/Rect Tubes</t>
        </is>
      </c>
      <c r="E926" s="12" t="inlineStr">
        <is>
          <t>N</t>
        </is>
      </c>
      <c r="F926" s="12" t="n">
        <v>42.77</v>
      </c>
      <c r="G926" s="17" t="n">
        <v>49680.79</v>
      </c>
      <c r="H926" s="26" t="n">
        <v>45253</v>
      </c>
      <c r="I926" s="26" t="n">
        <v>45255</v>
      </c>
      <c r="J926" s="12" t="n">
        <v>42.75</v>
      </c>
      <c r="K926" s="17" t="n">
        <v>2124847.39</v>
      </c>
      <c r="L926" s="12" t="n">
        <v>0</v>
      </c>
      <c r="M926" s="12" t="n">
        <v>0</v>
      </c>
      <c r="N926" s="27">
        <f>F926-J926</f>
        <v/>
      </c>
      <c r="O926" s="16">
        <f>I926-H926</f>
        <v/>
      </c>
      <c r="P926" s="14">
        <f>F926*G926</f>
        <v/>
      </c>
      <c r="Q926" s="14">
        <f>J926*G926</f>
        <v/>
      </c>
      <c r="R926" s="14">
        <f>K926-Q926</f>
        <v/>
      </c>
      <c r="S926" s="3">
        <f>P926*Assumptions!$B$3/100</f>
        <v/>
      </c>
      <c r="T926" s="14">
        <f>R926-S926</f>
        <v/>
      </c>
      <c r="U926" s="14">
        <f>L926*G926</f>
        <v/>
      </c>
    </row>
    <row r="927">
      <c r="A927" s="12" t="inlineStr">
        <is>
          <t>PO-2021-0925</t>
        </is>
      </c>
      <c r="B927" s="26" t="n">
        <v>44305</v>
      </c>
      <c r="C927" s="12" t="inlineStr">
        <is>
          <t>VS01</t>
        </is>
      </c>
      <c r="D927" s="12" t="inlineStr">
        <is>
          <t>Spring Steel</t>
        </is>
      </c>
      <c r="E927" s="12" t="inlineStr">
        <is>
          <t>N</t>
        </is>
      </c>
      <c r="F927" s="12" t="n">
        <v>41.22</v>
      </c>
      <c r="G927" s="17" t="n">
        <v>71943.35000000001</v>
      </c>
      <c r="H927" s="26" t="n">
        <v>44312</v>
      </c>
      <c r="I927" s="26" t="n">
        <v>44314</v>
      </c>
      <c r="J927" s="12" t="n">
        <v>40.82</v>
      </c>
      <c r="K927" s="17" t="n">
        <v>2965504.89</v>
      </c>
      <c r="L927" s="12" t="n">
        <v>0</v>
      </c>
      <c r="M927" s="12" t="n">
        <v>0</v>
      </c>
      <c r="N927" s="27">
        <f>F927-J927</f>
        <v/>
      </c>
      <c r="O927" s="16">
        <f>I927-H927</f>
        <v/>
      </c>
      <c r="P927" s="14">
        <f>F927*G927</f>
        <v/>
      </c>
      <c r="Q927" s="14">
        <f>J927*G927</f>
        <v/>
      </c>
      <c r="R927" s="14">
        <f>K927-Q927</f>
        <v/>
      </c>
      <c r="S927" s="3">
        <f>P927*Assumptions!$B$3/100</f>
        <v/>
      </c>
      <c r="T927" s="14">
        <f>R927-S927</f>
        <v/>
      </c>
      <c r="U927" s="14">
        <f>L927*G927</f>
        <v/>
      </c>
    </row>
    <row r="928">
      <c r="A928" s="12" t="inlineStr">
        <is>
          <t>PO-2021-0926</t>
        </is>
      </c>
      <c r="B928" s="26" t="n">
        <v>44260</v>
      </c>
      <c r="C928" s="12" t="inlineStr">
        <is>
          <t>VS16</t>
        </is>
      </c>
      <c r="D928" s="12" t="inlineStr">
        <is>
          <t>GI Wire</t>
        </is>
      </c>
      <c r="E928" s="12" t="inlineStr">
        <is>
          <t>N</t>
        </is>
      </c>
      <c r="F928" s="12" t="n">
        <v>35.41</v>
      </c>
      <c r="G928" s="17" t="n">
        <v>74570.12</v>
      </c>
      <c r="H928" s="26" t="n">
        <v>44268</v>
      </c>
      <c r="I928" s="26" t="n">
        <v>44268</v>
      </c>
      <c r="J928" s="12" t="n">
        <v>35.28</v>
      </c>
      <c r="K928" s="17" t="n">
        <v>2640527.95</v>
      </c>
      <c r="L928" s="12" t="n">
        <v>0</v>
      </c>
      <c r="M928" s="12" t="n">
        <v>4</v>
      </c>
      <c r="N928" s="27">
        <f>F928-J928</f>
        <v/>
      </c>
      <c r="O928" s="16">
        <f>I928-H928</f>
        <v/>
      </c>
      <c r="P928" s="14">
        <f>F928*G928</f>
        <v/>
      </c>
      <c r="Q928" s="14">
        <f>J928*G928</f>
        <v/>
      </c>
      <c r="R928" s="14">
        <f>K928-Q928</f>
        <v/>
      </c>
      <c r="S928" s="3">
        <f>P928*Assumptions!$B$3/100</f>
        <v/>
      </c>
      <c r="T928" s="14">
        <f>R928-S928</f>
        <v/>
      </c>
      <c r="U928" s="14">
        <f>L928*G928</f>
        <v/>
      </c>
    </row>
    <row r="929">
      <c r="A929" s="12" t="inlineStr">
        <is>
          <t>PO-2021-0927</t>
        </is>
      </c>
      <c r="B929" s="26" t="n">
        <v>44980</v>
      </c>
      <c r="C929" s="12" t="inlineStr">
        <is>
          <t>VS26</t>
        </is>
      </c>
      <c r="D929" s="12" t="inlineStr">
        <is>
          <t>MS Rods</t>
        </is>
      </c>
      <c r="E929" s="12" t="inlineStr">
        <is>
          <t>N</t>
        </is>
      </c>
      <c r="F929" s="12" t="n">
        <v>22.32</v>
      </c>
      <c r="G929" s="17" t="n">
        <v>60841.21</v>
      </c>
      <c r="H929" s="26" t="n">
        <v>44985</v>
      </c>
      <c r="I929" s="26" t="n">
        <v>44987</v>
      </c>
      <c r="J929" s="12" t="n">
        <v>22.14</v>
      </c>
      <c r="K929" s="17" t="n">
        <v>1357975.81</v>
      </c>
      <c r="L929" s="12" t="n">
        <v>0</v>
      </c>
      <c r="M929" s="12" t="n">
        <v>2</v>
      </c>
      <c r="N929" s="27">
        <f>F929-J929</f>
        <v/>
      </c>
      <c r="O929" s="16">
        <f>I929-H929</f>
        <v/>
      </c>
      <c r="P929" s="14">
        <f>F929*G929</f>
        <v/>
      </c>
      <c r="Q929" s="14">
        <f>J929*G929</f>
        <v/>
      </c>
      <c r="R929" s="14">
        <f>K929-Q929</f>
        <v/>
      </c>
      <c r="S929" s="3">
        <f>P929*Assumptions!$B$3/100</f>
        <v/>
      </c>
      <c r="T929" s="14">
        <f>R929-S929</f>
        <v/>
      </c>
      <c r="U929" s="14">
        <f>L929*G929</f>
        <v/>
      </c>
    </row>
    <row r="930">
      <c r="A930" s="12" t="inlineStr">
        <is>
          <t>PO-2021-0928</t>
        </is>
      </c>
      <c r="B930" s="26" t="n">
        <v>45169</v>
      </c>
      <c r="C930" s="12" t="inlineStr">
        <is>
          <t>VS09</t>
        </is>
      </c>
      <c r="D930" s="12" t="inlineStr">
        <is>
          <t>GI Sheets</t>
        </is>
      </c>
      <c r="E930" s="12" t="inlineStr">
        <is>
          <t>N</t>
        </is>
      </c>
      <c r="F930" s="12" t="n">
        <v>28.22</v>
      </c>
      <c r="G930" s="17" t="n">
        <v>108249.58</v>
      </c>
      <c r="H930" s="26" t="n">
        <v>45177</v>
      </c>
      <c r="I930" s="26" t="n">
        <v>45178</v>
      </c>
      <c r="J930" s="12" t="n">
        <v>28.2</v>
      </c>
      <c r="K930" s="17" t="n">
        <v>3054803.15</v>
      </c>
      <c r="L930" s="12" t="n">
        <v>0</v>
      </c>
      <c r="M930" s="12" t="n">
        <v>22</v>
      </c>
      <c r="N930" s="27">
        <f>F930-J930</f>
        <v/>
      </c>
      <c r="O930" s="16">
        <f>I930-H930</f>
        <v/>
      </c>
      <c r="P930" s="14">
        <f>F930*G930</f>
        <v/>
      </c>
      <c r="Q930" s="14">
        <f>J930*G930</f>
        <v/>
      </c>
      <c r="R930" s="14">
        <f>K930-Q930</f>
        <v/>
      </c>
      <c r="S930" s="3">
        <f>P930*Assumptions!$B$3/100</f>
        <v/>
      </c>
      <c r="T930" s="14">
        <f>R930-S930</f>
        <v/>
      </c>
      <c r="U930" s="14">
        <f>L930*G930</f>
        <v/>
      </c>
    </row>
    <row r="931">
      <c r="A931" s="12" t="inlineStr">
        <is>
          <t>PO-2021-0929</t>
        </is>
      </c>
      <c r="B931" s="26" t="n">
        <v>45051</v>
      </c>
      <c r="C931" s="12" t="inlineStr">
        <is>
          <t>VS10</t>
        </is>
      </c>
      <c r="D931" s="12" t="inlineStr">
        <is>
          <t>SS Sheets</t>
        </is>
      </c>
      <c r="E931" s="12" t="inlineStr">
        <is>
          <t>N</t>
        </is>
      </c>
      <c r="F931" s="12" t="n">
        <v>49.88</v>
      </c>
      <c r="G931" s="17" t="n">
        <v>95254.96000000001</v>
      </c>
      <c r="H931" s="26" t="n">
        <v>45056</v>
      </c>
      <c r="I931" s="26" t="n">
        <v>45057</v>
      </c>
      <c r="J931" s="12" t="n">
        <v>49.81</v>
      </c>
      <c r="K931" s="17" t="n">
        <v>4751317.4</v>
      </c>
      <c r="L931" s="12" t="n">
        <v>0</v>
      </c>
      <c r="M931" s="12" t="n">
        <v>0</v>
      </c>
      <c r="N931" s="27">
        <f>F931-J931</f>
        <v/>
      </c>
      <c r="O931" s="16">
        <f>I931-H931</f>
        <v/>
      </c>
      <c r="P931" s="14">
        <f>F931*G931</f>
        <v/>
      </c>
      <c r="Q931" s="14">
        <f>J931*G931</f>
        <v/>
      </c>
      <c r="R931" s="14">
        <f>K931-Q931</f>
        <v/>
      </c>
      <c r="S931" s="3">
        <f>P931*Assumptions!$B$3/100</f>
        <v/>
      </c>
      <c r="T931" s="14">
        <f>R931-S931</f>
        <v/>
      </c>
      <c r="U931" s="14">
        <f>L931*G931</f>
        <v/>
      </c>
    </row>
    <row r="932">
      <c r="A932" s="12" t="inlineStr">
        <is>
          <t>PO-2021-0930</t>
        </is>
      </c>
      <c r="B932" s="26" t="n">
        <v>44220</v>
      </c>
      <c r="C932" s="12" t="inlineStr">
        <is>
          <t>VS05</t>
        </is>
      </c>
      <c r="D932" s="12" t="inlineStr">
        <is>
          <t>MS Pipes</t>
        </is>
      </c>
      <c r="E932" s="12" t="inlineStr">
        <is>
          <t>N</t>
        </is>
      </c>
      <c r="F932" s="12" t="n">
        <v>8.06</v>
      </c>
      <c r="G932" s="17" t="n">
        <v>111366.65</v>
      </c>
      <c r="H932" s="26" t="n">
        <v>44233</v>
      </c>
      <c r="I932" s="26" t="n">
        <v>44233</v>
      </c>
      <c r="J932" s="12" t="n">
        <v>8.039999999999999</v>
      </c>
      <c r="K932" s="17" t="n">
        <v>897615.2</v>
      </c>
      <c r="L932" s="12" t="n">
        <v>0</v>
      </c>
      <c r="M932" s="12" t="n">
        <v>9</v>
      </c>
      <c r="N932" s="27">
        <f>F932-J932</f>
        <v/>
      </c>
      <c r="O932" s="16">
        <f>I932-H932</f>
        <v/>
      </c>
      <c r="P932" s="14">
        <f>F932*G932</f>
        <v/>
      </c>
      <c r="Q932" s="14">
        <f>J932*G932</f>
        <v/>
      </c>
      <c r="R932" s="14">
        <f>K932-Q932</f>
        <v/>
      </c>
      <c r="S932" s="3">
        <f>P932*Assumptions!$B$3/100</f>
        <v/>
      </c>
      <c r="T932" s="14">
        <f>R932-S932</f>
        <v/>
      </c>
      <c r="U932" s="14">
        <f>L932*G932</f>
        <v/>
      </c>
    </row>
    <row r="933">
      <c r="A933" s="12" t="inlineStr">
        <is>
          <t>PO-2021-0931</t>
        </is>
      </c>
      <c r="B933" s="26" t="n">
        <v>45091</v>
      </c>
      <c r="C933" s="12" t="inlineStr">
        <is>
          <t>VS09</t>
        </is>
      </c>
      <c r="D933" s="12" t="inlineStr">
        <is>
          <t>SS Pipes</t>
        </is>
      </c>
      <c r="E933" s="12" t="inlineStr">
        <is>
          <t>Y</t>
        </is>
      </c>
      <c r="F933" s="12" t="n">
        <v>7.72</v>
      </c>
      <c r="G933" s="17" t="n">
        <v>105445.62</v>
      </c>
      <c r="H933" s="26" t="n">
        <v>45101</v>
      </c>
      <c r="I933" s="26" t="n">
        <v>45104</v>
      </c>
      <c r="J933" s="12" t="n">
        <v>7.65</v>
      </c>
      <c r="K933" s="17" t="n">
        <v>814040.1899999999</v>
      </c>
      <c r="L933" s="12" t="n">
        <v>0</v>
      </c>
      <c r="M933" s="12" t="n">
        <v>7</v>
      </c>
      <c r="N933" s="27">
        <f>F933-J933</f>
        <v/>
      </c>
      <c r="O933" s="16">
        <f>I933-H933</f>
        <v/>
      </c>
      <c r="P933" s="14">
        <f>F933*G933</f>
        <v/>
      </c>
      <c r="Q933" s="14">
        <f>J933*G933</f>
        <v/>
      </c>
      <c r="R933" s="14">
        <f>K933-Q933</f>
        <v/>
      </c>
      <c r="S933" s="3">
        <f>P933*Assumptions!$B$3/100</f>
        <v/>
      </c>
      <c r="T933" s="14">
        <f>R933-S933</f>
        <v/>
      </c>
      <c r="U933" s="14">
        <f>L933*G933</f>
        <v/>
      </c>
    </row>
    <row r="934">
      <c r="A934" s="12" t="inlineStr">
        <is>
          <t>PO-2021-0932</t>
        </is>
      </c>
      <c r="B934" s="26" t="n">
        <v>45068</v>
      </c>
      <c r="C934" s="12" t="inlineStr">
        <is>
          <t>VS12</t>
        </is>
      </c>
      <c r="D934" s="12" t="inlineStr">
        <is>
          <t>Fasteners &amp; Fittings</t>
        </is>
      </c>
      <c r="E934" s="12" t="inlineStr">
        <is>
          <t>N</t>
        </is>
      </c>
      <c r="F934" s="12" t="n">
        <v>25.96</v>
      </c>
      <c r="G934" s="17" t="n">
        <v>89859.89999999999</v>
      </c>
      <c r="H934" s="26" t="n">
        <v>45078</v>
      </c>
      <c r="I934" s="26" t="n">
        <v>45084</v>
      </c>
      <c r="J934" s="12" t="n">
        <v>24.84</v>
      </c>
      <c r="K934" s="17" t="n">
        <v>2332763</v>
      </c>
      <c r="L934" s="12" t="n">
        <v>0.44</v>
      </c>
      <c r="M934" s="12" t="n">
        <v>15</v>
      </c>
      <c r="N934" s="27">
        <f>F934-J934</f>
        <v/>
      </c>
      <c r="O934" s="16">
        <f>I934-H934</f>
        <v/>
      </c>
      <c r="P934" s="14">
        <f>F934*G934</f>
        <v/>
      </c>
      <c r="Q934" s="14">
        <f>J934*G934</f>
        <v/>
      </c>
      <c r="R934" s="14">
        <f>K934-Q934</f>
        <v/>
      </c>
      <c r="S934" s="3">
        <f>P934*Assumptions!$B$3/100</f>
        <v/>
      </c>
      <c r="T934" s="14">
        <f>R934-S934</f>
        <v/>
      </c>
      <c r="U934" s="14">
        <f>L934*G934</f>
        <v/>
      </c>
    </row>
    <row r="935">
      <c r="A935" s="12" t="inlineStr">
        <is>
          <t>PO-2021-0933</t>
        </is>
      </c>
      <c r="B935" s="26" t="n">
        <v>44984</v>
      </c>
      <c r="C935" s="12" t="inlineStr">
        <is>
          <t>VS23</t>
        </is>
      </c>
      <c r="D935" s="12" t="inlineStr">
        <is>
          <t>HR Coils</t>
        </is>
      </c>
      <c r="E935" s="12" t="inlineStr">
        <is>
          <t>Y</t>
        </is>
      </c>
      <c r="F935" s="12" t="n">
        <v>10.1</v>
      </c>
      <c r="G935" s="17" t="n">
        <v>90342.99000000001</v>
      </c>
      <c r="H935" s="26" t="n">
        <v>44996</v>
      </c>
      <c r="I935" s="26" t="n">
        <v>44996</v>
      </c>
      <c r="J935" s="12" t="n">
        <v>10.03</v>
      </c>
      <c r="K935" s="17" t="n">
        <v>912464.2</v>
      </c>
      <c r="L935" s="12" t="n">
        <v>0</v>
      </c>
      <c r="M935" s="12" t="n">
        <v>0</v>
      </c>
      <c r="N935" s="27">
        <f>F935-J935</f>
        <v/>
      </c>
      <c r="O935" s="16">
        <f>I935-H935</f>
        <v/>
      </c>
      <c r="P935" s="14">
        <f>F935*G935</f>
        <v/>
      </c>
      <c r="Q935" s="14">
        <f>J935*G935</f>
        <v/>
      </c>
      <c r="R935" s="14">
        <f>K935-Q935</f>
        <v/>
      </c>
      <c r="S935" s="3">
        <f>P935*Assumptions!$B$3/100</f>
        <v/>
      </c>
      <c r="T935" s="14">
        <f>R935-S935</f>
        <v/>
      </c>
      <c r="U935" s="14">
        <f>L935*G935</f>
        <v/>
      </c>
    </row>
    <row r="936">
      <c r="A936" s="12" t="inlineStr">
        <is>
          <t>PO-2021-0934</t>
        </is>
      </c>
      <c r="B936" s="26" t="n">
        <v>45217</v>
      </c>
      <c r="C936" s="12" t="inlineStr">
        <is>
          <t>VS16</t>
        </is>
      </c>
      <c r="D936" s="12" t="inlineStr">
        <is>
          <t>Hex Bars</t>
        </is>
      </c>
      <c r="E936" s="12" t="inlineStr">
        <is>
          <t>N</t>
        </is>
      </c>
      <c r="F936" s="12" t="n">
        <v>14.19</v>
      </c>
      <c r="G936" s="17" t="n">
        <v>114492.33</v>
      </c>
      <c r="H936" s="26" t="n">
        <v>45229</v>
      </c>
      <c r="I936" s="26" t="n">
        <v>45229</v>
      </c>
      <c r="J936" s="12" t="n">
        <v>14.05</v>
      </c>
      <c r="K936" s="17" t="n">
        <v>1624646.16</v>
      </c>
      <c r="L936" s="12" t="n">
        <v>0</v>
      </c>
      <c r="M936" s="12" t="n">
        <v>0</v>
      </c>
      <c r="N936" s="27">
        <f>F936-J936</f>
        <v/>
      </c>
      <c r="O936" s="16">
        <f>I936-H936</f>
        <v/>
      </c>
      <c r="P936" s="14">
        <f>F936*G936</f>
        <v/>
      </c>
      <c r="Q936" s="14">
        <f>J936*G936</f>
        <v/>
      </c>
      <c r="R936" s="14">
        <f>K936-Q936</f>
        <v/>
      </c>
      <c r="S936" s="3">
        <f>P936*Assumptions!$B$3/100</f>
        <v/>
      </c>
      <c r="T936" s="14">
        <f>R936-S936</f>
        <v/>
      </c>
      <c r="U936" s="14">
        <f>L936*G936</f>
        <v/>
      </c>
    </row>
    <row r="937">
      <c r="A937" s="12" t="inlineStr">
        <is>
          <t>PO-2021-0935</t>
        </is>
      </c>
      <c r="B937" s="26" t="n">
        <v>44948</v>
      </c>
      <c r="C937" s="12" t="inlineStr">
        <is>
          <t>VS03</t>
        </is>
      </c>
      <c r="D937" s="12" t="inlineStr">
        <is>
          <t>GI Pipes</t>
        </is>
      </c>
      <c r="E937" s="12" t="inlineStr">
        <is>
          <t>N</t>
        </is>
      </c>
      <c r="F937" s="12" t="n">
        <v>28.84</v>
      </c>
      <c r="G937" s="17" t="n">
        <v>101780.84</v>
      </c>
      <c r="H937" s="26" t="n">
        <v>44952</v>
      </c>
      <c r="I937" s="26" t="n">
        <v>44954</v>
      </c>
      <c r="J937" s="12" t="n">
        <v>27.71</v>
      </c>
      <c r="K937" s="17" t="n">
        <v>2935359.43</v>
      </c>
      <c r="L937" s="12" t="n">
        <v>0.3</v>
      </c>
      <c r="M937" s="12" t="n">
        <v>9</v>
      </c>
      <c r="N937" s="27">
        <f>F937-J937</f>
        <v/>
      </c>
      <c r="O937" s="16">
        <f>I937-H937</f>
        <v/>
      </c>
      <c r="P937" s="14">
        <f>F937*G937</f>
        <v/>
      </c>
      <c r="Q937" s="14">
        <f>J937*G937</f>
        <v/>
      </c>
      <c r="R937" s="14">
        <f>K937-Q937</f>
        <v/>
      </c>
      <c r="S937" s="3">
        <f>P937*Assumptions!$B$3/100</f>
        <v/>
      </c>
      <c r="T937" s="14">
        <f>R937-S937</f>
        <v/>
      </c>
      <c r="U937" s="14">
        <f>L937*G937</f>
        <v/>
      </c>
    </row>
    <row r="938">
      <c r="A938" s="12" t="inlineStr">
        <is>
          <t>PO-2021-0936</t>
        </is>
      </c>
      <c r="B938" s="26" t="n">
        <v>45183</v>
      </c>
      <c r="C938" s="12" t="inlineStr">
        <is>
          <t>VS06</t>
        </is>
      </c>
      <c r="D938" s="12" t="inlineStr">
        <is>
          <t>Square/Rect Tubes</t>
        </is>
      </c>
      <c r="E938" s="12" t="inlineStr">
        <is>
          <t>N</t>
        </is>
      </c>
      <c r="F938" s="12" t="n">
        <v>36.78</v>
      </c>
      <c r="G938" s="17" t="n">
        <v>84480.60000000001</v>
      </c>
      <c r="H938" s="26" t="n">
        <v>45198</v>
      </c>
      <c r="I938" s="26" t="n">
        <v>45200</v>
      </c>
      <c r="J938" s="12" t="n">
        <v>36.72</v>
      </c>
      <c r="K938" s="17" t="n">
        <v>3107196.47</v>
      </c>
      <c r="L938" s="12" t="n">
        <v>0</v>
      </c>
      <c r="M938" s="12" t="n">
        <v>19</v>
      </c>
      <c r="N938" s="27">
        <f>F938-J938</f>
        <v/>
      </c>
      <c r="O938" s="16">
        <f>I938-H938</f>
        <v/>
      </c>
      <c r="P938" s="14">
        <f>F938*G938</f>
        <v/>
      </c>
      <c r="Q938" s="14">
        <f>J938*G938</f>
        <v/>
      </c>
      <c r="R938" s="14">
        <f>K938-Q938</f>
        <v/>
      </c>
      <c r="S938" s="3">
        <f>P938*Assumptions!$B$3/100</f>
        <v/>
      </c>
      <c r="T938" s="14">
        <f>R938-S938</f>
        <v/>
      </c>
      <c r="U938" s="14">
        <f>L938*G938</f>
        <v/>
      </c>
    </row>
    <row r="939">
      <c r="A939" s="12" t="inlineStr">
        <is>
          <t>PO-2021-0937</t>
        </is>
      </c>
      <c r="B939" s="26" t="n">
        <v>44769</v>
      </c>
      <c r="C939" s="12" t="inlineStr">
        <is>
          <t>VS30</t>
        </is>
      </c>
      <c r="D939" s="12" t="inlineStr">
        <is>
          <t>Hex Bars</t>
        </is>
      </c>
      <c r="E939" s="12" t="inlineStr">
        <is>
          <t>N</t>
        </is>
      </c>
      <c r="F939" s="12" t="n">
        <v>4.83</v>
      </c>
      <c r="G939" s="17" t="n">
        <v>111743.66</v>
      </c>
      <c r="H939" s="26" t="n">
        <v>44773</v>
      </c>
      <c r="I939" s="26" t="n">
        <v>44775</v>
      </c>
      <c r="J939" s="12" t="n">
        <v>4.8</v>
      </c>
      <c r="K939" s="17" t="n">
        <v>539721.88</v>
      </c>
      <c r="L939" s="12" t="n">
        <v>0</v>
      </c>
      <c r="M939" s="12" t="n">
        <v>14</v>
      </c>
      <c r="N939" s="27">
        <f>F939-J939</f>
        <v/>
      </c>
      <c r="O939" s="16">
        <f>I939-H939</f>
        <v/>
      </c>
      <c r="P939" s="14">
        <f>F939*G939</f>
        <v/>
      </c>
      <c r="Q939" s="14">
        <f>J939*G939</f>
        <v/>
      </c>
      <c r="R939" s="14">
        <f>K939-Q939</f>
        <v/>
      </c>
      <c r="S939" s="3">
        <f>P939*Assumptions!$B$3/100</f>
        <v/>
      </c>
      <c r="T939" s="14">
        <f>R939-S939</f>
        <v/>
      </c>
      <c r="U939" s="14">
        <f>L939*G939</f>
        <v/>
      </c>
    </row>
    <row r="940">
      <c r="A940" s="12" t="inlineStr">
        <is>
          <t>PO-2021-0938</t>
        </is>
      </c>
      <c r="B940" s="26" t="n">
        <v>44699</v>
      </c>
      <c r="C940" s="12" t="inlineStr">
        <is>
          <t>VS31</t>
        </is>
      </c>
      <c r="D940" s="12" t="inlineStr">
        <is>
          <t>SS Pipes</t>
        </is>
      </c>
      <c r="E940" s="12" t="inlineStr">
        <is>
          <t>N</t>
        </is>
      </c>
      <c r="F940" s="12" t="n">
        <v>34.52</v>
      </c>
      <c r="G940" s="17" t="n">
        <v>85439.78999999999</v>
      </c>
      <c r="H940" s="26" t="n">
        <v>44711</v>
      </c>
      <c r="I940" s="26" t="n">
        <v>44712</v>
      </c>
      <c r="J940" s="12" t="n">
        <v>34.39</v>
      </c>
      <c r="K940" s="17" t="n">
        <v>2949381.55</v>
      </c>
      <c r="L940" s="12" t="n">
        <v>0</v>
      </c>
      <c r="M940" s="12" t="n">
        <v>7</v>
      </c>
      <c r="N940" s="27">
        <f>F940-J940</f>
        <v/>
      </c>
      <c r="O940" s="16">
        <f>I940-H940</f>
        <v/>
      </c>
      <c r="P940" s="14">
        <f>F940*G940</f>
        <v/>
      </c>
      <c r="Q940" s="14">
        <f>J940*G940</f>
        <v/>
      </c>
      <c r="R940" s="14">
        <f>K940-Q940</f>
        <v/>
      </c>
      <c r="S940" s="3">
        <f>P940*Assumptions!$B$3/100</f>
        <v/>
      </c>
      <c r="T940" s="14">
        <f>R940-S940</f>
        <v/>
      </c>
      <c r="U940" s="14">
        <f>L940*G940</f>
        <v/>
      </c>
    </row>
    <row r="941">
      <c r="A941" s="12" t="inlineStr">
        <is>
          <t>PO-2021-0939</t>
        </is>
      </c>
      <c r="B941" s="26" t="n">
        <v>44836</v>
      </c>
      <c r="C941" s="12" t="inlineStr">
        <is>
          <t>VS04</t>
        </is>
      </c>
      <c r="D941" s="12" t="inlineStr">
        <is>
          <t>MS Flats</t>
        </is>
      </c>
      <c r="E941" s="12" t="inlineStr">
        <is>
          <t>N</t>
        </is>
      </c>
      <c r="F941" s="12" t="n">
        <v>27.22</v>
      </c>
      <c r="G941" s="17" t="n">
        <v>45808.76</v>
      </c>
      <c r="H941" s="26" t="n">
        <v>44846</v>
      </c>
      <c r="I941" s="26" t="n">
        <v>44849</v>
      </c>
      <c r="J941" s="12" t="n">
        <v>26.99</v>
      </c>
      <c r="K941" s="17" t="n">
        <v>1246914.45</v>
      </c>
      <c r="L941" s="12" t="n">
        <v>0</v>
      </c>
      <c r="M941" s="12" t="n">
        <v>0</v>
      </c>
      <c r="N941" s="27">
        <f>F941-J941</f>
        <v/>
      </c>
      <c r="O941" s="16">
        <f>I941-H941</f>
        <v/>
      </c>
      <c r="P941" s="14">
        <f>F941*G941</f>
        <v/>
      </c>
      <c r="Q941" s="14">
        <f>J941*G941</f>
        <v/>
      </c>
      <c r="R941" s="14">
        <f>K941-Q941</f>
        <v/>
      </c>
      <c r="S941" s="3">
        <f>P941*Assumptions!$B$3/100</f>
        <v/>
      </c>
      <c r="T941" s="14">
        <f>R941-S941</f>
        <v/>
      </c>
      <c r="U941" s="14">
        <f>L941*G941</f>
        <v/>
      </c>
    </row>
    <row r="942">
      <c r="A942" s="12" t="inlineStr">
        <is>
          <t>PO-2021-0940</t>
        </is>
      </c>
      <c r="B942" s="26" t="n">
        <v>45246</v>
      </c>
      <c r="C942" s="12" t="inlineStr">
        <is>
          <t>VS31</t>
        </is>
      </c>
      <c r="D942" s="12" t="inlineStr">
        <is>
          <t>MS Flats</t>
        </is>
      </c>
      <c r="E942" s="12" t="inlineStr">
        <is>
          <t>N</t>
        </is>
      </c>
      <c r="F942" s="12" t="n">
        <v>21.63</v>
      </c>
      <c r="G942" s="17" t="n">
        <v>117043.6</v>
      </c>
      <c r="H942" s="26" t="n">
        <v>45261</v>
      </c>
      <c r="I942" s="26" t="n">
        <v>45261</v>
      </c>
      <c r="J942" s="12" t="n">
        <v>21.63</v>
      </c>
      <c r="K942" s="17" t="n">
        <v>2531653.07</v>
      </c>
      <c r="L942" s="12" t="n">
        <v>0</v>
      </c>
      <c r="M942" s="12" t="n">
        <v>1</v>
      </c>
      <c r="N942" s="27">
        <f>F942-J942</f>
        <v/>
      </c>
      <c r="O942" s="16">
        <f>I942-H942</f>
        <v/>
      </c>
      <c r="P942" s="14">
        <f>F942*G942</f>
        <v/>
      </c>
      <c r="Q942" s="14">
        <f>J942*G942</f>
        <v/>
      </c>
      <c r="R942" s="14">
        <f>K942-Q942</f>
        <v/>
      </c>
      <c r="S942" s="3">
        <f>P942*Assumptions!$B$3/100</f>
        <v/>
      </c>
      <c r="T942" s="14">
        <f>R942-S942</f>
        <v/>
      </c>
      <c r="U942" s="14">
        <f>L942*G942</f>
        <v/>
      </c>
    </row>
    <row r="943">
      <c r="A943" s="12" t="inlineStr">
        <is>
          <t>PO-2021-0941</t>
        </is>
      </c>
      <c r="B943" s="26" t="n">
        <v>44800</v>
      </c>
      <c r="C943" s="12" t="inlineStr">
        <is>
          <t>VS19</t>
        </is>
      </c>
      <c r="D943" s="12" t="inlineStr">
        <is>
          <t>MS Sheets</t>
        </is>
      </c>
      <c r="E943" s="12" t="inlineStr">
        <is>
          <t>N</t>
        </is>
      </c>
      <c r="F943" s="12" t="n">
        <v>2.73</v>
      </c>
      <c r="G943" s="17" t="n">
        <v>118783.43</v>
      </c>
      <c r="H943" s="26" t="n">
        <v>44814</v>
      </c>
      <c r="I943" s="26" t="n">
        <v>44820</v>
      </c>
      <c r="J943" s="12" t="n">
        <v>2.63</v>
      </c>
      <c r="K943" s="17" t="n">
        <v>324278.76</v>
      </c>
      <c r="L943" s="12" t="n">
        <v>0.08</v>
      </c>
      <c r="M943" s="12" t="n">
        <v>0</v>
      </c>
      <c r="N943" s="27">
        <f>F943-J943</f>
        <v/>
      </c>
      <c r="O943" s="16">
        <f>I943-H943</f>
        <v/>
      </c>
      <c r="P943" s="14">
        <f>F943*G943</f>
        <v/>
      </c>
      <c r="Q943" s="14">
        <f>J943*G943</f>
        <v/>
      </c>
      <c r="R943" s="14">
        <f>K943-Q943</f>
        <v/>
      </c>
      <c r="S943" s="3">
        <f>P943*Assumptions!$B$3/100</f>
        <v/>
      </c>
      <c r="T943" s="14">
        <f>R943-S943</f>
        <v/>
      </c>
      <c r="U943" s="14">
        <f>L943*G943</f>
        <v/>
      </c>
    </row>
    <row r="944">
      <c r="A944" s="12" t="inlineStr">
        <is>
          <t>PO-2021-0942</t>
        </is>
      </c>
      <c r="B944" s="26" t="n">
        <v>44819</v>
      </c>
      <c r="C944" s="12" t="inlineStr">
        <is>
          <t>VS17</t>
        </is>
      </c>
      <c r="D944" s="12" t="inlineStr">
        <is>
          <t>GI Pipes</t>
        </is>
      </c>
      <c r="E944" s="12" t="inlineStr">
        <is>
          <t>N</t>
        </is>
      </c>
      <c r="F944" s="12" t="n">
        <v>31.84</v>
      </c>
      <c r="G944" s="17" t="n">
        <v>88360.58</v>
      </c>
      <c r="H944" s="26" t="n">
        <v>44831</v>
      </c>
      <c r="I944" s="26" t="n">
        <v>44833</v>
      </c>
      <c r="J944" s="12" t="n">
        <v>31.63</v>
      </c>
      <c r="K944" s="17" t="n">
        <v>2813400.87</v>
      </c>
      <c r="L944" s="12" t="n">
        <v>0</v>
      </c>
      <c r="M944" s="12" t="n">
        <v>0</v>
      </c>
      <c r="N944" s="27">
        <f>F944-J944</f>
        <v/>
      </c>
      <c r="O944" s="16">
        <f>I944-H944</f>
        <v/>
      </c>
      <c r="P944" s="14">
        <f>F944*G944</f>
        <v/>
      </c>
      <c r="Q944" s="14">
        <f>J944*G944</f>
        <v/>
      </c>
      <c r="R944" s="14">
        <f>K944-Q944</f>
        <v/>
      </c>
      <c r="S944" s="3">
        <f>P944*Assumptions!$B$3/100</f>
        <v/>
      </c>
      <c r="T944" s="14">
        <f>R944-S944</f>
        <v/>
      </c>
      <c r="U944" s="14">
        <f>L944*G944</f>
        <v/>
      </c>
    </row>
    <row r="945">
      <c r="A945" s="12" t="inlineStr">
        <is>
          <t>PO-2021-0943</t>
        </is>
      </c>
      <c r="B945" s="26" t="n">
        <v>44302</v>
      </c>
      <c r="C945" s="12" t="inlineStr">
        <is>
          <t>VS19</t>
        </is>
      </c>
      <c r="D945" s="12" t="inlineStr">
        <is>
          <t>MS Pipes</t>
        </is>
      </c>
      <c r="E945" s="12" t="inlineStr">
        <is>
          <t>Y</t>
        </is>
      </c>
      <c r="F945" s="12" t="n">
        <v>15.05</v>
      </c>
      <c r="G945" s="17" t="n">
        <v>53235.79</v>
      </c>
      <c r="H945" s="26" t="n">
        <v>44313</v>
      </c>
      <c r="I945" s="26" t="n">
        <v>44319</v>
      </c>
      <c r="J945" s="12" t="n">
        <v>14.45</v>
      </c>
      <c r="K945" s="17" t="n">
        <v>801198.64</v>
      </c>
      <c r="L945" s="12" t="n">
        <v>0.41</v>
      </c>
      <c r="M945" s="12" t="n">
        <v>0</v>
      </c>
      <c r="N945" s="27">
        <f>F945-J945</f>
        <v/>
      </c>
      <c r="O945" s="16">
        <f>I945-H945</f>
        <v/>
      </c>
      <c r="P945" s="14">
        <f>F945*G945</f>
        <v/>
      </c>
      <c r="Q945" s="14">
        <f>J945*G945</f>
        <v/>
      </c>
      <c r="R945" s="14">
        <f>K945-Q945</f>
        <v/>
      </c>
      <c r="S945" s="3">
        <f>P945*Assumptions!$B$3/100</f>
        <v/>
      </c>
      <c r="T945" s="14">
        <f>R945-S945</f>
        <v/>
      </c>
      <c r="U945" s="14">
        <f>L945*G945</f>
        <v/>
      </c>
    </row>
    <row r="946">
      <c r="A946" s="12" t="inlineStr">
        <is>
          <t>PO-2021-0944</t>
        </is>
      </c>
      <c r="B946" s="26" t="n">
        <v>44354</v>
      </c>
      <c r="C946" s="12" t="inlineStr">
        <is>
          <t>VS18</t>
        </is>
      </c>
      <c r="D946" s="12" t="inlineStr">
        <is>
          <t>CR Sheets</t>
        </is>
      </c>
      <c r="E946" s="12" t="inlineStr">
        <is>
          <t>N</t>
        </is>
      </c>
      <c r="F946" s="12" t="n">
        <v>7.49</v>
      </c>
      <c r="G946" s="17" t="n">
        <v>66072.89</v>
      </c>
      <c r="H946" s="26" t="n">
        <v>44361</v>
      </c>
      <c r="I946" s="26" t="n">
        <v>44361</v>
      </c>
      <c r="J946" s="12" t="n">
        <v>7.48</v>
      </c>
      <c r="K946" s="17" t="n">
        <v>494885.95</v>
      </c>
      <c r="L946" s="12" t="n">
        <v>0</v>
      </c>
      <c r="M946" s="12" t="n">
        <v>0</v>
      </c>
      <c r="N946" s="27">
        <f>F946-J946</f>
        <v/>
      </c>
      <c r="O946" s="16">
        <f>I946-H946</f>
        <v/>
      </c>
      <c r="P946" s="14">
        <f>F946*G946</f>
        <v/>
      </c>
      <c r="Q946" s="14">
        <f>J946*G946</f>
        <v/>
      </c>
      <c r="R946" s="14">
        <f>K946-Q946</f>
        <v/>
      </c>
      <c r="S946" s="3">
        <f>P946*Assumptions!$B$3/100</f>
        <v/>
      </c>
      <c r="T946" s="14">
        <f>R946-S946</f>
        <v/>
      </c>
      <c r="U946" s="14">
        <f>L946*G946</f>
        <v/>
      </c>
    </row>
    <row r="947">
      <c r="A947" s="12" t="inlineStr">
        <is>
          <t>PO-2021-0945</t>
        </is>
      </c>
      <c r="B947" s="26" t="n">
        <v>44226</v>
      </c>
      <c r="C947" s="12" t="inlineStr">
        <is>
          <t>VS08</t>
        </is>
      </c>
      <c r="D947" s="12" t="inlineStr">
        <is>
          <t>MS Sheets</t>
        </is>
      </c>
      <c r="E947" s="12" t="inlineStr">
        <is>
          <t>N</t>
        </is>
      </c>
      <c r="F947" s="12" t="n">
        <v>45.6</v>
      </c>
      <c r="G947" s="17" t="n">
        <v>100422.54</v>
      </c>
      <c r="H947" s="26" t="n">
        <v>44239</v>
      </c>
      <c r="I947" s="26" t="n">
        <v>44240</v>
      </c>
      <c r="J947" s="12" t="n">
        <v>45.46</v>
      </c>
      <c r="K947" s="17" t="n">
        <v>4579267.82</v>
      </c>
      <c r="L947" s="12" t="n">
        <v>0</v>
      </c>
      <c r="M947" s="12" t="n">
        <v>15</v>
      </c>
      <c r="N947" s="27">
        <f>F947-J947</f>
        <v/>
      </c>
      <c r="O947" s="16">
        <f>I947-H947</f>
        <v/>
      </c>
      <c r="P947" s="14">
        <f>F947*G947</f>
        <v/>
      </c>
      <c r="Q947" s="14">
        <f>J947*G947</f>
        <v/>
      </c>
      <c r="R947" s="14">
        <f>K947-Q947</f>
        <v/>
      </c>
      <c r="S947" s="3">
        <f>P947*Assumptions!$B$3/100</f>
        <v/>
      </c>
      <c r="T947" s="14">
        <f>R947-S947</f>
        <v/>
      </c>
      <c r="U947" s="14">
        <f>L947*G947</f>
        <v/>
      </c>
    </row>
    <row r="948">
      <c r="A948" s="12" t="inlineStr">
        <is>
          <t>PO-2021-0946</t>
        </is>
      </c>
      <c r="B948" s="26" t="n">
        <v>45111</v>
      </c>
      <c r="C948" s="12" t="inlineStr">
        <is>
          <t>VS24</t>
        </is>
      </c>
      <c r="D948" s="12" t="inlineStr">
        <is>
          <t>MS Sheets</t>
        </is>
      </c>
      <c r="E948" s="12" t="inlineStr">
        <is>
          <t>N</t>
        </is>
      </c>
      <c r="F948" s="12" t="n">
        <v>13.8</v>
      </c>
      <c r="G948" s="17" t="n">
        <v>97558.12</v>
      </c>
      <c r="H948" s="26" t="n">
        <v>45121</v>
      </c>
      <c r="I948" s="26" t="n">
        <v>45122</v>
      </c>
      <c r="J948" s="12" t="n">
        <v>13.74</v>
      </c>
      <c r="K948" s="17" t="n">
        <v>1346302.06</v>
      </c>
      <c r="L948" s="12" t="n">
        <v>0</v>
      </c>
      <c r="M948" s="12" t="n">
        <v>24</v>
      </c>
      <c r="N948" s="27">
        <f>F948-J948</f>
        <v/>
      </c>
      <c r="O948" s="16">
        <f>I948-H948</f>
        <v/>
      </c>
      <c r="P948" s="14">
        <f>F948*G948</f>
        <v/>
      </c>
      <c r="Q948" s="14">
        <f>J948*G948</f>
        <v/>
      </c>
      <c r="R948" s="14">
        <f>K948-Q948</f>
        <v/>
      </c>
      <c r="S948" s="3">
        <f>P948*Assumptions!$B$3/100</f>
        <v/>
      </c>
      <c r="T948" s="14">
        <f>R948-S948</f>
        <v/>
      </c>
      <c r="U948" s="14">
        <f>L948*G948</f>
        <v/>
      </c>
    </row>
    <row r="949">
      <c r="A949" s="12" t="inlineStr">
        <is>
          <t>PO-2021-0947</t>
        </is>
      </c>
      <c r="B949" s="26" t="n">
        <v>44567</v>
      </c>
      <c r="C949" s="12" t="inlineStr">
        <is>
          <t>VS34</t>
        </is>
      </c>
      <c r="D949" s="12" t="inlineStr">
        <is>
          <t>GI Pipes</t>
        </is>
      </c>
      <c r="E949" s="12" t="inlineStr">
        <is>
          <t>N</t>
        </is>
      </c>
      <c r="F949" s="12" t="n">
        <v>17.8</v>
      </c>
      <c r="G949" s="17" t="n">
        <v>51330.11</v>
      </c>
      <c r="H949" s="26" t="n">
        <v>44572</v>
      </c>
      <c r="I949" s="26" t="n">
        <v>44572</v>
      </c>
      <c r="J949" s="12" t="n">
        <v>17.7</v>
      </c>
      <c r="K949" s="17" t="n">
        <v>913675.96</v>
      </c>
      <c r="L949" s="12" t="n">
        <v>0</v>
      </c>
      <c r="M949" s="12" t="n">
        <v>0</v>
      </c>
      <c r="N949" s="27">
        <f>F949-J949</f>
        <v/>
      </c>
      <c r="O949" s="16">
        <f>I949-H949</f>
        <v/>
      </c>
      <c r="P949" s="14">
        <f>F949*G949</f>
        <v/>
      </c>
      <c r="Q949" s="14">
        <f>J949*G949</f>
        <v/>
      </c>
      <c r="R949" s="14">
        <f>K949-Q949</f>
        <v/>
      </c>
      <c r="S949" s="3">
        <f>P949*Assumptions!$B$3/100</f>
        <v/>
      </c>
      <c r="T949" s="14">
        <f>R949-S949</f>
        <v/>
      </c>
      <c r="U949" s="14">
        <f>L949*G949</f>
        <v/>
      </c>
    </row>
    <row r="950">
      <c r="A950" s="12" t="inlineStr">
        <is>
          <t>PO-2021-0948</t>
        </is>
      </c>
      <c r="B950" s="26" t="n">
        <v>44512</v>
      </c>
      <c r="C950" s="12" t="inlineStr">
        <is>
          <t>VS32</t>
        </is>
      </c>
      <c r="D950" s="12" t="inlineStr">
        <is>
          <t>GI Wire</t>
        </is>
      </c>
      <c r="E950" s="12" t="inlineStr">
        <is>
          <t>N</t>
        </is>
      </c>
      <c r="F950" s="12" t="n">
        <v>38.75</v>
      </c>
      <c r="G950" s="17" t="n">
        <v>62846.06</v>
      </c>
      <c r="H950" s="26" t="n">
        <v>44522</v>
      </c>
      <c r="I950" s="26" t="n">
        <v>44524</v>
      </c>
      <c r="J950" s="12" t="n">
        <v>38.7</v>
      </c>
      <c r="K950" s="17" t="n">
        <v>2435284.82</v>
      </c>
      <c r="L950" s="12" t="n">
        <v>0</v>
      </c>
      <c r="M950" s="12" t="n">
        <v>4</v>
      </c>
      <c r="N950" s="27">
        <f>F950-J950</f>
        <v/>
      </c>
      <c r="O950" s="16">
        <f>I950-H950</f>
        <v/>
      </c>
      <c r="P950" s="14">
        <f>F950*G950</f>
        <v/>
      </c>
      <c r="Q950" s="14">
        <f>J950*G950</f>
        <v/>
      </c>
      <c r="R950" s="14">
        <f>K950-Q950</f>
        <v/>
      </c>
      <c r="S950" s="3">
        <f>P950*Assumptions!$B$3/100</f>
        <v/>
      </c>
      <c r="T950" s="14">
        <f>R950-S950</f>
        <v/>
      </c>
      <c r="U950" s="14">
        <f>L950*G950</f>
        <v/>
      </c>
    </row>
    <row r="951">
      <c r="A951" s="12" t="inlineStr">
        <is>
          <t>PO-2021-0949</t>
        </is>
      </c>
      <c r="B951" s="26" t="n">
        <v>44539</v>
      </c>
      <c r="C951" s="12" t="inlineStr">
        <is>
          <t>VS14</t>
        </is>
      </c>
      <c r="D951" s="12" t="inlineStr">
        <is>
          <t>Angles &amp; Channels</t>
        </is>
      </c>
      <c r="E951" s="12" t="inlineStr">
        <is>
          <t>N</t>
        </is>
      </c>
      <c r="F951" s="12" t="n">
        <v>3.66</v>
      </c>
      <c r="G951" s="17" t="n">
        <v>64829.66</v>
      </c>
      <c r="H951" s="26" t="n">
        <v>44543</v>
      </c>
      <c r="I951" s="26" t="n">
        <v>44543</v>
      </c>
      <c r="J951" s="12" t="n">
        <v>3.64</v>
      </c>
      <c r="K951" s="17" t="n">
        <v>237276.56</v>
      </c>
      <c r="L951" s="12" t="n">
        <v>0</v>
      </c>
      <c r="M951" s="12" t="n">
        <v>25</v>
      </c>
      <c r="N951" s="27">
        <f>F951-J951</f>
        <v/>
      </c>
      <c r="O951" s="16">
        <f>I951-H951</f>
        <v/>
      </c>
      <c r="P951" s="14">
        <f>F951*G951</f>
        <v/>
      </c>
      <c r="Q951" s="14">
        <f>J951*G951</f>
        <v/>
      </c>
      <c r="R951" s="14">
        <f>K951-Q951</f>
        <v/>
      </c>
      <c r="S951" s="3">
        <f>P951*Assumptions!$B$3/100</f>
        <v/>
      </c>
      <c r="T951" s="14">
        <f>R951-S951</f>
        <v/>
      </c>
      <c r="U951" s="14">
        <f>L951*G951</f>
        <v/>
      </c>
    </row>
    <row r="952">
      <c r="A952" s="12" t="inlineStr">
        <is>
          <t>PO-2021-0950</t>
        </is>
      </c>
      <c r="B952" s="26" t="n">
        <v>44304</v>
      </c>
      <c r="C952" s="12" t="inlineStr">
        <is>
          <t>VS11</t>
        </is>
      </c>
      <c r="D952" s="12" t="inlineStr">
        <is>
          <t>Fasteners &amp; Fittings</t>
        </is>
      </c>
      <c r="E952" s="12" t="inlineStr">
        <is>
          <t>N</t>
        </is>
      </c>
      <c r="F952" s="12" t="n">
        <v>20.54</v>
      </c>
      <c r="G952" s="17" t="n">
        <v>67602.53</v>
      </c>
      <c r="H952" s="26" t="n">
        <v>44318</v>
      </c>
      <c r="I952" s="26" t="n">
        <v>44320</v>
      </c>
      <c r="J952" s="12" t="n">
        <v>20.53</v>
      </c>
      <c r="K952" s="17" t="n">
        <v>1388555.97</v>
      </c>
      <c r="L952" s="12" t="n">
        <v>0</v>
      </c>
      <c r="M952" s="12" t="n">
        <v>5</v>
      </c>
      <c r="N952" s="27">
        <f>F952-J952</f>
        <v/>
      </c>
      <c r="O952" s="16">
        <f>I952-H952</f>
        <v/>
      </c>
      <c r="P952" s="14">
        <f>F952*G952</f>
        <v/>
      </c>
      <c r="Q952" s="14">
        <f>J952*G952</f>
        <v/>
      </c>
      <c r="R952" s="14">
        <f>K952-Q952</f>
        <v/>
      </c>
      <c r="S952" s="3">
        <f>P952*Assumptions!$B$3/100</f>
        <v/>
      </c>
      <c r="T952" s="14">
        <f>R952-S952</f>
        <v/>
      </c>
      <c r="U952" s="14">
        <f>L952*G952</f>
        <v/>
      </c>
    </row>
    <row r="953">
      <c r="A953" s="12" t="inlineStr">
        <is>
          <t>PO-2021-0951</t>
        </is>
      </c>
      <c r="B953" s="26" t="n">
        <v>45287</v>
      </c>
      <c r="C953" s="12" t="inlineStr">
        <is>
          <t>VS15</t>
        </is>
      </c>
      <c r="D953" s="12" t="inlineStr">
        <is>
          <t>MS Rods</t>
        </is>
      </c>
      <c r="E953" s="12" t="inlineStr">
        <is>
          <t>N</t>
        </is>
      </c>
      <c r="F953" s="12" t="n">
        <v>34.49</v>
      </c>
      <c r="G953" s="17" t="n">
        <v>74255.28999999999</v>
      </c>
      <c r="H953" s="26" t="n">
        <v>45294</v>
      </c>
      <c r="I953" s="26" t="n">
        <v>45296</v>
      </c>
      <c r="J953" s="12" t="n">
        <v>34.19</v>
      </c>
      <c r="K953" s="17" t="n">
        <v>2561064.95</v>
      </c>
      <c r="L953" s="12" t="n">
        <v>0</v>
      </c>
      <c r="M953" s="12" t="n">
        <v>0</v>
      </c>
      <c r="N953" s="27">
        <f>F953-J953</f>
        <v/>
      </c>
      <c r="O953" s="16">
        <f>I953-H953</f>
        <v/>
      </c>
      <c r="P953" s="14">
        <f>F953*G953</f>
        <v/>
      </c>
      <c r="Q953" s="14">
        <f>J953*G953</f>
        <v/>
      </c>
      <c r="R953" s="14">
        <f>K953-Q953</f>
        <v/>
      </c>
      <c r="S953" s="3">
        <f>P953*Assumptions!$B$3/100</f>
        <v/>
      </c>
      <c r="T953" s="14">
        <f>R953-S953</f>
        <v/>
      </c>
      <c r="U953" s="14">
        <f>L953*G953</f>
        <v/>
      </c>
    </row>
    <row r="954">
      <c r="A954" s="12" t="inlineStr">
        <is>
          <t>PO-2021-0952</t>
        </is>
      </c>
      <c r="B954" s="26" t="n">
        <v>44494</v>
      </c>
      <c r="C954" s="12" t="inlineStr">
        <is>
          <t>VS34</t>
        </is>
      </c>
      <c r="D954" s="12" t="inlineStr">
        <is>
          <t>GI Wire</t>
        </is>
      </c>
      <c r="E954" s="12" t="inlineStr">
        <is>
          <t>Y</t>
        </is>
      </c>
      <c r="F954" s="12" t="n">
        <v>1.58</v>
      </c>
      <c r="G954" s="17" t="n">
        <v>114541.69</v>
      </c>
      <c r="H954" s="26" t="n">
        <v>44504</v>
      </c>
      <c r="I954" s="26" t="n">
        <v>44506</v>
      </c>
      <c r="J954" s="12" t="n">
        <v>1.57</v>
      </c>
      <c r="K954" s="17" t="n">
        <v>180975.87</v>
      </c>
      <c r="L954" s="12" t="n">
        <v>0</v>
      </c>
      <c r="M954" s="12" t="n">
        <v>25</v>
      </c>
      <c r="N954" s="27">
        <f>F954-J954</f>
        <v/>
      </c>
      <c r="O954" s="16">
        <f>I954-H954</f>
        <v/>
      </c>
      <c r="P954" s="14">
        <f>F954*G954</f>
        <v/>
      </c>
      <c r="Q954" s="14">
        <f>J954*G954</f>
        <v/>
      </c>
      <c r="R954" s="14">
        <f>K954-Q954</f>
        <v/>
      </c>
      <c r="S954" s="3">
        <f>P954*Assumptions!$B$3/100</f>
        <v/>
      </c>
      <c r="T954" s="14">
        <f>R954-S954</f>
        <v/>
      </c>
      <c r="U954" s="14">
        <f>L954*G954</f>
        <v/>
      </c>
    </row>
    <row r="955">
      <c r="A955" s="12" t="inlineStr">
        <is>
          <t>PO-2021-0953</t>
        </is>
      </c>
      <c r="B955" s="26" t="n">
        <v>44979</v>
      </c>
      <c r="C955" s="12" t="inlineStr">
        <is>
          <t>VS21</t>
        </is>
      </c>
      <c r="D955" s="12" t="inlineStr">
        <is>
          <t>Hex Bars</t>
        </is>
      </c>
      <c r="E955" s="12" t="inlineStr">
        <is>
          <t>N</t>
        </is>
      </c>
      <c r="F955" s="12" t="n">
        <v>34.46</v>
      </c>
      <c r="G955" s="17" t="n">
        <v>48076.32</v>
      </c>
      <c r="H955" s="26" t="n">
        <v>44990</v>
      </c>
      <c r="I955" s="26" t="n">
        <v>44993</v>
      </c>
      <c r="J955" s="12" t="n">
        <v>34.42</v>
      </c>
      <c r="K955" s="17" t="n">
        <v>1656709.99</v>
      </c>
      <c r="L955" s="12" t="n">
        <v>0</v>
      </c>
      <c r="M955" s="12" t="n">
        <v>0</v>
      </c>
      <c r="N955" s="27">
        <f>F955-J955</f>
        <v/>
      </c>
      <c r="O955" s="16">
        <f>I955-H955</f>
        <v/>
      </c>
      <c r="P955" s="14">
        <f>F955*G955</f>
        <v/>
      </c>
      <c r="Q955" s="14">
        <f>J955*G955</f>
        <v/>
      </c>
      <c r="R955" s="14">
        <f>K955-Q955</f>
        <v/>
      </c>
      <c r="S955" s="3">
        <f>P955*Assumptions!$B$3/100</f>
        <v/>
      </c>
      <c r="T955" s="14">
        <f>R955-S955</f>
        <v/>
      </c>
      <c r="U955" s="14">
        <f>L955*G955</f>
        <v/>
      </c>
    </row>
    <row r="956">
      <c r="A956" s="12" t="inlineStr">
        <is>
          <t>PO-2021-0954</t>
        </is>
      </c>
      <c r="B956" s="26" t="n">
        <v>44921</v>
      </c>
      <c r="C956" s="12" t="inlineStr">
        <is>
          <t>VS28</t>
        </is>
      </c>
      <c r="D956" s="12" t="inlineStr">
        <is>
          <t>CR Sheets</t>
        </is>
      </c>
      <c r="E956" s="12" t="inlineStr">
        <is>
          <t>N</t>
        </is>
      </c>
      <c r="F956" s="12" t="n">
        <v>17.41</v>
      </c>
      <c r="G956" s="17" t="n">
        <v>65031.59</v>
      </c>
      <c r="H956" s="26" t="n">
        <v>44925</v>
      </c>
      <c r="I956" s="26" t="n">
        <v>44926</v>
      </c>
      <c r="J956" s="12" t="n">
        <v>17.37</v>
      </c>
      <c r="K956" s="17" t="n">
        <v>1132199.98</v>
      </c>
      <c r="L956" s="12" t="n">
        <v>0</v>
      </c>
      <c r="M956" s="12" t="n">
        <v>8</v>
      </c>
      <c r="N956" s="27">
        <f>F956-J956</f>
        <v/>
      </c>
      <c r="O956" s="16">
        <f>I956-H956</f>
        <v/>
      </c>
      <c r="P956" s="14">
        <f>F956*G956</f>
        <v/>
      </c>
      <c r="Q956" s="14">
        <f>J956*G956</f>
        <v/>
      </c>
      <c r="R956" s="14">
        <f>K956-Q956</f>
        <v/>
      </c>
      <c r="S956" s="3">
        <f>P956*Assumptions!$B$3/100</f>
        <v/>
      </c>
      <c r="T956" s="14">
        <f>R956-S956</f>
        <v/>
      </c>
      <c r="U956" s="14">
        <f>L956*G956</f>
        <v/>
      </c>
    </row>
    <row r="957">
      <c r="A957" s="12" t="inlineStr">
        <is>
          <t>PO-2021-0955</t>
        </is>
      </c>
      <c r="B957" s="26" t="n">
        <v>44719</v>
      </c>
      <c r="C957" s="12" t="inlineStr">
        <is>
          <t>VS26</t>
        </is>
      </c>
      <c r="D957" s="12" t="inlineStr">
        <is>
          <t>Fasteners &amp; Fittings</t>
        </is>
      </c>
      <c r="E957" s="12" t="inlineStr">
        <is>
          <t>Y</t>
        </is>
      </c>
      <c r="F957" s="12" t="n">
        <v>38.88</v>
      </c>
      <c r="G957" s="17" t="n">
        <v>101181.82</v>
      </c>
      <c r="H957" s="26" t="n">
        <v>44733</v>
      </c>
      <c r="I957" s="26" t="n">
        <v>44736</v>
      </c>
      <c r="J957" s="12" t="n">
        <v>38.74</v>
      </c>
      <c r="K957" s="17" t="n">
        <v>3933949.16</v>
      </c>
      <c r="L957" s="12" t="n">
        <v>0</v>
      </c>
      <c r="M957" s="12" t="n">
        <v>18</v>
      </c>
      <c r="N957" s="27">
        <f>F957-J957</f>
        <v/>
      </c>
      <c r="O957" s="16">
        <f>I957-H957</f>
        <v/>
      </c>
      <c r="P957" s="14">
        <f>F957*G957</f>
        <v/>
      </c>
      <c r="Q957" s="14">
        <f>J957*G957</f>
        <v/>
      </c>
      <c r="R957" s="14">
        <f>K957-Q957</f>
        <v/>
      </c>
      <c r="S957" s="3">
        <f>P957*Assumptions!$B$3/100</f>
        <v/>
      </c>
      <c r="T957" s="14">
        <f>R957-S957</f>
        <v/>
      </c>
      <c r="U957" s="14">
        <f>L957*G957</f>
        <v/>
      </c>
    </row>
    <row r="958">
      <c r="A958" s="12" t="inlineStr">
        <is>
          <t>PO-2021-0956</t>
        </is>
      </c>
      <c r="B958" s="26" t="n">
        <v>44596</v>
      </c>
      <c r="C958" s="12" t="inlineStr">
        <is>
          <t>VS34</t>
        </is>
      </c>
      <c r="D958" s="12" t="inlineStr">
        <is>
          <t>MS Flats</t>
        </is>
      </c>
      <c r="E958" s="12" t="inlineStr">
        <is>
          <t>N</t>
        </is>
      </c>
      <c r="F958" s="12" t="n">
        <v>34.21</v>
      </c>
      <c r="G958" s="17" t="n">
        <v>119491.11</v>
      </c>
      <c r="H958" s="26" t="n">
        <v>44604</v>
      </c>
      <c r="I958" s="26" t="n">
        <v>44604</v>
      </c>
      <c r="J958" s="12" t="n">
        <v>34.08</v>
      </c>
      <c r="K958" s="17" t="n">
        <v>4087790.87</v>
      </c>
      <c r="L958" s="12" t="n">
        <v>0</v>
      </c>
      <c r="M958" s="12" t="n">
        <v>0</v>
      </c>
      <c r="N958" s="27">
        <f>F958-J958</f>
        <v/>
      </c>
      <c r="O958" s="16">
        <f>I958-H958</f>
        <v/>
      </c>
      <c r="P958" s="14">
        <f>F958*G958</f>
        <v/>
      </c>
      <c r="Q958" s="14">
        <f>J958*G958</f>
        <v/>
      </c>
      <c r="R958" s="14">
        <f>K958-Q958</f>
        <v/>
      </c>
      <c r="S958" s="3">
        <f>P958*Assumptions!$B$3/100</f>
        <v/>
      </c>
      <c r="T958" s="14">
        <f>R958-S958</f>
        <v/>
      </c>
      <c r="U958" s="14">
        <f>L958*G958</f>
        <v/>
      </c>
    </row>
    <row r="959">
      <c r="A959" s="12" t="inlineStr">
        <is>
          <t>PO-2021-0957</t>
        </is>
      </c>
      <c r="B959" s="26" t="n">
        <v>44218</v>
      </c>
      <c r="C959" s="12" t="inlineStr">
        <is>
          <t>VS01</t>
        </is>
      </c>
      <c r="D959" s="12" t="inlineStr">
        <is>
          <t>SS Pipes</t>
        </is>
      </c>
      <c r="E959" s="12" t="inlineStr">
        <is>
          <t>N</t>
        </is>
      </c>
      <c r="F959" s="12" t="n">
        <v>1.59</v>
      </c>
      <c r="G959" s="17" t="n">
        <v>52327.41</v>
      </c>
      <c r="H959" s="26" t="n">
        <v>44222</v>
      </c>
      <c r="I959" s="26" t="n">
        <v>44223</v>
      </c>
      <c r="J959" s="12" t="n">
        <v>1.58</v>
      </c>
      <c r="K959" s="17" t="n">
        <v>83200.58</v>
      </c>
      <c r="L959" s="12" t="n">
        <v>0</v>
      </c>
      <c r="M959" s="12" t="n">
        <v>14</v>
      </c>
      <c r="N959" s="27">
        <f>F959-J959</f>
        <v/>
      </c>
      <c r="O959" s="16">
        <f>I959-H959</f>
        <v/>
      </c>
      <c r="P959" s="14">
        <f>F959*G959</f>
        <v/>
      </c>
      <c r="Q959" s="14">
        <f>J959*G959</f>
        <v/>
      </c>
      <c r="R959" s="14">
        <f>K959-Q959</f>
        <v/>
      </c>
      <c r="S959" s="3">
        <f>P959*Assumptions!$B$3/100</f>
        <v/>
      </c>
      <c r="T959" s="14">
        <f>R959-S959</f>
        <v/>
      </c>
      <c r="U959" s="14">
        <f>L959*G959</f>
        <v/>
      </c>
    </row>
    <row r="960">
      <c r="A960" s="12" t="inlineStr">
        <is>
          <t>PO-2021-0958</t>
        </is>
      </c>
      <c r="B960" s="26" t="n">
        <v>45110</v>
      </c>
      <c r="C960" s="12" t="inlineStr">
        <is>
          <t>VS23</t>
        </is>
      </c>
      <c r="D960" s="12" t="inlineStr">
        <is>
          <t>HR Coils</t>
        </is>
      </c>
      <c r="E960" s="12" t="inlineStr">
        <is>
          <t>Y</t>
        </is>
      </c>
      <c r="F960" s="12" t="n">
        <v>36.54</v>
      </c>
      <c r="G960" s="17" t="n">
        <v>63892.21</v>
      </c>
      <c r="H960" s="26" t="n">
        <v>45113</v>
      </c>
      <c r="I960" s="26" t="n">
        <v>45116</v>
      </c>
      <c r="J960" s="12" t="n">
        <v>36.28</v>
      </c>
      <c r="K960" s="17" t="n">
        <v>2334621.35</v>
      </c>
      <c r="L960" s="12" t="n">
        <v>0</v>
      </c>
      <c r="M960" s="12" t="n">
        <v>0</v>
      </c>
      <c r="N960" s="27">
        <f>F960-J960</f>
        <v/>
      </c>
      <c r="O960" s="16">
        <f>I960-H960</f>
        <v/>
      </c>
      <c r="P960" s="14">
        <f>F960*G960</f>
        <v/>
      </c>
      <c r="Q960" s="14">
        <f>J960*G960</f>
        <v/>
      </c>
      <c r="R960" s="14">
        <f>K960-Q960</f>
        <v/>
      </c>
      <c r="S960" s="3">
        <f>P960*Assumptions!$B$3/100</f>
        <v/>
      </c>
      <c r="T960" s="14">
        <f>R960-S960</f>
        <v/>
      </c>
      <c r="U960" s="14">
        <f>L960*G960</f>
        <v/>
      </c>
    </row>
    <row r="961">
      <c r="A961" s="12" t="inlineStr">
        <is>
          <t>PO-2021-0959</t>
        </is>
      </c>
      <c r="B961" s="26" t="n">
        <v>44245</v>
      </c>
      <c r="C961" s="12" t="inlineStr">
        <is>
          <t>VS06</t>
        </is>
      </c>
      <c r="D961" s="12" t="inlineStr">
        <is>
          <t>GI Pipes</t>
        </is>
      </c>
      <c r="E961" s="12" t="inlineStr">
        <is>
          <t>N</t>
        </is>
      </c>
      <c r="F961" s="12" t="n">
        <v>46.99</v>
      </c>
      <c r="G961" s="17" t="n">
        <v>94245.41</v>
      </c>
      <c r="H961" s="26" t="n">
        <v>44251</v>
      </c>
      <c r="I961" s="26" t="n">
        <v>44253</v>
      </c>
      <c r="J961" s="12" t="n">
        <v>46.59</v>
      </c>
      <c r="K961" s="17" t="n">
        <v>4428591.82</v>
      </c>
      <c r="L961" s="12" t="n">
        <v>0</v>
      </c>
      <c r="M961" s="12" t="n">
        <v>0</v>
      </c>
      <c r="N961" s="27">
        <f>F961-J961</f>
        <v/>
      </c>
      <c r="O961" s="16">
        <f>I961-H961</f>
        <v/>
      </c>
      <c r="P961" s="14">
        <f>F961*G961</f>
        <v/>
      </c>
      <c r="Q961" s="14">
        <f>J961*G961</f>
        <v/>
      </c>
      <c r="R961" s="14">
        <f>K961-Q961</f>
        <v/>
      </c>
      <c r="S961" s="3">
        <f>P961*Assumptions!$B$3/100</f>
        <v/>
      </c>
      <c r="T961" s="14">
        <f>R961-S961</f>
        <v/>
      </c>
      <c r="U961" s="14">
        <f>L961*G961</f>
        <v/>
      </c>
    </row>
    <row r="962">
      <c r="A962" s="12" t="inlineStr">
        <is>
          <t>PO-2021-0960</t>
        </is>
      </c>
      <c r="B962" s="26" t="n">
        <v>44446</v>
      </c>
      <c r="C962" s="12" t="inlineStr">
        <is>
          <t>VS08</t>
        </is>
      </c>
      <c r="D962" s="12" t="inlineStr">
        <is>
          <t>SS Pipes</t>
        </is>
      </c>
      <c r="E962" s="12" t="inlineStr">
        <is>
          <t>N</t>
        </is>
      </c>
      <c r="F962" s="12" t="n">
        <v>42.97</v>
      </c>
      <c r="G962" s="17" t="n">
        <v>54743.04</v>
      </c>
      <c r="H962" s="26" t="n">
        <v>44459</v>
      </c>
      <c r="I962" s="26" t="n">
        <v>44459</v>
      </c>
      <c r="J962" s="12" t="n">
        <v>42.88</v>
      </c>
      <c r="K962" s="17" t="n">
        <v>2352308.43</v>
      </c>
      <c r="L962" s="12" t="n">
        <v>0</v>
      </c>
      <c r="M962" s="12" t="n">
        <v>8</v>
      </c>
      <c r="N962" s="27">
        <f>F962-J962</f>
        <v/>
      </c>
      <c r="O962" s="16">
        <f>I962-H962</f>
        <v/>
      </c>
      <c r="P962" s="14">
        <f>F962*G962</f>
        <v/>
      </c>
      <c r="Q962" s="14">
        <f>J962*G962</f>
        <v/>
      </c>
      <c r="R962" s="14">
        <f>K962-Q962</f>
        <v/>
      </c>
      <c r="S962" s="3">
        <f>P962*Assumptions!$B$3/100</f>
        <v/>
      </c>
      <c r="T962" s="14">
        <f>R962-S962</f>
        <v/>
      </c>
      <c r="U962" s="14">
        <f>L962*G962</f>
        <v/>
      </c>
    </row>
    <row r="963">
      <c r="A963" s="12" t="inlineStr">
        <is>
          <t>PO-2021-0961</t>
        </is>
      </c>
      <c r="B963" s="26" t="n">
        <v>44575</v>
      </c>
      <c r="C963" s="12" t="inlineStr">
        <is>
          <t>VS08</t>
        </is>
      </c>
      <c r="D963" s="12" t="inlineStr">
        <is>
          <t>MS Sheets</t>
        </is>
      </c>
      <c r="E963" s="12" t="inlineStr">
        <is>
          <t>N</t>
        </is>
      </c>
      <c r="F963" s="12" t="n">
        <v>13.41</v>
      </c>
      <c r="G963" s="17" t="n">
        <v>80021.67</v>
      </c>
      <c r="H963" s="26" t="n">
        <v>44579</v>
      </c>
      <c r="I963" s="26" t="n">
        <v>44580</v>
      </c>
      <c r="J963" s="12" t="n">
        <v>13.34</v>
      </c>
      <c r="K963" s="17" t="n">
        <v>1073090.59</v>
      </c>
      <c r="L963" s="12" t="n">
        <v>0</v>
      </c>
      <c r="M963" s="12" t="n">
        <v>11</v>
      </c>
      <c r="N963" s="27">
        <f>F963-J963</f>
        <v/>
      </c>
      <c r="O963" s="16">
        <f>I963-H963</f>
        <v/>
      </c>
      <c r="P963" s="14">
        <f>F963*G963</f>
        <v/>
      </c>
      <c r="Q963" s="14">
        <f>J963*G963</f>
        <v/>
      </c>
      <c r="R963" s="14">
        <f>K963-Q963</f>
        <v/>
      </c>
      <c r="S963" s="3">
        <f>P963*Assumptions!$B$3/100</f>
        <v/>
      </c>
      <c r="T963" s="14">
        <f>R963-S963</f>
        <v/>
      </c>
      <c r="U963" s="14">
        <f>L963*G963</f>
        <v/>
      </c>
    </row>
    <row r="964">
      <c r="A964" s="12" t="inlineStr">
        <is>
          <t>PO-2021-0962</t>
        </is>
      </c>
      <c r="B964" s="26" t="n">
        <v>45125</v>
      </c>
      <c r="C964" s="12" t="inlineStr">
        <is>
          <t>VS18</t>
        </is>
      </c>
      <c r="D964" s="12" t="inlineStr">
        <is>
          <t>GI Wire</t>
        </is>
      </c>
      <c r="E964" s="12" t="inlineStr">
        <is>
          <t>N</t>
        </is>
      </c>
      <c r="F964" s="12" t="n">
        <v>34.92</v>
      </c>
      <c r="G964" s="17" t="n">
        <v>95068.44</v>
      </c>
      <c r="H964" s="26" t="n">
        <v>45140</v>
      </c>
      <c r="I964" s="26" t="n">
        <v>45142</v>
      </c>
      <c r="J964" s="12" t="n">
        <v>34.73</v>
      </c>
      <c r="K964" s="17" t="n">
        <v>3319789.92</v>
      </c>
      <c r="L964" s="12" t="n">
        <v>0</v>
      </c>
      <c r="M964" s="12" t="n">
        <v>9</v>
      </c>
      <c r="N964" s="27">
        <f>F964-J964</f>
        <v/>
      </c>
      <c r="O964" s="16">
        <f>I964-H964</f>
        <v/>
      </c>
      <c r="P964" s="14">
        <f>F964*G964</f>
        <v/>
      </c>
      <c r="Q964" s="14">
        <f>J964*G964</f>
        <v/>
      </c>
      <c r="R964" s="14">
        <f>K964-Q964</f>
        <v/>
      </c>
      <c r="S964" s="3">
        <f>P964*Assumptions!$B$3/100</f>
        <v/>
      </c>
      <c r="T964" s="14">
        <f>R964-S964</f>
        <v/>
      </c>
      <c r="U964" s="14">
        <f>L964*G964</f>
        <v/>
      </c>
    </row>
    <row r="965">
      <c r="A965" s="12" t="inlineStr">
        <is>
          <t>PO-2021-0963</t>
        </is>
      </c>
      <c r="B965" s="26" t="n">
        <v>44859</v>
      </c>
      <c r="C965" s="12" t="inlineStr">
        <is>
          <t>VS17</t>
        </is>
      </c>
      <c r="D965" s="12" t="inlineStr">
        <is>
          <t>MS Sheets</t>
        </is>
      </c>
      <c r="E965" s="12" t="inlineStr">
        <is>
          <t>N</t>
        </is>
      </c>
      <c r="F965" s="12" t="n">
        <v>39.26</v>
      </c>
      <c r="G965" s="17" t="n">
        <v>65796.56</v>
      </c>
      <c r="H965" s="26" t="n">
        <v>44862</v>
      </c>
      <c r="I965" s="26" t="n">
        <v>44863</v>
      </c>
      <c r="J965" s="12" t="n">
        <v>38.99</v>
      </c>
      <c r="K965" s="17" t="n">
        <v>2583172.95</v>
      </c>
      <c r="L965" s="12" t="n">
        <v>0</v>
      </c>
      <c r="M965" s="12" t="n">
        <v>0</v>
      </c>
      <c r="N965" s="27">
        <f>F965-J965</f>
        <v/>
      </c>
      <c r="O965" s="16">
        <f>I965-H965</f>
        <v/>
      </c>
      <c r="P965" s="14">
        <f>F965*G965</f>
        <v/>
      </c>
      <c r="Q965" s="14">
        <f>J965*G965</f>
        <v/>
      </c>
      <c r="R965" s="14">
        <f>K965-Q965</f>
        <v/>
      </c>
      <c r="S965" s="3">
        <f>P965*Assumptions!$B$3/100</f>
        <v/>
      </c>
      <c r="T965" s="14">
        <f>R965-S965</f>
        <v/>
      </c>
      <c r="U965" s="14">
        <f>L965*G965</f>
        <v/>
      </c>
    </row>
    <row r="966">
      <c r="A966" s="12" t="inlineStr">
        <is>
          <t>PO-2021-0964</t>
        </is>
      </c>
      <c r="B966" s="26" t="n">
        <v>44980</v>
      </c>
      <c r="C966" s="12" t="inlineStr">
        <is>
          <t>VS25</t>
        </is>
      </c>
      <c r="D966" s="12" t="inlineStr">
        <is>
          <t>MS Flats</t>
        </is>
      </c>
      <c r="E966" s="12" t="inlineStr">
        <is>
          <t>N</t>
        </is>
      </c>
      <c r="F966" s="12" t="n">
        <v>49.8</v>
      </c>
      <c r="G966" s="17" t="n">
        <v>64367.9</v>
      </c>
      <c r="H966" s="26" t="n">
        <v>44987</v>
      </c>
      <c r="I966" s="26" t="n">
        <v>44988</v>
      </c>
      <c r="J966" s="12" t="n">
        <v>49.71</v>
      </c>
      <c r="K966" s="17" t="n">
        <v>3205521.42</v>
      </c>
      <c r="L966" s="12" t="n">
        <v>0</v>
      </c>
      <c r="M966" s="12" t="n">
        <v>0</v>
      </c>
      <c r="N966" s="27">
        <f>F966-J966</f>
        <v/>
      </c>
      <c r="O966" s="16">
        <f>I966-H966</f>
        <v/>
      </c>
      <c r="P966" s="14">
        <f>F966*G966</f>
        <v/>
      </c>
      <c r="Q966" s="14">
        <f>J966*G966</f>
        <v/>
      </c>
      <c r="R966" s="14">
        <f>K966-Q966</f>
        <v/>
      </c>
      <c r="S966" s="3">
        <f>P966*Assumptions!$B$3/100</f>
        <v/>
      </c>
      <c r="T966" s="14">
        <f>R966-S966</f>
        <v/>
      </c>
      <c r="U966" s="14">
        <f>L966*G966</f>
        <v/>
      </c>
    </row>
    <row r="967">
      <c r="A967" s="12" t="inlineStr">
        <is>
          <t>PO-2021-0965</t>
        </is>
      </c>
      <c r="B967" s="26" t="n">
        <v>44561</v>
      </c>
      <c r="C967" s="12" t="inlineStr">
        <is>
          <t>VS29</t>
        </is>
      </c>
      <c r="D967" s="12" t="inlineStr">
        <is>
          <t>SS Pipes</t>
        </is>
      </c>
      <c r="E967" s="12" t="inlineStr">
        <is>
          <t>N</t>
        </is>
      </c>
      <c r="F967" s="12" t="n">
        <v>25.09</v>
      </c>
      <c r="G967" s="17" t="n">
        <v>114643.97</v>
      </c>
      <c r="H967" s="26" t="n">
        <v>44573</v>
      </c>
      <c r="I967" s="26" t="n">
        <v>44574</v>
      </c>
      <c r="J967" s="12" t="n">
        <v>24.88</v>
      </c>
      <c r="K967" s="17" t="n">
        <v>2876417.21</v>
      </c>
      <c r="L967" s="12" t="n">
        <v>0</v>
      </c>
      <c r="M967" s="12" t="n">
        <v>22</v>
      </c>
      <c r="N967" s="27">
        <f>F967-J967</f>
        <v/>
      </c>
      <c r="O967" s="16">
        <f>I967-H967</f>
        <v/>
      </c>
      <c r="P967" s="14">
        <f>F967*G967</f>
        <v/>
      </c>
      <c r="Q967" s="14">
        <f>J967*G967</f>
        <v/>
      </c>
      <c r="R967" s="14">
        <f>K967-Q967</f>
        <v/>
      </c>
      <c r="S967" s="3">
        <f>P967*Assumptions!$B$3/100</f>
        <v/>
      </c>
      <c r="T967" s="14">
        <f>R967-S967</f>
        <v/>
      </c>
      <c r="U967" s="14">
        <f>L967*G967</f>
        <v/>
      </c>
    </row>
    <row r="968">
      <c r="A968" s="12" t="inlineStr">
        <is>
          <t>PO-2021-0966</t>
        </is>
      </c>
      <c r="B968" s="26" t="n">
        <v>45001</v>
      </c>
      <c r="C968" s="12" t="inlineStr">
        <is>
          <t>VS12</t>
        </is>
      </c>
      <c r="D968" s="12" t="inlineStr">
        <is>
          <t>Structural Steel</t>
        </is>
      </c>
      <c r="E968" s="12" t="inlineStr">
        <is>
          <t>N</t>
        </is>
      </c>
      <c r="F968" s="12" t="n">
        <v>6.31</v>
      </c>
      <c r="G968" s="17" t="n">
        <v>88969.31</v>
      </c>
      <c r="H968" s="26" t="n">
        <v>45010</v>
      </c>
      <c r="I968" s="26" t="n">
        <v>45017</v>
      </c>
      <c r="J968" s="12" t="n">
        <v>6.18</v>
      </c>
      <c r="K968" s="17" t="n">
        <v>561396.35</v>
      </c>
      <c r="L968" s="12" t="n">
        <v>0.27</v>
      </c>
      <c r="M968" s="12" t="n">
        <v>12</v>
      </c>
      <c r="N968" s="27">
        <f>F968-J968</f>
        <v/>
      </c>
      <c r="O968" s="16">
        <f>I968-H968</f>
        <v/>
      </c>
      <c r="P968" s="14">
        <f>F968*G968</f>
        <v/>
      </c>
      <c r="Q968" s="14">
        <f>J968*G968</f>
        <v/>
      </c>
      <c r="R968" s="14">
        <f>K968-Q968</f>
        <v/>
      </c>
      <c r="S968" s="3">
        <f>P968*Assumptions!$B$3/100</f>
        <v/>
      </c>
      <c r="T968" s="14">
        <f>R968-S968</f>
        <v/>
      </c>
      <c r="U968" s="14">
        <f>L968*G968</f>
        <v/>
      </c>
    </row>
    <row r="969">
      <c r="A969" s="12" t="inlineStr">
        <is>
          <t>PO-2021-0967</t>
        </is>
      </c>
      <c r="B969" s="26" t="n">
        <v>44644</v>
      </c>
      <c r="C969" s="12" t="inlineStr">
        <is>
          <t>VS07</t>
        </is>
      </c>
      <c r="D969" s="12" t="inlineStr">
        <is>
          <t>Fasteners &amp; Fittings</t>
        </is>
      </c>
      <c r="E969" s="12" t="inlineStr">
        <is>
          <t>Y</t>
        </is>
      </c>
      <c r="F969" s="12" t="n">
        <v>36.05</v>
      </c>
      <c r="G969" s="17" t="n">
        <v>52746.53</v>
      </c>
      <c r="H969" s="26" t="n">
        <v>44648</v>
      </c>
      <c r="I969" s="26" t="n">
        <v>44648</v>
      </c>
      <c r="J969" s="12" t="n">
        <v>35.96</v>
      </c>
      <c r="K969" s="17" t="n">
        <v>1901512.41</v>
      </c>
      <c r="L969" s="12" t="n">
        <v>0</v>
      </c>
      <c r="M969" s="12" t="n">
        <v>0</v>
      </c>
      <c r="N969" s="27">
        <f>F969-J969</f>
        <v/>
      </c>
      <c r="O969" s="16">
        <f>I969-H969</f>
        <v/>
      </c>
      <c r="P969" s="14">
        <f>F969*G969</f>
        <v/>
      </c>
      <c r="Q969" s="14">
        <f>J969*G969</f>
        <v/>
      </c>
      <c r="R969" s="14">
        <f>K969-Q969</f>
        <v/>
      </c>
      <c r="S969" s="3">
        <f>P969*Assumptions!$B$3/100</f>
        <v/>
      </c>
      <c r="T969" s="14">
        <f>R969-S969</f>
        <v/>
      </c>
      <c r="U969" s="14">
        <f>L969*G969</f>
        <v/>
      </c>
    </row>
    <row r="970">
      <c r="A970" s="12" t="inlineStr">
        <is>
          <t>PO-2021-0968</t>
        </is>
      </c>
      <c r="B970" s="26" t="n">
        <v>44341</v>
      </c>
      <c r="C970" s="12" t="inlineStr">
        <is>
          <t>VS17</t>
        </is>
      </c>
      <c r="D970" s="12" t="inlineStr">
        <is>
          <t>Fasteners &amp; Fittings</t>
        </is>
      </c>
      <c r="E970" s="12" t="inlineStr">
        <is>
          <t>N</t>
        </is>
      </c>
      <c r="F970" s="12" t="n">
        <v>1.92</v>
      </c>
      <c r="G970" s="17" t="n">
        <v>82327.60000000001</v>
      </c>
      <c r="H970" s="26" t="n">
        <v>44354</v>
      </c>
      <c r="I970" s="26" t="n">
        <v>44355</v>
      </c>
      <c r="J970" s="12" t="n">
        <v>1.92</v>
      </c>
      <c r="K970" s="17" t="n">
        <v>158068.99</v>
      </c>
      <c r="L970" s="12" t="n">
        <v>0</v>
      </c>
      <c r="M970" s="12" t="n">
        <v>12</v>
      </c>
      <c r="N970" s="27">
        <f>F970-J970</f>
        <v/>
      </c>
      <c r="O970" s="16">
        <f>I970-H970</f>
        <v/>
      </c>
      <c r="P970" s="14">
        <f>F970*G970</f>
        <v/>
      </c>
      <c r="Q970" s="14">
        <f>J970*G970</f>
        <v/>
      </c>
      <c r="R970" s="14">
        <f>K970-Q970</f>
        <v/>
      </c>
      <c r="S970" s="3">
        <f>P970*Assumptions!$B$3/100</f>
        <v/>
      </c>
      <c r="T970" s="14">
        <f>R970-S970</f>
        <v/>
      </c>
      <c r="U970" s="14">
        <f>L970*G970</f>
        <v/>
      </c>
    </row>
    <row r="971">
      <c r="A971" s="12" t="inlineStr">
        <is>
          <t>PO-2021-0969</t>
        </is>
      </c>
      <c r="B971" s="26" t="n">
        <v>44198</v>
      </c>
      <c r="C971" s="12" t="inlineStr">
        <is>
          <t>VS03</t>
        </is>
      </c>
      <c r="D971" s="12" t="inlineStr">
        <is>
          <t>MS Rods</t>
        </is>
      </c>
      <c r="E971" s="12" t="inlineStr">
        <is>
          <t>N</t>
        </is>
      </c>
      <c r="F971" s="12" t="n">
        <v>14.06</v>
      </c>
      <c r="G971" s="17" t="n">
        <v>101404.31</v>
      </c>
      <c r="H971" s="26" t="n">
        <v>44207</v>
      </c>
      <c r="I971" s="26" t="n">
        <v>44211</v>
      </c>
      <c r="J971" s="12" t="n">
        <v>13.63</v>
      </c>
      <c r="K971" s="17" t="n">
        <v>1425744.6</v>
      </c>
      <c r="L971" s="12" t="n">
        <v>0.54</v>
      </c>
      <c r="M971" s="12" t="n">
        <v>3</v>
      </c>
      <c r="N971" s="27">
        <f>F971-J971</f>
        <v/>
      </c>
      <c r="O971" s="16">
        <f>I971-H971</f>
        <v/>
      </c>
      <c r="P971" s="14">
        <f>F971*G971</f>
        <v/>
      </c>
      <c r="Q971" s="14">
        <f>J971*G971</f>
        <v/>
      </c>
      <c r="R971" s="14">
        <f>K971-Q971</f>
        <v/>
      </c>
      <c r="S971" s="3">
        <f>P971*Assumptions!$B$3/100</f>
        <v/>
      </c>
      <c r="T971" s="14">
        <f>R971-S971</f>
        <v/>
      </c>
      <c r="U971" s="14">
        <f>L971*G971</f>
        <v/>
      </c>
    </row>
    <row r="972">
      <c r="A972" s="12" t="inlineStr">
        <is>
          <t>PO-2021-0970</t>
        </is>
      </c>
      <c r="B972" s="26" t="n">
        <v>44204</v>
      </c>
      <c r="C972" s="12" t="inlineStr">
        <is>
          <t>VS33</t>
        </is>
      </c>
      <c r="D972" s="12" t="inlineStr">
        <is>
          <t>Structural Steel</t>
        </is>
      </c>
      <c r="E972" s="12" t="inlineStr">
        <is>
          <t>N</t>
        </is>
      </c>
      <c r="F972" s="12" t="n">
        <v>24.43</v>
      </c>
      <c r="G972" s="17" t="n">
        <v>75293.46000000001</v>
      </c>
      <c r="H972" s="26" t="n">
        <v>44218</v>
      </c>
      <c r="I972" s="26" t="n">
        <v>44220</v>
      </c>
      <c r="J972" s="12" t="n">
        <v>24.21</v>
      </c>
      <c r="K972" s="17" t="n">
        <v>1839419.23</v>
      </c>
      <c r="L972" s="12" t="n">
        <v>0</v>
      </c>
      <c r="M972" s="12" t="n">
        <v>24</v>
      </c>
      <c r="N972" s="27">
        <f>F972-J972</f>
        <v/>
      </c>
      <c r="O972" s="16">
        <f>I972-H972</f>
        <v/>
      </c>
      <c r="P972" s="14">
        <f>F972*G972</f>
        <v/>
      </c>
      <c r="Q972" s="14">
        <f>J972*G972</f>
        <v/>
      </c>
      <c r="R972" s="14">
        <f>K972-Q972</f>
        <v/>
      </c>
      <c r="S972" s="3">
        <f>P972*Assumptions!$B$3/100</f>
        <v/>
      </c>
      <c r="T972" s="14">
        <f>R972-S972</f>
        <v/>
      </c>
      <c r="U972" s="14">
        <f>L972*G972</f>
        <v/>
      </c>
    </row>
    <row r="973">
      <c r="A973" s="12" t="inlineStr">
        <is>
          <t>PO-2021-0971</t>
        </is>
      </c>
      <c r="B973" s="26" t="n">
        <v>44340</v>
      </c>
      <c r="C973" s="12" t="inlineStr">
        <is>
          <t>VS15</t>
        </is>
      </c>
      <c r="D973" s="12" t="inlineStr">
        <is>
          <t>MS Pipes</t>
        </is>
      </c>
      <c r="E973" s="12" t="inlineStr">
        <is>
          <t>N</t>
        </is>
      </c>
      <c r="F973" s="12" t="n">
        <v>19.84</v>
      </c>
      <c r="G973" s="17" t="n">
        <v>96694.60000000001</v>
      </c>
      <c r="H973" s="26" t="n">
        <v>44355</v>
      </c>
      <c r="I973" s="26" t="n">
        <v>44355</v>
      </c>
      <c r="J973" s="12" t="n">
        <v>19.8</v>
      </c>
      <c r="K973" s="17" t="n">
        <v>1918420.86</v>
      </c>
      <c r="L973" s="12" t="n">
        <v>0</v>
      </c>
      <c r="M973" s="12" t="n">
        <v>0</v>
      </c>
      <c r="N973" s="27">
        <f>F973-J973</f>
        <v/>
      </c>
      <c r="O973" s="16">
        <f>I973-H973</f>
        <v/>
      </c>
      <c r="P973" s="14">
        <f>F973*G973</f>
        <v/>
      </c>
      <c r="Q973" s="14">
        <f>J973*G973</f>
        <v/>
      </c>
      <c r="R973" s="14">
        <f>K973-Q973</f>
        <v/>
      </c>
      <c r="S973" s="3">
        <f>P973*Assumptions!$B$3/100</f>
        <v/>
      </c>
      <c r="T973" s="14">
        <f>R973-S973</f>
        <v/>
      </c>
      <c r="U973" s="14">
        <f>L973*G973</f>
        <v/>
      </c>
    </row>
    <row r="974">
      <c r="A974" s="12" t="inlineStr">
        <is>
          <t>PO-2021-0972</t>
        </is>
      </c>
      <c r="B974" s="26" t="n">
        <v>45184</v>
      </c>
      <c r="C974" s="12" t="inlineStr">
        <is>
          <t>VS08</t>
        </is>
      </c>
      <c r="D974" s="12" t="inlineStr">
        <is>
          <t>Spring Steel</t>
        </is>
      </c>
      <c r="E974" s="12" t="inlineStr">
        <is>
          <t>N</t>
        </is>
      </c>
      <c r="F974" s="12" t="n">
        <v>46.82</v>
      </c>
      <c r="G974" s="17" t="n">
        <v>71918.87</v>
      </c>
      <c r="H974" s="26" t="n">
        <v>45197</v>
      </c>
      <c r="I974" s="26" t="n">
        <v>45199</v>
      </c>
      <c r="J974" s="12" t="n">
        <v>46.69</v>
      </c>
      <c r="K974" s="17" t="n">
        <v>3367241.49</v>
      </c>
      <c r="L974" s="12" t="n">
        <v>0</v>
      </c>
      <c r="M974" s="12" t="n">
        <v>18</v>
      </c>
      <c r="N974" s="27">
        <f>F974-J974</f>
        <v/>
      </c>
      <c r="O974" s="16">
        <f>I974-H974</f>
        <v/>
      </c>
      <c r="P974" s="14">
        <f>F974*G974</f>
        <v/>
      </c>
      <c r="Q974" s="14">
        <f>J974*G974</f>
        <v/>
      </c>
      <c r="R974" s="14">
        <f>K974-Q974</f>
        <v/>
      </c>
      <c r="S974" s="3">
        <f>P974*Assumptions!$B$3/100</f>
        <v/>
      </c>
      <c r="T974" s="14">
        <f>R974-S974</f>
        <v/>
      </c>
      <c r="U974" s="14">
        <f>L974*G974</f>
        <v/>
      </c>
    </row>
    <row r="975">
      <c r="A975" s="12" t="inlineStr">
        <is>
          <t>PO-2021-0973</t>
        </is>
      </c>
      <c r="B975" s="26" t="n">
        <v>44817</v>
      </c>
      <c r="C975" s="12" t="inlineStr">
        <is>
          <t>VS26</t>
        </is>
      </c>
      <c r="D975" s="12" t="inlineStr">
        <is>
          <t>GI Pipes</t>
        </is>
      </c>
      <c r="E975" s="12" t="inlineStr">
        <is>
          <t>N</t>
        </is>
      </c>
      <c r="F975" s="12" t="n">
        <v>31.98</v>
      </c>
      <c r="G975" s="17" t="n">
        <v>116911.79</v>
      </c>
      <c r="H975" s="26" t="n">
        <v>44821</v>
      </c>
      <c r="I975" s="26" t="n">
        <v>44822</v>
      </c>
      <c r="J975" s="12" t="n">
        <v>31.77</v>
      </c>
      <c r="K975" s="17" t="n">
        <v>3738839.04</v>
      </c>
      <c r="L975" s="12" t="n">
        <v>0</v>
      </c>
      <c r="M975" s="12" t="n">
        <v>0</v>
      </c>
      <c r="N975" s="27">
        <f>F975-J975</f>
        <v/>
      </c>
      <c r="O975" s="16">
        <f>I975-H975</f>
        <v/>
      </c>
      <c r="P975" s="14">
        <f>F975*G975</f>
        <v/>
      </c>
      <c r="Q975" s="14">
        <f>J975*G975</f>
        <v/>
      </c>
      <c r="R975" s="14">
        <f>K975-Q975</f>
        <v/>
      </c>
      <c r="S975" s="3">
        <f>P975*Assumptions!$B$3/100</f>
        <v/>
      </c>
      <c r="T975" s="14">
        <f>R975-S975</f>
        <v/>
      </c>
      <c r="U975" s="14">
        <f>L975*G975</f>
        <v/>
      </c>
    </row>
    <row r="976">
      <c r="A976" s="12" t="inlineStr">
        <is>
          <t>PO-2021-0974</t>
        </is>
      </c>
      <c r="B976" s="26" t="n">
        <v>44945</v>
      </c>
      <c r="C976" s="12" t="inlineStr">
        <is>
          <t>VS22</t>
        </is>
      </c>
      <c r="D976" s="12" t="inlineStr">
        <is>
          <t>SS Pipes</t>
        </is>
      </c>
      <c r="E976" s="12" t="inlineStr">
        <is>
          <t>N</t>
        </is>
      </c>
      <c r="F976" s="12" t="n">
        <v>42.22</v>
      </c>
      <c r="G976" s="17" t="n">
        <v>102033.98</v>
      </c>
      <c r="H976" s="26" t="n">
        <v>44952</v>
      </c>
      <c r="I976" s="26" t="n">
        <v>44954</v>
      </c>
      <c r="J976" s="12" t="n">
        <v>42.04</v>
      </c>
      <c r="K976" s="17" t="n">
        <v>4307874.64</v>
      </c>
      <c r="L976" s="12" t="n">
        <v>0</v>
      </c>
      <c r="M976" s="12" t="n">
        <v>17</v>
      </c>
      <c r="N976" s="27">
        <f>F976-J976</f>
        <v/>
      </c>
      <c r="O976" s="16">
        <f>I976-H976</f>
        <v/>
      </c>
      <c r="P976" s="14">
        <f>F976*G976</f>
        <v/>
      </c>
      <c r="Q976" s="14">
        <f>J976*G976</f>
        <v/>
      </c>
      <c r="R976" s="14">
        <f>K976-Q976</f>
        <v/>
      </c>
      <c r="S976" s="3">
        <f>P976*Assumptions!$B$3/100</f>
        <v/>
      </c>
      <c r="T976" s="14">
        <f>R976-S976</f>
        <v/>
      </c>
      <c r="U976" s="14">
        <f>L976*G976</f>
        <v/>
      </c>
    </row>
    <row r="977">
      <c r="A977" s="12" t="inlineStr">
        <is>
          <t>PO-2021-0975</t>
        </is>
      </c>
      <c r="B977" s="26" t="n">
        <v>44612</v>
      </c>
      <c r="C977" s="12" t="inlineStr">
        <is>
          <t>VS12</t>
        </is>
      </c>
      <c r="D977" s="12" t="inlineStr">
        <is>
          <t>Spring Steel</t>
        </is>
      </c>
      <c r="E977" s="12" t="inlineStr">
        <is>
          <t>Y</t>
        </is>
      </c>
      <c r="F977" s="12" t="n">
        <v>2.93</v>
      </c>
      <c r="G977" s="17" t="n">
        <v>76764.77</v>
      </c>
      <c r="H977" s="26" t="n">
        <v>44618</v>
      </c>
      <c r="I977" s="26" t="n">
        <v>44622</v>
      </c>
      <c r="J977" s="12" t="n">
        <v>2.86</v>
      </c>
      <c r="K977" s="17" t="n">
        <v>224920.78</v>
      </c>
      <c r="L977" s="12" t="n">
        <v>0.07000000000000001</v>
      </c>
      <c r="M977" s="12" t="n">
        <v>0</v>
      </c>
      <c r="N977" s="27">
        <f>F977-J977</f>
        <v/>
      </c>
      <c r="O977" s="16">
        <f>I977-H977</f>
        <v/>
      </c>
      <c r="P977" s="14">
        <f>F977*G977</f>
        <v/>
      </c>
      <c r="Q977" s="14">
        <f>J977*G977</f>
        <v/>
      </c>
      <c r="R977" s="14">
        <f>K977-Q977</f>
        <v/>
      </c>
      <c r="S977" s="3">
        <f>P977*Assumptions!$B$3/100</f>
        <v/>
      </c>
      <c r="T977" s="14">
        <f>R977-S977</f>
        <v/>
      </c>
      <c r="U977" s="14">
        <f>L977*G977</f>
        <v/>
      </c>
    </row>
    <row r="978">
      <c r="A978" s="12" t="inlineStr">
        <is>
          <t>PO-2021-0976</t>
        </is>
      </c>
      <c r="B978" s="26" t="n">
        <v>44809</v>
      </c>
      <c r="C978" s="12" t="inlineStr">
        <is>
          <t>VS25</t>
        </is>
      </c>
      <c r="D978" s="12" t="inlineStr">
        <is>
          <t>ERW Pipes</t>
        </is>
      </c>
      <c r="E978" s="12" t="inlineStr">
        <is>
          <t>N</t>
        </is>
      </c>
      <c r="F978" s="12" t="n">
        <v>31.9</v>
      </c>
      <c r="G978" s="17" t="n">
        <v>71944.58</v>
      </c>
      <c r="H978" s="26" t="n">
        <v>44813</v>
      </c>
      <c r="I978" s="26" t="n">
        <v>44813</v>
      </c>
      <c r="J978" s="12" t="n">
        <v>31.62</v>
      </c>
      <c r="K978" s="17" t="n">
        <v>2295032.1</v>
      </c>
      <c r="L978" s="12" t="n">
        <v>0</v>
      </c>
      <c r="M978" s="12" t="n">
        <v>7</v>
      </c>
      <c r="N978" s="27">
        <f>F978-J978</f>
        <v/>
      </c>
      <c r="O978" s="16">
        <f>I978-H978</f>
        <v/>
      </c>
      <c r="P978" s="14">
        <f>F978*G978</f>
        <v/>
      </c>
      <c r="Q978" s="14">
        <f>J978*G978</f>
        <v/>
      </c>
      <c r="R978" s="14">
        <f>K978-Q978</f>
        <v/>
      </c>
      <c r="S978" s="3">
        <f>P978*Assumptions!$B$3/100</f>
        <v/>
      </c>
      <c r="T978" s="14">
        <f>R978-S978</f>
        <v/>
      </c>
      <c r="U978" s="14">
        <f>L978*G978</f>
        <v/>
      </c>
    </row>
    <row r="979">
      <c r="A979" s="12" t="inlineStr">
        <is>
          <t>PO-2021-0977</t>
        </is>
      </c>
      <c r="B979" s="26" t="n">
        <v>45093</v>
      </c>
      <c r="C979" s="12" t="inlineStr">
        <is>
          <t>VS13</t>
        </is>
      </c>
      <c r="D979" s="12" t="inlineStr">
        <is>
          <t>Square/Rect Tubes</t>
        </is>
      </c>
      <c r="E979" s="12" t="inlineStr">
        <is>
          <t>N</t>
        </is>
      </c>
      <c r="F979" s="12" t="n">
        <v>2.75</v>
      </c>
      <c r="G979" s="17" t="n">
        <v>46902.35</v>
      </c>
      <c r="H979" s="26" t="n">
        <v>45105</v>
      </c>
      <c r="I979" s="26" t="n">
        <v>45106</v>
      </c>
      <c r="J979" s="12" t="n">
        <v>2.75</v>
      </c>
      <c r="K979" s="17" t="n">
        <v>128981.46</v>
      </c>
      <c r="L979" s="12" t="n">
        <v>0</v>
      </c>
      <c r="M979" s="12" t="n">
        <v>0</v>
      </c>
      <c r="N979" s="27">
        <f>F979-J979</f>
        <v/>
      </c>
      <c r="O979" s="16">
        <f>I979-H979</f>
        <v/>
      </c>
      <c r="P979" s="14">
        <f>F979*G979</f>
        <v/>
      </c>
      <c r="Q979" s="14">
        <f>J979*G979</f>
        <v/>
      </c>
      <c r="R979" s="14">
        <f>K979-Q979</f>
        <v/>
      </c>
      <c r="S979" s="3">
        <f>P979*Assumptions!$B$3/100</f>
        <v/>
      </c>
      <c r="T979" s="14">
        <f>R979-S979</f>
        <v/>
      </c>
      <c r="U979" s="14">
        <f>L979*G979</f>
        <v/>
      </c>
    </row>
    <row r="980">
      <c r="A980" s="12" t="inlineStr">
        <is>
          <t>PO-2021-0978</t>
        </is>
      </c>
      <c r="B980" s="26" t="n">
        <v>44685</v>
      </c>
      <c r="C980" s="12" t="inlineStr">
        <is>
          <t>VS32</t>
        </is>
      </c>
      <c r="D980" s="12" t="inlineStr">
        <is>
          <t>MS Rods</t>
        </is>
      </c>
      <c r="E980" s="12" t="inlineStr">
        <is>
          <t>N</t>
        </is>
      </c>
      <c r="F980" s="12" t="n">
        <v>4.09</v>
      </c>
      <c r="G980" s="17" t="n">
        <v>85541.39999999999</v>
      </c>
      <c r="H980" s="26" t="n">
        <v>44692</v>
      </c>
      <c r="I980" s="26" t="n">
        <v>44694</v>
      </c>
      <c r="J980" s="12" t="n">
        <v>4.07</v>
      </c>
      <c r="K980" s="17" t="n">
        <v>349864.33</v>
      </c>
      <c r="L980" s="12" t="n">
        <v>0</v>
      </c>
      <c r="M980" s="12" t="n">
        <v>1</v>
      </c>
      <c r="N980" s="27">
        <f>F980-J980</f>
        <v/>
      </c>
      <c r="O980" s="16">
        <f>I980-H980</f>
        <v/>
      </c>
      <c r="P980" s="14">
        <f>F980*G980</f>
        <v/>
      </c>
      <c r="Q980" s="14">
        <f>J980*G980</f>
        <v/>
      </c>
      <c r="R980" s="14">
        <f>K980-Q980</f>
        <v/>
      </c>
      <c r="S980" s="3">
        <f>P980*Assumptions!$B$3/100</f>
        <v/>
      </c>
      <c r="T980" s="14">
        <f>R980-S980</f>
        <v/>
      </c>
      <c r="U980" s="14">
        <f>L980*G980</f>
        <v/>
      </c>
    </row>
    <row r="981">
      <c r="A981" s="12" t="inlineStr">
        <is>
          <t>PO-2021-0979</t>
        </is>
      </c>
      <c r="B981" s="26" t="n">
        <v>45220</v>
      </c>
      <c r="C981" s="12" t="inlineStr">
        <is>
          <t>VS29</t>
        </is>
      </c>
      <c r="D981" s="12" t="inlineStr">
        <is>
          <t>MS Pipes</t>
        </is>
      </c>
      <c r="E981" s="12" t="inlineStr">
        <is>
          <t>N</t>
        </is>
      </c>
      <c r="F981" s="12" t="n">
        <v>2.82</v>
      </c>
      <c r="G981" s="17" t="n">
        <v>49204.08</v>
      </c>
      <c r="H981" s="26" t="n">
        <v>45235</v>
      </c>
      <c r="I981" s="26" t="n">
        <v>45235</v>
      </c>
      <c r="J981" s="12" t="n">
        <v>2.82</v>
      </c>
      <c r="K981" s="17" t="n">
        <v>138755.51</v>
      </c>
      <c r="L981" s="12" t="n">
        <v>0</v>
      </c>
      <c r="M981" s="12" t="n">
        <v>7</v>
      </c>
      <c r="N981" s="27">
        <f>F981-J981</f>
        <v/>
      </c>
      <c r="O981" s="16">
        <f>I981-H981</f>
        <v/>
      </c>
      <c r="P981" s="14">
        <f>F981*G981</f>
        <v/>
      </c>
      <c r="Q981" s="14">
        <f>J981*G981</f>
        <v/>
      </c>
      <c r="R981" s="14">
        <f>K981-Q981</f>
        <v/>
      </c>
      <c r="S981" s="3">
        <f>P981*Assumptions!$B$3/100</f>
        <v/>
      </c>
      <c r="T981" s="14">
        <f>R981-S981</f>
        <v/>
      </c>
      <c r="U981" s="14">
        <f>L981*G981</f>
        <v/>
      </c>
    </row>
    <row r="982">
      <c r="A982" s="12" t="inlineStr">
        <is>
          <t>PO-2021-0980</t>
        </is>
      </c>
      <c r="B982" s="26" t="n">
        <v>44284</v>
      </c>
      <c r="C982" s="12" t="inlineStr">
        <is>
          <t>VS26</t>
        </is>
      </c>
      <c r="D982" s="12" t="inlineStr">
        <is>
          <t>ERW Pipes</t>
        </is>
      </c>
      <c r="E982" s="12" t="inlineStr">
        <is>
          <t>N</t>
        </is>
      </c>
      <c r="F982" s="12" t="n">
        <v>11.37</v>
      </c>
      <c r="G982" s="17" t="n">
        <v>94038.75</v>
      </c>
      <c r="H982" s="26" t="n">
        <v>44295</v>
      </c>
      <c r="I982" s="26" t="n">
        <v>44296</v>
      </c>
      <c r="J982" s="12" t="n">
        <v>11.35</v>
      </c>
      <c r="K982" s="17" t="n">
        <v>1069220.59</v>
      </c>
      <c r="L982" s="12" t="n">
        <v>0</v>
      </c>
      <c r="M982" s="12" t="n">
        <v>7</v>
      </c>
      <c r="N982" s="27">
        <f>F982-J982</f>
        <v/>
      </c>
      <c r="O982" s="16">
        <f>I982-H982</f>
        <v/>
      </c>
      <c r="P982" s="14">
        <f>F982*G982</f>
        <v/>
      </c>
      <c r="Q982" s="14">
        <f>J982*G982</f>
        <v/>
      </c>
      <c r="R982" s="14">
        <f>K982-Q982</f>
        <v/>
      </c>
      <c r="S982" s="3">
        <f>P982*Assumptions!$B$3/100</f>
        <v/>
      </c>
      <c r="T982" s="14">
        <f>R982-S982</f>
        <v/>
      </c>
      <c r="U982" s="14">
        <f>L982*G982</f>
        <v/>
      </c>
    </row>
    <row r="983">
      <c r="A983" s="12" t="inlineStr">
        <is>
          <t>PO-2021-0981</t>
        </is>
      </c>
      <c r="B983" s="26" t="n">
        <v>45135</v>
      </c>
      <c r="C983" s="12" t="inlineStr">
        <is>
          <t>VS10</t>
        </is>
      </c>
      <c r="D983" s="12" t="inlineStr">
        <is>
          <t>HR Coils</t>
        </is>
      </c>
      <c r="E983" s="12" t="inlineStr">
        <is>
          <t>N</t>
        </is>
      </c>
      <c r="F983" s="12" t="n">
        <v>46.32</v>
      </c>
      <c r="G983" s="17" t="n">
        <v>47765.83</v>
      </c>
      <c r="H983" s="26" t="n">
        <v>45140</v>
      </c>
      <c r="I983" s="26" t="n">
        <v>45141</v>
      </c>
      <c r="J983" s="12" t="n">
        <v>45.98</v>
      </c>
      <c r="K983" s="17" t="n">
        <v>2212513.25</v>
      </c>
      <c r="L983" s="12" t="n">
        <v>0</v>
      </c>
      <c r="M983" s="12" t="n">
        <v>0</v>
      </c>
      <c r="N983" s="27">
        <f>F983-J983</f>
        <v/>
      </c>
      <c r="O983" s="16">
        <f>I983-H983</f>
        <v/>
      </c>
      <c r="P983" s="14">
        <f>F983*G983</f>
        <v/>
      </c>
      <c r="Q983" s="14">
        <f>J983*G983</f>
        <v/>
      </c>
      <c r="R983" s="14">
        <f>K983-Q983</f>
        <v/>
      </c>
      <c r="S983" s="3">
        <f>P983*Assumptions!$B$3/100</f>
        <v/>
      </c>
      <c r="T983" s="14">
        <f>R983-S983</f>
        <v/>
      </c>
      <c r="U983" s="14">
        <f>L983*G983</f>
        <v/>
      </c>
    </row>
    <row r="984">
      <c r="A984" s="12" t="inlineStr">
        <is>
          <t>PO-2021-0982</t>
        </is>
      </c>
      <c r="B984" s="26" t="n">
        <v>45198</v>
      </c>
      <c r="C984" s="12" t="inlineStr">
        <is>
          <t>VS02</t>
        </is>
      </c>
      <c r="D984" s="12" t="inlineStr">
        <is>
          <t>Structural Steel</t>
        </is>
      </c>
      <c r="E984" s="12" t="inlineStr">
        <is>
          <t>N</t>
        </is>
      </c>
      <c r="F984" s="12" t="n">
        <v>45.45</v>
      </c>
      <c r="G984" s="17" t="n">
        <v>91377.91</v>
      </c>
      <c r="H984" s="26" t="n">
        <v>45204</v>
      </c>
      <c r="I984" s="26" t="n">
        <v>45206</v>
      </c>
      <c r="J984" s="12" t="n">
        <v>45.21</v>
      </c>
      <c r="K984" s="17" t="n">
        <v>4153126.01</v>
      </c>
      <c r="L984" s="12" t="n">
        <v>0</v>
      </c>
      <c r="M984" s="12" t="n">
        <v>3</v>
      </c>
      <c r="N984" s="27">
        <f>F984-J984</f>
        <v/>
      </c>
      <c r="O984" s="16">
        <f>I984-H984</f>
        <v/>
      </c>
      <c r="P984" s="14">
        <f>F984*G984</f>
        <v/>
      </c>
      <c r="Q984" s="14">
        <f>J984*G984</f>
        <v/>
      </c>
      <c r="R984" s="14">
        <f>K984-Q984</f>
        <v/>
      </c>
      <c r="S984" s="3">
        <f>P984*Assumptions!$B$3/100</f>
        <v/>
      </c>
      <c r="T984" s="14">
        <f>R984-S984</f>
        <v/>
      </c>
      <c r="U984" s="14">
        <f>L984*G984</f>
        <v/>
      </c>
    </row>
    <row r="985">
      <c r="A985" s="12" t="inlineStr">
        <is>
          <t>PO-2021-0983</t>
        </is>
      </c>
      <c r="B985" s="26" t="n">
        <v>44464</v>
      </c>
      <c r="C985" s="12" t="inlineStr">
        <is>
          <t>VS01</t>
        </is>
      </c>
      <c r="D985" s="12" t="inlineStr">
        <is>
          <t>MS Sheets</t>
        </is>
      </c>
      <c r="E985" s="12" t="inlineStr">
        <is>
          <t>N</t>
        </is>
      </c>
      <c r="F985" s="12" t="n">
        <v>32</v>
      </c>
      <c r="G985" s="17" t="n">
        <v>112849.68</v>
      </c>
      <c r="H985" s="26" t="n">
        <v>44479</v>
      </c>
      <c r="I985" s="26" t="n">
        <v>44480</v>
      </c>
      <c r="J985" s="12" t="n">
        <v>31.87</v>
      </c>
      <c r="K985" s="17" t="n">
        <v>3611189.76</v>
      </c>
      <c r="L985" s="12" t="n">
        <v>0</v>
      </c>
      <c r="M985" s="12" t="n">
        <v>0</v>
      </c>
      <c r="N985" s="27">
        <f>F985-J985</f>
        <v/>
      </c>
      <c r="O985" s="16">
        <f>I985-H985</f>
        <v/>
      </c>
      <c r="P985" s="14">
        <f>F985*G985</f>
        <v/>
      </c>
      <c r="Q985" s="14">
        <f>J985*G985</f>
        <v/>
      </c>
      <c r="R985" s="14">
        <f>K985-Q985</f>
        <v/>
      </c>
      <c r="S985" s="3">
        <f>P985*Assumptions!$B$3/100</f>
        <v/>
      </c>
      <c r="T985" s="14">
        <f>R985-S985</f>
        <v/>
      </c>
      <c r="U985" s="14">
        <f>L985*G985</f>
        <v/>
      </c>
    </row>
    <row r="986">
      <c r="A986" s="12" t="inlineStr">
        <is>
          <t>PO-2021-0984</t>
        </is>
      </c>
      <c r="B986" s="26" t="n">
        <v>44396</v>
      </c>
      <c r="C986" s="12" t="inlineStr">
        <is>
          <t>VS30</t>
        </is>
      </c>
      <c r="D986" s="12" t="inlineStr">
        <is>
          <t>MS Sheets</t>
        </is>
      </c>
      <c r="E986" s="12" t="inlineStr">
        <is>
          <t>N</t>
        </is>
      </c>
      <c r="F986" s="12" t="n">
        <v>41.93</v>
      </c>
      <c r="G986" s="17" t="n">
        <v>49796.82</v>
      </c>
      <c r="H986" s="26" t="n">
        <v>44400</v>
      </c>
      <c r="I986" s="26" t="n">
        <v>44403</v>
      </c>
      <c r="J986" s="12" t="n">
        <v>41.8</v>
      </c>
      <c r="K986" s="17" t="n">
        <v>2087980.66</v>
      </c>
      <c r="L986" s="12" t="n">
        <v>0</v>
      </c>
      <c r="M986" s="12" t="n">
        <v>0</v>
      </c>
      <c r="N986" s="27">
        <f>F986-J986</f>
        <v/>
      </c>
      <c r="O986" s="16">
        <f>I986-H986</f>
        <v/>
      </c>
      <c r="P986" s="14">
        <f>F986*G986</f>
        <v/>
      </c>
      <c r="Q986" s="14">
        <f>J986*G986</f>
        <v/>
      </c>
      <c r="R986" s="14">
        <f>K986-Q986</f>
        <v/>
      </c>
      <c r="S986" s="3">
        <f>P986*Assumptions!$B$3/100</f>
        <v/>
      </c>
      <c r="T986" s="14">
        <f>R986-S986</f>
        <v/>
      </c>
      <c r="U986" s="14">
        <f>L986*G986</f>
        <v/>
      </c>
    </row>
    <row r="987">
      <c r="A987" s="12" t="inlineStr">
        <is>
          <t>PO-2021-0985</t>
        </is>
      </c>
      <c r="B987" s="26" t="n">
        <v>44430</v>
      </c>
      <c r="C987" s="12" t="inlineStr">
        <is>
          <t>VS32</t>
        </is>
      </c>
      <c r="D987" s="12" t="inlineStr">
        <is>
          <t>HR Coils</t>
        </is>
      </c>
      <c r="E987" s="12" t="inlineStr">
        <is>
          <t>N</t>
        </is>
      </c>
      <c r="F987" s="12" t="n">
        <v>4.09</v>
      </c>
      <c r="G987" s="17" t="n">
        <v>60198.09</v>
      </c>
      <c r="H987" s="26" t="n">
        <v>44438</v>
      </c>
      <c r="I987" s="26" t="n">
        <v>44441</v>
      </c>
      <c r="J987" s="12" t="n">
        <v>4.07</v>
      </c>
      <c r="K987" s="17" t="n">
        <v>246210.19</v>
      </c>
      <c r="L987" s="12" t="n">
        <v>0</v>
      </c>
      <c r="M987" s="12" t="n">
        <v>0</v>
      </c>
      <c r="N987" s="27">
        <f>F987-J987</f>
        <v/>
      </c>
      <c r="O987" s="16">
        <f>I987-H987</f>
        <v/>
      </c>
      <c r="P987" s="14">
        <f>F987*G987</f>
        <v/>
      </c>
      <c r="Q987" s="14">
        <f>J987*G987</f>
        <v/>
      </c>
      <c r="R987" s="14">
        <f>K987-Q987</f>
        <v/>
      </c>
      <c r="S987" s="3">
        <f>P987*Assumptions!$B$3/100</f>
        <v/>
      </c>
      <c r="T987" s="14">
        <f>R987-S987</f>
        <v/>
      </c>
      <c r="U987" s="14">
        <f>L987*G987</f>
        <v/>
      </c>
    </row>
    <row r="988">
      <c r="A988" s="12" t="inlineStr">
        <is>
          <t>PO-2021-0986</t>
        </is>
      </c>
      <c r="B988" s="26" t="n">
        <v>45020</v>
      </c>
      <c r="C988" s="12" t="inlineStr">
        <is>
          <t>VS21</t>
        </is>
      </c>
      <c r="D988" s="12" t="inlineStr">
        <is>
          <t>ERW Pipes</t>
        </is>
      </c>
      <c r="E988" s="12" t="inlineStr">
        <is>
          <t>Y</t>
        </is>
      </c>
      <c r="F988" s="12" t="n">
        <v>48.82</v>
      </c>
      <c r="G988" s="17" t="n">
        <v>88197.53</v>
      </c>
      <c r="H988" s="26" t="n">
        <v>45025</v>
      </c>
      <c r="I988" s="26" t="n">
        <v>45026</v>
      </c>
      <c r="J988" s="12" t="n">
        <v>48.57</v>
      </c>
      <c r="K988" s="17" t="n">
        <v>4305803.41</v>
      </c>
      <c r="L988" s="12" t="n">
        <v>0</v>
      </c>
      <c r="M988" s="12" t="n">
        <v>20</v>
      </c>
      <c r="N988" s="27">
        <f>F988-J988</f>
        <v/>
      </c>
      <c r="O988" s="16">
        <f>I988-H988</f>
        <v/>
      </c>
      <c r="P988" s="14">
        <f>F988*G988</f>
        <v/>
      </c>
      <c r="Q988" s="14">
        <f>J988*G988</f>
        <v/>
      </c>
      <c r="R988" s="14">
        <f>K988-Q988</f>
        <v/>
      </c>
      <c r="S988" s="3">
        <f>P988*Assumptions!$B$3/100</f>
        <v/>
      </c>
      <c r="T988" s="14">
        <f>R988-S988</f>
        <v/>
      </c>
      <c r="U988" s="14">
        <f>L988*G988</f>
        <v/>
      </c>
    </row>
    <row r="989">
      <c r="A989" s="12" t="inlineStr">
        <is>
          <t>PO-2021-0987</t>
        </is>
      </c>
      <c r="B989" s="26" t="n">
        <v>44855</v>
      </c>
      <c r="C989" s="12" t="inlineStr">
        <is>
          <t>VS14</t>
        </is>
      </c>
      <c r="D989" s="12" t="inlineStr">
        <is>
          <t>GI Pipes</t>
        </is>
      </c>
      <c r="E989" s="12" t="inlineStr">
        <is>
          <t>N</t>
        </is>
      </c>
      <c r="F989" s="12" t="n">
        <v>30.06</v>
      </c>
      <c r="G989" s="17" t="n">
        <v>70162.78</v>
      </c>
      <c r="H989" s="26" t="n">
        <v>44859</v>
      </c>
      <c r="I989" s="26" t="n">
        <v>44860</v>
      </c>
      <c r="J989" s="12" t="n">
        <v>29.79</v>
      </c>
      <c r="K989" s="17" t="n">
        <v>2109093.17</v>
      </c>
      <c r="L989" s="12" t="n">
        <v>0</v>
      </c>
      <c r="M989" s="12" t="n">
        <v>2</v>
      </c>
      <c r="N989" s="27">
        <f>F989-J989</f>
        <v/>
      </c>
      <c r="O989" s="16">
        <f>I989-H989</f>
        <v/>
      </c>
      <c r="P989" s="14">
        <f>F989*G989</f>
        <v/>
      </c>
      <c r="Q989" s="14">
        <f>J989*G989</f>
        <v/>
      </c>
      <c r="R989" s="14">
        <f>K989-Q989</f>
        <v/>
      </c>
      <c r="S989" s="3">
        <f>P989*Assumptions!$B$3/100</f>
        <v/>
      </c>
      <c r="T989" s="14">
        <f>R989-S989</f>
        <v/>
      </c>
      <c r="U989" s="14">
        <f>L989*G989</f>
        <v/>
      </c>
    </row>
    <row r="990">
      <c r="A990" s="12" t="inlineStr">
        <is>
          <t>PO-2021-0988</t>
        </is>
      </c>
      <c r="B990" s="26" t="n">
        <v>44757</v>
      </c>
      <c r="C990" s="12" t="inlineStr">
        <is>
          <t>VS10</t>
        </is>
      </c>
      <c r="D990" s="12" t="inlineStr">
        <is>
          <t>GI Wire</t>
        </is>
      </c>
      <c r="E990" s="12" t="inlineStr">
        <is>
          <t>N</t>
        </is>
      </c>
      <c r="F990" s="12" t="n">
        <v>9.23</v>
      </c>
      <c r="G990" s="17" t="n">
        <v>72744.55</v>
      </c>
      <c r="H990" s="26" t="n">
        <v>44762</v>
      </c>
      <c r="I990" s="26" t="n">
        <v>44763</v>
      </c>
      <c r="J990" s="12" t="n">
        <v>9.140000000000001</v>
      </c>
      <c r="K990" s="17" t="n">
        <v>671432.2</v>
      </c>
      <c r="L990" s="12" t="n">
        <v>0</v>
      </c>
      <c r="M990" s="12" t="n">
        <v>0</v>
      </c>
      <c r="N990" s="27">
        <f>F990-J990</f>
        <v/>
      </c>
      <c r="O990" s="16">
        <f>I990-H990</f>
        <v/>
      </c>
      <c r="P990" s="14">
        <f>F990*G990</f>
        <v/>
      </c>
      <c r="Q990" s="14">
        <f>J990*G990</f>
        <v/>
      </c>
      <c r="R990" s="14">
        <f>K990-Q990</f>
        <v/>
      </c>
      <c r="S990" s="3">
        <f>P990*Assumptions!$B$3/100</f>
        <v/>
      </c>
      <c r="T990" s="14">
        <f>R990-S990</f>
        <v/>
      </c>
      <c r="U990" s="14">
        <f>L990*G990</f>
        <v/>
      </c>
    </row>
    <row r="991">
      <c r="A991" s="12" t="inlineStr">
        <is>
          <t>PO-2021-0989</t>
        </is>
      </c>
      <c r="B991" s="26" t="n">
        <v>45095</v>
      </c>
      <c r="C991" s="12" t="inlineStr">
        <is>
          <t>VS16</t>
        </is>
      </c>
      <c r="D991" s="12" t="inlineStr">
        <is>
          <t>GI Pipes</t>
        </is>
      </c>
      <c r="E991" s="12" t="inlineStr">
        <is>
          <t>N</t>
        </is>
      </c>
      <c r="F991" s="12" t="n">
        <v>7.54</v>
      </c>
      <c r="G991" s="17" t="n">
        <v>104328.92</v>
      </c>
      <c r="H991" s="26" t="n">
        <v>45108</v>
      </c>
      <c r="I991" s="26" t="n">
        <v>45108</v>
      </c>
      <c r="J991" s="12" t="n">
        <v>7.53</v>
      </c>
      <c r="K991" s="17" t="n">
        <v>786640.0600000001</v>
      </c>
      <c r="L991" s="12" t="n">
        <v>0</v>
      </c>
      <c r="M991" s="12" t="n">
        <v>23</v>
      </c>
      <c r="N991" s="27">
        <f>F991-J991</f>
        <v/>
      </c>
      <c r="O991" s="16">
        <f>I991-H991</f>
        <v/>
      </c>
      <c r="P991" s="14">
        <f>F991*G991</f>
        <v/>
      </c>
      <c r="Q991" s="14">
        <f>J991*G991</f>
        <v/>
      </c>
      <c r="R991" s="14">
        <f>K991-Q991</f>
        <v/>
      </c>
      <c r="S991" s="3">
        <f>P991*Assumptions!$B$3/100</f>
        <v/>
      </c>
      <c r="T991" s="14">
        <f>R991-S991</f>
        <v/>
      </c>
      <c r="U991" s="14">
        <f>L991*G991</f>
        <v/>
      </c>
    </row>
    <row r="992">
      <c r="A992" s="12" t="inlineStr">
        <is>
          <t>PO-2021-0990</t>
        </is>
      </c>
      <c r="B992" s="26" t="n">
        <v>44967</v>
      </c>
      <c r="C992" s="12" t="inlineStr">
        <is>
          <t>VS11</t>
        </is>
      </c>
      <c r="D992" s="12" t="inlineStr">
        <is>
          <t>MS Pipes</t>
        </is>
      </c>
      <c r="E992" s="12" t="inlineStr">
        <is>
          <t>N</t>
        </is>
      </c>
      <c r="F992" s="12" t="n">
        <v>44.1</v>
      </c>
      <c r="G992" s="17" t="n">
        <v>51054.2</v>
      </c>
      <c r="H992" s="26" t="n">
        <v>44970</v>
      </c>
      <c r="I992" s="26" t="n">
        <v>44971</v>
      </c>
      <c r="J992" s="12" t="n">
        <v>43.88</v>
      </c>
      <c r="K992" s="17" t="n">
        <v>2251490.22</v>
      </c>
      <c r="L992" s="12" t="n">
        <v>0</v>
      </c>
      <c r="M992" s="12" t="n">
        <v>0</v>
      </c>
      <c r="N992" s="27">
        <f>F992-J992</f>
        <v/>
      </c>
      <c r="O992" s="16">
        <f>I992-H992</f>
        <v/>
      </c>
      <c r="P992" s="14">
        <f>F992*G992</f>
        <v/>
      </c>
      <c r="Q992" s="14">
        <f>J992*G992</f>
        <v/>
      </c>
      <c r="R992" s="14">
        <f>K992-Q992</f>
        <v/>
      </c>
      <c r="S992" s="3">
        <f>P992*Assumptions!$B$3/100</f>
        <v/>
      </c>
      <c r="T992" s="14">
        <f>R992-S992</f>
        <v/>
      </c>
      <c r="U992" s="14">
        <f>L992*G992</f>
        <v/>
      </c>
    </row>
    <row r="993">
      <c r="A993" s="12" t="inlineStr">
        <is>
          <t>PO-2021-0991</t>
        </is>
      </c>
      <c r="B993" s="26" t="n">
        <v>44564</v>
      </c>
      <c r="C993" s="12" t="inlineStr">
        <is>
          <t>VS06</t>
        </is>
      </c>
      <c r="D993" s="12" t="inlineStr">
        <is>
          <t>SS Sheets</t>
        </is>
      </c>
      <c r="E993" s="12" t="inlineStr">
        <is>
          <t>N</t>
        </is>
      </c>
      <c r="F993" s="12" t="n">
        <v>21.39</v>
      </c>
      <c r="G993" s="17" t="n">
        <v>105555.89</v>
      </c>
      <c r="H993" s="26" t="n">
        <v>44579</v>
      </c>
      <c r="I993" s="26" t="n">
        <v>44579</v>
      </c>
      <c r="J993" s="12" t="n">
        <v>21.2</v>
      </c>
      <c r="K993" s="17" t="n">
        <v>2257840.49</v>
      </c>
      <c r="L993" s="12" t="n">
        <v>0</v>
      </c>
      <c r="M993" s="12" t="n">
        <v>0</v>
      </c>
      <c r="N993" s="27">
        <f>F993-J993</f>
        <v/>
      </c>
      <c r="O993" s="16">
        <f>I993-H993</f>
        <v/>
      </c>
      <c r="P993" s="14">
        <f>F993*G993</f>
        <v/>
      </c>
      <c r="Q993" s="14">
        <f>J993*G993</f>
        <v/>
      </c>
      <c r="R993" s="14">
        <f>K993-Q993</f>
        <v/>
      </c>
      <c r="S993" s="3">
        <f>P993*Assumptions!$B$3/100</f>
        <v/>
      </c>
      <c r="T993" s="14">
        <f>R993-S993</f>
        <v/>
      </c>
      <c r="U993" s="14">
        <f>L993*G993</f>
        <v/>
      </c>
    </row>
    <row r="994">
      <c r="A994" s="12" t="inlineStr">
        <is>
          <t>PO-2021-0992</t>
        </is>
      </c>
      <c r="B994" s="26" t="n">
        <v>45171</v>
      </c>
      <c r="C994" s="12" t="inlineStr">
        <is>
          <t>VS09</t>
        </is>
      </c>
      <c r="D994" s="12" t="inlineStr">
        <is>
          <t>GI Sheets</t>
        </is>
      </c>
      <c r="E994" s="12" t="inlineStr">
        <is>
          <t>N</t>
        </is>
      </c>
      <c r="F994" s="12" t="n">
        <v>8.01</v>
      </c>
      <c r="G994" s="17" t="n">
        <v>65321.23</v>
      </c>
      <c r="H994" s="26" t="n">
        <v>45181</v>
      </c>
      <c r="I994" s="26" t="n">
        <v>45183</v>
      </c>
      <c r="J994" s="12" t="n">
        <v>7.97</v>
      </c>
      <c r="K994" s="17" t="n">
        <v>523223.05</v>
      </c>
      <c r="L994" s="12" t="n">
        <v>0</v>
      </c>
      <c r="M994" s="12" t="n">
        <v>1</v>
      </c>
      <c r="N994" s="27">
        <f>F994-J994</f>
        <v/>
      </c>
      <c r="O994" s="16">
        <f>I994-H994</f>
        <v/>
      </c>
      <c r="P994" s="14">
        <f>F994*G994</f>
        <v/>
      </c>
      <c r="Q994" s="14">
        <f>J994*G994</f>
        <v/>
      </c>
      <c r="R994" s="14">
        <f>K994-Q994</f>
        <v/>
      </c>
      <c r="S994" s="3">
        <f>P994*Assumptions!$B$3/100</f>
        <v/>
      </c>
      <c r="T994" s="14">
        <f>R994-S994</f>
        <v/>
      </c>
      <c r="U994" s="14">
        <f>L994*G994</f>
        <v/>
      </c>
    </row>
    <row r="995">
      <c r="A995" s="12" t="inlineStr">
        <is>
          <t>PO-2021-0993</t>
        </is>
      </c>
      <c r="B995" s="26" t="n">
        <v>45040</v>
      </c>
      <c r="C995" s="12" t="inlineStr">
        <is>
          <t>VS16</t>
        </is>
      </c>
      <c r="D995" s="12" t="inlineStr">
        <is>
          <t>MS Sheets</t>
        </is>
      </c>
      <c r="E995" s="12" t="inlineStr">
        <is>
          <t>N</t>
        </is>
      </c>
      <c r="F995" s="12" t="n">
        <v>30.92</v>
      </c>
      <c r="G995" s="17" t="n">
        <v>47821.59</v>
      </c>
      <c r="H995" s="26" t="n">
        <v>45045</v>
      </c>
      <c r="I995" s="26" t="n">
        <v>45045</v>
      </c>
      <c r="J995" s="12" t="n">
        <v>30.78</v>
      </c>
      <c r="K995" s="17" t="n">
        <v>1478643.56</v>
      </c>
      <c r="L995" s="12" t="n">
        <v>0</v>
      </c>
      <c r="M995" s="12" t="n">
        <v>0</v>
      </c>
      <c r="N995" s="27">
        <f>F995-J995</f>
        <v/>
      </c>
      <c r="O995" s="16">
        <f>I995-H995</f>
        <v/>
      </c>
      <c r="P995" s="14">
        <f>F995*G995</f>
        <v/>
      </c>
      <c r="Q995" s="14">
        <f>J995*G995</f>
        <v/>
      </c>
      <c r="R995" s="14">
        <f>K995-Q995</f>
        <v/>
      </c>
      <c r="S995" s="3">
        <f>P995*Assumptions!$B$3/100</f>
        <v/>
      </c>
      <c r="T995" s="14">
        <f>R995-S995</f>
        <v/>
      </c>
      <c r="U995" s="14">
        <f>L995*G995</f>
        <v/>
      </c>
    </row>
    <row r="996">
      <c r="A996" s="12" t="inlineStr">
        <is>
          <t>PO-2021-0994</t>
        </is>
      </c>
      <c r="B996" s="26" t="n">
        <v>45220</v>
      </c>
      <c r="C996" s="12" t="inlineStr">
        <is>
          <t>VS06</t>
        </is>
      </c>
      <c r="D996" s="12" t="inlineStr">
        <is>
          <t>SS Sheets</t>
        </is>
      </c>
      <c r="E996" s="12" t="inlineStr">
        <is>
          <t>N</t>
        </is>
      </c>
      <c r="F996" s="12" t="n">
        <v>18.04</v>
      </c>
      <c r="G996" s="17" t="n">
        <v>45342.75</v>
      </c>
      <c r="H996" s="26" t="n">
        <v>45226</v>
      </c>
      <c r="I996" s="26" t="n">
        <v>45226</v>
      </c>
      <c r="J996" s="12" t="n">
        <v>17.96</v>
      </c>
      <c r="K996" s="17" t="n">
        <v>817983.21</v>
      </c>
      <c r="L996" s="12" t="n">
        <v>0</v>
      </c>
      <c r="M996" s="12" t="n">
        <v>0</v>
      </c>
      <c r="N996" s="27">
        <f>F996-J996</f>
        <v/>
      </c>
      <c r="O996" s="16">
        <f>I996-H996</f>
        <v/>
      </c>
      <c r="P996" s="14">
        <f>F996*G996</f>
        <v/>
      </c>
      <c r="Q996" s="14">
        <f>J996*G996</f>
        <v/>
      </c>
      <c r="R996" s="14">
        <f>K996-Q996</f>
        <v/>
      </c>
      <c r="S996" s="3">
        <f>P996*Assumptions!$B$3/100</f>
        <v/>
      </c>
      <c r="T996" s="14">
        <f>R996-S996</f>
        <v/>
      </c>
      <c r="U996" s="14">
        <f>L996*G996</f>
        <v/>
      </c>
    </row>
    <row r="997">
      <c r="A997" s="12" t="inlineStr">
        <is>
          <t>PO-2021-0995</t>
        </is>
      </c>
      <c r="B997" s="26" t="n">
        <v>44590</v>
      </c>
      <c r="C997" s="12" t="inlineStr">
        <is>
          <t>VS08</t>
        </is>
      </c>
      <c r="D997" s="12" t="inlineStr">
        <is>
          <t>Hex Bars</t>
        </is>
      </c>
      <c r="E997" s="12" t="inlineStr">
        <is>
          <t>N</t>
        </is>
      </c>
      <c r="F997" s="12" t="n">
        <v>48.86</v>
      </c>
      <c r="G997" s="17" t="n">
        <v>91419.07000000001</v>
      </c>
      <c r="H997" s="26" t="n">
        <v>44605</v>
      </c>
      <c r="I997" s="26" t="n">
        <v>44608</v>
      </c>
      <c r="J997" s="12" t="n">
        <v>48.52</v>
      </c>
      <c r="K997" s="17" t="n">
        <v>4466735.76</v>
      </c>
      <c r="L997" s="12" t="n">
        <v>0</v>
      </c>
      <c r="M997" s="12" t="n">
        <v>20</v>
      </c>
      <c r="N997" s="27">
        <f>F997-J997</f>
        <v/>
      </c>
      <c r="O997" s="16">
        <f>I997-H997</f>
        <v/>
      </c>
      <c r="P997" s="14">
        <f>F997*G997</f>
        <v/>
      </c>
      <c r="Q997" s="14">
        <f>J997*G997</f>
        <v/>
      </c>
      <c r="R997" s="14">
        <f>K997-Q997</f>
        <v/>
      </c>
      <c r="S997" s="3">
        <f>P997*Assumptions!$B$3/100</f>
        <v/>
      </c>
      <c r="T997" s="14">
        <f>R997-S997</f>
        <v/>
      </c>
      <c r="U997" s="14">
        <f>L997*G997</f>
        <v/>
      </c>
    </row>
    <row r="998">
      <c r="A998" s="12" t="inlineStr">
        <is>
          <t>PO-2021-0996</t>
        </is>
      </c>
      <c r="B998" s="26" t="n">
        <v>45236</v>
      </c>
      <c r="C998" s="12" t="inlineStr">
        <is>
          <t>VS15</t>
        </is>
      </c>
      <c r="D998" s="12" t="inlineStr">
        <is>
          <t>Fasteners &amp; Fittings</t>
        </is>
      </c>
      <c r="E998" s="12" t="inlineStr">
        <is>
          <t>N</t>
        </is>
      </c>
      <c r="F998" s="12" t="n">
        <v>38.75</v>
      </c>
      <c r="G998" s="17" t="n">
        <v>94449.53999999999</v>
      </c>
      <c r="H998" s="26" t="n">
        <v>45243</v>
      </c>
      <c r="I998" s="26" t="n">
        <v>45244</v>
      </c>
      <c r="J998" s="12" t="n">
        <v>38.44</v>
      </c>
      <c r="K998" s="17" t="n">
        <v>3659919.67</v>
      </c>
      <c r="L998" s="12" t="n">
        <v>0</v>
      </c>
      <c r="M998" s="12" t="n">
        <v>14</v>
      </c>
      <c r="N998" s="27">
        <f>F998-J998</f>
        <v/>
      </c>
      <c r="O998" s="16">
        <f>I998-H998</f>
        <v/>
      </c>
      <c r="P998" s="14">
        <f>F998*G998</f>
        <v/>
      </c>
      <c r="Q998" s="14">
        <f>J998*G998</f>
        <v/>
      </c>
      <c r="R998" s="14">
        <f>K998-Q998</f>
        <v/>
      </c>
      <c r="S998" s="3">
        <f>P998*Assumptions!$B$3/100</f>
        <v/>
      </c>
      <c r="T998" s="14">
        <f>R998-S998</f>
        <v/>
      </c>
      <c r="U998" s="14">
        <f>L998*G998</f>
        <v/>
      </c>
    </row>
    <row r="999">
      <c r="A999" s="12" t="inlineStr">
        <is>
          <t>PO-2021-0997</t>
        </is>
      </c>
      <c r="B999" s="26" t="n">
        <v>44305</v>
      </c>
      <c r="C999" s="12" t="inlineStr">
        <is>
          <t>VS13</t>
        </is>
      </c>
      <c r="D999" s="12" t="inlineStr">
        <is>
          <t>ERW Pipes</t>
        </is>
      </c>
      <c r="E999" s="12" t="inlineStr">
        <is>
          <t>N</t>
        </is>
      </c>
      <c r="F999" s="12" t="n">
        <v>40.03</v>
      </c>
      <c r="G999" s="17" t="n">
        <v>96393.28</v>
      </c>
      <c r="H999" s="26" t="n">
        <v>44315</v>
      </c>
      <c r="I999" s="26" t="n">
        <v>44315</v>
      </c>
      <c r="J999" s="12" t="n">
        <v>39.9</v>
      </c>
      <c r="K999" s="17" t="n">
        <v>3858623</v>
      </c>
      <c r="L999" s="12" t="n">
        <v>0</v>
      </c>
      <c r="M999" s="12" t="n">
        <v>0</v>
      </c>
      <c r="N999" s="27">
        <f>F999-J999</f>
        <v/>
      </c>
      <c r="O999" s="16">
        <f>I999-H999</f>
        <v/>
      </c>
      <c r="P999" s="14">
        <f>F999*G999</f>
        <v/>
      </c>
      <c r="Q999" s="14">
        <f>J999*G999</f>
        <v/>
      </c>
      <c r="R999" s="14">
        <f>K999-Q999</f>
        <v/>
      </c>
      <c r="S999" s="3">
        <f>P999*Assumptions!$B$3/100</f>
        <v/>
      </c>
      <c r="T999" s="14">
        <f>R999-S999</f>
        <v/>
      </c>
      <c r="U999" s="14">
        <f>L999*G999</f>
        <v/>
      </c>
    </row>
    <row r="1000">
      <c r="A1000" s="12" t="inlineStr">
        <is>
          <t>PO-2021-0998</t>
        </is>
      </c>
      <c r="B1000" s="26" t="n">
        <v>45215</v>
      </c>
      <c r="C1000" s="12" t="inlineStr">
        <is>
          <t>VS12</t>
        </is>
      </c>
      <c r="D1000" s="12" t="inlineStr">
        <is>
          <t>MS Sheets</t>
        </is>
      </c>
      <c r="E1000" s="12" t="inlineStr">
        <is>
          <t>N</t>
        </is>
      </c>
      <c r="F1000" s="12" t="n">
        <v>33.84</v>
      </c>
      <c r="G1000" s="17" t="n">
        <v>50163.02</v>
      </c>
      <c r="H1000" s="26" t="n">
        <v>45228</v>
      </c>
      <c r="I1000" s="26" t="n">
        <v>45234</v>
      </c>
      <c r="J1000" s="12" t="n">
        <v>32.3</v>
      </c>
      <c r="K1000" s="17" t="n">
        <v>1697516.6</v>
      </c>
      <c r="L1000" s="12" t="n">
        <v>1.08</v>
      </c>
      <c r="M1000" s="12" t="n">
        <v>0</v>
      </c>
      <c r="N1000" s="27">
        <f>F1000-J1000</f>
        <v/>
      </c>
      <c r="O1000" s="16">
        <f>I1000-H1000</f>
        <v/>
      </c>
      <c r="P1000" s="14">
        <f>F1000*G1000</f>
        <v/>
      </c>
      <c r="Q1000" s="14">
        <f>J1000*G1000</f>
        <v/>
      </c>
      <c r="R1000" s="14">
        <f>K1000-Q1000</f>
        <v/>
      </c>
      <c r="S1000" s="3">
        <f>P1000*Assumptions!$B$3/100</f>
        <v/>
      </c>
      <c r="T1000" s="14">
        <f>R1000-S1000</f>
        <v/>
      </c>
      <c r="U1000" s="14">
        <f>L1000*G1000</f>
        <v/>
      </c>
    </row>
    <row r="1001">
      <c r="A1001" s="12" t="inlineStr">
        <is>
          <t>PO-2021-0999</t>
        </is>
      </c>
      <c r="B1001" s="26" t="n">
        <v>44942</v>
      </c>
      <c r="C1001" s="12" t="inlineStr">
        <is>
          <t>VS19</t>
        </is>
      </c>
      <c r="D1001" s="12" t="inlineStr">
        <is>
          <t>GI Sheets</t>
        </is>
      </c>
      <c r="E1001" s="12" t="inlineStr">
        <is>
          <t>N</t>
        </is>
      </c>
      <c r="F1001" s="12" t="n">
        <v>22.3</v>
      </c>
      <c r="G1001" s="17" t="n">
        <v>72874.98</v>
      </c>
      <c r="H1001" s="26" t="n">
        <v>44957</v>
      </c>
      <c r="I1001" s="26" t="n">
        <v>44962</v>
      </c>
      <c r="J1001" s="12" t="n">
        <v>21.83</v>
      </c>
      <c r="K1001" s="17" t="n">
        <v>1625112.05</v>
      </c>
      <c r="L1001" s="12" t="n">
        <v>0.79</v>
      </c>
      <c r="M1001" s="12" t="n">
        <v>10</v>
      </c>
      <c r="N1001" s="27">
        <f>F1001-J1001</f>
        <v/>
      </c>
      <c r="O1001" s="16">
        <f>I1001-H1001</f>
        <v/>
      </c>
      <c r="P1001" s="14">
        <f>F1001*G1001</f>
        <v/>
      </c>
      <c r="Q1001" s="14">
        <f>J1001*G1001</f>
        <v/>
      </c>
      <c r="R1001" s="14">
        <f>K1001-Q1001</f>
        <v/>
      </c>
      <c r="S1001" s="3">
        <f>P1001*Assumptions!$B$3/100</f>
        <v/>
      </c>
      <c r="T1001" s="14">
        <f>R1001-S1001</f>
        <v/>
      </c>
      <c r="U1001" s="14">
        <f>L1001*G1001</f>
        <v/>
      </c>
    </row>
    <row r="1002">
      <c r="A1002" s="12" t="inlineStr">
        <is>
          <t>PO-2021-1000</t>
        </is>
      </c>
      <c r="B1002" s="26" t="n">
        <v>45125</v>
      </c>
      <c r="C1002" s="12" t="inlineStr">
        <is>
          <t>VS03</t>
        </is>
      </c>
      <c r="D1002" s="12" t="inlineStr">
        <is>
          <t>ERW Pipes</t>
        </is>
      </c>
      <c r="E1002" s="12" t="inlineStr">
        <is>
          <t>N</t>
        </is>
      </c>
      <c r="F1002" s="12" t="n">
        <v>37.28</v>
      </c>
      <c r="G1002" s="17" t="n">
        <v>118939.18</v>
      </c>
      <c r="H1002" s="26" t="n">
        <v>45130</v>
      </c>
      <c r="I1002" s="26" t="n">
        <v>45132</v>
      </c>
      <c r="J1002" s="12" t="n">
        <v>35.91</v>
      </c>
      <c r="K1002" s="17" t="n">
        <v>4434052.63</v>
      </c>
      <c r="L1002" s="12" t="n">
        <v>0.27</v>
      </c>
      <c r="M1002" s="12" t="n">
        <v>25</v>
      </c>
      <c r="N1002" s="27">
        <f>F1002-J1002</f>
        <v/>
      </c>
      <c r="O1002" s="16">
        <f>I1002-H1002</f>
        <v/>
      </c>
      <c r="P1002" s="14">
        <f>F1002*G1002</f>
        <v/>
      </c>
      <c r="Q1002" s="14">
        <f>J1002*G1002</f>
        <v/>
      </c>
      <c r="R1002" s="14">
        <f>K1002-Q1002</f>
        <v/>
      </c>
      <c r="S1002" s="3">
        <f>P1002*Assumptions!$B$3/100</f>
        <v/>
      </c>
      <c r="T1002" s="14">
        <f>R1002-S1002</f>
        <v/>
      </c>
      <c r="U1002" s="14">
        <f>L1002*G1002</f>
        <v/>
      </c>
    </row>
    <row r="1003">
      <c r="A1003" s="12" t="inlineStr">
        <is>
          <t>PO-2021-1001</t>
        </is>
      </c>
      <c r="B1003" s="26" t="n">
        <v>44520</v>
      </c>
      <c r="C1003" s="12" t="inlineStr">
        <is>
          <t>VS02</t>
        </is>
      </c>
      <c r="D1003" s="12" t="inlineStr">
        <is>
          <t>Structural Steel</t>
        </is>
      </c>
      <c r="E1003" s="12" t="inlineStr">
        <is>
          <t>N</t>
        </is>
      </c>
      <c r="F1003" s="12" t="n">
        <v>26.23</v>
      </c>
      <c r="G1003" s="17" t="n">
        <v>50314.46</v>
      </c>
      <c r="H1003" s="26" t="n">
        <v>44526</v>
      </c>
      <c r="I1003" s="26" t="n">
        <v>44529</v>
      </c>
      <c r="J1003" s="12" t="n">
        <v>26.1</v>
      </c>
      <c r="K1003" s="17" t="n">
        <v>1319748.29</v>
      </c>
      <c r="L1003" s="12" t="n">
        <v>0</v>
      </c>
      <c r="M1003" s="12" t="n">
        <v>0</v>
      </c>
      <c r="N1003" s="27">
        <f>F1003-J1003</f>
        <v/>
      </c>
      <c r="O1003" s="16">
        <f>I1003-H1003</f>
        <v/>
      </c>
      <c r="P1003" s="14">
        <f>F1003*G1003</f>
        <v/>
      </c>
      <c r="Q1003" s="14">
        <f>J1003*G1003</f>
        <v/>
      </c>
      <c r="R1003" s="14">
        <f>K1003-Q1003</f>
        <v/>
      </c>
      <c r="S1003" s="3">
        <f>P1003*Assumptions!$B$3/100</f>
        <v/>
      </c>
      <c r="T1003" s="14">
        <f>R1003-S1003</f>
        <v/>
      </c>
      <c r="U1003" s="14">
        <f>L1003*G1003</f>
        <v/>
      </c>
    </row>
    <row r="1004">
      <c r="A1004" s="12" t="inlineStr">
        <is>
          <t>PO-2021-1002</t>
        </is>
      </c>
      <c r="B1004" s="26" t="n">
        <v>45107</v>
      </c>
      <c r="C1004" s="12" t="inlineStr">
        <is>
          <t>VS21</t>
        </is>
      </c>
      <c r="D1004" s="12" t="inlineStr">
        <is>
          <t>GI Wire</t>
        </is>
      </c>
      <c r="E1004" s="12" t="inlineStr">
        <is>
          <t>N</t>
        </is>
      </c>
      <c r="F1004" s="12" t="n">
        <v>10.74</v>
      </c>
      <c r="G1004" s="17" t="n">
        <v>95763.94</v>
      </c>
      <c r="H1004" s="26" t="n">
        <v>45115</v>
      </c>
      <c r="I1004" s="26" t="n">
        <v>45115</v>
      </c>
      <c r="J1004" s="12" t="n">
        <v>10.73</v>
      </c>
      <c r="K1004" s="17" t="n">
        <v>1028504.72</v>
      </c>
      <c r="L1004" s="12" t="n">
        <v>0</v>
      </c>
      <c r="M1004" s="12" t="n">
        <v>11</v>
      </c>
      <c r="N1004" s="27">
        <f>F1004-J1004</f>
        <v/>
      </c>
      <c r="O1004" s="16">
        <f>I1004-H1004</f>
        <v/>
      </c>
      <c r="P1004" s="14">
        <f>F1004*G1004</f>
        <v/>
      </c>
      <c r="Q1004" s="14">
        <f>J1004*G1004</f>
        <v/>
      </c>
      <c r="R1004" s="14">
        <f>K1004-Q1004</f>
        <v/>
      </c>
      <c r="S1004" s="3">
        <f>P1004*Assumptions!$B$3/100</f>
        <v/>
      </c>
      <c r="T1004" s="14">
        <f>R1004-S1004</f>
        <v/>
      </c>
      <c r="U1004" s="14">
        <f>L1004*G1004</f>
        <v/>
      </c>
    </row>
    <row r="1005">
      <c r="A1005" s="12" t="inlineStr">
        <is>
          <t>PO-2021-1003</t>
        </is>
      </c>
      <c r="B1005" s="26" t="n">
        <v>44668</v>
      </c>
      <c r="C1005" s="12" t="inlineStr">
        <is>
          <t>VS08</t>
        </is>
      </c>
      <c r="D1005" s="12" t="inlineStr">
        <is>
          <t>MS Flats</t>
        </is>
      </c>
      <c r="E1005" s="12" t="inlineStr">
        <is>
          <t>N</t>
        </is>
      </c>
      <c r="F1005" s="12" t="n">
        <v>12.16</v>
      </c>
      <c r="G1005" s="17" t="n">
        <v>62783.88</v>
      </c>
      <c r="H1005" s="26" t="n">
        <v>44677</v>
      </c>
      <c r="I1005" s="26" t="n">
        <v>44677</v>
      </c>
      <c r="J1005" s="12" t="n">
        <v>12.14</v>
      </c>
      <c r="K1005" s="17" t="n">
        <v>763451.98</v>
      </c>
      <c r="L1005" s="12" t="n">
        <v>0</v>
      </c>
      <c r="M1005" s="12" t="n">
        <v>15</v>
      </c>
      <c r="N1005" s="27">
        <f>F1005-J1005</f>
        <v/>
      </c>
      <c r="O1005" s="16">
        <f>I1005-H1005</f>
        <v/>
      </c>
      <c r="P1005" s="14">
        <f>F1005*G1005</f>
        <v/>
      </c>
      <c r="Q1005" s="14">
        <f>J1005*G1005</f>
        <v/>
      </c>
      <c r="R1005" s="14">
        <f>K1005-Q1005</f>
        <v/>
      </c>
      <c r="S1005" s="3">
        <f>P1005*Assumptions!$B$3/100</f>
        <v/>
      </c>
      <c r="T1005" s="14">
        <f>R1005-S1005</f>
        <v/>
      </c>
      <c r="U1005" s="14">
        <f>L1005*G1005</f>
        <v/>
      </c>
    </row>
    <row r="1006">
      <c r="A1006" s="12" t="inlineStr">
        <is>
          <t>PO-2021-1004</t>
        </is>
      </c>
      <c r="B1006" s="26" t="n">
        <v>44606</v>
      </c>
      <c r="C1006" s="12" t="inlineStr">
        <is>
          <t>VS25</t>
        </is>
      </c>
      <c r="D1006" s="12" t="inlineStr">
        <is>
          <t>HR Coils</t>
        </is>
      </c>
      <c r="E1006" s="12" t="inlineStr">
        <is>
          <t>N</t>
        </is>
      </c>
      <c r="F1006" s="12" t="n">
        <v>4.6</v>
      </c>
      <c r="G1006" s="17" t="n">
        <v>88881.92</v>
      </c>
      <c r="H1006" s="26" t="n">
        <v>44609</v>
      </c>
      <c r="I1006" s="26" t="n">
        <v>44609</v>
      </c>
      <c r="J1006" s="12" t="n">
        <v>4.58</v>
      </c>
      <c r="K1006" s="17" t="n">
        <v>408856.83</v>
      </c>
      <c r="L1006" s="12" t="n">
        <v>0</v>
      </c>
      <c r="M1006" s="12" t="n">
        <v>24</v>
      </c>
      <c r="N1006" s="27">
        <f>F1006-J1006</f>
        <v/>
      </c>
      <c r="O1006" s="16">
        <f>I1006-H1006</f>
        <v/>
      </c>
      <c r="P1006" s="14">
        <f>F1006*G1006</f>
        <v/>
      </c>
      <c r="Q1006" s="14">
        <f>J1006*G1006</f>
        <v/>
      </c>
      <c r="R1006" s="14">
        <f>K1006-Q1006</f>
        <v/>
      </c>
      <c r="S1006" s="3">
        <f>P1006*Assumptions!$B$3/100</f>
        <v/>
      </c>
      <c r="T1006" s="14">
        <f>R1006-S1006</f>
        <v/>
      </c>
      <c r="U1006" s="14">
        <f>L1006*G1006</f>
        <v/>
      </c>
    </row>
    <row r="1007">
      <c r="A1007" s="12" t="inlineStr">
        <is>
          <t>PO-2021-1005</t>
        </is>
      </c>
      <c r="B1007" s="26" t="n">
        <v>45089</v>
      </c>
      <c r="C1007" s="12" t="inlineStr">
        <is>
          <t>VS10</t>
        </is>
      </c>
      <c r="D1007" s="12" t="inlineStr">
        <is>
          <t>GI Sheets</t>
        </is>
      </c>
      <c r="E1007" s="12" t="inlineStr">
        <is>
          <t>N</t>
        </is>
      </c>
      <c r="F1007" s="12" t="n">
        <v>46.47</v>
      </c>
      <c r="G1007" s="17" t="n">
        <v>79124.32000000001</v>
      </c>
      <c r="H1007" s="26" t="n">
        <v>45098</v>
      </c>
      <c r="I1007" s="26" t="n">
        <v>45101</v>
      </c>
      <c r="J1007" s="12" t="n">
        <v>46.14</v>
      </c>
      <c r="K1007" s="17" t="n">
        <v>3676907.15</v>
      </c>
      <c r="L1007" s="12" t="n">
        <v>0</v>
      </c>
      <c r="M1007" s="12" t="n">
        <v>24</v>
      </c>
      <c r="N1007" s="27">
        <f>F1007-J1007</f>
        <v/>
      </c>
      <c r="O1007" s="16">
        <f>I1007-H1007</f>
        <v/>
      </c>
      <c r="P1007" s="14">
        <f>F1007*G1007</f>
        <v/>
      </c>
      <c r="Q1007" s="14">
        <f>J1007*G1007</f>
        <v/>
      </c>
      <c r="R1007" s="14">
        <f>K1007-Q1007</f>
        <v/>
      </c>
      <c r="S1007" s="3">
        <f>P1007*Assumptions!$B$3/100</f>
        <v/>
      </c>
      <c r="T1007" s="14">
        <f>R1007-S1007</f>
        <v/>
      </c>
      <c r="U1007" s="14">
        <f>L1007*G1007</f>
        <v/>
      </c>
    </row>
    <row r="1008">
      <c r="A1008" s="12" t="inlineStr">
        <is>
          <t>PO-2021-1006</t>
        </is>
      </c>
      <c r="B1008" s="26" t="n">
        <v>44961</v>
      </c>
      <c r="C1008" s="12" t="inlineStr">
        <is>
          <t>VS09</t>
        </is>
      </c>
      <c r="D1008" s="12" t="inlineStr">
        <is>
          <t>Fasteners &amp; Fittings</t>
        </is>
      </c>
      <c r="E1008" s="12" t="inlineStr">
        <is>
          <t>N</t>
        </is>
      </c>
      <c r="F1008" s="12" t="n">
        <v>36.27</v>
      </c>
      <c r="G1008" s="17" t="n">
        <v>92401.58</v>
      </c>
      <c r="H1008" s="26" t="n">
        <v>44968</v>
      </c>
      <c r="I1008" s="26" t="n">
        <v>44968</v>
      </c>
      <c r="J1008" s="12" t="n">
        <v>35.95</v>
      </c>
      <c r="K1008" s="17" t="n">
        <v>3351405.31</v>
      </c>
      <c r="L1008" s="12" t="n">
        <v>0</v>
      </c>
      <c r="M1008" s="12" t="n">
        <v>20</v>
      </c>
      <c r="N1008" s="27">
        <f>F1008-J1008</f>
        <v/>
      </c>
      <c r="O1008" s="16">
        <f>I1008-H1008</f>
        <v/>
      </c>
      <c r="P1008" s="14">
        <f>F1008*G1008</f>
        <v/>
      </c>
      <c r="Q1008" s="14">
        <f>J1008*G1008</f>
        <v/>
      </c>
      <c r="R1008" s="14">
        <f>K1008-Q1008</f>
        <v/>
      </c>
      <c r="S1008" s="3">
        <f>P1008*Assumptions!$B$3/100</f>
        <v/>
      </c>
      <c r="T1008" s="14">
        <f>R1008-S1008</f>
        <v/>
      </c>
      <c r="U1008" s="14">
        <f>L1008*G1008</f>
        <v/>
      </c>
    </row>
    <row r="1009">
      <c r="A1009" s="12" t="inlineStr">
        <is>
          <t>PO-2021-1007</t>
        </is>
      </c>
      <c r="B1009" s="26" t="n">
        <v>44611</v>
      </c>
      <c r="C1009" s="12" t="inlineStr">
        <is>
          <t>VS22</t>
        </is>
      </c>
      <c r="D1009" s="12" t="inlineStr">
        <is>
          <t>Square/Rect Tubes</t>
        </is>
      </c>
      <c r="E1009" s="12" t="inlineStr">
        <is>
          <t>N</t>
        </is>
      </c>
      <c r="F1009" s="12" t="n">
        <v>2.57</v>
      </c>
      <c r="G1009" s="17" t="n">
        <v>87649.94</v>
      </c>
      <c r="H1009" s="26" t="n">
        <v>44618</v>
      </c>
      <c r="I1009" s="26" t="n">
        <v>44619</v>
      </c>
      <c r="J1009" s="12" t="n">
        <v>2.56</v>
      </c>
      <c r="K1009" s="17" t="n">
        <v>225260.35</v>
      </c>
      <c r="L1009" s="12" t="n">
        <v>0</v>
      </c>
      <c r="M1009" s="12" t="n">
        <v>0</v>
      </c>
      <c r="N1009" s="27">
        <f>F1009-J1009</f>
        <v/>
      </c>
      <c r="O1009" s="16">
        <f>I1009-H1009</f>
        <v/>
      </c>
      <c r="P1009" s="14">
        <f>F1009*G1009</f>
        <v/>
      </c>
      <c r="Q1009" s="14">
        <f>J1009*G1009</f>
        <v/>
      </c>
      <c r="R1009" s="14">
        <f>K1009-Q1009</f>
        <v/>
      </c>
      <c r="S1009" s="3">
        <f>P1009*Assumptions!$B$3/100</f>
        <v/>
      </c>
      <c r="T1009" s="14">
        <f>R1009-S1009</f>
        <v/>
      </c>
      <c r="U1009" s="14">
        <f>L1009*G1009</f>
        <v/>
      </c>
    </row>
    <row r="1010">
      <c r="A1010" s="12" t="inlineStr">
        <is>
          <t>PO-2021-1008</t>
        </is>
      </c>
      <c r="B1010" s="26" t="n">
        <v>44476</v>
      </c>
      <c r="C1010" s="12" t="inlineStr">
        <is>
          <t>VS08</t>
        </is>
      </c>
      <c r="D1010" s="12" t="inlineStr">
        <is>
          <t>Fasteners &amp; Fittings</t>
        </is>
      </c>
      <c r="E1010" s="12" t="inlineStr">
        <is>
          <t>N</t>
        </is>
      </c>
      <c r="F1010" s="12" t="n">
        <v>23.47</v>
      </c>
      <c r="G1010" s="17" t="n">
        <v>57840.1</v>
      </c>
      <c r="H1010" s="26" t="n">
        <v>44484</v>
      </c>
      <c r="I1010" s="26" t="n">
        <v>44485</v>
      </c>
      <c r="J1010" s="12" t="n">
        <v>23.3</v>
      </c>
      <c r="K1010" s="17" t="n">
        <v>1357507.15</v>
      </c>
      <c r="L1010" s="12" t="n">
        <v>0</v>
      </c>
      <c r="M1010" s="12" t="n">
        <v>0</v>
      </c>
      <c r="N1010" s="27">
        <f>F1010-J1010</f>
        <v/>
      </c>
      <c r="O1010" s="16">
        <f>I1010-H1010</f>
        <v/>
      </c>
      <c r="P1010" s="14">
        <f>F1010*G1010</f>
        <v/>
      </c>
      <c r="Q1010" s="14">
        <f>J1010*G1010</f>
        <v/>
      </c>
      <c r="R1010" s="14">
        <f>K1010-Q1010</f>
        <v/>
      </c>
      <c r="S1010" s="3">
        <f>P1010*Assumptions!$B$3/100</f>
        <v/>
      </c>
      <c r="T1010" s="14">
        <f>R1010-S1010</f>
        <v/>
      </c>
      <c r="U1010" s="14">
        <f>L1010*G1010</f>
        <v/>
      </c>
    </row>
    <row r="1011">
      <c r="A1011" s="12" t="inlineStr">
        <is>
          <t>PO-2021-1009</t>
        </is>
      </c>
      <c r="B1011" s="26" t="n">
        <v>44647</v>
      </c>
      <c r="C1011" s="12" t="inlineStr">
        <is>
          <t>VS19</t>
        </is>
      </c>
      <c r="D1011" s="12" t="inlineStr">
        <is>
          <t>MS Sheets</t>
        </is>
      </c>
      <c r="E1011" s="12" t="inlineStr">
        <is>
          <t>N</t>
        </is>
      </c>
      <c r="F1011" s="12" t="n">
        <v>39.69</v>
      </c>
      <c r="G1011" s="17" t="n">
        <v>96563.94</v>
      </c>
      <c r="H1011" s="26" t="n">
        <v>44659</v>
      </c>
      <c r="I1011" s="26" t="n">
        <v>44664</v>
      </c>
      <c r="J1011" s="12" t="n">
        <v>37.74</v>
      </c>
      <c r="K1011" s="17" t="n">
        <v>3832622.78</v>
      </c>
      <c r="L1011" s="12" t="n">
        <v>0.93</v>
      </c>
      <c r="M1011" s="12" t="n">
        <v>15</v>
      </c>
      <c r="N1011" s="27">
        <f>F1011-J1011</f>
        <v/>
      </c>
      <c r="O1011" s="16">
        <f>I1011-H1011</f>
        <v/>
      </c>
      <c r="P1011" s="14">
        <f>F1011*G1011</f>
        <v/>
      </c>
      <c r="Q1011" s="14">
        <f>J1011*G1011</f>
        <v/>
      </c>
      <c r="R1011" s="14">
        <f>K1011-Q1011</f>
        <v/>
      </c>
      <c r="S1011" s="3">
        <f>P1011*Assumptions!$B$3/100</f>
        <v/>
      </c>
      <c r="T1011" s="14">
        <f>R1011-S1011</f>
        <v/>
      </c>
      <c r="U1011" s="14">
        <f>L1011*G1011</f>
        <v/>
      </c>
    </row>
    <row r="1012">
      <c r="A1012" s="12" t="inlineStr">
        <is>
          <t>PO-2021-1010</t>
        </is>
      </c>
      <c r="B1012" s="26" t="n">
        <v>44545</v>
      </c>
      <c r="C1012" s="12" t="inlineStr">
        <is>
          <t>VS15</t>
        </is>
      </c>
      <c r="D1012" s="12" t="inlineStr">
        <is>
          <t>SS Pipes</t>
        </is>
      </c>
      <c r="E1012" s="12" t="inlineStr">
        <is>
          <t>N</t>
        </is>
      </c>
      <c r="F1012" s="12" t="n">
        <v>21.17</v>
      </c>
      <c r="G1012" s="17" t="n">
        <v>84132.66</v>
      </c>
      <c r="H1012" s="26" t="n">
        <v>44551</v>
      </c>
      <c r="I1012" s="26" t="n">
        <v>44554</v>
      </c>
      <c r="J1012" s="12" t="n">
        <v>21.12</v>
      </c>
      <c r="K1012" s="17" t="n">
        <v>1781088.41</v>
      </c>
      <c r="L1012" s="12" t="n">
        <v>0</v>
      </c>
      <c r="M1012" s="12" t="n">
        <v>6</v>
      </c>
      <c r="N1012" s="27">
        <f>F1012-J1012</f>
        <v/>
      </c>
      <c r="O1012" s="16">
        <f>I1012-H1012</f>
        <v/>
      </c>
      <c r="P1012" s="14">
        <f>F1012*G1012</f>
        <v/>
      </c>
      <c r="Q1012" s="14">
        <f>J1012*G1012</f>
        <v/>
      </c>
      <c r="R1012" s="14">
        <f>K1012-Q1012</f>
        <v/>
      </c>
      <c r="S1012" s="3">
        <f>P1012*Assumptions!$B$3/100</f>
        <v/>
      </c>
      <c r="T1012" s="14">
        <f>R1012-S1012</f>
        <v/>
      </c>
      <c r="U1012" s="14">
        <f>L1012*G1012</f>
        <v/>
      </c>
    </row>
    <row r="1013">
      <c r="A1013" s="12" t="inlineStr">
        <is>
          <t>PO-2021-1011</t>
        </is>
      </c>
      <c r="B1013" s="26" t="n">
        <v>45166</v>
      </c>
      <c r="C1013" s="12" t="inlineStr">
        <is>
          <t>VS30</t>
        </is>
      </c>
      <c r="D1013" s="12" t="inlineStr">
        <is>
          <t>CR Sheets</t>
        </is>
      </c>
      <c r="E1013" s="12" t="inlineStr">
        <is>
          <t>N</t>
        </is>
      </c>
      <c r="F1013" s="12" t="n">
        <v>1.71</v>
      </c>
      <c r="G1013" s="17" t="n">
        <v>77108.28</v>
      </c>
      <c r="H1013" s="26" t="n">
        <v>45172</v>
      </c>
      <c r="I1013" s="26" t="n">
        <v>45172</v>
      </c>
      <c r="J1013" s="12" t="n">
        <v>1.71</v>
      </c>
      <c r="K1013" s="17" t="n">
        <v>131855.16</v>
      </c>
      <c r="L1013" s="12" t="n">
        <v>0</v>
      </c>
      <c r="M1013" s="12" t="n">
        <v>0</v>
      </c>
      <c r="N1013" s="27">
        <f>F1013-J1013</f>
        <v/>
      </c>
      <c r="O1013" s="16">
        <f>I1013-H1013</f>
        <v/>
      </c>
      <c r="P1013" s="14">
        <f>F1013*G1013</f>
        <v/>
      </c>
      <c r="Q1013" s="14">
        <f>J1013*G1013</f>
        <v/>
      </c>
      <c r="R1013" s="14">
        <f>K1013-Q1013</f>
        <v/>
      </c>
      <c r="S1013" s="3">
        <f>P1013*Assumptions!$B$3/100</f>
        <v/>
      </c>
      <c r="T1013" s="14">
        <f>R1013-S1013</f>
        <v/>
      </c>
      <c r="U1013" s="14">
        <f>L1013*G1013</f>
        <v/>
      </c>
    </row>
    <row r="1014">
      <c r="A1014" s="12" t="inlineStr">
        <is>
          <t>PO-2021-1012</t>
        </is>
      </c>
      <c r="B1014" s="26" t="n">
        <v>44704</v>
      </c>
      <c r="C1014" s="12" t="inlineStr">
        <is>
          <t>VS21</t>
        </is>
      </c>
      <c r="D1014" s="12" t="inlineStr">
        <is>
          <t>GI Wire</t>
        </is>
      </c>
      <c r="E1014" s="12" t="inlineStr">
        <is>
          <t>N</t>
        </is>
      </c>
      <c r="F1014" s="12" t="n">
        <v>29.39</v>
      </c>
      <c r="G1014" s="17" t="n">
        <v>111886.7</v>
      </c>
      <c r="H1014" s="26" t="n">
        <v>44716</v>
      </c>
      <c r="I1014" s="26" t="n">
        <v>44719</v>
      </c>
      <c r="J1014" s="12" t="n">
        <v>29.2</v>
      </c>
      <c r="K1014" s="17" t="n">
        <v>3288350.11</v>
      </c>
      <c r="L1014" s="12" t="n">
        <v>0</v>
      </c>
      <c r="M1014" s="12" t="n">
        <v>0</v>
      </c>
      <c r="N1014" s="27">
        <f>F1014-J1014</f>
        <v/>
      </c>
      <c r="O1014" s="16">
        <f>I1014-H1014</f>
        <v/>
      </c>
      <c r="P1014" s="14">
        <f>F1014*G1014</f>
        <v/>
      </c>
      <c r="Q1014" s="14">
        <f>J1014*G1014</f>
        <v/>
      </c>
      <c r="R1014" s="14">
        <f>K1014-Q1014</f>
        <v/>
      </c>
      <c r="S1014" s="3">
        <f>P1014*Assumptions!$B$3/100</f>
        <v/>
      </c>
      <c r="T1014" s="14">
        <f>R1014-S1014</f>
        <v/>
      </c>
      <c r="U1014" s="14">
        <f>L1014*G1014</f>
        <v/>
      </c>
    </row>
    <row r="1015">
      <c r="A1015" s="12" t="inlineStr">
        <is>
          <t>PO-2021-1013</t>
        </is>
      </c>
      <c r="B1015" s="26" t="n">
        <v>44502</v>
      </c>
      <c r="C1015" s="12" t="inlineStr">
        <is>
          <t>VS01</t>
        </is>
      </c>
      <c r="D1015" s="12" t="inlineStr">
        <is>
          <t>GI Wire</t>
        </is>
      </c>
      <c r="E1015" s="12" t="inlineStr">
        <is>
          <t>N</t>
        </is>
      </c>
      <c r="F1015" s="12" t="n">
        <v>49.03</v>
      </c>
      <c r="G1015" s="17" t="n">
        <v>48004.4</v>
      </c>
      <c r="H1015" s="26" t="n">
        <v>44512</v>
      </c>
      <c r="I1015" s="26" t="n">
        <v>44513</v>
      </c>
      <c r="J1015" s="12" t="n">
        <v>48.72</v>
      </c>
      <c r="K1015" s="17" t="n">
        <v>2353655.73</v>
      </c>
      <c r="L1015" s="12" t="n">
        <v>0</v>
      </c>
      <c r="M1015" s="12" t="n">
        <v>0</v>
      </c>
      <c r="N1015" s="27">
        <f>F1015-J1015</f>
        <v/>
      </c>
      <c r="O1015" s="16">
        <f>I1015-H1015</f>
        <v/>
      </c>
      <c r="P1015" s="14">
        <f>F1015*G1015</f>
        <v/>
      </c>
      <c r="Q1015" s="14">
        <f>J1015*G1015</f>
        <v/>
      </c>
      <c r="R1015" s="14">
        <f>K1015-Q1015</f>
        <v/>
      </c>
      <c r="S1015" s="3">
        <f>P1015*Assumptions!$B$3/100</f>
        <v/>
      </c>
      <c r="T1015" s="14">
        <f>R1015-S1015</f>
        <v/>
      </c>
      <c r="U1015" s="14">
        <f>L1015*G1015</f>
        <v/>
      </c>
    </row>
    <row r="1016">
      <c r="A1016" s="12" t="inlineStr">
        <is>
          <t>PO-2021-1014</t>
        </is>
      </c>
      <c r="B1016" s="26" t="n">
        <v>45229</v>
      </c>
      <c r="C1016" s="12" t="inlineStr">
        <is>
          <t>VS03</t>
        </is>
      </c>
      <c r="D1016" s="12" t="inlineStr">
        <is>
          <t>GI Wire</t>
        </is>
      </c>
      <c r="E1016" s="12" t="inlineStr">
        <is>
          <t>N</t>
        </is>
      </c>
      <c r="F1016" s="12" t="n">
        <v>27.02</v>
      </c>
      <c r="G1016" s="17" t="n">
        <v>84183.00999999999</v>
      </c>
      <c r="H1016" s="26" t="n">
        <v>45244</v>
      </c>
      <c r="I1016" s="26" t="n">
        <v>45247</v>
      </c>
      <c r="J1016" s="12" t="n">
        <v>25.85</v>
      </c>
      <c r="K1016" s="17" t="n">
        <v>2274624.93</v>
      </c>
      <c r="L1016" s="12" t="n">
        <v>1.07</v>
      </c>
      <c r="M1016" s="12" t="n">
        <v>12</v>
      </c>
      <c r="N1016" s="27">
        <f>F1016-J1016</f>
        <v/>
      </c>
      <c r="O1016" s="16">
        <f>I1016-H1016</f>
        <v/>
      </c>
      <c r="P1016" s="14">
        <f>F1016*G1016</f>
        <v/>
      </c>
      <c r="Q1016" s="14">
        <f>J1016*G1016</f>
        <v/>
      </c>
      <c r="R1016" s="14">
        <f>K1016-Q1016</f>
        <v/>
      </c>
      <c r="S1016" s="3">
        <f>P1016*Assumptions!$B$3/100</f>
        <v/>
      </c>
      <c r="T1016" s="14">
        <f>R1016-S1016</f>
        <v/>
      </c>
      <c r="U1016" s="14">
        <f>L1016*G1016</f>
        <v/>
      </c>
    </row>
    <row r="1017">
      <c r="A1017" s="12" t="inlineStr">
        <is>
          <t>PO-2021-1015</t>
        </is>
      </c>
      <c r="B1017" s="26" t="n">
        <v>44397</v>
      </c>
      <c r="C1017" s="12" t="inlineStr">
        <is>
          <t>VS29</t>
        </is>
      </c>
      <c r="D1017" s="12" t="inlineStr">
        <is>
          <t>Structural Steel</t>
        </is>
      </c>
      <c r="E1017" s="12" t="inlineStr">
        <is>
          <t>N</t>
        </is>
      </c>
      <c r="F1017" s="12" t="n">
        <v>12.79</v>
      </c>
      <c r="G1017" s="17" t="n">
        <v>86886.52</v>
      </c>
      <c r="H1017" s="26" t="n">
        <v>44400</v>
      </c>
      <c r="I1017" s="26" t="n">
        <v>44401</v>
      </c>
      <c r="J1017" s="12" t="n">
        <v>12.68</v>
      </c>
      <c r="K1017" s="17" t="n">
        <v>1111278.59</v>
      </c>
      <c r="L1017" s="12" t="n">
        <v>0</v>
      </c>
      <c r="M1017" s="12" t="n">
        <v>4</v>
      </c>
      <c r="N1017" s="27">
        <f>F1017-J1017</f>
        <v/>
      </c>
      <c r="O1017" s="16">
        <f>I1017-H1017</f>
        <v/>
      </c>
      <c r="P1017" s="14">
        <f>F1017*G1017</f>
        <v/>
      </c>
      <c r="Q1017" s="14">
        <f>J1017*G1017</f>
        <v/>
      </c>
      <c r="R1017" s="14">
        <f>K1017-Q1017</f>
        <v/>
      </c>
      <c r="S1017" s="3">
        <f>P1017*Assumptions!$B$3/100</f>
        <v/>
      </c>
      <c r="T1017" s="14">
        <f>R1017-S1017</f>
        <v/>
      </c>
      <c r="U1017" s="14">
        <f>L1017*G1017</f>
        <v/>
      </c>
    </row>
    <row r="1018">
      <c r="A1018" s="12" t="inlineStr">
        <is>
          <t>PO-2021-1016</t>
        </is>
      </c>
      <c r="B1018" s="26" t="n">
        <v>45029</v>
      </c>
      <c r="C1018" s="12" t="inlineStr">
        <is>
          <t>VS14</t>
        </is>
      </c>
      <c r="D1018" s="12" t="inlineStr">
        <is>
          <t>Square/Rect Tubes</t>
        </is>
      </c>
      <c r="E1018" s="12" t="inlineStr">
        <is>
          <t>N</t>
        </is>
      </c>
      <c r="F1018" s="12" t="n">
        <v>18.56</v>
      </c>
      <c r="G1018" s="17" t="n">
        <v>62929.68</v>
      </c>
      <c r="H1018" s="26" t="n">
        <v>45033</v>
      </c>
      <c r="I1018" s="26" t="n">
        <v>45034</v>
      </c>
      <c r="J1018" s="12" t="n">
        <v>18.5</v>
      </c>
      <c r="K1018" s="17" t="n">
        <v>1167974.86</v>
      </c>
      <c r="L1018" s="12" t="n">
        <v>0</v>
      </c>
      <c r="M1018" s="12" t="n">
        <v>19</v>
      </c>
      <c r="N1018" s="27">
        <f>F1018-J1018</f>
        <v/>
      </c>
      <c r="O1018" s="16">
        <f>I1018-H1018</f>
        <v/>
      </c>
      <c r="P1018" s="14">
        <f>F1018*G1018</f>
        <v/>
      </c>
      <c r="Q1018" s="14">
        <f>J1018*G1018</f>
        <v/>
      </c>
      <c r="R1018" s="14">
        <f>K1018-Q1018</f>
        <v/>
      </c>
      <c r="S1018" s="3">
        <f>P1018*Assumptions!$B$3/100</f>
        <v/>
      </c>
      <c r="T1018" s="14">
        <f>R1018-S1018</f>
        <v/>
      </c>
      <c r="U1018" s="14">
        <f>L1018*G1018</f>
        <v/>
      </c>
    </row>
    <row r="1019">
      <c r="A1019" s="12" t="inlineStr">
        <is>
          <t>PO-2021-1017</t>
        </is>
      </c>
      <c r="B1019" s="26" t="n">
        <v>44229</v>
      </c>
      <c r="C1019" s="12" t="inlineStr">
        <is>
          <t>VS31</t>
        </is>
      </c>
      <c r="D1019" s="12" t="inlineStr">
        <is>
          <t>SS Sheets</t>
        </is>
      </c>
      <c r="E1019" s="12" t="inlineStr">
        <is>
          <t>N</t>
        </is>
      </c>
      <c r="F1019" s="12" t="n">
        <v>8.93</v>
      </c>
      <c r="G1019" s="17" t="n">
        <v>79446.21000000001</v>
      </c>
      <c r="H1019" s="26" t="n">
        <v>44241</v>
      </c>
      <c r="I1019" s="26" t="n">
        <v>44241</v>
      </c>
      <c r="J1019" s="12" t="n">
        <v>8.85</v>
      </c>
      <c r="K1019" s="17" t="n">
        <v>709454.66</v>
      </c>
      <c r="L1019" s="12" t="n">
        <v>0</v>
      </c>
      <c r="M1019" s="12" t="n">
        <v>4</v>
      </c>
      <c r="N1019" s="27">
        <f>F1019-J1019</f>
        <v/>
      </c>
      <c r="O1019" s="16">
        <f>I1019-H1019</f>
        <v/>
      </c>
      <c r="P1019" s="14">
        <f>F1019*G1019</f>
        <v/>
      </c>
      <c r="Q1019" s="14">
        <f>J1019*G1019</f>
        <v/>
      </c>
      <c r="R1019" s="14">
        <f>K1019-Q1019</f>
        <v/>
      </c>
      <c r="S1019" s="3">
        <f>P1019*Assumptions!$B$3/100</f>
        <v/>
      </c>
      <c r="T1019" s="14">
        <f>R1019-S1019</f>
        <v/>
      </c>
      <c r="U1019" s="14">
        <f>L1019*G1019</f>
        <v/>
      </c>
    </row>
    <row r="1020">
      <c r="A1020" s="12" t="inlineStr">
        <is>
          <t>PO-2021-1018</t>
        </is>
      </c>
      <c r="B1020" s="26" t="n">
        <v>44246</v>
      </c>
      <c r="C1020" s="12" t="inlineStr">
        <is>
          <t>VS30</t>
        </is>
      </c>
      <c r="D1020" s="12" t="inlineStr">
        <is>
          <t>Fasteners &amp; Fittings</t>
        </is>
      </c>
      <c r="E1020" s="12" t="inlineStr">
        <is>
          <t>N</t>
        </is>
      </c>
      <c r="F1020" s="12" t="n">
        <v>38.82</v>
      </c>
      <c r="G1020" s="17" t="n">
        <v>110564.93</v>
      </c>
      <c r="H1020" s="26" t="n">
        <v>44255</v>
      </c>
      <c r="I1020" s="26" t="n">
        <v>44255</v>
      </c>
      <c r="J1020" s="12" t="n">
        <v>38.55</v>
      </c>
      <c r="K1020" s="17" t="n">
        <v>4292130.58</v>
      </c>
      <c r="L1020" s="12" t="n">
        <v>0</v>
      </c>
      <c r="M1020" s="12" t="n">
        <v>0</v>
      </c>
      <c r="N1020" s="27">
        <f>F1020-J1020</f>
        <v/>
      </c>
      <c r="O1020" s="16">
        <f>I1020-H1020</f>
        <v/>
      </c>
      <c r="P1020" s="14">
        <f>F1020*G1020</f>
        <v/>
      </c>
      <c r="Q1020" s="14">
        <f>J1020*G1020</f>
        <v/>
      </c>
      <c r="R1020" s="14">
        <f>K1020-Q1020</f>
        <v/>
      </c>
      <c r="S1020" s="3">
        <f>P1020*Assumptions!$B$3/100</f>
        <v/>
      </c>
      <c r="T1020" s="14">
        <f>R1020-S1020</f>
        <v/>
      </c>
      <c r="U1020" s="14">
        <f>L1020*G1020</f>
        <v/>
      </c>
    </row>
    <row r="1021">
      <c r="A1021" s="12" t="inlineStr">
        <is>
          <t>PO-2021-1019</t>
        </is>
      </c>
      <c r="B1021" s="26" t="n">
        <v>44575</v>
      </c>
      <c r="C1021" s="12" t="inlineStr">
        <is>
          <t>VS24</t>
        </is>
      </c>
      <c r="D1021" s="12" t="inlineStr">
        <is>
          <t>Fasteners &amp; Fittings</t>
        </is>
      </c>
      <c r="E1021" s="12" t="inlineStr">
        <is>
          <t>N</t>
        </is>
      </c>
      <c r="F1021" s="12" t="n">
        <v>35.49</v>
      </c>
      <c r="G1021" s="17" t="n">
        <v>45102.27</v>
      </c>
      <c r="H1021" s="26" t="n">
        <v>44588</v>
      </c>
      <c r="I1021" s="26" t="n">
        <v>44591</v>
      </c>
      <c r="J1021" s="12" t="n">
        <v>35.48</v>
      </c>
      <c r="K1021" s="17" t="n">
        <v>1600679.56</v>
      </c>
      <c r="L1021" s="12" t="n">
        <v>0</v>
      </c>
      <c r="M1021" s="12" t="n">
        <v>9</v>
      </c>
      <c r="N1021" s="27">
        <f>F1021-J1021</f>
        <v/>
      </c>
      <c r="O1021" s="16">
        <f>I1021-H1021</f>
        <v/>
      </c>
      <c r="P1021" s="14">
        <f>F1021*G1021</f>
        <v/>
      </c>
      <c r="Q1021" s="14">
        <f>J1021*G1021</f>
        <v/>
      </c>
      <c r="R1021" s="14">
        <f>K1021-Q1021</f>
        <v/>
      </c>
      <c r="S1021" s="3">
        <f>P1021*Assumptions!$B$3/100</f>
        <v/>
      </c>
      <c r="T1021" s="14">
        <f>R1021-S1021</f>
        <v/>
      </c>
      <c r="U1021" s="14">
        <f>L1021*G1021</f>
        <v/>
      </c>
    </row>
    <row r="1022">
      <c r="A1022" s="12" t="inlineStr">
        <is>
          <t>PO-2021-1020</t>
        </is>
      </c>
      <c r="B1022" s="26" t="n">
        <v>44341</v>
      </c>
      <c r="C1022" s="12" t="inlineStr">
        <is>
          <t>VS25</t>
        </is>
      </c>
      <c r="D1022" s="12" t="inlineStr">
        <is>
          <t>MS Flats</t>
        </is>
      </c>
      <c r="E1022" s="12" t="inlineStr">
        <is>
          <t>N</t>
        </is>
      </c>
      <c r="F1022" s="12" t="n">
        <v>27.02</v>
      </c>
      <c r="G1022" s="17" t="n">
        <v>67244.25</v>
      </c>
      <c r="H1022" s="26" t="n">
        <v>44356</v>
      </c>
      <c r="I1022" s="26" t="n">
        <v>44357</v>
      </c>
      <c r="J1022" s="12" t="n">
        <v>26.96</v>
      </c>
      <c r="K1022" s="17" t="n">
        <v>1816939.64</v>
      </c>
      <c r="L1022" s="12" t="n">
        <v>0</v>
      </c>
      <c r="M1022" s="12" t="n">
        <v>4</v>
      </c>
      <c r="N1022" s="27">
        <f>F1022-J1022</f>
        <v/>
      </c>
      <c r="O1022" s="16">
        <f>I1022-H1022</f>
        <v/>
      </c>
      <c r="P1022" s="14">
        <f>F1022*G1022</f>
        <v/>
      </c>
      <c r="Q1022" s="14">
        <f>J1022*G1022</f>
        <v/>
      </c>
      <c r="R1022" s="14">
        <f>K1022-Q1022</f>
        <v/>
      </c>
      <c r="S1022" s="3">
        <f>P1022*Assumptions!$B$3/100</f>
        <v/>
      </c>
      <c r="T1022" s="14">
        <f>R1022-S1022</f>
        <v/>
      </c>
      <c r="U1022" s="14">
        <f>L1022*G1022</f>
        <v/>
      </c>
    </row>
    <row r="1023">
      <c r="A1023" s="12" t="inlineStr">
        <is>
          <t>PO-2021-1021</t>
        </is>
      </c>
      <c r="B1023" s="26" t="n">
        <v>44749</v>
      </c>
      <c r="C1023" s="12" t="inlineStr">
        <is>
          <t>VS14</t>
        </is>
      </c>
      <c r="D1023" s="12" t="inlineStr">
        <is>
          <t>SS Pipes</t>
        </is>
      </c>
      <c r="E1023" s="12" t="inlineStr">
        <is>
          <t>N</t>
        </is>
      </c>
      <c r="F1023" s="12" t="n">
        <v>31.4</v>
      </c>
      <c r="G1023" s="17" t="n">
        <v>70177.10000000001</v>
      </c>
      <c r="H1023" s="26" t="n">
        <v>44752</v>
      </c>
      <c r="I1023" s="26" t="n">
        <v>44755</v>
      </c>
      <c r="J1023" s="12" t="n">
        <v>31.36</v>
      </c>
      <c r="K1023" s="17" t="n">
        <v>2203560.94</v>
      </c>
      <c r="L1023" s="12" t="n">
        <v>0</v>
      </c>
      <c r="M1023" s="12" t="n">
        <v>0</v>
      </c>
      <c r="N1023" s="27">
        <f>F1023-J1023</f>
        <v/>
      </c>
      <c r="O1023" s="16">
        <f>I1023-H1023</f>
        <v/>
      </c>
      <c r="P1023" s="14">
        <f>F1023*G1023</f>
        <v/>
      </c>
      <c r="Q1023" s="14">
        <f>J1023*G1023</f>
        <v/>
      </c>
      <c r="R1023" s="14">
        <f>K1023-Q1023</f>
        <v/>
      </c>
      <c r="S1023" s="3">
        <f>P1023*Assumptions!$B$3/100</f>
        <v/>
      </c>
      <c r="T1023" s="14">
        <f>R1023-S1023</f>
        <v/>
      </c>
      <c r="U1023" s="14">
        <f>L1023*G1023</f>
        <v/>
      </c>
    </row>
    <row r="1024">
      <c r="A1024" s="12" t="inlineStr">
        <is>
          <t>PO-2021-1022</t>
        </is>
      </c>
      <c r="B1024" s="26" t="n">
        <v>45251</v>
      </c>
      <c r="C1024" s="12" t="inlineStr">
        <is>
          <t>VS24</t>
        </is>
      </c>
      <c r="D1024" s="12" t="inlineStr">
        <is>
          <t>GI Pipes</t>
        </is>
      </c>
      <c r="E1024" s="12" t="inlineStr">
        <is>
          <t>N</t>
        </is>
      </c>
      <c r="F1024" s="12" t="n">
        <v>6.44</v>
      </c>
      <c r="G1024" s="17" t="n">
        <v>72419.31</v>
      </c>
      <c r="H1024" s="26" t="n">
        <v>45263</v>
      </c>
      <c r="I1024" s="26" t="n">
        <v>45263</v>
      </c>
      <c r="J1024" s="12" t="n">
        <v>6.4</v>
      </c>
      <c r="K1024" s="17" t="n">
        <v>466380.36</v>
      </c>
      <c r="L1024" s="12" t="n">
        <v>0</v>
      </c>
      <c r="M1024" s="12" t="n">
        <v>0</v>
      </c>
      <c r="N1024" s="27">
        <f>F1024-J1024</f>
        <v/>
      </c>
      <c r="O1024" s="16">
        <f>I1024-H1024</f>
        <v/>
      </c>
      <c r="P1024" s="14">
        <f>F1024*G1024</f>
        <v/>
      </c>
      <c r="Q1024" s="14">
        <f>J1024*G1024</f>
        <v/>
      </c>
      <c r="R1024" s="14">
        <f>K1024-Q1024</f>
        <v/>
      </c>
      <c r="S1024" s="3">
        <f>P1024*Assumptions!$B$3/100</f>
        <v/>
      </c>
      <c r="T1024" s="14">
        <f>R1024-S1024</f>
        <v/>
      </c>
      <c r="U1024" s="14">
        <f>L1024*G1024</f>
        <v/>
      </c>
    </row>
    <row r="1025">
      <c r="A1025" s="12" t="inlineStr">
        <is>
          <t>PO-2021-1023</t>
        </is>
      </c>
      <c r="B1025" s="26" t="n">
        <v>44280</v>
      </c>
      <c r="C1025" s="12" t="inlineStr">
        <is>
          <t>VS24</t>
        </is>
      </c>
      <c r="D1025" s="12" t="inlineStr">
        <is>
          <t>Angles &amp; Channels</t>
        </is>
      </c>
      <c r="E1025" s="12" t="inlineStr">
        <is>
          <t>N</t>
        </is>
      </c>
      <c r="F1025" s="12" t="n">
        <v>9.59</v>
      </c>
      <c r="G1025" s="17" t="n">
        <v>86909.28</v>
      </c>
      <c r="H1025" s="26" t="n">
        <v>44284</v>
      </c>
      <c r="I1025" s="26" t="n">
        <v>44284</v>
      </c>
      <c r="J1025" s="12" t="n">
        <v>9.5</v>
      </c>
      <c r="K1025" s="17" t="n">
        <v>833460</v>
      </c>
      <c r="L1025" s="12" t="n">
        <v>0</v>
      </c>
      <c r="M1025" s="12" t="n">
        <v>14</v>
      </c>
      <c r="N1025" s="27">
        <f>F1025-J1025</f>
        <v/>
      </c>
      <c r="O1025" s="16">
        <f>I1025-H1025</f>
        <v/>
      </c>
      <c r="P1025" s="14">
        <f>F1025*G1025</f>
        <v/>
      </c>
      <c r="Q1025" s="14">
        <f>J1025*G1025</f>
        <v/>
      </c>
      <c r="R1025" s="14">
        <f>K1025-Q1025</f>
        <v/>
      </c>
      <c r="S1025" s="3">
        <f>P1025*Assumptions!$B$3/100</f>
        <v/>
      </c>
      <c r="T1025" s="14">
        <f>R1025-S1025</f>
        <v/>
      </c>
      <c r="U1025" s="14">
        <f>L1025*G1025</f>
        <v/>
      </c>
    </row>
    <row r="1026">
      <c r="A1026" s="12" t="inlineStr">
        <is>
          <t>PO-2021-1024</t>
        </is>
      </c>
      <c r="B1026" s="26" t="n">
        <v>44616</v>
      </c>
      <c r="C1026" s="12" t="inlineStr">
        <is>
          <t>VS09</t>
        </is>
      </c>
      <c r="D1026" s="12" t="inlineStr">
        <is>
          <t>MS Flats</t>
        </is>
      </c>
      <c r="E1026" s="12" t="inlineStr">
        <is>
          <t>N</t>
        </is>
      </c>
      <c r="F1026" s="12" t="n">
        <v>12.69</v>
      </c>
      <c r="G1026" s="17" t="n">
        <v>53516.83</v>
      </c>
      <c r="H1026" s="26" t="n">
        <v>44626</v>
      </c>
      <c r="I1026" s="26" t="n">
        <v>44628</v>
      </c>
      <c r="J1026" s="12" t="n">
        <v>12.61</v>
      </c>
      <c r="K1026" s="17" t="n">
        <v>679128.5699999999</v>
      </c>
      <c r="L1026" s="12" t="n">
        <v>0</v>
      </c>
      <c r="M1026" s="12" t="n">
        <v>16</v>
      </c>
      <c r="N1026" s="27">
        <f>F1026-J1026</f>
        <v/>
      </c>
      <c r="O1026" s="16">
        <f>I1026-H1026</f>
        <v/>
      </c>
      <c r="P1026" s="14">
        <f>F1026*G1026</f>
        <v/>
      </c>
      <c r="Q1026" s="14">
        <f>J1026*G1026</f>
        <v/>
      </c>
      <c r="R1026" s="14">
        <f>K1026-Q1026</f>
        <v/>
      </c>
      <c r="S1026" s="3">
        <f>P1026*Assumptions!$B$3/100</f>
        <v/>
      </c>
      <c r="T1026" s="14">
        <f>R1026-S1026</f>
        <v/>
      </c>
      <c r="U1026" s="14">
        <f>L1026*G1026</f>
        <v/>
      </c>
    </row>
    <row r="1027">
      <c r="A1027" s="12" t="inlineStr">
        <is>
          <t>PO-2021-1025</t>
        </is>
      </c>
      <c r="B1027" s="26" t="n">
        <v>44626</v>
      </c>
      <c r="C1027" s="12" t="inlineStr">
        <is>
          <t>VS15</t>
        </is>
      </c>
      <c r="D1027" s="12" t="inlineStr">
        <is>
          <t>MS Flats</t>
        </is>
      </c>
      <c r="E1027" s="12" t="inlineStr">
        <is>
          <t>N</t>
        </is>
      </c>
      <c r="F1027" s="12" t="n">
        <v>18.28</v>
      </c>
      <c r="G1027" s="17" t="n">
        <v>65051.84</v>
      </c>
      <c r="H1027" s="26" t="n">
        <v>44639</v>
      </c>
      <c r="I1027" s="26" t="n">
        <v>44642</v>
      </c>
      <c r="J1027" s="12" t="n">
        <v>18.17</v>
      </c>
      <c r="K1027" s="17" t="n">
        <v>1189147.64</v>
      </c>
      <c r="L1027" s="12" t="n">
        <v>0</v>
      </c>
      <c r="M1027" s="12" t="n">
        <v>0</v>
      </c>
      <c r="N1027" s="27">
        <f>F1027-J1027</f>
        <v/>
      </c>
      <c r="O1027" s="16">
        <f>I1027-H1027</f>
        <v/>
      </c>
      <c r="P1027" s="14">
        <f>F1027*G1027</f>
        <v/>
      </c>
      <c r="Q1027" s="14">
        <f>J1027*G1027</f>
        <v/>
      </c>
      <c r="R1027" s="14">
        <f>K1027-Q1027</f>
        <v/>
      </c>
      <c r="S1027" s="3">
        <f>P1027*Assumptions!$B$3/100</f>
        <v/>
      </c>
      <c r="T1027" s="14">
        <f>R1027-S1027</f>
        <v/>
      </c>
      <c r="U1027" s="14">
        <f>L1027*G1027</f>
        <v/>
      </c>
    </row>
    <row r="1028">
      <c r="A1028" s="12" t="inlineStr">
        <is>
          <t>PO-2021-1026</t>
        </is>
      </c>
      <c r="B1028" s="26" t="n">
        <v>45063</v>
      </c>
      <c r="C1028" s="12" t="inlineStr">
        <is>
          <t>VS18</t>
        </is>
      </c>
      <c r="D1028" s="12" t="inlineStr">
        <is>
          <t>GI Pipes</t>
        </is>
      </c>
      <c r="E1028" s="12" t="inlineStr">
        <is>
          <t>N</t>
        </is>
      </c>
      <c r="F1028" s="12" t="n">
        <v>4.11</v>
      </c>
      <c r="G1028" s="17" t="n">
        <v>70891.99000000001</v>
      </c>
      <c r="H1028" s="26" t="n">
        <v>45073</v>
      </c>
      <c r="I1028" s="26" t="n">
        <v>45074</v>
      </c>
      <c r="J1028" s="12" t="n">
        <v>4.1</v>
      </c>
      <c r="K1028" s="17" t="n">
        <v>291366.08</v>
      </c>
      <c r="L1028" s="12" t="n">
        <v>0</v>
      </c>
      <c r="M1028" s="12" t="n">
        <v>0</v>
      </c>
      <c r="N1028" s="27">
        <f>F1028-J1028</f>
        <v/>
      </c>
      <c r="O1028" s="16">
        <f>I1028-H1028</f>
        <v/>
      </c>
      <c r="P1028" s="14">
        <f>F1028*G1028</f>
        <v/>
      </c>
      <c r="Q1028" s="14">
        <f>J1028*G1028</f>
        <v/>
      </c>
      <c r="R1028" s="14">
        <f>K1028-Q1028</f>
        <v/>
      </c>
      <c r="S1028" s="3">
        <f>P1028*Assumptions!$B$3/100</f>
        <v/>
      </c>
      <c r="T1028" s="14">
        <f>R1028-S1028</f>
        <v/>
      </c>
      <c r="U1028" s="14">
        <f>L1028*G1028</f>
        <v/>
      </c>
    </row>
    <row r="1029">
      <c r="A1029" s="12" t="inlineStr">
        <is>
          <t>PO-2021-1027</t>
        </is>
      </c>
      <c r="B1029" s="26" t="n">
        <v>45223</v>
      </c>
      <c r="C1029" s="12" t="inlineStr">
        <is>
          <t>VS34</t>
        </is>
      </c>
      <c r="D1029" s="12" t="inlineStr">
        <is>
          <t>ERW Pipes</t>
        </is>
      </c>
      <c r="E1029" s="12" t="inlineStr">
        <is>
          <t>N</t>
        </is>
      </c>
      <c r="F1029" s="12" t="n">
        <v>24.04</v>
      </c>
      <c r="G1029" s="17" t="n">
        <v>84892.84</v>
      </c>
      <c r="H1029" s="26" t="n">
        <v>45234</v>
      </c>
      <c r="I1029" s="26" t="n">
        <v>45235</v>
      </c>
      <c r="J1029" s="12" t="n">
        <v>23.85</v>
      </c>
      <c r="K1029" s="17" t="n">
        <v>2040823.87</v>
      </c>
      <c r="L1029" s="12" t="n">
        <v>0</v>
      </c>
      <c r="M1029" s="12" t="n">
        <v>8</v>
      </c>
      <c r="N1029" s="27">
        <f>F1029-J1029</f>
        <v/>
      </c>
      <c r="O1029" s="16">
        <f>I1029-H1029</f>
        <v/>
      </c>
      <c r="P1029" s="14">
        <f>F1029*G1029</f>
        <v/>
      </c>
      <c r="Q1029" s="14">
        <f>J1029*G1029</f>
        <v/>
      </c>
      <c r="R1029" s="14">
        <f>K1029-Q1029</f>
        <v/>
      </c>
      <c r="S1029" s="3">
        <f>P1029*Assumptions!$B$3/100</f>
        <v/>
      </c>
      <c r="T1029" s="14">
        <f>R1029-S1029</f>
        <v/>
      </c>
      <c r="U1029" s="14">
        <f>L1029*G1029</f>
        <v/>
      </c>
    </row>
    <row r="1030">
      <c r="A1030" s="12" t="inlineStr">
        <is>
          <t>PO-2021-1028</t>
        </is>
      </c>
      <c r="B1030" s="26" t="n">
        <v>44795</v>
      </c>
      <c r="C1030" s="12" t="inlineStr">
        <is>
          <t>VS29</t>
        </is>
      </c>
      <c r="D1030" s="12" t="inlineStr">
        <is>
          <t>Angles &amp; Channels</t>
        </is>
      </c>
      <c r="E1030" s="12" t="inlineStr">
        <is>
          <t>N</t>
        </is>
      </c>
      <c r="F1030" s="12" t="n">
        <v>40.2</v>
      </c>
      <c r="G1030" s="17" t="n">
        <v>115902.4</v>
      </c>
      <c r="H1030" s="26" t="n">
        <v>44810</v>
      </c>
      <c r="I1030" s="26" t="n">
        <v>44810</v>
      </c>
      <c r="J1030" s="12" t="n">
        <v>39.81</v>
      </c>
      <c r="K1030" s="17" t="n">
        <v>4659276.48</v>
      </c>
      <c r="L1030" s="12" t="n">
        <v>0</v>
      </c>
      <c r="M1030" s="12" t="n">
        <v>22</v>
      </c>
      <c r="N1030" s="27">
        <f>F1030-J1030</f>
        <v/>
      </c>
      <c r="O1030" s="16">
        <f>I1030-H1030</f>
        <v/>
      </c>
      <c r="P1030" s="14">
        <f>F1030*G1030</f>
        <v/>
      </c>
      <c r="Q1030" s="14">
        <f>J1030*G1030</f>
        <v/>
      </c>
      <c r="R1030" s="14">
        <f>K1030-Q1030</f>
        <v/>
      </c>
      <c r="S1030" s="3">
        <f>P1030*Assumptions!$B$3/100</f>
        <v/>
      </c>
      <c r="T1030" s="14">
        <f>R1030-S1030</f>
        <v/>
      </c>
      <c r="U1030" s="14">
        <f>L1030*G1030</f>
        <v/>
      </c>
    </row>
    <row r="1031">
      <c r="A1031" s="12" t="inlineStr">
        <is>
          <t>PO-2021-1029</t>
        </is>
      </c>
      <c r="B1031" s="26" t="n">
        <v>44331</v>
      </c>
      <c r="C1031" s="12" t="inlineStr">
        <is>
          <t>VS13</t>
        </is>
      </c>
      <c r="D1031" s="12" t="inlineStr">
        <is>
          <t>Fasteners &amp; Fittings</t>
        </is>
      </c>
      <c r="E1031" s="12" t="inlineStr">
        <is>
          <t>N</t>
        </is>
      </c>
      <c r="F1031" s="12" t="n">
        <v>5.28</v>
      </c>
      <c r="G1031" s="17" t="n">
        <v>74301.19</v>
      </c>
      <c r="H1031" s="26" t="n">
        <v>44336</v>
      </c>
      <c r="I1031" s="26" t="n">
        <v>44338</v>
      </c>
      <c r="J1031" s="12" t="n">
        <v>5.25</v>
      </c>
      <c r="K1031" s="17" t="n">
        <v>392310.28</v>
      </c>
      <c r="L1031" s="12" t="n">
        <v>0</v>
      </c>
      <c r="M1031" s="12" t="n">
        <v>0</v>
      </c>
      <c r="N1031" s="27">
        <f>F1031-J1031</f>
        <v/>
      </c>
      <c r="O1031" s="16">
        <f>I1031-H1031</f>
        <v/>
      </c>
      <c r="P1031" s="14">
        <f>F1031*G1031</f>
        <v/>
      </c>
      <c r="Q1031" s="14">
        <f>J1031*G1031</f>
        <v/>
      </c>
      <c r="R1031" s="14">
        <f>K1031-Q1031</f>
        <v/>
      </c>
      <c r="S1031" s="3">
        <f>P1031*Assumptions!$B$3/100</f>
        <v/>
      </c>
      <c r="T1031" s="14">
        <f>R1031-S1031</f>
        <v/>
      </c>
      <c r="U1031" s="14">
        <f>L1031*G1031</f>
        <v/>
      </c>
    </row>
    <row r="1032">
      <c r="A1032" s="12" t="inlineStr">
        <is>
          <t>PO-2021-1030</t>
        </is>
      </c>
      <c r="B1032" s="26" t="n">
        <v>44787</v>
      </c>
      <c r="C1032" s="12" t="inlineStr">
        <is>
          <t>VS05</t>
        </is>
      </c>
      <c r="D1032" s="12" t="inlineStr">
        <is>
          <t>ERW Pipes</t>
        </is>
      </c>
      <c r="E1032" s="12" t="inlineStr">
        <is>
          <t>N</t>
        </is>
      </c>
      <c r="F1032" s="12" t="n">
        <v>9.07</v>
      </c>
      <c r="G1032" s="17" t="n">
        <v>53401.84</v>
      </c>
      <c r="H1032" s="26" t="n">
        <v>44792</v>
      </c>
      <c r="I1032" s="26" t="n">
        <v>44792</v>
      </c>
      <c r="J1032" s="12" t="n">
        <v>9.029999999999999</v>
      </c>
      <c r="K1032" s="17" t="n">
        <v>484354.69</v>
      </c>
      <c r="L1032" s="12" t="n">
        <v>0</v>
      </c>
      <c r="M1032" s="12" t="n">
        <v>0</v>
      </c>
      <c r="N1032" s="27">
        <f>F1032-J1032</f>
        <v/>
      </c>
      <c r="O1032" s="16">
        <f>I1032-H1032</f>
        <v/>
      </c>
      <c r="P1032" s="14">
        <f>F1032*G1032</f>
        <v/>
      </c>
      <c r="Q1032" s="14">
        <f>J1032*G1032</f>
        <v/>
      </c>
      <c r="R1032" s="14">
        <f>K1032-Q1032</f>
        <v/>
      </c>
      <c r="S1032" s="3">
        <f>P1032*Assumptions!$B$3/100</f>
        <v/>
      </c>
      <c r="T1032" s="14">
        <f>R1032-S1032</f>
        <v/>
      </c>
      <c r="U1032" s="14">
        <f>L1032*G1032</f>
        <v/>
      </c>
    </row>
    <row r="1033">
      <c r="A1033" s="12" t="inlineStr">
        <is>
          <t>PO-2021-1031</t>
        </is>
      </c>
      <c r="B1033" s="26" t="n">
        <v>45213</v>
      </c>
      <c r="C1033" s="12" t="inlineStr">
        <is>
          <t>VS10</t>
        </is>
      </c>
      <c r="D1033" s="12" t="inlineStr">
        <is>
          <t>GI Sheets</t>
        </is>
      </c>
      <c r="E1033" s="12" t="inlineStr">
        <is>
          <t>N</t>
        </is>
      </c>
      <c r="F1033" s="12" t="n">
        <v>26.51</v>
      </c>
      <c r="G1033" s="17" t="n">
        <v>92045.71000000001</v>
      </c>
      <c r="H1033" s="26" t="n">
        <v>45220</v>
      </c>
      <c r="I1033" s="26" t="n">
        <v>45222</v>
      </c>
      <c r="J1033" s="12" t="n">
        <v>26.42</v>
      </c>
      <c r="K1033" s="17" t="n">
        <v>2440131.77</v>
      </c>
      <c r="L1033" s="12" t="n">
        <v>0</v>
      </c>
      <c r="M1033" s="12" t="n">
        <v>18</v>
      </c>
      <c r="N1033" s="27">
        <f>F1033-J1033</f>
        <v/>
      </c>
      <c r="O1033" s="16">
        <f>I1033-H1033</f>
        <v/>
      </c>
      <c r="P1033" s="14">
        <f>F1033*G1033</f>
        <v/>
      </c>
      <c r="Q1033" s="14">
        <f>J1033*G1033</f>
        <v/>
      </c>
      <c r="R1033" s="14">
        <f>K1033-Q1033</f>
        <v/>
      </c>
      <c r="S1033" s="3">
        <f>P1033*Assumptions!$B$3/100</f>
        <v/>
      </c>
      <c r="T1033" s="14">
        <f>R1033-S1033</f>
        <v/>
      </c>
      <c r="U1033" s="14">
        <f>L1033*G1033</f>
        <v/>
      </c>
    </row>
    <row r="1034">
      <c r="A1034" s="12" t="inlineStr">
        <is>
          <t>PO-2021-1032</t>
        </is>
      </c>
      <c r="B1034" s="26" t="n">
        <v>45050</v>
      </c>
      <c r="C1034" s="12" t="inlineStr">
        <is>
          <t>VS09</t>
        </is>
      </c>
      <c r="D1034" s="12" t="inlineStr">
        <is>
          <t>Structural Steel</t>
        </is>
      </c>
      <c r="E1034" s="12" t="inlineStr">
        <is>
          <t>N</t>
        </is>
      </c>
      <c r="F1034" s="12" t="n">
        <v>17.99</v>
      </c>
      <c r="G1034" s="17" t="n">
        <v>78289.5</v>
      </c>
      <c r="H1034" s="26" t="n">
        <v>45063</v>
      </c>
      <c r="I1034" s="26" t="n">
        <v>45066</v>
      </c>
      <c r="J1034" s="12" t="n">
        <v>17.85</v>
      </c>
      <c r="K1034" s="17" t="n">
        <v>1408428.1</v>
      </c>
      <c r="L1034" s="12" t="n">
        <v>0</v>
      </c>
      <c r="M1034" s="12" t="n">
        <v>20</v>
      </c>
      <c r="N1034" s="27">
        <f>F1034-J1034</f>
        <v/>
      </c>
      <c r="O1034" s="16">
        <f>I1034-H1034</f>
        <v/>
      </c>
      <c r="P1034" s="14">
        <f>F1034*G1034</f>
        <v/>
      </c>
      <c r="Q1034" s="14">
        <f>J1034*G1034</f>
        <v/>
      </c>
      <c r="R1034" s="14">
        <f>K1034-Q1034</f>
        <v/>
      </c>
      <c r="S1034" s="3">
        <f>P1034*Assumptions!$B$3/100</f>
        <v/>
      </c>
      <c r="T1034" s="14">
        <f>R1034-S1034</f>
        <v/>
      </c>
      <c r="U1034" s="14">
        <f>L1034*G1034</f>
        <v/>
      </c>
    </row>
    <row r="1035">
      <c r="A1035" s="12" t="inlineStr">
        <is>
          <t>PO-2021-1033</t>
        </is>
      </c>
      <c r="B1035" s="26" t="n">
        <v>44240</v>
      </c>
      <c r="C1035" s="12" t="inlineStr">
        <is>
          <t>VS19</t>
        </is>
      </c>
      <c r="D1035" s="12" t="inlineStr">
        <is>
          <t>GI Sheets</t>
        </is>
      </c>
      <c r="E1035" s="12" t="inlineStr">
        <is>
          <t>N</t>
        </is>
      </c>
      <c r="F1035" s="12" t="n">
        <v>4.08</v>
      </c>
      <c r="G1035" s="17" t="n">
        <v>114799.91</v>
      </c>
      <c r="H1035" s="26" t="n">
        <v>44246</v>
      </c>
      <c r="I1035" s="26" t="n">
        <v>44250</v>
      </c>
      <c r="J1035" s="12" t="n">
        <v>3.9</v>
      </c>
      <c r="K1035" s="17" t="n">
        <v>468383.63</v>
      </c>
      <c r="L1035" s="12" t="n">
        <v>0.01</v>
      </c>
      <c r="M1035" s="12" t="n">
        <v>15</v>
      </c>
      <c r="N1035" s="27">
        <f>F1035-J1035</f>
        <v/>
      </c>
      <c r="O1035" s="16">
        <f>I1035-H1035</f>
        <v/>
      </c>
      <c r="P1035" s="14">
        <f>F1035*G1035</f>
        <v/>
      </c>
      <c r="Q1035" s="14">
        <f>J1035*G1035</f>
        <v/>
      </c>
      <c r="R1035" s="14">
        <f>K1035-Q1035</f>
        <v/>
      </c>
      <c r="S1035" s="3">
        <f>P1035*Assumptions!$B$3/100</f>
        <v/>
      </c>
      <c r="T1035" s="14">
        <f>R1035-S1035</f>
        <v/>
      </c>
      <c r="U1035" s="14">
        <f>L1035*G1035</f>
        <v/>
      </c>
    </row>
    <row r="1036">
      <c r="A1036" s="12" t="inlineStr">
        <is>
          <t>PO-2021-1034</t>
        </is>
      </c>
      <c r="B1036" s="26" t="n">
        <v>45261</v>
      </c>
      <c r="C1036" s="12" t="inlineStr">
        <is>
          <t>VS22</t>
        </is>
      </c>
      <c r="D1036" s="12" t="inlineStr">
        <is>
          <t>GI Wire</t>
        </is>
      </c>
      <c r="E1036" s="12" t="inlineStr">
        <is>
          <t>N</t>
        </is>
      </c>
      <c r="F1036" s="12" t="n">
        <v>29.36</v>
      </c>
      <c r="G1036" s="17" t="n">
        <v>94182.03999999999</v>
      </c>
      <c r="H1036" s="26" t="n">
        <v>45276</v>
      </c>
      <c r="I1036" s="26" t="n">
        <v>45278</v>
      </c>
      <c r="J1036" s="12" t="n">
        <v>29.33</v>
      </c>
      <c r="K1036" s="17" t="n">
        <v>2765184.69</v>
      </c>
      <c r="L1036" s="12" t="n">
        <v>0</v>
      </c>
      <c r="M1036" s="12" t="n">
        <v>21</v>
      </c>
      <c r="N1036" s="27">
        <f>F1036-J1036</f>
        <v/>
      </c>
      <c r="O1036" s="16">
        <f>I1036-H1036</f>
        <v/>
      </c>
      <c r="P1036" s="14">
        <f>F1036*G1036</f>
        <v/>
      </c>
      <c r="Q1036" s="14">
        <f>J1036*G1036</f>
        <v/>
      </c>
      <c r="R1036" s="14">
        <f>K1036-Q1036</f>
        <v/>
      </c>
      <c r="S1036" s="3">
        <f>P1036*Assumptions!$B$3/100</f>
        <v/>
      </c>
      <c r="T1036" s="14">
        <f>R1036-S1036</f>
        <v/>
      </c>
      <c r="U1036" s="14">
        <f>L1036*G1036</f>
        <v/>
      </c>
    </row>
    <row r="1037">
      <c r="A1037" s="12" t="inlineStr">
        <is>
          <t>PO-2021-1035</t>
        </is>
      </c>
      <c r="B1037" s="26" t="n">
        <v>44865</v>
      </c>
      <c r="C1037" s="12" t="inlineStr">
        <is>
          <t>VS32</t>
        </is>
      </c>
      <c r="D1037" s="12" t="inlineStr">
        <is>
          <t>Hex Bars</t>
        </is>
      </c>
      <c r="E1037" s="12" t="inlineStr">
        <is>
          <t>N</t>
        </is>
      </c>
      <c r="F1037" s="12" t="n">
        <v>42.25</v>
      </c>
      <c r="G1037" s="17" t="n">
        <v>78394.22</v>
      </c>
      <c r="H1037" s="26" t="n">
        <v>44872</v>
      </c>
      <c r="I1037" s="26" t="n">
        <v>44874</v>
      </c>
      <c r="J1037" s="12" t="n">
        <v>41.95</v>
      </c>
      <c r="K1037" s="17" t="n">
        <v>3312155.79</v>
      </c>
      <c r="L1037" s="12" t="n">
        <v>0</v>
      </c>
      <c r="M1037" s="12" t="n">
        <v>0</v>
      </c>
      <c r="N1037" s="27">
        <f>F1037-J1037</f>
        <v/>
      </c>
      <c r="O1037" s="16">
        <f>I1037-H1037</f>
        <v/>
      </c>
      <c r="P1037" s="14">
        <f>F1037*G1037</f>
        <v/>
      </c>
      <c r="Q1037" s="14">
        <f>J1037*G1037</f>
        <v/>
      </c>
      <c r="R1037" s="14">
        <f>K1037-Q1037</f>
        <v/>
      </c>
      <c r="S1037" s="3">
        <f>P1037*Assumptions!$B$3/100</f>
        <v/>
      </c>
      <c r="T1037" s="14">
        <f>R1037-S1037</f>
        <v/>
      </c>
      <c r="U1037" s="14">
        <f>L1037*G1037</f>
        <v/>
      </c>
    </row>
    <row r="1038">
      <c r="A1038" s="12" t="inlineStr">
        <is>
          <t>PO-2021-1036</t>
        </is>
      </c>
      <c r="B1038" s="26" t="n">
        <v>44467</v>
      </c>
      <c r="C1038" s="12" t="inlineStr">
        <is>
          <t>VS20</t>
        </is>
      </c>
      <c r="D1038" s="12" t="inlineStr">
        <is>
          <t>MS Sheets</t>
        </is>
      </c>
      <c r="E1038" s="12" t="inlineStr">
        <is>
          <t>Y</t>
        </is>
      </c>
      <c r="F1038" s="12" t="n">
        <v>39.67</v>
      </c>
      <c r="G1038" s="17" t="n">
        <v>62008.65</v>
      </c>
      <c r="H1038" s="26" t="n">
        <v>44475</v>
      </c>
      <c r="I1038" s="26" t="n">
        <v>44476</v>
      </c>
      <c r="J1038" s="12" t="n">
        <v>39.52</v>
      </c>
      <c r="K1038" s="17" t="n">
        <v>2459883.15</v>
      </c>
      <c r="L1038" s="12" t="n">
        <v>0</v>
      </c>
      <c r="M1038" s="12" t="n">
        <v>7</v>
      </c>
      <c r="N1038" s="27">
        <f>F1038-J1038</f>
        <v/>
      </c>
      <c r="O1038" s="16">
        <f>I1038-H1038</f>
        <v/>
      </c>
      <c r="P1038" s="14">
        <f>F1038*G1038</f>
        <v/>
      </c>
      <c r="Q1038" s="14">
        <f>J1038*G1038</f>
        <v/>
      </c>
      <c r="R1038" s="14">
        <f>K1038-Q1038</f>
        <v/>
      </c>
      <c r="S1038" s="3">
        <f>P1038*Assumptions!$B$3/100</f>
        <v/>
      </c>
      <c r="T1038" s="14">
        <f>R1038-S1038</f>
        <v/>
      </c>
      <c r="U1038" s="14">
        <f>L1038*G1038</f>
        <v/>
      </c>
    </row>
    <row r="1039">
      <c r="A1039" s="12" t="inlineStr">
        <is>
          <t>PO-2021-1037</t>
        </is>
      </c>
      <c r="B1039" s="26" t="n">
        <v>44787</v>
      </c>
      <c r="C1039" s="12" t="inlineStr">
        <is>
          <t>VS04</t>
        </is>
      </c>
      <c r="D1039" s="12" t="inlineStr">
        <is>
          <t>Square/Rect Tubes</t>
        </is>
      </c>
      <c r="E1039" s="12" t="inlineStr">
        <is>
          <t>N</t>
        </is>
      </c>
      <c r="F1039" s="12" t="n">
        <v>18.3</v>
      </c>
      <c r="G1039" s="17" t="n">
        <v>79194.49000000001</v>
      </c>
      <c r="H1039" s="26" t="n">
        <v>44792</v>
      </c>
      <c r="I1039" s="26" t="n">
        <v>44793</v>
      </c>
      <c r="J1039" s="12" t="n">
        <v>18.16</v>
      </c>
      <c r="K1039" s="17" t="n">
        <v>1449259.17</v>
      </c>
      <c r="L1039" s="12" t="n">
        <v>0</v>
      </c>
      <c r="M1039" s="12" t="n">
        <v>1</v>
      </c>
      <c r="N1039" s="27">
        <f>F1039-J1039</f>
        <v/>
      </c>
      <c r="O1039" s="16">
        <f>I1039-H1039</f>
        <v/>
      </c>
      <c r="P1039" s="14">
        <f>F1039*G1039</f>
        <v/>
      </c>
      <c r="Q1039" s="14">
        <f>J1039*G1039</f>
        <v/>
      </c>
      <c r="R1039" s="14">
        <f>K1039-Q1039</f>
        <v/>
      </c>
      <c r="S1039" s="3">
        <f>P1039*Assumptions!$B$3/100</f>
        <v/>
      </c>
      <c r="T1039" s="14">
        <f>R1039-S1039</f>
        <v/>
      </c>
      <c r="U1039" s="14">
        <f>L1039*G1039</f>
        <v/>
      </c>
    </row>
    <row r="1040">
      <c r="A1040" s="12" t="inlineStr">
        <is>
          <t>PO-2021-1038</t>
        </is>
      </c>
      <c r="B1040" s="26" t="n">
        <v>44526</v>
      </c>
      <c r="C1040" s="12" t="inlineStr">
        <is>
          <t>VS19</t>
        </is>
      </c>
      <c r="D1040" s="12" t="inlineStr">
        <is>
          <t>MS Sheets</t>
        </is>
      </c>
      <c r="E1040" s="12" t="inlineStr">
        <is>
          <t>N</t>
        </is>
      </c>
      <c r="F1040" s="12" t="n">
        <v>48.69</v>
      </c>
      <c r="G1040" s="17" t="n">
        <v>112267.87</v>
      </c>
      <c r="H1040" s="26" t="n">
        <v>44540</v>
      </c>
      <c r="I1040" s="26" t="n">
        <v>44548</v>
      </c>
      <c r="J1040" s="12" t="n">
        <v>47.1</v>
      </c>
      <c r="K1040" s="17" t="n">
        <v>5466322.59</v>
      </c>
      <c r="L1040" s="12" t="n">
        <v>0.44</v>
      </c>
      <c r="M1040" s="12" t="n">
        <v>0</v>
      </c>
      <c r="N1040" s="27">
        <f>F1040-J1040</f>
        <v/>
      </c>
      <c r="O1040" s="16">
        <f>I1040-H1040</f>
        <v/>
      </c>
      <c r="P1040" s="14">
        <f>F1040*G1040</f>
        <v/>
      </c>
      <c r="Q1040" s="14">
        <f>J1040*G1040</f>
        <v/>
      </c>
      <c r="R1040" s="14">
        <f>K1040-Q1040</f>
        <v/>
      </c>
      <c r="S1040" s="3">
        <f>P1040*Assumptions!$B$3/100</f>
        <v/>
      </c>
      <c r="T1040" s="14">
        <f>R1040-S1040</f>
        <v/>
      </c>
      <c r="U1040" s="14">
        <f>L1040*G1040</f>
        <v/>
      </c>
    </row>
    <row r="1041">
      <c r="A1041" s="12" t="inlineStr">
        <is>
          <t>PO-2021-1039</t>
        </is>
      </c>
      <c r="B1041" s="26" t="n">
        <v>44511</v>
      </c>
      <c r="C1041" s="12" t="inlineStr">
        <is>
          <t>VS11</t>
        </is>
      </c>
      <c r="D1041" s="12" t="inlineStr">
        <is>
          <t>HR Coils</t>
        </is>
      </c>
      <c r="E1041" s="12" t="inlineStr">
        <is>
          <t>Y</t>
        </is>
      </c>
      <c r="F1041" s="12" t="n">
        <v>6.73</v>
      </c>
      <c r="G1041" s="17" t="n">
        <v>119532.98</v>
      </c>
      <c r="H1041" s="26" t="n">
        <v>44523</v>
      </c>
      <c r="I1041" s="26" t="n">
        <v>44525</v>
      </c>
      <c r="J1041" s="12" t="n">
        <v>6.72</v>
      </c>
      <c r="K1041" s="17" t="n">
        <v>804456.96</v>
      </c>
      <c r="L1041" s="12" t="n">
        <v>0</v>
      </c>
      <c r="M1041" s="12" t="n">
        <v>3</v>
      </c>
      <c r="N1041" s="27">
        <f>F1041-J1041</f>
        <v/>
      </c>
      <c r="O1041" s="16">
        <f>I1041-H1041</f>
        <v/>
      </c>
      <c r="P1041" s="14">
        <f>F1041*G1041</f>
        <v/>
      </c>
      <c r="Q1041" s="14">
        <f>J1041*G1041</f>
        <v/>
      </c>
      <c r="R1041" s="14">
        <f>K1041-Q1041</f>
        <v/>
      </c>
      <c r="S1041" s="3">
        <f>P1041*Assumptions!$B$3/100</f>
        <v/>
      </c>
      <c r="T1041" s="14">
        <f>R1041-S1041</f>
        <v/>
      </c>
      <c r="U1041" s="14">
        <f>L1041*G1041</f>
        <v/>
      </c>
    </row>
    <row r="1042">
      <c r="A1042" s="12" t="inlineStr">
        <is>
          <t>PO-2021-1040</t>
        </is>
      </c>
      <c r="B1042" s="26" t="n">
        <v>44456</v>
      </c>
      <c r="C1042" s="12" t="inlineStr">
        <is>
          <t>VS29</t>
        </is>
      </c>
      <c r="D1042" s="12" t="inlineStr">
        <is>
          <t>CR Sheets</t>
        </is>
      </c>
      <c r="E1042" s="12" t="inlineStr">
        <is>
          <t>N</t>
        </is>
      </c>
      <c r="F1042" s="12" t="n">
        <v>19.11</v>
      </c>
      <c r="G1042" s="17" t="n">
        <v>60386.65</v>
      </c>
      <c r="H1042" s="26" t="n">
        <v>44470</v>
      </c>
      <c r="I1042" s="26" t="n">
        <v>44471</v>
      </c>
      <c r="J1042" s="12" t="n">
        <v>19.05</v>
      </c>
      <c r="K1042" s="17" t="n">
        <v>1153988.88</v>
      </c>
      <c r="L1042" s="12" t="n">
        <v>0</v>
      </c>
      <c r="M1042" s="12" t="n">
        <v>0</v>
      </c>
      <c r="N1042" s="27">
        <f>F1042-J1042</f>
        <v/>
      </c>
      <c r="O1042" s="16">
        <f>I1042-H1042</f>
        <v/>
      </c>
      <c r="P1042" s="14">
        <f>F1042*G1042</f>
        <v/>
      </c>
      <c r="Q1042" s="14">
        <f>J1042*G1042</f>
        <v/>
      </c>
      <c r="R1042" s="14">
        <f>K1042-Q1042</f>
        <v/>
      </c>
      <c r="S1042" s="3">
        <f>P1042*Assumptions!$B$3/100</f>
        <v/>
      </c>
      <c r="T1042" s="14">
        <f>R1042-S1042</f>
        <v/>
      </c>
      <c r="U1042" s="14">
        <f>L1042*G1042</f>
        <v/>
      </c>
    </row>
    <row r="1043">
      <c r="A1043" s="12" t="inlineStr">
        <is>
          <t>PO-2021-1041</t>
        </is>
      </c>
      <c r="B1043" s="26" t="n">
        <v>44268</v>
      </c>
      <c r="C1043" s="12" t="inlineStr">
        <is>
          <t>VS21</t>
        </is>
      </c>
      <c r="D1043" s="12" t="inlineStr">
        <is>
          <t>Angles &amp; Channels</t>
        </is>
      </c>
      <c r="E1043" s="12" t="inlineStr">
        <is>
          <t>N</t>
        </is>
      </c>
      <c r="F1043" s="12" t="n">
        <v>8.25</v>
      </c>
      <c r="G1043" s="17" t="n">
        <v>78632.17999999999</v>
      </c>
      <c r="H1043" s="26" t="n">
        <v>44273</v>
      </c>
      <c r="I1043" s="26" t="n">
        <v>44275</v>
      </c>
      <c r="J1043" s="12" t="n">
        <v>8.23</v>
      </c>
      <c r="K1043" s="17" t="n">
        <v>648715.48</v>
      </c>
      <c r="L1043" s="12" t="n">
        <v>0</v>
      </c>
      <c r="M1043" s="12" t="n">
        <v>0</v>
      </c>
      <c r="N1043" s="27">
        <f>F1043-J1043</f>
        <v/>
      </c>
      <c r="O1043" s="16">
        <f>I1043-H1043</f>
        <v/>
      </c>
      <c r="P1043" s="14">
        <f>F1043*G1043</f>
        <v/>
      </c>
      <c r="Q1043" s="14">
        <f>J1043*G1043</f>
        <v/>
      </c>
      <c r="R1043" s="14">
        <f>K1043-Q1043</f>
        <v/>
      </c>
      <c r="S1043" s="3">
        <f>P1043*Assumptions!$B$3/100</f>
        <v/>
      </c>
      <c r="T1043" s="14">
        <f>R1043-S1043</f>
        <v/>
      </c>
      <c r="U1043" s="14">
        <f>L1043*G1043</f>
        <v/>
      </c>
    </row>
    <row r="1044">
      <c r="A1044" s="12" t="inlineStr">
        <is>
          <t>PO-2021-1042</t>
        </is>
      </c>
      <c r="B1044" s="26" t="n">
        <v>45289</v>
      </c>
      <c r="C1044" s="12" t="inlineStr">
        <is>
          <t>VS20</t>
        </is>
      </c>
      <c r="D1044" s="12" t="inlineStr">
        <is>
          <t>ERW Pipes</t>
        </is>
      </c>
      <c r="E1044" s="12" t="inlineStr">
        <is>
          <t>N</t>
        </is>
      </c>
      <c r="F1044" s="12" t="n">
        <v>46.1</v>
      </c>
      <c r="G1044" s="17" t="n">
        <v>75342.17</v>
      </c>
      <c r="H1044" s="26" t="n">
        <v>45299</v>
      </c>
      <c r="I1044" s="26" t="n">
        <v>45301</v>
      </c>
      <c r="J1044" s="12" t="n">
        <v>46.1</v>
      </c>
      <c r="K1044" s="17" t="n">
        <v>3473274.04</v>
      </c>
      <c r="L1044" s="12" t="n">
        <v>0</v>
      </c>
      <c r="M1044" s="12" t="n">
        <v>0</v>
      </c>
      <c r="N1044" s="27">
        <f>F1044-J1044</f>
        <v/>
      </c>
      <c r="O1044" s="16">
        <f>I1044-H1044</f>
        <v/>
      </c>
      <c r="P1044" s="14">
        <f>F1044*G1044</f>
        <v/>
      </c>
      <c r="Q1044" s="14">
        <f>J1044*G1044</f>
        <v/>
      </c>
      <c r="R1044" s="14">
        <f>K1044-Q1044</f>
        <v/>
      </c>
      <c r="S1044" s="3">
        <f>P1044*Assumptions!$B$3/100</f>
        <v/>
      </c>
      <c r="T1044" s="14">
        <f>R1044-S1044</f>
        <v/>
      </c>
      <c r="U1044" s="14">
        <f>L1044*G1044</f>
        <v/>
      </c>
    </row>
    <row r="1045">
      <c r="A1045" s="12" t="inlineStr">
        <is>
          <t>PO-2021-1043</t>
        </is>
      </c>
      <c r="B1045" s="26" t="n">
        <v>44494</v>
      </c>
      <c r="C1045" s="12" t="inlineStr">
        <is>
          <t>VS30</t>
        </is>
      </c>
      <c r="D1045" s="12" t="inlineStr">
        <is>
          <t>MS Flats</t>
        </is>
      </c>
      <c r="E1045" s="12" t="inlineStr">
        <is>
          <t>N</t>
        </is>
      </c>
      <c r="F1045" s="12" t="n">
        <v>8.65</v>
      </c>
      <c r="G1045" s="17" t="n">
        <v>117761.26</v>
      </c>
      <c r="H1045" s="26" t="n">
        <v>44505</v>
      </c>
      <c r="I1045" s="26" t="n">
        <v>44506</v>
      </c>
      <c r="J1045" s="12" t="n">
        <v>8.619999999999999</v>
      </c>
      <c r="K1045" s="17" t="n">
        <v>1018634.9</v>
      </c>
      <c r="L1045" s="12" t="n">
        <v>0</v>
      </c>
      <c r="M1045" s="12" t="n">
        <v>19</v>
      </c>
      <c r="N1045" s="27">
        <f>F1045-J1045</f>
        <v/>
      </c>
      <c r="O1045" s="16">
        <f>I1045-H1045</f>
        <v/>
      </c>
      <c r="P1045" s="14">
        <f>F1045*G1045</f>
        <v/>
      </c>
      <c r="Q1045" s="14">
        <f>J1045*G1045</f>
        <v/>
      </c>
      <c r="R1045" s="14">
        <f>K1045-Q1045</f>
        <v/>
      </c>
      <c r="S1045" s="3">
        <f>P1045*Assumptions!$B$3/100</f>
        <v/>
      </c>
      <c r="T1045" s="14">
        <f>R1045-S1045</f>
        <v/>
      </c>
      <c r="U1045" s="14">
        <f>L1045*G1045</f>
        <v/>
      </c>
    </row>
    <row r="1046">
      <c r="A1046" s="12" t="inlineStr">
        <is>
          <t>PO-2021-1044</t>
        </is>
      </c>
      <c r="B1046" s="26" t="n">
        <v>45236</v>
      </c>
      <c r="C1046" s="12" t="inlineStr">
        <is>
          <t>VS22</t>
        </is>
      </c>
      <c r="D1046" s="12" t="inlineStr">
        <is>
          <t>SS Sheets</t>
        </is>
      </c>
      <c r="E1046" s="12" t="inlineStr">
        <is>
          <t>N</t>
        </is>
      </c>
      <c r="F1046" s="12" t="n">
        <v>24.22</v>
      </c>
      <c r="G1046" s="17" t="n">
        <v>66737.03999999999</v>
      </c>
      <c r="H1046" s="26" t="n">
        <v>45251</v>
      </c>
      <c r="I1046" s="26" t="n">
        <v>45254</v>
      </c>
      <c r="J1046" s="12" t="n">
        <v>24.17</v>
      </c>
      <c r="K1046" s="17" t="n">
        <v>1616371.11</v>
      </c>
      <c r="L1046" s="12" t="n">
        <v>0</v>
      </c>
      <c r="M1046" s="12" t="n">
        <v>21</v>
      </c>
      <c r="N1046" s="27">
        <f>F1046-J1046</f>
        <v/>
      </c>
      <c r="O1046" s="16">
        <f>I1046-H1046</f>
        <v/>
      </c>
      <c r="P1046" s="14">
        <f>F1046*G1046</f>
        <v/>
      </c>
      <c r="Q1046" s="14">
        <f>J1046*G1046</f>
        <v/>
      </c>
      <c r="R1046" s="14">
        <f>K1046-Q1046</f>
        <v/>
      </c>
      <c r="S1046" s="3">
        <f>P1046*Assumptions!$B$3/100</f>
        <v/>
      </c>
      <c r="T1046" s="14">
        <f>R1046-S1046</f>
        <v/>
      </c>
      <c r="U1046" s="14">
        <f>L1046*G1046</f>
        <v/>
      </c>
    </row>
    <row r="1047">
      <c r="A1047" s="12" t="inlineStr">
        <is>
          <t>PO-2021-1045</t>
        </is>
      </c>
      <c r="B1047" s="26" t="n">
        <v>44498</v>
      </c>
      <c r="C1047" s="12" t="inlineStr">
        <is>
          <t>VS29</t>
        </is>
      </c>
      <c r="D1047" s="12" t="inlineStr">
        <is>
          <t>MS Flats</t>
        </is>
      </c>
      <c r="E1047" s="12" t="inlineStr">
        <is>
          <t>Y</t>
        </is>
      </c>
      <c r="F1047" s="12" t="n">
        <v>34.77</v>
      </c>
      <c r="G1047" s="17" t="n">
        <v>99873.03999999999</v>
      </c>
      <c r="H1047" s="26" t="n">
        <v>44501</v>
      </c>
      <c r="I1047" s="26" t="n">
        <v>44503</v>
      </c>
      <c r="J1047" s="12" t="n">
        <v>34.6</v>
      </c>
      <c r="K1047" s="17" t="n">
        <v>3472585.6</v>
      </c>
      <c r="L1047" s="12" t="n">
        <v>0</v>
      </c>
      <c r="M1047" s="12" t="n">
        <v>2</v>
      </c>
      <c r="N1047" s="27">
        <f>F1047-J1047</f>
        <v/>
      </c>
      <c r="O1047" s="16">
        <f>I1047-H1047</f>
        <v/>
      </c>
      <c r="P1047" s="14">
        <f>F1047*G1047</f>
        <v/>
      </c>
      <c r="Q1047" s="14">
        <f>J1047*G1047</f>
        <v/>
      </c>
      <c r="R1047" s="14">
        <f>K1047-Q1047</f>
        <v/>
      </c>
      <c r="S1047" s="3">
        <f>P1047*Assumptions!$B$3/100</f>
        <v/>
      </c>
      <c r="T1047" s="14">
        <f>R1047-S1047</f>
        <v/>
      </c>
      <c r="U1047" s="14">
        <f>L1047*G1047</f>
        <v/>
      </c>
    </row>
    <row r="1048">
      <c r="A1048" s="12" t="inlineStr">
        <is>
          <t>PO-2021-1046</t>
        </is>
      </c>
      <c r="B1048" s="26" t="n">
        <v>44482</v>
      </c>
      <c r="C1048" s="12" t="inlineStr">
        <is>
          <t>VS08</t>
        </is>
      </c>
      <c r="D1048" s="12" t="inlineStr">
        <is>
          <t>SS Sheets</t>
        </is>
      </c>
      <c r="E1048" s="12" t="inlineStr">
        <is>
          <t>Y</t>
        </is>
      </c>
      <c r="F1048" s="12" t="n">
        <v>2.21</v>
      </c>
      <c r="G1048" s="17" t="n">
        <v>91314.14999999999</v>
      </c>
      <c r="H1048" s="26" t="n">
        <v>44488</v>
      </c>
      <c r="I1048" s="26" t="n">
        <v>44489</v>
      </c>
      <c r="J1048" s="12" t="n">
        <v>2.2</v>
      </c>
      <c r="K1048" s="17" t="n">
        <v>201804.27</v>
      </c>
      <c r="L1048" s="12" t="n">
        <v>0</v>
      </c>
      <c r="M1048" s="12" t="n">
        <v>0</v>
      </c>
      <c r="N1048" s="27">
        <f>F1048-J1048</f>
        <v/>
      </c>
      <c r="O1048" s="16">
        <f>I1048-H1048</f>
        <v/>
      </c>
      <c r="P1048" s="14">
        <f>F1048*G1048</f>
        <v/>
      </c>
      <c r="Q1048" s="14">
        <f>J1048*G1048</f>
        <v/>
      </c>
      <c r="R1048" s="14">
        <f>K1048-Q1048</f>
        <v/>
      </c>
      <c r="S1048" s="3">
        <f>P1048*Assumptions!$B$3/100</f>
        <v/>
      </c>
      <c r="T1048" s="14">
        <f>R1048-S1048</f>
        <v/>
      </c>
      <c r="U1048" s="14">
        <f>L1048*G1048</f>
        <v/>
      </c>
    </row>
    <row r="1049">
      <c r="A1049" s="12" t="inlineStr">
        <is>
          <t>PO-2021-1047</t>
        </is>
      </c>
      <c r="B1049" s="26" t="n">
        <v>45110</v>
      </c>
      <c r="C1049" s="12" t="inlineStr">
        <is>
          <t>VS23</t>
        </is>
      </c>
      <c r="D1049" s="12" t="inlineStr">
        <is>
          <t>SS Pipes</t>
        </is>
      </c>
      <c r="E1049" s="12" t="inlineStr">
        <is>
          <t>N</t>
        </is>
      </c>
      <c r="F1049" s="12" t="n">
        <v>16.99</v>
      </c>
      <c r="G1049" s="17" t="n">
        <v>90611.34</v>
      </c>
      <c r="H1049" s="26" t="n">
        <v>45116</v>
      </c>
      <c r="I1049" s="26" t="n">
        <v>45117</v>
      </c>
      <c r="J1049" s="12" t="n">
        <v>16.91</v>
      </c>
      <c r="K1049" s="17" t="n">
        <v>1539486.67</v>
      </c>
      <c r="L1049" s="12" t="n">
        <v>0</v>
      </c>
      <c r="M1049" s="12" t="n">
        <v>8</v>
      </c>
      <c r="N1049" s="27">
        <f>F1049-J1049</f>
        <v/>
      </c>
      <c r="O1049" s="16">
        <f>I1049-H1049</f>
        <v/>
      </c>
      <c r="P1049" s="14">
        <f>F1049*G1049</f>
        <v/>
      </c>
      <c r="Q1049" s="14">
        <f>J1049*G1049</f>
        <v/>
      </c>
      <c r="R1049" s="14">
        <f>K1049-Q1049</f>
        <v/>
      </c>
      <c r="S1049" s="3">
        <f>P1049*Assumptions!$B$3/100</f>
        <v/>
      </c>
      <c r="T1049" s="14">
        <f>R1049-S1049</f>
        <v/>
      </c>
      <c r="U1049" s="14">
        <f>L1049*G1049</f>
        <v/>
      </c>
    </row>
    <row r="1050">
      <c r="A1050" s="12" t="inlineStr">
        <is>
          <t>PO-2021-1048</t>
        </is>
      </c>
      <c r="B1050" s="26" t="n">
        <v>45275</v>
      </c>
      <c r="C1050" s="12" t="inlineStr">
        <is>
          <t>VS15</t>
        </is>
      </c>
      <c r="D1050" s="12" t="inlineStr">
        <is>
          <t>CR Sheets</t>
        </is>
      </c>
      <c r="E1050" s="12" t="inlineStr">
        <is>
          <t>N</t>
        </is>
      </c>
      <c r="F1050" s="12" t="n">
        <v>10.59</v>
      </c>
      <c r="G1050" s="17" t="n">
        <v>51269.22</v>
      </c>
      <c r="H1050" s="26" t="n">
        <v>45285</v>
      </c>
      <c r="I1050" s="26" t="n">
        <v>45286</v>
      </c>
      <c r="J1050" s="12" t="n">
        <v>10.53</v>
      </c>
      <c r="K1050" s="17" t="n">
        <v>542941.04</v>
      </c>
      <c r="L1050" s="12" t="n">
        <v>0</v>
      </c>
      <c r="M1050" s="12" t="n">
        <v>15</v>
      </c>
      <c r="N1050" s="27">
        <f>F1050-J1050</f>
        <v/>
      </c>
      <c r="O1050" s="16">
        <f>I1050-H1050</f>
        <v/>
      </c>
      <c r="P1050" s="14">
        <f>F1050*G1050</f>
        <v/>
      </c>
      <c r="Q1050" s="14">
        <f>J1050*G1050</f>
        <v/>
      </c>
      <c r="R1050" s="14">
        <f>K1050-Q1050</f>
        <v/>
      </c>
      <c r="S1050" s="3">
        <f>P1050*Assumptions!$B$3/100</f>
        <v/>
      </c>
      <c r="T1050" s="14">
        <f>R1050-S1050</f>
        <v/>
      </c>
      <c r="U1050" s="14">
        <f>L1050*G1050</f>
        <v/>
      </c>
    </row>
    <row r="1051">
      <c r="A1051" s="12" t="inlineStr">
        <is>
          <t>PO-2021-1049</t>
        </is>
      </c>
      <c r="B1051" s="26" t="n">
        <v>44375</v>
      </c>
      <c r="C1051" s="12" t="inlineStr">
        <is>
          <t>VS33</t>
        </is>
      </c>
      <c r="D1051" s="12" t="inlineStr">
        <is>
          <t>MS Rods</t>
        </is>
      </c>
      <c r="E1051" s="12" t="inlineStr">
        <is>
          <t>N</t>
        </is>
      </c>
      <c r="F1051" s="12" t="n">
        <v>10.53</v>
      </c>
      <c r="G1051" s="17" t="n">
        <v>68831.84</v>
      </c>
      <c r="H1051" s="26" t="n">
        <v>44387</v>
      </c>
      <c r="I1051" s="26" t="n">
        <v>44388</v>
      </c>
      <c r="J1051" s="12" t="n">
        <v>10.44</v>
      </c>
      <c r="K1051" s="17" t="n">
        <v>724799.28</v>
      </c>
      <c r="L1051" s="12" t="n">
        <v>0</v>
      </c>
      <c r="M1051" s="12" t="n">
        <v>0</v>
      </c>
      <c r="N1051" s="27">
        <f>F1051-J1051</f>
        <v/>
      </c>
      <c r="O1051" s="16">
        <f>I1051-H1051</f>
        <v/>
      </c>
      <c r="P1051" s="14">
        <f>F1051*G1051</f>
        <v/>
      </c>
      <c r="Q1051" s="14">
        <f>J1051*G1051</f>
        <v/>
      </c>
      <c r="R1051" s="14">
        <f>K1051-Q1051</f>
        <v/>
      </c>
      <c r="S1051" s="3">
        <f>P1051*Assumptions!$B$3/100</f>
        <v/>
      </c>
      <c r="T1051" s="14">
        <f>R1051-S1051</f>
        <v/>
      </c>
      <c r="U1051" s="14">
        <f>L1051*G1051</f>
        <v/>
      </c>
    </row>
    <row r="1052">
      <c r="A1052" s="12" t="inlineStr">
        <is>
          <t>PO-2021-1050</t>
        </is>
      </c>
      <c r="B1052" s="26" t="n">
        <v>45244</v>
      </c>
      <c r="C1052" s="12" t="inlineStr">
        <is>
          <t>VS04</t>
        </is>
      </c>
      <c r="D1052" s="12" t="inlineStr">
        <is>
          <t>Angles &amp; Channels</t>
        </is>
      </c>
      <c r="E1052" s="12" t="inlineStr">
        <is>
          <t>N</t>
        </is>
      </c>
      <c r="F1052" s="12" t="n">
        <v>20.48</v>
      </c>
      <c r="G1052" s="17" t="n">
        <v>98697.28</v>
      </c>
      <c r="H1052" s="26" t="n">
        <v>45253</v>
      </c>
      <c r="I1052" s="26" t="n">
        <v>45253</v>
      </c>
      <c r="J1052" s="12" t="n">
        <v>20.28</v>
      </c>
      <c r="K1052" s="17" t="n">
        <v>2021320.29</v>
      </c>
      <c r="L1052" s="12" t="n">
        <v>0</v>
      </c>
      <c r="M1052" s="12" t="n">
        <v>20</v>
      </c>
      <c r="N1052" s="27">
        <f>F1052-J1052</f>
        <v/>
      </c>
      <c r="O1052" s="16">
        <f>I1052-H1052</f>
        <v/>
      </c>
      <c r="P1052" s="14">
        <f>F1052*G1052</f>
        <v/>
      </c>
      <c r="Q1052" s="14">
        <f>J1052*G1052</f>
        <v/>
      </c>
      <c r="R1052" s="14">
        <f>K1052-Q1052</f>
        <v/>
      </c>
      <c r="S1052" s="3">
        <f>P1052*Assumptions!$B$3/100</f>
        <v/>
      </c>
      <c r="T1052" s="14">
        <f>R1052-S1052</f>
        <v/>
      </c>
      <c r="U1052" s="14">
        <f>L1052*G1052</f>
        <v/>
      </c>
    </row>
    <row r="1053">
      <c r="A1053" s="12" t="inlineStr">
        <is>
          <t>PO-2021-1051</t>
        </is>
      </c>
      <c r="B1053" s="26" t="n">
        <v>44954</v>
      </c>
      <c r="C1053" s="12" t="inlineStr">
        <is>
          <t>VS25</t>
        </is>
      </c>
      <c r="D1053" s="12" t="inlineStr">
        <is>
          <t>Angles &amp; Channels</t>
        </is>
      </c>
      <c r="E1053" s="12" t="inlineStr">
        <is>
          <t>N</t>
        </is>
      </c>
      <c r="F1053" s="12" t="n">
        <v>1.6</v>
      </c>
      <c r="G1053" s="17" t="n">
        <v>70869.02</v>
      </c>
      <c r="H1053" s="26" t="n">
        <v>44961</v>
      </c>
      <c r="I1053" s="26" t="n">
        <v>44962</v>
      </c>
      <c r="J1053" s="12" t="n">
        <v>1.59</v>
      </c>
      <c r="K1053" s="17" t="n">
        <v>113390.43</v>
      </c>
      <c r="L1053" s="12" t="n">
        <v>0</v>
      </c>
      <c r="M1053" s="12" t="n">
        <v>0</v>
      </c>
      <c r="N1053" s="27">
        <f>F1053-J1053</f>
        <v/>
      </c>
      <c r="O1053" s="16">
        <f>I1053-H1053</f>
        <v/>
      </c>
      <c r="P1053" s="14">
        <f>F1053*G1053</f>
        <v/>
      </c>
      <c r="Q1053" s="14">
        <f>J1053*G1053</f>
        <v/>
      </c>
      <c r="R1053" s="14">
        <f>K1053-Q1053</f>
        <v/>
      </c>
      <c r="S1053" s="3">
        <f>P1053*Assumptions!$B$3/100</f>
        <v/>
      </c>
      <c r="T1053" s="14">
        <f>R1053-S1053</f>
        <v/>
      </c>
      <c r="U1053" s="14">
        <f>L1053*G1053</f>
        <v/>
      </c>
    </row>
    <row r="1054">
      <c r="A1054" s="12" t="inlineStr">
        <is>
          <t>PO-2021-1052</t>
        </is>
      </c>
      <c r="B1054" s="26" t="n">
        <v>45109</v>
      </c>
      <c r="C1054" s="12" t="inlineStr">
        <is>
          <t>VS06</t>
        </is>
      </c>
      <c r="D1054" s="12" t="inlineStr">
        <is>
          <t>GI Sheets</t>
        </is>
      </c>
      <c r="E1054" s="12" t="inlineStr">
        <is>
          <t>N</t>
        </is>
      </c>
      <c r="F1054" s="12" t="n">
        <v>36.66</v>
      </c>
      <c r="G1054" s="17" t="n">
        <v>78316.53</v>
      </c>
      <c r="H1054" s="26" t="n">
        <v>45118</v>
      </c>
      <c r="I1054" s="26" t="n">
        <v>45120</v>
      </c>
      <c r="J1054" s="12" t="n">
        <v>36.48</v>
      </c>
      <c r="K1054" s="17" t="n">
        <v>2871083.99</v>
      </c>
      <c r="L1054" s="12" t="n">
        <v>0</v>
      </c>
      <c r="M1054" s="12" t="n">
        <v>3</v>
      </c>
      <c r="N1054" s="27">
        <f>F1054-J1054</f>
        <v/>
      </c>
      <c r="O1054" s="16">
        <f>I1054-H1054</f>
        <v/>
      </c>
      <c r="P1054" s="14">
        <f>F1054*G1054</f>
        <v/>
      </c>
      <c r="Q1054" s="14">
        <f>J1054*G1054</f>
        <v/>
      </c>
      <c r="R1054" s="14">
        <f>K1054-Q1054</f>
        <v/>
      </c>
      <c r="S1054" s="3">
        <f>P1054*Assumptions!$B$3/100</f>
        <v/>
      </c>
      <c r="T1054" s="14">
        <f>R1054-S1054</f>
        <v/>
      </c>
      <c r="U1054" s="14">
        <f>L1054*G1054</f>
        <v/>
      </c>
    </row>
    <row r="1055">
      <c r="A1055" s="12" t="inlineStr">
        <is>
          <t>PO-2021-1053</t>
        </is>
      </c>
      <c r="B1055" s="26" t="n">
        <v>45103</v>
      </c>
      <c r="C1055" s="12" t="inlineStr">
        <is>
          <t>VS19</t>
        </is>
      </c>
      <c r="D1055" s="12" t="inlineStr">
        <is>
          <t>MS Sheets</t>
        </is>
      </c>
      <c r="E1055" s="12" t="inlineStr">
        <is>
          <t>N</t>
        </is>
      </c>
      <c r="F1055" s="12" t="n">
        <v>40.48</v>
      </c>
      <c r="G1055" s="17" t="n">
        <v>122488.13</v>
      </c>
      <c r="H1055" s="26" t="n">
        <v>45112</v>
      </c>
      <c r="I1055" s="26" t="n">
        <v>45120</v>
      </c>
      <c r="J1055" s="12" t="n">
        <v>38.79</v>
      </c>
      <c r="K1055" s="17" t="n">
        <v>4958319.5</v>
      </c>
      <c r="L1055" s="12" t="n">
        <v>0.84</v>
      </c>
      <c r="M1055" s="12" t="n">
        <v>8</v>
      </c>
      <c r="N1055" s="27">
        <f>F1055-J1055</f>
        <v/>
      </c>
      <c r="O1055" s="16">
        <f>I1055-H1055</f>
        <v/>
      </c>
      <c r="P1055" s="14">
        <f>F1055*G1055</f>
        <v/>
      </c>
      <c r="Q1055" s="14">
        <f>J1055*G1055</f>
        <v/>
      </c>
      <c r="R1055" s="14">
        <f>K1055-Q1055</f>
        <v/>
      </c>
      <c r="S1055" s="3">
        <f>P1055*Assumptions!$B$3/100</f>
        <v/>
      </c>
      <c r="T1055" s="14">
        <f>R1055-S1055</f>
        <v/>
      </c>
      <c r="U1055" s="14">
        <f>L1055*G1055</f>
        <v/>
      </c>
    </row>
    <row r="1056">
      <c r="A1056" s="12" t="inlineStr">
        <is>
          <t>PO-2021-1054</t>
        </is>
      </c>
      <c r="B1056" s="26" t="n">
        <v>45045</v>
      </c>
      <c r="C1056" s="12" t="inlineStr">
        <is>
          <t>VS09</t>
        </is>
      </c>
      <c r="D1056" s="12" t="inlineStr">
        <is>
          <t>SS Pipes</t>
        </is>
      </c>
      <c r="E1056" s="12" t="inlineStr">
        <is>
          <t>Y</t>
        </is>
      </c>
      <c r="F1056" s="12" t="n">
        <v>8.039999999999999</v>
      </c>
      <c r="G1056" s="17" t="n">
        <v>67742.34</v>
      </c>
      <c r="H1056" s="26" t="n">
        <v>45056</v>
      </c>
      <c r="I1056" s="26" t="n">
        <v>45058</v>
      </c>
      <c r="J1056" s="12" t="n">
        <v>7.97</v>
      </c>
      <c r="K1056" s="17" t="n">
        <v>544648.41</v>
      </c>
      <c r="L1056" s="12" t="n">
        <v>0</v>
      </c>
      <c r="M1056" s="12" t="n">
        <v>5</v>
      </c>
      <c r="N1056" s="27">
        <f>F1056-J1056</f>
        <v/>
      </c>
      <c r="O1056" s="16">
        <f>I1056-H1056</f>
        <v/>
      </c>
      <c r="P1056" s="14">
        <f>F1056*G1056</f>
        <v/>
      </c>
      <c r="Q1056" s="14">
        <f>J1056*G1056</f>
        <v/>
      </c>
      <c r="R1056" s="14">
        <f>K1056-Q1056</f>
        <v/>
      </c>
      <c r="S1056" s="3">
        <f>P1056*Assumptions!$B$3/100</f>
        <v/>
      </c>
      <c r="T1056" s="14">
        <f>R1056-S1056</f>
        <v/>
      </c>
      <c r="U1056" s="14">
        <f>L1056*G1056</f>
        <v/>
      </c>
    </row>
    <row r="1057">
      <c r="A1057" s="12" t="inlineStr">
        <is>
          <t>PO-2021-1055</t>
        </is>
      </c>
      <c r="B1057" s="26" t="n">
        <v>44883</v>
      </c>
      <c r="C1057" s="12" t="inlineStr">
        <is>
          <t>VS05</t>
        </is>
      </c>
      <c r="D1057" s="12" t="inlineStr">
        <is>
          <t>MS Rods</t>
        </is>
      </c>
      <c r="E1057" s="12" t="inlineStr">
        <is>
          <t>N</t>
        </is>
      </c>
      <c r="F1057" s="12" t="n">
        <v>5.33</v>
      </c>
      <c r="G1057" s="17" t="n">
        <v>75709.55</v>
      </c>
      <c r="H1057" s="26" t="n">
        <v>44890</v>
      </c>
      <c r="I1057" s="26" t="n">
        <v>44893</v>
      </c>
      <c r="J1057" s="12" t="n">
        <v>5.32</v>
      </c>
      <c r="K1057" s="17" t="n">
        <v>403531.9</v>
      </c>
      <c r="L1057" s="12" t="n">
        <v>0</v>
      </c>
      <c r="M1057" s="12" t="n">
        <v>0</v>
      </c>
      <c r="N1057" s="27">
        <f>F1057-J1057</f>
        <v/>
      </c>
      <c r="O1057" s="16">
        <f>I1057-H1057</f>
        <v/>
      </c>
      <c r="P1057" s="14">
        <f>F1057*G1057</f>
        <v/>
      </c>
      <c r="Q1057" s="14">
        <f>J1057*G1057</f>
        <v/>
      </c>
      <c r="R1057" s="14">
        <f>K1057-Q1057</f>
        <v/>
      </c>
      <c r="S1057" s="3">
        <f>P1057*Assumptions!$B$3/100</f>
        <v/>
      </c>
      <c r="T1057" s="14">
        <f>R1057-S1057</f>
        <v/>
      </c>
      <c r="U1057" s="14">
        <f>L1057*G1057</f>
        <v/>
      </c>
    </row>
    <row r="1058">
      <c r="A1058" s="12" t="inlineStr">
        <is>
          <t>PO-2021-1056</t>
        </is>
      </c>
      <c r="B1058" s="26" t="n">
        <v>45045</v>
      </c>
      <c r="C1058" s="12" t="inlineStr">
        <is>
          <t>VS12</t>
        </is>
      </c>
      <c r="D1058" s="12" t="inlineStr">
        <is>
          <t>Spring Steel</t>
        </is>
      </c>
      <c r="E1058" s="12" t="inlineStr">
        <is>
          <t>Y</t>
        </is>
      </c>
      <c r="F1058" s="12" t="n">
        <v>23.64</v>
      </c>
      <c r="G1058" s="17" t="n">
        <v>91097.47</v>
      </c>
      <c r="H1058" s="26" t="n">
        <v>45050</v>
      </c>
      <c r="I1058" s="26" t="n">
        <v>45055</v>
      </c>
      <c r="J1058" s="12" t="n">
        <v>22.62</v>
      </c>
      <c r="K1058" s="17" t="n">
        <v>2153544.19</v>
      </c>
      <c r="L1058" s="12" t="n">
        <v>0.52</v>
      </c>
      <c r="M1058" s="12" t="n">
        <v>17</v>
      </c>
      <c r="N1058" s="27">
        <f>F1058-J1058</f>
        <v/>
      </c>
      <c r="O1058" s="16">
        <f>I1058-H1058</f>
        <v/>
      </c>
      <c r="P1058" s="14">
        <f>F1058*G1058</f>
        <v/>
      </c>
      <c r="Q1058" s="14">
        <f>J1058*G1058</f>
        <v/>
      </c>
      <c r="R1058" s="14">
        <f>K1058-Q1058</f>
        <v/>
      </c>
      <c r="S1058" s="3">
        <f>P1058*Assumptions!$B$3/100</f>
        <v/>
      </c>
      <c r="T1058" s="14">
        <f>R1058-S1058</f>
        <v/>
      </c>
      <c r="U1058" s="14">
        <f>L1058*G1058</f>
        <v/>
      </c>
    </row>
    <row r="1059">
      <c r="A1059" s="12" t="inlineStr">
        <is>
          <t>PO-2021-1057</t>
        </is>
      </c>
      <c r="B1059" s="26" t="n">
        <v>44605</v>
      </c>
      <c r="C1059" s="12" t="inlineStr">
        <is>
          <t>VS12</t>
        </is>
      </c>
      <c r="D1059" s="12" t="inlineStr">
        <is>
          <t>MS Rods</t>
        </is>
      </c>
      <c r="E1059" s="12" t="inlineStr">
        <is>
          <t>N</t>
        </is>
      </c>
      <c r="F1059" s="12" t="n">
        <v>15.18</v>
      </c>
      <c r="G1059" s="17" t="n">
        <v>85065.67999999999</v>
      </c>
      <c r="H1059" s="26" t="n">
        <v>44612</v>
      </c>
      <c r="I1059" s="26" t="n">
        <v>44618</v>
      </c>
      <c r="J1059" s="12" t="n">
        <v>14.62</v>
      </c>
      <c r="K1059" s="17" t="n">
        <v>1291297.02</v>
      </c>
      <c r="L1059" s="12" t="n">
        <v>0.29</v>
      </c>
      <c r="M1059" s="12" t="n">
        <v>6</v>
      </c>
      <c r="N1059" s="27">
        <f>F1059-J1059</f>
        <v/>
      </c>
      <c r="O1059" s="16">
        <f>I1059-H1059</f>
        <v/>
      </c>
      <c r="P1059" s="14">
        <f>F1059*G1059</f>
        <v/>
      </c>
      <c r="Q1059" s="14">
        <f>J1059*G1059</f>
        <v/>
      </c>
      <c r="R1059" s="14">
        <f>K1059-Q1059</f>
        <v/>
      </c>
      <c r="S1059" s="3">
        <f>P1059*Assumptions!$B$3/100</f>
        <v/>
      </c>
      <c r="T1059" s="14">
        <f>R1059-S1059</f>
        <v/>
      </c>
      <c r="U1059" s="14">
        <f>L1059*G1059</f>
        <v/>
      </c>
    </row>
    <row r="1060">
      <c r="A1060" s="12" t="inlineStr">
        <is>
          <t>PO-2021-1058</t>
        </is>
      </c>
      <c r="B1060" s="26" t="n">
        <v>44819</v>
      </c>
      <c r="C1060" s="12" t="inlineStr">
        <is>
          <t>VS32</t>
        </is>
      </c>
      <c r="D1060" s="12" t="inlineStr">
        <is>
          <t>Spring Steel</t>
        </is>
      </c>
      <c r="E1060" s="12" t="inlineStr">
        <is>
          <t>N</t>
        </is>
      </c>
      <c r="F1060" s="12" t="n">
        <v>37.25</v>
      </c>
      <c r="G1060" s="17" t="n">
        <v>61839.02</v>
      </c>
      <c r="H1060" s="26" t="n">
        <v>44834</v>
      </c>
      <c r="I1060" s="26" t="n">
        <v>44836</v>
      </c>
      <c r="J1060" s="12" t="n">
        <v>37.01</v>
      </c>
      <c r="K1060" s="17" t="n">
        <v>2303503.5</v>
      </c>
      <c r="L1060" s="12" t="n">
        <v>0</v>
      </c>
      <c r="M1060" s="12" t="n">
        <v>10</v>
      </c>
      <c r="N1060" s="27">
        <f>F1060-J1060</f>
        <v/>
      </c>
      <c r="O1060" s="16">
        <f>I1060-H1060</f>
        <v/>
      </c>
      <c r="P1060" s="14">
        <f>F1060*G1060</f>
        <v/>
      </c>
      <c r="Q1060" s="14">
        <f>J1060*G1060</f>
        <v/>
      </c>
      <c r="R1060" s="14">
        <f>K1060-Q1060</f>
        <v/>
      </c>
      <c r="S1060" s="3">
        <f>P1060*Assumptions!$B$3/100</f>
        <v/>
      </c>
      <c r="T1060" s="14">
        <f>R1060-S1060</f>
        <v/>
      </c>
      <c r="U1060" s="14">
        <f>L1060*G1060</f>
        <v/>
      </c>
    </row>
    <row r="1061">
      <c r="A1061" s="12" t="inlineStr">
        <is>
          <t>PO-2021-1059</t>
        </is>
      </c>
      <c r="B1061" s="26" t="n">
        <v>44202</v>
      </c>
      <c r="C1061" s="12" t="inlineStr">
        <is>
          <t>VS10</t>
        </is>
      </c>
      <c r="D1061" s="12" t="inlineStr">
        <is>
          <t>CR Sheets</t>
        </is>
      </c>
      <c r="E1061" s="12" t="inlineStr">
        <is>
          <t>N</t>
        </is>
      </c>
      <c r="F1061" s="12" t="n">
        <v>15.71</v>
      </c>
      <c r="G1061" s="17" t="n">
        <v>93041.64</v>
      </c>
      <c r="H1061" s="26" t="n">
        <v>44215</v>
      </c>
      <c r="I1061" s="26" t="n">
        <v>44215</v>
      </c>
      <c r="J1061" s="12" t="n">
        <v>15.63</v>
      </c>
      <c r="K1061" s="17" t="n">
        <v>1461684.16</v>
      </c>
      <c r="L1061" s="12" t="n">
        <v>0</v>
      </c>
      <c r="M1061" s="12" t="n">
        <v>0</v>
      </c>
      <c r="N1061" s="27">
        <f>F1061-J1061</f>
        <v/>
      </c>
      <c r="O1061" s="16">
        <f>I1061-H1061</f>
        <v/>
      </c>
      <c r="P1061" s="14">
        <f>F1061*G1061</f>
        <v/>
      </c>
      <c r="Q1061" s="14">
        <f>J1061*G1061</f>
        <v/>
      </c>
      <c r="R1061" s="14">
        <f>K1061-Q1061</f>
        <v/>
      </c>
      <c r="S1061" s="3">
        <f>P1061*Assumptions!$B$3/100</f>
        <v/>
      </c>
      <c r="T1061" s="14">
        <f>R1061-S1061</f>
        <v/>
      </c>
      <c r="U1061" s="14">
        <f>L1061*G1061</f>
        <v/>
      </c>
    </row>
    <row r="1062">
      <c r="A1062" s="12" t="inlineStr">
        <is>
          <t>PO-2021-1060</t>
        </is>
      </c>
      <c r="B1062" s="26" t="n">
        <v>45164</v>
      </c>
      <c r="C1062" s="12" t="inlineStr">
        <is>
          <t>VS08</t>
        </is>
      </c>
      <c r="D1062" s="12" t="inlineStr">
        <is>
          <t>SS Sheets</t>
        </is>
      </c>
      <c r="E1062" s="12" t="inlineStr">
        <is>
          <t>Y</t>
        </is>
      </c>
      <c r="F1062" s="12" t="n">
        <v>21.44</v>
      </c>
      <c r="G1062" s="17" t="n">
        <v>81891.49000000001</v>
      </c>
      <c r="H1062" s="26" t="n">
        <v>45178</v>
      </c>
      <c r="I1062" s="26" t="n">
        <v>45180</v>
      </c>
      <c r="J1062" s="12" t="n">
        <v>21.28</v>
      </c>
      <c r="K1062" s="17" t="n">
        <v>1755753.55</v>
      </c>
      <c r="L1062" s="12" t="n">
        <v>0</v>
      </c>
      <c r="M1062" s="12" t="n">
        <v>0</v>
      </c>
      <c r="N1062" s="27">
        <f>F1062-J1062</f>
        <v/>
      </c>
      <c r="O1062" s="16">
        <f>I1062-H1062</f>
        <v/>
      </c>
      <c r="P1062" s="14">
        <f>F1062*G1062</f>
        <v/>
      </c>
      <c r="Q1062" s="14">
        <f>J1062*G1062</f>
        <v/>
      </c>
      <c r="R1062" s="14">
        <f>K1062-Q1062</f>
        <v/>
      </c>
      <c r="S1062" s="3">
        <f>P1062*Assumptions!$B$3/100</f>
        <v/>
      </c>
      <c r="T1062" s="14">
        <f>R1062-S1062</f>
        <v/>
      </c>
      <c r="U1062" s="14">
        <f>L1062*G1062</f>
        <v/>
      </c>
    </row>
    <row r="1063">
      <c r="A1063" s="12" t="inlineStr">
        <is>
          <t>PO-2021-1061</t>
        </is>
      </c>
      <c r="B1063" s="26" t="n">
        <v>44698</v>
      </c>
      <c r="C1063" s="12" t="inlineStr">
        <is>
          <t>VS02</t>
        </is>
      </c>
      <c r="D1063" s="12" t="inlineStr">
        <is>
          <t>ERW Pipes</t>
        </is>
      </c>
      <c r="E1063" s="12" t="inlineStr">
        <is>
          <t>N</t>
        </is>
      </c>
      <c r="F1063" s="12" t="n">
        <v>38.47</v>
      </c>
      <c r="G1063" s="17" t="n">
        <v>81978.77</v>
      </c>
      <c r="H1063" s="26" t="n">
        <v>44702</v>
      </c>
      <c r="I1063" s="26" t="n">
        <v>44704</v>
      </c>
      <c r="J1063" s="12" t="n">
        <v>38.25</v>
      </c>
      <c r="K1063" s="17" t="n">
        <v>3153723.28</v>
      </c>
      <c r="L1063" s="12" t="n">
        <v>0</v>
      </c>
      <c r="M1063" s="12" t="n">
        <v>0</v>
      </c>
      <c r="N1063" s="27">
        <f>F1063-J1063</f>
        <v/>
      </c>
      <c r="O1063" s="16">
        <f>I1063-H1063</f>
        <v/>
      </c>
      <c r="P1063" s="14">
        <f>F1063*G1063</f>
        <v/>
      </c>
      <c r="Q1063" s="14">
        <f>J1063*G1063</f>
        <v/>
      </c>
      <c r="R1063" s="14">
        <f>K1063-Q1063</f>
        <v/>
      </c>
      <c r="S1063" s="3">
        <f>P1063*Assumptions!$B$3/100</f>
        <v/>
      </c>
      <c r="T1063" s="14">
        <f>R1063-S1063</f>
        <v/>
      </c>
      <c r="U1063" s="14">
        <f>L1063*G1063</f>
        <v/>
      </c>
    </row>
    <row r="1064">
      <c r="A1064" s="12" t="inlineStr">
        <is>
          <t>PO-2021-1062</t>
        </is>
      </c>
      <c r="B1064" s="26" t="n">
        <v>44937</v>
      </c>
      <c r="C1064" s="12" t="inlineStr">
        <is>
          <t>VS31</t>
        </is>
      </c>
      <c r="D1064" s="12" t="inlineStr">
        <is>
          <t>GI Wire</t>
        </is>
      </c>
      <c r="E1064" s="12" t="inlineStr">
        <is>
          <t>N</t>
        </is>
      </c>
      <c r="F1064" s="12" t="n">
        <v>43.55</v>
      </c>
      <c r="G1064" s="17" t="n">
        <v>92099.7</v>
      </c>
      <c r="H1064" s="26" t="n">
        <v>44947</v>
      </c>
      <c r="I1064" s="26" t="n">
        <v>44947</v>
      </c>
      <c r="J1064" s="12" t="n">
        <v>43.42</v>
      </c>
      <c r="K1064" s="17" t="n">
        <v>4010941.93</v>
      </c>
      <c r="L1064" s="12" t="n">
        <v>0</v>
      </c>
      <c r="M1064" s="12" t="n">
        <v>0</v>
      </c>
      <c r="N1064" s="27">
        <f>F1064-J1064</f>
        <v/>
      </c>
      <c r="O1064" s="16">
        <f>I1064-H1064</f>
        <v/>
      </c>
      <c r="P1064" s="14">
        <f>F1064*G1064</f>
        <v/>
      </c>
      <c r="Q1064" s="14">
        <f>J1064*G1064</f>
        <v/>
      </c>
      <c r="R1064" s="14">
        <f>K1064-Q1064</f>
        <v/>
      </c>
      <c r="S1064" s="3">
        <f>P1064*Assumptions!$B$3/100</f>
        <v/>
      </c>
      <c r="T1064" s="14">
        <f>R1064-S1064</f>
        <v/>
      </c>
      <c r="U1064" s="14">
        <f>L1064*G1064</f>
        <v/>
      </c>
    </row>
    <row r="1065">
      <c r="A1065" s="12" t="inlineStr">
        <is>
          <t>PO-2021-1063</t>
        </is>
      </c>
      <c r="B1065" s="26" t="n">
        <v>44441</v>
      </c>
      <c r="C1065" s="12" t="inlineStr">
        <is>
          <t>VS24</t>
        </is>
      </c>
      <c r="D1065" s="12" t="inlineStr">
        <is>
          <t>Hex Bars</t>
        </is>
      </c>
      <c r="E1065" s="12" t="inlineStr">
        <is>
          <t>N</t>
        </is>
      </c>
      <c r="F1065" s="12" t="n">
        <v>36.91</v>
      </c>
      <c r="G1065" s="17" t="n">
        <v>46315.88</v>
      </c>
      <c r="H1065" s="26" t="n">
        <v>44448</v>
      </c>
      <c r="I1065" s="26" t="n">
        <v>44449</v>
      </c>
      <c r="J1065" s="12" t="n">
        <v>36.8</v>
      </c>
      <c r="K1065" s="17" t="n">
        <v>1709519.13</v>
      </c>
      <c r="L1065" s="12" t="n">
        <v>0</v>
      </c>
      <c r="M1065" s="12" t="n">
        <v>0</v>
      </c>
      <c r="N1065" s="27">
        <f>F1065-J1065</f>
        <v/>
      </c>
      <c r="O1065" s="16">
        <f>I1065-H1065</f>
        <v/>
      </c>
      <c r="P1065" s="14">
        <f>F1065*G1065</f>
        <v/>
      </c>
      <c r="Q1065" s="14">
        <f>J1065*G1065</f>
        <v/>
      </c>
      <c r="R1065" s="14">
        <f>K1065-Q1065</f>
        <v/>
      </c>
      <c r="S1065" s="3">
        <f>P1065*Assumptions!$B$3/100</f>
        <v/>
      </c>
      <c r="T1065" s="14">
        <f>R1065-S1065</f>
        <v/>
      </c>
      <c r="U1065" s="14">
        <f>L1065*G1065</f>
        <v/>
      </c>
    </row>
    <row r="1066">
      <c r="A1066" s="12" t="inlineStr">
        <is>
          <t>PO-2021-1064</t>
        </is>
      </c>
      <c r="B1066" s="26" t="n">
        <v>44530</v>
      </c>
      <c r="C1066" s="12" t="inlineStr">
        <is>
          <t>VS04</t>
        </is>
      </c>
      <c r="D1066" s="12" t="inlineStr">
        <is>
          <t>Square/Rect Tubes</t>
        </is>
      </c>
      <c r="E1066" s="12" t="inlineStr">
        <is>
          <t>N</t>
        </is>
      </c>
      <c r="F1066" s="12" t="n">
        <v>16.66</v>
      </c>
      <c r="G1066" s="17" t="n">
        <v>110873.79</v>
      </c>
      <c r="H1066" s="26" t="n">
        <v>44535</v>
      </c>
      <c r="I1066" s="26" t="n">
        <v>44535</v>
      </c>
      <c r="J1066" s="12" t="n">
        <v>16.56</v>
      </c>
      <c r="K1066" s="17" t="n">
        <v>1847157.34</v>
      </c>
      <c r="L1066" s="12" t="n">
        <v>0</v>
      </c>
      <c r="M1066" s="12" t="n">
        <v>19</v>
      </c>
      <c r="N1066" s="27">
        <f>F1066-J1066</f>
        <v/>
      </c>
      <c r="O1066" s="16">
        <f>I1066-H1066</f>
        <v/>
      </c>
      <c r="P1066" s="14">
        <f>F1066*G1066</f>
        <v/>
      </c>
      <c r="Q1066" s="14">
        <f>J1066*G1066</f>
        <v/>
      </c>
      <c r="R1066" s="14">
        <f>K1066-Q1066</f>
        <v/>
      </c>
      <c r="S1066" s="3">
        <f>P1066*Assumptions!$B$3/100</f>
        <v/>
      </c>
      <c r="T1066" s="14">
        <f>R1066-S1066</f>
        <v/>
      </c>
      <c r="U1066" s="14">
        <f>L1066*G1066</f>
        <v/>
      </c>
    </row>
    <row r="1067">
      <c r="A1067" s="12" t="inlineStr">
        <is>
          <t>PO-2021-1065</t>
        </is>
      </c>
      <c r="B1067" s="26" t="n">
        <v>44928</v>
      </c>
      <c r="C1067" s="12" t="inlineStr">
        <is>
          <t>VS11</t>
        </is>
      </c>
      <c r="D1067" s="12" t="inlineStr">
        <is>
          <t>GI Pipes</t>
        </is>
      </c>
      <c r="E1067" s="12" t="inlineStr">
        <is>
          <t>N</t>
        </is>
      </c>
      <c r="F1067" s="12" t="n">
        <v>14.36</v>
      </c>
      <c r="G1067" s="17" t="n">
        <v>76463.55</v>
      </c>
      <c r="H1067" s="26" t="n">
        <v>44936</v>
      </c>
      <c r="I1067" s="26" t="n">
        <v>44936</v>
      </c>
      <c r="J1067" s="12" t="n">
        <v>14.23</v>
      </c>
      <c r="K1067" s="17" t="n">
        <v>1098016.58</v>
      </c>
      <c r="L1067" s="12" t="n">
        <v>0</v>
      </c>
      <c r="M1067" s="12" t="n">
        <v>0</v>
      </c>
      <c r="N1067" s="27">
        <f>F1067-J1067</f>
        <v/>
      </c>
      <c r="O1067" s="16">
        <f>I1067-H1067</f>
        <v/>
      </c>
      <c r="P1067" s="14">
        <f>F1067*G1067</f>
        <v/>
      </c>
      <c r="Q1067" s="14">
        <f>J1067*G1067</f>
        <v/>
      </c>
      <c r="R1067" s="14">
        <f>K1067-Q1067</f>
        <v/>
      </c>
      <c r="S1067" s="3">
        <f>P1067*Assumptions!$B$3/100</f>
        <v/>
      </c>
      <c r="T1067" s="14">
        <f>R1067-S1067</f>
        <v/>
      </c>
      <c r="U1067" s="14">
        <f>L1067*G1067</f>
        <v/>
      </c>
    </row>
    <row r="1068">
      <c r="A1068" s="12" t="inlineStr">
        <is>
          <t>PO-2021-1066</t>
        </is>
      </c>
      <c r="B1068" s="26" t="n">
        <v>44296</v>
      </c>
      <c r="C1068" s="12" t="inlineStr">
        <is>
          <t>VS19</t>
        </is>
      </c>
      <c r="D1068" s="12" t="inlineStr">
        <is>
          <t>SS Sheets</t>
        </is>
      </c>
      <c r="E1068" s="12" t="inlineStr">
        <is>
          <t>N</t>
        </is>
      </c>
      <c r="F1068" s="12" t="n">
        <v>26.95</v>
      </c>
      <c r="G1068" s="17" t="n">
        <v>119832.73</v>
      </c>
      <c r="H1068" s="26" t="n">
        <v>44307</v>
      </c>
      <c r="I1068" s="26" t="n">
        <v>44315</v>
      </c>
      <c r="J1068" s="12" t="n">
        <v>25.76</v>
      </c>
      <c r="K1068" s="17" t="n">
        <v>3229492.07</v>
      </c>
      <c r="L1068" s="12" t="n">
        <v>0.48</v>
      </c>
      <c r="M1068" s="12" t="n">
        <v>0</v>
      </c>
      <c r="N1068" s="27">
        <f>F1068-J1068</f>
        <v/>
      </c>
      <c r="O1068" s="16">
        <f>I1068-H1068</f>
        <v/>
      </c>
      <c r="P1068" s="14">
        <f>F1068*G1068</f>
        <v/>
      </c>
      <c r="Q1068" s="14">
        <f>J1068*G1068</f>
        <v/>
      </c>
      <c r="R1068" s="14">
        <f>K1068-Q1068</f>
        <v/>
      </c>
      <c r="S1068" s="3">
        <f>P1068*Assumptions!$B$3/100</f>
        <v/>
      </c>
      <c r="T1068" s="14">
        <f>R1068-S1068</f>
        <v/>
      </c>
      <c r="U1068" s="14">
        <f>L1068*G1068</f>
        <v/>
      </c>
    </row>
    <row r="1069">
      <c r="A1069" s="12" t="inlineStr">
        <is>
          <t>PO-2021-1067</t>
        </is>
      </c>
      <c r="B1069" s="26" t="n">
        <v>44593</v>
      </c>
      <c r="C1069" s="12" t="inlineStr">
        <is>
          <t>VS12</t>
        </is>
      </c>
      <c r="D1069" s="12" t="inlineStr">
        <is>
          <t>ERW Pipes</t>
        </is>
      </c>
      <c r="E1069" s="12" t="inlineStr">
        <is>
          <t>N</t>
        </is>
      </c>
      <c r="F1069" s="12" t="n">
        <v>30.34</v>
      </c>
      <c r="G1069" s="17" t="n">
        <v>59836.6</v>
      </c>
      <c r="H1069" s="26" t="n">
        <v>44601</v>
      </c>
      <c r="I1069" s="26" t="n">
        <v>44606</v>
      </c>
      <c r="J1069" s="12" t="n">
        <v>29.5</v>
      </c>
      <c r="K1069" s="17" t="n">
        <v>1815442.44</v>
      </c>
      <c r="L1069" s="12" t="n">
        <v>0.03</v>
      </c>
      <c r="M1069" s="12" t="n">
        <v>0</v>
      </c>
      <c r="N1069" s="27">
        <f>F1069-J1069</f>
        <v/>
      </c>
      <c r="O1069" s="16">
        <f>I1069-H1069</f>
        <v/>
      </c>
      <c r="P1069" s="14">
        <f>F1069*G1069</f>
        <v/>
      </c>
      <c r="Q1069" s="14">
        <f>J1069*G1069</f>
        <v/>
      </c>
      <c r="R1069" s="14">
        <f>K1069-Q1069</f>
        <v/>
      </c>
      <c r="S1069" s="3">
        <f>P1069*Assumptions!$B$3/100</f>
        <v/>
      </c>
      <c r="T1069" s="14">
        <f>R1069-S1069</f>
        <v/>
      </c>
      <c r="U1069" s="14">
        <f>L1069*G1069</f>
        <v/>
      </c>
    </row>
    <row r="1070">
      <c r="A1070" s="12" t="inlineStr">
        <is>
          <t>PO-2021-1068</t>
        </is>
      </c>
      <c r="B1070" s="26" t="n">
        <v>44844</v>
      </c>
      <c r="C1070" s="12" t="inlineStr">
        <is>
          <t>VS20</t>
        </is>
      </c>
      <c r="D1070" s="12" t="inlineStr">
        <is>
          <t>CR Sheets</t>
        </is>
      </c>
      <c r="E1070" s="12" t="inlineStr">
        <is>
          <t>N</t>
        </is>
      </c>
      <c r="F1070" s="12" t="n">
        <v>34.59</v>
      </c>
      <c r="G1070" s="17" t="n">
        <v>96626</v>
      </c>
      <c r="H1070" s="26" t="n">
        <v>44848</v>
      </c>
      <c r="I1070" s="26" t="n">
        <v>44850</v>
      </c>
      <c r="J1070" s="12" t="n">
        <v>34.36</v>
      </c>
      <c r="K1070" s="17" t="n">
        <v>3342293.34</v>
      </c>
      <c r="L1070" s="12" t="n">
        <v>0</v>
      </c>
      <c r="M1070" s="12" t="n">
        <v>0</v>
      </c>
      <c r="N1070" s="27">
        <f>F1070-J1070</f>
        <v/>
      </c>
      <c r="O1070" s="16">
        <f>I1070-H1070</f>
        <v/>
      </c>
      <c r="P1070" s="14">
        <f>F1070*G1070</f>
        <v/>
      </c>
      <c r="Q1070" s="14">
        <f>J1070*G1070</f>
        <v/>
      </c>
      <c r="R1070" s="14">
        <f>K1070-Q1070</f>
        <v/>
      </c>
      <c r="S1070" s="3">
        <f>P1070*Assumptions!$B$3/100</f>
        <v/>
      </c>
      <c r="T1070" s="14">
        <f>R1070-S1070</f>
        <v/>
      </c>
      <c r="U1070" s="14">
        <f>L1070*G1070</f>
        <v/>
      </c>
    </row>
    <row r="1071">
      <c r="A1071" s="12" t="inlineStr">
        <is>
          <t>PO-2021-1069</t>
        </is>
      </c>
      <c r="B1071" s="26" t="n">
        <v>45291</v>
      </c>
      <c r="C1071" s="12" t="inlineStr">
        <is>
          <t>VS23</t>
        </is>
      </c>
      <c r="D1071" s="12" t="inlineStr">
        <is>
          <t>Square/Rect Tubes</t>
        </is>
      </c>
      <c r="E1071" s="12" t="inlineStr">
        <is>
          <t>N</t>
        </is>
      </c>
      <c r="F1071" s="12" t="n">
        <v>1.63</v>
      </c>
      <c r="G1071" s="17" t="n">
        <v>83862.81</v>
      </c>
      <c r="H1071" s="26" t="n">
        <v>45299</v>
      </c>
      <c r="I1071" s="26" t="n">
        <v>45301</v>
      </c>
      <c r="J1071" s="12" t="n">
        <v>1.62</v>
      </c>
      <c r="K1071" s="17" t="n">
        <v>136696.38</v>
      </c>
      <c r="L1071" s="12" t="n">
        <v>0</v>
      </c>
      <c r="M1071" s="12" t="n">
        <v>0</v>
      </c>
      <c r="N1071" s="27">
        <f>F1071-J1071</f>
        <v/>
      </c>
      <c r="O1071" s="16">
        <f>I1071-H1071</f>
        <v/>
      </c>
      <c r="P1071" s="14">
        <f>F1071*G1071</f>
        <v/>
      </c>
      <c r="Q1071" s="14">
        <f>J1071*G1071</f>
        <v/>
      </c>
      <c r="R1071" s="14">
        <f>K1071-Q1071</f>
        <v/>
      </c>
      <c r="S1071" s="3">
        <f>P1071*Assumptions!$B$3/100</f>
        <v/>
      </c>
      <c r="T1071" s="14">
        <f>R1071-S1071</f>
        <v/>
      </c>
      <c r="U1071" s="14">
        <f>L1071*G1071</f>
        <v/>
      </c>
    </row>
    <row r="1072">
      <c r="A1072" s="12" t="inlineStr">
        <is>
          <t>PO-2021-1070</t>
        </is>
      </c>
      <c r="B1072" s="26" t="n">
        <v>45190</v>
      </c>
      <c r="C1072" s="12" t="inlineStr">
        <is>
          <t>VS27</t>
        </is>
      </c>
      <c r="D1072" s="12" t="inlineStr">
        <is>
          <t>MS Flats</t>
        </is>
      </c>
      <c r="E1072" s="12" t="inlineStr">
        <is>
          <t>N</t>
        </is>
      </c>
      <c r="F1072" s="12" t="n">
        <v>46.12</v>
      </c>
      <c r="G1072" s="17" t="n">
        <v>57227.19</v>
      </c>
      <c r="H1072" s="26" t="n">
        <v>45196</v>
      </c>
      <c r="I1072" s="26" t="n">
        <v>45198</v>
      </c>
      <c r="J1072" s="12" t="n">
        <v>45.74</v>
      </c>
      <c r="K1072" s="17" t="n">
        <v>2639318</v>
      </c>
      <c r="L1072" s="12" t="n">
        <v>0</v>
      </c>
      <c r="M1072" s="12" t="n">
        <v>16</v>
      </c>
      <c r="N1072" s="27">
        <f>F1072-J1072</f>
        <v/>
      </c>
      <c r="O1072" s="16">
        <f>I1072-H1072</f>
        <v/>
      </c>
      <c r="P1072" s="14">
        <f>F1072*G1072</f>
        <v/>
      </c>
      <c r="Q1072" s="14">
        <f>J1072*G1072</f>
        <v/>
      </c>
      <c r="R1072" s="14">
        <f>K1072-Q1072</f>
        <v/>
      </c>
      <c r="S1072" s="3">
        <f>P1072*Assumptions!$B$3/100</f>
        <v/>
      </c>
      <c r="T1072" s="14">
        <f>R1072-S1072</f>
        <v/>
      </c>
      <c r="U1072" s="14">
        <f>L1072*G1072</f>
        <v/>
      </c>
    </row>
    <row r="1073">
      <c r="A1073" s="12" t="inlineStr">
        <is>
          <t>PO-2021-1071</t>
        </is>
      </c>
      <c r="B1073" s="26" t="n">
        <v>44513</v>
      </c>
      <c r="C1073" s="12" t="inlineStr">
        <is>
          <t>VS33</t>
        </is>
      </c>
      <c r="D1073" s="12" t="inlineStr">
        <is>
          <t>HR Coils</t>
        </is>
      </c>
      <c r="E1073" s="12" t="inlineStr">
        <is>
          <t>Y</t>
        </is>
      </c>
      <c r="F1073" s="12" t="n">
        <v>41.75</v>
      </c>
      <c r="G1073" s="17" t="n">
        <v>104633.01</v>
      </c>
      <c r="H1073" s="26" t="n">
        <v>44524</v>
      </c>
      <c r="I1073" s="26" t="n">
        <v>44525</v>
      </c>
      <c r="J1073" s="12" t="n">
        <v>41.49</v>
      </c>
      <c r="K1073" s="17" t="n">
        <v>4368428.17</v>
      </c>
      <c r="L1073" s="12" t="n">
        <v>0</v>
      </c>
      <c r="M1073" s="12" t="n">
        <v>1</v>
      </c>
      <c r="N1073" s="27">
        <f>F1073-J1073</f>
        <v/>
      </c>
      <c r="O1073" s="16">
        <f>I1073-H1073</f>
        <v/>
      </c>
      <c r="P1073" s="14">
        <f>F1073*G1073</f>
        <v/>
      </c>
      <c r="Q1073" s="14">
        <f>J1073*G1073</f>
        <v/>
      </c>
      <c r="R1073" s="14">
        <f>K1073-Q1073</f>
        <v/>
      </c>
      <c r="S1073" s="3">
        <f>P1073*Assumptions!$B$3/100</f>
        <v/>
      </c>
      <c r="T1073" s="14">
        <f>R1073-S1073</f>
        <v/>
      </c>
      <c r="U1073" s="14">
        <f>L1073*G1073</f>
        <v/>
      </c>
    </row>
    <row r="1074">
      <c r="A1074" s="12" t="inlineStr">
        <is>
          <t>PO-2021-1072</t>
        </is>
      </c>
      <c r="B1074" s="26" t="n">
        <v>45273</v>
      </c>
      <c r="C1074" s="12" t="inlineStr">
        <is>
          <t>VS08</t>
        </is>
      </c>
      <c r="D1074" s="12" t="inlineStr">
        <is>
          <t>GI Wire</t>
        </is>
      </c>
      <c r="E1074" s="12" t="inlineStr">
        <is>
          <t>N</t>
        </is>
      </c>
      <c r="F1074" s="12" t="n">
        <v>23.56</v>
      </c>
      <c r="G1074" s="17" t="n">
        <v>50730.02</v>
      </c>
      <c r="H1074" s="26" t="n">
        <v>45278</v>
      </c>
      <c r="I1074" s="26" t="n">
        <v>45279</v>
      </c>
      <c r="J1074" s="12" t="n">
        <v>23.44</v>
      </c>
      <c r="K1074" s="17" t="n">
        <v>1195199.27</v>
      </c>
      <c r="L1074" s="12" t="n">
        <v>0</v>
      </c>
      <c r="M1074" s="12" t="n">
        <v>16</v>
      </c>
      <c r="N1074" s="27">
        <f>F1074-J1074</f>
        <v/>
      </c>
      <c r="O1074" s="16">
        <f>I1074-H1074</f>
        <v/>
      </c>
      <c r="P1074" s="14">
        <f>F1074*G1074</f>
        <v/>
      </c>
      <c r="Q1074" s="14">
        <f>J1074*G1074</f>
        <v/>
      </c>
      <c r="R1074" s="14">
        <f>K1074-Q1074</f>
        <v/>
      </c>
      <c r="S1074" s="3">
        <f>P1074*Assumptions!$B$3/100</f>
        <v/>
      </c>
      <c r="T1074" s="14">
        <f>R1074-S1074</f>
        <v/>
      </c>
      <c r="U1074" s="14">
        <f>L1074*G1074</f>
        <v/>
      </c>
    </row>
    <row r="1075">
      <c r="A1075" s="12" t="inlineStr">
        <is>
          <t>PO-2021-1073</t>
        </is>
      </c>
      <c r="B1075" s="26" t="n">
        <v>44232</v>
      </c>
      <c r="C1075" s="12" t="inlineStr">
        <is>
          <t>VS31</t>
        </is>
      </c>
      <c r="D1075" s="12" t="inlineStr">
        <is>
          <t>Angles &amp; Channels</t>
        </is>
      </c>
      <c r="E1075" s="12" t="inlineStr">
        <is>
          <t>N</t>
        </is>
      </c>
      <c r="F1075" s="12" t="n">
        <v>16.27</v>
      </c>
      <c r="G1075" s="17" t="n">
        <v>72192.64</v>
      </c>
      <c r="H1075" s="26" t="n">
        <v>44242</v>
      </c>
      <c r="I1075" s="26" t="n">
        <v>44244</v>
      </c>
      <c r="J1075" s="12" t="n">
        <v>16.24</v>
      </c>
      <c r="K1075" s="17" t="n">
        <v>1174574.25</v>
      </c>
      <c r="L1075" s="12" t="n">
        <v>0</v>
      </c>
      <c r="M1075" s="12" t="n">
        <v>14</v>
      </c>
      <c r="N1075" s="27">
        <f>F1075-J1075</f>
        <v/>
      </c>
      <c r="O1075" s="16">
        <f>I1075-H1075</f>
        <v/>
      </c>
      <c r="P1075" s="14">
        <f>F1075*G1075</f>
        <v/>
      </c>
      <c r="Q1075" s="14">
        <f>J1075*G1075</f>
        <v/>
      </c>
      <c r="R1075" s="14">
        <f>K1075-Q1075</f>
        <v/>
      </c>
      <c r="S1075" s="3">
        <f>P1075*Assumptions!$B$3/100</f>
        <v/>
      </c>
      <c r="T1075" s="14">
        <f>R1075-S1075</f>
        <v/>
      </c>
      <c r="U1075" s="14">
        <f>L1075*G1075</f>
        <v/>
      </c>
    </row>
    <row r="1076">
      <c r="A1076" s="12" t="inlineStr">
        <is>
          <t>PO-2021-1074</t>
        </is>
      </c>
      <c r="B1076" s="26" t="n">
        <v>45268</v>
      </c>
      <c r="C1076" s="12" t="inlineStr">
        <is>
          <t>VS22</t>
        </is>
      </c>
      <c r="D1076" s="12" t="inlineStr">
        <is>
          <t>MS Sheets</t>
        </is>
      </c>
      <c r="E1076" s="12" t="inlineStr">
        <is>
          <t>N</t>
        </is>
      </c>
      <c r="F1076" s="12" t="n">
        <v>35.78</v>
      </c>
      <c r="G1076" s="17" t="n">
        <v>47156.97</v>
      </c>
      <c r="H1076" s="26" t="n">
        <v>45272</v>
      </c>
      <c r="I1076" s="26" t="n">
        <v>45274</v>
      </c>
      <c r="J1076" s="12" t="n">
        <v>35.74</v>
      </c>
      <c r="K1076" s="17" t="n">
        <v>1687276.39</v>
      </c>
      <c r="L1076" s="12" t="n">
        <v>0</v>
      </c>
      <c r="M1076" s="12" t="n">
        <v>8</v>
      </c>
      <c r="N1076" s="27">
        <f>F1076-J1076</f>
        <v/>
      </c>
      <c r="O1076" s="16">
        <f>I1076-H1076</f>
        <v/>
      </c>
      <c r="P1076" s="14">
        <f>F1076*G1076</f>
        <v/>
      </c>
      <c r="Q1076" s="14">
        <f>J1076*G1076</f>
        <v/>
      </c>
      <c r="R1076" s="14">
        <f>K1076-Q1076</f>
        <v/>
      </c>
      <c r="S1076" s="3">
        <f>P1076*Assumptions!$B$3/100</f>
        <v/>
      </c>
      <c r="T1076" s="14">
        <f>R1076-S1076</f>
        <v/>
      </c>
      <c r="U1076" s="14">
        <f>L1076*G1076</f>
        <v/>
      </c>
    </row>
    <row r="1077">
      <c r="A1077" s="12" t="inlineStr">
        <is>
          <t>PO-2021-1075</t>
        </is>
      </c>
      <c r="B1077" s="26" t="n">
        <v>44652</v>
      </c>
      <c r="C1077" s="12" t="inlineStr">
        <is>
          <t>VS09</t>
        </is>
      </c>
      <c r="D1077" s="12" t="inlineStr">
        <is>
          <t>Square/Rect Tubes</t>
        </is>
      </c>
      <c r="E1077" s="12" t="inlineStr">
        <is>
          <t>N</t>
        </is>
      </c>
      <c r="F1077" s="12" t="n">
        <v>34.71</v>
      </c>
      <c r="G1077" s="17" t="n">
        <v>68057.12</v>
      </c>
      <c r="H1077" s="26" t="n">
        <v>44658</v>
      </c>
      <c r="I1077" s="26" t="n">
        <v>44660</v>
      </c>
      <c r="J1077" s="12" t="n">
        <v>34.58</v>
      </c>
      <c r="K1077" s="17" t="n">
        <v>2362262.64</v>
      </c>
      <c r="L1077" s="12" t="n">
        <v>0</v>
      </c>
      <c r="M1077" s="12" t="n">
        <v>9</v>
      </c>
      <c r="N1077" s="27">
        <f>F1077-J1077</f>
        <v/>
      </c>
      <c r="O1077" s="16">
        <f>I1077-H1077</f>
        <v/>
      </c>
      <c r="P1077" s="14">
        <f>F1077*G1077</f>
        <v/>
      </c>
      <c r="Q1077" s="14">
        <f>J1077*G1077</f>
        <v/>
      </c>
      <c r="R1077" s="14">
        <f>K1077-Q1077</f>
        <v/>
      </c>
      <c r="S1077" s="3">
        <f>P1077*Assumptions!$B$3/100</f>
        <v/>
      </c>
      <c r="T1077" s="14">
        <f>R1077-S1077</f>
        <v/>
      </c>
      <c r="U1077" s="14">
        <f>L1077*G1077</f>
        <v/>
      </c>
    </row>
    <row r="1078">
      <c r="A1078" s="12" t="inlineStr">
        <is>
          <t>PO-2021-1076</t>
        </is>
      </c>
      <c r="B1078" s="26" t="n">
        <v>44463</v>
      </c>
      <c r="C1078" s="12" t="inlineStr">
        <is>
          <t>VS06</t>
        </is>
      </c>
      <c r="D1078" s="12" t="inlineStr">
        <is>
          <t>GI Wire</t>
        </is>
      </c>
      <c r="E1078" s="12" t="inlineStr">
        <is>
          <t>N</t>
        </is>
      </c>
      <c r="F1078" s="12" t="n">
        <v>34.85</v>
      </c>
      <c r="G1078" s="17" t="n">
        <v>103802.23</v>
      </c>
      <c r="H1078" s="26" t="n">
        <v>44467</v>
      </c>
      <c r="I1078" s="26" t="n">
        <v>44469</v>
      </c>
      <c r="J1078" s="12" t="n">
        <v>34.85</v>
      </c>
      <c r="K1078" s="17" t="n">
        <v>3617507.72</v>
      </c>
      <c r="L1078" s="12" t="n">
        <v>0</v>
      </c>
      <c r="M1078" s="12" t="n">
        <v>15</v>
      </c>
      <c r="N1078" s="27">
        <f>F1078-J1078</f>
        <v/>
      </c>
      <c r="O1078" s="16">
        <f>I1078-H1078</f>
        <v/>
      </c>
      <c r="P1078" s="14">
        <f>F1078*G1078</f>
        <v/>
      </c>
      <c r="Q1078" s="14">
        <f>J1078*G1078</f>
        <v/>
      </c>
      <c r="R1078" s="14">
        <f>K1078-Q1078</f>
        <v/>
      </c>
      <c r="S1078" s="3">
        <f>P1078*Assumptions!$B$3/100</f>
        <v/>
      </c>
      <c r="T1078" s="14">
        <f>R1078-S1078</f>
        <v/>
      </c>
      <c r="U1078" s="14">
        <f>L1078*G1078</f>
        <v/>
      </c>
    </row>
    <row r="1079">
      <c r="A1079" s="12" t="inlineStr">
        <is>
          <t>PO-2021-1077</t>
        </is>
      </c>
      <c r="B1079" s="26" t="n">
        <v>44235</v>
      </c>
      <c r="C1079" s="12" t="inlineStr">
        <is>
          <t>VS31</t>
        </is>
      </c>
      <c r="D1079" s="12" t="inlineStr">
        <is>
          <t>GI Wire</t>
        </is>
      </c>
      <c r="E1079" s="12" t="inlineStr">
        <is>
          <t>N</t>
        </is>
      </c>
      <c r="F1079" s="12" t="n">
        <v>3.08</v>
      </c>
      <c r="G1079" s="17" t="n">
        <v>53086.3</v>
      </c>
      <c r="H1079" s="26" t="n">
        <v>44250</v>
      </c>
      <c r="I1079" s="26" t="n">
        <v>44252</v>
      </c>
      <c r="J1079" s="12" t="n">
        <v>3.07</v>
      </c>
      <c r="K1079" s="17" t="n">
        <v>163505.8</v>
      </c>
      <c r="L1079" s="12" t="n">
        <v>0</v>
      </c>
      <c r="M1079" s="12" t="n">
        <v>12</v>
      </c>
      <c r="N1079" s="27">
        <f>F1079-J1079</f>
        <v/>
      </c>
      <c r="O1079" s="16">
        <f>I1079-H1079</f>
        <v/>
      </c>
      <c r="P1079" s="14">
        <f>F1079*G1079</f>
        <v/>
      </c>
      <c r="Q1079" s="14">
        <f>J1079*G1079</f>
        <v/>
      </c>
      <c r="R1079" s="14">
        <f>K1079-Q1079</f>
        <v/>
      </c>
      <c r="S1079" s="3">
        <f>P1079*Assumptions!$B$3/100</f>
        <v/>
      </c>
      <c r="T1079" s="14">
        <f>R1079-S1079</f>
        <v/>
      </c>
      <c r="U1079" s="14">
        <f>L1079*G1079</f>
        <v/>
      </c>
    </row>
    <row r="1080">
      <c r="A1080" s="12" t="inlineStr">
        <is>
          <t>PO-2021-1078</t>
        </is>
      </c>
      <c r="B1080" s="26" t="n">
        <v>45248</v>
      </c>
      <c r="C1080" s="12" t="inlineStr">
        <is>
          <t>VS04</t>
        </is>
      </c>
      <c r="D1080" s="12" t="inlineStr">
        <is>
          <t>Structural Steel</t>
        </is>
      </c>
      <c r="E1080" s="12" t="inlineStr">
        <is>
          <t>N</t>
        </is>
      </c>
      <c r="F1080" s="12" t="n">
        <v>6.83</v>
      </c>
      <c r="G1080" s="17" t="n">
        <v>63975.94</v>
      </c>
      <c r="H1080" s="26" t="n">
        <v>45252</v>
      </c>
      <c r="I1080" s="26" t="n">
        <v>45252</v>
      </c>
      <c r="J1080" s="12" t="n">
        <v>6.76</v>
      </c>
      <c r="K1080" s="17" t="n">
        <v>436955.67</v>
      </c>
      <c r="L1080" s="12" t="n">
        <v>0</v>
      </c>
      <c r="M1080" s="12" t="n">
        <v>10</v>
      </c>
      <c r="N1080" s="27">
        <f>F1080-J1080</f>
        <v/>
      </c>
      <c r="O1080" s="16">
        <f>I1080-H1080</f>
        <v/>
      </c>
      <c r="P1080" s="14">
        <f>F1080*G1080</f>
        <v/>
      </c>
      <c r="Q1080" s="14">
        <f>J1080*G1080</f>
        <v/>
      </c>
      <c r="R1080" s="14">
        <f>K1080-Q1080</f>
        <v/>
      </c>
      <c r="S1080" s="3">
        <f>P1080*Assumptions!$B$3/100</f>
        <v/>
      </c>
      <c r="T1080" s="14">
        <f>R1080-S1080</f>
        <v/>
      </c>
      <c r="U1080" s="14">
        <f>L1080*G1080</f>
        <v/>
      </c>
    </row>
    <row r="1081">
      <c r="A1081" s="12" t="inlineStr">
        <is>
          <t>PO-2021-1079</t>
        </is>
      </c>
      <c r="B1081" s="26" t="n">
        <v>44814</v>
      </c>
      <c r="C1081" s="12" t="inlineStr">
        <is>
          <t>VS01</t>
        </is>
      </c>
      <c r="D1081" s="12" t="inlineStr">
        <is>
          <t>ERW Pipes</t>
        </is>
      </c>
      <c r="E1081" s="12" t="inlineStr">
        <is>
          <t>Y</t>
        </is>
      </c>
      <c r="F1081" s="12" t="n">
        <v>39.34</v>
      </c>
      <c r="G1081" s="17" t="n">
        <v>114007.36</v>
      </c>
      <c r="H1081" s="26" t="n">
        <v>44820</v>
      </c>
      <c r="I1081" s="26" t="n">
        <v>44820</v>
      </c>
      <c r="J1081" s="12" t="n">
        <v>38.98</v>
      </c>
      <c r="K1081" s="17" t="n">
        <v>4485049.54</v>
      </c>
      <c r="L1081" s="12" t="n">
        <v>0</v>
      </c>
      <c r="M1081" s="12" t="n">
        <v>3</v>
      </c>
      <c r="N1081" s="27">
        <f>F1081-J1081</f>
        <v/>
      </c>
      <c r="O1081" s="16">
        <f>I1081-H1081</f>
        <v/>
      </c>
      <c r="P1081" s="14">
        <f>F1081*G1081</f>
        <v/>
      </c>
      <c r="Q1081" s="14">
        <f>J1081*G1081</f>
        <v/>
      </c>
      <c r="R1081" s="14">
        <f>K1081-Q1081</f>
        <v/>
      </c>
      <c r="S1081" s="3">
        <f>P1081*Assumptions!$B$3/100</f>
        <v/>
      </c>
      <c r="T1081" s="14">
        <f>R1081-S1081</f>
        <v/>
      </c>
      <c r="U1081" s="14">
        <f>L1081*G1081</f>
        <v/>
      </c>
    </row>
    <row r="1082">
      <c r="A1082" s="12" t="inlineStr">
        <is>
          <t>PO-2021-1080</t>
        </is>
      </c>
      <c r="B1082" s="26" t="n">
        <v>44606</v>
      </c>
      <c r="C1082" s="12" t="inlineStr">
        <is>
          <t>VS12</t>
        </is>
      </c>
      <c r="D1082" s="12" t="inlineStr">
        <is>
          <t>Angles &amp; Channels</t>
        </is>
      </c>
      <c r="E1082" s="12" t="inlineStr">
        <is>
          <t>N</t>
        </is>
      </c>
      <c r="F1082" s="12" t="n">
        <v>2.43</v>
      </c>
      <c r="G1082" s="17" t="n">
        <v>58153.44</v>
      </c>
      <c r="H1082" s="26" t="n">
        <v>44620</v>
      </c>
      <c r="I1082" s="26" t="n">
        <v>44623</v>
      </c>
      <c r="J1082" s="12" t="n">
        <v>2.34</v>
      </c>
      <c r="K1082" s="17" t="n">
        <v>141312.86</v>
      </c>
      <c r="L1082" s="12" t="n">
        <v>0.02</v>
      </c>
      <c r="M1082" s="12" t="n">
        <v>0</v>
      </c>
      <c r="N1082" s="27">
        <f>F1082-J1082</f>
        <v/>
      </c>
      <c r="O1082" s="16">
        <f>I1082-H1082</f>
        <v/>
      </c>
      <c r="P1082" s="14">
        <f>F1082*G1082</f>
        <v/>
      </c>
      <c r="Q1082" s="14">
        <f>J1082*G1082</f>
        <v/>
      </c>
      <c r="R1082" s="14">
        <f>K1082-Q1082</f>
        <v/>
      </c>
      <c r="S1082" s="3">
        <f>P1082*Assumptions!$B$3/100</f>
        <v/>
      </c>
      <c r="T1082" s="14">
        <f>R1082-S1082</f>
        <v/>
      </c>
      <c r="U1082" s="14">
        <f>L1082*G1082</f>
        <v/>
      </c>
    </row>
    <row r="1083">
      <c r="A1083" s="12" t="inlineStr">
        <is>
          <t>PO-2021-1081</t>
        </is>
      </c>
      <c r="B1083" s="26" t="n">
        <v>44765</v>
      </c>
      <c r="C1083" s="12" t="inlineStr">
        <is>
          <t>VS23</t>
        </is>
      </c>
      <c r="D1083" s="12" t="inlineStr">
        <is>
          <t>Angles &amp; Channels</t>
        </is>
      </c>
      <c r="E1083" s="12" t="inlineStr">
        <is>
          <t>N</t>
        </is>
      </c>
      <c r="F1083" s="12" t="n">
        <v>8.869999999999999</v>
      </c>
      <c r="G1083" s="17" t="n">
        <v>82547.58</v>
      </c>
      <c r="H1083" s="26" t="n">
        <v>44779</v>
      </c>
      <c r="I1083" s="26" t="n">
        <v>44782</v>
      </c>
      <c r="J1083" s="12" t="n">
        <v>8.85</v>
      </c>
      <c r="K1083" s="17" t="n">
        <v>732197.03</v>
      </c>
      <c r="L1083" s="12" t="n">
        <v>0</v>
      </c>
      <c r="M1083" s="12" t="n">
        <v>0</v>
      </c>
      <c r="N1083" s="27">
        <f>F1083-J1083</f>
        <v/>
      </c>
      <c r="O1083" s="16">
        <f>I1083-H1083</f>
        <v/>
      </c>
      <c r="P1083" s="14">
        <f>F1083*G1083</f>
        <v/>
      </c>
      <c r="Q1083" s="14">
        <f>J1083*G1083</f>
        <v/>
      </c>
      <c r="R1083" s="14">
        <f>K1083-Q1083</f>
        <v/>
      </c>
      <c r="S1083" s="3">
        <f>P1083*Assumptions!$B$3/100</f>
        <v/>
      </c>
      <c r="T1083" s="14">
        <f>R1083-S1083</f>
        <v/>
      </c>
      <c r="U1083" s="14">
        <f>L1083*G1083</f>
        <v/>
      </c>
    </row>
    <row r="1084">
      <c r="A1084" s="12" t="inlineStr">
        <is>
          <t>PO-2021-1082</t>
        </is>
      </c>
      <c r="B1084" s="26" t="n">
        <v>44692</v>
      </c>
      <c r="C1084" s="12" t="inlineStr">
        <is>
          <t>VS33</t>
        </is>
      </c>
      <c r="D1084" s="12" t="inlineStr">
        <is>
          <t>SS Pipes</t>
        </is>
      </c>
      <c r="E1084" s="12" t="inlineStr">
        <is>
          <t>N</t>
        </is>
      </c>
      <c r="F1084" s="12" t="n">
        <v>5.86</v>
      </c>
      <c r="G1084" s="17" t="n">
        <v>88360.03</v>
      </c>
      <c r="H1084" s="26" t="n">
        <v>44695</v>
      </c>
      <c r="I1084" s="26" t="n">
        <v>44697</v>
      </c>
      <c r="J1084" s="12" t="n">
        <v>5.84</v>
      </c>
      <c r="K1084" s="17" t="n">
        <v>517789.78</v>
      </c>
      <c r="L1084" s="12" t="n">
        <v>0</v>
      </c>
      <c r="M1084" s="12" t="n">
        <v>10</v>
      </c>
      <c r="N1084" s="27">
        <f>F1084-J1084</f>
        <v/>
      </c>
      <c r="O1084" s="16">
        <f>I1084-H1084</f>
        <v/>
      </c>
      <c r="P1084" s="14">
        <f>F1084*G1084</f>
        <v/>
      </c>
      <c r="Q1084" s="14">
        <f>J1084*G1084</f>
        <v/>
      </c>
      <c r="R1084" s="14">
        <f>K1084-Q1084</f>
        <v/>
      </c>
      <c r="S1084" s="3">
        <f>P1084*Assumptions!$B$3/100</f>
        <v/>
      </c>
      <c r="T1084" s="14">
        <f>R1084-S1084</f>
        <v/>
      </c>
      <c r="U1084" s="14">
        <f>L1084*G1084</f>
        <v/>
      </c>
    </row>
    <row r="1085">
      <c r="A1085" s="12" t="inlineStr">
        <is>
          <t>PO-2021-1083</t>
        </is>
      </c>
      <c r="B1085" s="26" t="n">
        <v>45280</v>
      </c>
      <c r="C1085" s="12" t="inlineStr">
        <is>
          <t>VS14</t>
        </is>
      </c>
      <c r="D1085" s="12" t="inlineStr">
        <is>
          <t>GI Sheets</t>
        </is>
      </c>
      <c r="E1085" s="12" t="inlineStr">
        <is>
          <t>N</t>
        </is>
      </c>
      <c r="F1085" s="12" t="n">
        <v>48.25</v>
      </c>
      <c r="G1085" s="17" t="n">
        <v>57883.01</v>
      </c>
      <c r="H1085" s="26" t="n">
        <v>45295</v>
      </c>
      <c r="I1085" s="26" t="n">
        <v>45295</v>
      </c>
      <c r="J1085" s="12" t="n">
        <v>48.08</v>
      </c>
      <c r="K1085" s="17" t="n">
        <v>2792855.23</v>
      </c>
      <c r="L1085" s="12" t="n">
        <v>0</v>
      </c>
      <c r="M1085" s="12" t="n">
        <v>4</v>
      </c>
      <c r="N1085" s="27">
        <f>F1085-J1085</f>
        <v/>
      </c>
      <c r="O1085" s="16">
        <f>I1085-H1085</f>
        <v/>
      </c>
      <c r="P1085" s="14">
        <f>F1085*G1085</f>
        <v/>
      </c>
      <c r="Q1085" s="14">
        <f>J1085*G1085</f>
        <v/>
      </c>
      <c r="R1085" s="14">
        <f>K1085-Q1085</f>
        <v/>
      </c>
      <c r="S1085" s="3">
        <f>P1085*Assumptions!$B$3/100</f>
        <v/>
      </c>
      <c r="T1085" s="14">
        <f>R1085-S1085</f>
        <v/>
      </c>
      <c r="U1085" s="14">
        <f>L1085*G1085</f>
        <v/>
      </c>
    </row>
    <row r="1086">
      <c r="A1086" s="12" t="inlineStr">
        <is>
          <t>PO-2021-1084</t>
        </is>
      </c>
      <c r="B1086" s="26" t="n">
        <v>44205</v>
      </c>
      <c r="C1086" s="12" t="inlineStr">
        <is>
          <t>VS07</t>
        </is>
      </c>
      <c r="D1086" s="12" t="inlineStr">
        <is>
          <t>GI Sheets</t>
        </is>
      </c>
      <c r="E1086" s="12" t="inlineStr">
        <is>
          <t>N</t>
        </is>
      </c>
      <c r="F1086" s="12" t="n">
        <v>46.1</v>
      </c>
      <c r="G1086" s="17" t="n">
        <v>108847.26</v>
      </c>
      <c r="H1086" s="26" t="n">
        <v>44215</v>
      </c>
      <c r="I1086" s="26" t="n">
        <v>44218</v>
      </c>
      <c r="J1086" s="12" t="n">
        <v>45.98</v>
      </c>
      <c r="K1086" s="17" t="n">
        <v>5017858.69</v>
      </c>
      <c r="L1086" s="12" t="n">
        <v>0</v>
      </c>
      <c r="M1086" s="12" t="n">
        <v>23</v>
      </c>
      <c r="N1086" s="27">
        <f>F1086-J1086</f>
        <v/>
      </c>
      <c r="O1086" s="16">
        <f>I1086-H1086</f>
        <v/>
      </c>
      <c r="P1086" s="14">
        <f>F1086*G1086</f>
        <v/>
      </c>
      <c r="Q1086" s="14">
        <f>J1086*G1086</f>
        <v/>
      </c>
      <c r="R1086" s="14">
        <f>K1086-Q1086</f>
        <v/>
      </c>
      <c r="S1086" s="3">
        <f>P1086*Assumptions!$B$3/100</f>
        <v/>
      </c>
      <c r="T1086" s="14">
        <f>R1086-S1086</f>
        <v/>
      </c>
      <c r="U1086" s="14">
        <f>L1086*G1086</f>
        <v/>
      </c>
    </row>
    <row r="1087">
      <c r="A1087" s="12" t="inlineStr">
        <is>
          <t>PO-2021-1085</t>
        </is>
      </c>
      <c r="B1087" s="26" t="n">
        <v>44947</v>
      </c>
      <c r="C1087" s="12" t="inlineStr">
        <is>
          <t>VS12</t>
        </is>
      </c>
      <c r="D1087" s="12" t="inlineStr">
        <is>
          <t>Fasteners &amp; Fittings</t>
        </is>
      </c>
      <c r="E1087" s="12" t="inlineStr">
        <is>
          <t>N</t>
        </is>
      </c>
      <c r="F1087" s="12" t="n">
        <v>34</v>
      </c>
      <c r="G1087" s="17" t="n">
        <v>55171.31</v>
      </c>
      <c r="H1087" s="26" t="n">
        <v>44955</v>
      </c>
      <c r="I1087" s="26" t="n">
        <v>44963</v>
      </c>
      <c r="J1087" s="12" t="n">
        <v>32.84</v>
      </c>
      <c r="K1087" s="17" t="n">
        <v>1875824.54</v>
      </c>
      <c r="L1087" s="12" t="n">
        <v>0.88</v>
      </c>
      <c r="M1087" s="12" t="n">
        <v>0</v>
      </c>
      <c r="N1087" s="27">
        <f>F1087-J1087</f>
        <v/>
      </c>
      <c r="O1087" s="16">
        <f>I1087-H1087</f>
        <v/>
      </c>
      <c r="P1087" s="14">
        <f>F1087*G1087</f>
        <v/>
      </c>
      <c r="Q1087" s="14">
        <f>J1087*G1087</f>
        <v/>
      </c>
      <c r="R1087" s="14">
        <f>K1087-Q1087</f>
        <v/>
      </c>
      <c r="S1087" s="3">
        <f>P1087*Assumptions!$B$3/100</f>
        <v/>
      </c>
      <c r="T1087" s="14">
        <f>R1087-S1087</f>
        <v/>
      </c>
      <c r="U1087" s="14">
        <f>L1087*G1087</f>
        <v/>
      </c>
    </row>
    <row r="1088">
      <c r="A1088" s="12" t="inlineStr">
        <is>
          <t>PO-2021-1086</t>
        </is>
      </c>
      <c r="B1088" s="26" t="n">
        <v>44974</v>
      </c>
      <c r="C1088" s="12" t="inlineStr">
        <is>
          <t>VS28</t>
        </is>
      </c>
      <c r="D1088" s="12" t="inlineStr">
        <is>
          <t>GI Sheets</t>
        </is>
      </c>
      <c r="E1088" s="12" t="inlineStr">
        <is>
          <t>N</t>
        </is>
      </c>
      <c r="F1088" s="12" t="n">
        <v>26.2</v>
      </c>
      <c r="G1088" s="17" t="n">
        <v>75568.35000000001</v>
      </c>
      <c r="H1088" s="26" t="n">
        <v>44989</v>
      </c>
      <c r="I1088" s="26" t="n">
        <v>44989</v>
      </c>
      <c r="J1088" s="12" t="n">
        <v>26.18</v>
      </c>
      <c r="K1088" s="17" t="n">
        <v>1979890.77</v>
      </c>
      <c r="L1088" s="12" t="n">
        <v>0</v>
      </c>
      <c r="M1088" s="12" t="n">
        <v>0</v>
      </c>
      <c r="N1088" s="27">
        <f>F1088-J1088</f>
        <v/>
      </c>
      <c r="O1088" s="16">
        <f>I1088-H1088</f>
        <v/>
      </c>
      <c r="P1088" s="14">
        <f>F1088*G1088</f>
        <v/>
      </c>
      <c r="Q1088" s="14">
        <f>J1088*G1088</f>
        <v/>
      </c>
      <c r="R1088" s="14">
        <f>K1088-Q1088</f>
        <v/>
      </c>
      <c r="S1088" s="3">
        <f>P1088*Assumptions!$B$3/100</f>
        <v/>
      </c>
      <c r="T1088" s="14">
        <f>R1088-S1088</f>
        <v/>
      </c>
      <c r="U1088" s="14">
        <f>L1088*G1088</f>
        <v/>
      </c>
    </row>
    <row r="1089">
      <c r="A1089" s="12" t="inlineStr">
        <is>
          <t>PO-2021-1087</t>
        </is>
      </c>
      <c r="B1089" s="26" t="n">
        <v>44840</v>
      </c>
      <c r="C1089" s="12" t="inlineStr">
        <is>
          <t>VS08</t>
        </is>
      </c>
      <c r="D1089" s="12" t="inlineStr">
        <is>
          <t>Fasteners &amp; Fittings</t>
        </is>
      </c>
      <c r="E1089" s="12" t="inlineStr">
        <is>
          <t>N</t>
        </is>
      </c>
      <c r="F1089" s="12" t="n">
        <v>6.41</v>
      </c>
      <c r="G1089" s="17" t="n">
        <v>55193.43</v>
      </c>
      <c r="H1089" s="26" t="n">
        <v>44855</v>
      </c>
      <c r="I1089" s="26" t="n">
        <v>44858</v>
      </c>
      <c r="J1089" s="12" t="n">
        <v>6.35</v>
      </c>
      <c r="K1089" s="17" t="n">
        <v>353789.89</v>
      </c>
      <c r="L1089" s="12" t="n">
        <v>0</v>
      </c>
      <c r="M1089" s="12" t="n">
        <v>19</v>
      </c>
      <c r="N1089" s="27">
        <f>F1089-J1089</f>
        <v/>
      </c>
      <c r="O1089" s="16">
        <f>I1089-H1089</f>
        <v/>
      </c>
      <c r="P1089" s="14">
        <f>F1089*G1089</f>
        <v/>
      </c>
      <c r="Q1089" s="14">
        <f>J1089*G1089</f>
        <v/>
      </c>
      <c r="R1089" s="14">
        <f>K1089-Q1089</f>
        <v/>
      </c>
      <c r="S1089" s="3">
        <f>P1089*Assumptions!$B$3/100</f>
        <v/>
      </c>
      <c r="T1089" s="14">
        <f>R1089-S1089</f>
        <v/>
      </c>
      <c r="U1089" s="14">
        <f>L1089*G1089</f>
        <v/>
      </c>
    </row>
    <row r="1090">
      <c r="A1090" s="12" t="inlineStr">
        <is>
          <t>PO-2021-1088</t>
        </is>
      </c>
      <c r="B1090" s="26" t="n">
        <v>44936</v>
      </c>
      <c r="C1090" s="12" t="inlineStr">
        <is>
          <t>VS19</t>
        </is>
      </c>
      <c r="D1090" s="12" t="inlineStr">
        <is>
          <t>Spring Steel</t>
        </is>
      </c>
      <c r="E1090" s="12" t="inlineStr">
        <is>
          <t>N</t>
        </is>
      </c>
      <c r="F1090" s="12" t="n">
        <v>36.38</v>
      </c>
      <c r="G1090" s="17" t="n">
        <v>53215.34</v>
      </c>
      <c r="H1090" s="26" t="n">
        <v>44946</v>
      </c>
      <c r="I1090" s="26" t="n">
        <v>44950</v>
      </c>
      <c r="J1090" s="12" t="n">
        <v>34.59</v>
      </c>
      <c r="K1090" s="17" t="n">
        <v>1935974.07</v>
      </c>
      <c r="L1090" s="12" t="n">
        <v>1.24</v>
      </c>
      <c r="M1090" s="12" t="n">
        <v>0</v>
      </c>
      <c r="N1090" s="27">
        <f>F1090-J1090</f>
        <v/>
      </c>
      <c r="O1090" s="16">
        <f>I1090-H1090</f>
        <v/>
      </c>
      <c r="P1090" s="14">
        <f>F1090*G1090</f>
        <v/>
      </c>
      <c r="Q1090" s="14">
        <f>J1090*G1090</f>
        <v/>
      </c>
      <c r="R1090" s="14">
        <f>K1090-Q1090</f>
        <v/>
      </c>
      <c r="S1090" s="3">
        <f>P1090*Assumptions!$B$3/100</f>
        <v/>
      </c>
      <c r="T1090" s="14">
        <f>R1090-S1090</f>
        <v/>
      </c>
      <c r="U1090" s="14">
        <f>L1090*G1090</f>
        <v/>
      </c>
    </row>
    <row r="1091">
      <c r="A1091" s="12" t="inlineStr">
        <is>
          <t>PO-2021-1089</t>
        </is>
      </c>
      <c r="B1091" s="26" t="n">
        <v>44433</v>
      </c>
      <c r="C1091" s="12" t="inlineStr">
        <is>
          <t>VS25</t>
        </is>
      </c>
      <c r="D1091" s="12" t="inlineStr">
        <is>
          <t>SS Sheets</t>
        </is>
      </c>
      <c r="E1091" s="12" t="inlineStr">
        <is>
          <t>N</t>
        </is>
      </c>
      <c r="F1091" s="12" t="n">
        <v>23.39</v>
      </c>
      <c r="G1091" s="17" t="n">
        <v>100213.08</v>
      </c>
      <c r="H1091" s="26" t="n">
        <v>44446</v>
      </c>
      <c r="I1091" s="26" t="n">
        <v>44446</v>
      </c>
      <c r="J1091" s="12" t="n">
        <v>23.25</v>
      </c>
      <c r="K1091" s="17" t="n">
        <v>2343983.94</v>
      </c>
      <c r="L1091" s="12" t="n">
        <v>0</v>
      </c>
      <c r="M1091" s="12" t="n">
        <v>0</v>
      </c>
      <c r="N1091" s="27">
        <f>F1091-J1091</f>
        <v/>
      </c>
      <c r="O1091" s="16">
        <f>I1091-H1091</f>
        <v/>
      </c>
      <c r="P1091" s="14">
        <f>F1091*G1091</f>
        <v/>
      </c>
      <c r="Q1091" s="14">
        <f>J1091*G1091</f>
        <v/>
      </c>
      <c r="R1091" s="14">
        <f>K1091-Q1091</f>
        <v/>
      </c>
      <c r="S1091" s="3">
        <f>P1091*Assumptions!$B$3/100</f>
        <v/>
      </c>
      <c r="T1091" s="14">
        <f>R1091-S1091</f>
        <v/>
      </c>
      <c r="U1091" s="14">
        <f>L1091*G1091</f>
        <v/>
      </c>
    </row>
    <row r="1092">
      <c r="A1092" s="12" t="inlineStr">
        <is>
          <t>PO-2021-1090</t>
        </is>
      </c>
      <c r="B1092" s="26" t="n">
        <v>45106</v>
      </c>
      <c r="C1092" s="12" t="inlineStr">
        <is>
          <t>VS15</t>
        </is>
      </c>
      <c r="D1092" s="12" t="inlineStr">
        <is>
          <t>Spring Steel</t>
        </is>
      </c>
      <c r="E1092" s="12" t="inlineStr">
        <is>
          <t>N</t>
        </is>
      </c>
      <c r="F1092" s="12" t="n">
        <v>20.96</v>
      </c>
      <c r="G1092" s="17" t="n">
        <v>118872.17</v>
      </c>
      <c r="H1092" s="26" t="n">
        <v>45115</v>
      </c>
      <c r="I1092" s="26" t="n">
        <v>45115</v>
      </c>
      <c r="J1092" s="12" t="n">
        <v>20.86</v>
      </c>
      <c r="K1092" s="17" t="n">
        <v>2491560.68</v>
      </c>
      <c r="L1092" s="12" t="n">
        <v>0</v>
      </c>
      <c r="M1092" s="12" t="n">
        <v>6</v>
      </c>
      <c r="N1092" s="27">
        <f>F1092-J1092</f>
        <v/>
      </c>
      <c r="O1092" s="16">
        <f>I1092-H1092</f>
        <v/>
      </c>
      <c r="P1092" s="14">
        <f>F1092*G1092</f>
        <v/>
      </c>
      <c r="Q1092" s="14">
        <f>J1092*G1092</f>
        <v/>
      </c>
      <c r="R1092" s="14">
        <f>K1092-Q1092</f>
        <v/>
      </c>
      <c r="S1092" s="3">
        <f>P1092*Assumptions!$B$3/100</f>
        <v/>
      </c>
      <c r="T1092" s="14">
        <f>R1092-S1092</f>
        <v/>
      </c>
      <c r="U1092" s="14">
        <f>L1092*G1092</f>
        <v/>
      </c>
    </row>
    <row r="1093">
      <c r="A1093" s="12" t="inlineStr">
        <is>
          <t>PO-2021-1091</t>
        </is>
      </c>
      <c r="B1093" s="26" t="n">
        <v>44583</v>
      </c>
      <c r="C1093" s="12" t="inlineStr">
        <is>
          <t>VS05</t>
        </is>
      </c>
      <c r="D1093" s="12" t="inlineStr">
        <is>
          <t>Structural Steel</t>
        </is>
      </c>
      <c r="E1093" s="12" t="inlineStr">
        <is>
          <t>N</t>
        </is>
      </c>
      <c r="F1093" s="12" t="n">
        <v>47.02</v>
      </c>
      <c r="G1093" s="17" t="n">
        <v>72558.10000000001</v>
      </c>
      <c r="H1093" s="26" t="n">
        <v>44586</v>
      </c>
      <c r="I1093" s="26" t="n">
        <v>44587</v>
      </c>
      <c r="J1093" s="12" t="n">
        <v>46.74</v>
      </c>
      <c r="K1093" s="17" t="n">
        <v>3411681.86</v>
      </c>
      <c r="L1093" s="12" t="n">
        <v>0</v>
      </c>
      <c r="M1093" s="12" t="n">
        <v>15</v>
      </c>
      <c r="N1093" s="27">
        <f>F1093-J1093</f>
        <v/>
      </c>
      <c r="O1093" s="16">
        <f>I1093-H1093</f>
        <v/>
      </c>
      <c r="P1093" s="14">
        <f>F1093*G1093</f>
        <v/>
      </c>
      <c r="Q1093" s="14">
        <f>J1093*G1093</f>
        <v/>
      </c>
      <c r="R1093" s="14">
        <f>K1093-Q1093</f>
        <v/>
      </c>
      <c r="S1093" s="3">
        <f>P1093*Assumptions!$B$3/100</f>
        <v/>
      </c>
      <c r="T1093" s="14">
        <f>R1093-S1093</f>
        <v/>
      </c>
      <c r="U1093" s="14">
        <f>L1093*G1093</f>
        <v/>
      </c>
    </row>
    <row r="1094">
      <c r="A1094" s="12" t="inlineStr">
        <is>
          <t>PO-2021-1092</t>
        </is>
      </c>
      <c r="B1094" s="26" t="n">
        <v>45203</v>
      </c>
      <c r="C1094" s="12" t="inlineStr">
        <is>
          <t>VS07</t>
        </is>
      </c>
      <c r="D1094" s="12" t="inlineStr">
        <is>
          <t>MS Rods</t>
        </is>
      </c>
      <c r="E1094" s="12" t="inlineStr">
        <is>
          <t>N</t>
        </is>
      </c>
      <c r="F1094" s="12" t="n">
        <v>22.46</v>
      </c>
      <c r="G1094" s="17" t="n">
        <v>94391.12</v>
      </c>
      <c r="H1094" s="26" t="n">
        <v>45207</v>
      </c>
      <c r="I1094" s="26" t="n">
        <v>45209</v>
      </c>
      <c r="J1094" s="12" t="n">
        <v>22.43</v>
      </c>
      <c r="K1094" s="17" t="n">
        <v>2120024.56</v>
      </c>
      <c r="L1094" s="12" t="n">
        <v>0</v>
      </c>
      <c r="M1094" s="12" t="n">
        <v>25</v>
      </c>
      <c r="N1094" s="27">
        <f>F1094-J1094</f>
        <v/>
      </c>
      <c r="O1094" s="16">
        <f>I1094-H1094</f>
        <v/>
      </c>
      <c r="P1094" s="14">
        <f>F1094*G1094</f>
        <v/>
      </c>
      <c r="Q1094" s="14">
        <f>J1094*G1094</f>
        <v/>
      </c>
      <c r="R1094" s="14">
        <f>K1094-Q1094</f>
        <v/>
      </c>
      <c r="S1094" s="3">
        <f>P1094*Assumptions!$B$3/100</f>
        <v/>
      </c>
      <c r="T1094" s="14">
        <f>R1094-S1094</f>
        <v/>
      </c>
      <c r="U1094" s="14">
        <f>L1094*G1094</f>
        <v/>
      </c>
    </row>
    <row r="1095">
      <c r="A1095" s="12" t="inlineStr">
        <is>
          <t>PO-2021-1093</t>
        </is>
      </c>
      <c r="B1095" s="26" t="n">
        <v>44441</v>
      </c>
      <c r="C1095" s="12" t="inlineStr">
        <is>
          <t>VS10</t>
        </is>
      </c>
      <c r="D1095" s="12" t="inlineStr">
        <is>
          <t>MS Rods</t>
        </is>
      </c>
      <c r="E1095" s="12" t="inlineStr">
        <is>
          <t>N</t>
        </is>
      </c>
      <c r="F1095" s="12" t="n">
        <v>20.63</v>
      </c>
      <c r="G1095" s="17" t="n">
        <v>89291.78999999999</v>
      </c>
      <c r="H1095" s="26" t="n">
        <v>44445</v>
      </c>
      <c r="I1095" s="26" t="n">
        <v>44446</v>
      </c>
      <c r="J1095" s="12" t="n">
        <v>20.48</v>
      </c>
      <c r="K1095" s="17" t="n">
        <v>1842089.63</v>
      </c>
      <c r="L1095" s="12" t="n">
        <v>0</v>
      </c>
      <c r="M1095" s="12" t="n">
        <v>13</v>
      </c>
      <c r="N1095" s="27">
        <f>F1095-J1095</f>
        <v/>
      </c>
      <c r="O1095" s="16">
        <f>I1095-H1095</f>
        <v/>
      </c>
      <c r="P1095" s="14">
        <f>F1095*G1095</f>
        <v/>
      </c>
      <c r="Q1095" s="14">
        <f>J1095*G1095</f>
        <v/>
      </c>
      <c r="R1095" s="14">
        <f>K1095-Q1095</f>
        <v/>
      </c>
      <c r="S1095" s="3">
        <f>P1095*Assumptions!$B$3/100</f>
        <v/>
      </c>
      <c r="T1095" s="14">
        <f>R1095-S1095</f>
        <v/>
      </c>
      <c r="U1095" s="14">
        <f>L1095*G1095</f>
        <v/>
      </c>
    </row>
    <row r="1096">
      <c r="A1096" s="12" t="inlineStr">
        <is>
          <t>PO-2021-1094</t>
        </is>
      </c>
      <c r="B1096" s="26" t="n">
        <v>44542</v>
      </c>
      <c r="C1096" s="12" t="inlineStr">
        <is>
          <t>VS05</t>
        </is>
      </c>
      <c r="D1096" s="12" t="inlineStr">
        <is>
          <t>Angles &amp; Channels</t>
        </is>
      </c>
      <c r="E1096" s="12" t="inlineStr">
        <is>
          <t>N</t>
        </is>
      </c>
      <c r="F1096" s="12" t="n">
        <v>48.79</v>
      </c>
      <c r="G1096" s="17" t="n">
        <v>70397.37</v>
      </c>
      <c r="H1096" s="26" t="n">
        <v>44554</v>
      </c>
      <c r="I1096" s="26" t="n">
        <v>44556</v>
      </c>
      <c r="J1096" s="12" t="n">
        <v>48.58</v>
      </c>
      <c r="K1096" s="17" t="n">
        <v>3434687.68</v>
      </c>
      <c r="L1096" s="12" t="n">
        <v>0</v>
      </c>
      <c r="M1096" s="12" t="n">
        <v>0</v>
      </c>
      <c r="N1096" s="27">
        <f>F1096-J1096</f>
        <v/>
      </c>
      <c r="O1096" s="16">
        <f>I1096-H1096</f>
        <v/>
      </c>
      <c r="P1096" s="14">
        <f>F1096*G1096</f>
        <v/>
      </c>
      <c r="Q1096" s="14">
        <f>J1096*G1096</f>
        <v/>
      </c>
      <c r="R1096" s="14">
        <f>K1096-Q1096</f>
        <v/>
      </c>
      <c r="S1096" s="3">
        <f>P1096*Assumptions!$B$3/100</f>
        <v/>
      </c>
      <c r="T1096" s="14">
        <f>R1096-S1096</f>
        <v/>
      </c>
      <c r="U1096" s="14">
        <f>L1096*G1096</f>
        <v/>
      </c>
    </row>
    <row r="1097">
      <c r="A1097" s="12" t="inlineStr">
        <is>
          <t>PO-2021-1095</t>
        </is>
      </c>
      <c r="B1097" s="26" t="n">
        <v>45024</v>
      </c>
      <c r="C1097" s="12" t="inlineStr">
        <is>
          <t>VS08</t>
        </is>
      </c>
      <c r="D1097" s="12" t="inlineStr">
        <is>
          <t>HR Coils</t>
        </is>
      </c>
      <c r="E1097" s="12" t="inlineStr">
        <is>
          <t>N</t>
        </is>
      </c>
      <c r="F1097" s="12" t="n">
        <v>42.07</v>
      </c>
      <c r="G1097" s="17" t="n">
        <v>99390.03999999999</v>
      </c>
      <c r="H1097" s="26" t="n">
        <v>45031</v>
      </c>
      <c r="I1097" s="26" t="n">
        <v>45034</v>
      </c>
      <c r="J1097" s="12" t="n">
        <v>41.99</v>
      </c>
      <c r="K1097" s="17" t="n">
        <v>4181338.98</v>
      </c>
      <c r="L1097" s="12" t="n">
        <v>0</v>
      </c>
      <c r="M1097" s="12" t="n">
        <v>10</v>
      </c>
      <c r="N1097" s="27">
        <f>F1097-J1097</f>
        <v/>
      </c>
      <c r="O1097" s="16">
        <f>I1097-H1097</f>
        <v/>
      </c>
      <c r="P1097" s="14">
        <f>F1097*G1097</f>
        <v/>
      </c>
      <c r="Q1097" s="14">
        <f>J1097*G1097</f>
        <v/>
      </c>
      <c r="R1097" s="14">
        <f>K1097-Q1097</f>
        <v/>
      </c>
      <c r="S1097" s="3">
        <f>P1097*Assumptions!$B$3/100</f>
        <v/>
      </c>
      <c r="T1097" s="14">
        <f>R1097-S1097</f>
        <v/>
      </c>
      <c r="U1097" s="14">
        <f>L1097*G1097</f>
        <v/>
      </c>
    </row>
    <row r="1098">
      <c r="A1098" s="12" t="inlineStr">
        <is>
          <t>PO-2021-1096</t>
        </is>
      </c>
      <c r="B1098" s="26" t="n">
        <v>44756</v>
      </c>
      <c r="C1098" s="12" t="inlineStr">
        <is>
          <t>VS26</t>
        </is>
      </c>
      <c r="D1098" s="12" t="inlineStr">
        <is>
          <t>Angles &amp; Channels</t>
        </is>
      </c>
      <c r="E1098" s="12" t="inlineStr">
        <is>
          <t>Y</t>
        </is>
      </c>
      <c r="F1098" s="12" t="n">
        <v>24.32</v>
      </c>
      <c r="G1098" s="17" t="n">
        <v>90237.41</v>
      </c>
      <c r="H1098" s="26" t="n">
        <v>44765</v>
      </c>
      <c r="I1098" s="26" t="n">
        <v>44765</v>
      </c>
      <c r="J1098" s="12" t="n">
        <v>24.24</v>
      </c>
      <c r="K1098" s="17" t="n">
        <v>2194573.81</v>
      </c>
      <c r="L1098" s="12" t="n">
        <v>0</v>
      </c>
      <c r="M1098" s="12" t="n">
        <v>0</v>
      </c>
      <c r="N1098" s="27">
        <f>F1098-J1098</f>
        <v/>
      </c>
      <c r="O1098" s="16">
        <f>I1098-H1098</f>
        <v/>
      </c>
      <c r="P1098" s="14">
        <f>F1098*G1098</f>
        <v/>
      </c>
      <c r="Q1098" s="14">
        <f>J1098*G1098</f>
        <v/>
      </c>
      <c r="R1098" s="14">
        <f>K1098-Q1098</f>
        <v/>
      </c>
      <c r="S1098" s="3">
        <f>P1098*Assumptions!$B$3/100</f>
        <v/>
      </c>
      <c r="T1098" s="14">
        <f>R1098-S1098</f>
        <v/>
      </c>
      <c r="U1098" s="14">
        <f>L1098*G1098</f>
        <v/>
      </c>
    </row>
    <row r="1099">
      <c r="A1099" s="12" t="inlineStr">
        <is>
          <t>PO-2021-1097</t>
        </is>
      </c>
      <c r="B1099" s="26" t="n">
        <v>45189</v>
      </c>
      <c r="C1099" s="12" t="inlineStr">
        <is>
          <t>VS33</t>
        </is>
      </c>
      <c r="D1099" s="12" t="inlineStr">
        <is>
          <t>CR Sheets</t>
        </is>
      </c>
      <c r="E1099" s="12" t="inlineStr">
        <is>
          <t>N</t>
        </is>
      </c>
      <c r="F1099" s="12" t="n">
        <v>8.220000000000001</v>
      </c>
      <c r="G1099" s="17" t="n">
        <v>79097.61</v>
      </c>
      <c r="H1099" s="26" t="n">
        <v>45193</v>
      </c>
      <c r="I1099" s="26" t="n">
        <v>45196</v>
      </c>
      <c r="J1099" s="12" t="n">
        <v>8.210000000000001</v>
      </c>
      <c r="K1099" s="17" t="n">
        <v>650182.35</v>
      </c>
      <c r="L1099" s="12" t="n">
        <v>0</v>
      </c>
      <c r="M1099" s="12" t="n">
        <v>19</v>
      </c>
      <c r="N1099" s="27">
        <f>F1099-J1099</f>
        <v/>
      </c>
      <c r="O1099" s="16">
        <f>I1099-H1099</f>
        <v/>
      </c>
      <c r="P1099" s="14">
        <f>F1099*G1099</f>
        <v/>
      </c>
      <c r="Q1099" s="14">
        <f>J1099*G1099</f>
        <v/>
      </c>
      <c r="R1099" s="14">
        <f>K1099-Q1099</f>
        <v/>
      </c>
      <c r="S1099" s="3">
        <f>P1099*Assumptions!$B$3/100</f>
        <v/>
      </c>
      <c r="T1099" s="14">
        <f>R1099-S1099</f>
        <v/>
      </c>
      <c r="U1099" s="14">
        <f>L1099*G1099</f>
        <v/>
      </c>
    </row>
    <row r="1100">
      <c r="A1100" s="12" t="inlineStr">
        <is>
          <t>PO-2021-1098</t>
        </is>
      </c>
      <c r="B1100" s="26" t="n">
        <v>44710</v>
      </c>
      <c r="C1100" s="12" t="inlineStr">
        <is>
          <t>VS32</t>
        </is>
      </c>
      <c r="D1100" s="12" t="inlineStr">
        <is>
          <t>Structural Steel</t>
        </is>
      </c>
      <c r="E1100" s="12" t="inlineStr">
        <is>
          <t>N</t>
        </is>
      </c>
      <c r="F1100" s="12" t="n">
        <v>12.31</v>
      </c>
      <c r="G1100" s="17" t="n">
        <v>115680.23</v>
      </c>
      <c r="H1100" s="26" t="n">
        <v>44713</v>
      </c>
      <c r="I1100" s="26" t="n">
        <v>44715</v>
      </c>
      <c r="J1100" s="12" t="n">
        <v>12.29</v>
      </c>
      <c r="K1100" s="17" t="n">
        <v>1424023.63</v>
      </c>
      <c r="L1100" s="12" t="n">
        <v>0</v>
      </c>
      <c r="M1100" s="12" t="n">
        <v>0</v>
      </c>
      <c r="N1100" s="27">
        <f>F1100-J1100</f>
        <v/>
      </c>
      <c r="O1100" s="16">
        <f>I1100-H1100</f>
        <v/>
      </c>
      <c r="P1100" s="14">
        <f>F1100*G1100</f>
        <v/>
      </c>
      <c r="Q1100" s="14">
        <f>J1100*G1100</f>
        <v/>
      </c>
      <c r="R1100" s="14">
        <f>K1100-Q1100</f>
        <v/>
      </c>
      <c r="S1100" s="3">
        <f>P1100*Assumptions!$B$3/100</f>
        <v/>
      </c>
      <c r="T1100" s="14">
        <f>R1100-S1100</f>
        <v/>
      </c>
      <c r="U1100" s="14">
        <f>L1100*G1100</f>
        <v/>
      </c>
    </row>
    <row r="1101">
      <c r="A1101" s="12" t="inlineStr">
        <is>
          <t>PO-2021-1099</t>
        </is>
      </c>
      <c r="B1101" s="26" t="n">
        <v>44400</v>
      </c>
      <c r="C1101" s="12" t="inlineStr">
        <is>
          <t>VS04</t>
        </is>
      </c>
      <c r="D1101" s="12" t="inlineStr">
        <is>
          <t>SS Pipes</t>
        </is>
      </c>
      <c r="E1101" s="12" t="inlineStr">
        <is>
          <t>N</t>
        </is>
      </c>
      <c r="F1101" s="12" t="n">
        <v>25.41</v>
      </c>
      <c r="G1101" s="17" t="n">
        <v>47006.17</v>
      </c>
      <c r="H1101" s="26" t="n">
        <v>44405</v>
      </c>
      <c r="I1101" s="26" t="n">
        <v>44407</v>
      </c>
      <c r="J1101" s="12" t="n">
        <v>25.36</v>
      </c>
      <c r="K1101" s="17" t="n">
        <v>1194426.78</v>
      </c>
      <c r="L1101" s="12" t="n">
        <v>0</v>
      </c>
      <c r="M1101" s="12" t="n">
        <v>3</v>
      </c>
      <c r="N1101" s="27">
        <f>F1101-J1101</f>
        <v/>
      </c>
      <c r="O1101" s="16">
        <f>I1101-H1101</f>
        <v/>
      </c>
      <c r="P1101" s="14">
        <f>F1101*G1101</f>
        <v/>
      </c>
      <c r="Q1101" s="14">
        <f>J1101*G1101</f>
        <v/>
      </c>
      <c r="R1101" s="14">
        <f>K1101-Q1101</f>
        <v/>
      </c>
      <c r="S1101" s="3">
        <f>P1101*Assumptions!$B$3/100</f>
        <v/>
      </c>
      <c r="T1101" s="14">
        <f>R1101-S1101</f>
        <v/>
      </c>
      <c r="U1101" s="14">
        <f>L1101*G1101</f>
        <v/>
      </c>
    </row>
    <row r="1102">
      <c r="A1102" s="12" t="inlineStr">
        <is>
          <t>PO-2021-1100</t>
        </is>
      </c>
      <c r="B1102" s="26" t="n">
        <v>44980</v>
      </c>
      <c r="C1102" s="12" t="inlineStr">
        <is>
          <t>VS21</t>
        </is>
      </c>
      <c r="D1102" s="12" t="inlineStr">
        <is>
          <t>Square/Rect Tubes</t>
        </is>
      </c>
      <c r="E1102" s="12" t="inlineStr">
        <is>
          <t>N</t>
        </is>
      </c>
      <c r="F1102" s="12" t="n">
        <v>15.83</v>
      </c>
      <c r="G1102" s="17" t="n">
        <v>91742.45</v>
      </c>
      <c r="H1102" s="26" t="n">
        <v>44995</v>
      </c>
      <c r="I1102" s="26" t="n">
        <v>44997</v>
      </c>
      <c r="J1102" s="12" t="n">
        <v>15.71</v>
      </c>
      <c r="K1102" s="17" t="n">
        <v>1452282.98</v>
      </c>
      <c r="L1102" s="12" t="n">
        <v>0</v>
      </c>
      <c r="M1102" s="12" t="n">
        <v>0</v>
      </c>
      <c r="N1102" s="27">
        <f>F1102-J1102</f>
        <v/>
      </c>
      <c r="O1102" s="16">
        <f>I1102-H1102</f>
        <v/>
      </c>
      <c r="P1102" s="14">
        <f>F1102*G1102</f>
        <v/>
      </c>
      <c r="Q1102" s="14">
        <f>J1102*G1102</f>
        <v/>
      </c>
      <c r="R1102" s="14">
        <f>K1102-Q1102</f>
        <v/>
      </c>
      <c r="S1102" s="3">
        <f>P1102*Assumptions!$B$3/100</f>
        <v/>
      </c>
      <c r="T1102" s="14">
        <f>R1102-S1102</f>
        <v/>
      </c>
      <c r="U1102" s="14">
        <f>L1102*G1102</f>
        <v/>
      </c>
    </row>
    <row r="1103">
      <c r="A1103" s="12" t="inlineStr">
        <is>
          <t>PO-2021-1101</t>
        </is>
      </c>
      <c r="B1103" s="26" t="n">
        <v>44353</v>
      </c>
      <c r="C1103" s="12" t="inlineStr">
        <is>
          <t>VS34</t>
        </is>
      </c>
      <c r="D1103" s="12" t="inlineStr">
        <is>
          <t>Structural Steel</t>
        </is>
      </c>
      <c r="E1103" s="12" t="inlineStr">
        <is>
          <t>N</t>
        </is>
      </c>
      <c r="F1103" s="12" t="n">
        <v>39.84</v>
      </c>
      <c r="G1103" s="17" t="n">
        <v>60144.88</v>
      </c>
      <c r="H1103" s="26" t="n">
        <v>44366</v>
      </c>
      <c r="I1103" s="26" t="n">
        <v>44369</v>
      </c>
      <c r="J1103" s="12" t="n">
        <v>39.61</v>
      </c>
      <c r="K1103" s="17" t="n">
        <v>2396172.02</v>
      </c>
      <c r="L1103" s="12" t="n">
        <v>0</v>
      </c>
      <c r="M1103" s="12" t="n">
        <v>13</v>
      </c>
      <c r="N1103" s="27">
        <f>F1103-J1103</f>
        <v/>
      </c>
      <c r="O1103" s="16">
        <f>I1103-H1103</f>
        <v/>
      </c>
      <c r="P1103" s="14">
        <f>F1103*G1103</f>
        <v/>
      </c>
      <c r="Q1103" s="14">
        <f>J1103*G1103</f>
        <v/>
      </c>
      <c r="R1103" s="14">
        <f>K1103-Q1103</f>
        <v/>
      </c>
      <c r="S1103" s="3">
        <f>P1103*Assumptions!$B$3/100</f>
        <v/>
      </c>
      <c r="T1103" s="14">
        <f>R1103-S1103</f>
        <v/>
      </c>
      <c r="U1103" s="14">
        <f>L1103*G1103</f>
        <v/>
      </c>
    </row>
    <row r="1104">
      <c r="A1104" s="12" t="inlineStr">
        <is>
          <t>PO-2021-1102</t>
        </is>
      </c>
      <c r="B1104" s="26" t="n">
        <v>45216</v>
      </c>
      <c r="C1104" s="12" t="inlineStr">
        <is>
          <t>VS32</t>
        </is>
      </c>
      <c r="D1104" s="12" t="inlineStr">
        <is>
          <t>Hex Bars</t>
        </is>
      </c>
      <c r="E1104" s="12" t="inlineStr">
        <is>
          <t>N</t>
        </is>
      </c>
      <c r="F1104" s="12" t="n">
        <v>13.82</v>
      </c>
      <c r="G1104" s="17" t="n">
        <v>70771.17</v>
      </c>
      <c r="H1104" s="26" t="n">
        <v>45227</v>
      </c>
      <c r="I1104" s="26" t="n">
        <v>45229</v>
      </c>
      <c r="J1104" s="12" t="n">
        <v>13.7</v>
      </c>
      <c r="K1104" s="17" t="n">
        <v>978057.5699999999</v>
      </c>
      <c r="L1104" s="12" t="n">
        <v>0</v>
      </c>
      <c r="M1104" s="12" t="n">
        <v>11</v>
      </c>
      <c r="N1104" s="27">
        <f>F1104-J1104</f>
        <v/>
      </c>
      <c r="O1104" s="16">
        <f>I1104-H1104</f>
        <v/>
      </c>
      <c r="P1104" s="14">
        <f>F1104*G1104</f>
        <v/>
      </c>
      <c r="Q1104" s="14">
        <f>J1104*G1104</f>
        <v/>
      </c>
      <c r="R1104" s="14">
        <f>K1104-Q1104</f>
        <v/>
      </c>
      <c r="S1104" s="3">
        <f>P1104*Assumptions!$B$3/100</f>
        <v/>
      </c>
      <c r="T1104" s="14">
        <f>R1104-S1104</f>
        <v/>
      </c>
      <c r="U1104" s="14">
        <f>L1104*G1104</f>
        <v/>
      </c>
    </row>
    <row r="1105">
      <c r="A1105" s="12" t="inlineStr">
        <is>
          <t>PO-2021-1103</t>
        </is>
      </c>
      <c r="B1105" s="26" t="n">
        <v>44233</v>
      </c>
      <c r="C1105" s="12" t="inlineStr">
        <is>
          <t>VS03</t>
        </is>
      </c>
      <c r="D1105" s="12" t="inlineStr">
        <is>
          <t>GI Wire</t>
        </is>
      </c>
      <c r="E1105" s="12" t="inlineStr">
        <is>
          <t>N</t>
        </is>
      </c>
      <c r="F1105" s="12" t="n">
        <v>44.13</v>
      </c>
      <c r="G1105" s="17" t="n">
        <v>56092.46</v>
      </c>
      <c r="H1105" s="26" t="n">
        <v>44243</v>
      </c>
      <c r="I1105" s="26" t="n">
        <v>44251</v>
      </c>
      <c r="J1105" s="12" t="n">
        <v>42.84</v>
      </c>
      <c r="K1105" s="17" t="n">
        <v>2475360.26</v>
      </c>
      <c r="L1105" s="12" t="n">
        <v>2.08</v>
      </c>
      <c r="M1105" s="12" t="n">
        <v>13</v>
      </c>
      <c r="N1105" s="27">
        <f>F1105-J1105</f>
        <v/>
      </c>
      <c r="O1105" s="16">
        <f>I1105-H1105</f>
        <v/>
      </c>
      <c r="P1105" s="14">
        <f>F1105*G1105</f>
        <v/>
      </c>
      <c r="Q1105" s="14">
        <f>J1105*G1105</f>
        <v/>
      </c>
      <c r="R1105" s="14">
        <f>K1105-Q1105</f>
        <v/>
      </c>
      <c r="S1105" s="3">
        <f>P1105*Assumptions!$B$3/100</f>
        <v/>
      </c>
      <c r="T1105" s="14">
        <f>R1105-S1105</f>
        <v/>
      </c>
      <c r="U1105" s="14">
        <f>L1105*G1105</f>
        <v/>
      </c>
    </row>
    <row r="1106">
      <c r="A1106" s="12" t="inlineStr">
        <is>
          <t>PO-2021-1104</t>
        </is>
      </c>
      <c r="B1106" s="26" t="n">
        <v>44841</v>
      </c>
      <c r="C1106" s="12" t="inlineStr">
        <is>
          <t>VS25</t>
        </is>
      </c>
      <c r="D1106" s="12" t="inlineStr">
        <is>
          <t>Fasteners &amp; Fittings</t>
        </is>
      </c>
      <c r="E1106" s="12" t="inlineStr">
        <is>
          <t>N</t>
        </is>
      </c>
      <c r="F1106" s="12" t="n">
        <v>23.52</v>
      </c>
      <c r="G1106" s="17" t="n">
        <v>47464.48</v>
      </c>
      <c r="H1106" s="26" t="n">
        <v>44852</v>
      </c>
      <c r="I1106" s="26" t="n">
        <v>44853</v>
      </c>
      <c r="J1106" s="12" t="n">
        <v>23.4</v>
      </c>
      <c r="K1106" s="17" t="n">
        <v>1116364.57</v>
      </c>
      <c r="L1106" s="12" t="n">
        <v>0</v>
      </c>
      <c r="M1106" s="12" t="n">
        <v>0</v>
      </c>
      <c r="N1106" s="27">
        <f>F1106-J1106</f>
        <v/>
      </c>
      <c r="O1106" s="16">
        <f>I1106-H1106</f>
        <v/>
      </c>
      <c r="P1106" s="14">
        <f>F1106*G1106</f>
        <v/>
      </c>
      <c r="Q1106" s="14">
        <f>J1106*G1106</f>
        <v/>
      </c>
      <c r="R1106" s="14">
        <f>K1106-Q1106</f>
        <v/>
      </c>
      <c r="S1106" s="3">
        <f>P1106*Assumptions!$B$3/100</f>
        <v/>
      </c>
      <c r="T1106" s="14">
        <f>R1106-S1106</f>
        <v/>
      </c>
      <c r="U1106" s="14">
        <f>L1106*G1106</f>
        <v/>
      </c>
    </row>
    <row r="1107">
      <c r="A1107" s="12" t="inlineStr">
        <is>
          <t>PO-2021-1105</t>
        </is>
      </c>
      <c r="B1107" s="26" t="n">
        <v>44817</v>
      </c>
      <c r="C1107" s="12" t="inlineStr">
        <is>
          <t>VS11</t>
        </is>
      </c>
      <c r="D1107" s="12" t="inlineStr">
        <is>
          <t>Structural Steel</t>
        </is>
      </c>
      <c r="E1107" s="12" t="inlineStr">
        <is>
          <t>N</t>
        </is>
      </c>
      <c r="F1107" s="12" t="n">
        <v>22.1</v>
      </c>
      <c r="G1107" s="17" t="n">
        <v>68434.48</v>
      </c>
      <c r="H1107" s="26" t="n">
        <v>44826</v>
      </c>
      <c r="I1107" s="26" t="n">
        <v>44826</v>
      </c>
      <c r="J1107" s="12" t="n">
        <v>22.09</v>
      </c>
      <c r="K1107" s="17" t="n">
        <v>1512402.01</v>
      </c>
      <c r="L1107" s="12" t="n">
        <v>0</v>
      </c>
      <c r="M1107" s="12" t="n">
        <v>14</v>
      </c>
      <c r="N1107" s="27">
        <f>F1107-J1107</f>
        <v/>
      </c>
      <c r="O1107" s="16">
        <f>I1107-H1107</f>
        <v/>
      </c>
      <c r="P1107" s="14">
        <f>F1107*G1107</f>
        <v/>
      </c>
      <c r="Q1107" s="14">
        <f>J1107*G1107</f>
        <v/>
      </c>
      <c r="R1107" s="14">
        <f>K1107-Q1107</f>
        <v/>
      </c>
      <c r="S1107" s="3">
        <f>P1107*Assumptions!$B$3/100</f>
        <v/>
      </c>
      <c r="T1107" s="14">
        <f>R1107-S1107</f>
        <v/>
      </c>
      <c r="U1107" s="14">
        <f>L1107*G1107</f>
        <v/>
      </c>
    </row>
    <row r="1108">
      <c r="A1108" s="12" t="inlineStr">
        <is>
          <t>PO-2021-1106</t>
        </is>
      </c>
      <c r="B1108" s="26" t="n">
        <v>45195</v>
      </c>
      <c r="C1108" s="12" t="inlineStr">
        <is>
          <t>VS08</t>
        </is>
      </c>
      <c r="D1108" s="12" t="inlineStr">
        <is>
          <t>Structural Steel</t>
        </is>
      </c>
      <c r="E1108" s="12" t="inlineStr">
        <is>
          <t>N</t>
        </is>
      </c>
      <c r="F1108" s="12" t="n">
        <v>33.34</v>
      </c>
      <c r="G1108" s="17" t="n">
        <v>96403.06</v>
      </c>
      <c r="H1108" s="26" t="n">
        <v>45207</v>
      </c>
      <c r="I1108" s="26" t="n">
        <v>45210</v>
      </c>
      <c r="J1108" s="12" t="n">
        <v>33.33</v>
      </c>
      <c r="K1108" s="17" t="n">
        <v>3214078.02</v>
      </c>
      <c r="L1108" s="12" t="n">
        <v>0</v>
      </c>
      <c r="M1108" s="12" t="n">
        <v>2</v>
      </c>
      <c r="N1108" s="27">
        <f>F1108-J1108</f>
        <v/>
      </c>
      <c r="O1108" s="16">
        <f>I1108-H1108</f>
        <v/>
      </c>
      <c r="P1108" s="14">
        <f>F1108*G1108</f>
        <v/>
      </c>
      <c r="Q1108" s="14">
        <f>J1108*G1108</f>
        <v/>
      </c>
      <c r="R1108" s="14">
        <f>K1108-Q1108</f>
        <v/>
      </c>
      <c r="S1108" s="3">
        <f>P1108*Assumptions!$B$3/100</f>
        <v/>
      </c>
      <c r="T1108" s="14">
        <f>R1108-S1108</f>
        <v/>
      </c>
      <c r="U1108" s="14">
        <f>L1108*G1108</f>
        <v/>
      </c>
    </row>
    <row r="1109">
      <c r="A1109" s="12" t="inlineStr">
        <is>
          <t>PO-2021-1107</t>
        </is>
      </c>
      <c r="B1109" s="26" t="n">
        <v>45159</v>
      </c>
      <c r="C1109" s="12" t="inlineStr">
        <is>
          <t>VS31</t>
        </is>
      </c>
      <c r="D1109" s="12" t="inlineStr">
        <is>
          <t>Spring Steel</t>
        </is>
      </c>
      <c r="E1109" s="12" t="inlineStr">
        <is>
          <t>N</t>
        </is>
      </c>
      <c r="F1109" s="12" t="n">
        <v>42.86</v>
      </c>
      <c r="G1109" s="17" t="n">
        <v>83001.38</v>
      </c>
      <c r="H1109" s="26" t="n">
        <v>45168</v>
      </c>
      <c r="I1109" s="26" t="n">
        <v>45168</v>
      </c>
      <c r="J1109" s="12" t="n">
        <v>42.71</v>
      </c>
      <c r="K1109" s="17" t="n">
        <v>3557439.15</v>
      </c>
      <c r="L1109" s="12" t="n">
        <v>0</v>
      </c>
      <c r="M1109" s="12" t="n">
        <v>4</v>
      </c>
      <c r="N1109" s="27">
        <f>F1109-J1109</f>
        <v/>
      </c>
      <c r="O1109" s="16">
        <f>I1109-H1109</f>
        <v/>
      </c>
      <c r="P1109" s="14">
        <f>F1109*G1109</f>
        <v/>
      </c>
      <c r="Q1109" s="14">
        <f>J1109*G1109</f>
        <v/>
      </c>
      <c r="R1109" s="14">
        <f>K1109-Q1109</f>
        <v/>
      </c>
      <c r="S1109" s="3">
        <f>P1109*Assumptions!$B$3/100</f>
        <v/>
      </c>
      <c r="T1109" s="14">
        <f>R1109-S1109</f>
        <v/>
      </c>
      <c r="U1109" s="14">
        <f>L1109*G1109</f>
        <v/>
      </c>
    </row>
    <row r="1110">
      <c r="A1110" s="12" t="inlineStr">
        <is>
          <t>PO-2021-1108</t>
        </is>
      </c>
      <c r="B1110" s="26" t="n">
        <v>44736</v>
      </c>
      <c r="C1110" s="12" t="inlineStr">
        <is>
          <t>VS32</t>
        </is>
      </c>
      <c r="D1110" s="12" t="inlineStr">
        <is>
          <t>MS Rods</t>
        </is>
      </c>
      <c r="E1110" s="12" t="inlineStr">
        <is>
          <t>N</t>
        </is>
      </c>
      <c r="F1110" s="12" t="n">
        <v>31.23</v>
      </c>
      <c r="G1110" s="17" t="n">
        <v>71457.28</v>
      </c>
      <c r="H1110" s="26" t="n">
        <v>44743</v>
      </c>
      <c r="I1110" s="26" t="n">
        <v>44744</v>
      </c>
      <c r="J1110" s="12" t="n">
        <v>31</v>
      </c>
      <c r="K1110" s="17" t="n">
        <v>2231610.85</v>
      </c>
      <c r="L1110" s="12" t="n">
        <v>0</v>
      </c>
      <c r="M1110" s="12" t="n">
        <v>0</v>
      </c>
      <c r="N1110" s="27">
        <f>F1110-J1110</f>
        <v/>
      </c>
      <c r="O1110" s="16">
        <f>I1110-H1110</f>
        <v/>
      </c>
      <c r="P1110" s="14">
        <f>F1110*G1110</f>
        <v/>
      </c>
      <c r="Q1110" s="14">
        <f>J1110*G1110</f>
        <v/>
      </c>
      <c r="R1110" s="14">
        <f>K1110-Q1110</f>
        <v/>
      </c>
      <c r="S1110" s="3">
        <f>P1110*Assumptions!$B$3/100</f>
        <v/>
      </c>
      <c r="T1110" s="14">
        <f>R1110-S1110</f>
        <v/>
      </c>
      <c r="U1110" s="14">
        <f>L1110*G1110</f>
        <v/>
      </c>
    </row>
    <row r="1111">
      <c r="A1111" s="12" t="inlineStr">
        <is>
          <t>PO-2021-1109</t>
        </is>
      </c>
      <c r="B1111" s="26" t="n">
        <v>44853</v>
      </c>
      <c r="C1111" s="12" t="inlineStr">
        <is>
          <t>VS04</t>
        </is>
      </c>
      <c r="D1111" s="12" t="inlineStr">
        <is>
          <t>MS Pipes</t>
        </is>
      </c>
      <c r="E1111" s="12" t="inlineStr">
        <is>
          <t>N</t>
        </is>
      </c>
      <c r="F1111" s="12" t="n">
        <v>29.93</v>
      </c>
      <c r="G1111" s="17" t="n">
        <v>54614.85</v>
      </c>
      <c r="H1111" s="26" t="n">
        <v>44861</v>
      </c>
      <c r="I1111" s="26" t="n">
        <v>44863</v>
      </c>
      <c r="J1111" s="12" t="n">
        <v>29.84</v>
      </c>
      <c r="K1111" s="17" t="n">
        <v>1634622.46</v>
      </c>
      <c r="L1111" s="12" t="n">
        <v>0</v>
      </c>
      <c r="M1111" s="12" t="n">
        <v>0</v>
      </c>
      <c r="N1111" s="27">
        <f>F1111-J1111</f>
        <v/>
      </c>
      <c r="O1111" s="16">
        <f>I1111-H1111</f>
        <v/>
      </c>
      <c r="P1111" s="14">
        <f>F1111*G1111</f>
        <v/>
      </c>
      <c r="Q1111" s="14">
        <f>J1111*G1111</f>
        <v/>
      </c>
      <c r="R1111" s="14">
        <f>K1111-Q1111</f>
        <v/>
      </c>
      <c r="S1111" s="3">
        <f>P1111*Assumptions!$B$3/100</f>
        <v/>
      </c>
      <c r="T1111" s="14">
        <f>R1111-S1111</f>
        <v/>
      </c>
      <c r="U1111" s="14">
        <f>L1111*G1111</f>
        <v/>
      </c>
    </row>
    <row r="1112">
      <c r="A1112" s="12" t="inlineStr">
        <is>
          <t>PO-2021-1110</t>
        </is>
      </c>
      <c r="B1112" s="26" t="n">
        <v>44911</v>
      </c>
      <c r="C1112" s="12" t="inlineStr">
        <is>
          <t>VS02</t>
        </is>
      </c>
      <c r="D1112" s="12" t="inlineStr">
        <is>
          <t>MS Flats</t>
        </is>
      </c>
      <c r="E1112" s="12" t="inlineStr">
        <is>
          <t>N</t>
        </is>
      </c>
      <c r="F1112" s="12" t="n">
        <v>19.65</v>
      </c>
      <c r="G1112" s="17" t="n">
        <v>77111.11</v>
      </c>
      <c r="H1112" s="26" t="n">
        <v>44919</v>
      </c>
      <c r="I1112" s="26" t="n">
        <v>44920</v>
      </c>
      <c r="J1112" s="12" t="n">
        <v>19.5</v>
      </c>
      <c r="K1112" s="17" t="n">
        <v>1515233.31</v>
      </c>
      <c r="L1112" s="12" t="n">
        <v>0</v>
      </c>
      <c r="M1112" s="12" t="n">
        <v>0</v>
      </c>
      <c r="N1112" s="27">
        <f>F1112-J1112</f>
        <v/>
      </c>
      <c r="O1112" s="16">
        <f>I1112-H1112</f>
        <v/>
      </c>
      <c r="P1112" s="14">
        <f>F1112*G1112</f>
        <v/>
      </c>
      <c r="Q1112" s="14">
        <f>J1112*G1112</f>
        <v/>
      </c>
      <c r="R1112" s="14">
        <f>K1112-Q1112</f>
        <v/>
      </c>
      <c r="S1112" s="3">
        <f>P1112*Assumptions!$B$3/100</f>
        <v/>
      </c>
      <c r="T1112" s="14">
        <f>R1112-S1112</f>
        <v/>
      </c>
      <c r="U1112" s="14">
        <f>L1112*G1112</f>
        <v/>
      </c>
    </row>
    <row r="1113">
      <c r="A1113" s="12" t="inlineStr">
        <is>
          <t>PO-2021-1111</t>
        </is>
      </c>
      <c r="B1113" s="26" t="n">
        <v>45040</v>
      </c>
      <c r="C1113" s="12" t="inlineStr">
        <is>
          <t>VS23</t>
        </is>
      </c>
      <c r="D1113" s="12" t="inlineStr">
        <is>
          <t>GI Pipes</t>
        </is>
      </c>
      <c r="E1113" s="12" t="inlineStr">
        <is>
          <t>N</t>
        </is>
      </c>
      <c r="F1113" s="12" t="n">
        <v>33.4</v>
      </c>
      <c r="G1113" s="17" t="n">
        <v>63571.04</v>
      </c>
      <c r="H1113" s="26" t="n">
        <v>45053</v>
      </c>
      <c r="I1113" s="26" t="n">
        <v>45053</v>
      </c>
      <c r="J1113" s="12" t="n">
        <v>33.34</v>
      </c>
      <c r="K1113" s="17" t="n">
        <v>2123272.74</v>
      </c>
      <c r="L1113" s="12" t="n">
        <v>0</v>
      </c>
      <c r="M1113" s="12" t="n">
        <v>9</v>
      </c>
      <c r="N1113" s="27">
        <f>F1113-J1113</f>
        <v/>
      </c>
      <c r="O1113" s="16">
        <f>I1113-H1113</f>
        <v/>
      </c>
      <c r="P1113" s="14">
        <f>F1113*G1113</f>
        <v/>
      </c>
      <c r="Q1113" s="14">
        <f>J1113*G1113</f>
        <v/>
      </c>
      <c r="R1113" s="14">
        <f>K1113-Q1113</f>
        <v/>
      </c>
      <c r="S1113" s="3">
        <f>P1113*Assumptions!$B$3/100</f>
        <v/>
      </c>
      <c r="T1113" s="14">
        <f>R1113-S1113</f>
        <v/>
      </c>
      <c r="U1113" s="14">
        <f>L1113*G1113</f>
        <v/>
      </c>
    </row>
    <row r="1114">
      <c r="A1114" s="12" t="inlineStr">
        <is>
          <t>PO-2021-1112</t>
        </is>
      </c>
      <c r="B1114" s="26" t="n">
        <v>44836</v>
      </c>
      <c r="C1114" s="12" t="inlineStr">
        <is>
          <t>VS06</t>
        </is>
      </c>
      <c r="D1114" s="12" t="inlineStr">
        <is>
          <t>SS Pipes</t>
        </is>
      </c>
      <c r="E1114" s="12" t="inlineStr">
        <is>
          <t>N</t>
        </is>
      </c>
      <c r="F1114" s="12" t="n">
        <v>43.58</v>
      </c>
      <c r="G1114" s="17" t="n">
        <v>53585.35</v>
      </c>
      <c r="H1114" s="26" t="n">
        <v>44841</v>
      </c>
      <c r="I1114" s="26" t="n">
        <v>44842</v>
      </c>
      <c r="J1114" s="12" t="n">
        <v>43.38</v>
      </c>
      <c r="K1114" s="17" t="n">
        <v>2335249.55</v>
      </c>
      <c r="L1114" s="12" t="n">
        <v>0</v>
      </c>
      <c r="M1114" s="12" t="n">
        <v>0</v>
      </c>
      <c r="N1114" s="27">
        <f>F1114-J1114</f>
        <v/>
      </c>
      <c r="O1114" s="16">
        <f>I1114-H1114</f>
        <v/>
      </c>
      <c r="P1114" s="14">
        <f>F1114*G1114</f>
        <v/>
      </c>
      <c r="Q1114" s="14">
        <f>J1114*G1114</f>
        <v/>
      </c>
      <c r="R1114" s="14">
        <f>K1114-Q1114</f>
        <v/>
      </c>
      <c r="S1114" s="3">
        <f>P1114*Assumptions!$B$3/100</f>
        <v/>
      </c>
      <c r="T1114" s="14">
        <f>R1114-S1114</f>
        <v/>
      </c>
      <c r="U1114" s="14">
        <f>L1114*G1114</f>
        <v/>
      </c>
    </row>
    <row r="1115">
      <c r="A1115" s="12" t="inlineStr">
        <is>
          <t>PO-2021-1113</t>
        </is>
      </c>
      <c r="B1115" s="26" t="n">
        <v>44237</v>
      </c>
      <c r="C1115" s="12" t="inlineStr">
        <is>
          <t>VS21</t>
        </is>
      </c>
      <c r="D1115" s="12" t="inlineStr">
        <is>
          <t>GI Pipes</t>
        </is>
      </c>
      <c r="E1115" s="12" t="inlineStr">
        <is>
          <t>N</t>
        </is>
      </c>
      <c r="F1115" s="12" t="n">
        <v>23.58</v>
      </c>
      <c r="G1115" s="17" t="n">
        <v>109752.64</v>
      </c>
      <c r="H1115" s="26" t="n">
        <v>44249</v>
      </c>
      <c r="I1115" s="26" t="n">
        <v>44252</v>
      </c>
      <c r="J1115" s="12" t="n">
        <v>23.41</v>
      </c>
      <c r="K1115" s="17" t="n">
        <v>2587967.25</v>
      </c>
      <c r="L1115" s="12" t="n">
        <v>0</v>
      </c>
      <c r="M1115" s="12" t="n">
        <v>0</v>
      </c>
      <c r="N1115" s="27">
        <f>F1115-J1115</f>
        <v/>
      </c>
      <c r="O1115" s="16">
        <f>I1115-H1115</f>
        <v/>
      </c>
      <c r="P1115" s="14">
        <f>F1115*G1115</f>
        <v/>
      </c>
      <c r="Q1115" s="14">
        <f>J1115*G1115</f>
        <v/>
      </c>
      <c r="R1115" s="14">
        <f>K1115-Q1115</f>
        <v/>
      </c>
      <c r="S1115" s="3">
        <f>P1115*Assumptions!$B$3/100</f>
        <v/>
      </c>
      <c r="T1115" s="14">
        <f>R1115-S1115</f>
        <v/>
      </c>
      <c r="U1115" s="14">
        <f>L1115*G1115</f>
        <v/>
      </c>
    </row>
    <row r="1116">
      <c r="A1116" s="12" t="inlineStr">
        <is>
          <t>PO-2021-1114</t>
        </is>
      </c>
      <c r="B1116" s="26" t="n">
        <v>45251</v>
      </c>
      <c r="C1116" s="12" t="inlineStr">
        <is>
          <t>VS27</t>
        </is>
      </c>
      <c r="D1116" s="12" t="inlineStr">
        <is>
          <t>CR Sheets</t>
        </is>
      </c>
      <c r="E1116" s="12" t="inlineStr">
        <is>
          <t>N</t>
        </is>
      </c>
      <c r="F1116" s="12" t="n">
        <v>2</v>
      </c>
      <c r="G1116" s="17" t="n">
        <v>80227.49000000001</v>
      </c>
      <c r="H1116" s="26" t="n">
        <v>45254</v>
      </c>
      <c r="I1116" s="26" t="n">
        <v>45257</v>
      </c>
      <c r="J1116" s="12" t="n">
        <v>1.99</v>
      </c>
      <c r="K1116" s="17" t="n">
        <v>160454.98</v>
      </c>
      <c r="L1116" s="12" t="n">
        <v>0</v>
      </c>
      <c r="M1116" s="12" t="n">
        <v>0</v>
      </c>
      <c r="N1116" s="27">
        <f>F1116-J1116</f>
        <v/>
      </c>
      <c r="O1116" s="16">
        <f>I1116-H1116</f>
        <v/>
      </c>
      <c r="P1116" s="14">
        <f>F1116*G1116</f>
        <v/>
      </c>
      <c r="Q1116" s="14">
        <f>J1116*G1116</f>
        <v/>
      </c>
      <c r="R1116" s="14">
        <f>K1116-Q1116</f>
        <v/>
      </c>
      <c r="S1116" s="3">
        <f>P1116*Assumptions!$B$3/100</f>
        <v/>
      </c>
      <c r="T1116" s="14">
        <f>R1116-S1116</f>
        <v/>
      </c>
      <c r="U1116" s="14">
        <f>L1116*G1116</f>
        <v/>
      </c>
    </row>
    <row r="1117">
      <c r="A1117" s="12" t="inlineStr">
        <is>
          <t>PO-2021-1115</t>
        </is>
      </c>
      <c r="B1117" s="26" t="n">
        <v>44845</v>
      </c>
      <c r="C1117" s="12" t="inlineStr">
        <is>
          <t>VS25</t>
        </is>
      </c>
      <c r="D1117" s="12" t="inlineStr">
        <is>
          <t>MS Rods</t>
        </is>
      </c>
      <c r="E1117" s="12" t="inlineStr">
        <is>
          <t>N</t>
        </is>
      </c>
      <c r="F1117" s="12" t="n">
        <v>16.8</v>
      </c>
      <c r="G1117" s="17" t="n">
        <v>52329.43</v>
      </c>
      <c r="H1117" s="26" t="n">
        <v>44855</v>
      </c>
      <c r="I1117" s="26" t="n">
        <v>44855</v>
      </c>
      <c r="J1117" s="12" t="n">
        <v>16.64</v>
      </c>
      <c r="K1117" s="17" t="n">
        <v>879134.42</v>
      </c>
      <c r="L1117" s="12" t="n">
        <v>0</v>
      </c>
      <c r="M1117" s="12" t="n">
        <v>6</v>
      </c>
      <c r="N1117" s="27">
        <f>F1117-J1117</f>
        <v/>
      </c>
      <c r="O1117" s="16">
        <f>I1117-H1117</f>
        <v/>
      </c>
      <c r="P1117" s="14">
        <f>F1117*G1117</f>
        <v/>
      </c>
      <c r="Q1117" s="14">
        <f>J1117*G1117</f>
        <v/>
      </c>
      <c r="R1117" s="14">
        <f>K1117-Q1117</f>
        <v/>
      </c>
      <c r="S1117" s="3">
        <f>P1117*Assumptions!$B$3/100</f>
        <v/>
      </c>
      <c r="T1117" s="14">
        <f>R1117-S1117</f>
        <v/>
      </c>
      <c r="U1117" s="14">
        <f>L1117*G1117</f>
        <v/>
      </c>
    </row>
    <row r="1118">
      <c r="A1118" s="12" t="inlineStr">
        <is>
          <t>PO-2021-1116</t>
        </is>
      </c>
      <c r="B1118" s="26" t="n">
        <v>44401</v>
      </c>
      <c r="C1118" s="12" t="inlineStr">
        <is>
          <t>VS14</t>
        </is>
      </c>
      <c r="D1118" s="12" t="inlineStr">
        <is>
          <t>MS Flats</t>
        </is>
      </c>
      <c r="E1118" s="12" t="inlineStr">
        <is>
          <t>N</t>
        </is>
      </c>
      <c r="F1118" s="12" t="n">
        <v>25.34</v>
      </c>
      <c r="G1118" s="17" t="n">
        <v>105859.29</v>
      </c>
      <c r="H1118" s="26" t="n">
        <v>44414</v>
      </c>
      <c r="I1118" s="26" t="n">
        <v>44414</v>
      </c>
      <c r="J1118" s="12" t="n">
        <v>25.2</v>
      </c>
      <c r="K1118" s="17" t="n">
        <v>2682474.41</v>
      </c>
      <c r="L1118" s="12" t="n">
        <v>0</v>
      </c>
      <c r="M1118" s="12" t="n">
        <v>17</v>
      </c>
      <c r="N1118" s="27">
        <f>F1118-J1118</f>
        <v/>
      </c>
      <c r="O1118" s="16">
        <f>I1118-H1118</f>
        <v/>
      </c>
      <c r="P1118" s="14">
        <f>F1118*G1118</f>
        <v/>
      </c>
      <c r="Q1118" s="14">
        <f>J1118*G1118</f>
        <v/>
      </c>
      <c r="R1118" s="14">
        <f>K1118-Q1118</f>
        <v/>
      </c>
      <c r="S1118" s="3">
        <f>P1118*Assumptions!$B$3/100</f>
        <v/>
      </c>
      <c r="T1118" s="14">
        <f>R1118-S1118</f>
        <v/>
      </c>
      <c r="U1118" s="14">
        <f>L1118*G1118</f>
        <v/>
      </c>
    </row>
    <row r="1119">
      <c r="A1119" s="12" t="inlineStr">
        <is>
          <t>PO-2021-1117</t>
        </is>
      </c>
      <c r="B1119" s="26" t="n">
        <v>44892</v>
      </c>
      <c r="C1119" s="12" t="inlineStr">
        <is>
          <t>VS11</t>
        </is>
      </c>
      <c r="D1119" s="12" t="inlineStr">
        <is>
          <t>SS Sheets</t>
        </is>
      </c>
      <c r="E1119" s="12" t="inlineStr">
        <is>
          <t>N</t>
        </is>
      </c>
      <c r="F1119" s="12" t="n">
        <v>18.8</v>
      </c>
      <c r="G1119" s="17" t="n">
        <v>77699.33</v>
      </c>
      <c r="H1119" s="26" t="n">
        <v>44902</v>
      </c>
      <c r="I1119" s="26" t="n">
        <v>44903</v>
      </c>
      <c r="J1119" s="12" t="n">
        <v>18.74</v>
      </c>
      <c r="K1119" s="17" t="n">
        <v>1460747.4</v>
      </c>
      <c r="L1119" s="12" t="n">
        <v>0</v>
      </c>
      <c r="M1119" s="12" t="n">
        <v>14</v>
      </c>
      <c r="N1119" s="27">
        <f>F1119-J1119</f>
        <v/>
      </c>
      <c r="O1119" s="16">
        <f>I1119-H1119</f>
        <v/>
      </c>
      <c r="P1119" s="14">
        <f>F1119*G1119</f>
        <v/>
      </c>
      <c r="Q1119" s="14">
        <f>J1119*G1119</f>
        <v/>
      </c>
      <c r="R1119" s="14">
        <f>K1119-Q1119</f>
        <v/>
      </c>
      <c r="S1119" s="3">
        <f>P1119*Assumptions!$B$3/100</f>
        <v/>
      </c>
      <c r="T1119" s="14">
        <f>R1119-S1119</f>
        <v/>
      </c>
      <c r="U1119" s="14">
        <f>L1119*G1119</f>
        <v/>
      </c>
    </row>
    <row r="1120">
      <c r="A1120" s="12" t="inlineStr">
        <is>
          <t>PO-2021-1118</t>
        </is>
      </c>
      <c r="B1120" s="26" t="n">
        <v>44351</v>
      </c>
      <c r="C1120" s="12" t="inlineStr">
        <is>
          <t>VS14</t>
        </is>
      </c>
      <c r="D1120" s="12" t="inlineStr">
        <is>
          <t>SS Sheets</t>
        </is>
      </c>
      <c r="E1120" s="12" t="inlineStr">
        <is>
          <t>N</t>
        </is>
      </c>
      <c r="F1120" s="12" t="n">
        <v>13.99</v>
      </c>
      <c r="G1120" s="17" t="n">
        <v>67299.02</v>
      </c>
      <c r="H1120" s="26" t="n">
        <v>44363</v>
      </c>
      <c r="I1120" s="26" t="n">
        <v>44365</v>
      </c>
      <c r="J1120" s="12" t="n">
        <v>13.94</v>
      </c>
      <c r="K1120" s="17" t="n">
        <v>941513.29</v>
      </c>
      <c r="L1120" s="12" t="n">
        <v>0</v>
      </c>
      <c r="M1120" s="12" t="n">
        <v>19</v>
      </c>
      <c r="N1120" s="27">
        <f>F1120-J1120</f>
        <v/>
      </c>
      <c r="O1120" s="16">
        <f>I1120-H1120</f>
        <v/>
      </c>
      <c r="P1120" s="14">
        <f>F1120*G1120</f>
        <v/>
      </c>
      <c r="Q1120" s="14">
        <f>J1120*G1120</f>
        <v/>
      </c>
      <c r="R1120" s="14">
        <f>K1120-Q1120</f>
        <v/>
      </c>
      <c r="S1120" s="3">
        <f>P1120*Assumptions!$B$3/100</f>
        <v/>
      </c>
      <c r="T1120" s="14">
        <f>R1120-S1120</f>
        <v/>
      </c>
      <c r="U1120" s="14">
        <f>L1120*G1120</f>
        <v/>
      </c>
    </row>
    <row r="1121">
      <c r="A1121" s="12" t="inlineStr">
        <is>
          <t>PO-2021-1119</t>
        </is>
      </c>
      <c r="B1121" s="26" t="n">
        <v>45020</v>
      </c>
      <c r="C1121" s="12" t="inlineStr">
        <is>
          <t>VS15</t>
        </is>
      </c>
      <c r="D1121" s="12" t="inlineStr">
        <is>
          <t>SS Pipes</t>
        </is>
      </c>
      <c r="E1121" s="12" t="inlineStr">
        <is>
          <t>N</t>
        </is>
      </c>
      <c r="F1121" s="12" t="n">
        <v>36.17</v>
      </c>
      <c r="G1121" s="17" t="n">
        <v>88364.49000000001</v>
      </c>
      <c r="H1121" s="26" t="n">
        <v>45032</v>
      </c>
      <c r="I1121" s="26" t="n">
        <v>45035</v>
      </c>
      <c r="J1121" s="12" t="n">
        <v>35.95</v>
      </c>
      <c r="K1121" s="17" t="n">
        <v>3196143.6</v>
      </c>
      <c r="L1121" s="12" t="n">
        <v>0</v>
      </c>
      <c r="M1121" s="12" t="n">
        <v>25</v>
      </c>
      <c r="N1121" s="27">
        <f>F1121-J1121</f>
        <v/>
      </c>
      <c r="O1121" s="16">
        <f>I1121-H1121</f>
        <v/>
      </c>
      <c r="P1121" s="14">
        <f>F1121*G1121</f>
        <v/>
      </c>
      <c r="Q1121" s="14">
        <f>J1121*G1121</f>
        <v/>
      </c>
      <c r="R1121" s="14">
        <f>K1121-Q1121</f>
        <v/>
      </c>
      <c r="S1121" s="3">
        <f>P1121*Assumptions!$B$3/100</f>
        <v/>
      </c>
      <c r="T1121" s="14">
        <f>R1121-S1121</f>
        <v/>
      </c>
      <c r="U1121" s="14">
        <f>L1121*G1121</f>
        <v/>
      </c>
    </row>
    <row r="1122">
      <c r="A1122" s="12" t="inlineStr">
        <is>
          <t>PO-2021-1120</t>
        </is>
      </c>
      <c r="B1122" s="26" t="n">
        <v>44886</v>
      </c>
      <c r="C1122" s="12" t="inlineStr">
        <is>
          <t>VS18</t>
        </is>
      </c>
      <c r="D1122" s="12" t="inlineStr">
        <is>
          <t>SS Pipes</t>
        </is>
      </c>
      <c r="E1122" s="12" t="inlineStr">
        <is>
          <t>Y</t>
        </is>
      </c>
      <c r="F1122" s="12" t="n">
        <v>28.75</v>
      </c>
      <c r="G1122" s="17" t="n">
        <v>84829.77</v>
      </c>
      <c r="H1122" s="26" t="n">
        <v>44895</v>
      </c>
      <c r="I1122" s="26" t="n">
        <v>44896</v>
      </c>
      <c r="J1122" s="12" t="n">
        <v>28.47</v>
      </c>
      <c r="K1122" s="17" t="n">
        <v>2438855.89</v>
      </c>
      <c r="L1122" s="12" t="n">
        <v>0</v>
      </c>
      <c r="M1122" s="12" t="n">
        <v>0</v>
      </c>
      <c r="N1122" s="27">
        <f>F1122-J1122</f>
        <v/>
      </c>
      <c r="O1122" s="16">
        <f>I1122-H1122</f>
        <v/>
      </c>
      <c r="P1122" s="14">
        <f>F1122*G1122</f>
        <v/>
      </c>
      <c r="Q1122" s="14">
        <f>J1122*G1122</f>
        <v/>
      </c>
      <c r="R1122" s="14">
        <f>K1122-Q1122</f>
        <v/>
      </c>
      <c r="S1122" s="3">
        <f>P1122*Assumptions!$B$3/100</f>
        <v/>
      </c>
      <c r="T1122" s="14">
        <f>R1122-S1122</f>
        <v/>
      </c>
      <c r="U1122" s="14">
        <f>L1122*G1122</f>
        <v/>
      </c>
    </row>
    <row r="1123">
      <c r="A1123" s="12" t="inlineStr">
        <is>
          <t>PO-2021-1121</t>
        </is>
      </c>
      <c r="B1123" s="26" t="n">
        <v>44626</v>
      </c>
      <c r="C1123" s="12" t="inlineStr">
        <is>
          <t>VS23</t>
        </is>
      </c>
      <c r="D1123" s="12" t="inlineStr">
        <is>
          <t>SS Pipes</t>
        </is>
      </c>
      <c r="E1123" s="12" t="inlineStr">
        <is>
          <t>N</t>
        </is>
      </c>
      <c r="F1123" s="12" t="n">
        <v>32.93</v>
      </c>
      <c r="G1123" s="17" t="n">
        <v>67638.53</v>
      </c>
      <c r="H1123" s="26" t="n">
        <v>44641</v>
      </c>
      <c r="I1123" s="26" t="n">
        <v>44643</v>
      </c>
      <c r="J1123" s="12" t="n">
        <v>32.78</v>
      </c>
      <c r="K1123" s="17" t="n">
        <v>2227336.79</v>
      </c>
      <c r="L1123" s="12" t="n">
        <v>0</v>
      </c>
      <c r="M1123" s="12" t="n">
        <v>18</v>
      </c>
      <c r="N1123" s="27">
        <f>F1123-J1123</f>
        <v/>
      </c>
      <c r="O1123" s="16">
        <f>I1123-H1123</f>
        <v/>
      </c>
      <c r="P1123" s="14">
        <f>F1123*G1123</f>
        <v/>
      </c>
      <c r="Q1123" s="14">
        <f>J1123*G1123</f>
        <v/>
      </c>
      <c r="R1123" s="14">
        <f>K1123-Q1123</f>
        <v/>
      </c>
      <c r="S1123" s="3">
        <f>P1123*Assumptions!$B$3/100</f>
        <v/>
      </c>
      <c r="T1123" s="14">
        <f>R1123-S1123</f>
        <v/>
      </c>
      <c r="U1123" s="14">
        <f>L1123*G1123</f>
        <v/>
      </c>
    </row>
    <row r="1124">
      <c r="A1124" s="12" t="inlineStr">
        <is>
          <t>PO-2021-1122</t>
        </is>
      </c>
      <c r="B1124" s="26" t="n">
        <v>44811</v>
      </c>
      <c r="C1124" s="12" t="inlineStr">
        <is>
          <t>VS28</t>
        </is>
      </c>
      <c r="D1124" s="12" t="inlineStr">
        <is>
          <t>Spring Steel</t>
        </is>
      </c>
      <c r="E1124" s="12" t="inlineStr">
        <is>
          <t>N</t>
        </is>
      </c>
      <c r="F1124" s="12" t="n">
        <v>16.35</v>
      </c>
      <c r="G1124" s="17" t="n">
        <v>76073.57000000001</v>
      </c>
      <c r="H1124" s="26" t="n">
        <v>44818</v>
      </c>
      <c r="I1124" s="26" t="n">
        <v>44820</v>
      </c>
      <c r="J1124" s="12" t="n">
        <v>16.21</v>
      </c>
      <c r="K1124" s="17" t="n">
        <v>1243802.87</v>
      </c>
      <c r="L1124" s="12" t="n">
        <v>0</v>
      </c>
      <c r="M1124" s="12" t="n">
        <v>7</v>
      </c>
      <c r="N1124" s="27">
        <f>F1124-J1124</f>
        <v/>
      </c>
      <c r="O1124" s="16">
        <f>I1124-H1124</f>
        <v/>
      </c>
      <c r="P1124" s="14">
        <f>F1124*G1124</f>
        <v/>
      </c>
      <c r="Q1124" s="14">
        <f>J1124*G1124</f>
        <v/>
      </c>
      <c r="R1124" s="14">
        <f>K1124-Q1124</f>
        <v/>
      </c>
      <c r="S1124" s="3">
        <f>P1124*Assumptions!$B$3/100</f>
        <v/>
      </c>
      <c r="T1124" s="14">
        <f>R1124-S1124</f>
        <v/>
      </c>
      <c r="U1124" s="14">
        <f>L1124*G1124</f>
        <v/>
      </c>
    </row>
    <row r="1125">
      <c r="A1125" s="12" t="inlineStr">
        <is>
          <t>PO-2021-1123</t>
        </is>
      </c>
      <c r="B1125" s="26" t="n">
        <v>45252</v>
      </c>
      <c r="C1125" s="12" t="inlineStr">
        <is>
          <t>VS30</t>
        </is>
      </c>
      <c r="D1125" s="12" t="inlineStr">
        <is>
          <t>Spring Steel</t>
        </is>
      </c>
      <c r="E1125" s="12" t="inlineStr">
        <is>
          <t>N</t>
        </is>
      </c>
      <c r="F1125" s="12" t="n">
        <v>9.85</v>
      </c>
      <c r="G1125" s="17" t="n">
        <v>46395.25</v>
      </c>
      <c r="H1125" s="26" t="n">
        <v>45266</v>
      </c>
      <c r="I1125" s="26" t="n">
        <v>45267</v>
      </c>
      <c r="J1125" s="12" t="n">
        <v>9.779999999999999</v>
      </c>
      <c r="K1125" s="17" t="n">
        <v>456993.21</v>
      </c>
      <c r="L1125" s="12" t="n">
        <v>0</v>
      </c>
      <c r="M1125" s="12" t="n">
        <v>22</v>
      </c>
      <c r="N1125" s="27">
        <f>F1125-J1125</f>
        <v/>
      </c>
      <c r="O1125" s="16">
        <f>I1125-H1125</f>
        <v/>
      </c>
      <c r="P1125" s="14">
        <f>F1125*G1125</f>
        <v/>
      </c>
      <c r="Q1125" s="14">
        <f>J1125*G1125</f>
        <v/>
      </c>
      <c r="R1125" s="14">
        <f>K1125-Q1125</f>
        <v/>
      </c>
      <c r="S1125" s="3">
        <f>P1125*Assumptions!$B$3/100</f>
        <v/>
      </c>
      <c r="T1125" s="14">
        <f>R1125-S1125</f>
        <v/>
      </c>
      <c r="U1125" s="14">
        <f>L1125*G1125</f>
        <v/>
      </c>
    </row>
    <row r="1126">
      <c r="A1126" s="12" t="inlineStr">
        <is>
          <t>PO-2021-1124</t>
        </is>
      </c>
      <c r="B1126" s="26" t="n">
        <v>45254</v>
      </c>
      <c r="C1126" s="12" t="inlineStr">
        <is>
          <t>VS12</t>
        </is>
      </c>
      <c r="D1126" s="12" t="inlineStr">
        <is>
          <t>Structural Steel</t>
        </is>
      </c>
      <c r="E1126" s="12" t="inlineStr">
        <is>
          <t>N</t>
        </is>
      </c>
      <c r="F1126" s="12" t="n">
        <v>11.43</v>
      </c>
      <c r="G1126" s="17" t="n">
        <v>121845.13</v>
      </c>
      <c r="H1126" s="26" t="n">
        <v>45268</v>
      </c>
      <c r="I1126" s="26" t="n">
        <v>45276</v>
      </c>
      <c r="J1126" s="12" t="n">
        <v>11.2</v>
      </c>
      <c r="K1126" s="17" t="n">
        <v>1392689.84</v>
      </c>
      <c r="L1126" s="12" t="n">
        <v>0.46</v>
      </c>
      <c r="M1126" s="12" t="n">
        <v>21</v>
      </c>
      <c r="N1126" s="27">
        <f>F1126-J1126</f>
        <v/>
      </c>
      <c r="O1126" s="16">
        <f>I1126-H1126</f>
        <v/>
      </c>
      <c r="P1126" s="14">
        <f>F1126*G1126</f>
        <v/>
      </c>
      <c r="Q1126" s="14">
        <f>J1126*G1126</f>
        <v/>
      </c>
      <c r="R1126" s="14">
        <f>K1126-Q1126</f>
        <v/>
      </c>
      <c r="S1126" s="3">
        <f>P1126*Assumptions!$B$3/100</f>
        <v/>
      </c>
      <c r="T1126" s="14">
        <f>R1126-S1126</f>
        <v/>
      </c>
      <c r="U1126" s="14">
        <f>L1126*G1126</f>
        <v/>
      </c>
    </row>
    <row r="1127">
      <c r="A1127" s="12" t="inlineStr">
        <is>
          <t>PO-2021-1125</t>
        </is>
      </c>
      <c r="B1127" s="26" t="n">
        <v>45154</v>
      </c>
      <c r="C1127" s="12" t="inlineStr">
        <is>
          <t>VS18</t>
        </is>
      </c>
      <c r="D1127" s="12" t="inlineStr">
        <is>
          <t>Spring Steel</t>
        </is>
      </c>
      <c r="E1127" s="12" t="inlineStr">
        <is>
          <t>N</t>
        </is>
      </c>
      <c r="F1127" s="12" t="n">
        <v>40.64</v>
      </c>
      <c r="G1127" s="17" t="n">
        <v>108958.1</v>
      </c>
      <c r="H1127" s="26" t="n">
        <v>45163</v>
      </c>
      <c r="I1127" s="26" t="n">
        <v>45164</v>
      </c>
      <c r="J1127" s="12" t="n">
        <v>40.49</v>
      </c>
      <c r="K1127" s="17" t="n">
        <v>4428057.18</v>
      </c>
      <c r="L1127" s="12" t="n">
        <v>0</v>
      </c>
      <c r="M1127" s="12" t="n">
        <v>3</v>
      </c>
      <c r="N1127" s="27">
        <f>F1127-J1127</f>
        <v/>
      </c>
      <c r="O1127" s="16">
        <f>I1127-H1127</f>
        <v/>
      </c>
      <c r="P1127" s="14">
        <f>F1127*G1127</f>
        <v/>
      </c>
      <c r="Q1127" s="14">
        <f>J1127*G1127</f>
        <v/>
      </c>
      <c r="R1127" s="14">
        <f>K1127-Q1127</f>
        <v/>
      </c>
      <c r="S1127" s="3">
        <f>P1127*Assumptions!$B$3/100</f>
        <v/>
      </c>
      <c r="T1127" s="14">
        <f>R1127-S1127</f>
        <v/>
      </c>
      <c r="U1127" s="14">
        <f>L1127*G1127</f>
        <v/>
      </c>
    </row>
    <row r="1128">
      <c r="A1128" s="12" t="inlineStr">
        <is>
          <t>PO-2021-1126</t>
        </is>
      </c>
      <c r="B1128" s="26" t="n">
        <v>44319</v>
      </c>
      <c r="C1128" s="12" t="inlineStr">
        <is>
          <t>VS34</t>
        </is>
      </c>
      <c r="D1128" s="12" t="inlineStr">
        <is>
          <t>GI Sheets</t>
        </is>
      </c>
      <c r="E1128" s="12" t="inlineStr">
        <is>
          <t>N</t>
        </is>
      </c>
      <c r="F1128" s="12" t="n">
        <v>18.85</v>
      </c>
      <c r="G1128" s="17" t="n">
        <v>56080.78</v>
      </c>
      <c r="H1128" s="26" t="n">
        <v>44324</v>
      </c>
      <c r="I1128" s="26" t="n">
        <v>44325</v>
      </c>
      <c r="J1128" s="12" t="n">
        <v>18.79</v>
      </c>
      <c r="K1128" s="17" t="n">
        <v>1057122.7</v>
      </c>
      <c r="L1128" s="12" t="n">
        <v>0</v>
      </c>
      <c r="M1128" s="12" t="n">
        <v>11</v>
      </c>
      <c r="N1128" s="27">
        <f>F1128-J1128</f>
        <v/>
      </c>
      <c r="O1128" s="16">
        <f>I1128-H1128</f>
        <v/>
      </c>
      <c r="P1128" s="14">
        <f>F1128*G1128</f>
        <v/>
      </c>
      <c r="Q1128" s="14">
        <f>J1128*G1128</f>
        <v/>
      </c>
      <c r="R1128" s="14">
        <f>K1128-Q1128</f>
        <v/>
      </c>
      <c r="S1128" s="3">
        <f>P1128*Assumptions!$B$3/100</f>
        <v/>
      </c>
      <c r="T1128" s="14">
        <f>R1128-S1128</f>
        <v/>
      </c>
      <c r="U1128" s="14">
        <f>L1128*G1128</f>
        <v/>
      </c>
    </row>
    <row r="1129">
      <c r="A1129" s="12" t="inlineStr">
        <is>
          <t>PO-2021-1127</t>
        </is>
      </c>
      <c r="B1129" s="26" t="n">
        <v>44811</v>
      </c>
      <c r="C1129" s="12" t="inlineStr">
        <is>
          <t>VS28</t>
        </is>
      </c>
      <c r="D1129" s="12" t="inlineStr">
        <is>
          <t>GI Wire</t>
        </is>
      </c>
      <c r="E1129" s="12" t="inlineStr">
        <is>
          <t>N</t>
        </is>
      </c>
      <c r="F1129" s="12" t="n">
        <v>16.61</v>
      </c>
      <c r="G1129" s="17" t="n">
        <v>107266.08</v>
      </c>
      <c r="H1129" s="26" t="n">
        <v>44815</v>
      </c>
      <c r="I1129" s="26" t="n">
        <v>44817</v>
      </c>
      <c r="J1129" s="12" t="n">
        <v>16.59</v>
      </c>
      <c r="K1129" s="17" t="n">
        <v>1781689.59</v>
      </c>
      <c r="L1129" s="12" t="n">
        <v>0</v>
      </c>
      <c r="M1129" s="12" t="n">
        <v>23</v>
      </c>
      <c r="N1129" s="27">
        <f>F1129-J1129</f>
        <v/>
      </c>
      <c r="O1129" s="16">
        <f>I1129-H1129</f>
        <v/>
      </c>
      <c r="P1129" s="14">
        <f>F1129*G1129</f>
        <v/>
      </c>
      <c r="Q1129" s="14">
        <f>J1129*G1129</f>
        <v/>
      </c>
      <c r="R1129" s="14">
        <f>K1129-Q1129</f>
        <v/>
      </c>
      <c r="S1129" s="3">
        <f>P1129*Assumptions!$B$3/100</f>
        <v/>
      </c>
      <c r="T1129" s="14">
        <f>R1129-S1129</f>
        <v/>
      </c>
      <c r="U1129" s="14">
        <f>L1129*G1129</f>
        <v/>
      </c>
    </row>
    <row r="1130">
      <c r="A1130" s="12" t="inlineStr">
        <is>
          <t>PO-2021-1128</t>
        </is>
      </c>
      <c r="B1130" s="26" t="n">
        <v>44613</v>
      </c>
      <c r="C1130" s="12" t="inlineStr">
        <is>
          <t>VS27</t>
        </is>
      </c>
      <c r="D1130" s="12" t="inlineStr">
        <is>
          <t>CR Sheets</t>
        </is>
      </c>
      <c r="E1130" s="12" t="inlineStr">
        <is>
          <t>N</t>
        </is>
      </c>
      <c r="F1130" s="12" t="n">
        <v>41.36</v>
      </c>
      <c r="G1130" s="17" t="n">
        <v>93453.2</v>
      </c>
      <c r="H1130" s="26" t="n">
        <v>44620</v>
      </c>
      <c r="I1130" s="26" t="n">
        <v>44623</v>
      </c>
      <c r="J1130" s="12" t="n">
        <v>41.18</v>
      </c>
      <c r="K1130" s="17" t="n">
        <v>3865224.35</v>
      </c>
      <c r="L1130" s="12" t="n">
        <v>0</v>
      </c>
      <c r="M1130" s="12" t="n">
        <v>22</v>
      </c>
      <c r="N1130" s="27">
        <f>F1130-J1130</f>
        <v/>
      </c>
      <c r="O1130" s="16">
        <f>I1130-H1130</f>
        <v/>
      </c>
      <c r="P1130" s="14">
        <f>F1130*G1130</f>
        <v/>
      </c>
      <c r="Q1130" s="14">
        <f>J1130*G1130</f>
        <v/>
      </c>
      <c r="R1130" s="14">
        <f>K1130-Q1130</f>
        <v/>
      </c>
      <c r="S1130" s="3">
        <f>P1130*Assumptions!$B$3/100</f>
        <v/>
      </c>
      <c r="T1130" s="14">
        <f>R1130-S1130</f>
        <v/>
      </c>
      <c r="U1130" s="14">
        <f>L1130*G1130</f>
        <v/>
      </c>
    </row>
    <row r="1131">
      <c r="A1131" s="12" t="inlineStr">
        <is>
          <t>PO-2021-1129</t>
        </is>
      </c>
      <c r="B1131" s="26" t="n">
        <v>44680</v>
      </c>
      <c r="C1131" s="12" t="inlineStr">
        <is>
          <t>VS26</t>
        </is>
      </c>
      <c r="D1131" s="12" t="inlineStr">
        <is>
          <t>HR Coils</t>
        </is>
      </c>
      <c r="E1131" s="12" t="inlineStr">
        <is>
          <t>N</t>
        </is>
      </c>
      <c r="F1131" s="12" t="n">
        <v>6.56</v>
      </c>
      <c r="G1131" s="17" t="n">
        <v>59393.7</v>
      </c>
      <c r="H1131" s="26" t="n">
        <v>44686</v>
      </c>
      <c r="I1131" s="26" t="n">
        <v>44686</v>
      </c>
      <c r="J1131" s="12" t="n">
        <v>6.54</v>
      </c>
      <c r="K1131" s="17" t="n">
        <v>389622.67</v>
      </c>
      <c r="L1131" s="12" t="n">
        <v>0</v>
      </c>
      <c r="M1131" s="12" t="n">
        <v>9</v>
      </c>
      <c r="N1131" s="27">
        <f>F1131-J1131</f>
        <v/>
      </c>
      <c r="O1131" s="16">
        <f>I1131-H1131</f>
        <v/>
      </c>
      <c r="P1131" s="14">
        <f>F1131*G1131</f>
        <v/>
      </c>
      <c r="Q1131" s="14">
        <f>J1131*G1131</f>
        <v/>
      </c>
      <c r="R1131" s="14">
        <f>K1131-Q1131</f>
        <v/>
      </c>
      <c r="S1131" s="3">
        <f>P1131*Assumptions!$B$3/100</f>
        <v/>
      </c>
      <c r="T1131" s="14">
        <f>R1131-S1131</f>
        <v/>
      </c>
      <c r="U1131" s="14">
        <f>L1131*G1131</f>
        <v/>
      </c>
    </row>
    <row r="1132">
      <c r="A1132" s="12" t="inlineStr">
        <is>
          <t>PO-2021-1130</t>
        </is>
      </c>
      <c r="B1132" s="26" t="n">
        <v>44832</v>
      </c>
      <c r="C1132" s="12" t="inlineStr">
        <is>
          <t>VS30</t>
        </is>
      </c>
      <c r="D1132" s="12" t="inlineStr">
        <is>
          <t>Structural Steel</t>
        </is>
      </c>
      <c r="E1132" s="12" t="inlineStr">
        <is>
          <t>Y</t>
        </is>
      </c>
      <c r="F1132" s="12" t="n">
        <v>28.43</v>
      </c>
      <c r="G1132" s="17" t="n">
        <v>77709.97</v>
      </c>
      <c r="H1132" s="26" t="n">
        <v>44845</v>
      </c>
      <c r="I1132" s="26" t="n">
        <v>44846</v>
      </c>
      <c r="J1132" s="12" t="n">
        <v>28.26</v>
      </c>
      <c r="K1132" s="17" t="n">
        <v>2209294.45</v>
      </c>
      <c r="L1132" s="12" t="n">
        <v>0</v>
      </c>
      <c r="M1132" s="12" t="n">
        <v>0</v>
      </c>
      <c r="N1132" s="27">
        <f>F1132-J1132</f>
        <v/>
      </c>
      <c r="O1132" s="16">
        <f>I1132-H1132</f>
        <v/>
      </c>
      <c r="P1132" s="14">
        <f>F1132*G1132</f>
        <v/>
      </c>
      <c r="Q1132" s="14">
        <f>J1132*G1132</f>
        <v/>
      </c>
      <c r="R1132" s="14">
        <f>K1132-Q1132</f>
        <v/>
      </c>
      <c r="S1132" s="3">
        <f>P1132*Assumptions!$B$3/100</f>
        <v/>
      </c>
      <c r="T1132" s="14">
        <f>R1132-S1132</f>
        <v/>
      </c>
      <c r="U1132" s="14">
        <f>L1132*G1132</f>
        <v/>
      </c>
    </row>
    <row r="1133">
      <c r="A1133" s="12" t="inlineStr">
        <is>
          <t>PO-2021-1131</t>
        </is>
      </c>
      <c r="B1133" s="26" t="n">
        <v>44272</v>
      </c>
      <c r="C1133" s="12" t="inlineStr">
        <is>
          <t>VS13</t>
        </is>
      </c>
      <c r="D1133" s="12" t="inlineStr">
        <is>
          <t>MS Sheets</t>
        </is>
      </c>
      <c r="E1133" s="12" t="inlineStr">
        <is>
          <t>N</t>
        </is>
      </c>
      <c r="F1133" s="12" t="n">
        <v>14.36</v>
      </c>
      <c r="G1133" s="17" t="n">
        <v>47185.64</v>
      </c>
      <c r="H1133" s="26" t="n">
        <v>44287</v>
      </c>
      <c r="I1133" s="26" t="n">
        <v>44290</v>
      </c>
      <c r="J1133" s="12" t="n">
        <v>14.26</v>
      </c>
      <c r="K1133" s="17" t="n">
        <v>677585.79</v>
      </c>
      <c r="L1133" s="12" t="n">
        <v>0</v>
      </c>
      <c r="M1133" s="12" t="n">
        <v>19</v>
      </c>
      <c r="N1133" s="27">
        <f>F1133-J1133</f>
        <v/>
      </c>
      <c r="O1133" s="16">
        <f>I1133-H1133</f>
        <v/>
      </c>
      <c r="P1133" s="14">
        <f>F1133*G1133</f>
        <v/>
      </c>
      <c r="Q1133" s="14">
        <f>J1133*G1133</f>
        <v/>
      </c>
      <c r="R1133" s="14">
        <f>K1133-Q1133</f>
        <v/>
      </c>
      <c r="S1133" s="3">
        <f>P1133*Assumptions!$B$3/100</f>
        <v/>
      </c>
      <c r="T1133" s="14">
        <f>R1133-S1133</f>
        <v/>
      </c>
      <c r="U1133" s="14">
        <f>L1133*G1133</f>
        <v/>
      </c>
    </row>
    <row r="1134">
      <c r="A1134" s="12" t="inlineStr">
        <is>
          <t>PO-2021-1132</t>
        </is>
      </c>
      <c r="B1134" s="26" t="n">
        <v>44765</v>
      </c>
      <c r="C1134" s="12" t="inlineStr">
        <is>
          <t>VS12</t>
        </is>
      </c>
      <c r="D1134" s="12" t="inlineStr">
        <is>
          <t>GI Pipes</t>
        </is>
      </c>
      <c r="E1134" s="12" t="inlineStr">
        <is>
          <t>N</t>
        </is>
      </c>
      <c r="F1134" s="12" t="n">
        <v>48.23</v>
      </c>
      <c r="G1134" s="17" t="n">
        <v>84695.67</v>
      </c>
      <c r="H1134" s="26" t="n">
        <v>44768</v>
      </c>
      <c r="I1134" s="26" t="n">
        <v>44770</v>
      </c>
      <c r="J1134" s="12" t="n">
        <v>47.02</v>
      </c>
      <c r="K1134" s="17" t="n">
        <v>4084872.16</v>
      </c>
      <c r="L1134" s="12" t="n">
        <v>0.8</v>
      </c>
      <c r="M1134" s="12" t="n">
        <v>2</v>
      </c>
      <c r="N1134" s="27">
        <f>F1134-J1134</f>
        <v/>
      </c>
      <c r="O1134" s="16">
        <f>I1134-H1134</f>
        <v/>
      </c>
      <c r="P1134" s="14">
        <f>F1134*G1134</f>
        <v/>
      </c>
      <c r="Q1134" s="14">
        <f>J1134*G1134</f>
        <v/>
      </c>
      <c r="R1134" s="14">
        <f>K1134-Q1134</f>
        <v/>
      </c>
      <c r="S1134" s="3">
        <f>P1134*Assumptions!$B$3/100</f>
        <v/>
      </c>
      <c r="T1134" s="14">
        <f>R1134-S1134</f>
        <v/>
      </c>
      <c r="U1134" s="14">
        <f>L1134*G1134</f>
        <v/>
      </c>
    </row>
    <row r="1135">
      <c r="A1135" s="12" t="inlineStr">
        <is>
          <t>PO-2021-1133</t>
        </is>
      </c>
      <c r="B1135" s="26" t="n">
        <v>44310</v>
      </c>
      <c r="C1135" s="12" t="inlineStr">
        <is>
          <t>VS06</t>
        </is>
      </c>
      <c r="D1135" s="12" t="inlineStr">
        <is>
          <t>MS Flats</t>
        </is>
      </c>
      <c r="E1135" s="12" t="inlineStr">
        <is>
          <t>N</t>
        </is>
      </c>
      <c r="F1135" s="12" t="n">
        <v>30.48</v>
      </c>
      <c r="G1135" s="17" t="n">
        <v>110037.88</v>
      </c>
      <c r="H1135" s="26" t="n">
        <v>44319</v>
      </c>
      <c r="I1135" s="26" t="n">
        <v>44320</v>
      </c>
      <c r="J1135" s="12" t="n">
        <v>30.44</v>
      </c>
      <c r="K1135" s="17" t="n">
        <v>3353954.58</v>
      </c>
      <c r="L1135" s="12" t="n">
        <v>0</v>
      </c>
      <c r="M1135" s="12" t="n">
        <v>0</v>
      </c>
      <c r="N1135" s="27">
        <f>F1135-J1135</f>
        <v/>
      </c>
      <c r="O1135" s="16">
        <f>I1135-H1135</f>
        <v/>
      </c>
      <c r="P1135" s="14">
        <f>F1135*G1135</f>
        <v/>
      </c>
      <c r="Q1135" s="14">
        <f>J1135*G1135</f>
        <v/>
      </c>
      <c r="R1135" s="14">
        <f>K1135-Q1135</f>
        <v/>
      </c>
      <c r="S1135" s="3">
        <f>P1135*Assumptions!$B$3/100</f>
        <v/>
      </c>
      <c r="T1135" s="14">
        <f>R1135-S1135</f>
        <v/>
      </c>
      <c r="U1135" s="14">
        <f>L1135*G1135</f>
        <v/>
      </c>
    </row>
    <row r="1136">
      <c r="A1136" s="12" t="inlineStr">
        <is>
          <t>PO-2021-1134</t>
        </is>
      </c>
      <c r="B1136" s="26" t="n">
        <v>44941</v>
      </c>
      <c r="C1136" s="12" t="inlineStr">
        <is>
          <t>VS06</t>
        </is>
      </c>
      <c r="D1136" s="12" t="inlineStr">
        <is>
          <t>MS Rods</t>
        </is>
      </c>
      <c r="E1136" s="12" t="inlineStr">
        <is>
          <t>Y</t>
        </is>
      </c>
      <c r="F1136" s="12" t="n">
        <v>47.21</v>
      </c>
      <c r="G1136" s="17" t="n">
        <v>99317.58</v>
      </c>
      <c r="H1136" s="26" t="n">
        <v>44946</v>
      </c>
      <c r="I1136" s="26" t="n">
        <v>44946</v>
      </c>
      <c r="J1136" s="12" t="n">
        <v>47.13</v>
      </c>
      <c r="K1136" s="17" t="n">
        <v>4688782.95</v>
      </c>
      <c r="L1136" s="12" t="n">
        <v>0</v>
      </c>
      <c r="M1136" s="12" t="n">
        <v>19</v>
      </c>
      <c r="N1136" s="27">
        <f>F1136-J1136</f>
        <v/>
      </c>
      <c r="O1136" s="16">
        <f>I1136-H1136</f>
        <v/>
      </c>
      <c r="P1136" s="14">
        <f>F1136*G1136</f>
        <v/>
      </c>
      <c r="Q1136" s="14">
        <f>J1136*G1136</f>
        <v/>
      </c>
      <c r="R1136" s="14">
        <f>K1136-Q1136</f>
        <v/>
      </c>
      <c r="S1136" s="3">
        <f>P1136*Assumptions!$B$3/100</f>
        <v/>
      </c>
      <c r="T1136" s="14">
        <f>R1136-S1136</f>
        <v/>
      </c>
      <c r="U1136" s="14">
        <f>L1136*G1136</f>
        <v/>
      </c>
    </row>
    <row r="1137">
      <c r="A1137" s="12" t="inlineStr">
        <is>
          <t>PO-2021-1135</t>
        </is>
      </c>
      <c r="B1137" s="26" t="n">
        <v>44680</v>
      </c>
      <c r="C1137" s="12" t="inlineStr">
        <is>
          <t>VS08</t>
        </is>
      </c>
      <c r="D1137" s="12" t="inlineStr">
        <is>
          <t>Hex Bars</t>
        </is>
      </c>
      <c r="E1137" s="12" t="inlineStr">
        <is>
          <t>N</t>
        </is>
      </c>
      <c r="F1137" s="12" t="n">
        <v>46.71</v>
      </c>
      <c r="G1137" s="17" t="n">
        <v>84146.82000000001</v>
      </c>
      <c r="H1137" s="26" t="n">
        <v>44692</v>
      </c>
      <c r="I1137" s="26" t="n">
        <v>44692</v>
      </c>
      <c r="J1137" s="12" t="n">
        <v>46.56</v>
      </c>
      <c r="K1137" s="17" t="n">
        <v>3930497.96</v>
      </c>
      <c r="L1137" s="12" t="n">
        <v>0</v>
      </c>
      <c r="M1137" s="12" t="n">
        <v>0</v>
      </c>
      <c r="N1137" s="27">
        <f>F1137-J1137</f>
        <v/>
      </c>
      <c r="O1137" s="16">
        <f>I1137-H1137</f>
        <v/>
      </c>
      <c r="P1137" s="14">
        <f>F1137*G1137</f>
        <v/>
      </c>
      <c r="Q1137" s="14">
        <f>J1137*G1137</f>
        <v/>
      </c>
      <c r="R1137" s="14">
        <f>K1137-Q1137</f>
        <v/>
      </c>
      <c r="S1137" s="3">
        <f>P1137*Assumptions!$B$3/100</f>
        <v/>
      </c>
      <c r="T1137" s="14">
        <f>R1137-S1137</f>
        <v/>
      </c>
      <c r="U1137" s="14">
        <f>L1137*G1137</f>
        <v/>
      </c>
    </row>
    <row r="1138">
      <c r="A1138" s="12" t="inlineStr">
        <is>
          <t>PO-2021-1136</t>
        </is>
      </c>
      <c r="B1138" s="26" t="n">
        <v>45272</v>
      </c>
      <c r="C1138" s="12" t="inlineStr">
        <is>
          <t>VS17</t>
        </is>
      </c>
      <c r="D1138" s="12" t="inlineStr">
        <is>
          <t>Structural Steel</t>
        </is>
      </c>
      <c r="E1138" s="12" t="inlineStr">
        <is>
          <t>N</t>
        </is>
      </c>
      <c r="F1138" s="12" t="n">
        <v>44.34</v>
      </c>
      <c r="G1138" s="17" t="n">
        <v>62855.76</v>
      </c>
      <c r="H1138" s="26" t="n">
        <v>45276</v>
      </c>
      <c r="I1138" s="26" t="n">
        <v>45278</v>
      </c>
      <c r="J1138" s="12" t="n">
        <v>43.93</v>
      </c>
      <c r="K1138" s="17" t="n">
        <v>2787024.4</v>
      </c>
      <c r="L1138" s="12" t="n">
        <v>0</v>
      </c>
      <c r="M1138" s="12" t="n">
        <v>0</v>
      </c>
      <c r="N1138" s="27">
        <f>F1138-J1138</f>
        <v/>
      </c>
      <c r="O1138" s="16">
        <f>I1138-H1138</f>
        <v/>
      </c>
      <c r="P1138" s="14">
        <f>F1138*G1138</f>
        <v/>
      </c>
      <c r="Q1138" s="14">
        <f>J1138*G1138</f>
        <v/>
      </c>
      <c r="R1138" s="14">
        <f>K1138-Q1138</f>
        <v/>
      </c>
      <c r="S1138" s="3">
        <f>P1138*Assumptions!$B$3/100</f>
        <v/>
      </c>
      <c r="T1138" s="14">
        <f>R1138-S1138</f>
        <v/>
      </c>
      <c r="U1138" s="14">
        <f>L1138*G1138</f>
        <v/>
      </c>
    </row>
    <row r="1139">
      <c r="A1139" s="12" t="inlineStr">
        <is>
          <t>PO-2021-1137</t>
        </is>
      </c>
      <c r="B1139" s="26" t="n">
        <v>44838</v>
      </c>
      <c r="C1139" s="12" t="inlineStr">
        <is>
          <t>VS22</t>
        </is>
      </c>
      <c r="D1139" s="12" t="inlineStr">
        <is>
          <t>MS Rods</t>
        </is>
      </c>
      <c r="E1139" s="12" t="inlineStr">
        <is>
          <t>N</t>
        </is>
      </c>
      <c r="F1139" s="12" t="n">
        <v>40.49</v>
      </c>
      <c r="G1139" s="17" t="n">
        <v>100796.92</v>
      </c>
      <c r="H1139" s="26" t="n">
        <v>44847</v>
      </c>
      <c r="I1139" s="26" t="n">
        <v>44847</v>
      </c>
      <c r="J1139" s="12" t="n">
        <v>40.28</v>
      </c>
      <c r="K1139" s="17" t="n">
        <v>4081267.29</v>
      </c>
      <c r="L1139" s="12" t="n">
        <v>0</v>
      </c>
      <c r="M1139" s="12" t="n">
        <v>14</v>
      </c>
      <c r="N1139" s="27">
        <f>F1139-J1139</f>
        <v/>
      </c>
      <c r="O1139" s="16">
        <f>I1139-H1139</f>
        <v/>
      </c>
      <c r="P1139" s="14">
        <f>F1139*G1139</f>
        <v/>
      </c>
      <c r="Q1139" s="14">
        <f>J1139*G1139</f>
        <v/>
      </c>
      <c r="R1139" s="14">
        <f>K1139-Q1139</f>
        <v/>
      </c>
      <c r="S1139" s="3">
        <f>P1139*Assumptions!$B$3/100</f>
        <v/>
      </c>
      <c r="T1139" s="14">
        <f>R1139-S1139</f>
        <v/>
      </c>
      <c r="U1139" s="14">
        <f>L1139*G1139</f>
        <v/>
      </c>
    </row>
    <row r="1140">
      <c r="A1140" s="12" t="inlineStr">
        <is>
          <t>PO-2021-1138</t>
        </is>
      </c>
      <c r="B1140" s="26" t="n">
        <v>44643</v>
      </c>
      <c r="C1140" s="12" t="inlineStr">
        <is>
          <t>VS10</t>
        </is>
      </c>
      <c r="D1140" s="12" t="inlineStr">
        <is>
          <t>ERW Pipes</t>
        </is>
      </c>
      <c r="E1140" s="12" t="inlineStr">
        <is>
          <t>N</t>
        </is>
      </c>
      <c r="F1140" s="12" t="n">
        <v>9.58</v>
      </c>
      <c r="G1140" s="17" t="n">
        <v>117744.26</v>
      </c>
      <c r="H1140" s="26" t="n">
        <v>44653</v>
      </c>
      <c r="I1140" s="26" t="n">
        <v>44653</v>
      </c>
      <c r="J1140" s="12" t="n">
        <v>9.5</v>
      </c>
      <c r="K1140" s="17" t="n">
        <v>1127990.01</v>
      </c>
      <c r="L1140" s="12" t="n">
        <v>0</v>
      </c>
      <c r="M1140" s="12" t="n">
        <v>9</v>
      </c>
      <c r="N1140" s="27">
        <f>F1140-J1140</f>
        <v/>
      </c>
      <c r="O1140" s="16">
        <f>I1140-H1140</f>
        <v/>
      </c>
      <c r="P1140" s="14">
        <f>F1140*G1140</f>
        <v/>
      </c>
      <c r="Q1140" s="14">
        <f>J1140*G1140</f>
        <v/>
      </c>
      <c r="R1140" s="14">
        <f>K1140-Q1140</f>
        <v/>
      </c>
      <c r="S1140" s="3">
        <f>P1140*Assumptions!$B$3/100</f>
        <v/>
      </c>
      <c r="T1140" s="14">
        <f>R1140-S1140</f>
        <v/>
      </c>
      <c r="U1140" s="14">
        <f>L1140*G1140</f>
        <v/>
      </c>
    </row>
    <row r="1141">
      <c r="A1141" s="12" t="inlineStr">
        <is>
          <t>PO-2021-1139</t>
        </is>
      </c>
      <c r="B1141" s="26" t="n">
        <v>45033</v>
      </c>
      <c r="C1141" s="12" t="inlineStr">
        <is>
          <t>VS17</t>
        </is>
      </c>
      <c r="D1141" s="12" t="inlineStr">
        <is>
          <t>GI Pipes</t>
        </is>
      </c>
      <c r="E1141" s="12" t="inlineStr">
        <is>
          <t>N</t>
        </is>
      </c>
      <c r="F1141" s="12" t="n">
        <v>25.03</v>
      </c>
      <c r="G1141" s="17" t="n">
        <v>73102.87</v>
      </c>
      <c r="H1141" s="26" t="n">
        <v>45037</v>
      </c>
      <c r="I1141" s="26" t="n">
        <v>45037</v>
      </c>
      <c r="J1141" s="12" t="n">
        <v>24.8</v>
      </c>
      <c r="K1141" s="17" t="n">
        <v>1829764.84</v>
      </c>
      <c r="L1141" s="12" t="n">
        <v>0</v>
      </c>
      <c r="M1141" s="12" t="n">
        <v>2</v>
      </c>
      <c r="N1141" s="27">
        <f>F1141-J1141</f>
        <v/>
      </c>
      <c r="O1141" s="16">
        <f>I1141-H1141</f>
        <v/>
      </c>
      <c r="P1141" s="14">
        <f>F1141*G1141</f>
        <v/>
      </c>
      <c r="Q1141" s="14">
        <f>J1141*G1141</f>
        <v/>
      </c>
      <c r="R1141" s="14">
        <f>K1141-Q1141</f>
        <v/>
      </c>
      <c r="S1141" s="3">
        <f>P1141*Assumptions!$B$3/100</f>
        <v/>
      </c>
      <c r="T1141" s="14">
        <f>R1141-S1141</f>
        <v/>
      </c>
      <c r="U1141" s="14">
        <f>L1141*G1141</f>
        <v/>
      </c>
    </row>
    <row r="1142">
      <c r="A1142" s="12" t="inlineStr">
        <is>
          <t>PO-2021-1140</t>
        </is>
      </c>
      <c r="B1142" s="26" t="n">
        <v>44845</v>
      </c>
      <c r="C1142" s="12" t="inlineStr">
        <is>
          <t>VS28</t>
        </is>
      </c>
      <c r="D1142" s="12" t="inlineStr">
        <is>
          <t>Structural Steel</t>
        </is>
      </c>
      <c r="E1142" s="12" t="inlineStr">
        <is>
          <t>N</t>
        </is>
      </c>
      <c r="F1142" s="12" t="n">
        <v>34.45</v>
      </c>
      <c r="G1142" s="17" t="n">
        <v>117248.65</v>
      </c>
      <c r="H1142" s="26" t="n">
        <v>44860</v>
      </c>
      <c r="I1142" s="26" t="n">
        <v>44862</v>
      </c>
      <c r="J1142" s="12" t="n">
        <v>34.19</v>
      </c>
      <c r="K1142" s="17" t="n">
        <v>4039215.99</v>
      </c>
      <c r="L1142" s="12" t="n">
        <v>0</v>
      </c>
      <c r="M1142" s="12" t="n">
        <v>4</v>
      </c>
      <c r="N1142" s="27">
        <f>F1142-J1142</f>
        <v/>
      </c>
      <c r="O1142" s="16">
        <f>I1142-H1142</f>
        <v/>
      </c>
      <c r="P1142" s="14">
        <f>F1142*G1142</f>
        <v/>
      </c>
      <c r="Q1142" s="14">
        <f>J1142*G1142</f>
        <v/>
      </c>
      <c r="R1142" s="14">
        <f>K1142-Q1142</f>
        <v/>
      </c>
      <c r="S1142" s="3">
        <f>P1142*Assumptions!$B$3/100</f>
        <v/>
      </c>
      <c r="T1142" s="14">
        <f>R1142-S1142</f>
        <v/>
      </c>
      <c r="U1142" s="14">
        <f>L1142*G1142</f>
        <v/>
      </c>
    </row>
    <row r="1143">
      <c r="A1143" s="12" t="inlineStr">
        <is>
          <t>PO-2021-1141</t>
        </is>
      </c>
      <c r="B1143" s="26" t="n">
        <v>44493</v>
      </c>
      <c r="C1143" s="12" t="inlineStr">
        <is>
          <t>VS24</t>
        </is>
      </c>
      <c r="D1143" s="12" t="inlineStr">
        <is>
          <t>Structural Steel</t>
        </is>
      </c>
      <c r="E1143" s="12" t="inlineStr">
        <is>
          <t>N</t>
        </is>
      </c>
      <c r="F1143" s="12" t="n">
        <v>36.07</v>
      </c>
      <c r="G1143" s="17" t="n">
        <v>106602.4</v>
      </c>
      <c r="H1143" s="26" t="n">
        <v>44496</v>
      </c>
      <c r="I1143" s="26" t="n">
        <v>44496</v>
      </c>
      <c r="J1143" s="12" t="n">
        <v>36.06</v>
      </c>
      <c r="K1143" s="17" t="n">
        <v>3845148.57</v>
      </c>
      <c r="L1143" s="12" t="n">
        <v>0</v>
      </c>
      <c r="M1143" s="12" t="n">
        <v>0</v>
      </c>
      <c r="N1143" s="27">
        <f>F1143-J1143</f>
        <v/>
      </c>
      <c r="O1143" s="16">
        <f>I1143-H1143</f>
        <v/>
      </c>
      <c r="P1143" s="14">
        <f>F1143*G1143</f>
        <v/>
      </c>
      <c r="Q1143" s="14">
        <f>J1143*G1143</f>
        <v/>
      </c>
      <c r="R1143" s="14">
        <f>K1143-Q1143</f>
        <v/>
      </c>
      <c r="S1143" s="3">
        <f>P1143*Assumptions!$B$3/100</f>
        <v/>
      </c>
      <c r="T1143" s="14">
        <f>R1143-S1143</f>
        <v/>
      </c>
      <c r="U1143" s="14">
        <f>L1143*G1143</f>
        <v/>
      </c>
    </row>
    <row r="1144">
      <c r="A1144" s="12" t="inlineStr">
        <is>
          <t>PO-2021-1142</t>
        </is>
      </c>
      <c r="B1144" s="26" t="n">
        <v>44268</v>
      </c>
      <c r="C1144" s="12" t="inlineStr">
        <is>
          <t>VS04</t>
        </is>
      </c>
      <c r="D1144" s="12" t="inlineStr">
        <is>
          <t>HR Coils</t>
        </is>
      </c>
      <c r="E1144" s="12" t="inlineStr">
        <is>
          <t>Y</t>
        </is>
      </c>
      <c r="F1144" s="12" t="n">
        <v>13.4</v>
      </c>
      <c r="G1144" s="17" t="n">
        <v>73851.77</v>
      </c>
      <c r="H1144" s="26" t="n">
        <v>44281</v>
      </c>
      <c r="I1144" s="26" t="n">
        <v>44282</v>
      </c>
      <c r="J1144" s="12" t="n">
        <v>13.27</v>
      </c>
      <c r="K1144" s="17" t="n">
        <v>989613.72</v>
      </c>
      <c r="L1144" s="12" t="n">
        <v>0</v>
      </c>
      <c r="M1144" s="12" t="n">
        <v>20</v>
      </c>
      <c r="N1144" s="27">
        <f>F1144-J1144</f>
        <v/>
      </c>
      <c r="O1144" s="16">
        <f>I1144-H1144</f>
        <v/>
      </c>
      <c r="P1144" s="14">
        <f>F1144*G1144</f>
        <v/>
      </c>
      <c r="Q1144" s="14">
        <f>J1144*G1144</f>
        <v/>
      </c>
      <c r="R1144" s="14">
        <f>K1144-Q1144</f>
        <v/>
      </c>
      <c r="S1144" s="3">
        <f>P1144*Assumptions!$B$3/100</f>
        <v/>
      </c>
      <c r="T1144" s="14">
        <f>R1144-S1144</f>
        <v/>
      </c>
      <c r="U1144" s="14">
        <f>L1144*G1144</f>
        <v/>
      </c>
    </row>
    <row r="1145">
      <c r="A1145" s="12" t="inlineStr">
        <is>
          <t>PO-2021-1143</t>
        </is>
      </c>
      <c r="B1145" s="26" t="n">
        <v>44940</v>
      </c>
      <c r="C1145" s="12" t="inlineStr">
        <is>
          <t>VS08</t>
        </is>
      </c>
      <c r="D1145" s="12" t="inlineStr">
        <is>
          <t>Spring Steel</t>
        </is>
      </c>
      <c r="E1145" s="12" t="inlineStr">
        <is>
          <t>N</t>
        </is>
      </c>
      <c r="F1145" s="12" t="n">
        <v>43.48</v>
      </c>
      <c r="G1145" s="17" t="n">
        <v>109323.54</v>
      </c>
      <c r="H1145" s="26" t="n">
        <v>44949</v>
      </c>
      <c r="I1145" s="26" t="n">
        <v>44952</v>
      </c>
      <c r="J1145" s="12" t="n">
        <v>43.2</v>
      </c>
      <c r="K1145" s="17" t="n">
        <v>4753387.52</v>
      </c>
      <c r="L1145" s="12" t="n">
        <v>0</v>
      </c>
      <c r="M1145" s="12" t="n">
        <v>0</v>
      </c>
      <c r="N1145" s="27">
        <f>F1145-J1145</f>
        <v/>
      </c>
      <c r="O1145" s="16">
        <f>I1145-H1145</f>
        <v/>
      </c>
      <c r="P1145" s="14">
        <f>F1145*G1145</f>
        <v/>
      </c>
      <c r="Q1145" s="14">
        <f>J1145*G1145</f>
        <v/>
      </c>
      <c r="R1145" s="14">
        <f>K1145-Q1145</f>
        <v/>
      </c>
      <c r="S1145" s="3">
        <f>P1145*Assumptions!$B$3/100</f>
        <v/>
      </c>
      <c r="T1145" s="14">
        <f>R1145-S1145</f>
        <v/>
      </c>
      <c r="U1145" s="14">
        <f>L1145*G1145</f>
        <v/>
      </c>
    </row>
    <row r="1146">
      <c r="A1146" s="12" t="inlineStr">
        <is>
          <t>PO-2021-1144</t>
        </is>
      </c>
      <c r="B1146" s="26" t="n">
        <v>44213</v>
      </c>
      <c r="C1146" s="12" t="inlineStr">
        <is>
          <t>VS26</t>
        </is>
      </c>
      <c r="D1146" s="12" t="inlineStr">
        <is>
          <t>CR Sheets</t>
        </is>
      </c>
      <c r="E1146" s="12" t="inlineStr">
        <is>
          <t>N</t>
        </is>
      </c>
      <c r="F1146" s="12" t="n">
        <v>15.74</v>
      </c>
      <c r="G1146" s="17" t="n">
        <v>115224.18</v>
      </c>
      <c r="H1146" s="26" t="n">
        <v>44228</v>
      </c>
      <c r="I1146" s="26" t="n">
        <v>44229</v>
      </c>
      <c r="J1146" s="12" t="n">
        <v>15.7</v>
      </c>
      <c r="K1146" s="17" t="n">
        <v>1813628.59</v>
      </c>
      <c r="L1146" s="12" t="n">
        <v>0</v>
      </c>
      <c r="M1146" s="12" t="n">
        <v>0</v>
      </c>
      <c r="N1146" s="27">
        <f>F1146-J1146</f>
        <v/>
      </c>
      <c r="O1146" s="16">
        <f>I1146-H1146</f>
        <v/>
      </c>
      <c r="P1146" s="14">
        <f>F1146*G1146</f>
        <v/>
      </c>
      <c r="Q1146" s="14">
        <f>J1146*G1146</f>
        <v/>
      </c>
      <c r="R1146" s="14">
        <f>K1146-Q1146</f>
        <v/>
      </c>
      <c r="S1146" s="3">
        <f>P1146*Assumptions!$B$3/100</f>
        <v/>
      </c>
      <c r="T1146" s="14">
        <f>R1146-S1146</f>
        <v/>
      </c>
      <c r="U1146" s="14">
        <f>L1146*G1146</f>
        <v/>
      </c>
    </row>
    <row r="1147">
      <c r="A1147" s="12" t="inlineStr">
        <is>
          <t>PO-2021-1145</t>
        </is>
      </c>
      <c r="B1147" s="26" t="n">
        <v>44679</v>
      </c>
      <c r="C1147" s="12" t="inlineStr">
        <is>
          <t>VS20</t>
        </is>
      </c>
      <c r="D1147" s="12" t="inlineStr">
        <is>
          <t>GI Sheets</t>
        </is>
      </c>
      <c r="E1147" s="12" t="inlineStr">
        <is>
          <t>N</t>
        </is>
      </c>
      <c r="F1147" s="12" t="n">
        <v>43.11</v>
      </c>
      <c r="G1147" s="17" t="n">
        <v>57017.04</v>
      </c>
      <c r="H1147" s="26" t="n">
        <v>44689</v>
      </c>
      <c r="I1147" s="26" t="n">
        <v>44692</v>
      </c>
      <c r="J1147" s="12" t="n">
        <v>42.77</v>
      </c>
      <c r="K1147" s="17" t="n">
        <v>2458004.59</v>
      </c>
      <c r="L1147" s="12" t="n">
        <v>0</v>
      </c>
      <c r="M1147" s="12" t="n">
        <v>19</v>
      </c>
      <c r="N1147" s="27">
        <f>F1147-J1147</f>
        <v/>
      </c>
      <c r="O1147" s="16">
        <f>I1147-H1147</f>
        <v/>
      </c>
      <c r="P1147" s="14">
        <f>F1147*G1147</f>
        <v/>
      </c>
      <c r="Q1147" s="14">
        <f>J1147*G1147</f>
        <v/>
      </c>
      <c r="R1147" s="14">
        <f>K1147-Q1147</f>
        <v/>
      </c>
      <c r="S1147" s="3">
        <f>P1147*Assumptions!$B$3/100</f>
        <v/>
      </c>
      <c r="T1147" s="14">
        <f>R1147-S1147</f>
        <v/>
      </c>
      <c r="U1147" s="14">
        <f>L1147*G1147</f>
        <v/>
      </c>
    </row>
    <row r="1148">
      <c r="A1148" s="12" t="inlineStr">
        <is>
          <t>PO-2021-1146</t>
        </is>
      </c>
      <c r="B1148" s="26" t="n">
        <v>44846</v>
      </c>
      <c r="C1148" s="12" t="inlineStr">
        <is>
          <t>VS27</t>
        </is>
      </c>
      <c r="D1148" s="12" t="inlineStr">
        <is>
          <t>GI Pipes</t>
        </is>
      </c>
      <c r="E1148" s="12" t="inlineStr">
        <is>
          <t>N</t>
        </is>
      </c>
      <c r="F1148" s="12" t="n">
        <v>14.43</v>
      </c>
      <c r="G1148" s="17" t="n">
        <v>51007.09</v>
      </c>
      <c r="H1148" s="26" t="n">
        <v>44861</v>
      </c>
      <c r="I1148" s="26" t="n">
        <v>44863</v>
      </c>
      <c r="J1148" s="12" t="n">
        <v>14.43</v>
      </c>
      <c r="K1148" s="17" t="n">
        <v>736032.3100000001</v>
      </c>
      <c r="L1148" s="12" t="n">
        <v>0</v>
      </c>
      <c r="M1148" s="12" t="n">
        <v>0</v>
      </c>
      <c r="N1148" s="27">
        <f>F1148-J1148</f>
        <v/>
      </c>
      <c r="O1148" s="16">
        <f>I1148-H1148</f>
        <v/>
      </c>
      <c r="P1148" s="14">
        <f>F1148*G1148</f>
        <v/>
      </c>
      <c r="Q1148" s="14">
        <f>J1148*G1148</f>
        <v/>
      </c>
      <c r="R1148" s="14">
        <f>K1148-Q1148</f>
        <v/>
      </c>
      <c r="S1148" s="3">
        <f>P1148*Assumptions!$B$3/100</f>
        <v/>
      </c>
      <c r="T1148" s="14">
        <f>R1148-S1148</f>
        <v/>
      </c>
      <c r="U1148" s="14">
        <f>L1148*G1148</f>
        <v/>
      </c>
    </row>
    <row r="1149">
      <c r="A1149" s="12" t="inlineStr">
        <is>
          <t>PO-2021-1147</t>
        </is>
      </c>
      <c r="B1149" s="26" t="n">
        <v>45203</v>
      </c>
      <c r="C1149" s="12" t="inlineStr">
        <is>
          <t>VS31</t>
        </is>
      </c>
      <c r="D1149" s="12" t="inlineStr">
        <is>
          <t>GI Wire</t>
        </is>
      </c>
      <c r="E1149" s="12" t="inlineStr">
        <is>
          <t>N</t>
        </is>
      </c>
      <c r="F1149" s="12" t="n">
        <v>46.4</v>
      </c>
      <c r="G1149" s="17" t="n">
        <v>69954.17</v>
      </c>
      <c r="H1149" s="26" t="n">
        <v>45212</v>
      </c>
      <c r="I1149" s="26" t="n">
        <v>45213</v>
      </c>
      <c r="J1149" s="12" t="n">
        <v>46.17</v>
      </c>
      <c r="K1149" s="17" t="n">
        <v>3245873.49</v>
      </c>
      <c r="L1149" s="12" t="n">
        <v>0</v>
      </c>
      <c r="M1149" s="12" t="n">
        <v>19</v>
      </c>
      <c r="N1149" s="27">
        <f>F1149-J1149</f>
        <v/>
      </c>
      <c r="O1149" s="16">
        <f>I1149-H1149</f>
        <v/>
      </c>
      <c r="P1149" s="14">
        <f>F1149*G1149</f>
        <v/>
      </c>
      <c r="Q1149" s="14">
        <f>J1149*G1149</f>
        <v/>
      </c>
      <c r="R1149" s="14">
        <f>K1149-Q1149</f>
        <v/>
      </c>
      <c r="S1149" s="3">
        <f>P1149*Assumptions!$B$3/100</f>
        <v/>
      </c>
      <c r="T1149" s="14">
        <f>R1149-S1149</f>
        <v/>
      </c>
      <c r="U1149" s="14">
        <f>L1149*G1149</f>
        <v/>
      </c>
    </row>
    <row r="1150">
      <c r="A1150" s="12" t="inlineStr">
        <is>
          <t>PO-2021-1148</t>
        </is>
      </c>
      <c r="B1150" s="26" t="n">
        <v>44402</v>
      </c>
      <c r="C1150" s="12" t="inlineStr">
        <is>
          <t>VS11</t>
        </is>
      </c>
      <c r="D1150" s="12" t="inlineStr">
        <is>
          <t>CR Sheets</t>
        </is>
      </c>
      <c r="E1150" s="12" t="inlineStr">
        <is>
          <t>N</t>
        </is>
      </c>
      <c r="F1150" s="12" t="n">
        <v>25.81</v>
      </c>
      <c r="G1150" s="17" t="n">
        <v>71389.23</v>
      </c>
      <c r="H1150" s="26" t="n">
        <v>44414</v>
      </c>
      <c r="I1150" s="26" t="n">
        <v>44417</v>
      </c>
      <c r="J1150" s="12" t="n">
        <v>25.8</v>
      </c>
      <c r="K1150" s="17" t="n">
        <v>1842556.03</v>
      </c>
      <c r="L1150" s="12" t="n">
        <v>0</v>
      </c>
      <c r="M1150" s="12" t="n">
        <v>0</v>
      </c>
      <c r="N1150" s="27">
        <f>F1150-J1150</f>
        <v/>
      </c>
      <c r="O1150" s="16">
        <f>I1150-H1150</f>
        <v/>
      </c>
      <c r="P1150" s="14">
        <f>F1150*G1150</f>
        <v/>
      </c>
      <c r="Q1150" s="14">
        <f>J1150*G1150</f>
        <v/>
      </c>
      <c r="R1150" s="14">
        <f>K1150-Q1150</f>
        <v/>
      </c>
      <c r="S1150" s="3">
        <f>P1150*Assumptions!$B$3/100</f>
        <v/>
      </c>
      <c r="T1150" s="14">
        <f>R1150-S1150</f>
        <v/>
      </c>
      <c r="U1150" s="14">
        <f>L1150*G1150</f>
        <v/>
      </c>
    </row>
    <row r="1151">
      <c r="A1151" s="12" t="inlineStr">
        <is>
          <t>PO-2021-1149</t>
        </is>
      </c>
      <c r="B1151" s="26" t="n">
        <v>44866</v>
      </c>
      <c r="C1151" s="12" t="inlineStr">
        <is>
          <t>VS30</t>
        </is>
      </c>
      <c r="D1151" s="12" t="inlineStr">
        <is>
          <t>MS Pipes</t>
        </is>
      </c>
      <c r="E1151" s="12" t="inlineStr">
        <is>
          <t>N</t>
        </is>
      </c>
      <c r="F1151" s="12" t="n">
        <v>38.34</v>
      </c>
      <c r="G1151" s="17" t="n">
        <v>93102.96000000001</v>
      </c>
      <c r="H1151" s="26" t="n">
        <v>44871</v>
      </c>
      <c r="I1151" s="26" t="n">
        <v>44874</v>
      </c>
      <c r="J1151" s="12" t="n">
        <v>38.13</v>
      </c>
      <c r="K1151" s="17" t="n">
        <v>3569567.49</v>
      </c>
      <c r="L1151" s="12" t="n">
        <v>0</v>
      </c>
      <c r="M1151" s="12" t="n">
        <v>11</v>
      </c>
      <c r="N1151" s="27">
        <f>F1151-J1151</f>
        <v/>
      </c>
      <c r="O1151" s="16">
        <f>I1151-H1151</f>
        <v/>
      </c>
      <c r="P1151" s="14">
        <f>F1151*G1151</f>
        <v/>
      </c>
      <c r="Q1151" s="14">
        <f>J1151*G1151</f>
        <v/>
      </c>
      <c r="R1151" s="14">
        <f>K1151-Q1151</f>
        <v/>
      </c>
      <c r="S1151" s="3">
        <f>P1151*Assumptions!$B$3/100</f>
        <v/>
      </c>
      <c r="T1151" s="14">
        <f>R1151-S1151</f>
        <v/>
      </c>
      <c r="U1151" s="14">
        <f>L1151*G1151</f>
        <v/>
      </c>
    </row>
    <row r="1152">
      <c r="A1152" s="12" t="inlineStr">
        <is>
          <t>PO-2021-1150</t>
        </is>
      </c>
      <c r="B1152" s="26" t="n">
        <v>45105</v>
      </c>
      <c r="C1152" s="12" t="inlineStr">
        <is>
          <t>VS09</t>
        </is>
      </c>
      <c r="D1152" s="12" t="inlineStr">
        <is>
          <t>MS Pipes</t>
        </is>
      </c>
      <c r="E1152" s="12" t="inlineStr">
        <is>
          <t>N</t>
        </is>
      </c>
      <c r="F1152" s="12" t="n">
        <v>20.63</v>
      </c>
      <c r="G1152" s="17" t="n">
        <v>92122.22</v>
      </c>
      <c r="H1152" s="26" t="n">
        <v>45113</v>
      </c>
      <c r="I1152" s="26" t="n">
        <v>45116</v>
      </c>
      <c r="J1152" s="12" t="n">
        <v>20.54</v>
      </c>
      <c r="K1152" s="17" t="n">
        <v>1900481.4</v>
      </c>
      <c r="L1152" s="12" t="n">
        <v>0</v>
      </c>
      <c r="M1152" s="12" t="n">
        <v>17</v>
      </c>
      <c r="N1152" s="27">
        <f>F1152-J1152</f>
        <v/>
      </c>
      <c r="O1152" s="16">
        <f>I1152-H1152</f>
        <v/>
      </c>
      <c r="P1152" s="14">
        <f>F1152*G1152</f>
        <v/>
      </c>
      <c r="Q1152" s="14">
        <f>J1152*G1152</f>
        <v/>
      </c>
      <c r="R1152" s="14">
        <f>K1152-Q1152</f>
        <v/>
      </c>
      <c r="S1152" s="3">
        <f>P1152*Assumptions!$B$3/100</f>
        <v/>
      </c>
      <c r="T1152" s="14">
        <f>R1152-S1152</f>
        <v/>
      </c>
      <c r="U1152" s="14">
        <f>L1152*G1152</f>
        <v/>
      </c>
    </row>
    <row r="1153">
      <c r="A1153" s="12" t="inlineStr">
        <is>
          <t>PO-2021-1151</t>
        </is>
      </c>
      <c r="B1153" s="26" t="n">
        <v>44365</v>
      </c>
      <c r="C1153" s="12" t="inlineStr">
        <is>
          <t>VS08</t>
        </is>
      </c>
      <c r="D1153" s="12" t="inlineStr">
        <is>
          <t>MS Sheets</t>
        </is>
      </c>
      <c r="E1153" s="12" t="inlineStr">
        <is>
          <t>N</t>
        </is>
      </c>
      <c r="F1153" s="12" t="n">
        <v>13.23</v>
      </c>
      <c r="G1153" s="17" t="n">
        <v>98517.3</v>
      </c>
      <c r="H1153" s="26" t="n">
        <v>44380</v>
      </c>
      <c r="I1153" s="26" t="n">
        <v>44381</v>
      </c>
      <c r="J1153" s="12" t="n">
        <v>13.14</v>
      </c>
      <c r="K1153" s="17" t="n">
        <v>1303383.88</v>
      </c>
      <c r="L1153" s="12" t="n">
        <v>0</v>
      </c>
      <c r="M1153" s="12" t="n">
        <v>15</v>
      </c>
      <c r="N1153" s="27">
        <f>F1153-J1153</f>
        <v/>
      </c>
      <c r="O1153" s="16">
        <f>I1153-H1153</f>
        <v/>
      </c>
      <c r="P1153" s="14">
        <f>F1153*G1153</f>
        <v/>
      </c>
      <c r="Q1153" s="14">
        <f>J1153*G1153</f>
        <v/>
      </c>
      <c r="R1153" s="14">
        <f>K1153-Q1153</f>
        <v/>
      </c>
      <c r="S1153" s="3">
        <f>P1153*Assumptions!$B$3/100</f>
        <v/>
      </c>
      <c r="T1153" s="14">
        <f>R1153-S1153</f>
        <v/>
      </c>
      <c r="U1153" s="14">
        <f>L1153*G1153</f>
        <v/>
      </c>
    </row>
    <row r="1154">
      <c r="A1154" s="12" t="inlineStr">
        <is>
          <t>PO-2021-1152</t>
        </is>
      </c>
      <c r="B1154" s="26" t="n">
        <v>44463</v>
      </c>
      <c r="C1154" s="12" t="inlineStr">
        <is>
          <t>VS27</t>
        </is>
      </c>
      <c r="D1154" s="12" t="inlineStr">
        <is>
          <t>MS Flats</t>
        </is>
      </c>
      <c r="E1154" s="12" t="inlineStr">
        <is>
          <t>N</t>
        </is>
      </c>
      <c r="F1154" s="12" t="n">
        <v>23.12</v>
      </c>
      <c r="G1154" s="17" t="n">
        <v>110512.94</v>
      </c>
      <c r="H1154" s="26" t="n">
        <v>44468</v>
      </c>
      <c r="I1154" s="26" t="n">
        <v>44470</v>
      </c>
      <c r="J1154" s="12" t="n">
        <v>23.1</v>
      </c>
      <c r="K1154" s="17" t="n">
        <v>2555059.17</v>
      </c>
      <c r="L1154" s="12" t="n">
        <v>0</v>
      </c>
      <c r="M1154" s="12" t="n">
        <v>25</v>
      </c>
      <c r="N1154" s="27">
        <f>F1154-J1154</f>
        <v/>
      </c>
      <c r="O1154" s="16">
        <f>I1154-H1154</f>
        <v/>
      </c>
      <c r="P1154" s="14">
        <f>F1154*G1154</f>
        <v/>
      </c>
      <c r="Q1154" s="14">
        <f>J1154*G1154</f>
        <v/>
      </c>
      <c r="R1154" s="14">
        <f>K1154-Q1154</f>
        <v/>
      </c>
      <c r="S1154" s="3">
        <f>P1154*Assumptions!$B$3/100</f>
        <v/>
      </c>
      <c r="T1154" s="14">
        <f>R1154-S1154</f>
        <v/>
      </c>
      <c r="U1154" s="14">
        <f>L1154*G1154</f>
        <v/>
      </c>
    </row>
    <row r="1155">
      <c r="A1155" s="12" t="inlineStr">
        <is>
          <t>PO-2021-1153</t>
        </is>
      </c>
      <c r="B1155" s="26" t="n">
        <v>44730</v>
      </c>
      <c r="C1155" s="12" t="inlineStr">
        <is>
          <t>VS12</t>
        </is>
      </c>
      <c r="D1155" s="12" t="inlineStr">
        <is>
          <t>MS Flats</t>
        </is>
      </c>
      <c r="E1155" s="12" t="inlineStr">
        <is>
          <t>Y</t>
        </is>
      </c>
      <c r="F1155" s="12" t="n">
        <v>40.18</v>
      </c>
      <c r="G1155" s="17" t="n">
        <v>62295.77</v>
      </c>
      <c r="H1155" s="26" t="n">
        <v>44739</v>
      </c>
      <c r="I1155" s="26" t="n">
        <v>44747</v>
      </c>
      <c r="J1155" s="12" t="n">
        <v>38.95</v>
      </c>
      <c r="K1155" s="17" t="n">
        <v>2503044.04</v>
      </c>
      <c r="L1155" s="12" t="n">
        <v>1.5</v>
      </c>
      <c r="M1155" s="12" t="n">
        <v>14</v>
      </c>
      <c r="N1155" s="27">
        <f>F1155-J1155</f>
        <v/>
      </c>
      <c r="O1155" s="16">
        <f>I1155-H1155</f>
        <v/>
      </c>
      <c r="P1155" s="14">
        <f>F1155*G1155</f>
        <v/>
      </c>
      <c r="Q1155" s="14">
        <f>J1155*G1155</f>
        <v/>
      </c>
      <c r="R1155" s="14">
        <f>K1155-Q1155</f>
        <v/>
      </c>
      <c r="S1155" s="3">
        <f>P1155*Assumptions!$B$3/100</f>
        <v/>
      </c>
      <c r="T1155" s="14">
        <f>R1155-S1155</f>
        <v/>
      </c>
      <c r="U1155" s="14">
        <f>L1155*G1155</f>
        <v/>
      </c>
    </row>
    <row r="1156">
      <c r="A1156" s="12" t="inlineStr">
        <is>
          <t>PO-2021-1154</t>
        </is>
      </c>
      <c r="B1156" s="26" t="n">
        <v>44949</v>
      </c>
      <c r="C1156" s="12" t="inlineStr">
        <is>
          <t>VS12</t>
        </is>
      </c>
      <c r="D1156" s="12" t="inlineStr">
        <is>
          <t>MS Rods</t>
        </is>
      </c>
      <c r="E1156" s="12" t="inlineStr">
        <is>
          <t>N</t>
        </is>
      </c>
      <c r="F1156" s="12" t="n">
        <v>43.94</v>
      </c>
      <c r="G1156" s="17" t="n">
        <v>120491.06</v>
      </c>
      <c r="H1156" s="26" t="n">
        <v>44961</v>
      </c>
      <c r="I1156" s="26" t="n">
        <v>44969</v>
      </c>
      <c r="J1156" s="12" t="n">
        <v>41.96</v>
      </c>
      <c r="K1156" s="17" t="n">
        <v>5294377.18</v>
      </c>
      <c r="L1156" s="12" t="n">
        <v>1.01</v>
      </c>
      <c r="M1156" s="12" t="n">
        <v>0</v>
      </c>
      <c r="N1156" s="27">
        <f>F1156-J1156</f>
        <v/>
      </c>
      <c r="O1156" s="16">
        <f>I1156-H1156</f>
        <v/>
      </c>
      <c r="P1156" s="14">
        <f>F1156*G1156</f>
        <v/>
      </c>
      <c r="Q1156" s="14">
        <f>J1156*G1156</f>
        <v/>
      </c>
      <c r="R1156" s="14">
        <f>K1156-Q1156</f>
        <v/>
      </c>
      <c r="S1156" s="3">
        <f>P1156*Assumptions!$B$3/100</f>
        <v/>
      </c>
      <c r="T1156" s="14">
        <f>R1156-S1156</f>
        <v/>
      </c>
      <c r="U1156" s="14">
        <f>L1156*G1156</f>
        <v/>
      </c>
    </row>
    <row r="1157">
      <c r="A1157" s="12" t="inlineStr">
        <is>
          <t>PO-2021-1155</t>
        </is>
      </c>
      <c r="B1157" s="26" t="n">
        <v>44656</v>
      </c>
      <c r="C1157" s="12" t="inlineStr">
        <is>
          <t>VS02</t>
        </is>
      </c>
      <c r="D1157" s="12" t="inlineStr">
        <is>
          <t>MS Pipes</t>
        </is>
      </c>
      <c r="E1157" s="12" t="inlineStr">
        <is>
          <t>N</t>
        </is>
      </c>
      <c r="F1157" s="12" t="n">
        <v>46.23</v>
      </c>
      <c r="G1157" s="17" t="n">
        <v>93533</v>
      </c>
      <c r="H1157" s="26" t="n">
        <v>44669</v>
      </c>
      <c r="I1157" s="26" t="n">
        <v>44669</v>
      </c>
      <c r="J1157" s="12" t="n">
        <v>46.05</v>
      </c>
      <c r="K1157" s="17" t="n">
        <v>4324030.59</v>
      </c>
      <c r="L1157" s="12" t="n">
        <v>0</v>
      </c>
      <c r="M1157" s="12" t="n">
        <v>7</v>
      </c>
      <c r="N1157" s="27">
        <f>F1157-J1157</f>
        <v/>
      </c>
      <c r="O1157" s="16">
        <f>I1157-H1157</f>
        <v/>
      </c>
      <c r="P1157" s="14">
        <f>F1157*G1157</f>
        <v/>
      </c>
      <c r="Q1157" s="14">
        <f>J1157*G1157</f>
        <v/>
      </c>
      <c r="R1157" s="14">
        <f>K1157-Q1157</f>
        <v/>
      </c>
      <c r="S1157" s="3">
        <f>P1157*Assumptions!$B$3/100</f>
        <v/>
      </c>
      <c r="T1157" s="14">
        <f>R1157-S1157</f>
        <v/>
      </c>
      <c r="U1157" s="14">
        <f>L1157*G1157</f>
        <v/>
      </c>
    </row>
    <row r="1158">
      <c r="A1158" s="12" t="inlineStr">
        <is>
          <t>PO-2021-1156</t>
        </is>
      </c>
      <c r="B1158" s="26" t="n">
        <v>44665</v>
      </c>
      <c r="C1158" s="12" t="inlineStr">
        <is>
          <t>VS06</t>
        </is>
      </c>
      <c r="D1158" s="12" t="inlineStr">
        <is>
          <t>Fasteners &amp; Fittings</t>
        </is>
      </c>
      <c r="E1158" s="12" t="inlineStr">
        <is>
          <t>N</t>
        </is>
      </c>
      <c r="F1158" s="12" t="n">
        <v>10.72</v>
      </c>
      <c r="G1158" s="17" t="n">
        <v>97594.59</v>
      </c>
      <c r="H1158" s="26" t="n">
        <v>44670</v>
      </c>
      <c r="I1158" s="26" t="n">
        <v>44673</v>
      </c>
      <c r="J1158" s="12" t="n">
        <v>10.66</v>
      </c>
      <c r="K1158" s="17" t="n">
        <v>1046214</v>
      </c>
      <c r="L1158" s="12" t="n">
        <v>0</v>
      </c>
      <c r="M1158" s="12" t="n">
        <v>0</v>
      </c>
      <c r="N1158" s="27">
        <f>F1158-J1158</f>
        <v/>
      </c>
      <c r="O1158" s="16">
        <f>I1158-H1158</f>
        <v/>
      </c>
      <c r="P1158" s="14">
        <f>F1158*G1158</f>
        <v/>
      </c>
      <c r="Q1158" s="14">
        <f>J1158*G1158</f>
        <v/>
      </c>
      <c r="R1158" s="14">
        <f>K1158-Q1158</f>
        <v/>
      </c>
      <c r="S1158" s="3">
        <f>P1158*Assumptions!$B$3/100</f>
        <v/>
      </c>
      <c r="T1158" s="14">
        <f>R1158-S1158</f>
        <v/>
      </c>
      <c r="U1158" s="14">
        <f>L1158*G1158</f>
        <v/>
      </c>
    </row>
    <row r="1159">
      <c r="A1159" s="12" t="inlineStr">
        <is>
          <t>PO-2021-1157</t>
        </is>
      </c>
      <c r="B1159" s="26" t="n">
        <v>44298</v>
      </c>
      <c r="C1159" s="12" t="inlineStr">
        <is>
          <t>VS26</t>
        </is>
      </c>
      <c r="D1159" s="12" t="inlineStr">
        <is>
          <t>GI Wire</t>
        </is>
      </c>
      <c r="E1159" s="12" t="inlineStr">
        <is>
          <t>N</t>
        </is>
      </c>
      <c r="F1159" s="12" t="n">
        <v>30.42</v>
      </c>
      <c r="G1159" s="17" t="n">
        <v>56193.84</v>
      </c>
      <c r="H1159" s="26" t="n">
        <v>44306</v>
      </c>
      <c r="I1159" s="26" t="n">
        <v>44307</v>
      </c>
      <c r="J1159" s="12" t="n">
        <v>30.28</v>
      </c>
      <c r="K1159" s="17" t="n">
        <v>1709416.61</v>
      </c>
      <c r="L1159" s="12" t="n">
        <v>0</v>
      </c>
      <c r="M1159" s="12" t="n">
        <v>3</v>
      </c>
      <c r="N1159" s="27">
        <f>F1159-J1159</f>
        <v/>
      </c>
      <c r="O1159" s="16">
        <f>I1159-H1159</f>
        <v/>
      </c>
      <c r="P1159" s="14">
        <f>F1159*G1159</f>
        <v/>
      </c>
      <c r="Q1159" s="14">
        <f>J1159*G1159</f>
        <v/>
      </c>
      <c r="R1159" s="14">
        <f>K1159-Q1159</f>
        <v/>
      </c>
      <c r="S1159" s="3">
        <f>P1159*Assumptions!$B$3/100</f>
        <v/>
      </c>
      <c r="T1159" s="14">
        <f>R1159-S1159</f>
        <v/>
      </c>
      <c r="U1159" s="14">
        <f>L1159*G1159</f>
        <v/>
      </c>
    </row>
    <row r="1160">
      <c r="A1160" s="12" t="inlineStr">
        <is>
          <t>PO-2021-1158</t>
        </is>
      </c>
      <c r="B1160" s="26" t="n">
        <v>44545</v>
      </c>
      <c r="C1160" s="12" t="inlineStr">
        <is>
          <t>VS08</t>
        </is>
      </c>
      <c r="D1160" s="12" t="inlineStr">
        <is>
          <t>MS Pipes</t>
        </is>
      </c>
      <c r="E1160" s="12" t="inlineStr">
        <is>
          <t>N</t>
        </is>
      </c>
      <c r="F1160" s="12" t="n">
        <v>36.21</v>
      </c>
      <c r="G1160" s="17" t="n">
        <v>77636.91</v>
      </c>
      <c r="H1160" s="26" t="n">
        <v>44555</v>
      </c>
      <c r="I1160" s="26" t="n">
        <v>44556</v>
      </c>
      <c r="J1160" s="12" t="n">
        <v>36.05</v>
      </c>
      <c r="K1160" s="17" t="n">
        <v>2811232.51</v>
      </c>
      <c r="L1160" s="12" t="n">
        <v>0</v>
      </c>
      <c r="M1160" s="12" t="n">
        <v>0</v>
      </c>
      <c r="N1160" s="27">
        <f>F1160-J1160</f>
        <v/>
      </c>
      <c r="O1160" s="16">
        <f>I1160-H1160</f>
        <v/>
      </c>
      <c r="P1160" s="14">
        <f>F1160*G1160</f>
        <v/>
      </c>
      <c r="Q1160" s="14">
        <f>J1160*G1160</f>
        <v/>
      </c>
      <c r="R1160" s="14">
        <f>K1160-Q1160</f>
        <v/>
      </c>
      <c r="S1160" s="3">
        <f>P1160*Assumptions!$B$3/100</f>
        <v/>
      </c>
      <c r="T1160" s="14">
        <f>R1160-S1160</f>
        <v/>
      </c>
      <c r="U1160" s="14">
        <f>L1160*G1160</f>
        <v/>
      </c>
    </row>
    <row r="1161">
      <c r="A1161" s="12" t="inlineStr">
        <is>
          <t>PO-2021-1159</t>
        </is>
      </c>
      <c r="B1161" s="26" t="n">
        <v>45209</v>
      </c>
      <c r="C1161" s="12" t="inlineStr">
        <is>
          <t>VS08</t>
        </is>
      </c>
      <c r="D1161" s="12" t="inlineStr">
        <is>
          <t>HR Coils</t>
        </is>
      </c>
      <c r="E1161" s="12" t="inlineStr">
        <is>
          <t>N</t>
        </is>
      </c>
      <c r="F1161" s="12" t="n">
        <v>35.96</v>
      </c>
      <c r="G1161" s="17" t="n">
        <v>59290.81</v>
      </c>
      <c r="H1161" s="26" t="n">
        <v>45224</v>
      </c>
      <c r="I1161" s="26" t="n">
        <v>45226</v>
      </c>
      <c r="J1161" s="12" t="n">
        <v>35.77</v>
      </c>
      <c r="K1161" s="17" t="n">
        <v>2132097.53</v>
      </c>
      <c r="L1161" s="12" t="n">
        <v>0</v>
      </c>
      <c r="M1161" s="12" t="n">
        <v>4</v>
      </c>
      <c r="N1161" s="27">
        <f>F1161-J1161</f>
        <v/>
      </c>
      <c r="O1161" s="16">
        <f>I1161-H1161</f>
        <v/>
      </c>
      <c r="P1161" s="14">
        <f>F1161*G1161</f>
        <v/>
      </c>
      <c r="Q1161" s="14">
        <f>J1161*G1161</f>
        <v/>
      </c>
      <c r="R1161" s="14">
        <f>K1161-Q1161</f>
        <v/>
      </c>
      <c r="S1161" s="3">
        <f>P1161*Assumptions!$B$3/100</f>
        <v/>
      </c>
      <c r="T1161" s="14">
        <f>R1161-S1161</f>
        <v/>
      </c>
      <c r="U1161" s="14">
        <f>L1161*G1161</f>
        <v/>
      </c>
    </row>
    <row r="1162">
      <c r="A1162" s="12" t="inlineStr">
        <is>
          <t>PO-2021-1160</t>
        </is>
      </c>
      <c r="B1162" s="26" t="n">
        <v>44742</v>
      </c>
      <c r="C1162" s="12" t="inlineStr">
        <is>
          <t>VS19</t>
        </is>
      </c>
      <c r="D1162" s="12" t="inlineStr">
        <is>
          <t>Structural Steel</t>
        </is>
      </c>
      <c r="E1162" s="12" t="inlineStr">
        <is>
          <t>N</t>
        </is>
      </c>
      <c r="F1162" s="12" t="n">
        <v>19.72</v>
      </c>
      <c r="G1162" s="17" t="n">
        <v>80442.07000000001</v>
      </c>
      <c r="H1162" s="26" t="n">
        <v>44748</v>
      </c>
      <c r="I1162" s="26" t="n">
        <v>44753</v>
      </c>
      <c r="J1162" s="12" t="n">
        <v>19.18</v>
      </c>
      <c r="K1162" s="17" t="n">
        <v>1586317.62</v>
      </c>
      <c r="L1162" s="12" t="n">
        <v>0.64</v>
      </c>
      <c r="M1162" s="12" t="n">
        <v>9</v>
      </c>
      <c r="N1162" s="27">
        <f>F1162-J1162</f>
        <v/>
      </c>
      <c r="O1162" s="16">
        <f>I1162-H1162</f>
        <v/>
      </c>
      <c r="P1162" s="14">
        <f>F1162*G1162</f>
        <v/>
      </c>
      <c r="Q1162" s="14">
        <f>J1162*G1162</f>
        <v/>
      </c>
      <c r="R1162" s="14">
        <f>K1162-Q1162</f>
        <v/>
      </c>
      <c r="S1162" s="3">
        <f>P1162*Assumptions!$B$3/100</f>
        <v/>
      </c>
      <c r="T1162" s="14">
        <f>R1162-S1162</f>
        <v/>
      </c>
      <c r="U1162" s="14">
        <f>L1162*G1162</f>
        <v/>
      </c>
    </row>
    <row r="1163">
      <c r="A1163" s="12" t="inlineStr">
        <is>
          <t>PO-2021-1161</t>
        </is>
      </c>
      <c r="B1163" s="26" t="n">
        <v>44638</v>
      </c>
      <c r="C1163" s="12" t="inlineStr">
        <is>
          <t>VS19</t>
        </is>
      </c>
      <c r="D1163" s="12" t="inlineStr">
        <is>
          <t>GI Sheets</t>
        </is>
      </c>
      <c r="E1163" s="12" t="inlineStr">
        <is>
          <t>N</t>
        </is>
      </c>
      <c r="F1163" s="12" t="n">
        <v>21.5</v>
      </c>
      <c r="G1163" s="17" t="n">
        <v>78664.88</v>
      </c>
      <c r="H1163" s="26" t="n">
        <v>44643</v>
      </c>
      <c r="I1163" s="26" t="n">
        <v>44651</v>
      </c>
      <c r="J1163" s="12" t="n">
        <v>20.89</v>
      </c>
      <c r="K1163" s="17" t="n">
        <v>1691294.92</v>
      </c>
      <c r="L1163" s="12" t="n">
        <v>0.87</v>
      </c>
      <c r="M1163" s="12" t="n">
        <v>0</v>
      </c>
      <c r="N1163" s="27">
        <f>F1163-J1163</f>
        <v/>
      </c>
      <c r="O1163" s="16">
        <f>I1163-H1163</f>
        <v/>
      </c>
      <c r="P1163" s="14">
        <f>F1163*G1163</f>
        <v/>
      </c>
      <c r="Q1163" s="14">
        <f>J1163*G1163</f>
        <v/>
      </c>
      <c r="R1163" s="14">
        <f>K1163-Q1163</f>
        <v/>
      </c>
      <c r="S1163" s="3">
        <f>P1163*Assumptions!$B$3/100</f>
        <v/>
      </c>
      <c r="T1163" s="14">
        <f>R1163-S1163</f>
        <v/>
      </c>
      <c r="U1163" s="14">
        <f>L1163*G1163</f>
        <v/>
      </c>
    </row>
    <row r="1164">
      <c r="A1164" s="12" t="inlineStr">
        <is>
          <t>PO-2021-1162</t>
        </is>
      </c>
      <c r="B1164" s="26" t="n">
        <v>44255</v>
      </c>
      <c r="C1164" s="12" t="inlineStr">
        <is>
          <t>VS19</t>
        </is>
      </c>
      <c r="D1164" s="12" t="inlineStr">
        <is>
          <t>CR Sheets</t>
        </is>
      </c>
      <c r="E1164" s="12" t="inlineStr">
        <is>
          <t>Y</t>
        </is>
      </c>
      <c r="F1164" s="12" t="n">
        <v>12.54</v>
      </c>
      <c r="G1164" s="17" t="n">
        <v>81976.17999999999</v>
      </c>
      <c r="H1164" s="26" t="n">
        <v>44261</v>
      </c>
      <c r="I1164" s="26" t="n">
        <v>44263</v>
      </c>
      <c r="J1164" s="12" t="n">
        <v>12.23</v>
      </c>
      <c r="K1164" s="17" t="n">
        <v>1027981.3</v>
      </c>
      <c r="L1164" s="12" t="n">
        <v>0.46</v>
      </c>
      <c r="M1164" s="12" t="n">
        <v>12</v>
      </c>
      <c r="N1164" s="27">
        <f>F1164-J1164</f>
        <v/>
      </c>
      <c r="O1164" s="16">
        <f>I1164-H1164</f>
        <v/>
      </c>
      <c r="P1164" s="14">
        <f>F1164*G1164</f>
        <v/>
      </c>
      <c r="Q1164" s="14">
        <f>J1164*G1164</f>
        <v/>
      </c>
      <c r="R1164" s="14">
        <f>K1164-Q1164</f>
        <v/>
      </c>
      <c r="S1164" s="3">
        <f>P1164*Assumptions!$B$3/100</f>
        <v/>
      </c>
      <c r="T1164" s="14">
        <f>R1164-S1164</f>
        <v/>
      </c>
      <c r="U1164" s="14">
        <f>L1164*G1164</f>
        <v/>
      </c>
    </row>
    <row r="1165">
      <c r="A1165" s="12" t="inlineStr">
        <is>
          <t>PO-2021-1163</t>
        </is>
      </c>
      <c r="B1165" s="26" t="n">
        <v>44954</v>
      </c>
      <c r="C1165" s="12" t="inlineStr">
        <is>
          <t>VS30</t>
        </is>
      </c>
      <c r="D1165" s="12" t="inlineStr">
        <is>
          <t>SS Pipes</t>
        </is>
      </c>
      <c r="E1165" s="12" t="inlineStr">
        <is>
          <t>N</t>
        </is>
      </c>
      <c r="F1165" s="12" t="n">
        <v>1.51</v>
      </c>
      <c r="G1165" s="17" t="n">
        <v>54990.37</v>
      </c>
      <c r="H1165" s="26" t="n">
        <v>44962</v>
      </c>
      <c r="I1165" s="26" t="n">
        <v>44965</v>
      </c>
      <c r="J1165" s="12" t="n">
        <v>1.5</v>
      </c>
      <c r="K1165" s="17" t="n">
        <v>83035.46000000001</v>
      </c>
      <c r="L1165" s="12" t="n">
        <v>0</v>
      </c>
      <c r="M1165" s="12" t="n">
        <v>10</v>
      </c>
      <c r="N1165" s="27">
        <f>F1165-J1165</f>
        <v/>
      </c>
      <c r="O1165" s="16">
        <f>I1165-H1165</f>
        <v/>
      </c>
      <c r="P1165" s="14">
        <f>F1165*G1165</f>
        <v/>
      </c>
      <c r="Q1165" s="14">
        <f>J1165*G1165</f>
        <v/>
      </c>
      <c r="R1165" s="14">
        <f>K1165-Q1165</f>
        <v/>
      </c>
      <c r="S1165" s="3">
        <f>P1165*Assumptions!$B$3/100</f>
        <v/>
      </c>
      <c r="T1165" s="14">
        <f>R1165-S1165</f>
        <v/>
      </c>
      <c r="U1165" s="14">
        <f>L1165*G1165</f>
        <v/>
      </c>
    </row>
    <row r="1166">
      <c r="A1166" s="12" t="inlineStr">
        <is>
          <t>PO-2021-1164</t>
        </is>
      </c>
      <c r="B1166" s="26" t="n">
        <v>45011</v>
      </c>
      <c r="C1166" s="12" t="inlineStr">
        <is>
          <t>VS14</t>
        </is>
      </c>
      <c r="D1166" s="12" t="inlineStr">
        <is>
          <t>MS Rods</t>
        </is>
      </c>
      <c r="E1166" s="12" t="inlineStr">
        <is>
          <t>N</t>
        </is>
      </c>
      <c r="F1166" s="12" t="n">
        <v>35.71</v>
      </c>
      <c r="G1166" s="17" t="n">
        <v>100207.81</v>
      </c>
      <c r="H1166" s="26" t="n">
        <v>45018</v>
      </c>
      <c r="I1166" s="26" t="n">
        <v>45021</v>
      </c>
      <c r="J1166" s="12" t="n">
        <v>35.54</v>
      </c>
      <c r="K1166" s="17" t="n">
        <v>3578420.9</v>
      </c>
      <c r="L1166" s="12" t="n">
        <v>0</v>
      </c>
      <c r="M1166" s="12" t="n">
        <v>12</v>
      </c>
      <c r="N1166" s="27">
        <f>F1166-J1166</f>
        <v/>
      </c>
      <c r="O1166" s="16">
        <f>I1166-H1166</f>
        <v/>
      </c>
      <c r="P1166" s="14">
        <f>F1166*G1166</f>
        <v/>
      </c>
      <c r="Q1166" s="14">
        <f>J1166*G1166</f>
        <v/>
      </c>
      <c r="R1166" s="14">
        <f>K1166-Q1166</f>
        <v/>
      </c>
      <c r="S1166" s="3">
        <f>P1166*Assumptions!$B$3/100</f>
        <v/>
      </c>
      <c r="T1166" s="14">
        <f>R1166-S1166</f>
        <v/>
      </c>
      <c r="U1166" s="14">
        <f>L1166*G1166</f>
        <v/>
      </c>
    </row>
    <row r="1167">
      <c r="A1167" s="12" t="inlineStr">
        <is>
          <t>PO-2021-1165</t>
        </is>
      </c>
      <c r="B1167" s="26" t="n">
        <v>44346</v>
      </c>
      <c r="C1167" s="12" t="inlineStr">
        <is>
          <t>VS07</t>
        </is>
      </c>
      <c r="D1167" s="12" t="inlineStr">
        <is>
          <t>Spring Steel</t>
        </is>
      </c>
      <c r="E1167" s="12" t="inlineStr">
        <is>
          <t>N</t>
        </is>
      </c>
      <c r="F1167" s="12" t="n">
        <v>3.88</v>
      </c>
      <c r="G1167" s="17" t="n">
        <v>69964.69</v>
      </c>
      <c r="H1167" s="26" t="n">
        <v>44352</v>
      </c>
      <c r="I1167" s="26" t="n">
        <v>44355</v>
      </c>
      <c r="J1167" s="12" t="n">
        <v>3.88</v>
      </c>
      <c r="K1167" s="17" t="n">
        <v>271463</v>
      </c>
      <c r="L1167" s="12" t="n">
        <v>0</v>
      </c>
      <c r="M1167" s="12" t="n">
        <v>0</v>
      </c>
      <c r="N1167" s="27">
        <f>F1167-J1167</f>
        <v/>
      </c>
      <c r="O1167" s="16">
        <f>I1167-H1167</f>
        <v/>
      </c>
      <c r="P1167" s="14">
        <f>F1167*G1167</f>
        <v/>
      </c>
      <c r="Q1167" s="14">
        <f>J1167*G1167</f>
        <v/>
      </c>
      <c r="R1167" s="14">
        <f>K1167-Q1167</f>
        <v/>
      </c>
      <c r="S1167" s="3">
        <f>P1167*Assumptions!$B$3/100</f>
        <v/>
      </c>
      <c r="T1167" s="14">
        <f>R1167-S1167</f>
        <v/>
      </c>
      <c r="U1167" s="14">
        <f>L1167*G1167</f>
        <v/>
      </c>
    </row>
    <row r="1168">
      <c r="A1168" s="12" t="inlineStr">
        <is>
          <t>PO-2021-1166</t>
        </is>
      </c>
      <c r="B1168" s="26" t="n">
        <v>45161</v>
      </c>
      <c r="C1168" s="12" t="inlineStr">
        <is>
          <t>VS23</t>
        </is>
      </c>
      <c r="D1168" s="12" t="inlineStr">
        <is>
          <t>GI Pipes</t>
        </is>
      </c>
      <c r="E1168" s="12" t="inlineStr">
        <is>
          <t>N</t>
        </is>
      </c>
      <c r="F1168" s="12" t="n">
        <v>1.26</v>
      </c>
      <c r="G1168" s="17" t="n">
        <v>82840.64999999999</v>
      </c>
      <c r="H1168" s="26" t="n">
        <v>45170</v>
      </c>
      <c r="I1168" s="26" t="n">
        <v>45173</v>
      </c>
      <c r="J1168" s="12" t="n">
        <v>1.26</v>
      </c>
      <c r="K1168" s="17" t="n">
        <v>104379.22</v>
      </c>
      <c r="L1168" s="12" t="n">
        <v>0</v>
      </c>
      <c r="M1168" s="12" t="n">
        <v>0</v>
      </c>
      <c r="N1168" s="27">
        <f>F1168-J1168</f>
        <v/>
      </c>
      <c r="O1168" s="16">
        <f>I1168-H1168</f>
        <v/>
      </c>
      <c r="P1168" s="14">
        <f>F1168*G1168</f>
        <v/>
      </c>
      <c r="Q1168" s="14">
        <f>J1168*G1168</f>
        <v/>
      </c>
      <c r="R1168" s="14">
        <f>K1168-Q1168</f>
        <v/>
      </c>
      <c r="S1168" s="3">
        <f>P1168*Assumptions!$B$3/100</f>
        <v/>
      </c>
      <c r="T1168" s="14">
        <f>R1168-S1168</f>
        <v/>
      </c>
      <c r="U1168" s="14">
        <f>L1168*G1168</f>
        <v/>
      </c>
    </row>
    <row r="1169">
      <c r="A1169" s="12" t="inlineStr">
        <is>
          <t>PO-2021-1167</t>
        </is>
      </c>
      <c r="B1169" s="26" t="n">
        <v>44816</v>
      </c>
      <c r="C1169" s="12" t="inlineStr">
        <is>
          <t>VS26</t>
        </is>
      </c>
      <c r="D1169" s="12" t="inlineStr">
        <is>
          <t>Angles &amp; Channels</t>
        </is>
      </c>
      <c r="E1169" s="12" t="inlineStr">
        <is>
          <t>Y</t>
        </is>
      </c>
      <c r="F1169" s="12" t="n">
        <v>7.48</v>
      </c>
      <c r="G1169" s="17" t="n">
        <v>111916.95</v>
      </c>
      <c r="H1169" s="26" t="n">
        <v>44819</v>
      </c>
      <c r="I1169" s="26" t="n">
        <v>44820</v>
      </c>
      <c r="J1169" s="12" t="n">
        <v>7.42</v>
      </c>
      <c r="K1169" s="17" t="n">
        <v>837138.79</v>
      </c>
      <c r="L1169" s="12" t="n">
        <v>0</v>
      </c>
      <c r="M1169" s="12" t="n">
        <v>7</v>
      </c>
      <c r="N1169" s="27">
        <f>F1169-J1169</f>
        <v/>
      </c>
      <c r="O1169" s="16">
        <f>I1169-H1169</f>
        <v/>
      </c>
      <c r="P1169" s="14">
        <f>F1169*G1169</f>
        <v/>
      </c>
      <c r="Q1169" s="14">
        <f>J1169*G1169</f>
        <v/>
      </c>
      <c r="R1169" s="14">
        <f>K1169-Q1169</f>
        <v/>
      </c>
      <c r="S1169" s="3">
        <f>P1169*Assumptions!$B$3/100</f>
        <v/>
      </c>
      <c r="T1169" s="14">
        <f>R1169-S1169</f>
        <v/>
      </c>
      <c r="U1169" s="14">
        <f>L1169*G1169</f>
        <v/>
      </c>
    </row>
    <row r="1170">
      <c r="A1170" s="12" t="inlineStr">
        <is>
          <t>PO-2021-1168</t>
        </is>
      </c>
      <c r="B1170" s="26" t="n">
        <v>44564</v>
      </c>
      <c r="C1170" s="12" t="inlineStr">
        <is>
          <t>VS17</t>
        </is>
      </c>
      <c r="D1170" s="12" t="inlineStr">
        <is>
          <t>MS Sheets</t>
        </is>
      </c>
      <c r="E1170" s="12" t="inlineStr">
        <is>
          <t>N</t>
        </is>
      </c>
      <c r="F1170" s="12" t="n">
        <v>25.68</v>
      </c>
      <c r="G1170" s="17" t="n">
        <v>114774.52</v>
      </c>
      <c r="H1170" s="26" t="n">
        <v>44574</v>
      </c>
      <c r="I1170" s="26" t="n">
        <v>44574</v>
      </c>
      <c r="J1170" s="12" t="n">
        <v>25.57</v>
      </c>
      <c r="K1170" s="17" t="n">
        <v>2947409.67</v>
      </c>
      <c r="L1170" s="12" t="n">
        <v>0</v>
      </c>
      <c r="M1170" s="12" t="n">
        <v>0</v>
      </c>
      <c r="N1170" s="27">
        <f>F1170-J1170</f>
        <v/>
      </c>
      <c r="O1170" s="16">
        <f>I1170-H1170</f>
        <v/>
      </c>
      <c r="P1170" s="14">
        <f>F1170*G1170</f>
        <v/>
      </c>
      <c r="Q1170" s="14">
        <f>J1170*G1170</f>
        <v/>
      </c>
      <c r="R1170" s="14">
        <f>K1170-Q1170</f>
        <v/>
      </c>
      <c r="S1170" s="3">
        <f>P1170*Assumptions!$B$3/100</f>
        <v/>
      </c>
      <c r="T1170" s="14">
        <f>R1170-S1170</f>
        <v/>
      </c>
      <c r="U1170" s="14">
        <f>L1170*G1170</f>
        <v/>
      </c>
    </row>
    <row r="1171">
      <c r="A1171" s="12" t="inlineStr">
        <is>
          <t>PO-2021-1169</t>
        </is>
      </c>
      <c r="B1171" s="26" t="n">
        <v>44467</v>
      </c>
      <c r="C1171" s="12" t="inlineStr">
        <is>
          <t>VS06</t>
        </is>
      </c>
      <c r="D1171" s="12" t="inlineStr">
        <is>
          <t>MS Flats</t>
        </is>
      </c>
      <c r="E1171" s="12" t="inlineStr">
        <is>
          <t>N</t>
        </is>
      </c>
      <c r="F1171" s="12" t="n">
        <v>35.8</v>
      </c>
      <c r="G1171" s="17" t="n">
        <v>77469.72</v>
      </c>
      <c r="H1171" s="26" t="n">
        <v>44474</v>
      </c>
      <c r="I1171" s="26" t="n">
        <v>44475</v>
      </c>
      <c r="J1171" s="12" t="n">
        <v>35.54</v>
      </c>
      <c r="K1171" s="17" t="n">
        <v>2773415.98</v>
      </c>
      <c r="L1171" s="12" t="n">
        <v>0</v>
      </c>
      <c r="M1171" s="12" t="n">
        <v>1</v>
      </c>
      <c r="N1171" s="27">
        <f>F1171-J1171</f>
        <v/>
      </c>
      <c r="O1171" s="16">
        <f>I1171-H1171</f>
        <v/>
      </c>
      <c r="P1171" s="14">
        <f>F1171*G1171</f>
        <v/>
      </c>
      <c r="Q1171" s="14">
        <f>J1171*G1171</f>
        <v/>
      </c>
      <c r="R1171" s="14">
        <f>K1171-Q1171</f>
        <v/>
      </c>
      <c r="S1171" s="3">
        <f>P1171*Assumptions!$B$3/100</f>
        <v/>
      </c>
      <c r="T1171" s="14">
        <f>R1171-S1171</f>
        <v/>
      </c>
      <c r="U1171" s="14">
        <f>L1171*G1171</f>
        <v/>
      </c>
    </row>
    <row r="1172">
      <c r="A1172" s="12" t="inlineStr">
        <is>
          <t>PO-2021-1170</t>
        </is>
      </c>
      <c r="B1172" s="26" t="n">
        <v>44436</v>
      </c>
      <c r="C1172" s="12" t="inlineStr">
        <is>
          <t>VS21</t>
        </is>
      </c>
      <c r="D1172" s="12" t="inlineStr">
        <is>
          <t>GI Pipes</t>
        </is>
      </c>
      <c r="E1172" s="12" t="inlineStr">
        <is>
          <t>N</t>
        </is>
      </c>
      <c r="F1172" s="12" t="n">
        <v>48.95</v>
      </c>
      <c r="G1172" s="17" t="n">
        <v>82440.8</v>
      </c>
      <c r="H1172" s="26" t="n">
        <v>44443</v>
      </c>
      <c r="I1172" s="26" t="n">
        <v>44444</v>
      </c>
      <c r="J1172" s="12" t="n">
        <v>48.79</v>
      </c>
      <c r="K1172" s="17" t="n">
        <v>4035477.16</v>
      </c>
      <c r="L1172" s="12" t="n">
        <v>0</v>
      </c>
      <c r="M1172" s="12" t="n">
        <v>10</v>
      </c>
      <c r="N1172" s="27">
        <f>F1172-J1172</f>
        <v/>
      </c>
      <c r="O1172" s="16">
        <f>I1172-H1172</f>
        <v/>
      </c>
      <c r="P1172" s="14">
        <f>F1172*G1172</f>
        <v/>
      </c>
      <c r="Q1172" s="14">
        <f>J1172*G1172</f>
        <v/>
      </c>
      <c r="R1172" s="14">
        <f>K1172-Q1172</f>
        <v/>
      </c>
      <c r="S1172" s="3">
        <f>P1172*Assumptions!$B$3/100</f>
        <v/>
      </c>
      <c r="T1172" s="14">
        <f>R1172-S1172</f>
        <v/>
      </c>
      <c r="U1172" s="14">
        <f>L1172*G1172</f>
        <v/>
      </c>
    </row>
    <row r="1173">
      <c r="A1173" s="12" t="inlineStr">
        <is>
          <t>PO-2021-1171</t>
        </is>
      </c>
      <c r="B1173" s="26" t="n">
        <v>44935</v>
      </c>
      <c r="C1173" s="12" t="inlineStr">
        <is>
          <t>VS28</t>
        </is>
      </c>
      <c r="D1173" s="12" t="inlineStr">
        <is>
          <t>SS Sheets</t>
        </is>
      </c>
      <c r="E1173" s="12" t="inlineStr">
        <is>
          <t>N</t>
        </is>
      </c>
      <c r="F1173" s="12" t="n">
        <v>45.24</v>
      </c>
      <c r="G1173" s="17" t="n">
        <v>64741.23</v>
      </c>
      <c r="H1173" s="26" t="n">
        <v>44950</v>
      </c>
      <c r="I1173" s="26" t="n">
        <v>44953</v>
      </c>
      <c r="J1173" s="12" t="n">
        <v>45.01</v>
      </c>
      <c r="K1173" s="17" t="n">
        <v>2928893.25</v>
      </c>
      <c r="L1173" s="12" t="n">
        <v>0</v>
      </c>
      <c r="M1173" s="12" t="n">
        <v>2</v>
      </c>
      <c r="N1173" s="27">
        <f>F1173-J1173</f>
        <v/>
      </c>
      <c r="O1173" s="16">
        <f>I1173-H1173</f>
        <v/>
      </c>
      <c r="P1173" s="14">
        <f>F1173*G1173</f>
        <v/>
      </c>
      <c r="Q1173" s="14">
        <f>J1173*G1173</f>
        <v/>
      </c>
      <c r="R1173" s="14">
        <f>K1173-Q1173</f>
        <v/>
      </c>
      <c r="S1173" s="3">
        <f>P1173*Assumptions!$B$3/100</f>
        <v/>
      </c>
      <c r="T1173" s="14">
        <f>R1173-S1173</f>
        <v/>
      </c>
      <c r="U1173" s="14">
        <f>L1173*G1173</f>
        <v/>
      </c>
    </row>
    <row r="1174">
      <c r="A1174" s="12" t="inlineStr">
        <is>
          <t>PO-2021-1172</t>
        </is>
      </c>
      <c r="B1174" s="26" t="n">
        <v>44737</v>
      </c>
      <c r="C1174" s="12" t="inlineStr">
        <is>
          <t>VS34</t>
        </is>
      </c>
      <c r="D1174" s="12" t="inlineStr">
        <is>
          <t>MS Flats</t>
        </is>
      </c>
      <c r="E1174" s="12" t="inlineStr">
        <is>
          <t>N</t>
        </is>
      </c>
      <c r="F1174" s="12" t="n">
        <v>22.35</v>
      </c>
      <c r="G1174" s="17" t="n">
        <v>57373.79</v>
      </c>
      <c r="H1174" s="26" t="n">
        <v>44751</v>
      </c>
      <c r="I1174" s="26" t="n">
        <v>44754</v>
      </c>
      <c r="J1174" s="12" t="n">
        <v>22.32</v>
      </c>
      <c r="K1174" s="17" t="n">
        <v>1282304.21</v>
      </c>
      <c r="L1174" s="12" t="n">
        <v>0</v>
      </c>
      <c r="M1174" s="12" t="n">
        <v>18</v>
      </c>
      <c r="N1174" s="27">
        <f>F1174-J1174</f>
        <v/>
      </c>
      <c r="O1174" s="16">
        <f>I1174-H1174</f>
        <v/>
      </c>
      <c r="P1174" s="14">
        <f>F1174*G1174</f>
        <v/>
      </c>
      <c r="Q1174" s="14">
        <f>J1174*G1174</f>
        <v/>
      </c>
      <c r="R1174" s="14">
        <f>K1174-Q1174</f>
        <v/>
      </c>
      <c r="S1174" s="3">
        <f>P1174*Assumptions!$B$3/100</f>
        <v/>
      </c>
      <c r="T1174" s="14">
        <f>R1174-S1174</f>
        <v/>
      </c>
      <c r="U1174" s="14">
        <f>L1174*G1174</f>
        <v/>
      </c>
    </row>
    <row r="1175">
      <c r="A1175" s="12" t="inlineStr">
        <is>
          <t>PO-2021-1173</t>
        </is>
      </c>
      <c r="B1175" s="26" t="n">
        <v>45203</v>
      </c>
      <c r="C1175" s="12" t="inlineStr">
        <is>
          <t>VS10</t>
        </is>
      </c>
      <c r="D1175" s="12" t="inlineStr">
        <is>
          <t>Spring Steel</t>
        </is>
      </c>
      <c r="E1175" s="12" t="inlineStr">
        <is>
          <t>N</t>
        </is>
      </c>
      <c r="F1175" s="12" t="n">
        <v>42.8</v>
      </c>
      <c r="G1175" s="17" t="n">
        <v>94306.46000000001</v>
      </c>
      <c r="H1175" s="26" t="n">
        <v>45218</v>
      </c>
      <c r="I1175" s="26" t="n">
        <v>45219</v>
      </c>
      <c r="J1175" s="12" t="n">
        <v>42.64</v>
      </c>
      <c r="K1175" s="17" t="n">
        <v>4036316.49</v>
      </c>
      <c r="L1175" s="12" t="n">
        <v>0</v>
      </c>
      <c r="M1175" s="12" t="n">
        <v>0</v>
      </c>
      <c r="N1175" s="27">
        <f>F1175-J1175</f>
        <v/>
      </c>
      <c r="O1175" s="16">
        <f>I1175-H1175</f>
        <v/>
      </c>
      <c r="P1175" s="14">
        <f>F1175*G1175</f>
        <v/>
      </c>
      <c r="Q1175" s="14">
        <f>J1175*G1175</f>
        <v/>
      </c>
      <c r="R1175" s="14">
        <f>K1175-Q1175</f>
        <v/>
      </c>
      <c r="S1175" s="3">
        <f>P1175*Assumptions!$B$3/100</f>
        <v/>
      </c>
      <c r="T1175" s="14">
        <f>R1175-S1175</f>
        <v/>
      </c>
      <c r="U1175" s="14">
        <f>L1175*G1175</f>
        <v/>
      </c>
    </row>
    <row r="1176">
      <c r="A1176" s="12" t="inlineStr">
        <is>
          <t>PO-2021-1174</t>
        </is>
      </c>
      <c r="B1176" s="26" t="n">
        <v>45098</v>
      </c>
      <c r="C1176" s="12" t="inlineStr">
        <is>
          <t>VS04</t>
        </is>
      </c>
      <c r="D1176" s="12" t="inlineStr">
        <is>
          <t>GI Sheets</t>
        </is>
      </c>
      <c r="E1176" s="12" t="inlineStr">
        <is>
          <t>N</t>
        </is>
      </c>
      <c r="F1176" s="12" t="n">
        <v>8.279999999999999</v>
      </c>
      <c r="G1176" s="17" t="n">
        <v>62239.54</v>
      </c>
      <c r="H1176" s="26" t="n">
        <v>45101</v>
      </c>
      <c r="I1176" s="26" t="n">
        <v>45101</v>
      </c>
      <c r="J1176" s="12" t="n">
        <v>8.27</v>
      </c>
      <c r="K1176" s="17" t="n">
        <v>515343.39</v>
      </c>
      <c r="L1176" s="12" t="n">
        <v>0</v>
      </c>
      <c r="M1176" s="12" t="n">
        <v>0</v>
      </c>
      <c r="N1176" s="27">
        <f>F1176-J1176</f>
        <v/>
      </c>
      <c r="O1176" s="16">
        <f>I1176-H1176</f>
        <v/>
      </c>
      <c r="P1176" s="14">
        <f>F1176*G1176</f>
        <v/>
      </c>
      <c r="Q1176" s="14">
        <f>J1176*G1176</f>
        <v/>
      </c>
      <c r="R1176" s="14">
        <f>K1176-Q1176</f>
        <v/>
      </c>
      <c r="S1176" s="3">
        <f>P1176*Assumptions!$B$3/100</f>
        <v/>
      </c>
      <c r="T1176" s="14">
        <f>R1176-S1176</f>
        <v/>
      </c>
      <c r="U1176" s="14">
        <f>L1176*G1176</f>
        <v/>
      </c>
    </row>
    <row r="1177">
      <c r="A1177" s="12" t="inlineStr">
        <is>
          <t>PO-2021-1175</t>
        </is>
      </c>
      <c r="B1177" s="26" t="n">
        <v>45160</v>
      </c>
      <c r="C1177" s="12" t="inlineStr">
        <is>
          <t>VS17</t>
        </is>
      </c>
      <c r="D1177" s="12" t="inlineStr">
        <is>
          <t>MS Sheets</t>
        </is>
      </c>
      <c r="E1177" s="12" t="inlineStr">
        <is>
          <t>N</t>
        </is>
      </c>
      <c r="F1177" s="12" t="n">
        <v>35.59</v>
      </c>
      <c r="G1177" s="17" t="n">
        <v>77732.24000000001</v>
      </c>
      <c r="H1177" s="26" t="n">
        <v>45170</v>
      </c>
      <c r="I1177" s="26" t="n">
        <v>45172</v>
      </c>
      <c r="J1177" s="12" t="n">
        <v>35.52</v>
      </c>
      <c r="K1177" s="17" t="n">
        <v>2766490.42</v>
      </c>
      <c r="L1177" s="12" t="n">
        <v>0</v>
      </c>
      <c r="M1177" s="12" t="n">
        <v>1</v>
      </c>
      <c r="N1177" s="27">
        <f>F1177-J1177</f>
        <v/>
      </c>
      <c r="O1177" s="16">
        <f>I1177-H1177</f>
        <v/>
      </c>
      <c r="P1177" s="14">
        <f>F1177*G1177</f>
        <v/>
      </c>
      <c r="Q1177" s="14">
        <f>J1177*G1177</f>
        <v/>
      </c>
      <c r="R1177" s="14">
        <f>K1177-Q1177</f>
        <v/>
      </c>
      <c r="S1177" s="3">
        <f>P1177*Assumptions!$B$3/100</f>
        <v/>
      </c>
      <c r="T1177" s="14">
        <f>R1177-S1177</f>
        <v/>
      </c>
      <c r="U1177" s="14">
        <f>L1177*G1177</f>
        <v/>
      </c>
    </row>
    <row r="1178">
      <c r="A1178" s="12" t="inlineStr">
        <is>
          <t>PO-2021-1176</t>
        </is>
      </c>
      <c r="B1178" s="26" t="n">
        <v>44280</v>
      </c>
      <c r="C1178" s="12" t="inlineStr">
        <is>
          <t>VS29</t>
        </is>
      </c>
      <c r="D1178" s="12" t="inlineStr">
        <is>
          <t>Angles &amp; Channels</t>
        </is>
      </c>
      <c r="E1178" s="12" t="inlineStr">
        <is>
          <t>N</t>
        </is>
      </c>
      <c r="F1178" s="12" t="n">
        <v>49.45</v>
      </c>
      <c r="G1178" s="17" t="n">
        <v>87064.09</v>
      </c>
      <c r="H1178" s="26" t="n">
        <v>44290</v>
      </c>
      <c r="I1178" s="26" t="n">
        <v>44292</v>
      </c>
      <c r="J1178" s="12" t="n">
        <v>49.17</v>
      </c>
      <c r="K1178" s="17" t="n">
        <v>4305319.25</v>
      </c>
      <c r="L1178" s="12" t="n">
        <v>0</v>
      </c>
      <c r="M1178" s="12" t="n">
        <v>13</v>
      </c>
      <c r="N1178" s="27">
        <f>F1178-J1178</f>
        <v/>
      </c>
      <c r="O1178" s="16">
        <f>I1178-H1178</f>
        <v/>
      </c>
      <c r="P1178" s="14">
        <f>F1178*G1178</f>
        <v/>
      </c>
      <c r="Q1178" s="14">
        <f>J1178*G1178</f>
        <v/>
      </c>
      <c r="R1178" s="14">
        <f>K1178-Q1178</f>
        <v/>
      </c>
      <c r="S1178" s="3">
        <f>P1178*Assumptions!$B$3/100</f>
        <v/>
      </c>
      <c r="T1178" s="14">
        <f>R1178-S1178</f>
        <v/>
      </c>
      <c r="U1178" s="14">
        <f>L1178*G1178</f>
        <v/>
      </c>
    </row>
    <row r="1179">
      <c r="A1179" s="12" t="inlineStr">
        <is>
          <t>PO-2021-1177</t>
        </is>
      </c>
      <c r="B1179" s="26" t="n">
        <v>45206</v>
      </c>
      <c r="C1179" s="12" t="inlineStr">
        <is>
          <t>VS08</t>
        </is>
      </c>
      <c r="D1179" s="12" t="inlineStr">
        <is>
          <t>Square/Rect Tubes</t>
        </is>
      </c>
      <c r="E1179" s="12" t="inlineStr">
        <is>
          <t>N</t>
        </is>
      </c>
      <c r="F1179" s="12" t="n">
        <v>7.06</v>
      </c>
      <c r="G1179" s="17" t="n">
        <v>52018.34</v>
      </c>
      <c r="H1179" s="26" t="n">
        <v>45213</v>
      </c>
      <c r="I1179" s="26" t="n">
        <v>45216</v>
      </c>
      <c r="J1179" s="12" t="n">
        <v>7.02</v>
      </c>
      <c r="K1179" s="17" t="n">
        <v>367249.48</v>
      </c>
      <c r="L1179" s="12" t="n">
        <v>0</v>
      </c>
      <c r="M1179" s="12" t="n">
        <v>0</v>
      </c>
      <c r="N1179" s="27">
        <f>F1179-J1179</f>
        <v/>
      </c>
      <c r="O1179" s="16">
        <f>I1179-H1179</f>
        <v/>
      </c>
      <c r="P1179" s="14">
        <f>F1179*G1179</f>
        <v/>
      </c>
      <c r="Q1179" s="14">
        <f>J1179*G1179</f>
        <v/>
      </c>
      <c r="R1179" s="14">
        <f>K1179-Q1179</f>
        <v/>
      </c>
      <c r="S1179" s="3">
        <f>P1179*Assumptions!$B$3/100</f>
        <v/>
      </c>
      <c r="T1179" s="14">
        <f>R1179-S1179</f>
        <v/>
      </c>
      <c r="U1179" s="14">
        <f>L1179*G1179</f>
        <v/>
      </c>
    </row>
    <row r="1180">
      <c r="A1180" s="12" t="inlineStr">
        <is>
          <t>PO-2021-1178</t>
        </is>
      </c>
      <c r="B1180" s="26" t="n">
        <v>44566</v>
      </c>
      <c r="C1180" s="12" t="inlineStr">
        <is>
          <t>VS11</t>
        </is>
      </c>
      <c r="D1180" s="12" t="inlineStr">
        <is>
          <t>Hex Bars</t>
        </is>
      </c>
      <c r="E1180" s="12" t="inlineStr">
        <is>
          <t>N</t>
        </is>
      </c>
      <c r="F1180" s="12" t="n">
        <v>41.31</v>
      </c>
      <c r="G1180" s="17" t="n">
        <v>87243.55</v>
      </c>
      <c r="H1180" s="26" t="n">
        <v>44579</v>
      </c>
      <c r="I1180" s="26" t="n">
        <v>44581</v>
      </c>
      <c r="J1180" s="12" t="n">
        <v>40.93</v>
      </c>
      <c r="K1180" s="17" t="n">
        <v>3604031.05</v>
      </c>
      <c r="L1180" s="12" t="n">
        <v>0</v>
      </c>
      <c r="M1180" s="12" t="n">
        <v>8</v>
      </c>
      <c r="N1180" s="27">
        <f>F1180-J1180</f>
        <v/>
      </c>
      <c r="O1180" s="16">
        <f>I1180-H1180</f>
        <v/>
      </c>
      <c r="P1180" s="14">
        <f>F1180*G1180</f>
        <v/>
      </c>
      <c r="Q1180" s="14">
        <f>J1180*G1180</f>
        <v/>
      </c>
      <c r="R1180" s="14">
        <f>K1180-Q1180</f>
        <v/>
      </c>
      <c r="S1180" s="3">
        <f>P1180*Assumptions!$B$3/100</f>
        <v/>
      </c>
      <c r="T1180" s="14">
        <f>R1180-S1180</f>
        <v/>
      </c>
      <c r="U1180" s="14">
        <f>L1180*G1180</f>
        <v/>
      </c>
    </row>
    <row r="1181">
      <c r="A1181" s="12" t="inlineStr">
        <is>
          <t>PO-2021-1179</t>
        </is>
      </c>
      <c r="B1181" s="26" t="n">
        <v>44631</v>
      </c>
      <c r="C1181" s="12" t="inlineStr">
        <is>
          <t>VS01</t>
        </is>
      </c>
      <c r="D1181" s="12" t="inlineStr">
        <is>
          <t>Hex Bars</t>
        </is>
      </c>
      <c r="E1181" s="12" t="inlineStr">
        <is>
          <t>N</t>
        </is>
      </c>
      <c r="F1181" s="12" t="n">
        <v>38.58</v>
      </c>
      <c r="G1181" s="17" t="n">
        <v>58542.66</v>
      </c>
      <c r="H1181" s="26" t="n">
        <v>44635</v>
      </c>
      <c r="I1181" s="26" t="n">
        <v>44636</v>
      </c>
      <c r="J1181" s="12" t="n">
        <v>38.39</v>
      </c>
      <c r="K1181" s="17" t="n">
        <v>2258575.82</v>
      </c>
      <c r="L1181" s="12" t="n">
        <v>0</v>
      </c>
      <c r="M1181" s="12" t="n">
        <v>17</v>
      </c>
      <c r="N1181" s="27">
        <f>F1181-J1181</f>
        <v/>
      </c>
      <c r="O1181" s="16">
        <f>I1181-H1181</f>
        <v/>
      </c>
      <c r="P1181" s="14">
        <f>F1181*G1181</f>
        <v/>
      </c>
      <c r="Q1181" s="14">
        <f>J1181*G1181</f>
        <v/>
      </c>
      <c r="R1181" s="14">
        <f>K1181-Q1181</f>
        <v/>
      </c>
      <c r="S1181" s="3">
        <f>P1181*Assumptions!$B$3/100</f>
        <v/>
      </c>
      <c r="T1181" s="14">
        <f>R1181-S1181</f>
        <v/>
      </c>
      <c r="U1181" s="14">
        <f>L1181*G1181</f>
        <v/>
      </c>
    </row>
    <row r="1182">
      <c r="A1182" s="12" t="inlineStr">
        <is>
          <t>PO-2021-1180</t>
        </is>
      </c>
      <c r="B1182" s="26" t="n">
        <v>44701</v>
      </c>
      <c r="C1182" s="12" t="inlineStr">
        <is>
          <t>VS32</t>
        </is>
      </c>
      <c r="D1182" s="12" t="inlineStr">
        <is>
          <t>ERW Pipes</t>
        </is>
      </c>
      <c r="E1182" s="12" t="inlineStr">
        <is>
          <t>N</t>
        </is>
      </c>
      <c r="F1182" s="12" t="n">
        <v>44.48</v>
      </c>
      <c r="G1182" s="17" t="n">
        <v>46947.16</v>
      </c>
      <c r="H1182" s="26" t="n">
        <v>44714</v>
      </c>
      <c r="I1182" s="26" t="n">
        <v>44716</v>
      </c>
      <c r="J1182" s="12" t="n">
        <v>44.26</v>
      </c>
      <c r="K1182" s="17" t="n">
        <v>2088209.68</v>
      </c>
      <c r="L1182" s="12" t="n">
        <v>0</v>
      </c>
      <c r="M1182" s="12" t="n">
        <v>0</v>
      </c>
      <c r="N1182" s="27">
        <f>F1182-J1182</f>
        <v/>
      </c>
      <c r="O1182" s="16">
        <f>I1182-H1182</f>
        <v/>
      </c>
      <c r="P1182" s="14">
        <f>F1182*G1182</f>
        <v/>
      </c>
      <c r="Q1182" s="14">
        <f>J1182*G1182</f>
        <v/>
      </c>
      <c r="R1182" s="14">
        <f>K1182-Q1182</f>
        <v/>
      </c>
      <c r="S1182" s="3">
        <f>P1182*Assumptions!$B$3/100</f>
        <v/>
      </c>
      <c r="T1182" s="14">
        <f>R1182-S1182</f>
        <v/>
      </c>
      <c r="U1182" s="14">
        <f>L1182*G1182</f>
        <v/>
      </c>
    </row>
    <row r="1183">
      <c r="A1183" s="12" t="inlineStr">
        <is>
          <t>PO-2021-1181</t>
        </is>
      </c>
      <c r="B1183" s="26" t="n">
        <v>44446</v>
      </c>
      <c r="C1183" s="12" t="inlineStr">
        <is>
          <t>VS26</t>
        </is>
      </c>
      <c r="D1183" s="12" t="inlineStr">
        <is>
          <t>Angles &amp; Channels</t>
        </is>
      </c>
      <c r="E1183" s="12" t="inlineStr">
        <is>
          <t>Y</t>
        </is>
      </c>
      <c r="F1183" s="12" t="n">
        <v>29.93</v>
      </c>
      <c r="G1183" s="17" t="n">
        <v>116341.49</v>
      </c>
      <c r="H1183" s="26" t="n">
        <v>44454</v>
      </c>
      <c r="I1183" s="26" t="n">
        <v>44456</v>
      </c>
      <c r="J1183" s="12" t="n">
        <v>29.63</v>
      </c>
      <c r="K1183" s="17" t="n">
        <v>3482100.8</v>
      </c>
      <c r="L1183" s="12" t="n">
        <v>0</v>
      </c>
      <c r="M1183" s="12" t="n">
        <v>0</v>
      </c>
      <c r="N1183" s="27">
        <f>F1183-J1183</f>
        <v/>
      </c>
      <c r="O1183" s="16">
        <f>I1183-H1183</f>
        <v/>
      </c>
      <c r="P1183" s="14">
        <f>F1183*G1183</f>
        <v/>
      </c>
      <c r="Q1183" s="14">
        <f>J1183*G1183</f>
        <v/>
      </c>
      <c r="R1183" s="14">
        <f>K1183-Q1183</f>
        <v/>
      </c>
      <c r="S1183" s="3">
        <f>P1183*Assumptions!$B$3/100</f>
        <v/>
      </c>
      <c r="T1183" s="14">
        <f>R1183-S1183</f>
        <v/>
      </c>
      <c r="U1183" s="14">
        <f>L1183*G1183</f>
        <v/>
      </c>
    </row>
    <row r="1184">
      <c r="A1184" s="12" t="inlineStr">
        <is>
          <t>PO-2021-1182</t>
        </is>
      </c>
      <c r="B1184" s="26" t="n">
        <v>44511</v>
      </c>
      <c r="C1184" s="12" t="inlineStr">
        <is>
          <t>VS02</t>
        </is>
      </c>
      <c r="D1184" s="12" t="inlineStr">
        <is>
          <t>SS Pipes</t>
        </is>
      </c>
      <c r="E1184" s="12" t="inlineStr">
        <is>
          <t>Y</t>
        </is>
      </c>
      <c r="F1184" s="12" t="n">
        <v>23.55</v>
      </c>
      <c r="G1184" s="17" t="n">
        <v>98078</v>
      </c>
      <c r="H1184" s="26" t="n">
        <v>44521</v>
      </c>
      <c r="I1184" s="26" t="n">
        <v>44522</v>
      </c>
      <c r="J1184" s="12" t="n">
        <v>23.39</v>
      </c>
      <c r="K1184" s="17" t="n">
        <v>2309736.9</v>
      </c>
      <c r="L1184" s="12" t="n">
        <v>0</v>
      </c>
      <c r="M1184" s="12" t="n">
        <v>16</v>
      </c>
      <c r="N1184" s="27">
        <f>F1184-J1184</f>
        <v/>
      </c>
      <c r="O1184" s="16">
        <f>I1184-H1184</f>
        <v/>
      </c>
      <c r="P1184" s="14">
        <f>F1184*G1184</f>
        <v/>
      </c>
      <c r="Q1184" s="14">
        <f>J1184*G1184</f>
        <v/>
      </c>
      <c r="R1184" s="14">
        <f>K1184-Q1184</f>
        <v/>
      </c>
      <c r="S1184" s="3">
        <f>P1184*Assumptions!$B$3/100</f>
        <v/>
      </c>
      <c r="T1184" s="14">
        <f>R1184-S1184</f>
        <v/>
      </c>
      <c r="U1184" s="14">
        <f>L1184*G1184</f>
        <v/>
      </c>
    </row>
    <row r="1185">
      <c r="A1185" s="12" t="inlineStr">
        <is>
          <t>PO-2021-1183</t>
        </is>
      </c>
      <c r="B1185" s="26" t="n">
        <v>45126</v>
      </c>
      <c r="C1185" s="12" t="inlineStr">
        <is>
          <t>VS18</t>
        </is>
      </c>
      <c r="D1185" s="12" t="inlineStr">
        <is>
          <t>MS Pipes</t>
        </is>
      </c>
      <c r="E1185" s="12" t="inlineStr">
        <is>
          <t>N</t>
        </is>
      </c>
      <c r="F1185" s="12" t="n">
        <v>17.14</v>
      </c>
      <c r="G1185" s="17" t="n">
        <v>48288.52</v>
      </c>
      <c r="H1185" s="26" t="n">
        <v>45138</v>
      </c>
      <c r="I1185" s="26" t="n">
        <v>45139</v>
      </c>
      <c r="J1185" s="12" t="n">
        <v>16.98</v>
      </c>
      <c r="K1185" s="17" t="n">
        <v>827665.23</v>
      </c>
      <c r="L1185" s="12" t="n">
        <v>0</v>
      </c>
      <c r="M1185" s="12" t="n">
        <v>18</v>
      </c>
      <c r="N1185" s="27">
        <f>F1185-J1185</f>
        <v/>
      </c>
      <c r="O1185" s="16">
        <f>I1185-H1185</f>
        <v/>
      </c>
      <c r="P1185" s="14">
        <f>F1185*G1185</f>
        <v/>
      </c>
      <c r="Q1185" s="14">
        <f>J1185*G1185</f>
        <v/>
      </c>
      <c r="R1185" s="14">
        <f>K1185-Q1185</f>
        <v/>
      </c>
      <c r="S1185" s="3">
        <f>P1185*Assumptions!$B$3/100</f>
        <v/>
      </c>
      <c r="T1185" s="14">
        <f>R1185-S1185</f>
        <v/>
      </c>
      <c r="U1185" s="14">
        <f>L1185*G1185</f>
        <v/>
      </c>
    </row>
    <row r="1186">
      <c r="A1186" s="12" t="inlineStr">
        <is>
          <t>PO-2021-1184</t>
        </is>
      </c>
      <c r="B1186" s="26" t="n">
        <v>45124</v>
      </c>
      <c r="C1186" s="12" t="inlineStr">
        <is>
          <t>VS21</t>
        </is>
      </c>
      <c r="D1186" s="12" t="inlineStr">
        <is>
          <t>Square/Rect Tubes</t>
        </is>
      </c>
      <c r="E1186" s="12" t="inlineStr">
        <is>
          <t>N</t>
        </is>
      </c>
      <c r="F1186" s="12" t="n">
        <v>11.36</v>
      </c>
      <c r="G1186" s="17" t="n">
        <v>48651.17</v>
      </c>
      <c r="H1186" s="26" t="n">
        <v>45137</v>
      </c>
      <c r="I1186" s="26" t="n">
        <v>45138</v>
      </c>
      <c r="J1186" s="12" t="n">
        <v>11.29</v>
      </c>
      <c r="K1186" s="17" t="n">
        <v>552677.29</v>
      </c>
      <c r="L1186" s="12" t="n">
        <v>0</v>
      </c>
      <c r="M1186" s="12" t="n">
        <v>18</v>
      </c>
      <c r="N1186" s="27">
        <f>F1186-J1186</f>
        <v/>
      </c>
      <c r="O1186" s="16">
        <f>I1186-H1186</f>
        <v/>
      </c>
      <c r="P1186" s="14">
        <f>F1186*G1186</f>
        <v/>
      </c>
      <c r="Q1186" s="14">
        <f>J1186*G1186</f>
        <v/>
      </c>
      <c r="R1186" s="14">
        <f>K1186-Q1186</f>
        <v/>
      </c>
      <c r="S1186" s="3">
        <f>P1186*Assumptions!$B$3/100</f>
        <v/>
      </c>
      <c r="T1186" s="14">
        <f>R1186-S1186</f>
        <v/>
      </c>
      <c r="U1186" s="14">
        <f>L1186*G1186</f>
        <v/>
      </c>
    </row>
    <row r="1187">
      <c r="A1187" s="12" t="inlineStr">
        <is>
          <t>PO-2021-1185</t>
        </is>
      </c>
      <c r="B1187" s="26" t="n">
        <v>44776</v>
      </c>
      <c r="C1187" s="12" t="inlineStr">
        <is>
          <t>VS21</t>
        </is>
      </c>
      <c r="D1187" s="12" t="inlineStr">
        <is>
          <t>GI Pipes</t>
        </is>
      </c>
      <c r="E1187" s="12" t="inlineStr">
        <is>
          <t>N</t>
        </is>
      </c>
      <c r="F1187" s="12" t="n">
        <v>37.45</v>
      </c>
      <c r="G1187" s="17" t="n">
        <v>86036.72</v>
      </c>
      <c r="H1187" s="26" t="n">
        <v>44788</v>
      </c>
      <c r="I1187" s="26" t="n">
        <v>44788</v>
      </c>
      <c r="J1187" s="12" t="n">
        <v>37.16</v>
      </c>
      <c r="K1187" s="17" t="n">
        <v>3222075.16</v>
      </c>
      <c r="L1187" s="12" t="n">
        <v>0</v>
      </c>
      <c r="M1187" s="12" t="n">
        <v>18</v>
      </c>
      <c r="N1187" s="27">
        <f>F1187-J1187</f>
        <v/>
      </c>
      <c r="O1187" s="16">
        <f>I1187-H1187</f>
        <v/>
      </c>
      <c r="P1187" s="14">
        <f>F1187*G1187</f>
        <v/>
      </c>
      <c r="Q1187" s="14">
        <f>J1187*G1187</f>
        <v/>
      </c>
      <c r="R1187" s="14">
        <f>K1187-Q1187</f>
        <v/>
      </c>
      <c r="S1187" s="3">
        <f>P1187*Assumptions!$B$3/100</f>
        <v/>
      </c>
      <c r="T1187" s="14">
        <f>R1187-S1187</f>
        <v/>
      </c>
      <c r="U1187" s="14">
        <f>L1187*G1187</f>
        <v/>
      </c>
    </row>
    <row r="1188">
      <c r="A1188" s="12" t="inlineStr">
        <is>
          <t>PO-2021-1186</t>
        </is>
      </c>
      <c r="B1188" s="26" t="n">
        <v>44978</v>
      </c>
      <c r="C1188" s="12" t="inlineStr">
        <is>
          <t>VS06</t>
        </is>
      </c>
      <c r="D1188" s="12" t="inlineStr">
        <is>
          <t>MS Rods</t>
        </is>
      </c>
      <c r="E1188" s="12" t="inlineStr">
        <is>
          <t>Y</t>
        </is>
      </c>
      <c r="F1188" s="12" t="n">
        <v>13.5</v>
      </c>
      <c r="G1188" s="17" t="n">
        <v>63006.01</v>
      </c>
      <c r="H1188" s="26" t="n">
        <v>44993</v>
      </c>
      <c r="I1188" s="26" t="n">
        <v>44996</v>
      </c>
      <c r="J1188" s="12" t="n">
        <v>13.45</v>
      </c>
      <c r="K1188" s="17" t="n">
        <v>850581.14</v>
      </c>
      <c r="L1188" s="12" t="n">
        <v>0</v>
      </c>
      <c r="M1188" s="12" t="n">
        <v>23</v>
      </c>
      <c r="N1188" s="27">
        <f>F1188-J1188</f>
        <v/>
      </c>
      <c r="O1188" s="16">
        <f>I1188-H1188</f>
        <v/>
      </c>
      <c r="P1188" s="14">
        <f>F1188*G1188</f>
        <v/>
      </c>
      <c r="Q1188" s="14">
        <f>J1188*G1188</f>
        <v/>
      </c>
      <c r="R1188" s="14">
        <f>K1188-Q1188</f>
        <v/>
      </c>
      <c r="S1188" s="3">
        <f>P1188*Assumptions!$B$3/100</f>
        <v/>
      </c>
      <c r="T1188" s="14">
        <f>R1188-S1188</f>
        <v/>
      </c>
      <c r="U1188" s="14">
        <f>L1188*G1188</f>
        <v/>
      </c>
    </row>
    <row r="1189">
      <c r="A1189" s="12" t="inlineStr">
        <is>
          <t>PO-2021-1187</t>
        </is>
      </c>
      <c r="B1189" s="26" t="n">
        <v>45013</v>
      </c>
      <c r="C1189" s="12" t="inlineStr">
        <is>
          <t>VS06</t>
        </is>
      </c>
      <c r="D1189" s="12" t="inlineStr">
        <is>
          <t>MS Pipes</t>
        </is>
      </c>
      <c r="E1189" s="12" t="inlineStr">
        <is>
          <t>N</t>
        </is>
      </c>
      <c r="F1189" s="12" t="n">
        <v>42.76</v>
      </c>
      <c r="G1189" s="17" t="n">
        <v>57220.55</v>
      </c>
      <c r="H1189" s="26" t="n">
        <v>45028</v>
      </c>
      <c r="I1189" s="26" t="n">
        <v>45030</v>
      </c>
      <c r="J1189" s="12" t="n">
        <v>42.41</v>
      </c>
      <c r="K1189" s="17" t="n">
        <v>2446750.72</v>
      </c>
      <c r="L1189" s="12" t="n">
        <v>0</v>
      </c>
      <c r="M1189" s="12" t="n">
        <v>0</v>
      </c>
      <c r="N1189" s="27">
        <f>F1189-J1189</f>
        <v/>
      </c>
      <c r="O1189" s="16">
        <f>I1189-H1189</f>
        <v/>
      </c>
      <c r="P1189" s="14">
        <f>F1189*G1189</f>
        <v/>
      </c>
      <c r="Q1189" s="14">
        <f>J1189*G1189</f>
        <v/>
      </c>
      <c r="R1189" s="14">
        <f>K1189-Q1189</f>
        <v/>
      </c>
      <c r="S1189" s="3">
        <f>P1189*Assumptions!$B$3/100</f>
        <v/>
      </c>
      <c r="T1189" s="14">
        <f>R1189-S1189</f>
        <v/>
      </c>
      <c r="U1189" s="14">
        <f>L1189*G1189</f>
        <v/>
      </c>
    </row>
    <row r="1190">
      <c r="A1190" s="12" t="inlineStr">
        <is>
          <t>PO-2021-1188</t>
        </is>
      </c>
      <c r="B1190" s="26" t="n">
        <v>45021</v>
      </c>
      <c r="C1190" s="12" t="inlineStr">
        <is>
          <t>VS19</t>
        </is>
      </c>
      <c r="D1190" s="12" t="inlineStr">
        <is>
          <t>Square/Rect Tubes</t>
        </is>
      </c>
      <c r="E1190" s="12" t="inlineStr">
        <is>
          <t>N</t>
        </is>
      </c>
      <c r="F1190" s="12" t="n">
        <v>6.91</v>
      </c>
      <c r="G1190" s="17" t="n">
        <v>85085.92</v>
      </c>
      <c r="H1190" s="26" t="n">
        <v>45030</v>
      </c>
      <c r="I1190" s="26" t="n">
        <v>45033</v>
      </c>
      <c r="J1190" s="12" t="n">
        <v>6.61</v>
      </c>
      <c r="K1190" s="17" t="n">
        <v>587943.71</v>
      </c>
      <c r="L1190" s="12" t="n">
        <v>0.2</v>
      </c>
      <c r="M1190" s="12" t="n">
        <v>0</v>
      </c>
      <c r="N1190" s="27">
        <f>F1190-J1190</f>
        <v/>
      </c>
      <c r="O1190" s="16">
        <f>I1190-H1190</f>
        <v/>
      </c>
      <c r="P1190" s="14">
        <f>F1190*G1190</f>
        <v/>
      </c>
      <c r="Q1190" s="14">
        <f>J1190*G1190</f>
        <v/>
      </c>
      <c r="R1190" s="14">
        <f>K1190-Q1190</f>
        <v/>
      </c>
      <c r="S1190" s="3">
        <f>P1190*Assumptions!$B$3/100</f>
        <v/>
      </c>
      <c r="T1190" s="14">
        <f>R1190-S1190</f>
        <v/>
      </c>
      <c r="U1190" s="14">
        <f>L1190*G1190</f>
        <v/>
      </c>
    </row>
    <row r="1191">
      <c r="A1191" s="12" t="inlineStr">
        <is>
          <t>PO-2021-1189</t>
        </is>
      </c>
      <c r="B1191" s="26" t="n">
        <v>44832</v>
      </c>
      <c r="C1191" s="12" t="inlineStr">
        <is>
          <t>VS09</t>
        </is>
      </c>
      <c r="D1191" s="12" t="inlineStr">
        <is>
          <t>Angles &amp; Channels</t>
        </is>
      </c>
      <c r="E1191" s="12" t="inlineStr">
        <is>
          <t>N</t>
        </is>
      </c>
      <c r="F1191" s="12" t="n">
        <v>33.61</v>
      </c>
      <c r="G1191" s="17" t="n">
        <v>107403.97</v>
      </c>
      <c r="H1191" s="26" t="n">
        <v>44843</v>
      </c>
      <c r="I1191" s="26" t="n">
        <v>44843</v>
      </c>
      <c r="J1191" s="12" t="n">
        <v>33.61</v>
      </c>
      <c r="K1191" s="17" t="n">
        <v>3609847.43</v>
      </c>
      <c r="L1191" s="12" t="n">
        <v>0</v>
      </c>
      <c r="M1191" s="12" t="n">
        <v>0</v>
      </c>
      <c r="N1191" s="27">
        <f>F1191-J1191</f>
        <v/>
      </c>
      <c r="O1191" s="16">
        <f>I1191-H1191</f>
        <v/>
      </c>
      <c r="P1191" s="14">
        <f>F1191*G1191</f>
        <v/>
      </c>
      <c r="Q1191" s="14">
        <f>J1191*G1191</f>
        <v/>
      </c>
      <c r="R1191" s="14">
        <f>K1191-Q1191</f>
        <v/>
      </c>
      <c r="S1191" s="3">
        <f>P1191*Assumptions!$B$3/100</f>
        <v/>
      </c>
      <c r="T1191" s="14">
        <f>R1191-S1191</f>
        <v/>
      </c>
      <c r="U1191" s="14">
        <f>L1191*G1191</f>
        <v/>
      </c>
    </row>
    <row r="1192">
      <c r="A1192" s="12" t="inlineStr">
        <is>
          <t>PO-2021-1190</t>
        </is>
      </c>
      <c r="B1192" s="26" t="n">
        <v>44606</v>
      </c>
      <c r="C1192" s="12" t="inlineStr">
        <is>
          <t>VS32</t>
        </is>
      </c>
      <c r="D1192" s="12" t="inlineStr">
        <is>
          <t>Fasteners &amp; Fittings</t>
        </is>
      </c>
      <c r="E1192" s="12" t="inlineStr">
        <is>
          <t>Y</t>
        </is>
      </c>
      <c r="F1192" s="12" t="n">
        <v>44.39</v>
      </c>
      <c r="G1192" s="17" t="n">
        <v>80732.98</v>
      </c>
      <c r="H1192" s="26" t="n">
        <v>44618</v>
      </c>
      <c r="I1192" s="26" t="n">
        <v>44620</v>
      </c>
      <c r="J1192" s="12" t="n">
        <v>44.29</v>
      </c>
      <c r="K1192" s="17" t="n">
        <v>3583736.98</v>
      </c>
      <c r="L1192" s="12" t="n">
        <v>0</v>
      </c>
      <c r="M1192" s="12" t="n">
        <v>13</v>
      </c>
      <c r="N1192" s="27">
        <f>F1192-J1192</f>
        <v/>
      </c>
      <c r="O1192" s="16">
        <f>I1192-H1192</f>
        <v/>
      </c>
      <c r="P1192" s="14">
        <f>F1192*G1192</f>
        <v/>
      </c>
      <c r="Q1192" s="14">
        <f>J1192*G1192</f>
        <v/>
      </c>
      <c r="R1192" s="14">
        <f>K1192-Q1192</f>
        <v/>
      </c>
      <c r="S1192" s="3">
        <f>P1192*Assumptions!$B$3/100</f>
        <v/>
      </c>
      <c r="T1192" s="14">
        <f>R1192-S1192</f>
        <v/>
      </c>
      <c r="U1192" s="14">
        <f>L1192*G1192</f>
        <v/>
      </c>
    </row>
    <row r="1193">
      <c r="A1193" s="12" t="inlineStr">
        <is>
          <t>PO-2021-1191</t>
        </is>
      </c>
      <c r="B1193" s="26" t="n">
        <v>45063</v>
      </c>
      <c r="C1193" s="12" t="inlineStr">
        <is>
          <t>VS06</t>
        </is>
      </c>
      <c r="D1193" s="12" t="inlineStr">
        <is>
          <t>GI Wire</t>
        </is>
      </c>
      <c r="E1193" s="12" t="inlineStr">
        <is>
          <t>N</t>
        </is>
      </c>
      <c r="F1193" s="12" t="n">
        <v>40.74</v>
      </c>
      <c r="G1193" s="17" t="n">
        <v>91040.08</v>
      </c>
      <c r="H1193" s="26" t="n">
        <v>45072</v>
      </c>
      <c r="I1193" s="26" t="n">
        <v>45075</v>
      </c>
      <c r="J1193" s="12" t="n">
        <v>40.43</v>
      </c>
      <c r="K1193" s="17" t="n">
        <v>3708972.86</v>
      </c>
      <c r="L1193" s="12" t="n">
        <v>0</v>
      </c>
      <c r="M1193" s="12" t="n">
        <v>15</v>
      </c>
      <c r="N1193" s="27">
        <f>F1193-J1193</f>
        <v/>
      </c>
      <c r="O1193" s="16">
        <f>I1193-H1193</f>
        <v/>
      </c>
      <c r="P1193" s="14">
        <f>F1193*G1193</f>
        <v/>
      </c>
      <c r="Q1193" s="14">
        <f>J1193*G1193</f>
        <v/>
      </c>
      <c r="R1193" s="14">
        <f>K1193-Q1193</f>
        <v/>
      </c>
      <c r="S1193" s="3">
        <f>P1193*Assumptions!$B$3/100</f>
        <v/>
      </c>
      <c r="T1193" s="14">
        <f>R1193-S1193</f>
        <v/>
      </c>
      <c r="U1193" s="14">
        <f>L1193*G1193</f>
        <v/>
      </c>
    </row>
    <row r="1194">
      <c r="A1194" s="12" t="inlineStr">
        <is>
          <t>PO-2021-1192</t>
        </is>
      </c>
      <c r="B1194" s="26" t="n">
        <v>45069</v>
      </c>
      <c r="C1194" s="12" t="inlineStr">
        <is>
          <t>VS06</t>
        </is>
      </c>
      <c r="D1194" s="12" t="inlineStr">
        <is>
          <t>GI Pipes</t>
        </is>
      </c>
      <c r="E1194" s="12" t="inlineStr">
        <is>
          <t>N</t>
        </is>
      </c>
      <c r="F1194" s="12" t="n">
        <v>26.15</v>
      </c>
      <c r="G1194" s="17" t="n">
        <v>117995.38</v>
      </c>
      <c r="H1194" s="26" t="n">
        <v>45082</v>
      </c>
      <c r="I1194" s="26" t="n">
        <v>45085</v>
      </c>
      <c r="J1194" s="12" t="n">
        <v>26.02</v>
      </c>
      <c r="K1194" s="17" t="n">
        <v>3085579.19</v>
      </c>
      <c r="L1194" s="12" t="n">
        <v>0</v>
      </c>
      <c r="M1194" s="12" t="n">
        <v>0</v>
      </c>
      <c r="N1194" s="27">
        <f>F1194-J1194</f>
        <v/>
      </c>
      <c r="O1194" s="16">
        <f>I1194-H1194</f>
        <v/>
      </c>
      <c r="P1194" s="14">
        <f>F1194*G1194</f>
        <v/>
      </c>
      <c r="Q1194" s="14">
        <f>J1194*G1194</f>
        <v/>
      </c>
      <c r="R1194" s="14">
        <f>K1194-Q1194</f>
        <v/>
      </c>
      <c r="S1194" s="3">
        <f>P1194*Assumptions!$B$3/100</f>
        <v/>
      </c>
      <c r="T1194" s="14">
        <f>R1194-S1194</f>
        <v/>
      </c>
      <c r="U1194" s="14">
        <f>L1194*G1194</f>
        <v/>
      </c>
    </row>
    <row r="1195">
      <c r="A1195" s="12" t="inlineStr">
        <is>
          <t>PO-2021-1193</t>
        </is>
      </c>
      <c r="B1195" s="26" t="n">
        <v>44656</v>
      </c>
      <c r="C1195" s="12" t="inlineStr">
        <is>
          <t>VS10</t>
        </is>
      </c>
      <c r="D1195" s="12" t="inlineStr">
        <is>
          <t>Structural Steel</t>
        </is>
      </c>
      <c r="E1195" s="12" t="inlineStr">
        <is>
          <t>N</t>
        </is>
      </c>
      <c r="F1195" s="12" t="n">
        <v>26.84</v>
      </c>
      <c r="G1195" s="17" t="n">
        <v>93541.89999999999</v>
      </c>
      <c r="H1195" s="26" t="n">
        <v>44660</v>
      </c>
      <c r="I1195" s="26" t="n">
        <v>44661</v>
      </c>
      <c r="J1195" s="12" t="n">
        <v>26.64</v>
      </c>
      <c r="K1195" s="17" t="n">
        <v>2510664.6</v>
      </c>
      <c r="L1195" s="12" t="n">
        <v>0</v>
      </c>
      <c r="M1195" s="12" t="n">
        <v>0</v>
      </c>
      <c r="N1195" s="27">
        <f>F1195-J1195</f>
        <v/>
      </c>
      <c r="O1195" s="16">
        <f>I1195-H1195</f>
        <v/>
      </c>
      <c r="P1195" s="14">
        <f>F1195*G1195</f>
        <v/>
      </c>
      <c r="Q1195" s="14">
        <f>J1195*G1195</f>
        <v/>
      </c>
      <c r="R1195" s="14">
        <f>K1195-Q1195</f>
        <v/>
      </c>
      <c r="S1195" s="3">
        <f>P1195*Assumptions!$B$3/100</f>
        <v/>
      </c>
      <c r="T1195" s="14">
        <f>R1195-S1195</f>
        <v/>
      </c>
      <c r="U1195" s="14">
        <f>L1195*G1195</f>
        <v/>
      </c>
    </row>
    <row r="1196">
      <c r="A1196" s="12" t="inlineStr">
        <is>
          <t>PO-2021-1194</t>
        </is>
      </c>
      <c r="B1196" s="26" t="n">
        <v>44792</v>
      </c>
      <c r="C1196" s="12" t="inlineStr">
        <is>
          <t>VS30</t>
        </is>
      </c>
      <c r="D1196" s="12" t="inlineStr">
        <is>
          <t>GI Wire</t>
        </is>
      </c>
      <c r="E1196" s="12" t="inlineStr">
        <is>
          <t>N</t>
        </is>
      </c>
      <c r="F1196" s="12" t="n">
        <v>4.88</v>
      </c>
      <c r="G1196" s="17" t="n">
        <v>105115.85</v>
      </c>
      <c r="H1196" s="26" t="n">
        <v>44799</v>
      </c>
      <c r="I1196" s="26" t="n">
        <v>44802</v>
      </c>
      <c r="J1196" s="12" t="n">
        <v>4.85</v>
      </c>
      <c r="K1196" s="17" t="n">
        <v>512965.35</v>
      </c>
      <c r="L1196" s="12" t="n">
        <v>0</v>
      </c>
      <c r="M1196" s="12" t="n">
        <v>23</v>
      </c>
      <c r="N1196" s="27">
        <f>F1196-J1196</f>
        <v/>
      </c>
      <c r="O1196" s="16">
        <f>I1196-H1196</f>
        <v/>
      </c>
      <c r="P1196" s="14">
        <f>F1196*G1196</f>
        <v/>
      </c>
      <c r="Q1196" s="14">
        <f>J1196*G1196</f>
        <v/>
      </c>
      <c r="R1196" s="14">
        <f>K1196-Q1196</f>
        <v/>
      </c>
      <c r="S1196" s="3">
        <f>P1196*Assumptions!$B$3/100</f>
        <v/>
      </c>
      <c r="T1196" s="14">
        <f>R1196-S1196</f>
        <v/>
      </c>
      <c r="U1196" s="14">
        <f>L1196*G1196</f>
        <v/>
      </c>
    </row>
    <row r="1197">
      <c r="A1197" s="12" t="inlineStr">
        <is>
          <t>PO-2021-1195</t>
        </is>
      </c>
      <c r="B1197" s="26" t="n">
        <v>44501</v>
      </c>
      <c r="C1197" s="12" t="inlineStr">
        <is>
          <t>VS09</t>
        </is>
      </c>
      <c r="D1197" s="12" t="inlineStr">
        <is>
          <t>SS Sheets</t>
        </is>
      </c>
      <c r="E1197" s="12" t="inlineStr">
        <is>
          <t>N</t>
        </is>
      </c>
      <c r="F1197" s="12" t="n">
        <v>42.24</v>
      </c>
      <c r="G1197" s="17" t="n">
        <v>84231.89999999999</v>
      </c>
      <c r="H1197" s="26" t="n">
        <v>44508</v>
      </c>
      <c r="I1197" s="26" t="n">
        <v>44510</v>
      </c>
      <c r="J1197" s="12" t="n">
        <v>42.12</v>
      </c>
      <c r="K1197" s="17" t="n">
        <v>3557955.46</v>
      </c>
      <c r="L1197" s="12" t="n">
        <v>0</v>
      </c>
      <c r="M1197" s="12" t="n">
        <v>8</v>
      </c>
      <c r="N1197" s="27">
        <f>F1197-J1197</f>
        <v/>
      </c>
      <c r="O1197" s="16">
        <f>I1197-H1197</f>
        <v/>
      </c>
      <c r="P1197" s="14">
        <f>F1197*G1197</f>
        <v/>
      </c>
      <c r="Q1197" s="14">
        <f>J1197*G1197</f>
        <v/>
      </c>
      <c r="R1197" s="14">
        <f>K1197-Q1197</f>
        <v/>
      </c>
      <c r="S1197" s="3">
        <f>P1197*Assumptions!$B$3/100</f>
        <v/>
      </c>
      <c r="T1197" s="14">
        <f>R1197-S1197</f>
        <v/>
      </c>
      <c r="U1197" s="14">
        <f>L1197*G1197</f>
        <v/>
      </c>
    </row>
    <row r="1198">
      <c r="A1198" s="12" t="inlineStr">
        <is>
          <t>PO-2021-1196</t>
        </is>
      </c>
      <c r="B1198" s="26" t="n">
        <v>44294</v>
      </c>
      <c r="C1198" s="12" t="inlineStr">
        <is>
          <t>VS05</t>
        </is>
      </c>
      <c r="D1198" s="12" t="inlineStr">
        <is>
          <t>GI Pipes</t>
        </is>
      </c>
      <c r="E1198" s="12" t="inlineStr">
        <is>
          <t>N</t>
        </is>
      </c>
      <c r="F1198" s="12" t="n">
        <v>26.16</v>
      </c>
      <c r="G1198" s="17" t="n">
        <v>83298.87</v>
      </c>
      <c r="H1198" s="26" t="n">
        <v>44303</v>
      </c>
      <c r="I1198" s="26" t="n">
        <v>44306</v>
      </c>
      <c r="J1198" s="12" t="n">
        <v>26.1</v>
      </c>
      <c r="K1198" s="17" t="n">
        <v>2179098.44</v>
      </c>
      <c r="L1198" s="12" t="n">
        <v>0</v>
      </c>
      <c r="M1198" s="12" t="n">
        <v>16</v>
      </c>
      <c r="N1198" s="27">
        <f>F1198-J1198</f>
        <v/>
      </c>
      <c r="O1198" s="16">
        <f>I1198-H1198</f>
        <v/>
      </c>
      <c r="P1198" s="14">
        <f>F1198*G1198</f>
        <v/>
      </c>
      <c r="Q1198" s="14">
        <f>J1198*G1198</f>
        <v/>
      </c>
      <c r="R1198" s="14">
        <f>K1198-Q1198</f>
        <v/>
      </c>
      <c r="S1198" s="3">
        <f>P1198*Assumptions!$B$3/100</f>
        <v/>
      </c>
      <c r="T1198" s="14">
        <f>R1198-S1198</f>
        <v/>
      </c>
      <c r="U1198" s="14">
        <f>L1198*G1198</f>
        <v/>
      </c>
    </row>
    <row r="1199">
      <c r="A1199" s="12" t="inlineStr">
        <is>
          <t>PO-2021-1197</t>
        </is>
      </c>
      <c r="B1199" s="26" t="n">
        <v>44390</v>
      </c>
      <c r="C1199" s="12" t="inlineStr">
        <is>
          <t>VS30</t>
        </is>
      </c>
      <c r="D1199" s="12" t="inlineStr">
        <is>
          <t>CR Sheets</t>
        </is>
      </c>
      <c r="E1199" s="12" t="inlineStr">
        <is>
          <t>N</t>
        </is>
      </c>
      <c r="F1199" s="12" t="n">
        <v>18.42</v>
      </c>
      <c r="G1199" s="17" t="n">
        <v>88917.59</v>
      </c>
      <c r="H1199" s="26" t="n">
        <v>44405</v>
      </c>
      <c r="I1199" s="26" t="n">
        <v>44405</v>
      </c>
      <c r="J1199" s="12" t="n">
        <v>18.25</v>
      </c>
      <c r="K1199" s="17" t="n">
        <v>1637862.01</v>
      </c>
      <c r="L1199" s="12" t="n">
        <v>0</v>
      </c>
      <c r="M1199" s="12" t="n">
        <v>7</v>
      </c>
      <c r="N1199" s="27">
        <f>F1199-J1199</f>
        <v/>
      </c>
      <c r="O1199" s="16">
        <f>I1199-H1199</f>
        <v/>
      </c>
      <c r="P1199" s="14">
        <f>F1199*G1199</f>
        <v/>
      </c>
      <c r="Q1199" s="14">
        <f>J1199*G1199</f>
        <v/>
      </c>
      <c r="R1199" s="14">
        <f>K1199-Q1199</f>
        <v/>
      </c>
      <c r="S1199" s="3">
        <f>P1199*Assumptions!$B$3/100</f>
        <v/>
      </c>
      <c r="T1199" s="14">
        <f>R1199-S1199</f>
        <v/>
      </c>
      <c r="U1199" s="14">
        <f>L1199*G1199</f>
        <v/>
      </c>
    </row>
    <row r="1200">
      <c r="A1200" s="12" t="inlineStr">
        <is>
          <t>PO-2021-1198</t>
        </is>
      </c>
      <c r="B1200" s="26" t="n">
        <v>45228</v>
      </c>
      <c r="C1200" s="12" t="inlineStr">
        <is>
          <t>VS02</t>
        </is>
      </c>
      <c r="D1200" s="12" t="inlineStr">
        <is>
          <t>ERW Pipes</t>
        </is>
      </c>
      <c r="E1200" s="12" t="inlineStr">
        <is>
          <t>N</t>
        </is>
      </c>
      <c r="F1200" s="12" t="n">
        <v>37.29</v>
      </c>
      <c r="G1200" s="17" t="n">
        <v>79715.92</v>
      </c>
      <c r="H1200" s="26" t="n">
        <v>45243</v>
      </c>
      <c r="I1200" s="26" t="n">
        <v>45244</v>
      </c>
      <c r="J1200" s="12" t="n">
        <v>37.07</v>
      </c>
      <c r="K1200" s="17" t="n">
        <v>2972606.66</v>
      </c>
      <c r="L1200" s="12" t="n">
        <v>0</v>
      </c>
      <c r="M1200" s="12" t="n">
        <v>0</v>
      </c>
      <c r="N1200" s="27">
        <f>F1200-J1200</f>
        <v/>
      </c>
      <c r="O1200" s="16">
        <f>I1200-H1200</f>
        <v/>
      </c>
      <c r="P1200" s="14">
        <f>F1200*G1200</f>
        <v/>
      </c>
      <c r="Q1200" s="14">
        <f>J1200*G1200</f>
        <v/>
      </c>
      <c r="R1200" s="14">
        <f>K1200-Q1200</f>
        <v/>
      </c>
      <c r="S1200" s="3">
        <f>P1200*Assumptions!$B$3/100</f>
        <v/>
      </c>
      <c r="T1200" s="14">
        <f>R1200-S1200</f>
        <v/>
      </c>
      <c r="U1200" s="14">
        <f>L1200*G1200</f>
        <v/>
      </c>
    </row>
    <row r="1201">
      <c r="A1201" s="12" t="inlineStr">
        <is>
          <t>PO-2021-1199</t>
        </is>
      </c>
      <c r="B1201" s="26" t="n">
        <v>44570</v>
      </c>
      <c r="C1201" s="12" t="inlineStr">
        <is>
          <t>VS26</t>
        </is>
      </c>
      <c r="D1201" s="12" t="inlineStr">
        <is>
          <t>GI Pipes</t>
        </is>
      </c>
      <c r="E1201" s="12" t="inlineStr">
        <is>
          <t>N</t>
        </is>
      </c>
      <c r="F1201" s="12" t="n">
        <v>5.08</v>
      </c>
      <c r="G1201" s="17" t="n">
        <v>110756.65</v>
      </c>
      <c r="H1201" s="26" t="n">
        <v>44577</v>
      </c>
      <c r="I1201" s="26" t="n">
        <v>44578</v>
      </c>
      <c r="J1201" s="12" t="n">
        <v>5.04</v>
      </c>
      <c r="K1201" s="17" t="n">
        <v>562643.78</v>
      </c>
      <c r="L1201" s="12" t="n">
        <v>0</v>
      </c>
      <c r="M1201" s="12" t="n">
        <v>11</v>
      </c>
      <c r="N1201" s="27">
        <f>F1201-J1201</f>
        <v/>
      </c>
      <c r="O1201" s="16">
        <f>I1201-H1201</f>
        <v/>
      </c>
      <c r="P1201" s="14">
        <f>F1201*G1201</f>
        <v/>
      </c>
      <c r="Q1201" s="14">
        <f>J1201*G1201</f>
        <v/>
      </c>
      <c r="R1201" s="14">
        <f>K1201-Q1201</f>
        <v/>
      </c>
      <c r="S1201" s="3">
        <f>P1201*Assumptions!$B$3/100</f>
        <v/>
      </c>
      <c r="T1201" s="14">
        <f>R1201-S1201</f>
        <v/>
      </c>
      <c r="U1201" s="14">
        <f>L1201*G1201</f>
        <v/>
      </c>
    </row>
    <row r="1202">
      <c r="A1202" s="12" t="inlineStr">
        <is>
          <t>PO-2021-1200</t>
        </is>
      </c>
      <c r="B1202" s="26" t="n">
        <v>44839</v>
      </c>
      <c r="C1202" s="12" t="inlineStr">
        <is>
          <t>VS30</t>
        </is>
      </c>
      <c r="D1202" s="12" t="inlineStr">
        <is>
          <t>Fasteners &amp; Fittings</t>
        </is>
      </c>
      <c r="E1202" s="12" t="inlineStr">
        <is>
          <t>N</t>
        </is>
      </c>
      <c r="F1202" s="12" t="n">
        <v>31.57</v>
      </c>
      <c r="G1202" s="17" t="n">
        <v>64880.58</v>
      </c>
      <c r="H1202" s="26" t="n">
        <v>44854</v>
      </c>
      <c r="I1202" s="26" t="n">
        <v>44857</v>
      </c>
      <c r="J1202" s="12" t="n">
        <v>31.33</v>
      </c>
      <c r="K1202" s="17" t="n">
        <v>2048279.91</v>
      </c>
      <c r="L1202" s="12" t="n">
        <v>0</v>
      </c>
      <c r="M1202" s="12" t="n">
        <v>6</v>
      </c>
      <c r="N1202" s="27">
        <f>F1202-J1202</f>
        <v/>
      </c>
      <c r="O1202" s="16">
        <f>I1202-H1202</f>
        <v/>
      </c>
      <c r="P1202" s="14">
        <f>F1202*G1202</f>
        <v/>
      </c>
      <c r="Q1202" s="14">
        <f>J1202*G1202</f>
        <v/>
      </c>
      <c r="R1202" s="14">
        <f>K1202-Q1202</f>
        <v/>
      </c>
      <c r="S1202" s="3">
        <f>P1202*Assumptions!$B$3/100</f>
        <v/>
      </c>
      <c r="T1202" s="14">
        <f>R1202-S1202</f>
        <v/>
      </c>
      <c r="U1202" s="14">
        <f>L1202*G1202</f>
        <v/>
      </c>
    </row>
    <row r="1203">
      <c r="A1203" s="12" t="inlineStr">
        <is>
          <t>PO-2021-1201</t>
        </is>
      </c>
      <c r="B1203" s="26" t="n">
        <v>44580</v>
      </c>
      <c r="C1203" s="12" t="inlineStr">
        <is>
          <t>VS14</t>
        </is>
      </c>
      <c r="D1203" s="12" t="inlineStr">
        <is>
          <t>MS Sheets</t>
        </is>
      </c>
      <c r="E1203" s="12" t="inlineStr">
        <is>
          <t>N</t>
        </is>
      </c>
      <c r="F1203" s="12" t="n">
        <v>4.83</v>
      </c>
      <c r="G1203" s="17" t="n">
        <v>118663.96</v>
      </c>
      <c r="H1203" s="26" t="n">
        <v>44587</v>
      </c>
      <c r="I1203" s="26" t="n">
        <v>44588</v>
      </c>
      <c r="J1203" s="12" t="n">
        <v>4.79</v>
      </c>
      <c r="K1203" s="17" t="n">
        <v>573146.9300000001</v>
      </c>
      <c r="L1203" s="12" t="n">
        <v>0</v>
      </c>
      <c r="M1203" s="12" t="n">
        <v>0</v>
      </c>
      <c r="N1203" s="27">
        <f>F1203-J1203</f>
        <v/>
      </c>
      <c r="O1203" s="16">
        <f>I1203-H1203</f>
        <v/>
      </c>
      <c r="P1203" s="14">
        <f>F1203*G1203</f>
        <v/>
      </c>
      <c r="Q1203" s="14">
        <f>J1203*G1203</f>
        <v/>
      </c>
      <c r="R1203" s="14">
        <f>K1203-Q1203</f>
        <v/>
      </c>
      <c r="S1203" s="3">
        <f>P1203*Assumptions!$B$3/100</f>
        <v/>
      </c>
      <c r="T1203" s="14">
        <f>R1203-S1203</f>
        <v/>
      </c>
      <c r="U1203" s="14">
        <f>L1203*G1203</f>
        <v/>
      </c>
    </row>
    <row r="1204">
      <c r="A1204" s="12" t="inlineStr">
        <is>
          <t>PO-2021-1202</t>
        </is>
      </c>
      <c r="B1204" s="26" t="n">
        <v>44414</v>
      </c>
      <c r="C1204" s="12" t="inlineStr">
        <is>
          <t>VS28</t>
        </is>
      </c>
      <c r="D1204" s="12" t="inlineStr">
        <is>
          <t>Spring Steel</t>
        </is>
      </c>
      <c r="E1204" s="12" t="inlineStr">
        <is>
          <t>N</t>
        </is>
      </c>
      <c r="F1204" s="12" t="n">
        <v>1.88</v>
      </c>
      <c r="G1204" s="17" t="n">
        <v>74620.03999999999</v>
      </c>
      <c r="H1204" s="26" t="n">
        <v>44417</v>
      </c>
      <c r="I1204" s="26" t="n">
        <v>44420</v>
      </c>
      <c r="J1204" s="12" t="n">
        <v>1.86</v>
      </c>
      <c r="K1204" s="17" t="n">
        <v>140285.68</v>
      </c>
      <c r="L1204" s="12" t="n">
        <v>0</v>
      </c>
      <c r="M1204" s="12" t="n">
        <v>12</v>
      </c>
      <c r="N1204" s="27">
        <f>F1204-J1204</f>
        <v/>
      </c>
      <c r="O1204" s="16">
        <f>I1204-H1204</f>
        <v/>
      </c>
      <c r="P1204" s="14">
        <f>F1204*G1204</f>
        <v/>
      </c>
      <c r="Q1204" s="14">
        <f>J1204*G1204</f>
        <v/>
      </c>
      <c r="R1204" s="14">
        <f>K1204-Q1204</f>
        <v/>
      </c>
      <c r="S1204" s="3">
        <f>P1204*Assumptions!$B$3/100</f>
        <v/>
      </c>
      <c r="T1204" s="14">
        <f>R1204-S1204</f>
        <v/>
      </c>
      <c r="U1204" s="14">
        <f>L1204*G1204</f>
        <v/>
      </c>
    </row>
    <row r="1205">
      <c r="A1205" s="12" t="inlineStr">
        <is>
          <t>PO-2021-1203</t>
        </is>
      </c>
      <c r="B1205" s="26" t="n">
        <v>44548</v>
      </c>
      <c r="C1205" s="12" t="inlineStr">
        <is>
          <t>VS31</t>
        </is>
      </c>
      <c r="D1205" s="12" t="inlineStr">
        <is>
          <t>Fasteners &amp; Fittings</t>
        </is>
      </c>
      <c r="E1205" s="12" t="inlineStr">
        <is>
          <t>N</t>
        </is>
      </c>
      <c r="F1205" s="12" t="n">
        <v>34.9</v>
      </c>
      <c r="G1205" s="17" t="n">
        <v>110158.54</v>
      </c>
      <c r="H1205" s="26" t="n">
        <v>44562</v>
      </c>
      <c r="I1205" s="26" t="n">
        <v>44563</v>
      </c>
      <c r="J1205" s="12" t="n">
        <v>34.71</v>
      </c>
      <c r="K1205" s="17" t="n">
        <v>3844533.05</v>
      </c>
      <c r="L1205" s="12" t="n">
        <v>0</v>
      </c>
      <c r="M1205" s="12" t="n">
        <v>0</v>
      </c>
      <c r="N1205" s="27">
        <f>F1205-J1205</f>
        <v/>
      </c>
      <c r="O1205" s="16">
        <f>I1205-H1205</f>
        <v/>
      </c>
      <c r="P1205" s="14">
        <f>F1205*G1205</f>
        <v/>
      </c>
      <c r="Q1205" s="14">
        <f>J1205*G1205</f>
        <v/>
      </c>
      <c r="R1205" s="14">
        <f>K1205-Q1205</f>
        <v/>
      </c>
      <c r="S1205" s="3">
        <f>P1205*Assumptions!$B$3/100</f>
        <v/>
      </c>
      <c r="T1205" s="14">
        <f>R1205-S1205</f>
        <v/>
      </c>
      <c r="U1205" s="14">
        <f>L1205*G1205</f>
        <v/>
      </c>
    </row>
    <row r="1206">
      <c r="A1206" s="12" t="inlineStr">
        <is>
          <t>PO-2021-1204</t>
        </is>
      </c>
      <c r="B1206" s="26" t="n">
        <v>45193</v>
      </c>
      <c r="C1206" s="12" t="inlineStr">
        <is>
          <t>VS20</t>
        </is>
      </c>
      <c r="D1206" s="12" t="inlineStr">
        <is>
          <t>Angles &amp; Channels</t>
        </is>
      </c>
      <c r="E1206" s="12" t="inlineStr">
        <is>
          <t>N</t>
        </is>
      </c>
      <c r="F1206" s="12" t="n">
        <v>34.84</v>
      </c>
      <c r="G1206" s="17" t="n">
        <v>117235.62</v>
      </c>
      <c r="H1206" s="26" t="n">
        <v>45206</v>
      </c>
      <c r="I1206" s="26" t="n">
        <v>45209</v>
      </c>
      <c r="J1206" s="12" t="n">
        <v>34.73</v>
      </c>
      <c r="K1206" s="17" t="n">
        <v>4084489</v>
      </c>
      <c r="L1206" s="12" t="n">
        <v>0</v>
      </c>
      <c r="M1206" s="12" t="n">
        <v>0</v>
      </c>
      <c r="N1206" s="27">
        <f>F1206-J1206</f>
        <v/>
      </c>
      <c r="O1206" s="16">
        <f>I1206-H1206</f>
        <v/>
      </c>
      <c r="P1206" s="14">
        <f>F1206*G1206</f>
        <v/>
      </c>
      <c r="Q1206" s="14">
        <f>J1206*G1206</f>
        <v/>
      </c>
      <c r="R1206" s="14">
        <f>K1206-Q1206</f>
        <v/>
      </c>
      <c r="S1206" s="3">
        <f>P1206*Assumptions!$B$3/100</f>
        <v/>
      </c>
      <c r="T1206" s="14">
        <f>R1206-S1206</f>
        <v/>
      </c>
      <c r="U1206" s="14">
        <f>L1206*G1206</f>
        <v/>
      </c>
    </row>
    <row r="1207">
      <c r="A1207" s="12" t="inlineStr">
        <is>
          <t>PO-2021-1205</t>
        </is>
      </c>
      <c r="B1207" s="26" t="n">
        <v>45005</v>
      </c>
      <c r="C1207" s="12" t="inlineStr">
        <is>
          <t>VS20</t>
        </is>
      </c>
      <c r="D1207" s="12" t="inlineStr">
        <is>
          <t>SS Pipes</t>
        </is>
      </c>
      <c r="E1207" s="12" t="inlineStr">
        <is>
          <t>N</t>
        </is>
      </c>
      <c r="F1207" s="12" t="n">
        <v>7.13</v>
      </c>
      <c r="G1207" s="17" t="n">
        <v>46040.69</v>
      </c>
      <c r="H1207" s="26" t="n">
        <v>45009</v>
      </c>
      <c r="I1207" s="26" t="n">
        <v>45011</v>
      </c>
      <c r="J1207" s="12" t="n">
        <v>7.11</v>
      </c>
      <c r="K1207" s="17" t="n">
        <v>328270.12</v>
      </c>
      <c r="L1207" s="12" t="n">
        <v>0</v>
      </c>
      <c r="M1207" s="12" t="n">
        <v>0</v>
      </c>
      <c r="N1207" s="27">
        <f>F1207-J1207</f>
        <v/>
      </c>
      <c r="O1207" s="16">
        <f>I1207-H1207</f>
        <v/>
      </c>
      <c r="P1207" s="14">
        <f>F1207*G1207</f>
        <v/>
      </c>
      <c r="Q1207" s="14">
        <f>J1207*G1207</f>
        <v/>
      </c>
      <c r="R1207" s="14">
        <f>K1207-Q1207</f>
        <v/>
      </c>
      <c r="S1207" s="3">
        <f>P1207*Assumptions!$B$3/100</f>
        <v/>
      </c>
      <c r="T1207" s="14">
        <f>R1207-S1207</f>
        <v/>
      </c>
      <c r="U1207" s="14">
        <f>L1207*G1207</f>
        <v/>
      </c>
    </row>
    <row r="1208">
      <c r="A1208" s="12" t="inlineStr">
        <is>
          <t>PO-2021-1206</t>
        </is>
      </c>
      <c r="B1208" s="26" t="n">
        <v>44229</v>
      </c>
      <c r="C1208" s="12" t="inlineStr">
        <is>
          <t>VS13</t>
        </is>
      </c>
      <c r="D1208" s="12" t="inlineStr">
        <is>
          <t>MS Pipes</t>
        </is>
      </c>
      <c r="E1208" s="12" t="inlineStr">
        <is>
          <t>N</t>
        </is>
      </c>
      <c r="F1208" s="12" t="n">
        <v>11.25</v>
      </c>
      <c r="G1208" s="17" t="n">
        <v>93646.74000000001</v>
      </c>
      <c r="H1208" s="26" t="n">
        <v>44242</v>
      </c>
      <c r="I1208" s="26" t="n">
        <v>44242</v>
      </c>
      <c r="J1208" s="12" t="n">
        <v>11.14</v>
      </c>
      <c r="K1208" s="17" t="n">
        <v>1053525.82</v>
      </c>
      <c r="L1208" s="12" t="n">
        <v>0</v>
      </c>
      <c r="M1208" s="12" t="n">
        <v>0</v>
      </c>
      <c r="N1208" s="27">
        <f>F1208-J1208</f>
        <v/>
      </c>
      <c r="O1208" s="16">
        <f>I1208-H1208</f>
        <v/>
      </c>
      <c r="P1208" s="14">
        <f>F1208*G1208</f>
        <v/>
      </c>
      <c r="Q1208" s="14">
        <f>J1208*G1208</f>
        <v/>
      </c>
      <c r="R1208" s="14">
        <f>K1208-Q1208</f>
        <v/>
      </c>
      <c r="S1208" s="3">
        <f>P1208*Assumptions!$B$3/100</f>
        <v/>
      </c>
      <c r="T1208" s="14">
        <f>R1208-S1208</f>
        <v/>
      </c>
      <c r="U1208" s="14">
        <f>L1208*G1208</f>
        <v/>
      </c>
    </row>
    <row r="1209">
      <c r="A1209" s="12" t="inlineStr">
        <is>
          <t>PO-2021-1207</t>
        </is>
      </c>
      <c r="B1209" s="26" t="n">
        <v>44692</v>
      </c>
      <c r="C1209" s="12" t="inlineStr">
        <is>
          <t>VS28</t>
        </is>
      </c>
      <c r="D1209" s="12" t="inlineStr">
        <is>
          <t>Spring Steel</t>
        </is>
      </c>
      <c r="E1209" s="12" t="inlineStr">
        <is>
          <t>N</t>
        </is>
      </c>
      <c r="F1209" s="12" t="n">
        <v>10.35</v>
      </c>
      <c r="G1209" s="17" t="n">
        <v>67568.84</v>
      </c>
      <c r="H1209" s="26" t="n">
        <v>44702</v>
      </c>
      <c r="I1209" s="26" t="n">
        <v>44705</v>
      </c>
      <c r="J1209" s="12" t="n">
        <v>10.33</v>
      </c>
      <c r="K1209" s="17" t="n">
        <v>699337.49</v>
      </c>
      <c r="L1209" s="12" t="n">
        <v>0</v>
      </c>
      <c r="M1209" s="12" t="n">
        <v>0</v>
      </c>
      <c r="N1209" s="27">
        <f>F1209-J1209</f>
        <v/>
      </c>
      <c r="O1209" s="16">
        <f>I1209-H1209</f>
        <v/>
      </c>
      <c r="P1209" s="14">
        <f>F1209*G1209</f>
        <v/>
      </c>
      <c r="Q1209" s="14">
        <f>J1209*G1209</f>
        <v/>
      </c>
      <c r="R1209" s="14">
        <f>K1209-Q1209</f>
        <v/>
      </c>
      <c r="S1209" s="3">
        <f>P1209*Assumptions!$B$3/100</f>
        <v/>
      </c>
      <c r="T1209" s="14">
        <f>R1209-S1209</f>
        <v/>
      </c>
      <c r="U1209" s="14">
        <f>L1209*G1209</f>
        <v/>
      </c>
    </row>
    <row r="1210">
      <c r="A1210" s="12" t="inlineStr">
        <is>
          <t>PO-2021-1208</t>
        </is>
      </c>
      <c r="B1210" s="26" t="n">
        <v>44500</v>
      </c>
      <c r="C1210" s="12" t="inlineStr">
        <is>
          <t>VS31</t>
        </is>
      </c>
      <c r="D1210" s="12" t="inlineStr">
        <is>
          <t>GI Wire</t>
        </is>
      </c>
      <c r="E1210" s="12" t="inlineStr">
        <is>
          <t>N</t>
        </is>
      </c>
      <c r="F1210" s="12" t="n">
        <v>2.07</v>
      </c>
      <c r="G1210" s="17" t="n">
        <v>57457.91</v>
      </c>
      <c r="H1210" s="26" t="n">
        <v>44505</v>
      </c>
      <c r="I1210" s="26" t="n">
        <v>44505</v>
      </c>
      <c r="J1210" s="12" t="n">
        <v>2.05</v>
      </c>
      <c r="K1210" s="17" t="n">
        <v>118937.87</v>
      </c>
      <c r="L1210" s="12" t="n">
        <v>0</v>
      </c>
      <c r="M1210" s="12" t="n">
        <v>1</v>
      </c>
      <c r="N1210" s="27">
        <f>F1210-J1210</f>
        <v/>
      </c>
      <c r="O1210" s="16">
        <f>I1210-H1210</f>
        <v/>
      </c>
      <c r="P1210" s="14">
        <f>F1210*G1210</f>
        <v/>
      </c>
      <c r="Q1210" s="14">
        <f>J1210*G1210</f>
        <v/>
      </c>
      <c r="R1210" s="14">
        <f>K1210-Q1210</f>
        <v/>
      </c>
      <c r="S1210" s="3">
        <f>P1210*Assumptions!$B$3/100</f>
        <v/>
      </c>
      <c r="T1210" s="14">
        <f>R1210-S1210</f>
        <v/>
      </c>
      <c r="U1210" s="14">
        <f>L1210*G1210</f>
        <v/>
      </c>
    </row>
    <row r="1211">
      <c r="A1211" s="12" t="inlineStr">
        <is>
          <t>PO-2021-1209</t>
        </is>
      </c>
      <c r="B1211" s="26" t="n">
        <v>45108</v>
      </c>
      <c r="C1211" s="12" t="inlineStr">
        <is>
          <t>VS32</t>
        </is>
      </c>
      <c r="D1211" s="12" t="inlineStr">
        <is>
          <t>Structural Steel</t>
        </is>
      </c>
      <c r="E1211" s="12" t="inlineStr">
        <is>
          <t>N</t>
        </is>
      </c>
      <c r="F1211" s="12" t="n">
        <v>1.96</v>
      </c>
      <c r="G1211" s="17" t="n">
        <v>78713.72</v>
      </c>
      <c r="H1211" s="26" t="n">
        <v>45114</v>
      </c>
      <c r="I1211" s="26" t="n">
        <v>45116</v>
      </c>
      <c r="J1211" s="12" t="n">
        <v>1.94</v>
      </c>
      <c r="K1211" s="17" t="n">
        <v>154278.89</v>
      </c>
      <c r="L1211" s="12" t="n">
        <v>0</v>
      </c>
      <c r="M1211" s="12" t="n">
        <v>0</v>
      </c>
      <c r="N1211" s="27">
        <f>F1211-J1211</f>
        <v/>
      </c>
      <c r="O1211" s="16">
        <f>I1211-H1211</f>
        <v/>
      </c>
      <c r="P1211" s="14">
        <f>F1211*G1211</f>
        <v/>
      </c>
      <c r="Q1211" s="14">
        <f>J1211*G1211</f>
        <v/>
      </c>
      <c r="R1211" s="14">
        <f>K1211-Q1211</f>
        <v/>
      </c>
      <c r="S1211" s="3">
        <f>P1211*Assumptions!$B$3/100</f>
        <v/>
      </c>
      <c r="T1211" s="14">
        <f>R1211-S1211</f>
        <v/>
      </c>
      <c r="U1211" s="14">
        <f>L1211*G1211</f>
        <v/>
      </c>
    </row>
    <row r="1212">
      <c r="A1212" s="12" t="inlineStr">
        <is>
          <t>PO-2021-1210</t>
        </is>
      </c>
      <c r="B1212" s="26" t="n">
        <v>44609</v>
      </c>
      <c r="C1212" s="12" t="inlineStr">
        <is>
          <t>VS19</t>
        </is>
      </c>
      <c r="D1212" s="12" t="inlineStr">
        <is>
          <t>MS Rods</t>
        </is>
      </c>
      <c r="E1212" s="12" t="inlineStr">
        <is>
          <t>N</t>
        </is>
      </c>
      <c r="F1212" s="12" t="n">
        <v>3.5</v>
      </c>
      <c r="G1212" s="17" t="n">
        <v>47414.19</v>
      </c>
      <c r="H1212" s="26" t="n">
        <v>44622</v>
      </c>
      <c r="I1212" s="26" t="n">
        <v>44624</v>
      </c>
      <c r="J1212" s="12" t="n">
        <v>3.35</v>
      </c>
      <c r="K1212" s="17" t="n">
        <v>165949.67</v>
      </c>
      <c r="L1212" s="12" t="n">
        <v>0.07000000000000001</v>
      </c>
      <c r="M1212" s="12" t="n">
        <v>0</v>
      </c>
      <c r="N1212" s="27">
        <f>F1212-J1212</f>
        <v/>
      </c>
      <c r="O1212" s="16">
        <f>I1212-H1212</f>
        <v/>
      </c>
      <c r="P1212" s="14">
        <f>F1212*G1212</f>
        <v/>
      </c>
      <c r="Q1212" s="14">
        <f>J1212*G1212</f>
        <v/>
      </c>
      <c r="R1212" s="14">
        <f>K1212-Q1212</f>
        <v/>
      </c>
      <c r="S1212" s="3">
        <f>P1212*Assumptions!$B$3/100</f>
        <v/>
      </c>
      <c r="T1212" s="14">
        <f>R1212-S1212</f>
        <v/>
      </c>
      <c r="U1212" s="14">
        <f>L1212*G1212</f>
        <v/>
      </c>
    </row>
    <row r="1213">
      <c r="A1213" s="12" t="inlineStr">
        <is>
          <t>PO-2021-1211</t>
        </is>
      </c>
      <c r="B1213" s="26" t="n">
        <v>45081</v>
      </c>
      <c r="C1213" s="12" t="inlineStr">
        <is>
          <t>VS27</t>
        </is>
      </c>
      <c r="D1213" s="12" t="inlineStr">
        <is>
          <t>Structural Steel</t>
        </is>
      </c>
      <c r="E1213" s="12" t="inlineStr">
        <is>
          <t>N</t>
        </is>
      </c>
      <c r="F1213" s="12" t="n">
        <v>37.12</v>
      </c>
      <c r="G1213" s="17" t="n">
        <v>89687.97</v>
      </c>
      <c r="H1213" s="26" t="n">
        <v>45092</v>
      </c>
      <c r="I1213" s="26" t="n">
        <v>45093</v>
      </c>
      <c r="J1213" s="12" t="n">
        <v>36.82</v>
      </c>
      <c r="K1213" s="17" t="n">
        <v>3329217.45</v>
      </c>
      <c r="L1213" s="12" t="n">
        <v>0</v>
      </c>
      <c r="M1213" s="12" t="n">
        <v>2</v>
      </c>
      <c r="N1213" s="27">
        <f>F1213-J1213</f>
        <v/>
      </c>
      <c r="O1213" s="16">
        <f>I1213-H1213</f>
        <v/>
      </c>
      <c r="P1213" s="14">
        <f>F1213*G1213</f>
        <v/>
      </c>
      <c r="Q1213" s="14">
        <f>J1213*G1213</f>
        <v/>
      </c>
      <c r="R1213" s="14">
        <f>K1213-Q1213</f>
        <v/>
      </c>
      <c r="S1213" s="3">
        <f>P1213*Assumptions!$B$3/100</f>
        <v/>
      </c>
      <c r="T1213" s="14">
        <f>R1213-S1213</f>
        <v/>
      </c>
      <c r="U1213" s="14">
        <f>L1213*G1213</f>
        <v/>
      </c>
    </row>
    <row r="1214">
      <c r="A1214" s="12" t="inlineStr">
        <is>
          <t>PO-2021-1212</t>
        </is>
      </c>
      <c r="B1214" s="26" t="n">
        <v>44792</v>
      </c>
      <c r="C1214" s="12" t="inlineStr">
        <is>
          <t>VS03</t>
        </is>
      </c>
      <c r="D1214" s="12" t="inlineStr">
        <is>
          <t>Structural Steel</t>
        </is>
      </c>
      <c r="E1214" s="12" t="inlineStr">
        <is>
          <t>N</t>
        </is>
      </c>
      <c r="F1214" s="12" t="n">
        <v>20.58</v>
      </c>
      <c r="G1214" s="17" t="n">
        <v>86841.75</v>
      </c>
      <c r="H1214" s="26" t="n">
        <v>44806</v>
      </c>
      <c r="I1214" s="26" t="n">
        <v>44813</v>
      </c>
      <c r="J1214" s="12" t="n">
        <v>19.94</v>
      </c>
      <c r="K1214" s="17" t="n">
        <v>1787203.21</v>
      </c>
      <c r="L1214" s="12" t="n">
        <v>0.88</v>
      </c>
      <c r="M1214" s="12" t="n">
        <v>0</v>
      </c>
      <c r="N1214" s="27">
        <f>F1214-J1214</f>
        <v/>
      </c>
      <c r="O1214" s="16">
        <f>I1214-H1214</f>
        <v/>
      </c>
      <c r="P1214" s="14">
        <f>F1214*G1214</f>
        <v/>
      </c>
      <c r="Q1214" s="14">
        <f>J1214*G1214</f>
        <v/>
      </c>
      <c r="R1214" s="14">
        <f>K1214-Q1214</f>
        <v/>
      </c>
      <c r="S1214" s="3">
        <f>P1214*Assumptions!$B$3/100</f>
        <v/>
      </c>
      <c r="T1214" s="14">
        <f>R1214-S1214</f>
        <v/>
      </c>
      <c r="U1214" s="14">
        <f>L1214*G1214</f>
        <v/>
      </c>
    </row>
    <row r="1215">
      <c r="A1215" s="12" t="inlineStr">
        <is>
          <t>PO-2021-1213</t>
        </is>
      </c>
      <c r="B1215" s="26" t="n">
        <v>45196</v>
      </c>
      <c r="C1215" s="12" t="inlineStr">
        <is>
          <t>VS15</t>
        </is>
      </c>
      <c r="D1215" s="12" t="inlineStr">
        <is>
          <t>GI Pipes</t>
        </is>
      </c>
      <c r="E1215" s="12" t="inlineStr">
        <is>
          <t>N</t>
        </is>
      </c>
      <c r="F1215" s="12" t="n">
        <v>26.89</v>
      </c>
      <c r="G1215" s="17" t="n">
        <v>76650.34</v>
      </c>
      <c r="H1215" s="26" t="n">
        <v>45204</v>
      </c>
      <c r="I1215" s="26" t="n">
        <v>45205</v>
      </c>
      <c r="J1215" s="12" t="n">
        <v>26.76</v>
      </c>
      <c r="K1215" s="17" t="n">
        <v>2061127.64</v>
      </c>
      <c r="L1215" s="12" t="n">
        <v>0</v>
      </c>
      <c r="M1215" s="12" t="n">
        <v>0</v>
      </c>
      <c r="N1215" s="27">
        <f>F1215-J1215</f>
        <v/>
      </c>
      <c r="O1215" s="16">
        <f>I1215-H1215</f>
        <v/>
      </c>
      <c r="P1215" s="14">
        <f>F1215*G1215</f>
        <v/>
      </c>
      <c r="Q1215" s="14">
        <f>J1215*G1215</f>
        <v/>
      </c>
      <c r="R1215" s="14">
        <f>K1215-Q1215</f>
        <v/>
      </c>
      <c r="S1215" s="3">
        <f>P1215*Assumptions!$B$3/100</f>
        <v/>
      </c>
      <c r="T1215" s="14">
        <f>R1215-S1215</f>
        <v/>
      </c>
      <c r="U1215" s="14">
        <f>L1215*G1215</f>
        <v/>
      </c>
    </row>
    <row r="1216">
      <c r="A1216" s="12" t="inlineStr">
        <is>
          <t>PO-2021-1214</t>
        </is>
      </c>
      <c r="B1216" s="26" t="n">
        <v>44327</v>
      </c>
      <c r="C1216" s="12" t="inlineStr">
        <is>
          <t>VS18</t>
        </is>
      </c>
      <c r="D1216" s="12" t="inlineStr">
        <is>
          <t>GI Wire</t>
        </is>
      </c>
      <c r="E1216" s="12" t="inlineStr">
        <is>
          <t>N</t>
        </is>
      </c>
      <c r="F1216" s="12" t="n">
        <v>44.57</v>
      </c>
      <c r="G1216" s="17" t="n">
        <v>53770.56</v>
      </c>
      <c r="H1216" s="26" t="n">
        <v>44339</v>
      </c>
      <c r="I1216" s="26" t="n">
        <v>44342</v>
      </c>
      <c r="J1216" s="12" t="n">
        <v>44.41</v>
      </c>
      <c r="K1216" s="17" t="n">
        <v>2396553.86</v>
      </c>
      <c r="L1216" s="12" t="n">
        <v>0</v>
      </c>
      <c r="M1216" s="12" t="n">
        <v>10</v>
      </c>
      <c r="N1216" s="27">
        <f>F1216-J1216</f>
        <v/>
      </c>
      <c r="O1216" s="16">
        <f>I1216-H1216</f>
        <v/>
      </c>
      <c r="P1216" s="14">
        <f>F1216*G1216</f>
        <v/>
      </c>
      <c r="Q1216" s="14">
        <f>J1216*G1216</f>
        <v/>
      </c>
      <c r="R1216" s="14">
        <f>K1216-Q1216</f>
        <v/>
      </c>
      <c r="S1216" s="3">
        <f>P1216*Assumptions!$B$3/100</f>
        <v/>
      </c>
      <c r="T1216" s="14">
        <f>R1216-S1216</f>
        <v/>
      </c>
      <c r="U1216" s="14">
        <f>L1216*G1216</f>
        <v/>
      </c>
    </row>
    <row r="1217">
      <c r="A1217" s="12" t="inlineStr">
        <is>
          <t>PO-2021-1215</t>
        </is>
      </c>
      <c r="B1217" s="26" t="n">
        <v>44907</v>
      </c>
      <c r="C1217" s="12" t="inlineStr">
        <is>
          <t>VS29</t>
        </is>
      </c>
      <c r="D1217" s="12" t="inlineStr">
        <is>
          <t>GI Wire</t>
        </is>
      </c>
      <c r="E1217" s="12" t="inlineStr">
        <is>
          <t>N</t>
        </is>
      </c>
      <c r="F1217" s="12" t="n">
        <v>2.02</v>
      </c>
      <c r="G1217" s="17" t="n">
        <v>66600.81</v>
      </c>
      <c r="H1217" s="26" t="n">
        <v>44913</v>
      </c>
      <c r="I1217" s="26" t="n">
        <v>44914</v>
      </c>
      <c r="J1217" s="12" t="n">
        <v>2.01</v>
      </c>
      <c r="K1217" s="17" t="n">
        <v>134533.64</v>
      </c>
      <c r="L1217" s="12" t="n">
        <v>0</v>
      </c>
      <c r="M1217" s="12" t="n">
        <v>21</v>
      </c>
      <c r="N1217" s="27">
        <f>F1217-J1217</f>
        <v/>
      </c>
      <c r="O1217" s="16">
        <f>I1217-H1217</f>
        <v/>
      </c>
      <c r="P1217" s="14">
        <f>F1217*G1217</f>
        <v/>
      </c>
      <c r="Q1217" s="14">
        <f>J1217*G1217</f>
        <v/>
      </c>
      <c r="R1217" s="14">
        <f>K1217-Q1217</f>
        <v/>
      </c>
      <c r="S1217" s="3">
        <f>P1217*Assumptions!$B$3/100</f>
        <v/>
      </c>
      <c r="T1217" s="14">
        <f>R1217-S1217</f>
        <v/>
      </c>
      <c r="U1217" s="14">
        <f>L1217*G1217</f>
        <v/>
      </c>
    </row>
    <row r="1218">
      <c r="A1218" s="12" t="inlineStr">
        <is>
          <t>PO-2021-1216</t>
        </is>
      </c>
      <c r="B1218" s="26" t="n">
        <v>45158</v>
      </c>
      <c r="C1218" s="12" t="inlineStr">
        <is>
          <t>VS23</t>
        </is>
      </c>
      <c r="D1218" s="12" t="inlineStr">
        <is>
          <t>Fasteners &amp; Fittings</t>
        </is>
      </c>
      <c r="E1218" s="12" t="inlineStr">
        <is>
          <t>N</t>
        </is>
      </c>
      <c r="F1218" s="12" t="n">
        <v>12.37</v>
      </c>
      <c r="G1218" s="17" t="n">
        <v>61477.68</v>
      </c>
      <c r="H1218" s="26" t="n">
        <v>45171</v>
      </c>
      <c r="I1218" s="26" t="n">
        <v>45171</v>
      </c>
      <c r="J1218" s="12" t="n">
        <v>12.28</v>
      </c>
      <c r="K1218" s="17" t="n">
        <v>760478.9</v>
      </c>
      <c r="L1218" s="12" t="n">
        <v>0</v>
      </c>
      <c r="M1218" s="12" t="n">
        <v>25</v>
      </c>
      <c r="N1218" s="27">
        <f>F1218-J1218</f>
        <v/>
      </c>
      <c r="O1218" s="16">
        <f>I1218-H1218</f>
        <v/>
      </c>
      <c r="P1218" s="14">
        <f>F1218*G1218</f>
        <v/>
      </c>
      <c r="Q1218" s="14">
        <f>J1218*G1218</f>
        <v/>
      </c>
      <c r="R1218" s="14">
        <f>K1218-Q1218</f>
        <v/>
      </c>
      <c r="S1218" s="3">
        <f>P1218*Assumptions!$B$3/100</f>
        <v/>
      </c>
      <c r="T1218" s="14">
        <f>R1218-S1218</f>
        <v/>
      </c>
      <c r="U1218" s="14">
        <f>L1218*G1218</f>
        <v/>
      </c>
    </row>
    <row r="1219">
      <c r="A1219" s="12" t="inlineStr">
        <is>
          <t>PO-2021-1217</t>
        </is>
      </c>
      <c r="B1219" s="26" t="n">
        <v>44891</v>
      </c>
      <c r="C1219" s="12" t="inlineStr">
        <is>
          <t>VS30</t>
        </is>
      </c>
      <c r="D1219" s="12" t="inlineStr">
        <is>
          <t>Square/Rect Tubes</t>
        </is>
      </c>
      <c r="E1219" s="12" t="inlineStr">
        <is>
          <t>Y</t>
        </is>
      </c>
      <c r="F1219" s="12" t="n">
        <v>44.28</v>
      </c>
      <c r="G1219" s="17" t="n">
        <v>99224.63</v>
      </c>
      <c r="H1219" s="26" t="n">
        <v>44900</v>
      </c>
      <c r="I1219" s="26" t="n">
        <v>44903</v>
      </c>
      <c r="J1219" s="12" t="n">
        <v>43.88</v>
      </c>
      <c r="K1219" s="17" t="n">
        <v>4393666.62</v>
      </c>
      <c r="L1219" s="12" t="n">
        <v>0</v>
      </c>
      <c r="M1219" s="12" t="n">
        <v>0</v>
      </c>
      <c r="N1219" s="27">
        <f>F1219-J1219</f>
        <v/>
      </c>
      <c r="O1219" s="16">
        <f>I1219-H1219</f>
        <v/>
      </c>
      <c r="P1219" s="14">
        <f>F1219*G1219</f>
        <v/>
      </c>
      <c r="Q1219" s="14">
        <f>J1219*G1219</f>
        <v/>
      </c>
      <c r="R1219" s="14">
        <f>K1219-Q1219</f>
        <v/>
      </c>
      <c r="S1219" s="3">
        <f>P1219*Assumptions!$B$3/100</f>
        <v/>
      </c>
      <c r="T1219" s="14">
        <f>R1219-S1219</f>
        <v/>
      </c>
      <c r="U1219" s="14">
        <f>L1219*G1219</f>
        <v/>
      </c>
    </row>
    <row r="1220">
      <c r="A1220" s="12" t="inlineStr">
        <is>
          <t>PO-2021-1218</t>
        </is>
      </c>
      <c r="B1220" s="26" t="n">
        <v>45050</v>
      </c>
      <c r="C1220" s="12" t="inlineStr">
        <is>
          <t>VS24</t>
        </is>
      </c>
      <c r="D1220" s="12" t="inlineStr">
        <is>
          <t>Structural Steel</t>
        </is>
      </c>
      <c r="E1220" s="12" t="inlineStr">
        <is>
          <t>N</t>
        </is>
      </c>
      <c r="F1220" s="12" t="n">
        <v>40.19</v>
      </c>
      <c r="G1220" s="17" t="n">
        <v>108339.85</v>
      </c>
      <c r="H1220" s="26" t="n">
        <v>45062</v>
      </c>
      <c r="I1220" s="26" t="n">
        <v>45064</v>
      </c>
      <c r="J1220" s="12" t="n">
        <v>40.09</v>
      </c>
      <c r="K1220" s="17" t="n">
        <v>4354178.57</v>
      </c>
      <c r="L1220" s="12" t="n">
        <v>0</v>
      </c>
      <c r="M1220" s="12" t="n">
        <v>11</v>
      </c>
      <c r="N1220" s="27">
        <f>F1220-J1220</f>
        <v/>
      </c>
      <c r="O1220" s="16">
        <f>I1220-H1220</f>
        <v/>
      </c>
      <c r="P1220" s="14">
        <f>F1220*G1220</f>
        <v/>
      </c>
      <c r="Q1220" s="14">
        <f>J1220*G1220</f>
        <v/>
      </c>
      <c r="R1220" s="14">
        <f>K1220-Q1220</f>
        <v/>
      </c>
      <c r="S1220" s="3">
        <f>P1220*Assumptions!$B$3/100</f>
        <v/>
      </c>
      <c r="T1220" s="14">
        <f>R1220-S1220</f>
        <v/>
      </c>
      <c r="U1220" s="14">
        <f>L1220*G1220</f>
        <v/>
      </c>
    </row>
    <row r="1221">
      <c r="A1221" s="12" t="inlineStr">
        <is>
          <t>PO-2021-1219</t>
        </is>
      </c>
      <c r="B1221" s="26" t="n">
        <v>44621</v>
      </c>
      <c r="C1221" s="12" t="inlineStr">
        <is>
          <t>VS19</t>
        </is>
      </c>
      <c r="D1221" s="12" t="inlineStr">
        <is>
          <t>SS Pipes</t>
        </is>
      </c>
      <c r="E1221" s="12" t="inlineStr">
        <is>
          <t>N</t>
        </is>
      </c>
      <c r="F1221" s="12" t="n">
        <v>33.69</v>
      </c>
      <c r="G1221" s="17" t="n">
        <v>56869.53</v>
      </c>
      <c r="H1221" s="26" t="n">
        <v>44627</v>
      </c>
      <c r="I1221" s="26" t="n">
        <v>44632</v>
      </c>
      <c r="J1221" s="12" t="n">
        <v>32.97</v>
      </c>
      <c r="K1221" s="17" t="n">
        <v>1915934.47</v>
      </c>
      <c r="L1221" s="12" t="n">
        <v>0.9399999999999999</v>
      </c>
      <c r="M1221" s="12" t="n">
        <v>22</v>
      </c>
      <c r="N1221" s="27">
        <f>F1221-J1221</f>
        <v/>
      </c>
      <c r="O1221" s="16">
        <f>I1221-H1221</f>
        <v/>
      </c>
      <c r="P1221" s="14">
        <f>F1221*G1221</f>
        <v/>
      </c>
      <c r="Q1221" s="14">
        <f>J1221*G1221</f>
        <v/>
      </c>
      <c r="R1221" s="14">
        <f>K1221-Q1221</f>
        <v/>
      </c>
      <c r="S1221" s="3">
        <f>P1221*Assumptions!$B$3/100</f>
        <v/>
      </c>
      <c r="T1221" s="14">
        <f>R1221-S1221</f>
        <v/>
      </c>
      <c r="U1221" s="14">
        <f>L1221*G1221</f>
        <v/>
      </c>
    </row>
    <row r="1222">
      <c r="A1222" s="12" t="inlineStr">
        <is>
          <t>PO-2021-1220</t>
        </is>
      </c>
      <c r="B1222" s="26" t="n">
        <v>44517</v>
      </c>
      <c r="C1222" s="12" t="inlineStr">
        <is>
          <t>VS32</t>
        </is>
      </c>
      <c r="D1222" s="12" t="inlineStr">
        <is>
          <t>ERW Pipes</t>
        </is>
      </c>
      <c r="E1222" s="12" t="inlineStr">
        <is>
          <t>N</t>
        </is>
      </c>
      <c r="F1222" s="12" t="n">
        <v>39.88</v>
      </c>
      <c r="G1222" s="17" t="n">
        <v>115729.1</v>
      </c>
      <c r="H1222" s="26" t="n">
        <v>44527</v>
      </c>
      <c r="I1222" s="26" t="n">
        <v>44527</v>
      </c>
      <c r="J1222" s="12" t="n">
        <v>39.84</v>
      </c>
      <c r="K1222" s="17" t="n">
        <v>4615276.51</v>
      </c>
      <c r="L1222" s="12" t="n">
        <v>0</v>
      </c>
      <c r="M1222" s="12" t="n">
        <v>0</v>
      </c>
      <c r="N1222" s="27">
        <f>F1222-J1222</f>
        <v/>
      </c>
      <c r="O1222" s="16">
        <f>I1222-H1222</f>
        <v/>
      </c>
      <c r="P1222" s="14">
        <f>F1222*G1222</f>
        <v/>
      </c>
      <c r="Q1222" s="14">
        <f>J1222*G1222</f>
        <v/>
      </c>
      <c r="R1222" s="14">
        <f>K1222-Q1222</f>
        <v/>
      </c>
      <c r="S1222" s="3">
        <f>P1222*Assumptions!$B$3/100</f>
        <v/>
      </c>
      <c r="T1222" s="14">
        <f>R1222-S1222</f>
        <v/>
      </c>
      <c r="U1222" s="14">
        <f>L1222*G1222</f>
        <v/>
      </c>
    </row>
    <row r="1223">
      <c r="A1223" s="12" t="inlineStr">
        <is>
          <t>PO-2021-1221</t>
        </is>
      </c>
      <c r="B1223" s="26" t="n">
        <v>44818</v>
      </c>
      <c r="C1223" s="12" t="inlineStr">
        <is>
          <t>VS16</t>
        </is>
      </c>
      <c r="D1223" s="12" t="inlineStr">
        <is>
          <t>GI Sheets</t>
        </is>
      </c>
      <c r="E1223" s="12" t="inlineStr">
        <is>
          <t>N</t>
        </is>
      </c>
      <c r="F1223" s="12" t="n">
        <v>28.28</v>
      </c>
      <c r="G1223" s="17" t="n">
        <v>119944.59</v>
      </c>
      <c r="H1223" s="26" t="n">
        <v>44826</v>
      </c>
      <c r="I1223" s="26" t="n">
        <v>44829</v>
      </c>
      <c r="J1223" s="12" t="n">
        <v>28.08</v>
      </c>
      <c r="K1223" s="17" t="n">
        <v>3392033.01</v>
      </c>
      <c r="L1223" s="12" t="n">
        <v>0</v>
      </c>
      <c r="M1223" s="12" t="n">
        <v>0</v>
      </c>
      <c r="N1223" s="27">
        <f>F1223-J1223</f>
        <v/>
      </c>
      <c r="O1223" s="16">
        <f>I1223-H1223</f>
        <v/>
      </c>
      <c r="P1223" s="14">
        <f>F1223*G1223</f>
        <v/>
      </c>
      <c r="Q1223" s="14">
        <f>J1223*G1223</f>
        <v/>
      </c>
      <c r="R1223" s="14">
        <f>K1223-Q1223</f>
        <v/>
      </c>
      <c r="S1223" s="3">
        <f>P1223*Assumptions!$B$3/100</f>
        <v/>
      </c>
      <c r="T1223" s="14">
        <f>R1223-S1223</f>
        <v/>
      </c>
      <c r="U1223" s="14">
        <f>L1223*G1223</f>
        <v/>
      </c>
    </row>
    <row r="1224">
      <c r="A1224" s="12" t="inlineStr">
        <is>
          <t>PO-2021-1222</t>
        </is>
      </c>
      <c r="B1224" s="26" t="n">
        <v>44731</v>
      </c>
      <c r="C1224" s="12" t="inlineStr">
        <is>
          <t>VS23</t>
        </is>
      </c>
      <c r="D1224" s="12" t="inlineStr">
        <is>
          <t>MS Sheets</t>
        </is>
      </c>
      <c r="E1224" s="12" t="inlineStr">
        <is>
          <t>N</t>
        </is>
      </c>
      <c r="F1224" s="12" t="n">
        <v>9.56</v>
      </c>
      <c r="G1224" s="17" t="n">
        <v>109459.63</v>
      </c>
      <c r="H1224" s="26" t="n">
        <v>44742</v>
      </c>
      <c r="I1224" s="26" t="n">
        <v>44744</v>
      </c>
      <c r="J1224" s="12" t="n">
        <v>9.49</v>
      </c>
      <c r="K1224" s="17" t="n">
        <v>1046434.06</v>
      </c>
      <c r="L1224" s="12" t="n">
        <v>0</v>
      </c>
      <c r="M1224" s="12" t="n">
        <v>0</v>
      </c>
      <c r="N1224" s="27">
        <f>F1224-J1224</f>
        <v/>
      </c>
      <c r="O1224" s="16">
        <f>I1224-H1224</f>
        <v/>
      </c>
      <c r="P1224" s="14">
        <f>F1224*G1224</f>
        <v/>
      </c>
      <c r="Q1224" s="14">
        <f>J1224*G1224</f>
        <v/>
      </c>
      <c r="R1224" s="14">
        <f>K1224-Q1224</f>
        <v/>
      </c>
      <c r="S1224" s="3">
        <f>P1224*Assumptions!$B$3/100</f>
        <v/>
      </c>
      <c r="T1224" s="14">
        <f>R1224-S1224</f>
        <v/>
      </c>
      <c r="U1224" s="14">
        <f>L1224*G1224</f>
        <v/>
      </c>
    </row>
    <row r="1225">
      <c r="A1225" s="12" t="inlineStr">
        <is>
          <t>PO-2021-1223</t>
        </is>
      </c>
      <c r="B1225" s="26" t="n">
        <v>44262</v>
      </c>
      <c r="C1225" s="12" t="inlineStr">
        <is>
          <t>VS05</t>
        </is>
      </c>
      <c r="D1225" s="12" t="inlineStr">
        <is>
          <t>MS Flats</t>
        </is>
      </c>
      <c r="E1225" s="12" t="inlineStr">
        <is>
          <t>Y</t>
        </is>
      </c>
      <c r="F1225" s="12" t="n">
        <v>22.1</v>
      </c>
      <c r="G1225" s="17" t="n">
        <v>91317.22</v>
      </c>
      <c r="H1225" s="26" t="n">
        <v>44266</v>
      </c>
      <c r="I1225" s="26" t="n">
        <v>44267</v>
      </c>
      <c r="J1225" s="12" t="n">
        <v>21.9</v>
      </c>
      <c r="K1225" s="17" t="n">
        <v>2018110.56</v>
      </c>
      <c r="L1225" s="12" t="n">
        <v>0</v>
      </c>
      <c r="M1225" s="12" t="n">
        <v>0</v>
      </c>
      <c r="N1225" s="27">
        <f>F1225-J1225</f>
        <v/>
      </c>
      <c r="O1225" s="16">
        <f>I1225-H1225</f>
        <v/>
      </c>
      <c r="P1225" s="14">
        <f>F1225*G1225</f>
        <v/>
      </c>
      <c r="Q1225" s="14">
        <f>J1225*G1225</f>
        <v/>
      </c>
      <c r="R1225" s="14">
        <f>K1225-Q1225</f>
        <v/>
      </c>
      <c r="S1225" s="3">
        <f>P1225*Assumptions!$B$3/100</f>
        <v/>
      </c>
      <c r="T1225" s="14">
        <f>R1225-S1225</f>
        <v/>
      </c>
      <c r="U1225" s="14">
        <f>L1225*G1225</f>
        <v/>
      </c>
    </row>
    <row r="1226">
      <c r="A1226" s="12" t="inlineStr">
        <is>
          <t>PO-2021-1224</t>
        </is>
      </c>
      <c r="B1226" s="26" t="n">
        <v>44655</v>
      </c>
      <c r="C1226" s="12" t="inlineStr">
        <is>
          <t>VS32</t>
        </is>
      </c>
      <c r="D1226" s="12" t="inlineStr">
        <is>
          <t>CR Sheets</t>
        </is>
      </c>
      <c r="E1226" s="12" t="inlineStr">
        <is>
          <t>N</t>
        </is>
      </c>
      <c r="F1226" s="12" t="n">
        <v>49.69</v>
      </c>
      <c r="G1226" s="17" t="n">
        <v>103866.44</v>
      </c>
      <c r="H1226" s="26" t="n">
        <v>44670</v>
      </c>
      <c r="I1226" s="26" t="n">
        <v>44671</v>
      </c>
      <c r="J1226" s="12" t="n">
        <v>49.42</v>
      </c>
      <c r="K1226" s="17" t="n">
        <v>5161123.4</v>
      </c>
      <c r="L1226" s="12" t="n">
        <v>0</v>
      </c>
      <c r="M1226" s="12" t="n">
        <v>20</v>
      </c>
      <c r="N1226" s="27">
        <f>F1226-J1226</f>
        <v/>
      </c>
      <c r="O1226" s="16">
        <f>I1226-H1226</f>
        <v/>
      </c>
      <c r="P1226" s="14">
        <f>F1226*G1226</f>
        <v/>
      </c>
      <c r="Q1226" s="14">
        <f>J1226*G1226</f>
        <v/>
      </c>
      <c r="R1226" s="14">
        <f>K1226-Q1226</f>
        <v/>
      </c>
      <c r="S1226" s="3">
        <f>P1226*Assumptions!$B$3/100</f>
        <v/>
      </c>
      <c r="T1226" s="14">
        <f>R1226-S1226</f>
        <v/>
      </c>
      <c r="U1226" s="14">
        <f>L1226*G1226</f>
        <v/>
      </c>
    </row>
    <row r="1227">
      <c r="A1227" s="12" t="inlineStr">
        <is>
          <t>PO-2021-1225</t>
        </is>
      </c>
      <c r="B1227" s="26" t="n">
        <v>44292</v>
      </c>
      <c r="C1227" s="12" t="inlineStr">
        <is>
          <t>VS18</t>
        </is>
      </c>
      <c r="D1227" s="12" t="inlineStr">
        <is>
          <t>Square/Rect Tubes</t>
        </is>
      </c>
      <c r="E1227" s="12" t="inlineStr">
        <is>
          <t>N</t>
        </is>
      </c>
      <c r="F1227" s="12" t="n">
        <v>42.82</v>
      </c>
      <c r="G1227" s="17" t="n">
        <v>110527.18</v>
      </c>
      <c r="H1227" s="26" t="n">
        <v>44304</v>
      </c>
      <c r="I1227" s="26" t="n">
        <v>44305</v>
      </c>
      <c r="J1227" s="12" t="n">
        <v>42.58</v>
      </c>
      <c r="K1227" s="17" t="n">
        <v>4732773.85</v>
      </c>
      <c r="L1227" s="12" t="n">
        <v>0</v>
      </c>
      <c r="M1227" s="12" t="n">
        <v>0</v>
      </c>
      <c r="N1227" s="27">
        <f>F1227-J1227</f>
        <v/>
      </c>
      <c r="O1227" s="16">
        <f>I1227-H1227</f>
        <v/>
      </c>
      <c r="P1227" s="14">
        <f>F1227*G1227</f>
        <v/>
      </c>
      <c r="Q1227" s="14">
        <f>J1227*G1227</f>
        <v/>
      </c>
      <c r="R1227" s="14">
        <f>K1227-Q1227</f>
        <v/>
      </c>
      <c r="S1227" s="3">
        <f>P1227*Assumptions!$B$3/100</f>
        <v/>
      </c>
      <c r="T1227" s="14">
        <f>R1227-S1227</f>
        <v/>
      </c>
      <c r="U1227" s="14">
        <f>L1227*G1227</f>
        <v/>
      </c>
    </row>
    <row r="1228">
      <c r="A1228" s="12" t="inlineStr">
        <is>
          <t>PO-2021-1226</t>
        </is>
      </c>
      <c r="B1228" s="26" t="n">
        <v>44410</v>
      </c>
      <c r="C1228" s="12" t="inlineStr">
        <is>
          <t>VS04</t>
        </is>
      </c>
      <c r="D1228" s="12" t="inlineStr">
        <is>
          <t>Fasteners &amp; Fittings</t>
        </is>
      </c>
      <c r="E1228" s="12" t="inlineStr">
        <is>
          <t>N</t>
        </is>
      </c>
      <c r="F1228" s="12" t="n">
        <v>40.15</v>
      </c>
      <c r="G1228" s="17" t="n">
        <v>117198.53</v>
      </c>
      <c r="H1228" s="26" t="n">
        <v>44425</v>
      </c>
      <c r="I1228" s="26" t="n">
        <v>44427</v>
      </c>
      <c r="J1228" s="12" t="n">
        <v>39.83</v>
      </c>
      <c r="K1228" s="17" t="n">
        <v>4705520.98</v>
      </c>
      <c r="L1228" s="12" t="n">
        <v>0</v>
      </c>
      <c r="M1228" s="12" t="n">
        <v>0</v>
      </c>
      <c r="N1228" s="27">
        <f>F1228-J1228</f>
        <v/>
      </c>
      <c r="O1228" s="16">
        <f>I1228-H1228</f>
        <v/>
      </c>
      <c r="P1228" s="14">
        <f>F1228*G1228</f>
        <v/>
      </c>
      <c r="Q1228" s="14">
        <f>J1228*G1228</f>
        <v/>
      </c>
      <c r="R1228" s="14">
        <f>K1228-Q1228</f>
        <v/>
      </c>
      <c r="S1228" s="3">
        <f>P1228*Assumptions!$B$3/100</f>
        <v/>
      </c>
      <c r="T1228" s="14">
        <f>R1228-S1228</f>
        <v/>
      </c>
      <c r="U1228" s="14">
        <f>L1228*G1228</f>
        <v/>
      </c>
    </row>
    <row r="1229">
      <c r="A1229" s="12" t="inlineStr">
        <is>
          <t>PO-2021-1227</t>
        </is>
      </c>
      <c r="B1229" s="26" t="n">
        <v>44424</v>
      </c>
      <c r="C1229" s="12" t="inlineStr">
        <is>
          <t>VS07</t>
        </is>
      </c>
      <c r="D1229" s="12" t="inlineStr">
        <is>
          <t>ERW Pipes</t>
        </is>
      </c>
      <c r="E1229" s="12" t="inlineStr">
        <is>
          <t>N</t>
        </is>
      </c>
      <c r="F1229" s="12" t="n">
        <v>41.36</v>
      </c>
      <c r="G1229" s="17" t="n">
        <v>48147.71</v>
      </c>
      <c r="H1229" s="26" t="n">
        <v>44428</v>
      </c>
      <c r="I1229" s="26" t="n">
        <v>44431</v>
      </c>
      <c r="J1229" s="12" t="n">
        <v>41.03</v>
      </c>
      <c r="K1229" s="17" t="n">
        <v>1991389.29</v>
      </c>
      <c r="L1229" s="12" t="n">
        <v>0</v>
      </c>
      <c r="M1229" s="12" t="n">
        <v>10</v>
      </c>
      <c r="N1229" s="27">
        <f>F1229-J1229</f>
        <v/>
      </c>
      <c r="O1229" s="16">
        <f>I1229-H1229</f>
        <v/>
      </c>
      <c r="P1229" s="14">
        <f>F1229*G1229</f>
        <v/>
      </c>
      <c r="Q1229" s="14">
        <f>J1229*G1229</f>
        <v/>
      </c>
      <c r="R1229" s="14">
        <f>K1229-Q1229</f>
        <v/>
      </c>
      <c r="S1229" s="3">
        <f>P1229*Assumptions!$B$3/100</f>
        <v/>
      </c>
      <c r="T1229" s="14">
        <f>R1229-S1229</f>
        <v/>
      </c>
      <c r="U1229" s="14">
        <f>L1229*G1229</f>
        <v/>
      </c>
    </row>
    <row r="1230">
      <c r="A1230" s="12" t="inlineStr">
        <is>
          <t>PO-2021-1228</t>
        </is>
      </c>
      <c r="B1230" s="26" t="n">
        <v>44539</v>
      </c>
      <c r="C1230" s="12" t="inlineStr">
        <is>
          <t>VS08</t>
        </is>
      </c>
      <c r="D1230" s="12" t="inlineStr">
        <is>
          <t>GI Sheets</t>
        </is>
      </c>
      <c r="E1230" s="12" t="inlineStr">
        <is>
          <t>Y</t>
        </is>
      </c>
      <c r="F1230" s="12" t="n">
        <v>45.64</v>
      </c>
      <c r="G1230" s="17" t="n">
        <v>56777.44</v>
      </c>
      <c r="H1230" s="26" t="n">
        <v>44546</v>
      </c>
      <c r="I1230" s="26" t="n">
        <v>44549</v>
      </c>
      <c r="J1230" s="12" t="n">
        <v>45.42</v>
      </c>
      <c r="K1230" s="17" t="n">
        <v>2591322.36</v>
      </c>
      <c r="L1230" s="12" t="n">
        <v>0</v>
      </c>
      <c r="M1230" s="12" t="n">
        <v>16</v>
      </c>
      <c r="N1230" s="27">
        <f>F1230-J1230</f>
        <v/>
      </c>
      <c r="O1230" s="16">
        <f>I1230-H1230</f>
        <v/>
      </c>
      <c r="P1230" s="14">
        <f>F1230*G1230</f>
        <v/>
      </c>
      <c r="Q1230" s="14">
        <f>J1230*G1230</f>
        <v/>
      </c>
      <c r="R1230" s="14">
        <f>K1230-Q1230</f>
        <v/>
      </c>
      <c r="S1230" s="3">
        <f>P1230*Assumptions!$B$3/100</f>
        <v/>
      </c>
      <c r="T1230" s="14">
        <f>R1230-S1230</f>
        <v/>
      </c>
      <c r="U1230" s="14">
        <f>L1230*G1230</f>
        <v/>
      </c>
    </row>
    <row r="1231">
      <c r="A1231" s="12" t="inlineStr">
        <is>
          <t>PO-2021-1229</t>
        </is>
      </c>
      <c r="B1231" s="26" t="n">
        <v>45101</v>
      </c>
      <c r="C1231" s="12" t="inlineStr">
        <is>
          <t>VS33</t>
        </is>
      </c>
      <c r="D1231" s="12" t="inlineStr">
        <is>
          <t>Structural Steel</t>
        </is>
      </c>
      <c r="E1231" s="12" t="inlineStr">
        <is>
          <t>N</t>
        </is>
      </c>
      <c r="F1231" s="12" t="n">
        <v>36.9</v>
      </c>
      <c r="G1231" s="17" t="n">
        <v>52447.07</v>
      </c>
      <c r="H1231" s="26" t="n">
        <v>45114</v>
      </c>
      <c r="I1231" s="26" t="n">
        <v>45115</v>
      </c>
      <c r="J1231" s="12" t="n">
        <v>36.63</v>
      </c>
      <c r="K1231" s="17" t="n">
        <v>1935296.88</v>
      </c>
      <c r="L1231" s="12" t="n">
        <v>0</v>
      </c>
      <c r="M1231" s="12" t="n">
        <v>21</v>
      </c>
      <c r="N1231" s="27">
        <f>F1231-J1231</f>
        <v/>
      </c>
      <c r="O1231" s="16">
        <f>I1231-H1231</f>
        <v/>
      </c>
      <c r="P1231" s="14">
        <f>F1231*G1231</f>
        <v/>
      </c>
      <c r="Q1231" s="14">
        <f>J1231*G1231</f>
        <v/>
      </c>
      <c r="R1231" s="14">
        <f>K1231-Q1231</f>
        <v/>
      </c>
      <c r="S1231" s="3">
        <f>P1231*Assumptions!$B$3/100</f>
        <v/>
      </c>
      <c r="T1231" s="14">
        <f>R1231-S1231</f>
        <v/>
      </c>
      <c r="U1231" s="14">
        <f>L1231*G1231</f>
        <v/>
      </c>
    </row>
    <row r="1232">
      <c r="A1232" s="12" t="inlineStr">
        <is>
          <t>PO-2021-1230</t>
        </is>
      </c>
      <c r="B1232" s="26" t="n">
        <v>44941</v>
      </c>
      <c r="C1232" s="12" t="inlineStr">
        <is>
          <t>VS22</t>
        </is>
      </c>
      <c r="D1232" s="12" t="inlineStr">
        <is>
          <t>Square/Rect Tubes</t>
        </is>
      </c>
      <c r="E1232" s="12" t="inlineStr">
        <is>
          <t>N</t>
        </is>
      </c>
      <c r="F1232" s="12" t="n">
        <v>7.03</v>
      </c>
      <c r="G1232" s="17" t="n">
        <v>60141.77</v>
      </c>
      <c r="H1232" s="26" t="n">
        <v>44950</v>
      </c>
      <c r="I1232" s="26" t="n">
        <v>44951</v>
      </c>
      <c r="J1232" s="12" t="n">
        <v>7</v>
      </c>
      <c r="K1232" s="17" t="n">
        <v>422796.64</v>
      </c>
      <c r="L1232" s="12" t="n">
        <v>0</v>
      </c>
      <c r="M1232" s="12" t="n">
        <v>1</v>
      </c>
      <c r="N1232" s="27">
        <f>F1232-J1232</f>
        <v/>
      </c>
      <c r="O1232" s="16">
        <f>I1232-H1232</f>
        <v/>
      </c>
      <c r="P1232" s="14">
        <f>F1232*G1232</f>
        <v/>
      </c>
      <c r="Q1232" s="14">
        <f>J1232*G1232</f>
        <v/>
      </c>
      <c r="R1232" s="14">
        <f>K1232-Q1232</f>
        <v/>
      </c>
      <c r="S1232" s="3">
        <f>P1232*Assumptions!$B$3/100</f>
        <v/>
      </c>
      <c r="T1232" s="14">
        <f>R1232-S1232</f>
        <v/>
      </c>
      <c r="U1232" s="14">
        <f>L1232*G1232</f>
        <v/>
      </c>
    </row>
    <row r="1233">
      <c r="A1233" s="12" t="inlineStr">
        <is>
          <t>PO-2021-1231</t>
        </is>
      </c>
      <c r="B1233" s="26" t="n">
        <v>44210</v>
      </c>
      <c r="C1233" s="12" t="inlineStr">
        <is>
          <t>VS16</t>
        </is>
      </c>
      <c r="D1233" s="12" t="inlineStr">
        <is>
          <t>Structural Steel</t>
        </is>
      </c>
      <c r="E1233" s="12" t="inlineStr">
        <is>
          <t>N</t>
        </is>
      </c>
      <c r="F1233" s="12" t="n">
        <v>17.72</v>
      </c>
      <c r="G1233" s="17" t="n">
        <v>82876.7</v>
      </c>
      <c r="H1233" s="26" t="n">
        <v>44214</v>
      </c>
      <c r="I1233" s="26" t="n">
        <v>44214</v>
      </c>
      <c r="J1233" s="12" t="n">
        <v>17.58</v>
      </c>
      <c r="K1233" s="17" t="n">
        <v>1468575.12</v>
      </c>
      <c r="L1233" s="12" t="n">
        <v>0</v>
      </c>
      <c r="M1233" s="12" t="n">
        <v>0</v>
      </c>
      <c r="N1233" s="27">
        <f>F1233-J1233</f>
        <v/>
      </c>
      <c r="O1233" s="16">
        <f>I1233-H1233</f>
        <v/>
      </c>
      <c r="P1233" s="14">
        <f>F1233*G1233</f>
        <v/>
      </c>
      <c r="Q1233" s="14">
        <f>J1233*G1233</f>
        <v/>
      </c>
      <c r="R1233" s="14">
        <f>K1233-Q1233</f>
        <v/>
      </c>
      <c r="S1233" s="3">
        <f>P1233*Assumptions!$B$3/100</f>
        <v/>
      </c>
      <c r="T1233" s="14">
        <f>R1233-S1233</f>
        <v/>
      </c>
      <c r="U1233" s="14">
        <f>L1233*G1233</f>
        <v/>
      </c>
    </row>
    <row r="1234">
      <c r="A1234" s="12" t="inlineStr">
        <is>
          <t>PO-2021-1232</t>
        </is>
      </c>
      <c r="B1234" s="26" t="n">
        <v>44741</v>
      </c>
      <c r="C1234" s="12" t="inlineStr">
        <is>
          <t>VS24</t>
        </is>
      </c>
      <c r="D1234" s="12" t="inlineStr">
        <is>
          <t>GI Wire</t>
        </is>
      </c>
      <c r="E1234" s="12" t="inlineStr">
        <is>
          <t>N</t>
        </is>
      </c>
      <c r="F1234" s="12" t="n">
        <v>18.67</v>
      </c>
      <c r="G1234" s="17" t="n">
        <v>94874.64</v>
      </c>
      <c r="H1234" s="26" t="n">
        <v>44746</v>
      </c>
      <c r="I1234" s="26" t="n">
        <v>44749</v>
      </c>
      <c r="J1234" s="12" t="n">
        <v>18.65</v>
      </c>
      <c r="K1234" s="17" t="n">
        <v>1771309.53</v>
      </c>
      <c r="L1234" s="12" t="n">
        <v>0</v>
      </c>
      <c r="M1234" s="12" t="n">
        <v>23</v>
      </c>
      <c r="N1234" s="27">
        <f>F1234-J1234</f>
        <v/>
      </c>
      <c r="O1234" s="16">
        <f>I1234-H1234</f>
        <v/>
      </c>
      <c r="P1234" s="14">
        <f>F1234*G1234</f>
        <v/>
      </c>
      <c r="Q1234" s="14">
        <f>J1234*G1234</f>
        <v/>
      </c>
      <c r="R1234" s="14">
        <f>K1234-Q1234</f>
        <v/>
      </c>
      <c r="S1234" s="3">
        <f>P1234*Assumptions!$B$3/100</f>
        <v/>
      </c>
      <c r="T1234" s="14">
        <f>R1234-S1234</f>
        <v/>
      </c>
      <c r="U1234" s="14">
        <f>L1234*G1234</f>
        <v/>
      </c>
    </row>
    <row r="1235">
      <c r="A1235" s="12" t="inlineStr">
        <is>
          <t>PO-2021-1233</t>
        </is>
      </c>
      <c r="B1235" s="26" t="n">
        <v>45281</v>
      </c>
      <c r="C1235" s="12" t="inlineStr">
        <is>
          <t>VS27</t>
        </is>
      </c>
      <c r="D1235" s="12" t="inlineStr">
        <is>
          <t>HR Coils</t>
        </is>
      </c>
      <c r="E1235" s="12" t="inlineStr">
        <is>
          <t>N</t>
        </is>
      </c>
      <c r="F1235" s="12" t="n">
        <v>7.76</v>
      </c>
      <c r="G1235" s="17" t="n">
        <v>77161.71000000001</v>
      </c>
      <c r="H1235" s="26" t="n">
        <v>45290</v>
      </c>
      <c r="I1235" s="26" t="n">
        <v>45291</v>
      </c>
      <c r="J1235" s="12" t="n">
        <v>7.73</v>
      </c>
      <c r="K1235" s="17" t="n">
        <v>598774.87</v>
      </c>
      <c r="L1235" s="12" t="n">
        <v>0</v>
      </c>
      <c r="M1235" s="12" t="n">
        <v>5</v>
      </c>
      <c r="N1235" s="27">
        <f>F1235-J1235</f>
        <v/>
      </c>
      <c r="O1235" s="16">
        <f>I1235-H1235</f>
        <v/>
      </c>
      <c r="P1235" s="14">
        <f>F1235*G1235</f>
        <v/>
      </c>
      <c r="Q1235" s="14">
        <f>J1235*G1235</f>
        <v/>
      </c>
      <c r="R1235" s="14">
        <f>K1235-Q1235</f>
        <v/>
      </c>
      <c r="S1235" s="3">
        <f>P1235*Assumptions!$B$3/100</f>
        <v/>
      </c>
      <c r="T1235" s="14">
        <f>R1235-S1235</f>
        <v/>
      </c>
      <c r="U1235" s="14">
        <f>L1235*G1235</f>
        <v/>
      </c>
    </row>
    <row r="1236">
      <c r="A1236" s="12" t="inlineStr">
        <is>
          <t>PO-2021-1234</t>
        </is>
      </c>
      <c r="B1236" s="26" t="n">
        <v>45136</v>
      </c>
      <c r="C1236" s="12" t="inlineStr">
        <is>
          <t>VS34</t>
        </is>
      </c>
      <c r="D1236" s="12" t="inlineStr">
        <is>
          <t>Angles &amp; Channels</t>
        </is>
      </c>
      <c r="E1236" s="12" t="inlineStr">
        <is>
          <t>N</t>
        </is>
      </c>
      <c r="F1236" s="12" t="n">
        <v>47.24</v>
      </c>
      <c r="G1236" s="17" t="n">
        <v>78193.39999999999</v>
      </c>
      <c r="H1236" s="26" t="n">
        <v>45151</v>
      </c>
      <c r="I1236" s="26" t="n">
        <v>45153</v>
      </c>
      <c r="J1236" s="12" t="n">
        <v>46.78</v>
      </c>
      <c r="K1236" s="17" t="n">
        <v>3693856.22</v>
      </c>
      <c r="L1236" s="12" t="n">
        <v>0</v>
      </c>
      <c r="M1236" s="12" t="n">
        <v>0</v>
      </c>
      <c r="N1236" s="27">
        <f>F1236-J1236</f>
        <v/>
      </c>
      <c r="O1236" s="16">
        <f>I1236-H1236</f>
        <v/>
      </c>
      <c r="P1236" s="14">
        <f>F1236*G1236</f>
        <v/>
      </c>
      <c r="Q1236" s="14">
        <f>J1236*G1236</f>
        <v/>
      </c>
      <c r="R1236" s="14">
        <f>K1236-Q1236</f>
        <v/>
      </c>
      <c r="S1236" s="3">
        <f>P1236*Assumptions!$B$3/100</f>
        <v/>
      </c>
      <c r="T1236" s="14">
        <f>R1236-S1236</f>
        <v/>
      </c>
      <c r="U1236" s="14">
        <f>L1236*G1236</f>
        <v/>
      </c>
    </row>
    <row r="1237">
      <c r="A1237" s="12" t="inlineStr">
        <is>
          <t>PO-2021-1235</t>
        </is>
      </c>
      <c r="B1237" s="26" t="n">
        <v>44217</v>
      </c>
      <c r="C1237" s="12" t="inlineStr">
        <is>
          <t>VS34</t>
        </is>
      </c>
      <c r="D1237" s="12" t="inlineStr">
        <is>
          <t>SS Pipes</t>
        </is>
      </c>
      <c r="E1237" s="12" t="inlineStr">
        <is>
          <t>N</t>
        </is>
      </c>
      <c r="F1237" s="12" t="n">
        <v>5.15</v>
      </c>
      <c r="G1237" s="17" t="n">
        <v>68610.34</v>
      </c>
      <c r="H1237" s="26" t="n">
        <v>44232</v>
      </c>
      <c r="I1237" s="26" t="n">
        <v>44232</v>
      </c>
      <c r="J1237" s="12" t="n">
        <v>5.13</v>
      </c>
      <c r="K1237" s="17" t="n">
        <v>353343.25</v>
      </c>
      <c r="L1237" s="12" t="n">
        <v>0</v>
      </c>
      <c r="M1237" s="12" t="n">
        <v>0</v>
      </c>
      <c r="N1237" s="27">
        <f>F1237-J1237</f>
        <v/>
      </c>
      <c r="O1237" s="16">
        <f>I1237-H1237</f>
        <v/>
      </c>
      <c r="P1237" s="14">
        <f>F1237*G1237</f>
        <v/>
      </c>
      <c r="Q1237" s="14">
        <f>J1237*G1237</f>
        <v/>
      </c>
      <c r="R1237" s="14">
        <f>K1237-Q1237</f>
        <v/>
      </c>
      <c r="S1237" s="3">
        <f>P1237*Assumptions!$B$3/100</f>
        <v/>
      </c>
      <c r="T1237" s="14">
        <f>R1237-S1237</f>
        <v/>
      </c>
      <c r="U1237" s="14">
        <f>L1237*G1237</f>
        <v/>
      </c>
    </row>
    <row r="1238">
      <c r="A1238" s="12" t="inlineStr">
        <is>
          <t>PO-2021-1236</t>
        </is>
      </c>
      <c r="B1238" s="26" t="n">
        <v>44533</v>
      </c>
      <c r="C1238" s="12" t="inlineStr">
        <is>
          <t>VS28</t>
        </is>
      </c>
      <c r="D1238" s="12" t="inlineStr">
        <is>
          <t>GI Pipes</t>
        </is>
      </c>
      <c r="E1238" s="12" t="inlineStr">
        <is>
          <t>N</t>
        </is>
      </c>
      <c r="F1238" s="12" t="n">
        <v>20.27</v>
      </c>
      <c r="G1238" s="17" t="n">
        <v>47782.03</v>
      </c>
      <c r="H1238" s="26" t="n">
        <v>44546</v>
      </c>
      <c r="I1238" s="26" t="n">
        <v>44549</v>
      </c>
      <c r="J1238" s="12" t="n">
        <v>20.26</v>
      </c>
      <c r="K1238" s="17" t="n">
        <v>968541.75</v>
      </c>
      <c r="L1238" s="12" t="n">
        <v>0</v>
      </c>
      <c r="M1238" s="12" t="n">
        <v>4</v>
      </c>
      <c r="N1238" s="27">
        <f>F1238-J1238</f>
        <v/>
      </c>
      <c r="O1238" s="16">
        <f>I1238-H1238</f>
        <v/>
      </c>
      <c r="P1238" s="14">
        <f>F1238*G1238</f>
        <v/>
      </c>
      <c r="Q1238" s="14">
        <f>J1238*G1238</f>
        <v/>
      </c>
      <c r="R1238" s="14">
        <f>K1238-Q1238</f>
        <v/>
      </c>
      <c r="S1238" s="3">
        <f>P1238*Assumptions!$B$3/100</f>
        <v/>
      </c>
      <c r="T1238" s="14">
        <f>R1238-S1238</f>
        <v/>
      </c>
      <c r="U1238" s="14">
        <f>L1238*G1238</f>
        <v/>
      </c>
    </row>
    <row r="1239">
      <c r="A1239" s="12" t="inlineStr">
        <is>
          <t>PO-2021-1237</t>
        </is>
      </c>
      <c r="B1239" s="26" t="n">
        <v>44506</v>
      </c>
      <c r="C1239" s="12" t="inlineStr">
        <is>
          <t>VS04</t>
        </is>
      </c>
      <c r="D1239" s="12" t="inlineStr">
        <is>
          <t>Hex Bars</t>
        </is>
      </c>
      <c r="E1239" s="12" t="inlineStr">
        <is>
          <t>N</t>
        </is>
      </c>
      <c r="F1239" s="12" t="n">
        <v>48.66</v>
      </c>
      <c r="G1239" s="17" t="n">
        <v>76447.89999999999</v>
      </c>
      <c r="H1239" s="26" t="n">
        <v>44519</v>
      </c>
      <c r="I1239" s="26" t="n">
        <v>44519</v>
      </c>
      <c r="J1239" s="12" t="n">
        <v>48.5</v>
      </c>
      <c r="K1239" s="17" t="n">
        <v>3719954.81</v>
      </c>
      <c r="L1239" s="12" t="n">
        <v>0</v>
      </c>
      <c r="M1239" s="12" t="n">
        <v>0</v>
      </c>
      <c r="N1239" s="27">
        <f>F1239-J1239</f>
        <v/>
      </c>
      <c r="O1239" s="16">
        <f>I1239-H1239</f>
        <v/>
      </c>
      <c r="P1239" s="14">
        <f>F1239*G1239</f>
        <v/>
      </c>
      <c r="Q1239" s="14">
        <f>J1239*G1239</f>
        <v/>
      </c>
      <c r="R1239" s="14">
        <f>K1239-Q1239</f>
        <v/>
      </c>
      <c r="S1239" s="3">
        <f>P1239*Assumptions!$B$3/100</f>
        <v/>
      </c>
      <c r="T1239" s="14">
        <f>R1239-S1239</f>
        <v/>
      </c>
      <c r="U1239" s="14">
        <f>L1239*G1239</f>
        <v/>
      </c>
    </row>
    <row r="1240">
      <c r="A1240" s="12" t="inlineStr">
        <is>
          <t>PO-2021-1238</t>
        </is>
      </c>
      <c r="B1240" s="26" t="n">
        <v>44820</v>
      </c>
      <c r="C1240" s="12" t="inlineStr">
        <is>
          <t>VS21</t>
        </is>
      </c>
      <c r="D1240" s="12" t="inlineStr">
        <is>
          <t>Angles &amp; Channels</t>
        </is>
      </c>
      <c r="E1240" s="12" t="inlineStr">
        <is>
          <t>N</t>
        </is>
      </c>
      <c r="F1240" s="12" t="n">
        <v>1.39</v>
      </c>
      <c r="G1240" s="17" t="n">
        <v>65983.56</v>
      </c>
      <c r="H1240" s="26" t="n">
        <v>44831</v>
      </c>
      <c r="I1240" s="26" t="n">
        <v>44831</v>
      </c>
      <c r="J1240" s="12" t="n">
        <v>1.38</v>
      </c>
      <c r="K1240" s="17" t="n">
        <v>91717.14999999999</v>
      </c>
      <c r="L1240" s="12" t="n">
        <v>0</v>
      </c>
      <c r="M1240" s="12" t="n">
        <v>0</v>
      </c>
      <c r="N1240" s="27">
        <f>F1240-J1240</f>
        <v/>
      </c>
      <c r="O1240" s="16">
        <f>I1240-H1240</f>
        <v/>
      </c>
      <c r="P1240" s="14">
        <f>F1240*G1240</f>
        <v/>
      </c>
      <c r="Q1240" s="14">
        <f>J1240*G1240</f>
        <v/>
      </c>
      <c r="R1240" s="14">
        <f>K1240-Q1240</f>
        <v/>
      </c>
      <c r="S1240" s="3">
        <f>P1240*Assumptions!$B$3/100</f>
        <v/>
      </c>
      <c r="T1240" s="14">
        <f>R1240-S1240</f>
        <v/>
      </c>
      <c r="U1240" s="14">
        <f>L1240*G1240</f>
        <v/>
      </c>
    </row>
    <row r="1241">
      <c r="A1241" s="12" t="inlineStr">
        <is>
          <t>PO-2021-1239</t>
        </is>
      </c>
      <c r="B1241" s="26" t="n">
        <v>44497</v>
      </c>
      <c r="C1241" s="12" t="inlineStr">
        <is>
          <t>VS26</t>
        </is>
      </c>
      <c r="D1241" s="12" t="inlineStr">
        <is>
          <t>Fasteners &amp; Fittings</t>
        </is>
      </c>
      <c r="E1241" s="12" t="inlineStr">
        <is>
          <t>Y</t>
        </is>
      </c>
      <c r="F1241" s="12" t="n">
        <v>32.55</v>
      </c>
      <c r="G1241" s="17" t="n">
        <v>111568.48</v>
      </c>
      <c r="H1241" s="26" t="n">
        <v>44509</v>
      </c>
      <c r="I1241" s="26" t="n">
        <v>44512</v>
      </c>
      <c r="J1241" s="12" t="n">
        <v>32.37</v>
      </c>
      <c r="K1241" s="17" t="n">
        <v>3631554.02</v>
      </c>
      <c r="L1241" s="12" t="n">
        <v>0</v>
      </c>
      <c r="M1241" s="12" t="n">
        <v>25</v>
      </c>
      <c r="N1241" s="27">
        <f>F1241-J1241</f>
        <v/>
      </c>
      <c r="O1241" s="16">
        <f>I1241-H1241</f>
        <v/>
      </c>
      <c r="P1241" s="14">
        <f>F1241*G1241</f>
        <v/>
      </c>
      <c r="Q1241" s="14">
        <f>J1241*G1241</f>
        <v/>
      </c>
      <c r="R1241" s="14">
        <f>K1241-Q1241</f>
        <v/>
      </c>
      <c r="S1241" s="3">
        <f>P1241*Assumptions!$B$3/100</f>
        <v/>
      </c>
      <c r="T1241" s="14">
        <f>R1241-S1241</f>
        <v/>
      </c>
      <c r="U1241" s="14">
        <f>L1241*G1241</f>
        <v/>
      </c>
    </row>
    <row r="1242">
      <c r="A1242" s="12" t="inlineStr">
        <is>
          <t>PO-2021-1240</t>
        </is>
      </c>
      <c r="B1242" s="26" t="n">
        <v>45102</v>
      </c>
      <c r="C1242" s="12" t="inlineStr">
        <is>
          <t>VS23</t>
        </is>
      </c>
      <c r="D1242" s="12" t="inlineStr">
        <is>
          <t>MS Rods</t>
        </is>
      </c>
      <c r="E1242" s="12" t="inlineStr">
        <is>
          <t>N</t>
        </is>
      </c>
      <c r="F1242" s="12" t="n">
        <v>38.99</v>
      </c>
      <c r="G1242" s="17" t="n">
        <v>111073.1</v>
      </c>
      <c r="H1242" s="26" t="n">
        <v>45106</v>
      </c>
      <c r="I1242" s="26" t="n">
        <v>45109</v>
      </c>
      <c r="J1242" s="12" t="n">
        <v>38.85</v>
      </c>
      <c r="K1242" s="17" t="n">
        <v>4330740.17</v>
      </c>
      <c r="L1242" s="12" t="n">
        <v>0</v>
      </c>
      <c r="M1242" s="12" t="n">
        <v>2</v>
      </c>
      <c r="N1242" s="27">
        <f>F1242-J1242</f>
        <v/>
      </c>
      <c r="O1242" s="16">
        <f>I1242-H1242</f>
        <v/>
      </c>
      <c r="P1242" s="14">
        <f>F1242*G1242</f>
        <v/>
      </c>
      <c r="Q1242" s="14">
        <f>J1242*G1242</f>
        <v/>
      </c>
      <c r="R1242" s="14">
        <f>K1242-Q1242</f>
        <v/>
      </c>
      <c r="S1242" s="3">
        <f>P1242*Assumptions!$B$3/100</f>
        <v/>
      </c>
      <c r="T1242" s="14">
        <f>R1242-S1242</f>
        <v/>
      </c>
      <c r="U1242" s="14">
        <f>L1242*G1242</f>
        <v/>
      </c>
    </row>
    <row r="1243">
      <c r="A1243" s="12" t="inlineStr">
        <is>
          <t>PO-2021-1241</t>
        </is>
      </c>
      <c r="B1243" s="26" t="n">
        <v>44272</v>
      </c>
      <c r="C1243" s="12" t="inlineStr">
        <is>
          <t>VS22</t>
        </is>
      </c>
      <c r="D1243" s="12" t="inlineStr">
        <is>
          <t>MS Rods</t>
        </is>
      </c>
      <c r="E1243" s="12" t="inlineStr">
        <is>
          <t>N</t>
        </is>
      </c>
      <c r="F1243" s="12" t="n">
        <v>36.53</v>
      </c>
      <c r="G1243" s="17" t="n">
        <v>100503.92</v>
      </c>
      <c r="H1243" s="26" t="n">
        <v>44277</v>
      </c>
      <c r="I1243" s="26" t="n">
        <v>44280</v>
      </c>
      <c r="J1243" s="12" t="n">
        <v>36.4</v>
      </c>
      <c r="K1243" s="17" t="n">
        <v>3671408.2</v>
      </c>
      <c r="L1243" s="12" t="n">
        <v>0</v>
      </c>
      <c r="M1243" s="12" t="n">
        <v>18</v>
      </c>
      <c r="N1243" s="27">
        <f>F1243-J1243</f>
        <v/>
      </c>
      <c r="O1243" s="16">
        <f>I1243-H1243</f>
        <v/>
      </c>
      <c r="P1243" s="14">
        <f>F1243*G1243</f>
        <v/>
      </c>
      <c r="Q1243" s="14">
        <f>J1243*G1243</f>
        <v/>
      </c>
      <c r="R1243" s="14">
        <f>K1243-Q1243</f>
        <v/>
      </c>
      <c r="S1243" s="3">
        <f>P1243*Assumptions!$B$3/100</f>
        <v/>
      </c>
      <c r="T1243" s="14">
        <f>R1243-S1243</f>
        <v/>
      </c>
      <c r="U1243" s="14">
        <f>L1243*G1243</f>
        <v/>
      </c>
    </row>
    <row r="1244">
      <c r="A1244" s="12" t="inlineStr">
        <is>
          <t>PO-2021-1242</t>
        </is>
      </c>
      <c r="B1244" s="26" t="n">
        <v>45262</v>
      </c>
      <c r="C1244" s="12" t="inlineStr">
        <is>
          <t>VS19</t>
        </is>
      </c>
      <c r="D1244" s="12" t="inlineStr">
        <is>
          <t>GI Sheets</t>
        </is>
      </c>
      <c r="E1244" s="12" t="inlineStr">
        <is>
          <t>N</t>
        </is>
      </c>
      <c r="F1244" s="12" t="n">
        <v>5.55</v>
      </c>
      <c r="G1244" s="17" t="n">
        <v>89839.3</v>
      </c>
      <c r="H1244" s="26" t="n">
        <v>45273</v>
      </c>
      <c r="I1244" s="26" t="n">
        <v>45278</v>
      </c>
      <c r="J1244" s="12" t="n">
        <v>5.34</v>
      </c>
      <c r="K1244" s="17" t="n">
        <v>498608.11</v>
      </c>
      <c r="L1244" s="12" t="n">
        <v>0.02</v>
      </c>
      <c r="M1244" s="12" t="n">
        <v>25</v>
      </c>
      <c r="N1244" s="27">
        <f>F1244-J1244</f>
        <v/>
      </c>
      <c r="O1244" s="16">
        <f>I1244-H1244</f>
        <v/>
      </c>
      <c r="P1244" s="14">
        <f>F1244*G1244</f>
        <v/>
      </c>
      <c r="Q1244" s="14">
        <f>J1244*G1244</f>
        <v/>
      </c>
      <c r="R1244" s="14">
        <f>K1244-Q1244</f>
        <v/>
      </c>
      <c r="S1244" s="3">
        <f>P1244*Assumptions!$B$3/100</f>
        <v/>
      </c>
      <c r="T1244" s="14">
        <f>R1244-S1244</f>
        <v/>
      </c>
      <c r="U1244" s="14">
        <f>L1244*G1244</f>
        <v/>
      </c>
    </row>
    <row r="1245">
      <c r="A1245" s="12" t="inlineStr">
        <is>
          <t>PO-2021-1243</t>
        </is>
      </c>
      <c r="B1245" s="26" t="n">
        <v>44894</v>
      </c>
      <c r="C1245" s="12" t="inlineStr">
        <is>
          <t>VS11</t>
        </is>
      </c>
      <c r="D1245" s="12" t="inlineStr">
        <is>
          <t>MS Pipes</t>
        </is>
      </c>
      <c r="E1245" s="12" t="inlineStr">
        <is>
          <t>N</t>
        </is>
      </c>
      <c r="F1245" s="12" t="n">
        <v>2.37</v>
      </c>
      <c r="G1245" s="17" t="n">
        <v>104744.9</v>
      </c>
      <c r="H1245" s="26" t="n">
        <v>44906</v>
      </c>
      <c r="I1245" s="26" t="n">
        <v>44909</v>
      </c>
      <c r="J1245" s="12" t="n">
        <v>2.35</v>
      </c>
      <c r="K1245" s="17" t="n">
        <v>248245.41</v>
      </c>
      <c r="L1245" s="12" t="n">
        <v>0</v>
      </c>
      <c r="M1245" s="12" t="n">
        <v>0</v>
      </c>
      <c r="N1245" s="27">
        <f>F1245-J1245</f>
        <v/>
      </c>
      <c r="O1245" s="16">
        <f>I1245-H1245</f>
        <v/>
      </c>
      <c r="P1245" s="14">
        <f>F1245*G1245</f>
        <v/>
      </c>
      <c r="Q1245" s="14">
        <f>J1245*G1245</f>
        <v/>
      </c>
      <c r="R1245" s="14">
        <f>K1245-Q1245</f>
        <v/>
      </c>
      <c r="S1245" s="3">
        <f>P1245*Assumptions!$B$3/100</f>
        <v/>
      </c>
      <c r="T1245" s="14">
        <f>R1245-S1245</f>
        <v/>
      </c>
      <c r="U1245" s="14">
        <f>L1245*G1245</f>
        <v/>
      </c>
    </row>
    <row r="1246">
      <c r="A1246" s="12" t="inlineStr">
        <is>
          <t>PO-2021-1244</t>
        </is>
      </c>
      <c r="B1246" s="26" t="n">
        <v>44726</v>
      </c>
      <c r="C1246" s="12" t="inlineStr">
        <is>
          <t>VS16</t>
        </is>
      </c>
      <c r="D1246" s="12" t="inlineStr">
        <is>
          <t>SS Sheets</t>
        </is>
      </c>
      <c r="E1246" s="12" t="inlineStr">
        <is>
          <t>N</t>
        </is>
      </c>
      <c r="F1246" s="12" t="n">
        <v>36.6</v>
      </c>
      <c r="G1246" s="17" t="n">
        <v>119021.6</v>
      </c>
      <c r="H1246" s="26" t="n">
        <v>44730</v>
      </c>
      <c r="I1246" s="26" t="n">
        <v>44732</v>
      </c>
      <c r="J1246" s="12" t="n">
        <v>36.5</v>
      </c>
      <c r="K1246" s="17" t="n">
        <v>4356190.56</v>
      </c>
      <c r="L1246" s="12" t="n">
        <v>0</v>
      </c>
      <c r="M1246" s="12" t="n">
        <v>0</v>
      </c>
      <c r="N1246" s="27">
        <f>F1246-J1246</f>
        <v/>
      </c>
      <c r="O1246" s="16">
        <f>I1246-H1246</f>
        <v/>
      </c>
      <c r="P1246" s="14">
        <f>F1246*G1246</f>
        <v/>
      </c>
      <c r="Q1246" s="14">
        <f>J1246*G1246</f>
        <v/>
      </c>
      <c r="R1246" s="14">
        <f>K1246-Q1246</f>
        <v/>
      </c>
      <c r="S1246" s="3">
        <f>P1246*Assumptions!$B$3/100</f>
        <v/>
      </c>
      <c r="T1246" s="14">
        <f>R1246-S1246</f>
        <v/>
      </c>
      <c r="U1246" s="14">
        <f>L1246*G1246</f>
        <v/>
      </c>
    </row>
    <row r="1247">
      <c r="A1247" s="12" t="inlineStr">
        <is>
          <t>PO-2021-1245</t>
        </is>
      </c>
      <c r="B1247" s="26" t="n">
        <v>44319</v>
      </c>
      <c r="C1247" s="12" t="inlineStr">
        <is>
          <t>VS24</t>
        </is>
      </c>
      <c r="D1247" s="12" t="inlineStr">
        <is>
          <t>CR Sheets</t>
        </is>
      </c>
      <c r="E1247" s="12" t="inlineStr">
        <is>
          <t>N</t>
        </is>
      </c>
      <c r="F1247" s="12" t="n">
        <v>31.72</v>
      </c>
      <c r="G1247" s="17" t="n">
        <v>71585.5</v>
      </c>
      <c r="H1247" s="26" t="n">
        <v>44322</v>
      </c>
      <c r="I1247" s="26" t="n">
        <v>44322</v>
      </c>
      <c r="J1247" s="12" t="n">
        <v>31.48</v>
      </c>
      <c r="K1247" s="17" t="n">
        <v>2270692.06</v>
      </c>
      <c r="L1247" s="12" t="n">
        <v>0</v>
      </c>
      <c r="M1247" s="12" t="n">
        <v>0</v>
      </c>
      <c r="N1247" s="27">
        <f>F1247-J1247</f>
        <v/>
      </c>
      <c r="O1247" s="16">
        <f>I1247-H1247</f>
        <v/>
      </c>
      <c r="P1247" s="14">
        <f>F1247*G1247</f>
        <v/>
      </c>
      <c r="Q1247" s="14">
        <f>J1247*G1247</f>
        <v/>
      </c>
      <c r="R1247" s="14">
        <f>K1247-Q1247</f>
        <v/>
      </c>
      <c r="S1247" s="3">
        <f>P1247*Assumptions!$B$3/100</f>
        <v/>
      </c>
      <c r="T1247" s="14">
        <f>R1247-S1247</f>
        <v/>
      </c>
      <c r="U1247" s="14">
        <f>L1247*G1247</f>
        <v/>
      </c>
    </row>
    <row r="1248">
      <c r="A1248" s="12" t="inlineStr">
        <is>
          <t>PO-2021-1246</t>
        </is>
      </c>
      <c r="B1248" s="26" t="n">
        <v>44452</v>
      </c>
      <c r="C1248" s="12" t="inlineStr">
        <is>
          <t>VS29</t>
        </is>
      </c>
      <c r="D1248" s="12" t="inlineStr">
        <is>
          <t>SS Sheets</t>
        </is>
      </c>
      <c r="E1248" s="12" t="inlineStr">
        <is>
          <t>N</t>
        </is>
      </c>
      <c r="F1248" s="12" t="n">
        <v>29.05</v>
      </c>
      <c r="G1248" s="17" t="n">
        <v>45391</v>
      </c>
      <c r="H1248" s="26" t="n">
        <v>44460</v>
      </c>
      <c r="I1248" s="26" t="n">
        <v>44461</v>
      </c>
      <c r="J1248" s="12" t="n">
        <v>28.85</v>
      </c>
      <c r="K1248" s="17" t="n">
        <v>1318608.55</v>
      </c>
      <c r="L1248" s="12" t="n">
        <v>0</v>
      </c>
      <c r="M1248" s="12" t="n">
        <v>4</v>
      </c>
      <c r="N1248" s="27">
        <f>F1248-J1248</f>
        <v/>
      </c>
      <c r="O1248" s="16">
        <f>I1248-H1248</f>
        <v/>
      </c>
      <c r="P1248" s="14">
        <f>F1248*G1248</f>
        <v/>
      </c>
      <c r="Q1248" s="14">
        <f>J1248*G1248</f>
        <v/>
      </c>
      <c r="R1248" s="14">
        <f>K1248-Q1248</f>
        <v/>
      </c>
      <c r="S1248" s="3">
        <f>P1248*Assumptions!$B$3/100</f>
        <v/>
      </c>
      <c r="T1248" s="14">
        <f>R1248-S1248</f>
        <v/>
      </c>
      <c r="U1248" s="14">
        <f>L1248*G1248</f>
        <v/>
      </c>
    </row>
    <row r="1249">
      <c r="A1249" s="12" t="inlineStr">
        <is>
          <t>PO-2021-1247</t>
        </is>
      </c>
      <c r="B1249" s="26" t="n">
        <v>44680</v>
      </c>
      <c r="C1249" s="12" t="inlineStr">
        <is>
          <t>VS15</t>
        </is>
      </c>
      <c r="D1249" s="12" t="inlineStr">
        <is>
          <t>Angles &amp; Channels</t>
        </is>
      </c>
      <c r="E1249" s="12" t="inlineStr">
        <is>
          <t>N</t>
        </is>
      </c>
      <c r="F1249" s="12" t="n">
        <v>15.66</v>
      </c>
      <c r="G1249" s="17" t="n">
        <v>95019.17999999999</v>
      </c>
      <c r="H1249" s="26" t="n">
        <v>44694</v>
      </c>
      <c r="I1249" s="26" t="n">
        <v>44697</v>
      </c>
      <c r="J1249" s="12" t="n">
        <v>15.53</v>
      </c>
      <c r="K1249" s="17" t="n">
        <v>1488000.36</v>
      </c>
      <c r="L1249" s="12" t="n">
        <v>0</v>
      </c>
      <c r="M1249" s="12" t="n">
        <v>9</v>
      </c>
      <c r="N1249" s="27">
        <f>F1249-J1249</f>
        <v/>
      </c>
      <c r="O1249" s="16">
        <f>I1249-H1249</f>
        <v/>
      </c>
      <c r="P1249" s="14">
        <f>F1249*G1249</f>
        <v/>
      </c>
      <c r="Q1249" s="14">
        <f>J1249*G1249</f>
        <v/>
      </c>
      <c r="R1249" s="14">
        <f>K1249-Q1249</f>
        <v/>
      </c>
      <c r="S1249" s="3">
        <f>P1249*Assumptions!$B$3/100</f>
        <v/>
      </c>
      <c r="T1249" s="14">
        <f>R1249-S1249</f>
        <v/>
      </c>
      <c r="U1249" s="14">
        <f>L1249*G1249</f>
        <v/>
      </c>
    </row>
    <row r="1250">
      <c r="A1250" s="12" t="inlineStr">
        <is>
          <t>PO-2021-1248</t>
        </is>
      </c>
      <c r="B1250" s="26" t="n">
        <v>44483</v>
      </c>
      <c r="C1250" s="12" t="inlineStr">
        <is>
          <t>VS25</t>
        </is>
      </c>
      <c r="D1250" s="12" t="inlineStr">
        <is>
          <t>Hex Bars</t>
        </is>
      </c>
      <c r="E1250" s="12" t="inlineStr">
        <is>
          <t>N</t>
        </is>
      </c>
      <c r="F1250" s="12" t="n">
        <v>37.14</v>
      </c>
      <c r="G1250" s="17" t="n">
        <v>52892.02</v>
      </c>
      <c r="H1250" s="26" t="n">
        <v>44494</v>
      </c>
      <c r="I1250" s="26" t="n">
        <v>44496</v>
      </c>
      <c r="J1250" s="12" t="n">
        <v>36.9</v>
      </c>
      <c r="K1250" s="17" t="n">
        <v>1964409.62</v>
      </c>
      <c r="L1250" s="12" t="n">
        <v>0</v>
      </c>
      <c r="M1250" s="12" t="n">
        <v>22</v>
      </c>
      <c r="N1250" s="27">
        <f>F1250-J1250</f>
        <v/>
      </c>
      <c r="O1250" s="16">
        <f>I1250-H1250</f>
        <v/>
      </c>
      <c r="P1250" s="14">
        <f>F1250*G1250</f>
        <v/>
      </c>
      <c r="Q1250" s="14">
        <f>J1250*G1250</f>
        <v/>
      </c>
      <c r="R1250" s="14">
        <f>K1250-Q1250</f>
        <v/>
      </c>
      <c r="S1250" s="3">
        <f>P1250*Assumptions!$B$3/100</f>
        <v/>
      </c>
      <c r="T1250" s="14">
        <f>R1250-S1250</f>
        <v/>
      </c>
      <c r="U1250" s="14">
        <f>L1250*G1250</f>
        <v/>
      </c>
    </row>
    <row r="1251">
      <c r="A1251" s="12" t="inlineStr">
        <is>
          <t>PO-2021-1249</t>
        </is>
      </c>
      <c r="B1251" s="26" t="n">
        <v>44591</v>
      </c>
      <c r="C1251" s="12" t="inlineStr">
        <is>
          <t>VS24</t>
        </is>
      </c>
      <c r="D1251" s="12" t="inlineStr">
        <is>
          <t>Fasteners &amp; Fittings</t>
        </is>
      </c>
      <c r="E1251" s="12" t="inlineStr">
        <is>
          <t>N</t>
        </is>
      </c>
      <c r="F1251" s="12" t="n">
        <v>5.8</v>
      </c>
      <c r="G1251" s="17" t="n">
        <v>98373.03</v>
      </c>
      <c r="H1251" s="26" t="n">
        <v>44600</v>
      </c>
      <c r="I1251" s="26" t="n">
        <v>44601</v>
      </c>
      <c r="J1251" s="12" t="n">
        <v>5.79</v>
      </c>
      <c r="K1251" s="17" t="n">
        <v>570563.5699999999</v>
      </c>
      <c r="L1251" s="12" t="n">
        <v>0</v>
      </c>
      <c r="M1251" s="12" t="n">
        <v>4</v>
      </c>
      <c r="N1251" s="27">
        <f>F1251-J1251</f>
        <v/>
      </c>
      <c r="O1251" s="16">
        <f>I1251-H1251</f>
        <v/>
      </c>
      <c r="P1251" s="14">
        <f>F1251*G1251</f>
        <v/>
      </c>
      <c r="Q1251" s="14">
        <f>J1251*G1251</f>
        <v/>
      </c>
      <c r="R1251" s="14">
        <f>K1251-Q1251</f>
        <v/>
      </c>
      <c r="S1251" s="3">
        <f>P1251*Assumptions!$B$3/100</f>
        <v/>
      </c>
      <c r="T1251" s="14">
        <f>R1251-S1251</f>
        <v/>
      </c>
      <c r="U1251" s="14">
        <f>L1251*G1251</f>
        <v/>
      </c>
    </row>
    <row r="1252">
      <c r="A1252" s="12" t="inlineStr">
        <is>
          <t>PO-2021-1250</t>
        </is>
      </c>
      <c r="B1252" s="26" t="n">
        <v>44364</v>
      </c>
      <c r="C1252" s="12" t="inlineStr">
        <is>
          <t>VS06</t>
        </is>
      </c>
      <c r="D1252" s="12" t="inlineStr">
        <is>
          <t>GI Pipes</t>
        </is>
      </c>
      <c r="E1252" s="12" t="inlineStr">
        <is>
          <t>N</t>
        </is>
      </c>
      <c r="F1252" s="12" t="n">
        <v>21.82</v>
      </c>
      <c r="G1252" s="17" t="n">
        <v>54754.75</v>
      </c>
      <c r="H1252" s="26" t="n">
        <v>44370</v>
      </c>
      <c r="I1252" s="26" t="n">
        <v>44372</v>
      </c>
      <c r="J1252" s="12" t="n">
        <v>21.65</v>
      </c>
      <c r="K1252" s="17" t="n">
        <v>1194748.65</v>
      </c>
      <c r="L1252" s="12" t="n">
        <v>0</v>
      </c>
      <c r="M1252" s="12" t="n">
        <v>16</v>
      </c>
      <c r="N1252" s="27">
        <f>F1252-J1252</f>
        <v/>
      </c>
      <c r="O1252" s="16">
        <f>I1252-H1252</f>
        <v/>
      </c>
      <c r="P1252" s="14">
        <f>F1252*G1252</f>
        <v/>
      </c>
      <c r="Q1252" s="14">
        <f>J1252*G1252</f>
        <v/>
      </c>
      <c r="R1252" s="14">
        <f>K1252-Q1252</f>
        <v/>
      </c>
      <c r="S1252" s="3">
        <f>P1252*Assumptions!$B$3/100</f>
        <v/>
      </c>
      <c r="T1252" s="14">
        <f>R1252-S1252</f>
        <v/>
      </c>
      <c r="U1252" s="14">
        <f>L1252*G1252</f>
        <v/>
      </c>
    </row>
    <row r="1253">
      <c r="A1253" s="12" t="inlineStr">
        <is>
          <t>PO-2021-1251</t>
        </is>
      </c>
      <c r="B1253" s="26" t="n">
        <v>45110</v>
      </c>
      <c r="C1253" s="12" t="inlineStr">
        <is>
          <t>VS05</t>
        </is>
      </c>
      <c r="D1253" s="12" t="inlineStr">
        <is>
          <t>Angles &amp; Channels</t>
        </is>
      </c>
      <c r="E1253" s="12" t="inlineStr">
        <is>
          <t>N</t>
        </is>
      </c>
      <c r="F1253" s="12" t="n">
        <v>34.16</v>
      </c>
      <c r="G1253" s="17" t="n">
        <v>75206.53</v>
      </c>
      <c r="H1253" s="26" t="n">
        <v>45121</v>
      </c>
      <c r="I1253" s="26" t="n">
        <v>45124</v>
      </c>
      <c r="J1253" s="12" t="n">
        <v>33.9</v>
      </c>
      <c r="K1253" s="17" t="n">
        <v>2569055.06</v>
      </c>
      <c r="L1253" s="12" t="n">
        <v>0</v>
      </c>
      <c r="M1253" s="12" t="n">
        <v>22</v>
      </c>
      <c r="N1253" s="27">
        <f>F1253-J1253</f>
        <v/>
      </c>
      <c r="O1253" s="16">
        <f>I1253-H1253</f>
        <v/>
      </c>
      <c r="P1253" s="14">
        <f>F1253*G1253</f>
        <v/>
      </c>
      <c r="Q1253" s="14">
        <f>J1253*G1253</f>
        <v/>
      </c>
      <c r="R1253" s="14">
        <f>K1253-Q1253</f>
        <v/>
      </c>
      <c r="S1253" s="3">
        <f>P1253*Assumptions!$B$3/100</f>
        <v/>
      </c>
      <c r="T1253" s="14">
        <f>R1253-S1253</f>
        <v/>
      </c>
      <c r="U1253" s="14">
        <f>L1253*G1253</f>
        <v/>
      </c>
    </row>
    <row r="1254">
      <c r="A1254" s="12" t="inlineStr">
        <is>
          <t>PO-2021-1252</t>
        </is>
      </c>
      <c r="B1254" s="26" t="n">
        <v>45259</v>
      </c>
      <c r="C1254" s="12" t="inlineStr">
        <is>
          <t>VS26</t>
        </is>
      </c>
      <c r="D1254" s="12" t="inlineStr">
        <is>
          <t>CR Sheets</t>
        </is>
      </c>
      <c r="E1254" s="12" t="inlineStr">
        <is>
          <t>N</t>
        </is>
      </c>
      <c r="F1254" s="12" t="n">
        <v>29.63</v>
      </c>
      <c r="G1254" s="17" t="n">
        <v>92734.59</v>
      </c>
      <c r="H1254" s="26" t="n">
        <v>45269</v>
      </c>
      <c r="I1254" s="26" t="n">
        <v>45271</v>
      </c>
      <c r="J1254" s="12" t="n">
        <v>29.52</v>
      </c>
      <c r="K1254" s="17" t="n">
        <v>2747725.9</v>
      </c>
      <c r="L1254" s="12" t="n">
        <v>0</v>
      </c>
      <c r="M1254" s="12" t="n">
        <v>22</v>
      </c>
      <c r="N1254" s="27">
        <f>F1254-J1254</f>
        <v/>
      </c>
      <c r="O1254" s="16">
        <f>I1254-H1254</f>
        <v/>
      </c>
      <c r="P1254" s="14">
        <f>F1254*G1254</f>
        <v/>
      </c>
      <c r="Q1254" s="14">
        <f>J1254*G1254</f>
        <v/>
      </c>
      <c r="R1254" s="14">
        <f>K1254-Q1254</f>
        <v/>
      </c>
      <c r="S1254" s="3">
        <f>P1254*Assumptions!$B$3/100</f>
        <v/>
      </c>
      <c r="T1254" s="14">
        <f>R1254-S1254</f>
        <v/>
      </c>
      <c r="U1254" s="14">
        <f>L1254*G1254</f>
        <v/>
      </c>
    </row>
    <row r="1255">
      <c r="A1255" s="12" t="inlineStr">
        <is>
          <t>PO-2021-1253</t>
        </is>
      </c>
      <c r="B1255" s="26" t="n">
        <v>45199</v>
      </c>
      <c r="C1255" s="12" t="inlineStr">
        <is>
          <t>VS27</t>
        </is>
      </c>
      <c r="D1255" s="12" t="inlineStr">
        <is>
          <t>MS Sheets</t>
        </is>
      </c>
      <c r="E1255" s="12" t="inlineStr">
        <is>
          <t>N</t>
        </is>
      </c>
      <c r="F1255" s="12" t="n">
        <v>8.07</v>
      </c>
      <c r="G1255" s="17" t="n">
        <v>54534.3</v>
      </c>
      <c r="H1255" s="26" t="n">
        <v>45213</v>
      </c>
      <c r="I1255" s="26" t="n">
        <v>45215</v>
      </c>
      <c r="J1255" s="12" t="n">
        <v>7.99</v>
      </c>
      <c r="K1255" s="17" t="n">
        <v>440091.8</v>
      </c>
      <c r="L1255" s="12" t="n">
        <v>0</v>
      </c>
      <c r="M1255" s="12" t="n">
        <v>10</v>
      </c>
      <c r="N1255" s="27">
        <f>F1255-J1255</f>
        <v/>
      </c>
      <c r="O1255" s="16">
        <f>I1255-H1255</f>
        <v/>
      </c>
      <c r="P1255" s="14">
        <f>F1255*G1255</f>
        <v/>
      </c>
      <c r="Q1255" s="14">
        <f>J1255*G1255</f>
        <v/>
      </c>
      <c r="R1255" s="14">
        <f>K1255-Q1255</f>
        <v/>
      </c>
      <c r="S1255" s="3">
        <f>P1255*Assumptions!$B$3/100</f>
        <v/>
      </c>
      <c r="T1255" s="14">
        <f>R1255-S1255</f>
        <v/>
      </c>
      <c r="U1255" s="14">
        <f>L1255*G1255</f>
        <v/>
      </c>
    </row>
    <row r="1256">
      <c r="A1256" s="12" t="inlineStr">
        <is>
          <t>PO-2021-1254</t>
        </is>
      </c>
      <c r="B1256" s="26" t="n">
        <v>45134</v>
      </c>
      <c r="C1256" s="12" t="inlineStr">
        <is>
          <t>VS09</t>
        </is>
      </c>
      <c r="D1256" s="12" t="inlineStr">
        <is>
          <t>Hex Bars</t>
        </is>
      </c>
      <c r="E1256" s="12" t="inlineStr">
        <is>
          <t>N</t>
        </is>
      </c>
      <c r="F1256" s="12" t="n">
        <v>43.3</v>
      </c>
      <c r="G1256" s="17" t="n">
        <v>53854.36</v>
      </c>
      <c r="H1256" s="26" t="n">
        <v>45140</v>
      </c>
      <c r="I1256" s="26" t="n">
        <v>45142</v>
      </c>
      <c r="J1256" s="12" t="n">
        <v>43.01</v>
      </c>
      <c r="K1256" s="17" t="n">
        <v>2331893.79</v>
      </c>
      <c r="L1256" s="12" t="n">
        <v>0</v>
      </c>
      <c r="M1256" s="12" t="n">
        <v>0</v>
      </c>
      <c r="N1256" s="27">
        <f>F1256-J1256</f>
        <v/>
      </c>
      <c r="O1256" s="16">
        <f>I1256-H1256</f>
        <v/>
      </c>
      <c r="P1256" s="14">
        <f>F1256*G1256</f>
        <v/>
      </c>
      <c r="Q1256" s="14">
        <f>J1256*G1256</f>
        <v/>
      </c>
      <c r="R1256" s="14">
        <f>K1256-Q1256</f>
        <v/>
      </c>
      <c r="S1256" s="3">
        <f>P1256*Assumptions!$B$3/100</f>
        <v/>
      </c>
      <c r="T1256" s="14">
        <f>R1256-S1256</f>
        <v/>
      </c>
      <c r="U1256" s="14">
        <f>L1256*G1256</f>
        <v/>
      </c>
    </row>
    <row r="1257">
      <c r="A1257" s="12" t="inlineStr">
        <is>
          <t>PO-2021-1255</t>
        </is>
      </c>
      <c r="B1257" s="26" t="n">
        <v>45129</v>
      </c>
      <c r="C1257" s="12" t="inlineStr">
        <is>
          <t>VS31</t>
        </is>
      </c>
      <c r="D1257" s="12" t="inlineStr">
        <is>
          <t>GI Pipes</t>
        </is>
      </c>
      <c r="E1257" s="12" t="inlineStr">
        <is>
          <t>N</t>
        </is>
      </c>
      <c r="F1257" s="12" t="n">
        <v>37.58</v>
      </c>
      <c r="G1257" s="17" t="n">
        <v>115805.22</v>
      </c>
      <c r="H1257" s="26" t="n">
        <v>45137</v>
      </c>
      <c r="I1257" s="26" t="n">
        <v>45139</v>
      </c>
      <c r="J1257" s="12" t="n">
        <v>37.36</v>
      </c>
      <c r="K1257" s="17" t="n">
        <v>4351960.17</v>
      </c>
      <c r="L1257" s="12" t="n">
        <v>0</v>
      </c>
      <c r="M1257" s="12" t="n">
        <v>0</v>
      </c>
      <c r="N1257" s="27">
        <f>F1257-J1257</f>
        <v/>
      </c>
      <c r="O1257" s="16">
        <f>I1257-H1257</f>
        <v/>
      </c>
      <c r="P1257" s="14">
        <f>F1257*G1257</f>
        <v/>
      </c>
      <c r="Q1257" s="14">
        <f>J1257*G1257</f>
        <v/>
      </c>
      <c r="R1257" s="14">
        <f>K1257-Q1257</f>
        <v/>
      </c>
      <c r="S1257" s="3">
        <f>P1257*Assumptions!$B$3/100</f>
        <v/>
      </c>
      <c r="T1257" s="14">
        <f>R1257-S1257</f>
        <v/>
      </c>
      <c r="U1257" s="14">
        <f>L1257*G1257</f>
        <v/>
      </c>
    </row>
    <row r="1258">
      <c r="A1258" s="12" t="inlineStr">
        <is>
          <t>PO-2021-1256</t>
        </is>
      </c>
      <c r="B1258" s="26" t="n">
        <v>44440</v>
      </c>
      <c r="C1258" s="12" t="inlineStr">
        <is>
          <t>VS27</t>
        </is>
      </c>
      <c r="D1258" s="12" t="inlineStr">
        <is>
          <t>ERW Pipes</t>
        </is>
      </c>
      <c r="E1258" s="12" t="inlineStr">
        <is>
          <t>N</t>
        </is>
      </c>
      <c r="F1258" s="12" t="n">
        <v>6.92</v>
      </c>
      <c r="G1258" s="17" t="n">
        <v>87882.36</v>
      </c>
      <c r="H1258" s="26" t="n">
        <v>44443</v>
      </c>
      <c r="I1258" s="26" t="n">
        <v>44445</v>
      </c>
      <c r="J1258" s="12" t="n">
        <v>6.86</v>
      </c>
      <c r="K1258" s="17" t="n">
        <v>608145.9300000001</v>
      </c>
      <c r="L1258" s="12" t="n">
        <v>0</v>
      </c>
      <c r="M1258" s="12" t="n">
        <v>0</v>
      </c>
      <c r="N1258" s="27">
        <f>F1258-J1258</f>
        <v/>
      </c>
      <c r="O1258" s="16">
        <f>I1258-H1258</f>
        <v/>
      </c>
      <c r="P1258" s="14">
        <f>F1258*G1258</f>
        <v/>
      </c>
      <c r="Q1258" s="14">
        <f>J1258*G1258</f>
        <v/>
      </c>
      <c r="R1258" s="14">
        <f>K1258-Q1258</f>
        <v/>
      </c>
      <c r="S1258" s="3">
        <f>P1258*Assumptions!$B$3/100</f>
        <v/>
      </c>
      <c r="T1258" s="14">
        <f>R1258-S1258</f>
        <v/>
      </c>
      <c r="U1258" s="14">
        <f>L1258*G1258</f>
        <v/>
      </c>
    </row>
    <row r="1259">
      <c r="A1259" s="12" t="inlineStr">
        <is>
          <t>PO-2021-1257</t>
        </is>
      </c>
      <c r="B1259" s="26" t="n">
        <v>45267</v>
      </c>
      <c r="C1259" s="12" t="inlineStr">
        <is>
          <t>VS10</t>
        </is>
      </c>
      <c r="D1259" s="12" t="inlineStr">
        <is>
          <t>ERW Pipes</t>
        </is>
      </c>
      <c r="E1259" s="12" t="inlineStr">
        <is>
          <t>N</t>
        </is>
      </c>
      <c r="F1259" s="12" t="n">
        <v>19.2</v>
      </c>
      <c r="G1259" s="17" t="n">
        <v>119326.51</v>
      </c>
      <c r="H1259" s="26" t="n">
        <v>45274</v>
      </c>
      <c r="I1259" s="26" t="n">
        <v>45274</v>
      </c>
      <c r="J1259" s="12" t="n">
        <v>19.11</v>
      </c>
      <c r="K1259" s="17" t="n">
        <v>2291068.99</v>
      </c>
      <c r="L1259" s="12" t="n">
        <v>0</v>
      </c>
      <c r="M1259" s="12" t="n">
        <v>12</v>
      </c>
      <c r="N1259" s="27">
        <f>F1259-J1259</f>
        <v/>
      </c>
      <c r="O1259" s="16">
        <f>I1259-H1259</f>
        <v/>
      </c>
      <c r="P1259" s="14">
        <f>F1259*G1259</f>
        <v/>
      </c>
      <c r="Q1259" s="14">
        <f>J1259*G1259</f>
        <v/>
      </c>
      <c r="R1259" s="14">
        <f>K1259-Q1259</f>
        <v/>
      </c>
      <c r="S1259" s="3">
        <f>P1259*Assumptions!$B$3/100</f>
        <v/>
      </c>
      <c r="T1259" s="14">
        <f>R1259-S1259</f>
        <v/>
      </c>
      <c r="U1259" s="14">
        <f>L1259*G1259</f>
        <v/>
      </c>
    </row>
    <row r="1260">
      <c r="A1260" s="12" t="inlineStr">
        <is>
          <t>PO-2021-1258</t>
        </is>
      </c>
      <c r="B1260" s="26" t="n">
        <v>44799</v>
      </c>
      <c r="C1260" s="12" t="inlineStr">
        <is>
          <t>VS32</t>
        </is>
      </c>
      <c r="D1260" s="12" t="inlineStr">
        <is>
          <t>MS Pipes</t>
        </is>
      </c>
      <c r="E1260" s="12" t="inlineStr">
        <is>
          <t>N</t>
        </is>
      </c>
      <c r="F1260" s="12" t="n">
        <v>39.77</v>
      </c>
      <c r="G1260" s="17" t="n">
        <v>55660.49</v>
      </c>
      <c r="H1260" s="26" t="n">
        <v>44811</v>
      </c>
      <c r="I1260" s="26" t="n">
        <v>44811</v>
      </c>
      <c r="J1260" s="12" t="n">
        <v>39.39</v>
      </c>
      <c r="K1260" s="17" t="n">
        <v>2213617.69</v>
      </c>
      <c r="L1260" s="12" t="n">
        <v>0</v>
      </c>
      <c r="M1260" s="12" t="n">
        <v>0</v>
      </c>
      <c r="N1260" s="27">
        <f>F1260-J1260</f>
        <v/>
      </c>
      <c r="O1260" s="16">
        <f>I1260-H1260</f>
        <v/>
      </c>
      <c r="P1260" s="14">
        <f>F1260*G1260</f>
        <v/>
      </c>
      <c r="Q1260" s="14">
        <f>J1260*G1260</f>
        <v/>
      </c>
      <c r="R1260" s="14">
        <f>K1260-Q1260</f>
        <v/>
      </c>
      <c r="S1260" s="3">
        <f>P1260*Assumptions!$B$3/100</f>
        <v/>
      </c>
      <c r="T1260" s="14">
        <f>R1260-S1260</f>
        <v/>
      </c>
      <c r="U1260" s="14">
        <f>L1260*G1260</f>
        <v/>
      </c>
    </row>
    <row r="1261">
      <c r="A1261" s="12" t="inlineStr">
        <is>
          <t>PO-2021-1259</t>
        </is>
      </c>
      <c r="B1261" s="26" t="n">
        <v>45060</v>
      </c>
      <c r="C1261" s="12" t="inlineStr">
        <is>
          <t>VS04</t>
        </is>
      </c>
      <c r="D1261" s="12" t="inlineStr">
        <is>
          <t>SS Sheets</t>
        </is>
      </c>
      <c r="E1261" s="12" t="inlineStr">
        <is>
          <t>N</t>
        </is>
      </c>
      <c r="F1261" s="12" t="n">
        <v>44.56</v>
      </c>
      <c r="G1261" s="17" t="n">
        <v>61168.61</v>
      </c>
      <c r="H1261" s="26" t="n">
        <v>45074</v>
      </c>
      <c r="I1261" s="26" t="n">
        <v>45074</v>
      </c>
      <c r="J1261" s="12" t="n">
        <v>44.12</v>
      </c>
      <c r="K1261" s="17" t="n">
        <v>2725673.26</v>
      </c>
      <c r="L1261" s="12" t="n">
        <v>0</v>
      </c>
      <c r="M1261" s="12" t="n">
        <v>1</v>
      </c>
      <c r="N1261" s="27">
        <f>F1261-J1261</f>
        <v/>
      </c>
      <c r="O1261" s="16">
        <f>I1261-H1261</f>
        <v/>
      </c>
      <c r="P1261" s="14">
        <f>F1261*G1261</f>
        <v/>
      </c>
      <c r="Q1261" s="14">
        <f>J1261*G1261</f>
        <v/>
      </c>
      <c r="R1261" s="14">
        <f>K1261-Q1261</f>
        <v/>
      </c>
      <c r="S1261" s="3">
        <f>P1261*Assumptions!$B$3/100</f>
        <v/>
      </c>
      <c r="T1261" s="14">
        <f>R1261-S1261</f>
        <v/>
      </c>
      <c r="U1261" s="14">
        <f>L1261*G1261</f>
        <v/>
      </c>
    </row>
    <row r="1262">
      <c r="A1262" s="12" t="inlineStr">
        <is>
          <t>PO-2021-1260</t>
        </is>
      </c>
      <c r="B1262" s="26" t="n">
        <v>45198</v>
      </c>
      <c r="C1262" s="12" t="inlineStr">
        <is>
          <t>VS01</t>
        </is>
      </c>
      <c r="D1262" s="12" t="inlineStr">
        <is>
          <t>ERW Pipes</t>
        </is>
      </c>
      <c r="E1262" s="12" t="inlineStr">
        <is>
          <t>Y</t>
        </is>
      </c>
      <c r="F1262" s="12" t="n">
        <v>27.83</v>
      </c>
      <c r="G1262" s="17" t="n">
        <v>50067.34</v>
      </c>
      <c r="H1262" s="26" t="n">
        <v>45201</v>
      </c>
      <c r="I1262" s="26" t="n">
        <v>45204</v>
      </c>
      <c r="J1262" s="12" t="n">
        <v>27.81</v>
      </c>
      <c r="K1262" s="17" t="n">
        <v>1393374.07</v>
      </c>
      <c r="L1262" s="12" t="n">
        <v>0</v>
      </c>
      <c r="M1262" s="12" t="n">
        <v>0</v>
      </c>
      <c r="N1262" s="27">
        <f>F1262-J1262</f>
        <v/>
      </c>
      <c r="O1262" s="16">
        <f>I1262-H1262</f>
        <v/>
      </c>
      <c r="P1262" s="14">
        <f>F1262*G1262</f>
        <v/>
      </c>
      <c r="Q1262" s="14">
        <f>J1262*G1262</f>
        <v/>
      </c>
      <c r="R1262" s="14">
        <f>K1262-Q1262</f>
        <v/>
      </c>
      <c r="S1262" s="3">
        <f>P1262*Assumptions!$B$3/100</f>
        <v/>
      </c>
      <c r="T1262" s="14">
        <f>R1262-S1262</f>
        <v/>
      </c>
      <c r="U1262" s="14">
        <f>L1262*G1262</f>
        <v/>
      </c>
    </row>
    <row r="1263">
      <c r="A1263" s="12" t="inlineStr">
        <is>
          <t>PO-2021-1261</t>
        </is>
      </c>
      <c r="B1263" s="26" t="n">
        <v>45052</v>
      </c>
      <c r="C1263" s="12" t="inlineStr">
        <is>
          <t>VS31</t>
        </is>
      </c>
      <c r="D1263" s="12" t="inlineStr">
        <is>
          <t>SS Sheets</t>
        </is>
      </c>
      <c r="E1263" s="12" t="inlineStr">
        <is>
          <t>N</t>
        </is>
      </c>
      <c r="F1263" s="12" t="n">
        <v>28.72</v>
      </c>
      <c r="G1263" s="17" t="n">
        <v>112521.55</v>
      </c>
      <c r="H1263" s="26" t="n">
        <v>45067</v>
      </c>
      <c r="I1263" s="26" t="n">
        <v>45070</v>
      </c>
      <c r="J1263" s="12" t="n">
        <v>28.5</v>
      </c>
      <c r="K1263" s="17" t="n">
        <v>3231618.92</v>
      </c>
      <c r="L1263" s="12" t="n">
        <v>0</v>
      </c>
      <c r="M1263" s="12" t="n">
        <v>0</v>
      </c>
      <c r="N1263" s="27">
        <f>F1263-J1263</f>
        <v/>
      </c>
      <c r="O1263" s="16">
        <f>I1263-H1263</f>
        <v/>
      </c>
      <c r="P1263" s="14">
        <f>F1263*G1263</f>
        <v/>
      </c>
      <c r="Q1263" s="14">
        <f>J1263*G1263</f>
        <v/>
      </c>
      <c r="R1263" s="14">
        <f>K1263-Q1263</f>
        <v/>
      </c>
      <c r="S1263" s="3">
        <f>P1263*Assumptions!$B$3/100</f>
        <v/>
      </c>
      <c r="T1263" s="14">
        <f>R1263-S1263</f>
        <v/>
      </c>
      <c r="U1263" s="14">
        <f>L1263*G1263</f>
        <v/>
      </c>
    </row>
    <row r="1264">
      <c r="A1264" s="12" t="inlineStr">
        <is>
          <t>PO-2021-1262</t>
        </is>
      </c>
      <c r="B1264" s="26" t="n">
        <v>44969</v>
      </c>
      <c r="C1264" s="12" t="inlineStr">
        <is>
          <t>VS31</t>
        </is>
      </c>
      <c r="D1264" s="12" t="inlineStr">
        <is>
          <t>Square/Rect Tubes</t>
        </is>
      </c>
      <c r="E1264" s="12" t="inlineStr">
        <is>
          <t>N</t>
        </is>
      </c>
      <c r="F1264" s="12" t="n">
        <v>38.34</v>
      </c>
      <c r="G1264" s="17" t="n">
        <v>82857.28999999999</v>
      </c>
      <c r="H1264" s="26" t="n">
        <v>44979</v>
      </c>
      <c r="I1264" s="26" t="n">
        <v>44980</v>
      </c>
      <c r="J1264" s="12" t="n">
        <v>38.09</v>
      </c>
      <c r="K1264" s="17" t="n">
        <v>3176748.5</v>
      </c>
      <c r="L1264" s="12" t="n">
        <v>0</v>
      </c>
      <c r="M1264" s="12" t="n">
        <v>0</v>
      </c>
      <c r="N1264" s="27">
        <f>F1264-J1264</f>
        <v/>
      </c>
      <c r="O1264" s="16">
        <f>I1264-H1264</f>
        <v/>
      </c>
      <c r="P1264" s="14">
        <f>F1264*G1264</f>
        <v/>
      </c>
      <c r="Q1264" s="14">
        <f>J1264*G1264</f>
        <v/>
      </c>
      <c r="R1264" s="14">
        <f>K1264-Q1264</f>
        <v/>
      </c>
      <c r="S1264" s="3">
        <f>P1264*Assumptions!$B$3/100</f>
        <v/>
      </c>
      <c r="T1264" s="14">
        <f>R1264-S1264</f>
        <v/>
      </c>
      <c r="U1264" s="14">
        <f>L1264*G1264</f>
        <v/>
      </c>
    </row>
    <row r="1265">
      <c r="A1265" s="12" t="inlineStr">
        <is>
          <t>PO-2021-1263</t>
        </is>
      </c>
      <c r="B1265" s="26" t="n">
        <v>45118</v>
      </c>
      <c r="C1265" s="12" t="inlineStr">
        <is>
          <t>VS29</t>
        </is>
      </c>
      <c r="D1265" s="12" t="inlineStr">
        <is>
          <t>Square/Rect Tubes</t>
        </is>
      </c>
      <c r="E1265" s="12" t="inlineStr">
        <is>
          <t>N</t>
        </is>
      </c>
      <c r="F1265" s="12" t="n">
        <v>43.45</v>
      </c>
      <c r="G1265" s="17" t="n">
        <v>69391.22</v>
      </c>
      <c r="H1265" s="26" t="n">
        <v>45133</v>
      </c>
      <c r="I1265" s="26" t="n">
        <v>45136</v>
      </c>
      <c r="J1265" s="12" t="n">
        <v>43.1</v>
      </c>
      <c r="K1265" s="17" t="n">
        <v>3015048.51</v>
      </c>
      <c r="L1265" s="12" t="n">
        <v>0</v>
      </c>
      <c r="M1265" s="12" t="n">
        <v>5</v>
      </c>
      <c r="N1265" s="27">
        <f>F1265-J1265</f>
        <v/>
      </c>
      <c r="O1265" s="16">
        <f>I1265-H1265</f>
        <v/>
      </c>
      <c r="P1265" s="14">
        <f>F1265*G1265</f>
        <v/>
      </c>
      <c r="Q1265" s="14">
        <f>J1265*G1265</f>
        <v/>
      </c>
      <c r="R1265" s="14">
        <f>K1265-Q1265</f>
        <v/>
      </c>
      <c r="S1265" s="3">
        <f>P1265*Assumptions!$B$3/100</f>
        <v/>
      </c>
      <c r="T1265" s="14">
        <f>R1265-S1265</f>
        <v/>
      </c>
      <c r="U1265" s="14">
        <f>L1265*G1265</f>
        <v/>
      </c>
    </row>
    <row r="1266">
      <c r="A1266" s="12" t="inlineStr">
        <is>
          <t>PO-2021-1264</t>
        </is>
      </c>
      <c r="B1266" s="26" t="n">
        <v>45035</v>
      </c>
      <c r="C1266" s="12" t="inlineStr">
        <is>
          <t>VS25</t>
        </is>
      </c>
      <c r="D1266" s="12" t="inlineStr">
        <is>
          <t>HR Coils</t>
        </is>
      </c>
      <c r="E1266" s="12" t="inlineStr">
        <is>
          <t>N</t>
        </is>
      </c>
      <c r="F1266" s="12" t="n">
        <v>45.11</v>
      </c>
      <c r="G1266" s="17" t="n">
        <v>70424.84</v>
      </c>
      <c r="H1266" s="26" t="n">
        <v>45038</v>
      </c>
      <c r="I1266" s="26" t="n">
        <v>45039</v>
      </c>
      <c r="J1266" s="12" t="n">
        <v>44.74</v>
      </c>
      <c r="K1266" s="17" t="n">
        <v>3176864.53</v>
      </c>
      <c r="L1266" s="12" t="n">
        <v>0</v>
      </c>
      <c r="M1266" s="12" t="n">
        <v>7</v>
      </c>
      <c r="N1266" s="27">
        <f>F1266-J1266</f>
        <v/>
      </c>
      <c r="O1266" s="16">
        <f>I1266-H1266</f>
        <v/>
      </c>
      <c r="P1266" s="14">
        <f>F1266*G1266</f>
        <v/>
      </c>
      <c r="Q1266" s="14">
        <f>J1266*G1266</f>
        <v/>
      </c>
      <c r="R1266" s="14">
        <f>K1266-Q1266</f>
        <v/>
      </c>
      <c r="S1266" s="3">
        <f>P1266*Assumptions!$B$3/100</f>
        <v/>
      </c>
      <c r="T1266" s="14">
        <f>R1266-S1266</f>
        <v/>
      </c>
      <c r="U1266" s="14">
        <f>L1266*G1266</f>
        <v/>
      </c>
    </row>
    <row r="1267">
      <c r="A1267" s="12" t="inlineStr">
        <is>
          <t>PO-2021-1265</t>
        </is>
      </c>
      <c r="B1267" s="26" t="n">
        <v>45104</v>
      </c>
      <c r="C1267" s="12" t="inlineStr">
        <is>
          <t>VS18</t>
        </is>
      </c>
      <c r="D1267" s="12" t="inlineStr">
        <is>
          <t>SS Pipes</t>
        </is>
      </c>
      <c r="E1267" s="12" t="inlineStr">
        <is>
          <t>Y</t>
        </is>
      </c>
      <c r="F1267" s="12" t="n">
        <v>43.43</v>
      </c>
      <c r="G1267" s="17" t="n">
        <v>98040.64999999999</v>
      </c>
      <c r="H1267" s="26" t="n">
        <v>45116</v>
      </c>
      <c r="I1267" s="26" t="n">
        <v>45117</v>
      </c>
      <c r="J1267" s="12" t="n">
        <v>43.12</v>
      </c>
      <c r="K1267" s="17" t="n">
        <v>4257905.43</v>
      </c>
      <c r="L1267" s="12" t="n">
        <v>0</v>
      </c>
      <c r="M1267" s="12" t="n">
        <v>22</v>
      </c>
      <c r="N1267" s="27">
        <f>F1267-J1267</f>
        <v/>
      </c>
      <c r="O1267" s="16">
        <f>I1267-H1267</f>
        <v/>
      </c>
      <c r="P1267" s="14">
        <f>F1267*G1267</f>
        <v/>
      </c>
      <c r="Q1267" s="14">
        <f>J1267*G1267</f>
        <v/>
      </c>
      <c r="R1267" s="14">
        <f>K1267-Q1267</f>
        <v/>
      </c>
      <c r="S1267" s="3">
        <f>P1267*Assumptions!$B$3/100</f>
        <v/>
      </c>
      <c r="T1267" s="14">
        <f>R1267-S1267</f>
        <v/>
      </c>
      <c r="U1267" s="14">
        <f>L1267*G1267</f>
        <v/>
      </c>
    </row>
    <row r="1268">
      <c r="A1268" s="12" t="inlineStr">
        <is>
          <t>PO-2021-1266</t>
        </is>
      </c>
      <c r="B1268" s="26" t="n">
        <v>44829</v>
      </c>
      <c r="C1268" s="12" t="inlineStr">
        <is>
          <t>VS08</t>
        </is>
      </c>
      <c r="D1268" s="12" t="inlineStr">
        <is>
          <t>Spring Steel</t>
        </is>
      </c>
      <c r="E1268" s="12" t="inlineStr">
        <is>
          <t>N</t>
        </is>
      </c>
      <c r="F1268" s="12" t="n">
        <v>5.17</v>
      </c>
      <c r="G1268" s="17" t="n">
        <v>116637.62</v>
      </c>
      <c r="H1268" s="26" t="n">
        <v>44840</v>
      </c>
      <c r="I1268" s="26" t="n">
        <v>44843</v>
      </c>
      <c r="J1268" s="12" t="n">
        <v>5.13</v>
      </c>
      <c r="K1268" s="17" t="n">
        <v>603016.5</v>
      </c>
      <c r="L1268" s="12" t="n">
        <v>0</v>
      </c>
      <c r="M1268" s="12" t="n">
        <v>0</v>
      </c>
      <c r="N1268" s="27">
        <f>F1268-J1268</f>
        <v/>
      </c>
      <c r="O1268" s="16">
        <f>I1268-H1268</f>
        <v/>
      </c>
      <c r="P1268" s="14">
        <f>F1268*G1268</f>
        <v/>
      </c>
      <c r="Q1268" s="14">
        <f>J1268*G1268</f>
        <v/>
      </c>
      <c r="R1268" s="14">
        <f>K1268-Q1268</f>
        <v/>
      </c>
      <c r="S1268" s="3">
        <f>P1268*Assumptions!$B$3/100</f>
        <v/>
      </c>
      <c r="T1268" s="14">
        <f>R1268-S1268</f>
        <v/>
      </c>
      <c r="U1268" s="14">
        <f>L1268*G1268</f>
        <v/>
      </c>
    </row>
    <row r="1269">
      <c r="A1269" s="12" t="inlineStr">
        <is>
          <t>PO-2021-1267</t>
        </is>
      </c>
      <c r="B1269" s="26" t="n">
        <v>44305</v>
      </c>
      <c r="C1269" s="12" t="inlineStr">
        <is>
          <t>VS34</t>
        </is>
      </c>
      <c r="D1269" s="12" t="inlineStr">
        <is>
          <t>GI Sheets</t>
        </is>
      </c>
      <c r="E1269" s="12" t="inlineStr">
        <is>
          <t>N</t>
        </is>
      </c>
      <c r="F1269" s="12" t="n">
        <v>37.78</v>
      </c>
      <c r="G1269" s="17" t="n">
        <v>82697.91</v>
      </c>
      <c r="H1269" s="26" t="n">
        <v>44308</v>
      </c>
      <c r="I1269" s="26" t="n">
        <v>44308</v>
      </c>
      <c r="J1269" s="12" t="n">
        <v>37.56</v>
      </c>
      <c r="K1269" s="17" t="n">
        <v>3124327.04</v>
      </c>
      <c r="L1269" s="12" t="n">
        <v>0</v>
      </c>
      <c r="M1269" s="12" t="n">
        <v>10</v>
      </c>
      <c r="N1269" s="27">
        <f>F1269-J1269</f>
        <v/>
      </c>
      <c r="O1269" s="16">
        <f>I1269-H1269</f>
        <v/>
      </c>
      <c r="P1269" s="14">
        <f>F1269*G1269</f>
        <v/>
      </c>
      <c r="Q1269" s="14">
        <f>J1269*G1269</f>
        <v/>
      </c>
      <c r="R1269" s="14">
        <f>K1269-Q1269</f>
        <v/>
      </c>
      <c r="S1269" s="3">
        <f>P1269*Assumptions!$B$3/100</f>
        <v/>
      </c>
      <c r="T1269" s="14">
        <f>R1269-S1269</f>
        <v/>
      </c>
      <c r="U1269" s="14">
        <f>L1269*G1269</f>
        <v/>
      </c>
    </row>
    <row r="1270">
      <c r="A1270" s="12" t="inlineStr">
        <is>
          <t>PO-2021-1268</t>
        </is>
      </c>
      <c r="B1270" s="26" t="n">
        <v>44443</v>
      </c>
      <c r="C1270" s="12" t="inlineStr">
        <is>
          <t>VS12</t>
        </is>
      </c>
      <c r="D1270" s="12" t="inlineStr">
        <is>
          <t>MS Pipes</t>
        </is>
      </c>
      <c r="E1270" s="12" t="inlineStr">
        <is>
          <t>N</t>
        </is>
      </c>
      <c r="F1270" s="12" t="n">
        <v>14.47</v>
      </c>
      <c r="G1270" s="17" t="n">
        <v>62852.79</v>
      </c>
      <c r="H1270" s="26" t="n">
        <v>44457</v>
      </c>
      <c r="I1270" s="26" t="n">
        <v>44465</v>
      </c>
      <c r="J1270" s="12" t="n">
        <v>13.79</v>
      </c>
      <c r="K1270" s="17" t="n">
        <v>909479.87</v>
      </c>
      <c r="L1270" s="12" t="n">
        <v>0.09</v>
      </c>
      <c r="M1270" s="12" t="n">
        <v>11</v>
      </c>
      <c r="N1270" s="27">
        <f>F1270-J1270</f>
        <v/>
      </c>
      <c r="O1270" s="16">
        <f>I1270-H1270</f>
        <v/>
      </c>
      <c r="P1270" s="14">
        <f>F1270*G1270</f>
        <v/>
      </c>
      <c r="Q1270" s="14">
        <f>J1270*G1270</f>
        <v/>
      </c>
      <c r="R1270" s="14">
        <f>K1270-Q1270</f>
        <v/>
      </c>
      <c r="S1270" s="3">
        <f>P1270*Assumptions!$B$3/100</f>
        <v/>
      </c>
      <c r="T1270" s="14">
        <f>R1270-S1270</f>
        <v/>
      </c>
      <c r="U1270" s="14">
        <f>L1270*G1270</f>
        <v/>
      </c>
    </row>
    <row r="1271">
      <c r="A1271" s="12" t="inlineStr">
        <is>
          <t>PO-2021-1269</t>
        </is>
      </c>
      <c r="B1271" s="26" t="n">
        <v>45106</v>
      </c>
      <c r="C1271" s="12" t="inlineStr">
        <is>
          <t>VS06</t>
        </is>
      </c>
      <c r="D1271" s="12" t="inlineStr">
        <is>
          <t>Spring Steel</t>
        </is>
      </c>
      <c r="E1271" s="12" t="inlineStr">
        <is>
          <t>N</t>
        </is>
      </c>
      <c r="F1271" s="12" t="n">
        <v>30.74</v>
      </c>
      <c r="G1271" s="17" t="n">
        <v>75134.84</v>
      </c>
      <c r="H1271" s="26" t="n">
        <v>45109</v>
      </c>
      <c r="I1271" s="26" t="n">
        <v>45109</v>
      </c>
      <c r="J1271" s="12" t="n">
        <v>30.53</v>
      </c>
      <c r="K1271" s="17" t="n">
        <v>2309644.98</v>
      </c>
      <c r="L1271" s="12" t="n">
        <v>0</v>
      </c>
      <c r="M1271" s="12" t="n">
        <v>2</v>
      </c>
      <c r="N1271" s="27">
        <f>F1271-J1271</f>
        <v/>
      </c>
      <c r="O1271" s="16">
        <f>I1271-H1271</f>
        <v/>
      </c>
      <c r="P1271" s="14">
        <f>F1271*G1271</f>
        <v/>
      </c>
      <c r="Q1271" s="14">
        <f>J1271*G1271</f>
        <v/>
      </c>
      <c r="R1271" s="14">
        <f>K1271-Q1271</f>
        <v/>
      </c>
      <c r="S1271" s="3">
        <f>P1271*Assumptions!$B$3/100</f>
        <v/>
      </c>
      <c r="T1271" s="14">
        <f>R1271-S1271</f>
        <v/>
      </c>
      <c r="U1271" s="14">
        <f>L1271*G1271</f>
        <v/>
      </c>
    </row>
    <row r="1272">
      <c r="A1272" s="12" t="inlineStr">
        <is>
          <t>PO-2021-1270</t>
        </is>
      </c>
      <c r="B1272" s="26" t="n">
        <v>45203</v>
      </c>
      <c r="C1272" s="12" t="inlineStr">
        <is>
          <t>VS02</t>
        </is>
      </c>
      <c r="D1272" s="12" t="inlineStr">
        <is>
          <t>MS Flats</t>
        </is>
      </c>
      <c r="E1272" s="12" t="inlineStr">
        <is>
          <t>N</t>
        </is>
      </c>
      <c r="F1272" s="12" t="n">
        <v>22.41</v>
      </c>
      <c r="G1272" s="17" t="n">
        <v>76120.23</v>
      </c>
      <c r="H1272" s="26" t="n">
        <v>45214</v>
      </c>
      <c r="I1272" s="26" t="n">
        <v>45217</v>
      </c>
      <c r="J1272" s="12" t="n">
        <v>22.27</v>
      </c>
      <c r="K1272" s="17" t="n">
        <v>1705854.35</v>
      </c>
      <c r="L1272" s="12" t="n">
        <v>0</v>
      </c>
      <c r="M1272" s="12" t="n">
        <v>8</v>
      </c>
      <c r="N1272" s="27">
        <f>F1272-J1272</f>
        <v/>
      </c>
      <c r="O1272" s="16">
        <f>I1272-H1272</f>
        <v/>
      </c>
      <c r="P1272" s="14">
        <f>F1272*G1272</f>
        <v/>
      </c>
      <c r="Q1272" s="14">
        <f>J1272*G1272</f>
        <v/>
      </c>
      <c r="R1272" s="14">
        <f>K1272-Q1272</f>
        <v/>
      </c>
      <c r="S1272" s="3">
        <f>P1272*Assumptions!$B$3/100</f>
        <v/>
      </c>
      <c r="T1272" s="14">
        <f>R1272-S1272</f>
        <v/>
      </c>
      <c r="U1272" s="14">
        <f>L1272*G1272</f>
        <v/>
      </c>
    </row>
    <row r="1273">
      <c r="A1273" s="12" t="inlineStr">
        <is>
          <t>PO-2021-1271</t>
        </is>
      </c>
      <c r="B1273" s="26" t="n">
        <v>44846</v>
      </c>
      <c r="C1273" s="12" t="inlineStr">
        <is>
          <t>VS25</t>
        </is>
      </c>
      <c r="D1273" s="12" t="inlineStr">
        <is>
          <t>CR Sheets</t>
        </is>
      </c>
      <c r="E1273" s="12" t="inlineStr">
        <is>
          <t>Y</t>
        </is>
      </c>
      <c r="F1273" s="12" t="n">
        <v>5.46</v>
      </c>
      <c r="G1273" s="17" t="n">
        <v>118483.96</v>
      </c>
      <c r="H1273" s="26" t="n">
        <v>44857</v>
      </c>
      <c r="I1273" s="26" t="n">
        <v>44857</v>
      </c>
      <c r="J1273" s="12" t="n">
        <v>5.45</v>
      </c>
      <c r="K1273" s="17" t="n">
        <v>646922.42</v>
      </c>
      <c r="L1273" s="12" t="n">
        <v>0</v>
      </c>
      <c r="M1273" s="12" t="n">
        <v>0</v>
      </c>
      <c r="N1273" s="27">
        <f>F1273-J1273</f>
        <v/>
      </c>
      <c r="O1273" s="16">
        <f>I1273-H1273</f>
        <v/>
      </c>
      <c r="P1273" s="14">
        <f>F1273*G1273</f>
        <v/>
      </c>
      <c r="Q1273" s="14">
        <f>J1273*G1273</f>
        <v/>
      </c>
      <c r="R1273" s="14">
        <f>K1273-Q1273</f>
        <v/>
      </c>
      <c r="S1273" s="3">
        <f>P1273*Assumptions!$B$3/100</f>
        <v/>
      </c>
      <c r="T1273" s="14">
        <f>R1273-S1273</f>
        <v/>
      </c>
      <c r="U1273" s="14">
        <f>L1273*G1273</f>
        <v/>
      </c>
    </row>
    <row r="1274">
      <c r="A1274" s="12" t="inlineStr">
        <is>
          <t>PO-2021-1272</t>
        </is>
      </c>
      <c r="B1274" s="26" t="n">
        <v>44541</v>
      </c>
      <c r="C1274" s="12" t="inlineStr">
        <is>
          <t>VS19</t>
        </is>
      </c>
      <c r="D1274" s="12" t="inlineStr">
        <is>
          <t>Square/Rect Tubes</t>
        </is>
      </c>
      <c r="E1274" s="12" t="inlineStr">
        <is>
          <t>N</t>
        </is>
      </c>
      <c r="F1274" s="12" t="n">
        <v>9.949999999999999</v>
      </c>
      <c r="G1274" s="17" t="n">
        <v>106727.77</v>
      </c>
      <c r="H1274" s="26" t="n">
        <v>44546</v>
      </c>
      <c r="I1274" s="26" t="n">
        <v>44551</v>
      </c>
      <c r="J1274" s="12" t="n">
        <v>9.539999999999999</v>
      </c>
      <c r="K1274" s="17" t="n">
        <v>1061941.31</v>
      </c>
      <c r="L1274" s="12" t="n">
        <v>0.44</v>
      </c>
      <c r="M1274" s="12" t="n">
        <v>21</v>
      </c>
      <c r="N1274" s="27">
        <f>F1274-J1274</f>
        <v/>
      </c>
      <c r="O1274" s="16">
        <f>I1274-H1274</f>
        <v/>
      </c>
      <c r="P1274" s="14">
        <f>F1274*G1274</f>
        <v/>
      </c>
      <c r="Q1274" s="14">
        <f>J1274*G1274</f>
        <v/>
      </c>
      <c r="R1274" s="14">
        <f>K1274-Q1274</f>
        <v/>
      </c>
      <c r="S1274" s="3">
        <f>P1274*Assumptions!$B$3/100</f>
        <v/>
      </c>
      <c r="T1274" s="14">
        <f>R1274-S1274</f>
        <v/>
      </c>
      <c r="U1274" s="14">
        <f>L1274*G1274</f>
        <v/>
      </c>
    </row>
    <row r="1275">
      <c r="A1275" s="12" t="inlineStr">
        <is>
          <t>PO-2021-1273</t>
        </is>
      </c>
      <c r="B1275" s="26" t="n">
        <v>44825</v>
      </c>
      <c r="C1275" s="12" t="inlineStr">
        <is>
          <t>VS27</t>
        </is>
      </c>
      <c r="D1275" s="12" t="inlineStr">
        <is>
          <t>MS Sheets</t>
        </is>
      </c>
      <c r="E1275" s="12" t="inlineStr">
        <is>
          <t>N</t>
        </is>
      </c>
      <c r="F1275" s="12" t="n">
        <v>3.89</v>
      </c>
      <c r="G1275" s="17" t="n">
        <v>117084.25</v>
      </c>
      <c r="H1275" s="26" t="n">
        <v>44830</v>
      </c>
      <c r="I1275" s="26" t="n">
        <v>44831</v>
      </c>
      <c r="J1275" s="12" t="n">
        <v>3.88</v>
      </c>
      <c r="K1275" s="17" t="n">
        <v>455457.73</v>
      </c>
      <c r="L1275" s="12" t="n">
        <v>0</v>
      </c>
      <c r="M1275" s="12" t="n">
        <v>16</v>
      </c>
      <c r="N1275" s="27">
        <f>F1275-J1275</f>
        <v/>
      </c>
      <c r="O1275" s="16">
        <f>I1275-H1275</f>
        <v/>
      </c>
      <c r="P1275" s="14">
        <f>F1275*G1275</f>
        <v/>
      </c>
      <c r="Q1275" s="14">
        <f>J1275*G1275</f>
        <v/>
      </c>
      <c r="R1275" s="14">
        <f>K1275-Q1275</f>
        <v/>
      </c>
      <c r="S1275" s="3">
        <f>P1275*Assumptions!$B$3/100</f>
        <v/>
      </c>
      <c r="T1275" s="14">
        <f>R1275-S1275</f>
        <v/>
      </c>
      <c r="U1275" s="14">
        <f>L1275*G1275</f>
        <v/>
      </c>
    </row>
    <row r="1276">
      <c r="A1276" s="12" t="inlineStr">
        <is>
          <t>PO-2021-1274</t>
        </is>
      </c>
      <c r="B1276" s="26" t="n">
        <v>44252</v>
      </c>
      <c r="C1276" s="12" t="inlineStr">
        <is>
          <t>VS04</t>
        </is>
      </c>
      <c r="D1276" s="12" t="inlineStr">
        <is>
          <t>SS Sheets</t>
        </is>
      </c>
      <c r="E1276" s="12" t="inlineStr">
        <is>
          <t>N</t>
        </is>
      </c>
      <c r="F1276" s="12" t="n">
        <v>20.11</v>
      </c>
      <c r="G1276" s="17" t="n">
        <v>69003.11</v>
      </c>
      <c r="H1276" s="26" t="n">
        <v>44261</v>
      </c>
      <c r="I1276" s="26" t="n">
        <v>44263</v>
      </c>
      <c r="J1276" s="12" t="n">
        <v>20.03</v>
      </c>
      <c r="K1276" s="17" t="n">
        <v>1387652.54</v>
      </c>
      <c r="L1276" s="12" t="n">
        <v>0</v>
      </c>
      <c r="M1276" s="12" t="n">
        <v>4</v>
      </c>
      <c r="N1276" s="27">
        <f>F1276-J1276</f>
        <v/>
      </c>
      <c r="O1276" s="16">
        <f>I1276-H1276</f>
        <v/>
      </c>
      <c r="P1276" s="14">
        <f>F1276*G1276</f>
        <v/>
      </c>
      <c r="Q1276" s="14">
        <f>J1276*G1276</f>
        <v/>
      </c>
      <c r="R1276" s="14">
        <f>K1276-Q1276</f>
        <v/>
      </c>
      <c r="S1276" s="3">
        <f>P1276*Assumptions!$B$3/100</f>
        <v/>
      </c>
      <c r="T1276" s="14">
        <f>R1276-S1276</f>
        <v/>
      </c>
      <c r="U1276" s="14">
        <f>L1276*G1276</f>
        <v/>
      </c>
    </row>
    <row r="1277">
      <c r="A1277" s="12" t="inlineStr">
        <is>
          <t>PO-2021-1275</t>
        </is>
      </c>
      <c r="B1277" s="26" t="n">
        <v>44860</v>
      </c>
      <c r="C1277" s="12" t="inlineStr">
        <is>
          <t>VS17</t>
        </is>
      </c>
      <c r="D1277" s="12" t="inlineStr">
        <is>
          <t>MS Rods</t>
        </is>
      </c>
      <c r="E1277" s="12" t="inlineStr">
        <is>
          <t>N</t>
        </is>
      </c>
      <c r="F1277" s="12" t="n">
        <v>47.14</v>
      </c>
      <c r="G1277" s="17" t="n">
        <v>112462.61</v>
      </c>
      <c r="H1277" s="26" t="n">
        <v>44863</v>
      </c>
      <c r="I1277" s="26" t="n">
        <v>44865</v>
      </c>
      <c r="J1277" s="12" t="n">
        <v>46.71</v>
      </c>
      <c r="K1277" s="17" t="n">
        <v>5301487.44</v>
      </c>
      <c r="L1277" s="12" t="n">
        <v>0</v>
      </c>
      <c r="M1277" s="12" t="n">
        <v>11</v>
      </c>
      <c r="N1277" s="27">
        <f>F1277-J1277</f>
        <v/>
      </c>
      <c r="O1277" s="16">
        <f>I1277-H1277</f>
        <v/>
      </c>
      <c r="P1277" s="14">
        <f>F1277*G1277</f>
        <v/>
      </c>
      <c r="Q1277" s="14">
        <f>J1277*G1277</f>
        <v/>
      </c>
      <c r="R1277" s="14">
        <f>K1277-Q1277</f>
        <v/>
      </c>
      <c r="S1277" s="3">
        <f>P1277*Assumptions!$B$3/100</f>
        <v/>
      </c>
      <c r="T1277" s="14">
        <f>R1277-S1277</f>
        <v/>
      </c>
      <c r="U1277" s="14">
        <f>L1277*G1277</f>
        <v/>
      </c>
    </row>
    <row r="1278">
      <c r="A1278" s="12" t="inlineStr">
        <is>
          <t>PO-2021-1276</t>
        </is>
      </c>
      <c r="B1278" s="26" t="n">
        <v>44611</v>
      </c>
      <c r="C1278" s="12" t="inlineStr">
        <is>
          <t>VS16</t>
        </is>
      </c>
      <c r="D1278" s="12" t="inlineStr">
        <is>
          <t>HR Coils</t>
        </is>
      </c>
      <c r="E1278" s="12" t="inlineStr">
        <is>
          <t>Y</t>
        </is>
      </c>
      <c r="F1278" s="12" t="n">
        <v>25.16</v>
      </c>
      <c r="G1278" s="17" t="n">
        <v>101429.25</v>
      </c>
      <c r="H1278" s="26" t="n">
        <v>44620</v>
      </c>
      <c r="I1278" s="26" t="n">
        <v>44620</v>
      </c>
      <c r="J1278" s="12" t="n">
        <v>25.11</v>
      </c>
      <c r="K1278" s="17" t="n">
        <v>2551959.93</v>
      </c>
      <c r="L1278" s="12" t="n">
        <v>0</v>
      </c>
      <c r="M1278" s="12" t="n">
        <v>0</v>
      </c>
      <c r="N1278" s="27">
        <f>F1278-J1278</f>
        <v/>
      </c>
      <c r="O1278" s="16">
        <f>I1278-H1278</f>
        <v/>
      </c>
      <c r="P1278" s="14">
        <f>F1278*G1278</f>
        <v/>
      </c>
      <c r="Q1278" s="14">
        <f>J1278*G1278</f>
        <v/>
      </c>
      <c r="R1278" s="14">
        <f>K1278-Q1278</f>
        <v/>
      </c>
      <c r="S1278" s="3">
        <f>P1278*Assumptions!$B$3/100</f>
        <v/>
      </c>
      <c r="T1278" s="14">
        <f>R1278-S1278</f>
        <v/>
      </c>
      <c r="U1278" s="14">
        <f>L1278*G1278</f>
        <v/>
      </c>
    </row>
    <row r="1279">
      <c r="A1279" s="12" t="inlineStr">
        <is>
          <t>PO-2021-1277</t>
        </is>
      </c>
      <c r="B1279" s="26" t="n">
        <v>44432</v>
      </c>
      <c r="C1279" s="12" t="inlineStr">
        <is>
          <t>VS18</t>
        </is>
      </c>
      <c r="D1279" s="12" t="inlineStr">
        <is>
          <t>GI Pipes</t>
        </is>
      </c>
      <c r="E1279" s="12" t="inlineStr">
        <is>
          <t>N</t>
        </is>
      </c>
      <c r="F1279" s="12" t="n">
        <v>16.6</v>
      </c>
      <c r="G1279" s="17" t="n">
        <v>86484.08</v>
      </c>
      <c r="H1279" s="26" t="n">
        <v>44436</v>
      </c>
      <c r="I1279" s="26" t="n">
        <v>44436</v>
      </c>
      <c r="J1279" s="12" t="n">
        <v>16.53</v>
      </c>
      <c r="K1279" s="17" t="n">
        <v>1435635.73</v>
      </c>
      <c r="L1279" s="12" t="n">
        <v>0</v>
      </c>
      <c r="M1279" s="12" t="n">
        <v>24</v>
      </c>
      <c r="N1279" s="27">
        <f>F1279-J1279</f>
        <v/>
      </c>
      <c r="O1279" s="16">
        <f>I1279-H1279</f>
        <v/>
      </c>
      <c r="P1279" s="14">
        <f>F1279*G1279</f>
        <v/>
      </c>
      <c r="Q1279" s="14">
        <f>J1279*G1279</f>
        <v/>
      </c>
      <c r="R1279" s="14">
        <f>K1279-Q1279</f>
        <v/>
      </c>
      <c r="S1279" s="3">
        <f>P1279*Assumptions!$B$3/100</f>
        <v/>
      </c>
      <c r="T1279" s="14">
        <f>R1279-S1279</f>
        <v/>
      </c>
      <c r="U1279" s="14">
        <f>L1279*G1279</f>
        <v/>
      </c>
    </row>
    <row r="1280">
      <c r="A1280" s="12" t="inlineStr">
        <is>
          <t>PO-2021-1278</t>
        </is>
      </c>
      <c r="B1280" s="26" t="n">
        <v>45188</v>
      </c>
      <c r="C1280" s="12" t="inlineStr">
        <is>
          <t>VS02</t>
        </is>
      </c>
      <c r="D1280" s="12" t="inlineStr">
        <is>
          <t>GI Wire</t>
        </is>
      </c>
      <c r="E1280" s="12" t="inlineStr">
        <is>
          <t>Y</t>
        </is>
      </c>
      <c r="F1280" s="12" t="n">
        <v>32.04</v>
      </c>
      <c r="G1280" s="17" t="n">
        <v>113530.13</v>
      </c>
      <c r="H1280" s="26" t="n">
        <v>45191</v>
      </c>
      <c r="I1280" s="26" t="n">
        <v>45191</v>
      </c>
      <c r="J1280" s="12" t="n">
        <v>32.01</v>
      </c>
      <c r="K1280" s="17" t="n">
        <v>3637505.37</v>
      </c>
      <c r="L1280" s="12" t="n">
        <v>0</v>
      </c>
      <c r="M1280" s="12" t="n">
        <v>19</v>
      </c>
      <c r="N1280" s="27">
        <f>F1280-J1280</f>
        <v/>
      </c>
      <c r="O1280" s="16">
        <f>I1280-H1280</f>
        <v/>
      </c>
      <c r="P1280" s="14">
        <f>F1280*G1280</f>
        <v/>
      </c>
      <c r="Q1280" s="14">
        <f>J1280*G1280</f>
        <v/>
      </c>
      <c r="R1280" s="14">
        <f>K1280-Q1280</f>
        <v/>
      </c>
      <c r="S1280" s="3">
        <f>P1280*Assumptions!$B$3/100</f>
        <v/>
      </c>
      <c r="T1280" s="14">
        <f>R1280-S1280</f>
        <v/>
      </c>
      <c r="U1280" s="14">
        <f>L1280*G1280</f>
        <v/>
      </c>
    </row>
    <row r="1281">
      <c r="A1281" s="12" t="inlineStr">
        <is>
          <t>PO-2021-1279</t>
        </is>
      </c>
      <c r="B1281" s="26" t="n">
        <v>44748</v>
      </c>
      <c r="C1281" s="12" t="inlineStr">
        <is>
          <t>VS07</t>
        </is>
      </c>
      <c r="D1281" s="12" t="inlineStr">
        <is>
          <t>HR Coils</t>
        </is>
      </c>
      <c r="E1281" s="12" t="inlineStr">
        <is>
          <t>N</t>
        </is>
      </c>
      <c r="F1281" s="12" t="n">
        <v>38.39</v>
      </c>
      <c r="G1281" s="17" t="n">
        <v>93866.32000000001</v>
      </c>
      <c r="H1281" s="26" t="n">
        <v>44753</v>
      </c>
      <c r="I1281" s="26" t="n">
        <v>44755</v>
      </c>
      <c r="J1281" s="12" t="n">
        <v>38.25</v>
      </c>
      <c r="K1281" s="17" t="n">
        <v>3603528.02</v>
      </c>
      <c r="L1281" s="12" t="n">
        <v>0</v>
      </c>
      <c r="M1281" s="12" t="n">
        <v>0</v>
      </c>
      <c r="N1281" s="27">
        <f>F1281-J1281</f>
        <v/>
      </c>
      <c r="O1281" s="16">
        <f>I1281-H1281</f>
        <v/>
      </c>
      <c r="P1281" s="14">
        <f>F1281*G1281</f>
        <v/>
      </c>
      <c r="Q1281" s="14">
        <f>J1281*G1281</f>
        <v/>
      </c>
      <c r="R1281" s="14">
        <f>K1281-Q1281</f>
        <v/>
      </c>
      <c r="S1281" s="3">
        <f>P1281*Assumptions!$B$3/100</f>
        <v/>
      </c>
      <c r="T1281" s="14">
        <f>R1281-S1281</f>
        <v/>
      </c>
      <c r="U1281" s="14">
        <f>L1281*G1281</f>
        <v/>
      </c>
    </row>
    <row r="1282">
      <c r="A1282" s="12" t="inlineStr">
        <is>
          <t>PO-2021-1280</t>
        </is>
      </c>
      <c r="B1282" s="26" t="n">
        <v>44820</v>
      </c>
      <c r="C1282" s="12" t="inlineStr">
        <is>
          <t>VS27</t>
        </is>
      </c>
      <c r="D1282" s="12" t="inlineStr">
        <is>
          <t>Fasteners &amp; Fittings</t>
        </is>
      </c>
      <c r="E1282" s="12" t="inlineStr">
        <is>
          <t>N</t>
        </is>
      </c>
      <c r="F1282" s="12" t="n">
        <v>5.11</v>
      </c>
      <c r="G1282" s="17" t="n">
        <v>92684.92</v>
      </c>
      <c r="H1282" s="26" t="n">
        <v>44826</v>
      </c>
      <c r="I1282" s="26" t="n">
        <v>44826</v>
      </c>
      <c r="J1282" s="12" t="n">
        <v>5.06</v>
      </c>
      <c r="K1282" s="17" t="n">
        <v>473619.94</v>
      </c>
      <c r="L1282" s="12" t="n">
        <v>0</v>
      </c>
      <c r="M1282" s="12" t="n">
        <v>9</v>
      </c>
      <c r="N1282" s="27">
        <f>F1282-J1282</f>
        <v/>
      </c>
      <c r="O1282" s="16">
        <f>I1282-H1282</f>
        <v/>
      </c>
      <c r="P1282" s="14">
        <f>F1282*G1282</f>
        <v/>
      </c>
      <c r="Q1282" s="14">
        <f>J1282*G1282</f>
        <v/>
      </c>
      <c r="R1282" s="14">
        <f>K1282-Q1282</f>
        <v/>
      </c>
      <c r="S1282" s="3">
        <f>P1282*Assumptions!$B$3/100</f>
        <v/>
      </c>
      <c r="T1282" s="14">
        <f>R1282-S1282</f>
        <v/>
      </c>
      <c r="U1282" s="14">
        <f>L1282*G1282</f>
        <v/>
      </c>
    </row>
    <row r="1283">
      <c r="A1283" s="12" t="inlineStr">
        <is>
          <t>PO-2021-1281</t>
        </is>
      </c>
      <c r="B1283" s="26" t="n">
        <v>44488</v>
      </c>
      <c r="C1283" s="12" t="inlineStr">
        <is>
          <t>VS24</t>
        </is>
      </c>
      <c r="D1283" s="12" t="inlineStr">
        <is>
          <t>Spring Steel</t>
        </is>
      </c>
      <c r="E1283" s="12" t="inlineStr">
        <is>
          <t>Y</t>
        </is>
      </c>
      <c r="F1283" s="12" t="n">
        <v>49.28</v>
      </c>
      <c r="G1283" s="17" t="n">
        <v>103651.77</v>
      </c>
      <c r="H1283" s="26" t="n">
        <v>44499</v>
      </c>
      <c r="I1283" s="26" t="n">
        <v>44502</v>
      </c>
      <c r="J1283" s="12" t="n">
        <v>49.19</v>
      </c>
      <c r="K1283" s="17" t="n">
        <v>5107959.23</v>
      </c>
      <c r="L1283" s="12" t="n">
        <v>0</v>
      </c>
      <c r="M1283" s="12" t="n">
        <v>13</v>
      </c>
      <c r="N1283" s="27">
        <f>F1283-J1283</f>
        <v/>
      </c>
      <c r="O1283" s="16">
        <f>I1283-H1283</f>
        <v/>
      </c>
      <c r="P1283" s="14">
        <f>F1283*G1283</f>
        <v/>
      </c>
      <c r="Q1283" s="14">
        <f>J1283*G1283</f>
        <v/>
      </c>
      <c r="R1283" s="14">
        <f>K1283-Q1283</f>
        <v/>
      </c>
      <c r="S1283" s="3">
        <f>P1283*Assumptions!$B$3/100</f>
        <v/>
      </c>
      <c r="T1283" s="14">
        <f>R1283-S1283</f>
        <v/>
      </c>
      <c r="U1283" s="14">
        <f>L1283*G1283</f>
        <v/>
      </c>
    </row>
    <row r="1284">
      <c r="A1284" s="12" t="inlineStr">
        <is>
          <t>PO-2021-1282</t>
        </is>
      </c>
      <c r="B1284" s="26" t="n">
        <v>45064</v>
      </c>
      <c r="C1284" s="12" t="inlineStr">
        <is>
          <t>VS29</t>
        </is>
      </c>
      <c r="D1284" s="12" t="inlineStr">
        <is>
          <t>GI Pipes</t>
        </is>
      </c>
      <c r="E1284" s="12" t="inlineStr">
        <is>
          <t>N</t>
        </is>
      </c>
      <c r="F1284" s="12" t="n">
        <v>1.05</v>
      </c>
      <c r="G1284" s="17" t="n">
        <v>79848.89999999999</v>
      </c>
      <c r="H1284" s="26" t="n">
        <v>45076</v>
      </c>
      <c r="I1284" s="26" t="n">
        <v>45078</v>
      </c>
      <c r="J1284" s="12" t="n">
        <v>1.04</v>
      </c>
      <c r="K1284" s="17" t="n">
        <v>83841.35000000001</v>
      </c>
      <c r="L1284" s="12" t="n">
        <v>0</v>
      </c>
      <c r="M1284" s="12" t="n">
        <v>0</v>
      </c>
      <c r="N1284" s="27">
        <f>F1284-J1284</f>
        <v/>
      </c>
      <c r="O1284" s="16">
        <f>I1284-H1284</f>
        <v/>
      </c>
      <c r="P1284" s="14">
        <f>F1284*G1284</f>
        <v/>
      </c>
      <c r="Q1284" s="14">
        <f>J1284*G1284</f>
        <v/>
      </c>
      <c r="R1284" s="14">
        <f>K1284-Q1284</f>
        <v/>
      </c>
      <c r="S1284" s="3">
        <f>P1284*Assumptions!$B$3/100</f>
        <v/>
      </c>
      <c r="T1284" s="14">
        <f>R1284-S1284</f>
        <v/>
      </c>
      <c r="U1284" s="14">
        <f>L1284*G1284</f>
        <v/>
      </c>
    </row>
    <row r="1285">
      <c r="A1285" s="12" t="inlineStr">
        <is>
          <t>PO-2021-1283</t>
        </is>
      </c>
      <c r="B1285" s="26" t="n">
        <v>44789</v>
      </c>
      <c r="C1285" s="12" t="inlineStr">
        <is>
          <t>VS11</t>
        </is>
      </c>
      <c r="D1285" s="12" t="inlineStr">
        <is>
          <t>MS Pipes</t>
        </is>
      </c>
      <c r="E1285" s="12" t="inlineStr">
        <is>
          <t>N</t>
        </is>
      </c>
      <c r="F1285" s="12" t="n">
        <v>3.95</v>
      </c>
      <c r="G1285" s="17" t="n">
        <v>114135.8</v>
      </c>
      <c r="H1285" s="26" t="n">
        <v>44796</v>
      </c>
      <c r="I1285" s="26" t="n">
        <v>44798</v>
      </c>
      <c r="J1285" s="12" t="n">
        <v>3.92</v>
      </c>
      <c r="K1285" s="17" t="n">
        <v>450836.41</v>
      </c>
      <c r="L1285" s="12" t="n">
        <v>0</v>
      </c>
      <c r="M1285" s="12" t="n">
        <v>0</v>
      </c>
      <c r="N1285" s="27">
        <f>F1285-J1285</f>
        <v/>
      </c>
      <c r="O1285" s="16">
        <f>I1285-H1285</f>
        <v/>
      </c>
      <c r="P1285" s="14">
        <f>F1285*G1285</f>
        <v/>
      </c>
      <c r="Q1285" s="14">
        <f>J1285*G1285</f>
        <v/>
      </c>
      <c r="R1285" s="14">
        <f>K1285-Q1285</f>
        <v/>
      </c>
      <c r="S1285" s="3">
        <f>P1285*Assumptions!$B$3/100</f>
        <v/>
      </c>
      <c r="T1285" s="14">
        <f>R1285-S1285</f>
        <v/>
      </c>
      <c r="U1285" s="14">
        <f>L1285*G1285</f>
        <v/>
      </c>
    </row>
    <row r="1286">
      <c r="A1286" s="12" t="inlineStr">
        <is>
          <t>PO-2021-1284</t>
        </is>
      </c>
      <c r="B1286" s="26" t="n">
        <v>44710</v>
      </c>
      <c r="C1286" s="12" t="inlineStr">
        <is>
          <t>VS25</t>
        </is>
      </c>
      <c r="D1286" s="12" t="inlineStr">
        <is>
          <t>Angles &amp; Channels</t>
        </is>
      </c>
      <c r="E1286" s="12" t="inlineStr">
        <is>
          <t>N</t>
        </is>
      </c>
      <c r="F1286" s="12" t="n">
        <v>42.28</v>
      </c>
      <c r="G1286" s="17" t="n">
        <v>60956.56</v>
      </c>
      <c r="H1286" s="26" t="n">
        <v>44721</v>
      </c>
      <c r="I1286" s="26" t="n">
        <v>44722</v>
      </c>
      <c r="J1286" s="12" t="n">
        <v>42.15</v>
      </c>
      <c r="K1286" s="17" t="n">
        <v>2577243.36</v>
      </c>
      <c r="L1286" s="12" t="n">
        <v>0</v>
      </c>
      <c r="M1286" s="12" t="n">
        <v>20</v>
      </c>
      <c r="N1286" s="27">
        <f>F1286-J1286</f>
        <v/>
      </c>
      <c r="O1286" s="16">
        <f>I1286-H1286</f>
        <v/>
      </c>
      <c r="P1286" s="14">
        <f>F1286*G1286</f>
        <v/>
      </c>
      <c r="Q1286" s="14">
        <f>J1286*G1286</f>
        <v/>
      </c>
      <c r="R1286" s="14">
        <f>K1286-Q1286</f>
        <v/>
      </c>
      <c r="S1286" s="3">
        <f>P1286*Assumptions!$B$3/100</f>
        <v/>
      </c>
      <c r="T1286" s="14">
        <f>R1286-S1286</f>
        <v/>
      </c>
      <c r="U1286" s="14">
        <f>L1286*G1286</f>
        <v/>
      </c>
    </row>
    <row r="1287">
      <c r="A1287" s="12" t="inlineStr">
        <is>
          <t>PO-2021-1285</t>
        </is>
      </c>
      <c r="B1287" s="26" t="n">
        <v>44773</v>
      </c>
      <c r="C1287" s="12" t="inlineStr">
        <is>
          <t>VS03</t>
        </is>
      </c>
      <c r="D1287" s="12" t="inlineStr">
        <is>
          <t>MS Sheets</t>
        </is>
      </c>
      <c r="E1287" s="12" t="inlineStr">
        <is>
          <t>N</t>
        </is>
      </c>
      <c r="F1287" s="12" t="n">
        <v>37.22</v>
      </c>
      <c r="G1287" s="17" t="n">
        <v>90720.36</v>
      </c>
      <c r="H1287" s="26" t="n">
        <v>44780</v>
      </c>
      <c r="I1287" s="26" t="n">
        <v>44788</v>
      </c>
      <c r="J1287" s="12" t="n">
        <v>35.97</v>
      </c>
      <c r="K1287" s="17" t="n">
        <v>3376611.8</v>
      </c>
      <c r="L1287" s="12" t="n">
        <v>0.1</v>
      </c>
      <c r="M1287" s="12" t="n">
        <v>0</v>
      </c>
      <c r="N1287" s="27">
        <f>F1287-J1287</f>
        <v/>
      </c>
      <c r="O1287" s="16">
        <f>I1287-H1287</f>
        <v/>
      </c>
      <c r="P1287" s="14">
        <f>F1287*G1287</f>
        <v/>
      </c>
      <c r="Q1287" s="14">
        <f>J1287*G1287</f>
        <v/>
      </c>
      <c r="R1287" s="14">
        <f>K1287-Q1287</f>
        <v/>
      </c>
      <c r="S1287" s="3">
        <f>P1287*Assumptions!$B$3/100</f>
        <v/>
      </c>
      <c r="T1287" s="14">
        <f>R1287-S1287</f>
        <v/>
      </c>
      <c r="U1287" s="14">
        <f>L1287*G1287</f>
        <v/>
      </c>
    </row>
    <row r="1288">
      <c r="A1288" s="12" t="inlineStr">
        <is>
          <t>PO-2021-1286</t>
        </is>
      </c>
      <c r="B1288" s="26" t="n">
        <v>44380</v>
      </c>
      <c r="C1288" s="12" t="inlineStr">
        <is>
          <t>VS26</t>
        </is>
      </c>
      <c r="D1288" s="12" t="inlineStr">
        <is>
          <t>ERW Pipes</t>
        </is>
      </c>
      <c r="E1288" s="12" t="inlineStr">
        <is>
          <t>N</t>
        </is>
      </c>
      <c r="F1288" s="12" t="n">
        <v>41.69</v>
      </c>
      <c r="G1288" s="17" t="n">
        <v>99380.53</v>
      </c>
      <c r="H1288" s="26" t="n">
        <v>44387</v>
      </c>
      <c r="I1288" s="26" t="n">
        <v>44389</v>
      </c>
      <c r="J1288" s="12" t="n">
        <v>41.33</v>
      </c>
      <c r="K1288" s="17" t="n">
        <v>4143174.3</v>
      </c>
      <c r="L1288" s="12" t="n">
        <v>0</v>
      </c>
      <c r="M1288" s="12" t="n">
        <v>0</v>
      </c>
      <c r="N1288" s="27">
        <f>F1288-J1288</f>
        <v/>
      </c>
      <c r="O1288" s="16">
        <f>I1288-H1288</f>
        <v/>
      </c>
      <c r="P1288" s="14">
        <f>F1288*G1288</f>
        <v/>
      </c>
      <c r="Q1288" s="14">
        <f>J1288*G1288</f>
        <v/>
      </c>
      <c r="R1288" s="14">
        <f>K1288-Q1288</f>
        <v/>
      </c>
      <c r="S1288" s="3">
        <f>P1288*Assumptions!$B$3/100</f>
        <v/>
      </c>
      <c r="T1288" s="14">
        <f>R1288-S1288</f>
        <v/>
      </c>
      <c r="U1288" s="14">
        <f>L1288*G1288</f>
        <v/>
      </c>
    </row>
    <row r="1289">
      <c r="A1289" s="12" t="inlineStr">
        <is>
          <t>PO-2021-1287</t>
        </is>
      </c>
      <c r="B1289" s="26" t="n">
        <v>45081</v>
      </c>
      <c r="C1289" s="12" t="inlineStr">
        <is>
          <t>VS14</t>
        </is>
      </c>
      <c r="D1289" s="12" t="inlineStr">
        <is>
          <t>Hex Bars</t>
        </is>
      </c>
      <c r="E1289" s="12" t="inlineStr">
        <is>
          <t>N</t>
        </is>
      </c>
      <c r="F1289" s="12" t="n">
        <v>47.91</v>
      </c>
      <c r="G1289" s="17" t="n">
        <v>68872.8</v>
      </c>
      <c r="H1289" s="26" t="n">
        <v>45094</v>
      </c>
      <c r="I1289" s="26" t="n">
        <v>45094</v>
      </c>
      <c r="J1289" s="12" t="n">
        <v>47.75</v>
      </c>
      <c r="K1289" s="17" t="n">
        <v>3299695.85</v>
      </c>
      <c r="L1289" s="12" t="n">
        <v>0</v>
      </c>
      <c r="M1289" s="12" t="n">
        <v>4</v>
      </c>
      <c r="N1289" s="27">
        <f>F1289-J1289</f>
        <v/>
      </c>
      <c r="O1289" s="16">
        <f>I1289-H1289</f>
        <v/>
      </c>
      <c r="P1289" s="14">
        <f>F1289*G1289</f>
        <v/>
      </c>
      <c r="Q1289" s="14">
        <f>J1289*G1289</f>
        <v/>
      </c>
      <c r="R1289" s="14">
        <f>K1289-Q1289</f>
        <v/>
      </c>
      <c r="S1289" s="3">
        <f>P1289*Assumptions!$B$3/100</f>
        <v/>
      </c>
      <c r="T1289" s="14">
        <f>R1289-S1289</f>
        <v/>
      </c>
      <c r="U1289" s="14">
        <f>L1289*G1289</f>
        <v/>
      </c>
    </row>
    <row r="1290">
      <c r="A1290" s="12" t="inlineStr">
        <is>
          <t>PO-2021-1288</t>
        </is>
      </c>
      <c r="B1290" s="26" t="n">
        <v>44898</v>
      </c>
      <c r="C1290" s="12" t="inlineStr">
        <is>
          <t>VS17</t>
        </is>
      </c>
      <c r="D1290" s="12" t="inlineStr">
        <is>
          <t>Fasteners &amp; Fittings</t>
        </is>
      </c>
      <c r="E1290" s="12" t="inlineStr">
        <is>
          <t>N</t>
        </is>
      </c>
      <c r="F1290" s="12" t="n">
        <v>14.38</v>
      </c>
      <c r="G1290" s="17" t="n">
        <v>94670.78</v>
      </c>
      <c r="H1290" s="26" t="n">
        <v>44906</v>
      </c>
      <c r="I1290" s="26" t="n">
        <v>44909</v>
      </c>
      <c r="J1290" s="12" t="n">
        <v>14.29</v>
      </c>
      <c r="K1290" s="17" t="n">
        <v>1361365.82</v>
      </c>
      <c r="L1290" s="12" t="n">
        <v>0</v>
      </c>
      <c r="M1290" s="12" t="n">
        <v>0</v>
      </c>
      <c r="N1290" s="27">
        <f>F1290-J1290</f>
        <v/>
      </c>
      <c r="O1290" s="16">
        <f>I1290-H1290</f>
        <v/>
      </c>
      <c r="P1290" s="14">
        <f>F1290*G1290</f>
        <v/>
      </c>
      <c r="Q1290" s="14">
        <f>J1290*G1290</f>
        <v/>
      </c>
      <c r="R1290" s="14">
        <f>K1290-Q1290</f>
        <v/>
      </c>
      <c r="S1290" s="3">
        <f>P1290*Assumptions!$B$3/100</f>
        <v/>
      </c>
      <c r="T1290" s="14">
        <f>R1290-S1290</f>
        <v/>
      </c>
      <c r="U1290" s="14">
        <f>L1290*G1290</f>
        <v/>
      </c>
    </row>
    <row r="1291">
      <c r="A1291" s="12" t="inlineStr">
        <is>
          <t>PO-2021-1289</t>
        </is>
      </c>
      <c r="B1291" s="26" t="n">
        <v>44896</v>
      </c>
      <c r="C1291" s="12" t="inlineStr">
        <is>
          <t>VS14</t>
        </is>
      </c>
      <c r="D1291" s="12" t="inlineStr">
        <is>
          <t>Fasteners &amp; Fittings</t>
        </is>
      </c>
      <c r="E1291" s="12" t="inlineStr">
        <is>
          <t>N</t>
        </is>
      </c>
      <c r="F1291" s="12" t="n">
        <v>47.99</v>
      </c>
      <c r="G1291" s="17" t="n">
        <v>69634.28999999999</v>
      </c>
      <c r="H1291" s="26" t="n">
        <v>44910</v>
      </c>
      <c r="I1291" s="26" t="n">
        <v>44911</v>
      </c>
      <c r="J1291" s="12" t="n">
        <v>47.72</v>
      </c>
      <c r="K1291" s="17" t="n">
        <v>3341749.58</v>
      </c>
      <c r="L1291" s="12" t="n">
        <v>0</v>
      </c>
      <c r="M1291" s="12" t="n">
        <v>0</v>
      </c>
      <c r="N1291" s="27">
        <f>F1291-J1291</f>
        <v/>
      </c>
      <c r="O1291" s="16">
        <f>I1291-H1291</f>
        <v/>
      </c>
      <c r="P1291" s="14">
        <f>F1291*G1291</f>
        <v/>
      </c>
      <c r="Q1291" s="14">
        <f>J1291*G1291</f>
        <v/>
      </c>
      <c r="R1291" s="14">
        <f>K1291-Q1291</f>
        <v/>
      </c>
      <c r="S1291" s="3">
        <f>P1291*Assumptions!$B$3/100</f>
        <v/>
      </c>
      <c r="T1291" s="14">
        <f>R1291-S1291</f>
        <v/>
      </c>
      <c r="U1291" s="14">
        <f>L1291*G1291</f>
        <v/>
      </c>
    </row>
    <row r="1292">
      <c r="A1292" s="12" t="inlineStr">
        <is>
          <t>PO-2021-1290</t>
        </is>
      </c>
      <c r="B1292" s="26" t="n">
        <v>44470</v>
      </c>
      <c r="C1292" s="12" t="inlineStr">
        <is>
          <t>VS01</t>
        </is>
      </c>
      <c r="D1292" s="12" t="inlineStr">
        <is>
          <t>Structural Steel</t>
        </is>
      </c>
      <c r="E1292" s="12" t="inlineStr">
        <is>
          <t>N</t>
        </is>
      </c>
      <c r="F1292" s="12" t="n">
        <v>1.21</v>
      </c>
      <c r="G1292" s="17" t="n">
        <v>45718.4</v>
      </c>
      <c r="H1292" s="26" t="n">
        <v>44475</v>
      </c>
      <c r="I1292" s="26" t="n">
        <v>44478</v>
      </c>
      <c r="J1292" s="12" t="n">
        <v>1.2</v>
      </c>
      <c r="K1292" s="17" t="n">
        <v>55319.26</v>
      </c>
      <c r="L1292" s="12" t="n">
        <v>0</v>
      </c>
      <c r="M1292" s="12" t="n">
        <v>0</v>
      </c>
      <c r="N1292" s="27">
        <f>F1292-J1292</f>
        <v/>
      </c>
      <c r="O1292" s="16">
        <f>I1292-H1292</f>
        <v/>
      </c>
      <c r="P1292" s="14">
        <f>F1292*G1292</f>
        <v/>
      </c>
      <c r="Q1292" s="14">
        <f>J1292*G1292</f>
        <v/>
      </c>
      <c r="R1292" s="14">
        <f>K1292-Q1292</f>
        <v/>
      </c>
      <c r="S1292" s="3">
        <f>P1292*Assumptions!$B$3/100</f>
        <v/>
      </c>
      <c r="T1292" s="14">
        <f>R1292-S1292</f>
        <v/>
      </c>
      <c r="U1292" s="14">
        <f>L1292*G1292</f>
        <v/>
      </c>
    </row>
    <row r="1293">
      <c r="A1293" s="12" t="inlineStr">
        <is>
          <t>PO-2021-1291</t>
        </is>
      </c>
      <c r="B1293" s="26" t="n">
        <v>45043</v>
      </c>
      <c r="C1293" s="12" t="inlineStr">
        <is>
          <t>VS32</t>
        </is>
      </c>
      <c r="D1293" s="12" t="inlineStr">
        <is>
          <t>MS Rods</t>
        </is>
      </c>
      <c r="E1293" s="12" t="inlineStr">
        <is>
          <t>N</t>
        </is>
      </c>
      <c r="F1293" s="12" t="n">
        <v>27.37</v>
      </c>
      <c r="G1293" s="17" t="n">
        <v>104047.89</v>
      </c>
      <c r="H1293" s="26" t="n">
        <v>45056</v>
      </c>
      <c r="I1293" s="26" t="n">
        <v>45057</v>
      </c>
      <c r="J1293" s="12" t="n">
        <v>27.36</v>
      </c>
      <c r="K1293" s="17" t="n">
        <v>2847790.75</v>
      </c>
      <c r="L1293" s="12" t="n">
        <v>0</v>
      </c>
      <c r="M1293" s="12" t="n">
        <v>0</v>
      </c>
      <c r="N1293" s="27">
        <f>F1293-J1293</f>
        <v/>
      </c>
      <c r="O1293" s="16">
        <f>I1293-H1293</f>
        <v/>
      </c>
      <c r="P1293" s="14">
        <f>F1293*G1293</f>
        <v/>
      </c>
      <c r="Q1293" s="14">
        <f>J1293*G1293</f>
        <v/>
      </c>
      <c r="R1293" s="14">
        <f>K1293-Q1293</f>
        <v/>
      </c>
      <c r="S1293" s="3">
        <f>P1293*Assumptions!$B$3/100</f>
        <v/>
      </c>
      <c r="T1293" s="14">
        <f>R1293-S1293</f>
        <v/>
      </c>
      <c r="U1293" s="14">
        <f>L1293*G1293</f>
        <v/>
      </c>
    </row>
    <row r="1294">
      <c r="A1294" s="12" t="inlineStr">
        <is>
          <t>PO-2021-1292</t>
        </is>
      </c>
      <c r="B1294" s="26" t="n">
        <v>44355</v>
      </c>
      <c r="C1294" s="12" t="inlineStr">
        <is>
          <t>VS02</t>
        </is>
      </c>
      <c r="D1294" s="12" t="inlineStr">
        <is>
          <t>Fasteners &amp; Fittings</t>
        </is>
      </c>
      <c r="E1294" s="12" t="inlineStr">
        <is>
          <t>N</t>
        </is>
      </c>
      <c r="F1294" s="12" t="n">
        <v>33.94</v>
      </c>
      <c r="G1294" s="17" t="n">
        <v>71474.60000000001</v>
      </c>
      <c r="H1294" s="26" t="n">
        <v>44364</v>
      </c>
      <c r="I1294" s="26" t="n">
        <v>44365</v>
      </c>
      <c r="J1294" s="12" t="n">
        <v>33.88</v>
      </c>
      <c r="K1294" s="17" t="n">
        <v>2425847.92</v>
      </c>
      <c r="L1294" s="12" t="n">
        <v>0</v>
      </c>
      <c r="M1294" s="12" t="n">
        <v>0</v>
      </c>
      <c r="N1294" s="27">
        <f>F1294-J1294</f>
        <v/>
      </c>
      <c r="O1294" s="16">
        <f>I1294-H1294</f>
        <v/>
      </c>
      <c r="P1294" s="14">
        <f>F1294*G1294</f>
        <v/>
      </c>
      <c r="Q1294" s="14">
        <f>J1294*G1294</f>
        <v/>
      </c>
      <c r="R1294" s="14">
        <f>K1294-Q1294</f>
        <v/>
      </c>
      <c r="S1294" s="3">
        <f>P1294*Assumptions!$B$3/100</f>
        <v/>
      </c>
      <c r="T1294" s="14">
        <f>R1294-S1294</f>
        <v/>
      </c>
      <c r="U1294" s="14">
        <f>L1294*G1294</f>
        <v/>
      </c>
    </row>
    <row r="1295">
      <c r="A1295" s="12" t="inlineStr">
        <is>
          <t>PO-2021-1293</t>
        </is>
      </c>
      <c r="B1295" s="26" t="n">
        <v>44930</v>
      </c>
      <c r="C1295" s="12" t="inlineStr">
        <is>
          <t>VS25</t>
        </is>
      </c>
      <c r="D1295" s="12" t="inlineStr">
        <is>
          <t>MS Sheets</t>
        </is>
      </c>
      <c r="E1295" s="12" t="inlineStr">
        <is>
          <t>Y</t>
        </is>
      </c>
      <c r="F1295" s="12" t="n">
        <v>42.12</v>
      </c>
      <c r="G1295" s="17" t="n">
        <v>105890.23</v>
      </c>
      <c r="H1295" s="26" t="n">
        <v>44933</v>
      </c>
      <c r="I1295" s="26" t="n">
        <v>44933</v>
      </c>
      <c r="J1295" s="12" t="n">
        <v>41.95</v>
      </c>
      <c r="K1295" s="17" t="n">
        <v>4460096.49</v>
      </c>
      <c r="L1295" s="12" t="n">
        <v>0</v>
      </c>
      <c r="M1295" s="12" t="n">
        <v>0</v>
      </c>
      <c r="N1295" s="27">
        <f>F1295-J1295</f>
        <v/>
      </c>
      <c r="O1295" s="16">
        <f>I1295-H1295</f>
        <v/>
      </c>
      <c r="P1295" s="14">
        <f>F1295*G1295</f>
        <v/>
      </c>
      <c r="Q1295" s="14">
        <f>J1295*G1295</f>
        <v/>
      </c>
      <c r="R1295" s="14">
        <f>K1295-Q1295</f>
        <v/>
      </c>
      <c r="S1295" s="3">
        <f>P1295*Assumptions!$B$3/100</f>
        <v/>
      </c>
      <c r="T1295" s="14">
        <f>R1295-S1295</f>
        <v/>
      </c>
      <c r="U1295" s="14">
        <f>L1295*G1295</f>
        <v/>
      </c>
    </row>
    <row r="1296">
      <c r="A1296" s="12" t="inlineStr">
        <is>
          <t>PO-2021-1294</t>
        </is>
      </c>
      <c r="B1296" s="26" t="n">
        <v>44452</v>
      </c>
      <c r="C1296" s="12" t="inlineStr">
        <is>
          <t>VS30</t>
        </is>
      </c>
      <c r="D1296" s="12" t="inlineStr">
        <is>
          <t>Angles &amp; Channels</t>
        </is>
      </c>
      <c r="E1296" s="12" t="inlineStr">
        <is>
          <t>N</t>
        </is>
      </c>
      <c r="F1296" s="12" t="n">
        <v>46.88</v>
      </c>
      <c r="G1296" s="17" t="n">
        <v>78343.32000000001</v>
      </c>
      <c r="H1296" s="26" t="n">
        <v>44458</v>
      </c>
      <c r="I1296" s="26" t="n">
        <v>44460</v>
      </c>
      <c r="J1296" s="12" t="n">
        <v>46.7</v>
      </c>
      <c r="K1296" s="17" t="n">
        <v>3672734.84</v>
      </c>
      <c r="L1296" s="12" t="n">
        <v>0</v>
      </c>
      <c r="M1296" s="12" t="n">
        <v>0</v>
      </c>
      <c r="N1296" s="27">
        <f>F1296-J1296</f>
        <v/>
      </c>
      <c r="O1296" s="16">
        <f>I1296-H1296</f>
        <v/>
      </c>
      <c r="P1296" s="14">
        <f>F1296*G1296</f>
        <v/>
      </c>
      <c r="Q1296" s="14">
        <f>J1296*G1296</f>
        <v/>
      </c>
      <c r="R1296" s="14">
        <f>K1296-Q1296</f>
        <v/>
      </c>
      <c r="S1296" s="3">
        <f>P1296*Assumptions!$B$3/100</f>
        <v/>
      </c>
      <c r="T1296" s="14">
        <f>R1296-S1296</f>
        <v/>
      </c>
      <c r="U1296" s="14">
        <f>L1296*G1296</f>
        <v/>
      </c>
    </row>
    <row r="1297">
      <c r="A1297" s="12" t="inlineStr">
        <is>
          <t>PO-2021-1295</t>
        </is>
      </c>
      <c r="B1297" s="26" t="n">
        <v>44237</v>
      </c>
      <c r="C1297" s="12" t="inlineStr">
        <is>
          <t>VS18</t>
        </is>
      </c>
      <c r="D1297" s="12" t="inlineStr">
        <is>
          <t>Angles &amp; Channels</t>
        </is>
      </c>
      <c r="E1297" s="12" t="inlineStr">
        <is>
          <t>N</t>
        </is>
      </c>
      <c r="F1297" s="12" t="n">
        <v>10.38</v>
      </c>
      <c r="G1297" s="17" t="n">
        <v>106221.06</v>
      </c>
      <c r="H1297" s="26" t="n">
        <v>44250</v>
      </c>
      <c r="I1297" s="26" t="n">
        <v>44250</v>
      </c>
      <c r="J1297" s="12" t="n">
        <v>10.32</v>
      </c>
      <c r="K1297" s="17" t="n">
        <v>1102574.6</v>
      </c>
      <c r="L1297" s="12" t="n">
        <v>0</v>
      </c>
      <c r="M1297" s="12" t="n">
        <v>15</v>
      </c>
      <c r="N1297" s="27">
        <f>F1297-J1297</f>
        <v/>
      </c>
      <c r="O1297" s="16">
        <f>I1297-H1297</f>
        <v/>
      </c>
      <c r="P1297" s="14">
        <f>F1297*G1297</f>
        <v/>
      </c>
      <c r="Q1297" s="14">
        <f>J1297*G1297</f>
        <v/>
      </c>
      <c r="R1297" s="14">
        <f>K1297-Q1297</f>
        <v/>
      </c>
      <c r="S1297" s="3">
        <f>P1297*Assumptions!$B$3/100</f>
        <v/>
      </c>
      <c r="T1297" s="14">
        <f>R1297-S1297</f>
        <v/>
      </c>
      <c r="U1297" s="14">
        <f>L1297*G1297</f>
        <v/>
      </c>
    </row>
    <row r="1298">
      <c r="A1298" s="12" t="inlineStr">
        <is>
          <t>PO-2021-1296</t>
        </is>
      </c>
      <c r="B1298" s="26" t="n">
        <v>44817</v>
      </c>
      <c r="C1298" s="12" t="inlineStr">
        <is>
          <t>VS15</t>
        </is>
      </c>
      <c r="D1298" s="12" t="inlineStr">
        <is>
          <t>HR Coils</t>
        </is>
      </c>
      <c r="E1298" s="12" t="inlineStr">
        <is>
          <t>Y</t>
        </is>
      </c>
      <c r="F1298" s="12" t="n">
        <v>49.03</v>
      </c>
      <c r="G1298" s="17" t="n">
        <v>117547.24</v>
      </c>
      <c r="H1298" s="26" t="n">
        <v>44820</v>
      </c>
      <c r="I1298" s="26" t="n">
        <v>44822</v>
      </c>
      <c r="J1298" s="12" t="n">
        <v>48.57</v>
      </c>
      <c r="K1298" s="17" t="n">
        <v>5763341.18</v>
      </c>
      <c r="L1298" s="12" t="n">
        <v>0</v>
      </c>
      <c r="M1298" s="12" t="n">
        <v>8</v>
      </c>
      <c r="N1298" s="27">
        <f>F1298-J1298</f>
        <v/>
      </c>
      <c r="O1298" s="16">
        <f>I1298-H1298</f>
        <v/>
      </c>
      <c r="P1298" s="14">
        <f>F1298*G1298</f>
        <v/>
      </c>
      <c r="Q1298" s="14">
        <f>J1298*G1298</f>
        <v/>
      </c>
      <c r="R1298" s="14">
        <f>K1298-Q1298</f>
        <v/>
      </c>
      <c r="S1298" s="3">
        <f>P1298*Assumptions!$B$3/100</f>
        <v/>
      </c>
      <c r="T1298" s="14">
        <f>R1298-S1298</f>
        <v/>
      </c>
      <c r="U1298" s="14">
        <f>L1298*G1298</f>
        <v/>
      </c>
    </row>
    <row r="1299">
      <c r="A1299" s="12" t="inlineStr">
        <is>
          <t>PO-2021-1297</t>
        </is>
      </c>
      <c r="B1299" s="26" t="n">
        <v>44771</v>
      </c>
      <c r="C1299" s="12" t="inlineStr">
        <is>
          <t>VS32</t>
        </is>
      </c>
      <c r="D1299" s="12" t="inlineStr">
        <is>
          <t>GI Sheets</t>
        </is>
      </c>
      <c r="E1299" s="12" t="inlineStr">
        <is>
          <t>N</t>
        </is>
      </c>
      <c r="F1299" s="12" t="n">
        <v>1.35</v>
      </c>
      <c r="G1299" s="17" t="n">
        <v>118819.77</v>
      </c>
      <c r="H1299" s="26" t="n">
        <v>44784</v>
      </c>
      <c r="I1299" s="26" t="n">
        <v>44784</v>
      </c>
      <c r="J1299" s="12" t="n">
        <v>1.34</v>
      </c>
      <c r="K1299" s="17" t="n">
        <v>160406.69</v>
      </c>
      <c r="L1299" s="12" t="n">
        <v>0</v>
      </c>
      <c r="M1299" s="12" t="n">
        <v>10</v>
      </c>
      <c r="N1299" s="27">
        <f>F1299-J1299</f>
        <v/>
      </c>
      <c r="O1299" s="16">
        <f>I1299-H1299</f>
        <v/>
      </c>
      <c r="P1299" s="14">
        <f>F1299*G1299</f>
        <v/>
      </c>
      <c r="Q1299" s="14">
        <f>J1299*G1299</f>
        <v/>
      </c>
      <c r="R1299" s="14">
        <f>K1299-Q1299</f>
        <v/>
      </c>
      <c r="S1299" s="3">
        <f>P1299*Assumptions!$B$3/100</f>
        <v/>
      </c>
      <c r="T1299" s="14">
        <f>R1299-S1299</f>
        <v/>
      </c>
      <c r="U1299" s="14">
        <f>L1299*G1299</f>
        <v/>
      </c>
    </row>
    <row r="1300">
      <c r="A1300" s="12" t="inlineStr">
        <is>
          <t>PO-2021-1298</t>
        </is>
      </c>
      <c r="B1300" s="26" t="n">
        <v>45008</v>
      </c>
      <c r="C1300" s="12" t="inlineStr">
        <is>
          <t>VS08</t>
        </is>
      </c>
      <c r="D1300" s="12" t="inlineStr">
        <is>
          <t>CR Sheets</t>
        </is>
      </c>
      <c r="E1300" s="12" t="inlineStr">
        <is>
          <t>N</t>
        </is>
      </c>
      <c r="F1300" s="12" t="n">
        <v>28.89</v>
      </c>
      <c r="G1300" s="17" t="n">
        <v>82050.85000000001</v>
      </c>
      <c r="H1300" s="26" t="n">
        <v>45019</v>
      </c>
      <c r="I1300" s="26" t="n">
        <v>45022</v>
      </c>
      <c r="J1300" s="12" t="n">
        <v>28.68</v>
      </c>
      <c r="K1300" s="17" t="n">
        <v>2370449.06</v>
      </c>
      <c r="L1300" s="12" t="n">
        <v>0</v>
      </c>
      <c r="M1300" s="12" t="n">
        <v>0</v>
      </c>
      <c r="N1300" s="27">
        <f>F1300-J1300</f>
        <v/>
      </c>
      <c r="O1300" s="16">
        <f>I1300-H1300</f>
        <v/>
      </c>
      <c r="P1300" s="14">
        <f>F1300*G1300</f>
        <v/>
      </c>
      <c r="Q1300" s="14">
        <f>J1300*G1300</f>
        <v/>
      </c>
      <c r="R1300" s="14">
        <f>K1300-Q1300</f>
        <v/>
      </c>
      <c r="S1300" s="3">
        <f>P1300*Assumptions!$B$3/100</f>
        <v/>
      </c>
      <c r="T1300" s="14">
        <f>R1300-S1300</f>
        <v/>
      </c>
      <c r="U1300" s="14">
        <f>L1300*G1300</f>
        <v/>
      </c>
    </row>
    <row r="1301">
      <c r="A1301" s="12" t="inlineStr">
        <is>
          <t>PO-2021-1299</t>
        </is>
      </c>
      <c r="B1301" s="26" t="n">
        <v>44593</v>
      </c>
      <c r="C1301" s="12" t="inlineStr">
        <is>
          <t>VS12</t>
        </is>
      </c>
      <c r="D1301" s="12" t="inlineStr">
        <is>
          <t>SS Pipes</t>
        </is>
      </c>
      <c r="E1301" s="12" t="inlineStr">
        <is>
          <t>N</t>
        </is>
      </c>
      <c r="F1301" s="12" t="n">
        <v>29.82</v>
      </c>
      <c r="G1301" s="17" t="n">
        <v>104985.93</v>
      </c>
      <c r="H1301" s="26" t="n">
        <v>44598</v>
      </c>
      <c r="I1301" s="26" t="n">
        <v>44602</v>
      </c>
      <c r="J1301" s="12" t="n">
        <v>29.16</v>
      </c>
      <c r="K1301" s="17" t="n">
        <v>3130680.43</v>
      </c>
      <c r="L1301" s="12" t="n">
        <v>0.43</v>
      </c>
      <c r="M1301" s="12" t="n">
        <v>0</v>
      </c>
      <c r="N1301" s="27">
        <f>F1301-J1301</f>
        <v/>
      </c>
      <c r="O1301" s="16">
        <f>I1301-H1301</f>
        <v/>
      </c>
      <c r="P1301" s="14">
        <f>F1301*G1301</f>
        <v/>
      </c>
      <c r="Q1301" s="14">
        <f>J1301*G1301</f>
        <v/>
      </c>
      <c r="R1301" s="14">
        <f>K1301-Q1301</f>
        <v/>
      </c>
      <c r="S1301" s="3">
        <f>P1301*Assumptions!$B$3/100</f>
        <v/>
      </c>
      <c r="T1301" s="14">
        <f>R1301-S1301</f>
        <v/>
      </c>
      <c r="U1301" s="14">
        <f>L1301*G1301</f>
        <v/>
      </c>
    </row>
    <row r="1302">
      <c r="A1302" s="12" t="inlineStr">
        <is>
          <t>PO-2021-1300</t>
        </is>
      </c>
      <c r="B1302" s="26" t="n">
        <v>44728</v>
      </c>
      <c r="C1302" s="12" t="inlineStr">
        <is>
          <t>VS15</t>
        </is>
      </c>
      <c r="D1302" s="12" t="inlineStr">
        <is>
          <t>Hex Bars</t>
        </is>
      </c>
      <c r="E1302" s="12" t="inlineStr">
        <is>
          <t>N</t>
        </is>
      </c>
      <c r="F1302" s="12" t="n">
        <v>36.72</v>
      </c>
      <c r="G1302" s="17" t="n">
        <v>65574.60000000001</v>
      </c>
      <c r="H1302" s="26" t="n">
        <v>44741</v>
      </c>
      <c r="I1302" s="26" t="n">
        <v>44743</v>
      </c>
      <c r="J1302" s="12" t="n">
        <v>36.45</v>
      </c>
      <c r="K1302" s="17" t="n">
        <v>2407899.31</v>
      </c>
      <c r="L1302" s="12" t="n">
        <v>0</v>
      </c>
      <c r="M1302" s="12" t="n">
        <v>1</v>
      </c>
      <c r="N1302" s="27">
        <f>F1302-J1302</f>
        <v/>
      </c>
      <c r="O1302" s="16">
        <f>I1302-H1302</f>
        <v/>
      </c>
      <c r="P1302" s="14">
        <f>F1302*G1302</f>
        <v/>
      </c>
      <c r="Q1302" s="14">
        <f>J1302*G1302</f>
        <v/>
      </c>
      <c r="R1302" s="14">
        <f>K1302-Q1302</f>
        <v/>
      </c>
      <c r="S1302" s="3">
        <f>P1302*Assumptions!$B$3/100</f>
        <v/>
      </c>
      <c r="T1302" s="14">
        <f>R1302-S1302</f>
        <v/>
      </c>
      <c r="U1302" s="14">
        <f>L1302*G1302</f>
        <v/>
      </c>
    </row>
    <row r="1303">
      <c r="A1303" s="12" t="inlineStr">
        <is>
          <t>PO-2021-1301</t>
        </is>
      </c>
      <c r="B1303" s="26" t="n">
        <v>44244</v>
      </c>
      <c r="C1303" s="12" t="inlineStr">
        <is>
          <t>VS17</t>
        </is>
      </c>
      <c r="D1303" s="12" t="inlineStr">
        <is>
          <t>Spring Steel</t>
        </is>
      </c>
      <c r="E1303" s="12" t="inlineStr">
        <is>
          <t>N</t>
        </is>
      </c>
      <c r="F1303" s="12" t="n">
        <v>44.27</v>
      </c>
      <c r="G1303" s="17" t="n">
        <v>45146.62</v>
      </c>
      <c r="H1303" s="26" t="n">
        <v>44253</v>
      </c>
      <c r="I1303" s="26" t="n">
        <v>44255</v>
      </c>
      <c r="J1303" s="12" t="n">
        <v>43.91</v>
      </c>
      <c r="K1303" s="17" t="n">
        <v>1998640.87</v>
      </c>
      <c r="L1303" s="12" t="n">
        <v>0</v>
      </c>
      <c r="M1303" s="12" t="n">
        <v>0</v>
      </c>
      <c r="N1303" s="27">
        <f>F1303-J1303</f>
        <v/>
      </c>
      <c r="O1303" s="16">
        <f>I1303-H1303</f>
        <v/>
      </c>
      <c r="P1303" s="14">
        <f>F1303*G1303</f>
        <v/>
      </c>
      <c r="Q1303" s="14">
        <f>J1303*G1303</f>
        <v/>
      </c>
      <c r="R1303" s="14">
        <f>K1303-Q1303</f>
        <v/>
      </c>
      <c r="S1303" s="3">
        <f>P1303*Assumptions!$B$3/100</f>
        <v/>
      </c>
      <c r="T1303" s="14">
        <f>R1303-S1303</f>
        <v/>
      </c>
      <c r="U1303" s="14">
        <f>L1303*G1303</f>
        <v/>
      </c>
    </row>
    <row r="1304">
      <c r="A1304" s="12" t="inlineStr">
        <is>
          <t>PO-2021-1302</t>
        </is>
      </c>
      <c r="B1304" s="26" t="n">
        <v>44303</v>
      </c>
      <c r="C1304" s="12" t="inlineStr">
        <is>
          <t>VS21</t>
        </is>
      </c>
      <c r="D1304" s="12" t="inlineStr">
        <is>
          <t>GI Wire</t>
        </is>
      </c>
      <c r="E1304" s="12" t="inlineStr">
        <is>
          <t>N</t>
        </is>
      </c>
      <c r="F1304" s="12" t="n">
        <v>42.37</v>
      </c>
      <c r="G1304" s="17" t="n">
        <v>75515.69</v>
      </c>
      <c r="H1304" s="26" t="n">
        <v>44307</v>
      </c>
      <c r="I1304" s="26" t="n">
        <v>44308</v>
      </c>
      <c r="J1304" s="12" t="n">
        <v>42.29</v>
      </c>
      <c r="K1304" s="17" t="n">
        <v>3199599.79</v>
      </c>
      <c r="L1304" s="12" t="n">
        <v>0</v>
      </c>
      <c r="M1304" s="12" t="n">
        <v>0</v>
      </c>
      <c r="N1304" s="27">
        <f>F1304-J1304</f>
        <v/>
      </c>
      <c r="O1304" s="16">
        <f>I1304-H1304</f>
        <v/>
      </c>
      <c r="P1304" s="14">
        <f>F1304*G1304</f>
        <v/>
      </c>
      <c r="Q1304" s="14">
        <f>J1304*G1304</f>
        <v/>
      </c>
      <c r="R1304" s="14">
        <f>K1304-Q1304</f>
        <v/>
      </c>
      <c r="S1304" s="3">
        <f>P1304*Assumptions!$B$3/100</f>
        <v/>
      </c>
      <c r="T1304" s="14">
        <f>R1304-S1304</f>
        <v/>
      </c>
      <c r="U1304" s="14">
        <f>L1304*G1304</f>
        <v/>
      </c>
    </row>
    <row r="1305">
      <c r="A1305" s="12" t="inlineStr">
        <is>
          <t>PO-2021-1303</t>
        </is>
      </c>
      <c r="B1305" s="26" t="n">
        <v>45258</v>
      </c>
      <c r="C1305" s="12" t="inlineStr">
        <is>
          <t>VS30</t>
        </is>
      </c>
      <c r="D1305" s="12" t="inlineStr">
        <is>
          <t>Structural Steel</t>
        </is>
      </c>
      <c r="E1305" s="12" t="inlineStr">
        <is>
          <t>Y</t>
        </is>
      </c>
      <c r="F1305" s="12" t="n">
        <v>18.71</v>
      </c>
      <c r="G1305" s="17" t="n">
        <v>101926.63</v>
      </c>
      <c r="H1305" s="26" t="n">
        <v>45272</v>
      </c>
      <c r="I1305" s="26" t="n">
        <v>45274</v>
      </c>
      <c r="J1305" s="12" t="n">
        <v>18.6</v>
      </c>
      <c r="K1305" s="17" t="n">
        <v>1907047.25</v>
      </c>
      <c r="L1305" s="12" t="n">
        <v>0</v>
      </c>
      <c r="M1305" s="12" t="n">
        <v>0</v>
      </c>
      <c r="N1305" s="27">
        <f>F1305-J1305</f>
        <v/>
      </c>
      <c r="O1305" s="16">
        <f>I1305-H1305</f>
        <v/>
      </c>
      <c r="P1305" s="14">
        <f>F1305*G1305</f>
        <v/>
      </c>
      <c r="Q1305" s="14">
        <f>J1305*G1305</f>
        <v/>
      </c>
      <c r="R1305" s="14">
        <f>K1305-Q1305</f>
        <v/>
      </c>
      <c r="S1305" s="3">
        <f>P1305*Assumptions!$B$3/100</f>
        <v/>
      </c>
      <c r="T1305" s="14">
        <f>R1305-S1305</f>
        <v/>
      </c>
      <c r="U1305" s="14">
        <f>L1305*G1305</f>
        <v/>
      </c>
    </row>
    <row r="1306">
      <c r="A1306" s="12" t="inlineStr">
        <is>
          <t>PO-2021-1304</t>
        </is>
      </c>
      <c r="B1306" s="26" t="n">
        <v>44656</v>
      </c>
      <c r="C1306" s="12" t="inlineStr">
        <is>
          <t>VS04</t>
        </is>
      </c>
      <c r="D1306" s="12" t="inlineStr">
        <is>
          <t>CR Sheets</t>
        </is>
      </c>
      <c r="E1306" s="12" t="inlineStr">
        <is>
          <t>N</t>
        </is>
      </c>
      <c r="F1306" s="12" t="n">
        <v>46</v>
      </c>
      <c r="G1306" s="17" t="n">
        <v>84930.77</v>
      </c>
      <c r="H1306" s="26" t="n">
        <v>44664</v>
      </c>
      <c r="I1306" s="26" t="n">
        <v>44667</v>
      </c>
      <c r="J1306" s="12" t="n">
        <v>45.57</v>
      </c>
      <c r="K1306" s="17" t="n">
        <v>3906815.42</v>
      </c>
      <c r="L1306" s="12" t="n">
        <v>0</v>
      </c>
      <c r="M1306" s="12" t="n">
        <v>0</v>
      </c>
      <c r="N1306" s="27">
        <f>F1306-J1306</f>
        <v/>
      </c>
      <c r="O1306" s="16">
        <f>I1306-H1306</f>
        <v/>
      </c>
      <c r="P1306" s="14">
        <f>F1306*G1306</f>
        <v/>
      </c>
      <c r="Q1306" s="14">
        <f>J1306*G1306</f>
        <v/>
      </c>
      <c r="R1306" s="14">
        <f>K1306-Q1306</f>
        <v/>
      </c>
      <c r="S1306" s="3">
        <f>P1306*Assumptions!$B$3/100</f>
        <v/>
      </c>
      <c r="T1306" s="14">
        <f>R1306-S1306</f>
        <v/>
      </c>
      <c r="U1306" s="14">
        <f>L1306*G1306</f>
        <v/>
      </c>
    </row>
    <row r="1307">
      <c r="A1307" s="12" t="inlineStr">
        <is>
          <t>PO-2021-1305</t>
        </is>
      </c>
      <c r="B1307" s="26" t="n">
        <v>44207</v>
      </c>
      <c r="C1307" s="12" t="inlineStr">
        <is>
          <t>VS26</t>
        </is>
      </c>
      <c r="D1307" s="12" t="inlineStr">
        <is>
          <t>GI Sheets</t>
        </is>
      </c>
      <c r="E1307" s="12" t="inlineStr">
        <is>
          <t>N</t>
        </is>
      </c>
      <c r="F1307" s="12" t="n">
        <v>17.4</v>
      </c>
      <c r="G1307" s="17" t="n">
        <v>111007.38</v>
      </c>
      <c r="H1307" s="26" t="n">
        <v>44222</v>
      </c>
      <c r="I1307" s="26" t="n">
        <v>44222</v>
      </c>
      <c r="J1307" s="12" t="n">
        <v>17.26</v>
      </c>
      <c r="K1307" s="17" t="n">
        <v>1931528.41</v>
      </c>
      <c r="L1307" s="12" t="n">
        <v>0</v>
      </c>
      <c r="M1307" s="12" t="n">
        <v>18</v>
      </c>
      <c r="N1307" s="27">
        <f>F1307-J1307</f>
        <v/>
      </c>
      <c r="O1307" s="16">
        <f>I1307-H1307</f>
        <v/>
      </c>
      <c r="P1307" s="14">
        <f>F1307*G1307</f>
        <v/>
      </c>
      <c r="Q1307" s="14">
        <f>J1307*G1307</f>
        <v/>
      </c>
      <c r="R1307" s="14">
        <f>K1307-Q1307</f>
        <v/>
      </c>
      <c r="S1307" s="3">
        <f>P1307*Assumptions!$B$3/100</f>
        <v/>
      </c>
      <c r="T1307" s="14">
        <f>R1307-S1307</f>
        <v/>
      </c>
      <c r="U1307" s="14">
        <f>L1307*G1307</f>
        <v/>
      </c>
    </row>
    <row r="1308">
      <c r="A1308" s="12" t="inlineStr">
        <is>
          <t>PO-2021-1306</t>
        </is>
      </c>
      <c r="B1308" s="26" t="n">
        <v>44248</v>
      </c>
      <c r="C1308" s="12" t="inlineStr">
        <is>
          <t>VS15</t>
        </is>
      </c>
      <c r="D1308" s="12" t="inlineStr">
        <is>
          <t>GI Wire</t>
        </is>
      </c>
      <c r="E1308" s="12" t="inlineStr">
        <is>
          <t>N</t>
        </is>
      </c>
      <c r="F1308" s="12" t="n">
        <v>47.93</v>
      </c>
      <c r="G1308" s="17" t="n">
        <v>113774.64</v>
      </c>
      <c r="H1308" s="26" t="n">
        <v>44254</v>
      </c>
      <c r="I1308" s="26" t="n">
        <v>44257</v>
      </c>
      <c r="J1308" s="12" t="n">
        <v>47.75</v>
      </c>
      <c r="K1308" s="17" t="n">
        <v>5453218.5</v>
      </c>
      <c r="L1308" s="12" t="n">
        <v>0</v>
      </c>
      <c r="M1308" s="12" t="n">
        <v>11</v>
      </c>
      <c r="N1308" s="27">
        <f>F1308-J1308</f>
        <v/>
      </c>
      <c r="O1308" s="16">
        <f>I1308-H1308</f>
        <v/>
      </c>
      <c r="P1308" s="14">
        <f>F1308*G1308</f>
        <v/>
      </c>
      <c r="Q1308" s="14">
        <f>J1308*G1308</f>
        <v/>
      </c>
      <c r="R1308" s="14">
        <f>K1308-Q1308</f>
        <v/>
      </c>
      <c r="S1308" s="3">
        <f>P1308*Assumptions!$B$3/100</f>
        <v/>
      </c>
      <c r="T1308" s="14">
        <f>R1308-S1308</f>
        <v/>
      </c>
      <c r="U1308" s="14">
        <f>L1308*G1308</f>
        <v/>
      </c>
    </row>
    <row r="1309">
      <c r="A1309" s="12" t="inlineStr">
        <is>
          <t>PO-2021-1307</t>
        </is>
      </c>
      <c r="B1309" s="26" t="n">
        <v>44533</v>
      </c>
      <c r="C1309" s="12" t="inlineStr">
        <is>
          <t>VS22</t>
        </is>
      </c>
      <c r="D1309" s="12" t="inlineStr">
        <is>
          <t>SS Sheets</t>
        </is>
      </c>
      <c r="E1309" s="12" t="inlineStr">
        <is>
          <t>N</t>
        </is>
      </c>
      <c r="F1309" s="12" t="n">
        <v>4.08</v>
      </c>
      <c r="G1309" s="17" t="n">
        <v>91897.10000000001</v>
      </c>
      <c r="H1309" s="26" t="n">
        <v>44536</v>
      </c>
      <c r="I1309" s="26" t="n">
        <v>44539</v>
      </c>
      <c r="J1309" s="12" t="n">
        <v>4.04</v>
      </c>
      <c r="K1309" s="17" t="n">
        <v>374940.17</v>
      </c>
      <c r="L1309" s="12" t="n">
        <v>0</v>
      </c>
      <c r="M1309" s="12" t="n">
        <v>0</v>
      </c>
      <c r="N1309" s="27">
        <f>F1309-J1309</f>
        <v/>
      </c>
      <c r="O1309" s="16">
        <f>I1309-H1309</f>
        <v/>
      </c>
      <c r="P1309" s="14">
        <f>F1309*G1309</f>
        <v/>
      </c>
      <c r="Q1309" s="14">
        <f>J1309*G1309</f>
        <v/>
      </c>
      <c r="R1309" s="14">
        <f>K1309-Q1309</f>
        <v/>
      </c>
      <c r="S1309" s="3">
        <f>P1309*Assumptions!$B$3/100</f>
        <v/>
      </c>
      <c r="T1309" s="14">
        <f>R1309-S1309</f>
        <v/>
      </c>
      <c r="U1309" s="14">
        <f>L1309*G1309</f>
        <v/>
      </c>
    </row>
    <row r="1310">
      <c r="A1310" s="12" t="inlineStr">
        <is>
          <t>PO-2021-1308</t>
        </is>
      </c>
      <c r="B1310" s="26" t="n">
        <v>45179</v>
      </c>
      <c r="C1310" s="12" t="inlineStr">
        <is>
          <t>VS28</t>
        </is>
      </c>
      <c r="D1310" s="12" t="inlineStr">
        <is>
          <t>MS Pipes</t>
        </is>
      </c>
      <c r="E1310" s="12" t="inlineStr">
        <is>
          <t>Y</t>
        </is>
      </c>
      <c r="F1310" s="12" t="n">
        <v>30.03</v>
      </c>
      <c r="G1310" s="17" t="n">
        <v>91972.28</v>
      </c>
      <c r="H1310" s="26" t="n">
        <v>45187</v>
      </c>
      <c r="I1310" s="26" t="n">
        <v>45187</v>
      </c>
      <c r="J1310" s="12" t="n">
        <v>29.79</v>
      </c>
      <c r="K1310" s="17" t="n">
        <v>2761927.57</v>
      </c>
      <c r="L1310" s="12" t="n">
        <v>0</v>
      </c>
      <c r="M1310" s="12" t="n">
        <v>14</v>
      </c>
      <c r="N1310" s="27">
        <f>F1310-J1310</f>
        <v/>
      </c>
      <c r="O1310" s="16">
        <f>I1310-H1310</f>
        <v/>
      </c>
      <c r="P1310" s="14">
        <f>F1310*G1310</f>
        <v/>
      </c>
      <c r="Q1310" s="14">
        <f>J1310*G1310</f>
        <v/>
      </c>
      <c r="R1310" s="14">
        <f>K1310-Q1310</f>
        <v/>
      </c>
      <c r="S1310" s="3">
        <f>P1310*Assumptions!$B$3/100</f>
        <v/>
      </c>
      <c r="T1310" s="14">
        <f>R1310-S1310</f>
        <v/>
      </c>
      <c r="U1310" s="14">
        <f>L1310*G1310</f>
        <v/>
      </c>
    </row>
    <row r="1311">
      <c r="A1311" s="12" t="inlineStr">
        <is>
          <t>PO-2021-1309</t>
        </is>
      </c>
      <c r="B1311" s="26" t="n">
        <v>44709</v>
      </c>
      <c r="C1311" s="12" t="inlineStr">
        <is>
          <t>VS16</t>
        </is>
      </c>
      <c r="D1311" s="12" t="inlineStr">
        <is>
          <t>ERW Pipes</t>
        </is>
      </c>
      <c r="E1311" s="12" t="inlineStr">
        <is>
          <t>N</t>
        </is>
      </c>
      <c r="F1311" s="12" t="n">
        <v>24.21</v>
      </c>
      <c r="G1311" s="17" t="n">
        <v>116910.2</v>
      </c>
      <c r="H1311" s="26" t="n">
        <v>44712</v>
      </c>
      <c r="I1311" s="26" t="n">
        <v>44714</v>
      </c>
      <c r="J1311" s="12" t="n">
        <v>24.07</v>
      </c>
      <c r="K1311" s="17" t="n">
        <v>2830395.94</v>
      </c>
      <c r="L1311" s="12" t="n">
        <v>0</v>
      </c>
      <c r="M1311" s="12" t="n">
        <v>24</v>
      </c>
      <c r="N1311" s="27">
        <f>F1311-J1311</f>
        <v/>
      </c>
      <c r="O1311" s="16">
        <f>I1311-H1311</f>
        <v/>
      </c>
      <c r="P1311" s="14">
        <f>F1311*G1311</f>
        <v/>
      </c>
      <c r="Q1311" s="14">
        <f>J1311*G1311</f>
        <v/>
      </c>
      <c r="R1311" s="14">
        <f>K1311-Q1311</f>
        <v/>
      </c>
      <c r="S1311" s="3">
        <f>P1311*Assumptions!$B$3/100</f>
        <v/>
      </c>
      <c r="T1311" s="14">
        <f>R1311-S1311</f>
        <v/>
      </c>
      <c r="U1311" s="14">
        <f>L1311*G1311</f>
        <v/>
      </c>
    </row>
    <row r="1312">
      <c r="A1312" s="12" t="inlineStr">
        <is>
          <t>PO-2021-1310</t>
        </is>
      </c>
      <c r="B1312" s="26" t="n">
        <v>44880</v>
      </c>
      <c r="C1312" s="12" t="inlineStr">
        <is>
          <t>VS34</t>
        </is>
      </c>
      <c r="D1312" s="12" t="inlineStr">
        <is>
          <t>HR Coils</t>
        </is>
      </c>
      <c r="E1312" s="12" t="inlineStr">
        <is>
          <t>N</t>
        </is>
      </c>
      <c r="F1312" s="12" t="n">
        <v>47.23</v>
      </c>
      <c r="G1312" s="17" t="n">
        <v>103181.21</v>
      </c>
      <c r="H1312" s="26" t="n">
        <v>44892</v>
      </c>
      <c r="I1312" s="26" t="n">
        <v>44895</v>
      </c>
      <c r="J1312" s="12" t="n">
        <v>47.1</v>
      </c>
      <c r="K1312" s="17" t="n">
        <v>4873248.55</v>
      </c>
      <c r="L1312" s="12" t="n">
        <v>0</v>
      </c>
      <c r="M1312" s="12" t="n">
        <v>0</v>
      </c>
      <c r="N1312" s="27">
        <f>F1312-J1312</f>
        <v/>
      </c>
      <c r="O1312" s="16">
        <f>I1312-H1312</f>
        <v/>
      </c>
      <c r="P1312" s="14">
        <f>F1312*G1312</f>
        <v/>
      </c>
      <c r="Q1312" s="14">
        <f>J1312*G1312</f>
        <v/>
      </c>
      <c r="R1312" s="14">
        <f>K1312-Q1312</f>
        <v/>
      </c>
      <c r="S1312" s="3">
        <f>P1312*Assumptions!$B$3/100</f>
        <v/>
      </c>
      <c r="T1312" s="14">
        <f>R1312-S1312</f>
        <v/>
      </c>
      <c r="U1312" s="14">
        <f>L1312*G1312</f>
        <v/>
      </c>
    </row>
    <row r="1313">
      <c r="A1313" s="12" t="inlineStr">
        <is>
          <t>PO-2021-1311</t>
        </is>
      </c>
      <c r="B1313" s="26" t="n">
        <v>45095</v>
      </c>
      <c r="C1313" s="12" t="inlineStr">
        <is>
          <t>VS07</t>
        </is>
      </c>
      <c r="D1313" s="12" t="inlineStr">
        <is>
          <t>Fasteners &amp; Fittings</t>
        </is>
      </c>
      <c r="E1313" s="12" t="inlineStr">
        <is>
          <t>Y</t>
        </is>
      </c>
      <c r="F1313" s="12" t="n">
        <v>29.37</v>
      </c>
      <c r="G1313" s="17" t="n">
        <v>51415.1</v>
      </c>
      <c r="H1313" s="26" t="n">
        <v>45098</v>
      </c>
      <c r="I1313" s="26" t="n">
        <v>45098</v>
      </c>
      <c r="J1313" s="12" t="n">
        <v>29.27</v>
      </c>
      <c r="K1313" s="17" t="n">
        <v>1510061.49</v>
      </c>
      <c r="L1313" s="12" t="n">
        <v>0</v>
      </c>
      <c r="M1313" s="12" t="n">
        <v>0</v>
      </c>
      <c r="N1313" s="27">
        <f>F1313-J1313</f>
        <v/>
      </c>
      <c r="O1313" s="16">
        <f>I1313-H1313</f>
        <v/>
      </c>
      <c r="P1313" s="14">
        <f>F1313*G1313</f>
        <v/>
      </c>
      <c r="Q1313" s="14">
        <f>J1313*G1313</f>
        <v/>
      </c>
      <c r="R1313" s="14">
        <f>K1313-Q1313</f>
        <v/>
      </c>
      <c r="S1313" s="3">
        <f>P1313*Assumptions!$B$3/100</f>
        <v/>
      </c>
      <c r="T1313" s="14">
        <f>R1313-S1313</f>
        <v/>
      </c>
      <c r="U1313" s="14">
        <f>L1313*G1313</f>
        <v/>
      </c>
    </row>
    <row r="1314">
      <c r="A1314" s="12" t="inlineStr">
        <is>
          <t>PO-2021-1312</t>
        </is>
      </c>
      <c r="B1314" s="26" t="n">
        <v>44265</v>
      </c>
      <c r="C1314" s="12" t="inlineStr">
        <is>
          <t>VS25</t>
        </is>
      </c>
      <c r="D1314" s="12" t="inlineStr">
        <is>
          <t>MS Flats</t>
        </is>
      </c>
      <c r="E1314" s="12" t="inlineStr">
        <is>
          <t>N</t>
        </is>
      </c>
      <c r="F1314" s="12" t="n">
        <v>44.61</v>
      </c>
      <c r="G1314" s="17" t="n">
        <v>97002.28</v>
      </c>
      <c r="H1314" s="26" t="n">
        <v>44280</v>
      </c>
      <c r="I1314" s="26" t="n">
        <v>44283</v>
      </c>
      <c r="J1314" s="12" t="n">
        <v>44.2</v>
      </c>
      <c r="K1314" s="17" t="n">
        <v>4327271.71</v>
      </c>
      <c r="L1314" s="12" t="n">
        <v>0</v>
      </c>
      <c r="M1314" s="12" t="n">
        <v>25</v>
      </c>
      <c r="N1314" s="27">
        <f>F1314-J1314</f>
        <v/>
      </c>
      <c r="O1314" s="16">
        <f>I1314-H1314</f>
        <v/>
      </c>
      <c r="P1314" s="14">
        <f>F1314*G1314</f>
        <v/>
      </c>
      <c r="Q1314" s="14">
        <f>J1314*G1314</f>
        <v/>
      </c>
      <c r="R1314" s="14">
        <f>K1314-Q1314</f>
        <v/>
      </c>
      <c r="S1314" s="3">
        <f>P1314*Assumptions!$B$3/100</f>
        <v/>
      </c>
      <c r="T1314" s="14">
        <f>R1314-S1314</f>
        <v/>
      </c>
      <c r="U1314" s="14">
        <f>L1314*G1314</f>
        <v/>
      </c>
    </row>
    <row r="1315">
      <c r="A1315" s="12" t="inlineStr">
        <is>
          <t>PO-2021-1313</t>
        </is>
      </c>
      <c r="B1315" s="26" t="n">
        <v>44458</v>
      </c>
      <c r="C1315" s="12" t="inlineStr">
        <is>
          <t>VS04</t>
        </is>
      </c>
      <c r="D1315" s="12" t="inlineStr">
        <is>
          <t>Fasteners &amp; Fittings</t>
        </is>
      </c>
      <c r="E1315" s="12" t="inlineStr">
        <is>
          <t>N</t>
        </is>
      </c>
      <c r="F1315" s="12" t="n">
        <v>3.68</v>
      </c>
      <c r="G1315" s="17" t="n">
        <v>90805.39999999999</v>
      </c>
      <c r="H1315" s="26" t="n">
        <v>44467</v>
      </c>
      <c r="I1315" s="26" t="n">
        <v>44467</v>
      </c>
      <c r="J1315" s="12" t="n">
        <v>3.67</v>
      </c>
      <c r="K1315" s="17" t="n">
        <v>334163.87</v>
      </c>
      <c r="L1315" s="12" t="n">
        <v>0</v>
      </c>
      <c r="M1315" s="12" t="n">
        <v>6</v>
      </c>
      <c r="N1315" s="27">
        <f>F1315-J1315</f>
        <v/>
      </c>
      <c r="O1315" s="16">
        <f>I1315-H1315</f>
        <v/>
      </c>
      <c r="P1315" s="14">
        <f>F1315*G1315</f>
        <v/>
      </c>
      <c r="Q1315" s="14">
        <f>J1315*G1315</f>
        <v/>
      </c>
      <c r="R1315" s="14">
        <f>K1315-Q1315</f>
        <v/>
      </c>
      <c r="S1315" s="3">
        <f>P1315*Assumptions!$B$3/100</f>
        <v/>
      </c>
      <c r="T1315" s="14">
        <f>R1315-S1315</f>
        <v/>
      </c>
      <c r="U1315" s="14">
        <f>L1315*G1315</f>
        <v/>
      </c>
    </row>
    <row r="1316">
      <c r="A1316" s="12" t="inlineStr">
        <is>
          <t>PO-2021-1314</t>
        </is>
      </c>
      <c r="B1316" s="26" t="n">
        <v>44331</v>
      </c>
      <c r="C1316" s="12" t="inlineStr">
        <is>
          <t>VS07</t>
        </is>
      </c>
      <c r="D1316" s="12" t="inlineStr">
        <is>
          <t>GI Pipes</t>
        </is>
      </c>
      <c r="E1316" s="12" t="inlineStr">
        <is>
          <t>N</t>
        </is>
      </c>
      <c r="F1316" s="12" t="n">
        <v>28.4</v>
      </c>
      <c r="G1316" s="17" t="n">
        <v>67118.75999999999</v>
      </c>
      <c r="H1316" s="26" t="n">
        <v>44340</v>
      </c>
      <c r="I1316" s="26" t="n">
        <v>44341</v>
      </c>
      <c r="J1316" s="12" t="n">
        <v>28.32</v>
      </c>
      <c r="K1316" s="17" t="n">
        <v>1906172.78</v>
      </c>
      <c r="L1316" s="12" t="n">
        <v>0</v>
      </c>
      <c r="M1316" s="12" t="n">
        <v>25</v>
      </c>
      <c r="N1316" s="27">
        <f>F1316-J1316</f>
        <v/>
      </c>
      <c r="O1316" s="16">
        <f>I1316-H1316</f>
        <v/>
      </c>
      <c r="P1316" s="14">
        <f>F1316*G1316</f>
        <v/>
      </c>
      <c r="Q1316" s="14">
        <f>J1316*G1316</f>
        <v/>
      </c>
      <c r="R1316" s="14">
        <f>K1316-Q1316</f>
        <v/>
      </c>
      <c r="S1316" s="3">
        <f>P1316*Assumptions!$B$3/100</f>
        <v/>
      </c>
      <c r="T1316" s="14">
        <f>R1316-S1316</f>
        <v/>
      </c>
      <c r="U1316" s="14">
        <f>L1316*G1316</f>
        <v/>
      </c>
    </row>
    <row r="1317">
      <c r="A1317" s="12" t="inlineStr">
        <is>
          <t>PO-2021-1315</t>
        </is>
      </c>
      <c r="B1317" s="26" t="n">
        <v>45019</v>
      </c>
      <c r="C1317" s="12" t="inlineStr">
        <is>
          <t>VS07</t>
        </is>
      </c>
      <c r="D1317" s="12" t="inlineStr">
        <is>
          <t>GI Wire</t>
        </is>
      </c>
      <c r="E1317" s="12" t="inlineStr">
        <is>
          <t>N</t>
        </is>
      </c>
      <c r="F1317" s="12" t="n">
        <v>12.42</v>
      </c>
      <c r="G1317" s="17" t="n">
        <v>89968.19</v>
      </c>
      <c r="H1317" s="26" t="n">
        <v>45032</v>
      </c>
      <c r="I1317" s="26" t="n">
        <v>45035</v>
      </c>
      <c r="J1317" s="12" t="n">
        <v>12.38</v>
      </c>
      <c r="K1317" s="17" t="n">
        <v>1117404.92</v>
      </c>
      <c r="L1317" s="12" t="n">
        <v>0</v>
      </c>
      <c r="M1317" s="12" t="n">
        <v>0</v>
      </c>
      <c r="N1317" s="27">
        <f>F1317-J1317</f>
        <v/>
      </c>
      <c r="O1317" s="16">
        <f>I1317-H1317</f>
        <v/>
      </c>
      <c r="P1317" s="14">
        <f>F1317*G1317</f>
        <v/>
      </c>
      <c r="Q1317" s="14">
        <f>J1317*G1317</f>
        <v/>
      </c>
      <c r="R1317" s="14">
        <f>K1317-Q1317</f>
        <v/>
      </c>
      <c r="S1317" s="3">
        <f>P1317*Assumptions!$B$3/100</f>
        <v/>
      </c>
      <c r="T1317" s="14">
        <f>R1317-S1317</f>
        <v/>
      </c>
      <c r="U1317" s="14">
        <f>L1317*G1317</f>
        <v/>
      </c>
    </row>
    <row r="1318">
      <c r="A1318" s="12" t="inlineStr">
        <is>
          <t>PO-2021-1316</t>
        </is>
      </c>
      <c r="B1318" s="26" t="n">
        <v>44218</v>
      </c>
      <c r="C1318" s="12" t="inlineStr">
        <is>
          <t>VS30</t>
        </is>
      </c>
      <c r="D1318" s="12" t="inlineStr">
        <is>
          <t>MS Rods</t>
        </is>
      </c>
      <c r="E1318" s="12" t="inlineStr">
        <is>
          <t>N</t>
        </is>
      </c>
      <c r="F1318" s="12" t="n">
        <v>23.75</v>
      </c>
      <c r="G1318" s="17" t="n">
        <v>77107.92999999999</v>
      </c>
      <c r="H1318" s="26" t="n">
        <v>44230</v>
      </c>
      <c r="I1318" s="26" t="n">
        <v>44233</v>
      </c>
      <c r="J1318" s="12" t="n">
        <v>23.68</v>
      </c>
      <c r="K1318" s="17" t="n">
        <v>1831313.34</v>
      </c>
      <c r="L1318" s="12" t="n">
        <v>0</v>
      </c>
      <c r="M1318" s="12" t="n">
        <v>0</v>
      </c>
      <c r="N1318" s="27">
        <f>F1318-J1318</f>
        <v/>
      </c>
      <c r="O1318" s="16">
        <f>I1318-H1318</f>
        <v/>
      </c>
      <c r="P1318" s="14">
        <f>F1318*G1318</f>
        <v/>
      </c>
      <c r="Q1318" s="14">
        <f>J1318*G1318</f>
        <v/>
      </c>
      <c r="R1318" s="14">
        <f>K1318-Q1318</f>
        <v/>
      </c>
      <c r="S1318" s="3">
        <f>P1318*Assumptions!$B$3/100</f>
        <v/>
      </c>
      <c r="T1318" s="14">
        <f>R1318-S1318</f>
        <v/>
      </c>
      <c r="U1318" s="14">
        <f>L1318*G1318</f>
        <v/>
      </c>
    </row>
    <row r="1319">
      <c r="A1319" s="12" t="inlineStr">
        <is>
          <t>PO-2021-1317</t>
        </is>
      </c>
      <c r="B1319" s="26" t="n">
        <v>44404</v>
      </c>
      <c r="C1319" s="12" t="inlineStr">
        <is>
          <t>VS22</t>
        </is>
      </c>
      <c r="D1319" s="12" t="inlineStr">
        <is>
          <t>MS Pipes</t>
        </is>
      </c>
      <c r="E1319" s="12" t="inlineStr">
        <is>
          <t>Y</t>
        </is>
      </c>
      <c r="F1319" s="12" t="n">
        <v>23.25</v>
      </c>
      <c r="G1319" s="17" t="n">
        <v>69614.53</v>
      </c>
      <c r="H1319" s="26" t="n">
        <v>44410</v>
      </c>
      <c r="I1319" s="26" t="n">
        <v>44410</v>
      </c>
      <c r="J1319" s="12" t="n">
        <v>23.17</v>
      </c>
      <c r="K1319" s="17" t="n">
        <v>1618537.82</v>
      </c>
      <c r="L1319" s="12" t="n">
        <v>0</v>
      </c>
      <c r="M1319" s="12" t="n">
        <v>19</v>
      </c>
      <c r="N1319" s="27">
        <f>F1319-J1319</f>
        <v/>
      </c>
      <c r="O1319" s="16">
        <f>I1319-H1319</f>
        <v/>
      </c>
      <c r="P1319" s="14">
        <f>F1319*G1319</f>
        <v/>
      </c>
      <c r="Q1319" s="14">
        <f>J1319*G1319</f>
        <v/>
      </c>
      <c r="R1319" s="14">
        <f>K1319-Q1319</f>
        <v/>
      </c>
      <c r="S1319" s="3">
        <f>P1319*Assumptions!$B$3/100</f>
        <v/>
      </c>
      <c r="T1319" s="14">
        <f>R1319-S1319</f>
        <v/>
      </c>
      <c r="U1319" s="14">
        <f>L1319*G1319</f>
        <v/>
      </c>
    </row>
    <row r="1320">
      <c r="A1320" s="12" t="inlineStr">
        <is>
          <t>PO-2021-1318</t>
        </is>
      </c>
      <c r="B1320" s="26" t="n">
        <v>44418</v>
      </c>
      <c r="C1320" s="12" t="inlineStr">
        <is>
          <t>VS07</t>
        </is>
      </c>
      <c r="D1320" s="12" t="inlineStr">
        <is>
          <t>MS Pipes</t>
        </is>
      </c>
      <c r="E1320" s="12" t="inlineStr">
        <is>
          <t>N</t>
        </is>
      </c>
      <c r="F1320" s="12" t="n">
        <v>30.16</v>
      </c>
      <c r="G1320" s="17" t="n">
        <v>50065.84</v>
      </c>
      <c r="H1320" s="26" t="n">
        <v>44433</v>
      </c>
      <c r="I1320" s="26" t="n">
        <v>44433</v>
      </c>
      <c r="J1320" s="12" t="n">
        <v>29.87</v>
      </c>
      <c r="K1320" s="17" t="n">
        <v>1509985.73</v>
      </c>
      <c r="L1320" s="12" t="n">
        <v>0</v>
      </c>
      <c r="M1320" s="12" t="n">
        <v>0</v>
      </c>
      <c r="N1320" s="27">
        <f>F1320-J1320</f>
        <v/>
      </c>
      <c r="O1320" s="16">
        <f>I1320-H1320</f>
        <v/>
      </c>
      <c r="P1320" s="14">
        <f>F1320*G1320</f>
        <v/>
      </c>
      <c r="Q1320" s="14">
        <f>J1320*G1320</f>
        <v/>
      </c>
      <c r="R1320" s="14">
        <f>K1320-Q1320</f>
        <v/>
      </c>
      <c r="S1320" s="3">
        <f>P1320*Assumptions!$B$3/100</f>
        <v/>
      </c>
      <c r="T1320" s="14">
        <f>R1320-S1320</f>
        <v/>
      </c>
      <c r="U1320" s="14">
        <f>L1320*G1320</f>
        <v/>
      </c>
    </row>
    <row r="1321">
      <c r="A1321" s="12" t="inlineStr">
        <is>
          <t>PO-2021-1319</t>
        </is>
      </c>
      <c r="B1321" s="26" t="n">
        <v>44593</v>
      </c>
      <c r="C1321" s="12" t="inlineStr">
        <is>
          <t>VS09</t>
        </is>
      </c>
      <c r="D1321" s="12" t="inlineStr">
        <is>
          <t>Hex Bars</t>
        </is>
      </c>
      <c r="E1321" s="12" t="inlineStr">
        <is>
          <t>N</t>
        </is>
      </c>
      <c r="F1321" s="12" t="n">
        <v>13.56</v>
      </c>
      <c r="G1321" s="17" t="n">
        <v>76575.53</v>
      </c>
      <c r="H1321" s="26" t="n">
        <v>44607</v>
      </c>
      <c r="I1321" s="26" t="n">
        <v>44607</v>
      </c>
      <c r="J1321" s="12" t="n">
        <v>13.47</v>
      </c>
      <c r="K1321" s="17" t="n">
        <v>1038364.19</v>
      </c>
      <c r="L1321" s="12" t="n">
        <v>0</v>
      </c>
      <c r="M1321" s="12" t="n">
        <v>7</v>
      </c>
      <c r="N1321" s="27">
        <f>F1321-J1321</f>
        <v/>
      </c>
      <c r="O1321" s="16">
        <f>I1321-H1321</f>
        <v/>
      </c>
      <c r="P1321" s="14">
        <f>F1321*G1321</f>
        <v/>
      </c>
      <c r="Q1321" s="14">
        <f>J1321*G1321</f>
        <v/>
      </c>
      <c r="R1321" s="14">
        <f>K1321-Q1321</f>
        <v/>
      </c>
      <c r="S1321" s="3">
        <f>P1321*Assumptions!$B$3/100</f>
        <v/>
      </c>
      <c r="T1321" s="14">
        <f>R1321-S1321</f>
        <v/>
      </c>
      <c r="U1321" s="14">
        <f>L1321*G1321</f>
        <v/>
      </c>
    </row>
    <row r="1322">
      <c r="A1322" s="12" t="inlineStr">
        <is>
          <t>PO-2021-1320</t>
        </is>
      </c>
      <c r="B1322" s="26" t="n">
        <v>45107</v>
      </c>
      <c r="C1322" s="12" t="inlineStr">
        <is>
          <t>VS12</t>
        </is>
      </c>
      <c r="D1322" s="12" t="inlineStr">
        <is>
          <t>HR Coils</t>
        </is>
      </c>
      <c r="E1322" s="12" t="inlineStr">
        <is>
          <t>Y</t>
        </is>
      </c>
      <c r="F1322" s="12" t="n">
        <v>7.75</v>
      </c>
      <c r="G1322" s="17" t="n">
        <v>50237.52</v>
      </c>
      <c r="H1322" s="26" t="n">
        <v>45112</v>
      </c>
      <c r="I1322" s="26" t="n">
        <v>45115</v>
      </c>
      <c r="J1322" s="12" t="n">
        <v>7.41</v>
      </c>
      <c r="K1322" s="17" t="n">
        <v>389340.78</v>
      </c>
      <c r="L1322" s="12" t="n">
        <v>0.05</v>
      </c>
      <c r="M1322" s="12" t="n">
        <v>25</v>
      </c>
      <c r="N1322" s="27">
        <f>F1322-J1322</f>
        <v/>
      </c>
      <c r="O1322" s="16">
        <f>I1322-H1322</f>
        <v/>
      </c>
      <c r="P1322" s="14">
        <f>F1322*G1322</f>
        <v/>
      </c>
      <c r="Q1322" s="14">
        <f>J1322*G1322</f>
        <v/>
      </c>
      <c r="R1322" s="14">
        <f>K1322-Q1322</f>
        <v/>
      </c>
      <c r="S1322" s="3">
        <f>P1322*Assumptions!$B$3/100</f>
        <v/>
      </c>
      <c r="T1322" s="14">
        <f>R1322-S1322</f>
        <v/>
      </c>
      <c r="U1322" s="14">
        <f>L1322*G1322</f>
        <v/>
      </c>
    </row>
    <row r="1323">
      <c r="A1323" s="12" t="inlineStr">
        <is>
          <t>PO-2021-1321</t>
        </is>
      </c>
      <c r="B1323" s="26" t="n">
        <v>44835</v>
      </c>
      <c r="C1323" s="12" t="inlineStr">
        <is>
          <t>VS28</t>
        </is>
      </c>
      <c r="D1323" s="12" t="inlineStr">
        <is>
          <t>Hex Bars</t>
        </is>
      </c>
      <c r="E1323" s="12" t="inlineStr">
        <is>
          <t>N</t>
        </is>
      </c>
      <c r="F1323" s="12" t="n">
        <v>48.03</v>
      </c>
      <c r="G1323" s="17" t="n">
        <v>101578.02</v>
      </c>
      <c r="H1323" s="26" t="n">
        <v>44842</v>
      </c>
      <c r="I1323" s="26" t="n">
        <v>44845</v>
      </c>
      <c r="J1323" s="12" t="n">
        <v>47.89</v>
      </c>
      <c r="K1323" s="17" t="n">
        <v>4878792.3</v>
      </c>
      <c r="L1323" s="12" t="n">
        <v>0</v>
      </c>
      <c r="M1323" s="12" t="n">
        <v>0</v>
      </c>
      <c r="N1323" s="27">
        <f>F1323-J1323</f>
        <v/>
      </c>
      <c r="O1323" s="16">
        <f>I1323-H1323</f>
        <v/>
      </c>
      <c r="P1323" s="14">
        <f>F1323*G1323</f>
        <v/>
      </c>
      <c r="Q1323" s="14">
        <f>J1323*G1323</f>
        <v/>
      </c>
      <c r="R1323" s="14">
        <f>K1323-Q1323</f>
        <v/>
      </c>
      <c r="S1323" s="3">
        <f>P1323*Assumptions!$B$3/100</f>
        <v/>
      </c>
      <c r="T1323" s="14">
        <f>R1323-S1323</f>
        <v/>
      </c>
      <c r="U1323" s="14">
        <f>L1323*G1323</f>
        <v/>
      </c>
    </row>
    <row r="1324">
      <c r="A1324" s="12" t="inlineStr">
        <is>
          <t>PO-2021-1322</t>
        </is>
      </c>
      <c r="B1324" s="26" t="n">
        <v>44495</v>
      </c>
      <c r="C1324" s="12" t="inlineStr">
        <is>
          <t>VS10</t>
        </is>
      </c>
      <c r="D1324" s="12" t="inlineStr">
        <is>
          <t>Structural Steel</t>
        </is>
      </c>
      <c r="E1324" s="12" t="inlineStr">
        <is>
          <t>N</t>
        </is>
      </c>
      <c r="F1324" s="12" t="n">
        <v>16.13</v>
      </c>
      <c r="G1324" s="17" t="n">
        <v>70717.52</v>
      </c>
      <c r="H1324" s="26" t="n">
        <v>44503</v>
      </c>
      <c r="I1324" s="26" t="n">
        <v>44506</v>
      </c>
      <c r="J1324" s="12" t="n">
        <v>15.97</v>
      </c>
      <c r="K1324" s="17" t="n">
        <v>1140673.6</v>
      </c>
      <c r="L1324" s="12" t="n">
        <v>0</v>
      </c>
      <c r="M1324" s="12" t="n">
        <v>25</v>
      </c>
      <c r="N1324" s="27">
        <f>F1324-J1324</f>
        <v/>
      </c>
      <c r="O1324" s="16">
        <f>I1324-H1324</f>
        <v/>
      </c>
      <c r="P1324" s="14">
        <f>F1324*G1324</f>
        <v/>
      </c>
      <c r="Q1324" s="14">
        <f>J1324*G1324</f>
        <v/>
      </c>
      <c r="R1324" s="14">
        <f>K1324-Q1324</f>
        <v/>
      </c>
      <c r="S1324" s="3">
        <f>P1324*Assumptions!$B$3/100</f>
        <v/>
      </c>
      <c r="T1324" s="14">
        <f>R1324-S1324</f>
        <v/>
      </c>
      <c r="U1324" s="14">
        <f>L1324*G1324</f>
        <v/>
      </c>
    </row>
    <row r="1325">
      <c r="A1325" s="12" t="inlineStr">
        <is>
          <t>PO-2021-1323</t>
        </is>
      </c>
      <c r="B1325" s="26" t="n">
        <v>44213</v>
      </c>
      <c r="C1325" s="12" t="inlineStr">
        <is>
          <t>VS34</t>
        </is>
      </c>
      <c r="D1325" s="12" t="inlineStr">
        <is>
          <t>Square/Rect Tubes</t>
        </is>
      </c>
      <c r="E1325" s="12" t="inlineStr">
        <is>
          <t>N</t>
        </is>
      </c>
      <c r="F1325" s="12" t="n">
        <v>3.81</v>
      </c>
      <c r="G1325" s="17" t="n">
        <v>83033.09</v>
      </c>
      <c r="H1325" s="26" t="n">
        <v>44224</v>
      </c>
      <c r="I1325" s="26" t="n">
        <v>44226</v>
      </c>
      <c r="J1325" s="12" t="n">
        <v>3.78</v>
      </c>
      <c r="K1325" s="17" t="n">
        <v>316356.07</v>
      </c>
      <c r="L1325" s="12" t="n">
        <v>0</v>
      </c>
      <c r="M1325" s="12" t="n">
        <v>0</v>
      </c>
      <c r="N1325" s="27">
        <f>F1325-J1325</f>
        <v/>
      </c>
      <c r="O1325" s="16">
        <f>I1325-H1325</f>
        <v/>
      </c>
      <c r="P1325" s="14">
        <f>F1325*G1325</f>
        <v/>
      </c>
      <c r="Q1325" s="14">
        <f>J1325*G1325</f>
        <v/>
      </c>
      <c r="R1325" s="14">
        <f>K1325-Q1325</f>
        <v/>
      </c>
      <c r="S1325" s="3">
        <f>P1325*Assumptions!$B$3/100</f>
        <v/>
      </c>
      <c r="T1325" s="14">
        <f>R1325-S1325</f>
        <v/>
      </c>
      <c r="U1325" s="14">
        <f>L1325*G1325</f>
        <v/>
      </c>
    </row>
    <row r="1326">
      <c r="A1326" s="12" t="inlineStr">
        <is>
          <t>PO-2021-1324</t>
        </is>
      </c>
      <c r="B1326" s="26" t="n">
        <v>44308</v>
      </c>
      <c r="C1326" s="12" t="inlineStr">
        <is>
          <t>VS28</t>
        </is>
      </c>
      <c r="D1326" s="12" t="inlineStr">
        <is>
          <t>Angles &amp; Channels</t>
        </is>
      </c>
      <c r="E1326" s="12" t="inlineStr">
        <is>
          <t>N</t>
        </is>
      </c>
      <c r="F1326" s="12" t="n">
        <v>10.57</v>
      </c>
      <c r="G1326" s="17" t="n">
        <v>60027.89</v>
      </c>
      <c r="H1326" s="26" t="n">
        <v>44314</v>
      </c>
      <c r="I1326" s="26" t="n">
        <v>44314</v>
      </c>
      <c r="J1326" s="12" t="n">
        <v>10.48</v>
      </c>
      <c r="K1326" s="17" t="n">
        <v>634494.8</v>
      </c>
      <c r="L1326" s="12" t="n">
        <v>0</v>
      </c>
      <c r="M1326" s="12" t="n">
        <v>5</v>
      </c>
      <c r="N1326" s="27">
        <f>F1326-J1326</f>
        <v/>
      </c>
      <c r="O1326" s="16">
        <f>I1326-H1326</f>
        <v/>
      </c>
      <c r="P1326" s="14">
        <f>F1326*G1326</f>
        <v/>
      </c>
      <c r="Q1326" s="14">
        <f>J1326*G1326</f>
        <v/>
      </c>
      <c r="R1326" s="14">
        <f>K1326-Q1326</f>
        <v/>
      </c>
      <c r="S1326" s="3">
        <f>P1326*Assumptions!$B$3/100</f>
        <v/>
      </c>
      <c r="T1326" s="14">
        <f>R1326-S1326</f>
        <v/>
      </c>
      <c r="U1326" s="14">
        <f>L1326*G1326</f>
        <v/>
      </c>
    </row>
    <row r="1327">
      <c r="A1327" s="12" t="inlineStr">
        <is>
          <t>PO-2021-1325</t>
        </is>
      </c>
      <c r="B1327" s="26" t="n">
        <v>44337</v>
      </c>
      <c r="C1327" s="12" t="inlineStr">
        <is>
          <t>VS22</t>
        </is>
      </c>
      <c r="D1327" s="12" t="inlineStr">
        <is>
          <t>GI Sheets</t>
        </is>
      </c>
      <c r="E1327" s="12" t="inlineStr">
        <is>
          <t>N</t>
        </is>
      </c>
      <c r="F1327" s="12" t="n">
        <v>33.73</v>
      </c>
      <c r="G1327" s="17" t="n">
        <v>97108.62</v>
      </c>
      <c r="H1327" s="26" t="n">
        <v>44347</v>
      </c>
      <c r="I1327" s="26" t="n">
        <v>44350</v>
      </c>
      <c r="J1327" s="12" t="n">
        <v>33.46</v>
      </c>
      <c r="K1327" s="17" t="n">
        <v>3275473.75</v>
      </c>
      <c r="L1327" s="12" t="n">
        <v>0</v>
      </c>
      <c r="M1327" s="12" t="n">
        <v>17</v>
      </c>
      <c r="N1327" s="27">
        <f>F1327-J1327</f>
        <v/>
      </c>
      <c r="O1327" s="16">
        <f>I1327-H1327</f>
        <v/>
      </c>
      <c r="P1327" s="14">
        <f>F1327*G1327</f>
        <v/>
      </c>
      <c r="Q1327" s="14">
        <f>J1327*G1327</f>
        <v/>
      </c>
      <c r="R1327" s="14">
        <f>K1327-Q1327</f>
        <v/>
      </c>
      <c r="S1327" s="3">
        <f>P1327*Assumptions!$B$3/100</f>
        <v/>
      </c>
      <c r="T1327" s="14">
        <f>R1327-S1327</f>
        <v/>
      </c>
      <c r="U1327" s="14">
        <f>L1327*G1327</f>
        <v/>
      </c>
    </row>
    <row r="1328">
      <c r="A1328" s="12" t="inlineStr">
        <is>
          <t>PO-2021-1326</t>
        </is>
      </c>
      <c r="B1328" s="26" t="n">
        <v>44875</v>
      </c>
      <c r="C1328" s="12" t="inlineStr">
        <is>
          <t>VS22</t>
        </is>
      </c>
      <c r="D1328" s="12" t="inlineStr">
        <is>
          <t>SS Sheets</t>
        </is>
      </c>
      <c r="E1328" s="12" t="inlineStr">
        <is>
          <t>N</t>
        </is>
      </c>
      <c r="F1328" s="12" t="n">
        <v>21.52</v>
      </c>
      <c r="G1328" s="17" t="n">
        <v>57171</v>
      </c>
      <c r="H1328" s="26" t="n">
        <v>44885</v>
      </c>
      <c r="I1328" s="26" t="n">
        <v>44885</v>
      </c>
      <c r="J1328" s="12" t="n">
        <v>21.33</v>
      </c>
      <c r="K1328" s="17" t="n">
        <v>1230319.92</v>
      </c>
      <c r="L1328" s="12" t="n">
        <v>0</v>
      </c>
      <c r="M1328" s="12" t="n">
        <v>0</v>
      </c>
      <c r="N1328" s="27">
        <f>F1328-J1328</f>
        <v/>
      </c>
      <c r="O1328" s="16">
        <f>I1328-H1328</f>
        <v/>
      </c>
      <c r="P1328" s="14">
        <f>F1328*G1328</f>
        <v/>
      </c>
      <c r="Q1328" s="14">
        <f>J1328*G1328</f>
        <v/>
      </c>
      <c r="R1328" s="14">
        <f>K1328-Q1328</f>
        <v/>
      </c>
      <c r="S1328" s="3">
        <f>P1328*Assumptions!$B$3/100</f>
        <v/>
      </c>
      <c r="T1328" s="14">
        <f>R1328-S1328</f>
        <v/>
      </c>
      <c r="U1328" s="14">
        <f>L1328*G1328</f>
        <v/>
      </c>
    </row>
    <row r="1329">
      <c r="A1329" s="12" t="inlineStr">
        <is>
          <t>PO-2021-1327</t>
        </is>
      </c>
      <c r="B1329" s="26" t="n">
        <v>44283</v>
      </c>
      <c r="C1329" s="12" t="inlineStr">
        <is>
          <t>VS32</t>
        </is>
      </c>
      <c r="D1329" s="12" t="inlineStr">
        <is>
          <t>HR Coils</t>
        </is>
      </c>
      <c r="E1329" s="12" t="inlineStr">
        <is>
          <t>N</t>
        </is>
      </c>
      <c r="F1329" s="12" t="n">
        <v>46.08</v>
      </c>
      <c r="G1329" s="17" t="n">
        <v>92907.53</v>
      </c>
      <c r="H1329" s="26" t="n">
        <v>44297</v>
      </c>
      <c r="I1329" s="26" t="n">
        <v>44297</v>
      </c>
      <c r="J1329" s="12" t="n">
        <v>45.7</v>
      </c>
      <c r="K1329" s="17" t="n">
        <v>4281178.98</v>
      </c>
      <c r="L1329" s="12" t="n">
        <v>0</v>
      </c>
      <c r="M1329" s="12" t="n">
        <v>0</v>
      </c>
      <c r="N1329" s="27">
        <f>F1329-J1329</f>
        <v/>
      </c>
      <c r="O1329" s="16">
        <f>I1329-H1329</f>
        <v/>
      </c>
      <c r="P1329" s="14">
        <f>F1329*G1329</f>
        <v/>
      </c>
      <c r="Q1329" s="14">
        <f>J1329*G1329</f>
        <v/>
      </c>
      <c r="R1329" s="14">
        <f>K1329-Q1329</f>
        <v/>
      </c>
      <c r="S1329" s="3">
        <f>P1329*Assumptions!$B$3/100</f>
        <v/>
      </c>
      <c r="T1329" s="14">
        <f>R1329-S1329</f>
        <v/>
      </c>
      <c r="U1329" s="14">
        <f>L1329*G1329</f>
        <v/>
      </c>
    </row>
    <row r="1330">
      <c r="A1330" s="12" t="inlineStr">
        <is>
          <t>PO-2021-1328</t>
        </is>
      </c>
      <c r="B1330" s="26" t="n">
        <v>44668</v>
      </c>
      <c r="C1330" s="12" t="inlineStr">
        <is>
          <t>VS30</t>
        </is>
      </c>
      <c r="D1330" s="12" t="inlineStr">
        <is>
          <t>GI Sheets</t>
        </is>
      </c>
      <c r="E1330" s="12" t="inlineStr">
        <is>
          <t>Y</t>
        </is>
      </c>
      <c r="F1330" s="12" t="n">
        <v>12.71</v>
      </c>
      <c r="G1330" s="17" t="n">
        <v>100093.96</v>
      </c>
      <c r="H1330" s="26" t="n">
        <v>44676</v>
      </c>
      <c r="I1330" s="26" t="n">
        <v>44678</v>
      </c>
      <c r="J1330" s="12" t="n">
        <v>12.69</v>
      </c>
      <c r="K1330" s="17" t="n">
        <v>1272194.23</v>
      </c>
      <c r="L1330" s="12" t="n">
        <v>0</v>
      </c>
      <c r="M1330" s="12" t="n">
        <v>0</v>
      </c>
      <c r="N1330" s="27">
        <f>F1330-J1330</f>
        <v/>
      </c>
      <c r="O1330" s="16">
        <f>I1330-H1330</f>
        <v/>
      </c>
      <c r="P1330" s="14">
        <f>F1330*G1330</f>
        <v/>
      </c>
      <c r="Q1330" s="14">
        <f>J1330*G1330</f>
        <v/>
      </c>
      <c r="R1330" s="14">
        <f>K1330-Q1330</f>
        <v/>
      </c>
      <c r="S1330" s="3">
        <f>P1330*Assumptions!$B$3/100</f>
        <v/>
      </c>
      <c r="T1330" s="14">
        <f>R1330-S1330</f>
        <v/>
      </c>
      <c r="U1330" s="14">
        <f>L1330*G1330</f>
        <v/>
      </c>
    </row>
    <row r="1331">
      <c r="A1331" s="12" t="inlineStr">
        <is>
          <t>PO-2021-1329</t>
        </is>
      </c>
      <c r="B1331" s="26" t="n">
        <v>44966</v>
      </c>
      <c r="C1331" s="12" t="inlineStr">
        <is>
          <t>VS14</t>
        </is>
      </c>
      <c r="D1331" s="12" t="inlineStr">
        <is>
          <t>MS Rods</t>
        </is>
      </c>
      <c r="E1331" s="12" t="inlineStr">
        <is>
          <t>N</t>
        </is>
      </c>
      <c r="F1331" s="12" t="n">
        <v>10.03</v>
      </c>
      <c r="G1331" s="17" t="n">
        <v>119240.85</v>
      </c>
      <c r="H1331" s="26" t="n">
        <v>44974</v>
      </c>
      <c r="I1331" s="26" t="n">
        <v>44974</v>
      </c>
      <c r="J1331" s="12" t="n">
        <v>10.02</v>
      </c>
      <c r="K1331" s="17" t="n">
        <v>1195985.73</v>
      </c>
      <c r="L1331" s="12" t="n">
        <v>0</v>
      </c>
      <c r="M1331" s="12" t="n">
        <v>1</v>
      </c>
      <c r="N1331" s="27">
        <f>F1331-J1331</f>
        <v/>
      </c>
      <c r="O1331" s="16">
        <f>I1331-H1331</f>
        <v/>
      </c>
      <c r="P1331" s="14">
        <f>F1331*G1331</f>
        <v/>
      </c>
      <c r="Q1331" s="14">
        <f>J1331*G1331</f>
        <v/>
      </c>
      <c r="R1331" s="14">
        <f>K1331-Q1331</f>
        <v/>
      </c>
      <c r="S1331" s="3">
        <f>P1331*Assumptions!$B$3/100</f>
        <v/>
      </c>
      <c r="T1331" s="14">
        <f>R1331-S1331</f>
        <v/>
      </c>
      <c r="U1331" s="14">
        <f>L1331*G1331</f>
        <v/>
      </c>
    </row>
    <row r="1332">
      <c r="A1332" s="12" t="inlineStr">
        <is>
          <t>PO-2021-1330</t>
        </is>
      </c>
      <c r="B1332" s="26" t="n">
        <v>44217</v>
      </c>
      <c r="C1332" s="12" t="inlineStr">
        <is>
          <t>VS05</t>
        </is>
      </c>
      <c r="D1332" s="12" t="inlineStr">
        <is>
          <t>Angles &amp; Channels</t>
        </is>
      </c>
      <c r="E1332" s="12" t="inlineStr">
        <is>
          <t>N</t>
        </is>
      </c>
      <c r="F1332" s="12" t="n">
        <v>2.47</v>
      </c>
      <c r="G1332" s="17" t="n">
        <v>53639.2</v>
      </c>
      <c r="H1332" s="26" t="n">
        <v>44224</v>
      </c>
      <c r="I1332" s="26" t="n">
        <v>44224</v>
      </c>
      <c r="J1332" s="12" t="n">
        <v>2.45</v>
      </c>
      <c r="K1332" s="17" t="n">
        <v>132488.82</v>
      </c>
      <c r="L1332" s="12" t="n">
        <v>0</v>
      </c>
      <c r="M1332" s="12" t="n">
        <v>0</v>
      </c>
      <c r="N1332" s="27">
        <f>F1332-J1332</f>
        <v/>
      </c>
      <c r="O1332" s="16">
        <f>I1332-H1332</f>
        <v/>
      </c>
      <c r="P1332" s="14">
        <f>F1332*G1332</f>
        <v/>
      </c>
      <c r="Q1332" s="14">
        <f>J1332*G1332</f>
        <v/>
      </c>
      <c r="R1332" s="14">
        <f>K1332-Q1332</f>
        <v/>
      </c>
      <c r="S1332" s="3">
        <f>P1332*Assumptions!$B$3/100</f>
        <v/>
      </c>
      <c r="T1332" s="14">
        <f>R1332-S1332</f>
        <v/>
      </c>
      <c r="U1332" s="14">
        <f>L1332*G1332</f>
        <v/>
      </c>
    </row>
    <row r="1333">
      <c r="A1333" s="12" t="inlineStr">
        <is>
          <t>PO-2021-1331</t>
        </is>
      </c>
      <c r="B1333" s="26" t="n">
        <v>45098</v>
      </c>
      <c r="C1333" s="12" t="inlineStr">
        <is>
          <t>VS13</t>
        </is>
      </c>
      <c r="D1333" s="12" t="inlineStr">
        <is>
          <t>Angles &amp; Channels</t>
        </is>
      </c>
      <c r="E1333" s="12" t="inlineStr">
        <is>
          <t>N</t>
        </is>
      </c>
      <c r="F1333" s="12" t="n">
        <v>3.15</v>
      </c>
      <c r="G1333" s="17" t="n">
        <v>47226.42</v>
      </c>
      <c r="H1333" s="26" t="n">
        <v>45104</v>
      </c>
      <c r="I1333" s="26" t="n">
        <v>45104</v>
      </c>
      <c r="J1333" s="12" t="n">
        <v>3.14</v>
      </c>
      <c r="K1333" s="17" t="n">
        <v>148763.22</v>
      </c>
      <c r="L1333" s="12" t="n">
        <v>0</v>
      </c>
      <c r="M1333" s="12" t="n">
        <v>3</v>
      </c>
      <c r="N1333" s="27">
        <f>F1333-J1333</f>
        <v/>
      </c>
      <c r="O1333" s="16">
        <f>I1333-H1333</f>
        <v/>
      </c>
      <c r="P1333" s="14">
        <f>F1333*G1333</f>
        <v/>
      </c>
      <c r="Q1333" s="14">
        <f>J1333*G1333</f>
        <v/>
      </c>
      <c r="R1333" s="14">
        <f>K1333-Q1333</f>
        <v/>
      </c>
      <c r="S1333" s="3">
        <f>P1333*Assumptions!$B$3/100</f>
        <v/>
      </c>
      <c r="T1333" s="14">
        <f>R1333-S1333</f>
        <v/>
      </c>
      <c r="U1333" s="14">
        <f>L1333*G1333</f>
        <v/>
      </c>
    </row>
    <row r="1334">
      <c r="A1334" s="12" t="inlineStr">
        <is>
          <t>PO-2021-1332</t>
        </is>
      </c>
      <c r="B1334" s="26" t="n">
        <v>44778</v>
      </c>
      <c r="C1334" s="12" t="inlineStr">
        <is>
          <t>VS12</t>
        </is>
      </c>
      <c r="D1334" s="12" t="inlineStr">
        <is>
          <t>HR Coils</t>
        </is>
      </c>
      <c r="E1334" s="12" t="inlineStr">
        <is>
          <t>Y</t>
        </is>
      </c>
      <c r="F1334" s="12" t="n">
        <v>44.38</v>
      </c>
      <c r="G1334" s="17" t="n">
        <v>102869.26</v>
      </c>
      <c r="H1334" s="26" t="n">
        <v>44786</v>
      </c>
      <c r="I1334" s="26" t="n">
        <v>44789</v>
      </c>
      <c r="J1334" s="12" t="n">
        <v>43.38</v>
      </c>
      <c r="K1334" s="17" t="n">
        <v>4565337.76</v>
      </c>
      <c r="L1334" s="12" t="n">
        <v>1.36</v>
      </c>
      <c r="M1334" s="12" t="n">
        <v>0</v>
      </c>
      <c r="N1334" s="27">
        <f>F1334-J1334</f>
        <v/>
      </c>
      <c r="O1334" s="16">
        <f>I1334-H1334</f>
        <v/>
      </c>
      <c r="P1334" s="14">
        <f>F1334*G1334</f>
        <v/>
      </c>
      <c r="Q1334" s="14">
        <f>J1334*G1334</f>
        <v/>
      </c>
      <c r="R1334" s="14">
        <f>K1334-Q1334</f>
        <v/>
      </c>
      <c r="S1334" s="3">
        <f>P1334*Assumptions!$B$3/100</f>
        <v/>
      </c>
      <c r="T1334" s="14">
        <f>R1334-S1334</f>
        <v/>
      </c>
      <c r="U1334" s="14">
        <f>L1334*G1334</f>
        <v/>
      </c>
    </row>
    <row r="1335">
      <c r="A1335" s="12" t="inlineStr">
        <is>
          <t>PO-2021-1333</t>
        </is>
      </c>
      <c r="B1335" s="26" t="n">
        <v>44700</v>
      </c>
      <c r="C1335" s="12" t="inlineStr">
        <is>
          <t>VS12</t>
        </is>
      </c>
      <c r="D1335" s="12" t="inlineStr">
        <is>
          <t>GI Sheets</t>
        </is>
      </c>
      <c r="E1335" s="12" t="inlineStr">
        <is>
          <t>N</t>
        </is>
      </c>
      <c r="F1335" s="12" t="n">
        <v>2.05</v>
      </c>
      <c r="G1335" s="17" t="n">
        <v>112544.75</v>
      </c>
      <c r="H1335" s="26" t="n">
        <v>44704</v>
      </c>
      <c r="I1335" s="26" t="n">
        <v>44706</v>
      </c>
      <c r="J1335" s="12" t="n">
        <v>2</v>
      </c>
      <c r="K1335" s="17" t="n">
        <v>230716.74</v>
      </c>
      <c r="L1335" s="12" t="n">
        <v>0.03</v>
      </c>
      <c r="M1335" s="12" t="n">
        <v>0</v>
      </c>
      <c r="N1335" s="27">
        <f>F1335-J1335</f>
        <v/>
      </c>
      <c r="O1335" s="16">
        <f>I1335-H1335</f>
        <v/>
      </c>
      <c r="P1335" s="14">
        <f>F1335*G1335</f>
        <v/>
      </c>
      <c r="Q1335" s="14">
        <f>J1335*G1335</f>
        <v/>
      </c>
      <c r="R1335" s="14">
        <f>K1335-Q1335</f>
        <v/>
      </c>
      <c r="S1335" s="3">
        <f>P1335*Assumptions!$B$3/100</f>
        <v/>
      </c>
      <c r="T1335" s="14">
        <f>R1335-S1335</f>
        <v/>
      </c>
      <c r="U1335" s="14">
        <f>L1335*G1335</f>
        <v/>
      </c>
    </row>
    <row r="1336">
      <c r="A1336" s="12" t="inlineStr">
        <is>
          <t>PO-2021-1334</t>
        </is>
      </c>
      <c r="B1336" s="26" t="n">
        <v>44239</v>
      </c>
      <c r="C1336" s="12" t="inlineStr">
        <is>
          <t>VS09</t>
        </is>
      </c>
      <c r="D1336" s="12" t="inlineStr">
        <is>
          <t>MS Rods</t>
        </is>
      </c>
      <c r="E1336" s="12" t="inlineStr">
        <is>
          <t>N</t>
        </is>
      </c>
      <c r="F1336" s="12" t="n">
        <v>33.09</v>
      </c>
      <c r="G1336" s="17" t="n">
        <v>111375.86</v>
      </c>
      <c r="H1336" s="26" t="n">
        <v>44247</v>
      </c>
      <c r="I1336" s="26" t="n">
        <v>44247</v>
      </c>
      <c r="J1336" s="12" t="n">
        <v>32.98</v>
      </c>
      <c r="K1336" s="17" t="n">
        <v>3685427.21</v>
      </c>
      <c r="L1336" s="12" t="n">
        <v>0</v>
      </c>
      <c r="M1336" s="12" t="n">
        <v>0</v>
      </c>
      <c r="N1336" s="27">
        <f>F1336-J1336</f>
        <v/>
      </c>
      <c r="O1336" s="16">
        <f>I1336-H1336</f>
        <v/>
      </c>
      <c r="P1336" s="14">
        <f>F1336*G1336</f>
        <v/>
      </c>
      <c r="Q1336" s="14">
        <f>J1336*G1336</f>
        <v/>
      </c>
      <c r="R1336" s="14">
        <f>K1336-Q1336</f>
        <v/>
      </c>
      <c r="S1336" s="3">
        <f>P1336*Assumptions!$B$3/100</f>
        <v/>
      </c>
      <c r="T1336" s="14">
        <f>R1336-S1336</f>
        <v/>
      </c>
      <c r="U1336" s="14">
        <f>L1336*G1336</f>
        <v/>
      </c>
    </row>
    <row r="1337">
      <c r="A1337" s="12" t="inlineStr">
        <is>
          <t>PO-2021-1335</t>
        </is>
      </c>
      <c r="B1337" s="26" t="n">
        <v>44627</v>
      </c>
      <c r="C1337" s="12" t="inlineStr">
        <is>
          <t>VS20</t>
        </is>
      </c>
      <c r="D1337" s="12" t="inlineStr">
        <is>
          <t>Fasteners &amp; Fittings</t>
        </is>
      </c>
      <c r="E1337" s="12" t="inlineStr">
        <is>
          <t>Y</t>
        </is>
      </c>
      <c r="F1337" s="12" t="n">
        <v>12.77</v>
      </c>
      <c r="G1337" s="17" t="n">
        <v>105711.58</v>
      </c>
      <c r="H1337" s="26" t="n">
        <v>44640</v>
      </c>
      <c r="I1337" s="26" t="n">
        <v>44641</v>
      </c>
      <c r="J1337" s="12" t="n">
        <v>12.75</v>
      </c>
      <c r="K1337" s="17" t="n">
        <v>1349936.88</v>
      </c>
      <c r="L1337" s="12" t="n">
        <v>0</v>
      </c>
      <c r="M1337" s="12" t="n">
        <v>3</v>
      </c>
      <c r="N1337" s="27">
        <f>F1337-J1337</f>
        <v/>
      </c>
      <c r="O1337" s="16">
        <f>I1337-H1337</f>
        <v/>
      </c>
      <c r="P1337" s="14">
        <f>F1337*G1337</f>
        <v/>
      </c>
      <c r="Q1337" s="14">
        <f>J1337*G1337</f>
        <v/>
      </c>
      <c r="R1337" s="14">
        <f>K1337-Q1337</f>
        <v/>
      </c>
      <c r="S1337" s="3">
        <f>P1337*Assumptions!$B$3/100</f>
        <v/>
      </c>
      <c r="T1337" s="14">
        <f>R1337-S1337</f>
        <v/>
      </c>
      <c r="U1337" s="14">
        <f>L1337*G1337</f>
        <v/>
      </c>
    </row>
    <row r="1338">
      <c r="A1338" s="12" t="inlineStr">
        <is>
          <t>PO-2021-1336</t>
        </is>
      </c>
      <c r="B1338" s="26" t="n">
        <v>44547</v>
      </c>
      <c r="C1338" s="12" t="inlineStr">
        <is>
          <t>VS34</t>
        </is>
      </c>
      <c r="D1338" s="12" t="inlineStr">
        <is>
          <t>GI Wire</t>
        </is>
      </c>
      <c r="E1338" s="12" t="inlineStr">
        <is>
          <t>Y</t>
        </is>
      </c>
      <c r="F1338" s="12" t="n">
        <v>44.04</v>
      </c>
      <c r="G1338" s="17" t="n">
        <v>49903.31</v>
      </c>
      <c r="H1338" s="26" t="n">
        <v>44552</v>
      </c>
      <c r="I1338" s="26" t="n">
        <v>44555</v>
      </c>
      <c r="J1338" s="12" t="n">
        <v>43.83</v>
      </c>
      <c r="K1338" s="17" t="n">
        <v>2197741.77</v>
      </c>
      <c r="L1338" s="12" t="n">
        <v>0</v>
      </c>
      <c r="M1338" s="12" t="n">
        <v>0</v>
      </c>
      <c r="N1338" s="27">
        <f>F1338-J1338</f>
        <v/>
      </c>
      <c r="O1338" s="16">
        <f>I1338-H1338</f>
        <v/>
      </c>
      <c r="P1338" s="14">
        <f>F1338*G1338</f>
        <v/>
      </c>
      <c r="Q1338" s="14">
        <f>J1338*G1338</f>
        <v/>
      </c>
      <c r="R1338" s="14">
        <f>K1338-Q1338</f>
        <v/>
      </c>
      <c r="S1338" s="3">
        <f>P1338*Assumptions!$B$3/100</f>
        <v/>
      </c>
      <c r="T1338" s="14">
        <f>R1338-S1338</f>
        <v/>
      </c>
      <c r="U1338" s="14">
        <f>L1338*G1338</f>
        <v/>
      </c>
    </row>
    <row r="1339">
      <c r="A1339" s="12" t="inlineStr">
        <is>
          <t>PO-2021-1337</t>
        </is>
      </c>
      <c r="B1339" s="26" t="n">
        <v>44464</v>
      </c>
      <c r="C1339" s="12" t="inlineStr">
        <is>
          <t>VS13</t>
        </is>
      </c>
      <c r="D1339" s="12" t="inlineStr">
        <is>
          <t>GI Sheets</t>
        </is>
      </c>
      <c r="E1339" s="12" t="inlineStr">
        <is>
          <t>N</t>
        </is>
      </c>
      <c r="F1339" s="12" t="n">
        <v>27.1</v>
      </c>
      <c r="G1339" s="17" t="n">
        <v>97076.53999999999</v>
      </c>
      <c r="H1339" s="26" t="n">
        <v>44472</v>
      </c>
      <c r="I1339" s="26" t="n">
        <v>44475</v>
      </c>
      <c r="J1339" s="12" t="n">
        <v>27.04</v>
      </c>
      <c r="K1339" s="17" t="n">
        <v>2630774.23</v>
      </c>
      <c r="L1339" s="12" t="n">
        <v>0</v>
      </c>
      <c r="M1339" s="12" t="n">
        <v>0</v>
      </c>
      <c r="N1339" s="27">
        <f>F1339-J1339</f>
        <v/>
      </c>
      <c r="O1339" s="16">
        <f>I1339-H1339</f>
        <v/>
      </c>
      <c r="P1339" s="14">
        <f>F1339*G1339</f>
        <v/>
      </c>
      <c r="Q1339" s="14">
        <f>J1339*G1339</f>
        <v/>
      </c>
      <c r="R1339" s="14">
        <f>K1339-Q1339</f>
        <v/>
      </c>
      <c r="S1339" s="3">
        <f>P1339*Assumptions!$B$3/100</f>
        <v/>
      </c>
      <c r="T1339" s="14">
        <f>R1339-S1339</f>
        <v/>
      </c>
      <c r="U1339" s="14">
        <f>L1339*G1339</f>
        <v/>
      </c>
    </row>
    <row r="1340">
      <c r="A1340" s="12" t="inlineStr">
        <is>
          <t>PO-2021-1338</t>
        </is>
      </c>
      <c r="B1340" s="26" t="n">
        <v>45076</v>
      </c>
      <c r="C1340" s="12" t="inlineStr">
        <is>
          <t>VS16</t>
        </is>
      </c>
      <c r="D1340" s="12" t="inlineStr">
        <is>
          <t>GI Pipes</t>
        </is>
      </c>
      <c r="E1340" s="12" t="inlineStr">
        <is>
          <t>N</t>
        </is>
      </c>
      <c r="F1340" s="12" t="n">
        <v>38.39</v>
      </c>
      <c r="G1340" s="17" t="n">
        <v>89049.44</v>
      </c>
      <c r="H1340" s="26" t="n">
        <v>45087</v>
      </c>
      <c r="I1340" s="26" t="n">
        <v>45087</v>
      </c>
      <c r="J1340" s="12" t="n">
        <v>38.19</v>
      </c>
      <c r="K1340" s="17" t="n">
        <v>3418608</v>
      </c>
      <c r="L1340" s="12" t="n">
        <v>0</v>
      </c>
      <c r="M1340" s="12" t="n">
        <v>0</v>
      </c>
      <c r="N1340" s="27">
        <f>F1340-J1340</f>
        <v/>
      </c>
      <c r="O1340" s="16">
        <f>I1340-H1340</f>
        <v/>
      </c>
      <c r="P1340" s="14">
        <f>F1340*G1340</f>
        <v/>
      </c>
      <c r="Q1340" s="14">
        <f>J1340*G1340</f>
        <v/>
      </c>
      <c r="R1340" s="14">
        <f>K1340-Q1340</f>
        <v/>
      </c>
      <c r="S1340" s="3">
        <f>P1340*Assumptions!$B$3/100</f>
        <v/>
      </c>
      <c r="T1340" s="14">
        <f>R1340-S1340</f>
        <v/>
      </c>
      <c r="U1340" s="14">
        <f>L1340*G1340</f>
        <v/>
      </c>
    </row>
    <row r="1341">
      <c r="A1341" s="12" t="inlineStr">
        <is>
          <t>PO-2021-1339</t>
        </is>
      </c>
      <c r="B1341" s="26" t="n">
        <v>44799</v>
      </c>
      <c r="C1341" s="12" t="inlineStr">
        <is>
          <t>VS10</t>
        </is>
      </c>
      <c r="D1341" s="12" t="inlineStr">
        <is>
          <t>MS Flats</t>
        </is>
      </c>
      <c r="E1341" s="12" t="inlineStr">
        <is>
          <t>N</t>
        </is>
      </c>
      <c r="F1341" s="12" t="n">
        <v>13.11</v>
      </c>
      <c r="G1341" s="17" t="n">
        <v>92209.44</v>
      </c>
      <c r="H1341" s="26" t="n">
        <v>44806</v>
      </c>
      <c r="I1341" s="26" t="n">
        <v>44806</v>
      </c>
      <c r="J1341" s="12" t="n">
        <v>13.06</v>
      </c>
      <c r="K1341" s="17" t="n">
        <v>1208865.76</v>
      </c>
      <c r="L1341" s="12" t="n">
        <v>0</v>
      </c>
      <c r="M1341" s="12" t="n">
        <v>6</v>
      </c>
      <c r="N1341" s="27">
        <f>F1341-J1341</f>
        <v/>
      </c>
      <c r="O1341" s="16">
        <f>I1341-H1341</f>
        <v/>
      </c>
      <c r="P1341" s="14">
        <f>F1341*G1341</f>
        <v/>
      </c>
      <c r="Q1341" s="14">
        <f>J1341*G1341</f>
        <v/>
      </c>
      <c r="R1341" s="14">
        <f>K1341-Q1341</f>
        <v/>
      </c>
      <c r="S1341" s="3">
        <f>P1341*Assumptions!$B$3/100</f>
        <v/>
      </c>
      <c r="T1341" s="14">
        <f>R1341-S1341</f>
        <v/>
      </c>
      <c r="U1341" s="14">
        <f>L1341*G1341</f>
        <v/>
      </c>
    </row>
    <row r="1342">
      <c r="A1342" s="12" t="inlineStr">
        <is>
          <t>PO-2021-1340</t>
        </is>
      </c>
      <c r="B1342" s="26" t="n">
        <v>44455</v>
      </c>
      <c r="C1342" s="12" t="inlineStr">
        <is>
          <t>VS33</t>
        </is>
      </c>
      <c r="D1342" s="12" t="inlineStr">
        <is>
          <t>Structural Steel</t>
        </is>
      </c>
      <c r="E1342" s="12" t="inlineStr">
        <is>
          <t>N</t>
        </is>
      </c>
      <c r="F1342" s="12" t="n">
        <v>11.25</v>
      </c>
      <c r="G1342" s="17" t="n">
        <v>51105.58</v>
      </c>
      <c r="H1342" s="26" t="n">
        <v>44465</v>
      </c>
      <c r="I1342" s="26" t="n">
        <v>44466</v>
      </c>
      <c r="J1342" s="12" t="n">
        <v>11.2</v>
      </c>
      <c r="K1342" s="17" t="n">
        <v>574937.78</v>
      </c>
      <c r="L1342" s="12" t="n">
        <v>0</v>
      </c>
      <c r="M1342" s="12" t="n">
        <v>0</v>
      </c>
      <c r="N1342" s="27">
        <f>F1342-J1342</f>
        <v/>
      </c>
      <c r="O1342" s="16">
        <f>I1342-H1342</f>
        <v/>
      </c>
      <c r="P1342" s="14">
        <f>F1342*G1342</f>
        <v/>
      </c>
      <c r="Q1342" s="14">
        <f>J1342*G1342</f>
        <v/>
      </c>
      <c r="R1342" s="14">
        <f>K1342-Q1342</f>
        <v/>
      </c>
      <c r="S1342" s="3">
        <f>P1342*Assumptions!$B$3/100</f>
        <v/>
      </c>
      <c r="T1342" s="14">
        <f>R1342-S1342</f>
        <v/>
      </c>
      <c r="U1342" s="14">
        <f>L1342*G1342</f>
        <v/>
      </c>
    </row>
    <row r="1343">
      <c r="A1343" s="12" t="inlineStr">
        <is>
          <t>PO-2021-1341</t>
        </is>
      </c>
      <c r="B1343" s="26" t="n">
        <v>44329</v>
      </c>
      <c r="C1343" s="12" t="inlineStr">
        <is>
          <t>VS11</t>
        </is>
      </c>
      <c r="D1343" s="12" t="inlineStr">
        <is>
          <t>Hex Bars</t>
        </is>
      </c>
      <c r="E1343" s="12" t="inlineStr">
        <is>
          <t>N</t>
        </is>
      </c>
      <c r="F1343" s="12" t="n">
        <v>20.02</v>
      </c>
      <c r="G1343" s="17" t="n">
        <v>111181.66</v>
      </c>
      <c r="H1343" s="26" t="n">
        <v>44344</v>
      </c>
      <c r="I1343" s="26" t="n">
        <v>44345</v>
      </c>
      <c r="J1343" s="12" t="n">
        <v>19.97</v>
      </c>
      <c r="K1343" s="17" t="n">
        <v>2225856.83</v>
      </c>
      <c r="L1343" s="12" t="n">
        <v>0</v>
      </c>
      <c r="M1343" s="12" t="n">
        <v>15</v>
      </c>
      <c r="N1343" s="27">
        <f>F1343-J1343</f>
        <v/>
      </c>
      <c r="O1343" s="16">
        <f>I1343-H1343</f>
        <v/>
      </c>
      <c r="P1343" s="14">
        <f>F1343*G1343</f>
        <v/>
      </c>
      <c r="Q1343" s="14">
        <f>J1343*G1343</f>
        <v/>
      </c>
      <c r="R1343" s="14">
        <f>K1343-Q1343</f>
        <v/>
      </c>
      <c r="S1343" s="3">
        <f>P1343*Assumptions!$B$3/100</f>
        <v/>
      </c>
      <c r="T1343" s="14">
        <f>R1343-S1343</f>
        <v/>
      </c>
      <c r="U1343" s="14">
        <f>L1343*G1343</f>
        <v/>
      </c>
    </row>
    <row r="1344">
      <c r="A1344" s="12" t="inlineStr">
        <is>
          <t>PO-2021-1342</t>
        </is>
      </c>
      <c r="B1344" s="26" t="n">
        <v>45239</v>
      </c>
      <c r="C1344" s="12" t="inlineStr">
        <is>
          <t>VS24</t>
        </is>
      </c>
      <c r="D1344" s="12" t="inlineStr">
        <is>
          <t>Structural Steel</t>
        </is>
      </c>
      <c r="E1344" s="12" t="inlineStr">
        <is>
          <t>N</t>
        </is>
      </c>
      <c r="F1344" s="12" t="n">
        <v>26.43</v>
      </c>
      <c r="G1344" s="17" t="n">
        <v>58424.89</v>
      </c>
      <c r="H1344" s="26" t="n">
        <v>45253</v>
      </c>
      <c r="I1344" s="26" t="n">
        <v>45255</v>
      </c>
      <c r="J1344" s="12" t="n">
        <v>26.17</v>
      </c>
      <c r="K1344" s="17" t="n">
        <v>1544169.84</v>
      </c>
      <c r="L1344" s="12" t="n">
        <v>0</v>
      </c>
      <c r="M1344" s="12" t="n">
        <v>15</v>
      </c>
      <c r="N1344" s="27">
        <f>F1344-J1344</f>
        <v/>
      </c>
      <c r="O1344" s="16">
        <f>I1344-H1344</f>
        <v/>
      </c>
      <c r="P1344" s="14">
        <f>F1344*G1344</f>
        <v/>
      </c>
      <c r="Q1344" s="14">
        <f>J1344*G1344</f>
        <v/>
      </c>
      <c r="R1344" s="14">
        <f>K1344-Q1344</f>
        <v/>
      </c>
      <c r="S1344" s="3">
        <f>P1344*Assumptions!$B$3/100</f>
        <v/>
      </c>
      <c r="T1344" s="14">
        <f>R1344-S1344</f>
        <v/>
      </c>
      <c r="U1344" s="14">
        <f>L1344*G1344</f>
        <v/>
      </c>
    </row>
    <row r="1345">
      <c r="A1345" s="12" t="inlineStr">
        <is>
          <t>PO-2021-1343</t>
        </is>
      </c>
      <c r="B1345" s="26" t="n">
        <v>44962</v>
      </c>
      <c r="C1345" s="12" t="inlineStr">
        <is>
          <t>VS34</t>
        </is>
      </c>
      <c r="D1345" s="12" t="inlineStr">
        <is>
          <t>Structural Steel</t>
        </is>
      </c>
      <c r="E1345" s="12" t="inlineStr">
        <is>
          <t>N</t>
        </is>
      </c>
      <c r="F1345" s="12" t="n">
        <v>36.07</v>
      </c>
      <c r="G1345" s="17" t="n">
        <v>82109.39999999999</v>
      </c>
      <c r="H1345" s="26" t="n">
        <v>44969</v>
      </c>
      <c r="I1345" s="26" t="n">
        <v>44969</v>
      </c>
      <c r="J1345" s="12" t="n">
        <v>35.93</v>
      </c>
      <c r="K1345" s="17" t="n">
        <v>2961686.06</v>
      </c>
      <c r="L1345" s="12" t="n">
        <v>0</v>
      </c>
      <c r="M1345" s="12" t="n">
        <v>13</v>
      </c>
      <c r="N1345" s="27">
        <f>F1345-J1345</f>
        <v/>
      </c>
      <c r="O1345" s="16">
        <f>I1345-H1345</f>
        <v/>
      </c>
      <c r="P1345" s="14">
        <f>F1345*G1345</f>
        <v/>
      </c>
      <c r="Q1345" s="14">
        <f>J1345*G1345</f>
        <v/>
      </c>
      <c r="R1345" s="14">
        <f>K1345-Q1345</f>
        <v/>
      </c>
      <c r="S1345" s="3">
        <f>P1345*Assumptions!$B$3/100</f>
        <v/>
      </c>
      <c r="T1345" s="14">
        <f>R1345-S1345</f>
        <v/>
      </c>
      <c r="U1345" s="14">
        <f>L1345*G1345</f>
        <v/>
      </c>
    </row>
    <row r="1346">
      <c r="A1346" s="12" t="inlineStr">
        <is>
          <t>PO-2021-1344</t>
        </is>
      </c>
      <c r="B1346" s="26" t="n">
        <v>45018</v>
      </c>
      <c r="C1346" s="12" t="inlineStr">
        <is>
          <t>VS03</t>
        </is>
      </c>
      <c r="D1346" s="12" t="inlineStr">
        <is>
          <t>GI Sheets</t>
        </is>
      </c>
      <c r="E1346" s="12" t="inlineStr">
        <is>
          <t>N</t>
        </is>
      </c>
      <c r="F1346" s="12" t="n">
        <v>11.76</v>
      </c>
      <c r="G1346" s="17" t="n">
        <v>62634.04</v>
      </c>
      <c r="H1346" s="26" t="n">
        <v>45024</v>
      </c>
      <c r="I1346" s="26" t="n">
        <v>45030</v>
      </c>
      <c r="J1346" s="12" t="n">
        <v>11.25</v>
      </c>
      <c r="K1346" s="17" t="n">
        <v>736576.3100000001</v>
      </c>
      <c r="L1346" s="12" t="n">
        <v>0.46</v>
      </c>
      <c r="M1346" s="12" t="n">
        <v>0</v>
      </c>
      <c r="N1346" s="27">
        <f>F1346-J1346</f>
        <v/>
      </c>
      <c r="O1346" s="16">
        <f>I1346-H1346</f>
        <v/>
      </c>
      <c r="P1346" s="14">
        <f>F1346*G1346</f>
        <v/>
      </c>
      <c r="Q1346" s="14">
        <f>J1346*G1346</f>
        <v/>
      </c>
      <c r="R1346" s="14">
        <f>K1346-Q1346</f>
        <v/>
      </c>
      <c r="S1346" s="3">
        <f>P1346*Assumptions!$B$3/100</f>
        <v/>
      </c>
      <c r="T1346" s="14">
        <f>R1346-S1346</f>
        <v/>
      </c>
      <c r="U1346" s="14">
        <f>L1346*G1346</f>
        <v/>
      </c>
    </row>
    <row r="1347">
      <c r="A1347" s="12" t="inlineStr">
        <is>
          <t>PO-2021-1345</t>
        </is>
      </c>
      <c r="B1347" s="26" t="n">
        <v>45007</v>
      </c>
      <c r="C1347" s="12" t="inlineStr">
        <is>
          <t>VS14</t>
        </is>
      </c>
      <c r="D1347" s="12" t="inlineStr">
        <is>
          <t>SS Sheets</t>
        </is>
      </c>
      <c r="E1347" s="12" t="inlineStr">
        <is>
          <t>N</t>
        </is>
      </c>
      <c r="F1347" s="12" t="n">
        <v>21.83</v>
      </c>
      <c r="G1347" s="17" t="n">
        <v>73281.22</v>
      </c>
      <c r="H1347" s="26" t="n">
        <v>45012</v>
      </c>
      <c r="I1347" s="26" t="n">
        <v>45013</v>
      </c>
      <c r="J1347" s="12" t="n">
        <v>21.67</v>
      </c>
      <c r="K1347" s="17" t="n">
        <v>1599729.03</v>
      </c>
      <c r="L1347" s="12" t="n">
        <v>0</v>
      </c>
      <c r="M1347" s="12" t="n">
        <v>14</v>
      </c>
      <c r="N1347" s="27">
        <f>F1347-J1347</f>
        <v/>
      </c>
      <c r="O1347" s="16">
        <f>I1347-H1347</f>
        <v/>
      </c>
      <c r="P1347" s="14">
        <f>F1347*G1347</f>
        <v/>
      </c>
      <c r="Q1347" s="14">
        <f>J1347*G1347</f>
        <v/>
      </c>
      <c r="R1347" s="14">
        <f>K1347-Q1347</f>
        <v/>
      </c>
      <c r="S1347" s="3">
        <f>P1347*Assumptions!$B$3/100</f>
        <v/>
      </c>
      <c r="T1347" s="14">
        <f>R1347-S1347</f>
        <v/>
      </c>
      <c r="U1347" s="14">
        <f>L1347*G1347</f>
        <v/>
      </c>
    </row>
    <row r="1348">
      <c r="A1348" s="12" t="inlineStr">
        <is>
          <t>PO-2021-1346</t>
        </is>
      </c>
      <c r="B1348" s="26" t="n">
        <v>44963</v>
      </c>
      <c r="C1348" s="12" t="inlineStr">
        <is>
          <t>VS17</t>
        </is>
      </c>
      <c r="D1348" s="12" t="inlineStr">
        <is>
          <t>Spring Steel</t>
        </is>
      </c>
      <c r="E1348" s="12" t="inlineStr">
        <is>
          <t>N</t>
        </is>
      </c>
      <c r="F1348" s="12" t="n">
        <v>5.15</v>
      </c>
      <c r="G1348" s="17" t="n">
        <v>101371.71</v>
      </c>
      <c r="H1348" s="26" t="n">
        <v>44970</v>
      </c>
      <c r="I1348" s="26" t="n">
        <v>44971</v>
      </c>
      <c r="J1348" s="12" t="n">
        <v>5.15</v>
      </c>
      <c r="K1348" s="17" t="n">
        <v>522064.31</v>
      </c>
      <c r="L1348" s="12" t="n">
        <v>0</v>
      </c>
      <c r="M1348" s="12" t="n">
        <v>0</v>
      </c>
      <c r="N1348" s="27">
        <f>F1348-J1348</f>
        <v/>
      </c>
      <c r="O1348" s="16">
        <f>I1348-H1348</f>
        <v/>
      </c>
      <c r="P1348" s="14">
        <f>F1348*G1348</f>
        <v/>
      </c>
      <c r="Q1348" s="14">
        <f>J1348*G1348</f>
        <v/>
      </c>
      <c r="R1348" s="14">
        <f>K1348-Q1348</f>
        <v/>
      </c>
      <c r="S1348" s="3">
        <f>P1348*Assumptions!$B$3/100</f>
        <v/>
      </c>
      <c r="T1348" s="14">
        <f>R1348-S1348</f>
        <v/>
      </c>
      <c r="U1348" s="14">
        <f>L1348*G1348</f>
        <v/>
      </c>
    </row>
    <row r="1349">
      <c r="A1349" s="12" t="inlineStr">
        <is>
          <t>PO-2021-1347</t>
        </is>
      </c>
      <c r="B1349" s="26" t="n">
        <v>45107</v>
      </c>
      <c r="C1349" s="12" t="inlineStr">
        <is>
          <t>VS34</t>
        </is>
      </c>
      <c r="D1349" s="12" t="inlineStr">
        <is>
          <t>Angles &amp; Channels</t>
        </is>
      </c>
      <c r="E1349" s="12" t="inlineStr">
        <is>
          <t>N</t>
        </is>
      </c>
      <c r="F1349" s="12" t="n">
        <v>12.28</v>
      </c>
      <c r="G1349" s="17" t="n">
        <v>48085.72</v>
      </c>
      <c r="H1349" s="26" t="n">
        <v>45118</v>
      </c>
      <c r="I1349" s="26" t="n">
        <v>45120</v>
      </c>
      <c r="J1349" s="12" t="n">
        <v>12.16</v>
      </c>
      <c r="K1349" s="17" t="n">
        <v>590492.64</v>
      </c>
      <c r="L1349" s="12" t="n">
        <v>0</v>
      </c>
      <c r="M1349" s="12" t="n">
        <v>21</v>
      </c>
      <c r="N1349" s="27">
        <f>F1349-J1349</f>
        <v/>
      </c>
      <c r="O1349" s="16">
        <f>I1349-H1349</f>
        <v/>
      </c>
      <c r="P1349" s="14">
        <f>F1349*G1349</f>
        <v/>
      </c>
      <c r="Q1349" s="14">
        <f>J1349*G1349</f>
        <v/>
      </c>
      <c r="R1349" s="14">
        <f>K1349-Q1349</f>
        <v/>
      </c>
      <c r="S1349" s="3">
        <f>P1349*Assumptions!$B$3/100</f>
        <v/>
      </c>
      <c r="T1349" s="14">
        <f>R1349-S1349</f>
        <v/>
      </c>
      <c r="U1349" s="14">
        <f>L1349*G1349</f>
        <v/>
      </c>
    </row>
    <row r="1350">
      <c r="A1350" s="12" t="inlineStr">
        <is>
          <t>PO-2021-1348</t>
        </is>
      </c>
      <c r="B1350" s="26" t="n">
        <v>44885</v>
      </c>
      <c r="C1350" s="12" t="inlineStr">
        <is>
          <t>VS28</t>
        </is>
      </c>
      <c r="D1350" s="12" t="inlineStr">
        <is>
          <t>Fasteners &amp; Fittings</t>
        </is>
      </c>
      <c r="E1350" s="12" t="inlineStr">
        <is>
          <t>N</t>
        </is>
      </c>
      <c r="F1350" s="12" t="n">
        <v>23.91</v>
      </c>
      <c r="G1350" s="17" t="n">
        <v>75671.46000000001</v>
      </c>
      <c r="H1350" s="26" t="n">
        <v>44900</v>
      </c>
      <c r="I1350" s="26" t="n">
        <v>44901</v>
      </c>
      <c r="J1350" s="12" t="n">
        <v>23.79</v>
      </c>
      <c r="K1350" s="17" t="n">
        <v>1809304.61</v>
      </c>
      <c r="L1350" s="12" t="n">
        <v>0</v>
      </c>
      <c r="M1350" s="12" t="n">
        <v>23</v>
      </c>
      <c r="N1350" s="27">
        <f>F1350-J1350</f>
        <v/>
      </c>
      <c r="O1350" s="16">
        <f>I1350-H1350</f>
        <v/>
      </c>
      <c r="P1350" s="14">
        <f>F1350*G1350</f>
        <v/>
      </c>
      <c r="Q1350" s="14">
        <f>J1350*G1350</f>
        <v/>
      </c>
      <c r="R1350" s="14">
        <f>K1350-Q1350</f>
        <v/>
      </c>
      <c r="S1350" s="3">
        <f>P1350*Assumptions!$B$3/100</f>
        <v/>
      </c>
      <c r="T1350" s="14">
        <f>R1350-S1350</f>
        <v/>
      </c>
      <c r="U1350" s="14">
        <f>L1350*G1350</f>
        <v/>
      </c>
    </row>
    <row r="1351">
      <c r="A1351" s="12" t="inlineStr">
        <is>
          <t>PO-2021-1349</t>
        </is>
      </c>
      <c r="B1351" s="26" t="n">
        <v>45215</v>
      </c>
      <c r="C1351" s="12" t="inlineStr">
        <is>
          <t>VS21</t>
        </is>
      </c>
      <c r="D1351" s="12" t="inlineStr">
        <is>
          <t>CR Sheets</t>
        </is>
      </c>
      <c r="E1351" s="12" t="inlineStr">
        <is>
          <t>N</t>
        </is>
      </c>
      <c r="F1351" s="12" t="n">
        <v>19.74</v>
      </c>
      <c r="G1351" s="17" t="n">
        <v>58467.43</v>
      </c>
      <c r="H1351" s="26" t="n">
        <v>45221</v>
      </c>
      <c r="I1351" s="26" t="n">
        <v>45221</v>
      </c>
      <c r="J1351" s="12" t="n">
        <v>19.73</v>
      </c>
      <c r="K1351" s="17" t="n">
        <v>1154147.07</v>
      </c>
      <c r="L1351" s="12" t="n">
        <v>0</v>
      </c>
      <c r="M1351" s="12" t="n">
        <v>16</v>
      </c>
      <c r="N1351" s="27">
        <f>F1351-J1351</f>
        <v/>
      </c>
      <c r="O1351" s="16">
        <f>I1351-H1351</f>
        <v/>
      </c>
      <c r="P1351" s="14">
        <f>F1351*G1351</f>
        <v/>
      </c>
      <c r="Q1351" s="14">
        <f>J1351*G1351</f>
        <v/>
      </c>
      <c r="R1351" s="14">
        <f>K1351-Q1351</f>
        <v/>
      </c>
      <c r="S1351" s="3">
        <f>P1351*Assumptions!$B$3/100</f>
        <v/>
      </c>
      <c r="T1351" s="14">
        <f>R1351-S1351</f>
        <v/>
      </c>
      <c r="U1351" s="14">
        <f>L1351*G1351</f>
        <v/>
      </c>
    </row>
    <row r="1352">
      <c r="A1352" s="12" t="inlineStr">
        <is>
          <t>PO-2021-1350</t>
        </is>
      </c>
      <c r="B1352" s="26" t="n">
        <v>44740</v>
      </c>
      <c r="C1352" s="12" t="inlineStr">
        <is>
          <t>VS05</t>
        </is>
      </c>
      <c r="D1352" s="12" t="inlineStr">
        <is>
          <t>Angles &amp; Channels</t>
        </is>
      </c>
      <c r="E1352" s="12" t="inlineStr">
        <is>
          <t>N</t>
        </is>
      </c>
      <c r="F1352" s="12" t="n">
        <v>45.17</v>
      </c>
      <c r="G1352" s="17" t="n">
        <v>67088.84</v>
      </c>
      <c r="H1352" s="26" t="n">
        <v>44751</v>
      </c>
      <c r="I1352" s="26" t="n">
        <v>44754</v>
      </c>
      <c r="J1352" s="12" t="n">
        <v>44.88</v>
      </c>
      <c r="K1352" s="17" t="n">
        <v>3030402.9</v>
      </c>
      <c r="L1352" s="12" t="n">
        <v>0</v>
      </c>
      <c r="M1352" s="12" t="n">
        <v>0</v>
      </c>
      <c r="N1352" s="27">
        <f>F1352-J1352</f>
        <v/>
      </c>
      <c r="O1352" s="16">
        <f>I1352-H1352</f>
        <v/>
      </c>
      <c r="P1352" s="14">
        <f>F1352*G1352</f>
        <v/>
      </c>
      <c r="Q1352" s="14">
        <f>J1352*G1352</f>
        <v/>
      </c>
      <c r="R1352" s="14">
        <f>K1352-Q1352</f>
        <v/>
      </c>
      <c r="S1352" s="3">
        <f>P1352*Assumptions!$B$3/100</f>
        <v/>
      </c>
      <c r="T1352" s="14">
        <f>R1352-S1352</f>
        <v/>
      </c>
      <c r="U1352" s="14">
        <f>L1352*G1352</f>
        <v/>
      </c>
    </row>
    <row r="1353">
      <c r="A1353" s="12" t="inlineStr">
        <is>
          <t>PO-2021-1351</t>
        </is>
      </c>
      <c r="B1353" s="26" t="n">
        <v>45247</v>
      </c>
      <c r="C1353" s="12" t="inlineStr">
        <is>
          <t>VS06</t>
        </is>
      </c>
      <c r="D1353" s="12" t="inlineStr">
        <is>
          <t>CR Sheets</t>
        </is>
      </c>
      <c r="E1353" s="12" t="inlineStr">
        <is>
          <t>N</t>
        </is>
      </c>
      <c r="F1353" s="12" t="n">
        <v>46.4</v>
      </c>
      <c r="G1353" s="17" t="n">
        <v>52380.68</v>
      </c>
      <c r="H1353" s="26" t="n">
        <v>45251</v>
      </c>
      <c r="I1353" s="26" t="n">
        <v>45253</v>
      </c>
      <c r="J1353" s="12" t="n">
        <v>46.11</v>
      </c>
      <c r="K1353" s="17" t="n">
        <v>2430463.55</v>
      </c>
      <c r="L1353" s="12" t="n">
        <v>0</v>
      </c>
      <c r="M1353" s="12" t="n">
        <v>2</v>
      </c>
      <c r="N1353" s="27">
        <f>F1353-J1353</f>
        <v/>
      </c>
      <c r="O1353" s="16">
        <f>I1353-H1353</f>
        <v/>
      </c>
      <c r="P1353" s="14">
        <f>F1353*G1353</f>
        <v/>
      </c>
      <c r="Q1353" s="14">
        <f>J1353*G1353</f>
        <v/>
      </c>
      <c r="R1353" s="14">
        <f>K1353-Q1353</f>
        <v/>
      </c>
      <c r="S1353" s="3">
        <f>P1353*Assumptions!$B$3/100</f>
        <v/>
      </c>
      <c r="T1353" s="14">
        <f>R1353-S1353</f>
        <v/>
      </c>
      <c r="U1353" s="14">
        <f>L1353*G1353</f>
        <v/>
      </c>
    </row>
    <row r="1354">
      <c r="A1354" s="12" t="inlineStr">
        <is>
          <t>PO-2021-1352</t>
        </is>
      </c>
      <c r="B1354" s="26" t="n">
        <v>44934</v>
      </c>
      <c r="C1354" s="12" t="inlineStr">
        <is>
          <t>VS03</t>
        </is>
      </c>
      <c r="D1354" s="12" t="inlineStr">
        <is>
          <t>Spring Steel</t>
        </is>
      </c>
      <c r="E1354" s="12" t="inlineStr">
        <is>
          <t>N</t>
        </is>
      </c>
      <c r="F1354" s="12" t="n">
        <v>10.82</v>
      </c>
      <c r="G1354" s="17" t="n">
        <v>62138.41</v>
      </c>
      <c r="H1354" s="26" t="n">
        <v>44942</v>
      </c>
      <c r="I1354" s="26" t="n">
        <v>44946</v>
      </c>
      <c r="J1354" s="12" t="n">
        <v>10.45</v>
      </c>
      <c r="K1354" s="17" t="n">
        <v>672337.6</v>
      </c>
      <c r="L1354" s="12" t="n">
        <v>0.2</v>
      </c>
      <c r="M1354" s="12" t="n">
        <v>0</v>
      </c>
      <c r="N1354" s="27">
        <f>F1354-J1354</f>
        <v/>
      </c>
      <c r="O1354" s="16">
        <f>I1354-H1354</f>
        <v/>
      </c>
      <c r="P1354" s="14">
        <f>F1354*G1354</f>
        <v/>
      </c>
      <c r="Q1354" s="14">
        <f>J1354*G1354</f>
        <v/>
      </c>
      <c r="R1354" s="14">
        <f>K1354-Q1354</f>
        <v/>
      </c>
      <c r="S1354" s="3">
        <f>P1354*Assumptions!$B$3/100</f>
        <v/>
      </c>
      <c r="T1354" s="14">
        <f>R1354-S1354</f>
        <v/>
      </c>
      <c r="U1354" s="14">
        <f>L1354*G1354</f>
        <v/>
      </c>
    </row>
    <row r="1355">
      <c r="A1355" s="12" t="inlineStr">
        <is>
          <t>PO-2021-1353</t>
        </is>
      </c>
      <c r="B1355" s="26" t="n">
        <v>44709</v>
      </c>
      <c r="C1355" s="12" t="inlineStr">
        <is>
          <t>VS20</t>
        </is>
      </c>
      <c r="D1355" s="12" t="inlineStr">
        <is>
          <t>CR Sheets</t>
        </is>
      </c>
      <c r="E1355" s="12" t="inlineStr">
        <is>
          <t>N</t>
        </is>
      </c>
      <c r="F1355" s="12" t="n">
        <v>10.34</v>
      </c>
      <c r="G1355" s="17" t="n">
        <v>90302.55</v>
      </c>
      <c r="H1355" s="26" t="n">
        <v>44714</v>
      </c>
      <c r="I1355" s="26" t="n">
        <v>44714</v>
      </c>
      <c r="J1355" s="12" t="n">
        <v>10.31</v>
      </c>
      <c r="K1355" s="17" t="n">
        <v>933728.37</v>
      </c>
      <c r="L1355" s="12" t="n">
        <v>0</v>
      </c>
      <c r="M1355" s="12" t="n">
        <v>8</v>
      </c>
      <c r="N1355" s="27">
        <f>F1355-J1355</f>
        <v/>
      </c>
      <c r="O1355" s="16">
        <f>I1355-H1355</f>
        <v/>
      </c>
      <c r="P1355" s="14">
        <f>F1355*G1355</f>
        <v/>
      </c>
      <c r="Q1355" s="14">
        <f>J1355*G1355</f>
        <v/>
      </c>
      <c r="R1355" s="14">
        <f>K1355-Q1355</f>
        <v/>
      </c>
      <c r="S1355" s="3">
        <f>P1355*Assumptions!$B$3/100</f>
        <v/>
      </c>
      <c r="T1355" s="14">
        <f>R1355-S1355</f>
        <v/>
      </c>
      <c r="U1355" s="14">
        <f>L1355*G1355</f>
        <v/>
      </c>
    </row>
    <row r="1356">
      <c r="A1356" s="12" t="inlineStr">
        <is>
          <t>PO-2021-1354</t>
        </is>
      </c>
      <c r="B1356" s="26" t="n">
        <v>44731</v>
      </c>
      <c r="C1356" s="12" t="inlineStr">
        <is>
          <t>VS01</t>
        </is>
      </c>
      <c r="D1356" s="12" t="inlineStr">
        <is>
          <t>SS Sheets</t>
        </is>
      </c>
      <c r="E1356" s="12" t="inlineStr">
        <is>
          <t>N</t>
        </is>
      </c>
      <c r="F1356" s="12" t="n">
        <v>14.81</v>
      </c>
      <c r="G1356" s="17" t="n">
        <v>70997.42999999999</v>
      </c>
      <c r="H1356" s="26" t="n">
        <v>44740</v>
      </c>
      <c r="I1356" s="26" t="n">
        <v>44743</v>
      </c>
      <c r="J1356" s="12" t="n">
        <v>14.78</v>
      </c>
      <c r="K1356" s="17" t="n">
        <v>1051471.94</v>
      </c>
      <c r="L1356" s="12" t="n">
        <v>0</v>
      </c>
      <c r="M1356" s="12" t="n">
        <v>17</v>
      </c>
      <c r="N1356" s="27">
        <f>F1356-J1356</f>
        <v/>
      </c>
      <c r="O1356" s="16">
        <f>I1356-H1356</f>
        <v/>
      </c>
      <c r="P1356" s="14">
        <f>F1356*G1356</f>
        <v/>
      </c>
      <c r="Q1356" s="14">
        <f>J1356*G1356</f>
        <v/>
      </c>
      <c r="R1356" s="14">
        <f>K1356-Q1356</f>
        <v/>
      </c>
      <c r="S1356" s="3">
        <f>P1356*Assumptions!$B$3/100</f>
        <v/>
      </c>
      <c r="T1356" s="14">
        <f>R1356-S1356</f>
        <v/>
      </c>
      <c r="U1356" s="14">
        <f>L1356*G1356</f>
        <v/>
      </c>
    </row>
    <row r="1357">
      <c r="A1357" s="12" t="inlineStr">
        <is>
          <t>PO-2021-1355</t>
        </is>
      </c>
      <c r="B1357" s="26" t="n">
        <v>45027</v>
      </c>
      <c r="C1357" s="12" t="inlineStr">
        <is>
          <t>VS01</t>
        </is>
      </c>
      <c r="D1357" s="12" t="inlineStr">
        <is>
          <t>Structural Steel</t>
        </is>
      </c>
      <c r="E1357" s="12" t="inlineStr">
        <is>
          <t>N</t>
        </is>
      </c>
      <c r="F1357" s="12" t="n">
        <v>33.05</v>
      </c>
      <c r="G1357" s="17" t="n">
        <v>119195.6</v>
      </c>
      <c r="H1357" s="26" t="n">
        <v>45032</v>
      </c>
      <c r="I1357" s="26" t="n">
        <v>45033</v>
      </c>
      <c r="J1357" s="12" t="n">
        <v>32.96</v>
      </c>
      <c r="K1357" s="17" t="n">
        <v>3939414.58</v>
      </c>
      <c r="L1357" s="12" t="n">
        <v>0</v>
      </c>
      <c r="M1357" s="12" t="n">
        <v>0</v>
      </c>
      <c r="N1357" s="27">
        <f>F1357-J1357</f>
        <v/>
      </c>
      <c r="O1357" s="16">
        <f>I1357-H1357</f>
        <v/>
      </c>
      <c r="P1357" s="14">
        <f>F1357*G1357</f>
        <v/>
      </c>
      <c r="Q1357" s="14">
        <f>J1357*G1357</f>
        <v/>
      </c>
      <c r="R1357" s="14">
        <f>K1357-Q1357</f>
        <v/>
      </c>
      <c r="S1357" s="3">
        <f>P1357*Assumptions!$B$3/100</f>
        <v/>
      </c>
      <c r="T1357" s="14">
        <f>R1357-S1357</f>
        <v/>
      </c>
      <c r="U1357" s="14">
        <f>L1357*G1357</f>
        <v/>
      </c>
    </row>
    <row r="1358">
      <c r="A1358" s="12" t="inlineStr">
        <is>
          <t>PO-2021-1356</t>
        </is>
      </c>
      <c r="B1358" s="26" t="n">
        <v>45011</v>
      </c>
      <c r="C1358" s="12" t="inlineStr">
        <is>
          <t>VS15</t>
        </is>
      </c>
      <c r="D1358" s="12" t="inlineStr">
        <is>
          <t>HR Coils</t>
        </is>
      </c>
      <c r="E1358" s="12" t="inlineStr">
        <is>
          <t>Y</t>
        </is>
      </c>
      <c r="F1358" s="12" t="n">
        <v>36.44</v>
      </c>
      <c r="G1358" s="17" t="n">
        <v>60740.63</v>
      </c>
      <c r="H1358" s="26" t="n">
        <v>45017</v>
      </c>
      <c r="I1358" s="26" t="n">
        <v>45018</v>
      </c>
      <c r="J1358" s="12" t="n">
        <v>36.41</v>
      </c>
      <c r="K1358" s="17" t="n">
        <v>2213388.56</v>
      </c>
      <c r="L1358" s="12" t="n">
        <v>0</v>
      </c>
      <c r="M1358" s="12" t="n">
        <v>21</v>
      </c>
      <c r="N1358" s="27">
        <f>F1358-J1358</f>
        <v/>
      </c>
      <c r="O1358" s="16">
        <f>I1358-H1358</f>
        <v/>
      </c>
      <c r="P1358" s="14">
        <f>F1358*G1358</f>
        <v/>
      </c>
      <c r="Q1358" s="14">
        <f>J1358*G1358</f>
        <v/>
      </c>
      <c r="R1358" s="14">
        <f>K1358-Q1358</f>
        <v/>
      </c>
      <c r="S1358" s="3">
        <f>P1358*Assumptions!$B$3/100</f>
        <v/>
      </c>
      <c r="T1358" s="14">
        <f>R1358-S1358</f>
        <v/>
      </c>
      <c r="U1358" s="14">
        <f>L1358*G1358</f>
        <v/>
      </c>
    </row>
    <row r="1359">
      <c r="A1359" s="12" t="inlineStr">
        <is>
          <t>PO-2021-1357</t>
        </is>
      </c>
      <c r="B1359" s="26" t="n">
        <v>45253</v>
      </c>
      <c r="C1359" s="12" t="inlineStr">
        <is>
          <t>VS30</t>
        </is>
      </c>
      <c r="D1359" s="12" t="inlineStr">
        <is>
          <t>Fasteners &amp; Fittings</t>
        </is>
      </c>
      <c r="E1359" s="12" t="inlineStr">
        <is>
          <t>N</t>
        </is>
      </c>
      <c r="F1359" s="12" t="n">
        <v>17.69</v>
      </c>
      <c r="G1359" s="17" t="n">
        <v>51440.69</v>
      </c>
      <c r="H1359" s="26" t="n">
        <v>45259</v>
      </c>
      <c r="I1359" s="26" t="n">
        <v>45261</v>
      </c>
      <c r="J1359" s="12" t="n">
        <v>17.68</v>
      </c>
      <c r="K1359" s="17" t="n">
        <v>909985.8100000001</v>
      </c>
      <c r="L1359" s="12" t="n">
        <v>0</v>
      </c>
      <c r="M1359" s="12" t="n">
        <v>13</v>
      </c>
      <c r="N1359" s="27">
        <f>F1359-J1359</f>
        <v/>
      </c>
      <c r="O1359" s="16">
        <f>I1359-H1359</f>
        <v/>
      </c>
      <c r="P1359" s="14">
        <f>F1359*G1359</f>
        <v/>
      </c>
      <c r="Q1359" s="14">
        <f>J1359*G1359</f>
        <v/>
      </c>
      <c r="R1359" s="14">
        <f>K1359-Q1359</f>
        <v/>
      </c>
      <c r="S1359" s="3">
        <f>P1359*Assumptions!$B$3/100</f>
        <v/>
      </c>
      <c r="T1359" s="14">
        <f>R1359-S1359</f>
        <v/>
      </c>
      <c r="U1359" s="14">
        <f>L1359*G1359</f>
        <v/>
      </c>
    </row>
    <row r="1360">
      <c r="A1360" s="12" t="inlineStr">
        <is>
          <t>PO-2021-1358</t>
        </is>
      </c>
      <c r="B1360" s="26" t="n">
        <v>45075</v>
      </c>
      <c r="C1360" s="12" t="inlineStr">
        <is>
          <t>VS27</t>
        </is>
      </c>
      <c r="D1360" s="12" t="inlineStr">
        <is>
          <t>GI Sheets</t>
        </is>
      </c>
      <c r="E1360" s="12" t="inlineStr">
        <is>
          <t>N</t>
        </is>
      </c>
      <c r="F1360" s="12" t="n">
        <v>22.5</v>
      </c>
      <c r="G1360" s="17" t="n">
        <v>108970.81</v>
      </c>
      <c r="H1360" s="26" t="n">
        <v>45078</v>
      </c>
      <c r="I1360" s="26" t="n">
        <v>45080</v>
      </c>
      <c r="J1360" s="12" t="n">
        <v>22.39</v>
      </c>
      <c r="K1360" s="17" t="n">
        <v>2451843.23</v>
      </c>
      <c r="L1360" s="12" t="n">
        <v>0</v>
      </c>
      <c r="M1360" s="12" t="n">
        <v>15</v>
      </c>
      <c r="N1360" s="27">
        <f>F1360-J1360</f>
        <v/>
      </c>
      <c r="O1360" s="16">
        <f>I1360-H1360</f>
        <v/>
      </c>
      <c r="P1360" s="14">
        <f>F1360*G1360</f>
        <v/>
      </c>
      <c r="Q1360" s="14">
        <f>J1360*G1360</f>
        <v/>
      </c>
      <c r="R1360" s="14">
        <f>K1360-Q1360</f>
        <v/>
      </c>
      <c r="S1360" s="3">
        <f>P1360*Assumptions!$B$3/100</f>
        <v/>
      </c>
      <c r="T1360" s="14">
        <f>R1360-S1360</f>
        <v/>
      </c>
      <c r="U1360" s="14">
        <f>L1360*G1360</f>
        <v/>
      </c>
    </row>
    <row r="1361">
      <c r="A1361" s="12" t="inlineStr">
        <is>
          <t>PO-2021-1359</t>
        </is>
      </c>
      <c r="B1361" s="26" t="n">
        <v>44964</v>
      </c>
      <c r="C1361" s="12" t="inlineStr">
        <is>
          <t>VS09</t>
        </is>
      </c>
      <c r="D1361" s="12" t="inlineStr">
        <is>
          <t>Square/Rect Tubes</t>
        </is>
      </c>
      <c r="E1361" s="12" t="inlineStr">
        <is>
          <t>N</t>
        </is>
      </c>
      <c r="F1361" s="12" t="n">
        <v>15.97</v>
      </c>
      <c r="G1361" s="17" t="n">
        <v>100335.38</v>
      </c>
      <c r="H1361" s="26" t="n">
        <v>44974</v>
      </c>
      <c r="I1361" s="26" t="n">
        <v>44975</v>
      </c>
      <c r="J1361" s="12" t="n">
        <v>15.83</v>
      </c>
      <c r="K1361" s="17" t="n">
        <v>1602356.02</v>
      </c>
      <c r="L1361" s="12" t="n">
        <v>0</v>
      </c>
      <c r="M1361" s="12" t="n">
        <v>0</v>
      </c>
      <c r="N1361" s="27">
        <f>F1361-J1361</f>
        <v/>
      </c>
      <c r="O1361" s="16">
        <f>I1361-H1361</f>
        <v/>
      </c>
      <c r="P1361" s="14">
        <f>F1361*G1361</f>
        <v/>
      </c>
      <c r="Q1361" s="14">
        <f>J1361*G1361</f>
        <v/>
      </c>
      <c r="R1361" s="14">
        <f>K1361-Q1361</f>
        <v/>
      </c>
      <c r="S1361" s="3">
        <f>P1361*Assumptions!$B$3/100</f>
        <v/>
      </c>
      <c r="T1361" s="14">
        <f>R1361-S1361</f>
        <v/>
      </c>
      <c r="U1361" s="14">
        <f>L1361*G1361</f>
        <v/>
      </c>
    </row>
    <row r="1362">
      <c r="A1362" s="12" t="inlineStr">
        <is>
          <t>PO-2021-1360</t>
        </is>
      </c>
      <c r="B1362" s="26" t="n">
        <v>44923</v>
      </c>
      <c r="C1362" s="12" t="inlineStr">
        <is>
          <t>VS22</t>
        </is>
      </c>
      <c r="D1362" s="12" t="inlineStr">
        <is>
          <t>HR Coils</t>
        </is>
      </c>
      <c r="E1362" s="12" t="inlineStr">
        <is>
          <t>N</t>
        </is>
      </c>
      <c r="F1362" s="12" t="n">
        <v>21.54</v>
      </c>
      <c r="G1362" s="17" t="n">
        <v>96432.21000000001</v>
      </c>
      <c r="H1362" s="26" t="n">
        <v>44932</v>
      </c>
      <c r="I1362" s="26" t="n">
        <v>44935</v>
      </c>
      <c r="J1362" s="12" t="n">
        <v>21.33</v>
      </c>
      <c r="K1362" s="17" t="n">
        <v>2077149.8</v>
      </c>
      <c r="L1362" s="12" t="n">
        <v>0</v>
      </c>
      <c r="M1362" s="12" t="n">
        <v>23</v>
      </c>
      <c r="N1362" s="27">
        <f>F1362-J1362</f>
        <v/>
      </c>
      <c r="O1362" s="16">
        <f>I1362-H1362</f>
        <v/>
      </c>
      <c r="P1362" s="14">
        <f>F1362*G1362</f>
        <v/>
      </c>
      <c r="Q1362" s="14">
        <f>J1362*G1362</f>
        <v/>
      </c>
      <c r="R1362" s="14">
        <f>K1362-Q1362</f>
        <v/>
      </c>
      <c r="S1362" s="3">
        <f>P1362*Assumptions!$B$3/100</f>
        <v/>
      </c>
      <c r="T1362" s="14">
        <f>R1362-S1362</f>
        <v/>
      </c>
      <c r="U1362" s="14">
        <f>L1362*G1362</f>
        <v/>
      </c>
    </row>
    <row r="1363">
      <c r="A1363" s="12" t="inlineStr">
        <is>
          <t>PO-2021-1361</t>
        </is>
      </c>
      <c r="B1363" s="26" t="n">
        <v>44810</v>
      </c>
      <c r="C1363" s="12" t="inlineStr">
        <is>
          <t>VS21</t>
        </is>
      </c>
      <c r="D1363" s="12" t="inlineStr">
        <is>
          <t>MS Pipes</t>
        </is>
      </c>
      <c r="E1363" s="12" t="inlineStr">
        <is>
          <t>N</t>
        </is>
      </c>
      <c r="F1363" s="12" t="n">
        <v>28.81</v>
      </c>
      <c r="G1363" s="17" t="n">
        <v>47415.67</v>
      </c>
      <c r="H1363" s="26" t="n">
        <v>44815</v>
      </c>
      <c r="I1363" s="26" t="n">
        <v>44815</v>
      </c>
      <c r="J1363" s="12" t="n">
        <v>28.68</v>
      </c>
      <c r="K1363" s="17" t="n">
        <v>1366045.45</v>
      </c>
      <c r="L1363" s="12" t="n">
        <v>0</v>
      </c>
      <c r="M1363" s="12" t="n">
        <v>0</v>
      </c>
      <c r="N1363" s="27">
        <f>F1363-J1363</f>
        <v/>
      </c>
      <c r="O1363" s="16">
        <f>I1363-H1363</f>
        <v/>
      </c>
      <c r="P1363" s="14">
        <f>F1363*G1363</f>
        <v/>
      </c>
      <c r="Q1363" s="14">
        <f>J1363*G1363</f>
        <v/>
      </c>
      <c r="R1363" s="14">
        <f>K1363-Q1363</f>
        <v/>
      </c>
      <c r="S1363" s="3">
        <f>P1363*Assumptions!$B$3/100</f>
        <v/>
      </c>
      <c r="T1363" s="14">
        <f>R1363-S1363</f>
        <v/>
      </c>
      <c r="U1363" s="14">
        <f>L1363*G1363</f>
        <v/>
      </c>
    </row>
    <row r="1364">
      <c r="A1364" s="12" t="inlineStr">
        <is>
          <t>PO-2021-1362</t>
        </is>
      </c>
      <c r="B1364" s="26" t="n">
        <v>44511</v>
      </c>
      <c r="C1364" s="12" t="inlineStr">
        <is>
          <t>VS22</t>
        </is>
      </c>
      <c r="D1364" s="12" t="inlineStr">
        <is>
          <t>MS Rods</t>
        </is>
      </c>
      <c r="E1364" s="12" t="inlineStr">
        <is>
          <t>N</t>
        </is>
      </c>
      <c r="F1364" s="12" t="n">
        <v>49.03</v>
      </c>
      <c r="G1364" s="17" t="n">
        <v>60315.35</v>
      </c>
      <c r="H1364" s="26" t="n">
        <v>44520</v>
      </c>
      <c r="I1364" s="26" t="n">
        <v>44521</v>
      </c>
      <c r="J1364" s="12" t="n">
        <v>48.96</v>
      </c>
      <c r="K1364" s="17" t="n">
        <v>2957261.61</v>
      </c>
      <c r="L1364" s="12" t="n">
        <v>0</v>
      </c>
      <c r="M1364" s="12" t="n">
        <v>0</v>
      </c>
      <c r="N1364" s="27">
        <f>F1364-J1364</f>
        <v/>
      </c>
      <c r="O1364" s="16">
        <f>I1364-H1364</f>
        <v/>
      </c>
      <c r="P1364" s="14">
        <f>F1364*G1364</f>
        <v/>
      </c>
      <c r="Q1364" s="14">
        <f>J1364*G1364</f>
        <v/>
      </c>
      <c r="R1364" s="14">
        <f>K1364-Q1364</f>
        <v/>
      </c>
      <c r="S1364" s="3">
        <f>P1364*Assumptions!$B$3/100</f>
        <v/>
      </c>
      <c r="T1364" s="14">
        <f>R1364-S1364</f>
        <v/>
      </c>
      <c r="U1364" s="14">
        <f>L1364*G1364</f>
        <v/>
      </c>
    </row>
    <row r="1365">
      <c r="A1365" s="12" t="inlineStr">
        <is>
          <t>PO-2021-1363</t>
        </is>
      </c>
      <c r="B1365" s="26" t="n">
        <v>44327</v>
      </c>
      <c r="C1365" s="12" t="inlineStr">
        <is>
          <t>VS25</t>
        </is>
      </c>
      <c r="D1365" s="12" t="inlineStr">
        <is>
          <t>GI Sheets</t>
        </is>
      </c>
      <c r="E1365" s="12" t="inlineStr">
        <is>
          <t>N</t>
        </is>
      </c>
      <c r="F1365" s="12" t="n">
        <v>24.26</v>
      </c>
      <c r="G1365" s="17" t="n">
        <v>69663.10000000001</v>
      </c>
      <c r="H1365" s="26" t="n">
        <v>44337</v>
      </c>
      <c r="I1365" s="26" t="n">
        <v>44338</v>
      </c>
      <c r="J1365" s="12" t="n">
        <v>24.23</v>
      </c>
      <c r="K1365" s="17" t="n">
        <v>1690026.81</v>
      </c>
      <c r="L1365" s="12" t="n">
        <v>0</v>
      </c>
      <c r="M1365" s="12" t="n">
        <v>11</v>
      </c>
      <c r="N1365" s="27">
        <f>F1365-J1365</f>
        <v/>
      </c>
      <c r="O1365" s="16">
        <f>I1365-H1365</f>
        <v/>
      </c>
      <c r="P1365" s="14">
        <f>F1365*G1365</f>
        <v/>
      </c>
      <c r="Q1365" s="14">
        <f>J1365*G1365</f>
        <v/>
      </c>
      <c r="R1365" s="14">
        <f>K1365-Q1365</f>
        <v/>
      </c>
      <c r="S1365" s="3">
        <f>P1365*Assumptions!$B$3/100</f>
        <v/>
      </c>
      <c r="T1365" s="14">
        <f>R1365-S1365</f>
        <v/>
      </c>
      <c r="U1365" s="14">
        <f>L1365*G1365</f>
        <v/>
      </c>
    </row>
    <row r="1366">
      <c r="A1366" s="12" t="inlineStr">
        <is>
          <t>PO-2021-1364</t>
        </is>
      </c>
      <c r="B1366" s="26" t="n">
        <v>44820</v>
      </c>
      <c r="C1366" s="12" t="inlineStr">
        <is>
          <t>VS06</t>
        </is>
      </c>
      <c r="D1366" s="12" t="inlineStr">
        <is>
          <t>MS Sheets</t>
        </is>
      </c>
      <c r="E1366" s="12" t="inlineStr">
        <is>
          <t>N</t>
        </is>
      </c>
      <c r="F1366" s="12" t="n">
        <v>6.11</v>
      </c>
      <c r="G1366" s="17" t="n">
        <v>86468.00999999999</v>
      </c>
      <c r="H1366" s="26" t="n">
        <v>44823</v>
      </c>
      <c r="I1366" s="26" t="n">
        <v>44824</v>
      </c>
      <c r="J1366" s="12" t="n">
        <v>6.06</v>
      </c>
      <c r="K1366" s="17" t="n">
        <v>528319.54</v>
      </c>
      <c r="L1366" s="12" t="n">
        <v>0</v>
      </c>
      <c r="M1366" s="12" t="n">
        <v>0</v>
      </c>
      <c r="N1366" s="27">
        <f>F1366-J1366</f>
        <v/>
      </c>
      <c r="O1366" s="16">
        <f>I1366-H1366</f>
        <v/>
      </c>
      <c r="P1366" s="14">
        <f>F1366*G1366</f>
        <v/>
      </c>
      <c r="Q1366" s="14">
        <f>J1366*G1366</f>
        <v/>
      </c>
      <c r="R1366" s="14">
        <f>K1366-Q1366</f>
        <v/>
      </c>
      <c r="S1366" s="3">
        <f>P1366*Assumptions!$B$3/100</f>
        <v/>
      </c>
      <c r="T1366" s="14">
        <f>R1366-S1366</f>
        <v/>
      </c>
      <c r="U1366" s="14">
        <f>L1366*G1366</f>
        <v/>
      </c>
    </row>
    <row r="1367">
      <c r="A1367" s="12" t="inlineStr">
        <is>
          <t>PO-2021-1365</t>
        </is>
      </c>
      <c r="B1367" s="26" t="n">
        <v>45197</v>
      </c>
      <c r="C1367" s="12" t="inlineStr">
        <is>
          <t>VS02</t>
        </is>
      </c>
      <c r="D1367" s="12" t="inlineStr">
        <is>
          <t>MS Sheets</t>
        </is>
      </c>
      <c r="E1367" s="12" t="inlineStr">
        <is>
          <t>N</t>
        </is>
      </c>
      <c r="F1367" s="12" t="n">
        <v>10.75</v>
      </c>
      <c r="G1367" s="17" t="n">
        <v>113350.9</v>
      </c>
      <c r="H1367" s="26" t="n">
        <v>45206</v>
      </c>
      <c r="I1367" s="26" t="n">
        <v>45208</v>
      </c>
      <c r="J1367" s="12" t="n">
        <v>10.68</v>
      </c>
      <c r="K1367" s="17" t="n">
        <v>1218522.18</v>
      </c>
      <c r="L1367" s="12" t="n">
        <v>0</v>
      </c>
      <c r="M1367" s="12" t="n">
        <v>5</v>
      </c>
      <c r="N1367" s="27">
        <f>F1367-J1367</f>
        <v/>
      </c>
      <c r="O1367" s="16">
        <f>I1367-H1367</f>
        <v/>
      </c>
      <c r="P1367" s="14">
        <f>F1367*G1367</f>
        <v/>
      </c>
      <c r="Q1367" s="14">
        <f>J1367*G1367</f>
        <v/>
      </c>
      <c r="R1367" s="14">
        <f>K1367-Q1367</f>
        <v/>
      </c>
      <c r="S1367" s="3">
        <f>P1367*Assumptions!$B$3/100</f>
        <v/>
      </c>
      <c r="T1367" s="14">
        <f>R1367-S1367</f>
        <v/>
      </c>
      <c r="U1367" s="14">
        <f>L1367*G1367</f>
        <v/>
      </c>
    </row>
    <row r="1368">
      <c r="A1368" s="12" t="inlineStr">
        <is>
          <t>PO-2021-1366</t>
        </is>
      </c>
      <c r="B1368" s="26" t="n">
        <v>44778</v>
      </c>
      <c r="C1368" s="12" t="inlineStr">
        <is>
          <t>VS14</t>
        </is>
      </c>
      <c r="D1368" s="12" t="inlineStr">
        <is>
          <t>HR Coils</t>
        </is>
      </c>
      <c r="E1368" s="12" t="inlineStr">
        <is>
          <t>N</t>
        </is>
      </c>
      <c r="F1368" s="12" t="n">
        <v>15.26</v>
      </c>
      <c r="G1368" s="17" t="n">
        <v>84329.67999999999</v>
      </c>
      <c r="H1368" s="26" t="n">
        <v>44788</v>
      </c>
      <c r="I1368" s="26" t="n">
        <v>44791</v>
      </c>
      <c r="J1368" s="12" t="n">
        <v>15.2</v>
      </c>
      <c r="K1368" s="17" t="n">
        <v>1286870.92</v>
      </c>
      <c r="L1368" s="12" t="n">
        <v>0</v>
      </c>
      <c r="M1368" s="12" t="n">
        <v>21</v>
      </c>
      <c r="N1368" s="27">
        <f>F1368-J1368</f>
        <v/>
      </c>
      <c r="O1368" s="16">
        <f>I1368-H1368</f>
        <v/>
      </c>
      <c r="P1368" s="14">
        <f>F1368*G1368</f>
        <v/>
      </c>
      <c r="Q1368" s="14">
        <f>J1368*G1368</f>
        <v/>
      </c>
      <c r="R1368" s="14">
        <f>K1368-Q1368</f>
        <v/>
      </c>
      <c r="S1368" s="3">
        <f>P1368*Assumptions!$B$3/100</f>
        <v/>
      </c>
      <c r="T1368" s="14">
        <f>R1368-S1368</f>
        <v/>
      </c>
      <c r="U1368" s="14">
        <f>L1368*G1368</f>
        <v/>
      </c>
    </row>
    <row r="1369">
      <c r="A1369" s="12" t="inlineStr">
        <is>
          <t>PO-2021-1367</t>
        </is>
      </c>
      <c r="B1369" s="26" t="n">
        <v>44314</v>
      </c>
      <c r="C1369" s="12" t="inlineStr">
        <is>
          <t>VS24</t>
        </is>
      </c>
      <c r="D1369" s="12" t="inlineStr">
        <is>
          <t>Hex Bars</t>
        </is>
      </c>
      <c r="E1369" s="12" t="inlineStr">
        <is>
          <t>N</t>
        </is>
      </c>
      <c r="F1369" s="12" t="n">
        <v>1.54</v>
      </c>
      <c r="G1369" s="17" t="n">
        <v>69507.91</v>
      </c>
      <c r="H1369" s="26" t="n">
        <v>44323</v>
      </c>
      <c r="I1369" s="26" t="n">
        <v>44323</v>
      </c>
      <c r="J1369" s="12" t="n">
        <v>1.53</v>
      </c>
      <c r="K1369" s="17" t="n">
        <v>107042.18</v>
      </c>
      <c r="L1369" s="12" t="n">
        <v>0</v>
      </c>
      <c r="M1369" s="12" t="n">
        <v>18</v>
      </c>
      <c r="N1369" s="27">
        <f>F1369-J1369</f>
        <v/>
      </c>
      <c r="O1369" s="16">
        <f>I1369-H1369</f>
        <v/>
      </c>
      <c r="P1369" s="14">
        <f>F1369*G1369</f>
        <v/>
      </c>
      <c r="Q1369" s="14">
        <f>J1369*G1369</f>
        <v/>
      </c>
      <c r="R1369" s="14">
        <f>K1369-Q1369</f>
        <v/>
      </c>
      <c r="S1369" s="3">
        <f>P1369*Assumptions!$B$3/100</f>
        <v/>
      </c>
      <c r="T1369" s="14">
        <f>R1369-S1369</f>
        <v/>
      </c>
      <c r="U1369" s="14">
        <f>L1369*G1369</f>
        <v/>
      </c>
    </row>
    <row r="1370">
      <c r="A1370" s="12" t="inlineStr">
        <is>
          <t>PO-2021-1368</t>
        </is>
      </c>
      <c r="B1370" s="26" t="n">
        <v>44997</v>
      </c>
      <c r="C1370" s="12" t="inlineStr">
        <is>
          <t>VS11</t>
        </is>
      </c>
      <c r="D1370" s="12" t="inlineStr">
        <is>
          <t>ERW Pipes</t>
        </is>
      </c>
      <c r="E1370" s="12" t="inlineStr">
        <is>
          <t>N</t>
        </is>
      </c>
      <c r="F1370" s="12" t="n">
        <v>7.33</v>
      </c>
      <c r="G1370" s="17" t="n">
        <v>76380.99000000001</v>
      </c>
      <c r="H1370" s="26" t="n">
        <v>45011</v>
      </c>
      <c r="I1370" s="26" t="n">
        <v>45012</v>
      </c>
      <c r="J1370" s="12" t="n">
        <v>7.27</v>
      </c>
      <c r="K1370" s="17" t="n">
        <v>559872.66</v>
      </c>
      <c r="L1370" s="12" t="n">
        <v>0</v>
      </c>
      <c r="M1370" s="12" t="n">
        <v>14</v>
      </c>
      <c r="N1370" s="27">
        <f>F1370-J1370</f>
        <v/>
      </c>
      <c r="O1370" s="16">
        <f>I1370-H1370</f>
        <v/>
      </c>
      <c r="P1370" s="14">
        <f>F1370*G1370</f>
        <v/>
      </c>
      <c r="Q1370" s="14">
        <f>J1370*G1370</f>
        <v/>
      </c>
      <c r="R1370" s="14">
        <f>K1370-Q1370</f>
        <v/>
      </c>
      <c r="S1370" s="3">
        <f>P1370*Assumptions!$B$3/100</f>
        <v/>
      </c>
      <c r="T1370" s="14">
        <f>R1370-S1370</f>
        <v/>
      </c>
      <c r="U1370" s="14">
        <f>L1370*G1370</f>
        <v/>
      </c>
    </row>
    <row r="1371">
      <c r="A1371" s="12" t="inlineStr">
        <is>
          <t>PO-2021-1369</t>
        </is>
      </c>
      <c r="B1371" s="26" t="n">
        <v>44337</v>
      </c>
      <c r="C1371" s="12" t="inlineStr">
        <is>
          <t>VS25</t>
        </is>
      </c>
      <c r="D1371" s="12" t="inlineStr">
        <is>
          <t>GI Sheets</t>
        </is>
      </c>
      <c r="E1371" s="12" t="inlineStr">
        <is>
          <t>N</t>
        </is>
      </c>
      <c r="F1371" s="12" t="n">
        <v>7.37</v>
      </c>
      <c r="G1371" s="17" t="n">
        <v>60425.78</v>
      </c>
      <c r="H1371" s="26" t="n">
        <v>44346</v>
      </c>
      <c r="I1371" s="26" t="n">
        <v>44348</v>
      </c>
      <c r="J1371" s="12" t="n">
        <v>7.34</v>
      </c>
      <c r="K1371" s="17" t="n">
        <v>445338</v>
      </c>
      <c r="L1371" s="12" t="n">
        <v>0</v>
      </c>
      <c r="M1371" s="12" t="n">
        <v>1</v>
      </c>
      <c r="N1371" s="27">
        <f>F1371-J1371</f>
        <v/>
      </c>
      <c r="O1371" s="16">
        <f>I1371-H1371</f>
        <v/>
      </c>
      <c r="P1371" s="14">
        <f>F1371*G1371</f>
        <v/>
      </c>
      <c r="Q1371" s="14">
        <f>J1371*G1371</f>
        <v/>
      </c>
      <c r="R1371" s="14">
        <f>K1371-Q1371</f>
        <v/>
      </c>
      <c r="S1371" s="3">
        <f>P1371*Assumptions!$B$3/100</f>
        <v/>
      </c>
      <c r="T1371" s="14">
        <f>R1371-S1371</f>
        <v/>
      </c>
      <c r="U1371" s="14">
        <f>L1371*G1371</f>
        <v/>
      </c>
    </row>
    <row r="1372">
      <c r="A1372" s="12" t="inlineStr">
        <is>
          <t>PO-2021-1370</t>
        </is>
      </c>
      <c r="B1372" s="26" t="n">
        <v>45169</v>
      </c>
      <c r="C1372" s="12" t="inlineStr">
        <is>
          <t>VS11</t>
        </is>
      </c>
      <c r="D1372" s="12" t="inlineStr">
        <is>
          <t>SS Sheets</t>
        </is>
      </c>
      <c r="E1372" s="12" t="inlineStr">
        <is>
          <t>N</t>
        </is>
      </c>
      <c r="F1372" s="12" t="n">
        <v>29.79</v>
      </c>
      <c r="G1372" s="17" t="n">
        <v>82685.63</v>
      </c>
      <c r="H1372" s="26" t="n">
        <v>45182</v>
      </c>
      <c r="I1372" s="26" t="n">
        <v>45182</v>
      </c>
      <c r="J1372" s="12" t="n">
        <v>29.74</v>
      </c>
      <c r="K1372" s="17" t="n">
        <v>2463204.92</v>
      </c>
      <c r="L1372" s="12" t="n">
        <v>0</v>
      </c>
      <c r="M1372" s="12" t="n">
        <v>6</v>
      </c>
      <c r="N1372" s="27">
        <f>F1372-J1372</f>
        <v/>
      </c>
      <c r="O1372" s="16">
        <f>I1372-H1372</f>
        <v/>
      </c>
      <c r="P1372" s="14">
        <f>F1372*G1372</f>
        <v/>
      </c>
      <c r="Q1372" s="14">
        <f>J1372*G1372</f>
        <v/>
      </c>
      <c r="R1372" s="14">
        <f>K1372-Q1372</f>
        <v/>
      </c>
      <c r="S1372" s="3">
        <f>P1372*Assumptions!$B$3/100</f>
        <v/>
      </c>
      <c r="T1372" s="14">
        <f>R1372-S1372</f>
        <v/>
      </c>
      <c r="U1372" s="14">
        <f>L1372*G1372</f>
        <v/>
      </c>
    </row>
    <row r="1373">
      <c r="A1373" s="12" t="inlineStr">
        <is>
          <t>PO-2021-1371</t>
        </is>
      </c>
      <c r="B1373" s="26" t="n">
        <v>45136</v>
      </c>
      <c r="C1373" s="12" t="inlineStr">
        <is>
          <t>VS18</t>
        </is>
      </c>
      <c r="D1373" s="12" t="inlineStr">
        <is>
          <t>GI Sheets</t>
        </is>
      </c>
      <c r="E1373" s="12" t="inlineStr">
        <is>
          <t>N</t>
        </is>
      </c>
      <c r="F1373" s="12" t="n">
        <v>1.36</v>
      </c>
      <c r="G1373" s="17" t="n">
        <v>55701.9</v>
      </c>
      <c r="H1373" s="26" t="n">
        <v>45140</v>
      </c>
      <c r="I1373" s="26" t="n">
        <v>45143</v>
      </c>
      <c r="J1373" s="12" t="n">
        <v>1.36</v>
      </c>
      <c r="K1373" s="17" t="n">
        <v>75754.58</v>
      </c>
      <c r="L1373" s="12" t="n">
        <v>0</v>
      </c>
      <c r="M1373" s="12" t="n">
        <v>1</v>
      </c>
      <c r="N1373" s="27">
        <f>F1373-J1373</f>
        <v/>
      </c>
      <c r="O1373" s="16">
        <f>I1373-H1373</f>
        <v/>
      </c>
      <c r="P1373" s="14">
        <f>F1373*G1373</f>
        <v/>
      </c>
      <c r="Q1373" s="14">
        <f>J1373*G1373</f>
        <v/>
      </c>
      <c r="R1373" s="14">
        <f>K1373-Q1373</f>
        <v/>
      </c>
      <c r="S1373" s="3">
        <f>P1373*Assumptions!$B$3/100</f>
        <v/>
      </c>
      <c r="T1373" s="14">
        <f>R1373-S1373</f>
        <v/>
      </c>
      <c r="U1373" s="14">
        <f>L1373*G1373</f>
        <v/>
      </c>
    </row>
    <row r="1374">
      <c r="A1374" s="12" t="inlineStr">
        <is>
          <t>PO-2021-1372</t>
        </is>
      </c>
      <c r="B1374" s="26" t="n">
        <v>45014</v>
      </c>
      <c r="C1374" s="12" t="inlineStr">
        <is>
          <t>VS16</t>
        </is>
      </c>
      <c r="D1374" s="12" t="inlineStr">
        <is>
          <t>Hex Bars</t>
        </is>
      </c>
      <c r="E1374" s="12" t="inlineStr">
        <is>
          <t>N</t>
        </is>
      </c>
      <c r="F1374" s="12" t="n">
        <v>17.12</v>
      </c>
      <c r="G1374" s="17" t="n">
        <v>87692.17999999999</v>
      </c>
      <c r="H1374" s="26" t="n">
        <v>45024</v>
      </c>
      <c r="I1374" s="26" t="n">
        <v>45027</v>
      </c>
      <c r="J1374" s="12" t="n">
        <v>17.1</v>
      </c>
      <c r="K1374" s="17" t="n">
        <v>1501290.12</v>
      </c>
      <c r="L1374" s="12" t="n">
        <v>0</v>
      </c>
      <c r="M1374" s="12" t="n">
        <v>23</v>
      </c>
      <c r="N1374" s="27">
        <f>F1374-J1374</f>
        <v/>
      </c>
      <c r="O1374" s="16">
        <f>I1374-H1374</f>
        <v/>
      </c>
      <c r="P1374" s="14">
        <f>F1374*G1374</f>
        <v/>
      </c>
      <c r="Q1374" s="14">
        <f>J1374*G1374</f>
        <v/>
      </c>
      <c r="R1374" s="14">
        <f>K1374-Q1374</f>
        <v/>
      </c>
      <c r="S1374" s="3">
        <f>P1374*Assumptions!$B$3/100</f>
        <v/>
      </c>
      <c r="T1374" s="14">
        <f>R1374-S1374</f>
        <v/>
      </c>
      <c r="U1374" s="14">
        <f>L1374*G1374</f>
        <v/>
      </c>
    </row>
    <row r="1375">
      <c r="A1375" s="12" t="inlineStr">
        <is>
          <t>PO-2021-1373</t>
        </is>
      </c>
      <c r="B1375" s="26" t="n">
        <v>45139</v>
      </c>
      <c r="C1375" s="12" t="inlineStr">
        <is>
          <t>VS30</t>
        </is>
      </c>
      <c r="D1375" s="12" t="inlineStr">
        <is>
          <t>GI Pipes</t>
        </is>
      </c>
      <c r="E1375" s="12" t="inlineStr">
        <is>
          <t>N</t>
        </is>
      </c>
      <c r="F1375" s="12" t="n">
        <v>37.13</v>
      </c>
      <c r="G1375" s="17" t="n">
        <v>66593.38</v>
      </c>
      <c r="H1375" s="26" t="n">
        <v>45149</v>
      </c>
      <c r="I1375" s="26" t="n">
        <v>45151</v>
      </c>
      <c r="J1375" s="12" t="n">
        <v>36.89</v>
      </c>
      <c r="K1375" s="17" t="n">
        <v>2472612.2</v>
      </c>
      <c r="L1375" s="12" t="n">
        <v>0</v>
      </c>
      <c r="M1375" s="12" t="n">
        <v>1</v>
      </c>
      <c r="N1375" s="27">
        <f>F1375-J1375</f>
        <v/>
      </c>
      <c r="O1375" s="16">
        <f>I1375-H1375</f>
        <v/>
      </c>
      <c r="P1375" s="14">
        <f>F1375*G1375</f>
        <v/>
      </c>
      <c r="Q1375" s="14">
        <f>J1375*G1375</f>
        <v/>
      </c>
      <c r="R1375" s="14">
        <f>K1375-Q1375</f>
        <v/>
      </c>
      <c r="S1375" s="3">
        <f>P1375*Assumptions!$B$3/100</f>
        <v/>
      </c>
      <c r="T1375" s="14">
        <f>R1375-S1375</f>
        <v/>
      </c>
      <c r="U1375" s="14">
        <f>L1375*G1375</f>
        <v/>
      </c>
    </row>
    <row r="1376">
      <c r="A1376" s="12" t="inlineStr">
        <is>
          <t>PO-2021-1374</t>
        </is>
      </c>
      <c r="B1376" s="26" t="n">
        <v>44907</v>
      </c>
      <c r="C1376" s="12" t="inlineStr">
        <is>
          <t>VS20</t>
        </is>
      </c>
      <c r="D1376" s="12" t="inlineStr">
        <is>
          <t>MS Rods</t>
        </is>
      </c>
      <c r="E1376" s="12" t="inlineStr">
        <is>
          <t>N</t>
        </is>
      </c>
      <c r="F1376" s="12" t="n">
        <v>31.04</v>
      </c>
      <c r="G1376" s="17" t="n">
        <v>105748.86</v>
      </c>
      <c r="H1376" s="26" t="n">
        <v>44912</v>
      </c>
      <c r="I1376" s="26" t="n">
        <v>44913</v>
      </c>
      <c r="J1376" s="12" t="n">
        <v>30.76</v>
      </c>
      <c r="K1376" s="17" t="n">
        <v>3282444.61</v>
      </c>
      <c r="L1376" s="12" t="n">
        <v>0</v>
      </c>
      <c r="M1376" s="12" t="n">
        <v>0</v>
      </c>
      <c r="N1376" s="27">
        <f>F1376-J1376</f>
        <v/>
      </c>
      <c r="O1376" s="16">
        <f>I1376-H1376</f>
        <v/>
      </c>
      <c r="P1376" s="14">
        <f>F1376*G1376</f>
        <v/>
      </c>
      <c r="Q1376" s="14">
        <f>J1376*G1376</f>
        <v/>
      </c>
      <c r="R1376" s="14">
        <f>K1376-Q1376</f>
        <v/>
      </c>
      <c r="S1376" s="3">
        <f>P1376*Assumptions!$B$3/100</f>
        <v/>
      </c>
      <c r="T1376" s="14">
        <f>R1376-S1376</f>
        <v/>
      </c>
      <c r="U1376" s="14">
        <f>L1376*G1376</f>
        <v/>
      </c>
    </row>
    <row r="1377">
      <c r="A1377" s="12" t="inlineStr">
        <is>
          <t>PO-2021-1375</t>
        </is>
      </c>
      <c r="B1377" s="26" t="n">
        <v>45047</v>
      </c>
      <c r="C1377" s="12" t="inlineStr">
        <is>
          <t>VS16</t>
        </is>
      </c>
      <c r="D1377" s="12" t="inlineStr">
        <is>
          <t>MS Sheets</t>
        </is>
      </c>
      <c r="E1377" s="12" t="inlineStr">
        <is>
          <t>N</t>
        </is>
      </c>
      <c r="F1377" s="12" t="n">
        <v>45.1</v>
      </c>
      <c r="G1377" s="17" t="n">
        <v>99993.3</v>
      </c>
      <c r="H1377" s="26" t="n">
        <v>45057</v>
      </c>
      <c r="I1377" s="26" t="n">
        <v>45057</v>
      </c>
      <c r="J1377" s="12" t="n">
        <v>45.03</v>
      </c>
      <c r="K1377" s="17" t="n">
        <v>4509697.83</v>
      </c>
      <c r="L1377" s="12" t="n">
        <v>0</v>
      </c>
      <c r="M1377" s="12" t="n">
        <v>0</v>
      </c>
      <c r="N1377" s="27">
        <f>F1377-J1377</f>
        <v/>
      </c>
      <c r="O1377" s="16">
        <f>I1377-H1377</f>
        <v/>
      </c>
      <c r="P1377" s="14">
        <f>F1377*G1377</f>
        <v/>
      </c>
      <c r="Q1377" s="14">
        <f>J1377*G1377</f>
        <v/>
      </c>
      <c r="R1377" s="14">
        <f>K1377-Q1377</f>
        <v/>
      </c>
      <c r="S1377" s="3">
        <f>P1377*Assumptions!$B$3/100</f>
        <v/>
      </c>
      <c r="T1377" s="14">
        <f>R1377-S1377</f>
        <v/>
      </c>
      <c r="U1377" s="14">
        <f>L1377*G1377</f>
        <v/>
      </c>
    </row>
    <row r="1378">
      <c r="A1378" s="12" t="inlineStr">
        <is>
          <t>PO-2021-1376</t>
        </is>
      </c>
      <c r="B1378" s="26" t="n">
        <v>44984</v>
      </c>
      <c r="C1378" s="12" t="inlineStr">
        <is>
          <t>VS12</t>
        </is>
      </c>
      <c r="D1378" s="12" t="inlineStr">
        <is>
          <t>ERW Pipes</t>
        </is>
      </c>
      <c r="E1378" s="12" t="inlineStr">
        <is>
          <t>N</t>
        </is>
      </c>
      <c r="F1378" s="12" t="n">
        <v>20.28</v>
      </c>
      <c r="G1378" s="17" t="n">
        <v>120563.61</v>
      </c>
      <c r="H1378" s="26" t="n">
        <v>44990</v>
      </c>
      <c r="I1378" s="26" t="n">
        <v>44996</v>
      </c>
      <c r="J1378" s="12" t="n">
        <v>19.34</v>
      </c>
      <c r="K1378" s="17" t="n">
        <v>2445030.01</v>
      </c>
      <c r="L1378" s="12" t="n">
        <v>0.76</v>
      </c>
      <c r="M1378" s="12" t="n">
        <v>0</v>
      </c>
      <c r="N1378" s="27">
        <f>F1378-J1378</f>
        <v/>
      </c>
      <c r="O1378" s="16">
        <f>I1378-H1378</f>
        <v/>
      </c>
      <c r="P1378" s="14">
        <f>F1378*G1378</f>
        <v/>
      </c>
      <c r="Q1378" s="14">
        <f>J1378*G1378</f>
        <v/>
      </c>
      <c r="R1378" s="14">
        <f>K1378-Q1378</f>
        <v/>
      </c>
      <c r="S1378" s="3">
        <f>P1378*Assumptions!$B$3/100</f>
        <v/>
      </c>
      <c r="T1378" s="14">
        <f>R1378-S1378</f>
        <v/>
      </c>
      <c r="U1378" s="14">
        <f>L1378*G1378</f>
        <v/>
      </c>
    </row>
    <row r="1379">
      <c r="A1379" s="12" t="inlineStr">
        <is>
          <t>PO-2021-1377</t>
        </is>
      </c>
      <c r="B1379" s="26" t="n">
        <v>44520</v>
      </c>
      <c r="C1379" s="12" t="inlineStr">
        <is>
          <t>VS18</t>
        </is>
      </c>
      <c r="D1379" s="12" t="inlineStr">
        <is>
          <t>Spring Steel</t>
        </is>
      </c>
      <c r="E1379" s="12" t="inlineStr">
        <is>
          <t>N</t>
        </is>
      </c>
      <c r="F1379" s="12" t="n">
        <v>15.3</v>
      </c>
      <c r="G1379" s="17" t="n">
        <v>113722.23</v>
      </c>
      <c r="H1379" s="26" t="n">
        <v>44534</v>
      </c>
      <c r="I1379" s="26" t="n">
        <v>44534</v>
      </c>
      <c r="J1379" s="12" t="n">
        <v>15.19</v>
      </c>
      <c r="K1379" s="17" t="n">
        <v>1739950.12</v>
      </c>
      <c r="L1379" s="12" t="n">
        <v>0</v>
      </c>
      <c r="M1379" s="12" t="n">
        <v>6</v>
      </c>
      <c r="N1379" s="27">
        <f>F1379-J1379</f>
        <v/>
      </c>
      <c r="O1379" s="16">
        <f>I1379-H1379</f>
        <v/>
      </c>
      <c r="P1379" s="14">
        <f>F1379*G1379</f>
        <v/>
      </c>
      <c r="Q1379" s="14">
        <f>J1379*G1379</f>
        <v/>
      </c>
      <c r="R1379" s="14">
        <f>K1379-Q1379</f>
        <v/>
      </c>
      <c r="S1379" s="3">
        <f>P1379*Assumptions!$B$3/100</f>
        <v/>
      </c>
      <c r="T1379" s="14">
        <f>R1379-S1379</f>
        <v/>
      </c>
      <c r="U1379" s="14">
        <f>L1379*G1379</f>
        <v/>
      </c>
    </row>
    <row r="1380">
      <c r="A1380" s="12" t="inlineStr">
        <is>
          <t>PO-2021-1378</t>
        </is>
      </c>
      <c r="B1380" s="26" t="n">
        <v>44641</v>
      </c>
      <c r="C1380" s="12" t="inlineStr">
        <is>
          <t>VS32</t>
        </is>
      </c>
      <c r="D1380" s="12" t="inlineStr">
        <is>
          <t>GI Wire</t>
        </is>
      </c>
      <c r="E1380" s="12" t="inlineStr">
        <is>
          <t>N</t>
        </is>
      </c>
      <c r="F1380" s="12" t="n">
        <v>49.63</v>
      </c>
      <c r="G1380" s="17" t="n">
        <v>86461.78999999999</v>
      </c>
      <c r="H1380" s="26" t="n">
        <v>44649</v>
      </c>
      <c r="I1380" s="26" t="n">
        <v>44652</v>
      </c>
      <c r="J1380" s="12" t="n">
        <v>49.55</v>
      </c>
      <c r="K1380" s="17" t="n">
        <v>4291098.64</v>
      </c>
      <c r="L1380" s="12" t="n">
        <v>0</v>
      </c>
      <c r="M1380" s="12" t="n">
        <v>0</v>
      </c>
      <c r="N1380" s="27">
        <f>F1380-J1380</f>
        <v/>
      </c>
      <c r="O1380" s="16">
        <f>I1380-H1380</f>
        <v/>
      </c>
      <c r="P1380" s="14">
        <f>F1380*G1380</f>
        <v/>
      </c>
      <c r="Q1380" s="14">
        <f>J1380*G1380</f>
        <v/>
      </c>
      <c r="R1380" s="14">
        <f>K1380-Q1380</f>
        <v/>
      </c>
      <c r="S1380" s="3">
        <f>P1380*Assumptions!$B$3/100</f>
        <v/>
      </c>
      <c r="T1380" s="14">
        <f>R1380-S1380</f>
        <v/>
      </c>
      <c r="U1380" s="14">
        <f>L1380*G1380</f>
        <v/>
      </c>
    </row>
    <row r="1381">
      <c r="A1381" s="12" t="inlineStr">
        <is>
          <t>PO-2021-1379</t>
        </is>
      </c>
      <c r="B1381" s="26" t="n">
        <v>44353</v>
      </c>
      <c r="C1381" s="12" t="inlineStr">
        <is>
          <t>VS07</t>
        </is>
      </c>
      <c r="D1381" s="12" t="inlineStr">
        <is>
          <t>Hex Bars</t>
        </is>
      </c>
      <c r="E1381" s="12" t="inlineStr">
        <is>
          <t>N</t>
        </is>
      </c>
      <c r="F1381" s="12" t="n">
        <v>38.56</v>
      </c>
      <c r="G1381" s="17" t="n">
        <v>69450.99000000001</v>
      </c>
      <c r="H1381" s="26" t="n">
        <v>44363</v>
      </c>
      <c r="I1381" s="26" t="n">
        <v>44363</v>
      </c>
      <c r="J1381" s="12" t="n">
        <v>38.44</v>
      </c>
      <c r="K1381" s="17" t="n">
        <v>2678030.17</v>
      </c>
      <c r="L1381" s="12" t="n">
        <v>0</v>
      </c>
      <c r="M1381" s="12" t="n">
        <v>0</v>
      </c>
      <c r="N1381" s="27">
        <f>F1381-J1381</f>
        <v/>
      </c>
      <c r="O1381" s="16">
        <f>I1381-H1381</f>
        <v/>
      </c>
      <c r="P1381" s="14">
        <f>F1381*G1381</f>
        <v/>
      </c>
      <c r="Q1381" s="14">
        <f>J1381*G1381</f>
        <v/>
      </c>
      <c r="R1381" s="14">
        <f>K1381-Q1381</f>
        <v/>
      </c>
      <c r="S1381" s="3">
        <f>P1381*Assumptions!$B$3/100</f>
        <v/>
      </c>
      <c r="T1381" s="14">
        <f>R1381-S1381</f>
        <v/>
      </c>
      <c r="U1381" s="14">
        <f>L1381*G1381</f>
        <v/>
      </c>
    </row>
    <row r="1382">
      <c r="A1382" s="12" t="inlineStr">
        <is>
          <t>PO-2021-1380</t>
        </is>
      </c>
      <c r="B1382" s="26" t="n">
        <v>44534</v>
      </c>
      <c r="C1382" s="12" t="inlineStr">
        <is>
          <t>VS17</t>
        </is>
      </c>
      <c r="D1382" s="12" t="inlineStr">
        <is>
          <t>GI Sheets</t>
        </is>
      </c>
      <c r="E1382" s="12" t="inlineStr">
        <is>
          <t>N</t>
        </is>
      </c>
      <c r="F1382" s="12" t="n">
        <v>25.8</v>
      </c>
      <c r="G1382" s="17" t="n">
        <v>79662.56</v>
      </c>
      <c r="H1382" s="26" t="n">
        <v>44538</v>
      </c>
      <c r="I1382" s="26" t="n">
        <v>44538</v>
      </c>
      <c r="J1382" s="12" t="n">
        <v>25.61</v>
      </c>
      <c r="K1382" s="17" t="n">
        <v>2055294.05</v>
      </c>
      <c r="L1382" s="12" t="n">
        <v>0</v>
      </c>
      <c r="M1382" s="12" t="n">
        <v>20</v>
      </c>
      <c r="N1382" s="27">
        <f>F1382-J1382</f>
        <v/>
      </c>
      <c r="O1382" s="16">
        <f>I1382-H1382</f>
        <v/>
      </c>
      <c r="P1382" s="14">
        <f>F1382*G1382</f>
        <v/>
      </c>
      <c r="Q1382" s="14">
        <f>J1382*G1382</f>
        <v/>
      </c>
      <c r="R1382" s="14">
        <f>K1382-Q1382</f>
        <v/>
      </c>
      <c r="S1382" s="3">
        <f>P1382*Assumptions!$B$3/100</f>
        <v/>
      </c>
      <c r="T1382" s="14">
        <f>R1382-S1382</f>
        <v/>
      </c>
      <c r="U1382" s="14">
        <f>L1382*G1382</f>
        <v/>
      </c>
    </row>
    <row r="1383">
      <c r="A1383" s="12" t="inlineStr">
        <is>
          <t>PO-2021-1381</t>
        </is>
      </c>
      <c r="B1383" s="26" t="n">
        <v>45142</v>
      </c>
      <c r="C1383" s="12" t="inlineStr">
        <is>
          <t>VS25</t>
        </is>
      </c>
      <c r="D1383" s="12" t="inlineStr">
        <is>
          <t>MS Flats</t>
        </is>
      </c>
      <c r="E1383" s="12" t="inlineStr">
        <is>
          <t>N</t>
        </is>
      </c>
      <c r="F1383" s="12" t="n">
        <v>37.55</v>
      </c>
      <c r="G1383" s="17" t="n">
        <v>109182.99</v>
      </c>
      <c r="H1383" s="26" t="n">
        <v>45151</v>
      </c>
      <c r="I1383" s="26" t="n">
        <v>45152</v>
      </c>
      <c r="J1383" s="12" t="n">
        <v>37.28</v>
      </c>
      <c r="K1383" s="17" t="n">
        <v>4099821.27</v>
      </c>
      <c r="L1383" s="12" t="n">
        <v>0</v>
      </c>
      <c r="M1383" s="12" t="n">
        <v>0</v>
      </c>
      <c r="N1383" s="27">
        <f>F1383-J1383</f>
        <v/>
      </c>
      <c r="O1383" s="16">
        <f>I1383-H1383</f>
        <v/>
      </c>
      <c r="P1383" s="14">
        <f>F1383*G1383</f>
        <v/>
      </c>
      <c r="Q1383" s="14">
        <f>J1383*G1383</f>
        <v/>
      </c>
      <c r="R1383" s="14">
        <f>K1383-Q1383</f>
        <v/>
      </c>
      <c r="S1383" s="3">
        <f>P1383*Assumptions!$B$3/100</f>
        <v/>
      </c>
      <c r="T1383" s="14">
        <f>R1383-S1383</f>
        <v/>
      </c>
      <c r="U1383" s="14">
        <f>L1383*G1383</f>
        <v/>
      </c>
    </row>
    <row r="1384">
      <c r="A1384" s="12" t="inlineStr">
        <is>
          <t>PO-2021-1382</t>
        </is>
      </c>
      <c r="B1384" s="26" t="n">
        <v>44274</v>
      </c>
      <c r="C1384" s="12" t="inlineStr">
        <is>
          <t>VS01</t>
        </is>
      </c>
      <c r="D1384" s="12" t="inlineStr">
        <is>
          <t>CR Sheets</t>
        </is>
      </c>
      <c r="E1384" s="12" t="inlineStr">
        <is>
          <t>Y</t>
        </is>
      </c>
      <c r="F1384" s="12" t="n">
        <v>6.62</v>
      </c>
      <c r="G1384" s="17" t="n">
        <v>113785.27</v>
      </c>
      <c r="H1384" s="26" t="n">
        <v>44282</v>
      </c>
      <c r="I1384" s="26" t="n">
        <v>44284</v>
      </c>
      <c r="J1384" s="12" t="n">
        <v>6.57</v>
      </c>
      <c r="K1384" s="17" t="n">
        <v>753258.49</v>
      </c>
      <c r="L1384" s="12" t="n">
        <v>0</v>
      </c>
      <c r="M1384" s="12" t="n">
        <v>0</v>
      </c>
      <c r="N1384" s="27">
        <f>F1384-J1384</f>
        <v/>
      </c>
      <c r="O1384" s="16">
        <f>I1384-H1384</f>
        <v/>
      </c>
      <c r="P1384" s="14">
        <f>F1384*G1384</f>
        <v/>
      </c>
      <c r="Q1384" s="14">
        <f>J1384*G1384</f>
        <v/>
      </c>
      <c r="R1384" s="14">
        <f>K1384-Q1384</f>
        <v/>
      </c>
      <c r="S1384" s="3">
        <f>P1384*Assumptions!$B$3/100</f>
        <v/>
      </c>
      <c r="T1384" s="14">
        <f>R1384-S1384</f>
        <v/>
      </c>
      <c r="U1384" s="14">
        <f>L1384*G1384</f>
        <v/>
      </c>
    </row>
    <row r="1385">
      <c r="A1385" s="12" t="inlineStr">
        <is>
          <t>PO-2021-1383</t>
        </is>
      </c>
      <c r="B1385" s="26" t="n">
        <v>45147</v>
      </c>
      <c r="C1385" s="12" t="inlineStr">
        <is>
          <t>VS32</t>
        </is>
      </c>
      <c r="D1385" s="12" t="inlineStr">
        <is>
          <t>Fasteners &amp; Fittings</t>
        </is>
      </c>
      <c r="E1385" s="12" t="inlineStr">
        <is>
          <t>Y</t>
        </is>
      </c>
      <c r="F1385" s="12" t="n">
        <v>4.34</v>
      </c>
      <c r="G1385" s="17" t="n">
        <v>86132.14</v>
      </c>
      <c r="H1385" s="26" t="n">
        <v>45153</v>
      </c>
      <c r="I1385" s="26" t="n">
        <v>45155</v>
      </c>
      <c r="J1385" s="12" t="n">
        <v>4.3</v>
      </c>
      <c r="K1385" s="17" t="n">
        <v>373813.49</v>
      </c>
      <c r="L1385" s="12" t="n">
        <v>0</v>
      </c>
      <c r="M1385" s="12" t="n">
        <v>6</v>
      </c>
      <c r="N1385" s="27">
        <f>F1385-J1385</f>
        <v/>
      </c>
      <c r="O1385" s="16">
        <f>I1385-H1385</f>
        <v/>
      </c>
      <c r="P1385" s="14">
        <f>F1385*G1385</f>
        <v/>
      </c>
      <c r="Q1385" s="14">
        <f>J1385*G1385</f>
        <v/>
      </c>
      <c r="R1385" s="14">
        <f>K1385-Q1385</f>
        <v/>
      </c>
      <c r="S1385" s="3">
        <f>P1385*Assumptions!$B$3/100</f>
        <v/>
      </c>
      <c r="T1385" s="14">
        <f>R1385-S1385</f>
        <v/>
      </c>
      <c r="U1385" s="14">
        <f>L1385*G1385</f>
        <v/>
      </c>
    </row>
    <row r="1386">
      <c r="A1386" s="12" t="inlineStr">
        <is>
          <t>PO-2021-1384</t>
        </is>
      </c>
      <c r="B1386" s="26" t="n">
        <v>45093</v>
      </c>
      <c r="C1386" s="12" t="inlineStr">
        <is>
          <t>VS09</t>
        </is>
      </c>
      <c r="D1386" s="12" t="inlineStr">
        <is>
          <t>Structural Steel</t>
        </is>
      </c>
      <c r="E1386" s="12" t="inlineStr">
        <is>
          <t>N</t>
        </is>
      </c>
      <c r="F1386" s="12" t="n">
        <v>41.2</v>
      </c>
      <c r="G1386" s="17" t="n">
        <v>108117.19</v>
      </c>
      <c r="H1386" s="26" t="n">
        <v>45098</v>
      </c>
      <c r="I1386" s="26" t="n">
        <v>45098</v>
      </c>
      <c r="J1386" s="12" t="n">
        <v>41.03</v>
      </c>
      <c r="K1386" s="17" t="n">
        <v>4454428.23</v>
      </c>
      <c r="L1386" s="12" t="n">
        <v>0</v>
      </c>
      <c r="M1386" s="12" t="n">
        <v>18</v>
      </c>
      <c r="N1386" s="27">
        <f>F1386-J1386</f>
        <v/>
      </c>
      <c r="O1386" s="16">
        <f>I1386-H1386</f>
        <v/>
      </c>
      <c r="P1386" s="14">
        <f>F1386*G1386</f>
        <v/>
      </c>
      <c r="Q1386" s="14">
        <f>J1386*G1386</f>
        <v/>
      </c>
      <c r="R1386" s="14">
        <f>K1386-Q1386</f>
        <v/>
      </c>
      <c r="S1386" s="3">
        <f>P1386*Assumptions!$B$3/100</f>
        <v/>
      </c>
      <c r="T1386" s="14">
        <f>R1386-S1386</f>
        <v/>
      </c>
      <c r="U1386" s="14">
        <f>L1386*G1386</f>
        <v/>
      </c>
    </row>
    <row r="1387">
      <c r="A1387" s="12" t="inlineStr">
        <is>
          <t>PO-2021-1385</t>
        </is>
      </c>
      <c r="B1387" s="26" t="n">
        <v>44233</v>
      </c>
      <c r="C1387" s="12" t="inlineStr">
        <is>
          <t>VS07</t>
        </is>
      </c>
      <c r="D1387" s="12" t="inlineStr">
        <is>
          <t>MS Sheets</t>
        </is>
      </c>
      <c r="E1387" s="12" t="inlineStr">
        <is>
          <t>N</t>
        </is>
      </c>
      <c r="F1387" s="12" t="n">
        <v>15.41</v>
      </c>
      <c r="G1387" s="17" t="n">
        <v>85099.03999999999</v>
      </c>
      <c r="H1387" s="26" t="n">
        <v>44242</v>
      </c>
      <c r="I1387" s="26" t="n">
        <v>44244</v>
      </c>
      <c r="J1387" s="12" t="n">
        <v>15.38</v>
      </c>
      <c r="K1387" s="17" t="n">
        <v>1311376.21</v>
      </c>
      <c r="L1387" s="12" t="n">
        <v>0</v>
      </c>
      <c r="M1387" s="12" t="n">
        <v>0</v>
      </c>
      <c r="N1387" s="27">
        <f>F1387-J1387</f>
        <v/>
      </c>
      <c r="O1387" s="16">
        <f>I1387-H1387</f>
        <v/>
      </c>
      <c r="P1387" s="14">
        <f>F1387*G1387</f>
        <v/>
      </c>
      <c r="Q1387" s="14">
        <f>J1387*G1387</f>
        <v/>
      </c>
      <c r="R1387" s="14">
        <f>K1387-Q1387</f>
        <v/>
      </c>
      <c r="S1387" s="3">
        <f>P1387*Assumptions!$B$3/100</f>
        <v/>
      </c>
      <c r="T1387" s="14">
        <f>R1387-S1387</f>
        <v/>
      </c>
      <c r="U1387" s="14">
        <f>L1387*G1387</f>
        <v/>
      </c>
    </row>
    <row r="1388">
      <c r="A1388" s="12" t="inlineStr">
        <is>
          <t>PO-2021-1386</t>
        </is>
      </c>
      <c r="B1388" s="26" t="n">
        <v>44541</v>
      </c>
      <c r="C1388" s="12" t="inlineStr">
        <is>
          <t>VS05</t>
        </is>
      </c>
      <c r="D1388" s="12" t="inlineStr">
        <is>
          <t>MS Pipes</t>
        </is>
      </c>
      <c r="E1388" s="12" t="inlineStr">
        <is>
          <t>N</t>
        </is>
      </c>
      <c r="F1388" s="12" t="n">
        <v>34.19</v>
      </c>
      <c r="G1388" s="17" t="n">
        <v>56512.24</v>
      </c>
      <c r="H1388" s="26" t="n">
        <v>44549</v>
      </c>
      <c r="I1388" s="26" t="n">
        <v>44549</v>
      </c>
      <c r="J1388" s="12" t="n">
        <v>33.99</v>
      </c>
      <c r="K1388" s="17" t="n">
        <v>1932153.49</v>
      </c>
      <c r="L1388" s="12" t="n">
        <v>0</v>
      </c>
      <c r="M1388" s="12" t="n">
        <v>12</v>
      </c>
      <c r="N1388" s="27">
        <f>F1388-J1388</f>
        <v/>
      </c>
      <c r="O1388" s="16">
        <f>I1388-H1388</f>
        <v/>
      </c>
      <c r="P1388" s="14">
        <f>F1388*G1388</f>
        <v/>
      </c>
      <c r="Q1388" s="14">
        <f>J1388*G1388</f>
        <v/>
      </c>
      <c r="R1388" s="14">
        <f>K1388-Q1388</f>
        <v/>
      </c>
      <c r="S1388" s="3">
        <f>P1388*Assumptions!$B$3/100</f>
        <v/>
      </c>
      <c r="T1388" s="14">
        <f>R1388-S1388</f>
        <v/>
      </c>
      <c r="U1388" s="14">
        <f>L1388*G1388</f>
        <v/>
      </c>
    </row>
    <row r="1389">
      <c r="A1389" s="12" t="inlineStr">
        <is>
          <t>PO-2021-1387</t>
        </is>
      </c>
      <c r="B1389" s="26" t="n">
        <v>44561</v>
      </c>
      <c r="C1389" s="12" t="inlineStr">
        <is>
          <t>VS14</t>
        </is>
      </c>
      <c r="D1389" s="12" t="inlineStr">
        <is>
          <t>GI Pipes</t>
        </is>
      </c>
      <c r="E1389" s="12" t="inlineStr">
        <is>
          <t>N</t>
        </is>
      </c>
      <c r="F1389" s="12" t="n">
        <v>44.74</v>
      </c>
      <c r="G1389" s="17" t="n">
        <v>84922.41</v>
      </c>
      <c r="H1389" s="26" t="n">
        <v>44571</v>
      </c>
      <c r="I1389" s="26" t="n">
        <v>44574</v>
      </c>
      <c r="J1389" s="12" t="n">
        <v>44.41</v>
      </c>
      <c r="K1389" s="17" t="n">
        <v>3799428.62</v>
      </c>
      <c r="L1389" s="12" t="n">
        <v>0</v>
      </c>
      <c r="M1389" s="12" t="n">
        <v>22</v>
      </c>
      <c r="N1389" s="27">
        <f>F1389-J1389</f>
        <v/>
      </c>
      <c r="O1389" s="16">
        <f>I1389-H1389</f>
        <v/>
      </c>
      <c r="P1389" s="14">
        <f>F1389*G1389</f>
        <v/>
      </c>
      <c r="Q1389" s="14">
        <f>J1389*G1389</f>
        <v/>
      </c>
      <c r="R1389" s="14">
        <f>K1389-Q1389</f>
        <v/>
      </c>
      <c r="S1389" s="3">
        <f>P1389*Assumptions!$B$3/100</f>
        <v/>
      </c>
      <c r="T1389" s="14">
        <f>R1389-S1389</f>
        <v/>
      </c>
      <c r="U1389" s="14">
        <f>L1389*G1389</f>
        <v/>
      </c>
    </row>
    <row r="1390">
      <c r="A1390" s="12" t="inlineStr">
        <is>
          <t>PO-2021-1388</t>
        </is>
      </c>
      <c r="B1390" s="26" t="n">
        <v>44294</v>
      </c>
      <c r="C1390" s="12" t="inlineStr">
        <is>
          <t>VS34</t>
        </is>
      </c>
      <c r="D1390" s="12" t="inlineStr">
        <is>
          <t>ERW Pipes</t>
        </is>
      </c>
      <c r="E1390" s="12" t="inlineStr">
        <is>
          <t>N</t>
        </is>
      </c>
      <c r="F1390" s="12" t="n">
        <v>20.14</v>
      </c>
      <c r="G1390" s="17" t="n">
        <v>68124.32000000001</v>
      </c>
      <c r="H1390" s="26" t="n">
        <v>44297</v>
      </c>
      <c r="I1390" s="26" t="n">
        <v>44300</v>
      </c>
      <c r="J1390" s="12" t="n">
        <v>20.06</v>
      </c>
      <c r="K1390" s="17" t="n">
        <v>1372023.8</v>
      </c>
      <c r="L1390" s="12" t="n">
        <v>0</v>
      </c>
      <c r="M1390" s="12" t="n">
        <v>25</v>
      </c>
      <c r="N1390" s="27">
        <f>F1390-J1390</f>
        <v/>
      </c>
      <c r="O1390" s="16">
        <f>I1390-H1390</f>
        <v/>
      </c>
      <c r="P1390" s="14">
        <f>F1390*G1390</f>
        <v/>
      </c>
      <c r="Q1390" s="14">
        <f>J1390*G1390</f>
        <v/>
      </c>
      <c r="R1390" s="14">
        <f>K1390-Q1390</f>
        <v/>
      </c>
      <c r="S1390" s="3">
        <f>P1390*Assumptions!$B$3/100</f>
        <v/>
      </c>
      <c r="T1390" s="14">
        <f>R1390-S1390</f>
        <v/>
      </c>
      <c r="U1390" s="14">
        <f>L1390*G1390</f>
        <v/>
      </c>
    </row>
    <row r="1391">
      <c r="A1391" s="12" t="inlineStr">
        <is>
          <t>PO-2021-1389</t>
        </is>
      </c>
      <c r="B1391" s="26" t="n">
        <v>44206</v>
      </c>
      <c r="C1391" s="12" t="inlineStr">
        <is>
          <t>VS04</t>
        </is>
      </c>
      <c r="D1391" s="12" t="inlineStr">
        <is>
          <t>MS Rods</t>
        </is>
      </c>
      <c r="E1391" s="12" t="inlineStr">
        <is>
          <t>N</t>
        </is>
      </c>
      <c r="F1391" s="12" t="n">
        <v>38.59</v>
      </c>
      <c r="G1391" s="17" t="n">
        <v>114661.54</v>
      </c>
      <c r="H1391" s="26" t="n">
        <v>44214</v>
      </c>
      <c r="I1391" s="26" t="n">
        <v>44216</v>
      </c>
      <c r="J1391" s="12" t="n">
        <v>38.42</v>
      </c>
      <c r="K1391" s="17" t="n">
        <v>4424788.83</v>
      </c>
      <c r="L1391" s="12" t="n">
        <v>0</v>
      </c>
      <c r="M1391" s="12" t="n">
        <v>12</v>
      </c>
      <c r="N1391" s="27">
        <f>F1391-J1391</f>
        <v/>
      </c>
      <c r="O1391" s="16">
        <f>I1391-H1391</f>
        <v/>
      </c>
      <c r="P1391" s="14">
        <f>F1391*G1391</f>
        <v/>
      </c>
      <c r="Q1391" s="14">
        <f>J1391*G1391</f>
        <v/>
      </c>
      <c r="R1391" s="14">
        <f>K1391-Q1391</f>
        <v/>
      </c>
      <c r="S1391" s="3">
        <f>P1391*Assumptions!$B$3/100</f>
        <v/>
      </c>
      <c r="T1391" s="14">
        <f>R1391-S1391</f>
        <v/>
      </c>
      <c r="U1391" s="14">
        <f>L1391*G1391</f>
        <v/>
      </c>
    </row>
    <row r="1392">
      <c r="A1392" s="12" t="inlineStr">
        <is>
          <t>PO-2021-1390</t>
        </is>
      </c>
      <c r="B1392" s="26" t="n">
        <v>44685</v>
      </c>
      <c r="C1392" s="12" t="inlineStr">
        <is>
          <t>VS13</t>
        </is>
      </c>
      <c r="D1392" s="12" t="inlineStr">
        <is>
          <t>SS Pipes</t>
        </is>
      </c>
      <c r="E1392" s="12" t="inlineStr">
        <is>
          <t>N</t>
        </is>
      </c>
      <c r="F1392" s="12" t="n">
        <v>1.79</v>
      </c>
      <c r="G1392" s="17" t="n">
        <v>47095.81</v>
      </c>
      <c r="H1392" s="26" t="n">
        <v>44688</v>
      </c>
      <c r="I1392" s="26" t="n">
        <v>44691</v>
      </c>
      <c r="J1392" s="12" t="n">
        <v>1.78</v>
      </c>
      <c r="K1392" s="17" t="n">
        <v>84301.5</v>
      </c>
      <c r="L1392" s="12" t="n">
        <v>0</v>
      </c>
      <c r="M1392" s="12" t="n">
        <v>0</v>
      </c>
      <c r="N1392" s="27">
        <f>F1392-J1392</f>
        <v/>
      </c>
      <c r="O1392" s="16">
        <f>I1392-H1392</f>
        <v/>
      </c>
      <c r="P1392" s="14">
        <f>F1392*G1392</f>
        <v/>
      </c>
      <c r="Q1392" s="14">
        <f>J1392*G1392</f>
        <v/>
      </c>
      <c r="R1392" s="14">
        <f>K1392-Q1392</f>
        <v/>
      </c>
      <c r="S1392" s="3">
        <f>P1392*Assumptions!$B$3/100</f>
        <v/>
      </c>
      <c r="T1392" s="14">
        <f>R1392-S1392</f>
        <v/>
      </c>
      <c r="U1392" s="14">
        <f>L1392*G1392</f>
        <v/>
      </c>
    </row>
    <row r="1393">
      <c r="A1393" s="12" t="inlineStr">
        <is>
          <t>PO-2021-1391</t>
        </is>
      </c>
      <c r="B1393" s="26" t="n">
        <v>44887</v>
      </c>
      <c r="C1393" s="12" t="inlineStr">
        <is>
          <t>VS13</t>
        </is>
      </c>
      <c r="D1393" s="12" t="inlineStr">
        <is>
          <t>SS Pipes</t>
        </is>
      </c>
      <c r="E1393" s="12" t="inlineStr">
        <is>
          <t>N</t>
        </is>
      </c>
      <c r="F1393" s="12" t="n">
        <v>11.81</v>
      </c>
      <c r="G1393" s="17" t="n">
        <v>111171.45</v>
      </c>
      <c r="H1393" s="26" t="n">
        <v>44902</v>
      </c>
      <c r="I1393" s="26" t="n">
        <v>44904</v>
      </c>
      <c r="J1393" s="12" t="n">
        <v>11.7</v>
      </c>
      <c r="K1393" s="17" t="n">
        <v>1312934.82</v>
      </c>
      <c r="L1393" s="12" t="n">
        <v>0</v>
      </c>
      <c r="M1393" s="12" t="n">
        <v>14</v>
      </c>
      <c r="N1393" s="27">
        <f>F1393-J1393</f>
        <v/>
      </c>
      <c r="O1393" s="16">
        <f>I1393-H1393</f>
        <v/>
      </c>
      <c r="P1393" s="14">
        <f>F1393*G1393</f>
        <v/>
      </c>
      <c r="Q1393" s="14">
        <f>J1393*G1393</f>
        <v/>
      </c>
      <c r="R1393" s="14">
        <f>K1393-Q1393</f>
        <v/>
      </c>
      <c r="S1393" s="3">
        <f>P1393*Assumptions!$B$3/100</f>
        <v/>
      </c>
      <c r="T1393" s="14">
        <f>R1393-S1393</f>
        <v/>
      </c>
      <c r="U1393" s="14">
        <f>L1393*G1393</f>
        <v/>
      </c>
    </row>
    <row r="1394">
      <c r="A1394" s="12" t="inlineStr">
        <is>
          <t>PO-2021-1392</t>
        </is>
      </c>
      <c r="B1394" s="26" t="n">
        <v>44540</v>
      </c>
      <c r="C1394" s="12" t="inlineStr">
        <is>
          <t>VS11</t>
        </is>
      </c>
      <c r="D1394" s="12" t="inlineStr">
        <is>
          <t>GI Pipes</t>
        </is>
      </c>
      <c r="E1394" s="12" t="inlineStr">
        <is>
          <t>N</t>
        </is>
      </c>
      <c r="F1394" s="12" t="n">
        <v>21.37</v>
      </c>
      <c r="G1394" s="17" t="n">
        <v>53076.29</v>
      </c>
      <c r="H1394" s="26" t="n">
        <v>44548</v>
      </c>
      <c r="I1394" s="26" t="n">
        <v>44548</v>
      </c>
      <c r="J1394" s="12" t="n">
        <v>21.22</v>
      </c>
      <c r="K1394" s="17" t="n">
        <v>1134240.32</v>
      </c>
      <c r="L1394" s="12" t="n">
        <v>0</v>
      </c>
      <c r="M1394" s="12" t="n">
        <v>3</v>
      </c>
      <c r="N1394" s="27">
        <f>F1394-J1394</f>
        <v/>
      </c>
      <c r="O1394" s="16">
        <f>I1394-H1394</f>
        <v/>
      </c>
      <c r="P1394" s="14">
        <f>F1394*G1394</f>
        <v/>
      </c>
      <c r="Q1394" s="14">
        <f>J1394*G1394</f>
        <v/>
      </c>
      <c r="R1394" s="14">
        <f>K1394-Q1394</f>
        <v/>
      </c>
      <c r="S1394" s="3">
        <f>P1394*Assumptions!$B$3/100</f>
        <v/>
      </c>
      <c r="T1394" s="14">
        <f>R1394-S1394</f>
        <v/>
      </c>
      <c r="U1394" s="14">
        <f>L1394*G1394</f>
        <v/>
      </c>
    </row>
    <row r="1395">
      <c r="A1395" s="12" t="inlineStr">
        <is>
          <t>PO-2021-1393</t>
        </is>
      </c>
      <c r="B1395" s="26" t="n">
        <v>44857</v>
      </c>
      <c r="C1395" s="12" t="inlineStr">
        <is>
          <t>VS13</t>
        </is>
      </c>
      <c r="D1395" s="12" t="inlineStr">
        <is>
          <t>GI Sheets</t>
        </is>
      </c>
      <c r="E1395" s="12" t="inlineStr">
        <is>
          <t>N</t>
        </is>
      </c>
      <c r="F1395" s="12" t="n">
        <v>46.78</v>
      </c>
      <c r="G1395" s="17" t="n">
        <v>74629.78999999999</v>
      </c>
      <c r="H1395" s="26" t="n">
        <v>44866</v>
      </c>
      <c r="I1395" s="26" t="n">
        <v>44869</v>
      </c>
      <c r="J1395" s="12" t="n">
        <v>46.75</v>
      </c>
      <c r="K1395" s="17" t="n">
        <v>3491181.58</v>
      </c>
      <c r="L1395" s="12" t="n">
        <v>0</v>
      </c>
      <c r="M1395" s="12" t="n">
        <v>12</v>
      </c>
      <c r="N1395" s="27">
        <f>F1395-J1395</f>
        <v/>
      </c>
      <c r="O1395" s="16">
        <f>I1395-H1395</f>
        <v/>
      </c>
      <c r="P1395" s="14">
        <f>F1395*G1395</f>
        <v/>
      </c>
      <c r="Q1395" s="14">
        <f>J1395*G1395</f>
        <v/>
      </c>
      <c r="R1395" s="14">
        <f>K1395-Q1395</f>
        <v/>
      </c>
      <c r="S1395" s="3">
        <f>P1395*Assumptions!$B$3/100</f>
        <v/>
      </c>
      <c r="T1395" s="14">
        <f>R1395-S1395</f>
        <v/>
      </c>
      <c r="U1395" s="14">
        <f>L1395*G1395</f>
        <v/>
      </c>
    </row>
    <row r="1396">
      <c r="A1396" s="12" t="inlineStr">
        <is>
          <t>PO-2021-1394</t>
        </is>
      </c>
      <c r="B1396" s="26" t="n">
        <v>44444</v>
      </c>
      <c r="C1396" s="12" t="inlineStr">
        <is>
          <t>VS15</t>
        </is>
      </c>
      <c r="D1396" s="12" t="inlineStr">
        <is>
          <t>GI Sheets</t>
        </is>
      </c>
      <c r="E1396" s="12" t="inlineStr">
        <is>
          <t>N</t>
        </is>
      </c>
      <c r="F1396" s="12" t="n">
        <v>6.19</v>
      </c>
      <c r="G1396" s="17" t="n">
        <v>69252.59</v>
      </c>
      <c r="H1396" s="26" t="n">
        <v>44447</v>
      </c>
      <c r="I1396" s="26" t="n">
        <v>44450</v>
      </c>
      <c r="J1396" s="12" t="n">
        <v>6.18</v>
      </c>
      <c r="K1396" s="17" t="n">
        <v>428673.53</v>
      </c>
      <c r="L1396" s="12" t="n">
        <v>0</v>
      </c>
      <c r="M1396" s="12" t="n">
        <v>5</v>
      </c>
      <c r="N1396" s="27">
        <f>F1396-J1396</f>
        <v/>
      </c>
      <c r="O1396" s="16">
        <f>I1396-H1396</f>
        <v/>
      </c>
      <c r="P1396" s="14">
        <f>F1396*G1396</f>
        <v/>
      </c>
      <c r="Q1396" s="14">
        <f>J1396*G1396</f>
        <v/>
      </c>
      <c r="R1396" s="14">
        <f>K1396-Q1396</f>
        <v/>
      </c>
      <c r="S1396" s="3">
        <f>P1396*Assumptions!$B$3/100</f>
        <v/>
      </c>
      <c r="T1396" s="14">
        <f>R1396-S1396</f>
        <v/>
      </c>
      <c r="U1396" s="14">
        <f>L1396*G1396</f>
        <v/>
      </c>
    </row>
    <row r="1397">
      <c r="A1397" s="12" t="inlineStr">
        <is>
          <t>PO-2021-1395</t>
        </is>
      </c>
      <c r="B1397" s="26" t="n">
        <v>45020</v>
      </c>
      <c r="C1397" s="12" t="inlineStr">
        <is>
          <t>VS21</t>
        </is>
      </c>
      <c r="D1397" s="12" t="inlineStr">
        <is>
          <t>MS Pipes</t>
        </is>
      </c>
      <c r="E1397" s="12" t="inlineStr">
        <is>
          <t>N</t>
        </is>
      </c>
      <c r="F1397" s="12" t="n">
        <v>20.07</v>
      </c>
      <c r="G1397" s="17" t="n">
        <v>79408.19</v>
      </c>
      <c r="H1397" s="26" t="n">
        <v>45024</v>
      </c>
      <c r="I1397" s="26" t="n">
        <v>45026</v>
      </c>
      <c r="J1397" s="12" t="n">
        <v>20.04</v>
      </c>
      <c r="K1397" s="17" t="n">
        <v>1593722.37</v>
      </c>
      <c r="L1397" s="12" t="n">
        <v>0</v>
      </c>
      <c r="M1397" s="12" t="n">
        <v>0</v>
      </c>
      <c r="N1397" s="27">
        <f>F1397-J1397</f>
        <v/>
      </c>
      <c r="O1397" s="16">
        <f>I1397-H1397</f>
        <v/>
      </c>
      <c r="P1397" s="14">
        <f>F1397*G1397</f>
        <v/>
      </c>
      <c r="Q1397" s="14">
        <f>J1397*G1397</f>
        <v/>
      </c>
      <c r="R1397" s="14">
        <f>K1397-Q1397</f>
        <v/>
      </c>
      <c r="S1397" s="3">
        <f>P1397*Assumptions!$B$3/100</f>
        <v/>
      </c>
      <c r="T1397" s="14">
        <f>R1397-S1397</f>
        <v/>
      </c>
      <c r="U1397" s="14">
        <f>L1397*G1397</f>
        <v/>
      </c>
    </row>
    <row r="1398">
      <c r="A1398" s="12" t="inlineStr">
        <is>
          <t>PO-2021-1396</t>
        </is>
      </c>
      <c r="B1398" s="26" t="n">
        <v>44767</v>
      </c>
      <c r="C1398" s="12" t="inlineStr">
        <is>
          <t>VS24</t>
        </is>
      </c>
      <c r="D1398" s="12" t="inlineStr">
        <is>
          <t>GI Pipes</t>
        </is>
      </c>
      <c r="E1398" s="12" t="inlineStr">
        <is>
          <t>N</t>
        </is>
      </c>
      <c r="F1398" s="12" t="n">
        <v>4.3</v>
      </c>
      <c r="G1398" s="17" t="n">
        <v>61392.06</v>
      </c>
      <c r="H1398" s="26" t="n">
        <v>44774</v>
      </c>
      <c r="I1398" s="26" t="n">
        <v>44776</v>
      </c>
      <c r="J1398" s="12" t="n">
        <v>4.28</v>
      </c>
      <c r="K1398" s="17" t="n">
        <v>263985.86</v>
      </c>
      <c r="L1398" s="12" t="n">
        <v>0</v>
      </c>
      <c r="M1398" s="12" t="n">
        <v>13</v>
      </c>
      <c r="N1398" s="27">
        <f>F1398-J1398</f>
        <v/>
      </c>
      <c r="O1398" s="16">
        <f>I1398-H1398</f>
        <v/>
      </c>
      <c r="P1398" s="14">
        <f>F1398*G1398</f>
        <v/>
      </c>
      <c r="Q1398" s="14">
        <f>J1398*G1398</f>
        <v/>
      </c>
      <c r="R1398" s="14">
        <f>K1398-Q1398</f>
        <v/>
      </c>
      <c r="S1398" s="3">
        <f>P1398*Assumptions!$B$3/100</f>
        <v/>
      </c>
      <c r="T1398" s="14">
        <f>R1398-S1398</f>
        <v/>
      </c>
      <c r="U1398" s="14">
        <f>L1398*G1398</f>
        <v/>
      </c>
    </row>
    <row r="1399">
      <c r="A1399" s="12" t="inlineStr">
        <is>
          <t>PO-2021-1397</t>
        </is>
      </c>
      <c r="B1399" s="26" t="n">
        <v>45220</v>
      </c>
      <c r="C1399" s="12" t="inlineStr">
        <is>
          <t>VS07</t>
        </is>
      </c>
      <c r="D1399" s="12" t="inlineStr">
        <is>
          <t>Spring Steel</t>
        </is>
      </c>
      <c r="E1399" s="12" t="inlineStr">
        <is>
          <t>N</t>
        </is>
      </c>
      <c r="F1399" s="12" t="n">
        <v>39.77</v>
      </c>
      <c r="G1399" s="17" t="n">
        <v>114166.79</v>
      </c>
      <c r="H1399" s="26" t="n">
        <v>45232</v>
      </c>
      <c r="I1399" s="26" t="n">
        <v>45232</v>
      </c>
      <c r="J1399" s="12" t="n">
        <v>39.72</v>
      </c>
      <c r="K1399" s="17" t="n">
        <v>4540413.24</v>
      </c>
      <c r="L1399" s="12" t="n">
        <v>0</v>
      </c>
      <c r="M1399" s="12" t="n">
        <v>0</v>
      </c>
      <c r="N1399" s="27">
        <f>F1399-J1399</f>
        <v/>
      </c>
      <c r="O1399" s="16">
        <f>I1399-H1399</f>
        <v/>
      </c>
      <c r="P1399" s="14">
        <f>F1399*G1399</f>
        <v/>
      </c>
      <c r="Q1399" s="14">
        <f>J1399*G1399</f>
        <v/>
      </c>
      <c r="R1399" s="14">
        <f>K1399-Q1399</f>
        <v/>
      </c>
      <c r="S1399" s="3">
        <f>P1399*Assumptions!$B$3/100</f>
        <v/>
      </c>
      <c r="T1399" s="14">
        <f>R1399-S1399</f>
        <v/>
      </c>
      <c r="U1399" s="14">
        <f>L1399*G1399</f>
        <v/>
      </c>
    </row>
    <row r="1400">
      <c r="A1400" s="12" t="inlineStr">
        <is>
          <t>PO-2021-1398</t>
        </is>
      </c>
      <c r="B1400" s="26" t="n">
        <v>44548</v>
      </c>
      <c r="C1400" s="12" t="inlineStr">
        <is>
          <t>VS17</t>
        </is>
      </c>
      <c r="D1400" s="12" t="inlineStr">
        <is>
          <t>ERW Pipes</t>
        </is>
      </c>
      <c r="E1400" s="12" t="inlineStr">
        <is>
          <t>Y</t>
        </is>
      </c>
      <c r="F1400" s="12" t="n">
        <v>30.39</v>
      </c>
      <c r="G1400" s="17" t="n">
        <v>118606.19</v>
      </c>
      <c r="H1400" s="26" t="n">
        <v>44562</v>
      </c>
      <c r="I1400" s="26" t="n">
        <v>44563</v>
      </c>
      <c r="J1400" s="12" t="n">
        <v>30.1</v>
      </c>
      <c r="K1400" s="17" t="n">
        <v>3604442.11</v>
      </c>
      <c r="L1400" s="12" t="n">
        <v>0</v>
      </c>
      <c r="M1400" s="12" t="n">
        <v>0</v>
      </c>
      <c r="N1400" s="27">
        <f>F1400-J1400</f>
        <v/>
      </c>
      <c r="O1400" s="16">
        <f>I1400-H1400</f>
        <v/>
      </c>
      <c r="P1400" s="14">
        <f>F1400*G1400</f>
        <v/>
      </c>
      <c r="Q1400" s="14">
        <f>J1400*G1400</f>
        <v/>
      </c>
      <c r="R1400" s="14">
        <f>K1400-Q1400</f>
        <v/>
      </c>
      <c r="S1400" s="3">
        <f>P1400*Assumptions!$B$3/100</f>
        <v/>
      </c>
      <c r="T1400" s="14">
        <f>R1400-S1400</f>
        <v/>
      </c>
      <c r="U1400" s="14">
        <f>L1400*G1400</f>
        <v/>
      </c>
    </row>
    <row r="1401">
      <c r="A1401" s="12" t="inlineStr">
        <is>
          <t>PO-2021-1399</t>
        </is>
      </c>
      <c r="B1401" s="26" t="n">
        <v>44992</v>
      </c>
      <c r="C1401" s="12" t="inlineStr">
        <is>
          <t>VS09</t>
        </is>
      </c>
      <c r="D1401" s="12" t="inlineStr">
        <is>
          <t>MS Flats</t>
        </is>
      </c>
      <c r="E1401" s="12" t="inlineStr">
        <is>
          <t>N</t>
        </is>
      </c>
      <c r="F1401" s="12" t="n">
        <v>9.59</v>
      </c>
      <c r="G1401" s="17" t="n">
        <v>102128.72</v>
      </c>
      <c r="H1401" s="26" t="n">
        <v>45006</v>
      </c>
      <c r="I1401" s="26" t="n">
        <v>45008</v>
      </c>
      <c r="J1401" s="12" t="n">
        <v>9.539999999999999</v>
      </c>
      <c r="K1401" s="17" t="n">
        <v>979414.42</v>
      </c>
      <c r="L1401" s="12" t="n">
        <v>0</v>
      </c>
      <c r="M1401" s="12" t="n">
        <v>23</v>
      </c>
      <c r="N1401" s="27">
        <f>F1401-J1401</f>
        <v/>
      </c>
      <c r="O1401" s="16">
        <f>I1401-H1401</f>
        <v/>
      </c>
      <c r="P1401" s="14">
        <f>F1401*G1401</f>
        <v/>
      </c>
      <c r="Q1401" s="14">
        <f>J1401*G1401</f>
        <v/>
      </c>
      <c r="R1401" s="14">
        <f>K1401-Q1401</f>
        <v/>
      </c>
      <c r="S1401" s="3">
        <f>P1401*Assumptions!$B$3/100</f>
        <v/>
      </c>
      <c r="T1401" s="14">
        <f>R1401-S1401</f>
        <v/>
      </c>
      <c r="U1401" s="14">
        <f>L1401*G1401</f>
        <v/>
      </c>
    </row>
    <row r="1402">
      <c r="A1402" s="12" t="inlineStr">
        <is>
          <t>PO-2021-1400</t>
        </is>
      </c>
      <c r="B1402" s="26" t="n">
        <v>44848</v>
      </c>
      <c r="C1402" s="12" t="inlineStr">
        <is>
          <t>VS31</t>
        </is>
      </c>
      <c r="D1402" s="12" t="inlineStr">
        <is>
          <t>SS Pipes</t>
        </is>
      </c>
      <c r="E1402" s="12" t="inlineStr">
        <is>
          <t>N</t>
        </is>
      </c>
      <c r="F1402" s="12" t="n">
        <v>17.42</v>
      </c>
      <c r="G1402" s="17" t="n">
        <v>90640</v>
      </c>
      <c r="H1402" s="26" t="n">
        <v>44860</v>
      </c>
      <c r="I1402" s="26" t="n">
        <v>44863</v>
      </c>
      <c r="J1402" s="12" t="n">
        <v>17.27</v>
      </c>
      <c r="K1402" s="17" t="n">
        <v>1578948.8</v>
      </c>
      <c r="L1402" s="12" t="n">
        <v>0</v>
      </c>
      <c r="M1402" s="12" t="n">
        <v>23</v>
      </c>
      <c r="N1402" s="27">
        <f>F1402-J1402</f>
        <v/>
      </c>
      <c r="O1402" s="16">
        <f>I1402-H1402</f>
        <v/>
      </c>
      <c r="P1402" s="14">
        <f>F1402*G1402</f>
        <v/>
      </c>
      <c r="Q1402" s="14">
        <f>J1402*G1402</f>
        <v/>
      </c>
      <c r="R1402" s="14">
        <f>K1402-Q1402</f>
        <v/>
      </c>
      <c r="S1402" s="3">
        <f>P1402*Assumptions!$B$3/100</f>
        <v/>
      </c>
      <c r="T1402" s="14">
        <f>R1402-S1402</f>
        <v/>
      </c>
      <c r="U1402" s="14">
        <f>L1402*G1402</f>
        <v/>
      </c>
    </row>
    <row r="1403">
      <c r="A1403" s="12" t="inlineStr">
        <is>
          <t>PO-2021-1401</t>
        </is>
      </c>
      <c r="B1403" s="26" t="n">
        <v>45116</v>
      </c>
      <c r="C1403" s="12" t="inlineStr">
        <is>
          <t>VS25</t>
        </is>
      </c>
      <c r="D1403" s="12" t="inlineStr">
        <is>
          <t>Hex Bars</t>
        </is>
      </c>
      <c r="E1403" s="12" t="inlineStr">
        <is>
          <t>N</t>
        </is>
      </c>
      <c r="F1403" s="12" t="n">
        <v>32.39</v>
      </c>
      <c r="G1403" s="17" t="n">
        <v>62431.91</v>
      </c>
      <c r="H1403" s="26" t="n">
        <v>45128</v>
      </c>
      <c r="I1403" s="26" t="n">
        <v>45131</v>
      </c>
      <c r="J1403" s="12" t="n">
        <v>32.35</v>
      </c>
      <c r="K1403" s="17" t="n">
        <v>2022169.56</v>
      </c>
      <c r="L1403" s="12" t="n">
        <v>0</v>
      </c>
      <c r="M1403" s="12" t="n">
        <v>20</v>
      </c>
      <c r="N1403" s="27">
        <f>F1403-J1403</f>
        <v/>
      </c>
      <c r="O1403" s="16">
        <f>I1403-H1403</f>
        <v/>
      </c>
      <c r="P1403" s="14">
        <f>F1403*G1403</f>
        <v/>
      </c>
      <c r="Q1403" s="14">
        <f>J1403*G1403</f>
        <v/>
      </c>
      <c r="R1403" s="14">
        <f>K1403-Q1403</f>
        <v/>
      </c>
      <c r="S1403" s="3">
        <f>P1403*Assumptions!$B$3/100</f>
        <v/>
      </c>
      <c r="T1403" s="14">
        <f>R1403-S1403</f>
        <v/>
      </c>
      <c r="U1403" s="14">
        <f>L1403*G1403</f>
        <v/>
      </c>
    </row>
    <row r="1404">
      <c r="A1404" s="12" t="inlineStr">
        <is>
          <t>PO-2021-1402</t>
        </is>
      </c>
      <c r="B1404" s="26" t="n">
        <v>44224</v>
      </c>
      <c r="C1404" s="12" t="inlineStr">
        <is>
          <t>VS15</t>
        </is>
      </c>
      <c r="D1404" s="12" t="inlineStr">
        <is>
          <t>MS Pipes</t>
        </is>
      </c>
      <c r="E1404" s="12" t="inlineStr">
        <is>
          <t>N</t>
        </is>
      </c>
      <c r="F1404" s="12" t="n">
        <v>31.2</v>
      </c>
      <c r="G1404" s="17" t="n">
        <v>112258.46</v>
      </c>
      <c r="H1404" s="26" t="n">
        <v>44231</v>
      </c>
      <c r="I1404" s="26" t="n">
        <v>44231</v>
      </c>
      <c r="J1404" s="12" t="n">
        <v>30.93</v>
      </c>
      <c r="K1404" s="17" t="n">
        <v>3502463.95</v>
      </c>
      <c r="L1404" s="12" t="n">
        <v>0</v>
      </c>
      <c r="M1404" s="12" t="n">
        <v>20</v>
      </c>
      <c r="N1404" s="27">
        <f>F1404-J1404</f>
        <v/>
      </c>
      <c r="O1404" s="16">
        <f>I1404-H1404</f>
        <v/>
      </c>
      <c r="P1404" s="14">
        <f>F1404*G1404</f>
        <v/>
      </c>
      <c r="Q1404" s="14">
        <f>J1404*G1404</f>
        <v/>
      </c>
      <c r="R1404" s="14">
        <f>K1404-Q1404</f>
        <v/>
      </c>
      <c r="S1404" s="3">
        <f>P1404*Assumptions!$B$3/100</f>
        <v/>
      </c>
      <c r="T1404" s="14">
        <f>R1404-S1404</f>
        <v/>
      </c>
      <c r="U1404" s="14">
        <f>L1404*G1404</f>
        <v/>
      </c>
    </row>
    <row r="1405">
      <c r="A1405" s="12" t="inlineStr">
        <is>
          <t>PO-2021-1403</t>
        </is>
      </c>
      <c r="B1405" s="26" t="n">
        <v>44681</v>
      </c>
      <c r="C1405" s="12" t="inlineStr">
        <is>
          <t>VS28</t>
        </is>
      </c>
      <c r="D1405" s="12" t="inlineStr">
        <is>
          <t>HR Coils</t>
        </is>
      </c>
      <c r="E1405" s="12" t="inlineStr">
        <is>
          <t>Y</t>
        </is>
      </c>
      <c r="F1405" s="12" t="n">
        <v>31.37</v>
      </c>
      <c r="G1405" s="17" t="n">
        <v>49494.23</v>
      </c>
      <c r="H1405" s="26" t="n">
        <v>44689</v>
      </c>
      <c r="I1405" s="26" t="n">
        <v>44692</v>
      </c>
      <c r="J1405" s="12" t="n">
        <v>31.1</v>
      </c>
      <c r="K1405" s="17" t="n">
        <v>1552634</v>
      </c>
      <c r="L1405" s="12" t="n">
        <v>0</v>
      </c>
      <c r="M1405" s="12" t="n">
        <v>0</v>
      </c>
      <c r="N1405" s="27">
        <f>F1405-J1405</f>
        <v/>
      </c>
      <c r="O1405" s="16">
        <f>I1405-H1405</f>
        <v/>
      </c>
      <c r="P1405" s="14">
        <f>F1405*G1405</f>
        <v/>
      </c>
      <c r="Q1405" s="14">
        <f>J1405*G1405</f>
        <v/>
      </c>
      <c r="R1405" s="14">
        <f>K1405-Q1405</f>
        <v/>
      </c>
      <c r="S1405" s="3">
        <f>P1405*Assumptions!$B$3/100</f>
        <v/>
      </c>
      <c r="T1405" s="14">
        <f>R1405-S1405</f>
        <v/>
      </c>
      <c r="U1405" s="14">
        <f>L1405*G1405</f>
        <v/>
      </c>
    </row>
    <row r="1406">
      <c r="A1406" s="12" t="inlineStr">
        <is>
          <t>PO-2021-1404</t>
        </is>
      </c>
      <c r="B1406" s="26" t="n">
        <v>45218</v>
      </c>
      <c r="C1406" s="12" t="inlineStr">
        <is>
          <t>VS19</t>
        </is>
      </c>
      <c r="D1406" s="12" t="inlineStr">
        <is>
          <t>GI Sheets</t>
        </is>
      </c>
      <c r="E1406" s="12" t="inlineStr">
        <is>
          <t>N</t>
        </is>
      </c>
      <c r="F1406" s="12" t="n">
        <v>8.43</v>
      </c>
      <c r="G1406" s="17" t="n">
        <v>62742.06</v>
      </c>
      <c r="H1406" s="26" t="n">
        <v>45221</v>
      </c>
      <c r="I1406" s="26" t="n">
        <v>45223</v>
      </c>
      <c r="J1406" s="12" t="n">
        <v>8.039999999999999</v>
      </c>
      <c r="K1406" s="17" t="n">
        <v>528915.5699999999</v>
      </c>
      <c r="L1406" s="12" t="n">
        <v>0.16</v>
      </c>
      <c r="M1406" s="12" t="n">
        <v>0</v>
      </c>
      <c r="N1406" s="27">
        <f>F1406-J1406</f>
        <v/>
      </c>
      <c r="O1406" s="16">
        <f>I1406-H1406</f>
        <v/>
      </c>
      <c r="P1406" s="14">
        <f>F1406*G1406</f>
        <v/>
      </c>
      <c r="Q1406" s="14">
        <f>J1406*G1406</f>
        <v/>
      </c>
      <c r="R1406" s="14">
        <f>K1406-Q1406</f>
        <v/>
      </c>
      <c r="S1406" s="3">
        <f>P1406*Assumptions!$B$3/100</f>
        <v/>
      </c>
      <c r="T1406" s="14">
        <f>R1406-S1406</f>
        <v/>
      </c>
      <c r="U1406" s="14">
        <f>L1406*G1406</f>
        <v/>
      </c>
    </row>
    <row r="1407">
      <c r="A1407" s="12" t="inlineStr">
        <is>
          <t>PO-2021-1405</t>
        </is>
      </c>
      <c r="B1407" s="26" t="n">
        <v>44684</v>
      </c>
      <c r="C1407" s="12" t="inlineStr">
        <is>
          <t>VS29</t>
        </is>
      </c>
      <c r="D1407" s="12" t="inlineStr">
        <is>
          <t>MS Flats</t>
        </is>
      </c>
      <c r="E1407" s="12" t="inlineStr">
        <is>
          <t>Y</t>
        </is>
      </c>
      <c r="F1407" s="12" t="n">
        <v>7.58</v>
      </c>
      <c r="G1407" s="17" t="n">
        <v>68815.39999999999</v>
      </c>
      <c r="H1407" s="26" t="n">
        <v>44699</v>
      </c>
      <c r="I1407" s="26" t="n">
        <v>44702</v>
      </c>
      <c r="J1407" s="12" t="n">
        <v>7.54</v>
      </c>
      <c r="K1407" s="17" t="n">
        <v>521620.73</v>
      </c>
      <c r="L1407" s="12" t="n">
        <v>0</v>
      </c>
      <c r="M1407" s="12" t="n">
        <v>1</v>
      </c>
      <c r="N1407" s="27">
        <f>F1407-J1407</f>
        <v/>
      </c>
      <c r="O1407" s="16">
        <f>I1407-H1407</f>
        <v/>
      </c>
      <c r="P1407" s="14">
        <f>F1407*G1407</f>
        <v/>
      </c>
      <c r="Q1407" s="14">
        <f>J1407*G1407</f>
        <v/>
      </c>
      <c r="R1407" s="14">
        <f>K1407-Q1407</f>
        <v/>
      </c>
      <c r="S1407" s="3">
        <f>P1407*Assumptions!$B$3/100</f>
        <v/>
      </c>
      <c r="T1407" s="14">
        <f>R1407-S1407</f>
        <v/>
      </c>
      <c r="U1407" s="14">
        <f>L1407*G1407</f>
        <v/>
      </c>
    </row>
    <row r="1408">
      <c r="A1408" s="12" t="inlineStr">
        <is>
          <t>PO-2021-1406</t>
        </is>
      </c>
      <c r="B1408" s="26" t="n">
        <v>44278</v>
      </c>
      <c r="C1408" s="12" t="inlineStr">
        <is>
          <t>VS34</t>
        </is>
      </c>
      <c r="D1408" s="12" t="inlineStr">
        <is>
          <t>GI Wire</t>
        </is>
      </c>
      <c r="E1408" s="12" t="inlineStr">
        <is>
          <t>Y</t>
        </is>
      </c>
      <c r="F1408" s="12" t="n">
        <v>32.75</v>
      </c>
      <c r="G1408" s="17" t="n">
        <v>66634.13</v>
      </c>
      <c r="H1408" s="26" t="n">
        <v>44281</v>
      </c>
      <c r="I1408" s="26" t="n">
        <v>44283</v>
      </c>
      <c r="J1408" s="12" t="n">
        <v>32.62</v>
      </c>
      <c r="K1408" s="17" t="n">
        <v>2182267.76</v>
      </c>
      <c r="L1408" s="12" t="n">
        <v>0</v>
      </c>
      <c r="M1408" s="12" t="n">
        <v>13</v>
      </c>
      <c r="N1408" s="27">
        <f>F1408-J1408</f>
        <v/>
      </c>
      <c r="O1408" s="16">
        <f>I1408-H1408</f>
        <v/>
      </c>
      <c r="P1408" s="14">
        <f>F1408*G1408</f>
        <v/>
      </c>
      <c r="Q1408" s="14">
        <f>J1408*G1408</f>
        <v/>
      </c>
      <c r="R1408" s="14">
        <f>K1408-Q1408</f>
        <v/>
      </c>
      <c r="S1408" s="3">
        <f>P1408*Assumptions!$B$3/100</f>
        <v/>
      </c>
      <c r="T1408" s="14">
        <f>R1408-S1408</f>
        <v/>
      </c>
      <c r="U1408" s="14">
        <f>L1408*G1408</f>
        <v/>
      </c>
    </row>
    <row r="1409">
      <c r="A1409" s="12" t="inlineStr">
        <is>
          <t>PO-2021-1407</t>
        </is>
      </c>
      <c r="B1409" s="26" t="n">
        <v>44666</v>
      </c>
      <c r="C1409" s="12" t="inlineStr">
        <is>
          <t>VS22</t>
        </is>
      </c>
      <c r="D1409" s="12" t="inlineStr">
        <is>
          <t>MS Flats</t>
        </is>
      </c>
      <c r="E1409" s="12" t="inlineStr">
        <is>
          <t>Y</t>
        </is>
      </c>
      <c r="F1409" s="12" t="n">
        <v>12.87</v>
      </c>
      <c r="G1409" s="17" t="n">
        <v>85448.38</v>
      </c>
      <c r="H1409" s="26" t="n">
        <v>44679</v>
      </c>
      <c r="I1409" s="26" t="n">
        <v>44681</v>
      </c>
      <c r="J1409" s="12" t="n">
        <v>12.85</v>
      </c>
      <c r="K1409" s="17" t="n">
        <v>1099720.65</v>
      </c>
      <c r="L1409" s="12" t="n">
        <v>0</v>
      </c>
      <c r="M1409" s="12" t="n">
        <v>0</v>
      </c>
      <c r="N1409" s="27">
        <f>F1409-J1409</f>
        <v/>
      </c>
      <c r="O1409" s="16">
        <f>I1409-H1409</f>
        <v/>
      </c>
      <c r="P1409" s="14">
        <f>F1409*G1409</f>
        <v/>
      </c>
      <c r="Q1409" s="14">
        <f>J1409*G1409</f>
        <v/>
      </c>
      <c r="R1409" s="14">
        <f>K1409-Q1409</f>
        <v/>
      </c>
      <c r="S1409" s="3">
        <f>P1409*Assumptions!$B$3/100</f>
        <v/>
      </c>
      <c r="T1409" s="14">
        <f>R1409-S1409</f>
        <v/>
      </c>
      <c r="U1409" s="14">
        <f>L1409*G1409</f>
        <v/>
      </c>
    </row>
    <row r="1410">
      <c r="A1410" s="12" t="inlineStr">
        <is>
          <t>PO-2021-1408</t>
        </is>
      </c>
      <c r="B1410" s="26" t="n">
        <v>44705</v>
      </c>
      <c r="C1410" s="12" t="inlineStr">
        <is>
          <t>VS15</t>
        </is>
      </c>
      <c r="D1410" s="12" t="inlineStr">
        <is>
          <t>MS Rods</t>
        </is>
      </c>
      <c r="E1410" s="12" t="inlineStr">
        <is>
          <t>N</t>
        </is>
      </c>
      <c r="F1410" s="12" t="n">
        <v>26.55</v>
      </c>
      <c r="G1410" s="17" t="n">
        <v>58765.91</v>
      </c>
      <c r="H1410" s="26" t="n">
        <v>44718</v>
      </c>
      <c r="I1410" s="26" t="n">
        <v>44721</v>
      </c>
      <c r="J1410" s="12" t="n">
        <v>26.41</v>
      </c>
      <c r="K1410" s="17" t="n">
        <v>1560234.91</v>
      </c>
      <c r="L1410" s="12" t="n">
        <v>0</v>
      </c>
      <c r="M1410" s="12" t="n">
        <v>0</v>
      </c>
      <c r="N1410" s="27">
        <f>F1410-J1410</f>
        <v/>
      </c>
      <c r="O1410" s="16">
        <f>I1410-H1410</f>
        <v/>
      </c>
      <c r="P1410" s="14">
        <f>F1410*G1410</f>
        <v/>
      </c>
      <c r="Q1410" s="14">
        <f>J1410*G1410</f>
        <v/>
      </c>
      <c r="R1410" s="14">
        <f>K1410-Q1410</f>
        <v/>
      </c>
      <c r="S1410" s="3">
        <f>P1410*Assumptions!$B$3/100</f>
        <v/>
      </c>
      <c r="T1410" s="14">
        <f>R1410-S1410</f>
        <v/>
      </c>
      <c r="U1410" s="14">
        <f>L1410*G1410</f>
        <v/>
      </c>
    </row>
    <row r="1411">
      <c r="A1411" s="12" t="inlineStr">
        <is>
          <t>PO-2021-1409</t>
        </is>
      </c>
      <c r="B1411" s="26" t="n">
        <v>44209</v>
      </c>
      <c r="C1411" s="12" t="inlineStr">
        <is>
          <t>VS05</t>
        </is>
      </c>
      <c r="D1411" s="12" t="inlineStr">
        <is>
          <t>Structural Steel</t>
        </is>
      </c>
      <c r="E1411" s="12" t="inlineStr">
        <is>
          <t>N</t>
        </is>
      </c>
      <c r="F1411" s="12" t="n">
        <v>4.43</v>
      </c>
      <c r="G1411" s="17" t="n">
        <v>59434.91</v>
      </c>
      <c r="H1411" s="26" t="n">
        <v>44222</v>
      </c>
      <c r="I1411" s="26" t="n">
        <v>44222</v>
      </c>
      <c r="J1411" s="12" t="n">
        <v>4.4</v>
      </c>
      <c r="K1411" s="17" t="n">
        <v>263296.65</v>
      </c>
      <c r="L1411" s="12" t="n">
        <v>0</v>
      </c>
      <c r="M1411" s="12" t="n">
        <v>19</v>
      </c>
      <c r="N1411" s="27">
        <f>F1411-J1411</f>
        <v/>
      </c>
      <c r="O1411" s="16">
        <f>I1411-H1411</f>
        <v/>
      </c>
      <c r="P1411" s="14">
        <f>F1411*G1411</f>
        <v/>
      </c>
      <c r="Q1411" s="14">
        <f>J1411*G1411</f>
        <v/>
      </c>
      <c r="R1411" s="14">
        <f>K1411-Q1411</f>
        <v/>
      </c>
      <c r="S1411" s="3">
        <f>P1411*Assumptions!$B$3/100</f>
        <v/>
      </c>
      <c r="T1411" s="14">
        <f>R1411-S1411</f>
        <v/>
      </c>
      <c r="U1411" s="14">
        <f>L1411*G1411</f>
        <v/>
      </c>
    </row>
    <row r="1412">
      <c r="A1412" s="12" t="inlineStr">
        <is>
          <t>PO-2021-1410</t>
        </is>
      </c>
      <c r="B1412" s="26" t="n">
        <v>44486</v>
      </c>
      <c r="C1412" s="12" t="inlineStr">
        <is>
          <t>VS14</t>
        </is>
      </c>
      <c r="D1412" s="12" t="inlineStr">
        <is>
          <t>Square/Rect Tubes</t>
        </is>
      </c>
      <c r="E1412" s="12" t="inlineStr">
        <is>
          <t>N</t>
        </is>
      </c>
      <c r="F1412" s="12" t="n">
        <v>5.5</v>
      </c>
      <c r="G1412" s="17" t="n">
        <v>89447.3</v>
      </c>
      <c r="H1412" s="26" t="n">
        <v>44501</v>
      </c>
      <c r="I1412" s="26" t="n">
        <v>44502</v>
      </c>
      <c r="J1412" s="12" t="n">
        <v>5.49</v>
      </c>
      <c r="K1412" s="17" t="n">
        <v>491960.15</v>
      </c>
      <c r="L1412" s="12" t="n">
        <v>0</v>
      </c>
      <c r="M1412" s="12" t="n">
        <v>17</v>
      </c>
      <c r="N1412" s="27">
        <f>F1412-J1412</f>
        <v/>
      </c>
      <c r="O1412" s="16">
        <f>I1412-H1412</f>
        <v/>
      </c>
      <c r="P1412" s="14">
        <f>F1412*G1412</f>
        <v/>
      </c>
      <c r="Q1412" s="14">
        <f>J1412*G1412</f>
        <v/>
      </c>
      <c r="R1412" s="14">
        <f>K1412-Q1412</f>
        <v/>
      </c>
      <c r="S1412" s="3">
        <f>P1412*Assumptions!$B$3/100</f>
        <v/>
      </c>
      <c r="T1412" s="14">
        <f>R1412-S1412</f>
        <v/>
      </c>
      <c r="U1412" s="14">
        <f>L1412*G1412</f>
        <v/>
      </c>
    </row>
    <row r="1413">
      <c r="A1413" s="12" t="inlineStr">
        <is>
          <t>PO-2021-1411</t>
        </is>
      </c>
      <c r="B1413" s="26" t="n">
        <v>44615</v>
      </c>
      <c r="C1413" s="12" t="inlineStr">
        <is>
          <t>VS16</t>
        </is>
      </c>
      <c r="D1413" s="12" t="inlineStr">
        <is>
          <t>Hex Bars</t>
        </is>
      </c>
      <c r="E1413" s="12" t="inlineStr">
        <is>
          <t>N</t>
        </is>
      </c>
      <c r="F1413" s="12" t="n">
        <v>4.83</v>
      </c>
      <c r="G1413" s="17" t="n">
        <v>99374.17999999999</v>
      </c>
      <c r="H1413" s="26" t="n">
        <v>44622</v>
      </c>
      <c r="I1413" s="26" t="n">
        <v>44625</v>
      </c>
      <c r="J1413" s="12" t="n">
        <v>4.82</v>
      </c>
      <c r="K1413" s="17" t="n">
        <v>479977.29</v>
      </c>
      <c r="L1413" s="12" t="n">
        <v>0</v>
      </c>
      <c r="M1413" s="12" t="n">
        <v>19</v>
      </c>
      <c r="N1413" s="27">
        <f>F1413-J1413</f>
        <v/>
      </c>
      <c r="O1413" s="16">
        <f>I1413-H1413</f>
        <v/>
      </c>
      <c r="P1413" s="14">
        <f>F1413*G1413</f>
        <v/>
      </c>
      <c r="Q1413" s="14">
        <f>J1413*G1413</f>
        <v/>
      </c>
      <c r="R1413" s="14">
        <f>K1413-Q1413</f>
        <v/>
      </c>
      <c r="S1413" s="3">
        <f>P1413*Assumptions!$B$3/100</f>
        <v/>
      </c>
      <c r="T1413" s="14">
        <f>R1413-S1413</f>
        <v/>
      </c>
      <c r="U1413" s="14">
        <f>L1413*G1413</f>
        <v/>
      </c>
    </row>
    <row r="1414">
      <c r="A1414" s="12" t="inlineStr">
        <is>
          <t>PO-2021-1412</t>
        </is>
      </c>
      <c r="B1414" s="26" t="n">
        <v>44533</v>
      </c>
      <c r="C1414" s="12" t="inlineStr">
        <is>
          <t>VS13</t>
        </is>
      </c>
      <c r="D1414" s="12" t="inlineStr">
        <is>
          <t>HR Coils</t>
        </is>
      </c>
      <c r="E1414" s="12" t="inlineStr">
        <is>
          <t>N</t>
        </is>
      </c>
      <c r="F1414" s="12" t="n">
        <v>21.78</v>
      </c>
      <c r="G1414" s="17" t="n">
        <v>90438.84</v>
      </c>
      <c r="H1414" s="26" t="n">
        <v>44540</v>
      </c>
      <c r="I1414" s="26" t="n">
        <v>44540</v>
      </c>
      <c r="J1414" s="12" t="n">
        <v>21.6</v>
      </c>
      <c r="K1414" s="17" t="n">
        <v>1969757.94</v>
      </c>
      <c r="L1414" s="12" t="n">
        <v>0</v>
      </c>
      <c r="M1414" s="12" t="n">
        <v>9</v>
      </c>
      <c r="N1414" s="27">
        <f>F1414-J1414</f>
        <v/>
      </c>
      <c r="O1414" s="16">
        <f>I1414-H1414</f>
        <v/>
      </c>
      <c r="P1414" s="14">
        <f>F1414*G1414</f>
        <v/>
      </c>
      <c r="Q1414" s="14">
        <f>J1414*G1414</f>
        <v/>
      </c>
      <c r="R1414" s="14">
        <f>K1414-Q1414</f>
        <v/>
      </c>
      <c r="S1414" s="3">
        <f>P1414*Assumptions!$B$3/100</f>
        <v/>
      </c>
      <c r="T1414" s="14">
        <f>R1414-S1414</f>
        <v/>
      </c>
      <c r="U1414" s="14">
        <f>L1414*G1414</f>
        <v/>
      </c>
    </row>
    <row r="1415">
      <c r="A1415" s="12" t="inlineStr">
        <is>
          <t>PO-2021-1413</t>
        </is>
      </c>
      <c r="B1415" s="26" t="n">
        <v>44781</v>
      </c>
      <c r="C1415" s="12" t="inlineStr">
        <is>
          <t>VS29</t>
        </is>
      </c>
      <c r="D1415" s="12" t="inlineStr">
        <is>
          <t>GI Sheets</t>
        </is>
      </c>
      <c r="E1415" s="12" t="inlineStr">
        <is>
          <t>N</t>
        </is>
      </c>
      <c r="F1415" s="12" t="n">
        <v>14.32</v>
      </c>
      <c r="G1415" s="17" t="n">
        <v>103596.67</v>
      </c>
      <c r="H1415" s="26" t="n">
        <v>44785</v>
      </c>
      <c r="I1415" s="26" t="n">
        <v>44788</v>
      </c>
      <c r="J1415" s="12" t="n">
        <v>14.31</v>
      </c>
      <c r="K1415" s="17" t="n">
        <v>1483504.31</v>
      </c>
      <c r="L1415" s="12" t="n">
        <v>0</v>
      </c>
      <c r="M1415" s="12" t="n">
        <v>14</v>
      </c>
      <c r="N1415" s="27">
        <f>F1415-J1415</f>
        <v/>
      </c>
      <c r="O1415" s="16">
        <f>I1415-H1415</f>
        <v/>
      </c>
      <c r="P1415" s="14">
        <f>F1415*G1415</f>
        <v/>
      </c>
      <c r="Q1415" s="14">
        <f>J1415*G1415</f>
        <v/>
      </c>
      <c r="R1415" s="14">
        <f>K1415-Q1415</f>
        <v/>
      </c>
      <c r="S1415" s="3">
        <f>P1415*Assumptions!$B$3/100</f>
        <v/>
      </c>
      <c r="T1415" s="14">
        <f>R1415-S1415</f>
        <v/>
      </c>
      <c r="U1415" s="14">
        <f>L1415*G1415</f>
        <v/>
      </c>
    </row>
    <row r="1416">
      <c r="A1416" s="12" t="inlineStr">
        <is>
          <t>PO-2021-1414</t>
        </is>
      </c>
      <c r="B1416" s="26" t="n">
        <v>44933</v>
      </c>
      <c r="C1416" s="12" t="inlineStr">
        <is>
          <t>VS26</t>
        </is>
      </c>
      <c r="D1416" s="12" t="inlineStr">
        <is>
          <t>MS Rods</t>
        </is>
      </c>
      <c r="E1416" s="12" t="inlineStr">
        <is>
          <t>N</t>
        </is>
      </c>
      <c r="F1416" s="12" t="n">
        <v>9.220000000000001</v>
      </c>
      <c r="G1416" s="17" t="n">
        <v>78103.21000000001</v>
      </c>
      <c r="H1416" s="26" t="n">
        <v>44944</v>
      </c>
      <c r="I1416" s="26" t="n">
        <v>44944</v>
      </c>
      <c r="J1416" s="12" t="n">
        <v>9.19</v>
      </c>
      <c r="K1416" s="17" t="n">
        <v>720111.6</v>
      </c>
      <c r="L1416" s="12" t="n">
        <v>0</v>
      </c>
      <c r="M1416" s="12" t="n">
        <v>6</v>
      </c>
      <c r="N1416" s="27">
        <f>F1416-J1416</f>
        <v/>
      </c>
      <c r="O1416" s="16">
        <f>I1416-H1416</f>
        <v/>
      </c>
      <c r="P1416" s="14">
        <f>F1416*G1416</f>
        <v/>
      </c>
      <c r="Q1416" s="14">
        <f>J1416*G1416</f>
        <v/>
      </c>
      <c r="R1416" s="14">
        <f>K1416-Q1416</f>
        <v/>
      </c>
      <c r="S1416" s="3">
        <f>P1416*Assumptions!$B$3/100</f>
        <v/>
      </c>
      <c r="T1416" s="14">
        <f>R1416-S1416</f>
        <v/>
      </c>
      <c r="U1416" s="14">
        <f>L1416*G1416</f>
        <v/>
      </c>
    </row>
    <row r="1417">
      <c r="A1417" s="12" t="inlineStr">
        <is>
          <t>PO-2021-1415</t>
        </is>
      </c>
      <c r="B1417" s="26" t="n">
        <v>45084</v>
      </c>
      <c r="C1417" s="12" t="inlineStr">
        <is>
          <t>VS10</t>
        </is>
      </c>
      <c r="D1417" s="12" t="inlineStr">
        <is>
          <t>Structural Steel</t>
        </is>
      </c>
      <c r="E1417" s="12" t="inlineStr">
        <is>
          <t>N</t>
        </is>
      </c>
      <c r="F1417" s="12" t="n">
        <v>1.97</v>
      </c>
      <c r="G1417" s="17" t="n">
        <v>73606.45</v>
      </c>
      <c r="H1417" s="26" t="n">
        <v>45088</v>
      </c>
      <c r="I1417" s="26" t="n">
        <v>45090</v>
      </c>
      <c r="J1417" s="12" t="n">
        <v>1.95</v>
      </c>
      <c r="K1417" s="17" t="n">
        <v>145004.71</v>
      </c>
      <c r="L1417" s="12" t="n">
        <v>0</v>
      </c>
      <c r="M1417" s="12" t="n">
        <v>0</v>
      </c>
      <c r="N1417" s="27">
        <f>F1417-J1417</f>
        <v/>
      </c>
      <c r="O1417" s="16">
        <f>I1417-H1417</f>
        <v/>
      </c>
      <c r="P1417" s="14">
        <f>F1417*G1417</f>
        <v/>
      </c>
      <c r="Q1417" s="14">
        <f>J1417*G1417</f>
        <v/>
      </c>
      <c r="R1417" s="14">
        <f>K1417-Q1417</f>
        <v/>
      </c>
      <c r="S1417" s="3">
        <f>P1417*Assumptions!$B$3/100</f>
        <v/>
      </c>
      <c r="T1417" s="14">
        <f>R1417-S1417</f>
        <v/>
      </c>
      <c r="U1417" s="14">
        <f>L1417*G1417</f>
        <v/>
      </c>
    </row>
    <row r="1418">
      <c r="A1418" s="12" t="inlineStr">
        <is>
          <t>PO-2021-1416</t>
        </is>
      </c>
      <c r="B1418" s="26" t="n">
        <v>44811</v>
      </c>
      <c r="C1418" s="12" t="inlineStr">
        <is>
          <t>VS10</t>
        </is>
      </c>
      <c r="D1418" s="12" t="inlineStr">
        <is>
          <t>Spring Steel</t>
        </is>
      </c>
      <c r="E1418" s="12" t="inlineStr">
        <is>
          <t>N</t>
        </is>
      </c>
      <c r="F1418" s="12" t="n">
        <v>36.61</v>
      </c>
      <c r="G1418" s="17" t="n">
        <v>64296.88</v>
      </c>
      <c r="H1418" s="26" t="n">
        <v>44821</v>
      </c>
      <c r="I1418" s="26" t="n">
        <v>44822</v>
      </c>
      <c r="J1418" s="12" t="n">
        <v>36.37</v>
      </c>
      <c r="K1418" s="17" t="n">
        <v>2353908.78</v>
      </c>
      <c r="L1418" s="12" t="n">
        <v>0</v>
      </c>
      <c r="M1418" s="12" t="n">
        <v>24</v>
      </c>
      <c r="N1418" s="27">
        <f>F1418-J1418</f>
        <v/>
      </c>
      <c r="O1418" s="16">
        <f>I1418-H1418</f>
        <v/>
      </c>
      <c r="P1418" s="14">
        <f>F1418*G1418</f>
        <v/>
      </c>
      <c r="Q1418" s="14">
        <f>J1418*G1418</f>
        <v/>
      </c>
      <c r="R1418" s="14">
        <f>K1418-Q1418</f>
        <v/>
      </c>
      <c r="S1418" s="3">
        <f>P1418*Assumptions!$B$3/100</f>
        <v/>
      </c>
      <c r="T1418" s="14">
        <f>R1418-S1418</f>
        <v/>
      </c>
      <c r="U1418" s="14">
        <f>L1418*G1418</f>
        <v/>
      </c>
    </row>
    <row r="1419">
      <c r="A1419" s="12" t="inlineStr">
        <is>
          <t>PO-2021-1417</t>
        </is>
      </c>
      <c r="B1419" s="26" t="n">
        <v>44823</v>
      </c>
      <c r="C1419" s="12" t="inlineStr">
        <is>
          <t>VS30</t>
        </is>
      </c>
      <c r="D1419" s="12" t="inlineStr">
        <is>
          <t>SS Sheets</t>
        </is>
      </c>
      <c r="E1419" s="12" t="inlineStr">
        <is>
          <t>N</t>
        </is>
      </c>
      <c r="F1419" s="12" t="n">
        <v>19.38</v>
      </c>
      <c r="G1419" s="17" t="n">
        <v>90451.89999999999</v>
      </c>
      <c r="H1419" s="26" t="n">
        <v>44827</v>
      </c>
      <c r="I1419" s="26" t="n">
        <v>44830</v>
      </c>
      <c r="J1419" s="12" t="n">
        <v>19.35</v>
      </c>
      <c r="K1419" s="17" t="n">
        <v>1752957.82</v>
      </c>
      <c r="L1419" s="12" t="n">
        <v>0</v>
      </c>
      <c r="M1419" s="12" t="n">
        <v>16</v>
      </c>
      <c r="N1419" s="27">
        <f>F1419-J1419</f>
        <v/>
      </c>
      <c r="O1419" s="16">
        <f>I1419-H1419</f>
        <v/>
      </c>
      <c r="P1419" s="14">
        <f>F1419*G1419</f>
        <v/>
      </c>
      <c r="Q1419" s="14">
        <f>J1419*G1419</f>
        <v/>
      </c>
      <c r="R1419" s="14">
        <f>K1419-Q1419</f>
        <v/>
      </c>
      <c r="S1419" s="3">
        <f>P1419*Assumptions!$B$3/100</f>
        <v/>
      </c>
      <c r="T1419" s="14">
        <f>R1419-S1419</f>
        <v/>
      </c>
      <c r="U1419" s="14">
        <f>L1419*G1419</f>
        <v/>
      </c>
    </row>
    <row r="1420">
      <c r="A1420" s="12" t="inlineStr">
        <is>
          <t>PO-2021-1418</t>
        </is>
      </c>
      <c r="B1420" s="26" t="n">
        <v>44879</v>
      </c>
      <c r="C1420" s="12" t="inlineStr">
        <is>
          <t>VS09</t>
        </is>
      </c>
      <c r="D1420" s="12" t="inlineStr">
        <is>
          <t>Structural Steel</t>
        </is>
      </c>
      <c r="E1420" s="12" t="inlineStr">
        <is>
          <t>N</t>
        </is>
      </c>
      <c r="F1420" s="12" t="n">
        <v>10.59</v>
      </c>
      <c r="G1420" s="17" t="n">
        <v>113709.9</v>
      </c>
      <c r="H1420" s="26" t="n">
        <v>44882</v>
      </c>
      <c r="I1420" s="26" t="n">
        <v>44884</v>
      </c>
      <c r="J1420" s="12" t="n">
        <v>10.56</v>
      </c>
      <c r="K1420" s="17" t="n">
        <v>1204187.84</v>
      </c>
      <c r="L1420" s="12" t="n">
        <v>0</v>
      </c>
      <c r="M1420" s="12" t="n">
        <v>7</v>
      </c>
      <c r="N1420" s="27">
        <f>F1420-J1420</f>
        <v/>
      </c>
      <c r="O1420" s="16">
        <f>I1420-H1420</f>
        <v/>
      </c>
      <c r="P1420" s="14">
        <f>F1420*G1420</f>
        <v/>
      </c>
      <c r="Q1420" s="14">
        <f>J1420*G1420</f>
        <v/>
      </c>
      <c r="R1420" s="14">
        <f>K1420-Q1420</f>
        <v/>
      </c>
      <c r="S1420" s="3">
        <f>P1420*Assumptions!$B$3/100</f>
        <v/>
      </c>
      <c r="T1420" s="14">
        <f>R1420-S1420</f>
        <v/>
      </c>
      <c r="U1420" s="14">
        <f>L1420*G1420</f>
        <v/>
      </c>
    </row>
    <row r="1421">
      <c r="A1421" s="12" t="inlineStr">
        <is>
          <t>PO-2021-1419</t>
        </is>
      </c>
      <c r="B1421" s="26" t="n">
        <v>44223</v>
      </c>
      <c r="C1421" s="12" t="inlineStr">
        <is>
          <t>VS33</t>
        </is>
      </c>
      <c r="D1421" s="12" t="inlineStr">
        <is>
          <t>Angles &amp; Channels</t>
        </is>
      </c>
      <c r="E1421" s="12" t="inlineStr">
        <is>
          <t>N</t>
        </is>
      </c>
      <c r="F1421" s="12" t="n">
        <v>25.08</v>
      </c>
      <c r="G1421" s="17" t="n">
        <v>114426.83</v>
      </c>
      <c r="H1421" s="26" t="n">
        <v>44232</v>
      </c>
      <c r="I1421" s="26" t="n">
        <v>44234</v>
      </c>
      <c r="J1421" s="12" t="n">
        <v>24.98</v>
      </c>
      <c r="K1421" s="17" t="n">
        <v>2869824.9</v>
      </c>
      <c r="L1421" s="12" t="n">
        <v>0</v>
      </c>
      <c r="M1421" s="12" t="n">
        <v>17</v>
      </c>
      <c r="N1421" s="27">
        <f>F1421-J1421</f>
        <v/>
      </c>
      <c r="O1421" s="16">
        <f>I1421-H1421</f>
        <v/>
      </c>
      <c r="P1421" s="14">
        <f>F1421*G1421</f>
        <v/>
      </c>
      <c r="Q1421" s="14">
        <f>J1421*G1421</f>
        <v/>
      </c>
      <c r="R1421" s="14">
        <f>K1421-Q1421</f>
        <v/>
      </c>
      <c r="S1421" s="3">
        <f>P1421*Assumptions!$B$3/100</f>
        <v/>
      </c>
      <c r="T1421" s="14">
        <f>R1421-S1421</f>
        <v/>
      </c>
      <c r="U1421" s="14">
        <f>L1421*G1421</f>
        <v/>
      </c>
    </row>
    <row r="1422">
      <c r="A1422" s="12" t="inlineStr">
        <is>
          <t>PO-2021-1420</t>
        </is>
      </c>
      <c r="B1422" s="26" t="n">
        <v>44961</v>
      </c>
      <c r="C1422" s="12" t="inlineStr">
        <is>
          <t>VS25</t>
        </is>
      </c>
      <c r="D1422" s="12" t="inlineStr">
        <is>
          <t>Structural Steel</t>
        </is>
      </c>
      <c r="E1422" s="12" t="inlineStr">
        <is>
          <t>N</t>
        </is>
      </c>
      <c r="F1422" s="12" t="n">
        <v>16.08</v>
      </c>
      <c r="G1422" s="17" t="n">
        <v>119064.15</v>
      </c>
      <c r="H1422" s="26" t="n">
        <v>44965</v>
      </c>
      <c r="I1422" s="26" t="n">
        <v>44968</v>
      </c>
      <c r="J1422" s="12" t="n">
        <v>15.95</v>
      </c>
      <c r="K1422" s="17" t="n">
        <v>1914551.53</v>
      </c>
      <c r="L1422" s="12" t="n">
        <v>0</v>
      </c>
      <c r="M1422" s="12" t="n">
        <v>0</v>
      </c>
      <c r="N1422" s="27">
        <f>F1422-J1422</f>
        <v/>
      </c>
      <c r="O1422" s="16">
        <f>I1422-H1422</f>
        <v/>
      </c>
      <c r="P1422" s="14">
        <f>F1422*G1422</f>
        <v/>
      </c>
      <c r="Q1422" s="14">
        <f>J1422*G1422</f>
        <v/>
      </c>
      <c r="R1422" s="14">
        <f>K1422-Q1422</f>
        <v/>
      </c>
      <c r="S1422" s="3">
        <f>P1422*Assumptions!$B$3/100</f>
        <v/>
      </c>
      <c r="T1422" s="14">
        <f>R1422-S1422</f>
        <v/>
      </c>
      <c r="U1422" s="14">
        <f>L1422*G1422</f>
        <v/>
      </c>
    </row>
    <row r="1423">
      <c r="A1423" s="12" t="inlineStr">
        <is>
          <t>PO-2021-1421</t>
        </is>
      </c>
      <c r="B1423" s="26" t="n">
        <v>45034</v>
      </c>
      <c r="C1423" s="12" t="inlineStr">
        <is>
          <t>VS03</t>
        </is>
      </c>
      <c r="D1423" s="12" t="inlineStr">
        <is>
          <t>ERW Pipes</t>
        </is>
      </c>
      <c r="E1423" s="12" t="inlineStr">
        <is>
          <t>N</t>
        </is>
      </c>
      <c r="F1423" s="12" t="n">
        <v>19.86</v>
      </c>
      <c r="G1423" s="17" t="n">
        <v>90917.47</v>
      </c>
      <c r="H1423" s="26" t="n">
        <v>45040</v>
      </c>
      <c r="I1423" s="26" t="n">
        <v>45044</v>
      </c>
      <c r="J1423" s="12" t="n">
        <v>19.33</v>
      </c>
      <c r="K1423" s="17" t="n">
        <v>1805620.95</v>
      </c>
      <c r="L1423" s="12" t="n">
        <v>0.01</v>
      </c>
      <c r="M1423" s="12" t="n">
        <v>1</v>
      </c>
      <c r="N1423" s="27">
        <f>F1423-J1423</f>
        <v/>
      </c>
      <c r="O1423" s="16">
        <f>I1423-H1423</f>
        <v/>
      </c>
      <c r="P1423" s="14">
        <f>F1423*G1423</f>
        <v/>
      </c>
      <c r="Q1423" s="14">
        <f>J1423*G1423</f>
        <v/>
      </c>
      <c r="R1423" s="14">
        <f>K1423-Q1423</f>
        <v/>
      </c>
      <c r="S1423" s="3">
        <f>P1423*Assumptions!$B$3/100</f>
        <v/>
      </c>
      <c r="T1423" s="14">
        <f>R1423-S1423</f>
        <v/>
      </c>
      <c r="U1423" s="14">
        <f>L1423*G1423</f>
        <v/>
      </c>
    </row>
    <row r="1424">
      <c r="A1424" s="12" t="inlineStr">
        <is>
          <t>PO-2021-1422</t>
        </is>
      </c>
      <c r="B1424" s="26" t="n">
        <v>45090</v>
      </c>
      <c r="C1424" s="12" t="inlineStr">
        <is>
          <t>VS17</t>
        </is>
      </c>
      <c r="D1424" s="12" t="inlineStr">
        <is>
          <t>Angles &amp; Channels</t>
        </is>
      </c>
      <c r="E1424" s="12" t="inlineStr">
        <is>
          <t>N</t>
        </is>
      </c>
      <c r="F1424" s="12" t="n">
        <v>25.97</v>
      </c>
      <c r="G1424" s="17" t="n">
        <v>81646.64</v>
      </c>
      <c r="H1424" s="26" t="n">
        <v>45104</v>
      </c>
      <c r="I1424" s="26" t="n">
        <v>45105</v>
      </c>
      <c r="J1424" s="12" t="n">
        <v>25.8</v>
      </c>
      <c r="K1424" s="17" t="n">
        <v>2120363.24</v>
      </c>
      <c r="L1424" s="12" t="n">
        <v>0</v>
      </c>
      <c r="M1424" s="12" t="n">
        <v>0</v>
      </c>
      <c r="N1424" s="27">
        <f>F1424-J1424</f>
        <v/>
      </c>
      <c r="O1424" s="16">
        <f>I1424-H1424</f>
        <v/>
      </c>
      <c r="P1424" s="14">
        <f>F1424*G1424</f>
        <v/>
      </c>
      <c r="Q1424" s="14">
        <f>J1424*G1424</f>
        <v/>
      </c>
      <c r="R1424" s="14">
        <f>K1424-Q1424</f>
        <v/>
      </c>
      <c r="S1424" s="3">
        <f>P1424*Assumptions!$B$3/100</f>
        <v/>
      </c>
      <c r="T1424" s="14">
        <f>R1424-S1424</f>
        <v/>
      </c>
      <c r="U1424" s="14">
        <f>L1424*G1424</f>
        <v/>
      </c>
    </row>
    <row r="1425">
      <c r="A1425" s="12" t="inlineStr">
        <is>
          <t>PO-2021-1423</t>
        </is>
      </c>
      <c r="B1425" s="26" t="n">
        <v>44951</v>
      </c>
      <c r="C1425" s="12" t="inlineStr">
        <is>
          <t>VS04</t>
        </is>
      </c>
      <c r="D1425" s="12" t="inlineStr">
        <is>
          <t>MS Rods</t>
        </is>
      </c>
      <c r="E1425" s="12" t="inlineStr">
        <is>
          <t>N</t>
        </is>
      </c>
      <c r="F1425" s="12" t="n">
        <v>46.4</v>
      </c>
      <c r="G1425" s="17" t="n">
        <v>100174.82</v>
      </c>
      <c r="H1425" s="26" t="n">
        <v>44957</v>
      </c>
      <c r="I1425" s="26" t="n">
        <v>44958</v>
      </c>
      <c r="J1425" s="12" t="n">
        <v>46.27</v>
      </c>
      <c r="K1425" s="17" t="n">
        <v>4648111.65</v>
      </c>
      <c r="L1425" s="12" t="n">
        <v>0</v>
      </c>
      <c r="M1425" s="12" t="n">
        <v>0</v>
      </c>
      <c r="N1425" s="27">
        <f>F1425-J1425</f>
        <v/>
      </c>
      <c r="O1425" s="16">
        <f>I1425-H1425</f>
        <v/>
      </c>
      <c r="P1425" s="14">
        <f>F1425*G1425</f>
        <v/>
      </c>
      <c r="Q1425" s="14">
        <f>J1425*G1425</f>
        <v/>
      </c>
      <c r="R1425" s="14">
        <f>K1425-Q1425</f>
        <v/>
      </c>
      <c r="S1425" s="3">
        <f>P1425*Assumptions!$B$3/100</f>
        <v/>
      </c>
      <c r="T1425" s="14">
        <f>R1425-S1425</f>
        <v/>
      </c>
      <c r="U1425" s="14">
        <f>L1425*G1425</f>
        <v/>
      </c>
    </row>
    <row r="1426">
      <c r="A1426" s="12" t="inlineStr">
        <is>
          <t>PO-2021-1424</t>
        </is>
      </c>
      <c r="B1426" s="26" t="n">
        <v>45175</v>
      </c>
      <c r="C1426" s="12" t="inlineStr">
        <is>
          <t>VS03</t>
        </is>
      </c>
      <c r="D1426" s="12" t="inlineStr">
        <is>
          <t>Angles &amp; Channels</t>
        </is>
      </c>
      <c r="E1426" s="12" t="inlineStr">
        <is>
          <t>N</t>
        </is>
      </c>
      <c r="F1426" s="12" t="n">
        <v>31.92</v>
      </c>
      <c r="G1426" s="17" t="n">
        <v>99561.2</v>
      </c>
      <c r="H1426" s="26" t="n">
        <v>45189</v>
      </c>
      <c r="I1426" s="26" t="n">
        <v>45193</v>
      </c>
      <c r="J1426" s="12" t="n">
        <v>31.2</v>
      </c>
      <c r="K1426" s="17" t="n">
        <v>3177993.5</v>
      </c>
      <c r="L1426" s="12" t="n">
        <v>0.03</v>
      </c>
      <c r="M1426" s="12" t="n">
        <v>11</v>
      </c>
      <c r="N1426" s="27">
        <f>F1426-J1426</f>
        <v/>
      </c>
      <c r="O1426" s="16">
        <f>I1426-H1426</f>
        <v/>
      </c>
      <c r="P1426" s="14">
        <f>F1426*G1426</f>
        <v/>
      </c>
      <c r="Q1426" s="14">
        <f>J1426*G1426</f>
        <v/>
      </c>
      <c r="R1426" s="14">
        <f>K1426-Q1426</f>
        <v/>
      </c>
      <c r="S1426" s="3">
        <f>P1426*Assumptions!$B$3/100</f>
        <v/>
      </c>
      <c r="T1426" s="14">
        <f>R1426-S1426</f>
        <v/>
      </c>
      <c r="U1426" s="14">
        <f>L1426*G1426</f>
        <v/>
      </c>
    </row>
    <row r="1427">
      <c r="A1427" s="12" t="inlineStr">
        <is>
          <t>PO-2021-1425</t>
        </is>
      </c>
      <c r="B1427" s="26" t="n">
        <v>44499</v>
      </c>
      <c r="C1427" s="12" t="inlineStr">
        <is>
          <t>VS17</t>
        </is>
      </c>
      <c r="D1427" s="12" t="inlineStr">
        <is>
          <t>Fasteners &amp; Fittings</t>
        </is>
      </c>
      <c r="E1427" s="12" t="inlineStr">
        <is>
          <t>N</t>
        </is>
      </c>
      <c r="F1427" s="12" t="n">
        <v>47.27</v>
      </c>
      <c r="G1427" s="17" t="n">
        <v>56052.55</v>
      </c>
      <c r="H1427" s="26" t="n">
        <v>44505</v>
      </c>
      <c r="I1427" s="26" t="n">
        <v>44506</v>
      </c>
      <c r="J1427" s="12" t="n">
        <v>46.93</v>
      </c>
      <c r="K1427" s="17" t="n">
        <v>2649604.04</v>
      </c>
      <c r="L1427" s="12" t="n">
        <v>0</v>
      </c>
      <c r="M1427" s="12" t="n">
        <v>11</v>
      </c>
      <c r="N1427" s="27">
        <f>F1427-J1427</f>
        <v/>
      </c>
      <c r="O1427" s="16">
        <f>I1427-H1427</f>
        <v/>
      </c>
      <c r="P1427" s="14">
        <f>F1427*G1427</f>
        <v/>
      </c>
      <c r="Q1427" s="14">
        <f>J1427*G1427</f>
        <v/>
      </c>
      <c r="R1427" s="14">
        <f>K1427-Q1427</f>
        <v/>
      </c>
      <c r="S1427" s="3">
        <f>P1427*Assumptions!$B$3/100</f>
        <v/>
      </c>
      <c r="T1427" s="14">
        <f>R1427-S1427</f>
        <v/>
      </c>
      <c r="U1427" s="14">
        <f>L1427*G1427</f>
        <v/>
      </c>
    </row>
    <row r="1428">
      <c r="A1428" s="12" t="inlineStr">
        <is>
          <t>PO-2021-1426</t>
        </is>
      </c>
      <c r="B1428" s="26" t="n">
        <v>44527</v>
      </c>
      <c r="C1428" s="12" t="inlineStr">
        <is>
          <t>VS01</t>
        </is>
      </c>
      <c r="D1428" s="12" t="inlineStr">
        <is>
          <t>ERW Pipes</t>
        </is>
      </c>
      <c r="E1428" s="12" t="inlineStr">
        <is>
          <t>Y</t>
        </is>
      </c>
      <c r="F1428" s="12" t="n">
        <v>38.78</v>
      </c>
      <c r="G1428" s="17" t="n">
        <v>93329.8</v>
      </c>
      <c r="H1428" s="26" t="n">
        <v>44536</v>
      </c>
      <c r="I1428" s="26" t="n">
        <v>44537</v>
      </c>
      <c r="J1428" s="12" t="n">
        <v>38.45</v>
      </c>
      <c r="K1428" s="17" t="n">
        <v>3619329.64</v>
      </c>
      <c r="L1428" s="12" t="n">
        <v>0</v>
      </c>
      <c r="M1428" s="12" t="n">
        <v>0</v>
      </c>
      <c r="N1428" s="27">
        <f>F1428-J1428</f>
        <v/>
      </c>
      <c r="O1428" s="16">
        <f>I1428-H1428</f>
        <v/>
      </c>
      <c r="P1428" s="14">
        <f>F1428*G1428</f>
        <v/>
      </c>
      <c r="Q1428" s="14">
        <f>J1428*G1428</f>
        <v/>
      </c>
      <c r="R1428" s="14">
        <f>K1428-Q1428</f>
        <v/>
      </c>
      <c r="S1428" s="3">
        <f>P1428*Assumptions!$B$3/100</f>
        <v/>
      </c>
      <c r="T1428" s="14">
        <f>R1428-S1428</f>
        <v/>
      </c>
      <c r="U1428" s="14">
        <f>L1428*G1428</f>
        <v/>
      </c>
    </row>
    <row r="1429">
      <c r="A1429" s="12" t="inlineStr">
        <is>
          <t>PO-2021-1427</t>
        </is>
      </c>
      <c r="B1429" s="26" t="n">
        <v>45011</v>
      </c>
      <c r="C1429" s="12" t="inlineStr">
        <is>
          <t>VS06</t>
        </is>
      </c>
      <c r="D1429" s="12" t="inlineStr">
        <is>
          <t>Hex Bars</t>
        </is>
      </c>
      <c r="E1429" s="12" t="inlineStr">
        <is>
          <t>N</t>
        </is>
      </c>
      <c r="F1429" s="12" t="n">
        <v>45.59</v>
      </c>
      <c r="G1429" s="17" t="n">
        <v>110700.46</v>
      </c>
      <c r="H1429" s="26" t="n">
        <v>45016</v>
      </c>
      <c r="I1429" s="26" t="n">
        <v>45016</v>
      </c>
      <c r="J1429" s="12" t="n">
        <v>45.14</v>
      </c>
      <c r="K1429" s="17" t="n">
        <v>5046833.97</v>
      </c>
      <c r="L1429" s="12" t="n">
        <v>0</v>
      </c>
      <c r="M1429" s="12" t="n">
        <v>24</v>
      </c>
      <c r="N1429" s="27">
        <f>F1429-J1429</f>
        <v/>
      </c>
      <c r="O1429" s="16">
        <f>I1429-H1429</f>
        <v/>
      </c>
      <c r="P1429" s="14">
        <f>F1429*G1429</f>
        <v/>
      </c>
      <c r="Q1429" s="14">
        <f>J1429*G1429</f>
        <v/>
      </c>
      <c r="R1429" s="14">
        <f>K1429-Q1429</f>
        <v/>
      </c>
      <c r="S1429" s="3">
        <f>P1429*Assumptions!$B$3/100</f>
        <v/>
      </c>
      <c r="T1429" s="14">
        <f>R1429-S1429</f>
        <v/>
      </c>
      <c r="U1429" s="14">
        <f>L1429*G1429</f>
        <v/>
      </c>
    </row>
    <row r="1430">
      <c r="A1430" s="12" t="inlineStr">
        <is>
          <t>PO-2021-1428</t>
        </is>
      </c>
      <c r="B1430" s="26" t="n">
        <v>45071</v>
      </c>
      <c r="C1430" s="12" t="inlineStr">
        <is>
          <t>VS17</t>
        </is>
      </c>
      <c r="D1430" s="12" t="inlineStr">
        <is>
          <t>SS Sheets</t>
        </is>
      </c>
      <c r="E1430" s="12" t="inlineStr">
        <is>
          <t>N</t>
        </is>
      </c>
      <c r="F1430" s="12" t="n">
        <v>25.53</v>
      </c>
      <c r="G1430" s="17" t="n">
        <v>84990.10000000001</v>
      </c>
      <c r="H1430" s="26" t="n">
        <v>45080</v>
      </c>
      <c r="I1430" s="26" t="n">
        <v>45081</v>
      </c>
      <c r="J1430" s="12" t="n">
        <v>25.51</v>
      </c>
      <c r="K1430" s="17" t="n">
        <v>2169797.25</v>
      </c>
      <c r="L1430" s="12" t="n">
        <v>0</v>
      </c>
      <c r="M1430" s="12" t="n">
        <v>21</v>
      </c>
      <c r="N1430" s="27">
        <f>F1430-J1430</f>
        <v/>
      </c>
      <c r="O1430" s="16">
        <f>I1430-H1430</f>
        <v/>
      </c>
      <c r="P1430" s="14">
        <f>F1430*G1430</f>
        <v/>
      </c>
      <c r="Q1430" s="14">
        <f>J1430*G1430</f>
        <v/>
      </c>
      <c r="R1430" s="14">
        <f>K1430-Q1430</f>
        <v/>
      </c>
      <c r="S1430" s="3">
        <f>P1430*Assumptions!$B$3/100</f>
        <v/>
      </c>
      <c r="T1430" s="14">
        <f>R1430-S1430</f>
        <v/>
      </c>
      <c r="U1430" s="14">
        <f>L1430*G1430</f>
        <v/>
      </c>
    </row>
    <row r="1431">
      <c r="A1431" s="12" t="inlineStr">
        <is>
          <t>PO-2021-1429</t>
        </is>
      </c>
      <c r="B1431" s="26" t="n">
        <v>44827</v>
      </c>
      <c r="C1431" s="12" t="inlineStr">
        <is>
          <t>VS27</t>
        </is>
      </c>
      <c r="D1431" s="12" t="inlineStr">
        <is>
          <t>SS Pipes</t>
        </is>
      </c>
      <c r="E1431" s="12" t="inlineStr">
        <is>
          <t>Y</t>
        </is>
      </c>
      <c r="F1431" s="12" t="n">
        <v>6.35</v>
      </c>
      <c r="G1431" s="17" t="n">
        <v>87945.88</v>
      </c>
      <c r="H1431" s="26" t="n">
        <v>44842</v>
      </c>
      <c r="I1431" s="26" t="n">
        <v>44844</v>
      </c>
      <c r="J1431" s="12" t="n">
        <v>6.34</v>
      </c>
      <c r="K1431" s="17" t="n">
        <v>558456.34</v>
      </c>
      <c r="L1431" s="12" t="n">
        <v>0</v>
      </c>
      <c r="M1431" s="12" t="n">
        <v>10</v>
      </c>
      <c r="N1431" s="27">
        <f>F1431-J1431</f>
        <v/>
      </c>
      <c r="O1431" s="16">
        <f>I1431-H1431</f>
        <v/>
      </c>
      <c r="P1431" s="14">
        <f>F1431*G1431</f>
        <v/>
      </c>
      <c r="Q1431" s="14">
        <f>J1431*G1431</f>
        <v/>
      </c>
      <c r="R1431" s="14">
        <f>K1431-Q1431</f>
        <v/>
      </c>
      <c r="S1431" s="3">
        <f>P1431*Assumptions!$B$3/100</f>
        <v/>
      </c>
      <c r="T1431" s="14">
        <f>R1431-S1431</f>
        <v/>
      </c>
      <c r="U1431" s="14">
        <f>L1431*G1431</f>
        <v/>
      </c>
    </row>
    <row r="1432">
      <c r="A1432" s="12" t="inlineStr">
        <is>
          <t>PO-2021-1430</t>
        </is>
      </c>
      <c r="B1432" s="26" t="n">
        <v>44902</v>
      </c>
      <c r="C1432" s="12" t="inlineStr">
        <is>
          <t>VS10</t>
        </is>
      </c>
      <c r="D1432" s="12" t="inlineStr">
        <is>
          <t>CR Sheets</t>
        </is>
      </c>
      <c r="E1432" s="12" t="inlineStr">
        <is>
          <t>N</t>
        </is>
      </c>
      <c r="F1432" s="12" t="n">
        <v>37.69</v>
      </c>
      <c r="G1432" s="17" t="n">
        <v>114751.26</v>
      </c>
      <c r="H1432" s="26" t="n">
        <v>44911</v>
      </c>
      <c r="I1432" s="26" t="n">
        <v>44912</v>
      </c>
      <c r="J1432" s="12" t="n">
        <v>37.59</v>
      </c>
      <c r="K1432" s="17" t="n">
        <v>4324974.99</v>
      </c>
      <c r="L1432" s="12" t="n">
        <v>0</v>
      </c>
      <c r="M1432" s="12" t="n">
        <v>1</v>
      </c>
      <c r="N1432" s="27">
        <f>F1432-J1432</f>
        <v/>
      </c>
      <c r="O1432" s="16">
        <f>I1432-H1432</f>
        <v/>
      </c>
      <c r="P1432" s="14">
        <f>F1432*G1432</f>
        <v/>
      </c>
      <c r="Q1432" s="14">
        <f>J1432*G1432</f>
        <v/>
      </c>
      <c r="R1432" s="14">
        <f>K1432-Q1432</f>
        <v/>
      </c>
      <c r="S1432" s="3">
        <f>P1432*Assumptions!$B$3/100</f>
        <v/>
      </c>
      <c r="T1432" s="14">
        <f>R1432-S1432</f>
        <v/>
      </c>
      <c r="U1432" s="14">
        <f>L1432*G1432</f>
        <v/>
      </c>
    </row>
    <row r="1433">
      <c r="A1433" s="12" t="inlineStr">
        <is>
          <t>PO-2021-1431</t>
        </is>
      </c>
      <c r="B1433" s="26" t="n">
        <v>44827</v>
      </c>
      <c r="C1433" s="12" t="inlineStr">
        <is>
          <t>VS01</t>
        </is>
      </c>
      <c r="D1433" s="12" t="inlineStr">
        <is>
          <t>MS Sheets</t>
        </is>
      </c>
      <c r="E1433" s="12" t="inlineStr">
        <is>
          <t>N</t>
        </is>
      </c>
      <c r="F1433" s="12" t="n">
        <v>41</v>
      </c>
      <c r="G1433" s="17" t="n">
        <v>45118.39</v>
      </c>
      <c r="H1433" s="26" t="n">
        <v>44831</v>
      </c>
      <c r="I1433" s="26" t="n">
        <v>44831</v>
      </c>
      <c r="J1433" s="12" t="n">
        <v>40.71</v>
      </c>
      <c r="K1433" s="17" t="n">
        <v>1849853.99</v>
      </c>
      <c r="L1433" s="12" t="n">
        <v>0</v>
      </c>
      <c r="M1433" s="12" t="n">
        <v>21</v>
      </c>
      <c r="N1433" s="27">
        <f>F1433-J1433</f>
        <v/>
      </c>
      <c r="O1433" s="16">
        <f>I1433-H1433</f>
        <v/>
      </c>
      <c r="P1433" s="14">
        <f>F1433*G1433</f>
        <v/>
      </c>
      <c r="Q1433" s="14">
        <f>J1433*G1433</f>
        <v/>
      </c>
      <c r="R1433" s="14">
        <f>K1433-Q1433</f>
        <v/>
      </c>
      <c r="S1433" s="3">
        <f>P1433*Assumptions!$B$3/100</f>
        <v/>
      </c>
      <c r="T1433" s="14">
        <f>R1433-S1433</f>
        <v/>
      </c>
      <c r="U1433" s="14">
        <f>L1433*G1433</f>
        <v/>
      </c>
    </row>
    <row r="1434">
      <c r="A1434" s="12" t="inlineStr">
        <is>
          <t>PO-2021-1432</t>
        </is>
      </c>
      <c r="B1434" s="26" t="n">
        <v>45052</v>
      </c>
      <c r="C1434" s="12" t="inlineStr">
        <is>
          <t>VS34</t>
        </is>
      </c>
      <c r="D1434" s="12" t="inlineStr">
        <is>
          <t>GI Wire</t>
        </is>
      </c>
      <c r="E1434" s="12" t="inlineStr">
        <is>
          <t>Y</t>
        </is>
      </c>
      <c r="F1434" s="12" t="n">
        <v>33.07</v>
      </c>
      <c r="G1434" s="17" t="n">
        <v>99978.17</v>
      </c>
      <c r="H1434" s="26" t="n">
        <v>45057</v>
      </c>
      <c r="I1434" s="26" t="n">
        <v>45060</v>
      </c>
      <c r="J1434" s="12" t="n">
        <v>32.91</v>
      </c>
      <c r="K1434" s="17" t="n">
        <v>3306278.08</v>
      </c>
      <c r="L1434" s="12" t="n">
        <v>0</v>
      </c>
      <c r="M1434" s="12" t="n">
        <v>0</v>
      </c>
      <c r="N1434" s="27">
        <f>F1434-J1434</f>
        <v/>
      </c>
      <c r="O1434" s="16">
        <f>I1434-H1434</f>
        <v/>
      </c>
      <c r="P1434" s="14">
        <f>F1434*G1434</f>
        <v/>
      </c>
      <c r="Q1434" s="14">
        <f>J1434*G1434</f>
        <v/>
      </c>
      <c r="R1434" s="14">
        <f>K1434-Q1434</f>
        <v/>
      </c>
      <c r="S1434" s="3">
        <f>P1434*Assumptions!$B$3/100</f>
        <v/>
      </c>
      <c r="T1434" s="14">
        <f>R1434-S1434</f>
        <v/>
      </c>
      <c r="U1434" s="14">
        <f>L1434*G1434</f>
        <v/>
      </c>
    </row>
    <row r="1435">
      <c r="A1435" s="12" t="inlineStr">
        <is>
          <t>PO-2021-1433</t>
        </is>
      </c>
      <c r="B1435" s="26" t="n">
        <v>44558</v>
      </c>
      <c r="C1435" s="12" t="inlineStr">
        <is>
          <t>VS24</t>
        </is>
      </c>
      <c r="D1435" s="12" t="inlineStr">
        <is>
          <t>MS Sheets</t>
        </is>
      </c>
      <c r="E1435" s="12" t="inlineStr">
        <is>
          <t>N</t>
        </is>
      </c>
      <c r="F1435" s="12" t="n">
        <v>35.5</v>
      </c>
      <c r="G1435" s="17" t="n">
        <v>59851.54</v>
      </c>
      <c r="H1435" s="26" t="n">
        <v>44563</v>
      </c>
      <c r="I1435" s="26" t="n">
        <v>44564</v>
      </c>
      <c r="J1435" s="12" t="n">
        <v>35.39</v>
      </c>
      <c r="K1435" s="17" t="n">
        <v>2124729.67</v>
      </c>
      <c r="L1435" s="12" t="n">
        <v>0</v>
      </c>
      <c r="M1435" s="12" t="n">
        <v>0</v>
      </c>
      <c r="N1435" s="27">
        <f>F1435-J1435</f>
        <v/>
      </c>
      <c r="O1435" s="16">
        <f>I1435-H1435</f>
        <v/>
      </c>
      <c r="P1435" s="14">
        <f>F1435*G1435</f>
        <v/>
      </c>
      <c r="Q1435" s="14">
        <f>J1435*G1435</f>
        <v/>
      </c>
      <c r="R1435" s="14">
        <f>K1435-Q1435</f>
        <v/>
      </c>
      <c r="S1435" s="3">
        <f>P1435*Assumptions!$B$3/100</f>
        <v/>
      </c>
      <c r="T1435" s="14">
        <f>R1435-S1435</f>
        <v/>
      </c>
      <c r="U1435" s="14">
        <f>L1435*G1435</f>
        <v/>
      </c>
    </row>
    <row r="1436">
      <c r="A1436" s="12" t="inlineStr">
        <is>
          <t>PO-2021-1434</t>
        </is>
      </c>
      <c r="B1436" s="26" t="n">
        <v>45226</v>
      </c>
      <c r="C1436" s="12" t="inlineStr">
        <is>
          <t>VS08</t>
        </is>
      </c>
      <c r="D1436" s="12" t="inlineStr">
        <is>
          <t>Fasteners &amp; Fittings</t>
        </is>
      </c>
      <c r="E1436" s="12" t="inlineStr">
        <is>
          <t>N</t>
        </is>
      </c>
      <c r="F1436" s="12" t="n">
        <v>28.79</v>
      </c>
      <c r="G1436" s="17" t="n">
        <v>60943</v>
      </c>
      <c r="H1436" s="26" t="n">
        <v>45232</v>
      </c>
      <c r="I1436" s="26" t="n">
        <v>45235</v>
      </c>
      <c r="J1436" s="12" t="n">
        <v>28.75</v>
      </c>
      <c r="K1436" s="17" t="n">
        <v>1754548.97</v>
      </c>
      <c r="L1436" s="12" t="n">
        <v>0</v>
      </c>
      <c r="M1436" s="12" t="n">
        <v>0</v>
      </c>
      <c r="N1436" s="27">
        <f>F1436-J1436</f>
        <v/>
      </c>
      <c r="O1436" s="16">
        <f>I1436-H1436</f>
        <v/>
      </c>
      <c r="P1436" s="14">
        <f>F1436*G1436</f>
        <v/>
      </c>
      <c r="Q1436" s="14">
        <f>J1436*G1436</f>
        <v/>
      </c>
      <c r="R1436" s="14">
        <f>K1436-Q1436</f>
        <v/>
      </c>
      <c r="S1436" s="3">
        <f>P1436*Assumptions!$B$3/100</f>
        <v/>
      </c>
      <c r="T1436" s="14">
        <f>R1436-S1436</f>
        <v/>
      </c>
      <c r="U1436" s="14">
        <f>L1436*G1436</f>
        <v/>
      </c>
    </row>
    <row r="1437">
      <c r="A1437" s="12" t="inlineStr">
        <is>
          <t>PO-2021-1435</t>
        </is>
      </c>
      <c r="B1437" s="26" t="n">
        <v>44317</v>
      </c>
      <c r="C1437" s="12" t="inlineStr">
        <is>
          <t>VS12</t>
        </is>
      </c>
      <c r="D1437" s="12" t="inlineStr">
        <is>
          <t>GI Sheets</t>
        </is>
      </c>
      <c r="E1437" s="12" t="inlineStr">
        <is>
          <t>N</t>
        </is>
      </c>
      <c r="F1437" s="12" t="n">
        <v>13.71</v>
      </c>
      <c r="G1437" s="17" t="n">
        <v>117177.32</v>
      </c>
      <c r="H1437" s="26" t="n">
        <v>44326</v>
      </c>
      <c r="I1437" s="26" t="n">
        <v>44333</v>
      </c>
      <c r="J1437" s="12" t="n">
        <v>13.38</v>
      </c>
      <c r="K1437" s="17" t="n">
        <v>1606501.06</v>
      </c>
      <c r="L1437" s="12" t="n">
        <v>0.03</v>
      </c>
      <c r="M1437" s="12" t="n">
        <v>1</v>
      </c>
      <c r="N1437" s="27">
        <f>F1437-J1437</f>
        <v/>
      </c>
      <c r="O1437" s="16">
        <f>I1437-H1437</f>
        <v/>
      </c>
      <c r="P1437" s="14">
        <f>F1437*G1437</f>
        <v/>
      </c>
      <c r="Q1437" s="14">
        <f>J1437*G1437</f>
        <v/>
      </c>
      <c r="R1437" s="14">
        <f>K1437-Q1437</f>
        <v/>
      </c>
      <c r="S1437" s="3">
        <f>P1437*Assumptions!$B$3/100</f>
        <v/>
      </c>
      <c r="T1437" s="14">
        <f>R1437-S1437</f>
        <v/>
      </c>
      <c r="U1437" s="14">
        <f>L1437*G1437</f>
        <v/>
      </c>
    </row>
    <row r="1438">
      <c r="A1438" s="12" t="inlineStr">
        <is>
          <t>PO-2021-1436</t>
        </is>
      </c>
      <c r="B1438" s="26" t="n">
        <v>45099</v>
      </c>
      <c r="C1438" s="12" t="inlineStr">
        <is>
          <t>VS07</t>
        </is>
      </c>
      <c r="D1438" s="12" t="inlineStr">
        <is>
          <t>MS Sheets</t>
        </is>
      </c>
      <c r="E1438" s="12" t="inlineStr">
        <is>
          <t>N</t>
        </is>
      </c>
      <c r="F1438" s="12" t="n">
        <v>4.91</v>
      </c>
      <c r="G1438" s="17" t="n">
        <v>51428.03</v>
      </c>
      <c r="H1438" s="26" t="n">
        <v>45103</v>
      </c>
      <c r="I1438" s="26" t="n">
        <v>45103</v>
      </c>
      <c r="J1438" s="12" t="n">
        <v>4.91</v>
      </c>
      <c r="K1438" s="17" t="n">
        <v>252511.63</v>
      </c>
      <c r="L1438" s="12" t="n">
        <v>0</v>
      </c>
      <c r="M1438" s="12" t="n">
        <v>0</v>
      </c>
      <c r="N1438" s="27">
        <f>F1438-J1438</f>
        <v/>
      </c>
      <c r="O1438" s="16">
        <f>I1438-H1438</f>
        <v/>
      </c>
      <c r="P1438" s="14">
        <f>F1438*G1438</f>
        <v/>
      </c>
      <c r="Q1438" s="14">
        <f>J1438*G1438</f>
        <v/>
      </c>
      <c r="R1438" s="14">
        <f>K1438-Q1438</f>
        <v/>
      </c>
      <c r="S1438" s="3">
        <f>P1438*Assumptions!$B$3/100</f>
        <v/>
      </c>
      <c r="T1438" s="14">
        <f>R1438-S1438</f>
        <v/>
      </c>
      <c r="U1438" s="14">
        <f>L1438*G1438</f>
        <v/>
      </c>
    </row>
    <row r="1439">
      <c r="A1439" s="12" t="inlineStr">
        <is>
          <t>PO-2021-1437</t>
        </is>
      </c>
      <c r="B1439" s="26" t="n">
        <v>44763</v>
      </c>
      <c r="C1439" s="12" t="inlineStr">
        <is>
          <t>VS05</t>
        </is>
      </c>
      <c r="D1439" s="12" t="inlineStr">
        <is>
          <t>MS Flats</t>
        </is>
      </c>
      <c r="E1439" s="12" t="inlineStr">
        <is>
          <t>Y</t>
        </is>
      </c>
      <c r="F1439" s="12" t="n">
        <v>2.45</v>
      </c>
      <c r="G1439" s="17" t="n">
        <v>62608.51</v>
      </c>
      <c r="H1439" s="26" t="n">
        <v>44773</v>
      </c>
      <c r="I1439" s="26" t="n">
        <v>44774</v>
      </c>
      <c r="J1439" s="12" t="n">
        <v>2.43</v>
      </c>
      <c r="K1439" s="17" t="n">
        <v>153390.85</v>
      </c>
      <c r="L1439" s="12" t="n">
        <v>0</v>
      </c>
      <c r="M1439" s="12" t="n">
        <v>0</v>
      </c>
      <c r="N1439" s="27">
        <f>F1439-J1439</f>
        <v/>
      </c>
      <c r="O1439" s="16">
        <f>I1439-H1439</f>
        <v/>
      </c>
      <c r="P1439" s="14">
        <f>F1439*G1439</f>
        <v/>
      </c>
      <c r="Q1439" s="14">
        <f>J1439*G1439</f>
        <v/>
      </c>
      <c r="R1439" s="14">
        <f>K1439-Q1439</f>
        <v/>
      </c>
      <c r="S1439" s="3">
        <f>P1439*Assumptions!$B$3/100</f>
        <v/>
      </c>
      <c r="T1439" s="14">
        <f>R1439-S1439</f>
        <v/>
      </c>
      <c r="U1439" s="14">
        <f>L1439*G1439</f>
        <v/>
      </c>
    </row>
    <row r="1440">
      <c r="A1440" s="12" t="inlineStr">
        <is>
          <t>PO-2021-1438</t>
        </is>
      </c>
      <c r="B1440" s="26" t="n">
        <v>44403</v>
      </c>
      <c r="C1440" s="12" t="inlineStr">
        <is>
          <t>VS01</t>
        </is>
      </c>
      <c r="D1440" s="12" t="inlineStr">
        <is>
          <t>GI Pipes</t>
        </is>
      </c>
      <c r="E1440" s="12" t="inlineStr">
        <is>
          <t>N</t>
        </is>
      </c>
      <c r="F1440" s="12" t="n">
        <v>14.04</v>
      </c>
      <c r="G1440" s="17" t="n">
        <v>116641.03</v>
      </c>
      <c r="H1440" s="26" t="n">
        <v>44416</v>
      </c>
      <c r="I1440" s="26" t="n">
        <v>44419</v>
      </c>
      <c r="J1440" s="12" t="n">
        <v>13.99</v>
      </c>
      <c r="K1440" s="17" t="n">
        <v>1637640.06</v>
      </c>
      <c r="L1440" s="12" t="n">
        <v>0</v>
      </c>
      <c r="M1440" s="12" t="n">
        <v>20</v>
      </c>
      <c r="N1440" s="27">
        <f>F1440-J1440</f>
        <v/>
      </c>
      <c r="O1440" s="16">
        <f>I1440-H1440</f>
        <v/>
      </c>
      <c r="P1440" s="14">
        <f>F1440*G1440</f>
        <v/>
      </c>
      <c r="Q1440" s="14">
        <f>J1440*G1440</f>
        <v/>
      </c>
      <c r="R1440" s="14">
        <f>K1440-Q1440</f>
        <v/>
      </c>
      <c r="S1440" s="3">
        <f>P1440*Assumptions!$B$3/100</f>
        <v/>
      </c>
      <c r="T1440" s="14">
        <f>R1440-S1440</f>
        <v/>
      </c>
      <c r="U1440" s="14">
        <f>L1440*G1440</f>
        <v/>
      </c>
    </row>
    <row r="1441">
      <c r="A1441" s="12" t="inlineStr">
        <is>
          <t>PO-2021-1439</t>
        </is>
      </c>
      <c r="B1441" s="26" t="n">
        <v>44282</v>
      </c>
      <c r="C1441" s="12" t="inlineStr">
        <is>
          <t>VS07</t>
        </is>
      </c>
      <c r="D1441" s="12" t="inlineStr">
        <is>
          <t>GI Sheets</t>
        </is>
      </c>
      <c r="E1441" s="12" t="inlineStr">
        <is>
          <t>N</t>
        </is>
      </c>
      <c r="F1441" s="12" t="n">
        <v>26.59</v>
      </c>
      <c r="G1441" s="17" t="n">
        <v>45544.65</v>
      </c>
      <c r="H1441" s="26" t="n">
        <v>44294</v>
      </c>
      <c r="I1441" s="26" t="n">
        <v>44294</v>
      </c>
      <c r="J1441" s="12" t="n">
        <v>26.46</v>
      </c>
      <c r="K1441" s="17" t="n">
        <v>1211032.24</v>
      </c>
      <c r="L1441" s="12" t="n">
        <v>0</v>
      </c>
      <c r="M1441" s="12" t="n">
        <v>13</v>
      </c>
      <c r="N1441" s="27">
        <f>F1441-J1441</f>
        <v/>
      </c>
      <c r="O1441" s="16">
        <f>I1441-H1441</f>
        <v/>
      </c>
      <c r="P1441" s="14">
        <f>F1441*G1441</f>
        <v/>
      </c>
      <c r="Q1441" s="14">
        <f>J1441*G1441</f>
        <v/>
      </c>
      <c r="R1441" s="14">
        <f>K1441-Q1441</f>
        <v/>
      </c>
      <c r="S1441" s="3">
        <f>P1441*Assumptions!$B$3/100</f>
        <v/>
      </c>
      <c r="T1441" s="14">
        <f>R1441-S1441</f>
        <v/>
      </c>
      <c r="U1441" s="14">
        <f>L1441*G1441</f>
        <v/>
      </c>
    </row>
    <row r="1442">
      <c r="A1442" s="12" t="inlineStr">
        <is>
          <t>PO-2021-1440</t>
        </is>
      </c>
      <c r="B1442" s="26" t="n">
        <v>45262</v>
      </c>
      <c r="C1442" s="12" t="inlineStr">
        <is>
          <t>VS18</t>
        </is>
      </c>
      <c r="D1442" s="12" t="inlineStr">
        <is>
          <t>Structural Steel</t>
        </is>
      </c>
      <c r="E1442" s="12" t="inlineStr">
        <is>
          <t>N</t>
        </is>
      </c>
      <c r="F1442" s="12" t="n">
        <v>24.19</v>
      </c>
      <c r="G1442" s="17" t="n">
        <v>70277.25</v>
      </c>
      <c r="H1442" s="26" t="n">
        <v>45271</v>
      </c>
      <c r="I1442" s="26" t="n">
        <v>45271</v>
      </c>
      <c r="J1442" s="12" t="n">
        <v>24.18</v>
      </c>
      <c r="K1442" s="17" t="n">
        <v>1700006.68</v>
      </c>
      <c r="L1442" s="12" t="n">
        <v>0</v>
      </c>
      <c r="M1442" s="12" t="n">
        <v>4</v>
      </c>
      <c r="N1442" s="27">
        <f>F1442-J1442</f>
        <v/>
      </c>
      <c r="O1442" s="16">
        <f>I1442-H1442</f>
        <v/>
      </c>
      <c r="P1442" s="14">
        <f>F1442*G1442</f>
        <v/>
      </c>
      <c r="Q1442" s="14">
        <f>J1442*G1442</f>
        <v/>
      </c>
      <c r="R1442" s="14">
        <f>K1442-Q1442</f>
        <v/>
      </c>
      <c r="S1442" s="3">
        <f>P1442*Assumptions!$B$3/100</f>
        <v/>
      </c>
      <c r="T1442" s="14">
        <f>R1442-S1442</f>
        <v/>
      </c>
      <c r="U1442" s="14">
        <f>L1442*G1442</f>
        <v/>
      </c>
    </row>
    <row r="1443">
      <c r="A1443" s="12" t="inlineStr">
        <is>
          <t>PO-2021-1441</t>
        </is>
      </c>
      <c r="B1443" s="26" t="n">
        <v>44886</v>
      </c>
      <c r="C1443" s="12" t="inlineStr">
        <is>
          <t>VS24</t>
        </is>
      </c>
      <c r="D1443" s="12" t="inlineStr">
        <is>
          <t>MS Flats</t>
        </is>
      </c>
      <c r="E1443" s="12" t="inlineStr">
        <is>
          <t>N</t>
        </is>
      </c>
      <c r="F1443" s="12" t="n">
        <v>49.97</v>
      </c>
      <c r="G1443" s="17" t="n">
        <v>106263.54</v>
      </c>
      <c r="H1443" s="26" t="n">
        <v>44894</v>
      </c>
      <c r="I1443" s="26" t="n">
        <v>44897</v>
      </c>
      <c r="J1443" s="12" t="n">
        <v>49.55</v>
      </c>
      <c r="K1443" s="17" t="n">
        <v>5309989.09</v>
      </c>
      <c r="L1443" s="12" t="n">
        <v>0</v>
      </c>
      <c r="M1443" s="12" t="n">
        <v>1</v>
      </c>
      <c r="N1443" s="27">
        <f>F1443-J1443</f>
        <v/>
      </c>
      <c r="O1443" s="16">
        <f>I1443-H1443</f>
        <v/>
      </c>
      <c r="P1443" s="14">
        <f>F1443*G1443</f>
        <v/>
      </c>
      <c r="Q1443" s="14">
        <f>J1443*G1443</f>
        <v/>
      </c>
      <c r="R1443" s="14">
        <f>K1443-Q1443</f>
        <v/>
      </c>
      <c r="S1443" s="3">
        <f>P1443*Assumptions!$B$3/100</f>
        <v/>
      </c>
      <c r="T1443" s="14">
        <f>R1443-S1443</f>
        <v/>
      </c>
      <c r="U1443" s="14">
        <f>L1443*G1443</f>
        <v/>
      </c>
    </row>
    <row r="1444">
      <c r="A1444" s="12" t="inlineStr">
        <is>
          <t>PO-2021-1442</t>
        </is>
      </c>
      <c r="B1444" s="26" t="n">
        <v>45013</v>
      </c>
      <c r="C1444" s="12" t="inlineStr">
        <is>
          <t>VS25</t>
        </is>
      </c>
      <c r="D1444" s="12" t="inlineStr">
        <is>
          <t>GI Pipes</t>
        </is>
      </c>
      <c r="E1444" s="12" t="inlineStr">
        <is>
          <t>N</t>
        </is>
      </c>
      <c r="F1444" s="12" t="n">
        <v>48.79</v>
      </c>
      <c r="G1444" s="17" t="n">
        <v>110480.81</v>
      </c>
      <c r="H1444" s="26" t="n">
        <v>45028</v>
      </c>
      <c r="I1444" s="26" t="n">
        <v>45029</v>
      </c>
      <c r="J1444" s="12" t="n">
        <v>48.78</v>
      </c>
      <c r="K1444" s="17" t="n">
        <v>5390358.72</v>
      </c>
      <c r="L1444" s="12" t="n">
        <v>0</v>
      </c>
      <c r="M1444" s="12" t="n">
        <v>9</v>
      </c>
      <c r="N1444" s="27">
        <f>F1444-J1444</f>
        <v/>
      </c>
      <c r="O1444" s="16">
        <f>I1444-H1444</f>
        <v/>
      </c>
      <c r="P1444" s="14">
        <f>F1444*G1444</f>
        <v/>
      </c>
      <c r="Q1444" s="14">
        <f>J1444*G1444</f>
        <v/>
      </c>
      <c r="R1444" s="14">
        <f>K1444-Q1444</f>
        <v/>
      </c>
      <c r="S1444" s="3">
        <f>P1444*Assumptions!$B$3/100</f>
        <v/>
      </c>
      <c r="T1444" s="14">
        <f>R1444-S1444</f>
        <v/>
      </c>
      <c r="U1444" s="14">
        <f>L1444*G1444</f>
        <v/>
      </c>
    </row>
    <row r="1445">
      <c r="A1445" s="12" t="inlineStr">
        <is>
          <t>PO-2021-1443</t>
        </is>
      </c>
      <c r="B1445" s="26" t="n">
        <v>44402</v>
      </c>
      <c r="C1445" s="12" t="inlineStr">
        <is>
          <t>VS01</t>
        </is>
      </c>
      <c r="D1445" s="12" t="inlineStr">
        <is>
          <t>Fasteners &amp; Fittings</t>
        </is>
      </c>
      <c r="E1445" s="12" t="inlineStr">
        <is>
          <t>N</t>
        </is>
      </c>
      <c r="F1445" s="12" t="n">
        <v>43.66</v>
      </c>
      <c r="G1445" s="17" t="n">
        <v>75135.63</v>
      </c>
      <c r="H1445" s="26" t="n">
        <v>44407</v>
      </c>
      <c r="I1445" s="26" t="n">
        <v>44410</v>
      </c>
      <c r="J1445" s="12" t="n">
        <v>43.45</v>
      </c>
      <c r="K1445" s="17" t="n">
        <v>3280421.61</v>
      </c>
      <c r="L1445" s="12" t="n">
        <v>0</v>
      </c>
      <c r="M1445" s="12" t="n">
        <v>0</v>
      </c>
      <c r="N1445" s="27">
        <f>F1445-J1445</f>
        <v/>
      </c>
      <c r="O1445" s="16">
        <f>I1445-H1445</f>
        <v/>
      </c>
      <c r="P1445" s="14">
        <f>F1445*G1445</f>
        <v/>
      </c>
      <c r="Q1445" s="14">
        <f>J1445*G1445</f>
        <v/>
      </c>
      <c r="R1445" s="14">
        <f>K1445-Q1445</f>
        <v/>
      </c>
      <c r="S1445" s="3">
        <f>P1445*Assumptions!$B$3/100</f>
        <v/>
      </c>
      <c r="T1445" s="14">
        <f>R1445-S1445</f>
        <v/>
      </c>
      <c r="U1445" s="14">
        <f>L1445*G1445</f>
        <v/>
      </c>
    </row>
    <row r="1446">
      <c r="A1446" s="12" t="inlineStr">
        <is>
          <t>PO-2021-1444</t>
        </is>
      </c>
      <c r="B1446" s="26" t="n">
        <v>44249</v>
      </c>
      <c r="C1446" s="12" t="inlineStr">
        <is>
          <t>VS08</t>
        </is>
      </c>
      <c r="D1446" s="12" t="inlineStr">
        <is>
          <t>Hex Bars</t>
        </is>
      </c>
      <c r="E1446" s="12" t="inlineStr">
        <is>
          <t>N</t>
        </is>
      </c>
      <c r="F1446" s="12" t="n">
        <v>14.69</v>
      </c>
      <c r="G1446" s="17" t="n">
        <v>97444.85000000001</v>
      </c>
      <c r="H1446" s="26" t="n">
        <v>44255</v>
      </c>
      <c r="I1446" s="26" t="n">
        <v>44258</v>
      </c>
      <c r="J1446" s="12" t="n">
        <v>14.66</v>
      </c>
      <c r="K1446" s="17" t="n">
        <v>1431464.85</v>
      </c>
      <c r="L1446" s="12" t="n">
        <v>0</v>
      </c>
      <c r="M1446" s="12" t="n">
        <v>12</v>
      </c>
      <c r="N1446" s="27">
        <f>F1446-J1446</f>
        <v/>
      </c>
      <c r="O1446" s="16">
        <f>I1446-H1446</f>
        <v/>
      </c>
      <c r="P1446" s="14">
        <f>F1446*G1446</f>
        <v/>
      </c>
      <c r="Q1446" s="14">
        <f>J1446*G1446</f>
        <v/>
      </c>
      <c r="R1446" s="14">
        <f>K1446-Q1446</f>
        <v/>
      </c>
      <c r="S1446" s="3">
        <f>P1446*Assumptions!$B$3/100</f>
        <v/>
      </c>
      <c r="T1446" s="14">
        <f>R1446-S1446</f>
        <v/>
      </c>
      <c r="U1446" s="14">
        <f>L1446*G1446</f>
        <v/>
      </c>
    </row>
    <row r="1447">
      <c r="A1447" s="12" t="inlineStr">
        <is>
          <t>PO-2021-1445</t>
        </is>
      </c>
      <c r="B1447" s="26" t="n">
        <v>44951</v>
      </c>
      <c r="C1447" s="12" t="inlineStr">
        <is>
          <t>VS29</t>
        </is>
      </c>
      <c r="D1447" s="12" t="inlineStr">
        <is>
          <t>Structural Steel</t>
        </is>
      </c>
      <c r="E1447" s="12" t="inlineStr">
        <is>
          <t>N</t>
        </is>
      </c>
      <c r="F1447" s="12" t="n">
        <v>26.23</v>
      </c>
      <c r="G1447" s="17" t="n">
        <v>94517.13</v>
      </c>
      <c r="H1447" s="26" t="n">
        <v>44954</v>
      </c>
      <c r="I1447" s="26" t="n">
        <v>44956</v>
      </c>
      <c r="J1447" s="12" t="n">
        <v>26.06</v>
      </c>
      <c r="K1447" s="17" t="n">
        <v>2479184.32</v>
      </c>
      <c r="L1447" s="12" t="n">
        <v>0</v>
      </c>
      <c r="M1447" s="12" t="n">
        <v>0</v>
      </c>
      <c r="N1447" s="27">
        <f>F1447-J1447</f>
        <v/>
      </c>
      <c r="O1447" s="16">
        <f>I1447-H1447</f>
        <v/>
      </c>
      <c r="P1447" s="14">
        <f>F1447*G1447</f>
        <v/>
      </c>
      <c r="Q1447" s="14">
        <f>J1447*G1447</f>
        <v/>
      </c>
      <c r="R1447" s="14">
        <f>K1447-Q1447</f>
        <v/>
      </c>
      <c r="S1447" s="3">
        <f>P1447*Assumptions!$B$3/100</f>
        <v/>
      </c>
      <c r="T1447" s="14">
        <f>R1447-S1447</f>
        <v/>
      </c>
      <c r="U1447" s="14">
        <f>L1447*G1447</f>
        <v/>
      </c>
    </row>
    <row r="1448">
      <c r="A1448" s="12" t="inlineStr">
        <is>
          <t>PO-2021-1446</t>
        </is>
      </c>
      <c r="B1448" s="26" t="n">
        <v>44856</v>
      </c>
      <c r="C1448" s="12" t="inlineStr">
        <is>
          <t>VS02</t>
        </is>
      </c>
      <c r="D1448" s="12" t="inlineStr">
        <is>
          <t>Angles &amp; Channels</t>
        </is>
      </c>
      <c r="E1448" s="12" t="inlineStr">
        <is>
          <t>N</t>
        </is>
      </c>
      <c r="F1448" s="12" t="n">
        <v>43.8</v>
      </c>
      <c r="G1448" s="17" t="n">
        <v>117719.82</v>
      </c>
      <c r="H1448" s="26" t="n">
        <v>44870</v>
      </c>
      <c r="I1448" s="26" t="n">
        <v>44873</v>
      </c>
      <c r="J1448" s="12" t="n">
        <v>43.79</v>
      </c>
      <c r="K1448" s="17" t="n">
        <v>5156128.12</v>
      </c>
      <c r="L1448" s="12" t="n">
        <v>0</v>
      </c>
      <c r="M1448" s="12" t="n">
        <v>0</v>
      </c>
      <c r="N1448" s="27">
        <f>F1448-J1448</f>
        <v/>
      </c>
      <c r="O1448" s="16">
        <f>I1448-H1448</f>
        <v/>
      </c>
      <c r="P1448" s="14">
        <f>F1448*G1448</f>
        <v/>
      </c>
      <c r="Q1448" s="14">
        <f>J1448*G1448</f>
        <v/>
      </c>
      <c r="R1448" s="14">
        <f>K1448-Q1448</f>
        <v/>
      </c>
      <c r="S1448" s="3">
        <f>P1448*Assumptions!$B$3/100</f>
        <v/>
      </c>
      <c r="T1448" s="14">
        <f>R1448-S1448</f>
        <v/>
      </c>
      <c r="U1448" s="14">
        <f>L1448*G1448</f>
        <v/>
      </c>
    </row>
    <row r="1449">
      <c r="A1449" s="12" t="inlineStr">
        <is>
          <t>PO-2021-1447</t>
        </is>
      </c>
      <c r="B1449" s="26" t="n">
        <v>44863</v>
      </c>
      <c r="C1449" s="12" t="inlineStr">
        <is>
          <t>VS29</t>
        </is>
      </c>
      <c r="D1449" s="12" t="inlineStr">
        <is>
          <t>HR Coils</t>
        </is>
      </c>
      <c r="E1449" s="12" t="inlineStr">
        <is>
          <t>N</t>
        </is>
      </c>
      <c r="F1449" s="12" t="n">
        <v>30.73</v>
      </c>
      <c r="G1449" s="17" t="n">
        <v>75012.39</v>
      </c>
      <c r="H1449" s="26" t="n">
        <v>44875</v>
      </c>
      <c r="I1449" s="26" t="n">
        <v>44876</v>
      </c>
      <c r="J1449" s="12" t="n">
        <v>30.55</v>
      </c>
      <c r="K1449" s="17" t="n">
        <v>2305130.74</v>
      </c>
      <c r="L1449" s="12" t="n">
        <v>0</v>
      </c>
      <c r="M1449" s="12" t="n">
        <v>18</v>
      </c>
      <c r="N1449" s="27">
        <f>F1449-J1449</f>
        <v/>
      </c>
      <c r="O1449" s="16">
        <f>I1449-H1449</f>
        <v/>
      </c>
      <c r="P1449" s="14">
        <f>F1449*G1449</f>
        <v/>
      </c>
      <c r="Q1449" s="14">
        <f>J1449*G1449</f>
        <v/>
      </c>
      <c r="R1449" s="14">
        <f>K1449-Q1449</f>
        <v/>
      </c>
      <c r="S1449" s="3">
        <f>P1449*Assumptions!$B$3/100</f>
        <v/>
      </c>
      <c r="T1449" s="14">
        <f>R1449-S1449</f>
        <v/>
      </c>
      <c r="U1449" s="14">
        <f>L1449*G1449</f>
        <v/>
      </c>
    </row>
    <row r="1450">
      <c r="A1450" s="12" t="inlineStr">
        <is>
          <t>PO-2021-1448</t>
        </is>
      </c>
      <c r="B1450" s="26" t="n">
        <v>44363</v>
      </c>
      <c r="C1450" s="12" t="inlineStr">
        <is>
          <t>VS23</t>
        </is>
      </c>
      <c r="D1450" s="12" t="inlineStr">
        <is>
          <t>GI Wire</t>
        </is>
      </c>
      <c r="E1450" s="12" t="inlineStr">
        <is>
          <t>N</t>
        </is>
      </c>
      <c r="F1450" s="12" t="n">
        <v>47.02</v>
      </c>
      <c r="G1450" s="17" t="n">
        <v>115610.82</v>
      </c>
      <c r="H1450" s="26" t="n">
        <v>44373</v>
      </c>
      <c r="I1450" s="26" t="n">
        <v>44375</v>
      </c>
      <c r="J1450" s="12" t="n">
        <v>46.79</v>
      </c>
      <c r="K1450" s="17" t="n">
        <v>5436020.76</v>
      </c>
      <c r="L1450" s="12" t="n">
        <v>0</v>
      </c>
      <c r="M1450" s="12" t="n">
        <v>17</v>
      </c>
      <c r="N1450" s="27">
        <f>F1450-J1450</f>
        <v/>
      </c>
      <c r="O1450" s="16">
        <f>I1450-H1450</f>
        <v/>
      </c>
      <c r="P1450" s="14">
        <f>F1450*G1450</f>
        <v/>
      </c>
      <c r="Q1450" s="14">
        <f>J1450*G1450</f>
        <v/>
      </c>
      <c r="R1450" s="14">
        <f>K1450-Q1450</f>
        <v/>
      </c>
      <c r="S1450" s="3">
        <f>P1450*Assumptions!$B$3/100</f>
        <v/>
      </c>
      <c r="T1450" s="14">
        <f>R1450-S1450</f>
        <v/>
      </c>
      <c r="U1450" s="14">
        <f>L1450*G1450</f>
        <v/>
      </c>
    </row>
    <row r="1451">
      <c r="A1451" s="12" t="inlineStr">
        <is>
          <t>PO-2021-1449</t>
        </is>
      </c>
      <c r="B1451" s="26" t="n">
        <v>44402</v>
      </c>
      <c r="C1451" s="12" t="inlineStr">
        <is>
          <t>VS25</t>
        </is>
      </c>
      <c r="D1451" s="12" t="inlineStr">
        <is>
          <t>SS Sheets</t>
        </is>
      </c>
      <c r="E1451" s="12" t="inlineStr">
        <is>
          <t>N</t>
        </is>
      </c>
      <c r="F1451" s="12" t="n">
        <v>30.75</v>
      </c>
      <c r="G1451" s="17" t="n">
        <v>98395.64999999999</v>
      </c>
      <c r="H1451" s="26" t="n">
        <v>44413</v>
      </c>
      <c r="I1451" s="26" t="n">
        <v>44414</v>
      </c>
      <c r="J1451" s="12" t="n">
        <v>30.5</v>
      </c>
      <c r="K1451" s="17" t="n">
        <v>3025666.24</v>
      </c>
      <c r="L1451" s="12" t="n">
        <v>0</v>
      </c>
      <c r="M1451" s="12" t="n">
        <v>24</v>
      </c>
      <c r="N1451" s="27">
        <f>F1451-J1451</f>
        <v/>
      </c>
      <c r="O1451" s="16">
        <f>I1451-H1451</f>
        <v/>
      </c>
      <c r="P1451" s="14">
        <f>F1451*G1451</f>
        <v/>
      </c>
      <c r="Q1451" s="14">
        <f>J1451*G1451</f>
        <v/>
      </c>
      <c r="R1451" s="14">
        <f>K1451-Q1451</f>
        <v/>
      </c>
      <c r="S1451" s="3">
        <f>P1451*Assumptions!$B$3/100</f>
        <v/>
      </c>
      <c r="T1451" s="14">
        <f>R1451-S1451</f>
        <v/>
      </c>
      <c r="U1451" s="14">
        <f>L1451*G1451</f>
        <v/>
      </c>
    </row>
    <row r="1452">
      <c r="A1452" s="12" t="inlineStr">
        <is>
          <t>PO-2021-1450</t>
        </is>
      </c>
      <c r="B1452" s="26" t="n">
        <v>45230</v>
      </c>
      <c r="C1452" s="12" t="inlineStr">
        <is>
          <t>VS03</t>
        </is>
      </c>
      <c r="D1452" s="12" t="inlineStr">
        <is>
          <t>Square/Rect Tubes</t>
        </is>
      </c>
      <c r="E1452" s="12" t="inlineStr">
        <is>
          <t>N</t>
        </is>
      </c>
      <c r="F1452" s="12" t="n">
        <v>25.4</v>
      </c>
      <c r="G1452" s="17" t="n">
        <v>53593.01</v>
      </c>
      <c r="H1452" s="26" t="n">
        <v>45243</v>
      </c>
      <c r="I1452" s="26" t="n">
        <v>45247</v>
      </c>
      <c r="J1452" s="12" t="n">
        <v>24.37</v>
      </c>
      <c r="K1452" s="17" t="n">
        <v>1361262.45</v>
      </c>
      <c r="L1452" s="12" t="n">
        <v>0.91</v>
      </c>
      <c r="M1452" s="12" t="n">
        <v>0</v>
      </c>
      <c r="N1452" s="27">
        <f>F1452-J1452</f>
        <v/>
      </c>
      <c r="O1452" s="16">
        <f>I1452-H1452</f>
        <v/>
      </c>
      <c r="P1452" s="14">
        <f>F1452*G1452</f>
        <v/>
      </c>
      <c r="Q1452" s="14">
        <f>J1452*G1452</f>
        <v/>
      </c>
      <c r="R1452" s="14">
        <f>K1452-Q1452</f>
        <v/>
      </c>
      <c r="S1452" s="3">
        <f>P1452*Assumptions!$B$3/100</f>
        <v/>
      </c>
      <c r="T1452" s="14">
        <f>R1452-S1452</f>
        <v/>
      </c>
      <c r="U1452" s="14">
        <f>L1452*G1452</f>
        <v/>
      </c>
    </row>
    <row r="1453">
      <c r="A1453" s="12" t="inlineStr">
        <is>
          <t>PO-2021-1451</t>
        </is>
      </c>
      <c r="B1453" s="26" t="n">
        <v>45153</v>
      </c>
      <c r="C1453" s="12" t="inlineStr">
        <is>
          <t>VS11</t>
        </is>
      </c>
      <c r="D1453" s="12" t="inlineStr">
        <is>
          <t>Fasteners &amp; Fittings</t>
        </is>
      </c>
      <c r="E1453" s="12" t="inlineStr">
        <is>
          <t>N</t>
        </is>
      </c>
      <c r="F1453" s="12" t="n">
        <v>47.8</v>
      </c>
      <c r="G1453" s="17" t="n">
        <v>81162.64</v>
      </c>
      <c r="H1453" s="26" t="n">
        <v>45164</v>
      </c>
      <c r="I1453" s="26" t="n">
        <v>45166</v>
      </c>
      <c r="J1453" s="12" t="n">
        <v>47.42</v>
      </c>
      <c r="K1453" s="17" t="n">
        <v>3879574.19</v>
      </c>
      <c r="L1453" s="12" t="n">
        <v>0</v>
      </c>
      <c r="M1453" s="12" t="n">
        <v>18</v>
      </c>
      <c r="N1453" s="27">
        <f>F1453-J1453</f>
        <v/>
      </c>
      <c r="O1453" s="16">
        <f>I1453-H1453</f>
        <v/>
      </c>
      <c r="P1453" s="14">
        <f>F1453*G1453</f>
        <v/>
      </c>
      <c r="Q1453" s="14">
        <f>J1453*G1453</f>
        <v/>
      </c>
      <c r="R1453" s="14">
        <f>K1453-Q1453</f>
        <v/>
      </c>
      <c r="S1453" s="3">
        <f>P1453*Assumptions!$B$3/100</f>
        <v/>
      </c>
      <c r="T1453" s="14">
        <f>R1453-S1453</f>
        <v/>
      </c>
      <c r="U1453" s="14">
        <f>L1453*G1453</f>
        <v/>
      </c>
    </row>
    <row r="1454">
      <c r="A1454" s="12" t="inlineStr">
        <is>
          <t>PO-2021-1452</t>
        </is>
      </c>
      <c r="B1454" s="26" t="n">
        <v>44690</v>
      </c>
      <c r="C1454" s="12" t="inlineStr">
        <is>
          <t>VS16</t>
        </is>
      </c>
      <c r="D1454" s="12" t="inlineStr">
        <is>
          <t>GI Sheets</t>
        </is>
      </c>
      <c r="E1454" s="12" t="inlineStr">
        <is>
          <t>N</t>
        </is>
      </c>
      <c r="F1454" s="12" t="n">
        <v>9.35</v>
      </c>
      <c r="G1454" s="17" t="n">
        <v>115815.74</v>
      </c>
      <c r="H1454" s="26" t="n">
        <v>44704</v>
      </c>
      <c r="I1454" s="26" t="n">
        <v>44704</v>
      </c>
      <c r="J1454" s="12" t="n">
        <v>9.34</v>
      </c>
      <c r="K1454" s="17" t="n">
        <v>1082877.17</v>
      </c>
      <c r="L1454" s="12" t="n">
        <v>0</v>
      </c>
      <c r="M1454" s="12" t="n">
        <v>0</v>
      </c>
      <c r="N1454" s="27">
        <f>F1454-J1454</f>
        <v/>
      </c>
      <c r="O1454" s="16">
        <f>I1454-H1454</f>
        <v/>
      </c>
      <c r="P1454" s="14">
        <f>F1454*G1454</f>
        <v/>
      </c>
      <c r="Q1454" s="14">
        <f>J1454*G1454</f>
        <v/>
      </c>
      <c r="R1454" s="14">
        <f>K1454-Q1454</f>
        <v/>
      </c>
      <c r="S1454" s="3">
        <f>P1454*Assumptions!$B$3/100</f>
        <v/>
      </c>
      <c r="T1454" s="14">
        <f>R1454-S1454</f>
        <v/>
      </c>
      <c r="U1454" s="14">
        <f>L1454*G1454</f>
        <v/>
      </c>
    </row>
    <row r="1455">
      <c r="A1455" s="12" t="inlineStr">
        <is>
          <t>PO-2021-1453</t>
        </is>
      </c>
      <c r="B1455" s="26" t="n">
        <v>44380</v>
      </c>
      <c r="C1455" s="12" t="inlineStr">
        <is>
          <t>VS07</t>
        </is>
      </c>
      <c r="D1455" s="12" t="inlineStr">
        <is>
          <t>GI Wire</t>
        </is>
      </c>
      <c r="E1455" s="12" t="inlineStr">
        <is>
          <t>N</t>
        </is>
      </c>
      <c r="F1455" s="12" t="n">
        <v>49.67</v>
      </c>
      <c r="G1455" s="17" t="n">
        <v>47191.63</v>
      </c>
      <c r="H1455" s="26" t="n">
        <v>44388</v>
      </c>
      <c r="I1455" s="26" t="n">
        <v>44389</v>
      </c>
      <c r="J1455" s="12" t="n">
        <v>49.45</v>
      </c>
      <c r="K1455" s="17" t="n">
        <v>2344008.26</v>
      </c>
      <c r="L1455" s="12" t="n">
        <v>0</v>
      </c>
      <c r="M1455" s="12" t="n">
        <v>0</v>
      </c>
      <c r="N1455" s="27">
        <f>F1455-J1455</f>
        <v/>
      </c>
      <c r="O1455" s="16">
        <f>I1455-H1455</f>
        <v/>
      </c>
      <c r="P1455" s="14">
        <f>F1455*G1455</f>
        <v/>
      </c>
      <c r="Q1455" s="14">
        <f>J1455*G1455</f>
        <v/>
      </c>
      <c r="R1455" s="14">
        <f>K1455-Q1455</f>
        <v/>
      </c>
      <c r="S1455" s="3">
        <f>P1455*Assumptions!$B$3/100</f>
        <v/>
      </c>
      <c r="T1455" s="14">
        <f>R1455-S1455</f>
        <v/>
      </c>
      <c r="U1455" s="14">
        <f>L1455*G1455</f>
        <v/>
      </c>
    </row>
    <row r="1456">
      <c r="A1456" s="12" t="inlineStr">
        <is>
          <t>PO-2021-1454</t>
        </is>
      </c>
      <c r="B1456" s="26" t="n">
        <v>44982</v>
      </c>
      <c r="C1456" s="12" t="inlineStr">
        <is>
          <t>VS18</t>
        </is>
      </c>
      <c r="D1456" s="12" t="inlineStr">
        <is>
          <t>HR Coils</t>
        </is>
      </c>
      <c r="E1456" s="12" t="inlineStr">
        <is>
          <t>N</t>
        </is>
      </c>
      <c r="F1456" s="12" t="n">
        <v>36.24</v>
      </c>
      <c r="G1456" s="17" t="n">
        <v>94944.95</v>
      </c>
      <c r="H1456" s="26" t="n">
        <v>44995</v>
      </c>
      <c r="I1456" s="26" t="n">
        <v>44995</v>
      </c>
      <c r="J1456" s="12" t="n">
        <v>36.23</v>
      </c>
      <c r="K1456" s="17" t="n">
        <v>3440804.99</v>
      </c>
      <c r="L1456" s="12" t="n">
        <v>0</v>
      </c>
      <c r="M1456" s="12" t="n">
        <v>17</v>
      </c>
      <c r="N1456" s="27">
        <f>F1456-J1456</f>
        <v/>
      </c>
      <c r="O1456" s="16">
        <f>I1456-H1456</f>
        <v/>
      </c>
      <c r="P1456" s="14">
        <f>F1456*G1456</f>
        <v/>
      </c>
      <c r="Q1456" s="14">
        <f>J1456*G1456</f>
        <v/>
      </c>
      <c r="R1456" s="14">
        <f>K1456-Q1456</f>
        <v/>
      </c>
      <c r="S1456" s="3">
        <f>P1456*Assumptions!$B$3/100</f>
        <v/>
      </c>
      <c r="T1456" s="14">
        <f>R1456-S1456</f>
        <v/>
      </c>
      <c r="U1456" s="14">
        <f>L1456*G1456</f>
        <v/>
      </c>
    </row>
    <row r="1457">
      <c r="A1457" s="12" t="inlineStr">
        <is>
          <t>PO-2021-1455</t>
        </is>
      </c>
      <c r="B1457" s="26" t="n">
        <v>44449</v>
      </c>
      <c r="C1457" s="12" t="inlineStr">
        <is>
          <t>VS09</t>
        </is>
      </c>
      <c r="D1457" s="12" t="inlineStr">
        <is>
          <t>Spring Steel</t>
        </is>
      </c>
      <c r="E1457" s="12" t="inlineStr">
        <is>
          <t>N</t>
        </is>
      </c>
      <c r="F1457" s="12" t="n">
        <v>32.04</v>
      </c>
      <c r="G1457" s="17" t="n">
        <v>81896.91</v>
      </c>
      <c r="H1457" s="26" t="n">
        <v>44464</v>
      </c>
      <c r="I1457" s="26" t="n">
        <v>44466</v>
      </c>
      <c r="J1457" s="12" t="n">
        <v>31.84</v>
      </c>
      <c r="K1457" s="17" t="n">
        <v>2623977</v>
      </c>
      <c r="L1457" s="12" t="n">
        <v>0</v>
      </c>
      <c r="M1457" s="12" t="n">
        <v>10</v>
      </c>
      <c r="N1457" s="27">
        <f>F1457-J1457</f>
        <v/>
      </c>
      <c r="O1457" s="16">
        <f>I1457-H1457</f>
        <v/>
      </c>
      <c r="P1457" s="14">
        <f>F1457*G1457</f>
        <v/>
      </c>
      <c r="Q1457" s="14">
        <f>J1457*G1457</f>
        <v/>
      </c>
      <c r="R1457" s="14">
        <f>K1457-Q1457</f>
        <v/>
      </c>
      <c r="S1457" s="3">
        <f>P1457*Assumptions!$B$3/100</f>
        <v/>
      </c>
      <c r="T1457" s="14">
        <f>R1457-S1457</f>
        <v/>
      </c>
      <c r="U1457" s="14">
        <f>L1457*G1457</f>
        <v/>
      </c>
    </row>
    <row r="1458">
      <c r="A1458" s="12" t="inlineStr">
        <is>
          <t>PO-2021-1456</t>
        </is>
      </c>
      <c r="B1458" s="26" t="n">
        <v>44878</v>
      </c>
      <c r="C1458" s="12" t="inlineStr">
        <is>
          <t>VS15</t>
        </is>
      </c>
      <c r="D1458" s="12" t="inlineStr">
        <is>
          <t>SS Pipes</t>
        </is>
      </c>
      <c r="E1458" s="12" t="inlineStr">
        <is>
          <t>N</t>
        </is>
      </c>
      <c r="F1458" s="12" t="n">
        <v>32.56</v>
      </c>
      <c r="G1458" s="17" t="n">
        <v>73275.77</v>
      </c>
      <c r="H1458" s="26" t="n">
        <v>44892</v>
      </c>
      <c r="I1458" s="26" t="n">
        <v>44893</v>
      </c>
      <c r="J1458" s="12" t="n">
        <v>32.4</v>
      </c>
      <c r="K1458" s="17" t="n">
        <v>2385859.07</v>
      </c>
      <c r="L1458" s="12" t="n">
        <v>0</v>
      </c>
      <c r="M1458" s="12" t="n">
        <v>0</v>
      </c>
      <c r="N1458" s="27">
        <f>F1458-J1458</f>
        <v/>
      </c>
      <c r="O1458" s="16">
        <f>I1458-H1458</f>
        <v/>
      </c>
      <c r="P1458" s="14">
        <f>F1458*G1458</f>
        <v/>
      </c>
      <c r="Q1458" s="14">
        <f>J1458*G1458</f>
        <v/>
      </c>
      <c r="R1458" s="14">
        <f>K1458-Q1458</f>
        <v/>
      </c>
      <c r="S1458" s="3">
        <f>P1458*Assumptions!$B$3/100</f>
        <v/>
      </c>
      <c r="T1458" s="14">
        <f>R1458-S1458</f>
        <v/>
      </c>
      <c r="U1458" s="14">
        <f>L1458*G1458</f>
        <v/>
      </c>
    </row>
    <row r="1459">
      <c r="A1459" s="12" t="inlineStr">
        <is>
          <t>PO-2021-1457</t>
        </is>
      </c>
      <c r="B1459" s="26" t="n">
        <v>44978</v>
      </c>
      <c r="C1459" s="12" t="inlineStr">
        <is>
          <t>VS28</t>
        </is>
      </c>
      <c r="D1459" s="12" t="inlineStr">
        <is>
          <t>HR Coils</t>
        </is>
      </c>
      <c r="E1459" s="12" t="inlineStr">
        <is>
          <t>Y</t>
        </is>
      </c>
      <c r="F1459" s="12" t="n">
        <v>11.95</v>
      </c>
      <c r="G1459" s="17" t="n">
        <v>53676.75</v>
      </c>
      <c r="H1459" s="26" t="n">
        <v>44982</v>
      </c>
      <c r="I1459" s="26" t="n">
        <v>44983</v>
      </c>
      <c r="J1459" s="12" t="n">
        <v>11.83</v>
      </c>
      <c r="K1459" s="17" t="n">
        <v>641437.16</v>
      </c>
      <c r="L1459" s="12" t="n">
        <v>0</v>
      </c>
      <c r="M1459" s="12" t="n">
        <v>0</v>
      </c>
      <c r="N1459" s="27">
        <f>F1459-J1459</f>
        <v/>
      </c>
      <c r="O1459" s="16">
        <f>I1459-H1459</f>
        <v/>
      </c>
      <c r="P1459" s="14">
        <f>F1459*G1459</f>
        <v/>
      </c>
      <c r="Q1459" s="14">
        <f>J1459*G1459</f>
        <v/>
      </c>
      <c r="R1459" s="14">
        <f>K1459-Q1459</f>
        <v/>
      </c>
      <c r="S1459" s="3">
        <f>P1459*Assumptions!$B$3/100</f>
        <v/>
      </c>
      <c r="T1459" s="14">
        <f>R1459-S1459</f>
        <v/>
      </c>
      <c r="U1459" s="14">
        <f>L1459*G1459</f>
        <v/>
      </c>
    </row>
    <row r="1460">
      <c r="A1460" s="12" t="inlineStr">
        <is>
          <t>PO-2021-1458</t>
        </is>
      </c>
      <c r="B1460" s="26" t="n">
        <v>44425</v>
      </c>
      <c r="C1460" s="12" t="inlineStr">
        <is>
          <t>VS06</t>
        </is>
      </c>
      <c r="D1460" s="12" t="inlineStr">
        <is>
          <t>MS Flats</t>
        </is>
      </c>
      <c r="E1460" s="12" t="inlineStr">
        <is>
          <t>N</t>
        </is>
      </c>
      <c r="F1460" s="12" t="n">
        <v>37.29</v>
      </c>
      <c r="G1460" s="17" t="n">
        <v>115290.8</v>
      </c>
      <c r="H1460" s="26" t="n">
        <v>44439</v>
      </c>
      <c r="I1460" s="26" t="n">
        <v>44442</v>
      </c>
      <c r="J1460" s="12" t="n">
        <v>37.07</v>
      </c>
      <c r="K1460" s="17" t="n">
        <v>4299193.93</v>
      </c>
      <c r="L1460" s="12" t="n">
        <v>0</v>
      </c>
      <c r="M1460" s="12" t="n">
        <v>0</v>
      </c>
      <c r="N1460" s="27">
        <f>F1460-J1460</f>
        <v/>
      </c>
      <c r="O1460" s="16">
        <f>I1460-H1460</f>
        <v/>
      </c>
      <c r="P1460" s="14">
        <f>F1460*G1460</f>
        <v/>
      </c>
      <c r="Q1460" s="14">
        <f>J1460*G1460</f>
        <v/>
      </c>
      <c r="R1460" s="14">
        <f>K1460-Q1460</f>
        <v/>
      </c>
      <c r="S1460" s="3">
        <f>P1460*Assumptions!$B$3/100</f>
        <v/>
      </c>
      <c r="T1460" s="14">
        <f>R1460-S1460</f>
        <v/>
      </c>
      <c r="U1460" s="14">
        <f>L1460*G1460</f>
        <v/>
      </c>
    </row>
    <row r="1461">
      <c r="A1461" s="12" t="inlineStr">
        <is>
          <t>PO-2021-1459</t>
        </is>
      </c>
      <c r="B1461" s="26" t="n">
        <v>44434</v>
      </c>
      <c r="C1461" s="12" t="inlineStr">
        <is>
          <t>VS24</t>
        </is>
      </c>
      <c r="D1461" s="12" t="inlineStr">
        <is>
          <t>Square/Rect Tubes</t>
        </is>
      </c>
      <c r="E1461" s="12" t="inlineStr">
        <is>
          <t>N</t>
        </is>
      </c>
      <c r="F1461" s="12" t="n">
        <v>42.81</v>
      </c>
      <c r="G1461" s="17" t="n">
        <v>116555.15</v>
      </c>
      <c r="H1461" s="26" t="n">
        <v>44446</v>
      </c>
      <c r="I1461" s="26" t="n">
        <v>44449</v>
      </c>
      <c r="J1461" s="12" t="n">
        <v>42.77</v>
      </c>
      <c r="K1461" s="17" t="n">
        <v>4989725.97</v>
      </c>
      <c r="L1461" s="12" t="n">
        <v>0</v>
      </c>
      <c r="M1461" s="12" t="n">
        <v>4</v>
      </c>
      <c r="N1461" s="27">
        <f>F1461-J1461</f>
        <v/>
      </c>
      <c r="O1461" s="16">
        <f>I1461-H1461</f>
        <v/>
      </c>
      <c r="P1461" s="14">
        <f>F1461*G1461</f>
        <v/>
      </c>
      <c r="Q1461" s="14">
        <f>J1461*G1461</f>
        <v/>
      </c>
      <c r="R1461" s="14">
        <f>K1461-Q1461</f>
        <v/>
      </c>
      <c r="S1461" s="3">
        <f>P1461*Assumptions!$B$3/100</f>
        <v/>
      </c>
      <c r="T1461" s="14">
        <f>R1461-S1461</f>
        <v/>
      </c>
      <c r="U1461" s="14">
        <f>L1461*G1461</f>
        <v/>
      </c>
    </row>
    <row r="1462">
      <c r="A1462" s="12" t="inlineStr">
        <is>
          <t>PO-2021-1460</t>
        </is>
      </c>
      <c r="B1462" s="26" t="n">
        <v>44200</v>
      </c>
      <c r="C1462" s="12" t="inlineStr">
        <is>
          <t>VS20</t>
        </is>
      </c>
      <c r="D1462" s="12" t="inlineStr">
        <is>
          <t>GI Pipes</t>
        </is>
      </c>
      <c r="E1462" s="12" t="inlineStr">
        <is>
          <t>N</t>
        </is>
      </c>
      <c r="F1462" s="12" t="n">
        <v>29.91</v>
      </c>
      <c r="G1462" s="17" t="n">
        <v>59239.33</v>
      </c>
      <c r="H1462" s="26" t="n">
        <v>44209</v>
      </c>
      <c r="I1462" s="26" t="n">
        <v>44209</v>
      </c>
      <c r="J1462" s="12" t="n">
        <v>29.77</v>
      </c>
      <c r="K1462" s="17" t="n">
        <v>1771848.36</v>
      </c>
      <c r="L1462" s="12" t="n">
        <v>0</v>
      </c>
      <c r="M1462" s="12" t="n">
        <v>0</v>
      </c>
      <c r="N1462" s="27">
        <f>F1462-J1462</f>
        <v/>
      </c>
      <c r="O1462" s="16">
        <f>I1462-H1462</f>
        <v/>
      </c>
      <c r="P1462" s="14">
        <f>F1462*G1462</f>
        <v/>
      </c>
      <c r="Q1462" s="14">
        <f>J1462*G1462</f>
        <v/>
      </c>
      <c r="R1462" s="14">
        <f>K1462-Q1462</f>
        <v/>
      </c>
      <c r="S1462" s="3">
        <f>P1462*Assumptions!$B$3/100</f>
        <v/>
      </c>
      <c r="T1462" s="14">
        <f>R1462-S1462</f>
        <v/>
      </c>
      <c r="U1462" s="14">
        <f>L1462*G1462</f>
        <v/>
      </c>
    </row>
    <row r="1463">
      <c r="A1463" s="12" t="inlineStr">
        <is>
          <t>PO-2021-1461</t>
        </is>
      </c>
      <c r="B1463" s="26" t="n">
        <v>45064</v>
      </c>
      <c r="C1463" s="12" t="inlineStr">
        <is>
          <t>VS21</t>
        </is>
      </c>
      <c r="D1463" s="12" t="inlineStr">
        <is>
          <t>Angles &amp; Channels</t>
        </is>
      </c>
      <c r="E1463" s="12" t="inlineStr">
        <is>
          <t>N</t>
        </is>
      </c>
      <c r="F1463" s="12" t="n">
        <v>40.08</v>
      </c>
      <c r="G1463" s="17" t="n">
        <v>115044.39</v>
      </c>
      <c r="H1463" s="26" t="n">
        <v>45069</v>
      </c>
      <c r="I1463" s="26" t="n">
        <v>45072</v>
      </c>
      <c r="J1463" s="12" t="n">
        <v>39.8</v>
      </c>
      <c r="K1463" s="17" t="n">
        <v>4610979.15</v>
      </c>
      <c r="L1463" s="12" t="n">
        <v>0</v>
      </c>
      <c r="M1463" s="12" t="n">
        <v>19</v>
      </c>
      <c r="N1463" s="27">
        <f>F1463-J1463</f>
        <v/>
      </c>
      <c r="O1463" s="16">
        <f>I1463-H1463</f>
        <v/>
      </c>
      <c r="P1463" s="14">
        <f>F1463*G1463</f>
        <v/>
      </c>
      <c r="Q1463" s="14">
        <f>J1463*G1463</f>
        <v/>
      </c>
      <c r="R1463" s="14">
        <f>K1463-Q1463</f>
        <v/>
      </c>
      <c r="S1463" s="3">
        <f>P1463*Assumptions!$B$3/100</f>
        <v/>
      </c>
      <c r="T1463" s="14">
        <f>R1463-S1463</f>
        <v/>
      </c>
      <c r="U1463" s="14">
        <f>L1463*G1463</f>
        <v/>
      </c>
    </row>
    <row r="1464">
      <c r="A1464" s="12" t="inlineStr">
        <is>
          <t>PO-2021-1462</t>
        </is>
      </c>
      <c r="B1464" s="26" t="n">
        <v>45261</v>
      </c>
      <c r="C1464" s="12" t="inlineStr">
        <is>
          <t>VS15</t>
        </is>
      </c>
      <c r="D1464" s="12" t="inlineStr">
        <is>
          <t>ERW Pipes</t>
        </is>
      </c>
      <c r="E1464" s="12" t="inlineStr">
        <is>
          <t>N</t>
        </is>
      </c>
      <c r="F1464" s="12" t="n">
        <v>20.37</v>
      </c>
      <c r="G1464" s="17" t="n">
        <v>85371.97</v>
      </c>
      <c r="H1464" s="26" t="n">
        <v>45271</v>
      </c>
      <c r="I1464" s="26" t="n">
        <v>45274</v>
      </c>
      <c r="J1464" s="12" t="n">
        <v>20.18</v>
      </c>
      <c r="K1464" s="17" t="n">
        <v>1739027.03</v>
      </c>
      <c r="L1464" s="12" t="n">
        <v>0</v>
      </c>
      <c r="M1464" s="12" t="n">
        <v>0</v>
      </c>
      <c r="N1464" s="27">
        <f>F1464-J1464</f>
        <v/>
      </c>
      <c r="O1464" s="16">
        <f>I1464-H1464</f>
        <v/>
      </c>
      <c r="P1464" s="14">
        <f>F1464*G1464</f>
        <v/>
      </c>
      <c r="Q1464" s="14">
        <f>J1464*G1464</f>
        <v/>
      </c>
      <c r="R1464" s="14">
        <f>K1464-Q1464</f>
        <v/>
      </c>
      <c r="S1464" s="3">
        <f>P1464*Assumptions!$B$3/100</f>
        <v/>
      </c>
      <c r="T1464" s="14">
        <f>R1464-S1464</f>
        <v/>
      </c>
      <c r="U1464" s="14">
        <f>L1464*G1464</f>
        <v/>
      </c>
    </row>
    <row r="1465">
      <c r="A1465" s="12" t="inlineStr">
        <is>
          <t>PO-2021-1463</t>
        </is>
      </c>
      <c r="B1465" s="26" t="n">
        <v>44844</v>
      </c>
      <c r="C1465" s="12" t="inlineStr">
        <is>
          <t>VS10</t>
        </is>
      </c>
      <c r="D1465" s="12" t="inlineStr">
        <is>
          <t>SS Sheets</t>
        </is>
      </c>
      <c r="E1465" s="12" t="inlineStr">
        <is>
          <t>N</t>
        </is>
      </c>
      <c r="F1465" s="12" t="n">
        <v>42.02</v>
      </c>
      <c r="G1465" s="17" t="n">
        <v>82487.45</v>
      </c>
      <c r="H1465" s="26" t="n">
        <v>44854</v>
      </c>
      <c r="I1465" s="26" t="n">
        <v>44855</v>
      </c>
      <c r="J1465" s="12" t="n">
        <v>41.62</v>
      </c>
      <c r="K1465" s="17" t="n">
        <v>3466122.65</v>
      </c>
      <c r="L1465" s="12" t="n">
        <v>0</v>
      </c>
      <c r="M1465" s="12" t="n">
        <v>16</v>
      </c>
      <c r="N1465" s="27">
        <f>F1465-J1465</f>
        <v/>
      </c>
      <c r="O1465" s="16">
        <f>I1465-H1465</f>
        <v/>
      </c>
      <c r="P1465" s="14">
        <f>F1465*G1465</f>
        <v/>
      </c>
      <c r="Q1465" s="14">
        <f>J1465*G1465</f>
        <v/>
      </c>
      <c r="R1465" s="14">
        <f>K1465-Q1465</f>
        <v/>
      </c>
      <c r="S1465" s="3">
        <f>P1465*Assumptions!$B$3/100</f>
        <v/>
      </c>
      <c r="T1465" s="14">
        <f>R1465-S1465</f>
        <v/>
      </c>
      <c r="U1465" s="14">
        <f>L1465*G1465</f>
        <v/>
      </c>
    </row>
    <row r="1466">
      <c r="A1466" s="12" t="inlineStr">
        <is>
          <t>PO-2021-1464</t>
        </is>
      </c>
      <c r="B1466" s="26" t="n">
        <v>44498</v>
      </c>
      <c r="C1466" s="12" t="inlineStr">
        <is>
          <t>VS19</t>
        </is>
      </c>
      <c r="D1466" s="12" t="inlineStr">
        <is>
          <t>Square/Rect Tubes</t>
        </is>
      </c>
      <c r="E1466" s="12" t="inlineStr">
        <is>
          <t>N</t>
        </is>
      </c>
      <c r="F1466" s="12" t="n">
        <v>37.61</v>
      </c>
      <c r="G1466" s="17" t="n">
        <v>113031.94</v>
      </c>
      <c r="H1466" s="26" t="n">
        <v>44512</v>
      </c>
      <c r="I1466" s="26" t="n">
        <v>44515</v>
      </c>
      <c r="J1466" s="12" t="n">
        <v>35.81</v>
      </c>
      <c r="K1466" s="17" t="n">
        <v>4251131.26</v>
      </c>
      <c r="L1466" s="12" t="n">
        <v>1.51</v>
      </c>
      <c r="M1466" s="12" t="n">
        <v>0</v>
      </c>
      <c r="N1466" s="27">
        <f>F1466-J1466</f>
        <v/>
      </c>
      <c r="O1466" s="16">
        <f>I1466-H1466</f>
        <v/>
      </c>
      <c r="P1466" s="14">
        <f>F1466*G1466</f>
        <v/>
      </c>
      <c r="Q1466" s="14">
        <f>J1466*G1466</f>
        <v/>
      </c>
      <c r="R1466" s="14">
        <f>K1466-Q1466</f>
        <v/>
      </c>
      <c r="S1466" s="3">
        <f>P1466*Assumptions!$B$3/100</f>
        <v/>
      </c>
      <c r="T1466" s="14">
        <f>R1466-S1466</f>
        <v/>
      </c>
      <c r="U1466" s="14">
        <f>L1466*G1466</f>
        <v/>
      </c>
    </row>
    <row r="1467">
      <c r="A1467" s="12" t="inlineStr">
        <is>
          <t>PO-2021-1465</t>
        </is>
      </c>
      <c r="B1467" s="26" t="n">
        <v>44267</v>
      </c>
      <c r="C1467" s="12" t="inlineStr">
        <is>
          <t>VS21</t>
        </is>
      </c>
      <c r="D1467" s="12" t="inlineStr">
        <is>
          <t>SS Sheets</t>
        </is>
      </c>
      <c r="E1467" s="12" t="inlineStr">
        <is>
          <t>Y</t>
        </is>
      </c>
      <c r="F1467" s="12" t="n">
        <v>25.62</v>
      </c>
      <c r="G1467" s="17" t="n">
        <v>96645</v>
      </c>
      <c r="H1467" s="26" t="n">
        <v>44274</v>
      </c>
      <c r="I1467" s="26" t="n">
        <v>44277</v>
      </c>
      <c r="J1467" s="12" t="n">
        <v>25.51</v>
      </c>
      <c r="K1467" s="17" t="n">
        <v>2476044.9</v>
      </c>
      <c r="L1467" s="12" t="n">
        <v>0</v>
      </c>
      <c r="M1467" s="12" t="n">
        <v>0</v>
      </c>
      <c r="N1467" s="27">
        <f>F1467-J1467</f>
        <v/>
      </c>
      <c r="O1467" s="16">
        <f>I1467-H1467</f>
        <v/>
      </c>
      <c r="P1467" s="14">
        <f>F1467*G1467</f>
        <v/>
      </c>
      <c r="Q1467" s="14">
        <f>J1467*G1467</f>
        <v/>
      </c>
      <c r="R1467" s="14">
        <f>K1467-Q1467</f>
        <v/>
      </c>
      <c r="S1467" s="3">
        <f>P1467*Assumptions!$B$3/100</f>
        <v/>
      </c>
      <c r="T1467" s="14">
        <f>R1467-S1467</f>
        <v/>
      </c>
      <c r="U1467" s="14">
        <f>L1467*G1467</f>
        <v/>
      </c>
    </row>
    <row r="1468">
      <c r="A1468" s="12" t="inlineStr">
        <is>
          <t>PO-2021-1466</t>
        </is>
      </c>
      <c r="B1468" s="26" t="n">
        <v>45176</v>
      </c>
      <c r="C1468" s="12" t="inlineStr">
        <is>
          <t>VS14</t>
        </is>
      </c>
      <c r="D1468" s="12" t="inlineStr">
        <is>
          <t>Structural Steel</t>
        </is>
      </c>
      <c r="E1468" s="12" t="inlineStr">
        <is>
          <t>Y</t>
        </is>
      </c>
      <c r="F1468" s="12" t="n">
        <v>15.28</v>
      </c>
      <c r="G1468" s="17" t="n">
        <v>117487.18</v>
      </c>
      <c r="H1468" s="26" t="n">
        <v>45179</v>
      </c>
      <c r="I1468" s="26" t="n">
        <v>45180</v>
      </c>
      <c r="J1468" s="12" t="n">
        <v>15.14</v>
      </c>
      <c r="K1468" s="17" t="n">
        <v>1795204.11</v>
      </c>
      <c r="L1468" s="12" t="n">
        <v>0</v>
      </c>
      <c r="M1468" s="12" t="n">
        <v>13</v>
      </c>
      <c r="N1468" s="27">
        <f>F1468-J1468</f>
        <v/>
      </c>
      <c r="O1468" s="16">
        <f>I1468-H1468</f>
        <v/>
      </c>
      <c r="P1468" s="14">
        <f>F1468*G1468</f>
        <v/>
      </c>
      <c r="Q1468" s="14">
        <f>J1468*G1468</f>
        <v/>
      </c>
      <c r="R1468" s="14">
        <f>K1468-Q1468</f>
        <v/>
      </c>
      <c r="S1468" s="3">
        <f>P1468*Assumptions!$B$3/100</f>
        <v/>
      </c>
      <c r="T1468" s="14">
        <f>R1468-S1468</f>
        <v/>
      </c>
      <c r="U1468" s="14">
        <f>L1468*G1468</f>
        <v/>
      </c>
    </row>
    <row r="1469">
      <c r="A1469" s="12" t="inlineStr">
        <is>
          <t>PO-2021-1467</t>
        </is>
      </c>
      <c r="B1469" s="26" t="n">
        <v>44879</v>
      </c>
      <c r="C1469" s="12" t="inlineStr">
        <is>
          <t>VS10</t>
        </is>
      </c>
      <c r="D1469" s="12" t="inlineStr">
        <is>
          <t>GI Sheets</t>
        </is>
      </c>
      <c r="E1469" s="12" t="inlineStr">
        <is>
          <t>N</t>
        </is>
      </c>
      <c r="F1469" s="12" t="n">
        <v>42.56</v>
      </c>
      <c r="G1469" s="17" t="n">
        <v>115082.47</v>
      </c>
      <c r="H1469" s="26" t="n">
        <v>44885</v>
      </c>
      <c r="I1469" s="26" t="n">
        <v>44886</v>
      </c>
      <c r="J1469" s="12" t="n">
        <v>42.3</v>
      </c>
      <c r="K1469" s="17" t="n">
        <v>4897909.92</v>
      </c>
      <c r="L1469" s="12" t="n">
        <v>0</v>
      </c>
      <c r="M1469" s="12" t="n">
        <v>0</v>
      </c>
      <c r="N1469" s="27">
        <f>F1469-J1469</f>
        <v/>
      </c>
      <c r="O1469" s="16">
        <f>I1469-H1469</f>
        <v/>
      </c>
      <c r="P1469" s="14">
        <f>F1469*G1469</f>
        <v/>
      </c>
      <c r="Q1469" s="14">
        <f>J1469*G1469</f>
        <v/>
      </c>
      <c r="R1469" s="14">
        <f>K1469-Q1469</f>
        <v/>
      </c>
      <c r="S1469" s="3">
        <f>P1469*Assumptions!$B$3/100</f>
        <v/>
      </c>
      <c r="T1469" s="14">
        <f>R1469-S1469</f>
        <v/>
      </c>
      <c r="U1469" s="14">
        <f>L1469*G1469</f>
        <v/>
      </c>
    </row>
    <row r="1470">
      <c r="A1470" s="12" t="inlineStr">
        <is>
          <t>PO-2021-1468</t>
        </is>
      </c>
      <c r="B1470" s="26" t="n">
        <v>44304</v>
      </c>
      <c r="C1470" s="12" t="inlineStr">
        <is>
          <t>VS12</t>
        </is>
      </c>
      <c r="D1470" s="12" t="inlineStr">
        <is>
          <t>Structural Steel</t>
        </is>
      </c>
      <c r="E1470" s="12" t="inlineStr">
        <is>
          <t>N</t>
        </is>
      </c>
      <c r="F1470" s="12" t="n">
        <v>36.64</v>
      </c>
      <c r="G1470" s="17" t="n">
        <v>70129.94</v>
      </c>
      <c r="H1470" s="26" t="n">
        <v>44317</v>
      </c>
      <c r="I1470" s="26" t="n">
        <v>44322</v>
      </c>
      <c r="J1470" s="12" t="n">
        <v>35.73</v>
      </c>
      <c r="K1470" s="17" t="n">
        <v>2569561</v>
      </c>
      <c r="L1470" s="12" t="n">
        <v>1.27</v>
      </c>
      <c r="M1470" s="12" t="n">
        <v>5</v>
      </c>
      <c r="N1470" s="27">
        <f>F1470-J1470</f>
        <v/>
      </c>
      <c r="O1470" s="16">
        <f>I1470-H1470</f>
        <v/>
      </c>
      <c r="P1470" s="14">
        <f>F1470*G1470</f>
        <v/>
      </c>
      <c r="Q1470" s="14">
        <f>J1470*G1470</f>
        <v/>
      </c>
      <c r="R1470" s="14">
        <f>K1470-Q1470</f>
        <v/>
      </c>
      <c r="S1470" s="3">
        <f>P1470*Assumptions!$B$3/100</f>
        <v/>
      </c>
      <c r="T1470" s="14">
        <f>R1470-S1470</f>
        <v/>
      </c>
      <c r="U1470" s="14">
        <f>L1470*G1470</f>
        <v/>
      </c>
    </row>
    <row r="1471">
      <c r="A1471" s="12" t="inlineStr">
        <is>
          <t>PO-2021-1469</t>
        </is>
      </c>
      <c r="B1471" s="26" t="n">
        <v>44523</v>
      </c>
      <c r="C1471" s="12" t="inlineStr">
        <is>
          <t>VS02</t>
        </is>
      </c>
      <c r="D1471" s="12" t="inlineStr">
        <is>
          <t>Spring Steel</t>
        </is>
      </c>
      <c r="E1471" s="12" t="inlineStr">
        <is>
          <t>Y</t>
        </is>
      </c>
      <c r="F1471" s="12" t="n">
        <v>20.22</v>
      </c>
      <c r="G1471" s="17" t="n">
        <v>76682.81</v>
      </c>
      <c r="H1471" s="26" t="n">
        <v>44533</v>
      </c>
      <c r="I1471" s="26" t="n">
        <v>44535</v>
      </c>
      <c r="J1471" s="12" t="n">
        <v>20.18</v>
      </c>
      <c r="K1471" s="17" t="n">
        <v>1550526.42</v>
      </c>
      <c r="L1471" s="12" t="n">
        <v>0</v>
      </c>
      <c r="M1471" s="12" t="n">
        <v>2</v>
      </c>
      <c r="N1471" s="27">
        <f>F1471-J1471</f>
        <v/>
      </c>
      <c r="O1471" s="16">
        <f>I1471-H1471</f>
        <v/>
      </c>
      <c r="P1471" s="14">
        <f>F1471*G1471</f>
        <v/>
      </c>
      <c r="Q1471" s="14">
        <f>J1471*G1471</f>
        <v/>
      </c>
      <c r="R1471" s="14">
        <f>K1471-Q1471</f>
        <v/>
      </c>
      <c r="S1471" s="3">
        <f>P1471*Assumptions!$B$3/100</f>
        <v/>
      </c>
      <c r="T1471" s="14">
        <f>R1471-S1471</f>
        <v/>
      </c>
      <c r="U1471" s="14">
        <f>L1471*G1471</f>
        <v/>
      </c>
    </row>
    <row r="1472">
      <c r="A1472" s="12" t="inlineStr">
        <is>
          <t>PO-2021-1470</t>
        </is>
      </c>
      <c r="B1472" s="26" t="n">
        <v>44910</v>
      </c>
      <c r="C1472" s="12" t="inlineStr">
        <is>
          <t>VS26</t>
        </is>
      </c>
      <c r="D1472" s="12" t="inlineStr">
        <is>
          <t>MS Rods</t>
        </is>
      </c>
      <c r="E1472" s="12" t="inlineStr">
        <is>
          <t>N</t>
        </is>
      </c>
      <c r="F1472" s="12" t="n">
        <v>4.52</v>
      </c>
      <c r="G1472" s="17" t="n">
        <v>99506.60000000001</v>
      </c>
      <c r="H1472" s="26" t="n">
        <v>44917</v>
      </c>
      <c r="I1472" s="26" t="n">
        <v>44918</v>
      </c>
      <c r="J1472" s="12" t="n">
        <v>4.47</v>
      </c>
      <c r="K1472" s="17" t="n">
        <v>449769.83</v>
      </c>
      <c r="L1472" s="12" t="n">
        <v>0</v>
      </c>
      <c r="M1472" s="12" t="n">
        <v>7</v>
      </c>
      <c r="N1472" s="27">
        <f>F1472-J1472</f>
        <v/>
      </c>
      <c r="O1472" s="16">
        <f>I1472-H1472</f>
        <v/>
      </c>
      <c r="P1472" s="14">
        <f>F1472*G1472</f>
        <v/>
      </c>
      <c r="Q1472" s="14">
        <f>J1472*G1472</f>
        <v/>
      </c>
      <c r="R1472" s="14">
        <f>K1472-Q1472</f>
        <v/>
      </c>
      <c r="S1472" s="3">
        <f>P1472*Assumptions!$B$3/100</f>
        <v/>
      </c>
      <c r="T1472" s="14">
        <f>R1472-S1472</f>
        <v/>
      </c>
      <c r="U1472" s="14">
        <f>L1472*G1472</f>
        <v/>
      </c>
    </row>
    <row r="1473">
      <c r="A1473" s="12" t="inlineStr">
        <is>
          <t>PO-2021-1471</t>
        </is>
      </c>
      <c r="B1473" s="26" t="n">
        <v>44596</v>
      </c>
      <c r="C1473" s="12" t="inlineStr">
        <is>
          <t>VS26</t>
        </is>
      </c>
      <c r="D1473" s="12" t="inlineStr">
        <is>
          <t>ERW Pipes</t>
        </is>
      </c>
      <c r="E1473" s="12" t="inlineStr">
        <is>
          <t>N</t>
        </is>
      </c>
      <c r="F1473" s="12" t="n">
        <v>7.41</v>
      </c>
      <c r="G1473" s="17" t="n">
        <v>101419.99</v>
      </c>
      <c r="H1473" s="26" t="n">
        <v>44608</v>
      </c>
      <c r="I1473" s="26" t="n">
        <v>44608</v>
      </c>
      <c r="J1473" s="12" t="n">
        <v>7.4</v>
      </c>
      <c r="K1473" s="17" t="n">
        <v>751522.13</v>
      </c>
      <c r="L1473" s="12" t="n">
        <v>0</v>
      </c>
      <c r="M1473" s="12" t="n">
        <v>0</v>
      </c>
      <c r="N1473" s="27">
        <f>F1473-J1473</f>
        <v/>
      </c>
      <c r="O1473" s="16">
        <f>I1473-H1473</f>
        <v/>
      </c>
      <c r="P1473" s="14">
        <f>F1473*G1473</f>
        <v/>
      </c>
      <c r="Q1473" s="14">
        <f>J1473*G1473</f>
        <v/>
      </c>
      <c r="R1473" s="14">
        <f>K1473-Q1473</f>
        <v/>
      </c>
      <c r="S1473" s="3">
        <f>P1473*Assumptions!$B$3/100</f>
        <v/>
      </c>
      <c r="T1473" s="14">
        <f>R1473-S1473</f>
        <v/>
      </c>
      <c r="U1473" s="14">
        <f>L1473*G1473</f>
        <v/>
      </c>
    </row>
    <row r="1474">
      <c r="A1474" s="12" t="inlineStr">
        <is>
          <t>PO-2021-1472</t>
        </is>
      </c>
      <c r="B1474" s="26" t="n">
        <v>44307</v>
      </c>
      <c r="C1474" s="12" t="inlineStr">
        <is>
          <t>VS20</t>
        </is>
      </c>
      <c r="D1474" s="12" t="inlineStr">
        <is>
          <t>Fasteners &amp; Fittings</t>
        </is>
      </c>
      <c r="E1474" s="12" t="inlineStr">
        <is>
          <t>Y</t>
        </is>
      </c>
      <c r="F1474" s="12" t="n">
        <v>33.08</v>
      </c>
      <c r="G1474" s="17" t="n">
        <v>88286.81</v>
      </c>
      <c r="H1474" s="26" t="n">
        <v>44317</v>
      </c>
      <c r="I1474" s="26" t="n">
        <v>44319</v>
      </c>
      <c r="J1474" s="12" t="n">
        <v>33.05</v>
      </c>
      <c r="K1474" s="17" t="n">
        <v>2920527.67</v>
      </c>
      <c r="L1474" s="12" t="n">
        <v>0</v>
      </c>
      <c r="M1474" s="12" t="n">
        <v>8</v>
      </c>
      <c r="N1474" s="27">
        <f>F1474-J1474</f>
        <v/>
      </c>
      <c r="O1474" s="16">
        <f>I1474-H1474</f>
        <v/>
      </c>
      <c r="P1474" s="14">
        <f>F1474*G1474</f>
        <v/>
      </c>
      <c r="Q1474" s="14">
        <f>J1474*G1474</f>
        <v/>
      </c>
      <c r="R1474" s="14">
        <f>K1474-Q1474</f>
        <v/>
      </c>
      <c r="S1474" s="3">
        <f>P1474*Assumptions!$B$3/100</f>
        <v/>
      </c>
      <c r="T1474" s="14">
        <f>R1474-S1474</f>
        <v/>
      </c>
      <c r="U1474" s="14">
        <f>L1474*G1474</f>
        <v/>
      </c>
    </row>
    <row r="1475">
      <c r="A1475" s="12" t="inlineStr">
        <is>
          <t>PO-2021-1473</t>
        </is>
      </c>
      <c r="B1475" s="26" t="n">
        <v>45185</v>
      </c>
      <c r="C1475" s="12" t="inlineStr">
        <is>
          <t>VS19</t>
        </is>
      </c>
      <c r="D1475" s="12" t="inlineStr">
        <is>
          <t>Square/Rect Tubes</t>
        </is>
      </c>
      <c r="E1475" s="12" t="inlineStr">
        <is>
          <t>N</t>
        </is>
      </c>
      <c r="F1475" s="12" t="n">
        <v>11.28</v>
      </c>
      <c r="G1475" s="17" t="n">
        <v>109539.96</v>
      </c>
      <c r="H1475" s="26" t="n">
        <v>45191</v>
      </c>
      <c r="I1475" s="26" t="n">
        <v>45197</v>
      </c>
      <c r="J1475" s="12" t="n">
        <v>10.98</v>
      </c>
      <c r="K1475" s="17" t="n">
        <v>1235610.75</v>
      </c>
      <c r="L1475" s="12" t="n">
        <v>0.33</v>
      </c>
      <c r="M1475" s="12" t="n">
        <v>0</v>
      </c>
      <c r="N1475" s="27">
        <f>F1475-J1475</f>
        <v/>
      </c>
      <c r="O1475" s="16">
        <f>I1475-H1475</f>
        <v/>
      </c>
      <c r="P1475" s="14">
        <f>F1475*G1475</f>
        <v/>
      </c>
      <c r="Q1475" s="14">
        <f>J1475*G1475</f>
        <v/>
      </c>
      <c r="R1475" s="14">
        <f>K1475-Q1475</f>
        <v/>
      </c>
      <c r="S1475" s="3">
        <f>P1475*Assumptions!$B$3/100</f>
        <v/>
      </c>
      <c r="T1475" s="14">
        <f>R1475-S1475</f>
        <v/>
      </c>
      <c r="U1475" s="14">
        <f>L1475*G1475</f>
        <v/>
      </c>
    </row>
    <row r="1476">
      <c r="A1476" s="12" t="inlineStr">
        <is>
          <t>PO-2021-1474</t>
        </is>
      </c>
      <c r="B1476" s="26" t="n">
        <v>44215</v>
      </c>
      <c r="C1476" s="12" t="inlineStr">
        <is>
          <t>VS24</t>
        </is>
      </c>
      <c r="D1476" s="12" t="inlineStr">
        <is>
          <t>ERW Pipes</t>
        </is>
      </c>
      <c r="E1476" s="12" t="inlineStr">
        <is>
          <t>N</t>
        </is>
      </c>
      <c r="F1476" s="12" t="n">
        <v>34.24</v>
      </c>
      <c r="G1476" s="17" t="n">
        <v>119136.31</v>
      </c>
      <c r="H1476" s="26" t="n">
        <v>44220</v>
      </c>
      <c r="I1476" s="26" t="n">
        <v>44222</v>
      </c>
      <c r="J1476" s="12" t="n">
        <v>34.14</v>
      </c>
      <c r="K1476" s="17" t="n">
        <v>4079227.25</v>
      </c>
      <c r="L1476" s="12" t="n">
        <v>0</v>
      </c>
      <c r="M1476" s="12" t="n">
        <v>0</v>
      </c>
      <c r="N1476" s="27">
        <f>F1476-J1476</f>
        <v/>
      </c>
      <c r="O1476" s="16">
        <f>I1476-H1476</f>
        <v/>
      </c>
      <c r="P1476" s="14">
        <f>F1476*G1476</f>
        <v/>
      </c>
      <c r="Q1476" s="14">
        <f>J1476*G1476</f>
        <v/>
      </c>
      <c r="R1476" s="14">
        <f>K1476-Q1476</f>
        <v/>
      </c>
      <c r="S1476" s="3">
        <f>P1476*Assumptions!$B$3/100</f>
        <v/>
      </c>
      <c r="T1476" s="14">
        <f>R1476-S1476</f>
        <v/>
      </c>
      <c r="U1476" s="14">
        <f>L1476*G1476</f>
        <v/>
      </c>
    </row>
    <row r="1477">
      <c r="A1477" s="12" t="inlineStr">
        <is>
          <t>PO-2021-1475</t>
        </is>
      </c>
      <c r="B1477" s="26" t="n">
        <v>44968</v>
      </c>
      <c r="C1477" s="12" t="inlineStr">
        <is>
          <t>VS28</t>
        </is>
      </c>
      <c r="D1477" s="12" t="inlineStr">
        <is>
          <t>MS Sheets</t>
        </is>
      </c>
      <c r="E1477" s="12" t="inlineStr">
        <is>
          <t>N</t>
        </is>
      </c>
      <c r="F1477" s="12" t="n">
        <v>46.37</v>
      </c>
      <c r="G1477" s="17" t="n">
        <v>52203.58</v>
      </c>
      <c r="H1477" s="26" t="n">
        <v>44978</v>
      </c>
      <c r="I1477" s="26" t="n">
        <v>44980</v>
      </c>
      <c r="J1477" s="12" t="n">
        <v>46.34</v>
      </c>
      <c r="K1477" s="17" t="n">
        <v>2420680</v>
      </c>
      <c r="L1477" s="12" t="n">
        <v>0</v>
      </c>
      <c r="M1477" s="12" t="n">
        <v>16</v>
      </c>
      <c r="N1477" s="27">
        <f>F1477-J1477</f>
        <v/>
      </c>
      <c r="O1477" s="16">
        <f>I1477-H1477</f>
        <v/>
      </c>
      <c r="P1477" s="14">
        <f>F1477*G1477</f>
        <v/>
      </c>
      <c r="Q1477" s="14">
        <f>J1477*G1477</f>
        <v/>
      </c>
      <c r="R1477" s="14">
        <f>K1477-Q1477</f>
        <v/>
      </c>
      <c r="S1477" s="3">
        <f>P1477*Assumptions!$B$3/100</f>
        <v/>
      </c>
      <c r="T1477" s="14">
        <f>R1477-S1477</f>
        <v/>
      </c>
      <c r="U1477" s="14">
        <f>L1477*G1477</f>
        <v/>
      </c>
    </row>
    <row r="1478">
      <c r="A1478" s="12" t="inlineStr">
        <is>
          <t>PO-2021-1476</t>
        </is>
      </c>
      <c r="B1478" s="26" t="n">
        <v>44564</v>
      </c>
      <c r="C1478" s="12" t="inlineStr">
        <is>
          <t>VS04</t>
        </is>
      </c>
      <c r="D1478" s="12" t="inlineStr">
        <is>
          <t>ERW Pipes</t>
        </is>
      </c>
      <c r="E1478" s="12" t="inlineStr">
        <is>
          <t>N</t>
        </is>
      </c>
      <c r="F1478" s="12" t="n">
        <v>49.03</v>
      </c>
      <c r="G1478" s="17" t="n">
        <v>93757.34</v>
      </c>
      <c r="H1478" s="26" t="n">
        <v>44576</v>
      </c>
      <c r="I1478" s="26" t="n">
        <v>44576</v>
      </c>
      <c r="J1478" s="12" t="n">
        <v>48.83</v>
      </c>
      <c r="K1478" s="17" t="n">
        <v>4596922.38</v>
      </c>
      <c r="L1478" s="12" t="n">
        <v>0</v>
      </c>
      <c r="M1478" s="12" t="n">
        <v>19</v>
      </c>
      <c r="N1478" s="27">
        <f>F1478-J1478</f>
        <v/>
      </c>
      <c r="O1478" s="16">
        <f>I1478-H1478</f>
        <v/>
      </c>
      <c r="P1478" s="14">
        <f>F1478*G1478</f>
        <v/>
      </c>
      <c r="Q1478" s="14">
        <f>J1478*G1478</f>
        <v/>
      </c>
      <c r="R1478" s="14">
        <f>K1478-Q1478</f>
        <v/>
      </c>
      <c r="S1478" s="3">
        <f>P1478*Assumptions!$B$3/100</f>
        <v/>
      </c>
      <c r="T1478" s="14">
        <f>R1478-S1478</f>
        <v/>
      </c>
      <c r="U1478" s="14">
        <f>L1478*G1478</f>
        <v/>
      </c>
    </row>
    <row r="1479">
      <c r="A1479" s="12" t="inlineStr">
        <is>
          <t>PO-2021-1477</t>
        </is>
      </c>
      <c r="B1479" s="26" t="n">
        <v>45085</v>
      </c>
      <c r="C1479" s="12" t="inlineStr">
        <is>
          <t>VS10</t>
        </is>
      </c>
      <c r="D1479" s="12" t="inlineStr">
        <is>
          <t>MS Rods</t>
        </is>
      </c>
      <c r="E1479" s="12" t="inlineStr">
        <is>
          <t>N</t>
        </is>
      </c>
      <c r="F1479" s="12" t="n">
        <v>13.01</v>
      </c>
      <c r="G1479" s="17" t="n">
        <v>53910.19</v>
      </c>
      <c r="H1479" s="26" t="n">
        <v>45094</v>
      </c>
      <c r="I1479" s="26" t="n">
        <v>45097</v>
      </c>
      <c r="J1479" s="12" t="n">
        <v>12.89</v>
      </c>
      <c r="K1479" s="17" t="n">
        <v>701371.5699999999</v>
      </c>
      <c r="L1479" s="12" t="n">
        <v>0</v>
      </c>
      <c r="M1479" s="12" t="n">
        <v>18</v>
      </c>
      <c r="N1479" s="27">
        <f>F1479-J1479</f>
        <v/>
      </c>
      <c r="O1479" s="16">
        <f>I1479-H1479</f>
        <v/>
      </c>
      <c r="P1479" s="14">
        <f>F1479*G1479</f>
        <v/>
      </c>
      <c r="Q1479" s="14">
        <f>J1479*G1479</f>
        <v/>
      </c>
      <c r="R1479" s="14">
        <f>K1479-Q1479</f>
        <v/>
      </c>
      <c r="S1479" s="3">
        <f>P1479*Assumptions!$B$3/100</f>
        <v/>
      </c>
      <c r="T1479" s="14">
        <f>R1479-S1479</f>
        <v/>
      </c>
      <c r="U1479" s="14">
        <f>L1479*G1479</f>
        <v/>
      </c>
    </row>
    <row r="1480">
      <c r="A1480" s="12" t="inlineStr">
        <is>
          <t>PO-2021-1478</t>
        </is>
      </c>
      <c r="B1480" s="26" t="n">
        <v>45197</v>
      </c>
      <c r="C1480" s="12" t="inlineStr">
        <is>
          <t>VS20</t>
        </is>
      </c>
      <c r="D1480" s="12" t="inlineStr">
        <is>
          <t>MS Sheets</t>
        </is>
      </c>
      <c r="E1480" s="12" t="inlineStr">
        <is>
          <t>Y</t>
        </is>
      </c>
      <c r="F1480" s="12" t="n">
        <v>32.99</v>
      </c>
      <c r="G1480" s="17" t="n">
        <v>73152.87</v>
      </c>
      <c r="H1480" s="26" t="n">
        <v>45211</v>
      </c>
      <c r="I1480" s="26" t="n">
        <v>45213</v>
      </c>
      <c r="J1480" s="12" t="n">
        <v>32.73</v>
      </c>
      <c r="K1480" s="17" t="n">
        <v>2413313.18</v>
      </c>
      <c r="L1480" s="12" t="n">
        <v>0</v>
      </c>
      <c r="M1480" s="12" t="n">
        <v>12</v>
      </c>
      <c r="N1480" s="27">
        <f>F1480-J1480</f>
        <v/>
      </c>
      <c r="O1480" s="16">
        <f>I1480-H1480</f>
        <v/>
      </c>
      <c r="P1480" s="14">
        <f>F1480*G1480</f>
        <v/>
      </c>
      <c r="Q1480" s="14">
        <f>J1480*G1480</f>
        <v/>
      </c>
      <c r="R1480" s="14">
        <f>K1480-Q1480</f>
        <v/>
      </c>
      <c r="S1480" s="3">
        <f>P1480*Assumptions!$B$3/100</f>
        <v/>
      </c>
      <c r="T1480" s="14">
        <f>R1480-S1480</f>
        <v/>
      </c>
      <c r="U1480" s="14">
        <f>L1480*G1480</f>
        <v/>
      </c>
    </row>
    <row r="1481">
      <c r="A1481" s="12" t="inlineStr">
        <is>
          <t>PO-2021-1479</t>
        </is>
      </c>
      <c r="B1481" s="26" t="n">
        <v>44380</v>
      </c>
      <c r="C1481" s="12" t="inlineStr">
        <is>
          <t>VS30</t>
        </is>
      </c>
      <c r="D1481" s="12" t="inlineStr">
        <is>
          <t>MS Rods</t>
        </is>
      </c>
      <c r="E1481" s="12" t="inlineStr">
        <is>
          <t>N</t>
        </is>
      </c>
      <c r="F1481" s="12" t="n">
        <v>14.49</v>
      </c>
      <c r="G1481" s="17" t="n">
        <v>93989.66</v>
      </c>
      <c r="H1481" s="26" t="n">
        <v>44388</v>
      </c>
      <c r="I1481" s="26" t="n">
        <v>44390</v>
      </c>
      <c r="J1481" s="12" t="n">
        <v>14.46</v>
      </c>
      <c r="K1481" s="17" t="n">
        <v>1361910.17</v>
      </c>
      <c r="L1481" s="12" t="n">
        <v>0</v>
      </c>
      <c r="M1481" s="12" t="n">
        <v>0</v>
      </c>
      <c r="N1481" s="27">
        <f>F1481-J1481</f>
        <v/>
      </c>
      <c r="O1481" s="16">
        <f>I1481-H1481</f>
        <v/>
      </c>
      <c r="P1481" s="14">
        <f>F1481*G1481</f>
        <v/>
      </c>
      <c r="Q1481" s="14">
        <f>J1481*G1481</f>
        <v/>
      </c>
      <c r="R1481" s="14">
        <f>K1481-Q1481</f>
        <v/>
      </c>
      <c r="S1481" s="3">
        <f>P1481*Assumptions!$B$3/100</f>
        <v/>
      </c>
      <c r="T1481" s="14">
        <f>R1481-S1481</f>
        <v/>
      </c>
      <c r="U1481" s="14">
        <f>L1481*G1481</f>
        <v/>
      </c>
    </row>
    <row r="1482">
      <c r="A1482" s="12" t="inlineStr">
        <is>
          <t>PO-2021-1480</t>
        </is>
      </c>
      <c r="B1482" s="26" t="n">
        <v>44220</v>
      </c>
      <c r="C1482" s="12" t="inlineStr">
        <is>
          <t>VS08</t>
        </is>
      </c>
      <c r="D1482" s="12" t="inlineStr">
        <is>
          <t>ERW Pipes</t>
        </is>
      </c>
      <c r="E1482" s="12" t="inlineStr">
        <is>
          <t>N</t>
        </is>
      </c>
      <c r="F1482" s="12" t="n">
        <v>5.05</v>
      </c>
      <c r="G1482" s="17" t="n">
        <v>81691.38</v>
      </c>
      <c r="H1482" s="26" t="n">
        <v>44233</v>
      </c>
      <c r="I1482" s="26" t="n">
        <v>44234</v>
      </c>
      <c r="J1482" s="12" t="n">
        <v>5.03</v>
      </c>
      <c r="K1482" s="17" t="n">
        <v>412541.47</v>
      </c>
      <c r="L1482" s="12" t="n">
        <v>0</v>
      </c>
      <c r="M1482" s="12" t="n">
        <v>0</v>
      </c>
      <c r="N1482" s="27">
        <f>F1482-J1482</f>
        <v/>
      </c>
      <c r="O1482" s="16">
        <f>I1482-H1482</f>
        <v/>
      </c>
      <c r="P1482" s="14">
        <f>F1482*G1482</f>
        <v/>
      </c>
      <c r="Q1482" s="14">
        <f>J1482*G1482</f>
        <v/>
      </c>
      <c r="R1482" s="14">
        <f>K1482-Q1482</f>
        <v/>
      </c>
      <c r="S1482" s="3">
        <f>P1482*Assumptions!$B$3/100</f>
        <v/>
      </c>
      <c r="T1482" s="14">
        <f>R1482-S1482</f>
        <v/>
      </c>
      <c r="U1482" s="14">
        <f>L1482*G1482</f>
        <v/>
      </c>
    </row>
    <row r="1483">
      <c r="A1483" s="12" t="inlineStr">
        <is>
          <t>PO-2021-1481</t>
        </is>
      </c>
      <c r="B1483" s="26" t="n">
        <v>45240</v>
      </c>
      <c r="C1483" s="12" t="inlineStr">
        <is>
          <t>VS15</t>
        </is>
      </c>
      <c r="D1483" s="12" t="inlineStr">
        <is>
          <t>MS Pipes</t>
        </is>
      </c>
      <c r="E1483" s="12" t="inlineStr">
        <is>
          <t>N</t>
        </is>
      </c>
      <c r="F1483" s="12" t="n">
        <v>29.76</v>
      </c>
      <c r="G1483" s="17" t="n">
        <v>119051.2</v>
      </c>
      <c r="H1483" s="26" t="n">
        <v>45250</v>
      </c>
      <c r="I1483" s="26" t="n">
        <v>45253</v>
      </c>
      <c r="J1483" s="12" t="n">
        <v>29.47</v>
      </c>
      <c r="K1483" s="17" t="n">
        <v>3542963.71</v>
      </c>
      <c r="L1483" s="12" t="n">
        <v>0</v>
      </c>
      <c r="M1483" s="12" t="n">
        <v>16</v>
      </c>
      <c r="N1483" s="27">
        <f>F1483-J1483</f>
        <v/>
      </c>
      <c r="O1483" s="16">
        <f>I1483-H1483</f>
        <v/>
      </c>
      <c r="P1483" s="14">
        <f>F1483*G1483</f>
        <v/>
      </c>
      <c r="Q1483" s="14">
        <f>J1483*G1483</f>
        <v/>
      </c>
      <c r="R1483" s="14">
        <f>K1483-Q1483</f>
        <v/>
      </c>
      <c r="S1483" s="3">
        <f>P1483*Assumptions!$B$3/100</f>
        <v/>
      </c>
      <c r="T1483" s="14">
        <f>R1483-S1483</f>
        <v/>
      </c>
      <c r="U1483" s="14">
        <f>L1483*G1483</f>
        <v/>
      </c>
    </row>
    <row r="1484">
      <c r="A1484" s="12" t="inlineStr">
        <is>
          <t>PO-2021-1482</t>
        </is>
      </c>
      <c r="B1484" s="26" t="n">
        <v>44757</v>
      </c>
      <c r="C1484" s="12" t="inlineStr">
        <is>
          <t>VS07</t>
        </is>
      </c>
      <c r="D1484" s="12" t="inlineStr">
        <is>
          <t>MS Sheets</t>
        </is>
      </c>
      <c r="E1484" s="12" t="inlineStr">
        <is>
          <t>N</t>
        </is>
      </c>
      <c r="F1484" s="12" t="n">
        <v>19.81</v>
      </c>
      <c r="G1484" s="17" t="n">
        <v>119996.56</v>
      </c>
      <c r="H1484" s="26" t="n">
        <v>44771</v>
      </c>
      <c r="I1484" s="26" t="n">
        <v>44771</v>
      </c>
      <c r="J1484" s="12" t="n">
        <v>19.76</v>
      </c>
      <c r="K1484" s="17" t="n">
        <v>2377131.85</v>
      </c>
      <c r="L1484" s="12" t="n">
        <v>0</v>
      </c>
      <c r="M1484" s="12" t="n">
        <v>0</v>
      </c>
      <c r="N1484" s="27">
        <f>F1484-J1484</f>
        <v/>
      </c>
      <c r="O1484" s="16">
        <f>I1484-H1484</f>
        <v/>
      </c>
      <c r="P1484" s="14">
        <f>F1484*G1484</f>
        <v/>
      </c>
      <c r="Q1484" s="14">
        <f>J1484*G1484</f>
        <v/>
      </c>
      <c r="R1484" s="14">
        <f>K1484-Q1484</f>
        <v/>
      </c>
      <c r="S1484" s="3">
        <f>P1484*Assumptions!$B$3/100</f>
        <v/>
      </c>
      <c r="T1484" s="14">
        <f>R1484-S1484</f>
        <v/>
      </c>
      <c r="U1484" s="14">
        <f>L1484*G1484</f>
        <v/>
      </c>
    </row>
    <row r="1485">
      <c r="A1485" s="12" t="inlineStr">
        <is>
          <t>PO-2021-1483</t>
        </is>
      </c>
      <c r="B1485" s="26" t="n">
        <v>45085</v>
      </c>
      <c r="C1485" s="12" t="inlineStr">
        <is>
          <t>VS20</t>
        </is>
      </c>
      <c r="D1485" s="12" t="inlineStr">
        <is>
          <t>Square/Rect Tubes</t>
        </is>
      </c>
      <c r="E1485" s="12" t="inlineStr">
        <is>
          <t>N</t>
        </is>
      </c>
      <c r="F1485" s="12" t="n">
        <v>5.87</v>
      </c>
      <c r="G1485" s="17" t="n">
        <v>49762.37</v>
      </c>
      <c r="H1485" s="26" t="n">
        <v>45100</v>
      </c>
      <c r="I1485" s="26" t="n">
        <v>45102</v>
      </c>
      <c r="J1485" s="12" t="n">
        <v>5.82</v>
      </c>
      <c r="K1485" s="17" t="n">
        <v>292105.11</v>
      </c>
      <c r="L1485" s="12" t="n">
        <v>0</v>
      </c>
      <c r="M1485" s="12" t="n">
        <v>13</v>
      </c>
      <c r="N1485" s="27">
        <f>F1485-J1485</f>
        <v/>
      </c>
      <c r="O1485" s="16">
        <f>I1485-H1485</f>
        <v/>
      </c>
      <c r="P1485" s="14">
        <f>F1485*G1485</f>
        <v/>
      </c>
      <c r="Q1485" s="14">
        <f>J1485*G1485</f>
        <v/>
      </c>
      <c r="R1485" s="14">
        <f>K1485-Q1485</f>
        <v/>
      </c>
      <c r="S1485" s="3">
        <f>P1485*Assumptions!$B$3/100</f>
        <v/>
      </c>
      <c r="T1485" s="14">
        <f>R1485-S1485</f>
        <v/>
      </c>
      <c r="U1485" s="14">
        <f>L1485*G1485</f>
        <v/>
      </c>
    </row>
    <row r="1486">
      <c r="A1486" s="12" t="inlineStr">
        <is>
          <t>PO-2021-1484</t>
        </is>
      </c>
      <c r="B1486" s="26" t="n">
        <v>44575</v>
      </c>
      <c r="C1486" s="12" t="inlineStr">
        <is>
          <t>VS26</t>
        </is>
      </c>
      <c r="D1486" s="12" t="inlineStr">
        <is>
          <t>MS Pipes</t>
        </is>
      </c>
      <c r="E1486" s="12" t="inlineStr">
        <is>
          <t>N</t>
        </is>
      </c>
      <c r="F1486" s="12" t="n">
        <v>20.3</v>
      </c>
      <c r="G1486" s="17" t="n">
        <v>106309.71</v>
      </c>
      <c r="H1486" s="26" t="n">
        <v>44590</v>
      </c>
      <c r="I1486" s="26" t="n">
        <v>44593</v>
      </c>
      <c r="J1486" s="12" t="n">
        <v>20.17</v>
      </c>
      <c r="K1486" s="17" t="n">
        <v>2158087.11</v>
      </c>
      <c r="L1486" s="12" t="n">
        <v>0</v>
      </c>
      <c r="M1486" s="12" t="n">
        <v>0</v>
      </c>
      <c r="N1486" s="27">
        <f>F1486-J1486</f>
        <v/>
      </c>
      <c r="O1486" s="16">
        <f>I1486-H1486</f>
        <v/>
      </c>
      <c r="P1486" s="14">
        <f>F1486*G1486</f>
        <v/>
      </c>
      <c r="Q1486" s="14">
        <f>J1486*G1486</f>
        <v/>
      </c>
      <c r="R1486" s="14">
        <f>K1486-Q1486</f>
        <v/>
      </c>
      <c r="S1486" s="3">
        <f>P1486*Assumptions!$B$3/100</f>
        <v/>
      </c>
      <c r="T1486" s="14">
        <f>R1486-S1486</f>
        <v/>
      </c>
      <c r="U1486" s="14">
        <f>L1486*G1486</f>
        <v/>
      </c>
    </row>
    <row r="1487">
      <c r="A1487" s="12" t="inlineStr">
        <is>
          <t>PO-2021-1485</t>
        </is>
      </c>
      <c r="B1487" s="26" t="n">
        <v>45282</v>
      </c>
      <c r="C1487" s="12" t="inlineStr">
        <is>
          <t>VS32</t>
        </is>
      </c>
      <c r="D1487" s="12" t="inlineStr">
        <is>
          <t>SS Pipes</t>
        </is>
      </c>
      <c r="E1487" s="12" t="inlineStr">
        <is>
          <t>N</t>
        </is>
      </c>
      <c r="F1487" s="12" t="n">
        <v>26.43</v>
      </c>
      <c r="G1487" s="17" t="n">
        <v>88854.12</v>
      </c>
      <c r="H1487" s="26" t="n">
        <v>45296</v>
      </c>
      <c r="I1487" s="26" t="n">
        <v>45298</v>
      </c>
      <c r="J1487" s="12" t="n">
        <v>26.38</v>
      </c>
      <c r="K1487" s="17" t="n">
        <v>2348414.39</v>
      </c>
      <c r="L1487" s="12" t="n">
        <v>0</v>
      </c>
      <c r="M1487" s="12" t="n">
        <v>8</v>
      </c>
      <c r="N1487" s="27">
        <f>F1487-J1487</f>
        <v/>
      </c>
      <c r="O1487" s="16">
        <f>I1487-H1487</f>
        <v/>
      </c>
      <c r="P1487" s="14">
        <f>F1487*G1487</f>
        <v/>
      </c>
      <c r="Q1487" s="14">
        <f>J1487*G1487</f>
        <v/>
      </c>
      <c r="R1487" s="14">
        <f>K1487-Q1487</f>
        <v/>
      </c>
      <c r="S1487" s="3">
        <f>P1487*Assumptions!$B$3/100</f>
        <v/>
      </c>
      <c r="T1487" s="14">
        <f>R1487-S1487</f>
        <v/>
      </c>
      <c r="U1487" s="14">
        <f>L1487*G1487</f>
        <v/>
      </c>
    </row>
    <row r="1488">
      <c r="A1488" s="12" t="inlineStr">
        <is>
          <t>PO-2021-1486</t>
        </is>
      </c>
      <c r="B1488" s="26" t="n">
        <v>44451</v>
      </c>
      <c r="C1488" s="12" t="inlineStr">
        <is>
          <t>VS14</t>
        </is>
      </c>
      <c r="D1488" s="12" t="inlineStr">
        <is>
          <t>ERW Pipes</t>
        </is>
      </c>
      <c r="E1488" s="12" t="inlineStr">
        <is>
          <t>N</t>
        </is>
      </c>
      <c r="F1488" s="12" t="n">
        <v>9.85</v>
      </c>
      <c r="G1488" s="17" t="n">
        <v>89932.7</v>
      </c>
      <c r="H1488" s="26" t="n">
        <v>44456</v>
      </c>
      <c r="I1488" s="26" t="n">
        <v>44459</v>
      </c>
      <c r="J1488" s="12" t="n">
        <v>9.81</v>
      </c>
      <c r="K1488" s="17" t="n">
        <v>885837.09</v>
      </c>
      <c r="L1488" s="12" t="n">
        <v>0</v>
      </c>
      <c r="M1488" s="12" t="n">
        <v>0</v>
      </c>
      <c r="N1488" s="27">
        <f>F1488-J1488</f>
        <v/>
      </c>
      <c r="O1488" s="16">
        <f>I1488-H1488</f>
        <v/>
      </c>
      <c r="P1488" s="14">
        <f>F1488*G1488</f>
        <v/>
      </c>
      <c r="Q1488" s="14">
        <f>J1488*G1488</f>
        <v/>
      </c>
      <c r="R1488" s="14">
        <f>K1488-Q1488</f>
        <v/>
      </c>
      <c r="S1488" s="3">
        <f>P1488*Assumptions!$B$3/100</f>
        <v/>
      </c>
      <c r="T1488" s="14">
        <f>R1488-S1488</f>
        <v/>
      </c>
      <c r="U1488" s="14">
        <f>L1488*G1488</f>
        <v/>
      </c>
    </row>
    <row r="1489">
      <c r="A1489" s="12" t="inlineStr">
        <is>
          <t>PO-2021-1487</t>
        </is>
      </c>
      <c r="B1489" s="26" t="n">
        <v>44207</v>
      </c>
      <c r="C1489" s="12" t="inlineStr">
        <is>
          <t>VS29</t>
        </is>
      </c>
      <c r="D1489" s="12" t="inlineStr">
        <is>
          <t>MS Flats</t>
        </is>
      </c>
      <c r="E1489" s="12" t="inlineStr">
        <is>
          <t>Y</t>
        </is>
      </c>
      <c r="F1489" s="12" t="n">
        <v>7.03</v>
      </c>
      <c r="G1489" s="17" t="n">
        <v>54661.2</v>
      </c>
      <c r="H1489" s="26" t="n">
        <v>44213</v>
      </c>
      <c r="I1489" s="26" t="n">
        <v>44213</v>
      </c>
      <c r="J1489" s="12" t="n">
        <v>7.02</v>
      </c>
      <c r="K1489" s="17" t="n">
        <v>384268.24</v>
      </c>
      <c r="L1489" s="12" t="n">
        <v>0</v>
      </c>
      <c r="M1489" s="12" t="n">
        <v>0</v>
      </c>
      <c r="N1489" s="27">
        <f>F1489-J1489</f>
        <v/>
      </c>
      <c r="O1489" s="16">
        <f>I1489-H1489</f>
        <v/>
      </c>
      <c r="P1489" s="14">
        <f>F1489*G1489</f>
        <v/>
      </c>
      <c r="Q1489" s="14">
        <f>J1489*G1489</f>
        <v/>
      </c>
      <c r="R1489" s="14">
        <f>K1489-Q1489</f>
        <v/>
      </c>
      <c r="S1489" s="3">
        <f>P1489*Assumptions!$B$3/100</f>
        <v/>
      </c>
      <c r="T1489" s="14">
        <f>R1489-S1489</f>
        <v/>
      </c>
      <c r="U1489" s="14">
        <f>L1489*G1489</f>
        <v/>
      </c>
    </row>
    <row r="1490">
      <c r="A1490" s="12" t="inlineStr">
        <is>
          <t>PO-2021-1488</t>
        </is>
      </c>
      <c r="B1490" s="26" t="n">
        <v>44527</v>
      </c>
      <c r="C1490" s="12" t="inlineStr">
        <is>
          <t>VS06</t>
        </is>
      </c>
      <c r="D1490" s="12" t="inlineStr">
        <is>
          <t>Spring Steel</t>
        </is>
      </c>
      <c r="E1490" s="12" t="inlineStr">
        <is>
          <t>N</t>
        </is>
      </c>
      <c r="F1490" s="12" t="n">
        <v>13.58</v>
      </c>
      <c r="G1490" s="17" t="n">
        <v>101480.15</v>
      </c>
      <c r="H1490" s="26" t="n">
        <v>44531</v>
      </c>
      <c r="I1490" s="26" t="n">
        <v>44534</v>
      </c>
      <c r="J1490" s="12" t="n">
        <v>13.45</v>
      </c>
      <c r="K1490" s="17" t="n">
        <v>1378100.44</v>
      </c>
      <c r="L1490" s="12" t="n">
        <v>0</v>
      </c>
      <c r="M1490" s="12" t="n">
        <v>11</v>
      </c>
      <c r="N1490" s="27">
        <f>F1490-J1490</f>
        <v/>
      </c>
      <c r="O1490" s="16">
        <f>I1490-H1490</f>
        <v/>
      </c>
      <c r="P1490" s="14">
        <f>F1490*G1490</f>
        <v/>
      </c>
      <c r="Q1490" s="14">
        <f>J1490*G1490</f>
        <v/>
      </c>
      <c r="R1490" s="14">
        <f>K1490-Q1490</f>
        <v/>
      </c>
      <c r="S1490" s="3">
        <f>P1490*Assumptions!$B$3/100</f>
        <v/>
      </c>
      <c r="T1490" s="14">
        <f>R1490-S1490</f>
        <v/>
      </c>
      <c r="U1490" s="14">
        <f>L1490*G1490</f>
        <v/>
      </c>
    </row>
    <row r="1491">
      <c r="A1491" s="12" t="inlineStr">
        <is>
          <t>PO-2021-1489</t>
        </is>
      </c>
      <c r="B1491" s="26" t="n">
        <v>44452</v>
      </c>
      <c r="C1491" s="12" t="inlineStr">
        <is>
          <t>VS33</t>
        </is>
      </c>
      <c r="D1491" s="12" t="inlineStr">
        <is>
          <t>SS Sheets</t>
        </is>
      </c>
      <c r="E1491" s="12" t="inlineStr">
        <is>
          <t>N</t>
        </is>
      </c>
      <c r="F1491" s="12" t="n">
        <v>18.81</v>
      </c>
      <c r="G1491" s="17" t="n">
        <v>85832.03999999999</v>
      </c>
      <c r="H1491" s="26" t="n">
        <v>44461</v>
      </c>
      <c r="I1491" s="26" t="n">
        <v>44462</v>
      </c>
      <c r="J1491" s="12" t="n">
        <v>18.64</v>
      </c>
      <c r="K1491" s="17" t="n">
        <v>1614500.67</v>
      </c>
      <c r="L1491" s="12" t="n">
        <v>0</v>
      </c>
      <c r="M1491" s="12" t="n">
        <v>0</v>
      </c>
      <c r="N1491" s="27">
        <f>F1491-J1491</f>
        <v/>
      </c>
      <c r="O1491" s="16">
        <f>I1491-H1491</f>
        <v/>
      </c>
      <c r="P1491" s="14">
        <f>F1491*G1491</f>
        <v/>
      </c>
      <c r="Q1491" s="14">
        <f>J1491*G1491</f>
        <v/>
      </c>
      <c r="R1491" s="14">
        <f>K1491-Q1491</f>
        <v/>
      </c>
      <c r="S1491" s="3">
        <f>P1491*Assumptions!$B$3/100</f>
        <v/>
      </c>
      <c r="T1491" s="14">
        <f>R1491-S1491</f>
        <v/>
      </c>
      <c r="U1491" s="14">
        <f>L1491*G1491</f>
        <v/>
      </c>
    </row>
    <row r="1492">
      <c r="A1492" s="12" t="inlineStr">
        <is>
          <t>PO-2021-1490</t>
        </is>
      </c>
      <c r="B1492" s="26" t="n">
        <v>44197</v>
      </c>
      <c r="C1492" s="12" t="inlineStr">
        <is>
          <t>VS16</t>
        </is>
      </c>
      <c r="D1492" s="12" t="inlineStr">
        <is>
          <t>SS Sheets</t>
        </is>
      </c>
      <c r="E1492" s="12" t="inlineStr">
        <is>
          <t>N</t>
        </is>
      </c>
      <c r="F1492" s="12" t="n">
        <v>3.26</v>
      </c>
      <c r="G1492" s="17" t="n">
        <v>115934.59</v>
      </c>
      <c r="H1492" s="26" t="n">
        <v>44212</v>
      </c>
      <c r="I1492" s="26" t="n">
        <v>44213</v>
      </c>
      <c r="J1492" s="12" t="n">
        <v>3.24</v>
      </c>
      <c r="K1492" s="17" t="n">
        <v>377946.76</v>
      </c>
      <c r="L1492" s="12" t="n">
        <v>0</v>
      </c>
      <c r="M1492" s="12" t="n">
        <v>0</v>
      </c>
      <c r="N1492" s="27">
        <f>F1492-J1492</f>
        <v/>
      </c>
      <c r="O1492" s="16">
        <f>I1492-H1492</f>
        <v/>
      </c>
      <c r="P1492" s="14">
        <f>F1492*G1492</f>
        <v/>
      </c>
      <c r="Q1492" s="14">
        <f>J1492*G1492</f>
        <v/>
      </c>
      <c r="R1492" s="14">
        <f>K1492-Q1492</f>
        <v/>
      </c>
      <c r="S1492" s="3">
        <f>P1492*Assumptions!$B$3/100</f>
        <v/>
      </c>
      <c r="T1492" s="14">
        <f>R1492-S1492</f>
        <v/>
      </c>
      <c r="U1492" s="14">
        <f>L1492*G1492</f>
        <v/>
      </c>
    </row>
    <row r="1493">
      <c r="A1493" s="12" t="inlineStr">
        <is>
          <t>PO-2021-1491</t>
        </is>
      </c>
      <c r="B1493" s="26" t="n">
        <v>44797</v>
      </c>
      <c r="C1493" s="12" t="inlineStr">
        <is>
          <t>VS29</t>
        </is>
      </c>
      <c r="D1493" s="12" t="inlineStr">
        <is>
          <t>Square/Rect Tubes</t>
        </is>
      </c>
      <c r="E1493" s="12" t="inlineStr">
        <is>
          <t>N</t>
        </is>
      </c>
      <c r="F1493" s="12" t="n">
        <v>29.28</v>
      </c>
      <c r="G1493" s="17" t="n">
        <v>97132.61</v>
      </c>
      <c r="H1493" s="26" t="n">
        <v>44808</v>
      </c>
      <c r="I1493" s="26" t="n">
        <v>44809</v>
      </c>
      <c r="J1493" s="12" t="n">
        <v>29.12</v>
      </c>
      <c r="K1493" s="17" t="n">
        <v>2844042.82</v>
      </c>
      <c r="L1493" s="12" t="n">
        <v>0</v>
      </c>
      <c r="M1493" s="12" t="n">
        <v>14</v>
      </c>
      <c r="N1493" s="27">
        <f>F1493-J1493</f>
        <v/>
      </c>
      <c r="O1493" s="16">
        <f>I1493-H1493</f>
        <v/>
      </c>
      <c r="P1493" s="14">
        <f>F1493*G1493</f>
        <v/>
      </c>
      <c r="Q1493" s="14">
        <f>J1493*G1493</f>
        <v/>
      </c>
      <c r="R1493" s="14">
        <f>K1493-Q1493</f>
        <v/>
      </c>
      <c r="S1493" s="3">
        <f>P1493*Assumptions!$B$3/100</f>
        <v/>
      </c>
      <c r="T1493" s="14">
        <f>R1493-S1493</f>
        <v/>
      </c>
      <c r="U1493" s="14">
        <f>L1493*G1493</f>
        <v/>
      </c>
    </row>
    <row r="1494">
      <c r="A1494" s="12" t="inlineStr">
        <is>
          <t>PO-2021-1492</t>
        </is>
      </c>
      <c r="B1494" s="26" t="n">
        <v>44918</v>
      </c>
      <c r="C1494" s="12" t="inlineStr">
        <is>
          <t>VS33</t>
        </is>
      </c>
      <c r="D1494" s="12" t="inlineStr">
        <is>
          <t>GI Sheets</t>
        </is>
      </c>
      <c r="E1494" s="12" t="inlineStr">
        <is>
          <t>N</t>
        </is>
      </c>
      <c r="F1494" s="12" t="n">
        <v>34.71</v>
      </c>
      <c r="G1494" s="17" t="n">
        <v>94696.27</v>
      </c>
      <c r="H1494" s="26" t="n">
        <v>44921</v>
      </c>
      <c r="I1494" s="26" t="n">
        <v>44922</v>
      </c>
      <c r="J1494" s="12" t="n">
        <v>34.53</v>
      </c>
      <c r="K1494" s="17" t="n">
        <v>3286907.53</v>
      </c>
      <c r="L1494" s="12" t="n">
        <v>0</v>
      </c>
      <c r="M1494" s="12" t="n">
        <v>5</v>
      </c>
      <c r="N1494" s="27">
        <f>F1494-J1494</f>
        <v/>
      </c>
      <c r="O1494" s="16">
        <f>I1494-H1494</f>
        <v/>
      </c>
      <c r="P1494" s="14">
        <f>F1494*G1494</f>
        <v/>
      </c>
      <c r="Q1494" s="14">
        <f>J1494*G1494</f>
        <v/>
      </c>
      <c r="R1494" s="14">
        <f>K1494-Q1494</f>
        <v/>
      </c>
      <c r="S1494" s="3">
        <f>P1494*Assumptions!$B$3/100</f>
        <v/>
      </c>
      <c r="T1494" s="14">
        <f>R1494-S1494</f>
        <v/>
      </c>
      <c r="U1494" s="14">
        <f>L1494*G1494</f>
        <v/>
      </c>
    </row>
    <row r="1495">
      <c r="A1495" s="12" t="inlineStr">
        <is>
          <t>PO-2021-1493</t>
        </is>
      </c>
      <c r="B1495" s="26" t="n">
        <v>44682</v>
      </c>
      <c r="C1495" s="12" t="inlineStr">
        <is>
          <t>VS03</t>
        </is>
      </c>
      <c r="D1495" s="12" t="inlineStr">
        <is>
          <t>GI Sheets</t>
        </is>
      </c>
      <c r="E1495" s="12" t="inlineStr">
        <is>
          <t>N</t>
        </is>
      </c>
      <c r="F1495" s="12" t="n">
        <v>7.94</v>
      </c>
      <c r="G1495" s="17" t="n">
        <v>113574.64</v>
      </c>
      <c r="H1495" s="26" t="n">
        <v>44688</v>
      </c>
      <c r="I1495" s="26" t="n">
        <v>44691</v>
      </c>
      <c r="J1495" s="12" t="n">
        <v>7.59</v>
      </c>
      <c r="K1495" s="17" t="n">
        <v>901782.64</v>
      </c>
      <c r="L1495" s="12" t="n">
        <v>0.06</v>
      </c>
      <c r="M1495" s="12" t="n">
        <v>0</v>
      </c>
      <c r="N1495" s="27">
        <f>F1495-J1495</f>
        <v/>
      </c>
      <c r="O1495" s="16">
        <f>I1495-H1495</f>
        <v/>
      </c>
      <c r="P1495" s="14">
        <f>F1495*G1495</f>
        <v/>
      </c>
      <c r="Q1495" s="14">
        <f>J1495*G1495</f>
        <v/>
      </c>
      <c r="R1495" s="14">
        <f>K1495-Q1495</f>
        <v/>
      </c>
      <c r="S1495" s="3">
        <f>P1495*Assumptions!$B$3/100</f>
        <v/>
      </c>
      <c r="T1495" s="14">
        <f>R1495-S1495</f>
        <v/>
      </c>
      <c r="U1495" s="14">
        <f>L1495*G1495</f>
        <v/>
      </c>
    </row>
    <row r="1496">
      <c r="A1496" s="12" t="inlineStr">
        <is>
          <t>PO-2021-1494</t>
        </is>
      </c>
      <c r="B1496" s="26" t="n">
        <v>44471</v>
      </c>
      <c r="C1496" s="12" t="inlineStr">
        <is>
          <t>VS14</t>
        </is>
      </c>
      <c r="D1496" s="12" t="inlineStr">
        <is>
          <t>Angles &amp; Channels</t>
        </is>
      </c>
      <c r="E1496" s="12" t="inlineStr">
        <is>
          <t>N</t>
        </is>
      </c>
      <c r="F1496" s="12" t="n">
        <v>14.59</v>
      </c>
      <c r="G1496" s="17" t="n">
        <v>99682.83</v>
      </c>
      <c r="H1496" s="26" t="n">
        <v>44480</v>
      </c>
      <c r="I1496" s="26" t="n">
        <v>44481</v>
      </c>
      <c r="J1496" s="12" t="n">
        <v>14.57</v>
      </c>
      <c r="K1496" s="17" t="n">
        <v>1454372.49</v>
      </c>
      <c r="L1496" s="12" t="n">
        <v>0</v>
      </c>
      <c r="M1496" s="12" t="n">
        <v>8</v>
      </c>
      <c r="N1496" s="27">
        <f>F1496-J1496</f>
        <v/>
      </c>
      <c r="O1496" s="16">
        <f>I1496-H1496</f>
        <v/>
      </c>
      <c r="P1496" s="14">
        <f>F1496*G1496</f>
        <v/>
      </c>
      <c r="Q1496" s="14">
        <f>J1496*G1496</f>
        <v/>
      </c>
      <c r="R1496" s="14">
        <f>K1496-Q1496</f>
        <v/>
      </c>
      <c r="S1496" s="3">
        <f>P1496*Assumptions!$B$3/100</f>
        <v/>
      </c>
      <c r="T1496" s="14">
        <f>R1496-S1496</f>
        <v/>
      </c>
      <c r="U1496" s="14">
        <f>L1496*G1496</f>
        <v/>
      </c>
    </row>
    <row r="1497">
      <c r="A1497" s="12" t="inlineStr">
        <is>
          <t>PO-2021-1495</t>
        </is>
      </c>
      <c r="B1497" s="26" t="n">
        <v>44349</v>
      </c>
      <c r="C1497" s="12" t="inlineStr">
        <is>
          <t>VS17</t>
        </is>
      </c>
      <c r="D1497" s="12" t="inlineStr">
        <is>
          <t>CR Sheets</t>
        </is>
      </c>
      <c r="E1497" s="12" t="inlineStr">
        <is>
          <t>N</t>
        </is>
      </c>
      <c r="F1497" s="12" t="n">
        <v>19.71</v>
      </c>
      <c r="G1497" s="17" t="n">
        <v>112774.5</v>
      </c>
      <c r="H1497" s="26" t="n">
        <v>44358</v>
      </c>
      <c r="I1497" s="26" t="n">
        <v>44360</v>
      </c>
      <c r="J1497" s="12" t="n">
        <v>19.62</v>
      </c>
      <c r="K1497" s="17" t="n">
        <v>2222785.4</v>
      </c>
      <c r="L1497" s="12" t="n">
        <v>0</v>
      </c>
      <c r="M1497" s="12" t="n">
        <v>0</v>
      </c>
      <c r="N1497" s="27">
        <f>F1497-J1497</f>
        <v/>
      </c>
      <c r="O1497" s="16">
        <f>I1497-H1497</f>
        <v/>
      </c>
      <c r="P1497" s="14">
        <f>F1497*G1497</f>
        <v/>
      </c>
      <c r="Q1497" s="14">
        <f>J1497*G1497</f>
        <v/>
      </c>
      <c r="R1497" s="14">
        <f>K1497-Q1497</f>
        <v/>
      </c>
      <c r="S1497" s="3">
        <f>P1497*Assumptions!$B$3/100</f>
        <v/>
      </c>
      <c r="T1497" s="14">
        <f>R1497-S1497</f>
        <v/>
      </c>
      <c r="U1497" s="14">
        <f>L1497*G1497</f>
        <v/>
      </c>
    </row>
    <row r="1498">
      <c r="A1498" s="12" t="inlineStr">
        <is>
          <t>PO-2021-1496</t>
        </is>
      </c>
      <c r="B1498" s="26" t="n">
        <v>45131</v>
      </c>
      <c r="C1498" s="12" t="inlineStr">
        <is>
          <t>VS06</t>
        </is>
      </c>
      <c r="D1498" s="12" t="inlineStr">
        <is>
          <t>CR Sheets</t>
        </is>
      </c>
      <c r="E1498" s="12" t="inlineStr">
        <is>
          <t>N</t>
        </is>
      </c>
      <c r="F1498" s="12" t="n">
        <v>34.15</v>
      </c>
      <c r="G1498" s="17" t="n">
        <v>115514.95</v>
      </c>
      <c r="H1498" s="26" t="n">
        <v>45136</v>
      </c>
      <c r="I1498" s="26" t="n">
        <v>45136</v>
      </c>
      <c r="J1498" s="12" t="n">
        <v>33.91</v>
      </c>
      <c r="K1498" s="17" t="n">
        <v>3944835.54</v>
      </c>
      <c r="L1498" s="12" t="n">
        <v>0</v>
      </c>
      <c r="M1498" s="12" t="n">
        <v>0</v>
      </c>
      <c r="N1498" s="27">
        <f>F1498-J1498</f>
        <v/>
      </c>
      <c r="O1498" s="16">
        <f>I1498-H1498</f>
        <v/>
      </c>
      <c r="P1498" s="14">
        <f>F1498*G1498</f>
        <v/>
      </c>
      <c r="Q1498" s="14">
        <f>J1498*G1498</f>
        <v/>
      </c>
      <c r="R1498" s="14">
        <f>K1498-Q1498</f>
        <v/>
      </c>
      <c r="S1498" s="3">
        <f>P1498*Assumptions!$B$3/100</f>
        <v/>
      </c>
      <c r="T1498" s="14">
        <f>R1498-S1498</f>
        <v/>
      </c>
      <c r="U1498" s="14">
        <f>L1498*G1498</f>
        <v/>
      </c>
    </row>
    <row r="1499">
      <c r="A1499" s="12" t="inlineStr">
        <is>
          <t>PO-2021-1497</t>
        </is>
      </c>
      <c r="B1499" s="26" t="n">
        <v>44614</v>
      </c>
      <c r="C1499" s="12" t="inlineStr">
        <is>
          <t>VS05</t>
        </is>
      </c>
      <c r="D1499" s="12" t="inlineStr">
        <is>
          <t>CR Sheets</t>
        </is>
      </c>
      <c r="E1499" s="12" t="inlineStr">
        <is>
          <t>Y</t>
        </is>
      </c>
      <c r="F1499" s="12" t="n">
        <v>49.77</v>
      </c>
      <c r="G1499" s="17" t="n">
        <v>97260.22</v>
      </c>
      <c r="H1499" s="26" t="n">
        <v>44620</v>
      </c>
      <c r="I1499" s="26" t="n">
        <v>44620</v>
      </c>
      <c r="J1499" s="12" t="n">
        <v>49.76</v>
      </c>
      <c r="K1499" s="17" t="n">
        <v>4840641.15</v>
      </c>
      <c r="L1499" s="12" t="n">
        <v>0</v>
      </c>
      <c r="M1499" s="12" t="n">
        <v>8</v>
      </c>
      <c r="N1499" s="27">
        <f>F1499-J1499</f>
        <v/>
      </c>
      <c r="O1499" s="16">
        <f>I1499-H1499</f>
        <v/>
      </c>
      <c r="P1499" s="14">
        <f>F1499*G1499</f>
        <v/>
      </c>
      <c r="Q1499" s="14">
        <f>J1499*G1499</f>
        <v/>
      </c>
      <c r="R1499" s="14">
        <f>K1499-Q1499</f>
        <v/>
      </c>
      <c r="S1499" s="3">
        <f>P1499*Assumptions!$B$3/100</f>
        <v/>
      </c>
      <c r="T1499" s="14">
        <f>R1499-S1499</f>
        <v/>
      </c>
      <c r="U1499" s="14">
        <f>L1499*G1499</f>
        <v/>
      </c>
    </row>
    <row r="1500">
      <c r="A1500" s="12" t="inlineStr">
        <is>
          <t>PO-2021-1498</t>
        </is>
      </c>
      <c r="B1500" s="26" t="n">
        <v>44959</v>
      </c>
      <c r="C1500" s="12" t="inlineStr">
        <is>
          <t>VS33</t>
        </is>
      </c>
      <c r="D1500" s="12" t="inlineStr">
        <is>
          <t>MS Sheets</t>
        </is>
      </c>
      <c r="E1500" s="12" t="inlineStr">
        <is>
          <t>N</t>
        </is>
      </c>
      <c r="F1500" s="12" t="n">
        <v>21.56</v>
      </c>
      <c r="G1500" s="17" t="n">
        <v>56511.86</v>
      </c>
      <c r="H1500" s="26" t="n">
        <v>44974</v>
      </c>
      <c r="I1500" s="26" t="n">
        <v>44975</v>
      </c>
      <c r="J1500" s="12" t="n">
        <v>21.52</v>
      </c>
      <c r="K1500" s="17" t="n">
        <v>1218395.7</v>
      </c>
      <c r="L1500" s="12" t="n">
        <v>0</v>
      </c>
      <c r="M1500" s="12" t="n">
        <v>13</v>
      </c>
      <c r="N1500" s="27">
        <f>F1500-J1500</f>
        <v/>
      </c>
      <c r="O1500" s="16">
        <f>I1500-H1500</f>
        <v/>
      </c>
      <c r="P1500" s="14">
        <f>F1500*G1500</f>
        <v/>
      </c>
      <c r="Q1500" s="14">
        <f>J1500*G1500</f>
        <v/>
      </c>
      <c r="R1500" s="14">
        <f>K1500-Q1500</f>
        <v/>
      </c>
      <c r="S1500" s="3">
        <f>P1500*Assumptions!$B$3/100</f>
        <v/>
      </c>
      <c r="T1500" s="14">
        <f>R1500-S1500</f>
        <v/>
      </c>
      <c r="U1500" s="14">
        <f>L1500*G1500</f>
        <v/>
      </c>
    </row>
    <row r="1501">
      <c r="A1501" s="12" t="inlineStr">
        <is>
          <t>PO-2021-1499</t>
        </is>
      </c>
      <c r="B1501" s="26" t="n">
        <v>45085</v>
      </c>
      <c r="C1501" s="12" t="inlineStr">
        <is>
          <t>VS25</t>
        </is>
      </c>
      <c r="D1501" s="12" t="inlineStr">
        <is>
          <t>MS Pipes</t>
        </is>
      </c>
      <c r="E1501" s="12" t="inlineStr">
        <is>
          <t>N</t>
        </is>
      </c>
      <c r="F1501" s="12" t="n">
        <v>48.24</v>
      </c>
      <c r="G1501" s="17" t="n">
        <v>63562.33</v>
      </c>
      <c r="H1501" s="26" t="n">
        <v>45092</v>
      </c>
      <c r="I1501" s="26" t="n">
        <v>45095</v>
      </c>
      <c r="J1501" s="12" t="n">
        <v>47.91</v>
      </c>
      <c r="K1501" s="17" t="n">
        <v>3066246.8</v>
      </c>
      <c r="L1501" s="12" t="n">
        <v>0</v>
      </c>
      <c r="M1501" s="12" t="n">
        <v>0</v>
      </c>
      <c r="N1501" s="27">
        <f>F1501-J1501</f>
        <v/>
      </c>
      <c r="O1501" s="16">
        <f>I1501-H1501</f>
        <v/>
      </c>
      <c r="P1501" s="14">
        <f>F1501*G1501</f>
        <v/>
      </c>
      <c r="Q1501" s="14">
        <f>J1501*G1501</f>
        <v/>
      </c>
      <c r="R1501" s="14">
        <f>K1501-Q1501</f>
        <v/>
      </c>
      <c r="S1501" s="3">
        <f>P1501*Assumptions!$B$3/100</f>
        <v/>
      </c>
      <c r="T1501" s="14">
        <f>R1501-S1501</f>
        <v/>
      </c>
      <c r="U1501" s="14">
        <f>L1501*G1501</f>
        <v/>
      </c>
    </row>
    <row r="1502">
      <c r="A1502" s="12" t="inlineStr">
        <is>
          <t>PO-2021-1500</t>
        </is>
      </c>
      <c r="B1502" s="26" t="n">
        <v>44452</v>
      </c>
      <c r="C1502" s="12" t="inlineStr">
        <is>
          <t>VS08</t>
        </is>
      </c>
      <c r="D1502" s="12" t="inlineStr">
        <is>
          <t>Spring Steel</t>
        </is>
      </c>
      <c r="E1502" s="12" t="inlineStr">
        <is>
          <t>N</t>
        </is>
      </c>
      <c r="F1502" s="12" t="n">
        <v>20.93</v>
      </c>
      <c r="G1502" s="17" t="n">
        <v>69701.81</v>
      </c>
      <c r="H1502" s="26" t="n">
        <v>44456</v>
      </c>
      <c r="I1502" s="26" t="n">
        <v>44459</v>
      </c>
      <c r="J1502" s="12" t="n">
        <v>20.77</v>
      </c>
      <c r="K1502" s="17" t="n">
        <v>1458858.88</v>
      </c>
      <c r="L1502" s="12" t="n">
        <v>0</v>
      </c>
      <c r="M1502" s="12" t="n">
        <v>0</v>
      </c>
      <c r="N1502" s="27">
        <f>F1502-J1502</f>
        <v/>
      </c>
      <c r="O1502" s="16">
        <f>I1502-H1502</f>
        <v/>
      </c>
      <c r="P1502" s="14">
        <f>F1502*G1502</f>
        <v/>
      </c>
      <c r="Q1502" s="14">
        <f>J1502*G1502</f>
        <v/>
      </c>
      <c r="R1502" s="14">
        <f>K1502-Q1502</f>
        <v/>
      </c>
      <c r="S1502" s="3">
        <f>P1502*Assumptions!$B$3/100</f>
        <v/>
      </c>
      <c r="T1502" s="14">
        <f>R1502-S1502</f>
        <v/>
      </c>
      <c r="U1502" s="14">
        <f>L1502*G1502</f>
        <v/>
      </c>
    </row>
    <row r="1503">
      <c r="A1503" s="12" t="inlineStr">
        <is>
          <t>PO-2021-1501</t>
        </is>
      </c>
      <c r="B1503" s="26" t="n">
        <v>44940</v>
      </c>
      <c r="C1503" s="12" t="inlineStr">
        <is>
          <t>VS22</t>
        </is>
      </c>
      <c r="D1503" s="12" t="inlineStr">
        <is>
          <t>CR Sheets</t>
        </is>
      </c>
      <c r="E1503" s="12" t="inlineStr">
        <is>
          <t>N</t>
        </is>
      </c>
      <c r="F1503" s="12" t="n">
        <v>8.17</v>
      </c>
      <c r="G1503" s="17" t="n">
        <v>104857.3</v>
      </c>
      <c r="H1503" s="26" t="n">
        <v>44947</v>
      </c>
      <c r="I1503" s="26" t="n">
        <v>44947</v>
      </c>
      <c r="J1503" s="12" t="n">
        <v>8.109999999999999</v>
      </c>
      <c r="K1503" s="17" t="n">
        <v>856684.14</v>
      </c>
      <c r="L1503" s="12" t="n">
        <v>0</v>
      </c>
      <c r="M1503" s="12" t="n">
        <v>15</v>
      </c>
      <c r="N1503" s="27">
        <f>F1503-J1503</f>
        <v/>
      </c>
      <c r="O1503" s="16">
        <f>I1503-H1503</f>
        <v/>
      </c>
      <c r="P1503" s="14">
        <f>F1503*G1503</f>
        <v/>
      </c>
      <c r="Q1503" s="14">
        <f>J1503*G1503</f>
        <v/>
      </c>
      <c r="R1503" s="14">
        <f>K1503-Q1503</f>
        <v/>
      </c>
      <c r="S1503" s="3">
        <f>P1503*Assumptions!$B$3/100</f>
        <v/>
      </c>
      <c r="T1503" s="14">
        <f>R1503-S1503</f>
        <v/>
      </c>
      <c r="U1503" s="14">
        <f>L1503*G1503</f>
        <v/>
      </c>
    </row>
    <row r="1504">
      <c r="A1504" s="12" t="inlineStr">
        <is>
          <t>PO-2021-1502</t>
        </is>
      </c>
      <c r="B1504" s="26" t="n">
        <v>44217</v>
      </c>
      <c r="C1504" s="12" t="inlineStr">
        <is>
          <t>VS07</t>
        </is>
      </c>
      <c r="D1504" s="12" t="inlineStr">
        <is>
          <t>MS Rods</t>
        </is>
      </c>
      <c r="E1504" s="12" t="inlineStr">
        <is>
          <t>N</t>
        </is>
      </c>
      <c r="F1504" s="12" t="n">
        <v>48.99</v>
      </c>
      <c r="G1504" s="17" t="n">
        <v>61666.92</v>
      </c>
      <c r="H1504" s="26" t="n">
        <v>44221</v>
      </c>
      <c r="I1504" s="26" t="n">
        <v>44224</v>
      </c>
      <c r="J1504" s="12" t="n">
        <v>48.92</v>
      </c>
      <c r="K1504" s="17" t="n">
        <v>3021062.41</v>
      </c>
      <c r="L1504" s="12" t="n">
        <v>0</v>
      </c>
      <c r="M1504" s="12" t="n">
        <v>0</v>
      </c>
      <c r="N1504" s="27">
        <f>F1504-J1504</f>
        <v/>
      </c>
      <c r="O1504" s="16">
        <f>I1504-H1504</f>
        <v/>
      </c>
      <c r="P1504" s="14">
        <f>F1504*G1504</f>
        <v/>
      </c>
      <c r="Q1504" s="14">
        <f>J1504*G1504</f>
        <v/>
      </c>
      <c r="R1504" s="14">
        <f>K1504-Q1504</f>
        <v/>
      </c>
      <c r="S1504" s="3">
        <f>P1504*Assumptions!$B$3/100</f>
        <v/>
      </c>
      <c r="T1504" s="14">
        <f>R1504-S1504</f>
        <v/>
      </c>
      <c r="U1504" s="14">
        <f>L1504*G1504</f>
        <v/>
      </c>
    </row>
    <row r="1505">
      <c r="A1505" s="12" t="inlineStr">
        <is>
          <t>PO-2021-1503</t>
        </is>
      </c>
      <c r="B1505" s="26" t="n">
        <v>44449</v>
      </c>
      <c r="C1505" s="12" t="inlineStr">
        <is>
          <t>VS12</t>
        </is>
      </c>
      <c r="D1505" s="12" t="inlineStr">
        <is>
          <t>Hex Bars</t>
        </is>
      </c>
      <c r="E1505" s="12" t="inlineStr">
        <is>
          <t>N</t>
        </is>
      </c>
      <c r="F1505" s="12" t="n">
        <v>36.69</v>
      </c>
      <c r="G1505" s="17" t="n">
        <v>70710.87</v>
      </c>
      <c r="H1505" s="26" t="n">
        <v>44464</v>
      </c>
      <c r="I1505" s="26" t="n">
        <v>44466</v>
      </c>
      <c r="J1505" s="12" t="n">
        <v>34.86</v>
      </c>
      <c r="K1505" s="17" t="n">
        <v>2594381.82</v>
      </c>
      <c r="L1505" s="12" t="n">
        <v>1.69</v>
      </c>
      <c r="M1505" s="12" t="n">
        <v>0</v>
      </c>
      <c r="N1505" s="27">
        <f>F1505-J1505</f>
        <v/>
      </c>
      <c r="O1505" s="16">
        <f>I1505-H1505</f>
        <v/>
      </c>
      <c r="P1505" s="14">
        <f>F1505*G1505</f>
        <v/>
      </c>
      <c r="Q1505" s="14">
        <f>J1505*G1505</f>
        <v/>
      </c>
      <c r="R1505" s="14">
        <f>K1505-Q1505</f>
        <v/>
      </c>
      <c r="S1505" s="3">
        <f>P1505*Assumptions!$B$3/100</f>
        <v/>
      </c>
      <c r="T1505" s="14">
        <f>R1505-S1505</f>
        <v/>
      </c>
      <c r="U1505" s="14">
        <f>L1505*G1505</f>
        <v/>
      </c>
    </row>
    <row r="1506">
      <c r="A1506" s="12" t="inlineStr">
        <is>
          <t>PO-2021-1504</t>
        </is>
      </c>
      <c r="B1506" s="26" t="n">
        <v>45199</v>
      </c>
      <c r="C1506" s="12" t="inlineStr">
        <is>
          <t>VS07</t>
        </is>
      </c>
      <c r="D1506" s="12" t="inlineStr">
        <is>
          <t>Hex Bars</t>
        </is>
      </c>
      <c r="E1506" s="12" t="inlineStr">
        <is>
          <t>N</t>
        </is>
      </c>
      <c r="F1506" s="12" t="n">
        <v>18.1</v>
      </c>
      <c r="G1506" s="17" t="n">
        <v>87911.86</v>
      </c>
      <c r="H1506" s="26" t="n">
        <v>45206</v>
      </c>
      <c r="I1506" s="26" t="n">
        <v>45207</v>
      </c>
      <c r="J1506" s="12" t="n">
        <v>17.95</v>
      </c>
      <c r="K1506" s="17" t="n">
        <v>1591204.67</v>
      </c>
      <c r="L1506" s="12" t="n">
        <v>0</v>
      </c>
      <c r="M1506" s="12" t="n">
        <v>0</v>
      </c>
      <c r="N1506" s="27">
        <f>F1506-J1506</f>
        <v/>
      </c>
      <c r="O1506" s="16">
        <f>I1506-H1506</f>
        <v/>
      </c>
      <c r="P1506" s="14">
        <f>F1506*G1506</f>
        <v/>
      </c>
      <c r="Q1506" s="14">
        <f>J1506*G1506</f>
        <v/>
      </c>
      <c r="R1506" s="14">
        <f>K1506-Q1506</f>
        <v/>
      </c>
      <c r="S1506" s="3">
        <f>P1506*Assumptions!$B$3/100</f>
        <v/>
      </c>
      <c r="T1506" s="14">
        <f>R1506-S1506</f>
        <v/>
      </c>
      <c r="U1506" s="14">
        <f>L1506*G1506</f>
        <v/>
      </c>
    </row>
    <row r="1507">
      <c r="A1507" s="12" t="inlineStr">
        <is>
          <t>PO-2021-1505</t>
        </is>
      </c>
      <c r="B1507" s="26" t="n">
        <v>44752</v>
      </c>
      <c r="C1507" s="12" t="inlineStr">
        <is>
          <t>VS07</t>
        </is>
      </c>
      <c r="D1507" s="12" t="inlineStr">
        <is>
          <t>GI Pipes</t>
        </is>
      </c>
      <c r="E1507" s="12" t="inlineStr">
        <is>
          <t>N</t>
        </is>
      </c>
      <c r="F1507" s="12" t="n">
        <v>9.369999999999999</v>
      </c>
      <c r="G1507" s="17" t="n">
        <v>115988.27</v>
      </c>
      <c r="H1507" s="26" t="n">
        <v>44761</v>
      </c>
      <c r="I1507" s="26" t="n">
        <v>44762</v>
      </c>
      <c r="J1507" s="12" t="n">
        <v>9.289999999999999</v>
      </c>
      <c r="K1507" s="17" t="n">
        <v>1086810.09</v>
      </c>
      <c r="L1507" s="12" t="n">
        <v>0</v>
      </c>
      <c r="M1507" s="12" t="n">
        <v>0</v>
      </c>
      <c r="N1507" s="27">
        <f>F1507-J1507</f>
        <v/>
      </c>
      <c r="O1507" s="16">
        <f>I1507-H1507</f>
        <v/>
      </c>
      <c r="P1507" s="14">
        <f>F1507*G1507</f>
        <v/>
      </c>
      <c r="Q1507" s="14">
        <f>J1507*G1507</f>
        <v/>
      </c>
      <c r="R1507" s="14">
        <f>K1507-Q1507</f>
        <v/>
      </c>
      <c r="S1507" s="3">
        <f>P1507*Assumptions!$B$3/100</f>
        <v/>
      </c>
      <c r="T1507" s="14">
        <f>R1507-S1507</f>
        <v/>
      </c>
      <c r="U1507" s="14">
        <f>L1507*G1507</f>
        <v/>
      </c>
    </row>
    <row r="1508">
      <c r="A1508" s="12" t="inlineStr">
        <is>
          <t>PO-2021-1506</t>
        </is>
      </c>
      <c r="B1508" s="26" t="n">
        <v>44567</v>
      </c>
      <c r="C1508" s="12" t="inlineStr">
        <is>
          <t>VS23</t>
        </is>
      </c>
      <c r="D1508" s="12" t="inlineStr">
        <is>
          <t>Spring Steel</t>
        </is>
      </c>
      <c r="E1508" s="12" t="inlineStr">
        <is>
          <t>N</t>
        </is>
      </c>
      <c r="F1508" s="12" t="n">
        <v>28.03</v>
      </c>
      <c r="G1508" s="17" t="n">
        <v>111151.59</v>
      </c>
      <c r="H1508" s="26" t="n">
        <v>44576</v>
      </c>
      <c r="I1508" s="26" t="n">
        <v>44577</v>
      </c>
      <c r="J1508" s="12" t="n">
        <v>27.78</v>
      </c>
      <c r="K1508" s="17" t="n">
        <v>3115579.07</v>
      </c>
      <c r="L1508" s="12" t="n">
        <v>0</v>
      </c>
      <c r="M1508" s="12" t="n">
        <v>0</v>
      </c>
      <c r="N1508" s="27">
        <f>F1508-J1508</f>
        <v/>
      </c>
      <c r="O1508" s="16">
        <f>I1508-H1508</f>
        <v/>
      </c>
      <c r="P1508" s="14">
        <f>F1508*G1508</f>
        <v/>
      </c>
      <c r="Q1508" s="14">
        <f>J1508*G1508</f>
        <v/>
      </c>
      <c r="R1508" s="14">
        <f>K1508-Q1508</f>
        <v/>
      </c>
      <c r="S1508" s="3">
        <f>P1508*Assumptions!$B$3/100</f>
        <v/>
      </c>
      <c r="T1508" s="14">
        <f>R1508-S1508</f>
        <v/>
      </c>
      <c r="U1508" s="14">
        <f>L1508*G1508</f>
        <v/>
      </c>
    </row>
    <row r="1509">
      <c r="A1509" s="12" t="inlineStr">
        <is>
          <t>PO-2021-1507</t>
        </is>
      </c>
      <c r="B1509" s="26" t="n">
        <v>45173</v>
      </c>
      <c r="C1509" s="12" t="inlineStr">
        <is>
          <t>VS09</t>
        </is>
      </c>
      <c r="D1509" s="12" t="inlineStr">
        <is>
          <t>CR Sheets</t>
        </is>
      </c>
      <c r="E1509" s="12" t="inlineStr">
        <is>
          <t>N</t>
        </is>
      </c>
      <c r="F1509" s="12" t="n">
        <v>1.47</v>
      </c>
      <c r="G1509" s="17" t="n">
        <v>83517.41</v>
      </c>
      <c r="H1509" s="26" t="n">
        <v>45178</v>
      </c>
      <c r="I1509" s="26" t="n">
        <v>45181</v>
      </c>
      <c r="J1509" s="12" t="n">
        <v>1.47</v>
      </c>
      <c r="K1509" s="17" t="n">
        <v>122770.59</v>
      </c>
      <c r="L1509" s="12" t="n">
        <v>0</v>
      </c>
      <c r="M1509" s="12" t="n">
        <v>0</v>
      </c>
      <c r="N1509" s="27">
        <f>F1509-J1509</f>
        <v/>
      </c>
      <c r="O1509" s="16">
        <f>I1509-H1509</f>
        <v/>
      </c>
      <c r="P1509" s="14">
        <f>F1509*G1509</f>
        <v/>
      </c>
      <c r="Q1509" s="14">
        <f>J1509*G1509</f>
        <v/>
      </c>
      <c r="R1509" s="14">
        <f>K1509-Q1509</f>
        <v/>
      </c>
      <c r="S1509" s="3">
        <f>P1509*Assumptions!$B$3/100</f>
        <v/>
      </c>
      <c r="T1509" s="14">
        <f>R1509-S1509</f>
        <v/>
      </c>
      <c r="U1509" s="14">
        <f>L1509*G1509</f>
        <v/>
      </c>
    </row>
    <row r="1510">
      <c r="A1510" s="12" t="inlineStr">
        <is>
          <t>PO-2021-1508</t>
        </is>
      </c>
      <c r="B1510" s="26" t="n">
        <v>44455</v>
      </c>
      <c r="C1510" s="12" t="inlineStr">
        <is>
          <t>VS10</t>
        </is>
      </c>
      <c r="D1510" s="12" t="inlineStr">
        <is>
          <t>MS Rods</t>
        </is>
      </c>
      <c r="E1510" s="12" t="inlineStr">
        <is>
          <t>N</t>
        </is>
      </c>
      <c r="F1510" s="12" t="n">
        <v>28.81</v>
      </c>
      <c r="G1510" s="17" t="n">
        <v>65052.74</v>
      </c>
      <c r="H1510" s="26" t="n">
        <v>44469</v>
      </c>
      <c r="I1510" s="26" t="n">
        <v>44470</v>
      </c>
      <c r="J1510" s="12" t="n">
        <v>28.66</v>
      </c>
      <c r="K1510" s="17" t="n">
        <v>1874169.44</v>
      </c>
      <c r="L1510" s="12" t="n">
        <v>0</v>
      </c>
      <c r="M1510" s="12" t="n">
        <v>21</v>
      </c>
      <c r="N1510" s="27">
        <f>F1510-J1510</f>
        <v/>
      </c>
      <c r="O1510" s="16">
        <f>I1510-H1510</f>
        <v/>
      </c>
      <c r="P1510" s="14">
        <f>F1510*G1510</f>
        <v/>
      </c>
      <c r="Q1510" s="14">
        <f>J1510*G1510</f>
        <v/>
      </c>
      <c r="R1510" s="14">
        <f>K1510-Q1510</f>
        <v/>
      </c>
      <c r="S1510" s="3">
        <f>P1510*Assumptions!$B$3/100</f>
        <v/>
      </c>
      <c r="T1510" s="14">
        <f>R1510-S1510</f>
        <v/>
      </c>
      <c r="U1510" s="14">
        <f>L1510*G1510</f>
        <v/>
      </c>
    </row>
    <row r="1511">
      <c r="A1511" s="12" t="inlineStr">
        <is>
          <t>PO-2021-1509</t>
        </is>
      </c>
      <c r="B1511" s="26" t="n">
        <v>44955</v>
      </c>
      <c r="C1511" s="12" t="inlineStr">
        <is>
          <t>VS16</t>
        </is>
      </c>
      <c r="D1511" s="12" t="inlineStr">
        <is>
          <t>GI Wire</t>
        </is>
      </c>
      <c r="E1511" s="12" t="inlineStr">
        <is>
          <t>N</t>
        </is>
      </c>
      <c r="F1511" s="12" t="n">
        <v>35.63</v>
      </c>
      <c r="G1511" s="17" t="n">
        <v>58732.84</v>
      </c>
      <c r="H1511" s="26" t="n">
        <v>44963</v>
      </c>
      <c r="I1511" s="26" t="n">
        <v>44966</v>
      </c>
      <c r="J1511" s="12" t="n">
        <v>35.32</v>
      </c>
      <c r="K1511" s="17" t="n">
        <v>2092651.09</v>
      </c>
      <c r="L1511" s="12" t="n">
        <v>0</v>
      </c>
      <c r="M1511" s="12" t="n">
        <v>6</v>
      </c>
      <c r="N1511" s="27">
        <f>F1511-J1511</f>
        <v/>
      </c>
      <c r="O1511" s="16">
        <f>I1511-H1511</f>
        <v/>
      </c>
      <c r="P1511" s="14">
        <f>F1511*G1511</f>
        <v/>
      </c>
      <c r="Q1511" s="14">
        <f>J1511*G1511</f>
        <v/>
      </c>
      <c r="R1511" s="14">
        <f>K1511-Q1511</f>
        <v/>
      </c>
      <c r="S1511" s="3">
        <f>P1511*Assumptions!$B$3/100</f>
        <v/>
      </c>
      <c r="T1511" s="14">
        <f>R1511-S1511</f>
        <v/>
      </c>
      <c r="U1511" s="14">
        <f>L1511*G1511</f>
        <v/>
      </c>
    </row>
    <row r="1512">
      <c r="A1512" s="12" t="inlineStr">
        <is>
          <t>PO-2021-1510</t>
        </is>
      </c>
      <c r="B1512" s="26" t="n">
        <v>45156</v>
      </c>
      <c r="C1512" s="12" t="inlineStr">
        <is>
          <t>VS33</t>
        </is>
      </c>
      <c r="D1512" s="12" t="inlineStr">
        <is>
          <t>SS Sheets</t>
        </is>
      </c>
      <c r="E1512" s="12" t="inlineStr">
        <is>
          <t>N</t>
        </is>
      </c>
      <c r="F1512" s="12" t="n">
        <v>14.52</v>
      </c>
      <c r="G1512" s="17" t="n">
        <v>77082.38</v>
      </c>
      <c r="H1512" s="26" t="n">
        <v>45170</v>
      </c>
      <c r="I1512" s="26" t="n">
        <v>45171</v>
      </c>
      <c r="J1512" s="12" t="n">
        <v>14.46</v>
      </c>
      <c r="K1512" s="17" t="n">
        <v>1119236.16</v>
      </c>
      <c r="L1512" s="12" t="n">
        <v>0</v>
      </c>
      <c r="M1512" s="12" t="n">
        <v>7</v>
      </c>
      <c r="N1512" s="27">
        <f>F1512-J1512</f>
        <v/>
      </c>
      <c r="O1512" s="16">
        <f>I1512-H1512</f>
        <v/>
      </c>
      <c r="P1512" s="14">
        <f>F1512*G1512</f>
        <v/>
      </c>
      <c r="Q1512" s="14">
        <f>J1512*G1512</f>
        <v/>
      </c>
      <c r="R1512" s="14">
        <f>K1512-Q1512</f>
        <v/>
      </c>
      <c r="S1512" s="3">
        <f>P1512*Assumptions!$B$3/100</f>
        <v/>
      </c>
      <c r="T1512" s="14">
        <f>R1512-S1512</f>
        <v/>
      </c>
      <c r="U1512" s="14">
        <f>L1512*G1512</f>
        <v/>
      </c>
    </row>
    <row r="1513">
      <c r="A1513" s="12" t="inlineStr">
        <is>
          <t>PO-2021-1511</t>
        </is>
      </c>
      <c r="B1513" s="26" t="n">
        <v>44665</v>
      </c>
      <c r="C1513" s="12" t="inlineStr">
        <is>
          <t>VS20</t>
        </is>
      </c>
      <c r="D1513" s="12" t="inlineStr">
        <is>
          <t>SS Pipes</t>
        </is>
      </c>
      <c r="E1513" s="12" t="inlineStr">
        <is>
          <t>N</t>
        </is>
      </c>
      <c r="F1513" s="12" t="n">
        <v>47.43</v>
      </c>
      <c r="G1513" s="17" t="n">
        <v>75488.61</v>
      </c>
      <c r="H1513" s="26" t="n">
        <v>44673</v>
      </c>
      <c r="I1513" s="26" t="n">
        <v>44673</v>
      </c>
      <c r="J1513" s="12" t="n">
        <v>47.39</v>
      </c>
      <c r="K1513" s="17" t="n">
        <v>3580424.77</v>
      </c>
      <c r="L1513" s="12" t="n">
        <v>0</v>
      </c>
      <c r="M1513" s="12" t="n">
        <v>23</v>
      </c>
      <c r="N1513" s="27">
        <f>F1513-J1513</f>
        <v/>
      </c>
      <c r="O1513" s="16">
        <f>I1513-H1513</f>
        <v/>
      </c>
      <c r="P1513" s="14">
        <f>F1513*G1513</f>
        <v/>
      </c>
      <c r="Q1513" s="14">
        <f>J1513*G1513</f>
        <v/>
      </c>
      <c r="R1513" s="14">
        <f>K1513-Q1513</f>
        <v/>
      </c>
      <c r="S1513" s="3">
        <f>P1513*Assumptions!$B$3/100</f>
        <v/>
      </c>
      <c r="T1513" s="14">
        <f>R1513-S1513</f>
        <v/>
      </c>
      <c r="U1513" s="14">
        <f>L1513*G1513</f>
        <v/>
      </c>
    </row>
    <row r="1514">
      <c r="A1514" s="12" t="inlineStr">
        <is>
          <t>PO-2021-1512</t>
        </is>
      </c>
      <c r="B1514" s="26" t="n">
        <v>44381</v>
      </c>
      <c r="C1514" s="12" t="inlineStr">
        <is>
          <t>VS06</t>
        </is>
      </c>
      <c r="D1514" s="12" t="inlineStr">
        <is>
          <t>SS Pipes</t>
        </is>
      </c>
      <c r="E1514" s="12" t="inlineStr">
        <is>
          <t>N</t>
        </is>
      </c>
      <c r="F1514" s="12" t="n">
        <v>36.77</v>
      </c>
      <c r="G1514" s="17" t="n">
        <v>115865.02</v>
      </c>
      <c r="H1514" s="26" t="n">
        <v>44386</v>
      </c>
      <c r="I1514" s="26" t="n">
        <v>44388</v>
      </c>
      <c r="J1514" s="12" t="n">
        <v>36.64</v>
      </c>
      <c r="K1514" s="17" t="n">
        <v>4260356.79</v>
      </c>
      <c r="L1514" s="12" t="n">
        <v>0</v>
      </c>
      <c r="M1514" s="12" t="n">
        <v>0</v>
      </c>
      <c r="N1514" s="27">
        <f>F1514-J1514</f>
        <v/>
      </c>
      <c r="O1514" s="16">
        <f>I1514-H1514</f>
        <v/>
      </c>
      <c r="P1514" s="14">
        <f>F1514*G1514</f>
        <v/>
      </c>
      <c r="Q1514" s="14">
        <f>J1514*G1514</f>
        <v/>
      </c>
      <c r="R1514" s="14">
        <f>K1514-Q1514</f>
        <v/>
      </c>
      <c r="S1514" s="3">
        <f>P1514*Assumptions!$B$3/100</f>
        <v/>
      </c>
      <c r="T1514" s="14">
        <f>R1514-S1514</f>
        <v/>
      </c>
      <c r="U1514" s="14">
        <f>L1514*G1514</f>
        <v/>
      </c>
    </row>
    <row r="1515">
      <c r="A1515" s="12" t="inlineStr">
        <is>
          <t>PO-2021-1513</t>
        </is>
      </c>
      <c r="B1515" s="26" t="n">
        <v>44314</v>
      </c>
      <c r="C1515" s="12" t="inlineStr">
        <is>
          <t>VS06</t>
        </is>
      </c>
      <c r="D1515" s="12" t="inlineStr">
        <is>
          <t>SS Sheets</t>
        </is>
      </c>
      <c r="E1515" s="12" t="inlineStr">
        <is>
          <t>N</t>
        </is>
      </c>
      <c r="F1515" s="12" t="n">
        <v>28.15</v>
      </c>
      <c r="G1515" s="17" t="n">
        <v>81963.78999999999</v>
      </c>
      <c r="H1515" s="26" t="n">
        <v>44317</v>
      </c>
      <c r="I1515" s="26" t="n">
        <v>44318</v>
      </c>
      <c r="J1515" s="12" t="n">
        <v>28.05</v>
      </c>
      <c r="K1515" s="17" t="n">
        <v>2307280.69</v>
      </c>
      <c r="L1515" s="12" t="n">
        <v>0</v>
      </c>
      <c r="M1515" s="12" t="n">
        <v>0</v>
      </c>
      <c r="N1515" s="27">
        <f>F1515-J1515</f>
        <v/>
      </c>
      <c r="O1515" s="16">
        <f>I1515-H1515</f>
        <v/>
      </c>
      <c r="P1515" s="14">
        <f>F1515*G1515</f>
        <v/>
      </c>
      <c r="Q1515" s="14">
        <f>J1515*G1515</f>
        <v/>
      </c>
      <c r="R1515" s="14">
        <f>K1515-Q1515</f>
        <v/>
      </c>
      <c r="S1515" s="3">
        <f>P1515*Assumptions!$B$3/100</f>
        <v/>
      </c>
      <c r="T1515" s="14">
        <f>R1515-S1515</f>
        <v/>
      </c>
      <c r="U1515" s="14">
        <f>L1515*G1515</f>
        <v/>
      </c>
    </row>
    <row r="1516">
      <c r="A1516" s="12" t="inlineStr">
        <is>
          <t>PO-2021-1514</t>
        </is>
      </c>
      <c r="B1516" s="26" t="n">
        <v>45065</v>
      </c>
      <c r="C1516" s="12" t="inlineStr">
        <is>
          <t>VS33</t>
        </is>
      </c>
      <c r="D1516" s="12" t="inlineStr">
        <is>
          <t>Square/Rect Tubes</t>
        </is>
      </c>
      <c r="E1516" s="12" t="inlineStr">
        <is>
          <t>N</t>
        </is>
      </c>
      <c r="F1516" s="12" t="n">
        <v>24.5</v>
      </c>
      <c r="G1516" s="17" t="n">
        <v>83625.86</v>
      </c>
      <c r="H1516" s="26" t="n">
        <v>45078</v>
      </c>
      <c r="I1516" s="26" t="n">
        <v>45081</v>
      </c>
      <c r="J1516" s="12" t="n">
        <v>24.35</v>
      </c>
      <c r="K1516" s="17" t="n">
        <v>2048833.57</v>
      </c>
      <c r="L1516" s="12" t="n">
        <v>0</v>
      </c>
      <c r="M1516" s="12" t="n">
        <v>20</v>
      </c>
      <c r="N1516" s="27">
        <f>F1516-J1516</f>
        <v/>
      </c>
      <c r="O1516" s="16">
        <f>I1516-H1516</f>
        <v/>
      </c>
      <c r="P1516" s="14">
        <f>F1516*G1516</f>
        <v/>
      </c>
      <c r="Q1516" s="14">
        <f>J1516*G1516</f>
        <v/>
      </c>
      <c r="R1516" s="14">
        <f>K1516-Q1516</f>
        <v/>
      </c>
      <c r="S1516" s="3">
        <f>P1516*Assumptions!$B$3/100</f>
        <v/>
      </c>
      <c r="T1516" s="14">
        <f>R1516-S1516</f>
        <v/>
      </c>
      <c r="U1516" s="14">
        <f>L1516*G1516</f>
        <v/>
      </c>
    </row>
    <row r="1517">
      <c r="A1517" s="12" t="inlineStr">
        <is>
          <t>PO-2021-1515</t>
        </is>
      </c>
      <c r="B1517" s="26" t="n">
        <v>45287</v>
      </c>
      <c r="C1517" s="12" t="inlineStr">
        <is>
          <t>VS08</t>
        </is>
      </c>
      <c r="D1517" s="12" t="inlineStr">
        <is>
          <t>MS Rods</t>
        </is>
      </c>
      <c r="E1517" s="12" t="inlineStr">
        <is>
          <t>N</t>
        </is>
      </c>
      <c r="F1517" s="12" t="n">
        <v>1.68</v>
      </c>
      <c r="G1517" s="17" t="n">
        <v>59263.8</v>
      </c>
      <c r="H1517" s="26" t="n">
        <v>45301</v>
      </c>
      <c r="I1517" s="26" t="n">
        <v>45301</v>
      </c>
      <c r="J1517" s="12" t="n">
        <v>1.68</v>
      </c>
      <c r="K1517" s="17" t="n">
        <v>99563.17999999999</v>
      </c>
      <c r="L1517" s="12" t="n">
        <v>0</v>
      </c>
      <c r="M1517" s="12" t="n">
        <v>1</v>
      </c>
      <c r="N1517" s="27">
        <f>F1517-J1517</f>
        <v/>
      </c>
      <c r="O1517" s="16">
        <f>I1517-H1517</f>
        <v/>
      </c>
      <c r="P1517" s="14">
        <f>F1517*G1517</f>
        <v/>
      </c>
      <c r="Q1517" s="14">
        <f>J1517*G1517</f>
        <v/>
      </c>
      <c r="R1517" s="14">
        <f>K1517-Q1517</f>
        <v/>
      </c>
      <c r="S1517" s="3">
        <f>P1517*Assumptions!$B$3/100</f>
        <v/>
      </c>
      <c r="T1517" s="14">
        <f>R1517-S1517</f>
        <v/>
      </c>
      <c r="U1517" s="14">
        <f>L1517*G1517</f>
        <v/>
      </c>
    </row>
    <row r="1518">
      <c r="A1518" s="12" t="inlineStr">
        <is>
          <t>PO-2021-1516</t>
        </is>
      </c>
      <c r="B1518" s="26" t="n">
        <v>44211</v>
      </c>
      <c r="C1518" s="12" t="inlineStr">
        <is>
          <t>VS28</t>
        </is>
      </c>
      <c r="D1518" s="12" t="inlineStr">
        <is>
          <t>Spring Steel</t>
        </is>
      </c>
      <c r="E1518" s="12" t="inlineStr">
        <is>
          <t>N</t>
        </is>
      </c>
      <c r="F1518" s="12" t="n">
        <v>37.73</v>
      </c>
      <c r="G1518" s="17" t="n">
        <v>63316.97</v>
      </c>
      <c r="H1518" s="26" t="n">
        <v>44225</v>
      </c>
      <c r="I1518" s="26" t="n">
        <v>44227</v>
      </c>
      <c r="J1518" s="12" t="n">
        <v>37.73</v>
      </c>
      <c r="K1518" s="17" t="n">
        <v>2388949.28</v>
      </c>
      <c r="L1518" s="12" t="n">
        <v>0</v>
      </c>
      <c r="M1518" s="12" t="n">
        <v>4</v>
      </c>
      <c r="N1518" s="27">
        <f>F1518-J1518</f>
        <v/>
      </c>
      <c r="O1518" s="16">
        <f>I1518-H1518</f>
        <v/>
      </c>
      <c r="P1518" s="14">
        <f>F1518*G1518</f>
        <v/>
      </c>
      <c r="Q1518" s="14">
        <f>J1518*G1518</f>
        <v/>
      </c>
      <c r="R1518" s="14">
        <f>K1518-Q1518</f>
        <v/>
      </c>
      <c r="S1518" s="3">
        <f>P1518*Assumptions!$B$3/100</f>
        <v/>
      </c>
      <c r="T1518" s="14">
        <f>R1518-S1518</f>
        <v/>
      </c>
      <c r="U1518" s="14">
        <f>L1518*G1518</f>
        <v/>
      </c>
    </row>
    <row r="1519">
      <c r="A1519" s="12" t="inlineStr">
        <is>
          <t>PO-2021-1517</t>
        </is>
      </c>
      <c r="B1519" s="26" t="n">
        <v>45278</v>
      </c>
      <c r="C1519" s="12" t="inlineStr">
        <is>
          <t>VS03</t>
        </is>
      </c>
      <c r="D1519" s="12" t="inlineStr">
        <is>
          <t>Fasteners &amp; Fittings</t>
        </is>
      </c>
      <c r="E1519" s="12" t="inlineStr">
        <is>
          <t>N</t>
        </is>
      </c>
      <c r="F1519" s="12" t="n">
        <v>48.27</v>
      </c>
      <c r="G1519" s="17" t="n">
        <v>99412.73</v>
      </c>
      <c r="H1519" s="26" t="n">
        <v>45293</v>
      </c>
      <c r="I1519" s="26" t="n">
        <v>45296</v>
      </c>
      <c r="J1519" s="12" t="n">
        <v>46.22</v>
      </c>
      <c r="K1519" s="17" t="n">
        <v>4798652.48</v>
      </c>
      <c r="L1519" s="12" t="n">
        <v>2.11</v>
      </c>
      <c r="M1519" s="12" t="n">
        <v>0</v>
      </c>
      <c r="N1519" s="27">
        <f>F1519-J1519</f>
        <v/>
      </c>
      <c r="O1519" s="16">
        <f>I1519-H1519</f>
        <v/>
      </c>
      <c r="P1519" s="14">
        <f>F1519*G1519</f>
        <v/>
      </c>
      <c r="Q1519" s="14">
        <f>J1519*G1519</f>
        <v/>
      </c>
      <c r="R1519" s="14">
        <f>K1519-Q1519</f>
        <v/>
      </c>
      <c r="S1519" s="3">
        <f>P1519*Assumptions!$B$3/100</f>
        <v/>
      </c>
      <c r="T1519" s="14">
        <f>R1519-S1519</f>
        <v/>
      </c>
      <c r="U1519" s="14">
        <f>L1519*G1519</f>
        <v/>
      </c>
    </row>
    <row r="1520">
      <c r="A1520" s="12" t="inlineStr">
        <is>
          <t>PO-2021-1518</t>
        </is>
      </c>
      <c r="B1520" s="26" t="n">
        <v>45269</v>
      </c>
      <c r="C1520" s="12" t="inlineStr">
        <is>
          <t>VS15</t>
        </is>
      </c>
      <c r="D1520" s="12" t="inlineStr">
        <is>
          <t>MS Sheets</t>
        </is>
      </c>
      <c r="E1520" s="12" t="inlineStr">
        <is>
          <t>N</t>
        </is>
      </c>
      <c r="F1520" s="12" t="n">
        <v>4.68</v>
      </c>
      <c r="G1520" s="17" t="n">
        <v>107955.67</v>
      </c>
      <c r="H1520" s="26" t="n">
        <v>45280</v>
      </c>
      <c r="I1520" s="26" t="n">
        <v>45282</v>
      </c>
      <c r="J1520" s="12" t="n">
        <v>4.66</v>
      </c>
      <c r="K1520" s="17" t="n">
        <v>505232.54</v>
      </c>
      <c r="L1520" s="12" t="n">
        <v>0</v>
      </c>
      <c r="M1520" s="12" t="n">
        <v>0</v>
      </c>
      <c r="N1520" s="27">
        <f>F1520-J1520</f>
        <v/>
      </c>
      <c r="O1520" s="16">
        <f>I1520-H1520</f>
        <v/>
      </c>
      <c r="P1520" s="14">
        <f>F1520*G1520</f>
        <v/>
      </c>
      <c r="Q1520" s="14">
        <f>J1520*G1520</f>
        <v/>
      </c>
      <c r="R1520" s="14">
        <f>K1520-Q1520</f>
        <v/>
      </c>
      <c r="S1520" s="3">
        <f>P1520*Assumptions!$B$3/100</f>
        <v/>
      </c>
      <c r="T1520" s="14">
        <f>R1520-S1520</f>
        <v/>
      </c>
      <c r="U1520" s="14">
        <f>L1520*G1520</f>
        <v/>
      </c>
    </row>
    <row r="1521">
      <c r="A1521" s="12" t="inlineStr">
        <is>
          <t>PO-2021-1519</t>
        </is>
      </c>
      <c r="B1521" s="26" t="n">
        <v>44920</v>
      </c>
      <c r="C1521" s="12" t="inlineStr">
        <is>
          <t>VS04</t>
        </is>
      </c>
      <c r="D1521" s="12" t="inlineStr">
        <is>
          <t>GI Wire</t>
        </is>
      </c>
      <c r="E1521" s="12" t="inlineStr">
        <is>
          <t>Y</t>
        </is>
      </c>
      <c r="F1521" s="12" t="n">
        <v>25.28</v>
      </c>
      <c r="G1521" s="17" t="n">
        <v>57786.3</v>
      </c>
      <c r="H1521" s="26" t="n">
        <v>44924</v>
      </c>
      <c r="I1521" s="26" t="n">
        <v>44926</v>
      </c>
      <c r="J1521" s="12" t="n">
        <v>25.17</v>
      </c>
      <c r="K1521" s="17" t="n">
        <v>1460837.66</v>
      </c>
      <c r="L1521" s="12" t="n">
        <v>0</v>
      </c>
      <c r="M1521" s="12" t="n">
        <v>0</v>
      </c>
      <c r="N1521" s="27">
        <f>F1521-J1521</f>
        <v/>
      </c>
      <c r="O1521" s="16">
        <f>I1521-H1521</f>
        <v/>
      </c>
      <c r="P1521" s="14">
        <f>F1521*G1521</f>
        <v/>
      </c>
      <c r="Q1521" s="14">
        <f>J1521*G1521</f>
        <v/>
      </c>
      <c r="R1521" s="14">
        <f>K1521-Q1521</f>
        <v/>
      </c>
      <c r="S1521" s="3">
        <f>P1521*Assumptions!$B$3/100</f>
        <v/>
      </c>
      <c r="T1521" s="14">
        <f>R1521-S1521</f>
        <v/>
      </c>
      <c r="U1521" s="14">
        <f>L1521*G1521</f>
        <v/>
      </c>
    </row>
    <row r="1522">
      <c r="A1522" s="12" t="inlineStr">
        <is>
          <t>PO-2021-1520</t>
        </is>
      </c>
      <c r="B1522" s="26" t="n">
        <v>44889</v>
      </c>
      <c r="C1522" s="12" t="inlineStr">
        <is>
          <t>VS16</t>
        </is>
      </c>
      <c r="D1522" s="12" t="inlineStr">
        <is>
          <t>Spring Steel</t>
        </is>
      </c>
      <c r="E1522" s="12" t="inlineStr">
        <is>
          <t>N</t>
        </is>
      </c>
      <c r="F1522" s="12" t="n">
        <v>42.69</v>
      </c>
      <c r="G1522" s="17" t="n">
        <v>109335.46</v>
      </c>
      <c r="H1522" s="26" t="n">
        <v>44896</v>
      </c>
      <c r="I1522" s="26" t="n">
        <v>44896</v>
      </c>
      <c r="J1522" s="12" t="n">
        <v>42.31</v>
      </c>
      <c r="K1522" s="17" t="n">
        <v>4667530.79</v>
      </c>
      <c r="L1522" s="12" t="n">
        <v>0</v>
      </c>
      <c r="M1522" s="12" t="n">
        <v>0</v>
      </c>
      <c r="N1522" s="27">
        <f>F1522-J1522</f>
        <v/>
      </c>
      <c r="O1522" s="16">
        <f>I1522-H1522</f>
        <v/>
      </c>
      <c r="P1522" s="14">
        <f>F1522*G1522</f>
        <v/>
      </c>
      <c r="Q1522" s="14">
        <f>J1522*G1522</f>
        <v/>
      </c>
      <c r="R1522" s="14">
        <f>K1522-Q1522</f>
        <v/>
      </c>
      <c r="S1522" s="3">
        <f>P1522*Assumptions!$B$3/100</f>
        <v/>
      </c>
      <c r="T1522" s="14">
        <f>R1522-S1522</f>
        <v/>
      </c>
      <c r="U1522" s="14">
        <f>L1522*G1522</f>
        <v/>
      </c>
    </row>
    <row r="1523">
      <c r="A1523" s="12" t="inlineStr">
        <is>
          <t>PO-2021-1521</t>
        </is>
      </c>
      <c r="B1523" s="26" t="n">
        <v>44809</v>
      </c>
      <c r="C1523" s="12" t="inlineStr">
        <is>
          <t>VS31</t>
        </is>
      </c>
      <c r="D1523" s="12" t="inlineStr">
        <is>
          <t>SS Sheets</t>
        </is>
      </c>
      <c r="E1523" s="12" t="inlineStr">
        <is>
          <t>N</t>
        </is>
      </c>
      <c r="F1523" s="12" t="n">
        <v>13.97</v>
      </c>
      <c r="G1523" s="17" t="n">
        <v>45167.57</v>
      </c>
      <c r="H1523" s="26" t="n">
        <v>44822</v>
      </c>
      <c r="I1523" s="26" t="n">
        <v>44824</v>
      </c>
      <c r="J1523" s="12" t="n">
        <v>13.97</v>
      </c>
      <c r="K1523" s="17" t="n">
        <v>630990.95</v>
      </c>
      <c r="L1523" s="12" t="n">
        <v>0</v>
      </c>
      <c r="M1523" s="12" t="n">
        <v>0</v>
      </c>
      <c r="N1523" s="27">
        <f>F1523-J1523</f>
        <v/>
      </c>
      <c r="O1523" s="16">
        <f>I1523-H1523</f>
        <v/>
      </c>
      <c r="P1523" s="14">
        <f>F1523*G1523</f>
        <v/>
      </c>
      <c r="Q1523" s="14">
        <f>J1523*G1523</f>
        <v/>
      </c>
      <c r="R1523" s="14">
        <f>K1523-Q1523</f>
        <v/>
      </c>
      <c r="S1523" s="3">
        <f>P1523*Assumptions!$B$3/100</f>
        <v/>
      </c>
      <c r="T1523" s="14">
        <f>R1523-S1523</f>
        <v/>
      </c>
      <c r="U1523" s="14">
        <f>L1523*G1523</f>
        <v/>
      </c>
    </row>
    <row r="1524">
      <c r="A1524" s="12" t="inlineStr">
        <is>
          <t>PO-2021-1522</t>
        </is>
      </c>
      <c r="B1524" s="26" t="n">
        <v>45003</v>
      </c>
      <c r="C1524" s="12" t="inlineStr">
        <is>
          <t>VS14</t>
        </is>
      </c>
      <c r="D1524" s="12" t="inlineStr">
        <is>
          <t>SS Sheets</t>
        </is>
      </c>
      <c r="E1524" s="12" t="inlineStr">
        <is>
          <t>N</t>
        </is>
      </c>
      <c r="F1524" s="12" t="n">
        <v>46.53</v>
      </c>
      <c r="G1524" s="17" t="n">
        <v>116935.12</v>
      </c>
      <c r="H1524" s="26" t="n">
        <v>45014</v>
      </c>
      <c r="I1524" s="26" t="n">
        <v>45016</v>
      </c>
      <c r="J1524" s="12" t="n">
        <v>46.11</v>
      </c>
      <c r="K1524" s="17" t="n">
        <v>5440991.13</v>
      </c>
      <c r="L1524" s="12" t="n">
        <v>0</v>
      </c>
      <c r="M1524" s="12" t="n">
        <v>3</v>
      </c>
      <c r="N1524" s="27">
        <f>F1524-J1524</f>
        <v/>
      </c>
      <c r="O1524" s="16">
        <f>I1524-H1524</f>
        <v/>
      </c>
      <c r="P1524" s="14">
        <f>F1524*G1524</f>
        <v/>
      </c>
      <c r="Q1524" s="14">
        <f>J1524*G1524</f>
        <v/>
      </c>
      <c r="R1524" s="14">
        <f>K1524-Q1524</f>
        <v/>
      </c>
      <c r="S1524" s="3">
        <f>P1524*Assumptions!$B$3/100</f>
        <v/>
      </c>
      <c r="T1524" s="14">
        <f>R1524-S1524</f>
        <v/>
      </c>
      <c r="U1524" s="14">
        <f>L1524*G1524</f>
        <v/>
      </c>
    </row>
    <row r="1525">
      <c r="A1525" s="12" t="inlineStr">
        <is>
          <t>PO-2021-1523</t>
        </is>
      </c>
      <c r="B1525" s="26" t="n">
        <v>44269</v>
      </c>
      <c r="C1525" s="12" t="inlineStr">
        <is>
          <t>VS30</t>
        </is>
      </c>
      <c r="D1525" s="12" t="inlineStr">
        <is>
          <t>Structural Steel</t>
        </is>
      </c>
      <c r="E1525" s="12" t="inlineStr">
        <is>
          <t>Y</t>
        </is>
      </c>
      <c r="F1525" s="12" t="n">
        <v>3.82</v>
      </c>
      <c r="G1525" s="17" t="n">
        <v>45441.83</v>
      </c>
      <c r="H1525" s="26" t="n">
        <v>44279</v>
      </c>
      <c r="I1525" s="26" t="n">
        <v>44280</v>
      </c>
      <c r="J1525" s="12" t="n">
        <v>3.79</v>
      </c>
      <c r="K1525" s="17" t="n">
        <v>173587.79</v>
      </c>
      <c r="L1525" s="12" t="n">
        <v>0</v>
      </c>
      <c r="M1525" s="12" t="n">
        <v>15</v>
      </c>
      <c r="N1525" s="27">
        <f>F1525-J1525</f>
        <v/>
      </c>
      <c r="O1525" s="16">
        <f>I1525-H1525</f>
        <v/>
      </c>
      <c r="P1525" s="14">
        <f>F1525*G1525</f>
        <v/>
      </c>
      <c r="Q1525" s="14">
        <f>J1525*G1525</f>
        <v/>
      </c>
      <c r="R1525" s="14">
        <f>K1525-Q1525</f>
        <v/>
      </c>
      <c r="S1525" s="3">
        <f>P1525*Assumptions!$B$3/100</f>
        <v/>
      </c>
      <c r="T1525" s="14">
        <f>R1525-S1525</f>
        <v/>
      </c>
      <c r="U1525" s="14">
        <f>L1525*G1525</f>
        <v/>
      </c>
    </row>
    <row r="1526">
      <c r="A1526" s="12" t="inlineStr">
        <is>
          <t>PO-2021-1524</t>
        </is>
      </c>
      <c r="B1526" s="26" t="n">
        <v>44869</v>
      </c>
      <c r="C1526" s="12" t="inlineStr">
        <is>
          <t>VS20</t>
        </is>
      </c>
      <c r="D1526" s="12" t="inlineStr">
        <is>
          <t>Angles &amp; Channels</t>
        </is>
      </c>
      <c r="E1526" s="12" t="inlineStr">
        <is>
          <t>N</t>
        </is>
      </c>
      <c r="F1526" s="12" t="n">
        <v>6.25</v>
      </c>
      <c r="G1526" s="17" t="n">
        <v>71229.13</v>
      </c>
      <c r="H1526" s="26" t="n">
        <v>44883</v>
      </c>
      <c r="I1526" s="26" t="n">
        <v>44884</v>
      </c>
      <c r="J1526" s="12" t="n">
        <v>6.22</v>
      </c>
      <c r="K1526" s="17" t="n">
        <v>445182.06</v>
      </c>
      <c r="L1526" s="12" t="n">
        <v>0</v>
      </c>
      <c r="M1526" s="12" t="n">
        <v>0</v>
      </c>
      <c r="N1526" s="27">
        <f>F1526-J1526</f>
        <v/>
      </c>
      <c r="O1526" s="16">
        <f>I1526-H1526</f>
        <v/>
      </c>
      <c r="P1526" s="14">
        <f>F1526*G1526</f>
        <v/>
      </c>
      <c r="Q1526" s="14">
        <f>J1526*G1526</f>
        <v/>
      </c>
      <c r="R1526" s="14">
        <f>K1526-Q1526</f>
        <v/>
      </c>
      <c r="S1526" s="3">
        <f>P1526*Assumptions!$B$3/100</f>
        <v/>
      </c>
      <c r="T1526" s="14">
        <f>R1526-S1526</f>
        <v/>
      </c>
      <c r="U1526" s="14">
        <f>L1526*G1526</f>
        <v/>
      </c>
    </row>
    <row r="1527">
      <c r="A1527" s="12" t="inlineStr">
        <is>
          <t>PO-2021-1525</t>
        </is>
      </c>
      <c r="B1527" s="26" t="n">
        <v>44578</v>
      </c>
      <c r="C1527" s="12" t="inlineStr">
        <is>
          <t>VS26</t>
        </is>
      </c>
      <c r="D1527" s="12" t="inlineStr">
        <is>
          <t>Angles &amp; Channels</t>
        </is>
      </c>
      <c r="E1527" s="12" t="inlineStr">
        <is>
          <t>Y</t>
        </is>
      </c>
      <c r="F1527" s="12" t="n">
        <v>1.43</v>
      </c>
      <c r="G1527" s="17" t="n">
        <v>77310.28999999999</v>
      </c>
      <c r="H1527" s="26" t="n">
        <v>44584</v>
      </c>
      <c r="I1527" s="26" t="n">
        <v>44584</v>
      </c>
      <c r="J1527" s="12" t="n">
        <v>1.42</v>
      </c>
      <c r="K1527" s="17" t="n">
        <v>110553.71</v>
      </c>
      <c r="L1527" s="12" t="n">
        <v>0</v>
      </c>
      <c r="M1527" s="12" t="n">
        <v>11</v>
      </c>
      <c r="N1527" s="27">
        <f>F1527-J1527</f>
        <v/>
      </c>
      <c r="O1527" s="16">
        <f>I1527-H1527</f>
        <v/>
      </c>
      <c r="P1527" s="14">
        <f>F1527*G1527</f>
        <v/>
      </c>
      <c r="Q1527" s="14">
        <f>J1527*G1527</f>
        <v/>
      </c>
      <c r="R1527" s="14">
        <f>K1527-Q1527</f>
        <v/>
      </c>
      <c r="S1527" s="3">
        <f>P1527*Assumptions!$B$3/100</f>
        <v/>
      </c>
      <c r="T1527" s="14">
        <f>R1527-S1527</f>
        <v/>
      </c>
      <c r="U1527" s="14">
        <f>L1527*G1527</f>
        <v/>
      </c>
    </row>
    <row r="1528">
      <c r="A1528" s="12" t="inlineStr">
        <is>
          <t>PO-2021-1526</t>
        </is>
      </c>
      <c r="B1528" s="26" t="n">
        <v>44370</v>
      </c>
      <c r="C1528" s="12" t="inlineStr">
        <is>
          <t>VS34</t>
        </is>
      </c>
      <c r="D1528" s="12" t="inlineStr">
        <is>
          <t>Hex Bars</t>
        </is>
      </c>
      <c r="E1528" s="12" t="inlineStr">
        <is>
          <t>N</t>
        </is>
      </c>
      <c r="F1528" s="12" t="n">
        <v>45.03</v>
      </c>
      <c r="G1528" s="17" t="n">
        <v>75803.92999999999</v>
      </c>
      <c r="H1528" s="26" t="n">
        <v>44380</v>
      </c>
      <c r="I1528" s="26" t="n">
        <v>44380</v>
      </c>
      <c r="J1528" s="12" t="n">
        <v>44.72</v>
      </c>
      <c r="K1528" s="17" t="n">
        <v>3413450.97</v>
      </c>
      <c r="L1528" s="12" t="n">
        <v>0</v>
      </c>
      <c r="M1528" s="12" t="n">
        <v>22</v>
      </c>
      <c r="N1528" s="27">
        <f>F1528-J1528</f>
        <v/>
      </c>
      <c r="O1528" s="16">
        <f>I1528-H1528</f>
        <v/>
      </c>
      <c r="P1528" s="14">
        <f>F1528*G1528</f>
        <v/>
      </c>
      <c r="Q1528" s="14">
        <f>J1528*G1528</f>
        <v/>
      </c>
      <c r="R1528" s="14">
        <f>K1528-Q1528</f>
        <v/>
      </c>
      <c r="S1528" s="3">
        <f>P1528*Assumptions!$B$3/100</f>
        <v/>
      </c>
      <c r="T1528" s="14">
        <f>R1528-S1528</f>
        <v/>
      </c>
      <c r="U1528" s="14">
        <f>L1528*G1528</f>
        <v/>
      </c>
    </row>
    <row r="1529">
      <c r="A1529" s="12" t="inlineStr">
        <is>
          <t>PO-2021-1527</t>
        </is>
      </c>
      <c r="B1529" s="26" t="n">
        <v>44211</v>
      </c>
      <c r="C1529" s="12" t="inlineStr">
        <is>
          <t>VS10</t>
        </is>
      </c>
      <c r="D1529" s="12" t="inlineStr">
        <is>
          <t>CR Sheets</t>
        </is>
      </c>
      <c r="E1529" s="12" t="inlineStr">
        <is>
          <t>N</t>
        </is>
      </c>
      <c r="F1529" s="12" t="n">
        <v>12.08</v>
      </c>
      <c r="G1529" s="17" t="n">
        <v>74651.91</v>
      </c>
      <c r="H1529" s="26" t="n">
        <v>44218</v>
      </c>
      <c r="I1529" s="26" t="n">
        <v>44219</v>
      </c>
      <c r="J1529" s="12" t="n">
        <v>12.05</v>
      </c>
      <c r="K1529" s="17" t="n">
        <v>901795.0699999999</v>
      </c>
      <c r="L1529" s="12" t="n">
        <v>0</v>
      </c>
      <c r="M1529" s="12" t="n">
        <v>19</v>
      </c>
      <c r="N1529" s="27">
        <f>F1529-J1529</f>
        <v/>
      </c>
      <c r="O1529" s="16">
        <f>I1529-H1529</f>
        <v/>
      </c>
      <c r="P1529" s="14">
        <f>F1529*G1529</f>
        <v/>
      </c>
      <c r="Q1529" s="14">
        <f>J1529*G1529</f>
        <v/>
      </c>
      <c r="R1529" s="14">
        <f>K1529-Q1529</f>
        <v/>
      </c>
      <c r="S1529" s="3">
        <f>P1529*Assumptions!$B$3/100</f>
        <v/>
      </c>
      <c r="T1529" s="14">
        <f>R1529-S1529</f>
        <v/>
      </c>
      <c r="U1529" s="14">
        <f>L1529*G1529</f>
        <v/>
      </c>
    </row>
    <row r="1530">
      <c r="A1530" s="12" t="inlineStr">
        <is>
          <t>PO-2021-1528</t>
        </is>
      </c>
      <c r="B1530" s="26" t="n">
        <v>44943</v>
      </c>
      <c r="C1530" s="12" t="inlineStr">
        <is>
          <t>VS28</t>
        </is>
      </c>
      <c r="D1530" s="12" t="inlineStr">
        <is>
          <t>MS Sheets</t>
        </is>
      </c>
      <c r="E1530" s="12" t="inlineStr">
        <is>
          <t>N</t>
        </is>
      </c>
      <c r="F1530" s="12" t="n">
        <v>27.28</v>
      </c>
      <c r="G1530" s="17" t="n">
        <v>65211.13</v>
      </c>
      <c r="H1530" s="26" t="n">
        <v>44953</v>
      </c>
      <c r="I1530" s="26" t="n">
        <v>44953</v>
      </c>
      <c r="J1530" s="12" t="n">
        <v>27.03</v>
      </c>
      <c r="K1530" s="17" t="n">
        <v>1778959.63</v>
      </c>
      <c r="L1530" s="12" t="n">
        <v>0</v>
      </c>
      <c r="M1530" s="12" t="n">
        <v>5</v>
      </c>
      <c r="N1530" s="27">
        <f>F1530-J1530</f>
        <v/>
      </c>
      <c r="O1530" s="16">
        <f>I1530-H1530</f>
        <v/>
      </c>
      <c r="P1530" s="14">
        <f>F1530*G1530</f>
        <v/>
      </c>
      <c r="Q1530" s="14">
        <f>J1530*G1530</f>
        <v/>
      </c>
      <c r="R1530" s="14">
        <f>K1530-Q1530</f>
        <v/>
      </c>
      <c r="S1530" s="3">
        <f>P1530*Assumptions!$B$3/100</f>
        <v/>
      </c>
      <c r="T1530" s="14">
        <f>R1530-S1530</f>
        <v/>
      </c>
      <c r="U1530" s="14">
        <f>L1530*G1530</f>
        <v/>
      </c>
    </row>
    <row r="1531">
      <c r="A1531" s="12" t="inlineStr">
        <is>
          <t>PO-2021-1529</t>
        </is>
      </c>
      <c r="B1531" s="26" t="n">
        <v>45096</v>
      </c>
      <c r="C1531" s="12" t="inlineStr">
        <is>
          <t>VS11</t>
        </is>
      </c>
      <c r="D1531" s="12" t="inlineStr">
        <is>
          <t>Square/Rect Tubes</t>
        </is>
      </c>
      <c r="E1531" s="12" t="inlineStr">
        <is>
          <t>N</t>
        </is>
      </c>
      <c r="F1531" s="12" t="n">
        <v>18.33</v>
      </c>
      <c r="G1531" s="17" t="n">
        <v>77547.00999999999</v>
      </c>
      <c r="H1531" s="26" t="n">
        <v>45104</v>
      </c>
      <c r="I1531" s="26" t="n">
        <v>45106</v>
      </c>
      <c r="J1531" s="12" t="n">
        <v>18.25</v>
      </c>
      <c r="K1531" s="17" t="n">
        <v>1421436.69</v>
      </c>
      <c r="L1531" s="12" t="n">
        <v>0</v>
      </c>
      <c r="M1531" s="12" t="n">
        <v>6</v>
      </c>
      <c r="N1531" s="27">
        <f>F1531-J1531</f>
        <v/>
      </c>
      <c r="O1531" s="16">
        <f>I1531-H1531</f>
        <v/>
      </c>
      <c r="P1531" s="14">
        <f>F1531*G1531</f>
        <v/>
      </c>
      <c r="Q1531" s="14">
        <f>J1531*G1531</f>
        <v/>
      </c>
      <c r="R1531" s="14">
        <f>K1531-Q1531</f>
        <v/>
      </c>
      <c r="S1531" s="3">
        <f>P1531*Assumptions!$B$3/100</f>
        <v/>
      </c>
      <c r="T1531" s="14">
        <f>R1531-S1531</f>
        <v/>
      </c>
      <c r="U1531" s="14">
        <f>L1531*G1531</f>
        <v/>
      </c>
    </row>
    <row r="1532">
      <c r="A1532" s="12" t="inlineStr">
        <is>
          <t>PO-2021-1530</t>
        </is>
      </c>
      <c r="B1532" s="26" t="n">
        <v>44603</v>
      </c>
      <c r="C1532" s="12" t="inlineStr">
        <is>
          <t>VS08</t>
        </is>
      </c>
      <c r="D1532" s="12" t="inlineStr">
        <is>
          <t>GI Sheets</t>
        </is>
      </c>
      <c r="E1532" s="12" t="inlineStr">
        <is>
          <t>Y</t>
        </is>
      </c>
      <c r="F1532" s="12" t="n">
        <v>14.96</v>
      </c>
      <c r="G1532" s="17" t="n">
        <v>55026.02</v>
      </c>
      <c r="H1532" s="26" t="n">
        <v>44612</v>
      </c>
      <c r="I1532" s="26" t="n">
        <v>44614</v>
      </c>
      <c r="J1532" s="12" t="n">
        <v>14.9</v>
      </c>
      <c r="K1532" s="17" t="n">
        <v>823189.26</v>
      </c>
      <c r="L1532" s="12" t="n">
        <v>0</v>
      </c>
      <c r="M1532" s="12" t="n">
        <v>0</v>
      </c>
      <c r="N1532" s="27">
        <f>F1532-J1532</f>
        <v/>
      </c>
      <c r="O1532" s="16">
        <f>I1532-H1532</f>
        <v/>
      </c>
      <c r="P1532" s="14">
        <f>F1532*G1532</f>
        <v/>
      </c>
      <c r="Q1532" s="14">
        <f>J1532*G1532</f>
        <v/>
      </c>
      <c r="R1532" s="14">
        <f>K1532-Q1532</f>
        <v/>
      </c>
      <c r="S1532" s="3">
        <f>P1532*Assumptions!$B$3/100</f>
        <v/>
      </c>
      <c r="T1532" s="14">
        <f>R1532-S1532</f>
        <v/>
      </c>
      <c r="U1532" s="14">
        <f>L1532*G1532</f>
        <v/>
      </c>
    </row>
    <row r="1533">
      <c r="A1533" s="12" t="inlineStr">
        <is>
          <t>PO-2021-1531</t>
        </is>
      </c>
      <c r="B1533" s="26" t="n">
        <v>44875</v>
      </c>
      <c r="C1533" s="12" t="inlineStr">
        <is>
          <t>VS03</t>
        </is>
      </c>
      <c r="D1533" s="12" t="inlineStr">
        <is>
          <t>MS Sheets</t>
        </is>
      </c>
      <c r="E1533" s="12" t="inlineStr">
        <is>
          <t>N</t>
        </is>
      </c>
      <c r="F1533" s="12" t="n">
        <v>33.64</v>
      </c>
      <c r="G1533" s="17" t="n">
        <v>120773.32</v>
      </c>
      <c r="H1533" s="26" t="n">
        <v>44888</v>
      </c>
      <c r="I1533" s="26" t="n">
        <v>44890</v>
      </c>
      <c r="J1533" s="12" t="n">
        <v>32.59</v>
      </c>
      <c r="K1533" s="17" t="n">
        <v>4062814.48</v>
      </c>
      <c r="L1533" s="12" t="n">
        <v>0.8100000000000001</v>
      </c>
      <c r="M1533" s="12" t="n">
        <v>24</v>
      </c>
      <c r="N1533" s="27">
        <f>F1533-J1533</f>
        <v/>
      </c>
      <c r="O1533" s="16">
        <f>I1533-H1533</f>
        <v/>
      </c>
      <c r="P1533" s="14">
        <f>F1533*G1533</f>
        <v/>
      </c>
      <c r="Q1533" s="14">
        <f>J1533*G1533</f>
        <v/>
      </c>
      <c r="R1533" s="14">
        <f>K1533-Q1533</f>
        <v/>
      </c>
      <c r="S1533" s="3">
        <f>P1533*Assumptions!$B$3/100</f>
        <v/>
      </c>
      <c r="T1533" s="14">
        <f>R1533-S1533</f>
        <v/>
      </c>
      <c r="U1533" s="14">
        <f>L1533*G1533</f>
        <v/>
      </c>
    </row>
    <row r="1534">
      <c r="A1534" s="12" t="inlineStr">
        <is>
          <t>PO-2021-1532</t>
        </is>
      </c>
      <c r="B1534" s="26" t="n">
        <v>44741</v>
      </c>
      <c r="C1534" s="12" t="inlineStr">
        <is>
          <t>VS08</t>
        </is>
      </c>
      <c r="D1534" s="12" t="inlineStr">
        <is>
          <t>GI Wire</t>
        </is>
      </c>
      <c r="E1534" s="12" t="inlineStr">
        <is>
          <t>N</t>
        </is>
      </c>
      <c r="F1534" s="12" t="n">
        <v>24.96</v>
      </c>
      <c r="G1534" s="17" t="n">
        <v>82167.57000000001</v>
      </c>
      <c r="H1534" s="26" t="n">
        <v>44754</v>
      </c>
      <c r="I1534" s="26" t="n">
        <v>44754</v>
      </c>
      <c r="J1534" s="12" t="n">
        <v>24.76</v>
      </c>
      <c r="K1534" s="17" t="n">
        <v>2050902.55</v>
      </c>
      <c r="L1534" s="12" t="n">
        <v>0</v>
      </c>
      <c r="M1534" s="12" t="n">
        <v>3</v>
      </c>
      <c r="N1534" s="27">
        <f>F1534-J1534</f>
        <v/>
      </c>
      <c r="O1534" s="16">
        <f>I1534-H1534</f>
        <v/>
      </c>
      <c r="P1534" s="14">
        <f>F1534*G1534</f>
        <v/>
      </c>
      <c r="Q1534" s="14">
        <f>J1534*G1534</f>
        <v/>
      </c>
      <c r="R1534" s="14">
        <f>K1534-Q1534</f>
        <v/>
      </c>
      <c r="S1534" s="3">
        <f>P1534*Assumptions!$B$3/100</f>
        <v/>
      </c>
      <c r="T1534" s="14">
        <f>R1534-S1534</f>
        <v/>
      </c>
      <c r="U1534" s="14">
        <f>L1534*G1534</f>
        <v/>
      </c>
    </row>
    <row r="1535">
      <c r="A1535" s="12" t="inlineStr">
        <is>
          <t>PO-2021-1533</t>
        </is>
      </c>
      <c r="B1535" s="26" t="n">
        <v>44457</v>
      </c>
      <c r="C1535" s="12" t="inlineStr">
        <is>
          <t>VS21</t>
        </is>
      </c>
      <c r="D1535" s="12" t="inlineStr">
        <is>
          <t>MS Rods</t>
        </is>
      </c>
      <c r="E1535" s="12" t="inlineStr">
        <is>
          <t>N</t>
        </is>
      </c>
      <c r="F1535" s="12" t="n">
        <v>25.59</v>
      </c>
      <c r="G1535" s="17" t="n">
        <v>114267.09</v>
      </c>
      <c r="H1535" s="26" t="n">
        <v>44466</v>
      </c>
      <c r="I1535" s="26" t="n">
        <v>44467</v>
      </c>
      <c r="J1535" s="12" t="n">
        <v>25.57</v>
      </c>
      <c r="K1535" s="17" t="n">
        <v>2924094.83</v>
      </c>
      <c r="L1535" s="12" t="n">
        <v>0</v>
      </c>
      <c r="M1535" s="12" t="n">
        <v>0</v>
      </c>
      <c r="N1535" s="27">
        <f>F1535-J1535</f>
        <v/>
      </c>
      <c r="O1535" s="16">
        <f>I1535-H1535</f>
        <v/>
      </c>
      <c r="P1535" s="14">
        <f>F1535*G1535</f>
        <v/>
      </c>
      <c r="Q1535" s="14">
        <f>J1535*G1535</f>
        <v/>
      </c>
      <c r="R1535" s="14">
        <f>K1535-Q1535</f>
        <v/>
      </c>
      <c r="S1535" s="3">
        <f>P1535*Assumptions!$B$3/100</f>
        <v/>
      </c>
      <c r="T1535" s="14">
        <f>R1535-S1535</f>
        <v/>
      </c>
      <c r="U1535" s="14">
        <f>L1535*G1535</f>
        <v/>
      </c>
    </row>
    <row r="1536">
      <c r="A1536" s="12" t="inlineStr">
        <is>
          <t>PO-2021-1534</t>
        </is>
      </c>
      <c r="B1536" s="26" t="n">
        <v>44466</v>
      </c>
      <c r="C1536" s="12" t="inlineStr">
        <is>
          <t>VS08</t>
        </is>
      </c>
      <c r="D1536" s="12" t="inlineStr">
        <is>
          <t>ERW Pipes</t>
        </is>
      </c>
      <c r="E1536" s="12" t="inlineStr">
        <is>
          <t>N</t>
        </is>
      </c>
      <c r="F1536" s="12" t="n">
        <v>39.84</v>
      </c>
      <c r="G1536" s="17" t="n">
        <v>54459.27</v>
      </c>
      <c r="H1536" s="26" t="n">
        <v>44474</v>
      </c>
      <c r="I1536" s="26" t="n">
        <v>44476</v>
      </c>
      <c r="J1536" s="12" t="n">
        <v>39.67</v>
      </c>
      <c r="K1536" s="17" t="n">
        <v>2169657.32</v>
      </c>
      <c r="L1536" s="12" t="n">
        <v>0</v>
      </c>
      <c r="M1536" s="12" t="n">
        <v>8</v>
      </c>
      <c r="N1536" s="27">
        <f>F1536-J1536</f>
        <v/>
      </c>
      <c r="O1536" s="16">
        <f>I1536-H1536</f>
        <v/>
      </c>
      <c r="P1536" s="14">
        <f>F1536*G1536</f>
        <v/>
      </c>
      <c r="Q1536" s="14">
        <f>J1536*G1536</f>
        <v/>
      </c>
      <c r="R1536" s="14">
        <f>K1536-Q1536</f>
        <v/>
      </c>
      <c r="S1536" s="3">
        <f>P1536*Assumptions!$B$3/100</f>
        <v/>
      </c>
      <c r="T1536" s="14">
        <f>R1536-S1536</f>
        <v/>
      </c>
      <c r="U1536" s="14">
        <f>L1536*G1536</f>
        <v/>
      </c>
    </row>
    <row r="1537">
      <c r="A1537" s="12" t="inlineStr">
        <is>
          <t>PO-2021-1535</t>
        </is>
      </c>
      <c r="B1537" s="26" t="n">
        <v>45221</v>
      </c>
      <c r="C1537" s="12" t="inlineStr">
        <is>
          <t>VS01</t>
        </is>
      </c>
      <c r="D1537" s="12" t="inlineStr">
        <is>
          <t>HR Coils</t>
        </is>
      </c>
      <c r="E1537" s="12" t="inlineStr">
        <is>
          <t>N</t>
        </is>
      </c>
      <c r="F1537" s="12" t="n">
        <v>3.55</v>
      </c>
      <c r="G1537" s="17" t="n">
        <v>107237.68</v>
      </c>
      <c r="H1537" s="26" t="n">
        <v>45230</v>
      </c>
      <c r="I1537" s="26" t="n">
        <v>45233</v>
      </c>
      <c r="J1537" s="12" t="n">
        <v>3.53</v>
      </c>
      <c r="K1537" s="17" t="n">
        <v>380693.76</v>
      </c>
      <c r="L1537" s="12" t="n">
        <v>0</v>
      </c>
      <c r="M1537" s="12" t="n">
        <v>7</v>
      </c>
      <c r="N1537" s="27">
        <f>F1537-J1537</f>
        <v/>
      </c>
      <c r="O1537" s="16">
        <f>I1537-H1537</f>
        <v/>
      </c>
      <c r="P1537" s="14">
        <f>F1537*G1537</f>
        <v/>
      </c>
      <c r="Q1537" s="14">
        <f>J1537*G1537</f>
        <v/>
      </c>
      <c r="R1537" s="14">
        <f>K1537-Q1537</f>
        <v/>
      </c>
      <c r="S1537" s="3">
        <f>P1537*Assumptions!$B$3/100</f>
        <v/>
      </c>
      <c r="T1537" s="14">
        <f>R1537-S1537</f>
        <v/>
      </c>
      <c r="U1537" s="14">
        <f>L1537*G1537</f>
        <v/>
      </c>
    </row>
    <row r="1538">
      <c r="A1538" s="12" t="inlineStr">
        <is>
          <t>PO-2021-1536</t>
        </is>
      </c>
      <c r="B1538" s="26" t="n">
        <v>44213</v>
      </c>
      <c r="C1538" s="12" t="inlineStr">
        <is>
          <t>VS28</t>
        </is>
      </c>
      <c r="D1538" s="12" t="inlineStr">
        <is>
          <t>Structural Steel</t>
        </is>
      </c>
      <c r="E1538" s="12" t="inlineStr">
        <is>
          <t>N</t>
        </is>
      </c>
      <c r="F1538" s="12" t="n">
        <v>15.18</v>
      </c>
      <c r="G1538" s="17" t="n">
        <v>81444.69</v>
      </c>
      <c r="H1538" s="26" t="n">
        <v>44228</v>
      </c>
      <c r="I1538" s="26" t="n">
        <v>44231</v>
      </c>
      <c r="J1538" s="12" t="n">
        <v>15.1</v>
      </c>
      <c r="K1538" s="17" t="n">
        <v>1236330.39</v>
      </c>
      <c r="L1538" s="12" t="n">
        <v>0</v>
      </c>
      <c r="M1538" s="12" t="n">
        <v>0</v>
      </c>
      <c r="N1538" s="27">
        <f>F1538-J1538</f>
        <v/>
      </c>
      <c r="O1538" s="16">
        <f>I1538-H1538</f>
        <v/>
      </c>
      <c r="P1538" s="14">
        <f>F1538*G1538</f>
        <v/>
      </c>
      <c r="Q1538" s="14">
        <f>J1538*G1538</f>
        <v/>
      </c>
      <c r="R1538" s="14">
        <f>K1538-Q1538</f>
        <v/>
      </c>
      <c r="S1538" s="3">
        <f>P1538*Assumptions!$B$3/100</f>
        <v/>
      </c>
      <c r="T1538" s="14">
        <f>R1538-S1538</f>
        <v/>
      </c>
      <c r="U1538" s="14">
        <f>L1538*G1538</f>
        <v/>
      </c>
    </row>
    <row r="1539">
      <c r="A1539" s="12" t="inlineStr">
        <is>
          <t>PO-2021-1537</t>
        </is>
      </c>
      <c r="B1539" s="26" t="n">
        <v>45075</v>
      </c>
      <c r="C1539" s="12" t="inlineStr">
        <is>
          <t>VS16</t>
        </is>
      </c>
      <c r="D1539" s="12" t="inlineStr">
        <is>
          <t>Square/Rect Tubes</t>
        </is>
      </c>
      <c r="E1539" s="12" t="inlineStr">
        <is>
          <t>N</t>
        </is>
      </c>
      <c r="F1539" s="12" t="n">
        <v>36.73</v>
      </c>
      <c r="G1539" s="17" t="n">
        <v>59014.52</v>
      </c>
      <c r="H1539" s="26" t="n">
        <v>45082</v>
      </c>
      <c r="I1539" s="26" t="n">
        <v>45083</v>
      </c>
      <c r="J1539" s="12" t="n">
        <v>36.5</v>
      </c>
      <c r="K1539" s="17" t="n">
        <v>2167603.32</v>
      </c>
      <c r="L1539" s="12" t="n">
        <v>0</v>
      </c>
      <c r="M1539" s="12" t="n">
        <v>10</v>
      </c>
      <c r="N1539" s="27">
        <f>F1539-J1539</f>
        <v/>
      </c>
      <c r="O1539" s="16">
        <f>I1539-H1539</f>
        <v/>
      </c>
      <c r="P1539" s="14">
        <f>F1539*G1539</f>
        <v/>
      </c>
      <c r="Q1539" s="14">
        <f>J1539*G1539</f>
        <v/>
      </c>
      <c r="R1539" s="14">
        <f>K1539-Q1539</f>
        <v/>
      </c>
      <c r="S1539" s="3">
        <f>P1539*Assumptions!$B$3/100</f>
        <v/>
      </c>
      <c r="T1539" s="14">
        <f>R1539-S1539</f>
        <v/>
      </c>
      <c r="U1539" s="14">
        <f>L1539*G1539</f>
        <v/>
      </c>
    </row>
    <row r="1540">
      <c r="A1540" s="12" t="inlineStr">
        <is>
          <t>PO-2021-1538</t>
        </is>
      </c>
      <c r="B1540" s="26" t="n">
        <v>44432</v>
      </c>
      <c r="C1540" s="12" t="inlineStr">
        <is>
          <t>VS17</t>
        </is>
      </c>
      <c r="D1540" s="12" t="inlineStr">
        <is>
          <t>HR Coils</t>
        </is>
      </c>
      <c r="E1540" s="12" t="inlineStr">
        <is>
          <t>N</t>
        </is>
      </c>
      <c r="F1540" s="12" t="n">
        <v>33.65</v>
      </c>
      <c r="G1540" s="17" t="n">
        <v>77186.92</v>
      </c>
      <c r="H1540" s="26" t="n">
        <v>44442</v>
      </c>
      <c r="I1540" s="26" t="n">
        <v>44445</v>
      </c>
      <c r="J1540" s="12" t="n">
        <v>33.34</v>
      </c>
      <c r="K1540" s="17" t="n">
        <v>2597339.86</v>
      </c>
      <c r="L1540" s="12" t="n">
        <v>0</v>
      </c>
      <c r="M1540" s="12" t="n">
        <v>0</v>
      </c>
      <c r="N1540" s="27">
        <f>F1540-J1540</f>
        <v/>
      </c>
      <c r="O1540" s="16">
        <f>I1540-H1540</f>
        <v/>
      </c>
      <c r="P1540" s="14">
        <f>F1540*G1540</f>
        <v/>
      </c>
      <c r="Q1540" s="14">
        <f>J1540*G1540</f>
        <v/>
      </c>
      <c r="R1540" s="14">
        <f>K1540-Q1540</f>
        <v/>
      </c>
      <c r="S1540" s="3">
        <f>P1540*Assumptions!$B$3/100</f>
        <v/>
      </c>
      <c r="T1540" s="14">
        <f>R1540-S1540</f>
        <v/>
      </c>
      <c r="U1540" s="14">
        <f>L1540*G1540</f>
        <v/>
      </c>
    </row>
    <row r="1541">
      <c r="A1541" s="12" t="inlineStr">
        <is>
          <t>PO-2021-1539</t>
        </is>
      </c>
      <c r="B1541" s="26" t="n">
        <v>44408</v>
      </c>
      <c r="C1541" s="12" t="inlineStr">
        <is>
          <t>VS33</t>
        </is>
      </c>
      <c r="D1541" s="12" t="inlineStr">
        <is>
          <t>MS Sheets</t>
        </is>
      </c>
      <c r="E1541" s="12" t="inlineStr">
        <is>
          <t>N</t>
        </is>
      </c>
      <c r="F1541" s="12" t="n">
        <v>10.24</v>
      </c>
      <c r="G1541" s="17" t="n">
        <v>109115.39</v>
      </c>
      <c r="H1541" s="26" t="n">
        <v>44421</v>
      </c>
      <c r="I1541" s="26" t="n">
        <v>44421</v>
      </c>
      <c r="J1541" s="12" t="n">
        <v>10.19</v>
      </c>
      <c r="K1541" s="17" t="n">
        <v>1117341.59</v>
      </c>
      <c r="L1541" s="12" t="n">
        <v>0</v>
      </c>
      <c r="M1541" s="12" t="n">
        <v>0</v>
      </c>
      <c r="N1541" s="27">
        <f>F1541-J1541</f>
        <v/>
      </c>
      <c r="O1541" s="16">
        <f>I1541-H1541</f>
        <v/>
      </c>
      <c r="P1541" s="14">
        <f>F1541*G1541</f>
        <v/>
      </c>
      <c r="Q1541" s="14">
        <f>J1541*G1541</f>
        <v/>
      </c>
      <c r="R1541" s="14">
        <f>K1541-Q1541</f>
        <v/>
      </c>
      <c r="S1541" s="3">
        <f>P1541*Assumptions!$B$3/100</f>
        <v/>
      </c>
      <c r="T1541" s="14">
        <f>R1541-S1541</f>
        <v/>
      </c>
      <c r="U1541" s="14">
        <f>L1541*G1541</f>
        <v/>
      </c>
    </row>
    <row r="1542">
      <c r="A1542" s="12" t="inlineStr">
        <is>
          <t>PO-2021-1540</t>
        </is>
      </c>
      <c r="B1542" s="26" t="n">
        <v>44501</v>
      </c>
      <c r="C1542" s="12" t="inlineStr">
        <is>
          <t>VS15</t>
        </is>
      </c>
      <c r="D1542" s="12" t="inlineStr">
        <is>
          <t>ERW Pipes</t>
        </is>
      </c>
      <c r="E1542" s="12" t="inlineStr">
        <is>
          <t>N</t>
        </is>
      </c>
      <c r="F1542" s="12" t="n">
        <v>7.48</v>
      </c>
      <c r="G1542" s="17" t="n">
        <v>47877.48</v>
      </c>
      <c r="H1542" s="26" t="n">
        <v>44507</v>
      </c>
      <c r="I1542" s="26" t="n">
        <v>44507</v>
      </c>
      <c r="J1542" s="12" t="n">
        <v>7.45</v>
      </c>
      <c r="K1542" s="17" t="n">
        <v>358123.55</v>
      </c>
      <c r="L1542" s="12" t="n">
        <v>0</v>
      </c>
      <c r="M1542" s="12" t="n">
        <v>0</v>
      </c>
      <c r="N1542" s="27">
        <f>F1542-J1542</f>
        <v/>
      </c>
      <c r="O1542" s="16">
        <f>I1542-H1542</f>
        <v/>
      </c>
      <c r="P1542" s="14">
        <f>F1542*G1542</f>
        <v/>
      </c>
      <c r="Q1542" s="14">
        <f>J1542*G1542</f>
        <v/>
      </c>
      <c r="R1542" s="14">
        <f>K1542-Q1542</f>
        <v/>
      </c>
      <c r="S1542" s="3">
        <f>P1542*Assumptions!$B$3/100</f>
        <v/>
      </c>
      <c r="T1542" s="14">
        <f>R1542-S1542</f>
        <v/>
      </c>
      <c r="U1542" s="14">
        <f>L1542*G1542</f>
        <v/>
      </c>
    </row>
    <row r="1543">
      <c r="A1543" s="12" t="inlineStr">
        <is>
          <t>PO-2021-1541</t>
        </is>
      </c>
      <c r="B1543" s="26" t="n">
        <v>44496</v>
      </c>
      <c r="C1543" s="12" t="inlineStr">
        <is>
          <t>VS28</t>
        </is>
      </c>
      <c r="D1543" s="12" t="inlineStr">
        <is>
          <t>MS Pipes</t>
        </is>
      </c>
      <c r="E1543" s="12" t="inlineStr">
        <is>
          <t>Y</t>
        </is>
      </c>
      <c r="F1543" s="12" t="n">
        <v>31.21</v>
      </c>
      <c r="G1543" s="17" t="n">
        <v>51820.16</v>
      </c>
      <c r="H1543" s="26" t="n">
        <v>44499</v>
      </c>
      <c r="I1543" s="26" t="n">
        <v>44499</v>
      </c>
      <c r="J1543" s="12" t="n">
        <v>31.2</v>
      </c>
      <c r="K1543" s="17" t="n">
        <v>1617307.19</v>
      </c>
      <c r="L1543" s="12" t="n">
        <v>0</v>
      </c>
      <c r="M1543" s="12" t="n">
        <v>25</v>
      </c>
      <c r="N1543" s="27">
        <f>F1543-J1543</f>
        <v/>
      </c>
      <c r="O1543" s="16">
        <f>I1543-H1543</f>
        <v/>
      </c>
      <c r="P1543" s="14">
        <f>F1543*G1543</f>
        <v/>
      </c>
      <c r="Q1543" s="14">
        <f>J1543*G1543</f>
        <v/>
      </c>
      <c r="R1543" s="14">
        <f>K1543-Q1543</f>
        <v/>
      </c>
      <c r="S1543" s="3">
        <f>P1543*Assumptions!$B$3/100</f>
        <v/>
      </c>
      <c r="T1543" s="14">
        <f>R1543-S1543</f>
        <v/>
      </c>
      <c r="U1543" s="14">
        <f>L1543*G1543</f>
        <v/>
      </c>
    </row>
    <row r="1544">
      <c r="A1544" s="12" t="inlineStr">
        <is>
          <t>PO-2021-1542</t>
        </is>
      </c>
      <c r="B1544" s="26" t="n">
        <v>44975</v>
      </c>
      <c r="C1544" s="12" t="inlineStr">
        <is>
          <t>VS27</t>
        </is>
      </c>
      <c r="D1544" s="12" t="inlineStr">
        <is>
          <t>Hex Bars</t>
        </is>
      </c>
      <c r="E1544" s="12" t="inlineStr">
        <is>
          <t>N</t>
        </is>
      </c>
      <c r="F1544" s="12" t="n">
        <v>16.02</v>
      </c>
      <c r="G1544" s="17" t="n">
        <v>92498.25</v>
      </c>
      <c r="H1544" s="26" t="n">
        <v>44981</v>
      </c>
      <c r="I1544" s="26" t="n">
        <v>44983</v>
      </c>
      <c r="J1544" s="12" t="n">
        <v>15.89</v>
      </c>
      <c r="K1544" s="17" t="n">
        <v>1481821.96</v>
      </c>
      <c r="L1544" s="12" t="n">
        <v>0</v>
      </c>
      <c r="M1544" s="12" t="n">
        <v>25</v>
      </c>
      <c r="N1544" s="27">
        <f>F1544-J1544</f>
        <v/>
      </c>
      <c r="O1544" s="16">
        <f>I1544-H1544</f>
        <v/>
      </c>
      <c r="P1544" s="14">
        <f>F1544*G1544</f>
        <v/>
      </c>
      <c r="Q1544" s="14">
        <f>J1544*G1544</f>
        <v/>
      </c>
      <c r="R1544" s="14">
        <f>K1544-Q1544</f>
        <v/>
      </c>
      <c r="S1544" s="3">
        <f>P1544*Assumptions!$B$3/100</f>
        <v/>
      </c>
      <c r="T1544" s="14">
        <f>R1544-S1544</f>
        <v/>
      </c>
      <c r="U1544" s="14">
        <f>L1544*G1544</f>
        <v/>
      </c>
    </row>
    <row r="1545">
      <c r="A1545" s="12" t="inlineStr">
        <is>
          <t>PO-2021-1543</t>
        </is>
      </c>
      <c r="B1545" s="26" t="n">
        <v>44651</v>
      </c>
      <c r="C1545" s="12" t="inlineStr">
        <is>
          <t>VS22</t>
        </is>
      </c>
      <c r="D1545" s="12" t="inlineStr">
        <is>
          <t>GI Wire</t>
        </is>
      </c>
      <c r="E1545" s="12" t="inlineStr">
        <is>
          <t>N</t>
        </is>
      </c>
      <c r="F1545" s="12" t="n">
        <v>24.48</v>
      </c>
      <c r="G1545" s="17" t="n">
        <v>83239.78</v>
      </c>
      <c r="H1545" s="26" t="n">
        <v>44664</v>
      </c>
      <c r="I1545" s="26" t="n">
        <v>44665</v>
      </c>
      <c r="J1545" s="12" t="n">
        <v>24.28</v>
      </c>
      <c r="K1545" s="17" t="n">
        <v>2037709.81</v>
      </c>
      <c r="L1545" s="12" t="n">
        <v>0</v>
      </c>
      <c r="M1545" s="12" t="n">
        <v>0</v>
      </c>
      <c r="N1545" s="27">
        <f>F1545-J1545</f>
        <v/>
      </c>
      <c r="O1545" s="16">
        <f>I1545-H1545</f>
        <v/>
      </c>
      <c r="P1545" s="14">
        <f>F1545*G1545</f>
        <v/>
      </c>
      <c r="Q1545" s="14">
        <f>J1545*G1545</f>
        <v/>
      </c>
      <c r="R1545" s="14">
        <f>K1545-Q1545</f>
        <v/>
      </c>
      <c r="S1545" s="3">
        <f>P1545*Assumptions!$B$3/100</f>
        <v/>
      </c>
      <c r="T1545" s="14">
        <f>R1545-S1545</f>
        <v/>
      </c>
      <c r="U1545" s="14">
        <f>L1545*G1545</f>
        <v/>
      </c>
    </row>
    <row r="1546">
      <c r="A1546" s="12" t="inlineStr">
        <is>
          <t>PO-2021-1544</t>
        </is>
      </c>
      <c r="B1546" s="26" t="n">
        <v>44302</v>
      </c>
      <c r="C1546" s="12" t="inlineStr">
        <is>
          <t>VS20</t>
        </is>
      </c>
      <c r="D1546" s="12" t="inlineStr">
        <is>
          <t>ERW Pipes</t>
        </is>
      </c>
      <c r="E1546" s="12" t="inlineStr">
        <is>
          <t>N</t>
        </is>
      </c>
      <c r="F1546" s="12" t="n">
        <v>14.19</v>
      </c>
      <c r="G1546" s="17" t="n">
        <v>66041.7</v>
      </c>
      <c r="H1546" s="26" t="n">
        <v>44310</v>
      </c>
      <c r="I1546" s="26" t="n">
        <v>44310</v>
      </c>
      <c r="J1546" s="12" t="n">
        <v>14.14</v>
      </c>
      <c r="K1546" s="17" t="n">
        <v>937131.72</v>
      </c>
      <c r="L1546" s="12" t="n">
        <v>0</v>
      </c>
      <c r="M1546" s="12" t="n">
        <v>13</v>
      </c>
      <c r="N1546" s="27">
        <f>F1546-J1546</f>
        <v/>
      </c>
      <c r="O1546" s="16">
        <f>I1546-H1546</f>
        <v/>
      </c>
      <c r="P1546" s="14">
        <f>F1546*G1546</f>
        <v/>
      </c>
      <c r="Q1546" s="14">
        <f>J1546*G1546</f>
        <v/>
      </c>
      <c r="R1546" s="14">
        <f>K1546-Q1546</f>
        <v/>
      </c>
      <c r="S1546" s="3">
        <f>P1546*Assumptions!$B$3/100</f>
        <v/>
      </c>
      <c r="T1546" s="14">
        <f>R1546-S1546</f>
        <v/>
      </c>
      <c r="U1546" s="14">
        <f>L1546*G1546</f>
        <v/>
      </c>
    </row>
    <row r="1547">
      <c r="A1547" s="12" t="inlineStr">
        <is>
          <t>PO-2021-1545</t>
        </is>
      </c>
      <c r="B1547" s="26" t="n">
        <v>45053</v>
      </c>
      <c r="C1547" s="12" t="inlineStr">
        <is>
          <t>VS16</t>
        </is>
      </c>
      <c r="D1547" s="12" t="inlineStr">
        <is>
          <t>MS Flats</t>
        </is>
      </c>
      <c r="E1547" s="12" t="inlineStr">
        <is>
          <t>N</t>
        </is>
      </c>
      <c r="F1547" s="12" t="n">
        <v>44.86</v>
      </c>
      <c r="G1547" s="17" t="n">
        <v>58631.37</v>
      </c>
      <c r="H1547" s="26" t="n">
        <v>45056</v>
      </c>
      <c r="I1547" s="26" t="n">
        <v>45059</v>
      </c>
      <c r="J1547" s="12" t="n">
        <v>44.46</v>
      </c>
      <c r="K1547" s="17" t="n">
        <v>2630203.26</v>
      </c>
      <c r="L1547" s="12" t="n">
        <v>0</v>
      </c>
      <c r="M1547" s="12" t="n">
        <v>0</v>
      </c>
      <c r="N1547" s="27">
        <f>F1547-J1547</f>
        <v/>
      </c>
      <c r="O1547" s="16">
        <f>I1547-H1547</f>
        <v/>
      </c>
      <c r="P1547" s="14">
        <f>F1547*G1547</f>
        <v/>
      </c>
      <c r="Q1547" s="14">
        <f>J1547*G1547</f>
        <v/>
      </c>
      <c r="R1547" s="14">
        <f>K1547-Q1547</f>
        <v/>
      </c>
      <c r="S1547" s="3">
        <f>P1547*Assumptions!$B$3/100</f>
        <v/>
      </c>
      <c r="T1547" s="14">
        <f>R1547-S1547</f>
        <v/>
      </c>
      <c r="U1547" s="14">
        <f>L1547*G1547</f>
        <v/>
      </c>
    </row>
    <row r="1548">
      <c r="A1548" s="12" t="inlineStr">
        <is>
          <t>PO-2021-1546</t>
        </is>
      </c>
      <c r="B1548" s="26" t="n">
        <v>44303</v>
      </c>
      <c r="C1548" s="12" t="inlineStr">
        <is>
          <t>VS21</t>
        </is>
      </c>
      <c r="D1548" s="12" t="inlineStr">
        <is>
          <t>GI Sheets</t>
        </is>
      </c>
      <c r="E1548" s="12" t="inlineStr">
        <is>
          <t>Y</t>
        </is>
      </c>
      <c r="F1548" s="12" t="n">
        <v>14.98</v>
      </c>
      <c r="G1548" s="17" t="n">
        <v>66011.95</v>
      </c>
      <c r="H1548" s="26" t="n">
        <v>44315</v>
      </c>
      <c r="I1548" s="26" t="n">
        <v>44315</v>
      </c>
      <c r="J1548" s="12" t="n">
        <v>14.84</v>
      </c>
      <c r="K1548" s="17" t="n">
        <v>988859.01</v>
      </c>
      <c r="L1548" s="12" t="n">
        <v>0</v>
      </c>
      <c r="M1548" s="12" t="n">
        <v>6</v>
      </c>
      <c r="N1548" s="27">
        <f>F1548-J1548</f>
        <v/>
      </c>
      <c r="O1548" s="16">
        <f>I1548-H1548</f>
        <v/>
      </c>
      <c r="P1548" s="14">
        <f>F1548*G1548</f>
        <v/>
      </c>
      <c r="Q1548" s="14">
        <f>J1548*G1548</f>
        <v/>
      </c>
      <c r="R1548" s="14">
        <f>K1548-Q1548</f>
        <v/>
      </c>
      <c r="S1548" s="3">
        <f>P1548*Assumptions!$B$3/100</f>
        <v/>
      </c>
      <c r="T1548" s="14">
        <f>R1548-S1548</f>
        <v/>
      </c>
      <c r="U1548" s="14">
        <f>L1548*G1548</f>
        <v/>
      </c>
    </row>
    <row r="1549">
      <c r="A1549" s="12" t="inlineStr">
        <is>
          <t>PO-2021-1547</t>
        </is>
      </c>
      <c r="B1549" s="26" t="n">
        <v>44403</v>
      </c>
      <c r="C1549" s="12" t="inlineStr">
        <is>
          <t>VS28</t>
        </is>
      </c>
      <c r="D1549" s="12" t="inlineStr">
        <is>
          <t>MS Sheets</t>
        </is>
      </c>
      <c r="E1549" s="12" t="inlineStr">
        <is>
          <t>N</t>
        </is>
      </c>
      <c r="F1549" s="12" t="n">
        <v>13.36</v>
      </c>
      <c r="G1549" s="17" t="n">
        <v>81846.48</v>
      </c>
      <c r="H1549" s="26" t="n">
        <v>44411</v>
      </c>
      <c r="I1549" s="26" t="n">
        <v>44412</v>
      </c>
      <c r="J1549" s="12" t="n">
        <v>13.31</v>
      </c>
      <c r="K1549" s="17" t="n">
        <v>1093468.97</v>
      </c>
      <c r="L1549" s="12" t="n">
        <v>0</v>
      </c>
      <c r="M1549" s="12" t="n">
        <v>23</v>
      </c>
      <c r="N1549" s="27">
        <f>F1549-J1549</f>
        <v/>
      </c>
      <c r="O1549" s="16">
        <f>I1549-H1549</f>
        <v/>
      </c>
      <c r="P1549" s="14">
        <f>F1549*G1549</f>
        <v/>
      </c>
      <c r="Q1549" s="14">
        <f>J1549*G1549</f>
        <v/>
      </c>
      <c r="R1549" s="14">
        <f>K1549-Q1549</f>
        <v/>
      </c>
      <c r="S1549" s="3">
        <f>P1549*Assumptions!$B$3/100</f>
        <v/>
      </c>
      <c r="T1549" s="14">
        <f>R1549-S1549</f>
        <v/>
      </c>
      <c r="U1549" s="14">
        <f>L1549*G1549</f>
        <v/>
      </c>
    </row>
    <row r="1550">
      <c r="A1550" s="12" t="inlineStr">
        <is>
          <t>PO-2021-1548</t>
        </is>
      </c>
      <c r="B1550" s="26" t="n">
        <v>44820</v>
      </c>
      <c r="C1550" s="12" t="inlineStr">
        <is>
          <t>VS08</t>
        </is>
      </c>
      <c r="D1550" s="12" t="inlineStr">
        <is>
          <t>ERW Pipes</t>
        </is>
      </c>
      <c r="E1550" s="12" t="inlineStr">
        <is>
          <t>N</t>
        </is>
      </c>
      <c r="F1550" s="12" t="n">
        <v>33.78</v>
      </c>
      <c r="G1550" s="17" t="n">
        <v>96222.11</v>
      </c>
      <c r="H1550" s="26" t="n">
        <v>44835</v>
      </c>
      <c r="I1550" s="26" t="n">
        <v>44837</v>
      </c>
      <c r="J1550" s="12" t="n">
        <v>33.62</v>
      </c>
      <c r="K1550" s="17" t="n">
        <v>3250382.88</v>
      </c>
      <c r="L1550" s="12" t="n">
        <v>0</v>
      </c>
      <c r="M1550" s="12" t="n">
        <v>11</v>
      </c>
      <c r="N1550" s="27">
        <f>F1550-J1550</f>
        <v/>
      </c>
      <c r="O1550" s="16">
        <f>I1550-H1550</f>
        <v/>
      </c>
      <c r="P1550" s="14">
        <f>F1550*G1550</f>
        <v/>
      </c>
      <c r="Q1550" s="14">
        <f>J1550*G1550</f>
        <v/>
      </c>
      <c r="R1550" s="14">
        <f>K1550-Q1550</f>
        <v/>
      </c>
      <c r="S1550" s="3">
        <f>P1550*Assumptions!$B$3/100</f>
        <v/>
      </c>
      <c r="T1550" s="14">
        <f>R1550-S1550</f>
        <v/>
      </c>
      <c r="U1550" s="14">
        <f>L1550*G1550</f>
        <v/>
      </c>
    </row>
    <row r="1551">
      <c r="A1551" s="12" t="inlineStr">
        <is>
          <t>PO-2021-1549</t>
        </is>
      </c>
      <c r="B1551" s="26" t="n">
        <v>44463</v>
      </c>
      <c r="C1551" s="12" t="inlineStr">
        <is>
          <t>VS22</t>
        </is>
      </c>
      <c r="D1551" s="12" t="inlineStr">
        <is>
          <t>Angles &amp; Channels</t>
        </is>
      </c>
      <c r="E1551" s="12" t="inlineStr">
        <is>
          <t>N</t>
        </is>
      </c>
      <c r="F1551" s="12" t="n">
        <v>37.32</v>
      </c>
      <c r="G1551" s="17" t="n">
        <v>72103.87</v>
      </c>
      <c r="H1551" s="26" t="n">
        <v>44478</v>
      </c>
      <c r="I1551" s="26" t="n">
        <v>44480</v>
      </c>
      <c r="J1551" s="12" t="n">
        <v>37.05</v>
      </c>
      <c r="K1551" s="17" t="n">
        <v>2690916.43</v>
      </c>
      <c r="L1551" s="12" t="n">
        <v>0</v>
      </c>
      <c r="M1551" s="12" t="n">
        <v>18</v>
      </c>
      <c r="N1551" s="27">
        <f>F1551-J1551</f>
        <v/>
      </c>
      <c r="O1551" s="16">
        <f>I1551-H1551</f>
        <v/>
      </c>
      <c r="P1551" s="14">
        <f>F1551*G1551</f>
        <v/>
      </c>
      <c r="Q1551" s="14">
        <f>J1551*G1551</f>
        <v/>
      </c>
      <c r="R1551" s="14">
        <f>K1551-Q1551</f>
        <v/>
      </c>
      <c r="S1551" s="3">
        <f>P1551*Assumptions!$B$3/100</f>
        <v/>
      </c>
      <c r="T1551" s="14">
        <f>R1551-S1551</f>
        <v/>
      </c>
      <c r="U1551" s="14">
        <f>L1551*G1551</f>
        <v/>
      </c>
    </row>
    <row r="1552">
      <c r="A1552" s="12" t="inlineStr">
        <is>
          <t>PO-2021-1550</t>
        </is>
      </c>
      <c r="B1552" s="26" t="n">
        <v>45280</v>
      </c>
      <c r="C1552" s="12" t="inlineStr">
        <is>
          <t>VS24</t>
        </is>
      </c>
      <c r="D1552" s="12" t="inlineStr">
        <is>
          <t>HR Coils</t>
        </is>
      </c>
      <c r="E1552" s="12" t="inlineStr">
        <is>
          <t>N</t>
        </is>
      </c>
      <c r="F1552" s="12" t="n">
        <v>32.86</v>
      </c>
      <c r="G1552" s="17" t="n">
        <v>60752.5</v>
      </c>
      <c r="H1552" s="26" t="n">
        <v>45289</v>
      </c>
      <c r="I1552" s="26" t="n">
        <v>45290</v>
      </c>
      <c r="J1552" s="12" t="n">
        <v>32.67</v>
      </c>
      <c r="K1552" s="17" t="n">
        <v>1996327.15</v>
      </c>
      <c r="L1552" s="12" t="n">
        <v>0</v>
      </c>
      <c r="M1552" s="12" t="n">
        <v>6</v>
      </c>
      <c r="N1552" s="27">
        <f>F1552-J1552</f>
        <v/>
      </c>
      <c r="O1552" s="16">
        <f>I1552-H1552</f>
        <v/>
      </c>
      <c r="P1552" s="14">
        <f>F1552*G1552</f>
        <v/>
      </c>
      <c r="Q1552" s="14">
        <f>J1552*G1552</f>
        <v/>
      </c>
      <c r="R1552" s="14">
        <f>K1552-Q1552</f>
        <v/>
      </c>
      <c r="S1552" s="3">
        <f>P1552*Assumptions!$B$3/100</f>
        <v/>
      </c>
      <c r="T1552" s="14">
        <f>R1552-S1552</f>
        <v/>
      </c>
      <c r="U1552" s="14">
        <f>L1552*G1552</f>
        <v/>
      </c>
    </row>
    <row r="1553">
      <c r="A1553" s="12" t="inlineStr">
        <is>
          <t>PO-2021-1551</t>
        </is>
      </c>
      <c r="B1553" s="26" t="n">
        <v>44375</v>
      </c>
      <c r="C1553" s="12" t="inlineStr">
        <is>
          <t>VS07</t>
        </is>
      </c>
      <c r="D1553" s="12" t="inlineStr">
        <is>
          <t>Square/Rect Tubes</t>
        </is>
      </c>
      <c r="E1553" s="12" t="inlineStr">
        <is>
          <t>N</t>
        </is>
      </c>
      <c r="F1553" s="12" t="n">
        <v>31.85</v>
      </c>
      <c r="G1553" s="17" t="n">
        <v>90137.63</v>
      </c>
      <c r="H1553" s="26" t="n">
        <v>44378</v>
      </c>
      <c r="I1553" s="26" t="n">
        <v>44381</v>
      </c>
      <c r="J1553" s="12" t="n">
        <v>31.73</v>
      </c>
      <c r="K1553" s="17" t="n">
        <v>2870883.52</v>
      </c>
      <c r="L1553" s="12" t="n">
        <v>0</v>
      </c>
      <c r="M1553" s="12" t="n">
        <v>0</v>
      </c>
      <c r="N1553" s="27">
        <f>F1553-J1553</f>
        <v/>
      </c>
      <c r="O1553" s="16">
        <f>I1553-H1553</f>
        <v/>
      </c>
      <c r="P1553" s="14">
        <f>F1553*G1553</f>
        <v/>
      </c>
      <c r="Q1553" s="14">
        <f>J1553*G1553</f>
        <v/>
      </c>
      <c r="R1553" s="14">
        <f>K1553-Q1553</f>
        <v/>
      </c>
      <c r="S1553" s="3">
        <f>P1553*Assumptions!$B$3/100</f>
        <v/>
      </c>
      <c r="T1553" s="14">
        <f>R1553-S1553</f>
        <v/>
      </c>
      <c r="U1553" s="14">
        <f>L1553*G1553</f>
        <v/>
      </c>
    </row>
    <row r="1554">
      <c r="A1554" s="12" t="inlineStr">
        <is>
          <t>PO-2021-1552</t>
        </is>
      </c>
      <c r="B1554" s="26" t="n">
        <v>44587</v>
      </c>
      <c r="C1554" s="12" t="inlineStr">
        <is>
          <t>VS13</t>
        </is>
      </c>
      <c r="D1554" s="12" t="inlineStr">
        <is>
          <t>Fasteners &amp; Fittings</t>
        </is>
      </c>
      <c r="E1554" s="12" t="inlineStr">
        <is>
          <t>N</t>
        </is>
      </c>
      <c r="F1554" s="12" t="n">
        <v>46.35</v>
      </c>
      <c r="G1554" s="17" t="n">
        <v>50615.97</v>
      </c>
      <c r="H1554" s="26" t="n">
        <v>44598</v>
      </c>
      <c r="I1554" s="26" t="n">
        <v>44600</v>
      </c>
      <c r="J1554" s="12" t="n">
        <v>46.35</v>
      </c>
      <c r="K1554" s="17" t="n">
        <v>2346050.21</v>
      </c>
      <c r="L1554" s="12" t="n">
        <v>0</v>
      </c>
      <c r="M1554" s="12" t="n">
        <v>13</v>
      </c>
      <c r="N1554" s="27">
        <f>F1554-J1554</f>
        <v/>
      </c>
      <c r="O1554" s="16">
        <f>I1554-H1554</f>
        <v/>
      </c>
      <c r="P1554" s="14">
        <f>F1554*G1554</f>
        <v/>
      </c>
      <c r="Q1554" s="14">
        <f>J1554*G1554</f>
        <v/>
      </c>
      <c r="R1554" s="14">
        <f>K1554-Q1554</f>
        <v/>
      </c>
      <c r="S1554" s="3">
        <f>P1554*Assumptions!$B$3/100</f>
        <v/>
      </c>
      <c r="T1554" s="14">
        <f>R1554-S1554</f>
        <v/>
      </c>
      <c r="U1554" s="14">
        <f>L1554*G1554</f>
        <v/>
      </c>
    </row>
    <row r="1555">
      <c r="A1555" s="12" t="inlineStr">
        <is>
          <t>PO-2021-1553</t>
        </is>
      </c>
      <c r="B1555" s="26" t="n">
        <v>44899</v>
      </c>
      <c r="C1555" s="12" t="inlineStr">
        <is>
          <t>VS20</t>
        </is>
      </c>
      <c r="D1555" s="12" t="inlineStr">
        <is>
          <t>Structural Steel</t>
        </is>
      </c>
      <c r="E1555" s="12" t="inlineStr">
        <is>
          <t>N</t>
        </is>
      </c>
      <c r="F1555" s="12" t="n">
        <v>49.49</v>
      </c>
      <c r="G1555" s="17" t="n">
        <v>60149.93</v>
      </c>
      <c r="H1555" s="26" t="n">
        <v>44913</v>
      </c>
      <c r="I1555" s="26" t="n">
        <v>44913</v>
      </c>
      <c r="J1555" s="12" t="n">
        <v>49.04</v>
      </c>
      <c r="K1555" s="17" t="n">
        <v>2976820.04</v>
      </c>
      <c r="L1555" s="12" t="n">
        <v>0</v>
      </c>
      <c r="M1555" s="12" t="n">
        <v>20</v>
      </c>
      <c r="N1555" s="27">
        <f>F1555-J1555</f>
        <v/>
      </c>
      <c r="O1555" s="16">
        <f>I1555-H1555</f>
        <v/>
      </c>
      <c r="P1555" s="14">
        <f>F1555*G1555</f>
        <v/>
      </c>
      <c r="Q1555" s="14">
        <f>J1555*G1555</f>
        <v/>
      </c>
      <c r="R1555" s="14">
        <f>K1555-Q1555</f>
        <v/>
      </c>
      <c r="S1555" s="3">
        <f>P1555*Assumptions!$B$3/100</f>
        <v/>
      </c>
      <c r="T1555" s="14">
        <f>R1555-S1555</f>
        <v/>
      </c>
      <c r="U1555" s="14">
        <f>L1555*G1555</f>
        <v/>
      </c>
    </row>
    <row r="1556">
      <c r="A1556" s="12" t="inlineStr">
        <is>
          <t>PO-2021-1554</t>
        </is>
      </c>
      <c r="B1556" s="26" t="n">
        <v>44511</v>
      </c>
      <c r="C1556" s="12" t="inlineStr">
        <is>
          <t>VS03</t>
        </is>
      </c>
      <c r="D1556" s="12" t="inlineStr">
        <is>
          <t>Square/Rect Tubes</t>
        </is>
      </c>
      <c r="E1556" s="12" t="inlineStr">
        <is>
          <t>N</t>
        </is>
      </c>
      <c r="F1556" s="12" t="n">
        <v>10.39</v>
      </c>
      <c r="G1556" s="17" t="n">
        <v>89738.66</v>
      </c>
      <c r="H1556" s="26" t="n">
        <v>44518</v>
      </c>
      <c r="I1556" s="26" t="n">
        <v>44520</v>
      </c>
      <c r="J1556" s="12" t="n">
        <v>10.12</v>
      </c>
      <c r="K1556" s="17" t="n">
        <v>932384.6800000001</v>
      </c>
      <c r="L1556" s="12" t="n">
        <v>0.19</v>
      </c>
      <c r="M1556" s="12" t="n">
        <v>14</v>
      </c>
      <c r="N1556" s="27">
        <f>F1556-J1556</f>
        <v/>
      </c>
      <c r="O1556" s="16">
        <f>I1556-H1556</f>
        <v/>
      </c>
      <c r="P1556" s="14">
        <f>F1556*G1556</f>
        <v/>
      </c>
      <c r="Q1556" s="14">
        <f>J1556*G1556</f>
        <v/>
      </c>
      <c r="R1556" s="14">
        <f>K1556-Q1556</f>
        <v/>
      </c>
      <c r="S1556" s="3">
        <f>P1556*Assumptions!$B$3/100</f>
        <v/>
      </c>
      <c r="T1556" s="14">
        <f>R1556-S1556</f>
        <v/>
      </c>
      <c r="U1556" s="14">
        <f>L1556*G1556</f>
        <v/>
      </c>
    </row>
    <row r="1557">
      <c r="A1557" s="12" t="inlineStr">
        <is>
          <t>PO-2021-1555</t>
        </is>
      </c>
      <c r="B1557" s="26" t="n">
        <v>44908</v>
      </c>
      <c r="C1557" s="12" t="inlineStr">
        <is>
          <t>VS24</t>
        </is>
      </c>
      <c r="D1557" s="12" t="inlineStr">
        <is>
          <t>Fasteners &amp; Fittings</t>
        </is>
      </c>
      <c r="E1557" s="12" t="inlineStr">
        <is>
          <t>N</t>
        </is>
      </c>
      <c r="F1557" s="12" t="n">
        <v>31.86</v>
      </c>
      <c r="G1557" s="17" t="n">
        <v>53807.17</v>
      </c>
      <c r="H1557" s="26" t="n">
        <v>44917</v>
      </c>
      <c r="I1557" s="26" t="n">
        <v>44920</v>
      </c>
      <c r="J1557" s="12" t="n">
        <v>31.77</v>
      </c>
      <c r="K1557" s="17" t="n">
        <v>1714296.44</v>
      </c>
      <c r="L1557" s="12" t="n">
        <v>0</v>
      </c>
      <c r="M1557" s="12" t="n">
        <v>2</v>
      </c>
      <c r="N1557" s="27">
        <f>F1557-J1557</f>
        <v/>
      </c>
      <c r="O1557" s="16">
        <f>I1557-H1557</f>
        <v/>
      </c>
      <c r="P1557" s="14">
        <f>F1557*G1557</f>
        <v/>
      </c>
      <c r="Q1557" s="14">
        <f>J1557*G1557</f>
        <v/>
      </c>
      <c r="R1557" s="14">
        <f>K1557-Q1557</f>
        <v/>
      </c>
      <c r="S1557" s="3">
        <f>P1557*Assumptions!$B$3/100</f>
        <v/>
      </c>
      <c r="T1557" s="14">
        <f>R1557-S1557</f>
        <v/>
      </c>
      <c r="U1557" s="14">
        <f>L1557*G1557</f>
        <v/>
      </c>
    </row>
    <row r="1558">
      <c r="A1558" s="12" t="inlineStr">
        <is>
          <t>PO-2021-1556</t>
        </is>
      </c>
      <c r="B1558" s="26" t="n">
        <v>44335</v>
      </c>
      <c r="C1558" s="12" t="inlineStr">
        <is>
          <t>VS31</t>
        </is>
      </c>
      <c r="D1558" s="12" t="inlineStr">
        <is>
          <t>GI Wire</t>
        </is>
      </c>
      <c r="E1558" s="12" t="inlineStr">
        <is>
          <t>N</t>
        </is>
      </c>
      <c r="F1558" s="12" t="n">
        <v>26.66</v>
      </c>
      <c r="G1558" s="17" t="n">
        <v>116433.32</v>
      </c>
      <c r="H1558" s="26" t="n">
        <v>44350</v>
      </c>
      <c r="I1558" s="26" t="n">
        <v>44352</v>
      </c>
      <c r="J1558" s="12" t="n">
        <v>26.62</v>
      </c>
      <c r="K1558" s="17" t="n">
        <v>3104112.31</v>
      </c>
      <c r="L1558" s="12" t="n">
        <v>0</v>
      </c>
      <c r="M1558" s="12" t="n">
        <v>0</v>
      </c>
      <c r="N1558" s="27">
        <f>F1558-J1558</f>
        <v/>
      </c>
      <c r="O1558" s="16">
        <f>I1558-H1558</f>
        <v/>
      </c>
      <c r="P1558" s="14">
        <f>F1558*G1558</f>
        <v/>
      </c>
      <c r="Q1558" s="14">
        <f>J1558*G1558</f>
        <v/>
      </c>
      <c r="R1558" s="14">
        <f>K1558-Q1558</f>
        <v/>
      </c>
      <c r="S1558" s="3">
        <f>P1558*Assumptions!$B$3/100</f>
        <v/>
      </c>
      <c r="T1558" s="14">
        <f>R1558-S1558</f>
        <v/>
      </c>
      <c r="U1558" s="14">
        <f>L1558*G1558</f>
        <v/>
      </c>
    </row>
    <row r="1559">
      <c r="A1559" s="12" t="inlineStr">
        <is>
          <t>PO-2021-1557</t>
        </is>
      </c>
      <c r="B1559" s="26" t="n">
        <v>44241</v>
      </c>
      <c r="C1559" s="12" t="inlineStr">
        <is>
          <t>VS11</t>
        </is>
      </c>
      <c r="D1559" s="12" t="inlineStr">
        <is>
          <t>CR Sheets</t>
        </is>
      </c>
      <c r="E1559" s="12" t="inlineStr">
        <is>
          <t>N</t>
        </is>
      </c>
      <c r="F1559" s="12" t="n">
        <v>35.14</v>
      </c>
      <c r="G1559" s="17" t="n">
        <v>54670.07</v>
      </c>
      <c r="H1559" s="26" t="n">
        <v>44244</v>
      </c>
      <c r="I1559" s="26" t="n">
        <v>44244</v>
      </c>
      <c r="J1559" s="12" t="n">
        <v>34.91</v>
      </c>
      <c r="K1559" s="17" t="n">
        <v>1921106.26</v>
      </c>
      <c r="L1559" s="12" t="n">
        <v>0</v>
      </c>
      <c r="M1559" s="12" t="n">
        <v>0</v>
      </c>
      <c r="N1559" s="27">
        <f>F1559-J1559</f>
        <v/>
      </c>
      <c r="O1559" s="16">
        <f>I1559-H1559</f>
        <v/>
      </c>
      <c r="P1559" s="14">
        <f>F1559*G1559</f>
        <v/>
      </c>
      <c r="Q1559" s="14">
        <f>J1559*G1559</f>
        <v/>
      </c>
      <c r="R1559" s="14">
        <f>K1559-Q1559</f>
        <v/>
      </c>
      <c r="S1559" s="3">
        <f>P1559*Assumptions!$B$3/100</f>
        <v/>
      </c>
      <c r="T1559" s="14">
        <f>R1559-S1559</f>
        <v/>
      </c>
      <c r="U1559" s="14">
        <f>L1559*G1559</f>
        <v/>
      </c>
    </row>
    <row r="1560">
      <c r="A1560" s="12" t="inlineStr">
        <is>
          <t>PO-2021-1558</t>
        </is>
      </c>
      <c r="B1560" s="26" t="n">
        <v>44321</v>
      </c>
      <c r="C1560" s="12" t="inlineStr">
        <is>
          <t>VS13</t>
        </is>
      </c>
      <c r="D1560" s="12" t="inlineStr">
        <is>
          <t>MS Rods</t>
        </is>
      </c>
      <c r="E1560" s="12" t="inlineStr">
        <is>
          <t>Y</t>
        </is>
      </c>
      <c r="F1560" s="12" t="n">
        <v>25.26</v>
      </c>
      <c r="G1560" s="17" t="n">
        <v>84935.24000000001</v>
      </c>
      <c r="H1560" s="26" t="n">
        <v>44332</v>
      </c>
      <c r="I1560" s="26" t="n">
        <v>44333</v>
      </c>
      <c r="J1560" s="12" t="n">
        <v>25.14</v>
      </c>
      <c r="K1560" s="17" t="n">
        <v>2145464.16</v>
      </c>
      <c r="L1560" s="12" t="n">
        <v>0</v>
      </c>
      <c r="M1560" s="12" t="n">
        <v>0</v>
      </c>
      <c r="N1560" s="27">
        <f>F1560-J1560</f>
        <v/>
      </c>
      <c r="O1560" s="16">
        <f>I1560-H1560</f>
        <v/>
      </c>
      <c r="P1560" s="14">
        <f>F1560*G1560</f>
        <v/>
      </c>
      <c r="Q1560" s="14">
        <f>J1560*G1560</f>
        <v/>
      </c>
      <c r="R1560" s="14">
        <f>K1560-Q1560</f>
        <v/>
      </c>
      <c r="S1560" s="3">
        <f>P1560*Assumptions!$B$3/100</f>
        <v/>
      </c>
      <c r="T1560" s="14">
        <f>R1560-S1560</f>
        <v/>
      </c>
      <c r="U1560" s="14">
        <f>L1560*G1560</f>
        <v/>
      </c>
    </row>
    <row r="1561">
      <c r="A1561" s="12" t="inlineStr">
        <is>
          <t>PO-2021-1559</t>
        </is>
      </c>
      <c r="B1561" s="26" t="n">
        <v>44350</v>
      </c>
      <c r="C1561" s="12" t="inlineStr">
        <is>
          <t>VS11</t>
        </is>
      </c>
      <c r="D1561" s="12" t="inlineStr">
        <is>
          <t>Fasteners &amp; Fittings</t>
        </is>
      </c>
      <c r="E1561" s="12" t="inlineStr">
        <is>
          <t>N</t>
        </is>
      </c>
      <c r="F1561" s="12" t="n">
        <v>37.79</v>
      </c>
      <c r="G1561" s="17" t="n">
        <v>73811.28</v>
      </c>
      <c r="H1561" s="26" t="n">
        <v>44365</v>
      </c>
      <c r="I1561" s="26" t="n">
        <v>44368</v>
      </c>
      <c r="J1561" s="12" t="n">
        <v>37.58</v>
      </c>
      <c r="K1561" s="17" t="n">
        <v>2789328.27</v>
      </c>
      <c r="L1561" s="12" t="n">
        <v>0</v>
      </c>
      <c r="M1561" s="12" t="n">
        <v>0</v>
      </c>
      <c r="N1561" s="27">
        <f>F1561-J1561</f>
        <v/>
      </c>
      <c r="O1561" s="16">
        <f>I1561-H1561</f>
        <v/>
      </c>
      <c r="P1561" s="14">
        <f>F1561*G1561</f>
        <v/>
      </c>
      <c r="Q1561" s="14">
        <f>J1561*G1561</f>
        <v/>
      </c>
      <c r="R1561" s="14">
        <f>K1561-Q1561</f>
        <v/>
      </c>
      <c r="S1561" s="3">
        <f>P1561*Assumptions!$B$3/100</f>
        <v/>
      </c>
      <c r="T1561" s="14">
        <f>R1561-S1561</f>
        <v/>
      </c>
      <c r="U1561" s="14">
        <f>L1561*G1561</f>
        <v/>
      </c>
    </row>
    <row r="1562">
      <c r="A1562" s="12" t="inlineStr">
        <is>
          <t>PO-2021-1560</t>
        </is>
      </c>
      <c r="B1562" s="26" t="n">
        <v>44996</v>
      </c>
      <c r="C1562" s="12" t="inlineStr">
        <is>
          <t>VS26</t>
        </is>
      </c>
      <c r="D1562" s="12" t="inlineStr">
        <is>
          <t>CR Sheets</t>
        </is>
      </c>
      <c r="E1562" s="12" t="inlineStr">
        <is>
          <t>N</t>
        </is>
      </c>
      <c r="F1562" s="12" t="n">
        <v>11.14</v>
      </c>
      <c r="G1562" s="17" t="n">
        <v>45270.04</v>
      </c>
      <c r="H1562" s="26" t="n">
        <v>45008</v>
      </c>
      <c r="I1562" s="26" t="n">
        <v>45011</v>
      </c>
      <c r="J1562" s="12" t="n">
        <v>11.08</v>
      </c>
      <c r="K1562" s="17" t="n">
        <v>504308.25</v>
      </c>
      <c r="L1562" s="12" t="n">
        <v>0</v>
      </c>
      <c r="M1562" s="12" t="n">
        <v>0</v>
      </c>
      <c r="N1562" s="27">
        <f>F1562-J1562</f>
        <v/>
      </c>
      <c r="O1562" s="16">
        <f>I1562-H1562</f>
        <v/>
      </c>
      <c r="P1562" s="14">
        <f>F1562*G1562</f>
        <v/>
      </c>
      <c r="Q1562" s="14">
        <f>J1562*G1562</f>
        <v/>
      </c>
      <c r="R1562" s="14">
        <f>K1562-Q1562</f>
        <v/>
      </c>
      <c r="S1562" s="3">
        <f>P1562*Assumptions!$B$3/100</f>
        <v/>
      </c>
      <c r="T1562" s="14">
        <f>R1562-S1562</f>
        <v/>
      </c>
      <c r="U1562" s="14">
        <f>L1562*G1562</f>
        <v/>
      </c>
    </row>
    <row r="1563">
      <c r="A1563" s="12" t="inlineStr">
        <is>
          <t>PO-2021-1561</t>
        </is>
      </c>
      <c r="B1563" s="26" t="n">
        <v>44643</v>
      </c>
      <c r="C1563" s="12" t="inlineStr">
        <is>
          <t>VS01</t>
        </is>
      </c>
      <c r="D1563" s="12" t="inlineStr">
        <is>
          <t>Hex Bars</t>
        </is>
      </c>
      <c r="E1563" s="12" t="inlineStr">
        <is>
          <t>N</t>
        </is>
      </c>
      <c r="F1563" s="12" t="n">
        <v>23.32</v>
      </c>
      <c r="G1563" s="17" t="n">
        <v>98081.55</v>
      </c>
      <c r="H1563" s="26" t="n">
        <v>44654</v>
      </c>
      <c r="I1563" s="26" t="n">
        <v>44657</v>
      </c>
      <c r="J1563" s="12" t="n">
        <v>23.19</v>
      </c>
      <c r="K1563" s="17" t="n">
        <v>2287261.75</v>
      </c>
      <c r="L1563" s="12" t="n">
        <v>0</v>
      </c>
      <c r="M1563" s="12" t="n">
        <v>24</v>
      </c>
      <c r="N1563" s="27">
        <f>F1563-J1563</f>
        <v/>
      </c>
      <c r="O1563" s="16">
        <f>I1563-H1563</f>
        <v/>
      </c>
      <c r="P1563" s="14">
        <f>F1563*G1563</f>
        <v/>
      </c>
      <c r="Q1563" s="14">
        <f>J1563*G1563</f>
        <v/>
      </c>
      <c r="R1563" s="14">
        <f>K1563-Q1563</f>
        <v/>
      </c>
      <c r="S1563" s="3">
        <f>P1563*Assumptions!$B$3/100</f>
        <v/>
      </c>
      <c r="T1563" s="14">
        <f>R1563-S1563</f>
        <v/>
      </c>
      <c r="U1563" s="14">
        <f>L1563*G1563</f>
        <v/>
      </c>
    </row>
    <row r="1564">
      <c r="A1564" s="12" t="inlineStr">
        <is>
          <t>PO-2021-1562</t>
        </is>
      </c>
      <c r="B1564" s="26" t="n">
        <v>44727</v>
      </c>
      <c r="C1564" s="12" t="inlineStr">
        <is>
          <t>VS20</t>
        </is>
      </c>
      <c r="D1564" s="12" t="inlineStr">
        <is>
          <t>HR Coils</t>
        </is>
      </c>
      <c r="E1564" s="12" t="inlineStr">
        <is>
          <t>N</t>
        </is>
      </c>
      <c r="F1564" s="12" t="n">
        <v>15.52</v>
      </c>
      <c r="G1564" s="17" t="n">
        <v>65138.6</v>
      </c>
      <c r="H1564" s="26" t="n">
        <v>44731</v>
      </c>
      <c r="I1564" s="26" t="n">
        <v>44734</v>
      </c>
      <c r="J1564" s="12" t="n">
        <v>15.38</v>
      </c>
      <c r="K1564" s="17" t="n">
        <v>1010951.07</v>
      </c>
      <c r="L1564" s="12" t="n">
        <v>0</v>
      </c>
      <c r="M1564" s="12" t="n">
        <v>0</v>
      </c>
      <c r="N1564" s="27">
        <f>F1564-J1564</f>
        <v/>
      </c>
      <c r="O1564" s="16">
        <f>I1564-H1564</f>
        <v/>
      </c>
      <c r="P1564" s="14">
        <f>F1564*G1564</f>
        <v/>
      </c>
      <c r="Q1564" s="14">
        <f>J1564*G1564</f>
        <v/>
      </c>
      <c r="R1564" s="14">
        <f>K1564-Q1564</f>
        <v/>
      </c>
      <c r="S1564" s="3">
        <f>P1564*Assumptions!$B$3/100</f>
        <v/>
      </c>
      <c r="T1564" s="14">
        <f>R1564-S1564</f>
        <v/>
      </c>
      <c r="U1564" s="14">
        <f>L1564*G1564</f>
        <v/>
      </c>
    </row>
    <row r="1565">
      <c r="A1565" s="12" t="inlineStr">
        <is>
          <t>PO-2021-1563</t>
        </is>
      </c>
      <c r="B1565" s="26" t="n">
        <v>44547</v>
      </c>
      <c r="C1565" s="12" t="inlineStr">
        <is>
          <t>VS15</t>
        </is>
      </c>
      <c r="D1565" s="12" t="inlineStr">
        <is>
          <t>GI Pipes</t>
        </is>
      </c>
      <c r="E1565" s="12" t="inlineStr">
        <is>
          <t>N</t>
        </is>
      </c>
      <c r="F1565" s="12" t="n">
        <v>27.14</v>
      </c>
      <c r="G1565" s="17" t="n">
        <v>66888.25</v>
      </c>
      <c r="H1565" s="26" t="n">
        <v>44560</v>
      </c>
      <c r="I1565" s="26" t="n">
        <v>44561</v>
      </c>
      <c r="J1565" s="12" t="n">
        <v>26.99</v>
      </c>
      <c r="K1565" s="17" t="n">
        <v>1815347.1</v>
      </c>
      <c r="L1565" s="12" t="n">
        <v>0</v>
      </c>
      <c r="M1565" s="12" t="n">
        <v>0</v>
      </c>
      <c r="N1565" s="27">
        <f>F1565-J1565</f>
        <v/>
      </c>
      <c r="O1565" s="16">
        <f>I1565-H1565</f>
        <v/>
      </c>
      <c r="P1565" s="14">
        <f>F1565*G1565</f>
        <v/>
      </c>
      <c r="Q1565" s="14">
        <f>J1565*G1565</f>
        <v/>
      </c>
      <c r="R1565" s="14">
        <f>K1565-Q1565</f>
        <v/>
      </c>
      <c r="S1565" s="3">
        <f>P1565*Assumptions!$B$3/100</f>
        <v/>
      </c>
      <c r="T1565" s="14">
        <f>R1565-S1565</f>
        <v/>
      </c>
      <c r="U1565" s="14">
        <f>L1565*G1565</f>
        <v/>
      </c>
    </row>
    <row r="1566">
      <c r="A1566" s="12" t="inlineStr">
        <is>
          <t>PO-2021-1564</t>
        </is>
      </c>
      <c r="B1566" s="26" t="n">
        <v>44500</v>
      </c>
      <c r="C1566" s="12" t="inlineStr">
        <is>
          <t>VS18</t>
        </is>
      </c>
      <c r="D1566" s="12" t="inlineStr">
        <is>
          <t>Square/Rect Tubes</t>
        </is>
      </c>
      <c r="E1566" s="12" t="inlineStr">
        <is>
          <t>N</t>
        </is>
      </c>
      <c r="F1566" s="12" t="n">
        <v>14.25</v>
      </c>
      <c r="G1566" s="17" t="n">
        <v>104296.6</v>
      </c>
      <c r="H1566" s="26" t="n">
        <v>44513</v>
      </c>
      <c r="I1566" s="26" t="n">
        <v>44515</v>
      </c>
      <c r="J1566" s="12" t="n">
        <v>14.14</v>
      </c>
      <c r="K1566" s="17" t="n">
        <v>1486226.55</v>
      </c>
      <c r="L1566" s="12" t="n">
        <v>0</v>
      </c>
      <c r="M1566" s="12" t="n">
        <v>0</v>
      </c>
      <c r="N1566" s="27">
        <f>F1566-J1566</f>
        <v/>
      </c>
      <c r="O1566" s="16">
        <f>I1566-H1566</f>
        <v/>
      </c>
      <c r="P1566" s="14">
        <f>F1566*G1566</f>
        <v/>
      </c>
      <c r="Q1566" s="14">
        <f>J1566*G1566</f>
        <v/>
      </c>
      <c r="R1566" s="14">
        <f>K1566-Q1566</f>
        <v/>
      </c>
      <c r="S1566" s="3">
        <f>P1566*Assumptions!$B$3/100</f>
        <v/>
      </c>
      <c r="T1566" s="14">
        <f>R1566-S1566</f>
        <v/>
      </c>
      <c r="U1566" s="14">
        <f>L1566*G1566</f>
        <v/>
      </c>
    </row>
    <row r="1567">
      <c r="A1567" s="12" t="inlineStr">
        <is>
          <t>PO-2021-1565</t>
        </is>
      </c>
      <c r="B1567" s="26" t="n">
        <v>44706</v>
      </c>
      <c r="C1567" s="12" t="inlineStr">
        <is>
          <t>VS14</t>
        </is>
      </c>
      <c r="D1567" s="12" t="inlineStr">
        <is>
          <t>Spring Steel</t>
        </is>
      </c>
      <c r="E1567" s="12" t="inlineStr">
        <is>
          <t>N</t>
        </is>
      </c>
      <c r="F1567" s="12" t="n">
        <v>6.69</v>
      </c>
      <c r="G1567" s="17" t="n">
        <v>93648.41</v>
      </c>
      <c r="H1567" s="26" t="n">
        <v>44719</v>
      </c>
      <c r="I1567" s="26" t="n">
        <v>44719</v>
      </c>
      <c r="J1567" s="12" t="n">
        <v>6.65</v>
      </c>
      <c r="K1567" s="17" t="n">
        <v>626507.86</v>
      </c>
      <c r="L1567" s="12" t="n">
        <v>0</v>
      </c>
      <c r="M1567" s="12" t="n">
        <v>14</v>
      </c>
      <c r="N1567" s="27">
        <f>F1567-J1567</f>
        <v/>
      </c>
      <c r="O1567" s="16">
        <f>I1567-H1567</f>
        <v/>
      </c>
      <c r="P1567" s="14">
        <f>F1567*G1567</f>
        <v/>
      </c>
      <c r="Q1567" s="14">
        <f>J1567*G1567</f>
        <v/>
      </c>
      <c r="R1567" s="14">
        <f>K1567-Q1567</f>
        <v/>
      </c>
      <c r="S1567" s="3">
        <f>P1567*Assumptions!$B$3/100</f>
        <v/>
      </c>
      <c r="T1567" s="14">
        <f>R1567-S1567</f>
        <v/>
      </c>
      <c r="U1567" s="14">
        <f>L1567*G1567</f>
        <v/>
      </c>
    </row>
    <row r="1568">
      <c r="A1568" s="12" t="inlineStr">
        <is>
          <t>PO-2021-1566</t>
        </is>
      </c>
      <c r="B1568" s="26" t="n">
        <v>44952</v>
      </c>
      <c r="C1568" s="12" t="inlineStr">
        <is>
          <t>VS21</t>
        </is>
      </c>
      <c r="D1568" s="12" t="inlineStr">
        <is>
          <t>SS Pipes</t>
        </is>
      </c>
      <c r="E1568" s="12" t="inlineStr">
        <is>
          <t>N</t>
        </is>
      </c>
      <c r="F1568" s="12" t="n">
        <v>47.37</v>
      </c>
      <c r="G1568" s="17" t="n">
        <v>111298.98</v>
      </c>
      <c r="H1568" s="26" t="n">
        <v>44959</v>
      </c>
      <c r="I1568" s="26" t="n">
        <v>44962</v>
      </c>
      <c r="J1568" s="12" t="n">
        <v>47.36</v>
      </c>
      <c r="K1568" s="17" t="n">
        <v>5272232.68</v>
      </c>
      <c r="L1568" s="12" t="n">
        <v>0</v>
      </c>
      <c r="M1568" s="12" t="n">
        <v>0</v>
      </c>
      <c r="N1568" s="27">
        <f>F1568-J1568</f>
        <v/>
      </c>
      <c r="O1568" s="16">
        <f>I1568-H1568</f>
        <v/>
      </c>
      <c r="P1568" s="14">
        <f>F1568*G1568</f>
        <v/>
      </c>
      <c r="Q1568" s="14">
        <f>J1568*G1568</f>
        <v/>
      </c>
      <c r="R1568" s="14">
        <f>K1568-Q1568</f>
        <v/>
      </c>
      <c r="S1568" s="3">
        <f>P1568*Assumptions!$B$3/100</f>
        <v/>
      </c>
      <c r="T1568" s="14">
        <f>R1568-S1568</f>
        <v/>
      </c>
      <c r="U1568" s="14">
        <f>L1568*G1568</f>
        <v/>
      </c>
    </row>
    <row r="1569">
      <c r="A1569" s="12" t="inlineStr">
        <is>
          <t>PO-2021-1567</t>
        </is>
      </c>
      <c r="B1569" s="26" t="n">
        <v>44470</v>
      </c>
      <c r="C1569" s="12" t="inlineStr">
        <is>
          <t>VS27</t>
        </is>
      </c>
      <c r="D1569" s="12" t="inlineStr">
        <is>
          <t>SS Sheets</t>
        </is>
      </c>
      <c r="E1569" s="12" t="inlineStr">
        <is>
          <t>N</t>
        </is>
      </c>
      <c r="F1569" s="12" t="n">
        <v>16.91</v>
      </c>
      <c r="G1569" s="17" t="n">
        <v>49294.76</v>
      </c>
      <c r="H1569" s="26" t="n">
        <v>44473</v>
      </c>
      <c r="I1569" s="26" t="n">
        <v>44475</v>
      </c>
      <c r="J1569" s="12" t="n">
        <v>16.85</v>
      </c>
      <c r="K1569" s="17" t="n">
        <v>833574.39</v>
      </c>
      <c r="L1569" s="12" t="n">
        <v>0</v>
      </c>
      <c r="M1569" s="12" t="n">
        <v>0</v>
      </c>
      <c r="N1569" s="27">
        <f>F1569-J1569</f>
        <v/>
      </c>
      <c r="O1569" s="16">
        <f>I1569-H1569</f>
        <v/>
      </c>
      <c r="P1569" s="14">
        <f>F1569*G1569</f>
        <v/>
      </c>
      <c r="Q1569" s="14">
        <f>J1569*G1569</f>
        <v/>
      </c>
      <c r="R1569" s="14">
        <f>K1569-Q1569</f>
        <v/>
      </c>
      <c r="S1569" s="3">
        <f>P1569*Assumptions!$B$3/100</f>
        <v/>
      </c>
      <c r="T1569" s="14">
        <f>R1569-S1569</f>
        <v/>
      </c>
      <c r="U1569" s="14">
        <f>L1569*G1569</f>
        <v/>
      </c>
    </row>
    <row r="1570">
      <c r="A1570" s="12" t="inlineStr">
        <is>
          <t>PO-2021-1568</t>
        </is>
      </c>
      <c r="B1570" s="26" t="n">
        <v>44925</v>
      </c>
      <c r="C1570" s="12" t="inlineStr">
        <is>
          <t>VS15</t>
        </is>
      </c>
      <c r="D1570" s="12" t="inlineStr">
        <is>
          <t>CR Sheets</t>
        </is>
      </c>
      <c r="E1570" s="12" t="inlineStr">
        <is>
          <t>N</t>
        </is>
      </c>
      <c r="F1570" s="12" t="n">
        <v>9.66</v>
      </c>
      <c r="G1570" s="17" t="n">
        <v>117870.35</v>
      </c>
      <c r="H1570" s="26" t="n">
        <v>44936</v>
      </c>
      <c r="I1570" s="26" t="n">
        <v>44936</v>
      </c>
      <c r="J1570" s="12" t="n">
        <v>9.630000000000001</v>
      </c>
      <c r="K1570" s="17" t="n">
        <v>1138627.58</v>
      </c>
      <c r="L1570" s="12" t="n">
        <v>0</v>
      </c>
      <c r="M1570" s="12" t="n">
        <v>19</v>
      </c>
      <c r="N1570" s="27">
        <f>F1570-J1570</f>
        <v/>
      </c>
      <c r="O1570" s="16">
        <f>I1570-H1570</f>
        <v/>
      </c>
      <c r="P1570" s="14">
        <f>F1570*G1570</f>
        <v/>
      </c>
      <c r="Q1570" s="14">
        <f>J1570*G1570</f>
        <v/>
      </c>
      <c r="R1570" s="14">
        <f>K1570-Q1570</f>
        <v/>
      </c>
      <c r="S1570" s="3">
        <f>P1570*Assumptions!$B$3/100</f>
        <v/>
      </c>
      <c r="T1570" s="14">
        <f>R1570-S1570</f>
        <v/>
      </c>
      <c r="U1570" s="14">
        <f>L1570*G1570</f>
        <v/>
      </c>
    </row>
    <row r="1571">
      <c r="A1571" s="12" t="inlineStr">
        <is>
          <t>PO-2021-1569</t>
        </is>
      </c>
      <c r="B1571" s="26" t="n">
        <v>44414</v>
      </c>
      <c r="C1571" s="12" t="inlineStr">
        <is>
          <t>VS25</t>
        </is>
      </c>
      <c r="D1571" s="12" t="inlineStr">
        <is>
          <t>CR Sheets</t>
        </is>
      </c>
      <c r="E1571" s="12" t="inlineStr">
        <is>
          <t>Y</t>
        </is>
      </c>
      <c r="F1571" s="12" t="n">
        <v>43.63</v>
      </c>
      <c r="G1571" s="17" t="n">
        <v>92572.92</v>
      </c>
      <c r="H1571" s="26" t="n">
        <v>44425</v>
      </c>
      <c r="I1571" s="26" t="n">
        <v>44427</v>
      </c>
      <c r="J1571" s="12" t="n">
        <v>43.35</v>
      </c>
      <c r="K1571" s="17" t="n">
        <v>4038956.5</v>
      </c>
      <c r="L1571" s="12" t="n">
        <v>0</v>
      </c>
      <c r="M1571" s="12" t="n">
        <v>0</v>
      </c>
      <c r="N1571" s="27">
        <f>F1571-J1571</f>
        <v/>
      </c>
      <c r="O1571" s="16">
        <f>I1571-H1571</f>
        <v/>
      </c>
      <c r="P1571" s="14">
        <f>F1571*G1571</f>
        <v/>
      </c>
      <c r="Q1571" s="14">
        <f>J1571*G1571</f>
        <v/>
      </c>
      <c r="R1571" s="14">
        <f>K1571-Q1571</f>
        <v/>
      </c>
      <c r="S1571" s="3">
        <f>P1571*Assumptions!$B$3/100</f>
        <v/>
      </c>
      <c r="T1571" s="14">
        <f>R1571-S1571</f>
        <v/>
      </c>
      <c r="U1571" s="14">
        <f>L1571*G1571</f>
        <v/>
      </c>
    </row>
    <row r="1572">
      <c r="A1572" s="12" t="inlineStr">
        <is>
          <t>PO-2021-1570</t>
        </is>
      </c>
      <c r="B1572" s="26" t="n">
        <v>44619</v>
      </c>
      <c r="C1572" s="12" t="inlineStr">
        <is>
          <t>VS29</t>
        </is>
      </c>
      <c r="D1572" s="12" t="inlineStr">
        <is>
          <t>HR Coils</t>
        </is>
      </c>
      <c r="E1572" s="12" t="inlineStr">
        <is>
          <t>N</t>
        </is>
      </c>
      <c r="F1572" s="12" t="n">
        <v>16.89</v>
      </c>
      <c r="G1572" s="17" t="n">
        <v>60293.9</v>
      </c>
      <c r="H1572" s="26" t="n">
        <v>44632</v>
      </c>
      <c r="I1572" s="26" t="n">
        <v>44635</v>
      </c>
      <c r="J1572" s="12" t="n">
        <v>16.83</v>
      </c>
      <c r="K1572" s="17" t="n">
        <v>1018363.97</v>
      </c>
      <c r="L1572" s="12" t="n">
        <v>0</v>
      </c>
      <c r="M1572" s="12" t="n">
        <v>18</v>
      </c>
      <c r="N1572" s="27">
        <f>F1572-J1572</f>
        <v/>
      </c>
      <c r="O1572" s="16">
        <f>I1572-H1572</f>
        <v/>
      </c>
      <c r="P1572" s="14">
        <f>F1572*G1572</f>
        <v/>
      </c>
      <c r="Q1572" s="14">
        <f>J1572*G1572</f>
        <v/>
      </c>
      <c r="R1572" s="14">
        <f>K1572-Q1572</f>
        <v/>
      </c>
      <c r="S1572" s="3">
        <f>P1572*Assumptions!$B$3/100</f>
        <v/>
      </c>
      <c r="T1572" s="14">
        <f>R1572-S1572</f>
        <v/>
      </c>
      <c r="U1572" s="14">
        <f>L1572*G1572</f>
        <v/>
      </c>
    </row>
    <row r="1573">
      <c r="A1573" s="12" t="inlineStr">
        <is>
          <t>PO-2021-1571</t>
        </is>
      </c>
      <c r="B1573" s="26" t="n">
        <v>45006</v>
      </c>
      <c r="C1573" s="12" t="inlineStr">
        <is>
          <t>VS10</t>
        </is>
      </c>
      <c r="D1573" s="12" t="inlineStr">
        <is>
          <t>Fasteners &amp; Fittings</t>
        </is>
      </c>
      <c r="E1573" s="12" t="inlineStr">
        <is>
          <t>N</t>
        </is>
      </c>
      <c r="F1573" s="12" t="n">
        <v>12.35</v>
      </c>
      <c r="G1573" s="17" t="n">
        <v>99471.46000000001</v>
      </c>
      <c r="H1573" s="26" t="n">
        <v>45014</v>
      </c>
      <c r="I1573" s="26" t="n">
        <v>45017</v>
      </c>
      <c r="J1573" s="12" t="n">
        <v>12.28</v>
      </c>
      <c r="K1573" s="17" t="n">
        <v>1228472.53</v>
      </c>
      <c r="L1573" s="12" t="n">
        <v>0</v>
      </c>
      <c r="M1573" s="12" t="n">
        <v>0</v>
      </c>
      <c r="N1573" s="27">
        <f>F1573-J1573</f>
        <v/>
      </c>
      <c r="O1573" s="16">
        <f>I1573-H1573</f>
        <v/>
      </c>
      <c r="P1573" s="14">
        <f>F1573*G1573</f>
        <v/>
      </c>
      <c r="Q1573" s="14">
        <f>J1573*G1573</f>
        <v/>
      </c>
      <c r="R1573" s="14">
        <f>K1573-Q1573</f>
        <v/>
      </c>
      <c r="S1573" s="3">
        <f>P1573*Assumptions!$B$3/100</f>
        <v/>
      </c>
      <c r="T1573" s="14">
        <f>R1573-S1573</f>
        <v/>
      </c>
      <c r="U1573" s="14">
        <f>L1573*G1573</f>
        <v/>
      </c>
    </row>
    <row r="1574">
      <c r="A1574" s="12" t="inlineStr">
        <is>
          <t>PO-2021-1572</t>
        </is>
      </c>
      <c r="B1574" s="26" t="n">
        <v>44500</v>
      </c>
      <c r="C1574" s="12" t="inlineStr">
        <is>
          <t>VS31</t>
        </is>
      </c>
      <c r="D1574" s="12" t="inlineStr">
        <is>
          <t>SS Pipes</t>
        </is>
      </c>
      <c r="E1574" s="12" t="inlineStr">
        <is>
          <t>N</t>
        </is>
      </c>
      <c r="F1574" s="12" t="n">
        <v>25.3</v>
      </c>
      <c r="G1574" s="17" t="n">
        <v>79454.25999999999</v>
      </c>
      <c r="H1574" s="26" t="n">
        <v>44505</v>
      </c>
      <c r="I1574" s="26" t="n">
        <v>44505</v>
      </c>
      <c r="J1574" s="12" t="n">
        <v>25.22</v>
      </c>
      <c r="K1574" s="17" t="n">
        <v>2010192.78</v>
      </c>
      <c r="L1574" s="12" t="n">
        <v>0</v>
      </c>
      <c r="M1574" s="12" t="n">
        <v>0</v>
      </c>
      <c r="N1574" s="27">
        <f>F1574-J1574</f>
        <v/>
      </c>
      <c r="O1574" s="16">
        <f>I1574-H1574</f>
        <v/>
      </c>
      <c r="P1574" s="14">
        <f>F1574*G1574</f>
        <v/>
      </c>
      <c r="Q1574" s="14">
        <f>J1574*G1574</f>
        <v/>
      </c>
      <c r="R1574" s="14">
        <f>K1574-Q1574</f>
        <v/>
      </c>
      <c r="S1574" s="3">
        <f>P1574*Assumptions!$B$3/100</f>
        <v/>
      </c>
      <c r="T1574" s="14">
        <f>R1574-S1574</f>
        <v/>
      </c>
      <c r="U1574" s="14">
        <f>L1574*G1574</f>
        <v/>
      </c>
    </row>
    <row r="1575">
      <c r="A1575" s="12" t="inlineStr">
        <is>
          <t>PO-2021-1573</t>
        </is>
      </c>
      <c r="B1575" s="26" t="n">
        <v>44583</v>
      </c>
      <c r="C1575" s="12" t="inlineStr">
        <is>
          <t>VS32</t>
        </is>
      </c>
      <c r="D1575" s="12" t="inlineStr">
        <is>
          <t>MS Sheets</t>
        </is>
      </c>
      <c r="E1575" s="12" t="inlineStr">
        <is>
          <t>N</t>
        </is>
      </c>
      <c r="F1575" s="12" t="n">
        <v>32.73</v>
      </c>
      <c r="G1575" s="17" t="n">
        <v>46578.55</v>
      </c>
      <c r="H1575" s="26" t="n">
        <v>44588</v>
      </c>
      <c r="I1575" s="26" t="n">
        <v>44588</v>
      </c>
      <c r="J1575" s="12" t="n">
        <v>32.68</v>
      </c>
      <c r="K1575" s="17" t="n">
        <v>1524515.94</v>
      </c>
      <c r="L1575" s="12" t="n">
        <v>0</v>
      </c>
      <c r="M1575" s="12" t="n">
        <v>21</v>
      </c>
      <c r="N1575" s="27">
        <f>F1575-J1575</f>
        <v/>
      </c>
      <c r="O1575" s="16">
        <f>I1575-H1575</f>
        <v/>
      </c>
      <c r="P1575" s="14">
        <f>F1575*G1575</f>
        <v/>
      </c>
      <c r="Q1575" s="14">
        <f>J1575*G1575</f>
        <v/>
      </c>
      <c r="R1575" s="14">
        <f>K1575-Q1575</f>
        <v/>
      </c>
      <c r="S1575" s="3">
        <f>P1575*Assumptions!$B$3/100</f>
        <v/>
      </c>
      <c r="T1575" s="14">
        <f>R1575-S1575</f>
        <v/>
      </c>
      <c r="U1575" s="14">
        <f>L1575*G1575</f>
        <v/>
      </c>
    </row>
    <row r="1576">
      <c r="A1576" s="12" t="inlineStr">
        <is>
          <t>PO-2021-1574</t>
        </is>
      </c>
      <c r="B1576" s="26" t="n">
        <v>44560</v>
      </c>
      <c r="C1576" s="12" t="inlineStr">
        <is>
          <t>VS26</t>
        </is>
      </c>
      <c r="D1576" s="12" t="inlineStr">
        <is>
          <t>GI Sheets</t>
        </is>
      </c>
      <c r="E1576" s="12" t="inlineStr">
        <is>
          <t>N</t>
        </is>
      </c>
      <c r="F1576" s="12" t="n">
        <v>4.4</v>
      </c>
      <c r="G1576" s="17" t="n">
        <v>50403.65</v>
      </c>
      <c r="H1576" s="26" t="n">
        <v>44566</v>
      </c>
      <c r="I1576" s="26" t="n">
        <v>44569</v>
      </c>
      <c r="J1576" s="12" t="n">
        <v>4.37</v>
      </c>
      <c r="K1576" s="17" t="n">
        <v>221776.06</v>
      </c>
      <c r="L1576" s="12" t="n">
        <v>0</v>
      </c>
      <c r="M1576" s="12" t="n">
        <v>19</v>
      </c>
      <c r="N1576" s="27">
        <f>F1576-J1576</f>
        <v/>
      </c>
      <c r="O1576" s="16">
        <f>I1576-H1576</f>
        <v/>
      </c>
      <c r="P1576" s="14">
        <f>F1576*G1576</f>
        <v/>
      </c>
      <c r="Q1576" s="14">
        <f>J1576*G1576</f>
        <v/>
      </c>
      <c r="R1576" s="14">
        <f>K1576-Q1576</f>
        <v/>
      </c>
      <c r="S1576" s="3">
        <f>P1576*Assumptions!$B$3/100</f>
        <v/>
      </c>
      <c r="T1576" s="14">
        <f>R1576-S1576</f>
        <v/>
      </c>
      <c r="U1576" s="14">
        <f>L1576*G1576</f>
        <v/>
      </c>
    </row>
    <row r="1577">
      <c r="A1577" s="12" t="inlineStr">
        <is>
          <t>PO-2021-1575</t>
        </is>
      </c>
      <c r="B1577" s="26" t="n">
        <v>45128</v>
      </c>
      <c r="C1577" s="12" t="inlineStr">
        <is>
          <t>VS26</t>
        </is>
      </c>
      <c r="D1577" s="12" t="inlineStr">
        <is>
          <t>ERW Pipes</t>
        </is>
      </c>
      <c r="E1577" s="12" t="inlineStr">
        <is>
          <t>N</t>
        </is>
      </c>
      <c r="F1577" s="12" t="n">
        <v>36.49</v>
      </c>
      <c r="G1577" s="17" t="n">
        <v>55296.85</v>
      </c>
      <c r="H1577" s="26" t="n">
        <v>45143</v>
      </c>
      <c r="I1577" s="26" t="n">
        <v>45146</v>
      </c>
      <c r="J1577" s="12" t="n">
        <v>36.13</v>
      </c>
      <c r="K1577" s="17" t="n">
        <v>2017782.06</v>
      </c>
      <c r="L1577" s="12" t="n">
        <v>0</v>
      </c>
      <c r="M1577" s="12" t="n">
        <v>0</v>
      </c>
      <c r="N1577" s="27">
        <f>F1577-J1577</f>
        <v/>
      </c>
      <c r="O1577" s="16">
        <f>I1577-H1577</f>
        <v/>
      </c>
      <c r="P1577" s="14">
        <f>F1577*G1577</f>
        <v/>
      </c>
      <c r="Q1577" s="14">
        <f>J1577*G1577</f>
        <v/>
      </c>
      <c r="R1577" s="14">
        <f>K1577-Q1577</f>
        <v/>
      </c>
      <c r="S1577" s="3">
        <f>P1577*Assumptions!$B$3/100</f>
        <v/>
      </c>
      <c r="T1577" s="14">
        <f>R1577-S1577</f>
        <v/>
      </c>
      <c r="U1577" s="14">
        <f>L1577*G1577</f>
        <v/>
      </c>
    </row>
    <row r="1578">
      <c r="A1578" s="12" t="inlineStr">
        <is>
          <t>PO-2021-1576</t>
        </is>
      </c>
      <c r="B1578" s="26" t="n">
        <v>44221</v>
      </c>
      <c r="C1578" s="12" t="inlineStr">
        <is>
          <t>VS07</t>
        </is>
      </c>
      <c r="D1578" s="12" t="inlineStr">
        <is>
          <t>MS Rods</t>
        </is>
      </c>
      <c r="E1578" s="12" t="inlineStr">
        <is>
          <t>N</t>
        </is>
      </c>
      <c r="F1578" s="12" t="n">
        <v>19.82</v>
      </c>
      <c r="G1578" s="17" t="n">
        <v>53252.66</v>
      </c>
      <c r="H1578" s="26" t="n">
        <v>44224</v>
      </c>
      <c r="I1578" s="26" t="n">
        <v>44227</v>
      </c>
      <c r="J1578" s="12" t="n">
        <v>19.72</v>
      </c>
      <c r="K1578" s="17" t="n">
        <v>1055467.72</v>
      </c>
      <c r="L1578" s="12" t="n">
        <v>0</v>
      </c>
      <c r="M1578" s="12" t="n">
        <v>0</v>
      </c>
      <c r="N1578" s="27">
        <f>F1578-J1578</f>
        <v/>
      </c>
      <c r="O1578" s="16">
        <f>I1578-H1578</f>
        <v/>
      </c>
      <c r="P1578" s="14">
        <f>F1578*G1578</f>
        <v/>
      </c>
      <c r="Q1578" s="14">
        <f>J1578*G1578</f>
        <v/>
      </c>
      <c r="R1578" s="14">
        <f>K1578-Q1578</f>
        <v/>
      </c>
      <c r="S1578" s="3">
        <f>P1578*Assumptions!$B$3/100</f>
        <v/>
      </c>
      <c r="T1578" s="14">
        <f>R1578-S1578</f>
        <v/>
      </c>
      <c r="U1578" s="14">
        <f>L1578*G1578</f>
        <v/>
      </c>
    </row>
    <row r="1579">
      <c r="A1579" s="12" t="inlineStr">
        <is>
          <t>PO-2021-1577</t>
        </is>
      </c>
      <c r="B1579" s="26" t="n">
        <v>44286</v>
      </c>
      <c r="C1579" s="12" t="inlineStr">
        <is>
          <t>VS09</t>
        </is>
      </c>
      <c r="D1579" s="12" t="inlineStr">
        <is>
          <t>HR Coils</t>
        </is>
      </c>
      <c r="E1579" s="12" t="inlineStr">
        <is>
          <t>Y</t>
        </is>
      </c>
      <c r="F1579" s="12" t="n">
        <v>38.74</v>
      </c>
      <c r="G1579" s="17" t="n">
        <v>65074.24</v>
      </c>
      <c r="H1579" s="26" t="n">
        <v>44299</v>
      </c>
      <c r="I1579" s="26" t="n">
        <v>44302</v>
      </c>
      <c r="J1579" s="12" t="n">
        <v>38.64</v>
      </c>
      <c r="K1579" s="17" t="n">
        <v>2520976.06</v>
      </c>
      <c r="L1579" s="12" t="n">
        <v>0</v>
      </c>
      <c r="M1579" s="12" t="n">
        <v>0</v>
      </c>
      <c r="N1579" s="27">
        <f>F1579-J1579</f>
        <v/>
      </c>
      <c r="O1579" s="16">
        <f>I1579-H1579</f>
        <v/>
      </c>
      <c r="P1579" s="14">
        <f>F1579*G1579</f>
        <v/>
      </c>
      <c r="Q1579" s="14">
        <f>J1579*G1579</f>
        <v/>
      </c>
      <c r="R1579" s="14">
        <f>K1579-Q1579</f>
        <v/>
      </c>
      <c r="S1579" s="3">
        <f>P1579*Assumptions!$B$3/100</f>
        <v/>
      </c>
      <c r="T1579" s="14">
        <f>R1579-S1579</f>
        <v/>
      </c>
      <c r="U1579" s="14">
        <f>L1579*G1579</f>
        <v/>
      </c>
    </row>
    <row r="1580">
      <c r="A1580" s="12" t="inlineStr">
        <is>
          <t>PO-2021-1578</t>
        </is>
      </c>
      <c r="B1580" s="26" t="n">
        <v>44224</v>
      </c>
      <c r="C1580" s="12" t="inlineStr">
        <is>
          <t>VS01</t>
        </is>
      </c>
      <c r="D1580" s="12" t="inlineStr">
        <is>
          <t>ERW Pipes</t>
        </is>
      </c>
      <c r="E1580" s="12" t="inlineStr">
        <is>
          <t>Y</t>
        </is>
      </c>
      <c r="F1580" s="12" t="n">
        <v>27.58</v>
      </c>
      <c r="G1580" s="17" t="n">
        <v>106369.15</v>
      </c>
      <c r="H1580" s="26" t="n">
        <v>44238</v>
      </c>
      <c r="I1580" s="26" t="n">
        <v>44240</v>
      </c>
      <c r="J1580" s="12" t="n">
        <v>27.49</v>
      </c>
      <c r="K1580" s="17" t="n">
        <v>2933661.16</v>
      </c>
      <c r="L1580" s="12" t="n">
        <v>0</v>
      </c>
      <c r="M1580" s="12" t="n">
        <v>22</v>
      </c>
      <c r="N1580" s="27">
        <f>F1580-J1580</f>
        <v/>
      </c>
      <c r="O1580" s="16">
        <f>I1580-H1580</f>
        <v/>
      </c>
      <c r="P1580" s="14">
        <f>F1580*G1580</f>
        <v/>
      </c>
      <c r="Q1580" s="14">
        <f>J1580*G1580</f>
        <v/>
      </c>
      <c r="R1580" s="14">
        <f>K1580-Q1580</f>
        <v/>
      </c>
      <c r="S1580" s="3">
        <f>P1580*Assumptions!$B$3/100</f>
        <v/>
      </c>
      <c r="T1580" s="14">
        <f>R1580-S1580</f>
        <v/>
      </c>
      <c r="U1580" s="14">
        <f>L1580*G1580</f>
        <v/>
      </c>
    </row>
    <row r="1581">
      <c r="A1581" s="12" t="inlineStr">
        <is>
          <t>PO-2021-1579</t>
        </is>
      </c>
      <c r="B1581" s="26" t="n">
        <v>44371</v>
      </c>
      <c r="C1581" s="12" t="inlineStr">
        <is>
          <t>VS13</t>
        </is>
      </c>
      <c r="D1581" s="12" t="inlineStr">
        <is>
          <t>Square/Rect Tubes</t>
        </is>
      </c>
      <c r="E1581" s="12" t="inlineStr">
        <is>
          <t>N</t>
        </is>
      </c>
      <c r="F1581" s="12" t="n">
        <v>24.54</v>
      </c>
      <c r="G1581" s="17" t="n">
        <v>87213.84</v>
      </c>
      <c r="H1581" s="26" t="n">
        <v>44381</v>
      </c>
      <c r="I1581" s="26" t="n">
        <v>44382</v>
      </c>
      <c r="J1581" s="12" t="n">
        <v>24.53</v>
      </c>
      <c r="K1581" s="17" t="n">
        <v>2140227.63</v>
      </c>
      <c r="L1581" s="12" t="n">
        <v>0</v>
      </c>
      <c r="M1581" s="12" t="n">
        <v>18</v>
      </c>
      <c r="N1581" s="27">
        <f>F1581-J1581</f>
        <v/>
      </c>
      <c r="O1581" s="16">
        <f>I1581-H1581</f>
        <v/>
      </c>
      <c r="P1581" s="14">
        <f>F1581*G1581</f>
        <v/>
      </c>
      <c r="Q1581" s="14">
        <f>J1581*G1581</f>
        <v/>
      </c>
      <c r="R1581" s="14">
        <f>K1581-Q1581</f>
        <v/>
      </c>
      <c r="S1581" s="3">
        <f>P1581*Assumptions!$B$3/100</f>
        <v/>
      </c>
      <c r="T1581" s="14">
        <f>R1581-S1581</f>
        <v/>
      </c>
      <c r="U1581" s="14">
        <f>L1581*G1581</f>
        <v/>
      </c>
    </row>
    <row r="1582">
      <c r="A1582" s="12" t="inlineStr">
        <is>
          <t>PO-2021-1580</t>
        </is>
      </c>
      <c r="B1582" s="26" t="n">
        <v>44531</v>
      </c>
      <c r="C1582" s="12" t="inlineStr">
        <is>
          <t>VS20</t>
        </is>
      </c>
      <c r="D1582" s="12" t="inlineStr">
        <is>
          <t>MS Flats</t>
        </is>
      </c>
      <c r="E1582" s="12" t="inlineStr">
        <is>
          <t>N</t>
        </is>
      </c>
      <c r="F1582" s="12" t="n">
        <v>24.47</v>
      </c>
      <c r="G1582" s="17" t="n">
        <v>63285.66</v>
      </c>
      <c r="H1582" s="26" t="n">
        <v>44542</v>
      </c>
      <c r="I1582" s="26" t="n">
        <v>44545</v>
      </c>
      <c r="J1582" s="12" t="n">
        <v>24.47</v>
      </c>
      <c r="K1582" s="17" t="n">
        <v>1548600.1</v>
      </c>
      <c r="L1582" s="12" t="n">
        <v>0</v>
      </c>
      <c r="M1582" s="12" t="n">
        <v>0</v>
      </c>
      <c r="N1582" s="27">
        <f>F1582-J1582</f>
        <v/>
      </c>
      <c r="O1582" s="16">
        <f>I1582-H1582</f>
        <v/>
      </c>
      <c r="P1582" s="14">
        <f>F1582*G1582</f>
        <v/>
      </c>
      <c r="Q1582" s="14">
        <f>J1582*G1582</f>
        <v/>
      </c>
      <c r="R1582" s="14">
        <f>K1582-Q1582</f>
        <v/>
      </c>
      <c r="S1582" s="3">
        <f>P1582*Assumptions!$B$3/100</f>
        <v/>
      </c>
      <c r="T1582" s="14">
        <f>R1582-S1582</f>
        <v/>
      </c>
      <c r="U1582" s="14">
        <f>L1582*G1582</f>
        <v/>
      </c>
    </row>
    <row r="1583">
      <c r="A1583" s="12" t="inlineStr">
        <is>
          <t>PO-2021-1581</t>
        </is>
      </c>
      <c r="B1583" s="26" t="n">
        <v>44744</v>
      </c>
      <c r="C1583" s="12" t="inlineStr">
        <is>
          <t>VS08</t>
        </is>
      </c>
      <c r="D1583" s="12" t="inlineStr">
        <is>
          <t>MS Pipes</t>
        </is>
      </c>
      <c r="E1583" s="12" t="inlineStr">
        <is>
          <t>N</t>
        </is>
      </c>
      <c r="F1583" s="12" t="n">
        <v>41.42</v>
      </c>
      <c r="G1583" s="17" t="n">
        <v>52711.15</v>
      </c>
      <c r="H1583" s="26" t="n">
        <v>44751</v>
      </c>
      <c r="I1583" s="26" t="n">
        <v>44753</v>
      </c>
      <c r="J1583" s="12" t="n">
        <v>41.35</v>
      </c>
      <c r="K1583" s="17" t="n">
        <v>2183295.83</v>
      </c>
      <c r="L1583" s="12" t="n">
        <v>0</v>
      </c>
      <c r="M1583" s="12" t="n">
        <v>0</v>
      </c>
      <c r="N1583" s="27">
        <f>F1583-J1583</f>
        <v/>
      </c>
      <c r="O1583" s="16">
        <f>I1583-H1583</f>
        <v/>
      </c>
      <c r="P1583" s="14">
        <f>F1583*G1583</f>
        <v/>
      </c>
      <c r="Q1583" s="14">
        <f>J1583*G1583</f>
        <v/>
      </c>
      <c r="R1583" s="14">
        <f>K1583-Q1583</f>
        <v/>
      </c>
      <c r="S1583" s="3">
        <f>P1583*Assumptions!$B$3/100</f>
        <v/>
      </c>
      <c r="T1583" s="14">
        <f>R1583-S1583</f>
        <v/>
      </c>
      <c r="U1583" s="14">
        <f>L1583*G1583</f>
        <v/>
      </c>
    </row>
    <row r="1584">
      <c r="A1584" s="12" t="inlineStr">
        <is>
          <t>PO-2021-1582</t>
        </is>
      </c>
      <c r="B1584" s="26" t="n">
        <v>44407</v>
      </c>
      <c r="C1584" s="12" t="inlineStr">
        <is>
          <t>VS33</t>
        </is>
      </c>
      <c r="D1584" s="12" t="inlineStr">
        <is>
          <t>GI Wire</t>
        </is>
      </c>
      <c r="E1584" s="12" t="inlineStr">
        <is>
          <t>N</t>
        </is>
      </c>
      <c r="F1584" s="12" t="n">
        <v>7.95</v>
      </c>
      <c r="G1584" s="17" t="n">
        <v>113412.52</v>
      </c>
      <c r="H1584" s="26" t="n">
        <v>44410</v>
      </c>
      <c r="I1584" s="26" t="n">
        <v>44411</v>
      </c>
      <c r="J1584" s="12" t="n">
        <v>7.95</v>
      </c>
      <c r="K1584" s="17" t="n">
        <v>901629.53</v>
      </c>
      <c r="L1584" s="12" t="n">
        <v>0</v>
      </c>
      <c r="M1584" s="12" t="n">
        <v>3</v>
      </c>
      <c r="N1584" s="27">
        <f>F1584-J1584</f>
        <v/>
      </c>
      <c r="O1584" s="16">
        <f>I1584-H1584</f>
        <v/>
      </c>
      <c r="P1584" s="14">
        <f>F1584*G1584</f>
        <v/>
      </c>
      <c r="Q1584" s="14">
        <f>J1584*G1584</f>
        <v/>
      </c>
      <c r="R1584" s="14">
        <f>K1584-Q1584</f>
        <v/>
      </c>
      <c r="S1584" s="3">
        <f>P1584*Assumptions!$B$3/100</f>
        <v/>
      </c>
      <c r="T1584" s="14">
        <f>R1584-S1584</f>
        <v/>
      </c>
      <c r="U1584" s="14">
        <f>L1584*G1584</f>
        <v/>
      </c>
    </row>
    <row r="1585">
      <c r="A1585" s="12" t="inlineStr">
        <is>
          <t>PO-2021-1583</t>
        </is>
      </c>
      <c r="B1585" s="26" t="n">
        <v>44661</v>
      </c>
      <c r="C1585" s="12" t="inlineStr">
        <is>
          <t>VS28</t>
        </is>
      </c>
      <c r="D1585" s="12" t="inlineStr">
        <is>
          <t>MS Rods</t>
        </is>
      </c>
      <c r="E1585" s="12" t="inlineStr">
        <is>
          <t>N</t>
        </is>
      </c>
      <c r="F1585" s="12" t="n">
        <v>8.220000000000001</v>
      </c>
      <c r="G1585" s="17" t="n">
        <v>94152.34</v>
      </c>
      <c r="H1585" s="26" t="n">
        <v>44667</v>
      </c>
      <c r="I1585" s="26" t="n">
        <v>44669</v>
      </c>
      <c r="J1585" s="12" t="n">
        <v>8.16</v>
      </c>
      <c r="K1585" s="17" t="n">
        <v>773932.23</v>
      </c>
      <c r="L1585" s="12" t="n">
        <v>0</v>
      </c>
      <c r="M1585" s="12" t="n">
        <v>2</v>
      </c>
      <c r="N1585" s="27">
        <f>F1585-J1585</f>
        <v/>
      </c>
      <c r="O1585" s="16">
        <f>I1585-H1585</f>
        <v/>
      </c>
      <c r="P1585" s="14">
        <f>F1585*G1585</f>
        <v/>
      </c>
      <c r="Q1585" s="14">
        <f>J1585*G1585</f>
        <v/>
      </c>
      <c r="R1585" s="14">
        <f>K1585-Q1585</f>
        <v/>
      </c>
      <c r="S1585" s="3">
        <f>P1585*Assumptions!$B$3/100</f>
        <v/>
      </c>
      <c r="T1585" s="14">
        <f>R1585-S1585</f>
        <v/>
      </c>
      <c r="U1585" s="14">
        <f>L1585*G1585</f>
        <v/>
      </c>
    </row>
    <row r="1586">
      <c r="A1586" s="12" t="inlineStr">
        <is>
          <t>PO-2021-1584</t>
        </is>
      </c>
      <c r="B1586" s="26" t="n">
        <v>44984</v>
      </c>
      <c r="C1586" s="12" t="inlineStr">
        <is>
          <t>VS08</t>
        </is>
      </c>
      <c r="D1586" s="12" t="inlineStr">
        <is>
          <t>Structural Steel</t>
        </is>
      </c>
      <c r="E1586" s="12" t="inlineStr">
        <is>
          <t>N</t>
        </is>
      </c>
      <c r="F1586" s="12" t="n">
        <v>9.31</v>
      </c>
      <c r="G1586" s="17" t="n">
        <v>53260.17</v>
      </c>
      <c r="H1586" s="26" t="n">
        <v>44988</v>
      </c>
      <c r="I1586" s="26" t="n">
        <v>44988</v>
      </c>
      <c r="J1586" s="12" t="n">
        <v>9.23</v>
      </c>
      <c r="K1586" s="17" t="n">
        <v>495852.18</v>
      </c>
      <c r="L1586" s="12" t="n">
        <v>0</v>
      </c>
      <c r="M1586" s="12" t="n">
        <v>0</v>
      </c>
      <c r="N1586" s="27">
        <f>F1586-J1586</f>
        <v/>
      </c>
      <c r="O1586" s="16">
        <f>I1586-H1586</f>
        <v/>
      </c>
      <c r="P1586" s="14">
        <f>F1586*G1586</f>
        <v/>
      </c>
      <c r="Q1586" s="14">
        <f>J1586*G1586</f>
        <v/>
      </c>
      <c r="R1586" s="14">
        <f>K1586-Q1586</f>
        <v/>
      </c>
      <c r="S1586" s="3">
        <f>P1586*Assumptions!$B$3/100</f>
        <v/>
      </c>
      <c r="T1586" s="14">
        <f>R1586-S1586</f>
        <v/>
      </c>
      <c r="U1586" s="14">
        <f>L1586*G1586</f>
        <v/>
      </c>
    </row>
    <row r="1587">
      <c r="A1587" s="12" t="inlineStr">
        <is>
          <t>PO-2021-1585</t>
        </is>
      </c>
      <c r="B1587" s="26" t="n">
        <v>44774</v>
      </c>
      <c r="C1587" s="12" t="inlineStr">
        <is>
          <t>VS23</t>
        </is>
      </c>
      <c r="D1587" s="12" t="inlineStr">
        <is>
          <t>SS Pipes</t>
        </is>
      </c>
      <c r="E1587" s="12" t="inlineStr">
        <is>
          <t>N</t>
        </is>
      </c>
      <c r="F1587" s="12" t="n">
        <v>31.17</v>
      </c>
      <c r="G1587" s="17" t="n">
        <v>53876.32</v>
      </c>
      <c r="H1587" s="26" t="n">
        <v>44778</v>
      </c>
      <c r="I1587" s="26" t="n">
        <v>44779</v>
      </c>
      <c r="J1587" s="12" t="n">
        <v>31.01</v>
      </c>
      <c r="K1587" s="17" t="n">
        <v>1679324.89</v>
      </c>
      <c r="L1587" s="12" t="n">
        <v>0</v>
      </c>
      <c r="M1587" s="12" t="n">
        <v>0</v>
      </c>
      <c r="N1587" s="27">
        <f>F1587-J1587</f>
        <v/>
      </c>
      <c r="O1587" s="16">
        <f>I1587-H1587</f>
        <v/>
      </c>
      <c r="P1587" s="14">
        <f>F1587*G1587</f>
        <v/>
      </c>
      <c r="Q1587" s="14">
        <f>J1587*G1587</f>
        <v/>
      </c>
      <c r="R1587" s="14">
        <f>K1587-Q1587</f>
        <v/>
      </c>
      <c r="S1587" s="3">
        <f>P1587*Assumptions!$B$3/100</f>
        <v/>
      </c>
      <c r="T1587" s="14">
        <f>R1587-S1587</f>
        <v/>
      </c>
      <c r="U1587" s="14">
        <f>L1587*G1587</f>
        <v/>
      </c>
    </row>
    <row r="1588">
      <c r="A1588" s="12" t="inlineStr">
        <is>
          <t>PO-2021-1586</t>
        </is>
      </c>
      <c r="B1588" s="26" t="n">
        <v>44285</v>
      </c>
      <c r="C1588" s="12" t="inlineStr">
        <is>
          <t>VS10</t>
        </is>
      </c>
      <c r="D1588" s="12" t="inlineStr">
        <is>
          <t>MS Sheets</t>
        </is>
      </c>
      <c r="E1588" s="12" t="inlineStr">
        <is>
          <t>Y</t>
        </is>
      </c>
      <c r="F1588" s="12" t="n">
        <v>22</v>
      </c>
      <c r="G1588" s="17" t="n">
        <v>70113.3</v>
      </c>
      <c r="H1588" s="26" t="n">
        <v>44290</v>
      </c>
      <c r="I1588" s="26" t="n">
        <v>44293</v>
      </c>
      <c r="J1588" s="12" t="n">
        <v>21.97</v>
      </c>
      <c r="K1588" s="17" t="n">
        <v>1542492.6</v>
      </c>
      <c r="L1588" s="12" t="n">
        <v>0</v>
      </c>
      <c r="M1588" s="12" t="n">
        <v>0</v>
      </c>
      <c r="N1588" s="27">
        <f>F1588-J1588</f>
        <v/>
      </c>
      <c r="O1588" s="16">
        <f>I1588-H1588</f>
        <v/>
      </c>
      <c r="P1588" s="14">
        <f>F1588*G1588</f>
        <v/>
      </c>
      <c r="Q1588" s="14">
        <f>J1588*G1588</f>
        <v/>
      </c>
      <c r="R1588" s="14">
        <f>K1588-Q1588</f>
        <v/>
      </c>
      <c r="S1588" s="3">
        <f>P1588*Assumptions!$B$3/100</f>
        <v/>
      </c>
      <c r="T1588" s="14">
        <f>R1588-S1588</f>
        <v/>
      </c>
      <c r="U1588" s="14">
        <f>L1588*G1588</f>
        <v/>
      </c>
    </row>
    <row r="1589">
      <c r="A1589" s="12" t="inlineStr">
        <is>
          <t>PO-2021-1587</t>
        </is>
      </c>
      <c r="B1589" s="26" t="n">
        <v>45067</v>
      </c>
      <c r="C1589" s="12" t="inlineStr">
        <is>
          <t>VS10</t>
        </is>
      </c>
      <c r="D1589" s="12" t="inlineStr">
        <is>
          <t>SS Sheets</t>
        </is>
      </c>
      <c r="E1589" s="12" t="inlineStr">
        <is>
          <t>N</t>
        </is>
      </c>
      <c r="F1589" s="12" t="n">
        <v>31.61</v>
      </c>
      <c r="G1589" s="17" t="n">
        <v>66525.42</v>
      </c>
      <c r="H1589" s="26" t="n">
        <v>45071</v>
      </c>
      <c r="I1589" s="26" t="n">
        <v>45074</v>
      </c>
      <c r="J1589" s="12" t="n">
        <v>31.55</v>
      </c>
      <c r="K1589" s="17" t="n">
        <v>2102868.53</v>
      </c>
      <c r="L1589" s="12" t="n">
        <v>0</v>
      </c>
      <c r="M1589" s="12" t="n">
        <v>0</v>
      </c>
      <c r="N1589" s="27">
        <f>F1589-J1589</f>
        <v/>
      </c>
      <c r="O1589" s="16">
        <f>I1589-H1589</f>
        <v/>
      </c>
      <c r="P1589" s="14">
        <f>F1589*G1589</f>
        <v/>
      </c>
      <c r="Q1589" s="14">
        <f>J1589*G1589</f>
        <v/>
      </c>
      <c r="R1589" s="14">
        <f>K1589-Q1589</f>
        <v/>
      </c>
      <c r="S1589" s="3">
        <f>P1589*Assumptions!$B$3/100</f>
        <v/>
      </c>
      <c r="T1589" s="14">
        <f>R1589-S1589</f>
        <v/>
      </c>
      <c r="U1589" s="14">
        <f>L1589*G1589</f>
        <v/>
      </c>
    </row>
    <row r="1590">
      <c r="A1590" s="12" t="inlineStr">
        <is>
          <t>PO-2021-1588</t>
        </is>
      </c>
      <c r="B1590" s="26" t="n">
        <v>44752</v>
      </c>
      <c r="C1590" s="12" t="inlineStr">
        <is>
          <t>VS32</t>
        </is>
      </c>
      <c r="D1590" s="12" t="inlineStr">
        <is>
          <t>Angles &amp; Channels</t>
        </is>
      </c>
      <c r="E1590" s="12" t="inlineStr">
        <is>
          <t>N</t>
        </is>
      </c>
      <c r="F1590" s="12" t="n">
        <v>46.71</v>
      </c>
      <c r="G1590" s="17" t="n">
        <v>105803.96</v>
      </c>
      <c r="H1590" s="26" t="n">
        <v>44766</v>
      </c>
      <c r="I1590" s="26" t="n">
        <v>44768</v>
      </c>
      <c r="J1590" s="12" t="n">
        <v>46.48</v>
      </c>
      <c r="K1590" s="17" t="n">
        <v>4942102.97</v>
      </c>
      <c r="L1590" s="12" t="n">
        <v>0</v>
      </c>
      <c r="M1590" s="12" t="n">
        <v>4</v>
      </c>
      <c r="N1590" s="27">
        <f>F1590-J1590</f>
        <v/>
      </c>
      <c r="O1590" s="16">
        <f>I1590-H1590</f>
        <v/>
      </c>
      <c r="P1590" s="14">
        <f>F1590*G1590</f>
        <v/>
      </c>
      <c r="Q1590" s="14">
        <f>J1590*G1590</f>
        <v/>
      </c>
      <c r="R1590" s="14">
        <f>K1590-Q1590</f>
        <v/>
      </c>
      <c r="S1590" s="3">
        <f>P1590*Assumptions!$B$3/100</f>
        <v/>
      </c>
      <c r="T1590" s="14">
        <f>R1590-S1590</f>
        <v/>
      </c>
      <c r="U1590" s="14">
        <f>L1590*G1590</f>
        <v/>
      </c>
    </row>
    <row r="1591">
      <c r="A1591" s="12" t="inlineStr">
        <is>
          <t>PO-2021-1589</t>
        </is>
      </c>
      <c r="B1591" s="26" t="n">
        <v>44353</v>
      </c>
      <c r="C1591" s="12" t="inlineStr">
        <is>
          <t>VS01</t>
        </is>
      </c>
      <c r="D1591" s="12" t="inlineStr">
        <is>
          <t>Square/Rect Tubes</t>
        </is>
      </c>
      <c r="E1591" s="12" t="inlineStr">
        <is>
          <t>N</t>
        </is>
      </c>
      <c r="F1591" s="12" t="n">
        <v>39.11</v>
      </c>
      <c r="G1591" s="17" t="n">
        <v>55994.18</v>
      </c>
      <c r="H1591" s="26" t="n">
        <v>44358</v>
      </c>
      <c r="I1591" s="26" t="n">
        <v>44361</v>
      </c>
      <c r="J1591" s="12" t="n">
        <v>38.87</v>
      </c>
      <c r="K1591" s="17" t="n">
        <v>2189932.38</v>
      </c>
      <c r="L1591" s="12" t="n">
        <v>0</v>
      </c>
      <c r="M1591" s="12" t="n">
        <v>0</v>
      </c>
      <c r="N1591" s="27">
        <f>F1591-J1591</f>
        <v/>
      </c>
      <c r="O1591" s="16">
        <f>I1591-H1591</f>
        <v/>
      </c>
      <c r="P1591" s="14">
        <f>F1591*G1591</f>
        <v/>
      </c>
      <c r="Q1591" s="14">
        <f>J1591*G1591</f>
        <v/>
      </c>
      <c r="R1591" s="14">
        <f>K1591-Q1591</f>
        <v/>
      </c>
      <c r="S1591" s="3">
        <f>P1591*Assumptions!$B$3/100</f>
        <v/>
      </c>
      <c r="T1591" s="14">
        <f>R1591-S1591</f>
        <v/>
      </c>
      <c r="U1591" s="14">
        <f>L1591*G1591</f>
        <v/>
      </c>
    </row>
    <row r="1592">
      <c r="A1592" s="12" t="inlineStr">
        <is>
          <t>PO-2021-1590</t>
        </is>
      </c>
      <c r="B1592" s="26" t="n">
        <v>44996</v>
      </c>
      <c r="C1592" s="12" t="inlineStr">
        <is>
          <t>VS29</t>
        </is>
      </c>
      <c r="D1592" s="12" t="inlineStr">
        <is>
          <t>Structural Steel</t>
        </is>
      </c>
      <c r="E1592" s="12" t="inlineStr">
        <is>
          <t>N</t>
        </is>
      </c>
      <c r="F1592" s="12" t="n">
        <v>40.92</v>
      </c>
      <c r="G1592" s="17" t="n">
        <v>53487.3</v>
      </c>
      <c r="H1592" s="26" t="n">
        <v>45005</v>
      </c>
      <c r="I1592" s="26" t="n">
        <v>45007</v>
      </c>
      <c r="J1592" s="12" t="n">
        <v>40.91</v>
      </c>
      <c r="K1592" s="17" t="n">
        <v>2188700.32</v>
      </c>
      <c r="L1592" s="12" t="n">
        <v>0</v>
      </c>
      <c r="M1592" s="12" t="n">
        <v>0</v>
      </c>
      <c r="N1592" s="27">
        <f>F1592-J1592</f>
        <v/>
      </c>
      <c r="O1592" s="16">
        <f>I1592-H1592</f>
        <v/>
      </c>
      <c r="P1592" s="14">
        <f>F1592*G1592</f>
        <v/>
      </c>
      <c r="Q1592" s="14">
        <f>J1592*G1592</f>
        <v/>
      </c>
      <c r="R1592" s="14">
        <f>K1592-Q1592</f>
        <v/>
      </c>
      <c r="S1592" s="3">
        <f>P1592*Assumptions!$B$3/100</f>
        <v/>
      </c>
      <c r="T1592" s="14">
        <f>R1592-S1592</f>
        <v/>
      </c>
      <c r="U1592" s="14">
        <f>L1592*G1592</f>
        <v/>
      </c>
    </row>
    <row r="1593">
      <c r="A1593" s="12" t="inlineStr">
        <is>
          <t>PO-2021-1591</t>
        </is>
      </c>
      <c r="B1593" s="26" t="n">
        <v>44767</v>
      </c>
      <c r="C1593" s="12" t="inlineStr">
        <is>
          <t>VS10</t>
        </is>
      </c>
      <c r="D1593" s="12" t="inlineStr">
        <is>
          <t>SS Pipes</t>
        </is>
      </c>
      <c r="E1593" s="12" t="inlineStr">
        <is>
          <t>N</t>
        </is>
      </c>
      <c r="F1593" s="12" t="n">
        <v>16.83</v>
      </c>
      <c r="G1593" s="17" t="n">
        <v>54565.18</v>
      </c>
      <c r="H1593" s="26" t="n">
        <v>44782</v>
      </c>
      <c r="I1593" s="26" t="n">
        <v>44782</v>
      </c>
      <c r="J1593" s="12" t="n">
        <v>16.72</v>
      </c>
      <c r="K1593" s="17" t="n">
        <v>918331.98</v>
      </c>
      <c r="L1593" s="12" t="n">
        <v>0</v>
      </c>
      <c r="M1593" s="12" t="n">
        <v>10</v>
      </c>
      <c r="N1593" s="27">
        <f>F1593-J1593</f>
        <v/>
      </c>
      <c r="O1593" s="16">
        <f>I1593-H1593</f>
        <v/>
      </c>
      <c r="P1593" s="14">
        <f>F1593*G1593</f>
        <v/>
      </c>
      <c r="Q1593" s="14">
        <f>J1593*G1593</f>
        <v/>
      </c>
      <c r="R1593" s="14">
        <f>K1593-Q1593</f>
        <v/>
      </c>
      <c r="S1593" s="3">
        <f>P1593*Assumptions!$B$3/100</f>
        <v/>
      </c>
      <c r="T1593" s="14">
        <f>R1593-S1593</f>
        <v/>
      </c>
      <c r="U1593" s="14">
        <f>L1593*G1593</f>
        <v/>
      </c>
    </row>
    <row r="1594">
      <c r="A1594" s="12" t="inlineStr">
        <is>
          <t>PO-2021-1592</t>
        </is>
      </c>
      <c r="B1594" s="26" t="n">
        <v>44985</v>
      </c>
      <c r="C1594" s="12" t="inlineStr">
        <is>
          <t>VS23</t>
        </is>
      </c>
      <c r="D1594" s="12" t="inlineStr">
        <is>
          <t>MS Flats</t>
        </is>
      </c>
      <c r="E1594" s="12" t="inlineStr">
        <is>
          <t>N</t>
        </is>
      </c>
      <c r="F1594" s="12" t="n">
        <v>25.22</v>
      </c>
      <c r="G1594" s="17" t="n">
        <v>81096.64</v>
      </c>
      <c r="H1594" s="26" t="n">
        <v>44994</v>
      </c>
      <c r="I1594" s="26" t="n">
        <v>44995</v>
      </c>
      <c r="J1594" s="12" t="n">
        <v>25.04</v>
      </c>
      <c r="K1594" s="17" t="n">
        <v>2045257.26</v>
      </c>
      <c r="L1594" s="12" t="n">
        <v>0</v>
      </c>
      <c r="M1594" s="12" t="n">
        <v>22</v>
      </c>
      <c r="N1594" s="27">
        <f>F1594-J1594</f>
        <v/>
      </c>
      <c r="O1594" s="16">
        <f>I1594-H1594</f>
        <v/>
      </c>
      <c r="P1594" s="14">
        <f>F1594*G1594</f>
        <v/>
      </c>
      <c r="Q1594" s="14">
        <f>J1594*G1594</f>
        <v/>
      </c>
      <c r="R1594" s="14">
        <f>K1594-Q1594</f>
        <v/>
      </c>
      <c r="S1594" s="3">
        <f>P1594*Assumptions!$B$3/100</f>
        <v/>
      </c>
      <c r="T1594" s="14">
        <f>R1594-S1594</f>
        <v/>
      </c>
      <c r="U1594" s="14">
        <f>L1594*G1594</f>
        <v/>
      </c>
    </row>
    <row r="1595">
      <c r="A1595" s="12" t="inlineStr">
        <is>
          <t>PO-2021-1593</t>
        </is>
      </c>
      <c r="B1595" s="26" t="n">
        <v>44879</v>
      </c>
      <c r="C1595" s="12" t="inlineStr">
        <is>
          <t>VS09</t>
        </is>
      </c>
      <c r="D1595" s="12" t="inlineStr">
        <is>
          <t>HR Coils</t>
        </is>
      </c>
      <c r="E1595" s="12" t="inlineStr">
        <is>
          <t>Y</t>
        </is>
      </c>
      <c r="F1595" s="12" t="n">
        <v>19.78</v>
      </c>
      <c r="G1595" s="17" t="n">
        <v>86200.44</v>
      </c>
      <c r="H1595" s="26" t="n">
        <v>44890</v>
      </c>
      <c r="I1595" s="26" t="n">
        <v>44892</v>
      </c>
      <c r="J1595" s="12" t="n">
        <v>19.75</v>
      </c>
      <c r="K1595" s="17" t="n">
        <v>1705044.7</v>
      </c>
      <c r="L1595" s="12" t="n">
        <v>0</v>
      </c>
      <c r="M1595" s="12" t="n">
        <v>25</v>
      </c>
      <c r="N1595" s="27">
        <f>F1595-J1595</f>
        <v/>
      </c>
      <c r="O1595" s="16">
        <f>I1595-H1595</f>
        <v/>
      </c>
      <c r="P1595" s="14">
        <f>F1595*G1595</f>
        <v/>
      </c>
      <c r="Q1595" s="14">
        <f>J1595*G1595</f>
        <v/>
      </c>
      <c r="R1595" s="14">
        <f>K1595-Q1595</f>
        <v/>
      </c>
      <c r="S1595" s="3">
        <f>P1595*Assumptions!$B$3/100</f>
        <v/>
      </c>
      <c r="T1595" s="14">
        <f>R1595-S1595</f>
        <v/>
      </c>
      <c r="U1595" s="14">
        <f>L1595*G1595</f>
        <v/>
      </c>
    </row>
    <row r="1596">
      <c r="A1596" s="12" t="inlineStr">
        <is>
          <t>PO-2021-1594</t>
        </is>
      </c>
      <c r="B1596" s="26" t="n">
        <v>45290</v>
      </c>
      <c r="C1596" s="12" t="inlineStr">
        <is>
          <t>VS32</t>
        </is>
      </c>
      <c r="D1596" s="12" t="inlineStr">
        <is>
          <t>Spring Steel</t>
        </is>
      </c>
      <c r="E1596" s="12" t="inlineStr">
        <is>
          <t>N</t>
        </is>
      </c>
      <c r="F1596" s="12" t="n">
        <v>27.27</v>
      </c>
      <c r="G1596" s="17" t="n">
        <v>62258.59</v>
      </c>
      <c r="H1596" s="26" t="n">
        <v>45294</v>
      </c>
      <c r="I1596" s="26" t="n">
        <v>45294</v>
      </c>
      <c r="J1596" s="12" t="n">
        <v>27.19</v>
      </c>
      <c r="K1596" s="17" t="n">
        <v>1697791.75</v>
      </c>
      <c r="L1596" s="12" t="n">
        <v>0</v>
      </c>
      <c r="M1596" s="12" t="n">
        <v>5</v>
      </c>
      <c r="N1596" s="27">
        <f>F1596-J1596</f>
        <v/>
      </c>
      <c r="O1596" s="16">
        <f>I1596-H1596</f>
        <v/>
      </c>
      <c r="P1596" s="14">
        <f>F1596*G1596</f>
        <v/>
      </c>
      <c r="Q1596" s="14">
        <f>J1596*G1596</f>
        <v/>
      </c>
      <c r="R1596" s="14">
        <f>K1596-Q1596</f>
        <v/>
      </c>
      <c r="S1596" s="3">
        <f>P1596*Assumptions!$B$3/100</f>
        <v/>
      </c>
      <c r="T1596" s="14">
        <f>R1596-S1596</f>
        <v/>
      </c>
      <c r="U1596" s="14">
        <f>L1596*G1596</f>
        <v/>
      </c>
    </row>
    <row r="1597">
      <c r="A1597" s="12" t="inlineStr">
        <is>
          <t>PO-2021-1595</t>
        </is>
      </c>
      <c r="B1597" s="26" t="n">
        <v>45060</v>
      </c>
      <c r="C1597" s="12" t="inlineStr">
        <is>
          <t>VS34</t>
        </is>
      </c>
      <c r="D1597" s="12" t="inlineStr">
        <is>
          <t>HR Coils</t>
        </is>
      </c>
      <c r="E1597" s="12" t="inlineStr">
        <is>
          <t>N</t>
        </is>
      </c>
      <c r="F1597" s="12" t="n">
        <v>35.45</v>
      </c>
      <c r="G1597" s="17" t="n">
        <v>62639.48</v>
      </c>
      <c r="H1597" s="26" t="n">
        <v>45063</v>
      </c>
      <c r="I1597" s="26" t="n">
        <v>45065</v>
      </c>
      <c r="J1597" s="12" t="n">
        <v>35.1</v>
      </c>
      <c r="K1597" s="17" t="n">
        <v>2220569.57</v>
      </c>
      <c r="L1597" s="12" t="n">
        <v>0</v>
      </c>
      <c r="M1597" s="12" t="n">
        <v>14</v>
      </c>
      <c r="N1597" s="27">
        <f>F1597-J1597</f>
        <v/>
      </c>
      <c r="O1597" s="16">
        <f>I1597-H1597</f>
        <v/>
      </c>
      <c r="P1597" s="14">
        <f>F1597*G1597</f>
        <v/>
      </c>
      <c r="Q1597" s="14">
        <f>J1597*G1597</f>
        <v/>
      </c>
      <c r="R1597" s="14">
        <f>K1597-Q1597</f>
        <v/>
      </c>
      <c r="S1597" s="3">
        <f>P1597*Assumptions!$B$3/100</f>
        <v/>
      </c>
      <c r="T1597" s="14">
        <f>R1597-S1597</f>
        <v/>
      </c>
      <c r="U1597" s="14">
        <f>L1597*G1597</f>
        <v/>
      </c>
    </row>
    <row r="1598">
      <c r="A1598" s="12" t="inlineStr">
        <is>
          <t>PO-2021-1596</t>
        </is>
      </c>
      <c r="B1598" s="26" t="n">
        <v>44613</v>
      </c>
      <c r="C1598" s="12" t="inlineStr">
        <is>
          <t>VS02</t>
        </is>
      </c>
      <c r="D1598" s="12" t="inlineStr">
        <is>
          <t>Angles &amp; Channels</t>
        </is>
      </c>
      <c r="E1598" s="12" t="inlineStr">
        <is>
          <t>N</t>
        </is>
      </c>
      <c r="F1598" s="12" t="n">
        <v>28.36</v>
      </c>
      <c r="G1598" s="17" t="n">
        <v>116821.18</v>
      </c>
      <c r="H1598" s="26" t="n">
        <v>44617</v>
      </c>
      <c r="I1598" s="26" t="n">
        <v>44618</v>
      </c>
      <c r="J1598" s="12" t="n">
        <v>28.2</v>
      </c>
      <c r="K1598" s="17" t="n">
        <v>3313048.66</v>
      </c>
      <c r="L1598" s="12" t="n">
        <v>0</v>
      </c>
      <c r="M1598" s="12" t="n">
        <v>0</v>
      </c>
      <c r="N1598" s="27">
        <f>F1598-J1598</f>
        <v/>
      </c>
      <c r="O1598" s="16">
        <f>I1598-H1598</f>
        <v/>
      </c>
      <c r="P1598" s="14">
        <f>F1598*G1598</f>
        <v/>
      </c>
      <c r="Q1598" s="14">
        <f>J1598*G1598</f>
        <v/>
      </c>
      <c r="R1598" s="14">
        <f>K1598-Q1598</f>
        <v/>
      </c>
      <c r="S1598" s="3">
        <f>P1598*Assumptions!$B$3/100</f>
        <v/>
      </c>
      <c r="T1598" s="14">
        <f>R1598-S1598</f>
        <v/>
      </c>
      <c r="U1598" s="14">
        <f>L1598*G1598</f>
        <v/>
      </c>
    </row>
    <row r="1599">
      <c r="A1599" s="12" t="inlineStr">
        <is>
          <t>PO-2021-1597</t>
        </is>
      </c>
      <c r="B1599" s="26" t="n">
        <v>44319</v>
      </c>
      <c r="C1599" s="12" t="inlineStr">
        <is>
          <t>VS23</t>
        </is>
      </c>
      <c r="D1599" s="12" t="inlineStr">
        <is>
          <t>Angles &amp; Channels</t>
        </is>
      </c>
      <c r="E1599" s="12" t="inlineStr">
        <is>
          <t>N</t>
        </is>
      </c>
      <c r="F1599" s="12" t="n">
        <v>42.59</v>
      </c>
      <c r="G1599" s="17" t="n">
        <v>110007.94</v>
      </c>
      <c r="H1599" s="26" t="n">
        <v>44324</v>
      </c>
      <c r="I1599" s="26" t="n">
        <v>44324</v>
      </c>
      <c r="J1599" s="12" t="n">
        <v>42.4</v>
      </c>
      <c r="K1599" s="17" t="n">
        <v>4685238.16</v>
      </c>
      <c r="L1599" s="12" t="n">
        <v>0</v>
      </c>
      <c r="M1599" s="12" t="n">
        <v>0</v>
      </c>
      <c r="N1599" s="27">
        <f>F1599-J1599</f>
        <v/>
      </c>
      <c r="O1599" s="16">
        <f>I1599-H1599</f>
        <v/>
      </c>
      <c r="P1599" s="14">
        <f>F1599*G1599</f>
        <v/>
      </c>
      <c r="Q1599" s="14">
        <f>J1599*G1599</f>
        <v/>
      </c>
      <c r="R1599" s="14">
        <f>K1599-Q1599</f>
        <v/>
      </c>
      <c r="S1599" s="3">
        <f>P1599*Assumptions!$B$3/100</f>
        <v/>
      </c>
      <c r="T1599" s="14">
        <f>R1599-S1599</f>
        <v/>
      </c>
      <c r="U1599" s="14">
        <f>L1599*G1599</f>
        <v/>
      </c>
    </row>
    <row r="1600">
      <c r="A1600" s="12" t="inlineStr">
        <is>
          <t>PO-2021-1598</t>
        </is>
      </c>
      <c r="B1600" s="26" t="n">
        <v>44800</v>
      </c>
      <c r="C1600" s="12" t="inlineStr">
        <is>
          <t>VS30</t>
        </is>
      </c>
      <c r="D1600" s="12" t="inlineStr">
        <is>
          <t>Square/Rect Tubes</t>
        </is>
      </c>
      <c r="E1600" s="12" t="inlineStr">
        <is>
          <t>Y</t>
        </is>
      </c>
      <c r="F1600" s="12" t="n">
        <v>41.93</v>
      </c>
      <c r="G1600" s="17" t="n">
        <v>86362.53</v>
      </c>
      <c r="H1600" s="26" t="n">
        <v>44809</v>
      </c>
      <c r="I1600" s="26" t="n">
        <v>44812</v>
      </c>
      <c r="J1600" s="12" t="n">
        <v>41.64</v>
      </c>
      <c r="K1600" s="17" t="n">
        <v>3621180.88</v>
      </c>
      <c r="L1600" s="12" t="n">
        <v>0</v>
      </c>
      <c r="M1600" s="12" t="n">
        <v>10</v>
      </c>
      <c r="N1600" s="27">
        <f>F1600-J1600</f>
        <v/>
      </c>
      <c r="O1600" s="16">
        <f>I1600-H1600</f>
        <v/>
      </c>
      <c r="P1600" s="14">
        <f>F1600*G1600</f>
        <v/>
      </c>
      <c r="Q1600" s="14">
        <f>J1600*G1600</f>
        <v/>
      </c>
      <c r="R1600" s="14">
        <f>K1600-Q1600</f>
        <v/>
      </c>
      <c r="S1600" s="3">
        <f>P1600*Assumptions!$B$3/100</f>
        <v/>
      </c>
      <c r="T1600" s="14">
        <f>R1600-S1600</f>
        <v/>
      </c>
      <c r="U1600" s="14">
        <f>L1600*G1600</f>
        <v/>
      </c>
    </row>
    <row r="1601">
      <c r="A1601" s="12" t="inlineStr">
        <is>
          <t>PO-2021-1599</t>
        </is>
      </c>
      <c r="B1601" s="26" t="n">
        <v>44693</v>
      </c>
      <c r="C1601" s="12" t="inlineStr">
        <is>
          <t>VS14</t>
        </is>
      </c>
      <c r="D1601" s="12" t="inlineStr">
        <is>
          <t>HR Coils</t>
        </is>
      </c>
      <c r="E1601" s="12" t="inlineStr">
        <is>
          <t>N</t>
        </is>
      </c>
      <c r="F1601" s="12" t="n">
        <v>3.74</v>
      </c>
      <c r="G1601" s="17" t="n">
        <v>55335.1</v>
      </c>
      <c r="H1601" s="26" t="n">
        <v>44707</v>
      </c>
      <c r="I1601" s="26" t="n">
        <v>44709</v>
      </c>
      <c r="J1601" s="12" t="n">
        <v>3.72</v>
      </c>
      <c r="K1601" s="17" t="n">
        <v>206953.27</v>
      </c>
      <c r="L1601" s="12" t="n">
        <v>0</v>
      </c>
      <c r="M1601" s="12" t="n">
        <v>0</v>
      </c>
      <c r="N1601" s="27">
        <f>F1601-J1601</f>
        <v/>
      </c>
      <c r="O1601" s="16">
        <f>I1601-H1601</f>
        <v/>
      </c>
      <c r="P1601" s="14">
        <f>F1601*G1601</f>
        <v/>
      </c>
      <c r="Q1601" s="14">
        <f>J1601*G1601</f>
        <v/>
      </c>
      <c r="R1601" s="14">
        <f>K1601-Q1601</f>
        <v/>
      </c>
      <c r="S1601" s="3">
        <f>P1601*Assumptions!$B$3/100</f>
        <v/>
      </c>
      <c r="T1601" s="14">
        <f>R1601-S1601</f>
        <v/>
      </c>
      <c r="U1601" s="14">
        <f>L1601*G1601</f>
        <v/>
      </c>
    </row>
    <row r="1602">
      <c r="A1602" s="12" t="inlineStr">
        <is>
          <t>PO-2022-1600</t>
        </is>
      </c>
      <c r="B1602" s="26" t="n">
        <v>44490</v>
      </c>
      <c r="C1602" s="12" t="inlineStr">
        <is>
          <t>VS25</t>
        </is>
      </c>
      <c r="D1602" s="12" t="inlineStr">
        <is>
          <t>MS Pipes</t>
        </is>
      </c>
      <c r="E1602" s="12" t="inlineStr">
        <is>
          <t>N</t>
        </is>
      </c>
      <c r="F1602" s="12" t="n">
        <v>35.11</v>
      </c>
      <c r="G1602" s="17" t="n">
        <v>76853.16</v>
      </c>
      <c r="H1602" s="26" t="n">
        <v>44493</v>
      </c>
      <c r="I1602" s="26" t="n">
        <v>44494</v>
      </c>
      <c r="J1602" s="12" t="n">
        <v>34.91</v>
      </c>
      <c r="K1602" s="17" t="n">
        <v>2698314.45</v>
      </c>
      <c r="L1602" s="12" t="n">
        <v>0</v>
      </c>
      <c r="M1602" s="12" t="n">
        <v>8</v>
      </c>
      <c r="N1602" s="27">
        <f>F1602-J1602</f>
        <v/>
      </c>
      <c r="O1602" s="16">
        <f>I1602-H1602</f>
        <v/>
      </c>
      <c r="P1602" s="14">
        <f>F1602*G1602</f>
        <v/>
      </c>
      <c r="Q1602" s="14">
        <f>J1602*G1602</f>
        <v/>
      </c>
      <c r="R1602" s="14">
        <f>K1602-Q1602</f>
        <v/>
      </c>
      <c r="S1602" s="3">
        <f>P1602*Assumptions!$B$3/100</f>
        <v/>
      </c>
      <c r="T1602" s="14">
        <f>R1602-S1602</f>
        <v/>
      </c>
      <c r="U1602" s="14">
        <f>L1602*G1602</f>
        <v/>
      </c>
    </row>
    <row r="1603">
      <c r="A1603" s="12" t="inlineStr">
        <is>
          <t>PO-2022-1601</t>
        </is>
      </c>
      <c r="B1603" s="26" t="n">
        <v>44414</v>
      </c>
      <c r="C1603" s="12" t="inlineStr">
        <is>
          <t>VS05</t>
        </is>
      </c>
      <c r="D1603" s="12" t="inlineStr">
        <is>
          <t>Structural Steel</t>
        </is>
      </c>
      <c r="E1603" s="12" t="inlineStr">
        <is>
          <t>N</t>
        </is>
      </c>
      <c r="F1603" s="12" t="n">
        <v>42.03</v>
      </c>
      <c r="G1603" s="17" t="n">
        <v>110285.77</v>
      </c>
      <c r="H1603" s="26" t="n">
        <v>44417</v>
      </c>
      <c r="I1603" s="26" t="n">
        <v>44419</v>
      </c>
      <c r="J1603" s="12" t="n">
        <v>41.84</v>
      </c>
      <c r="K1603" s="17" t="n">
        <v>4635310.91</v>
      </c>
      <c r="L1603" s="12" t="n">
        <v>0</v>
      </c>
      <c r="M1603" s="12" t="n">
        <v>0</v>
      </c>
      <c r="N1603" s="27">
        <f>F1603-J1603</f>
        <v/>
      </c>
      <c r="O1603" s="16">
        <f>I1603-H1603</f>
        <v/>
      </c>
      <c r="P1603" s="14">
        <f>F1603*G1603</f>
        <v/>
      </c>
      <c r="Q1603" s="14">
        <f>J1603*G1603</f>
        <v/>
      </c>
      <c r="R1603" s="14">
        <f>K1603-Q1603</f>
        <v/>
      </c>
      <c r="S1603" s="3">
        <f>P1603*Assumptions!$B$3/100</f>
        <v/>
      </c>
      <c r="T1603" s="14">
        <f>R1603-S1603</f>
        <v/>
      </c>
      <c r="U1603" s="14">
        <f>L1603*G1603</f>
        <v/>
      </c>
    </row>
    <row r="1604">
      <c r="A1604" s="12" t="inlineStr">
        <is>
          <t>PO-2022-1602</t>
        </is>
      </c>
      <c r="B1604" s="26" t="n">
        <v>44497</v>
      </c>
      <c r="C1604" s="12" t="inlineStr">
        <is>
          <t>VS24</t>
        </is>
      </c>
      <c r="D1604" s="12" t="inlineStr">
        <is>
          <t>Square/Rect Tubes</t>
        </is>
      </c>
      <c r="E1604" s="12" t="inlineStr">
        <is>
          <t>N</t>
        </is>
      </c>
      <c r="F1604" s="12" t="n">
        <v>4.87</v>
      </c>
      <c r="G1604" s="17" t="n">
        <v>50779.9</v>
      </c>
      <c r="H1604" s="26" t="n">
        <v>44509</v>
      </c>
      <c r="I1604" s="26" t="n">
        <v>44512</v>
      </c>
      <c r="J1604" s="12" t="n">
        <v>4.85</v>
      </c>
      <c r="K1604" s="17" t="n">
        <v>247298.11</v>
      </c>
      <c r="L1604" s="12" t="n">
        <v>0</v>
      </c>
      <c r="M1604" s="12" t="n">
        <v>9</v>
      </c>
      <c r="N1604" s="27">
        <f>F1604-J1604</f>
        <v/>
      </c>
      <c r="O1604" s="16">
        <f>I1604-H1604</f>
        <v/>
      </c>
      <c r="P1604" s="14">
        <f>F1604*G1604</f>
        <v/>
      </c>
      <c r="Q1604" s="14">
        <f>J1604*G1604</f>
        <v/>
      </c>
      <c r="R1604" s="14">
        <f>K1604-Q1604</f>
        <v/>
      </c>
      <c r="S1604" s="3">
        <f>P1604*Assumptions!$B$3/100</f>
        <v/>
      </c>
      <c r="T1604" s="14">
        <f>R1604-S1604</f>
        <v/>
      </c>
      <c r="U1604" s="14">
        <f>L1604*G1604</f>
        <v/>
      </c>
    </row>
    <row r="1605">
      <c r="A1605" s="12" t="inlineStr">
        <is>
          <t>PO-2022-1603</t>
        </is>
      </c>
      <c r="B1605" s="26" t="n">
        <v>45049</v>
      </c>
      <c r="C1605" s="12" t="inlineStr">
        <is>
          <t>VS10</t>
        </is>
      </c>
      <c r="D1605" s="12" t="inlineStr">
        <is>
          <t>MS Sheets</t>
        </is>
      </c>
      <c r="E1605" s="12" t="inlineStr">
        <is>
          <t>Y</t>
        </is>
      </c>
      <c r="F1605" s="12" t="n">
        <v>24.02</v>
      </c>
      <c r="G1605" s="17" t="n">
        <v>55508.43</v>
      </c>
      <c r="H1605" s="26" t="n">
        <v>45060</v>
      </c>
      <c r="I1605" s="26" t="n">
        <v>45061</v>
      </c>
      <c r="J1605" s="12" t="n">
        <v>23.91</v>
      </c>
      <c r="K1605" s="17" t="n">
        <v>1333312.49</v>
      </c>
      <c r="L1605" s="12" t="n">
        <v>0</v>
      </c>
      <c r="M1605" s="12" t="n">
        <v>24</v>
      </c>
      <c r="N1605" s="27">
        <f>F1605-J1605</f>
        <v/>
      </c>
      <c r="O1605" s="16">
        <f>I1605-H1605</f>
        <v/>
      </c>
      <c r="P1605" s="14">
        <f>F1605*G1605</f>
        <v/>
      </c>
      <c r="Q1605" s="14">
        <f>J1605*G1605</f>
        <v/>
      </c>
      <c r="R1605" s="14">
        <f>K1605-Q1605</f>
        <v/>
      </c>
      <c r="S1605" s="3">
        <f>P1605*Assumptions!$B$3/100</f>
        <v/>
      </c>
      <c r="T1605" s="14">
        <f>R1605-S1605</f>
        <v/>
      </c>
      <c r="U1605" s="14">
        <f>L1605*G1605</f>
        <v/>
      </c>
    </row>
    <row r="1606">
      <c r="A1606" s="12" t="inlineStr">
        <is>
          <t>PO-2022-1604</t>
        </is>
      </c>
      <c r="B1606" s="26" t="n">
        <v>44810</v>
      </c>
      <c r="C1606" s="12" t="inlineStr">
        <is>
          <t>VS31</t>
        </is>
      </c>
      <c r="D1606" s="12" t="inlineStr">
        <is>
          <t>GI Wire</t>
        </is>
      </c>
      <c r="E1606" s="12" t="inlineStr">
        <is>
          <t>N</t>
        </is>
      </c>
      <c r="F1606" s="12" t="n">
        <v>36.41</v>
      </c>
      <c r="G1606" s="17" t="n">
        <v>78298.02</v>
      </c>
      <c r="H1606" s="26" t="n">
        <v>44823</v>
      </c>
      <c r="I1606" s="26" t="n">
        <v>44825</v>
      </c>
      <c r="J1606" s="12" t="n">
        <v>36.38</v>
      </c>
      <c r="K1606" s="17" t="n">
        <v>2850830.91</v>
      </c>
      <c r="L1606" s="12" t="n">
        <v>0</v>
      </c>
      <c r="M1606" s="12" t="n">
        <v>14</v>
      </c>
      <c r="N1606" s="27">
        <f>F1606-J1606</f>
        <v/>
      </c>
      <c r="O1606" s="16">
        <f>I1606-H1606</f>
        <v/>
      </c>
      <c r="P1606" s="14">
        <f>F1606*G1606</f>
        <v/>
      </c>
      <c r="Q1606" s="14">
        <f>J1606*G1606</f>
        <v/>
      </c>
      <c r="R1606" s="14">
        <f>K1606-Q1606</f>
        <v/>
      </c>
      <c r="S1606" s="3">
        <f>P1606*Assumptions!$B$3/100</f>
        <v/>
      </c>
      <c r="T1606" s="14">
        <f>R1606-S1606</f>
        <v/>
      </c>
      <c r="U1606" s="14">
        <f>L1606*G1606</f>
        <v/>
      </c>
    </row>
    <row r="1607">
      <c r="A1607" s="12" t="inlineStr">
        <is>
          <t>PO-2022-1605</t>
        </is>
      </c>
      <c r="B1607" s="26" t="n">
        <v>44224</v>
      </c>
      <c r="C1607" s="12" t="inlineStr">
        <is>
          <t>VS19</t>
        </is>
      </c>
      <c r="D1607" s="12" t="inlineStr">
        <is>
          <t>ERW Pipes</t>
        </is>
      </c>
      <c r="E1607" s="12" t="inlineStr">
        <is>
          <t>Y</t>
        </is>
      </c>
      <c r="F1607" s="12" t="n">
        <v>8.640000000000001</v>
      </c>
      <c r="G1607" s="17" t="n">
        <v>115530.26</v>
      </c>
      <c r="H1607" s="26" t="n">
        <v>44227</v>
      </c>
      <c r="I1607" s="26" t="n">
        <v>44230</v>
      </c>
      <c r="J1607" s="12" t="n">
        <v>8.4</v>
      </c>
      <c r="K1607" s="17" t="n">
        <v>998181.45</v>
      </c>
      <c r="L1607" s="12" t="n">
        <v>0.05</v>
      </c>
      <c r="M1607" s="12" t="n">
        <v>25</v>
      </c>
      <c r="N1607" s="27">
        <f>F1607-J1607</f>
        <v/>
      </c>
      <c r="O1607" s="16">
        <f>I1607-H1607</f>
        <v/>
      </c>
      <c r="P1607" s="14">
        <f>F1607*G1607</f>
        <v/>
      </c>
      <c r="Q1607" s="14">
        <f>J1607*G1607</f>
        <v/>
      </c>
      <c r="R1607" s="14">
        <f>K1607-Q1607</f>
        <v/>
      </c>
      <c r="S1607" s="3">
        <f>P1607*Assumptions!$B$3/100</f>
        <v/>
      </c>
      <c r="T1607" s="14">
        <f>R1607-S1607</f>
        <v/>
      </c>
      <c r="U1607" s="14">
        <f>L1607*G1607</f>
        <v/>
      </c>
    </row>
    <row r="1608">
      <c r="A1608" s="12" t="inlineStr">
        <is>
          <t>PO-2022-1606</t>
        </is>
      </c>
      <c r="B1608" s="26" t="n">
        <v>44552</v>
      </c>
      <c r="C1608" s="12" t="inlineStr">
        <is>
          <t>VS33</t>
        </is>
      </c>
      <c r="D1608" s="12" t="inlineStr">
        <is>
          <t>MS Sheets</t>
        </is>
      </c>
      <c r="E1608" s="12" t="inlineStr">
        <is>
          <t>N</t>
        </is>
      </c>
      <c r="F1608" s="12" t="n">
        <v>1.53</v>
      </c>
      <c r="G1608" s="17" t="n">
        <v>107451.01</v>
      </c>
      <c r="H1608" s="26" t="n">
        <v>44565</v>
      </c>
      <c r="I1608" s="26" t="n">
        <v>44568</v>
      </c>
      <c r="J1608" s="12" t="n">
        <v>1.52</v>
      </c>
      <c r="K1608" s="17" t="n">
        <v>164400.05</v>
      </c>
      <c r="L1608" s="12" t="n">
        <v>0</v>
      </c>
      <c r="M1608" s="12" t="n">
        <v>9</v>
      </c>
      <c r="N1608" s="27">
        <f>F1608-J1608</f>
        <v/>
      </c>
      <c r="O1608" s="16">
        <f>I1608-H1608</f>
        <v/>
      </c>
      <c r="P1608" s="14">
        <f>F1608*G1608</f>
        <v/>
      </c>
      <c r="Q1608" s="14">
        <f>J1608*G1608</f>
        <v/>
      </c>
      <c r="R1608" s="14">
        <f>K1608-Q1608</f>
        <v/>
      </c>
      <c r="S1608" s="3">
        <f>P1608*Assumptions!$B$3/100</f>
        <v/>
      </c>
      <c r="T1608" s="14">
        <f>R1608-S1608</f>
        <v/>
      </c>
      <c r="U1608" s="14">
        <f>L1608*G1608</f>
        <v/>
      </c>
    </row>
    <row r="1609">
      <c r="A1609" s="12" t="inlineStr">
        <is>
          <t>PO-2022-1607</t>
        </is>
      </c>
      <c r="B1609" s="26" t="n">
        <v>45127</v>
      </c>
      <c r="C1609" s="12" t="inlineStr">
        <is>
          <t>VS17</t>
        </is>
      </c>
      <c r="D1609" s="12" t="inlineStr">
        <is>
          <t>Hex Bars</t>
        </is>
      </c>
      <c r="E1609" s="12" t="inlineStr">
        <is>
          <t>N</t>
        </is>
      </c>
      <c r="F1609" s="12" t="n">
        <v>16</v>
      </c>
      <c r="G1609" s="17" t="n">
        <v>62048.61</v>
      </c>
      <c r="H1609" s="26" t="n">
        <v>45132</v>
      </c>
      <c r="I1609" s="26" t="n">
        <v>45132</v>
      </c>
      <c r="J1609" s="12" t="n">
        <v>15.95</v>
      </c>
      <c r="K1609" s="17" t="n">
        <v>992777.76</v>
      </c>
      <c r="L1609" s="12" t="n">
        <v>0</v>
      </c>
      <c r="M1609" s="12" t="n">
        <v>6</v>
      </c>
      <c r="N1609" s="27">
        <f>F1609-J1609</f>
        <v/>
      </c>
      <c r="O1609" s="16">
        <f>I1609-H1609</f>
        <v/>
      </c>
      <c r="P1609" s="14">
        <f>F1609*G1609</f>
        <v/>
      </c>
      <c r="Q1609" s="14">
        <f>J1609*G1609</f>
        <v/>
      </c>
      <c r="R1609" s="14">
        <f>K1609-Q1609</f>
        <v/>
      </c>
      <c r="S1609" s="3">
        <f>P1609*Assumptions!$B$3/100</f>
        <v/>
      </c>
      <c r="T1609" s="14">
        <f>R1609-S1609</f>
        <v/>
      </c>
      <c r="U1609" s="14">
        <f>L1609*G1609</f>
        <v/>
      </c>
    </row>
    <row r="1610">
      <c r="A1610" s="12" t="inlineStr">
        <is>
          <t>PO-2022-1608</t>
        </is>
      </c>
      <c r="B1610" s="26" t="n">
        <v>44753</v>
      </c>
      <c r="C1610" s="12" t="inlineStr">
        <is>
          <t>VS06</t>
        </is>
      </c>
      <c r="D1610" s="12" t="inlineStr">
        <is>
          <t>Hex Bars</t>
        </is>
      </c>
      <c r="E1610" s="12" t="inlineStr">
        <is>
          <t>N</t>
        </is>
      </c>
      <c r="F1610" s="12" t="n">
        <v>19.5</v>
      </c>
      <c r="G1610" s="17" t="n">
        <v>116330.48</v>
      </c>
      <c r="H1610" s="26" t="n">
        <v>44767</v>
      </c>
      <c r="I1610" s="26" t="n">
        <v>44767</v>
      </c>
      <c r="J1610" s="12" t="n">
        <v>19.4</v>
      </c>
      <c r="K1610" s="17" t="n">
        <v>2268444.36</v>
      </c>
      <c r="L1610" s="12" t="n">
        <v>0</v>
      </c>
      <c r="M1610" s="12" t="n">
        <v>13</v>
      </c>
      <c r="N1610" s="27">
        <f>F1610-J1610</f>
        <v/>
      </c>
      <c r="O1610" s="16">
        <f>I1610-H1610</f>
        <v/>
      </c>
      <c r="P1610" s="14">
        <f>F1610*G1610</f>
        <v/>
      </c>
      <c r="Q1610" s="14">
        <f>J1610*G1610</f>
        <v/>
      </c>
      <c r="R1610" s="14">
        <f>K1610-Q1610</f>
        <v/>
      </c>
      <c r="S1610" s="3">
        <f>P1610*Assumptions!$B$3/100</f>
        <v/>
      </c>
      <c r="T1610" s="14">
        <f>R1610-S1610</f>
        <v/>
      </c>
      <c r="U1610" s="14">
        <f>L1610*G1610</f>
        <v/>
      </c>
    </row>
    <row r="1611">
      <c r="A1611" s="12" t="inlineStr">
        <is>
          <t>PO-2022-1609</t>
        </is>
      </c>
      <c r="B1611" s="26" t="n">
        <v>44630</v>
      </c>
      <c r="C1611" s="12" t="inlineStr">
        <is>
          <t>VS26</t>
        </is>
      </c>
      <c r="D1611" s="12" t="inlineStr">
        <is>
          <t>GI Pipes</t>
        </is>
      </c>
      <c r="E1611" s="12" t="inlineStr">
        <is>
          <t>N</t>
        </is>
      </c>
      <c r="F1611" s="12" t="n">
        <v>11.73</v>
      </c>
      <c r="G1611" s="17" t="n">
        <v>58777.03</v>
      </c>
      <c r="H1611" s="26" t="n">
        <v>44644</v>
      </c>
      <c r="I1611" s="26" t="n">
        <v>44645</v>
      </c>
      <c r="J1611" s="12" t="n">
        <v>11.62</v>
      </c>
      <c r="K1611" s="17" t="n">
        <v>689454.5600000001</v>
      </c>
      <c r="L1611" s="12" t="n">
        <v>0</v>
      </c>
      <c r="M1611" s="12" t="n">
        <v>19</v>
      </c>
      <c r="N1611" s="27">
        <f>F1611-J1611</f>
        <v/>
      </c>
      <c r="O1611" s="16">
        <f>I1611-H1611</f>
        <v/>
      </c>
      <c r="P1611" s="14">
        <f>F1611*G1611</f>
        <v/>
      </c>
      <c r="Q1611" s="14">
        <f>J1611*G1611</f>
        <v/>
      </c>
      <c r="R1611" s="14">
        <f>K1611-Q1611</f>
        <v/>
      </c>
      <c r="S1611" s="3">
        <f>P1611*Assumptions!$B$3/100</f>
        <v/>
      </c>
      <c r="T1611" s="14">
        <f>R1611-S1611</f>
        <v/>
      </c>
      <c r="U1611" s="14">
        <f>L1611*G1611</f>
        <v/>
      </c>
    </row>
    <row r="1612">
      <c r="A1612" s="12" t="inlineStr">
        <is>
          <t>PO-2022-1610</t>
        </is>
      </c>
      <c r="B1612" s="26" t="n">
        <v>44355</v>
      </c>
      <c r="C1612" s="12" t="inlineStr">
        <is>
          <t>VS30</t>
        </is>
      </c>
      <c r="D1612" s="12" t="inlineStr">
        <is>
          <t>Structural Steel</t>
        </is>
      </c>
      <c r="E1612" s="12" t="inlineStr">
        <is>
          <t>Y</t>
        </is>
      </c>
      <c r="F1612" s="12" t="n">
        <v>16.35</v>
      </c>
      <c r="G1612" s="17" t="n">
        <v>93141.81</v>
      </c>
      <c r="H1612" s="26" t="n">
        <v>44364</v>
      </c>
      <c r="I1612" s="26" t="n">
        <v>44364</v>
      </c>
      <c r="J1612" s="12" t="n">
        <v>16.24</v>
      </c>
      <c r="K1612" s="17" t="n">
        <v>1522868.59</v>
      </c>
      <c r="L1612" s="12" t="n">
        <v>0</v>
      </c>
      <c r="M1612" s="12" t="n">
        <v>0</v>
      </c>
      <c r="N1612" s="27">
        <f>F1612-J1612</f>
        <v/>
      </c>
      <c r="O1612" s="16">
        <f>I1612-H1612</f>
        <v/>
      </c>
      <c r="P1612" s="14">
        <f>F1612*G1612</f>
        <v/>
      </c>
      <c r="Q1612" s="14">
        <f>J1612*G1612</f>
        <v/>
      </c>
      <c r="R1612" s="14">
        <f>K1612-Q1612</f>
        <v/>
      </c>
      <c r="S1612" s="3">
        <f>P1612*Assumptions!$B$3/100</f>
        <v/>
      </c>
      <c r="T1612" s="14">
        <f>R1612-S1612</f>
        <v/>
      </c>
      <c r="U1612" s="14">
        <f>L1612*G1612</f>
        <v/>
      </c>
    </row>
    <row r="1613">
      <c r="A1613" s="12" t="inlineStr">
        <is>
          <t>PO-2022-1611</t>
        </is>
      </c>
      <c r="B1613" s="26" t="n">
        <v>44534</v>
      </c>
      <c r="C1613" s="12" t="inlineStr">
        <is>
          <t>VS04</t>
        </is>
      </c>
      <c r="D1613" s="12" t="inlineStr">
        <is>
          <t>Angles &amp; Channels</t>
        </is>
      </c>
      <c r="E1613" s="12" t="inlineStr">
        <is>
          <t>N</t>
        </is>
      </c>
      <c r="F1613" s="12" t="n">
        <v>32.69</v>
      </c>
      <c r="G1613" s="17" t="n">
        <v>59604.79</v>
      </c>
      <c r="H1613" s="26" t="n">
        <v>44538</v>
      </c>
      <c r="I1613" s="26" t="n">
        <v>44541</v>
      </c>
      <c r="J1613" s="12" t="n">
        <v>32.43</v>
      </c>
      <c r="K1613" s="17" t="n">
        <v>1948480.59</v>
      </c>
      <c r="L1613" s="12" t="n">
        <v>0</v>
      </c>
      <c r="M1613" s="12" t="n">
        <v>0</v>
      </c>
      <c r="N1613" s="27">
        <f>F1613-J1613</f>
        <v/>
      </c>
      <c r="O1613" s="16">
        <f>I1613-H1613</f>
        <v/>
      </c>
      <c r="P1613" s="14">
        <f>F1613*G1613</f>
        <v/>
      </c>
      <c r="Q1613" s="14">
        <f>J1613*G1613</f>
        <v/>
      </c>
      <c r="R1613" s="14">
        <f>K1613-Q1613</f>
        <v/>
      </c>
      <c r="S1613" s="3">
        <f>P1613*Assumptions!$B$3/100</f>
        <v/>
      </c>
      <c r="T1613" s="14">
        <f>R1613-S1613</f>
        <v/>
      </c>
      <c r="U1613" s="14">
        <f>L1613*G1613</f>
        <v/>
      </c>
    </row>
    <row r="1614">
      <c r="A1614" s="12" t="inlineStr">
        <is>
          <t>PO-2022-1612</t>
        </is>
      </c>
      <c r="B1614" s="26" t="n">
        <v>44410</v>
      </c>
      <c r="C1614" s="12" t="inlineStr">
        <is>
          <t>VS05</t>
        </is>
      </c>
      <c r="D1614" s="12" t="inlineStr">
        <is>
          <t>Angles &amp; Channels</t>
        </is>
      </c>
      <c r="E1614" s="12" t="inlineStr">
        <is>
          <t>N</t>
        </is>
      </c>
      <c r="F1614" s="12" t="n">
        <v>30.56</v>
      </c>
      <c r="G1614" s="17" t="n">
        <v>108495.7</v>
      </c>
      <c r="H1614" s="26" t="n">
        <v>44413</v>
      </c>
      <c r="I1614" s="26" t="n">
        <v>44415</v>
      </c>
      <c r="J1614" s="12" t="n">
        <v>30.51</v>
      </c>
      <c r="K1614" s="17" t="n">
        <v>3315628.59</v>
      </c>
      <c r="L1614" s="12" t="n">
        <v>0</v>
      </c>
      <c r="M1614" s="12" t="n">
        <v>0</v>
      </c>
      <c r="N1614" s="27">
        <f>F1614-J1614</f>
        <v/>
      </c>
      <c r="O1614" s="16">
        <f>I1614-H1614</f>
        <v/>
      </c>
      <c r="P1614" s="14">
        <f>F1614*G1614</f>
        <v/>
      </c>
      <c r="Q1614" s="14">
        <f>J1614*G1614</f>
        <v/>
      </c>
      <c r="R1614" s="14">
        <f>K1614-Q1614</f>
        <v/>
      </c>
      <c r="S1614" s="3">
        <f>P1614*Assumptions!$B$3/100</f>
        <v/>
      </c>
      <c r="T1614" s="14">
        <f>R1614-S1614</f>
        <v/>
      </c>
      <c r="U1614" s="14">
        <f>L1614*G1614</f>
        <v/>
      </c>
    </row>
    <row r="1615">
      <c r="A1615" s="12" t="inlineStr">
        <is>
          <t>PO-2022-1613</t>
        </is>
      </c>
      <c r="B1615" s="26" t="n">
        <v>44687</v>
      </c>
      <c r="C1615" s="12" t="inlineStr">
        <is>
          <t>VS19</t>
        </is>
      </c>
      <c r="D1615" s="12" t="inlineStr">
        <is>
          <t>MS Sheets</t>
        </is>
      </c>
      <c r="E1615" s="12" t="inlineStr">
        <is>
          <t>N</t>
        </is>
      </c>
      <c r="F1615" s="12" t="n">
        <v>27.54</v>
      </c>
      <c r="G1615" s="17" t="n">
        <v>51894.9</v>
      </c>
      <c r="H1615" s="26" t="n">
        <v>44699</v>
      </c>
      <c r="I1615" s="26" t="n">
        <v>44701</v>
      </c>
      <c r="J1615" s="12" t="n">
        <v>26.83</v>
      </c>
      <c r="K1615" s="17" t="n">
        <v>1429185.55</v>
      </c>
      <c r="L1615" s="12" t="n">
        <v>1.18</v>
      </c>
      <c r="M1615" s="12" t="n">
        <v>8</v>
      </c>
      <c r="N1615" s="27">
        <f>F1615-J1615</f>
        <v/>
      </c>
      <c r="O1615" s="16">
        <f>I1615-H1615</f>
        <v/>
      </c>
      <c r="P1615" s="14">
        <f>F1615*G1615</f>
        <v/>
      </c>
      <c r="Q1615" s="14">
        <f>J1615*G1615</f>
        <v/>
      </c>
      <c r="R1615" s="14">
        <f>K1615-Q1615</f>
        <v/>
      </c>
      <c r="S1615" s="3">
        <f>P1615*Assumptions!$B$3/100</f>
        <v/>
      </c>
      <c r="T1615" s="14">
        <f>R1615-S1615</f>
        <v/>
      </c>
      <c r="U1615" s="14">
        <f>L1615*G1615</f>
        <v/>
      </c>
    </row>
    <row r="1616">
      <c r="A1616" s="12" t="inlineStr">
        <is>
          <t>PO-2022-1614</t>
        </is>
      </c>
      <c r="B1616" s="26" t="n">
        <v>44219</v>
      </c>
      <c r="C1616" s="12" t="inlineStr">
        <is>
          <t>VS20</t>
        </is>
      </c>
      <c r="D1616" s="12" t="inlineStr">
        <is>
          <t>GI Sheets</t>
        </is>
      </c>
      <c r="E1616" s="12" t="inlineStr">
        <is>
          <t>N</t>
        </is>
      </c>
      <c r="F1616" s="12" t="n">
        <v>28.03</v>
      </c>
      <c r="G1616" s="17" t="n">
        <v>92879.17</v>
      </c>
      <c r="H1616" s="26" t="n">
        <v>44222</v>
      </c>
      <c r="I1616" s="26" t="n">
        <v>44224</v>
      </c>
      <c r="J1616" s="12" t="n">
        <v>27.89</v>
      </c>
      <c r="K1616" s="17" t="n">
        <v>2603403.14</v>
      </c>
      <c r="L1616" s="12" t="n">
        <v>0</v>
      </c>
      <c r="M1616" s="12" t="n">
        <v>14</v>
      </c>
      <c r="N1616" s="27">
        <f>F1616-J1616</f>
        <v/>
      </c>
      <c r="O1616" s="16">
        <f>I1616-H1616</f>
        <v/>
      </c>
      <c r="P1616" s="14">
        <f>F1616*G1616</f>
        <v/>
      </c>
      <c r="Q1616" s="14">
        <f>J1616*G1616</f>
        <v/>
      </c>
      <c r="R1616" s="14">
        <f>K1616-Q1616</f>
        <v/>
      </c>
      <c r="S1616" s="3">
        <f>P1616*Assumptions!$B$3/100</f>
        <v/>
      </c>
      <c r="T1616" s="14">
        <f>R1616-S1616</f>
        <v/>
      </c>
      <c r="U1616" s="14">
        <f>L1616*G1616</f>
        <v/>
      </c>
    </row>
    <row r="1617">
      <c r="A1617" s="12" t="inlineStr">
        <is>
          <t>PO-2022-1615</t>
        </is>
      </c>
      <c r="B1617" s="26" t="n">
        <v>44689</v>
      </c>
      <c r="C1617" s="12" t="inlineStr">
        <is>
          <t>VS18</t>
        </is>
      </c>
      <c r="D1617" s="12" t="inlineStr">
        <is>
          <t>SS Pipes</t>
        </is>
      </c>
      <c r="E1617" s="12" t="inlineStr">
        <is>
          <t>Y</t>
        </is>
      </c>
      <c r="F1617" s="12" t="n">
        <v>48.86</v>
      </c>
      <c r="G1617" s="17" t="n">
        <v>87359.75999999999</v>
      </c>
      <c r="H1617" s="26" t="n">
        <v>44701</v>
      </c>
      <c r="I1617" s="26" t="n">
        <v>44704</v>
      </c>
      <c r="J1617" s="12" t="n">
        <v>48.68</v>
      </c>
      <c r="K1617" s="17" t="n">
        <v>4268397.87</v>
      </c>
      <c r="L1617" s="12" t="n">
        <v>0</v>
      </c>
      <c r="M1617" s="12" t="n">
        <v>9</v>
      </c>
      <c r="N1617" s="27">
        <f>F1617-J1617</f>
        <v/>
      </c>
      <c r="O1617" s="16">
        <f>I1617-H1617</f>
        <v/>
      </c>
      <c r="P1617" s="14">
        <f>F1617*G1617</f>
        <v/>
      </c>
      <c r="Q1617" s="14">
        <f>J1617*G1617</f>
        <v/>
      </c>
      <c r="R1617" s="14">
        <f>K1617-Q1617</f>
        <v/>
      </c>
      <c r="S1617" s="3">
        <f>P1617*Assumptions!$B$3/100</f>
        <v/>
      </c>
      <c r="T1617" s="14">
        <f>R1617-S1617</f>
        <v/>
      </c>
      <c r="U1617" s="14">
        <f>L1617*G1617</f>
        <v/>
      </c>
    </row>
    <row r="1618">
      <c r="A1618" s="12" t="inlineStr">
        <is>
          <t>PO-2022-1616</t>
        </is>
      </c>
      <c r="B1618" s="26" t="n">
        <v>45187</v>
      </c>
      <c r="C1618" s="12" t="inlineStr">
        <is>
          <t>VS03</t>
        </is>
      </c>
      <c r="D1618" s="12" t="inlineStr">
        <is>
          <t>GI Pipes</t>
        </is>
      </c>
      <c r="E1618" s="12" t="inlineStr">
        <is>
          <t>N</t>
        </is>
      </c>
      <c r="F1618" s="12" t="n">
        <v>16.41</v>
      </c>
      <c r="G1618" s="17" t="n">
        <v>120393.71</v>
      </c>
      <c r="H1618" s="26" t="n">
        <v>45190</v>
      </c>
      <c r="I1618" s="26" t="n">
        <v>45193</v>
      </c>
      <c r="J1618" s="12" t="n">
        <v>16.03</v>
      </c>
      <c r="K1618" s="17" t="n">
        <v>1975660.78</v>
      </c>
      <c r="L1618" s="12" t="n">
        <v>0.74</v>
      </c>
      <c r="M1618" s="12" t="n">
        <v>0</v>
      </c>
      <c r="N1618" s="27">
        <f>F1618-J1618</f>
        <v/>
      </c>
      <c r="O1618" s="16">
        <f>I1618-H1618</f>
        <v/>
      </c>
      <c r="P1618" s="14">
        <f>F1618*G1618</f>
        <v/>
      </c>
      <c r="Q1618" s="14">
        <f>J1618*G1618</f>
        <v/>
      </c>
      <c r="R1618" s="14">
        <f>K1618-Q1618</f>
        <v/>
      </c>
      <c r="S1618" s="3">
        <f>P1618*Assumptions!$B$3/100</f>
        <v/>
      </c>
      <c r="T1618" s="14">
        <f>R1618-S1618</f>
        <v/>
      </c>
      <c r="U1618" s="14">
        <f>L1618*G1618</f>
        <v/>
      </c>
    </row>
    <row r="1619">
      <c r="A1619" s="12" t="inlineStr">
        <is>
          <t>PO-2022-1617</t>
        </is>
      </c>
      <c r="B1619" s="26" t="n">
        <v>44927</v>
      </c>
      <c r="C1619" s="12" t="inlineStr">
        <is>
          <t>VS19</t>
        </is>
      </c>
      <c r="D1619" s="12" t="inlineStr">
        <is>
          <t>MS Rods</t>
        </is>
      </c>
      <c r="E1619" s="12" t="inlineStr">
        <is>
          <t>N</t>
        </is>
      </c>
      <c r="F1619" s="12" t="n">
        <v>25.51</v>
      </c>
      <c r="G1619" s="17" t="n">
        <v>71328.85000000001</v>
      </c>
      <c r="H1619" s="26" t="n">
        <v>44936</v>
      </c>
      <c r="I1619" s="26" t="n">
        <v>44943</v>
      </c>
      <c r="J1619" s="12" t="n">
        <v>24.56</v>
      </c>
      <c r="K1619" s="17" t="n">
        <v>1819598.96</v>
      </c>
      <c r="L1619" s="12" t="n">
        <v>0.85</v>
      </c>
      <c r="M1619" s="12" t="n">
        <v>7</v>
      </c>
      <c r="N1619" s="27">
        <f>F1619-J1619</f>
        <v/>
      </c>
      <c r="O1619" s="16">
        <f>I1619-H1619</f>
        <v/>
      </c>
      <c r="P1619" s="14">
        <f>F1619*G1619</f>
        <v/>
      </c>
      <c r="Q1619" s="14">
        <f>J1619*G1619</f>
        <v/>
      </c>
      <c r="R1619" s="14">
        <f>K1619-Q1619</f>
        <v/>
      </c>
      <c r="S1619" s="3">
        <f>P1619*Assumptions!$B$3/100</f>
        <v/>
      </c>
      <c r="T1619" s="14">
        <f>R1619-S1619</f>
        <v/>
      </c>
      <c r="U1619" s="14">
        <f>L1619*G1619</f>
        <v/>
      </c>
    </row>
    <row r="1620">
      <c r="A1620" s="12" t="inlineStr">
        <is>
          <t>PO-2022-1618</t>
        </is>
      </c>
      <c r="B1620" s="26" t="n">
        <v>44925</v>
      </c>
      <c r="C1620" s="12" t="inlineStr">
        <is>
          <t>VS09</t>
        </is>
      </c>
      <c r="D1620" s="12" t="inlineStr">
        <is>
          <t>ERW Pipes</t>
        </is>
      </c>
      <c r="E1620" s="12" t="inlineStr">
        <is>
          <t>N</t>
        </is>
      </c>
      <c r="F1620" s="12" t="n">
        <v>17.23</v>
      </c>
      <c r="G1620" s="17" t="n">
        <v>112238.34</v>
      </c>
      <c r="H1620" s="26" t="n">
        <v>44936</v>
      </c>
      <c r="I1620" s="26" t="n">
        <v>44939</v>
      </c>
      <c r="J1620" s="12" t="n">
        <v>17.19</v>
      </c>
      <c r="K1620" s="17" t="n">
        <v>1933866.6</v>
      </c>
      <c r="L1620" s="12" t="n">
        <v>0</v>
      </c>
      <c r="M1620" s="12" t="n">
        <v>0</v>
      </c>
      <c r="N1620" s="27">
        <f>F1620-J1620</f>
        <v/>
      </c>
      <c r="O1620" s="16">
        <f>I1620-H1620</f>
        <v/>
      </c>
      <c r="P1620" s="14">
        <f>F1620*G1620</f>
        <v/>
      </c>
      <c r="Q1620" s="14">
        <f>J1620*G1620</f>
        <v/>
      </c>
      <c r="R1620" s="14">
        <f>K1620-Q1620</f>
        <v/>
      </c>
      <c r="S1620" s="3">
        <f>P1620*Assumptions!$B$3/100</f>
        <v/>
      </c>
      <c r="T1620" s="14">
        <f>R1620-S1620</f>
        <v/>
      </c>
      <c r="U1620" s="14">
        <f>L1620*G1620</f>
        <v/>
      </c>
    </row>
    <row r="1621">
      <c r="A1621" s="12" t="inlineStr">
        <is>
          <t>PO-2022-1619</t>
        </is>
      </c>
      <c r="B1621" s="26" t="n">
        <v>44403</v>
      </c>
      <c r="C1621" s="12" t="inlineStr">
        <is>
          <t>VS33</t>
        </is>
      </c>
      <c r="D1621" s="12" t="inlineStr">
        <is>
          <t>Square/Rect Tubes</t>
        </is>
      </c>
      <c r="E1621" s="12" t="inlineStr">
        <is>
          <t>N</t>
        </is>
      </c>
      <c r="F1621" s="12" t="n">
        <v>2.16</v>
      </c>
      <c r="G1621" s="17" t="n">
        <v>104705.2</v>
      </c>
      <c r="H1621" s="26" t="n">
        <v>44413</v>
      </c>
      <c r="I1621" s="26" t="n">
        <v>44414</v>
      </c>
      <c r="J1621" s="12" t="n">
        <v>2.16</v>
      </c>
      <c r="K1621" s="17" t="n">
        <v>226163.23</v>
      </c>
      <c r="L1621" s="12" t="n">
        <v>0</v>
      </c>
      <c r="M1621" s="12" t="n">
        <v>11</v>
      </c>
      <c r="N1621" s="27">
        <f>F1621-J1621</f>
        <v/>
      </c>
      <c r="O1621" s="16">
        <f>I1621-H1621</f>
        <v/>
      </c>
      <c r="P1621" s="14">
        <f>F1621*G1621</f>
        <v/>
      </c>
      <c r="Q1621" s="14">
        <f>J1621*G1621</f>
        <v/>
      </c>
      <c r="R1621" s="14">
        <f>K1621-Q1621</f>
        <v/>
      </c>
      <c r="S1621" s="3">
        <f>P1621*Assumptions!$B$3/100</f>
        <v/>
      </c>
      <c r="T1621" s="14">
        <f>R1621-S1621</f>
        <v/>
      </c>
      <c r="U1621" s="14">
        <f>L1621*G1621</f>
        <v/>
      </c>
    </row>
    <row r="1622">
      <c r="A1622" s="12" t="inlineStr">
        <is>
          <t>PO-2022-1620</t>
        </is>
      </c>
      <c r="B1622" s="26" t="n">
        <v>44273</v>
      </c>
      <c r="C1622" s="12" t="inlineStr">
        <is>
          <t>VS19</t>
        </is>
      </c>
      <c r="D1622" s="12" t="inlineStr">
        <is>
          <t>MS Sheets</t>
        </is>
      </c>
      <c r="E1622" s="12" t="inlineStr">
        <is>
          <t>N</t>
        </is>
      </c>
      <c r="F1622" s="12" t="n">
        <v>8.43</v>
      </c>
      <c r="G1622" s="17" t="n">
        <v>82922.28999999999</v>
      </c>
      <c r="H1622" s="26" t="n">
        <v>44286</v>
      </c>
      <c r="I1622" s="26" t="n">
        <v>44289</v>
      </c>
      <c r="J1622" s="12" t="n">
        <v>8.220000000000001</v>
      </c>
      <c r="K1622" s="17" t="n">
        <v>699034.9</v>
      </c>
      <c r="L1622" s="12" t="n">
        <v>0.23</v>
      </c>
      <c r="M1622" s="12" t="n">
        <v>0</v>
      </c>
      <c r="N1622" s="27">
        <f>F1622-J1622</f>
        <v/>
      </c>
      <c r="O1622" s="16">
        <f>I1622-H1622</f>
        <v/>
      </c>
      <c r="P1622" s="14">
        <f>F1622*G1622</f>
        <v/>
      </c>
      <c r="Q1622" s="14">
        <f>J1622*G1622</f>
        <v/>
      </c>
      <c r="R1622" s="14">
        <f>K1622-Q1622</f>
        <v/>
      </c>
      <c r="S1622" s="3">
        <f>P1622*Assumptions!$B$3/100</f>
        <v/>
      </c>
      <c r="T1622" s="14">
        <f>R1622-S1622</f>
        <v/>
      </c>
      <c r="U1622" s="14">
        <f>L1622*G1622</f>
        <v/>
      </c>
    </row>
    <row r="1623">
      <c r="A1623" s="12" t="inlineStr">
        <is>
          <t>PO-2022-1621</t>
        </is>
      </c>
      <c r="B1623" s="26" t="n">
        <v>44388</v>
      </c>
      <c r="C1623" s="12" t="inlineStr">
        <is>
          <t>VS15</t>
        </is>
      </c>
      <c r="D1623" s="12" t="inlineStr">
        <is>
          <t>GI Sheets</t>
        </is>
      </c>
      <c r="E1623" s="12" t="inlineStr">
        <is>
          <t>N</t>
        </is>
      </c>
      <c r="F1623" s="12" t="n">
        <v>40.57</v>
      </c>
      <c r="G1623" s="17" t="n">
        <v>94066.50999999999</v>
      </c>
      <c r="H1623" s="26" t="n">
        <v>44403</v>
      </c>
      <c r="I1623" s="26" t="n">
        <v>44405</v>
      </c>
      <c r="J1623" s="12" t="n">
        <v>40.21</v>
      </c>
      <c r="K1623" s="17" t="n">
        <v>3816278.31</v>
      </c>
      <c r="L1623" s="12" t="n">
        <v>0</v>
      </c>
      <c r="M1623" s="12" t="n">
        <v>0</v>
      </c>
      <c r="N1623" s="27">
        <f>F1623-J1623</f>
        <v/>
      </c>
      <c r="O1623" s="16">
        <f>I1623-H1623</f>
        <v/>
      </c>
      <c r="P1623" s="14">
        <f>F1623*G1623</f>
        <v/>
      </c>
      <c r="Q1623" s="14">
        <f>J1623*G1623</f>
        <v/>
      </c>
      <c r="R1623" s="14">
        <f>K1623-Q1623</f>
        <v/>
      </c>
      <c r="S1623" s="3">
        <f>P1623*Assumptions!$B$3/100</f>
        <v/>
      </c>
      <c r="T1623" s="14">
        <f>R1623-S1623</f>
        <v/>
      </c>
      <c r="U1623" s="14">
        <f>L1623*G1623</f>
        <v/>
      </c>
    </row>
    <row r="1624">
      <c r="A1624" s="12" t="inlineStr">
        <is>
          <t>PO-2022-1622</t>
        </is>
      </c>
      <c r="B1624" s="26" t="n">
        <v>44526</v>
      </c>
      <c r="C1624" s="12" t="inlineStr">
        <is>
          <t>VS33</t>
        </is>
      </c>
      <c r="D1624" s="12" t="inlineStr">
        <is>
          <t>Hex Bars</t>
        </is>
      </c>
      <c r="E1624" s="12" t="inlineStr">
        <is>
          <t>N</t>
        </is>
      </c>
      <c r="F1624" s="12" t="n">
        <v>49.62</v>
      </c>
      <c r="G1624" s="17" t="n">
        <v>90655.42</v>
      </c>
      <c r="H1624" s="26" t="n">
        <v>44537</v>
      </c>
      <c r="I1624" s="26" t="n">
        <v>44538</v>
      </c>
      <c r="J1624" s="12" t="n">
        <v>49.51</v>
      </c>
      <c r="K1624" s="17" t="n">
        <v>4498321.94</v>
      </c>
      <c r="L1624" s="12" t="n">
        <v>0</v>
      </c>
      <c r="M1624" s="12" t="n">
        <v>0</v>
      </c>
      <c r="N1624" s="27">
        <f>F1624-J1624</f>
        <v/>
      </c>
      <c r="O1624" s="16">
        <f>I1624-H1624</f>
        <v/>
      </c>
      <c r="P1624" s="14">
        <f>F1624*G1624</f>
        <v/>
      </c>
      <c r="Q1624" s="14">
        <f>J1624*G1624</f>
        <v/>
      </c>
      <c r="R1624" s="14">
        <f>K1624-Q1624</f>
        <v/>
      </c>
      <c r="S1624" s="3">
        <f>P1624*Assumptions!$B$3/100</f>
        <v/>
      </c>
      <c r="T1624" s="14">
        <f>R1624-S1624</f>
        <v/>
      </c>
      <c r="U1624" s="14">
        <f>L1624*G1624</f>
        <v/>
      </c>
    </row>
    <row r="1625">
      <c r="A1625" s="12" t="inlineStr">
        <is>
          <t>PO-2022-1623</t>
        </is>
      </c>
      <c r="B1625" s="26" t="n">
        <v>44896</v>
      </c>
      <c r="C1625" s="12" t="inlineStr">
        <is>
          <t>VS29</t>
        </is>
      </c>
      <c r="D1625" s="12" t="inlineStr">
        <is>
          <t>Square/Rect Tubes</t>
        </is>
      </c>
      <c r="E1625" s="12" t="inlineStr">
        <is>
          <t>N</t>
        </is>
      </c>
      <c r="F1625" s="12" t="n">
        <v>17.61</v>
      </c>
      <c r="G1625" s="17" t="n">
        <v>72023.73</v>
      </c>
      <c r="H1625" s="26" t="n">
        <v>44905</v>
      </c>
      <c r="I1625" s="26" t="n">
        <v>44907</v>
      </c>
      <c r="J1625" s="12" t="n">
        <v>17.58</v>
      </c>
      <c r="K1625" s="17" t="n">
        <v>1268337.89</v>
      </c>
      <c r="L1625" s="12" t="n">
        <v>0</v>
      </c>
      <c r="M1625" s="12" t="n">
        <v>0</v>
      </c>
      <c r="N1625" s="27">
        <f>F1625-J1625</f>
        <v/>
      </c>
      <c r="O1625" s="16">
        <f>I1625-H1625</f>
        <v/>
      </c>
      <c r="P1625" s="14">
        <f>F1625*G1625</f>
        <v/>
      </c>
      <c r="Q1625" s="14">
        <f>J1625*G1625</f>
        <v/>
      </c>
      <c r="R1625" s="14">
        <f>K1625-Q1625</f>
        <v/>
      </c>
      <c r="S1625" s="3">
        <f>P1625*Assumptions!$B$3/100</f>
        <v/>
      </c>
      <c r="T1625" s="14">
        <f>R1625-S1625</f>
        <v/>
      </c>
      <c r="U1625" s="14">
        <f>L1625*G1625</f>
        <v/>
      </c>
    </row>
    <row r="1626">
      <c r="A1626" s="12" t="inlineStr">
        <is>
          <t>PO-2022-1624</t>
        </is>
      </c>
      <c r="B1626" s="26" t="n">
        <v>44278</v>
      </c>
      <c r="C1626" s="12" t="inlineStr">
        <is>
          <t>VS25</t>
        </is>
      </c>
      <c r="D1626" s="12" t="inlineStr">
        <is>
          <t>HR Coils</t>
        </is>
      </c>
      <c r="E1626" s="12" t="inlineStr">
        <is>
          <t>N</t>
        </is>
      </c>
      <c r="F1626" s="12" t="n">
        <v>11.23</v>
      </c>
      <c r="G1626" s="17" t="n">
        <v>90779.03999999999</v>
      </c>
      <c r="H1626" s="26" t="n">
        <v>44282</v>
      </c>
      <c r="I1626" s="26" t="n">
        <v>44282</v>
      </c>
      <c r="J1626" s="12" t="n">
        <v>11.22</v>
      </c>
      <c r="K1626" s="17" t="n">
        <v>1019448.62</v>
      </c>
      <c r="L1626" s="12" t="n">
        <v>0</v>
      </c>
      <c r="M1626" s="12" t="n">
        <v>10</v>
      </c>
      <c r="N1626" s="27">
        <f>F1626-J1626</f>
        <v/>
      </c>
      <c r="O1626" s="16">
        <f>I1626-H1626</f>
        <v/>
      </c>
      <c r="P1626" s="14">
        <f>F1626*G1626</f>
        <v/>
      </c>
      <c r="Q1626" s="14">
        <f>J1626*G1626</f>
        <v/>
      </c>
      <c r="R1626" s="14">
        <f>K1626-Q1626</f>
        <v/>
      </c>
      <c r="S1626" s="3">
        <f>P1626*Assumptions!$B$3/100</f>
        <v/>
      </c>
      <c r="T1626" s="14">
        <f>R1626-S1626</f>
        <v/>
      </c>
      <c r="U1626" s="14">
        <f>L1626*G1626</f>
        <v/>
      </c>
    </row>
    <row r="1627">
      <c r="A1627" s="12" t="inlineStr">
        <is>
          <t>PO-2022-1625</t>
        </is>
      </c>
      <c r="B1627" s="26" t="n">
        <v>44509</v>
      </c>
      <c r="C1627" s="12" t="inlineStr">
        <is>
          <t>VS32</t>
        </is>
      </c>
      <c r="D1627" s="12" t="inlineStr">
        <is>
          <t>ERW Pipes</t>
        </is>
      </c>
      <c r="E1627" s="12" t="inlineStr">
        <is>
          <t>N</t>
        </is>
      </c>
      <c r="F1627" s="12" t="n">
        <v>40.43</v>
      </c>
      <c r="G1627" s="17" t="n">
        <v>55696.69</v>
      </c>
      <c r="H1627" s="26" t="n">
        <v>44516</v>
      </c>
      <c r="I1627" s="26" t="n">
        <v>44517</v>
      </c>
      <c r="J1627" s="12" t="n">
        <v>40.28</v>
      </c>
      <c r="K1627" s="17" t="n">
        <v>2251817.18</v>
      </c>
      <c r="L1627" s="12" t="n">
        <v>0</v>
      </c>
      <c r="M1627" s="12" t="n">
        <v>16</v>
      </c>
      <c r="N1627" s="27">
        <f>F1627-J1627</f>
        <v/>
      </c>
      <c r="O1627" s="16">
        <f>I1627-H1627</f>
        <v/>
      </c>
      <c r="P1627" s="14">
        <f>F1627*G1627</f>
        <v/>
      </c>
      <c r="Q1627" s="14">
        <f>J1627*G1627</f>
        <v/>
      </c>
      <c r="R1627" s="14">
        <f>K1627-Q1627</f>
        <v/>
      </c>
      <c r="S1627" s="3">
        <f>P1627*Assumptions!$B$3/100</f>
        <v/>
      </c>
      <c r="T1627" s="14">
        <f>R1627-S1627</f>
        <v/>
      </c>
      <c r="U1627" s="14">
        <f>L1627*G1627</f>
        <v/>
      </c>
    </row>
    <row r="1628">
      <c r="A1628" s="12" t="inlineStr">
        <is>
          <t>PO-2022-1626</t>
        </is>
      </c>
      <c r="B1628" s="26" t="n">
        <v>44375</v>
      </c>
      <c r="C1628" s="12" t="inlineStr">
        <is>
          <t>VS32</t>
        </is>
      </c>
      <c r="D1628" s="12" t="inlineStr">
        <is>
          <t>ERW Pipes</t>
        </is>
      </c>
      <c r="E1628" s="12" t="inlineStr">
        <is>
          <t>N</t>
        </is>
      </c>
      <c r="F1628" s="12" t="n">
        <v>23.29</v>
      </c>
      <c r="G1628" s="17" t="n">
        <v>57728.82</v>
      </c>
      <c r="H1628" s="26" t="n">
        <v>44382</v>
      </c>
      <c r="I1628" s="26" t="n">
        <v>44382</v>
      </c>
      <c r="J1628" s="12" t="n">
        <v>23.17</v>
      </c>
      <c r="K1628" s="17" t="n">
        <v>1344504.22</v>
      </c>
      <c r="L1628" s="12" t="n">
        <v>0</v>
      </c>
      <c r="M1628" s="12" t="n">
        <v>6</v>
      </c>
      <c r="N1628" s="27">
        <f>F1628-J1628</f>
        <v/>
      </c>
      <c r="O1628" s="16">
        <f>I1628-H1628</f>
        <v/>
      </c>
      <c r="P1628" s="14">
        <f>F1628*G1628</f>
        <v/>
      </c>
      <c r="Q1628" s="14">
        <f>J1628*G1628</f>
        <v/>
      </c>
      <c r="R1628" s="14">
        <f>K1628-Q1628</f>
        <v/>
      </c>
      <c r="S1628" s="3">
        <f>P1628*Assumptions!$B$3/100</f>
        <v/>
      </c>
      <c r="T1628" s="14">
        <f>R1628-S1628</f>
        <v/>
      </c>
      <c r="U1628" s="14">
        <f>L1628*G1628</f>
        <v/>
      </c>
    </row>
    <row r="1629">
      <c r="A1629" s="12" t="inlineStr">
        <is>
          <t>PO-2022-1627</t>
        </is>
      </c>
      <c r="B1629" s="26" t="n">
        <v>44527</v>
      </c>
      <c r="C1629" s="12" t="inlineStr">
        <is>
          <t>VS05</t>
        </is>
      </c>
      <c r="D1629" s="12" t="inlineStr">
        <is>
          <t>CR Sheets</t>
        </is>
      </c>
      <c r="E1629" s="12" t="inlineStr">
        <is>
          <t>Y</t>
        </is>
      </c>
      <c r="F1629" s="12" t="n">
        <v>29.25</v>
      </c>
      <c r="G1629" s="17" t="n">
        <v>71502.64</v>
      </c>
      <c r="H1629" s="26" t="n">
        <v>44531</v>
      </c>
      <c r="I1629" s="26" t="n">
        <v>44531</v>
      </c>
      <c r="J1629" s="12" t="n">
        <v>29.16</v>
      </c>
      <c r="K1629" s="17" t="n">
        <v>2091452.22</v>
      </c>
      <c r="L1629" s="12" t="n">
        <v>0</v>
      </c>
      <c r="M1629" s="12" t="n">
        <v>0</v>
      </c>
      <c r="N1629" s="27">
        <f>F1629-J1629</f>
        <v/>
      </c>
      <c r="O1629" s="16">
        <f>I1629-H1629</f>
        <v/>
      </c>
      <c r="P1629" s="14">
        <f>F1629*G1629</f>
        <v/>
      </c>
      <c r="Q1629" s="14">
        <f>J1629*G1629</f>
        <v/>
      </c>
      <c r="R1629" s="14">
        <f>K1629-Q1629</f>
        <v/>
      </c>
      <c r="S1629" s="3">
        <f>P1629*Assumptions!$B$3/100</f>
        <v/>
      </c>
      <c r="T1629" s="14">
        <f>R1629-S1629</f>
        <v/>
      </c>
      <c r="U1629" s="14">
        <f>L1629*G1629</f>
        <v/>
      </c>
    </row>
    <row r="1630">
      <c r="A1630" s="12" t="inlineStr">
        <is>
          <t>PO-2022-1628</t>
        </is>
      </c>
      <c r="B1630" s="26" t="n">
        <v>44563</v>
      </c>
      <c r="C1630" s="12" t="inlineStr">
        <is>
          <t>VS30</t>
        </is>
      </c>
      <c r="D1630" s="12" t="inlineStr">
        <is>
          <t>CR Sheets</t>
        </is>
      </c>
      <c r="E1630" s="12" t="inlineStr">
        <is>
          <t>N</t>
        </is>
      </c>
      <c r="F1630" s="12" t="n">
        <v>49.32</v>
      </c>
      <c r="G1630" s="17" t="n">
        <v>118386.28</v>
      </c>
      <c r="H1630" s="26" t="n">
        <v>44578</v>
      </c>
      <c r="I1630" s="26" t="n">
        <v>44580</v>
      </c>
      <c r="J1630" s="12" t="n">
        <v>48.88</v>
      </c>
      <c r="K1630" s="17" t="n">
        <v>5838811.33</v>
      </c>
      <c r="L1630" s="12" t="n">
        <v>0</v>
      </c>
      <c r="M1630" s="12" t="n">
        <v>0</v>
      </c>
      <c r="N1630" s="27">
        <f>F1630-J1630</f>
        <v/>
      </c>
      <c r="O1630" s="16">
        <f>I1630-H1630</f>
        <v/>
      </c>
      <c r="P1630" s="14">
        <f>F1630*G1630</f>
        <v/>
      </c>
      <c r="Q1630" s="14">
        <f>J1630*G1630</f>
        <v/>
      </c>
      <c r="R1630" s="14">
        <f>K1630-Q1630</f>
        <v/>
      </c>
      <c r="S1630" s="3">
        <f>P1630*Assumptions!$B$3/100</f>
        <v/>
      </c>
      <c r="T1630" s="14">
        <f>R1630-S1630</f>
        <v/>
      </c>
      <c r="U1630" s="14">
        <f>L1630*G1630</f>
        <v/>
      </c>
    </row>
    <row r="1631">
      <c r="A1631" s="12" t="inlineStr">
        <is>
          <t>PO-2022-1629</t>
        </is>
      </c>
      <c r="B1631" s="26" t="n">
        <v>45102</v>
      </c>
      <c r="C1631" s="12" t="inlineStr">
        <is>
          <t>VS09</t>
        </is>
      </c>
      <c r="D1631" s="12" t="inlineStr">
        <is>
          <t>ERW Pipes</t>
        </is>
      </c>
      <c r="E1631" s="12" t="inlineStr">
        <is>
          <t>N</t>
        </is>
      </c>
      <c r="F1631" s="12" t="n">
        <v>48.61</v>
      </c>
      <c r="G1631" s="17" t="n">
        <v>81619.42</v>
      </c>
      <c r="H1631" s="26" t="n">
        <v>45110</v>
      </c>
      <c r="I1631" s="26" t="n">
        <v>45112</v>
      </c>
      <c r="J1631" s="12" t="n">
        <v>48.41</v>
      </c>
      <c r="K1631" s="17" t="n">
        <v>3967520.01</v>
      </c>
      <c r="L1631" s="12" t="n">
        <v>0</v>
      </c>
      <c r="M1631" s="12" t="n">
        <v>0</v>
      </c>
      <c r="N1631" s="27">
        <f>F1631-J1631</f>
        <v/>
      </c>
      <c r="O1631" s="16">
        <f>I1631-H1631</f>
        <v/>
      </c>
      <c r="P1631" s="14">
        <f>F1631*G1631</f>
        <v/>
      </c>
      <c r="Q1631" s="14">
        <f>J1631*G1631</f>
        <v/>
      </c>
      <c r="R1631" s="14">
        <f>K1631-Q1631</f>
        <v/>
      </c>
      <c r="S1631" s="3">
        <f>P1631*Assumptions!$B$3/100</f>
        <v/>
      </c>
      <c r="T1631" s="14">
        <f>R1631-S1631</f>
        <v/>
      </c>
      <c r="U1631" s="14">
        <f>L1631*G1631</f>
        <v/>
      </c>
    </row>
    <row r="1632">
      <c r="A1632" s="12" t="inlineStr">
        <is>
          <t>PO-2022-1630</t>
        </is>
      </c>
      <c r="B1632" s="26" t="n">
        <v>44784</v>
      </c>
      <c r="C1632" s="12" t="inlineStr">
        <is>
          <t>VS26</t>
        </is>
      </c>
      <c r="D1632" s="12" t="inlineStr">
        <is>
          <t>GI Wire</t>
        </is>
      </c>
      <c r="E1632" s="12" t="inlineStr">
        <is>
          <t>N</t>
        </is>
      </c>
      <c r="F1632" s="12" t="n">
        <v>42.99</v>
      </c>
      <c r="G1632" s="17" t="n">
        <v>113785.51</v>
      </c>
      <c r="H1632" s="26" t="n">
        <v>44789</v>
      </c>
      <c r="I1632" s="26" t="n">
        <v>44792</v>
      </c>
      <c r="J1632" s="12" t="n">
        <v>42.8</v>
      </c>
      <c r="K1632" s="17" t="n">
        <v>4891639.07</v>
      </c>
      <c r="L1632" s="12" t="n">
        <v>0</v>
      </c>
      <c r="M1632" s="12" t="n">
        <v>20</v>
      </c>
      <c r="N1632" s="27">
        <f>F1632-J1632</f>
        <v/>
      </c>
      <c r="O1632" s="16">
        <f>I1632-H1632</f>
        <v/>
      </c>
      <c r="P1632" s="14">
        <f>F1632*G1632</f>
        <v/>
      </c>
      <c r="Q1632" s="14">
        <f>J1632*G1632</f>
        <v/>
      </c>
      <c r="R1632" s="14">
        <f>K1632-Q1632</f>
        <v/>
      </c>
      <c r="S1632" s="3">
        <f>P1632*Assumptions!$B$3/100</f>
        <v/>
      </c>
      <c r="T1632" s="14">
        <f>R1632-S1632</f>
        <v/>
      </c>
      <c r="U1632" s="14">
        <f>L1632*G1632</f>
        <v/>
      </c>
    </row>
    <row r="1633">
      <c r="A1633" s="12" t="inlineStr">
        <is>
          <t>PO-2022-1631</t>
        </is>
      </c>
      <c r="B1633" s="26" t="n">
        <v>45099</v>
      </c>
      <c r="C1633" s="12" t="inlineStr">
        <is>
          <t>VS24</t>
        </is>
      </c>
      <c r="D1633" s="12" t="inlineStr">
        <is>
          <t>Hex Bars</t>
        </is>
      </c>
      <c r="E1633" s="12" t="inlineStr">
        <is>
          <t>N</t>
        </is>
      </c>
      <c r="F1633" s="12" t="n">
        <v>42.4</v>
      </c>
      <c r="G1633" s="17" t="n">
        <v>116403.37</v>
      </c>
      <c r="H1633" s="26" t="n">
        <v>45107</v>
      </c>
      <c r="I1633" s="26" t="n">
        <v>45108</v>
      </c>
      <c r="J1633" s="12" t="n">
        <v>42.2</v>
      </c>
      <c r="K1633" s="17" t="n">
        <v>4935502.89</v>
      </c>
      <c r="L1633" s="12" t="n">
        <v>0</v>
      </c>
      <c r="M1633" s="12" t="n">
        <v>21</v>
      </c>
      <c r="N1633" s="27">
        <f>F1633-J1633</f>
        <v/>
      </c>
      <c r="O1633" s="16">
        <f>I1633-H1633</f>
        <v/>
      </c>
      <c r="P1633" s="14">
        <f>F1633*G1633</f>
        <v/>
      </c>
      <c r="Q1633" s="14">
        <f>J1633*G1633</f>
        <v/>
      </c>
      <c r="R1633" s="14">
        <f>K1633-Q1633</f>
        <v/>
      </c>
      <c r="S1633" s="3">
        <f>P1633*Assumptions!$B$3/100</f>
        <v/>
      </c>
      <c r="T1633" s="14">
        <f>R1633-S1633</f>
        <v/>
      </c>
      <c r="U1633" s="14">
        <f>L1633*G1633</f>
        <v/>
      </c>
    </row>
    <row r="1634">
      <c r="A1634" s="12" t="inlineStr">
        <is>
          <t>PO-2022-1632</t>
        </is>
      </c>
      <c r="B1634" s="26" t="n">
        <v>44367</v>
      </c>
      <c r="C1634" s="12" t="inlineStr">
        <is>
          <t>VS27</t>
        </is>
      </c>
      <c r="D1634" s="12" t="inlineStr">
        <is>
          <t>Hex Bars</t>
        </is>
      </c>
      <c r="E1634" s="12" t="inlineStr">
        <is>
          <t>N</t>
        </is>
      </c>
      <c r="F1634" s="12" t="n">
        <v>23.05</v>
      </c>
      <c r="G1634" s="17" t="n">
        <v>110805.65</v>
      </c>
      <c r="H1634" s="26" t="n">
        <v>44380</v>
      </c>
      <c r="I1634" s="26" t="n">
        <v>44380</v>
      </c>
      <c r="J1634" s="12" t="n">
        <v>22.92</v>
      </c>
      <c r="K1634" s="17" t="n">
        <v>2554070.23</v>
      </c>
      <c r="L1634" s="12" t="n">
        <v>0</v>
      </c>
      <c r="M1634" s="12" t="n">
        <v>0</v>
      </c>
      <c r="N1634" s="27">
        <f>F1634-J1634</f>
        <v/>
      </c>
      <c r="O1634" s="16">
        <f>I1634-H1634</f>
        <v/>
      </c>
      <c r="P1634" s="14">
        <f>F1634*G1634</f>
        <v/>
      </c>
      <c r="Q1634" s="14">
        <f>J1634*G1634</f>
        <v/>
      </c>
      <c r="R1634" s="14">
        <f>K1634-Q1634</f>
        <v/>
      </c>
      <c r="S1634" s="3">
        <f>P1634*Assumptions!$B$3/100</f>
        <v/>
      </c>
      <c r="T1634" s="14">
        <f>R1634-S1634</f>
        <v/>
      </c>
      <c r="U1634" s="14">
        <f>L1634*G1634</f>
        <v/>
      </c>
    </row>
    <row r="1635">
      <c r="A1635" s="12" t="inlineStr">
        <is>
          <t>PO-2022-1633</t>
        </is>
      </c>
      <c r="B1635" s="26" t="n">
        <v>44284</v>
      </c>
      <c r="C1635" s="12" t="inlineStr">
        <is>
          <t>VS04</t>
        </is>
      </c>
      <c r="D1635" s="12" t="inlineStr">
        <is>
          <t>HR Coils</t>
        </is>
      </c>
      <c r="E1635" s="12" t="inlineStr">
        <is>
          <t>Y</t>
        </is>
      </c>
      <c r="F1635" s="12" t="n">
        <v>35.29</v>
      </c>
      <c r="G1635" s="17" t="n">
        <v>87060.03</v>
      </c>
      <c r="H1635" s="26" t="n">
        <v>44289</v>
      </c>
      <c r="I1635" s="26" t="n">
        <v>44291</v>
      </c>
      <c r="J1635" s="12" t="n">
        <v>35.01</v>
      </c>
      <c r="K1635" s="17" t="n">
        <v>3072348.46</v>
      </c>
      <c r="L1635" s="12" t="n">
        <v>0</v>
      </c>
      <c r="M1635" s="12" t="n">
        <v>0</v>
      </c>
      <c r="N1635" s="27">
        <f>F1635-J1635</f>
        <v/>
      </c>
      <c r="O1635" s="16">
        <f>I1635-H1635</f>
        <v/>
      </c>
      <c r="P1635" s="14">
        <f>F1635*G1635</f>
        <v/>
      </c>
      <c r="Q1635" s="14">
        <f>J1635*G1635</f>
        <v/>
      </c>
      <c r="R1635" s="14">
        <f>K1635-Q1635</f>
        <v/>
      </c>
      <c r="S1635" s="3">
        <f>P1635*Assumptions!$B$3/100</f>
        <v/>
      </c>
      <c r="T1635" s="14">
        <f>R1635-S1635</f>
        <v/>
      </c>
      <c r="U1635" s="14">
        <f>L1635*G1635</f>
        <v/>
      </c>
    </row>
    <row r="1636">
      <c r="A1636" s="12" t="inlineStr">
        <is>
          <t>PO-2022-1634</t>
        </is>
      </c>
      <c r="B1636" s="26" t="n">
        <v>44412</v>
      </c>
      <c r="C1636" s="12" t="inlineStr">
        <is>
          <t>VS19</t>
        </is>
      </c>
      <c r="D1636" s="12" t="inlineStr">
        <is>
          <t>MS Rods</t>
        </is>
      </c>
      <c r="E1636" s="12" t="inlineStr">
        <is>
          <t>N</t>
        </is>
      </c>
      <c r="F1636" s="12" t="n">
        <v>8.75</v>
      </c>
      <c r="G1636" s="17" t="n">
        <v>77943.87</v>
      </c>
      <c r="H1636" s="26" t="n">
        <v>44416</v>
      </c>
      <c r="I1636" s="26" t="n">
        <v>44424</v>
      </c>
      <c r="J1636" s="12" t="n">
        <v>8.48</v>
      </c>
      <c r="K1636" s="17" t="n">
        <v>682008.86</v>
      </c>
      <c r="L1636" s="12" t="n">
        <v>0.11</v>
      </c>
      <c r="M1636" s="12" t="n">
        <v>0</v>
      </c>
      <c r="N1636" s="27">
        <f>F1636-J1636</f>
        <v/>
      </c>
      <c r="O1636" s="16">
        <f>I1636-H1636</f>
        <v/>
      </c>
      <c r="P1636" s="14">
        <f>F1636*G1636</f>
        <v/>
      </c>
      <c r="Q1636" s="14">
        <f>J1636*G1636</f>
        <v/>
      </c>
      <c r="R1636" s="14">
        <f>K1636-Q1636</f>
        <v/>
      </c>
      <c r="S1636" s="3">
        <f>P1636*Assumptions!$B$3/100</f>
        <v/>
      </c>
      <c r="T1636" s="14">
        <f>R1636-S1636</f>
        <v/>
      </c>
      <c r="U1636" s="14">
        <f>L1636*G1636</f>
        <v/>
      </c>
    </row>
    <row r="1637">
      <c r="A1637" s="12" t="inlineStr">
        <is>
          <t>PO-2022-1635</t>
        </is>
      </c>
      <c r="B1637" s="26" t="n">
        <v>44653</v>
      </c>
      <c r="C1637" s="12" t="inlineStr">
        <is>
          <t>VS25</t>
        </is>
      </c>
      <c r="D1637" s="12" t="inlineStr">
        <is>
          <t>Fasteners &amp; Fittings</t>
        </is>
      </c>
      <c r="E1637" s="12" t="inlineStr">
        <is>
          <t>N</t>
        </is>
      </c>
      <c r="F1637" s="12" t="n">
        <v>33.79</v>
      </c>
      <c r="G1637" s="17" t="n">
        <v>71170.35000000001</v>
      </c>
      <c r="H1637" s="26" t="n">
        <v>44663</v>
      </c>
      <c r="I1637" s="26" t="n">
        <v>44664</v>
      </c>
      <c r="J1637" s="12" t="n">
        <v>33.74</v>
      </c>
      <c r="K1637" s="17" t="n">
        <v>2404846.13</v>
      </c>
      <c r="L1637" s="12" t="n">
        <v>0</v>
      </c>
      <c r="M1637" s="12" t="n">
        <v>24</v>
      </c>
      <c r="N1637" s="27">
        <f>F1637-J1637</f>
        <v/>
      </c>
      <c r="O1637" s="16">
        <f>I1637-H1637</f>
        <v/>
      </c>
      <c r="P1637" s="14">
        <f>F1637*G1637</f>
        <v/>
      </c>
      <c r="Q1637" s="14">
        <f>J1637*G1637</f>
        <v/>
      </c>
      <c r="R1637" s="14">
        <f>K1637-Q1637</f>
        <v/>
      </c>
      <c r="S1637" s="3">
        <f>P1637*Assumptions!$B$3/100</f>
        <v/>
      </c>
      <c r="T1637" s="14">
        <f>R1637-S1637</f>
        <v/>
      </c>
      <c r="U1637" s="14">
        <f>L1637*G1637</f>
        <v/>
      </c>
    </row>
    <row r="1638">
      <c r="A1638" s="12" t="inlineStr">
        <is>
          <t>PO-2022-1636</t>
        </is>
      </c>
      <c r="B1638" s="26" t="n">
        <v>45292</v>
      </c>
      <c r="C1638" s="12" t="inlineStr">
        <is>
          <t>VS30</t>
        </is>
      </c>
      <c r="D1638" s="12" t="inlineStr">
        <is>
          <t>ERW Pipes</t>
        </is>
      </c>
      <c r="E1638" s="12" t="inlineStr">
        <is>
          <t>N</t>
        </is>
      </c>
      <c r="F1638" s="12" t="n">
        <v>5.21</v>
      </c>
      <c r="G1638" s="17" t="n">
        <v>99883.36</v>
      </c>
      <c r="H1638" s="26" t="n">
        <v>45301</v>
      </c>
      <c r="I1638" s="26" t="n">
        <v>45303</v>
      </c>
      <c r="J1638" s="12" t="n">
        <v>5.19</v>
      </c>
      <c r="K1638" s="17" t="n">
        <v>520392.31</v>
      </c>
      <c r="L1638" s="12" t="n">
        <v>0</v>
      </c>
      <c r="M1638" s="12" t="n">
        <v>2</v>
      </c>
      <c r="N1638" s="27">
        <f>F1638-J1638</f>
        <v/>
      </c>
      <c r="O1638" s="16">
        <f>I1638-H1638</f>
        <v/>
      </c>
      <c r="P1638" s="14">
        <f>F1638*G1638</f>
        <v/>
      </c>
      <c r="Q1638" s="14">
        <f>J1638*G1638</f>
        <v/>
      </c>
      <c r="R1638" s="14">
        <f>K1638-Q1638</f>
        <v/>
      </c>
      <c r="S1638" s="3">
        <f>P1638*Assumptions!$B$3/100</f>
        <v/>
      </c>
      <c r="T1638" s="14">
        <f>R1638-S1638</f>
        <v/>
      </c>
      <c r="U1638" s="14">
        <f>L1638*G1638</f>
        <v/>
      </c>
    </row>
    <row r="1639">
      <c r="A1639" s="12" t="inlineStr">
        <is>
          <t>PO-2022-1637</t>
        </is>
      </c>
      <c r="B1639" s="26" t="n">
        <v>45084</v>
      </c>
      <c r="C1639" s="12" t="inlineStr">
        <is>
          <t>VS13</t>
        </is>
      </c>
      <c r="D1639" s="12" t="inlineStr">
        <is>
          <t>MS Rods</t>
        </is>
      </c>
      <c r="E1639" s="12" t="inlineStr">
        <is>
          <t>Y</t>
        </is>
      </c>
      <c r="F1639" s="12" t="n">
        <v>17.11</v>
      </c>
      <c r="G1639" s="17" t="n">
        <v>68796.36</v>
      </c>
      <c r="H1639" s="26" t="n">
        <v>45096</v>
      </c>
      <c r="I1639" s="26" t="n">
        <v>45097</v>
      </c>
      <c r="J1639" s="12" t="n">
        <v>17.01</v>
      </c>
      <c r="K1639" s="17" t="n">
        <v>1177105.72</v>
      </c>
      <c r="L1639" s="12" t="n">
        <v>0</v>
      </c>
      <c r="M1639" s="12" t="n">
        <v>0</v>
      </c>
      <c r="N1639" s="27">
        <f>F1639-J1639</f>
        <v/>
      </c>
      <c r="O1639" s="16">
        <f>I1639-H1639</f>
        <v/>
      </c>
      <c r="P1639" s="14">
        <f>F1639*G1639</f>
        <v/>
      </c>
      <c r="Q1639" s="14">
        <f>J1639*G1639</f>
        <v/>
      </c>
      <c r="R1639" s="14">
        <f>K1639-Q1639</f>
        <v/>
      </c>
      <c r="S1639" s="3">
        <f>P1639*Assumptions!$B$3/100</f>
        <v/>
      </c>
      <c r="T1639" s="14">
        <f>R1639-S1639</f>
        <v/>
      </c>
      <c r="U1639" s="14">
        <f>L1639*G1639</f>
        <v/>
      </c>
    </row>
    <row r="1640">
      <c r="A1640" s="12" t="inlineStr">
        <is>
          <t>PO-2022-1638</t>
        </is>
      </c>
      <c r="B1640" s="26" t="n">
        <v>45192</v>
      </c>
      <c r="C1640" s="12" t="inlineStr">
        <is>
          <t>VS14</t>
        </is>
      </c>
      <c r="D1640" s="12" t="inlineStr">
        <is>
          <t>Structural Steel</t>
        </is>
      </c>
      <c r="E1640" s="12" t="inlineStr">
        <is>
          <t>Y</t>
        </is>
      </c>
      <c r="F1640" s="12" t="n">
        <v>6.6</v>
      </c>
      <c r="G1640" s="17" t="n">
        <v>79093.39999999999</v>
      </c>
      <c r="H1640" s="26" t="n">
        <v>45203</v>
      </c>
      <c r="I1640" s="26" t="n">
        <v>45206</v>
      </c>
      <c r="J1640" s="12" t="n">
        <v>6.54</v>
      </c>
      <c r="K1640" s="17" t="n">
        <v>522016.44</v>
      </c>
      <c r="L1640" s="12" t="n">
        <v>0</v>
      </c>
      <c r="M1640" s="12" t="n">
        <v>0</v>
      </c>
      <c r="N1640" s="27">
        <f>F1640-J1640</f>
        <v/>
      </c>
      <c r="O1640" s="16">
        <f>I1640-H1640</f>
        <v/>
      </c>
      <c r="P1640" s="14">
        <f>F1640*G1640</f>
        <v/>
      </c>
      <c r="Q1640" s="14">
        <f>J1640*G1640</f>
        <v/>
      </c>
      <c r="R1640" s="14">
        <f>K1640-Q1640</f>
        <v/>
      </c>
      <c r="S1640" s="3">
        <f>P1640*Assumptions!$B$3/100</f>
        <v/>
      </c>
      <c r="T1640" s="14">
        <f>R1640-S1640</f>
        <v/>
      </c>
      <c r="U1640" s="14">
        <f>L1640*G1640</f>
        <v/>
      </c>
    </row>
    <row r="1641">
      <c r="A1641" s="12" t="inlineStr">
        <is>
          <t>PO-2022-1639</t>
        </is>
      </c>
      <c r="B1641" s="26" t="n">
        <v>44515</v>
      </c>
      <c r="C1641" s="12" t="inlineStr">
        <is>
          <t>VS31</t>
        </is>
      </c>
      <c r="D1641" s="12" t="inlineStr">
        <is>
          <t>Square/Rect Tubes</t>
        </is>
      </c>
      <c r="E1641" s="12" t="inlineStr">
        <is>
          <t>N</t>
        </is>
      </c>
      <c r="F1641" s="12" t="n">
        <v>32.37</v>
      </c>
      <c r="G1641" s="17" t="n">
        <v>69014</v>
      </c>
      <c r="H1641" s="26" t="n">
        <v>44518</v>
      </c>
      <c r="I1641" s="26" t="n">
        <v>44521</v>
      </c>
      <c r="J1641" s="12" t="n">
        <v>32.15</v>
      </c>
      <c r="K1641" s="17" t="n">
        <v>2233983.18</v>
      </c>
      <c r="L1641" s="12" t="n">
        <v>0</v>
      </c>
      <c r="M1641" s="12" t="n">
        <v>0</v>
      </c>
      <c r="N1641" s="27">
        <f>F1641-J1641</f>
        <v/>
      </c>
      <c r="O1641" s="16">
        <f>I1641-H1641</f>
        <v/>
      </c>
      <c r="P1641" s="14">
        <f>F1641*G1641</f>
        <v/>
      </c>
      <c r="Q1641" s="14">
        <f>J1641*G1641</f>
        <v/>
      </c>
      <c r="R1641" s="14">
        <f>K1641-Q1641</f>
        <v/>
      </c>
      <c r="S1641" s="3">
        <f>P1641*Assumptions!$B$3/100</f>
        <v/>
      </c>
      <c r="T1641" s="14">
        <f>R1641-S1641</f>
        <v/>
      </c>
      <c r="U1641" s="14">
        <f>L1641*G1641</f>
        <v/>
      </c>
    </row>
    <row r="1642">
      <c r="A1642" s="12" t="inlineStr">
        <is>
          <t>PO-2022-1640</t>
        </is>
      </c>
      <c r="B1642" s="26" t="n">
        <v>44975</v>
      </c>
      <c r="C1642" s="12" t="inlineStr">
        <is>
          <t>VS04</t>
        </is>
      </c>
      <c r="D1642" s="12" t="inlineStr">
        <is>
          <t>Angles &amp; Channels</t>
        </is>
      </c>
      <c r="E1642" s="12" t="inlineStr">
        <is>
          <t>N</t>
        </is>
      </c>
      <c r="F1642" s="12" t="n">
        <v>39.69</v>
      </c>
      <c r="G1642" s="17" t="n">
        <v>118392.06</v>
      </c>
      <c r="H1642" s="26" t="n">
        <v>44981</v>
      </c>
      <c r="I1642" s="26" t="n">
        <v>44981</v>
      </c>
      <c r="J1642" s="12" t="n">
        <v>39.48</v>
      </c>
      <c r="K1642" s="17" t="n">
        <v>4698980.86</v>
      </c>
      <c r="L1642" s="12" t="n">
        <v>0</v>
      </c>
      <c r="M1642" s="12" t="n">
        <v>20</v>
      </c>
      <c r="N1642" s="27">
        <f>F1642-J1642</f>
        <v/>
      </c>
      <c r="O1642" s="16">
        <f>I1642-H1642</f>
        <v/>
      </c>
      <c r="P1642" s="14">
        <f>F1642*G1642</f>
        <v/>
      </c>
      <c r="Q1642" s="14">
        <f>J1642*G1642</f>
        <v/>
      </c>
      <c r="R1642" s="14">
        <f>K1642-Q1642</f>
        <v/>
      </c>
      <c r="S1642" s="3">
        <f>P1642*Assumptions!$B$3/100</f>
        <v/>
      </c>
      <c r="T1642" s="14">
        <f>R1642-S1642</f>
        <v/>
      </c>
      <c r="U1642" s="14">
        <f>L1642*G1642</f>
        <v/>
      </c>
    </row>
    <row r="1643">
      <c r="A1643" s="12" t="inlineStr">
        <is>
          <t>PO-2022-1641</t>
        </is>
      </c>
      <c r="B1643" s="26" t="n">
        <v>44307</v>
      </c>
      <c r="C1643" s="12" t="inlineStr">
        <is>
          <t>VS14</t>
        </is>
      </c>
      <c r="D1643" s="12" t="inlineStr">
        <is>
          <t>MS Pipes</t>
        </is>
      </c>
      <c r="E1643" s="12" t="inlineStr">
        <is>
          <t>N</t>
        </is>
      </c>
      <c r="F1643" s="12" t="n">
        <v>47.68</v>
      </c>
      <c r="G1643" s="17" t="n">
        <v>96275.36</v>
      </c>
      <c r="H1643" s="26" t="n">
        <v>44314</v>
      </c>
      <c r="I1643" s="26" t="n">
        <v>44314</v>
      </c>
      <c r="J1643" s="12" t="n">
        <v>47.65</v>
      </c>
      <c r="K1643" s="17" t="n">
        <v>4590409.16</v>
      </c>
      <c r="L1643" s="12" t="n">
        <v>0</v>
      </c>
      <c r="M1643" s="12" t="n">
        <v>1</v>
      </c>
      <c r="N1643" s="27">
        <f>F1643-J1643</f>
        <v/>
      </c>
      <c r="O1643" s="16">
        <f>I1643-H1643</f>
        <v/>
      </c>
      <c r="P1643" s="14">
        <f>F1643*G1643</f>
        <v/>
      </c>
      <c r="Q1643" s="14">
        <f>J1643*G1643</f>
        <v/>
      </c>
      <c r="R1643" s="14">
        <f>K1643-Q1643</f>
        <v/>
      </c>
      <c r="S1643" s="3">
        <f>P1643*Assumptions!$B$3/100</f>
        <v/>
      </c>
      <c r="T1643" s="14">
        <f>R1643-S1643</f>
        <v/>
      </c>
      <c r="U1643" s="14">
        <f>L1643*G1643</f>
        <v/>
      </c>
    </row>
    <row r="1644">
      <c r="A1644" s="12" t="inlineStr">
        <is>
          <t>PO-2022-1642</t>
        </is>
      </c>
      <c r="B1644" s="26" t="n">
        <v>44713</v>
      </c>
      <c r="C1644" s="12" t="inlineStr">
        <is>
          <t>VS12</t>
        </is>
      </c>
      <c r="D1644" s="12" t="inlineStr">
        <is>
          <t>SS Pipes</t>
        </is>
      </c>
      <c r="E1644" s="12" t="inlineStr">
        <is>
          <t>N</t>
        </is>
      </c>
      <c r="F1644" s="12" t="n">
        <v>7.95</v>
      </c>
      <c r="G1644" s="17" t="n">
        <v>68164.61</v>
      </c>
      <c r="H1644" s="26" t="n">
        <v>44717</v>
      </c>
      <c r="I1644" s="26" t="n">
        <v>44720</v>
      </c>
      <c r="J1644" s="12" t="n">
        <v>7.76</v>
      </c>
      <c r="K1644" s="17" t="n">
        <v>541908.65</v>
      </c>
      <c r="L1644" s="12" t="n">
        <v>0.15</v>
      </c>
      <c r="M1644" s="12" t="n">
        <v>0</v>
      </c>
      <c r="N1644" s="27">
        <f>F1644-J1644</f>
        <v/>
      </c>
      <c r="O1644" s="16">
        <f>I1644-H1644</f>
        <v/>
      </c>
      <c r="P1644" s="14">
        <f>F1644*G1644</f>
        <v/>
      </c>
      <c r="Q1644" s="14">
        <f>J1644*G1644</f>
        <v/>
      </c>
      <c r="R1644" s="14">
        <f>K1644-Q1644</f>
        <v/>
      </c>
      <c r="S1644" s="3">
        <f>P1644*Assumptions!$B$3/100</f>
        <v/>
      </c>
      <c r="T1644" s="14">
        <f>R1644-S1644</f>
        <v/>
      </c>
      <c r="U1644" s="14">
        <f>L1644*G1644</f>
        <v/>
      </c>
    </row>
    <row r="1645">
      <c r="A1645" s="12" t="inlineStr">
        <is>
          <t>PO-2022-1643</t>
        </is>
      </c>
      <c r="B1645" s="26" t="n">
        <v>44807</v>
      </c>
      <c r="C1645" s="12" t="inlineStr">
        <is>
          <t>VS29</t>
        </is>
      </c>
      <c r="D1645" s="12" t="inlineStr">
        <is>
          <t>GI Wire</t>
        </is>
      </c>
      <c r="E1645" s="12" t="inlineStr">
        <is>
          <t>N</t>
        </is>
      </c>
      <c r="F1645" s="12" t="n">
        <v>26.71</v>
      </c>
      <c r="G1645" s="17" t="n">
        <v>95223.33</v>
      </c>
      <c r="H1645" s="26" t="n">
        <v>44814</v>
      </c>
      <c r="I1645" s="26" t="n">
        <v>44815</v>
      </c>
      <c r="J1645" s="12" t="n">
        <v>26.6</v>
      </c>
      <c r="K1645" s="17" t="n">
        <v>2543415.14</v>
      </c>
      <c r="L1645" s="12" t="n">
        <v>0</v>
      </c>
      <c r="M1645" s="12" t="n">
        <v>25</v>
      </c>
      <c r="N1645" s="27">
        <f>F1645-J1645</f>
        <v/>
      </c>
      <c r="O1645" s="16">
        <f>I1645-H1645</f>
        <v/>
      </c>
      <c r="P1645" s="14">
        <f>F1645*G1645</f>
        <v/>
      </c>
      <c r="Q1645" s="14">
        <f>J1645*G1645</f>
        <v/>
      </c>
      <c r="R1645" s="14">
        <f>K1645-Q1645</f>
        <v/>
      </c>
      <c r="S1645" s="3">
        <f>P1645*Assumptions!$B$3/100</f>
        <v/>
      </c>
      <c r="T1645" s="14">
        <f>R1645-S1645</f>
        <v/>
      </c>
      <c r="U1645" s="14">
        <f>L1645*G1645</f>
        <v/>
      </c>
    </row>
    <row r="1646">
      <c r="A1646" s="12" t="inlineStr">
        <is>
          <t>PO-2022-1644</t>
        </is>
      </c>
      <c r="B1646" s="26" t="n">
        <v>44573</v>
      </c>
      <c r="C1646" s="12" t="inlineStr">
        <is>
          <t>VS04</t>
        </is>
      </c>
      <c r="D1646" s="12" t="inlineStr">
        <is>
          <t>SS Pipes</t>
        </is>
      </c>
      <c r="E1646" s="12" t="inlineStr">
        <is>
          <t>N</t>
        </is>
      </c>
      <c r="F1646" s="12" t="n">
        <v>44.85</v>
      </c>
      <c r="G1646" s="17" t="n">
        <v>77140.07000000001</v>
      </c>
      <c r="H1646" s="26" t="n">
        <v>44588</v>
      </c>
      <c r="I1646" s="26" t="n">
        <v>44589</v>
      </c>
      <c r="J1646" s="12" t="n">
        <v>44.62</v>
      </c>
      <c r="K1646" s="17" t="n">
        <v>3459732.14</v>
      </c>
      <c r="L1646" s="12" t="n">
        <v>0</v>
      </c>
      <c r="M1646" s="12" t="n">
        <v>0</v>
      </c>
      <c r="N1646" s="27">
        <f>F1646-J1646</f>
        <v/>
      </c>
      <c r="O1646" s="16">
        <f>I1646-H1646</f>
        <v/>
      </c>
      <c r="P1646" s="14">
        <f>F1646*G1646</f>
        <v/>
      </c>
      <c r="Q1646" s="14">
        <f>J1646*G1646</f>
        <v/>
      </c>
      <c r="R1646" s="14">
        <f>K1646-Q1646</f>
        <v/>
      </c>
      <c r="S1646" s="3">
        <f>P1646*Assumptions!$B$3/100</f>
        <v/>
      </c>
      <c r="T1646" s="14">
        <f>R1646-S1646</f>
        <v/>
      </c>
      <c r="U1646" s="14">
        <f>L1646*G1646</f>
        <v/>
      </c>
    </row>
    <row r="1647">
      <c r="A1647" s="12" t="inlineStr">
        <is>
          <t>PO-2022-1645</t>
        </is>
      </c>
      <c r="B1647" s="26" t="n">
        <v>44805</v>
      </c>
      <c r="C1647" s="12" t="inlineStr">
        <is>
          <t>VS11</t>
        </is>
      </c>
      <c r="D1647" s="12" t="inlineStr">
        <is>
          <t>GI Sheets</t>
        </is>
      </c>
      <c r="E1647" s="12" t="inlineStr">
        <is>
          <t>N</t>
        </is>
      </c>
      <c r="F1647" s="12" t="n">
        <v>18.11</v>
      </c>
      <c r="G1647" s="17" t="n">
        <v>76432.58</v>
      </c>
      <c r="H1647" s="26" t="n">
        <v>44815</v>
      </c>
      <c r="I1647" s="26" t="n">
        <v>44817</v>
      </c>
      <c r="J1647" s="12" t="n">
        <v>18.04</v>
      </c>
      <c r="K1647" s="17" t="n">
        <v>1384194.02</v>
      </c>
      <c r="L1647" s="12" t="n">
        <v>0</v>
      </c>
      <c r="M1647" s="12" t="n">
        <v>18</v>
      </c>
      <c r="N1647" s="27">
        <f>F1647-J1647</f>
        <v/>
      </c>
      <c r="O1647" s="16">
        <f>I1647-H1647</f>
        <v/>
      </c>
      <c r="P1647" s="14">
        <f>F1647*G1647</f>
        <v/>
      </c>
      <c r="Q1647" s="14">
        <f>J1647*G1647</f>
        <v/>
      </c>
      <c r="R1647" s="14">
        <f>K1647-Q1647</f>
        <v/>
      </c>
      <c r="S1647" s="3">
        <f>P1647*Assumptions!$B$3/100</f>
        <v/>
      </c>
      <c r="T1647" s="14">
        <f>R1647-S1647</f>
        <v/>
      </c>
      <c r="U1647" s="14">
        <f>L1647*G1647</f>
        <v/>
      </c>
    </row>
    <row r="1648">
      <c r="A1648" s="12" t="inlineStr">
        <is>
          <t>PO-2022-1646</t>
        </is>
      </c>
      <c r="B1648" s="26" t="n">
        <v>44526</v>
      </c>
      <c r="C1648" s="12" t="inlineStr">
        <is>
          <t>VS28</t>
        </is>
      </c>
      <c r="D1648" s="12" t="inlineStr">
        <is>
          <t>Angles &amp; Channels</t>
        </is>
      </c>
      <c r="E1648" s="12" t="inlineStr">
        <is>
          <t>N</t>
        </is>
      </c>
      <c r="F1648" s="12" t="n">
        <v>45.72</v>
      </c>
      <c r="G1648" s="17" t="n">
        <v>87773.77</v>
      </c>
      <c r="H1648" s="26" t="n">
        <v>44529</v>
      </c>
      <c r="I1648" s="26" t="n">
        <v>44531</v>
      </c>
      <c r="J1648" s="12" t="n">
        <v>45.7</v>
      </c>
      <c r="K1648" s="17" t="n">
        <v>4013016.76</v>
      </c>
      <c r="L1648" s="12" t="n">
        <v>0</v>
      </c>
      <c r="M1648" s="12" t="n">
        <v>23</v>
      </c>
      <c r="N1648" s="27">
        <f>F1648-J1648</f>
        <v/>
      </c>
      <c r="O1648" s="16">
        <f>I1648-H1648</f>
        <v/>
      </c>
      <c r="P1648" s="14">
        <f>F1648*G1648</f>
        <v/>
      </c>
      <c r="Q1648" s="14">
        <f>J1648*G1648</f>
        <v/>
      </c>
      <c r="R1648" s="14">
        <f>K1648-Q1648</f>
        <v/>
      </c>
      <c r="S1648" s="3">
        <f>P1648*Assumptions!$B$3/100</f>
        <v/>
      </c>
      <c r="T1648" s="14">
        <f>R1648-S1648</f>
        <v/>
      </c>
      <c r="U1648" s="14">
        <f>L1648*G1648</f>
        <v/>
      </c>
    </row>
    <row r="1649">
      <c r="A1649" s="12" t="inlineStr">
        <is>
          <t>PO-2022-1647</t>
        </is>
      </c>
      <c r="B1649" s="26" t="n">
        <v>44603</v>
      </c>
      <c r="C1649" s="12" t="inlineStr">
        <is>
          <t>VS05</t>
        </is>
      </c>
      <c r="D1649" s="12" t="inlineStr">
        <is>
          <t>Square/Rect Tubes</t>
        </is>
      </c>
      <c r="E1649" s="12" t="inlineStr">
        <is>
          <t>N</t>
        </is>
      </c>
      <c r="F1649" s="12" t="n">
        <v>16.86</v>
      </c>
      <c r="G1649" s="17" t="n">
        <v>118977.6</v>
      </c>
      <c r="H1649" s="26" t="n">
        <v>44617</v>
      </c>
      <c r="I1649" s="26" t="n">
        <v>44618</v>
      </c>
      <c r="J1649" s="12" t="n">
        <v>16.84</v>
      </c>
      <c r="K1649" s="17" t="n">
        <v>2005962.34</v>
      </c>
      <c r="L1649" s="12" t="n">
        <v>0</v>
      </c>
      <c r="M1649" s="12" t="n">
        <v>4</v>
      </c>
      <c r="N1649" s="27">
        <f>F1649-J1649</f>
        <v/>
      </c>
      <c r="O1649" s="16">
        <f>I1649-H1649</f>
        <v/>
      </c>
      <c r="P1649" s="14">
        <f>F1649*G1649</f>
        <v/>
      </c>
      <c r="Q1649" s="14">
        <f>J1649*G1649</f>
        <v/>
      </c>
      <c r="R1649" s="14">
        <f>K1649-Q1649</f>
        <v/>
      </c>
      <c r="S1649" s="3">
        <f>P1649*Assumptions!$B$3/100</f>
        <v/>
      </c>
      <c r="T1649" s="14">
        <f>R1649-S1649</f>
        <v/>
      </c>
      <c r="U1649" s="14">
        <f>L1649*G1649</f>
        <v/>
      </c>
    </row>
    <row r="1650">
      <c r="A1650" s="12" t="inlineStr">
        <is>
          <t>PO-2022-1648</t>
        </is>
      </c>
      <c r="B1650" s="26" t="n">
        <v>44845</v>
      </c>
      <c r="C1650" s="12" t="inlineStr">
        <is>
          <t>VS01</t>
        </is>
      </c>
      <c r="D1650" s="12" t="inlineStr">
        <is>
          <t>Square/Rect Tubes</t>
        </is>
      </c>
      <c r="E1650" s="12" t="inlineStr">
        <is>
          <t>N</t>
        </is>
      </c>
      <c r="F1650" s="12" t="n">
        <v>44.93</v>
      </c>
      <c r="G1650" s="17" t="n">
        <v>115036.45</v>
      </c>
      <c r="H1650" s="26" t="n">
        <v>44855</v>
      </c>
      <c r="I1650" s="26" t="n">
        <v>44858</v>
      </c>
      <c r="J1650" s="12" t="n">
        <v>44.67</v>
      </c>
      <c r="K1650" s="17" t="n">
        <v>5168587.7</v>
      </c>
      <c r="L1650" s="12" t="n">
        <v>0</v>
      </c>
      <c r="M1650" s="12" t="n">
        <v>24</v>
      </c>
      <c r="N1650" s="27">
        <f>F1650-J1650</f>
        <v/>
      </c>
      <c r="O1650" s="16">
        <f>I1650-H1650</f>
        <v/>
      </c>
      <c r="P1650" s="14">
        <f>F1650*G1650</f>
        <v/>
      </c>
      <c r="Q1650" s="14">
        <f>J1650*G1650</f>
        <v/>
      </c>
      <c r="R1650" s="14">
        <f>K1650-Q1650</f>
        <v/>
      </c>
      <c r="S1650" s="3">
        <f>P1650*Assumptions!$B$3/100</f>
        <v/>
      </c>
      <c r="T1650" s="14">
        <f>R1650-S1650</f>
        <v/>
      </c>
      <c r="U1650" s="14">
        <f>L1650*G1650</f>
        <v/>
      </c>
    </row>
    <row r="1651">
      <c r="A1651" s="12" t="inlineStr">
        <is>
          <t>PO-2022-1649</t>
        </is>
      </c>
      <c r="B1651" s="26" t="n">
        <v>44845</v>
      </c>
      <c r="C1651" s="12" t="inlineStr">
        <is>
          <t>VS08</t>
        </is>
      </c>
      <c r="D1651" s="12" t="inlineStr">
        <is>
          <t>GI Wire</t>
        </is>
      </c>
      <c r="E1651" s="12" t="inlineStr">
        <is>
          <t>N</t>
        </is>
      </c>
      <c r="F1651" s="12" t="n">
        <v>13.88</v>
      </c>
      <c r="G1651" s="17" t="n">
        <v>99171.45</v>
      </c>
      <c r="H1651" s="26" t="n">
        <v>44855</v>
      </c>
      <c r="I1651" s="26" t="n">
        <v>44858</v>
      </c>
      <c r="J1651" s="12" t="n">
        <v>13.74</v>
      </c>
      <c r="K1651" s="17" t="n">
        <v>1376499.73</v>
      </c>
      <c r="L1651" s="12" t="n">
        <v>0</v>
      </c>
      <c r="M1651" s="12" t="n">
        <v>13</v>
      </c>
      <c r="N1651" s="27">
        <f>F1651-J1651</f>
        <v/>
      </c>
      <c r="O1651" s="16">
        <f>I1651-H1651</f>
        <v/>
      </c>
      <c r="P1651" s="14">
        <f>F1651*G1651</f>
        <v/>
      </c>
      <c r="Q1651" s="14">
        <f>J1651*G1651</f>
        <v/>
      </c>
      <c r="R1651" s="14">
        <f>K1651-Q1651</f>
        <v/>
      </c>
      <c r="S1651" s="3">
        <f>P1651*Assumptions!$B$3/100</f>
        <v/>
      </c>
      <c r="T1651" s="14">
        <f>R1651-S1651</f>
        <v/>
      </c>
      <c r="U1651" s="14">
        <f>L1651*G1651</f>
        <v/>
      </c>
    </row>
    <row r="1652">
      <c r="A1652" s="12" t="inlineStr">
        <is>
          <t>PO-2022-1650</t>
        </is>
      </c>
      <c r="B1652" s="26" t="n">
        <v>44454</v>
      </c>
      <c r="C1652" s="12" t="inlineStr">
        <is>
          <t>VS29</t>
        </is>
      </c>
      <c r="D1652" s="12" t="inlineStr">
        <is>
          <t>ERW Pipes</t>
        </is>
      </c>
      <c r="E1652" s="12" t="inlineStr">
        <is>
          <t>N</t>
        </is>
      </c>
      <c r="F1652" s="12" t="n">
        <v>2.79</v>
      </c>
      <c r="G1652" s="17" t="n">
        <v>100928.07</v>
      </c>
      <c r="H1652" s="26" t="n">
        <v>44460</v>
      </c>
      <c r="I1652" s="26" t="n">
        <v>44460</v>
      </c>
      <c r="J1652" s="12" t="n">
        <v>2.78</v>
      </c>
      <c r="K1652" s="17" t="n">
        <v>281589.32</v>
      </c>
      <c r="L1652" s="12" t="n">
        <v>0</v>
      </c>
      <c r="M1652" s="12" t="n">
        <v>10</v>
      </c>
      <c r="N1652" s="27">
        <f>F1652-J1652</f>
        <v/>
      </c>
      <c r="O1652" s="16">
        <f>I1652-H1652</f>
        <v/>
      </c>
      <c r="P1652" s="14">
        <f>F1652*G1652</f>
        <v/>
      </c>
      <c r="Q1652" s="14">
        <f>J1652*G1652</f>
        <v/>
      </c>
      <c r="R1652" s="14">
        <f>K1652-Q1652</f>
        <v/>
      </c>
      <c r="S1652" s="3">
        <f>P1652*Assumptions!$B$3/100</f>
        <v/>
      </c>
      <c r="T1652" s="14">
        <f>R1652-S1652</f>
        <v/>
      </c>
      <c r="U1652" s="14">
        <f>L1652*G1652</f>
        <v/>
      </c>
    </row>
    <row r="1653">
      <c r="A1653" s="12" t="inlineStr">
        <is>
          <t>PO-2022-1651</t>
        </is>
      </c>
      <c r="B1653" s="26" t="n">
        <v>45057</v>
      </c>
      <c r="C1653" s="12" t="inlineStr">
        <is>
          <t>VS11</t>
        </is>
      </c>
      <c r="D1653" s="12" t="inlineStr">
        <is>
          <t>MS Rods</t>
        </is>
      </c>
      <c r="E1653" s="12" t="inlineStr">
        <is>
          <t>N</t>
        </is>
      </c>
      <c r="F1653" s="12" t="n">
        <v>11.59</v>
      </c>
      <c r="G1653" s="17" t="n">
        <v>60732.23</v>
      </c>
      <c r="H1653" s="26" t="n">
        <v>45063</v>
      </c>
      <c r="I1653" s="26" t="n">
        <v>45063</v>
      </c>
      <c r="J1653" s="12" t="n">
        <v>11.55</v>
      </c>
      <c r="K1653" s="17" t="n">
        <v>703886.55</v>
      </c>
      <c r="L1653" s="12" t="n">
        <v>0</v>
      </c>
      <c r="M1653" s="12" t="n">
        <v>0</v>
      </c>
      <c r="N1653" s="27">
        <f>F1653-J1653</f>
        <v/>
      </c>
      <c r="O1653" s="16">
        <f>I1653-H1653</f>
        <v/>
      </c>
      <c r="P1653" s="14">
        <f>F1653*G1653</f>
        <v/>
      </c>
      <c r="Q1653" s="14">
        <f>J1653*G1653</f>
        <v/>
      </c>
      <c r="R1653" s="14">
        <f>K1653-Q1653</f>
        <v/>
      </c>
      <c r="S1653" s="3">
        <f>P1653*Assumptions!$B$3/100</f>
        <v/>
      </c>
      <c r="T1653" s="14">
        <f>R1653-S1653</f>
        <v/>
      </c>
      <c r="U1653" s="14">
        <f>L1653*G1653</f>
        <v/>
      </c>
    </row>
    <row r="1654">
      <c r="A1654" s="12" t="inlineStr">
        <is>
          <t>PO-2022-1652</t>
        </is>
      </c>
      <c r="B1654" s="26" t="n">
        <v>44226</v>
      </c>
      <c r="C1654" s="12" t="inlineStr">
        <is>
          <t>VS24</t>
        </is>
      </c>
      <c r="D1654" s="12" t="inlineStr">
        <is>
          <t>Angles &amp; Channels</t>
        </is>
      </c>
      <c r="E1654" s="12" t="inlineStr">
        <is>
          <t>N</t>
        </is>
      </c>
      <c r="F1654" s="12" t="n">
        <v>1.79</v>
      </c>
      <c r="G1654" s="17" t="n">
        <v>112249.12</v>
      </c>
      <c r="H1654" s="26" t="n">
        <v>44237</v>
      </c>
      <c r="I1654" s="26" t="n">
        <v>44239</v>
      </c>
      <c r="J1654" s="12" t="n">
        <v>1.77</v>
      </c>
      <c r="K1654" s="17" t="n">
        <v>200925.92</v>
      </c>
      <c r="L1654" s="12" t="n">
        <v>0</v>
      </c>
      <c r="M1654" s="12" t="n">
        <v>11</v>
      </c>
      <c r="N1654" s="27">
        <f>F1654-J1654</f>
        <v/>
      </c>
      <c r="O1654" s="16">
        <f>I1654-H1654</f>
        <v/>
      </c>
      <c r="P1654" s="14">
        <f>F1654*G1654</f>
        <v/>
      </c>
      <c r="Q1654" s="14">
        <f>J1654*G1654</f>
        <v/>
      </c>
      <c r="R1654" s="14">
        <f>K1654-Q1654</f>
        <v/>
      </c>
      <c r="S1654" s="3">
        <f>P1654*Assumptions!$B$3/100</f>
        <v/>
      </c>
      <c r="T1654" s="14">
        <f>R1654-S1654</f>
        <v/>
      </c>
      <c r="U1654" s="14">
        <f>L1654*G1654</f>
        <v/>
      </c>
    </row>
    <row r="1655">
      <c r="A1655" s="12" t="inlineStr">
        <is>
          <t>PO-2022-1653</t>
        </is>
      </c>
      <c r="B1655" s="26" t="n">
        <v>44452</v>
      </c>
      <c r="C1655" s="12" t="inlineStr">
        <is>
          <t>VS32</t>
        </is>
      </c>
      <c r="D1655" s="12" t="inlineStr">
        <is>
          <t>Fasteners &amp; Fittings</t>
        </is>
      </c>
      <c r="E1655" s="12" t="inlineStr">
        <is>
          <t>Y</t>
        </is>
      </c>
      <c r="F1655" s="12" t="n">
        <v>21.29</v>
      </c>
      <c r="G1655" s="17" t="n">
        <v>71379.67</v>
      </c>
      <c r="H1655" s="26" t="n">
        <v>44463</v>
      </c>
      <c r="I1655" s="26" t="n">
        <v>44466</v>
      </c>
      <c r="J1655" s="12" t="n">
        <v>21.13</v>
      </c>
      <c r="K1655" s="17" t="n">
        <v>1519673.17</v>
      </c>
      <c r="L1655" s="12" t="n">
        <v>0</v>
      </c>
      <c r="M1655" s="12" t="n">
        <v>13</v>
      </c>
      <c r="N1655" s="27">
        <f>F1655-J1655</f>
        <v/>
      </c>
      <c r="O1655" s="16">
        <f>I1655-H1655</f>
        <v/>
      </c>
      <c r="P1655" s="14">
        <f>F1655*G1655</f>
        <v/>
      </c>
      <c r="Q1655" s="14">
        <f>J1655*G1655</f>
        <v/>
      </c>
      <c r="R1655" s="14">
        <f>K1655-Q1655</f>
        <v/>
      </c>
      <c r="S1655" s="3">
        <f>P1655*Assumptions!$B$3/100</f>
        <v/>
      </c>
      <c r="T1655" s="14">
        <f>R1655-S1655</f>
        <v/>
      </c>
      <c r="U1655" s="14">
        <f>L1655*G1655</f>
        <v/>
      </c>
    </row>
    <row r="1656">
      <c r="A1656" s="12" t="inlineStr">
        <is>
          <t>PO-2022-1654</t>
        </is>
      </c>
      <c r="B1656" s="26" t="n">
        <v>45069</v>
      </c>
      <c r="C1656" s="12" t="inlineStr">
        <is>
          <t>VS34</t>
        </is>
      </c>
      <c r="D1656" s="12" t="inlineStr">
        <is>
          <t>MS Flats</t>
        </is>
      </c>
      <c r="E1656" s="12" t="inlineStr">
        <is>
          <t>N</t>
        </is>
      </c>
      <c r="F1656" s="12" t="n">
        <v>6.56</v>
      </c>
      <c r="G1656" s="17" t="n">
        <v>58186.04</v>
      </c>
      <c r="H1656" s="26" t="n">
        <v>45078</v>
      </c>
      <c r="I1656" s="26" t="n">
        <v>45078</v>
      </c>
      <c r="J1656" s="12" t="n">
        <v>6.56</v>
      </c>
      <c r="K1656" s="17" t="n">
        <v>381700.42</v>
      </c>
      <c r="L1656" s="12" t="n">
        <v>0</v>
      </c>
      <c r="M1656" s="12" t="n">
        <v>0</v>
      </c>
      <c r="N1656" s="27">
        <f>F1656-J1656</f>
        <v/>
      </c>
      <c r="O1656" s="16">
        <f>I1656-H1656</f>
        <v/>
      </c>
      <c r="P1656" s="14">
        <f>F1656*G1656</f>
        <v/>
      </c>
      <c r="Q1656" s="14">
        <f>J1656*G1656</f>
        <v/>
      </c>
      <c r="R1656" s="14">
        <f>K1656-Q1656</f>
        <v/>
      </c>
      <c r="S1656" s="3">
        <f>P1656*Assumptions!$B$3/100</f>
        <v/>
      </c>
      <c r="T1656" s="14">
        <f>R1656-S1656</f>
        <v/>
      </c>
      <c r="U1656" s="14">
        <f>L1656*G1656</f>
        <v/>
      </c>
    </row>
    <row r="1657">
      <c r="A1657" s="12" t="inlineStr">
        <is>
          <t>PO-2022-1655</t>
        </is>
      </c>
      <c r="B1657" s="26" t="n">
        <v>44961</v>
      </c>
      <c r="C1657" s="12" t="inlineStr">
        <is>
          <t>VS12</t>
        </is>
      </c>
      <c r="D1657" s="12" t="inlineStr">
        <is>
          <t>Spring Steel</t>
        </is>
      </c>
      <c r="E1657" s="12" t="inlineStr">
        <is>
          <t>Y</t>
        </is>
      </c>
      <c r="F1657" s="12" t="n">
        <v>30.15</v>
      </c>
      <c r="G1657" s="17" t="n">
        <v>89135.5</v>
      </c>
      <c r="H1657" s="26" t="n">
        <v>44970</v>
      </c>
      <c r="I1657" s="26" t="n">
        <v>44978</v>
      </c>
      <c r="J1657" s="12" t="n">
        <v>29.13</v>
      </c>
      <c r="K1657" s="17" t="n">
        <v>2687435.32</v>
      </c>
      <c r="L1657" s="12" t="n">
        <v>0.9399999999999999</v>
      </c>
      <c r="M1657" s="12" t="n">
        <v>0</v>
      </c>
      <c r="N1657" s="27">
        <f>F1657-J1657</f>
        <v/>
      </c>
      <c r="O1657" s="16">
        <f>I1657-H1657</f>
        <v/>
      </c>
      <c r="P1657" s="14">
        <f>F1657*G1657</f>
        <v/>
      </c>
      <c r="Q1657" s="14">
        <f>J1657*G1657</f>
        <v/>
      </c>
      <c r="R1657" s="14">
        <f>K1657-Q1657</f>
        <v/>
      </c>
      <c r="S1657" s="3">
        <f>P1657*Assumptions!$B$3/100</f>
        <v/>
      </c>
      <c r="T1657" s="14">
        <f>R1657-S1657</f>
        <v/>
      </c>
      <c r="U1657" s="14">
        <f>L1657*G1657</f>
        <v/>
      </c>
    </row>
    <row r="1658">
      <c r="A1658" s="12" t="inlineStr">
        <is>
          <t>PO-2022-1656</t>
        </is>
      </c>
      <c r="B1658" s="26" t="n">
        <v>44780</v>
      </c>
      <c r="C1658" s="12" t="inlineStr">
        <is>
          <t>VS28</t>
        </is>
      </c>
      <c r="D1658" s="12" t="inlineStr">
        <is>
          <t>SS Sheets</t>
        </is>
      </c>
      <c r="E1658" s="12" t="inlineStr">
        <is>
          <t>N</t>
        </is>
      </c>
      <c r="F1658" s="12" t="n">
        <v>35.4</v>
      </c>
      <c r="G1658" s="17" t="n">
        <v>115342.62</v>
      </c>
      <c r="H1658" s="26" t="n">
        <v>44784</v>
      </c>
      <c r="I1658" s="26" t="n">
        <v>44786</v>
      </c>
      <c r="J1658" s="12" t="n">
        <v>35.23</v>
      </c>
      <c r="K1658" s="17" t="n">
        <v>4083128.75</v>
      </c>
      <c r="L1658" s="12" t="n">
        <v>0</v>
      </c>
      <c r="M1658" s="12" t="n">
        <v>12</v>
      </c>
      <c r="N1658" s="27">
        <f>F1658-J1658</f>
        <v/>
      </c>
      <c r="O1658" s="16">
        <f>I1658-H1658</f>
        <v/>
      </c>
      <c r="P1658" s="14">
        <f>F1658*G1658</f>
        <v/>
      </c>
      <c r="Q1658" s="14">
        <f>J1658*G1658</f>
        <v/>
      </c>
      <c r="R1658" s="14">
        <f>K1658-Q1658</f>
        <v/>
      </c>
      <c r="S1658" s="3">
        <f>P1658*Assumptions!$B$3/100</f>
        <v/>
      </c>
      <c r="T1658" s="14">
        <f>R1658-S1658</f>
        <v/>
      </c>
      <c r="U1658" s="14">
        <f>L1658*G1658</f>
        <v/>
      </c>
    </row>
    <row r="1659">
      <c r="A1659" s="12" t="inlineStr">
        <is>
          <t>PO-2022-1657</t>
        </is>
      </c>
      <c r="B1659" s="26" t="n">
        <v>44376</v>
      </c>
      <c r="C1659" s="12" t="inlineStr">
        <is>
          <t>VS07</t>
        </is>
      </c>
      <c r="D1659" s="12" t="inlineStr">
        <is>
          <t>SS Pipes</t>
        </is>
      </c>
      <c r="E1659" s="12" t="inlineStr">
        <is>
          <t>N</t>
        </is>
      </c>
      <c r="F1659" s="12" t="n">
        <v>32.83</v>
      </c>
      <c r="G1659" s="17" t="n">
        <v>91219.53</v>
      </c>
      <c r="H1659" s="26" t="n">
        <v>44385</v>
      </c>
      <c r="I1659" s="26" t="n">
        <v>44385</v>
      </c>
      <c r="J1659" s="12" t="n">
        <v>32.58</v>
      </c>
      <c r="K1659" s="17" t="n">
        <v>2994737.17</v>
      </c>
      <c r="L1659" s="12" t="n">
        <v>0</v>
      </c>
      <c r="M1659" s="12" t="n">
        <v>0</v>
      </c>
      <c r="N1659" s="27">
        <f>F1659-J1659</f>
        <v/>
      </c>
      <c r="O1659" s="16">
        <f>I1659-H1659</f>
        <v/>
      </c>
      <c r="P1659" s="14">
        <f>F1659*G1659</f>
        <v/>
      </c>
      <c r="Q1659" s="14">
        <f>J1659*G1659</f>
        <v/>
      </c>
      <c r="R1659" s="14">
        <f>K1659-Q1659</f>
        <v/>
      </c>
      <c r="S1659" s="3">
        <f>P1659*Assumptions!$B$3/100</f>
        <v/>
      </c>
      <c r="T1659" s="14">
        <f>R1659-S1659</f>
        <v/>
      </c>
      <c r="U1659" s="14">
        <f>L1659*G1659</f>
        <v/>
      </c>
    </row>
    <row r="1660">
      <c r="A1660" s="12" t="inlineStr">
        <is>
          <t>PO-2022-1658</t>
        </is>
      </c>
      <c r="B1660" s="26" t="n">
        <v>44409</v>
      </c>
      <c r="C1660" s="12" t="inlineStr">
        <is>
          <t>VS32</t>
        </is>
      </c>
      <c r="D1660" s="12" t="inlineStr">
        <is>
          <t>Spring Steel</t>
        </is>
      </c>
      <c r="E1660" s="12" t="inlineStr">
        <is>
          <t>N</t>
        </is>
      </c>
      <c r="F1660" s="12" t="n">
        <v>5.89</v>
      </c>
      <c r="G1660" s="17" t="n">
        <v>78307.75</v>
      </c>
      <c r="H1660" s="26" t="n">
        <v>44421</v>
      </c>
      <c r="I1660" s="26" t="n">
        <v>44423</v>
      </c>
      <c r="J1660" s="12" t="n">
        <v>5.86</v>
      </c>
      <c r="K1660" s="17" t="n">
        <v>461232.65</v>
      </c>
      <c r="L1660" s="12" t="n">
        <v>0</v>
      </c>
      <c r="M1660" s="12" t="n">
        <v>0</v>
      </c>
      <c r="N1660" s="27">
        <f>F1660-J1660</f>
        <v/>
      </c>
      <c r="O1660" s="16">
        <f>I1660-H1660</f>
        <v/>
      </c>
      <c r="P1660" s="14">
        <f>F1660*G1660</f>
        <v/>
      </c>
      <c r="Q1660" s="14">
        <f>J1660*G1660</f>
        <v/>
      </c>
      <c r="R1660" s="14">
        <f>K1660-Q1660</f>
        <v/>
      </c>
      <c r="S1660" s="3">
        <f>P1660*Assumptions!$B$3/100</f>
        <v/>
      </c>
      <c r="T1660" s="14">
        <f>R1660-S1660</f>
        <v/>
      </c>
      <c r="U1660" s="14">
        <f>L1660*G1660</f>
        <v/>
      </c>
    </row>
    <row r="1661">
      <c r="A1661" s="12" t="inlineStr">
        <is>
          <t>PO-2022-1659</t>
        </is>
      </c>
      <c r="B1661" s="26" t="n">
        <v>44263</v>
      </c>
      <c r="C1661" s="12" t="inlineStr">
        <is>
          <t>VS19</t>
        </is>
      </c>
      <c r="D1661" s="12" t="inlineStr">
        <is>
          <t>GI Wire</t>
        </is>
      </c>
      <c r="E1661" s="12" t="inlineStr">
        <is>
          <t>N</t>
        </is>
      </c>
      <c r="F1661" s="12" t="n">
        <v>11.38</v>
      </c>
      <c r="G1661" s="17" t="n">
        <v>107396.66</v>
      </c>
      <c r="H1661" s="26" t="n">
        <v>44274</v>
      </c>
      <c r="I1661" s="26" t="n">
        <v>44281</v>
      </c>
      <c r="J1661" s="12" t="n">
        <v>10.91</v>
      </c>
      <c r="K1661" s="17" t="n">
        <v>1222173.99</v>
      </c>
      <c r="L1661" s="12" t="n">
        <v>0.37</v>
      </c>
      <c r="M1661" s="12" t="n">
        <v>0</v>
      </c>
      <c r="N1661" s="27">
        <f>F1661-J1661</f>
        <v/>
      </c>
      <c r="O1661" s="16">
        <f>I1661-H1661</f>
        <v/>
      </c>
      <c r="P1661" s="14">
        <f>F1661*G1661</f>
        <v/>
      </c>
      <c r="Q1661" s="14">
        <f>J1661*G1661</f>
        <v/>
      </c>
      <c r="R1661" s="14">
        <f>K1661-Q1661</f>
        <v/>
      </c>
      <c r="S1661" s="3">
        <f>P1661*Assumptions!$B$3/100</f>
        <v/>
      </c>
      <c r="T1661" s="14">
        <f>R1661-S1661</f>
        <v/>
      </c>
      <c r="U1661" s="14">
        <f>L1661*G1661</f>
        <v/>
      </c>
    </row>
    <row r="1662">
      <c r="A1662" s="12" t="inlineStr">
        <is>
          <t>PO-2022-1660</t>
        </is>
      </c>
      <c r="B1662" s="26" t="n">
        <v>44977</v>
      </c>
      <c r="C1662" s="12" t="inlineStr">
        <is>
          <t>VS08</t>
        </is>
      </c>
      <c r="D1662" s="12" t="inlineStr">
        <is>
          <t>GI Sheets</t>
        </is>
      </c>
      <c r="E1662" s="12" t="inlineStr">
        <is>
          <t>Y</t>
        </is>
      </c>
      <c r="F1662" s="12" t="n">
        <v>42.96</v>
      </c>
      <c r="G1662" s="17" t="n">
        <v>116291.36</v>
      </c>
      <c r="H1662" s="26" t="n">
        <v>44985</v>
      </c>
      <c r="I1662" s="26" t="n">
        <v>44987</v>
      </c>
      <c r="J1662" s="12" t="n">
        <v>42.8</v>
      </c>
      <c r="K1662" s="17" t="n">
        <v>4995876.83</v>
      </c>
      <c r="L1662" s="12" t="n">
        <v>0</v>
      </c>
      <c r="M1662" s="12" t="n">
        <v>0</v>
      </c>
      <c r="N1662" s="27">
        <f>F1662-J1662</f>
        <v/>
      </c>
      <c r="O1662" s="16">
        <f>I1662-H1662</f>
        <v/>
      </c>
      <c r="P1662" s="14">
        <f>F1662*G1662</f>
        <v/>
      </c>
      <c r="Q1662" s="14">
        <f>J1662*G1662</f>
        <v/>
      </c>
      <c r="R1662" s="14">
        <f>K1662-Q1662</f>
        <v/>
      </c>
      <c r="S1662" s="3">
        <f>P1662*Assumptions!$B$3/100</f>
        <v/>
      </c>
      <c r="T1662" s="14">
        <f>R1662-S1662</f>
        <v/>
      </c>
      <c r="U1662" s="14">
        <f>L1662*G1662</f>
        <v/>
      </c>
    </row>
    <row r="1663">
      <c r="A1663" s="12" t="inlineStr">
        <is>
          <t>PO-2022-1661</t>
        </is>
      </c>
      <c r="B1663" s="26" t="n">
        <v>45147</v>
      </c>
      <c r="C1663" s="12" t="inlineStr">
        <is>
          <t>VS27</t>
        </is>
      </c>
      <c r="D1663" s="12" t="inlineStr">
        <is>
          <t>MS Rods</t>
        </is>
      </c>
      <c r="E1663" s="12" t="inlineStr">
        <is>
          <t>N</t>
        </is>
      </c>
      <c r="F1663" s="12" t="n">
        <v>1.37</v>
      </c>
      <c r="G1663" s="17" t="n">
        <v>73098.28999999999</v>
      </c>
      <c r="H1663" s="26" t="n">
        <v>45153</v>
      </c>
      <c r="I1663" s="26" t="n">
        <v>45154</v>
      </c>
      <c r="J1663" s="12" t="n">
        <v>1.36</v>
      </c>
      <c r="K1663" s="17" t="n">
        <v>100144.66</v>
      </c>
      <c r="L1663" s="12" t="n">
        <v>0</v>
      </c>
      <c r="M1663" s="12" t="n">
        <v>0</v>
      </c>
      <c r="N1663" s="27">
        <f>F1663-J1663</f>
        <v/>
      </c>
      <c r="O1663" s="16">
        <f>I1663-H1663</f>
        <v/>
      </c>
      <c r="P1663" s="14">
        <f>F1663*G1663</f>
        <v/>
      </c>
      <c r="Q1663" s="14">
        <f>J1663*G1663</f>
        <v/>
      </c>
      <c r="R1663" s="14">
        <f>K1663-Q1663</f>
        <v/>
      </c>
      <c r="S1663" s="3">
        <f>P1663*Assumptions!$B$3/100</f>
        <v/>
      </c>
      <c r="T1663" s="14">
        <f>R1663-S1663</f>
        <v/>
      </c>
      <c r="U1663" s="14">
        <f>L1663*G1663</f>
        <v/>
      </c>
    </row>
    <row r="1664">
      <c r="A1664" s="12" t="inlineStr">
        <is>
          <t>PO-2022-1662</t>
        </is>
      </c>
      <c r="B1664" s="26" t="n">
        <v>45236</v>
      </c>
      <c r="C1664" s="12" t="inlineStr">
        <is>
          <t>VS19</t>
        </is>
      </c>
      <c r="D1664" s="12" t="inlineStr">
        <is>
          <t>CR Sheets</t>
        </is>
      </c>
      <c r="E1664" s="12" t="inlineStr">
        <is>
          <t>Y</t>
        </is>
      </c>
      <c r="F1664" s="12" t="n">
        <v>44.1</v>
      </c>
      <c r="G1664" s="17" t="n">
        <v>67430.92999999999</v>
      </c>
      <c r="H1664" s="26" t="n">
        <v>45251</v>
      </c>
      <c r="I1664" s="26" t="n">
        <v>45254</v>
      </c>
      <c r="J1664" s="12" t="n">
        <v>42.05</v>
      </c>
      <c r="K1664" s="17" t="n">
        <v>2973704.01</v>
      </c>
      <c r="L1664" s="12" t="n">
        <v>0.95</v>
      </c>
      <c r="M1664" s="12" t="n">
        <v>24</v>
      </c>
      <c r="N1664" s="27">
        <f>F1664-J1664</f>
        <v/>
      </c>
      <c r="O1664" s="16">
        <f>I1664-H1664</f>
        <v/>
      </c>
      <c r="P1664" s="14">
        <f>F1664*G1664</f>
        <v/>
      </c>
      <c r="Q1664" s="14">
        <f>J1664*G1664</f>
        <v/>
      </c>
      <c r="R1664" s="14">
        <f>K1664-Q1664</f>
        <v/>
      </c>
      <c r="S1664" s="3">
        <f>P1664*Assumptions!$B$3/100</f>
        <v/>
      </c>
      <c r="T1664" s="14">
        <f>R1664-S1664</f>
        <v/>
      </c>
      <c r="U1664" s="14">
        <f>L1664*G1664</f>
        <v/>
      </c>
    </row>
    <row r="1665">
      <c r="A1665" s="12" t="inlineStr">
        <is>
          <t>PO-2022-1663</t>
        </is>
      </c>
      <c r="B1665" s="26" t="n">
        <v>45046</v>
      </c>
      <c r="C1665" s="12" t="inlineStr">
        <is>
          <t>VS16</t>
        </is>
      </c>
      <c r="D1665" s="12" t="inlineStr">
        <is>
          <t>MS Pipes</t>
        </is>
      </c>
      <c r="E1665" s="12" t="inlineStr">
        <is>
          <t>N</t>
        </is>
      </c>
      <c r="F1665" s="12" t="n">
        <v>45.11</v>
      </c>
      <c r="G1665" s="17" t="n">
        <v>76091.75</v>
      </c>
      <c r="H1665" s="26" t="n">
        <v>45049</v>
      </c>
      <c r="I1665" s="26" t="n">
        <v>45050</v>
      </c>
      <c r="J1665" s="12" t="n">
        <v>45.02</v>
      </c>
      <c r="K1665" s="17" t="n">
        <v>3432498.84</v>
      </c>
      <c r="L1665" s="12" t="n">
        <v>0</v>
      </c>
      <c r="M1665" s="12" t="n">
        <v>7</v>
      </c>
      <c r="N1665" s="27">
        <f>F1665-J1665</f>
        <v/>
      </c>
      <c r="O1665" s="16">
        <f>I1665-H1665</f>
        <v/>
      </c>
      <c r="P1665" s="14">
        <f>F1665*G1665</f>
        <v/>
      </c>
      <c r="Q1665" s="14">
        <f>J1665*G1665</f>
        <v/>
      </c>
      <c r="R1665" s="14">
        <f>K1665-Q1665</f>
        <v/>
      </c>
      <c r="S1665" s="3">
        <f>P1665*Assumptions!$B$3/100</f>
        <v/>
      </c>
      <c r="T1665" s="14">
        <f>R1665-S1665</f>
        <v/>
      </c>
      <c r="U1665" s="14">
        <f>L1665*G1665</f>
        <v/>
      </c>
    </row>
    <row r="1666">
      <c r="A1666" s="12" t="inlineStr">
        <is>
          <t>PO-2022-1664</t>
        </is>
      </c>
      <c r="B1666" s="26" t="n">
        <v>44250</v>
      </c>
      <c r="C1666" s="12" t="inlineStr">
        <is>
          <t>VS10</t>
        </is>
      </c>
      <c r="D1666" s="12" t="inlineStr">
        <is>
          <t>Angles &amp; Channels</t>
        </is>
      </c>
      <c r="E1666" s="12" t="inlineStr">
        <is>
          <t>Y</t>
        </is>
      </c>
      <c r="F1666" s="12" t="n">
        <v>42.2</v>
      </c>
      <c r="G1666" s="17" t="n">
        <v>83922.24000000001</v>
      </c>
      <c r="H1666" s="26" t="n">
        <v>44264</v>
      </c>
      <c r="I1666" s="26" t="n">
        <v>44266</v>
      </c>
      <c r="J1666" s="12" t="n">
        <v>41.88</v>
      </c>
      <c r="K1666" s="17" t="n">
        <v>3541518.53</v>
      </c>
      <c r="L1666" s="12" t="n">
        <v>0</v>
      </c>
      <c r="M1666" s="12" t="n">
        <v>0</v>
      </c>
      <c r="N1666" s="27">
        <f>F1666-J1666</f>
        <v/>
      </c>
      <c r="O1666" s="16">
        <f>I1666-H1666</f>
        <v/>
      </c>
      <c r="P1666" s="14">
        <f>F1666*G1666</f>
        <v/>
      </c>
      <c r="Q1666" s="14">
        <f>J1666*G1666</f>
        <v/>
      </c>
      <c r="R1666" s="14">
        <f>K1666-Q1666</f>
        <v/>
      </c>
      <c r="S1666" s="3">
        <f>P1666*Assumptions!$B$3/100</f>
        <v/>
      </c>
      <c r="T1666" s="14">
        <f>R1666-S1666</f>
        <v/>
      </c>
      <c r="U1666" s="14">
        <f>L1666*G1666</f>
        <v/>
      </c>
    </row>
    <row r="1667">
      <c r="A1667" s="12" t="inlineStr">
        <is>
          <t>PO-2022-1665</t>
        </is>
      </c>
      <c r="B1667" s="26" t="n">
        <v>44847</v>
      </c>
      <c r="C1667" s="12" t="inlineStr">
        <is>
          <t>VS22</t>
        </is>
      </c>
      <c r="D1667" s="12" t="inlineStr">
        <is>
          <t>MS Sheets</t>
        </is>
      </c>
      <c r="E1667" s="12" t="inlineStr">
        <is>
          <t>N</t>
        </is>
      </c>
      <c r="F1667" s="12" t="n">
        <v>48</v>
      </c>
      <c r="G1667" s="17" t="n">
        <v>119462.18</v>
      </c>
      <c r="H1667" s="26" t="n">
        <v>44853</v>
      </c>
      <c r="I1667" s="26" t="n">
        <v>44856</v>
      </c>
      <c r="J1667" s="12" t="n">
        <v>47.76</v>
      </c>
      <c r="K1667" s="17" t="n">
        <v>5734184.64</v>
      </c>
      <c r="L1667" s="12" t="n">
        <v>0</v>
      </c>
      <c r="M1667" s="12" t="n">
        <v>0</v>
      </c>
      <c r="N1667" s="27">
        <f>F1667-J1667</f>
        <v/>
      </c>
      <c r="O1667" s="16">
        <f>I1667-H1667</f>
        <v/>
      </c>
      <c r="P1667" s="14">
        <f>F1667*G1667</f>
        <v/>
      </c>
      <c r="Q1667" s="14">
        <f>J1667*G1667</f>
        <v/>
      </c>
      <c r="R1667" s="14">
        <f>K1667-Q1667</f>
        <v/>
      </c>
      <c r="S1667" s="3">
        <f>P1667*Assumptions!$B$3/100</f>
        <v/>
      </c>
      <c r="T1667" s="14">
        <f>R1667-S1667</f>
        <v/>
      </c>
      <c r="U1667" s="14">
        <f>L1667*G1667</f>
        <v/>
      </c>
    </row>
    <row r="1668">
      <c r="A1668" s="12" t="inlineStr">
        <is>
          <t>PO-2022-1666</t>
        </is>
      </c>
      <c r="B1668" s="26" t="n">
        <v>44998</v>
      </c>
      <c r="C1668" s="12" t="inlineStr">
        <is>
          <t>VS13</t>
        </is>
      </c>
      <c r="D1668" s="12" t="inlineStr">
        <is>
          <t>MS Rods</t>
        </is>
      </c>
      <c r="E1668" s="12" t="inlineStr">
        <is>
          <t>Y</t>
        </is>
      </c>
      <c r="F1668" s="12" t="n">
        <v>41.6</v>
      </c>
      <c r="G1668" s="17" t="n">
        <v>105099.87</v>
      </c>
      <c r="H1668" s="26" t="n">
        <v>45010</v>
      </c>
      <c r="I1668" s="26" t="n">
        <v>45012</v>
      </c>
      <c r="J1668" s="12" t="n">
        <v>41.49</v>
      </c>
      <c r="K1668" s="17" t="n">
        <v>4372154.59</v>
      </c>
      <c r="L1668" s="12" t="n">
        <v>0</v>
      </c>
      <c r="M1668" s="12" t="n">
        <v>0</v>
      </c>
      <c r="N1668" s="27">
        <f>F1668-J1668</f>
        <v/>
      </c>
      <c r="O1668" s="16">
        <f>I1668-H1668</f>
        <v/>
      </c>
      <c r="P1668" s="14">
        <f>F1668*G1668</f>
        <v/>
      </c>
      <c r="Q1668" s="14">
        <f>J1668*G1668</f>
        <v/>
      </c>
      <c r="R1668" s="14">
        <f>K1668-Q1668</f>
        <v/>
      </c>
      <c r="S1668" s="3">
        <f>P1668*Assumptions!$B$3/100</f>
        <v/>
      </c>
      <c r="T1668" s="14">
        <f>R1668-S1668</f>
        <v/>
      </c>
      <c r="U1668" s="14">
        <f>L1668*G1668</f>
        <v/>
      </c>
    </row>
    <row r="1669">
      <c r="A1669" s="12" t="inlineStr">
        <is>
          <t>PO-2022-1667</t>
        </is>
      </c>
      <c r="B1669" s="26" t="n">
        <v>45075</v>
      </c>
      <c r="C1669" s="12" t="inlineStr">
        <is>
          <t>VS09</t>
        </is>
      </c>
      <c r="D1669" s="12" t="inlineStr">
        <is>
          <t>MS Rods</t>
        </is>
      </c>
      <c r="E1669" s="12" t="inlineStr">
        <is>
          <t>N</t>
        </is>
      </c>
      <c r="F1669" s="12" t="n">
        <v>48.89</v>
      </c>
      <c r="G1669" s="17" t="n">
        <v>58028.8</v>
      </c>
      <c r="H1669" s="26" t="n">
        <v>45083</v>
      </c>
      <c r="I1669" s="26" t="n">
        <v>45085</v>
      </c>
      <c r="J1669" s="12" t="n">
        <v>48.86</v>
      </c>
      <c r="K1669" s="17" t="n">
        <v>2837028.03</v>
      </c>
      <c r="L1669" s="12" t="n">
        <v>0</v>
      </c>
      <c r="M1669" s="12" t="n">
        <v>18</v>
      </c>
      <c r="N1669" s="27">
        <f>F1669-J1669</f>
        <v/>
      </c>
      <c r="O1669" s="16">
        <f>I1669-H1669</f>
        <v/>
      </c>
      <c r="P1669" s="14">
        <f>F1669*G1669</f>
        <v/>
      </c>
      <c r="Q1669" s="14">
        <f>J1669*G1669</f>
        <v/>
      </c>
      <c r="R1669" s="14">
        <f>K1669-Q1669</f>
        <v/>
      </c>
      <c r="S1669" s="3">
        <f>P1669*Assumptions!$B$3/100</f>
        <v/>
      </c>
      <c r="T1669" s="14">
        <f>R1669-S1669</f>
        <v/>
      </c>
      <c r="U1669" s="14">
        <f>L1669*G1669</f>
        <v/>
      </c>
    </row>
    <row r="1670">
      <c r="A1670" s="12" t="inlineStr">
        <is>
          <t>PO-2022-1668</t>
        </is>
      </c>
      <c r="B1670" s="26" t="n">
        <v>45256</v>
      </c>
      <c r="C1670" s="12" t="inlineStr">
        <is>
          <t>VS11</t>
        </is>
      </c>
      <c r="D1670" s="12" t="inlineStr">
        <is>
          <t>GI Wire</t>
        </is>
      </c>
      <c r="E1670" s="12" t="inlineStr">
        <is>
          <t>N</t>
        </is>
      </c>
      <c r="F1670" s="12" t="n">
        <v>12.32</v>
      </c>
      <c r="G1670" s="17" t="n">
        <v>98251.86</v>
      </c>
      <c r="H1670" s="26" t="n">
        <v>45261</v>
      </c>
      <c r="I1670" s="26" t="n">
        <v>45261</v>
      </c>
      <c r="J1670" s="12" t="n">
        <v>12.26</v>
      </c>
      <c r="K1670" s="17" t="n">
        <v>1210462.92</v>
      </c>
      <c r="L1670" s="12" t="n">
        <v>0</v>
      </c>
      <c r="M1670" s="12" t="n">
        <v>5</v>
      </c>
      <c r="N1670" s="27">
        <f>F1670-J1670</f>
        <v/>
      </c>
      <c r="O1670" s="16">
        <f>I1670-H1670</f>
        <v/>
      </c>
      <c r="P1670" s="14">
        <f>F1670*G1670</f>
        <v/>
      </c>
      <c r="Q1670" s="14">
        <f>J1670*G1670</f>
        <v/>
      </c>
      <c r="R1670" s="14">
        <f>K1670-Q1670</f>
        <v/>
      </c>
      <c r="S1670" s="3">
        <f>P1670*Assumptions!$B$3/100</f>
        <v/>
      </c>
      <c r="T1670" s="14">
        <f>R1670-S1670</f>
        <v/>
      </c>
      <c r="U1670" s="14">
        <f>L1670*G1670</f>
        <v/>
      </c>
    </row>
    <row r="1671">
      <c r="A1671" s="12" t="inlineStr">
        <is>
          <t>PO-2022-1669</t>
        </is>
      </c>
      <c r="B1671" s="26" t="n">
        <v>45229</v>
      </c>
      <c r="C1671" s="12" t="inlineStr">
        <is>
          <t>VS08</t>
        </is>
      </c>
      <c r="D1671" s="12" t="inlineStr">
        <is>
          <t>MS Rods</t>
        </is>
      </c>
      <c r="E1671" s="12" t="inlineStr">
        <is>
          <t>N</t>
        </is>
      </c>
      <c r="F1671" s="12" t="n">
        <v>42.31</v>
      </c>
      <c r="G1671" s="17" t="n">
        <v>92048.88</v>
      </c>
      <c r="H1671" s="26" t="n">
        <v>45236</v>
      </c>
      <c r="I1671" s="26" t="n">
        <v>45238</v>
      </c>
      <c r="J1671" s="12" t="n">
        <v>42.31</v>
      </c>
      <c r="K1671" s="17" t="n">
        <v>3894588.11</v>
      </c>
      <c r="L1671" s="12" t="n">
        <v>0</v>
      </c>
      <c r="M1671" s="12" t="n">
        <v>12</v>
      </c>
      <c r="N1671" s="27">
        <f>F1671-J1671</f>
        <v/>
      </c>
      <c r="O1671" s="16">
        <f>I1671-H1671</f>
        <v/>
      </c>
      <c r="P1671" s="14">
        <f>F1671*G1671</f>
        <v/>
      </c>
      <c r="Q1671" s="14">
        <f>J1671*G1671</f>
        <v/>
      </c>
      <c r="R1671" s="14">
        <f>K1671-Q1671</f>
        <v/>
      </c>
      <c r="S1671" s="3">
        <f>P1671*Assumptions!$B$3/100</f>
        <v/>
      </c>
      <c r="T1671" s="14">
        <f>R1671-S1671</f>
        <v/>
      </c>
      <c r="U1671" s="14">
        <f>L1671*G1671</f>
        <v/>
      </c>
    </row>
    <row r="1672">
      <c r="A1672" s="12" t="inlineStr">
        <is>
          <t>PO-2022-1670</t>
        </is>
      </c>
      <c r="B1672" s="26" t="n">
        <v>44522</v>
      </c>
      <c r="C1672" s="12" t="inlineStr">
        <is>
          <t>VS21</t>
        </is>
      </c>
      <c r="D1672" s="12" t="inlineStr">
        <is>
          <t>GI Sheets</t>
        </is>
      </c>
      <c r="E1672" s="12" t="inlineStr">
        <is>
          <t>Y</t>
        </is>
      </c>
      <c r="F1672" s="12" t="n">
        <v>5.57</v>
      </c>
      <c r="G1672" s="17" t="n">
        <v>46923.02</v>
      </c>
      <c r="H1672" s="26" t="n">
        <v>44525</v>
      </c>
      <c r="I1672" s="26" t="n">
        <v>44526</v>
      </c>
      <c r="J1672" s="12" t="n">
        <v>5.52</v>
      </c>
      <c r="K1672" s="17" t="n">
        <v>261361.22</v>
      </c>
      <c r="L1672" s="12" t="n">
        <v>0</v>
      </c>
      <c r="M1672" s="12" t="n">
        <v>4</v>
      </c>
      <c r="N1672" s="27">
        <f>F1672-J1672</f>
        <v/>
      </c>
      <c r="O1672" s="16">
        <f>I1672-H1672</f>
        <v/>
      </c>
      <c r="P1672" s="14">
        <f>F1672*G1672</f>
        <v/>
      </c>
      <c r="Q1672" s="14">
        <f>J1672*G1672</f>
        <v/>
      </c>
      <c r="R1672" s="14">
        <f>K1672-Q1672</f>
        <v/>
      </c>
      <c r="S1672" s="3">
        <f>P1672*Assumptions!$B$3/100</f>
        <v/>
      </c>
      <c r="T1672" s="14">
        <f>R1672-S1672</f>
        <v/>
      </c>
      <c r="U1672" s="14">
        <f>L1672*G1672</f>
        <v/>
      </c>
    </row>
    <row r="1673">
      <c r="A1673" s="12" t="inlineStr">
        <is>
          <t>PO-2022-1671</t>
        </is>
      </c>
      <c r="B1673" s="26" t="n">
        <v>44510</v>
      </c>
      <c r="C1673" s="12" t="inlineStr">
        <is>
          <t>VS02</t>
        </is>
      </c>
      <c r="D1673" s="12" t="inlineStr">
        <is>
          <t>Spring Steel</t>
        </is>
      </c>
      <c r="E1673" s="12" t="inlineStr">
        <is>
          <t>Y</t>
        </is>
      </c>
      <c r="F1673" s="12" t="n">
        <v>46.11</v>
      </c>
      <c r="G1673" s="17" t="n">
        <v>50907.94</v>
      </c>
      <c r="H1673" s="26" t="n">
        <v>44519</v>
      </c>
      <c r="I1673" s="26" t="n">
        <v>44519</v>
      </c>
      <c r="J1673" s="12" t="n">
        <v>45.86</v>
      </c>
      <c r="K1673" s="17" t="n">
        <v>2347365.11</v>
      </c>
      <c r="L1673" s="12" t="n">
        <v>0</v>
      </c>
      <c r="M1673" s="12" t="n">
        <v>18</v>
      </c>
      <c r="N1673" s="27">
        <f>F1673-J1673</f>
        <v/>
      </c>
      <c r="O1673" s="16">
        <f>I1673-H1673</f>
        <v/>
      </c>
      <c r="P1673" s="14">
        <f>F1673*G1673</f>
        <v/>
      </c>
      <c r="Q1673" s="14">
        <f>J1673*G1673</f>
        <v/>
      </c>
      <c r="R1673" s="14">
        <f>K1673-Q1673</f>
        <v/>
      </c>
      <c r="S1673" s="3">
        <f>P1673*Assumptions!$B$3/100</f>
        <v/>
      </c>
      <c r="T1673" s="14">
        <f>R1673-S1673</f>
        <v/>
      </c>
      <c r="U1673" s="14">
        <f>L1673*G1673</f>
        <v/>
      </c>
    </row>
    <row r="1674">
      <c r="A1674" s="12" t="inlineStr">
        <is>
          <t>PO-2022-1672</t>
        </is>
      </c>
      <c r="B1674" s="26" t="n">
        <v>44248</v>
      </c>
      <c r="C1674" s="12" t="inlineStr">
        <is>
          <t>VS09</t>
        </is>
      </c>
      <c r="D1674" s="12" t="inlineStr">
        <is>
          <t>Fasteners &amp; Fittings</t>
        </is>
      </c>
      <c r="E1674" s="12" t="inlineStr">
        <is>
          <t>N</t>
        </is>
      </c>
      <c r="F1674" s="12" t="n">
        <v>32.09</v>
      </c>
      <c r="G1674" s="17" t="n">
        <v>103319.23</v>
      </c>
      <c r="H1674" s="26" t="n">
        <v>44253</v>
      </c>
      <c r="I1674" s="26" t="n">
        <v>44256</v>
      </c>
      <c r="J1674" s="12" t="n">
        <v>31.77</v>
      </c>
      <c r="K1674" s="17" t="n">
        <v>3315514.09</v>
      </c>
      <c r="L1674" s="12" t="n">
        <v>0</v>
      </c>
      <c r="M1674" s="12" t="n">
        <v>1</v>
      </c>
      <c r="N1674" s="27">
        <f>F1674-J1674</f>
        <v/>
      </c>
      <c r="O1674" s="16">
        <f>I1674-H1674</f>
        <v/>
      </c>
      <c r="P1674" s="14">
        <f>F1674*G1674</f>
        <v/>
      </c>
      <c r="Q1674" s="14">
        <f>J1674*G1674</f>
        <v/>
      </c>
      <c r="R1674" s="14">
        <f>K1674-Q1674</f>
        <v/>
      </c>
      <c r="S1674" s="3">
        <f>P1674*Assumptions!$B$3/100</f>
        <v/>
      </c>
      <c r="T1674" s="14">
        <f>R1674-S1674</f>
        <v/>
      </c>
      <c r="U1674" s="14">
        <f>L1674*G1674</f>
        <v/>
      </c>
    </row>
    <row r="1675">
      <c r="A1675" s="12" t="inlineStr">
        <is>
          <t>PO-2022-1673</t>
        </is>
      </c>
      <c r="B1675" s="26" t="n">
        <v>44687</v>
      </c>
      <c r="C1675" s="12" t="inlineStr">
        <is>
          <t>VS15</t>
        </is>
      </c>
      <c r="D1675" s="12" t="inlineStr">
        <is>
          <t>SS Sheets</t>
        </is>
      </c>
      <c r="E1675" s="12" t="inlineStr">
        <is>
          <t>N</t>
        </is>
      </c>
      <c r="F1675" s="12" t="n">
        <v>10.5</v>
      </c>
      <c r="G1675" s="17" t="n">
        <v>108034.26</v>
      </c>
      <c r="H1675" s="26" t="n">
        <v>44701</v>
      </c>
      <c r="I1675" s="26" t="n">
        <v>44703</v>
      </c>
      <c r="J1675" s="12" t="n">
        <v>10.41</v>
      </c>
      <c r="K1675" s="17" t="n">
        <v>1134359.73</v>
      </c>
      <c r="L1675" s="12" t="n">
        <v>0</v>
      </c>
      <c r="M1675" s="12" t="n">
        <v>20</v>
      </c>
      <c r="N1675" s="27">
        <f>F1675-J1675</f>
        <v/>
      </c>
      <c r="O1675" s="16">
        <f>I1675-H1675</f>
        <v/>
      </c>
      <c r="P1675" s="14">
        <f>F1675*G1675</f>
        <v/>
      </c>
      <c r="Q1675" s="14">
        <f>J1675*G1675</f>
        <v/>
      </c>
      <c r="R1675" s="14">
        <f>K1675-Q1675</f>
        <v/>
      </c>
      <c r="S1675" s="3">
        <f>P1675*Assumptions!$B$3/100</f>
        <v/>
      </c>
      <c r="T1675" s="14">
        <f>R1675-S1675</f>
        <v/>
      </c>
      <c r="U1675" s="14">
        <f>L1675*G1675</f>
        <v/>
      </c>
    </row>
    <row r="1676">
      <c r="A1676" s="12" t="inlineStr">
        <is>
          <t>PO-2022-1674</t>
        </is>
      </c>
      <c r="B1676" s="26" t="n">
        <v>44971</v>
      </c>
      <c r="C1676" s="12" t="inlineStr">
        <is>
          <t>VS17</t>
        </is>
      </c>
      <c r="D1676" s="12" t="inlineStr">
        <is>
          <t>GI Pipes</t>
        </is>
      </c>
      <c r="E1676" s="12" t="inlineStr">
        <is>
          <t>N</t>
        </is>
      </c>
      <c r="F1676" s="12" t="n">
        <v>14.47</v>
      </c>
      <c r="G1676" s="17" t="n">
        <v>115123.19</v>
      </c>
      <c r="H1676" s="26" t="n">
        <v>44984</v>
      </c>
      <c r="I1676" s="26" t="n">
        <v>44984</v>
      </c>
      <c r="J1676" s="12" t="n">
        <v>14.34</v>
      </c>
      <c r="K1676" s="17" t="n">
        <v>1665832.56</v>
      </c>
      <c r="L1676" s="12" t="n">
        <v>0</v>
      </c>
      <c r="M1676" s="12" t="n">
        <v>0</v>
      </c>
      <c r="N1676" s="27">
        <f>F1676-J1676</f>
        <v/>
      </c>
      <c r="O1676" s="16">
        <f>I1676-H1676</f>
        <v/>
      </c>
      <c r="P1676" s="14">
        <f>F1676*G1676</f>
        <v/>
      </c>
      <c r="Q1676" s="14">
        <f>J1676*G1676</f>
        <v/>
      </c>
      <c r="R1676" s="14">
        <f>K1676-Q1676</f>
        <v/>
      </c>
      <c r="S1676" s="3">
        <f>P1676*Assumptions!$B$3/100</f>
        <v/>
      </c>
      <c r="T1676" s="14">
        <f>R1676-S1676</f>
        <v/>
      </c>
      <c r="U1676" s="14">
        <f>L1676*G1676</f>
        <v/>
      </c>
    </row>
    <row r="1677">
      <c r="A1677" s="12" t="inlineStr">
        <is>
          <t>PO-2022-1675</t>
        </is>
      </c>
      <c r="B1677" s="26" t="n">
        <v>44244</v>
      </c>
      <c r="C1677" s="12" t="inlineStr">
        <is>
          <t>VS07</t>
        </is>
      </c>
      <c r="D1677" s="12" t="inlineStr">
        <is>
          <t>ERW Pipes</t>
        </is>
      </c>
      <c r="E1677" s="12" t="inlineStr">
        <is>
          <t>N</t>
        </is>
      </c>
      <c r="F1677" s="12" t="n">
        <v>23.5</v>
      </c>
      <c r="G1677" s="17" t="n">
        <v>89692.08</v>
      </c>
      <c r="H1677" s="26" t="n">
        <v>44248</v>
      </c>
      <c r="I1677" s="26" t="n">
        <v>44249</v>
      </c>
      <c r="J1677" s="12" t="n">
        <v>23.31</v>
      </c>
      <c r="K1677" s="17" t="n">
        <v>2107763.88</v>
      </c>
      <c r="L1677" s="12" t="n">
        <v>0</v>
      </c>
      <c r="M1677" s="12" t="n">
        <v>10</v>
      </c>
      <c r="N1677" s="27">
        <f>F1677-J1677</f>
        <v/>
      </c>
      <c r="O1677" s="16">
        <f>I1677-H1677</f>
        <v/>
      </c>
      <c r="P1677" s="14">
        <f>F1677*G1677</f>
        <v/>
      </c>
      <c r="Q1677" s="14">
        <f>J1677*G1677</f>
        <v/>
      </c>
      <c r="R1677" s="14">
        <f>K1677-Q1677</f>
        <v/>
      </c>
      <c r="S1677" s="3">
        <f>P1677*Assumptions!$B$3/100</f>
        <v/>
      </c>
      <c r="T1677" s="14">
        <f>R1677-S1677</f>
        <v/>
      </c>
      <c r="U1677" s="14">
        <f>L1677*G1677</f>
        <v/>
      </c>
    </row>
    <row r="1678">
      <c r="A1678" s="12" t="inlineStr">
        <is>
          <t>PO-2022-1676</t>
        </is>
      </c>
      <c r="B1678" s="26" t="n">
        <v>44487</v>
      </c>
      <c r="C1678" s="12" t="inlineStr">
        <is>
          <t>VS19</t>
        </is>
      </c>
      <c r="D1678" s="12" t="inlineStr">
        <is>
          <t>CR Sheets</t>
        </is>
      </c>
      <c r="E1678" s="12" t="inlineStr">
        <is>
          <t>Y</t>
        </is>
      </c>
      <c r="F1678" s="12" t="n">
        <v>44.84</v>
      </c>
      <c r="G1678" s="17" t="n">
        <v>54036.62</v>
      </c>
      <c r="H1678" s="26" t="n">
        <v>44497</v>
      </c>
      <c r="I1678" s="26" t="n">
        <v>44500</v>
      </c>
      <c r="J1678" s="12" t="n">
        <v>43.41</v>
      </c>
      <c r="K1678" s="17" t="n">
        <v>2423002.04</v>
      </c>
      <c r="L1678" s="12" t="n">
        <v>1.3</v>
      </c>
      <c r="M1678" s="12" t="n">
        <v>0</v>
      </c>
      <c r="N1678" s="27">
        <f>F1678-J1678</f>
        <v/>
      </c>
      <c r="O1678" s="16">
        <f>I1678-H1678</f>
        <v/>
      </c>
      <c r="P1678" s="14">
        <f>F1678*G1678</f>
        <v/>
      </c>
      <c r="Q1678" s="14">
        <f>J1678*G1678</f>
        <v/>
      </c>
      <c r="R1678" s="14">
        <f>K1678-Q1678</f>
        <v/>
      </c>
      <c r="S1678" s="3">
        <f>P1678*Assumptions!$B$3/100</f>
        <v/>
      </c>
      <c r="T1678" s="14">
        <f>R1678-S1678</f>
        <v/>
      </c>
      <c r="U1678" s="14">
        <f>L1678*G1678</f>
        <v/>
      </c>
    </row>
    <row r="1679">
      <c r="A1679" s="12" t="inlineStr">
        <is>
          <t>PO-2022-1677</t>
        </is>
      </c>
      <c r="B1679" s="26" t="n">
        <v>44937</v>
      </c>
      <c r="C1679" s="12" t="inlineStr">
        <is>
          <t>VS14</t>
        </is>
      </c>
      <c r="D1679" s="12" t="inlineStr">
        <is>
          <t>MS Rods</t>
        </is>
      </c>
      <c r="E1679" s="12" t="inlineStr">
        <is>
          <t>N</t>
        </is>
      </c>
      <c r="F1679" s="12" t="n">
        <v>5.93</v>
      </c>
      <c r="G1679" s="17" t="n">
        <v>104658.11</v>
      </c>
      <c r="H1679" s="26" t="n">
        <v>44946</v>
      </c>
      <c r="I1679" s="26" t="n">
        <v>44949</v>
      </c>
      <c r="J1679" s="12" t="n">
        <v>5.89</v>
      </c>
      <c r="K1679" s="17" t="n">
        <v>620622.59</v>
      </c>
      <c r="L1679" s="12" t="n">
        <v>0</v>
      </c>
      <c r="M1679" s="12" t="n">
        <v>0</v>
      </c>
      <c r="N1679" s="27">
        <f>F1679-J1679</f>
        <v/>
      </c>
      <c r="O1679" s="16">
        <f>I1679-H1679</f>
        <v/>
      </c>
      <c r="P1679" s="14">
        <f>F1679*G1679</f>
        <v/>
      </c>
      <c r="Q1679" s="14">
        <f>J1679*G1679</f>
        <v/>
      </c>
      <c r="R1679" s="14">
        <f>K1679-Q1679</f>
        <v/>
      </c>
      <c r="S1679" s="3">
        <f>P1679*Assumptions!$B$3/100</f>
        <v/>
      </c>
      <c r="T1679" s="14">
        <f>R1679-S1679</f>
        <v/>
      </c>
      <c r="U1679" s="14">
        <f>L1679*G1679</f>
        <v/>
      </c>
    </row>
    <row r="1680">
      <c r="A1680" s="12" t="inlineStr">
        <is>
          <t>PO-2022-1678</t>
        </is>
      </c>
      <c r="B1680" s="26" t="n">
        <v>44347</v>
      </c>
      <c r="C1680" s="12" t="inlineStr">
        <is>
          <t>VS32</t>
        </is>
      </c>
      <c r="D1680" s="12" t="inlineStr">
        <is>
          <t>SS Pipes</t>
        </is>
      </c>
      <c r="E1680" s="12" t="inlineStr">
        <is>
          <t>N</t>
        </is>
      </c>
      <c r="F1680" s="12" t="n">
        <v>11.3</v>
      </c>
      <c r="G1680" s="17" t="n">
        <v>76493.03</v>
      </c>
      <c r="H1680" s="26" t="n">
        <v>44355</v>
      </c>
      <c r="I1680" s="26" t="n">
        <v>44355</v>
      </c>
      <c r="J1680" s="12" t="n">
        <v>11.3</v>
      </c>
      <c r="K1680" s="17" t="n">
        <v>864371.24</v>
      </c>
      <c r="L1680" s="12" t="n">
        <v>0</v>
      </c>
      <c r="M1680" s="12" t="n">
        <v>17</v>
      </c>
      <c r="N1680" s="27">
        <f>F1680-J1680</f>
        <v/>
      </c>
      <c r="O1680" s="16">
        <f>I1680-H1680</f>
        <v/>
      </c>
      <c r="P1680" s="14">
        <f>F1680*G1680</f>
        <v/>
      </c>
      <c r="Q1680" s="14">
        <f>J1680*G1680</f>
        <v/>
      </c>
      <c r="R1680" s="14">
        <f>K1680-Q1680</f>
        <v/>
      </c>
      <c r="S1680" s="3">
        <f>P1680*Assumptions!$B$3/100</f>
        <v/>
      </c>
      <c r="T1680" s="14">
        <f>R1680-S1680</f>
        <v/>
      </c>
      <c r="U1680" s="14">
        <f>L1680*G1680</f>
        <v/>
      </c>
    </row>
    <row r="1681">
      <c r="A1681" s="12" t="inlineStr">
        <is>
          <t>PO-2022-1679</t>
        </is>
      </c>
      <c r="B1681" s="26" t="n">
        <v>45120</v>
      </c>
      <c r="C1681" s="12" t="inlineStr">
        <is>
          <t>VS11</t>
        </is>
      </c>
      <c r="D1681" s="12" t="inlineStr">
        <is>
          <t>MS Sheets</t>
        </is>
      </c>
      <c r="E1681" s="12" t="inlineStr">
        <is>
          <t>Y</t>
        </is>
      </c>
      <c r="F1681" s="12" t="n">
        <v>15.64</v>
      </c>
      <c r="G1681" s="17" t="n">
        <v>112772.86</v>
      </c>
      <c r="H1681" s="26" t="n">
        <v>45133</v>
      </c>
      <c r="I1681" s="26" t="n">
        <v>45134</v>
      </c>
      <c r="J1681" s="12" t="n">
        <v>15.54</v>
      </c>
      <c r="K1681" s="17" t="n">
        <v>1763767.53</v>
      </c>
      <c r="L1681" s="12" t="n">
        <v>0</v>
      </c>
      <c r="M1681" s="12" t="n">
        <v>0</v>
      </c>
      <c r="N1681" s="27">
        <f>F1681-J1681</f>
        <v/>
      </c>
      <c r="O1681" s="16">
        <f>I1681-H1681</f>
        <v/>
      </c>
      <c r="P1681" s="14">
        <f>F1681*G1681</f>
        <v/>
      </c>
      <c r="Q1681" s="14">
        <f>J1681*G1681</f>
        <v/>
      </c>
      <c r="R1681" s="14">
        <f>K1681-Q1681</f>
        <v/>
      </c>
      <c r="S1681" s="3">
        <f>P1681*Assumptions!$B$3/100</f>
        <v/>
      </c>
      <c r="T1681" s="14">
        <f>R1681-S1681</f>
        <v/>
      </c>
      <c r="U1681" s="14">
        <f>L1681*G1681</f>
        <v/>
      </c>
    </row>
    <row r="1682">
      <c r="A1682" s="12" t="inlineStr">
        <is>
          <t>PO-2022-1680</t>
        </is>
      </c>
      <c r="B1682" s="26" t="n">
        <v>44261</v>
      </c>
      <c r="C1682" s="12" t="inlineStr">
        <is>
          <t>VS08</t>
        </is>
      </c>
      <c r="D1682" s="12" t="inlineStr">
        <is>
          <t>MS Flats</t>
        </is>
      </c>
      <c r="E1682" s="12" t="inlineStr">
        <is>
          <t>N</t>
        </is>
      </c>
      <c r="F1682" s="12" t="n">
        <v>49.69</v>
      </c>
      <c r="G1682" s="17" t="n">
        <v>81293.32000000001</v>
      </c>
      <c r="H1682" s="26" t="n">
        <v>44273</v>
      </c>
      <c r="I1682" s="26" t="n">
        <v>44275</v>
      </c>
      <c r="J1682" s="12" t="n">
        <v>49.32</v>
      </c>
      <c r="K1682" s="17" t="n">
        <v>4039465.07</v>
      </c>
      <c r="L1682" s="12" t="n">
        <v>0</v>
      </c>
      <c r="M1682" s="12" t="n">
        <v>0</v>
      </c>
      <c r="N1682" s="27">
        <f>F1682-J1682</f>
        <v/>
      </c>
      <c r="O1682" s="16">
        <f>I1682-H1682</f>
        <v/>
      </c>
      <c r="P1682" s="14">
        <f>F1682*G1682</f>
        <v/>
      </c>
      <c r="Q1682" s="14">
        <f>J1682*G1682</f>
        <v/>
      </c>
      <c r="R1682" s="14">
        <f>K1682-Q1682</f>
        <v/>
      </c>
      <c r="S1682" s="3">
        <f>P1682*Assumptions!$B$3/100</f>
        <v/>
      </c>
      <c r="T1682" s="14">
        <f>R1682-S1682</f>
        <v/>
      </c>
      <c r="U1682" s="14">
        <f>L1682*G1682</f>
        <v/>
      </c>
    </row>
    <row r="1683">
      <c r="A1683" s="12" t="inlineStr">
        <is>
          <t>PO-2022-1681</t>
        </is>
      </c>
      <c r="B1683" s="26" t="n">
        <v>44207</v>
      </c>
      <c r="C1683" s="12" t="inlineStr">
        <is>
          <t>VS11</t>
        </is>
      </c>
      <c r="D1683" s="12" t="inlineStr">
        <is>
          <t>Hex Bars</t>
        </is>
      </c>
      <c r="E1683" s="12" t="inlineStr">
        <is>
          <t>N</t>
        </is>
      </c>
      <c r="F1683" s="12" t="n">
        <v>37.34</v>
      </c>
      <c r="G1683" s="17" t="n">
        <v>114493.74</v>
      </c>
      <c r="H1683" s="26" t="n">
        <v>44213</v>
      </c>
      <c r="I1683" s="26" t="n">
        <v>44214</v>
      </c>
      <c r="J1683" s="12" t="n">
        <v>36.98</v>
      </c>
      <c r="K1683" s="17" t="n">
        <v>4275196.25</v>
      </c>
      <c r="L1683" s="12" t="n">
        <v>0</v>
      </c>
      <c r="M1683" s="12" t="n">
        <v>22</v>
      </c>
      <c r="N1683" s="27">
        <f>F1683-J1683</f>
        <v/>
      </c>
      <c r="O1683" s="16">
        <f>I1683-H1683</f>
        <v/>
      </c>
      <c r="P1683" s="14">
        <f>F1683*G1683</f>
        <v/>
      </c>
      <c r="Q1683" s="14">
        <f>J1683*G1683</f>
        <v/>
      </c>
      <c r="R1683" s="14">
        <f>K1683-Q1683</f>
        <v/>
      </c>
      <c r="S1683" s="3">
        <f>P1683*Assumptions!$B$3/100</f>
        <v/>
      </c>
      <c r="T1683" s="14">
        <f>R1683-S1683</f>
        <v/>
      </c>
      <c r="U1683" s="14">
        <f>L1683*G1683</f>
        <v/>
      </c>
    </row>
    <row r="1684">
      <c r="A1684" s="12" t="inlineStr">
        <is>
          <t>PO-2022-1682</t>
        </is>
      </c>
      <c r="B1684" s="26" t="n">
        <v>44257</v>
      </c>
      <c r="C1684" s="12" t="inlineStr">
        <is>
          <t>VS02</t>
        </is>
      </c>
      <c r="D1684" s="12" t="inlineStr">
        <is>
          <t>Hex Bars</t>
        </is>
      </c>
      <c r="E1684" s="12" t="inlineStr">
        <is>
          <t>N</t>
        </is>
      </c>
      <c r="F1684" s="12" t="n">
        <v>26.08</v>
      </c>
      <c r="G1684" s="17" t="n">
        <v>56425.95</v>
      </c>
      <c r="H1684" s="26" t="n">
        <v>44265</v>
      </c>
      <c r="I1684" s="26" t="n">
        <v>44265</v>
      </c>
      <c r="J1684" s="12" t="n">
        <v>26.03</v>
      </c>
      <c r="K1684" s="17" t="n">
        <v>1471588.78</v>
      </c>
      <c r="L1684" s="12" t="n">
        <v>0</v>
      </c>
      <c r="M1684" s="12" t="n">
        <v>3</v>
      </c>
      <c r="N1684" s="27">
        <f>F1684-J1684</f>
        <v/>
      </c>
      <c r="O1684" s="16">
        <f>I1684-H1684</f>
        <v/>
      </c>
      <c r="P1684" s="14">
        <f>F1684*G1684</f>
        <v/>
      </c>
      <c r="Q1684" s="14">
        <f>J1684*G1684</f>
        <v/>
      </c>
      <c r="R1684" s="14">
        <f>K1684-Q1684</f>
        <v/>
      </c>
      <c r="S1684" s="3">
        <f>P1684*Assumptions!$B$3/100</f>
        <v/>
      </c>
      <c r="T1684" s="14">
        <f>R1684-S1684</f>
        <v/>
      </c>
      <c r="U1684" s="14">
        <f>L1684*G1684</f>
        <v/>
      </c>
    </row>
    <row r="1685">
      <c r="A1685" s="12" t="inlineStr">
        <is>
          <t>PO-2022-1683</t>
        </is>
      </c>
      <c r="B1685" s="26" t="n">
        <v>44432</v>
      </c>
      <c r="C1685" s="12" t="inlineStr">
        <is>
          <t>VS14</t>
        </is>
      </c>
      <c r="D1685" s="12" t="inlineStr">
        <is>
          <t>MS Pipes</t>
        </is>
      </c>
      <c r="E1685" s="12" t="inlineStr">
        <is>
          <t>N</t>
        </is>
      </c>
      <c r="F1685" s="12" t="n">
        <v>17.05</v>
      </c>
      <c r="G1685" s="17" t="n">
        <v>61482.08</v>
      </c>
      <c r="H1685" s="26" t="n">
        <v>44446</v>
      </c>
      <c r="I1685" s="26" t="n">
        <v>44446</v>
      </c>
      <c r="J1685" s="12" t="n">
        <v>17.02</v>
      </c>
      <c r="K1685" s="17" t="n">
        <v>1048269.46</v>
      </c>
      <c r="L1685" s="12" t="n">
        <v>0</v>
      </c>
      <c r="M1685" s="12" t="n">
        <v>3</v>
      </c>
      <c r="N1685" s="27">
        <f>F1685-J1685</f>
        <v/>
      </c>
      <c r="O1685" s="16">
        <f>I1685-H1685</f>
        <v/>
      </c>
      <c r="P1685" s="14">
        <f>F1685*G1685</f>
        <v/>
      </c>
      <c r="Q1685" s="14">
        <f>J1685*G1685</f>
        <v/>
      </c>
      <c r="R1685" s="14">
        <f>K1685-Q1685</f>
        <v/>
      </c>
      <c r="S1685" s="3">
        <f>P1685*Assumptions!$B$3/100</f>
        <v/>
      </c>
      <c r="T1685" s="14">
        <f>R1685-S1685</f>
        <v/>
      </c>
      <c r="U1685" s="14">
        <f>L1685*G1685</f>
        <v/>
      </c>
    </row>
    <row r="1686">
      <c r="A1686" s="12" t="inlineStr">
        <is>
          <t>PO-2022-1684</t>
        </is>
      </c>
      <c r="B1686" s="26" t="n">
        <v>44456</v>
      </c>
      <c r="C1686" s="12" t="inlineStr">
        <is>
          <t>VS18</t>
        </is>
      </c>
      <c r="D1686" s="12" t="inlineStr">
        <is>
          <t>CR Sheets</t>
        </is>
      </c>
      <c r="E1686" s="12" t="inlineStr">
        <is>
          <t>N</t>
        </is>
      </c>
      <c r="F1686" s="12" t="n">
        <v>24.6</v>
      </c>
      <c r="G1686" s="17" t="n">
        <v>116492.2</v>
      </c>
      <c r="H1686" s="26" t="n">
        <v>44464</v>
      </c>
      <c r="I1686" s="26" t="n">
        <v>44467</v>
      </c>
      <c r="J1686" s="12" t="n">
        <v>24.41</v>
      </c>
      <c r="K1686" s="17" t="n">
        <v>2865708.12</v>
      </c>
      <c r="L1686" s="12" t="n">
        <v>0</v>
      </c>
      <c r="M1686" s="12" t="n">
        <v>0</v>
      </c>
      <c r="N1686" s="27">
        <f>F1686-J1686</f>
        <v/>
      </c>
      <c r="O1686" s="16">
        <f>I1686-H1686</f>
        <v/>
      </c>
      <c r="P1686" s="14">
        <f>F1686*G1686</f>
        <v/>
      </c>
      <c r="Q1686" s="14">
        <f>J1686*G1686</f>
        <v/>
      </c>
      <c r="R1686" s="14">
        <f>K1686-Q1686</f>
        <v/>
      </c>
      <c r="S1686" s="3">
        <f>P1686*Assumptions!$B$3/100</f>
        <v/>
      </c>
      <c r="T1686" s="14">
        <f>R1686-S1686</f>
        <v/>
      </c>
      <c r="U1686" s="14">
        <f>L1686*G1686</f>
        <v/>
      </c>
    </row>
    <row r="1687">
      <c r="A1687" s="12" t="inlineStr">
        <is>
          <t>PO-2022-1685</t>
        </is>
      </c>
      <c r="B1687" s="26" t="n">
        <v>44799</v>
      </c>
      <c r="C1687" s="12" t="inlineStr">
        <is>
          <t>VS30</t>
        </is>
      </c>
      <c r="D1687" s="12" t="inlineStr">
        <is>
          <t>Structural Steel</t>
        </is>
      </c>
      <c r="E1687" s="12" t="inlineStr">
        <is>
          <t>Y</t>
        </is>
      </c>
      <c r="F1687" s="12" t="n">
        <v>22.37</v>
      </c>
      <c r="G1687" s="17" t="n">
        <v>115975.93</v>
      </c>
      <c r="H1687" s="26" t="n">
        <v>44805</v>
      </c>
      <c r="I1687" s="26" t="n">
        <v>44805</v>
      </c>
      <c r="J1687" s="12" t="n">
        <v>22.17</v>
      </c>
      <c r="K1687" s="17" t="n">
        <v>2594381.55</v>
      </c>
      <c r="L1687" s="12" t="n">
        <v>0</v>
      </c>
      <c r="M1687" s="12" t="n">
        <v>0</v>
      </c>
      <c r="N1687" s="27">
        <f>F1687-J1687</f>
        <v/>
      </c>
      <c r="O1687" s="16">
        <f>I1687-H1687</f>
        <v/>
      </c>
      <c r="P1687" s="14">
        <f>F1687*G1687</f>
        <v/>
      </c>
      <c r="Q1687" s="14">
        <f>J1687*G1687</f>
        <v/>
      </c>
      <c r="R1687" s="14">
        <f>K1687-Q1687</f>
        <v/>
      </c>
      <c r="S1687" s="3">
        <f>P1687*Assumptions!$B$3/100</f>
        <v/>
      </c>
      <c r="T1687" s="14">
        <f>R1687-S1687</f>
        <v/>
      </c>
      <c r="U1687" s="14">
        <f>L1687*G1687</f>
        <v/>
      </c>
    </row>
    <row r="1688">
      <c r="A1688" s="12" t="inlineStr">
        <is>
          <t>PO-2022-1686</t>
        </is>
      </c>
      <c r="B1688" s="26" t="n">
        <v>44709</v>
      </c>
      <c r="C1688" s="12" t="inlineStr">
        <is>
          <t>VS12</t>
        </is>
      </c>
      <c r="D1688" s="12" t="inlineStr">
        <is>
          <t>GI Sheets</t>
        </is>
      </c>
      <c r="E1688" s="12" t="inlineStr">
        <is>
          <t>N</t>
        </is>
      </c>
      <c r="F1688" s="12" t="n">
        <v>34.67</v>
      </c>
      <c r="G1688" s="17" t="n">
        <v>116010.56</v>
      </c>
      <c r="H1688" s="26" t="n">
        <v>44716</v>
      </c>
      <c r="I1688" s="26" t="n">
        <v>44719</v>
      </c>
      <c r="J1688" s="12" t="n">
        <v>33.03</v>
      </c>
      <c r="K1688" s="17" t="n">
        <v>4022086.12</v>
      </c>
      <c r="L1688" s="12" t="n">
        <v>1.61</v>
      </c>
      <c r="M1688" s="12" t="n">
        <v>3</v>
      </c>
      <c r="N1688" s="27">
        <f>F1688-J1688</f>
        <v/>
      </c>
      <c r="O1688" s="16">
        <f>I1688-H1688</f>
        <v/>
      </c>
      <c r="P1688" s="14">
        <f>F1688*G1688</f>
        <v/>
      </c>
      <c r="Q1688" s="14">
        <f>J1688*G1688</f>
        <v/>
      </c>
      <c r="R1688" s="14">
        <f>K1688-Q1688</f>
        <v/>
      </c>
      <c r="S1688" s="3">
        <f>P1688*Assumptions!$B$3/100</f>
        <v/>
      </c>
      <c r="T1688" s="14">
        <f>R1688-S1688</f>
        <v/>
      </c>
      <c r="U1688" s="14">
        <f>L1688*G1688</f>
        <v/>
      </c>
    </row>
    <row r="1689">
      <c r="A1689" s="12" t="inlineStr">
        <is>
          <t>PO-2022-1687</t>
        </is>
      </c>
      <c r="B1689" s="26" t="n">
        <v>45001</v>
      </c>
      <c r="C1689" s="12" t="inlineStr">
        <is>
          <t>VS07</t>
        </is>
      </c>
      <c r="D1689" s="12" t="inlineStr">
        <is>
          <t>SS Sheets</t>
        </is>
      </c>
      <c r="E1689" s="12" t="inlineStr">
        <is>
          <t>N</t>
        </is>
      </c>
      <c r="F1689" s="12" t="n">
        <v>9.119999999999999</v>
      </c>
      <c r="G1689" s="17" t="n">
        <v>60437.39</v>
      </c>
      <c r="H1689" s="26" t="n">
        <v>45015</v>
      </c>
      <c r="I1689" s="26" t="n">
        <v>45015</v>
      </c>
      <c r="J1689" s="12" t="n">
        <v>9.029999999999999</v>
      </c>
      <c r="K1689" s="17" t="n">
        <v>551189</v>
      </c>
      <c r="L1689" s="12" t="n">
        <v>0</v>
      </c>
      <c r="M1689" s="12" t="n">
        <v>14</v>
      </c>
      <c r="N1689" s="27">
        <f>F1689-J1689</f>
        <v/>
      </c>
      <c r="O1689" s="16">
        <f>I1689-H1689</f>
        <v/>
      </c>
      <c r="P1689" s="14">
        <f>F1689*G1689</f>
        <v/>
      </c>
      <c r="Q1689" s="14">
        <f>J1689*G1689</f>
        <v/>
      </c>
      <c r="R1689" s="14">
        <f>K1689-Q1689</f>
        <v/>
      </c>
      <c r="S1689" s="3">
        <f>P1689*Assumptions!$B$3/100</f>
        <v/>
      </c>
      <c r="T1689" s="14">
        <f>R1689-S1689</f>
        <v/>
      </c>
      <c r="U1689" s="14">
        <f>L1689*G1689</f>
        <v/>
      </c>
    </row>
    <row r="1690">
      <c r="A1690" s="12" t="inlineStr">
        <is>
          <t>PO-2022-1688</t>
        </is>
      </c>
      <c r="B1690" s="26" t="n">
        <v>45196</v>
      </c>
      <c r="C1690" s="12" t="inlineStr">
        <is>
          <t>VS28</t>
        </is>
      </c>
      <c r="D1690" s="12" t="inlineStr">
        <is>
          <t>Fasteners &amp; Fittings</t>
        </is>
      </c>
      <c r="E1690" s="12" t="inlineStr">
        <is>
          <t>N</t>
        </is>
      </c>
      <c r="F1690" s="12" t="n">
        <v>21.76</v>
      </c>
      <c r="G1690" s="17" t="n">
        <v>101030.95</v>
      </c>
      <c r="H1690" s="26" t="n">
        <v>45204</v>
      </c>
      <c r="I1690" s="26" t="n">
        <v>45205</v>
      </c>
      <c r="J1690" s="12" t="n">
        <v>21.56</v>
      </c>
      <c r="K1690" s="17" t="n">
        <v>2198433.47</v>
      </c>
      <c r="L1690" s="12" t="n">
        <v>0</v>
      </c>
      <c r="M1690" s="12" t="n">
        <v>0</v>
      </c>
      <c r="N1690" s="27">
        <f>F1690-J1690</f>
        <v/>
      </c>
      <c r="O1690" s="16">
        <f>I1690-H1690</f>
        <v/>
      </c>
      <c r="P1690" s="14">
        <f>F1690*G1690</f>
        <v/>
      </c>
      <c r="Q1690" s="14">
        <f>J1690*G1690</f>
        <v/>
      </c>
      <c r="R1690" s="14">
        <f>K1690-Q1690</f>
        <v/>
      </c>
      <c r="S1690" s="3">
        <f>P1690*Assumptions!$B$3/100</f>
        <v/>
      </c>
      <c r="T1690" s="14">
        <f>R1690-S1690</f>
        <v/>
      </c>
      <c r="U1690" s="14">
        <f>L1690*G1690</f>
        <v/>
      </c>
    </row>
    <row r="1691">
      <c r="A1691" s="12" t="inlineStr">
        <is>
          <t>PO-2022-1689</t>
        </is>
      </c>
      <c r="B1691" s="26" t="n">
        <v>44417</v>
      </c>
      <c r="C1691" s="12" t="inlineStr">
        <is>
          <t>VS25</t>
        </is>
      </c>
      <c r="D1691" s="12" t="inlineStr">
        <is>
          <t>GI Wire</t>
        </is>
      </c>
      <c r="E1691" s="12" t="inlineStr">
        <is>
          <t>Y</t>
        </is>
      </c>
      <c r="F1691" s="12" t="n">
        <v>10.79</v>
      </c>
      <c r="G1691" s="17" t="n">
        <v>71468.66</v>
      </c>
      <c r="H1691" s="26" t="n">
        <v>44430</v>
      </c>
      <c r="I1691" s="26" t="n">
        <v>44431</v>
      </c>
      <c r="J1691" s="12" t="n">
        <v>10.76</v>
      </c>
      <c r="K1691" s="17" t="n">
        <v>771146.84</v>
      </c>
      <c r="L1691" s="12" t="n">
        <v>0</v>
      </c>
      <c r="M1691" s="12" t="n">
        <v>0</v>
      </c>
      <c r="N1691" s="27">
        <f>F1691-J1691</f>
        <v/>
      </c>
      <c r="O1691" s="16">
        <f>I1691-H1691</f>
        <v/>
      </c>
      <c r="P1691" s="14">
        <f>F1691*G1691</f>
        <v/>
      </c>
      <c r="Q1691" s="14">
        <f>J1691*G1691</f>
        <v/>
      </c>
      <c r="R1691" s="14">
        <f>K1691-Q1691</f>
        <v/>
      </c>
      <c r="S1691" s="3">
        <f>P1691*Assumptions!$B$3/100</f>
        <v/>
      </c>
      <c r="T1691" s="14">
        <f>R1691-S1691</f>
        <v/>
      </c>
      <c r="U1691" s="14">
        <f>L1691*G1691</f>
        <v/>
      </c>
    </row>
    <row r="1692">
      <c r="A1692" s="12" t="inlineStr">
        <is>
          <t>PO-2022-1690</t>
        </is>
      </c>
      <c r="B1692" s="26" t="n">
        <v>44328</v>
      </c>
      <c r="C1692" s="12" t="inlineStr">
        <is>
          <t>VS29</t>
        </is>
      </c>
      <c r="D1692" s="12" t="inlineStr">
        <is>
          <t>MS Sheets</t>
        </is>
      </c>
      <c r="E1692" s="12" t="inlineStr">
        <is>
          <t>N</t>
        </is>
      </c>
      <c r="F1692" s="12" t="n">
        <v>44.58</v>
      </c>
      <c r="G1692" s="17" t="n">
        <v>116857.31</v>
      </c>
      <c r="H1692" s="26" t="n">
        <v>44335</v>
      </c>
      <c r="I1692" s="26" t="n">
        <v>44338</v>
      </c>
      <c r="J1692" s="12" t="n">
        <v>44.55</v>
      </c>
      <c r="K1692" s="17" t="n">
        <v>5209498.88</v>
      </c>
      <c r="L1692" s="12" t="n">
        <v>0</v>
      </c>
      <c r="M1692" s="12" t="n">
        <v>9</v>
      </c>
      <c r="N1692" s="27">
        <f>F1692-J1692</f>
        <v/>
      </c>
      <c r="O1692" s="16">
        <f>I1692-H1692</f>
        <v/>
      </c>
      <c r="P1692" s="14">
        <f>F1692*G1692</f>
        <v/>
      </c>
      <c r="Q1692" s="14">
        <f>J1692*G1692</f>
        <v/>
      </c>
      <c r="R1692" s="14">
        <f>K1692-Q1692</f>
        <v/>
      </c>
      <c r="S1692" s="3">
        <f>P1692*Assumptions!$B$3/100</f>
        <v/>
      </c>
      <c r="T1692" s="14">
        <f>R1692-S1692</f>
        <v/>
      </c>
      <c r="U1692" s="14">
        <f>L1692*G1692</f>
        <v/>
      </c>
    </row>
    <row r="1693">
      <c r="A1693" s="12" t="inlineStr">
        <is>
          <t>PO-2022-1691</t>
        </is>
      </c>
      <c r="B1693" s="26" t="n">
        <v>45036</v>
      </c>
      <c r="C1693" s="12" t="inlineStr">
        <is>
          <t>VS19</t>
        </is>
      </c>
      <c r="D1693" s="12" t="inlineStr">
        <is>
          <t>Hex Bars</t>
        </is>
      </c>
      <c r="E1693" s="12" t="inlineStr">
        <is>
          <t>N</t>
        </is>
      </c>
      <c r="F1693" s="12" t="n">
        <v>18.26</v>
      </c>
      <c r="G1693" s="17" t="n">
        <v>49135.32</v>
      </c>
      <c r="H1693" s="26" t="n">
        <v>45041</v>
      </c>
      <c r="I1693" s="26" t="n">
        <v>45045</v>
      </c>
      <c r="J1693" s="12" t="n">
        <v>17.64</v>
      </c>
      <c r="K1693" s="17" t="n">
        <v>897210.9399999999</v>
      </c>
      <c r="L1693" s="12" t="n">
        <v>0.11</v>
      </c>
      <c r="M1693" s="12" t="n">
        <v>1</v>
      </c>
      <c r="N1693" s="27">
        <f>F1693-J1693</f>
        <v/>
      </c>
      <c r="O1693" s="16">
        <f>I1693-H1693</f>
        <v/>
      </c>
      <c r="P1693" s="14">
        <f>F1693*G1693</f>
        <v/>
      </c>
      <c r="Q1693" s="14">
        <f>J1693*G1693</f>
        <v/>
      </c>
      <c r="R1693" s="14">
        <f>K1693-Q1693</f>
        <v/>
      </c>
      <c r="S1693" s="3">
        <f>P1693*Assumptions!$B$3/100</f>
        <v/>
      </c>
      <c r="T1693" s="14">
        <f>R1693-S1693</f>
        <v/>
      </c>
      <c r="U1693" s="14">
        <f>L1693*G1693</f>
        <v/>
      </c>
    </row>
    <row r="1694">
      <c r="A1694" s="12" t="inlineStr">
        <is>
          <t>PO-2022-1692</t>
        </is>
      </c>
      <c r="B1694" s="26" t="n">
        <v>44857</v>
      </c>
      <c r="C1694" s="12" t="inlineStr">
        <is>
          <t>VS28</t>
        </is>
      </c>
      <c r="D1694" s="12" t="inlineStr">
        <is>
          <t>MS Sheets</t>
        </is>
      </c>
      <c r="E1694" s="12" t="inlineStr">
        <is>
          <t>N</t>
        </is>
      </c>
      <c r="F1694" s="12" t="n">
        <v>18.53</v>
      </c>
      <c r="G1694" s="17" t="n">
        <v>50448.02</v>
      </c>
      <c r="H1694" s="26" t="n">
        <v>44870</v>
      </c>
      <c r="I1694" s="26" t="n">
        <v>44870</v>
      </c>
      <c r="J1694" s="12" t="n">
        <v>18.45</v>
      </c>
      <c r="K1694" s="17" t="n">
        <v>934801.8100000001</v>
      </c>
      <c r="L1694" s="12" t="n">
        <v>0</v>
      </c>
      <c r="M1694" s="12" t="n">
        <v>8</v>
      </c>
      <c r="N1694" s="27">
        <f>F1694-J1694</f>
        <v/>
      </c>
      <c r="O1694" s="16">
        <f>I1694-H1694</f>
        <v/>
      </c>
      <c r="P1694" s="14">
        <f>F1694*G1694</f>
        <v/>
      </c>
      <c r="Q1694" s="14">
        <f>J1694*G1694</f>
        <v/>
      </c>
      <c r="R1694" s="14">
        <f>K1694-Q1694</f>
        <v/>
      </c>
      <c r="S1694" s="3">
        <f>P1694*Assumptions!$B$3/100</f>
        <v/>
      </c>
      <c r="T1694" s="14">
        <f>R1694-S1694</f>
        <v/>
      </c>
      <c r="U1694" s="14">
        <f>L1694*G1694</f>
        <v/>
      </c>
    </row>
    <row r="1695">
      <c r="A1695" s="12" t="inlineStr">
        <is>
          <t>PO-2022-1693</t>
        </is>
      </c>
      <c r="B1695" s="26" t="n">
        <v>44958</v>
      </c>
      <c r="C1695" s="12" t="inlineStr">
        <is>
          <t>VS24</t>
        </is>
      </c>
      <c r="D1695" s="12" t="inlineStr">
        <is>
          <t>Square/Rect Tubes</t>
        </is>
      </c>
      <c r="E1695" s="12" t="inlineStr">
        <is>
          <t>N</t>
        </is>
      </c>
      <c r="F1695" s="12" t="n">
        <v>39.2</v>
      </c>
      <c r="G1695" s="17" t="n">
        <v>54172.77</v>
      </c>
      <c r="H1695" s="26" t="n">
        <v>44966</v>
      </c>
      <c r="I1695" s="26" t="n">
        <v>44968</v>
      </c>
      <c r="J1695" s="12" t="n">
        <v>38.92</v>
      </c>
      <c r="K1695" s="17" t="n">
        <v>2123572.58</v>
      </c>
      <c r="L1695" s="12" t="n">
        <v>0</v>
      </c>
      <c r="M1695" s="12" t="n">
        <v>4</v>
      </c>
      <c r="N1695" s="27">
        <f>F1695-J1695</f>
        <v/>
      </c>
      <c r="O1695" s="16">
        <f>I1695-H1695</f>
        <v/>
      </c>
      <c r="P1695" s="14">
        <f>F1695*G1695</f>
        <v/>
      </c>
      <c r="Q1695" s="14">
        <f>J1695*G1695</f>
        <v/>
      </c>
      <c r="R1695" s="14">
        <f>K1695-Q1695</f>
        <v/>
      </c>
      <c r="S1695" s="3">
        <f>P1695*Assumptions!$B$3/100</f>
        <v/>
      </c>
      <c r="T1695" s="14">
        <f>R1695-S1695</f>
        <v/>
      </c>
      <c r="U1695" s="14">
        <f>L1695*G1695</f>
        <v/>
      </c>
    </row>
    <row r="1696">
      <c r="A1696" s="12" t="inlineStr">
        <is>
          <t>PO-2022-1694</t>
        </is>
      </c>
      <c r="B1696" s="26" t="n">
        <v>44219</v>
      </c>
      <c r="C1696" s="12" t="inlineStr">
        <is>
          <t>VS22</t>
        </is>
      </c>
      <c r="D1696" s="12" t="inlineStr">
        <is>
          <t>GI Sheets</t>
        </is>
      </c>
      <c r="E1696" s="12" t="inlineStr">
        <is>
          <t>N</t>
        </is>
      </c>
      <c r="F1696" s="12" t="n">
        <v>23.8</v>
      </c>
      <c r="G1696" s="17" t="n">
        <v>104642.96</v>
      </c>
      <c r="H1696" s="26" t="n">
        <v>44225</v>
      </c>
      <c r="I1696" s="26" t="n">
        <v>44228</v>
      </c>
      <c r="J1696" s="12" t="n">
        <v>23.61</v>
      </c>
      <c r="K1696" s="17" t="n">
        <v>2490502.45</v>
      </c>
      <c r="L1696" s="12" t="n">
        <v>0</v>
      </c>
      <c r="M1696" s="12" t="n">
        <v>19</v>
      </c>
      <c r="N1696" s="27">
        <f>F1696-J1696</f>
        <v/>
      </c>
      <c r="O1696" s="16">
        <f>I1696-H1696</f>
        <v/>
      </c>
      <c r="P1696" s="14">
        <f>F1696*G1696</f>
        <v/>
      </c>
      <c r="Q1696" s="14">
        <f>J1696*G1696</f>
        <v/>
      </c>
      <c r="R1696" s="14">
        <f>K1696-Q1696</f>
        <v/>
      </c>
      <c r="S1696" s="3">
        <f>P1696*Assumptions!$B$3/100</f>
        <v/>
      </c>
      <c r="T1696" s="14">
        <f>R1696-S1696</f>
        <v/>
      </c>
      <c r="U1696" s="14">
        <f>L1696*G1696</f>
        <v/>
      </c>
    </row>
    <row r="1697">
      <c r="A1697" s="12" t="inlineStr">
        <is>
          <t>PO-2022-1695</t>
        </is>
      </c>
      <c r="B1697" s="26" t="n">
        <v>44332</v>
      </c>
      <c r="C1697" s="12" t="inlineStr">
        <is>
          <t>VS25</t>
        </is>
      </c>
      <c r="D1697" s="12" t="inlineStr">
        <is>
          <t>SS Sheets</t>
        </is>
      </c>
      <c r="E1697" s="12" t="inlineStr">
        <is>
          <t>N</t>
        </is>
      </c>
      <c r="F1697" s="12" t="n">
        <v>30.49</v>
      </c>
      <c r="G1697" s="17" t="n">
        <v>84544.67999999999</v>
      </c>
      <c r="H1697" s="26" t="n">
        <v>44336</v>
      </c>
      <c r="I1697" s="26" t="n">
        <v>44338</v>
      </c>
      <c r="J1697" s="12" t="n">
        <v>30.32</v>
      </c>
      <c r="K1697" s="17" t="n">
        <v>2577767.29</v>
      </c>
      <c r="L1697" s="12" t="n">
        <v>0</v>
      </c>
      <c r="M1697" s="12" t="n">
        <v>18</v>
      </c>
      <c r="N1697" s="27">
        <f>F1697-J1697</f>
        <v/>
      </c>
      <c r="O1697" s="16">
        <f>I1697-H1697</f>
        <v/>
      </c>
      <c r="P1697" s="14">
        <f>F1697*G1697</f>
        <v/>
      </c>
      <c r="Q1697" s="14">
        <f>J1697*G1697</f>
        <v/>
      </c>
      <c r="R1697" s="14">
        <f>K1697-Q1697</f>
        <v/>
      </c>
      <c r="S1697" s="3">
        <f>P1697*Assumptions!$B$3/100</f>
        <v/>
      </c>
      <c r="T1697" s="14">
        <f>R1697-S1697</f>
        <v/>
      </c>
      <c r="U1697" s="14">
        <f>L1697*G1697</f>
        <v/>
      </c>
    </row>
    <row r="1698">
      <c r="A1698" s="12" t="inlineStr">
        <is>
          <t>PO-2022-1696</t>
        </is>
      </c>
      <c r="B1698" s="26" t="n">
        <v>44766</v>
      </c>
      <c r="C1698" s="12" t="inlineStr">
        <is>
          <t>VS05</t>
        </is>
      </c>
      <c r="D1698" s="12" t="inlineStr">
        <is>
          <t>GI Wire</t>
        </is>
      </c>
      <c r="E1698" s="12" t="inlineStr">
        <is>
          <t>Y</t>
        </is>
      </c>
      <c r="F1698" s="12" t="n">
        <v>34.42</v>
      </c>
      <c r="G1698" s="17" t="n">
        <v>77640.42</v>
      </c>
      <c r="H1698" s="26" t="n">
        <v>44774</v>
      </c>
      <c r="I1698" s="26" t="n">
        <v>44777</v>
      </c>
      <c r="J1698" s="12" t="n">
        <v>34.38</v>
      </c>
      <c r="K1698" s="17" t="n">
        <v>2672383.26</v>
      </c>
      <c r="L1698" s="12" t="n">
        <v>0</v>
      </c>
      <c r="M1698" s="12" t="n">
        <v>0</v>
      </c>
      <c r="N1698" s="27">
        <f>F1698-J1698</f>
        <v/>
      </c>
      <c r="O1698" s="16">
        <f>I1698-H1698</f>
        <v/>
      </c>
      <c r="P1698" s="14">
        <f>F1698*G1698</f>
        <v/>
      </c>
      <c r="Q1698" s="14">
        <f>J1698*G1698</f>
        <v/>
      </c>
      <c r="R1698" s="14">
        <f>K1698-Q1698</f>
        <v/>
      </c>
      <c r="S1698" s="3">
        <f>P1698*Assumptions!$B$3/100</f>
        <v/>
      </c>
      <c r="T1698" s="14">
        <f>R1698-S1698</f>
        <v/>
      </c>
      <c r="U1698" s="14">
        <f>L1698*G1698</f>
        <v/>
      </c>
    </row>
    <row r="1699">
      <c r="A1699" s="12" t="inlineStr">
        <is>
          <t>PO-2022-1697</t>
        </is>
      </c>
      <c r="B1699" s="26" t="n">
        <v>44602</v>
      </c>
      <c r="C1699" s="12" t="inlineStr">
        <is>
          <t>VS13</t>
        </is>
      </c>
      <c r="D1699" s="12" t="inlineStr">
        <is>
          <t>GI Pipes</t>
        </is>
      </c>
      <c r="E1699" s="12" t="inlineStr">
        <is>
          <t>N</t>
        </is>
      </c>
      <c r="F1699" s="12" t="n">
        <v>40.33</v>
      </c>
      <c r="G1699" s="17" t="n">
        <v>82398.82000000001</v>
      </c>
      <c r="H1699" s="26" t="n">
        <v>44609</v>
      </c>
      <c r="I1699" s="26" t="n">
        <v>44610</v>
      </c>
      <c r="J1699" s="12" t="n">
        <v>40.04</v>
      </c>
      <c r="K1699" s="17" t="n">
        <v>3323144.41</v>
      </c>
      <c r="L1699" s="12" t="n">
        <v>0</v>
      </c>
      <c r="M1699" s="12" t="n">
        <v>0</v>
      </c>
      <c r="N1699" s="27">
        <f>F1699-J1699</f>
        <v/>
      </c>
      <c r="O1699" s="16">
        <f>I1699-H1699</f>
        <v/>
      </c>
      <c r="P1699" s="14">
        <f>F1699*G1699</f>
        <v/>
      </c>
      <c r="Q1699" s="14">
        <f>J1699*G1699</f>
        <v/>
      </c>
      <c r="R1699" s="14">
        <f>K1699-Q1699</f>
        <v/>
      </c>
      <c r="S1699" s="3">
        <f>P1699*Assumptions!$B$3/100</f>
        <v/>
      </c>
      <c r="T1699" s="14">
        <f>R1699-S1699</f>
        <v/>
      </c>
      <c r="U1699" s="14">
        <f>L1699*G1699</f>
        <v/>
      </c>
    </row>
    <row r="1700">
      <c r="A1700" s="12" t="inlineStr">
        <is>
          <t>PO-2022-1698</t>
        </is>
      </c>
      <c r="B1700" s="26" t="n">
        <v>45059</v>
      </c>
      <c r="C1700" s="12" t="inlineStr">
        <is>
          <t>VS08</t>
        </is>
      </c>
      <c r="D1700" s="12" t="inlineStr">
        <is>
          <t>ERW Pipes</t>
        </is>
      </c>
      <c r="E1700" s="12" t="inlineStr">
        <is>
          <t>N</t>
        </is>
      </c>
      <c r="F1700" s="12" t="n">
        <v>23.19</v>
      </c>
      <c r="G1700" s="17" t="n">
        <v>90107.3</v>
      </c>
      <c r="H1700" s="26" t="n">
        <v>45071</v>
      </c>
      <c r="I1700" s="26" t="n">
        <v>45073</v>
      </c>
      <c r="J1700" s="12" t="n">
        <v>23.11</v>
      </c>
      <c r="K1700" s="17" t="n">
        <v>2089588.29</v>
      </c>
      <c r="L1700" s="12" t="n">
        <v>0</v>
      </c>
      <c r="M1700" s="12" t="n">
        <v>11</v>
      </c>
      <c r="N1700" s="27">
        <f>F1700-J1700</f>
        <v/>
      </c>
      <c r="O1700" s="16">
        <f>I1700-H1700</f>
        <v/>
      </c>
      <c r="P1700" s="14">
        <f>F1700*G1700</f>
        <v/>
      </c>
      <c r="Q1700" s="14">
        <f>J1700*G1700</f>
        <v/>
      </c>
      <c r="R1700" s="14">
        <f>K1700-Q1700</f>
        <v/>
      </c>
      <c r="S1700" s="3">
        <f>P1700*Assumptions!$B$3/100</f>
        <v/>
      </c>
      <c r="T1700" s="14">
        <f>R1700-S1700</f>
        <v/>
      </c>
      <c r="U1700" s="14">
        <f>L1700*G1700</f>
        <v/>
      </c>
    </row>
    <row r="1701">
      <c r="A1701" s="12" t="inlineStr">
        <is>
          <t>PO-2022-1699</t>
        </is>
      </c>
      <c r="B1701" s="26" t="n">
        <v>44981</v>
      </c>
      <c r="C1701" s="12" t="inlineStr">
        <is>
          <t>VS16</t>
        </is>
      </c>
      <c r="D1701" s="12" t="inlineStr">
        <is>
          <t>MS Pipes</t>
        </is>
      </c>
      <c r="E1701" s="12" t="inlineStr">
        <is>
          <t>N</t>
        </is>
      </c>
      <c r="F1701" s="12" t="n">
        <v>14.97</v>
      </c>
      <c r="G1701" s="17" t="n">
        <v>93275</v>
      </c>
      <c r="H1701" s="26" t="n">
        <v>44993</v>
      </c>
      <c r="I1701" s="26" t="n">
        <v>44994</v>
      </c>
      <c r="J1701" s="12" t="n">
        <v>14.9</v>
      </c>
      <c r="K1701" s="17" t="n">
        <v>1396326.75</v>
      </c>
      <c r="L1701" s="12" t="n">
        <v>0</v>
      </c>
      <c r="M1701" s="12" t="n">
        <v>0</v>
      </c>
      <c r="N1701" s="27">
        <f>F1701-J1701</f>
        <v/>
      </c>
      <c r="O1701" s="16">
        <f>I1701-H1701</f>
        <v/>
      </c>
      <c r="P1701" s="14">
        <f>F1701*G1701</f>
        <v/>
      </c>
      <c r="Q1701" s="14">
        <f>J1701*G1701</f>
        <v/>
      </c>
      <c r="R1701" s="14">
        <f>K1701-Q1701</f>
        <v/>
      </c>
      <c r="S1701" s="3">
        <f>P1701*Assumptions!$B$3/100</f>
        <v/>
      </c>
      <c r="T1701" s="14">
        <f>R1701-S1701</f>
        <v/>
      </c>
      <c r="U1701" s="14">
        <f>L1701*G1701</f>
        <v/>
      </c>
    </row>
    <row r="1702">
      <c r="A1702" s="12" t="inlineStr">
        <is>
          <t>PO-2022-1700</t>
        </is>
      </c>
      <c r="B1702" s="26" t="n">
        <v>44206</v>
      </c>
      <c r="C1702" s="12" t="inlineStr">
        <is>
          <t>VS30</t>
        </is>
      </c>
      <c r="D1702" s="12" t="inlineStr">
        <is>
          <t>SS Sheets</t>
        </is>
      </c>
      <c r="E1702" s="12" t="inlineStr">
        <is>
          <t>N</t>
        </is>
      </c>
      <c r="F1702" s="12" t="n">
        <v>7.42</v>
      </c>
      <c r="G1702" s="17" t="n">
        <v>117514.02</v>
      </c>
      <c r="H1702" s="26" t="n">
        <v>44209</v>
      </c>
      <c r="I1702" s="26" t="n">
        <v>44211</v>
      </c>
      <c r="J1702" s="12" t="n">
        <v>7.41</v>
      </c>
      <c r="K1702" s="17" t="n">
        <v>871954.03</v>
      </c>
      <c r="L1702" s="12" t="n">
        <v>0</v>
      </c>
      <c r="M1702" s="12" t="n">
        <v>9</v>
      </c>
      <c r="N1702" s="27">
        <f>F1702-J1702</f>
        <v/>
      </c>
      <c r="O1702" s="16">
        <f>I1702-H1702</f>
        <v/>
      </c>
      <c r="P1702" s="14">
        <f>F1702*G1702</f>
        <v/>
      </c>
      <c r="Q1702" s="14">
        <f>J1702*G1702</f>
        <v/>
      </c>
      <c r="R1702" s="14">
        <f>K1702-Q1702</f>
        <v/>
      </c>
      <c r="S1702" s="3">
        <f>P1702*Assumptions!$B$3/100</f>
        <v/>
      </c>
      <c r="T1702" s="14">
        <f>R1702-S1702</f>
        <v/>
      </c>
      <c r="U1702" s="14">
        <f>L1702*G1702</f>
        <v/>
      </c>
    </row>
    <row r="1703">
      <c r="A1703" s="12" t="inlineStr">
        <is>
          <t>PO-2022-1701</t>
        </is>
      </c>
      <c r="B1703" s="26" t="n">
        <v>45289</v>
      </c>
      <c r="C1703" s="12" t="inlineStr">
        <is>
          <t>VS34</t>
        </is>
      </c>
      <c r="D1703" s="12" t="inlineStr">
        <is>
          <t>GI Pipes</t>
        </is>
      </c>
      <c r="E1703" s="12" t="inlineStr">
        <is>
          <t>N</t>
        </is>
      </c>
      <c r="F1703" s="12" t="n">
        <v>17.53</v>
      </c>
      <c r="G1703" s="17" t="n">
        <v>46220.42</v>
      </c>
      <c r="H1703" s="26" t="n">
        <v>45299</v>
      </c>
      <c r="I1703" s="26" t="n">
        <v>45300</v>
      </c>
      <c r="J1703" s="12" t="n">
        <v>17.44</v>
      </c>
      <c r="K1703" s="17" t="n">
        <v>810243.96</v>
      </c>
      <c r="L1703" s="12" t="n">
        <v>0</v>
      </c>
      <c r="M1703" s="12" t="n">
        <v>4</v>
      </c>
      <c r="N1703" s="27">
        <f>F1703-J1703</f>
        <v/>
      </c>
      <c r="O1703" s="16">
        <f>I1703-H1703</f>
        <v/>
      </c>
      <c r="P1703" s="14">
        <f>F1703*G1703</f>
        <v/>
      </c>
      <c r="Q1703" s="14">
        <f>J1703*G1703</f>
        <v/>
      </c>
      <c r="R1703" s="14">
        <f>K1703-Q1703</f>
        <v/>
      </c>
      <c r="S1703" s="3">
        <f>P1703*Assumptions!$B$3/100</f>
        <v/>
      </c>
      <c r="T1703" s="14">
        <f>R1703-S1703</f>
        <v/>
      </c>
      <c r="U1703" s="14">
        <f>L1703*G1703</f>
        <v/>
      </c>
    </row>
    <row r="1704">
      <c r="A1704" s="12" t="inlineStr">
        <is>
          <t>PO-2022-1702</t>
        </is>
      </c>
      <c r="B1704" s="26" t="n">
        <v>44391</v>
      </c>
      <c r="C1704" s="12" t="inlineStr">
        <is>
          <t>VS27</t>
        </is>
      </c>
      <c r="D1704" s="12" t="inlineStr">
        <is>
          <t>SS Sheets</t>
        </is>
      </c>
      <c r="E1704" s="12" t="inlineStr">
        <is>
          <t>N</t>
        </is>
      </c>
      <c r="F1704" s="12" t="n">
        <v>14.46</v>
      </c>
      <c r="G1704" s="17" t="n">
        <v>101526.92</v>
      </c>
      <c r="H1704" s="26" t="n">
        <v>44400</v>
      </c>
      <c r="I1704" s="26" t="n">
        <v>44401</v>
      </c>
      <c r="J1704" s="12" t="n">
        <v>14.43</v>
      </c>
      <c r="K1704" s="17" t="n">
        <v>1468079.26</v>
      </c>
      <c r="L1704" s="12" t="n">
        <v>0</v>
      </c>
      <c r="M1704" s="12" t="n">
        <v>9</v>
      </c>
      <c r="N1704" s="27">
        <f>F1704-J1704</f>
        <v/>
      </c>
      <c r="O1704" s="16">
        <f>I1704-H1704</f>
        <v/>
      </c>
      <c r="P1704" s="14">
        <f>F1704*G1704</f>
        <v/>
      </c>
      <c r="Q1704" s="14">
        <f>J1704*G1704</f>
        <v/>
      </c>
      <c r="R1704" s="14">
        <f>K1704-Q1704</f>
        <v/>
      </c>
      <c r="S1704" s="3">
        <f>P1704*Assumptions!$B$3/100</f>
        <v/>
      </c>
      <c r="T1704" s="14">
        <f>R1704-S1704</f>
        <v/>
      </c>
      <c r="U1704" s="14">
        <f>L1704*G1704</f>
        <v/>
      </c>
    </row>
    <row r="1705">
      <c r="A1705" s="12" t="inlineStr">
        <is>
          <t>PO-2022-1703</t>
        </is>
      </c>
      <c r="B1705" s="26" t="n">
        <v>44360</v>
      </c>
      <c r="C1705" s="12" t="inlineStr">
        <is>
          <t>VS21</t>
        </is>
      </c>
      <c r="D1705" s="12" t="inlineStr">
        <is>
          <t>Structural Steel</t>
        </is>
      </c>
      <c r="E1705" s="12" t="inlineStr">
        <is>
          <t>N</t>
        </is>
      </c>
      <c r="F1705" s="12" t="n">
        <v>31</v>
      </c>
      <c r="G1705" s="17" t="n">
        <v>74499.56</v>
      </c>
      <c r="H1705" s="26" t="n">
        <v>44374</v>
      </c>
      <c r="I1705" s="26" t="n">
        <v>44377</v>
      </c>
      <c r="J1705" s="12" t="n">
        <v>30.98</v>
      </c>
      <c r="K1705" s="17" t="n">
        <v>2309486.36</v>
      </c>
      <c r="L1705" s="12" t="n">
        <v>0</v>
      </c>
      <c r="M1705" s="12" t="n">
        <v>0</v>
      </c>
      <c r="N1705" s="27">
        <f>F1705-J1705</f>
        <v/>
      </c>
      <c r="O1705" s="16">
        <f>I1705-H1705</f>
        <v/>
      </c>
      <c r="P1705" s="14">
        <f>F1705*G1705</f>
        <v/>
      </c>
      <c r="Q1705" s="14">
        <f>J1705*G1705</f>
        <v/>
      </c>
      <c r="R1705" s="14">
        <f>K1705-Q1705</f>
        <v/>
      </c>
      <c r="S1705" s="3">
        <f>P1705*Assumptions!$B$3/100</f>
        <v/>
      </c>
      <c r="T1705" s="14">
        <f>R1705-S1705</f>
        <v/>
      </c>
      <c r="U1705" s="14">
        <f>L1705*G1705</f>
        <v/>
      </c>
    </row>
    <row r="1706">
      <c r="A1706" s="12" t="inlineStr">
        <is>
          <t>PO-2022-1704</t>
        </is>
      </c>
      <c r="B1706" s="26" t="n">
        <v>45127</v>
      </c>
      <c r="C1706" s="12" t="inlineStr">
        <is>
          <t>VS32</t>
        </is>
      </c>
      <c r="D1706" s="12" t="inlineStr">
        <is>
          <t>ERW Pipes</t>
        </is>
      </c>
      <c r="E1706" s="12" t="inlineStr">
        <is>
          <t>N</t>
        </is>
      </c>
      <c r="F1706" s="12" t="n">
        <v>42.31</v>
      </c>
      <c r="G1706" s="17" t="n">
        <v>115327.78</v>
      </c>
      <c r="H1706" s="26" t="n">
        <v>45131</v>
      </c>
      <c r="I1706" s="26" t="n">
        <v>45133</v>
      </c>
      <c r="J1706" s="12" t="n">
        <v>42.25</v>
      </c>
      <c r="K1706" s="17" t="n">
        <v>4879518.37</v>
      </c>
      <c r="L1706" s="12" t="n">
        <v>0</v>
      </c>
      <c r="M1706" s="12" t="n">
        <v>11</v>
      </c>
      <c r="N1706" s="27">
        <f>F1706-J1706</f>
        <v/>
      </c>
      <c r="O1706" s="16">
        <f>I1706-H1706</f>
        <v/>
      </c>
      <c r="P1706" s="14">
        <f>F1706*G1706</f>
        <v/>
      </c>
      <c r="Q1706" s="14">
        <f>J1706*G1706</f>
        <v/>
      </c>
      <c r="R1706" s="14">
        <f>K1706-Q1706</f>
        <v/>
      </c>
      <c r="S1706" s="3">
        <f>P1706*Assumptions!$B$3/100</f>
        <v/>
      </c>
      <c r="T1706" s="14">
        <f>R1706-S1706</f>
        <v/>
      </c>
      <c r="U1706" s="14">
        <f>L1706*G1706</f>
        <v/>
      </c>
    </row>
    <row r="1707">
      <c r="A1707" s="12" t="inlineStr">
        <is>
          <t>PO-2022-1705</t>
        </is>
      </c>
      <c r="B1707" s="26" t="n">
        <v>44256</v>
      </c>
      <c r="C1707" s="12" t="inlineStr">
        <is>
          <t>VS15</t>
        </is>
      </c>
      <c r="D1707" s="12" t="inlineStr">
        <is>
          <t>GI Pipes</t>
        </is>
      </c>
      <c r="E1707" s="12" t="inlineStr">
        <is>
          <t>N</t>
        </is>
      </c>
      <c r="F1707" s="12" t="n">
        <v>41.45</v>
      </c>
      <c r="G1707" s="17" t="n">
        <v>55405.08</v>
      </c>
      <c r="H1707" s="26" t="n">
        <v>44264</v>
      </c>
      <c r="I1707" s="26" t="n">
        <v>44266</v>
      </c>
      <c r="J1707" s="12" t="n">
        <v>41.11</v>
      </c>
      <c r="K1707" s="17" t="n">
        <v>2296540.57</v>
      </c>
      <c r="L1707" s="12" t="n">
        <v>0</v>
      </c>
      <c r="M1707" s="12" t="n">
        <v>6</v>
      </c>
      <c r="N1707" s="27">
        <f>F1707-J1707</f>
        <v/>
      </c>
      <c r="O1707" s="16">
        <f>I1707-H1707</f>
        <v/>
      </c>
      <c r="P1707" s="14">
        <f>F1707*G1707</f>
        <v/>
      </c>
      <c r="Q1707" s="14">
        <f>J1707*G1707</f>
        <v/>
      </c>
      <c r="R1707" s="14">
        <f>K1707-Q1707</f>
        <v/>
      </c>
      <c r="S1707" s="3">
        <f>P1707*Assumptions!$B$3/100</f>
        <v/>
      </c>
      <c r="T1707" s="14">
        <f>R1707-S1707</f>
        <v/>
      </c>
      <c r="U1707" s="14">
        <f>L1707*G1707</f>
        <v/>
      </c>
    </row>
    <row r="1708">
      <c r="A1708" s="12" t="inlineStr">
        <is>
          <t>PO-2022-1706</t>
        </is>
      </c>
      <c r="B1708" s="26" t="n">
        <v>45089</v>
      </c>
      <c r="C1708" s="12" t="inlineStr">
        <is>
          <t>VS15</t>
        </is>
      </c>
      <c r="D1708" s="12" t="inlineStr">
        <is>
          <t>MS Sheets</t>
        </is>
      </c>
      <c r="E1708" s="12" t="inlineStr">
        <is>
          <t>N</t>
        </is>
      </c>
      <c r="F1708" s="12" t="n">
        <v>5.31</v>
      </c>
      <c r="G1708" s="17" t="n">
        <v>99308.09</v>
      </c>
      <c r="H1708" s="26" t="n">
        <v>45104</v>
      </c>
      <c r="I1708" s="26" t="n">
        <v>45106</v>
      </c>
      <c r="J1708" s="12" t="n">
        <v>5.29</v>
      </c>
      <c r="K1708" s="17" t="n">
        <v>527325.96</v>
      </c>
      <c r="L1708" s="12" t="n">
        <v>0</v>
      </c>
      <c r="M1708" s="12" t="n">
        <v>9</v>
      </c>
      <c r="N1708" s="27">
        <f>F1708-J1708</f>
        <v/>
      </c>
      <c r="O1708" s="16">
        <f>I1708-H1708</f>
        <v/>
      </c>
      <c r="P1708" s="14">
        <f>F1708*G1708</f>
        <v/>
      </c>
      <c r="Q1708" s="14">
        <f>J1708*G1708</f>
        <v/>
      </c>
      <c r="R1708" s="14">
        <f>K1708-Q1708</f>
        <v/>
      </c>
      <c r="S1708" s="3">
        <f>P1708*Assumptions!$B$3/100</f>
        <v/>
      </c>
      <c r="T1708" s="14">
        <f>R1708-S1708</f>
        <v/>
      </c>
      <c r="U1708" s="14">
        <f>L1708*G1708</f>
        <v/>
      </c>
    </row>
    <row r="1709">
      <c r="A1709" s="12" t="inlineStr">
        <is>
          <t>PO-2022-1707</t>
        </is>
      </c>
      <c r="B1709" s="26" t="n">
        <v>44952</v>
      </c>
      <c r="C1709" s="12" t="inlineStr">
        <is>
          <t>VS01</t>
        </is>
      </c>
      <c r="D1709" s="12" t="inlineStr">
        <is>
          <t>GI Pipes</t>
        </is>
      </c>
      <c r="E1709" s="12" t="inlineStr">
        <is>
          <t>N</t>
        </is>
      </c>
      <c r="F1709" s="12" t="n">
        <v>13.72</v>
      </c>
      <c r="G1709" s="17" t="n">
        <v>103870.8</v>
      </c>
      <c r="H1709" s="26" t="n">
        <v>44956</v>
      </c>
      <c r="I1709" s="26" t="n">
        <v>44959</v>
      </c>
      <c r="J1709" s="12" t="n">
        <v>13.69</v>
      </c>
      <c r="K1709" s="17" t="n">
        <v>1425107.38</v>
      </c>
      <c r="L1709" s="12" t="n">
        <v>0</v>
      </c>
      <c r="M1709" s="12" t="n">
        <v>17</v>
      </c>
      <c r="N1709" s="27">
        <f>F1709-J1709</f>
        <v/>
      </c>
      <c r="O1709" s="16">
        <f>I1709-H1709</f>
        <v/>
      </c>
      <c r="P1709" s="14">
        <f>F1709*G1709</f>
        <v/>
      </c>
      <c r="Q1709" s="14">
        <f>J1709*G1709</f>
        <v/>
      </c>
      <c r="R1709" s="14">
        <f>K1709-Q1709</f>
        <v/>
      </c>
      <c r="S1709" s="3">
        <f>P1709*Assumptions!$B$3/100</f>
        <v/>
      </c>
      <c r="T1709" s="14">
        <f>R1709-S1709</f>
        <v/>
      </c>
      <c r="U1709" s="14">
        <f>L1709*G1709</f>
        <v/>
      </c>
    </row>
    <row r="1710">
      <c r="A1710" s="12" t="inlineStr">
        <is>
          <t>PO-2022-1708</t>
        </is>
      </c>
      <c r="B1710" s="26" t="n">
        <v>44295</v>
      </c>
      <c r="C1710" s="12" t="inlineStr">
        <is>
          <t>VS20</t>
        </is>
      </c>
      <c r="D1710" s="12" t="inlineStr">
        <is>
          <t>SS Pipes</t>
        </is>
      </c>
      <c r="E1710" s="12" t="inlineStr">
        <is>
          <t>N</t>
        </is>
      </c>
      <c r="F1710" s="12" t="n">
        <v>13.92</v>
      </c>
      <c r="G1710" s="17" t="n">
        <v>96594.12</v>
      </c>
      <c r="H1710" s="26" t="n">
        <v>44310</v>
      </c>
      <c r="I1710" s="26" t="n">
        <v>44310</v>
      </c>
      <c r="J1710" s="12" t="n">
        <v>13.83</v>
      </c>
      <c r="K1710" s="17" t="n">
        <v>1344590.15</v>
      </c>
      <c r="L1710" s="12" t="n">
        <v>0</v>
      </c>
      <c r="M1710" s="12" t="n">
        <v>15</v>
      </c>
      <c r="N1710" s="27">
        <f>F1710-J1710</f>
        <v/>
      </c>
      <c r="O1710" s="16">
        <f>I1710-H1710</f>
        <v/>
      </c>
      <c r="P1710" s="14">
        <f>F1710*G1710</f>
        <v/>
      </c>
      <c r="Q1710" s="14">
        <f>J1710*G1710</f>
        <v/>
      </c>
      <c r="R1710" s="14">
        <f>K1710-Q1710</f>
        <v/>
      </c>
      <c r="S1710" s="3">
        <f>P1710*Assumptions!$B$3/100</f>
        <v/>
      </c>
      <c r="T1710" s="14">
        <f>R1710-S1710</f>
        <v/>
      </c>
      <c r="U1710" s="14">
        <f>L1710*G1710</f>
        <v/>
      </c>
    </row>
    <row r="1711">
      <c r="A1711" s="12" t="inlineStr">
        <is>
          <t>PO-2022-1709</t>
        </is>
      </c>
      <c r="B1711" s="26" t="n">
        <v>44974</v>
      </c>
      <c r="C1711" s="12" t="inlineStr">
        <is>
          <t>VS18</t>
        </is>
      </c>
      <c r="D1711" s="12" t="inlineStr">
        <is>
          <t>MS Sheets</t>
        </is>
      </c>
      <c r="E1711" s="12" t="inlineStr">
        <is>
          <t>N</t>
        </is>
      </c>
      <c r="F1711" s="12" t="n">
        <v>46.32</v>
      </c>
      <c r="G1711" s="17" t="n">
        <v>88758.99000000001</v>
      </c>
      <c r="H1711" s="26" t="n">
        <v>44978</v>
      </c>
      <c r="I1711" s="26" t="n">
        <v>44978</v>
      </c>
      <c r="J1711" s="12" t="n">
        <v>45.97</v>
      </c>
      <c r="K1711" s="17" t="n">
        <v>4111316.42</v>
      </c>
      <c r="L1711" s="12" t="n">
        <v>0</v>
      </c>
      <c r="M1711" s="12" t="n">
        <v>0</v>
      </c>
      <c r="N1711" s="27">
        <f>F1711-J1711</f>
        <v/>
      </c>
      <c r="O1711" s="16">
        <f>I1711-H1711</f>
        <v/>
      </c>
      <c r="P1711" s="14">
        <f>F1711*G1711</f>
        <v/>
      </c>
      <c r="Q1711" s="14">
        <f>J1711*G1711</f>
        <v/>
      </c>
      <c r="R1711" s="14">
        <f>K1711-Q1711</f>
        <v/>
      </c>
      <c r="S1711" s="3">
        <f>P1711*Assumptions!$B$3/100</f>
        <v/>
      </c>
      <c r="T1711" s="14">
        <f>R1711-S1711</f>
        <v/>
      </c>
      <c r="U1711" s="14">
        <f>L1711*G1711</f>
        <v/>
      </c>
    </row>
    <row r="1712">
      <c r="A1712" s="12" t="inlineStr">
        <is>
          <t>PO-2022-1710</t>
        </is>
      </c>
      <c r="B1712" s="26" t="n">
        <v>44455</v>
      </c>
      <c r="C1712" s="12" t="inlineStr">
        <is>
          <t>VS21</t>
        </is>
      </c>
      <c r="D1712" s="12" t="inlineStr">
        <is>
          <t>Square/Rect Tubes</t>
        </is>
      </c>
      <c r="E1712" s="12" t="inlineStr">
        <is>
          <t>N</t>
        </is>
      </c>
      <c r="F1712" s="12" t="n">
        <v>37.9</v>
      </c>
      <c r="G1712" s="17" t="n">
        <v>111584.88</v>
      </c>
      <c r="H1712" s="26" t="n">
        <v>44464</v>
      </c>
      <c r="I1712" s="26" t="n">
        <v>44464</v>
      </c>
      <c r="J1712" s="12" t="n">
        <v>37.74</v>
      </c>
      <c r="K1712" s="17" t="n">
        <v>4229066.95</v>
      </c>
      <c r="L1712" s="12" t="n">
        <v>0</v>
      </c>
      <c r="M1712" s="12" t="n">
        <v>21</v>
      </c>
      <c r="N1712" s="27">
        <f>F1712-J1712</f>
        <v/>
      </c>
      <c r="O1712" s="16">
        <f>I1712-H1712</f>
        <v/>
      </c>
      <c r="P1712" s="14">
        <f>F1712*G1712</f>
        <v/>
      </c>
      <c r="Q1712" s="14">
        <f>J1712*G1712</f>
        <v/>
      </c>
      <c r="R1712" s="14">
        <f>K1712-Q1712</f>
        <v/>
      </c>
      <c r="S1712" s="3">
        <f>P1712*Assumptions!$B$3/100</f>
        <v/>
      </c>
      <c r="T1712" s="14">
        <f>R1712-S1712</f>
        <v/>
      </c>
      <c r="U1712" s="14">
        <f>L1712*G1712</f>
        <v/>
      </c>
    </row>
    <row r="1713">
      <c r="A1713" s="12" t="inlineStr">
        <is>
          <t>PO-2022-1711</t>
        </is>
      </c>
      <c r="B1713" s="26" t="n">
        <v>45112</v>
      </c>
      <c r="C1713" s="12" t="inlineStr">
        <is>
          <t>VS08</t>
        </is>
      </c>
      <c r="D1713" s="12" t="inlineStr">
        <is>
          <t>Hex Bars</t>
        </is>
      </c>
      <c r="E1713" s="12" t="inlineStr">
        <is>
          <t>N</t>
        </is>
      </c>
      <c r="F1713" s="12" t="n">
        <v>26.85</v>
      </c>
      <c r="G1713" s="17" t="n">
        <v>88341.35000000001</v>
      </c>
      <c r="H1713" s="26" t="n">
        <v>45125</v>
      </c>
      <c r="I1713" s="26" t="n">
        <v>45127</v>
      </c>
      <c r="J1713" s="12" t="n">
        <v>26.81</v>
      </c>
      <c r="K1713" s="17" t="n">
        <v>2371965.25</v>
      </c>
      <c r="L1713" s="12" t="n">
        <v>0</v>
      </c>
      <c r="M1713" s="12" t="n">
        <v>11</v>
      </c>
      <c r="N1713" s="27">
        <f>F1713-J1713</f>
        <v/>
      </c>
      <c r="O1713" s="16">
        <f>I1713-H1713</f>
        <v/>
      </c>
      <c r="P1713" s="14">
        <f>F1713*G1713</f>
        <v/>
      </c>
      <c r="Q1713" s="14">
        <f>J1713*G1713</f>
        <v/>
      </c>
      <c r="R1713" s="14">
        <f>K1713-Q1713</f>
        <v/>
      </c>
      <c r="S1713" s="3">
        <f>P1713*Assumptions!$B$3/100</f>
        <v/>
      </c>
      <c r="T1713" s="14">
        <f>R1713-S1713</f>
        <v/>
      </c>
      <c r="U1713" s="14">
        <f>L1713*G1713</f>
        <v/>
      </c>
    </row>
    <row r="1714">
      <c r="A1714" s="12" t="inlineStr">
        <is>
          <t>PO-2022-1712</t>
        </is>
      </c>
      <c r="B1714" s="26" t="n">
        <v>45200</v>
      </c>
      <c r="C1714" s="12" t="inlineStr">
        <is>
          <t>VS18</t>
        </is>
      </c>
      <c r="D1714" s="12" t="inlineStr">
        <is>
          <t>MS Flats</t>
        </is>
      </c>
      <c r="E1714" s="12" t="inlineStr">
        <is>
          <t>N</t>
        </is>
      </c>
      <c r="F1714" s="12" t="n">
        <v>38.86</v>
      </c>
      <c r="G1714" s="17" t="n">
        <v>81202.97</v>
      </c>
      <c r="H1714" s="26" t="n">
        <v>45204</v>
      </c>
      <c r="I1714" s="26" t="n">
        <v>45207</v>
      </c>
      <c r="J1714" s="12" t="n">
        <v>38.62</v>
      </c>
      <c r="K1714" s="17" t="n">
        <v>3155547.41</v>
      </c>
      <c r="L1714" s="12" t="n">
        <v>0</v>
      </c>
      <c r="M1714" s="12" t="n">
        <v>0</v>
      </c>
      <c r="N1714" s="27">
        <f>F1714-J1714</f>
        <v/>
      </c>
      <c r="O1714" s="16">
        <f>I1714-H1714</f>
        <v/>
      </c>
      <c r="P1714" s="14">
        <f>F1714*G1714</f>
        <v/>
      </c>
      <c r="Q1714" s="14">
        <f>J1714*G1714</f>
        <v/>
      </c>
      <c r="R1714" s="14">
        <f>K1714-Q1714</f>
        <v/>
      </c>
      <c r="S1714" s="3">
        <f>P1714*Assumptions!$B$3/100</f>
        <v/>
      </c>
      <c r="T1714" s="14">
        <f>R1714-S1714</f>
        <v/>
      </c>
      <c r="U1714" s="14">
        <f>L1714*G1714</f>
        <v/>
      </c>
    </row>
    <row r="1715">
      <c r="A1715" s="12" t="inlineStr">
        <is>
          <t>PO-2022-1713</t>
        </is>
      </c>
      <c r="B1715" s="26" t="n">
        <v>44737</v>
      </c>
      <c r="C1715" s="12" t="inlineStr">
        <is>
          <t>VS19</t>
        </is>
      </c>
      <c r="D1715" s="12" t="inlineStr">
        <is>
          <t>SS Pipes</t>
        </is>
      </c>
      <c r="E1715" s="12" t="inlineStr">
        <is>
          <t>N</t>
        </is>
      </c>
      <c r="F1715" s="12" t="n">
        <v>18.3</v>
      </c>
      <c r="G1715" s="17" t="n">
        <v>111972.28</v>
      </c>
      <c r="H1715" s="26" t="n">
        <v>44743</v>
      </c>
      <c r="I1715" s="26" t="n">
        <v>44745</v>
      </c>
      <c r="J1715" s="12" t="n">
        <v>17.84</v>
      </c>
      <c r="K1715" s="17" t="n">
        <v>2049092.72</v>
      </c>
      <c r="L1715" s="12" t="n">
        <v>0.68</v>
      </c>
      <c r="M1715" s="12" t="n">
        <v>5</v>
      </c>
      <c r="N1715" s="27">
        <f>F1715-J1715</f>
        <v/>
      </c>
      <c r="O1715" s="16">
        <f>I1715-H1715</f>
        <v/>
      </c>
      <c r="P1715" s="14">
        <f>F1715*G1715</f>
        <v/>
      </c>
      <c r="Q1715" s="14">
        <f>J1715*G1715</f>
        <v/>
      </c>
      <c r="R1715" s="14">
        <f>K1715-Q1715</f>
        <v/>
      </c>
      <c r="S1715" s="3">
        <f>P1715*Assumptions!$B$3/100</f>
        <v/>
      </c>
      <c r="T1715" s="14">
        <f>R1715-S1715</f>
        <v/>
      </c>
      <c r="U1715" s="14">
        <f>L1715*G1715</f>
        <v/>
      </c>
    </row>
    <row r="1716">
      <c r="A1716" s="12" t="inlineStr">
        <is>
          <t>PO-2022-1714</t>
        </is>
      </c>
      <c r="B1716" s="26" t="n">
        <v>44618</v>
      </c>
      <c r="C1716" s="12" t="inlineStr">
        <is>
          <t>VS05</t>
        </is>
      </c>
      <c r="D1716" s="12" t="inlineStr">
        <is>
          <t>SS Pipes</t>
        </is>
      </c>
      <c r="E1716" s="12" t="inlineStr">
        <is>
          <t>N</t>
        </is>
      </c>
      <c r="F1716" s="12" t="n">
        <v>48.62</v>
      </c>
      <c r="G1716" s="17" t="n">
        <v>49520.02</v>
      </c>
      <c r="H1716" s="26" t="n">
        <v>44621</v>
      </c>
      <c r="I1716" s="26" t="n">
        <v>44623</v>
      </c>
      <c r="J1716" s="12" t="n">
        <v>48.42</v>
      </c>
      <c r="K1716" s="17" t="n">
        <v>2407663.37</v>
      </c>
      <c r="L1716" s="12" t="n">
        <v>0</v>
      </c>
      <c r="M1716" s="12" t="n">
        <v>0</v>
      </c>
      <c r="N1716" s="27">
        <f>F1716-J1716</f>
        <v/>
      </c>
      <c r="O1716" s="16">
        <f>I1716-H1716</f>
        <v/>
      </c>
      <c r="P1716" s="14">
        <f>F1716*G1716</f>
        <v/>
      </c>
      <c r="Q1716" s="14">
        <f>J1716*G1716</f>
        <v/>
      </c>
      <c r="R1716" s="14">
        <f>K1716-Q1716</f>
        <v/>
      </c>
      <c r="S1716" s="3">
        <f>P1716*Assumptions!$B$3/100</f>
        <v/>
      </c>
      <c r="T1716" s="14">
        <f>R1716-S1716</f>
        <v/>
      </c>
      <c r="U1716" s="14">
        <f>L1716*G1716</f>
        <v/>
      </c>
    </row>
    <row r="1717">
      <c r="A1717" s="12" t="inlineStr">
        <is>
          <t>PO-2022-1715</t>
        </is>
      </c>
      <c r="B1717" s="26" t="n">
        <v>44639</v>
      </c>
      <c r="C1717" s="12" t="inlineStr">
        <is>
          <t>VS30</t>
        </is>
      </c>
      <c r="D1717" s="12" t="inlineStr">
        <is>
          <t>MS Rods</t>
        </is>
      </c>
      <c r="E1717" s="12" t="inlineStr">
        <is>
          <t>N</t>
        </is>
      </c>
      <c r="F1717" s="12" t="n">
        <v>10.21</v>
      </c>
      <c r="G1717" s="17" t="n">
        <v>52840.1</v>
      </c>
      <c r="H1717" s="26" t="n">
        <v>44645</v>
      </c>
      <c r="I1717" s="26" t="n">
        <v>44647</v>
      </c>
      <c r="J1717" s="12" t="n">
        <v>10.18</v>
      </c>
      <c r="K1717" s="17" t="n">
        <v>539497.42</v>
      </c>
      <c r="L1717" s="12" t="n">
        <v>0</v>
      </c>
      <c r="M1717" s="12" t="n">
        <v>20</v>
      </c>
      <c r="N1717" s="27">
        <f>F1717-J1717</f>
        <v/>
      </c>
      <c r="O1717" s="16">
        <f>I1717-H1717</f>
        <v/>
      </c>
      <c r="P1717" s="14">
        <f>F1717*G1717</f>
        <v/>
      </c>
      <c r="Q1717" s="14">
        <f>J1717*G1717</f>
        <v/>
      </c>
      <c r="R1717" s="14">
        <f>K1717-Q1717</f>
        <v/>
      </c>
      <c r="S1717" s="3">
        <f>P1717*Assumptions!$B$3/100</f>
        <v/>
      </c>
      <c r="T1717" s="14">
        <f>R1717-S1717</f>
        <v/>
      </c>
      <c r="U1717" s="14">
        <f>L1717*G1717</f>
        <v/>
      </c>
    </row>
    <row r="1718">
      <c r="A1718" s="12" t="inlineStr">
        <is>
          <t>PO-2022-1716</t>
        </is>
      </c>
      <c r="B1718" s="26" t="n">
        <v>45277</v>
      </c>
      <c r="C1718" s="12" t="inlineStr">
        <is>
          <t>VS33</t>
        </is>
      </c>
      <c r="D1718" s="12" t="inlineStr">
        <is>
          <t>MS Flats</t>
        </is>
      </c>
      <c r="E1718" s="12" t="inlineStr">
        <is>
          <t>Y</t>
        </is>
      </c>
      <c r="F1718" s="12" t="n">
        <v>38.26</v>
      </c>
      <c r="G1718" s="17" t="n">
        <v>68386.91</v>
      </c>
      <c r="H1718" s="26" t="n">
        <v>45287</v>
      </c>
      <c r="I1718" s="26" t="n">
        <v>45288</v>
      </c>
      <c r="J1718" s="12" t="n">
        <v>38.13</v>
      </c>
      <c r="K1718" s="17" t="n">
        <v>2616483.18</v>
      </c>
      <c r="L1718" s="12" t="n">
        <v>0</v>
      </c>
      <c r="M1718" s="12" t="n">
        <v>15</v>
      </c>
      <c r="N1718" s="27">
        <f>F1718-J1718</f>
        <v/>
      </c>
      <c r="O1718" s="16">
        <f>I1718-H1718</f>
        <v/>
      </c>
      <c r="P1718" s="14">
        <f>F1718*G1718</f>
        <v/>
      </c>
      <c r="Q1718" s="14">
        <f>J1718*G1718</f>
        <v/>
      </c>
      <c r="R1718" s="14">
        <f>K1718-Q1718</f>
        <v/>
      </c>
      <c r="S1718" s="3">
        <f>P1718*Assumptions!$B$3/100</f>
        <v/>
      </c>
      <c r="T1718" s="14">
        <f>R1718-S1718</f>
        <v/>
      </c>
      <c r="U1718" s="14">
        <f>L1718*G1718</f>
        <v/>
      </c>
    </row>
    <row r="1719">
      <c r="A1719" s="12" t="inlineStr">
        <is>
          <t>PO-2022-1717</t>
        </is>
      </c>
      <c r="B1719" s="26" t="n">
        <v>44512</v>
      </c>
      <c r="C1719" s="12" t="inlineStr">
        <is>
          <t>VS33</t>
        </is>
      </c>
      <c r="D1719" s="12" t="inlineStr">
        <is>
          <t>ERW Pipes</t>
        </is>
      </c>
      <c r="E1719" s="12" t="inlineStr">
        <is>
          <t>Y</t>
        </is>
      </c>
      <c r="F1719" s="12" t="n">
        <v>45.79</v>
      </c>
      <c r="G1719" s="17" t="n">
        <v>61408.86</v>
      </c>
      <c r="H1719" s="26" t="n">
        <v>44520</v>
      </c>
      <c r="I1719" s="26" t="n">
        <v>44523</v>
      </c>
      <c r="J1719" s="12" t="n">
        <v>45.66</v>
      </c>
      <c r="K1719" s="17" t="n">
        <v>2811911.7</v>
      </c>
      <c r="L1719" s="12" t="n">
        <v>0</v>
      </c>
      <c r="M1719" s="12" t="n">
        <v>15</v>
      </c>
      <c r="N1719" s="27">
        <f>F1719-J1719</f>
        <v/>
      </c>
      <c r="O1719" s="16">
        <f>I1719-H1719</f>
        <v/>
      </c>
      <c r="P1719" s="14">
        <f>F1719*G1719</f>
        <v/>
      </c>
      <c r="Q1719" s="14">
        <f>J1719*G1719</f>
        <v/>
      </c>
      <c r="R1719" s="14">
        <f>K1719-Q1719</f>
        <v/>
      </c>
      <c r="S1719" s="3">
        <f>P1719*Assumptions!$B$3/100</f>
        <v/>
      </c>
      <c r="T1719" s="14">
        <f>R1719-S1719</f>
        <v/>
      </c>
      <c r="U1719" s="14">
        <f>L1719*G1719</f>
        <v/>
      </c>
    </row>
    <row r="1720">
      <c r="A1720" s="12" t="inlineStr">
        <is>
          <t>PO-2022-1718</t>
        </is>
      </c>
      <c r="B1720" s="26" t="n">
        <v>44986</v>
      </c>
      <c r="C1720" s="12" t="inlineStr">
        <is>
          <t>VS29</t>
        </is>
      </c>
      <c r="D1720" s="12" t="inlineStr">
        <is>
          <t>Hex Bars</t>
        </is>
      </c>
      <c r="E1720" s="12" t="inlineStr">
        <is>
          <t>N</t>
        </is>
      </c>
      <c r="F1720" s="12" t="n">
        <v>10.95</v>
      </c>
      <c r="G1720" s="17" t="n">
        <v>75015.37</v>
      </c>
      <c r="H1720" s="26" t="n">
        <v>44990</v>
      </c>
      <c r="I1720" s="26" t="n">
        <v>44991</v>
      </c>
      <c r="J1720" s="12" t="n">
        <v>10.94</v>
      </c>
      <c r="K1720" s="17" t="n">
        <v>821418.3</v>
      </c>
      <c r="L1720" s="12" t="n">
        <v>0</v>
      </c>
      <c r="M1720" s="12" t="n">
        <v>16</v>
      </c>
      <c r="N1720" s="27">
        <f>F1720-J1720</f>
        <v/>
      </c>
      <c r="O1720" s="16">
        <f>I1720-H1720</f>
        <v/>
      </c>
      <c r="P1720" s="14">
        <f>F1720*G1720</f>
        <v/>
      </c>
      <c r="Q1720" s="14">
        <f>J1720*G1720</f>
        <v/>
      </c>
      <c r="R1720" s="14">
        <f>K1720-Q1720</f>
        <v/>
      </c>
      <c r="S1720" s="3">
        <f>P1720*Assumptions!$B$3/100</f>
        <v/>
      </c>
      <c r="T1720" s="14">
        <f>R1720-S1720</f>
        <v/>
      </c>
      <c r="U1720" s="14">
        <f>L1720*G1720</f>
        <v/>
      </c>
    </row>
    <row r="1721">
      <c r="A1721" s="12" t="inlineStr">
        <is>
          <t>PO-2022-1719</t>
        </is>
      </c>
      <c r="B1721" s="26" t="n">
        <v>44766</v>
      </c>
      <c r="C1721" s="12" t="inlineStr">
        <is>
          <t>VS28</t>
        </is>
      </c>
      <c r="D1721" s="12" t="inlineStr">
        <is>
          <t>MS Sheets</t>
        </is>
      </c>
      <c r="E1721" s="12" t="inlineStr">
        <is>
          <t>N</t>
        </is>
      </c>
      <c r="F1721" s="12" t="n">
        <v>34.63</v>
      </c>
      <c r="G1721" s="17" t="n">
        <v>116362.09</v>
      </c>
      <c r="H1721" s="26" t="n">
        <v>44778</v>
      </c>
      <c r="I1721" s="26" t="n">
        <v>44781</v>
      </c>
      <c r="J1721" s="12" t="n">
        <v>34.61</v>
      </c>
      <c r="K1721" s="17" t="n">
        <v>4029619.18</v>
      </c>
      <c r="L1721" s="12" t="n">
        <v>0</v>
      </c>
      <c r="M1721" s="12" t="n">
        <v>9</v>
      </c>
      <c r="N1721" s="27">
        <f>F1721-J1721</f>
        <v/>
      </c>
      <c r="O1721" s="16">
        <f>I1721-H1721</f>
        <v/>
      </c>
      <c r="P1721" s="14">
        <f>F1721*G1721</f>
        <v/>
      </c>
      <c r="Q1721" s="14">
        <f>J1721*G1721</f>
        <v/>
      </c>
      <c r="R1721" s="14">
        <f>K1721-Q1721</f>
        <v/>
      </c>
      <c r="S1721" s="3">
        <f>P1721*Assumptions!$B$3/100</f>
        <v/>
      </c>
      <c r="T1721" s="14">
        <f>R1721-S1721</f>
        <v/>
      </c>
      <c r="U1721" s="14">
        <f>L1721*G1721</f>
        <v/>
      </c>
    </row>
    <row r="1722">
      <c r="A1722" s="12" t="inlineStr">
        <is>
          <t>PO-2022-1720</t>
        </is>
      </c>
      <c r="B1722" s="26" t="n">
        <v>44406</v>
      </c>
      <c r="C1722" s="12" t="inlineStr">
        <is>
          <t>VS10</t>
        </is>
      </c>
      <c r="D1722" s="12" t="inlineStr">
        <is>
          <t>Fasteners &amp; Fittings</t>
        </is>
      </c>
      <c r="E1722" s="12" t="inlineStr">
        <is>
          <t>N</t>
        </is>
      </c>
      <c r="F1722" s="12" t="n">
        <v>43.93</v>
      </c>
      <c r="G1722" s="17" t="n">
        <v>100876.95</v>
      </c>
      <c r="H1722" s="26" t="n">
        <v>44412</v>
      </c>
      <c r="I1722" s="26" t="n">
        <v>44414</v>
      </c>
      <c r="J1722" s="12" t="n">
        <v>43.64</v>
      </c>
      <c r="K1722" s="17" t="n">
        <v>4431524.41</v>
      </c>
      <c r="L1722" s="12" t="n">
        <v>0</v>
      </c>
      <c r="M1722" s="12" t="n">
        <v>0</v>
      </c>
      <c r="N1722" s="27">
        <f>F1722-J1722</f>
        <v/>
      </c>
      <c r="O1722" s="16">
        <f>I1722-H1722</f>
        <v/>
      </c>
      <c r="P1722" s="14">
        <f>F1722*G1722</f>
        <v/>
      </c>
      <c r="Q1722" s="14">
        <f>J1722*G1722</f>
        <v/>
      </c>
      <c r="R1722" s="14">
        <f>K1722-Q1722</f>
        <v/>
      </c>
      <c r="S1722" s="3">
        <f>P1722*Assumptions!$B$3/100</f>
        <v/>
      </c>
      <c r="T1722" s="14">
        <f>R1722-S1722</f>
        <v/>
      </c>
      <c r="U1722" s="14">
        <f>L1722*G1722</f>
        <v/>
      </c>
    </row>
    <row r="1723">
      <c r="A1723" s="12" t="inlineStr">
        <is>
          <t>PO-2022-1721</t>
        </is>
      </c>
      <c r="B1723" s="26" t="n">
        <v>44230</v>
      </c>
      <c r="C1723" s="12" t="inlineStr">
        <is>
          <t>VS30</t>
        </is>
      </c>
      <c r="D1723" s="12" t="inlineStr">
        <is>
          <t>MS Sheets</t>
        </is>
      </c>
      <c r="E1723" s="12" t="inlineStr">
        <is>
          <t>N</t>
        </is>
      </c>
      <c r="F1723" s="12" t="n">
        <v>14.07</v>
      </c>
      <c r="G1723" s="17" t="n">
        <v>80718.03</v>
      </c>
      <c r="H1723" s="26" t="n">
        <v>44241</v>
      </c>
      <c r="I1723" s="26" t="n">
        <v>44242</v>
      </c>
      <c r="J1723" s="12" t="n">
        <v>13.98</v>
      </c>
      <c r="K1723" s="17" t="n">
        <v>1135702.68</v>
      </c>
      <c r="L1723" s="12" t="n">
        <v>0</v>
      </c>
      <c r="M1723" s="12" t="n">
        <v>14</v>
      </c>
      <c r="N1723" s="27">
        <f>F1723-J1723</f>
        <v/>
      </c>
      <c r="O1723" s="16">
        <f>I1723-H1723</f>
        <v/>
      </c>
      <c r="P1723" s="14">
        <f>F1723*G1723</f>
        <v/>
      </c>
      <c r="Q1723" s="14">
        <f>J1723*G1723</f>
        <v/>
      </c>
      <c r="R1723" s="14">
        <f>K1723-Q1723</f>
        <v/>
      </c>
      <c r="S1723" s="3">
        <f>P1723*Assumptions!$B$3/100</f>
        <v/>
      </c>
      <c r="T1723" s="14">
        <f>R1723-S1723</f>
        <v/>
      </c>
      <c r="U1723" s="14">
        <f>L1723*G1723</f>
        <v/>
      </c>
    </row>
    <row r="1724">
      <c r="A1724" s="12" t="inlineStr">
        <is>
          <t>PO-2022-1722</t>
        </is>
      </c>
      <c r="B1724" s="26" t="n">
        <v>45124</v>
      </c>
      <c r="C1724" s="12" t="inlineStr">
        <is>
          <t>VS23</t>
        </is>
      </c>
      <c r="D1724" s="12" t="inlineStr">
        <is>
          <t>CR Sheets</t>
        </is>
      </c>
      <c r="E1724" s="12" t="inlineStr">
        <is>
          <t>N</t>
        </is>
      </c>
      <c r="F1724" s="12" t="n">
        <v>6.8</v>
      </c>
      <c r="G1724" s="17" t="n">
        <v>86272.82000000001</v>
      </c>
      <c r="H1724" s="26" t="n">
        <v>45132</v>
      </c>
      <c r="I1724" s="26" t="n">
        <v>45132</v>
      </c>
      <c r="J1724" s="12" t="n">
        <v>6.79</v>
      </c>
      <c r="K1724" s="17" t="n">
        <v>586655.1800000001</v>
      </c>
      <c r="L1724" s="12" t="n">
        <v>0</v>
      </c>
      <c r="M1724" s="12" t="n">
        <v>0</v>
      </c>
      <c r="N1724" s="27">
        <f>F1724-J1724</f>
        <v/>
      </c>
      <c r="O1724" s="16">
        <f>I1724-H1724</f>
        <v/>
      </c>
      <c r="P1724" s="14">
        <f>F1724*G1724</f>
        <v/>
      </c>
      <c r="Q1724" s="14">
        <f>J1724*G1724</f>
        <v/>
      </c>
      <c r="R1724" s="14">
        <f>K1724-Q1724</f>
        <v/>
      </c>
      <c r="S1724" s="3">
        <f>P1724*Assumptions!$B$3/100</f>
        <v/>
      </c>
      <c r="T1724" s="14">
        <f>R1724-S1724</f>
        <v/>
      </c>
      <c r="U1724" s="14">
        <f>L1724*G1724</f>
        <v/>
      </c>
    </row>
    <row r="1725">
      <c r="A1725" s="12" t="inlineStr">
        <is>
          <t>PO-2022-1723</t>
        </is>
      </c>
      <c r="B1725" s="26" t="n">
        <v>45080</v>
      </c>
      <c r="C1725" s="12" t="inlineStr">
        <is>
          <t>VS14</t>
        </is>
      </c>
      <c r="D1725" s="12" t="inlineStr">
        <is>
          <t>Square/Rect Tubes</t>
        </is>
      </c>
      <c r="E1725" s="12" t="inlineStr">
        <is>
          <t>N</t>
        </is>
      </c>
      <c r="F1725" s="12" t="n">
        <v>20.45</v>
      </c>
      <c r="G1725" s="17" t="n">
        <v>77313.63</v>
      </c>
      <c r="H1725" s="26" t="n">
        <v>45088</v>
      </c>
      <c r="I1725" s="26" t="n">
        <v>45089</v>
      </c>
      <c r="J1725" s="12" t="n">
        <v>20.38</v>
      </c>
      <c r="K1725" s="17" t="n">
        <v>1581063.73</v>
      </c>
      <c r="L1725" s="12" t="n">
        <v>0</v>
      </c>
      <c r="M1725" s="12" t="n">
        <v>9</v>
      </c>
      <c r="N1725" s="27">
        <f>F1725-J1725</f>
        <v/>
      </c>
      <c r="O1725" s="16">
        <f>I1725-H1725</f>
        <v/>
      </c>
      <c r="P1725" s="14">
        <f>F1725*G1725</f>
        <v/>
      </c>
      <c r="Q1725" s="14">
        <f>J1725*G1725</f>
        <v/>
      </c>
      <c r="R1725" s="14">
        <f>K1725-Q1725</f>
        <v/>
      </c>
      <c r="S1725" s="3">
        <f>P1725*Assumptions!$B$3/100</f>
        <v/>
      </c>
      <c r="T1725" s="14">
        <f>R1725-S1725</f>
        <v/>
      </c>
      <c r="U1725" s="14">
        <f>L1725*G1725</f>
        <v/>
      </c>
    </row>
    <row r="1726">
      <c r="A1726" s="12" t="inlineStr">
        <is>
          <t>PO-2022-1724</t>
        </is>
      </c>
      <c r="B1726" s="26" t="n">
        <v>44305</v>
      </c>
      <c r="C1726" s="12" t="inlineStr">
        <is>
          <t>VS29</t>
        </is>
      </c>
      <c r="D1726" s="12" t="inlineStr">
        <is>
          <t>CR Sheets</t>
        </is>
      </c>
      <c r="E1726" s="12" t="inlineStr">
        <is>
          <t>N</t>
        </is>
      </c>
      <c r="F1726" s="12" t="n">
        <v>19.12</v>
      </c>
      <c r="G1726" s="17" t="n">
        <v>48685.08</v>
      </c>
      <c r="H1726" s="26" t="n">
        <v>44314</v>
      </c>
      <c r="I1726" s="26" t="n">
        <v>44317</v>
      </c>
      <c r="J1726" s="12" t="n">
        <v>19.08</v>
      </c>
      <c r="K1726" s="17" t="n">
        <v>930858.73</v>
      </c>
      <c r="L1726" s="12" t="n">
        <v>0</v>
      </c>
      <c r="M1726" s="12" t="n">
        <v>21</v>
      </c>
      <c r="N1726" s="27">
        <f>F1726-J1726</f>
        <v/>
      </c>
      <c r="O1726" s="16">
        <f>I1726-H1726</f>
        <v/>
      </c>
      <c r="P1726" s="14">
        <f>F1726*G1726</f>
        <v/>
      </c>
      <c r="Q1726" s="14">
        <f>J1726*G1726</f>
        <v/>
      </c>
      <c r="R1726" s="14">
        <f>K1726-Q1726</f>
        <v/>
      </c>
      <c r="S1726" s="3">
        <f>P1726*Assumptions!$B$3/100</f>
        <v/>
      </c>
      <c r="T1726" s="14">
        <f>R1726-S1726</f>
        <v/>
      </c>
      <c r="U1726" s="14">
        <f>L1726*G1726</f>
        <v/>
      </c>
    </row>
    <row r="1727">
      <c r="A1727" s="12" t="inlineStr">
        <is>
          <t>PO-2022-1725</t>
        </is>
      </c>
      <c r="B1727" s="26" t="n">
        <v>45062</v>
      </c>
      <c r="C1727" s="12" t="inlineStr">
        <is>
          <t>VS13</t>
        </is>
      </c>
      <c r="D1727" s="12" t="inlineStr">
        <is>
          <t>SS Sheets</t>
        </is>
      </c>
      <c r="E1727" s="12" t="inlineStr">
        <is>
          <t>N</t>
        </is>
      </c>
      <c r="F1727" s="12" t="n">
        <v>10.28</v>
      </c>
      <c r="G1727" s="17" t="n">
        <v>58248.38</v>
      </c>
      <c r="H1727" s="26" t="n">
        <v>45069</v>
      </c>
      <c r="I1727" s="26" t="n">
        <v>45072</v>
      </c>
      <c r="J1727" s="12" t="n">
        <v>10.26</v>
      </c>
      <c r="K1727" s="17" t="n">
        <v>598793.35</v>
      </c>
      <c r="L1727" s="12" t="n">
        <v>0</v>
      </c>
      <c r="M1727" s="12" t="n">
        <v>15</v>
      </c>
      <c r="N1727" s="27">
        <f>F1727-J1727</f>
        <v/>
      </c>
      <c r="O1727" s="16">
        <f>I1727-H1727</f>
        <v/>
      </c>
      <c r="P1727" s="14">
        <f>F1727*G1727</f>
        <v/>
      </c>
      <c r="Q1727" s="14">
        <f>J1727*G1727</f>
        <v/>
      </c>
      <c r="R1727" s="14">
        <f>K1727-Q1727</f>
        <v/>
      </c>
      <c r="S1727" s="3">
        <f>P1727*Assumptions!$B$3/100</f>
        <v/>
      </c>
      <c r="T1727" s="14">
        <f>R1727-S1727</f>
        <v/>
      </c>
      <c r="U1727" s="14">
        <f>L1727*G1727</f>
        <v/>
      </c>
    </row>
    <row r="1728">
      <c r="A1728" s="12" t="inlineStr">
        <is>
          <t>PO-2022-1726</t>
        </is>
      </c>
      <c r="B1728" s="26" t="n">
        <v>45281</v>
      </c>
      <c r="C1728" s="12" t="inlineStr">
        <is>
          <t>VS32</t>
        </is>
      </c>
      <c r="D1728" s="12" t="inlineStr">
        <is>
          <t>Hex Bars</t>
        </is>
      </c>
      <c r="E1728" s="12" t="inlineStr">
        <is>
          <t>N</t>
        </is>
      </c>
      <c r="F1728" s="12" t="n">
        <v>22.24</v>
      </c>
      <c r="G1728" s="17" t="n">
        <v>96087.03999999999</v>
      </c>
      <c r="H1728" s="26" t="n">
        <v>45294</v>
      </c>
      <c r="I1728" s="26" t="n">
        <v>45297</v>
      </c>
      <c r="J1728" s="12" t="n">
        <v>22.23</v>
      </c>
      <c r="K1728" s="17" t="n">
        <v>2136975.77</v>
      </c>
      <c r="L1728" s="12" t="n">
        <v>0</v>
      </c>
      <c r="M1728" s="12" t="n">
        <v>25</v>
      </c>
      <c r="N1728" s="27">
        <f>F1728-J1728</f>
        <v/>
      </c>
      <c r="O1728" s="16">
        <f>I1728-H1728</f>
        <v/>
      </c>
      <c r="P1728" s="14">
        <f>F1728*G1728</f>
        <v/>
      </c>
      <c r="Q1728" s="14">
        <f>J1728*G1728</f>
        <v/>
      </c>
      <c r="R1728" s="14">
        <f>K1728-Q1728</f>
        <v/>
      </c>
      <c r="S1728" s="3">
        <f>P1728*Assumptions!$B$3/100</f>
        <v/>
      </c>
      <c r="T1728" s="14">
        <f>R1728-S1728</f>
        <v/>
      </c>
      <c r="U1728" s="14">
        <f>L1728*G1728</f>
        <v/>
      </c>
    </row>
    <row r="1729">
      <c r="A1729" s="12" t="inlineStr">
        <is>
          <t>PO-2022-1727</t>
        </is>
      </c>
      <c r="B1729" s="26" t="n">
        <v>44706</v>
      </c>
      <c r="C1729" s="12" t="inlineStr">
        <is>
          <t>VS08</t>
        </is>
      </c>
      <c r="D1729" s="12" t="inlineStr">
        <is>
          <t>HR Coils</t>
        </is>
      </c>
      <c r="E1729" s="12" t="inlineStr">
        <is>
          <t>N</t>
        </is>
      </c>
      <c r="F1729" s="12" t="n">
        <v>6.64</v>
      </c>
      <c r="G1729" s="17" t="n">
        <v>112129.38</v>
      </c>
      <c r="H1729" s="26" t="n">
        <v>44718</v>
      </c>
      <c r="I1729" s="26" t="n">
        <v>44720</v>
      </c>
      <c r="J1729" s="12" t="n">
        <v>6.61</v>
      </c>
      <c r="K1729" s="17" t="n">
        <v>744539.08</v>
      </c>
      <c r="L1729" s="12" t="n">
        <v>0</v>
      </c>
      <c r="M1729" s="12" t="n">
        <v>0</v>
      </c>
      <c r="N1729" s="27">
        <f>F1729-J1729</f>
        <v/>
      </c>
      <c r="O1729" s="16">
        <f>I1729-H1729</f>
        <v/>
      </c>
      <c r="P1729" s="14">
        <f>F1729*G1729</f>
        <v/>
      </c>
      <c r="Q1729" s="14">
        <f>J1729*G1729</f>
        <v/>
      </c>
      <c r="R1729" s="14">
        <f>K1729-Q1729</f>
        <v/>
      </c>
      <c r="S1729" s="3">
        <f>P1729*Assumptions!$B$3/100</f>
        <v/>
      </c>
      <c r="T1729" s="14">
        <f>R1729-S1729</f>
        <v/>
      </c>
      <c r="U1729" s="14">
        <f>L1729*G1729</f>
        <v/>
      </c>
    </row>
    <row r="1730">
      <c r="A1730" s="12" t="inlineStr">
        <is>
          <t>PO-2022-1728</t>
        </is>
      </c>
      <c r="B1730" s="26" t="n">
        <v>44742</v>
      </c>
      <c r="C1730" s="12" t="inlineStr">
        <is>
          <t>VS16</t>
        </is>
      </c>
      <c r="D1730" s="12" t="inlineStr">
        <is>
          <t>SS Pipes</t>
        </is>
      </c>
      <c r="E1730" s="12" t="inlineStr">
        <is>
          <t>N</t>
        </is>
      </c>
      <c r="F1730" s="12" t="n">
        <v>27.07</v>
      </c>
      <c r="G1730" s="17" t="n">
        <v>65659.46000000001</v>
      </c>
      <c r="H1730" s="26" t="n">
        <v>44754</v>
      </c>
      <c r="I1730" s="26" t="n">
        <v>44756</v>
      </c>
      <c r="J1730" s="12" t="n">
        <v>26.88</v>
      </c>
      <c r="K1730" s="17" t="n">
        <v>1777401.58</v>
      </c>
      <c r="L1730" s="12" t="n">
        <v>0</v>
      </c>
      <c r="M1730" s="12" t="n">
        <v>0</v>
      </c>
      <c r="N1730" s="27">
        <f>F1730-J1730</f>
        <v/>
      </c>
      <c r="O1730" s="16">
        <f>I1730-H1730</f>
        <v/>
      </c>
      <c r="P1730" s="14">
        <f>F1730*G1730</f>
        <v/>
      </c>
      <c r="Q1730" s="14">
        <f>J1730*G1730</f>
        <v/>
      </c>
      <c r="R1730" s="14">
        <f>K1730-Q1730</f>
        <v/>
      </c>
      <c r="S1730" s="3">
        <f>P1730*Assumptions!$B$3/100</f>
        <v/>
      </c>
      <c r="T1730" s="14">
        <f>R1730-S1730</f>
        <v/>
      </c>
      <c r="U1730" s="14">
        <f>L1730*G1730</f>
        <v/>
      </c>
    </row>
    <row r="1731">
      <c r="A1731" s="12" t="inlineStr">
        <is>
          <t>PO-2022-1729</t>
        </is>
      </c>
      <c r="B1731" s="26" t="n">
        <v>45025</v>
      </c>
      <c r="C1731" s="12" t="inlineStr">
        <is>
          <t>VS26</t>
        </is>
      </c>
      <c r="D1731" s="12" t="inlineStr">
        <is>
          <t>MS Rods</t>
        </is>
      </c>
      <c r="E1731" s="12" t="inlineStr">
        <is>
          <t>N</t>
        </is>
      </c>
      <c r="F1731" s="12" t="n">
        <v>5.96</v>
      </c>
      <c r="G1731" s="17" t="n">
        <v>100044.33</v>
      </c>
      <c r="H1731" s="26" t="n">
        <v>45039</v>
      </c>
      <c r="I1731" s="26" t="n">
        <v>45039</v>
      </c>
      <c r="J1731" s="12" t="n">
        <v>5.91</v>
      </c>
      <c r="K1731" s="17" t="n">
        <v>596264.21</v>
      </c>
      <c r="L1731" s="12" t="n">
        <v>0</v>
      </c>
      <c r="M1731" s="12" t="n">
        <v>0</v>
      </c>
      <c r="N1731" s="27">
        <f>F1731-J1731</f>
        <v/>
      </c>
      <c r="O1731" s="16">
        <f>I1731-H1731</f>
        <v/>
      </c>
      <c r="P1731" s="14">
        <f>F1731*G1731</f>
        <v/>
      </c>
      <c r="Q1731" s="14">
        <f>J1731*G1731</f>
        <v/>
      </c>
      <c r="R1731" s="14">
        <f>K1731-Q1731</f>
        <v/>
      </c>
      <c r="S1731" s="3">
        <f>P1731*Assumptions!$B$3/100</f>
        <v/>
      </c>
      <c r="T1731" s="14">
        <f>R1731-S1731</f>
        <v/>
      </c>
      <c r="U1731" s="14">
        <f>L1731*G1731</f>
        <v/>
      </c>
    </row>
    <row r="1732">
      <c r="A1732" s="12" t="inlineStr">
        <is>
          <t>PO-2022-1730</t>
        </is>
      </c>
      <c r="B1732" s="26" t="n">
        <v>44746</v>
      </c>
      <c r="C1732" s="12" t="inlineStr">
        <is>
          <t>VS32</t>
        </is>
      </c>
      <c r="D1732" s="12" t="inlineStr">
        <is>
          <t>GI Sheets</t>
        </is>
      </c>
      <c r="E1732" s="12" t="inlineStr">
        <is>
          <t>N</t>
        </is>
      </c>
      <c r="F1732" s="12" t="n">
        <v>9.380000000000001</v>
      </c>
      <c r="G1732" s="17" t="n">
        <v>60268.16</v>
      </c>
      <c r="H1732" s="26" t="n">
        <v>44759</v>
      </c>
      <c r="I1732" s="26" t="n">
        <v>44762</v>
      </c>
      <c r="J1732" s="12" t="n">
        <v>9.300000000000001</v>
      </c>
      <c r="K1732" s="17" t="n">
        <v>565315.34</v>
      </c>
      <c r="L1732" s="12" t="n">
        <v>0</v>
      </c>
      <c r="M1732" s="12" t="n">
        <v>3</v>
      </c>
      <c r="N1732" s="27">
        <f>F1732-J1732</f>
        <v/>
      </c>
      <c r="O1732" s="16">
        <f>I1732-H1732</f>
        <v/>
      </c>
      <c r="P1732" s="14">
        <f>F1732*G1732</f>
        <v/>
      </c>
      <c r="Q1732" s="14">
        <f>J1732*G1732</f>
        <v/>
      </c>
      <c r="R1732" s="14">
        <f>K1732-Q1732</f>
        <v/>
      </c>
      <c r="S1732" s="3">
        <f>P1732*Assumptions!$B$3/100</f>
        <v/>
      </c>
      <c r="T1732" s="14">
        <f>R1732-S1732</f>
        <v/>
      </c>
      <c r="U1732" s="14">
        <f>L1732*G1732</f>
        <v/>
      </c>
    </row>
    <row r="1733">
      <c r="A1733" s="12" t="inlineStr">
        <is>
          <t>PO-2022-1731</t>
        </is>
      </c>
      <c r="B1733" s="26" t="n">
        <v>44786</v>
      </c>
      <c r="C1733" s="12" t="inlineStr">
        <is>
          <t>VS19</t>
        </is>
      </c>
      <c r="D1733" s="12" t="inlineStr">
        <is>
          <t>MS Pipes</t>
        </is>
      </c>
      <c r="E1733" s="12" t="inlineStr">
        <is>
          <t>Y</t>
        </is>
      </c>
      <c r="F1733" s="12" t="n">
        <v>5.62</v>
      </c>
      <c r="G1733" s="17" t="n">
        <v>86052.73</v>
      </c>
      <c r="H1733" s="26" t="n">
        <v>44800</v>
      </c>
      <c r="I1733" s="26" t="n">
        <v>44805</v>
      </c>
      <c r="J1733" s="12" t="n">
        <v>5.44</v>
      </c>
      <c r="K1733" s="17" t="n">
        <v>483616.34</v>
      </c>
      <c r="L1733" s="12" t="n">
        <v>0.17</v>
      </c>
      <c r="M1733" s="12" t="n">
        <v>0</v>
      </c>
      <c r="N1733" s="27">
        <f>F1733-J1733</f>
        <v/>
      </c>
      <c r="O1733" s="16">
        <f>I1733-H1733</f>
        <v/>
      </c>
      <c r="P1733" s="14">
        <f>F1733*G1733</f>
        <v/>
      </c>
      <c r="Q1733" s="14">
        <f>J1733*G1733</f>
        <v/>
      </c>
      <c r="R1733" s="14">
        <f>K1733-Q1733</f>
        <v/>
      </c>
      <c r="S1733" s="3">
        <f>P1733*Assumptions!$B$3/100</f>
        <v/>
      </c>
      <c r="T1733" s="14">
        <f>R1733-S1733</f>
        <v/>
      </c>
      <c r="U1733" s="14">
        <f>L1733*G1733</f>
        <v/>
      </c>
    </row>
    <row r="1734">
      <c r="A1734" s="12" t="inlineStr">
        <is>
          <t>PO-2022-1732</t>
        </is>
      </c>
      <c r="B1734" s="26" t="n">
        <v>45173</v>
      </c>
      <c r="C1734" s="12" t="inlineStr">
        <is>
          <t>VS20</t>
        </is>
      </c>
      <c r="D1734" s="12" t="inlineStr">
        <is>
          <t>HR Coils</t>
        </is>
      </c>
      <c r="E1734" s="12" t="inlineStr">
        <is>
          <t>N</t>
        </is>
      </c>
      <c r="F1734" s="12" t="n">
        <v>9.34</v>
      </c>
      <c r="G1734" s="17" t="n">
        <v>96108.19</v>
      </c>
      <c r="H1734" s="26" t="n">
        <v>45178</v>
      </c>
      <c r="I1734" s="26" t="n">
        <v>45181</v>
      </c>
      <c r="J1734" s="12" t="n">
        <v>9.25</v>
      </c>
      <c r="K1734" s="17" t="n">
        <v>897650.49</v>
      </c>
      <c r="L1734" s="12" t="n">
        <v>0</v>
      </c>
      <c r="M1734" s="12" t="n">
        <v>25</v>
      </c>
      <c r="N1734" s="27">
        <f>F1734-J1734</f>
        <v/>
      </c>
      <c r="O1734" s="16">
        <f>I1734-H1734</f>
        <v/>
      </c>
      <c r="P1734" s="14">
        <f>F1734*G1734</f>
        <v/>
      </c>
      <c r="Q1734" s="14">
        <f>J1734*G1734</f>
        <v/>
      </c>
      <c r="R1734" s="14">
        <f>K1734-Q1734</f>
        <v/>
      </c>
      <c r="S1734" s="3">
        <f>P1734*Assumptions!$B$3/100</f>
        <v/>
      </c>
      <c r="T1734" s="14">
        <f>R1734-S1734</f>
        <v/>
      </c>
      <c r="U1734" s="14">
        <f>L1734*G1734</f>
        <v/>
      </c>
    </row>
    <row r="1735">
      <c r="A1735" s="12" t="inlineStr">
        <is>
          <t>PO-2022-1733</t>
        </is>
      </c>
      <c r="B1735" s="26" t="n">
        <v>44580</v>
      </c>
      <c r="C1735" s="12" t="inlineStr">
        <is>
          <t>VS22</t>
        </is>
      </c>
      <c r="D1735" s="12" t="inlineStr">
        <is>
          <t>Fasteners &amp; Fittings</t>
        </is>
      </c>
      <c r="E1735" s="12" t="inlineStr">
        <is>
          <t>N</t>
        </is>
      </c>
      <c r="F1735" s="12" t="n">
        <v>7.95</v>
      </c>
      <c r="G1735" s="17" t="n">
        <v>45955.11</v>
      </c>
      <c r="H1735" s="26" t="n">
        <v>44590</v>
      </c>
      <c r="I1735" s="26" t="n">
        <v>44592</v>
      </c>
      <c r="J1735" s="12" t="n">
        <v>7.94</v>
      </c>
      <c r="K1735" s="17" t="n">
        <v>365343.12</v>
      </c>
      <c r="L1735" s="12" t="n">
        <v>0</v>
      </c>
      <c r="M1735" s="12" t="n">
        <v>0</v>
      </c>
      <c r="N1735" s="27">
        <f>F1735-J1735</f>
        <v/>
      </c>
      <c r="O1735" s="16">
        <f>I1735-H1735</f>
        <v/>
      </c>
      <c r="P1735" s="14">
        <f>F1735*G1735</f>
        <v/>
      </c>
      <c r="Q1735" s="14">
        <f>J1735*G1735</f>
        <v/>
      </c>
      <c r="R1735" s="14">
        <f>K1735-Q1735</f>
        <v/>
      </c>
      <c r="S1735" s="3">
        <f>P1735*Assumptions!$B$3/100</f>
        <v/>
      </c>
      <c r="T1735" s="14">
        <f>R1735-S1735</f>
        <v/>
      </c>
      <c r="U1735" s="14">
        <f>L1735*G1735</f>
        <v/>
      </c>
    </row>
    <row r="1736">
      <c r="A1736" s="12" t="inlineStr">
        <is>
          <t>PO-2022-1734</t>
        </is>
      </c>
      <c r="B1736" s="26" t="n">
        <v>45073</v>
      </c>
      <c r="C1736" s="12" t="inlineStr">
        <is>
          <t>VS22</t>
        </is>
      </c>
      <c r="D1736" s="12" t="inlineStr">
        <is>
          <t>MS Pipes</t>
        </is>
      </c>
      <c r="E1736" s="12" t="inlineStr">
        <is>
          <t>Y</t>
        </is>
      </c>
      <c r="F1736" s="12" t="n">
        <v>9.699999999999999</v>
      </c>
      <c r="G1736" s="17" t="n">
        <v>64787.41</v>
      </c>
      <c r="H1736" s="26" t="n">
        <v>45077</v>
      </c>
      <c r="I1736" s="26" t="n">
        <v>45079</v>
      </c>
      <c r="J1736" s="12" t="n">
        <v>9.66</v>
      </c>
      <c r="K1736" s="17" t="n">
        <v>628437.88</v>
      </c>
      <c r="L1736" s="12" t="n">
        <v>0</v>
      </c>
      <c r="M1736" s="12" t="n">
        <v>0</v>
      </c>
      <c r="N1736" s="27">
        <f>F1736-J1736</f>
        <v/>
      </c>
      <c r="O1736" s="16">
        <f>I1736-H1736</f>
        <v/>
      </c>
      <c r="P1736" s="14">
        <f>F1736*G1736</f>
        <v/>
      </c>
      <c r="Q1736" s="14">
        <f>J1736*G1736</f>
        <v/>
      </c>
      <c r="R1736" s="14">
        <f>K1736-Q1736</f>
        <v/>
      </c>
      <c r="S1736" s="3">
        <f>P1736*Assumptions!$B$3/100</f>
        <v/>
      </c>
      <c r="T1736" s="14">
        <f>R1736-S1736</f>
        <v/>
      </c>
      <c r="U1736" s="14">
        <f>L1736*G1736</f>
        <v/>
      </c>
    </row>
    <row r="1737">
      <c r="A1737" s="12" t="inlineStr">
        <is>
          <t>PO-2022-1735</t>
        </is>
      </c>
      <c r="B1737" s="26" t="n">
        <v>44546</v>
      </c>
      <c r="C1737" s="12" t="inlineStr">
        <is>
          <t>VS01</t>
        </is>
      </c>
      <c r="D1737" s="12" t="inlineStr">
        <is>
          <t>Angles &amp; Channels</t>
        </is>
      </c>
      <c r="E1737" s="12" t="inlineStr">
        <is>
          <t>N</t>
        </is>
      </c>
      <c r="F1737" s="12" t="n">
        <v>48.51</v>
      </c>
      <c r="G1737" s="17" t="n">
        <v>88736.91</v>
      </c>
      <c r="H1737" s="26" t="n">
        <v>44556</v>
      </c>
      <c r="I1737" s="26" t="n">
        <v>44559</v>
      </c>
      <c r="J1737" s="12" t="n">
        <v>48.25</v>
      </c>
      <c r="K1737" s="17" t="n">
        <v>4304627.5</v>
      </c>
      <c r="L1737" s="12" t="n">
        <v>0</v>
      </c>
      <c r="M1737" s="12" t="n">
        <v>0</v>
      </c>
      <c r="N1737" s="27">
        <f>F1737-J1737</f>
        <v/>
      </c>
      <c r="O1737" s="16">
        <f>I1737-H1737</f>
        <v/>
      </c>
      <c r="P1737" s="14">
        <f>F1737*G1737</f>
        <v/>
      </c>
      <c r="Q1737" s="14">
        <f>J1737*G1737</f>
        <v/>
      </c>
      <c r="R1737" s="14">
        <f>K1737-Q1737</f>
        <v/>
      </c>
      <c r="S1737" s="3">
        <f>P1737*Assumptions!$B$3/100</f>
        <v/>
      </c>
      <c r="T1737" s="14">
        <f>R1737-S1737</f>
        <v/>
      </c>
      <c r="U1737" s="14">
        <f>L1737*G1737</f>
        <v/>
      </c>
    </row>
    <row r="1738">
      <c r="A1738" s="12" t="inlineStr">
        <is>
          <t>PO-2022-1736</t>
        </is>
      </c>
      <c r="B1738" s="26" t="n">
        <v>44703</v>
      </c>
      <c r="C1738" s="12" t="inlineStr">
        <is>
          <t>VS31</t>
        </is>
      </c>
      <c r="D1738" s="12" t="inlineStr">
        <is>
          <t>ERW Pipes</t>
        </is>
      </c>
      <c r="E1738" s="12" t="inlineStr">
        <is>
          <t>Y</t>
        </is>
      </c>
      <c r="F1738" s="12" t="n">
        <v>3.21</v>
      </c>
      <c r="G1738" s="17" t="n">
        <v>46304.31</v>
      </c>
      <c r="H1738" s="26" t="n">
        <v>44716</v>
      </c>
      <c r="I1738" s="26" t="n">
        <v>44716</v>
      </c>
      <c r="J1738" s="12" t="n">
        <v>3.19</v>
      </c>
      <c r="K1738" s="17" t="n">
        <v>148636.84</v>
      </c>
      <c r="L1738" s="12" t="n">
        <v>0</v>
      </c>
      <c r="M1738" s="12" t="n">
        <v>6</v>
      </c>
      <c r="N1738" s="27">
        <f>F1738-J1738</f>
        <v/>
      </c>
      <c r="O1738" s="16">
        <f>I1738-H1738</f>
        <v/>
      </c>
      <c r="P1738" s="14">
        <f>F1738*G1738</f>
        <v/>
      </c>
      <c r="Q1738" s="14">
        <f>J1738*G1738</f>
        <v/>
      </c>
      <c r="R1738" s="14">
        <f>K1738-Q1738</f>
        <v/>
      </c>
      <c r="S1738" s="3">
        <f>P1738*Assumptions!$B$3/100</f>
        <v/>
      </c>
      <c r="T1738" s="14">
        <f>R1738-S1738</f>
        <v/>
      </c>
      <c r="U1738" s="14">
        <f>L1738*G1738</f>
        <v/>
      </c>
    </row>
    <row r="1739">
      <c r="A1739" s="12" t="inlineStr">
        <is>
          <t>PO-2022-1737</t>
        </is>
      </c>
      <c r="B1739" s="26" t="n">
        <v>44792</v>
      </c>
      <c r="C1739" s="12" t="inlineStr">
        <is>
          <t>VS15</t>
        </is>
      </c>
      <c r="D1739" s="12" t="inlineStr">
        <is>
          <t>Hex Bars</t>
        </is>
      </c>
      <c r="E1739" s="12" t="inlineStr">
        <is>
          <t>N</t>
        </is>
      </c>
      <c r="F1739" s="12" t="n">
        <v>25.65</v>
      </c>
      <c r="G1739" s="17" t="n">
        <v>101624.44</v>
      </c>
      <c r="H1739" s="26" t="n">
        <v>44807</v>
      </c>
      <c r="I1739" s="26" t="n">
        <v>44808</v>
      </c>
      <c r="J1739" s="12" t="n">
        <v>25.57</v>
      </c>
      <c r="K1739" s="17" t="n">
        <v>2606666.89</v>
      </c>
      <c r="L1739" s="12" t="n">
        <v>0</v>
      </c>
      <c r="M1739" s="12" t="n">
        <v>17</v>
      </c>
      <c r="N1739" s="27">
        <f>F1739-J1739</f>
        <v/>
      </c>
      <c r="O1739" s="16">
        <f>I1739-H1739</f>
        <v/>
      </c>
      <c r="P1739" s="14">
        <f>F1739*G1739</f>
        <v/>
      </c>
      <c r="Q1739" s="14">
        <f>J1739*G1739</f>
        <v/>
      </c>
      <c r="R1739" s="14">
        <f>K1739-Q1739</f>
        <v/>
      </c>
      <c r="S1739" s="3">
        <f>P1739*Assumptions!$B$3/100</f>
        <v/>
      </c>
      <c r="T1739" s="14">
        <f>R1739-S1739</f>
        <v/>
      </c>
      <c r="U1739" s="14">
        <f>L1739*G1739</f>
        <v/>
      </c>
    </row>
    <row r="1740">
      <c r="A1740" s="12" t="inlineStr">
        <is>
          <t>PO-2022-1738</t>
        </is>
      </c>
      <c r="B1740" s="26" t="n">
        <v>44389</v>
      </c>
      <c r="C1740" s="12" t="inlineStr">
        <is>
          <t>VS07</t>
        </is>
      </c>
      <c r="D1740" s="12" t="inlineStr">
        <is>
          <t>SS Sheets</t>
        </is>
      </c>
      <c r="E1740" s="12" t="inlineStr">
        <is>
          <t>N</t>
        </is>
      </c>
      <c r="F1740" s="12" t="n">
        <v>40.39</v>
      </c>
      <c r="G1740" s="17" t="n">
        <v>70175.8</v>
      </c>
      <c r="H1740" s="26" t="n">
        <v>44399</v>
      </c>
      <c r="I1740" s="26" t="n">
        <v>44402</v>
      </c>
      <c r="J1740" s="12" t="n">
        <v>40.25</v>
      </c>
      <c r="K1740" s="17" t="n">
        <v>2834400.56</v>
      </c>
      <c r="L1740" s="12" t="n">
        <v>0</v>
      </c>
      <c r="M1740" s="12" t="n">
        <v>0</v>
      </c>
      <c r="N1740" s="27">
        <f>F1740-J1740</f>
        <v/>
      </c>
      <c r="O1740" s="16">
        <f>I1740-H1740</f>
        <v/>
      </c>
      <c r="P1740" s="14">
        <f>F1740*G1740</f>
        <v/>
      </c>
      <c r="Q1740" s="14">
        <f>J1740*G1740</f>
        <v/>
      </c>
      <c r="R1740" s="14">
        <f>K1740-Q1740</f>
        <v/>
      </c>
      <c r="S1740" s="3">
        <f>P1740*Assumptions!$B$3/100</f>
        <v/>
      </c>
      <c r="T1740" s="14">
        <f>R1740-S1740</f>
        <v/>
      </c>
      <c r="U1740" s="14">
        <f>L1740*G1740</f>
        <v/>
      </c>
    </row>
    <row r="1741">
      <c r="A1741" s="12" t="inlineStr">
        <is>
          <t>PO-2022-1739</t>
        </is>
      </c>
      <c r="B1741" s="26" t="n">
        <v>44915</v>
      </c>
      <c r="C1741" s="12" t="inlineStr">
        <is>
          <t>VS17</t>
        </is>
      </c>
      <c r="D1741" s="12" t="inlineStr">
        <is>
          <t>Structural Steel</t>
        </is>
      </c>
      <c r="E1741" s="12" t="inlineStr">
        <is>
          <t>N</t>
        </is>
      </c>
      <c r="F1741" s="12" t="n">
        <v>13.42</v>
      </c>
      <c r="G1741" s="17" t="n">
        <v>79406.31</v>
      </c>
      <c r="H1741" s="26" t="n">
        <v>44923</v>
      </c>
      <c r="I1741" s="26" t="n">
        <v>44923</v>
      </c>
      <c r="J1741" s="12" t="n">
        <v>13.31</v>
      </c>
      <c r="K1741" s="17" t="n">
        <v>1065632.68</v>
      </c>
      <c r="L1741" s="12" t="n">
        <v>0</v>
      </c>
      <c r="M1741" s="12" t="n">
        <v>0</v>
      </c>
      <c r="N1741" s="27">
        <f>F1741-J1741</f>
        <v/>
      </c>
      <c r="O1741" s="16">
        <f>I1741-H1741</f>
        <v/>
      </c>
      <c r="P1741" s="14">
        <f>F1741*G1741</f>
        <v/>
      </c>
      <c r="Q1741" s="14">
        <f>J1741*G1741</f>
        <v/>
      </c>
      <c r="R1741" s="14">
        <f>K1741-Q1741</f>
        <v/>
      </c>
      <c r="S1741" s="3">
        <f>P1741*Assumptions!$B$3/100</f>
        <v/>
      </c>
      <c r="T1741" s="14">
        <f>R1741-S1741</f>
        <v/>
      </c>
      <c r="U1741" s="14">
        <f>L1741*G1741</f>
        <v/>
      </c>
    </row>
    <row r="1742">
      <c r="A1742" s="12" t="inlineStr">
        <is>
          <t>PO-2022-1740</t>
        </is>
      </c>
      <c r="B1742" s="26" t="n">
        <v>44813</v>
      </c>
      <c r="C1742" s="12" t="inlineStr">
        <is>
          <t>VS22</t>
        </is>
      </c>
      <c r="D1742" s="12" t="inlineStr">
        <is>
          <t>Hex Bars</t>
        </is>
      </c>
      <c r="E1742" s="12" t="inlineStr">
        <is>
          <t>N</t>
        </is>
      </c>
      <c r="F1742" s="12" t="n">
        <v>38.95</v>
      </c>
      <c r="G1742" s="17" t="n">
        <v>109271.71</v>
      </c>
      <c r="H1742" s="26" t="n">
        <v>44825</v>
      </c>
      <c r="I1742" s="26" t="n">
        <v>44826</v>
      </c>
      <c r="J1742" s="12" t="n">
        <v>38.69</v>
      </c>
      <c r="K1742" s="17" t="n">
        <v>4256133.1</v>
      </c>
      <c r="L1742" s="12" t="n">
        <v>0</v>
      </c>
      <c r="M1742" s="12" t="n">
        <v>20</v>
      </c>
      <c r="N1742" s="27">
        <f>F1742-J1742</f>
        <v/>
      </c>
      <c r="O1742" s="16">
        <f>I1742-H1742</f>
        <v/>
      </c>
      <c r="P1742" s="14">
        <f>F1742*G1742</f>
        <v/>
      </c>
      <c r="Q1742" s="14">
        <f>J1742*G1742</f>
        <v/>
      </c>
      <c r="R1742" s="14">
        <f>K1742-Q1742</f>
        <v/>
      </c>
      <c r="S1742" s="3">
        <f>P1742*Assumptions!$B$3/100</f>
        <v/>
      </c>
      <c r="T1742" s="14">
        <f>R1742-S1742</f>
        <v/>
      </c>
      <c r="U1742" s="14">
        <f>L1742*G1742</f>
        <v/>
      </c>
    </row>
    <row r="1743">
      <c r="A1743" s="12" t="inlineStr">
        <is>
          <t>PO-2022-1741</t>
        </is>
      </c>
      <c r="B1743" s="26" t="n">
        <v>45188</v>
      </c>
      <c r="C1743" s="12" t="inlineStr">
        <is>
          <t>VS08</t>
        </is>
      </c>
      <c r="D1743" s="12" t="inlineStr">
        <is>
          <t>CR Sheets</t>
        </is>
      </c>
      <c r="E1743" s="12" t="inlineStr">
        <is>
          <t>N</t>
        </is>
      </c>
      <c r="F1743" s="12" t="n">
        <v>34.6</v>
      </c>
      <c r="G1743" s="17" t="n">
        <v>99616.17</v>
      </c>
      <c r="H1743" s="26" t="n">
        <v>45191</v>
      </c>
      <c r="I1743" s="26" t="n">
        <v>45192</v>
      </c>
      <c r="J1743" s="12" t="n">
        <v>34.52</v>
      </c>
      <c r="K1743" s="17" t="n">
        <v>3446719.48</v>
      </c>
      <c r="L1743" s="12" t="n">
        <v>0</v>
      </c>
      <c r="M1743" s="12" t="n">
        <v>15</v>
      </c>
      <c r="N1743" s="27">
        <f>F1743-J1743</f>
        <v/>
      </c>
      <c r="O1743" s="16">
        <f>I1743-H1743</f>
        <v/>
      </c>
      <c r="P1743" s="14">
        <f>F1743*G1743</f>
        <v/>
      </c>
      <c r="Q1743" s="14">
        <f>J1743*G1743</f>
        <v/>
      </c>
      <c r="R1743" s="14">
        <f>K1743-Q1743</f>
        <v/>
      </c>
      <c r="S1743" s="3">
        <f>P1743*Assumptions!$B$3/100</f>
        <v/>
      </c>
      <c r="T1743" s="14">
        <f>R1743-S1743</f>
        <v/>
      </c>
      <c r="U1743" s="14">
        <f>L1743*G1743</f>
        <v/>
      </c>
    </row>
    <row r="1744">
      <c r="A1744" s="12" t="inlineStr">
        <is>
          <t>PO-2022-1742</t>
        </is>
      </c>
      <c r="B1744" s="26" t="n">
        <v>44499</v>
      </c>
      <c r="C1744" s="12" t="inlineStr">
        <is>
          <t>VS27</t>
        </is>
      </c>
      <c r="D1744" s="12" t="inlineStr">
        <is>
          <t>HR Coils</t>
        </is>
      </c>
      <c r="E1744" s="12" t="inlineStr">
        <is>
          <t>N</t>
        </is>
      </c>
      <c r="F1744" s="12" t="n">
        <v>33.31</v>
      </c>
      <c r="G1744" s="17" t="n">
        <v>55622.48</v>
      </c>
      <c r="H1744" s="26" t="n">
        <v>44509</v>
      </c>
      <c r="I1744" s="26" t="n">
        <v>44512</v>
      </c>
      <c r="J1744" s="12" t="n">
        <v>33.06</v>
      </c>
      <c r="K1744" s="17" t="n">
        <v>1852784.81</v>
      </c>
      <c r="L1744" s="12" t="n">
        <v>0</v>
      </c>
      <c r="M1744" s="12" t="n">
        <v>0</v>
      </c>
      <c r="N1744" s="27">
        <f>F1744-J1744</f>
        <v/>
      </c>
      <c r="O1744" s="16">
        <f>I1744-H1744</f>
        <v/>
      </c>
      <c r="P1744" s="14">
        <f>F1744*G1744</f>
        <v/>
      </c>
      <c r="Q1744" s="14">
        <f>J1744*G1744</f>
        <v/>
      </c>
      <c r="R1744" s="14">
        <f>K1744-Q1744</f>
        <v/>
      </c>
      <c r="S1744" s="3">
        <f>P1744*Assumptions!$B$3/100</f>
        <v/>
      </c>
      <c r="T1744" s="14">
        <f>R1744-S1744</f>
        <v/>
      </c>
      <c r="U1744" s="14">
        <f>L1744*G1744</f>
        <v/>
      </c>
    </row>
    <row r="1745">
      <c r="A1745" s="12" t="inlineStr">
        <is>
          <t>PO-2022-1743</t>
        </is>
      </c>
      <c r="B1745" s="26" t="n">
        <v>44260</v>
      </c>
      <c r="C1745" s="12" t="inlineStr">
        <is>
          <t>VS16</t>
        </is>
      </c>
      <c r="D1745" s="12" t="inlineStr">
        <is>
          <t>GI Wire</t>
        </is>
      </c>
      <c r="E1745" s="12" t="inlineStr">
        <is>
          <t>N</t>
        </is>
      </c>
      <c r="F1745" s="12" t="n">
        <v>18.61</v>
      </c>
      <c r="G1745" s="17" t="n">
        <v>100827.38</v>
      </c>
      <c r="H1745" s="26" t="n">
        <v>44266</v>
      </c>
      <c r="I1745" s="26" t="n">
        <v>44266</v>
      </c>
      <c r="J1745" s="12" t="n">
        <v>18.49</v>
      </c>
      <c r="K1745" s="17" t="n">
        <v>1876397.54</v>
      </c>
      <c r="L1745" s="12" t="n">
        <v>0</v>
      </c>
      <c r="M1745" s="12" t="n">
        <v>0</v>
      </c>
      <c r="N1745" s="27">
        <f>F1745-J1745</f>
        <v/>
      </c>
      <c r="O1745" s="16">
        <f>I1745-H1745</f>
        <v/>
      </c>
      <c r="P1745" s="14">
        <f>F1745*G1745</f>
        <v/>
      </c>
      <c r="Q1745" s="14">
        <f>J1745*G1745</f>
        <v/>
      </c>
      <c r="R1745" s="14">
        <f>K1745-Q1745</f>
        <v/>
      </c>
      <c r="S1745" s="3">
        <f>P1745*Assumptions!$B$3/100</f>
        <v/>
      </c>
      <c r="T1745" s="14">
        <f>R1745-S1745</f>
        <v/>
      </c>
      <c r="U1745" s="14">
        <f>L1745*G1745</f>
        <v/>
      </c>
    </row>
    <row r="1746">
      <c r="A1746" s="12" t="inlineStr">
        <is>
          <t>PO-2022-1744</t>
        </is>
      </c>
      <c r="B1746" s="26" t="n">
        <v>44970</v>
      </c>
      <c r="C1746" s="12" t="inlineStr">
        <is>
          <t>VS07</t>
        </is>
      </c>
      <c r="D1746" s="12" t="inlineStr">
        <is>
          <t>CR Sheets</t>
        </is>
      </c>
      <c r="E1746" s="12" t="inlineStr">
        <is>
          <t>N</t>
        </is>
      </c>
      <c r="F1746" s="12" t="n">
        <v>43.98</v>
      </c>
      <c r="G1746" s="17" t="n">
        <v>95910.11</v>
      </c>
      <c r="H1746" s="26" t="n">
        <v>44980</v>
      </c>
      <c r="I1746" s="26" t="n">
        <v>44981</v>
      </c>
      <c r="J1746" s="12" t="n">
        <v>43.94</v>
      </c>
      <c r="K1746" s="17" t="n">
        <v>4218126.64</v>
      </c>
      <c r="L1746" s="12" t="n">
        <v>0</v>
      </c>
      <c r="M1746" s="12" t="n">
        <v>4</v>
      </c>
      <c r="N1746" s="27">
        <f>F1746-J1746</f>
        <v/>
      </c>
      <c r="O1746" s="16">
        <f>I1746-H1746</f>
        <v/>
      </c>
      <c r="P1746" s="14">
        <f>F1746*G1746</f>
        <v/>
      </c>
      <c r="Q1746" s="14">
        <f>J1746*G1746</f>
        <v/>
      </c>
      <c r="R1746" s="14">
        <f>K1746-Q1746</f>
        <v/>
      </c>
      <c r="S1746" s="3">
        <f>P1746*Assumptions!$B$3/100</f>
        <v/>
      </c>
      <c r="T1746" s="14">
        <f>R1746-S1746</f>
        <v/>
      </c>
      <c r="U1746" s="14">
        <f>L1746*G1746</f>
        <v/>
      </c>
    </row>
    <row r="1747">
      <c r="A1747" s="12" t="inlineStr">
        <is>
          <t>PO-2022-1745</t>
        </is>
      </c>
      <c r="B1747" s="26" t="n">
        <v>45276</v>
      </c>
      <c r="C1747" s="12" t="inlineStr">
        <is>
          <t>VS12</t>
        </is>
      </c>
      <c r="D1747" s="12" t="inlineStr">
        <is>
          <t>CR Sheets</t>
        </is>
      </c>
      <c r="E1747" s="12" t="inlineStr">
        <is>
          <t>N</t>
        </is>
      </c>
      <c r="F1747" s="12" t="n">
        <v>45.61</v>
      </c>
      <c r="G1747" s="17" t="n">
        <v>74009.91</v>
      </c>
      <c r="H1747" s="26" t="n">
        <v>45284</v>
      </c>
      <c r="I1747" s="26" t="n">
        <v>45287</v>
      </c>
      <c r="J1747" s="12" t="n">
        <v>44.26</v>
      </c>
      <c r="K1747" s="17" t="n">
        <v>3375592</v>
      </c>
      <c r="L1747" s="12" t="n">
        <v>0.88</v>
      </c>
      <c r="M1747" s="12" t="n">
        <v>6</v>
      </c>
      <c r="N1747" s="27">
        <f>F1747-J1747</f>
        <v/>
      </c>
      <c r="O1747" s="16">
        <f>I1747-H1747</f>
        <v/>
      </c>
      <c r="P1747" s="14">
        <f>F1747*G1747</f>
        <v/>
      </c>
      <c r="Q1747" s="14">
        <f>J1747*G1747</f>
        <v/>
      </c>
      <c r="R1747" s="14">
        <f>K1747-Q1747</f>
        <v/>
      </c>
      <c r="S1747" s="3">
        <f>P1747*Assumptions!$B$3/100</f>
        <v/>
      </c>
      <c r="T1747" s="14">
        <f>R1747-S1747</f>
        <v/>
      </c>
      <c r="U1747" s="14">
        <f>L1747*G1747</f>
        <v/>
      </c>
    </row>
    <row r="1748">
      <c r="A1748" s="12" t="inlineStr">
        <is>
          <t>PO-2022-1746</t>
        </is>
      </c>
      <c r="B1748" s="26" t="n">
        <v>44997</v>
      </c>
      <c r="C1748" s="12" t="inlineStr">
        <is>
          <t>VS27</t>
        </is>
      </c>
      <c r="D1748" s="12" t="inlineStr">
        <is>
          <t>CR Sheets</t>
        </is>
      </c>
      <c r="E1748" s="12" t="inlineStr">
        <is>
          <t>N</t>
        </is>
      </c>
      <c r="F1748" s="12" t="n">
        <v>16.16</v>
      </c>
      <c r="G1748" s="17" t="n">
        <v>48082.5</v>
      </c>
      <c r="H1748" s="26" t="n">
        <v>45008</v>
      </c>
      <c r="I1748" s="26" t="n">
        <v>45008</v>
      </c>
      <c r="J1748" s="12" t="n">
        <v>16.15</v>
      </c>
      <c r="K1748" s="17" t="n">
        <v>777013.2</v>
      </c>
      <c r="L1748" s="12" t="n">
        <v>0</v>
      </c>
      <c r="M1748" s="12" t="n">
        <v>0</v>
      </c>
      <c r="N1748" s="27">
        <f>F1748-J1748</f>
        <v/>
      </c>
      <c r="O1748" s="16">
        <f>I1748-H1748</f>
        <v/>
      </c>
      <c r="P1748" s="14">
        <f>F1748*G1748</f>
        <v/>
      </c>
      <c r="Q1748" s="14">
        <f>J1748*G1748</f>
        <v/>
      </c>
      <c r="R1748" s="14">
        <f>K1748-Q1748</f>
        <v/>
      </c>
      <c r="S1748" s="3">
        <f>P1748*Assumptions!$B$3/100</f>
        <v/>
      </c>
      <c r="T1748" s="14">
        <f>R1748-S1748</f>
        <v/>
      </c>
      <c r="U1748" s="14">
        <f>L1748*G1748</f>
        <v/>
      </c>
    </row>
    <row r="1749">
      <c r="A1749" s="12" t="inlineStr">
        <is>
          <t>PO-2022-1747</t>
        </is>
      </c>
      <c r="B1749" s="26" t="n">
        <v>44900</v>
      </c>
      <c r="C1749" s="12" t="inlineStr">
        <is>
          <t>VS08</t>
        </is>
      </c>
      <c r="D1749" s="12" t="inlineStr">
        <is>
          <t>GI Wire</t>
        </is>
      </c>
      <c r="E1749" s="12" t="inlineStr">
        <is>
          <t>N</t>
        </is>
      </c>
      <c r="F1749" s="12" t="n">
        <v>39.97</v>
      </c>
      <c r="G1749" s="17" t="n">
        <v>87499.67999999999</v>
      </c>
      <c r="H1749" s="26" t="n">
        <v>44915</v>
      </c>
      <c r="I1749" s="26" t="n">
        <v>44915</v>
      </c>
      <c r="J1749" s="12" t="n">
        <v>39.85</v>
      </c>
      <c r="K1749" s="17" t="n">
        <v>3497362.21</v>
      </c>
      <c r="L1749" s="12" t="n">
        <v>0</v>
      </c>
      <c r="M1749" s="12" t="n">
        <v>7</v>
      </c>
      <c r="N1749" s="27">
        <f>F1749-J1749</f>
        <v/>
      </c>
      <c r="O1749" s="16">
        <f>I1749-H1749</f>
        <v/>
      </c>
      <c r="P1749" s="14">
        <f>F1749*G1749</f>
        <v/>
      </c>
      <c r="Q1749" s="14">
        <f>J1749*G1749</f>
        <v/>
      </c>
      <c r="R1749" s="14">
        <f>K1749-Q1749</f>
        <v/>
      </c>
      <c r="S1749" s="3">
        <f>P1749*Assumptions!$B$3/100</f>
        <v/>
      </c>
      <c r="T1749" s="14">
        <f>R1749-S1749</f>
        <v/>
      </c>
      <c r="U1749" s="14">
        <f>L1749*G1749</f>
        <v/>
      </c>
    </row>
    <row r="1750">
      <c r="A1750" s="12" t="inlineStr">
        <is>
          <t>PO-2022-1748</t>
        </is>
      </c>
      <c r="B1750" s="26" t="n">
        <v>44907</v>
      </c>
      <c r="C1750" s="12" t="inlineStr">
        <is>
          <t>VS19</t>
        </is>
      </c>
      <c r="D1750" s="12" t="inlineStr">
        <is>
          <t>ERW Pipes</t>
        </is>
      </c>
      <c r="E1750" s="12" t="inlineStr">
        <is>
          <t>Y</t>
        </is>
      </c>
      <c r="F1750" s="12" t="n">
        <v>48.5</v>
      </c>
      <c r="G1750" s="17" t="n">
        <v>85716.31</v>
      </c>
      <c r="H1750" s="26" t="n">
        <v>44920</v>
      </c>
      <c r="I1750" s="26" t="n">
        <v>44922</v>
      </c>
      <c r="J1750" s="12" t="n">
        <v>46.8</v>
      </c>
      <c r="K1750" s="17" t="n">
        <v>4157241.03</v>
      </c>
      <c r="L1750" s="12" t="n">
        <v>2.17</v>
      </c>
      <c r="M1750" s="12" t="n">
        <v>0</v>
      </c>
      <c r="N1750" s="27">
        <f>F1750-J1750</f>
        <v/>
      </c>
      <c r="O1750" s="16">
        <f>I1750-H1750</f>
        <v/>
      </c>
      <c r="P1750" s="14">
        <f>F1750*G1750</f>
        <v/>
      </c>
      <c r="Q1750" s="14">
        <f>J1750*G1750</f>
        <v/>
      </c>
      <c r="R1750" s="14">
        <f>K1750-Q1750</f>
        <v/>
      </c>
      <c r="S1750" s="3">
        <f>P1750*Assumptions!$B$3/100</f>
        <v/>
      </c>
      <c r="T1750" s="14">
        <f>R1750-S1750</f>
        <v/>
      </c>
      <c r="U1750" s="14">
        <f>L1750*G1750</f>
        <v/>
      </c>
    </row>
    <row r="1751">
      <c r="A1751" s="12" t="inlineStr">
        <is>
          <t>PO-2022-1749</t>
        </is>
      </c>
      <c r="B1751" s="26" t="n">
        <v>44498</v>
      </c>
      <c r="C1751" s="12" t="inlineStr">
        <is>
          <t>VS30</t>
        </is>
      </c>
      <c r="D1751" s="12" t="inlineStr">
        <is>
          <t>Square/Rect Tubes</t>
        </is>
      </c>
      <c r="E1751" s="12" t="inlineStr">
        <is>
          <t>Y</t>
        </is>
      </c>
      <c r="F1751" s="12" t="n">
        <v>26.64</v>
      </c>
      <c r="G1751" s="17" t="n">
        <v>66733.63</v>
      </c>
      <c r="H1751" s="26" t="n">
        <v>44509</v>
      </c>
      <c r="I1751" s="26" t="n">
        <v>44509</v>
      </c>
      <c r="J1751" s="12" t="n">
        <v>26.46</v>
      </c>
      <c r="K1751" s="17" t="n">
        <v>1777783.9</v>
      </c>
      <c r="L1751" s="12" t="n">
        <v>0</v>
      </c>
      <c r="M1751" s="12" t="n">
        <v>18</v>
      </c>
      <c r="N1751" s="27">
        <f>F1751-J1751</f>
        <v/>
      </c>
      <c r="O1751" s="16">
        <f>I1751-H1751</f>
        <v/>
      </c>
      <c r="P1751" s="14">
        <f>F1751*G1751</f>
        <v/>
      </c>
      <c r="Q1751" s="14">
        <f>J1751*G1751</f>
        <v/>
      </c>
      <c r="R1751" s="14">
        <f>K1751-Q1751</f>
        <v/>
      </c>
      <c r="S1751" s="3">
        <f>P1751*Assumptions!$B$3/100</f>
        <v/>
      </c>
      <c r="T1751" s="14">
        <f>R1751-S1751</f>
        <v/>
      </c>
      <c r="U1751" s="14">
        <f>L1751*G1751</f>
        <v/>
      </c>
    </row>
    <row r="1752">
      <c r="A1752" s="12" t="inlineStr">
        <is>
          <t>PO-2022-1750</t>
        </is>
      </c>
      <c r="B1752" s="26" t="n">
        <v>44530</v>
      </c>
      <c r="C1752" s="12" t="inlineStr">
        <is>
          <t>VS20</t>
        </is>
      </c>
      <c r="D1752" s="12" t="inlineStr">
        <is>
          <t>Structural Steel</t>
        </is>
      </c>
      <c r="E1752" s="12" t="inlineStr">
        <is>
          <t>N</t>
        </is>
      </c>
      <c r="F1752" s="12" t="n">
        <v>15.12</v>
      </c>
      <c r="G1752" s="17" t="n">
        <v>104983.88</v>
      </c>
      <c r="H1752" s="26" t="n">
        <v>44533</v>
      </c>
      <c r="I1752" s="26" t="n">
        <v>44535</v>
      </c>
      <c r="J1752" s="12" t="n">
        <v>15.05</v>
      </c>
      <c r="K1752" s="17" t="n">
        <v>1587356.27</v>
      </c>
      <c r="L1752" s="12" t="n">
        <v>0</v>
      </c>
      <c r="M1752" s="12" t="n">
        <v>0</v>
      </c>
      <c r="N1752" s="27">
        <f>F1752-J1752</f>
        <v/>
      </c>
      <c r="O1752" s="16">
        <f>I1752-H1752</f>
        <v/>
      </c>
      <c r="P1752" s="14">
        <f>F1752*G1752</f>
        <v/>
      </c>
      <c r="Q1752" s="14">
        <f>J1752*G1752</f>
        <v/>
      </c>
      <c r="R1752" s="14">
        <f>K1752-Q1752</f>
        <v/>
      </c>
      <c r="S1752" s="3">
        <f>P1752*Assumptions!$B$3/100</f>
        <v/>
      </c>
      <c r="T1752" s="14">
        <f>R1752-S1752</f>
        <v/>
      </c>
      <c r="U1752" s="14">
        <f>L1752*G1752</f>
        <v/>
      </c>
    </row>
    <row r="1753">
      <c r="A1753" s="12" t="inlineStr">
        <is>
          <t>PO-2022-1751</t>
        </is>
      </c>
      <c r="B1753" s="26" t="n">
        <v>45126</v>
      </c>
      <c r="C1753" s="12" t="inlineStr">
        <is>
          <t>VS03</t>
        </is>
      </c>
      <c r="D1753" s="12" t="inlineStr">
        <is>
          <t>GI Sheets</t>
        </is>
      </c>
      <c r="E1753" s="12" t="inlineStr">
        <is>
          <t>N</t>
        </is>
      </c>
      <c r="F1753" s="12" t="n">
        <v>14.87</v>
      </c>
      <c r="G1753" s="17" t="n">
        <v>93059.59</v>
      </c>
      <c r="H1753" s="26" t="n">
        <v>45129</v>
      </c>
      <c r="I1753" s="26" t="n">
        <v>45133</v>
      </c>
      <c r="J1753" s="12" t="n">
        <v>14.4</v>
      </c>
      <c r="K1753" s="17" t="n">
        <v>1383796.1</v>
      </c>
      <c r="L1753" s="12" t="n">
        <v>0.24</v>
      </c>
      <c r="M1753" s="12" t="n">
        <v>0</v>
      </c>
      <c r="N1753" s="27">
        <f>F1753-J1753</f>
        <v/>
      </c>
      <c r="O1753" s="16">
        <f>I1753-H1753</f>
        <v/>
      </c>
      <c r="P1753" s="14">
        <f>F1753*G1753</f>
        <v/>
      </c>
      <c r="Q1753" s="14">
        <f>J1753*G1753</f>
        <v/>
      </c>
      <c r="R1753" s="14">
        <f>K1753-Q1753</f>
        <v/>
      </c>
      <c r="S1753" s="3">
        <f>P1753*Assumptions!$B$3/100</f>
        <v/>
      </c>
      <c r="T1753" s="14">
        <f>R1753-S1753</f>
        <v/>
      </c>
      <c r="U1753" s="14">
        <f>L1753*G1753</f>
        <v/>
      </c>
    </row>
    <row r="1754">
      <c r="A1754" s="12" t="inlineStr">
        <is>
          <t>PO-2022-1752</t>
        </is>
      </c>
      <c r="B1754" s="26" t="n">
        <v>45197</v>
      </c>
      <c r="C1754" s="12" t="inlineStr">
        <is>
          <t>VS20</t>
        </is>
      </c>
      <c r="D1754" s="12" t="inlineStr">
        <is>
          <t>MS Pipes</t>
        </is>
      </c>
      <c r="E1754" s="12" t="inlineStr">
        <is>
          <t>N</t>
        </is>
      </c>
      <c r="F1754" s="12" t="n">
        <v>22.09</v>
      </c>
      <c r="G1754" s="17" t="n">
        <v>94519</v>
      </c>
      <c r="H1754" s="26" t="n">
        <v>45200</v>
      </c>
      <c r="I1754" s="26" t="n">
        <v>45203</v>
      </c>
      <c r="J1754" s="12" t="n">
        <v>22.05</v>
      </c>
      <c r="K1754" s="17" t="n">
        <v>2087924.71</v>
      </c>
      <c r="L1754" s="12" t="n">
        <v>0</v>
      </c>
      <c r="M1754" s="12" t="n">
        <v>0</v>
      </c>
      <c r="N1754" s="27">
        <f>F1754-J1754</f>
        <v/>
      </c>
      <c r="O1754" s="16">
        <f>I1754-H1754</f>
        <v/>
      </c>
      <c r="P1754" s="14">
        <f>F1754*G1754</f>
        <v/>
      </c>
      <c r="Q1754" s="14">
        <f>J1754*G1754</f>
        <v/>
      </c>
      <c r="R1754" s="14">
        <f>K1754-Q1754</f>
        <v/>
      </c>
      <c r="S1754" s="3">
        <f>P1754*Assumptions!$B$3/100</f>
        <v/>
      </c>
      <c r="T1754" s="14">
        <f>R1754-S1754</f>
        <v/>
      </c>
      <c r="U1754" s="14">
        <f>L1754*G1754</f>
        <v/>
      </c>
    </row>
    <row r="1755">
      <c r="A1755" s="12" t="inlineStr">
        <is>
          <t>PO-2022-1753</t>
        </is>
      </c>
      <c r="B1755" s="26" t="n">
        <v>44299</v>
      </c>
      <c r="C1755" s="12" t="inlineStr">
        <is>
          <t>VS17</t>
        </is>
      </c>
      <c r="D1755" s="12" t="inlineStr">
        <is>
          <t>Square/Rect Tubes</t>
        </is>
      </c>
      <c r="E1755" s="12" t="inlineStr">
        <is>
          <t>N</t>
        </is>
      </c>
      <c r="F1755" s="12" t="n">
        <v>18.16</v>
      </c>
      <c r="G1755" s="17" t="n">
        <v>66244.92</v>
      </c>
      <c r="H1755" s="26" t="n">
        <v>44310</v>
      </c>
      <c r="I1755" s="26" t="n">
        <v>44313</v>
      </c>
      <c r="J1755" s="12" t="n">
        <v>18.16</v>
      </c>
      <c r="K1755" s="17" t="n">
        <v>1203007.75</v>
      </c>
      <c r="L1755" s="12" t="n">
        <v>0</v>
      </c>
      <c r="M1755" s="12" t="n">
        <v>0</v>
      </c>
      <c r="N1755" s="27">
        <f>F1755-J1755</f>
        <v/>
      </c>
      <c r="O1755" s="16">
        <f>I1755-H1755</f>
        <v/>
      </c>
      <c r="P1755" s="14">
        <f>F1755*G1755</f>
        <v/>
      </c>
      <c r="Q1755" s="14">
        <f>J1755*G1755</f>
        <v/>
      </c>
      <c r="R1755" s="14">
        <f>K1755-Q1755</f>
        <v/>
      </c>
      <c r="S1755" s="3">
        <f>P1755*Assumptions!$B$3/100</f>
        <v/>
      </c>
      <c r="T1755" s="14">
        <f>R1755-S1755</f>
        <v/>
      </c>
      <c r="U1755" s="14">
        <f>L1755*G1755</f>
        <v/>
      </c>
    </row>
    <row r="1756">
      <c r="A1756" s="12" t="inlineStr">
        <is>
          <t>PO-2022-1754</t>
        </is>
      </c>
      <c r="B1756" s="26" t="n">
        <v>44514</v>
      </c>
      <c r="C1756" s="12" t="inlineStr">
        <is>
          <t>VS06</t>
        </is>
      </c>
      <c r="D1756" s="12" t="inlineStr">
        <is>
          <t>CR Sheets</t>
        </is>
      </c>
      <c r="E1756" s="12" t="inlineStr">
        <is>
          <t>N</t>
        </is>
      </c>
      <c r="F1756" s="12" t="n">
        <v>7.99</v>
      </c>
      <c r="G1756" s="17" t="n">
        <v>99978.99000000001</v>
      </c>
      <c r="H1756" s="26" t="n">
        <v>44523</v>
      </c>
      <c r="I1756" s="26" t="n">
        <v>44524</v>
      </c>
      <c r="J1756" s="12" t="n">
        <v>7.93</v>
      </c>
      <c r="K1756" s="17" t="n">
        <v>798832.13</v>
      </c>
      <c r="L1756" s="12" t="n">
        <v>0</v>
      </c>
      <c r="M1756" s="12" t="n">
        <v>0</v>
      </c>
      <c r="N1756" s="27">
        <f>F1756-J1756</f>
        <v/>
      </c>
      <c r="O1756" s="16">
        <f>I1756-H1756</f>
        <v/>
      </c>
      <c r="P1756" s="14">
        <f>F1756*G1756</f>
        <v/>
      </c>
      <c r="Q1756" s="14">
        <f>J1756*G1756</f>
        <v/>
      </c>
      <c r="R1756" s="14">
        <f>K1756-Q1756</f>
        <v/>
      </c>
      <c r="S1756" s="3">
        <f>P1756*Assumptions!$B$3/100</f>
        <v/>
      </c>
      <c r="T1756" s="14">
        <f>R1756-S1756</f>
        <v/>
      </c>
      <c r="U1756" s="14">
        <f>L1756*G1756</f>
        <v/>
      </c>
    </row>
    <row r="1757">
      <c r="A1757" s="12" t="inlineStr">
        <is>
          <t>PO-2022-1755</t>
        </is>
      </c>
      <c r="B1757" s="26" t="n">
        <v>44362</v>
      </c>
      <c r="C1757" s="12" t="inlineStr">
        <is>
          <t>VS19</t>
        </is>
      </c>
      <c r="D1757" s="12" t="inlineStr">
        <is>
          <t>HR Coils</t>
        </is>
      </c>
      <c r="E1757" s="12" t="inlineStr">
        <is>
          <t>N</t>
        </is>
      </c>
      <c r="F1757" s="12" t="n">
        <v>2.57</v>
      </c>
      <c r="G1757" s="17" t="n">
        <v>119568.91</v>
      </c>
      <c r="H1757" s="26" t="n">
        <v>44368</v>
      </c>
      <c r="I1757" s="26" t="n">
        <v>44375</v>
      </c>
      <c r="J1757" s="12" t="n">
        <v>2.52</v>
      </c>
      <c r="K1757" s="17" t="n">
        <v>307292.1</v>
      </c>
      <c r="L1757" s="12" t="n">
        <v>0.1</v>
      </c>
      <c r="M1757" s="12" t="n">
        <v>0</v>
      </c>
      <c r="N1757" s="27">
        <f>F1757-J1757</f>
        <v/>
      </c>
      <c r="O1757" s="16">
        <f>I1757-H1757</f>
        <v/>
      </c>
      <c r="P1757" s="14">
        <f>F1757*G1757</f>
        <v/>
      </c>
      <c r="Q1757" s="14">
        <f>J1757*G1757</f>
        <v/>
      </c>
      <c r="R1757" s="14">
        <f>K1757-Q1757</f>
        <v/>
      </c>
      <c r="S1757" s="3">
        <f>P1757*Assumptions!$B$3/100</f>
        <v/>
      </c>
      <c r="T1757" s="14">
        <f>R1757-S1757</f>
        <v/>
      </c>
      <c r="U1757" s="14">
        <f>L1757*G1757</f>
        <v/>
      </c>
    </row>
    <row r="1758">
      <c r="A1758" s="12" t="inlineStr">
        <is>
          <t>PO-2022-1756</t>
        </is>
      </c>
      <c r="B1758" s="26" t="n">
        <v>44988</v>
      </c>
      <c r="C1758" s="12" t="inlineStr">
        <is>
          <t>VS28</t>
        </is>
      </c>
      <c r="D1758" s="12" t="inlineStr">
        <is>
          <t>MS Rods</t>
        </is>
      </c>
      <c r="E1758" s="12" t="inlineStr">
        <is>
          <t>N</t>
        </is>
      </c>
      <c r="F1758" s="12" t="n">
        <v>48.38</v>
      </c>
      <c r="G1758" s="17" t="n">
        <v>52360.4</v>
      </c>
      <c r="H1758" s="26" t="n">
        <v>44995</v>
      </c>
      <c r="I1758" s="26" t="n">
        <v>44995</v>
      </c>
      <c r="J1758" s="12" t="n">
        <v>48.17</v>
      </c>
      <c r="K1758" s="17" t="n">
        <v>2533196.15</v>
      </c>
      <c r="L1758" s="12" t="n">
        <v>0</v>
      </c>
      <c r="M1758" s="12" t="n">
        <v>0</v>
      </c>
      <c r="N1758" s="27">
        <f>F1758-J1758</f>
        <v/>
      </c>
      <c r="O1758" s="16">
        <f>I1758-H1758</f>
        <v/>
      </c>
      <c r="P1758" s="14">
        <f>F1758*G1758</f>
        <v/>
      </c>
      <c r="Q1758" s="14">
        <f>J1758*G1758</f>
        <v/>
      </c>
      <c r="R1758" s="14">
        <f>K1758-Q1758</f>
        <v/>
      </c>
      <c r="S1758" s="3">
        <f>P1758*Assumptions!$B$3/100</f>
        <v/>
      </c>
      <c r="T1758" s="14">
        <f>R1758-S1758</f>
        <v/>
      </c>
      <c r="U1758" s="14">
        <f>L1758*G1758</f>
        <v/>
      </c>
    </row>
    <row r="1759">
      <c r="A1759" s="12" t="inlineStr">
        <is>
          <t>PO-2022-1757</t>
        </is>
      </c>
      <c r="B1759" s="26" t="n">
        <v>44815</v>
      </c>
      <c r="C1759" s="12" t="inlineStr">
        <is>
          <t>VS20</t>
        </is>
      </c>
      <c r="D1759" s="12" t="inlineStr">
        <is>
          <t>MS Sheets</t>
        </is>
      </c>
      <c r="E1759" s="12" t="inlineStr">
        <is>
          <t>Y</t>
        </is>
      </c>
      <c r="F1759" s="12" t="n">
        <v>28.63</v>
      </c>
      <c r="G1759" s="17" t="n">
        <v>95919.24000000001</v>
      </c>
      <c r="H1759" s="26" t="n">
        <v>44823</v>
      </c>
      <c r="I1759" s="26" t="n">
        <v>44825</v>
      </c>
      <c r="J1759" s="12" t="n">
        <v>28.56</v>
      </c>
      <c r="K1759" s="17" t="n">
        <v>2746167.84</v>
      </c>
      <c r="L1759" s="12" t="n">
        <v>0</v>
      </c>
      <c r="M1759" s="12" t="n">
        <v>23</v>
      </c>
      <c r="N1759" s="27">
        <f>F1759-J1759</f>
        <v/>
      </c>
      <c r="O1759" s="16">
        <f>I1759-H1759</f>
        <v/>
      </c>
      <c r="P1759" s="14">
        <f>F1759*G1759</f>
        <v/>
      </c>
      <c r="Q1759" s="14">
        <f>J1759*G1759</f>
        <v/>
      </c>
      <c r="R1759" s="14">
        <f>K1759-Q1759</f>
        <v/>
      </c>
      <c r="S1759" s="3">
        <f>P1759*Assumptions!$B$3/100</f>
        <v/>
      </c>
      <c r="T1759" s="14">
        <f>R1759-S1759</f>
        <v/>
      </c>
      <c r="U1759" s="14">
        <f>L1759*G1759</f>
        <v/>
      </c>
    </row>
    <row r="1760">
      <c r="A1760" s="12" t="inlineStr">
        <is>
          <t>PO-2022-1758</t>
        </is>
      </c>
      <c r="B1760" s="26" t="n">
        <v>44482</v>
      </c>
      <c r="C1760" s="12" t="inlineStr">
        <is>
          <t>VS13</t>
        </is>
      </c>
      <c r="D1760" s="12" t="inlineStr">
        <is>
          <t>CR Sheets</t>
        </is>
      </c>
      <c r="E1760" s="12" t="inlineStr">
        <is>
          <t>Y</t>
        </is>
      </c>
      <c r="F1760" s="12" t="n">
        <v>7.65</v>
      </c>
      <c r="G1760" s="17" t="n">
        <v>86571.28</v>
      </c>
      <c r="H1760" s="26" t="n">
        <v>44489</v>
      </c>
      <c r="I1760" s="26" t="n">
        <v>44489</v>
      </c>
      <c r="J1760" s="12" t="n">
        <v>7.58</v>
      </c>
      <c r="K1760" s="17" t="n">
        <v>662270.29</v>
      </c>
      <c r="L1760" s="12" t="n">
        <v>0</v>
      </c>
      <c r="M1760" s="12" t="n">
        <v>0</v>
      </c>
      <c r="N1760" s="27">
        <f>F1760-J1760</f>
        <v/>
      </c>
      <c r="O1760" s="16">
        <f>I1760-H1760</f>
        <v/>
      </c>
      <c r="P1760" s="14">
        <f>F1760*G1760</f>
        <v/>
      </c>
      <c r="Q1760" s="14">
        <f>J1760*G1760</f>
        <v/>
      </c>
      <c r="R1760" s="14">
        <f>K1760-Q1760</f>
        <v/>
      </c>
      <c r="S1760" s="3">
        <f>P1760*Assumptions!$B$3/100</f>
        <v/>
      </c>
      <c r="T1760" s="14">
        <f>R1760-S1760</f>
        <v/>
      </c>
      <c r="U1760" s="14">
        <f>L1760*G1760</f>
        <v/>
      </c>
    </row>
    <row r="1761">
      <c r="A1761" s="12" t="inlineStr">
        <is>
          <t>PO-2022-1759</t>
        </is>
      </c>
      <c r="B1761" s="26" t="n">
        <v>44821</v>
      </c>
      <c r="C1761" s="12" t="inlineStr">
        <is>
          <t>VS06</t>
        </is>
      </c>
      <c r="D1761" s="12" t="inlineStr">
        <is>
          <t>SS Sheets</t>
        </is>
      </c>
      <c r="E1761" s="12" t="inlineStr">
        <is>
          <t>N</t>
        </is>
      </c>
      <c r="F1761" s="12" t="n">
        <v>28.77</v>
      </c>
      <c r="G1761" s="17" t="n">
        <v>92123.91</v>
      </c>
      <c r="H1761" s="26" t="n">
        <v>44832</v>
      </c>
      <c r="I1761" s="26" t="n">
        <v>44832</v>
      </c>
      <c r="J1761" s="12" t="n">
        <v>28.57</v>
      </c>
      <c r="K1761" s="17" t="n">
        <v>2650404.89</v>
      </c>
      <c r="L1761" s="12" t="n">
        <v>0</v>
      </c>
      <c r="M1761" s="12" t="n">
        <v>7</v>
      </c>
      <c r="N1761" s="27">
        <f>F1761-J1761</f>
        <v/>
      </c>
      <c r="O1761" s="16">
        <f>I1761-H1761</f>
        <v/>
      </c>
      <c r="P1761" s="14">
        <f>F1761*G1761</f>
        <v/>
      </c>
      <c r="Q1761" s="14">
        <f>J1761*G1761</f>
        <v/>
      </c>
      <c r="R1761" s="14">
        <f>K1761-Q1761</f>
        <v/>
      </c>
      <c r="S1761" s="3">
        <f>P1761*Assumptions!$B$3/100</f>
        <v/>
      </c>
      <c r="T1761" s="14">
        <f>R1761-S1761</f>
        <v/>
      </c>
      <c r="U1761" s="14">
        <f>L1761*G1761</f>
        <v/>
      </c>
    </row>
    <row r="1762">
      <c r="A1762" s="12" t="inlineStr">
        <is>
          <t>PO-2022-1760</t>
        </is>
      </c>
      <c r="B1762" s="26" t="n">
        <v>44572</v>
      </c>
      <c r="C1762" s="12" t="inlineStr">
        <is>
          <t>VS25</t>
        </is>
      </c>
      <c r="D1762" s="12" t="inlineStr">
        <is>
          <t>GI Wire</t>
        </is>
      </c>
      <c r="E1762" s="12" t="inlineStr">
        <is>
          <t>Y</t>
        </is>
      </c>
      <c r="F1762" s="12" t="n">
        <v>5.71</v>
      </c>
      <c r="G1762" s="17" t="n">
        <v>84492.85000000001</v>
      </c>
      <c r="H1762" s="26" t="n">
        <v>44586</v>
      </c>
      <c r="I1762" s="26" t="n">
        <v>44589</v>
      </c>
      <c r="J1762" s="12" t="n">
        <v>5.66</v>
      </c>
      <c r="K1762" s="17" t="n">
        <v>482454.17</v>
      </c>
      <c r="L1762" s="12" t="n">
        <v>0</v>
      </c>
      <c r="M1762" s="12" t="n">
        <v>17</v>
      </c>
      <c r="N1762" s="27">
        <f>F1762-J1762</f>
        <v/>
      </c>
      <c r="O1762" s="16">
        <f>I1762-H1762</f>
        <v/>
      </c>
      <c r="P1762" s="14">
        <f>F1762*G1762</f>
        <v/>
      </c>
      <c r="Q1762" s="14">
        <f>J1762*G1762</f>
        <v/>
      </c>
      <c r="R1762" s="14">
        <f>K1762-Q1762</f>
        <v/>
      </c>
      <c r="S1762" s="3">
        <f>P1762*Assumptions!$B$3/100</f>
        <v/>
      </c>
      <c r="T1762" s="14">
        <f>R1762-S1762</f>
        <v/>
      </c>
      <c r="U1762" s="14">
        <f>L1762*G1762</f>
        <v/>
      </c>
    </row>
    <row r="1763">
      <c r="A1763" s="12" t="inlineStr">
        <is>
          <t>PO-2022-1761</t>
        </is>
      </c>
      <c r="B1763" s="26" t="n">
        <v>44838</v>
      </c>
      <c r="C1763" s="12" t="inlineStr">
        <is>
          <t>VS33</t>
        </is>
      </c>
      <c r="D1763" s="12" t="inlineStr">
        <is>
          <t>Angles &amp; Channels</t>
        </is>
      </c>
      <c r="E1763" s="12" t="inlineStr">
        <is>
          <t>N</t>
        </is>
      </c>
      <c r="F1763" s="12" t="n">
        <v>23.95</v>
      </c>
      <c r="G1763" s="17" t="n">
        <v>77075.19</v>
      </c>
      <c r="H1763" s="26" t="n">
        <v>44847</v>
      </c>
      <c r="I1763" s="26" t="n">
        <v>44850</v>
      </c>
      <c r="J1763" s="12" t="n">
        <v>23.84</v>
      </c>
      <c r="K1763" s="17" t="n">
        <v>1845950.8</v>
      </c>
      <c r="L1763" s="12" t="n">
        <v>0</v>
      </c>
      <c r="M1763" s="12" t="n">
        <v>0</v>
      </c>
      <c r="N1763" s="27">
        <f>F1763-J1763</f>
        <v/>
      </c>
      <c r="O1763" s="16">
        <f>I1763-H1763</f>
        <v/>
      </c>
      <c r="P1763" s="14">
        <f>F1763*G1763</f>
        <v/>
      </c>
      <c r="Q1763" s="14">
        <f>J1763*G1763</f>
        <v/>
      </c>
      <c r="R1763" s="14">
        <f>K1763-Q1763</f>
        <v/>
      </c>
      <c r="S1763" s="3">
        <f>P1763*Assumptions!$B$3/100</f>
        <v/>
      </c>
      <c r="T1763" s="14">
        <f>R1763-S1763</f>
        <v/>
      </c>
      <c r="U1763" s="14">
        <f>L1763*G1763</f>
        <v/>
      </c>
    </row>
    <row r="1764">
      <c r="A1764" s="12" t="inlineStr">
        <is>
          <t>PO-2022-1762</t>
        </is>
      </c>
      <c r="B1764" s="26" t="n">
        <v>45037</v>
      </c>
      <c r="C1764" s="12" t="inlineStr">
        <is>
          <t>VS30</t>
        </is>
      </c>
      <c r="D1764" s="12" t="inlineStr">
        <is>
          <t>MS Pipes</t>
        </is>
      </c>
      <c r="E1764" s="12" t="inlineStr">
        <is>
          <t>N</t>
        </is>
      </c>
      <c r="F1764" s="12" t="n">
        <v>45.72</v>
      </c>
      <c r="G1764" s="17" t="n">
        <v>46981.66</v>
      </c>
      <c r="H1764" s="26" t="n">
        <v>45052</v>
      </c>
      <c r="I1764" s="26" t="n">
        <v>45052</v>
      </c>
      <c r="J1764" s="12" t="n">
        <v>45.55</v>
      </c>
      <c r="K1764" s="17" t="n">
        <v>2148001.5</v>
      </c>
      <c r="L1764" s="12" t="n">
        <v>0</v>
      </c>
      <c r="M1764" s="12" t="n">
        <v>16</v>
      </c>
      <c r="N1764" s="27">
        <f>F1764-J1764</f>
        <v/>
      </c>
      <c r="O1764" s="16">
        <f>I1764-H1764</f>
        <v/>
      </c>
      <c r="P1764" s="14">
        <f>F1764*G1764</f>
        <v/>
      </c>
      <c r="Q1764" s="14">
        <f>J1764*G1764</f>
        <v/>
      </c>
      <c r="R1764" s="14">
        <f>K1764-Q1764</f>
        <v/>
      </c>
      <c r="S1764" s="3">
        <f>P1764*Assumptions!$B$3/100</f>
        <v/>
      </c>
      <c r="T1764" s="14">
        <f>R1764-S1764</f>
        <v/>
      </c>
      <c r="U1764" s="14">
        <f>L1764*G1764</f>
        <v/>
      </c>
    </row>
    <row r="1765">
      <c r="A1765" s="12" t="inlineStr">
        <is>
          <t>PO-2022-1763</t>
        </is>
      </c>
      <c r="B1765" s="26" t="n">
        <v>45059</v>
      </c>
      <c r="C1765" s="12" t="inlineStr">
        <is>
          <t>VS06</t>
        </is>
      </c>
      <c r="D1765" s="12" t="inlineStr">
        <is>
          <t>Square/Rect Tubes</t>
        </is>
      </c>
      <c r="E1765" s="12" t="inlineStr">
        <is>
          <t>N</t>
        </is>
      </c>
      <c r="F1765" s="12" t="n">
        <v>31.15</v>
      </c>
      <c r="G1765" s="17" t="n">
        <v>67679.25</v>
      </c>
      <c r="H1765" s="26" t="n">
        <v>45065</v>
      </c>
      <c r="I1765" s="26" t="n">
        <v>45068</v>
      </c>
      <c r="J1765" s="12" t="n">
        <v>31.02</v>
      </c>
      <c r="K1765" s="17" t="n">
        <v>2108208.64</v>
      </c>
      <c r="L1765" s="12" t="n">
        <v>0</v>
      </c>
      <c r="M1765" s="12" t="n">
        <v>0</v>
      </c>
      <c r="N1765" s="27">
        <f>F1765-J1765</f>
        <v/>
      </c>
      <c r="O1765" s="16">
        <f>I1765-H1765</f>
        <v/>
      </c>
      <c r="P1765" s="14">
        <f>F1765*G1765</f>
        <v/>
      </c>
      <c r="Q1765" s="14">
        <f>J1765*G1765</f>
        <v/>
      </c>
      <c r="R1765" s="14">
        <f>K1765-Q1765</f>
        <v/>
      </c>
      <c r="S1765" s="3">
        <f>P1765*Assumptions!$B$3/100</f>
        <v/>
      </c>
      <c r="T1765" s="14">
        <f>R1765-S1765</f>
        <v/>
      </c>
      <c r="U1765" s="14">
        <f>L1765*G1765</f>
        <v/>
      </c>
    </row>
    <row r="1766">
      <c r="A1766" s="12" t="inlineStr">
        <is>
          <t>PO-2022-1764</t>
        </is>
      </c>
      <c r="B1766" s="26" t="n">
        <v>45245</v>
      </c>
      <c r="C1766" s="12" t="inlineStr">
        <is>
          <t>VS24</t>
        </is>
      </c>
      <c r="D1766" s="12" t="inlineStr">
        <is>
          <t>Square/Rect Tubes</t>
        </is>
      </c>
      <c r="E1766" s="12" t="inlineStr">
        <is>
          <t>N</t>
        </is>
      </c>
      <c r="F1766" s="12" t="n">
        <v>31.42</v>
      </c>
      <c r="G1766" s="17" t="n">
        <v>112493.43</v>
      </c>
      <c r="H1766" s="26" t="n">
        <v>45252</v>
      </c>
      <c r="I1766" s="26" t="n">
        <v>45255</v>
      </c>
      <c r="J1766" s="12" t="n">
        <v>31.28</v>
      </c>
      <c r="K1766" s="17" t="n">
        <v>3534543.57</v>
      </c>
      <c r="L1766" s="12" t="n">
        <v>0</v>
      </c>
      <c r="M1766" s="12" t="n">
        <v>0</v>
      </c>
      <c r="N1766" s="27">
        <f>F1766-J1766</f>
        <v/>
      </c>
      <c r="O1766" s="16">
        <f>I1766-H1766</f>
        <v/>
      </c>
      <c r="P1766" s="14">
        <f>F1766*G1766</f>
        <v/>
      </c>
      <c r="Q1766" s="14">
        <f>J1766*G1766</f>
        <v/>
      </c>
      <c r="R1766" s="14">
        <f>K1766-Q1766</f>
        <v/>
      </c>
      <c r="S1766" s="3">
        <f>P1766*Assumptions!$B$3/100</f>
        <v/>
      </c>
      <c r="T1766" s="14">
        <f>R1766-S1766</f>
        <v/>
      </c>
      <c r="U1766" s="14">
        <f>L1766*G1766</f>
        <v/>
      </c>
    </row>
    <row r="1767">
      <c r="A1767" s="12" t="inlineStr">
        <is>
          <t>PO-2022-1765</t>
        </is>
      </c>
      <c r="B1767" s="26" t="n">
        <v>44306</v>
      </c>
      <c r="C1767" s="12" t="inlineStr">
        <is>
          <t>VS26</t>
        </is>
      </c>
      <c r="D1767" s="12" t="inlineStr">
        <is>
          <t>Square/Rect Tubes</t>
        </is>
      </c>
      <c r="E1767" s="12" t="inlineStr">
        <is>
          <t>N</t>
        </is>
      </c>
      <c r="F1767" s="12" t="n">
        <v>20.74</v>
      </c>
      <c r="G1767" s="17" t="n">
        <v>45446.46</v>
      </c>
      <c r="H1767" s="26" t="n">
        <v>44321</v>
      </c>
      <c r="I1767" s="26" t="n">
        <v>44322</v>
      </c>
      <c r="J1767" s="12" t="n">
        <v>20.71</v>
      </c>
      <c r="K1767" s="17" t="n">
        <v>942559.58</v>
      </c>
      <c r="L1767" s="12" t="n">
        <v>0</v>
      </c>
      <c r="M1767" s="12" t="n">
        <v>0</v>
      </c>
      <c r="N1767" s="27">
        <f>F1767-J1767</f>
        <v/>
      </c>
      <c r="O1767" s="16">
        <f>I1767-H1767</f>
        <v/>
      </c>
      <c r="P1767" s="14">
        <f>F1767*G1767</f>
        <v/>
      </c>
      <c r="Q1767" s="14">
        <f>J1767*G1767</f>
        <v/>
      </c>
      <c r="R1767" s="14">
        <f>K1767-Q1767</f>
        <v/>
      </c>
      <c r="S1767" s="3">
        <f>P1767*Assumptions!$B$3/100</f>
        <v/>
      </c>
      <c r="T1767" s="14">
        <f>R1767-S1767</f>
        <v/>
      </c>
      <c r="U1767" s="14">
        <f>L1767*G1767</f>
        <v/>
      </c>
    </row>
    <row r="1768">
      <c r="A1768" s="12" t="inlineStr">
        <is>
          <t>PO-2022-1766</t>
        </is>
      </c>
      <c r="B1768" s="26" t="n">
        <v>45257</v>
      </c>
      <c r="C1768" s="12" t="inlineStr">
        <is>
          <t>VS30</t>
        </is>
      </c>
      <c r="D1768" s="12" t="inlineStr">
        <is>
          <t>GI Pipes</t>
        </is>
      </c>
      <c r="E1768" s="12" t="inlineStr">
        <is>
          <t>N</t>
        </is>
      </c>
      <c r="F1768" s="12" t="n">
        <v>5.15</v>
      </c>
      <c r="G1768" s="17" t="n">
        <v>65263.11</v>
      </c>
      <c r="H1768" s="26" t="n">
        <v>45270</v>
      </c>
      <c r="I1768" s="26" t="n">
        <v>45273</v>
      </c>
      <c r="J1768" s="12" t="n">
        <v>5.1</v>
      </c>
      <c r="K1768" s="17" t="n">
        <v>336105.02</v>
      </c>
      <c r="L1768" s="12" t="n">
        <v>0</v>
      </c>
      <c r="M1768" s="12" t="n">
        <v>9</v>
      </c>
      <c r="N1768" s="27">
        <f>F1768-J1768</f>
        <v/>
      </c>
      <c r="O1768" s="16">
        <f>I1768-H1768</f>
        <v/>
      </c>
      <c r="P1768" s="14">
        <f>F1768*G1768</f>
        <v/>
      </c>
      <c r="Q1768" s="14">
        <f>J1768*G1768</f>
        <v/>
      </c>
      <c r="R1768" s="14">
        <f>K1768-Q1768</f>
        <v/>
      </c>
      <c r="S1768" s="3">
        <f>P1768*Assumptions!$B$3/100</f>
        <v/>
      </c>
      <c r="T1768" s="14">
        <f>R1768-S1768</f>
        <v/>
      </c>
      <c r="U1768" s="14">
        <f>L1768*G1768</f>
        <v/>
      </c>
    </row>
    <row r="1769">
      <c r="A1769" s="12" t="inlineStr">
        <is>
          <t>PO-2022-1767</t>
        </is>
      </c>
      <c r="B1769" s="26" t="n">
        <v>44416</v>
      </c>
      <c r="C1769" s="12" t="inlineStr">
        <is>
          <t>VS22</t>
        </is>
      </c>
      <c r="D1769" s="12" t="inlineStr">
        <is>
          <t>ERW Pipes</t>
        </is>
      </c>
      <c r="E1769" s="12" t="inlineStr">
        <is>
          <t>N</t>
        </is>
      </c>
      <c r="F1769" s="12" t="n">
        <v>41.28</v>
      </c>
      <c r="G1769" s="17" t="n">
        <v>87408.25999999999</v>
      </c>
      <c r="H1769" s="26" t="n">
        <v>44430</v>
      </c>
      <c r="I1769" s="26" t="n">
        <v>44432</v>
      </c>
      <c r="J1769" s="12" t="n">
        <v>41.13</v>
      </c>
      <c r="K1769" s="17" t="n">
        <v>3608212.97</v>
      </c>
      <c r="L1769" s="12" t="n">
        <v>0</v>
      </c>
      <c r="M1769" s="12" t="n">
        <v>9</v>
      </c>
      <c r="N1769" s="27">
        <f>F1769-J1769</f>
        <v/>
      </c>
      <c r="O1769" s="16">
        <f>I1769-H1769</f>
        <v/>
      </c>
      <c r="P1769" s="14">
        <f>F1769*G1769</f>
        <v/>
      </c>
      <c r="Q1769" s="14">
        <f>J1769*G1769</f>
        <v/>
      </c>
      <c r="R1769" s="14">
        <f>K1769-Q1769</f>
        <v/>
      </c>
      <c r="S1769" s="3">
        <f>P1769*Assumptions!$B$3/100</f>
        <v/>
      </c>
      <c r="T1769" s="14">
        <f>R1769-S1769</f>
        <v/>
      </c>
      <c r="U1769" s="14">
        <f>L1769*G1769</f>
        <v/>
      </c>
    </row>
    <row r="1770">
      <c r="A1770" s="12" t="inlineStr">
        <is>
          <t>PO-2022-1768</t>
        </is>
      </c>
      <c r="B1770" s="26" t="n">
        <v>44875</v>
      </c>
      <c r="C1770" s="12" t="inlineStr">
        <is>
          <t>VS04</t>
        </is>
      </c>
      <c r="D1770" s="12" t="inlineStr">
        <is>
          <t>ERW Pipes</t>
        </is>
      </c>
      <c r="E1770" s="12" t="inlineStr">
        <is>
          <t>N</t>
        </is>
      </c>
      <c r="F1770" s="12" t="n">
        <v>37.28</v>
      </c>
      <c r="G1770" s="17" t="n">
        <v>95580.97</v>
      </c>
      <c r="H1770" s="26" t="n">
        <v>44889</v>
      </c>
      <c r="I1770" s="26" t="n">
        <v>44889</v>
      </c>
      <c r="J1770" s="12" t="n">
        <v>36.92</v>
      </c>
      <c r="K1770" s="17" t="n">
        <v>3563258.56</v>
      </c>
      <c r="L1770" s="12" t="n">
        <v>0</v>
      </c>
      <c r="M1770" s="12" t="n">
        <v>0</v>
      </c>
      <c r="N1770" s="27">
        <f>F1770-J1770</f>
        <v/>
      </c>
      <c r="O1770" s="16">
        <f>I1770-H1770</f>
        <v/>
      </c>
      <c r="P1770" s="14">
        <f>F1770*G1770</f>
        <v/>
      </c>
      <c r="Q1770" s="14">
        <f>J1770*G1770</f>
        <v/>
      </c>
      <c r="R1770" s="14">
        <f>K1770-Q1770</f>
        <v/>
      </c>
      <c r="S1770" s="3">
        <f>P1770*Assumptions!$B$3/100</f>
        <v/>
      </c>
      <c r="T1770" s="14">
        <f>R1770-S1770</f>
        <v/>
      </c>
      <c r="U1770" s="14">
        <f>L1770*G1770</f>
        <v/>
      </c>
    </row>
    <row r="1771">
      <c r="A1771" s="12" t="inlineStr">
        <is>
          <t>PO-2022-1769</t>
        </is>
      </c>
      <c r="B1771" s="26" t="n">
        <v>44305</v>
      </c>
      <c r="C1771" s="12" t="inlineStr">
        <is>
          <t>VS14</t>
        </is>
      </c>
      <c r="D1771" s="12" t="inlineStr">
        <is>
          <t>Hex Bars</t>
        </is>
      </c>
      <c r="E1771" s="12" t="inlineStr">
        <is>
          <t>N</t>
        </is>
      </c>
      <c r="F1771" s="12" t="n">
        <v>8.06</v>
      </c>
      <c r="G1771" s="17" t="n">
        <v>100531.81</v>
      </c>
      <c r="H1771" s="26" t="n">
        <v>44315</v>
      </c>
      <c r="I1771" s="26" t="n">
        <v>44316</v>
      </c>
      <c r="J1771" s="12" t="n">
        <v>8.029999999999999</v>
      </c>
      <c r="K1771" s="17" t="n">
        <v>810286.39</v>
      </c>
      <c r="L1771" s="12" t="n">
        <v>0</v>
      </c>
      <c r="M1771" s="12" t="n">
        <v>0</v>
      </c>
      <c r="N1771" s="27">
        <f>F1771-J1771</f>
        <v/>
      </c>
      <c r="O1771" s="16">
        <f>I1771-H1771</f>
        <v/>
      </c>
      <c r="P1771" s="14">
        <f>F1771*G1771</f>
        <v/>
      </c>
      <c r="Q1771" s="14">
        <f>J1771*G1771</f>
        <v/>
      </c>
      <c r="R1771" s="14">
        <f>K1771-Q1771</f>
        <v/>
      </c>
      <c r="S1771" s="3">
        <f>P1771*Assumptions!$B$3/100</f>
        <v/>
      </c>
      <c r="T1771" s="14">
        <f>R1771-S1771</f>
        <v/>
      </c>
      <c r="U1771" s="14">
        <f>L1771*G1771</f>
        <v/>
      </c>
    </row>
    <row r="1772">
      <c r="A1772" s="12" t="inlineStr">
        <is>
          <t>PO-2022-1770</t>
        </is>
      </c>
      <c r="B1772" s="26" t="n">
        <v>44476</v>
      </c>
      <c r="C1772" s="12" t="inlineStr">
        <is>
          <t>VS15</t>
        </is>
      </c>
      <c r="D1772" s="12" t="inlineStr">
        <is>
          <t>Square/Rect Tubes</t>
        </is>
      </c>
      <c r="E1772" s="12" t="inlineStr">
        <is>
          <t>N</t>
        </is>
      </c>
      <c r="F1772" s="12" t="n">
        <v>15.74</v>
      </c>
      <c r="G1772" s="17" t="n">
        <v>68316.81</v>
      </c>
      <c r="H1772" s="26" t="n">
        <v>44479</v>
      </c>
      <c r="I1772" s="26" t="n">
        <v>44479</v>
      </c>
      <c r="J1772" s="12" t="n">
        <v>15.64</v>
      </c>
      <c r="K1772" s="17" t="n">
        <v>1075306.59</v>
      </c>
      <c r="L1772" s="12" t="n">
        <v>0</v>
      </c>
      <c r="M1772" s="12" t="n">
        <v>0</v>
      </c>
      <c r="N1772" s="27">
        <f>F1772-J1772</f>
        <v/>
      </c>
      <c r="O1772" s="16">
        <f>I1772-H1772</f>
        <v/>
      </c>
      <c r="P1772" s="14">
        <f>F1772*G1772</f>
        <v/>
      </c>
      <c r="Q1772" s="14">
        <f>J1772*G1772</f>
        <v/>
      </c>
      <c r="R1772" s="14">
        <f>K1772-Q1772</f>
        <v/>
      </c>
      <c r="S1772" s="3">
        <f>P1772*Assumptions!$B$3/100</f>
        <v/>
      </c>
      <c r="T1772" s="14">
        <f>R1772-S1772</f>
        <v/>
      </c>
      <c r="U1772" s="14">
        <f>L1772*G1772</f>
        <v/>
      </c>
    </row>
    <row r="1773">
      <c r="A1773" s="12" t="inlineStr">
        <is>
          <t>PO-2022-1771</t>
        </is>
      </c>
      <c r="B1773" s="26" t="n">
        <v>45190</v>
      </c>
      <c r="C1773" s="12" t="inlineStr">
        <is>
          <t>VS13</t>
        </is>
      </c>
      <c r="D1773" s="12" t="inlineStr">
        <is>
          <t>ERW Pipes</t>
        </is>
      </c>
      <c r="E1773" s="12" t="inlineStr">
        <is>
          <t>N</t>
        </is>
      </c>
      <c r="F1773" s="12" t="n">
        <v>4.29</v>
      </c>
      <c r="G1773" s="17" t="n">
        <v>56476.66</v>
      </c>
      <c r="H1773" s="26" t="n">
        <v>45194</v>
      </c>
      <c r="I1773" s="26" t="n">
        <v>45195</v>
      </c>
      <c r="J1773" s="12" t="n">
        <v>4.25</v>
      </c>
      <c r="K1773" s="17" t="n">
        <v>242284.87</v>
      </c>
      <c r="L1773" s="12" t="n">
        <v>0</v>
      </c>
      <c r="M1773" s="12" t="n">
        <v>18</v>
      </c>
      <c r="N1773" s="27">
        <f>F1773-J1773</f>
        <v/>
      </c>
      <c r="O1773" s="16">
        <f>I1773-H1773</f>
        <v/>
      </c>
      <c r="P1773" s="14">
        <f>F1773*G1773</f>
        <v/>
      </c>
      <c r="Q1773" s="14">
        <f>J1773*G1773</f>
        <v/>
      </c>
      <c r="R1773" s="14">
        <f>K1773-Q1773</f>
        <v/>
      </c>
      <c r="S1773" s="3">
        <f>P1773*Assumptions!$B$3/100</f>
        <v/>
      </c>
      <c r="T1773" s="14">
        <f>R1773-S1773</f>
        <v/>
      </c>
      <c r="U1773" s="14">
        <f>L1773*G1773</f>
        <v/>
      </c>
    </row>
    <row r="1774">
      <c r="A1774" s="12" t="inlineStr">
        <is>
          <t>PO-2022-1772</t>
        </is>
      </c>
      <c r="B1774" s="26" t="n">
        <v>45261</v>
      </c>
      <c r="C1774" s="12" t="inlineStr">
        <is>
          <t>VS07</t>
        </is>
      </c>
      <c r="D1774" s="12" t="inlineStr">
        <is>
          <t>HR Coils</t>
        </is>
      </c>
      <c r="E1774" s="12" t="inlineStr">
        <is>
          <t>N</t>
        </is>
      </c>
      <c r="F1774" s="12" t="n">
        <v>11.01</v>
      </c>
      <c r="G1774" s="17" t="n">
        <v>80530.67999999999</v>
      </c>
      <c r="H1774" s="26" t="n">
        <v>45272</v>
      </c>
      <c r="I1774" s="26" t="n">
        <v>45274</v>
      </c>
      <c r="J1774" s="12" t="n">
        <v>10.91</v>
      </c>
      <c r="K1774" s="17" t="n">
        <v>886642.79</v>
      </c>
      <c r="L1774" s="12" t="n">
        <v>0</v>
      </c>
      <c r="M1774" s="12" t="n">
        <v>7</v>
      </c>
      <c r="N1774" s="27">
        <f>F1774-J1774</f>
        <v/>
      </c>
      <c r="O1774" s="16">
        <f>I1774-H1774</f>
        <v/>
      </c>
      <c r="P1774" s="14">
        <f>F1774*G1774</f>
        <v/>
      </c>
      <c r="Q1774" s="14">
        <f>J1774*G1774</f>
        <v/>
      </c>
      <c r="R1774" s="14">
        <f>K1774-Q1774</f>
        <v/>
      </c>
      <c r="S1774" s="3">
        <f>P1774*Assumptions!$B$3/100</f>
        <v/>
      </c>
      <c r="T1774" s="14">
        <f>R1774-S1774</f>
        <v/>
      </c>
      <c r="U1774" s="14">
        <f>L1774*G1774</f>
        <v/>
      </c>
    </row>
    <row r="1775">
      <c r="A1775" s="12" t="inlineStr">
        <is>
          <t>PO-2022-1773</t>
        </is>
      </c>
      <c r="B1775" s="26" t="n">
        <v>45105</v>
      </c>
      <c r="C1775" s="12" t="inlineStr">
        <is>
          <t>VS26</t>
        </is>
      </c>
      <c r="D1775" s="12" t="inlineStr">
        <is>
          <t>GI Pipes</t>
        </is>
      </c>
      <c r="E1775" s="12" t="inlineStr">
        <is>
          <t>N</t>
        </is>
      </c>
      <c r="F1775" s="12" t="n">
        <v>46.38</v>
      </c>
      <c r="G1775" s="17" t="n">
        <v>67494.28</v>
      </c>
      <c r="H1775" s="26" t="n">
        <v>45115</v>
      </c>
      <c r="I1775" s="26" t="n">
        <v>45116</v>
      </c>
      <c r="J1775" s="12" t="n">
        <v>46.23</v>
      </c>
      <c r="K1775" s="17" t="n">
        <v>3130384.71</v>
      </c>
      <c r="L1775" s="12" t="n">
        <v>0</v>
      </c>
      <c r="M1775" s="12" t="n">
        <v>14</v>
      </c>
      <c r="N1775" s="27">
        <f>F1775-J1775</f>
        <v/>
      </c>
      <c r="O1775" s="16">
        <f>I1775-H1775</f>
        <v/>
      </c>
      <c r="P1775" s="14">
        <f>F1775*G1775</f>
        <v/>
      </c>
      <c r="Q1775" s="14">
        <f>J1775*G1775</f>
        <v/>
      </c>
      <c r="R1775" s="14">
        <f>K1775-Q1775</f>
        <v/>
      </c>
      <c r="S1775" s="3">
        <f>P1775*Assumptions!$B$3/100</f>
        <v/>
      </c>
      <c r="T1775" s="14">
        <f>R1775-S1775</f>
        <v/>
      </c>
      <c r="U1775" s="14">
        <f>L1775*G1775</f>
        <v/>
      </c>
    </row>
    <row r="1776">
      <c r="A1776" s="12" t="inlineStr">
        <is>
          <t>PO-2022-1774</t>
        </is>
      </c>
      <c r="B1776" s="26" t="n">
        <v>44573</v>
      </c>
      <c r="C1776" s="12" t="inlineStr">
        <is>
          <t>VS16</t>
        </is>
      </c>
      <c r="D1776" s="12" t="inlineStr">
        <is>
          <t>Spring Steel</t>
        </is>
      </c>
      <c r="E1776" s="12" t="inlineStr">
        <is>
          <t>N</t>
        </is>
      </c>
      <c r="F1776" s="12" t="n">
        <v>13.75</v>
      </c>
      <c r="G1776" s="17" t="n">
        <v>90957</v>
      </c>
      <c r="H1776" s="26" t="n">
        <v>44583</v>
      </c>
      <c r="I1776" s="26" t="n">
        <v>44584</v>
      </c>
      <c r="J1776" s="12" t="n">
        <v>13.71</v>
      </c>
      <c r="K1776" s="17" t="n">
        <v>1250658.75</v>
      </c>
      <c r="L1776" s="12" t="n">
        <v>0</v>
      </c>
      <c r="M1776" s="12" t="n">
        <v>0</v>
      </c>
      <c r="N1776" s="27">
        <f>F1776-J1776</f>
        <v/>
      </c>
      <c r="O1776" s="16">
        <f>I1776-H1776</f>
        <v/>
      </c>
      <c r="P1776" s="14">
        <f>F1776*G1776</f>
        <v/>
      </c>
      <c r="Q1776" s="14">
        <f>J1776*G1776</f>
        <v/>
      </c>
      <c r="R1776" s="14">
        <f>K1776-Q1776</f>
        <v/>
      </c>
      <c r="S1776" s="3">
        <f>P1776*Assumptions!$B$3/100</f>
        <v/>
      </c>
      <c r="T1776" s="14">
        <f>R1776-S1776</f>
        <v/>
      </c>
      <c r="U1776" s="14">
        <f>L1776*G1776</f>
        <v/>
      </c>
    </row>
    <row r="1777">
      <c r="A1777" s="12" t="inlineStr">
        <is>
          <t>PO-2022-1775</t>
        </is>
      </c>
      <c r="B1777" s="26" t="n">
        <v>44449</v>
      </c>
      <c r="C1777" s="12" t="inlineStr">
        <is>
          <t>VS28</t>
        </is>
      </c>
      <c r="D1777" s="12" t="inlineStr">
        <is>
          <t>Square/Rect Tubes</t>
        </is>
      </c>
      <c r="E1777" s="12" t="inlineStr">
        <is>
          <t>N</t>
        </is>
      </c>
      <c r="F1777" s="12" t="n">
        <v>32.17</v>
      </c>
      <c r="G1777" s="17" t="n">
        <v>58860.59</v>
      </c>
      <c r="H1777" s="26" t="n">
        <v>44463</v>
      </c>
      <c r="I1777" s="26" t="n">
        <v>44466</v>
      </c>
      <c r="J1777" s="12" t="n">
        <v>31.93</v>
      </c>
      <c r="K1777" s="17" t="n">
        <v>1893545.18</v>
      </c>
      <c r="L1777" s="12" t="n">
        <v>0</v>
      </c>
      <c r="M1777" s="12" t="n">
        <v>0</v>
      </c>
      <c r="N1777" s="27">
        <f>F1777-J1777</f>
        <v/>
      </c>
      <c r="O1777" s="16">
        <f>I1777-H1777</f>
        <v/>
      </c>
      <c r="P1777" s="14">
        <f>F1777*G1777</f>
        <v/>
      </c>
      <c r="Q1777" s="14">
        <f>J1777*G1777</f>
        <v/>
      </c>
      <c r="R1777" s="14">
        <f>K1777-Q1777</f>
        <v/>
      </c>
      <c r="S1777" s="3">
        <f>P1777*Assumptions!$B$3/100</f>
        <v/>
      </c>
      <c r="T1777" s="14">
        <f>R1777-S1777</f>
        <v/>
      </c>
      <c r="U1777" s="14">
        <f>L1777*G1777</f>
        <v/>
      </c>
    </row>
    <row r="1778">
      <c r="A1778" s="12" t="inlineStr">
        <is>
          <t>PO-2022-1776</t>
        </is>
      </c>
      <c r="B1778" s="26" t="n">
        <v>44689</v>
      </c>
      <c r="C1778" s="12" t="inlineStr">
        <is>
          <t>VS11</t>
        </is>
      </c>
      <c r="D1778" s="12" t="inlineStr">
        <is>
          <t>Hex Bars</t>
        </is>
      </c>
      <c r="E1778" s="12" t="inlineStr">
        <is>
          <t>N</t>
        </is>
      </c>
      <c r="F1778" s="12" t="n">
        <v>37.34</v>
      </c>
      <c r="G1778" s="17" t="n">
        <v>86001.08</v>
      </c>
      <c r="H1778" s="26" t="n">
        <v>44699</v>
      </c>
      <c r="I1778" s="26" t="n">
        <v>44699</v>
      </c>
      <c r="J1778" s="12" t="n">
        <v>37.04</v>
      </c>
      <c r="K1778" s="17" t="n">
        <v>3211280.33</v>
      </c>
      <c r="L1778" s="12" t="n">
        <v>0</v>
      </c>
      <c r="M1778" s="12" t="n">
        <v>0</v>
      </c>
      <c r="N1778" s="27">
        <f>F1778-J1778</f>
        <v/>
      </c>
      <c r="O1778" s="16">
        <f>I1778-H1778</f>
        <v/>
      </c>
      <c r="P1778" s="14">
        <f>F1778*G1778</f>
        <v/>
      </c>
      <c r="Q1778" s="14">
        <f>J1778*G1778</f>
        <v/>
      </c>
      <c r="R1778" s="14">
        <f>K1778-Q1778</f>
        <v/>
      </c>
      <c r="S1778" s="3">
        <f>P1778*Assumptions!$B$3/100</f>
        <v/>
      </c>
      <c r="T1778" s="14">
        <f>R1778-S1778</f>
        <v/>
      </c>
      <c r="U1778" s="14">
        <f>L1778*G1778</f>
        <v/>
      </c>
    </row>
    <row r="1779">
      <c r="A1779" s="12" t="inlineStr">
        <is>
          <t>PO-2022-1777</t>
        </is>
      </c>
      <c r="B1779" s="26" t="n">
        <v>45180</v>
      </c>
      <c r="C1779" s="12" t="inlineStr">
        <is>
          <t>VS19</t>
        </is>
      </c>
      <c r="D1779" s="12" t="inlineStr">
        <is>
          <t>SS Sheets</t>
        </is>
      </c>
      <c r="E1779" s="12" t="inlineStr">
        <is>
          <t>N</t>
        </is>
      </c>
      <c r="F1779" s="12" t="n">
        <v>33.71</v>
      </c>
      <c r="G1779" s="17" t="n">
        <v>121609.13</v>
      </c>
      <c r="H1779" s="26" t="n">
        <v>45190</v>
      </c>
      <c r="I1779" s="26" t="n">
        <v>45196</v>
      </c>
      <c r="J1779" s="12" t="n">
        <v>32.59</v>
      </c>
      <c r="K1779" s="17" t="n">
        <v>4099443.77</v>
      </c>
      <c r="L1779" s="12" t="n">
        <v>0.73</v>
      </c>
      <c r="M1779" s="12" t="n">
        <v>6</v>
      </c>
      <c r="N1779" s="27">
        <f>F1779-J1779</f>
        <v/>
      </c>
      <c r="O1779" s="16">
        <f>I1779-H1779</f>
        <v/>
      </c>
      <c r="P1779" s="14">
        <f>F1779*G1779</f>
        <v/>
      </c>
      <c r="Q1779" s="14">
        <f>J1779*G1779</f>
        <v/>
      </c>
      <c r="R1779" s="14">
        <f>K1779-Q1779</f>
        <v/>
      </c>
      <c r="S1779" s="3">
        <f>P1779*Assumptions!$B$3/100</f>
        <v/>
      </c>
      <c r="T1779" s="14">
        <f>R1779-S1779</f>
        <v/>
      </c>
      <c r="U1779" s="14">
        <f>L1779*G1779</f>
        <v/>
      </c>
    </row>
    <row r="1780">
      <c r="A1780" s="12" t="inlineStr">
        <is>
          <t>PO-2022-1778</t>
        </is>
      </c>
      <c r="B1780" s="26" t="n">
        <v>44949</v>
      </c>
      <c r="C1780" s="12" t="inlineStr">
        <is>
          <t>VS18</t>
        </is>
      </c>
      <c r="D1780" s="12" t="inlineStr">
        <is>
          <t>MS Rods</t>
        </is>
      </c>
      <c r="E1780" s="12" t="inlineStr">
        <is>
          <t>Y</t>
        </is>
      </c>
      <c r="F1780" s="12" t="n">
        <v>19.91</v>
      </c>
      <c r="G1780" s="17" t="n">
        <v>104989.14</v>
      </c>
      <c r="H1780" s="26" t="n">
        <v>44959</v>
      </c>
      <c r="I1780" s="26" t="n">
        <v>44959</v>
      </c>
      <c r="J1780" s="12" t="n">
        <v>19.82</v>
      </c>
      <c r="K1780" s="17" t="n">
        <v>2090333.78</v>
      </c>
      <c r="L1780" s="12" t="n">
        <v>0</v>
      </c>
      <c r="M1780" s="12" t="n">
        <v>0</v>
      </c>
      <c r="N1780" s="27">
        <f>F1780-J1780</f>
        <v/>
      </c>
      <c r="O1780" s="16">
        <f>I1780-H1780</f>
        <v/>
      </c>
      <c r="P1780" s="14">
        <f>F1780*G1780</f>
        <v/>
      </c>
      <c r="Q1780" s="14">
        <f>J1780*G1780</f>
        <v/>
      </c>
      <c r="R1780" s="14">
        <f>K1780-Q1780</f>
        <v/>
      </c>
      <c r="S1780" s="3">
        <f>P1780*Assumptions!$B$3/100</f>
        <v/>
      </c>
      <c r="T1780" s="14">
        <f>R1780-S1780</f>
        <v/>
      </c>
      <c r="U1780" s="14">
        <f>L1780*G1780</f>
        <v/>
      </c>
    </row>
    <row r="1781">
      <c r="A1781" s="12" t="inlineStr">
        <is>
          <t>PO-2022-1779</t>
        </is>
      </c>
      <c r="B1781" s="26" t="n">
        <v>45050</v>
      </c>
      <c r="C1781" s="12" t="inlineStr">
        <is>
          <t>VS28</t>
        </is>
      </c>
      <c r="D1781" s="12" t="inlineStr">
        <is>
          <t>Square/Rect Tubes</t>
        </is>
      </c>
      <c r="E1781" s="12" t="inlineStr">
        <is>
          <t>N</t>
        </is>
      </c>
      <c r="F1781" s="12" t="n">
        <v>2.37</v>
      </c>
      <c r="G1781" s="17" t="n">
        <v>79281.17</v>
      </c>
      <c r="H1781" s="26" t="n">
        <v>45062</v>
      </c>
      <c r="I1781" s="26" t="n">
        <v>45063</v>
      </c>
      <c r="J1781" s="12" t="n">
        <v>2.36</v>
      </c>
      <c r="K1781" s="17" t="n">
        <v>187896.37</v>
      </c>
      <c r="L1781" s="12" t="n">
        <v>0</v>
      </c>
      <c r="M1781" s="12" t="n">
        <v>7</v>
      </c>
      <c r="N1781" s="27">
        <f>F1781-J1781</f>
        <v/>
      </c>
      <c r="O1781" s="16">
        <f>I1781-H1781</f>
        <v/>
      </c>
      <c r="P1781" s="14">
        <f>F1781*G1781</f>
        <v/>
      </c>
      <c r="Q1781" s="14">
        <f>J1781*G1781</f>
        <v/>
      </c>
      <c r="R1781" s="14">
        <f>K1781-Q1781</f>
        <v/>
      </c>
      <c r="S1781" s="3">
        <f>P1781*Assumptions!$B$3/100</f>
        <v/>
      </c>
      <c r="T1781" s="14">
        <f>R1781-S1781</f>
        <v/>
      </c>
      <c r="U1781" s="14">
        <f>L1781*G1781</f>
        <v/>
      </c>
    </row>
    <row r="1782">
      <c r="A1782" s="12" t="inlineStr">
        <is>
          <t>PO-2022-1780</t>
        </is>
      </c>
      <c r="B1782" s="26" t="n">
        <v>44994</v>
      </c>
      <c r="C1782" s="12" t="inlineStr">
        <is>
          <t>VS01</t>
        </is>
      </c>
      <c r="D1782" s="12" t="inlineStr">
        <is>
          <t>SS Sheets</t>
        </is>
      </c>
      <c r="E1782" s="12" t="inlineStr">
        <is>
          <t>N</t>
        </is>
      </c>
      <c r="F1782" s="12" t="n">
        <v>2.67</v>
      </c>
      <c r="G1782" s="17" t="n">
        <v>93781.67</v>
      </c>
      <c r="H1782" s="26" t="n">
        <v>45007</v>
      </c>
      <c r="I1782" s="26" t="n">
        <v>45010</v>
      </c>
      <c r="J1782" s="12" t="n">
        <v>2.66</v>
      </c>
      <c r="K1782" s="17" t="n">
        <v>250397.06</v>
      </c>
      <c r="L1782" s="12" t="n">
        <v>0</v>
      </c>
      <c r="M1782" s="12" t="n">
        <v>0</v>
      </c>
      <c r="N1782" s="27">
        <f>F1782-J1782</f>
        <v/>
      </c>
      <c r="O1782" s="16">
        <f>I1782-H1782</f>
        <v/>
      </c>
      <c r="P1782" s="14">
        <f>F1782*G1782</f>
        <v/>
      </c>
      <c r="Q1782" s="14">
        <f>J1782*G1782</f>
        <v/>
      </c>
      <c r="R1782" s="14">
        <f>K1782-Q1782</f>
        <v/>
      </c>
      <c r="S1782" s="3">
        <f>P1782*Assumptions!$B$3/100</f>
        <v/>
      </c>
      <c r="T1782" s="14">
        <f>R1782-S1782</f>
        <v/>
      </c>
      <c r="U1782" s="14">
        <f>L1782*G1782</f>
        <v/>
      </c>
    </row>
    <row r="1783">
      <c r="A1783" s="12" t="inlineStr">
        <is>
          <t>PO-2022-1781</t>
        </is>
      </c>
      <c r="B1783" s="26" t="n">
        <v>45107</v>
      </c>
      <c r="C1783" s="12" t="inlineStr">
        <is>
          <t>VS03</t>
        </is>
      </c>
      <c r="D1783" s="12" t="inlineStr">
        <is>
          <t>Angles &amp; Channels</t>
        </is>
      </c>
      <c r="E1783" s="12" t="inlineStr">
        <is>
          <t>N</t>
        </is>
      </c>
      <c r="F1783" s="12" t="n">
        <v>48.18</v>
      </c>
      <c r="G1783" s="17" t="n">
        <v>83296.75</v>
      </c>
      <c r="H1783" s="26" t="n">
        <v>45121</v>
      </c>
      <c r="I1783" s="26" t="n">
        <v>45126</v>
      </c>
      <c r="J1783" s="12" t="n">
        <v>46.36</v>
      </c>
      <c r="K1783" s="17" t="n">
        <v>4013237.42</v>
      </c>
      <c r="L1783" s="12" t="n">
        <v>1.73</v>
      </c>
      <c r="M1783" s="12" t="n">
        <v>19</v>
      </c>
      <c r="N1783" s="27">
        <f>F1783-J1783</f>
        <v/>
      </c>
      <c r="O1783" s="16">
        <f>I1783-H1783</f>
        <v/>
      </c>
      <c r="P1783" s="14">
        <f>F1783*G1783</f>
        <v/>
      </c>
      <c r="Q1783" s="14">
        <f>J1783*G1783</f>
        <v/>
      </c>
      <c r="R1783" s="14">
        <f>K1783-Q1783</f>
        <v/>
      </c>
      <c r="S1783" s="3">
        <f>P1783*Assumptions!$B$3/100</f>
        <v/>
      </c>
      <c r="T1783" s="14">
        <f>R1783-S1783</f>
        <v/>
      </c>
      <c r="U1783" s="14">
        <f>L1783*G1783</f>
        <v/>
      </c>
    </row>
    <row r="1784">
      <c r="A1784" s="12" t="inlineStr">
        <is>
          <t>PO-2022-1782</t>
        </is>
      </c>
      <c r="B1784" s="26" t="n">
        <v>45135</v>
      </c>
      <c r="C1784" s="12" t="inlineStr">
        <is>
          <t>VS18</t>
        </is>
      </c>
      <c r="D1784" s="12" t="inlineStr">
        <is>
          <t>MS Pipes</t>
        </is>
      </c>
      <c r="E1784" s="12" t="inlineStr">
        <is>
          <t>N</t>
        </is>
      </c>
      <c r="F1784" s="12" t="n">
        <v>49.11</v>
      </c>
      <c r="G1784" s="17" t="n">
        <v>71831.07000000001</v>
      </c>
      <c r="H1784" s="26" t="n">
        <v>45146</v>
      </c>
      <c r="I1784" s="26" t="n">
        <v>45147</v>
      </c>
      <c r="J1784" s="12" t="n">
        <v>48.98</v>
      </c>
      <c r="K1784" s="17" t="n">
        <v>3527623.85</v>
      </c>
      <c r="L1784" s="12" t="n">
        <v>0</v>
      </c>
      <c r="M1784" s="12" t="n">
        <v>24</v>
      </c>
      <c r="N1784" s="27">
        <f>F1784-J1784</f>
        <v/>
      </c>
      <c r="O1784" s="16">
        <f>I1784-H1784</f>
        <v/>
      </c>
      <c r="P1784" s="14">
        <f>F1784*G1784</f>
        <v/>
      </c>
      <c r="Q1784" s="14">
        <f>J1784*G1784</f>
        <v/>
      </c>
      <c r="R1784" s="14">
        <f>K1784-Q1784</f>
        <v/>
      </c>
      <c r="S1784" s="3">
        <f>P1784*Assumptions!$B$3/100</f>
        <v/>
      </c>
      <c r="T1784" s="14">
        <f>R1784-S1784</f>
        <v/>
      </c>
      <c r="U1784" s="14">
        <f>L1784*G1784</f>
        <v/>
      </c>
    </row>
    <row r="1785">
      <c r="A1785" s="12" t="inlineStr">
        <is>
          <t>PO-2022-1783</t>
        </is>
      </c>
      <c r="B1785" s="26" t="n">
        <v>44628</v>
      </c>
      <c r="C1785" s="12" t="inlineStr">
        <is>
          <t>VS23</t>
        </is>
      </c>
      <c r="D1785" s="12" t="inlineStr">
        <is>
          <t>Hex Bars</t>
        </is>
      </c>
      <c r="E1785" s="12" t="inlineStr">
        <is>
          <t>N</t>
        </is>
      </c>
      <c r="F1785" s="12" t="n">
        <v>20.14</v>
      </c>
      <c r="G1785" s="17" t="n">
        <v>49707.43</v>
      </c>
      <c r="H1785" s="26" t="n">
        <v>44641</v>
      </c>
      <c r="I1785" s="26" t="n">
        <v>44642</v>
      </c>
      <c r="J1785" s="12" t="n">
        <v>20</v>
      </c>
      <c r="K1785" s="17" t="n">
        <v>1001107.64</v>
      </c>
      <c r="L1785" s="12" t="n">
        <v>0</v>
      </c>
      <c r="M1785" s="12" t="n">
        <v>3</v>
      </c>
      <c r="N1785" s="27">
        <f>F1785-J1785</f>
        <v/>
      </c>
      <c r="O1785" s="16">
        <f>I1785-H1785</f>
        <v/>
      </c>
      <c r="P1785" s="14">
        <f>F1785*G1785</f>
        <v/>
      </c>
      <c r="Q1785" s="14">
        <f>J1785*G1785</f>
        <v/>
      </c>
      <c r="R1785" s="14">
        <f>K1785-Q1785</f>
        <v/>
      </c>
      <c r="S1785" s="3">
        <f>P1785*Assumptions!$B$3/100</f>
        <v/>
      </c>
      <c r="T1785" s="14">
        <f>R1785-S1785</f>
        <v/>
      </c>
      <c r="U1785" s="14">
        <f>L1785*G1785</f>
        <v/>
      </c>
    </row>
    <row r="1786">
      <c r="A1786" s="12" t="inlineStr">
        <is>
          <t>PO-2022-1784</t>
        </is>
      </c>
      <c r="B1786" s="26" t="n">
        <v>44507</v>
      </c>
      <c r="C1786" s="12" t="inlineStr">
        <is>
          <t>VS23</t>
        </is>
      </c>
      <c r="D1786" s="12" t="inlineStr">
        <is>
          <t>MS Flats</t>
        </is>
      </c>
      <c r="E1786" s="12" t="inlineStr">
        <is>
          <t>N</t>
        </is>
      </c>
      <c r="F1786" s="12" t="n">
        <v>23.51</v>
      </c>
      <c r="G1786" s="17" t="n">
        <v>109399.79</v>
      </c>
      <c r="H1786" s="26" t="n">
        <v>44512</v>
      </c>
      <c r="I1786" s="26" t="n">
        <v>44512</v>
      </c>
      <c r="J1786" s="12" t="n">
        <v>23.32</v>
      </c>
      <c r="K1786" s="17" t="n">
        <v>2571989.06</v>
      </c>
      <c r="L1786" s="12" t="n">
        <v>0</v>
      </c>
      <c r="M1786" s="12" t="n">
        <v>0</v>
      </c>
      <c r="N1786" s="27">
        <f>F1786-J1786</f>
        <v/>
      </c>
      <c r="O1786" s="16">
        <f>I1786-H1786</f>
        <v/>
      </c>
      <c r="P1786" s="14">
        <f>F1786*G1786</f>
        <v/>
      </c>
      <c r="Q1786" s="14">
        <f>J1786*G1786</f>
        <v/>
      </c>
      <c r="R1786" s="14">
        <f>K1786-Q1786</f>
        <v/>
      </c>
      <c r="S1786" s="3">
        <f>P1786*Assumptions!$B$3/100</f>
        <v/>
      </c>
      <c r="T1786" s="14">
        <f>R1786-S1786</f>
        <v/>
      </c>
      <c r="U1786" s="14">
        <f>L1786*G1786</f>
        <v/>
      </c>
    </row>
    <row r="1787">
      <c r="A1787" s="12" t="inlineStr">
        <is>
          <t>PO-2022-1785</t>
        </is>
      </c>
      <c r="B1787" s="26" t="n">
        <v>44767</v>
      </c>
      <c r="C1787" s="12" t="inlineStr">
        <is>
          <t>VS20</t>
        </is>
      </c>
      <c r="D1787" s="12" t="inlineStr">
        <is>
          <t>MS Rods</t>
        </is>
      </c>
      <c r="E1787" s="12" t="inlineStr">
        <is>
          <t>N</t>
        </is>
      </c>
      <c r="F1787" s="12" t="n">
        <v>4.34</v>
      </c>
      <c r="G1787" s="17" t="n">
        <v>107949.41</v>
      </c>
      <c r="H1787" s="26" t="n">
        <v>44777</v>
      </c>
      <c r="I1787" s="26" t="n">
        <v>44780</v>
      </c>
      <c r="J1787" s="12" t="n">
        <v>4.32</v>
      </c>
      <c r="K1787" s="17" t="n">
        <v>468500.44</v>
      </c>
      <c r="L1787" s="12" t="n">
        <v>0</v>
      </c>
      <c r="M1787" s="12" t="n">
        <v>1</v>
      </c>
      <c r="N1787" s="27">
        <f>F1787-J1787</f>
        <v/>
      </c>
      <c r="O1787" s="16">
        <f>I1787-H1787</f>
        <v/>
      </c>
      <c r="P1787" s="14">
        <f>F1787*G1787</f>
        <v/>
      </c>
      <c r="Q1787" s="14">
        <f>J1787*G1787</f>
        <v/>
      </c>
      <c r="R1787" s="14">
        <f>K1787-Q1787</f>
        <v/>
      </c>
      <c r="S1787" s="3">
        <f>P1787*Assumptions!$B$3/100</f>
        <v/>
      </c>
      <c r="T1787" s="14">
        <f>R1787-S1787</f>
        <v/>
      </c>
      <c r="U1787" s="14">
        <f>L1787*G1787</f>
        <v/>
      </c>
    </row>
    <row r="1788">
      <c r="A1788" s="12" t="inlineStr">
        <is>
          <t>PO-2022-1786</t>
        </is>
      </c>
      <c r="B1788" s="26" t="n">
        <v>44968</v>
      </c>
      <c r="C1788" s="12" t="inlineStr">
        <is>
          <t>VS31</t>
        </is>
      </c>
      <c r="D1788" s="12" t="inlineStr">
        <is>
          <t>MS Sheets</t>
        </is>
      </c>
      <c r="E1788" s="12" t="inlineStr">
        <is>
          <t>N</t>
        </is>
      </c>
      <c r="F1788" s="12" t="n">
        <v>29.23</v>
      </c>
      <c r="G1788" s="17" t="n">
        <v>114555.92</v>
      </c>
      <c r="H1788" s="26" t="n">
        <v>44983</v>
      </c>
      <c r="I1788" s="26" t="n">
        <v>44985</v>
      </c>
      <c r="J1788" s="12" t="n">
        <v>28.98</v>
      </c>
      <c r="K1788" s="17" t="n">
        <v>3348469.54</v>
      </c>
      <c r="L1788" s="12" t="n">
        <v>0</v>
      </c>
      <c r="M1788" s="12" t="n">
        <v>13</v>
      </c>
      <c r="N1788" s="27">
        <f>F1788-J1788</f>
        <v/>
      </c>
      <c r="O1788" s="16">
        <f>I1788-H1788</f>
        <v/>
      </c>
      <c r="P1788" s="14">
        <f>F1788*G1788</f>
        <v/>
      </c>
      <c r="Q1788" s="14">
        <f>J1788*G1788</f>
        <v/>
      </c>
      <c r="R1788" s="14">
        <f>K1788-Q1788</f>
        <v/>
      </c>
      <c r="S1788" s="3">
        <f>P1788*Assumptions!$B$3/100</f>
        <v/>
      </c>
      <c r="T1788" s="14">
        <f>R1788-S1788</f>
        <v/>
      </c>
      <c r="U1788" s="14">
        <f>L1788*G1788</f>
        <v/>
      </c>
    </row>
    <row r="1789">
      <c r="A1789" s="12" t="inlineStr">
        <is>
          <t>PO-2022-1787</t>
        </is>
      </c>
      <c r="B1789" s="26" t="n">
        <v>45273</v>
      </c>
      <c r="C1789" s="12" t="inlineStr">
        <is>
          <t>VS17</t>
        </is>
      </c>
      <c r="D1789" s="12" t="inlineStr">
        <is>
          <t>Square/Rect Tubes</t>
        </is>
      </c>
      <c r="E1789" s="12" t="inlineStr">
        <is>
          <t>N</t>
        </is>
      </c>
      <c r="F1789" s="12" t="n">
        <v>35.19</v>
      </c>
      <c r="G1789" s="17" t="n">
        <v>89163.91</v>
      </c>
      <c r="H1789" s="26" t="n">
        <v>45285</v>
      </c>
      <c r="I1789" s="26" t="n">
        <v>45287</v>
      </c>
      <c r="J1789" s="12" t="n">
        <v>34.93</v>
      </c>
      <c r="K1789" s="17" t="n">
        <v>3137677.99</v>
      </c>
      <c r="L1789" s="12" t="n">
        <v>0</v>
      </c>
      <c r="M1789" s="12" t="n">
        <v>0</v>
      </c>
      <c r="N1789" s="27">
        <f>F1789-J1789</f>
        <v/>
      </c>
      <c r="O1789" s="16">
        <f>I1789-H1789</f>
        <v/>
      </c>
      <c r="P1789" s="14">
        <f>F1789*G1789</f>
        <v/>
      </c>
      <c r="Q1789" s="14">
        <f>J1789*G1789</f>
        <v/>
      </c>
      <c r="R1789" s="14">
        <f>K1789-Q1789</f>
        <v/>
      </c>
      <c r="S1789" s="3">
        <f>P1789*Assumptions!$B$3/100</f>
        <v/>
      </c>
      <c r="T1789" s="14">
        <f>R1789-S1789</f>
        <v/>
      </c>
      <c r="U1789" s="14">
        <f>L1789*G1789</f>
        <v/>
      </c>
    </row>
    <row r="1790">
      <c r="A1790" s="12" t="inlineStr">
        <is>
          <t>PO-2022-1788</t>
        </is>
      </c>
      <c r="B1790" s="26" t="n">
        <v>44909</v>
      </c>
      <c r="C1790" s="12" t="inlineStr">
        <is>
          <t>VS26</t>
        </is>
      </c>
      <c r="D1790" s="12" t="inlineStr">
        <is>
          <t>SS Pipes</t>
        </is>
      </c>
      <c r="E1790" s="12" t="inlineStr">
        <is>
          <t>N</t>
        </is>
      </c>
      <c r="F1790" s="12" t="n">
        <v>3.2</v>
      </c>
      <c r="G1790" s="17" t="n">
        <v>108902.34</v>
      </c>
      <c r="H1790" s="26" t="n">
        <v>44914</v>
      </c>
      <c r="I1790" s="26" t="n">
        <v>44916</v>
      </c>
      <c r="J1790" s="12" t="n">
        <v>3.18</v>
      </c>
      <c r="K1790" s="17" t="n">
        <v>348487.49</v>
      </c>
      <c r="L1790" s="12" t="n">
        <v>0</v>
      </c>
      <c r="M1790" s="12" t="n">
        <v>0</v>
      </c>
      <c r="N1790" s="27">
        <f>F1790-J1790</f>
        <v/>
      </c>
      <c r="O1790" s="16">
        <f>I1790-H1790</f>
        <v/>
      </c>
      <c r="P1790" s="14">
        <f>F1790*G1790</f>
        <v/>
      </c>
      <c r="Q1790" s="14">
        <f>J1790*G1790</f>
        <v/>
      </c>
      <c r="R1790" s="14">
        <f>K1790-Q1790</f>
        <v/>
      </c>
      <c r="S1790" s="3">
        <f>P1790*Assumptions!$B$3/100</f>
        <v/>
      </c>
      <c r="T1790" s="14">
        <f>R1790-S1790</f>
        <v/>
      </c>
      <c r="U1790" s="14">
        <f>L1790*G1790</f>
        <v/>
      </c>
    </row>
    <row r="1791">
      <c r="A1791" s="12" t="inlineStr">
        <is>
          <t>PO-2022-1789</t>
        </is>
      </c>
      <c r="B1791" s="26" t="n">
        <v>44671</v>
      </c>
      <c r="C1791" s="12" t="inlineStr">
        <is>
          <t>VS07</t>
        </is>
      </c>
      <c r="D1791" s="12" t="inlineStr">
        <is>
          <t>ERW Pipes</t>
        </is>
      </c>
      <c r="E1791" s="12" t="inlineStr">
        <is>
          <t>N</t>
        </is>
      </c>
      <c r="F1791" s="12" t="n">
        <v>25.47</v>
      </c>
      <c r="G1791" s="17" t="n">
        <v>95949.17</v>
      </c>
      <c r="H1791" s="26" t="n">
        <v>44679</v>
      </c>
      <c r="I1791" s="26" t="n">
        <v>44680</v>
      </c>
      <c r="J1791" s="12" t="n">
        <v>25.41</v>
      </c>
      <c r="K1791" s="17" t="n">
        <v>2443825.36</v>
      </c>
      <c r="L1791" s="12" t="n">
        <v>0</v>
      </c>
      <c r="M1791" s="12" t="n">
        <v>20</v>
      </c>
      <c r="N1791" s="27">
        <f>F1791-J1791</f>
        <v/>
      </c>
      <c r="O1791" s="16">
        <f>I1791-H1791</f>
        <v/>
      </c>
      <c r="P1791" s="14">
        <f>F1791*G1791</f>
        <v/>
      </c>
      <c r="Q1791" s="14">
        <f>J1791*G1791</f>
        <v/>
      </c>
      <c r="R1791" s="14">
        <f>K1791-Q1791</f>
        <v/>
      </c>
      <c r="S1791" s="3">
        <f>P1791*Assumptions!$B$3/100</f>
        <v/>
      </c>
      <c r="T1791" s="14">
        <f>R1791-S1791</f>
        <v/>
      </c>
      <c r="U1791" s="14">
        <f>L1791*G1791</f>
        <v/>
      </c>
    </row>
    <row r="1792">
      <c r="A1792" s="12" t="inlineStr">
        <is>
          <t>PO-2022-1790</t>
        </is>
      </c>
      <c r="B1792" s="26" t="n">
        <v>44671</v>
      </c>
      <c r="C1792" s="12" t="inlineStr">
        <is>
          <t>VS16</t>
        </is>
      </c>
      <c r="D1792" s="12" t="inlineStr">
        <is>
          <t>ERW Pipes</t>
        </is>
      </c>
      <c r="E1792" s="12" t="inlineStr">
        <is>
          <t>N</t>
        </is>
      </c>
      <c r="F1792" s="12" t="n">
        <v>45.09</v>
      </c>
      <c r="G1792" s="17" t="n">
        <v>58049.85</v>
      </c>
      <c r="H1792" s="26" t="n">
        <v>44680</v>
      </c>
      <c r="I1792" s="26" t="n">
        <v>44683</v>
      </c>
      <c r="J1792" s="12" t="n">
        <v>44.91</v>
      </c>
      <c r="K1792" s="17" t="n">
        <v>2617467.74</v>
      </c>
      <c r="L1792" s="12" t="n">
        <v>0</v>
      </c>
      <c r="M1792" s="12" t="n">
        <v>0</v>
      </c>
      <c r="N1792" s="27">
        <f>F1792-J1792</f>
        <v/>
      </c>
      <c r="O1792" s="16">
        <f>I1792-H1792</f>
        <v/>
      </c>
      <c r="P1792" s="14">
        <f>F1792*G1792</f>
        <v/>
      </c>
      <c r="Q1792" s="14">
        <f>J1792*G1792</f>
        <v/>
      </c>
      <c r="R1792" s="14">
        <f>K1792-Q1792</f>
        <v/>
      </c>
      <c r="S1792" s="3">
        <f>P1792*Assumptions!$B$3/100</f>
        <v/>
      </c>
      <c r="T1792" s="14">
        <f>R1792-S1792</f>
        <v/>
      </c>
      <c r="U1792" s="14">
        <f>L1792*G1792</f>
        <v/>
      </c>
    </row>
    <row r="1793">
      <c r="A1793" s="12" t="inlineStr">
        <is>
          <t>PO-2022-1791</t>
        </is>
      </c>
      <c r="B1793" s="26" t="n">
        <v>45057</v>
      </c>
      <c r="C1793" s="12" t="inlineStr">
        <is>
          <t>VS05</t>
        </is>
      </c>
      <c r="D1793" s="12" t="inlineStr">
        <is>
          <t>GI Pipes</t>
        </is>
      </c>
      <c r="E1793" s="12" t="inlineStr">
        <is>
          <t>N</t>
        </is>
      </c>
      <c r="F1793" s="12" t="n">
        <v>30.98</v>
      </c>
      <c r="G1793" s="17" t="n">
        <v>53585.53</v>
      </c>
      <c r="H1793" s="26" t="n">
        <v>45071</v>
      </c>
      <c r="I1793" s="26" t="n">
        <v>45074</v>
      </c>
      <c r="J1793" s="12" t="n">
        <v>30.74</v>
      </c>
      <c r="K1793" s="17" t="n">
        <v>1660079.72</v>
      </c>
      <c r="L1793" s="12" t="n">
        <v>0</v>
      </c>
      <c r="M1793" s="12" t="n">
        <v>0</v>
      </c>
      <c r="N1793" s="27">
        <f>F1793-J1793</f>
        <v/>
      </c>
      <c r="O1793" s="16">
        <f>I1793-H1793</f>
        <v/>
      </c>
      <c r="P1793" s="14">
        <f>F1793*G1793</f>
        <v/>
      </c>
      <c r="Q1793" s="14">
        <f>J1793*G1793</f>
        <v/>
      </c>
      <c r="R1793" s="14">
        <f>K1793-Q1793</f>
        <v/>
      </c>
      <c r="S1793" s="3">
        <f>P1793*Assumptions!$B$3/100</f>
        <v/>
      </c>
      <c r="T1793" s="14">
        <f>R1793-S1793</f>
        <v/>
      </c>
      <c r="U1793" s="14">
        <f>L1793*G1793</f>
        <v/>
      </c>
    </row>
    <row r="1794">
      <c r="A1794" s="12" t="inlineStr">
        <is>
          <t>PO-2022-1792</t>
        </is>
      </c>
      <c r="B1794" s="26" t="n">
        <v>44346</v>
      </c>
      <c r="C1794" s="12" t="inlineStr">
        <is>
          <t>VS29</t>
        </is>
      </c>
      <c r="D1794" s="12" t="inlineStr">
        <is>
          <t>Angles &amp; Channels</t>
        </is>
      </c>
      <c r="E1794" s="12" t="inlineStr">
        <is>
          <t>N</t>
        </is>
      </c>
      <c r="F1794" s="12" t="n">
        <v>30.72</v>
      </c>
      <c r="G1794" s="17" t="n">
        <v>108050.95</v>
      </c>
      <c r="H1794" s="26" t="n">
        <v>44351</v>
      </c>
      <c r="I1794" s="26" t="n">
        <v>44353</v>
      </c>
      <c r="J1794" s="12" t="n">
        <v>30.57</v>
      </c>
      <c r="K1794" s="17" t="n">
        <v>3319325.18</v>
      </c>
      <c r="L1794" s="12" t="n">
        <v>0</v>
      </c>
      <c r="M1794" s="12" t="n">
        <v>0</v>
      </c>
      <c r="N1794" s="27">
        <f>F1794-J1794</f>
        <v/>
      </c>
      <c r="O1794" s="16">
        <f>I1794-H1794</f>
        <v/>
      </c>
      <c r="P1794" s="14">
        <f>F1794*G1794</f>
        <v/>
      </c>
      <c r="Q1794" s="14">
        <f>J1794*G1794</f>
        <v/>
      </c>
      <c r="R1794" s="14">
        <f>K1794-Q1794</f>
        <v/>
      </c>
      <c r="S1794" s="3">
        <f>P1794*Assumptions!$B$3/100</f>
        <v/>
      </c>
      <c r="T1794" s="14">
        <f>R1794-S1794</f>
        <v/>
      </c>
      <c r="U1794" s="14">
        <f>L1794*G1794</f>
        <v/>
      </c>
    </row>
    <row r="1795">
      <c r="A1795" s="12" t="inlineStr">
        <is>
          <t>PO-2022-1793</t>
        </is>
      </c>
      <c r="B1795" s="26" t="n">
        <v>44854</v>
      </c>
      <c r="C1795" s="12" t="inlineStr">
        <is>
          <t>VS07</t>
        </is>
      </c>
      <c r="D1795" s="12" t="inlineStr">
        <is>
          <t>Fasteners &amp; Fittings</t>
        </is>
      </c>
      <c r="E1795" s="12" t="inlineStr">
        <is>
          <t>Y</t>
        </is>
      </c>
      <c r="F1795" s="12" t="n">
        <v>19.5</v>
      </c>
      <c r="G1795" s="17" t="n">
        <v>119165.31</v>
      </c>
      <c r="H1795" s="26" t="n">
        <v>44866</v>
      </c>
      <c r="I1795" s="26" t="n">
        <v>44869</v>
      </c>
      <c r="J1795" s="12" t="n">
        <v>19.39</v>
      </c>
      <c r="K1795" s="17" t="n">
        <v>2323723.54</v>
      </c>
      <c r="L1795" s="12" t="n">
        <v>0</v>
      </c>
      <c r="M1795" s="12" t="n">
        <v>10</v>
      </c>
      <c r="N1795" s="27">
        <f>F1795-J1795</f>
        <v/>
      </c>
      <c r="O1795" s="16">
        <f>I1795-H1795</f>
        <v/>
      </c>
      <c r="P1795" s="14">
        <f>F1795*G1795</f>
        <v/>
      </c>
      <c r="Q1795" s="14">
        <f>J1795*G1795</f>
        <v/>
      </c>
      <c r="R1795" s="14">
        <f>K1795-Q1795</f>
        <v/>
      </c>
      <c r="S1795" s="3">
        <f>P1795*Assumptions!$B$3/100</f>
        <v/>
      </c>
      <c r="T1795" s="14">
        <f>R1795-S1795</f>
        <v/>
      </c>
      <c r="U1795" s="14">
        <f>L1795*G1795</f>
        <v/>
      </c>
    </row>
    <row r="1796">
      <c r="A1796" s="12" t="inlineStr">
        <is>
          <t>PO-2022-1794</t>
        </is>
      </c>
      <c r="B1796" s="26" t="n">
        <v>44606</v>
      </c>
      <c r="C1796" s="12" t="inlineStr">
        <is>
          <t>VS13</t>
        </is>
      </c>
      <c r="D1796" s="12" t="inlineStr">
        <is>
          <t>CR Sheets</t>
        </is>
      </c>
      <c r="E1796" s="12" t="inlineStr">
        <is>
          <t>Y</t>
        </is>
      </c>
      <c r="F1796" s="12" t="n">
        <v>25.06</v>
      </c>
      <c r="G1796" s="17" t="n">
        <v>95913.67999999999</v>
      </c>
      <c r="H1796" s="26" t="n">
        <v>44612</v>
      </c>
      <c r="I1796" s="26" t="n">
        <v>44614</v>
      </c>
      <c r="J1796" s="12" t="n">
        <v>24.96</v>
      </c>
      <c r="K1796" s="17" t="n">
        <v>2403596.82</v>
      </c>
      <c r="L1796" s="12" t="n">
        <v>0</v>
      </c>
      <c r="M1796" s="12" t="n">
        <v>0</v>
      </c>
      <c r="N1796" s="27">
        <f>F1796-J1796</f>
        <v/>
      </c>
      <c r="O1796" s="16">
        <f>I1796-H1796</f>
        <v/>
      </c>
      <c r="P1796" s="14">
        <f>F1796*G1796</f>
        <v/>
      </c>
      <c r="Q1796" s="14">
        <f>J1796*G1796</f>
        <v/>
      </c>
      <c r="R1796" s="14">
        <f>K1796-Q1796</f>
        <v/>
      </c>
      <c r="S1796" s="3">
        <f>P1796*Assumptions!$B$3/100</f>
        <v/>
      </c>
      <c r="T1796" s="14">
        <f>R1796-S1796</f>
        <v/>
      </c>
      <c r="U1796" s="14">
        <f>L1796*G1796</f>
        <v/>
      </c>
    </row>
    <row r="1797">
      <c r="A1797" s="12" t="inlineStr">
        <is>
          <t>PO-2022-1795</t>
        </is>
      </c>
      <c r="B1797" s="26" t="n">
        <v>44609</v>
      </c>
      <c r="C1797" s="12" t="inlineStr">
        <is>
          <t>VS11</t>
        </is>
      </c>
      <c r="D1797" s="12" t="inlineStr">
        <is>
          <t>GI Wire</t>
        </is>
      </c>
      <c r="E1797" s="12" t="inlineStr">
        <is>
          <t>N</t>
        </is>
      </c>
      <c r="F1797" s="12" t="n">
        <v>40.88</v>
      </c>
      <c r="G1797" s="17" t="n">
        <v>105650.42</v>
      </c>
      <c r="H1797" s="26" t="n">
        <v>44615</v>
      </c>
      <c r="I1797" s="26" t="n">
        <v>44617</v>
      </c>
      <c r="J1797" s="12" t="n">
        <v>40.63</v>
      </c>
      <c r="K1797" s="17" t="n">
        <v>4318989.17</v>
      </c>
      <c r="L1797" s="12" t="n">
        <v>0</v>
      </c>
      <c r="M1797" s="12" t="n">
        <v>0</v>
      </c>
      <c r="N1797" s="27">
        <f>F1797-J1797</f>
        <v/>
      </c>
      <c r="O1797" s="16">
        <f>I1797-H1797</f>
        <v/>
      </c>
      <c r="P1797" s="14">
        <f>F1797*G1797</f>
        <v/>
      </c>
      <c r="Q1797" s="14">
        <f>J1797*G1797</f>
        <v/>
      </c>
      <c r="R1797" s="14">
        <f>K1797-Q1797</f>
        <v/>
      </c>
      <c r="S1797" s="3">
        <f>P1797*Assumptions!$B$3/100</f>
        <v/>
      </c>
      <c r="T1797" s="14">
        <f>R1797-S1797</f>
        <v/>
      </c>
      <c r="U1797" s="14">
        <f>L1797*G1797</f>
        <v/>
      </c>
    </row>
    <row r="1798">
      <c r="A1798" s="12" t="inlineStr">
        <is>
          <t>PO-2022-1796</t>
        </is>
      </c>
      <c r="B1798" s="26" t="n">
        <v>44373</v>
      </c>
      <c r="C1798" s="12" t="inlineStr">
        <is>
          <t>VS02</t>
        </is>
      </c>
      <c r="D1798" s="12" t="inlineStr">
        <is>
          <t>ERW Pipes</t>
        </is>
      </c>
      <c r="E1798" s="12" t="inlineStr">
        <is>
          <t>N</t>
        </is>
      </c>
      <c r="F1798" s="12" t="n">
        <v>10.97</v>
      </c>
      <c r="G1798" s="17" t="n">
        <v>105750.66</v>
      </c>
      <c r="H1798" s="26" t="n">
        <v>44376</v>
      </c>
      <c r="I1798" s="26" t="n">
        <v>44376</v>
      </c>
      <c r="J1798" s="12" t="n">
        <v>10.89</v>
      </c>
      <c r="K1798" s="17" t="n">
        <v>1160084.74</v>
      </c>
      <c r="L1798" s="12" t="n">
        <v>0</v>
      </c>
      <c r="M1798" s="12" t="n">
        <v>8</v>
      </c>
      <c r="N1798" s="27">
        <f>F1798-J1798</f>
        <v/>
      </c>
      <c r="O1798" s="16">
        <f>I1798-H1798</f>
        <v/>
      </c>
      <c r="P1798" s="14">
        <f>F1798*G1798</f>
        <v/>
      </c>
      <c r="Q1798" s="14">
        <f>J1798*G1798</f>
        <v/>
      </c>
      <c r="R1798" s="14">
        <f>K1798-Q1798</f>
        <v/>
      </c>
      <c r="S1798" s="3">
        <f>P1798*Assumptions!$B$3/100</f>
        <v/>
      </c>
      <c r="T1798" s="14">
        <f>R1798-S1798</f>
        <v/>
      </c>
      <c r="U1798" s="14">
        <f>L1798*G1798</f>
        <v/>
      </c>
    </row>
    <row r="1799">
      <c r="A1799" s="12" t="inlineStr">
        <is>
          <t>PO-2022-1797</t>
        </is>
      </c>
      <c r="B1799" s="26" t="n">
        <v>44933</v>
      </c>
      <c r="C1799" s="12" t="inlineStr">
        <is>
          <t>VS27</t>
        </is>
      </c>
      <c r="D1799" s="12" t="inlineStr">
        <is>
          <t>Spring Steel</t>
        </is>
      </c>
      <c r="E1799" s="12" t="inlineStr">
        <is>
          <t>N</t>
        </is>
      </c>
      <c r="F1799" s="12" t="n">
        <v>43.36</v>
      </c>
      <c r="G1799" s="17" t="n">
        <v>70553.35000000001</v>
      </c>
      <c r="H1799" s="26" t="n">
        <v>44946</v>
      </c>
      <c r="I1799" s="26" t="n">
        <v>44949</v>
      </c>
      <c r="J1799" s="12" t="n">
        <v>43.28</v>
      </c>
      <c r="K1799" s="17" t="n">
        <v>3059193.26</v>
      </c>
      <c r="L1799" s="12" t="n">
        <v>0</v>
      </c>
      <c r="M1799" s="12" t="n">
        <v>0</v>
      </c>
      <c r="N1799" s="27">
        <f>F1799-J1799</f>
        <v/>
      </c>
      <c r="O1799" s="16">
        <f>I1799-H1799</f>
        <v/>
      </c>
      <c r="P1799" s="14">
        <f>F1799*G1799</f>
        <v/>
      </c>
      <c r="Q1799" s="14">
        <f>J1799*G1799</f>
        <v/>
      </c>
      <c r="R1799" s="14">
        <f>K1799-Q1799</f>
        <v/>
      </c>
      <c r="S1799" s="3">
        <f>P1799*Assumptions!$B$3/100</f>
        <v/>
      </c>
      <c r="T1799" s="14">
        <f>R1799-S1799</f>
        <v/>
      </c>
      <c r="U1799" s="14">
        <f>L1799*G1799</f>
        <v/>
      </c>
    </row>
    <row r="1800">
      <c r="A1800" s="12" t="inlineStr">
        <is>
          <t>PO-2022-1798</t>
        </is>
      </c>
      <c r="B1800" s="26" t="n">
        <v>45278</v>
      </c>
      <c r="C1800" s="12" t="inlineStr">
        <is>
          <t>VS32</t>
        </is>
      </c>
      <c r="D1800" s="12" t="inlineStr">
        <is>
          <t>GI Sheets</t>
        </is>
      </c>
      <c r="E1800" s="12" t="inlineStr">
        <is>
          <t>N</t>
        </is>
      </c>
      <c r="F1800" s="12" t="n">
        <v>41.79</v>
      </c>
      <c r="G1800" s="17" t="n">
        <v>87777.75999999999</v>
      </c>
      <c r="H1800" s="26" t="n">
        <v>45288</v>
      </c>
      <c r="I1800" s="26" t="n">
        <v>45290</v>
      </c>
      <c r="J1800" s="12" t="n">
        <v>41.48</v>
      </c>
      <c r="K1800" s="17" t="n">
        <v>3668232.59</v>
      </c>
      <c r="L1800" s="12" t="n">
        <v>0</v>
      </c>
      <c r="M1800" s="12" t="n">
        <v>0</v>
      </c>
      <c r="N1800" s="27">
        <f>F1800-J1800</f>
        <v/>
      </c>
      <c r="O1800" s="16">
        <f>I1800-H1800</f>
        <v/>
      </c>
      <c r="P1800" s="14">
        <f>F1800*G1800</f>
        <v/>
      </c>
      <c r="Q1800" s="14">
        <f>J1800*G1800</f>
        <v/>
      </c>
      <c r="R1800" s="14">
        <f>K1800-Q1800</f>
        <v/>
      </c>
      <c r="S1800" s="3">
        <f>P1800*Assumptions!$B$3/100</f>
        <v/>
      </c>
      <c r="T1800" s="14">
        <f>R1800-S1800</f>
        <v/>
      </c>
      <c r="U1800" s="14">
        <f>L1800*G1800</f>
        <v/>
      </c>
    </row>
    <row r="1801">
      <c r="A1801" s="12" t="inlineStr">
        <is>
          <t>PO-2022-1799</t>
        </is>
      </c>
      <c r="B1801" s="26" t="n">
        <v>45222</v>
      </c>
      <c r="C1801" s="12" t="inlineStr">
        <is>
          <t>VS23</t>
        </is>
      </c>
      <c r="D1801" s="12" t="inlineStr">
        <is>
          <t>Angles &amp; Channels</t>
        </is>
      </c>
      <c r="E1801" s="12" t="inlineStr">
        <is>
          <t>N</t>
        </is>
      </c>
      <c r="F1801" s="12" t="n">
        <v>31.31</v>
      </c>
      <c r="G1801" s="17" t="n">
        <v>86902.3</v>
      </c>
      <c r="H1801" s="26" t="n">
        <v>45227</v>
      </c>
      <c r="I1801" s="26" t="n">
        <v>45229</v>
      </c>
      <c r="J1801" s="12" t="n">
        <v>31.25</v>
      </c>
      <c r="K1801" s="17" t="n">
        <v>2720911.01</v>
      </c>
      <c r="L1801" s="12" t="n">
        <v>0</v>
      </c>
      <c r="M1801" s="12" t="n">
        <v>0</v>
      </c>
      <c r="N1801" s="27">
        <f>F1801-J1801</f>
        <v/>
      </c>
      <c r="O1801" s="16">
        <f>I1801-H1801</f>
        <v/>
      </c>
      <c r="P1801" s="14">
        <f>F1801*G1801</f>
        <v/>
      </c>
      <c r="Q1801" s="14">
        <f>J1801*G1801</f>
        <v/>
      </c>
      <c r="R1801" s="14">
        <f>K1801-Q1801</f>
        <v/>
      </c>
      <c r="S1801" s="3">
        <f>P1801*Assumptions!$B$3/100</f>
        <v/>
      </c>
      <c r="T1801" s="14">
        <f>R1801-S1801</f>
        <v/>
      </c>
      <c r="U1801" s="14">
        <f>L1801*G1801</f>
        <v/>
      </c>
    </row>
    <row r="1802">
      <c r="A1802" s="12" t="inlineStr">
        <is>
          <t>PO-2022-1800</t>
        </is>
      </c>
      <c r="B1802" s="26" t="n">
        <v>44334</v>
      </c>
      <c r="C1802" s="12" t="inlineStr">
        <is>
          <t>VS29</t>
        </is>
      </c>
      <c r="D1802" s="12" t="inlineStr">
        <is>
          <t>GI Wire</t>
        </is>
      </c>
      <c r="E1802" s="12" t="inlineStr">
        <is>
          <t>N</t>
        </is>
      </c>
      <c r="F1802" s="12" t="n">
        <v>31.65</v>
      </c>
      <c r="G1802" s="17" t="n">
        <v>110548.27</v>
      </c>
      <c r="H1802" s="26" t="n">
        <v>44346</v>
      </c>
      <c r="I1802" s="26" t="n">
        <v>44348</v>
      </c>
      <c r="J1802" s="12" t="n">
        <v>31.54</v>
      </c>
      <c r="K1802" s="17" t="n">
        <v>3498852.75</v>
      </c>
      <c r="L1802" s="12" t="n">
        <v>0</v>
      </c>
      <c r="M1802" s="12" t="n">
        <v>21</v>
      </c>
      <c r="N1802" s="27">
        <f>F1802-J1802</f>
        <v/>
      </c>
      <c r="O1802" s="16">
        <f>I1802-H1802</f>
        <v/>
      </c>
      <c r="P1802" s="14">
        <f>F1802*G1802</f>
        <v/>
      </c>
      <c r="Q1802" s="14">
        <f>J1802*G1802</f>
        <v/>
      </c>
      <c r="R1802" s="14">
        <f>K1802-Q1802</f>
        <v/>
      </c>
      <c r="S1802" s="3">
        <f>P1802*Assumptions!$B$3/100</f>
        <v/>
      </c>
      <c r="T1802" s="14">
        <f>R1802-S1802</f>
        <v/>
      </c>
      <c r="U1802" s="14">
        <f>L1802*G1802</f>
        <v/>
      </c>
    </row>
    <row r="1803">
      <c r="A1803" s="12" t="inlineStr">
        <is>
          <t>PO-2022-1801</t>
        </is>
      </c>
      <c r="B1803" s="26" t="n">
        <v>44357</v>
      </c>
      <c r="C1803" s="12" t="inlineStr">
        <is>
          <t>VS09</t>
        </is>
      </c>
      <c r="D1803" s="12" t="inlineStr">
        <is>
          <t>Hex Bars</t>
        </is>
      </c>
      <c r="E1803" s="12" t="inlineStr">
        <is>
          <t>N</t>
        </is>
      </c>
      <c r="F1803" s="12" t="n">
        <v>15.61</v>
      </c>
      <c r="G1803" s="17" t="n">
        <v>53844.56</v>
      </c>
      <c r="H1803" s="26" t="n">
        <v>44363</v>
      </c>
      <c r="I1803" s="26" t="n">
        <v>44365</v>
      </c>
      <c r="J1803" s="12" t="n">
        <v>15.46</v>
      </c>
      <c r="K1803" s="17" t="n">
        <v>840513.58</v>
      </c>
      <c r="L1803" s="12" t="n">
        <v>0</v>
      </c>
      <c r="M1803" s="12" t="n">
        <v>0</v>
      </c>
      <c r="N1803" s="27">
        <f>F1803-J1803</f>
        <v/>
      </c>
      <c r="O1803" s="16">
        <f>I1803-H1803</f>
        <v/>
      </c>
      <c r="P1803" s="14">
        <f>F1803*G1803</f>
        <v/>
      </c>
      <c r="Q1803" s="14">
        <f>J1803*G1803</f>
        <v/>
      </c>
      <c r="R1803" s="14">
        <f>K1803-Q1803</f>
        <v/>
      </c>
      <c r="S1803" s="3">
        <f>P1803*Assumptions!$B$3/100</f>
        <v/>
      </c>
      <c r="T1803" s="14">
        <f>R1803-S1803</f>
        <v/>
      </c>
      <c r="U1803" s="14">
        <f>L1803*G1803</f>
        <v/>
      </c>
    </row>
    <row r="1804">
      <c r="A1804" s="12" t="inlineStr">
        <is>
          <t>PO-2022-1802</t>
        </is>
      </c>
      <c r="B1804" s="26" t="n">
        <v>44302</v>
      </c>
      <c r="C1804" s="12" t="inlineStr">
        <is>
          <t>VS22</t>
        </is>
      </c>
      <c r="D1804" s="12" t="inlineStr">
        <is>
          <t>MS Pipes</t>
        </is>
      </c>
      <c r="E1804" s="12" t="inlineStr">
        <is>
          <t>Y</t>
        </is>
      </c>
      <c r="F1804" s="12" t="n">
        <v>11.98</v>
      </c>
      <c r="G1804" s="17" t="n">
        <v>115546.31</v>
      </c>
      <c r="H1804" s="26" t="n">
        <v>44309</v>
      </c>
      <c r="I1804" s="26" t="n">
        <v>44312</v>
      </c>
      <c r="J1804" s="12" t="n">
        <v>11.96</v>
      </c>
      <c r="K1804" s="17" t="n">
        <v>1384244.79</v>
      </c>
      <c r="L1804" s="12" t="n">
        <v>0</v>
      </c>
      <c r="M1804" s="12" t="n">
        <v>10</v>
      </c>
      <c r="N1804" s="27">
        <f>F1804-J1804</f>
        <v/>
      </c>
      <c r="O1804" s="16">
        <f>I1804-H1804</f>
        <v/>
      </c>
      <c r="P1804" s="14">
        <f>F1804*G1804</f>
        <v/>
      </c>
      <c r="Q1804" s="14">
        <f>J1804*G1804</f>
        <v/>
      </c>
      <c r="R1804" s="14">
        <f>K1804-Q1804</f>
        <v/>
      </c>
      <c r="S1804" s="3">
        <f>P1804*Assumptions!$B$3/100</f>
        <v/>
      </c>
      <c r="T1804" s="14">
        <f>R1804-S1804</f>
        <v/>
      </c>
      <c r="U1804" s="14">
        <f>L1804*G1804</f>
        <v/>
      </c>
    </row>
    <row r="1805">
      <c r="A1805" s="12" t="inlineStr">
        <is>
          <t>PO-2022-1803</t>
        </is>
      </c>
      <c r="B1805" s="26" t="n">
        <v>44996</v>
      </c>
      <c r="C1805" s="12" t="inlineStr">
        <is>
          <t>VS23</t>
        </is>
      </c>
      <c r="D1805" s="12" t="inlineStr">
        <is>
          <t>SS Pipes</t>
        </is>
      </c>
      <c r="E1805" s="12" t="inlineStr">
        <is>
          <t>N</t>
        </is>
      </c>
      <c r="F1805" s="12" t="n">
        <v>43.75</v>
      </c>
      <c r="G1805" s="17" t="n">
        <v>56839.73</v>
      </c>
      <c r="H1805" s="26" t="n">
        <v>45003</v>
      </c>
      <c r="I1805" s="26" t="n">
        <v>45003</v>
      </c>
      <c r="J1805" s="12" t="n">
        <v>43.68</v>
      </c>
      <c r="K1805" s="17" t="n">
        <v>2486738.19</v>
      </c>
      <c r="L1805" s="12" t="n">
        <v>0</v>
      </c>
      <c r="M1805" s="12" t="n">
        <v>0</v>
      </c>
      <c r="N1805" s="27">
        <f>F1805-J1805</f>
        <v/>
      </c>
      <c r="O1805" s="16">
        <f>I1805-H1805</f>
        <v/>
      </c>
      <c r="P1805" s="14">
        <f>F1805*G1805</f>
        <v/>
      </c>
      <c r="Q1805" s="14">
        <f>J1805*G1805</f>
        <v/>
      </c>
      <c r="R1805" s="14">
        <f>K1805-Q1805</f>
        <v/>
      </c>
      <c r="S1805" s="3">
        <f>P1805*Assumptions!$B$3/100</f>
        <v/>
      </c>
      <c r="T1805" s="14">
        <f>R1805-S1805</f>
        <v/>
      </c>
      <c r="U1805" s="14">
        <f>L1805*G1805</f>
        <v/>
      </c>
    </row>
    <row r="1806">
      <c r="A1806" s="12" t="inlineStr">
        <is>
          <t>PO-2022-1804</t>
        </is>
      </c>
      <c r="B1806" s="26" t="n">
        <v>44350</v>
      </c>
      <c r="C1806" s="12" t="inlineStr">
        <is>
          <t>VS16</t>
        </is>
      </c>
      <c r="D1806" s="12" t="inlineStr">
        <is>
          <t>Hex Bars</t>
        </is>
      </c>
      <c r="E1806" s="12" t="inlineStr">
        <is>
          <t>N</t>
        </is>
      </c>
      <c r="F1806" s="12" t="n">
        <v>46.66</v>
      </c>
      <c r="G1806" s="17" t="n">
        <v>82503.53</v>
      </c>
      <c r="H1806" s="26" t="n">
        <v>44359</v>
      </c>
      <c r="I1806" s="26" t="n">
        <v>44362</v>
      </c>
      <c r="J1806" s="12" t="n">
        <v>46.32</v>
      </c>
      <c r="K1806" s="17" t="n">
        <v>3849614.71</v>
      </c>
      <c r="L1806" s="12" t="n">
        <v>0</v>
      </c>
      <c r="M1806" s="12" t="n">
        <v>8</v>
      </c>
      <c r="N1806" s="27">
        <f>F1806-J1806</f>
        <v/>
      </c>
      <c r="O1806" s="16">
        <f>I1806-H1806</f>
        <v/>
      </c>
      <c r="P1806" s="14">
        <f>F1806*G1806</f>
        <v/>
      </c>
      <c r="Q1806" s="14">
        <f>J1806*G1806</f>
        <v/>
      </c>
      <c r="R1806" s="14">
        <f>K1806-Q1806</f>
        <v/>
      </c>
      <c r="S1806" s="3">
        <f>P1806*Assumptions!$B$3/100</f>
        <v/>
      </c>
      <c r="T1806" s="14">
        <f>R1806-S1806</f>
        <v/>
      </c>
      <c r="U1806" s="14">
        <f>L1806*G1806</f>
        <v/>
      </c>
    </row>
    <row r="1807">
      <c r="A1807" s="12" t="inlineStr">
        <is>
          <t>PO-2022-1805</t>
        </is>
      </c>
      <c r="B1807" s="26" t="n">
        <v>44313</v>
      </c>
      <c r="C1807" s="12" t="inlineStr">
        <is>
          <t>VS08</t>
        </is>
      </c>
      <c r="D1807" s="12" t="inlineStr">
        <is>
          <t>Structural Steel</t>
        </is>
      </c>
      <c r="E1807" s="12" t="inlineStr">
        <is>
          <t>N</t>
        </is>
      </c>
      <c r="F1807" s="12" t="n">
        <v>46.91</v>
      </c>
      <c r="G1807" s="17" t="n">
        <v>118870.04</v>
      </c>
      <c r="H1807" s="26" t="n">
        <v>44326</v>
      </c>
      <c r="I1807" s="26" t="n">
        <v>44329</v>
      </c>
      <c r="J1807" s="12" t="n">
        <v>46.62</v>
      </c>
      <c r="K1807" s="17" t="n">
        <v>5576193.58</v>
      </c>
      <c r="L1807" s="12" t="n">
        <v>0</v>
      </c>
      <c r="M1807" s="12" t="n">
        <v>0</v>
      </c>
      <c r="N1807" s="27">
        <f>F1807-J1807</f>
        <v/>
      </c>
      <c r="O1807" s="16">
        <f>I1807-H1807</f>
        <v/>
      </c>
      <c r="P1807" s="14">
        <f>F1807*G1807</f>
        <v/>
      </c>
      <c r="Q1807" s="14">
        <f>J1807*G1807</f>
        <v/>
      </c>
      <c r="R1807" s="14">
        <f>K1807-Q1807</f>
        <v/>
      </c>
      <c r="S1807" s="3">
        <f>P1807*Assumptions!$B$3/100</f>
        <v/>
      </c>
      <c r="T1807" s="14">
        <f>R1807-S1807</f>
        <v/>
      </c>
      <c r="U1807" s="14">
        <f>L1807*G1807</f>
        <v/>
      </c>
    </row>
    <row r="1808">
      <c r="A1808" s="12" t="inlineStr">
        <is>
          <t>PO-2022-1806</t>
        </is>
      </c>
      <c r="B1808" s="26" t="n">
        <v>44258</v>
      </c>
      <c r="C1808" s="12" t="inlineStr">
        <is>
          <t>VS03</t>
        </is>
      </c>
      <c r="D1808" s="12" t="inlineStr">
        <is>
          <t>MS Flats</t>
        </is>
      </c>
      <c r="E1808" s="12" t="inlineStr">
        <is>
          <t>N</t>
        </is>
      </c>
      <c r="F1808" s="12" t="n">
        <v>21.65</v>
      </c>
      <c r="G1808" s="17" t="n">
        <v>62439.88</v>
      </c>
      <c r="H1808" s="26" t="n">
        <v>44273</v>
      </c>
      <c r="I1808" s="26" t="n">
        <v>44275</v>
      </c>
      <c r="J1808" s="12" t="n">
        <v>21</v>
      </c>
      <c r="K1808" s="17" t="n">
        <v>1351823.4</v>
      </c>
      <c r="L1808" s="12" t="n">
        <v>0.5600000000000001</v>
      </c>
      <c r="M1808" s="12" t="n">
        <v>6</v>
      </c>
      <c r="N1808" s="27">
        <f>F1808-J1808</f>
        <v/>
      </c>
      <c r="O1808" s="16">
        <f>I1808-H1808</f>
        <v/>
      </c>
      <c r="P1808" s="14">
        <f>F1808*G1808</f>
        <v/>
      </c>
      <c r="Q1808" s="14">
        <f>J1808*G1808</f>
        <v/>
      </c>
      <c r="R1808" s="14">
        <f>K1808-Q1808</f>
        <v/>
      </c>
      <c r="S1808" s="3">
        <f>P1808*Assumptions!$B$3/100</f>
        <v/>
      </c>
      <c r="T1808" s="14">
        <f>R1808-S1808</f>
        <v/>
      </c>
      <c r="U1808" s="14">
        <f>L1808*G1808</f>
        <v/>
      </c>
    </row>
    <row r="1809">
      <c r="A1809" s="12" t="inlineStr">
        <is>
          <t>PO-2022-1807</t>
        </is>
      </c>
      <c r="B1809" s="26" t="n">
        <v>44318</v>
      </c>
      <c r="C1809" s="12" t="inlineStr">
        <is>
          <t>VS09</t>
        </is>
      </c>
      <c r="D1809" s="12" t="inlineStr">
        <is>
          <t>GI Sheets</t>
        </is>
      </c>
      <c r="E1809" s="12" t="inlineStr">
        <is>
          <t>N</t>
        </is>
      </c>
      <c r="F1809" s="12" t="n">
        <v>27.81</v>
      </c>
      <c r="G1809" s="17" t="n">
        <v>100040.45</v>
      </c>
      <c r="H1809" s="26" t="n">
        <v>44333</v>
      </c>
      <c r="I1809" s="26" t="n">
        <v>44334</v>
      </c>
      <c r="J1809" s="12" t="n">
        <v>27.6</v>
      </c>
      <c r="K1809" s="17" t="n">
        <v>2782124.91</v>
      </c>
      <c r="L1809" s="12" t="n">
        <v>0</v>
      </c>
      <c r="M1809" s="12" t="n">
        <v>0</v>
      </c>
      <c r="N1809" s="27">
        <f>F1809-J1809</f>
        <v/>
      </c>
      <c r="O1809" s="16">
        <f>I1809-H1809</f>
        <v/>
      </c>
      <c r="P1809" s="14">
        <f>F1809*G1809</f>
        <v/>
      </c>
      <c r="Q1809" s="14">
        <f>J1809*G1809</f>
        <v/>
      </c>
      <c r="R1809" s="14">
        <f>K1809-Q1809</f>
        <v/>
      </c>
      <c r="S1809" s="3">
        <f>P1809*Assumptions!$B$3/100</f>
        <v/>
      </c>
      <c r="T1809" s="14">
        <f>R1809-S1809</f>
        <v/>
      </c>
      <c r="U1809" s="14">
        <f>L1809*G1809</f>
        <v/>
      </c>
    </row>
    <row r="1810">
      <c r="A1810" s="12" t="inlineStr">
        <is>
          <t>PO-2022-1808</t>
        </is>
      </c>
      <c r="B1810" s="26" t="n">
        <v>44324</v>
      </c>
      <c r="C1810" s="12" t="inlineStr">
        <is>
          <t>VS16</t>
        </is>
      </c>
      <c r="D1810" s="12" t="inlineStr">
        <is>
          <t>Structural Steel</t>
        </is>
      </c>
      <c r="E1810" s="12" t="inlineStr">
        <is>
          <t>N</t>
        </is>
      </c>
      <c r="F1810" s="12" t="n">
        <v>4.57</v>
      </c>
      <c r="G1810" s="17" t="n">
        <v>116099.82</v>
      </c>
      <c r="H1810" s="26" t="n">
        <v>44336</v>
      </c>
      <c r="I1810" s="26" t="n">
        <v>44337</v>
      </c>
      <c r="J1810" s="12" t="n">
        <v>4.54</v>
      </c>
      <c r="K1810" s="17" t="n">
        <v>530576.1800000001</v>
      </c>
      <c r="L1810" s="12" t="n">
        <v>0</v>
      </c>
      <c r="M1810" s="12" t="n">
        <v>16</v>
      </c>
      <c r="N1810" s="27">
        <f>F1810-J1810</f>
        <v/>
      </c>
      <c r="O1810" s="16">
        <f>I1810-H1810</f>
        <v/>
      </c>
      <c r="P1810" s="14">
        <f>F1810*G1810</f>
        <v/>
      </c>
      <c r="Q1810" s="14">
        <f>J1810*G1810</f>
        <v/>
      </c>
      <c r="R1810" s="14">
        <f>K1810-Q1810</f>
        <v/>
      </c>
      <c r="S1810" s="3">
        <f>P1810*Assumptions!$B$3/100</f>
        <v/>
      </c>
      <c r="T1810" s="14">
        <f>R1810-S1810</f>
        <v/>
      </c>
      <c r="U1810" s="14">
        <f>L1810*G1810</f>
        <v/>
      </c>
    </row>
    <row r="1811">
      <c r="A1811" s="12" t="inlineStr">
        <is>
          <t>PO-2022-1809</t>
        </is>
      </c>
      <c r="B1811" s="26" t="n">
        <v>44269</v>
      </c>
      <c r="C1811" s="12" t="inlineStr">
        <is>
          <t>VS23</t>
        </is>
      </c>
      <c r="D1811" s="12" t="inlineStr">
        <is>
          <t>SS Pipes</t>
        </is>
      </c>
      <c r="E1811" s="12" t="inlineStr">
        <is>
          <t>N</t>
        </is>
      </c>
      <c r="F1811" s="12" t="n">
        <v>47.55</v>
      </c>
      <c r="G1811" s="17" t="n">
        <v>89861.07000000001</v>
      </c>
      <c r="H1811" s="26" t="n">
        <v>44281</v>
      </c>
      <c r="I1811" s="26" t="n">
        <v>44284</v>
      </c>
      <c r="J1811" s="12" t="n">
        <v>47.14</v>
      </c>
      <c r="K1811" s="17" t="n">
        <v>4272893.88</v>
      </c>
      <c r="L1811" s="12" t="n">
        <v>0</v>
      </c>
      <c r="M1811" s="12" t="n">
        <v>3</v>
      </c>
      <c r="N1811" s="27">
        <f>F1811-J1811</f>
        <v/>
      </c>
      <c r="O1811" s="16">
        <f>I1811-H1811</f>
        <v/>
      </c>
      <c r="P1811" s="14">
        <f>F1811*G1811</f>
        <v/>
      </c>
      <c r="Q1811" s="14">
        <f>J1811*G1811</f>
        <v/>
      </c>
      <c r="R1811" s="14">
        <f>K1811-Q1811</f>
        <v/>
      </c>
      <c r="S1811" s="3">
        <f>P1811*Assumptions!$B$3/100</f>
        <v/>
      </c>
      <c r="T1811" s="14">
        <f>R1811-S1811</f>
        <v/>
      </c>
      <c r="U1811" s="14">
        <f>L1811*G1811</f>
        <v/>
      </c>
    </row>
    <row r="1812">
      <c r="A1812" s="12" t="inlineStr">
        <is>
          <t>PO-2022-1810</t>
        </is>
      </c>
      <c r="B1812" s="26" t="n">
        <v>44362</v>
      </c>
      <c r="C1812" s="12" t="inlineStr">
        <is>
          <t>VS31</t>
        </is>
      </c>
      <c r="D1812" s="12" t="inlineStr">
        <is>
          <t>Square/Rect Tubes</t>
        </is>
      </c>
      <c r="E1812" s="12" t="inlineStr">
        <is>
          <t>N</t>
        </is>
      </c>
      <c r="F1812" s="12" t="n">
        <v>14.25</v>
      </c>
      <c r="G1812" s="17" t="n">
        <v>48130.57</v>
      </c>
      <c r="H1812" s="26" t="n">
        <v>44365</v>
      </c>
      <c r="I1812" s="26" t="n">
        <v>44366</v>
      </c>
      <c r="J1812" s="12" t="n">
        <v>14.17</v>
      </c>
      <c r="K1812" s="17" t="n">
        <v>685860.62</v>
      </c>
      <c r="L1812" s="12" t="n">
        <v>0</v>
      </c>
      <c r="M1812" s="12" t="n">
        <v>0</v>
      </c>
      <c r="N1812" s="27">
        <f>F1812-J1812</f>
        <v/>
      </c>
      <c r="O1812" s="16">
        <f>I1812-H1812</f>
        <v/>
      </c>
      <c r="P1812" s="14">
        <f>F1812*G1812</f>
        <v/>
      </c>
      <c r="Q1812" s="14">
        <f>J1812*G1812</f>
        <v/>
      </c>
      <c r="R1812" s="14">
        <f>K1812-Q1812</f>
        <v/>
      </c>
      <c r="S1812" s="3">
        <f>P1812*Assumptions!$B$3/100</f>
        <v/>
      </c>
      <c r="T1812" s="14">
        <f>R1812-S1812</f>
        <v/>
      </c>
      <c r="U1812" s="14">
        <f>L1812*G1812</f>
        <v/>
      </c>
    </row>
    <row r="1813">
      <c r="A1813" s="12" t="inlineStr">
        <is>
          <t>PO-2022-1811</t>
        </is>
      </c>
      <c r="B1813" s="26" t="n">
        <v>45214</v>
      </c>
      <c r="C1813" s="12" t="inlineStr">
        <is>
          <t>VS33</t>
        </is>
      </c>
      <c r="D1813" s="12" t="inlineStr">
        <is>
          <t>HR Coils</t>
        </is>
      </c>
      <c r="E1813" s="12" t="inlineStr">
        <is>
          <t>Y</t>
        </is>
      </c>
      <c r="F1813" s="12" t="n">
        <v>32.87</v>
      </c>
      <c r="G1813" s="17" t="n">
        <v>77363.67</v>
      </c>
      <c r="H1813" s="26" t="n">
        <v>45221</v>
      </c>
      <c r="I1813" s="26" t="n">
        <v>45224</v>
      </c>
      <c r="J1813" s="12" t="n">
        <v>32.77</v>
      </c>
      <c r="K1813" s="17" t="n">
        <v>2542943.83</v>
      </c>
      <c r="L1813" s="12" t="n">
        <v>0</v>
      </c>
      <c r="M1813" s="12" t="n">
        <v>0</v>
      </c>
      <c r="N1813" s="27">
        <f>F1813-J1813</f>
        <v/>
      </c>
      <c r="O1813" s="16">
        <f>I1813-H1813</f>
        <v/>
      </c>
      <c r="P1813" s="14">
        <f>F1813*G1813</f>
        <v/>
      </c>
      <c r="Q1813" s="14">
        <f>J1813*G1813</f>
        <v/>
      </c>
      <c r="R1813" s="14">
        <f>K1813-Q1813</f>
        <v/>
      </c>
      <c r="S1813" s="3">
        <f>P1813*Assumptions!$B$3/100</f>
        <v/>
      </c>
      <c r="T1813" s="14">
        <f>R1813-S1813</f>
        <v/>
      </c>
      <c r="U1813" s="14">
        <f>L1813*G1813</f>
        <v/>
      </c>
    </row>
    <row r="1814">
      <c r="A1814" s="12" t="inlineStr">
        <is>
          <t>PO-2022-1812</t>
        </is>
      </c>
      <c r="B1814" s="26" t="n">
        <v>44663</v>
      </c>
      <c r="C1814" s="12" t="inlineStr">
        <is>
          <t>VS02</t>
        </is>
      </c>
      <c r="D1814" s="12" t="inlineStr">
        <is>
          <t>GI Pipes</t>
        </is>
      </c>
      <c r="E1814" s="12" t="inlineStr">
        <is>
          <t>N</t>
        </is>
      </c>
      <c r="F1814" s="12" t="n">
        <v>2.29</v>
      </c>
      <c r="G1814" s="17" t="n">
        <v>103636.69</v>
      </c>
      <c r="H1814" s="26" t="n">
        <v>44669</v>
      </c>
      <c r="I1814" s="26" t="n">
        <v>44669</v>
      </c>
      <c r="J1814" s="12" t="n">
        <v>2.29</v>
      </c>
      <c r="K1814" s="17" t="n">
        <v>237328.02</v>
      </c>
      <c r="L1814" s="12" t="n">
        <v>0</v>
      </c>
      <c r="M1814" s="12" t="n">
        <v>23</v>
      </c>
      <c r="N1814" s="27">
        <f>F1814-J1814</f>
        <v/>
      </c>
      <c r="O1814" s="16">
        <f>I1814-H1814</f>
        <v/>
      </c>
      <c r="P1814" s="14">
        <f>F1814*G1814</f>
        <v/>
      </c>
      <c r="Q1814" s="14">
        <f>J1814*G1814</f>
        <v/>
      </c>
      <c r="R1814" s="14">
        <f>K1814-Q1814</f>
        <v/>
      </c>
      <c r="S1814" s="3">
        <f>P1814*Assumptions!$B$3/100</f>
        <v/>
      </c>
      <c r="T1814" s="14">
        <f>R1814-S1814</f>
        <v/>
      </c>
      <c r="U1814" s="14">
        <f>L1814*G1814</f>
        <v/>
      </c>
    </row>
    <row r="1815">
      <c r="A1815" s="12" t="inlineStr">
        <is>
          <t>PO-2022-1813</t>
        </is>
      </c>
      <c r="B1815" s="26" t="n">
        <v>45291</v>
      </c>
      <c r="C1815" s="12" t="inlineStr">
        <is>
          <t>VS25</t>
        </is>
      </c>
      <c r="D1815" s="12" t="inlineStr">
        <is>
          <t>MS Pipes</t>
        </is>
      </c>
      <c r="E1815" s="12" t="inlineStr">
        <is>
          <t>N</t>
        </is>
      </c>
      <c r="F1815" s="12" t="n">
        <v>28.07</v>
      </c>
      <c r="G1815" s="17" t="n">
        <v>48910.53</v>
      </c>
      <c r="H1815" s="26" t="n">
        <v>45306</v>
      </c>
      <c r="I1815" s="26" t="n">
        <v>45306</v>
      </c>
      <c r="J1815" s="12" t="n">
        <v>27.85</v>
      </c>
      <c r="K1815" s="17" t="n">
        <v>1372918.58</v>
      </c>
      <c r="L1815" s="12" t="n">
        <v>0</v>
      </c>
      <c r="M1815" s="12" t="n">
        <v>0</v>
      </c>
      <c r="N1815" s="27">
        <f>F1815-J1815</f>
        <v/>
      </c>
      <c r="O1815" s="16">
        <f>I1815-H1815</f>
        <v/>
      </c>
      <c r="P1815" s="14">
        <f>F1815*G1815</f>
        <v/>
      </c>
      <c r="Q1815" s="14">
        <f>J1815*G1815</f>
        <v/>
      </c>
      <c r="R1815" s="14">
        <f>K1815-Q1815</f>
        <v/>
      </c>
      <c r="S1815" s="3">
        <f>P1815*Assumptions!$B$3/100</f>
        <v/>
      </c>
      <c r="T1815" s="14">
        <f>R1815-S1815</f>
        <v/>
      </c>
      <c r="U1815" s="14">
        <f>L1815*G1815</f>
        <v/>
      </c>
    </row>
    <row r="1816">
      <c r="A1816" s="12" t="inlineStr">
        <is>
          <t>PO-2022-1814</t>
        </is>
      </c>
      <c r="B1816" s="26" t="n">
        <v>44969</v>
      </c>
      <c r="C1816" s="12" t="inlineStr">
        <is>
          <t>VS09</t>
        </is>
      </c>
      <c r="D1816" s="12" t="inlineStr">
        <is>
          <t>GI Wire</t>
        </is>
      </c>
      <c r="E1816" s="12" t="inlineStr">
        <is>
          <t>N</t>
        </is>
      </c>
      <c r="F1816" s="12" t="n">
        <v>35.37</v>
      </c>
      <c r="G1816" s="17" t="n">
        <v>86215.87</v>
      </c>
      <c r="H1816" s="26" t="n">
        <v>44973</v>
      </c>
      <c r="I1816" s="26" t="n">
        <v>44976</v>
      </c>
      <c r="J1816" s="12" t="n">
        <v>35.34</v>
      </c>
      <c r="K1816" s="17" t="n">
        <v>3049455.32</v>
      </c>
      <c r="L1816" s="12" t="n">
        <v>0</v>
      </c>
      <c r="M1816" s="12" t="n">
        <v>0</v>
      </c>
      <c r="N1816" s="27">
        <f>F1816-J1816</f>
        <v/>
      </c>
      <c r="O1816" s="16">
        <f>I1816-H1816</f>
        <v/>
      </c>
      <c r="P1816" s="14">
        <f>F1816*G1816</f>
        <v/>
      </c>
      <c r="Q1816" s="14">
        <f>J1816*G1816</f>
        <v/>
      </c>
      <c r="R1816" s="14">
        <f>K1816-Q1816</f>
        <v/>
      </c>
      <c r="S1816" s="3">
        <f>P1816*Assumptions!$B$3/100</f>
        <v/>
      </c>
      <c r="T1816" s="14">
        <f>R1816-S1816</f>
        <v/>
      </c>
      <c r="U1816" s="14">
        <f>L1816*G1816</f>
        <v/>
      </c>
    </row>
    <row r="1817">
      <c r="A1817" s="12" t="inlineStr">
        <is>
          <t>PO-2022-1815</t>
        </is>
      </c>
      <c r="B1817" s="26" t="n">
        <v>45093</v>
      </c>
      <c r="C1817" s="12" t="inlineStr">
        <is>
          <t>VS08</t>
        </is>
      </c>
      <c r="D1817" s="12" t="inlineStr">
        <is>
          <t>Angles &amp; Channels</t>
        </is>
      </c>
      <c r="E1817" s="12" t="inlineStr">
        <is>
          <t>Y</t>
        </is>
      </c>
      <c r="F1817" s="12" t="n">
        <v>18.24</v>
      </c>
      <c r="G1817" s="17" t="n">
        <v>70734.42</v>
      </c>
      <c r="H1817" s="26" t="n">
        <v>45096</v>
      </c>
      <c r="I1817" s="26" t="n">
        <v>45098</v>
      </c>
      <c r="J1817" s="12" t="n">
        <v>18.15</v>
      </c>
      <c r="K1817" s="17" t="n">
        <v>1290195.82</v>
      </c>
      <c r="L1817" s="12" t="n">
        <v>0</v>
      </c>
      <c r="M1817" s="12" t="n">
        <v>24</v>
      </c>
      <c r="N1817" s="27">
        <f>F1817-J1817</f>
        <v/>
      </c>
      <c r="O1817" s="16">
        <f>I1817-H1817</f>
        <v/>
      </c>
      <c r="P1817" s="14">
        <f>F1817*G1817</f>
        <v/>
      </c>
      <c r="Q1817" s="14">
        <f>J1817*G1817</f>
        <v/>
      </c>
      <c r="R1817" s="14">
        <f>K1817-Q1817</f>
        <v/>
      </c>
      <c r="S1817" s="3">
        <f>P1817*Assumptions!$B$3/100</f>
        <v/>
      </c>
      <c r="T1817" s="14">
        <f>R1817-S1817</f>
        <v/>
      </c>
      <c r="U1817" s="14">
        <f>L1817*G1817</f>
        <v/>
      </c>
    </row>
    <row r="1818">
      <c r="A1818" s="12" t="inlineStr">
        <is>
          <t>PO-2022-1816</t>
        </is>
      </c>
      <c r="B1818" s="26" t="n">
        <v>44684</v>
      </c>
      <c r="C1818" s="12" t="inlineStr">
        <is>
          <t>VS15</t>
        </is>
      </c>
      <c r="D1818" s="12" t="inlineStr">
        <is>
          <t>SS Pipes</t>
        </is>
      </c>
      <c r="E1818" s="12" t="inlineStr">
        <is>
          <t>N</t>
        </is>
      </c>
      <c r="F1818" s="12" t="n">
        <v>29.84</v>
      </c>
      <c r="G1818" s="17" t="n">
        <v>62034.44</v>
      </c>
      <c r="H1818" s="26" t="n">
        <v>44698</v>
      </c>
      <c r="I1818" s="26" t="n">
        <v>44698</v>
      </c>
      <c r="J1818" s="12" t="n">
        <v>29.82</v>
      </c>
      <c r="K1818" s="17" t="n">
        <v>1851107.69</v>
      </c>
      <c r="L1818" s="12" t="n">
        <v>0</v>
      </c>
      <c r="M1818" s="12" t="n">
        <v>0</v>
      </c>
      <c r="N1818" s="27">
        <f>F1818-J1818</f>
        <v/>
      </c>
      <c r="O1818" s="16">
        <f>I1818-H1818</f>
        <v/>
      </c>
      <c r="P1818" s="14">
        <f>F1818*G1818</f>
        <v/>
      </c>
      <c r="Q1818" s="14">
        <f>J1818*G1818</f>
        <v/>
      </c>
      <c r="R1818" s="14">
        <f>K1818-Q1818</f>
        <v/>
      </c>
      <c r="S1818" s="3">
        <f>P1818*Assumptions!$B$3/100</f>
        <v/>
      </c>
      <c r="T1818" s="14">
        <f>R1818-S1818</f>
        <v/>
      </c>
      <c r="U1818" s="14">
        <f>L1818*G1818</f>
        <v/>
      </c>
    </row>
    <row r="1819">
      <c r="A1819" s="12" t="inlineStr">
        <is>
          <t>PO-2022-1817</t>
        </is>
      </c>
      <c r="B1819" s="26" t="n">
        <v>44290</v>
      </c>
      <c r="C1819" s="12" t="inlineStr">
        <is>
          <t>VS01</t>
        </is>
      </c>
      <c r="D1819" s="12" t="inlineStr">
        <is>
          <t>HR Coils</t>
        </is>
      </c>
      <c r="E1819" s="12" t="inlineStr">
        <is>
          <t>N</t>
        </is>
      </c>
      <c r="F1819" s="12" t="n">
        <v>40.82</v>
      </c>
      <c r="G1819" s="17" t="n">
        <v>50745.88</v>
      </c>
      <c r="H1819" s="26" t="n">
        <v>44295</v>
      </c>
      <c r="I1819" s="26" t="n">
        <v>44297</v>
      </c>
      <c r="J1819" s="12" t="n">
        <v>40.65</v>
      </c>
      <c r="K1819" s="17" t="n">
        <v>2071446.82</v>
      </c>
      <c r="L1819" s="12" t="n">
        <v>0</v>
      </c>
      <c r="M1819" s="12" t="n">
        <v>0</v>
      </c>
      <c r="N1819" s="27">
        <f>F1819-J1819</f>
        <v/>
      </c>
      <c r="O1819" s="16">
        <f>I1819-H1819</f>
        <v/>
      </c>
      <c r="P1819" s="14">
        <f>F1819*G1819</f>
        <v/>
      </c>
      <c r="Q1819" s="14">
        <f>J1819*G1819</f>
        <v/>
      </c>
      <c r="R1819" s="14">
        <f>K1819-Q1819</f>
        <v/>
      </c>
      <c r="S1819" s="3">
        <f>P1819*Assumptions!$B$3/100</f>
        <v/>
      </c>
      <c r="T1819" s="14">
        <f>R1819-S1819</f>
        <v/>
      </c>
      <c r="U1819" s="14">
        <f>L1819*G1819</f>
        <v/>
      </c>
    </row>
    <row r="1820">
      <c r="A1820" s="12" t="inlineStr">
        <is>
          <t>PO-2022-1818</t>
        </is>
      </c>
      <c r="B1820" s="26" t="n">
        <v>45095</v>
      </c>
      <c r="C1820" s="12" t="inlineStr">
        <is>
          <t>VS12</t>
        </is>
      </c>
      <c r="D1820" s="12" t="inlineStr">
        <is>
          <t>SS Sheets</t>
        </is>
      </c>
      <c r="E1820" s="12" t="inlineStr">
        <is>
          <t>N</t>
        </is>
      </c>
      <c r="F1820" s="12" t="n">
        <v>3.14</v>
      </c>
      <c r="G1820" s="17" t="n">
        <v>74074.06</v>
      </c>
      <c r="H1820" s="26" t="n">
        <v>45108</v>
      </c>
      <c r="I1820" s="26" t="n">
        <v>45115</v>
      </c>
      <c r="J1820" s="12" t="n">
        <v>3.06</v>
      </c>
      <c r="K1820" s="17" t="n">
        <v>232592.55</v>
      </c>
      <c r="L1820" s="12" t="n">
        <v>0.1</v>
      </c>
      <c r="M1820" s="12" t="n">
        <v>3</v>
      </c>
      <c r="N1820" s="27">
        <f>F1820-J1820</f>
        <v/>
      </c>
      <c r="O1820" s="16">
        <f>I1820-H1820</f>
        <v/>
      </c>
      <c r="P1820" s="14">
        <f>F1820*G1820</f>
        <v/>
      </c>
      <c r="Q1820" s="14">
        <f>J1820*G1820</f>
        <v/>
      </c>
      <c r="R1820" s="14">
        <f>K1820-Q1820</f>
        <v/>
      </c>
      <c r="S1820" s="3">
        <f>P1820*Assumptions!$B$3/100</f>
        <v/>
      </c>
      <c r="T1820" s="14">
        <f>R1820-S1820</f>
        <v/>
      </c>
      <c r="U1820" s="14">
        <f>L1820*G1820</f>
        <v/>
      </c>
    </row>
    <row r="1821">
      <c r="A1821" s="12" t="inlineStr">
        <is>
          <t>PO-2022-1819</t>
        </is>
      </c>
      <c r="B1821" s="26" t="n">
        <v>44697</v>
      </c>
      <c r="C1821" s="12" t="inlineStr">
        <is>
          <t>VS19</t>
        </is>
      </c>
      <c r="D1821" s="12" t="inlineStr">
        <is>
          <t>Square/Rect Tubes</t>
        </is>
      </c>
      <c r="E1821" s="12" t="inlineStr">
        <is>
          <t>N</t>
        </is>
      </c>
      <c r="F1821" s="12" t="n">
        <v>30.7</v>
      </c>
      <c r="G1821" s="17" t="n">
        <v>84138.71000000001</v>
      </c>
      <c r="H1821" s="26" t="n">
        <v>44701</v>
      </c>
      <c r="I1821" s="26" t="n">
        <v>44709</v>
      </c>
      <c r="J1821" s="12" t="n">
        <v>29.9</v>
      </c>
      <c r="K1821" s="17" t="n">
        <v>2583058.4</v>
      </c>
      <c r="L1821" s="12" t="n">
        <v>0.75</v>
      </c>
      <c r="M1821" s="12" t="n">
        <v>25</v>
      </c>
      <c r="N1821" s="27">
        <f>F1821-J1821</f>
        <v/>
      </c>
      <c r="O1821" s="16">
        <f>I1821-H1821</f>
        <v/>
      </c>
      <c r="P1821" s="14">
        <f>F1821*G1821</f>
        <v/>
      </c>
      <c r="Q1821" s="14">
        <f>J1821*G1821</f>
        <v/>
      </c>
      <c r="R1821" s="14">
        <f>K1821-Q1821</f>
        <v/>
      </c>
      <c r="S1821" s="3">
        <f>P1821*Assumptions!$B$3/100</f>
        <v/>
      </c>
      <c r="T1821" s="14">
        <f>R1821-S1821</f>
        <v/>
      </c>
      <c r="U1821" s="14">
        <f>L1821*G1821</f>
        <v/>
      </c>
    </row>
    <row r="1822">
      <c r="A1822" s="12" t="inlineStr">
        <is>
          <t>PO-2022-1820</t>
        </is>
      </c>
      <c r="B1822" s="26" t="n">
        <v>44354</v>
      </c>
      <c r="C1822" s="12" t="inlineStr">
        <is>
          <t>VS05</t>
        </is>
      </c>
      <c r="D1822" s="12" t="inlineStr">
        <is>
          <t>CR Sheets</t>
        </is>
      </c>
      <c r="E1822" s="12" t="inlineStr">
        <is>
          <t>Y</t>
        </is>
      </c>
      <c r="F1822" s="12" t="n">
        <v>46.98</v>
      </c>
      <c r="G1822" s="17" t="n">
        <v>60439.57</v>
      </c>
      <c r="H1822" s="26" t="n">
        <v>44368</v>
      </c>
      <c r="I1822" s="26" t="n">
        <v>44368</v>
      </c>
      <c r="J1822" s="12" t="n">
        <v>46.54</v>
      </c>
      <c r="K1822" s="17" t="n">
        <v>2839451</v>
      </c>
      <c r="L1822" s="12" t="n">
        <v>0</v>
      </c>
      <c r="M1822" s="12" t="n">
        <v>5</v>
      </c>
      <c r="N1822" s="27">
        <f>F1822-J1822</f>
        <v/>
      </c>
      <c r="O1822" s="16">
        <f>I1822-H1822</f>
        <v/>
      </c>
      <c r="P1822" s="14">
        <f>F1822*G1822</f>
        <v/>
      </c>
      <c r="Q1822" s="14">
        <f>J1822*G1822</f>
        <v/>
      </c>
      <c r="R1822" s="14">
        <f>K1822-Q1822</f>
        <v/>
      </c>
      <c r="S1822" s="3">
        <f>P1822*Assumptions!$B$3/100</f>
        <v/>
      </c>
      <c r="T1822" s="14">
        <f>R1822-S1822</f>
        <v/>
      </c>
      <c r="U1822" s="14">
        <f>L1822*G1822</f>
        <v/>
      </c>
    </row>
    <row r="1823">
      <c r="A1823" s="12" t="inlineStr">
        <is>
          <t>PO-2022-1821</t>
        </is>
      </c>
      <c r="B1823" s="26" t="n">
        <v>44928</v>
      </c>
      <c r="C1823" s="12" t="inlineStr">
        <is>
          <t>VS15</t>
        </is>
      </c>
      <c r="D1823" s="12" t="inlineStr">
        <is>
          <t>Fasteners &amp; Fittings</t>
        </is>
      </c>
      <c r="E1823" s="12" t="inlineStr">
        <is>
          <t>N</t>
        </is>
      </c>
      <c r="F1823" s="12" t="n">
        <v>35.94</v>
      </c>
      <c r="G1823" s="17" t="n">
        <v>115607.02</v>
      </c>
      <c r="H1823" s="26" t="n">
        <v>44943</v>
      </c>
      <c r="I1823" s="26" t="n">
        <v>44945</v>
      </c>
      <c r="J1823" s="12" t="n">
        <v>35.6</v>
      </c>
      <c r="K1823" s="17" t="n">
        <v>4154916.3</v>
      </c>
      <c r="L1823" s="12" t="n">
        <v>0</v>
      </c>
      <c r="M1823" s="12" t="n">
        <v>13</v>
      </c>
      <c r="N1823" s="27">
        <f>F1823-J1823</f>
        <v/>
      </c>
      <c r="O1823" s="16">
        <f>I1823-H1823</f>
        <v/>
      </c>
      <c r="P1823" s="14">
        <f>F1823*G1823</f>
        <v/>
      </c>
      <c r="Q1823" s="14">
        <f>J1823*G1823</f>
        <v/>
      </c>
      <c r="R1823" s="14">
        <f>K1823-Q1823</f>
        <v/>
      </c>
      <c r="S1823" s="3">
        <f>P1823*Assumptions!$B$3/100</f>
        <v/>
      </c>
      <c r="T1823" s="14">
        <f>R1823-S1823</f>
        <v/>
      </c>
      <c r="U1823" s="14">
        <f>L1823*G1823</f>
        <v/>
      </c>
    </row>
    <row r="1824">
      <c r="A1824" s="12" t="inlineStr">
        <is>
          <t>PO-2022-1822</t>
        </is>
      </c>
      <c r="B1824" s="26" t="n">
        <v>44796</v>
      </c>
      <c r="C1824" s="12" t="inlineStr">
        <is>
          <t>VS16</t>
        </is>
      </c>
      <c r="D1824" s="12" t="inlineStr">
        <is>
          <t>Hex Bars</t>
        </is>
      </c>
      <c r="E1824" s="12" t="inlineStr">
        <is>
          <t>N</t>
        </is>
      </c>
      <c r="F1824" s="12" t="n">
        <v>44.76</v>
      </c>
      <c r="G1824" s="17" t="n">
        <v>68914.42</v>
      </c>
      <c r="H1824" s="26" t="n">
        <v>44807</v>
      </c>
      <c r="I1824" s="26" t="n">
        <v>44808</v>
      </c>
      <c r="J1824" s="12" t="n">
        <v>44.72</v>
      </c>
      <c r="K1824" s="17" t="n">
        <v>3084609.44</v>
      </c>
      <c r="L1824" s="12" t="n">
        <v>0</v>
      </c>
      <c r="M1824" s="12" t="n">
        <v>0</v>
      </c>
      <c r="N1824" s="27">
        <f>F1824-J1824</f>
        <v/>
      </c>
      <c r="O1824" s="16">
        <f>I1824-H1824</f>
        <v/>
      </c>
      <c r="P1824" s="14">
        <f>F1824*G1824</f>
        <v/>
      </c>
      <c r="Q1824" s="14">
        <f>J1824*G1824</f>
        <v/>
      </c>
      <c r="R1824" s="14">
        <f>K1824-Q1824</f>
        <v/>
      </c>
      <c r="S1824" s="3">
        <f>P1824*Assumptions!$B$3/100</f>
        <v/>
      </c>
      <c r="T1824" s="14">
        <f>R1824-S1824</f>
        <v/>
      </c>
      <c r="U1824" s="14">
        <f>L1824*G1824</f>
        <v/>
      </c>
    </row>
    <row r="1825">
      <c r="A1825" s="12" t="inlineStr">
        <is>
          <t>PO-2022-1823</t>
        </is>
      </c>
      <c r="B1825" s="26" t="n">
        <v>45228</v>
      </c>
      <c r="C1825" s="12" t="inlineStr">
        <is>
          <t>VS07</t>
        </is>
      </c>
      <c r="D1825" s="12" t="inlineStr">
        <is>
          <t>GI Pipes</t>
        </is>
      </c>
      <c r="E1825" s="12" t="inlineStr">
        <is>
          <t>N</t>
        </is>
      </c>
      <c r="F1825" s="12" t="n">
        <v>17.99</v>
      </c>
      <c r="G1825" s="17" t="n">
        <v>75812.53999999999</v>
      </c>
      <c r="H1825" s="26" t="n">
        <v>45240</v>
      </c>
      <c r="I1825" s="26" t="n">
        <v>45243</v>
      </c>
      <c r="J1825" s="12" t="n">
        <v>17.93</v>
      </c>
      <c r="K1825" s="17" t="n">
        <v>1363867.59</v>
      </c>
      <c r="L1825" s="12" t="n">
        <v>0</v>
      </c>
      <c r="M1825" s="12" t="n">
        <v>24</v>
      </c>
      <c r="N1825" s="27">
        <f>F1825-J1825</f>
        <v/>
      </c>
      <c r="O1825" s="16">
        <f>I1825-H1825</f>
        <v/>
      </c>
      <c r="P1825" s="14">
        <f>F1825*G1825</f>
        <v/>
      </c>
      <c r="Q1825" s="14">
        <f>J1825*G1825</f>
        <v/>
      </c>
      <c r="R1825" s="14">
        <f>K1825-Q1825</f>
        <v/>
      </c>
      <c r="S1825" s="3">
        <f>P1825*Assumptions!$B$3/100</f>
        <v/>
      </c>
      <c r="T1825" s="14">
        <f>R1825-S1825</f>
        <v/>
      </c>
      <c r="U1825" s="14">
        <f>L1825*G1825</f>
        <v/>
      </c>
    </row>
    <row r="1826">
      <c r="A1826" s="12" t="inlineStr">
        <is>
          <t>PO-2022-1824</t>
        </is>
      </c>
      <c r="B1826" s="26" t="n">
        <v>45192</v>
      </c>
      <c r="C1826" s="12" t="inlineStr">
        <is>
          <t>VS18</t>
        </is>
      </c>
      <c r="D1826" s="12" t="inlineStr">
        <is>
          <t>SS Pipes</t>
        </is>
      </c>
      <c r="E1826" s="12" t="inlineStr">
        <is>
          <t>Y</t>
        </is>
      </c>
      <c r="F1826" s="12" t="n">
        <v>10.97</v>
      </c>
      <c r="G1826" s="17" t="n">
        <v>55284.86</v>
      </c>
      <c r="H1826" s="26" t="n">
        <v>45203</v>
      </c>
      <c r="I1826" s="26" t="n">
        <v>45205</v>
      </c>
      <c r="J1826" s="12" t="n">
        <v>10.96</v>
      </c>
      <c r="K1826" s="17" t="n">
        <v>606474.91</v>
      </c>
      <c r="L1826" s="12" t="n">
        <v>0</v>
      </c>
      <c r="M1826" s="12" t="n">
        <v>0</v>
      </c>
      <c r="N1826" s="27">
        <f>F1826-J1826</f>
        <v/>
      </c>
      <c r="O1826" s="16">
        <f>I1826-H1826</f>
        <v/>
      </c>
      <c r="P1826" s="14">
        <f>F1826*G1826</f>
        <v/>
      </c>
      <c r="Q1826" s="14">
        <f>J1826*G1826</f>
        <v/>
      </c>
      <c r="R1826" s="14">
        <f>K1826-Q1826</f>
        <v/>
      </c>
      <c r="S1826" s="3">
        <f>P1826*Assumptions!$B$3/100</f>
        <v/>
      </c>
      <c r="T1826" s="14">
        <f>R1826-S1826</f>
        <v/>
      </c>
      <c r="U1826" s="14">
        <f>L1826*G1826</f>
        <v/>
      </c>
    </row>
    <row r="1827">
      <c r="A1827" s="12" t="inlineStr">
        <is>
          <t>PO-2022-1825</t>
        </is>
      </c>
      <c r="B1827" s="26" t="n">
        <v>44669</v>
      </c>
      <c r="C1827" s="12" t="inlineStr">
        <is>
          <t>VS20</t>
        </is>
      </c>
      <c r="D1827" s="12" t="inlineStr">
        <is>
          <t>Spring Steel</t>
        </is>
      </c>
      <c r="E1827" s="12" t="inlineStr">
        <is>
          <t>N</t>
        </is>
      </c>
      <c r="F1827" s="12" t="n">
        <v>11.33</v>
      </c>
      <c r="G1827" s="17" t="n">
        <v>72929.25</v>
      </c>
      <c r="H1827" s="26" t="n">
        <v>44684</v>
      </c>
      <c r="I1827" s="26" t="n">
        <v>44685</v>
      </c>
      <c r="J1827" s="12" t="n">
        <v>11.33</v>
      </c>
      <c r="K1827" s="17" t="n">
        <v>826288.4</v>
      </c>
      <c r="L1827" s="12" t="n">
        <v>0</v>
      </c>
      <c r="M1827" s="12" t="n">
        <v>7</v>
      </c>
      <c r="N1827" s="27">
        <f>F1827-J1827</f>
        <v/>
      </c>
      <c r="O1827" s="16">
        <f>I1827-H1827</f>
        <v/>
      </c>
      <c r="P1827" s="14">
        <f>F1827*G1827</f>
        <v/>
      </c>
      <c r="Q1827" s="14">
        <f>J1827*G1827</f>
        <v/>
      </c>
      <c r="R1827" s="14">
        <f>K1827-Q1827</f>
        <v/>
      </c>
      <c r="S1827" s="3">
        <f>P1827*Assumptions!$B$3/100</f>
        <v/>
      </c>
      <c r="T1827" s="14">
        <f>R1827-S1827</f>
        <v/>
      </c>
      <c r="U1827" s="14">
        <f>L1827*G1827</f>
        <v/>
      </c>
    </row>
    <row r="1828">
      <c r="A1828" s="12" t="inlineStr">
        <is>
          <t>PO-2022-1826</t>
        </is>
      </c>
      <c r="B1828" s="26" t="n">
        <v>44487</v>
      </c>
      <c r="C1828" s="12" t="inlineStr">
        <is>
          <t>VS03</t>
        </is>
      </c>
      <c r="D1828" s="12" t="inlineStr">
        <is>
          <t>HR Coils</t>
        </is>
      </c>
      <c r="E1828" s="12" t="inlineStr">
        <is>
          <t>N</t>
        </is>
      </c>
      <c r="F1828" s="12" t="n">
        <v>35.22</v>
      </c>
      <c r="G1828" s="17" t="n">
        <v>97492.83</v>
      </c>
      <c r="H1828" s="26" t="n">
        <v>44497</v>
      </c>
      <c r="I1828" s="26" t="n">
        <v>44502</v>
      </c>
      <c r="J1828" s="12" t="n">
        <v>33.5</v>
      </c>
      <c r="K1828" s="17" t="n">
        <v>3433697.47</v>
      </c>
      <c r="L1828" s="12" t="n">
        <v>0.6899999999999999</v>
      </c>
      <c r="M1828" s="12" t="n">
        <v>0</v>
      </c>
      <c r="N1828" s="27">
        <f>F1828-J1828</f>
        <v/>
      </c>
      <c r="O1828" s="16">
        <f>I1828-H1828</f>
        <v/>
      </c>
      <c r="P1828" s="14">
        <f>F1828*G1828</f>
        <v/>
      </c>
      <c r="Q1828" s="14">
        <f>J1828*G1828</f>
        <v/>
      </c>
      <c r="R1828" s="14">
        <f>K1828-Q1828</f>
        <v/>
      </c>
      <c r="S1828" s="3">
        <f>P1828*Assumptions!$B$3/100</f>
        <v/>
      </c>
      <c r="T1828" s="14">
        <f>R1828-S1828</f>
        <v/>
      </c>
      <c r="U1828" s="14">
        <f>L1828*G1828</f>
        <v/>
      </c>
    </row>
    <row r="1829">
      <c r="A1829" s="12" t="inlineStr">
        <is>
          <t>PO-2022-1827</t>
        </is>
      </c>
      <c r="B1829" s="26" t="n">
        <v>44430</v>
      </c>
      <c r="C1829" s="12" t="inlineStr">
        <is>
          <t>VS02</t>
        </is>
      </c>
      <c r="D1829" s="12" t="inlineStr">
        <is>
          <t>Structural Steel</t>
        </is>
      </c>
      <c r="E1829" s="12" t="inlineStr">
        <is>
          <t>N</t>
        </is>
      </c>
      <c r="F1829" s="12" t="n">
        <v>41.98</v>
      </c>
      <c r="G1829" s="17" t="n">
        <v>65272.39</v>
      </c>
      <c r="H1829" s="26" t="n">
        <v>44442</v>
      </c>
      <c r="I1829" s="26" t="n">
        <v>44445</v>
      </c>
      <c r="J1829" s="12" t="n">
        <v>41.71</v>
      </c>
      <c r="K1829" s="17" t="n">
        <v>2740134.93</v>
      </c>
      <c r="L1829" s="12" t="n">
        <v>0</v>
      </c>
      <c r="M1829" s="12" t="n">
        <v>7</v>
      </c>
      <c r="N1829" s="27">
        <f>F1829-J1829</f>
        <v/>
      </c>
      <c r="O1829" s="16">
        <f>I1829-H1829</f>
        <v/>
      </c>
      <c r="P1829" s="14">
        <f>F1829*G1829</f>
        <v/>
      </c>
      <c r="Q1829" s="14">
        <f>J1829*G1829</f>
        <v/>
      </c>
      <c r="R1829" s="14">
        <f>K1829-Q1829</f>
        <v/>
      </c>
      <c r="S1829" s="3">
        <f>P1829*Assumptions!$B$3/100</f>
        <v/>
      </c>
      <c r="T1829" s="14">
        <f>R1829-S1829</f>
        <v/>
      </c>
      <c r="U1829" s="14">
        <f>L1829*G1829</f>
        <v/>
      </c>
    </row>
    <row r="1830">
      <c r="A1830" s="12" t="inlineStr">
        <is>
          <t>PO-2022-1828</t>
        </is>
      </c>
      <c r="B1830" s="26" t="n">
        <v>44983</v>
      </c>
      <c r="C1830" s="12" t="inlineStr">
        <is>
          <t>VS20</t>
        </is>
      </c>
      <c r="D1830" s="12" t="inlineStr">
        <is>
          <t>SS Pipes</t>
        </is>
      </c>
      <c r="E1830" s="12" t="inlineStr">
        <is>
          <t>N</t>
        </is>
      </c>
      <c r="F1830" s="12" t="n">
        <v>3.93</v>
      </c>
      <c r="G1830" s="17" t="n">
        <v>109093.07</v>
      </c>
      <c r="H1830" s="26" t="n">
        <v>44992</v>
      </c>
      <c r="I1830" s="26" t="n">
        <v>44994</v>
      </c>
      <c r="J1830" s="12" t="n">
        <v>3.9</v>
      </c>
      <c r="K1830" s="17" t="n">
        <v>428735.77</v>
      </c>
      <c r="L1830" s="12" t="n">
        <v>0</v>
      </c>
      <c r="M1830" s="12" t="n">
        <v>17</v>
      </c>
      <c r="N1830" s="27">
        <f>F1830-J1830</f>
        <v/>
      </c>
      <c r="O1830" s="16">
        <f>I1830-H1830</f>
        <v/>
      </c>
      <c r="P1830" s="14">
        <f>F1830*G1830</f>
        <v/>
      </c>
      <c r="Q1830" s="14">
        <f>J1830*G1830</f>
        <v/>
      </c>
      <c r="R1830" s="14">
        <f>K1830-Q1830</f>
        <v/>
      </c>
      <c r="S1830" s="3">
        <f>P1830*Assumptions!$B$3/100</f>
        <v/>
      </c>
      <c r="T1830" s="14">
        <f>R1830-S1830</f>
        <v/>
      </c>
      <c r="U1830" s="14">
        <f>L1830*G1830</f>
        <v/>
      </c>
    </row>
    <row r="1831">
      <c r="A1831" s="12" t="inlineStr">
        <is>
          <t>PO-2022-1829</t>
        </is>
      </c>
      <c r="B1831" s="26" t="n">
        <v>45211</v>
      </c>
      <c r="C1831" s="12" t="inlineStr">
        <is>
          <t>VS02</t>
        </is>
      </c>
      <c r="D1831" s="12" t="inlineStr">
        <is>
          <t>MS Rods</t>
        </is>
      </c>
      <c r="E1831" s="12" t="inlineStr">
        <is>
          <t>N</t>
        </is>
      </c>
      <c r="F1831" s="12" t="n">
        <v>19.85</v>
      </c>
      <c r="G1831" s="17" t="n">
        <v>48331.17</v>
      </c>
      <c r="H1831" s="26" t="n">
        <v>45217</v>
      </c>
      <c r="I1831" s="26" t="n">
        <v>45219</v>
      </c>
      <c r="J1831" s="12" t="n">
        <v>19.68</v>
      </c>
      <c r="K1831" s="17" t="n">
        <v>959373.72</v>
      </c>
      <c r="L1831" s="12" t="n">
        <v>0</v>
      </c>
      <c r="M1831" s="12" t="n">
        <v>16</v>
      </c>
      <c r="N1831" s="27">
        <f>F1831-J1831</f>
        <v/>
      </c>
      <c r="O1831" s="16">
        <f>I1831-H1831</f>
        <v/>
      </c>
      <c r="P1831" s="14">
        <f>F1831*G1831</f>
        <v/>
      </c>
      <c r="Q1831" s="14">
        <f>J1831*G1831</f>
        <v/>
      </c>
      <c r="R1831" s="14">
        <f>K1831-Q1831</f>
        <v/>
      </c>
      <c r="S1831" s="3">
        <f>P1831*Assumptions!$B$3/100</f>
        <v/>
      </c>
      <c r="T1831" s="14">
        <f>R1831-S1831</f>
        <v/>
      </c>
      <c r="U1831" s="14">
        <f>L1831*G1831</f>
        <v/>
      </c>
    </row>
    <row r="1832">
      <c r="A1832" s="12" t="inlineStr">
        <is>
          <t>PO-2022-1830</t>
        </is>
      </c>
      <c r="B1832" s="26" t="n">
        <v>44973</v>
      </c>
      <c r="C1832" s="12" t="inlineStr">
        <is>
          <t>VS12</t>
        </is>
      </c>
      <c r="D1832" s="12" t="inlineStr">
        <is>
          <t>GI Wire</t>
        </is>
      </c>
      <c r="E1832" s="12" t="inlineStr">
        <is>
          <t>N</t>
        </is>
      </c>
      <c r="F1832" s="12" t="n">
        <v>27.09</v>
      </c>
      <c r="G1832" s="17" t="n">
        <v>98311.39</v>
      </c>
      <c r="H1832" s="26" t="n">
        <v>44976</v>
      </c>
      <c r="I1832" s="26" t="n">
        <v>44981</v>
      </c>
      <c r="J1832" s="12" t="n">
        <v>25.94</v>
      </c>
      <c r="K1832" s="17" t="n">
        <v>2663255.56</v>
      </c>
      <c r="L1832" s="12" t="n">
        <v>0.93</v>
      </c>
      <c r="M1832" s="12" t="n">
        <v>9</v>
      </c>
      <c r="N1832" s="27">
        <f>F1832-J1832</f>
        <v/>
      </c>
      <c r="O1832" s="16">
        <f>I1832-H1832</f>
        <v/>
      </c>
      <c r="P1832" s="14">
        <f>F1832*G1832</f>
        <v/>
      </c>
      <c r="Q1832" s="14">
        <f>J1832*G1832</f>
        <v/>
      </c>
      <c r="R1832" s="14">
        <f>K1832-Q1832</f>
        <v/>
      </c>
      <c r="S1832" s="3">
        <f>P1832*Assumptions!$B$3/100</f>
        <v/>
      </c>
      <c r="T1832" s="14">
        <f>R1832-S1832</f>
        <v/>
      </c>
      <c r="U1832" s="14">
        <f>L1832*G1832</f>
        <v/>
      </c>
    </row>
    <row r="1833">
      <c r="A1833" s="12" t="inlineStr">
        <is>
          <t>PO-2022-1831</t>
        </is>
      </c>
      <c r="B1833" s="26" t="n">
        <v>44909</v>
      </c>
      <c r="C1833" s="12" t="inlineStr">
        <is>
          <t>VS02</t>
        </is>
      </c>
      <c r="D1833" s="12" t="inlineStr">
        <is>
          <t>MS Flats</t>
        </is>
      </c>
      <c r="E1833" s="12" t="inlineStr">
        <is>
          <t>N</t>
        </is>
      </c>
      <c r="F1833" s="12" t="n">
        <v>46.21</v>
      </c>
      <c r="G1833" s="17" t="n">
        <v>113058.72</v>
      </c>
      <c r="H1833" s="26" t="n">
        <v>44924</v>
      </c>
      <c r="I1833" s="26" t="n">
        <v>44925</v>
      </c>
      <c r="J1833" s="12" t="n">
        <v>45.77</v>
      </c>
      <c r="K1833" s="17" t="n">
        <v>5224443.45</v>
      </c>
      <c r="L1833" s="12" t="n">
        <v>0</v>
      </c>
      <c r="M1833" s="12" t="n">
        <v>23</v>
      </c>
      <c r="N1833" s="27">
        <f>F1833-J1833</f>
        <v/>
      </c>
      <c r="O1833" s="16">
        <f>I1833-H1833</f>
        <v/>
      </c>
      <c r="P1833" s="14">
        <f>F1833*G1833</f>
        <v/>
      </c>
      <c r="Q1833" s="14">
        <f>J1833*G1833</f>
        <v/>
      </c>
      <c r="R1833" s="14">
        <f>K1833-Q1833</f>
        <v/>
      </c>
      <c r="S1833" s="3">
        <f>P1833*Assumptions!$B$3/100</f>
        <v/>
      </c>
      <c r="T1833" s="14">
        <f>R1833-S1833</f>
        <v/>
      </c>
      <c r="U1833" s="14">
        <f>L1833*G1833</f>
        <v/>
      </c>
    </row>
    <row r="1834">
      <c r="A1834" s="12" t="inlineStr">
        <is>
          <t>PO-2022-1832</t>
        </is>
      </c>
      <c r="B1834" s="26" t="n">
        <v>44640</v>
      </c>
      <c r="C1834" s="12" t="inlineStr">
        <is>
          <t>VS02</t>
        </is>
      </c>
      <c r="D1834" s="12" t="inlineStr">
        <is>
          <t>MS Flats</t>
        </is>
      </c>
      <c r="E1834" s="12" t="inlineStr">
        <is>
          <t>N</t>
        </is>
      </c>
      <c r="F1834" s="12" t="n">
        <v>36.56</v>
      </c>
      <c r="G1834" s="17" t="n">
        <v>91614.78999999999</v>
      </c>
      <c r="H1834" s="26" t="n">
        <v>44649</v>
      </c>
      <c r="I1834" s="26" t="n">
        <v>44649</v>
      </c>
      <c r="J1834" s="12" t="n">
        <v>36.43</v>
      </c>
      <c r="K1834" s="17" t="n">
        <v>3349436.72</v>
      </c>
      <c r="L1834" s="12" t="n">
        <v>0</v>
      </c>
      <c r="M1834" s="12" t="n">
        <v>23</v>
      </c>
      <c r="N1834" s="27">
        <f>F1834-J1834</f>
        <v/>
      </c>
      <c r="O1834" s="16">
        <f>I1834-H1834</f>
        <v/>
      </c>
      <c r="P1834" s="14">
        <f>F1834*G1834</f>
        <v/>
      </c>
      <c r="Q1834" s="14">
        <f>J1834*G1834</f>
        <v/>
      </c>
      <c r="R1834" s="14">
        <f>K1834-Q1834</f>
        <v/>
      </c>
      <c r="S1834" s="3">
        <f>P1834*Assumptions!$B$3/100</f>
        <v/>
      </c>
      <c r="T1834" s="14">
        <f>R1834-S1834</f>
        <v/>
      </c>
      <c r="U1834" s="14">
        <f>L1834*G1834</f>
        <v/>
      </c>
    </row>
    <row r="1835">
      <c r="A1835" s="12" t="inlineStr">
        <is>
          <t>PO-2022-1833</t>
        </is>
      </c>
      <c r="B1835" s="26" t="n">
        <v>44313</v>
      </c>
      <c r="C1835" s="12" t="inlineStr">
        <is>
          <t>VS07</t>
        </is>
      </c>
      <c r="D1835" s="12" t="inlineStr">
        <is>
          <t>Spring Steel</t>
        </is>
      </c>
      <c r="E1835" s="12" t="inlineStr">
        <is>
          <t>N</t>
        </is>
      </c>
      <c r="F1835" s="12" t="n">
        <v>20.02</v>
      </c>
      <c r="G1835" s="17" t="n">
        <v>99097.28</v>
      </c>
      <c r="H1835" s="26" t="n">
        <v>44326</v>
      </c>
      <c r="I1835" s="26" t="n">
        <v>44328</v>
      </c>
      <c r="J1835" s="12" t="n">
        <v>19.95</v>
      </c>
      <c r="K1835" s="17" t="n">
        <v>1983927.55</v>
      </c>
      <c r="L1835" s="12" t="n">
        <v>0</v>
      </c>
      <c r="M1835" s="12" t="n">
        <v>0</v>
      </c>
      <c r="N1835" s="27">
        <f>F1835-J1835</f>
        <v/>
      </c>
      <c r="O1835" s="16">
        <f>I1835-H1835</f>
        <v/>
      </c>
      <c r="P1835" s="14">
        <f>F1835*G1835</f>
        <v/>
      </c>
      <c r="Q1835" s="14">
        <f>J1835*G1835</f>
        <v/>
      </c>
      <c r="R1835" s="14">
        <f>K1835-Q1835</f>
        <v/>
      </c>
      <c r="S1835" s="3">
        <f>P1835*Assumptions!$B$3/100</f>
        <v/>
      </c>
      <c r="T1835" s="14">
        <f>R1835-S1835</f>
        <v/>
      </c>
      <c r="U1835" s="14">
        <f>L1835*G1835</f>
        <v/>
      </c>
    </row>
    <row r="1836">
      <c r="A1836" s="12" t="inlineStr">
        <is>
          <t>PO-2022-1834</t>
        </is>
      </c>
      <c r="B1836" s="26" t="n">
        <v>44785</v>
      </c>
      <c r="C1836" s="12" t="inlineStr">
        <is>
          <t>VS30</t>
        </is>
      </c>
      <c r="D1836" s="12" t="inlineStr">
        <is>
          <t>GI Wire</t>
        </is>
      </c>
      <c r="E1836" s="12" t="inlineStr">
        <is>
          <t>N</t>
        </is>
      </c>
      <c r="F1836" s="12" t="n">
        <v>29.06</v>
      </c>
      <c r="G1836" s="17" t="n">
        <v>87622.73</v>
      </c>
      <c r="H1836" s="26" t="n">
        <v>44796</v>
      </c>
      <c r="I1836" s="26" t="n">
        <v>44796</v>
      </c>
      <c r="J1836" s="12" t="n">
        <v>29</v>
      </c>
      <c r="K1836" s="17" t="n">
        <v>2546316.53</v>
      </c>
      <c r="L1836" s="12" t="n">
        <v>0</v>
      </c>
      <c r="M1836" s="12" t="n">
        <v>0</v>
      </c>
      <c r="N1836" s="27">
        <f>F1836-J1836</f>
        <v/>
      </c>
      <c r="O1836" s="16">
        <f>I1836-H1836</f>
        <v/>
      </c>
      <c r="P1836" s="14">
        <f>F1836*G1836</f>
        <v/>
      </c>
      <c r="Q1836" s="14">
        <f>J1836*G1836</f>
        <v/>
      </c>
      <c r="R1836" s="14">
        <f>K1836-Q1836</f>
        <v/>
      </c>
      <c r="S1836" s="3">
        <f>P1836*Assumptions!$B$3/100</f>
        <v/>
      </c>
      <c r="T1836" s="14">
        <f>R1836-S1836</f>
        <v/>
      </c>
      <c r="U1836" s="14">
        <f>L1836*G1836</f>
        <v/>
      </c>
    </row>
    <row r="1837">
      <c r="A1837" s="12" t="inlineStr">
        <is>
          <t>PO-2022-1835</t>
        </is>
      </c>
      <c r="B1837" s="26" t="n">
        <v>44729</v>
      </c>
      <c r="C1837" s="12" t="inlineStr">
        <is>
          <t>VS11</t>
        </is>
      </c>
      <c r="D1837" s="12" t="inlineStr">
        <is>
          <t>MS Rods</t>
        </is>
      </c>
      <c r="E1837" s="12" t="inlineStr">
        <is>
          <t>N</t>
        </is>
      </c>
      <c r="F1837" s="12" t="n">
        <v>23.9</v>
      </c>
      <c r="G1837" s="17" t="n">
        <v>119445.98</v>
      </c>
      <c r="H1837" s="26" t="n">
        <v>44735</v>
      </c>
      <c r="I1837" s="26" t="n">
        <v>44737</v>
      </c>
      <c r="J1837" s="12" t="n">
        <v>23.81</v>
      </c>
      <c r="K1837" s="17" t="n">
        <v>2854758.92</v>
      </c>
      <c r="L1837" s="12" t="n">
        <v>0</v>
      </c>
      <c r="M1837" s="12" t="n">
        <v>0</v>
      </c>
      <c r="N1837" s="27">
        <f>F1837-J1837</f>
        <v/>
      </c>
      <c r="O1837" s="16">
        <f>I1837-H1837</f>
        <v/>
      </c>
      <c r="P1837" s="14">
        <f>F1837*G1837</f>
        <v/>
      </c>
      <c r="Q1837" s="14">
        <f>J1837*G1837</f>
        <v/>
      </c>
      <c r="R1837" s="14">
        <f>K1837-Q1837</f>
        <v/>
      </c>
      <c r="S1837" s="3">
        <f>P1837*Assumptions!$B$3/100</f>
        <v/>
      </c>
      <c r="T1837" s="14">
        <f>R1837-S1837</f>
        <v/>
      </c>
      <c r="U1837" s="14">
        <f>L1837*G1837</f>
        <v/>
      </c>
    </row>
    <row r="1838">
      <c r="A1838" s="12" t="inlineStr">
        <is>
          <t>PO-2022-1836</t>
        </is>
      </c>
      <c r="B1838" s="26" t="n">
        <v>44467</v>
      </c>
      <c r="C1838" s="12" t="inlineStr">
        <is>
          <t>VS01</t>
        </is>
      </c>
      <c r="D1838" s="12" t="inlineStr">
        <is>
          <t>CR Sheets</t>
        </is>
      </c>
      <c r="E1838" s="12" t="inlineStr">
        <is>
          <t>Y</t>
        </is>
      </c>
      <c r="F1838" s="12" t="n">
        <v>40.18</v>
      </c>
      <c r="G1838" s="17" t="n">
        <v>116322.54</v>
      </c>
      <c r="H1838" s="26" t="n">
        <v>44471</v>
      </c>
      <c r="I1838" s="26" t="n">
        <v>44472</v>
      </c>
      <c r="J1838" s="12" t="n">
        <v>39.91</v>
      </c>
      <c r="K1838" s="17" t="n">
        <v>4673839.66</v>
      </c>
      <c r="L1838" s="12" t="n">
        <v>0</v>
      </c>
      <c r="M1838" s="12" t="n">
        <v>0</v>
      </c>
      <c r="N1838" s="27">
        <f>F1838-J1838</f>
        <v/>
      </c>
      <c r="O1838" s="16">
        <f>I1838-H1838</f>
        <v/>
      </c>
      <c r="P1838" s="14">
        <f>F1838*G1838</f>
        <v/>
      </c>
      <c r="Q1838" s="14">
        <f>J1838*G1838</f>
        <v/>
      </c>
      <c r="R1838" s="14">
        <f>K1838-Q1838</f>
        <v/>
      </c>
      <c r="S1838" s="3">
        <f>P1838*Assumptions!$B$3/100</f>
        <v/>
      </c>
      <c r="T1838" s="14">
        <f>R1838-S1838</f>
        <v/>
      </c>
      <c r="U1838" s="14">
        <f>L1838*G1838</f>
        <v/>
      </c>
    </row>
    <row r="1839">
      <c r="A1839" s="12" t="inlineStr">
        <is>
          <t>PO-2022-1837</t>
        </is>
      </c>
      <c r="B1839" s="26" t="n">
        <v>44708</v>
      </c>
      <c r="C1839" s="12" t="inlineStr">
        <is>
          <t>VS19</t>
        </is>
      </c>
      <c r="D1839" s="12" t="inlineStr">
        <is>
          <t>MS Flats</t>
        </is>
      </c>
      <c r="E1839" s="12" t="inlineStr">
        <is>
          <t>N</t>
        </is>
      </c>
      <c r="F1839" s="12" t="n">
        <v>28.98</v>
      </c>
      <c r="G1839" s="17" t="n">
        <v>49811.28</v>
      </c>
      <c r="H1839" s="26" t="n">
        <v>44715</v>
      </c>
      <c r="I1839" s="26" t="n">
        <v>44717</v>
      </c>
      <c r="J1839" s="12" t="n">
        <v>28</v>
      </c>
      <c r="K1839" s="17" t="n">
        <v>1443530.89</v>
      </c>
      <c r="L1839" s="12" t="n">
        <v>0.88</v>
      </c>
      <c r="M1839" s="12" t="n">
        <v>13</v>
      </c>
      <c r="N1839" s="27">
        <f>F1839-J1839</f>
        <v/>
      </c>
      <c r="O1839" s="16">
        <f>I1839-H1839</f>
        <v/>
      </c>
      <c r="P1839" s="14">
        <f>F1839*G1839</f>
        <v/>
      </c>
      <c r="Q1839" s="14">
        <f>J1839*G1839</f>
        <v/>
      </c>
      <c r="R1839" s="14">
        <f>K1839-Q1839</f>
        <v/>
      </c>
      <c r="S1839" s="3">
        <f>P1839*Assumptions!$B$3/100</f>
        <v/>
      </c>
      <c r="T1839" s="14">
        <f>R1839-S1839</f>
        <v/>
      </c>
      <c r="U1839" s="14">
        <f>L1839*G1839</f>
        <v/>
      </c>
    </row>
    <row r="1840">
      <c r="A1840" s="12" t="inlineStr">
        <is>
          <t>PO-2022-1838</t>
        </is>
      </c>
      <c r="B1840" s="26" t="n">
        <v>44937</v>
      </c>
      <c r="C1840" s="12" t="inlineStr">
        <is>
          <t>VS18</t>
        </is>
      </c>
      <c r="D1840" s="12" t="inlineStr">
        <is>
          <t>CR Sheets</t>
        </is>
      </c>
      <c r="E1840" s="12" t="inlineStr">
        <is>
          <t>N</t>
        </is>
      </c>
      <c r="F1840" s="12" t="n">
        <v>39.34</v>
      </c>
      <c r="G1840" s="17" t="n">
        <v>105769.46</v>
      </c>
      <c r="H1840" s="26" t="n">
        <v>44949</v>
      </c>
      <c r="I1840" s="26" t="n">
        <v>44950</v>
      </c>
      <c r="J1840" s="12" t="n">
        <v>39.27</v>
      </c>
      <c r="K1840" s="17" t="n">
        <v>4160970.56</v>
      </c>
      <c r="L1840" s="12" t="n">
        <v>0</v>
      </c>
      <c r="M1840" s="12" t="n">
        <v>0</v>
      </c>
      <c r="N1840" s="27">
        <f>F1840-J1840</f>
        <v/>
      </c>
      <c r="O1840" s="16">
        <f>I1840-H1840</f>
        <v/>
      </c>
      <c r="P1840" s="14">
        <f>F1840*G1840</f>
        <v/>
      </c>
      <c r="Q1840" s="14">
        <f>J1840*G1840</f>
        <v/>
      </c>
      <c r="R1840" s="14">
        <f>K1840-Q1840</f>
        <v/>
      </c>
      <c r="S1840" s="3">
        <f>P1840*Assumptions!$B$3/100</f>
        <v/>
      </c>
      <c r="T1840" s="14">
        <f>R1840-S1840</f>
        <v/>
      </c>
      <c r="U1840" s="14">
        <f>L1840*G1840</f>
        <v/>
      </c>
    </row>
    <row r="1841">
      <c r="A1841" s="12" t="inlineStr">
        <is>
          <t>PO-2022-1839</t>
        </is>
      </c>
      <c r="B1841" s="26" t="n">
        <v>44222</v>
      </c>
      <c r="C1841" s="12" t="inlineStr">
        <is>
          <t>VS08</t>
        </is>
      </c>
      <c r="D1841" s="12" t="inlineStr">
        <is>
          <t>SS Sheets</t>
        </is>
      </c>
      <c r="E1841" s="12" t="inlineStr">
        <is>
          <t>Y</t>
        </is>
      </c>
      <c r="F1841" s="12" t="n">
        <v>28.85</v>
      </c>
      <c r="G1841" s="17" t="n">
        <v>69074.2</v>
      </c>
      <c r="H1841" s="26" t="n">
        <v>44229</v>
      </c>
      <c r="I1841" s="26" t="n">
        <v>44232</v>
      </c>
      <c r="J1841" s="12" t="n">
        <v>28.82</v>
      </c>
      <c r="K1841" s="17" t="n">
        <v>1992790.67</v>
      </c>
      <c r="L1841" s="12" t="n">
        <v>0</v>
      </c>
      <c r="M1841" s="12" t="n">
        <v>0</v>
      </c>
      <c r="N1841" s="27">
        <f>F1841-J1841</f>
        <v/>
      </c>
      <c r="O1841" s="16">
        <f>I1841-H1841</f>
        <v/>
      </c>
      <c r="P1841" s="14">
        <f>F1841*G1841</f>
        <v/>
      </c>
      <c r="Q1841" s="14">
        <f>J1841*G1841</f>
        <v/>
      </c>
      <c r="R1841" s="14">
        <f>K1841-Q1841</f>
        <v/>
      </c>
      <c r="S1841" s="3">
        <f>P1841*Assumptions!$B$3/100</f>
        <v/>
      </c>
      <c r="T1841" s="14">
        <f>R1841-S1841</f>
        <v/>
      </c>
      <c r="U1841" s="14">
        <f>L1841*G1841</f>
        <v/>
      </c>
    </row>
    <row r="1842">
      <c r="A1842" s="12" t="inlineStr">
        <is>
          <t>PO-2022-1840</t>
        </is>
      </c>
      <c r="B1842" s="26" t="n">
        <v>44563</v>
      </c>
      <c r="C1842" s="12" t="inlineStr">
        <is>
          <t>VS29</t>
        </is>
      </c>
      <c r="D1842" s="12" t="inlineStr">
        <is>
          <t>Fasteners &amp; Fittings</t>
        </is>
      </c>
      <c r="E1842" s="12" t="inlineStr">
        <is>
          <t>N</t>
        </is>
      </c>
      <c r="F1842" s="12" t="n">
        <v>1.85</v>
      </c>
      <c r="G1842" s="17" t="n">
        <v>45665.3</v>
      </c>
      <c r="H1842" s="26" t="n">
        <v>44566</v>
      </c>
      <c r="I1842" s="26" t="n">
        <v>44567</v>
      </c>
      <c r="J1842" s="12" t="n">
        <v>1.83</v>
      </c>
      <c r="K1842" s="17" t="n">
        <v>84480.81</v>
      </c>
      <c r="L1842" s="12" t="n">
        <v>0</v>
      </c>
      <c r="M1842" s="12" t="n">
        <v>0</v>
      </c>
      <c r="N1842" s="27">
        <f>F1842-J1842</f>
        <v/>
      </c>
      <c r="O1842" s="16">
        <f>I1842-H1842</f>
        <v/>
      </c>
      <c r="P1842" s="14">
        <f>F1842*G1842</f>
        <v/>
      </c>
      <c r="Q1842" s="14">
        <f>J1842*G1842</f>
        <v/>
      </c>
      <c r="R1842" s="14">
        <f>K1842-Q1842</f>
        <v/>
      </c>
      <c r="S1842" s="3">
        <f>P1842*Assumptions!$B$3/100</f>
        <v/>
      </c>
      <c r="T1842" s="14">
        <f>R1842-S1842</f>
        <v/>
      </c>
      <c r="U1842" s="14">
        <f>L1842*G1842</f>
        <v/>
      </c>
    </row>
    <row r="1843">
      <c r="A1843" s="12" t="inlineStr">
        <is>
          <t>PO-2022-1841</t>
        </is>
      </c>
      <c r="B1843" s="26" t="n">
        <v>44931</v>
      </c>
      <c r="C1843" s="12" t="inlineStr">
        <is>
          <t>VS31</t>
        </is>
      </c>
      <c r="D1843" s="12" t="inlineStr">
        <is>
          <t>Spring Steel</t>
        </is>
      </c>
      <c r="E1843" s="12" t="inlineStr">
        <is>
          <t>N</t>
        </is>
      </c>
      <c r="F1843" s="12" t="n">
        <v>11.67</v>
      </c>
      <c r="G1843" s="17" t="n">
        <v>49393.86</v>
      </c>
      <c r="H1843" s="26" t="n">
        <v>44935</v>
      </c>
      <c r="I1843" s="26" t="n">
        <v>44935</v>
      </c>
      <c r="J1843" s="12" t="n">
        <v>11.64</v>
      </c>
      <c r="K1843" s="17" t="n">
        <v>576426.35</v>
      </c>
      <c r="L1843" s="12" t="n">
        <v>0</v>
      </c>
      <c r="M1843" s="12" t="n">
        <v>0</v>
      </c>
      <c r="N1843" s="27">
        <f>F1843-J1843</f>
        <v/>
      </c>
      <c r="O1843" s="16">
        <f>I1843-H1843</f>
        <v/>
      </c>
      <c r="P1843" s="14">
        <f>F1843*G1843</f>
        <v/>
      </c>
      <c r="Q1843" s="14">
        <f>J1843*G1843</f>
        <v/>
      </c>
      <c r="R1843" s="14">
        <f>K1843-Q1843</f>
        <v/>
      </c>
      <c r="S1843" s="3">
        <f>P1843*Assumptions!$B$3/100</f>
        <v/>
      </c>
      <c r="T1843" s="14">
        <f>R1843-S1843</f>
        <v/>
      </c>
      <c r="U1843" s="14">
        <f>L1843*G1843</f>
        <v/>
      </c>
    </row>
    <row r="1844">
      <c r="A1844" s="12" t="inlineStr">
        <is>
          <t>PO-2022-1842</t>
        </is>
      </c>
      <c r="B1844" s="26" t="n">
        <v>44763</v>
      </c>
      <c r="C1844" s="12" t="inlineStr">
        <is>
          <t>VS21</t>
        </is>
      </c>
      <c r="D1844" s="12" t="inlineStr">
        <is>
          <t>SS Pipes</t>
        </is>
      </c>
      <c r="E1844" s="12" t="inlineStr">
        <is>
          <t>N</t>
        </is>
      </c>
      <c r="F1844" s="12" t="n">
        <v>22.58</v>
      </c>
      <c r="G1844" s="17" t="n">
        <v>64350.52</v>
      </c>
      <c r="H1844" s="26" t="n">
        <v>44778</v>
      </c>
      <c r="I1844" s="26" t="n">
        <v>44779</v>
      </c>
      <c r="J1844" s="12" t="n">
        <v>22.4</v>
      </c>
      <c r="K1844" s="17" t="n">
        <v>1453034.74</v>
      </c>
      <c r="L1844" s="12" t="n">
        <v>0</v>
      </c>
      <c r="M1844" s="12" t="n">
        <v>0</v>
      </c>
      <c r="N1844" s="27">
        <f>F1844-J1844</f>
        <v/>
      </c>
      <c r="O1844" s="16">
        <f>I1844-H1844</f>
        <v/>
      </c>
      <c r="P1844" s="14">
        <f>F1844*G1844</f>
        <v/>
      </c>
      <c r="Q1844" s="14">
        <f>J1844*G1844</f>
        <v/>
      </c>
      <c r="R1844" s="14">
        <f>K1844-Q1844</f>
        <v/>
      </c>
      <c r="S1844" s="3">
        <f>P1844*Assumptions!$B$3/100</f>
        <v/>
      </c>
      <c r="T1844" s="14">
        <f>R1844-S1844</f>
        <v/>
      </c>
      <c r="U1844" s="14">
        <f>L1844*G1844</f>
        <v/>
      </c>
    </row>
    <row r="1845">
      <c r="A1845" s="12" t="inlineStr">
        <is>
          <t>PO-2022-1843</t>
        </is>
      </c>
      <c r="B1845" s="26" t="n">
        <v>44762</v>
      </c>
      <c r="C1845" s="12" t="inlineStr">
        <is>
          <t>VS17</t>
        </is>
      </c>
      <c r="D1845" s="12" t="inlineStr">
        <is>
          <t>Structural Steel</t>
        </is>
      </c>
      <c r="E1845" s="12" t="inlineStr">
        <is>
          <t>N</t>
        </is>
      </c>
      <c r="F1845" s="12" t="n">
        <v>7.23</v>
      </c>
      <c r="G1845" s="17" t="n">
        <v>92275.36</v>
      </c>
      <c r="H1845" s="26" t="n">
        <v>44767</v>
      </c>
      <c r="I1845" s="26" t="n">
        <v>44767</v>
      </c>
      <c r="J1845" s="12" t="n">
        <v>7.19</v>
      </c>
      <c r="K1845" s="17" t="n">
        <v>667150.85</v>
      </c>
      <c r="L1845" s="12" t="n">
        <v>0</v>
      </c>
      <c r="M1845" s="12" t="n">
        <v>5</v>
      </c>
      <c r="N1845" s="27">
        <f>F1845-J1845</f>
        <v/>
      </c>
      <c r="O1845" s="16">
        <f>I1845-H1845</f>
        <v/>
      </c>
      <c r="P1845" s="14">
        <f>F1845*G1845</f>
        <v/>
      </c>
      <c r="Q1845" s="14">
        <f>J1845*G1845</f>
        <v/>
      </c>
      <c r="R1845" s="14">
        <f>K1845-Q1845</f>
        <v/>
      </c>
      <c r="S1845" s="3">
        <f>P1845*Assumptions!$B$3/100</f>
        <v/>
      </c>
      <c r="T1845" s="14">
        <f>R1845-S1845</f>
        <v/>
      </c>
      <c r="U1845" s="14">
        <f>L1845*G1845</f>
        <v/>
      </c>
    </row>
    <row r="1846">
      <c r="A1846" s="12" t="inlineStr">
        <is>
          <t>PO-2022-1844</t>
        </is>
      </c>
      <c r="B1846" s="26" t="n">
        <v>44298</v>
      </c>
      <c r="C1846" s="12" t="inlineStr">
        <is>
          <t>VS15</t>
        </is>
      </c>
      <c r="D1846" s="12" t="inlineStr">
        <is>
          <t>ERW Pipes</t>
        </is>
      </c>
      <c r="E1846" s="12" t="inlineStr">
        <is>
          <t>N</t>
        </is>
      </c>
      <c r="F1846" s="12" t="n">
        <v>33.08</v>
      </c>
      <c r="G1846" s="17" t="n">
        <v>58819.16</v>
      </c>
      <c r="H1846" s="26" t="n">
        <v>44309</v>
      </c>
      <c r="I1846" s="26" t="n">
        <v>44309</v>
      </c>
      <c r="J1846" s="12" t="n">
        <v>32.99</v>
      </c>
      <c r="K1846" s="17" t="n">
        <v>1945737.81</v>
      </c>
      <c r="L1846" s="12" t="n">
        <v>0</v>
      </c>
      <c r="M1846" s="12" t="n">
        <v>0</v>
      </c>
      <c r="N1846" s="27">
        <f>F1846-J1846</f>
        <v/>
      </c>
      <c r="O1846" s="16">
        <f>I1846-H1846</f>
        <v/>
      </c>
      <c r="P1846" s="14">
        <f>F1846*G1846</f>
        <v/>
      </c>
      <c r="Q1846" s="14">
        <f>J1846*G1846</f>
        <v/>
      </c>
      <c r="R1846" s="14">
        <f>K1846-Q1846</f>
        <v/>
      </c>
      <c r="S1846" s="3">
        <f>P1846*Assumptions!$B$3/100</f>
        <v/>
      </c>
      <c r="T1846" s="14">
        <f>R1846-S1846</f>
        <v/>
      </c>
      <c r="U1846" s="14">
        <f>L1846*G1846</f>
        <v/>
      </c>
    </row>
    <row r="1847">
      <c r="A1847" s="12" t="inlineStr">
        <is>
          <t>PO-2022-1845</t>
        </is>
      </c>
      <c r="B1847" s="26" t="n">
        <v>45098</v>
      </c>
      <c r="C1847" s="12" t="inlineStr">
        <is>
          <t>VS21</t>
        </is>
      </c>
      <c r="D1847" s="12" t="inlineStr">
        <is>
          <t>GI Pipes</t>
        </is>
      </c>
      <c r="E1847" s="12" t="inlineStr">
        <is>
          <t>N</t>
        </is>
      </c>
      <c r="F1847" s="12" t="n">
        <v>28.12</v>
      </c>
      <c r="G1847" s="17" t="n">
        <v>62096.43</v>
      </c>
      <c r="H1847" s="26" t="n">
        <v>45112</v>
      </c>
      <c r="I1847" s="26" t="n">
        <v>45112</v>
      </c>
      <c r="J1847" s="12" t="n">
        <v>27.85</v>
      </c>
      <c r="K1847" s="17" t="n">
        <v>1746151.61</v>
      </c>
      <c r="L1847" s="12" t="n">
        <v>0</v>
      </c>
      <c r="M1847" s="12" t="n">
        <v>0</v>
      </c>
      <c r="N1847" s="27">
        <f>F1847-J1847</f>
        <v/>
      </c>
      <c r="O1847" s="16">
        <f>I1847-H1847</f>
        <v/>
      </c>
      <c r="P1847" s="14">
        <f>F1847*G1847</f>
        <v/>
      </c>
      <c r="Q1847" s="14">
        <f>J1847*G1847</f>
        <v/>
      </c>
      <c r="R1847" s="14">
        <f>K1847-Q1847</f>
        <v/>
      </c>
      <c r="S1847" s="3">
        <f>P1847*Assumptions!$B$3/100</f>
        <v/>
      </c>
      <c r="T1847" s="14">
        <f>R1847-S1847</f>
        <v/>
      </c>
      <c r="U1847" s="14">
        <f>L1847*G1847</f>
        <v/>
      </c>
    </row>
    <row r="1848">
      <c r="A1848" s="12" t="inlineStr">
        <is>
          <t>PO-2022-1846</t>
        </is>
      </c>
      <c r="B1848" s="26" t="n">
        <v>44727</v>
      </c>
      <c r="C1848" s="12" t="inlineStr">
        <is>
          <t>VS17</t>
        </is>
      </c>
      <c r="D1848" s="12" t="inlineStr">
        <is>
          <t>MS Pipes</t>
        </is>
      </c>
      <c r="E1848" s="12" t="inlineStr">
        <is>
          <t>N</t>
        </is>
      </c>
      <c r="F1848" s="12" t="n">
        <v>34.24</v>
      </c>
      <c r="G1848" s="17" t="n">
        <v>109311.77</v>
      </c>
      <c r="H1848" s="26" t="n">
        <v>44735</v>
      </c>
      <c r="I1848" s="26" t="n">
        <v>44736</v>
      </c>
      <c r="J1848" s="12" t="n">
        <v>34.1</v>
      </c>
      <c r="K1848" s="17" t="n">
        <v>3742835</v>
      </c>
      <c r="L1848" s="12" t="n">
        <v>0</v>
      </c>
      <c r="M1848" s="12" t="n">
        <v>0</v>
      </c>
      <c r="N1848" s="27">
        <f>F1848-J1848</f>
        <v/>
      </c>
      <c r="O1848" s="16">
        <f>I1848-H1848</f>
        <v/>
      </c>
      <c r="P1848" s="14">
        <f>F1848*G1848</f>
        <v/>
      </c>
      <c r="Q1848" s="14">
        <f>J1848*G1848</f>
        <v/>
      </c>
      <c r="R1848" s="14">
        <f>K1848-Q1848</f>
        <v/>
      </c>
      <c r="S1848" s="3">
        <f>P1848*Assumptions!$B$3/100</f>
        <v/>
      </c>
      <c r="T1848" s="14">
        <f>R1848-S1848</f>
        <v/>
      </c>
      <c r="U1848" s="14">
        <f>L1848*G1848</f>
        <v/>
      </c>
    </row>
    <row r="1849">
      <c r="A1849" s="12" t="inlineStr">
        <is>
          <t>PO-2022-1847</t>
        </is>
      </c>
      <c r="B1849" s="26" t="n">
        <v>44288</v>
      </c>
      <c r="C1849" s="12" t="inlineStr">
        <is>
          <t>VS16</t>
        </is>
      </c>
      <c r="D1849" s="12" t="inlineStr">
        <is>
          <t>Angles &amp; Channels</t>
        </is>
      </c>
      <c r="E1849" s="12" t="inlineStr">
        <is>
          <t>Y</t>
        </is>
      </c>
      <c r="F1849" s="12" t="n">
        <v>6.35</v>
      </c>
      <c r="G1849" s="17" t="n">
        <v>83020.35000000001</v>
      </c>
      <c r="H1849" s="26" t="n">
        <v>44292</v>
      </c>
      <c r="I1849" s="26" t="n">
        <v>44294</v>
      </c>
      <c r="J1849" s="12" t="n">
        <v>6.31</v>
      </c>
      <c r="K1849" s="17" t="n">
        <v>527179.22</v>
      </c>
      <c r="L1849" s="12" t="n">
        <v>0</v>
      </c>
      <c r="M1849" s="12" t="n">
        <v>2</v>
      </c>
      <c r="N1849" s="27">
        <f>F1849-J1849</f>
        <v/>
      </c>
      <c r="O1849" s="16">
        <f>I1849-H1849</f>
        <v/>
      </c>
      <c r="P1849" s="14">
        <f>F1849*G1849</f>
        <v/>
      </c>
      <c r="Q1849" s="14">
        <f>J1849*G1849</f>
        <v/>
      </c>
      <c r="R1849" s="14">
        <f>K1849-Q1849</f>
        <v/>
      </c>
      <c r="S1849" s="3">
        <f>P1849*Assumptions!$B$3/100</f>
        <v/>
      </c>
      <c r="T1849" s="14">
        <f>R1849-S1849</f>
        <v/>
      </c>
      <c r="U1849" s="14">
        <f>L1849*G1849</f>
        <v/>
      </c>
    </row>
    <row r="1850">
      <c r="A1850" s="12" t="inlineStr">
        <is>
          <t>PO-2022-1848</t>
        </is>
      </c>
      <c r="B1850" s="26" t="n">
        <v>45243</v>
      </c>
      <c r="C1850" s="12" t="inlineStr">
        <is>
          <t>VS05</t>
        </is>
      </c>
      <c r="D1850" s="12" t="inlineStr">
        <is>
          <t>HR Coils</t>
        </is>
      </c>
      <c r="E1850" s="12" t="inlineStr">
        <is>
          <t>N</t>
        </is>
      </c>
      <c r="F1850" s="12" t="n">
        <v>11</v>
      </c>
      <c r="G1850" s="17" t="n">
        <v>87777.44</v>
      </c>
      <c r="H1850" s="26" t="n">
        <v>45256</v>
      </c>
      <c r="I1850" s="26" t="n">
        <v>45258</v>
      </c>
      <c r="J1850" s="12" t="n">
        <v>10.95</v>
      </c>
      <c r="K1850" s="17" t="n">
        <v>965551.84</v>
      </c>
      <c r="L1850" s="12" t="n">
        <v>0</v>
      </c>
      <c r="M1850" s="12" t="n">
        <v>3</v>
      </c>
      <c r="N1850" s="27">
        <f>F1850-J1850</f>
        <v/>
      </c>
      <c r="O1850" s="16">
        <f>I1850-H1850</f>
        <v/>
      </c>
      <c r="P1850" s="14">
        <f>F1850*G1850</f>
        <v/>
      </c>
      <c r="Q1850" s="14">
        <f>J1850*G1850</f>
        <v/>
      </c>
      <c r="R1850" s="14">
        <f>K1850-Q1850</f>
        <v/>
      </c>
      <c r="S1850" s="3">
        <f>P1850*Assumptions!$B$3/100</f>
        <v/>
      </c>
      <c r="T1850" s="14">
        <f>R1850-S1850</f>
        <v/>
      </c>
      <c r="U1850" s="14">
        <f>L1850*G1850</f>
        <v/>
      </c>
    </row>
    <row r="1851">
      <c r="A1851" s="12" t="inlineStr">
        <is>
          <t>PO-2022-1849</t>
        </is>
      </c>
      <c r="B1851" s="26" t="n">
        <v>45048</v>
      </c>
      <c r="C1851" s="12" t="inlineStr">
        <is>
          <t>VS05</t>
        </is>
      </c>
      <c r="D1851" s="12" t="inlineStr">
        <is>
          <t>GI Wire</t>
        </is>
      </c>
      <c r="E1851" s="12" t="inlineStr">
        <is>
          <t>Y</t>
        </is>
      </c>
      <c r="F1851" s="12" t="n">
        <v>43.92</v>
      </c>
      <c r="G1851" s="17" t="n">
        <v>55730.96</v>
      </c>
      <c r="H1851" s="26" t="n">
        <v>45056</v>
      </c>
      <c r="I1851" s="26" t="n">
        <v>45058</v>
      </c>
      <c r="J1851" s="12" t="n">
        <v>43.75</v>
      </c>
      <c r="K1851" s="17" t="n">
        <v>2447703.76</v>
      </c>
      <c r="L1851" s="12" t="n">
        <v>0</v>
      </c>
      <c r="M1851" s="12" t="n">
        <v>0</v>
      </c>
      <c r="N1851" s="27">
        <f>F1851-J1851</f>
        <v/>
      </c>
      <c r="O1851" s="16">
        <f>I1851-H1851</f>
        <v/>
      </c>
      <c r="P1851" s="14">
        <f>F1851*G1851</f>
        <v/>
      </c>
      <c r="Q1851" s="14">
        <f>J1851*G1851</f>
        <v/>
      </c>
      <c r="R1851" s="14">
        <f>K1851-Q1851</f>
        <v/>
      </c>
      <c r="S1851" s="3">
        <f>P1851*Assumptions!$B$3/100</f>
        <v/>
      </c>
      <c r="T1851" s="14">
        <f>R1851-S1851</f>
        <v/>
      </c>
      <c r="U1851" s="14">
        <f>L1851*G1851</f>
        <v/>
      </c>
    </row>
    <row r="1852">
      <c r="A1852" s="12" t="inlineStr">
        <is>
          <t>PO-2022-1850</t>
        </is>
      </c>
      <c r="B1852" s="26" t="n">
        <v>44934</v>
      </c>
      <c r="C1852" s="12" t="inlineStr">
        <is>
          <t>VS22</t>
        </is>
      </c>
      <c r="D1852" s="12" t="inlineStr">
        <is>
          <t>GI Wire</t>
        </is>
      </c>
      <c r="E1852" s="12" t="inlineStr">
        <is>
          <t>N</t>
        </is>
      </c>
      <c r="F1852" s="12" t="n">
        <v>44.97</v>
      </c>
      <c r="G1852" s="17" t="n">
        <v>73103.67</v>
      </c>
      <c r="H1852" s="26" t="n">
        <v>44941</v>
      </c>
      <c r="I1852" s="26" t="n">
        <v>44943</v>
      </c>
      <c r="J1852" s="12" t="n">
        <v>44.9</v>
      </c>
      <c r="K1852" s="17" t="n">
        <v>3287472.04</v>
      </c>
      <c r="L1852" s="12" t="n">
        <v>0</v>
      </c>
      <c r="M1852" s="12" t="n">
        <v>7</v>
      </c>
      <c r="N1852" s="27">
        <f>F1852-J1852</f>
        <v/>
      </c>
      <c r="O1852" s="16">
        <f>I1852-H1852</f>
        <v/>
      </c>
      <c r="P1852" s="14">
        <f>F1852*G1852</f>
        <v/>
      </c>
      <c r="Q1852" s="14">
        <f>J1852*G1852</f>
        <v/>
      </c>
      <c r="R1852" s="14">
        <f>K1852-Q1852</f>
        <v/>
      </c>
      <c r="S1852" s="3">
        <f>P1852*Assumptions!$B$3/100</f>
        <v/>
      </c>
      <c r="T1852" s="14">
        <f>R1852-S1852</f>
        <v/>
      </c>
      <c r="U1852" s="14">
        <f>L1852*G1852</f>
        <v/>
      </c>
    </row>
    <row r="1853">
      <c r="A1853" s="12" t="inlineStr">
        <is>
          <t>PO-2022-1851</t>
        </is>
      </c>
      <c r="B1853" s="26" t="n">
        <v>44260</v>
      </c>
      <c r="C1853" s="12" t="inlineStr">
        <is>
          <t>VS11</t>
        </is>
      </c>
      <c r="D1853" s="12" t="inlineStr">
        <is>
          <t>Angles &amp; Channels</t>
        </is>
      </c>
      <c r="E1853" s="12" t="inlineStr">
        <is>
          <t>N</t>
        </is>
      </c>
      <c r="F1853" s="12" t="n">
        <v>3.19</v>
      </c>
      <c r="G1853" s="17" t="n">
        <v>114773.14</v>
      </c>
      <c r="H1853" s="26" t="n">
        <v>44272</v>
      </c>
      <c r="I1853" s="26" t="n">
        <v>44272</v>
      </c>
      <c r="J1853" s="12" t="n">
        <v>3.18</v>
      </c>
      <c r="K1853" s="17" t="n">
        <v>366126.32</v>
      </c>
      <c r="L1853" s="12" t="n">
        <v>0</v>
      </c>
      <c r="M1853" s="12" t="n">
        <v>8</v>
      </c>
      <c r="N1853" s="27">
        <f>F1853-J1853</f>
        <v/>
      </c>
      <c r="O1853" s="16">
        <f>I1853-H1853</f>
        <v/>
      </c>
      <c r="P1853" s="14">
        <f>F1853*G1853</f>
        <v/>
      </c>
      <c r="Q1853" s="14">
        <f>J1853*G1853</f>
        <v/>
      </c>
      <c r="R1853" s="14">
        <f>K1853-Q1853</f>
        <v/>
      </c>
      <c r="S1853" s="3">
        <f>P1853*Assumptions!$B$3/100</f>
        <v/>
      </c>
      <c r="T1853" s="14">
        <f>R1853-S1853</f>
        <v/>
      </c>
      <c r="U1853" s="14">
        <f>L1853*G1853</f>
        <v/>
      </c>
    </row>
    <row r="1854">
      <c r="A1854" s="12" t="inlineStr">
        <is>
          <t>PO-2022-1852</t>
        </is>
      </c>
      <c r="B1854" s="26" t="n">
        <v>44249</v>
      </c>
      <c r="C1854" s="12" t="inlineStr">
        <is>
          <t>VS07</t>
        </is>
      </c>
      <c r="D1854" s="12" t="inlineStr">
        <is>
          <t>GI Sheets</t>
        </is>
      </c>
      <c r="E1854" s="12" t="inlineStr">
        <is>
          <t>N</t>
        </is>
      </c>
      <c r="F1854" s="12" t="n">
        <v>40.59</v>
      </c>
      <c r="G1854" s="17" t="n">
        <v>83309.71000000001</v>
      </c>
      <c r="H1854" s="26" t="n">
        <v>44264</v>
      </c>
      <c r="I1854" s="26" t="n">
        <v>44267</v>
      </c>
      <c r="J1854" s="12" t="n">
        <v>40.22</v>
      </c>
      <c r="K1854" s="17" t="n">
        <v>3381541.13</v>
      </c>
      <c r="L1854" s="12" t="n">
        <v>0</v>
      </c>
      <c r="M1854" s="12" t="n">
        <v>0</v>
      </c>
      <c r="N1854" s="27">
        <f>F1854-J1854</f>
        <v/>
      </c>
      <c r="O1854" s="16">
        <f>I1854-H1854</f>
        <v/>
      </c>
      <c r="P1854" s="14">
        <f>F1854*G1854</f>
        <v/>
      </c>
      <c r="Q1854" s="14">
        <f>J1854*G1854</f>
        <v/>
      </c>
      <c r="R1854" s="14">
        <f>K1854-Q1854</f>
        <v/>
      </c>
      <c r="S1854" s="3">
        <f>P1854*Assumptions!$B$3/100</f>
        <v/>
      </c>
      <c r="T1854" s="14">
        <f>R1854-S1854</f>
        <v/>
      </c>
      <c r="U1854" s="14">
        <f>L1854*G1854</f>
        <v/>
      </c>
    </row>
    <row r="1855">
      <c r="A1855" s="12" t="inlineStr">
        <is>
          <t>PO-2022-1853</t>
        </is>
      </c>
      <c r="B1855" s="26" t="n">
        <v>45237</v>
      </c>
      <c r="C1855" s="12" t="inlineStr">
        <is>
          <t>VS23</t>
        </is>
      </c>
      <c r="D1855" s="12" t="inlineStr">
        <is>
          <t>GI Sheets</t>
        </is>
      </c>
      <c r="E1855" s="12" t="inlineStr">
        <is>
          <t>N</t>
        </is>
      </c>
      <c r="F1855" s="12" t="n">
        <v>19.56</v>
      </c>
      <c r="G1855" s="17" t="n">
        <v>88701.47</v>
      </c>
      <c r="H1855" s="26" t="n">
        <v>45250</v>
      </c>
      <c r="I1855" s="26" t="n">
        <v>45252</v>
      </c>
      <c r="J1855" s="12" t="n">
        <v>19.41</v>
      </c>
      <c r="K1855" s="17" t="n">
        <v>1735000.75</v>
      </c>
      <c r="L1855" s="12" t="n">
        <v>0</v>
      </c>
      <c r="M1855" s="12" t="n">
        <v>24</v>
      </c>
      <c r="N1855" s="27">
        <f>F1855-J1855</f>
        <v/>
      </c>
      <c r="O1855" s="16">
        <f>I1855-H1855</f>
        <v/>
      </c>
      <c r="P1855" s="14">
        <f>F1855*G1855</f>
        <v/>
      </c>
      <c r="Q1855" s="14">
        <f>J1855*G1855</f>
        <v/>
      </c>
      <c r="R1855" s="14">
        <f>K1855-Q1855</f>
        <v/>
      </c>
      <c r="S1855" s="3">
        <f>P1855*Assumptions!$B$3/100</f>
        <v/>
      </c>
      <c r="T1855" s="14">
        <f>R1855-S1855</f>
        <v/>
      </c>
      <c r="U1855" s="14">
        <f>L1855*G1855</f>
        <v/>
      </c>
    </row>
    <row r="1856">
      <c r="A1856" s="12" t="inlineStr">
        <is>
          <t>PO-2022-1854</t>
        </is>
      </c>
      <c r="B1856" s="26" t="n">
        <v>44504</v>
      </c>
      <c r="C1856" s="12" t="inlineStr">
        <is>
          <t>VS25</t>
        </is>
      </c>
      <c r="D1856" s="12" t="inlineStr">
        <is>
          <t>SS Pipes</t>
        </is>
      </c>
      <c r="E1856" s="12" t="inlineStr">
        <is>
          <t>N</t>
        </is>
      </c>
      <c r="F1856" s="12" t="n">
        <v>47.8</v>
      </c>
      <c r="G1856" s="17" t="n">
        <v>116896.89</v>
      </c>
      <c r="H1856" s="26" t="n">
        <v>44510</v>
      </c>
      <c r="I1856" s="26" t="n">
        <v>44511</v>
      </c>
      <c r="J1856" s="12" t="n">
        <v>47.34</v>
      </c>
      <c r="K1856" s="17" t="n">
        <v>5587671.34</v>
      </c>
      <c r="L1856" s="12" t="n">
        <v>0</v>
      </c>
      <c r="M1856" s="12" t="n">
        <v>0</v>
      </c>
      <c r="N1856" s="27">
        <f>F1856-J1856</f>
        <v/>
      </c>
      <c r="O1856" s="16">
        <f>I1856-H1856</f>
        <v/>
      </c>
      <c r="P1856" s="14">
        <f>F1856*G1856</f>
        <v/>
      </c>
      <c r="Q1856" s="14">
        <f>J1856*G1856</f>
        <v/>
      </c>
      <c r="R1856" s="14">
        <f>K1856-Q1856</f>
        <v/>
      </c>
      <c r="S1856" s="3">
        <f>P1856*Assumptions!$B$3/100</f>
        <v/>
      </c>
      <c r="T1856" s="14">
        <f>R1856-S1856</f>
        <v/>
      </c>
      <c r="U1856" s="14">
        <f>L1856*G1856</f>
        <v/>
      </c>
    </row>
    <row r="1857">
      <c r="A1857" s="12" t="inlineStr">
        <is>
          <t>PO-2022-1855</t>
        </is>
      </c>
      <c r="B1857" s="26" t="n">
        <v>45228</v>
      </c>
      <c r="C1857" s="12" t="inlineStr">
        <is>
          <t>VS27</t>
        </is>
      </c>
      <c r="D1857" s="12" t="inlineStr">
        <is>
          <t>Spring Steel</t>
        </is>
      </c>
      <c r="E1857" s="12" t="inlineStr">
        <is>
          <t>N</t>
        </is>
      </c>
      <c r="F1857" s="12" t="n">
        <v>36.92</v>
      </c>
      <c r="G1857" s="17" t="n">
        <v>108569.63</v>
      </c>
      <c r="H1857" s="26" t="n">
        <v>45239</v>
      </c>
      <c r="I1857" s="26" t="n">
        <v>45242</v>
      </c>
      <c r="J1857" s="12" t="n">
        <v>36.73</v>
      </c>
      <c r="K1857" s="17" t="n">
        <v>4008390.74</v>
      </c>
      <c r="L1857" s="12" t="n">
        <v>0</v>
      </c>
      <c r="M1857" s="12" t="n">
        <v>7</v>
      </c>
      <c r="N1857" s="27">
        <f>F1857-J1857</f>
        <v/>
      </c>
      <c r="O1857" s="16">
        <f>I1857-H1857</f>
        <v/>
      </c>
      <c r="P1857" s="14">
        <f>F1857*G1857</f>
        <v/>
      </c>
      <c r="Q1857" s="14">
        <f>J1857*G1857</f>
        <v/>
      </c>
      <c r="R1857" s="14">
        <f>K1857-Q1857</f>
        <v/>
      </c>
      <c r="S1857" s="3">
        <f>P1857*Assumptions!$B$3/100</f>
        <v/>
      </c>
      <c r="T1857" s="14">
        <f>R1857-S1857</f>
        <v/>
      </c>
      <c r="U1857" s="14">
        <f>L1857*G1857</f>
        <v/>
      </c>
    </row>
    <row r="1858">
      <c r="A1858" s="12" t="inlineStr">
        <is>
          <t>PO-2022-1856</t>
        </is>
      </c>
      <c r="B1858" s="26" t="n">
        <v>44302</v>
      </c>
      <c r="C1858" s="12" t="inlineStr">
        <is>
          <t>VS31</t>
        </is>
      </c>
      <c r="D1858" s="12" t="inlineStr">
        <is>
          <t>Hex Bars</t>
        </is>
      </c>
      <c r="E1858" s="12" t="inlineStr">
        <is>
          <t>N</t>
        </is>
      </c>
      <c r="F1858" s="12" t="n">
        <v>26.5</v>
      </c>
      <c r="G1858" s="17" t="n">
        <v>68770.45</v>
      </c>
      <c r="H1858" s="26" t="n">
        <v>44308</v>
      </c>
      <c r="I1858" s="26" t="n">
        <v>44310</v>
      </c>
      <c r="J1858" s="12" t="n">
        <v>26.27</v>
      </c>
      <c r="K1858" s="17" t="n">
        <v>1822416.92</v>
      </c>
      <c r="L1858" s="12" t="n">
        <v>0</v>
      </c>
      <c r="M1858" s="12" t="n">
        <v>6</v>
      </c>
      <c r="N1858" s="27">
        <f>F1858-J1858</f>
        <v/>
      </c>
      <c r="O1858" s="16">
        <f>I1858-H1858</f>
        <v/>
      </c>
      <c r="P1858" s="14">
        <f>F1858*G1858</f>
        <v/>
      </c>
      <c r="Q1858" s="14">
        <f>J1858*G1858</f>
        <v/>
      </c>
      <c r="R1858" s="14">
        <f>K1858-Q1858</f>
        <v/>
      </c>
      <c r="S1858" s="3">
        <f>P1858*Assumptions!$B$3/100</f>
        <v/>
      </c>
      <c r="T1858" s="14">
        <f>R1858-S1858</f>
        <v/>
      </c>
      <c r="U1858" s="14">
        <f>L1858*G1858</f>
        <v/>
      </c>
    </row>
    <row r="1859">
      <c r="A1859" s="12" t="inlineStr">
        <is>
          <t>PO-2022-1857</t>
        </is>
      </c>
      <c r="B1859" s="26" t="n">
        <v>44797</v>
      </c>
      <c r="C1859" s="12" t="inlineStr">
        <is>
          <t>VS16</t>
        </is>
      </c>
      <c r="D1859" s="12" t="inlineStr">
        <is>
          <t>MS Flats</t>
        </is>
      </c>
      <c r="E1859" s="12" t="inlineStr">
        <is>
          <t>N</t>
        </is>
      </c>
      <c r="F1859" s="12" t="n">
        <v>12.91</v>
      </c>
      <c r="G1859" s="17" t="n">
        <v>102573.26</v>
      </c>
      <c r="H1859" s="26" t="n">
        <v>44805</v>
      </c>
      <c r="I1859" s="26" t="n">
        <v>44808</v>
      </c>
      <c r="J1859" s="12" t="n">
        <v>12.79</v>
      </c>
      <c r="K1859" s="17" t="n">
        <v>1324220.79</v>
      </c>
      <c r="L1859" s="12" t="n">
        <v>0</v>
      </c>
      <c r="M1859" s="12" t="n">
        <v>4</v>
      </c>
      <c r="N1859" s="27">
        <f>F1859-J1859</f>
        <v/>
      </c>
      <c r="O1859" s="16">
        <f>I1859-H1859</f>
        <v/>
      </c>
      <c r="P1859" s="14">
        <f>F1859*G1859</f>
        <v/>
      </c>
      <c r="Q1859" s="14">
        <f>J1859*G1859</f>
        <v/>
      </c>
      <c r="R1859" s="14">
        <f>K1859-Q1859</f>
        <v/>
      </c>
      <c r="S1859" s="3">
        <f>P1859*Assumptions!$B$3/100</f>
        <v/>
      </c>
      <c r="T1859" s="14">
        <f>R1859-S1859</f>
        <v/>
      </c>
      <c r="U1859" s="14">
        <f>L1859*G1859</f>
        <v/>
      </c>
    </row>
    <row r="1860">
      <c r="A1860" s="12" t="inlineStr">
        <is>
          <t>PO-2022-1858</t>
        </is>
      </c>
      <c r="B1860" s="26" t="n">
        <v>44669</v>
      </c>
      <c r="C1860" s="12" t="inlineStr">
        <is>
          <t>VS30</t>
        </is>
      </c>
      <c r="D1860" s="12" t="inlineStr">
        <is>
          <t>MS Flats</t>
        </is>
      </c>
      <c r="E1860" s="12" t="inlineStr">
        <is>
          <t>N</t>
        </is>
      </c>
      <c r="F1860" s="12" t="n">
        <v>37.66</v>
      </c>
      <c r="G1860" s="17" t="n">
        <v>53656.27</v>
      </c>
      <c r="H1860" s="26" t="n">
        <v>44675</v>
      </c>
      <c r="I1860" s="26" t="n">
        <v>44676</v>
      </c>
      <c r="J1860" s="12" t="n">
        <v>37.62</v>
      </c>
      <c r="K1860" s="17" t="n">
        <v>2020695.13</v>
      </c>
      <c r="L1860" s="12" t="n">
        <v>0</v>
      </c>
      <c r="M1860" s="12" t="n">
        <v>0</v>
      </c>
      <c r="N1860" s="27">
        <f>F1860-J1860</f>
        <v/>
      </c>
      <c r="O1860" s="16">
        <f>I1860-H1860</f>
        <v/>
      </c>
      <c r="P1860" s="14">
        <f>F1860*G1860</f>
        <v/>
      </c>
      <c r="Q1860" s="14">
        <f>J1860*G1860</f>
        <v/>
      </c>
      <c r="R1860" s="14">
        <f>K1860-Q1860</f>
        <v/>
      </c>
      <c r="S1860" s="3">
        <f>P1860*Assumptions!$B$3/100</f>
        <v/>
      </c>
      <c r="T1860" s="14">
        <f>R1860-S1860</f>
        <v/>
      </c>
      <c r="U1860" s="14">
        <f>L1860*G1860</f>
        <v/>
      </c>
    </row>
    <row r="1861">
      <c r="A1861" s="12" t="inlineStr">
        <is>
          <t>PO-2022-1859</t>
        </is>
      </c>
      <c r="B1861" s="26" t="n">
        <v>45108</v>
      </c>
      <c r="C1861" s="12" t="inlineStr">
        <is>
          <t>VS27</t>
        </is>
      </c>
      <c r="D1861" s="12" t="inlineStr">
        <is>
          <t>Angles &amp; Channels</t>
        </is>
      </c>
      <c r="E1861" s="12" t="inlineStr">
        <is>
          <t>N</t>
        </is>
      </c>
      <c r="F1861" s="12" t="n">
        <v>4.9</v>
      </c>
      <c r="G1861" s="17" t="n">
        <v>87034.28</v>
      </c>
      <c r="H1861" s="26" t="n">
        <v>45112</v>
      </c>
      <c r="I1861" s="26" t="n">
        <v>45112</v>
      </c>
      <c r="J1861" s="12" t="n">
        <v>4.87</v>
      </c>
      <c r="K1861" s="17" t="n">
        <v>426467.97</v>
      </c>
      <c r="L1861" s="12" t="n">
        <v>0</v>
      </c>
      <c r="M1861" s="12" t="n">
        <v>1</v>
      </c>
      <c r="N1861" s="27">
        <f>F1861-J1861</f>
        <v/>
      </c>
      <c r="O1861" s="16">
        <f>I1861-H1861</f>
        <v/>
      </c>
      <c r="P1861" s="14">
        <f>F1861*G1861</f>
        <v/>
      </c>
      <c r="Q1861" s="14">
        <f>J1861*G1861</f>
        <v/>
      </c>
      <c r="R1861" s="14">
        <f>K1861-Q1861</f>
        <v/>
      </c>
      <c r="S1861" s="3">
        <f>P1861*Assumptions!$B$3/100</f>
        <v/>
      </c>
      <c r="T1861" s="14">
        <f>R1861-S1861</f>
        <v/>
      </c>
      <c r="U1861" s="14">
        <f>L1861*G1861</f>
        <v/>
      </c>
    </row>
    <row r="1862">
      <c r="A1862" s="12" t="inlineStr">
        <is>
          <t>PO-2022-1860</t>
        </is>
      </c>
      <c r="B1862" s="26" t="n">
        <v>44938</v>
      </c>
      <c r="C1862" s="12" t="inlineStr">
        <is>
          <t>VS31</t>
        </is>
      </c>
      <c r="D1862" s="12" t="inlineStr">
        <is>
          <t>HR Coils</t>
        </is>
      </c>
      <c r="E1862" s="12" t="inlineStr">
        <is>
          <t>N</t>
        </is>
      </c>
      <c r="F1862" s="12" t="n">
        <v>23</v>
      </c>
      <c r="G1862" s="17" t="n">
        <v>76413.77</v>
      </c>
      <c r="H1862" s="26" t="n">
        <v>44950</v>
      </c>
      <c r="I1862" s="26" t="n">
        <v>44953</v>
      </c>
      <c r="J1862" s="12" t="n">
        <v>22.84</v>
      </c>
      <c r="K1862" s="17" t="n">
        <v>1757516.71</v>
      </c>
      <c r="L1862" s="12" t="n">
        <v>0</v>
      </c>
      <c r="M1862" s="12" t="n">
        <v>13</v>
      </c>
      <c r="N1862" s="27">
        <f>F1862-J1862</f>
        <v/>
      </c>
      <c r="O1862" s="16">
        <f>I1862-H1862</f>
        <v/>
      </c>
      <c r="P1862" s="14">
        <f>F1862*G1862</f>
        <v/>
      </c>
      <c r="Q1862" s="14">
        <f>J1862*G1862</f>
        <v/>
      </c>
      <c r="R1862" s="14">
        <f>K1862-Q1862</f>
        <v/>
      </c>
      <c r="S1862" s="3">
        <f>P1862*Assumptions!$B$3/100</f>
        <v/>
      </c>
      <c r="T1862" s="14">
        <f>R1862-S1862</f>
        <v/>
      </c>
      <c r="U1862" s="14">
        <f>L1862*G1862</f>
        <v/>
      </c>
    </row>
    <row r="1863">
      <c r="A1863" s="12" t="inlineStr">
        <is>
          <t>PO-2022-1861</t>
        </is>
      </c>
      <c r="B1863" s="26" t="n">
        <v>44453</v>
      </c>
      <c r="C1863" s="12" t="inlineStr">
        <is>
          <t>VS16</t>
        </is>
      </c>
      <c r="D1863" s="12" t="inlineStr">
        <is>
          <t>GI Wire</t>
        </is>
      </c>
      <c r="E1863" s="12" t="inlineStr">
        <is>
          <t>N</t>
        </is>
      </c>
      <c r="F1863" s="12" t="n">
        <v>34.03</v>
      </c>
      <c r="G1863" s="17" t="n">
        <v>94942.7</v>
      </c>
      <c r="H1863" s="26" t="n">
        <v>44465</v>
      </c>
      <c r="I1863" s="26" t="n">
        <v>44468</v>
      </c>
      <c r="J1863" s="12" t="n">
        <v>33.73</v>
      </c>
      <c r="K1863" s="17" t="n">
        <v>3230900.08</v>
      </c>
      <c r="L1863" s="12" t="n">
        <v>0</v>
      </c>
      <c r="M1863" s="12" t="n">
        <v>0</v>
      </c>
      <c r="N1863" s="27">
        <f>F1863-J1863</f>
        <v/>
      </c>
      <c r="O1863" s="16">
        <f>I1863-H1863</f>
        <v/>
      </c>
      <c r="P1863" s="14">
        <f>F1863*G1863</f>
        <v/>
      </c>
      <c r="Q1863" s="14">
        <f>J1863*G1863</f>
        <v/>
      </c>
      <c r="R1863" s="14">
        <f>K1863-Q1863</f>
        <v/>
      </c>
      <c r="S1863" s="3">
        <f>P1863*Assumptions!$B$3/100</f>
        <v/>
      </c>
      <c r="T1863" s="14">
        <f>R1863-S1863</f>
        <v/>
      </c>
      <c r="U1863" s="14">
        <f>L1863*G1863</f>
        <v/>
      </c>
    </row>
    <row r="1864">
      <c r="A1864" s="12" t="inlineStr">
        <is>
          <t>PO-2022-1862</t>
        </is>
      </c>
      <c r="B1864" s="26" t="n">
        <v>44730</v>
      </c>
      <c r="C1864" s="12" t="inlineStr">
        <is>
          <t>VS19</t>
        </is>
      </c>
      <c r="D1864" s="12" t="inlineStr">
        <is>
          <t>MS Flats</t>
        </is>
      </c>
      <c r="E1864" s="12" t="inlineStr">
        <is>
          <t>N</t>
        </is>
      </c>
      <c r="F1864" s="12" t="n">
        <v>16.38</v>
      </c>
      <c r="G1864" s="17" t="n">
        <v>53157.46</v>
      </c>
      <c r="H1864" s="26" t="n">
        <v>44739</v>
      </c>
      <c r="I1864" s="26" t="n">
        <v>44747</v>
      </c>
      <c r="J1864" s="12" t="n">
        <v>15.64</v>
      </c>
      <c r="K1864" s="17" t="n">
        <v>870719.1899999999</v>
      </c>
      <c r="L1864" s="12" t="n">
        <v>0.22</v>
      </c>
      <c r="M1864" s="12" t="n">
        <v>0</v>
      </c>
      <c r="N1864" s="27">
        <f>F1864-J1864</f>
        <v/>
      </c>
      <c r="O1864" s="16">
        <f>I1864-H1864</f>
        <v/>
      </c>
      <c r="P1864" s="14">
        <f>F1864*G1864</f>
        <v/>
      </c>
      <c r="Q1864" s="14">
        <f>J1864*G1864</f>
        <v/>
      </c>
      <c r="R1864" s="14">
        <f>K1864-Q1864</f>
        <v/>
      </c>
      <c r="S1864" s="3">
        <f>P1864*Assumptions!$B$3/100</f>
        <v/>
      </c>
      <c r="T1864" s="14">
        <f>R1864-S1864</f>
        <v/>
      </c>
      <c r="U1864" s="14">
        <f>L1864*G1864</f>
        <v/>
      </c>
    </row>
    <row r="1865">
      <c r="A1865" s="12" t="inlineStr">
        <is>
          <t>PO-2022-1863</t>
        </is>
      </c>
      <c r="B1865" s="26" t="n">
        <v>45231</v>
      </c>
      <c r="C1865" s="12" t="inlineStr">
        <is>
          <t>VS10</t>
        </is>
      </c>
      <c r="D1865" s="12" t="inlineStr">
        <is>
          <t>Structural Steel</t>
        </is>
      </c>
      <c r="E1865" s="12" t="inlineStr">
        <is>
          <t>N</t>
        </is>
      </c>
      <c r="F1865" s="12" t="n">
        <v>32</v>
      </c>
      <c r="G1865" s="17" t="n">
        <v>102948.37</v>
      </c>
      <c r="H1865" s="26" t="n">
        <v>45236</v>
      </c>
      <c r="I1865" s="26" t="n">
        <v>45237</v>
      </c>
      <c r="J1865" s="12" t="n">
        <v>31.82</v>
      </c>
      <c r="K1865" s="17" t="n">
        <v>3294347.84</v>
      </c>
      <c r="L1865" s="12" t="n">
        <v>0</v>
      </c>
      <c r="M1865" s="12" t="n">
        <v>16</v>
      </c>
      <c r="N1865" s="27">
        <f>F1865-J1865</f>
        <v/>
      </c>
      <c r="O1865" s="16">
        <f>I1865-H1865</f>
        <v/>
      </c>
      <c r="P1865" s="14">
        <f>F1865*G1865</f>
        <v/>
      </c>
      <c r="Q1865" s="14">
        <f>J1865*G1865</f>
        <v/>
      </c>
      <c r="R1865" s="14">
        <f>K1865-Q1865</f>
        <v/>
      </c>
      <c r="S1865" s="3">
        <f>P1865*Assumptions!$B$3/100</f>
        <v/>
      </c>
      <c r="T1865" s="14">
        <f>R1865-S1865</f>
        <v/>
      </c>
      <c r="U1865" s="14">
        <f>L1865*G1865</f>
        <v/>
      </c>
    </row>
    <row r="1866">
      <c r="A1866" s="12" t="inlineStr">
        <is>
          <t>PO-2022-1864</t>
        </is>
      </c>
      <c r="B1866" s="26" t="n">
        <v>45126</v>
      </c>
      <c r="C1866" s="12" t="inlineStr">
        <is>
          <t>VS01</t>
        </is>
      </c>
      <c r="D1866" s="12" t="inlineStr">
        <is>
          <t>MS Sheets</t>
        </is>
      </c>
      <c r="E1866" s="12" t="inlineStr">
        <is>
          <t>N</t>
        </is>
      </c>
      <c r="F1866" s="12" t="n">
        <v>6.92</v>
      </c>
      <c r="G1866" s="17" t="n">
        <v>64753.21</v>
      </c>
      <c r="H1866" s="26" t="n">
        <v>45137</v>
      </c>
      <c r="I1866" s="26" t="n">
        <v>45137</v>
      </c>
      <c r="J1866" s="12" t="n">
        <v>6.86</v>
      </c>
      <c r="K1866" s="17" t="n">
        <v>448092.21</v>
      </c>
      <c r="L1866" s="12" t="n">
        <v>0</v>
      </c>
      <c r="M1866" s="12" t="n">
        <v>18</v>
      </c>
      <c r="N1866" s="27">
        <f>F1866-J1866</f>
        <v/>
      </c>
      <c r="O1866" s="16">
        <f>I1866-H1866</f>
        <v/>
      </c>
      <c r="P1866" s="14">
        <f>F1866*G1866</f>
        <v/>
      </c>
      <c r="Q1866" s="14">
        <f>J1866*G1866</f>
        <v/>
      </c>
      <c r="R1866" s="14">
        <f>K1866-Q1866</f>
        <v/>
      </c>
      <c r="S1866" s="3">
        <f>P1866*Assumptions!$B$3/100</f>
        <v/>
      </c>
      <c r="T1866" s="14">
        <f>R1866-S1866</f>
        <v/>
      </c>
      <c r="U1866" s="14">
        <f>L1866*G1866</f>
        <v/>
      </c>
    </row>
    <row r="1867">
      <c r="A1867" s="12" t="inlineStr">
        <is>
          <t>PO-2022-1865</t>
        </is>
      </c>
      <c r="B1867" s="26" t="n">
        <v>45159</v>
      </c>
      <c r="C1867" s="12" t="inlineStr">
        <is>
          <t>VS07</t>
        </is>
      </c>
      <c r="D1867" s="12" t="inlineStr">
        <is>
          <t>Square/Rect Tubes</t>
        </is>
      </c>
      <c r="E1867" s="12" t="inlineStr">
        <is>
          <t>N</t>
        </is>
      </c>
      <c r="F1867" s="12" t="n">
        <v>43.6</v>
      </c>
      <c r="G1867" s="17" t="n">
        <v>107539.39</v>
      </c>
      <c r="H1867" s="26" t="n">
        <v>45162</v>
      </c>
      <c r="I1867" s="26" t="n">
        <v>45165</v>
      </c>
      <c r="J1867" s="12" t="n">
        <v>43.32</v>
      </c>
      <c r="K1867" s="17" t="n">
        <v>4688717.4</v>
      </c>
      <c r="L1867" s="12" t="n">
        <v>0</v>
      </c>
      <c r="M1867" s="12" t="n">
        <v>21</v>
      </c>
      <c r="N1867" s="27">
        <f>F1867-J1867</f>
        <v/>
      </c>
      <c r="O1867" s="16">
        <f>I1867-H1867</f>
        <v/>
      </c>
      <c r="P1867" s="14">
        <f>F1867*G1867</f>
        <v/>
      </c>
      <c r="Q1867" s="14">
        <f>J1867*G1867</f>
        <v/>
      </c>
      <c r="R1867" s="14">
        <f>K1867-Q1867</f>
        <v/>
      </c>
      <c r="S1867" s="3">
        <f>P1867*Assumptions!$B$3/100</f>
        <v/>
      </c>
      <c r="T1867" s="14">
        <f>R1867-S1867</f>
        <v/>
      </c>
      <c r="U1867" s="14">
        <f>L1867*G1867</f>
        <v/>
      </c>
    </row>
    <row r="1868">
      <c r="A1868" s="12" t="inlineStr">
        <is>
          <t>PO-2022-1866</t>
        </is>
      </c>
      <c r="B1868" s="26" t="n">
        <v>44538</v>
      </c>
      <c r="C1868" s="12" t="inlineStr">
        <is>
          <t>VS05</t>
        </is>
      </c>
      <c r="D1868" s="12" t="inlineStr">
        <is>
          <t>Square/Rect Tubes</t>
        </is>
      </c>
      <c r="E1868" s="12" t="inlineStr">
        <is>
          <t>N</t>
        </is>
      </c>
      <c r="F1868" s="12" t="n">
        <v>26.23</v>
      </c>
      <c r="G1868" s="17" t="n">
        <v>84698.23</v>
      </c>
      <c r="H1868" s="26" t="n">
        <v>44547</v>
      </c>
      <c r="I1868" s="26" t="n">
        <v>44548</v>
      </c>
      <c r="J1868" s="12" t="n">
        <v>26.03</v>
      </c>
      <c r="K1868" s="17" t="n">
        <v>2221634.57</v>
      </c>
      <c r="L1868" s="12" t="n">
        <v>0</v>
      </c>
      <c r="M1868" s="12" t="n">
        <v>0</v>
      </c>
      <c r="N1868" s="27">
        <f>F1868-J1868</f>
        <v/>
      </c>
      <c r="O1868" s="16">
        <f>I1868-H1868</f>
        <v/>
      </c>
      <c r="P1868" s="14">
        <f>F1868*G1868</f>
        <v/>
      </c>
      <c r="Q1868" s="14">
        <f>J1868*G1868</f>
        <v/>
      </c>
      <c r="R1868" s="14">
        <f>K1868-Q1868</f>
        <v/>
      </c>
      <c r="S1868" s="3">
        <f>P1868*Assumptions!$B$3/100</f>
        <v/>
      </c>
      <c r="T1868" s="14">
        <f>R1868-S1868</f>
        <v/>
      </c>
      <c r="U1868" s="14">
        <f>L1868*G1868</f>
        <v/>
      </c>
    </row>
    <row r="1869">
      <c r="A1869" s="12" t="inlineStr">
        <is>
          <t>PO-2022-1867</t>
        </is>
      </c>
      <c r="B1869" s="26" t="n">
        <v>45061</v>
      </c>
      <c r="C1869" s="12" t="inlineStr">
        <is>
          <t>VS23</t>
        </is>
      </c>
      <c r="D1869" s="12" t="inlineStr">
        <is>
          <t>Square/Rect Tubes</t>
        </is>
      </c>
      <c r="E1869" s="12" t="inlineStr">
        <is>
          <t>N</t>
        </is>
      </c>
      <c r="F1869" s="12" t="n">
        <v>20.71</v>
      </c>
      <c r="G1869" s="17" t="n">
        <v>86770.56</v>
      </c>
      <c r="H1869" s="26" t="n">
        <v>45075</v>
      </c>
      <c r="I1869" s="26" t="n">
        <v>45075</v>
      </c>
      <c r="J1869" s="12" t="n">
        <v>20.69</v>
      </c>
      <c r="K1869" s="17" t="n">
        <v>1797018.3</v>
      </c>
      <c r="L1869" s="12" t="n">
        <v>0</v>
      </c>
      <c r="M1869" s="12" t="n">
        <v>16</v>
      </c>
      <c r="N1869" s="27">
        <f>F1869-J1869</f>
        <v/>
      </c>
      <c r="O1869" s="16">
        <f>I1869-H1869</f>
        <v/>
      </c>
      <c r="P1869" s="14">
        <f>F1869*G1869</f>
        <v/>
      </c>
      <c r="Q1869" s="14">
        <f>J1869*G1869</f>
        <v/>
      </c>
      <c r="R1869" s="14">
        <f>K1869-Q1869</f>
        <v/>
      </c>
      <c r="S1869" s="3">
        <f>P1869*Assumptions!$B$3/100</f>
        <v/>
      </c>
      <c r="T1869" s="14">
        <f>R1869-S1869</f>
        <v/>
      </c>
      <c r="U1869" s="14">
        <f>L1869*G1869</f>
        <v/>
      </c>
    </row>
    <row r="1870">
      <c r="A1870" s="12" t="inlineStr">
        <is>
          <t>PO-2022-1868</t>
        </is>
      </c>
      <c r="B1870" s="26" t="n">
        <v>44797</v>
      </c>
      <c r="C1870" s="12" t="inlineStr">
        <is>
          <t>VS08</t>
        </is>
      </c>
      <c r="D1870" s="12" t="inlineStr">
        <is>
          <t>MS Flats</t>
        </is>
      </c>
      <c r="E1870" s="12" t="inlineStr">
        <is>
          <t>N</t>
        </is>
      </c>
      <c r="F1870" s="12" t="n">
        <v>44.97</v>
      </c>
      <c r="G1870" s="17" t="n">
        <v>112376.54</v>
      </c>
      <c r="H1870" s="26" t="n">
        <v>44809</v>
      </c>
      <c r="I1870" s="26" t="n">
        <v>44811</v>
      </c>
      <c r="J1870" s="12" t="n">
        <v>44.75</v>
      </c>
      <c r="K1870" s="17" t="n">
        <v>5053573</v>
      </c>
      <c r="L1870" s="12" t="n">
        <v>0</v>
      </c>
      <c r="M1870" s="12" t="n">
        <v>0</v>
      </c>
      <c r="N1870" s="27">
        <f>F1870-J1870</f>
        <v/>
      </c>
      <c r="O1870" s="16">
        <f>I1870-H1870</f>
        <v/>
      </c>
      <c r="P1870" s="14">
        <f>F1870*G1870</f>
        <v/>
      </c>
      <c r="Q1870" s="14">
        <f>J1870*G1870</f>
        <v/>
      </c>
      <c r="R1870" s="14">
        <f>K1870-Q1870</f>
        <v/>
      </c>
      <c r="S1870" s="3">
        <f>P1870*Assumptions!$B$3/100</f>
        <v/>
      </c>
      <c r="T1870" s="14">
        <f>R1870-S1870</f>
        <v/>
      </c>
      <c r="U1870" s="14">
        <f>L1870*G1870</f>
        <v/>
      </c>
    </row>
    <row r="1871">
      <c r="A1871" s="12" t="inlineStr">
        <is>
          <t>PO-2022-1869</t>
        </is>
      </c>
      <c r="B1871" s="26" t="n">
        <v>44417</v>
      </c>
      <c r="C1871" s="12" t="inlineStr">
        <is>
          <t>VS03</t>
        </is>
      </c>
      <c r="D1871" s="12" t="inlineStr">
        <is>
          <t>SS Pipes</t>
        </is>
      </c>
      <c r="E1871" s="12" t="inlineStr">
        <is>
          <t>N</t>
        </is>
      </c>
      <c r="F1871" s="12" t="n">
        <v>37.2</v>
      </c>
      <c r="G1871" s="17" t="n">
        <v>74486.7</v>
      </c>
      <c r="H1871" s="26" t="n">
        <v>44427</v>
      </c>
      <c r="I1871" s="26" t="n">
        <v>44431</v>
      </c>
      <c r="J1871" s="12" t="n">
        <v>35.85</v>
      </c>
      <c r="K1871" s="17" t="n">
        <v>2770905.24</v>
      </c>
      <c r="L1871" s="12" t="n">
        <v>0.59</v>
      </c>
      <c r="M1871" s="12" t="n">
        <v>0</v>
      </c>
      <c r="N1871" s="27">
        <f>F1871-J1871</f>
        <v/>
      </c>
      <c r="O1871" s="16">
        <f>I1871-H1871</f>
        <v/>
      </c>
      <c r="P1871" s="14">
        <f>F1871*G1871</f>
        <v/>
      </c>
      <c r="Q1871" s="14">
        <f>J1871*G1871</f>
        <v/>
      </c>
      <c r="R1871" s="14">
        <f>K1871-Q1871</f>
        <v/>
      </c>
      <c r="S1871" s="3">
        <f>P1871*Assumptions!$B$3/100</f>
        <v/>
      </c>
      <c r="T1871" s="14">
        <f>R1871-S1871</f>
        <v/>
      </c>
      <c r="U1871" s="14">
        <f>L1871*G1871</f>
        <v/>
      </c>
    </row>
    <row r="1872">
      <c r="A1872" s="12" t="inlineStr">
        <is>
          <t>PO-2022-1870</t>
        </is>
      </c>
      <c r="B1872" s="26" t="n">
        <v>45034</v>
      </c>
      <c r="C1872" s="12" t="inlineStr">
        <is>
          <t>VS29</t>
        </is>
      </c>
      <c r="D1872" s="12" t="inlineStr">
        <is>
          <t>GI Wire</t>
        </is>
      </c>
      <c r="E1872" s="12" t="inlineStr">
        <is>
          <t>N</t>
        </is>
      </c>
      <c r="F1872" s="12" t="n">
        <v>15.18</v>
      </c>
      <c r="G1872" s="17" t="n">
        <v>80782.95</v>
      </c>
      <c r="H1872" s="26" t="n">
        <v>45039</v>
      </c>
      <c r="I1872" s="26" t="n">
        <v>45042</v>
      </c>
      <c r="J1872" s="12" t="n">
        <v>15.1</v>
      </c>
      <c r="K1872" s="17" t="n">
        <v>1226285.18</v>
      </c>
      <c r="L1872" s="12" t="n">
        <v>0</v>
      </c>
      <c r="M1872" s="12" t="n">
        <v>8</v>
      </c>
      <c r="N1872" s="27">
        <f>F1872-J1872</f>
        <v/>
      </c>
      <c r="O1872" s="16">
        <f>I1872-H1872</f>
        <v/>
      </c>
      <c r="P1872" s="14">
        <f>F1872*G1872</f>
        <v/>
      </c>
      <c r="Q1872" s="14">
        <f>J1872*G1872</f>
        <v/>
      </c>
      <c r="R1872" s="14">
        <f>K1872-Q1872</f>
        <v/>
      </c>
      <c r="S1872" s="3">
        <f>P1872*Assumptions!$B$3/100</f>
        <v/>
      </c>
      <c r="T1872" s="14">
        <f>R1872-S1872</f>
        <v/>
      </c>
      <c r="U1872" s="14">
        <f>L1872*G1872</f>
        <v/>
      </c>
    </row>
    <row r="1873">
      <c r="A1873" s="12" t="inlineStr">
        <is>
          <t>PO-2022-1871</t>
        </is>
      </c>
      <c r="B1873" s="26" t="n">
        <v>44572</v>
      </c>
      <c r="C1873" s="12" t="inlineStr">
        <is>
          <t>VS33</t>
        </is>
      </c>
      <c r="D1873" s="12" t="inlineStr">
        <is>
          <t>SS Pipes</t>
        </is>
      </c>
      <c r="E1873" s="12" t="inlineStr">
        <is>
          <t>N</t>
        </is>
      </c>
      <c r="F1873" s="12" t="n">
        <v>8.460000000000001</v>
      </c>
      <c r="G1873" s="17" t="n">
        <v>45583.78</v>
      </c>
      <c r="H1873" s="26" t="n">
        <v>44584</v>
      </c>
      <c r="I1873" s="26" t="n">
        <v>44584</v>
      </c>
      <c r="J1873" s="12" t="n">
        <v>8.43</v>
      </c>
      <c r="K1873" s="17" t="n">
        <v>385638.78</v>
      </c>
      <c r="L1873" s="12" t="n">
        <v>0</v>
      </c>
      <c r="M1873" s="12" t="n">
        <v>15</v>
      </c>
      <c r="N1873" s="27">
        <f>F1873-J1873</f>
        <v/>
      </c>
      <c r="O1873" s="16">
        <f>I1873-H1873</f>
        <v/>
      </c>
      <c r="P1873" s="14">
        <f>F1873*G1873</f>
        <v/>
      </c>
      <c r="Q1873" s="14">
        <f>J1873*G1873</f>
        <v/>
      </c>
      <c r="R1873" s="14">
        <f>K1873-Q1873</f>
        <v/>
      </c>
      <c r="S1873" s="3">
        <f>P1873*Assumptions!$B$3/100</f>
        <v/>
      </c>
      <c r="T1873" s="14">
        <f>R1873-S1873</f>
        <v/>
      </c>
      <c r="U1873" s="14">
        <f>L1873*G1873</f>
        <v/>
      </c>
    </row>
    <row r="1874">
      <c r="A1874" s="12" t="inlineStr">
        <is>
          <t>PO-2022-1872</t>
        </is>
      </c>
      <c r="B1874" s="26" t="n">
        <v>44954</v>
      </c>
      <c r="C1874" s="12" t="inlineStr">
        <is>
          <t>VS30</t>
        </is>
      </c>
      <c r="D1874" s="12" t="inlineStr">
        <is>
          <t>MS Rods</t>
        </is>
      </c>
      <c r="E1874" s="12" t="inlineStr">
        <is>
          <t>N</t>
        </is>
      </c>
      <c r="F1874" s="12" t="n">
        <v>16.7</v>
      </c>
      <c r="G1874" s="17" t="n">
        <v>58254.17</v>
      </c>
      <c r="H1874" s="26" t="n">
        <v>44968</v>
      </c>
      <c r="I1874" s="26" t="n">
        <v>44971</v>
      </c>
      <c r="J1874" s="12" t="n">
        <v>16.66</v>
      </c>
      <c r="K1874" s="17" t="n">
        <v>972844.64</v>
      </c>
      <c r="L1874" s="12" t="n">
        <v>0</v>
      </c>
      <c r="M1874" s="12" t="n">
        <v>6</v>
      </c>
      <c r="N1874" s="27">
        <f>F1874-J1874</f>
        <v/>
      </c>
      <c r="O1874" s="16">
        <f>I1874-H1874</f>
        <v/>
      </c>
      <c r="P1874" s="14">
        <f>F1874*G1874</f>
        <v/>
      </c>
      <c r="Q1874" s="14">
        <f>J1874*G1874</f>
        <v/>
      </c>
      <c r="R1874" s="14">
        <f>K1874-Q1874</f>
        <v/>
      </c>
      <c r="S1874" s="3">
        <f>P1874*Assumptions!$B$3/100</f>
        <v/>
      </c>
      <c r="T1874" s="14">
        <f>R1874-S1874</f>
        <v/>
      </c>
      <c r="U1874" s="14">
        <f>L1874*G1874</f>
        <v/>
      </c>
    </row>
    <row r="1875">
      <c r="A1875" s="12" t="inlineStr">
        <is>
          <t>PO-2022-1873</t>
        </is>
      </c>
      <c r="B1875" s="26" t="n">
        <v>44769</v>
      </c>
      <c r="C1875" s="12" t="inlineStr">
        <is>
          <t>VS07</t>
        </is>
      </c>
      <c r="D1875" s="12" t="inlineStr">
        <is>
          <t>HR Coils</t>
        </is>
      </c>
      <c r="E1875" s="12" t="inlineStr">
        <is>
          <t>N</t>
        </is>
      </c>
      <c r="F1875" s="12" t="n">
        <v>15.57</v>
      </c>
      <c r="G1875" s="17" t="n">
        <v>70583.78999999999</v>
      </c>
      <c r="H1875" s="26" t="n">
        <v>44781</v>
      </c>
      <c r="I1875" s="26" t="n">
        <v>44784</v>
      </c>
      <c r="J1875" s="12" t="n">
        <v>15.53</v>
      </c>
      <c r="K1875" s="17" t="n">
        <v>1098989.61</v>
      </c>
      <c r="L1875" s="12" t="n">
        <v>0</v>
      </c>
      <c r="M1875" s="12" t="n">
        <v>0</v>
      </c>
      <c r="N1875" s="27">
        <f>F1875-J1875</f>
        <v/>
      </c>
      <c r="O1875" s="16">
        <f>I1875-H1875</f>
        <v/>
      </c>
      <c r="P1875" s="14">
        <f>F1875*G1875</f>
        <v/>
      </c>
      <c r="Q1875" s="14">
        <f>J1875*G1875</f>
        <v/>
      </c>
      <c r="R1875" s="14">
        <f>K1875-Q1875</f>
        <v/>
      </c>
      <c r="S1875" s="3">
        <f>P1875*Assumptions!$B$3/100</f>
        <v/>
      </c>
      <c r="T1875" s="14">
        <f>R1875-S1875</f>
        <v/>
      </c>
      <c r="U1875" s="14">
        <f>L1875*G1875</f>
        <v/>
      </c>
    </row>
    <row r="1876">
      <c r="A1876" s="12" t="inlineStr">
        <is>
          <t>PO-2022-1874</t>
        </is>
      </c>
      <c r="B1876" s="26" t="n">
        <v>45257</v>
      </c>
      <c r="C1876" s="12" t="inlineStr">
        <is>
          <t>VS34</t>
        </is>
      </c>
      <c r="D1876" s="12" t="inlineStr">
        <is>
          <t>Hex Bars</t>
        </is>
      </c>
      <c r="E1876" s="12" t="inlineStr">
        <is>
          <t>N</t>
        </is>
      </c>
      <c r="F1876" s="12" t="n">
        <v>42.36</v>
      </c>
      <c r="G1876" s="17" t="n">
        <v>77001.71000000001</v>
      </c>
      <c r="H1876" s="26" t="n">
        <v>45265</v>
      </c>
      <c r="I1876" s="26" t="n">
        <v>45265</v>
      </c>
      <c r="J1876" s="12" t="n">
        <v>41.94</v>
      </c>
      <c r="K1876" s="17" t="n">
        <v>3261792.44</v>
      </c>
      <c r="L1876" s="12" t="n">
        <v>0</v>
      </c>
      <c r="M1876" s="12" t="n">
        <v>0</v>
      </c>
      <c r="N1876" s="27">
        <f>F1876-J1876</f>
        <v/>
      </c>
      <c r="O1876" s="16">
        <f>I1876-H1876</f>
        <v/>
      </c>
      <c r="P1876" s="14">
        <f>F1876*G1876</f>
        <v/>
      </c>
      <c r="Q1876" s="14">
        <f>J1876*G1876</f>
        <v/>
      </c>
      <c r="R1876" s="14">
        <f>K1876-Q1876</f>
        <v/>
      </c>
      <c r="S1876" s="3">
        <f>P1876*Assumptions!$B$3/100</f>
        <v/>
      </c>
      <c r="T1876" s="14">
        <f>R1876-S1876</f>
        <v/>
      </c>
      <c r="U1876" s="14">
        <f>L1876*G1876</f>
        <v/>
      </c>
    </row>
    <row r="1877">
      <c r="A1877" s="12" t="inlineStr">
        <is>
          <t>PO-2022-1875</t>
        </is>
      </c>
      <c r="B1877" s="26" t="n">
        <v>44983</v>
      </c>
      <c r="C1877" s="12" t="inlineStr">
        <is>
          <t>VS21</t>
        </is>
      </c>
      <c r="D1877" s="12" t="inlineStr">
        <is>
          <t>MS Sheets</t>
        </is>
      </c>
      <c r="E1877" s="12" t="inlineStr">
        <is>
          <t>N</t>
        </is>
      </c>
      <c r="F1877" s="12" t="n">
        <v>47.72</v>
      </c>
      <c r="G1877" s="17" t="n">
        <v>48145.08</v>
      </c>
      <c r="H1877" s="26" t="n">
        <v>44997</v>
      </c>
      <c r="I1877" s="26" t="n">
        <v>45000</v>
      </c>
      <c r="J1877" s="12" t="n">
        <v>47.51</v>
      </c>
      <c r="K1877" s="17" t="n">
        <v>2297483.22</v>
      </c>
      <c r="L1877" s="12" t="n">
        <v>0</v>
      </c>
      <c r="M1877" s="12" t="n">
        <v>19</v>
      </c>
      <c r="N1877" s="27">
        <f>F1877-J1877</f>
        <v/>
      </c>
      <c r="O1877" s="16">
        <f>I1877-H1877</f>
        <v/>
      </c>
      <c r="P1877" s="14">
        <f>F1877*G1877</f>
        <v/>
      </c>
      <c r="Q1877" s="14">
        <f>J1877*G1877</f>
        <v/>
      </c>
      <c r="R1877" s="14">
        <f>K1877-Q1877</f>
        <v/>
      </c>
      <c r="S1877" s="3">
        <f>P1877*Assumptions!$B$3/100</f>
        <v/>
      </c>
      <c r="T1877" s="14">
        <f>R1877-S1877</f>
        <v/>
      </c>
      <c r="U1877" s="14">
        <f>L1877*G1877</f>
        <v/>
      </c>
    </row>
    <row r="1878">
      <c r="A1878" s="12" t="inlineStr">
        <is>
          <t>PO-2022-1876</t>
        </is>
      </c>
      <c r="B1878" s="26" t="n">
        <v>44628</v>
      </c>
      <c r="C1878" s="12" t="inlineStr">
        <is>
          <t>VS28</t>
        </is>
      </c>
      <c r="D1878" s="12" t="inlineStr">
        <is>
          <t>Hex Bars</t>
        </is>
      </c>
      <c r="E1878" s="12" t="inlineStr">
        <is>
          <t>N</t>
        </is>
      </c>
      <c r="F1878" s="12" t="n">
        <v>14.63</v>
      </c>
      <c r="G1878" s="17" t="n">
        <v>110968.78</v>
      </c>
      <c r="H1878" s="26" t="n">
        <v>44636</v>
      </c>
      <c r="I1878" s="26" t="n">
        <v>44639</v>
      </c>
      <c r="J1878" s="12" t="n">
        <v>14.57</v>
      </c>
      <c r="K1878" s="17" t="n">
        <v>1623473.25</v>
      </c>
      <c r="L1878" s="12" t="n">
        <v>0</v>
      </c>
      <c r="M1878" s="12" t="n">
        <v>1</v>
      </c>
      <c r="N1878" s="27">
        <f>F1878-J1878</f>
        <v/>
      </c>
      <c r="O1878" s="16">
        <f>I1878-H1878</f>
        <v/>
      </c>
      <c r="P1878" s="14">
        <f>F1878*G1878</f>
        <v/>
      </c>
      <c r="Q1878" s="14">
        <f>J1878*G1878</f>
        <v/>
      </c>
      <c r="R1878" s="14">
        <f>K1878-Q1878</f>
        <v/>
      </c>
      <c r="S1878" s="3">
        <f>P1878*Assumptions!$B$3/100</f>
        <v/>
      </c>
      <c r="T1878" s="14">
        <f>R1878-S1878</f>
        <v/>
      </c>
      <c r="U1878" s="14">
        <f>L1878*G1878</f>
        <v/>
      </c>
    </row>
    <row r="1879">
      <c r="A1879" s="12" t="inlineStr">
        <is>
          <t>PO-2022-1877</t>
        </is>
      </c>
      <c r="B1879" s="26" t="n">
        <v>44400</v>
      </c>
      <c r="C1879" s="12" t="inlineStr">
        <is>
          <t>VS23</t>
        </is>
      </c>
      <c r="D1879" s="12" t="inlineStr">
        <is>
          <t>SS Sheets</t>
        </is>
      </c>
      <c r="E1879" s="12" t="inlineStr">
        <is>
          <t>N</t>
        </is>
      </c>
      <c r="F1879" s="12" t="n">
        <v>9.109999999999999</v>
      </c>
      <c r="G1879" s="17" t="n">
        <v>66588.24000000001</v>
      </c>
      <c r="H1879" s="26" t="n">
        <v>44410</v>
      </c>
      <c r="I1879" s="26" t="n">
        <v>44413</v>
      </c>
      <c r="J1879" s="12" t="n">
        <v>9.109999999999999</v>
      </c>
      <c r="K1879" s="17" t="n">
        <v>606618.87</v>
      </c>
      <c r="L1879" s="12" t="n">
        <v>0</v>
      </c>
      <c r="M1879" s="12" t="n">
        <v>22</v>
      </c>
      <c r="N1879" s="27">
        <f>F1879-J1879</f>
        <v/>
      </c>
      <c r="O1879" s="16">
        <f>I1879-H1879</f>
        <v/>
      </c>
      <c r="P1879" s="14">
        <f>F1879*G1879</f>
        <v/>
      </c>
      <c r="Q1879" s="14">
        <f>J1879*G1879</f>
        <v/>
      </c>
      <c r="R1879" s="14">
        <f>K1879-Q1879</f>
        <v/>
      </c>
      <c r="S1879" s="3">
        <f>P1879*Assumptions!$B$3/100</f>
        <v/>
      </c>
      <c r="T1879" s="14">
        <f>R1879-S1879</f>
        <v/>
      </c>
      <c r="U1879" s="14">
        <f>L1879*G1879</f>
        <v/>
      </c>
    </row>
    <row r="1880">
      <c r="A1880" s="12" t="inlineStr">
        <is>
          <t>PO-2022-1878</t>
        </is>
      </c>
      <c r="B1880" s="26" t="n">
        <v>45095</v>
      </c>
      <c r="C1880" s="12" t="inlineStr">
        <is>
          <t>VS15</t>
        </is>
      </c>
      <c r="D1880" s="12" t="inlineStr">
        <is>
          <t>MS Sheets</t>
        </is>
      </c>
      <c r="E1880" s="12" t="inlineStr">
        <is>
          <t>N</t>
        </is>
      </c>
      <c r="F1880" s="12" t="n">
        <v>15.14</v>
      </c>
      <c r="G1880" s="17" t="n">
        <v>113826.98</v>
      </c>
      <c r="H1880" s="26" t="n">
        <v>45107</v>
      </c>
      <c r="I1880" s="26" t="n">
        <v>45108</v>
      </c>
      <c r="J1880" s="12" t="n">
        <v>15</v>
      </c>
      <c r="K1880" s="17" t="n">
        <v>1723340.48</v>
      </c>
      <c r="L1880" s="12" t="n">
        <v>0</v>
      </c>
      <c r="M1880" s="12" t="n">
        <v>0</v>
      </c>
      <c r="N1880" s="27">
        <f>F1880-J1880</f>
        <v/>
      </c>
      <c r="O1880" s="16">
        <f>I1880-H1880</f>
        <v/>
      </c>
      <c r="P1880" s="14">
        <f>F1880*G1880</f>
        <v/>
      </c>
      <c r="Q1880" s="14">
        <f>J1880*G1880</f>
        <v/>
      </c>
      <c r="R1880" s="14">
        <f>K1880-Q1880</f>
        <v/>
      </c>
      <c r="S1880" s="3">
        <f>P1880*Assumptions!$B$3/100</f>
        <v/>
      </c>
      <c r="T1880" s="14">
        <f>R1880-S1880</f>
        <v/>
      </c>
      <c r="U1880" s="14">
        <f>L1880*G1880</f>
        <v/>
      </c>
    </row>
    <row r="1881">
      <c r="A1881" s="12" t="inlineStr">
        <is>
          <t>PO-2022-1879</t>
        </is>
      </c>
      <c r="B1881" s="26" t="n">
        <v>44414</v>
      </c>
      <c r="C1881" s="12" t="inlineStr">
        <is>
          <t>VS15</t>
        </is>
      </c>
      <c r="D1881" s="12" t="inlineStr">
        <is>
          <t>CR Sheets</t>
        </is>
      </c>
      <c r="E1881" s="12" t="inlineStr">
        <is>
          <t>N</t>
        </is>
      </c>
      <c r="F1881" s="12" t="n">
        <v>7.91</v>
      </c>
      <c r="G1881" s="17" t="n">
        <v>60513.23</v>
      </c>
      <c r="H1881" s="26" t="n">
        <v>44425</v>
      </c>
      <c r="I1881" s="26" t="n">
        <v>44425</v>
      </c>
      <c r="J1881" s="12" t="n">
        <v>7.9</v>
      </c>
      <c r="K1881" s="17" t="n">
        <v>478659.65</v>
      </c>
      <c r="L1881" s="12" t="n">
        <v>0</v>
      </c>
      <c r="M1881" s="12" t="n">
        <v>8</v>
      </c>
      <c r="N1881" s="27">
        <f>F1881-J1881</f>
        <v/>
      </c>
      <c r="O1881" s="16">
        <f>I1881-H1881</f>
        <v/>
      </c>
      <c r="P1881" s="14">
        <f>F1881*G1881</f>
        <v/>
      </c>
      <c r="Q1881" s="14">
        <f>J1881*G1881</f>
        <v/>
      </c>
      <c r="R1881" s="14">
        <f>K1881-Q1881</f>
        <v/>
      </c>
      <c r="S1881" s="3">
        <f>P1881*Assumptions!$B$3/100</f>
        <v/>
      </c>
      <c r="T1881" s="14">
        <f>R1881-S1881</f>
        <v/>
      </c>
      <c r="U1881" s="14">
        <f>L1881*G1881</f>
        <v/>
      </c>
    </row>
    <row r="1882">
      <c r="A1882" s="12" t="inlineStr">
        <is>
          <t>PO-2022-1880</t>
        </is>
      </c>
      <c r="B1882" s="26" t="n">
        <v>44542</v>
      </c>
      <c r="C1882" s="12" t="inlineStr">
        <is>
          <t>VS02</t>
        </is>
      </c>
      <c r="D1882" s="12" t="inlineStr">
        <is>
          <t>GI Pipes</t>
        </is>
      </c>
      <c r="E1882" s="12" t="inlineStr">
        <is>
          <t>N</t>
        </is>
      </c>
      <c r="F1882" s="12" t="n">
        <v>48.03</v>
      </c>
      <c r="G1882" s="17" t="n">
        <v>85487.23</v>
      </c>
      <c r="H1882" s="26" t="n">
        <v>44557</v>
      </c>
      <c r="I1882" s="26" t="n">
        <v>44558</v>
      </c>
      <c r="J1882" s="12" t="n">
        <v>47.94</v>
      </c>
      <c r="K1882" s="17" t="n">
        <v>4105951.66</v>
      </c>
      <c r="L1882" s="12" t="n">
        <v>0</v>
      </c>
      <c r="M1882" s="12" t="n">
        <v>23</v>
      </c>
      <c r="N1882" s="27">
        <f>F1882-J1882</f>
        <v/>
      </c>
      <c r="O1882" s="16">
        <f>I1882-H1882</f>
        <v/>
      </c>
      <c r="P1882" s="14">
        <f>F1882*G1882</f>
        <v/>
      </c>
      <c r="Q1882" s="14">
        <f>J1882*G1882</f>
        <v/>
      </c>
      <c r="R1882" s="14">
        <f>K1882-Q1882</f>
        <v/>
      </c>
      <c r="S1882" s="3">
        <f>P1882*Assumptions!$B$3/100</f>
        <v/>
      </c>
      <c r="T1882" s="14">
        <f>R1882-S1882</f>
        <v/>
      </c>
      <c r="U1882" s="14">
        <f>L1882*G1882</f>
        <v/>
      </c>
    </row>
    <row r="1883">
      <c r="A1883" s="12" t="inlineStr">
        <is>
          <t>PO-2022-1881</t>
        </is>
      </c>
      <c r="B1883" s="26" t="n">
        <v>44596</v>
      </c>
      <c r="C1883" s="12" t="inlineStr">
        <is>
          <t>VS01</t>
        </is>
      </c>
      <c r="D1883" s="12" t="inlineStr">
        <is>
          <t>Structural Steel</t>
        </is>
      </c>
      <c r="E1883" s="12" t="inlineStr">
        <is>
          <t>N</t>
        </is>
      </c>
      <c r="F1883" s="12" t="n">
        <v>41.79</v>
      </c>
      <c r="G1883" s="17" t="n">
        <v>46933.3</v>
      </c>
      <c r="H1883" s="26" t="n">
        <v>44602</v>
      </c>
      <c r="I1883" s="26" t="n">
        <v>44604</v>
      </c>
      <c r="J1883" s="12" t="n">
        <v>41.71</v>
      </c>
      <c r="K1883" s="17" t="n">
        <v>1961342.61</v>
      </c>
      <c r="L1883" s="12" t="n">
        <v>0</v>
      </c>
      <c r="M1883" s="12" t="n">
        <v>0</v>
      </c>
      <c r="N1883" s="27">
        <f>F1883-J1883</f>
        <v/>
      </c>
      <c r="O1883" s="16">
        <f>I1883-H1883</f>
        <v/>
      </c>
      <c r="P1883" s="14">
        <f>F1883*G1883</f>
        <v/>
      </c>
      <c r="Q1883" s="14">
        <f>J1883*G1883</f>
        <v/>
      </c>
      <c r="R1883" s="14">
        <f>K1883-Q1883</f>
        <v/>
      </c>
      <c r="S1883" s="3">
        <f>P1883*Assumptions!$B$3/100</f>
        <v/>
      </c>
      <c r="T1883" s="14">
        <f>R1883-S1883</f>
        <v/>
      </c>
      <c r="U1883" s="14">
        <f>L1883*G1883</f>
        <v/>
      </c>
    </row>
    <row r="1884">
      <c r="A1884" s="12" t="inlineStr">
        <is>
          <t>PO-2022-1882</t>
        </is>
      </c>
      <c r="B1884" s="26" t="n">
        <v>44774</v>
      </c>
      <c r="C1884" s="12" t="inlineStr">
        <is>
          <t>VS28</t>
        </is>
      </c>
      <c r="D1884" s="12" t="inlineStr">
        <is>
          <t>Fasteners &amp; Fittings</t>
        </is>
      </c>
      <c r="E1884" s="12" t="inlineStr">
        <is>
          <t>N</t>
        </is>
      </c>
      <c r="F1884" s="12" t="n">
        <v>26.52</v>
      </c>
      <c r="G1884" s="17" t="n">
        <v>107327.84</v>
      </c>
      <c r="H1884" s="26" t="n">
        <v>44781</v>
      </c>
      <c r="I1884" s="26" t="n">
        <v>44782</v>
      </c>
      <c r="J1884" s="12" t="n">
        <v>26.46</v>
      </c>
      <c r="K1884" s="17" t="n">
        <v>2846334.32</v>
      </c>
      <c r="L1884" s="12" t="n">
        <v>0</v>
      </c>
      <c r="M1884" s="12" t="n">
        <v>0</v>
      </c>
      <c r="N1884" s="27">
        <f>F1884-J1884</f>
        <v/>
      </c>
      <c r="O1884" s="16">
        <f>I1884-H1884</f>
        <v/>
      </c>
      <c r="P1884" s="14">
        <f>F1884*G1884</f>
        <v/>
      </c>
      <c r="Q1884" s="14">
        <f>J1884*G1884</f>
        <v/>
      </c>
      <c r="R1884" s="14">
        <f>K1884-Q1884</f>
        <v/>
      </c>
      <c r="S1884" s="3">
        <f>P1884*Assumptions!$B$3/100</f>
        <v/>
      </c>
      <c r="T1884" s="14">
        <f>R1884-S1884</f>
        <v/>
      </c>
      <c r="U1884" s="14">
        <f>L1884*G1884</f>
        <v/>
      </c>
    </row>
    <row r="1885">
      <c r="A1885" s="12" t="inlineStr">
        <is>
          <t>PO-2022-1883</t>
        </is>
      </c>
      <c r="B1885" s="26" t="n">
        <v>44421</v>
      </c>
      <c r="C1885" s="12" t="inlineStr">
        <is>
          <t>VS08</t>
        </is>
      </c>
      <c r="D1885" s="12" t="inlineStr">
        <is>
          <t>Fasteners &amp; Fittings</t>
        </is>
      </c>
      <c r="E1885" s="12" t="inlineStr">
        <is>
          <t>N</t>
        </is>
      </c>
      <c r="F1885" s="12" t="n">
        <v>44.56</v>
      </c>
      <c r="G1885" s="17" t="n">
        <v>81994.17</v>
      </c>
      <c r="H1885" s="26" t="n">
        <v>44425</v>
      </c>
      <c r="I1885" s="26" t="n">
        <v>44425</v>
      </c>
      <c r="J1885" s="12" t="n">
        <v>44.39</v>
      </c>
      <c r="K1885" s="17" t="n">
        <v>3653660.22</v>
      </c>
      <c r="L1885" s="12" t="n">
        <v>0</v>
      </c>
      <c r="M1885" s="12" t="n">
        <v>19</v>
      </c>
      <c r="N1885" s="27">
        <f>F1885-J1885</f>
        <v/>
      </c>
      <c r="O1885" s="16">
        <f>I1885-H1885</f>
        <v/>
      </c>
      <c r="P1885" s="14">
        <f>F1885*G1885</f>
        <v/>
      </c>
      <c r="Q1885" s="14">
        <f>J1885*G1885</f>
        <v/>
      </c>
      <c r="R1885" s="14">
        <f>K1885-Q1885</f>
        <v/>
      </c>
      <c r="S1885" s="3">
        <f>P1885*Assumptions!$B$3/100</f>
        <v/>
      </c>
      <c r="T1885" s="14">
        <f>R1885-S1885</f>
        <v/>
      </c>
      <c r="U1885" s="14">
        <f>L1885*G1885</f>
        <v/>
      </c>
    </row>
    <row r="1886">
      <c r="A1886" s="12" t="inlineStr">
        <is>
          <t>PO-2022-1884</t>
        </is>
      </c>
      <c r="B1886" s="26" t="n">
        <v>44477</v>
      </c>
      <c r="C1886" s="12" t="inlineStr">
        <is>
          <t>VS18</t>
        </is>
      </c>
      <c r="D1886" s="12" t="inlineStr">
        <is>
          <t>ERW Pipes</t>
        </is>
      </c>
      <c r="E1886" s="12" t="inlineStr">
        <is>
          <t>N</t>
        </is>
      </c>
      <c r="F1886" s="12" t="n">
        <v>48.45</v>
      </c>
      <c r="G1886" s="17" t="n">
        <v>105273.08</v>
      </c>
      <c r="H1886" s="26" t="n">
        <v>44491</v>
      </c>
      <c r="I1886" s="26" t="n">
        <v>44493</v>
      </c>
      <c r="J1886" s="12" t="n">
        <v>48.22</v>
      </c>
      <c r="K1886" s="17" t="n">
        <v>5100480.73</v>
      </c>
      <c r="L1886" s="12" t="n">
        <v>0</v>
      </c>
      <c r="M1886" s="12" t="n">
        <v>0</v>
      </c>
      <c r="N1886" s="27">
        <f>F1886-J1886</f>
        <v/>
      </c>
      <c r="O1886" s="16">
        <f>I1886-H1886</f>
        <v/>
      </c>
      <c r="P1886" s="14">
        <f>F1886*G1886</f>
        <v/>
      </c>
      <c r="Q1886" s="14">
        <f>J1886*G1886</f>
        <v/>
      </c>
      <c r="R1886" s="14">
        <f>K1886-Q1886</f>
        <v/>
      </c>
      <c r="S1886" s="3">
        <f>P1886*Assumptions!$B$3/100</f>
        <v/>
      </c>
      <c r="T1886" s="14">
        <f>R1886-S1886</f>
        <v/>
      </c>
      <c r="U1886" s="14">
        <f>L1886*G1886</f>
        <v/>
      </c>
    </row>
    <row r="1887">
      <c r="A1887" s="12" t="inlineStr">
        <is>
          <t>PO-2022-1885</t>
        </is>
      </c>
      <c r="B1887" s="26" t="n">
        <v>44652</v>
      </c>
      <c r="C1887" s="12" t="inlineStr">
        <is>
          <t>VS05</t>
        </is>
      </c>
      <c r="D1887" s="12" t="inlineStr">
        <is>
          <t>MS Flats</t>
        </is>
      </c>
      <c r="E1887" s="12" t="inlineStr">
        <is>
          <t>Y</t>
        </is>
      </c>
      <c r="F1887" s="12" t="n">
        <v>8.68</v>
      </c>
      <c r="G1887" s="17" t="n">
        <v>70150.28999999999</v>
      </c>
      <c r="H1887" s="26" t="n">
        <v>44662</v>
      </c>
      <c r="I1887" s="26" t="n">
        <v>44664</v>
      </c>
      <c r="J1887" s="12" t="n">
        <v>8.68</v>
      </c>
      <c r="K1887" s="17" t="n">
        <v>608904.52</v>
      </c>
      <c r="L1887" s="12" t="n">
        <v>0</v>
      </c>
      <c r="M1887" s="12" t="n">
        <v>0</v>
      </c>
      <c r="N1887" s="27">
        <f>F1887-J1887</f>
        <v/>
      </c>
      <c r="O1887" s="16">
        <f>I1887-H1887</f>
        <v/>
      </c>
      <c r="P1887" s="14">
        <f>F1887*G1887</f>
        <v/>
      </c>
      <c r="Q1887" s="14">
        <f>J1887*G1887</f>
        <v/>
      </c>
      <c r="R1887" s="14">
        <f>K1887-Q1887</f>
        <v/>
      </c>
      <c r="S1887" s="3">
        <f>P1887*Assumptions!$B$3/100</f>
        <v/>
      </c>
      <c r="T1887" s="14">
        <f>R1887-S1887</f>
        <v/>
      </c>
      <c r="U1887" s="14">
        <f>L1887*G1887</f>
        <v/>
      </c>
    </row>
    <row r="1888">
      <c r="A1888" s="12" t="inlineStr">
        <is>
          <t>PO-2022-1886</t>
        </is>
      </c>
      <c r="B1888" s="26" t="n">
        <v>45247</v>
      </c>
      <c r="C1888" s="12" t="inlineStr">
        <is>
          <t>VS05</t>
        </is>
      </c>
      <c r="D1888" s="12" t="inlineStr">
        <is>
          <t>MS Flats</t>
        </is>
      </c>
      <c r="E1888" s="12" t="inlineStr">
        <is>
          <t>Y</t>
        </is>
      </c>
      <c r="F1888" s="12" t="n">
        <v>44.72</v>
      </c>
      <c r="G1888" s="17" t="n">
        <v>47876.76</v>
      </c>
      <c r="H1888" s="26" t="n">
        <v>45251</v>
      </c>
      <c r="I1888" s="26" t="n">
        <v>45253</v>
      </c>
      <c r="J1888" s="12" t="n">
        <v>44.48</v>
      </c>
      <c r="K1888" s="17" t="n">
        <v>2141048.71</v>
      </c>
      <c r="L1888" s="12" t="n">
        <v>0</v>
      </c>
      <c r="M1888" s="12" t="n">
        <v>0</v>
      </c>
      <c r="N1888" s="27">
        <f>F1888-J1888</f>
        <v/>
      </c>
      <c r="O1888" s="16">
        <f>I1888-H1888</f>
        <v/>
      </c>
      <c r="P1888" s="14">
        <f>F1888*G1888</f>
        <v/>
      </c>
      <c r="Q1888" s="14">
        <f>J1888*G1888</f>
        <v/>
      </c>
      <c r="R1888" s="14">
        <f>K1888-Q1888</f>
        <v/>
      </c>
      <c r="S1888" s="3">
        <f>P1888*Assumptions!$B$3/100</f>
        <v/>
      </c>
      <c r="T1888" s="14">
        <f>R1888-S1888</f>
        <v/>
      </c>
      <c r="U1888" s="14">
        <f>L1888*G1888</f>
        <v/>
      </c>
    </row>
    <row r="1889">
      <c r="A1889" s="12" t="inlineStr">
        <is>
          <t>PO-2022-1887</t>
        </is>
      </c>
      <c r="B1889" s="26" t="n">
        <v>45264</v>
      </c>
      <c r="C1889" s="12" t="inlineStr">
        <is>
          <t>VS21</t>
        </is>
      </c>
      <c r="D1889" s="12" t="inlineStr">
        <is>
          <t>GI Sheets</t>
        </is>
      </c>
      <c r="E1889" s="12" t="inlineStr">
        <is>
          <t>Y</t>
        </is>
      </c>
      <c r="F1889" s="12" t="n">
        <v>42.23</v>
      </c>
      <c r="G1889" s="17" t="n">
        <v>94584.78</v>
      </c>
      <c r="H1889" s="26" t="n">
        <v>45277</v>
      </c>
      <c r="I1889" s="26" t="n">
        <v>45280</v>
      </c>
      <c r="J1889" s="12" t="n">
        <v>42.05</v>
      </c>
      <c r="K1889" s="17" t="n">
        <v>3994315.26</v>
      </c>
      <c r="L1889" s="12" t="n">
        <v>0</v>
      </c>
      <c r="M1889" s="12" t="n">
        <v>3</v>
      </c>
      <c r="N1889" s="27">
        <f>F1889-J1889</f>
        <v/>
      </c>
      <c r="O1889" s="16">
        <f>I1889-H1889</f>
        <v/>
      </c>
      <c r="P1889" s="14">
        <f>F1889*G1889</f>
        <v/>
      </c>
      <c r="Q1889" s="14">
        <f>J1889*G1889</f>
        <v/>
      </c>
      <c r="R1889" s="14">
        <f>K1889-Q1889</f>
        <v/>
      </c>
      <c r="S1889" s="3">
        <f>P1889*Assumptions!$B$3/100</f>
        <v/>
      </c>
      <c r="T1889" s="14">
        <f>R1889-S1889</f>
        <v/>
      </c>
      <c r="U1889" s="14">
        <f>L1889*G1889</f>
        <v/>
      </c>
    </row>
    <row r="1890">
      <c r="A1890" s="12" t="inlineStr">
        <is>
          <t>PO-2022-1888</t>
        </is>
      </c>
      <c r="B1890" s="26" t="n">
        <v>44269</v>
      </c>
      <c r="C1890" s="12" t="inlineStr">
        <is>
          <t>VS01</t>
        </is>
      </c>
      <c r="D1890" s="12" t="inlineStr">
        <is>
          <t>HR Coils</t>
        </is>
      </c>
      <c r="E1890" s="12" t="inlineStr">
        <is>
          <t>N</t>
        </is>
      </c>
      <c r="F1890" s="12" t="n">
        <v>7.71</v>
      </c>
      <c r="G1890" s="17" t="n">
        <v>73215.67999999999</v>
      </c>
      <c r="H1890" s="26" t="n">
        <v>44275</v>
      </c>
      <c r="I1890" s="26" t="n">
        <v>44276</v>
      </c>
      <c r="J1890" s="12" t="n">
        <v>7.7</v>
      </c>
      <c r="K1890" s="17" t="n">
        <v>564492.89</v>
      </c>
      <c r="L1890" s="12" t="n">
        <v>0</v>
      </c>
      <c r="M1890" s="12" t="n">
        <v>3</v>
      </c>
      <c r="N1890" s="27">
        <f>F1890-J1890</f>
        <v/>
      </c>
      <c r="O1890" s="16">
        <f>I1890-H1890</f>
        <v/>
      </c>
      <c r="P1890" s="14">
        <f>F1890*G1890</f>
        <v/>
      </c>
      <c r="Q1890" s="14">
        <f>J1890*G1890</f>
        <v/>
      </c>
      <c r="R1890" s="14">
        <f>K1890-Q1890</f>
        <v/>
      </c>
      <c r="S1890" s="3">
        <f>P1890*Assumptions!$B$3/100</f>
        <v/>
      </c>
      <c r="T1890" s="14">
        <f>R1890-S1890</f>
        <v/>
      </c>
      <c r="U1890" s="14">
        <f>L1890*G1890</f>
        <v/>
      </c>
    </row>
    <row r="1891">
      <c r="A1891" s="12" t="inlineStr">
        <is>
          <t>PO-2022-1889</t>
        </is>
      </c>
      <c r="B1891" s="26" t="n">
        <v>44597</v>
      </c>
      <c r="C1891" s="12" t="inlineStr">
        <is>
          <t>VS17</t>
        </is>
      </c>
      <c r="D1891" s="12" t="inlineStr">
        <is>
          <t>Structural Steel</t>
        </is>
      </c>
      <c r="E1891" s="12" t="inlineStr">
        <is>
          <t>N</t>
        </is>
      </c>
      <c r="F1891" s="12" t="n">
        <v>8.42</v>
      </c>
      <c r="G1891" s="17" t="n">
        <v>106040.16</v>
      </c>
      <c r="H1891" s="26" t="n">
        <v>44611</v>
      </c>
      <c r="I1891" s="26" t="n">
        <v>44612</v>
      </c>
      <c r="J1891" s="12" t="n">
        <v>8.34</v>
      </c>
      <c r="K1891" s="17" t="n">
        <v>892858.15</v>
      </c>
      <c r="L1891" s="12" t="n">
        <v>0</v>
      </c>
      <c r="M1891" s="12" t="n">
        <v>20</v>
      </c>
      <c r="N1891" s="27">
        <f>F1891-J1891</f>
        <v/>
      </c>
      <c r="O1891" s="16">
        <f>I1891-H1891</f>
        <v/>
      </c>
      <c r="P1891" s="14">
        <f>F1891*G1891</f>
        <v/>
      </c>
      <c r="Q1891" s="14">
        <f>J1891*G1891</f>
        <v/>
      </c>
      <c r="R1891" s="14">
        <f>K1891-Q1891</f>
        <v/>
      </c>
      <c r="S1891" s="3">
        <f>P1891*Assumptions!$B$3/100</f>
        <v/>
      </c>
      <c r="T1891" s="14">
        <f>R1891-S1891</f>
        <v/>
      </c>
      <c r="U1891" s="14">
        <f>L1891*G1891</f>
        <v/>
      </c>
    </row>
    <row r="1892">
      <c r="A1892" s="12" t="inlineStr">
        <is>
          <t>PO-2022-1890</t>
        </is>
      </c>
      <c r="B1892" s="26" t="n">
        <v>45214</v>
      </c>
      <c r="C1892" s="12" t="inlineStr">
        <is>
          <t>VS19</t>
        </is>
      </c>
      <c r="D1892" s="12" t="inlineStr">
        <is>
          <t>Square/Rect Tubes</t>
        </is>
      </c>
      <c r="E1892" s="12" t="inlineStr">
        <is>
          <t>N</t>
        </is>
      </c>
      <c r="F1892" s="12" t="n">
        <v>10.73</v>
      </c>
      <c r="G1892" s="17" t="n">
        <v>115117.39</v>
      </c>
      <c r="H1892" s="26" t="n">
        <v>45225</v>
      </c>
      <c r="I1892" s="26" t="n">
        <v>45230</v>
      </c>
      <c r="J1892" s="12" t="n">
        <v>10.41</v>
      </c>
      <c r="K1892" s="17" t="n">
        <v>1235209.59</v>
      </c>
      <c r="L1892" s="12" t="n">
        <v>0.21</v>
      </c>
      <c r="M1892" s="12" t="n">
        <v>4</v>
      </c>
      <c r="N1892" s="27">
        <f>F1892-J1892</f>
        <v/>
      </c>
      <c r="O1892" s="16">
        <f>I1892-H1892</f>
        <v/>
      </c>
      <c r="P1892" s="14">
        <f>F1892*G1892</f>
        <v/>
      </c>
      <c r="Q1892" s="14">
        <f>J1892*G1892</f>
        <v/>
      </c>
      <c r="R1892" s="14">
        <f>K1892-Q1892</f>
        <v/>
      </c>
      <c r="S1892" s="3">
        <f>P1892*Assumptions!$B$3/100</f>
        <v/>
      </c>
      <c r="T1892" s="14">
        <f>R1892-S1892</f>
        <v/>
      </c>
      <c r="U1892" s="14">
        <f>L1892*G1892</f>
        <v/>
      </c>
    </row>
    <row r="1893">
      <c r="A1893" s="12" t="inlineStr">
        <is>
          <t>PO-2022-1891</t>
        </is>
      </c>
      <c r="B1893" s="26" t="n">
        <v>44635</v>
      </c>
      <c r="C1893" s="12" t="inlineStr">
        <is>
          <t>VS01</t>
        </is>
      </c>
      <c r="D1893" s="12" t="inlineStr">
        <is>
          <t>GI Wire</t>
        </is>
      </c>
      <c r="E1893" s="12" t="inlineStr">
        <is>
          <t>N</t>
        </is>
      </c>
      <c r="F1893" s="12" t="n">
        <v>4.3</v>
      </c>
      <c r="G1893" s="17" t="n">
        <v>86830.28999999999</v>
      </c>
      <c r="H1893" s="26" t="n">
        <v>44641</v>
      </c>
      <c r="I1893" s="26" t="n">
        <v>44643</v>
      </c>
      <c r="J1893" s="12" t="n">
        <v>4.28</v>
      </c>
      <c r="K1893" s="17" t="n">
        <v>373370.25</v>
      </c>
      <c r="L1893" s="12" t="n">
        <v>0</v>
      </c>
      <c r="M1893" s="12" t="n">
        <v>23</v>
      </c>
      <c r="N1893" s="27">
        <f>F1893-J1893</f>
        <v/>
      </c>
      <c r="O1893" s="16">
        <f>I1893-H1893</f>
        <v/>
      </c>
      <c r="P1893" s="14">
        <f>F1893*G1893</f>
        <v/>
      </c>
      <c r="Q1893" s="14">
        <f>J1893*G1893</f>
        <v/>
      </c>
      <c r="R1893" s="14">
        <f>K1893-Q1893</f>
        <v/>
      </c>
      <c r="S1893" s="3">
        <f>P1893*Assumptions!$B$3/100</f>
        <v/>
      </c>
      <c r="T1893" s="14">
        <f>R1893-S1893</f>
        <v/>
      </c>
      <c r="U1893" s="14">
        <f>L1893*G1893</f>
        <v/>
      </c>
    </row>
    <row r="1894">
      <c r="A1894" s="12" t="inlineStr">
        <is>
          <t>PO-2022-1892</t>
        </is>
      </c>
      <c r="B1894" s="26" t="n">
        <v>44561</v>
      </c>
      <c r="C1894" s="12" t="inlineStr">
        <is>
          <t>VS03</t>
        </is>
      </c>
      <c r="D1894" s="12" t="inlineStr">
        <is>
          <t>GI Wire</t>
        </is>
      </c>
      <c r="E1894" s="12" t="inlineStr">
        <is>
          <t>N</t>
        </is>
      </c>
      <c r="F1894" s="12" t="n">
        <v>34.71</v>
      </c>
      <c r="G1894" s="17" t="n">
        <v>94643.5</v>
      </c>
      <c r="H1894" s="26" t="n">
        <v>44574</v>
      </c>
      <c r="I1894" s="26" t="n">
        <v>44581</v>
      </c>
      <c r="J1894" s="12" t="n">
        <v>33.09</v>
      </c>
      <c r="K1894" s="17" t="n">
        <v>3285075.89</v>
      </c>
      <c r="L1894" s="12" t="n">
        <v>0.04</v>
      </c>
      <c r="M1894" s="12" t="n">
        <v>22</v>
      </c>
      <c r="N1894" s="27">
        <f>F1894-J1894</f>
        <v/>
      </c>
      <c r="O1894" s="16">
        <f>I1894-H1894</f>
        <v/>
      </c>
      <c r="P1894" s="14">
        <f>F1894*G1894</f>
        <v/>
      </c>
      <c r="Q1894" s="14">
        <f>J1894*G1894</f>
        <v/>
      </c>
      <c r="R1894" s="14">
        <f>K1894-Q1894</f>
        <v/>
      </c>
      <c r="S1894" s="3">
        <f>P1894*Assumptions!$B$3/100</f>
        <v/>
      </c>
      <c r="T1894" s="14">
        <f>R1894-S1894</f>
        <v/>
      </c>
      <c r="U1894" s="14">
        <f>L1894*G1894</f>
        <v/>
      </c>
    </row>
    <row r="1895">
      <c r="A1895" s="12" t="inlineStr">
        <is>
          <t>PO-2022-1893</t>
        </is>
      </c>
      <c r="B1895" s="26" t="n">
        <v>44677</v>
      </c>
      <c r="C1895" s="12" t="inlineStr">
        <is>
          <t>VS23</t>
        </is>
      </c>
      <c r="D1895" s="12" t="inlineStr">
        <is>
          <t>Structural Steel</t>
        </is>
      </c>
      <c r="E1895" s="12" t="inlineStr">
        <is>
          <t>N</t>
        </is>
      </c>
      <c r="F1895" s="12" t="n">
        <v>26.99</v>
      </c>
      <c r="G1895" s="17" t="n">
        <v>116575.14</v>
      </c>
      <c r="H1895" s="26" t="n">
        <v>44684</v>
      </c>
      <c r="I1895" s="26" t="n">
        <v>44684</v>
      </c>
      <c r="J1895" s="12" t="n">
        <v>26.8</v>
      </c>
      <c r="K1895" s="17" t="n">
        <v>3146363.03</v>
      </c>
      <c r="L1895" s="12" t="n">
        <v>0</v>
      </c>
      <c r="M1895" s="12" t="n">
        <v>0</v>
      </c>
      <c r="N1895" s="27">
        <f>F1895-J1895</f>
        <v/>
      </c>
      <c r="O1895" s="16">
        <f>I1895-H1895</f>
        <v/>
      </c>
      <c r="P1895" s="14">
        <f>F1895*G1895</f>
        <v/>
      </c>
      <c r="Q1895" s="14">
        <f>J1895*G1895</f>
        <v/>
      </c>
      <c r="R1895" s="14">
        <f>K1895-Q1895</f>
        <v/>
      </c>
      <c r="S1895" s="3">
        <f>P1895*Assumptions!$B$3/100</f>
        <v/>
      </c>
      <c r="T1895" s="14">
        <f>R1895-S1895</f>
        <v/>
      </c>
      <c r="U1895" s="14">
        <f>L1895*G1895</f>
        <v/>
      </c>
    </row>
    <row r="1896">
      <c r="A1896" s="12" t="inlineStr">
        <is>
          <t>PO-2022-1894</t>
        </is>
      </c>
      <c r="B1896" s="26" t="n">
        <v>44671</v>
      </c>
      <c r="C1896" s="12" t="inlineStr">
        <is>
          <t>VS19</t>
        </is>
      </c>
      <c r="D1896" s="12" t="inlineStr">
        <is>
          <t>Structural Steel</t>
        </is>
      </c>
      <c r="E1896" s="12" t="inlineStr">
        <is>
          <t>N</t>
        </is>
      </c>
      <c r="F1896" s="12" t="n">
        <v>25.02</v>
      </c>
      <c r="G1896" s="17" t="n">
        <v>95942.14</v>
      </c>
      <c r="H1896" s="26" t="n">
        <v>44683</v>
      </c>
      <c r="I1896" s="26" t="n">
        <v>44687</v>
      </c>
      <c r="J1896" s="12" t="n">
        <v>24.3</v>
      </c>
      <c r="K1896" s="17" t="n">
        <v>2400472.34</v>
      </c>
      <c r="L1896" s="12" t="n">
        <v>0.66</v>
      </c>
      <c r="M1896" s="12" t="n">
        <v>0</v>
      </c>
      <c r="N1896" s="27">
        <f>F1896-J1896</f>
        <v/>
      </c>
      <c r="O1896" s="16">
        <f>I1896-H1896</f>
        <v/>
      </c>
      <c r="P1896" s="14">
        <f>F1896*G1896</f>
        <v/>
      </c>
      <c r="Q1896" s="14">
        <f>J1896*G1896</f>
        <v/>
      </c>
      <c r="R1896" s="14">
        <f>K1896-Q1896</f>
        <v/>
      </c>
      <c r="S1896" s="3">
        <f>P1896*Assumptions!$B$3/100</f>
        <v/>
      </c>
      <c r="T1896" s="14">
        <f>R1896-S1896</f>
        <v/>
      </c>
      <c r="U1896" s="14">
        <f>L1896*G1896</f>
        <v/>
      </c>
    </row>
    <row r="1897">
      <c r="A1897" s="12" t="inlineStr">
        <is>
          <t>PO-2022-1895</t>
        </is>
      </c>
      <c r="B1897" s="26" t="n">
        <v>44928</v>
      </c>
      <c r="C1897" s="12" t="inlineStr">
        <is>
          <t>VS31</t>
        </is>
      </c>
      <c r="D1897" s="12" t="inlineStr">
        <is>
          <t>SS Sheets</t>
        </is>
      </c>
      <c r="E1897" s="12" t="inlineStr">
        <is>
          <t>N</t>
        </is>
      </c>
      <c r="F1897" s="12" t="n">
        <v>5.73</v>
      </c>
      <c r="G1897" s="17" t="n">
        <v>53427.56</v>
      </c>
      <c r="H1897" s="26" t="n">
        <v>44943</v>
      </c>
      <c r="I1897" s="26" t="n">
        <v>44945</v>
      </c>
      <c r="J1897" s="12" t="n">
        <v>5.68</v>
      </c>
      <c r="K1897" s="17" t="n">
        <v>306139.92</v>
      </c>
      <c r="L1897" s="12" t="n">
        <v>0</v>
      </c>
      <c r="M1897" s="12" t="n">
        <v>5</v>
      </c>
      <c r="N1897" s="27">
        <f>F1897-J1897</f>
        <v/>
      </c>
      <c r="O1897" s="16">
        <f>I1897-H1897</f>
        <v/>
      </c>
      <c r="P1897" s="14">
        <f>F1897*G1897</f>
        <v/>
      </c>
      <c r="Q1897" s="14">
        <f>J1897*G1897</f>
        <v/>
      </c>
      <c r="R1897" s="14">
        <f>K1897-Q1897</f>
        <v/>
      </c>
      <c r="S1897" s="3">
        <f>P1897*Assumptions!$B$3/100</f>
        <v/>
      </c>
      <c r="T1897" s="14">
        <f>R1897-S1897</f>
        <v/>
      </c>
      <c r="U1897" s="14">
        <f>L1897*G1897</f>
        <v/>
      </c>
    </row>
    <row r="1898">
      <c r="A1898" s="12" t="inlineStr">
        <is>
          <t>PO-2022-1896</t>
        </is>
      </c>
      <c r="B1898" s="26" t="n">
        <v>44785</v>
      </c>
      <c r="C1898" s="12" t="inlineStr">
        <is>
          <t>VS27</t>
        </is>
      </c>
      <c r="D1898" s="12" t="inlineStr">
        <is>
          <t>Fasteners &amp; Fittings</t>
        </is>
      </c>
      <c r="E1898" s="12" t="inlineStr">
        <is>
          <t>N</t>
        </is>
      </c>
      <c r="F1898" s="12" t="n">
        <v>16.94</v>
      </c>
      <c r="G1898" s="17" t="n">
        <v>94681.36</v>
      </c>
      <c r="H1898" s="26" t="n">
        <v>44789</v>
      </c>
      <c r="I1898" s="26" t="n">
        <v>44790</v>
      </c>
      <c r="J1898" s="12" t="n">
        <v>16.8</v>
      </c>
      <c r="K1898" s="17" t="n">
        <v>1603902.24</v>
      </c>
      <c r="L1898" s="12" t="n">
        <v>0</v>
      </c>
      <c r="M1898" s="12" t="n">
        <v>18</v>
      </c>
      <c r="N1898" s="27">
        <f>F1898-J1898</f>
        <v/>
      </c>
      <c r="O1898" s="16">
        <f>I1898-H1898</f>
        <v/>
      </c>
      <c r="P1898" s="14">
        <f>F1898*G1898</f>
        <v/>
      </c>
      <c r="Q1898" s="14">
        <f>J1898*G1898</f>
        <v/>
      </c>
      <c r="R1898" s="14">
        <f>K1898-Q1898</f>
        <v/>
      </c>
      <c r="S1898" s="3">
        <f>P1898*Assumptions!$B$3/100</f>
        <v/>
      </c>
      <c r="T1898" s="14">
        <f>R1898-S1898</f>
        <v/>
      </c>
      <c r="U1898" s="14">
        <f>L1898*G1898</f>
        <v/>
      </c>
    </row>
    <row r="1899">
      <c r="A1899" s="12" t="inlineStr">
        <is>
          <t>PO-2022-1897</t>
        </is>
      </c>
      <c r="B1899" s="26" t="n">
        <v>44557</v>
      </c>
      <c r="C1899" s="12" t="inlineStr">
        <is>
          <t>VS30</t>
        </is>
      </c>
      <c r="D1899" s="12" t="inlineStr">
        <is>
          <t>MS Flats</t>
        </is>
      </c>
      <c r="E1899" s="12" t="inlineStr">
        <is>
          <t>N</t>
        </is>
      </c>
      <c r="F1899" s="12" t="n">
        <v>33.37</v>
      </c>
      <c r="G1899" s="17" t="n">
        <v>71068.39</v>
      </c>
      <c r="H1899" s="26" t="n">
        <v>44566</v>
      </c>
      <c r="I1899" s="26" t="n">
        <v>44568</v>
      </c>
      <c r="J1899" s="12" t="n">
        <v>33.28</v>
      </c>
      <c r="K1899" s="17" t="n">
        <v>2371552.17</v>
      </c>
      <c r="L1899" s="12" t="n">
        <v>0</v>
      </c>
      <c r="M1899" s="12" t="n">
        <v>0</v>
      </c>
      <c r="N1899" s="27">
        <f>F1899-J1899</f>
        <v/>
      </c>
      <c r="O1899" s="16">
        <f>I1899-H1899</f>
        <v/>
      </c>
      <c r="P1899" s="14">
        <f>F1899*G1899</f>
        <v/>
      </c>
      <c r="Q1899" s="14">
        <f>J1899*G1899</f>
        <v/>
      </c>
      <c r="R1899" s="14">
        <f>K1899-Q1899</f>
        <v/>
      </c>
      <c r="S1899" s="3">
        <f>P1899*Assumptions!$B$3/100</f>
        <v/>
      </c>
      <c r="T1899" s="14">
        <f>R1899-S1899</f>
        <v/>
      </c>
      <c r="U1899" s="14">
        <f>L1899*G1899</f>
        <v/>
      </c>
    </row>
    <row r="1900">
      <c r="A1900" s="12" t="inlineStr">
        <is>
          <t>PO-2022-1898</t>
        </is>
      </c>
      <c r="B1900" s="26" t="n">
        <v>44459</v>
      </c>
      <c r="C1900" s="12" t="inlineStr">
        <is>
          <t>VS31</t>
        </is>
      </c>
      <c r="D1900" s="12" t="inlineStr">
        <is>
          <t>Structural Steel</t>
        </is>
      </c>
      <c r="E1900" s="12" t="inlineStr">
        <is>
          <t>N</t>
        </is>
      </c>
      <c r="F1900" s="12" t="n">
        <v>30.45</v>
      </c>
      <c r="G1900" s="17" t="n">
        <v>96541.64</v>
      </c>
      <c r="H1900" s="26" t="n">
        <v>44462</v>
      </c>
      <c r="I1900" s="26" t="n">
        <v>44465</v>
      </c>
      <c r="J1900" s="12" t="n">
        <v>30.21</v>
      </c>
      <c r="K1900" s="17" t="n">
        <v>2939692.94</v>
      </c>
      <c r="L1900" s="12" t="n">
        <v>0</v>
      </c>
      <c r="M1900" s="12" t="n">
        <v>16</v>
      </c>
      <c r="N1900" s="27">
        <f>F1900-J1900</f>
        <v/>
      </c>
      <c r="O1900" s="16">
        <f>I1900-H1900</f>
        <v/>
      </c>
      <c r="P1900" s="14">
        <f>F1900*G1900</f>
        <v/>
      </c>
      <c r="Q1900" s="14">
        <f>J1900*G1900</f>
        <v/>
      </c>
      <c r="R1900" s="14">
        <f>K1900-Q1900</f>
        <v/>
      </c>
      <c r="S1900" s="3">
        <f>P1900*Assumptions!$B$3/100</f>
        <v/>
      </c>
      <c r="T1900" s="14">
        <f>R1900-S1900</f>
        <v/>
      </c>
      <c r="U1900" s="14">
        <f>L1900*G1900</f>
        <v/>
      </c>
    </row>
    <row r="1901">
      <c r="A1901" s="12" t="inlineStr">
        <is>
          <t>PO-2022-1899</t>
        </is>
      </c>
      <c r="B1901" s="26" t="n">
        <v>44792</v>
      </c>
      <c r="C1901" s="12" t="inlineStr">
        <is>
          <t>VS18</t>
        </is>
      </c>
      <c r="D1901" s="12" t="inlineStr">
        <is>
          <t>Hex Bars</t>
        </is>
      </c>
      <c r="E1901" s="12" t="inlineStr">
        <is>
          <t>Y</t>
        </is>
      </c>
      <c r="F1901" s="12" t="n">
        <v>11.54</v>
      </c>
      <c r="G1901" s="17" t="n">
        <v>108824.13</v>
      </c>
      <c r="H1901" s="26" t="n">
        <v>44801</v>
      </c>
      <c r="I1901" s="26" t="n">
        <v>44801</v>
      </c>
      <c r="J1901" s="12" t="n">
        <v>11.46</v>
      </c>
      <c r="K1901" s="17" t="n">
        <v>1255830.46</v>
      </c>
      <c r="L1901" s="12" t="n">
        <v>0</v>
      </c>
      <c r="M1901" s="12" t="n">
        <v>14</v>
      </c>
      <c r="N1901" s="27">
        <f>F1901-J1901</f>
        <v/>
      </c>
      <c r="O1901" s="16">
        <f>I1901-H1901</f>
        <v/>
      </c>
      <c r="P1901" s="14">
        <f>F1901*G1901</f>
        <v/>
      </c>
      <c r="Q1901" s="14">
        <f>J1901*G1901</f>
        <v/>
      </c>
      <c r="R1901" s="14">
        <f>K1901-Q1901</f>
        <v/>
      </c>
      <c r="S1901" s="3">
        <f>P1901*Assumptions!$B$3/100</f>
        <v/>
      </c>
      <c r="T1901" s="14">
        <f>R1901-S1901</f>
        <v/>
      </c>
      <c r="U1901" s="14">
        <f>L1901*G1901</f>
        <v/>
      </c>
    </row>
    <row r="1902">
      <c r="A1902" s="12" t="inlineStr">
        <is>
          <t>PO-2022-1900</t>
        </is>
      </c>
      <c r="B1902" s="26" t="n">
        <v>44321</v>
      </c>
      <c r="C1902" s="12" t="inlineStr">
        <is>
          <t>VS21</t>
        </is>
      </c>
      <c r="D1902" s="12" t="inlineStr">
        <is>
          <t>CR Sheets</t>
        </is>
      </c>
      <c r="E1902" s="12" t="inlineStr">
        <is>
          <t>N</t>
        </is>
      </c>
      <c r="F1902" s="12" t="n">
        <v>34.07</v>
      </c>
      <c r="G1902" s="17" t="n">
        <v>75842.17999999999</v>
      </c>
      <c r="H1902" s="26" t="n">
        <v>44336</v>
      </c>
      <c r="I1902" s="26" t="n">
        <v>44338</v>
      </c>
      <c r="J1902" s="12" t="n">
        <v>33.97</v>
      </c>
      <c r="K1902" s="17" t="n">
        <v>2583943.07</v>
      </c>
      <c r="L1902" s="12" t="n">
        <v>0</v>
      </c>
      <c r="M1902" s="12" t="n">
        <v>0</v>
      </c>
      <c r="N1902" s="27">
        <f>F1902-J1902</f>
        <v/>
      </c>
      <c r="O1902" s="16">
        <f>I1902-H1902</f>
        <v/>
      </c>
      <c r="P1902" s="14">
        <f>F1902*G1902</f>
        <v/>
      </c>
      <c r="Q1902" s="14">
        <f>J1902*G1902</f>
        <v/>
      </c>
      <c r="R1902" s="14">
        <f>K1902-Q1902</f>
        <v/>
      </c>
      <c r="S1902" s="3">
        <f>P1902*Assumptions!$B$3/100</f>
        <v/>
      </c>
      <c r="T1902" s="14">
        <f>R1902-S1902</f>
        <v/>
      </c>
      <c r="U1902" s="14">
        <f>L1902*G1902</f>
        <v/>
      </c>
    </row>
    <row r="1903">
      <c r="A1903" s="12" t="inlineStr">
        <is>
          <t>PO-2022-1901</t>
        </is>
      </c>
      <c r="B1903" s="26" t="n">
        <v>45102</v>
      </c>
      <c r="C1903" s="12" t="inlineStr">
        <is>
          <t>VS28</t>
        </is>
      </c>
      <c r="D1903" s="12" t="inlineStr">
        <is>
          <t>MS Rods</t>
        </is>
      </c>
      <c r="E1903" s="12" t="inlineStr">
        <is>
          <t>N</t>
        </is>
      </c>
      <c r="F1903" s="12" t="n">
        <v>13.77</v>
      </c>
      <c r="G1903" s="17" t="n">
        <v>49097.5</v>
      </c>
      <c r="H1903" s="26" t="n">
        <v>45112</v>
      </c>
      <c r="I1903" s="26" t="n">
        <v>45115</v>
      </c>
      <c r="J1903" s="12" t="n">
        <v>13.73</v>
      </c>
      <c r="K1903" s="17" t="n">
        <v>676072.5699999999</v>
      </c>
      <c r="L1903" s="12" t="n">
        <v>0</v>
      </c>
      <c r="M1903" s="12" t="n">
        <v>0</v>
      </c>
      <c r="N1903" s="27">
        <f>F1903-J1903</f>
        <v/>
      </c>
      <c r="O1903" s="16">
        <f>I1903-H1903</f>
        <v/>
      </c>
      <c r="P1903" s="14">
        <f>F1903*G1903</f>
        <v/>
      </c>
      <c r="Q1903" s="14">
        <f>J1903*G1903</f>
        <v/>
      </c>
      <c r="R1903" s="14">
        <f>K1903-Q1903</f>
        <v/>
      </c>
      <c r="S1903" s="3">
        <f>P1903*Assumptions!$B$3/100</f>
        <v/>
      </c>
      <c r="T1903" s="14">
        <f>R1903-S1903</f>
        <v/>
      </c>
      <c r="U1903" s="14">
        <f>L1903*G1903</f>
        <v/>
      </c>
    </row>
    <row r="1904">
      <c r="A1904" s="12" t="inlineStr">
        <is>
          <t>PO-2022-1902</t>
        </is>
      </c>
      <c r="B1904" s="26" t="n">
        <v>44645</v>
      </c>
      <c r="C1904" s="12" t="inlineStr">
        <is>
          <t>VS22</t>
        </is>
      </c>
      <c r="D1904" s="12" t="inlineStr">
        <is>
          <t>GI Pipes</t>
        </is>
      </c>
      <c r="E1904" s="12" t="inlineStr">
        <is>
          <t>N</t>
        </is>
      </c>
      <c r="F1904" s="12" t="n">
        <v>16.12</v>
      </c>
      <c r="G1904" s="17" t="n">
        <v>75735.87</v>
      </c>
      <c r="H1904" s="26" t="n">
        <v>44657</v>
      </c>
      <c r="I1904" s="26" t="n">
        <v>44657</v>
      </c>
      <c r="J1904" s="12" t="n">
        <v>16.05</v>
      </c>
      <c r="K1904" s="17" t="n">
        <v>1220862.22</v>
      </c>
      <c r="L1904" s="12" t="n">
        <v>0</v>
      </c>
      <c r="M1904" s="12" t="n">
        <v>11</v>
      </c>
      <c r="N1904" s="27">
        <f>F1904-J1904</f>
        <v/>
      </c>
      <c r="O1904" s="16">
        <f>I1904-H1904</f>
        <v/>
      </c>
      <c r="P1904" s="14">
        <f>F1904*G1904</f>
        <v/>
      </c>
      <c r="Q1904" s="14">
        <f>J1904*G1904</f>
        <v/>
      </c>
      <c r="R1904" s="14">
        <f>K1904-Q1904</f>
        <v/>
      </c>
      <c r="S1904" s="3">
        <f>P1904*Assumptions!$B$3/100</f>
        <v/>
      </c>
      <c r="T1904" s="14">
        <f>R1904-S1904</f>
        <v/>
      </c>
      <c r="U1904" s="14">
        <f>L1904*G1904</f>
        <v/>
      </c>
    </row>
    <row r="1905">
      <c r="A1905" s="12" t="inlineStr">
        <is>
          <t>PO-2022-1903</t>
        </is>
      </c>
      <c r="B1905" s="26" t="n">
        <v>44538</v>
      </c>
      <c r="C1905" s="12" t="inlineStr">
        <is>
          <t>VS14</t>
        </is>
      </c>
      <c r="D1905" s="12" t="inlineStr">
        <is>
          <t>ERW Pipes</t>
        </is>
      </c>
      <c r="E1905" s="12" t="inlineStr">
        <is>
          <t>N</t>
        </is>
      </c>
      <c r="F1905" s="12" t="n">
        <v>47.45</v>
      </c>
      <c r="G1905" s="17" t="n">
        <v>90997.8</v>
      </c>
      <c r="H1905" s="26" t="n">
        <v>44546</v>
      </c>
      <c r="I1905" s="26" t="n">
        <v>44548</v>
      </c>
      <c r="J1905" s="12" t="n">
        <v>47.03</v>
      </c>
      <c r="K1905" s="17" t="n">
        <v>4317845.61</v>
      </c>
      <c r="L1905" s="12" t="n">
        <v>0</v>
      </c>
      <c r="M1905" s="12" t="n">
        <v>0</v>
      </c>
      <c r="N1905" s="27">
        <f>F1905-J1905</f>
        <v/>
      </c>
      <c r="O1905" s="16">
        <f>I1905-H1905</f>
        <v/>
      </c>
      <c r="P1905" s="14">
        <f>F1905*G1905</f>
        <v/>
      </c>
      <c r="Q1905" s="14">
        <f>J1905*G1905</f>
        <v/>
      </c>
      <c r="R1905" s="14">
        <f>K1905-Q1905</f>
        <v/>
      </c>
      <c r="S1905" s="3">
        <f>P1905*Assumptions!$B$3/100</f>
        <v/>
      </c>
      <c r="T1905" s="14">
        <f>R1905-S1905</f>
        <v/>
      </c>
      <c r="U1905" s="14">
        <f>L1905*G1905</f>
        <v/>
      </c>
    </row>
    <row r="1906">
      <c r="A1906" s="12" t="inlineStr">
        <is>
          <t>PO-2022-1904</t>
        </is>
      </c>
      <c r="B1906" s="26" t="n">
        <v>44461</v>
      </c>
      <c r="C1906" s="12" t="inlineStr">
        <is>
          <t>VS02</t>
        </is>
      </c>
      <c r="D1906" s="12" t="inlineStr">
        <is>
          <t>MS Pipes</t>
        </is>
      </c>
      <c r="E1906" s="12" t="inlineStr">
        <is>
          <t>N</t>
        </is>
      </c>
      <c r="F1906" s="12" t="n">
        <v>40.32</v>
      </c>
      <c r="G1906" s="17" t="n">
        <v>51768.95</v>
      </c>
      <c r="H1906" s="26" t="n">
        <v>44475</v>
      </c>
      <c r="I1906" s="26" t="n">
        <v>44476</v>
      </c>
      <c r="J1906" s="12" t="n">
        <v>40.1</v>
      </c>
      <c r="K1906" s="17" t="n">
        <v>2087324.06</v>
      </c>
      <c r="L1906" s="12" t="n">
        <v>0</v>
      </c>
      <c r="M1906" s="12" t="n">
        <v>17</v>
      </c>
      <c r="N1906" s="27">
        <f>F1906-J1906</f>
        <v/>
      </c>
      <c r="O1906" s="16">
        <f>I1906-H1906</f>
        <v/>
      </c>
      <c r="P1906" s="14">
        <f>F1906*G1906</f>
        <v/>
      </c>
      <c r="Q1906" s="14">
        <f>J1906*G1906</f>
        <v/>
      </c>
      <c r="R1906" s="14">
        <f>K1906-Q1906</f>
        <v/>
      </c>
      <c r="S1906" s="3">
        <f>P1906*Assumptions!$B$3/100</f>
        <v/>
      </c>
      <c r="T1906" s="14">
        <f>R1906-S1906</f>
        <v/>
      </c>
      <c r="U1906" s="14">
        <f>L1906*G1906</f>
        <v/>
      </c>
    </row>
    <row r="1907">
      <c r="A1907" s="12" t="inlineStr">
        <is>
          <t>PO-2022-1905</t>
        </is>
      </c>
      <c r="B1907" s="26" t="n">
        <v>44879</v>
      </c>
      <c r="C1907" s="12" t="inlineStr">
        <is>
          <t>VS23</t>
        </is>
      </c>
      <c r="D1907" s="12" t="inlineStr">
        <is>
          <t>Spring Steel</t>
        </is>
      </c>
      <c r="E1907" s="12" t="inlineStr">
        <is>
          <t>N</t>
        </is>
      </c>
      <c r="F1907" s="12" t="n">
        <v>4.11</v>
      </c>
      <c r="G1907" s="17" t="n">
        <v>48691.14</v>
      </c>
      <c r="H1907" s="26" t="n">
        <v>44885</v>
      </c>
      <c r="I1907" s="26" t="n">
        <v>44885</v>
      </c>
      <c r="J1907" s="12" t="n">
        <v>4.1</v>
      </c>
      <c r="K1907" s="17" t="n">
        <v>200120.59</v>
      </c>
      <c r="L1907" s="12" t="n">
        <v>0</v>
      </c>
      <c r="M1907" s="12" t="n">
        <v>0</v>
      </c>
      <c r="N1907" s="27">
        <f>F1907-J1907</f>
        <v/>
      </c>
      <c r="O1907" s="16">
        <f>I1907-H1907</f>
        <v/>
      </c>
      <c r="P1907" s="14">
        <f>F1907*G1907</f>
        <v/>
      </c>
      <c r="Q1907" s="14">
        <f>J1907*G1907</f>
        <v/>
      </c>
      <c r="R1907" s="14">
        <f>K1907-Q1907</f>
        <v/>
      </c>
      <c r="S1907" s="3">
        <f>P1907*Assumptions!$B$3/100</f>
        <v/>
      </c>
      <c r="T1907" s="14">
        <f>R1907-S1907</f>
        <v/>
      </c>
      <c r="U1907" s="14">
        <f>L1907*G1907</f>
        <v/>
      </c>
    </row>
    <row r="1908">
      <c r="A1908" s="12" t="inlineStr">
        <is>
          <t>PO-2022-1906</t>
        </is>
      </c>
      <c r="B1908" s="26" t="n">
        <v>44938</v>
      </c>
      <c r="C1908" s="12" t="inlineStr">
        <is>
          <t>VS13</t>
        </is>
      </c>
      <c r="D1908" s="12" t="inlineStr">
        <is>
          <t>MS Sheets</t>
        </is>
      </c>
      <c r="E1908" s="12" t="inlineStr">
        <is>
          <t>N</t>
        </is>
      </c>
      <c r="F1908" s="12" t="n">
        <v>42.07</v>
      </c>
      <c r="G1908" s="17" t="n">
        <v>74664.47</v>
      </c>
      <c r="H1908" s="26" t="n">
        <v>44952</v>
      </c>
      <c r="I1908" s="26" t="n">
        <v>44952</v>
      </c>
      <c r="J1908" s="12" t="n">
        <v>41.98</v>
      </c>
      <c r="K1908" s="17" t="n">
        <v>3141134.25</v>
      </c>
      <c r="L1908" s="12" t="n">
        <v>0</v>
      </c>
      <c r="M1908" s="12" t="n">
        <v>20</v>
      </c>
      <c r="N1908" s="27">
        <f>F1908-J1908</f>
        <v/>
      </c>
      <c r="O1908" s="16">
        <f>I1908-H1908</f>
        <v/>
      </c>
      <c r="P1908" s="14">
        <f>F1908*G1908</f>
        <v/>
      </c>
      <c r="Q1908" s="14">
        <f>J1908*G1908</f>
        <v/>
      </c>
      <c r="R1908" s="14">
        <f>K1908-Q1908</f>
        <v/>
      </c>
      <c r="S1908" s="3">
        <f>P1908*Assumptions!$B$3/100</f>
        <v/>
      </c>
      <c r="T1908" s="14">
        <f>R1908-S1908</f>
        <v/>
      </c>
      <c r="U1908" s="14">
        <f>L1908*G1908</f>
        <v/>
      </c>
    </row>
    <row r="1909">
      <c r="A1909" s="12" t="inlineStr">
        <is>
          <t>PO-2022-1907</t>
        </is>
      </c>
      <c r="B1909" s="26" t="n">
        <v>44666</v>
      </c>
      <c r="C1909" s="12" t="inlineStr">
        <is>
          <t>VS19</t>
        </is>
      </c>
      <c r="D1909" s="12" t="inlineStr">
        <is>
          <t>MS Sheets</t>
        </is>
      </c>
      <c r="E1909" s="12" t="inlineStr">
        <is>
          <t>N</t>
        </is>
      </c>
      <c r="F1909" s="12" t="n">
        <v>45.62</v>
      </c>
      <c r="G1909" s="17" t="n">
        <v>72657.16</v>
      </c>
      <c r="H1909" s="26" t="n">
        <v>44672</v>
      </c>
      <c r="I1909" s="26" t="n">
        <v>44677</v>
      </c>
      <c r="J1909" s="12" t="n">
        <v>43.42</v>
      </c>
      <c r="K1909" s="17" t="n">
        <v>3314619.64</v>
      </c>
      <c r="L1909" s="12" t="n">
        <v>1.78</v>
      </c>
      <c r="M1909" s="12" t="n">
        <v>0</v>
      </c>
      <c r="N1909" s="27">
        <f>F1909-J1909</f>
        <v/>
      </c>
      <c r="O1909" s="16">
        <f>I1909-H1909</f>
        <v/>
      </c>
      <c r="P1909" s="14">
        <f>F1909*G1909</f>
        <v/>
      </c>
      <c r="Q1909" s="14">
        <f>J1909*G1909</f>
        <v/>
      </c>
      <c r="R1909" s="14">
        <f>K1909-Q1909</f>
        <v/>
      </c>
      <c r="S1909" s="3">
        <f>P1909*Assumptions!$B$3/100</f>
        <v/>
      </c>
      <c r="T1909" s="14">
        <f>R1909-S1909</f>
        <v/>
      </c>
      <c r="U1909" s="14">
        <f>L1909*G1909</f>
        <v/>
      </c>
    </row>
    <row r="1910">
      <c r="A1910" s="12" t="inlineStr">
        <is>
          <t>PO-2022-1908</t>
        </is>
      </c>
      <c r="B1910" s="26" t="n">
        <v>44706</v>
      </c>
      <c r="C1910" s="12" t="inlineStr">
        <is>
          <t>VS01</t>
        </is>
      </c>
      <c r="D1910" s="12" t="inlineStr">
        <is>
          <t>GI Pipes</t>
        </is>
      </c>
      <c r="E1910" s="12" t="inlineStr">
        <is>
          <t>N</t>
        </is>
      </c>
      <c r="F1910" s="12" t="n">
        <v>42.43</v>
      </c>
      <c r="G1910" s="17" t="n">
        <v>101634.14</v>
      </c>
      <c r="H1910" s="26" t="n">
        <v>44717</v>
      </c>
      <c r="I1910" s="26" t="n">
        <v>44718</v>
      </c>
      <c r="J1910" s="12" t="n">
        <v>42.24</v>
      </c>
      <c r="K1910" s="17" t="n">
        <v>4312336.56</v>
      </c>
      <c r="L1910" s="12" t="n">
        <v>0</v>
      </c>
      <c r="M1910" s="12" t="n">
        <v>4</v>
      </c>
      <c r="N1910" s="27">
        <f>F1910-J1910</f>
        <v/>
      </c>
      <c r="O1910" s="16">
        <f>I1910-H1910</f>
        <v/>
      </c>
      <c r="P1910" s="14">
        <f>F1910*G1910</f>
        <v/>
      </c>
      <c r="Q1910" s="14">
        <f>J1910*G1910</f>
        <v/>
      </c>
      <c r="R1910" s="14">
        <f>K1910-Q1910</f>
        <v/>
      </c>
      <c r="S1910" s="3">
        <f>P1910*Assumptions!$B$3/100</f>
        <v/>
      </c>
      <c r="T1910" s="14">
        <f>R1910-S1910</f>
        <v/>
      </c>
      <c r="U1910" s="14">
        <f>L1910*G1910</f>
        <v/>
      </c>
    </row>
    <row r="1911">
      <c r="A1911" s="12" t="inlineStr">
        <is>
          <t>PO-2022-1909</t>
        </is>
      </c>
      <c r="B1911" s="26" t="n">
        <v>44406</v>
      </c>
      <c r="C1911" s="12" t="inlineStr">
        <is>
          <t>VS33</t>
        </is>
      </c>
      <c r="D1911" s="12" t="inlineStr">
        <is>
          <t>MS Rods</t>
        </is>
      </c>
      <c r="E1911" s="12" t="inlineStr">
        <is>
          <t>N</t>
        </is>
      </c>
      <c r="F1911" s="12" t="n">
        <v>39.78</v>
      </c>
      <c r="G1911" s="17" t="n">
        <v>48171.39</v>
      </c>
      <c r="H1911" s="26" t="n">
        <v>44413</v>
      </c>
      <c r="I1911" s="26" t="n">
        <v>44414</v>
      </c>
      <c r="J1911" s="12" t="n">
        <v>39.73</v>
      </c>
      <c r="K1911" s="17" t="n">
        <v>1916257.89</v>
      </c>
      <c r="L1911" s="12" t="n">
        <v>0</v>
      </c>
      <c r="M1911" s="12" t="n">
        <v>19</v>
      </c>
      <c r="N1911" s="27">
        <f>F1911-J1911</f>
        <v/>
      </c>
      <c r="O1911" s="16">
        <f>I1911-H1911</f>
        <v/>
      </c>
      <c r="P1911" s="14">
        <f>F1911*G1911</f>
        <v/>
      </c>
      <c r="Q1911" s="14">
        <f>J1911*G1911</f>
        <v/>
      </c>
      <c r="R1911" s="14">
        <f>K1911-Q1911</f>
        <v/>
      </c>
      <c r="S1911" s="3">
        <f>P1911*Assumptions!$B$3/100</f>
        <v/>
      </c>
      <c r="T1911" s="14">
        <f>R1911-S1911</f>
        <v/>
      </c>
      <c r="U1911" s="14">
        <f>L1911*G1911</f>
        <v/>
      </c>
    </row>
    <row r="1912">
      <c r="A1912" s="12" t="inlineStr">
        <is>
          <t>PO-2022-1910</t>
        </is>
      </c>
      <c r="B1912" s="26" t="n">
        <v>44814</v>
      </c>
      <c r="C1912" s="12" t="inlineStr">
        <is>
          <t>VS02</t>
        </is>
      </c>
      <c r="D1912" s="12" t="inlineStr">
        <is>
          <t>HR Coils</t>
        </is>
      </c>
      <c r="E1912" s="12" t="inlineStr">
        <is>
          <t>N</t>
        </is>
      </c>
      <c r="F1912" s="12" t="n">
        <v>31.95</v>
      </c>
      <c r="G1912" s="17" t="n">
        <v>96605.25</v>
      </c>
      <c r="H1912" s="26" t="n">
        <v>44817</v>
      </c>
      <c r="I1912" s="26" t="n">
        <v>44820</v>
      </c>
      <c r="J1912" s="12" t="n">
        <v>31.66</v>
      </c>
      <c r="K1912" s="17" t="n">
        <v>3086537.74</v>
      </c>
      <c r="L1912" s="12" t="n">
        <v>0</v>
      </c>
      <c r="M1912" s="12" t="n">
        <v>0</v>
      </c>
      <c r="N1912" s="27">
        <f>F1912-J1912</f>
        <v/>
      </c>
      <c r="O1912" s="16">
        <f>I1912-H1912</f>
        <v/>
      </c>
      <c r="P1912" s="14">
        <f>F1912*G1912</f>
        <v/>
      </c>
      <c r="Q1912" s="14">
        <f>J1912*G1912</f>
        <v/>
      </c>
      <c r="R1912" s="14">
        <f>K1912-Q1912</f>
        <v/>
      </c>
      <c r="S1912" s="3">
        <f>P1912*Assumptions!$B$3/100</f>
        <v/>
      </c>
      <c r="T1912" s="14">
        <f>R1912-S1912</f>
        <v/>
      </c>
      <c r="U1912" s="14">
        <f>L1912*G1912</f>
        <v/>
      </c>
    </row>
    <row r="1913">
      <c r="A1913" s="12" t="inlineStr">
        <is>
          <t>PO-2022-1911</t>
        </is>
      </c>
      <c r="B1913" s="26" t="n">
        <v>44754</v>
      </c>
      <c r="C1913" s="12" t="inlineStr">
        <is>
          <t>VS08</t>
        </is>
      </c>
      <c r="D1913" s="12" t="inlineStr">
        <is>
          <t>MS Rods</t>
        </is>
      </c>
      <c r="E1913" s="12" t="inlineStr">
        <is>
          <t>N</t>
        </is>
      </c>
      <c r="F1913" s="12" t="n">
        <v>33.11</v>
      </c>
      <c r="G1913" s="17" t="n">
        <v>54839.49</v>
      </c>
      <c r="H1913" s="26" t="n">
        <v>44768</v>
      </c>
      <c r="I1913" s="26" t="n">
        <v>44770</v>
      </c>
      <c r="J1913" s="12" t="n">
        <v>32.9</v>
      </c>
      <c r="K1913" s="17" t="n">
        <v>1815735.51</v>
      </c>
      <c r="L1913" s="12" t="n">
        <v>0</v>
      </c>
      <c r="M1913" s="12" t="n">
        <v>14</v>
      </c>
      <c r="N1913" s="27">
        <f>F1913-J1913</f>
        <v/>
      </c>
      <c r="O1913" s="16">
        <f>I1913-H1913</f>
        <v/>
      </c>
      <c r="P1913" s="14">
        <f>F1913*G1913</f>
        <v/>
      </c>
      <c r="Q1913" s="14">
        <f>J1913*G1913</f>
        <v/>
      </c>
      <c r="R1913" s="14">
        <f>K1913-Q1913</f>
        <v/>
      </c>
      <c r="S1913" s="3">
        <f>P1913*Assumptions!$B$3/100</f>
        <v/>
      </c>
      <c r="T1913" s="14">
        <f>R1913-S1913</f>
        <v/>
      </c>
      <c r="U1913" s="14">
        <f>L1913*G1913</f>
        <v/>
      </c>
    </row>
    <row r="1914">
      <c r="A1914" s="12" t="inlineStr">
        <is>
          <t>PO-2022-1912</t>
        </is>
      </c>
      <c r="B1914" s="26" t="n">
        <v>44749</v>
      </c>
      <c r="C1914" s="12" t="inlineStr">
        <is>
          <t>VS06</t>
        </is>
      </c>
      <c r="D1914" s="12" t="inlineStr">
        <is>
          <t>SS Pipes</t>
        </is>
      </c>
      <c r="E1914" s="12" t="inlineStr">
        <is>
          <t>N</t>
        </is>
      </c>
      <c r="F1914" s="12" t="n">
        <v>4.62</v>
      </c>
      <c r="G1914" s="17" t="n">
        <v>99158.47</v>
      </c>
      <c r="H1914" s="26" t="n">
        <v>44764</v>
      </c>
      <c r="I1914" s="26" t="n">
        <v>44767</v>
      </c>
      <c r="J1914" s="12" t="n">
        <v>4.59</v>
      </c>
      <c r="K1914" s="17" t="n">
        <v>458112.13</v>
      </c>
      <c r="L1914" s="12" t="n">
        <v>0</v>
      </c>
      <c r="M1914" s="12" t="n">
        <v>0</v>
      </c>
      <c r="N1914" s="27">
        <f>F1914-J1914</f>
        <v/>
      </c>
      <c r="O1914" s="16">
        <f>I1914-H1914</f>
        <v/>
      </c>
      <c r="P1914" s="14">
        <f>F1914*G1914</f>
        <v/>
      </c>
      <c r="Q1914" s="14">
        <f>J1914*G1914</f>
        <v/>
      </c>
      <c r="R1914" s="14">
        <f>K1914-Q1914</f>
        <v/>
      </c>
      <c r="S1914" s="3">
        <f>P1914*Assumptions!$B$3/100</f>
        <v/>
      </c>
      <c r="T1914" s="14">
        <f>R1914-S1914</f>
        <v/>
      </c>
      <c r="U1914" s="14">
        <f>L1914*G1914</f>
        <v/>
      </c>
    </row>
    <row r="1915">
      <c r="A1915" s="12" t="inlineStr">
        <is>
          <t>PO-2022-1913</t>
        </is>
      </c>
      <c r="B1915" s="26" t="n">
        <v>45047</v>
      </c>
      <c r="C1915" s="12" t="inlineStr">
        <is>
          <t>VS02</t>
        </is>
      </c>
      <c r="D1915" s="12" t="inlineStr">
        <is>
          <t>MS Pipes</t>
        </is>
      </c>
      <c r="E1915" s="12" t="inlineStr">
        <is>
          <t>N</t>
        </is>
      </c>
      <c r="F1915" s="12" t="n">
        <v>37.39</v>
      </c>
      <c r="G1915" s="17" t="n">
        <v>85627.35000000001</v>
      </c>
      <c r="H1915" s="26" t="n">
        <v>45052</v>
      </c>
      <c r="I1915" s="26" t="n">
        <v>45054</v>
      </c>
      <c r="J1915" s="12" t="n">
        <v>37.03</v>
      </c>
      <c r="K1915" s="17" t="n">
        <v>3201606.62</v>
      </c>
      <c r="L1915" s="12" t="n">
        <v>0</v>
      </c>
      <c r="M1915" s="12" t="n">
        <v>12</v>
      </c>
      <c r="N1915" s="27">
        <f>F1915-J1915</f>
        <v/>
      </c>
      <c r="O1915" s="16">
        <f>I1915-H1915</f>
        <v/>
      </c>
      <c r="P1915" s="14">
        <f>F1915*G1915</f>
        <v/>
      </c>
      <c r="Q1915" s="14">
        <f>J1915*G1915</f>
        <v/>
      </c>
      <c r="R1915" s="14">
        <f>K1915-Q1915</f>
        <v/>
      </c>
      <c r="S1915" s="3">
        <f>P1915*Assumptions!$B$3/100</f>
        <v/>
      </c>
      <c r="T1915" s="14">
        <f>R1915-S1915</f>
        <v/>
      </c>
      <c r="U1915" s="14">
        <f>L1915*G1915</f>
        <v/>
      </c>
    </row>
    <row r="1916">
      <c r="A1916" s="12" t="inlineStr">
        <is>
          <t>PO-2022-1914</t>
        </is>
      </c>
      <c r="B1916" s="26" t="n">
        <v>44392</v>
      </c>
      <c r="C1916" s="12" t="inlineStr">
        <is>
          <t>VS26</t>
        </is>
      </c>
      <c r="D1916" s="12" t="inlineStr">
        <is>
          <t>GI Sheets</t>
        </is>
      </c>
      <c r="E1916" s="12" t="inlineStr">
        <is>
          <t>N</t>
        </is>
      </c>
      <c r="F1916" s="12" t="n">
        <v>41.74</v>
      </c>
      <c r="G1916" s="17" t="n">
        <v>109447.73</v>
      </c>
      <c r="H1916" s="26" t="n">
        <v>44407</v>
      </c>
      <c r="I1916" s="26" t="n">
        <v>44407</v>
      </c>
      <c r="J1916" s="12" t="n">
        <v>41.53</v>
      </c>
      <c r="K1916" s="17" t="n">
        <v>4568348.25</v>
      </c>
      <c r="L1916" s="12" t="n">
        <v>0</v>
      </c>
      <c r="M1916" s="12" t="n">
        <v>0</v>
      </c>
      <c r="N1916" s="27">
        <f>F1916-J1916</f>
        <v/>
      </c>
      <c r="O1916" s="16">
        <f>I1916-H1916</f>
        <v/>
      </c>
      <c r="P1916" s="14">
        <f>F1916*G1916</f>
        <v/>
      </c>
      <c r="Q1916" s="14">
        <f>J1916*G1916</f>
        <v/>
      </c>
      <c r="R1916" s="14">
        <f>K1916-Q1916</f>
        <v/>
      </c>
      <c r="S1916" s="3">
        <f>P1916*Assumptions!$B$3/100</f>
        <v/>
      </c>
      <c r="T1916" s="14">
        <f>R1916-S1916</f>
        <v/>
      </c>
      <c r="U1916" s="14">
        <f>L1916*G1916</f>
        <v/>
      </c>
    </row>
    <row r="1917">
      <c r="A1917" s="12" t="inlineStr">
        <is>
          <t>PO-2022-1915</t>
        </is>
      </c>
      <c r="B1917" s="26" t="n">
        <v>44859</v>
      </c>
      <c r="C1917" s="12" t="inlineStr">
        <is>
          <t>VS28</t>
        </is>
      </c>
      <c r="D1917" s="12" t="inlineStr">
        <is>
          <t>Hex Bars</t>
        </is>
      </c>
      <c r="E1917" s="12" t="inlineStr">
        <is>
          <t>N</t>
        </is>
      </c>
      <c r="F1917" s="12" t="n">
        <v>37.43</v>
      </c>
      <c r="G1917" s="17" t="n">
        <v>67661.55</v>
      </c>
      <c r="H1917" s="26" t="n">
        <v>44869</v>
      </c>
      <c r="I1917" s="26" t="n">
        <v>44870</v>
      </c>
      <c r="J1917" s="12" t="n">
        <v>37.42</v>
      </c>
      <c r="K1917" s="17" t="n">
        <v>2532571.82</v>
      </c>
      <c r="L1917" s="12" t="n">
        <v>0</v>
      </c>
      <c r="M1917" s="12" t="n">
        <v>5</v>
      </c>
      <c r="N1917" s="27">
        <f>F1917-J1917</f>
        <v/>
      </c>
      <c r="O1917" s="16">
        <f>I1917-H1917</f>
        <v/>
      </c>
      <c r="P1917" s="14">
        <f>F1917*G1917</f>
        <v/>
      </c>
      <c r="Q1917" s="14">
        <f>J1917*G1917</f>
        <v/>
      </c>
      <c r="R1917" s="14">
        <f>K1917-Q1917</f>
        <v/>
      </c>
      <c r="S1917" s="3">
        <f>P1917*Assumptions!$B$3/100</f>
        <v/>
      </c>
      <c r="T1917" s="14">
        <f>R1917-S1917</f>
        <v/>
      </c>
      <c r="U1917" s="14">
        <f>L1917*G1917</f>
        <v/>
      </c>
    </row>
    <row r="1918">
      <c r="A1918" s="12" t="inlineStr">
        <is>
          <t>PO-2022-1916</t>
        </is>
      </c>
      <c r="B1918" s="26" t="n">
        <v>44612</v>
      </c>
      <c r="C1918" s="12" t="inlineStr">
        <is>
          <t>VS07</t>
        </is>
      </c>
      <c r="D1918" s="12" t="inlineStr">
        <is>
          <t>CR Sheets</t>
        </is>
      </c>
      <c r="E1918" s="12" t="inlineStr">
        <is>
          <t>N</t>
        </is>
      </c>
      <c r="F1918" s="12" t="n">
        <v>48.49</v>
      </c>
      <c r="G1918" s="17" t="n">
        <v>88215.09</v>
      </c>
      <c r="H1918" s="26" t="n">
        <v>44621</v>
      </c>
      <c r="I1918" s="26" t="n">
        <v>44622</v>
      </c>
      <c r="J1918" s="12" t="n">
        <v>48.02</v>
      </c>
      <c r="K1918" s="17" t="n">
        <v>4277549.71</v>
      </c>
      <c r="L1918" s="12" t="n">
        <v>0</v>
      </c>
      <c r="M1918" s="12" t="n">
        <v>10</v>
      </c>
      <c r="N1918" s="27">
        <f>F1918-J1918</f>
        <v/>
      </c>
      <c r="O1918" s="16">
        <f>I1918-H1918</f>
        <v/>
      </c>
      <c r="P1918" s="14">
        <f>F1918*G1918</f>
        <v/>
      </c>
      <c r="Q1918" s="14">
        <f>J1918*G1918</f>
        <v/>
      </c>
      <c r="R1918" s="14">
        <f>K1918-Q1918</f>
        <v/>
      </c>
      <c r="S1918" s="3">
        <f>P1918*Assumptions!$B$3/100</f>
        <v/>
      </c>
      <c r="T1918" s="14">
        <f>R1918-S1918</f>
        <v/>
      </c>
      <c r="U1918" s="14">
        <f>L1918*G1918</f>
        <v/>
      </c>
    </row>
    <row r="1919">
      <c r="A1919" s="12" t="inlineStr">
        <is>
          <t>PO-2022-1917</t>
        </is>
      </c>
      <c r="B1919" s="26" t="n">
        <v>44793</v>
      </c>
      <c r="C1919" s="12" t="inlineStr">
        <is>
          <t>VS28</t>
        </is>
      </c>
      <c r="D1919" s="12" t="inlineStr">
        <is>
          <t>SS Pipes</t>
        </is>
      </c>
      <c r="E1919" s="12" t="inlineStr">
        <is>
          <t>Y</t>
        </is>
      </c>
      <c r="F1919" s="12" t="n">
        <v>11.89</v>
      </c>
      <c r="G1919" s="17" t="n">
        <v>75474.8</v>
      </c>
      <c r="H1919" s="26" t="n">
        <v>44800</v>
      </c>
      <c r="I1919" s="26" t="n">
        <v>44800</v>
      </c>
      <c r="J1919" s="12" t="n">
        <v>11.89</v>
      </c>
      <c r="K1919" s="17" t="n">
        <v>897395.37</v>
      </c>
      <c r="L1919" s="12" t="n">
        <v>0</v>
      </c>
      <c r="M1919" s="12" t="n">
        <v>7</v>
      </c>
      <c r="N1919" s="27">
        <f>F1919-J1919</f>
        <v/>
      </c>
      <c r="O1919" s="16">
        <f>I1919-H1919</f>
        <v/>
      </c>
      <c r="P1919" s="14">
        <f>F1919*G1919</f>
        <v/>
      </c>
      <c r="Q1919" s="14">
        <f>J1919*G1919</f>
        <v/>
      </c>
      <c r="R1919" s="14">
        <f>K1919-Q1919</f>
        <v/>
      </c>
      <c r="S1919" s="3">
        <f>P1919*Assumptions!$B$3/100</f>
        <v/>
      </c>
      <c r="T1919" s="14">
        <f>R1919-S1919</f>
        <v/>
      </c>
      <c r="U1919" s="14">
        <f>L1919*G1919</f>
        <v/>
      </c>
    </row>
    <row r="1920">
      <c r="A1920" s="12" t="inlineStr">
        <is>
          <t>PO-2022-1918</t>
        </is>
      </c>
      <c r="B1920" s="26" t="n">
        <v>45186</v>
      </c>
      <c r="C1920" s="12" t="inlineStr">
        <is>
          <t>VS19</t>
        </is>
      </c>
      <c r="D1920" s="12" t="inlineStr">
        <is>
          <t>Spring Steel</t>
        </is>
      </c>
      <c r="E1920" s="12" t="inlineStr">
        <is>
          <t>N</t>
        </is>
      </c>
      <c r="F1920" s="12" t="n">
        <v>25.82</v>
      </c>
      <c r="G1920" s="17" t="n">
        <v>76627.85000000001</v>
      </c>
      <c r="H1920" s="26" t="n">
        <v>45196</v>
      </c>
      <c r="I1920" s="26" t="n">
        <v>45203</v>
      </c>
      <c r="J1920" s="12" t="n">
        <v>24.81</v>
      </c>
      <c r="K1920" s="17" t="n">
        <v>1978531.09</v>
      </c>
      <c r="L1920" s="12" t="n">
        <v>1.02</v>
      </c>
      <c r="M1920" s="12" t="n">
        <v>0</v>
      </c>
      <c r="N1920" s="27">
        <f>F1920-J1920</f>
        <v/>
      </c>
      <c r="O1920" s="16">
        <f>I1920-H1920</f>
        <v/>
      </c>
      <c r="P1920" s="14">
        <f>F1920*G1920</f>
        <v/>
      </c>
      <c r="Q1920" s="14">
        <f>J1920*G1920</f>
        <v/>
      </c>
      <c r="R1920" s="14">
        <f>K1920-Q1920</f>
        <v/>
      </c>
      <c r="S1920" s="3">
        <f>P1920*Assumptions!$B$3/100</f>
        <v/>
      </c>
      <c r="T1920" s="14">
        <f>R1920-S1920</f>
        <v/>
      </c>
      <c r="U1920" s="14">
        <f>L1920*G1920</f>
        <v/>
      </c>
    </row>
    <row r="1921">
      <c r="A1921" s="12" t="inlineStr">
        <is>
          <t>PO-2022-1919</t>
        </is>
      </c>
      <c r="B1921" s="26" t="n">
        <v>45003</v>
      </c>
      <c r="C1921" s="12" t="inlineStr">
        <is>
          <t>VS24</t>
        </is>
      </c>
      <c r="D1921" s="12" t="inlineStr">
        <is>
          <t>Spring Steel</t>
        </is>
      </c>
      <c r="E1921" s="12" t="inlineStr">
        <is>
          <t>Y</t>
        </is>
      </c>
      <c r="F1921" s="12" t="n">
        <v>36.01</v>
      </c>
      <c r="G1921" s="17" t="n">
        <v>78920.28</v>
      </c>
      <c r="H1921" s="26" t="n">
        <v>45015</v>
      </c>
      <c r="I1921" s="26" t="n">
        <v>45018</v>
      </c>
      <c r="J1921" s="12" t="n">
        <v>35.87</v>
      </c>
      <c r="K1921" s="17" t="n">
        <v>2841919.28</v>
      </c>
      <c r="L1921" s="12" t="n">
        <v>0</v>
      </c>
      <c r="M1921" s="12" t="n">
        <v>16</v>
      </c>
      <c r="N1921" s="27">
        <f>F1921-J1921</f>
        <v/>
      </c>
      <c r="O1921" s="16">
        <f>I1921-H1921</f>
        <v/>
      </c>
      <c r="P1921" s="14">
        <f>F1921*G1921</f>
        <v/>
      </c>
      <c r="Q1921" s="14">
        <f>J1921*G1921</f>
        <v/>
      </c>
      <c r="R1921" s="14">
        <f>K1921-Q1921</f>
        <v/>
      </c>
      <c r="S1921" s="3">
        <f>P1921*Assumptions!$B$3/100</f>
        <v/>
      </c>
      <c r="T1921" s="14">
        <f>R1921-S1921</f>
        <v/>
      </c>
      <c r="U1921" s="14">
        <f>L1921*G1921</f>
        <v/>
      </c>
    </row>
    <row r="1922">
      <c r="A1922" s="12" t="inlineStr">
        <is>
          <t>PO-2022-1920</t>
        </is>
      </c>
      <c r="B1922" s="26" t="n">
        <v>44247</v>
      </c>
      <c r="C1922" s="12" t="inlineStr">
        <is>
          <t>VS26</t>
        </is>
      </c>
      <c r="D1922" s="12" t="inlineStr">
        <is>
          <t>HR Coils</t>
        </is>
      </c>
      <c r="E1922" s="12" t="inlineStr">
        <is>
          <t>N</t>
        </is>
      </c>
      <c r="F1922" s="12" t="n">
        <v>22.91</v>
      </c>
      <c r="G1922" s="17" t="n">
        <v>80760.47</v>
      </c>
      <c r="H1922" s="26" t="n">
        <v>44251</v>
      </c>
      <c r="I1922" s="26" t="n">
        <v>44252</v>
      </c>
      <c r="J1922" s="12" t="n">
        <v>22.74</v>
      </c>
      <c r="K1922" s="17" t="n">
        <v>1850222.37</v>
      </c>
      <c r="L1922" s="12" t="n">
        <v>0</v>
      </c>
      <c r="M1922" s="12" t="n">
        <v>0</v>
      </c>
      <c r="N1922" s="27">
        <f>F1922-J1922</f>
        <v/>
      </c>
      <c r="O1922" s="16">
        <f>I1922-H1922</f>
        <v/>
      </c>
      <c r="P1922" s="14">
        <f>F1922*G1922</f>
        <v/>
      </c>
      <c r="Q1922" s="14">
        <f>J1922*G1922</f>
        <v/>
      </c>
      <c r="R1922" s="14">
        <f>K1922-Q1922</f>
        <v/>
      </c>
      <c r="S1922" s="3">
        <f>P1922*Assumptions!$B$3/100</f>
        <v/>
      </c>
      <c r="T1922" s="14">
        <f>R1922-S1922</f>
        <v/>
      </c>
      <c r="U1922" s="14">
        <f>L1922*G1922</f>
        <v/>
      </c>
    </row>
    <row r="1923">
      <c r="A1923" s="12" t="inlineStr">
        <is>
          <t>PO-2022-1921</t>
        </is>
      </c>
      <c r="B1923" s="26" t="n">
        <v>44833</v>
      </c>
      <c r="C1923" s="12" t="inlineStr">
        <is>
          <t>VS22</t>
        </is>
      </c>
      <c r="D1923" s="12" t="inlineStr">
        <is>
          <t>Square/Rect Tubes</t>
        </is>
      </c>
      <c r="E1923" s="12" t="inlineStr">
        <is>
          <t>N</t>
        </is>
      </c>
      <c r="F1923" s="12" t="n">
        <v>40.67</v>
      </c>
      <c r="G1923" s="17" t="n">
        <v>118186.31</v>
      </c>
      <c r="H1923" s="26" t="n">
        <v>44837</v>
      </c>
      <c r="I1923" s="26" t="n">
        <v>44837</v>
      </c>
      <c r="J1923" s="12" t="n">
        <v>40.46</v>
      </c>
      <c r="K1923" s="17" t="n">
        <v>4806637.23</v>
      </c>
      <c r="L1923" s="12" t="n">
        <v>0</v>
      </c>
      <c r="M1923" s="12" t="n">
        <v>22</v>
      </c>
      <c r="N1923" s="27">
        <f>F1923-J1923</f>
        <v/>
      </c>
      <c r="O1923" s="16">
        <f>I1923-H1923</f>
        <v/>
      </c>
      <c r="P1923" s="14">
        <f>F1923*G1923</f>
        <v/>
      </c>
      <c r="Q1923" s="14">
        <f>J1923*G1923</f>
        <v/>
      </c>
      <c r="R1923" s="14">
        <f>K1923-Q1923</f>
        <v/>
      </c>
      <c r="S1923" s="3">
        <f>P1923*Assumptions!$B$3/100</f>
        <v/>
      </c>
      <c r="T1923" s="14">
        <f>R1923-S1923</f>
        <v/>
      </c>
      <c r="U1923" s="14">
        <f>L1923*G1923</f>
        <v/>
      </c>
    </row>
    <row r="1924">
      <c r="A1924" s="12" t="inlineStr">
        <is>
          <t>PO-2022-1922</t>
        </is>
      </c>
      <c r="B1924" s="26" t="n">
        <v>44543</v>
      </c>
      <c r="C1924" s="12" t="inlineStr">
        <is>
          <t>VS14</t>
        </is>
      </c>
      <c r="D1924" s="12" t="inlineStr">
        <is>
          <t>Structural Steel</t>
        </is>
      </c>
      <c r="E1924" s="12" t="inlineStr">
        <is>
          <t>Y</t>
        </is>
      </c>
      <c r="F1924" s="12" t="n">
        <v>30.08</v>
      </c>
      <c r="G1924" s="17" t="n">
        <v>51291.66</v>
      </c>
      <c r="H1924" s="26" t="n">
        <v>44552</v>
      </c>
      <c r="I1924" s="26" t="n">
        <v>44555</v>
      </c>
      <c r="J1924" s="12" t="n">
        <v>29.87</v>
      </c>
      <c r="K1924" s="17" t="n">
        <v>1542853.13</v>
      </c>
      <c r="L1924" s="12" t="n">
        <v>0</v>
      </c>
      <c r="M1924" s="12" t="n">
        <v>6</v>
      </c>
      <c r="N1924" s="27">
        <f>F1924-J1924</f>
        <v/>
      </c>
      <c r="O1924" s="16">
        <f>I1924-H1924</f>
        <v/>
      </c>
      <c r="P1924" s="14">
        <f>F1924*G1924</f>
        <v/>
      </c>
      <c r="Q1924" s="14">
        <f>J1924*G1924</f>
        <v/>
      </c>
      <c r="R1924" s="14">
        <f>K1924-Q1924</f>
        <v/>
      </c>
      <c r="S1924" s="3">
        <f>P1924*Assumptions!$B$3/100</f>
        <v/>
      </c>
      <c r="T1924" s="14">
        <f>R1924-S1924</f>
        <v/>
      </c>
      <c r="U1924" s="14">
        <f>L1924*G1924</f>
        <v/>
      </c>
    </row>
    <row r="1925">
      <c r="A1925" s="12" t="inlineStr">
        <is>
          <t>PO-2022-1923</t>
        </is>
      </c>
      <c r="B1925" s="26" t="n">
        <v>45166</v>
      </c>
      <c r="C1925" s="12" t="inlineStr">
        <is>
          <t>VS34</t>
        </is>
      </c>
      <c r="D1925" s="12" t="inlineStr">
        <is>
          <t>HR Coils</t>
        </is>
      </c>
      <c r="E1925" s="12" t="inlineStr">
        <is>
          <t>N</t>
        </is>
      </c>
      <c r="F1925" s="12" t="n">
        <v>3.89</v>
      </c>
      <c r="G1925" s="17" t="n">
        <v>82006.33</v>
      </c>
      <c r="H1925" s="26" t="n">
        <v>45175</v>
      </c>
      <c r="I1925" s="26" t="n">
        <v>45175</v>
      </c>
      <c r="J1925" s="12" t="n">
        <v>3.87</v>
      </c>
      <c r="K1925" s="17" t="n">
        <v>319004.62</v>
      </c>
      <c r="L1925" s="12" t="n">
        <v>0</v>
      </c>
      <c r="M1925" s="12" t="n">
        <v>23</v>
      </c>
      <c r="N1925" s="27">
        <f>F1925-J1925</f>
        <v/>
      </c>
      <c r="O1925" s="16">
        <f>I1925-H1925</f>
        <v/>
      </c>
      <c r="P1925" s="14">
        <f>F1925*G1925</f>
        <v/>
      </c>
      <c r="Q1925" s="14">
        <f>J1925*G1925</f>
        <v/>
      </c>
      <c r="R1925" s="14">
        <f>K1925-Q1925</f>
        <v/>
      </c>
      <c r="S1925" s="3">
        <f>P1925*Assumptions!$B$3/100</f>
        <v/>
      </c>
      <c r="T1925" s="14">
        <f>R1925-S1925</f>
        <v/>
      </c>
      <c r="U1925" s="14">
        <f>L1925*G1925</f>
        <v/>
      </c>
    </row>
    <row r="1926">
      <c r="A1926" s="12" t="inlineStr">
        <is>
          <t>PO-2022-1924</t>
        </is>
      </c>
      <c r="B1926" s="26" t="n">
        <v>44834</v>
      </c>
      <c r="C1926" s="12" t="inlineStr">
        <is>
          <t>VS22</t>
        </is>
      </c>
      <c r="D1926" s="12" t="inlineStr">
        <is>
          <t>Square/Rect Tubes</t>
        </is>
      </c>
      <c r="E1926" s="12" t="inlineStr">
        <is>
          <t>N</t>
        </is>
      </c>
      <c r="F1926" s="12" t="n">
        <v>2.79</v>
      </c>
      <c r="G1926" s="17" t="n">
        <v>96674.82000000001</v>
      </c>
      <c r="H1926" s="26" t="n">
        <v>44846</v>
      </c>
      <c r="I1926" s="26" t="n">
        <v>44848</v>
      </c>
      <c r="J1926" s="12" t="n">
        <v>2.78</v>
      </c>
      <c r="K1926" s="17" t="n">
        <v>269722.75</v>
      </c>
      <c r="L1926" s="12" t="n">
        <v>0</v>
      </c>
      <c r="M1926" s="12" t="n">
        <v>22</v>
      </c>
      <c r="N1926" s="27">
        <f>F1926-J1926</f>
        <v/>
      </c>
      <c r="O1926" s="16">
        <f>I1926-H1926</f>
        <v/>
      </c>
      <c r="P1926" s="14">
        <f>F1926*G1926</f>
        <v/>
      </c>
      <c r="Q1926" s="14">
        <f>J1926*G1926</f>
        <v/>
      </c>
      <c r="R1926" s="14">
        <f>K1926-Q1926</f>
        <v/>
      </c>
      <c r="S1926" s="3">
        <f>P1926*Assumptions!$B$3/100</f>
        <v/>
      </c>
      <c r="T1926" s="14">
        <f>R1926-S1926</f>
        <v/>
      </c>
      <c r="U1926" s="14">
        <f>L1926*G1926</f>
        <v/>
      </c>
    </row>
    <row r="1927">
      <c r="A1927" s="12" t="inlineStr">
        <is>
          <t>PO-2022-1925</t>
        </is>
      </c>
      <c r="B1927" s="26" t="n">
        <v>45029</v>
      </c>
      <c r="C1927" s="12" t="inlineStr">
        <is>
          <t>VS01</t>
        </is>
      </c>
      <c r="D1927" s="12" t="inlineStr">
        <is>
          <t>CR Sheets</t>
        </is>
      </c>
      <c r="E1927" s="12" t="inlineStr">
        <is>
          <t>Y</t>
        </is>
      </c>
      <c r="F1927" s="12" t="n">
        <v>34.83</v>
      </c>
      <c r="G1927" s="17" t="n">
        <v>101627.84</v>
      </c>
      <c r="H1927" s="26" t="n">
        <v>45044</v>
      </c>
      <c r="I1927" s="26" t="n">
        <v>45047</v>
      </c>
      <c r="J1927" s="12" t="n">
        <v>34.6</v>
      </c>
      <c r="K1927" s="17" t="n">
        <v>3539697.67</v>
      </c>
      <c r="L1927" s="12" t="n">
        <v>0</v>
      </c>
      <c r="M1927" s="12" t="n">
        <v>8</v>
      </c>
      <c r="N1927" s="27">
        <f>F1927-J1927</f>
        <v/>
      </c>
      <c r="O1927" s="16">
        <f>I1927-H1927</f>
        <v/>
      </c>
      <c r="P1927" s="14">
        <f>F1927*G1927</f>
        <v/>
      </c>
      <c r="Q1927" s="14">
        <f>J1927*G1927</f>
        <v/>
      </c>
      <c r="R1927" s="14">
        <f>K1927-Q1927</f>
        <v/>
      </c>
      <c r="S1927" s="3">
        <f>P1927*Assumptions!$B$3/100</f>
        <v/>
      </c>
      <c r="T1927" s="14">
        <f>R1927-S1927</f>
        <v/>
      </c>
      <c r="U1927" s="14">
        <f>L1927*G1927</f>
        <v/>
      </c>
    </row>
    <row r="1928">
      <c r="A1928" s="12" t="inlineStr">
        <is>
          <t>PO-2022-1926</t>
        </is>
      </c>
      <c r="B1928" s="26" t="n">
        <v>45197</v>
      </c>
      <c r="C1928" s="12" t="inlineStr">
        <is>
          <t>VS32</t>
        </is>
      </c>
      <c r="D1928" s="12" t="inlineStr">
        <is>
          <t>MS Flats</t>
        </is>
      </c>
      <c r="E1928" s="12" t="inlineStr">
        <is>
          <t>N</t>
        </is>
      </c>
      <c r="F1928" s="12" t="n">
        <v>48.01</v>
      </c>
      <c r="G1928" s="17" t="n">
        <v>62680.45</v>
      </c>
      <c r="H1928" s="26" t="n">
        <v>45207</v>
      </c>
      <c r="I1928" s="26" t="n">
        <v>45209</v>
      </c>
      <c r="J1928" s="12" t="n">
        <v>47.98</v>
      </c>
      <c r="K1928" s="17" t="n">
        <v>3009288.4</v>
      </c>
      <c r="L1928" s="12" t="n">
        <v>0</v>
      </c>
      <c r="M1928" s="12" t="n">
        <v>10</v>
      </c>
      <c r="N1928" s="27">
        <f>F1928-J1928</f>
        <v/>
      </c>
      <c r="O1928" s="16">
        <f>I1928-H1928</f>
        <v/>
      </c>
      <c r="P1928" s="14">
        <f>F1928*G1928</f>
        <v/>
      </c>
      <c r="Q1928" s="14">
        <f>J1928*G1928</f>
        <v/>
      </c>
      <c r="R1928" s="14">
        <f>K1928-Q1928</f>
        <v/>
      </c>
      <c r="S1928" s="3">
        <f>P1928*Assumptions!$B$3/100</f>
        <v/>
      </c>
      <c r="T1928" s="14">
        <f>R1928-S1928</f>
        <v/>
      </c>
      <c r="U1928" s="14">
        <f>L1928*G1928</f>
        <v/>
      </c>
    </row>
    <row r="1929">
      <c r="A1929" s="12" t="inlineStr">
        <is>
          <t>PO-2022-1927</t>
        </is>
      </c>
      <c r="B1929" s="26" t="n">
        <v>45186</v>
      </c>
      <c r="C1929" s="12" t="inlineStr">
        <is>
          <t>VS33</t>
        </is>
      </c>
      <c r="D1929" s="12" t="inlineStr">
        <is>
          <t>Spring Steel</t>
        </is>
      </c>
      <c r="E1929" s="12" t="inlineStr">
        <is>
          <t>N</t>
        </is>
      </c>
      <c r="F1929" s="12" t="n">
        <v>43.07</v>
      </c>
      <c r="G1929" s="17" t="n">
        <v>119456.65</v>
      </c>
      <c r="H1929" s="26" t="n">
        <v>45190</v>
      </c>
      <c r="I1929" s="26" t="n">
        <v>45191</v>
      </c>
      <c r="J1929" s="12" t="n">
        <v>43.06</v>
      </c>
      <c r="K1929" s="17" t="n">
        <v>5144997.92</v>
      </c>
      <c r="L1929" s="12" t="n">
        <v>0</v>
      </c>
      <c r="M1929" s="12" t="n">
        <v>1</v>
      </c>
      <c r="N1929" s="27">
        <f>F1929-J1929</f>
        <v/>
      </c>
      <c r="O1929" s="16">
        <f>I1929-H1929</f>
        <v/>
      </c>
      <c r="P1929" s="14">
        <f>F1929*G1929</f>
        <v/>
      </c>
      <c r="Q1929" s="14">
        <f>J1929*G1929</f>
        <v/>
      </c>
      <c r="R1929" s="14">
        <f>K1929-Q1929</f>
        <v/>
      </c>
      <c r="S1929" s="3">
        <f>P1929*Assumptions!$B$3/100</f>
        <v/>
      </c>
      <c r="T1929" s="14">
        <f>R1929-S1929</f>
        <v/>
      </c>
      <c r="U1929" s="14">
        <f>L1929*G1929</f>
        <v/>
      </c>
    </row>
    <row r="1930">
      <c r="A1930" s="12" t="inlineStr">
        <is>
          <t>PO-2022-1928</t>
        </is>
      </c>
      <c r="B1930" s="26" t="n">
        <v>44412</v>
      </c>
      <c r="C1930" s="12" t="inlineStr">
        <is>
          <t>VS28</t>
        </is>
      </c>
      <c r="D1930" s="12" t="inlineStr">
        <is>
          <t>SS Pipes</t>
        </is>
      </c>
      <c r="E1930" s="12" t="inlineStr">
        <is>
          <t>Y</t>
        </is>
      </c>
      <c r="F1930" s="12" t="n">
        <v>19.41</v>
      </c>
      <c r="G1930" s="17" t="n">
        <v>101766.5</v>
      </c>
      <c r="H1930" s="26" t="n">
        <v>44417</v>
      </c>
      <c r="I1930" s="26" t="n">
        <v>44418</v>
      </c>
      <c r="J1930" s="12" t="n">
        <v>19.4</v>
      </c>
      <c r="K1930" s="17" t="n">
        <v>1975287.77</v>
      </c>
      <c r="L1930" s="12" t="n">
        <v>0</v>
      </c>
      <c r="M1930" s="12" t="n">
        <v>0</v>
      </c>
      <c r="N1930" s="27">
        <f>F1930-J1930</f>
        <v/>
      </c>
      <c r="O1930" s="16">
        <f>I1930-H1930</f>
        <v/>
      </c>
      <c r="P1930" s="14">
        <f>F1930*G1930</f>
        <v/>
      </c>
      <c r="Q1930" s="14">
        <f>J1930*G1930</f>
        <v/>
      </c>
      <c r="R1930" s="14">
        <f>K1930-Q1930</f>
        <v/>
      </c>
      <c r="S1930" s="3">
        <f>P1930*Assumptions!$B$3/100</f>
        <v/>
      </c>
      <c r="T1930" s="14">
        <f>R1930-S1930</f>
        <v/>
      </c>
      <c r="U1930" s="14">
        <f>L1930*G1930</f>
        <v/>
      </c>
    </row>
    <row r="1931">
      <c r="A1931" s="12" t="inlineStr">
        <is>
          <t>PO-2022-1929</t>
        </is>
      </c>
      <c r="B1931" s="26" t="n">
        <v>45261</v>
      </c>
      <c r="C1931" s="12" t="inlineStr">
        <is>
          <t>VS08</t>
        </is>
      </c>
      <c r="D1931" s="12" t="inlineStr">
        <is>
          <t>MS Sheets</t>
        </is>
      </c>
      <c r="E1931" s="12" t="inlineStr">
        <is>
          <t>N</t>
        </is>
      </c>
      <c r="F1931" s="12" t="n">
        <v>10.67</v>
      </c>
      <c r="G1931" s="17" t="n">
        <v>110231.19</v>
      </c>
      <c r="H1931" s="26" t="n">
        <v>45265</v>
      </c>
      <c r="I1931" s="26" t="n">
        <v>45268</v>
      </c>
      <c r="J1931" s="12" t="n">
        <v>10.57</v>
      </c>
      <c r="K1931" s="17" t="n">
        <v>1176166.8</v>
      </c>
      <c r="L1931" s="12" t="n">
        <v>0</v>
      </c>
      <c r="M1931" s="12" t="n">
        <v>0</v>
      </c>
      <c r="N1931" s="27">
        <f>F1931-J1931</f>
        <v/>
      </c>
      <c r="O1931" s="16">
        <f>I1931-H1931</f>
        <v/>
      </c>
      <c r="P1931" s="14">
        <f>F1931*G1931</f>
        <v/>
      </c>
      <c r="Q1931" s="14">
        <f>J1931*G1931</f>
        <v/>
      </c>
      <c r="R1931" s="14">
        <f>K1931-Q1931</f>
        <v/>
      </c>
      <c r="S1931" s="3">
        <f>P1931*Assumptions!$B$3/100</f>
        <v/>
      </c>
      <c r="T1931" s="14">
        <f>R1931-S1931</f>
        <v/>
      </c>
      <c r="U1931" s="14">
        <f>L1931*G1931</f>
        <v/>
      </c>
    </row>
    <row r="1932">
      <c r="A1932" s="12" t="inlineStr">
        <is>
          <t>PO-2022-1930</t>
        </is>
      </c>
      <c r="B1932" s="26" t="n">
        <v>44276</v>
      </c>
      <c r="C1932" s="12" t="inlineStr">
        <is>
          <t>VS28</t>
        </is>
      </c>
      <c r="D1932" s="12" t="inlineStr">
        <is>
          <t>Structural Steel</t>
        </is>
      </c>
      <c r="E1932" s="12" t="inlineStr">
        <is>
          <t>N</t>
        </is>
      </c>
      <c r="F1932" s="12" t="n">
        <v>9.369999999999999</v>
      </c>
      <c r="G1932" s="17" t="n">
        <v>105236.52</v>
      </c>
      <c r="H1932" s="26" t="n">
        <v>44286</v>
      </c>
      <c r="I1932" s="26" t="n">
        <v>44289</v>
      </c>
      <c r="J1932" s="12" t="n">
        <v>9.359999999999999</v>
      </c>
      <c r="K1932" s="17" t="n">
        <v>986066.1899999999</v>
      </c>
      <c r="L1932" s="12" t="n">
        <v>0</v>
      </c>
      <c r="M1932" s="12" t="n">
        <v>18</v>
      </c>
      <c r="N1932" s="27">
        <f>F1932-J1932</f>
        <v/>
      </c>
      <c r="O1932" s="16">
        <f>I1932-H1932</f>
        <v/>
      </c>
      <c r="P1932" s="14">
        <f>F1932*G1932</f>
        <v/>
      </c>
      <c r="Q1932" s="14">
        <f>J1932*G1932</f>
        <v/>
      </c>
      <c r="R1932" s="14">
        <f>K1932-Q1932</f>
        <v/>
      </c>
      <c r="S1932" s="3">
        <f>P1932*Assumptions!$B$3/100</f>
        <v/>
      </c>
      <c r="T1932" s="14">
        <f>R1932-S1932</f>
        <v/>
      </c>
      <c r="U1932" s="14">
        <f>L1932*G1932</f>
        <v/>
      </c>
    </row>
    <row r="1933">
      <c r="A1933" s="12" t="inlineStr">
        <is>
          <t>PO-2022-1931</t>
        </is>
      </c>
      <c r="B1933" s="26" t="n">
        <v>44483</v>
      </c>
      <c r="C1933" s="12" t="inlineStr">
        <is>
          <t>VS27</t>
        </is>
      </c>
      <c r="D1933" s="12" t="inlineStr">
        <is>
          <t>MS Rods</t>
        </is>
      </c>
      <c r="E1933" s="12" t="inlineStr">
        <is>
          <t>N</t>
        </is>
      </c>
      <c r="F1933" s="12" t="n">
        <v>1.45</v>
      </c>
      <c r="G1933" s="17" t="n">
        <v>53818.75</v>
      </c>
      <c r="H1933" s="26" t="n">
        <v>44490</v>
      </c>
      <c r="I1933" s="26" t="n">
        <v>44492</v>
      </c>
      <c r="J1933" s="12" t="n">
        <v>1.44</v>
      </c>
      <c r="K1933" s="17" t="n">
        <v>78037.19</v>
      </c>
      <c r="L1933" s="12" t="n">
        <v>0</v>
      </c>
      <c r="M1933" s="12" t="n">
        <v>1</v>
      </c>
      <c r="N1933" s="27">
        <f>F1933-J1933</f>
        <v/>
      </c>
      <c r="O1933" s="16">
        <f>I1933-H1933</f>
        <v/>
      </c>
      <c r="P1933" s="14">
        <f>F1933*G1933</f>
        <v/>
      </c>
      <c r="Q1933" s="14">
        <f>J1933*G1933</f>
        <v/>
      </c>
      <c r="R1933" s="14">
        <f>K1933-Q1933</f>
        <v/>
      </c>
      <c r="S1933" s="3">
        <f>P1933*Assumptions!$B$3/100</f>
        <v/>
      </c>
      <c r="T1933" s="14">
        <f>R1933-S1933</f>
        <v/>
      </c>
      <c r="U1933" s="14">
        <f>L1933*G1933</f>
        <v/>
      </c>
    </row>
    <row r="1934">
      <c r="A1934" s="12" t="inlineStr">
        <is>
          <t>PO-2022-1932</t>
        </is>
      </c>
      <c r="B1934" s="26" t="n">
        <v>44752</v>
      </c>
      <c r="C1934" s="12" t="inlineStr">
        <is>
          <t>VS34</t>
        </is>
      </c>
      <c r="D1934" s="12" t="inlineStr">
        <is>
          <t>MS Flats</t>
        </is>
      </c>
      <c r="E1934" s="12" t="inlineStr">
        <is>
          <t>N</t>
        </is>
      </c>
      <c r="F1934" s="12" t="n">
        <v>31.14</v>
      </c>
      <c r="G1934" s="17" t="n">
        <v>72872.39</v>
      </c>
      <c r="H1934" s="26" t="n">
        <v>44765</v>
      </c>
      <c r="I1934" s="26" t="n">
        <v>44768</v>
      </c>
      <c r="J1934" s="12" t="n">
        <v>31</v>
      </c>
      <c r="K1934" s="17" t="n">
        <v>2269246.22</v>
      </c>
      <c r="L1934" s="12" t="n">
        <v>0</v>
      </c>
      <c r="M1934" s="12" t="n">
        <v>1</v>
      </c>
      <c r="N1934" s="27">
        <f>F1934-J1934</f>
        <v/>
      </c>
      <c r="O1934" s="16">
        <f>I1934-H1934</f>
        <v/>
      </c>
      <c r="P1934" s="14">
        <f>F1934*G1934</f>
        <v/>
      </c>
      <c r="Q1934" s="14">
        <f>J1934*G1934</f>
        <v/>
      </c>
      <c r="R1934" s="14">
        <f>K1934-Q1934</f>
        <v/>
      </c>
      <c r="S1934" s="3">
        <f>P1934*Assumptions!$B$3/100</f>
        <v/>
      </c>
      <c r="T1934" s="14">
        <f>R1934-S1934</f>
        <v/>
      </c>
      <c r="U1934" s="14">
        <f>L1934*G1934</f>
        <v/>
      </c>
    </row>
    <row r="1935">
      <c r="A1935" s="12" t="inlineStr">
        <is>
          <t>PO-2022-1933</t>
        </is>
      </c>
      <c r="B1935" s="26" t="n">
        <v>44536</v>
      </c>
      <c r="C1935" s="12" t="inlineStr">
        <is>
          <t>VS10</t>
        </is>
      </c>
      <c r="D1935" s="12" t="inlineStr">
        <is>
          <t>SS Sheets</t>
        </is>
      </c>
      <c r="E1935" s="12" t="inlineStr">
        <is>
          <t>N</t>
        </is>
      </c>
      <c r="F1935" s="12" t="n">
        <v>26.64</v>
      </c>
      <c r="G1935" s="17" t="n">
        <v>60334.64</v>
      </c>
      <c r="H1935" s="26" t="n">
        <v>44548</v>
      </c>
      <c r="I1935" s="26" t="n">
        <v>44550</v>
      </c>
      <c r="J1935" s="12" t="n">
        <v>26.49</v>
      </c>
      <c r="K1935" s="17" t="n">
        <v>1607314.81</v>
      </c>
      <c r="L1935" s="12" t="n">
        <v>0</v>
      </c>
      <c r="M1935" s="12" t="n">
        <v>15</v>
      </c>
      <c r="N1935" s="27">
        <f>F1935-J1935</f>
        <v/>
      </c>
      <c r="O1935" s="16">
        <f>I1935-H1935</f>
        <v/>
      </c>
      <c r="P1935" s="14">
        <f>F1935*G1935</f>
        <v/>
      </c>
      <c r="Q1935" s="14">
        <f>J1935*G1935</f>
        <v/>
      </c>
      <c r="R1935" s="14">
        <f>K1935-Q1935</f>
        <v/>
      </c>
      <c r="S1935" s="3">
        <f>P1935*Assumptions!$B$3/100</f>
        <v/>
      </c>
      <c r="T1935" s="14">
        <f>R1935-S1935</f>
        <v/>
      </c>
      <c r="U1935" s="14">
        <f>L1935*G1935</f>
        <v/>
      </c>
    </row>
    <row r="1936">
      <c r="A1936" s="12" t="inlineStr">
        <is>
          <t>PO-2022-1934</t>
        </is>
      </c>
      <c r="B1936" s="26" t="n">
        <v>44957</v>
      </c>
      <c r="C1936" s="12" t="inlineStr">
        <is>
          <t>VS34</t>
        </is>
      </c>
      <c r="D1936" s="12" t="inlineStr">
        <is>
          <t>CR Sheets</t>
        </is>
      </c>
      <c r="E1936" s="12" t="inlineStr">
        <is>
          <t>N</t>
        </is>
      </c>
      <c r="F1936" s="12" t="n">
        <v>24.13</v>
      </c>
      <c r="G1936" s="17" t="n">
        <v>60796.28</v>
      </c>
      <c r="H1936" s="26" t="n">
        <v>44965</v>
      </c>
      <c r="I1936" s="26" t="n">
        <v>44966</v>
      </c>
      <c r="J1936" s="12" t="n">
        <v>24</v>
      </c>
      <c r="K1936" s="17" t="n">
        <v>1467014.24</v>
      </c>
      <c r="L1936" s="12" t="n">
        <v>0</v>
      </c>
      <c r="M1936" s="12" t="n">
        <v>0</v>
      </c>
      <c r="N1936" s="27">
        <f>F1936-J1936</f>
        <v/>
      </c>
      <c r="O1936" s="16">
        <f>I1936-H1936</f>
        <v/>
      </c>
      <c r="P1936" s="14">
        <f>F1936*G1936</f>
        <v/>
      </c>
      <c r="Q1936" s="14">
        <f>J1936*G1936</f>
        <v/>
      </c>
      <c r="R1936" s="14">
        <f>K1936-Q1936</f>
        <v/>
      </c>
      <c r="S1936" s="3">
        <f>P1936*Assumptions!$B$3/100</f>
        <v/>
      </c>
      <c r="T1936" s="14">
        <f>R1936-S1936</f>
        <v/>
      </c>
      <c r="U1936" s="14">
        <f>L1936*G1936</f>
        <v/>
      </c>
    </row>
    <row r="1937">
      <c r="A1937" s="12" t="inlineStr">
        <is>
          <t>PO-2022-1935</t>
        </is>
      </c>
      <c r="B1937" s="26" t="n">
        <v>44474</v>
      </c>
      <c r="C1937" s="12" t="inlineStr">
        <is>
          <t>VS11</t>
        </is>
      </c>
      <c r="D1937" s="12" t="inlineStr">
        <is>
          <t>Hex Bars</t>
        </is>
      </c>
      <c r="E1937" s="12" t="inlineStr">
        <is>
          <t>N</t>
        </is>
      </c>
      <c r="F1937" s="12" t="n">
        <v>36.04</v>
      </c>
      <c r="G1937" s="17" t="n">
        <v>80540.28</v>
      </c>
      <c r="H1937" s="26" t="n">
        <v>44482</v>
      </c>
      <c r="I1937" s="26" t="n">
        <v>44483</v>
      </c>
      <c r="J1937" s="12" t="n">
        <v>35.83</v>
      </c>
      <c r="K1937" s="17" t="n">
        <v>2902671.69</v>
      </c>
      <c r="L1937" s="12" t="n">
        <v>0</v>
      </c>
      <c r="M1937" s="12" t="n">
        <v>13</v>
      </c>
      <c r="N1937" s="27">
        <f>F1937-J1937</f>
        <v/>
      </c>
      <c r="O1937" s="16">
        <f>I1937-H1937</f>
        <v/>
      </c>
      <c r="P1937" s="14">
        <f>F1937*G1937</f>
        <v/>
      </c>
      <c r="Q1937" s="14">
        <f>J1937*G1937</f>
        <v/>
      </c>
      <c r="R1937" s="14">
        <f>K1937-Q1937</f>
        <v/>
      </c>
      <c r="S1937" s="3">
        <f>P1937*Assumptions!$B$3/100</f>
        <v/>
      </c>
      <c r="T1937" s="14">
        <f>R1937-S1937</f>
        <v/>
      </c>
      <c r="U1937" s="14">
        <f>L1937*G1937</f>
        <v/>
      </c>
    </row>
    <row r="1938">
      <c r="A1938" s="12" t="inlineStr">
        <is>
          <t>PO-2022-1936</t>
        </is>
      </c>
      <c r="B1938" s="26" t="n">
        <v>45049</v>
      </c>
      <c r="C1938" s="12" t="inlineStr">
        <is>
          <t>VS12</t>
        </is>
      </c>
      <c r="D1938" s="12" t="inlineStr">
        <is>
          <t>Square/Rect Tubes</t>
        </is>
      </c>
      <c r="E1938" s="12" t="inlineStr">
        <is>
          <t>N</t>
        </is>
      </c>
      <c r="F1938" s="12" t="n">
        <v>24.05</v>
      </c>
      <c r="G1938" s="17" t="n">
        <v>124278.2</v>
      </c>
      <c r="H1938" s="26" t="n">
        <v>45052</v>
      </c>
      <c r="I1938" s="26" t="n">
        <v>45060</v>
      </c>
      <c r="J1938" s="12" t="n">
        <v>23.38</v>
      </c>
      <c r="K1938" s="17" t="n">
        <v>2988890.71</v>
      </c>
      <c r="L1938" s="12" t="n">
        <v>1.12</v>
      </c>
      <c r="M1938" s="12" t="n">
        <v>0</v>
      </c>
      <c r="N1938" s="27">
        <f>F1938-J1938</f>
        <v/>
      </c>
      <c r="O1938" s="16">
        <f>I1938-H1938</f>
        <v/>
      </c>
      <c r="P1938" s="14">
        <f>F1938*G1938</f>
        <v/>
      </c>
      <c r="Q1938" s="14">
        <f>J1938*G1938</f>
        <v/>
      </c>
      <c r="R1938" s="14">
        <f>K1938-Q1938</f>
        <v/>
      </c>
      <c r="S1938" s="3">
        <f>P1938*Assumptions!$B$3/100</f>
        <v/>
      </c>
      <c r="T1938" s="14">
        <f>R1938-S1938</f>
        <v/>
      </c>
      <c r="U1938" s="14">
        <f>L1938*G1938</f>
        <v/>
      </c>
    </row>
    <row r="1939">
      <c r="A1939" s="12" t="inlineStr">
        <is>
          <t>PO-2022-1937</t>
        </is>
      </c>
      <c r="B1939" s="26" t="n">
        <v>44835</v>
      </c>
      <c r="C1939" s="12" t="inlineStr">
        <is>
          <t>VS13</t>
        </is>
      </c>
      <c r="D1939" s="12" t="inlineStr">
        <is>
          <t>GI Sheets</t>
        </is>
      </c>
      <c r="E1939" s="12" t="inlineStr">
        <is>
          <t>N</t>
        </is>
      </c>
      <c r="F1939" s="12" t="n">
        <v>35.01</v>
      </c>
      <c r="G1939" s="17" t="n">
        <v>85329.86</v>
      </c>
      <c r="H1939" s="26" t="n">
        <v>44843</v>
      </c>
      <c r="I1939" s="26" t="n">
        <v>44846</v>
      </c>
      <c r="J1939" s="12" t="n">
        <v>34.84</v>
      </c>
      <c r="K1939" s="17" t="n">
        <v>2987398.4</v>
      </c>
      <c r="L1939" s="12" t="n">
        <v>0</v>
      </c>
      <c r="M1939" s="12" t="n">
        <v>11</v>
      </c>
      <c r="N1939" s="27">
        <f>F1939-J1939</f>
        <v/>
      </c>
      <c r="O1939" s="16">
        <f>I1939-H1939</f>
        <v/>
      </c>
      <c r="P1939" s="14">
        <f>F1939*G1939</f>
        <v/>
      </c>
      <c r="Q1939" s="14">
        <f>J1939*G1939</f>
        <v/>
      </c>
      <c r="R1939" s="14">
        <f>K1939-Q1939</f>
        <v/>
      </c>
      <c r="S1939" s="3">
        <f>P1939*Assumptions!$B$3/100</f>
        <v/>
      </c>
      <c r="T1939" s="14">
        <f>R1939-S1939</f>
        <v/>
      </c>
      <c r="U1939" s="14">
        <f>L1939*G1939</f>
        <v/>
      </c>
    </row>
    <row r="1940">
      <c r="A1940" s="12" t="inlineStr">
        <is>
          <t>PO-2022-1938</t>
        </is>
      </c>
      <c r="B1940" s="26" t="n">
        <v>44390</v>
      </c>
      <c r="C1940" s="12" t="inlineStr">
        <is>
          <t>VS04</t>
        </is>
      </c>
      <c r="D1940" s="12" t="inlineStr">
        <is>
          <t>Fasteners &amp; Fittings</t>
        </is>
      </c>
      <c r="E1940" s="12" t="inlineStr">
        <is>
          <t>N</t>
        </is>
      </c>
      <c r="F1940" s="12" t="n">
        <v>30.13</v>
      </c>
      <c r="G1940" s="17" t="n">
        <v>50007.9</v>
      </c>
      <c r="H1940" s="26" t="n">
        <v>44403</v>
      </c>
      <c r="I1940" s="26" t="n">
        <v>44403</v>
      </c>
      <c r="J1940" s="12" t="n">
        <v>29.84</v>
      </c>
      <c r="K1940" s="17" t="n">
        <v>1506738.03</v>
      </c>
      <c r="L1940" s="12" t="n">
        <v>0</v>
      </c>
      <c r="M1940" s="12" t="n">
        <v>15</v>
      </c>
      <c r="N1940" s="27">
        <f>F1940-J1940</f>
        <v/>
      </c>
      <c r="O1940" s="16">
        <f>I1940-H1940</f>
        <v/>
      </c>
      <c r="P1940" s="14">
        <f>F1940*G1940</f>
        <v/>
      </c>
      <c r="Q1940" s="14">
        <f>J1940*G1940</f>
        <v/>
      </c>
      <c r="R1940" s="14">
        <f>K1940-Q1940</f>
        <v/>
      </c>
      <c r="S1940" s="3">
        <f>P1940*Assumptions!$B$3/100</f>
        <v/>
      </c>
      <c r="T1940" s="14">
        <f>R1940-S1940</f>
        <v/>
      </c>
      <c r="U1940" s="14">
        <f>L1940*G1940</f>
        <v/>
      </c>
    </row>
    <row r="1941">
      <c r="A1941" s="12" t="inlineStr">
        <is>
          <t>PO-2022-1939</t>
        </is>
      </c>
      <c r="B1941" s="26" t="n">
        <v>44659</v>
      </c>
      <c r="C1941" s="12" t="inlineStr">
        <is>
          <t>VS23</t>
        </is>
      </c>
      <c r="D1941" s="12" t="inlineStr">
        <is>
          <t>MS Pipes</t>
        </is>
      </c>
      <c r="E1941" s="12" t="inlineStr">
        <is>
          <t>N</t>
        </is>
      </c>
      <c r="F1941" s="12" t="n">
        <v>46.47</v>
      </c>
      <c r="G1941" s="17" t="n">
        <v>65593.55</v>
      </c>
      <c r="H1941" s="26" t="n">
        <v>44668</v>
      </c>
      <c r="I1941" s="26" t="n">
        <v>44669</v>
      </c>
      <c r="J1941" s="12" t="n">
        <v>46.21</v>
      </c>
      <c r="K1941" s="17" t="n">
        <v>3048132.27</v>
      </c>
      <c r="L1941" s="12" t="n">
        <v>0</v>
      </c>
      <c r="M1941" s="12" t="n">
        <v>12</v>
      </c>
      <c r="N1941" s="27">
        <f>F1941-J1941</f>
        <v/>
      </c>
      <c r="O1941" s="16">
        <f>I1941-H1941</f>
        <v/>
      </c>
      <c r="P1941" s="14">
        <f>F1941*G1941</f>
        <v/>
      </c>
      <c r="Q1941" s="14">
        <f>J1941*G1941</f>
        <v/>
      </c>
      <c r="R1941" s="14">
        <f>K1941-Q1941</f>
        <v/>
      </c>
      <c r="S1941" s="3">
        <f>P1941*Assumptions!$B$3/100</f>
        <v/>
      </c>
      <c r="T1941" s="14">
        <f>R1941-S1941</f>
        <v/>
      </c>
      <c r="U1941" s="14">
        <f>L1941*G1941</f>
        <v/>
      </c>
    </row>
    <row r="1942">
      <c r="A1942" s="12" t="inlineStr">
        <is>
          <t>PO-2022-1940</t>
        </is>
      </c>
      <c r="B1942" s="26" t="n">
        <v>44823</v>
      </c>
      <c r="C1942" s="12" t="inlineStr">
        <is>
          <t>VS24</t>
        </is>
      </c>
      <c r="D1942" s="12" t="inlineStr">
        <is>
          <t>MS Rods</t>
        </is>
      </c>
      <c r="E1942" s="12" t="inlineStr">
        <is>
          <t>N</t>
        </is>
      </c>
      <c r="F1942" s="12" t="n">
        <v>46.78</v>
      </c>
      <c r="G1942" s="17" t="n">
        <v>87083.42</v>
      </c>
      <c r="H1942" s="26" t="n">
        <v>44836</v>
      </c>
      <c r="I1942" s="26" t="n">
        <v>44836</v>
      </c>
      <c r="J1942" s="12" t="n">
        <v>46.59</v>
      </c>
      <c r="K1942" s="17" t="n">
        <v>4073762.39</v>
      </c>
      <c r="L1942" s="12" t="n">
        <v>0</v>
      </c>
      <c r="M1942" s="12" t="n">
        <v>10</v>
      </c>
      <c r="N1942" s="27">
        <f>F1942-J1942</f>
        <v/>
      </c>
      <c r="O1942" s="16">
        <f>I1942-H1942</f>
        <v/>
      </c>
      <c r="P1942" s="14">
        <f>F1942*G1942</f>
        <v/>
      </c>
      <c r="Q1942" s="14">
        <f>J1942*G1942</f>
        <v/>
      </c>
      <c r="R1942" s="14">
        <f>K1942-Q1942</f>
        <v/>
      </c>
      <c r="S1942" s="3">
        <f>P1942*Assumptions!$B$3/100</f>
        <v/>
      </c>
      <c r="T1942" s="14">
        <f>R1942-S1942</f>
        <v/>
      </c>
      <c r="U1942" s="14">
        <f>L1942*G1942</f>
        <v/>
      </c>
    </row>
    <row r="1943">
      <c r="A1943" s="12" t="inlineStr">
        <is>
          <t>PO-2022-1941</t>
        </is>
      </c>
      <c r="B1943" s="26" t="n">
        <v>44611</v>
      </c>
      <c r="C1943" s="12" t="inlineStr">
        <is>
          <t>VS05</t>
        </is>
      </c>
      <c r="D1943" s="12" t="inlineStr">
        <is>
          <t>Square/Rect Tubes</t>
        </is>
      </c>
      <c r="E1943" s="12" t="inlineStr">
        <is>
          <t>N</t>
        </is>
      </c>
      <c r="F1943" s="12" t="n">
        <v>6.05</v>
      </c>
      <c r="G1943" s="17" t="n">
        <v>61233.11</v>
      </c>
      <c r="H1943" s="26" t="n">
        <v>44616</v>
      </c>
      <c r="I1943" s="26" t="n">
        <v>44616</v>
      </c>
      <c r="J1943" s="12" t="n">
        <v>6.04</v>
      </c>
      <c r="K1943" s="17" t="n">
        <v>370460.32</v>
      </c>
      <c r="L1943" s="12" t="n">
        <v>0</v>
      </c>
      <c r="M1943" s="12" t="n">
        <v>8</v>
      </c>
      <c r="N1943" s="27">
        <f>F1943-J1943</f>
        <v/>
      </c>
      <c r="O1943" s="16">
        <f>I1943-H1943</f>
        <v/>
      </c>
      <c r="P1943" s="14">
        <f>F1943*G1943</f>
        <v/>
      </c>
      <c r="Q1943" s="14">
        <f>J1943*G1943</f>
        <v/>
      </c>
      <c r="R1943" s="14">
        <f>K1943-Q1943</f>
        <v/>
      </c>
      <c r="S1943" s="3">
        <f>P1943*Assumptions!$B$3/100</f>
        <v/>
      </c>
      <c r="T1943" s="14">
        <f>R1943-S1943</f>
        <v/>
      </c>
      <c r="U1943" s="14">
        <f>L1943*G1943</f>
        <v/>
      </c>
    </row>
    <row r="1944">
      <c r="A1944" s="12" t="inlineStr">
        <is>
          <t>PO-2022-1942</t>
        </is>
      </c>
      <c r="B1944" s="26" t="n">
        <v>44735</v>
      </c>
      <c r="C1944" s="12" t="inlineStr">
        <is>
          <t>VS07</t>
        </is>
      </c>
      <c r="D1944" s="12" t="inlineStr">
        <is>
          <t>Square/Rect Tubes</t>
        </is>
      </c>
      <c r="E1944" s="12" t="inlineStr">
        <is>
          <t>N</t>
        </is>
      </c>
      <c r="F1944" s="12" t="n">
        <v>40.05</v>
      </c>
      <c r="G1944" s="17" t="n">
        <v>89048.78</v>
      </c>
      <c r="H1944" s="26" t="n">
        <v>44750</v>
      </c>
      <c r="I1944" s="26" t="n">
        <v>44753</v>
      </c>
      <c r="J1944" s="12" t="n">
        <v>39.67</v>
      </c>
      <c r="K1944" s="17" t="n">
        <v>3566403.64</v>
      </c>
      <c r="L1944" s="12" t="n">
        <v>0</v>
      </c>
      <c r="M1944" s="12" t="n">
        <v>0</v>
      </c>
      <c r="N1944" s="27">
        <f>F1944-J1944</f>
        <v/>
      </c>
      <c r="O1944" s="16">
        <f>I1944-H1944</f>
        <v/>
      </c>
      <c r="P1944" s="14">
        <f>F1944*G1944</f>
        <v/>
      </c>
      <c r="Q1944" s="14">
        <f>J1944*G1944</f>
        <v/>
      </c>
      <c r="R1944" s="14">
        <f>K1944-Q1944</f>
        <v/>
      </c>
      <c r="S1944" s="3">
        <f>P1944*Assumptions!$B$3/100</f>
        <v/>
      </c>
      <c r="T1944" s="14">
        <f>R1944-S1944</f>
        <v/>
      </c>
      <c r="U1944" s="14">
        <f>L1944*G1944</f>
        <v/>
      </c>
    </row>
    <row r="1945">
      <c r="A1945" s="12" t="inlineStr">
        <is>
          <t>PO-2022-1943</t>
        </is>
      </c>
      <c r="B1945" s="26" t="n">
        <v>44981</v>
      </c>
      <c r="C1945" s="12" t="inlineStr">
        <is>
          <t>VS22</t>
        </is>
      </c>
      <c r="D1945" s="12" t="inlineStr">
        <is>
          <t>CR Sheets</t>
        </is>
      </c>
      <c r="E1945" s="12" t="inlineStr">
        <is>
          <t>N</t>
        </is>
      </c>
      <c r="F1945" s="12" t="n">
        <v>48.37</v>
      </c>
      <c r="G1945" s="17" t="n">
        <v>100294.91</v>
      </c>
      <c r="H1945" s="26" t="n">
        <v>44993</v>
      </c>
      <c r="I1945" s="26" t="n">
        <v>44994</v>
      </c>
      <c r="J1945" s="12" t="n">
        <v>48.13</v>
      </c>
      <c r="K1945" s="17" t="n">
        <v>4851264.8</v>
      </c>
      <c r="L1945" s="12" t="n">
        <v>0</v>
      </c>
      <c r="M1945" s="12" t="n">
        <v>0</v>
      </c>
      <c r="N1945" s="27">
        <f>F1945-J1945</f>
        <v/>
      </c>
      <c r="O1945" s="16">
        <f>I1945-H1945</f>
        <v/>
      </c>
      <c r="P1945" s="14">
        <f>F1945*G1945</f>
        <v/>
      </c>
      <c r="Q1945" s="14">
        <f>J1945*G1945</f>
        <v/>
      </c>
      <c r="R1945" s="14">
        <f>K1945-Q1945</f>
        <v/>
      </c>
      <c r="S1945" s="3">
        <f>P1945*Assumptions!$B$3/100</f>
        <v/>
      </c>
      <c r="T1945" s="14">
        <f>R1945-S1945</f>
        <v/>
      </c>
      <c r="U1945" s="14">
        <f>L1945*G1945</f>
        <v/>
      </c>
    </row>
    <row r="1946">
      <c r="A1946" s="12" t="inlineStr">
        <is>
          <t>PO-2022-1944</t>
        </is>
      </c>
      <c r="B1946" s="26" t="n">
        <v>45166</v>
      </c>
      <c r="C1946" s="12" t="inlineStr">
        <is>
          <t>VS14</t>
        </is>
      </c>
      <c r="D1946" s="12" t="inlineStr">
        <is>
          <t>MS Sheets</t>
        </is>
      </c>
      <c r="E1946" s="12" t="inlineStr">
        <is>
          <t>N</t>
        </is>
      </c>
      <c r="F1946" s="12" t="n">
        <v>1.13</v>
      </c>
      <c r="G1946" s="17" t="n">
        <v>62387.33</v>
      </c>
      <c r="H1946" s="26" t="n">
        <v>45172</v>
      </c>
      <c r="I1946" s="26" t="n">
        <v>45173</v>
      </c>
      <c r="J1946" s="12" t="n">
        <v>1.12</v>
      </c>
      <c r="K1946" s="17" t="n">
        <v>70497.67999999999</v>
      </c>
      <c r="L1946" s="12" t="n">
        <v>0</v>
      </c>
      <c r="M1946" s="12" t="n">
        <v>0</v>
      </c>
      <c r="N1946" s="27">
        <f>F1946-J1946</f>
        <v/>
      </c>
      <c r="O1946" s="16">
        <f>I1946-H1946</f>
        <v/>
      </c>
      <c r="P1946" s="14">
        <f>F1946*G1946</f>
        <v/>
      </c>
      <c r="Q1946" s="14">
        <f>J1946*G1946</f>
        <v/>
      </c>
      <c r="R1946" s="14">
        <f>K1946-Q1946</f>
        <v/>
      </c>
      <c r="S1946" s="3">
        <f>P1946*Assumptions!$B$3/100</f>
        <v/>
      </c>
      <c r="T1946" s="14">
        <f>R1946-S1946</f>
        <v/>
      </c>
      <c r="U1946" s="14">
        <f>L1946*G1946</f>
        <v/>
      </c>
    </row>
    <row r="1947">
      <c r="A1947" s="12" t="inlineStr">
        <is>
          <t>PO-2022-1945</t>
        </is>
      </c>
      <c r="B1947" s="26" t="n">
        <v>44384</v>
      </c>
      <c r="C1947" s="12" t="inlineStr">
        <is>
          <t>VS10</t>
        </is>
      </c>
      <c r="D1947" s="12" t="inlineStr">
        <is>
          <t>Square/Rect Tubes</t>
        </is>
      </c>
      <c r="E1947" s="12" t="inlineStr">
        <is>
          <t>N</t>
        </is>
      </c>
      <c r="F1947" s="12" t="n">
        <v>9.08</v>
      </c>
      <c r="G1947" s="17" t="n">
        <v>110596.06</v>
      </c>
      <c r="H1947" s="26" t="n">
        <v>44392</v>
      </c>
      <c r="I1947" s="26" t="n">
        <v>44395</v>
      </c>
      <c r="J1947" s="12" t="n">
        <v>9.029999999999999</v>
      </c>
      <c r="K1947" s="17" t="n">
        <v>1004212.22</v>
      </c>
      <c r="L1947" s="12" t="n">
        <v>0</v>
      </c>
      <c r="M1947" s="12" t="n">
        <v>0</v>
      </c>
      <c r="N1947" s="27">
        <f>F1947-J1947</f>
        <v/>
      </c>
      <c r="O1947" s="16">
        <f>I1947-H1947</f>
        <v/>
      </c>
      <c r="P1947" s="14">
        <f>F1947*G1947</f>
        <v/>
      </c>
      <c r="Q1947" s="14">
        <f>J1947*G1947</f>
        <v/>
      </c>
      <c r="R1947" s="14">
        <f>K1947-Q1947</f>
        <v/>
      </c>
      <c r="S1947" s="3">
        <f>P1947*Assumptions!$B$3/100</f>
        <v/>
      </c>
      <c r="T1947" s="14">
        <f>R1947-S1947</f>
        <v/>
      </c>
      <c r="U1947" s="14">
        <f>L1947*G1947</f>
        <v/>
      </c>
    </row>
    <row r="1948">
      <c r="A1948" s="12" t="inlineStr">
        <is>
          <t>PO-2022-1946</t>
        </is>
      </c>
      <c r="B1948" s="26" t="n">
        <v>44356</v>
      </c>
      <c r="C1948" s="12" t="inlineStr">
        <is>
          <t>VS04</t>
        </is>
      </c>
      <c r="D1948" s="12" t="inlineStr">
        <is>
          <t>Square/Rect Tubes</t>
        </is>
      </c>
      <c r="E1948" s="12" t="inlineStr">
        <is>
          <t>N</t>
        </is>
      </c>
      <c r="F1948" s="12" t="n">
        <v>26.07</v>
      </c>
      <c r="G1948" s="17" t="n">
        <v>77976.67999999999</v>
      </c>
      <c r="H1948" s="26" t="n">
        <v>44369</v>
      </c>
      <c r="I1948" s="26" t="n">
        <v>44372</v>
      </c>
      <c r="J1948" s="12" t="n">
        <v>26.01</v>
      </c>
      <c r="K1948" s="17" t="n">
        <v>2032852.05</v>
      </c>
      <c r="L1948" s="12" t="n">
        <v>0</v>
      </c>
      <c r="M1948" s="12" t="n">
        <v>0</v>
      </c>
      <c r="N1948" s="27">
        <f>F1948-J1948</f>
        <v/>
      </c>
      <c r="O1948" s="16">
        <f>I1948-H1948</f>
        <v/>
      </c>
      <c r="P1948" s="14">
        <f>F1948*G1948</f>
        <v/>
      </c>
      <c r="Q1948" s="14">
        <f>J1948*G1948</f>
        <v/>
      </c>
      <c r="R1948" s="14">
        <f>K1948-Q1948</f>
        <v/>
      </c>
      <c r="S1948" s="3">
        <f>P1948*Assumptions!$B$3/100</f>
        <v/>
      </c>
      <c r="T1948" s="14">
        <f>R1948-S1948</f>
        <v/>
      </c>
      <c r="U1948" s="14">
        <f>L1948*G1948</f>
        <v/>
      </c>
    </row>
    <row r="1949">
      <c r="A1949" s="12" t="inlineStr">
        <is>
          <t>PO-2022-1947</t>
        </is>
      </c>
      <c r="B1949" s="26" t="n">
        <v>45163</v>
      </c>
      <c r="C1949" s="12" t="inlineStr">
        <is>
          <t>VS21</t>
        </is>
      </c>
      <c r="D1949" s="12" t="inlineStr">
        <is>
          <t>SS Sheets</t>
        </is>
      </c>
      <c r="E1949" s="12" t="inlineStr">
        <is>
          <t>Y</t>
        </is>
      </c>
      <c r="F1949" s="12" t="n">
        <v>25.52</v>
      </c>
      <c r="G1949" s="17" t="n">
        <v>53797.24</v>
      </c>
      <c r="H1949" s="26" t="n">
        <v>45174</v>
      </c>
      <c r="I1949" s="26" t="n">
        <v>45176</v>
      </c>
      <c r="J1949" s="12" t="n">
        <v>25.44</v>
      </c>
      <c r="K1949" s="17" t="n">
        <v>1372905.56</v>
      </c>
      <c r="L1949" s="12" t="n">
        <v>0</v>
      </c>
      <c r="M1949" s="12" t="n">
        <v>17</v>
      </c>
      <c r="N1949" s="27">
        <f>F1949-J1949</f>
        <v/>
      </c>
      <c r="O1949" s="16">
        <f>I1949-H1949</f>
        <v/>
      </c>
      <c r="P1949" s="14">
        <f>F1949*G1949</f>
        <v/>
      </c>
      <c r="Q1949" s="14">
        <f>J1949*G1949</f>
        <v/>
      </c>
      <c r="R1949" s="14">
        <f>K1949-Q1949</f>
        <v/>
      </c>
      <c r="S1949" s="3">
        <f>P1949*Assumptions!$B$3/100</f>
        <v/>
      </c>
      <c r="T1949" s="14">
        <f>R1949-S1949</f>
        <v/>
      </c>
      <c r="U1949" s="14">
        <f>L1949*G1949</f>
        <v/>
      </c>
    </row>
    <row r="1950">
      <c r="A1950" s="12" t="inlineStr">
        <is>
          <t>PO-2022-1948</t>
        </is>
      </c>
      <c r="B1950" s="26" t="n">
        <v>45002</v>
      </c>
      <c r="C1950" s="12" t="inlineStr">
        <is>
          <t>VS25</t>
        </is>
      </c>
      <c r="D1950" s="12" t="inlineStr">
        <is>
          <t>MS Rods</t>
        </is>
      </c>
      <c r="E1950" s="12" t="inlineStr">
        <is>
          <t>N</t>
        </is>
      </c>
      <c r="F1950" s="12" t="n">
        <v>35.61</v>
      </c>
      <c r="G1950" s="17" t="n">
        <v>71624.37</v>
      </c>
      <c r="H1950" s="26" t="n">
        <v>45013</v>
      </c>
      <c r="I1950" s="26" t="n">
        <v>45014</v>
      </c>
      <c r="J1950" s="12" t="n">
        <v>35.5</v>
      </c>
      <c r="K1950" s="17" t="n">
        <v>2550543.82</v>
      </c>
      <c r="L1950" s="12" t="n">
        <v>0</v>
      </c>
      <c r="M1950" s="12" t="n">
        <v>21</v>
      </c>
      <c r="N1950" s="27">
        <f>F1950-J1950</f>
        <v/>
      </c>
      <c r="O1950" s="16">
        <f>I1950-H1950</f>
        <v/>
      </c>
      <c r="P1950" s="14">
        <f>F1950*G1950</f>
        <v/>
      </c>
      <c r="Q1950" s="14">
        <f>J1950*G1950</f>
        <v/>
      </c>
      <c r="R1950" s="14">
        <f>K1950-Q1950</f>
        <v/>
      </c>
      <c r="S1950" s="3">
        <f>P1950*Assumptions!$B$3/100</f>
        <v/>
      </c>
      <c r="T1950" s="14">
        <f>R1950-S1950</f>
        <v/>
      </c>
      <c r="U1950" s="14">
        <f>L1950*G1950</f>
        <v/>
      </c>
    </row>
    <row r="1951">
      <c r="A1951" s="12" t="inlineStr">
        <is>
          <t>PO-2022-1949</t>
        </is>
      </c>
      <c r="B1951" s="26" t="n">
        <v>44846</v>
      </c>
      <c r="C1951" s="12" t="inlineStr">
        <is>
          <t>VS34</t>
        </is>
      </c>
      <c r="D1951" s="12" t="inlineStr">
        <is>
          <t>SS Pipes</t>
        </is>
      </c>
      <c r="E1951" s="12" t="inlineStr">
        <is>
          <t>N</t>
        </is>
      </c>
      <c r="F1951" s="12" t="n">
        <v>44.28</v>
      </c>
      <c r="G1951" s="17" t="n">
        <v>108164.34</v>
      </c>
      <c r="H1951" s="26" t="n">
        <v>44851</v>
      </c>
      <c r="I1951" s="26" t="n">
        <v>44852</v>
      </c>
      <c r="J1951" s="12" t="n">
        <v>44.23</v>
      </c>
      <c r="K1951" s="17" t="n">
        <v>4789516.98</v>
      </c>
      <c r="L1951" s="12" t="n">
        <v>0</v>
      </c>
      <c r="M1951" s="12" t="n">
        <v>0</v>
      </c>
      <c r="N1951" s="27">
        <f>F1951-J1951</f>
        <v/>
      </c>
      <c r="O1951" s="16">
        <f>I1951-H1951</f>
        <v/>
      </c>
      <c r="P1951" s="14">
        <f>F1951*G1951</f>
        <v/>
      </c>
      <c r="Q1951" s="14">
        <f>J1951*G1951</f>
        <v/>
      </c>
      <c r="R1951" s="14">
        <f>K1951-Q1951</f>
        <v/>
      </c>
      <c r="S1951" s="3">
        <f>P1951*Assumptions!$B$3/100</f>
        <v/>
      </c>
      <c r="T1951" s="14">
        <f>R1951-S1951</f>
        <v/>
      </c>
      <c r="U1951" s="14">
        <f>L1951*G1951</f>
        <v/>
      </c>
    </row>
    <row r="1952">
      <c r="A1952" s="12" t="inlineStr">
        <is>
          <t>PO-2022-1950</t>
        </is>
      </c>
      <c r="B1952" s="26" t="n">
        <v>44765</v>
      </c>
      <c r="C1952" s="12" t="inlineStr">
        <is>
          <t>VS10</t>
        </is>
      </c>
      <c r="D1952" s="12" t="inlineStr">
        <is>
          <t>GI Wire</t>
        </is>
      </c>
      <c r="E1952" s="12" t="inlineStr">
        <is>
          <t>N</t>
        </is>
      </c>
      <c r="F1952" s="12" t="n">
        <v>28.46</v>
      </c>
      <c r="G1952" s="17" t="n">
        <v>81757.00999999999</v>
      </c>
      <c r="H1952" s="26" t="n">
        <v>44780</v>
      </c>
      <c r="I1952" s="26" t="n">
        <v>44780</v>
      </c>
      <c r="J1952" s="12" t="n">
        <v>28.34</v>
      </c>
      <c r="K1952" s="17" t="n">
        <v>2326804.5</v>
      </c>
      <c r="L1952" s="12" t="n">
        <v>0</v>
      </c>
      <c r="M1952" s="12" t="n">
        <v>0</v>
      </c>
      <c r="N1952" s="27">
        <f>F1952-J1952</f>
        <v/>
      </c>
      <c r="O1952" s="16">
        <f>I1952-H1952</f>
        <v/>
      </c>
      <c r="P1952" s="14">
        <f>F1952*G1952</f>
        <v/>
      </c>
      <c r="Q1952" s="14">
        <f>J1952*G1952</f>
        <v/>
      </c>
      <c r="R1952" s="14">
        <f>K1952-Q1952</f>
        <v/>
      </c>
      <c r="S1952" s="3">
        <f>P1952*Assumptions!$B$3/100</f>
        <v/>
      </c>
      <c r="T1952" s="14">
        <f>R1952-S1952</f>
        <v/>
      </c>
      <c r="U1952" s="14">
        <f>L1952*G1952</f>
        <v/>
      </c>
    </row>
    <row r="1953">
      <c r="A1953" s="12" t="inlineStr">
        <is>
          <t>PO-2022-1951</t>
        </is>
      </c>
      <c r="B1953" s="26" t="n">
        <v>44710</v>
      </c>
      <c r="C1953" s="12" t="inlineStr">
        <is>
          <t>VS08</t>
        </is>
      </c>
      <c r="D1953" s="12" t="inlineStr">
        <is>
          <t>Spring Steel</t>
        </is>
      </c>
      <c r="E1953" s="12" t="inlineStr">
        <is>
          <t>N</t>
        </is>
      </c>
      <c r="F1953" s="12" t="n">
        <v>45.09</v>
      </c>
      <c r="G1953" s="17" t="n">
        <v>93906.91</v>
      </c>
      <c r="H1953" s="26" t="n">
        <v>44715</v>
      </c>
      <c r="I1953" s="26" t="n">
        <v>44718</v>
      </c>
      <c r="J1953" s="12" t="n">
        <v>44.78</v>
      </c>
      <c r="K1953" s="17" t="n">
        <v>4234262.57</v>
      </c>
      <c r="L1953" s="12" t="n">
        <v>0</v>
      </c>
      <c r="M1953" s="12" t="n">
        <v>12</v>
      </c>
      <c r="N1953" s="27">
        <f>F1953-J1953</f>
        <v/>
      </c>
      <c r="O1953" s="16">
        <f>I1953-H1953</f>
        <v/>
      </c>
      <c r="P1953" s="14">
        <f>F1953*G1953</f>
        <v/>
      </c>
      <c r="Q1953" s="14">
        <f>J1953*G1953</f>
        <v/>
      </c>
      <c r="R1953" s="14">
        <f>K1953-Q1953</f>
        <v/>
      </c>
      <c r="S1953" s="3">
        <f>P1953*Assumptions!$B$3/100</f>
        <v/>
      </c>
      <c r="T1953" s="14">
        <f>R1953-S1953</f>
        <v/>
      </c>
      <c r="U1953" s="14">
        <f>L1953*G1953</f>
        <v/>
      </c>
    </row>
    <row r="1954">
      <c r="A1954" s="12" t="inlineStr">
        <is>
          <t>PO-2022-1952</t>
        </is>
      </c>
      <c r="B1954" s="26" t="n">
        <v>44248</v>
      </c>
      <c r="C1954" s="12" t="inlineStr">
        <is>
          <t>VS24</t>
        </is>
      </c>
      <c r="D1954" s="12" t="inlineStr">
        <is>
          <t>Fasteners &amp; Fittings</t>
        </is>
      </c>
      <c r="E1954" s="12" t="inlineStr">
        <is>
          <t>N</t>
        </is>
      </c>
      <c r="F1954" s="12" t="n">
        <v>38.77</v>
      </c>
      <c r="G1954" s="17" t="n">
        <v>70949.37</v>
      </c>
      <c r="H1954" s="26" t="n">
        <v>44257</v>
      </c>
      <c r="I1954" s="26" t="n">
        <v>44260</v>
      </c>
      <c r="J1954" s="12" t="n">
        <v>38.56</v>
      </c>
      <c r="K1954" s="17" t="n">
        <v>2750707.07</v>
      </c>
      <c r="L1954" s="12" t="n">
        <v>0</v>
      </c>
      <c r="M1954" s="12" t="n">
        <v>0</v>
      </c>
      <c r="N1954" s="27">
        <f>F1954-J1954</f>
        <v/>
      </c>
      <c r="O1954" s="16">
        <f>I1954-H1954</f>
        <v/>
      </c>
      <c r="P1954" s="14">
        <f>F1954*G1954</f>
        <v/>
      </c>
      <c r="Q1954" s="14">
        <f>J1954*G1954</f>
        <v/>
      </c>
      <c r="R1954" s="14">
        <f>K1954-Q1954</f>
        <v/>
      </c>
      <c r="S1954" s="3">
        <f>P1954*Assumptions!$B$3/100</f>
        <v/>
      </c>
      <c r="T1954" s="14">
        <f>R1954-S1954</f>
        <v/>
      </c>
      <c r="U1954" s="14">
        <f>L1954*G1954</f>
        <v/>
      </c>
    </row>
    <row r="1955">
      <c r="A1955" s="12" t="inlineStr">
        <is>
          <t>PO-2022-1953</t>
        </is>
      </c>
      <c r="B1955" s="26" t="n">
        <v>44634</v>
      </c>
      <c r="C1955" s="12" t="inlineStr">
        <is>
          <t>VS13</t>
        </is>
      </c>
      <c r="D1955" s="12" t="inlineStr">
        <is>
          <t>MS Rods</t>
        </is>
      </c>
      <c r="E1955" s="12" t="inlineStr">
        <is>
          <t>Y</t>
        </is>
      </c>
      <c r="F1955" s="12" t="n">
        <v>19.34</v>
      </c>
      <c r="G1955" s="17" t="n">
        <v>114989.43</v>
      </c>
      <c r="H1955" s="26" t="n">
        <v>44637</v>
      </c>
      <c r="I1955" s="26" t="n">
        <v>44639</v>
      </c>
      <c r="J1955" s="12" t="n">
        <v>19.33</v>
      </c>
      <c r="K1955" s="17" t="n">
        <v>2223895.58</v>
      </c>
      <c r="L1955" s="12" t="n">
        <v>0</v>
      </c>
      <c r="M1955" s="12" t="n">
        <v>9</v>
      </c>
      <c r="N1955" s="27">
        <f>F1955-J1955</f>
        <v/>
      </c>
      <c r="O1955" s="16">
        <f>I1955-H1955</f>
        <v/>
      </c>
      <c r="P1955" s="14">
        <f>F1955*G1955</f>
        <v/>
      </c>
      <c r="Q1955" s="14">
        <f>J1955*G1955</f>
        <v/>
      </c>
      <c r="R1955" s="14">
        <f>K1955-Q1955</f>
        <v/>
      </c>
      <c r="S1955" s="3">
        <f>P1955*Assumptions!$B$3/100</f>
        <v/>
      </c>
      <c r="T1955" s="14">
        <f>R1955-S1955</f>
        <v/>
      </c>
      <c r="U1955" s="14">
        <f>L1955*G1955</f>
        <v/>
      </c>
    </row>
    <row r="1956">
      <c r="A1956" s="12" t="inlineStr">
        <is>
          <t>PO-2022-1954</t>
        </is>
      </c>
      <c r="B1956" s="26" t="n">
        <v>44598</v>
      </c>
      <c r="C1956" s="12" t="inlineStr">
        <is>
          <t>VS29</t>
        </is>
      </c>
      <c r="D1956" s="12" t="inlineStr">
        <is>
          <t>Angles &amp; Channels</t>
        </is>
      </c>
      <c r="E1956" s="12" t="inlineStr">
        <is>
          <t>N</t>
        </is>
      </c>
      <c r="F1956" s="12" t="n">
        <v>26.77</v>
      </c>
      <c r="G1956" s="17" t="n">
        <v>45421.09</v>
      </c>
      <c r="H1956" s="26" t="n">
        <v>44605</v>
      </c>
      <c r="I1956" s="26" t="n">
        <v>44608</v>
      </c>
      <c r="J1956" s="12" t="n">
        <v>26.69</v>
      </c>
      <c r="K1956" s="17" t="n">
        <v>1215922.58</v>
      </c>
      <c r="L1956" s="12" t="n">
        <v>0</v>
      </c>
      <c r="M1956" s="12" t="n">
        <v>3</v>
      </c>
      <c r="N1956" s="27">
        <f>F1956-J1956</f>
        <v/>
      </c>
      <c r="O1956" s="16">
        <f>I1956-H1956</f>
        <v/>
      </c>
      <c r="P1956" s="14">
        <f>F1956*G1956</f>
        <v/>
      </c>
      <c r="Q1956" s="14">
        <f>J1956*G1956</f>
        <v/>
      </c>
      <c r="R1956" s="14">
        <f>K1956-Q1956</f>
        <v/>
      </c>
      <c r="S1956" s="3">
        <f>P1956*Assumptions!$B$3/100</f>
        <v/>
      </c>
      <c r="T1956" s="14">
        <f>R1956-S1956</f>
        <v/>
      </c>
      <c r="U1956" s="14">
        <f>L1956*G1956</f>
        <v/>
      </c>
    </row>
    <row r="1957">
      <c r="A1957" s="12" t="inlineStr">
        <is>
          <t>PO-2022-1955</t>
        </is>
      </c>
      <c r="B1957" s="26" t="n">
        <v>44869</v>
      </c>
      <c r="C1957" s="12" t="inlineStr">
        <is>
          <t>VS07</t>
        </is>
      </c>
      <c r="D1957" s="12" t="inlineStr">
        <is>
          <t>Angles &amp; Channels</t>
        </is>
      </c>
      <c r="E1957" s="12" t="inlineStr">
        <is>
          <t>N</t>
        </is>
      </c>
      <c r="F1957" s="12" t="n">
        <v>45.87</v>
      </c>
      <c r="G1957" s="17" t="n">
        <v>82709.5</v>
      </c>
      <c r="H1957" s="26" t="n">
        <v>44872</v>
      </c>
      <c r="I1957" s="26" t="n">
        <v>44872</v>
      </c>
      <c r="J1957" s="12" t="n">
        <v>45.87</v>
      </c>
      <c r="K1957" s="17" t="n">
        <v>3793884.76</v>
      </c>
      <c r="L1957" s="12" t="n">
        <v>0</v>
      </c>
      <c r="M1957" s="12" t="n">
        <v>0</v>
      </c>
      <c r="N1957" s="27">
        <f>F1957-J1957</f>
        <v/>
      </c>
      <c r="O1957" s="16">
        <f>I1957-H1957</f>
        <v/>
      </c>
      <c r="P1957" s="14">
        <f>F1957*G1957</f>
        <v/>
      </c>
      <c r="Q1957" s="14">
        <f>J1957*G1957</f>
        <v/>
      </c>
      <c r="R1957" s="14">
        <f>K1957-Q1957</f>
        <v/>
      </c>
      <c r="S1957" s="3">
        <f>P1957*Assumptions!$B$3/100</f>
        <v/>
      </c>
      <c r="T1957" s="14">
        <f>R1957-S1957</f>
        <v/>
      </c>
      <c r="U1957" s="14">
        <f>L1957*G1957</f>
        <v/>
      </c>
    </row>
    <row r="1958">
      <c r="A1958" s="12" t="inlineStr">
        <is>
          <t>PO-2022-1956</t>
        </is>
      </c>
      <c r="B1958" s="26" t="n">
        <v>44756</v>
      </c>
      <c r="C1958" s="12" t="inlineStr">
        <is>
          <t>VS03</t>
        </is>
      </c>
      <c r="D1958" s="12" t="inlineStr">
        <is>
          <t>CR Sheets</t>
        </is>
      </c>
      <c r="E1958" s="12" t="inlineStr">
        <is>
          <t>N</t>
        </is>
      </c>
      <c r="F1958" s="12" t="n">
        <v>32.44</v>
      </c>
      <c r="G1958" s="17" t="n">
        <v>77866.92999999999</v>
      </c>
      <c r="H1958" s="26" t="n">
        <v>44770</v>
      </c>
      <c r="I1958" s="26" t="n">
        <v>44772</v>
      </c>
      <c r="J1958" s="12" t="n">
        <v>31.16</v>
      </c>
      <c r="K1958" s="17" t="n">
        <v>2526003.21</v>
      </c>
      <c r="L1958" s="12" t="n">
        <v>1.27</v>
      </c>
      <c r="M1958" s="12" t="n">
        <v>0</v>
      </c>
      <c r="N1958" s="27">
        <f>F1958-J1958</f>
        <v/>
      </c>
      <c r="O1958" s="16">
        <f>I1958-H1958</f>
        <v/>
      </c>
      <c r="P1958" s="14">
        <f>F1958*G1958</f>
        <v/>
      </c>
      <c r="Q1958" s="14">
        <f>J1958*G1958</f>
        <v/>
      </c>
      <c r="R1958" s="14">
        <f>K1958-Q1958</f>
        <v/>
      </c>
      <c r="S1958" s="3">
        <f>P1958*Assumptions!$B$3/100</f>
        <v/>
      </c>
      <c r="T1958" s="14">
        <f>R1958-S1958</f>
        <v/>
      </c>
      <c r="U1958" s="14">
        <f>L1958*G1958</f>
        <v/>
      </c>
    </row>
    <row r="1959">
      <c r="A1959" s="12" t="inlineStr">
        <is>
          <t>PO-2022-1957</t>
        </is>
      </c>
      <c r="B1959" s="26" t="n">
        <v>44715</v>
      </c>
      <c r="C1959" s="12" t="inlineStr">
        <is>
          <t>VS18</t>
        </is>
      </c>
      <c r="D1959" s="12" t="inlineStr">
        <is>
          <t>GI Pipes</t>
        </is>
      </c>
      <c r="E1959" s="12" t="inlineStr">
        <is>
          <t>N</t>
        </is>
      </c>
      <c r="F1959" s="12" t="n">
        <v>48.59</v>
      </c>
      <c r="G1959" s="17" t="n">
        <v>106749.43</v>
      </c>
      <c r="H1959" s="26" t="n">
        <v>44729</v>
      </c>
      <c r="I1959" s="26" t="n">
        <v>44730</v>
      </c>
      <c r="J1959" s="12" t="n">
        <v>48.28</v>
      </c>
      <c r="K1959" s="17" t="n">
        <v>5186954.8</v>
      </c>
      <c r="L1959" s="12" t="n">
        <v>0</v>
      </c>
      <c r="M1959" s="12" t="n">
        <v>4</v>
      </c>
      <c r="N1959" s="27">
        <f>F1959-J1959</f>
        <v/>
      </c>
      <c r="O1959" s="16">
        <f>I1959-H1959</f>
        <v/>
      </c>
      <c r="P1959" s="14">
        <f>F1959*G1959</f>
        <v/>
      </c>
      <c r="Q1959" s="14">
        <f>J1959*G1959</f>
        <v/>
      </c>
      <c r="R1959" s="14">
        <f>K1959-Q1959</f>
        <v/>
      </c>
      <c r="S1959" s="3">
        <f>P1959*Assumptions!$B$3/100</f>
        <v/>
      </c>
      <c r="T1959" s="14">
        <f>R1959-S1959</f>
        <v/>
      </c>
      <c r="U1959" s="14">
        <f>L1959*G1959</f>
        <v/>
      </c>
    </row>
    <row r="1960">
      <c r="A1960" s="12" t="inlineStr">
        <is>
          <t>PO-2022-1958</t>
        </is>
      </c>
      <c r="B1960" s="26" t="n">
        <v>45161</v>
      </c>
      <c r="C1960" s="12" t="inlineStr">
        <is>
          <t>VS30</t>
        </is>
      </c>
      <c r="D1960" s="12" t="inlineStr">
        <is>
          <t>Structural Steel</t>
        </is>
      </c>
      <c r="E1960" s="12" t="inlineStr">
        <is>
          <t>Y</t>
        </is>
      </c>
      <c r="F1960" s="12" t="n">
        <v>9.51</v>
      </c>
      <c r="G1960" s="17" t="n">
        <v>101245.2</v>
      </c>
      <c r="H1960" s="26" t="n">
        <v>45174</v>
      </c>
      <c r="I1960" s="26" t="n">
        <v>45177</v>
      </c>
      <c r="J1960" s="12" t="n">
        <v>9.49</v>
      </c>
      <c r="K1960" s="17" t="n">
        <v>962841.85</v>
      </c>
      <c r="L1960" s="12" t="n">
        <v>0</v>
      </c>
      <c r="M1960" s="12" t="n">
        <v>0</v>
      </c>
      <c r="N1960" s="27">
        <f>F1960-J1960</f>
        <v/>
      </c>
      <c r="O1960" s="16">
        <f>I1960-H1960</f>
        <v/>
      </c>
      <c r="P1960" s="14">
        <f>F1960*G1960</f>
        <v/>
      </c>
      <c r="Q1960" s="14">
        <f>J1960*G1960</f>
        <v/>
      </c>
      <c r="R1960" s="14">
        <f>K1960-Q1960</f>
        <v/>
      </c>
      <c r="S1960" s="3">
        <f>P1960*Assumptions!$B$3/100</f>
        <v/>
      </c>
      <c r="T1960" s="14">
        <f>R1960-S1960</f>
        <v/>
      </c>
      <c r="U1960" s="14">
        <f>L1960*G1960</f>
        <v/>
      </c>
    </row>
    <row r="1961">
      <c r="A1961" s="12" t="inlineStr">
        <is>
          <t>PO-2022-1959</t>
        </is>
      </c>
      <c r="B1961" s="26" t="n">
        <v>44409</v>
      </c>
      <c r="C1961" s="12" t="inlineStr">
        <is>
          <t>VS03</t>
        </is>
      </c>
      <c r="D1961" s="12" t="inlineStr">
        <is>
          <t>Angles &amp; Channels</t>
        </is>
      </c>
      <c r="E1961" s="12" t="inlineStr">
        <is>
          <t>N</t>
        </is>
      </c>
      <c r="F1961" s="12" t="n">
        <v>2.41</v>
      </c>
      <c r="G1961" s="17" t="n">
        <v>116552.68</v>
      </c>
      <c r="H1961" s="26" t="n">
        <v>44414</v>
      </c>
      <c r="I1961" s="26" t="n">
        <v>44418</v>
      </c>
      <c r="J1961" s="12" t="n">
        <v>2.29</v>
      </c>
      <c r="K1961" s="17" t="n">
        <v>280891.96</v>
      </c>
      <c r="L1961" s="12" t="n">
        <v>0.06</v>
      </c>
      <c r="M1961" s="12" t="n">
        <v>13</v>
      </c>
      <c r="N1961" s="27">
        <f>F1961-J1961</f>
        <v/>
      </c>
      <c r="O1961" s="16">
        <f>I1961-H1961</f>
        <v/>
      </c>
      <c r="P1961" s="14">
        <f>F1961*G1961</f>
        <v/>
      </c>
      <c r="Q1961" s="14">
        <f>J1961*G1961</f>
        <v/>
      </c>
      <c r="R1961" s="14">
        <f>K1961-Q1961</f>
        <v/>
      </c>
      <c r="S1961" s="3">
        <f>P1961*Assumptions!$B$3/100</f>
        <v/>
      </c>
      <c r="T1961" s="14">
        <f>R1961-S1961</f>
        <v/>
      </c>
      <c r="U1961" s="14">
        <f>L1961*G1961</f>
        <v/>
      </c>
    </row>
    <row r="1962">
      <c r="A1962" s="12" t="inlineStr">
        <is>
          <t>PO-2022-1960</t>
        </is>
      </c>
      <c r="B1962" s="26" t="n">
        <v>44559</v>
      </c>
      <c r="C1962" s="12" t="inlineStr">
        <is>
          <t>VS09</t>
        </is>
      </c>
      <c r="D1962" s="12" t="inlineStr">
        <is>
          <t>SS Pipes</t>
        </is>
      </c>
      <c r="E1962" s="12" t="inlineStr">
        <is>
          <t>Y</t>
        </is>
      </c>
      <c r="F1962" s="12" t="n">
        <v>21.56</v>
      </c>
      <c r="G1962" s="17" t="n">
        <v>108435.24</v>
      </c>
      <c r="H1962" s="26" t="n">
        <v>44562</v>
      </c>
      <c r="I1962" s="26" t="n">
        <v>44565</v>
      </c>
      <c r="J1962" s="12" t="n">
        <v>21.45</v>
      </c>
      <c r="K1962" s="17" t="n">
        <v>2337863.77</v>
      </c>
      <c r="L1962" s="12" t="n">
        <v>0</v>
      </c>
      <c r="M1962" s="12" t="n">
        <v>0</v>
      </c>
      <c r="N1962" s="27">
        <f>F1962-J1962</f>
        <v/>
      </c>
      <c r="O1962" s="16">
        <f>I1962-H1962</f>
        <v/>
      </c>
      <c r="P1962" s="14">
        <f>F1962*G1962</f>
        <v/>
      </c>
      <c r="Q1962" s="14">
        <f>J1962*G1962</f>
        <v/>
      </c>
      <c r="R1962" s="14">
        <f>K1962-Q1962</f>
        <v/>
      </c>
      <c r="S1962" s="3">
        <f>P1962*Assumptions!$B$3/100</f>
        <v/>
      </c>
      <c r="T1962" s="14">
        <f>R1962-S1962</f>
        <v/>
      </c>
      <c r="U1962" s="14">
        <f>L1962*G1962</f>
        <v/>
      </c>
    </row>
    <row r="1963">
      <c r="A1963" s="12" t="inlineStr">
        <is>
          <t>PO-2022-1961</t>
        </is>
      </c>
      <c r="B1963" s="26" t="n">
        <v>45105</v>
      </c>
      <c r="C1963" s="12" t="inlineStr">
        <is>
          <t>VS04</t>
        </is>
      </c>
      <c r="D1963" s="12" t="inlineStr">
        <is>
          <t>MS Flats</t>
        </is>
      </c>
      <c r="E1963" s="12" t="inlineStr">
        <is>
          <t>N</t>
        </is>
      </c>
      <c r="F1963" s="12" t="n">
        <v>5.78</v>
      </c>
      <c r="G1963" s="17" t="n">
        <v>85806.25999999999</v>
      </c>
      <c r="H1963" s="26" t="n">
        <v>45111</v>
      </c>
      <c r="I1963" s="26" t="n">
        <v>45114</v>
      </c>
      <c r="J1963" s="12" t="n">
        <v>5.76</v>
      </c>
      <c r="K1963" s="17" t="n">
        <v>495960.18</v>
      </c>
      <c r="L1963" s="12" t="n">
        <v>0</v>
      </c>
      <c r="M1963" s="12" t="n">
        <v>0</v>
      </c>
      <c r="N1963" s="27">
        <f>F1963-J1963</f>
        <v/>
      </c>
      <c r="O1963" s="16">
        <f>I1963-H1963</f>
        <v/>
      </c>
      <c r="P1963" s="14">
        <f>F1963*G1963</f>
        <v/>
      </c>
      <c r="Q1963" s="14">
        <f>J1963*G1963</f>
        <v/>
      </c>
      <c r="R1963" s="14">
        <f>K1963-Q1963</f>
        <v/>
      </c>
      <c r="S1963" s="3">
        <f>P1963*Assumptions!$B$3/100</f>
        <v/>
      </c>
      <c r="T1963" s="14">
        <f>R1963-S1963</f>
        <v/>
      </c>
      <c r="U1963" s="14">
        <f>L1963*G1963</f>
        <v/>
      </c>
    </row>
    <row r="1964">
      <c r="A1964" s="12" t="inlineStr">
        <is>
          <t>PO-2022-1962</t>
        </is>
      </c>
      <c r="B1964" s="26" t="n">
        <v>44231</v>
      </c>
      <c r="C1964" s="12" t="inlineStr">
        <is>
          <t>VS22</t>
        </is>
      </c>
      <c r="D1964" s="12" t="inlineStr">
        <is>
          <t>MS Flats</t>
        </is>
      </c>
      <c r="E1964" s="12" t="inlineStr">
        <is>
          <t>Y</t>
        </is>
      </c>
      <c r="F1964" s="12" t="n">
        <v>44.99</v>
      </c>
      <c r="G1964" s="17" t="n">
        <v>57691.02</v>
      </c>
      <c r="H1964" s="26" t="n">
        <v>44243</v>
      </c>
      <c r="I1964" s="26" t="n">
        <v>44245</v>
      </c>
      <c r="J1964" s="12" t="n">
        <v>44.78</v>
      </c>
      <c r="K1964" s="17" t="n">
        <v>2595518.99</v>
      </c>
      <c r="L1964" s="12" t="n">
        <v>0</v>
      </c>
      <c r="M1964" s="12" t="n">
        <v>0</v>
      </c>
      <c r="N1964" s="27">
        <f>F1964-J1964</f>
        <v/>
      </c>
      <c r="O1964" s="16">
        <f>I1964-H1964</f>
        <v/>
      </c>
      <c r="P1964" s="14">
        <f>F1964*G1964</f>
        <v/>
      </c>
      <c r="Q1964" s="14">
        <f>J1964*G1964</f>
        <v/>
      </c>
      <c r="R1964" s="14">
        <f>K1964-Q1964</f>
        <v/>
      </c>
      <c r="S1964" s="3">
        <f>P1964*Assumptions!$B$3/100</f>
        <v/>
      </c>
      <c r="T1964" s="14">
        <f>R1964-S1964</f>
        <v/>
      </c>
      <c r="U1964" s="14">
        <f>L1964*G1964</f>
        <v/>
      </c>
    </row>
    <row r="1965">
      <c r="A1965" s="12" t="inlineStr">
        <is>
          <t>PO-2022-1963</t>
        </is>
      </c>
      <c r="B1965" s="26" t="n">
        <v>44947</v>
      </c>
      <c r="C1965" s="12" t="inlineStr">
        <is>
          <t>VS34</t>
        </is>
      </c>
      <c r="D1965" s="12" t="inlineStr">
        <is>
          <t>MS Pipes</t>
        </is>
      </c>
      <c r="E1965" s="12" t="inlineStr">
        <is>
          <t>N</t>
        </is>
      </c>
      <c r="F1965" s="12" t="n">
        <v>47.09</v>
      </c>
      <c r="G1965" s="17" t="n">
        <v>75237.98</v>
      </c>
      <c r="H1965" s="26" t="n">
        <v>44960</v>
      </c>
      <c r="I1965" s="26" t="n">
        <v>44961</v>
      </c>
      <c r="J1965" s="12" t="n">
        <v>46.96</v>
      </c>
      <c r="K1965" s="17" t="n">
        <v>3542956.48</v>
      </c>
      <c r="L1965" s="12" t="n">
        <v>0</v>
      </c>
      <c r="M1965" s="12" t="n">
        <v>18</v>
      </c>
      <c r="N1965" s="27">
        <f>F1965-J1965</f>
        <v/>
      </c>
      <c r="O1965" s="16">
        <f>I1965-H1965</f>
        <v/>
      </c>
      <c r="P1965" s="14">
        <f>F1965*G1965</f>
        <v/>
      </c>
      <c r="Q1965" s="14">
        <f>J1965*G1965</f>
        <v/>
      </c>
      <c r="R1965" s="14">
        <f>K1965-Q1965</f>
        <v/>
      </c>
      <c r="S1965" s="3">
        <f>P1965*Assumptions!$B$3/100</f>
        <v/>
      </c>
      <c r="T1965" s="14">
        <f>R1965-S1965</f>
        <v/>
      </c>
      <c r="U1965" s="14">
        <f>L1965*G1965</f>
        <v/>
      </c>
    </row>
    <row r="1966">
      <c r="A1966" s="12" t="inlineStr">
        <is>
          <t>PO-2022-1964</t>
        </is>
      </c>
      <c r="B1966" s="26" t="n">
        <v>44322</v>
      </c>
      <c r="C1966" s="12" t="inlineStr">
        <is>
          <t>VS05</t>
        </is>
      </c>
      <c r="D1966" s="12" t="inlineStr">
        <is>
          <t>GI Sheets</t>
        </is>
      </c>
      <c r="E1966" s="12" t="inlineStr">
        <is>
          <t>N</t>
        </is>
      </c>
      <c r="F1966" s="12" t="n">
        <v>41.43</v>
      </c>
      <c r="G1966" s="17" t="n">
        <v>82614.42999999999</v>
      </c>
      <c r="H1966" s="26" t="n">
        <v>44336</v>
      </c>
      <c r="I1966" s="26" t="n">
        <v>44339</v>
      </c>
      <c r="J1966" s="12" t="n">
        <v>41.12</v>
      </c>
      <c r="K1966" s="17" t="n">
        <v>3422715.83</v>
      </c>
      <c r="L1966" s="12" t="n">
        <v>0</v>
      </c>
      <c r="M1966" s="12" t="n">
        <v>14</v>
      </c>
      <c r="N1966" s="27">
        <f>F1966-J1966</f>
        <v/>
      </c>
      <c r="O1966" s="16">
        <f>I1966-H1966</f>
        <v/>
      </c>
      <c r="P1966" s="14">
        <f>F1966*G1966</f>
        <v/>
      </c>
      <c r="Q1966" s="14">
        <f>J1966*G1966</f>
        <v/>
      </c>
      <c r="R1966" s="14">
        <f>K1966-Q1966</f>
        <v/>
      </c>
      <c r="S1966" s="3">
        <f>P1966*Assumptions!$B$3/100</f>
        <v/>
      </c>
      <c r="T1966" s="14">
        <f>R1966-S1966</f>
        <v/>
      </c>
      <c r="U1966" s="14">
        <f>L1966*G1966</f>
        <v/>
      </c>
    </row>
    <row r="1967">
      <c r="A1967" s="12" t="inlineStr">
        <is>
          <t>PO-2022-1965</t>
        </is>
      </c>
      <c r="B1967" s="26" t="n">
        <v>44743</v>
      </c>
      <c r="C1967" s="12" t="inlineStr">
        <is>
          <t>VS06</t>
        </is>
      </c>
      <c r="D1967" s="12" t="inlineStr">
        <is>
          <t>MS Sheets</t>
        </is>
      </c>
      <c r="E1967" s="12" t="inlineStr">
        <is>
          <t>N</t>
        </is>
      </c>
      <c r="F1967" s="12" t="n">
        <v>22.73</v>
      </c>
      <c r="G1967" s="17" t="n">
        <v>65664.41</v>
      </c>
      <c r="H1967" s="26" t="n">
        <v>44749</v>
      </c>
      <c r="I1967" s="26" t="n">
        <v>44751</v>
      </c>
      <c r="J1967" s="12" t="n">
        <v>22.62</v>
      </c>
      <c r="K1967" s="17" t="n">
        <v>1492552.04</v>
      </c>
      <c r="L1967" s="12" t="n">
        <v>0</v>
      </c>
      <c r="M1967" s="12" t="n">
        <v>0</v>
      </c>
      <c r="N1967" s="27">
        <f>F1967-J1967</f>
        <v/>
      </c>
      <c r="O1967" s="16">
        <f>I1967-H1967</f>
        <v/>
      </c>
      <c r="P1967" s="14">
        <f>F1967*G1967</f>
        <v/>
      </c>
      <c r="Q1967" s="14">
        <f>J1967*G1967</f>
        <v/>
      </c>
      <c r="R1967" s="14">
        <f>K1967-Q1967</f>
        <v/>
      </c>
      <c r="S1967" s="3">
        <f>P1967*Assumptions!$B$3/100</f>
        <v/>
      </c>
      <c r="T1967" s="14">
        <f>R1967-S1967</f>
        <v/>
      </c>
      <c r="U1967" s="14">
        <f>L1967*G1967</f>
        <v/>
      </c>
    </row>
    <row r="1968">
      <c r="A1968" s="12" t="inlineStr">
        <is>
          <t>PO-2022-1966</t>
        </is>
      </c>
      <c r="B1968" s="26" t="n">
        <v>45232</v>
      </c>
      <c r="C1968" s="12" t="inlineStr">
        <is>
          <t>VS27</t>
        </is>
      </c>
      <c r="D1968" s="12" t="inlineStr">
        <is>
          <t>MS Sheets</t>
        </is>
      </c>
      <c r="E1968" s="12" t="inlineStr">
        <is>
          <t>N</t>
        </is>
      </c>
      <c r="F1968" s="12" t="n">
        <v>32.13</v>
      </c>
      <c r="G1968" s="17" t="n">
        <v>108159.3</v>
      </c>
      <c r="H1968" s="26" t="n">
        <v>45235</v>
      </c>
      <c r="I1968" s="26" t="n">
        <v>45236</v>
      </c>
      <c r="J1968" s="12" t="n">
        <v>31.93</v>
      </c>
      <c r="K1968" s="17" t="n">
        <v>3475158.31</v>
      </c>
      <c r="L1968" s="12" t="n">
        <v>0</v>
      </c>
      <c r="M1968" s="12" t="n">
        <v>3</v>
      </c>
      <c r="N1968" s="27">
        <f>F1968-J1968</f>
        <v/>
      </c>
      <c r="O1968" s="16">
        <f>I1968-H1968</f>
        <v/>
      </c>
      <c r="P1968" s="14">
        <f>F1968*G1968</f>
        <v/>
      </c>
      <c r="Q1968" s="14">
        <f>J1968*G1968</f>
        <v/>
      </c>
      <c r="R1968" s="14">
        <f>K1968-Q1968</f>
        <v/>
      </c>
      <c r="S1968" s="3">
        <f>P1968*Assumptions!$B$3/100</f>
        <v/>
      </c>
      <c r="T1968" s="14">
        <f>R1968-S1968</f>
        <v/>
      </c>
      <c r="U1968" s="14">
        <f>L1968*G1968</f>
        <v/>
      </c>
    </row>
    <row r="1969">
      <c r="A1969" s="12" t="inlineStr">
        <is>
          <t>PO-2022-1967</t>
        </is>
      </c>
      <c r="B1969" s="26" t="n">
        <v>44834</v>
      </c>
      <c r="C1969" s="12" t="inlineStr">
        <is>
          <t>VS18</t>
        </is>
      </c>
      <c r="D1969" s="12" t="inlineStr">
        <is>
          <t>Spring Steel</t>
        </is>
      </c>
      <c r="E1969" s="12" t="inlineStr">
        <is>
          <t>N</t>
        </is>
      </c>
      <c r="F1969" s="12" t="n">
        <v>18.18</v>
      </c>
      <c r="G1969" s="17" t="n">
        <v>70608.94</v>
      </c>
      <c r="H1969" s="26" t="n">
        <v>44846</v>
      </c>
      <c r="I1969" s="26" t="n">
        <v>44848</v>
      </c>
      <c r="J1969" s="12" t="n">
        <v>18.12</v>
      </c>
      <c r="K1969" s="17" t="n">
        <v>1283670.53</v>
      </c>
      <c r="L1969" s="12" t="n">
        <v>0</v>
      </c>
      <c r="M1969" s="12" t="n">
        <v>0</v>
      </c>
      <c r="N1969" s="27">
        <f>F1969-J1969</f>
        <v/>
      </c>
      <c r="O1969" s="16">
        <f>I1969-H1969</f>
        <v/>
      </c>
      <c r="P1969" s="14">
        <f>F1969*G1969</f>
        <v/>
      </c>
      <c r="Q1969" s="14">
        <f>J1969*G1969</f>
        <v/>
      </c>
      <c r="R1969" s="14">
        <f>K1969-Q1969</f>
        <v/>
      </c>
      <c r="S1969" s="3">
        <f>P1969*Assumptions!$B$3/100</f>
        <v/>
      </c>
      <c r="T1969" s="14">
        <f>R1969-S1969</f>
        <v/>
      </c>
      <c r="U1969" s="14">
        <f>L1969*G1969</f>
        <v/>
      </c>
    </row>
    <row r="1970">
      <c r="A1970" s="12" t="inlineStr">
        <is>
          <t>PO-2022-1968</t>
        </is>
      </c>
      <c r="B1970" s="26" t="n">
        <v>44373</v>
      </c>
      <c r="C1970" s="12" t="inlineStr">
        <is>
          <t>VS30</t>
        </is>
      </c>
      <c r="D1970" s="12" t="inlineStr">
        <is>
          <t>SS Pipes</t>
        </is>
      </c>
      <c r="E1970" s="12" t="inlineStr">
        <is>
          <t>N</t>
        </is>
      </c>
      <c r="F1970" s="12" t="n">
        <v>6.7</v>
      </c>
      <c r="G1970" s="17" t="n">
        <v>51792.13</v>
      </c>
      <c r="H1970" s="26" t="n">
        <v>44387</v>
      </c>
      <c r="I1970" s="26" t="n">
        <v>44388</v>
      </c>
      <c r="J1970" s="12" t="n">
        <v>6.67</v>
      </c>
      <c r="K1970" s="17" t="n">
        <v>347007.27</v>
      </c>
      <c r="L1970" s="12" t="n">
        <v>0</v>
      </c>
      <c r="M1970" s="12" t="n">
        <v>18</v>
      </c>
      <c r="N1970" s="27">
        <f>F1970-J1970</f>
        <v/>
      </c>
      <c r="O1970" s="16">
        <f>I1970-H1970</f>
        <v/>
      </c>
      <c r="P1970" s="14">
        <f>F1970*G1970</f>
        <v/>
      </c>
      <c r="Q1970" s="14">
        <f>J1970*G1970</f>
        <v/>
      </c>
      <c r="R1970" s="14">
        <f>K1970-Q1970</f>
        <v/>
      </c>
      <c r="S1970" s="3">
        <f>P1970*Assumptions!$B$3/100</f>
        <v/>
      </c>
      <c r="T1970" s="14">
        <f>R1970-S1970</f>
        <v/>
      </c>
      <c r="U1970" s="14">
        <f>L1970*G1970</f>
        <v/>
      </c>
    </row>
    <row r="1971">
      <c r="A1971" s="12" t="inlineStr">
        <is>
          <t>PO-2022-1969</t>
        </is>
      </c>
      <c r="B1971" s="26" t="n">
        <v>44373</v>
      </c>
      <c r="C1971" s="12" t="inlineStr">
        <is>
          <t>VS12</t>
        </is>
      </c>
      <c r="D1971" s="12" t="inlineStr">
        <is>
          <t>MS Flats</t>
        </is>
      </c>
      <c r="E1971" s="12" t="inlineStr">
        <is>
          <t>Y</t>
        </is>
      </c>
      <c r="F1971" s="12" t="n">
        <v>29.97</v>
      </c>
      <c r="G1971" s="17" t="n">
        <v>122129.72</v>
      </c>
      <c r="H1971" s="26" t="n">
        <v>44388</v>
      </c>
      <c r="I1971" s="26" t="n">
        <v>44394</v>
      </c>
      <c r="J1971" s="12" t="n">
        <v>28.99</v>
      </c>
      <c r="K1971" s="17" t="n">
        <v>3660227.71</v>
      </c>
      <c r="L1971" s="12" t="n">
        <v>0.68</v>
      </c>
      <c r="M1971" s="12" t="n">
        <v>14</v>
      </c>
      <c r="N1971" s="27">
        <f>F1971-J1971</f>
        <v/>
      </c>
      <c r="O1971" s="16">
        <f>I1971-H1971</f>
        <v/>
      </c>
      <c r="P1971" s="14">
        <f>F1971*G1971</f>
        <v/>
      </c>
      <c r="Q1971" s="14">
        <f>J1971*G1971</f>
        <v/>
      </c>
      <c r="R1971" s="14">
        <f>K1971-Q1971</f>
        <v/>
      </c>
      <c r="S1971" s="3">
        <f>P1971*Assumptions!$B$3/100</f>
        <v/>
      </c>
      <c r="T1971" s="14">
        <f>R1971-S1971</f>
        <v/>
      </c>
      <c r="U1971" s="14">
        <f>L1971*G1971</f>
        <v/>
      </c>
    </row>
    <row r="1972">
      <c r="A1972" s="12" t="inlineStr">
        <is>
          <t>PO-2022-1970</t>
        </is>
      </c>
      <c r="B1972" s="26" t="n">
        <v>44543</v>
      </c>
      <c r="C1972" s="12" t="inlineStr">
        <is>
          <t>VS01</t>
        </is>
      </c>
      <c r="D1972" s="12" t="inlineStr">
        <is>
          <t>GI Sheets</t>
        </is>
      </c>
      <c r="E1972" s="12" t="inlineStr">
        <is>
          <t>N</t>
        </is>
      </c>
      <c r="F1972" s="12" t="n">
        <v>32.26</v>
      </c>
      <c r="G1972" s="17" t="n">
        <v>79526.17999999999</v>
      </c>
      <c r="H1972" s="26" t="n">
        <v>44557</v>
      </c>
      <c r="I1972" s="26" t="n">
        <v>44558</v>
      </c>
      <c r="J1972" s="12" t="n">
        <v>32.05</v>
      </c>
      <c r="K1972" s="17" t="n">
        <v>2565514.57</v>
      </c>
      <c r="L1972" s="12" t="n">
        <v>0</v>
      </c>
      <c r="M1972" s="12" t="n">
        <v>0</v>
      </c>
      <c r="N1972" s="27">
        <f>F1972-J1972</f>
        <v/>
      </c>
      <c r="O1972" s="16">
        <f>I1972-H1972</f>
        <v/>
      </c>
      <c r="P1972" s="14">
        <f>F1972*G1972</f>
        <v/>
      </c>
      <c r="Q1972" s="14">
        <f>J1972*G1972</f>
        <v/>
      </c>
      <c r="R1972" s="14">
        <f>K1972-Q1972</f>
        <v/>
      </c>
      <c r="S1972" s="3">
        <f>P1972*Assumptions!$B$3/100</f>
        <v/>
      </c>
      <c r="T1972" s="14">
        <f>R1972-S1972</f>
        <v/>
      </c>
      <c r="U1972" s="14">
        <f>L1972*G1972</f>
        <v/>
      </c>
    </row>
    <row r="1973">
      <c r="A1973" s="12" t="inlineStr">
        <is>
          <t>PO-2022-1971</t>
        </is>
      </c>
      <c r="B1973" s="26" t="n">
        <v>44702</v>
      </c>
      <c r="C1973" s="12" t="inlineStr">
        <is>
          <t>VS20</t>
        </is>
      </c>
      <c r="D1973" s="12" t="inlineStr">
        <is>
          <t>GI Sheets</t>
        </is>
      </c>
      <c r="E1973" s="12" t="inlineStr">
        <is>
          <t>N</t>
        </is>
      </c>
      <c r="F1973" s="12" t="n">
        <v>37.62</v>
      </c>
      <c r="G1973" s="17" t="n">
        <v>100358.29</v>
      </c>
      <c r="H1973" s="26" t="n">
        <v>44709</v>
      </c>
      <c r="I1973" s="26" t="n">
        <v>44709</v>
      </c>
      <c r="J1973" s="12" t="n">
        <v>37.47</v>
      </c>
      <c r="K1973" s="17" t="n">
        <v>3775478.87</v>
      </c>
      <c r="L1973" s="12" t="n">
        <v>0</v>
      </c>
      <c r="M1973" s="12" t="n">
        <v>2</v>
      </c>
      <c r="N1973" s="27">
        <f>F1973-J1973</f>
        <v/>
      </c>
      <c r="O1973" s="16">
        <f>I1973-H1973</f>
        <v/>
      </c>
      <c r="P1973" s="14">
        <f>F1973*G1973</f>
        <v/>
      </c>
      <c r="Q1973" s="14">
        <f>J1973*G1973</f>
        <v/>
      </c>
      <c r="R1973" s="14">
        <f>K1973-Q1973</f>
        <v/>
      </c>
      <c r="S1973" s="3">
        <f>P1973*Assumptions!$B$3/100</f>
        <v/>
      </c>
      <c r="T1973" s="14">
        <f>R1973-S1973</f>
        <v/>
      </c>
      <c r="U1973" s="14">
        <f>L1973*G1973</f>
        <v/>
      </c>
    </row>
    <row r="1974">
      <c r="A1974" s="12" t="inlineStr">
        <is>
          <t>PO-2022-1972</t>
        </is>
      </c>
      <c r="B1974" s="26" t="n">
        <v>44306</v>
      </c>
      <c r="C1974" s="12" t="inlineStr">
        <is>
          <t>VS25</t>
        </is>
      </c>
      <c r="D1974" s="12" t="inlineStr">
        <is>
          <t>SS Sheets</t>
        </is>
      </c>
      <c r="E1974" s="12" t="inlineStr">
        <is>
          <t>N</t>
        </is>
      </c>
      <c r="F1974" s="12" t="n">
        <v>9.720000000000001</v>
      </c>
      <c r="G1974" s="17" t="n">
        <v>55531.96</v>
      </c>
      <c r="H1974" s="26" t="n">
        <v>44314</v>
      </c>
      <c r="I1974" s="26" t="n">
        <v>44317</v>
      </c>
      <c r="J1974" s="12" t="n">
        <v>9.710000000000001</v>
      </c>
      <c r="K1974" s="17" t="n">
        <v>539770.65</v>
      </c>
      <c r="L1974" s="12" t="n">
        <v>0</v>
      </c>
      <c r="M1974" s="12" t="n">
        <v>18</v>
      </c>
      <c r="N1974" s="27">
        <f>F1974-J1974</f>
        <v/>
      </c>
      <c r="O1974" s="16">
        <f>I1974-H1974</f>
        <v/>
      </c>
      <c r="P1974" s="14">
        <f>F1974*G1974</f>
        <v/>
      </c>
      <c r="Q1974" s="14">
        <f>J1974*G1974</f>
        <v/>
      </c>
      <c r="R1974" s="14">
        <f>K1974-Q1974</f>
        <v/>
      </c>
      <c r="S1974" s="3">
        <f>P1974*Assumptions!$B$3/100</f>
        <v/>
      </c>
      <c r="T1974" s="14">
        <f>R1974-S1974</f>
        <v/>
      </c>
      <c r="U1974" s="14">
        <f>L1974*G1974</f>
        <v/>
      </c>
    </row>
    <row r="1975">
      <c r="A1975" s="12" t="inlineStr">
        <is>
          <t>PO-2022-1973</t>
        </is>
      </c>
      <c r="B1975" s="26" t="n">
        <v>45044</v>
      </c>
      <c r="C1975" s="12" t="inlineStr">
        <is>
          <t>VS15</t>
        </is>
      </c>
      <c r="D1975" s="12" t="inlineStr">
        <is>
          <t>GI Sheets</t>
        </is>
      </c>
      <c r="E1975" s="12" t="inlineStr">
        <is>
          <t>N</t>
        </is>
      </c>
      <c r="F1975" s="12" t="n">
        <v>14.37</v>
      </c>
      <c r="G1975" s="17" t="n">
        <v>59941.85</v>
      </c>
      <c r="H1975" s="26" t="n">
        <v>45051</v>
      </c>
      <c r="I1975" s="26" t="n">
        <v>45051</v>
      </c>
      <c r="J1975" s="12" t="n">
        <v>14.25</v>
      </c>
      <c r="K1975" s="17" t="n">
        <v>861364.38</v>
      </c>
      <c r="L1975" s="12" t="n">
        <v>0</v>
      </c>
      <c r="M1975" s="12" t="n">
        <v>25</v>
      </c>
      <c r="N1975" s="27">
        <f>F1975-J1975</f>
        <v/>
      </c>
      <c r="O1975" s="16">
        <f>I1975-H1975</f>
        <v/>
      </c>
      <c r="P1975" s="14">
        <f>F1975*G1975</f>
        <v/>
      </c>
      <c r="Q1975" s="14">
        <f>J1975*G1975</f>
        <v/>
      </c>
      <c r="R1975" s="14">
        <f>K1975-Q1975</f>
        <v/>
      </c>
      <c r="S1975" s="3">
        <f>P1975*Assumptions!$B$3/100</f>
        <v/>
      </c>
      <c r="T1975" s="14">
        <f>R1975-S1975</f>
        <v/>
      </c>
      <c r="U1975" s="14">
        <f>L1975*G1975</f>
        <v/>
      </c>
    </row>
    <row r="1976">
      <c r="A1976" s="12" t="inlineStr">
        <is>
          <t>PO-2022-1974</t>
        </is>
      </c>
      <c r="B1976" s="26" t="n">
        <v>44728</v>
      </c>
      <c r="C1976" s="12" t="inlineStr">
        <is>
          <t>VS29</t>
        </is>
      </c>
      <c r="D1976" s="12" t="inlineStr">
        <is>
          <t>CR Sheets</t>
        </is>
      </c>
      <c r="E1976" s="12" t="inlineStr">
        <is>
          <t>N</t>
        </is>
      </c>
      <c r="F1976" s="12" t="n">
        <v>5.53</v>
      </c>
      <c r="G1976" s="17" t="n">
        <v>71636.48</v>
      </c>
      <c r="H1976" s="26" t="n">
        <v>44736</v>
      </c>
      <c r="I1976" s="26" t="n">
        <v>44736</v>
      </c>
      <c r="J1976" s="12" t="n">
        <v>5.51</v>
      </c>
      <c r="K1976" s="17" t="n">
        <v>396149.73</v>
      </c>
      <c r="L1976" s="12" t="n">
        <v>0</v>
      </c>
      <c r="M1976" s="12" t="n">
        <v>0</v>
      </c>
      <c r="N1976" s="27">
        <f>F1976-J1976</f>
        <v/>
      </c>
      <c r="O1976" s="16">
        <f>I1976-H1976</f>
        <v/>
      </c>
      <c r="P1976" s="14">
        <f>F1976*G1976</f>
        <v/>
      </c>
      <c r="Q1976" s="14">
        <f>J1976*G1976</f>
        <v/>
      </c>
      <c r="R1976" s="14">
        <f>K1976-Q1976</f>
        <v/>
      </c>
      <c r="S1976" s="3">
        <f>P1976*Assumptions!$B$3/100</f>
        <v/>
      </c>
      <c r="T1976" s="14">
        <f>R1976-S1976</f>
        <v/>
      </c>
      <c r="U1976" s="14">
        <f>L1976*G1976</f>
        <v/>
      </c>
    </row>
    <row r="1977">
      <c r="A1977" s="12" t="inlineStr">
        <is>
          <t>PO-2022-1975</t>
        </is>
      </c>
      <c r="B1977" s="26" t="n">
        <v>44911</v>
      </c>
      <c r="C1977" s="12" t="inlineStr">
        <is>
          <t>VS34</t>
        </is>
      </c>
      <c r="D1977" s="12" t="inlineStr">
        <is>
          <t>Fasteners &amp; Fittings</t>
        </is>
      </c>
      <c r="E1977" s="12" t="inlineStr">
        <is>
          <t>N</t>
        </is>
      </c>
      <c r="F1977" s="12" t="n">
        <v>41.65</v>
      </c>
      <c r="G1977" s="17" t="n">
        <v>96527.99000000001</v>
      </c>
      <c r="H1977" s="26" t="n">
        <v>44916</v>
      </c>
      <c r="I1977" s="26" t="n">
        <v>44919</v>
      </c>
      <c r="J1977" s="12" t="n">
        <v>41.63</v>
      </c>
      <c r="K1977" s="17" t="n">
        <v>4020390.78</v>
      </c>
      <c r="L1977" s="12" t="n">
        <v>0</v>
      </c>
      <c r="M1977" s="12" t="n">
        <v>0</v>
      </c>
      <c r="N1977" s="27">
        <f>F1977-J1977</f>
        <v/>
      </c>
      <c r="O1977" s="16">
        <f>I1977-H1977</f>
        <v/>
      </c>
      <c r="P1977" s="14">
        <f>F1977*G1977</f>
        <v/>
      </c>
      <c r="Q1977" s="14">
        <f>J1977*G1977</f>
        <v/>
      </c>
      <c r="R1977" s="14">
        <f>K1977-Q1977</f>
        <v/>
      </c>
      <c r="S1977" s="3">
        <f>P1977*Assumptions!$B$3/100</f>
        <v/>
      </c>
      <c r="T1977" s="14">
        <f>R1977-S1977</f>
        <v/>
      </c>
      <c r="U1977" s="14">
        <f>L1977*G1977</f>
        <v/>
      </c>
    </row>
    <row r="1978">
      <c r="A1978" s="12" t="inlineStr">
        <is>
          <t>PO-2022-1976</t>
        </is>
      </c>
      <c r="B1978" s="26" t="n">
        <v>44272</v>
      </c>
      <c r="C1978" s="12" t="inlineStr">
        <is>
          <t>VS25</t>
        </is>
      </c>
      <c r="D1978" s="12" t="inlineStr">
        <is>
          <t>Square/Rect Tubes</t>
        </is>
      </c>
      <c r="E1978" s="12" t="inlineStr">
        <is>
          <t>N</t>
        </is>
      </c>
      <c r="F1978" s="12" t="n">
        <v>27.36</v>
      </c>
      <c r="G1978" s="17" t="n">
        <v>60799.71</v>
      </c>
      <c r="H1978" s="26" t="n">
        <v>44286</v>
      </c>
      <c r="I1978" s="26" t="n">
        <v>44287</v>
      </c>
      <c r="J1978" s="12" t="n">
        <v>27.14</v>
      </c>
      <c r="K1978" s="17" t="n">
        <v>1663480.07</v>
      </c>
      <c r="L1978" s="12" t="n">
        <v>0</v>
      </c>
      <c r="M1978" s="12" t="n">
        <v>0</v>
      </c>
      <c r="N1978" s="27">
        <f>F1978-J1978</f>
        <v/>
      </c>
      <c r="O1978" s="16">
        <f>I1978-H1978</f>
        <v/>
      </c>
      <c r="P1978" s="14">
        <f>F1978*G1978</f>
        <v/>
      </c>
      <c r="Q1978" s="14">
        <f>J1978*G1978</f>
        <v/>
      </c>
      <c r="R1978" s="14">
        <f>K1978-Q1978</f>
        <v/>
      </c>
      <c r="S1978" s="3">
        <f>P1978*Assumptions!$B$3/100</f>
        <v/>
      </c>
      <c r="T1978" s="14">
        <f>R1978-S1978</f>
        <v/>
      </c>
      <c r="U1978" s="14">
        <f>L1978*G1978</f>
        <v/>
      </c>
    </row>
    <row r="1979">
      <c r="A1979" s="12" t="inlineStr">
        <is>
          <t>PO-2022-1977</t>
        </is>
      </c>
      <c r="B1979" s="26" t="n">
        <v>45085</v>
      </c>
      <c r="C1979" s="12" t="inlineStr">
        <is>
          <t>VS23</t>
        </is>
      </c>
      <c r="D1979" s="12" t="inlineStr">
        <is>
          <t>SS Sheets</t>
        </is>
      </c>
      <c r="E1979" s="12" t="inlineStr">
        <is>
          <t>N</t>
        </is>
      </c>
      <c r="F1979" s="12" t="n">
        <v>11.16</v>
      </c>
      <c r="G1979" s="17" t="n">
        <v>97474.03999999999</v>
      </c>
      <c r="H1979" s="26" t="n">
        <v>45096</v>
      </c>
      <c r="I1979" s="26" t="n">
        <v>45096</v>
      </c>
      <c r="J1979" s="12" t="n">
        <v>11.07</v>
      </c>
      <c r="K1979" s="17" t="n">
        <v>1087810.29</v>
      </c>
      <c r="L1979" s="12" t="n">
        <v>0</v>
      </c>
      <c r="M1979" s="12" t="n">
        <v>11</v>
      </c>
      <c r="N1979" s="27">
        <f>F1979-J1979</f>
        <v/>
      </c>
      <c r="O1979" s="16">
        <f>I1979-H1979</f>
        <v/>
      </c>
      <c r="P1979" s="14">
        <f>F1979*G1979</f>
        <v/>
      </c>
      <c r="Q1979" s="14">
        <f>J1979*G1979</f>
        <v/>
      </c>
      <c r="R1979" s="14">
        <f>K1979-Q1979</f>
        <v/>
      </c>
      <c r="S1979" s="3">
        <f>P1979*Assumptions!$B$3/100</f>
        <v/>
      </c>
      <c r="T1979" s="14">
        <f>R1979-S1979</f>
        <v/>
      </c>
      <c r="U1979" s="14">
        <f>L1979*G1979</f>
        <v/>
      </c>
    </row>
    <row r="1980">
      <c r="A1980" s="12" t="inlineStr">
        <is>
          <t>PO-2022-1978</t>
        </is>
      </c>
      <c r="B1980" s="26" t="n">
        <v>44747</v>
      </c>
      <c r="C1980" s="12" t="inlineStr">
        <is>
          <t>VS06</t>
        </is>
      </c>
      <c r="D1980" s="12" t="inlineStr">
        <is>
          <t>Hex Bars</t>
        </is>
      </c>
      <c r="E1980" s="12" t="inlineStr">
        <is>
          <t>N</t>
        </is>
      </c>
      <c r="F1980" s="12" t="n">
        <v>38.9</v>
      </c>
      <c r="G1980" s="17" t="n">
        <v>64366.04</v>
      </c>
      <c r="H1980" s="26" t="n">
        <v>44757</v>
      </c>
      <c r="I1980" s="26" t="n">
        <v>44758</v>
      </c>
      <c r="J1980" s="12" t="n">
        <v>38.81</v>
      </c>
      <c r="K1980" s="17" t="n">
        <v>2503838.96</v>
      </c>
      <c r="L1980" s="12" t="n">
        <v>0</v>
      </c>
      <c r="M1980" s="12" t="n">
        <v>0</v>
      </c>
      <c r="N1980" s="27">
        <f>F1980-J1980</f>
        <v/>
      </c>
      <c r="O1980" s="16">
        <f>I1980-H1980</f>
        <v/>
      </c>
      <c r="P1980" s="14">
        <f>F1980*G1980</f>
        <v/>
      </c>
      <c r="Q1980" s="14">
        <f>J1980*G1980</f>
        <v/>
      </c>
      <c r="R1980" s="14">
        <f>K1980-Q1980</f>
        <v/>
      </c>
      <c r="S1980" s="3">
        <f>P1980*Assumptions!$B$3/100</f>
        <v/>
      </c>
      <c r="T1980" s="14">
        <f>R1980-S1980</f>
        <v/>
      </c>
      <c r="U1980" s="14">
        <f>L1980*G1980</f>
        <v/>
      </c>
    </row>
    <row r="1981">
      <c r="A1981" s="12" t="inlineStr">
        <is>
          <t>PO-2022-1979</t>
        </is>
      </c>
      <c r="B1981" s="26" t="n">
        <v>44731</v>
      </c>
      <c r="C1981" s="12" t="inlineStr">
        <is>
          <t>VS03</t>
        </is>
      </c>
      <c r="D1981" s="12" t="inlineStr">
        <is>
          <t>ERW Pipes</t>
        </is>
      </c>
      <c r="E1981" s="12" t="inlineStr">
        <is>
          <t>N</t>
        </is>
      </c>
      <c r="F1981" s="12" t="n">
        <v>26.33</v>
      </c>
      <c r="G1981" s="17" t="n">
        <v>96026.87</v>
      </c>
      <c r="H1981" s="26" t="n">
        <v>44741</v>
      </c>
      <c r="I1981" s="26" t="n">
        <v>44743</v>
      </c>
      <c r="J1981" s="12" t="n">
        <v>25.27</v>
      </c>
      <c r="K1981" s="17" t="n">
        <v>2528387.49</v>
      </c>
      <c r="L1981" s="12" t="n">
        <v>0.5</v>
      </c>
      <c r="M1981" s="12" t="n">
        <v>21</v>
      </c>
      <c r="N1981" s="27">
        <f>F1981-J1981</f>
        <v/>
      </c>
      <c r="O1981" s="16">
        <f>I1981-H1981</f>
        <v/>
      </c>
      <c r="P1981" s="14">
        <f>F1981*G1981</f>
        <v/>
      </c>
      <c r="Q1981" s="14">
        <f>J1981*G1981</f>
        <v/>
      </c>
      <c r="R1981" s="14">
        <f>K1981-Q1981</f>
        <v/>
      </c>
      <c r="S1981" s="3">
        <f>P1981*Assumptions!$B$3/100</f>
        <v/>
      </c>
      <c r="T1981" s="14">
        <f>R1981-S1981</f>
        <v/>
      </c>
      <c r="U1981" s="14">
        <f>L1981*G1981</f>
        <v/>
      </c>
    </row>
    <row r="1982">
      <c r="A1982" s="12" t="inlineStr">
        <is>
          <t>PO-2022-1980</t>
        </is>
      </c>
      <c r="B1982" s="26" t="n">
        <v>44483</v>
      </c>
      <c r="C1982" s="12" t="inlineStr">
        <is>
          <t>VS30</t>
        </is>
      </c>
      <c r="D1982" s="12" t="inlineStr">
        <is>
          <t>MS Flats</t>
        </is>
      </c>
      <c r="E1982" s="12" t="inlineStr">
        <is>
          <t>N</t>
        </is>
      </c>
      <c r="F1982" s="12" t="n">
        <v>19.24</v>
      </c>
      <c r="G1982" s="17" t="n">
        <v>73343.25999999999</v>
      </c>
      <c r="H1982" s="26" t="n">
        <v>44495</v>
      </c>
      <c r="I1982" s="26" t="n">
        <v>44498</v>
      </c>
      <c r="J1982" s="12" t="n">
        <v>19.12</v>
      </c>
      <c r="K1982" s="17" t="n">
        <v>1411124.32</v>
      </c>
      <c r="L1982" s="12" t="n">
        <v>0</v>
      </c>
      <c r="M1982" s="12" t="n">
        <v>11</v>
      </c>
      <c r="N1982" s="27">
        <f>F1982-J1982</f>
        <v/>
      </c>
      <c r="O1982" s="16">
        <f>I1982-H1982</f>
        <v/>
      </c>
      <c r="P1982" s="14">
        <f>F1982*G1982</f>
        <v/>
      </c>
      <c r="Q1982" s="14">
        <f>J1982*G1982</f>
        <v/>
      </c>
      <c r="R1982" s="14">
        <f>K1982-Q1982</f>
        <v/>
      </c>
      <c r="S1982" s="3">
        <f>P1982*Assumptions!$B$3/100</f>
        <v/>
      </c>
      <c r="T1982" s="14">
        <f>R1982-S1982</f>
        <v/>
      </c>
      <c r="U1982" s="14">
        <f>L1982*G1982</f>
        <v/>
      </c>
    </row>
    <row r="1983">
      <c r="A1983" s="12" t="inlineStr">
        <is>
          <t>PO-2022-1981</t>
        </is>
      </c>
      <c r="B1983" s="26" t="n">
        <v>44266</v>
      </c>
      <c r="C1983" s="12" t="inlineStr">
        <is>
          <t>VS21</t>
        </is>
      </c>
      <c r="D1983" s="12" t="inlineStr">
        <is>
          <t>ERW Pipes</t>
        </is>
      </c>
      <c r="E1983" s="12" t="inlineStr">
        <is>
          <t>Y</t>
        </is>
      </c>
      <c r="F1983" s="12" t="n">
        <v>31.84</v>
      </c>
      <c r="G1983" s="17" t="n">
        <v>110199.68</v>
      </c>
      <c r="H1983" s="26" t="n">
        <v>44269</v>
      </c>
      <c r="I1983" s="26" t="n">
        <v>44271</v>
      </c>
      <c r="J1983" s="12" t="n">
        <v>31.79</v>
      </c>
      <c r="K1983" s="17" t="n">
        <v>3508757.81</v>
      </c>
      <c r="L1983" s="12" t="n">
        <v>0</v>
      </c>
      <c r="M1983" s="12" t="n">
        <v>0</v>
      </c>
      <c r="N1983" s="27">
        <f>F1983-J1983</f>
        <v/>
      </c>
      <c r="O1983" s="16">
        <f>I1983-H1983</f>
        <v/>
      </c>
      <c r="P1983" s="14">
        <f>F1983*G1983</f>
        <v/>
      </c>
      <c r="Q1983" s="14">
        <f>J1983*G1983</f>
        <v/>
      </c>
      <c r="R1983" s="14">
        <f>K1983-Q1983</f>
        <v/>
      </c>
      <c r="S1983" s="3">
        <f>P1983*Assumptions!$B$3/100</f>
        <v/>
      </c>
      <c r="T1983" s="14">
        <f>R1983-S1983</f>
        <v/>
      </c>
      <c r="U1983" s="14">
        <f>L1983*G1983</f>
        <v/>
      </c>
    </row>
    <row r="1984">
      <c r="A1984" s="12" t="inlineStr">
        <is>
          <t>PO-2022-1982</t>
        </is>
      </c>
      <c r="B1984" s="26" t="n">
        <v>44522</v>
      </c>
      <c r="C1984" s="12" t="inlineStr">
        <is>
          <t>VS27</t>
        </is>
      </c>
      <c r="D1984" s="12" t="inlineStr">
        <is>
          <t>Structural Steel</t>
        </is>
      </c>
      <c r="E1984" s="12" t="inlineStr">
        <is>
          <t>N</t>
        </is>
      </c>
      <c r="F1984" s="12" t="n">
        <v>17.4</v>
      </c>
      <c r="G1984" s="17" t="n">
        <v>93591.10000000001</v>
      </c>
      <c r="H1984" s="26" t="n">
        <v>44526</v>
      </c>
      <c r="I1984" s="26" t="n">
        <v>44529</v>
      </c>
      <c r="J1984" s="12" t="n">
        <v>17.35</v>
      </c>
      <c r="K1984" s="17" t="n">
        <v>1628485.14</v>
      </c>
      <c r="L1984" s="12" t="n">
        <v>0</v>
      </c>
      <c r="M1984" s="12" t="n">
        <v>8</v>
      </c>
      <c r="N1984" s="27">
        <f>F1984-J1984</f>
        <v/>
      </c>
      <c r="O1984" s="16">
        <f>I1984-H1984</f>
        <v/>
      </c>
      <c r="P1984" s="14">
        <f>F1984*G1984</f>
        <v/>
      </c>
      <c r="Q1984" s="14">
        <f>J1984*G1984</f>
        <v/>
      </c>
      <c r="R1984" s="14">
        <f>K1984-Q1984</f>
        <v/>
      </c>
      <c r="S1984" s="3">
        <f>P1984*Assumptions!$B$3/100</f>
        <v/>
      </c>
      <c r="T1984" s="14">
        <f>R1984-S1984</f>
        <v/>
      </c>
      <c r="U1984" s="14">
        <f>L1984*G1984</f>
        <v/>
      </c>
    </row>
    <row r="1985">
      <c r="A1985" s="12" t="inlineStr">
        <is>
          <t>PO-2022-1983</t>
        </is>
      </c>
      <c r="B1985" s="26" t="n">
        <v>44580</v>
      </c>
      <c r="C1985" s="12" t="inlineStr">
        <is>
          <t>VS23</t>
        </is>
      </c>
      <c r="D1985" s="12" t="inlineStr">
        <is>
          <t>SS Sheets</t>
        </is>
      </c>
      <c r="E1985" s="12" t="inlineStr">
        <is>
          <t>N</t>
        </is>
      </c>
      <c r="F1985" s="12" t="n">
        <v>8.970000000000001</v>
      </c>
      <c r="G1985" s="17" t="n">
        <v>86008.36</v>
      </c>
      <c r="H1985" s="26" t="n">
        <v>44595</v>
      </c>
      <c r="I1985" s="26" t="n">
        <v>44596</v>
      </c>
      <c r="J1985" s="12" t="n">
        <v>8.93</v>
      </c>
      <c r="K1985" s="17" t="n">
        <v>771494.99</v>
      </c>
      <c r="L1985" s="12" t="n">
        <v>0</v>
      </c>
      <c r="M1985" s="12" t="n">
        <v>16</v>
      </c>
      <c r="N1985" s="27">
        <f>F1985-J1985</f>
        <v/>
      </c>
      <c r="O1985" s="16">
        <f>I1985-H1985</f>
        <v/>
      </c>
      <c r="P1985" s="14">
        <f>F1985*G1985</f>
        <v/>
      </c>
      <c r="Q1985" s="14">
        <f>J1985*G1985</f>
        <v/>
      </c>
      <c r="R1985" s="14">
        <f>K1985-Q1985</f>
        <v/>
      </c>
      <c r="S1985" s="3">
        <f>P1985*Assumptions!$B$3/100</f>
        <v/>
      </c>
      <c r="T1985" s="14">
        <f>R1985-S1985</f>
        <v/>
      </c>
      <c r="U1985" s="14">
        <f>L1985*G1985</f>
        <v/>
      </c>
    </row>
    <row r="1986">
      <c r="A1986" s="12" t="inlineStr">
        <is>
          <t>PO-2022-1984</t>
        </is>
      </c>
      <c r="B1986" s="26" t="n">
        <v>44241</v>
      </c>
      <c r="C1986" s="12" t="inlineStr">
        <is>
          <t>VS29</t>
        </is>
      </c>
      <c r="D1986" s="12" t="inlineStr">
        <is>
          <t>Fasteners &amp; Fittings</t>
        </is>
      </c>
      <c r="E1986" s="12" t="inlineStr">
        <is>
          <t>N</t>
        </is>
      </c>
      <c r="F1986" s="12" t="n">
        <v>30.09</v>
      </c>
      <c r="G1986" s="17" t="n">
        <v>97087.38</v>
      </c>
      <c r="H1986" s="26" t="n">
        <v>44255</v>
      </c>
      <c r="I1986" s="26" t="n">
        <v>44258</v>
      </c>
      <c r="J1986" s="12" t="n">
        <v>29.87</v>
      </c>
      <c r="K1986" s="17" t="n">
        <v>2921359.26</v>
      </c>
      <c r="L1986" s="12" t="n">
        <v>0</v>
      </c>
      <c r="M1986" s="12" t="n">
        <v>13</v>
      </c>
      <c r="N1986" s="27">
        <f>F1986-J1986</f>
        <v/>
      </c>
      <c r="O1986" s="16">
        <f>I1986-H1986</f>
        <v/>
      </c>
      <c r="P1986" s="14">
        <f>F1986*G1986</f>
        <v/>
      </c>
      <c r="Q1986" s="14">
        <f>J1986*G1986</f>
        <v/>
      </c>
      <c r="R1986" s="14">
        <f>K1986-Q1986</f>
        <v/>
      </c>
      <c r="S1986" s="3">
        <f>P1986*Assumptions!$B$3/100</f>
        <v/>
      </c>
      <c r="T1986" s="14">
        <f>R1986-S1986</f>
        <v/>
      </c>
      <c r="U1986" s="14">
        <f>L1986*G1986</f>
        <v/>
      </c>
    </row>
    <row r="1987">
      <c r="A1987" s="12" t="inlineStr">
        <is>
          <t>PO-2022-1985</t>
        </is>
      </c>
      <c r="B1987" s="26" t="n">
        <v>45014</v>
      </c>
      <c r="C1987" s="12" t="inlineStr">
        <is>
          <t>VS31</t>
        </is>
      </c>
      <c r="D1987" s="12" t="inlineStr">
        <is>
          <t>HR Coils</t>
        </is>
      </c>
      <c r="E1987" s="12" t="inlineStr">
        <is>
          <t>N</t>
        </is>
      </c>
      <c r="F1987" s="12" t="n">
        <v>13.38</v>
      </c>
      <c r="G1987" s="17" t="n">
        <v>72991.11</v>
      </c>
      <c r="H1987" s="26" t="n">
        <v>45022</v>
      </c>
      <c r="I1987" s="26" t="n">
        <v>45022</v>
      </c>
      <c r="J1987" s="12" t="n">
        <v>13.26</v>
      </c>
      <c r="K1987" s="17" t="n">
        <v>976621.05</v>
      </c>
      <c r="L1987" s="12" t="n">
        <v>0</v>
      </c>
      <c r="M1987" s="12" t="n">
        <v>21</v>
      </c>
      <c r="N1987" s="27">
        <f>F1987-J1987</f>
        <v/>
      </c>
      <c r="O1987" s="16">
        <f>I1987-H1987</f>
        <v/>
      </c>
      <c r="P1987" s="14">
        <f>F1987*G1987</f>
        <v/>
      </c>
      <c r="Q1987" s="14">
        <f>J1987*G1987</f>
        <v/>
      </c>
      <c r="R1987" s="14">
        <f>K1987-Q1987</f>
        <v/>
      </c>
      <c r="S1987" s="3">
        <f>P1987*Assumptions!$B$3/100</f>
        <v/>
      </c>
      <c r="T1987" s="14">
        <f>R1987-S1987</f>
        <v/>
      </c>
      <c r="U1987" s="14">
        <f>L1987*G1987</f>
        <v/>
      </c>
    </row>
    <row r="1988">
      <c r="A1988" s="12" t="inlineStr">
        <is>
          <t>PO-2022-1986</t>
        </is>
      </c>
      <c r="B1988" s="26" t="n">
        <v>45185</v>
      </c>
      <c r="C1988" s="12" t="inlineStr">
        <is>
          <t>VS26</t>
        </is>
      </c>
      <c r="D1988" s="12" t="inlineStr">
        <is>
          <t>SS Sheets</t>
        </is>
      </c>
      <c r="E1988" s="12" t="inlineStr">
        <is>
          <t>N</t>
        </is>
      </c>
      <c r="F1988" s="12" t="n">
        <v>2.97</v>
      </c>
      <c r="G1988" s="17" t="n">
        <v>114674.22</v>
      </c>
      <c r="H1988" s="26" t="n">
        <v>45191</v>
      </c>
      <c r="I1988" s="26" t="n">
        <v>45192</v>
      </c>
      <c r="J1988" s="12" t="n">
        <v>2.95</v>
      </c>
      <c r="K1988" s="17" t="n">
        <v>340582.43</v>
      </c>
      <c r="L1988" s="12" t="n">
        <v>0</v>
      </c>
      <c r="M1988" s="12" t="n">
        <v>14</v>
      </c>
      <c r="N1988" s="27">
        <f>F1988-J1988</f>
        <v/>
      </c>
      <c r="O1988" s="16">
        <f>I1988-H1988</f>
        <v/>
      </c>
      <c r="P1988" s="14">
        <f>F1988*G1988</f>
        <v/>
      </c>
      <c r="Q1988" s="14">
        <f>J1988*G1988</f>
        <v/>
      </c>
      <c r="R1988" s="14">
        <f>K1988-Q1988</f>
        <v/>
      </c>
      <c r="S1988" s="3">
        <f>P1988*Assumptions!$B$3/100</f>
        <v/>
      </c>
      <c r="T1988" s="14">
        <f>R1988-S1988</f>
        <v/>
      </c>
      <c r="U1988" s="14">
        <f>L1988*G1988</f>
        <v/>
      </c>
    </row>
    <row r="1989">
      <c r="A1989" s="12" t="inlineStr">
        <is>
          <t>PO-2022-1987</t>
        </is>
      </c>
      <c r="B1989" s="26" t="n">
        <v>45235</v>
      </c>
      <c r="C1989" s="12" t="inlineStr">
        <is>
          <t>VS07</t>
        </is>
      </c>
      <c r="D1989" s="12" t="inlineStr">
        <is>
          <t>GI Wire</t>
        </is>
      </c>
      <c r="E1989" s="12" t="inlineStr">
        <is>
          <t>N</t>
        </is>
      </c>
      <c r="F1989" s="12" t="n">
        <v>21.87</v>
      </c>
      <c r="G1989" s="17" t="n">
        <v>65202.07</v>
      </c>
      <c r="H1989" s="26" t="n">
        <v>45247</v>
      </c>
      <c r="I1989" s="26" t="n">
        <v>45248</v>
      </c>
      <c r="J1989" s="12" t="n">
        <v>21.71</v>
      </c>
      <c r="K1989" s="17" t="n">
        <v>1425969.27</v>
      </c>
      <c r="L1989" s="12" t="n">
        <v>0</v>
      </c>
      <c r="M1989" s="12" t="n">
        <v>18</v>
      </c>
      <c r="N1989" s="27">
        <f>F1989-J1989</f>
        <v/>
      </c>
      <c r="O1989" s="16">
        <f>I1989-H1989</f>
        <v/>
      </c>
      <c r="P1989" s="14">
        <f>F1989*G1989</f>
        <v/>
      </c>
      <c r="Q1989" s="14">
        <f>J1989*G1989</f>
        <v/>
      </c>
      <c r="R1989" s="14">
        <f>K1989-Q1989</f>
        <v/>
      </c>
      <c r="S1989" s="3">
        <f>P1989*Assumptions!$B$3/100</f>
        <v/>
      </c>
      <c r="T1989" s="14">
        <f>R1989-S1989</f>
        <v/>
      </c>
      <c r="U1989" s="14">
        <f>L1989*G1989</f>
        <v/>
      </c>
    </row>
    <row r="1990">
      <c r="A1990" s="12" t="inlineStr">
        <is>
          <t>PO-2022-1988</t>
        </is>
      </c>
      <c r="B1990" s="26" t="n">
        <v>45017</v>
      </c>
      <c r="C1990" s="12" t="inlineStr">
        <is>
          <t>VS02</t>
        </is>
      </c>
      <c r="D1990" s="12" t="inlineStr">
        <is>
          <t>MS Sheets</t>
        </is>
      </c>
      <c r="E1990" s="12" t="inlineStr">
        <is>
          <t>N</t>
        </is>
      </c>
      <c r="F1990" s="12" t="n">
        <v>26.1</v>
      </c>
      <c r="G1990" s="17" t="n">
        <v>114176.52</v>
      </c>
      <c r="H1990" s="26" t="n">
        <v>45029</v>
      </c>
      <c r="I1990" s="26" t="n">
        <v>45029</v>
      </c>
      <c r="J1990" s="12" t="n">
        <v>25.96</v>
      </c>
      <c r="K1990" s="17" t="n">
        <v>2980007.17</v>
      </c>
      <c r="L1990" s="12" t="n">
        <v>0</v>
      </c>
      <c r="M1990" s="12" t="n">
        <v>0</v>
      </c>
      <c r="N1990" s="27">
        <f>F1990-J1990</f>
        <v/>
      </c>
      <c r="O1990" s="16">
        <f>I1990-H1990</f>
        <v/>
      </c>
      <c r="P1990" s="14">
        <f>F1990*G1990</f>
        <v/>
      </c>
      <c r="Q1990" s="14">
        <f>J1990*G1990</f>
        <v/>
      </c>
      <c r="R1990" s="14">
        <f>K1990-Q1990</f>
        <v/>
      </c>
      <c r="S1990" s="3">
        <f>P1990*Assumptions!$B$3/100</f>
        <v/>
      </c>
      <c r="T1990" s="14">
        <f>R1990-S1990</f>
        <v/>
      </c>
      <c r="U1990" s="14">
        <f>L1990*G1990</f>
        <v/>
      </c>
    </row>
    <row r="1991">
      <c r="A1991" s="12" t="inlineStr">
        <is>
          <t>PO-2022-1989</t>
        </is>
      </c>
      <c r="B1991" s="26" t="n">
        <v>45270</v>
      </c>
      <c r="C1991" s="12" t="inlineStr">
        <is>
          <t>VS13</t>
        </is>
      </c>
      <c r="D1991" s="12" t="inlineStr">
        <is>
          <t>Square/Rect Tubes</t>
        </is>
      </c>
      <c r="E1991" s="12" t="inlineStr">
        <is>
          <t>N</t>
        </is>
      </c>
      <c r="F1991" s="12" t="n">
        <v>7.36</v>
      </c>
      <c r="G1991" s="17" t="n">
        <v>69986.03</v>
      </c>
      <c r="H1991" s="26" t="n">
        <v>45273</v>
      </c>
      <c r="I1991" s="26" t="n">
        <v>45274</v>
      </c>
      <c r="J1991" s="12" t="n">
        <v>7.35</v>
      </c>
      <c r="K1991" s="17" t="n">
        <v>515097.18</v>
      </c>
      <c r="L1991" s="12" t="n">
        <v>0</v>
      </c>
      <c r="M1991" s="12" t="n">
        <v>0</v>
      </c>
      <c r="N1991" s="27">
        <f>F1991-J1991</f>
        <v/>
      </c>
      <c r="O1991" s="16">
        <f>I1991-H1991</f>
        <v/>
      </c>
      <c r="P1991" s="14">
        <f>F1991*G1991</f>
        <v/>
      </c>
      <c r="Q1991" s="14">
        <f>J1991*G1991</f>
        <v/>
      </c>
      <c r="R1991" s="14">
        <f>K1991-Q1991</f>
        <v/>
      </c>
      <c r="S1991" s="3">
        <f>P1991*Assumptions!$B$3/100</f>
        <v/>
      </c>
      <c r="T1991" s="14">
        <f>R1991-S1991</f>
        <v/>
      </c>
      <c r="U1991" s="14">
        <f>L1991*G1991</f>
        <v/>
      </c>
    </row>
    <row r="1992">
      <c r="A1992" s="12" t="inlineStr">
        <is>
          <t>PO-2022-1990</t>
        </is>
      </c>
      <c r="B1992" s="26" t="n">
        <v>44382</v>
      </c>
      <c r="C1992" s="12" t="inlineStr">
        <is>
          <t>VS20</t>
        </is>
      </c>
      <c r="D1992" s="12" t="inlineStr">
        <is>
          <t>Square/Rect Tubes</t>
        </is>
      </c>
      <c r="E1992" s="12" t="inlineStr">
        <is>
          <t>N</t>
        </is>
      </c>
      <c r="F1992" s="12" t="n">
        <v>40.27</v>
      </c>
      <c r="G1992" s="17" t="n">
        <v>79403.50999999999</v>
      </c>
      <c r="H1992" s="26" t="n">
        <v>44387</v>
      </c>
      <c r="I1992" s="26" t="n">
        <v>44388</v>
      </c>
      <c r="J1992" s="12" t="n">
        <v>39.9</v>
      </c>
      <c r="K1992" s="17" t="n">
        <v>3197579.35</v>
      </c>
      <c r="L1992" s="12" t="n">
        <v>0</v>
      </c>
      <c r="M1992" s="12" t="n">
        <v>0</v>
      </c>
      <c r="N1992" s="27">
        <f>F1992-J1992</f>
        <v/>
      </c>
      <c r="O1992" s="16">
        <f>I1992-H1992</f>
        <v/>
      </c>
      <c r="P1992" s="14">
        <f>F1992*G1992</f>
        <v/>
      </c>
      <c r="Q1992" s="14">
        <f>J1992*G1992</f>
        <v/>
      </c>
      <c r="R1992" s="14">
        <f>K1992-Q1992</f>
        <v/>
      </c>
      <c r="S1992" s="3">
        <f>P1992*Assumptions!$B$3/100</f>
        <v/>
      </c>
      <c r="T1992" s="14">
        <f>R1992-S1992</f>
        <v/>
      </c>
      <c r="U1992" s="14">
        <f>L1992*G1992</f>
        <v/>
      </c>
    </row>
    <row r="1993">
      <c r="A1993" s="12" t="inlineStr">
        <is>
          <t>PO-2022-1991</t>
        </is>
      </c>
      <c r="B1993" s="26" t="n">
        <v>45140</v>
      </c>
      <c r="C1993" s="12" t="inlineStr">
        <is>
          <t>VS01</t>
        </is>
      </c>
      <c r="D1993" s="12" t="inlineStr">
        <is>
          <t>Square/Rect Tubes</t>
        </is>
      </c>
      <c r="E1993" s="12" t="inlineStr">
        <is>
          <t>N</t>
        </is>
      </c>
      <c r="F1993" s="12" t="n">
        <v>10.82</v>
      </c>
      <c r="G1993" s="17" t="n">
        <v>57905.13</v>
      </c>
      <c r="H1993" s="26" t="n">
        <v>45147</v>
      </c>
      <c r="I1993" s="26" t="n">
        <v>45150</v>
      </c>
      <c r="J1993" s="12" t="n">
        <v>10.77</v>
      </c>
      <c r="K1993" s="17" t="n">
        <v>626533.51</v>
      </c>
      <c r="L1993" s="12" t="n">
        <v>0</v>
      </c>
      <c r="M1993" s="12" t="n">
        <v>0</v>
      </c>
      <c r="N1993" s="27">
        <f>F1993-J1993</f>
        <v/>
      </c>
      <c r="O1993" s="16">
        <f>I1993-H1993</f>
        <v/>
      </c>
      <c r="P1993" s="14">
        <f>F1993*G1993</f>
        <v/>
      </c>
      <c r="Q1993" s="14">
        <f>J1993*G1993</f>
        <v/>
      </c>
      <c r="R1993" s="14">
        <f>K1993-Q1993</f>
        <v/>
      </c>
      <c r="S1993" s="3">
        <f>P1993*Assumptions!$B$3/100</f>
        <v/>
      </c>
      <c r="T1993" s="14">
        <f>R1993-S1993</f>
        <v/>
      </c>
      <c r="U1993" s="14">
        <f>L1993*G1993</f>
        <v/>
      </c>
    </row>
    <row r="1994">
      <c r="A1994" s="12" t="inlineStr">
        <is>
          <t>PO-2022-1992</t>
        </is>
      </c>
      <c r="B1994" s="26" t="n">
        <v>44361</v>
      </c>
      <c r="C1994" s="12" t="inlineStr">
        <is>
          <t>VS12</t>
        </is>
      </c>
      <c r="D1994" s="12" t="inlineStr">
        <is>
          <t>HR Coils</t>
        </is>
      </c>
      <c r="E1994" s="12" t="inlineStr">
        <is>
          <t>Y</t>
        </is>
      </c>
      <c r="F1994" s="12" t="n">
        <v>43.03</v>
      </c>
      <c r="G1994" s="17" t="n">
        <v>80850.81</v>
      </c>
      <c r="H1994" s="26" t="n">
        <v>44375</v>
      </c>
      <c r="I1994" s="26" t="n">
        <v>44383</v>
      </c>
      <c r="J1994" s="12" t="n">
        <v>41.19</v>
      </c>
      <c r="K1994" s="17" t="n">
        <v>3479010.35</v>
      </c>
      <c r="L1994" s="12" t="n">
        <v>1.34</v>
      </c>
      <c r="M1994" s="12" t="n">
        <v>3</v>
      </c>
      <c r="N1994" s="27">
        <f>F1994-J1994</f>
        <v/>
      </c>
      <c r="O1994" s="16">
        <f>I1994-H1994</f>
        <v/>
      </c>
      <c r="P1994" s="14">
        <f>F1994*G1994</f>
        <v/>
      </c>
      <c r="Q1994" s="14">
        <f>J1994*G1994</f>
        <v/>
      </c>
      <c r="R1994" s="14">
        <f>K1994-Q1994</f>
        <v/>
      </c>
      <c r="S1994" s="3">
        <f>P1994*Assumptions!$B$3/100</f>
        <v/>
      </c>
      <c r="T1994" s="14">
        <f>R1994-S1994</f>
        <v/>
      </c>
      <c r="U1994" s="14">
        <f>L1994*G1994</f>
        <v/>
      </c>
    </row>
    <row r="1995">
      <c r="A1995" s="12" t="inlineStr">
        <is>
          <t>PO-2022-1993</t>
        </is>
      </c>
      <c r="B1995" s="26" t="n">
        <v>44698</v>
      </c>
      <c r="C1995" s="12" t="inlineStr">
        <is>
          <t>VS10</t>
        </is>
      </c>
      <c r="D1995" s="12" t="inlineStr">
        <is>
          <t>Spring Steel</t>
        </is>
      </c>
      <c r="E1995" s="12" t="inlineStr">
        <is>
          <t>N</t>
        </is>
      </c>
      <c r="F1995" s="12" t="n">
        <v>42.44</v>
      </c>
      <c r="G1995" s="17" t="n">
        <v>73069.34</v>
      </c>
      <c r="H1995" s="26" t="n">
        <v>44708</v>
      </c>
      <c r="I1995" s="26" t="n">
        <v>44711</v>
      </c>
      <c r="J1995" s="12" t="n">
        <v>42.17</v>
      </c>
      <c r="K1995" s="17" t="n">
        <v>3101062.79</v>
      </c>
      <c r="L1995" s="12" t="n">
        <v>0</v>
      </c>
      <c r="M1995" s="12" t="n">
        <v>5</v>
      </c>
      <c r="N1995" s="27">
        <f>F1995-J1995</f>
        <v/>
      </c>
      <c r="O1995" s="16">
        <f>I1995-H1995</f>
        <v/>
      </c>
      <c r="P1995" s="14">
        <f>F1995*G1995</f>
        <v/>
      </c>
      <c r="Q1995" s="14">
        <f>J1995*G1995</f>
        <v/>
      </c>
      <c r="R1995" s="14">
        <f>K1995-Q1995</f>
        <v/>
      </c>
      <c r="S1995" s="3">
        <f>P1995*Assumptions!$B$3/100</f>
        <v/>
      </c>
      <c r="T1995" s="14">
        <f>R1995-S1995</f>
        <v/>
      </c>
      <c r="U1995" s="14">
        <f>L1995*G1995</f>
        <v/>
      </c>
    </row>
    <row r="1996">
      <c r="A1996" s="12" t="inlineStr">
        <is>
          <t>PO-2022-1994</t>
        </is>
      </c>
      <c r="B1996" s="26" t="n">
        <v>44523</v>
      </c>
      <c r="C1996" s="12" t="inlineStr">
        <is>
          <t>VS23</t>
        </is>
      </c>
      <c r="D1996" s="12" t="inlineStr">
        <is>
          <t>ERW Pipes</t>
        </is>
      </c>
      <c r="E1996" s="12" t="inlineStr">
        <is>
          <t>N</t>
        </is>
      </c>
      <c r="F1996" s="12" t="n">
        <v>24.07</v>
      </c>
      <c r="G1996" s="17" t="n">
        <v>96508.98</v>
      </c>
      <c r="H1996" s="26" t="n">
        <v>44537</v>
      </c>
      <c r="I1996" s="26" t="n">
        <v>44537</v>
      </c>
      <c r="J1996" s="12" t="n">
        <v>23.91</v>
      </c>
      <c r="K1996" s="17" t="n">
        <v>2322971.15</v>
      </c>
      <c r="L1996" s="12" t="n">
        <v>0</v>
      </c>
      <c r="M1996" s="12" t="n">
        <v>0</v>
      </c>
      <c r="N1996" s="27">
        <f>F1996-J1996</f>
        <v/>
      </c>
      <c r="O1996" s="16">
        <f>I1996-H1996</f>
        <v/>
      </c>
      <c r="P1996" s="14">
        <f>F1996*G1996</f>
        <v/>
      </c>
      <c r="Q1996" s="14">
        <f>J1996*G1996</f>
        <v/>
      </c>
      <c r="R1996" s="14">
        <f>K1996-Q1996</f>
        <v/>
      </c>
      <c r="S1996" s="3">
        <f>P1996*Assumptions!$B$3/100</f>
        <v/>
      </c>
      <c r="T1996" s="14">
        <f>R1996-S1996</f>
        <v/>
      </c>
      <c r="U1996" s="14">
        <f>L1996*G1996</f>
        <v/>
      </c>
    </row>
    <row r="1997">
      <c r="A1997" s="12" t="inlineStr">
        <is>
          <t>PO-2022-1995</t>
        </is>
      </c>
      <c r="B1997" s="26" t="n">
        <v>44632</v>
      </c>
      <c r="C1997" s="12" t="inlineStr">
        <is>
          <t>VS31</t>
        </is>
      </c>
      <c r="D1997" s="12" t="inlineStr">
        <is>
          <t>MS Rods</t>
        </is>
      </c>
      <c r="E1997" s="12" t="inlineStr">
        <is>
          <t>N</t>
        </is>
      </c>
      <c r="F1997" s="12" t="n">
        <v>41.74</v>
      </c>
      <c r="G1997" s="17" t="n">
        <v>97966.81</v>
      </c>
      <c r="H1997" s="26" t="n">
        <v>44647</v>
      </c>
      <c r="I1997" s="26" t="n">
        <v>44650</v>
      </c>
      <c r="J1997" s="12" t="n">
        <v>41.63</v>
      </c>
      <c r="K1997" s="17" t="n">
        <v>4089134.65</v>
      </c>
      <c r="L1997" s="12" t="n">
        <v>0</v>
      </c>
      <c r="M1997" s="12" t="n">
        <v>14</v>
      </c>
      <c r="N1997" s="27">
        <f>F1997-J1997</f>
        <v/>
      </c>
      <c r="O1997" s="16">
        <f>I1997-H1997</f>
        <v/>
      </c>
      <c r="P1997" s="14">
        <f>F1997*G1997</f>
        <v/>
      </c>
      <c r="Q1997" s="14">
        <f>J1997*G1997</f>
        <v/>
      </c>
      <c r="R1997" s="14">
        <f>K1997-Q1997</f>
        <v/>
      </c>
      <c r="S1997" s="3">
        <f>P1997*Assumptions!$B$3/100</f>
        <v/>
      </c>
      <c r="T1997" s="14">
        <f>R1997-S1997</f>
        <v/>
      </c>
      <c r="U1997" s="14">
        <f>L1997*G1997</f>
        <v/>
      </c>
    </row>
    <row r="1998">
      <c r="A1998" s="12" t="inlineStr">
        <is>
          <t>PO-2022-1996</t>
        </is>
      </c>
      <c r="B1998" s="26" t="n">
        <v>44393</v>
      </c>
      <c r="C1998" s="12" t="inlineStr">
        <is>
          <t>VS25</t>
        </is>
      </c>
      <c r="D1998" s="12" t="inlineStr">
        <is>
          <t>Square/Rect Tubes</t>
        </is>
      </c>
      <c r="E1998" s="12" t="inlineStr">
        <is>
          <t>N</t>
        </is>
      </c>
      <c r="F1998" s="12" t="n">
        <v>16.6</v>
      </c>
      <c r="G1998" s="17" t="n">
        <v>115144.68</v>
      </c>
      <c r="H1998" s="26" t="n">
        <v>44402</v>
      </c>
      <c r="I1998" s="26" t="n">
        <v>44402</v>
      </c>
      <c r="J1998" s="12" t="n">
        <v>16.51</v>
      </c>
      <c r="K1998" s="17" t="n">
        <v>1911401.69</v>
      </c>
      <c r="L1998" s="12" t="n">
        <v>0</v>
      </c>
      <c r="M1998" s="12" t="n">
        <v>0</v>
      </c>
      <c r="N1998" s="27">
        <f>F1998-J1998</f>
        <v/>
      </c>
      <c r="O1998" s="16">
        <f>I1998-H1998</f>
        <v/>
      </c>
      <c r="P1998" s="14">
        <f>F1998*G1998</f>
        <v/>
      </c>
      <c r="Q1998" s="14">
        <f>J1998*G1998</f>
        <v/>
      </c>
      <c r="R1998" s="14">
        <f>K1998-Q1998</f>
        <v/>
      </c>
      <c r="S1998" s="3">
        <f>P1998*Assumptions!$B$3/100</f>
        <v/>
      </c>
      <c r="T1998" s="14">
        <f>R1998-S1998</f>
        <v/>
      </c>
      <c r="U1998" s="14">
        <f>L1998*G1998</f>
        <v/>
      </c>
    </row>
    <row r="1999">
      <c r="A1999" s="12" t="inlineStr">
        <is>
          <t>PO-2022-1997</t>
        </is>
      </c>
      <c r="B1999" s="26" t="n">
        <v>44866</v>
      </c>
      <c r="C1999" s="12" t="inlineStr">
        <is>
          <t>VS19</t>
        </is>
      </c>
      <c r="D1999" s="12" t="inlineStr">
        <is>
          <t>GI Wire</t>
        </is>
      </c>
      <c r="E1999" s="12" t="inlineStr">
        <is>
          <t>N</t>
        </is>
      </c>
      <c r="F1999" s="12" t="n">
        <v>30.25</v>
      </c>
      <c r="G1999" s="17" t="n">
        <v>88460.98</v>
      </c>
      <c r="H1999" s="26" t="n">
        <v>44874</v>
      </c>
      <c r="I1999" s="26" t="n">
        <v>44877</v>
      </c>
      <c r="J1999" s="12" t="n">
        <v>29.34</v>
      </c>
      <c r="K1999" s="17" t="n">
        <v>2675944.65</v>
      </c>
      <c r="L1999" s="12" t="n">
        <v>0.31</v>
      </c>
      <c r="M1999" s="12" t="n">
        <v>2</v>
      </c>
      <c r="N1999" s="27">
        <f>F1999-J1999</f>
        <v/>
      </c>
      <c r="O1999" s="16">
        <f>I1999-H1999</f>
        <v/>
      </c>
      <c r="P1999" s="14">
        <f>F1999*G1999</f>
        <v/>
      </c>
      <c r="Q1999" s="14">
        <f>J1999*G1999</f>
        <v/>
      </c>
      <c r="R1999" s="14">
        <f>K1999-Q1999</f>
        <v/>
      </c>
      <c r="S1999" s="3">
        <f>P1999*Assumptions!$B$3/100</f>
        <v/>
      </c>
      <c r="T1999" s="14">
        <f>R1999-S1999</f>
        <v/>
      </c>
      <c r="U1999" s="14">
        <f>L1999*G1999</f>
        <v/>
      </c>
    </row>
    <row r="2000">
      <c r="A2000" s="12" t="inlineStr">
        <is>
          <t>PO-2022-1998</t>
        </is>
      </c>
      <c r="B2000" s="26" t="n">
        <v>45197</v>
      </c>
      <c r="C2000" s="12" t="inlineStr">
        <is>
          <t>VS02</t>
        </is>
      </c>
      <c r="D2000" s="12" t="inlineStr">
        <is>
          <t>HR Coils</t>
        </is>
      </c>
      <c r="E2000" s="12" t="inlineStr">
        <is>
          <t>N</t>
        </is>
      </c>
      <c r="F2000" s="12" t="n">
        <v>44.39</v>
      </c>
      <c r="G2000" s="17" t="n">
        <v>58362</v>
      </c>
      <c r="H2000" s="26" t="n">
        <v>45203</v>
      </c>
      <c r="I2000" s="26" t="n">
        <v>45205</v>
      </c>
      <c r="J2000" s="12" t="n">
        <v>44.04</v>
      </c>
      <c r="K2000" s="17" t="n">
        <v>2590689.18</v>
      </c>
      <c r="L2000" s="12" t="n">
        <v>0</v>
      </c>
      <c r="M2000" s="12" t="n">
        <v>17</v>
      </c>
      <c r="N2000" s="27">
        <f>F2000-J2000</f>
        <v/>
      </c>
      <c r="O2000" s="16">
        <f>I2000-H2000</f>
        <v/>
      </c>
      <c r="P2000" s="14">
        <f>F2000*G2000</f>
        <v/>
      </c>
      <c r="Q2000" s="14">
        <f>J2000*G2000</f>
        <v/>
      </c>
      <c r="R2000" s="14">
        <f>K2000-Q2000</f>
        <v/>
      </c>
      <c r="S2000" s="3">
        <f>P2000*Assumptions!$B$3/100</f>
        <v/>
      </c>
      <c r="T2000" s="14">
        <f>R2000-S2000</f>
        <v/>
      </c>
      <c r="U2000" s="14">
        <f>L2000*G2000</f>
        <v/>
      </c>
    </row>
    <row r="2001">
      <c r="A2001" s="12" t="inlineStr">
        <is>
          <t>PO-2022-1999</t>
        </is>
      </c>
      <c r="B2001" s="26" t="n">
        <v>44952</v>
      </c>
      <c r="C2001" s="12" t="inlineStr">
        <is>
          <t>VS24</t>
        </is>
      </c>
      <c r="D2001" s="12" t="inlineStr">
        <is>
          <t>MS Flats</t>
        </is>
      </c>
      <c r="E2001" s="12" t="inlineStr">
        <is>
          <t>N</t>
        </is>
      </c>
      <c r="F2001" s="12" t="n">
        <v>25.57</v>
      </c>
      <c r="G2001" s="17" t="n">
        <v>45119.37</v>
      </c>
      <c r="H2001" s="26" t="n">
        <v>44964</v>
      </c>
      <c r="I2001" s="26" t="n">
        <v>44964</v>
      </c>
      <c r="J2001" s="12" t="n">
        <v>25.33</v>
      </c>
      <c r="K2001" s="17" t="n">
        <v>1153702.29</v>
      </c>
      <c r="L2001" s="12" t="n">
        <v>0</v>
      </c>
      <c r="M2001" s="12" t="n">
        <v>17</v>
      </c>
      <c r="N2001" s="27">
        <f>F2001-J2001</f>
        <v/>
      </c>
      <c r="O2001" s="16">
        <f>I2001-H2001</f>
        <v/>
      </c>
      <c r="P2001" s="14">
        <f>F2001*G2001</f>
        <v/>
      </c>
      <c r="Q2001" s="14">
        <f>J2001*G2001</f>
        <v/>
      </c>
      <c r="R2001" s="14">
        <f>K2001-Q2001</f>
        <v/>
      </c>
      <c r="S2001" s="3">
        <f>P2001*Assumptions!$B$3/100</f>
        <v/>
      </c>
      <c r="T2001" s="14">
        <f>R2001-S2001</f>
        <v/>
      </c>
      <c r="U2001" s="14">
        <f>L2001*G2001</f>
        <v/>
      </c>
    </row>
    <row r="2002">
      <c r="A2002" s="12" t="inlineStr">
        <is>
          <t>PO-2022-2000</t>
        </is>
      </c>
      <c r="B2002" s="26" t="n">
        <v>45012</v>
      </c>
      <c r="C2002" s="12" t="inlineStr">
        <is>
          <t>VS05</t>
        </is>
      </c>
      <c r="D2002" s="12" t="inlineStr">
        <is>
          <t>HR Coils</t>
        </is>
      </c>
      <c r="E2002" s="12" t="inlineStr">
        <is>
          <t>N</t>
        </is>
      </c>
      <c r="F2002" s="12" t="n">
        <v>7.77</v>
      </c>
      <c r="G2002" s="17" t="n">
        <v>59097.79</v>
      </c>
      <c r="H2002" s="26" t="n">
        <v>45018</v>
      </c>
      <c r="I2002" s="26" t="n">
        <v>45021</v>
      </c>
      <c r="J2002" s="12" t="n">
        <v>7.72</v>
      </c>
      <c r="K2002" s="17" t="n">
        <v>459189.83</v>
      </c>
      <c r="L2002" s="12" t="n">
        <v>0</v>
      </c>
      <c r="M2002" s="12" t="n">
        <v>0</v>
      </c>
      <c r="N2002" s="27">
        <f>F2002-J2002</f>
        <v/>
      </c>
      <c r="O2002" s="16">
        <f>I2002-H2002</f>
        <v/>
      </c>
      <c r="P2002" s="14">
        <f>F2002*G2002</f>
        <v/>
      </c>
      <c r="Q2002" s="14">
        <f>J2002*G2002</f>
        <v/>
      </c>
      <c r="R2002" s="14">
        <f>K2002-Q2002</f>
        <v/>
      </c>
      <c r="S2002" s="3">
        <f>P2002*Assumptions!$B$3/100</f>
        <v/>
      </c>
      <c r="T2002" s="14">
        <f>R2002-S2002</f>
        <v/>
      </c>
      <c r="U2002" s="14">
        <f>L2002*G2002</f>
        <v/>
      </c>
    </row>
    <row r="2003">
      <c r="A2003" s="12" t="inlineStr">
        <is>
          <t>PO-2022-2001</t>
        </is>
      </c>
      <c r="B2003" s="26" t="n">
        <v>44815</v>
      </c>
      <c r="C2003" s="12" t="inlineStr">
        <is>
          <t>VS28</t>
        </is>
      </c>
      <c r="D2003" s="12" t="inlineStr">
        <is>
          <t>SS Pipes</t>
        </is>
      </c>
      <c r="E2003" s="12" t="inlineStr">
        <is>
          <t>Y</t>
        </is>
      </c>
      <c r="F2003" s="12" t="n">
        <v>17.64</v>
      </c>
      <c r="G2003" s="17" t="n">
        <v>94053.37</v>
      </c>
      <c r="H2003" s="26" t="n">
        <v>44824</v>
      </c>
      <c r="I2003" s="26" t="n">
        <v>44825</v>
      </c>
      <c r="J2003" s="12" t="n">
        <v>17.62</v>
      </c>
      <c r="K2003" s="17" t="n">
        <v>1659101.45</v>
      </c>
      <c r="L2003" s="12" t="n">
        <v>0</v>
      </c>
      <c r="M2003" s="12" t="n">
        <v>0</v>
      </c>
      <c r="N2003" s="27">
        <f>F2003-J2003</f>
        <v/>
      </c>
      <c r="O2003" s="16">
        <f>I2003-H2003</f>
        <v/>
      </c>
      <c r="P2003" s="14">
        <f>F2003*G2003</f>
        <v/>
      </c>
      <c r="Q2003" s="14">
        <f>J2003*G2003</f>
        <v/>
      </c>
      <c r="R2003" s="14">
        <f>K2003-Q2003</f>
        <v/>
      </c>
      <c r="S2003" s="3">
        <f>P2003*Assumptions!$B$3/100</f>
        <v/>
      </c>
      <c r="T2003" s="14">
        <f>R2003-S2003</f>
        <v/>
      </c>
      <c r="U2003" s="14">
        <f>L2003*G2003</f>
        <v/>
      </c>
    </row>
    <row r="2004">
      <c r="A2004" s="12" t="inlineStr">
        <is>
          <t>PO-2022-2002</t>
        </is>
      </c>
      <c r="B2004" s="26" t="n">
        <v>44505</v>
      </c>
      <c r="C2004" s="12" t="inlineStr">
        <is>
          <t>VS19</t>
        </is>
      </c>
      <c r="D2004" s="12" t="inlineStr">
        <is>
          <t>SS Sheets</t>
        </is>
      </c>
      <c r="E2004" s="12" t="inlineStr">
        <is>
          <t>N</t>
        </is>
      </c>
      <c r="F2004" s="12" t="n">
        <v>19.95</v>
      </c>
      <c r="G2004" s="17" t="n">
        <v>110859.45</v>
      </c>
      <c r="H2004" s="26" t="n">
        <v>44508</v>
      </c>
      <c r="I2004" s="26" t="n">
        <v>44510</v>
      </c>
      <c r="J2004" s="12" t="n">
        <v>19.32</v>
      </c>
      <c r="K2004" s="17" t="n">
        <v>2211646.03</v>
      </c>
      <c r="L2004" s="12" t="n">
        <v>0.5</v>
      </c>
      <c r="M2004" s="12" t="n">
        <v>6</v>
      </c>
      <c r="N2004" s="27">
        <f>F2004-J2004</f>
        <v/>
      </c>
      <c r="O2004" s="16">
        <f>I2004-H2004</f>
        <v/>
      </c>
      <c r="P2004" s="14">
        <f>F2004*G2004</f>
        <v/>
      </c>
      <c r="Q2004" s="14">
        <f>J2004*G2004</f>
        <v/>
      </c>
      <c r="R2004" s="14">
        <f>K2004-Q2004</f>
        <v/>
      </c>
      <c r="S2004" s="3">
        <f>P2004*Assumptions!$B$3/100</f>
        <v/>
      </c>
      <c r="T2004" s="14">
        <f>R2004-S2004</f>
        <v/>
      </c>
      <c r="U2004" s="14">
        <f>L2004*G2004</f>
        <v/>
      </c>
    </row>
    <row r="2005">
      <c r="A2005" s="12" t="inlineStr">
        <is>
          <t>PO-2022-2003</t>
        </is>
      </c>
      <c r="B2005" s="26" t="n">
        <v>44731</v>
      </c>
      <c r="C2005" s="12" t="inlineStr">
        <is>
          <t>VS27</t>
        </is>
      </c>
      <c r="D2005" s="12" t="inlineStr">
        <is>
          <t>MS Sheets</t>
        </is>
      </c>
      <c r="E2005" s="12" t="inlineStr">
        <is>
          <t>N</t>
        </is>
      </c>
      <c r="F2005" s="12" t="n">
        <v>9.01</v>
      </c>
      <c r="G2005" s="17" t="n">
        <v>96175.48</v>
      </c>
      <c r="H2005" s="26" t="n">
        <v>44735</v>
      </c>
      <c r="I2005" s="26" t="n">
        <v>44736</v>
      </c>
      <c r="J2005" s="12" t="n">
        <v>8.949999999999999</v>
      </c>
      <c r="K2005" s="17" t="n">
        <v>866541.0699999999</v>
      </c>
      <c r="L2005" s="12" t="n">
        <v>0</v>
      </c>
      <c r="M2005" s="12" t="n">
        <v>0</v>
      </c>
      <c r="N2005" s="27">
        <f>F2005-J2005</f>
        <v/>
      </c>
      <c r="O2005" s="16">
        <f>I2005-H2005</f>
        <v/>
      </c>
      <c r="P2005" s="14">
        <f>F2005*G2005</f>
        <v/>
      </c>
      <c r="Q2005" s="14">
        <f>J2005*G2005</f>
        <v/>
      </c>
      <c r="R2005" s="14">
        <f>K2005-Q2005</f>
        <v/>
      </c>
      <c r="S2005" s="3">
        <f>P2005*Assumptions!$B$3/100</f>
        <v/>
      </c>
      <c r="T2005" s="14">
        <f>R2005-S2005</f>
        <v/>
      </c>
      <c r="U2005" s="14">
        <f>L2005*G2005</f>
        <v/>
      </c>
    </row>
    <row r="2006">
      <c r="A2006" s="12" t="inlineStr">
        <is>
          <t>PO-2022-2004</t>
        </is>
      </c>
      <c r="B2006" s="26" t="n">
        <v>45149</v>
      </c>
      <c r="C2006" s="12" t="inlineStr">
        <is>
          <t>VS06</t>
        </is>
      </c>
      <c r="D2006" s="12" t="inlineStr">
        <is>
          <t>Angles &amp; Channels</t>
        </is>
      </c>
      <c r="E2006" s="12" t="inlineStr">
        <is>
          <t>N</t>
        </is>
      </c>
      <c r="F2006" s="12" t="n">
        <v>34.62</v>
      </c>
      <c r="G2006" s="17" t="n">
        <v>52605.38</v>
      </c>
      <c r="H2006" s="26" t="n">
        <v>45158</v>
      </c>
      <c r="I2006" s="26" t="n">
        <v>45160</v>
      </c>
      <c r="J2006" s="12" t="n">
        <v>34.43</v>
      </c>
      <c r="K2006" s="17" t="n">
        <v>1821198.26</v>
      </c>
      <c r="L2006" s="12" t="n">
        <v>0</v>
      </c>
      <c r="M2006" s="12" t="n">
        <v>19</v>
      </c>
      <c r="N2006" s="27">
        <f>F2006-J2006</f>
        <v/>
      </c>
      <c r="O2006" s="16">
        <f>I2006-H2006</f>
        <v/>
      </c>
      <c r="P2006" s="14">
        <f>F2006*G2006</f>
        <v/>
      </c>
      <c r="Q2006" s="14">
        <f>J2006*G2006</f>
        <v/>
      </c>
      <c r="R2006" s="14">
        <f>K2006-Q2006</f>
        <v/>
      </c>
      <c r="S2006" s="3">
        <f>P2006*Assumptions!$B$3/100</f>
        <v/>
      </c>
      <c r="T2006" s="14">
        <f>R2006-S2006</f>
        <v/>
      </c>
      <c r="U2006" s="14">
        <f>L2006*G2006</f>
        <v/>
      </c>
    </row>
    <row r="2007">
      <c r="A2007" s="12" t="inlineStr">
        <is>
          <t>PO-2022-2005</t>
        </is>
      </c>
      <c r="B2007" s="26" t="n">
        <v>44222</v>
      </c>
      <c r="C2007" s="12" t="inlineStr">
        <is>
          <t>VS11</t>
        </is>
      </c>
      <c r="D2007" s="12" t="inlineStr">
        <is>
          <t>MS Flats</t>
        </is>
      </c>
      <c r="E2007" s="12" t="inlineStr">
        <is>
          <t>N</t>
        </is>
      </c>
      <c r="F2007" s="12" t="n">
        <v>7.31</v>
      </c>
      <c r="G2007" s="17" t="n">
        <v>83022.78</v>
      </c>
      <c r="H2007" s="26" t="n">
        <v>44235</v>
      </c>
      <c r="I2007" s="26" t="n">
        <v>44238</v>
      </c>
      <c r="J2007" s="12" t="n">
        <v>7.25</v>
      </c>
      <c r="K2007" s="17" t="n">
        <v>606896.52</v>
      </c>
      <c r="L2007" s="12" t="n">
        <v>0</v>
      </c>
      <c r="M2007" s="12" t="n">
        <v>0</v>
      </c>
      <c r="N2007" s="27">
        <f>F2007-J2007</f>
        <v/>
      </c>
      <c r="O2007" s="16">
        <f>I2007-H2007</f>
        <v/>
      </c>
      <c r="P2007" s="14">
        <f>F2007*G2007</f>
        <v/>
      </c>
      <c r="Q2007" s="14">
        <f>J2007*G2007</f>
        <v/>
      </c>
      <c r="R2007" s="14">
        <f>K2007-Q2007</f>
        <v/>
      </c>
      <c r="S2007" s="3">
        <f>P2007*Assumptions!$B$3/100</f>
        <v/>
      </c>
      <c r="T2007" s="14">
        <f>R2007-S2007</f>
        <v/>
      </c>
      <c r="U2007" s="14">
        <f>L2007*G2007</f>
        <v/>
      </c>
    </row>
    <row r="2008">
      <c r="A2008" s="12" t="inlineStr">
        <is>
          <t>PO-2022-2006</t>
        </is>
      </c>
      <c r="B2008" s="26" t="n">
        <v>45128</v>
      </c>
      <c r="C2008" s="12" t="inlineStr">
        <is>
          <t>VS01</t>
        </is>
      </c>
      <c r="D2008" s="12" t="inlineStr">
        <is>
          <t>Structural Steel</t>
        </is>
      </c>
      <c r="E2008" s="12" t="inlineStr">
        <is>
          <t>N</t>
        </is>
      </c>
      <c r="F2008" s="12" t="n">
        <v>33.04</v>
      </c>
      <c r="G2008" s="17" t="n">
        <v>95264.62</v>
      </c>
      <c r="H2008" s="26" t="n">
        <v>45137</v>
      </c>
      <c r="I2008" s="26" t="n">
        <v>45139</v>
      </c>
      <c r="J2008" s="12" t="n">
        <v>32.77</v>
      </c>
      <c r="K2008" s="17" t="n">
        <v>3147543.04</v>
      </c>
      <c r="L2008" s="12" t="n">
        <v>0</v>
      </c>
      <c r="M2008" s="12" t="n">
        <v>13</v>
      </c>
      <c r="N2008" s="27">
        <f>F2008-J2008</f>
        <v/>
      </c>
      <c r="O2008" s="16">
        <f>I2008-H2008</f>
        <v/>
      </c>
      <c r="P2008" s="14">
        <f>F2008*G2008</f>
        <v/>
      </c>
      <c r="Q2008" s="14">
        <f>J2008*G2008</f>
        <v/>
      </c>
      <c r="R2008" s="14">
        <f>K2008-Q2008</f>
        <v/>
      </c>
      <c r="S2008" s="3">
        <f>P2008*Assumptions!$B$3/100</f>
        <v/>
      </c>
      <c r="T2008" s="14">
        <f>R2008-S2008</f>
        <v/>
      </c>
      <c r="U2008" s="14">
        <f>L2008*G2008</f>
        <v/>
      </c>
    </row>
    <row r="2009">
      <c r="A2009" s="12" t="inlineStr">
        <is>
          <t>PO-2022-2007</t>
        </is>
      </c>
      <c r="B2009" s="26" t="n">
        <v>44308</v>
      </c>
      <c r="C2009" s="12" t="inlineStr">
        <is>
          <t>VS20</t>
        </is>
      </c>
      <c r="D2009" s="12" t="inlineStr">
        <is>
          <t>GI Wire</t>
        </is>
      </c>
      <c r="E2009" s="12" t="inlineStr">
        <is>
          <t>N</t>
        </is>
      </c>
      <c r="F2009" s="12" t="n">
        <v>13.67</v>
      </c>
      <c r="G2009" s="17" t="n">
        <v>92558.78999999999</v>
      </c>
      <c r="H2009" s="26" t="n">
        <v>44320</v>
      </c>
      <c r="I2009" s="26" t="n">
        <v>44320</v>
      </c>
      <c r="J2009" s="12" t="n">
        <v>13.59</v>
      </c>
      <c r="K2009" s="17" t="n">
        <v>1265278.66</v>
      </c>
      <c r="L2009" s="12" t="n">
        <v>0</v>
      </c>
      <c r="M2009" s="12" t="n">
        <v>0</v>
      </c>
      <c r="N2009" s="27">
        <f>F2009-J2009</f>
        <v/>
      </c>
      <c r="O2009" s="16">
        <f>I2009-H2009</f>
        <v/>
      </c>
      <c r="P2009" s="14">
        <f>F2009*G2009</f>
        <v/>
      </c>
      <c r="Q2009" s="14">
        <f>J2009*G2009</f>
        <v/>
      </c>
      <c r="R2009" s="14">
        <f>K2009-Q2009</f>
        <v/>
      </c>
      <c r="S2009" s="3">
        <f>P2009*Assumptions!$B$3/100</f>
        <v/>
      </c>
      <c r="T2009" s="14">
        <f>R2009-S2009</f>
        <v/>
      </c>
      <c r="U2009" s="14">
        <f>L2009*G2009</f>
        <v/>
      </c>
    </row>
    <row r="2010">
      <c r="A2010" s="12" t="inlineStr">
        <is>
          <t>PO-2022-2008</t>
        </is>
      </c>
      <c r="B2010" s="26" t="n">
        <v>45119</v>
      </c>
      <c r="C2010" s="12" t="inlineStr">
        <is>
          <t>VS33</t>
        </is>
      </c>
      <c r="D2010" s="12" t="inlineStr">
        <is>
          <t>Angles &amp; Channels</t>
        </is>
      </c>
      <c r="E2010" s="12" t="inlineStr">
        <is>
          <t>N</t>
        </is>
      </c>
      <c r="F2010" s="12" t="n">
        <v>39.27</v>
      </c>
      <c r="G2010" s="17" t="n">
        <v>98401.75999999999</v>
      </c>
      <c r="H2010" s="26" t="n">
        <v>45130</v>
      </c>
      <c r="I2010" s="26" t="n">
        <v>45133</v>
      </c>
      <c r="J2010" s="12" t="n">
        <v>39.26</v>
      </c>
      <c r="K2010" s="17" t="n">
        <v>3864237.12</v>
      </c>
      <c r="L2010" s="12" t="n">
        <v>0</v>
      </c>
      <c r="M2010" s="12" t="n">
        <v>13</v>
      </c>
      <c r="N2010" s="27">
        <f>F2010-J2010</f>
        <v/>
      </c>
      <c r="O2010" s="16">
        <f>I2010-H2010</f>
        <v/>
      </c>
      <c r="P2010" s="14">
        <f>F2010*G2010</f>
        <v/>
      </c>
      <c r="Q2010" s="14">
        <f>J2010*G2010</f>
        <v/>
      </c>
      <c r="R2010" s="14">
        <f>K2010-Q2010</f>
        <v/>
      </c>
      <c r="S2010" s="3">
        <f>P2010*Assumptions!$B$3/100</f>
        <v/>
      </c>
      <c r="T2010" s="14">
        <f>R2010-S2010</f>
        <v/>
      </c>
      <c r="U2010" s="14">
        <f>L2010*G2010</f>
        <v/>
      </c>
    </row>
    <row r="2011">
      <c r="A2011" s="12" t="inlineStr">
        <is>
          <t>PO-2022-2009</t>
        </is>
      </c>
      <c r="B2011" s="26" t="n">
        <v>44944</v>
      </c>
      <c r="C2011" s="12" t="inlineStr">
        <is>
          <t>VS08</t>
        </is>
      </c>
      <c r="D2011" s="12" t="inlineStr">
        <is>
          <t>MS Sheets</t>
        </is>
      </c>
      <c r="E2011" s="12" t="inlineStr">
        <is>
          <t>N</t>
        </is>
      </c>
      <c r="F2011" s="12" t="n">
        <v>49.06</v>
      </c>
      <c r="G2011" s="17" t="n">
        <v>84878.37</v>
      </c>
      <c r="H2011" s="26" t="n">
        <v>44953</v>
      </c>
      <c r="I2011" s="26" t="n">
        <v>44955</v>
      </c>
      <c r="J2011" s="12" t="n">
        <v>48.73</v>
      </c>
      <c r="K2011" s="17" t="n">
        <v>4164132.83</v>
      </c>
      <c r="L2011" s="12" t="n">
        <v>0</v>
      </c>
      <c r="M2011" s="12" t="n">
        <v>9</v>
      </c>
      <c r="N2011" s="27">
        <f>F2011-J2011</f>
        <v/>
      </c>
      <c r="O2011" s="16">
        <f>I2011-H2011</f>
        <v/>
      </c>
      <c r="P2011" s="14">
        <f>F2011*G2011</f>
        <v/>
      </c>
      <c r="Q2011" s="14">
        <f>J2011*G2011</f>
        <v/>
      </c>
      <c r="R2011" s="14">
        <f>K2011-Q2011</f>
        <v/>
      </c>
      <c r="S2011" s="3">
        <f>P2011*Assumptions!$B$3/100</f>
        <v/>
      </c>
      <c r="T2011" s="14">
        <f>R2011-S2011</f>
        <v/>
      </c>
      <c r="U2011" s="14">
        <f>L2011*G2011</f>
        <v/>
      </c>
    </row>
    <row r="2012">
      <c r="A2012" s="12" t="inlineStr">
        <is>
          <t>PO-2022-2010</t>
        </is>
      </c>
      <c r="B2012" s="26" t="n">
        <v>44360</v>
      </c>
      <c r="C2012" s="12" t="inlineStr">
        <is>
          <t>VS10</t>
        </is>
      </c>
      <c r="D2012" s="12" t="inlineStr">
        <is>
          <t>MS Pipes</t>
        </is>
      </c>
      <c r="E2012" s="12" t="inlineStr">
        <is>
          <t>N</t>
        </is>
      </c>
      <c r="F2012" s="12" t="n">
        <v>17.52</v>
      </c>
      <c r="G2012" s="17" t="n">
        <v>115063.28</v>
      </c>
      <c r="H2012" s="26" t="n">
        <v>44372</v>
      </c>
      <c r="I2012" s="26" t="n">
        <v>44374</v>
      </c>
      <c r="J2012" s="12" t="n">
        <v>17.38</v>
      </c>
      <c r="K2012" s="17" t="n">
        <v>2015908.67</v>
      </c>
      <c r="L2012" s="12" t="n">
        <v>0</v>
      </c>
      <c r="M2012" s="12" t="n">
        <v>0</v>
      </c>
      <c r="N2012" s="27">
        <f>F2012-J2012</f>
        <v/>
      </c>
      <c r="O2012" s="16">
        <f>I2012-H2012</f>
        <v/>
      </c>
      <c r="P2012" s="14">
        <f>F2012*G2012</f>
        <v/>
      </c>
      <c r="Q2012" s="14">
        <f>J2012*G2012</f>
        <v/>
      </c>
      <c r="R2012" s="14">
        <f>K2012-Q2012</f>
        <v/>
      </c>
      <c r="S2012" s="3">
        <f>P2012*Assumptions!$B$3/100</f>
        <v/>
      </c>
      <c r="T2012" s="14">
        <f>R2012-S2012</f>
        <v/>
      </c>
      <c r="U2012" s="14">
        <f>L2012*G2012</f>
        <v/>
      </c>
    </row>
    <row r="2013">
      <c r="A2013" s="12" t="inlineStr">
        <is>
          <t>PO-2022-2011</t>
        </is>
      </c>
      <c r="B2013" s="26" t="n">
        <v>44725</v>
      </c>
      <c r="C2013" s="12" t="inlineStr">
        <is>
          <t>VS13</t>
        </is>
      </c>
      <c r="D2013" s="12" t="inlineStr">
        <is>
          <t>Hex Bars</t>
        </is>
      </c>
      <c r="E2013" s="12" t="inlineStr">
        <is>
          <t>N</t>
        </is>
      </c>
      <c r="F2013" s="12" t="n">
        <v>40.83</v>
      </c>
      <c r="G2013" s="17" t="n">
        <v>99572.16</v>
      </c>
      <c r="H2013" s="26" t="n">
        <v>44735</v>
      </c>
      <c r="I2013" s="26" t="n">
        <v>44737</v>
      </c>
      <c r="J2013" s="12" t="n">
        <v>40.53</v>
      </c>
      <c r="K2013" s="17" t="n">
        <v>4065531.29</v>
      </c>
      <c r="L2013" s="12" t="n">
        <v>0</v>
      </c>
      <c r="M2013" s="12" t="n">
        <v>0</v>
      </c>
      <c r="N2013" s="27">
        <f>F2013-J2013</f>
        <v/>
      </c>
      <c r="O2013" s="16">
        <f>I2013-H2013</f>
        <v/>
      </c>
      <c r="P2013" s="14">
        <f>F2013*G2013</f>
        <v/>
      </c>
      <c r="Q2013" s="14">
        <f>J2013*G2013</f>
        <v/>
      </c>
      <c r="R2013" s="14">
        <f>K2013-Q2013</f>
        <v/>
      </c>
      <c r="S2013" s="3">
        <f>P2013*Assumptions!$B$3/100</f>
        <v/>
      </c>
      <c r="T2013" s="14">
        <f>R2013-S2013</f>
        <v/>
      </c>
      <c r="U2013" s="14">
        <f>L2013*G2013</f>
        <v/>
      </c>
    </row>
    <row r="2014">
      <c r="A2014" s="12" t="inlineStr">
        <is>
          <t>PO-2022-2012</t>
        </is>
      </c>
      <c r="B2014" s="26" t="n">
        <v>45087</v>
      </c>
      <c r="C2014" s="12" t="inlineStr">
        <is>
          <t>VS04</t>
        </is>
      </c>
      <c r="D2014" s="12" t="inlineStr">
        <is>
          <t>Fasteners &amp; Fittings</t>
        </is>
      </c>
      <c r="E2014" s="12" t="inlineStr">
        <is>
          <t>N</t>
        </is>
      </c>
      <c r="F2014" s="12" t="n">
        <v>14.8</v>
      </c>
      <c r="G2014" s="17" t="n">
        <v>54116.36</v>
      </c>
      <c r="H2014" s="26" t="n">
        <v>45097</v>
      </c>
      <c r="I2014" s="26" t="n">
        <v>45097</v>
      </c>
      <c r="J2014" s="12" t="n">
        <v>14.77</v>
      </c>
      <c r="K2014" s="17" t="n">
        <v>800922.13</v>
      </c>
      <c r="L2014" s="12" t="n">
        <v>0</v>
      </c>
      <c r="M2014" s="12" t="n">
        <v>7</v>
      </c>
      <c r="N2014" s="27">
        <f>F2014-J2014</f>
        <v/>
      </c>
      <c r="O2014" s="16">
        <f>I2014-H2014</f>
        <v/>
      </c>
      <c r="P2014" s="14">
        <f>F2014*G2014</f>
        <v/>
      </c>
      <c r="Q2014" s="14">
        <f>J2014*G2014</f>
        <v/>
      </c>
      <c r="R2014" s="14">
        <f>K2014-Q2014</f>
        <v/>
      </c>
      <c r="S2014" s="3">
        <f>P2014*Assumptions!$B$3/100</f>
        <v/>
      </c>
      <c r="T2014" s="14">
        <f>R2014-S2014</f>
        <v/>
      </c>
      <c r="U2014" s="14">
        <f>L2014*G2014</f>
        <v/>
      </c>
    </row>
    <row r="2015">
      <c r="A2015" s="12" t="inlineStr">
        <is>
          <t>PO-2022-2013</t>
        </is>
      </c>
      <c r="B2015" s="26" t="n">
        <v>45139</v>
      </c>
      <c r="C2015" s="12" t="inlineStr">
        <is>
          <t>VS24</t>
        </is>
      </c>
      <c r="D2015" s="12" t="inlineStr">
        <is>
          <t>GI Pipes</t>
        </is>
      </c>
      <c r="E2015" s="12" t="inlineStr">
        <is>
          <t>N</t>
        </is>
      </c>
      <c r="F2015" s="12" t="n">
        <v>44.57</v>
      </c>
      <c r="G2015" s="17" t="n">
        <v>96479.07000000001</v>
      </c>
      <c r="H2015" s="26" t="n">
        <v>45146</v>
      </c>
      <c r="I2015" s="26" t="n">
        <v>45146</v>
      </c>
      <c r="J2015" s="12" t="n">
        <v>44.26</v>
      </c>
      <c r="K2015" s="17" t="n">
        <v>4300072.15</v>
      </c>
      <c r="L2015" s="12" t="n">
        <v>0</v>
      </c>
      <c r="M2015" s="12" t="n">
        <v>17</v>
      </c>
      <c r="N2015" s="27">
        <f>F2015-J2015</f>
        <v/>
      </c>
      <c r="O2015" s="16">
        <f>I2015-H2015</f>
        <v/>
      </c>
      <c r="P2015" s="14">
        <f>F2015*G2015</f>
        <v/>
      </c>
      <c r="Q2015" s="14">
        <f>J2015*G2015</f>
        <v/>
      </c>
      <c r="R2015" s="14">
        <f>K2015-Q2015</f>
        <v/>
      </c>
      <c r="S2015" s="3">
        <f>P2015*Assumptions!$B$3/100</f>
        <v/>
      </c>
      <c r="T2015" s="14">
        <f>R2015-S2015</f>
        <v/>
      </c>
      <c r="U2015" s="14">
        <f>L2015*G2015</f>
        <v/>
      </c>
    </row>
    <row r="2016">
      <c r="A2016" s="12" t="inlineStr">
        <is>
          <t>PO-2022-2014</t>
        </is>
      </c>
      <c r="B2016" s="26" t="n">
        <v>45068</v>
      </c>
      <c r="C2016" s="12" t="inlineStr">
        <is>
          <t>VS22</t>
        </is>
      </c>
      <c r="D2016" s="12" t="inlineStr">
        <is>
          <t>SS Sheets</t>
        </is>
      </c>
      <c r="E2016" s="12" t="inlineStr">
        <is>
          <t>N</t>
        </is>
      </c>
      <c r="F2016" s="12" t="n">
        <v>38.57</v>
      </c>
      <c r="G2016" s="17" t="n">
        <v>46764.78</v>
      </c>
      <c r="H2016" s="26" t="n">
        <v>45075</v>
      </c>
      <c r="I2016" s="26" t="n">
        <v>45078</v>
      </c>
      <c r="J2016" s="12" t="n">
        <v>38.28</v>
      </c>
      <c r="K2016" s="17" t="n">
        <v>1803717.56</v>
      </c>
      <c r="L2016" s="12" t="n">
        <v>0</v>
      </c>
      <c r="M2016" s="12" t="n">
        <v>20</v>
      </c>
      <c r="N2016" s="27">
        <f>F2016-J2016</f>
        <v/>
      </c>
      <c r="O2016" s="16">
        <f>I2016-H2016</f>
        <v/>
      </c>
      <c r="P2016" s="14">
        <f>F2016*G2016</f>
        <v/>
      </c>
      <c r="Q2016" s="14">
        <f>J2016*G2016</f>
        <v/>
      </c>
      <c r="R2016" s="14">
        <f>K2016-Q2016</f>
        <v/>
      </c>
      <c r="S2016" s="3">
        <f>P2016*Assumptions!$B$3/100</f>
        <v/>
      </c>
      <c r="T2016" s="14">
        <f>R2016-S2016</f>
        <v/>
      </c>
      <c r="U2016" s="14">
        <f>L2016*G2016</f>
        <v/>
      </c>
    </row>
    <row r="2017">
      <c r="A2017" s="12" t="inlineStr">
        <is>
          <t>PO-2022-2015</t>
        </is>
      </c>
      <c r="B2017" s="26" t="n">
        <v>44563</v>
      </c>
      <c r="C2017" s="12" t="inlineStr">
        <is>
          <t>VS19</t>
        </is>
      </c>
      <c r="D2017" s="12" t="inlineStr">
        <is>
          <t>Angles &amp; Channels</t>
        </is>
      </c>
      <c r="E2017" s="12" t="inlineStr">
        <is>
          <t>N</t>
        </is>
      </c>
      <c r="F2017" s="12" t="n">
        <v>21.44</v>
      </c>
      <c r="G2017" s="17" t="n">
        <v>81648.07000000001</v>
      </c>
      <c r="H2017" s="26" t="n">
        <v>44570</v>
      </c>
      <c r="I2017" s="26" t="n">
        <v>44574</v>
      </c>
      <c r="J2017" s="12" t="n">
        <v>20.91</v>
      </c>
      <c r="K2017" s="17" t="n">
        <v>1750534.62</v>
      </c>
      <c r="L2017" s="12" t="n">
        <v>0.16</v>
      </c>
      <c r="M2017" s="12" t="n">
        <v>0</v>
      </c>
      <c r="N2017" s="27">
        <f>F2017-J2017</f>
        <v/>
      </c>
      <c r="O2017" s="16">
        <f>I2017-H2017</f>
        <v/>
      </c>
      <c r="P2017" s="14">
        <f>F2017*G2017</f>
        <v/>
      </c>
      <c r="Q2017" s="14">
        <f>J2017*G2017</f>
        <v/>
      </c>
      <c r="R2017" s="14">
        <f>K2017-Q2017</f>
        <v/>
      </c>
      <c r="S2017" s="3">
        <f>P2017*Assumptions!$B$3/100</f>
        <v/>
      </c>
      <c r="T2017" s="14">
        <f>R2017-S2017</f>
        <v/>
      </c>
      <c r="U2017" s="14">
        <f>L2017*G2017</f>
        <v/>
      </c>
    </row>
    <row r="2018">
      <c r="A2018" s="12" t="inlineStr">
        <is>
          <t>PO-2022-2016</t>
        </is>
      </c>
      <c r="B2018" s="26" t="n">
        <v>44269</v>
      </c>
      <c r="C2018" s="12" t="inlineStr">
        <is>
          <t>VS08</t>
        </is>
      </c>
      <c r="D2018" s="12" t="inlineStr">
        <is>
          <t>Angles &amp; Channels</t>
        </is>
      </c>
      <c r="E2018" s="12" t="inlineStr">
        <is>
          <t>Y</t>
        </is>
      </c>
      <c r="F2018" s="12" t="n">
        <v>36.86</v>
      </c>
      <c r="G2018" s="17" t="n">
        <v>84845.14</v>
      </c>
      <c r="H2018" s="26" t="n">
        <v>44278</v>
      </c>
      <c r="I2018" s="26" t="n">
        <v>44278</v>
      </c>
      <c r="J2018" s="12" t="n">
        <v>36.81</v>
      </c>
      <c r="K2018" s="17" t="n">
        <v>3127391.86</v>
      </c>
      <c r="L2018" s="12" t="n">
        <v>0</v>
      </c>
      <c r="M2018" s="12" t="n">
        <v>0</v>
      </c>
      <c r="N2018" s="27">
        <f>F2018-J2018</f>
        <v/>
      </c>
      <c r="O2018" s="16">
        <f>I2018-H2018</f>
        <v/>
      </c>
      <c r="P2018" s="14">
        <f>F2018*G2018</f>
        <v/>
      </c>
      <c r="Q2018" s="14">
        <f>J2018*G2018</f>
        <v/>
      </c>
      <c r="R2018" s="14">
        <f>K2018-Q2018</f>
        <v/>
      </c>
      <c r="S2018" s="3">
        <f>P2018*Assumptions!$B$3/100</f>
        <v/>
      </c>
      <c r="T2018" s="14">
        <f>R2018-S2018</f>
        <v/>
      </c>
      <c r="U2018" s="14">
        <f>L2018*G2018</f>
        <v/>
      </c>
    </row>
    <row r="2019">
      <c r="A2019" s="12" t="inlineStr">
        <is>
          <t>PO-2022-2017</t>
        </is>
      </c>
      <c r="B2019" s="26" t="n">
        <v>44706</v>
      </c>
      <c r="C2019" s="12" t="inlineStr">
        <is>
          <t>VS12</t>
        </is>
      </c>
      <c r="D2019" s="12" t="inlineStr">
        <is>
          <t>SS Pipes</t>
        </is>
      </c>
      <c r="E2019" s="12" t="inlineStr">
        <is>
          <t>N</t>
        </is>
      </c>
      <c r="F2019" s="12" t="n">
        <v>27.21</v>
      </c>
      <c r="G2019" s="17" t="n">
        <v>56632.26</v>
      </c>
      <c r="H2019" s="26" t="n">
        <v>44711</v>
      </c>
      <c r="I2019" s="26" t="n">
        <v>44717</v>
      </c>
      <c r="J2019" s="12" t="n">
        <v>26.58</v>
      </c>
      <c r="K2019" s="17" t="n">
        <v>1540963.79</v>
      </c>
      <c r="L2019" s="12" t="n">
        <v>0.83</v>
      </c>
      <c r="M2019" s="12" t="n">
        <v>19</v>
      </c>
      <c r="N2019" s="27">
        <f>F2019-J2019</f>
        <v/>
      </c>
      <c r="O2019" s="16">
        <f>I2019-H2019</f>
        <v/>
      </c>
      <c r="P2019" s="14">
        <f>F2019*G2019</f>
        <v/>
      </c>
      <c r="Q2019" s="14">
        <f>J2019*G2019</f>
        <v/>
      </c>
      <c r="R2019" s="14">
        <f>K2019-Q2019</f>
        <v/>
      </c>
      <c r="S2019" s="3">
        <f>P2019*Assumptions!$B$3/100</f>
        <v/>
      </c>
      <c r="T2019" s="14">
        <f>R2019-S2019</f>
        <v/>
      </c>
      <c r="U2019" s="14">
        <f>L2019*G2019</f>
        <v/>
      </c>
    </row>
    <row r="2020">
      <c r="A2020" s="12" t="inlineStr">
        <is>
          <t>PO-2022-2018</t>
        </is>
      </c>
      <c r="B2020" s="26" t="n">
        <v>45207</v>
      </c>
      <c r="C2020" s="12" t="inlineStr">
        <is>
          <t>VS28</t>
        </is>
      </c>
      <c r="D2020" s="12" t="inlineStr">
        <is>
          <t>CR Sheets</t>
        </is>
      </c>
      <c r="E2020" s="12" t="inlineStr">
        <is>
          <t>N</t>
        </is>
      </c>
      <c r="F2020" s="12" t="n">
        <v>17.92</v>
      </c>
      <c r="G2020" s="17" t="n">
        <v>79352.32000000001</v>
      </c>
      <c r="H2020" s="26" t="n">
        <v>45219</v>
      </c>
      <c r="I2020" s="26" t="n">
        <v>45220</v>
      </c>
      <c r="J2020" s="12" t="n">
        <v>17.91</v>
      </c>
      <c r="K2020" s="17" t="n">
        <v>1421993.57</v>
      </c>
      <c r="L2020" s="12" t="n">
        <v>0</v>
      </c>
      <c r="M2020" s="12" t="n">
        <v>21</v>
      </c>
      <c r="N2020" s="27">
        <f>F2020-J2020</f>
        <v/>
      </c>
      <c r="O2020" s="16">
        <f>I2020-H2020</f>
        <v/>
      </c>
      <c r="P2020" s="14">
        <f>F2020*G2020</f>
        <v/>
      </c>
      <c r="Q2020" s="14">
        <f>J2020*G2020</f>
        <v/>
      </c>
      <c r="R2020" s="14">
        <f>K2020-Q2020</f>
        <v/>
      </c>
      <c r="S2020" s="3">
        <f>P2020*Assumptions!$B$3/100</f>
        <v/>
      </c>
      <c r="T2020" s="14">
        <f>R2020-S2020</f>
        <v/>
      </c>
      <c r="U2020" s="14">
        <f>L2020*G2020</f>
        <v/>
      </c>
    </row>
    <row r="2021">
      <c r="A2021" s="12" t="inlineStr">
        <is>
          <t>PO-2022-2019</t>
        </is>
      </c>
      <c r="B2021" s="26" t="n">
        <v>44696</v>
      </c>
      <c r="C2021" s="12" t="inlineStr">
        <is>
          <t>VS34</t>
        </is>
      </c>
      <c r="D2021" s="12" t="inlineStr">
        <is>
          <t>Fasteners &amp; Fittings</t>
        </is>
      </c>
      <c r="E2021" s="12" t="inlineStr">
        <is>
          <t>N</t>
        </is>
      </c>
      <c r="F2021" s="12" t="n">
        <v>2.99</v>
      </c>
      <c r="G2021" s="17" t="n">
        <v>69494.14</v>
      </c>
      <c r="H2021" s="26" t="n">
        <v>44699</v>
      </c>
      <c r="I2021" s="26" t="n">
        <v>44700</v>
      </c>
      <c r="J2021" s="12" t="n">
        <v>2.97</v>
      </c>
      <c r="K2021" s="17" t="n">
        <v>207787.48</v>
      </c>
      <c r="L2021" s="12" t="n">
        <v>0</v>
      </c>
      <c r="M2021" s="12" t="n">
        <v>5</v>
      </c>
      <c r="N2021" s="27">
        <f>F2021-J2021</f>
        <v/>
      </c>
      <c r="O2021" s="16">
        <f>I2021-H2021</f>
        <v/>
      </c>
      <c r="P2021" s="14">
        <f>F2021*G2021</f>
        <v/>
      </c>
      <c r="Q2021" s="14">
        <f>J2021*G2021</f>
        <v/>
      </c>
      <c r="R2021" s="14">
        <f>K2021-Q2021</f>
        <v/>
      </c>
      <c r="S2021" s="3">
        <f>P2021*Assumptions!$B$3/100</f>
        <v/>
      </c>
      <c r="T2021" s="14">
        <f>R2021-S2021</f>
        <v/>
      </c>
      <c r="U2021" s="14">
        <f>L2021*G2021</f>
        <v/>
      </c>
    </row>
    <row r="2022">
      <c r="A2022" s="12" t="inlineStr">
        <is>
          <t>PO-2022-2020</t>
        </is>
      </c>
      <c r="B2022" s="26" t="n">
        <v>44497</v>
      </c>
      <c r="C2022" s="12" t="inlineStr">
        <is>
          <t>VS07</t>
        </is>
      </c>
      <c r="D2022" s="12" t="inlineStr">
        <is>
          <t>MS Rods</t>
        </is>
      </c>
      <c r="E2022" s="12" t="inlineStr">
        <is>
          <t>N</t>
        </is>
      </c>
      <c r="F2022" s="12" t="n">
        <v>26.12</v>
      </c>
      <c r="G2022" s="17" t="n">
        <v>99404.92999999999</v>
      </c>
      <c r="H2022" s="26" t="n">
        <v>44505</v>
      </c>
      <c r="I2022" s="26" t="n">
        <v>44506</v>
      </c>
      <c r="J2022" s="12" t="n">
        <v>26</v>
      </c>
      <c r="K2022" s="17" t="n">
        <v>2596456.77</v>
      </c>
      <c r="L2022" s="12" t="n">
        <v>0</v>
      </c>
      <c r="M2022" s="12" t="n">
        <v>2</v>
      </c>
      <c r="N2022" s="27">
        <f>F2022-J2022</f>
        <v/>
      </c>
      <c r="O2022" s="16">
        <f>I2022-H2022</f>
        <v/>
      </c>
      <c r="P2022" s="14">
        <f>F2022*G2022</f>
        <v/>
      </c>
      <c r="Q2022" s="14">
        <f>J2022*G2022</f>
        <v/>
      </c>
      <c r="R2022" s="14">
        <f>K2022-Q2022</f>
        <v/>
      </c>
      <c r="S2022" s="3">
        <f>P2022*Assumptions!$B$3/100</f>
        <v/>
      </c>
      <c r="T2022" s="14">
        <f>R2022-S2022</f>
        <v/>
      </c>
      <c r="U2022" s="14">
        <f>L2022*G2022</f>
        <v/>
      </c>
    </row>
    <row r="2023">
      <c r="A2023" s="12" t="inlineStr">
        <is>
          <t>PO-2022-2021</t>
        </is>
      </c>
      <c r="B2023" s="26" t="n">
        <v>44815</v>
      </c>
      <c r="C2023" s="12" t="inlineStr">
        <is>
          <t>VS28</t>
        </is>
      </c>
      <c r="D2023" s="12" t="inlineStr">
        <is>
          <t>MS Rods</t>
        </is>
      </c>
      <c r="E2023" s="12" t="inlineStr">
        <is>
          <t>N</t>
        </is>
      </c>
      <c r="F2023" s="12" t="n">
        <v>2.1</v>
      </c>
      <c r="G2023" s="17" t="n">
        <v>116276.92</v>
      </c>
      <c r="H2023" s="26" t="n">
        <v>44822</v>
      </c>
      <c r="I2023" s="26" t="n">
        <v>44822</v>
      </c>
      <c r="J2023" s="12" t="n">
        <v>2.08</v>
      </c>
      <c r="K2023" s="17" t="n">
        <v>244181.53</v>
      </c>
      <c r="L2023" s="12" t="n">
        <v>0</v>
      </c>
      <c r="M2023" s="12" t="n">
        <v>0</v>
      </c>
      <c r="N2023" s="27">
        <f>F2023-J2023</f>
        <v/>
      </c>
      <c r="O2023" s="16">
        <f>I2023-H2023</f>
        <v/>
      </c>
      <c r="P2023" s="14">
        <f>F2023*G2023</f>
        <v/>
      </c>
      <c r="Q2023" s="14">
        <f>J2023*G2023</f>
        <v/>
      </c>
      <c r="R2023" s="14">
        <f>K2023-Q2023</f>
        <v/>
      </c>
      <c r="S2023" s="3">
        <f>P2023*Assumptions!$B$3/100</f>
        <v/>
      </c>
      <c r="T2023" s="14">
        <f>R2023-S2023</f>
        <v/>
      </c>
      <c r="U2023" s="14">
        <f>L2023*G2023</f>
        <v/>
      </c>
    </row>
    <row r="2024">
      <c r="A2024" s="12" t="inlineStr">
        <is>
          <t>PO-2022-2022</t>
        </is>
      </c>
      <c r="B2024" s="26" t="n">
        <v>44359</v>
      </c>
      <c r="C2024" s="12" t="inlineStr">
        <is>
          <t>VS28</t>
        </is>
      </c>
      <c r="D2024" s="12" t="inlineStr">
        <is>
          <t>ERW Pipes</t>
        </is>
      </c>
      <c r="E2024" s="12" t="inlineStr">
        <is>
          <t>N</t>
        </is>
      </c>
      <c r="F2024" s="12" t="n">
        <v>39.89</v>
      </c>
      <c r="G2024" s="17" t="n">
        <v>87817.13</v>
      </c>
      <c r="H2024" s="26" t="n">
        <v>44366</v>
      </c>
      <c r="I2024" s="26" t="n">
        <v>44369</v>
      </c>
      <c r="J2024" s="12" t="n">
        <v>39.51</v>
      </c>
      <c r="K2024" s="17" t="n">
        <v>3503025.32</v>
      </c>
      <c r="L2024" s="12" t="n">
        <v>0</v>
      </c>
      <c r="M2024" s="12" t="n">
        <v>21</v>
      </c>
      <c r="N2024" s="27">
        <f>F2024-J2024</f>
        <v/>
      </c>
      <c r="O2024" s="16">
        <f>I2024-H2024</f>
        <v/>
      </c>
      <c r="P2024" s="14">
        <f>F2024*G2024</f>
        <v/>
      </c>
      <c r="Q2024" s="14">
        <f>J2024*G2024</f>
        <v/>
      </c>
      <c r="R2024" s="14">
        <f>K2024-Q2024</f>
        <v/>
      </c>
      <c r="S2024" s="3">
        <f>P2024*Assumptions!$B$3/100</f>
        <v/>
      </c>
      <c r="T2024" s="14">
        <f>R2024-S2024</f>
        <v/>
      </c>
      <c r="U2024" s="14">
        <f>L2024*G2024</f>
        <v/>
      </c>
    </row>
    <row r="2025">
      <c r="A2025" s="12" t="inlineStr">
        <is>
          <t>PO-2022-2023</t>
        </is>
      </c>
      <c r="B2025" s="26" t="n">
        <v>45249</v>
      </c>
      <c r="C2025" s="12" t="inlineStr">
        <is>
          <t>VS16</t>
        </is>
      </c>
      <c r="D2025" s="12" t="inlineStr">
        <is>
          <t>GI Pipes</t>
        </is>
      </c>
      <c r="E2025" s="12" t="inlineStr">
        <is>
          <t>N</t>
        </is>
      </c>
      <c r="F2025" s="12" t="n">
        <v>19.34</v>
      </c>
      <c r="G2025" s="17" t="n">
        <v>80468.88</v>
      </c>
      <c r="H2025" s="26" t="n">
        <v>45264</v>
      </c>
      <c r="I2025" s="26" t="n">
        <v>45266</v>
      </c>
      <c r="J2025" s="12" t="n">
        <v>19.24</v>
      </c>
      <c r="K2025" s="17" t="n">
        <v>1556268.14</v>
      </c>
      <c r="L2025" s="12" t="n">
        <v>0</v>
      </c>
      <c r="M2025" s="12" t="n">
        <v>25</v>
      </c>
      <c r="N2025" s="27">
        <f>F2025-J2025</f>
        <v/>
      </c>
      <c r="O2025" s="16">
        <f>I2025-H2025</f>
        <v/>
      </c>
      <c r="P2025" s="14">
        <f>F2025*G2025</f>
        <v/>
      </c>
      <c r="Q2025" s="14">
        <f>J2025*G2025</f>
        <v/>
      </c>
      <c r="R2025" s="14">
        <f>K2025-Q2025</f>
        <v/>
      </c>
      <c r="S2025" s="3">
        <f>P2025*Assumptions!$B$3/100</f>
        <v/>
      </c>
      <c r="T2025" s="14">
        <f>R2025-S2025</f>
        <v/>
      </c>
      <c r="U2025" s="14">
        <f>L2025*G2025</f>
        <v/>
      </c>
    </row>
    <row r="2026">
      <c r="A2026" s="12" t="inlineStr">
        <is>
          <t>PO-2022-2024</t>
        </is>
      </c>
      <c r="B2026" s="26" t="n">
        <v>45091</v>
      </c>
      <c r="C2026" s="12" t="inlineStr">
        <is>
          <t>VS18</t>
        </is>
      </c>
      <c r="D2026" s="12" t="inlineStr">
        <is>
          <t>MS Sheets</t>
        </is>
      </c>
      <c r="E2026" s="12" t="inlineStr">
        <is>
          <t>N</t>
        </is>
      </c>
      <c r="F2026" s="12" t="n">
        <v>14.57</v>
      </c>
      <c r="G2026" s="17" t="n">
        <v>95357.97</v>
      </c>
      <c r="H2026" s="26" t="n">
        <v>45103</v>
      </c>
      <c r="I2026" s="26" t="n">
        <v>45103</v>
      </c>
      <c r="J2026" s="12" t="n">
        <v>14.52</v>
      </c>
      <c r="K2026" s="17" t="n">
        <v>1389365.62</v>
      </c>
      <c r="L2026" s="12" t="n">
        <v>0</v>
      </c>
      <c r="M2026" s="12" t="n">
        <v>5</v>
      </c>
      <c r="N2026" s="27">
        <f>F2026-J2026</f>
        <v/>
      </c>
      <c r="O2026" s="16">
        <f>I2026-H2026</f>
        <v/>
      </c>
      <c r="P2026" s="14">
        <f>F2026*G2026</f>
        <v/>
      </c>
      <c r="Q2026" s="14">
        <f>J2026*G2026</f>
        <v/>
      </c>
      <c r="R2026" s="14">
        <f>K2026-Q2026</f>
        <v/>
      </c>
      <c r="S2026" s="3">
        <f>P2026*Assumptions!$B$3/100</f>
        <v/>
      </c>
      <c r="T2026" s="14">
        <f>R2026-S2026</f>
        <v/>
      </c>
      <c r="U2026" s="14">
        <f>L2026*G2026</f>
        <v/>
      </c>
    </row>
    <row r="2027">
      <c r="A2027" s="12" t="inlineStr">
        <is>
          <t>PO-2022-2025</t>
        </is>
      </c>
      <c r="B2027" s="26" t="n">
        <v>45013</v>
      </c>
      <c r="C2027" s="12" t="inlineStr">
        <is>
          <t>VS12</t>
        </is>
      </c>
      <c r="D2027" s="12" t="inlineStr">
        <is>
          <t>SS Sheets</t>
        </is>
      </c>
      <c r="E2027" s="12" t="inlineStr">
        <is>
          <t>N</t>
        </is>
      </c>
      <c r="F2027" s="12" t="n">
        <v>14.36</v>
      </c>
      <c r="G2027" s="17" t="n">
        <v>78560.25999999999</v>
      </c>
      <c r="H2027" s="26" t="n">
        <v>45016</v>
      </c>
      <c r="I2027" s="26" t="n">
        <v>45024</v>
      </c>
      <c r="J2027" s="12" t="n">
        <v>14.04</v>
      </c>
      <c r="K2027" s="17" t="n">
        <v>1128125.33</v>
      </c>
      <c r="L2027" s="12" t="n">
        <v>0.48</v>
      </c>
      <c r="M2027" s="12" t="n">
        <v>5</v>
      </c>
      <c r="N2027" s="27">
        <f>F2027-J2027</f>
        <v/>
      </c>
      <c r="O2027" s="16">
        <f>I2027-H2027</f>
        <v/>
      </c>
      <c r="P2027" s="14">
        <f>F2027*G2027</f>
        <v/>
      </c>
      <c r="Q2027" s="14">
        <f>J2027*G2027</f>
        <v/>
      </c>
      <c r="R2027" s="14">
        <f>K2027-Q2027</f>
        <v/>
      </c>
      <c r="S2027" s="3">
        <f>P2027*Assumptions!$B$3/100</f>
        <v/>
      </c>
      <c r="T2027" s="14">
        <f>R2027-S2027</f>
        <v/>
      </c>
      <c r="U2027" s="14">
        <f>L2027*G2027</f>
        <v/>
      </c>
    </row>
    <row r="2028">
      <c r="A2028" s="12" t="inlineStr">
        <is>
          <t>PO-2022-2026</t>
        </is>
      </c>
      <c r="B2028" s="26" t="n">
        <v>45045</v>
      </c>
      <c r="C2028" s="12" t="inlineStr">
        <is>
          <t>VS09</t>
        </is>
      </c>
      <c r="D2028" s="12" t="inlineStr">
        <is>
          <t>CR Sheets</t>
        </is>
      </c>
      <c r="E2028" s="12" t="inlineStr">
        <is>
          <t>N</t>
        </is>
      </c>
      <c r="F2028" s="12" t="n">
        <v>14.09</v>
      </c>
      <c r="G2028" s="17" t="n">
        <v>89930.96000000001</v>
      </c>
      <c r="H2028" s="26" t="n">
        <v>45058</v>
      </c>
      <c r="I2028" s="26" t="n">
        <v>45059</v>
      </c>
      <c r="J2028" s="12" t="n">
        <v>13.99</v>
      </c>
      <c r="K2028" s="17" t="n">
        <v>1267127.23</v>
      </c>
      <c r="L2028" s="12" t="n">
        <v>0</v>
      </c>
      <c r="M2028" s="12" t="n">
        <v>15</v>
      </c>
      <c r="N2028" s="27">
        <f>F2028-J2028</f>
        <v/>
      </c>
      <c r="O2028" s="16">
        <f>I2028-H2028</f>
        <v/>
      </c>
      <c r="P2028" s="14">
        <f>F2028*G2028</f>
        <v/>
      </c>
      <c r="Q2028" s="14">
        <f>J2028*G2028</f>
        <v/>
      </c>
      <c r="R2028" s="14">
        <f>K2028-Q2028</f>
        <v/>
      </c>
      <c r="S2028" s="3">
        <f>P2028*Assumptions!$B$3/100</f>
        <v/>
      </c>
      <c r="T2028" s="14">
        <f>R2028-S2028</f>
        <v/>
      </c>
      <c r="U2028" s="14">
        <f>L2028*G2028</f>
        <v/>
      </c>
    </row>
    <row r="2029">
      <c r="A2029" s="12" t="inlineStr">
        <is>
          <t>PO-2022-2027</t>
        </is>
      </c>
      <c r="B2029" s="26" t="n">
        <v>44848</v>
      </c>
      <c r="C2029" s="12" t="inlineStr">
        <is>
          <t>VS07</t>
        </is>
      </c>
      <c r="D2029" s="12" t="inlineStr">
        <is>
          <t>HR Coils</t>
        </is>
      </c>
      <c r="E2029" s="12" t="inlineStr">
        <is>
          <t>N</t>
        </is>
      </c>
      <c r="F2029" s="12" t="n">
        <v>12.02</v>
      </c>
      <c r="G2029" s="17" t="n">
        <v>98175.64</v>
      </c>
      <c r="H2029" s="26" t="n">
        <v>44854</v>
      </c>
      <c r="I2029" s="26" t="n">
        <v>44856</v>
      </c>
      <c r="J2029" s="12" t="n">
        <v>11.93</v>
      </c>
      <c r="K2029" s="17" t="n">
        <v>1180071.19</v>
      </c>
      <c r="L2029" s="12" t="n">
        <v>0</v>
      </c>
      <c r="M2029" s="12" t="n">
        <v>7</v>
      </c>
      <c r="N2029" s="27">
        <f>F2029-J2029</f>
        <v/>
      </c>
      <c r="O2029" s="16">
        <f>I2029-H2029</f>
        <v/>
      </c>
      <c r="P2029" s="14">
        <f>F2029*G2029</f>
        <v/>
      </c>
      <c r="Q2029" s="14">
        <f>J2029*G2029</f>
        <v/>
      </c>
      <c r="R2029" s="14">
        <f>K2029-Q2029</f>
        <v/>
      </c>
      <c r="S2029" s="3">
        <f>P2029*Assumptions!$B$3/100</f>
        <v/>
      </c>
      <c r="T2029" s="14">
        <f>R2029-S2029</f>
        <v/>
      </c>
      <c r="U2029" s="14">
        <f>L2029*G2029</f>
        <v/>
      </c>
    </row>
    <row r="2030">
      <c r="A2030" s="12" t="inlineStr">
        <is>
          <t>PO-2022-2028</t>
        </is>
      </c>
      <c r="B2030" s="26" t="n">
        <v>44327</v>
      </c>
      <c r="C2030" s="12" t="inlineStr">
        <is>
          <t>VS19</t>
        </is>
      </c>
      <c r="D2030" s="12" t="inlineStr">
        <is>
          <t>Fasteners &amp; Fittings</t>
        </is>
      </c>
      <c r="E2030" s="12" t="inlineStr">
        <is>
          <t>N</t>
        </is>
      </c>
      <c r="F2030" s="12" t="n">
        <v>29.81</v>
      </c>
      <c r="G2030" s="17" t="n">
        <v>96312.27</v>
      </c>
      <c r="H2030" s="26" t="n">
        <v>44335</v>
      </c>
      <c r="I2030" s="26" t="n">
        <v>44338</v>
      </c>
      <c r="J2030" s="12" t="n">
        <v>29.18</v>
      </c>
      <c r="K2030" s="17" t="n">
        <v>2871068.77</v>
      </c>
      <c r="L2030" s="12" t="n">
        <v>1.21</v>
      </c>
      <c r="M2030" s="12" t="n">
        <v>24</v>
      </c>
      <c r="N2030" s="27">
        <f>F2030-J2030</f>
        <v/>
      </c>
      <c r="O2030" s="16">
        <f>I2030-H2030</f>
        <v/>
      </c>
      <c r="P2030" s="14">
        <f>F2030*G2030</f>
        <v/>
      </c>
      <c r="Q2030" s="14">
        <f>J2030*G2030</f>
        <v/>
      </c>
      <c r="R2030" s="14">
        <f>K2030-Q2030</f>
        <v/>
      </c>
      <c r="S2030" s="3">
        <f>P2030*Assumptions!$B$3/100</f>
        <v/>
      </c>
      <c r="T2030" s="14">
        <f>R2030-S2030</f>
        <v/>
      </c>
      <c r="U2030" s="14">
        <f>L2030*G2030</f>
        <v/>
      </c>
    </row>
    <row r="2031">
      <c r="A2031" s="12" t="inlineStr">
        <is>
          <t>PO-2022-2029</t>
        </is>
      </c>
      <c r="B2031" s="26" t="n">
        <v>44993</v>
      </c>
      <c r="C2031" s="12" t="inlineStr">
        <is>
          <t>VS31</t>
        </is>
      </c>
      <c r="D2031" s="12" t="inlineStr">
        <is>
          <t>Spring Steel</t>
        </is>
      </c>
      <c r="E2031" s="12" t="inlineStr">
        <is>
          <t>N</t>
        </is>
      </c>
      <c r="F2031" s="12" t="n">
        <v>1.62</v>
      </c>
      <c r="G2031" s="17" t="n">
        <v>70544.7</v>
      </c>
      <c r="H2031" s="26" t="n">
        <v>45001</v>
      </c>
      <c r="I2031" s="26" t="n">
        <v>45003</v>
      </c>
      <c r="J2031" s="12" t="n">
        <v>1.62</v>
      </c>
      <c r="K2031" s="17" t="n">
        <v>114282.41</v>
      </c>
      <c r="L2031" s="12" t="n">
        <v>0</v>
      </c>
      <c r="M2031" s="12" t="n">
        <v>0</v>
      </c>
      <c r="N2031" s="27">
        <f>F2031-J2031</f>
        <v/>
      </c>
      <c r="O2031" s="16">
        <f>I2031-H2031</f>
        <v/>
      </c>
      <c r="P2031" s="14">
        <f>F2031*G2031</f>
        <v/>
      </c>
      <c r="Q2031" s="14">
        <f>J2031*G2031</f>
        <v/>
      </c>
      <c r="R2031" s="14">
        <f>K2031-Q2031</f>
        <v/>
      </c>
      <c r="S2031" s="3">
        <f>P2031*Assumptions!$B$3/100</f>
        <v/>
      </c>
      <c r="T2031" s="14">
        <f>R2031-S2031</f>
        <v/>
      </c>
      <c r="U2031" s="14">
        <f>L2031*G2031</f>
        <v/>
      </c>
    </row>
    <row r="2032">
      <c r="A2032" s="12" t="inlineStr">
        <is>
          <t>PO-2022-2030</t>
        </is>
      </c>
      <c r="B2032" s="26" t="n">
        <v>45107</v>
      </c>
      <c r="C2032" s="12" t="inlineStr">
        <is>
          <t>VS10</t>
        </is>
      </c>
      <c r="D2032" s="12" t="inlineStr">
        <is>
          <t>Fasteners &amp; Fittings</t>
        </is>
      </c>
      <c r="E2032" s="12" t="inlineStr">
        <is>
          <t>N</t>
        </is>
      </c>
      <c r="F2032" s="12" t="n">
        <v>42.86</v>
      </c>
      <c r="G2032" s="17" t="n">
        <v>82423.10000000001</v>
      </c>
      <c r="H2032" s="26" t="n">
        <v>45118</v>
      </c>
      <c r="I2032" s="26" t="n">
        <v>45119</v>
      </c>
      <c r="J2032" s="12" t="n">
        <v>42.49</v>
      </c>
      <c r="K2032" s="17" t="n">
        <v>3532654.07</v>
      </c>
      <c r="L2032" s="12" t="n">
        <v>0</v>
      </c>
      <c r="M2032" s="12" t="n">
        <v>0</v>
      </c>
      <c r="N2032" s="27">
        <f>F2032-J2032</f>
        <v/>
      </c>
      <c r="O2032" s="16">
        <f>I2032-H2032</f>
        <v/>
      </c>
      <c r="P2032" s="14">
        <f>F2032*G2032</f>
        <v/>
      </c>
      <c r="Q2032" s="14">
        <f>J2032*G2032</f>
        <v/>
      </c>
      <c r="R2032" s="14">
        <f>K2032-Q2032</f>
        <v/>
      </c>
      <c r="S2032" s="3">
        <f>P2032*Assumptions!$B$3/100</f>
        <v/>
      </c>
      <c r="T2032" s="14">
        <f>R2032-S2032</f>
        <v/>
      </c>
      <c r="U2032" s="14">
        <f>L2032*G2032</f>
        <v/>
      </c>
    </row>
    <row r="2033">
      <c r="A2033" s="12" t="inlineStr">
        <is>
          <t>PO-2022-2031</t>
        </is>
      </c>
      <c r="B2033" s="26" t="n">
        <v>44545</v>
      </c>
      <c r="C2033" s="12" t="inlineStr">
        <is>
          <t>VS25</t>
        </is>
      </c>
      <c r="D2033" s="12" t="inlineStr">
        <is>
          <t>CR Sheets</t>
        </is>
      </c>
      <c r="E2033" s="12" t="inlineStr">
        <is>
          <t>Y</t>
        </is>
      </c>
      <c r="F2033" s="12" t="n">
        <v>20.74</v>
      </c>
      <c r="G2033" s="17" t="n">
        <v>94552.39</v>
      </c>
      <c r="H2033" s="26" t="n">
        <v>44557</v>
      </c>
      <c r="I2033" s="26" t="n">
        <v>44559</v>
      </c>
      <c r="J2033" s="12" t="n">
        <v>20.53</v>
      </c>
      <c r="K2033" s="17" t="n">
        <v>1961016.57</v>
      </c>
      <c r="L2033" s="12" t="n">
        <v>0</v>
      </c>
      <c r="M2033" s="12" t="n">
        <v>1</v>
      </c>
      <c r="N2033" s="27">
        <f>F2033-J2033</f>
        <v/>
      </c>
      <c r="O2033" s="16">
        <f>I2033-H2033</f>
        <v/>
      </c>
      <c r="P2033" s="14">
        <f>F2033*G2033</f>
        <v/>
      </c>
      <c r="Q2033" s="14">
        <f>J2033*G2033</f>
        <v/>
      </c>
      <c r="R2033" s="14">
        <f>K2033-Q2033</f>
        <v/>
      </c>
      <c r="S2033" s="3">
        <f>P2033*Assumptions!$B$3/100</f>
        <v/>
      </c>
      <c r="T2033" s="14">
        <f>R2033-S2033</f>
        <v/>
      </c>
      <c r="U2033" s="14">
        <f>L2033*G2033</f>
        <v/>
      </c>
    </row>
    <row r="2034">
      <c r="A2034" s="12" t="inlineStr">
        <is>
          <t>PO-2022-2032</t>
        </is>
      </c>
      <c r="B2034" s="26" t="n">
        <v>44357</v>
      </c>
      <c r="C2034" s="12" t="inlineStr">
        <is>
          <t>VS32</t>
        </is>
      </c>
      <c r="D2034" s="12" t="inlineStr">
        <is>
          <t>Spring Steel</t>
        </is>
      </c>
      <c r="E2034" s="12" t="inlineStr">
        <is>
          <t>N</t>
        </is>
      </c>
      <c r="F2034" s="12" t="n">
        <v>49.26</v>
      </c>
      <c r="G2034" s="17" t="n">
        <v>51231.9</v>
      </c>
      <c r="H2034" s="26" t="n">
        <v>44371</v>
      </c>
      <c r="I2034" s="26" t="n">
        <v>44374</v>
      </c>
      <c r="J2034" s="12" t="n">
        <v>48.89</v>
      </c>
      <c r="K2034" s="17" t="n">
        <v>2523683.39</v>
      </c>
      <c r="L2034" s="12" t="n">
        <v>0</v>
      </c>
      <c r="M2034" s="12" t="n">
        <v>0</v>
      </c>
      <c r="N2034" s="27">
        <f>F2034-J2034</f>
        <v/>
      </c>
      <c r="O2034" s="16">
        <f>I2034-H2034</f>
        <v/>
      </c>
      <c r="P2034" s="14">
        <f>F2034*G2034</f>
        <v/>
      </c>
      <c r="Q2034" s="14">
        <f>J2034*G2034</f>
        <v/>
      </c>
      <c r="R2034" s="14">
        <f>K2034-Q2034</f>
        <v/>
      </c>
      <c r="S2034" s="3">
        <f>P2034*Assumptions!$B$3/100</f>
        <v/>
      </c>
      <c r="T2034" s="14">
        <f>R2034-S2034</f>
        <v/>
      </c>
      <c r="U2034" s="14">
        <f>L2034*G2034</f>
        <v/>
      </c>
    </row>
    <row r="2035">
      <c r="A2035" s="12" t="inlineStr">
        <is>
          <t>PO-2022-2033</t>
        </is>
      </c>
      <c r="B2035" s="26" t="n">
        <v>45281</v>
      </c>
      <c r="C2035" s="12" t="inlineStr">
        <is>
          <t>VS24</t>
        </is>
      </c>
      <c r="D2035" s="12" t="inlineStr">
        <is>
          <t>SS Sheets</t>
        </is>
      </c>
      <c r="E2035" s="12" t="inlineStr">
        <is>
          <t>N</t>
        </is>
      </c>
      <c r="F2035" s="12" t="n">
        <v>15.3</v>
      </c>
      <c r="G2035" s="17" t="n">
        <v>68650.36</v>
      </c>
      <c r="H2035" s="26" t="n">
        <v>45294</v>
      </c>
      <c r="I2035" s="26" t="n">
        <v>45295</v>
      </c>
      <c r="J2035" s="12" t="n">
        <v>15.19</v>
      </c>
      <c r="K2035" s="17" t="n">
        <v>1050350.51</v>
      </c>
      <c r="L2035" s="12" t="n">
        <v>0</v>
      </c>
      <c r="M2035" s="12" t="n">
        <v>9</v>
      </c>
      <c r="N2035" s="27">
        <f>F2035-J2035</f>
        <v/>
      </c>
      <c r="O2035" s="16">
        <f>I2035-H2035</f>
        <v/>
      </c>
      <c r="P2035" s="14">
        <f>F2035*G2035</f>
        <v/>
      </c>
      <c r="Q2035" s="14">
        <f>J2035*G2035</f>
        <v/>
      </c>
      <c r="R2035" s="14">
        <f>K2035-Q2035</f>
        <v/>
      </c>
      <c r="S2035" s="3">
        <f>P2035*Assumptions!$B$3/100</f>
        <v/>
      </c>
      <c r="T2035" s="14">
        <f>R2035-S2035</f>
        <v/>
      </c>
      <c r="U2035" s="14">
        <f>L2035*G2035</f>
        <v/>
      </c>
    </row>
    <row r="2036">
      <c r="A2036" s="12" t="inlineStr">
        <is>
          <t>PO-2022-2034</t>
        </is>
      </c>
      <c r="B2036" s="26" t="n">
        <v>45154</v>
      </c>
      <c r="C2036" s="12" t="inlineStr">
        <is>
          <t>VS02</t>
        </is>
      </c>
      <c r="D2036" s="12" t="inlineStr">
        <is>
          <t>Square/Rect Tubes</t>
        </is>
      </c>
      <c r="E2036" s="12" t="inlineStr">
        <is>
          <t>N</t>
        </is>
      </c>
      <c r="F2036" s="12" t="n">
        <v>31.62</v>
      </c>
      <c r="G2036" s="17" t="n">
        <v>57505.07</v>
      </c>
      <c r="H2036" s="26" t="n">
        <v>45162</v>
      </c>
      <c r="I2036" s="26" t="n">
        <v>45162</v>
      </c>
      <c r="J2036" s="12" t="n">
        <v>31.59</v>
      </c>
      <c r="K2036" s="17" t="n">
        <v>1818310.31</v>
      </c>
      <c r="L2036" s="12" t="n">
        <v>0</v>
      </c>
      <c r="M2036" s="12" t="n">
        <v>0</v>
      </c>
      <c r="N2036" s="27">
        <f>F2036-J2036</f>
        <v/>
      </c>
      <c r="O2036" s="16">
        <f>I2036-H2036</f>
        <v/>
      </c>
      <c r="P2036" s="14">
        <f>F2036*G2036</f>
        <v/>
      </c>
      <c r="Q2036" s="14">
        <f>J2036*G2036</f>
        <v/>
      </c>
      <c r="R2036" s="14">
        <f>K2036-Q2036</f>
        <v/>
      </c>
      <c r="S2036" s="3">
        <f>P2036*Assumptions!$B$3/100</f>
        <v/>
      </c>
      <c r="T2036" s="14">
        <f>R2036-S2036</f>
        <v/>
      </c>
      <c r="U2036" s="14">
        <f>L2036*G2036</f>
        <v/>
      </c>
    </row>
    <row r="2037">
      <c r="A2037" s="12" t="inlineStr">
        <is>
          <t>PO-2022-2035</t>
        </is>
      </c>
      <c r="B2037" s="26" t="n">
        <v>45080</v>
      </c>
      <c r="C2037" s="12" t="inlineStr">
        <is>
          <t>VS27</t>
        </is>
      </c>
      <c r="D2037" s="12" t="inlineStr">
        <is>
          <t>MS Pipes</t>
        </is>
      </c>
      <c r="E2037" s="12" t="inlineStr">
        <is>
          <t>N</t>
        </is>
      </c>
      <c r="F2037" s="12" t="n">
        <v>37.82</v>
      </c>
      <c r="G2037" s="17" t="n">
        <v>66291.58</v>
      </c>
      <c r="H2037" s="26" t="n">
        <v>45094</v>
      </c>
      <c r="I2037" s="26" t="n">
        <v>45096</v>
      </c>
      <c r="J2037" s="12" t="n">
        <v>37.76</v>
      </c>
      <c r="K2037" s="17" t="n">
        <v>2507147.56</v>
      </c>
      <c r="L2037" s="12" t="n">
        <v>0</v>
      </c>
      <c r="M2037" s="12" t="n">
        <v>0</v>
      </c>
      <c r="N2037" s="27">
        <f>F2037-J2037</f>
        <v/>
      </c>
      <c r="O2037" s="16">
        <f>I2037-H2037</f>
        <v/>
      </c>
      <c r="P2037" s="14">
        <f>F2037*G2037</f>
        <v/>
      </c>
      <c r="Q2037" s="14">
        <f>J2037*G2037</f>
        <v/>
      </c>
      <c r="R2037" s="14">
        <f>K2037-Q2037</f>
        <v/>
      </c>
      <c r="S2037" s="3">
        <f>P2037*Assumptions!$B$3/100</f>
        <v/>
      </c>
      <c r="T2037" s="14">
        <f>R2037-S2037</f>
        <v/>
      </c>
      <c r="U2037" s="14">
        <f>L2037*G2037</f>
        <v/>
      </c>
    </row>
    <row r="2038">
      <c r="A2038" s="12" t="inlineStr">
        <is>
          <t>PO-2022-2036</t>
        </is>
      </c>
      <c r="B2038" s="26" t="n">
        <v>45202</v>
      </c>
      <c r="C2038" s="12" t="inlineStr">
        <is>
          <t>VS16</t>
        </is>
      </c>
      <c r="D2038" s="12" t="inlineStr">
        <is>
          <t>MS Rods</t>
        </is>
      </c>
      <c r="E2038" s="12" t="inlineStr">
        <is>
          <t>Y</t>
        </is>
      </c>
      <c r="F2038" s="12" t="n">
        <v>46.14</v>
      </c>
      <c r="G2038" s="17" t="n">
        <v>54877.3</v>
      </c>
      <c r="H2038" s="26" t="n">
        <v>45214</v>
      </c>
      <c r="I2038" s="26" t="n">
        <v>45217</v>
      </c>
      <c r="J2038" s="12" t="n">
        <v>45.99</v>
      </c>
      <c r="K2038" s="17" t="n">
        <v>2532038.62</v>
      </c>
      <c r="L2038" s="12" t="n">
        <v>0</v>
      </c>
      <c r="M2038" s="12" t="n">
        <v>0</v>
      </c>
      <c r="N2038" s="27">
        <f>F2038-J2038</f>
        <v/>
      </c>
      <c r="O2038" s="16">
        <f>I2038-H2038</f>
        <v/>
      </c>
      <c r="P2038" s="14">
        <f>F2038*G2038</f>
        <v/>
      </c>
      <c r="Q2038" s="14">
        <f>J2038*G2038</f>
        <v/>
      </c>
      <c r="R2038" s="14">
        <f>K2038-Q2038</f>
        <v/>
      </c>
      <c r="S2038" s="3">
        <f>P2038*Assumptions!$B$3/100</f>
        <v/>
      </c>
      <c r="T2038" s="14">
        <f>R2038-S2038</f>
        <v/>
      </c>
      <c r="U2038" s="14">
        <f>L2038*G2038</f>
        <v/>
      </c>
    </row>
    <row r="2039">
      <c r="A2039" s="12" t="inlineStr">
        <is>
          <t>PO-2022-2037</t>
        </is>
      </c>
      <c r="B2039" s="26" t="n">
        <v>44449</v>
      </c>
      <c r="C2039" s="12" t="inlineStr">
        <is>
          <t>VS07</t>
        </is>
      </c>
      <c r="D2039" s="12" t="inlineStr">
        <is>
          <t>MS Rods</t>
        </is>
      </c>
      <c r="E2039" s="12" t="inlineStr">
        <is>
          <t>N</t>
        </is>
      </c>
      <c r="F2039" s="12" t="n">
        <v>11.7</v>
      </c>
      <c r="G2039" s="17" t="n">
        <v>119409.82</v>
      </c>
      <c r="H2039" s="26" t="n">
        <v>44461</v>
      </c>
      <c r="I2039" s="26" t="n">
        <v>44461</v>
      </c>
      <c r="J2039" s="12" t="n">
        <v>11.63</v>
      </c>
      <c r="K2039" s="17" t="n">
        <v>1397094.89</v>
      </c>
      <c r="L2039" s="12" t="n">
        <v>0</v>
      </c>
      <c r="M2039" s="12" t="n">
        <v>7</v>
      </c>
      <c r="N2039" s="27">
        <f>F2039-J2039</f>
        <v/>
      </c>
      <c r="O2039" s="16">
        <f>I2039-H2039</f>
        <v/>
      </c>
      <c r="P2039" s="14">
        <f>F2039*G2039</f>
        <v/>
      </c>
      <c r="Q2039" s="14">
        <f>J2039*G2039</f>
        <v/>
      </c>
      <c r="R2039" s="14">
        <f>K2039-Q2039</f>
        <v/>
      </c>
      <c r="S2039" s="3">
        <f>P2039*Assumptions!$B$3/100</f>
        <v/>
      </c>
      <c r="T2039" s="14">
        <f>R2039-S2039</f>
        <v/>
      </c>
      <c r="U2039" s="14">
        <f>L2039*G2039</f>
        <v/>
      </c>
    </row>
    <row r="2040">
      <c r="A2040" s="12" t="inlineStr">
        <is>
          <t>PO-2022-2038</t>
        </is>
      </c>
      <c r="B2040" s="26" t="n">
        <v>44789</v>
      </c>
      <c r="C2040" s="12" t="inlineStr">
        <is>
          <t>VS12</t>
        </is>
      </c>
      <c r="D2040" s="12" t="inlineStr">
        <is>
          <t>MS Sheets</t>
        </is>
      </c>
      <c r="E2040" s="12" t="inlineStr">
        <is>
          <t>N</t>
        </is>
      </c>
      <c r="F2040" s="12" t="n">
        <v>38.58</v>
      </c>
      <c r="G2040" s="17" t="n">
        <v>123581.85</v>
      </c>
      <c r="H2040" s="26" t="n">
        <v>44798</v>
      </c>
      <c r="I2040" s="26" t="n">
        <v>44800</v>
      </c>
      <c r="J2040" s="12" t="n">
        <v>37.16</v>
      </c>
      <c r="K2040" s="17" t="n">
        <v>4767787.77</v>
      </c>
      <c r="L2040" s="12" t="n">
        <v>1.85</v>
      </c>
      <c r="M2040" s="12" t="n">
        <v>6</v>
      </c>
      <c r="N2040" s="27">
        <f>F2040-J2040</f>
        <v/>
      </c>
      <c r="O2040" s="16">
        <f>I2040-H2040</f>
        <v/>
      </c>
      <c r="P2040" s="14">
        <f>F2040*G2040</f>
        <v/>
      </c>
      <c r="Q2040" s="14">
        <f>J2040*G2040</f>
        <v/>
      </c>
      <c r="R2040" s="14">
        <f>K2040-Q2040</f>
        <v/>
      </c>
      <c r="S2040" s="3">
        <f>P2040*Assumptions!$B$3/100</f>
        <v/>
      </c>
      <c r="T2040" s="14">
        <f>R2040-S2040</f>
        <v/>
      </c>
      <c r="U2040" s="14">
        <f>L2040*G2040</f>
        <v/>
      </c>
    </row>
    <row r="2041">
      <c r="A2041" s="12" t="inlineStr">
        <is>
          <t>PO-2022-2039</t>
        </is>
      </c>
      <c r="B2041" s="26" t="n">
        <v>45033</v>
      </c>
      <c r="C2041" s="12" t="inlineStr">
        <is>
          <t>VS23</t>
        </is>
      </c>
      <c r="D2041" s="12" t="inlineStr">
        <is>
          <t>GI Sheets</t>
        </is>
      </c>
      <c r="E2041" s="12" t="inlineStr">
        <is>
          <t>N</t>
        </is>
      </c>
      <c r="F2041" s="12" t="n">
        <v>21.49</v>
      </c>
      <c r="G2041" s="17" t="n">
        <v>89943.64</v>
      </c>
      <c r="H2041" s="26" t="n">
        <v>45041</v>
      </c>
      <c r="I2041" s="26" t="n">
        <v>45041</v>
      </c>
      <c r="J2041" s="12" t="n">
        <v>21.36</v>
      </c>
      <c r="K2041" s="17" t="n">
        <v>1932888.82</v>
      </c>
      <c r="L2041" s="12" t="n">
        <v>0</v>
      </c>
      <c r="M2041" s="12" t="n">
        <v>19</v>
      </c>
      <c r="N2041" s="27">
        <f>F2041-J2041</f>
        <v/>
      </c>
      <c r="O2041" s="16">
        <f>I2041-H2041</f>
        <v/>
      </c>
      <c r="P2041" s="14">
        <f>F2041*G2041</f>
        <v/>
      </c>
      <c r="Q2041" s="14">
        <f>J2041*G2041</f>
        <v/>
      </c>
      <c r="R2041" s="14">
        <f>K2041-Q2041</f>
        <v/>
      </c>
      <c r="S2041" s="3">
        <f>P2041*Assumptions!$B$3/100</f>
        <v/>
      </c>
      <c r="T2041" s="14">
        <f>R2041-S2041</f>
        <v/>
      </c>
      <c r="U2041" s="14">
        <f>L2041*G2041</f>
        <v/>
      </c>
    </row>
    <row r="2042">
      <c r="A2042" s="12" t="inlineStr">
        <is>
          <t>PO-2022-2040</t>
        </is>
      </c>
      <c r="B2042" s="26" t="n">
        <v>44940</v>
      </c>
      <c r="C2042" s="12" t="inlineStr">
        <is>
          <t>VS07</t>
        </is>
      </c>
      <c r="D2042" s="12" t="inlineStr">
        <is>
          <t>MS Flats</t>
        </is>
      </c>
      <c r="E2042" s="12" t="inlineStr">
        <is>
          <t>N</t>
        </is>
      </c>
      <c r="F2042" s="12" t="n">
        <v>25.61</v>
      </c>
      <c r="G2042" s="17" t="n">
        <v>84938.13</v>
      </c>
      <c r="H2042" s="26" t="n">
        <v>44946</v>
      </c>
      <c r="I2042" s="26" t="n">
        <v>44947</v>
      </c>
      <c r="J2042" s="12" t="n">
        <v>25.37</v>
      </c>
      <c r="K2042" s="17" t="n">
        <v>2175265.51</v>
      </c>
      <c r="L2042" s="12" t="n">
        <v>0</v>
      </c>
      <c r="M2042" s="12" t="n">
        <v>1</v>
      </c>
      <c r="N2042" s="27">
        <f>F2042-J2042</f>
        <v/>
      </c>
      <c r="O2042" s="16">
        <f>I2042-H2042</f>
        <v/>
      </c>
      <c r="P2042" s="14">
        <f>F2042*G2042</f>
        <v/>
      </c>
      <c r="Q2042" s="14">
        <f>J2042*G2042</f>
        <v/>
      </c>
      <c r="R2042" s="14">
        <f>K2042-Q2042</f>
        <v/>
      </c>
      <c r="S2042" s="3">
        <f>P2042*Assumptions!$B$3/100</f>
        <v/>
      </c>
      <c r="T2042" s="14">
        <f>R2042-S2042</f>
        <v/>
      </c>
      <c r="U2042" s="14">
        <f>L2042*G2042</f>
        <v/>
      </c>
    </row>
    <row r="2043">
      <c r="A2043" s="12" t="inlineStr">
        <is>
          <t>PO-2022-2041</t>
        </is>
      </c>
      <c r="B2043" s="26" t="n">
        <v>45024</v>
      </c>
      <c r="C2043" s="12" t="inlineStr">
        <is>
          <t>VS32</t>
        </is>
      </c>
      <c r="D2043" s="12" t="inlineStr">
        <is>
          <t>Fasteners &amp; Fittings</t>
        </is>
      </c>
      <c r="E2043" s="12" t="inlineStr">
        <is>
          <t>Y</t>
        </is>
      </c>
      <c r="F2043" s="12" t="n">
        <v>15.03</v>
      </c>
      <c r="G2043" s="17" t="n">
        <v>114341.27</v>
      </c>
      <c r="H2043" s="26" t="n">
        <v>45029</v>
      </c>
      <c r="I2043" s="26" t="n">
        <v>45029</v>
      </c>
      <c r="J2043" s="12" t="n">
        <v>14.99</v>
      </c>
      <c r="K2043" s="17" t="n">
        <v>1718549.29</v>
      </c>
      <c r="L2043" s="12" t="n">
        <v>0</v>
      </c>
      <c r="M2043" s="12" t="n">
        <v>17</v>
      </c>
      <c r="N2043" s="27">
        <f>F2043-J2043</f>
        <v/>
      </c>
      <c r="O2043" s="16">
        <f>I2043-H2043</f>
        <v/>
      </c>
      <c r="P2043" s="14">
        <f>F2043*G2043</f>
        <v/>
      </c>
      <c r="Q2043" s="14">
        <f>J2043*G2043</f>
        <v/>
      </c>
      <c r="R2043" s="14">
        <f>K2043-Q2043</f>
        <v/>
      </c>
      <c r="S2043" s="3">
        <f>P2043*Assumptions!$B$3/100</f>
        <v/>
      </c>
      <c r="T2043" s="14">
        <f>R2043-S2043</f>
        <v/>
      </c>
      <c r="U2043" s="14">
        <f>L2043*G2043</f>
        <v/>
      </c>
    </row>
    <row r="2044">
      <c r="A2044" s="12" t="inlineStr">
        <is>
          <t>PO-2022-2042</t>
        </is>
      </c>
      <c r="B2044" s="26" t="n">
        <v>44560</v>
      </c>
      <c r="C2044" s="12" t="inlineStr">
        <is>
          <t>VS26</t>
        </is>
      </c>
      <c r="D2044" s="12" t="inlineStr">
        <is>
          <t>SS Sheets</t>
        </is>
      </c>
      <c r="E2044" s="12" t="inlineStr">
        <is>
          <t>N</t>
        </is>
      </c>
      <c r="F2044" s="12" t="n">
        <v>1.16</v>
      </c>
      <c r="G2044" s="17" t="n">
        <v>107239.97</v>
      </c>
      <c r="H2044" s="26" t="n">
        <v>44575</v>
      </c>
      <c r="I2044" s="26" t="n">
        <v>44576</v>
      </c>
      <c r="J2044" s="12" t="n">
        <v>1.15</v>
      </c>
      <c r="K2044" s="17" t="n">
        <v>124398.37</v>
      </c>
      <c r="L2044" s="12" t="n">
        <v>0</v>
      </c>
      <c r="M2044" s="12" t="n">
        <v>11</v>
      </c>
      <c r="N2044" s="27">
        <f>F2044-J2044</f>
        <v/>
      </c>
      <c r="O2044" s="16">
        <f>I2044-H2044</f>
        <v/>
      </c>
      <c r="P2044" s="14">
        <f>F2044*G2044</f>
        <v/>
      </c>
      <c r="Q2044" s="14">
        <f>J2044*G2044</f>
        <v/>
      </c>
      <c r="R2044" s="14">
        <f>K2044-Q2044</f>
        <v/>
      </c>
      <c r="S2044" s="3">
        <f>P2044*Assumptions!$B$3/100</f>
        <v/>
      </c>
      <c r="T2044" s="14">
        <f>R2044-S2044</f>
        <v/>
      </c>
      <c r="U2044" s="14">
        <f>L2044*G2044</f>
        <v/>
      </c>
    </row>
    <row r="2045">
      <c r="A2045" s="12" t="inlineStr">
        <is>
          <t>PO-2022-2043</t>
        </is>
      </c>
      <c r="B2045" s="26" t="n">
        <v>45147</v>
      </c>
      <c r="C2045" s="12" t="inlineStr">
        <is>
          <t>VS12</t>
        </is>
      </c>
      <c r="D2045" s="12" t="inlineStr">
        <is>
          <t>ERW Pipes</t>
        </is>
      </c>
      <c r="E2045" s="12" t="inlineStr">
        <is>
          <t>N</t>
        </is>
      </c>
      <c r="F2045" s="12" t="n">
        <v>19.78</v>
      </c>
      <c r="G2045" s="17" t="n">
        <v>97742.13</v>
      </c>
      <c r="H2045" s="26" t="n">
        <v>45156</v>
      </c>
      <c r="I2045" s="26" t="n">
        <v>45161</v>
      </c>
      <c r="J2045" s="12" t="n">
        <v>18.99</v>
      </c>
      <c r="K2045" s="17" t="n">
        <v>1933339.33</v>
      </c>
      <c r="L2045" s="12" t="n">
        <v>0.06</v>
      </c>
      <c r="M2045" s="12" t="n">
        <v>23</v>
      </c>
      <c r="N2045" s="27">
        <f>F2045-J2045</f>
        <v/>
      </c>
      <c r="O2045" s="16">
        <f>I2045-H2045</f>
        <v/>
      </c>
      <c r="P2045" s="14">
        <f>F2045*G2045</f>
        <v/>
      </c>
      <c r="Q2045" s="14">
        <f>J2045*G2045</f>
        <v/>
      </c>
      <c r="R2045" s="14">
        <f>K2045-Q2045</f>
        <v/>
      </c>
      <c r="S2045" s="3">
        <f>P2045*Assumptions!$B$3/100</f>
        <v/>
      </c>
      <c r="T2045" s="14">
        <f>R2045-S2045</f>
        <v/>
      </c>
      <c r="U2045" s="14">
        <f>L2045*G2045</f>
        <v/>
      </c>
    </row>
    <row r="2046">
      <c r="A2046" s="12" t="inlineStr">
        <is>
          <t>PO-2022-2044</t>
        </is>
      </c>
      <c r="B2046" s="26" t="n">
        <v>45037</v>
      </c>
      <c r="C2046" s="12" t="inlineStr">
        <is>
          <t>VS13</t>
        </is>
      </c>
      <c r="D2046" s="12" t="inlineStr">
        <is>
          <t>MS Pipes</t>
        </is>
      </c>
      <c r="E2046" s="12" t="inlineStr">
        <is>
          <t>N</t>
        </is>
      </c>
      <c r="F2046" s="12" t="n">
        <v>31.32</v>
      </c>
      <c r="G2046" s="17" t="n">
        <v>55392.9</v>
      </c>
      <c r="H2046" s="26" t="n">
        <v>45049</v>
      </c>
      <c r="I2046" s="26" t="n">
        <v>45049</v>
      </c>
      <c r="J2046" s="12" t="n">
        <v>31.29</v>
      </c>
      <c r="K2046" s="17" t="n">
        <v>1734905.63</v>
      </c>
      <c r="L2046" s="12" t="n">
        <v>0</v>
      </c>
      <c r="M2046" s="12" t="n">
        <v>7</v>
      </c>
      <c r="N2046" s="27">
        <f>F2046-J2046</f>
        <v/>
      </c>
      <c r="O2046" s="16">
        <f>I2046-H2046</f>
        <v/>
      </c>
      <c r="P2046" s="14">
        <f>F2046*G2046</f>
        <v/>
      </c>
      <c r="Q2046" s="14">
        <f>J2046*G2046</f>
        <v/>
      </c>
      <c r="R2046" s="14">
        <f>K2046-Q2046</f>
        <v/>
      </c>
      <c r="S2046" s="3">
        <f>P2046*Assumptions!$B$3/100</f>
        <v/>
      </c>
      <c r="T2046" s="14">
        <f>R2046-S2046</f>
        <v/>
      </c>
      <c r="U2046" s="14">
        <f>L2046*G2046</f>
        <v/>
      </c>
    </row>
    <row r="2047">
      <c r="A2047" s="12" t="inlineStr">
        <is>
          <t>PO-2022-2045</t>
        </is>
      </c>
      <c r="B2047" s="26" t="n">
        <v>45227</v>
      </c>
      <c r="C2047" s="12" t="inlineStr">
        <is>
          <t>VS06</t>
        </is>
      </c>
      <c r="D2047" s="12" t="inlineStr">
        <is>
          <t>GI Wire</t>
        </is>
      </c>
      <c r="E2047" s="12" t="inlineStr">
        <is>
          <t>N</t>
        </is>
      </c>
      <c r="F2047" s="12" t="n">
        <v>47.33</v>
      </c>
      <c r="G2047" s="17" t="n">
        <v>69376.52</v>
      </c>
      <c r="H2047" s="26" t="n">
        <v>45233</v>
      </c>
      <c r="I2047" s="26" t="n">
        <v>45236</v>
      </c>
      <c r="J2047" s="12" t="n">
        <v>46.98</v>
      </c>
      <c r="K2047" s="17" t="n">
        <v>3283590.69</v>
      </c>
      <c r="L2047" s="12" t="n">
        <v>0</v>
      </c>
      <c r="M2047" s="12" t="n">
        <v>18</v>
      </c>
      <c r="N2047" s="27">
        <f>F2047-J2047</f>
        <v/>
      </c>
      <c r="O2047" s="16">
        <f>I2047-H2047</f>
        <v/>
      </c>
      <c r="P2047" s="14">
        <f>F2047*G2047</f>
        <v/>
      </c>
      <c r="Q2047" s="14">
        <f>J2047*G2047</f>
        <v/>
      </c>
      <c r="R2047" s="14">
        <f>K2047-Q2047</f>
        <v/>
      </c>
      <c r="S2047" s="3">
        <f>P2047*Assumptions!$B$3/100</f>
        <v/>
      </c>
      <c r="T2047" s="14">
        <f>R2047-S2047</f>
        <v/>
      </c>
      <c r="U2047" s="14">
        <f>L2047*G2047</f>
        <v/>
      </c>
    </row>
    <row r="2048">
      <c r="A2048" s="12" t="inlineStr">
        <is>
          <t>PO-2022-2046</t>
        </is>
      </c>
      <c r="B2048" s="26" t="n">
        <v>44537</v>
      </c>
      <c r="C2048" s="12" t="inlineStr">
        <is>
          <t>VS31</t>
        </is>
      </c>
      <c r="D2048" s="12" t="inlineStr">
        <is>
          <t>SS Pipes</t>
        </is>
      </c>
      <c r="E2048" s="12" t="inlineStr">
        <is>
          <t>N</t>
        </is>
      </c>
      <c r="F2048" s="12" t="n">
        <v>47.64</v>
      </c>
      <c r="G2048" s="17" t="n">
        <v>46703.96</v>
      </c>
      <c r="H2048" s="26" t="n">
        <v>44549</v>
      </c>
      <c r="I2048" s="26" t="n">
        <v>44551</v>
      </c>
      <c r="J2048" s="12" t="n">
        <v>47.29</v>
      </c>
      <c r="K2048" s="17" t="n">
        <v>2224976.65</v>
      </c>
      <c r="L2048" s="12" t="n">
        <v>0</v>
      </c>
      <c r="M2048" s="12" t="n">
        <v>15</v>
      </c>
      <c r="N2048" s="27">
        <f>F2048-J2048</f>
        <v/>
      </c>
      <c r="O2048" s="16">
        <f>I2048-H2048</f>
        <v/>
      </c>
      <c r="P2048" s="14">
        <f>F2048*G2048</f>
        <v/>
      </c>
      <c r="Q2048" s="14">
        <f>J2048*G2048</f>
        <v/>
      </c>
      <c r="R2048" s="14">
        <f>K2048-Q2048</f>
        <v/>
      </c>
      <c r="S2048" s="3">
        <f>P2048*Assumptions!$B$3/100</f>
        <v/>
      </c>
      <c r="T2048" s="14">
        <f>R2048-S2048</f>
        <v/>
      </c>
      <c r="U2048" s="14">
        <f>L2048*G2048</f>
        <v/>
      </c>
    </row>
    <row r="2049">
      <c r="A2049" s="12" t="inlineStr">
        <is>
          <t>PO-2022-2047</t>
        </is>
      </c>
      <c r="B2049" s="26" t="n">
        <v>44994</v>
      </c>
      <c r="C2049" s="12" t="inlineStr">
        <is>
          <t>VS33</t>
        </is>
      </c>
      <c r="D2049" s="12" t="inlineStr">
        <is>
          <t>GI Sheets</t>
        </is>
      </c>
      <c r="E2049" s="12" t="inlineStr">
        <is>
          <t>N</t>
        </is>
      </c>
      <c r="F2049" s="12" t="n">
        <v>42.67</v>
      </c>
      <c r="G2049" s="17" t="n">
        <v>57103.45</v>
      </c>
      <c r="H2049" s="26" t="n">
        <v>45002</v>
      </c>
      <c r="I2049" s="26" t="n">
        <v>45003</v>
      </c>
      <c r="J2049" s="12" t="n">
        <v>42.53</v>
      </c>
      <c r="K2049" s="17" t="n">
        <v>2436604.21</v>
      </c>
      <c r="L2049" s="12" t="n">
        <v>0</v>
      </c>
      <c r="M2049" s="12" t="n">
        <v>6</v>
      </c>
      <c r="N2049" s="27">
        <f>F2049-J2049</f>
        <v/>
      </c>
      <c r="O2049" s="16">
        <f>I2049-H2049</f>
        <v/>
      </c>
      <c r="P2049" s="14">
        <f>F2049*G2049</f>
        <v/>
      </c>
      <c r="Q2049" s="14">
        <f>J2049*G2049</f>
        <v/>
      </c>
      <c r="R2049" s="14">
        <f>K2049-Q2049</f>
        <v/>
      </c>
      <c r="S2049" s="3">
        <f>P2049*Assumptions!$B$3/100</f>
        <v/>
      </c>
      <c r="T2049" s="14">
        <f>R2049-S2049</f>
        <v/>
      </c>
      <c r="U2049" s="14">
        <f>L2049*G2049</f>
        <v/>
      </c>
    </row>
    <row r="2050">
      <c r="A2050" s="12" t="inlineStr">
        <is>
          <t>PO-2022-2048</t>
        </is>
      </c>
      <c r="B2050" s="26" t="n">
        <v>44687</v>
      </c>
      <c r="C2050" s="12" t="inlineStr">
        <is>
          <t>VS12</t>
        </is>
      </c>
      <c r="D2050" s="12" t="inlineStr">
        <is>
          <t>Structural Steel</t>
        </is>
      </c>
      <c r="E2050" s="12" t="inlineStr">
        <is>
          <t>N</t>
        </is>
      </c>
      <c r="F2050" s="12" t="n">
        <v>46.92</v>
      </c>
      <c r="G2050" s="17" t="n">
        <v>118668.08</v>
      </c>
      <c r="H2050" s="26" t="n">
        <v>44695</v>
      </c>
      <c r="I2050" s="26" t="n">
        <v>44699</v>
      </c>
      <c r="J2050" s="12" t="n">
        <v>45.6</v>
      </c>
      <c r="K2050" s="17" t="n">
        <v>5567906.31</v>
      </c>
      <c r="L2050" s="12" t="n">
        <v>0.03</v>
      </c>
      <c r="M2050" s="12" t="n">
        <v>25</v>
      </c>
      <c r="N2050" s="27">
        <f>F2050-J2050</f>
        <v/>
      </c>
      <c r="O2050" s="16">
        <f>I2050-H2050</f>
        <v/>
      </c>
      <c r="P2050" s="14">
        <f>F2050*G2050</f>
        <v/>
      </c>
      <c r="Q2050" s="14">
        <f>J2050*G2050</f>
        <v/>
      </c>
      <c r="R2050" s="14">
        <f>K2050-Q2050</f>
        <v/>
      </c>
      <c r="S2050" s="3">
        <f>P2050*Assumptions!$B$3/100</f>
        <v/>
      </c>
      <c r="T2050" s="14">
        <f>R2050-S2050</f>
        <v/>
      </c>
      <c r="U2050" s="14">
        <f>L2050*G2050</f>
        <v/>
      </c>
    </row>
    <row r="2051">
      <c r="A2051" s="12" t="inlineStr">
        <is>
          <t>PO-2022-2049</t>
        </is>
      </c>
      <c r="B2051" s="26" t="n">
        <v>44468</v>
      </c>
      <c r="C2051" s="12" t="inlineStr">
        <is>
          <t>VS19</t>
        </is>
      </c>
      <c r="D2051" s="12" t="inlineStr">
        <is>
          <t>SS Pipes</t>
        </is>
      </c>
      <c r="E2051" s="12" t="inlineStr">
        <is>
          <t>N</t>
        </is>
      </c>
      <c r="F2051" s="12" t="n">
        <v>44.83</v>
      </c>
      <c r="G2051" s="17" t="n">
        <v>62946.57</v>
      </c>
      <c r="H2051" s="26" t="n">
        <v>44478</v>
      </c>
      <c r="I2051" s="26" t="n">
        <v>44484</v>
      </c>
      <c r="J2051" s="12" t="n">
        <v>43.66</v>
      </c>
      <c r="K2051" s="17" t="n">
        <v>2821894.73</v>
      </c>
      <c r="L2051" s="12" t="n">
        <v>0.15</v>
      </c>
      <c r="M2051" s="12" t="n">
        <v>0</v>
      </c>
      <c r="N2051" s="27">
        <f>F2051-J2051</f>
        <v/>
      </c>
      <c r="O2051" s="16">
        <f>I2051-H2051</f>
        <v/>
      </c>
      <c r="P2051" s="14">
        <f>F2051*G2051</f>
        <v/>
      </c>
      <c r="Q2051" s="14">
        <f>J2051*G2051</f>
        <v/>
      </c>
      <c r="R2051" s="14">
        <f>K2051-Q2051</f>
        <v/>
      </c>
      <c r="S2051" s="3">
        <f>P2051*Assumptions!$B$3/100</f>
        <v/>
      </c>
      <c r="T2051" s="14">
        <f>R2051-S2051</f>
        <v/>
      </c>
      <c r="U2051" s="14">
        <f>L2051*G2051</f>
        <v/>
      </c>
    </row>
    <row r="2052">
      <c r="A2052" s="12" t="inlineStr">
        <is>
          <t>PO-2022-2050</t>
        </is>
      </c>
      <c r="B2052" s="26" t="n">
        <v>45137</v>
      </c>
      <c r="C2052" s="12" t="inlineStr">
        <is>
          <t>VS16</t>
        </is>
      </c>
      <c r="D2052" s="12" t="inlineStr">
        <is>
          <t>Fasteners &amp; Fittings</t>
        </is>
      </c>
      <c r="E2052" s="12" t="inlineStr">
        <is>
          <t>N</t>
        </is>
      </c>
      <c r="F2052" s="12" t="n">
        <v>49.5</v>
      </c>
      <c r="G2052" s="17" t="n">
        <v>104756.52</v>
      </c>
      <c r="H2052" s="26" t="n">
        <v>45147</v>
      </c>
      <c r="I2052" s="26" t="n">
        <v>45149</v>
      </c>
      <c r="J2052" s="12" t="n">
        <v>49.28</v>
      </c>
      <c r="K2052" s="17" t="n">
        <v>5185447.74</v>
      </c>
      <c r="L2052" s="12" t="n">
        <v>0</v>
      </c>
      <c r="M2052" s="12" t="n">
        <v>14</v>
      </c>
      <c r="N2052" s="27">
        <f>F2052-J2052</f>
        <v/>
      </c>
      <c r="O2052" s="16">
        <f>I2052-H2052</f>
        <v/>
      </c>
      <c r="P2052" s="14">
        <f>F2052*G2052</f>
        <v/>
      </c>
      <c r="Q2052" s="14">
        <f>J2052*G2052</f>
        <v/>
      </c>
      <c r="R2052" s="14">
        <f>K2052-Q2052</f>
        <v/>
      </c>
      <c r="S2052" s="3">
        <f>P2052*Assumptions!$B$3/100</f>
        <v/>
      </c>
      <c r="T2052" s="14">
        <f>R2052-S2052</f>
        <v/>
      </c>
      <c r="U2052" s="14">
        <f>L2052*G2052</f>
        <v/>
      </c>
    </row>
    <row r="2053">
      <c r="A2053" s="12" t="inlineStr">
        <is>
          <t>PO-2022-2051</t>
        </is>
      </c>
      <c r="B2053" s="26" t="n">
        <v>45221</v>
      </c>
      <c r="C2053" s="12" t="inlineStr">
        <is>
          <t>VS08</t>
        </is>
      </c>
      <c r="D2053" s="12" t="inlineStr">
        <is>
          <t>MS Flats</t>
        </is>
      </c>
      <c r="E2053" s="12" t="inlineStr">
        <is>
          <t>N</t>
        </is>
      </c>
      <c r="F2053" s="12" t="n">
        <v>43.73</v>
      </c>
      <c r="G2053" s="17" t="n">
        <v>113165.9</v>
      </c>
      <c r="H2053" s="26" t="n">
        <v>45227</v>
      </c>
      <c r="I2053" s="26" t="n">
        <v>45227</v>
      </c>
      <c r="J2053" s="12" t="n">
        <v>43.58</v>
      </c>
      <c r="K2053" s="17" t="n">
        <v>4948744.81</v>
      </c>
      <c r="L2053" s="12" t="n">
        <v>0</v>
      </c>
      <c r="M2053" s="12" t="n">
        <v>21</v>
      </c>
      <c r="N2053" s="27">
        <f>F2053-J2053</f>
        <v/>
      </c>
      <c r="O2053" s="16">
        <f>I2053-H2053</f>
        <v/>
      </c>
      <c r="P2053" s="14">
        <f>F2053*G2053</f>
        <v/>
      </c>
      <c r="Q2053" s="14">
        <f>J2053*G2053</f>
        <v/>
      </c>
      <c r="R2053" s="14">
        <f>K2053-Q2053</f>
        <v/>
      </c>
      <c r="S2053" s="3">
        <f>P2053*Assumptions!$B$3/100</f>
        <v/>
      </c>
      <c r="T2053" s="14">
        <f>R2053-S2053</f>
        <v/>
      </c>
      <c r="U2053" s="14">
        <f>L2053*G2053</f>
        <v/>
      </c>
    </row>
    <row r="2054">
      <c r="A2054" s="12" t="inlineStr">
        <is>
          <t>PO-2022-2052</t>
        </is>
      </c>
      <c r="B2054" s="26" t="n">
        <v>45143</v>
      </c>
      <c r="C2054" s="12" t="inlineStr">
        <is>
          <t>VS05</t>
        </is>
      </c>
      <c r="D2054" s="12" t="inlineStr">
        <is>
          <t>MS Pipes</t>
        </is>
      </c>
      <c r="E2054" s="12" t="inlineStr">
        <is>
          <t>N</t>
        </is>
      </c>
      <c r="F2054" s="12" t="n">
        <v>37.68</v>
      </c>
      <c r="G2054" s="17" t="n">
        <v>96151.77</v>
      </c>
      <c r="H2054" s="26" t="n">
        <v>45152</v>
      </c>
      <c r="I2054" s="26" t="n">
        <v>45155</v>
      </c>
      <c r="J2054" s="12" t="n">
        <v>37.51</v>
      </c>
      <c r="K2054" s="17" t="n">
        <v>3622998.69</v>
      </c>
      <c r="L2054" s="12" t="n">
        <v>0</v>
      </c>
      <c r="M2054" s="12" t="n">
        <v>9</v>
      </c>
      <c r="N2054" s="27">
        <f>F2054-J2054</f>
        <v/>
      </c>
      <c r="O2054" s="16">
        <f>I2054-H2054</f>
        <v/>
      </c>
      <c r="P2054" s="14">
        <f>F2054*G2054</f>
        <v/>
      </c>
      <c r="Q2054" s="14">
        <f>J2054*G2054</f>
        <v/>
      </c>
      <c r="R2054" s="14">
        <f>K2054-Q2054</f>
        <v/>
      </c>
      <c r="S2054" s="3">
        <f>P2054*Assumptions!$B$3/100</f>
        <v/>
      </c>
      <c r="T2054" s="14">
        <f>R2054-S2054</f>
        <v/>
      </c>
      <c r="U2054" s="14">
        <f>L2054*G2054</f>
        <v/>
      </c>
    </row>
    <row r="2055">
      <c r="A2055" s="12" t="inlineStr">
        <is>
          <t>PO-2022-2053</t>
        </is>
      </c>
      <c r="B2055" s="26" t="n">
        <v>45261</v>
      </c>
      <c r="C2055" s="12" t="inlineStr">
        <is>
          <t>VS31</t>
        </is>
      </c>
      <c r="D2055" s="12" t="inlineStr">
        <is>
          <t>MS Rods</t>
        </is>
      </c>
      <c r="E2055" s="12" t="inlineStr">
        <is>
          <t>N</t>
        </is>
      </c>
      <c r="F2055" s="12" t="n">
        <v>4.45</v>
      </c>
      <c r="G2055" s="17" t="n">
        <v>76281.72</v>
      </c>
      <c r="H2055" s="26" t="n">
        <v>45268</v>
      </c>
      <c r="I2055" s="26" t="n">
        <v>45268</v>
      </c>
      <c r="J2055" s="12" t="n">
        <v>4.44</v>
      </c>
      <c r="K2055" s="17" t="n">
        <v>339453.65</v>
      </c>
      <c r="L2055" s="12" t="n">
        <v>0</v>
      </c>
      <c r="M2055" s="12" t="n">
        <v>18</v>
      </c>
      <c r="N2055" s="27">
        <f>F2055-J2055</f>
        <v/>
      </c>
      <c r="O2055" s="16">
        <f>I2055-H2055</f>
        <v/>
      </c>
      <c r="P2055" s="14">
        <f>F2055*G2055</f>
        <v/>
      </c>
      <c r="Q2055" s="14">
        <f>J2055*G2055</f>
        <v/>
      </c>
      <c r="R2055" s="14">
        <f>K2055-Q2055</f>
        <v/>
      </c>
      <c r="S2055" s="3">
        <f>P2055*Assumptions!$B$3/100</f>
        <v/>
      </c>
      <c r="T2055" s="14">
        <f>R2055-S2055</f>
        <v/>
      </c>
      <c r="U2055" s="14">
        <f>L2055*G2055</f>
        <v/>
      </c>
    </row>
    <row r="2056">
      <c r="A2056" s="12" t="inlineStr">
        <is>
          <t>PO-2022-2054</t>
        </is>
      </c>
      <c r="B2056" s="26" t="n">
        <v>44444</v>
      </c>
      <c r="C2056" s="12" t="inlineStr">
        <is>
          <t>VS02</t>
        </is>
      </c>
      <c r="D2056" s="12" t="inlineStr">
        <is>
          <t>Fasteners &amp; Fittings</t>
        </is>
      </c>
      <c r="E2056" s="12" t="inlineStr">
        <is>
          <t>N</t>
        </is>
      </c>
      <c r="F2056" s="12" t="n">
        <v>24.56</v>
      </c>
      <c r="G2056" s="17" t="n">
        <v>99452.38</v>
      </c>
      <c r="H2056" s="26" t="n">
        <v>44451</v>
      </c>
      <c r="I2056" s="26" t="n">
        <v>44453</v>
      </c>
      <c r="J2056" s="12" t="n">
        <v>24.46</v>
      </c>
      <c r="K2056" s="17" t="n">
        <v>2442550.45</v>
      </c>
      <c r="L2056" s="12" t="n">
        <v>0</v>
      </c>
      <c r="M2056" s="12" t="n">
        <v>0</v>
      </c>
      <c r="N2056" s="27">
        <f>F2056-J2056</f>
        <v/>
      </c>
      <c r="O2056" s="16">
        <f>I2056-H2056</f>
        <v/>
      </c>
      <c r="P2056" s="14">
        <f>F2056*G2056</f>
        <v/>
      </c>
      <c r="Q2056" s="14">
        <f>J2056*G2056</f>
        <v/>
      </c>
      <c r="R2056" s="14">
        <f>K2056-Q2056</f>
        <v/>
      </c>
      <c r="S2056" s="3">
        <f>P2056*Assumptions!$B$3/100</f>
        <v/>
      </c>
      <c r="T2056" s="14">
        <f>R2056-S2056</f>
        <v/>
      </c>
      <c r="U2056" s="14">
        <f>L2056*G2056</f>
        <v/>
      </c>
    </row>
    <row r="2057">
      <c r="A2057" s="12" t="inlineStr">
        <is>
          <t>PO-2022-2055</t>
        </is>
      </c>
      <c r="B2057" s="26" t="n">
        <v>45012</v>
      </c>
      <c r="C2057" s="12" t="inlineStr">
        <is>
          <t>VS03</t>
        </is>
      </c>
      <c r="D2057" s="12" t="inlineStr">
        <is>
          <t>Angles &amp; Channels</t>
        </is>
      </c>
      <c r="E2057" s="12" t="inlineStr">
        <is>
          <t>N</t>
        </is>
      </c>
      <c r="F2057" s="12" t="n">
        <v>20.57</v>
      </c>
      <c r="G2057" s="17" t="n">
        <v>119136.41</v>
      </c>
      <c r="H2057" s="26" t="n">
        <v>45025</v>
      </c>
      <c r="I2057" s="26" t="n">
        <v>45033</v>
      </c>
      <c r="J2057" s="12" t="n">
        <v>19.9</v>
      </c>
      <c r="K2057" s="17" t="n">
        <v>2450635.95</v>
      </c>
      <c r="L2057" s="12" t="n">
        <v>0.12</v>
      </c>
      <c r="M2057" s="12" t="n">
        <v>0</v>
      </c>
      <c r="N2057" s="27">
        <f>F2057-J2057</f>
        <v/>
      </c>
      <c r="O2057" s="16">
        <f>I2057-H2057</f>
        <v/>
      </c>
      <c r="P2057" s="14">
        <f>F2057*G2057</f>
        <v/>
      </c>
      <c r="Q2057" s="14">
        <f>J2057*G2057</f>
        <v/>
      </c>
      <c r="R2057" s="14">
        <f>K2057-Q2057</f>
        <v/>
      </c>
      <c r="S2057" s="3">
        <f>P2057*Assumptions!$B$3/100</f>
        <v/>
      </c>
      <c r="T2057" s="14">
        <f>R2057-S2057</f>
        <v/>
      </c>
      <c r="U2057" s="14">
        <f>L2057*G2057</f>
        <v/>
      </c>
    </row>
    <row r="2058">
      <c r="A2058" s="12" t="inlineStr">
        <is>
          <t>PO-2022-2056</t>
        </is>
      </c>
      <c r="B2058" s="26" t="n">
        <v>45098</v>
      </c>
      <c r="C2058" s="12" t="inlineStr">
        <is>
          <t>VS28</t>
        </is>
      </c>
      <c r="D2058" s="12" t="inlineStr">
        <is>
          <t>ERW Pipes</t>
        </is>
      </c>
      <c r="E2058" s="12" t="inlineStr">
        <is>
          <t>N</t>
        </is>
      </c>
      <c r="F2058" s="12" t="n">
        <v>6.08</v>
      </c>
      <c r="G2058" s="17" t="n">
        <v>108530.28</v>
      </c>
      <c r="H2058" s="26" t="n">
        <v>45113</v>
      </c>
      <c r="I2058" s="26" t="n">
        <v>45113</v>
      </c>
      <c r="J2058" s="12" t="n">
        <v>6.06</v>
      </c>
      <c r="K2058" s="17" t="n">
        <v>659864.1</v>
      </c>
      <c r="L2058" s="12" t="n">
        <v>0</v>
      </c>
      <c r="M2058" s="12" t="n">
        <v>0</v>
      </c>
      <c r="N2058" s="27">
        <f>F2058-J2058</f>
        <v/>
      </c>
      <c r="O2058" s="16">
        <f>I2058-H2058</f>
        <v/>
      </c>
      <c r="P2058" s="14">
        <f>F2058*G2058</f>
        <v/>
      </c>
      <c r="Q2058" s="14">
        <f>J2058*G2058</f>
        <v/>
      </c>
      <c r="R2058" s="14">
        <f>K2058-Q2058</f>
        <v/>
      </c>
      <c r="S2058" s="3">
        <f>P2058*Assumptions!$B$3/100</f>
        <v/>
      </c>
      <c r="T2058" s="14">
        <f>R2058-S2058</f>
        <v/>
      </c>
      <c r="U2058" s="14">
        <f>L2058*G2058</f>
        <v/>
      </c>
    </row>
    <row r="2059">
      <c r="A2059" s="12" t="inlineStr">
        <is>
          <t>PO-2022-2057</t>
        </is>
      </c>
      <c r="B2059" s="26" t="n">
        <v>44425</v>
      </c>
      <c r="C2059" s="12" t="inlineStr">
        <is>
          <t>VS11</t>
        </is>
      </c>
      <c r="D2059" s="12" t="inlineStr">
        <is>
          <t>Angles &amp; Channels</t>
        </is>
      </c>
      <c r="E2059" s="12" t="inlineStr">
        <is>
          <t>N</t>
        </is>
      </c>
      <c r="F2059" s="12" t="n">
        <v>21.23</v>
      </c>
      <c r="G2059" s="17" t="n">
        <v>70487.60000000001</v>
      </c>
      <c r="H2059" s="26" t="n">
        <v>44431</v>
      </c>
      <c r="I2059" s="26" t="n">
        <v>44433</v>
      </c>
      <c r="J2059" s="12" t="n">
        <v>21.12</v>
      </c>
      <c r="K2059" s="17" t="n">
        <v>1496451.75</v>
      </c>
      <c r="L2059" s="12" t="n">
        <v>0</v>
      </c>
      <c r="M2059" s="12" t="n">
        <v>17</v>
      </c>
      <c r="N2059" s="27">
        <f>F2059-J2059</f>
        <v/>
      </c>
      <c r="O2059" s="16">
        <f>I2059-H2059</f>
        <v/>
      </c>
      <c r="P2059" s="14">
        <f>F2059*G2059</f>
        <v/>
      </c>
      <c r="Q2059" s="14">
        <f>J2059*G2059</f>
        <v/>
      </c>
      <c r="R2059" s="14">
        <f>K2059-Q2059</f>
        <v/>
      </c>
      <c r="S2059" s="3">
        <f>P2059*Assumptions!$B$3/100</f>
        <v/>
      </c>
      <c r="T2059" s="14">
        <f>R2059-S2059</f>
        <v/>
      </c>
      <c r="U2059" s="14">
        <f>L2059*G2059</f>
        <v/>
      </c>
    </row>
    <row r="2060">
      <c r="A2060" s="12" t="inlineStr">
        <is>
          <t>PO-2022-2058</t>
        </is>
      </c>
      <c r="B2060" s="26" t="n">
        <v>45185</v>
      </c>
      <c r="C2060" s="12" t="inlineStr">
        <is>
          <t>VS14</t>
        </is>
      </c>
      <c r="D2060" s="12" t="inlineStr">
        <is>
          <t>CR Sheets</t>
        </is>
      </c>
      <c r="E2060" s="12" t="inlineStr">
        <is>
          <t>N</t>
        </is>
      </c>
      <c r="F2060" s="12" t="n">
        <v>5.76</v>
      </c>
      <c r="G2060" s="17" t="n">
        <v>93152.67</v>
      </c>
      <c r="H2060" s="26" t="n">
        <v>45189</v>
      </c>
      <c r="I2060" s="26" t="n">
        <v>45189</v>
      </c>
      <c r="J2060" s="12" t="n">
        <v>5.72</v>
      </c>
      <c r="K2060" s="17" t="n">
        <v>536559.38</v>
      </c>
      <c r="L2060" s="12" t="n">
        <v>0</v>
      </c>
      <c r="M2060" s="12" t="n">
        <v>20</v>
      </c>
      <c r="N2060" s="27">
        <f>F2060-J2060</f>
        <v/>
      </c>
      <c r="O2060" s="16">
        <f>I2060-H2060</f>
        <v/>
      </c>
      <c r="P2060" s="14">
        <f>F2060*G2060</f>
        <v/>
      </c>
      <c r="Q2060" s="14">
        <f>J2060*G2060</f>
        <v/>
      </c>
      <c r="R2060" s="14">
        <f>K2060-Q2060</f>
        <v/>
      </c>
      <c r="S2060" s="3">
        <f>P2060*Assumptions!$B$3/100</f>
        <v/>
      </c>
      <c r="T2060" s="14">
        <f>R2060-S2060</f>
        <v/>
      </c>
      <c r="U2060" s="14">
        <f>L2060*G2060</f>
        <v/>
      </c>
    </row>
    <row r="2061">
      <c r="A2061" s="12" t="inlineStr">
        <is>
          <t>PO-2022-2059</t>
        </is>
      </c>
      <c r="B2061" s="26" t="n">
        <v>45135</v>
      </c>
      <c r="C2061" s="12" t="inlineStr">
        <is>
          <t>VS32</t>
        </is>
      </c>
      <c r="D2061" s="12" t="inlineStr">
        <is>
          <t>HR Coils</t>
        </is>
      </c>
      <c r="E2061" s="12" t="inlineStr">
        <is>
          <t>N</t>
        </is>
      </c>
      <c r="F2061" s="12" t="n">
        <v>38.09</v>
      </c>
      <c r="G2061" s="17" t="n">
        <v>70683.22</v>
      </c>
      <c r="H2061" s="26" t="n">
        <v>45149</v>
      </c>
      <c r="I2061" s="26" t="n">
        <v>45150</v>
      </c>
      <c r="J2061" s="12" t="n">
        <v>38.02</v>
      </c>
      <c r="K2061" s="17" t="n">
        <v>2692323.85</v>
      </c>
      <c r="L2061" s="12" t="n">
        <v>0</v>
      </c>
      <c r="M2061" s="12" t="n">
        <v>0</v>
      </c>
      <c r="N2061" s="27">
        <f>F2061-J2061</f>
        <v/>
      </c>
      <c r="O2061" s="16">
        <f>I2061-H2061</f>
        <v/>
      </c>
      <c r="P2061" s="14">
        <f>F2061*G2061</f>
        <v/>
      </c>
      <c r="Q2061" s="14">
        <f>J2061*G2061</f>
        <v/>
      </c>
      <c r="R2061" s="14">
        <f>K2061-Q2061</f>
        <v/>
      </c>
      <c r="S2061" s="3">
        <f>P2061*Assumptions!$B$3/100</f>
        <v/>
      </c>
      <c r="T2061" s="14">
        <f>R2061-S2061</f>
        <v/>
      </c>
      <c r="U2061" s="14">
        <f>L2061*G2061</f>
        <v/>
      </c>
    </row>
    <row r="2062">
      <c r="A2062" s="12" t="inlineStr">
        <is>
          <t>PO-2022-2060</t>
        </is>
      </c>
      <c r="B2062" s="26" t="n">
        <v>45107</v>
      </c>
      <c r="C2062" s="12" t="inlineStr">
        <is>
          <t>VS22</t>
        </is>
      </c>
      <c r="D2062" s="12" t="inlineStr">
        <is>
          <t>Fasteners &amp; Fittings</t>
        </is>
      </c>
      <c r="E2062" s="12" t="inlineStr">
        <is>
          <t>N</t>
        </is>
      </c>
      <c r="F2062" s="12" t="n">
        <v>35.28</v>
      </c>
      <c r="G2062" s="17" t="n">
        <v>87617.34</v>
      </c>
      <c r="H2062" s="26" t="n">
        <v>45119</v>
      </c>
      <c r="I2062" s="26" t="n">
        <v>45122</v>
      </c>
      <c r="J2062" s="12" t="n">
        <v>35.25</v>
      </c>
      <c r="K2062" s="17" t="n">
        <v>3091139.76</v>
      </c>
      <c r="L2062" s="12" t="n">
        <v>0</v>
      </c>
      <c r="M2062" s="12" t="n">
        <v>2</v>
      </c>
      <c r="N2062" s="27">
        <f>F2062-J2062</f>
        <v/>
      </c>
      <c r="O2062" s="16">
        <f>I2062-H2062</f>
        <v/>
      </c>
      <c r="P2062" s="14">
        <f>F2062*G2062</f>
        <v/>
      </c>
      <c r="Q2062" s="14">
        <f>J2062*G2062</f>
        <v/>
      </c>
      <c r="R2062" s="14">
        <f>K2062-Q2062</f>
        <v/>
      </c>
      <c r="S2062" s="3">
        <f>P2062*Assumptions!$B$3/100</f>
        <v/>
      </c>
      <c r="T2062" s="14">
        <f>R2062-S2062</f>
        <v/>
      </c>
      <c r="U2062" s="14">
        <f>L2062*G2062</f>
        <v/>
      </c>
    </row>
    <row r="2063">
      <c r="A2063" s="12" t="inlineStr">
        <is>
          <t>PO-2022-2061</t>
        </is>
      </c>
      <c r="B2063" s="26" t="n">
        <v>44270</v>
      </c>
      <c r="C2063" s="12" t="inlineStr">
        <is>
          <t>VS09</t>
        </is>
      </c>
      <c r="D2063" s="12" t="inlineStr">
        <is>
          <t>Square/Rect Tubes</t>
        </is>
      </c>
      <c r="E2063" s="12" t="inlineStr">
        <is>
          <t>N</t>
        </is>
      </c>
      <c r="F2063" s="12" t="n">
        <v>26.57</v>
      </c>
      <c r="G2063" s="17" t="n">
        <v>46945.54</v>
      </c>
      <c r="H2063" s="26" t="n">
        <v>44278</v>
      </c>
      <c r="I2063" s="26" t="n">
        <v>44279</v>
      </c>
      <c r="J2063" s="12" t="n">
        <v>26.46</v>
      </c>
      <c r="K2063" s="17" t="n">
        <v>1247343</v>
      </c>
      <c r="L2063" s="12" t="n">
        <v>0</v>
      </c>
      <c r="M2063" s="12" t="n">
        <v>0</v>
      </c>
      <c r="N2063" s="27">
        <f>F2063-J2063</f>
        <v/>
      </c>
      <c r="O2063" s="16">
        <f>I2063-H2063</f>
        <v/>
      </c>
      <c r="P2063" s="14">
        <f>F2063*G2063</f>
        <v/>
      </c>
      <c r="Q2063" s="14">
        <f>J2063*G2063</f>
        <v/>
      </c>
      <c r="R2063" s="14">
        <f>K2063-Q2063</f>
        <v/>
      </c>
      <c r="S2063" s="3">
        <f>P2063*Assumptions!$B$3/100</f>
        <v/>
      </c>
      <c r="T2063" s="14">
        <f>R2063-S2063</f>
        <v/>
      </c>
      <c r="U2063" s="14">
        <f>L2063*G2063</f>
        <v/>
      </c>
    </row>
    <row r="2064">
      <c r="A2064" s="12" t="inlineStr">
        <is>
          <t>PO-2022-2062</t>
        </is>
      </c>
      <c r="B2064" s="26" t="n">
        <v>44939</v>
      </c>
      <c r="C2064" s="12" t="inlineStr">
        <is>
          <t>VS19</t>
        </is>
      </c>
      <c r="D2064" s="12" t="inlineStr">
        <is>
          <t>SS Sheets</t>
        </is>
      </c>
      <c r="E2064" s="12" t="inlineStr">
        <is>
          <t>N</t>
        </is>
      </c>
      <c r="F2064" s="12" t="n">
        <v>47.29</v>
      </c>
      <c r="G2064" s="17" t="n">
        <v>59147.59</v>
      </c>
      <c r="H2064" s="26" t="n">
        <v>44952</v>
      </c>
      <c r="I2064" s="26" t="n">
        <v>44957</v>
      </c>
      <c r="J2064" s="12" t="n">
        <v>45.38</v>
      </c>
      <c r="K2064" s="17" t="n">
        <v>2797089.53</v>
      </c>
      <c r="L2064" s="12" t="n">
        <v>0.01</v>
      </c>
      <c r="M2064" s="12" t="n">
        <v>1</v>
      </c>
      <c r="N2064" s="27">
        <f>F2064-J2064</f>
        <v/>
      </c>
      <c r="O2064" s="16">
        <f>I2064-H2064</f>
        <v/>
      </c>
      <c r="P2064" s="14">
        <f>F2064*G2064</f>
        <v/>
      </c>
      <c r="Q2064" s="14">
        <f>J2064*G2064</f>
        <v/>
      </c>
      <c r="R2064" s="14">
        <f>K2064-Q2064</f>
        <v/>
      </c>
      <c r="S2064" s="3">
        <f>P2064*Assumptions!$B$3/100</f>
        <v/>
      </c>
      <c r="T2064" s="14">
        <f>R2064-S2064</f>
        <v/>
      </c>
      <c r="U2064" s="14">
        <f>L2064*G2064</f>
        <v/>
      </c>
    </row>
    <row r="2065">
      <c r="A2065" s="12" t="inlineStr">
        <is>
          <t>PO-2022-2063</t>
        </is>
      </c>
      <c r="B2065" s="26" t="n">
        <v>44821</v>
      </c>
      <c r="C2065" s="12" t="inlineStr">
        <is>
          <t>VS31</t>
        </is>
      </c>
      <c r="D2065" s="12" t="inlineStr">
        <is>
          <t>Fasteners &amp; Fittings</t>
        </is>
      </c>
      <c r="E2065" s="12" t="inlineStr">
        <is>
          <t>N</t>
        </is>
      </c>
      <c r="F2065" s="12" t="n">
        <v>33.99</v>
      </c>
      <c r="G2065" s="17" t="n">
        <v>56583.1</v>
      </c>
      <c r="H2065" s="26" t="n">
        <v>44836</v>
      </c>
      <c r="I2065" s="26" t="n">
        <v>44837</v>
      </c>
      <c r="J2065" s="12" t="n">
        <v>33.93</v>
      </c>
      <c r="K2065" s="17" t="n">
        <v>1923259.57</v>
      </c>
      <c r="L2065" s="12" t="n">
        <v>0</v>
      </c>
      <c r="M2065" s="12" t="n">
        <v>3</v>
      </c>
      <c r="N2065" s="27">
        <f>F2065-J2065</f>
        <v/>
      </c>
      <c r="O2065" s="16">
        <f>I2065-H2065</f>
        <v/>
      </c>
      <c r="P2065" s="14">
        <f>F2065*G2065</f>
        <v/>
      </c>
      <c r="Q2065" s="14">
        <f>J2065*G2065</f>
        <v/>
      </c>
      <c r="R2065" s="14">
        <f>K2065-Q2065</f>
        <v/>
      </c>
      <c r="S2065" s="3">
        <f>P2065*Assumptions!$B$3/100</f>
        <v/>
      </c>
      <c r="T2065" s="14">
        <f>R2065-S2065</f>
        <v/>
      </c>
      <c r="U2065" s="14">
        <f>L2065*G2065</f>
        <v/>
      </c>
    </row>
    <row r="2066">
      <c r="A2066" s="12" t="inlineStr">
        <is>
          <t>PO-2022-2064</t>
        </is>
      </c>
      <c r="B2066" s="26" t="n">
        <v>44460</v>
      </c>
      <c r="C2066" s="12" t="inlineStr">
        <is>
          <t>VS10</t>
        </is>
      </c>
      <c r="D2066" s="12" t="inlineStr">
        <is>
          <t>SS Sheets</t>
        </is>
      </c>
      <c r="E2066" s="12" t="inlineStr">
        <is>
          <t>N</t>
        </is>
      </c>
      <c r="F2066" s="12" t="n">
        <v>43.1</v>
      </c>
      <c r="G2066" s="17" t="n">
        <v>64297.93</v>
      </c>
      <c r="H2066" s="26" t="n">
        <v>44466</v>
      </c>
      <c r="I2066" s="26" t="n">
        <v>44466</v>
      </c>
      <c r="J2066" s="12" t="n">
        <v>42.86</v>
      </c>
      <c r="K2066" s="17" t="n">
        <v>2771240.78</v>
      </c>
      <c r="L2066" s="12" t="n">
        <v>0</v>
      </c>
      <c r="M2066" s="12" t="n">
        <v>4</v>
      </c>
      <c r="N2066" s="27">
        <f>F2066-J2066</f>
        <v/>
      </c>
      <c r="O2066" s="16">
        <f>I2066-H2066</f>
        <v/>
      </c>
      <c r="P2066" s="14">
        <f>F2066*G2066</f>
        <v/>
      </c>
      <c r="Q2066" s="14">
        <f>J2066*G2066</f>
        <v/>
      </c>
      <c r="R2066" s="14">
        <f>K2066-Q2066</f>
        <v/>
      </c>
      <c r="S2066" s="3">
        <f>P2066*Assumptions!$B$3/100</f>
        <v/>
      </c>
      <c r="T2066" s="14">
        <f>R2066-S2066</f>
        <v/>
      </c>
      <c r="U2066" s="14">
        <f>L2066*G2066</f>
        <v/>
      </c>
    </row>
    <row r="2067">
      <c r="A2067" s="12" t="inlineStr">
        <is>
          <t>PO-2022-2065</t>
        </is>
      </c>
      <c r="B2067" s="26" t="n">
        <v>44254</v>
      </c>
      <c r="C2067" s="12" t="inlineStr">
        <is>
          <t>VS14</t>
        </is>
      </c>
      <c r="D2067" s="12" t="inlineStr">
        <is>
          <t>SS Sheets</t>
        </is>
      </c>
      <c r="E2067" s="12" t="inlineStr">
        <is>
          <t>N</t>
        </is>
      </c>
      <c r="F2067" s="12" t="n">
        <v>8.27</v>
      </c>
      <c r="G2067" s="17" t="n">
        <v>45905</v>
      </c>
      <c r="H2067" s="26" t="n">
        <v>44262</v>
      </c>
      <c r="I2067" s="26" t="n">
        <v>44263</v>
      </c>
      <c r="J2067" s="12" t="n">
        <v>8.19</v>
      </c>
      <c r="K2067" s="17" t="n">
        <v>379634.35</v>
      </c>
      <c r="L2067" s="12" t="n">
        <v>0</v>
      </c>
      <c r="M2067" s="12" t="n">
        <v>22</v>
      </c>
      <c r="N2067" s="27">
        <f>F2067-J2067</f>
        <v/>
      </c>
      <c r="O2067" s="16">
        <f>I2067-H2067</f>
        <v/>
      </c>
      <c r="P2067" s="14">
        <f>F2067*G2067</f>
        <v/>
      </c>
      <c r="Q2067" s="14">
        <f>J2067*G2067</f>
        <v/>
      </c>
      <c r="R2067" s="14">
        <f>K2067-Q2067</f>
        <v/>
      </c>
      <c r="S2067" s="3">
        <f>P2067*Assumptions!$B$3/100</f>
        <v/>
      </c>
      <c r="T2067" s="14">
        <f>R2067-S2067</f>
        <v/>
      </c>
      <c r="U2067" s="14">
        <f>L2067*G2067</f>
        <v/>
      </c>
    </row>
    <row r="2068">
      <c r="A2068" s="12" t="inlineStr">
        <is>
          <t>PO-2022-2066</t>
        </is>
      </c>
      <c r="B2068" s="26" t="n">
        <v>45238</v>
      </c>
      <c r="C2068" s="12" t="inlineStr">
        <is>
          <t>VS34</t>
        </is>
      </c>
      <c r="D2068" s="12" t="inlineStr">
        <is>
          <t>MS Rods</t>
        </is>
      </c>
      <c r="E2068" s="12" t="inlineStr">
        <is>
          <t>N</t>
        </is>
      </c>
      <c r="F2068" s="12" t="n">
        <v>24.37</v>
      </c>
      <c r="G2068" s="17" t="n">
        <v>112500.3</v>
      </c>
      <c r="H2068" s="26" t="n">
        <v>45246</v>
      </c>
      <c r="I2068" s="26" t="n">
        <v>45248</v>
      </c>
      <c r="J2068" s="12" t="n">
        <v>24.3</v>
      </c>
      <c r="K2068" s="17" t="n">
        <v>2741632.31</v>
      </c>
      <c r="L2068" s="12" t="n">
        <v>0</v>
      </c>
      <c r="M2068" s="12" t="n">
        <v>8</v>
      </c>
      <c r="N2068" s="27">
        <f>F2068-J2068</f>
        <v/>
      </c>
      <c r="O2068" s="16">
        <f>I2068-H2068</f>
        <v/>
      </c>
      <c r="P2068" s="14">
        <f>F2068*G2068</f>
        <v/>
      </c>
      <c r="Q2068" s="14">
        <f>J2068*G2068</f>
        <v/>
      </c>
      <c r="R2068" s="14">
        <f>K2068-Q2068</f>
        <v/>
      </c>
      <c r="S2068" s="3">
        <f>P2068*Assumptions!$B$3/100</f>
        <v/>
      </c>
      <c r="T2068" s="14">
        <f>R2068-S2068</f>
        <v/>
      </c>
      <c r="U2068" s="14">
        <f>L2068*G2068</f>
        <v/>
      </c>
    </row>
    <row r="2069">
      <c r="A2069" s="12" t="inlineStr">
        <is>
          <t>PO-2022-2067</t>
        </is>
      </c>
      <c r="B2069" s="26" t="n">
        <v>44516</v>
      </c>
      <c r="C2069" s="12" t="inlineStr">
        <is>
          <t>VS33</t>
        </is>
      </c>
      <c r="D2069" s="12" t="inlineStr">
        <is>
          <t>MS Flats</t>
        </is>
      </c>
      <c r="E2069" s="12" t="inlineStr">
        <is>
          <t>Y</t>
        </is>
      </c>
      <c r="F2069" s="12" t="n">
        <v>26.64</v>
      </c>
      <c r="G2069" s="17" t="n">
        <v>73348.41</v>
      </c>
      <c r="H2069" s="26" t="n">
        <v>44526</v>
      </c>
      <c r="I2069" s="26" t="n">
        <v>44529</v>
      </c>
      <c r="J2069" s="12" t="n">
        <v>26.48</v>
      </c>
      <c r="K2069" s="17" t="n">
        <v>1954001.64</v>
      </c>
      <c r="L2069" s="12" t="n">
        <v>0</v>
      </c>
      <c r="M2069" s="12" t="n">
        <v>0</v>
      </c>
      <c r="N2069" s="27">
        <f>F2069-J2069</f>
        <v/>
      </c>
      <c r="O2069" s="16">
        <f>I2069-H2069</f>
        <v/>
      </c>
      <c r="P2069" s="14">
        <f>F2069*G2069</f>
        <v/>
      </c>
      <c r="Q2069" s="14">
        <f>J2069*G2069</f>
        <v/>
      </c>
      <c r="R2069" s="14">
        <f>K2069-Q2069</f>
        <v/>
      </c>
      <c r="S2069" s="3">
        <f>P2069*Assumptions!$B$3/100</f>
        <v/>
      </c>
      <c r="T2069" s="14">
        <f>R2069-S2069</f>
        <v/>
      </c>
      <c r="U2069" s="14">
        <f>L2069*G2069</f>
        <v/>
      </c>
    </row>
    <row r="2070">
      <c r="A2070" s="12" t="inlineStr">
        <is>
          <t>PO-2022-2068</t>
        </is>
      </c>
      <c r="B2070" s="26" t="n">
        <v>44543</v>
      </c>
      <c r="C2070" s="12" t="inlineStr">
        <is>
          <t>VS34</t>
        </is>
      </c>
      <c r="D2070" s="12" t="inlineStr">
        <is>
          <t>Structural Steel</t>
        </is>
      </c>
      <c r="E2070" s="12" t="inlineStr">
        <is>
          <t>N</t>
        </is>
      </c>
      <c r="F2070" s="12" t="n">
        <v>9.59</v>
      </c>
      <c r="G2070" s="17" t="n">
        <v>112285.02</v>
      </c>
      <c r="H2070" s="26" t="n">
        <v>44546</v>
      </c>
      <c r="I2070" s="26" t="n">
        <v>44548</v>
      </c>
      <c r="J2070" s="12" t="n">
        <v>9.550000000000001</v>
      </c>
      <c r="K2070" s="17" t="n">
        <v>1076813.34</v>
      </c>
      <c r="L2070" s="12" t="n">
        <v>0</v>
      </c>
      <c r="M2070" s="12" t="n">
        <v>10</v>
      </c>
      <c r="N2070" s="27">
        <f>F2070-J2070</f>
        <v/>
      </c>
      <c r="O2070" s="16">
        <f>I2070-H2070</f>
        <v/>
      </c>
      <c r="P2070" s="14">
        <f>F2070*G2070</f>
        <v/>
      </c>
      <c r="Q2070" s="14">
        <f>J2070*G2070</f>
        <v/>
      </c>
      <c r="R2070" s="14">
        <f>K2070-Q2070</f>
        <v/>
      </c>
      <c r="S2070" s="3">
        <f>P2070*Assumptions!$B$3/100</f>
        <v/>
      </c>
      <c r="T2070" s="14">
        <f>R2070-S2070</f>
        <v/>
      </c>
      <c r="U2070" s="14">
        <f>L2070*G2070</f>
        <v/>
      </c>
    </row>
    <row r="2071">
      <c r="A2071" s="12" t="inlineStr">
        <is>
          <t>PO-2022-2069</t>
        </is>
      </c>
      <c r="B2071" s="26" t="n">
        <v>44329</v>
      </c>
      <c r="C2071" s="12" t="inlineStr">
        <is>
          <t>VS22</t>
        </is>
      </c>
      <c r="D2071" s="12" t="inlineStr">
        <is>
          <t>HR Coils</t>
        </is>
      </c>
      <c r="E2071" s="12" t="inlineStr">
        <is>
          <t>N</t>
        </is>
      </c>
      <c r="F2071" s="12" t="n">
        <v>16.16</v>
      </c>
      <c r="G2071" s="17" t="n">
        <v>61823.25</v>
      </c>
      <c r="H2071" s="26" t="n">
        <v>44336</v>
      </c>
      <c r="I2071" s="26" t="n">
        <v>44337</v>
      </c>
      <c r="J2071" s="12" t="n">
        <v>16.07</v>
      </c>
      <c r="K2071" s="17" t="n">
        <v>999063.72</v>
      </c>
      <c r="L2071" s="12" t="n">
        <v>0</v>
      </c>
      <c r="M2071" s="12" t="n">
        <v>17</v>
      </c>
      <c r="N2071" s="27">
        <f>F2071-J2071</f>
        <v/>
      </c>
      <c r="O2071" s="16">
        <f>I2071-H2071</f>
        <v/>
      </c>
      <c r="P2071" s="14">
        <f>F2071*G2071</f>
        <v/>
      </c>
      <c r="Q2071" s="14">
        <f>J2071*G2071</f>
        <v/>
      </c>
      <c r="R2071" s="14">
        <f>K2071-Q2071</f>
        <v/>
      </c>
      <c r="S2071" s="3">
        <f>P2071*Assumptions!$B$3/100</f>
        <v/>
      </c>
      <c r="T2071" s="14">
        <f>R2071-S2071</f>
        <v/>
      </c>
      <c r="U2071" s="14">
        <f>L2071*G2071</f>
        <v/>
      </c>
    </row>
    <row r="2072">
      <c r="A2072" s="12" t="inlineStr">
        <is>
          <t>PO-2022-2070</t>
        </is>
      </c>
      <c r="B2072" s="26" t="n">
        <v>44441</v>
      </c>
      <c r="C2072" s="12" t="inlineStr">
        <is>
          <t>VS13</t>
        </is>
      </c>
      <c r="D2072" s="12" t="inlineStr">
        <is>
          <t>Angles &amp; Channels</t>
        </is>
      </c>
      <c r="E2072" s="12" t="inlineStr">
        <is>
          <t>N</t>
        </is>
      </c>
      <c r="F2072" s="12" t="n">
        <v>25.44</v>
      </c>
      <c r="G2072" s="17" t="n">
        <v>87705.60000000001</v>
      </c>
      <c r="H2072" s="26" t="n">
        <v>44454</v>
      </c>
      <c r="I2072" s="26" t="n">
        <v>44454</v>
      </c>
      <c r="J2072" s="12" t="n">
        <v>25.25</v>
      </c>
      <c r="K2072" s="17" t="n">
        <v>2231230.46</v>
      </c>
      <c r="L2072" s="12" t="n">
        <v>0</v>
      </c>
      <c r="M2072" s="12" t="n">
        <v>0</v>
      </c>
      <c r="N2072" s="27">
        <f>F2072-J2072</f>
        <v/>
      </c>
      <c r="O2072" s="16">
        <f>I2072-H2072</f>
        <v/>
      </c>
      <c r="P2072" s="14">
        <f>F2072*G2072</f>
        <v/>
      </c>
      <c r="Q2072" s="14">
        <f>J2072*G2072</f>
        <v/>
      </c>
      <c r="R2072" s="14">
        <f>K2072-Q2072</f>
        <v/>
      </c>
      <c r="S2072" s="3">
        <f>P2072*Assumptions!$B$3/100</f>
        <v/>
      </c>
      <c r="T2072" s="14">
        <f>R2072-S2072</f>
        <v/>
      </c>
      <c r="U2072" s="14">
        <f>L2072*G2072</f>
        <v/>
      </c>
    </row>
    <row r="2073">
      <c r="A2073" s="12" t="inlineStr">
        <is>
          <t>PO-2022-2071</t>
        </is>
      </c>
      <c r="B2073" s="26" t="n">
        <v>44221</v>
      </c>
      <c r="C2073" s="12" t="inlineStr">
        <is>
          <t>VS34</t>
        </is>
      </c>
      <c r="D2073" s="12" t="inlineStr">
        <is>
          <t>HR Coils</t>
        </is>
      </c>
      <c r="E2073" s="12" t="inlineStr">
        <is>
          <t>N</t>
        </is>
      </c>
      <c r="F2073" s="12" t="n">
        <v>37.33</v>
      </c>
      <c r="G2073" s="17" t="n">
        <v>72267.02</v>
      </c>
      <c r="H2073" s="26" t="n">
        <v>44224</v>
      </c>
      <c r="I2073" s="26" t="n">
        <v>44227</v>
      </c>
      <c r="J2073" s="12" t="n">
        <v>37.29</v>
      </c>
      <c r="K2073" s="17" t="n">
        <v>2697727.86</v>
      </c>
      <c r="L2073" s="12" t="n">
        <v>0</v>
      </c>
      <c r="M2073" s="12" t="n">
        <v>0</v>
      </c>
      <c r="N2073" s="27">
        <f>F2073-J2073</f>
        <v/>
      </c>
      <c r="O2073" s="16">
        <f>I2073-H2073</f>
        <v/>
      </c>
      <c r="P2073" s="14">
        <f>F2073*G2073</f>
        <v/>
      </c>
      <c r="Q2073" s="14">
        <f>J2073*G2073</f>
        <v/>
      </c>
      <c r="R2073" s="14">
        <f>K2073-Q2073</f>
        <v/>
      </c>
      <c r="S2073" s="3">
        <f>P2073*Assumptions!$B$3/100</f>
        <v/>
      </c>
      <c r="T2073" s="14">
        <f>R2073-S2073</f>
        <v/>
      </c>
      <c r="U2073" s="14">
        <f>L2073*G2073</f>
        <v/>
      </c>
    </row>
    <row r="2074">
      <c r="A2074" s="12" t="inlineStr">
        <is>
          <t>PO-2022-2072</t>
        </is>
      </c>
      <c r="B2074" s="26" t="n">
        <v>45013</v>
      </c>
      <c r="C2074" s="12" t="inlineStr">
        <is>
          <t>VS07</t>
        </is>
      </c>
      <c r="D2074" s="12" t="inlineStr">
        <is>
          <t>MS Flats</t>
        </is>
      </c>
      <c r="E2074" s="12" t="inlineStr">
        <is>
          <t>N</t>
        </is>
      </c>
      <c r="F2074" s="12" t="n">
        <v>25.86</v>
      </c>
      <c r="G2074" s="17" t="n">
        <v>65360.52</v>
      </c>
      <c r="H2074" s="26" t="n">
        <v>45024</v>
      </c>
      <c r="I2074" s="26" t="n">
        <v>45024</v>
      </c>
      <c r="J2074" s="12" t="n">
        <v>25.84</v>
      </c>
      <c r="K2074" s="17" t="n">
        <v>1690223.05</v>
      </c>
      <c r="L2074" s="12" t="n">
        <v>0</v>
      </c>
      <c r="M2074" s="12" t="n">
        <v>0</v>
      </c>
      <c r="N2074" s="27">
        <f>F2074-J2074</f>
        <v/>
      </c>
      <c r="O2074" s="16">
        <f>I2074-H2074</f>
        <v/>
      </c>
      <c r="P2074" s="14">
        <f>F2074*G2074</f>
        <v/>
      </c>
      <c r="Q2074" s="14">
        <f>J2074*G2074</f>
        <v/>
      </c>
      <c r="R2074" s="14">
        <f>K2074-Q2074</f>
        <v/>
      </c>
      <c r="S2074" s="3">
        <f>P2074*Assumptions!$B$3/100</f>
        <v/>
      </c>
      <c r="T2074" s="14">
        <f>R2074-S2074</f>
        <v/>
      </c>
      <c r="U2074" s="14">
        <f>L2074*G2074</f>
        <v/>
      </c>
    </row>
    <row r="2075">
      <c r="A2075" s="12" t="inlineStr">
        <is>
          <t>PO-2022-2073</t>
        </is>
      </c>
      <c r="B2075" s="26" t="n">
        <v>44359</v>
      </c>
      <c r="C2075" s="12" t="inlineStr">
        <is>
          <t>VS04</t>
        </is>
      </c>
      <c r="D2075" s="12" t="inlineStr">
        <is>
          <t>Fasteners &amp; Fittings</t>
        </is>
      </c>
      <c r="E2075" s="12" t="inlineStr">
        <is>
          <t>N</t>
        </is>
      </c>
      <c r="F2075" s="12" t="n">
        <v>28.77</v>
      </c>
      <c r="G2075" s="17" t="n">
        <v>63597.9</v>
      </c>
      <c r="H2075" s="26" t="n">
        <v>44366</v>
      </c>
      <c r="I2075" s="26" t="n">
        <v>44368</v>
      </c>
      <c r="J2075" s="12" t="n">
        <v>28.68</v>
      </c>
      <c r="K2075" s="17" t="n">
        <v>1829711.58</v>
      </c>
      <c r="L2075" s="12" t="n">
        <v>0</v>
      </c>
      <c r="M2075" s="12" t="n">
        <v>0</v>
      </c>
      <c r="N2075" s="27">
        <f>F2075-J2075</f>
        <v/>
      </c>
      <c r="O2075" s="16">
        <f>I2075-H2075</f>
        <v/>
      </c>
      <c r="P2075" s="14">
        <f>F2075*G2075</f>
        <v/>
      </c>
      <c r="Q2075" s="14">
        <f>J2075*G2075</f>
        <v/>
      </c>
      <c r="R2075" s="14">
        <f>K2075-Q2075</f>
        <v/>
      </c>
      <c r="S2075" s="3">
        <f>P2075*Assumptions!$B$3/100</f>
        <v/>
      </c>
      <c r="T2075" s="14">
        <f>R2075-S2075</f>
        <v/>
      </c>
      <c r="U2075" s="14">
        <f>L2075*G2075</f>
        <v/>
      </c>
    </row>
    <row r="2076">
      <c r="A2076" s="12" t="inlineStr">
        <is>
          <t>PO-2022-2074</t>
        </is>
      </c>
      <c r="B2076" s="26" t="n">
        <v>44571</v>
      </c>
      <c r="C2076" s="12" t="inlineStr">
        <is>
          <t>VS16</t>
        </is>
      </c>
      <c r="D2076" s="12" t="inlineStr">
        <is>
          <t>HR Coils</t>
        </is>
      </c>
      <c r="E2076" s="12" t="inlineStr">
        <is>
          <t>Y</t>
        </is>
      </c>
      <c r="F2076" s="12" t="n">
        <v>34.79</v>
      </c>
      <c r="G2076" s="17" t="n">
        <v>79204.95</v>
      </c>
      <c r="H2076" s="26" t="n">
        <v>44574</v>
      </c>
      <c r="I2076" s="26" t="n">
        <v>44574</v>
      </c>
      <c r="J2076" s="12" t="n">
        <v>34.79</v>
      </c>
      <c r="K2076" s="17" t="n">
        <v>2755540.21</v>
      </c>
      <c r="L2076" s="12" t="n">
        <v>0</v>
      </c>
      <c r="M2076" s="12" t="n">
        <v>25</v>
      </c>
      <c r="N2076" s="27">
        <f>F2076-J2076</f>
        <v/>
      </c>
      <c r="O2076" s="16">
        <f>I2076-H2076</f>
        <v/>
      </c>
      <c r="P2076" s="14">
        <f>F2076*G2076</f>
        <v/>
      </c>
      <c r="Q2076" s="14">
        <f>J2076*G2076</f>
        <v/>
      </c>
      <c r="R2076" s="14">
        <f>K2076-Q2076</f>
        <v/>
      </c>
      <c r="S2076" s="3">
        <f>P2076*Assumptions!$B$3/100</f>
        <v/>
      </c>
      <c r="T2076" s="14">
        <f>R2076-S2076</f>
        <v/>
      </c>
      <c r="U2076" s="14">
        <f>L2076*G2076</f>
        <v/>
      </c>
    </row>
    <row r="2077">
      <c r="A2077" s="12" t="inlineStr">
        <is>
          <t>PO-2022-2075</t>
        </is>
      </c>
      <c r="B2077" s="26" t="n">
        <v>44741</v>
      </c>
      <c r="C2077" s="12" t="inlineStr">
        <is>
          <t>VS18</t>
        </is>
      </c>
      <c r="D2077" s="12" t="inlineStr">
        <is>
          <t>SS Pipes</t>
        </is>
      </c>
      <c r="E2077" s="12" t="inlineStr">
        <is>
          <t>Y</t>
        </is>
      </c>
      <c r="F2077" s="12" t="n">
        <v>37.41</v>
      </c>
      <c r="G2077" s="17" t="n">
        <v>100000.29</v>
      </c>
      <c r="H2077" s="26" t="n">
        <v>44745</v>
      </c>
      <c r="I2077" s="26" t="n">
        <v>44746</v>
      </c>
      <c r="J2077" s="12" t="n">
        <v>37.33</v>
      </c>
      <c r="K2077" s="17" t="n">
        <v>3741010.85</v>
      </c>
      <c r="L2077" s="12" t="n">
        <v>0</v>
      </c>
      <c r="M2077" s="12" t="n">
        <v>20</v>
      </c>
      <c r="N2077" s="27">
        <f>F2077-J2077</f>
        <v/>
      </c>
      <c r="O2077" s="16">
        <f>I2077-H2077</f>
        <v/>
      </c>
      <c r="P2077" s="14">
        <f>F2077*G2077</f>
        <v/>
      </c>
      <c r="Q2077" s="14">
        <f>J2077*G2077</f>
        <v/>
      </c>
      <c r="R2077" s="14">
        <f>K2077-Q2077</f>
        <v/>
      </c>
      <c r="S2077" s="3">
        <f>P2077*Assumptions!$B$3/100</f>
        <v/>
      </c>
      <c r="T2077" s="14">
        <f>R2077-S2077</f>
        <v/>
      </c>
      <c r="U2077" s="14">
        <f>L2077*G2077</f>
        <v/>
      </c>
    </row>
    <row r="2078">
      <c r="A2078" s="12" t="inlineStr">
        <is>
          <t>PO-2022-2076</t>
        </is>
      </c>
      <c r="B2078" s="26" t="n">
        <v>44468</v>
      </c>
      <c r="C2078" s="12" t="inlineStr">
        <is>
          <t>VS34</t>
        </is>
      </c>
      <c r="D2078" s="12" t="inlineStr">
        <is>
          <t>SS Sheets</t>
        </is>
      </c>
      <c r="E2078" s="12" t="inlineStr">
        <is>
          <t>N</t>
        </is>
      </c>
      <c r="F2078" s="12" t="n">
        <v>3.98</v>
      </c>
      <c r="G2078" s="17" t="n">
        <v>62068.97</v>
      </c>
      <c r="H2078" s="26" t="n">
        <v>44480</v>
      </c>
      <c r="I2078" s="26" t="n">
        <v>44480</v>
      </c>
      <c r="J2078" s="12" t="n">
        <v>3.96</v>
      </c>
      <c r="K2078" s="17" t="n">
        <v>247034.5</v>
      </c>
      <c r="L2078" s="12" t="n">
        <v>0</v>
      </c>
      <c r="M2078" s="12" t="n">
        <v>13</v>
      </c>
      <c r="N2078" s="27">
        <f>F2078-J2078</f>
        <v/>
      </c>
      <c r="O2078" s="16">
        <f>I2078-H2078</f>
        <v/>
      </c>
      <c r="P2078" s="14">
        <f>F2078*G2078</f>
        <v/>
      </c>
      <c r="Q2078" s="14">
        <f>J2078*G2078</f>
        <v/>
      </c>
      <c r="R2078" s="14">
        <f>K2078-Q2078</f>
        <v/>
      </c>
      <c r="S2078" s="3">
        <f>P2078*Assumptions!$B$3/100</f>
        <v/>
      </c>
      <c r="T2078" s="14">
        <f>R2078-S2078</f>
        <v/>
      </c>
      <c r="U2078" s="14">
        <f>L2078*G2078</f>
        <v/>
      </c>
    </row>
    <row r="2079">
      <c r="A2079" s="12" t="inlineStr">
        <is>
          <t>PO-2022-2077</t>
        </is>
      </c>
      <c r="B2079" s="26" t="n">
        <v>45174</v>
      </c>
      <c r="C2079" s="12" t="inlineStr">
        <is>
          <t>VS30</t>
        </is>
      </c>
      <c r="D2079" s="12" t="inlineStr">
        <is>
          <t>ERW Pipes</t>
        </is>
      </c>
      <c r="E2079" s="12" t="inlineStr">
        <is>
          <t>N</t>
        </is>
      </c>
      <c r="F2079" s="12" t="n">
        <v>27.31</v>
      </c>
      <c r="G2079" s="17" t="n">
        <v>103605.94</v>
      </c>
      <c r="H2079" s="26" t="n">
        <v>45182</v>
      </c>
      <c r="I2079" s="26" t="n">
        <v>45182</v>
      </c>
      <c r="J2079" s="12" t="n">
        <v>27.06</v>
      </c>
      <c r="K2079" s="17" t="n">
        <v>2829478.22</v>
      </c>
      <c r="L2079" s="12" t="n">
        <v>0</v>
      </c>
      <c r="M2079" s="12" t="n">
        <v>1</v>
      </c>
      <c r="N2079" s="27">
        <f>F2079-J2079</f>
        <v/>
      </c>
      <c r="O2079" s="16">
        <f>I2079-H2079</f>
        <v/>
      </c>
      <c r="P2079" s="14">
        <f>F2079*G2079</f>
        <v/>
      </c>
      <c r="Q2079" s="14">
        <f>J2079*G2079</f>
        <v/>
      </c>
      <c r="R2079" s="14">
        <f>K2079-Q2079</f>
        <v/>
      </c>
      <c r="S2079" s="3">
        <f>P2079*Assumptions!$B$3/100</f>
        <v/>
      </c>
      <c r="T2079" s="14">
        <f>R2079-S2079</f>
        <v/>
      </c>
      <c r="U2079" s="14">
        <f>L2079*G2079</f>
        <v/>
      </c>
    </row>
    <row r="2080">
      <c r="A2080" s="12" t="inlineStr">
        <is>
          <t>PO-2022-2078</t>
        </is>
      </c>
      <c r="B2080" s="26" t="n">
        <v>44346</v>
      </c>
      <c r="C2080" s="12" t="inlineStr">
        <is>
          <t>VS13</t>
        </is>
      </c>
      <c r="D2080" s="12" t="inlineStr">
        <is>
          <t>Structural Steel</t>
        </is>
      </c>
      <c r="E2080" s="12" t="inlineStr">
        <is>
          <t>N</t>
        </is>
      </c>
      <c r="F2080" s="12" t="n">
        <v>6.7</v>
      </c>
      <c r="G2080" s="17" t="n">
        <v>51253.97</v>
      </c>
      <c r="H2080" s="26" t="n">
        <v>44352</v>
      </c>
      <c r="I2080" s="26" t="n">
        <v>44354</v>
      </c>
      <c r="J2080" s="12" t="n">
        <v>6.69</v>
      </c>
      <c r="K2080" s="17" t="n">
        <v>343401.6</v>
      </c>
      <c r="L2080" s="12" t="n">
        <v>0</v>
      </c>
      <c r="M2080" s="12" t="n">
        <v>0</v>
      </c>
      <c r="N2080" s="27">
        <f>F2080-J2080</f>
        <v/>
      </c>
      <c r="O2080" s="16">
        <f>I2080-H2080</f>
        <v/>
      </c>
      <c r="P2080" s="14">
        <f>F2080*G2080</f>
        <v/>
      </c>
      <c r="Q2080" s="14">
        <f>J2080*G2080</f>
        <v/>
      </c>
      <c r="R2080" s="14">
        <f>K2080-Q2080</f>
        <v/>
      </c>
      <c r="S2080" s="3">
        <f>P2080*Assumptions!$B$3/100</f>
        <v/>
      </c>
      <c r="T2080" s="14">
        <f>R2080-S2080</f>
        <v/>
      </c>
      <c r="U2080" s="14">
        <f>L2080*G2080</f>
        <v/>
      </c>
    </row>
    <row r="2081">
      <c r="A2081" s="12" t="inlineStr">
        <is>
          <t>PO-2022-2079</t>
        </is>
      </c>
      <c r="B2081" s="26" t="n">
        <v>44401</v>
      </c>
      <c r="C2081" s="12" t="inlineStr">
        <is>
          <t>VS14</t>
        </is>
      </c>
      <c r="D2081" s="12" t="inlineStr">
        <is>
          <t>Structural Steel</t>
        </is>
      </c>
      <c r="E2081" s="12" t="inlineStr">
        <is>
          <t>Y</t>
        </is>
      </c>
      <c r="F2081" s="12" t="n">
        <v>15.7</v>
      </c>
      <c r="G2081" s="17" t="n">
        <v>45720.19</v>
      </c>
      <c r="H2081" s="26" t="n">
        <v>44410</v>
      </c>
      <c r="I2081" s="26" t="n">
        <v>44410</v>
      </c>
      <c r="J2081" s="12" t="n">
        <v>15.6</v>
      </c>
      <c r="K2081" s="17" t="n">
        <v>717806.98</v>
      </c>
      <c r="L2081" s="12" t="n">
        <v>0</v>
      </c>
      <c r="M2081" s="12" t="n">
        <v>22</v>
      </c>
      <c r="N2081" s="27">
        <f>F2081-J2081</f>
        <v/>
      </c>
      <c r="O2081" s="16">
        <f>I2081-H2081</f>
        <v/>
      </c>
      <c r="P2081" s="14">
        <f>F2081*G2081</f>
        <v/>
      </c>
      <c r="Q2081" s="14">
        <f>J2081*G2081</f>
        <v/>
      </c>
      <c r="R2081" s="14">
        <f>K2081-Q2081</f>
        <v/>
      </c>
      <c r="S2081" s="3">
        <f>P2081*Assumptions!$B$3/100</f>
        <v/>
      </c>
      <c r="T2081" s="14">
        <f>R2081-S2081</f>
        <v/>
      </c>
      <c r="U2081" s="14">
        <f>L2081*G2081</f>
        <v/>
      </c>
    </row>
    <row r="2082">
      <c r="A2082" s="12" t="inlineStr">
        <is>
          <t>PO-2022-2080</t>
        </is>
      </c>
      <c r="B2082" s="26" t="n">
        <v>44425</v>
      </c>
      <c r="C2082" s="12" t="inlineStr">
        <is>
          <t>VS29</t>
        </is>
      </c>
      <c r="D2082" s="12" t="inlineStr">
        <is>
          <t>GI Sheets</t>
        </is>
      </c>
      <c r="E2082" s="12" t="inlineStr">
        <is>
          <t>N</t>
        </is>
      </c>
      <c r="F2082" s="12" t="n">
        <v>29.86</v>
      </c>
      <c r="G2082" s="17" t="n">
        <v>92619.94</v>
      </c>
      <c r="H2082" s="26" t="n">
        <v>44440</v>
      </c>
      <c r="I2082" s="26" t="n">
        <v>44441</v>
      </c>
      <c r="J2082" s="12" t="n">
        <v>29.83</v>
      </c>
      <c r="K2082" s="17" t="n">
        <v>2765631.41</v>
      </c>
      <c r="L2082" s="12" t="n">
        <v>0</v>
      </c>
      <c r="M2082" s="12" t="n">
        <v>13</v>
      </c>
      <c r="N2082" s="27">
        <f>F2082-J2082</f>
        <v/>
      </c>
      <c r="O2082" s="16">
        <f>I2082-H2082</f>
        <v/>
      </c>
      <c r="P2082" s="14">
        <f>F2082*G2082</f>
        <v/>
      </c>
      <c r="Q2082" s="14">
        <f>J2082*G2082</f>
        <v/>
      </c>
      <c r="R2082" s="14">
        <f>K2082-Q2082</f>
        <v/>
      </c>
      <c r="S2082" s="3">
        <f>P2082*Assumptions!$B$3/100</f>
        <v/>
      </c>
      <c r="T2082" s="14">
        <f>R2082-S2082</f>
        <v/>
      </c>
      <c r="U2082" s="14">
        <f>L2082*G2082</f>
        <v/>
      </c>
    </row>
    <row r="2083">
      <c r="A2083" s="12" t="inlineStr">
        <is>
          <t>PO-2022-2081</t>
        </is>
      </c>
      <c r="B2083" s="26" t="n">
        <v>45131</v>
      </c>
      <c r="C2083" s="12" t="inlineStr">
        <is>
          <t>VS01</t>
        </is>
      </c>
      <c r="D2083" s="12" t="inlineStr">
        <is>
          <t>CR Sheets</t>
        </is>
      </c>
      <c r="E2083" s="12" t="inlineStr">
        <is>
          <t>Y</t>
        </is>
      </c>
      <c r="F2083" s="12" t="n">
        <v>37.97</v>
      </c>
      <c r="G2083" s="17" t="n">
        <v>90101.56</v>
      </c>
      <c r="H2083" s="26" t="n">
        <v>45141</v>
      </c>
      <c r="I2083" s="26" t="n">
        <v>45143</v>
      </c>
      <c r="J2083" s="12" t="n">
        <v>37.66</v>
      </c>
      <c r="K2083" s="17" t="n">
        <v>3421156.23</v>
      </c>
      <c r="L2083" s="12" t="n">
        <v>0</v>
      </c>
      <c r="M2083" s="12" t="n">
        <v>0</v>
      </c>
      <c r="N2083" s="27">
        <f>F2083-J2083</f>
        <v/>
      </c>
      <c r="O2083" s="16">
        <f>I2083-H2083</f>
        <v/>
      </c>
      <c r="P2083" s="14">
        <f>F2083*G2083</f>
        <v/>
      </c>
      <c r="Q2083" s="14">
        <f>J2083*G2083</f>
        <v/>
      </c>
      <c r="R2083" s="14">
        <f>K2083-Q2083</f>
        <v/>
      </c>
      <c r="S2083" s="3">
        <f>P2083*Assumptions!$B$3/100</f>
        <v/>
      </c>
      <c r="T2083" s="14">
        <f>R2083-S2083</f>
        <v/>
      </c>
      <c r="U2083" s="14">
        <f>L2083*G2083</f>
        <v/>
      </c>
    </row>
    <row r="2084">
      <c r="A2084" s="12" t="inlineStr">
        <is>
          <t>PO-2022-2082</t>
        </is>
      </c>
      <c r="B2084" s="26" t="n">
        <v>44558</v>
      </c>
      <c r="C2084" s="12" t="inlineStr">
        <is>
          <t>VS22</t>
        </is>
      </c>
      <c r="D2084" s="12" t="inlineStr">
        <is>
          <t>Hex Bars</t>
        </is>
      </c>
      <c r="E2084" s="12" t="inlineStr">
        <is>
          <t>N</t>
        </is>
      </c>
      <c r="F2084" s="12" t="n">
        <v>24.68</v>
      </c>
      <c r="G2084" s="17" t="n">
        <v>66281.67999999999</v>
      </c>
      <c r="H2084" s="26" t="n">
        <v>44571</v>
      </c>
      <c r="I2084" s="26" t="n">
        <v>44571</v>
      </c>
      <c r="J2084" s="12" t="n">
        <v>24.61</v>
      </c>
      <c r="K2084" s="17" t="n">
        <v>1635831.86</v>
      </c>
      <c r="L2084" s="12" t="n">
        <v>0</v>
      </c>
      <c r="M2084" s="12" t="n">
        <v>0</v>
      </c>
      <c r="N2084" s="27">
        <f>F2084-J2084</f>
        <v/>
      </c>
      <c r="O2084" s="16">
        <f>I2084-H2084</f>
        <v/>
      </c>
      <c r="P2084" s="14">
        <f>F2084*G2084</f>
        <v/>
      </c>
      <c r="Q2084" s="14">
        <f>J2084*G2084</f>
        <v/>
      </c>
      <c r="R2084" s="14">
        <f>K2084-Q2084</f>
        <v/>
      </c>
      <c r="S2084" s="3">
        <f>P2084*Assumptions!$B$3/100</f>
        <v/>
      </c>
      <c r="T2084" s="14">
        <f>R2084-S2084</f>
        <v/>
      </c>
      <c r="U2084" s="14">
        <f>L2084*G2084</f>
        <v/>
      </c>
    </row>
    <row r="2085">
      <c r="A2085" s="12" t="inlineStr">
        <is>
          <t>PO-2022-2083</t>
        </is>
      </c>
      <c r="B2085" s="26" t="n">
        <v>44810</v>
      </c>
      <c r="C2085" s="12" t="inlineStr">
        <is>
          <t>VS17</t>
        </is>
      </c>
      <c r="D2085" s="12" t="inlineStr">
        <is>
          <t>Spring Steel</t>
        </is>
      </c>
      <c r="E2085" s="12" t="inlineStr">
        <is>
          <t>N</t>
        </is>
      </c>
      <c r="F2085" s="12" t="n">
        <v>13.2</v>
      </c>
      <c r="G2085" s="17" t="n">
        <v>65646.63</v>
      </c>
      <c r="H2085" s="26" t="n">
        <v>44821</v>
      </c>
      <c r="I2085" s="26" t="n">
        <v>44823</v>
      </c>
      <c r="J2085" s="12" t="n">
        <v>13.12</v>
      </c>
      <c r="K2085" s="17" t="n">
        <v>866535.52</v>
      </c>
      <c r="L2085" s="12" t="n">
        <v>0</v>
      </c>
      <c r="M2085" s="12" t="n">
        <v>0</v>
      </c>
      <c r="N2085" s="27">
        <f>F2085-J2085</f>
        <v/>
      </c>
      <c r="O2085" s="16">
        <f>I2085-H2085</f>
        <v/>
      </c>
      <c r="P2085" s="14">
        <f>F2085*G2085</f>
        <v/>
      </c>
      <c r="Q2085" s="14">
        <f>J2085*G2085</f>
        <v/>
      </c>
      <c r="R2085" s="14">
        <f>K2085-Q2085</f>
        <v/>
      </c>
      <c r="S2085" s="3">
        <f>P2085*Assumptions!$B$3/100</f>
        <v/>
      </c>
      <c r="T2085" s="14">
        <f>R2085-S2085</f>
        <v/>
      </c>
      <c r="U2085" s="14">
        <f>L2085*G2085</f>
        <v/>
      </c>
    </row>
    <row r="2086">
      <c r="A2086" s="12" t="inlineStr">
        <is>
          <t>PO-2022-2084</t>
        </is>
      </c>
      <c r="B2086" s="26" t="n">
        <v>45227</v>
      </c>
      <c r="C2086" s="12" t="inlineStr">
        <is>
          <t>VS20</t>
        </is>
      </c>
      <c r="D2086" s="12" t="inlineStr">
        <is>
          <t>Fasteners &amp; Fittings</t>
        </is>
      </c>
      <c r="E2086" s="12" t="inlineStr">
        <is>
          <t>Y</t>
        </is>
      </c>
      <c r="F2086" s="12" t="n">
        <v>6.46</v>
      </c>
      <c r="G2086" s="17" t="n">
        <v>101745.92</v>
      </c>
      <c r="H2086" s="26" t="n">
        <v>45232</v>
      </c>
      <c r="I2086" s="26" t="n">
        <v>45235</v>
      </c>
      <c r="J2086" s="12" t="n">
        <v>6.45</v>
      </c>
      <c r="K2086" s="17" t="n">
        <v>657278.64</v>
      </c>
      <c r="L2086" s="12" t="n">
        <v>0</v>
      </c>
      <c r="M2086" s="12" t="n">
        <v>0</v>
      </c>
      <c r="N2086" s="27">
        <f>F2086-J2086</f>
        <v/>
      </c>
      <c r="O2086" s="16">
        <f>I2086-H2086</f>
        <v/>
      </c>
      <c r="P2086" s="14">
        <f>F2086*G2086</f>
        <v/>
      </c>
      <c r="Q2086" s="14">
        <f>J2086*G2086</f>
        <v/>
      </c>
      <c r="R2086" s="14">
        <f>K2086-Q2086</f>
        <v/>
      </c>
      <c r="S2086" s="3">
        <f>P2086*Assumptions!$B$3/100</f>
        <v/>
      </c>
      <c r="T2086" s="14">
        <f>R2086-S2086</f>
        <v/>
      </c>
      <c r="U2086" s="14">
        <f>L2086*G2086</f>
        <v/>
      </c>
    </row>
    <row r="2087">
      <c r="A2087" s="12" t="inlineStr">
        <is>
          <t>PO-2022-2085</t>
        </is>
      </c>
      <c r="B2087" s="26" t="n">
        <v>45195</v>
      </c>
      <c r="C2087" s="12" t="inlineStr">
        <is>
          <t>VS01</t>
        </is>
      </c>
      <c r="D2087" s="12" t="inlineStr">
        <is>
          <t>MS Flats</t>
        </is>
      </c>
      <c r="E2087" s="12" t="inlineStr">
        <is>
          <t>N</t>
        </is>
      </c>
      <c r="F2087" s="12" t="n">
        <v>44.77</v>
      </c>
      <c r="G2087" s="17" t="n">
        <v>83216.09</v>
      </c>
      <c r="H2087" s="26" t="n">
        <v>45205</v>
      </c>
      <c r="I2087" s="26" t="n">
        <v>45206</v>
      </c>
      <c r="J2087" s="12" t="n">
        <v>44.77</v>
      </c>
      <c r="K2087" s="17" t="n">
        <v>3725584.35</v>
      </c>
      <c r="L2087" s="12" t="n">
        <v>0</v>
      </c>
      <c r="M2087" s="12" t="n">
        <v>0</v>
      </c>
      <c r="N2087" s="27">
        <f>F2087-J2087</f>
        <v/>
      </c>
      <c r="O2087" s="16">
        <f>I2087-H2087</f>
        <v/>
      </c>
      <c r="P2087" s="14">
        <f>F2087*G2087</f>
        <v/>
      </c>
      <c r="Q2087" s="14">
        <f>J2087*G2087</f>
        <v/>
      </c>
      <c r="R2087" s="14">
        <f>K2087-Q2087</f>
        <v/>
      </c>
      <c r="S2087" s="3">
        <f>P2087*Assumptions!$B$3/100</f>
        <v/>
      </c>
      <c r="T2087" s="14">
        <f>R2087-S2087</f>
        <v/>
      </c>
      <c r="U2087" s="14">
        <f>L2087*G2087</f>
        <v/>
      </c>
    </row>
    <row r="2088">
      <c r="A2088" s="12" t="inlineStr">
        <is>
          <t>PO-2022-2086</t>
        </is>
      </c>
      <c r="B2088" s="26" t="n">
        <v>44531</v>
      </c>
      <c r="C2088" s="12" t="inlineStr">
        <is>
          <t>VS12</t>
        </is>
      </c>
      <c r="D2088" s="12" t="inlineStr">
        <is>
          <t>SS Pipes</t>
        </is>
      </c>
      <c r="E2088" s="12" t="inlineStr">
        <is>
          <t>N</t>
        </is>
      </c>
      <c r="F2088" s="12" t="n">
        <v>38.26</v>
      </c>
      <c r="G2088" s="17" t="n">
        <v>99292.14</v>
      </c>
      <c r="H2088" s="26" t="n">
        <v>44535</v>
      </c>
      <c r="I2088" s="26" t="n">
        <v>44538</v>
      </c>
      <c r="J2088" s="12" t="n">
        <v>36.71</v>
      </c>
      <c r="K2088" s="17" t="n">
        <v>3798917.28</v>
      </c>
      <c r="L2088" s="12" t="n">
        <v>1.72</v>
      </c>
      <c r="M2088" s="12" t="n">
        <v>0</v>
      </c>
      <c r="N2088" s="27">
        <f>F2088-J2088</f>
        <v/>
      </c>
      <c r="O2088" s="16">
        <f>I2088-H2088</f>
        <v/>
      </c>
      <c r="P2088" s="14">
        <f>F2088*G2088</f>
        <v/>
      </c>
      <c r="Q2088" s="14">
        <f>J2088*G2088</f>
        <v/>
      </c>
      <c r="R2088" s="14">
        <f>K2088-Q2088</f>
        <v/>
      </c>
      <c r="S2088" s="3">
        <f>P2088*Assumptions!$B$3/100</f>
        <v/>
      </c>
      <c r="T2088" s="14">
        <f>R2088-S2088</f>
        <v/>
      </c>
      <c r="U2088" s="14">
        <f>L2088*G2088</f>
        <v/>
      </c>
    </row>
    <row r="2089">
      <c r="A2089" s="12" t="inlineStr">
        <is>
          <t>PO-2022-2087</t>
        </is>
      </c>
      <c r="B2089" s="26" t="n">
        <v>45104</v>
      </c>
      <c r="C2089" s="12" t="inlineStr">
        <is>
          <t>VS22</t>
        </is>
      </c>
      <c r="D2089" s="12" t="inlineStr">
        <is>
          <t>Spring Steel</t>
        </is>
      </c>
      <c r="E2089" s="12" t="inlineStr">
        <is>
          <t>N</t>
        </is>
      </c>
      <c r="F2089" s="12" t="n">
        <v>41.31</v>
      </c>
      <c r="G2089" s="17" t="n">
        <v>59519.66</v>
      </c>
      <c r="H2089" s="26" t="n">
        <v>45108</v>
      </c>
      <c r="I2089" s="26" t="n">
        <v>45109</v>
      </c>
      <c r="J2089" s="12" t="n">
        <v>41</v>
      </c>
      <c r="K2089" s="17" t="n">
        <v>2458757.15</v>
      </c>
      <c r="L2089" s="12" t="n">
        <v>0</v>
      </c>
      <c r="M2089" s="12" t="n">
        <v>12</v>
      </c>
      <c r="N2089" s="27">
        <f>F2089-J2089</f>
        <v/>
      </c>
      <c r="O2089" s="16">
        <f>I2089-H2089</f>
        <v/>
      </c>
      <c r="P2089" s="14">
        <f>F2089*G2089</f>
        <v/>
      </c>
      <c r="Q2089" s="14">
        <f>J2089*G2089</f>
        <v/>
      </c>
      <c r="R2089" s="14">
        <f>K2089-Q2089</f>
        <v/>
      </c>
      <c r="S2089" s="3">
        <f>P2089*Assumptions!$B$3/100</f>
        <v/>
      </c>
      <c r="T2089" s="14">
        <f>R2089-S2089</f>
        <v/>
      </c>
      <c r="U2089" s="14">
        <f>L2089*G2089</f>
        <v/>
      </c>
    </row>
    <row r="2090">
      <c r="A2090" s="12" t="inlineStr">
        <is>
          <t>PO-2022-2088</t>
        </is>
      </c>
      <c r="B2090" s="26" t="n">
        <v>44671</v>
      </c>
      <c r="C2090" s="12" t="inlineStr">
        <is>
          <t>VS14</t>
        </is>
      </c>
      <c r="D2090" s="12" t="inlineStr">
        <is>
          <t>SS Sheets</t>
        </is>
      </c>
      <c r="E2090" s="12" t="inlineStr">
        <is>
          <t>N</t>
        </is>
      </c>
      <c r="F2090" s="12" t="n">
        <v>25.59</v>
      </c>
      <c r="G2090" s="17" t="n">
        <v>69001.19</v>
      </c>
      <c r="H2090" s="26" t="n">
        <v>44682</v>
      </c>
      <c r="I2090" s="26" t="n">
        <v>44685</v>
      </c>
      <c r="J2090" s="12" t="n">
        <v>25.54</v>
      </c>
      <c r="K2090" s="17" t="n">
        <v>1765740.45</v>
      </c>
      <c r="L2090" s="12" t="n">
        <v>0</v>
      </c>
      <c r="M2090" s="12" t="n">
        <v>0</v>
      </c>
      <c r="N2090" s="27">
        <f>F2090-J2090</f>
        <v/>
      </c>
      <c r="O2090" s="16">
        <f>I2090-H2090</f>
        <v/>
      </c>
      <c r="P2090" s="14">
        <f>F2090*G2090</f>
        <v/>
      </c>
      <c r="Q2090" s="14">
        <f>J2090*G2090</f>
        <v/>
      </c>
      <c r="R2090" s="14">
        <f>K2090-Q2090</f>
        <v/>
      </c>
      <c r="S2090" s="3">
        <f>P2090*Assumptions!$B$3/100</f>
        <v/>
      </c>
      <c r="T2090" s="14">
        <f>R2090-S2090</f>
        <v/>
      </c>
      <c r="U2090" s="14">
        <f>L2090*G2090</f>
        <v/>
      </c>
    </row>
    <row r="2091">
      <c r="A2091" s="12" t="inlineStr">
        <is>
          <t>PO-2022-2089</t>
        </is>
      </c>
      <c r="B2091" s="26" t="n">
        <v>45163</v>
      </c>
      <c r="C2091" s="12" t="inlineStr">
        <is>
          <t>VS07</t>
        </is>
      </c>
      <c r="D2091" s="12" t="inlineStr">
        <is>
          <t>SS Sheets</t>
        </is>
      </c>
      <c r="E2091" s="12" t="inlineStr">
        <is>
          <t>N</t>
        </is>
      </c>
      <c r="F2091" s="12" t="n">
        <v>46.45</v>
      </c>
      <c r="G2091" s="17" t="n">
        <v>60771.89</v>
      </c>
      <c r="H2091" s="26" t="n">
        <v>45176</v>
      </c>
      <c r="I2091" s="26" t="n">
        <v>45179</v>
      </c>
      <c r="J2091" s="12" t="n">
        <v>46.16</v>
      </c>
      <c r="K2091" s="17" t="n">
        <v>2822854.29</v>
      </c>
      <c r="L2091" s="12" t="n">
        <v>0</v>
      </c>
      <c r="M2091" s="12" t="n">
        <v>0</v>
      </c>
      <c r="N2091" s="27">
        <f>F2091-J2091</f>
        <v/>
      </c>
      <c r="O2091" s="16">
        <f>I2091-H2091</f>
        <v/>
      </c>
      <c r="P2091" s="14">
        <f>F2091*G2091</f>
        <v/>
      </c>
      <c r="Q2091" s="14">
        <f>J2091*G2091</f>
        <v/>
      </c>
      <c r="R2091" s="14">
        <f>K2091-Q2091</f>
        <v/>
      </c>
      <c r="S2091" s="3">
        <f>P2091*Assumptions!$B$3/100</f>
        <v/>
      </c>
      <c r="T2091" s="14">
        <f>R2091-S2091</f>
        <v/>
      </c>
      <c r="U2091" s="14">
        <f>L2091*G2091</f>
        <v/>
      </c>
    </row>
    <row r="2092">
      <c r="A2092" s="12" t="inlineStr">
        <is>
          <t>PO-2022-2090</t>
        </is>
      </c>
      <c r="B2092" s="26" t="n">
        <v>44513</v>
      </c>
      <c r="C2092" s="12" t="inlineStr">
        <is>
          <t>VS21</t>
        </is>
      </c>
      <c r="D2092" s="12" t="inlineStr">
        <is>
          <t>MS Sheets</t>
        </is>
      </c>
      <c r="E2092" s="12" t="inlineStr">
        <is>
          <t>N</t>
        </is>
      </c>
      <c r="F2092" s="12" t="n">
        <v>10.4</v>
      </c>
      <c r="G2092" s="17" t="n">
        <v>74718</v>
      </c>
      <c r="H2092" s="26" t="n">
        <v>44518</v>
      </c>
      <c r="I2092" s="26" t="n">
        <v>44519</v>
      </c>
      <c r="J2092" s="12" t="n">
        <v>10.36</v>
      </c>
      <c r="K2092" s="17" t="n">
        <v>777067.2</v>
      </c>
      <c r="L2092" s="12" t="n">
        <v>0</v>
      </c>
      <c r="M2092" s="12" t="n">
        <v>1</v>
      </c>
      <c r="N2092" s="27">
        <f>F2092-J2092</f>
        <v/>
      </c>
      <c r="O2092" s="16">
        <f>I2092-H2092</f>
        <v/>
      </c>
      <c r="P2092" s="14">
        <f>F2092*G2092</f>
        <v/>
      </c>
      <c r="Q2092" s="14">
        <f>J2092*G2092</f>
        <v/>
      </c>
      <c r="R2092" s="14">
        <f>K2092-Q2092</f>
        <v/>
      </c>
      <c r="S2092" s="3">
        <f>P2092*Assumptions!$B$3/100</f>
        <v/>
      </c>
      <c r="T2092" s="14">
        <f>R2092-S2092</f>
        <v/>
      </c>
      <c r="U2092" s="14">
        <f>L2092*G2092</f>
        <v/>
      </c>
    </row>
    <row r="2093">
      <c r="A2093" s="12" t="inlineStr">
        <is>
          <t>PO-2022-2091</t>
        </is>
      </c>
      <c r="B2093" s="26" t="n">
        <v>44520</v>
      </c>
      <c r="C2093" s="12" t="inlineStr">
        <is>
          <t>VS11</t>
        </is>
      </c>
      <c r="D2093" s="12" t="inlineStr">
        <is>
          <t>MS Flats</t>
        </is>
      </c>
      <c r="E2093" s="12" t="inlineStr">
        <is>
          <t>N</t>
        </is>
      </c>
      <c r="F2093" s="12" t="n">
        <v>47.88</v>
      </c>
      <c r="G2093" s="17" t="n">
        <v>118586.58</v>
      </c>
      <c r="H2093" s="26" t="n">
        <v>44533</v>
      </c>
      <c r="I2093" s="26" t="n">
        <v>44534</v>
      </c>
      <c r="J2093" s="12" t="n">
        <v>47.71</v>
      </c>
      <c r="K2093" s="17" t="n">
        <v>5677925.45</v>
      </c>
      <c r="L2093" s="12" t="n">
        <v>0</v>
      </c>
      <c r="M2093" s="12" t="n">
        <v>0</v>
      </c>
      <c r="N2093" s="27">
        <f>F2093-J2093</f>
        <v/>
      </c>
      <c r="O2093" s="16">
        <f>I2093-H2093</f>
        <v/>
      </c>
      <c r="P2093" s="14">
        <f>F2093*G2093</f>
        <v/>
      </c>
      <c r="Q2093" s="14">
        <f>J2093*G2093</f>
        <v/>
      </c>
      <c r="R2093" s="14">
        <f>K2093-Q2093</f>
        <v/>
      </c>
      <c r="S2093" s="3">
        <f>P2093*Assumptions!$B$3/100</f>
        <v/>
      </c>
      <c r="T2093" s="14">
        <f>R2093-S2093</f>
        <v/>
      </c>
      <c r="U2093" s="14">
        <f>L2093*G2093</f>
        <v/>
      </c>
    </row>
    <row r="2094">
      <c r="A2094" s="12" t="inlineStr">
        <is>
          <t>PO-2022-2092</t>
        </is>
      </c>
      <c r="B2094" s="26" t="n">
        <v>45050</v>
      </c>
      <c r="C2094" s="12" t="inlineStr">
        <is>
          <t>VS18</t>
        </is>
      </c>
      <c r="D2094" s="12" t="inlineStr">
        <is>
          <t>HR Coils</t>
        </is>
      </c>
      <c r="E2094" s="12" t="inlineStr">
        <is>
          <t>N</t>
        </is>
      </c>
      <c r="F2094" s="12" t="n">
        <v>46.71</v>
      </c>
      <c r="G2094" s="17" t="n">
        <v>80398.63</v>
      </c>
      <c r="H2094" s="26" t="n">
        <v>45057</v>
      </c>
      <c r="I2094" s="26" t="n">
        <v>45060</v>
      </c>
      <c r="J2094" s="12" t="n">
        <v>46.54</v>
      </c>
      <c r="K2094" s="17" t="n">
        <v>3755420.01</v>
      </c>
      <c r="L2094" s="12" t="n">
        <v>0</v>
      </c>
      <c r="M2094" s="12" t="n">
        <v>0</v>
      </c>
      <c r="N2094" s="27">
        <f>F2094-J2094</f>
        <v/>
      </c>
      <c r="O2094" s="16">
        <f>I2094-H2094</f>
        <v/>
      </c>
      <c r="P2094" s="14">
        <f>F2094*G2094</f>
        <v/>
      </c>
      <c r="Q2094" s="14">
        <f>J2094*G2094</f>
        <v/>
      </c>
      <c r="R2094" s="14">
        <f>K2094-Q2094</f>
        <v/>
      </c>
      <c r="S2094" s="3">
        <f>P2094*Assumptions!$B$3/100</f>
        <v/>
      </c>
      <c r="T2094" s="14">
        <f>R2094-S2094</f>
        <v/>
      </c>
      <c r="U2094" s="14">
        <f>L2094*G2094</f>
        <v/>
      </c>
    </row>
    <row r="2095">
      <c r="A2095" s="12" t="inlineStr">
        <is>
          <t>PO-2022-2093</t>
        </is>
      </c>
      <c r="B2095" s="26" t="n">
        <v>44956</v>
      </c>
      <c r="C2095" s="12" t="inlineStr">
        <is>
          <t>VS10</t>
        </is>
      </c>
      <c r="D2095" s="12" t="inlineStr">
        <is>
          <t>SS Sheets</t>
        </is>
      </c>
      <c r="E2095" s="12" t="inlineStr">
        <is>
          <t>N</t>
        </is>
      </c>
      <c r="F2095" s="12" t="n">
        <v>17.35</v>
      </c>
      <c r="G2095" s="17" t="n">
        <v>71545.02</v>
      </c>
      <c r="H2095" s="26" t="n">
        <v>44970</v>
      </c>
      <c r="I2095" s="26" t="n">
        <v>44973</v>
      </c>
      <c r="J2095" s="12" t="n">
        <v>17.33</v>
      </c>
      <c r="K2095" s="17" t="n">
        <v>1241306.1</v>
      </c>
      <c r="L2095" s="12" t="n">
        <v>0</v>
      </c>
      <c r="M2095" s="12" t="n">
        <v>0</v>
      </c>
      <c r="N2095" s="27">
        <f>F2095-J2095</f>
        <v/>
      </c>
      <c r="O2095" s="16">
        <f>I2095-H2095</f>
        <v/>
      </c>
      <c r="P2095" s="14">
        <f>F2095*G2095</f>
        <v/>
      </c>
      <c r="Q2095" s="14">
        <f>J2095*G2095</f>
        <v/>
      </c>
      <c r="R2095" s="14">
        <f>K2095-Q2095</f>
        <v/>
      </c>
      <c r="S2095" s="3">
        <f>P2095*Assumptions!$B$3/100</f>
        <v/>
      </c>
      <c r="T2095" s="14">
        <f>R2095-S2095</f>
        <v/>
      </c>
      <c r="U2095" s="14">
        <f>L2095*G2095</f>
        <v/>
      </c>
    </row>
    <row r="2096">
      <c r="A2096" s="12" t="inlineStr">
        <is>
          <t>PO-2022-2094</t>
        </is>
      </c>
      <c r="B2096" s="26" t="n">
        <v>44842</v>
      </c>
      <c r="C2096" s="12" t="inlineStr">
        <is>
          <t>VS29</t>
        </is>
      </c>
      <c r="D2096" s="12" t="inlineStr">
        <is>
          <t>SS Sheets</t>
        </is>
      </c>
      <c r="E2096" s="12" t="inlineStr">
        <is>
          <t>N</t>
        </is>
      </c>
      <c r="F2096" s="12" t="n">
        <v>21.84</v>
      </c>
      <c r="G2096" s="17" t="n">
        <v>74515.67</v>
      </c>
      <c r="H2096" s="26" t="n">
        <v>44851</v>
      </c>
      <c r="I2096" s="26" t="n">
        <v>44851</v>
      </c>
      <c r="J2096" s="12" t="n">
        <v>21.83</v>
      </c>
      <c r="K2096" s="17" t="n">
        <v>1627422.23</v>
      </c>
      <c r="L2096" s="12" t="n">
        <v>0</v>
      </c>
      <c r="M2096" s="12" t="n">
        <v>0</v>
      </c>
      <c r="N2096" s="27">
        <f>F2096-J2096</f>
        <v/>
      </c>
      <c r="O2096" s="16">
        <f>I2096-H2096</f>
        <v/>
      </c>
      <c r="P2096" s="14">
        <f>F2096*G2096</f>
        <v/>
      </c>
      <c r="Q2096" s="14">
        <f>J2096*G2096</f>
        <v/>
      </c>
      <c r="R2096" s="14">
        <f>K2096-Q2096</f>
        <v/>
      </c>
      <c r="S2096" s="3">
        <f>P2096*Assumptions!$B$3/100</f>
        <v/>
      </c>
      <c r="T2096" s="14">
        <f>R2096-S2096</f>
        <v/>
      </c>
      <c r="U2096" s="14">
        <f>L2096*G2096</f>
        <v/>
      </c>
    </row>
    <row r="2097">
      <c r="A2097" s="12" t="inlineStr">
        <is>
          <t>PO-2022-2095</t>
        </is>
      </c>
      <c r="B2097" s="26" t="n">
        <v>44208</v>
      </c>
      <c r="C2097" s="12" t="inlineStr">
        <is>
          <t>VS26</t>
        </is>
      </c>
      <c r="D2097" s="12" t="inlineStr">
        <is>
          <t>GI Pipes</t>
        </is>
      </c>
      <c r="E2097" s="12" t="inlineStr">
        <is>
          <t>N</t>
        </is>
      </c>
      <c r="F2097" s="12" t="n">
        <v>48.47</v>
      </c>
      <c r="G2097" s="17" t="n">
        <v>71520.89999999999</v>
      </c>
      <c r="H2097" s="26" t="n">
        <v>44223</v>
      </c>
      <c r="I2097" s="26" t="n">
        <v>44226</v>
      </c>
      <c r="J2097" s="12" t="n">
        <v>48.22</v>
      </c>
      <c r="K2097" s="17" t="n">
        <v>3466618.02</v>
      </c>
      <c r="L2097" s="12" t="n">
        <v>0</v>
      </c>
      <c r="M2097" s="12" t="n">
        <v>0</v>
      </c>
      <c r="N2097" s="27">
        <f>F2097-J2097</f>
        <v/>
      </c>
      <c r="O2097" s="16">
        <f>I2097-H2097</f>
        <v/>
      </c>
      <c r="P2097" s="14">
        <f>F2097*G2097</f>
        <v/>
      </c>
      <c r="Q2097" s="14">
        <f>J2097*G2097</f>
        <v/>
      </c>
      <c r="R2097" s="14">
        <f>K2097-Q2097</f>
        <v/>
      </c>
      <c r="S2097" s="3">
        <f>P2097*Assumptions!$B$3/100</f>
        <v/>
      </c>
      <c r="T2097" s="14">
        <f>R2097-S2097</f>
        <v/>
      </c>
      <c r="U2097" s="14">
        <f>L2097*G2097</f>
        <v/>
      </c>
    </row>
    <row r="2098">
      <c r="A2098" s="12" t="inlineStr">
        <is>
          <t>PO-2022-2096</t>
        </is>
      </c>
      <c r="B2098" s="26" t="n">
        <v>44483</v>
      </c>
      <c r="C2098" s="12" t="inlineStr">
        <is>
          <t>VS30</t>
        </is>
      </c>
      <c r="D2098" s="12" t="inlineStr">
        <is>
          <t>CR Sheets</t>
        </is>
      </c>
      <c r="E2098" s="12" t="inlineStr">
        <is>
          <t>N</t>
        </is>
      </c>
      <c r="F2098" s="12" t="n">
        <v>1.95</v>
      </c>
      <c r="G2098" s="17" t="n">
        <v>97825.42</v>
      </c>
      <c r="H2098" s="26" t="n">
        <v>44489</v>
      </c>
      <c r="I2098" s="26" t="n">
        <v>44489</v>
      </c>
      <c r="J2098" s="12" t="n">
        <v>1.93</v>
      </c>
      <c r="K2098" s="17" t="n">
        <v>190759.57</v>
      </c>
      <c r="L2098" s="12" t="n">
        <v>0</v>
      </c>
      <c r="M2098" s="12" t="n">
        <v>5</v>
      </c>
      <c r="N2098" s="27">
        <f>F2098-J2098</f>
        <v/>
      </c>
      <c r="O2098" s="16">
        <f>I2098-H2098</f>
        <v/>
      </c>
      <c r="P2098" s="14">
        <f>F2098*G2098</f>
        <v/>
      </c>
      <c r="Q2098" s="14">
        <f>J2098*G2098</f>
        <v/>
      </c>
      <c r="R2098" s="14">
        <f>K2098-Q2098</f>
        <v/>
      </c>
      <c r="S2098" s="3">
        <f>P2098*Assumptions!$B$3/100</f>
        <v/>
      </c>
      <c r="T2098" s="14">
        <f>R2098-S2098</f>
        <v/>
      </c>
      <c r="U2098" s="14">
        <f>L2098*G2098</f>
        <v/>
      </c>
    </row>
    <row r="2099">
      <c r="A2099" s="12" t="inlineStr">
        <is>
          <t>PO-2022-2097</t>
        </is>
      </c>
      <c r="B2099" s="26" t="n">
        <v>44721</v>
      </c>
      <c r="C2099" s="12" t="inlineStr">
        <is>
          <t>VS19</t>
        </is>
      </c>
      <c r="D2099" s="12" t="inlineStr">
        <is>
          <t>Angles &amp; Channels</t>
        </is>
      </c>
      <c r="E2099" s="12" t="inlineStr">
        <is>
          <t>N</t>
        </is>
      </c>
      <c r="F2099" s="12" t="n">
        <v>2.16</v>
      </c>
      <c r="G2099" s="17" t="n">
        <v>80144.87</v>
      </c>
      <c r="H2099" s="26" t="n">
        <v>44730</v>
      </c>
      <c r="I2099" s="26" t="n">
        <v>44733</v>
      </c>
      <c r="J2099" s="12" t="n">
        <v>2.1</v>
      </c>
      <c r="K2099" s="17" t="n">
        <v>173112.92</v>
      </c>
      <c r="L2099" s="12" t="n">
        <v>0.09</v>
      </c>
      <c r="M2099" s="12" t="n">
        <v>18</v>
      </c>
      <c r="N2099" s="27">
        <f>F2099-J2099</f>
        <v/>
      </c>
      <c r="O2099" s="16">
        <f>I2099-H2099</f>
        <v/>
      </c>
      <c r="P2099" s="14">
        <f>F2099*G2099</f>
        <v/>
      </c>
      <c r="Q2099" s="14">
        <f>J2099*G2099</f>
        <v/>
      </c>
      <c r="R2099" s="14">
        <f>K2099-Q2099</f>
        <v/>
      </c>
      <c r="S2099" s="3">
        <f>P2099*Assumptions!$B$3/100</f>
        <v/>
      </c>
      <c r="T2099" s="14">
        <f>R2099-S2099</f>
        <v/>
      </c>
      <c r="U2099" s="14">
        <f>L2099*G2099</f>
        <v/>
      </c>
    </row>
    <row r="2100">
      <c r="A2100" s="12" t="inlineStr">
        <is>
          <t>PO-2022-2098</t>
        </is>
      </c>
      <c r="B2100" s="26" t="n">
        <v>44864</v>
      </c>
      <c r="C2100" s="12" t="inlineStr">
        <is>
          <t>VS13</t>
        </is>
      </c>
      <c r="D2100" s="12" t="inlineStr">
        <is>
          <t>GI Sheets</t>
        </is>
      </c>
      <c r="E2100" s="12" t="inlineStr">
        <is>
          <t>N</t>
        </is>
      </c>
      <c r="F2100" s="12" t="n">
        <v>31.26</v>
      </c>
      <c r="G2100" s="17" t="n">
        <v>78007.74000000001</v>
      </c>
      <c r="H2100" s="26" t="n">
        <v>44871</v>
      </c>
      <c r="I2100" s="26" t="n">
        <v>44871</v>
      </c>
      <c r="J2100" s="12" t="n">
        <v>31.02</v>
      </c>
      <c r="K2100" s="17" t="n">
        <v>2438521.95</v>
      </c>
      <c r="L2100" s="12" t="n">
        <v>0</v>
      </c>
      <c r="M2100" s="12" t="n">
        <v>0</v>
      </c>
      <c r="N2100" s="27">
        <f>F2100-J2100</f>
        <v/>
      </c>
      <c r="O2100" s="16">
        <f>I2100-H2100</f>
        <v/>
      </c>
      <c r="P2100" s="14">
        <f>F2100*G2100</f>
        <v/>
      </c>
      <c r="Q2100" s="14">
        <f>J2100*G2100</f>
        <v/>
      </c>
      <c r="R2100" s="14">
        <f>K2100-Q2100</f>
        <v/>
      </c>
      <c r="S2100" s="3">
        <f>P2100*Assumptions!$B$3/100</f>
        <v/>
      </c>
      <c r="T2100" s="14">
        <f>R2100-S2100</f>
        <v/>
      </c>
      <c r="U2100" s="14">
        <f>L2100*G2100</f>
        <v/>
      </c>
    </row>
    <row r="2101">
      <c r="A2101" s="12" t="inlineStr">
        <is>
          <t>PO-2022-2099</t>
        </is>
      </c>
      <c r="B2101" s="26" t="n">
        <v>44415</v>
      </c>
      <c r="C2101" s="12" t="inlineStr">
        <is>
          <t>VS05</t>
        </is>
      </c>
      <c r="D2101" s="12" t="inlineStr">
        <is>
          <t>HR Coils</t>
        </is>
      </c>
      <c r="E2101" s="12" t="inlineStr">
        <is>
          <t>N</t>
        </is>
      </c>
      <c r="F2101" s="12" t="n">
        <v>8.859999999999999</v>
      </c>
      <c r="G2101" s="17" t="n">
        <v>99213.69</v>
      </c>
      <c r="H2101" s="26" t="n">
        <v>44429</v>
      </c>
      <c r="I2101" s="26" t="n">
        <v>44429</v>
      </c>
      <c r="J2101" s="12" t="n">
        <v>8.85</v>
      </c>
      <c r="K2101" s="17" t="n">
        <v>879033.29</v>
      </c>
      <c r="L2101" s="12" t="n">
        <v>0</v>
      </c>
      <c r="M2101" s="12" t="n">
        <v>4</v>
      </c>
      <c r="N2101" s="27">
        <f>F2101-J2101</f>
        <v/>
      </c>
      <c r="O2101" s="16">
        <f>I2101-H2101</f>
        <v/>
      </c>
      <c r="P2101" s="14">
        <f>F2101*G2101</f>
        <v/>
      </c>
      <c r="Q2101" s="14">
        <f>J2101*G2101</f>
        <v/>
      </c>
      <c r="R2101" s="14">
        <f>K2101-Q2101</f>
        <v/>
      </c>
      <c r="S2101" s="3">
        <f>P2101*Assumptions!$B$3/100</f>
        <v/>
      </c>
      <c r="T2101" s="14">
        <f>R2101-S2101</f>
        <v/>
      </c>
      <c r="U2101" s="14">
        <f>L2101*G2101</f>
        <v/>
      </c>
    </row>
    <row r="2102">
      <c r="A2102" s="12" t="inlineStr">
        <is>
          <t>PO-2022-2100</t>
        </is>
      </c>
      <c r="B2102" s="26" t="n">
        <v>45159</v>
      </c>
      <c r="C2102" s="12" t="inlineStr">
        <is>
          <t>VS03</t>
        </is>
      </c>
      <c r="D2102" s="12" t="inlineStr">
        <is>
          <t>MS Rods</t>
        </is>
      </c>
      <c r="E2102" s="12" t="inlineStr">
        <is>
          <t>N</t>
        </is>
      </c>
      <c r="F2102" s="12" t="n">
        <v>34.7</v>
      </c>
      <c r="G2102" s="17" t="n">
        <v>117693.21</v>
      </c>
      <c r="H2102" s="26" t="n">
        <v>45169</v>
      </c>
      <c r="I2102" s="26" t="n">
        <v>45171</v>
      </c>
      <c r="J2102" s="12" t="n">
        <v>33.68</v>
      </c>
      <c r="K2102" s="17" t="n">
        <v>4083954.39</v>
      </c>
      <c r="L2102" s="12" t="n">
        <v>1.37</v>
      </c>
      <c r="M2102" s="12" t="n">
        <v>0</v>
      </c>
      <c r="N2102" s="27">
        <f>F2102-J2102</f>
        <v/>
      </c>
      <c r="O2102" s="16">
        <f>I2102-H2102</f>
        <v/>
      </c>
      <c r="P2102" s="14">
        <f>F2102*G2102</f>
        <v/>
      </c>
      <c r="Q2102" s="14">
        <f>J2102*G2102</f>
        <v/>
      </c>
      <c r="R2102" s="14">
        <f>K2102-Q2102</f>
        <v/>
      </c>
      <c r="S2102" s="3">
        <f>P2102*Assumptions!$B$3/100</f>
        <v/>
      </c>
      <c r="T2102" s="14">
        <f>R2102-S2102</f>
        <v/>
      </c>
      <c r="U2102" s="14">
        <f>L2102*G2102</f>
        <v/>
      </c>
    </row>
    <row r="2103">
      <c r="A2103" s="12" t="inlineStr">
        <is>
          <t>PO-2022-2101</t>
        </is>
      </c>
      <c r="B2103" s="26" t="n">
        <v>44708</v>
      </c>
      <c r="C2103" s="12" t="inlineStr">
        <is>
          <t>VS18</t>
        </is>
      </c>
      <c r="D2103" s="12" t="inlineStr">
        <is>
          <t>MS Rods</t>
        </is>
      </c>
      <c r="E2103" s="12" t="inlineStr">
        <is>
          <t>Y</t>
        </is>
      </c>
      <c r="F2103" s="12" t="n">
        <v>3.91</v>
      </c>
      <c r="G2103" s="17" t="n">
        <v>49208.59</v>
      </c>
      <c r="H2103" s="26" t="n">
        <v>44716</v>
      </c>
      <c r="I2103" s="26" t="n">
        <v>44719</v>
      </c>
      <c r="J2103" s="12" t="n">
        <v>3.91</v>
      </c>
      <c r="K2103" s="17" t="n">
        <v>192405.59</v>
      </c>
      <c r="L2103" s="12" t="n">
        <v>0</v>
      </c>
      <c r="M2103" s="12" t="n">
        <v>25</v>
      </c>
      <c r="N2103" s="27">
        <f>F2103-J2103</f>
        <v/>
      </c>
      <c r="O2103" s="16">
        <f>I2103-H2103</f>
        <v/>
      </c>
      <c r="P2103" s="14">
        <f>F2103*G2103</f>
        <v/>
      </c>
      <c r="Q2103" s="14">
        <f>J2103*G2103</f>
        <v/>
      </c>
      <c r="R2103" s="14">
        <f>K2103-Q2103</f>
        <v/>
      </c>
      <c r="S2103" s="3">
        <f>P2103*Assumptions!$B$3/100</f>
        <v/>
      </c>
      <c r="T2103" s="14">
        <f>R2103-S2103</f>
        <v/>
      </c>
      <c r="U2103" s="14">
        <f>L2103*G2103</f>
        <v/>
      </c>
    </row>
    <row r="2104">
      <c r="A2104" s="12" t="inlineStr">
        <is>
          <t>PO-2022-2102</t>
        </is>
      </c>
      <c r="B2104" s="26" t="n">
        <v>44762</v>
      </c>
      <c r="C2104" s="12" t="inlineStr">
        <is>
          <t>VS24</t>
        </is>
      </c>
      <c r="D2104" s="12" t="inlineStr">
        <is>
          <t>Fasteners &amp; Fittings</t>
        </is>
      </c>
      <c r="E2104" s="12" t="inlineStr">
        <is>
          <t>N</t>
        </is>
      </c>
      <c r="F2104" s="12" t="n">
        <v>46.26</v>
      </c>
      <c r="G2104" s="17" t="n">
        <v>53327.31</v>
      </c>
      <c r="H2104" s="26" t="n">
        <v>44767</v>
      </c>
      <c r="I2104" s="26" t="n">
        <v>44769</v>
      </c>
      <c r="J2104" s="12" t="n">
        <v>46.17</v>
      </c>
      <c r="K2104" s="17" t="n">
        <v>2466921.36</v>
      </c>
      <c r="L2104" s="12" t="n">
        <v>0</v>
      </c>
      <c r="M2104" s="12" t="n">
        <v>0</v>
      </c>
      <c r="N2104" s="27">
        <f>F2104-J2104</f>
        <v/>
      </c>
      <c r="O2104" s="16">
        <f>I2104-H2104</f>
        <v/>
      </c>
      <c r="P2104" s="14">
        <f>F2104*G2104</f>
        <v/>
      </c>
      <c r="Q2104" s="14">
        <f>J2104*G2104</f>
        <v/>
      </c>
      <c r="R2104" s="14">
        <f>K2104-Q2104</f>
        <v/>
      </c>
      <c r="S2104" s="3">
        <f>P2104*Assumptions!$B$3/100</f>
        <v/>
      </c>
      <c r="T2104" s="14">
        <f>R2104-S2104</f>
        <v/>
      </c>
      <c r="U2104" s="14">
        <f>L2104*G2104</f>
        <v/>
      </c>
    </row>
    <row r="2105">
      <c r="A2105" s="12" t="inlineStr">
        <is>
          <t>PO-2022-2103</t>
        </is>
      </c>
      <c r="B2105" s="26" t="n">
        <v>44348</v>
      </c>
      <c r="C2105" s="12" t="inlineStr">
        <is>
          <t>VS21</t>
        </is>
      </c>
      <c r="D2105" s="12" t="inlineStr">
        <is>
          <t>GI Wire</t>
        </is>
      </c>
      <c r="E2105" s="12" t="inlineStr">
        <is>
          <t>N</t>
        </is>
      </c>
      <c r="F2105" s="12" t="n">
        <v>41.39</v>
      </c>
      <c r="G2105" s="17" t="n">
        <v>110546.3</v>
      </c>
      <c r="H2105" s="26" t="n">
        <v>44360</v>
      </c>
      <c r="I2105" s="26" t="n">
        <v>44362</v>
      </c>
      <c r="J2105" s="12" t="n">
        <v>41.09</v>
      </c>
      <c r="K2105" s="17" t="n">
        <v>4575511.36</v>
      </c>
      <c r="L2105" s="12" t="n">
        <v>0</v>
      </c>
      <c r="M2105" s="12" t="n">
        <v>15</v>
      </c>
      <c r="N2105" s="27">
        <f>F2105-J2105</f>
        <v/>
      </c>
      <c r="O2105" s="16">
        <f>I2105-H2105</f>
        <v/>
      </c>
      <c r="P2105" s="14">
        <f>F2105*G2105</f>
        <v/>
      </c>
      <c r="Q2105" s="14">
        <f>J2105*G2105</f>
        <v/>
      </c>
      <c r="R2105" s="14">
        <f>K2105-Q2105</f>
        <v/>
      </c>
      <c r="S2105" s="3">
        <f>P2105*Assumptions!$B$3/100</f>
        <v/>
      </c>
      <c r="T2105" s="14">
        <f>R2105-S2105</f>
        <v/>
      </c>
      <c r="U2105" s="14">
        <f>L2105*G2105</f>
        <v/>
      </c>
    </row>
    <row r="2106">
      <c r="A2106" s="12" t="inlineStr">
        <is>
          <t>PO-2022-2104</t>
        </is>
      </c>
      <c r="B2106" s="26" t="n">
        <v>44809</v>
      </c>
      <c r="C2106" s="12" t="inlineStr">
        <is>
          <t>VS13</t>
        </is>
      </c>
      <c r="D2106" s="12" t="inlineStr">
        <is>
          <t>Spring Steel</t>
        </is>
      </c>
      <c r="E2106" s="12" t="inlineStr">
        <is>
          <t>N</t>
        </is>
      </c>
      <c r="F2106" s="12" t="n">
        <v>5.31</v>
      </c>
      <c r="G2106" s="17" t="n">
        <v>63392</v>
      </c>
      <c r="H2106" s="26" t="n">
        <v>44821</v>
      </c>
      <c r="I2106" s="26" t="n">
        <v>44823</v>
      </c>
      <c r="J2106" s="12" t="n">
        <v>5.27</v>
      </c>
      <c r="K2106" s="17" t="n">
        <v>336611.52</v>
      </c>
      <c r="L2106" s="12" t="n">
        <v>0</v>
      </c>
      <c r="M2106" s="12" t="n">
        <v>23</v>
      </c>
      <c r="N2106" s="27">
        <f>F2106-J2106</f>
        <v/>
      </c>
      <c r="O2106" s="16">
        <f>I2106-H2106</f>
        <v/>
      </c>
      <c r="P2106" s="14">
        <f>F2106*G2106</f>
        <v/>
      </c>
      <c r="Q2106" s="14">
        <f>J2106*G2106</f>
        <v/>
      </c>
      <c r="R2106" s="14">
        <f>K2106-Q2106</f>
        <v/>
      </c>
      <c r="S2106" s="3">
        <f>P2106*Assumptions!$B$3/100</f>
        <v/>
      </c>
      <c r="T2106" s="14">
        <f>R2106-S2106</f>
        <v/>
      </c>
      <c r="U2106" s="14">
        <f>L2106*G2106</f>
        <v/>
      </c>
    </row>
    <row r="2107">
      <c r="A2107" s="12" t="inlineStr">
        <is>
          <t>PO-2022-2105</t>
        </is>
      </c>
      <c r="B2107" s="26" t="n">
        <v>44730</v>
      </c>
      <c r="C2107" s="12" t="inlineStr">
        <is>
          <t>VS34</t>
        </is>
      </c>
      <c r="D2107" s="12" t="inlineStr">
        <is>
          <t>SS Sheets</t>
        </is>
      </c>
      <c r="E2107" s="12" t="inlineStr">
        <is>
          <t>N</t>
        </is>
      </c>
      <c r="F2107" s="12" t="n">
        <v>34.79</v>
      </c>
      <c r="G2107" s="17" t="n">
        <v>55535.07</v>
      </c>
      <c r="H2107" s="26" t="n">
        <v>44745</v>
      </c>
      <c r="I2107" s="26" t="n">
        <v>44748</v>
      </c>
      <c r="J2107" s="12" t="n">
        <v>34.7</v>
      </c>
      <c r="K2107" s="17" t="n">
        <v>1932065.09</v>
      </c>
      <c r="L2107" s="12" t="n">
        <v>0</v>
      </c>
      <c r="M2107" s="12" t="n">
        <v>2</v>
      </c>
      <c r="N2107" s="27">
        <f>F2107-J2107</f>
        <v/>
      </c>
      <c r="O2107" s="16">
        <f>I2107-H2107</f>
        <v/>
      </c>
      <c r="P2107" s="14">
        <f>F2107*G2107</f>
        <v/>
      </c>
      <c r="Q2107" s="14">
        <f>J2107*G2107</f>
        <v/>
      </c>
      <c r="R2107" s="14">
        <f>K2107-Q2107</f>
        <v/>
      </c>
      <c r="S2107" s="3">
        <f>P2107*Assumptions!$B$3/100</f>
        <v/>
      </c>
      <c r="T2107" s="14">
        <f>R2107-S2107</f>
        <v/>
      </c>
      <c r="U2107" s="14">
        <f>L2107*G2107</f>
        <v/>
      </c>
    </row>
    <row r="2108">
      <c r="A2108" s="12" t="inlineStr">
        <is>
          <t>PO-2022-2106</t>
        </is>
      </c>
      <c r="B2108" s="26" t="n">
        <v>44336</v>
      </c>
      <c r="C2108" s="12" t="inlineStr">
        <is>
          <t>VS21</t>
        </is>
      </c>
      <c r="D2108" s="12" t="inlineStr">
        <is>
          <t>Angles &amp; Channels</t>
        </is>
      </c>
      <c r="E2108" s="12" t="inlineStr">
        <is>
          <t>N</t>
        </is>
      </c>
      <c r="F2108" s="12" t="n">
        <v>45.35</v>
      </c>
      <c r="G2108" s="17" t="n">
        <v>78438.03</v>
      </c>
      <c r="H2108" s="26" t="n">
        <v>44342</v>
      </c>
      <c r="I2108" s="26" t="n">
        <v>44343</v>
      </c>
      <c r="J2108" s="12" t="n">
        <v>45.17</v>
      </c>
      <c r="K2108" s="17" t="n">
        <v>3557164.66</v>
      </c>
      <c r="L2108" s="12" t="n">
        <v>0</v>
      </c>
      <c r="M2108" s="12" t="n">
        <v>1</v>
      </c>
      <c r="N2108" s="27">
        <f>F2108-J2108</f>
        <v/>
      </c>
      <c r="O2108" s="16">
        <f>I2108-H2108</f>
        <v/>
      </c>
      <c r="P2108" s="14">
        <f>F2108*G2108</f>
        <v/>
      </c>
      <c r="Q2108" s="14">
        <f>J2108*G2108</f>
        <v/>
      </c>
      <c r="R2108" s="14">
        <f>K2108-Q2108</f>
        <v/>
      </c>
      <c r="S2108" s="3">
        <f>P2108*Assumptions!$B$3/100</f>
        <v/>
      </c>
      <c r="T2108" s="14">
        <f>R2108-S2108</f>
        <v/>
      </c>
      <c r="U2108" s="14">
        <f>L2108*G2108</f>
        <v/>
      </c>
    </row>
    <row r="2109">
      <c r="A2109" s="12" t="inlineStr">
        <is>
          <t>PO-2022-2107</t>
        </is>
      </c>
      <c r="B2109" s="26" t="n">
        <v>44574</v>
      </c>
      <c r="C2109" s="12" t="inlineStr">
        <is>
          <t>VS21</t>
        </is>
      </c>
      <c r="D2109" s="12" t="inlineStr">
        <is>
          <t>Fasteners &amp; Fittings</t>
        </is>
      </c>
      <c r="E2109" s="12" t="inlineStr">
        <is>
          <t>N</t>
        </is>
      </c>
      <c r="F2109" s="12" t="n">
        <v>12.16</v>
      </c>
      <c r="G2109" s="17" t="n">
        <v>72165.28</v>
      </c>
      <c r="H2109" s="26" t="n">
        <v>44580</v>
      </c>
      <c r="I2109" s="26" t="n">
        <v>44583</v>
      </c>
      <c r="J2109" s="12" t="n">
        <v>12.13</v>
      </c>
      <c r="K2109" s="17" t="n">
        <v>877529.8</v>
      </c>
      <c r="L2109" s="12" t="n">
        <v>0</v>
      </c>
      <c r="M2109" s="12" t="n">
        <v>3</v>
      </c>
      <c r="N2109" s="27">
        <f>F2109-J2109</f>
        <v/>
      </c>
      <c r="O2109" s="16">
        <f>I2109-H2109</f>
        <v/>
      </c>
      <c r="P2109" s="14">
        <f>F2109*G2109</f>
        <v/>
      </c>
      <c r="Q2109" s="14">
        <f>J2109*G2109</f>
        <v/>
      </c>
      <c r="R2109" s="14">
        <f>K2109-Q2109</f>
        <v/>
      </c>
      <c r="S2109" s="3">
        <f>P2109*Assumptions!$B$3/100</f>
        <v/>
      </c>
      <c r="T2109" s="14">
        <f>R2109-S2109</f>
        <v/>
      </c>
      <c r="U2109" s="14">
        <f>L2109*G2109</f>
        <v/>
      </c>
    </row>
    <row r="2110">
      <c r="A2110" s="12" t="inlineStr">
        <is>
          <t>PO-2022-2108</t>
        </is>
      </c>
      <c r="B2110" s="26" t="n">
        <v>44727</v>
      </c>
      <c r="C2110" s="12" t="inlineStr">
        <is>
          <t>VS17</t>
        </is>
      </c>
      <c r="D2110" s="12" t="inlineStr">
        <is>
          <t>MS Pipes</t>
        </is>
      </c>
      <c r="E2110" s="12" t="inlineStr">
        <is>
          <t>N</t>
        </is>
      </c>
      <c r="F2110" s="12" t="n">
        <v>7.87</v>
      </c>
      <c r="G2110" s="17" t="n">
        <v>93168.02</v>
      </c>
      <c r="H2110" s="26" t="n">
        <v>44736</v>
      </c>
      <c r="I2110" s="26" t="n">
        <v>44737</v>
      </c>
      <c r="J2110" s="12" t="n">
        <v>7.84</v>
      </c>
      <c r="K2110" s="17" t="n">
        <v>733232.3199999999</v>
      </c>
      <c r="L2110" s="12" t="n">
        <v>0</v>
      </c>
      <c r="M2110" s="12" t="n">
        <v>0</v>
      </c>
      <c r="N2110" s="27">
        <f>F2110-J2110</f>
        <v/>
      </c>
      <c r="O2110" s="16">
        <f>I2110-H2110</f>
        <v/>
      </c>
      <c r="P2110" s="14">
        <f>F2110*G2110</f>
        <v/>
      </c>
      <c r="Q2110" s="14">
        <f>J2110*G2110</f>
        <v/>
      </c>
      <c r="R2110" s="14">
        <f>K2110-Q2110</f>
        <v/>
      </c>
      <c r="S2110" s="3">
        <f>P2110*Assumptions!$B$3/100</f>
        <v/>
      </c>
      <c r="T2110" s="14">
        <f>R2110-S2110</f>
        <v/>
      </c>
      <c r="U2110" s="14">
        <f>L2110*G2110</f>
        <v/>
      </c>
    </row>
    <row r="2111">
      <c r="A2111" s="12" t="inlineStr">
        <is>
          <t>PO-2022-2109</t>
        </is>
      </c>
      <c r="B2111" s="26" t="n">
        <v>45008</v>
      </c>
      <c r="C2111" s="12" t="inlineStr">
        <is>
          <t>VS32</t>
        </is>
      </c>
      <c r="D2111" s="12" t="inlineStr">
        <is>
          <t>GI Pipes</t>
        </is>
      </c>
      <c r="E2111" s="12" t="inlineStr">
        <is>
          <t>Y</t>
        </is>
      </c>
      <c r="F2111" s="12" t="n">
        <v>41.75</v>
      </c>
      <c r="G2111" s="17" t="n">
        <v>49521.48</v>
      </c>
      <c r="H2111" s="26" t="n">
        <v>45019</v>
      </c>
      <c r="I2111" s="26" t="n">
        <v>45020</v>
      </c>
      <c r="J2111" s="12" t="n">
        <v>41.42</v>
      </c>
      <c r="K2111" s="17" t="n">
        <v>2067521.79</v>
      </c>
      <c r="L2111" s="12" t="n">
        <v>0</v>
      </c>
      <c r="M2111" s="12" t="n">
        <v>22</v>
      </c>
      <c r="N2111" s="27">
        <f>F2111-J2111</f>
        <v/>
      </c>
      <c r="O2111" s="16">
        <f>I2111-H2111</f>
        <v/>
      </c>
      <c r="P2111" s="14">
        <f>F2111*G2111</f>
        <v/>
      </c>
      <c r="Q2111" s="14">
        <f>J2111*G2111</f>
        <v/>
      </c>
      <c r="R2111" s="14">
        <f>K2111-Q2111</f>
        <v/>
      </c>
      <c r="S2111" s="3">
        <f>P2111*Assumptions!$B$3/100</f>
        <v/>
      </c>
      <c r="T2111" s="14">
        <f>R2111-S2111</f>
        <v/>
      </c>
      <c r="U2111" s="14">
        <f>L2111*G2111</f>
        <v/>
      </c>
    </row>
    <row r="2112">
      <c r="A2112" s="12" t="inlineStr">
        <is>
          <t>PO-2022-2110</t>
        </is>
      </c>
      <c r="B2112" s="26" t="n">
        <v>44961</v>
      </c>
      <c r="C2112" s="12" t="inlineStr">
        <is>
          <t>VS02</t>
        </is>
      </c>
      <c r="D2112" s="12" t="inlineStr">
        <is>
          <t>GI Wire</t>
        </is>
      </c>
      <c r="E2112" s="12" t="inlineStr">
        <is>
          <t>Y</t>
        </is>
      </c>
      <c r="F2112" s="12" t="n">
        <v>49.79</v>
      </c>
      <c r="G2112" s="17" t="n">
        <v>116984.12</v>
      </c>
      <c r="H2112" s="26" t="n">
        <v>44976</v>
      </c>
      <c r="I2112" s="26" t="n">
        <v>44976</v>
      </c>
      <c r="J2112" s="12" t="n">
        <v>49.69</v>
      </c>
      <c r="K2112" s="17" t="n">
        <v>5824639.33</v>
      </c>
      <c r="L2112" s="12" t="n">
        <v>0</v>
      </c>
      <c r="M2112" s="12" t="n">
        <v>0</v>
      </c>
      <c r="N2112" s="27">
        <f>F2112-J2112</f>
        <v/>
      </c>
      <c r="O2112" s="16">
        <f>I2112-H2112</f>
        <v/>
      </c>
      <c r="P2112" s="14">
        <f>F2112*G2112</f>
        <v/>
      </c>
      <c r="Q2112" s="14">
        <f>J2112*G2112</f>
        <v/>
      </c>
      <c r="R2112" s="14">
        <f>K2112-Q2112</f>
        <v/>
      </c>
      <c r="S2112" s="3">
        <f>P2112*Assumptions!$B$3/100</f>
        <v/>
      </c>
      <c r="T2112" s="14">
        <f>R2112-S2112</f>
        <v/>
      </c>
      <c r="U2112" s="14">
        <f>L2112*G2112</f>
        <v/>
      </c>
    </row>
    <row r="2113">
      <c r="A2113" s="12" t="inlineStr">
        <is>
          <t>PO-2022-2111</t>
        </is>
      </c>
      <c r="B2113" s="26" t="n">
        <v>44866</v>
      </c>
      <c r="C2113" s="12" t="inlineStr">
        <is>
          <t>VS32</t>
        </is>
      </c>
      <c r="D2113" s="12" t="inlineStr">
        <is>
          <t>SS Sheets</t>
        </is>
      </c>
      <c r="E2113" s="12" t="inlineStr">
        <is>
          <t>N</t>
        </is>
      </c>
      <c r="F2113" s="12" t="n">
        <v>29.17</v>
      </c>
      <c r="G2113" s="17" t="n">
        <v>92578.03999999999</v>
      </c>
      <c r="H2113" s="26" t="n">
        <v>44880</v>
      </c>
      <c r="I2113" s="26" t="n">
        <v>44881</v>
      </c>
      <c r="J2113" s="12" t="n">
        <v>29.14</v>
      </c>
      <c r="K2113" s="17" t="n">
        <v>2700501.43</v>
      </c>
      <c r="L2113" s="12" t="n">
        <v>0</v>
      </c>
      <c r="M2113" s="12" t="n">
        <v>2</v>
      </c>
      <c r="N2113" s="27">
        <f>F2113-J2113</f>
        <v/>
      </c>
      <c r="O2113" s="16">
        <f>I2113-H2113</f>
        <v/>
      </c>
      <c r="P2113" s="14">
        <f>F2113*G2113</f>
        <v/>
      </c>
      <c r="Q2113" s="14">
        <f>J2113*G2113</f>
        <v/>
      </c>
      <c r="R2113" s="14">
        <f>K2113-Q2113</f>
        <v/>
      </c>
      <c r="S2113" s="3">
        <f>P2113*Assumptions!$B$3/100</f>
        <v/>
      </c>
      <c r="T2113" s="14">
        <f>R2113-S2113</f>
        <v/>
      </c>
      <c r="U2113" s="14">
        <f>L2113*G2113</f>
        <v/>
      </c>
    </row>
    <row r="2114">
      <c r="A2114" s="12" t="inlineStr">
        <is>
          <t>PO-2022-2112</t>
        </is>
      </c>
      <c r="B2114" s="26" t="n">
        <v>44351</v>
      </c>
      <c r="C2114" s="12" t="inlineStr">
        <is>
          <t>VS06</t>
        </is>
      </c>
      <c r="D2114" s="12" t="inlineStr">
        <is>
          <t>Spring Steel</t>
        </is>
      </c>
      <c r="E2114" s="12" t="inlineStr">
        <is>
          <t>N</t>
        </is>
      </c>
      <c r="F2114" s="12" t="n">
        <v>39.25</v>
      </c>
      <c r="G2114" s="17" t="n">
        <v>84882.17999999999</v>
      </c>
      <c r="H2114" s="26" t="n">
        <v>44366</v>
      </c>
      <c r="I2114" s="26" t="n">
        <v>44367</v>
      </c>
      <c r="J2114" s="12" t="n">
        <v>39.24</v>
      </c>
      <c r="K2114" s="17" t="n">
        <v>3331625.56</v>
      </c>
      <c r="L2114" s="12" t="n">
        <v>0</v>
      </c>
      <c r="M2114" s="12" t="n">
        <v>15</v>
      </c>
      <c r="N2114" s="27">
        <f>F2114-J2114</f>
        <v/>
      </c>
      <c r="O2114" s="16">
        <f>I2114-H2114</f>
        <v/>
      </c>
      <c r="P2114" s="14">
        <f>F2114*G2114</f>
        <v/>
      </c>
      <c r="Q2114" s="14">
        <f>J2114*G2114</f>
        <v/>
      </c>
      <c r="R2114" s="14">
        <f>K2114-Q2114</f>
        <v/>
      </c>
      <c r="S2114" s="3">
        <f>P2114*Assumptions!$B$3/100</f>
        <v/>
      </c>
      <c r="T2114" s="14">
        <f>R2114-S2114</f>
        <v/>
      </c>
      <c r="U2114" s="14">
        <f>L2114*G2114</f>
        <v/>
      </c>
    </row>
    <row r="2115">
      <c r="A2115" s="12" t="inlineStr">
        <is>
          <t>PO-2022-2113</t>
        </is>
      </c>
      <c r="B2115" s="26" t="n">
        <v>45248</v>
      </c>
      <c r="C2115" s="12" t="inlineStr">
        <is>
          <t>VS06</t>
        </is>
      </c>
      <c r="D2115" s="12" t="inlineStr">
        <is>
          <t>Fasteners &amp; Fittings</t>
        </is>
      </c>
      <c r="E2115" s="12" t="inlineStr">
        <is>
          <t>N</t>
        </is>
      </c>
      <c r="F2115" s="12" t="n">
        <v>30.89</v>
      </c>
      <c r="G2115" s="17" t="n">
        <v>119471.23</v>
      </c>
      <c r="H2115" s="26" t="n">
        <v>45263</v>
      </c>
      <c r="I2115" s="26" t="n">
        <v>45264</v>
      </c>
      <c r="J2115" s="12" t="n">
        <v>30.82</v>
      </c>
      <c r="K2115" s="17" t="n">
        <v>3690466.29</v>
      </c>
      <c r="L2115" s="12" t="n">
        <v>0</v>
      </c>
      <c r="M2115" s="12" t="n">
        <v>23</v>
      </c>
      <c r="N2115" s="27">
        <f>F2115-J2115</f>
        <v/>
      </c>
      <c r="O2115" s="16">
        <f>I2115-H2115</f>
        <v/>
      </c>
      <c r="P2115" s="14">
        <f>F2115*G2115</f>
        <v/>
      </c>
      <c r="Q2115" s="14">
        <f>J2115*G2115</f>
        <v/>
      </c>
      <c r="R2115" s="14">
        <f>K2115-Q2115</f>
        <v/>
      </c>
      <c r="S2115" s="3">
        <f>P2115*Assumptions!$B$3/100</f>
        <v/>
      </c>
      <c r="T2115" s="14">
        <f>R2115-S2115</f>
        <v/>
      </c>
      <c r="U2115" s="14">
        <f>L2115*G2115</f>
        <v/>
      </c>
    </row>
    <row r="2116">
      <c r="A2116" s="12" t="inlineStr">
        <is>
          <t>PO-2022-2114</t>
        </is>
      </c>
      <c r="B2116" s="26" t="n">
        <v>44346</v>
      </c>
      <c r="C2116" s="12" t="inlineStr">
        <is>
          <t>VS28</t>
        </is>
      </c>
      <c r="D2116" s="12" t="inlineStr">
        <is>
          <t>CR Sheets</t>
        </is>
      </c>
      <c r="E2116" s="12" t="inlineStr">
        <is>
          <t>N</t>
        </is>
      </c>
      <c r="F2116" s="12" t="n">
        <v>23.82</v>
      </c>
      <c r="G2116" s="17" t="n">
        <v>111701.68</v>
      </c>
      <c r="H2116" s="26" t="n">
        <v>44360</v>
      </c>
      <c r="I2116" s="26" t="n">
        <v>44363</v>
      </c>
      <c r="J2116" s="12" t="n">
        <v>23.7</v>
      </c>
      <c r="K2116" s="17" t="n">
        <v>2660734.02</v>
      </c>
      <c r="L2116" s="12" t="n">
        <v>0</v>
      </c>
      <c r="M2116" s="12" t="n">
        <v>0</v>
      </c>
      <c r="N2116" s="27">
        <f>F2116-J2116</f>
        <v/>
      </c>
      <c r="O2116" s="16">
        <f>I2116-H2116</f>
        <v/>
      </c>
      <c r="P2116" s="14">
        <f>F2116*G2116</f>
        <v/>
      </c>
      <c r="Q2116" s="14">
        <f>J2116*G2116</f>
        <v/>
      </c>
      <c r="R2116" s="14">
        <f>K2116-Q2116</f>
        <v/>
      </c>
      <c r="S2116" s="3">
        <f>P2116*Assumptions!$B$3/100</f>
        <v/>
      </c>
      <c r="T2116" s="14">
        <f>R2116-S2116</f>
        <v/>
      </c>
      <c r="U2116" s="14">
        <f>L2116*G2116</f>
        <v/>
      </c>
    </row>
    <row r="2117">
      <c r="A2117" s="12" t="inlineStr">
        <is>
          <t>PO-2022-2115</t>
        </is>
      </c>
      <c r="B2117" s="26" t="n">
        <v>44508</v>
      </c>
      <c r="C2117" s="12" t="inlineStr">
        <is>
          <t>VS22</t>
        </is>
      </c>
      <c r="D2117" s="12" t="inlineStr">
        <is>
          <t>SS Pipes</t>
        </is>
      </c>
      <c r="E2117" s="12" t="inlineStr">
        <is>
          <t>N</t>
        </is>
      </c>
      <c r="F2117" s="12" t="n">
        <v>9.9</v>
      </c>
      <c r="G2117" s="17" t="n">
        <v>88141.78</v>
      </c>
      <c r="H2117" s="26" t="n">
        <v>44518</v>
      </c>
      <c r="I2117" s="26" t="n">
        <v>44518</v>
      </c>
      <c r="J2117" s="12" t="n">
        <v>9.83</v>
      </c>
      <c r="K2117" s="17" t="n">
        <v>872603.62</v>
      </c>
      <c r="L2117" s="12" t="n">
        <v>0</v>
      </c>
      <c r="M2117" s="12" t="n">
        <v>10</v>
      </c>
      <c r="N2117" s="27">
        <f>F2117-J2117</f>
        <v/>
      </c>
      <c r="O2117" s="16">
        <f>I2117-H2117</f>
        <v/>
      </c>
      <c r="P2117" s="14">
        <f>F2117*G2117</f>
        <v/>
      </c>
      <c r="Q2117" s="14">
        <f>J2117*G2117</f>
        <v/>
      </c>
      <c r="R2117" s="14">
        <f>K2117-Q2117</f>
        <v/>
      </c>
      <c r="S2117" s="3">
        <f>P2117*Assumptions!$B$3/100</f>
        <v/>
      </c>
      <c r="T2117" s="14">
        <f>R2117-S2117</f>
        <v/>
      </c>
      <c r="U2117" s="14">
        <f>L2117*G2117</f>
        <v/>
      </c>
    </row>
    <row r="2118">
      <c r="A2118" s="12" t="inlineStr">
        <is>
          <t>PO-2022-2116</t>
        </is>
      </c>
      <c r="B2118" s="26" t="n">
        <v>45277</v>
      </c>
      <c r="C2118" s="12" t="inlineStr">
        <is>
          <t>VS28</t>
        </is>
      </c>
      <c r="D2118" s="12" t="inlineStr">
        <is>
          <t>MS Pipes</t>
        </is>
      </c>
      <c r="E2118" s="12" t="inlineStr">
        <is>
          <t>Y</t>
        </is>
      </c>
      <c r="F2118" s="12" t="n">
        <v>20.67</v>
      </c>
      <c r="G2118" s="17" t="n">
        <v>67036.03</v>
      </c>
      <c r="H2118" s="26" t="n">
        <v>45289</v>
      </c>
      <c r="I2118" s="26" t="n">
        <v>45290</v>
      </c>
      <c r="J2118" s="12" t="n">
        <v>20.54</v>
      </c>
      <c r="K2118" s="17" t="n">
        <v>1385634.74</v>
      </c>
      <c r="L2118" s="12" t="n">
        <v>0</v>
      </c>
      <c r="M2118" s="12" t="n">
        <v>12</v>
      </c>
      <c r="N2118" s="27">
        <f>F2118-J2118</f>
        <v/>
      </c>
      <c r="O2118" s="16">
        <f>I2118-H2118</f>
        <v/>
      </c>
      <c r="P2118" s="14">
        <f>F2118*G2118</f>
        <v/>
      </c>
      <c r="Q2118" s="14">
        <f>J2118*G2118</f>
        <v/>
      </c>
      <c r="R2118" s="14">
        <f>K2118-Q2118</f>
        <v/>
      </c>
      <c r="S2118" s="3">
        <f>P2118*Assumptions!$B$3/100</f>
        <v/>
      </c>
      <c r="T2118" s="14">
        <f>R2118-S2118</f>
        <v/>
      </c>
      <c r="U2118" s="14">
        <f>L2118*G2118</f>
        <v/>
      </c>
    </row>
    <row r="2119">
      <c r="A2119" s="12" t="inlineStr">
        <is>
          <t>PO-2022-2117</t>
        </is>
      </c>
      <c r="B2119" s="26" t="n">
        <v>44995</v>
      </c>
      <c r="C2119" s="12" t="inlineStr">
        <is>
          <t>VS02</t>
        </is>
      </c>
      <c r="D2119" s="12" t="inlineStr">
        <is>
          <t>MS Pipes</t>
        </is>
      </c>
      <c r="E2119" s="12" t="inlineStr">
        <is>
          <t>N</t>
        </is>
      </c>
      <c r="F2119" s="12" t="n">
        <v>12.04</v>
      </c>
      <c r="G2119" s="17" t="n">
        <v>77036.22</v>
      </c>
      <c r="H2119" s="26" t="n">
        <v>45002</v>
      </c>
      <c r="I2119" s="26" t="n">
        <v>45003</v>
      </c>
      <c r="J2119" s="12" t="n">
        <v>11.93</v>
      </c>
      <c r="K2119" s="17" t="n">
        <v>927516.09</v>
      </c>
      <c r="L2119" s="12" t="n">
        <v>0</v>
      </c>
      <c r="M2119" s="12" t="n">
        <v>0</v>
      </c>
      <c r="N2119" s="27">
        <f>F2119-J2119</f>
        <v/>
      </c>
      <c r="O2119" s="16">
        <f>I2119-H2119</f>
        <v/>
      </c>
      <c r="P2119" s="14">
        <f>F2119*G2119</f>
        <v/>
      </c>
      <c r="Q2119" s="14">
        <f>J2119*G2119</f>
        <v/>
      </c>
      <c r="R2119" s="14">
        <f>K2119-Q2119</f>
        <v/>
      </c>
      <c r="S2119" s="3">
        <f>P2119*Assumptions!$B$3/100</f>
        <v/>
      </c>
      <c r="T2119" s="14">
        <f>R2119-S2119</f>
        <v/>
      </c>
      <c r="U2119" s="14">
        <f>L2119*G2119</f>
        <v/>
      </c>
    </row>
    <row r="2120">
      <c r="A2120" s="12" t="inlineStr">
        <is>
          <t>PO-2022-2118</t>
        </is>
      </c>
      <c r="B2120" s="26" t="n">
        <v>44653</v>
      </c>
      <c r="C2120" s="12" t="inlineStr">
        <is>
          <t>VS21</t>
        </is>
      </c>
      <c r="D2120" s="12" t="inlineStr">
        <is>
          <t>Spring Steel</t>
        </is>
      </c>
      <c r="E2120" s="12" t="inlineStr">
        <is>
          <t>N</t>
        </is>
      </c>
      <c r="F2120" s="12" t="n">
        <v>23.43</v>
      </c>
      <c r="G2120" s="17" t="n">
        <v>94905.14</v>
      </c>
      <c r="H2120" s="26" t="n">
        <v>44668</v>
      </c>
      <c r="I2120" s="26" t="n">
        <v>44670</v>
      </c>
      <c r="J2120" s="12" t="n">
        <v>23.33</v>
      </c>
      <c r="K2120" s="17" t="n">
        <v>2223627.43</v>
      </c>
      <c r="L2120" s="12" t="n">
        <v>0</v>
      </c>
      <c r="M2120" s="12" t="n">
        <v>0</v>
      </c>
      <c r="N2120" s="27">
        <f>F2120-J2120</f>
        <v/>
      </c>
      <c r="O2120" s="16">
        <f>I2120-H2120</f>
        <v/>
      </c>
      <c r="P2120" s="14">
        <f>F2120*G2120</f>
        <v/>
      </c>
      <c r="Q2120" s="14">
        <f>J2120*G2120</f>
        <v/>
      </c>
      <c r="R2120" s="14">
        <f>K2120-Q2120</f>
        <v/>
      </c>
      <c r="S2120" s="3">
        <f>P2120*Assumptions!$B$3/100</f>
        <v/>
      </c>
      <c r="T2120" s="14">
        <f>R2120-S2120</f>
        <v/>
      </c>
      <c r="U2120" s="14">
        <f>L2120*G2120</f>
        <v/>
      </c>
    </row>
    <row r="2121">
      <c r="A2121" s="12" t="inlineStr">
        <is>
          <t>PO-2022-2119</t>
        </is>
      </c>
      <c r="B2121" s="26" t="n">
        <v>44923</v>
      </c>
      <c r="C2121" s="12" t="inlineStr">
        <is>
          <t>VS10</t>
        </is>
      </c>
      <c r="D2121" s="12" t="inlineStr">
        <is>
          <t>GI Sheets</t>
        </is>
      </c>
      <c r="E2121" s="12" t="inlineStr">
        <is>
          <t>N</t>
        </is>
      </c>
      <c r="F2121" s="12" t="n">
        <v>38.88</v>
      </c>
      <c r="G2121" s="17" t="n">
        <v>60460.81</v>
      </c>
      <c r="H2121" s="26" t="n">
        <v>44928</v>
      </c>
      <c r="I2121" s="26" t="n">
        <v>44928</v>
      </c>
      <c r="J2121" s="12" t="n">
        <v>38.77</v>
      </c>
      <c r="K2121" s="17" t="n">
        <v>2350716.29</v>
      </c>
      <c r="L2121" s="12" t="n">
        <v>0</v>
      </c>
      <c r="M2121" s="12" t="n">
        <v>0</v>
      </c>
      <c r="N2121" s="27">
        <f>F2121-J2121</f>
        <v/>
      </c>
      <c r="O2121" s="16">
        <f>I2121-H2121</f>
        <v/>
      </c>
      <c r="P2121" s="14">
        <f>F2121*G2121</f>
        <v/>
      </c>
      <c r="Q2121" s="14">
        <f>J2121*G2121</f>
        <v/>
      </c>
      <c r="R2121" s="14">
        <f>K2121-Q2121</f>
        <v/>
      </c>
      <c r="S2121" s="3">
        <f>P2121*Assumptions!$B$3/100</f>
        <v/>
      </c>
      <c r="T2121" s="14">
        <f>R2121-S2121</f>
        <v/>
      </c>
      <c r="U2121" s="14">
        <f>L2121*G2121</f>
        <v/>
      </c>
    </row>
    <row r="2122">
      <c r="A2122" s="12" t="inlineStr">
        <is>
          <t>PO-2022-2120</t>
        </is>
      </c>
      <c r="B2122" s="26" t="n">
        <v>44403</v>
      </c>
      <c r="C2122" s="12" t="inlineStr">
        <is>
          <t>VS02</t>
        </is>
      </c>
      <c r="D2122" s="12" t="inlineStr">
        <is>
          <t>Spring Steel</t>
        </is>
      </c>
      <c r="E2122" s="12" t="inlineStr">
        <is>
          <t>Y</t>
        </is>
      </c>
      <c r="F2122" s="12" t="n">
        <v>30.49</v>
      </c>
      <c r="G2122" s="17" t="n">
        <v>108352.37</v>
      </c>
      <c r="H2122" s="26" t="n">
        <v>44418</v>
      </c>
      <c r="I2122" s="26" t="n">
        <v>44419</v>
      </c>
      <c r="J2122" s="12" t="n">
        <v>30.39</v>
      </c>
      <c r="K2122" s="17" t="n">
        <v>3303663.76</v>
      </c>
      <c r="L2122" s="12" t="n">
        <v>0</v>
      </c>
      <c r="M2122" s="12" t="n">
        <v>0</v>
      </c>
      <c r="N2122" s="27">
        <f>F2122-J2122</f>
        <v/>
      </c>
      <c r="O2122" s="16">
        <f>I2122-H2122</f>
        <v/>
      </c>
      <c r="P2122" s="14">
        <f>F2122*G2122</f>
        <v/>
      </c>
      <c r="Q2122" s="14">
        <f>J2122*G2122</f>
        <v/>
      </c>
      <c r="R2122" s="14">
        <f>K2122-Q2122</f>
        <v/>
      </c>
      <c r="S2122" s="3">
        <f>P2122*Assumptions!$B$3/100</f>
        <v/>
      </c>
      <c r="T2122" s="14">
        <f>R2122-S2122</f>
        <v/>
      </c>
      <c r="U2122" s="14">
        <f>L2122*G2122</f>
        <v/>
      </c>
    </row>
    <row r="2123">
      <c r="A2123" s="12" t="inlineStr">
        <is>
          <t>PO-2022-2121</t>
        </is>
      </c>
      <c r="B2123" s="26" t="n">
        <v>44457</v>
      </c>
      <c r="C2123" s="12" t="inlineStr">
        <is>
          <t>VS23</t>
        </is>
      </c>
      <c r="D2123" s="12" t="inlineStr">
        <is>
          <t>SS Pipes</t>
        </is>
      </c>
      <c r="E2123" s="12" t="inlineStr">
        <is>
          <t>N</t>
        </is>
      </c>
      <c r="F2123" s="12" t="n">
        <v>17.05</v>
      </c>
      <c r="G2123" s="17" t="n">
        <v>68650.22</v>
      </c>
      <c r="H2123" s="26" t="n">
        <v>44463</v>
      </c>
      <c r="I2123" s="26" t="n">
        <v>44464</v>
      </c>
      <c r="J2123" s="12" t="n">
        <v>16.93</v>
      </c>
      <c r="K2123" s="17" t="n">
        <v>1170486.25</v>
      </c>
      <c r="L2123" s="12" t="n">
        <v>0</v>
      </c>
      <c r="M2123" s="12" t="n">
        <v>15</v>
      </c>
      <c r="N2123" s="27">
        <f>F2123-J2123</f>
        <v/>
      </c>
      <c r="O2123" s="16">
        <f>I2123-H2123</f>
        <v/>
      </c>
      <c r="P2123" s="14">
        <f>F2123*G2123</f>
        <v/>
      </c>
      <c r="Q2123" s="14">
        <f>J2123*G2123</f>
        <v/>
      </c>
      <c r="R2123" s="14">
        <f>K2123-Q2123</f>
        <v/>
      </c>
      <c r="S2123" s="3">
        <f>P2123*Assumptions!$B$3/100</f>
        <v/>
      </c>
      <c r="T2123" s="14">
        <f>R2123-S2123</f>
        <v/>
      </c>
      <c r="U2123" s="14">
        <f>L2123*G2123</f>
        <v/>
      </c>
    </row>
    <row r="2124">
      <c r="A2124" s="12" t="inlineStr">
        <is>
          <t>PO-2022-2122</t>
        </is>
      </c>
      <c r="B2124" s="26" t="n">
        <v>44624</v>
      </c>
      <c r="C2124" s="12" t="inlineStr">
        <is>
          <t>VS13</t>
        </is>
      </c>
      <c r="D2124" s="12" t="inlineStr">
        <is>
          <t>SS Sheets</t>
        </is>
      </c>
      <c r="E2124" s="12" t="inlineStr">
        <is>
          <t>N</t>
        </is>
      </c>
      <c r="F2124" s="12" t="n">
        <v>9</v>
      </c>
      <c r="G2124" s="17" t="n">
        <v>119325.27</v>
      </c>
      <c r="H2124" s="26" t="n">
        <v>44630</v>
      </c>
      <c r="I2124" s="26" t="n">
        <v>44633</v>
      </c>
      <c r="J2124" s="12" t="n">
        <v>8.970000000000001</v>
      </c>
      <c r="K2124" s="17" t="n">
        <v>1073927.43</v>
      </c>
      <c r="L2124" s="12" t="n">
        <v>0</v>
      </c>
      <c r="M2124" s="12" t="n">
        <v>18</v>
      </c>
      <c r="N2124" s="27">
        <f>F2124-J2124</f>
        <v/>
      </c>
      <c r="O2124" s="16">
        <f>I2124-H2124</f>
        <v/>
      </c>
      <c r="P2124" s="14">
        <f>F2124*G2124</f>
        <v/>
      </c>
      <c r="Q2124" s="14">
        <f>J2124*G2124</f>
        <v/>
      </c>
      <c r="R2124" s="14">
        <f>K2124-Q2124</f>
        <v/>
      </c>
      <c r="S2124" s="3">
        <f>P2124*Assumptions!$B$3/100</f>
        <v/>
      </c>
      <c r="T2124" s="14">
        <f>R2124-S2124</f>
        <v/>
      </c>
      <c r="U2124" s="14">
        <f>L2124*G2124</f>
        <v/>
      </c>
    </row>
    <row r="2125">
      <c r="A2125" s="12" t="inlineStr">
        <is>
          <t>PO-2022-2123</t>
        </is>
      </c>
      <c r="B2125" s="26" t="n">
        <v>44641</v>
      </c>
      <c r="C2125" s="12" t="inlineStr">
        <is>
          <t>VS23</t>
        </is>
      </c>
      <c r="D2125" s="12" t="inlineStr">
        <is>
          <t>MS Pipes</t>
        </is>
      </c>
      <c r="E2125" s="12" t="inlineStr">
        <is>
          <t>N</t>
        </is>
      </c>
      <c r="F2125" s="12" t="n">
        <v>7.73</v>
      </c>
      <c r="G2125" s="17" t="n">
        <v>112415.97</v>
      </c>
      <c r="H2125" s="26" t="n">
        <v>44651</v>
      </c>
      <c r="I2125" s="26" t="n">
        <v>44651</v>
      </c>
      <c r="J2125" s="12" t="n">
        <v>7.72</v>
      </c>
      <c r="K2125" s="17" t="n">
        <v>868975.45</v>
      </c>
      <c r="L2125" s="12" t="n">
        <v>0</v>
      </c>
      <c r="M2125" s="12" t="n">
        <v>0</v>
      </c>
      <c r="N2125" s="27">
        <f>F2125-J2125</f>
        <v/>
      </c>
      <c r="O2125" s="16">
        <f>I2125-H2125</f>
        <v/>
      </c>
      <c r="P2125" s="14">
        <f>F2125*G2125</f>
        <v/>
      </c>
      <c r="Q2125" s="14">
        <f>J2125*G2125</f>
        <v/>
      </c>
      <c r="R2125" s="14">
        <f>K2125-Q2125</f>
        <v/>
      </c>
      <c r="S2125" s="3">
        <f>P2125*Assumptions!$B$3/100</f>
        <v/>
      </c>
      <c r="T2125" s="14">
        <f>R2125-S2125</f>
        <v/>
      </c>
      <c r="U2125" s="14">
        <f>L2125*G2125</f>
        <v/>
      </c>
    </row>
    <row r="2126">
      <c r="A2126" s="12" t="inlineStr">
        <is>
          <t>PO-2022-2124</t>
        </is>
      </c>
      <c r="B2126" s="26" t="n">
        <v>44449</v>
      </c>
      <c r="C2126" s="12" t="inlineStr">
        <is>
          <t>VS25</t>
        </is>
      </c>
      <c r="D2126" s="12" t="inlineStr">
        <is>
          <t>MS Pipes</t>
        </is>
      </c>
      <c r="E2126" s="12" t="inlineStr">
        <is>
          <t>N</t>
        </is>
      </c>
      <c r="F2126" s="12" t="n">
        <v>22.75</v>
      </c>
      <c r="G2126" s="17" t="n">
        <v>100795.68</v>
      </c>
      <c r="H2126" s="26" t="n">
        <v>44463</v>
      </c>
      <c r="I2126" s="26" t="n">
        <v>44463</v>
      </c>
      <c r="J2126" s="12" t="n">
        <v>22.64</v>
      </c>
      <c r="K2126" s="17" t="n">
        <v>2293101.72</v>
      </c>
      <c r="L2126" s="12" t="n">
        <v>0</v>
      </c>
      <c r="M2126" s="12" t="n">
        <v>17</v>
      </c>
      <c r="N2126" s="27">
        <f>F2126-J2126</f>
        <v/>
      </c>
      <c r="O2126" s="16">
        <f>I2126-H2126</f>
        <v/>
      </c>
      <c r="P2126" s="14">
        <f>F2126*G2126</f>
        <v/>
      </c>
      <c r="Q2126" s="14">
        <f>J2126*G2126</f>
        <v/>
      </c>
      <c r="R2126" s="14">
        <f>K2126-Q2126</f>
        <v/>
      </c>
      <c r="S2126" s="3">
        <f>P2126*Assumptions!$B$3/100</f>
        <v/>
      </c>
      <c r="T2126" s="14">
        <f>R2126-S2126</f>
        <v/>
      </c>
      <c r="U2126" s="14">
        <f>L2126*G2126</f>
        <v/>
      </c>
    </row>
    <row r="2127">
      <c r="A2127" s="12" t="inlineStr">
        <is>
          <t>PO-2022-2125</t>
        </is>
      </c>
      <c r="B2127" s="26" t="n">
        <v>44624</v>
      </c>
      <c r="C2127" s="12" t="inlineStr">
        <is>
          <t>VS25</t>
        </is>
      </c>
      <c r="D2127" s="12" t="inlineStr">
        <is>
          <t>GI Pipes</t>
        </is>
      </c>
      <c r="E2127" s="12" t="inlineStr">
        <is>
          <t>N</t>
        </is>
      </c>
      <c r="F2127" s="12" t="n">
        <v>22.89</v>
      </c>
      <c r="G2127" s="17" t="n">
        <v>74938.37</v>
      </c>
      <c r="H2127" s="26" t="n">
        <v>44630</v>
      </c>
      <c r="I2127" s="26" t="n">
        <v>44630</v>
      </c>
      <c r="J2127" s="12" t="n">
        <v>22.83</v>
      </c>
      <c r="K2127" s="17" t="n">
        <v>1715339.29</v>
      </c>
      <c r="L2127" s="12" t="n">
        <v>0</v>
      </c>
      <c r="M2127" s="12" t="n">
        <v>0</v>
      </c>
      <c r="N2127" s="27">
        <f>F2127-J2127</f>
        <v/>
      </c>
      <c r="O2127" s="16">
        <f>I2127-H2127</f>
        <v/>
      </c>
      <c r="P2127" s="14">
        <f>F2127*G2127</f>
        <v/>
      </c>
      <c r="Q2127" s="14">
        <f>J2127*G2127</f>
        <v/>
      </c>
      <c r="R2127" s="14">
        <f>K2127-Q2127</f>
        <v/>
      </c>
      <c r="S2127" s="3">
        <f>P2127*Assumptions!$B$3/100</f>
        <v/>
      </c>
      <c r="T2127" s="14">
        <f>R2127-S2127</f>
        <v/>
      </c>
      <c r="U2127" s="14">
        <f>L2127*G2127</f>
        <v/>
      </c>
    </row>
    <row r="2128">
      <c r="A2128" s="12" t="inlineStr">
        <is>
          <t>PO-2022-2126</t>
        </is>
      </c>
      <c r="B2128" s="26" t="n">
        <v>44976</v>
      </c>
      <c r="C2128" s="12" t="inlineStr">
        <is>
          <t>VS08</t>
        </is>
      </c>
      <c r="D2128" s="12" t="inlineStr">
        <is>
          <t>SS Pipes</t>
        </is>
      </c>
      <c r="E2128" s="12" t="inlineStr">
        <is>
          <t>N</t>
        </is>
      </c>
      <c r="F2128" s="12" t="n">
        <v>48.49</v>
      </c>
      <c r="G2128" s="17" t="n">
        <v>83002.75</v>
      </c>
      <c r="H2128" s="26" t="n">
        <v>44988</v>
      </c>
      <c r="I2128" s="26" t="n">
        <v>44990</v>
      </c>
      <c r="J2128" s="12" t="n">
        <v>48.28</v>
      </c>
      <c r="K2128" s="17" t="n">
        <v>4024803.35</v>
      </c>
      <c r="L2128" s="12" t="n">
        <v>0</v>
      </c>
      <c r="M2128" s="12" t="n">
        <v>24</v>
      </c>
      <c r="N2128" s="27">
        <f>F2128-J2128</f>
        <v/>
      </c>
      <c r="O2128" s="16">
        <f>I2128-H2128</f>
        <v/>
      </c>
      <c r="P2128" s="14">
        <f>F2128*G2128</f>
        <v/>
      </c>
      <c r="Q2128" s="14">
        <f>J2128*G2128</f>
        <v/>
      </c>
      <c r="R2128" s="14">
        <f>K2128-Q2128</f>
        <v/>
      </c>
      <c r="S2128" s="3">
        <f>P2128*Assumptions!$B$3/100</f>
        <v/>
      </c>
      <c r="T2128" s="14">
        <f>R2128-S2128</f>
        <v/>
      </c>
      <c r="U2128" s="14">
        <f>L2128*G2128</f>
        <v/>
      </c>
    </row>
    <row r="2129">
      <c r="A2129" s="12" t="inlineStr">
        <is>
          <t>PO-2022-2127</t>
        </is>
      </c>
      <c r="B2129" s="26" t="n">
        <v>45254</v>
      </c>
      <c r="C2129" s="12" t="inlineStr">
        <is>
          <t>VS08</t>
        </is>
      </c>
      <c r="D2129" s="12" t="inlineStr">
        <is>
          <t>MS Sheets</t>
        </is>
      </c>
      <c r="E2129" s="12" t="inlineStr">
        <is>
          <t>N</t>
        </is>
      </c>
      <c r="F2129" s="12" t="n">
        <v>38.07</v>
      </c>
      <c r="G2129" s="17" t="n">
        <v>54026.87</v>
      </c>
      <c r="H2129" s="26" t="n">
        <v>45264</v>
      </c>
      <c r="I2129" s="26" t="n">
        <v>45267</v>
      </c>
      <c r="J2129" s="12" t="n">
        <v>37.76</v>
      </c>
      <c r="K2129" s="17" t="n">
        <v>2056802.94</v>
      </c>
      <c r="L2129" s="12" t="n">
        <v>0</v>
      </c>
      <c r="M2129" s="12" t="n">
        <v>9</v>
      </c>
      <c r="N2129" s="27">
        <f>F2129-J2129</f>
        <v/>
      </c>
      <c r="O2129" s="16">
        <f>I2129-H2129</f>
        <v/>
      </c>
      <c r="P2129" s="14">
        <f>F2129*G2129</f>
        <v/>
      </c>
      <c r="Q2129" s="14">
        <f>J2129*G2129</f>
        <v/>
      </c>
      <c r="R2129" s="14">
        <f>K2129-Q2129</f>
        <v/>
      </c>
      <c r="S2129" s="3">
        <f>P2129*Assumptions!$B$3/100</f>
        <v/>
      </c>
      <c r="T2129" s="14">
        <f>R2129-S2129</f>
        <v/>
      </c>
      <c r="U2129" s="14">
        <f>L2129*G2129</f>
        <v/>
      </c>
    </row>
    <row r="2130">
      <c r="A2130" s="12" t="inlineStr">
        <is>
          <t>PO-2022-2128</t>
        </is>
      </c>
      <c r="B2130" s="26" t="n">
        <v>44930</v>
      </c>
      <c r="C2130" s="12" t="inlineStr">
        <is>
          <t>VS21</t>
        </is>
      </c>
      <c r="D2130" s="12" t="inlineStr">
        <is>
          <t>GI Wire</t>
        </is>
      </c>
      <c r="E2130" s="12" t="inlineStr">
        <is>
          <t>N</t>
        </is>
      </c>
      <c r="F2130" s="12" t="n">
        <v>10.36</v>
      </c>
      <c r="G2130" s="17" t="n">
        <v>118886.41</v>
      </c>
      <c r="H2130" s="26" t="n">
        <v>44945</v>
      </c>
      <c r="I2130" s="26" t="n">
        <v>44948</v>
      </c>
      <c r="J2130" s="12" t="n">
        <v>10.3</v>
      </c>
      <c r="K2130" s="17" t="n">
        <v>1231663.21</v>
      </c>
      <c r="L2130" s="12" t="n">
        <v>0</v>
      </c>
      <c r="M2130" s="12" t="n">
        <v>0</v>
      </c>
      <c r="N2130" s="27">
        <f>F2130-J2130</f>
        <v/>
      </c>
      <c r="O2130" s="16">
        <f>I2130-H2130</f>
        <v/>
      </c>
      <c r="P2130" s="14">
        <f>F2130*G2130</f>
        <v/>
      </c>
      <c r="Q2130" s="14">
        <f>J2130*G2130</f>
        <v/>
      </c>
      <c r="R2130" s="14">
        <f>K2130-Q2130</f>
        <v/>
      </c>
      <c r="S2130" s="3">
        <f>P2130*Assumptions!$B$3/100</f>
        <v/>
      </c>
      <c r="T2130" s="14">
        <f>R2130-S2130</f>
        <v/>
      </c>
      <c r="U2130" s="14">
        <f>L2130*G2130</f>
        <v/>
      </c>
    </row>
    <row r="2131">
      <c r="A2131" s="12" t="inlineStr">
        <is>
          <t>PO-2022-2129</t>
        </is>
      </c>
      <c r="B2131" s="26" t="n">
        <v>45235</v>
      </c>
      <c r="C2131" s="12" t="inlineStr">
        <is>
          <t>VS24</t>
        </is>
      </c>
      <c r="D2131" s="12" t="inlineStr">
        <is>
          <t>Structural Steel</t>
        </is>
      </c>
      <c r="E2131" s="12" t="inlineStr">
        <is>
          <t>N</t>
        </is>
      </c>
      <c r="F2131" s="12" t="n">
        <v>13.51</v>
      </c>
      <c r="G2131" s="17" t="n">
        <v>53399.43</v>
      </c>
      <c r="H2131" s="26" t="n">
        <v>45245</v>
      </c>
      <c r="I2131" s="26" t="n">
        <v>45248</v>
      </c>
      <c r="J2131" s="12" t="n">
        <v>13.39</v>
      </c>
      <c r="K2131" s="17" t="n">
        <v>721426.3</v>
      </c>
      <c r="L2131" s="12" t="n">
        <v>0</v>
      </c>
      <c r="M2131" s="12" t="n">
        <v>13</v>
      </c>
      <c r="N2131" s="27">
        <f>F2131-J2131</f>
        <v/>
      </c>
      <c r="O2131" s="16">
        <f>I2131-H2131</f>
        <v/>
      </c>
      <c r="P2131" s="14">
        <f>F2131*G2131</f>
        <v/>
      </c>
      <c r="Q2131" s="14">
        <f>J2131*G2131</f>
        <v/>
      </c>
      <c r="R2131" s="14">
        <f>K2131-Q2131</f>
        <v/>
      </c>
      <c r="S2131" s="3">
        <f>P2131*Assumptions!$B$3/100</f>
        <v/>
      </c>
      <c r="T2131" s="14">
        <f>R2131-S2131</f>
        <v/>
      </c>
      <c r="U2131" s="14">
        <f>L2131*G2131</f>
        <v/>
      </c>
    </row>
    <row r="2132">
      <c r="A2132" s="12" t="inlineStr">
        <is>
          <t>PO-2022-2130</t>
        </is>
      </c>
      <c r="B2132" s="26" t="n">
        <v>44230</v>
      </c>
      <c r="C2132" s="12" t="inlineStr">
        <is>
          <t>VS01</t>
        </is>
      </c>
      <c r="D2132" s="12" t="inlineStr">
        <is>
          <t>MS Rods</t>
        </is>
      </c>
      <c r="E2132" s="12" t="inlineStr">
        <is>
          <t>N</t>
        </is>
      </c>
      <c r="F2132" s="12" t="n">
        <v>40.37</v>
      </c>
      <c r="G2132" s="17" t="n">
        <v>75023.13</v>
      </c>
      <c r="H2132" s="26" t="n">
        <v>44234</v>
      </c>
      <c r="I2132" s="26" t="n">
        <v>44235</v>
      </c>
      <c r="J2132" s="12" t="n">
        <v>40.19</v>
      </c>
      <c r="K2132" s="17" t="n">
        <v>3028683.76</v>
      </c>
      <c r="L2132" s="12" t="n">
        <v>0</v>
      </c>
      <c r="M2132" s="12" t="n">
        <v>0</v>
      </c>
      <c r="N2132" s="27">
        <f>F2132-J2132</f>
        <v/>
      </c>
      <c r="O2132" s="16">
        <f>I2132-H2132</f>
        <v/>
      </c>
      <c r="P2132" s="14">
        <f>F2132*G2132</f>
        <v/>
      </c>
      <c r="Q2132" s="14">
        <f>J2132*G2132</f>
        <v/>
      </c>
      <c r="R2132" s="14">
        <f>K2132-Q2132</f>
        <v/>
      </c>
      <c r="S2132" s="3">
        <f>P2132*Assumptions!$B$3/100</f>
        <v/>
      </c>
      <c r="T2132" s="14">
        <f>R2132-S2132</f>
        <v/>
      </c>
      <c r="U2132" s="14">
        <f>L2132*G2132</f>
        <v/>
      </c>
    </row>
    <row r="2133">
      <c r="A2133" s="12" t="inlineStr">
        <is>
          <t>PO-2022-2131</t>
        </is>
      </c>
      <c r="B2133" s="26" t="n">
        <v>44923</v>
      </c>
      <c r="C2133" s="12" t="inlineStr">
        <is>
          <t>VS24</t>
        </is>
      </c>
      <c r="D2133" s="12" t="inlineStr">
        <is>
          <t>SS Sheets</t>
        </is>
      </c>
      <c r="E2133" s="12" t="inlineStr">
        <is>
          <t>N</t>
        </is>
      </c>
      <c r="F2133" s="12" t="n">
        <v>41.99</v>
      </c>
      <c r="G2133" s="17" t="n">
        <v>77561.17</v>
      </c>
      <c r="H2133" s="26" t="n">
        <v>44936</v>
      </c>
      <c r="I2133" s="26" t="n">
        <v>44938</v>
      </c>
      <c r="J2133" s="12" t="n">
        <v>41.95</v>
      </c>
      <c r="K2133" s="17" t="n">
        <v>3256793.53</v>
      </c>
      <c r="L2133" s="12" t="n">
        <v>0</v>
      </c>
      <c r="M2133" s="12" t="n">
        <v>16</v>
      </c>
      <c r="N2133" s="27">
        <f>F2133-J2133</f>
        <v/>
      </c>
      <c r="O2133" s="16">
        <f>I2133-H2133</f>
        <v/>
      </c>
      <c r="P2133" s="14">
        <f>F2133*G2133</f>
        <v/>
      </c>
      <c r="Q2133" s="14">
        <f>J2133*G2133</f>
        <v/>
      </c>
      <c r="R2133" s="14">
        <f>K2133-Q2133</f>
        <v/>
      </c>
      <c r="S2133" s="3">
        <f>P2133*Assumptions!$B$3/100</f>
        <v/>
      </c>
      <c r="T2133" s="14">
        <f>R2133-S2133</f>
        <v/>
      </c>
      <c r="U2133" s="14">
        <f>L2133*G2133</f>
        <v/>
      </c>
    </row>
    <row r="2134">
      <c r="A2134" s="12" t="inlineStr">
        <is>
          <t>PO-2022-2132</t>
        </is>
      </c>
      <c r="B2134" s="26" t="n">
        <v>44812</v>
      </c>
      <c r="C2134" s="12" t="inlineStr">
        <is>
          <t>VS15</t>
        </is>
      </c>
      <c r="D2134" s="12" t="inlineStr">
        <is>
          <t>SS Pipes</t>
        </is>
      </c>
      <c r="E2134" s="12" t="inlineStr">
        <is>
          <t>N</t>
        </is>
      </c>
      <c r="F2134" s="12" t="n">
        <v>32.87</v>
      </c>
      <c r="G2134" s="17" t="n">
        <v>105762.71</v>
      </c>
      <c r="H2134" s="26" t="n">
        <v>44822</v>
      </c>
      <c r="I2134" s="26" t="n">
        <v>44822</v>
      </c>
      <c r="J2134" s="12" t="n">
        <v>32.74</v>
      </c>
      <c r="K2134" s="17" t="n">
        <v>3476420.28</v>
      </c>
      <c r="L2134" s="12" t="n">
        <v>0</v>
      </c>
      <c r="M2134" s="12" t="n">
        <v>0</v>
      </c>
      <c r="N2134" s="27">
        <f>F2134-J2134</f>
        <v/>
      </c>
      <c r="O2134" s="16">
        <f>I2134-H2134</f>
        <v/>
      </c>
      <c r="P2134" s="14">
        <f>F2134*G2134</f>
        <v/>
      </c>
      <c r="Q2134" s="14">
        <f>J2134*G2134</f>
        <v/>
      </c>
      <c r="R2134" s="14">
        <f>K2134-Q2134</f>
        <v/>
      </c>
      <c r="S2134" s="3">
        <f>P2134*Assumptions!$B$3/100</f>
        <v/>
      </c>
      <c r="T2134" s="14">
        <f>R2134-S2134</f>
        <v/>
      </c>
      <c r="U2134" s="14">
        <f>L2134*G2134</f>
        <v/>
      </c>
    </row>
    <row r="2135">
      <c r="A2135" s="12" t="inlineStr">
        <is>
          <t>PO-2022-2133</t>
        </is>
      </c>
      <c r="B2135" s="26" t="n">
        <v>44229</v>
      </c>
      <c r="C2135" s="12" t="inlineStr">
        <is>
          <t>VS18</t>
        </is>
      </c>
      <c r="D2135" s="12" t="inlineStr">
        <is>
          <t>MS Flats</t>
        </is>
      </c>
      <c r="E2135" s="12" t="inlineStr">
        <is>
          <t>N</t>
        </is>
      </c>
      <c r="F2135" s="12" t="n">
        <v>3.22</v>
      </c>
      <c r="G2135" s="17" t="n">
        <v>108556.11</v>
      </c>
      <c r="H2135" s="26" t="n">
        <v>44234</v>
      </c>
      <c r="I2135" s="26" t="n">
        <v>44236</v>
      </c>
      <c r="J2135" s="12" t="n">
        <v>3.21</v>
      </c>
      <c r="K2135" s="17" t="n">
        <v>349550.67</v>
      </c>
      <c r="L2135" s="12" t="n">
        <v>0</v>
      </c>
      <c r="M2135" s="12" t="n">
        <v>0</v>
      </c>
      <c r="N2135" s="27">
        <f>F2135-J2135</f>
        <v/>
      </c>
      <c r="O2135" s="16">
        <f>I2135-H2135</f>
        <v/>
      </c>
      <c r="P2135" s="14">
        <f>F2135*G2135</f>
        <v/>
      </c>
      <c r="Q2135" s="14">
        <f>J2135*G2135</f>
        <v/>
      </c>
      <c r="R2135" s="14">
        <f>K2135-Q2135</f>
        <v/>
      </c>
      <c r="S2135" s="3">
        <f>P2135*Assumptions!$B$3/100</f>
        <v/>
      </c>
      <c r="T2135" s="14">
        <f>R2135-S2135</f>
        <v/>
      </c>
      <c r="U2135" s="14">
        <f>L2135*G2135</f>
        <v/>
      </c>
    </row>
    <row r="2136">
      <c r="A2136" s="12" t="inlineStr">
        <is>
          <t>PO-2022-2134</t>
        </is>
      </c>
      <c r="B2136" s="26" t="n">
        <v>44215</v>
      </c>
      <c r="C2136" s="12" t="inlineStr">
        <is>
          <t>VS09</t>
        </is>
      </c>
      <c r="D2136" s="12" t="inlineStr">
        <is>
          <t>Hex Bars</t>
        </is>
      </c>
      <c r="E2136" s="12" t="inlineStr">
        <is>
          <t>N</t>
        </is>
      </c>
      <c r="F2136" s="12" t="n">
        <v>8.630000000000001</v>
      </c>
      <c r="G2136" s="17" t="n">
        <v>97130.27</v>
      </c>
      <c r="H2136" s="26" t="n">
        <v>44230</v>
      </c>
      <c r="I2136" s="26" t="n">
        <v>44231</v>
      </c>
      <c r="J2136" s="12" t="n">
        <v>8.56</v>
      </c>
      <c r="K2136" s="17" t="n">
        <v>838234.23</v>
      </c>
      <c r="L2136" s="12" t="n">
        <v>0</v>
      </c>
      <c r="M2136" s="12" t="n">
        <v>4</v>
      </c>
      <c r="N2136" s="27">
        <f>F2136-J2136</f>
        <v/>
      </c>
      <c r="O2136" s="16">
        <f>I2136-H2136</f>
        <v/>
      </c>
      <c r="P2136" s="14">
        <f>F2136*G2136</f>
        <v/>
      </c>
      <c r="Q2136" s="14">
        <f>J2136*G2136</f>
        <v/>
      </c>
      <c r="R2136" s="14">
        <f>K2136-Q2136</f>
        <v/>
      </c>
      <c r="S2136" s="3">
        <f>P2136*Assumptions!$B$3/100</f>
        <v/>
      </c>
      <c r="T2136" s="14">
        <f>R2136-S2136</f>
        <v/>
      </c>
      <c r="U2136" s="14">
        <f>L2136*G2136</f>
        <v/>
      </c>
    </row>
    <row r="2137">
      <c r="A2137" s="12" t="inlineStr">
        <is>
          <t>PO-2022-2135</t>
        </is>
      </c>
      <c r="B2137" s="26" t="n">
        <v>44276</v>
      </c>
      <c r="C2137" s="12" t="inlineStr">
        <is>
          <t>VS04</t>
        </is>
      </c>
      <c r="D2137" s="12" t="inlineStr">
        <is>
          <t>GI Sheets</t>
        </is>
      </c>
      <c r="E2137" s="12" t="inlineStr">
        <is>
          <t>N</t>
        </is>
      </c>
      <c r="F2137" s="12" t="n">
        <v>43.45</v>
      </c>
      <c r="G2137" s="17" t="n">
        <v>94571.41</v>
      </c>
      <c r="H2137" s="26" t="n">
        <v>44284</v>
      </c>
      <c r="I2137" s="26" t="n">
        <v>44286</v>
      </c>
      <c r="J2137" s="12" t="n">
        <v>43.16</v>
      </c>
      <c r="K2137" s="17" t="n">
        <v>4109127.76</v>
      </c>
      <c r="L2137" s="12" t="n">
        <v>0</v>
      </c>
      <c r="M2137" s="12" t="n">
        <v>1</v>
      </c>
      <c r="N2137" s="27">
        <f>F2137-J2137</f>
        <v/>
      </c>
      <c r="O2137" s="16">
        <f>I2137-H2137</f>
        <v/>
      </c>
      <c r="P2137" s="14">
        <f>F2137*G2137</f>
        <v/>
      </c>
      <c r="Q2137" s="14">
        <f>J2137*G2137</f>
        <v/>
      </c>
      <c r="R2137" s="14">
        <f>K2137-Q2137</f>
        <v/>
      </c>
      <c r="S2137" s="3">
        <f>P2137*Assumptions!$B$3/100</f>
        <v/>
      </c>
      <c r="T2137" s="14">
        <f>R2137-S2137</f>
        <v/>
      </c>
      <c r="U2137" s="14">
        <f>L2137*G2137</f>
        <v/>
      </c>
    </row>
    <row r="2138">
      <c r="A2138" s="12" t="inlineStr">
        <is>
          <t>PO-2022-2136</t>
        </is>
      </c>
      <c r="B2138" s="26" t="n">
        <v>45046</v>
      </c>
      <c r="C2138" s="12" t="inlineStr">
        <is>
          <t>VS11</t>
        </is>
      </c>
      <c r="D2138" s="12" t="inlineStr">
        <is>
          <t>GI Wire</t>
        </is>
      </c>
      <c r="E2138" s="12" t="inlineStr">
        <is>
          <t>N</t>
        </is>
      </c>
      <c r="F2138" s="12" t="n">
        <v>9.449999999999999</v>
      </c>
      <c r="G2138" s="17" t="n">
        <v>115221.87</v>
      </c>
      <c r="H2138" s="26" t="n">
        <v>45051</v>
      </c>
      <c r="I2138" s="26" t="n">
        <v>45052</v>
      </c>
      <c r="J2138" s="12" t="n">
        <v>9.42</v>
      </c>
      <c r="K2138" s="17" t="n">
        <v>1088846.67</v>
      </c>
      <c r="L2138" s="12" t="n">
        <v>0</v>
      </c>
      <c r="M2138" s="12" t="n">
        <v>0</v>
      </c>
      <c r="N2138" s="27">
        <f>F2138-J2138</f>
        <v/>
      </c>
      <c r="O2138" s="16">
        <f>I2138-H2138</f>
        <v/>
      </c>
      <c r="P2138" s="14">
        <f>F2138*G2138</f>
        <v/>
      </c>
      <c r="Q2138" s="14">
        <f>J2138*G2138</f>
        <v/>
      </c>
      <c r="R2138" s="14">
        <f>K2138-Q2138</f>
        <v/>
      </c>
      <c r="S2138" s="3">
        <f>P2138*Assumptions!$B$3/100</f>
        <v/>
      </c>
      <c r="T2138" s="14">
        <f>R2138-S2138</f>
        <v/>
      </c>
      <c r="U2138" s="14">
        <f>L2138*G2138</f>
        <v/>
      </c>
    </row>
    <row r="2139">
      <c r="A2139" s="12" t="inlineStr">
        <is>
          <t>PO-2022-2137</t>
        </is>
      </c>
      <c r="B2139" s="26" t="n">
        <v>44568</v>
      </c>
      <c r="C2139" s="12" t="inlineStr">
        <is>
          <t>VS24</t>
        </is>
      </c>
      <c r="D2139" s="12" t="inlineStr">
        <is>
          <t>ERW Pipes</t>
        </is>
      </c>
      <c r="E2139" s="12" t="inlineStr">
        <is>
          <t>N</t>
        </is>
      </c>
      <c r="F2139" s="12" t="n">
        <v>39.54</v>
      </c>
      <c r="G2139" s="17" t="n">
        <v>47248.51</v>
      </c>
      <c r="H2139" s="26" t="n">
        <v>44574</v>
      </c>
      <c r="I2139" s="26" t="n">
        <v>44576</v>
      </c>
      <c r="J2139" s="12" t="n">
        <v>39.39</v>
      </c>
      <c r="K2139" s="17" t="n">
        <v>1868206.09</v>
      </c>
      <c r="L2139" s="12" t="n">
        <v>0</v>
      </c>
      <c r="M2139" s="12" t="n">
        <v>2</v>
      </c>
      <c r="N2139" s="27">
        <f>F2139-J2139</f>
        <v/>
      </c>
      <c r="O2139" s="16">
        <f>I2139-H2139</f>
        <v/>
      </c>
      <c r="P2139" s="14">
        <f>F2139*G2139</f>
        <v/>
      </c>
      <c r="Q2139" s="14">
        <f>J2139*G2139</f>
        <v/>
      </c>
      <c r="R2139" s="14">
        <f>K2139-Q2139</f>
        <v/>
      </c>
      <c r="S2139" s="3">
        <f>P2139*Assumptions!$B$3/100</f>
        <v/>
      </c>
      <c r="T2139" s="14">
        <f>R2139-S2139</f>
        <v/>
      </c>
      <c r="U2139" s="14">
        <f>L2139*G2139</f>
        <v/>
      </c>
    </row>
    <row r="2140">
      <c r="A2140" s="12" t="inlineStr">
        <is>
          <t>PO-2022-2138</t>
        </is>
      </c>
      <c r="B2140" s="26" t="n">
        <v>44823</v>
      </c>
      <c r="C2140" s="12" t="inlineStr">
        <is>
          <t>VS26</t>
        </is>
      </c>
      <c r="D2140" s="12" t="inlineStr">
        <is>
          <t>Angles &amp; Channels</t>
        </is>
      </c>
      <c r="E2140" s="12" t="inlineStr">
        <is>
          <t>Y</t>
        </is>
      </c>
      <c r="F2140" s="12" t="n">
        <v>45.54</v>
      </c>
      <c r="G2140" s="17" t="n">
        <v>64888.6</v>
      </c>
      <c r="H2140" s="26" t="n">
        <v>44831</v>
      </c>
      <c r="I2140" s="26" t="n">
        <v>44833</v>
      </c>
      <c r="J2140" s="12" t="n">
        <v>45.13</v>
      </c>
      <c r="K2140" s="17" t="n">
        <v>2955026.84</v>
      </c>
      <c r="L2140" s="12" t="n">
        <v>0</v>
      </c>
      <c r="M2140" s="12" t="n">
        <v>5</v>
      </c>
      <c r="N2140" s="27">
        <f>F2140-J2140</f>
        <v/>
      </c>
      <c r="O2140" s="16">
        <f>I2140-H2140</f>
        <v/>
      </c>
      <c r="P2140" s="14">
        <f>F2140*G2140</f>
        <v/>
      </c>
      <c r="Q2140" s="14">
        <f>J2140*G2140</f>
        <v/>
      </c>
      <c r="R2140" s="14">
        <f>K2140-Q2140</f>
        <v/>
      </c>
      <c r="S2140" s="3">
        <f>P2140*Assumptions!$B$3/100</f>
        <v/>
      </c>
      <c r="T2140" s="14">
        <f>R2140-S2140</f>
        <v/>
      </c>
      <c r="U2140" s="14">
        <f>L2140*G2140</f>
        <v/>
      </c>
    </row>
    <row r="2141">
      <c r="A2141" s="12" t="inlineStr">
        <is>
          <t>PO-2022-2139</t>
        </is>
      </c>
      <c r="B2141" s="26" t="n">
        <v>44255</v>
      </c>
      <c r="C2141" s="12" t="inlineStr">
        <is>
          <t>VS02</t>
        </is>
      </c>
      <c r="D2141" s="12" t="inlineStr">
        <is>
          <t>MS Flats</t>
        </is>
      </c>
      <c r="E2141" s="12" t="inlineStr">
        <is>
          <t>N</t>
        </is>
      </c>
      <c r="F2141" s="12" t="n">
        <v>2.4</v>
      </c>
      <c r="G2141" s="17" t="n">
        <v>80287.67</v>
      </c>
      <c r="H2141" s="26" t="n">
        <v>44269</v>
      </c>
      <c r="I2141" s="26" t="n">
        <v>44270</v>
      </c>
      <c r="J2141" s="12" t="n">
        <v>2.39</v>
      </c>
      <c r="K2141" s="17" t="n">
        <v>192690.41</v>
      </c>
      <c r="L2141" s="12" t="n">
        <v>0</v>
      </c>
      <c r="M2141" s="12" t="n">
        <v>0</v>
      </c>
      <c r="N2141" s="27">
        <f>F2141-J2141</f>
        <v/>
      </c>
      <c r="O2141" s="16">
        <f>I2141-H2141</f>
        <v/>
      </c>
      <c r="P2141" s="14">
        <f>F2141*G2141</f>
        <v/>
      </c>
      <c r="Q2141" s="14">
        <f>J2141*G2141</f>
        <v/>
      </c>
      <c r="R2141" s="14">
        <f>K2141-Q2141</f>
        <v/>
      </c>
      <c r="S2141" s="3">
        <f>P2141*Assumptions!$B$3/100</f>
        <v/>
      </c>
      <c r="T2141" s="14">
        <f>R2141-S2141</f>
        <v/>
      </c>
      <c r="U2141" s="14">
        <f>L2141*G2141</f>
        <v/>
      </c>
    </row>
    <row r="2142">
      <c r="A2142" s="12" t="inlineStr">
        <is>
          <t>PO-2022-2140</t>
        </is>
      </c>
      <c r="B2142" s="26" t="n">
        <v>44492</v>
      </c>
      <c r="C2142" s="12" t="inlineStr">
        <is>
          <t>VS27</t>
        </is>
      </c>
      <c r="D2142" s="12" t="inlineStr">
        <is>
          <t>GI Pipes</t>
        </is>
      </c>
      <c r="E2142" s="12" t="inlineStr">
        <is>
          <t>N</t>
        </is>
      </c>
      <c r="F2142" s="12" t="n">
        <v>27.43</v>
      </c>
      <c r="G2142" s="17" t="n">
        <v>102187.67</v>
      </c>
      <c r="H2142" s="26" t="n">
        <v>44506</v>
      </c>
      <c r="I2142" s="26" t="n">
        <v>44506</v>
      </c>
      <c r="J2142" s="12" t="n">
        <v>27.41</v>
      </c>
      <c r="K2142" s="17" t="n">
        <v>2803007.79</v>
      </c>
      <c r="L2142" s="12" t="n">
        <v>0</v>
      </c>
      <c r="M2142" s="12" t="n">
        <v>0</v>
      </c>
      <c r="N2142" s="27">
        <f>F2142-J2142</f>
        <v/>
      </c>
      <c r="O2142" s="16">
        <f>I2142-H2142</f>
        <v/>
      </c>
      <c r="P2142" s="14">
        <f>F2142*G2142</f>
        <v/>
      </c>
      <c r="Q2142" s="14">
        <f>J2142*G2142</f>
        <v/>
      </c>
      <c r="R2142" s="14">
        <f>K2142-Q2142</f>
        <v/>
      </c>
      <c r="S2142" s="3">
        <f>P2142*Assumptions!$B$3/100</f>
        <v/>
      </c>
      <c r="T2142" s="14">
        <f>R2142-S2142</f>
        <v/>
      </c>
      <c r="U2142" s="14">
        <f>L2142*G2142</f>
        <v/>
      </c>
    </row>
    <row r="2143">
      <c r="A2143" s="12" t="inlineStr">
        <is>
          <t>PO-2022-2141</t>
        </is>
      </c>
      <c r="B2143" s="26" t="n">
        <v>45272</v>
      </c>
      <c r="C2143" s="12" t="inlineStr">
        <is>
          <t>VS11</t>
        </is>
      </c>
      <c r="D2143" s="12" t="inlineStr">
        <is>
          <t>MS Sheets</t>
        </is>
      </c>
      <c r="E2143" s="12" t="inlineStr">
        <is>
          <t>Y</t>
        </is>
      </c>
      <c r="F2143" s="12" t="n">
        <v>5.91</v>
      </c>
      <c r="G2143" s="17" t="n">
        <v>71149.98</v>
      </c>
      <c r="H2143" s="26" t="n">
        <v>45278</v>
      </c>
      <c r="I2143" s="26" t="n">
        <v>45278</v>
      </c>
      <c r="J2143" s="12" t="n">
        <v>5.85</v>
      </c>
      <c r="K2143" s="17" t="n">
        <v>420496.38</v>
      </c>
      <c r="L2143" s="12" t="n">
        <v>0</v>
      </c>
      <c r="M2143" s="12" t="n">
        <v>8</v>
      </c>
      <c r="N2143" s="27">
        <f>F2143-J2143</f>
        <v/>
      </c>
      <c r="O2143" s="16">
        <f>I2143-H2143</f>
        <v/>
      </c>
      <c r="P2143" s="14">
        <f>F2143*G2143</f>
        <v/>
      </c>
      <c r="Q2143" s="14">
        <f>J2143*G2143</f>
        <v/>
      </c>
      <c r="R2143" s="14">
        <f>K2143-Q2143</f>
        <v/>
      </c>
      <c r="S2143" s="3">
        <f>P2143*Assumptions!$B$3/100</f>
        <v/>
      </c>
      <c r="T2143" s="14">
        <f>R2143-S2143</f>
        <v/>
      </c>
      <c r="U2143" s="14">
        <f>L2143*G2143</f>
        <v/>
      </c>
    </row>
    <row r="2144">
      <c r="A2144" s="12" t="inlineStr">
        <is>
          <t>PO-2022-2142</t>
        </is>
      </c>
      <c r="B2144" s="26" t="n">
        <v>44385</v>
      </c>
      <c r="C2144" s="12" t="inlineStr">
        <is>
          <t>VS27</t>
        </is>
      </c>
      <c r="D2144" s="12" t="inlineStr">
        <is>
          <t>SS Pipes</t>
        </is>
      </c>
      <c r="E2144" s="12" t="inlineStr">
        <is>
          <t>Y</t>
        </is>
      </c>
      <c r="F2144" s="12" t="n">
        <v>6.51</v>
      </c>
      <c r="G2144" s="17" t="n">
        <v>80676.7</v>
      </c>
      <c r="H2144" s="26" t="n">
        <v>44394</v>
      </c>
      <c r="I2144" s="26" t="n">
        <v>44397</v>
      </c>
      <c r="J2144" s="12" t="n">
        <v>6.46</v>
      </c>
      <c r="K2144" s="17" t="n">
        <v>525205.3199999999</v>
      </c>
      <c r="L2144" s="12" t="n">
        <v>0</v>
      </c>
      <c r="M2144" s="12" t="n">
        <v>0</v>
      </c>
      <c r="N2144" s="27">
        <f>F2144-J2144</f>
        <v/>
      </c>
      <c r="O2144" s="16">
        <f>I2144-H2144</f>
        <v/>
      </c>
      <c r="P2144" s="14">
        <f>F2144*G2144</f>
        <v/>
      </c>
      <c r="Q2144" s="14">
        <f>J2144*G2144</f>
        <v/>
      </c>
      <c r="R2144" s="14">
        <f>K2144-Q2144</f>
        <v/>
      </c>
      <c r="S2144" s="3">
        <f>P2144*Assumptions!$B$3/100</f>
        <v/>
      </c>
      <c r="T2144" s="14">
        <f>R2144-S2144</f>
        <v/>
      </c>
      <c r="U2144" s="14">
        <f>L2144*G2144</f>
        <v/>
      </c>
    </row>
    <row r="2145">
      <c r="A2145" s="12" t="inlineStr">
        <is>
          <t>PO-2022-2143</t>
        </is>
      </c>
      <c r="B2145" s="26" t="n">
        <v>45098</v>
      </c>
      <c r="C2145" s="12" t="inlineStr">
        <is>
          <t>VS09</t>
        </is>
      </c>
      <c r="D2145" s="12" t="inlineStr">
        <is>
          <t>MS Pipes</t>
        </is>
      </c>
      <c r="E2145" s="12" t="inlineStr">
        <is>
          <t>N</t>
        </is>
      </c>
      <c r="F2145" s="12" t="n">
        <v>16.26</v>
      </c>
      <c r="G2145" s="17" t="n">
        <v>80211.52</v>
      </c>
      <c r="H2145" s="26" t="n">
        <v>45105</v>
      </c>
      <c r="I2145" s="26" t="n">
        <v>45106</v>
      </c>
      <c r="J2145" s="12" t="n">
        <v>16.26</v>
      </c>
      <c r="K2145" s="17" t="n">
        <v>1304239.32</v>
      </c>
      <c r="L2145" s="12" t="n">
        <v>0</v>
      </c>
      <c r="M2145" s="12" t="n">
        <v>0</v>
      </c>
      <c r="N2145" s="27">
        <f>F2145-J2145</f>
        <v/>
      </c>
      <c r="O2145" s="16">
        <f>I2145-H2145</f>
        <v/>
      </c>
      <c r="P2145" s="14">
        <f>F2145*G2145</f>
        <v/>
      </c>
      <c r="Q2145" s="14">
        <f>J2145*G2145</f>
        <v/>
      </c>
      <c r="R2145" s="14">
        <f>K2145-Q2145</f>
        <v/>
      </c>
      <c r="S2145" s="3">
        <f>P2145*Assumptions!$B$3/100</f>
        <v/>
      </c>
      <c r="T2145" s="14">
        <f>R2145-S2145</f>
        <v/>
      </c>
      <c r="U2145" s="14">
        <f>L2145*G2145</f>
        <v/>
      </c>
    </row>
    <row r="2146">
      <c r="A2146" s="12" t="inlineStr">
        <is>
          <t>PO-2022-2144</t>
        </is>
      </c>
      <c r="B2146" s="26" t="n">
        <v>44459</v>
      </c>
      <c r="C2146" s="12" t="inlineStr">
        <is>
          <t>VS21</t>
        </is>
      </c>
      <c r="D2146" s="12" t="inlineStr">
        <is>
          <t>Spring Steel</t>
        </is>
      </c>
      <c r="E2146" s="12" t="inlineStr">
        <is>
          <t>N</t>
        </is>
      </c>
      <c r="F2146" s="12" t="n">
        <v>18.91</v>
      </c>
      <c r="G2146" s="17" t="n">
        <v>91020.72</v>
      </c>
      <c r="H2146" s="26" t="n">
        <v>44473</v>
      </c>
      <c r="I2146" s="26" t="n">
        <v>44474</v>
      </c>
      <c r="J2146" s="12" t="n">
        <v>18.8</v>
      </c>
      <c r="K2146" s="17" t="n">
        <v>1721201.82</v>
      </c>
      <c r="L2146" s="12" t="n">
        <v>0</v>
      </c>
      <c r="M2146" s="12" t="n">
        <v>4</v>
      </c>
      <c r="N2146" s="27">
        <f>F2146-J2146</f>
        <v/>
      </c>
      <c r="O2146" s="16">
        <f>I2146-H2146</f>
        <v/>
      </c>
      <c r="P2146" s="14">
        <f>F2146*G2146</f>
        <v/>
      </c>
      <c r="Q2146" s="14">
        <f>J2146*G2146</f>
        <v/>
      </c>
      <c r="R2146" s="14">
        <f>K2146-Q2146</f>
        <v/>
      </c>
      <c r="S2146" s="3">
        <f>P2146*Assumptions!$B$3/100</f>
        <v/>
      </c>
      <c r="T2146" s="14">
        <f>R2146-S2146</f>
        <v/>
      </c>
      <c r="U2146" s="14">
        <f>L2146*G2146</f>
        <v/>
      </c>
    </row>
    <row r="2147">
      <c r="A2147" s="12" t="inlineStr">
        <is>
          <t>PO-2022-2145</t>
        </is>
      </c>
      <c r="B2147" s="26" t="n">
        <v>44394</v>
      </c>
      <c r="C2147" s="12" t="inlineStr">
        <is>
          <t>VS31</t>
        </is>
      </c>
      <c r="D2147" s="12" t="inlineStr">
        <is>
          <t>Structural Steel</t>
        </is>
      </c>
      <c r="E2147" s="12" t="inlineStr">
        <is>
          <t>N</t>
        </is>
      </c>
      <c r="F2147" s="12" t="n">
        <v>37.69</v>
      </c>
      <c r="G2147" s="17" t="n">
        <v>108897.64</v>
      </c>
      <c r="H2147" s="26" t="n">
        <v>44400</v>
      </c>
      <c r="I2147" s="26" t="n">
        <v>44400</v>
      </c>
      <c r="J2147" s="12" t="n">
        <v>37.67</v>
      </c>
      <c r="K2147" s="17" t="n">
        <v>4104352.05</v>
      </c>
      <c r="L2147" s="12" t="n">
        <v>0</v>
      </c>
      <c r="M2147" s="12" t="n">
        <v>0</v>
      </c>
      <c r="N2147" s="27">
        <f>F2147-J2147</f>
        <v/>
      </c>
      <c r="O2147" s="16">
        <f>I2147-H2147</f>
        <v/>
      </c>
      <c r="P2147" s="14">
        <f>F2147*G2147</f>
        <v/>
      </c>
      <c r="Q2147" s="14">
        <f>J2147*G2147</f>
        <v/>
      </c>
      <c r="R2147" s="14">
        <f>K2147-Q2147</f>
        <v/>
      </c>
      <c r="S2147" s="3">
        <f>P2147*Assumptions!$B$3/100</f>
        <v/>
      </c>
      <c r="T2147" s="14">
        <f>R2147-S2147</f>
        <v/>
      </c>
      <c r="U2147" s="14">
        <f>L2147*G2147</f>
        <v/>
      </c>
    </row>
    <row r="2148">
      <c r="A2148" s="12" t="inlineStr">
        <is>
          <t>PO-2022-2146</t>
        </is>
      </c>
      <c r="B2148" s="26" t="n">
        <v>44454</v>
      </c>
      <c r="C2148" s="12" t="inlineStr">
        <is>
          <t>VS15</t>
        </is>
      </c>
      <c r="D2148" s="12" t="inlineStr">
        <is>
          <t>Hex Bars</t>
        </is>
      </c>
      <c r="E2148" s="12" t="inlineStr">
        <is>
          <t>N</t>
        </is>
      </c>
      <c r="F2148" s="12" t="n">
        <v>7.36</v>
      </c>
      <c r="G2148" s="17" t="n">
        <v>115671.68</v>
      </c>
      <c r="H2148" s="26" t="n">
        <v>44460</v>
      </c>
      <c r="I2148" s="26" t="n">
        <v>44460</v>
      </c>
      <c r="J2148" s="12" t="n">
        <v>7.3</v>
      </c>
      <c r="K2148" s="17" t="n">
        <v>851343.5600000001</v>
      </c>
      <c r="L2148" s="12" t="n">
        <v>0</v>
      </c>
      <c r="M2148" s="12" t="n">
        <v>8</v>
      </c>
      <c r="N2148" s="27">
        <f>F2148-J2148</f>
        <v/>
      </c>
      <c r="O2148" s="16">
        <f>I2148-H2148</f>
        <v/>
      </c>
      <c r="P2148" s="14">
        <f>F2148*G2148</f>
        <v/>
      </c>
      <c r="Q2148" s="14">
        <f>J2148*G2148</f>
        <v/>
      </c>
      <c r="R2148" s="14">
        <f>K2148-Q2148</f>
        <v/>
      </c>
      <c r="S2148" s="3">
        <f>P2148*Assumptions!$B$3/100</f>
        <v/>
      </c>
      <c r="T2148" s="14">
        <f>R2148-S2148</f>
        <v/>
      </c>
      <c r="U2148" s="14">
        <f>L2148*G2148</f>
        <v/>
      </c>
    </row>
    <row r="2149">
      <c r="A2149" s="12" t="inlineStr">
        <is>
          <t>PO-2022-2147</t>
        </is>
      </c>
      <c r="B2149" s="26" t="n">
        <v>44365</v>
      </c>
      <c r="C2149" s="12" t="inlineStr">
        <is>
          <t>VS07</t>
        </is>
      </c>
      <c r="D2149" s="12" t="inlineStr">
        <is>
          <t>MS Rods</t>
        </is>
      </c>
      <c r="E2149" s="12" t="inlineStr">
        <is>
          <t>N</t>
        </is>
      </c>
      <c r="F2149" s="12" t="n">
        <v>14.83</v>
      </c>
      <c r="G2149" s="17" t="n">
        <v>91126.09</v>
      </c>
      <c r="H2149" s="26" t="n">
        <v>44371</v>
      </c>
      <c r="I2149" s="26" t="n">
        <v>44372</v>
      </c>
      <c r="J2149" s="12" t="n">
        <v>14.76</v>
      </c>
      <c r="K2149" s="17" t="n">
        <v>1351399.91</v>
      </c>
      <c r="L2149" s="12" t="n">
        <v>0</v>
      </c>
      <c r="M2149" s="12" t="n">
        <v>5</v>
      </c>
      <c r="N2149" s="27">
        <f>F2149-J2149</f>
        <v/>
      </c>
      <c r="O2149" s="16">
        <f>I2149-H2149</f>
        <v/>
      </c>
      <c r="P2149" s="14">
        <f>F2149*G2149</f>
        <v/>
      </c>
      <c r="Q2149" s="14">
        <f>J2149*G2149</f>
        <v/>
      </c>
      <c r="R2149" s="14">
        <f>K2149-Q2149</f>
        <v/>
      </c>
      <c r="S2149" s="3">
        <f>P2149*Assumptions!$B$3/100</f>
        <v/>
      </c>
      <c r="T2149" s="14">
        <f>R2149-S2149</f>
        <v/>
      </c>
      <c r="U2149" s="14">
        <f>L2149*G2149</f>
        <v/>
      </c>
    </row>
    <row r="2150">
      <c r="A2150" s="12" t="inlineStr">
        <is>
          <t>PO-2022-2148</t>
        </is>
      </c>
      <c r="B2150" s="26" t="n">
        <v>44660</v>
      </c>
      <c r="C2150" s="12" t="inlineStr">
        <is>
          <t>VS17</t>
        </is>
      </c>
      <c r="D2150" s="12" t="inlineStr">
        <is>
          <t>MS Sheets</t>
        </is>
      </c>
      <c r="E2150" s="12" t="inlineStr">
        <is>
          <t>N</t>
        </is>
      </c>
      <c r="F2150" s="12" t="n">
        <v>36.77</v>
      </c>
      <c r="G2150" s="17" t="n">
        <v>67583.11</v>
      </c>
      <c r="H2150" s="26" t="n">
        <v>44674</v>
      </c>
      <c r="I2150" s="26" t="n">
        <v>44675</v>
      </c>
      <c r="J2150" s="12" t="n">
        <v>36.49</v>
      </c>
      <c r="K2150" s="17" t="n">
        <v>2485030.95</v>
      </c>
      <c r="L2150" s="12" t="n">
        <v>0</v>
      </c>
      <c r="M2150" s="12" t="n">
        <v>0</v>
      </c>
      <c r="N2150" s="27">
        <f>F2150-J2150</f>
        <v/>
      </c>
      <c r="O2150" s="16">
        <f>I2150-H2150</f>
        <v/>
      </c>
      <c r="P2150" s="14">
        <f>F2150*G2150</f>
        <v/>
      </c>
      <c r="Q2150" s="14">
        <f>J2150*G2150</f>
        <v/>
      </c>
      <c r="R2150" s="14">
        <f>K2150-Q2150</f>
        <v/>
      </c>
      <c r="S2150" s="3">
        <f>P2150*Assumptions!$B$3/100</f>
        <v/>
      </c>
      <c r="T2150" s="14">
        <f>R2150-S2150</f>
        <v/>
      </c>
      <c r="U2150" s="14">
        <f>L2150*G2150</f>
        <v/>
      </c>
    </row>
    <row r="2151">
      <c r="A2151" s="12" t="inlineStr">
        <is>
          <t>PO-2022-2149</t>
        </is>
      </c>
      <c r="B2151" s="26" t="n">
        <v>45143</v>
      </c>
      <c r="C2151" s="12" t="inlineStr">
        <is>
          <t>VS34</t>
        </is>
      </c>
      <c r="D2151" s="12" t="inlineStr">
        <is>
          <t>Hex Bars</t>
        </is>
      </c>
      <c r="E2151" s="12" t="inlineStr">
        <is>
          <t>N</t>
        </is>
      </c>
      <c r="F2151" s="12" t="n">
        <v>29.28</v>
      </c>
      <c r="G2151" s="17" t="n">
        <v>111268.71</v>
      </c>
      <c r="H2151" s="26" t="n">
        <v>45158</v>
      </c>
      <c r="I2151" s="26" t="n">
        <v>45161</v>
      </c>
      <c r="J2151" s="12" t="n">
        <v>29.24</v>
      </c>
      <c r="K2151" s="17" t="n">
        <v>3257947.83</v>
      </c>
      <c r="L2151" s="12" t="n">
        <v>0</v>
      </c>
      <c r="M2151" s="12" t="n">
        <v>0</v>
      </c>
      <c r="N2151" s="27">
        <f>F2151-J2151</f>
        <v/>
      </c>
      <c r="O2151" s="16">
        <f>I2151-H2151</f>
        <v/>
      </c>
      <c r="P2151" s="14">
        <f>F2151*G2151</f>
        <v/>
      </c>
      <c r="Q2151" s="14">
        <f>J2151*G2151</f>
        <v/>
      </c>
      <c r="R2151" s="14">
        <f>K2151-Q2151</f>
        <v/>
      </c>
      <c r="S2151" s="3">
        <f>P2151*Assumptions!$B$3/100</f>
        <v/>
      </c>
      <c r="T2151" s="14">
        <f>R2151-S2151</f>
        <v/>
      </c>
      <c r="U2151" s="14">
        <f>L2151*G2151</f>
        <v/>
      </c>
    </row>
    <row r="2152">
      <c r="A2152" s="12" t="inlineStr">
        <is>
          <t>PO-2022-2150</t>
        </is>
      </c>
      <c r="B2152" s="26" t="n">
        <v>44466</v>
      </c>
      <c r="C2152" s="12" t="inlineStr">
        <is>
          <t>VS21</t>
        </is>
      </c>
      <c r="D2152" s="12" t="inlineStr">
        <is>
          <t>GI Wire</t>
        </is>
      </c>
      <c r="E2152" s="12" t="inlineStr">
        <is>
          <t>N</t>
        </is>
      </c>
      <c r="F2152" s="12" t="n">
        <v>19.36</v>
      </c>
      <c r="G2152" s="17" t="n">
        <v>55891.57</v>
      </c>
      <c r="H2152" s="26" t="n">
        <v>44480</v>
      </c>
      <c r="I2152" s="26" t="n">
        <v>44483</v>
      </c>
      <c r="J2152" s="12" t="n">
        <v>19.33</v>
      </c>
      <c r="K2152" s="17" t="n">
        <v>1082060.8</v>
      </c>
      <c r="L2152" s="12" t="n">
        <v>0</v>
      </c>
      <c r="M2152" s="12" t="n">
        <v>10</v>
      </c>
      <c r="N2152" s="27">
        <f>F2152-J2152</f>
        <v/>
      </c>
      <c r="O2152" s="16">
        <f>I2152-H2152</f>
        <v/>
      </c>
      <c r="P2152" s="14">
        <f>F2152*G2152</f>
        <v/>
      </c>
      <c r="Q2152" s="14">
        <f>J2152*G2152</f>
        <v/>
      </c>
      <c r="R2152" s="14">
        <f>K2152-Q2152</f>
        <v/>
      </c>
      <c r="S2152" s="3">
        <f>P2152*Assumptions!$B$3/100</f>
        <v/>
      </c>
      <c r="T2152" s="14">
        <f>R2152-S2152</f>
        <v/>
      </c>
      <c r="U2152" s="14">
        <f>L2152*G2152</f>
        <v/>
      </c>
    </row>
    <row r="2153">
      <c r="A2153" s="12" t="inlineStr">
        <is>
          <t>PO-2022-2151</t>
        </is>
      </c>
      <c r="B2153" s="26" t="n">
        <v>44267</v>
      </c>
      <c r="C2153" s="12" t="inlineStr">
        <is>
          <t>VS25</t>
        </is>
      </c>
      <c r="D2153" s="12" t="inlineStr">
        <is>
          <t>GI Pipes</t>
        </is>
      </c>
      <c r="E2153" s="12" t="inlineStr">
        <is>
          <t>N</t>
        </is>
      </c>
      <c r="F2153" s="12" t="n">
        <v>39.92</v>
      </c>
      <c r="G2153" s="17" t="n">
        <v>118464.8</v>
      </c>
      <c r="H2153" s="26" t="n">
        <v>44270</v>
      </c>
      <c r="I2153" s="26" t="n">
        <v>44271</v>
      </c>
      <c r="J2153" s="12" t="n">
        <v>39.87</v>
      </c>
      <c r="K2153" s="17" t="n">
        <v>4729114.82</v>
      </c>
      <c r="L2153" s="12" t="n">
        <v>0</v>
      </c>
      <c r="M2153" s="12" t="n">
        <v>20</v>
      </c>
      <c r="N2153" s="27">
        <f>F2153-J2153</f>
        <v/>
      </c>
      <c r="O2153" s="16">
        <f>I2153-H2153</f>
        <v/>
      </c>
      <c r="P2153" s="14">
        <f>F2153*G2153</f>
        <v/>
      </c>
      <c r="Q2153" s="14">
        <f>J2153*G2153</f>
        <v/>
      </c>
      <c r="R2153" s="14">
        <f>K2153-Q2153</f>
        <v/>
      </c>
      <c r="S2153" s="3">
        <f>P2153*Assumptions!$B$3/100</f>
        <v/>
      </c>
      <c r="T2153" s="14">
        <f>R2153-S2153</f>
        <v/>
      </c>
      <c r="U2153" s="14">
        <f>L2153*G2153</f>
        <v/>
      </c>
    </row>
    <row r="2154">
      <c r="A2154" s="12" t="inlineStr">
        <is>
          <t>PO-2022-2152</t>
        </is>
      </c>
      <c r="B2154" s="26" t="n">
        <v>44489</v>
      </c>
      <c r="C2154" s="12" t="inlineStr">
        <is>
          <t>VS03</t>
        </is>
      </c>
      <c r="D2154" s="12" t="inlineStr">
        <is>
          <t>HR Coils</t>
        </is>
      </c>
      <c r="E2154" s="12" t="inlineStr">
        <is>
          <t>N</t>
        </is>
      </c>
      <c r="F2154" s="12" t="n">
        <v>8.93</v>
      </c>
      <c r="G2154" s="17" t="n">
        <v>71957.53</v>
      </c>
      <c r="H2154" s="26" t="n">
        <v>44501</v>
      </c>
      <c r="I2154" s="26" t="n">
        <v>44504</v>
      </c>
      <c r="J2154" s="12" t="n">
        <v>8.65</v>
      </c>
      <c r="K2154" s="17" t="n">
        <v>642580.74</v>
      </c>
      <c r="L2154" s="12" t="n">
        <v>0.24</v>
      </c>
      <c r="M2154" s="12" t="n">
        <v>2</v>
      </c>
      <c r="N2154" s="27">
        <f>F2154-J2154</f>
        <v/>
      </c>
      <c r="O2154" s="16">
        <f>I2154-H2154</f>
        <v/>
      </c>
      <c r="P2154" s="14">
        <f>F2154*G2154</f>
        <v/>
      </c>
      <c r="Q2154" s="14">
        <f>J2154*G2154</f>
        <v/>
      </c>
      <c r="R2154" s="14">
        <f>K2154-Q2154</f>
        <v/>
      </c>
      <c r="S2154" s="3">
        <f>P2154*Assumptions!$B$3/100</f>
        <v/>
      </c>
      <c r="T2154" s="14">
        <f>R2154-S2154</f>
        <v/>
      </c>
      <c r="U2154" s="14">
        <f>L2154*G2154</f>
        <v/>
      </c>
    </row>
    <row r="2155">
      <c r="A2155" s="12" t="inlineStr">
        <is>
          <t>PO-2022-2153</t>
        </is>
      </c>
      <c r="B2155" s="26" t="n">
        <v>45181</v>
      </c>
      <c r="C2155" s="12" t="inlineStr">
        <is>
          <t>VS31</t>
        </is>
      </c>
      <c r="D2155" s="12" t="inlineStr">
        <is>
          <t>Angles &amp; Channels</t>
        </is>
      </c>
      <c r="E2155" s="12" t="inlineStr">
        <is>
          <t>N</t>
        </is>
      </c>
      <c r="F2155" s="12" t="n">
        <v>10.2</v>
      </c>
      <c r="G2155" s="17" t="n">
        <v>110214.44</v>
      </c>
      <c r="H2155" s="26" t="n">
        <v>45193</v>
      </c>
      <c r="I2155" s="26" t="n">
        <v>45193</v>
      </c>
      <c r="J2155" s="12" t="n">
        <v>10.14</v>
      </c>
      <c r="K2155" s="17" t="n">
        <v>1124187.29</v>
      </c>
      <c r="L2155" s="12" t="n">
        <v>0</v>
      </c>
      <c r="M2155" s="12" t="n">
        <v>0</v>
      </c>
      <c r="N2155" s="27">
        <f>F2155-J2155</f>
        <v/>
      </c>
      <c r="O2155" s="16">
        <f>I2155-H2155</f>
        <v/>
      </c>
      <c r="P2155" s="14">
        <f>F2155*G2155</f>
        <v/>
      </c>
      <c r="Q2155" s="14">
        <f>J2155*G2155</f>
        <v/>
      </c>
      <c r="R2155" s="14">
        <f>K2155-Q2155</f>
        <v/>
      </c>
      <c r="S2155" s="3">
        <f>P2155*Assumptions!$B$3/100</f>
        <v/>
      </c>
      <c r="T2155" s="14">
        <f>R2155-S2155</f>
        <v/>
      </c>
      <c r="U2155" s="14">
        <f>L2155*G2155</f>
        <v/>
      </c>
    </row>
    <row r="2156">
      <c r="A2156" s="12" t="inlineStr">
        <is>
          <t>PO-2022-2154</t>
        </is>
      </c>
      <c r="B2156" s="26" t="n">
        <v>45027</v>
      </c>
      <c r="C2156" s="12" t="inlineStr">
        <is>
          <t>VS29</t>
        </is>
      </c>
      <c r="D2156" s="12" t="inlineStr">
        <is>
          <t>GI Sheets</t>
        </is>
      </c>
      <c r="E2156" s="12" t="inlineStr">
        <is>
          <t>N</t>
        </is>
      </c>
      <c r="F2156" s="12" t="n">
        <v>23.21</v>
      </c>
      <c r="G2156" s="17" t="n">
        <v>64710.35</v>
      </c>
      <c r="H2156" s="26" t="n">
        <v>45037</v>
      </c>
      <c r="I2156" s="26" t="n">
        <v>45038</v>
      </c>
      <c r="J2156" s="12" t="n">
        <v>23.06</v>
      </c>
      <c r="K2156" s="17" t="n">
        <v>1501927.22</v>
      </c>
      <c r="L2156" s="12" t="n">
        <v>0</v>
      </c>
      <c r="M2156" s="12" t="n">
        <v>0</v>
      </c>
      <c r="N2156" s="27">
        <f>F2156-J2156</f>
        <v/>
      </c>
      <c r="O2156" s="16">
        <f>I2156-H2156</f>
        <v/>
      </c>
      <c r="P2156" s="14">
        <f>F2156*G2156</f>
        <v/>
      </c>
      <c r="Q2156" s="14">
        <f>J2156*G2156</f>
        <v/>
      </c>
      <c r="R2156" s="14">
        <f>K2156-Q2156</f>
        <v/>
      </c>
      <c r="S2156" s="3">
        <f>P2156*Assumptions!$B$3/100</f>
        <v/>
      </c>
      <c r="T2156" s="14">
        <f>R2156-S2156</f>
        <v/>
      </c>
      <c r="U2156" s="14">
        <f>L2156*G2156</f>
        <v/>
      </c>
    </row>
    <row r="2157">
      <c r="A2157" s="12" t="inlineStr">
        <is>
          <t>PO-2022-2155</t>
        </is>
      </c>
      <c r="B2157" s="26" t="n">
        <v>44438</v>
      </c>
      <c r="C2157" s="12" t="inlineStr">
        <is>
          <t>VS18</t>
        </is>
      </c>
      <c r="D2157" s="12" t="inlineStr">
        <is>
          <t>Hex Bars</t>
        </is>
      </c>
      <c r="E2157" s="12" t="inlineStr">
        <is>
          <t>Y</t>
        </is>
      </c>
      <c r="F2157" s="12" t="n">
        <v>46.27</v>
      </c>
      <c r="G2157" s="17" t="n">
        <v>70294.09</v>
      </c>
      <c r="H2157" s="26" t="n">
        <v>44443</v>
      </c>
      <c r="I2157" s="26" t="n">
        <v>44446</v>
      </c>
      <c r="J2157" s="12" t="n">
        <v>46.15</v>
      </c>
      <c r="K2157" s="17" t="n">
        <v>3252507.54</v>
      </c>
      <c r="L2157" s="12" t="n">
        <v>0</v>
      </c>
      <c r="M2157" s="12" t="n">
        <v>10</v>
      </c>
      <c r="N2157" s="27">
        <f>F2157-J2157</f>
        <v/>
      </c>
      <c r="O2157" s="16">
        <f>I2157-H2157</f>
        <v/>
      </c>
      <c r="P2157" s="14">
        <f>F2157*G2157</f>
        <v/>
      </c>
      <c r="Q2157" s="14">
        <f>J2157*G2157</f>
        <v/>
      </c>
      <c r="R2157" s="14">
        <f>K2157-Q2157</f>
        <v/>
      </c>
      <c r="S2157" s="3">
        <f>P2157*Assumptions!$B$3/100</f>
        <v/>
      </c>
      <c r="T2157" s="14">
        <f>R2157-S2157</f>
        <v/>
      </c>
      <c r="U2157" s="14">
        <f>L2157*G2157</f>
        <v/>
      </c>
    </row>
    <row r="2158">
      <c r="A2158" s="12" t="inlineStr">
        <is>
          <t>PO-2022-2156</t>
        </is>
      </c>
      <c r="B2158" s="26" t="n">
        <v>44719</v>
      </c>
      <c r="C2158" s="12" t="inlineStr">
        <is>
          <t>VS22</t>
        </is>
      </c>
      <c r="D2158" s="12" t="inlineStr">
        <is>
          <t>Structural Steel</t>
        </is>
      </c>
      <c r="E2158" s="12" t="inlineStr">
        <is>
          <t>Y</t>
        </is>
      </c>
      <c r="F2158" s="12" t="n">
        <v>38.83</v>
      </c>
      <c r="G2158" s="17" t="n">
        <v>79223.7</v>
      </c>
      <c r="H2158" s="26" t="n">
        <v>44723</v>
      </c>
      <c r="I2158" s="26" t="n">
        <v>44725</v>
      </c>
      <c r="J2158" s="12" t="n">
        <v>38.78</v>
      </c>
      <c r="K2158" s="17" t="n">
        <v>3076256.27</v>
      </c>
      <c r="L2158" s="12" t="n">
        <v>0</v>
      </c>
      <c r="M2158" s="12" t="n">
        <v>0</v>
      </c>
      <c r="N2158" s="27">
        <f>F2158-J2158</f>
        <v/>
      </c>
      <c r="O2158" s="16">
        <f>I2158-H2158</f>
        <v/>
      </c>
      <c r="P2158" s="14">
        <f>F2158*G2158</f>
        <v/>
      </c>
      <c r="Q2158" s="14">
        <f>J2158*G2158</f>
        <v/>
      </c>
      <c r="R2158" s="14">
        <f>K2158-Q2158</f>
        <v/>
      </c>
      <c r="S2158" s="3">
        <f>P2158*Assumptions!$B$3/100</f>
        <v/>
      </c>
      <c r="T2158" s="14">
        <f>R2158-S2158</f>
        <v/>
      </c>
      <c r="U2158" s="14">
        <f>L2158*G2158</f>
        <v/>
      </c>
    </row>
    <row r="2159">
      <c r="A2159" s="12" t="inlineStr">
        <is>
          <t>PO-2022-2157</t>
        </is>
      </c>
      <c r="B2159" s="26" t="n">
        <v>44898</v>
      </c>
      <c r="C2159" s="12" t="inlineStr">
        <is>
          <t>VS34</t>
        </is>
      </c>
      <c r="D2159" s="12" t="inlineStr">
        <is>
          <t>CR Sheets</t>
        </is>
      </c>
      <c r="E2159" s="12" t="inlineStr">
        <is>
          <t>N</t>
        </is>
      </c>
      <c r="F2159" s="12" t="n">
        <v>4.09</v>
      </c>
      <c r="G2159" s="17" t="n">
        <v>72406.67</v>
      </c>
      <c r="H2159" s="26" t="n">
        <v>44911</v>
      </c>
      <c r="I2159" s="26" t="n">
        <v>44911</v>
      </c>
      <c r="J2159" s="12" t="n">
        <v>4.09</v>
      </c>
      <c r="K2159" s="17" t="n">
        <v>296143.28</v>
      </c>
      <c r="L2159" s="12" t="n">
        <v>0</v>
      </c>
      <c r="M2159" s="12" t="n">
        <v>24</v>
      </c>
      <c r="N2159" s="27">
        <f>F2159-J2159</f>
        <v/>
      </c>
      <c r="O2159" s="16">
        <f>I2159-H2159</f>
        <v/>
      </c>
      <c r="P2159" s="14">
        <f>F2159*G2159</f>
        <v/>
      </c>
      <c r="Q2159" s="14">
        <f>J2159*G2159</f>
        <v/>
      </c>
      <c r="R2159" s="14">
        <f>K2159-Q2159</f>
        <v/>
      </c>
      <c r="S2159" s="3">
        <f>P2159*Assumptions!$B$3/100</f>
        <v/>
      </c>
      <c r="T2159" s="14">
        <f>R2159-S2159</f>
        <v/>
      </c>
      <c r="U2159" s="14">
        <f>L2159*G2159</f>
        <v/>
      </c>
    </row>
    <row r="2160">
      <c r="A2160" s="12" t="inlineStr">
        <is>
          <t>PO-2022-2158</t>
        </is>
      </c>
      <c r="B2160" s="26" t="n">
        <v>44249</v>
      </c>
      <c r="C2160" s="12" t="inlineStr">
        <is>
          <t>VS09</t>
        </is>
      </c>
      <c r="D2160" s="12" t="inlineStr">
        <is>
          <t>ERW Pipes</t>
        </is>
      </c>
      <c r="E2160" s="12" t="inlineStr">
        <is>
          <t>N</t>
        </is>
      </c>
      <c r="F2160" s="12" t="n">
        <v>12.13</v>
      </c>
      <c r="G2160" s="17" t="n">
        <v>79307.50999999999</v>
      </c>
      <c r="H2160" s="26" t="n">
        <v>44253</v>
      </c>
      <c r="I2160" s="26" t="n">
        <v>44255</v>
      </c>
      <c r="J2160" s="12" t="n">
        <v>12.12</v>
      </c>
      <c r="K2160" s="17" t="n">
        <v>962000.1</v>
      </c>
      <c r="L2160" s="12" t="n">
        <v>0</v>
      </c>
      <c r="M2160" s="12" t="n">
        <v>25</v>
      </c>
      <c r="N2160" s="27">
        <f>F2160-J2160</f>
        <v/>
      </c>
      <c r="O2160" s="16">
        <f>I2160-H2160</f>
        <v/>
      </c>
      <c r="P2160" s="14">
        <f>F2160*G2160</f>
        <v/>
      </c>
      <c r="Q2160" s="14">
        <f>J2160*G2160</f>
        <v/>
      </c>
      <c r="R2160" s="14">
        <f>K2160-Q2160</f>
        <v/>
      </c>
      <c r="S2160" s="3">
        <f>P2160*Assumptions!$B$3/100</f>
        <v/>
      </c>
      <c r="T2160" s="14">
        <f>R2160-S2160</f>
        <v/>
      </c>
      <c r="U2160" s="14">
        <f>L2160*G2160</f>
        <v/>
      </c>
    </row>
    <row r="2161">
      <c r="A2161" s="12" t="inlineStr">
        <is>
          <t>PO-2022-2159</t>
        </is>
      </c>
      <c r="B2161" s="26" t="n">
        <v>44443</v>
      </c>
      <c r="C2161" s="12" t="inlineStr">
        <is>
          <t>VS19</t>
        </is>
      </c>
      <c r="D2161" s="12" t="inlineStr">
        <is>
          <t>Square/Rect Tubes</t>
        </is>
      </c>
      <c r="E2161" s="12" t="inlineStr">
        <is>
          <t>N</t>
        </is>
      </c>
      <c r="F2161" s="12" t="n">
        <v>43.79</v>
      </c>
      <c r="G2161" s="17" t="n">
        <v>70748.37</v>
      </c>
      <c r="H2161" s="26" t="n">
        <v>44452</v>
      </c>
      <c r="I2161" s="26" t="n">
        <v>44460</v>
      </c>
      <c r="J2161" s="12" t="n">
        <v>42.73</v>
      </c>
      <c r="K2161" s="17" t="n">
        <v>3098071.12</v>
      </c>
      <c r="L2161" s="12" t="n">
        <v>1.9</v>
      </c>
      <c r="M2161" s="12" t="n">
        <v>0</v>
      </c>
      <c r="N2161" s="27">
        <f>F2161-J2161</f>
        <v/>
      </c>
      <c r="O2161" s="16">
        <f>I2161-H2161</f>
        <v/>
      </c>
      <c r="P2161" s="14">
        <f>F2161*G2161</f>
        <v/>
      </c>
      <c r="Q2161" s="14">
        <f>J2161*G2161</f>
        <v/>
      </c>
      <c r="R2161" s="14">
        <f>K2161-Q2161</f>
        <v/>
      </c>
      <c r="S2161" s="3">
        <f>P2161*Assumptions!$B$3/100</f>
        <v/>
      </c>
      <c r="T2161" s="14">
        <f>R2161-S2161</f>
        <v/>
      </c>
      <c r="U2161" s="14">
        <f>L2161*G2161</f>
        <v/>
      </c>
    </row>
    <row r="2162">
      <c r="A2162" s="12" t="inlineStr">
        <is>
          <t>PO-2022-2160</t>
        </is>
      </c>
      <c r="B2162" s="26" t="n">
        <v>44366</v>
      </c>
      <c r="C2162" s="12" t="inlineStr">
        <is>
          <t>VS33</t>
        </is>
      </c>
      <c r="D2162" s="12" t="inlineStr">
        <is>
          <t>MS Sheets</t>
        </is>
      </c>
      <c r="E2162" s="12" t="inlineStr">
        <is>
          <t>N</t>
        </is>
      </c>
      <c r="F2162" s="12" t="n">
        <v>20.48</v>
      </c>
      <c r="G2162" s="17" t="n">
        <v>115593.73</v>
      </c>
      <c r="H2162" s="26" t="n">
        <v>44377</v>
      </c>
      <c r="I2162" s="26" t="n">
        <v>44377</v>
      </c>
      <c r="J2162" s="12" t="n">
        <v>20.29</v>
      </c>
      <c r="K2162" s="17" t="n">
        <v>2367359.59</v>
      </c>
      <c r="L2162" s="12" t="n">
        <v>0</v>
      </c>
      <c r="M2162" s="12" t="n">
        <v>0</v>
      </c>
      <c r="N2162" s="27">
        <f>F2162-J2162</f>
        <v/>
      </c>
      <c r="O2162" s="16">
        <f>I2162-H2162</f>
        <v/>
      </c>
      <c r="P2162" s="14">
        <f>F2162*G2162</f>
        <v/>
      </c>
      <c r="Q2162" s="14">
        <f>J2162*G2162</f>
        <v/>
      </c>
      <c r="R2162" s="14">
        <f>K2162-Q2162</f>
        <v/>
      </c>
      <c r="S2162" s="3">
        <f>P2162*Assumptions!$B$3/100</f>
        <v/>
      </c>
      <c r="T2162" s="14">
        <f>R2162-S2162</f>
        <v/>
      </c>
      <c r="U2162" s="14">
        <f>L2162*G2162</f>
        <v/>
      </c>
    </row>
    <row r="2163">
      <c r="A2163" s="12" t="inlineStr">
        <is>
          <t>PO-2022-2161</t>
        </is>
      </c>
      <c r="B2163" s="26" t="n">
        <v>44596</v>
      </c>
      <c r="C2163" s="12" t="inlineStr">
        <is>
          <t>VS10</t>
        </is>
      </c>
      <c r="D2163" s="12" t="inlineStr">
        <is>
          <t>HR Coils</t>
        </is>
      </c>
      <c r="E2163" s="12" t="inlineStr">
        <is>
          <t>N</t>
        </is>
      </c>
      <c r="F2163" s="12" t="n">
        <v>39.02</v>
      </c>
      <c r="G2163" s="17" t="n">
        <v>59900.78</v>
      </c>
      <c r="H2163" s="26" t="n">
        <v>44610</v>
      </c>
      <c r="I2163" s="26" t="n">
        <v>44611</v>
      </c>
      <c r="J2163" s="12" t="n">
        <v>38.72</v>
      </c>
      <c r="K2163" s="17" t="n">
        <v>2337328.44</v>
      </c>
      <c r="L2163" s="12" t="n">
        <v>0</v>
      </c>
      <c r="M2163" s="12" t="n">
        <v>0</v>
      </c>
      <c r="N2163" s="27">
        <f>F2163-J2163</f>
        <v/>
      </c>
      <c r="O2163" s="16">
        <f>I2163-H2163</f>
        <v/>
      </c>
      <c r="P2163" s="14">
        <f>F2163*G2163</f>
        <v/>
      </c>
      <c r="Q2163" s="14">
        <f>J2163*G2163</f>
        <v/>
      </c>
      <c r="R2163" s="14">
        <f>K2163-Q2163</f>
        <v/>
      </c>
      <c r="S2163" s="3">
        <f>P2163*Assumptions!$B$3/100</f>
        <v/>
      </c>
      <c r="T2163" s="14">
        <f>R2163-S2163</f>
        <v/>
      </c>
      <c r="U2163" s="14">
        <f>L2163*G2163</f>
        <v/>
      </c>
    </row>
    <row r="2164">
      <c r="A2164" s="12" t="inlineStr">
        <is>
          <t>PO-2022-2162</t>
        </is>
      </c>
      <c r="B2164" s="26" t="n">
        <v>44921</v>
      </c>
      <c r="C2164" s="12" t="inlineStr">
        <is>
          <t>VS34</t>
        </is>
      </c>
      <c r="D2164" s="12" t="inlineStr">
        <is>
          <t>Square/Rect Tubes</t>
        </is>
      </c>
      <c r="E2164" s="12" t="inlineStr">
        <is>
          <t>N</t>
        </is>
      </c>
      <c r="F2164" s="12" t="n">
        <v>28.58</v>
      </c>
      <c r="G2164" s="17" t="n">
        <v>84792.12</v>
      </c>
      <c r="H2164" s="26" t="n">
        <v>44924</v>
      </c>
      <c r="I2164" s="26" t="n">
        <v>44924</v>
      </c>
      <c r="J2164" s="12" t="n">
        <v>28.58</v>
      </c>
      <c r="K2164" s="17" t="n">
        <v>2423358.79</v>
      </c>
      <c r="L2164" s="12" t="n">
        <v>0</v>
      </c>
      <c r="M2164" s="12" t="n">
        <v>21</v>
      </c>
      <c r="N2164" s="27">
        <f>F2164-J2164</f>
        <v/>
      </c>
      <c r="O2164" s="16">
        <f>I2164-H2164</f>
        <v/>
      </c>
      <c r="P2164" s="14">
        <f>F2164*G2164</f>
        <v/>
      </c>
      <c r="Q2164" s="14">
        <f>J2164*G2164</f>
        <v/>
      </c>
      <c r="R2164" s="14">
        <f>K2164-Q2164</f>
        <v/>
      </c>
      <c r="S2164" s="3">
        <f>P2164*Assumptions!$B$3/100</f>
        <v/>
      </c>
      <c r="T2164" s="14">
        <f>R2164-S2164</f>
        <v/>
      </c>
      <c r="U2164" s="14">
        <f>L2164*G2164</f>
        <v/>
      </c>
    </row>
    <row r="2165">
      <c r="A2165" s="12" t="inlineStr">
        <is>
          <t>PO-2022-2163</t>
        </is>
      </c>
      <c r="B2165" s="26" t="n">
        <v>45288</v>
      </c>
      <c r="C2165" s="12" t="inlineStr">
        <is>
          <t>VS24</t>
        </is>
      </c>
      <c r="D2165" s="12" t="inlineStr">
        <is>
          <t>Spring Steel</t>
        </is>
      </c>
      <c r="E2165" s="12" t="inlineStr">
        <is>
          <t>Y</t>
        </is>
      </c>
      <c r="F2165" s="12" t="n">
        <v>12.29</v>
      </c>
      <c r="G2165" s="17" t="n">
        <v>116037.26</v>
      </c>
      <c r="H2165" s="26" t="n">
        <v>45299</v>
      </c>
      <c r="I2165" s="26" t="n">
        <v>45302</v>
      </c>
      <c r="J2165" s="12" t="n">
        <v>12.19</v>
      </c>
      <c r="K2165" s="17" t="n">
        <v>1426097.93</v>
      </c>
      <c r="L2165" s="12" t="n">
        <v>0</v>
      </c>
      <c r="M2165" s="12" t="n">
        <v>4</v>
      </c>
      <c r="N2165" s="27">
        <f>F2165-J2165</f>
        <v/>
      </c>
      <c r="O2165" s="16">
        <f>I2165-H2165</f>
        <v/>
      </c>
      <c r="P2165" s="14">
        <f>F2165*G2165</f>
        <v/>
      </c>
      <c r="Q2165" s="14">
        <f>J2165*G2165</f>
        <v/>
      </c>
      <c r="R2165" s="14">
        <f>K2165-Q2165</f>
        <v/>
      </c>
      <c r="S2165" s="3">
        <f>P2165*Assumptions!$B$3/100</f>
        <v/>
      </c>
      <c r="T2165" s="14">
        <f>R2165-S2165</f>
        <v/>
      </c>
      <c r="U2165" s="14">
        <f>L2165*G2165</f>
        <v/>
      </c>
    </row>
    <row r="2166">
      <c r="A2166" s="12" t="inlineStr">
        <is>
          <t>PO-2022-2164</t>
        </is>
      </c>
      <c r="B2166" s="26" t="n">
        <v>44538</v>
      </c>
      <c r="C2166" s="12" t="inlineStr">
        <is>
          <t>VS24</t>
        </is>
      </c>
      <c r="D2166" s="12" t="inlineStr">
        <is>
          <t>MS Sheets</t>
        </is>
      </c>
      <c r="E2166" s="12" t="inlineStr">
        <is>
          <t>N</t>
        </is>
      </c>
      <c r="F2166" s="12" t="n">
        <v>5.91</v>
      </c>
      <c r="G2166" s="17" t="n">
        <v>57422.66</v>
      </c>
      <c r="H2166" s="26" t="n">
        <v>44551</v>
      </c>
      <c r="I2166" s="26" t="n">
        <v>44551</v>
      </c>
      <c r="J2166" s="12" t="n">
        <v>5.9</v>
      </c>
      <c r="K2166" s="17" t="n">
        <v>339367.92</v>
      </c>
      <c r="L2166" s="12" t="n">
        <v>0</v>
      </c>
      <c r="M2166" s="12" t="n">
        <v>16</v>
      </c>
      <c r="N2166" s="27">
        <f>F2166-J2166</f>
        <v/>
      </c>
      <c r="O2166" s="16">
        <f>I2166-H2166</f>
        <v/>
      </c>
      <c r="P2166" s="14">
        <f>F2166*G2166</f>
        <v/>
      </c>
      <c r="Q2166" s="14">
        <f>J2166*G2166</f>
        <v/>
      </c>
      <c r="R2166" s="14">
        <f>K2166-Q2166</f>
        <v/>
      </c>
      <c r="S2166" s="3">
        <f>P2166*Assumptions!$B$3/100</f>
        <v/>
      </c>
      <c r="T2166" s="14">
        <f>R2166-S2166</f>
        <v/>
      </c>
      <c r="U2166" s="14">
        <f>L2166*G2166</f>
        <v/>
      </c>
    </row>
    <row r="2167">
      <c r="A2167" s="12" t="inlineStr">
        <is>
          <t>PO-2022-2165</t>
        </is>
      </c>
      <c r="B2167" s="26" t="n">
        <v>44660</v>
      </c>
      <c r="C2167" s="12" t="inlineStr">
        <is>
          <t>VS10</t>
        </is>
      </c>
      <c r="D2167" s="12" t="inlineStr">
        <is>
          <t>Spring Steel</t>
        </is>
      </c>
      <c r="E2167" s="12" t="inlineStr">
        <is>
          <t>N</t>
        </is>
      </c>
      <c r="F2167" s="12" t="n">
        <v>47.17</v>
      </c>
      <c r="G2167" s="17" t="n">
        <v>90724.92</v>
      </c>
      <c r="H2167" s="26" t="n">
        <v>44666</v>
      </c>
      <c r="I2167" s="26" t="n">
        <v>44668</v>
      </c>
      <c r="J2167" s="12" t="n">
        <v>47.07</v>
      </c>
      <c r="K2167" s="17" t="n">
        <v>4279494.48</v>
      </c>
      <c r="L2167" s="12" t="n">
        <v>0</v>
      </c>
      <c r="M2167" s="12" t="n">
        <v>14</v>
      </c>
      <c r="N2167" s="27">
        <f>F2167-J2167</f>
        <v/>
      </c>
      <c r="O2167" s="16">
        <f>I2167-H2167</f>
        <v/>
      </c>
      <c r="P2167" s="14">
        <f>F2167*G2167</f>
        <v/>
      </c>
      <c r="Q2167" s="14">
        <f>J2167*G2167</f>
        <v/>
      </c>
      <c r="R2167" s="14">
        <f>K2167-Q2167</f>
        <v/>
      </c>
      <c r="S2167" s="3">
        <f>P2167*Assumptions!$B$3/100</f>
        <v/>
      </c>
      <c r="T2167" s="14">
        <f>R2167-S2167</f>
        <v/>
      </c>
      <c r="U2167" s="14">
        <f>L2167*G2167</f>
        <v/>
      </c>
    </row>
    <row r="2168">
      <c r="A2168" s="12" t="inlineStr">
        <is>
          <t>PO-2022-2166</t>
        </is>
      </c>
      <c r="B2168" s="26" t="n">
        <v>44767</v>
      </c>
      <c r="C2168" s="12" t="inlineStr">
        <is>
          <t>VS04</t>
        </is>
      </c>
      <c r="D2168" s="12" t="inlineStr">
        <is>
          <t>MS Rods</t>
        </is>
      </c>
      <c r="E2168" s="12" t="inlineStr">
        <is>
          <t>N</t>
        </is>
      </c>
      <c r="F2168" s="12" t="n">
        <v>15.53</v>
      </c>
      <c r="G2168" s="17" t="n">
        <v>112571.75</v>
      </c>
      <c r="H2168" s="26" t="n">
        <v>44776</v>
      </c>
      <c r="I2168" s="26" t="n">
        <v>44778</v>
      </c>
      <c r="J2168" s="12" t="n">
        <v>15.48</v>
      </c>
      <c r="K2168" s="17" t="n">
        <v>1748239.28</v>
      </c>
      <c r="L2168" s="12" t="n">
        <v>0</v>
      </c>
      <c r="M2168" s="12" t="n">
        <v>0</v>
      </c>
      <c r="N2168" s="27">
        <f>F2168-J2168</f>
        <v/>
      </c>
      <c r="O2168" s="16">
        <f>I2168-H2168</f>
        <v/>
      </c>
      <c r="P2168" s="14">
        <f>F2168*G2168</f>
        <v/>
      </c>
      <c r="Q2168" s="14">
        <f>J2168*G2168</f>
        <v/>
      </c>
      <c r="R2168" s="14">
        <f>K2168-Q2168</f>
        <v/>
      </c>
      <c r="S2168" s="3">
        <f>P2168*Assumptions!$B$3/100</f>
        <v/>
      </c>
      <c r="T2168" s="14">
        <f>R2168-S2168</f>
        <v/>
      </c>
      <c r="U2168" s="14">
        <f>L2168*G2168</f>
        <v/>
      </c>
    </row>
    <row r="2169">
      <c r="A2169" s="12" t="inlineStr">
        <is>
          <t>PO-2022-2167</t>
        </is>
      </c>
      <c r="B2169" s="26" t="n">
        <v>45172</v>
      </c>
      <c r="C2169" s="12" t="inlineStr">
        <is>
          <t>VS30</t>
        </is>
      </c>
      <c r="D2169" s="12" t="inlineStr">
        <is>
          <t>MS Flats</t>
        </is>
      </c>
      <c r="E2169" s="12" t="inlineStr">
        <is>
          <t>N</t>
        </is>
      </c>
      <c r="F2169" s="12" t="n">
        <v>7.67</v>
      </c>
      <c r="G2169" s="17" t="n">
        <v>115360.75</v>
      </c>
      <c r="H2169" s="26" t="n">
        <v>45175</v>
      </c>
      <c r="I2169" s="26" t="n">
        <v>45175</v>
      </c>
      <c r="J2169" s="12" t="n">
        <v>7.61</v>
      </c>
      <c r="K2169" s="17" t="n">
        <v>884816.95</v>
      </c>
      <c r="L2169" s="12" t="n">
        <v>0</v>
      </c>
      <c r="M2169" s="12" t="n">
        <v>8</v>
      </c>
      <c r="N2169" s="27">
        <f>F2169-J2169</f>
        <v/>
      </c>
      <c r="O2169" s="16">
        <f>I2169-H2169</f>
        <v/>
      </c>
      <c r="P2169" s="14">
        <f>F2169*G2169</f>
        <v/>
      </c>
      <c r="Q2169" s="14">
        <f>J2169*G2169</f>
        <v/>
      </c>
      <c r="R2169" s="14">
        <f>K2169-Q2169</f>
        <v/>
      </c>
      <c r="S2169" s="3">
        <f>P2169*Assumptions!$B$3/100</f>
        <v/>
      </c>
      <c r="T2169" s="14">
        <f>R2169-S2169</f>
        <v/>
      </c>
      <c r="U2169" s="14">
        <f>L2169*G2169</f>
        <v/>
      </c>
    </row>
    <row r="2170">
      <c r="A2170" s="12" t="inlineStr">
        <is>
          <t>PO-2022-2168</t>
        </is>
      </c>
      <c r="B2170" s="26" t="n">
        <v>44350</v>
      </c>
      <c r="C2170" s="12" t="inlineStr">
        <is>
          <t>VS17</t>
        </is>
      </c>
      <c r="D2170" s="12" t="inlineStr">
        <is>
          <t>Spring Steel</t>
        </is>
      </c>
      <c r="E2170" s="12" t="inlineStr">
        <is>
          <t>N</t>
        </is>
      </c>
      <c r="F2170" s="12" t="n">
        <v>33.74</v>
      </c>
      <c r="G2170" s="17" t="n">
        <v>60656.61</v>
      </c>
      <c r="H2170" s="26" t="n">
        <v>44364</v>
      </c>
      <c r="I2170" s="26" t="n">
        <v>44364</v>
      </c>
      <c r="J2170" s="12" t="n">
        <v>33.57</v>
      </c>
      <c r="K2170" s="17" t="n">
        <v>2046554.02</v>
      </c>
      <c r="L2170" s="12" t="n">
        <v>0</v>
      </c>
      <c r="M2170" s="12" t="n">
        <v>0</v>
      </c>
      <c r="N2170" s="27">
        <f>F2170-J2170</f>
        <v/>
      </c>
      <c r="O2170" s="16">
        <f>I2170-H2170</f>
        <v/>
      </c>
      <c r="P2170" s="14">
        <f>F2170*G2170</f>
        <v/>
      </c>
      <c r="Q2170" s="14">
        <f>J2170*G2170</f>
        <v/>
      </c>
      <c r="R2170" s="14">
        <f>K2170-Q2170</f>
        <v/>
      </c>
      <c r="S2170" s="3">
        <f>P2170*Assumptions!$B$3/100</f>
        <v/>
      </c>
      <c r="T2170" s="14">
        <f>R2170-S2170</f>
        <v/>
      </c>
      <c r="U2170" s="14">
        <f>L2170*G2170</f>
        <v/>
      </c>
    </row>
    <row r="2171">
      <c r="A2171" s="12" t="inlineStr">
        <is>
          <t>PO-2022-2169</t>
        </is>
      </c>
      <c r="B2171" s="26" t="n">
        <v>44333</v>
      </c>
      <c r="C2171" s="12" t="inlineStr">
        <is>
          <t>VS04</t>
        </is>
      </c>
      <c r="D2171" s="12" t="inlineStr">
        <is>
          <t>GI Wire</t>
        </is>
      </c>
      <c r="E2171" s="12" t="inlineStr">
        <is>
          <t>Y</t>
        </is>
      </c>
      <c r="F2171" s="12" t="n">
        <v>7.87</v>
      </c>
      <c r="G2171" s="17" t="n">
        <v>81069.91</v>
      </c>
      <c r="H2171" s="26" t="n">
        <v>44338</v>
      </c>
      <c r="I2171" s="26" t="n">
        <v>44339</v>
      </c>
      <c r="J2171" s="12" t="n">
        <v>7.85</v>
      </c>
      <c r="K2171" s="17" t="n">
        <v>638020.1899999999</v>
      </c>
      <c r="L2171" s="12" t="n">
        <v>0</v>
      </c>
      <c r="M2171" s="12" t="n">
        <v>3</v>
      </c>
      <c r="N2171" s="27">
        <f>F2171-J2171</f>
        <v/>
      </c>
      <c r="O2171" s="16">
        <f>I2171-H2171</f>
        <v/>
      </c>
      <c r="P2171" s="14">
        <f>F2171*G2171</f>
        <v/>
      </c>
      <c r="Q2171" s="14">
        <f>J2171*G2171</f>
        <v/>
      </c>
      <c r="R2171" s="14">
        <f>K2171-Q2171</f>
        <v/>
      </c>
      <c r="S2171" s="3">
        <f>P2171*Assumptions!$B$3/100</f>
        <v/>
      </c>
      <c r="T2171" s="14">
        <f>R2171-S2171</f>
        <v/>
      </c>
      <c r="U2171" s="14">
        <f>L2171*G2171</f>
        <v/>
      </c>
    </row>
    <row r="2172">
      <c r="A2172" s="12" t="inlineStr">
        <is>
          <t>PO-2022-2170</t>
        </is>
      </c>
      <c r="B2172" s="26" t="n">
        <v>44693</v>
      </c>
      <c r="C2172" s="12" t="inlineStr">
        <is>
          <t>VS26</t>
        </is>
      </c>
      <c r="D2172" s="12" t="inlineStr">
        <is>
          <t>MS Sheets</t>
        </is>
      </c>
      <c r="E2172" s="12" t="inlineStr">
        <is>
          <t>N</t>
        </is>
      </c>
      <c r="F2172" s="12" t="n">
        <v>32.66</v>
      </c>
      <c r="G2172" s="17" t="n">
        <v>74324.97</v>
      </c>
      <c r="H2172" s="26" t="n">
        <v>44699</v>
      </c>
      <c r="I2172" s="26" t="n">
        <v>44701</v>
      </c>
      <c r="J2172" s="12" t="n">
        <v>32.57</v>
      </c>
      <c r="K2172" s="17" t="n">
        <v>2427453.52</v>
      </c>
      <c r="L2172" s="12" t="n">
        <v>0</v>
      </c>
      <c r="M2172" s="12" t="n">
        <v>0</v>
      </c>
      <c r="N2172" s="27">
        <f>F2172-J2172</f>
        <v/>
      </c>
      <c r="O2172" s="16">
        <f>I2172-H2172</f>
        <v/>
      </c>
      <c r="P2172" s="14">
        <f>F2172*G2172</f>
        <v/>
      </c>
      <c r="Q2172" s="14">
        <f>J2172*G2172</f>
        <v/>
      </c>
      <c r="R2172" s="14">
        <f>K2172-Q2172</f>
        <v/>
      </c>
      <c r="S2172" s="3">
        <f>P2172*Assumptions!$B$3/100</f>
        <v/>
      </c>
      <c r="T2172" s="14">
        <f>R2172-S2172</f>
        <v/>
      </c>
      <c r="U2172" s="14">
        <f>L2172*G2172</f>
        <v/>
      </c>
    </row>
    <row r="2173">
      <c r="A2173" s="12" t="inlineStr">
        <is>
          <t>PO-2022-2171</t>
        </is>
      </c>
      <c r="B2173" s="26" t="n">
        <v>44706</v>
      </c>
      <c r="C2173" s="12" t="inlineStr">
        <is>
          <t>VS23</t>
        </is>
      </c>
      <c r="D2173" s="12" t="inlineStr">
        <is>
          <t>SS Pipes</t>
        </is>
      </c>
      <c r="E2173" s="12" t="inlineStr">
        <is>
          <t>N</t>
        </is>
      </c>
      <c r="F2173" s="12" t="n">
        <v>12.09</v>
      </c>
      <c r="G2173" s="17" t="n">
        <v>116178.76</v>
      </c>
      <c r="H2173" s="26" t="n">
        <v>44711</v>
      </c>
      <c r="I2173" s="26" t="n">
        <v>44711</v>
      </c>
      <c r="J2173" s="12" t="n">
        <v>12.08</v>
      </c>
      <c r="K2173" s="17" t="n">
        <v>1404601.21</v>
      </c>
      <c r="L2173" s="12" t="n">
        <v>0</v>
      </c>
      <c r="M2173" s="12" t="n">
        <v>14</v>
      </c>
      <c r="N2173" s="27">
        <f>F2173-J2173</f>
        <v/>
      </c>
      <c r="O2173" s="16">
        <f>I2173-H2173</f>
        <v/>
      </c>
      <c r="P2173" s="14">
        <f>F2173*G2173</f>
        <v/>
      </c>
      <c r="Q2173" s="14">
        <f>J2173*G2173</f>
        <v/>
      </c>
      <c r="R2173" s="14">
        <f>K2173-Q2173</f>
        <v/>
      </c>
      <c r="S2173" s="3">
        <f>P2173*Assumptions!$B$3/100</f>
        <v/>
      </c>
      <c r="T2173" s="14">
        <f>R2173-S2173</f>
        <v/>
      </c>
      <c r="U2173" s="14">
        <f>L2173*G2173</f>
        <v/>
      </c>
    </row>
    <row r="2174">
      <c r="A2174" s="12" t="inlineStr">
        <is>
          <t>PO-2022-2172</t>
        </is>
      </c>
      <c r="B2174" s="26" t="n">
        <v>45019</v>
      </c>
      <c r="C2174" s="12" t="inlineStr">
        <is>
          <t>VS08</t>
        </is>
      </c>
      <c r="D2174" s="12" t="inlineStr">
        <is>
          <t>Square/Rect Tubes</t>
        </is>
      </c>
      <c r="E2174" s="12" t="inlineStr">
        <is>
          <t>N</t>
        </is>
      </c>
      <c r="F2174" s="12" t="n">
        <v>11.09</v>
      </c>
      <c r="G2174" s="17" t="n">
        <v>55680.63</v>
      </c>
      <c r="H2174" s="26" t="n">
        <v>45026</v>
      </c>
      <c r="I2174" s="26" t="n">
        <v>45026</v>
      </c>
      <c r="J2174" s="12" t="n">
        <v>11.03</v>
      </c>
      <c r="K2174" s="17" t="n">
        <v>617498.1899999999</v>
      </c>
      <c r="L2174" s="12" t="n">
        <v>0</v>
      </c>
      <c r="M2174" s="12" t="n">
        <v>0</v>
      </c>
      <c r="N2174" s="27">
        <f>F2174-J2174</f>
        <v/>
      </c>
      <c r="O2174" s="16">
        <f>I2174-H2174</f>
        <v/>
      </c>
      <c r="P2174" s="14">
        <f>F2174*G2174</f>
        <v/>
      </c>
      <c r="Q2174" s="14">
        <f>J2174*G2174</f>
        <v/>
      </c>
      <c r="R2174" s="14">
        <f>K2174-Q2174</f>
        <v/>
      </c>
      <c r="S2174" s="3">
        <f>P2174*Assumptions!$B$3/100</f>
        <v/>
      </c>
      <c r="T2174" s="14">
        <f>R2174-S2174</f>
        <v/>
      </c>
      <c r="U2174" s="14">
        <f>L2174*G2174</f>
        <v/>
      </c>
    </row>
    <row r="2175">
      <c r="A2175" s="12" t="inlineStr">
        <is>
          <t>PO-2022-2173</t>
        </is>
      </c>
      <c r="B2175" s="26" t="n">
        <v>44867</v>
      </c>
      <c r="C2175" s="12" t="inlineStr">
        <is>
          <t>VS01</t>
        </is>
      </c>
      <c r="D2175" s="12" t="inlineStr">
        <is>
          <t>ERW Pipes</t>
        </is>
      </c>
      <c r="E2175" s="12" t="inlineStr">
        <is>
          <t>Y</t>
        </is>
      </c>
      <c r="F2175" s="12" t="n">
        <v>26.51</v>
      </c>
      <c r="G2175" s="17" t="n">
        <v>84318.07000000001</v>
      </c>
      <c r="H2175" s="26" t="n">
        <v>44882</v>
      </c>
      <c r="I2175" s="26" t="n">
        <v>44882</v>
      </c>
      <c r="J2175" s="12" t="n">
        <v>26.43</v>
      </c>
      <c r="K2175" s="17" t="n">
        <v>2235272.04</v>
      </c>
      <c r="L2175" s="12" t="n">
        <v>0</v>
      </c>
      <c r="M2175" s="12" t="n">
        <v>0</v>
      </c>
      <c r="N2175" s="27">
        <f>F2175-J2175</f>
        <v/>
      </c>
      <c r="O2175" s="16">
        <f>I2175-H2175</f>
        <v/>
      </c>
      <c r="P2175" s="14">
        <f>F2175*G2175</f>
        <v/>
      </c>
      <c r="Q2175" s="14">
        <f>J2175*G2175</f>
        <v/>
      </c>
      <c r="R2175" s="14">
        <f>K2175-Q2175</f>
        <v/>
      </c>
      <c r="S2175" s="3">
        <f>P2175*Assumptions!$B$3/100</f>
        <v/>
      </c>
      <c r="T2175" s="14">
        <f>R2175-S2175</f>
        <v/>
      </c>
      <c r="U2175" s="14">
        <f>L2175*G2175</f>
        <v/>
      </c>
    </row>
    <row r="2176">
      <c r="A2176" s="12" t="inlineStr">
        <is>
          <t>PO-2022-2174</t>
        </is>
      </c>
      <c r="B2176" s="26" t="n">
        <v>45161</v>
      </c>
      <c r="C2176" s="12" t="inlineStr">
        <is>
          <t>VS15</t>
        </is>
      </c>
      <c r="D2176" s="12" t="inlineStr">
        <is>
          <t>Fasteners &amp; Fittings</t>
        </is>
      </c>
      <c r="E2176" s="12" t="inlineStr">
        <is>
          <t>N</t>
        </is>
      </c>
      <c r="F2176" s="12" t="n">
        <v>15.64</v>
      </c>
      <c r="G2176" s="17" t="n">
        <v>54364.84</v>
      </c>
      <c r="H2176" s="26" t="n">
        <v>45175</v>
      </c>
      <c r="I2176" s="26" t="n">
        <v>45175</v>
      </c>
      <c r="J2176" s="12" t="n">
        <v>15.55</v>
      </c>
      <c r="K2176" s="17" t="n">
        <v>850266.1</v>
      </c>
      <c r="L2176" s="12" t="n">
        <v>0</v>
      </c>
      <c r="M2176" s="12" t="n">
        <v>23</v>
      </c>
      <c r="N2176" s="27">
        <f>F2176-J2176</f>
        <v/>
      </c>
      <c r="O2176" s="16">
        <f>I2176-H2176</f>
        <v/>
      </c>
      <c r="P2176" s="14">
        <f>F2176*G2176</f>
        <v/>
      </c>
      <c r="Q2176" s="14">
        <f>J2176*G2176</f>
        <v/>
      </c>
      <c r="R2176" s="14">
        <f>K2176-Q2176</f>
        <v/>
      </c>
      <c r="S2176" s="3">
        <f>P2176*Assumptions!$B$3/100</f>
        <v/>
      </c>
      <c r="T2176" s="14">
        <f>R2176-S2176</f>
        <v/>
      </c>
      <c r="U2176" s="14">
        <f>L2176*G2176</f>
        <v/>
      </c>
    </row>
    <row r="2177">
      <c r="A2177" s="12" t="inlineStr">
        <is>
          <t>PO-2022-2175</t>
        </is>
      </c>
      <c r="B2177" s="26" t="n">
        <v>45127</v>
      </c>
      <c r="C2177" s="12" t="inlineStr">
        <is>
          <t>VS10</t>
        </is>
      </c>
      <c r="D2177" s="12" t="inlineStr">
        <is>
          <t>SS Pipes</t>
        </is>
      </c>
      <c r="E2177" s="12" t="inlineStr">
        <is>
          <t>N</t>
        </is>
      </c>
      <c r="F2177" s="12" t="n">
        <v>44.13</v>
      </c>
      <c r="G2177" s="17" t="n">
        <v>101568.77</v>
      </c>
      <c r="H2177" s="26" t="n">
        <v>45141</v>
      </c>
      <c r="I2177" s="26" t="n">
        <v>45143</v>
      </c>
      <c r="J2177" s="12" t="n">
        <v>44.12</v>
      </c>
      <c r="K2177" s="17" t="n">
        <v>4482229.82</v>
      </c>
      <c r="L2177" s="12" t="n">
        <v>0</v>
      </c>
      <c r="M2177" s="12" t="n">
        <v>24</v>
      </c>
      <c r="N2177" s="27">
        <f>F2177-J2177</f>
        <v/>
      </c>
      <c r="O2177" s="16">
        <f>I2177-H2177</f>
        <v/>
      </c>
      <c r="P2177" s="14">
        <f>F2177*G2177</f>
        <v/>
      </c>
      <c r="Q2177" s="14">
        <f>J2177*G2177</f>
        <v/>
      </c>
      <c r="R2177" s="14">
        <f>K2177-Q2177</f>
        <v/>
      </c>
      <c r="S2177" s="3">
        <f>P2177*Assumptions!$B$3/100</f>
        <v/>
      </c>
      <c r="T2177" s="14">
        <f>R2177-S2177</f>
        <v/>
      </c>
      <c r="U2177" s="14">
        <f>L2177*G2177</f>
        <v/>
      </c>
    </row>
    <row r="2178">
      <c r="A2178" s="12" t="inlineStr">
        <is>
          <t>PO-2022-2176</t>
        </is>
      </c>
      <c r="B2178" s="26" t="n">
        <v>44896</v>
      </c>
      <c r="C2178" s="12" t="inlineStr">
        <is>
          <t>VS18</t>
        </is>
      </c>
      <c r="D2178" s="12" t="inlineStr">
        <is>
          <t>GI Pipes</t>
        </is>
      </c>
      <c r="E2178" s="12" t="inlineStr">
        <is>
          <t>N</t>
        </is>
      </c>
      <c r="F2178" s="12" t="n">
        <v>19.69</v>
      </c>
      <c r="G2178" s="17" t="n">
        <v>111833.76</v>
      </c>
      <c r="H2178" s="26" t="n">
        <v>44900</v>
      </c>
      <c r="I2178" s="26" t="n">
        <v>44903</v>
      </c>
      <c r="J2178" s="12" t="n">
        <v>19.62</v>
      </c>
      <c r="K2178" s="17" t="n">
        <v>2202006.73</v>
      </c>
      <c r="L2178" s="12" t="n">
        <v>0</v>
      </c>
      <c r="M2178" s="12" t="n">
        <v>9</v>
      </c>
      <c r="N2178" s="27">
        <f>F2178-J2178</f>
        <v/>
      </c>
      <c r="O2178" s="16">
        <f>I2178-H2178</f>
        <v/>
      </c>
      <c r="P2178" s="14">
        <f>F2178*G2178</f>
        <v/>
      </c>
      <c r="Q2178" s="14">
        <f>J2178*G2178</f>
        <v/>
      </c>
      <c r="R2178" s="14">
        <f>K2178-Q2178</f>
        <v/>
      </c>
      <c r="S2178" s="3">
        <f>P2178*Assumptions!$B$3/100</f>
        <v/>
      </c>
      <c r="T2178" s="14">
        <f>R2178-S2178</f>
        <v/>
      </c>
      <c r="U2178" s="14">
        <f>L2178*G2178</f>
        <v/>
      </c>
    </row>
    <row r="2179">
      <c r="A2179" s="12" t="inlineStr">
        <is>
          <t>PO-2022-2177</t>
        </is>
      </c>
      <c r="B2179" s="26" t="n">
        <v>45152</v>
      </c>
      <c r="C2179" s="12" t="inlineStr">
        <is>
          <t>VS28</t>
        </is>
      </c>
      <c r="D2179" s="12" t="inlineStr">
        <is>
          <t>MS Sheets</t>
        </is>
      </c>
      <c r="E2179" s="12" t="inlineStr">
        <is>
          <t>N</t>
        </is>
      </c>
      <c r="F2179" s="12" t="n">
        <v>43.94</v>
      </c>
      <c r="G2179" s="17" t="n">
        <v>96857.77</v>
      </c>
      <c r="H2179" s="26" t="n">
        <v>45167</v>
      </c>
      <c r="I2179" s="26" t="n">
        <v>45170</v>
      </c>
      <c r="J2179" s="12" t="n">
        <v>43.78</v>
      </c>
      <c r="K2179" s="17" t="n">
        <v>4255930.41</v>
      </c>
      <c r="L2179" s="12" t="n">
        <v>0</v>
      </c>
      <c r="M2179" s="12" t="n">
        <v>17</v>
      </c>
      <c r="N2179" s="27">
        <f>F2179-J2179</f>
        <v/>
      </c>
      <c r="O2179" s="16">
        <f>I2179-H2179</f>
        <v/>
      </c>
      <c r="P2179" s="14">
        <f>F2179*G2179</f>
        <v/>
      </c>
      <c r="Q2179" s="14">
        <f>J2179*G2179</f>
        <v/>
      </c>
      <c r="R2179" s="14">
        <f>K2179-Q2179</f>
        <v/>
      </c>
      <c r="S2179" s="3">
        <f>P2179*Assumptions!$B$3/100</f>
        <v/>
      </c>
      <c r="T2179" s="14">
        <f>R2179-S2179</f>
        <v/>
      </c>
      <c r="U2179" s="14">
        <f>L2179*G2179</f>
        <v/>
      </c>
    </row>
    <row r="2180">
      <c r="A2180" s="12" t="inlineStr">
        <is>
          <t>PO-2022-2178</t>
        </is>
      </c>
      <c r="B2180" s="26" t="n">
        <v>45194</v>
      </c>
      <c r="C2180" s="12" t="inlineStr">
        <is>
          <t>VS19</t>
        </is>
      </c>
      <c r="D2180" s="12" t="inlineStr">
        <is>
          <t>HR Coils</t>
        </is>
      </c>
      <c r="E2180" s="12" t="inlineStr">
        <is>
          <t>N</t>
        </is>
      </c>
      <c r="F2180" s="12" t="n">
        <v>26.62</v>
      </c>
      <c r="G2180" s="17" t="n">
        <v>53708.69</v>
      </c>
      <c r="H2180" s="26" t="n">
        <v>45208</v>
      </c>
      <c r="I2180" s="26" t="n">
        <v>45211</v>
      </c>
      <c r="J2180" s="12" t="n">
        <v>25.9</v>
      </c>
      <c r="K2180" s="17" t="n">
        <v>1429725.33</v>
      </c>
      <c r="L2180" s="12" t="n">
        <v>0.36</v>
      </c>
      <c r="M2180" s="12" t="n">
        <v>7</v>
      </c>
      <c r="N2180" s="27">
        <f>F2180-J2180</f>
        <v/>
      </c>
      <c r="O2180" s="16">
        <f>I2180-H2180</f>
        <v/>
      </c>
      <c r="P2180" s="14">
        <f>F2180*G2180</f>
        <v/>
      </c>
      <c r="Q2180" s="14">
        <f>J2180*G2180</f>
        <v/>
      </c>
      <c r="R2180" s="14">
        <f>K2180-Q2180</f>
        <v/>
      </c>
      <c r="S2180" s="3">
        <f>P2180*Assumptions!$B$3/100</f>
        <v/>
      </c>
      <c r="T2180" s="14">
        <f>R2180-S2180</f>
        <v/>
      </c>
      <c r="U2180" s="14">
        <f>L2180*G2180</f>
        <v/>
      </c>
    </row>
    <row r="2181">
      <c r="A2181" s="12" t="inlineStr">
        <is>
          <t>PO-2022-2179</t>
        </is>
      </c>
      <c r="B2181" s="26" t="n">
        <v>44939</v>
      </c>
      <c r="C2181" s="12" t="inlineStr">
        <is>
          <t>VS16</t>
        </is>
      </c>
      <c r="D2181" s="12" t="inlineStr">
        <is>
          <t>Structural Steel</t>
        </is>
      </c>
      <c r="E2181" s="12" t="inlineStr">
        <is>
          <t>N</t>
        </is>
      </c>
      <c r="F2181" s="12" t="n">
        <v>42</v>
      </c>
      <c r="G2181" s="17" t="n">
        <v>117243.33</v>
      </c>
      <c r="H2181" s="26" t="n">
        <v>44948</v>
      </c>
      <c r="I2181" s="26" t="n">
        <v>44951</v>
      </c>
      <c r="J2181" s="12" t="n">
        <v>41.94</v>
      </c>
      <c r="K2181" s="17" t="n">
        <v>4924219.86</v>
      </c>
      <c r="L2181" s="12" t="n">
        <v>0</v>
      </c>
      <c r="M2181" s="12" t="n">
        <v>10</v>
      </c>
      <c r="N2181" s="27">
        <f>F2181-J2181</f>
        <v/>
      </c>
      <c r="O2181" s="16">
        <f>I2181-H2181</f>
        <v/>
      </c>
      <c r="P2181" s="14">
        <f>F2181*G2181</f>
        <v/>
      </c>
      <c r="Q2181" s="14">
        <f>J2181*G2181</f>
        <v/>
      </c>
      <c r="R2181" s="14">
        <f>K2181-Q2181</f>
        <v/>
      </c>
      <c r="S2181" s="3">
        <f>P2181*Assumptions!$B$3/100</f>
        <v/>
      </c>
      <c r="T2181" s="14">
        <f>R2181-S2181</f>
        <v/>
      </c>
      <c r="U2181" s="14">
        <f>L2181*G2181</f>
        <v/>
      </c>
    </row>
    <row r="2182">
      <c r="A2182" s="12" t="inlineStr">
        <is>
          <t>PO-2022-2180</t>
        </is>
      </c>
      <c r="B2182" s="26" t="n">
        <v>44313</v>
      </c>
      <c r="C2182" s="12" t="inlineStr">
        <is>
          <t>VS07</t>
        </is>
      </c>
      <c r="D2182" s="12" t="inlineStr">
        <is>
          <t>CR Sheets</t>
        </is>
      </c>
      <c r="E2182" s="12" t="inlineStr">
        <is>
          <t>N</t>
        </is>
      </c>
      <c r="F2182" s="12" t="n">
        <v>42.27</v>
      </c>
      <c r="G2182" s="17" t="n">
        <v>99933.2</v>
      </c>
      <c r="H2182" s="26" t="n">
        <v>44320</v>
      </c>
      <c r="I2182" s="26" t="n">
        <v>44321</v>
      </c>
      <c r="J2182" s="12" t="n">
        <v>42.13</v>
      </c>
      <c r="K2182" s="17" t="n">
        <v>4224176.36</v>
      </c>
      <c r="L2182" s="12" t="n">
        <v>0</v>
      </c>
      <c r="M2182" s="12" t="n">
        <v>0</v>
      </c>
      <c r="N2182" s="27">
        <f>F2182-J2182</f>
        <v/>
      </c>
      <c r="O2182" s="16">
        <f>I2182-H2182</f>
        <v/>
      </c>
      <c r="P2182" s="14">
        <f>F2182*G2182</f>
        <v/>
      </c>
      <c r="Q2182" s="14">
        <f>J2182*G2182</f>
        <v/>
      </c>
      <c r="R2182" s="14">
        <f>K2182-Q2182</f>
        <v/>
      </c>
      <c r="S2182" s="3">
        <f>P2182*Assumptions!$B$3/100</f>
        <v/>
      </c>
      <c r="T2182" s="14">
        <f>R2182-S2182</f>
        <v/>
      </c>
      <c r="U2182" s="14">
        <f>L2182*G2182</f>
        <v/>
      </c>
    </row>
    <row r="2183">
      <c r="A2183" s="12" t="inlineStr">
        <is>
          <t>PO-2022-2181</t>
        </is>
      </c>
      <c r="B2183" s="26" t="n">
        <v>45237</v>
      </c>
      <c r="C2183" s="12" t="inlineStr">
        <is>
          <t>VS22</t>
        </is>
      </c>
      <c r="D2183" s="12" t="inlineStr">
        <is>
          <t>GI Wire</t>
        </is>
      </c>
      <c r="E2183" s="12" t="inlineStr">
        <is>
          <t>N</t>
        </is>
      </c>
      <c r="F2183" s="12" t="n">
        <v>33.68</v>
      </c>
      <c r="G2183" s="17" t="n">
        <v>63843.68</v>
      </c>
      <c r="H2183" s="26" t="n">
        <v>45245</v>
      </c>
      <c r="I2183" s="26" t="n">
        <v>45247</v>
      </c>
      <c r="J2183" s="12" t="n">
        <v>33.41</v>
      </c>
      <c r="K2183" s="17" t="n">
        <v>2150255.14</v>
      </c>
      <c r="L2183" s="12" t="n">
        <v>0</v>
      </c>
      <c r="M2183" s="12" t="n">
        <v>23</v>
      </c>
      <c r="N2183" s="27">
        <f>F2183-J2183</f>
        <v/>
      </c>
      <c r="O2183" s="16">
        <f>I2183-H2183</f>
        <v/>
      </c>
      <c r="P2183" s="14">
        <f>F2183*G2183</f>
        <v/>
      </c>
      <c r="Q2183" s="14">
        <f>J2183*G2183</f>
        <v/>
      </c>
      <c r="R2183" s="14">
        <f>K2183-Q2183</f>
        <v/>
      </c>
      <c r="S2183" s="3">
        <f>P2183*Assumptions!$B$3/100</f>
        <v/>
      </c>
      <c r="T2183" s="14">
        <f>R2183-S2183</f>
        <v/>
      </c>
      <c r="U2183" s="14">
        <f>L2183*G2183</f>
        <v/>
      </c>
    </row>
    <row r="2184">
      <c r="A2184" s="12" t="inlineStr">
        <is>
          <t>PO-2022-2182</t>
        </is>
      </c>
      <c r="B2184" s="26" t="n">
        <v>44367</v>
      </c>
      <c r="C2184" s="12" t="inlineStr">
        <is>
          <t>VS01</t>
        </is>
      </c>
      <c r="D2184" s="12" t="inlineStr">
        <is>
          <t>ERW Pipes</t>
        </is>
      </c>
      <c r="E2184" s="12" t="inlineStr">
        <is>
          <t>Y</t>
        </is>
      </c>
      <c r="F2184" s="12" t="n">
        <v>35.94</v>
      </c>
      <c r="G2184" s="17" t="n">
        <v>81416.16</v>
      </c>
      <c r="H2184" s="26" t="n">
        <v>44379</v>
      </c>
      <c r="I2184" s="26" t="n">
        <v>44382</v>
      </c>
      <c r="J2184" s="12" t="n">
        <v>35.67</v>
      </c>
      <c r="K2184" s="17" t="n">
        <v>2926096.79</v>
      </c>
      <c r="L2184" s="12" t="n">
        <v>0</v>
      </c>
      <c r="M2184" s="12" t="n">
        <v>0</v>
      </c>
      <c r="N2184" s="27">
        <f>F2184-J2184</f>
        <v/>
      </c>
      <c r="O2184" s="16">
        <f>I2184-H2184</f>
        <v/>
      </c>
      <c r="P2184" s="14">
        <f>F2184*G2184</f>
        <v/>
      </c>
      <c r="Q2184" s="14">
        <f>J2184*G2184</f>
        <v/>
      </c>
      <c r="R2184" s="14">
        <f>K2184-Q2184</f>
        <v/>
      </c>
      <c r="S2184" s="3">
        <f>P2184*Assumptions!$B$3/100</f>
        <v/>
      </c>
      <c r="T2184" s="14">
        <f>R2184-S2184</f>
        <v/>
      </c>
      <c r="U2184" s="14">
        <f>L2184*G2184</f>
        <v/>
      </c>
    </row>
    <row r="2185">
      <c r="A2185" s="12" t="inlineStr">
        <is>
          <t>PO-2022-2183</t>
        </is>
      </c>
      <c r="B2185" s="26" t="n">
        <v>45210</v>
      </c>
      <c r="C2185" s="12" t="inlineStr">
        <is>
          <t>VS15</t>
        </is>
      </c>
      <c r="D2185" s="12" t="inlineStr">
        <is>
          <t>GI Wire</t>
        </is>
      </c>
      <c r="E2185" s="12" t="inlineStr">
        <is>
          <t>N</t>
        </is>
      </c>
      <c r="F2185" s="12" t="n">
        <v>33.62</v>
      </c>
      <c r="G2185" s="17" t="n">
        <v>52797.41</v>
      </c>
      <c r="H2185" s="26" t="n">
        <v>45225</v>
      </c>
      <c r="I2185" s="26" t="n">
        <v>45226</v>
      </c>
      <c r="J2185" s="12" t="n">
        <v>33.39</v>
      </c>
      <c r="K2185" s="17" t="n">
        <v>1775048.92</v>
      </c>
      <c r="L2185" s="12" t="n">
        <v>0</v>
      </c>
      <c r="M2185" s="12" t="n">
        <v>15</v>
      </c>
      <c r="N2185" s="27">
        <f>F2185-J2185</f>
        <v/>
      </c>
      <c r="O2185" s="16">
        <f>I2185-H2185</f>
        <v/>
      </c>
      <c r="P2185" s="14">
        <f>F2185*G2185</f>
        <v/>
      </c>
      <c r="Q2185" s="14">
        <f>J2185*G2185</f>
        <v/>
      </c>
      <c r="R2185" s="14">
        <f>K2185-Q2185</f>
        <v/>
      </c>
      <c r="S2185" s="3">
        <f>P2185*Assumptions!$B$3/100</f>
        <v/>
      </c>
      <c r="T2185" s="14">
        <f>R2185-S2185</f>
        <v/>
      </c>
      <c r="U2185" s="14">
        <f>L2185*G2185</f>
        <v/>
      </c>
    </row>
    <row r="2186">
      <c r="A2186" s="12" t="inlineStr">
        <is>
          <t>PO-2022-2184</t>
        </is>
      </c>
      <c r="B2186" s="26" t="n">
        <v>45196</v>
      </c>
      <c r="C2186" s="12" t="inlineStr">
        <is>
          <t>VS25</t>
        </is>
      </c>
      <c r="D2186" s="12" t="inlineStr">
        <is>
          <t>Hex Bars</t>
        </is>
      </c>
      <c r="E2186" s="12" t="inlineStr">
        <is>
          <t>N</t>
        </is>
      </c>
      <c r="F2186" s="12" t="n">
        <v>43.65</v>
      </c>
      <c r="G2186" s="17" t="n">
        <v>95066.78</v>
      </c>
      <c r="H2186" s="26" t="n">
        <v>45199</v>
      </c>
      <c r="I2186" s="26" t="n">
        <v>45199</v>
      </c>
      <c r="J2186" s="12" t="n">
        <v>43.23</v>
      </c>
      <c r="K2186" s="17" t="n">
        <v>4149664.95</v>
      </c>
      <c r="L2186" s="12" t="n">
        <v>0</v>
      </c>
      <c r="M2186" s="12" t="n">
        <v>2</v>
      </c>
      <c r="N2186" s="27">
        <f>F2186-J2186</f>
        <v/>
      </c>
      <c r="O2186" s="16">
        <f>I2186-H2186</f>
        <v/>
      </c>
      <c r="P2186" s="14">
        <f>F2186*G2186</f>
        <v/>
      </c>
      <c r="Q2186" s="14">
        <f>J2186*G2186</f>
        <v/>
      </c>
      <c r="R2186" s="14">
        <f>K2186-Q2186</f>
        <v/>
      </c>
      <c r="S2186" s="3">
        <f>P2186*Assumptions!$B$3/100</f>
        <v/>
      </c>
      <c r="T2186" s="14">
        <f>R2186-S2186</f>
        <v/>
      </c>
      <c r="U2186" s="14">
        <f>L2186*G2186</f>
        <v/>
      </c>
    </row>
    <row r="2187">
      <c r="A2187" s="12" t="inlineStr">
        <is>
          <t>PO-2022-2185</t>
        </is>
      </c>
      <c r="B2187" s="26" t="n">
        <v>44417</v>
      </c>
      <c r="C2187" s="12" t="inlineStr">
        <is>
          <t>VS07</t>
        </is>
      </c>
      <c r="D2187" s="12" t="inlineStr">
        <is>
          <t>ERW Pipes</t>
        </is>
      </c>
      <c r="E2187" s="12" t="inlineStr">
        <is>
          <t>N</t>
        </is>
      </c>
      <c r="F2187" s="12" t="n">
        <v>6.76</v>
      </c>
      <c r="G2187" s="17" t="n">
        <v>102302.3</v>
      </c>
      <c r="H2187" s="26" t="n">
        <v>44425</v>
      </c>
      <c r="I2187" s="26" t="n">
        <v>44425</v>
      </c>
      <c r="J2187" s="12" t="n">
        <v>6.75</v>
      </c>
      <c r="K2187" s="17" t="n">
        <v>691563.55</v>
      </c>
      <c r="L2187" s="12" t="n">
        <v>0</v>
      </c>
      <c r="M2187" s="12" t="n">
        <v>9</v>
      </c>
      <c r="N2187" s="27">
        <f>F2187-J2187</f>
        <v/>
      </c>
      <c r="O2187" s="16">
        <f>I2187-H2187</f>
        <v/>
      </c>
      <c r="P2187" s="14">
        <f>F2187*G2187</f>
        <v/>
      </c>
      <c r="Q2187" s="14">
        <f>J2187*G2187</f>
        <v/>
      </c>
      <c r="R2187" s="14">
        <f>K2187-Q2187</f>
        <v/>
      </c>
      <c r="S2187" s="3">
        <f>P2187*Assumptions!$B$3/100</f>
        <v/>
      </c>
      <c r="T2187" s="14">
        <f>R2187-S2187</f>
        <v/>
      </c>
      <c r="U2187" s="14">
        <f>L2187*G2187</f>
        <v/>
      </c>
    </row>
    <row r="2188">
      <c r="A2188" s="12" t="inlineStr">
        <is>
          <t>PO-2022-2186</t>
        </is>
      </c>
      <c r="B2188" s="26" t="n">
        <v>45060</v>
      </c>
      <c r="C2188" s="12" t="inlineStr">
        <is>
          <t>VS26</t>
        </is>
      </c>
      <c r="D2188" s="12" t="inlineStr">
        <is>
          <t>GI Pipes</t>
        </is>
      </c>
      <c r="E2188" s="12" t="inlineStr">
        <is>
          <t>N</t>
        </is>
      </c>
      <c r="F2188" s="12" t="n">
        <v>18.02</v>
      </c>
      <c r="G2188" s="17" t="n">
        <v>104110.23</v>
      </c>
      <c r="H2188" s="26" t="n">
        <v>45070</v>
      </c>
      <c r="I2188" s="26" t="n">
        <v>45072</v>
      </c>
      <c r="J2188" s="12" t="n">
        <v>17.99</v>
      </c>
      <c r="K2188" s="17" t="n">
        <v>1876066.34</v>
      </c>
      <c r="L2188" s="12" t="n">
        <v>0</v>
      </c>
      <c r="M2188" s="12" t="n">
        <v>5</v>
      </c>
      <c r="N2188" s="27">
        <f>F2188-J2188</f>
        <v/>
      </c>
      <c r="O2188" s="16">
        <f>I2188-H2188</f>
        <v/>
      </c>
      <c r="P2188" s="14">
        <f>F2188*G2188</f>
        <v/>
      </c>
      <c r="Q2188" s="14">
        <f>J2188*G2188</f>
        <v/>
      </c>
      <c r="R2188" s="14">
        <f>K2188-Q2188</f>
        <v/>
      </c>
      <c r="S2188" s="3">
        <f>P2188*Assumptions!$B$3/100</f>
        <v/>
      </c>
      <c r="T2188" s="14">
        <f>R2188-S2188</f>
        <v/>
      </c>
      <c r="U2188" s="14">
        <f>L2188*G2188</f>
        <v/>
      </c>
    </row>
    <row r="2189">
      <c r="A2189" s="12" t="inlineStr">
        <is>
          <t>PO-2022-2187</t>
        </is>
      </c>
      <c r="B2189" s="26" t="n">
        <v>45267</v>
      </c>
      <c r="C2189" s="12" t="inlineStr">
        <is>
          <t>VS03</t>
        </is>
      </c>
      <c r="D2189" s="12" t="inlineStr">
        <is>
          <t>MS Rods</t>
        </is>
      </c>
      <c r="E2189" s="12" t="inlineStr">
        <is>
          <t>N</t>
        </is>
      </c>
      <c r="F2189" s="12" t="n">
        <v>40.84</v>
      </c>
      <c r="G2189" s="17" t="n">
        <v>95793.23</v>
      </c>
      <c r="H2189" s="26" t="n">
        <v>45282</v>
      </c>
      <c r="I2189" s="26" t="n">
        <v>45284</v>
      </c>
      <c r="J2189" s="12" t="n">
        <v>39.57</v>
      </c>
      <c r="K2189" s="17" t="n">
        <v>3912195.51</v>
      </c>
      <c r="L2189" s="12" t="n">
        <v>0.22</v>
      </c>
      <c r="M2189" s="12" t="n">
        <v>3</v>
      </c>
      <c r="N2189" s="27">
        <f>F2189-J2189</f>
        <v/>
      </c>
      <c r="O2189" s="16">
        <f>I2189-H2189</f>
        <v/>
      </c>
      <c r="P2189" s="14">
        <f>F2189*G2189</f>
        <v/>
      </c>
      <c r="Q2189" s="14">
        <f>J2189*G2189</f>
        <v/>
      </c>
      <c r="R2189" s="14">
        <f>K2189-Q2189</f>
        <v/>
      </c>
      <c r="S2189" s="3">
        <f>P2189*Assumptions!$B$3/100</f>
        <v/>
      </c>
      <c r="T2189" s="14">
        <f>R2189-S2189</f>
        <v/>
      </c>
      <c r="U2189" s="14">
        <f>L2189*G2189</f>
        <v/>
      </c>
    </row>
    <row r="2190">
      <c r="A2190" s="12" t="inlineStr">
        <is>
          <t>PO-2022-2188</t>
        </is>
      </c>
      <c r="B2190" s="26" t="n">
        <v>45081</v>
      </c>
      <c r="C2190" s="12" t="inlineStr">
        <is>
          <t>VS02</t>
        </is>
      </c>
      <c r="D2190" s="12" t="inlineStr">
        <is>
          <t>GI Sheets</t>
        </is>
      </c>
      <c r="E2190" s="12" t="inlineStr">
        <is>
          <t>N</t>
        </is>
      </c>
      <c r="F2190" s="12" t="n">
        <v>28.78</v>
      </c>
      <c r="G2190" s="17" t="n">
        <v>46810.83</v>
      </c>
      <c r="H2190" s="26" t="n">
        <v>45089</v>
      </c>
      <c r="I2190" s="26" t="n">
        <v>45090</v>
      </c>
      <c r="J2190" s="12" t="n">
        <v>28.59</v>
      </c>
      <c r="K2190" s="17" t="n">
        <v>1347215.69</v>
      </c>
      <c r="L2190" s="12" t="n">
        <v>0</v>
      </c>
      <c r="M2190" s="12" t="n">
        <v>0</v>
      </c>
      <c r="N2190" s="27">
        <f>F2190-J2190</f>
        <v/>
      </c>
      <c r="O2190" s="16">
        <f>I2190-H2190</f>
        <v/>
      </c>
      <c r="P2190" s="14">
        <f>F2190*G2190</f>
        <v/>
      </c>
      <c r="Q2190" s="14">
        <f>J2190*G2190</f>
        <v/>
      </c>
      <c r="R2190" s="14">
        <f>K2190-Q2190</f>
        <v/>
      </c>
      <c r="S2190" s="3">
        <f>P2190*Assumptions!$B$3/100</f>
        <v/>
      </c>
      <c r="T2190" s="14">
        <f>R2190-S2190</f>
        <v/>
      </c>
      <c r="U2190" s="14">
        <f>L2190*G2190</f>
        <v/>
      </c>
    </row>
    <row r="2191">
      <c r="A2191" s="12" t="inlineStr">
        <is>
          <t>PO-2022-2189</t>
        </is>
      </c>
      <c r="B2191" s="26" t="n">
        <v>44399</v>
      </c>
      <c r="C2191" s="12" t="inlineStr">
        <is>
          <t>VS19</t>
        </is>
      </c>
      <c r="D2191" s="12" t="inlineStr">
        <is>
          <t>GI Wire</t>
        </is>
      </c>
      <c r="E2191" s="12" t="inlineStr">
        <is>
          <t>N</t>
        </is>
      </c>
      <c r="F2191" s="12" t="n">
        <v>40.29</v>
      </c>
      <c r="G2191" s="17" t="n">
        <v>103666.47</v>
      </c>
      <c r="H2191" s="26" t="n">
        <v>44406</v>
      </c>
      <c r="I2191" s="26" t="n">
        <v>44412</v>
      </c>
      <c r="J2191" s="12" t="n">
        <v>38.64</v>
      </c>
      <c r="K2191" s="17" t="n">
        <v>4176722.08</v>
      </c>
      <c r="L2191" s="12" t="n">
        <v>0.09</v>
      </c>
      <c r="M2191" s="12" t="n">
        <v>4</v>
      </c>
      <c r="N2191" s="27">
        <f>F2191-J2191</f>
        <v/>
      </c>
      <c r="O2191" s="16">
        <f>I2191-H2191</f>
        <v/>
      </c>
      <c r="P2191" s="14">
        <f>F2191*G2191</f>
        <v/>
      </c>
      <c r="Q2191" s="14">
        <f>J2191*G2191</f>
        <v/>
      </c>
      <c r="R2191" s="14">
        <f>K2191-Q2191</f>
        <v/>
      </c>
      <c r="S2191" s="3">
        <f>P2191*Assumptions!$B$3/100</f>
        <v/>
      </c>
      <c r="T2191" s="14">
        <f>R2191-S2191</f>
        <v/>
      </c>
      <c r="U2191" s="14">
        <f>L2191*G2191</f>
        <v/>
      </c>
    </row>
    <row r="2192">
      <c r="A2192" s="12" t="inlineStr">
        <is>
          <t>PO-2022-2190</t>
        </is>
      </c>
      <c r="B2192" s="26" t="n">
        <v>44931</v>
      </c>
      <c r="C2192" s="12" t="inlineStr">
        <is>
          <t>VS23</t>
        </is>
      </c>
      <c r="D2192" s="12" t="inlineStr">
        <is>
          <t>Angles &amp; Channels</t>
        </is>
      </c>
      <c r="E2192" s="12" t="inlineStr">
        <is>
          <t>N</t>
        </is>
      </c>
      <c r="F2192" s="12" t="n">
        <v>48.71</v>
      </c>
      <c r="G2192" s="17" t="n">
        <v>63652.58</v>
      </c>
      <c r="H2192" s="26" t="n">
        <v>44941</v>
      </c>
      <c r="I2192" s="26" t="n">
        <v>44942</v>
      </c>
      <c r="J2192" s="12" t="n">
        <v>48.56</v>
      </c>
      <c r="K2192" s="17" t="n">
        <v>3100517.17</v>
      </c>
      <c r="L2192" s="12" t="n">
        <v>0</v>
      </c>
      <c r="M2192" s="12" t="n">
        <v>12</v>
      </c>
      <c r="N2192" s="27">
        <f>F2192-J2192</f>
        <v/>
      </c>
      <c r="O2192" s="16">
        <f>I2192-H2192</f>
        <v/>
      </c>
      <c r="P2192" s="14">
        <f>F2192*G2192</f>
        <v/>
      </c>
      <c r="Q2192" s="14">
        <f>J2192*G2192</f>
        <v/>
      </c>
      <c r="R2192" s="14">
        <f>K2192-Q2192</f>
        <v/>
      </c>
      <c r="S2192" s="3">
        <f>P2192*Assumptions!$B$3/100</f>
        <v/>
      </c>
      <c r="T2192" s="14">
        <f>R2192-S2192</f>
        <v/>
      </c>
      <c r="U2192" s="14">
        <f>L2192*G2192</f>
        <v/>
      </c>
    </row>
    <row r="2193">
      <c r="A2193" s="12" t="inlineStr">
        <is>
          <t>PO-2022-2191</t>
        </is>
      </c>
      <c r="B2193" s="26" t="n">
        <v>44294</v>
      </c>
      <c r="C2193" s="12" t="inlineStr">
        <is>
          <t>VS21</t>
        </is>
      </c>
      <c r="D2193" s="12" t="inlineStr">
        <is>
          <t>Fasteners &amp; Fittings</t>
        </is>
      </c>
      <c r="E2193" s="12" t="inlineStr">
        <is>
          <t>N</t>
        </is>
      </c>
      <c r="F2193" s="12" t="n">
        <v>35.26</v>
      </c>
      <c r="G2193" s="17" t="n">
        <v>92610.55</v>
      </c>
      <c r="H2193" s="26" t="n">
        <v>44309</v>
      </c>
      <c r="I2193" s="26" t="n">
        <v>44310</v>
      </c>
      <c r="J2193" s="12" t="n">
        <v>35.12</v>
      </c>
      <c r="K2193" s="17" t="n">
        <v>3265447.99</v>
      </c>
      <c r="L2193" s="12" t="n">
        <v>0</v>
      </c>
      <c r="M2193" s="12" t="n">
        <v>23</v>
      </c>
      <c r="N2193" s="27">
        <f>F2193-J2193</f>
        <v/>
      </c>
      <c r="O2193" s="16">
        <f>I2193-H2193</f>
        <v/>
      </c>
      <c r="P2193" s="14">
        <f>F2193*G2193</f>
        <v/>
      </c>
      <c r="Q2193" s="14">
        <f>J2193*G2193</f>
        <v/>
      </c>
      <c r="R2193" s="14">
        <f>K2193-Q2193</f>
        <v/>
      </c>
      <c r="S2193" s="3">
        <f>P2193*Assumptions!$B$3/100</f>
        <v/>
      </c>
      <c r="T2193" s="14">
        <f>R2193-S2193</f>
        <v/>
      </c>
      <c r="U2193" s="14">
        <f>L2193*G2193</f>
        <v/>
      </c>
    </row>
    <row r="2194">
      <c r="A2194" s="12" t="inlineStr">
        <is>
          <t>PO-2022-2192</t>
        </is>
      </c>
      <c r="B2194" s="26" t="n">
        <v>44525</v>
      </c>
      <c r="C2194" s="12" t="inlineStr">
        <is>
          <t>VS14</t>
        </is>
      </c>
      <c r="D2194" s="12" t="inlineStr">
        <is>
          <t>Spring Steel</t>
        </is>
      </c>
      <c r="E2194" s="12" t="inlineStr">
        <is>
          <t>N</t>
        </is>
      </c>
      <c r="F2194" s="12" t="n">
        <v>38.77</v>
      </c>
      <c r="G2194" s="17" t="n">
        <v>86045.83</v>
      </c>
      <c r="H2194" s="26" t="n">
        <v>44533</v>
      </c>
      <c r="I2194" s="26" t="n">
        <v>44536</v>
      </c>
      <c r="J2194" s="12" t="n">
        <v>38.68</v>
      </c>
      <c r="K2194" s="17" t="n">
        <v>3335996.83</v>
      </c>
      <c r="L2194" s="12" t="n">
        <v>0</v>
      </c>
      <c r="M2194" s="12" t="n">
        <v>0</v>
      </c>
      <c r="N2194" s="27">
        <f>F2194-J2194</f>
        <v/>
      </c>
      <c r="O2194" s="16">
        <f>I2194-H2194</f>
        <v/>
      </c>
      <c r="P2194" s="14">
        <f>F2194*G2194</f>
        <v/>
      </c>
      <c r="Q2194" s="14">
        <f>J2194*G2194</f>
        <v/>
      </c>
      <c r="R2194" s="14">
        <f>K2194-Q2194</f>
        <v/>
      </c>
      <c r="S2194" s="3">
        <f>P2194*Assumptions!$B$3/100</f>
        <v/>
      </c>
      <c r="T2194" s="14">
        <f>R2194-S2194</f>
        <v/>
      </c>
      <c r="U2194" s="14">
        <f>L2194*G2194</f>
        <v/>
      </c>
    </row>
    <row r="2195">
      <c r="A2195" s="12" t="inlineStr">
        <is>
          <t>PO-2022-2193</t>
        </is>
      </c>
      <c r="B2195" s="26" t="n">
        <v>45018</v>
      </c>
      <c r="C2195" s="12" t="inlineStr">
        <is>
          <t>VS23</t>
        </is>
      </c>
      <c r="D2195" s="12" t="inlineStr">
        <is>
          <t>MS Sheets</t>
        </is>
      </c>
      <c r="E2195" s="12" t="inlineStr">
        <is>
          <t>N</t>
        </is>
      </c>
      <c r="F2195" s="12" t="n">
        <v>42.39</v>
      </c>
      <c r="G2195" s="17" t="n">
        <v>109248.48</v>
      </c>
      <c r="H2195" s="26" t="n">
        <v>45026</v>
      </c>
      <c r="I2195" s="26" t="n">
        <v>45029</v>
      </c>
      <c r="J2195" s="12" t="n">
        <v>42.02</v>
      </c>
      <c r="K2195" s="17" t="n">
        <v>4631043.07</v>
      </c>
      <c r="L2195" s="12" t="n">
        <v>0</v>
      </c>
      <c r="M2195" s="12" t="n">
        <v>0</v>
      </c>
      <c r="N2195" s="27">
        <f>F2195-J2195</f>
        <v/>
      </c>
      <c r="O2195" s="16">
        <f>I2195-H2195</f>
        <v/>
      </c>
      <c r="P2195" s="14">
        <f>F2195*G2195</f>
        <v/>
      </c>
      <c r="Q2195" s="14">
        <f>J2195*G2195</f>
        <v/>
      </c>
      <c r="R2195" s="14">
        <f>K2195-Q2195</f>
        <v/>
      </c>
      <c r="S2195" s="3">
        <f>P2195*Assumptions!$B$3/100</f>
        <v/>
      </c>
      <c r="T2195" s="14">
        <f>R2195-S2195</f>
        <v/>
      </c>
      <c r="U2195" s="14">
        <f>L2195*G2195</f>
        <v/>
      </c>
    </row>
    <row r="2196">
      <c r="A2196" s="12" t="inlineStr">
        <is>
          <t>PO-2022-2194</t>
        </is>
      </c>
      <c r="B2196" s="26" t="n">
        <v>44917</v>
      </c>
      <c r="C2196" s="12" t="inlineStr">
        <is>
          <t>VS15</t>
        </is>
      </c>
      <c r="D2196" s="12" t="inlineStr">
        <is>
          <t>MS Flats</t>
        </is>
      </c>
      <c r="E2196" s="12" t="inlineStr">
        <is>
          <t>N</t>
        </is>
      </c>
      <c r="F2196" s="12" t="n">
        <v>41.61</v>
      </c>
      <c r="G2196" s="17" t="n">
        <v>52597.36</v>
      </c>
      <c r="H2196" s="26" t="n">
        <v>44931</v>
      </c>
      <c r="I2196" s="26" t="n">
        <v>44934</v>
      </c>
      <c r="J2196" s="12" t="n">
        <v>41.35</v>
      </c>
      <c r="K2196" s="17" t="n">
        <v>2188576.15</v>
      </c>
      <c r="L2196" s="12" t="n">
        <v>0</v>
      </c>
      <c r="M2196" s="12" t="n">
        <v>0</v>
      </c>
      <c r="N2196" s="27">
        <f>F2196-J2196</f>
        <v/>
      </c>
      <c r="O2196" s="16">
        <f>I2196-H2196</f>
        <v/>
      </c>
      <c r="P2196" s="14">
        <f>F2196*G2196</f>
        <v/>
      </c>
      <c r="Q2196" s="14">
        <f>J2196*G2196</f>
        <v/>
      </c>
      <c r="R2196" s="14">
        <f>K2196-Q2196</f>
        <v/>
      </c>
      <c r="S2196" s="3">
        <f>P2196*Assumptions!$B$3/100</f>
        <v/>
      </c>
      <c r="T2196" s="14">
        <f>R2196-S2196</f>
        <v/>
      </c>
      <c r="U2196" s="14">
        <f>L2196*G2196</f>
        <v/>
      </c>
    </row>
    <row r="2197">
      <c r="A2197" s="12" t="inlineStr">
        <is>
          <t>PO-2022-2195</t>
        </is>
      </c>
      <c r="B2197" s="26" t="n">
        <v>44382</v>
      </c>
      <c r="C2197" s="12" t="inlineStr">
        <is>
          <t>VS26</t>
        </is>
      </c>
      <c r="D2197" s="12" t="inlineStr">
        <is>
          <t>MS Flats</t>
        </is>
      </c>
      <c r="E2197" s="12" t="inlineStr">
        <is>
          <t>N</t>
        </is>
      </c>
      <c r="F2197" s="12" t="n">
        <v>31.47</v>
      </c>
      <c r="G2197" s="17" t="n">
        <v>92960.63</v>
      </c>
      <c r="H2197" s="26" t="n">
        <v>44397</v>
      </c>
      <c r="I2197" s="26" t="n">
        <v>44400</v>
      </c>
      <c r="J2197" s="12" t="n">
        <v>31.38</v>
      </c>
      <c r="K2197" s="17" t="n">
        <v>2925471.03</v>
      </c>
      <c r="L2197" s="12" t="n">
        <v>0</v>
      </c>
      <c r="M2197" s="12" t="n">
        <v>10</v>
      </c>
      <c r="N2197" s="27">
        <f>F2197-J2197</f>
        <v/>
      </c>
      <c r="O2197" s="16">
        <f>I2197-H2197</f>
        <v/>
      </c>
      <c r="P2197" s="14">
        <f>F2197*G2197</f>
        <v/>
      </c>
      <c r="Q2197" s="14">
        <f>J2197*G2197</f>
        <v/>
      </c>
      <c r="R2197" s="14">
        <f>K2197-Q2197</f>
        <v/>
      </c>
      <c r="S2197" s="3">
        <f>P2197*Assumptions!$B$3/100</f>
        <v/>
      </c>
      <c r="T2197" s="14">
        <f>R2197-S2197</f>
        <v/>
      </c>
      <c r="U2197" s="14">
        <f>L2197*G2197</f>
        <v/>
      </c>
    </row>
    <row r="2198">
      <c r="A2198" s="12" t="inlineStr">
        <is>
          <t>PO-2022-2196</t>
        </is>
      </c>
      <c r="B2198" s="26" t="n">
        <v>44980</v>
      </c>
      <c r="C2198" s="12" t="inlineStr">
        <is>
          <t>VS13</t>
        </is>
      </c>
      <c r="D2198" s="12" t="inlineStr">
        <is>
          <t>CR Sheets</t>
        </is>
      </c>
      <c r="E2198" s="12" t="inlineStr">
        <is>
          <t>Y</t>
        </is>
      </c>
      <c r="F2198" s="12" t="n">
        <v>42.94</v>
      </c>
      <c r="G2198" s="17" t="n">
        <v>81408.05</v>
      </c>
      <c r="H2198" s="26" t="n">
        <v>44988</v>
      </c>
      <c r="I2198" s="26" t="n">
        <v>44991</v>
      </c>
      <c r="J2198" s="12" t="n">
        <v>42.69</v>
      </c>
      <c r="K2198" s="17" t="n">
        <v>3495661.67</v>
      </c>
      <c r="L2198" s="12" t="n">
        <v>0</v>
      </c>
      <c r="M2198" s="12" t="n">
        <v>6</v>
      </c>
      <c r="N2198" s="27">
        <f>F2198-J2198</f>
        <v/>
      </c>
      <c r="O2198" s="16">
        <f>I2198-H2198</f>
        <v/>
      </c>
      <c r="P2198" s="14">
        <f>F2198*G2198</f>
        <v/>
      </c>
      <c r="Q2198" s="14">
        <f>J2198*G2198</f>
        <v/>
      </c>
      <c r="R2198" s="14">
        <f>K2198-Q2198</f>
        <v/>
      </c>
      <c r="S2198" s="3">
        <f>P2198*Assumptions!$B$3/100</f>
        <v/>
      </c>
      <c r="T2198" s="14">
        <f>R2198-S2198</f>
        <v/>
      </c>
      <c r="U2198" s="14">
        <f>L2198*G2198</f>
        <v/>
      </c>
    </row>
    <row r="2199">
      <c r="A2199" s="12" t="inlineStr">
        <is>
          <t>PO-2022-2197</t>
        </is>
      </c>
      <c r="B2199" s="26" t="n">
        <v>45093</v>
      </c>
      <c r="C2199" s="12" t="inlineStr">
        <is>
          <t>VS24</t>
        </is>
      </c>
      <c r="D2199" s="12" t="inlineStr">
        <is>
          <t>MS Sheets</t>
        </is>
      </c>
      <c r="E2199" s="12" t="inlineStr">
        <is>
          <t>N</t>
        </is>
      </c>
      <c r="F2199" s="12" t="n">
        <v>48.01</v>
      </c>
      <c r="G2199" s="17" t="n">
        <v>69206.98</v>
      </c>
      <c r="H2199" s="26" t="n">
        <v>45097</v>
      </c>
      <c r="I2199" s="26" t="n">
        <v>45100</v>
      </c>
      <c r="J2199" s="12" t="n">
        <v>47.97</v>
      </c>
      <c r="K2199" s="17" t="n">
        <v>3322627.11</v>
      </c>
      <c r="L2199" s="12" t="n">
        <v>0</v>
      </c>
      <c r="M2199" s="12" t="n">
        <v>21</v>
      </c>
      <c r="N2199" s="27">
        <f>F2199-J2199</f>
        <v/>
      </c>
      <c r="O2199" s="16">
        <f>I2199-H2199</f>
        <v/>
      </c>
      <c r="P2199" s="14">
        <f>F2199*G2199</f>
        <v/>
      </c>
      <c r="Q2199" s="14">
        <f>J2199*G2199</f>
        <v/>
      </c>
      <c r="R2199" s="14">
        <f>K2199-Q2199</f>
        <v/>
      </c>
      <c r="S2199" s="3">
        <f>P2199*Assumptions!$B$3/100</f>
        <v/>
      </c>
      <c r="T2199" s="14">
        <f>R2199-S2199</f>
        <v/>
      </c>
      <c r="U2199" s="14">
        <f>L2199*G2199</f>
        <v/>
      </c>
    </row>
    <row r="2200">
      <c r="A2200" s="12" t="inlineStr">
        <is>
          <t>PO-2022-2198</t>
        </is>
      </c>
      <c r="B2200" s="26" t="n">
        <v>44585</v>
      </c>
      <c r="C2200" s="12" t="inlineStr">
        <is>
          <t>VS20</t>
        </is>
      </c>
      <c r="D2200" s="12" t="inlineStr">
        <is>
          <t>Hex Bars</t>
        </is>
      </c>
      <c r="E2200" s="12" t="inlineStr">
        <is>
          <t>N</t>
        </is>
      </c>
      <c r="F2200" s="12" t="n">
        <v>35.31</v>
      </c>
      <c r="G2200" s="17" t="n">
        <v>87036.39999999999</v>
      </c>
      <c r="H2200" s="26" t="n">
        <v>44600</v>
      </c>
      <c r="I2200" s="26" t="n">
        <v>44601</v>
      </c>
      <c r="J2200" s="12" t="n">
        <v>35.13</v>
      </c>
      <c r="K2200" s="17" t="n">
        <v>3073255.28</v>
      </c>
      <c r="L2200" s="12" t="n">
        <v>0</v>
      </c>
      <c r="M2200" s="12" t="n">
        <v>0</v>
      </c>
      <c r="N2200" s="27">
        <f>F2200-J2200</f>
        <v/>
      </c>
      <c r="O2200" s="16">
        <f>I2200-H2200</f>
        <v/>
      </c>
      <c r="P2200" s="14">
        <f>F2200*G2200</f>
        <v/>
      </c>
      <c r="Q2200" s="14">
        <f>J2200*G2200</f>
        <v/>
      </c>
      <c r="R2200" s="14">
        <f>K2200-Q2200</f>
        <v/>
      </c>
      <c r="S2200" s="3">
        <f>P2200*Assumptions!$B$3/100</f>
        <v/>
      </c>
      <c r="T2200" s="14">
        <f>R2200-S2200</f>
        <v/>
      </c>
      <c r="U2200" s="14">
        <f>L2200*G2200</f>
        <v/>
      </c>
    </row>
    <row r="2201">
      <c r="A2201" s="12" t="inlineStr">
        <is>
          <t>PO-2022-2199</t>
        </is>
      </c>
      <c r="B2201" s="26" t="n">
        <v>44561</v>
      </c>
      <c r="C2201" s="12" t="inlineStr">
        <is>
          <t>VS26</t>
        </is>
      </c>
      <c r="D2201" s="12" t="inlineStr">
        <is>
          <t>SS Pipes</t>
        </is>
      </c>
      <c r="E2201" s="12" t="inlineStr">
        <is>
          <t>N</t>
        </is>
      </c>
      <c r="F2201" s="12" t="n">
        <v>10.73</v>
      </c>
      <c r="G2201" s="17" t="n">
        <v>51790.67</v>
      </c>
      <c r="H2201" s="26" t="n">
        <v>44573</v>
      </c>
      <c r="I2201" s="26" t="n">
        <v>44573</v>
      </c>
      <c r="J2201" s="12" t="n">
        <v>10.64</v>
      </c>
      <c r="K2201" s="17" t="n">
        <v>555713.89</v>
      </c>
      <c r="L2201" s="12" t="n">
        <v>0</v>
      </c>
      <c r="M2201" s="12" t="n">
        <v>0</v>
      </c>
      <c r="N2201" s="27">
        <f>F2201-J2201</f>
        <v/>
      </c>
      <c r="O2201" s="16">
        <f>I2201-H2201</f>
        <v/>
      </c>
      <c r="P2201" s="14">
        <f>F2201*G2201</f>
        <v/>
      </c>
      <c r="Q2201" s="14">
        <f>J2201*G2201</f>
        <v/>
      </c>
      <c r="R2201" s="14">
        <f>K2201-Q2201</f>
        <v/>
      </c>
      <c r="S2201" s="3">
        <f>P2201*Assumptions!$B$3/100</f>
        <v/>
      </c>
      <c r="T2201" s="14">
        <f>R2201-S2201</f>
        <v/>
      </c>
      <c r="U2201" s="14">
        <f>L2201*G2201</f>
        <v/>
      </c>
    </row>
    <row r="2202">
      <c r="A2202" s="12" t="inlineStr">
        <is>
          <t>PO-2022-2200</t>
        </is>
      </c>
      <c r="B2202" s="26" t="n">
        <v>45025</v>
      </c>
      <c r="C2202" s="12" t="inlineStr">
        <is>
          <t>VS17</t>
        </is>
      </c>
      <c r="D2202" s="12" t="inlineStr">
        <is>
          <t>Square/Rect Tubes</t>
        </is>
      </c>
      <c r="E2202" s="12" t="inlineStr">
        <is>
          <t>N</t>
        </is>
      </c>
      <c r="F2202" s="12" t="n">
        <v>36.08</v>
      </c>
      <c r="G2202" s="17" t="n">
        <v>84962.08</v>
      </c>
      <c r="H2202" s="26" t="n">
        <v>45034</v>
      </c>
      <c r="I2202" s="26" t="n">
        <v>45034</v>
      </c>
      <c r="J2202" s="12" t="n">
        <v>35.91</v>
      </c>
      <c r="K2202" s="17" t="n">
        <v>3065431.85</v>
      </c>
      <c r="L2202" s="12" t="n">
        <v>0</v>
      </c>
      <c r="M2202" s="12" t="n">
        <v>0</v>
      </c>
      <c r="N2202" s="27">
        <f>F2202-J2202</f>
        <v/>
      </c>
      <c r="O2202" s="16">
        <f>I2202-H2202</f>
        <v/>
      </c>
      <c r="P2202" s="14">
        <f>F2202*G2202</f>
        <v/>
      </c>
      <c r="Q2202" s="14">
        <f>J2202*G2202</f>
        <v/>
      </c>
      <c r="R2202" s="14">
        <f>K2202-Q2202</f>
        <v/>
      </c>
      <c r="S2202" s="3">
        <f>P2202*Assumptions!$B$3/100</f>
        <v/>
      </c>
      <c r="T2202" s="14">
        <f>R2202-S2202</f>
        <v/>
      </c>
      <c r="U2202" s="14">
        <f>L2202*G2202</f>
        <v/>
      </c>
    </row>
    <row r="2203">
      <c r="A2203" s="12" t="inlineStr">
        <is>
          <t>PO-2022-2201</t>
        </is>
      </c>
      <c r="B2203" s="26" t="n">
        <v>44469</v>
      </c>
      <c r="C2203" s="12" t="inlineStr">
        <is>
          <t>VS25</t>
        </is>
      </c>
      <c r="D2203" s="12" t="inlineStr">
        <is>
          <t>ERW Pipes</t>
        </is>
      </c>
      <c r="E2203" s="12" t="inlineStr">
        <is>
          <t>N</t>
        </is>
      </c>
      <c r="F2203" s="12" t="n">
        <v>42.41</v>
      </c>
      <c r="G2203" s="17" t="n">
        <v>100221.18</v>
      </c>
      <c r="H2203" s="26" t="n">
        <v>44484</v>
      </c>
      <c r="I2203" s="26" t="n">
        <v>44485</v>
      </c>
      <c r="J2203" s="12" t="n">
        <v>42.25</v>
      </c>
      <c r="K2203" s="17" t="n">
        <v>4250380.24</v>
      </c>
      <c r="L2203" s="12" t="n">
        <v>0</v>
      </c>
      <c r="M2203" s="12" t="n">
        <v>16</v>
      </c>
      <c r="N2203" s="27">
        <f>F2203-J2203</f>
        <v/>
      </c>
      <c r="O2203" s="16">
        <f>I2203-H2203</f>
        <v/>
      </c>
      <c r="P2203" s="14">
        <f>F2203*G2203</f>
        <v/>
      </c>
      <c r="Q2203" s="14">
        <f>J2203*G2203</f>
        <v/>
      </c>
      <c r="R2203" s="14">
        <f>K2203-Q2203</f>
        <v/>
      </c>
      <c r="S2203" s="3">
        <f>P2203*Assumptions!$B$3/100</f>
        <v/>
      </c>
      <c r="T2203" s="14">
        <f>R2203-S2203</f>
        <v/>
      </c>
      <c r="U2203" s="14">
        <f>L2203*G2203</f>
        <v/>
      </c>
    </row>
    <row r="2204">
      <c r="A2204" s="12" t="inlineStr">
        <is>
          <t>PO-2022-2202</t>
        </is>
      </c>
      <c r="B2204" s="26" t="n">
        <v>44798</v>
      </c>
      <c r="C2204" s="12" t="inlineStr">
        <is>
          <t>VS06</t>
        </is>
      </c>
      <c r="D2204" s="12" t="inlineStr">
        <is>
          <t>MS Flats</t>
        </is>
      </c>
      <c r="E2204" s="12" t="inlineStr">
        <is>
          <t>N</t>
        </is>
      </c>
      <c r="F2204" s="12" t="n">
        <v>49.97</v>
      </c>
      <c r="G2204" s="17" t="n">
        <v>78190.2</v>
      </c>
      <c r="H2204" s="26" t="n">
        <v>44801</v>
      </c>
      <c r="I2204" s="26" t="n">
        <v>44802</v>
      </c>
      <c r="J2204" s="12" t="n">
        <v>49.49</v>
      </c>
      <c r="K2204" s="17" t="n">
        <v>3907164.29</v>
      </c>
      <c r="L2204" s="12" t="n">
        <v>0</v>
      </c>
      <c r="M2204" s="12" t="n">
        <v>14</v>
      </c>
      <c r="N2204" s="27">
        <f>F2204-J2204</f>
        <v/>
      </c>
      <c r="O2204" s="16">
        <f>I2204-H2204</f>
        <v/>
      </c>
      <c r="P2204" s="14">
        <f>F2204*G2204</f>
        <v/>
      </c>
      <c r="Q2204" s="14">
        <f>J2204*G2204</f>
        <v/>
      </c>
      <c r="R2204" s="14">
        <f>K2204-Q2204</f>
        <v/>
      </c>
      <c r="S2204" s="3">
        <f>P2204*Assumptions!$B$3/100</f>
        <v/>
      </c>
      <c r="T2204" s="14">
        <f>R2204-S2204</f>
        <v/>
      </c>
      <c r="U2204" s="14">
        <f>L2204*G2204</f>
        <v/>
      </c>
    </row>
    <row r="2205">
      <c r="A2205" s="12" t="inlineStr">
        <is>
          <t>PO-2022-2203</t>
        </is>
      </c>
      <c r="B2205" s="26" t="n">
        <v>44700</v>
      </c>
      <c r="C2205" s="12" t="inlineStr">
        <is>
          <t>VS10</t>
        </is>
      </c>
      <c r="D2205" s="12" t="inlineStr">
        <is>
          <t>CR Sheets</t>
        </is>
      </c>
      <c r="E2205" s="12" t="inlineStr">
        <is>
          <t>N</t>
        </is>
      </c>
      <c r="F2205" s="12" t="n">
        <v>2.29</v>
      </c>
      <c r="G2205" s="17" t="n">
        <v>61835.15</v>
      </c>
      <c r="H2205" s="26" t="n">
        <v>44714</v>
      </c>
      <c r="I2205" s="26" t="n">
        <v>44717</v>
      </c>
      <c r="J2205" s="12" t="n">
        <v>2.27</v>
      </c>
      <c r="K2205" s="17" t="n">
        <v>141602.49</v>
      </c>
      <c r="L2205" s="12" t="n">
        <v>0</v>
      </c>
      <c r="M2205" s="12" t="n">
        <v>1</v>
      </c>
      <c r="N2205" s="27">
        <f>F2205-J2205</f>
        <v/>
      </c>
      <c r="O2205" s="16">
        <f>I2205-H2205</f>
        <v/>
      </c>
      <c r="P2205" s="14">
        <f>F2205*G2205</f>
        <v/>
      </c>
      <c r="Q2205" s="14">
        <f>J2205*G2205</f>
        <v/>
      </c>
      <c r="R2205" s="14">
        <f>K2205-Q2205</f>
        <v/>
      </c>
      <c r="S2205" s="3">
        <f>P2205*Assumptions!$B$3/100</f>
        <v/>
      </c>
      <c r="T2205" s="14">
        <f>R2205-S2205</f>
        <v/>
      </c>
      <c r="U2205" s="14">
        <f>L2205*G2205</f>
        <v/>
      </c>
    </row>
    <row r="2206">
      <c r="A2206" s="12" t="inlineStr">
        <is>
          <t>PO-2022-2204</t>
        </is>
      </c>
      <c r="B2206" s="26" t="n">
        <v>44645</v>
      </c>
      <c r="C2206" s="12" t="inlineStr">
        <is>
          <t>VS16</t>
        </is>
      </c>
      <c r="D2206" s="12" t="inlineStr">
        <is>
          <t>HR Coils</t>
        </is>
      </c>
      <c r="E2206" s="12" t="inlineStr">
        <is>
          <t>Y</t>
        </is>
      </c>
      <c r="F2206" s="12" t="n">
        <v>22.58</v>
      </c>
      <c r="G2206" s="17" t="n">
        <v>105864.4</v>
      </c>
      <c r="H2206" s="26" t="n">
        <v>44650</v>
      </c>
      <c r="I2206" s="26" t="n">
        <v>44652</v>
      </c>
      <c r="J2206" s="12" t="n">
        <v>22.38</v>
      </c>
      <c r="K2206" s="17" t="n">
        <v>2390418.15</v>
      </c>
      <c r="L2206" s="12" t="n">
        <v>0</v>
      </c>
      <c r="M2206" s="12" t="n">
        <v>18</v>
      </c>
      <c r="N2206" s="27">
        <f>F2206-J2206</f>
        <v/>
      </c>
      <c r="O2206" s="16">
        <f>I2206-H2206</f>
        <v/>
      </c>
      <c r="P2206" s="14">
        <f>F2206*G2206</f>
        <v/>
      </c>
      <c r="Q2206" s="14">
        <f>J2206*G2206</f>
        <v/>
      </c>
      <c r="R2206" s="14">
        <f>K2206-Q2206</f>
        <v/>
      </c>
      <c r="S2206" s="3">
        <f>P2206*Assumptions!$B$3/100</f>
        <v/>
      </c>
      <c r="T2206" s="14">
        <f>R2206-S2206</f>
        <v/>
      </c>
      <c r="U2206" s="14">
        <f>L2206*G2206</f>
        <v/>
      </c>
    </row>
    <row r="2207">
      <c r="A2207" s="12" t="inlineStr">
        <is>
          <t>PO-2022-2205</t>
        </is>
      </c>
      <c r="B2207" s="26" t="n">
        <v>44222</v>
      </c>
      <c r="C2207" s="12" t="inlineStr">
        <is>
          <t>VS19</t>
        </is>
      </c>
      <c r="D2207" s="12" t="inlineStr">
        <is>
          <t>HR Coils</t>
        </is>
      </c>
      <c r="E2207" s="12" t="inlineStr">
        <is>
          <t>N</t>
        </is>
      </c>
      <c r="F2207" s="12" t="n">
        <v>48.26</v>
      </c>
      <c r="G2207" s="17" t="n">
        <v>113687.44</v>
      </c>
      <c r="H2207" s="26" t="n">
        <v>44232</v>
      </c>
      <c r="I2207" s="26" t="n">
        <v>44236</v>
      </c>
      <c r="J2207" s="12" t="n">
        <v>46.92</v>
      </c>
      <c r="K2207" s="17" t="n">
        <v>5486555.85</v>
      </c>
      <c r="L2207" s="12" t="n">
        <v>0.96</v>
      </c>
      <c r="M2207" s="12" t="n">
        <v>0</v>
      </c>
      <c r="N2207" s="27">
        <f>F2207-J2207</f>
        <v/>
      </c>
      <c r="O2207" s="16">
        <f>I2207-H2207</f>
        <v/>
      </c>
      <c r="P2207" s="14">
        <f>F2207*G2207</f>
        <v/>
      </c>
      <c r="Q2207" s="14">
        <f>J2207*G2207</f>
        <v/>
      </c>
      <c r="R2207" s="14">
        <f>K2207-Q2207</f>
        <v/>
      </c>
      <c r="S2207" s="3">
        <f>P2207*Assumptions!$B$3/100</f>
        <v/>
      </c>
      <c r="T2207" s="14">
        <f>R2207-S2207</f>
        <v/>
      </c>
      <c r="U2207" s="14">
        <f>L2207*G2207</f>
        <v/>
      </c>
    </row>
    <row r="2208">
      <c r="A2208" s="12" t="inlineStr">
        <is>
          <t>PO-2022-2206</t>
        </is>
      </c>
      <c r="B2208" s="26" t="n">
        <v>45095</v>
      </c>
      <c r="C2208" s="12" t="inlineStr">
        <is>
          <t>VS27</t>
        </is>
      </c>
      <c r="D2208" s="12" t="inlineStr">
        <is>
          <t>Spring Steel</t>
        </is>
      </c>
      <c r="E2208" s="12" t="inlineStr">
        <is>
          <t>N</t>
        </is>
      </c>
      <c r="F2208" s="12" t="n">
        <v>28.01</v>
      </c>
      <c r="G2208" s="17" t="n">
        <v>87606.42999999999</v>
      </c>
      <c r="H2208" s="26" t="n">
        <v>45104</v>
      </c>
      <c r="I2208" s="26" t="n">
        <v>45104</v>
      </c>
      <c r="J2208" s="12" t="n">
        <v>27.91</v>
      </c>
      <c r="K2208" s="17" t="n">
        <v>2453856.1</v>
      </c>
      <c r="L2208" s="12" t="n">
        <v>0</v>
      </c>
      <c r="M2208" s="12" t="n">
        <v>15</v>
      </c>
      <c r="N2208" s="27">
        <f>F2208-J2208</f>
        <v/>
      </c>
      <c r="O2208" s="16">
        <f>I2208-H2208</f>
        <v/>
      </c>
      <c r="P2208" s="14">
        <f>F2208*G2208</f>
        <v/>
      </c>
      <c r="Q2208" s="14">
        <f>J2208*G2208</f>
        <v/>
      </c>
      <c r="R2208" s="14">
        <f>K2208-Q2208</f>
        <v/>
      </c>
      <c r="S2208" s="3">
        <f>P2208*Assumptions!$B$3/100</f>
        <v/>
      </c>
      <c r="T2208" s="14">
        <f>R2208-S2208</f>
        <v/>
      </c>
      <c r="U2208" s="14">
        <f>L2208*G2208</f>
        <v/>
      </c>
    </row>
    <row r="2209">
      <c r="A2209" s="12" t="inlineStr">
        <is>
          <t>PO-2022-2207</t>
        </is>
      </c>
      <c r="B2209" s="26" t="n">
        <v>44578</v>
      </c>
      <c r="C2209" s="12" t="inlineStr">
        <is>
          <t>VS34</t>
        </is>
      </c>
      <c r="D2209" s="12" t="inlineStr">
        <is>
          <t>MS Rods</t>
        </is>
      </c>
      <c r="E2209" s="12" t="inlineStr">
        <is>
          <t>N</t>
        </is>
      </c>
      <c r="F2209" s="12" t="n">
        <v>31.74</v>
      </c>
      <c r="G2209" s="17" t="n">
        <v>111645.31</v>
      </c>
      <c r="H2209" s="26" t="n">
        <v>44587</v>
      </c>
      <c r="I2209" s="26" t="n">
        <v>44588</v>
      </c>
      <c r="J2209" s="12" t="n">
        <v>31.51</v>
      </c>
      <c r="K2209" s="17" t="n">
        <v>3543622.14</v>
      </c>
      <c r="L2209" s="12" t="n">
        <v>0</v>
      </c>
      <c r="M2209" s="12" t="n">
        <v>11</v>
      </c>
      <c r="N2209" s="27">
        <f>F2209-J2209</f>
        <v/>
      </c>
      <c r="O2209" s="16">
        <f>I2209-H2209</f>
        <v/>
      </c>
      <c r="P2209" s="14">
        <f>F2209*G2209</f>
        <v/>
      </c>
      <c r="Q2209" s="14">
        <f>J2209*G2209</f>
        <v/>
      </c>
      <c r="R2209" s="14">
        <f>K2209-Q2209</f>
        <v/>
      </c>
      <c r="S2209" s="3">
        <f>P2209*Assumptions!$B$3/100</f>
        <v/>
      </c>
      <c r="T2209" s="14">
        <f>R2209-S2209</f>
        <v/>
      </c>
      <c r="U2209" s="14">
        <f>L2209*G2209</f>
        <v/>
      </c>
    </row>
    <row r="2210">
      <c r="A2210" s="12" t="inlineStr">
        <is>
          <t>PO-2022-2208</t>
        </is>
      </c>
      <c r="B2210" s="26" t="n">
        <v>44732</v>
      </c>
      <c r="C2210" s="12" t="inlineStr">
        <is>
          <t>VS24</t>
        </is>
      </c>
      <c r="D2210" s="12" t="inlineStr">
        <is>
          <t>CR Sheets</t>
        </is>
      </c>
      <c r="E2210" s="12" t="inlineStr">
        <is>
          <t>N</t>
        </is>
      </c>
      <c r="F2210" s="12" t="n">
        <v>22.13</v>
      </c>
      <c r="G2210" s="17" t="n">
        <v>72338.59</v>
      </c>
      <c r="H2210" s="26" t="n">
        <v>44738</v>
      </c>
      <c r="I2210" s="26" t="n">
        <v>44738</v>
      </c>
      <c r="J2210" s="12" t="n">
        <v>22.02</v>
      </c>
      <c r="K2210" s="17" t="n">
        <v>1600853</v>
      </c>
      <c r="L2210" s="12" t="n">
        <v>0</v>
      </c>
      <c r="M2210" s="12" t="n">
        <v>0</v>
      </c>
      <c r="N2210" s="27">
        <f>F2210-J2210</f>
        <v/>
      </c>
      <c r="O2210" s="16">
        <f>I2210-H2210</f>
        <v/>
      </c>
      <c r="P2210" s="14">
        <f>F2210*G2210</f>
        <v/>
      </c>
      <c r="Q2210" s="14">
        <f>J2210*G2210</f>
        <v/>
      </c>
      <c r="R2210" s="14">
        <f>K2210-Q2210</f>
        <v/>
      </c>
      <c r="S2210" s="3">
        <f>P2210*Assumptions!$B$3/100</f>
        <v/>
      </c>
      <c r="T2210" s="14">
        <f>R2210-S2210</f>
        <v/>
      </c>
      <c r="U2210" s="14">
        <f>L2210*G2210</f>
        <v/>
      </c>
    </row>
    <row r="2211">
      <c r="A2211" s="12" t="inlineStr">
        <is>
          <t>PO-2022-2209</t>
        </is>
      </c>
      <c r="B2211" s="26" t="n">
        <v>44852</v>
      </c>
      <c r="C2211" s="12" t="inlineStr">
        <is>
          <t>VS23</t>
        </is>
      </c>
      <c r="D2211" s="12" t="inlineStr">
        <is>
          <t>SS Pipes</t>
        </is>
      </c>
      <c r="E2211" s="12" t="inlineStr">
        <is>
          <t>N</t>
        </is>
      </c>
      <c r="F2211" s="12" t="n">
        <v>47.95</v>
      </c>
      <c r="G2211" s="17" t="n">
        <v>55086.96</v>
      </c>
      <c r="H2211" s="26" t="n">
        <v>44866</v>
      </c>
      <c r="I2211" s="26" t="n">
        <v>44869</v>
      </c>
      <c r="J2211" s="12" t="n">
        <v>47.84</v>
      </c>
      <c r="K2211" s="17" t="n">
        <v>2641419.73</v>
      </c>
      <c r="L2211" s="12" t="n">
        <v>0</v>
      </c>
      <c r="M2211" s="12" t="n">
        <v>0</v>
      </c>
      <c r="N2211" s="27">
        <f>F2211-J2211</f>
        <v/>
      </c>
      <c r="O2211" s="16">
        <f>I2211-H2211</f>
        <v/>
      </c>
      <c r="P2211" s="14">
        <f>F2211*G2211</f>
        <v/>
      </c>
      <c r="Q2211" s="14">
        <f>J2211*G2211</f>
        <v/>
      </c>
      <c r="R2211" s="14">
        <f>K2211-Q2211</f>
        <v/>
      </c>
      <c r="S2211" s="3">
        <f>P2211*Assumptions!$B$3/100</f>
        <v/>
      </c>
      <c r="T2211" s="14">
        <f>R2211-S2211</f>
        <v/>
      </c>
      <c r="U2211" s="14">
        <f>L2211*G2211</f>
        <v/>
      </c>
    </row>
    <row r="2212">
      <c r="A2212" s="12" t="inlineStr">
        <is>
          <t>PO-2022-2210</t>
        </is>
      </c>
      <c r="B2212" s="26" t="n">
        <v>44702</v>
      </c>
      <c r="C2212" s="12" t="inlineStr">
        <is>
          <t>VS09</t>
        </is>
      </c>
      <c r="D2212" s="12" t="inlineStr">
        <is>
          <t>ERW Pipes</t>
        </is>
      </c>
      <c r="E2212" s="12" t="inlineStr">
        <is>
          <t>N</t>
        </is>
      </c>
      <c r="F2212" s="12" t="n">
        <v>49.07</v>
      </c>
      <c r="G2212" s="17" t="n">
        <v>103816.4</v>
      </c>
      <c r="H2212" s="26" t="n">
        <v>44713</v>
      </c>
      <c r="I2212" s="26" t="n">
        <v>44713</v>
      </c>
      <c r="J2212" s="12" t="n">
        <v>48.7</v>
      </c>
      <c r="K2212" s="17" t="n">
        <v>5094270.75</v>
      </c>
      <c r="L2212" s="12" t="n">
        <v>0</v>
      </c>
      <c r="M2212" s="12" t="n">
        <v>0</v>
      </c>
      <c r="N2212" s="27">
        <f>F2212-J2212</f>
        <v/>
      </c>
      <c r="O2212" s="16">
        <f>I2212-H2212</f>
        <v/>
      </c>
      <c r="P2212" s="14">
        <f>F2212*G2212</f>
        <v/>
      </c>
      <c r="Q2212" s="14">
        <f>J2212*G2212</f>
        <v/>
      </c>
      <c r="R2212" s="14">
        <f>K2212-Q2212</f>
        <v/>
      </c>
      <c r="S2212" s="3">
        <f>P2212*Assumptions!$B$3/100</f>
        <v/>
      </c>
      <c r="T2212" s="14">
        <f>R2212-S2212</f>
        <v/>
      </c>
      <c r="U2212" s="14">
        <f>L2212*G2212</f>
        <v/>
      </c>
    </row>
    <row r="2213">
      <c r="A2213" s="12" t="inlineStr">
        <is>
          <t>PO-2022-2211</t>
        </is>
      </c>
      <c r="B2213" s="26" t="n">
        <v>45171</v>
      </c>
      <c r="C2213" s="12" t="inlineStr">
        <is>
          <t>VS21</t>
        </is>
      </c>
      <c r="D2213" s="12" t="inlineStr">
        <is>
          <t>ERW Pipes</t>
        </is>
      </c>
      <c r="E2213" s="12" t="inlineStr">
        <is>
          <t>Y</t>
        </is>
      </c>
      <c r="F2213" s="12" t="n">
        <v>40.56</v>
      </c>
      <c r="G2213" s="17" t="n">
        <v>90306.87</v>
      </c>
      <c r="H2213" s="26" t="n">
        <v>45185</v>
      </c>
      <c r="I2213" s="26" t="n">
        <v>45185</v>
      </c>
      <c r="J2213" s="12" t="n">
        <v>40.3</v>
      </c>
      <c r="K2213" s="17" t="n">
        <v>3662846.65</v>
      </c>
      <c r="L2213" s="12" t="n">
        <v>0</v>
      </c>
      <c r="M2213" s="12" t="n">
        <v>8</v>
      </c>
      <c r="N2213" s="27">
        <f>F2213-J2213</f>
        <v/>
      </c>
      <c r="O2213" s="16">
        <f>I2213-H2213</f>
        <v/>
      </c>
      <c r="P2213" s="14">
        <f>F2213*G2213</f>
        <v/>
      </c>
      <c r="Q2213" s="14">
        <f>J2213*G2213</f>
        <v/>
      </c>
      <c r="R2213" s="14">
        <f>K2213-Q2213</f>
        <v/>
      </c>
      <c r="S2213" s="3">
        <f>P2213*Assumptions!$B$3/100</f>
        <v/>
      </c>
      <c r="T2213" s="14">
        <f>R2213-S2213</f>
        <v/>
      </c>
      <c r="U2213" s="14">
        <f>L2213*G2213</f>
        <v/>
      </c>
    </row>
    <row r="2214">
      <c r="A2214" s="12" t="inlineStr">
        <is>
          <t>PO-2022-2212</t>
        </is>
      </c>
      <c r="B2214" s="26" t="n">
        <v>44910</v>
      </c>
      <c r="C2214" s="12" t="inlineStr">
        <is>
          <t>VS15</t>
        </is>
      </c>
      <c r="D2214" s="12" t="inlineStr">
        <is>
          <t>Fasteners &amp; Fittings</t>
        </is>
      </c>
      <c r="E2214" s="12" t="inlineStr">
        <is>
          <t>N</t>
        </is>
      </c>
      <c r="F2214" s="12" t="n">
        <v>14.19</v>
      </c>
      <c r="G2214" s="17" t="n">
        <v>107746.01</v>
      </c>
      <c r="H2214" s="26" t="n">
        <v>44920</v>
      </c>
      <c r="I2214" s="26" t="n">
        <v>44922</v>
      </c>
      <c r="J2214" s="12" t="n">
        <v>14.12</v>
      </c>
      <c r="K2214" s="17" t="n">
        <v>1528915.88</v>
      </c>
      <c r="L2214" s="12" t="n">
        <v>0</v>
      </c>
      <c r="M2214" s="12" t="n">
        <v>1</v>
      </c>
      <c r="N2214" s="27">
        <f>F2214-J2214</f>
        <v/>
      </c>
      <c r="O2214" s="16">
        <f>I2214-H2214</f>
        <v/>
      </c>
      <c r="P2214" s="14">
        <f>F2214*G2214</f>
        <v/>
      </c>
      <c r="Q2214" s="14">
        <f>J2214*G2214</f>
        <v/>
      </c>
      <c r="R2214" s="14">
        <f>K2214-Q2214</f>
        <v/>
      </c>
      <c r="S2214" s="3">
        <f>P2214*Assumptions!$B$3/100</f>
        <v/>
      </c>
      <c r="T2214" s="14">
        <f>R2214-S2214</f>
        <v/>
      </c>
      <c r="U2214" s="14">
        <f>L2214*G2214</f>
        <v/>
      </c>
    </row>
    <row r="2215">
      <c r="A2215" s="12" t="inlineStr">
        <is>
          <t>PO-2022-2213</t>
        </is>
      </c>
      <c r="B2215" s="26" t="n">
        <v>45093</v>
      </c>
      <c r="C2215" s="12" t="inlineStr">
        <is>
          <t>VS32</t>
        </is>
      </c>
      <c r="D2215" s="12" t="inlineStr">
        <is>
          <t>GI Wire</t>
        </is>
      </c>
      <c r="E2215" s="12" t="inlineStr">
        <is>
          <t>N</t>
        </is>
      </c>
      <c r="F2215" s="12" t="n">
        <v>4.17</v>
      </c>
      <c r="G2215" s="17" t="n">
        <v>119684.14</v>
      </c>
      <c r="H2215" s="26" t="n">
        <v>45096</v>
      </c>
      <c r="I2215" s="26" t="n">
        <v>45097</v>
      </c>
      <c r="J2215" s="12" t="n">
        <v>4.17</v>
      </c>
      <c r="K2215" s="17" t="n">
        <v>499082.86</v>
      </c>
      <c r="L2215" s="12" t="n">
        <v>0</v>
      </c>
      <c r="M2215" s="12" t="n">
        <v>22</v>
      </c>
      <c r="N2215" s="27">
        <f>F2215-J2215</f>
        <v/>
      </c>
      <c r="O2215" s="16">
        <f>I2215-H2215</f>
        <v/>
      </c>
      <c r="P2215" s="14">
        <f>F2215*G2215</f>
        <v/>
      </c>
      <c r="Q2215" s="14">
        <f>J2215*G2215</f>
        <v/>
      </c>
      <c r="R2215" s="14">
        <f>K2215-Q2215</f>
        <v/>
      </c>
      <c r="S2215" s="3">
        <f>P2215*Assumptions!$B$3/100</f>
        <v/>
      </c>
      <c r="T2215" s="14">
        <f>R2215-S2215</f>
        <v/>
      </c>
      <c r="U2215" s="14">
        <f>L2215*G2215</f>
        <v/>
      </c>
    </row>
    <row r="2216">
      <c r="A2216" s="12" t="inlineStr">
        <is>
          <t>PO-2022-2214</t>
        </is>
      </c>
      <c r="B2216" s="26" t="n">
        <v>45115</v>
      </c>
      <c r="C2216" s="12" t="inlineStr">
        <is>
          <t>VS04</t>
        </is>
      </c>
      <c r="D2216" s="12" t="inlineStr">
        <is>
          <t>Angles &amp; Channels</t>
        </is>
      </c>
      <c r="E2216" s="12" t="inlineStr">
        <is>
          <t>N</t>
        </is>
      </c>
      <c r="F2216" s="12" t="n">
        <v>24.35</v>
      </c>
      <c r="G2216" s="17" t="n">
        <v>97973.17999999999</v>
      </c>
      <c r="H2216" s="26" t="n">
        <v>45119</v>
      </c>
      <c r="I2216" s="26" t="n">
        <v>45121</v>
      </c>
      <c r="J2216" s="12" t="n">
        <v>24.16</v>
      </c>
      <c r="K2216" s="17" t="n">
        <v>2385646.93</v>
      </c>
      <c r="L2216" s="12" t="n">
        <v>0</v>
      </c>
      <c r="M2216" s="12" t="n">
        <v>24</v>
      </c>
      <c r="N2216" s="27">
        <f>F2216-J2216</f>
        <v/>
      </c>
      <c r="O2216" s="16">
        <f>I2216-H2216</f>
        <v/>
      </c>
      <c r="P2216" s="14">
        <f>F2216*G2216</f>
        <v/>
      </c>
      <c r="Q2216" s="14">
        <f>J2216*G2216</f>
        <v/>
      </c>
      <c r="R2216" s="14">
        <f>K2216-Q2216</f>
        <v/>
      </c>
      <c r="S2216" s="3">
        <f>P2216*Assumptions!$B$3/100</f>
        <v/>
      </c>
      <c r="T2216" s="14">
        <f>R2216-S2216</f>
        <v/>
      </c>
      <c r="U2216" s="14">
        <f>L2216*G2216</f>
        <v/>
      </c>
    </row>
    <row r="2217">
      <c r="A2217" s="12" t="inlineStr">
        <is>
          <t>PO-2022-2215</t>
        </is>
      </c>
      <c r="B2217" s="26" t="n">
        <v>44922</v>
      </c>
      <c r="C2217" s="12" t="inlineStr">
        <is>
          <t>VS05</t>
        </is>
      </c>
      <c r="D2217" s="12" t="inlineStr">
        <is>
          <t>CR Sheets</t>
        </is>
      </c>
      <c r="E2217" s="12" t="inlineStr">
        <is>
          <t>Y</t>
        </is>
      </c>
      <c r="F2217" s="12" t="n">
        <v>28.92</v>
      </c>
      <c r="G2217" s="17" t="n">
        <v>116051.33</v>
      </c>
      <c r="H2217" s="26" t="n">
        <v>44936</v>
      </c>
      <c r="I2217" s="26" t="n">
        <v>44937</v>
      </c>
      <c r="J2217" s="12" t="n">
        <v>28.64</v>
      </c>
      <c r="K2217" s="17" t="n">
        <v>3356204.46</v>
      </c>
      <c r="L2217" s="12" t="n">
        <v>0</v>
      </c>
      <c r="M2217" s="12" t="n">
        <v>17</v>
      </c>
      <c r="N2217" s="27">
        <f>F2217-J2217</f>
        <v/>
      </c>
      <c r="O2217" s="16">
        <f>I2217-H2217</f>
        <v/>
      </c>
      <c r="P2217" s="14">
        <f>F2217*G2217</f>
        <v/>
      </c>
      <c r="Q2217" s="14">
        <f>J2217*G2217</f>
        <v/>
      </c>
      <c r="R2217" s="14">
        <f>K2217-Q2217</f>
        <v/>
      </c>
      <c r="S2217" s="3">
        <f>P2217*Assumptions!$B$3/100</f>
        <v/>
      </c>
      <c r="T2217" s="14">
        <f>R2217-S2217</f>
        <v/>
      </c>
      <c r="U2217" s="14">
        <f>L2217*G2217</f>
        <v/>
      </c>
    </row>
    <row r="2218">
      <c r="A2218" s="12" t="inlineStr">
        <is>
          <t>PO-2022-2216</t>
        </is>
      </c>
      <c r="B2218" s="26" t="n">
        <v>44253</v>
      </c>
      <c r="C2218" s="12" t="inlineStr">
        <is>
          <t>VS32</t>
        </is>
      </c>
      <c r="D2218" s="12" t="inlineStr">
        <is>
          <t>GI Wire</t>
        </is>
      </c>
      <c r="E2218" s="12" t="inlineStr">
        <is>
          <t>N</t>
        </is>
      </c>
      <c r="F2218" s="12" t="n">
        <v>35.51</v>
      </c>
      <c r="G2218" s="17" t="n">
        <v>115706.11</v>
      </c>
      <c r="H2218" s="26" t="n">
        <v>44262</v>
      </c>
      <c r="I2218" s="26" t="n">
        <v>44264</v>
      </c>
      <c r="J2218" s="12" t="n">
        <v>35.37</v>
      </c>
      <c r="K2218" s="17" t="n">
        <v>4108723.97</v>
      </c>
      <c r="L2218" s="12" t="n">
        <v>0</v>
      </c>
      <c r="M2218" s="12" t="n">
        <v>6</v>
      </c>
      <c r="N2218" s="27">
        <f>F2218-J2218</f>
        <v/>
      </c>
      <c r="O2218" s="16">
        <f>I2218-H2218</f>
        <v/>
      </c>
      <c r="P2218" s="14">
        <f>F2218*G2218</f>
        <v/>
      </c>
      <c r="Q2218" s="14">
        <f>J2218*G2218</f>
        <v/>
      </c>
      <c r="R2218" s="14">
        <f>K2218-Q2218</f>
        <v/>
      </c>
      <c r="S2218" s="3">
        <f>P2218*Assumptions!$B$3/100</f>
        <v/>
      </c>
      <c r="T2218" s="14">
        <f>R2218-S2218</f>
        <v/>
      </c>
      <c r="U2218" s="14">
        <f>L2218*G2218</f>
        <v/>
      </c>
    </row>
    <row r="2219">
      <c r="A2219" s="12" t="inlineStr">
        <is>
          <t>PO-2022-2217</t>
        </is>
      </c>
      <c r="B2219" s="26" t="n">
        <v>44637</v>
      </c>
      <c r="C2219" s="12" t="inlineStr">
        <is>
          <t>VS29</t>
        </is>
      </c>
      <c r="D2219" s="12" t="inlineStr">
        <is>
          <t>SS Sheets</t>
        </is>
      </c>
      <c r="E2219" s="12" t="inlineStr">
        <is>
          <t>N</t>
        </is>
      </c>
      <c r="F2219" s="12" t="n">
        <v>27.38</v>
      </c>
      <c r="G2219" s="17" t="n">
        <v>95600.07000000001</v>
      </c>
      <c r="H2219" s="26" t="n">
        <v>44645</v>
      </c>
      <c r="I2219" s="26" t="n">
        <v>44646</v>
      </c>
      <c r="J2219" s="12" t="n">
        <v>27.23</v>
      </c>
      <c r="K2219" s="17" t="n">
        <v>2617529.92</v>
      </c>
      <c r="L2219" s="12" t="n">
        <v>0</v>
      </c>
      <c r="M2219" s="12" t="n">
        <v>0</v>
      </c>
      <c r="N2219" s="27">
        <f>F2219-J2219</f>
        <v/>
      </c>
      <c r="O2219" s="16">
        <f>I2219-H2219</f>
        <v/>
      </c>
      <c r="P2219" s="14">
        <f>F2219*G2219</f>
        <v/>
      </c>
      <c r="Q2219" s="14">
        <f>J2219*G2219</f>
        <v/>
      </c>
      <c r="R2219" s="14">
        <f>K2219-Q2219</f>
        <v/>
      </c>
      <c r="S2219" s="3">
        <f>P2219*Assumptions!$B$3/100</f>
        <v/>
      </c>
      <c r="T2219" s="14">
        <f>R2219-S2219</f>
        <v/>
      </c>
      <c r="U2219" s="14">
        <f>L2219*G2219</f>
        <v/>
      </c>
    </row>
    <row r="2220">
      <c r="A2220" s="12" t="inlineStr">
        <is>
          <t>PO-2022-2218</t>
        </is>
      </c>
      <c r="B2220" s="26" t="n">
        <v>44673</v>
      </c>
      <c r="C2220" s="12" t="inlineStr">
        <is>
          <t>VS33</t>
        </is>
      </c>
      <c r="D2220" s="12" t="inlineStr">
        <is>
          <t>GI Wire</t>
        </is>
      </c>
      <c r="E2220" s="12" t="inlineStr">
        <is>
          <t>N</t>
        </is>
      </c>
      <c r="F2220" s="12" t="n">
        <v>8.07</v>
      </c>
      <c r="G2220" s="17" t="n">
        <v>85470.95</v>
      </c>
      <c r="H2220" s="26" t="n">
        <v>44686</v>
      </c>
      <c r="I2220" s="26" t="n">
        <v>44688</v>
      </c>
      <c r="J2220" s="12" t="n">
        <v>8.01</v>
      </c>
      <c r="K2220" s="17" t="n">
        <v>689750.5699999999</v>
      </c>
      <c r="L2220" s="12" t="n">
        <v>0</v>
      </c>
      <c r="M2220" s="12" t="n">
        <v>9</v>
      </c>
      <c r="N2220" s="27">
        <f>F2220-J2220</f>
        <v/>
      </c>
      <c r="O2220" s="16">
        <f>I2220-H2220</f>
        <v/>
      </c>
      <c r="P2220" s="14">
        <f>F2220*G2220</f>
        <v/>
      </c>
      <c r="Q2220" s="14">
        <f>J2220*G2220</f>
        <v/>
      </c>
      <c r="R2220" s="14">
        <f>K2220-Q2220</f>
        <v/>
      </c>
      <c r="S2220" s="3">
        <f>P2220*Assumptions!$B$3/100</f>
        <v/>
      </c>
      <c r="T2220" s="14">
        <f>R2220-S2220</f>
        <v/>
      </c>
      <c r="U2220" s="14">
        <f>L2220*G2220</f>
        <v/>
      </c>
    </row>
    <row r="2221">
      <c r="A2221" s="12" t="inlineStr">
        <is>
          <t>PO-2022-2219</t>
        </is>
      </c>
      <c r="B2221" s="26" t="n">
        <v>44841</v>
      </c>
      <c r="C2221" s="12" t="inlineStr">
        <is>
          <t>VS01</t>
        </is>
      </c>
      <c r="D2221" s="12" t="inlineStr">
        <is>
          <t>GI Pipes</t>
        </is>
      </c>
      <c r="E2221" s="12" t="inlineStr">
        <is>
          <t>N</t>
        </is>
      </c>
      <c r="F2221" s="12" t="n">
        <v>35.89</v>
      </c>
      <c r="G2221" s="17" t="n">
        <v>71876.21000000001</v>
      </c>
      <c r="H2221" s="26" t="n">
        <v>44845</v>
      </c>
      <c r="I2221" s="26" t="n">
        <v>44846</v>
      </c>
      <c r="J2221" s="12" t="n">
        <v>35.72</v>
      </c>
      <c r="K2221" s="17" t="n">
        <v>2579637.18</v>
      </c>
      <c r="L2221" s="12" t="n">
        <v>0</v>
      </c>
      <c r="M2221" s="12" t="n">
        <v>9</v>
      </c>
      <c r="N2221" s="27">
        <f>F2221-J2221</f>
        <v/>
      </c>
      <c r="O2221" s="16">
        <f>I2221-H2221</f>
        <v/>
      </c>
      <c r="P2221" s="14">
        <f>F2221*G2221</f>
        <v/>
      </c>
      <c r="Q2221" s="14">
        <f>J2221*G2221</f>
        <v/>
      </c>
      <c r="R2221" s="14">
        <f>K2221-Q2221</f>
        <v/>
      </c>
      <c r="S2221" s="3">
        <f>P2221*Assumptions!$B$3/100</f>
        <v/>
      </c>
      <c r="T2221" s="14">
        <f>R2221-S2221</f>
        <v/>
      </c>
      <c r="U2221" s="14">
        <f>L2221*G2221</f>
        <v/>
      </c>
    </row>
    <row r="2222">
      <c r="A2222" s="12" t="inlineStr">
        <is>
          <t>PO-2022-2220</t>
        </is>
      </c>
      <c r="B2222" s="26" t="n">
        <v>44342</v>
      </c>
      <c r="C2222" s="12" t="inlineStr">
        <is>
          <t>VS05</t>
        </is>
      </c>
      <c r="D2222" s="12" t="inlineStr">
        <is>
          <t>Hex Bars</t>
        </is>
      </c>
      <c r="E2222" s="12" t="inlineStr">
        <is>
          <t>N</t>
        </is>
      </c>
      <c r="F2222" s="12" t="n">
        <v>21.27</v>
      </c>
      <c r="G2222" s="17" t="n">
        <v>57090.54</v>
      </c>
      <c r="H2222" s="26" t="n">
        <v>44348</v>
      </c>
      <c r="I2222" s="26" t="n">
        <v>44351</v>
      </c>
      <c r="J2222" s="12" t="n">
        <v>21.06</v>
      </c>
      <c r="K2222" s="17" t="n">
        <v>1214315.79</v>
      </c>
      <c r="L2222" s="12" t="n">
        <v>0</v>
      </c>
      <c r="M2222" s="12" t="n">
        <v>11</v>
      </c>
      <c r="N2222" s="27">
        <f>F2222-J2222</f>
        <v/>
      </c>
      <c r="O2222" s="16">
        <f>I2222-H2222</f>
        <v/>
      </c>
      <c r="P2222" s="14">
        <f>F2222*G2222</f>
        <v/>
      </c>
      <c r="Q2222" s="14">
        <f>J2222*G2222</f>
        <v/>
      </c>
      <c r="R2222" s="14">
        <f>K2222-Q2222</f>
        <v/>
      </c>
      <c r="S2222" s="3">
        <f>P2222*Assumptions!$B$3/100</f>
        <v/>
      </c>
      <c r="T2222" s="14">
        <f>R2222-S2222</f>
        <v/>
      </c>
      <c r="U2222" s="14">
        <f>L2222*G2222</f>
        <v/>
      </c>
    </row>
    <row r="2223">
      <c r="A2223" s="12" t="inlineStr">
        <is>
          <t>PO-2022-2221</t>
        </is>
      </c>
      <c r="B2223" s="26" t="n">
        <v>44706</v>
      </c>
      <c r="C2223" s="12" t="inlineStr">
        <is>
          <t>VS12</t>
        </is>
      </c>
      <c r="D2223" s="12" t="inlineStr">
        <is>
          <t>MS Sheets</t>
        </is>
      </c>
      <c r="E2223" s="12" t="inlineStr">
        <is>
          <t>N</t>
        </is>
      </c>
      <c r="F2223" s="12" t="n">
        <v>2.44</v>
      </c>
      <c r="G2223" s="17" t="n">
        <v>119248.44</v>
      </c>
      <c r="H2223" s="26" t="n">
        <v>44720</v>
      </c>
      <c r="I2223" s="26" t="n">
        <v>44727</v>
      </c>
      <c r="J2223" s="12" t="n">
        <v>2.32</v>
      </c>
      <c r="K2223" s="17" t="n">
        <v>290966.19</v>
      </c>
      <c r="L2223" s="12" t="n">
        <v>0.04</v>
      </c>
      <c r="M2223" s="12" t="n">
        <v>24</v>
      </c>
      <c r="N2223" s="27">
        <f>F2223-J2223</f>
        <v/>
      </c>
      <c r="O2223" s="16">
        <f>I2223-H2223</f>
        <v/>
      </c>
      <c r="P2223" s="14">
        <f>F2223*G2223</f>
        <v/>
      </c>
      <c r="Q2223" s="14">
        <f>J2223*G2223</f>
        <v/>
      </c>
      <c r="R2223" s="14">
        <f>K2223-Q2223</f>
        <v/>
      </c>
      <c r="S2223" s="3">
        <f>P2223*Assumptions!$B$3/100</f>
        <v/>
      </c>
      <c r="T2223" s="14">
        <f>R2223-S2223</f>
        <v/>
      </c>
      <c r="U2223" s="14">
        <f>L2223*G2223</f>
        <v/>
      </c>
    </row>
    <row r="2224">
      <c r="A2224" s="12" t="inlineStr">
        <is>
          <t>PO-2022-2222</t>
        </is>
      </c>
      <c r="B2224" s="26" t="n">
        <v>44441</v>
      </c>
      <c r="C2224" s="12" t="inlineStr">
        <is>
          <t>VS22</t>
        </is>
      </c>
      <c r="D2224" s="12" t="inlineStr">
        <is>
          <t>SS Pipes</t>
        </is>
      </c>
      <c r="E2224" s="12" t="inlineStr">
        <is>
          <t>N</t>
        </is>
      </c>
      <c r="F2224" s="12" t="n">
        <v>5.61</v>
      </c>
      <c r="G2224" s="17" t="n">
        <v>75266.64999999999</v>
      </c>
      <c r="H2224" s="26" t="n">
        <v>44455</v>
      </c>
      <c r="I2224" s="26" t="n">
        <v>44457</v>
      </c>
      <c r="J2224" s="12" t="n">
        <v>5.56</v>
      </c>
      <c r="K2224" s="17" t="n">
        <v>422245.91</v>
      </c>
      <c r="L2224" s="12" t="n">
        <v>0</v>
      </c>
      <c r="M2224" s="12" t="n">
        <v>20</v>
      </c>
      <c r="N2224" s="27">
        <f>F2224-J2224</f>
        <v/>
      </c>
      <c r="O2224" s="16">
        <f>I2224-H2224</f>
        <v/>
      </c>
      <c r="P2224" s="14">
        <f>F2224*G2224</f>
        <v/>
      </c>
      <c r="Q2224" s="14">
        <f>J2224*G2224</f>
        <v/>
      </c>
      <c r="R2224" s="14">
        <f>K2224-Q2224</f>
        <v/>
      </c>
      <c r="S2224" s="3">
        <f>P2224*Assumptions!$B$3/100</f>
        <v/>
      </c>
      <c r="T2224" s="14">
        <f>R2224-S2224</f>
        <v/>
      </c>
      <c r="U2224" s="14">
        <f>L2224*G2224</f>
        <v/>
      </c>
    </row>
    <row r="2225">
      <c r="A2225" s="12" t="inlineStr">
        <is>
          <t>PO-2022-2223</t>
        </is>
      </c>
      <c r="B2225" s="26" t="n">
        <v>44990</v>
      </c>
      <c r="C2225" s="12" t="inlineStr">
        <is>
          <t>VS27</t>
        </is>
      </c>
      <c r="D2225" s="12" t="inlineStr">
        <is>
          <t>MS Rods</t>
        </is>
      </c>
      <c r="E2225" s="12" t="inlineStr">
        <is>
          <t>N</t>
        </is>
      </c>
      <c r="F2225" s="12" t="n">
        <v>35.12</v>
      </c>
      <c r="G2225" s="17" t="n">
        <v>55388.21</v>
      </c>
      <c r="H2225" s="26" t="n">
        <v>44998</v>
      </c>
      <c r="I2225" s="26" t="n">
        <v>45000</v>
      </c>
      <c r="J2225" s="12" t="n">
        <v>34.89</v>
      </c>
      <c r="K2225" s="17" t="n">
        <v>1945233.94</v>
      </c>
      <c r="L2225" s="12" t="n">
        <v>0</v>
      </c>
      <c r="M2225" s="12" t="n">
        <v>0</v>
      </c>
      <c r="N2225" s="27">
        <f>F2225-J2225</f>
        <v/>
      </c>
      <c r="O2225" s="16">
        <f>I2225-H2225</f>
        <v/>
      </c>
      <c r="P2225" s="14">
        <f>F2225*G2225</f>
        <v/>
      </c>
      <c r="Q2225" s="14">
        <f>J2225*G2225</f>
        <v/>
      </c>
      <c r="R2225" s="14">
        <f>K2225-Q2225</f>
        <v/>
      </c>
      <c r="S2225" s="3">
        <f>P2225*Assumptions!$B$3/100</f>
        <v/>
      </c>
      <c r="T2225" s="14">
        <f>R2225-S2225</f>
        <v/>
      </c>
      <c r="U2225" s="14">
        <f>L2225*G2225</f>
        <v/>
      </c>
    </row>
    <row r="2226">
      <c r="A2226" s="12" t="inlineStr">
        <is>
          <t>PO-2022-2224</t>
        </is>
      </c>
      <c r="B2226" s="26" t="n">
        <v>44571</v>
      </c>
      <c r="C2226" s="12" t="inlineStr">
        <is>
          <t>VS07</t>
        </is>
      </c>
      <c r="D2226" s="12" t="inlineStr">
        <is>
          <t>SS Sheets</t>
        </is>
      </c>
      <c r="E2226" s="12" t="inlineStr">
        <is>
          <t>N</t>
        </is>
      </c>
      <c r="F2226" s="12" t="n">
        <v>18.4</v>
      </c>
      <c r="G2226" s="17" t="n">
        <v>98044.72</v>
      </c>
      <c r="H2226" s="26" t="n">
        <v>44578</v>
      </c>
      <c r="I2226" s="26" t="n">
        <v>44580</v>
      </c>
      <c r="J2226" s="12" t="n">
        <v>18.35</v>
      </c>
      <c r="K2226" s="17" t="n">
        <v>1804022.85</v>
      </c>
      <c r="L2226" s="12" t="n">
        <v>0</v>
      </c>
      <c r="M2226" s="12" t="n">
        <v>0</v>
      </c>
      <c r="N2226" s="27">
        <f>F2226-J2226</f>
        <v/>
      </c>
      <c r="O2226" s="16">
        <f>I2226-H2226</f>
        <v/>
      </c>
      <c r="P2226" s="14">
        <f>F2226*G2226</f>
        <v/>
      </c>
      <c r="Q2226" s="14">
        <f>J2226*G2226</f>
        <v/>
      </c>
      <c r="R2226" s="14">
        <f>K2226-Q2226</f>
        <v/>
      </c>
      <c r="S2226" s="3">
        <f>P2226*Assumptions!$B$3/100</f>
        <v/>
      </c>
      <c r="T2226" s="14">
        <f>R2226-S2226</f>
        <v/>
      </c>
      <c r="U2226" s="14">
        <f>L2226*G2226</f>
        <v/>
      </c>
    </row>
    <row r="2227">
      <c r="A2227" s="12" t="inlineStr">
        <is>
          <t>PO-2022-2225</t>
        </is>
      </c>
      <c r="B2227" s="26" t="n">
        <v>45220</v>
      </c>
      <c r="C2227" s="12" t="inlineStr">
        <is>
          <t>VS06</t>
        </is>
      </c>
      <c r="D2227" s="12" t="inlineStr">
        <is>
          <t>MS Sheets</t>
        </is>
      </c>
      <c r="E2227" s="12" t="inlineStr">
        <is>
          <t>N</t>
        </is>
      </c>
      <c r="F2227" s="12" t="n">
        <v>13.76</v>
      </c>
      <c r="G2227" s="17" t="n">
        <v>60045.55</v>
      </c>
      <c r="H2227" s="26" t="n">
        <v>45228</v>
      </c>
      <c r="I2227" s="26" t="n">
        <v>45230</v>
      </c>
      <c r="J2227" s="12" t="n">
        <v>13.66</v>
      </c>
      <c r="K2227" s="17" t="n">
        <v>826226.77</v>
      </c>
      <c r="L2227" s="12" t="n">
        <v>0</v>
      </c>
      <c r="M2227" s="12" t="n">
        <v>17</v>
      </c>
      <c r="N2227" s="27">
        <f>F2227-J2227</f>
        <v/>
      </c>
      <c r="O2227" s="16">
        <f>I2227-H2227</f>
        <v/>
      </c>
      <c r="P2227" s="14">
        <f>F2227*G2227</f>
        <v/>
      </c>
      <c r="Q2227" s="14">
        <f>J2227*G2227</f>
        <v/>
      </c>
      <c r="R2227" s="14">
        <f>K2227-Q2227</f>
        <v/>
      </c>
      <c r="S2227" s="3">
        <f>P2227*Assumptions!$B$3/100</f>
        <v/>
      </c>
      <c r="T2227" s="14">
        <f>R2227-S2227</f>
        <v/>
      </c>
      <c r="U2227" s="14">
        <f>L2227*G2227</f>
        <v/>
      </c>
    </row>
    <row r="2228">
      <c r="A2228" s="12" t="inlineStr">
        <is>
          <t>PO-2022-2226</t>
        </is>
      </c>
      <c r="B2228" s="26" t="n">
        <v>44364</v>
      </c>
      <c r="C2228" s="12" t="inlineStr">
        <is>
          <t>VS22</t>
        </is>
      </c>
      <c r="D2228" s="12" t="inlineStr">
        <is>
          <t>Fasteners &amp; Fittings</t>
        </is>
      </c>
      <c r="E2228" s="12" t="inlineStr">
        <is>
          <t>N</t>
        </is>
      </c>
      <c r="F2228" s="12" t="n">
        <v>37.84</v>
      </c>
      <c r="G2228" s="17" t="n">
        <v>84290.05</v>
      </c>
      <c r="H2228" s="26" t="n">
        <v>44367</v>
      </c>
      <c r="I2228" s="26" t="n">
        <v>44370</v>
      </c>
      <c r="J2228" s="12" t="n">
        <v>37.75</v>
      </c>
      <c r="K2228" s="17" t="n">
        <v>3189535.49</v>
      </c>
      <c r="L2228" s="12" t="n">
        <v>0</v>
      </c>
      <c r="M2228" s="12" t="n">
        <v>2</v>
      </c>
      <c r="N2228" s="27">
        <f>F2228-J2228</f>
        <v/>
      </c>
      <c r="O2228" s="16">
        <f>I2228-H2228</f>
        <v/>
      </c>
      <c r="P2228" s="14">
        <f>F2228*G2228</f>
        <v/>
      </c>
      <c r="Q2228" s="14">
        <f>J2228*G2228</f>
        <v/>
      </c>
      <c r="R2228" s="14">
        <f>K2228-Q2228</f>
        <v/>
      </c>
      <c r="S2228" s="3">
        <f>P2228*Assumptions!$B$3/100</f>
        <v/>
      </c>
      <c r="T2228" s="14">
        <f>R2228-S2228</f>
        <v/>
      </c>
      <c r="U2228" s="14">
        <f>L2228*G2228</f>
        <v/>
      </c>
    </row>
    <row r="2229">
      <c r="A2229" s="12" t="inlineStr">
        <is>
          <t>PO-2022-2227</t>
        </is>
      </c>
      <c r="B2229" s="26" t="n">
        <v>44321</v>
      </c>
      <c r="C2229" s="12" t="inlineStr">
        <is>
          <t>VS04</t>
        </is>
      </c>
      <c r="D2229" s="12" t="inlineStr">
        <is>
          <t>Angles &amp; Channels</t>
        </is>
      </c>
      <c r="E2229" s="12" t="inlineStr">
        <is>
          <t>N</t>
        </is>
      </c>
      <c r="F2229" s="12" t="n">
        <v>5.68</v>
      </c>
      <c r="G2229" s="17" t="n">
        <v>45129.67</v>
      </c>
      <c r="H2229" s="26" t="n">
        <v>44332</v>
      </c>
      <c r="I2229" s="26" t="n">
        <v>44335</v>
      </c>
      <c r="J2229" s="12" t="n">
        <v>5.65</v>
      </c>
      <c r="K2229" s="17" t="n">
        <v>256336.53</v>
      </c>
      <c r="L2229" s="12" t="n">
        <v>0</v>
      </c>
      <c r="M2229" s="12" t="n">
        <v>8</v>
      </c>
      <c r="N2229" s="27">
        <f>F2229-J2229</f>
        <v/>
      </c>
      <c r="O2229" s="16">
        <f>I2229-H2229</f>
        <v/>
      </c>
      <c r="P2229" s="14">
        <f>F2229*G2229</f>
        <v/>
      </c>
      <c r="Q2229" s="14">
        <f>J2229*G2229</f>
        <v/>
      </c>
      <c r="R2229" s="14">
        <f>K2229-Q2229</f>
        <v/>
      </c>
      <c r="S2229" s="3">
        <f>P2229*Assumptions!$B$3/100</f>
        <v/>
      </c>
      <c r="T2229" s="14">
        <f>R2229-S2229</f>
        <v/>
      </c>
      <c r="U2229" s="14">
        <f>L2229*G2229</f>
        <v/>
      </c>
    </row>
    <row r="2230">
      <c r="A2230" s="12" t="inlineStr">
        <is>
          <t>PO-2022-2228</t>
        </is>
      </c>
      <c r="B2230" s="26" t="n">
        <v>44222</v>
      </c>
      <c r="C2230" s="12" t="inlineStr">
        <is>
          <t>VS01</t>
        </is>
      </c>
      <c r="D2230" s="12" t="inlineStr">
        <is>
          <t>MS Flats</t>
        </is>
      </c>
      <c r="E2230" s="12" t="inlineStr">
        <is>
          <t>N</t>
        </is>
      </c>
      <c r="F2230" s="12" t="n">
        <v>19.85</v>
      </c>
      <c r="G2230" s="17" t="n">
        <v>47074.02</v>
      </c>
      <c r="H2230" s="26" t="n">
        <v>44234</v>
      </c>
      <c r="I2230" s="26" t="n">
        <v>44235</v>
      </c>
      <c r="J2230" s="12" t="n">
        <v>19.78</v>
      </c>
      <c r="K2230" s="17" t="n">
        <v>934419.3</v>
      </c>
      <c r="L2230" s="12" t="n">
        <v>0</v>
      </c>
      <c r="M2230" s="12" t="n">
        <v>0</v>
      </c>
      <c r="N2230" s="27">
        <f>F2230-J2230</f>
        <v/>
      </c>
      <c r="O2230" s="16">
        <f>I2230-H2230</f>
        <v/>
      </c>
      <c r="P2230" s="14">
        <f>F2230*G2230</f>
        <v/>
      </c>
      <c r="Q2230" s="14">
        <f>J2230*G2230</f>
        <v/>
      </c>
      <c r="R2230" s="14">
        <f>K2230-Q2230</f>
        <v/>
      </c>
      <c r="S2230" s="3">
        <f>P2230*Assumptions!$B$3/100</f>
        <v/>
      </c>
      <c r="T2230" s="14">
        <f>R2230-S2230</f>
        <v/>
      </c>
      <c r="U2230" s="14">
        <f>L2230*G2230</f>
        <v/>
      </c>
    </row>
    <row r="2231">
      <c r="A2231" s="12" t="inlineStr">
        <is>
          <t>PO-2022-2229</t>
        </is>
      </c>
      <c r="B2231" s="26" t="n">
        <v>44964</v>
      </c>
      <c r="C2231" s="12" t="inlineStr">
        <is>
          <t>VS05</t>
        </is>
      </c>
      <c r="D2231" s="12" t="inlineStr">
        <is>
          <t>MS Sheets</t>
        </is>
      </c>
      <c r="E2231" s="12" t="inlineStr">
        <is>
          <t>N</t>
        </is>
      </c>
      <c r="F2231" s="12" t="n">
        <v>10.24</v>
      </c>
      <c r="G2231" s="17" t="n">
        <v>91565.42999999999</v>
      </c>
      <c r="H2231" s="26" t="n">
        <v>44969</v>
      </c>
      <c r="I2231" s="26" t="n">
        <v>44970</v>
      </c>
      <c r="J2231" s="12" t="n">
        <v>10.24</v>
      </c>
      <c r="K2231" s="17" t="n">
        <v>937630</v>
      </c>
      <c r="L2231" s="12" t="n">
        <v>0</v>
      </c>
      <c r="M2231" s="12" t="n">
        <v>11</v>
      </c>
      <c r="N2231" s="27">
        <f>F2231-J2231</f>
        <v/>
      </c>
      <c r="O2231" s="16">
        <f>I2231-H2231</f>
        <v/>
      </c>
      <c r="P2231" s="14">
        <f>F2231*G2231</f>
        <v/>
      </c>
      <c r="Q2231" s="14">
        <f>J2231*G2231</f>
        <v/>
      </c>
      <c r="R2231" s="14">
        <f>K2231-Q2231</f>
        <v/>
      </c>
      <c r="S2231" s="3">
        <f>P2231*Assumptions!$B$3/100</f>
        <v/>
      </c>
      <c r="T2231" s="14">
        <f>R2231-S2231</f>
        <v/>
      </c>
      <c r="U2231" s="14">
        <f>L2231*G2231</f>
        <v/>
      </c>
    </row>
    <row r="2232">
      <c r="A2232" s="12" t="inlineStr">
        <is>
          <t>PO-2022-2230</t>
        </is>
      </c>
      <c r="B2232" s="26" t="n">
        <v>44644</v>
      </c>
      <c r="C2232" s="12" t="inlineStr">
        <is>
          <t>VS23</t>
        </is>
      </c>
      <c r="D2232" s="12" t="inlineStr">
        <is>
          <t>ERW Pipes</t>
        </is>
      </c>
      <c r="E2232" s="12" t="inlineStr">
        <is>
          <t>N</t>
        </is>
      </c>
      <c r="F2232" s="12" t="n">
        <v>43.73</v>
      </c>
      <c r="G2232" s="17" t="n">
        <v>113446.1</v>
      </c>
      <c r="H2232" s="26" t="n">
        <v>44656</v>
      </c>
      <c r="I2232" s="26" t="n">
        <v>44656</v>
      </c>
      <c r="J2232" s="12" t="n">
        <v>43.62</v>
      </c>
      <c r="K2232" s="17" t="n">
        <v>4960997.95</v>
      </c>
      <c r="L2232" s="12" t="n">
        <v>0</v>
      </c>
      <c r="M2232" s="12" t="n">
        <v>0</v>
      </c>
      <c r="N2232" s="27">
        <f>F2232-J2232</f>
        <v/>
      </c>
      <c r="O2232" s="16">
        <f>I2232-H2232</f>
        <v/>
      </c>
      <c r="P2232" s="14">
        <f>F2232*G2232</f>
        <v/>
      </c>
      <c r="Q2232" s="14">
        <f>J2232*G2232</f>
        <v/>
      </c>
      <c r="R2232" s="14">
        <f>K2232-Q2232</f>
        <v/>
      </c>
      <c r="S2232" s="3">
        <f>P2232*Assumptions!$B$3/100</f>
        <v/>
      </c>
      <c r="T2232" s="14">
        <f>R2232-S2232</f>
        <v/>
      </c>
      <c r="U2232" s="14">
        <f>L2232*G2232</f>
        <v/>
      </c>
    </row>
    <row r="2233">
      <c r="A2233" s="12" t="inlineStr">
        <is>
          <t>PO-2022-2231</t>
        </is>
      </c>
      <c r="B2233" s="26" t="n">
        <v>44963</v>
      </c>
      <c r="C2233" s="12" t="inlineStr">
        <is>
          <t>VS12</t>
        </is>
      </c>
      <c r="D2233" s="12" t="inlineStr">
        <is>
          <t>Fasteners &amp; Fittings</t>
        </is>
      </c>
      <c r="E2233" s="12" t="inlineStr">
        <is>
          <t>N</t>
        </is>
      </c>
      <c r="F2233" s="12" t="n">
        <v>35.61</v>
      </c>
      <c r="G2233" s="17" t="n">
        <v>115414.41</v>
      </c>
      <c r="H2233" s="26" t="n">
        <v>44968</v>
      </c>
      <c r="I2233" s="26" t="n">
        <v>44975</v>
      </c>
      <c r="J2233" s="12" t="n">
        <v>34.54</v>
      </c>
      <c r="K2233" s="17" t="n">
        <v>4109907.14</v>
      </c>
      <c r="L2233" s="12" t="n">
        <v>1.6</v>
      </c>
      <c r="M2233" s="12" t="n">
        <v>0</v>
      </c>
      <c r="N2233" s="27">
        <f>F2233-J2233</f>
        <v/>
      </c>
      <c r="O2233" s="16">
        <f>I2233-H2233</f>
        <v/>
      </c>
      <c r="P2233" s="14">
        <f>F2233*G2233</f>
        <v/>
      </c>
      <c r="Q2233" s="14">
        <f>J2233*G2233</f>
        <v/>
      </c>
      <c r="R2233" s="14">
        <f>K2233-Q2233</f>
        <v/>
      </c>
      <c r="S2233" s="3">
        <f>P2233*Assumptions!$B$3/100</f>
        <v/>
      </c>
      <c r="T2233" s="14">
        <f>R2233-S2233</f>
        <v/>
      </c>
      <c r="U2233" s="14">
        <f>L2233*G2233</f>
        <v/>
      </c>
    </row>
    <row r="2234">
      <c r="A2234" s="12" t="inlineStr">
        <is>
          <t>PO-2022-2232</t>
        </is>
      </c>
      <c r="B2234" s="26" t="n">
        <v>45236</v>
      </c>
      <c r="C2234" s="12" t="inlineStr">
        <is>
          <t>VS10</t>
        </is>
      </c>
      <c r="D2234" s="12" t="inlineStr">
        <is>
          <t>Fasteners &amp; Fittings</t>
        </is>
      </c>
      <c r="E2234" s="12" t="inlineStr">
        <is>
          <t>N</t>
        </is>
      </c>
      <c r="F2234" s="12" t="n">
        <v>2.49</v>
      </c>
      <c r="G2234" s="17" t="n">
        <v>47908.07</v>
      </c>
      <c r="H2234" s="26" t="n">
        <v>45247</v>
      </c>
      <c r="I2234" s="26" t="n">
        <v>45249</v>
      </c>
      <c r="J2234" s="12" t="n">
        <v>2.48</v>
      </c>
      <c r="K2234" s="17" t="n">
        <v>119291.09</v>
      </c>
      <c r="L2234" s="12" t="n">
        <v>0</v>
      </c>
      <c r="M2234" s="12" t="n">
        <v>8</v>
      </c>
      <c r="N2234" s="27">
        <f>F2234-J2234</f>
        <v/>
      </c>
      <c r="O2234" s="16">
        <f>I2234-H2234</f>
        <v/>
      </c>
      <c r="P2234" s="14">
        <f>F2234*G2234</f>
        <v/>
      </c>
      <c r="Q2234" s="14">
        <f>J2234*G2234</f>
        <v/>
      </c>
      <c r="R2234" s="14">
        <f>K2234-Q2234</f>
        <v/>
      </c>
      <c r="S2234" s="3">
        <f>P2234*Assumptions!$B$3/100</f>
        <v/>
      </c>
      <c r="T2234" s="14">
        <f>R2234-S2234</f>
        <v/>
      </c>
      <c r="U2234" s="14">
        <f>L2234*G2234</f>
        <v/>
      </c>
    </row>
    <row r="2235">
      <c r="A2235" s="12" t="inlineStr">
        <is>
          <t>PO-2022-2233</t>
        </is>
      </c>
      <c r="B2235" s="26" t="n">
        <v>44443</v>
      </c>
      <c r="C2235" s="12" t="inlineStr">
        <is>
          <t>VS20</t>
        </is>
      </c>
      <c r="D2235" s="12" t="inlineStr">
        <is>
          <t>SS Sheets</t>
        </is>
      </c>
      <c r="E2235" s="12" t="inlineStr">
        <is>
          <t>N</t>
        </is>
      </c>
      <c r="F2235" s="12" t="n">
        <v>6.28</v>
      </c>
      <c r="G2235" s="17" t="n">
        <v>96227.39999999999</v>
      </c>
      <c r="H2235" s="26" t="n">
        <v>44455</v>
      </c>
      <c r="I2235" s="26" t="n">
        <v>44455</v>
      </c>
      <c r="J2235" s="12" t="n">
        <v>6.27</v>
      </c>
      <c r="K2235" s="17" t="n">
        <v>604308.0699999999</v>
      </c>
      <c r="L2235" s="12" t="n">
        <v>0</v>
      </c>
      <c r="M2235" s="12" t="n">
        <v>1</v>
      </c>
      <c r="N2235" s="27">
        <f>F2235-J2235</f>
        <v/>
      </c>
      <c r="O2235" s="16">
        <f>I2235-H2235</f>
        <v/>
      </c>
      <c r="P2235" s="14">
        <f>F2235*G2235</f>
        <v/>
      </c>
      <c r="Q2235" s="14">
        <f>J2235*G2235</f>
        <v/>
      </c>
      <c r="R2235" s="14">
        <f>K2235-Q2235</f>
        <v/>
      </c>
      <c r="S2235" s="3">
        <f>P2235*Assumptions!$B$3/100</f>
        <v/>
      </c>
      <c r="T2235" s="14">
        <f>R2235-S2235</f>
        <v/>
      </c>
      <c r="U2235" s="14">
        <f>L2235*G2235</f>
        <v/>
      </c>
    </row>
    <row r="2236">
      <c r="A2236" s="12" t="inlineStr">
        <is>
          <t>PO-2022-2234</t>
        </is>
      </c>
      <c r="B2236" s="26" t="n">
        <v>45258</v>
      </c>
      <c r="C2236" s="12" t="inlineStr">
        <is>
          <t>VS11</t>
        </is>
      </c>
      <c r="D2236" s="12" t="inlineStr">
        <is>
          <t>ERW Pipes</t>
        </is>
      </c>
      <c r="E2236" s="12" t="inlineStr">
        <is>
          <t>N</t>
        </is>
      </c>
      <c r="F2236" s="12" t="n">
        <v>25.38</v>
      </c>
      <c r="G2236" s="17" t="n">
        <v>90262.75</v>
      </c>
      <c r="H2236" s="26" t="n">
        <v>45270</v>
      </c>
      <c r="I2236" s="26" t="n">
        <v>45273</v>
      </c>
      <c r="J2236" s="12" t="n">
        <v>25.15</v>
      </c>
      <c r="K2236" s="17" t="n">
        <v>2290868.59</v>
      </c>
      <c r="L2236" s="12" t="n">
        <v>0</v>
      </c>
      <c r="M2236" s="12" t="n">
        <v>5</v>
      </c>
      <c r="N2236" s="27">
        <f>F2236-J2236</f>
        <v/>
      </c>
      <c r="O2236" s="16">
        <f>I2236-H2236</f>
        <v/>
      </c>
      <c r="P2236" s="14">
        <f>F2236*G2236</f>
        <v/>
      </c>
      <c r="Q2236" s="14">
        <f>J2236*G2236</f>
        <v/>
      </c>
      <c r="R2236" s="14">
        <f>K2236-Q2236</f>
        <v/>
      </c>
      <c r="S2236" s="3">
        <f>P2236*Assumptions!$B$3/100</f>
        <v/>
      </c>
      <c r="T2236" s="14">
        <f>R2236-S2236</f>
        <v/>
      </c>
      <c r="U2236" s="14">
        <f>L2236*G2236</f>
        <v/>
      </c>
    </row>
    <row r="2237">
      <c r="A2237" s="12" t="inlineStr">
        <is>
          <t>PO-2022-2235</t>
        </is>
      </c>
      <c r="B2237" s="26" t="n">
        <v>44887</v>
      </c>
      <c r="C2237" s="12" t="inlineStr">
        <is>
          <t>VS30</t>
        </is>
      </c>
      <c r="D2237" s="12" t="inlineStr">
        <is>
          <t>Spring Steel</t>
        </is>
      </c>
      <c r="E2237" s="12" t="inlineStr">
        <is>
          <t>N</t>
        </is>
      </c>
      <c r="F2237" s="12" t="n">
        <v>41.76</v>
      </c>
      <c r="G2237" s="17" t="n">
        <v>103804.7</v>
      </c>
      <c r="H2237" s="26" t="n">
        <v>44891</v>
      </c>
      <c r="I2237" s="26" t="n">
        <v>44893</v>
      </c>
      <c r="J2237" s="12" t="n">
        <v>41.62</v>
      </c>
      <c r="K2237" s="17" t="n">
        <v>4334884.27</v>
      </c>
      <c r="L2237" s="12" t="n">
        <v>0</v>
      </c>
      <c r="M2237" s="12" t="n">
        <v>5</v>
      </c>
      <c r="N2237" s="27">
        <f>F2237-J2237</f>
        <v/>
      </c>
      <c r="O2237" s="16">
        <f>I2237-H2237</f>
        <v/>
      </c>
      <c r="P2237" s="14">
        <f>F2237*G2237</f>
        <v/>
      </c>
      <c r="Q2237" s="14">
        <f>J2237*G2237</f>
        <v/>
      </c>
      <c r="R2237" s="14">
        <f>K2237-Q2237</f>
        <v/>
      </c>
      <c r="S2237" s="3">
        <f>P2237*Assumptions!$B$3/100</f>
        <v/>
      </c>
      <c r="T2237" s="14">
        <f>R2237-S2237</f>
        <v/>
      </c>
      <c r="U2237" s="14">
        <f>L2237*G2237</f>
        <v/>
      </c>
    </row>
    <row r="2238">
      <c r="A2238" s="12" t="inlineStr">
        <is>
          <t>PO-2022-2236</t>
        </is>
      </c>
      <c r="B2238" s="26" t="n">
        <v>44331</v>
      </c>
      <c r="C2238" s="12" t="inlineStr">
        <is>
          <t>VS22</t>
        </is>
      </c>
      <c r="D2238" s="12" t="inlineStr">
        <is>
          <t>HR Coils</t>
        </is>
      </c>
      <c r="E2238" s="12" t="inlineStr">
        <is>
          <t>N</t>
        </is>
      </c>
      <c r="F2238" s="12" t="n">
        <v>18.92</v>
      </c>
      <c r="G2238" s="17" t="n">
        <v>62958.85</v>
      </c>
      <c r="H2238" s="26" t="n">
        <v>44341</v>
      </c>
      <c r="I2238" s="26" t="n">
        <v>44341</v>
      </c>
      <c r="J2238" s="12" t="n">
        <v>18.9</v>
      </c>
      <c r="K2238" s="17" t="n">
        <v>1191181.44</v>
      </c>
      <c r="L2238" s="12" t="n">
        <v>0</v>
      </c>
      <c r="M2238" s="12" t="n">
        <v>1</v>
      </c>
      <c r="N2238" s="27">
        <f>F2238-J2238</f>
        <v/>
      </c>
      <c r="O2238" s="16">
        <f>I2238-H2238</f>
        <v/>
      </c>
      <c r="P2238" s="14">
        <f>F2238*G2238</f>
        <v/>
      </c>
      <c r="Q2238" s="14">
        <f>J2238*G2238</f>
        <v/>
      </c>
      <c r="R2238" s="14">
        <f>K2238-Q2238</f>
        <v/>
      </c>
      <c r="S2238" s="3">
        <f>P2238*Assumptions!$B$3/100</f>
        <v/>
      </c>
      <c r="T2238" s="14">
        <f>R2238-S2238</f>
        <v/>
      </c>
      <c r="U2238" s="14">
        <f>L2238*G2238</f>
        <v/>
      </c>
    </row>
    <row r="2239">
      <c r="A2239" s="12" t="inlineStr">
        <is>
          <t>PO-2022-2237</t>
        </is>
      </c>
      <c r="B2239" s="26" t="n">
        <v>44582</v>
      </c>
      <c r="C2239" s="12" t="inlineStr">
        <is>
          <t>VS26</t>
        </is>
      </c>
      <c r="D2239" s="12" t="inlineStr">
        <is>
          <t>GI Pipes</t>
        </is>
      </c>
      <c r="E2239" s="12" t="inlineStr">
        <is>
          <t>N</t>
        </is>
      </c>
      <c r="F2239" s="12" t="n">
        <v>18.56</v>
      </c>
      <c r="G2239" s="17" t="n">
        <v>113745.79</v>
      </c>
      <c r="H2239" s="26" t="n">
        <v>44592</v>
      </c>
      <c r="I2239" s="26" t="n">
        <v>44592</v>
      </c>
      <c r="J2239" s="12" t="n">
        <v>18.55</v>
      </c>
      <c r="K2239" s="17" t="n">
        <v>2111121.86</v>
      </c>
      <c r="L2239" s="12" t="n">
        <v>0</v>
      </c>
      <c r="M2239" s="12" t="n">
        <v>24</v>
      </c>
      <c r="N2239" s="27">
        <f>F2239-J2239</f>
        <v/>
      </c>
      <c r="O2239" s="16">
        <f>I2239-H2239</f>
        <v/>
      </c>
      <c r="P2239" s="14">
        <f>F2239*G2239</f>
        <v/>
      </c>
      <c r="Q2239" s="14">
        <f>J2239*G2239</f>
        <v/>
      </c>
      <c r="R2239" s="14">
        <f>K2239-Q2239</f>
        <v/>
      </c>
      <c r="S2239" s="3">
        <f>P2239*Assumptions!$B$3/100</f>
        <v/>
      </c>
      <c r="T2239" s="14">
        <f>R2239-S2239</f>
        <v/>
      </c>
      <c r="U2239" s="14">
        <f>L2239*G2239</f>
        <v/>
      </c>
    </row>
    <row r="2240">
      <c r="A2240" s="12" t="inlineStr">
        <is>
          <t>PO-2022-2238</t>
        </is>
      </c>
      <c r="B2240" s="26" t="n">
        <v>44399</v>
      </c>
      <c r="C2240" s="12" t="inlineStr">
        <is>
          <t>VS34</t>
        </is>
      </c>
      <c r="D2240" s="12" t="inlineStr">
        <is>
          <t>SS Pipes</t>
        </is>
      </c>
      <c r="E2240" s="12" t="inlineStr">
        <is>
          <t>N</t>
        </is>
      </c>
      <c r="F2240" s="12" t="n">
        <v>33.51</v>
      </c>
      <c r="G2240" s="17" t="n">
        <v>69041.48</v>
      </c>
      <c r="H2240" s="26" t="n">
        <v>44410</v>
      </c>
      <c r="I2240" s="26" t="n">
        <v>44412</v>
      </c>
      <c r="J2240" s="12" t="n">
        <v>33.36</v>
      </c>
      <c r="K2240" s="17" t="n">
        <v>2313579.99</v>
      </c>
      <c r="L2240" s="12" t="n">
        <v>0</v>
      </c>
      <c r="M2240" s="12" t="n">
        <v>0</v>
      </c>
      <c r="N2240" s="27">
        <f>F2240-J2240</f>
        <v/>
      </c>
      <c r="O2240" s="16">
        <f>I2240-H2240</f>
        <v/>
      </c>
      <c r="P2240" s="14">
        <f>F2240*G2240</f>
        <v/>
      </c>
      <c r="Q2240" s="14">
        <f>J2240*G2240</f>
        <v/>
      </c>
      <c r="R2240" s="14">
        <f>K2240-Q2240</f>
        <v/>
      </c>
      <c r="S2240" s="3">
        <f>P2240*Assumptions!$B$3/100</f>
        <v/>
      </c>
      <c r="T2240" s="14">
        <f>R2240-S2240</f>
        <v/>
      </c>
      <c r="U2240" s="14">
        <f>L2240*G2240</f>
        <v/>
      </c>
    </row>
    <row r="2241">
      <c r="A2241" s="12" t="inlineStr">
        <is>
          <t>PO-2022-2239</t>
        </is>
      </c>
      <c r="B2241" s="26" t="n">
        <v>45286</v>
      </c>
      <c r="C2241" s="12" t="inlineStr">
        <is>
          <t>VS34</t>
        </is>
      </c>
      <c r="D2241" s="12" t="inlineStr">
        <is>
          <t>MS Rods</t>
        </is>
      </c>
      <c r="E2241" s="12" t="inlineStr">
        <is>
          <t>N</t>
        </is>
      </c>
      <c r="F2241" s="12" t="n">
        <v>38.09</v>
      </c>
      <c r="G2241" s="17" t="n">
        <v>93239.89</v>
      </c>
      <c r="H2241" s="26" t="n">
        <v>45293</v>
      </c>
      <c r="I2241" s="26" t="n">
        <v>45296</v>
      </c>
      <c r="J2241" s="12" t="n">
        <v>37.74</v>
      </c>
      <c r="K2241" s="17" t="n">
        <v>3551507.41</v>
      </c>
      <c r="L2241" s="12" t="n">
        <v>0</v>
      </c>
      <c r="M2241" s="12" t="n">
        <v>13</v>
      </c>
      <c r="N2241" s="27">
        <f>F2241-J2241</f>
        <v/>
      </c>
      <c r="O2241" s="16">
        <f>I2241-H2241</f>
        <v/>
      </c>
      <c r="P2241" s="14">
        <f>F2241*G2241</f>
        <v/>
      </c>
      <c r="Q2241" s="14">
        <f>J2241*G2241</f>
        <v/>
      </c>
      <c r="R2241" s="14">
        <f>K2241-Q2241</f>
        <v/>
      </c>
      <c r="S2241" s="3">
        <f>P2241*Assumptions!$B$3/100</f>
        <v/>
      </c>
      <c r="T2241" s="14">
        <f>R2241-S2241</f>
        <v/>
      </c>
      <c r="U2241" s="14">
        <f>L2241*G2241</f>
        <v/>
      </c>
    </row>
    <row r="2242">
      <c r="A2242" s="12" t="inlineStr">
        <is>
          <t>PO-2022-2240</t>
        </is>
      </c>
      <c r="B2242" s="26" t="n">
        <v>44853</v>
      </c>
      <c r="C2242" s="12" t="inlineStr">
        <is>
          <t>VS09</t>
        </is>
      </c>
      <c r="D2242" s="12" t="inlineStr">
        <is>
          <t>Fasteners &amp; Fittings</t>
        </is>
      </c>
      <c r="E2242" s="12" t="inlineStr">
        <is>
          <t>N</t>
        </is>
      </c>
      <c r="F2242" s="12" t="n">
        <v>38.41</v>
      </c>
      <c r="G2242" s="17" t="n">
        <v>66971.94</v>
      </c>
      <c r="H2242" s="26" t="n">
        <v>44866</v>
      </c>
      <c r="I2242" s="26" t="n">
        <v>44868</v>
      </c>
      <c r="J2242" s="12" t="n">
        <v>38.39</v>
      </c>
      <c r="K2242" s="17" t="n">
        <v>2572392.22</v>
      </c>
      <c r="L2242" s="12" t="n">
        <v>0</v>
      </c>
      <c r="M2242" s="12" t="n">
        <v>5</v>
      </c>
      <c r="N2242" s="27">
        <f>F2242-J2242</f>
        <v/>
      </c>
      <c r="O2242" s="16">
        <f>I2242-H2242</f>
        <v/>
      </c>
      <c r="P2242" s="14">
        <f>F2242*G2242</f>
        <v/>
      </c>
      <c r="Q2242" s="14">
        <f>J2242*G2242</f>
        <v/>
      </c>
      <c r="R2242" s="14">
        <f>K2242-Q2242</f>
        <v/>
      </c>
      <c r="S2242" s="3">
        <f>P2242*Assumptions!$B$3/100</f>
        <v/>
      </c>
      <c r="T2242" s="14">
        <f>R2242-S2242</f>
        <v/>
      </c>
      <c r="U2242" s="14">
        <f>L2242*G2242</f>
        <v/>
      </c>
    </row>
    <row r="2243">
      <c r="A2243" s="12" t="inlineStr">
        <is>
          <t>PO-2022-2241</t>
        </is>
      </c>
      <c r="B2243" s="26" t="n">
        <v>45070</v>
      </c>
      <c r="C2243" s="12" t="inlineStr">
        <is>
          <t>VS26</t>
        </is>
      </c>
      <c r="D2243" s="12" t="inlineStr">
        <is>
          <t>GI Wire</t>
        </is>
      </c>
      <c r="E2243" s="12" t="inlineStr">
        <is>
          <t>N</t>
        </is>
      </c>
      <c r="F2243" s="12" t="n">
        <v>19.48</v>
      </c>
      <c r="G2243" s="17" t="n">
        <v>81784.89999999999</v>
      </c>
      <c r="H2243" s="26" t="n">
        <v>45080</v>
      </c>
      <c r="I2243" s="26" t="n">
        <v>45083</v>
      </c>
      <c r="J2243" s="12" t="n">
        <v>19.31</v>
      </c>
      <c r="K2243" s="17" t="n">
        <v>1593169.85</v>
      </c>
      <c r="L2243" s="12" t="n">
        <v>0</v>
      </c>
      <c r="M2243" s="12" t="n">
        <v>16</v>
      </c>
      <c r="N2243" s="27">
        <f>F2243-J2243</f>
        <v/>
      </c>
      <c r="O2243" s="16">
        <f>I2243-H2243</f>
        <v/>
      </c>
      <c r="P2243" s="14">
        <f>F2243*G2243</f>
        <v/>
      </c>
      <c r="Q2243" s="14">
        <f>J2243*G2243</f>
        <v/>
      </c>
      <c r="R2243" s="14">
        <f>K2243-Q2243</f>
        <v/>
      </c>
      <c r="S2243" s="3">
        <f>P2243*Assumptions!$B$3/100</f>
        <v/>
      </c>
      <c r="T2243" s="14">
        <f>R2243-S2243</f>
        <v/>
      </c>
      <c r="U2243" s="14">
        <f>L2243*G2243</f>
        <v/>
      </c>
    </row>
    <row r="2244">
      <c r="A2244" s="12" t="inlineStr">
        <is>
          <t>PO-2022-2242</t>
        </is>
      </c>
      <c r="B2244" s="26" t="n">
        <v>44410</v>
      </c>
      <c r="C2244" s="12" t="inlineStr">
        <is>
          <t>VS21</t>
        </is>
      </c>
      <c r="D2244" s="12" t="inlineStr">
        <is>
          <t>Spring Steel</t>
        </is>
      </c>
      <c r="E2244" s="12" t="inlineStr">
        <is>
          <t>N</t>
        </is>
      </c>
      <c r="F2244" s="12" t="n">
        <v>24.72</v>
      </c>
      <c r="G2244" s="17" t="n">
        <v>74160.64999999999</v>
      </c>
      <c r="H2244" s="26" t="n">
        <v>44420</v>
      </c>
      <c r="I2244" s="26" t="n">
        <v>44422</v>
      </c>
      <c r="J2244" s="12" t="n">
        <v>24.68</v>
      </c>
      <c r="K2244" s="17" t="n">
        <v>1833251.27</v>
      </c>
      <c r="L2244" s="12" t="n">
        <v>0</v>
      </c>
      <c r="M2244" s="12" t="n">
        <v>0</v>
      </c>
      <c r="N2244" s="27">
        <f>F2244-J2244</f>
        <v/>
      </c>
      <c r="O2244" s="16">
        <f>I2244-H2244</f>
        <v/>
      </c>
      <c r="P2244" s="14">
        <f>F2244*G2244</f>
        <v/>
      </c>
      <c r="Q2244" s="14">
        <f>J2244*G2244</f>
        <v/>
      </c>
      <c r="R2244" s="14">
        <f>K2244-Q2244</f>
        <v/>
      </c>
      <c r="S2244" s="3">
        <f>P2244*Assumptions!$B$3/100</f>
        <v/>
      </c>
      <c r="T2244" s="14">
        <f>R2244-S2244</f>
        <v/>
      </c>
      <c r="U2244" s="14">
        <f>L2244*G2244</f>
        <v/>
      </c>
    </row>
    <row r="2245">
      <c r="A2245" s="12" t="inlineStr">
        <is>
          <t>PO-2022-2243</t>
        </is>
      </c>
      <c r="B2245" s="26" t="n">
        <v>44785</v>
      </c>
      <c r="C2245" s="12" t="inlineStr">
        <is>
          <t>VS04</t>
        </is>
      </c>
      <c r="D2245" s="12" t="inlineStr">
        <is>
          <t>Hex Bars</t>
        </is>
      </c>
      <c r="E2245" s="12" t="inlineStr">
        <is>
          <t>N</t>
        </is>
      </c>
      <c r="F2245" s="12" t="n">
        <v>41.73</v>
      </c>
      <c r="G2245" s="17" t="n">
        <v>59105.92</v>
      </c>
      <c r="H2245" s="26" t="n">
        <v>44789</v>
      </c>
      <c r="I2245" s="26" t="n">
        <v>44789</v>
      </c>
      <c r="J2245" s="12" t="n">
        <v>41.6</v>
      </c>
      <c r="K2245" s="17" t="n">
        <v>2466490.04</v>
      </c>
      <c r="L2245" s="12" t="n">
        <v>0</v>
      </c>
      <c r="M2245" s="12" t="n">
        <v>0</v>
      </c>
      <c r="N2245" s="27">
        <f>F2245-J2245</f>
        <v/>
      </c>
      <c r="O2245" s="16">
        <f>I2245-H2245</f>
        <v/>
      </c>
      <c r="P2245" s="14">
        <f>F2245*G2245</f>
        <v/>
      </c>
      <c r="Q2245" s="14">
        <f>J2245*G2245</f>
        <v/>
      </c>
      <c r="R2245" s="14">
        <f>K2245-Q2245</f>
        <v/>
      </c>
      <c r="S2245" s="3">
        <f>P2245*Assumptions!$B$3/100</f>
        <v/>
      </c>
      <c r="T2245" s="14">
        <f>R2245-S2245</f>
        <v/>
      </c>
      <c r="U2245" s="14">
        <f>L2245*G2245</f>
        <v/>
      </c>
    </row>
    <row r="2246">
      <c r="A2246" s="12" t="inlineStr">
        <is>
          <t>PO-2022-2244</t>
        </is>
      </c>
      <c r="B2246" s="26" t="n">
        <v>44825</v>
      </c>
      <c r="C2246" s="12" t="inlineStr">
        <is>
          <t>VS12</t>
        </is>
      </c>
      <c r="D2246" s="12" t="inlineStr">
        <is>
          <t>MS Flats</t>
        </is>
      </c>
      <c r="E2246" s="12" t="inlineStr">
        <is>
          <t>Y</t>
        </is>
      </c>
      <c r="F2246" s="12" t="n">
        <v>37.22</v>
      </c>
      <c r="G2246" s="17" t="n">
        <v>88474.78999999999</v>
      </c>
      <c r="H2246" s="26" t="n">
        <v>44828</v>
      </c>
      <c r="I2246" s="26" t="n">
        <v>44833</v>
      </c>
      <c r="J2246" s="12" t="n">
        <v>35.45</v>
      </c>
      <c r="K2246" s="17" t="n">
        <v>3293031.68</v>
      </c>
      <c r="L2246" s="12" t="n">
        <v>1.43</v>
      </c>
      <c r="M2246" s="12" t="n">
        <v>20</v>
      </c>
      <c r="N2246" s="27">
        <f>F2246-J2246</f>
        <v/>
      </c>
      <c r="O2246" s="16">
        <f>I2246-H2246</f>
        <v/>
      </c>
      <c r="P2246" s="14">
        <f>F2246*G2246</f>
        <v/>
      </c>
      <c r="Q2246" s="14">
        <f>J2246*G2246</f>
        <v/>
      </c>
      <c r="R2246" s="14">
        <f>K2246-Q2246</f>
        <v/>
      </c>
      <c r="S2246" s="3">
        <f>P2246*Assumptions!$B$3/100</f>
        <v/>
      </c>
      <c r="T2246" s="14">
        <f>R2246-S2246</f>
        <v/>
      </c>
      <c r="U2246" s="14">
        <f>L2246*G2246</f>
        <v/>
      </c>
    </row>
    <row r="2247">
      <c r="A2247" s="12" t="inlineStr">
        <is>
          <t>PO-2022-2245</t>
        </is>
      </c>
      <c r="B2247" s="26" t="n">
        <v>44817</v>
      </c>
      <c r="C2247" s="12" t="inlineStr">
        <is>
          <t>VS25</t>
        </is>
      </c>
      <c r="D2247" s="12" t="inlineStr">
        <is>
          <t>GI Sheets</t>
        </is>
      </c>
      <c r="E2247" s="12" t="inlineStr">
        <is>
          <t>N</t>
        </is>
      </c>
      <c r="F2247" s="12" t="n">
        <v>18.24</v>
      </c>
      <c r="G2247" s="17" t="n">
        <v>85332.28</v>
      </c>
      <c r="H2247" s="26" t="n">
        <v>44830</v>
      </c>
      <c r="I2247" s="26" t="n">
        <v>44833</v>
      </c>
      <c r="J2247" s="12" t="n">
        <v>18.14</v>
      </c>
      <c r="K2247" s="17" t="n">
        <v>1556460.79</v>
      </c>
      <c r="L2247" s="12" t="n">
        <v>0</v>
      </c>
      <c r="M2247" s="12" t="n">
        <v>14</v>
      </c>
      <c r="N2247" s="27">
        <f>F2247-J2247</f>
        <v/>
      </c>
      <c r="O2247" s="16">
        <f>I2247-H2247</f>
        <v/>
      </c>
      <c r="P2247" s="14">
        <f>F2247*G2247</f>
        <v/>
      </c>
      <c r="Q2247" s="14">
        <f>J2247*G2247</f>
        <v/>
      </c>
      <c r="R2247" s="14">
        <f>K2247-Q2247</f>
        <v/>
      </c>
      <c r="S2247" s="3">
        <f>P2247*Assumptions!$B$3/100</f>
        <v/>
      </c>
      <c r="T2247" s="14">
        <f>R2247-S2247</f>
        <v/>
      </c>
      <c r="U2247" s="14">
        <f>L2247*G2247</f>
        <v/>
      </c>
    </row>
    <row r="2248">
      <c r="A2248" s="12" t="inlineStr">
        <is>
          <t>PO-2022-2246</t>
        </is>
      </c>
      <c r="B2248" s="26" t="n">
        <v>45085</v>
      </c>
      <c r="C2248" s="12" t="inlineStr">
        <is>
          <t>VS33</t>
        </is>
      </c>
      <c r="D2248" s="12" t="inlineStr">
        <is>
          <t>Hex Bars</t>
        </is>
      </c>
      <c r="E2248" s="12" t="inlineStr">
        <is>
          <t>N</t>
        </is>
      </c>
      <c r="F2248" s="12" t="n">
        <v>42.61</v>
      </c>
      <c r="G2248" s="17" t="n">
        <v>83155.92</v>
      </c>
      <c r="H2248" s="26" t="n">
        <v>45098</v>
      </c>
      <c r="I2248" s="26" t="n">
        <v>45099</v>
      </c>
      <c r="J2248" s="12" t="n">
        <v>42.29</v>
      </c>
      <c r="K2248" s="17" t="n">
        <v>3543273.75</v>
      </c>
      <c r="L2248" s="12" t="n">
        <v>0</v>
      </c>
      <c r="M2248" s="12" t="n">
        <v>9</v>
      </c>
      <c r="N2248" s="27">
        <f>F2248-J2248</f>
        <v/>
      </c>
      <c r="O2248" s="16">
        <f>I2248-H2248</f>
        <v/>
      </c>
      <c r="P2248" s="14">
        <f>F2248*G2248</f>
        <v/>
      </c>
      <c r="Q2248" s="14">
        <f>J2248*G2248</f>
        <v/>
      </c>
      <c r="R2248" s="14">
        <f>K2248-Q2248</f>
        <v/>
      </c>
      <c r="S2248" s="3">
        <f>P2248*Assumptions!$B$3/100</f>
        <v/>
      </c>
      <c r="T2248" s="14">
        <f>R2248-S2248</f>
        <v/>
      </c>
      <c r="U2248" s="14">
        <f>L2248*G2248</f>
        <v/>
      </c>
    </row>
    <row r="2249">
      <c r="A2249" s="12" t="inlineStr">
        <is>
          <t>PO-2022-2247</t>
        </is>
      </c>
      <c r="B2249" s="26" t="n">
        <v>44288</v>
      </c>
      <c r="C2249" s="12" t="inlineStr">
        <is>
          <t>VS14</t>
        </is>
      </c>
      <c r="D2249" s="12" t="inlineStr">
        <is>
          <t>ERW Pipes</t>
        </is>
      </c>
      <c r="E2249" s="12" t="inlineStr">
        <is>
          <t>N</t>
        </is>
      </c>
      <c r="F2249" s="12" t="n">
        <v>23.4</v>
      </c>
      <c r="G2249" s="17" t="n">
        <v>58927.9</v>
      </c>
      <c r="H2249" s="26" t="n">
        <v>44294</v>
      </c>
      <c r="I2249" s="26" t="n">
        <v>44297</v>
      </c>
      <c r="J2249" s="12" t="n">
        <v>23.35</v>
      </c>
      <c r="K2249" s="17" t="n">
        <v>1378912.86</v>
      </c>
      <c r="L2249" s="12" t="n">
        <v>0</v>
      </c>
      <c r="M2249" s="12" t="n">
        <v>11</v>
      </c>
      <c r="N2249" s="27">
        <f>F2249-J2249</f>
        <v/>
      </c>
      <c r="O2249" s="16">
        <f>I2249-H2249</f>
        <v/>
      </c>
      <c r="P2249" s="14">
        <f>F2249*G2249</f>
        <v/>
      </c>
      <c r="Q2249" s="14">
        <f>J2249*G2249</f>
        <v/>
      </c>
      <c r="R2249" s="14">
        <f>K2249-Q2249</f>
        <v/>
      </c>
      <c r="S2249" s="3">
        <f>P2249*Assumptions!$B$3/100</f>
        <v/>
      </c>
      <c r="T2249" s="14">
        <f>R2249-S2249</f>
        <v/>
      </c>
      <c r="U2249" s="14">
        <f>L2249*G2249</f>
        <v/>
      </c>
    </row>
    <row r="2250">
      <c r="A2250" s="12" t="inlineStr">
        <is>
          <t>PO-2022-2248</t>
        </is>
      </c>
      <c r="B2250" s="26" t="n">
        <v>44852</v>
      </c>
      <c r="C2250" s="12" t="inlineStr">
        <is>
          <t>VS05</t>
        </is>
      </c>
      <c r="D2250" s="12" t="inlineStr">
        <is>
          <t>GI Sheets</t>
        </is>
      </c>
      <c r="E2250" s="12" t="inlineStr">
        <is>
          <t>N</t>
        </is>
      </c>
      <c r="F2250" s="12" t="n">
        <v>25.27</v>
      </c>
      <c r="G2250" s="17" t="n">
        <v>87835.89999999999</v>
      </c>
      <c r="H2250" s="26" t="n">
        <v>44864</v>
      </c>
      <c r="I2250" s="26" t="n">
        <v>44866</v>
      </c>
      <c r="J2250" s="12" t="n">
        <v>25.18</v>
      </c>
      <c r="K2250" s="17" t="n">
        <v>2219613.19</v>
      </c>
      <c r="L2250" s="12" t="n">
        <v>0</v>
      </c>
      <c r="M2250" s="12" t="n">
        <v>17</v>
      </c>
      <c r="N2250" s="27">
        <f>F2250-J2250</f>
        <v/>
      </c>
      <c r="O2250" s="16">
        <f>I2250-H2250</f>
        <v/>
      </c>
      <c r="P2250" s="14">
        <f>F2250*G2250</f>
        <v/>
      </c>
      <c r="Q2250" s="14">
        <f>J2250*G2250</f>
        <v/>
      </c>
      <c r="R2250" s="14">
        <f>K2250-Q2250</f>
        <v/>
      </c>
      <c r="S2250" s="3">
        <f>P2250*Assumptions!$B$3/100</f>
        <v/>
      </c>
      <c r="T2250" s="14">
        <f>R2250-S2250</f>
        <v/>
      </c>
      <c r="U2250" s="14">
        <f>L2250*G2250</f>
        <v/>
      </c>
    </row>
    <row r="2251">
      <c r="A2251" s="12" t="inlineStr">
        <is>
          <t>PO-2022-2249</t>
        </is>
      </c>
      <c r="B2251" s="26" t="n">
        <v>44228</v>
      </c>
      <c r="C2251" s="12" t="inlineStr">
        <is>
          <t>VS03</t>
        </is>
      </c>
      <c r="D2251" s="12" t="inlineStr">
        <is>
          <t>MS Rods</t>
        </is>
      </c>
      <c r="E2251" s="12" t="inlineStr">
        <is>
          <t>N</t>
        </is>
      </c>
      <c r="F2251" s="12" t="n">
        <v>11.1</v>
      </c>
      <c r="G2251" s="17" t="n">
        <v>100572.38</v>
      </c>
      <c r="H2251" s="26" t="n">
        <v>44235</v>
      </c>
      <c r="I2251" s="26" t="n">
        <v>44240</v>
      </c>
      <c r="J2251" s="12" t="n">
        <v>10.63</v>
      </c>
      <c r="K2251" s="17" t="n">
        <v>1116353.42</v>
      </c>
      <c r="L2251" s="12" t="n">
        <v>0.16</v>
      </c>
      <c r="M2251" s="12" t="n">
        <v>0</v>
      </c>
      <c r="N2251" s="27">
        <f>F2251-J2251</f>
        <v/>
      </c>
      <c r="O2251" s="16">
        <f>I2251-H2251</f>
        <v/>
      </c>
      <c r="P2251" s="14">
        <f>F2251*G2251</f>
        <v/>
      </c>
      <c r="Q2251" s="14">
        <f>J2251*G2251</f>
        <v/>
      </c>
      <c r="R2251" s="14">
        <f>K2251-Q2251</f>
        <v/>
      </c>
      <c r="S2251" s="3">
        <f>P2251*Assumptions!$B$3/100</f>
        <v/>
      </c>
      <c r="T2251" s="14">
        <f>R2251-S2251</f>
        <v/>
      </c>
      <c r="U2251" s="14">
        <f>L2251*G2251</f>
        <v/>
      </c>
    </row>
    <row r="2252">
      <c r="A2252" s="12" t="inlineStr">
        <is>
          <t>PO-2022-2250</t>
        </is>
      </c>
      <c r="B2252" s="26" t="n">
        <v>44206</v>
      </c>
      <c r="C2252" s="12" t="inlineStr">
        <is>
          <t>VS16</t>
        </is>
      </c>
      <c r="D2252" s="12" t="inlineStr">
        <is>
          <t>MS Flats</t>
        </is>
      </c>
      <c r="E2252" s="12" t="inlineStr">
        <is>
          <t>N</t>
        </is>
      </c>
      <c r="F2252" s="12" t="n">
        <v>49.24</v>
      </c>
      <c r="G2252" s="17" t="n">
        <v>119031.41</v>
      </c>
      <c r="H2252" s="26" t="n">
        <v>44212</v>
      </c>
      <c r="I2252" s="26" t="n">
        <v>44215</v>
      </c>
      <c r="J2252" s="12" t="n">
        <v>49.13</v>
      </c>
      <c r="K2252" s="17" t="n">
        <v>5861106.63</v>
      </c>
      <c r="L2252" s="12" t="n">
        <v>0</v>
      </c>
      <c r="M2252" s="12" t="n">
        <v>1</v>
      </c>
      <c r="N2252" s="27">
        <f>F2252-J2252</f>
        <v/>
      </c>
      <c r="O2252" s="16">
        <f>I2252-H2252</f>
        <v/>
      </c>
      <c r="P2252" s="14">
        <f>F2252*G2252</f>
        <v/>
      </c>
      <c r="Q2252" s="14">
        <f>J2252*G2252</f>
        <v/>
      </c>
      <c r="R2252" s="14">
        <f>K2252-Q2252</f>
        <v/>
      </c>
      <c r="S2252" s="3">
        <f>P2252*Assumptions!$B$3/100</f>
        <v/>
      </c>
      <c r="T2252" s="14">
        <f>R2252-S2252</f>
        <v/>
      </c>
      <c r="U2252" s="14">
        <f>L2252*G2252</f>
        <v/>
      </c>
    </row>
    <row r="2253">
      <c r="A2253" s="12" t="inlineStr">
        <is>
          <t>PO-2022-2251</t>
        </is>
      </c>
      <c r="B2253" s="26" t="n">
        <v>44958</v>
      </c>
      <c r="C2253" s="12" t="inlineStr">
        <is>
          <t>VS26</t>
        </is>
      </c>
      <c r="D2253" s="12" t="inlineStr">
        <is>
          <t>GI Pipes</t>
        </is>
      </c>
      <c r="E2253" s="12" t="inlineStr">
        <is>
          <t>N</t>
        </is>
      </c>
      <c r="F2253" s="12" t="n">
        <v>8.640000000000001</v>
      </c>
      <c r="G2253" s="17" t="n">
        <v>89906.37</v>
      </c>
      <c r="H2253" s="26" t="n">
        <v>44970</v>
      </c>
      <c r="I2253" s="26" t="n">
        <v>44973</v>
      </c>
      <c r="J2253" s="12" t="n">
        <v>8.609999999999999</v>
      </c>
      <c r="K2253" s="17" t="n">
        <v>776791.04</v>
      </c>
      <c r="L2253" s="12" t="n">
        <v>0</v>
      </c>
      <c r="M2253" s="12" t="n">
        <v>19</v>
      </c>
      <c r="N2253" s="27">
        <f>F2253-J2253</f>
        <v/>
      </c>
      <c r="O2253" s="16">
        <f>I2253-H2253</f>
        <v/>
      </c>
      <c r="P2253" s="14">
        <f>F2253*G2253</f>
        <v/>
      </c>
      <c r="Q2253" s="14">
        <f>J2253*G2253</f>
        <v/>
      </c>
      <c r="R2253" s="14">
        <f>K2253-Q2253</f>
        <v/>
      </c>
      <c r="S2253" s="3">
        <f>P2253*Assumptions!$B$3/100</f>
        <v/>
      </c>
      <c r="T2253" s="14">
        <f>R2253-S2253</f>
        <v/>
      </c>
      <c r="U2253" s="14">
        <f>L2253*G2253</f>
        <v/>
      </c>
    </row>
    <row r="2254">
      <c r="A2254" s="12" t="inlineStr">
        <is>
          <t>PO-2022-2252</t>
        </is>
      </c>
      <c r="B2254" s="26" t="n">
        <v>44725</v>
      </c>
      <c r="C2254" s="12" t="inlineStr">
        <is>
          <t>VS28</t>
        </is>
      </c>
      <c r="D2254" s="12" t="inlineStr">
        <is>
          <t>SS Sheets</t>
        </is>
      </c>
      <c r="E2254" s="12" t="inlineStr">
        <is>
          <t>N</t>
        </is>
      </c>
      <c r="F2254" s="12" t="n">
        <v>11.04</v>
      </c>
      <c r="G2254" s="17" t="n">
        <v>110901.08</v>
      </c>
      <c r="H2254" s="26" t="n">
        <v>44739</v>
      </c>
      <c r="I2254" s="26" t="n">
        <v>44739</v>
      </c>
      <c r="J2254" s="12" t="n">
        <v>11.01</v>
      </c>
      <c r="K2254" s="17" t="n">
        <v>1224347.92</v>
      </c>
      <c r="L2254" s="12" t="n">
        <v>0</v>
      </c>
      <c r="M2254" s="12" t="n">
        <v>24</v>
      </c>
      <c r="N2254" s="27">
        <f>F2254-J2254</f>
        <v/>
      </c>
      <c r="O2254" s="16">
        <f>I2254-H2254</f>
        <v/>
      </c>
      <c r="P2254" s="14">
        <f>F2254*G2254</f>
        <v/>
      </c>
      <c r="Q2254" s="14">
        <f>J2254*G2254</f>
        <v/>
      </c>
      <c r="R2254" s="14">
        <f>K2254-Q2254</f>
        <v/>
      </c>
      <c r="S2254" s="3">
        <f>P2254*Assumptions!$B$3/100</f>
        <v/>
      </c>
      <c r="T2254" s="14">
        <f>R2254-S2254</f>
        <v/>
      </c>
      <c r="U2254" s="14">
        <f>L2254*G2254</f>
        <v/>
      </c>
    </row>
    <row r="2255">
      <c r="A2255" s="12" t="inlineStr">
        <is>
          <t>PO-2022-2253</t>
        </is>
      </c>
      <c r="B2255" s="26" t="n">
        <v>44755</v>
      </c>
      <c r="C2255" s="12" t="inlineStr">
        <is>
          <t>VS27</t>
        </is>
      </c>
      <c r="D2255" s="12" t="inlineStr">
        <is>
          <t>MS Pipes</t>
        </is>
      </c>
      <c r="E2255" s="12" t="inlineStr">
        <is>
          <t>N</t>
        </is>
      </c>
      <c r="F2255" s="12" t="n">
        <v>21.38</v>
      </c>
      <c r="G2255" s="17" t="n">
        <v>76022.99000000001</v>
      </c>
      <c r="H2255" s="26" t="n">
        <v>44762</v>
      </c>
      <c r="I2255" s="26" t="n">
        <v>44762</v>
      </c>
      <c r="J2255" s="12" t="n">
        <v>21.22</v>
      </c>
      <c r="K2255" s="17" t="n">
        <v>1625371.53</v>
      </c>
      <c r="L2255" s="12" t="n">
        <v>0</v>
      </c>
      <c r="M2255" s="12" t="n">
        <v>0</v>
      </c>
      <c r="N2255" s="27">
        <f>F2255-J2255</f>
        <v/>
      </c>
      <c r="O2255" s="16">
        <f>I2255-H2255</f>
        <v/>
      </c>
      <c r="P2255" s="14">
        <f>F2255*G2255</f>
        <v/>
      </c>
      <c r="Q2255" s="14">
        <f>J2255*G2255</f>
        <v/>
      </c>
      <c r="R2255" s="14">
        <f>K2255-Q2255</f>
        <v/>
      </c>
      <c r="S2255" s="3">
        <f>P2255*Assumptions!$B$3/100</f>
        <v/>
      </c>
      <c r="T2255" s="14">
        <f>R2255-S2255</f>
        <v/>
      </c>
      <c r="U2255" s="14">
        <f>L2255*G2255</f>
        <v/>
      </c>
    </row>
    <row r="2256">
      <c r="A2256" s="12" t="inlineStr">
        <is>
          <t>PO-2022-2254</t>
        </is>
      </c>
      <c r="B2256" s="26" t="n">
        <v>44585</v>
      </c>
      <c r="C2256" s="12" t="inlineStr">
        <is>
          <t>VS32</t>
        </is>
      </c>
      <c r="D2256" s="12" t="inlineStr">
        <is>
          <t>CR Sheets</t>
        </is>
      </c>
      <c r="E2256" s="12" t="inlineStr">
        <is>
          <t>N</t>
        </is>
      </c>
      <c r="F2256" s="12" t="n">
        <v>30.41</v>
      </c>
      <c r="G2256" s="17" t="n">
        <v>91990.28</v>
      </c>
      <c r="H2256" s="26" t="n">
        <v>44594</v>
      </c>
      <c r="I2256" s="26" t="n">
        <v>44594</v>
      </c>
      <c r="J2256" s="12" t="n">
        <v>30.35</v>
      </c>
      <c r="K2256" s="17" t="n">
        <v>2797424.41</v>
      </c>
      <c r="L2256" s="12" t="n">
        <v>0</v>
      </c>
      <c r="M2256" s="12" t="n">
        <v>13</v>
      </c>
      <c r="N2256" s="27">
        <f>F2256-J2256</f>
        <v/>
      </c>
      <c r="O2256" s="16">
        <f>I2256-H2256</f>
        <v/>
      </c>
      <c r="P2256" s="14">
        <f>F2256*G2256</f>
        <v/>
      </c>
      <c r="Q2256" s="14">
        <f>J2256*G2256</f>
        <v/>
      </c>
      <c r="R2256" s="14">
        <f>K2256-Q2256</f>
        <v/>
      </c>
      <c r="S2256" s="3">
        <f>P2256*Assumptions!$B$3/100</f>
        <v/>
      </c>
      <c r="T2256" s="14">
        <f>R2256-S2256</f>
        <v/>
      </c>
      <c r="U2256" s="14">
        <f>L2256*G2256</f>
        <v/>
      </c>
    </row>
    <row r="2257">
      <c r="A2257" s="12" t="inlineStr">
        <is>
          <t>PO-2022-2255</t>
        </is>
      </c>
      <c r="B2257" s="26" t="n">
        <v>44282</v>
      </c>
      <c r="C2257" s="12" t="inlineStr">
        <is>
          <t>VS29</t>
        </is>
      </c>
      <c r="D2257" s="12" t="inlineStr">
        <is>
          <t>Square/Rect Tubes</t>
        </is>
      </c>
      <c r="E2257" s="12" t="inlineStr">
        <is>
          <t>N</t>
        </is>
      </c>
      <c r="F2257" s="12" t="n">
        <v>33.49</v>
      </c>
      <c r="G2257" s="17" t="n">
        <v>61723.09</v>
      </c>
      <c r="H2257" s="26" t="n">
        <v>44295</v>
      </c>
      <c r="I2257" s="26" t="n">
        <v>44296</v>
      </c>
      <c r="J2257" s="12" t="n">
        <v>33.24</v>
      </c>
      <c r="K2257" s="17" t="n">
        <v>2067106.28</v>
      </c>
      <c r="L2257" s="12" t="n">
        <v>0</v>
      </c>
      <c r="M2257" s="12" t="n">
        <v>3</v>
      </c>
      <c r="N2257" s="27">
        <f>F2257-J2257</f>
        <v/>
      </c>
      <c r="O2257" s="16">
        <f>I2257-H2257</f>
        <v/>
      </c>
      <c r="P2257" s="14">
        <f>F2257*G2257</f>
        <v/>
      </c>
      <c r="Q2257" s="14">
        <f>J2257*G2257</f>
        <v/>
      </c>
      <c r="R2257" s="14">
        <f>K2257-Q2257</f>
        <v/>
      </c>
      <c r="S2257" s="3">
        <f>P2257*Assumptions!$B$3/100</f>
        <v/>
      </c>
      <c r="T2257" s="14">
        <f>R2257-S2257</f>
        <v/>
      </c>
      <c r="U2257" s="14">
        <f>L2257*G2257</f>
        <v/>
      </c>
    </row>
    <row r="2258">
      <c r="A2258" s="12" t="inlineStr">
        <is>
          <t>PO-2022-2256</t>
        </is>
      </c>
      <c r="B2258" s="26" t="n">
        <v>44431</v>
      </c>
      <c r="C2258" s="12" t="inlineStr">
        <is>
          <t>VS08</t>
        </is>
      </c>
      <c r="D2258" s="12" t="inlineStr">
        <is>
          <t>MS Sheets</t>
        </is>
      </c>
      <c r="E2258" s="12" t="inlineStr">
        <is>
          <t>N</t>
        </is>
      </c>
      <c r="F2258" s="12" t="n">
        <v>45.21</v>
      </c>
      <c r="G2258" s="17" t="n">
        <v>81640.25999999999</v>
      </c>
      <c r="H2258" s="26" t="n">
        <v>44436</v>
      </c>
      <c r="I2258" s="26" t="n">
        <v>44437</v>
      </c>
      <c r="J2258" s="12" t="n">
        <v>44.89</v>
      </c>
      <c r="K2258" s="17" t="n">
        <v>3690956.15</v>
      </c>
      <c r="L2258" s="12" t="n">
        <v>0</v>
      </c>
      <c r="M2258" s="12" t="n">
        <v>0</v>
      </c>
      <c r="N2258" s="27">
        <f>F2258-J2258</f>
        <v/>
      </c>
      <c r="O2258" s="16">
        <f>I2258-H2258</f>
        <v/>
      </c>
      <c r="P2258" s="14">
        <f>F2258*G2258</f>
        <v/>
      </c>
      <c r="Q2258" s="14">
        <f>J2258*G2258</f>
        <v/>
      </c>
      <c r="R2258" s="14">
        <f>K2258-Q2258</f>
        <v/>
      </c>
      <c r="S2258" s="3">
        <f>P2258*Assumptions!$B$3/100</f>
        <v/>
      </c>
      <c r="T2258" s="14">
        <f>R2258-S2258</f>
        <v/>
      </c>
      <c r="U2258" s="14">
        <f>L2258*G2258</f>
        <v/>
      </c>
    </row>
    <row r="2259">
      <c r="A2259" s="12" t="inlineStr">
        <is>
          <t>PO-2022-2257</t>
        </is>
      </c>
      <c r="B2259" s="26" t="n">
        <v>44867</v>
      </c>
      <c r="C2259" s="12" t="inlineStr">
        <is>
          <t>VS11</t>
        </is>
      </c>
      <c r="D2259" s="12" t="inlineStr">
        <is>
          <t>CR Sheets</t>
        </is>
      </c>
      <c r="E2259" s="12" t="inlineStr">
        <is>
          <t>N</t>
        </is>
      </c>
      <c r="F2259" s="12" t="n">
        <v>47.81</v>
      </c>
      <c r="G2259" s="17" t="n">
        <v>98626.75</v>
      </c>
      <c r="H2259" s="26" t="n">
        <v>44881</v>
      </c>
      <c r="I2259" s="26" t="n">
        <v>44883</v>
      </c>
      <c r="J2259" s="12" t="n">
        <v>47.74</v>
      </c>
      <c r="K2259" s="17" t="n">
        <v>4715344.92</v>
      </c>
      <c r="L2259" s="12" t="n">
        <v>0</v>
      </c>
      <c r="M2259" s="12" t="n">
        <v>0</v>
      </c>
      <c r="N2259" s="27">
        <f>F2259-J2259</f>
        <v/>
      </c>
      <c r="O2259" s="16">
        <f>I2259-H2259</f>
        <v/>
      </c>
      <c r="P2259" s="14">
        <f>F2259*G2259</f>
        <v/>
      </c>
      <c r="Q2259" s="14">
        <f>J2259*G2259</f>
        <v/>
      </c>
      <c r="R2259" s="14">
        <f>K2259-Q2259</f>
        <v/>
      </c>
      <c r="S2259" s="3">
        <f>P2259*Assumptions!$B$3/100</f>
        <v/>
      </c>
      <c r="T2259" s="14">
        <f>R2259-S2259</f>
        <v/>
      </c>
      <c r="U2259" s="14">
        <f>L2259*G2259</f>
        <v/>
      </c>
    </row>
    <row r="2260">
      <c r="A2260" s="12" t="inlineStr">
        <is>
          <t>PO-2022-2258</t>
        </is>
      </c>
      <c r="B2260" s="26" t="n">
        <v>45012</v>
      </c>
      <c r="C2260" s="12" t="inlineStr">
        <is>
          <t>VS19</t>
        </is>
      </c>
      <c r="D2260" s="12" t="inlineStr">
        <is>
          <t>Spring Steel</t>
        </is>
      </c>
      <c r="E2260" s="12" t="inlineStr">
        <is>
          <t>N</t>
        </is>
      </c>
      <c r="F2260" s="12" t="n">
        <v>15.04</v>
      </c>
      <c r="G2260" s="17" t="n">
        <v>113529.63</v>
      </c>
      <c r="H2260" s="26" t="n">
        <v>45019</v>
      </c>
      <c r="I2260" s="26" t="n">
        <v>45026</v>
      </c>
      <c r="J2260" s="12" t="n">
        <v>14.37</v>
      </c>
      <c r="K2260" s="17" t="n">
        <v>1707485.64</v>
      </c>
      <c r="L2260" s="12" t="n">
        <v>0.07000000000000001</v>
      </c>
      <c r="M2260" s="12" t="n">
        <v>0</v>
      </c>
      <c r="N2260" s="27">
        <f>F2260-J2260</f>
        <v/>
      </c>
      <c r="O2260" s="16">
        <f>I2260-H2260</f>
        <v/>
      </c>
      <c r="P2260" s="14">
        <f>F2260*G2260</f>
        <v/>
      </c>
      <c r="Q2260" s="14">
        <f>J2260*G2260</f>
        <v/>
      </c>
      <c r="R2260" s="14">
        <f>K2260-Q2260</f>
        <v/>
      </c>
      <c r="S2260" s="3">
        <f>P2260*Assumptions!$B$3/100</f>
        <v/>
      </c>
      <c r="T2260" s="14">
        <f>R2260-S2260</f>
        <v/>
      </c>
      <c r="U2260" s="14">
        <f>L2260*G2260</f>
        <v/>
      </c>
    </row>
    <row r="2261">
      <c r="A2261" s="12" t="inlineStr">
        <is>
          <t>PO-2022-2259</t>
        </is>
      </c>
      <c r="B2261" s="26" t="n">
        <v>44419</v>
      </c>
      <c r="C2261" s="12" t="inlineStr">
        <is>
          <t>VS08</t>
        </is>
      </c>
      <c r="D2261" s="12" t="inlineStr">
        <is>
          <t>MS Rods</t>
        </is>
      </c>
      <c r="E2261" s="12" t="inlineStr">
        <is>
          <t>N</t>
        </is>
      </c>
      <c r="F2261" s="12" t="n">
        <v>41.32</v>
      </c>
      <c r="G2261" s="17" t="n">
        <v>111301.99</v>
      </c>
      <c r="H2261" s="26" t="n">
        <v>44423</v>
      </c>
      <c r="I2261" s="26" t="n">
        <v>44425</v>
      </c>
      <c r="J2261" s="12" t="n">
        <v>41.01</v>
      </c>
      <c r="K2261" s="17" t="n">
        <v>4598998.23</v>
      </c>
      <c r="L2261" s="12" t="n">
        <v>0</v>
      </c>
      <c r="M2261" s="12" t="n">
        <v>22</v>
      </c>
      <c r="N2261" s="27">
        <f>F2261-J2261</f>
        <v/>
      </c>
      <c r="O2261" s="16">
        <f>I2261-H2261</f>
        <v/>
      </c>
      <c r="P2261" s="14">
        <f>F2261*G2261</f>
        <v/>
      </c>
      <c r="Q2261" s="14">
        <f>J2261*G2261</f>
        <v/>
      </c>
      <c r="R2261" s="14">
        <f>K2261-Q2261</f>
        <v/>
      </c>
      <c r="S2261" s="3">
        <f>P2261*Assumptions!$B$3/100</f>
        <v/>
      </c>
      <c r="T2261" s="14">
        <f>R2261-S2261</f>
        <v/>
      </c>
      <c r="U2261" s="14">
        <f>L2261*G2261</f>
        <v/>
      </c>
    </row>
    <row r="2262">
      <c r="A2262" s="12" t="inlineStr">
        <is>
          <t>PO-2022-2260</t>
        </is>
      </c>
      <c r="B2262" s="26" t="n">
        <v>45216</v>
      </c>
      <c r="C2262" s="12" t="inlineStr">
        <is>
          <t>VS13</t>
        </is>
      </c>
      <c r="D2262" s="12" t="inlineStr">
        <is>
          <t>Square/Rect Tubes</t>
        </is>
      </c>
      <c r="E2262" s="12" t="inlineStr">
        <is>
          <t>N</t>
        </is>
      </c>
      <c r="F2262" s="12" t="n">
        <v>26.39</v>
      </c>
      <c r="G2262" s="17" t="n">
        <v>47677.14</v>
      </c>
      <c r="H2262" s="26" t="n">
        <v>45226</v>
      </c>
      <c r="I2262" s="26" t="n">
        <v>45226</v>
      </c>
      <c r="J2262" s="12" t="n">
        <v>26.34</v>
      </c>
      <c r="K2262" s="17" t="n">
        <v>1258199.72</v>
      </c>
      <c r="L2262" s="12" t="n">
        <v>0</v>
      </c>
      <c r="M2262" s="12" t="n">
        <v>0</v>
      </c>
      <c r="N2262" s="27">
        <f>F2262-J2262</f>
        <v/>
      </c>
      <c r="O2262" s="16">
        <f>I2262-H2262</f>
        <v/>
      </c>
      <c r="P2262" s="14">
        <f>F2262*G2262</f>
        <v/>
      </c>
      <c r="Q2262" s="14">
        <f>J2262*G2262</f>
        <v/>
      </c>
      <c r="R2262" s="14">
        <f>K2262-Q2262</f>
        <v/>
      </c>
      <c r="S2262" s="3">
        <f>P2262*Assumptions!$B$3/100</f>
        <v/>
      </c>
      <c r="T2262" s="14">
        <f>R2262-S2262</f>
        <v/>
      </c>
      <c r="U2262" s="14">
        <f>L2262*G2262</f>
        <v/>
      </c>
    </row>
    <row r="2263">
      <c r="A2263" s="12" t="inlineStr">
        <is>
          <t>PO-2022-2261</t>
        </is>
      </c>
      <c r="B2263" s="26" t="n">
        <v>44420</v>
      </c>
      <c r="C2263" s="12" t="inlineStr">
        <is>
          <t>VS08</t>
        </is>
      </c>
      <c r="D2263" s="12" t="inlineStr">
        <is>
          <t>HR Coils</t>
        </is>
      </c>
      <c r="E2263" s="12" t="inlineStr">
        <is>
          <t>N</t>
        </is>
      </c>
      <c r="F2263" s="12" t="n">
        <v>2.86</v>
      </c>
      <c r="G2263" s="17" t="n">
        <v>74104.78999999999</v>
      </c>
      <c r="H2263" s="26" t="n">
        <v>44424</v>
      </c>
      <c r="I2263" s="26" t="n">
        <v>44427</v>
      </c>
      <c r="J2263" s="12" t="n">
        <v>2.85</v>
      </c>
      <c r="K2263" s="17" t="n">
        <v>211939.7</v>
      </c>
      <c r="L2263" s="12" t="n">
        <v>0</v>
      </c>
      <c r="M2263" s="12" t="n">
        <v>21</v>
      </c>
      <c r="N2263" s="27">
        <f>F2263-J2263</f>
        <v/>
      </c>
      <c r="O2263" s="16">
        <f>I2263-H2263</f>
        <v/>
      </c>
      <c r="P2263" s="14">
        <f>F2263*G2263</f>
        <v/>
      </c>
      <c r="Q2263" s="14">
        <f>J2263*G2263</f>
        <v/>
      </c>
      <c r="R2263" s="14">
        <f>K2263-Q2263</f>
        <v/>
      </c>
      <c r="S2263" s="3">
        <f>P2263*Assumptions!$B$3/100</f>
        <v/>
      </c>
      <c r="T2263" s="14">
        <f>R2263-S2263</f>
        <v/>
      </c>
      <c r="U2263" s="14">
        <f>L2263*G2263</f>
        <v/>
      </c>
    </row>
    <row r="2264">
      <c r="A2264" s="12" t="inlineStr">
        <is>
          <t>PO-2022-2262</t>
        </is>
      </c>
      <c r="B2264" s="26" t="n">
        <v>44335</v>
      </c>
      <c r="C2264" s="12" t="inlineStr">
        <is>
          <t>VS16</t>
        </is>
      </c>
      <c r="D2264" s="12" t="inlineStr">
        <is>
          <t>GI Wire</t>
        </is>
      </c>
      <c r="E2264" s="12" t="inlineStr">
        <is>
          <t>N</t>
        </is>
      </c>
      <c r="F2264" s="12" t="n">
        <v>31.15</v>
      </c>
      <c r="G2264" s="17" t="n">
        <v>77858.14</v>
      </c>
      <c r="H2264" s="26" t="n">
        <v>44340</v>
      </c>
      <c r="I2264" s="26" t="n">
        <v>44340</v>
      </c>
      <c r="J2264" s="12" t="n">
        <v>30.89</v>
      </c>
      <c r="K2264" s="17" t="n">
        <v>2425281.06</v>
      </c>
      <c r="L2264" s="12" t="n">
        <v>0</v>
      </c>
      <c r="M2264" s="12" t="n">
        <v>4</v>
      </c>
      <c r="N2264" s="27">
        <f>F2264-J2264</f>
        <v/>
      </c>
      <c r="O2264" s="16">
        <f>I2264-H2264</f>
        <v/>
      </c>
      <c r="P2264" s="14">
        <f>F2264*G2264</f>
        <v/>
      </c>
      <c r="Q2264" s="14">
        <f>J2264*G2264</f>
        <v/>
      </c>
      <c r="R2264" s="14">
        <f>K2264-Q2264</f>
        <v/>
      </c>
      <c r="S2264" s="3">
        <f>P2264*Assumptions!$B$3/100</f>
        <v/>
      </c>
      <c r="T2264" s="14">
        <f>R2264-S2264</f>
        <v/>
      </c>
      <c r="U2264" s="14">
        <f>L2264*G2264</f>
        <v/>
      </c>
    </row>
    <row r="2265">
      <c r="A2265" s="12" t="inlineStr">
        <is>
          <t>PO-2022-2263</t>
        </is>
      </c>
      <c r="B2265" s="26" t="n">
        <v>45102</v>
      </c>
      <c r="C2265" s="12" t="inlineStr">
        <is>
          <t>VS03</t>
        </is>
      </c>
      <c r="D2265" s="12" t="inlineStr">
        <is>
          <t>Hex Bars</t>
        </is>
      </c>
      <c r="E2265" s="12" t="inlineStr">
        <is>
          <t>Y</t>
        </is>
      </c>
      <c r="F2265" s="12" t="n">
        <v>38.57</v>
      </c>
      <c r="G2265" s="17" t="n">
        <v>61539.62</v>
      </c>
      <c r="H2265" s="26" t="n">
        <v>45108</v>
      </c>
      <c r="I2265" s="26" t="n">
        <v>45116</v>
      </c>
      <c r="J2265" s="12" t="n">
        <v>37.19</v>
      </c>
      <c r="K2265" s="17" t="n">
        <v>2373583.14</v>
      </c>
      <c r="L2265" s="12" t="n">
        <v>0.04</v>
      </c>
      <c r="M2265" s="12" t="n">
        <v>12</v>
      </c>
      <c r="N2265" s="27">
        <f>F2265-J2265</f>
        <v/>
      </c>
      <c r="O2265" s="16">
        <f>I2265-H2265</f>
        <v/>
      </c>
      <c r="P2265" s="14">
        <f>F2265*G2265</f>
        <v/>
      </c>
      <c r="Q2265" s="14">
        <f>J2265*G2265</f>
        <v/>
      </c>
      <c r="R2265" s="14">
        <f>K2265-Q2265</f>
        <v/>
      </c>
      <c r="S2265" s="3">
        <f>P2265*Assumptions!$B$3/100</f>
        <v/>
      </c>
      <c r="T2265" s="14">
        <f>R2265-S2265</f>
        <v/>
      </c>
      <c r="U2265" s="14">
        <f>L2265*G2265</f>
        <v/>
      </c>
    </row>
    <row r="2266">
      <c r="A2266" s="12" t="inlineStr">
        <is>
          <t>PO-2022-2264</t>
        </is>
      </c>
      <c r="B2266" s="26" t="n">
        <v>44848</v>
      </c>
      <c r="C2266" s="12" t="inlineStr">
        <is>
          <t>VS03</t>
        </is>
      </c>
      <c r="D2266" s="12" t="inlineStr">
        <is>
          <t>MS Pipes</t>
        </is>
      </c>
      <c r="E2266" s="12" t="inlineStr">
        <is>
          <t>N</t>
        </is>
      </c>
      <c r="F2266" s="12" t="n">
        <v>47.48</v>
      </c>
      <c r="G2266" s="17" t="n">
        <v>73425.10000000001</v>
      </c>
      <c r="H2266" s="26" t="n">
        <v>44855</v>
      </c>
      <c r="I2266" s="26" t="n">
        <v>44863</v>
      </c>
      <c r="J2266" s="12" t="n">
        <v>45.76</v>
      </c>
      <c r="K2266" s="17" t="n">
        <v>3486223.75</v>
      </c>
      <c r="L2266" s="12" t="n">
        <v>0.45</v>
      </c>
      <c r="M2266" s="12" t="n">
        <v>6</v>
      </c>
      <c r="N2266" s="27">
        <f>F2266-J2266</f>
        <v/>
      </c>
      <c r="O2266" s="16">
        <f>I2266-H2266</f>
        <v/>
      </c>
      <c r="P2266" s="14">
        <f>F2266*G2266</f>
        <v/>
      </c>
      <c r="Q2266" s="14">
        <f>J2266*G2266</f>
        <v/>
      </c>
      <c r="R2266" s="14">
        <f>K2266-Q2266</f>
        <v/>
      </c>
      <c r="S2266" s="3">
        <f>P2266*Assumptions!$B$3/100</f>
        <v/>
      </c>
      <c r="T2266" s="14">
        <f>R2266-S2266</f>
        <v/>
      </c>
      <c r="U2266" s="14">
        <f>L2266*G2266</f>
        <v/>
      </c>
    </row>
    <row r="2267">
      <c r="A2267" s="12" t="inlineStr">
        <is>
          <t>PO-2022-2265</t>
        </is>
      </c>
      <c r="B2267" s="26" t="n">
        <v>44556</v>
      </c>
      <c r="C2267" s="12" t="inlineStr">
        <is>
          <t>VS23</t>
        </is>
      </c>
      <c r="D2267" s="12" t="inlineStr">
        <is>
          <t>Fasteners &amp; Fittings</t>
        </is>
      </c>
      <c r="E2267" s="12" t="inlineStr">
        <is>
          <t>N</t>
        </is>
      </c>
      <c r="F2267" s="12" t="n">
        <v>10.83</v>
      </c>
      <c r="G2267" s="17" t="n">
        <v>93310.14</v>
      </c>
      <c r="H2267" s="26" t="n">
        <v>44565</v>
      </c>
      <c r="I2267" s="26" t="n">
        <v>44567</v>
      </c>
      <c r="J2267" s="12" t="n">
        <v>10.82</v>
      </c>
      <c r="K2267" s="17" t="n">
        <v>1010548.82</v>
      </c>
      <c r="L2267" s="12" t="n">
        <v>0</v>
      </c>
      <c r="M2267" s="12" t="n">
        <v>0</v>
      </c>
      <c r="N2267" s="27">
        <f>F2267-J2267</f>
        <v/>
      </c>
      <c r="O2267" s="16">
        <f>I2267-H2267</f>
        <v/>
      </c>
      <c r="P2267" s="14">
        <f>F2267*G2267</f>
        <v/>
      </c>
      <c r="Q2267" s="14">
        <f>J2267*G2267</f>
        <v/>
      </c>
      <c r="R2267" s="14">
        <f>K2267-Q2267</f>
        <v/>
      </c>
      <c r="S2267" s="3">
        <f>P2267*Assumptions!$B$3/100</f>
        <v/>
      </c>
      <c r="T2267" s="14">
        <f>R2267-S2267</f>
        <v/>
      </c>
      <c r="U2267" s="14">
        <f>L2267*G2267</f>
        <v/>
      </c>
    </row>
    <row r="2268">
      <c r="A2268" s="12" t="inlineStr">
        <is>
          <t>PO-2022-2266</t>
        </is>
      </c>
      <c r="B2268" s="26" t="n">
        <v>44975</v>
      </c>
      <c r="C2268" s="12" t="inlineStr">
        <is>
          <t>VS10</t>
        </is>
      </c>
      <c r="D2268" s="12" t="inlineStr">
        <is>
          <t>SS Sheets</t>
        </is>
      </c>
      <c r="E2268" s="12" t="inlineStr">
        <is>
          <t>N</t>
        </is>
      </c>
      <c r="F2268" s="12" t="n">
        <v>25.77</v>
      </c>
      <c r="G2268" s="17" t="n">
        <v>61892.67</v>
      </c>
      <c r="H2268" s="26" t="n">
        <v>44988</v>
      </c>
      <c r="I2268" s="26" t="n">
        <v>44991</v>
      </c>
      <c r="J2268" s="12" t="n">
        <v>25.59</v>
      </c>
      <c r="K2268" s="17" t="n">
        <v>1594974.11</v>
      </c>
      <c r="L2268" s="12" t="n">
        <v>0</v>
      </c>
      <c r="M2268" s="12" t="n">
        <v>25</v>
      </c>
      <c r="N2268" s="27">
        <f>F2268-J2268</f>
        <v/>
      </c>
      <c r="O2268" s="16">
        <f>I2268-H2268</f>
        <v/>
      </c>
      <c r="P2268" s="14">
        <f>F2268*G2268</f>
        <v/>
      </c>
      <c r="Q2268" s="14">
        <f>J2268*G2268</f>
        <v/>
      </c>
      <c r="R2268" s="14">
        <f>K2268-Q2268</f>
        <v/>
      </c>
      <c r="S2268" s="3">
        <f>P2268*Assumptions!$B$3/100</f>
        <v/>
      </c>
      <c r="T2268" s="14">
        <f>R2268-S2268</f>
        <v/>
      </c>
      <c r="U2268" s="14">
        <f>L2268*G2268</f>
        <v/>
      </c>
    </row>
    <row r="2269">
      <c r="A2269" s="12" t="inlineStr">
        <is>
          <t>PO-2022-2267</t>
        </is>
      </c>
      <c r="B2269" s="26" t="n">
        <v>44595</v>
      </c>
      <c r="C2269" s="12" t="inlineStr">
        <is>
          <t>VS22</t>
        </is>
      </c>
      <c r="D2269" s="12" t="inlineStr">
        <is>
          <t>Fasteners &amp; Fittings</t>
        </is>
      </c>
      <c r="E2269" s="12" t="inlineStr">
        <is>
          <t>N</t>
        </is>
      </c>
      <c r="F2269" s="12" t="n">
        <v>2.24</v>
      </c>
      <c r="G2269" s="17" t="n">
        <v>78039.78999999999</v>
      </c>
      <c r="H2269" s="26" t="n">
        <v>44601</v>
      </c>
      <c r="I2269" s="26" t="n">
        <v>44603</v>
      </c>
      <c r="J2269" s="12" t="n">
        <v>2.22</v>
      </c>
      <c r="K2269" s="17" t="n">
        <v>174809.13</v>
      </c>
      <c r="L2269" s="12" t="n">
        <v>0</v>
      </c>
      <c r="M2269" s="12" t="n">
        <v>0</v>
      </c>
      <c r="N2269" s="27">
        <f>F2269-J2269</f>
        <v/>
      </c>
      <c r="O2269" s="16">
        <f>I2269-H2269</f>
        <v/>
      </c>
      <c r="P2269" s="14">
        <f>F2269*G2269</f>
        <v/>
      </c>
      <c r="Q2269" s="14">
        <f>J2269*G2269</f>
        <v/>
      </c>
      <c r="R2269" s="14">
        <f>K2269-Q2269</f>
        <v/>
      </c>
      <c r="S2269" s="3">
        <f>P2269*Assumptions!$B$3/100</f>
        <v/>
      </c>
      <c r="T2269" s="14">
        <f>R2269-S2269</f>
        <v/>
      </c>
      <c r="U2269" s="14">
        <f>L2269*G2269</f>
        <v/>
      </c>
    </row>
    <row r="2270">
      <c r="A2270" s="12" t="inlineStr">
        <is>
          <t>PO-2022-2268</t>
        </is>
      </c>
      <c r="B2270" s="26" t="n">
        <v>45279</v>
      </c>
      <c r="C2270" s="12" t="inlineStr">
        <is>
          <t>VS19</t>
        </is>
      </c>
      <c r="D2270" s="12" t="inlineStr">
        <is>
          <t>Spring Steel</t>
        </is>
      </c>
      <c r="E2270" s="12" t="inlineStr">
        <is>
          <t>N</t>
        </is>
      </c>
      <c r="F2270" s="12" t="n">
        <v>8.890000000000001</v>
      </c>
      <c r="G2270" s="17" t="n">
        <v>89475.62</v>
      </c>
      <c r="H2270" s="26" t="n">
        <v>45287</v>
      </c>
      <c r="I2270" s="26" t="n">
        <v>45289</v>
      </c>
      <c r="J2270" s="12" t="n">
        <v>8.68</v>
      </c>
      <c r="K2270" s="17" t="n">
        <v>795438.26</v>
      </c>
      <c r="L2270" s="12" t="n">
        <v>0.29</v>
      </c>
      <c r="M2270" s="12" t="n">
        <v>17</v>
      </c>
      <c r="N2270" s="27">
        <f>F2270-J2270</f>
        <v/>
      </c>
      <c r="O2270" s="16">
        <f>I2270-H2270</f>
        <v/>
      </c>
      <c r="P2270" s="14">
        <f>F2270*G2270</f>
        <v/>
      </c>
      <c r="Q2270" s="14">
        <f>J2270*G2270</f>
        <v/>
      </c>
      <c r="R2270" s="14">
        <f>K2270-Q2270</f>
        <v/>
      </c>
      <c r="S2270" s="3">
        <f>P2270*Assumptions!$B$3/100</f>
        <v/>
      </c>
      <c r="T2270" s="14">
        <f>R2270-S2270</f>
        <v/>
      </c>
      <c r="U2270" s="14">
        <f>L2270*G2270</f>
        <v/>
      </c>
    </row>
    <row r="2271">
      <c r="A2271" s="12" t="inlineStr">
        <is>
          <t>PO-2022-2269</t>
        </is>
      </c>
      <c r="B2271" s="26" t="n">
        <v>44313</v>
      </c>
      <c r="C2271" s="12" t="inlineStr">
        <is>
          <t>VS08</t>
        </is>
      </c>
      <c r="D2271" s="12" t="inlineStr">
        <is>
          <t>SS Pipes</t>
        </is>
      </c>
      <c r="E2271" s="12" t="inlineStr">
        <is>
          <t>N</t>
        </is>
      </c>
      <c r="F2271" s="12" t="n">
        <v>21.09</v>
      </c>
      <c r="G2271" s="17" t="n">
        <v>85070.53</v>
      </c>
      <c r="H2271" s="26" t="n">
        <v>44325</v>
      </c>
      <c r="I2271" s="26" t="n">
        <v>44325</v>
      </c>
      <c r="J2271" s="12" t="n">
        <v>20.89</v>
      </c>
      <c r="K2271" s="17" t="n">
        <v>1794137.48</v>
      </c>
      <c r="L2271" s="12" t="n">
        <v>0</v>
      </c>
      <c r="M2271" s="12" t="n">
        <v>17</v>
      </c>
      <c r="N2271" s="27">
        <f>F2271-J2271</f>
        <v/>
      </c>
      <c r="O2271" s="16">
        <f>I2271-H2271</f>
        <v/>
      </c>
      <c r="P2271" s="14">
        <f>F2271*G2271</f>
        <v/>
      </c>
      <c r="Q2271" s="14">
        <f>J2271*G2271</f>
        <v/>
      </c>
      <c r="R2271" s="14">
        <f>K2271-Q2271</f>
        <v/>
      </c>
      <c r="S2271" s="3">
        <f>P2271*Assumptions!$B$3/100</f>
        <v/>
      </c>
      <c r="T2271" s="14">
        <f>R2271-S2271</f>
        <v/>
      </c>
      <c r="U2271" s="14">
        <f>L2271*G2271</f>
        <v/>
      </c>
    </row>
    <row r="2272">
      <c r="A2272" s="12" t="inlineStr">
        <is>
          <t>PO-2022-2270</t>
        </is>
      </c>
      <c r="B2272" s="26" t="n">
        <v>44544</v>
      </c>
      <c r="C2272" s="12" t="inlineStr">
        <is>
          <t>VS21</t>
        </is>
      </c>
      <c r="D2272" s="12" t="inlineStr">
        <is>
          <t>Angles &amp; Channels</t>
        </is>
      </c>
      <c r="E2272" s="12" t="inlineStr">
        <is>
          <t>N</t>
        </is>
      </c>
      <c r="F2272" s="12" t="n">
        <v>2.88</v>
      </c>
      <c r="G2272" s="17" t="n">
        <v>112613.97</v>
      </c>
      <c r="H2272" s="26" t="n">
        <v>44557</v>
      </c>
      <c r="I2272" s="26" t="n">
        <v>44559</v>
      </c>
      <c r="J2272" s="12" t="n">
        <v>2.85</v>
      </c>
      <c r="K2272" s="17" t="n">
        <v>324328.23</v>
      </c>
      <c r="L2272" s="12" t="n">
        <v>0</v>
      </c>
      <c r="M2272" s="12" t="n">
        <v>24</v>
      </c>
      <c r="N2272" s="27">
        <f>F2272-J2272</f>
        <v/>
      </c>
      <c r="O2272" s="16">
        <f>I2272-H2272</f>
        <v/>
      </c>
      <c r="P2272" s="14">
        <f>F2272*G2272</f>
        <v/>
      </c>
      <c r="Q2272" s="14">
        <f>J2272*G2272</f>
        <v/>
      </c>
      <c r="R2272" s="14">
        <f>K2272-Q2272</f>
        <v/>
      </c>
      <c r="S2272" s="3">
        <f>P2272*Assumptions!$B$3/100</f>
        <v/>
      </c>
      <c r="T2272" s="14">
        <f>R2272-S2272</f>
        <v/>
      </c>
      <c r="U2272" s="14">
        <f>L2272*G2272</f>
        <v/>
      </c>
    </row>
    <row r="2273">
      <c r="A2273" s="12" t="inlineStr">
        <is>
          <t>PO-2022-2271</t>
        </is>
      </c>
      <c r="B2273" s="26" t="n">
        <v>44675</v>
      </c>
      <c r="C2273" s="12" t="inlineStr">
        <is>
          <t>VS01</t>
        </is>
      </c>
      <c r="D2273" s="12" t="inlineStr">
        <is>
          <t>MS Rods</t>
        </is>
      </c>
      <c r="E2273" s="12" t="inlineStr">
        <is>
          <t>N</t>
        </is>
      </c>
      <c r="F2273" s="12" t="n">
        <v>1.17</v>
      </c>
      <c r="G2273" s="17" t="n">
        <v>49381.32</v>
      </c>
      <c r="H2273" s="26" t="n">
        <v>44684</v>
      </c>
      <c r="I2273" s="26" t="n">
        <v>44684</v>
      </c>
      <c r="J2273" s="12" t="n">
        <v>1.17</v>
      </c>
      <c r="K2273" s="17" t="n">
        <v>57776.14</v>
      </c>
      <c r="L2273" s="12" t="n">
        <v>0</v>
      </c>
      <c r="M2273" s="12" t="n">
        <v>1</v>
      </c>
      <c r="N2273" s="27">
        <f>F2273-J2273</f>
        <v/>
      </c>
      <c r="O2273" s="16">
        <f>I2273-H2273</f>
        <v/>
      </c>
      <c r="P2273" s="14">
        <f>F2273*G2273</f>
        <v/>
      </c>
      <c r="Q2273" s="14">
        <f>J2273*G2273</f>
        <v/>
      </c>
      <c r="R2273" s="14">
        <f>K2273-Q2273</f>
        <v/>
      </c>
      <c r="S2273" s="3">
        <f>P2273*Assumptions!$B$3/100</f>
        <v/>
      </c>
      <c r="T2273" s="14">
        <f>R2273-S2273</f>
        <v/>
      </c>
      <c r="U2273" s="14">
        <f>L2273*G2273</f>
        <v/>
      </c>
    </row>
    <row r="2274">
      <c r="A2274" s="12" t="inlineStr">
        <is>
          <t>PO-2022-2272</t>
        </is>
      </c>
      <c r="B2274" s="26" t="n">
        <v>44442</v>
      </c>
      <c r="C2274" s="12" t="inlineStr">
        <is>
          <t>VS15</t>
        </is>
      </c>
      <c r="D2274" s="12" t="inlineStr">
        <is>
          <t>GI Pipes</t>
        </is>
      </c>
      <c r="E2274" s="12" t="inlineStr">
        <is>
          <t>N</t>
        </is>
      </c>
      <c r="F2274" s="12" t="n">
        <v>28.62</v>
      </c>
      <c r="G2274" s="17" t="n">
        <v>50544.3</v>
      </c>
      <c r="H2274" s="26" t="n">
        <v>44455</v>
      </c>
      <c r="I2274" s="26" t="n">
        <v>44456</v>
      </c>
      <c r="J2274" s="12" t="n">
        <v>28.34</v>
      </c>
      <c r="K2274" s="17" t="n">
        <v>1446577.87</v>
      </c>
      <c r="L2274" s="12" t="n">
        <v>0</v>
      </c>
      <c r="M2274" s="12" t="n">
        <v>24</v>
      </c>
      <c r="N2274" s="27">
        <f>F2274-J2274</f>
        <v/>
      </c>
      <c r="O2274" s="16">
        <f>I2274-H2274</f>
        <v/>
      </c>
      <c r="P2274" s="14">
        <f>F2274*G2274</f>
        <v/>
      </c>
      <c r="Q2274" s="14">
        <f>J2274*G2274</f>
        <v/>
      </c>
      <c r="R2274" s="14">
        <f>K2274-Q2274</f>
        <v/>
      </c>
      <c r="S2274" s="3">
        <f>P2274*Assumptions!$B$3/100</f>
        <v/>
      </c>
      <c r="T2274" s="14">
        <f>R2274-S2274</f>
        <v/>
      </c>
      <c r="U2274" s="14">
        <f>L2274*G2274</f>
        <v/>
      </c>
    </row>
    <row r="2275">
      <c r="A2275" s="12" t="inlineStr">
        <is>
          <t>PO-2022-2273</t>
        </is>
      </c>
      <c r="B2275" s="26" t="n">
        <v>45172</v>
      </c>
      <c r="C2275" s="12" t="inlineStr">
        <is>
          <t>VS25</t>
        </is>
      </c>
      <c r="D2275" s="12" t="inlineStr">
        <is>
          <t>SS Sheets</t>
        </is>
      </c>
      <c r="E2275" s="12" t="inlineStr">
        <is>
          <t>N</t>
        </is>
      </c>
      <c r="F2275" s="12" t="n">
        <v>34.59</v>
      </c>
      <c r="G2275" s="17" t="n">
        <v>74007.53999999999</v>
      </c>
      <c r="H2275" s="26" t="n">
        <v>45186</v>
      </c>
      <c r="I2275" s="26" t="n">
        <v>45189</v>
      </c>
      <c r="J2275" s="12" t="n">
        <v>34.28</v>
      </c>
      <c r="K2275" s="17" t="n">
        <v>2559920.81</v>
      </c>
      <c r="L2275" s="12" t="n">
        <v>0</v>
      </c>
      <c r="M2275" s="12" t="n">
        <v>7</v>
      </c>
      <c r="N2275" s="27">
        <f>F2275-J2275</f>
        <v/>
      </c>
      <c r="O2275" s="16">
        <f>I2275-H2275</f>
        <v/>
      </c>
      <c r="P2275" s="14">
        <f>F2275*G2275</f>
        <v/>
      </c>
      <c r="Q2275" s="14">
        <f>J2275*G2275</f>
        <v/>
      </c>
      <c r="R2275" s="14">
        <f>K2275-Q2275</f>
        <v/>
      </c>
      <c r="S2275" s="3">
        <f>P2275*Assumptions!$B$3/100</f>
        <v/>
      </c>
      <c r="T2275" s="14">
        <f>R2275-S2275</f>
        <v/>
      </c>
      <c r="U2275" s="14">
        <f>L2275*G2275</f>
        <v/>
      </c>
    </row>
    <row r="2276">
      <c r="A2276" s="12" t="inlineStr">
        <is>
          <t>PO-2022-2274</t>
        </is>
      </c>
      <c r="B2276" s="26" t="n">
        <v>44683</v>
      </c>
      <c r="C2276" s="12" t="inlineStr">
        <is>
          <t>VS32</t>
        </is>
      </c>
      <c r="D2276" s="12" t="inlineStr">
        <is>
          <t>CR Sheets</t>
        </is>
      </c>
      <c r="E2276" s="12" t="inlineStr">
        <is>
          <t>N</t>
        </is>
      </c>
      <c r="F2276" s="12" t="n">
        <v>17.91</v>
      </c>
      <c r="G2276" s="17" t="n">
        <v>119098.31</v>
      </c>
      <c r="H2276" s="26" t="n">
        <v>44693</v>
      </c>
      <c r="I2276" s="26" t="n">
        <v>44696</v>
      </c>
      <c r="J2276" s="12" t="n">
        <v>17.85</v>
      </c>
      <c r="K2276" s="17" t="n">
        <v>2133050.73</v>
      </c>
      <c r="L2276" s="12" t="n">
        <v>0</v>
      </c>
      <c r="M2276" s="12" t="n">
        <v>20</v>
      </c>
      <c r="N2276" s="27">
        <f>F2276-J2276</f>
        <v/>
      </c>
      <c r="O2276" s="16">
        <f>I2276-H2276</f>
        <v/>
      </c>
      <c r="P2276" s="14">
        <f>F2276*G2276</f>
        <v/>
      </c>
      <c r="Q2276" s="14">
        <f>J2276*G2276</f>
        <v/>
      </c>
      <c r="R2276" s="14">
        <f>K2276-Q2276</f>
        <v/>
      </c>
      <c r="S2276" s="3">
        <f>P2276*Assumptions!$B$3/100</f>
        <v/>
      </c>
      <c r="T2276" s="14">
        <f>R2276-S2276</f>
        <v/>
      </c>
      <c r="U2276" s="14">
        <f>L2276*G2276</f>
        <v/>
      </c>
    </row>
    <row r="2277">
      <c r="A2277" s="12" t="inlineStr">
        <is>
          <t>PO-2022-2275</t>
        </is>
      </c>
      <c r="B2277" s="26" t="n">
        <v>45178</v>
      </c>
      <c r="C2277" s="12" t="inlineStr">
        <is>
          <t>VS10</t>
        </is>
      </c>
      <c r="D2277" s="12" t="inlineStr">
        <is>
          <t>Fasteners &amp; Fittings</t>
        </is>
      </c>
      <c r="E2277" s="12" t="inlineStr">
        <is>
          <t>N</t>
        </is>
      </c>
      <c r="F2277" s="12" t="n">
        <v>27.29</v>
      </c>
      <c r="G2277" s="17" t="n">
        <v>72010.14</v>
      </c>
      <c r="H2277" s="26" t="n">
        <v>45183</v>
      </c>
      <c r="I2277" s="26" t="n">
        <v>45183</v>
      </c>
      <c r="J2277" s="12" t="n">
        <v>27.23</v>
      </c>
      <c r="K2277" s="17" t="n">
        <v>1965156.72</v>
      </c>
      <c r="L2277" s="12" t="n">
        <v>0</v>
      </c>
      <c r="M2277" s="12" t="n">
        <v>0</v>
      </c>
      <c r="N2277" s="27">
        <f>F2277-J2277</f>
        <v/>
      </c>
      <c r="O2277" s="16">
        <f>I2277-H2277</f>
        <v/>
      </c>
      <c r="P2277" s="14">
        <f>F2277*G2277</f>
        <v/>
      </c>
      <c r="Q2277" s="14">
        <f>J2277*G2277</f>
        <v/>
      </c>
      <c r="R2277" s="14">
        <f>K2277-Q2277</f>
        <v/>
      </c>
      <c r="S2277" s="3">
        <f>P2277*Assumptions!$B$3/100</f>
        <v/>
      </c>
      <c r="T2277" s="14">
        <f>R2277-S2277</f>
        <v/>
      </c>
      <c r="U2277" s="14">
        <f>L2277*G2277</f>
        <v/>
      </c>
    </row>
    <row r="2278">
      <c r="A2278" s="12" t="inlineStr">
        <is>
          <t>PO-2022-2276</t>
        </is>
      </c>
      <c r="B2278" s="26" t="n">
        <v>44784</v>
      </c>
      <c r="C2278" s="12" t="inlineStr">
        <is>
          <t>VS12</t>
        </is>
      </c>
      <c r="D2278" s="12" t="inlineStr">
        <is>
          <t>MS Rods</t>
        </is>
      </c>
      <c r="E2278" s="12" t="inlineStr">
        <is>
          <t>N</t>
        </is>
      </c>
      <c r="F2278" s="12" t="n">
        <v>49.96</v>
      </c>
      <c r="G2278" s="17" t="n">
        <v>115591.12</v>
      </c>
      <c r="H2278" s="26" t="n">
        <v>44792</v>
      </c>
      <c r="I2278" s="26" t="n">
        <v>44795</v>
      </c>
      <c r="J2278" s="12" t="n">
        <v>47.57</v>
      </c>
      <c r="K2278" s="17" t="n">
        <v>5774932.36</v>
      </c>
      <c r="L2278" s="12" t="n">
        <v>1.61</v>
      </c>
      <c r="M2278" s="12" t="n">
        <v>20</v>
      </c>
      <c r="N2278" s="27">
        <f>F2278-J2278</f>
        <v/>
      </c>
      <c r="O2278" s="16">
        <f>I2278-H2278</f>
        <v/>
      </c>
      <c r="P2278" s="14">
        <f>F2278*G2278</f>
        <v/>
      </c>
      <c r="Q2278" s="14">
        <f>J2278*G2278</f>
        <v/>
      </c>
      <c r="R2278" s="14">
        <f>K2278-Q2278</f>
        <v/>
      </c>
      <c r="S2278" s="3">
        <f>P2278*Assumptions!$B$3/100</f>
        <v/>
      </c>
      <c r="T2278" s="14">
        <f>R2278-S2278</f>
        <v/>
      </c>
      <c r="U2278" s="14">
        <f>L2278*G2278</f>
        <v/>
      </c>
    </row>
    <row r="2279">
      <c r="A2279" s="12" t="inlineStr">
        <is>
          <t>PO-2022-2277</t>
        </is>
      </c>
      <c r="B2279" s="26" t="n">
        <v>44239</v>
      </c>
      <c r="C2279" s="12" t="inlineStr">
        <is>
          <t>VS28</t>
        </is>
      </c>
      <c r="D2279" s="12" t="inlineStr">
        <is>
          <t>SS Sheets</t>
        </is>
      </c>
      <c r="E2279" s="12" t="inlineStr">
        <is>
          <t>N</t>
        </is>
      </c>
      <c r="F2279" s="12" t="n">
        <v>8.06</v>
      </c>
      <c r="G2279" s="17" t="n">
        <v>79494.91</v>
      </c>
      <c r="H2279" s="26" t="n">
        <v>44253</v>
      </c>
      <c r="I2279" s="26" t="n">
        <v>44254</v>
      </c>
      <c r="J2279" s="12" t="n">
        <v>8.029999999999999</v>
      </c>
      <c r="K2279" s="17" t="n">
        <v>640728.97</v>
      </c>
      <c r="L2279" s="12" t="n">
        <v>0</v>
      </c>
      <c r="M2279" s="12" t="n">
        <v>23</v>
      </c>
      <c r="N2279" s="27">
        <f>F2279-J2279</f>
        <v/>
      </c>
      <c r="O2279" s="16">
        <f>I2279-H2279</f>
        <v/>
      </c>
      <c r="P2279" s="14">
        <f>F2279*G2279</f>
        <v/>
      </c>
      <c r="Q2279" s="14">
        <f>J2279*G2279</f>
        <v/>
      </c>
      <c r="R2279" s="14">
        <f>K2279-Q2279</f>
        <v/>
      </c>
      <c r="S2279" s="3">
        <f>P2279*Assumptions!$B$3/100</f>
        <v/>
      </c>
      <c r="T2279" s="14">
        <f>R2279-S2279</f>
        <v/>
      </c>
      <c r="U2279" s="14">
        <f>L2279*G2279</f>
        <v/>
      </c>
    </row>
    <row r="2280">
      <c r="A2280" s="12" t="inlineStr">
        <is>
          <t>PO-2022-2278</t>
        </is>
      </c>
      <c r="B2280" s="26" t="n">
        <v>44661</v>
      </c>
      <c r="C2280" s="12" t="inlineStr">
        <is>
          <t>VS26</t>
        </is>
      </c>
      <c r="D2280" s="12" t="inlineStr">
        <is>
          <t>Square/Rect Tubes</t>
        </is>
      </c>
      <c r="E2280" s="12" t="inlineStr">
        <is>
          <t>N</t>
        </is>
      </c>
      <c r="F2280" s="12" t="n">
        <v>42.17</v>
      </c>
      <c r="G2280" s="17" t="n">
        <v>71470.60000000001</v>
      </c>
      <c r="H2280" s="26" t="n">
        <v>44670</v>
      </c>
      <c r="I2280" s="26" t="n">
        <v>44673</v>
      </c>
      <c r="J2280" s="12" t="n">
        <v>42.02</v>
      </c>
      <c r="K2280" s="17" t="n">
        <v>3013915.2</v>
      </c>
      <c r="L2280" s="12" t="n">
        <v>0</v>
      </c>
      <c r="M2280" s="12" t="n">
        <v>20</v>
      </c>
      <c r="N2280" s="27">
        <f>F2280-J2280</f>
        <v/>
      </c>
      <c r="O2280" s="16">
        <f>I2280-H2280</f>
        <v/>
      </c>
      <c r="P2280" s="14">
        <f>F2280*G2280</f>
        <v/>
      </c>
      <c r="Q2280" s="14">
        <f>J2280*G2280</f>
        <v/>
      </c>
      <c r="R2280" s="14">
        <f>K2280-Q2280</f>
        <v/>
      </c>
      <c r="S2280" s="3">
        <f>P2280*Assumptions!$B$3/100</f>
        <v/>
      </c>
      <c r="T2280" s="14">
        <f>R2280-S2280</f>
        <v/>
      </c>
      <c r="U2280" s="14">
        <f>L2280*G2280</f>
        <v/>
      </c>
    </row>
    <row r="2281">
      <c r="A2281" s="12" t="inlineStr">
        <is>
          <t>PO-2022-2279</t>
        </is>
      </c>
      <c r="B2281" s="26" t="n">
        <v>45059</v>
      </c>
      <c r="C2281" s="12" t="inlineStr">
        <is>
          <t>VS27</t>
        </is>
      </c>
      <c r="D2281" s="12" t="inlineStr">
        <is>
          <t>Fasteners &amp; Fittings</t>
        </is>
      </c>
      <c r="E2281" s="12" t="inlineStr">
        <is>
          <t>N</t>
        </is>
      </c>
      <c r="F2281" s="12" t="n">
        <v>36.94</v>
      </c>
      <c r="G2281" s="17" t="n">
        <v>78291.97</v>
      </c>
      <c r="H2281" s="26" t="n">
        <v>45068</v>
      </c>
      <c r="I2281" s="26" t="n">
        <v>45070</v>
      </c>
      <c r="J2281" s="12" t="n">
        <v>36.87</v>
      </c>
      <c r="K2281" s="17" t="n">
        <v>2892105.37</v>
      </c>
      <c r="L2281" s="12" t="n">
        <v>0</v>
      </c>
      <c r="M2281" s="12" t="n">
        <v>5</v>
      </c>
      <c r="N2281" s="27">
        <f>F2281-J2281</f>
        <v/>
      </c>
      <c r="O2281" s="16">
        <f>I2281-H2281</f>
        <v/>
      </c>
      <c r="P2281" s="14">
        <f>F2281*G2281</f>
        <v/>
      </c>
      <c r="Q2281" s="14">
        <f>J2281*G2281</f>
        <v/>
      </c>
      <c r="R2281" s="14">
        <f>K2281-Q2281</f>
        <v/>
      </c>
      <c r="S2281" s="3">
        <f>P2281*Assumptions!$B$3/100</f>
        <v/>
      </c>
      <c r="T2281" s="14">
        <f>R2281-S2281</f>
        <v/>
      </c>
      <c r="U2281" s="14">
        <f>L2281*G2281</f>
        <v/>
      </c>
    </row>
    <row r="2282">
      <c r="A2282" s="12" t="inlineStr">
        <is>
          <t>PO-2022-2280</t>
        </is>
      </c>
      <c r="B2282" s="26" t="n">
        <v>45146</v>
      </c>
      <c r="C2282" s="12" t="inlineStr">
        <is>
          <t>VS24</t>
        </is>
      </c>
      <c r="D2282" s="12" t="inlineStr">
        <is>
          <t>MS Flats</t>
        </is>
      </c>
      <c r="E2282" s="12" t="inlineStr">
        <is>
          <t>N</t>
        </is>
      </c>
      <c r="F2282" s="12" t="n">
        <v>16.97</v>
      </c>
      <c r="G2282" s="17" t="n">
        <v>74916.23</v>
      </c>
      <c r="H2282" s="26" t="n">
        <v>45160</v>
      </c>
      <c r="I2282" s="26" t="n">
        <v>45162</v>
      </c>
      <c r="J2282" s="12" t="n">
        <v>16.91</v>
      </c>
      <c r="K2282" s="17" t="n">
        <v>1271328.42</v>
      </c>
      <c r="L2282" s="12" t="n">
        <v>0</v>
      </c>
      <c r="M2282" s="12" t="n">
        <v>0</v>
      </c>
      <c r="N2282" s="27">
        <f>F2282-J2282</f>
        <v/>
      </c>
      <c r="O2282" s="16">
        <f>I2282-H2282</f>
        <v/>
      </c>
      <c r="P2282" s="14">
        <f>F2282*G2282</f>
        <v/>
      </c>
      <c r="Q2282" s="14">
        <f>J2282*G2282</f>
        <v/>
      </c>
      <c r="R2282" s="14">
        <f>K2282-Q2282</f>
        <v/>
      </c>
      <c r="S2282" s="3">
        <f>P2282*Assumptions!$B$3/100</f>
        <v/>
      </c>
      <c r="T2282" s="14">
        <f>R2282-S2282</f>
        <v/>
      </c>
      <c r="U2282" s="14">
        <f>L2282*G2282</f>
        <v/>
      </c>
    </row>
    <row r="2283">
      <c r="A2283" s="12" t="inlineStr">
        <is>
          <t>PO-2022-2281</t>
        </is>
      </c>
      <c r="B2283" s="26" t="n">
        <v>45282</v>
      </c>
      <c r="C2283" s="12" t="inlineStr">
        <is>
          <t>VS14</t>
        </is>
      </c>
      <c r="D2283" s="12" t="inlineStr">
        <is>
          <t>HR Coils</t>
        </is>
      </c>
      <c r="E2283" s="12" t="inlineStr">
        <is>
          <t>N</t>
        </is>
      </c>
      <c r="F2283" s="12" t="n">
        <v>11.63</v>
      </c>
      <c r="G2283" s="17" t="n">
        <v>59322.38</v>
      </c>
      <c r="H2283" s="26" t="n">
        <v>45288</v>
      </c>
      <c r="I2283" s="26" t="n">
        <v>45291</v>
      </c>
      <c r="J2283" s="12" t="n">
        <v>11.53</v>
      </c>
      <c r="K2283" s="17" t="n">
        <v>689919.28</v>
      </c>
      <c r="L2283" s="12" t="n">
        <v>0</v>
      </c>
      <c r="M2283" s="12" t="n">
        <v>13</v>
      </c>
      <c r="N2283" s="27">
        <f>F2283-J2283</f>
        <v/>
      </c>
      <c r="O2283" s="16">
        <f>I2283-H2283</f>
        <v/>
      </c>
      <c r="P2283" s="14">
        <f>F2283*G2283</f>
        <v/>
      </c>
      <c r="Q2283" s="14">
        <f>J2283*G2283</f>
        <v/>
      </c>
      <c r="R2283" s="14">
        <f>K2283-Q2283</f>
        <v/>
      </c>
      <c r="S2283" s="3">
        <f>P2283*Assumptions!$B$3/100</f>
        <v/>
      </c>
      <c r="T2283" s="14">
        <f>R2283-S2283</f>
        <v/>
      </c>
      <c r="U2283" s="14">
        <f>L2283*G2283</f>
        <v/>
      </c>
    </row>
    <row r="2284">
      <c r="A2284" s="12" t="inlineStr">
        <is>
          <t>PO-2022-2282</t>
        </is>
      </c>
      <c r="B2284" s="26" t="n">
        <v>44941</v>
      </c>
      <c r="C2284" s="12" t="inlineStr">
        <is>
          <t>VS30</t>
        </is>
      </c>
      <c r="D2284" s="12" t="inlineStr">
        <is>
          <t>Spring Steel</t>
        </is>
      </c>
      <c r="E2284" s="12" t="inlineStr">
        <is>
          <t>N</t>
        </is>
      </c>
      <c r="F2284" s="12" t="n">
        <v>43.26</v>
      </c>
      <c r="G2284" s="17" t="n">
        <v>104405.87</v>
      </c>
      <c r="H2284" s="26" t="n">
        <v>44949</v>
      </c>
      <c r="I2284" s="26" t="n">
        <v>44949</v>
      </c>
      <c r="J2284" s="12" t="n">
        <v>43.24</v>
      </c>
      <c r="K2284" s="17" t="n">
        <v>4516597.94</v>
      </c>
      <c r="L2284" s="12" t="n">
        <v>0</v>
      </c>
      <c r="M2284" s="12" t="n">
        <v>0</v>
      </c>
      <c r="N2284" s="27">
        <f>F2284-J2284</f>
        <v/>
      </c>
      <c r="O2284" s="16">
        <f>I2284-H2284</f>
        <v/>
      </c>
      <c r="P2284" s="14">
        <f>F2284*G2284</f>
        <v/>
      </c>
      <c r="Q2284" s="14">
        <f>J2284*G2284</f>
        <v/>
      </c>
      <c r="R2284" s="14">
        <f>K2284-Q2284</f>
        <v/>
      </c>
      <c r="S2284" s="3">
        <f>P2284*Assumptions!$B$3/100</f>
        <v/>
      </c>
      <c r="T2284" s="14">
        <f>R2284-S2284</f>
        <v/>
      </c>
      <c r="U2284" s="14">
        <f>L2284*G2284</f>
        <v/>
      </c>
    </row>
    <row r="2285">
      <c r="A2285" s="12" t="inlineStr">
        <is>
          <t>PO-2022-2283</t>
        </is>
      </c>
      <c r="B2285" s="26" t="n">
        <v>44825</v>
      </c>
      <c r="C2285" s="12" t="inlineStr">
        <is>
          <t>VS14</t>
        </is>
      </c>
      <c r="D2285" s="12" t="inlineStr">
        <is>
          <t>MS Rods</t>
        </is>
      </c>
      <c r="E2285" s="12" t="inlineStr">
        <is>
          <t>N</t>
        </is>
      </c>
      <c r="F2285" s="12" t="n">
        <v>7.93</v>
      </c>
      <c r="G2285" s="17" t="n">
        <v>53148.76</v>
      </c>
      <c r="H2285" s="26" t="n">
        <v>44838</v>
      </c>
      <c r="I2285" s="26" t="n">
        <v>44840</v>
      </c>
      <c r="J2285" s="12" t="n">
        <v>7.87</v>
      </c>
      <c r="K2285" s="17" t="n">
        <v>421469.67</v>
      </c>
      <c r="L2285" s="12" t="n">
        <v>0</v>
      </c>
      <c r="M2285" s="12" t="n">
        <v>6</v>
      </c>
      <c r="N2285" s="27">
        <f>F2285-J2285</f>
        <v/>
      </c>
      <c r="O2285" s="16">
        <f>I2285-H2285</f>
        <v/>
      </c>
      <c r="P2285" s="14">
        <f>F2285*G2285</f>
        <v/>
      </c>
      <c r="Q2285" s="14">
        <f>J2285*G2285</f>
        <v/>
      </c>
      <c r="R2285" s="14">
        <f>K2285-Q2285</f>
        <v/>
      </c>
      <c r="S2285" s="3">
        <f>P2285*Assumptions!$B$3/100</f>
        <v/>
      </c>
      <c r="T2285" s="14">
        <f>R2285-S2285</f>
        <v/>
      </c>
      <c r="U2285" s="14">
        <f>L2285*G2285</f>
        <v/>
      </c>
    </row>
    <row r="2286">
      <c r="A2286" s="12" t="inlineStr">
        <is>
          <t>PO-2022-2284</t>
        </is>
      </c>
      <c r="B2286" s="26" t="n">
        <v>45123</v>
      </c>
      <c r="C2286" s="12" t="inlineStr">
        <is>
          <t>VS20</t>
        </is>
      </c>
      <c r="D2286" s="12" t="inlineStr">
        <is>
          <t>GI Wire</t>
        </is>
      </c>
      <c r="E2286" s="12" t="inlineStr">
        <is>
          <t>N</t>
        </is>
      </c>
      <c r="F2286" s="12" t="n">
        <v>3.49</v>
      </c>
      <c r="G2286" s="17" t="n">
        <v>61288.36</v>
      </c>
      <c r="H2286" s="26" t="n">
        <v>45134</v>
      </c>
      <c r="I2286" s="26" t="n">
        <v>45137</v>
      </c>
      <c r="J2286" s="12" t="n">
        <v>3.48</v>
      </c>
      <c r="K2286" s="17" t="n">
        <v>213896.38</v>
      </c>
      <c r="L2286" s="12" t="n">
        <v>0</v>
      </c>
      <c r="M2286" s="12" t="n">
        <v>25</v>
      </c>
      <c r="N2286" s="27">
        <f>F2286-J2286</f>
        <v/>
      </c>
      <c r="O2286" s="16">
        <f>I2286-H2286</f>
        <v/>
      </c>
      <c r="P2286" s="14">
        <f>F2286*G2286</f>
        <v/>
      </c>
      <c r="Q2286" s="14">
        <f>J2286*G2286</f>
        <v/>
      </c>
      <c r="R2286" s="14">
        <f>K2286-Q2286</f>
        <v/>
      </c>
      <c r="S2286" s="3">
        <f>P2286*Assumptions!$B$3/100</f>
        <v/>
      </c>
      <c r="T2286" s="14">
        <f>R2286-S2286</f>
        <v/>
      </c>
      <c r="U2286" s="14">
        <f>L2286*G2286</f>
        <v/>
      </c>
    </row>
    <row r="2287">
      <c r="A2287" s="12" t="inlineStr">
        <is>
          <t>PO-2022-2285</t>
        </is>
      </c>
      <c r="B2287" s="26" t="n">
        <v>44517</v>
      </c>
      <c r="C2287" s="12" t="inlineStr">
        <is>
          <t>VS25</t>
        </is>
      </c>
      <c r="D2287" s="12" t="inlineStr">
        <is>
          <t>Hex Bars</t>
        </is>
      </c>
      <c r="E2287" s="12" t="inlineStr">
        <is>
          <t>N</t>
        </is>
      </c>
      <c r="F2287" s="12" t="n">
        <v>22.16</v>
      </c>
      <c r="G2287" s="17" t="n">
        <v>115739.95</v>
      </c>
      <c r="H2287" s="26" t="n">
        <v>44520</v>
      </c>
      <c r="I2287" s="26" t="n">
        <v>44522</v>
      </c>
      <c r="J2287" s="12" t="n">
        <v>22.13</v>
      </c>
      <c r="K2287" s="17" t="n">
        <v>2564797.29</v>
      </c>
      <c r="L2287" s="12" t="n">
        <v>0</v>
      </c>
      <c r="M2287" s="12" t="n">
        <v>14</v>
      </c>
      <c r="N2287" s="27">
        <f>F2287-J2287</f>
        <v/>
      </c>
      <c r="O2287" s="16">
        <f>I2287-H2287</f>
        <v/>
      </c>
      <c r="P2287" s="14">
        <f>F2287*G2287</f>
        <v/>
      </c>
      <c r="Q2287" s="14">
        <f>J2287*G2287</f>
        <v/>
      </c>
      <c r="R2287" s="14">
        <f>K2287-Q2287</f>
        <v/>
      </c>
      <c r="S2287" s="3">
        <f>P2287*Assumptions!$B$3/100</f>
        <v/>
      </c>
      <c r="T2287" s="14">
        <f>R2287-S2287</f>
        <v/>
      </c>
      <c r="U2287" s="14">
        <f>L2287*G2287</f>
        <v/>
      </c>
    </row>
    <row r="2288">
      <c r="A2288" s="12" t="inlineStr">
        <is>
          <t>PO-2022-2286</t>
        </is>
      </c>
      <c r="B2288" s="26" t="n">
        <v>44619</v>
      </c>
      <c r="C2288" s="12" t="inlineStr">
        <is>
          <t>VS25</t>
        </is>
      </c>
      <c r="D2288" s="12" t="inlineStr">
        <is>
          <t>MS Sheets</t>
        </is>
      </c>
      <c r="E2288" s="12" t="inlineStr">
        <is>
          <t>Y</t>
        </is>
      </c>
      <c r="F2288" s="12" t="n">
        <v>14.39</v>
      </c>
      <c r="G2288" s="17" t="n">
        <v>100947.88</v>
      </c>
      <c r="H2288" s="26" t="n">
        <v>44631</v>
      </c>
      <c r="I2288" s="26" t="n">
        <v>44633</v>
      </c>
      <c r="J2288" s="12" t="n">
        <v>14.28</v>
      </c>
      <c r="K2288" s="17" t="n">
        <v>1452639.99</v>
      </c>
      <c r="L2288" s="12" t="n">
        <v>0</v>
      </c>
      <c r="M2288" s="12" t="n">
        <v>0</v>
      </c>
      <c r="N2288" s="27">
        <f>F2288-J2288</f>
        <v/>
      </c>
      <c r="O2288" s="16">
        <f>I2288-H2288</f>
        <v/>
      </c>
      <c r="P2288" s="14">
        <f>F2288*G2288</f>
        <v/>
      </c>
      <c r="Q2288" s="14">
        <f>J2288*G2288</f>
        <v/>
      </c>
      <c r="R2288" s="14">
        <f>K2288-Q2288</f>
        <v/>
      </c>
      <c r="S2288" s="3">
        <f>P2288*Assumptions!$B$3/100</f>
        <v/>
      </c>
      <c r="T2288" s="14">
        <f>R2288-S2288</f>
        <v/>
      </c>
      <c r="U2288" s="14">
        <f>L2288*G2288</f>
        <v/>
      </c>
    </row>
    <row r="2289">
      <c r="A2289" s="12" t="inlineStr">
        <is>
          <t>PO-2022-2287</t>
        </is>
      </c>
      <c r="B2289" s="26" t="n">
        <v>44516</v>
      </c>
      <c r="C2289" s="12" t="inlineStr">
        <is>
          <t>VS26</t>
        </is>
      </c>
      <c r="D2289" s="12" t="inlineStr">
        <is>
          <t>GI Sheets</t>
        </is>
      </c>
      <c r="E2289" s="12" t="inlineStr">
        <is>
          <t>N</t>
        </is>
      </c>
      <c r="F2289" s="12" t="n">
        <v>8.380000000000001</v>
      </c>
      <c r="G2289" s="17" t="n">
        <v>68736.8</v>
      </c>
      <c r="H2289" s="26" t="n">
        <v>44522</v>
      </c>
      <c r="I2289" s="26" t="n">
        <v>44523</v>
      </c>
      <c r="J2289" s="12" t="n">
        <v>8.33</v>
      </c>
      <c r="K2289" s="17" t="n">
        <v>576014.38</v>
      </c>
      <c r="L2289" s="12" t="n">
        <v>0</v>
      </c>
      <c r="M2289" s="12" t="n">
        <v>21</v>
      </c>
      <c r="N2289" s="27">
        <f>F2289-J2289</f>
        <v/>
      </c>
      <c r="O2289" s="16">
        <f>I2289-H2289</f>
        <v/>
      </c>
      <c r="P2289" s="14">
        <f>F2289*G2289</f>
        <v/>
      </c>
      <c r="Q2289" s="14">
        <f>J2289*G2289</f>
        <v/>
      </c>
      <c r="R2289" s="14">
        <f>K2289-Q2289</f>
        <v/>
      </c>
      <c r="S2289" s="3">
        <f>P2289*Assumptions!$B$3/100</f>
        <v/>
      </c>
      <c r="T2289" s="14">
        <f>R2289-S2289</f>
        <v/>
      </c>
      <c r="U2289" s="14">
        <f>L2289*G2289</f>
        <v/>
      </c>
    </row>
    <row r="2290">
      <c r="A2290" s="12" t="inlineStr">
        <is>
          <t>PO-2022-2288</t>
        </is>
      </c>
      <c r="B2290" s="26" t="n">
        <v>44464</v>
      </c>
      <c r="C2290" s="12" t="inlineStr">
        <is>
          <t>VS32</t>
        </is>
      </c>
      <c r="D2290" s="12" t="inlineStr">
        <is>
          <t>MS Flats</t>
        </is>
      </c>
      <c r="E2290" s="12" t="inlineStr">
        <is>
          <t>N</t>
        </is>
      </c>
      <c r="F2290" s="12" t="n">
        <v>30.91</v>
      </c>
      <c r="G2290" s="17" t="n">
        <v>102254.45</v>
      </c>
      <c r="H2290" s="26" t="n">
        <v>44475</v>
      </c>
      <c r="I2290" s="26" t="n">
        <v>44477</v>
      </c>
      <c r="J2290" s="12" t="n">
        <v>30.62</v>
      </c>
      <c r="K2290" s="17" t="n">
        <v>3160685.05</v>
      </c>
      <c r="L2290" s="12" t="n">
        <v>0</v>
      </c>
      <c r="M2290" s="12" t="n">
        <v>2</v>
      </c>
      <c r="N2290" s="27">
        <f>F2290-J2290</f>
        <v/>
      </c>
      <c r="O2290" s="16">
        <f>I2290-H2290</f>
        <v/>
      </c>
      <c r="P2290" s="14">
        <f>F2290*G2290</f>
        <v/>
      </c>
      <c r="Q2290" s="14">
        <f>J2290*G2290</f>
        <v/>
      </c>
      <c r="R2290" s="14">
        <f>K2290-Q2290</f>
        <v/>
      </c>
      <c r="S2290" s="3">
        <f>P2290*Assumptions!$B$3/100</f>
        <v/>
      </c>
      <c r="T2290" s="14">
        <f>R2290-S2290</f>
        <v/>
      </c>
      <c r="U2290" s="14">
        <f>L2290*G2290</f>
        <v/>
      </c>
    </row>
    <row r="2291">
      <c r="A2291" s="12" t="inlineStr">
        <is>
          <t>PO-2022-2289</t>
        </is>
      </c>
      <c r="B2291" s="26" t="n">
        <v>44269</v>
      </c>
      <c r="C2291" s="12" t="inlineStr">
        <is>
          <t>VS07</t>
        </is>
      </c>
      <c r="D2291" s="12" t="inlineStr">
        <is>
          <t>SS Pipes</t>
        </is>
      </c>
      <c r="E2291" s="12" t="inlineStr">
        <is>
          <t>N</t>
        </is>
      </c>
      <c r="F2291" s="12" t="n">
        <v>5.2</v>
      </c>
      <c r="G2291" s="17" t="n">
        <v>45650.15</v>
      </c>
      <c r="H2291" s="26" t="n">
        <v>44272</v>
      </c>
      <c r="I2291" s="26" t="n">
        <v>44274</v>
      </c>
      <c r="J2291" s="12" t="n">
        <v>5.19</v>
      </c>
      <c r="K2291" s="17" t="n">
        <v>237380.78</v>
      </c>
      <c r="L2291" s="12" t="n">
        <v>0</v>
      </c>
      <c r="M2291" s="12" t="n">
        <v>0</v>
      </c>
      <c r="N2291" s="27">
        <f>F2291-J2291</f>
        <v/>
      </c>
      <c r="O2291" s="16">
        <f>I2291-H2291</f>
        <v/>
      </c>
      <c r="P2291" s="14">
        <f>F2291*G2291</f>
        <v/>
      </c>
      <c r="Q2291" s="14">
        <f>J2291*G2291</f>
        <v/>
      </c>
      <c r="R2291" s="14">
        <f>K2291-Q2291</f>
        <v/>
      </c>
      <c r="S2291" s="3">
        <f>P2291*Assumptions!$B$3/100</f>
        <v/>
      </c>
      <c r="T2291" s="14">
        <f>R2291-S2291</f>
        <v/>
      </c>
      <c r="U2291" s="14">
        <f>L2291*G2291</f>
        <v/>
      </c>
    </row>
    <row r="2292">
      <c r="A2292" s="12" t="inlineStr">
        <is>
          <t>PO-2022-2290</t>
        </is>
      </c>
      <c r="B2292" s="26" t="n">
        <v>44875</v>
      </c>
      <c r="C2292" s="12" t="inlineStr">
        <is>
          <t>VS06</t>
        </is>
      </c>
      <c r="D2292" s="12" t="inlineStr">
        <is>
          <t>MS Flats</t>
        </is>
      </c>
      <c r="E2292" s="12" t="inlineStr">
        <is>
          <t>N</t>
        </is>
      </c>
      <c r="F2292" s="12" t="n">
        <v>46.65</v>
      </c>
      <c r="G2292" s="17" t="n">
        <v>71752.23</v>
      </c>
      <c r="H2292" s="26" t="n">
        <v>44889</v>
      </c>
      <c r="I2292" s="26" t="n">
        <v>44891</v>
      </c>
      <c r="J2292" s="12" t="n">
        <v>46.63</v>
      </c>
      <c r="K2292" s="17" t="n">
        <v>3347241.53</v>
      </c>
      <c r="L2292" s="12" t="n">
        <v>0</v>
      </c>
      <c r="M2292" s="12" t="n">
        <v>0</v>
      </c>
      <c r="N2292" s="27">
        <f>F2292-J2292</f>
        <v/>
      </c>
      <c r="O2292" s="16">
        <f>I2292-H2292</f>
        <v/>
      </c>
      <c r="P2292" s="14">
        <f>F2292*G2292</f>
        <v/>
      </c>
      <c r="Q2292" s="14">
        <f>J2292*G2292</f>
        <v/>
      </c>
      <c r="R2292" s="14">
        <f>K2292-Q2292</f>
        <v/>
      </c>
      <c r="S2292" s="3">
        <f>P2292*Assumptions!$B$3/100</f>
        <v/>
      </c>
      <c r="T2292" s="14">
        <f>R2292-S2292</f>
        <v/>
      </c>
      <c r="U2292" s="14">
        <f>L2292*G2292</f>
        <v/>
      </c>
    </row>
    <row r="2293">
      <c r="A2293" s="12" t="inlineStr">
        <is>
          <t>PO-2022-2291</t>
        </is>
      </c>
      <c r="B2293" s="26" t="n">
        <v>44505</v>
      </c>
      <c r="C2293" s="12" t="inlineStr">
        <is>
          <t>VS14</t>
        </is>
      </c>
      <c r="D2293" s="12" t="inlineStr">
        <is>
          <t>SS Sheets</t>
        </is>
      </c>
      <c r="E2293" s="12" t="inlineStr">
        <is>
          <t>N</t>
        </is>
      </c>
      <c r="F2293" s="12" t="n">
        <v>42.19</v>
      </c>
      <c r="G2293" s="17" t="n">
        <v>72220.5</v>
      </c>
      <c r="H2293" s="26" t="n">
        <v>44513</v>
      </c>
      <c r="I2293" s="26" t="n">
        <v>44514</v>
      </c>
      <c r="J2293" s="12" t="n">
        <v>41.82</v>
      </c>
      <c r="K2293" s="17" t="n">
        <v>3046982.9</v>
      </c>
      <c r="L2293" s="12" t="n">
        <v>0</v>
      </c>
      <c r="M2293" s="12" t="n">
        <v>0</v>
      </c>
      <c r="N2293" s="27">
        <f>F2293-J2293</f>
        <v/>
      </c>
      <c r="O2293" s="16">
        <f>I2293-H2293</f>
        <v/>
      </c>
      <c r="P2293" s="14">
        <f>F2293*G2293</f>
        <v/>
      </c>
      <c r="Q2293" s="14">
        <f>J2293*G2293</f>
        <v/>
      </c>
      <c r="R2293" s="14">
        <f>K2293-Q2293</f>
        <v/>
      </c>
      <c r="S2293" s="3">
        <f>P2293*Assumptions!$B$3/100</f>
        <v/>
      </c>
      <c r="T2293" s="14">
        <f>R2293-S2293</f>
        <v/>
      </c>
      <c r="U2293" s="14">
        <f>L2293*G2293</f>
        <v/>
      </c>
    </row>
    <row r="2294">
      <c r="A2294" s="12" t="inlineStr">
        <is>
          <t>PO-2022-2292</t>
        </is>
      </c>
      <c r="B2294" s="26" t="n">
        <v>45111</v>
      </c>
      <c r="C2294" s="12" t="inlineStr">
        <is>
          <t>VS31</t>
        </is>
      </c>
      <c r="D2294" s="12" t="inlineStr">
        <is>
          <t>MS Flats</t>
        </is>
      </c>
      <c r="E2294" s="12" t="inlineStr">
        <is>
          <t>N</t>
        </is>
      </c>
      <c r="F2294" s="12" t="n">
        <v>35.48</v>
      </c>
      <c r="G2294" s="17" t="n">
        <v>66730.58</v>
      </c>
      <c r="H2294" s="26" t="n">
        <v>45115</v>
      </c>
      <c r="I2294" s="26" t="n">
        <v>45117</v>
      </c>
      <c r="J2294" s="12" t="n">
        <v>35.34</v>
      </c>
      <c r="K2294" s="17" t="n">
        <v>2367600.98</v>
      </c>
      <c r="L2294" s="12" t="n">
        <v>0</v>
      </c>
      <c r="M2294" s="12" t="n">
        <v>0</v>
      </c>
      <c r="N2294" s="27">
        <f>F2294-J2294</f>
        <v/>
      </c>
      <c r="O2294" s="16">
        <f>I2294-H2294</f>
        <v/>
      </c>
      <c r="P2294" s="14">
        <f>F2294*G2294</f>
        <v/>
      </c>
      <c r="Q2294" s="14">
        <f>J2294*G2294</f>
        <v/>
      </c>
      <c r="R2294" s="14">
        <f>K2294-Q2294</f>
        <v/>
      </c>
      <c r="S2294" s="3">
        <f>P2294*Assumptions!$B$3/100</f>
        <v/>
      </c>
      <c r="T2294" s="14">
        <f>R2294-S2294</f>
        <v/>
      </c>
      <c r="U2294" s="14">
        <f>L2294*G2294</f>
        <v/>
      </c>
    </row>
    <row r="2295">
      <c r="A2295" s="12" t="inlineStr">
        <is>
          <t>PO-2022-2293</t>
        </is>
      </c>
      <c r="B2295" s="26" t="n">
        <v>44524</v>
      </c>
      <c r="C2295" s="12" t="inlineStr">
        <is>
          <t>VS10</t>
        </is>
      </c>
      <c r="D2295" s="12" t="inlineStr">
        <is>
          <t>MS Sheets</t>
        </is>
      </c>
      <c r="E2295" s="12" t="inlineStr">
        <is>
          <t>Y</t>
        </is>
      </c>
      <c r="F2295" s="12" t="n">
        <v>21.34</v>
      </c>
      <c r="G2295" s="17" t="n">
        <v>84922.89</v>
      </c>
      <c r="H2295" s="26" t="n">
        <v>44536</v>
      </c>
      <c r="I2295" s="26" t="n">
        <v>44536</v>
      </c>
      <c r="J2295" s="12" t="n">
        <v>21.27</v>
      </c>
      <c r="K2295" s="17" t="n">
        <v>1812254.47</v>
      </c>
      <c r="L2295" s="12" t="n">
        <v>0</v>
      </c>
      <c r="M2295" s="12" t="n">
        <v>0</v>
      </c>
      <c r="N2295" s="27">
        <f>F2295-J2295</f>
        <v/>
      </c>
      <c r="O2295" s="16">
        <f>I2295-H2295</f>
        <v/>
      </c>
      <c r="P2295" s="14">
        <f>F2295*G2295</f>
        <v/>
      </c>
      <c r="Q2295" s="14">
        <f>J2295*G2295</f>
        <v/>
      </c>
      <c r="R2295" s="14">
        <f>K2295-Q2295</f>
        <v/>
      </c>
      <c r="S2295" s="3">
        <f>P2295*Assumptions!$B$3/100</f>
        <v/>
      </c>
      <c r="T2295" s="14">
        <f>R2295-S2295</f>
        <v/>
      </c>
      <c r="U2295" s="14">
        <f>L2295*G2295</f>
        <v/>
      </c>
    </row>
    <row r="2296">
      <c r="A2296" s="12" t="inlineStr">
        <is>
          <t>PO-2022-2294</t>
        </is>
      </c>
      <c r="B2296" s="26" t="n">
        <v>45036</v>
      </c>
      <c r="C2296" s="12" t="inlineStr">
        <is>
          <t>VS11</t>
        </is>
      </c>
      <c r="D2296" s="12" t="inlineStr">
        <is>
          <t>Spring Steel</t>
        </is>
      </c>
      <c r="E2296" s="12" t="inlineStr">
        <is>
          <t>N</t>
        </is>
      </c>
      <c r="F2296" s="12" t="n">
        <v>28.06</v>
      </c>
      <c r="G2296" s="17" t="n">
        <v>80217.58</v>
      </c>
      <c r="H2296" s="26" t="n">
        <v>45043</v>
      </c>
      <c r="I2296" s="26" t="n">
        <v>45045</v>
      </c>
      <c r="J2296" s="12" t="n">
        <v>28.03</v>
      </c>
      <c r="K2296" s="17" t="n">
        <v>2250905.29</v>
      </c>
      <c r="L2296" s="12" t="n">
        <v>0</v>
      </c>
      <c r="M2296" s="12" t="n">
        <v>11</v>
      </c>
      <c r="N2296" s="27">
        <f>F2296-J2296</f>
        <v/>
      </c>
      <c r="O2296" s="16">
        <f>I2296-H2296</f>
        <v/>
      </c>
      <c r="P2296" s="14">
        <f>F2296*G2296</f>
        <v/>
      </c>
      <c r="Q2296" s="14">
        <f>J2296*G2296</f>
        <v/>
      </c>
      <c r="R2296" s="14">
        <f>K2296-Q2296</f>
        <v/>
      </c>
      <c r="S2296" s="3">
        <f>P2296*Assumptions!$B$3/100</f>
        <v/>
      </c>
      <c r="T2296" s="14">
        <f>R2296-S2296</f>
        <v/>
      </c>
      <c r="U2296" s="14">
        <f>L2296*G2296</f>
        <v/>
      </c>
    </row>
    <row r="2297">
      <c r="A2297" s="12" t="inlineStr">
        <is>
          <t>PO-2022-2295</t>
        </is>
      </c>
      <c r="B2297" s="26" t="n">
        <v>44707</v>
      </c>
      <c r="C2297" s="12" t="inlineStr">
        <is>
          <t>VS08</t>
        </is>
      </c>
      <c r="D2297" s="12" t="inlineStr">
        <is>
          <t>Square/Rect Tubes</t>
        </is>
      </c>
      <c r="E2297" s="12" t="inlineStr">
        <is>
          <t>N</t>
        </is>
      </c>
      <c r="F2297" s="12" t="n">
        <v>45.55</v>
      </c>
      <c r="G2297" s="17" t="n">
        <v>52280.17</v>
      </c>
      <c r="H2297" s="26" t="n">
        <v>44710</v>
      </c>
      <c r="I2297" s="26" t="n">
        <v>44710</v>
      </c>
      <c r="J2297" s="12" t="n">
        <v>45.25</v>
      </c>
      <c r="K2297" s="17" t="n">
        <v>2381361.74</v>
      </c>
      <c r="L2297" s="12" t="n">
        <v>0</v>
      </c>
      <c r="M2297" s="12" t="n">
        <v>0</v>
      </c>
      <c r="N2297" s="27">
        <f>F2297-J2297</f>
        <v/>
      </c>
      <c r="O2297" s="16">
        <f>I2297-H2297</f>
        <v/>
      </c>
      <c r="P2297" s="14">
        <f>F2297*G2297</f>
        <v/>
      </c>
      <c r="Q2297" s="14">
        <f>J2297*G2297</f>
        <v/>
      </c>
      <c r="R2297" s="14">
        <f>K2297-Q2297</f>
        <v/>
      </c>
      <c r="S2297" s="3">
        <f>P2297*Assumptions!$B$3/100</f>
        <v/>
      </c>
      <c r="T2297" s="14">
        <f>R2297-S2297</f>
        <v/>
      </c>
      <c r="U2297" s="14">
        <f>L2297*G2297</f>
        <v/>
      </c>
    </row>
    <row r="2298">
      <c r="A2298" s="12" t="inlineStr">
        <is>
          <t>PO-2022-2296</t>
        </is>
      </c>
      <c r="B2298" s="26" t="n">
        <v>44474</v>
      </c>
      <c r="C2298" s="12" t="inlineStr">
        <is>
          <t>VS25</t>
        </is>
      </c>
      <c r="D2298" s="12" t="inlineStr">
        <is>
          <t>Structural Steel</t>
        </is>
      </c>
      <c r="E2298" s="12" t="inlineStr">
        <is>
          <t>N</t>
        </is>
      </c>
      <c r="F2298" s="12" t="n">
        <v>19.59</v>
      </c>
      <c r="G2298" s="17" t="n">
        <v>57784.35</v>
      </c>
      <c r="H2298" s="26" t="n">
        <v>44477</v>
      </c>
      <c r="I2298" s="26" t="n">
        <v>44479</v>
      </c>
      <c r="J2298" s="12" t="n">
        <v>19.4</v>
      </c>
      <c r="K2298" s="17" t="n">
        <v>1131995.42</v>
      </c>
      <c r="L2298" s="12" t="n">
        <v>0</v>
      </c>
      <c r="M2298" s="12" t="n">
        <v>0</v>
      </c>
      <c r="N2298" s="27">
        <f>F2298-J2298</f>
        <v/>
      </c>
      <c r="O2298" s="16">
        <f>I2298-H2298</f>
        <v/>
      </c>
      <c r="P2298" s="14">
        <f>F2298*G2298</f>
        <v/>
      </c>
      <c r="Q2298" s="14">
        <f>J2298*G2298</f>
        <v/>
      </c>
      <c r="R2298" s="14">
        <f>K2298-Q2298</f>
        <v/>
      </c>
      <c r="S2298" s="3">
        <f>P2298*Assumptions!$B$3/100</f>
        <v/>
      </c>
      <c r="T2298" s="14">
        <f>R2298-S2298</f>
        <v/>
      </c>
      <c r="U2298" s="14">
        <f>L2298*G2298</f>
        <v/>
      </c>
    </row>
    <row r="2299">
      <c r="A2299" s="12" t="inlineStr">
        <is>
          <t>PO-2022-2297</t>
        </is>
      </c>
      <c r="B2299" s="26" t="n">
        <v>44939</v>
      </c>
      <c r="C2299" s="12" t="inlineStr">
        <is>
          <t>VS29</t>
        </is>
      </c>
      <c r="D2299" s="12" t="inlineStr">
        <is>
          <t>MS Sheets</t>
        </is>
      </c>
      <c r="E2299" s="12" t="inlineStr">
        <is>
          <t>N</t>
        </is>
      </c>
      <c r="F2299" s="12" t="n">
        <v>22.92</v>
      </c>
      <c r="G2299" s="17" t="n">
        <v>46489.25</v>
      </c>
      <c r="H2299" s="26" t="n">
        <v>44949</v>
      </c>
      <c r="I2299" s="26" t="n">
        <v>44949</v>
      </c>
      <c r="J2299" s="12" t="n">
        <v>22.83</v>
      </c>
      <c r="K2299" s="17" t="n">
        <v>1065533.61</v>
      </c>
      <c r="L2299" s="12" t="n">
        <v>0</v>
      </c>
      <c r="M2299" s="12" t="n">
        <v>0</v>
      </c>
      <c r="N2299" s="27">
        <f>F2299-J2299</f>
        <v/>
      </c>
      <c r="O2299" s="16">
        <f>I2299-H2299</f>
        <v/>
      </c>
      <c r="P2299" s="14">
        <f>F2299*G2299</f>
        <v/>
      </c>
      <c r="Q2299" s="14">
        <f>J2299*G2299</f>
        <v/>
      </c>
      <c r="R2299" s="14">
        <f>K2299-Q2299</f>
        <v/>
      </c>
      <c r="S2299" s="3">
        <f>P2299*Assumptions!$B$3/100</f>
        <v/>
      </c>
      <c r="T2299" s="14">
        <f>R2299-S2299</f>
        <v/>
      </c>
      <c r="U2299" s="14">
        <f>L2299*G2299</f>
        <v/>
      </c>
    </row>
    <row r="2300">
      <c r="A2300" s="12" t="inlineStr">
        <is>
          <t>PO-2022-2298</t>
        </is>
      </c>
      <c r="B2300" s="26" t="n">
        <v>44901</v>
      </c>
      <c r="C2300" s="12" t="inlineStr">
        <is>
          <t>VS22</t>
        </is>
      </c>
      <c r="D2300" s="12" t="inlineStr">
        <is>
          <t>SS Pipes</t>
        </is>
      </c>
      <c r="E2300" s="12" t="inlineStr">
        <is>
          <t>N</t>
        </is>
      </c>
      <c r="F2300" s="12" t="n">
        <v>44.44</v>
      </c>
      <c r="G2300" s="17" t="n">
        <v>50166.75</v>
      </c>
      <c r="H2300" s="26" t="n">
        <v>44906</v>
      </c>
      <c r="I2300" s="26" t="n">
        <v>44909</v>
      </c>
      <c r="J2300" s="12" t="n">
        <v>44.35</v>
      </c>
      <c r="K2300" s="17" t="n">
        <v>2229410.37</v>
      </c>
      <c r="L2300" s="12" t="n">
        <v>0</v>
      </c>
      <c r="M2300" s="12" t="n">
        <v>0</v>
      </c>
      <c r="N2300" s="27">
        <f>F2300-J2300</f>
        <v/>
      </c>
      <c r="O2300" s="16">
        <f>I2300-H2300</f>
        <v/>
      </c>
      <c r="P2300" s="14">
        <f>F2300*G2300</f>
        <v/>
      </c>
      <c r="Q2300" s="14">
        <f>J2300*G2300</f>
        <v/>
      </c>
      <c r="R2300" s="14">
        <f>K2300-Q2300</f>
        <v/>
      </c>
      <c r="S2300" s="3">
        <f>P2300*Assumptions!$B$3/100</f>
        <v/>
      </c>
      <c r="T2300" s="14">
        <f>R2300-S2300</f>
        <v/>
      </c>
      <c r="U2300" s="14">
        <f>L2300*G2300</f>
        <v/>
      </c>
    </row>
    <row r="2301">
      <c r="A2301" s="12" t="inlineStr">
        <is>
          <t>PO-2022-2299</t>
        </is>
      </c>
      <c r="B2301" s="26" t="n">
        <v>44811</v>
      </c>
      <c r="C2301" s="12" t="inlineStr">
        <is>
          <t>VS26</t>
        </is>
      </c>
      <c r="D2301" s="12" t="inlineStr">
        <is>
          <t>Square/Rect Tubes</t>
        </is>
      </c>
      <c r="E2301" s="12" t="inlineStr">
        <is>
          <t>N</t>
        </is>
      </c>
      <c r="F2301" s="12" t="n">
        <v>6.44</v>
      </c>
      <c r="G2301" s="17" t="n">
        <v>115127.17</v>
      </c>
      <c r="H2301" s="26" t="n">
        <v>44824</v>
      </c>
      <c r="I2301" s="26" t="n">
        <v>44826</v>
      </c>
      <c r="J2301" s="12" t="n">
        <v>6.43</v>
      </c>
      <c r="K2301" s="17" t="n">
        <v>741418.97</v>
      </c>
      <c r="L2301" s="12" t="n">
        <v>0</v>
      </c>
      <c r="M2301" s="12" t="n">
        <v>19</v>
      </c>
      <c r="N2301" s="27">
        <f>F2301-J2301</f>
        <v/>
      </c>
      <c r="O2301" s="16">
        <f>I2301-H2301</f>
        <v/>
      </c>
      <c r="P2301" s="14">
        <f>F2301*G2301</f>
        <v/>
      </c>
      <c r="Q2301" s="14">
        <f>J2301*G2301</f>
        <v/>
      </c>
      <c r="R2301" s="14">
        <f>K2301-Q2301</f>
        <v/>
      </c>
      <c r="S2301" s="3">
        <f>P2301*Assumptions!$B$3/100</f>
        <v/>
      </c>
      <c r="T2301" s="14">
        <f>R2301-S2301</f>
        <v/>
      </c>
      <c r="U2301" s="14">
        <f>L2301*G2301</f>
        <v/>
      </c>
    </row>
    <row r="2302">
      <c r="A2302" s="12" t="inlineStr">
        <is>
          <t>PO-2022-2300</t>
        </is>
      </c>
      <c r="B2302" s="26" t="n">
        <v>44600</v>
      </c>
      <c r="C2302" s="12" t="inlineStr">
        <is>
          <t>VS21</t>
        </is>
      </c>
      <c r="D2302" s="12" t="inlineStr">
        <is>
          <t>SS Sheets</t>
        </is>
      </c>
      <c r="E2302" s="12" t="inlineStr">
        <is>
          <t>Y</t>
        </is>
      </c>
      <c r="F2302" s="12" t="n">
        <v>35.86</v>
      </c>
      <c r="G2302" s="17" t="n">
        <v>116157.13</v>
      </c>
      <c r="H2302" s="26" t="n">
        <v>44604</v>
      </c>
      <c r="I2302" s="26" t="n">
        <v>44605</v>
      </c>
      <c r="J2302" s="12" t="n">
        <v>35.63</v>
      </c>
      <c r="K2302" s="17" t="n">
        <v>4165394.68</v>
      </c>
      <c r="L2302" s="12" t="n">
        <v>0</v>
      </c>
      <c r="M2302" s="12" t="n">
        <v>14</v>
      </c>
      <c r="N2302" s="27">
        <f>F2302-J2302</f>
        <v/>
      </c>
      <c r="O2302" s="16">
        <f>I2302-H2302</f>
        <v/>
      </c>
      <c r="P2302" s="14">
        <f>F2302*G2302</f>
        <v/>
      </c>
      <c r="Q2302" s="14">
        <f>J2302*G2302</f>
        <v/>
      </c>
      <c r="R2302" s="14">
        <f>K2302-Q2302</f>
        <v/>
      </c>
      <c r="S2302" s="3">
        <f>P2302*Assumptions!$B$3/100</f>
        <v/>
      </c>
      <c r="T2302" s="14">
        <f>R2302-S2302</f>
        <v/>
      </c>
      <c r="U2302" s="14">
        <f>L2302*G2302</f>
        <v/>
      </c>
    </row>
    <row r="2303">
      <c r="A2303" s="12" t="inlineStr">
        <is>
          <t>PO-2022-2301</t>
        </is>
      </c>
      <c r="B2303" s="26" t="n">
        <v>44923</v>
      </c>
      <c r="C2303" s="12" t="inlineStr">
        <is>
          <t>VS32</t>
        </is>
      </c>
      <c r="D2303" s="12" t="inlineStr">
        <is>
          <t>MS Pipes</t>
        </is>
      </c>
      <c r="E2303" s="12" t="inlineStr">
        <is>
          <t>N</t>
        </is>
      </c>
      <c r="F2303" s="12" t="n">
        <v>31.47</v>
      </c>
      <c r="G2303" s="17" t="n">
        <v>89274.21000000001</v>
      </c>
      <c r="H2303" s="26" t="n">
        <v>44928</v>
      </c>
      <c r="I2303" s="26" t="n">
        <v>44931</v>
      </c>
      <c r="J2303" s="12" t="n">
        <v>31.31</v>
      </c>
      <c r="K2303" s="17" t="n">
        <v>2809459.39</v>
      </c>
      <c r="L2303" s="12" t="n">
        <v>0</v>
      </c>
      <c r="M2303" s="12" t="n">
        <v>0</v>
      </c>
      <c r="N2303" s="27">
        <f>F2303-J2303</f>
        <v/>
      </c>
      <c r="O2303" s="16">
        <f>I2303-H2303</f>
        <v/>
      </c>
      <c r="P2303" s="14">
        <f>F2303*G2303</f>
        <v/>
      </c>
      <c r="Q2303" s="14">
        <f>J2303*G2303</f>
        <v/>
      </c>
      <c r="R2303" s="14">
        <f>K2303-Q2303</f>
        <v/>
      </c>
      <c r="S2303" s="3">
        <f>P2303*Assumptions!$B$3/100</f>
        <v/>
      </c>
      <c r="T2303" s="14">
        <f>R2303-S2303</f>
        <v/>
      </c>
      <c r="U2303" s="14">
        <f>L2303*G2303</f>
        <v/>
      </c>
    </row>
    <row r="2304">
      <c r="A2304" s="12" t="inlineStr">
        <is>
          <t>PO-2022-2302</t>
        </is>
      </c>
      <c r="B2304" s="26" t="n">
        <v>44944</v>
      </c>
      <c r="C2304" s="12" t="inlineStr">
        <is>
          <t>VS17</t>
        </is>
      </c>
      <c r="D2304" s="12" t="inlineStr">
        <is>
          <t>GI Sheets</t>
        </is>
      </c>
      <c r="E2304" s="12" t="inlineStr">
        <is>
          <t>N</t>
        </is>
      </c>
      <c r="F2304" s="12" t="n">
        <v>26.16</v>
      </c>
      <c r="G2304" s="17" t="n">
        <v>118652.73</v>
      </c>
      <c r="H2304" s="26" t="n">
        <v>44947</v>
      </c>
      <c r="I2304" s="26" t="n">
        <v>44949</v>
      </c>
      <c r="J2304" s="12" t="n">
        <v>25.97</v>
      </c>
      <c r="K2304" s="17" t="n">
        <v>3103955.42</v>
      </c>
      <c r="L2304" s="12" t="n">
        <v>0</v>
      </c>
      <c r="M2304" s="12" t="n">
        <v>0</v>
      </c>
      <c r="N2304" s="27">
        <f>F2304-J2304</f>
        <v/>
      </c>
      <c r="O2304" s="16">
        <f>I2304-H2304</f>
        <v/>
      </c>
      <c r="P2304" s="14">
        <f>F2304*G2304</f>
        <v/>
      </c>
      <c r="Q2304" s="14">
        <f>J2304*G2304</f>
        <v/>
      </c>
      <c r="R2304" s="14">
        <f>K2304-Q2304</f>
        <v/>
      </c>
      <c r="S2304" s="3">
        <f>P2304*Assumptions!$B$3/100</f>
        <v/>
      </c>
      <c r="T2304" s="14">
        <f>R2304-S2304</f>
        <v/>
      </c>
      <c r="U2304" s="14">
        <f>L2304*G2304</f>
        <v/>
      </c>
    </row>
    <row r="2305">
      <c r="A2305" s="12" t="inlineStr">
        <is>
          <t>PO-2022-2303</t>
        </is>
      </c>
      <c r="B2305" s="26" t="n">
        <v>45199</v>
      </c>
      <c r="C2305" s="12" t="inlineStr">
        <is>
          <t>VS21</t>
        </is>
      </c>
      <c r="D2305" s="12" t="inlineStr">
        <is>
          <t>MS Sheets</t>
        </is>
      </c>
      <c r="E2305" s="12" t="inlineStr">
        <is>
          <t>N</t>
        </is>
      </c>
      <c r="F2305" s="12" t="n">
        <v>3.55</v>
      </c>
      <c r="G2305" s="17" t="n">
        <v>62910.29</v>
      </c>
      <c r="H2305" s="26" t="n">
        <v>45206</v>
      </c>
      <c r="I2305" s="26" t="n">
        <v>45209</v>
      </c>
      <c r="J2305" s="12" t="n">
        <v>3.52</v>
      </c>
      <c r="K2305" s="17" t="n">
        <v>223331.53</v>
      </c>
      <c r="L2305" s="12" t="n">
        <v>0</v>
      </c>
      <c r="M2305" s="12" t="n">
        <v>0</v>
      </c>
      <c r="N2305" s="27">
        <f>F2305-J2305</f>
        <v/>
      </c>
      <c r="O2305" s="16">
        <f>I2305-H2305</f>
        <v/>
      </c>
      <c r="P2305" s="14">
        <f>F2305*G2305</f>
        <v/>
      </c>
      <c r="Q2305" s="14">
        <f>J2305*G2305</f>
        <v/>
      </c>
      <c r="R2305" s="14">
        <f>K2305-Q2305</f>
        <v/>
      </c>
      <c r="S2305" s="3">
        <f>P2305*Assumptions!$B$3/100</f>
        <v/>
      </c>
      <c r="T2305" s="14">
        <f>R2305-S2305</f>
        <v/>
      </c>
      <c r="U2305" s="14">
        <f>L2305*G2305</f>
        <v/>
      </c>
    </row>
    <row r="2306">
      <c r="A2306" s="12" t="inlineStr">
        <is>
          <t>PO-2022-2304</t>
        </is>
      </c>
      <c r="B2306" s="26" t="n">
        <v>44735</v>
      </c>
      <c r="C2306" s="12" t="inlineStr">
        <is>
          <t>VS29</t>
        </is>
      </c>
      <c r="D2306" s="12" t="inlineStr">
        <is>
          <t>GI Wire</t>
        </is>
      </c>
      <c r="E2306" s="12" t="inlineStr">
        <is>
          <t>N</t>
        </is>
      </c>
      <c r="F2306" s="12" t="n">
        <v>17.54</v>
      </c>
      <c r="G2306" s="17" t="n">
        <v>65462.74</v>
      </c>
      <c r="H2306" s="26" t="n">
        <v>44750</v>
      </c>
      <c r="I2306" s="26" t="n">
        <v>44751</v>
      </c>
      <c r="J2306" s="12" t="n">
        <v>17.37</v>
      </c>
      <c r="K2306" s="17" t="n">
        <v>1148216.46</v>
      </c>
      <c r="L2306" s="12" t="n">
        <v>0</v>
      </c>
      <c r="M2306" s="12" t="n">
        <v>0</v>
      </c>
      <c r="N2306" s="27">
        <f>F2306-J2306</f>
        <v/>
      </c>
      <c r="O2306" s="16">
        <f>I2306-H2306</f>
        <v/>
      </c>
      <c r="P2306" s="14">
        <f>F2306*G2306</f>
        <v/>
      </c>
      <c r="Q2306" s="14">
        <f>J2306*G2306</f>
        <v/>
      </c>
      <c r="R2306" s="14">
        <f>K2306-Q2306</f>
        <v/>
      </c>
      <c r="S2306" s="3">
        <f>P2306*Assumptions!$B$3/100</f>
        <v/>
      </c>
      <c r="T2306" s="14">
        <f>R2306-S2306</f>
        <v/>
      </c>
      <c r="U2306" s="14">
        <f>L2306*G2306</f>
        <v/>
      </c>
    </row>
    <row r="2307">
      <c r="A2307" s="12" t="inlineStr">
        <is>
          <t>PO-2022-2305</t>
        </is>
      </c>
      <c r="B2307" s="26" t="n">
        <v>45135</v>
      </c>
      <c r="C2307" s="12" t="inlineStr">
        <is>
          <t>VS06</t>
        </is>
      </c>
      <c r="D2307" s="12" t="inlineStr">
        <is>
          <t>MS Flats</t>
        </is>
      </c>
      <c r="E2307" s="12" t="inlineStr">
        <is>
          <t>N</t>
        </is>
      </c>
      <c r="F2307" s="12" t="n">
        <v>28.01</v>
      </c>
      <c r="G2307" s="17" t="n">
        <v>54798.74</v>
      </c>
      <c r="H2307" s="26" t="n">
        <v>45147</v>
      </c>
      <c r="I2307" s="26" t="n">
        <v>45149</v>
      </c>
      <c r="J2307" s="12" t="n">
        <v>27.96</v>
      </c>
      <c r="K2307" s="17" t="n">
        <v>1534912.71</v>
      </c>
      <c r="L2307" s="12" t="n">
        <v>0</v>
      </c>
      <c r="M2307" s="12" t="n">
        <v>4</v>
      </c>
      <c r="N2307" s="27">
        <f>F2307-J2307</f>
        <v/>
      </c>
      <c r="O2307" s="16">
        <f>I2307-H2307</f>
        <v/>
      </c>
      <c r="P2307" s="14">
        <f>F2307*G2307</f>
        <v/>
      </c>
      <c r="Q2307" s="14">
        <f>J2307*G2307</f>
        <v/>
      </c>
      <c r="R2307" s="14">
        <f>K2307-Q2307</f>
        <v/>
      </c>
      <c r="S2307" s="3">
        <f>P2307*Assumptions!$B$3/100</f>
        <v/>
      </c>
      <c r="T2307" s="14">
        <f>R2307-S2307</f>
        <v/>
      </c>
      <c r="U2307" s="14">
        <f>L2307*G2307</f>
        <v/>
      </c>
    </row>
    <row r="2308">
      <c r="A2308" s="12" t="inlineStr">
        <is>
          <t>PO-2022-2306</t>
        </is>
      </c>
      <c r="B2308" s="26" t="n">
        <v>44218</v>
      </c>
      <c r="C2308" s="12" t="inlineStr">
        <is>
          <t>VS02</t>
        </is>
      </c>
      <c r="D2308" s="12" t="inlineStr">
        <is>
          <t>SS Sheets</t>
        </is>
      </c>
      <c r="E2308" s="12" t="inlineStr">
        <is>
          <t>N</t>
        </is>
      </c>
      <c r="F2308" s="12" t="n">
        <v>19.65</v>
      </c>
      <c r="G2308" s="17" t="n">
        <v>112840.11</v>
      </c>
      <c r="H2308" s="26" t="n">
        <v>44227</v>
      </c>
      <c r="I2308" s="26" t="n">
        <v>44230</v>
      </c>
      <c r="J2308" s="12" t="n">
        <v>19.46</v>
      </c>
      <c r="K2308" s="17" t="n">
        <v>2217308.16</v>
      </c>
      <c r="L2308" s="12" t="n">
        <v>0</v>
      </c>
      <c r="M2308" s="12" t="n">
        <v>23</v>
      </c>
      <c r="N2308" s="27">
        <f>F2308-J2308</f>
        <v/>
      </c>
      <c r="O2308" s="16">
        <f>I2308-H2308</f>
        <v/>
      </c>
      <c r="P2308" s="14">
        <f>F2308*G2308</f>
        <v/>
      </c>
      <c r="Q2308" s="14">
        <f>J2308*G2308</f>
        <v/>
      </c>
      <c r="R2308" s="14">
        <f>K2308-Q2308</f>
        <v/>
      </c>
      <c r="S2308" s="3">
        <f>P2308*Assumptions!$B$3/100</f>
        <v/>
      </c>
      <c r="T2308" s="14">
        <f>R2308-S2308</f>
        <v/>
      </c>
      <c r="U2308" s="14">
        <f>L2308*G2308</f>
        <v/>
      </c>
    </row>
    <row r="2309">
      <c r="A2309" s="12" t="inlineStr">
        <is>
          <t>PO-2022-2307</t>
        </is>
      </c>
      <c r="B2309" s="26" t="n">
        <v>44992</v>
      </c>
      <c r="C2309" s="12" t="inlineStr">
        <is>
          <t>VS03</t>
        </is>
      </c>
      <c r="D2309" s="12" t="inlineStr">
        <is>
          <t>CR Sheets</t>
        </is>
      </c>
      <c r="E2309" s="12" t="inlineStr">
        <is>
          <t>N</t>
        </is>
      </c>
      <c r="F2309" s="12" t="n">
        <v>35.15</v>
      </c>
      <c r="G2309" s="17" t="n">
        <v>72979.52</v>
      </c>
      <c r="H2309" s="26" t="n">
        <v>45007</v>
      </c>
      <c r="I2309" s="26" t="n">
        <v>45012</v>
      </c>
      <c r="J2309" s="12" t="n">
        <v>33.71</v>
      </c>
      <c r="K2309" s="17" t="n">
        <v>2565230.13</v>
      </c>
      <c r="L2309" s="12" t="n">
        <v>0.73</v>
      </c>
      <c r="M2309" s="12" t="n">
        <v>22</v>
      </c>
      <c r="N2309" s="27">
        <f>F2309-J2309</f>
        <v/>
      </c>
      <c r="O2309" s="16">
        <f>I2309-H2309</f>
        <v/>
      </c>
      <c r="P2309" s="14">
        <f>F2309*G2309</f>
        <v/>
      </c>
      <c r="Q2309" s="14">
        <f>J2309*G2309</f>
        <v/>
      </c>
      <c r="R2309" s="14">
        <f>K2309-Q2309</f>
        <v/>
      </c>
      <c r="S2309" s="3">
        <f>P2309*Assumptions!$B$3/100</f>
        <v/>
      </c>
      <c r="T2309" s="14">
        <f>R2309-S2309</f>
        <v/>
      </c>
      <c r="U2309" s="14">
        <f>L2309*G2309</f>
        <v/>
      </c>
    </row>
    <row r="2310">
      <c r="A2310" s="12" t="inlineStr">
        <is>
          <t>PO-2022-2308</t>
        </is>
      </c>
      <c r="B2310" s="26" t="n">
        <v>45246</v>
      </c>
      <c r="C2310" s="12" t="inlineStr">
        <is>
          <t>VS28</t>
        </is>
      </c>
      <c r="D2310" s="12" t="inlineStr">
        <is>
          <t>GI Wire</t>
        </is>
      </c>
      <c r="E2310" s="12" t="inlineStr">
        <is>
          <t>N</t>
        </is>
      </c>
      <c r="F2310" s="12" t="n">
        <v>35.66</v>
      </c>
      <c r="G2310" s="17" t="n">
        <v>54925.51</v>
      </c>
      <c r="H2310" s="26" t="n">
        <v>45254</v>
      </c>
      <c r="I2310" s="26" t="n">
        <v>45257</v>
      </c>
      <c r="J2310" s="12" t="n">
        <v>35.43</v>
      </c>
      <c r="K2310" s="17" t="n">
        <v>1958643.69</v>
      </c>
      <c r="L2310" s="12" t="n">
        <v>0</v>
      </c>
      <c r="M2310" s="12" t="n">
        <v>14</v>
      </c>
      <c r="N2310" s="27">
        <f>F2310-J2310</f>
        <v/>
      </c>
      <c r="O2310" s="16">
        <f>I2310-H2310</f>
        <v/>
      </c>
      <c r="P2310" s="14">
        <f>F2310*G2310</f>
        <v/>
      </c>
      <c r="Q2310" s="14">
        <f>J2310*G2310</f>
        <v/>
      </c>
      <c r="R2310" s="14">
        <f>K2310-Q2310</f>
        <v/>
      </c>
      <c r="S2310" s="3">
        <f>P2310*Assumptions!$B$3/100</f>
        <v/>
      </c>
      <c r="T2310" s="14">
        <f>R2310-S2310</f>
        <v/>
      </c>
      <c r="U2310" s="14">
        <f>L2310*G2310</f>
        <v/>
      </c>
    </row>
    <row r="2311">
      <c r="A2311" s="12" t="inlineStr">
        <is>
          <t>PO-2022-2309</t>
        </is>
      </c>
      <c r="B2311" s="26" t="n">
        <v>44732</v>
      </c>
      <c r="C2311" s="12" t="inlineStr">
        <is>
          <t>VS13</t>
        </is>
      </c>
      <c r="D2311" s="12" t="inlineStr">
        <is>
          <t>Structural Steel</t>
        </is>
      </c>
      <c r="E2311" s="12" t="inlineStr">
        <is>
          <t>N</t>
        </is>
      </c>
      <c r="F2311" s="12" t="n">
        <v>14.8</v>
      </c>
      <c r="G2311" s="17" t="n">
        <v>51247.96</v>
      </c>
      <c r="H2311" s="26" t="n">
        <v>44742</v>
      </c>
      <c r="I2311" s="26" t="n">
        <v>44743</v>
      </c>
      <c r="J2311" s="12" t="n">
        <v>14.73</v>
      </c>
      <c r="K2311" s="17" t="n">
        <v>758469.8100000001</v>
      </c>
      <c r="L2311" s="12" t="n">
        <v>0</v>
      </c>
      <c r="M2311" s="12" t="n">
        <v>17</v>
      </c>
      <c r="N2311" s="27">
        <f>F2311-J2311</f>
        <v/>
      </c>
      <c r="O2311" s="16">
        <f>I2311-H2311</f>
        <v/>
      </c>
      <c r="P2311" s="14">
        <f>F2311*G2311</f>
        <v/>
      </c>
      <c r="Q2311" s="14">
        <f>J2311*G2311</f>
        <v/>
      </c>
      <c r="R2311" s="14">
        <f>K2311-Q2311</f>
        <v/>
      </c>
      <c r="S2311" s="3">
        <f>P2311*Assumptions!$B$3/100</f>
        <v/>
      </c>
      <c r="T2311" s="14">
        <f>R2311-S2311</f>
        <v/>
      </c>
      <c r="U2311" s="14">
        <f>L2311*G2311</f>
        <v/>
      </c>
    </row>
    <row r="2312">
      <c r="A2312" s="12" t="inlineStr">
        <is>
          <t>PO-2022-2310</t>
        </is>
      </c>
      <c r="B2312" s="26" t="n">
        <v>44370</v>
      </c>
      <c r="C2312" s="12" t="inlineStr">
        <is>
          <t>VS21</t>
        </is>
      </c>
      <c r="D2312" s="12" t="inlineStr">
        <is>
          <t>Hex Bars</t>
        </is>
      </c>
      <c r="E2312" s="12" t="inlineStr">
        <is>
          <t>N</t>
        </is>
      </c>
      <c r="F2312" s="12" t="n">
        <v>44.9</v>
      </c>
      <c r="G2312" s="17" t="n">
        <v>46725.56</v>
      </c>
      <c r="H2312" s="26" t="n">
        <v>44375</v>
      </c>
      <c r="I2312" s="26" t="n">
        <v>44376</v>
      </c>
      <c r="J2312" s="12" t="n">
        <v>44.8</v>
      </c>
      <c r="K2312" s="17" t="n">
        <v>2097977.64</v>
      </c>
      <c r="L2312" s="12" t="n">
        <v>0</v>
      </c>
      <c r="M2312" s="12" t="n">
        <v>6</v>
      </c>
      <c r="N2312" s="27">
        <f>F2312-J2312</f>
        <v/>
      </c>
      <c r="O2312" s="16">
        <f>I2312-H2312</f>
        <v/>
      </c>
      <c r="P2312" s="14">
        <f>F2312*G2312</f>
        <v/>
      </c>
      <c r="Q2312" s="14">
        <f>J2312*G2312</f>
        <v/>
      </c>
      <c r="R2312" s="14">
        <f>K2312-Q2312</f>
        <v/>
      </c>
      <c r="S2312" s="3">
        <f>P2312*Assumptions!$B$3/100</f>
        <v/>
      </c>
      <c r="T2312" s="14">
        <f>R2312-S2312</f>
        <v/>
      </c>
      <c r="U2312" s="14">
        <f>L2312*G2312</f>
        <v/>
      </c>
    </row>
    <row r="2313">
      <c r="A2313" s="12" t="inlineStr">
        <is>
          <t>PO-2022-2311</t>
        </is>
      </c>
      <c r="B2313" s="26" t="n">
        <v>44416</v>
      </c>
      <c r="C2313" s="12" t="inlineStr">
        <is>
          <t>VS16</t>
        </is>
      </c>
      <c r="D2313" s="12" t="inlineStr">
        <is>
          <t>SS Pipes</t>
        </is>
      </c>
      <c r="E2313" s="12" t="inlineStr">
        <is>
          <t>N</t>
        </is>
      </c>
      <c r="F2313" s="12" t="n">
        <v>9.68</v>
      </c>
      <c r="G2313" s="17" t="n">
        <v>49871.94</v>
      </c>
      <c r="H2313" s="26" t="n">
        <v>44428</v>
      </c>
      <c r="I2313" s="26" t="n">
        <v>44430</v>
      </c>
      <c r="J2313" s="12" t="n">
        <v>9.67</v>
      </c>
      <c r="K2313" s="17" t="n">
        <v>482760.38</v>
      </c>
      <c r="L2313" s="12" t="n">
        <v>0</v>
      </c>
      <c r="M2313" s="12" t="n">
        <v>2</v>
      </c>
      <c r="N2313" s="27">
        <f>F2313-J2313</f>
        <v/>
      </c>
      <c r="O2313" s="16">
        <f>I2313-H2313</f>
        <v/>
      </c>
      <c r="P2313" s="14">
        <f>F2313*G2313</f>
        <v/>
      </c>
      <c r="Q2313" s="14">
        <f>J2313*G2313</f>
        <v/>
      </c>
      <c r="R2313" s="14">
        <f>K2313-Q2313</f>
        <v/>
      </c>
      <c r="S2313" s="3">
        <f>P2313*Assumptions!$B$3/100</f>
        <v/>
      </c>
      <c r="T2313" s="14">
        <f>R2313-S2313</f>
        <v/>
      </c>
      <c r="U2313" s="14">
        <f>L2313*G2313</f>
        <v/>
      </c>
    </row>
    <row r="2314">
      <c r="A2314" s="12" t="inlineStr">
        <is>
          <t>PO-2022-2312</t>
        </is>
      </c>
      <c r="B2314" s="26" t="n">
        <v>44682</v>
      </c>
      <c r="C2314" s="12" t="inlineStr">
        <is>
          <t>VS06</t>
        </is>
      </c>
      <c r="D2314" s="12" t="inlineStr">
        <is>
          <t>SS Pipes</t>
        </is>
      </c>
      <c r="E2314" s="12" t="inlineStr">
        <is>
          <t>N</t>
        </is>
      </c>
      <c r="F2314" s="12" t="n">
        <v>1.47</v>
      </c>
      <c r="G2314" s="17" t="n">
        <v>46008.54</v>
      </c>
      <c r="H2314" s="26" t="n">
        <v>44697</v>
      </c>
      <c r="I2314" s="26" t="n">
        <v>44700</v>
      </c>
      <c r="J2314" s="12" t="n">
        <v>1.46</v>
      </c>
      <c r="K2314" s="17" t="n">
        <v>67632.55</v>
      </c>
      <c r="L2314" s="12" t="n">
        <v>0</v>
      </c>
      <c r="M2314" s="12" t="n">
        <v>1</v>
      </c>
      <c r="N2314" s="27">
        <f>F2314-J2314</f>
        <v/>
      </c>
      <c r="O2314" s="16">
        <f>I2314-H2314</f>
        <v/>
      </c>
      <c r="P2314" s="14">
        <f>F2314*G2314</f>
        <v/>
      </c>
      <c r="Q2314" s="14">
        <f>J2314*G2314</f>
        <v/>
      </c>
      <c r="R2314" s="14">
        <f>K2314-Q2314</f>
        <v/>
      </c>
      <c r="S2314" s="3">
        <f>P2314*Assumptions!$B$3/100</f>
        <v/>
      </c>
      <c r="T2314" s="14">
        <f>R2314-S2314</f>
        <v/>
      </c>
      <c r="U2314" s="14">
        <f>L2314*G2314</f>
        <v/>
      </c>
    </row>
    <row r="2315">
      <c r="A2315" s="12" t="inlineStr">
        <is>
          <t>PO-2022-2313</t>
        </is>
      </c>
      <c r="B2315" s="26" t="n">
        <v>44895</v>
      </c>
      <c r="C2315" s="12" t="inlineStr">
        <is>
          <t>VS05</t>
        </is>
      </c>
      <c r="D2315" s="12" t="inlineStr">
        <is>
          <t>Square/Rect Tubes</t>
        </is>
      </c>
      <c r="E2315" s="12" t="inlineStr">
        <is>
          <t>N</t>
        </is>
      </c>
      <c r="F2315" s="12" t="n">
        <v>29.55</v>
      </c>
      <c r="G2315" s="17" t="n">
        <v>117423.33</v>
      </c>
      <c r="H2315" s="26" t="n">
        <v>44905</v>
      </c>
      <c r="I2315" s="26" t="n">
        <v>44906</v>
      </c>
      <c r="J2315" s="12" t="n">
        <v>29.29</v>
      </c>
      <c r="K2315" s="17" t="n">
        <v>3469859.4</v>
      </c>
      <c r="L2315" s="12" t="n">
        <v>0</v>
      </c>
      <c r="M2315" s="12" t="n">
        <v>0</v>
      </c>
      <c r="N2315" s="27">
        <f>F2315-J2315</f>
        <v/>
      </c>
      <c r="O2315" s="16">
        <f>I2315-H2315</f>
        <v/>
      </c>
      <c r="P2315" s="14">
        <f>F2315*G2315</f>
        <v/>
      </c>
      <c r="Q2315" s="14">
        <f>J2315*G2315</f>
        <v/>
      </c>
      <c r="R2315" s="14">
        <f>K2315-Q2315</f>
        <v/>
      </c>
      <c r="S2315" s="3">
        <f>P2315*Assumptions!$B$3/100</f>
        <v/>
      </c>
      <c r="T2315" s="14">
        <f>R2315-S2315</f>
        <v/>
      </c>
      <c r="U2315" s="14">
        <f>L2315*G2315</f>
        <v/>
      </c>
    </row>
    <row r="2316">
      <c r="A2316" s="12" t="inlineStr">
        <is>
          <t>PO-2022-2314</t>
        </is>
      </c>
      <c r="B2316" s="26" t="n">
        <v>44874</v>
      </c>
      <c r="C2316" s="12" t="inlineStr">
        <is>
          <t>VS07</t>
        </is>
      </c>
      <c r="D2316" s="12" t="inlineStr">
        <is>
          <t>ERW Pipes</t>
        </is>
      </c>
      <c r="E2316" s="12" t="inlineStr">
        <is>
          <t>N</t>
        </is>
      </c>
      <c r="F2316" s="12" t="n">
        <v>3.75</v>
      </c>
      <c r="G2316" s="17" t="n">
        <v>55403.62</v>
      </c>
      <c r="H2316" s="26" t="n">
        <v>44888</v>
      </c>
      <c r="I2316" s="26" t="n">
        <v>44888</v>
      </c>
      <c r="J2316" s="12" t="n">
        <v>3.73</v>
      </c>
      <c r="K2316" s="17" t="n">
        <v>207763.58</v>
      </c>
      <c r="L2316" s="12" t="n">
        <v>0</v>
      </c>
      <c r="M2316" s="12" t="n">
        <v>0</v>
      </c>
      <c r="N2316" s="27">
        <f>F2316-J2316</f>
        <v/>
      </c>
      <c r="O2316" s="16">
        <f>I2316-H2316</f>
        <v/>
      </c>
      <c r="P2316" s="14">
        <f>F2316*G2316</f>
        <v/>
      </c>
      <c r="Q2316" s="14">
        <f>J2316*G2316</f>
        <v/>
      </c>
      <c r="R2316" s="14">
        <f>K2316-Q2316</f>
        <v/>
      </c>
      <c r="S2316" s="3">
        <f>P2316*Assumptions!$B$3/100</f>
        <v/>
      </c>
      <c r="T2316" s="14">
        <f>R2316-S2316</f>
        <v/>
      </c>
      <c r="U2316" s="14">
        <f>L2316*G2316</f>
        <v/>
      </c>
    </row>
    <row r="2317">
      <c r="A2317" s="12" t="inlineStr">
        <is>
          <t>PO-2022-2315</t>
        </is>
      </c>
      <c r="B2317" s="26" t="n">
        <v>44363</v>
      </c>
      <c r="C2317" s="12" t="inlineStr">
        <is>
          <t>VS12</t>
        </is>
      </c>
      <c r="D2317" s="12" t="inlineStr">
        <is>
          <t>SS Pipes</t>
        </is>
      </c>
      <c r="E2317" s="12" t="inlineStr">
        <is>
          <t>N</t>
        </is>
      </c>
      <c r="F2317" s="12" t="n">
        <v>36.19</v>
      </c>
      <c r="G2317" s="17" t="n">
        <v>53943.7</v>
      </c>
      <c r="H2317" s="26" t="n">
        <v>44372</v>
      </c>
      <c r="I2317" s="26" t="n">
        <v>44380</v>
      </c>
      <c r="J2317" s="12" t="n">
        <v>35.44</v>
      </c>
      <c r="K2317" s="17" t="n">
        <v>1952222.5</v>
      </c>
      <c r="L2317" s="12" t="n">
        <v>1.3</v>
      </c>
      <c r="M2317" s="12" t="n">
        <v>10</v>
      </c>
      <c r="N2317" s="27">
        <f>F2317-J2317</f>
        <v/>
      </c>
      <c r="O2317" s="16">
        <f>I2317-H2317</f>
        <v/>
      </c>
      <c r="P2317" s="14">
        <f>F2317*G2317</f>
        <v/>
      </c>
      <c r="Q2317" s="14">
        <f>J2317*G2317</f>
        <v/>
      </c>
      <c r="R2317" s="14">
        <f>K2317-Q2317</f>
        <v/>
      </c>
      <c r="S2317" s="3">
        <f>P2317*Assumptions!$B$3/100</f>
        <v/>
      </c>
      <c r="T2317" s="14">
        <f>R2317-S2317</f>
        <v/>
      </c>
      <c r="U2317" s="14">
        <f>L2317*G2317</f>
        <v/>
      </c>
    </row>
    <row r="2318">
      <c r="A2318" s="12" t="inlineStr">
        <is>
          <t>PO-2022-2316</t>
        </is>
      </c>
      <c r="B2318" s="26" t="n">
        <v>44674</v>
      </c>
      <c r="C2318" s="12" t="inlineStr">
        <is>
          <t>VS14</t>
        </is>
      </c>
      <c r="D2318" s="12" t="inlineStr">
        <is>
          <t>GI Pipes</t>
        </is>
      </c>
      <c r="E2318" s="12" t="inlineStr">
        <is>
          <t>N</t>
        </is>
      </c>
      <c r="F2318" s="12" t="n">
        <v>36.13</v>
      </c>
      <c r="G2318" s="17" t="n">
        <v>74017.57000000001</v>
      </c>
      <c r="H2318" s="26" t="n">
        <v>44687</v>
      </c>
      <c r="I2318" s="26" t="n">
        <v>44690</v>
      </c>
      <c r="J2318" s="12" t="n">
        <v>35.78</v>
      </c>
      <c r="K2318" s="17" t="n">
        <v>2674254.8</v>
      </c>
      <c r="L2318" s="12" t="n">
        <v>0</v>
      </c>
      <c r="M2318" s="12" t="n">
        <v>17</v>
      </c>
      <c r="N2318" s="27">
        <f>F2318-J2318</f>
        <v/>
      </c>
      <c r="O2318" s="16">
        <f>I2318-H2318</f>
        <v/>
      </c>
      <c r="P2318" s="14">
        <f>F2318*G2318</f>
        <v/>
      </c>
      <c r="Q2318" s="14">
        <f>J2318*G2318</f>
        <v/>
      </c>
      <c r="R2318" s="14">
        <f>K2318-Q2318</f>
        <v/>
      </c>
      <c r="S2318" s="3">
        <f>P2318*Assumptions!$B$3/100</f>
        <v/>
      </c>
      <c r="T2318" s="14">
        <f>R2318-S2318</f>
        <v/>
      </c>
      <c r="U2318" s="14">
        <f>L2318*G2318</f>
        <v/>
      </c>
    </row>
    <row r="2319">
      <c r="A2319" s="12" t="inlineStr">
        <is>
          <t>PO-2022-2317</t>
        </is>
      </c>
      <c r="B2319" s="26" t="n">
        <v>45281</v>
      </c>
      <c r="C2319" s="12" t="inlineStr">
        <is>
          <t>VS13</t>
        </is>
      </c>
      <c r="D2319" s="12" t="inlineStr">
        <is>
          <t>Structural Steel</t>
        </is>
      </c>
      <c r="E2319" s="12" t="inlineStr">
        <is>
          <t>N</t>
        </is>
      </c>
      <c r="F2319" s="12" t="n">
        <v>41.06</v>
      </c>
      <c r="G2319" s="17" t="n">
        <v>98117.82000000001</v>
      </c>
      <c r="H2319" s="26" t="n">
        <v>45291</v>
      </c>
      <c r="I2319" s="26" t="n">
        <v>45291</v>
      </c>
      <c r="J2319" s="12" t="n">
        <v>40.88</v>
      </c>
      <c r="K2319" s="17" t="n">
        <v>4028717.69</v>
      </c>
      <c r="L2319" s="12" t="n">
        <v>0</v>
      </c>
      <c r="M2319" s="12" t="n">
        <v>5</v>
      </c>
      <c r="N2319" s="27">
        <f>F2319-J2319</f>
        <v/>
      </c>
      <c r="O2319" s="16">
        <f>I2319-H2319</f>
        <v/>
      </c>
      <c r="P2319" s="14">
        <f>F2319*G2319</f>
        <v/>
      </c>
      <c r="Q2319" s="14">
        <f>J2319*G2319</f>
        <v/>
      </c>
      <c r="R2319" s="14">
        <f>K2319-Q2319</f>
        <v/>
      </c>
      <c r="S2319" s="3">
        <f>P2319*Assumptions!$B$3/100</f>
        <v/>
      </c>
      <c r="T2319" s="14">
        <f>R2319-S2319</f>
        <v/>
      </c>
      <c r="U2319" s="14">
        <f>L2319*G2319</f>
        <v/>
      </c>
    </row>
    <row r="2320">
      <c r="A2320" s="12" t="inlineStr">
        <is>
          <t>PO-2022-2318</t>
        </is>
      </c>
      <c r="B2320" s="26" t="n">
        <v>44578</v>
      </c>
      <c r="C2320" s="12" t="inlineStr">
        <is>
          <t>VS31</t>
        </is>
      </c>
      <c r="D2320" s="12" t="inlineStr">
        <is>
          <t>SS Sheets</t>
        </is>
      </c>
      <c r="E2320" s="12" t="inlineStr">
        <is>
          <t>N</t>
        </is>
      </c>
      <c r="F2320" s="12" t="n">
        <v>36.85</v>
      </c>
      <c r="G2320" s="17" t="n">
        <v>89385.89999999999</v>
      </c>
      <c r="H2320" s="26" t="n">
        <v>44581</v>
      </c>
      <c r="I2320" s="26" t="n">
        <v>44582</v>
      </c>
      <c r="J2320" s="12" t="n">
        <v>36.53</v>
      </c>
      <c r="K2320" s="17" t="n">
        <v>3293870.42</v>
      </c>
      <c r="L2320" s="12" t="n">
        <v>0</v>
      </c>
      <c r="M2320" s="12" t="n">
        <v>12</v>
      </c>
      <c r="N2320" s="27">
        <f>F2320-J2320</f>
        <v/>
      </c>
      <c r="O2320" s="16">
        <f>I2320-H2320</f>
        <v/>
      </c>
      <c r="P2320" s="14">
        <f>F2320*G2320</f>
        <v/>
      </c>
      <c r="Q2320" s="14">
        <f>J2320*G2320</f>
        <v/>
      </c>
      <c r="R2320" s="14">
        <f>K2320-Q2320</f>
        <v/>
      </c>
      <c r="S2320" s="3">
        <f>P2320*Assumptions!$B$3/100</f>
        <v/>
      </c>
      <c r="T2320" s="14">
        <f>R2320-S2320</f>
        <v/>
      </c>
      <c r="U2320" s="14">
        <f>L2320*G2320</f>
        <v/>
      </c>
    </row>
    <row r="2321">
      <c r="A2321" s="12" t="inlineStr">
        <is>
          <t>PO-2022-2319</t>
        </is>
      </c>
      <c r="B2321" s="26" t="n">
        <v>45103</v>
      </c>
      <c r="C2321" s="12" t="inlineStr">
        <is>
          <t>VS12</t>
        </is>
      </c>
      <c r="D2321" s="12" t="inlineStr">
        <is>
          <t>Hex Bars</t>
        </is>
      </c>
      <c r="E2321" s="12" t="inlineStr">
        <is>
          <t>N</t>
        </is>
      </c>
      <c r="F2321" s="12" t="n">
        <v>1.31</v>
      </c>
      <c r="G2321" s="17" t="n">
        <v>60516.37</v>
      </c>
      <c r="H2321" s="26" t="n">
        <v>45109</v>
      </c>
      <c r="I2321" s="26" t="n">
        <v>45114</v>
      </c>
      <c r="J2321" s="12" t="n">
        <v>1.25</v>
      </c>
      <c r="K2321" s="17" t="n">
        <v>79276.44</v>
      </c>
      <c r="L2321" s="12" t="n">
        <v>0.04</v>
      </c>
      <c r="M2321" s="12" t="n">
        <v>0</v>
      </c>
      <c r="N2321" s="27">
        <f>F2321-J2321</f>
        <v/>
      </c>
      <c r="O2321" s="16">
        <f>I2321-H2321</f>
        <v/>
      </c>
      <c r="P2321" s="14">
        <f>F2321*G2321</f>
        <v/>
      </c>
      <c r="Q2321" s="14">
        <f>J2321*G2321</f>
        <v/>
      </c>
      <c r="R2321" s="14">
        <f>K2321-Q2321</f>
        <v/>
      </c>
      <c r="S2321" s="3">
        <f>P2321*Assumptions!$B$3/100</f>
        <v/>
      </c>
      <c r="T2321" s="14">
        <f>R2321-S2321</f>
        <v/>
      </c>
      <c r="U2321" s="14">
        <f>L2321*G2321</f>
        <v/>
      </c>
    </row>
    <row r="2322">
      <c r="A2322" s="12" t="inlineStr">
        <is>
          <t>PO-2022-2320</t>
        </is>
      </c>
      <c r="B2322" s="26" t="n">
        <v>44736</v>
      </c>
      <c r="C2322" s="12" t="inlineStr">
        <is>
          <t>VS10</t>
        </is>
      </c>
      <c r="D2322" s="12" t="inlineStr">
        <is>
          <t>Spring Steel</t>
        </is>
      </c>
      <c r="E2322" s="12" t="inlineStr">
        <is>
          <t>N</t>
        </is>
      </c>
      <c r="F2322" s="12" t="n">
        <v>29.2</v>
      </c>
      <c r="G2322" s="17" t="n">
        <v>59200.92</v>
      </c>
      <c r="H2322" s="26" t="n">
        <v>44740</v>
      </c>
      <c r="I2322" s="26" t="n">
        <v>44741</v>
      </c>
      <c r="J2322" s="12" t="n">
        <v>29.01</v>
      </c>
      <c r="K2322" s="17" t="n">
        <v>1728666.86</v>
      </c>
      <c r="L2322" s="12" t="n">
        <v>0</v>
      </c>
      <c r="M2322" s="12" t="n">
        <v>0</v>
      </c>
      <c r="N2322" s="27">
        <f>F2322-J2322</f>
        <v/>
      </c>
      <c r="O2322" s="16">
        <f>I2322-H2322</f>
        <v/>
      </c>
      <c r="P2322" s="14">
        <f>F2322*G2322</f>
        <v/>
      </c>
      <c r="Q2322" s="14">
        <f>J2322*G2322</f>
        <v/>
      </c>
      <c r="R2322" s="14">
        <f>K2322-Q2322</f>
        <v/>
      </c>
      <c r="S2322" s="3">
        <f>P2322*Assumptions!$B$3/100</f>
        <v/>
      </c>
      <c r="T2322" s="14">
        <f>R2322-S2322</f>
        <v/>
      </c>
      <c r="U2322" s="14">
        <f>L2322*G2322</f>
        <v/>
      </c>
    </row>
    <row r="2323">
      <c r="A2323" s="12" t="inlineStr">
        <is>
          <t>PO-2022-2321</t>
        </is>
      </c>
      <c r="B2323" s="26" t="n">
        <v>44352</v>
      </c>
      <c r="C2323" s="12" t="inlineStr">
        <is>
          <t>VS13</t>
        </is>
      </c>
      <c r="D2323" s="12" t="inlineStr">
        <is>
          <t>MS Sheets</t>
        </is>
      </c>
      <c r="E2323" s="12" t="inlineStr">
        <is>
          <t>N</t>
        </is>
      </c>
      <c r="F2323" s="12" t="n">
        <v>42.58</v>
      </c>
      <c r="G2323" s="17" t="n">
        <v>101721.47</v>
      </c>
      <c r="H2323" s="26" t="n">
        <v>44358</v>
      </c>
      <c r="I2323" s="26" t="n">
        <v>44361</v>
      </c>
      <c r="J2323" s="12" t="n">
        <v>42.28</v>
      </c>
      <c r="K2323" s="17" t="n">
        <v>4331300.19</v>
      </c>
      <c r="L2323" s="12" t="n">
        <v>0</v>
      </c>
      <c r="M2323" s="12" t="n">
        <v>1</v>
      </c>
      <c r="N2323" s="27">
        <f>F2323-J2323</f>
        <v/>
      </c>
      <c r="O2323" s="16">
        <f>I2323-H2323</f>
        <v/>
      </c>
      <c r="P2323" s="14">
        <f>F2323*G2323</f>
        <v/>
      </c>
      <c r="Q2323" s="14">
        <f>J2323*G2323</f>
        <v/>
      </c>
      <c r="R2323" s="14">
        <f>K2323-Q2323</f>
        <v/>
      </c>
      <c r="S2323" s="3">
        <f>P2323*Assumptions!$B$3/100</f>
        <v/>
      </c>
      <c r="T2323" s="14">
        <f>R2323-S2323</f>
        <v/>
      </c>
      <c r="U2323" s="14">
        <f>L2323*G2323</f>
        <v/>
      </c>
    </row>
    <row r="2324">
      <c r="A2324" s="12" t="inlineStr">
        <is>
          <t>PO-2022-2322</t>
        </is>
      </c>
      <c r="B2324" s="26" t="n">
        <v>44529</v>
      </c>
      <c r="C2324" s="12" t="inlineStr">
        <is>
          <t>VS26</t>
        </is>
      </c>
      <c r="D2324" s="12" t="inlineStr">
        <is>
          <t>SS Sheets</t>
        </is>
      </c>
      <c r="E2324" s="12" t="inlineStr">
        <is>
          <t>N</t>
        </is>
      </c>
      <c r="F2324" s="12" t="n">
        <v>30.48</v>
      </c>
      <c r="G2324" s="17" t="n">
        <v>82999.08</v>
      </c>
      <c r="H2324" s="26" t="n">
        <v>44536</v>
      </c>
      <c r="I2324" s="26" t="n">
        <v>44539</v>
      </c>
      <c r="J2324" s="12" t="n">
        <v>30.41</v>
      </c>
      <c r="K2324" s="17" t="n">
        <v>2529811.96</v>
      </c>
      <c r="L2324" s="12" t="n">
        <v>0</v>
      </c>
      <c r="M2324" s="12" t="n">
        <v>0</v>
      </c>
      <c r="N2324" s="27">
        <f>F2324-J2324</f>
        <v/>
      </c>
      <c r="O2324" s="16">
        <f>I2324-H2324</f>
        <v/>
      </c>
      <c r="P2324" s="14">
        <f>F2324*G2324</f>
        <v/>
      </c>
      <c r="Q2324" s="14">
        <f>J2324*G2324</f>
        <v/>
      </c>
      <c r="R2324" s="14">
        <f>K2324-Q2324</f>
        <v/>
      </c>
      <c r="S2324" s="3">
        <f>P2324*Assumptions!$B$3/100</f>
        <v/>
      </c>
      <c r="T2324" s="14">
        <f>R2324-S2324</f>
        <v/>
      </c>
      <c r="U2324" s="14">
        <f>L2324*G2324</f>
        <v/>
      </c>
    </row>
    <row r="2325">
      <c r="A2325" s="12" t="inlineStr">
        <is>
          <t>PO-2022-2323</t>
        </is>
      </c>
      <c r="B2325" s="26" t="n">
        <v>44643</v>
      </c>
      <c r="C2325" s="12" t="inlineStr">
        <is>
          <t>VS28</t>
        </is>
      </c>
      <c r="D2325" s="12" t="inlineStr">
        <is>
          <t>CR Sheets</t>
        </is>
      </c>
      <c r="E2325" s="12" t="inlineStr">
        <is>
          <t>N</t>
        </is>
      </c>
      <c r="F2325" s="12" t="n">
        <v>41.4</v>
      </c>
      <c r="G2325" s="17" t="n">
        <v>100158.24</v>
      </c>
      <c r="H2325" s="26" t="n">
        <v>44654</v>
      </c>
      <c r="I2325" s="26" t="n">
        <v>44655</v>
      </c>
      <c r="J2325" s="12" t="n">
        <v>41.14</v>
      </c>
      <c r="K2325" s="17" t="n">
        <v>4146551.14</v>
      </c>
      <c r="L2325" s="12" t="n">
        <v>0</v>
      </c>
      <c r="M2325" s="12" t="n">
        <v>19</v>
      </c>
      <c r="N2325" s="27">
        <f>F2325-J2325</f>
        <v/>
      </c>
      <c r="O2325" s="16">
        <f>I2325-H2325</f>
        <v/>
      </c>
      <c r="P2325" s="14">
        <f>F2325*G2325</f>
        <v/>
      </c>
      <c r="Q2325" s="14">
        <f>J2325*G2325</f>
        <v/>
      </c>
      <c r="R2325" s="14">
        <f>K2325-Q2325</f>
        <v/>
      </c>
      <c r="S2325" s="3">
        <f>P2325*Assumptions!$B$3/100</f>
        <v/>
      </c>
      <c r="T2325" s="14">
        <f>R2325-S2325</f>
        <v/>
      </c>
      <c r="U2325" s="14">
        <f>L2325*G2325</f>
        <v/>
      </c>
    </row>
    <row r="2326">
      <c r="A2326" s="12" t="inlineStr">
        <is>
          <t>PO-2022-2324</t>
        </is>
      </c>
      <c r="B2326" s="26" t="n">
        <v>44211</v>
      </c>
      <c r="C2326" s="12" t="inlineStr">
        <is>
          <t>VS17</t>
        </is>
      </c>
      <c r="D2326" s="12" t="inlineStr">
        <is>
          <t>SS Sheets</t>
        </is>
      </c>
      <c r="E2326" s="12" t="inlineStr">
        <is>
          <t>N</t>
        </is>
      </c>
      <c r="F2326" s="12" t="n">
        <v>37.96</v>
      </c>
      <c r="G2326" s="17" t="n">
        <v>49849</v>
      </c>
      <c r="H2326" s="26" t="n">
        <v>44215</v>
      </c>
      <c r="I2326" s="26" t="n">
        <v>44216</v>
      </c>
      <c r="J2326" s="12" t="n">
        <v>37.86</v>
      </c>
      <c r="K2326" s="17" t="n">
        <v>1892268.04</v>
      </c>
      <c r="L2326" s="12" t="n">
        <v>0</v>
      </c>
      <c r="M2326" s="12" t="n">
        <v>15</v>
      </c>
      <c r="N2326" s="27">
        <f>F2326-J2326</f>
        <v/>
      </c>
      <c r="O2326" s="16">
        <f>I2326-H2326</f>
        <v/>
      </c>
      <c r="P2326" s="14">
        <f>F2326*G2326</f>
        <v/>
      </c>
      <c r="Q2326" s="14">
        <f>J2326*G2326</f>
        <v/>
      </c>
      <c r="R2326" s="14">
        <f>K2326-Q2326</f>
        <v/>
      </c>
      <c r="S2326" s="3">
        <f>P2326*Assumptions!$B$3/100</f>
        <v/>
      </c>
      <c r="T2326" s="14">
        <f>R2326-S2326</f>
        <v/>
      </c>
      <c r="U2326" s="14">
        <f>L2326*G2326</f>
        <v/>
      </c>
    </row>
    <row r="2327">
      <c r="A2327" s="12" t="inlineStr">
        <is>
          <t>PO-2022-2325</t>
        </is>
      </c>
      <c r="B2327" s="26" t="n">
        <v>45208</v>
      </c>
      <c r="C2327" s="12" t="inlineStr">
        <is>
          <t>VS23</t>
        </is>
      </c>
      <c r="D2327" s="12" t="inlineStr">
        <is>
          <t>GI Pipes</t>
        </is>
      </c>
      <c r="E2327" s="12" t="inlineStr">
        <is>
          <t>N</t>
        </is>
      </c>
      <c r="F2327" s="12" t="n">
        <v>31.37</v>
      </c>
      <c r="G2327" s="17" t="n">
        <v>106327.76</v>
      </c>
      <c r="H2327" s="26" t="n">
        <v>45212</v>
      </c>
      <c r="I2327" s="26" t="n">
        <v>45214</v>
      </c>
      <c r="J2327" s="12" t="n">
        <v>31.13</v>
      </c>
      <c r="K2327" s="17" t="n">
        <v>3335501.83</v>
      </c>
      <c r="L2327" s="12" t="n">
        <v>0</v>
      </c>
      <c r="M2327" s="12" t="n">
        <v>23</v>
      </c>
      <c r="N2327" s="27">
        <f>F2327-J2327</f>
        <v/>
      </c>
      <c r="O2327" s="16">
        <f>I2327-H2327</f>
        <v/>
      </c>
      <c r="P2327" s="14">
        <f>F2327*G2327</f>
        <v/>
      </c>
      <c r="Q2327" s="14">
        <f>J2327*G2327</f>
        <v/>
      </c>
      <c r="R2327" s="14">
        <f>K2327-Q2327</f>
        <v/>
      </c>
      <c r="S2327" s="3">
        <f>P2327*Assumptions!$B$3/100</f>
        <v/>
      </c>
      <c r="T2327" s="14">
        <f>R2327-S2327</f>
        <v/>
      </c>
      <c r="U2327" s="14">
        <f>L2327*G2327</f>
        <v/>
      </c>
    </row>
    <row r="2328">
      <c r="A2328" s="12" t="inlineStr">
        <is>
          <t>PO-2022-2326</t>
        </is>
      </c>
      <c r="B2328" s="26" t="n">
        <v>45110</v>
      </c>
      <c r="C2328" s="12" t="inlineStr">
        <is>
          <t>VS01</t>
        </is>
      </c>
      <c r="D2328" s="12" t="inlineStr">
        <is>
          <t>SS Pipes</t>
        </is>
      </c>
      <c r="E2328" s="12" t="inlineStr">
        <is>
          <t>N</t>
        </is>
      </c>
      <c r="F2328" s="12" t="n">
        <v>16.6</v>
      </c>
      <c r="G2328" s="17" t="n">
        <v>102853.96</v>
      </c>
      <c r="H2328" s="26" t="n">
        <v>45118</v>
      </c>
      <c r="I2328" s="26" t="n">
        <v>45120</v>
      </c>
      <c r="J2328" s="12" t="n">
        <v>16.59</v>
      </c>
      <c r="K2328" s="17" t="n">
        <v>1707375.74</v>
      </c>
      <c r="L2328" s="12" t="n">
        <v>0</v>
      </c>
      <c r="M2328" s="12" t="n">
        <v>18</v>
      </c>
      <c r="N2328" s="27">
        <f>F2328-J2328</f>
        <v/>
      </c>
      <c r="O2328" s="16">
        <f>I2328-H2328</f>
        <v/>
      </c>
      <c r="P2328" s="14">
        <f>F2328*G2328</f>
        <v/>
      </c>
      <c r="Q2328" s="14">
        <f>J2328*G2328</f>
        <v/>
      </c>
      <c r="R2328" s="14">
        <f>K2328-Q2328</f>
        <v/>
      </c>
      <c r="S2328" s="3">
        <f>P2328*Assumptions!$B$3/100</f>
        <v/>
      </c>
      <c r="T2328" s="14">
        <f>R2328-S2328</f>
        <v/>
      </c>
      <c r="U2328" s="14">
        <f>L2328*G2328</f>
        <v/>
      </c>
    </row>
    <row r="2329">
      <c r="A2329" s="12" t="inlineStr">
        <is>
          <t>PO-2022-2327</t>
        </is>
      </c>
      <c r="B2329" s="26" t="n">
        <v>44331</v>
      </c>
      <c r="C2329" s="12" t="inlineStr">
        <is>
          <t>VS17</t>
        </is>
      </c>
      <c r="D2329" s="12" t="inlineStr">
        <is>
          <t>MS Flats</t>
        </is>
      </c>
      <c r="E2329" s="12" t="inlineStr">
        <is>
          <t>N</t>
        </is>
      </c>
      <c r="F2329" s="12" t="n">
        <v>23.09</v>
      </c>
      <c r="G2329" s="17" t="n">
        <v>100664.45</v>
      </c>
      <c r="H2329" s="26" t="n">
        <v>44341</v>
      </c>
      <c r="I2329" s="26" t="n">
        <v>44344</v>
      </c>
      <c r="J2329" s="12" t="n">
        <v>22.99</v>
      </c>
      <c r="K2329" s="17" t="n">
        <v>2324342.15</v>
      </c>
      <c r="L2329" s="12" t="n">
        <v>0</v>
      </c>
      <c r="M2329" s="12" t="n">
        <v>5</v>
      </c>
      <c r="N2329" s="27">
        <f>F2329-J2329</f>
        <v/>
      </c>
      <c r="O2329" s="16">
        <f>I2329-H2329</f>
        <v/>
      </c>
      <c r="P2329" s="14">
        <f>F2329*G2329</f>
        <v/>
      </c>
      <c r="Q2329" s="14">
        <f>J2329*G2329</f>
        <v/>
      </c>
      <c r="R2329" s="14">
        <f>K2329-Q2329</f>
        <v/>
      </c>
      <c r="S2329" s="3">
        <f>P2329*Assumptions!$B$3/100</f>
        <v/>
      </c>
      <c r="T2329" s="14">
        <f>R2329-S2329</f>
        <v/>
      </c>
      <c r="U2329" s="14">
        <f>L2329*G2329</f>
        <v/>
      </c>
    </row>
    <row r="2330">
      <c r="A2330" s="12" t="inlineStr">
        <is>
          <t>PO-2022-2328</t>
        </is>
      </c>
      <c r="B2330" s="26" t="n">
        <v>44955</v>
      </c>
      <c r="C2330" s="12" t="inlineStr">
        <is>
          <t>VS32</t>
        </is>
      </c>
      <c r="D2330" s="12" t="inlineStr">
        <is>
          <t>SS Sheets</t>
        </is>
      </c>
      <c r="E2330" s="12" t="inlineStr">
        <is>
          <t>N</t>
        </is>
      </c>
      <c r="F2330" s="12" t="n">
        <v>38.41</v>
      </c>
      <c r="G2330" s="17" t="n">
        <v>68510.60000000001</v>
      </c>
      <c r="H2330" s="26" t="n">
        <v>44969</v>
      </c>
      <c r="I2330" s="26" t="n">
        <v>44970</v>
      </c>
      <c r="J2330" s="12" t="n">
        <v>38.29</v>
      </c>
      <c r="K2330" s="17" t="n">
        <v>2631492.15</v>
      </c>
      <c r="L2330" s="12" t="n">
        <v>0</v>
      </c>
      <c r="M2330" s="12" t="n">
        <v>0</v>
      </c>
      <c r="N2330" s="27">
        <f>F2330-J2330</f>
        <v/>
      </c>
      <c r="O2330" s="16">
        <f>I2330-H2330</f>
        <v/>
      </c>
      <c r="P2330" s="14">
        <f>F2330*G2330</f>
        <v/>
      </c>
      <c r="Q2330" s="14">
        <f>J2330*G2330</f>
        <v/>
      </c>
      <c r="R2330" s="14">
        <f>K2330-Q2330</f>
        <v/>
      </c>
      <c r="S2330" s="3">
        <f>P2330*Assumptions!$B$3/100</f>
        <v/>
      </c>
      <c r="T2330" s="14">
        <f>R2330-S2330</f>
        <v/>
      </c>
      <c r="U2330" s="14">
        <f>L2330*G2330</f>
        <v/>
      </c>
    </row>
    <row r="2331">
      <c r="A2331" s="12" t="inlineStr">
        <is>
          <t>PO-2022-2329</t>
        </is>
      </c>
      <c r="B2331" s="26" t="n">
        <v>44586</v>
      </c>
      <c r="C2331" s="12" t="inlineStr">
        <is>
          <t>VS15</t>
        </is>
      </c>
      <c r="D2331" s="12" t="inlineStr">
        <is>
          <t>MS Sheets</t>
        </is>
      </c>
      <c r="E2331" s="12" t="inlineStr">
        <is>
          <t>N</t>
        </is>
      </c>
      <c r="F2331" s="12" t="n">
        <v>3.09</v>
      </c>
      <c r="G2331" s="17" t="n">
        <v>71467.12</v>
      </c>
      <c r="H2331" s="26" t="n">
        <v>44596</v>
      </c>
      <c r="I2331" s="26" t="n">
        <v>44599</v>
      </c>
      <c r="J2331" s="12" t="n">
        <v>3.06</v>
      </c>
      <c r="K2331" s="17" t="n">
        <v>220833.4</v>
      </c>
      <c r="L2331" s="12" t="n">
        <v>0</v>
      </c>
      <c r="M2331" s="12" t="n">
        <v>1</v>
      </c>
      <c r="N2331" s="27">
        <f>F2331-J2331</f>
        <v/>
      </c>
      <c r="O2331" s="16">
        <f>I2331-H2331</f>
        <v/>
      </c>
      <c r="P2331" s="14">
        <f>F2331*G2331</f>
        <v/>
      </c>
      <c r="Q2331" s="14">
        <f>J2331*G2331</f>
        <v/>
      </c>
      <c r="R2331" s="14">
        <f>K2331-Q2331</f>
        <v/>
      </c>
      <c r="S2331" s="3">
        <f>P2331*Assumptions!$B$3/100</f>
        <v/>
      </c>
      <c r="T2331" s="14">
        <f>R2331-S2331</f>
        <v/>
      </c>
      <c r="U2331" s="14">
        <f>L2331*G2331</f>
        <v/>
      </c>
    </row>
    <row r="2332">
      <c r="A2332" s="12" t="inlineStr">
        <is>
          <t>PO-2022-2330</t>
        </is>
      </c>
      <c r="B2332" s="26" t="n">
        <v>45142</v>
      </c>
      <c r="C2332" s="12" t="inlineStr">
        <is>
          <t>VS21</t>
        </is>
      </c>
      <c r="D2332" s="12" t="inlineStr">
        <is>
          <t>MS Rods</t>
        </is>
      </c>
      <c r="E2332" s="12" t="inlineStr">
        <is>
          <t>N</t>
        </is>
      </c>
      <c r="F2332" s="12" t="n">
        <v>23.72</v>
      </c>
      <c r="G2332" s="17" t="n">
        <v>112431.72</v>
      </c>
      <c r="H2332" s="26" t="n">
        <v>45152</v>
      </c>
      <c r="I2332" s="26" t="n">
        <v>45154</v>
      </c>
      <c r="J2332" s="12" t="n">
        <v>23.62</v>
      </c>
      <c r="K2332" s="17" t="n">
        <v>2666880.4</v>
      </c>
      <c r="L2332" s="12" t="n">
        <v>0</v>
      </c>
      <c r="M2332" s="12" t="n">
        <v>12</v>
      </c>
      <c r="N2332" s="27">
        <f>F2332-J2332</f>
        <v/>
      </c>
      <c r="O2332" s="16">
        <f>I2332-H2332</f>
        <v/>
      </c>
      <c r="P2332" s="14">
        <f>F2332*G2332</f>
        <v/>
      </c>
      <c r="Q2332" s="14">
        <f>J2332*G2332</f>
        <v/>
      </c>
      <c r="R2332" s="14">
        <f>K2332-Q2332</f>
        <v/>
      </c>
      <c r="S2332" s="3">
        <f>P2332*Assumptions!$B$3/100</f>
        <v/>
      </c>
      <c r="T2332" s="14">
        <f>R2332-S2332</f>
        <v/>
      </c>
      <c r="U2332" s="14">
        <f>L2332*G2332</f>
        <v/>
      </c>
    </row>
    <row r="2333">
      <c r="A2333" s="12" t="inlineStr">
        <is>
          <t>PO-2022-2331</t>
        </is>
      </c>
      <c r="B2333" s="26" t="n">
        <v>44509</v>
      </c>
      <c r="C2333" s="12" t="inlineStr">
        <is>
          <t>VS10</t>
        </is>
      </c>
      <c r="D2333" s="12" t="inlineStr">
        <is>
          <t>MS Rods</t>
        </is>
      </c>
      <c r="E2333" s="12" t="inlineStr">
        <is>
          <t>N</t>
        </is>
      </c>
      <c r="F2333" s="12" t="n">
        <v>21.56</v>
      </c>
      <c r="G2333" s="17" t="n">
        <v>46835.99</v>
      </c>
      <c r="H2333" s="26" t="n">
        <v>44514</v>
      </c>
      <c r="I2333" s="26" t="n">
        <v>44516</v>
      </c>
      <c r="J2333" s="12" t="n">
        <v>21.42</v>
      </c>
      <c r="K2333" s="17" t="n">
        <v>1009783.94</v>
      </c>
      <c r="L2333" s="12" t="n">
        <v>0</v>
      </c>
      <c r="M2333" s="12" t="n">
        <v>0</v>
      </c>
      <c r="N2333" s="27">
        <f>F2333-J2333</f>
        <v/>
      </c>
      <c r="O2333" s="16">
        <f>I2333-H2333</f>
        <v/>
      </c>
      <c r="P2333" s="14">
        <f>F2333*G2333</f>
        <v/>
      </c>
      <c r="Q2333" s="14">
        <f>J2333*G2333</f>
        <v/>
      </c>
      <c r="R2333" s="14">
        <f>K2333-Q2333</f>
        <v/>
      </c>
      <c r="S2333" s="3">
        <f>P2333*Assumptions!$B$3/100</f>
        <v/>
      </c>
      <c r="T2333" s="14">
        <f>R2333-S2333</f>
        <v/>
      </c>
      <c r="U2333" s="14">
        <f>L2333*G2333</f>
        <v/>
      </c>
    </row>
    <row r="2334">
      <c r="A2334" s="12" t="inlineStr">
        <is>
          <t>PO-2022-2332</t>
        </is>
      </c>
      <c r="B2334" s="26" t="n">
        <v>44845</v>
      </c>
      <c r="C2334" s="12" t="inlineStr">
        <is>
          <t>VS25</t>
        </is>
      </c>
      <c r="D2334" s="12" t="inlineStr">
        <is>
          <t>Square/Rect Tubes</t>
        </is>
      </c>
      <c r="E2334" s="12" t="inlineStr">
        <is>
          <t>N</t>
        </is>
      </c>
      <c r="F2334" s="12" t="n">
        <v>20.57</v>
      </c>
      <c r="G2334" s="17" t="n">
        <v>46046.26</v>
      </c>
      <c r="H2334" s="26" t="n">
        <v>44860</v>
      </c>
      <c r="I2334" s="26" t="n">
        <v>44862</v>
      </c>
      <c r="J2334" s="12" t="n">
        <v>20.51</v>
      </c>
      <c r="K2334" s="17" t="n">
        <v>947171.5699999999</v>
      </c>
      <c r="L2334" s="12" t="n">
        <v>0</v>
      </c>
      <c r="M2334" s="12" t="n">
        <v>0</v>
      </c>
      <c r="N2334" s="27">
        <f>F2334-J2334</f>
        <v/>
      </c>
      <c r="O2334" s="16">
        <f>I2334-H2334</f>
        <v/>
      </c>
      <c r="P2334" s="14">
        <f>F2334*G2334</f>
        <v/>
      </c>
      <c r="Q2334" s="14">
        <f>J2334*G2334</f>
        <v/>
      </c>
      <c r="R2334" s="14">
        <f>K2334-Q2334</f>
        <v/>
      </c>
      <c r="S2334" s="3">
        <f>P2334*Assumptions!$B$3/100</f>
        <v/>
      </c>
      <c r="T2334" s="14">
        <f>R2334-S2334</f>
        <v/>
      </c>
      <c r="U2334" s="14">
        <f>L2334*G2334</f>
        <v/>
      </c>
    </row>
    <row r="2335">
      <c r="A2335" s="12" t="inlineStr">
        <is>
          <t>PO-2022-2333</t>
        </is>
      </c>
      <c r="B2335" s="26" t="n">
        <v>44550</v>
      </c>
      <c r="C2335" s="12" t="inlineStr">
        <is>
          <t>VS10</t>
        </is>
      </c>
      <c r="D2335" s="12" t="inlineStr">
        <is>
          <t>MS Sheets</t>
        </is>
      </c>
      <c r="E2335" s="12" t="inlineStr">
        <is>
          <t>Y</t>
        </is>
      </c>
      <c r="F2335" s="12" t="n">
        <v>11.63</v>
      </c>
      <c r="G2335" s="17" t="n">
        <v>46229.2</v>
      </c>
      <c r="H2335" s="26" t="n">
        <v>44560</v>
      </c>
      <c r="I2335" s="26" t="n">
        <v>44563</v>
      </c>
      <c r="J2335" s="12" t="n">
        <v>11.6</v>
      </c>
      <c r="K2335" s="17" t="n">
        <v>537645.6</v>
      </c>
      <c r="L2335" s="12" t="n">
        <v>0</v>
      </c>
      <c r="M2335" s="12" t="n">
        <v>0</v>
      </c>
      <c r="N2335" s="27">
        <f>F2335-J2335</f>
        <v/>
      </c>
      <c r="O2335" s="16">
        <f>I2335-H2335</f>
        <v/>
      </c>
      <c r="P2335" s="14">
        <f>F2335*G2335</f>
        <v/>
      </c>
      <c r="Q2335" s="14">
        <f>J2335*G2335</f>
        <v/>
      </c>
      <c r="R2335" s="14">
        <f>K2335-Q2335</f>
        <v/>
      </c>
      <c r="S2335" s="3">
        <f>P2335*Assumptions!$B$3/100</f>
        <v/>
      </c>
      <c r="T2335" s="14">
        <f>R2335-S2335</f>
        <v/>
      </c>
      <c r="U2335" s="14">
        <f>L2335*G2335</f>
        <v/>
      </c>
    </row>
    <row r="2336">
      <c r="A2336" s="12" t="inlineStr">
        <is>
          <t>PO-2022-2334</t>
        </is>
      </c>
      <c r="B2336" s="26" t="n">
        <v>44503</v>
      </c>
      <c r="C2336" s="12" t="inlineStr">
        <is>
          <t>VS18</t>
        </is>
      </c>
      <c r="D2336" s="12" t="inlineStr">
        <is>
          <t>MS Flats</t>
        </is>
      </c>
      <c r="E2336" s="12" t="inlineStr">
        <is>
          <t>N</t>
        </is>
      </c>
      <c r="F2336" s="12" t="n">
        <v>10.69</v>
      </c>
      <c r="G2336" s="17" t="n">
        <v>82299.17999999999</v>
      </c>
      <c r="H2336" s="26" t="n">
        <v>44508</v>
      </c>
      <c r="I2336" s="26" t="n">
        <v>44509</v>
      </c>
      <c r="J2336" s="12" t="n">
        <v>10.63</v>
      </c>
      <c r="K2336" s="17" t="n">
        <v>879778.23</v>
      </c>
      <c r="L2336" s="12" t="n">
        <v>0</v>
      </c>
      <c r="M2336" s="12" t="n">
        <v>0</v>
      </c>
      <c r="N2336" s="27">
        <f>F2336-J2336</f>
        <v/>
      </c>
      <c r="O2336" s="16">
        <f>I2336-H2336</f>
        <v/>
      </c>
      <c r="P2336" s="14">
        <f>F2336*G2336</f>
        <v/>
      </c>
      <c r="Q2336" s="14">
        <f>J2336*G2336</f>
        <v/>
      </c>
      <c r="R2336" s="14">
        <f>K2336-Q2336</f>
        <v/>
      </c>
      <c r="S2336" s="3">
        <f>P2336*Assumptions!$B$3/100</f>
        <v/>
      </c>
      <c r="T2336" s="14">
        <f>R2336-S2336</f>
        <v/>
      </c>
      <c r="U2336" s="14">
        <f>L2336*G2336</f>
        <v/>
      </c>
    </row>
    <row r="2337">
      <c r="A2337" s="12" t="inlineStr">
        <is>
          <t>PO-2022-2335</t>
        </is>
      </c>
      <c r="B2337" s="26" t="n">
        <v>44818</v>
      </c>
      <c r="C2337" s="12" t="inlineStr">
        <is>
          <t>VS18</t>
        </is>
      </c>
      <c r="D2337" s="12" t="inlineStr">
        <is>
          <t>HR Coils</t>
        </is>
      </c>
      <c r="E2337" s="12" t="inlineStr">
        <is>
          <t>N</t>
        </is>
      </c>
      <c r="F2337" s="12" t="n">
        <v>10.31</v>
      </c>
      <c r="G2337" s="17" t="n">
        <v>90511.87</v>
      </c>
      <c r="H2337" s="26" t="n">
        <v>44828</v>
      </c>
      <c r="I2337" s="26" t="n">
        <v>44828</v>
      </c>
      <c r="J2337" s="12" t="n">
        <v>10.26</v>
      </c>
      <c r="K2337" s="17" t="n">
        <v>933177.38</v>
      </c>
      <c r="L2337" s="12" t="n">
        <v>0</v>
      </c>
      <c r="M2337" s="12" t="n">
        <v>0</v>
      </c>
      <c r="N2337" s="27">
        <f>F2337-J2337</f>
        <v/>
      </c>
      <c r="O2337" s="16">
        <f>I2337-H2337</f>
        <v/>
      </c>
      <c r="P2337" s="14">
        <f>F2337*G2337</f>
        <v/>
      </c>
      <c r="Q2337" s="14">
        <f>J2337*G2337</f>
        <v/>
      </c>
      <c r="R2337" s="14">
        <f>K2337-Q2337</f>
        <v/>
      </c>
      <c r="S2337" s="3">
        <f>P2337*Assumptions!$B$3/100</f>
        <v/>
      </c>
      <c r="T2337" s="14">
        <f>R2337-S2337</f>
        <v/>
      </c>
      <c r="U2337" s="14">
        <f>L2337*G2337</f>
        <v/>
      </c>
    </row>
    <row r="2338">
      <c r="A2338" s="12" t="inlineStr">
        <is>
          <t>PO-2022-2336</t>
        </is>
      </c>
      <c r="B2338" s="26" t="n">
        <v>45083</v>
      </c>
      <c r="C2338" s="12" t="inlineStr">
        <is>
          <t>VS28</t>
        </is>
      </c>
      <c r="D2338" s="12" t="inlineStr">
        <is>
          <t>MS Sheets</t>
        </is>
      </c>
      <c r="E2338" s="12" t="inlineStr">
        <is>
          <t>N</t>
        </is>
      </c>
      <c r="F2338" s="12" t="n">
        <v>24.88</v>
      </c>
      <c r="G2338" s="17" t="n">
        <v>94934.19</v>
      </c>
      <c r="H2338" s="26" t="n">
        <v>45091</v>
      </c>
      <c r="I2338" s="26" t="n">
        <v>45092</v>
      </c>
      <c r="J2338" s="12" t="n">
        <v>24.74</v>
      </c>
      <c r="K2338" s="17" t="n">
        <v>2361962.65</v>
      </c>
      <c r="L2338" s="12" t="n">
        <v>0</v>
      </c>
      <c r="M2338" s="12" t="n">
        <v>0</v>
      </c>
      <c r="N2338" s="27">
        <f>F2338-J2338</f>
        <v/>
      </c>
      <c r="O2338" s="16">
        <f>I2338-H2338</f>
        <v/>
      </c>
      <c r="P2338" s="14">
        <f>F2338*G2338</f>
        <v/>
      </c>
      <c r="Q2338" s="14">
        <f>J2338*G2338</f>
        <v/>
      </c>
      <c r="R2338" s="14">
        <f>K2338-Q2338</f>
        <v/>
      </c>
      <c r="S2338" s="3">
        <f>P2338*Assumptions!$B$3/100</f>
        <v/>
      </c>
      <c r="T2338" s="14">
        <f>R2338-S2338</f>
        <v/>
      </c>
      <c r="U2338" s="14">
        <f>L2338*G2338</f>
        <v/>
      </c>
    </row>
    <row r="2339">
      <c r="A2339" s="12" t="inlineStr">
        <is>
          <t>PO-2022-2337</t>
        </is>
      </c>
      <c r="B2339" s="26" t="n">
        <v>44414</v>
      </c>
      <c r="C2339" s="12" t="inlineStr">
        <is>
          <t>VS05</t>
        </is>
      </c>
      <c r="D2339" s="12" t="inlineStr">
        <is>
          <t>MS Flats</t>
        </is>
      </c>
      <c r="E2339" s="12" t="inlineStr">
        <is>
          <t>Y</t>
        </is>
      </c>
      <c r="F2339" s="12" t="n">
        <v>35.6</v>
      </c>
      <c r="G2339" s="17" t="n">
        <v>90586.32000000001</v>
      </c>
      <c r="H2339" s="26" t="n">
        <v>44419</v>
      </c>
      <c r="I2339" s="26" t="n">
        <v>44420</v>
      </c>
      <c r="J2339" s="12" t="n">
        <v>35.29</v>
      </c>
      <c r="K2339" s="17" t="n">
        <v>3224872.99</v>
      </c>
      <c r="L2339" s="12" t="n">
        <v>0</v>
      </c>
      <c r="M2339" s="12" t="n">
        <v>19</v>
      </c>
      <c r="N2339" s="27">
        <f>F2339-J2339</f>
        <v/>
      </c>
      <c r="O2339" s="16">
        <f>I2339-H2339</f>
        <v/>
      </c>
      <c r="P2339" s="14">
        <f>F2339*G2339</f>
        <v/>
      </c>
      <c r="Q2339" s="14">
        <f>J2339*G2339</f>
        <v/>
      </c>
      <c r="R2339" s="14">
        <f>K2339-Q2339</f>
        <v/>
      </c>
      <c r="S2339" s="3">
        <f>P2339*Assumptions!$B$3/100</f>
        <v/>
      </c>
      <c r="T2339" s="14">
        <f>R2339-S2339</f>
        <v/>
      </c>
      <c r="U2339" s="14">
        <f>L2339*G2339</f>
        <v/>
      </c>
    </row>
    <row r="2340">
      <c r="A2340" s="12" t="inlineStr">
        <is>
          <t>PO-2022-2338</t>
        </is>
      </c>
      <c r="B2340" s="26" t="n">
        <v>44678</v>
      </c>
      <c r="C2340" s="12" t="inlineStr">
        <is>
          <t>VS34</t>
        </is>
      </c>
      <c r="D2340" s="12" t="inlineStr">
        <is>
          <t>Structural Steel</t>
        </is>
      </c>
      <c r="E2340" s="12" t="inlineStr">
        <is>
          <t>N</t>
        </is>
      </c>
      <c r="F2340" s="12" t="n">
        <v>40.38</v>
      </c>
      <c r="G2340" s="17" t="n">
        <v>76225.91</v>
      </c>
      <c r="H2340" s="26" t="n">
        <v>44681</v>
      </c>
      <c r="I2340" s="26" t="n">
        <v>44683</v>
      </c>
      <c r="J2340" s="12" t="n">
        <v>40.34</v>
      </c>
      <c r="K2340" s="17" t="n">
        <v>3078002.25</v>
      </c>
      <c r="L2340" s="12" t="n">
        <v>0</v>
      </c>
      <c r="M2340" s="12" t="n">
        <v>16</v>
      </c>
      <c r="N2340" s="27">
        <f>F2340-J2340</f>
        <v/>
      </c>
      <c r="O2340" s="16">
        <f>I2340-H2340</f>
        <v/>
      </c>
      <c r="P2340" s="14">
        <f>F2340*G2340</f>
        <v/>
      </c>
      <c r="Q2340" s="14">
        <f>J2340*G2340</f>
        <v/>
      </c>
      <c r="R2340" s="14">
        <f>K2340-Q2340</f>
        <v/>
      </c>
      <c r="S2340" s="3">
        <f>P2340*Assumptions!$B$3/100</f>
        <v/>
      </c>
      <c r="T2340" s="14">
        <f>R2340-S2340</f>
        <v/>
      </c>
      <c r="U2340" s="14">
        <f>L2340*G2340</f>
        <v/>
      </c>
    </row>
    <row r="2341">
      <c r="A2341" s="12" t="inlineStr">
        <is>
          <t>PO-2022-2339</t>
        </is>
      </c>
      <c r="B2341" s="26" t="n">
        <v>44827</v>
      </c>
      <c r="C2341" s="12" t="inlineStr">
        <is>
          <t>VS11</t>
        </is>
      </c>
      <c r="D2341" s="12" t="inlineStr">
        <is>
          <t>MS Flats</t>
        </is>
      </c>
      <c r="E2341" s="12" t="inlineStr">
        <is>
          <t>N</t>
        </is>
      </c>
      <c r="F2341" s="12" t="n">
        <v>31.89</v>
      </c>
      <c r="G2341" s="17" t="n">
        <v>96304.32000000001</v>
      </c>
      <c r="H2341" s="26" t="n">
        <v>44836</v>
      </c>
      <c r="I2341" s="26" t="n">
        <v>44837</v>
      </c>
      <c r="J2341" s="12" t="n">
        <v>31.76</v>
      </c>
      <c r="K2341" s="17" t="n">
        <v>3071144.76</v>
      </c>
      <c r="L2341" s="12" t="n">
        <v>0</v>
      </c>
      <c r="M2341" s="12" t="n">
        <v>3</v>
      </c>
      <c r="N2341" s="27">
        <f>F2341-J2341</f>
        <v/>
      </c>
      <c r="O2341" s="16">
        <f>I2341-H2341</f>
        <v/>
      </c>
      <c r="P2341" s="14">
        <f>F2341*G2341</f>
        <v/>
      </c>
      <c r="Q2341" s="14">
        <f>J2341*G2341</f>
        <v/>
      </c>
      <c r="R2341" s="14">
        <f>K2341-Q2341</f>
        <v/>
      </c>
      <c r="S2341" s="3">
        <f>P2341*Assumptions!$B$3/100</f>
        <v/>
      </c>
      <c r="T2341" s="14">
        <f>R2341-S2341</f>
        <v/>
      </c>
      <c r="U2341" s="14">
        <f>L2341*G2341</f>
        <v/>
      </c>
    </row>
    <row r="2342">
      <c r="A2342" s="12" t="inlineStr">
        <is>
          <t>PO-2022-2340</t>
        </is>
      </c>
      <c r="B2342" s="26" t="n">
        <v>44446</v>
      </c>
      <c r="C2342" s="12" t="inlineStr">
        <is>
          <t>VS09</t>
        </is>
      </c>
      <c r="D2342" s="12" t="inlineStr">
        <is>
          <t>Hex Bars</t>
        </is>
      </c>
      <c r="E2342" s="12" t="inlineStr">
        <is>
          <t>N</t>
        </is>
      </c>
      <c r="F2342" s="12" t="n">
        <v>14.81</v>
      </c>
      <c r="G2342" s="17" t="n">
        <v>99356.75999999999</v>
      </c>
      <c r="H2342" s="26" t="n">
        <v>44461</v>
      </c>
      <c r="I2342" s="26" t="n">
        <v>44464</v>
      </c>
      <c r="J2342" s="12" t="n">
        <v>14.79</v>
      </c>
      <c r="K2342" s="17" t="n">
        <v>1471473.62</v>
      </c>
      <c r="L2342" s="12" t="n">
        <v>0</v>
      </c>
      <c r="M2342" s="12" t="n">
        <v>0</v>
      </c>
      <c r="N2342" s="27">
        <f>F2342-J2342</f>
        <v/>
      </c>
      <c r="O2342" s="16">
        <f>I2342-H2342</f>
        <v/>
      </c>
      <c r="P2342" s="14">
        <f>F2342*G2342</f>
        <v/>
      </c>
      <c r="Q2342" s="14">
        <f>J2342*G2342</f>
        <v/>
      </c>
      <c r="R2342" s="14">
        <f>K2342-Q2342</f>
        <v/>
      </c>
      <c r="S2342" s="3">
        <f>P2342*Assumptions!$B$3/100</f>
        <v/>
      </c>
      <c r="T2342" s="14">
        <f>R2342-S2342</f>
        <v/>
      </c>
      <c r="U2342" s="14">
        <f>L2342*G2342</f>
        <v/>
      </c>
    </row>
    <row r="2343">
      <c r="A2343" s="12" t="inlineStr">
        <is>
          <t>PO-2022-2341</t>
        </is>
      </c>
      <c r="B2343" s="26" t="n">
        <v>44459</v>
      </c>
      <c r="C2343" s="12" t="inlineStr">
        <is>
          <t>VS24</t>
        </is>
      </c>
      <c r="D2343" s="12" t="inlineStr">
        <is>
          <t>Structural Steel</t>
        </is>
      </c>
      <c r="E2343" s="12" t="inlineStr">
        <is>
          <t>N</t>
        </is>
      </c>
      <c r="F2343" s="12" t="n">
        <v>4.09</v>
      </c>
      <c r="G2343" s="17" t="n">
        <v>78530.87</v>
      </c>
      <c r="H2343" s="26" t="n">
        <v>44468</v>
      </c>
      <c r="I2343" s="26" t="n">
        <v>44471</v>
      </c>
      <c r="J2343" s="12" t="n">
        <v>4.06</v>
      </c>
      <c r="K2343" s="17" t="n">
        <v>321191.26</v>
      </c>
      <c r="L2343" s="12" t="n">
        <v>0</v>
      </c>
      <c r="M2343" s="12" t="n">
        <v>0</v>
      </c>
      <c r="N2343" s="27">
        <f>F2343-J2343</f>
        <v/>
      </c>
      <c r="O2343" s="16">
        <f>I2343-H2343</f>
        <v/>
      </c>
      <c r="P2343" s="14">
        <f>F2343*G2343</f>
        <v/>
      </c>
      <c r="Q2343" s="14">
        <f>J2343*G2343</f>
        <v/>
      </c>
      <c r="R2343" s="14">
        <f>K2343-Q2343</f>
        <v/>
      </c>
      <c r="S2343" s="3">
        <f>P2343*Assumptions!$B$3/100</f>
        <v/>
      </c>
      <c r="T2343" s="14">
        <f>R2343-S2343</f>
        <v/>
      </c>
      <c r="U2343" s="14">
        <f>L2343*G2343</f>
        <v/>
      </c>
    </row>
    <row r="2344">
      <c r="A2344" s="12" t="inlineStr">
        <is>
          <t>PO-2022-2342</t>
        </is>
      </c>
      <c r="B2344" s="26" t="n">
        <v>44701</v>
      </c>
      <c r="C2344" s="12" t="inlineStr">
        <is>
          <t>VS14</t>
        </is>
      </c>
      <c r="D2344" s="12" t="inlineStr">
        <is>
          <t>MS Flats</t>
        </is>
      </c>
      <c r="E2344" s="12" t="inlineStr">
        <is>
          <t>N</t>
        </is>
      </c>
      <c r="F2344" s="12" t="n">
        <v>34.73</v>
      </c>
      <c r="G2344" s="17" t="n">
        <v>113260.96</v>
      </c>
      <c r="H2344" s="26" t="n">
        <v>44709</v>
      </c>
      <c r="I2344" s="26" t="n">
        <v>44712</v>
      </c>
      <c r="J2344" s="12" t="n">
        <v>34.7</v>
      </c>
      <c r="K2344" s="17" t="n">
        <v>3933553.14</v>
      </c>
      <c r="L2344" s="12" t="n">
        <v>0</v>
      </c>
      <c r="M2344" s="12" t="n">
        <v>13</v>
      </c>
      <c r="N2344" s="27">
        <f>F2344-J2344</f>
        <v/>
      </c>
      <c r="O2344" s="16">
        <f>I2344-H2344</f>
        <v/>
      </c>
      <c r="P2344" s="14">
        <f>F2344*G2344</f>
        <v/>
      </c>
      <c r="Q2344" s="14">
        <f>J2344*G2344</f>
        <v/>
      </c>
      <c r="R2344" s="14">
        <f>K2344-Q2344</f>
        <v/>
      </c>
      <c r="S2344" s="3">
        <f>P2344*Assumptions!$B$3/100</f>
        <v/>
      </c>
      <c r="T2344" s="14">
        <f>R2344-S2344</f>
        <v/>
      </c>
      <c r="U2344" s="14">
        <f>L2344*G2344</f>
        <v/>
      </c>
    </row>
    <row r="2345">
      <c r="A2345" s="12" t="inlineStr">
        <is>
          <t>PO-2022-2343</t>
        </is>
      </c>
      <c r="B2345" s="26" t="n">
        <v>45172</v>
      </c>
      <c r="C2345" s="12" t="inlineStr">
        <is>
          <t>VS18</t>
        </is>
      </c>
      <c r="D2345" s="12" t="inlineStr">
        <is>
          <t>Spring Steel</t>
        </is>
      </c>
      <c r="E2345" s="12" t="inlineStr">
        <is>
          <t>N</t>
        </is>
      </c>
      <c r="F2345" s="12" t="n">
        <v>17.7</v>
      </c>
      <c r="G2345" s="17" t="n">
        <v>104536.35</v>
      </c>
      <c r="H2345" s="26" t="n">
        <v>45186</v>
      </c>
      <c r="I2345" s="26" t="n">
        <v>45186</v>
      </c>
      <c r="J2345" s="12" t="n">
        <v>17.66</v>
      </c>
      <c r="K2345" s="17" t="n">
        <v>1850293.4</v>
      </c>
      <c r="L2345" s="12" t="n">
        <v>0</v>
      </c>
      <c r="M2345" s="12" t="n">
        <v>0</v>
      </c>
      <c r="N2345" s="27">
        <f>F2345-J2345</f>
        <v/>
      </c>
      <c r="O2345" s="16">
        <f>I2345-H2345</f>
        <v/>
      </c>
      <c r="P2345" s="14">
        <f>F2345*G2345</f>
        <v/>
      </c>
      <c r="Q2345" s="14">
        <f>J2345*G2345</f>
        <v/>
      </c>
      <c r="R2345" s="14">
        <f>K2345-Q2345</f>
        <v/>
      </c>
      <c r="S2345" s="3">
        <f>P2345*Assumptions!$B$3/100</f>
        <v/>
      </c>
      <c r="T2345" s="14">
        <f>R2345-S2345</f>
        <v/>
      </c>
      <c r="U2345" s="14">
        <f>L2345*G2345</f>
        <v/>
      </c>
    </row>
    <row r="2346">
      <c r="A2346" s="12" t="inlineStr">
        <is>
          <t>PO-2022-2344</t>
        </is>
      </c>
      <c r="B2346" s="26" t="n">
        <v>44595</v>
      </c>
      <c r="C2346" s="12" t="inlineStr">
        <is>
          <t>VS09</t>
        </is>
      </c>
      <c r="D2346" s="12" t="inlineStr">
        <is>
          <t>MS Flats</t>
        </is>
      </c>
      <c r="E2346" s="12" t="inlineStr">
        <is>
          <t>N</t>
        </is>
      </c>
      <c r="F2346" s="12" t="n">
        <v>39.3</v>
      </c>
      <c r="G2346" s="17" t="n">
        <v>87920.62</v>
      </c>
      <c r="H2346" s="26" t="n">
        <v>44601</v>
      </c>
      <c r="I2346" s="26" t="n">
        <v>44601</v>
      </c>
      <c r="J2346" s="12" t="n">
        <v>39.02</v>
      </c>
      <c r="K2346" s="17" t="n">
        <v>3455280.37</v>
      </c>
      <c r="L2346" s="12" t="n">
        <v>0</v>
      </c>
      <c r="M2346" s="12" t="n">
        <v>24</v>
      </c>
      <c r="N2346" s="27">
        <f>F2346-J2346</f>
        <v/>
      </c>
      <c r="O2346" s="16">
        <f>I2346-H2346</f>
        <v/>
      </c>
      <c r="P2346" s="14">
        <f>F2346*G2346</f>
        <v/>
      </c>
      <c r="Q2346" s="14">
        <f>J2346*G2346</f>
        <v/>
      </c>
      <c r="R2346" s="14">
        <f>K2346-Q2346</f>
        <v/>
      </c>
      <c r="S2346" s="3">
        <f>P2346*Assumptions!$B$3/100</f>
        <v/>
      </c>
      <c r="T2346" s="14">
        <f>R2346-S2346</f>
        <v/>
      </c>
      <c r="U2346" s="14">
        <f>L2346*G2346</f>
        <v/>
      </c>
    </row>
    <row r="2347">
      <c r="A2347" s="12" t="inlineStr">
        <is>
          <t>PO-2022-2345</t>
        </is>
      </c>
      <c r="B2347" s="26" t="n">
        <v>44682</v>
      </c>
      <c r="C2347" s="12" t="inlineStr">
        <is>
          <t>VS16</t>
        </is>
      </c>
      <c r="D2347" s="12" t="inlineStr">
        <is>
          <t>Structural Steel</t>
        </is>
      </c>
      <c r="E2347" s="12" t="inlineStr">
        <is>
          <t>N</t>
        </is>
      </c>
      <c r="F2347" s="12" t="n">
        <v>28.6</v>
      </c>
      <c r="G2347" s="17" t="n">
        <v>111791.78</v>
      </c>
      <c r="H2347" s="26" t="n">
        <v>44690</v>
      </c>
      <c r="I2347" s="26" t="n">
        <v>44692</v>
      </c>
      <c r="J2347" s="12" t="n">
        <v>28.5</v>
      </c>
      <c r="K2347" s="17" t="n">
        <v>3197244.91</v>
      </c>
      <c r="L2347" s="12" t="n">
        <v>0</v>
      </c>
      <c r="M2347" s="12" t="n">
        <v>25</v>
      </c>
      <c r="N2347" s="27">
        <f>F2347-J2347</f>
        <v/>
      </c>
      <c r="O2347" s="16">
        <f>I2347-H2347</f>
        <v/>
      </c>
      <c r="P2347" s="14">
        <f>F2347*G2347</f>
        <v/>
      </c>
      <c r="Q2347" s="14">
        <f>J2347*G2347</f>
        <v/>
      </c>
      <c r="R2347" s="14">
        <f>K2347-Q2347</f>
        <v/>
      </c>
      <c r="S2347" s="3">
        <f>P2347*Assumptions!$B$3/100</f>
        <v/>
      </c>
      <c r="T2347" s="14">
        <f>R2347-S2347</f>
        <v/>
      </c>
      <c r="U2347" s="14">
        <f>L2347*G2347</f>
        <v/>
      </c>
    </row>
    <row r="2348">
      <c r="A2348" s="12" t="inlineStr">
        <is>
          <t>PO-2022-2346</t>
        </is>
      </c>
      <c r="B2348" s="26" t="n">
        <v>45243</v>
      </c>
      <c r="C2348" s="12" t="inlineStr">
        <is>
          <t>VS07</t>
        </is>
      </c>
      <c r="D2348" s="12" t="inlineStr">
        <is>
          <t>MS Rods</t>
        </is>
      </c>
      <c r="E2348" s="12" t="inlineStr">
        <is>
          <t>N</t>
        </is>
      </c>
      <c r="F2348" s="12" t="n">
        <v>37.76</v>
      </c>
      <c r="G2348" s="17" t="n">
        <v>91770.52</v>
      </c>
      <c r="H2348" s="26" t="n">
        <v>45247</v>
      </c>
      <c r="I2348" s="26" t="n">
        <v>45247</v>
      </c>
      <c r="J2348" s="12" t="n">
        <v>37.44</v>
      </c>
      <c r="K2348" s="17" t="n">
        <v>3465254.84</v>
      </c>
      <c r="L2348" s="12" t="n">
        <v>0</v>
      </c>
      <c r="M2348" s="12" t="n">
        <v>10</v>
      </c>
      <c r="N2348" s="27">
        <f>F2348-J2348</f>
        <v/>
      </c>
      <c r="O2348" s="16">
        <f>I2348-H2348</f>
        <v/>
      </c>
      <c r="P2348" s="14">
        <f>F2348*G2348</f>
        <v/>
      </c>
      <c r="Q2348" s="14">
        <f>J2348*G2348</f>
        <v/>
      </c>
      <c r="R2348" s="14">
        <f>K2348-Q2348</f>
        <v/>
      </c>
      <c r="S2348" s="3">
        <f>P2348*Assumptions!$B$3/100</f>
        <v/>
      </c>
      <c r="T2348" s="14">
        <f>R2348-S2348</f>
        <v/>
      </c>
      <c r="U2348" s="14">
        <f>L2348*G2348</f>
        <v/>
      </c>
    </row>
    <row r="2349">
      <c r="A2349" s="12" t="inlineStr">
        <is>
          <t>PO-2022-2347</t>
        </is>
      </c>
      <c r="B2349" s="26" t="n">
        <v>45280</v>
      </c>
      <c r="C2349" s="12" t="inlineStr">
        <is>
          <t>VS32</t>
        </is>
      </c>
      <c r="D2349" s="12" t="inlineStr">
        <is>
          <t>Fasteners &amp; Fittings</t>
        </is>
      </c>
      <c r="E2349" s="12" t="inlineStr">
        <is>
          <t>Y</t>
        </is>
      </c>
      <c r="F2349" s="12" t="n">
        <v>30.53</v>
      </c>
      <c r="G2349" s="17" t="n">
        <v>111818.29</v>
      </c>
      <c r="H2349" s="26" t="n">
        <v>45294</v>
      </c>
      <c r="I2349" s="26" t="n">
        <v>45295</v>
      </c>
      <c r="J2349" s="12" t="n">
        <v>30.38</v>
      </c>
      <c r="K2349" s="17" t="n">
        <v>3413812.39</v>
      </c>
      <c r="L2349" s="12" t="n">
        <v>0</v>
      </c>
      <c r="M2349" s="12" t="n">
        <v>15</v>
      </c>
      <c r="N2349" s="27">
        <f>F2349-J2349</f>
        <v/>
      </c>
      <c r="O2349" s="16">
        <f>I2349-H2349</f>
        <v/>
      </c>
      <c r="P2349" s="14">
        <f>F2349*G2349</f>
        <v/>
      </c>
      <c r="Q2349" s="14">
        <f>J2349*G2349</f>
        <v/>
      </c>
      <c r="R2349" s="14">
        <f>K2349-Q2349</f>
        <v/>
      </c>
      <c r="S2349" s="3">
        <f>P2349*Assumptions!$B$3/100</f>
        <v/>
      </c>
      <c r="T2349" s="14">
        <f>R2349-S2349</f>
        <v/>
      </c>
      <c r="U2349" s="14">
        <f>L2349*G2349</f>
        <v/>
      </c>
    </row>
    <row r="2350">
      <c r="A2350" s="12" t="inlineStr">
        <is>
          <t>PO-2022-2348</t>
        </is>
      </c>
      <c r="B2350" s="26" t="n">
        <v>44741</v>
      </c>
      <c r="C2350" s="12" t="inlineStr">
        <is>
          <t>VS05</t>
        </is>
      </c>
      <c r="D2350" s="12" t="inlineStr">
        <is>
          <t>Fasteners &amp; Fittings</t>
        </is>
      </c>
      <c r="E2350" s="12" t="inlineStr">
        <is>
          <t>N</t>
        </is>
      </c>
      <c r="F2350" s="12" t="n">
        <v>20.09</v>
      </c>
      <c r="G2350" s="17" t="n">
        <v>59488.63</v>
      </c>
      <c r="H2350" s="26" t="n">
        <v>44756</v>
      </c>
      <c r="I2350" s="26" t="n">
        <v>44756</v>
      </c>
      <c r="J2350" s="12" t="n">
        <v>19.96</v>
      </c>
      <c r="K2350" s="17" t="n">
        <v>1195126.58</v>
      </c>
      <c r="L2350" s="12" t="n">
        <v>0</v>
      </c>
      <c r="M2350" s="12" t="n">
        <v>1</v>
      </c>
      <c r="N2350" s="27">
        <f>F2350-J2350</f>
        <v/>
      </c>
      <c r="O2350" s="16">
        <f>I2350-H2350</f>
        <v/>
      </c>
      <c r="P2350" s="14">
        <f>F2350*G2350</f>
        <v/>
      </c>
      <c r="Q2350" s="14">
        <f>J2350*G2350</f>
        <v/>
      </c>
      <c r="R2350" s="14">
        <f>K2350-Q2350</f>
        <v/>
      </c>
      <c r="S2350" s="3">
        <f>P2350*Assumptions!$B$3/100</f>
        <v/>
      </c>
      <c r="T2350" s="14">
        <f>R2350-S2350</f>
        <v/>
      </c>
      <c r="U2350" s="14">
        <f>L2350*G2350</f>
        <v/>
      </c>
    </row>
    <row r="2351">
      <c r="A2351" s="12" t="inlineStr">
        <is>
          <t>PO-2022-2349</t>
        </is>
      </c>
      <c r="B2351" s="26" t="n">
        <v>44762</v>
      </c>
      <c r="C2351" s="12" t="inlineStr">
        <is>
          <t>VS10</t>
        </is>
      </c>
      <c r="D2351" s="12" t="inlineStr">
        <is>
          <t>Angles &amp; Channels</t>
        </is>
      </c>
      <c r="E2351" s="12" t="inlineStr">
        <is>
          <t>Y</t>
        </is>
      </c>
      <c r="F2351" s="12" t="n">
        <v>42.54</v>
      </c>
      <c r="G2351" s="17" t="n">
        <v>49426.59</v>
      </c>
      <c r="H2351" s="26" t="n">
        <v>44768</v>
      </c>
      <c r="I2351" s="26" t="n">
        <v>44769</v>
      </c>
      <c r="J2351" s="12" t="n">
        <v>42.34</v>
      </c>
      <c r="K2351" s="17" t="n">
        <v>2102607.14</v>
      </c>
      <c r="L2351" s="12" t="n">
        <v>0</v>
      </c>
      <c r="M2351" s="12" t="n">
        <v>0</v>
      </c>
      <c r="N2351" s="27">
        <f>F2351-J2351</f>
        <v/>
      </c>
      <c r="O2351" s="16">
        <f>I2351-H2351</f>
        <v/>
      </c>
      <c r="P2351" s="14">
        <f>F2351*G2351</f>
        <v/>
      </c>
      <c r="Q2351" s="14">
        <f>J2351*G2351</f>
        <v/>
      </c>
      <c r="R2351" s="14">
        <f>K2351-Q2351</f>
        <v/>
      </c>
      <c r="S2351" s="3">
        <f>P2351*Assumptions!$B$3/100</f>
        <v/>
      </c>
      <c r="T2351" s="14">
        <f>R2351-S2351</f>
        <v/>
      </c>
      <c r="U2351" s="14">
        <f>L2351*G2351</f>
        <v/>
      </c>
    </row>
    <row r="2352">
      <c r="A2352" s="12" t="inlineStr">
        <is>
          <t>PO-2022-2350</t>
        </is>
      </c>
      <c r="B2352" s="26" t="n">
        <v>44654</v>
      </c>
      <c r="C2352" s="12" t="inlineStr">
        <is>
          <t>VS01</t>
        </is>
      </c>
      <c r="D2352" s="12" t="inlineStr">
        <is>
          <t>MS Flats</t>
        </is>
      </c>
      <c r="E2352" s="12" t="inlineStr">
        <is>
          <t>N</t>
        </is>
      </c>
      <c r="F2352" s="12" t="n">
        <v>18.45</v>
      </c>
      <c r="G2352" s="17" t="n">
        <v>91548.94</v>
      </c>
      <c r="H2352" s="26" t="n">
        <v>44665</v>
      </c>
      <c r="I2352" s="26" t="n">
        <v>44666</v>
      </c>
      <c r="J2352" s="12" t="n">
        <v>18.27</v>
      </c>
      <c r="K2352" s="17" t="n">
        <v>1689077.94</v>
      </c>
      <c r="L2352" s="12" t="n">
        <v>0</v>
      </c>
      <c r="M2352" s="12" t="n">
        <v>2</v>
      </c>
      <c r="N2352" s="27">
        <f>F2352-J2352</f>
        <v/>
      </c>
      <c r="O2352" s="16">
        <f>I2352-H2352</f>
        <v/>
      </c>
      <c r="P2352" s="14">
        <f>F2352*G2352</f>
        <v/>
      </c>
      <c r="Q2352" s="14">
        <f>J2352*G2352</f>
        <v/>
      </c>
      <c r="R2352" s="14">
        <f>K2352-Q2352</f>
        <v/>
      </c>
      <c r="S2352" s="3">
        <f>P2352*Assumptions!$B$3/100</f>
        <v/>
      </c>
      <c r="T2352" s="14">
        <f>R2352-S2352</f>
        <v/>
      </c>
      <c r="U2352" s="14">
        <f>L2352*G2352</f>
        <v/>
      </c>
    </row>
    <row r="2353">
      <c r="A2353" s="12" t="inlineStr">
        <is>
          <t>PO-2022-2351</t>
        </is>
      </c>
      <c r="B2353" s="26" t="n">
        <v>44496</v>
      </c>
      <c r="C2353" s="12" t="inlineStr">
        <is>
          <t>VS18</t>
        </is>
      </c>
      <c r="D2353" s="12" t="inlineStr">
        <is>
          <t>MS Flats</t>
        </is>
      </c>
      <c r="E2353" s="12" t="inlineStr">
        <is>
          <t>N</t>
        </is>
      </c>
      <c r="F2353" s="12" t="n">
        <v>24.75</v>
      </c>
      <c r="G2353" s="17" t="n">
        <v>68562.62</v>
      </c>
      <c r="H2353" s="26" t="n">
        <v>44507</v>
      </c>
      <c r="I2353" s="26" t="n">
        <v>44509</v>
      </c>
      <c r="J2353" s="12" t="n">
        <v>24.67</v>
      </c>
      <c r="K2353" s="17" t="n">
        <v>1696924.84</v>
      </c>
      <c r="L2353" s="12" t="n">
        <v>0</v>
      </c>
      <c r="M2353" s="12" t="n">
        <v>17</v>
      </c>
      <c r="N2353" s="27">
        <f>F2353-J2353</f>
        <v/>
      </c>
      <c r="O2353" s="16">
        <f>I2353-H2353</f>
        <v/>
      </c>
      <c r="P2353" s="14">
        <f>F2353*G2353</f>
        <v/>
      </c>
      <c r="Q2353" s="14">
        <f>J2353*G2353</f>
        <v/>
      </c>
      <c r="R2353" s="14">
        <f>K2353-Q2353</f>
        <v/>
      </c>
      <c r="S2353" s="3">
        <f>P2353*Assumptions!$B$3/100</f>
        <v/>
      </c>
      <c r="T2353" s="14">
        <f>R2353-S2353</f>
        <v/>
      </c>
      <c r="U2353" s="14">
        <f>L2353*G2353</f>
        <v/>
      </c>
    </row>
    <row r="2354">
      <c r="A2354" s="12" t="inlineStr">
        <is>
          <t>PO-2022-2352</t>
        </is>
      </c>
      <c r="B2354" s="26" t="n">
        <v>44606</v>
      </c>
      <c r="C2354" s="12" t="inlineStr">
        <is>
          <t>VS13</t>
        </is>
      </c>
      <c r="D2354" s="12" t="inlineStr">
        <is>
          <t>ERW Pipes</t>
        </is>
      </c>
      <c r="E2354" s="12" t="inlineStr">
        <is>
          <t>N</t>
        </is>
      </c>
      <c r="F2354" s="12" t="n">
        <v>15.49</v>
      </c>
      <c r="G2354" s="17" t="n">
        <v>49542.22</v>
      </c>
      <c r="H2354" s="26" t="n">
        <v>44612</v>
      </c>
      <c r="I2354" s="26" t="n">
        <v>44614</v>
      </c>
      <c r="J2354" s="12" t="n">
        <v>15.36</v>
      </c>
      <c r="K2354" s="17" t="n">
        <v>767408.99</v>
      </c>
      <c r="L2354" s="12" t="n">
        <v>0</v>
      </c>
      <c r="M2354" s="12" t="n">
        <v>25</v>
      </c>
      <c r="N2354" s="27">
        <f>F2354-J2354</f>
        <v/>
      </c>
      <c r="O2354" s="16">
        <f>I2354-H2354</f>
        <v/>
      </c>
      <c r="P2354" s="14">
        <f>F2354*G2354</f>
        <v/>
      </c>
      <c r="Q2354" s="14">
        <f>J2354*G2354</f>
        <v/>
      </c>
      <c r="R2354" s="14">
        <f>K2354-Q2354</f>
        <v/>
      </c>
      <c r="S2354" s="3">
        <f>P2354*Assumptions!$B$3/100</f>
        <v/>
      </c>
      <c r="T2354" s="14">
        <f>R2354-S2354</f>
        <v/>
      </c>
      <c r="U2354" s="14">
        <f>L2354*G2354</f>
        <v/>
      </c>
    </row>
    <row r="2355">
      <c r="A2355" s="12" t="inlineStr">
        <is>
          <t>PO-2022-2353</t>
        </is>
      </c>
      <c r="B2355" s="26" t="n">
        <v>45269</v>
      </c>
      <c r="C2355" s="12" t="inlineStr">
        <is>
          <t>VS33</t>
        </is>
      </c>
      <c r="D2355" s="12" t="inlineStr">
        <is>
          <t>SS Sheets</t>
        </is>
      </c>
      <c r="E2355" s="12" t="inlineStr">
        <is>
          <t>N</t>
        </is>
      </c>
      <c r="F2355" s="12" t="n">
        <v>13.16</v>
      </c>
      <c r="G2355" s="17" t="n">
        <v>73200.67</v>
      </c>
      <c r="H2355" s="26" t="n">
        <v>45283</v>
      </c>
      <c r="I2355" s="26" t="n">
        <v>45284</v>
      </c>
      <c r="J2355" s="12" t="n">
        <v>13.09</v>
      </c>
      <c r="K2355" s="17" t="n">
        <v>963320.8199999999</v>
      </c>
      <c r="L2355" s="12" t="n">
        <v>0</v>
      </c>
      <c r="M2355" s="12" t="n">
        <v>21</v>
      </c>
      <c r="N2355" s="27">
        <f>F2355-J2355</f>
        <v/>
      </c>
      <c r="O2355" s="16">
        <f>I2355-H2355</f>
        <v/>
      </c>
      <c r="P2355" s="14">
        <f>F2355*G2355</f>
        <v/>
      </c>
      <c r="Q2355" s="14">
        <f>J2355*G2355</f>
        <v/>
      </c>
      <c r="R2355" s="14">
        <f>K2355-Q2355</f>
        <v/>
      </c>
      <c r="S2355" s="3">
        <f>P2355*Assumptions!$B$3/100</f>
        <v/>
      </c>
      <c r="T2355" s="14">
        <f>R2355-S2355</f>
        <v/>
      </c>
      <c r="U2355" s="14">
        <f>L2355*G2355</f>
        <v/>
      </c>
    </row>
    <row r="2356">
      <c r="A2356" s="12" t="inlineStr">
        <is>
          <t>PO-2022-2354</t>
        </is>
      </c>
      <c r="B2356" s="26" t="n">
        <v>44219</v>
      </c>
      <c r="C2356" s="12" t="inlineStr">
        <is>
          <t>VS20</t>
        </is>
      </c>
      <c r="D2356" s="12" t="inlineStr">
        <is>
          <t>CR Sheets</t>
        </is>
      </c>
      <c r="E2356" s="12" t="inlineStr">
        <is>
          <t>N</t>
        </is>
      </c>
      <c r="F2356" s="12" t="n">
        <v>11.01</v>
      </c>
      <c r="G2356" s="17" t="n">
        <v>67207.75</v>
      </c>
      <c r="H2356" s="26" t="n">
        <v>44222</v>
      </c>
      <c r="I2356" s="26" t="n">
        <v>44225</v>
      </c>
      <c r="J2356" s="12" t="n">
        <v>10.95</v>
      </c>
      <c r="K2356" s="17" t="n">
        <v>739957.33</v>
      </c>
      <c r="L2356" s="12" t="n">
        <v>0</v>
      </c>
      <c r="M2356" s="12" t="n">
        <v>9</v>
      </c>
      <c r="N2356" s="27">
        <f>F2356-J2356</f>
        <v/>
      </c>
      <c r="O2356" s="16">
        <f>I2356-H2356</f>
        <v/>
      </c>
      <c r="P2356" s="14">
        <f>F2356*G2356</f>
        <v/>
      </c>
      <c r="Q2356" s="14">
        <f>J2356*G2356</f>
        <v/>
      </c>
      <c r="R2356" s="14">
        <f>K2356-Q2356</f>
        <v/>
      </c>
      <c r="S2356" s="3">
        <f>P2356*Assumptions!$B$3/100</f>
        <v/>
      </c>
      <c r="T2356" s="14">
        <f>R2356-S2356</f>
        <v/>
      </c>
      <c r="U2356" s="14">
        <f>L2356*G2356</f>
        <v/>
      </c>
    </row>
    <row r="2357">
      <c r="A2357" s="12" t="inlineStr">
        <is>
          <t>PO-2022-2355</t>
        </is>
      </c>
      <c r="B2357" s="26" t="n">
        <v>45060</v>
      </c>
      <c r="C2357" s="12" t="inlineStr">
        <is>
          <t>VS06</t>
        </is>
      </c>
      <c r="D2357" s="12" t="inlineStr">
        <is>
          <t>Angles &amp; Channels</t>
        </is>
      </c>
      <c r="E2357" s="12" t="inlineStr">
        <is>
          <t>N</t>
        </is>
      </c>
      <c r="F2357" s="12" t="n">
        <v>23.78</v>
      </c>
      <c r="G2357" s="17" t="n">
        <v>113235.5</v>
      </c>
      <c r="H2357" s="26" t="n">
        <v>45065</v>
      </c>
      <c r="I2357" s="26" t="n">
        <v>45066</v>
      </c>
      <c r="J2357" s="12" t="n">
        <v>23.59</v>
      </c>
      <c r="K2357" s="17" t="n">
        <v>2692740.19</v>
      </c>
      <c r="L2357" s="12" t="n">
        <v>0</v>
      </c>
      <c r="M2357" s="12" t="n">
        <v>0</v>
      </c>
      <c r="N2357" s="27">
        <f>F2357-J2357</f>
        <v/>
      </c>
      <c r="O2357" s="16">
        <f>I2357-H2357</f>
        <v/>
      </c>
      <c r="P2357" s="14">
        <f>F2357*G2357</f>
        <v/>
      </c>
      <c r="Q2357" s="14">
        <f>J2357*G2357</f>
        <v/>
      </c>
      <c r="R2357" s="14">
        <f>K2357-Q2357</f>
        <v/>
      </c>
      <c r="S2357" s="3">
        <f>P2357*Assumptions!$B$3/100</f>
        <v/>
      </c>
      <c r="T2357" s="14">
        <f>R2357-S2357</f>
        <v/>
      </c>
      <c r="U2357" s="14">
        <f>L2357*G2357</f>
        <v/>
      </c>
    </row>
    <row r="2358">
      <c r="A2358" s="12" t="inlineStr">
        <is>
          <t>PO-2022-2356</t>
        </is>
      </c>
      <c r="B2358" s="26" t="n">
        <v>45111</v>
      </c>
      <c r="C2358" s="12" t="inlineStr">
        <is>
          <t>VS25</t>
        </is>
      </c>
      <c r="D2358" s="12" t="inlineStr">
        <is>
          <t>Spring Steel</t>
        </is>
      </c>
      <c r="E2358" s="12" t="inlineStr">
        <is>
          <t>N</t>
        </is>
      </c>
      <c r="F2358" s="12" t="n">
        <v>8.69</v>
      </c>
      <c r="G2358" s="17" t="n">
        <v>78310.45</v>
      </c>
      <c r="H2358" s="26" t="n">
        <v>45119</v>
      </c>
      <c r="I2358" s="26" t="n">
        <v>45121</v>
      </c>
      <c r="J2358" s="12" t="n">
        <v>8.66</v>
      </c>
      <c r="K2358" s="17" t="n">
        <v>680517.8100000001</v>
      </c>
      <c r="L2358" s="12" t="n">
        <v>0</v>
      </c>
      <c r="M2358" s="12" t="n">
        <v>0</v>
      </c>
      <c r="N2358" s="27">
        <f>F2358-J2358</f>
        <v/>
      </c>
      <c r="O2358" s="16">
        <f>I2358-H2358</f>
        <v/>
      </c>
      <c r="P2358" s="14">
        <f>F2358*G2358</f>
        <v/>
      </c>
      <c r="Q2358" s="14">
        <f>J2358*G2358</f>
        <v/>
      </c>
      <c r="R2358" s="14">
        <f>K2358-Q2358</f>
        <v/>
      </c>
      <c r="S2358" s="3">
        <f>P2358*Assumptions!$B$3/100</f>
        <v/>
      </c>
      <c r="T2358" s="14">
        <f>R2358-S2358</f>
        <v/>
      </c>
      <c r="U2358" s="14">
        <f>L2358*G2358</f>
        <v/>
      </c>
    </row>
    <row r="2359">
      <c r="A2359" s="12" t="inlineStr">
        <is>
          <t>PO-2022-2357</t>
        </is>
      </c>
      <c r="B2359" s="26" t="n">
        <v>44417</v>
      </c>
      <c r="C2359" s="12" t="inlineStr">
        <is>
          <t>VS18</t>
        </is>
      </c>
      <c r="D2359" s="12" t="inlineStr">
        <is>
          <t>Fasteners &amp; Fittings</t>
        </is>
      </c>
      <c r="E2359" s="12" t="inlineStr">
        <is>
          <t>N</t>
        </is>
      </c>
      <c r="F2359" s="12" t="n">
        <v>14.52</v>
      </c>
      <c r="G2359" s="17" t="n">
        <v>97972.25</v>
      </c>
      <c r="H2359" s="26" t="n">
        <v>44427</v>
      </c>
      <c r="I2359" s="26" t="n">
        <v>44428</v>
      </c>
      <c r="J2359" s="12" t="n">
        <v>14.49</v>
      </c>
      <c r="K2359" s="17" t="n">
        <v>1422557.07</v>
      </c>
      <c r="L2359" s="12" t="n">
        <v>0</v>
      </c>
      <c r="M2359" s="12" t="n">
        <v>0</v>
      </c>
      <c r="N2359" s="27">
        <f>F2359-J2359</f>
        <v/>
      </c>
      <c r="O2359" s="16">
        <f>I2359-H2359</f>
        <v/>
      </c>
      <c r="P2359" s="14">
        <f>F2359*G2359</f>
        <v/>
      </c>
      <c r="Q2359" s="14">
        <f>J2359*G2359</f>
        <v/>
      </c>
      <c r="R2359" s="14">
        <f>K2359-Q2359</f>
        <v/>
      </c>
      <c r="S2359" s="3">
        <f>P2359*Assumptions!$B$3/100</f>
        <v/>
      </c>
      <c r="T2359" s="14">
        <f>R2359-S2359</f>
        <v/>
      </c>
      <c r="U2359" s="14">
        <f>L2359*G2359</f>
        <v/>
      </c>
    </row>
    <row r="2360">
      <c r="A2360" s="12" t="inlineStr">
        <is>
          <t>PO-2022-2358</t>
        </is>
      </c>
      <c r="B2360" s="26" t="n">
        <v>44780</v>
      </c>
      <c r="C2360" s="12" t="inlineStr">
        <is>
          <t>VS11</t>
        </is>
      </c>
      <c r="D2360" s="12" t="inlineStr">
        <is>
          <t>Square/Rect Tubes</t>
        </is>
      </c>
      <c r="E2360" s="12" t="inlineStr">
        <is>
          <t>N</t>
        </is>
      </c>
      <c r="F2360" s="12" t="n">
        <v>16.82</v>
      </c>
      <c r="G2360" s="17" t="n">
        <v>46271.72</v>
      </c>
      <c r="H2360" s="26" t="n">
        <v>44783</v>
      </c>
      <c r="I2360" s="26" t="n">
        <v>44784</v>
      </c>
      <c r="J2360" s="12" t="n">
        <v>16.77</v>
      </c>
      <c r="K2360" s="17" t="n">
        <v>778290.33</v>
      </c>
      <c r="L2360" s="12" t="n">
        <v>0</v>
      </c>
      <c r="M2360" s="12" t="n">
        <v>12</v>
      </c>
      <c r="N2360" s="27">
        <f>F2360-J2360</f>
        <v/>
      </c>
      <c r="O2360" s="16">
        <f>I2360-H2360</f>
        <v/>
      </c>
      <c r="P2360" s="14">
        <f>F2360*G2360</f>
        <v/>
      </c>
      <c r="Q2360" s="14">
        <f>J2360*G2360</f>
        <v/>
      </c>
      <c r="R2360" s="14">
        <f>K2360-Q2360</f>
        <v/>
      </c>
      <c r="S2360" s="3">
        <f>P2360*Assumptions!$B$3/100</f>
        <v/>
      </c>
      <c r="T2360" s="14">
        <f>R2360-S2360</f>
        <v/>
      </c>
      <c r="U2360" s="14">
        <f>L2360*G2360</f>
        <v/>
      </c>
    </row>
    <row r="2361">
      <c r="A2361" s="12" t="inlineStr">
        <is>
          <t>PO-2022-2359</t>
        </is>
      </c>
      <c r="B2361" s="26" t="n">
        <v>44865</v>
      </c>
      <c r="C2361" s="12" t="inlineStr">
        <is>
          <t>VS31</t>
        </is>
      </c>
      <c r="D2361" s="12" t="inlineStr">
        <is>
          <t>Angles &amp; Channels</t>
        </is>
      </c>
      <c r="E2361" s="12" t="inlineStr">
        <is>
          <t>N</t>
        </is>
      </c>
      <c r="F2361" s="12" t="n">
        <v>7.95</v>
      </c>
      <c r="G2361" s="17" t="n">
        <v>107385.33</v>
      </c>
      <c r="H2361" s="26" t="n">
        <v>44874</v>
      </c>
      <c r="I2361" s="26" t="n">
        <v>44877</v>
      </c>
      <c r="J2361" s="12" t="n">
        <v>7.91</v>
      </c>
      <c r="K2361" s="17" t="n">
        <v>853713.37</v>
      </c>
      <c r="L2361" s="12" t="n">
        <v>0</v>
      </c>
      <c r="M2361" s="12" t="n">
        <v>0</v>
      </c>
      <c r="N2361" s="27">
        <f>F2361-J2361</f>
        <v/>
      </c>
      <c r="O2361" s="16">
        <f>I2361-H2361</f>
        <v/>
      </c>
      <c r="P2361" s="14">
        <f>F2361*G2361</f>
        <v/>
      </c>
      <c r="Q2361" s="14">
        <f>J2361*G2361</f>
        <v/>
      </c>
      <c r="R2361" s="14">
        <f>K2361-Q2361</f>
        <v/>
      </c>
      <c r="S2361" s="3">
        <f>P2361*Assumptions!$B$3/100</f>
        <v/>
      </c>
      <c r="T2361" s="14">
        <f>R2361-S2361</f>
        <v/>
      </c>
      <c r="U2361" s="14">
        <f>L2361*G2361</f>
        <v/>
      </c>
    </row>
    <row r="2362">
      <c r="A2362" s="12" t="inlineStr">
        <is>
          <t>PO-2022-2360</t>
        </is>
      </c>
      <c r="B2362" s="26" t="n">
        <v>44249</v>
      </c>
      <c r="C2362" s="12" t="inlineStr">
        <is>
          <t>VS28</t>
        </is>
      </c>
      <c r="D2362" s="12" t="inlineStr">
        <is>
          <t>MS Flats</t>
        </is>
      </c>
      <c r="E2362" s="12" t="inlineStr">
        <is>
          <t>N</t>
        </is>
      </c>
      <c r="F2362" s="12" t="n">
        <v>20.38</v>
      </c>
      <c r="G2362" s="17" t="n">
        <v>69495.78</v>
      </c>
      <c r="H2362" s="26" t="n">
        <v>44264</v>
      </c>
      <c r="I2362" s="26" t="n">
        <v>44267</v>
      </c>
      <c r="J2362" s="12" t="n">
        <v>20.33</v>
      </c>
      <c r="K2362" s="17" t="n">
        <v>1416324</v>
      </c>
      <c r="L2362" s="12" t="n">
        <v>0</v>
      </c>
      <c r="M2362" s="12" t="n">
        <v>16</v>
      </c>
      <c r="N2362" s="27">
        <f>F2362-J2362</f>
        <v/>
      </c>
      <c r="O2362" s="16">
        <f>I2362-H2362</f>
        <v/>
      </c>
      <c r="P2362" s="14">
        <f>F2362*G2362</f>
        <v/>
      </c>
      <c r="Q2362" s="14">
        <f>J2362*G2362</f>
        <v/>
      </c>
      <c r="R2362" s="14">
        <f>K2362-Q2362</f>
        <v/>
      </c>
      <c r="S2362" s="3">
        <f>P2362*Assumptions!$B$3/100</f>
        <v/>
      </c>
      <c r="T2362" s="14">
        <f>R2362-S2362</f>
        <v/>
      </c>
      <c r="U2362" s="14">
        <f>L2362*G2362</f>
        <v/>
      </c>
    </row>
    <row r="2363">
      <c r="A2363" s="12" t="inlineStr">
        <is>
          <t>PO-2022-2361</t>
        </is>
      </c>
      <c r="B2363" s="26" t="n">
        <v>44267</v>
      </c>
      <c r="C2363" s="12" t="inlineStr">
        <is>
          <t>VS19</t>
        </is>
      </c>
      <c r="D2363" s="12" t="inlineStr">
        <is>
          <t>MS Flats</t>
        </is>
      </c>
      <c r="E2363" s="12" t="inlineStr">
        <is>
          <t>N</t>
        </is>
      </c>
      <c r="F2363" s="12" t="n">
        <v>28.72</v>
      </c>
      <c r="G2363" s="17" t="n">
        <v>91145.31</v>
      </c>
      <c r="H2363" s="26" t="n">
        <v>44278</v>
      </c>
      <c r="I2363" s="26" t="n">
        <v>44280</v>
      </c>
      <c r="J2363" s="12" t="n">
        <v>27.99</v>
      </c>
      <c r="K2363" s="17" t="n">
        <v>2617693.3</v>
      </c>
      <c r="L2363" s="12" t="n">
        <v>0.48</v>
      </c>
      <c r="M2363" s="12" t="n">
        <v>0</v>
      </c>
      <c r="N2363" s="27">
        <f>F2363-J2363</f>
        <v/>
      </c>
      <c r="O2363" s="16">
        <f>I2363-H2363</f>
        <v/>
      </c>
      <c r="P2363" s="14">
        <f>F2363*G2363</f>
        <v/>
      </c>
      <c r="Q2363" s="14">
        <f>J2363*G2363</f>
        <v/>
      </c>
      <c r="R2363" s="14">
        <f>K2363-Q2363</f>
        <v/>
      </c>
      <c r="S2363" s="3">
        <f>P2363*Assumptions!$B$3/100</f>
        <v/>
      </c>
      <c r="T2363" s="14">
        <f>R2363-S2363</f>
        <v/>
      </c>
      <c r="U2363" s="14">
        <f>L2363*G2363</f>
        <v/>
      </c>
    </row>
    <row r="2364">
      <c r="A2364" s="12" t="inlineStr">
        <is>
          <t>PO-2022-2362</t>
        </is>
      </c>
      <c r="B2364" s="26" t="n">
        <v>44311</v>
      </c>
      <c r="C2364" s="12" t="inlineStr">
        <is>
          <t>VS09</t>
        </is>
      </c>
      <c r="D2364" s="12" t="inlineStr">
        <is>
          <t>Structural Steel</t>
        </is>
      </c>
      <c r="E2364" s="12" t="inlineStr">
        <is>
          <t>N</t>
        </is>
      </c>
      <c r="F2364" s="12" t="n">
        <v>4.13</v>
      </c>
      <c r="G2364" s="17" t="n">
        <v>50092.1</v>
      </c>
      <c r="H2364" s="26" t="n">
        <v>44316</v>
      </c>
      <c r="I2364" s="26" t="n">
        <v>44316</v>
      </c>
      <c r="J2364" s="12" t="n">
        <v>4.09</v>
      </c>
      <c r="K2364" s="17" t="n">
        <v>206880.37</v>
      </c>
      <c r="L2364" s="12" t="n">
        <v>0</v>
      </c>
      <c r="M2364" s="12" t="n">
        <v>1</v>
      </c>
      <c r="N2364" s="27">
        <f>F2364-J2364</f>
        <v/>
      </c>
      <c r="O2364" s="16">
        <f>I2364-H2364</f>
        <v/>
      </c>
      <c r="P2364" s="14">
        <f>F2364*G2364</f>
        <v/>
      </c>
      <c r="Q2364" s="14">
        <f>J2364*G2364</f>
        <v/>
      </c>
      <c r="R2364" s="14">
        <f>K2364-Q2364</f>
        <v/>
      </c>
      <c r="S2364" s="3">
        <f>P2364*Assumptions!$B$3/100</f>
        <v/>
      </c>
      <c r="T2364" s="14">
        <f>R2364-S2364</f>
        <v/>
      </c>
      <c r="U2364" s="14">
        <f>L2364*G2364</f>
        <v/>
      </c>
    </row>
    <row r="2365">
      <c r="A2365" s="12" t="inlineStr">
        <is>
          <t>PO-2022-2363</t>
        </is>
      </c>
      <c r="B2365" s="26" t="n">
        <v>44406</v>
      </c>
      <c r="C2365" s="12" t="inlineStr">
        <is>
          <t>VS34</t>
        </is>
      </c>
      <c r="D2365" s="12" t="inlineStr">
        <is>
          <t>MS Sheets</t>
        </is>
      </c>
      <c r="E2365" s="12" t="inlineStr">
        <is>
          <t>N</t>
        </is>
      </c>
      <c r="F2365" s="12" t="n">
        <v>47.07</v>
      </c>
      <c r="G2365" s="17" t="n">
        <v>62626.02</v>
      </c>
      <c r="H2365" s="26" t="n">
        <v>44421</v>
      </c>
      <c r="I2365" s="26" t="n">
        <v>44424</v>
      </c>
      <c r="J2365" s="12" t="n">
        <v>46.81</v>
      </c>
      <c r="K2365" s="17" t="n">
        <v>2947806.76</v>
      </c>
      <c r="L2365" s="12" t="n">
        <v>0</v>
      </c>
      <c r="M2365" s="12" t="n">
        <v>25</v>
      </c>
      <c r="N2365" s="27">
        <f>F2365-J2365</f>
        <v/>
      </c>
      <c r="O2365" s="16">
        <f>I2365-H2365</f>
        <v/>
      </c>
      <c r="P2365" s="14">
        <f>F2365*G2365</f>
        <v/>
      </c>
      <c r="Q2365" s="14">
        <f>J2365*G2365</f>
        <v/>
      </c>
      <c r="R2365" s="14">
        <f>K2365-Q2365</f>
        <v/>
      </c>
      <c r="S2365" s="3">
        <f>P2365*Assumptions!$B$3/100</f>
        <v/>
      </c>
      <c r="T2365" s="14">
        <f>R2365-S2365</f>
        <v/>
      </c>
      <c r="U2365" s="14">
        <f>L2365*G2365</f>
        <v/>
      </c>
    </row>
    <row r="2366">
      <c r="A2366" s="12" t="inlineStr">
        <is>
          <t>PO-2022-2364</t>
        </is>
      </c>
      <c r="B2366" s="26" t="n">
        <v>44934</v>
      </c>
      <c r="C2366" s="12" t="inlineStr">
        <is>
          <t>VS23</t>
        </is>
      </c>
      <c r="D2366" s="12" t="inlineStr">
        <is>
          <t>MS Flats</t>
        </is>
      </c>
      <c r="E2366" s="12" t="inlineStr">
        <is>
          <t>N</t>
        </is>
      </c>
      <c r="F2366" s="12" t="n">
        <v>4.98</v>
      </c>
      <c r="G2366" s="17" t="n">
        <v>70767.98</v>
      </c>
      <c r="H2366" s="26" t="n">
        <v>44938</v>
      </c>
      <c r="I2366" s="26" t="n">
        <v>44938</v>
      </c>
      <c r="J2366" s="12" t="n">
        <v>4.94</v>
      </c>
      <c r="K2366" s="17" t="n">
        <v>352424.54</v>
      </c>
      <c r="L2366" s="12" t="n">
        <v>0</v>
      </c>
      <c r="M2366" s="12" t="n">
        <v>0</v>
      </c>
      <c r="N2366" s="27">
        <f>F2366-J2366</f>
        <v/>
      </c>
      <c r="O2366" s="16">
        <f>I2366-H2366</f>
        <v/>
      </c>
      <c r="P2366" s="14">
        <f>F2366*G2366</f>
        <v/>
      </c>
      <c r="Q2366" s="14">
        <f>J2366*G2366</f>
        <v/>
      </c>
      <c r="R2366" s="14">
        <f>K2366-Q2366</f>
        <v/>
      </c>
      <c r="S2366" s="3">
        <f>P2366*Assumptions!$B$3/100</f>
        <v/>
      </c>
      <c r="T2366" s="14">
        <f>R2366-S2366</f>
        <v/>
      </c>
      <c r="U2366" s="14">
        <f>L2366*G2366</f>
        <v/>
      </c>
    </row>
    <row r="2367">
      <c r="A2367" s="12" t="inlineStr">
        <is>
          <t>PO-2022-2365</t>
        </is>
      </c>
      <c r="B2367" s="26" t="n">
        <v>45205</v>
      </c>
      <c r="C2367" s="12" t="inlineStr">
        <is>
          <t>VS26</t>
        </is>
      </c>
      <c r="D2367" s="12" t="inlineStr">
        <is>
          <t>Spring Steel</t>
        </is>
      </c>
      <c r="E2367" s="12" t="inlineStr">
        <is>
          <t>N</t>
        </is>
      </c>
      <c r="F2367" s="12" t="n">
        <v>4.05</v>
      </c>
      <c r="G2367" s="17" t="n">
        <v>76226.47</v>
      </c>
      <c r="H2367" s="26" t="n">
        <v>45220</v>
      </c>
      <c r="I2367" s="26" t="n">
        <v>45222</v>
      </c>
      <c r="J2367" s="12" t="n">
        <v>4.05</v>
      </c>
      <c r="K2367" s="17" t="n">
        <v>308717.2</v>
      </c>
      <c r="L2367" s="12" t="n">
        <v>0</v>
      </c>
      <c r="M2367" s="12" t="n">
        <v>7</v>
      </c>
      <c r="N2367" s="27">
        <f>F2367-J2367</f>
        <v/>
      </c>
      <c r="O2367" s="16">
        <f>I2367-H2367</f>
        <v/>
      </c>
      <c r="P2367" s="14">
        <f>F2367*G2367</f>
        <v/>
      </c>
      <c r="Q2367" s="14">
        <f>J2367*G2367</f>
        <v/>
      </c>
      <c r="R2367" s="14">
        <f>K2367-Q2367</f>
        <v/>
      </c>
      <c r="S2367" s="3">
        <f>P2367*Assumptions!$B$3/100</f>
        <v/>
      </c>
      <c r="T2367" s="14">
        <f>R2367-S2367</f>
        <v/>
      </c>
      <c r="U2367" s="14">
        <f>L2367*G2367</f>
        <v/>
      </c>
    </row>
    <row r="2368">
      <c r="A2368" s="12" t="inlineStr">
        <is>
          <t>PO-2022-2366</t>
        </is>
      </c>
      <c r="B2368" s="26" t="n">
        <v>45007</v>
      </c>
      <c r="C2368" s="12" t="inlineStr">
        <is>
          <t>VS10</t>
        </is>
      </c>
      <c r="D2368" s="12" t="inlineStr">
        <is>
          <t>Spring Steel</t>
        </is>
      </c>
      <c r="E2368" s="12" t="inlineStr">
        <is>
          <t>N</t>
        </is>
      </c>
      <c r="F2368" s="12" t="n">
        <v>41.32</v>
      </c>
      <c r="G2368" s="17" t="n">
        <v>106077.31</v>
      </c>
      <c r="H2368" s="26" t="n">
        <v>45017</v>
      </c>
      <c r="I2368" s="26" t="n">
        <v>45020</v>
      </c>
      <c r="J2368" s="12" t="n">
        <v>41.3</v>
      </c>
      <c r="K2368" s="17" t="n">
        <v>4383114.45</v>
      </c>
      <c r="L2368" s="12" t="n">
        <v>0</v>
      </c>
      <c r="M2368" s="12" t="n">
        <v>15</v>
      </c>
      <c r="N2368" s="27">
        <f>F2368-J2368</f>
        <v/>
      </c>
      <c r="O2368" s="16">
        <f>I2368-H2368</f>
        <v/>
      </c>
      <c r="P2368" s="14">
        <f>F2368*G2368</f>
        <v/>
      </c>
      <c r="Q2368" s="14">
        <f>J2368*G2368</f>
        <v/>
      </c>
      <c r="R2368" s="14">
        <f>K2368-Q2368</f>
        <v/>
      </c>
      <c r="S2368" s="3">
        <f>P2368*Assumptions!$B$3/100</f>
        <v/>
      </c>
      <c r="T2368" s="14">
        <f>R2368-S2368</f>
        <v/>
      </c>
      <c r="U2368" s="14">
        <f>L2368*G2368</f>
        <v/>
      </c>
    </row>
    <row r="2369">
      <c r="A2369" s="12" t="inlineStr">
        <is>
          <t>PO-2022-2367</t>
        </is>
      </c>
      <c r="B2369" s="26" t="n">
        <v>44522</v>
      </c>
      <c r="C2369" s="12" t="inlineStr">
        <is>
          <t>VS08</t>
        </is>
      </c>
      <c r="D2369" s="12" t="inlineStr">
        <is>
          <t>CR Sheets</t>
        </is>
      </c>
      <c r="E2369" s="12" t="inlineStr">
        <is>
          <t>N</t>
        </is>
      </c>
      <c r="F2369" s="12" t="n">
        <v>12.14</v>
      </c>
      <c r="G2369" s="17" t="n">
        <v>49238.56</v>
      </c>
      <c r="H2369" s="26" t="n">
        <v>44535</v>
      </c>
      <c r="I2369" s="26" t="n">
        <v>44538</v>
      </c>
      <c r="J2369" s="12" t="n">
        <v>12.14</v>
      </c>
      <c r="K2369" s="17" t="n">
        <v>597756.12</v>
      </c>
      <c r="L2369" s="12" t="n">
        <v>0</v>
      </c>
      <c r="M2369" s="12" t="n">
        <v>0</v>
      </c>
      <c r="N2369" s="27">
        <f>F2369-J2369</f>
        <v/>
      </c>
      <c r="O2369" s="16">
        <f>I2369-H2369</f>
        <v/>
      </c>
      <c r="P2369" s="14">
        <f>F2369*G2369</f>
        <v/>
      </c>
      <c r="Q2369" s="14">
        <f>J2369*G2369</f>
        <v/>
      </c>
      <c r="R2369" s="14">
        <f>K2369-Q2369</f>
        <v/>
      </c>
      <c r="S2369" s="3">
        <f>P2369*Assumptions!$B$3/100</f>
        <v/>
      </c>
      <c r="T2369" s="14">
        <f>R2369-S2369</f>
        <v/>
      </c>
      <c r="U2369" s="14">
        <f>L2369*G2369</f>
        <v/>
      </c>
    </row>
    <row r="2370">
      <c r="A2370" s="12" t="inlineStr">
        <is>
          <t>PO-2022-2368</t>
        </is>
      </c>
      <c r="B2370" s="26" t="n">
        <v>44246</v>
      </c>
      <c r="C2370" s="12" t="inlineStr">
        <is>
          <t>VS04</t>
        </is>
      </c>
      <c r="D2370" s="12" t="inlineStr">
        <is>
          <t>HR Coils</t>
        </is>
      </c>
      <c r="E2370" s="12" t="inlineStr">
        <is>
          <t>Y</t>
        </is>
      </c>
      <c r="F2370" s="12" t="n">
        <v>24.46</v>
      </c>
      <c r="G2370" s="17" t="n">
        <v>48163.19</v>
      </c>
      <c r="H2370" s="26" t="n">
        <v>44261</v>
      </c>
      <c r="I2370" s="26" t="n">
        <v>44262</v>
      </c>
      <c r="J2370" s="12" t="n">
        <v>24.43</v>
      </c>
      <c r="K2370" s="17" t="n">
        <v>1178071.63</v>
      </c>
      <c r="L2370" s="12" t="n">
        <v>0</v>
      </c>
      <c r="M2370" s="12" t="n">
        <v>16</v>
      </c>
      <c r="N2370" s="27">
        <f>F2370-J2370</f>
        <v/>
      </c>
      <c r="O2370" s="16">
        <f>I2370-H2370</f>
        <v/>
      </c>
      <c r="P2370" s="14">
        <f>F2370*G2370</f>
        <v/>
      </c>
      <c r="Q2370" s="14">
        <f>J2370*G2370</f>
        <v/>
      </c>
      <c r="R2370" s="14">
        <f>K2370-Q2370</f>
        <v/>
      </c>
      <c r="S2370" s="3">
        <f>P2370*Assumptions!$B$3/100</f>
        <v/>
      </c>
      <c r="T2370" s="14">
        <f>R2370-S2370</f>
        <v/>
      </c>
      <c r="U2370" s="14">
        <f>L2370*G2370</f>
        <v/>
      </c>
    </row>
    <row r="2371">
      <c r="A2371" s="12" t="inlineStr">
        <is>
          <t>PO-2022-2369</t>
        </is>
      </c>
      <c r="B2371" s="26" t="n">
        <v>44673</v>
      </c>
      <c r="C2371" s="12" t="inlineStr">
        <is>
          <t>VS10</t>
        </is>
      </c>
      <c r="D2371" s="12" t="inlineStr">
        <is>
          <t>Square/Rect Tubes</t>
        </is>
      </c>
      <c r="E2371" s="12" t="inlineStr">
        <is>
          <t>N</t>
        </is>
      </c>
      <c r="F2371" s="12" t="n">
        <v>25.53</v>
      </c>
      <c r="G2371" s="17" t="n">
        <v>69221.27</v>
      </c>
      <c r="H2371" s="26" t="n">
        <v>44688</v>
      </c>
      <c r="I2371" s="26" t="n">
        <v>44690</v>
      </c>
      <c r="J2371" s="12" t="n">
        <v>25.51</v>
      </c>
      <c r="K2371" s="17" t="n">
        <v>1767219.02</v>
      </c>
      <c r="L2371" s="12" t="n">
        <v>0</v>
      </c>
      <c r="M2371" s="12" t="n">
        <v>0</v>
      </c>
      <c r="N2371" s="27">
        <f>F2371-J2371</f>
        <v/>
      </c>
      <c r="O2371" s="16">
        <f>I2371-H2371</f>
        <v/>
      </c>
      <c r="P2371" s="14">
        <f>F2371*G2371</f>
        <v/>
      </c>
      <c r="Q2371" s="14">
        <f>J2371*G2371</f>
        <v/>
      </c>
      <c r="R2371" s="14">
        <f>K2371-Q2371</f>
        <v/>
      </c>
      <c r="S2371" s="3">
        <f>P2371*Assumptions!$B$3/100</f>
        <v/>
      </c>
      <c r="T2371" s="14">
        <f>R2371-S2371</f>
        <v/>
      </c>
      <c r="U2371" s="14">
        <f>L2371*G2371</f>
        <v/>
      </c>
    </row>
    <row r="2372">
      <c r="A2372" s="12" t="inlineStr">
        <is>
          <t>PO-2022-2370</t>
        </is>
      </c>
      <c r="B2372" s="26" t="n">
        <v>45007</v>
      </c>
      <c r="C2372" s="12" t="inlineStr">
        <is>
          <t>VS02</t>
        </is>
      </c>
      <c r="D2372" s="12" t="inlineStr">
        <is>
          <t>Hex Bars</t>
        </is>
      </c>
      <c r="E2372" s="12" t="inlineStr">
        <is>
          <t>N</t>
        </is>
      </c>
      <c r="F2372" s="12" t="n">
        <v>38.51</v>
      </c>
      <c r="G2372" s="17" t="n">
        <v>81917.03999999999</v>
      </c>
      <c r="H2372" s="26" t="n">
        <v>45020</v>
      </c>
      <c r="I2372" s="26" t="n">
        <v>45021</v>
      </c>
      <c r="J2372" s="12" t="n">
        <v>38.17</v>
      </c>
      <c r="K2372" s="17" t="n">
        <v>3154625.21</v>
      </c>
      <c r="L2372" s="12" t="n">
        <v>0</v>
      </c>
      <c r="M2372" s="12" t="n">
        <v>25</v>
      </c>
      <c r="N2372" s="27">
        <f>F2372-J2372</f>
        <v/>
      </c>
      <c r="O2372" s="16">
        <f>I2372-H2372</f>
        <v/>
      </c>
      <c r="P2372" s="14">
        <f>F2372*G2372</f>
        <v/>
      </c>
      <c r="Q2372" s="14">
        <f>J2372*G2372</f>
        <v/>
      </c>
      <c r="R2372" s="14">
        <f>K2372-Q2372</f>
        <v/>
      </c>
      <c r="S2372" s="3">
        <f>P2372*Assumptions!$B$3/100</f>
        <v/>
      </c>
      <c r="T2372" s="14">
        <f>R2372-S2372</f>
        <v/>
      </c>
      <c r="U2372" s="14">
        <f>L2372*G2372</f>
        <v/>
      </c>
    </row>
    <row r="2373">
      <c r="A2373" s="12" t="inlineStr">
        <is>
          <t>PO-2022-2371</t>
        </is>
      </c>
      <c r="B2373" s="26" t="n">
        <v>45046</v>
      </c>
      <c r="C2373" s="12" t="inlineStr">
        <is>
          <t>VS05</t>
        </is>
      </c>
      <c r="D2373" s="12" t="inlineStr">
        <is>
          <t>GI Pipes</t>
        </is>
      </c>
      <c r="E2373" s="12" t="inlineStr">
        <is>
          <t>N</t>
        </is>
      </c>
      <c r="F2373" s="12" t="n">
        <v>10.81</v>
      </c>
      <c r="G2373" s="17" t="n">
        <v>47700.42</v>
      </c>
      <c r="H2373" s="26" t="n">
        <v>45052</v>
      </c>
      <c r="I2373" s="26" t="n">
        <v>45054</v>
      </c>
      <c r="J2373" s="12" t="n">
        <v>10.72</v>
      </c>
      <c r="K2373" s="17" t="n">
        <v>515641.54</v>
      </c>
      <c r="L2373" s="12" t="n">
        <v>0</v>
      </c>
      <c r="M2373" s="12" t="n">
        <v>0</v>
      </c>
      <c r="N2373" s="27">
        <f>F2373-J2373</f>
        <v/>
      </c>
      <c r="O2373" s="16">
        <f>I2373-H2373</f>
        <v/>
      </c>
      <c r="P2373" s="14">
        <f>F2373*G2373</f>
        <v/>
      </c>
      <c r="Q2373" s="14">
        <f>J2373*G2373</f>
        <v/>
      </c>
      <c r="R2373" s="14">
        <f>K2373-Q2373</f>
        <v/>
      </c>
      <c r="S2373" s="3">
        <f>P2373*Assumptions!$B$3/100</f>
        <v/>
      </c>
      <c r="T2373" s="14">
        <f>R2373-S2373</f>
        <v/>
      </c>
      <c r="U2373" s="14">
        <f>L2373*G2373</f>
        <v/>
      </c>
    </row>
    <row r="2374">
      <c r="A2374" s="12" t="inlineStr">
        <is>
          <t>PO-2022-2372</t>
        </is>
      </c>
      <c r="B2374" s="26" t="n">
        <v>45203</v>
      </c>
      <c r="C2374" s="12" t="inlineStr">
        <is>
          <t>VS01</t>
        </is>
      </c>
      <c r="D2374" s="12" t="inlineStr">
        <is>
          <t>Angles &amp; Channels</t>
        </is>
      </c>
      <c r="E2374" s="12" t="inlineStr">
        <is>
          <t>N</t>
        </is>
      </c>
      <c r="F2374" s="12" t="n">
        <v>35.39</v>
      </c>
      <c r="G2374" s="17" t="n">
        <v>88618.74000000001</v>
      </c>
      <c r="H2374" s="26" t="n">
        <v>45211</v>
      </c>
      <c r="I2374" s="26" t="n">
        <v>45212</v>
      </c>
      <c r="J2374" s="12" t="n">
        <v>35.06</v>
      </c>
      <c r="K2374" s="17" t="n">
        <v>3136217.21</v>
      </c>
      <c r="L2374" s="12" t="n">
        <v>0</v>
      </c>
      <c r="M2374" s="12" t="n">
        <v>2</v>
      </c>
      <c r="N2374" s="27">
        <f>F2374-J2374</f>
        <v/>
      </c>
      <c r="O2374" s="16">
        <f>I2374-H2374</f>
        <v/>
      </c>
      <c r="P2374" s="14">
        <f>F2374*G2374</f>
        <v/>
      </c>
      <c r="Q2374" s="14">
        <f>J2374*G2374</f>
        <v/>
      </c>
      <c r="R2374" s="14">
        <f>K2374-Q2374</f>
        <v/>
      </c>
      <c r="S2374" s="3">
        <f>P2374*Assumptions!$B$3/100</f>
        <v/>
      </c>
      <c r="T2374" s="14">
        <f>R2374-S2374</f>
        <v/>
      </c>
      <c r="U2374" s="14">
        <f>L2374*G2374</f>
        <v/>
      </c>
    </row>
    <row r="2375">
      <c r="A2375" s="12" t="inlineStr">
        <is>
          <t>PO-2022-2373</t>
        </is>
      </c>
      <c r="B2375" s="26" t="n">
        <v>45239</v>
      </c>
      <c r="C2375" s="12" t="inlineStr">
        <is>
          <t>VS11</t>
        </is>
      </c>
      <c r="D2375" s="12" t="inlineStr">
        <is>
          <t>MS Rods</t>
        </is>
      </c>
      <c r="E2375" s="12" t="inlineStr">
        <is>
          <t>N</t>
        </is>
      </c>
      <c r="F2375" s="12" t="n">
        <v>11.43</v>
      </c>
      <c r="G2375" s="17" t="n">
        <v>85217.25</v>
      </c>
      <c r="H2375" s="26" t="n">
        <v>45252</v>
      </c>
      <c r="I2375" s="26" t="n">
        <v>45253</v>
      </c>
      <c r="J2375" s="12" t="n">
        <v>11.32</v>
      </c>
      <c r="K2375" s="17" t="n">
        <v>974033.17</v>
      </c>
      <c r="L2375" s="12" t="n">
        <v>0</v>
      </c>
      <c r="M2375" s="12" t="n">
        <v>12</v>
      </c>
      <c r="N2375" s="27">
        <f>F2375-J2375</f>
        <v/>
      </c>
      <c r="O2375" s="16">
        <f>I2375-H2375</f>
        <v/>
      </c>
      <c r="P2375" s="14">
        <f>F2375*G2375</f>
        <v/>
      </c>
      <c r="Q2375" s="14">
        <f>J2375*G2375</f>
        <v/>
      </c>
      <c r="R2375" s="14">
        <f>K2375-Q2375</f>
        <v/>
      </c>
      <c r="S2375" s="3">
        <f>P2375*Assumptions!$B$3/100</f>
        <v/>
      </c>
      <c r="T2375" s="14">
        <f>R2375-S2375</f>
        <v/>
      </c>
      <c r="U2375" s="14">
        <f>L2375*G2375</f>
        <v/>
      </c>
    </row>
    <row r="2376">
      <c r="A2376" s="12" t="inlineStr">
        <is>
          <t>PO-2022-2374</t>
        </is>
      </c>
      <c r="B2376" s="26" t="n">
        <v>44773</v>
      </c>
      <c r="C2376" s="12" t="inlineStr">
        <is>
          <t>VS18</t>
        </is>
      </c>
      <c r="D2376" s="12" t="inlineStr">
        <is>
          <t>Spring Steel</t>
        </is>
      </c>
      <c r="E2376" s="12" t="inlineStr">
        <is>
          <t>N</t>
        </is>
      </c>
      <c r="F2376" s="12" t="n">
        <v>19.34</v>
      </c>
      <c r="G2376" s="17" t="n">
        <v>74131.48</v>
      </c>
      <c r="H2376" s="26" t="n">
        <v>44779</v>
      </c>
      <c r="I2376" s="26" t="n">
        <v>44781</v>
      </c>
      <c r="J2376" s="12" t="n">
        <v>19.16</v>
      </c>
      <c r="K2376" s="17" t="n">
        <v>1433702.82</v>
      </c>
      <c r="L2376" s="12" t="n">
        <v>0</v>
      </c>
      <c r="M2376" s="12" t="n">
        <v>0</v>
      </c>
      <c r="N2376" s="27">
        <f>F2376-J2376</f>
        <v/>
      </c>
      <c r="O2376" s="16">
        <f>I2376-H2376</f>
        <v/>
      </c>
      <c r="P2376" s="14">
        <f>F2376*G2376</f>
        <v/>
      </c>
      <c r="Q2376" s="14">
        <f>J2376*G2376</f>
        <v/>
      </c>
      <c r="R2376" s="14">
        <f>K2376-Q2376</f>
        <v/>
      </c>
      <c r="S2376" s="3">
        <f>P2376*Assumptions!$B$3/100</f>
        <v/>
      </c>
      <c r="T2376" s="14">
        <f>R2376-S2376</f>
        <v/>
      </c>
      <c r="U2376" s="14">
        <f>L2376*G2376</f>
        <v/>
      </c>
    </row>
    <row r="2377">
      <c r="A2377" s="12" t="inlineStr">
        <is>
          <t>PO-2022-2375</t>
        </is>
      </c>
      <c r="B2377" s="26" t="n">
        <v>44721</v>
      </c>
      <c r="C2377" s="12" t="inlineStr">
        <is>
          <t>VS22</t>
        </is>
      </c>
      <c r="D2377" s="12" t="inlineStr">
        <is>
          <t>GI Sheets</t>
        </is>
      </c>
      <c r="E2377" s="12" t="inlineStr">
        <is>
          <t>N</t>
        </is>
      </c>
      <c r="F2377" s="12" t="n">
        <v>17.03</v>
      </c>
      <c r="G2377" s="17" t="n">
        <v>64525.64</v>
      </c>
      <c r="H2377" s="26" t="n">
        <v>44725</v>
      </c>
      <c r="I2377" s="26" t="n">
        <v>44726</v>
      </c>
      <c r="J2377" s="12" t="n">
        <v>17</v>
      </c>
      <c r="K2377" s="17" t="n">
        <v>1098871.65</v>
      </c>
      <c r="L2377" s="12" t="n">
        <v>0</v>
      </c>
      <c r="M2377" s="12" t="n">
        <v>13</v>
      </c>
      <c r="N2377" s="27">
        <f>F2377-J2377</f>
        <v/>
      </c>
      <c r="O2377" s="16">
        <f>I2377-H2377</f>
        <v/>
      </c>
      <c r="P2377" s="14">
        <f>F2377*G2377</f>
        <v/>
      </c>
      <c r="Q2377" s="14">
        <f>J2377*G2377</f>
        <v/>
      </c>
      <c r="R2377" s="14">
        <f>K2377-Q2377</f>
        <v/>
      </c>
      <c r="S2377" s="3">
        <f>P2377*Assumptions!$B$3/100</f>
        <v/>
      </c>
      <c r="T2377" s="14">
        <f>R2377-S2377</f>
        <v/>
      </c>
      <c r="U2377" s="14">
        <f>L2377*G2377</f>
        <v/>
      </c>
    </row>
    <row r="2378">
      <c r="A2378" s="12" t="inlineStr">
        <is>
          <t>PO-2022-2376</t>
        </is>
      </c>
      <c r="B2378" s="26" t="n">
        <v>44781</v>
      </c>
      <c r="C2378" s="12" t="inlineStr">
        <is>
          <t>VS29</t>
        </is>
      </c>
      <c r="D2378" s="12" t="inlineStr">
        <is>
          <t>MS Pipes</t>
        </is>
      </c>
      <c r="E2378" s="12" t="inlineStr">
        <is>
          <t>N</t>
        </is>
      </c>
      <c r="F2378" s="12" t="n">
        <v>22.83</v>
      </c>
      <c r="G2378" s="17" t="n">
        <v>117580.11</v>
      </c>
      <c r="H2378" s="26" t="n">
        <v>44794</v>
      </c>
      <c r="I2378" s="26" t="n">
        <v>44797</v>
      </c>
      <c r="J2378" s="12" t="n">
        <v>22.8</v>
      </c>
      <c r="K2378" s="17" t="n">
        <v>2684353.91</v>
      </c>
      <c r="L2378" s="12" t="n">
        <v>0</v>
      </c>
      <c r="M2378" s="12" t="n">
        <v>24</v>
      </c>
      <c r="N2378" s="27">
        <f>F2378-J2378</f>
        <v/>
      </c>
      <c r="O2378" s="16">
        <f>I2378-H2378</f>
        <v/>
      </c>
      <c r="P2378" s="14">
        <f>F2378*G2378</f>
        <v/>
      </c>
      <c r="Q2378" s="14">
        <f>J2378*G2378</f>
        <v/>
      </c>
      <c r="R2378" s="14">
        <f>K2378-Q2378</f>
        <v/>
      </c>
      <c r="S2378" s="3">
        <f>P2378*Assumptions!$B$3/100</f>
        <v/>
      </c>
      <c r="T2378" s="14">
        <f>R2378-S2378</f>
        <v/>
      </c>
      <c r="U2378" s="14">
        <f>L2378*G2378</f>
        <v/>
      </c>
    </row>
    <row r="2379">
      <c r="A2379" s="12" t="inlineStr">
        <is>
          <t>PO-2022-2377</t>
        </is>
      </c>
      <c r="B2379" s="26" t="n">
        <v>45245</v>
      </c>
      <c r="C2379" s="12" t="inlineStr">
        <is>
          <t>VS26</t>
        </is>
      </c>
      <c r="D2379" s="12" t="inlineStr">
        <is>
          <t>GI Sheets</t>
        </is>
      </c>
      <c r="E2379" s="12" t="inlineStr">
        <is>
          <t>N</t>
        </is>
      </c>
      <c r="F2379" s="12" t="n">
        <v>10.06</v>
      </c>
      <c r="G2379" s="17" t="n">
        <v>48124.51</v>
      </c>
      <c r="H2379" s="26" t="n">
        <v>45260</v>
      </c>
      <c r="I2379" s="26" t="n">
        <v>45260</v>
      </c>
      <c r="J2379" s="12" t="n">
        <v>10.06</v>
      </c>
      <c r="K2379" s="17" t="n">
        <v>484132.57</v>
      </c>
      <c r="L2379" s="12" t="n">
        <v>0</v>
      </c>
      <c r="M2379" s="12" t="n">
        <v>0</v>
      </c>
      <c r="N2379" s="27">
        <f>F2379-J2379</f>
        <v/>
      </c>
      <c r="O2379" s="16">
        <f>I2379-H2379</f>
        <v/>
      </c>
      <c r="P2379" s="14">
        <f>F2379*G2379</f>
        <v/>
      </c>
      <c r="Q2379" s="14">
        <f>J2379*G2379</f>
        <v/>
      </c>
      <c r="R2379" s="14">
        <f>K2379-Q2379</f>
        <v/>
      </c>
      <c r="S2379" s="3">
        <f>P2379*Assumptions!$B$3/100</f>
        <v/>
      </c>
      <c r="T2379" s="14">
        <f>R2379-S2379</f>
        <v/>
      </c>
      <c r="U2379" s="14">
        <f>L2379*G2379</f>
        <v/>
      </c>
    </row>
    <row r="2380">
      <c r="A2380" s="12" t="inlineStr">
        <is>
          <t>PO-2022-2378</t>
        </is>
      </c>
      <c r="B2380" s="26" t="n">
        <v>44415</v>
      </c>
      <c r="C2380" s="12" t="inlineStr">
        <is>
          <t>VS14</t>
        </is>
      </c>
      <c r="D2380" s="12" t="inlineStr">
        <is>
          <t>GI Sheets</t>
        </is>
      </c>
      <c r="E2380" s="12" t="inlineStr">
        <is>
          <t>N</t>
        </is>
      </c>
      <c r="F2380" s="12" t="n">
        <v>38.23</v>
      </c>
      <c r="G2380" s="17" t="n">
        <v>100177.69</v>
      </c>
      <c r="H2380" s="26" t="n">
        <v>44422</v>
      </c>
      <c r="I2380" s="26" t="n">
        <v>44425</v>
      </c>
      <c r="J2380" s="12" t="n">
        <v>38.23</v>
      </c>
      <c r="K2380" s="17" t="n">
        <v>3829793.09</v>
      </c>
      <c r="L2380" s="12" t="n">
        <v>0</v>
      </c>
      <c r="M2380" s="12" t="n">
        <v>20</v>
      </c>
      <c r="N2380" s="27">
        <f>F2380-J2380</f>
        <v/>
      </c>
      <c r="O2380" s="16">
        <f>I2380-H2380</f>
        <v/>
      </c>
      <c r="P2380" s="14">
        <f>F2380*G2380</f>
        <v/>
      </c>
      <c r="Q2380" s="14">
        <f>J2380*G2380</f>
        <v/>
      </c>
      <c r="R2380" s="14">
        <f>K2380-Q2380</f>
        <v/>
      </c>
      <c r="S2380" s="3">
        <f>P2380*Assumptions!$B$3/100</f>
        <v/>
      </c>
      <c r="T2380" s="14">
        <f>R2380-S2380</f>
        <v/>
      </c>
      <c r="U2380" s="14">
        <f>L2380*G2380</f>
        <v/>
      </c>
    </row>
    <row r="2381">
      <c r="A2381" s="12" t="inlineStr">
        <is>
          <t>PO-2022-2379</t>
        </is>
      </c>
      <c r="B2381" s="26" t="n">
        <v>44635</v>
      </c>
      <c r="C2381" s="12" t="inlineStr">
        <is>
          <t>VS20</t>
        </is>
      </c>
      <c r="D2381" s="12" t="inlineStr">
        <is>
          <t>Angles &amp; Channels</t>
        </is>
      </c>
      <c r="E2381" s="12" t="inlineStr">
        <is>
          <t>N</t>
        </is>
      </c>
      <c r="F2381" s="12" t="n">
        <v>23.73</v>
      </c>
      <c r="G2381" s="17" t="n">
        <v>93587.25999999999</v>
      </c>
      <c r="H2381" s="26" t="n">
        <v>44641</v>
      </c>
      <c r="I2381" s="26" t="n">
        <v>44641</v>
      </c>
      <c r="J2381" s="12" t="n">
        <v>23.67</v>
      </c>
      <c r="K2381" s="17" t="n">
        <v>2220825.68</v>
      </c>
      <c r="L2381" s="12" t="n">
        <v>0</v>
      </c>
      <c r="M2381" s="12" t="n">
        <v>20</v>
      </c>
      <c r="N2381" s="27">
        <f>F2381-J2381</f>
        <v/>
      </c>
      <c r="O2381" s="16">
        <f>I2381-H2381</f>
        <v/>
      </c>
      <c r="P2381" s="14">
        <f>F2381*G2381</f>
        <v/>
      </c>
      <c r="Q2381" s="14">
        <f>J2381*G2381</f>
        <v/>
      </c>
      <c r="R2381" s="14">
        <f>K2381-Q2381</f>
        <v/>
      </c>
      <c r="S2381" s="3">
        <f>P2381*Assumptions!$B$3/100</f>
        <v/>
      </c>
      <c r="T2381" s="14">
        <f>R2381-S2381</f>
        <v/>
      </c>
      <c r="U2381" s="14">
        <f>L2381*G2381</f>
        <v/>
      </c>
    </row>
    <row r="2382">
      <c r="A2382" s="12" t="inlineStr">
        <is>
          <t>PO-2022-2380</t>
        </is>
      </c>
      <c r="B2382" s="26" t="n">
        <v>44713</v>
      </c>
      <c r="C2382" s="12" t="inlineStr">
        <is>
          <t>VS14</t>
        </is>
      </c>
      <c r="D2382" s="12" t="inlineStr">
        <is>
          <t>Hex Bars</t>
        </is>
      </c>
      <c r="E2382" s="12" t="inlineStr">
        <is>
          <t>N</t>
        </is>
      </c>
      <c r="F2382" s="12" t="n">
        <v>2.17</v>
      </c>
      <c r="G2382" s="17" t="n">
        <v>45927.03</v>
      </c>
      <c r="H2382" s="26" t="n">
        <v>44718</v>
      </c>
      <c r="I2382" s="26" t="n">
        <v>44720</v>
      </c>
      <c r="J2382" s="12" t="n">
        <v>2.15</v>
      </c>
      <c r="K2382" s="17" t="n">
        <v>99661.66</v>
      </c>
      <c r="L2382" s="12" t="n">
        <v>0</v>
      </c>
      <c r="M2382" s="12" t="n">
        <v>14</v>
      </c>
      <c r="N2382" s="27">
        <f>F2382-J2382</f>
        <v/>
      </c>
      <c r="O2382" s="16">
        <f>I2382-H2382</f>
        <v/>
      </c>
      <c r="P2382" s="14">
        <f>F2382*G2382</f>
        <v/>
      </c>
      <c r="Q2382" s="14">
        <f>J2382*G2382</f>
        <v/>
      </c>
      <c r="R2382" s="14">
        <f>K2382-Q2382</f>
        <v/>
      </c>
      <c r="S2382" s="3">
        <f>P2382*Assumptions!$B$3/100</f>
        <v/>
      </c>
      <c r="T2382" s="14">
        <f>R2382-S2382</f>
        <v/>
      </c>
      <c r="U2382" s="14">
        <f>L2382*G2382</f>
        <v/>
      </c>
    </row>
    <row r="2383">
      <c r="A2383" s="12" t="inlineStr">
        <is>
          <t>PO-2022-2381</t>
        </is>
      </c>
      <c r="B2383" s="26" t="n">
        <v>44880</v>
      </c>
      <c r="C2383" s="12" t="inlineStr">
        <is>
          <t>VS14</t>
        </is>
      </c>
      <c r="D2383" s="12" t="inlineStr">
        <is>
          <t>Structural Steel</t>
        </is>
      </c>
      <c r="E2383" s="12" t="inlineStr">
        <is>
          <t>Y</t>
        </is>
      </c>
      <c r="F2383" s="12" t="n">
        <v>47.39</v>
      </c>
      <c r="G2383" s="17" t="n">
        <v>74142.88</v>
      </c>
      <c r="H2383" s="26" t="n">
        <v>44888</v>
      </c>
      <c r="I2383" s="26" t="n">
        <v>44891</v>
      </c>
      <c r="J2383" s="12" t="n">
        <v>47.23</v>
      </c>
      <c r="K2383" s="17" t="n">
        <v>3513631.08</v>
      </c>
      <c r="L2383" s="12" t="n">
        <v>0</v>
      </c>
      <c r="M2383" s="12" t="n">
        <v>2</v>
      </c>
      <c r="N2383" s="27">
        <f>F2383-J2383</f>
        <v/>
      </c>
      <c r="O2383" s="16">
        <f>I2383-H2383</f>
        <v/>
      </c>
      <c r="P2383" s="14">
        <f>F2383*G2383</f>
        <v/>
      </c>
      <c r="Q2383" s="14">
        <f>J2383*G2383</f>
        <v/>
      </c>
      <c r="R2383" s="14">
        <f>K2383-Q2383</f>
        <v/>
      </c>
      <c r="S2383" s="3">
        <f>P2383*Assumptions!$B$3/100</f>
        <v/>
      </c>
      <c r="T2383" s="14">
        <f>R2383-S2383</f>
        <v/>
      </c>
      <c r="U2383" s="14">
        <f>L2383*G2383</f>
        <v/>
      </c>
    </row>
    <row r="2384">
      <c r="A2384" s="12" t="inlineStr">
        <is>
          <t>PO-2022-2382</t>
        </is>
      </c>
      <c r="B2384" s="26" t="n">
        <v>45134</v>
      </c>
      <c r="C2384" s="12" t="inlineStr">
        <is>
          <t>VS26</t>
        </is>
      </c>
      <c r="D2384" s="12" t="inlineStr">
        <is>
          <t>MS Sheets</t>
        </is>
      </c>
      <c r="E2384" s="12" t="inlineStr">
        <is>
          <t>N</t>
        </is>
      </c>
      <c r="F2384" s="12" t="n">
        <v>46.12</v>
      </c>
      <c r="G2384" s="17" t="n">
        <v>81013.17</v>
      </c>
      <c r="H2384" s="26" t="n">
        <v>45146</v>
      </c>
      <c r="I2384" s="26" t="n">
        <v>45146</v>
      </c>
      <c r="J2384" s="12" t="n">
        <v>45.9</v>
      </c>
      <c r="K2384" s="17" t="n">
        <v>3736327.4</v>
      </c>
      <c r="L2384" s="12" t="n">
        <v>0</v>
      </c>
      <c r="M2384" s="12" t="n">
        <v>8</v>
      </c>
      <c r="N2384" s="27">
        <f>F2384-J2384</f>
        <v/>
      </c>
      <c r="O2384" s="16">
        <f>I2384-H2384</f>
        <v/>
      </c>
      <c r="P2384" s="14">
        <f>F2384*G2384</f>
        <v/>
      </c>
      <c r="Q2384" s="14">
        <f>J2384*G2384</f>
        <v/>
      </c>
      <c r="R2384" s="14">
        <f>K2384-Q2384</f>
        <v/>
      </c>
      <c r="S2384" s="3">
        <f>P2384*Assumptions!$B$3/100</f>
        <v/>
      </c>
      <c r="T2384" s="14">
        <f>R2384-S2384</f>
        <v/>
      </c>
      <c r="U2384" s="14">
        <f>L2384*G2384</f>
        <v/>
      </c>
    </row>
    <row r="2385">
      <c r="A2385" s="12" t="inlineStr">
        <is>
          <t>PO-2022-2383</t>
        </is>
      </c>
      <c r="B2385" s="26" t="n">
        <v>44781</v>
      </c>
      <c r="C2385" s="12" t="inlineStr">
        <is>
          <t>VS16</t>
        </is>
      </c>
      <c r="D2385" s="12" t="inlineStr">
        <is>
          <t>SS Pipes</t>
        </is>
      </c>
      <c r="E2385" s="12" t="inlineStr">
        <is>
          <t>N</t>
        </is>
      </c>
      <c r="F2385" s="12" t="n">
        <v>31.2</v>
      </c>
      <c r="G2385" s="17" t="n">
        <v>111330.93</v>
      </c>
      <c r="H2385" s="26" t="n">
        <v>44784</v>
      </c>
      <c r="I2385" s="26" t="n">
        <v>44784</v>
      </c>
      <c r="J2385" s="12" t="n">
        <v>30.89</v>
      </c>
      <c r="K2385" s="17" t="n">
        <v>3473525.02</v>
      </c>
      <c r="L2385" s="12" t="n">
        <v>0</v>
      </c>
      <c r="M2385" s="12" t="n">
        <v>16</v>
      </c>
      <c r="N2385" s="27">
        <f>F2385-J2385</f>
        <v/>
      </c>
      <c r="O2385" s="16">
        <f>I2385-H2385</f>
        <v/>
      </c>
      <c r="P2385" s="14">
        <f>F2385*G2385</f>
        <v/>
      </c>
      <c r="Q2385" s="14">
        <f>J2385*G2385</f>
        <v/>
      </c>
      <c r="R2385" s="14">
        <f>K2385-Q2385</f>
        <v/>
      </c>
      <c r="S2385" s="3">
        <f>P2385*Assumptions!$B$3/100</f>
        <v/>
      </c>
      <c r="T2385" s="14">
        <f>R2385-S2385</f>
        <v/>
      </c>
      <c r="U2385" s="14">
        <f>L2385*G2385</f>
        <v/>
      </c>
    </row>
    <row r="2386">
      <c r="A2386" s="12" t="inlineStr">
        <is>
          <t>PO-2022-2384</t>
        </is>
      </c>
      <c r="B2386" s="26" t="n">
        <v>44299</v>
      </c>
      <c r="C2386" s="12" t="inlineStr">
        <is>
          <t>VS01</t>
        </is>
      </c>
      <c r="D2386" s="12" t="inlineStr">
        <is>
          <t>CR Sheets</t>
        </is>
      </c>
      <c r="E2386" s="12" t="inlineStr">
        <is>
          <t>Y</t>
        </is>
      </c>
      <c r="F2386" s="12" t="n">
        <v>46.58</v>
      </c>
      <c r="G2386" s="17" t="n">
        <v>67758.49000000001</v>
      </c>
      <c r="H2386" s="26" t="n">
        <v>44308</v>
      </c>
      <c r="I2386" s="26" t="n">
        <v>44311</v>
      </c>
      <c r="J2386" s="12" t="n">
        <v>46.18</v>
      </c>
      <c r="K2386" s="17" t="n">
        <v>3156190.46</v>
      </c>
      <c r="L2386" s="12" t="n">
        <v>0</v>
      </c>
      <c r="M2386" s="12" t="n">
        <v>0</v>
      </c>
      <c r="N2386" s="27">
        <f>F2386-J2386</f>
        <v/>
      </c>
      <c r="O2386" s="16">
        <f>I2386-H2386</f>
        <v/>
      </c>
      <c r="P2386" s="14">
        <f>F2386*G2386</f>
        <v/>
      </c>
      <c r="Q2386" s="14">
        <f>J2386*G2386</f>
        <v/>
      </c>
      <c r="R2386" s="14">
        <f>K2386-Q2386</f>
        <v/>
      </c>
      <c r="S2386" s="3">
        <f>P2386*Assumptions!$B$3/100</f>
        <v/>
      </c>
      <c r="T2386" s="14">
        <f>R2386-S2386</f>
        <v/>
      </c>
      <c r="U2386" s="14">
        <f>L2386*G2386</f>
        <v/>
      </c>
    </row>
    <row r="2387">
      <c r="A2387" s="12" t="inlineStr">
        <is>
          <t>PO-2022-2385</t>
        </is>
      </c>
      <c r="B2387" s="26" t="n">
        <v>44523</v>
      </c>
      <c r="C2387" s="12" t="inlineStr">
        <is>
          <t>VS07</t>
        </is>
      </c>
      <c r="D2387" s="12" t="inlineStr">
        <is>
          <t>GI Pipes</t>
        </is>
      </c>
      <c r="E2387" s="12" t="inlineStr">
        <is>
          <t>N</t>
        </is>
      </c>
      <c r="F2387" s="12" t="n">
        <v>19.03</v>
      </c>
      <c r="G2387" s="17" t="n">
        <v>93432.91</v>
      </c>
      <c r="H2387" s="26" t="n">
        <v>44532</v>
      </c>
      <c r="I2387" s="26" t="n">
        <v>44535</v>
      </c>
      <c r="J2387" s="12" t="n">
        <v>18.86</v>
      </c>
      <c r="K2387" s="17" t="n">
        <v>1778028.28</v>
      </c>
      <c r="L2387" s="12" t="n">
        <v>0</v>
      </c>
      <c r="M2387" s="12" t="n">
        <v>0</v>
      </c>
      <c r="N2387" s="27">
        <f>F2387-J2387</f>
        <v/>
      </c>
      <c r="O2387" s="16">
        <f>I2387-H2387</f>
        <v/>
      </c>
      <c r="P2387" s="14">
        <f>F2387*G2387</f>
        <v/>
      </c>
      <c r="Q2387" s="14">
        <f>J2387*G2387</f>
        <v/>
      </c>
      <c r="R2387" s="14">
        <f>K2387-Q2387</f>
        <v/>
      </c>
      <c r="S2387" s="3">
        <f>P2387*Assumptions!$B$3/100</f>
        <v/>
      </c>
      <c r="T2387" s="14">
        <f>R2387-S2387</f>
        <v/>
      </c>
      <c r="U2387" s="14">
        <f>L2387*G2387</f>
        <v/>
      </c>
    </row>
    <row r="2388">
      <c r="A2388" s="12" t="inlineStr">
        <is>
          <t>PO-2022-2386</t>
        </is>
      </c>
      <c r="B2388" s="26" t="n">
        <v>44960</v>
      </c>
      <c r="C2388" s="12" t="inlineStr">
        <is>
          <t>VS05</t>
        </is>
      </c>
      <c r="D2388" s="12" t="inlineStr">
        <is>
          <t>CR Sheets</t>
        </is>
      </c>
      <c r="E2388" s="12" t="inlineStr">
        <is>
          <t>Y</t>
        </is>
      </c>
      <c r="F2388" s="12" t="n">
        <v>21.46</v>
      </c>
      <c r="G2388" s="17" t="n">
        <v>46679.59</v>
      </c>
      <c r="H2388" s="26" t="n">
        <v>44975</v>
      </c>
      <c r="I2388" s="26" t="n">
        <v>44975</v>
      </c>
      <c r="J2388" s="12" t="n">
        <v>21.36</v>
      </c>
      <c r="K2388" s="17" t="n">
        <v>1001744</v>
      </c>
      <c r="L2388" s="12" t="n">
        <v>0</v>
      </c>
      <c r="M2388" s="12" t="n">
        <v>1</v>
      </c>
      <c r="N2388" s="27">
        <f>F2388-J2388</f>
        <v/>
      </c>
      <c r="O2388" s="16">
        <f>I2388-H2388</f>
        <v/>
      </c>
      <c r="P2388" s="14">
        <f>F2388*G2388</f>
        <v/>
      </c>
      <c r="Q2388" s="14">
        <f>J2388*G2388</f>
        <v/>
      </c>
      <c r="R2388" s="14">
        <f>K2388-Q2388</f>
        <v/>
      </c>
      <c r="S2388" s="3">
        <f>P2388*Assumptions!$B$3/100</f>
        <v/>
      </c>
      <c r="T2388" s="14">
        <f>R2388-S2388</f>
        <v/>
      </c>
      <c r="U2388" s="14">
        <f>L2388*G2388</f>
        <v/>
      </c>
    </row>
    <row r="2389">
      <c r="A2389" s="12" t="inlineStr">
        <is>
          <t>PO-2022-2387</t>
        </is>
      </c>
      <c r="B2389" s="26" t="n">
        <v>44268</v>
      </c>
      <c r="C2389" s="12" t="inlineStr">
        <is>
          <t>VS08</t>
        </is>
      </c>
      <c r="D2389" s="12" t="inlineStr">
        <is>
          <t>SS Sheets</t>
        </is>
      </c>
      <c r="E2389" s="12" t="inlineStr">
        <is>
          <t>Y</t>
        </is>
      </c>
      <c r="F2389" s="12" t="n">
        <v>7.95</v>
      </c>
      <c r="G2389" s="17" t="n">
        <v>79269.57000000001</v>
      </c>
      <c r="H2389" s="26" t="n">
        <v>44283</v>
      </c>
      <c r="I2389" s="26" t="n">
        <v>44285</v>
      </c>
      <c r="J2389" s="12" t="n">
        <v>7.88</v>
      </c>
      <c r="K2389" s="17" t="n">
        <v>630193.08</v>
      </c>
      <c r="L2389" s="12" t="n">
        <v>0</v>
      </c>
      <c r="M2389" s="12" t="n">
        <v>24</v>
      </c>
      <c r="N2389" s="27">
        <f>F2389-J2389</f>
        <v/>
      </c>
      <c r="O2389" s="16">
        <f>I2389-H2389</f>
        <v/>
      </c>
      <c r="P2389" s="14">
        <f>F2389*G2389</f>
        <v/>
      </c>
      <c r="Q2389" s="14">
        <f>J2389*G2389</f>
        <v/>
      </c>
      <c r="R2389" s="14">
        <f>K2389-Q2389</f>
        <v/>
      </c>
      <c r="S2389" s="3">
        <f>P2389*Assumptions!$B$3/100</f>
        <v/>
      </c>
      <c r="T2389" s="14">
        <f>R2389-S2389</f>
        <v/>
      </c>
      <c r="U2389" s="14">
        <f>L2389*G2389</f>
        <v/>
      </c>
    </row>
    <row r="2390">
      <c r="A2390" s="12" t="inlineStr">
        <is>
          <t>PO-2022-2388</t>
        </is>
      </c>
      <c r="B2390" s="26" t="n">
        <v>44616</v>
      </c>
      <c r="C2390" s="12" t="inlineStr">
        <is>
          <t>VS08</t>
        </is>
      </c>
      <c r="D2390" s="12" t="inlineStr">
        <is>
          <t>MS Pipes</t>
        </is>
      </c>
      <c r="E2390" s="12" t="inlineStr">
        <is>
          <t>N</t>
        </is>
      </c>
      <c r="F2390" s="12" t="n">
        <v>44.13</v>
      </c>
      <c r="G2390" s="17" t="n">
        <v>114903.24</v>
      </c>
      <c r="H2390" s="26" t="n">
        <v>44621</v>
      </c>
      <c r="I2390" s="26" t="n">
        <v>44623</v>
      </c>
      <c r="J2390" s="12" t="n">
        <v>43.94</v>
      </c>
      <c r="K2390" s="17" t="n">
        <v>5070679.98</v>
      </c>
      <c r="L2390" s="12" t="n">
        <v>0</v>
      </c>
      <c r="M2390" s="12" t="n">
        <v>17</v>
      </c>
      <c r="N2390" s="27">
        <f>F2390-J2390</f>
        <v/>
      </c>
      <c r="O2390" s="16">
        <f>I2390-H2390</f>
        <v/>
      </c>
      <c r="P2390" s="14">
        <f>F2390*G2390</f>
        <v/>
      </c>
      <c r="Q2390" s="14">
        <f>J2390*G2390</f>
        <v/>
      </c>
      <c r="R2390" s="14">
        <f>K2390-Q2390</f>
        <v/>
      </c>
      <c r="S2390" s="3">
        <f>P2390*Assumptions!$B$3/100</f>
        <v/>
      </c>
      <c r="T2390" s="14">
        <f>R2390-S2390</f>
        <v/>
      </c>
      <c r="U2390" s="14">
        <f>L2390*G2390</f>
        <v/>
      </c>
    </row>
    <row r="2391">
      <c r="A2391" s="12" t="inlineStr">
        <is>
          <t>PO-2022-2389</t>
        </is>
      </c>
      <c r="B2391" s="26" t="n">
        <v>44226</v>
      </c>
      <c r="C2391" s="12" t="inlineStr">
        <is>
          <t>VS08</t>
        </is>
      </c>
      <c r="D2391" s="12" t="inlineStr">
        <is>
          <t>SS Pipes</t>
        </is>
      </c>
      <c r="E2391" s="12" t="inlineStr">
        <is>
          <t>N</t>
        </is>
      </c>
      <c r="F2391" s="12" t="n">
        <v>36.52</v>
      </c>
      <c r="G2391" s="17" t="n">
        <v>79143.34</v>
      </c>
      <c r="H2391" s="26" t="n">
        <v>44238</v>
      </c>
      <c r="I2391" s="26" t="n">
        <v>44239</v>
      </c>
      <c r="J2391" s="12" t="n">
        <v>36.24</v>
      </c>
      <c r="K2391" s="17" t="n">
        <v>2890314.78</v>
      </c>
      <c r="L2391" s="12" t="n">
        <v>0</v>
      </c>
      <c r="M2391" s="12" t="n">
        <v>0</v>
      </c>
      <c r="N2391" s="27">
        <f>F2391-J2391</f>
        <v/>
      </c>
      <c r="O2391" s="16">
        <f>I2391-H2391</f>
        <v/>
      </c>
      <c r="P2391" s="14">
        <f>F2391*G2391</f>
        <v/>
      </c>
      <c r="Q2391" s="14">
        <f>J2391*G2391</f>
        <v/>
      </c>
      <c r="R2391" s="14">
        <f>K2391-Q2391</f>
        <v/>
      </c>
      <c r="S2391" s="3">
        <f>P2391*Assumptions!$B$3/100</f>
        <v/>
      </c>
      <c r="T2391" s="14">
        <f>R2391-S2391</f>
        <v/>
      </c>
      <c r="U2391" s="14">
        <f>L2391*G2391</f>
        <v/>
      </c>
    </row>
    <row r="2392">
      <c r="A2392" s="12" t="inlineStr">
        <is>
          <t>PO-2022-2390</t>
        </is>
      </c>
      <c r="B2392" s="26" t="n">
        <v>44756</v>
      </c>
      <c r="C2392" s="12" t="inlineStr">
        <is>
          <t>VS18</t>
        </is>
      </c>
      <c r="D2392" s="12" t="inlineStr">
        <is>
          <t>MS Pipes</t>
        </is>
      </c>
      <c r="E2392" s="12" t="inlineStr">
        <is>
          <t>N</t>
        </is>
      </c>
      <c r="F2392" s="12" t="n">
        <v>35.44</v>
      </c>
      <c r="G2392" s="17" t="n">
        <v>80979.37</v>
      </c>
      <c r="H2392" s="26" t="n">
        <v>44770</v>
      </c>
      <c r="I2392" s="26" t="n">
        <v>44772</v>
      </c>
      <c r="J2392" s="12" t="n">
        <v>35.37</v>
      </c>
      <c r="K2392" s="17" t="n">
        <v>2869908.87</v>
      </c>
      <c r="L2392" s="12" t="n">
        <v>0</v>
      </c>
      <c r="M2392" s="12" t="n">
        <v>13</v>
      </c>
      <c r="N2392" s="27">
        <f>F2392-J2392</f>
        <v/>
      </c>
      <c r="O2392" s="16">
        <f>I2392-H2392</f>
        <v/>
      </c>
      <c r="P2392" s="14">
        <f>F2392*G2392</f>
        <v/>
      </c>
      <c r="Q2392" s="14">
        <f>J2392*G2392</f>
        <v/>
      </c>
      <c r="R2392" s="14">
        <f>K2392-Q2392</f>
        <v/>
      </c>
      <c r="S2392" s="3">
        <f>P2392*Assumptions!$B$3/100</f>
        <v/>
      </c>
      <c r="T2392" s="14">
        <f>R2392-S2392</f>
        <v/>
      </c>
      <c r="U2392" s="14">
        <f>L2392*G2392</f>
        <v/>
      </c>
    </row>
    <row r="2393">
      <c r="A2393" s="12" t="inlineStr">
        <is>
          <t>PO-2022-2391</t>
        </is>
      </c>
      <c r="B2393" s="26" t="n">
        <v>44510</v>
      </c>
      <c r="C2393" s="12" t="inlineStr">
        <is>
          <t>VS14</t>
        </is>
      </c>
      <c r="D2393" s="12" t="inlineStr">
        <is>
          <t>SS Pipes</t>
        </is>
      </c>
      <c r="E2393" s="12" t="inlineStr">
        <is>
          <t>N</t>
        </is>
      </c>
      <c r="F2393" s="12" t="n">
        <v>20.48</v>
      </c>
      <c r="G2393" s="17" t="n">
        <v>73306.88</v>
      </c>
      <c r="H2393" s="26" t="n">
        <v>44513</v>
      </c>
      <c r="I2393" s="26" t="n">
        <v>44516</v>
      </c>
      <c r="J2393" s="12" t="n">
        <v>20.47</v>
      </c>
      <c r="K2393" s="17" t="n">
        <v>1501324.9</v>
      </c>
      <c r="L2393" s="12" t="n">
        <v>0</v>
      </c>
      <c r="M2393" s="12" t="n">
        <v>17</v>
      </c>
      <c r="N2393" s="27">
        <f>F2393-J2393</f>
        <v/>
      </c>
      <c r="O2393" s="16">
        <f>I2393-H2393</f>
        <v/>
      </c>
      <c r="P2393" s="14">
        <f>F2393*G2393</f>
        <v/>
      </c>
      <c r="Q2393" s="14">
        <f>J2393*G2393</f>
        <v/>
      </c>
      <c r="R2393" s="14">
        <f>K2393-Q2393</f>
        <v/>
      </c>
      <c r="S2393" s="3">
        <f>P2393*Assumptions!$B$3/100</f>
        <v/>
      </c>
      <c r="T2393" s="14">
        <f>R2393-S2393</f>
        <v/>
      </c>
      <c r="U2393" s="14">
        <f>L2393*G2393</f>
        <v/>
      </c>
    </row>
    <row r="2394">
      <c r="A2394" s="12" t="inlineStr">
        <is>
          <t>PO-2022-2392</t>
        </is>
      </c>
      <c r="B2394" s="26" t="n">
        <v>45215</v>
      </c>
      <c r="C2394" s="12" t="inlineStr">
        <is>
          <t>VS28</t>
        </is>
      </c>
      <c r="D2394" s="12" t="inlineStr">
        <is>
          <t>Fasteners &amp; Fittings</t>
        </is>
      </c>
      <c r="E2394" s="12" t="inlineStr">
        <is>
          <t>N</t>
        </is>
      </c>
      <c r="F2394" s="12" t="n">
        <v>21.21</v>
      </c>
      <c r="G2394" s="17" t="n">
        <v>117968.03</v>
      </c>
      <c r="H2394" s="26" t="n">
        <v>45227</v>
      </c>
      <c r="I2394" s="26" t="n">
        <v>45230</v>
      </c>
      <c r="J2394" s="12" t="n">
        <v>21.07</v>
      </c>
      <c r="K2394" s="17" t="n">
        <v>2502101.92</v>
      </c>
      <c r="L2394" s="12" t="n">
        <v>0</v>
      </c>
      <c r="M2394" s="12" t="n">
        <v>4</v>
      </c>
      <c r="N2394" s="27">
        <f>F2394-J2394</f>
        <v/>
      </c>
      <c r="O2394" s="16">
        <f>I2394-H2394</f>
        <v/>
      </c>
      <c r="P2394" s="14">
        <f>F2394*G2394</f>
        <v/>
      </c>
      <c r="Q2394" s="14">
        <f>J2394*G2394</f>
        <v/>
      </c>
      <c r="R2394" s="14">
        <f>K2394-Q2394</f>
        <v/>
      </c>
      <c r="S2394" s="3">
        <f>P2394*Assumptions!$B$3/100</f>
        <v/>
      </c>
      <c r="T2394" s="14">
        <f>R2394-S2394</f>
        <v/>
      </c>
      <c r="U2394" s="14">
        <f>L2394*G2394</f>
        <v/>
      </c>
    </row>
    <row r="2395">
      <c r="A2395" s="12" t="inlineStr">
        <is>
          <t>PO-2022-2393</t>
        </is>
      </c>
      <c r="B2395" s="26" t="n">
        <v>44287</v>
      </c>
      <c r="C2395" s="12" t="inlineStr">
        <is>
          <t>VS05</t>
        </is>
      </c>
      <c r="D2395" s="12" t="inlineStr">
        <is>
          <t>CR Sheets</t>
        </is>
      </c>
      <c r="E2395" s="12" t="inlineStr">
        <is>
          <t>Y</t>
        </is>
      </c>
      <c r="F2395" s="12" t="n">
        <v>35.79</v>
      </c>
      <c r="G2395" s="17" t="n">
        <v>98915.31</v>
      </c>
      <c r="H2395" s="26" t="n">
        <v>44293</v>
      </c>
      <c r="I2395" s="26" t="n">
        <v>44293</v>
      </c>
      <c r="J2395" s="12" t="n">
        <v>35.5</v>
      </c>
      <c r="K2395" s="17" t="n">
        <v>3540178.94</v>
      </c>
      <c r="L2395" s="12" t="n">
        <v>0</v>
      </c>
      <c r="M2395" s="12" t="n">
        <v>16</v>
      </c>
      <c r="N2395" s="27">
        <f>F2395-J2395</f>
        <v/>
      </c>
      <c r="O2395" s="16">
        <f>I2395-H2395</f>
        <v/>
      </c>
      <c r="P2395" s="14">
        <f>F2395*G2395</f>
        <v/>
      </c>
      <c r="Q2395" s="14">
        <f>J2395*G2395</f>
        <v/>
      </c>
      <c r="R2395" s="14">
        <f>K2395-Q2395</f>
        <v/>
      </c>
      <c r="S2395" s="3">
        <f>P2395*Assumptions!$B$3/100</f>
        <v/>
      </c>
      <c r="T2395" s="14">
        <f>R2395-S2395</f>
        <v/>
      </c>
      <c r="U2395" s="14">
        <f>L2395*G2395</f>
        <v/>
      </c>
    </row>
    <row r="2396">
      <c r="A2396" s="12" t="inlineStr">
        <is>
          <t>PO-2022-2394</t>
        </is>
      </c>
      <c r="B2396" s="26" t="n">
        <v>44744</v>
      </c>
      <c r="C2396" s="12" t="inlineStr">
        <is>
          <t>VS02</t>
        </is>
      </c>
      <c r="D2396" s="12" t="inlineStr">
        <is>
          <t>CR Sheets</t>
        </is>
      </c>
      <c r="E2396" s="12" t="inlineStr">
        <is>
          <t>N</t>
        </is>
      </c>
      <c r="F2396" s="12" t="n">
        <v>48.2</v>
      </c>
      <c r="G2396" s="17" t="n">
        <v>59105.24</v>
      </c>
      <c r="H2396" s="26" t="n">
        <v>44758</v>
      </c>
      <c r="I2396" s="26" t="n">
        <v>44758</v>
      </c>
      <c r="J2396" s="12" t="n">
        <v>48.11</v>
      </c>
      <c r="K2396" s="17" t="n">
        <v>2848872.57</v>
      </c>
      <c r="L2396" s="12" t="n">
        <v>0</v>
      </c>
      <c r="M2396" s="12" t="n">
        <v>0</v>
      </c>
      <c r="N2396" s="27">
        <f>F2396-J2396</f>
        <v/>
      </c>
      <c r="O2396" s="16">
        <f>I2396-H2396</f>
        <v/>
      </c>
      <c r="P2396" s="14">
        <f>F2396*G2396</f>
        <v/>
      </c>
      <c r="Q2396" s="14">
        <f>J2396*G2396</f>
        <v/>
      </c>
      <c r="R2396" s="14">
        <f>K2396-Q2396</f>
        <v/>
      </c>
      <c r="S2396" s="3">
        <f>P2396*Assumptions!$B$3/100</f>
        <v/>
      </c>
      <c r="T2396" s="14">
        <f>R2396-S2396</f>
        <v/>
      </c>
      <c r="U2396" s="14">
        <f>L2396*G2396</f>
        <v/>
      </c>
    </row>
    <row r="2397">
      <c r="A2397" s="12" t="inlineStr">
        <is>
          <t>PO-2022-2395</t>
        </is>
      </c>
      <c r="B2397" s="26" t="n">
        <v>45114</v>
      </c>
      <c r="C2397" s="12" t="inlineStr">
        <is>
          <t>VS01</t>
        </is>
      </c>
      <c r="D2397" s="12" t="inlineStr">
        <is>
          <t>GI Pipes</t>
        </is>
      </c>
      <c r="E2397" s="12" t="inlineStr">
        <is>
          <t>N</t>
        </is>
      </c>
      <c r="F2397" s="12" t="n">
        <v>43.8</v>
      </c>
      <c r="G2397" s="17" t="n">
        <v>107654.44</v>
      </c>
      <c r="H2397" s="26" t="n">
        <v>45123</v>
      </c>
      <c r="I2397" s="26" t="n">
        <v>45123</v>
      </c>
      <c r="J2397" s="12" t="n">
        <v>43.71</v>
      </c>
      <c r="K2397" s="17" t="n">
        <v>4715264.47</v>
      </c>
      <c r="L2397" s="12" t="n">
        <v>0</v>
      </c>
      <c r="M2397" s="12" t="n">
        <v>3</v>
      </c>
      <c r="N2397" s="27">
        <f>F2397-J2397</f>
        <v/>
      </c>
      <c r="O2397" s="16">
        <f>I2397-H2397</f>
        <v/>
      </c>
      <c r="P2397" s="14">
        <f>F2397*G2397</f>
        <v/>
      </c>
      <c r="Q2397" s="14">
        <f>J2397*G2397</f>
        <v/>
      </c>
      <c r="R2397" s="14">
        <f>K2397-Q2397</f>
        <v/>
      </c>
      <c r="S2397" s="3">
        <f>P2397*Assumptions!$B$3/100</f>
        <v/>
      </c>
      <c r="T2397" s="14">
        <f>R2397-S2397</f>
        <v/>
      </c>
      <c r="U2397" s="14">
        <f>L2397*G2397</f>
        <v/>
      </c>
    </row>
    <row r="2398">
      <c r="A2398" s="12" t="inlineStr">
        <is>
          <t>PO-2022-2396</t>
        </is>
      </c>
      <c r="B2398" s="26" t="n">
        <v>45197</v>
      </c>
      <c r="C2398" s="12" t="inlineStr">
        <is>
          <t>VS15</t>
        </is>
      </c>
      <c r="D2398" s="12" t="inlineStr">
        <is>
          <t>GI Pipes</t>
        </is>
      </c>
      <c r="E2398" s="12" t="inlineStr">
        <is>
          <t>N</t>
        </is>
      </c>
      <c r="F2398" s="12" t="n">
        <v>15.04</v>
      </c>
      <c r="G2398" s="17" t="n">
        <v>51631.2</v>
      </c>
      <c r="H2398" s="26" t="n">
        <v>45205</v>
      </c>
      <c r="I2398" s="26" t="n">
        <v>45207</v>
      </c>
      <c r="J2398" s="12" t="n">
        <v>15.03</v>
      </c>
      <c r="K2398" s="17" t="n">
        <v>776533.25</v>
      </c>
      <c r="L2398" s="12" t="n">
        <v>0</v>
      </c>
      <c r="M2398" s="12" t="n">
        <v>0</v>
      </c>
      <c r="N2398" s="27">
        <f>F2398-J2398</f>
        <v/>
      </c>
      <c r="O2398" s="16">
        <f>I2398-H2398</f>
        <v/>
      </c>
      <c r="P2398" s="14">
        <f>F2398*G2398</f>
        <v/>
      </c>
      <c r="Q2398" s="14">
        <f>J2398*G2398</f>
        <v/>
      </c>
      <c r="R2398" s="14">
        <f>K2398-Q2398</f>
        <v/>
      </c>
      <c r="S2398" s="3">
        <f>P2398*Assumptions!$B$3/100</f>
        <v/>
      </c>
      <c r="T2398" s="14">
        <f>R2398-S2398</f>
        <v/>
      </c>
      <c r="U2398" s="14">
        <f>L2398*G2398</f>
        <v/>
      </c>
    </row>
    <row r="2399">
      <c r="A2399" s="12" t="inlineStr">
        <is>
          <t>PO-2022-2397</t>
        </is>
      </c>
      <c r="B2399" s="26" t="n">
        <v>45131</v>
      </c>
      <c r="C2399" s="12" t="inlineStr">
        <is>
          <t>VS31</t>
        </is>
      </c>
      <c r="D2399" s="12" t="inlineStr">
        <is>
          <t>Spring Steel</t>
        </is>
      </c>
      <c r="E2399" s="12" t="inlineStr">
        <is>
          <t>N</t>
        </is>
      </c>
      <c r="F2399" s="12" t="n">
        <v>9.029999999999999</v>
      </c>
      <c r="G2399" s="17" t="n">
        <v>94395.10000000001</v>
      </c>
      <c r="H2399" s="26" t="n">
        <v>45139</v>
      </c>
      <c r="I2399" s="26" t="n">
        <v>45141</v>
      </c>
      <c r="J2399" s="12" t="n">
        <v>8.94</v>
      </c>
      <c r="K2399" s="17" t="n">
        <v>852387.75</v>
      </c>
      <c r="L2399" s="12" t="n">
        <v>0</v>
      </c>
      <c r="M2399" s="12" t="n">
        <v>0</v>
      </c>
      <c r="N2399" s="27">
        <f>F2399-J2399</f>
        <v/>
      </c>
      <c r="O2399" s="16">
        <f>I2399-H2399</f>
        <v/>
      </c>
      <c r="P2399" s="14">
        <f>F2399*G2399</f>
        <v/>
      </c>
      <c r="Q2399" s="14">
        <f>J2399*G2399</f>
        <v/>
      </c>
      <c r="R2399" s="14">
        <f>K2399-Q2399</f>
        <v/>
      </c>
      <c r="S2399" s="3">
        <f>P2399*Assumptions!$B$3/100</f>
        <v/>
      </c>
      <c r="T2399" s="14">
        <f>R2399-S2399</f>
        <v/>
      </c>
      <c r="U2399" s="14">
        <f>L2399*G2399</f>
        <v/>
      </c>
    </row>
    <row r="2400">
      <c r="A2400" s="12" t="inlineStr">
        <is>
          <t>PO-2022-2398</t>
        </is>
      </c>
      <c r="B2400" s="26" t="n">
        <v>44495</v>
      </c>
      <c r="C2400" s="12" t="inlineStr">
        <is>
          <t>VS21</t>
        </is>
      </c>
      <c r="D2400" s="12" t="inlineStr">
        <is>
          <t>Angles &amp; Channels</t>
        </is>
      </c>
      <c r="E2400" s="12" t="inlineStr">
        <is>
          <t>N</t>
        </is>
      </c>
      <c r="F2400" s="12" t="n">
        <v>20.94</v>
      </c>
      <c r="G2400" s="17" t="n">
        <v>88515.88</v>
      </c>
      <c r="H2400" s="26" t="n">
        <v>44503</v>
      </c>
      <c r="I2400" s="26" t="n">
        <v>44505</v>
      </c>
      <c r="J2400" s="12" t="n">
        <v>20.76</v>
      </c>
      <c r="K2400" s="17" t="n">
        <v>1853522.53</v>
      </c>
      <c r="L2400" s="12" t="n">
        <v>0</v>
      </c>
      <c r="M2400" s="12" t="n">
        <v>0</v>
      </c>
      <c r="N2400" s="27">
        <f>F2400-J2400</f>
        <v/>
      </c>
      <c r="O2400" s="16">
        <f>I2400-H2400</f>
        <v/>
      </c>
      <c r="P2400" s="14">
        <f>F2400*G2400</f>
        <v/>
      </c>
      <c r="Q2400" s="14">
        <f>J2400*G2400</f>
        <v/>
      </c>
      <c r="R2400" s="14">
        <f>K2400-Q2400</f>
        <v/>
      </c>
      <c r="S2400" s="3">
        <f>P2400*Assumptions!$B$3/100</f>
        <v/>
      </c>
      <c r="T2400" s="14">
        <f>R2400-S2400</f>
        <v/>
      </c>
      <c r="U2400" s="14">
        <f>L2400*G2400</f>
        <v/>
      </c>
    </row>
    <row r="2401">
      <c r="A2401" s="12" t="inlineStr">
        <is>
          <t>PO-2022-2399</t>
        </is>
      </c>
      <c r="B2401" s="26" t="n">
        <v>45154</v>
      </c>
      <c r="C2401" s="12" t="inlineStr">
        <is>
          <t>VS23</t>
        </is>
      </c>
      <c r="D2401" s="12" t="inlineStr">
        <is>
          <t>SS Sheets</t>
        </is>
      </c>
      <c r="E2401" s="12" t="inlineStr">
        <is>
          <t>N</t>
        </is>
      </c>
      <c r="F2401" s="12" t="n">
        <v>8.23</v>
      </c>
      <c r="G2401" s="17" t="n">
        <v>95449.35000000001</v>
      </c>
      <c r="H2401" s="26" t="n">
        <v>45164</v>
      </c>
      <c r="I2401" s="26" t="n">
        <v>45164</v>
      </c>
      <c r="J2401" s="12" t="n">
        <v>8.15</v>
      </c>
      <c r="K2401" s="17" t="n">
        <v>785548.15</v>
      </c>
      <c r="L2401" s="12" t="n">
        <v>0</v>
      </c>
      <c r="M2401" s="12" t="n">
        <v>14</v>
      </c>
      <c r="N2401" s="27">
        <f>F2401-J2401</f>
        <v/>
      </c>
      <c r="O2401" s="16">
        <f>I2401-H2401</f>
        <v/>
      </c>
      <c r="P2401" s="14">
        <f>F2401*G2401</f>
        <v/>
      </c>
      <c r="Q2401" s="14">
        <f>J2401*G2401</f>
        <v/>
      </c>
      <c r="R2401" s="14">
        <f>K2401-Q2401</f>
        <v/>
      </c>
      <c r="S2401" s="3">
        <f>P2401*Assumptions!$B$3/100</f>
        <v/>
      </c>
      <c r="T2401" s="14">
        <f>R2401-S2401</f>
        <v/>
      </c>
      <c r="U2401" s="14">
        <f>L2401*G2401</f>
        <v/>
      </c>
    </row>
    <row r="2402">
      <c r="A2402" s="12" t="inlineStr">
        <is>
          <t>PO-2022-2400</t>
        </is>
      </c>
      <c r="B2402" s="26" t="n">
        <v>45032</v>
      </c>
      <c r="C2402" s="12" t="inlineStr">
        <is>
          <t>VS24</t>
        </is>
      </c>
      <c r="D2402" s="12" t="inlineStr">
        <is>
          <t>GI Wire</t>
        </is>
      </c>
      <c r="E2402" s="12" t="inlineStr">
        <is>
          <t>N</t>
        </is>
      </c>
      <c r="F2402" s="12" t="n">
        <v>5.24</v>
      </c>
      <c r="G2402" s="17" t="n">
        <v>63990.02</v>
      </c>
      <c r="H2402" s="26" t="n">
        <v>45037</v>
      </c>
      <c r="I2402" s="26" t="n">
        <v>45040</v>
      </c>
      <c r="J2402" s="12" t="n">
        <v>5.21</v>
      </c>
      <c r="K2402" s="17" t="n">
        <v>335307.7</v>
      </c>
      <c r="L2402" s="12" t="n">
        <v>0</v>
      </c>
      <c r="M2402" s="12" t="n">
        <v>0</v>
      </c>
      <c r="N2402" s="27">
        <f>F2402-J2402</f>
        <v/>
      </c>
      <c r="O2402" s="16">
        <f>I2402-H2402</f>
        <v/>
      </c>
      <c r="P2402" s="14">
        <f>F2402*G2402</f>
        <v/>
      </c>
      <c r="Q2402" s="14">
        <f>J2402*G2402</f>
        <v/>
      </c>
      <c r="R2402" s="14">
        <f>K2402-Q2402</f>
        <v/>
      </c>
      <c r="S2402" s="3">
        <f>P2402*Assumptions!$B$3/100</f>
        <v/>
      </c>
      <c r="T2402" s="14">
        <f>R2402-S2402</f>
        <v/>
      </c>
      <c r="U2402" s="14">
        <f>L2402*G2402</f>
        <v/>
      </c>
    </row>
    <row r="2403">
      <c r="A2403" s="12" t="inlineStr">
        <is>
          <t>PO-2022-2401</t>
        </is>
      </c>
      <c r="B2403" s="26" t="n">
        <v>44878</v>
      </c>
      <c r="C2403" s="12" t="inlineStr">
        <is>
          <t>VS23</t>
        </is>
      </c>
      <c r="D2403" s="12" t="inlineStr">
        <is>
          <t>Fasteners &amp; Fittings</t>
        </is>
      </c>
      <c r="E2403" s="12" t="inlineStr">
        <is>
          <t>N</t>
        </is>
      </c>
      <c r="F2403" s="12" t="n">
        <v>23.09</v>
      </c>
      <c r="G2403" s="17" t="n">
        <v>85440.88</v>
      </c>
      <c r="H2403" s="26" t="n">
        <v>44891</v>
      </c>
      <c r="I2403" s="26" t="n">
        <v>44894</v>
      </c>
      <c r="J2403" s="12" t="n">
        <v>22.93</v>
      </c>
      <c r="K2403" s="17" t="n">
        <v>1972829.92</v>
      </c>
      <c r="L2403" s="12" t="n">
        <v>0</v>
      </c>
      <c r="M2403" s="12" t="n">
        <v>14</v>
      </c>
      <c r="N2403" s="27">
        <f>F2403-J2403</f>
        <v/>
      </c>
      <c r="O2403" s="16">
        <f>I2403-H2403</f>
        <v/>
      </c>
      <c r="P2403" s="14">
        <f>F2403*G2403</f>
        <v/>
      </c>
      <c r="Q2403" s="14">
        <f>J2403*G2403</f>
        <v/>
      </c>
      <c r="R2403" s="14">
        <f>K2403-Q2403</f>
        <v/>
      </c>
      <c r="S2403" s="3">
        <f>P2403*Assumptions!$B$3/100</f>
        <v/>
      </c>
      <c r="T2403" s="14">
        <f>R2403-S2403</f>
        <v/>
      </c>
      <c r="U2403" s="14">
        <f>L2403*G2403</f>
        <v/>
      </c>
    </row>
    <row r="2404">
      <c r="A2404" s="12" t="inlineStr">
        <is>
          <t>PO-2022-2402</t>
        </is>
      </c>
      <c r="B2404" s="26" t="n">
        <v>44533</v>
      </c>
      <c r="C2404" s="12" t="inlineStr">
        <is>
          <t>VS03</t>
        </is>
      </c>
      <c r="D2404" s="12" t="inlineStr">
        <is>
          <t>MS Flats</t>
        </is>
      </c>
      <c r="E2404" s="12" t="inlineStr">
        <is>
          <t>N</t>
        </is>
      </c>
      <c r="F2404" s="12" t="n">
        <v>25.81</v>
      </c>
      <c r="G2404" s="17" t="n">
        <v>113857.5</v>
      </c>
      <c r="H2404" s="26" t="n">
        <v>44546</v>
      </c>
      <c r="I2404" s="26" t="n">
        <v>44548</v>
      </c>
      <c r="J2404" s="12" t="n">
        <v>24.97</v>
      </c>
      <c r="K2404" s="17" t="n">
        <v>2938662.07</v>
      </c>
      <c r="L2404" s="12" t="n">
        <v>0.72</v>
      </c>
      <c r="M2404" s="12" t="n">
        <v>0</v>
      </c>
      <c r="N2404" s="27">
        <f>F2404-J2404</f>
        <v/>
      </c>
      <c r="O2404" s="16">
        <f>I2404-H2404</f>
        <v/>
      </c>
      <c r="P2404" s="14">
        <f>F2404*G2404</f>
        <v/>
      </c>
      <c r="Q2404" s="14">
        <f>J2404*G2404</f>
        <v/>
      </c>
      <c r="R2404" s="14">
        <f>K2404-Q2404</f>
        <v/>
      </c>
      <c r="S2404" s="3">
        <f>P2404*Assumptions!$B$3/100</f>
        <v/>
      </c>
      <c r="T2404" s="14">
        <f>R2404-S2404</f>
        <v/>
      </c>
      <c r="U2404" s="14">
        <f>L2404*G2404</f>
        <v/>
      </c>
    </row>
    <row r="2405">
      <c r="A2405" s="12" t="inlineStr">
        <is>
          <t>PO-2022-2403</t>
        </is>
      </c>
      <c r="B2405" s="26" t="n">
        <v>44494</v>
      </c>
      <c r="C2405" s="12" t="inlineStr">
        <is>
          <t>VS22</t>
        </is>
      </c>
      <c r="D2405" s="12" t="inlineStr">
        <is>
          <t>Spring Steel</t>
        </is>
      </c>
      <c r="E2405" s="12" t="inlineStr">
        <is>
          <t>N</t>
        </is>
      </c>
      <c r="F2405" s="12" t="n">
        <v>32</v>
      </c>
      <c r="G2405" s="17" t="n">
        <v>100859.54</v>
      </c>
      <c r="H2405" s="26" t="n">
        <v>44509</v>
      </c>
      <c r="I2405" s="26" t="n">
        <v>44511</v>
      </c>
      <c r="J2405" s="12" t="n">
        <v>31.79</v>
      </c>
      <c r="K2405" s="17" t="n">
        <v>3227505.28</v>
      </c>
      <c r="L2405" s="12" t="n">
        <v>0</v>
      </c>
      <c r="M2405" s="12" t="n">
        <v>15</v>
      </c>
      <c r="N2405" s="27">
        <f>F2405-J2405</f>
        <v/>
      </c>
      <c r="O2405" s="16">
        <f>I2405-H2405</f>
        <v/>
      </c>
      <c r="P2405" s="14">
        <f>F2405*G2405</f>
        <v/>
      </c>
      <c r="Q2405" s="14">
        <f>J2405*G2405</f>
        <v/>
      </c>
      <c r="R2405" s="14">
        <f>K2405-Q2405</f>
        <v/>
      </c>
      <c r="S2405" s="3">
        <f>P2405*Assumptions!$B$3/100</f>
        <v/>
      </c>
      <c r="T2405" s="14">
        <f>R2405-S2405</f>
        <v/>
      </c>
      <c r="U2405" s="14">
        <f>L2405*G2405</f>
        <v/>
      </c>
    </row>
    <row r="2406">
      <c r="A2406" s="12" t="inlineStr">
        <is>
          <t>PO-2022-2404</t>
        </is>
      </c>
      <c r="B2406" s="26" t="n">
        <v>44482</v>
      </c>
      <c r="C2406" s="12" t="inlineStr">
        <is>
          <t>VS14</t>
        </is>
      </c>
      <c r="D2406" s="12" t="inlineStr">
        <is>
          <t>MS Rods</t>
        </is>
      </c>
      <c r="E2406" s="12" t="inlineStr">
        <is>
          <t>N</t>
        </is>
      </c>
      <c r="F2406" s="12" t="n">
        <v>5.01</v>
      </c>
      <c r="G2406" s="17" t="n">
        <v>76423.21000000001</v>
      </c>
      <c r="H2406" s="26" t="n">
        <v>44486</v>
      </c>
      <c r="I2406" s="26" t="n">
        <v>44489</v>
      </c>
      <c r="J2406" s="12" t="n">
        <v>4.97</v>
      </c>
      <c r="K2406" s="17" t="n">
        <v>382880.28</v>
      </c>
      <c r="L2406" s="12" t="n">
        <v>0</v>
      </c>
      <c r="M2406" s="12" t="n">
        <v>0</v>
      </c>
      <c r="N2406" s="27">
        <f>F2406-J2406</f>
        <v/>
      </c>
      <c r="O2406" s="16">
        <f>I2406-H2406</f>
        <v/>
      </c>
      <c r="P2406" s="14">
        <f>F2406*G2406</f>
        <v/>
      </c>
      <c r="Q2406" s="14">
        <f>J2406*G2406</f>
        <v/>
      </c>
      <c r="R2406" s="14">
        <f>K2406-Q2406</f>
        <v/>
      </c>
      <c r="S2406" s="3">
        <f>P2406*Assumptions!$B$3/100</f>
        <v/>
      </c>
      <c r="T2406" s="14">
        <f>R2406-S2406</f>
        <v/>
      </c>
      <c r="U2406" s="14">
        <f>L2406*G2406</f>
        <v/>
      </c>
    </row>
    <row r="2407">
      <c r="A2407" s="12" t="inlineStr">
        <is>
          <t>PO-2022-2405</t>
        </is>
      </c>
      <c r="B2407" s="26" t="n">
        <v>45223</v>
      </c>
      <c r="C2407" s="12" t="inlineStr">
        <is>
          <t>VS03</t>
        </is>
      </c>
      <c r="D2407" s="12" t="inlineStr">
        <is>
          <t>Hex Bars</t>
        </is>
      </c>
      <c r="E2407" s="12" t="inlineStr">
        <is>
          <t>Y</t>
        </is>
      </c>
      <c r="F2407" s="12" t="n">
        <v>6.09</v>
      </c>
      <c r="G2407" s="17" t="n">
        <v>47115.16</v>
      </c>
      <c r="H2407" s="26" t="n">
        <v>45234</v>
      </c>
      <c r="I2407" s="26" t="n">
        <v>45239</v>
      </c>
      <c r="J2407" s="12" t="n">
        <v>5.9</v>
      </c>
      <c r="K2407" s="17" t="n">
        <v>286931.32</v>
      </c>
      <c r="L2407" s="12" t="n">
        <v>0.2</v>
      </c>
      <c r="M2407" s="12" t="n">
        <v>19</v>
      </c>
      <c r="N2407" s="27">
        <f>F2407-J2407</f>
        <v/>
      </c>
      <c r="O2407" s="16">
        <f>I2407-H2407</f>
        <v/>
      </c>
      <c r="P2407" s="14">
        <f>F2407*G2407</f>
        <v/>
      </c>
      <c r="Q2407" s="14">
        <f>J2407*G2407</f>
        <v/>
      </c>
      <c r="R2407" s="14">
        <f>K2407-Q2407</f>
        <v/>
      </c>
      <c r="S2407" s="3">
        <f>P2407*Assumptions!$B$3/100</f>
        <v/>
      </c>
      <c r="T2407" s="14">
        <f>R2407-S2407</f>
        <v/>
      </c>
      <c r="U2407" s="14">
        <f>L2407*G2407</f>
        <v/>
      </c>
    </row>
    <row r="2408">
      <c r="A2408" s="12" t="inlineStr">
        <is>
          <t>PO-2022-2406</t>
        </is>
      </c>
      <c r="B2408" s="26" t="n">
        <v>44534</v>
      </c>
      <c r="C2408" s="12" t="inlineStr">
        <is>
          <t>VS15</t>
        </is>
      </c>
      <c r="D2408" s="12" t="inlineStr">
        <is>
          <t>MS Flats</t>
        </is>
      </c>
      <c r="E2408" s="12" t="inlineStr">
        <is>
          <t>N</t>
        </is>
      </c>
      <c r="F2408" s="12" t="n">
        <v>24.97</v>
      </c>
      <c r="G2408" s="17" t="n">
        <v>69411.55</v>
      </c>
      <c r="H2408" s="26" t="n">
        <v>44549</v>
      </c>
      <c r="I2408" s="26" t="n">
        <v>44552</v>
      </c>
      <c r="J2408" s="12" t="n">
        <v>24.76</v>
      </c>
      <c r="K2408" s="17" t="n">
        <v>1733206.4</v>
      </c>
      <c r="L2408" s="12" t="n">
        <v>0</v>
      </c>
      <c r="M2408" s="12" t="n">
        <v>11</v>
      </c>
      <c r="N2408" s="27">
        <f>F2408-J2408</f>
        <v/>
      </c>
      <c r="O2408" s="16">
        <f>I2408-H2408</f>
        <v/>
      </c>
      <c r="P2408" s="14">
        <f>F2408*G2408</f>
        <v/>
      </c>
      <c r="Q2408" s="14">
        <f>J2408*G2408</f>
        <v/>
      </c>
      <c r="R2408" s="14">
        <f>K2408-Q2408</f>
        <v/>
      </c>
      <c r="S2408" s="3">
        <f>P2408*Assumptions!$B$3/100</f>
        <v/>
      </c>
      <c r="T2408" s="14">
        <f>R2408-S2408</f>
        <v/>
      </c>
      <c r="U2408" s="14">
        <f>L2408*G2408</f>
        <v/>
      </c>
    </row>
    <row r="2409">
      <c r="A2409" s="12" t="inlineStr">
        <is>
          <t>PO-2022-2407</t>
        </is>
      </c>
      <c r="B2409" s="26" t="n">
        <v>44961</v>
      </c>
      <c r="C2409" s="12" t="inlineStr">
        <is>
          <t>VS26</t>
        </is>
      </c>
      <c r="D2409" s="12" t="inlineStr">
        <is>
          <t>Hex Bars</t>
        </is>
      </c>
      <c r="E2409" s="12" t="inlineStr">
        <is>
          <t>N</t>
        </is>
      </c>
      <c r="F2409" s="12" t="n">
        <v>33.19</v>
      </c>
      <c r="G2409" s="17" t="n">
        <v>74459.98</v>
      </c>
      <c r="H2409" s="26" t="n">
        <v>44973</v>
      </c>
      <c r="I2409" s="26" t="n">
        <v>44975</v>
      </c>
      <c r="J2409" s="12" t="n">
        <v>32.89</v>
      </c>
      <c r="K2409" s="17" t="n">
        <v>2471326.74</v>
      </c>
      <c r="L2409" s="12" t="n">
        <v>0</v>
      </c>
      <c r="M2409" s="12" t="n">
        <v>14</v>
      </c>
      <c r="N2409" s="27">
        <f>F2409-J2409</f>
        <v/>
      </c>
      <c r="O2409" s="16">
        <f>I2409-H2409</f>
        <v/>
      </c>
      <c r="P2409" s="14">
        <f>F2409*G2409</f>
        <v/>
      </c>
      <c r="Q2409" s="14">
        <f>J2409*G2409</f>
        <v/>
      </c>
      <c r="R2409" s="14">
        <f>K2409-Q2409</f>
        <v/>
      </c>
      <c r="S2409" s="3">
        <f>P2409*Assumptions!$B$3/100</f>
        <v/>
      </c>
      <c r="T2409" s="14">
        <f>R2409-S2409</f>
        <v/>
      </c>
      <c r="U2409" s="14">
        <f>L2409*G2409</f>
        <v/>
      </c>
    </row>
    <row r="2410">
      <c r="A2410" s="12" t="inlineStr">
        <is>
          <t>PO-2022-2408</t>
        </is>
      </c>
      <c r="B2410" s="26" t="n">
        <v>44916</v>
      </c>
      <c r="C2410" s="12" t="inlineStr">
        <is>
          <t>VS27</t>
        </is>
      </c>
      <c r="D2410" s="12" t="inlineStr">
        <is>
          <t>ERW Pipes</t>
        </is>
      </c>
      <c r="E2410" s="12" t="inlineStr">
        <is>
          <t>N</t>
        </is>
      </c>
      <c r="F2410" s="12" t="n">
        <v>12.06</v>
      </c>
      <c r="G2410" s="17" t="n">
        <v>93292.67</v>
      </c>
      <c r="H2410" s="26" t="n">
        <v>44921</v>
      </c>
      <c r="I2410" s="26" t="n">
        <v>44923</v>
      </c>
      <c r="J2410" s="12" t="n">
        <v>12.03</v>
      </c>
      <c r="K2410" s="17" t="n">
        <v>1125109.6</v>
      </c>
      <c r="L2410" s="12" t="n">
        <v>0</v>
      </c>
      <c r="M2410" s="12" t="n">
        <v>0</v>
      </c>
      <c r="N2410" s="27">
        <f>F2410-J2410</f>
        <v/>
      </c>
      <c r="O2410" s="16">
        <f>I2410-H2410</f>
        <v/>
      </c>
      <c r="P2410" s="14">
        <f>F2410*G2410</f>
        <v/>
      </c>
      <c r="Q2410" s="14">
        <f>J2410*G2410</f>
        <v/>
      </c>
      <c r="R2410" s="14">
        <f>K2410-Q2410</f>
        <v/>
      </c>
      <c r="S2410" s="3">
        <f>P2410*Assumptions!$B$3/100</f>
        <v/>
      </c>
      <c r="T2410" s="14">
        <f>R2410-S2410</f>
        <v/>
      </c>
      <c r="U2410" s="14">
        <f>L2410*G2410</f>
        <v/>
      </c>
    </row>
    <row r="2411">
      <c r="A2411" s="12" t="inlineStr">
        <is>
          <t>PO-2022-2409</t>
        </is>
      </c>
      <c r="B2411" s="26" t="n">
        <v>44582</v>
      </c>
      <c r="C2411" s="12" t="inlineStr">
        <is>
          <t>VS01</t>
        </is>
      </c>
      <c r="D2411" s="12" t="inlineStr">
        <is>
          <t>Hex Bars</t>
        </is>
      </c>
      <c r="E2411" s="12" t="inlineStr">
        <is>
          <t>N</t>
        </is>
      </c>
      <c r="F2411" s="12" t="n">
        <v>40.2</v>
      </c>
      <c r="G2411" s="17" t="n">
        <v>82140.22</v>
      </c>
      <c r="H2411" s="26" t="n">
        <v>44586</v>
      </c>
      <c r="I2411" s="26" t="n">
        <v>44586</v>
      </c>
      <c r="J2411" s="12" t="n">
        <v>39.92</v>
      </c>
      <c r="K2411" s="17" t="n">
        <v>3302036.84</v>
      </c>
      <c r="L2411" s="12" t="n">
        <v>0</v>
      </c>
      <c r="M2411" s="12" t="n">
        <v>13</v>
      </c>
      <c r="N2411" s="27">
        <f>F2411-J2411</f>
        <v/>
      </c>
      <c r="O2411" s="16">
        <f>I2411-H2411</f>
        <v/>
      </c>
      <c r="P2411" s="14">
        <f>F2411*G2411</f>
        <v/>
      </c>
      <c r="Q2411" s="14">
        <f>J2411*G2411</f>
        <v/>
      </c>
      <c r="R2411" s="14">
        <f>K2411-Q2411</f>
        <v/>
      </c>
      <c r="S2411" s="3">
        <f>P2411*Assumptions!$B$3/100</f>
        <v/>
      </c>
      <c r="T2411" s="14">
        <f>R2411-S2411</f>
        <v/>
      </c>
      <c r="U2411" s="14">
        <f>L2411*G2411</f>
        <v/>
      </c>
    </row>
    <row r="2412">
      <c r="A2412" s="12" t="inlineStr">
        <is>
          <t>PO-2022-2410</t>
        </is>
      </c>
      <c r="B2412" s="26" t="n">
        <v>44824</v>
      </c>
      <c r="C2412" s="12" t="inlineStr">
        <is>
          <t>VS16</t>
        </is>
      </c>
      <c r="D2412" s="12" t="inlineStr">
        <is>
          <t>MS Rods</t>
        </is>
      </c>
      <c r="E2412" s="12" t="inlineStr">
        <is>
          <t>Y</t>
        </is>
      </c>
      <c r="F2412" s="12" t="n">
        <v>15.84</v>
      </c>
      <c r="G2412" s="17" t="n">
        <v>60693.3</v>
      </c>
      <c r="H2412" s="26" t="n">
        <v>44837</v>
      </c>
      <c r="I2412" s="26" t="n">
        <v>44839</v>
      </c>
      <c r="J2412" s="12" t="n">
        <v>15.8</v>
      </c>
      <c r="K2412" s="17" t="n">
        <v>961381.87</v>
      </c>
      <c r="L2412" s="12" t="n">
        <v>0</v>
      </c>
      <c r="M2412" s="12" t="n">
        <v>20</v>
      </c>
      <c r="N2412" s="27">
        <f>F2412-J2412</f>
        <v/>
      </c>
      <c r="O2412" s="16">
        <f>I2412-H2412</f>
        <v/>
      </c>
      <c r="P2412" s="14">
        <f>F2412*G2412</f>
        <v/>
      </c>
      <c r="Q2412" s="14">
        <f>J2412*G2412</f>
        <v/>
      </c>
      <c r="R2412" s="14">
        <f>K2412-Q2412</f>
        <v/>
      </c>
      <c r="S2412" s="3">
        <f>P2412*Assumptions!$B$3/100</f>
        <v/>
      </c>
      <c r="T2412" s="14">
        <f>R2412-S2412</f>
        <v/>
      </c>
      <c r="U2412" s="14">
        <f>L2412*G2412</f>
        <v/>
      </c>
    </row>
    <row r="2413">
      <c r="A2413" s="12" t="inlineStr">
        <is>
          <t>PO-2022-2411</t>
        </is>
      </c>
      <c r="B2413" s="26" t="n">
        <v>44394</v>
      </c>
      <c r="C2413" s="12" t="inlineStr">
        <is>
          <t>VS13</t>
        </is>
      </c>
      <c r="D2413" s="12" t="inlineStr">
        <is>
          <t>MS Pipes</t>
        </is>
      </c>
      <c r="E2413" s="12" t="inlineStr">
        <is>
          <t>N</t>
        </is>
      </c>
      <c r="F2413" s="12" t="n">
        <v>1.79</v>
      </c>
      <c r="G2413" s="17" t="n">
        <v>67183.81</v>
      </c>
      <c r="H2413" s="26" t="n">
        <v>44400</v>
      </c>
      <c r="I2413" s="26" t="n">
        <v>44400</v>
      </c>
      <c r="J2413" s="12" t="n">
        <v>1.78</v>
      </c>
      <c r="K2413" s="17" t="n">
        <v>120259.02</v>
      </c>
      <c r="L2413" s="12" t="n">
        <v>0</v>
      </c>
      <c r="M2413" s="12" t="n">
        <v>21</v>
      </c>
      <c r="N2413" s="27">
        <f>F2413-J2413</f>
        <v/>
      </c>
      <c r="O2413" s="16">
        <f>I2413-H2413</f>
        <v/>
      </c>
      <c r="P2413" s="14">
        <f>F2413*G2413</f>
        <v/>
      </c>
      <c r="Q2413" s="14">
        <f>J2413*G2413</f>
        <v/>
      </c>
      <c r="R2413" s="14">
        <f>K2413-Q2413</f>
        <v/>
      </c>
      <c r="S2413" s="3">
        <f>P2413*Assumptions!$B$3/100</f>
        <v/>
      </c>
      <c r="T2413" s="14">
        <f>R2413-S2413</f>
        <v/>
      </c>
      <c r="U2413" s="14">
        <f>L2413*G2413</f>
        <v/>
      </c>
    </row>
    <row r="2414">
      <c r="A2414" s="12" t="inlineStr">
        <is>
          <t>PO-2022-2412</t>
        </is>
      </c>
      <c r="B2414" s="26" t="n">
        <v>44577</v>
      </c>
      <c r="C2414" s="12" t="inlineStr">
        <is>
          <t>VS05</t>
        </is>
      </c>
      <c r="D2414" s="12" t="inlineStr">
        <is>
          <t>SS Pipes</t>
        </is>
      </c>
      <c r="E2414" s="12" t="inlineStr">
        <is>
          <t>N</t>
        </is>
      </c>
      <c r="F2414" s="12" t="n">
        <v>13.42</v>
      </c>
      <c r="G2414" s="17" t="n">
        <v>116325.95</v>
      </c>
      <c r="H2414" s="26" t="n">
        <v>44586</v>
      </c>
      <c r="I2414" s="26" t="n">
        <v>44588</v>
      </c>
      <c r="J2414" s="12" t="n">
        <v>13.41</v>
      </c>
      <c r="K2414" s="17" t="n">
        <v>1561094.25</v>
      </c>
      <c r="L2414" s="12" t="n">
        <v>0</v>
      </c>
      <c r="M2414" s="12" t="n">
        <v>0</v>
      </c>
      <c r="N2414" s="27">
        <f>F2414-J2414</f>
        <v/>
      </c>
      <c r="O2414" s="16">
        <f>I2414-H2414</f>
        <v/>
      </c>
      <c r="P2414" s="14">
        <f>F2414*G2414</f>
        <v/>
      </c>
      <c r="Q2414" s="14">
        <f>J2414*G2414</f>
        <v/>
      </c>
      <c r="R2414" s="14">
        <f>K2414-Q2414</f>
        <v/>
      </c>
      <c r="S2414" s="3">
        <f>P2414*Assumptions!$B$3/100</f>
        <v/>
      </c>
      <c r="T2414" s="14">
        <f>R2414-S2414</f>
        <v/>
      </c>
      <c r="U2414" s="14">
        <f>L2414*G2414</f>
        <v/>
      </c>
    </row>
    <row r="2415">
      <c r="A2415" s="12" t="inlineStr">
        <is>
          <t>PO-2022-2413</t>
        </is>
      </c>
      <c r="B2415" s="26" t="n">
        <v>44929</v>
      </c>
      <c r="C2415" s="12" t="inlineStr">
        <is>
          <t>VS26</t>
        </is>
      </c>
      <c r="D2415" s="12" t="inlineStr">
        <is>
          <t>MS Pipes</t>
        </is>
      </c>
      <c r="E2415" s="12" t="inlineStr">
        <is>
          <t>N</t>
        </is>
      </c>
      <c r="F2415" s="12" t="n">
        <v>35.19</v>
      </c>
      <c r="G2415" s="17" t="n">
        <v>67516.16</v>
      </c>
      <c r="H2415" s="26" t="n">
        <v>44938</v>
      </c>
      <c r="I2415" s="26" t="n">
        <v>44938</v>
      </c>
      <c r="J2415" s="12" t="n">
        <v>35.01</v>
      </c>
      <c r="K2415" s="17" t="n">
        <v>2375893.67</v>
      </c>
      <c r="L2415" s="12" t="n">
        <v>0</v>
      </c>
      <c r="M2415" s="12" t="n">
        <v>17</v>
      </c>
      <c r="N2415" s="27">
        <f>F2415-J2415</f>
        <v/>
      </c>
      <c r="O2415" s="16">
        <f>I2415-H2415</f>
        <v/>
      </c>
      <c r="P2415" s="14">
        <f>F2415*G2415</f>
        <v/>
      </c>
      <c r="Q2415" s="14">
        <f>J2415*G2415</f>
        <v/>
      </c>
      <c r="R2415" s="14">
        <f>K2415-Q2415</f>
        <v/>
      </c>
      <c r="S2415" s="3">
        <f>P2415*Assumptions!$B$3/100</f>
        <v/>
      </c>
      <c r="T2415" s="14">
        <f>R2415-S2415</f>
        <v/>
      </c>
      <c r="U2415" s="14">
        <f>L2415*G2415</f>
        <v/>
      </c>
    </row>
    <row r="2416">
      <c r="A2416" s="12" t="inlineStr">
        <is>
          <t>PO-2022-2414</t>
        </is>
      </c>
      <c r="B2416" s="26" t="n">
        <v>44964</v>
      </c>
      <c r="C2416" s="12" t="inlineStr">
        <is>
          <t>VS14</t>
        </is>
      </c>
      <c r="D2416" s="12" t="inlineStr">
        <is>
          <t>SS Sheets</t>
        </is>
      </c>
      <c r="E2416" s="12" t="inlineStr">
        <is>
          <t>N</t>
        </is>
      </c>
      <c r="F2416" s="12" t="n">
        <v>22</v>
      </c>
      <c r="G2416" s="17" t="n">
        <v>89226.81</v>
      </c>
      <c r="H2416" s="26" t="n">
        <v>44974</v>
      </c>
      <c r="I2416" s="26" t="n">
        <v>44976</v>
      </c>
      <c r="J2416" s="12" t="n">
        <v>21.93</v>
      </c>
      <c r="K2416" s="17" t="n">
        <v>1962989.82</v>
      </c>
      <c r="L2416" s="12" t="n">
        <v>0</v>
      </c>
      <c r="M2416" s="12" t="n">
        <v>2</v>
      </c>
      <c r="N2416" s="27">
        <f>F2416-J2416</f>
        <v/>
      </c>
      <c r="O2416" s="16">
        <f>I2416-H2416</f>
        <v/>
      </c>
      <c r="P2416" s="14">
        <f>F2416*G2416</f>
        <v/>
      </c>
      <c r="Q2416" s="14">
        <f>J2416*G2416</f>
        <v/>
      </c>
      <c r="R2416" s="14">
        <f>K2416-Q2416</f>
        <v/>
      </c>
      <c r="S2416" s="3">
        <f>P2416*Assumptions!$B$3/100</f>
        <v/>
      </c>
      <c r="T2416" s="14">
        <f>R2416-S2416</f>
        <v/>
      </c>
      <c r="U2416" s="14">
        <f>L2416*G2416</f>
        <v/>
      </c>
    </row>
    <row r="2417">
      <c r="A2417" s="12" t="inlineStr">
        <is>
          <t>PO-2022-2415</t>
        </is>
      </c>
      <c r="B2417" s="26" t="n">
        <v>44282</v>
      </c>
      <c r="C2417" s="12" t="inlineStr">
        <is>
          <t>VS32</t>
        </is>
      </c>
      <c r="D2417" s="12" t="inlineStr">
        <is>
          <t>GI Pipes</t>
        </is>
      </c>
      <c r="E2417" s="12" t="inlineStr">
        <is>
          <t>Y</t>
        </is>
      </c>
      <c r="F2417" s="12" t="n">
        <v>25.5</v>
      </c>
      <c r="G2417" s="17" t="n">
        <v>71362.27</v>
      </c>
      <c r="H2417" s="26" t="n">
        <v>44289</v>
      </c>
      <c r="I2417" s="26" t="n">
        <v>44290</v>
      </c>
      <c r="J2417" s="12" t="n">
        <v>25.46</v>
      </c>
      <c r="K2417" s="17" t="n">
        <v>1819737.89</v>
      </c>
      <c r="L2417" s="12" t="n">
        <v>0</v>
      </c>
      <c r="M2417" s="12" t="n">
        <v>0</v>
      </c>
      <c r="N2417" s="27">
        <f>F2417-J2417</f>
        <v/>
      </c>
      <c r="O2417" s="16">
        <f>I2417-H2417</f>
        <v/>
      </c>
      <c r="P2417" s="14">
        <f>F2417*G2417</f>
        <v/>
      </c>
      <c r="Q2417" s="14">
        <f>J2417*G2417</f>
        <v/>
      </c>
      <c r="R2417" s="14">
        <f>K2417-Q2417</f>
        <v/>
      </c>
      <c r="S2417" s="3">
        <f>P2417*Assumptions!$B$3/100</f>
        <v/>
      </c>
      <c r="T2417" s="14">
        <f>R2417-S2417</f>
        <v/>
      </c>
      <c r="U2417" s="14">
        <f>L2417*G2417</f>
        <v/>
      </c>
    </row>
    <row r="2418">
      <c r="A2418" s="12" t="inlineStr">
        <is>
          <t>PO-2022-2416</t>
        </is>
      </c>
      <c r="B2418" s="26" t="n">
        <v>45166</v>
      </c>
      <c r="C2418" s="12" t="inlineStr">
        <is>
          <t>VS25</t>
        </is>
      </c>
      <c r="D2418" s="12" t="inlineStr">
        <is>
          <t>Spring Steel</t>
        </is>
      </c>
      <c r="E2418" s="12" t="inlineStr">
        <is>
          <t>N</t>
        </is>
      </c>
      <c r="F2418" s="12" t="n">
        <v>38.72</v>
      </c>
      <c r="G2418" s="17" t="n">
        <v>76702.63</v>
      </c>
      <c r="H2418" s="26" t="n">
        <v>45178</v>
      </c>
      <c r="I2418" s="26" t="n">
        <v>45178</v>
      </c>
      <c r="J2418" s="12" t="n">
        <v>38.5</v>
      </c>
      <c r="K2418" s="17" t="n">
        <v>2969925.83</v>
      </c>
      <c r="L2418" s="12" t="n">
        <v>0</v>
      </c>
      <c r="M2418" s="12" t="n">
        <v>9</v>
      </c>
      <c r="N2418" s="27">
        <f>F2418-J2418</f>
        <v/>
      </c>
      <c r="O2418" s="16">
        <f>I2418-H2418</f>
        <v/>
      </c>
      <c r="P2418" s="14">
        <f>F2418*G2418</f>
        <v/>
      </c>
      <c r="Q2418" s="14">
        <f>J2418*G2418</f>
        <v/>
      </c>
      <c r="R2418" s="14">
        <f>K2418-Q2418</f>
        <v/>
      </c>
      <c r="S2418" s="3">
        <f>P2418*Assumptions!$B$3/100</f>
        <v/>
      </c>
      <c r="T2418" s="14">
        <f>R2418-S2418</f>
        <v/>
      </c>
      <c r="U2418" s="14">
        <f>L2418*G2418</f>
        <v/>
      </c>
    </row>
    <row r="2419">
      <c r="A2419" s="12" t="inlineStr">
        <is>
          <t>PO-2022-2417</t>
        </is>
      </c>
      <c r="B2419" s="26" t="n">
        <v>44915</v>
      </c>
      <c r="C2419" s="12" t="inlineStr">
        <is>
          <t>VS32</t>
        </is>
      </c>
      <c r="D2419" s="12" t="inlineStr">
        <is>
          <t>MS Pipes</t>
        </is>
      </c>
      <c r="E2419" s="12" t="inlineStr">
        <is>
          <t>N</t>
        </is>
      </c>
      <c r="F2419" s="12" t="n">
        <v>19.62</v>
      </c>
      <c r="G2419" s="17" t="n">
        <v>117207.62</v>
      </c>
      <c r="H2419" s="26" t="n">
        <v>44930</v>
      </c>
      <c r="I2419" s="26" t="n">
        <v>44933</v>
      </c>
      <c r="J2419" s="12" t="n">
        <v>19.51</v>
      </c>
      <c r="K2419" s="17" t="n">
        <v>2299613.5</v>
      </c>
      <c r="L2419" s="12" t="n">
        <v>0</v>
      </c>
      <c r="M2419" s="12" t="n">
        <v>5</v>
      </c>
      <c r="N2419" s="27">
        <f>F2419-J2419</f>
        <v/>
      </c>
      <c r="O2419" s="16">
        <f>I2419-H2419</f>
        <v/>
      </c>
      <c r="P2419" s="14">
        <f>F2419*G2419</f>
        <v/>
      </c>
      <c r="Q2419" s="14">
        <f>J2419*G2419</f>
        <v/>
      </c>
      <c r="R2419" s="14">
        <f>K2419-Q2419</f>
        <v/>
      </c>
      <c r="S2419" s="3">
        <f>P2419*Assumptions!$B$3/100</f>
        <v/>
      </c>
      <c r="T2419" s="14">
        <f>R2419-S2419</f>
        <v/>
      </c>
      <c r="U2419" s="14">
        <f>L2419*G2419</f>
        <v/>
      </c>
    </row>
    <row r="2420">
      <c r="A2420" s="12" t="inlineStr">
        <is>
          <t>PO-2022-2418</t>
        </is>
      </c>
      <c r="B2420" s="26" t="n">
        <v>44374</v>
      </c>
      <c r="C2420" s="12" t="inlineStr">
        <is>
          <t>VS31</t>
        </is>
      </c>
      <c r="D2420" s="12" t="inlineStr">
        <is>
          <t>CR Sheets</t>
        </is>
      </c>
      <c r="E2420" s="12" t="inlineStr">
        <is>
          <t>N</t>
        </is>
      </c>
      <c r="F2420" s="12" t="n">
        <v>27.64</v>
      </c>
      <c r="G2420" s="17" t="n">
        <v>51222.35</v>
      </c>
      <c r="H2420" s="26" t="n">
        <v>44388</v>
      </c>
      <c r="I2420" s="26" t="n">
        <v>44391</v>
      </c>
      <c r="J2420" s="12" t="n">
        <v>27.52</v>
      </c>
      <c r="K2420" s="17" t="n">
        <v>1415785.75</v>
      </c>
      <c r="L2420" s="12" t="n">
        <v>0</v>
      </c>
      <c r="M2420" s="12" t="n">
        <v>25</v>
      </c>
      <c r="N2420" s="27">
        <f>F2420-J2420</f>
        <v/>
      </c>
      <c r="O2420" s="16">
        <f>I2420-H2420</f>
        <v/>
      </c>
      <c r="P2420" s="14">
        <f>F2420*G2420</f>
        <v/>
      </c>
      <c r="Q2420" s="14">
        <f>J2420*G2420</f>
        <v/>
      </c>
      <c r="R2420" s="14">
        <f>K2420-Q2420</f>
        <v/>
      </c>
      <c r="S2420" s="3">
        <f>P2420*Assumptions!$B$3/100</f>
        <v/>
      </c>
      <c r="T2420" s="14">
        <f>R2420-S2420</f>
        <v/>
      </c>
      <c r="U2420" s="14">
        <f>L2420*G2420</f>
        <v/>
      </c>
    </row>
    <row r="2421">
      <c r="A2421" s="12" t="inlineStr">
        <is>
          <t>PO-2022-2419</t>
        </is>
      </c>
      <c r="B2421" s="26" t="n">
        <v>44389</v>
      </c>
      <c r="C2421" s="12" t="inlineStr">
        <is>
          <t>VS30</t>
        </is>
      </c>
      <c r="D2421" s="12" t="inlineStr">
        <is>
          <t>MS Rods</t>
        </is>
      </c>
      <c r="E2421" s="12" t="inlineStr">
        <is>
          <t>N</t>
        </is>
      </c>
      <c r="F2421" s="12" t="n">
        <v>37.7</v>
      </c>
      <c r="G2421" s="17" t="n">
        <v>63103.4</v>
      </c>
      <c r="H2421" s="26" t="n">
        <v>44399</v>
      </c>
      <c r="I2421" s="26" t="n">
        <v>44402</v>
      </c>
      <c r="J2421" s="12" t="n">
        <v>37.54</v>
      </c>
      <c r="K2421" s="17" t="n">
        <v>2378998.18</v>
      </c>
      <c r="L2421" s="12" t="n">
        <v>0</v>
      </c>
      <c r="M2421" s="12" t="n">
        <v>12</v>
      </c>
      <c r="N2421" s="27">
        <f>F2421-J2421</f>
        <v/>
      </c>
      <c r="O2421" s="16">
        <f>I2421-H2421</f>
        <v/>
      </c>
      <c r="P2421" s="14">
        <f>F2421*G2421</f>
        <v/>
      </c>
      <c r="Q2421" s="14">
        <f>J2421*G2421</f>
        <v/>
      </c>
      <c r="R2421" s="14">
        <f>K2421-Q2421</f>
        <v/>
      </c>
      <c r="S2421" s="3">
        <f>P2421*Assumptions!$B$3/100</f>
        <v/>
      </c>
      <c r="T2421" s="14">
        <f>R2421-S2421</f>
        <v/>
      </c>
      <c r="U2421" s="14">
        <f>L2421*G2421</f>
        <v/>
      </c>
    </row>
    <row r="2422">
      <c r="A2422" s="12" t="inlineStr">
        <is>
          <t>PO-2022-2420</t>
        </is>
      </c>
      <c r="B2422" s="26" t="n">
        <v>44267</v>
      </c>
      <c r="C2422" s="12" t="inlineStr">
        <is>
          <t>VS21</t>
        </is>
      </c>
      <c r="D2422" s="12" t="inlineStr">
        <is>
          <t>SS Sheets</t>
        </is>
      </c>
      <c r="E2422" s="12" t="inlineStr">
        <is>
          <t>Y</t>
        </is>
      </c>
      <c r="F2422" s="12" t="n">
        <v>28.08</v>
      </c>
      <c r="G2422" s="17" t="n">
        <v>97803.00999999999</v>
      </c>
      <c r="H2422" s="26" t="n">
        <v>44277</v>
      </c>
      <c r="I2422" s="26" t="n">
        <v>44279</v>
      </c>
      <c r="J2422" s="12" t="n">
        <v>27.95</v>
      </c>
      <c r="K2422" s="17" t="n">
        <v>2746308.52</v>
      </c>
      <c r="L2422" s="12" t="n">
        <v>0</v>
      </c>
      <c r="M2422" s="12" t="n">
        <v>22</v>
      </c>
      <c r="N2422" s="27">
        <f>F2422-J2422</f>
        <v/>
      </c>
      <c r="O2422" s="16">
        <f>I2422-H2422</f>
        <v/>
      </c>
      <c r="P2422" s="14">
        <f>F2422*G2422</f>
        <v/>
      </c>
      <c r="Q2422" s="14">
        <f>J2422*G2422</f>
        <v/>
      </c>
      <c r="R2422" s="14">
        <f>K2422-Q2422</f>
        <v/>
      </c>
      <c r="S2422" s="3">
        <f>P2422*Assumptions!$B$3/100</f>
        <v/>
      </c>
      <c r="T2422" s="14">
        <f>R2422-S2422</f>
        <v/>
      </c>
      <c r="U2422" s="14">
        <f>L2422*G2422</f>
        <v/>
      </c>
    </row>
    <row r="2423">
      <c r="A2423" s="12" t="inlineStr">
        <is>
          <t>PO-2022-2421</t>
        </is>
      </c>
      <c r="B2423" s="26" t="n">
        <v>44640</v>
      </c>
      <c r="C2423" s="12" t="inlineStr">
        <is>
          <t>VS27</t>
        </is>
      </c>
      <c r="D2423" s="12" t="inlineStr">
        <is>
          <t>ERW Pipes</t>
        </is>
      </c>
      <c r="E2423" s="12" t="inlineStr">
        <is>
          <t>N</t>
        </is>
      </c>
      <c r="F2423" s="12" t="n">
        <v>1.5</v>
      </c>
      <c r="G2423" s="17" t="n">
        <v>54628.81</v>
      </c>
      <c r="H2423" s="26" t="n">
        <v>44653</v>
      </c>
      <c r="I2423" s="26" t="n">
        <v>44655</v>
      </c>
      <c r="J2423" s="12" t="n">
        <v>1.49</v>
      </c>
      <c r="K2423" s="17" t="n">
        <v>81943.21000000001</v>
      </c>
      <c r="L2423" s="12" t="n">
        <v>0</v>
      </c>
      <c r="M2423" s="12" t="n">
        <v>0</v>
      </c>
      <c r="N2423" s="27">
        <f>F2423-J2423</f>
        <v/>
      </c>
      <c r="O2423" s="16">
        <f>I2423-H2423</f>
        <v/>
      </c>
      <c r="P2423" s="14">
        <f>F2423*G2423</f>
        <v/>
      </c>
      <c r="Q2423" s="14">
        <f>J2423*G2423</f>
        <v/>
      </c>
      <c r="R2423" s="14">
        <f>K2423-Q2423</f>
        <v/>
      </c>
      <c r="S2423" s="3">
        <f>P2423*Assumptions!$B$3/100</f>
        <v/>
      </c>
      <c r="T2423" s="14">
        <f>R2423-S2423</f>
        <v/>
      </c>
      <c r="U2423" s="14">
        <f>L2423*G2423</f>
        <v/>
      </c>
    </row>
    <row r="2424">
      <c r="A2424" s="12" t="inlineStr">
        <is>
          <t>PO-2022-2422</t>
        </is>
      </c>
      <c r="B2424" s="26" t="n">
        <v>44254</v>
      </c>
      <c r="C2424" s="12" t="inlineStr">
        <is>
          <t>VS33</t>
        </is>
      </c>
      <c r="D2424" s="12" t="inlineStr">
        <is>
          <t>Fasteners &amp; Fittings</t>
        </is>
      </c>
      <c r="E2424" s="12" t="inlineStr">
        <is>
          <t>N</t>
        </is>
      </c>
      <c r="F2424" s="12" t="n">
        <v>4.39</v>
      </c>
      <c r="G2424" s="17" t="n">
        <v>58592.5</v>
      </c>
      <c r="H2424" s="26" t="n">
        <v>44261</v>
      </c>
      <c r="I2424" s="26" t="n">
        <v>44261</v>
      </c>
      <c r="J2424" s="12" t="n">
        <v>4.36</v>
      </c>
      <c r="K2424" s="17" t="n">
        <v>257221.07</v>
      </c>
      <c r="L2424" s="12" t="n">
        <v>0</v>
      </c>
      <c r="M2424" s="12" t="n">
        <v>0</v>
      </c>
      <c r="N2424" s="27">
        <f>F2424-J2424</f>
        <v/>
      </c>
      <c r="O2424" s="16">
        <f>I2424-H2424</f>
        <v/>
      </c>
      <c r="P2424" s="14">
        <f>F2424*G2424</f>
        <v/>
      </c>
      <c r="Q2424" s="14">
        <f>J2424*G2424</f>
        <v/>
      </c>
      <c r="R2424" s="14">
        <f>K2424-Q2424</f>
        <v/>
      </c>
      <c r="S2424" s="3">
        <f>P2424*Assumptions!$B$3/100</f>
        <v/>
      </c>
      <c r="T2424" s="14">
        <f>R2424-S2424</f>
        <v/>
      </c>
      <c r="U2424" s="14">
        <f>L2424*G2424</f>
        <v/>
      </c>
    </row>
    <row r="2425">
      <c r="A2425" s="12" t="inlineStr">
        <is>
          <t>PO-2022-2423</t>
        </is>
      </c>
      <c r="B2425" s="26" t="n">
        <v>44991</v>
      </c>
      <c r="C2425" s="12" t="inlineStr">
        <is>
          <t>VS04</t>
        </is>
      </c>
      <c r="D2425" s="12" t="inlineStr">
        <is>
          <t>CR Sheets</t>
        </is>
      </c>
      <c r="E2425" s="12" t="inlineStr">
        <is>
          <t>N</t>
        </is>
      </c>
      <c r="F2425" s="12" t="n">
        <v>29.7</v>
      </c>
      <c r="G2425" s="17" t="n">
        <v>97366.24000000001</v>
      </c>
      <c r="H2425" s="26" t="n">
        <v>45001</v>
      </c>
      <c r="I2425" s="26" t="n">
        <v>45004</v>
      </c>
      <c r="J2425" s="12" t="n">
        <v>29.59</v>
      </c>
      <c r="K2425" s="17" t="n">
        <v>2891777.33</v>
      </c>
      <c r="L2425" s="12" t="n">
        <v>0</v>
      </c>
      <c r="M2425" s="12" t="n">
        <v>11</v>
      </c>
      <c r="N2425" s="27">
        <f>F2425-J2425</f>
        <v/>
      </c>
      <c r="O2425" s="16">
        <f>I2425-H2425</f>
        <v/>
      </c>
      <c r="P2425" s="14">
        <f>F2425*G2425</f>
        <v/>
      </c>
      <c r="Q2425" s="14">
        <f>J2425*G2425</f>
        <v/>
      </c>
      <c r="R2425" s="14">
        <f>K2425-Q2425</f>
        <v/>
      </c>
      <c r="S2425" s="3">
        <f>P2425*Assumptions!$B$3/100</f>
        <v/>
      </c>
      <c r="T2425" s="14">
        <f>R2425-S2425</f>
        <v/>
      </c>
      <c r="U2425" s="14">
        <f>L2425*G2425</f>
        <v/>
      </c>
    </row>
    <row r="2426">
      <c r="A2426" s="12" t="inlineStr">
        <is>
          <t>PO-2022-2424</t>
        </is>
      </c>
      <c r="B2426" s="26" t="n">
        <v>44553</v>
      </c>
      <c r="C2426" s="12" t="inlineStr">
        <is>
          <t>VS29</t>
        </is>
      </c>
      <c r="D2426" s="12" t="inlineStr">
        <is>
          <t>SS Sheets</t>
        </is>
      </c>
      <c r="E2426" s="12" t="inlineStr">
        <is>
          <t>N</t>
        </is>
      </c>
      <c r="F2426" s="12" t="n">
        <v>42.82</v>
      </c>
      <c r="G2426" s="17" t="n">
        <v>47986.24</v>
      </c>
      <c r="H2426" s="26" t="n">
        <v>44565</v>
      </c>
      <c r="I2426" s="26" t="n">
        <v>44567</v>
      </c>
      <c r="J2426" s="12" t="n">
        <v>42.8</v>
      </c>
      <c r="K2426" s="17" t="n">
        <v>2054770.8</v>
      </c>
      <c r="L2426" s="12" t="n">
        <v>0</v>
      </c>
      <c r="M2426" s="12" t="n">
        <v>17</v>
      </c>
      <c r="N2426" s="27">
        <f>F2426-J2426</f>
        <v/>
      </c>
      <c r="O2426" s="16">
        <f>I2426-H2426</f>
        <v/>
      </c>
      <c r="P2426" s="14">
        <f>F2426*G2426</f>
        <v/>
      </c>
      <c r="Q2426" s="14">
        <f>J2426*G2426</f>
        <v/>
      </c>
      <c r="R2426" s="14">
        <f>K2426-Q2426</f>
        <v/>
      </c>
      <c r="S2426" s="3">
        <f>P2426*Assumptions!$B$3/100</f>
        <v/>
      </c>
      <c r="T2426" s="14">
        <f>R2426-S2426</f>
        <v/>
      </c>
      <c r="U2426" s="14">
        <f>L2426*G2426</f>
        <v/>
      </c>
    </row>
    <row r="2427">
      <c r="A2427" s="12" t="inlineStr">
        <is>
          <t>PO-2022-2425</t>
        </is>
      </c>
      <c r="B2427" s="26" t="n">
        <v>44875</v>
      </c>
      <c r="C2427" s="12" t="inlineStr">
        <is>
          <t>VS28</t>
        </is>
      </c>
      <c r="D2427" s="12" t="inlineStr">
        <is>
          <t>ERW Pipes</t>
        </is>
      </c>
      <c r="E2427" s="12" t="inlineStr">
        <is>
          <t>N</t>
        </is>
      </c>
      <c r="F2427" s="12" t="n">
        <v>34.65</v>
      </c>
      <c r="G2427" s="17" t="n">
        <v>117642.36</v>
      </c>
      <c r="H2427" s="26" t="n">
        <v>44879</v>
      </c>
      <c r="I2427" s="26" t="n">
        <v>44882</v>
      </c>
      <c r="J2427" s="12" t="n">
        <v>34.52</v>
      </c>
      <c r="K2427" s="17" t="n">
        <v>4076307.77</v>
      </c>
      <c r="L2427" s="12" t="n">
        <v>0</v>
      </c>
      <c r="M2427" s="12" t="n">
        <v>0</v>
      </c>
      <c r="N2427" s="27">
        <f>F2427-J2427</f>
        <v/>
      </c>
      <c r="O2427" s="16">
        <f>I2427-H2427</f>
        <v/>
      </c>
      <c r="P2427" s="14">
        <f>F2427*G2427</f>
        <v/>
      </c>
      <c r="Q2427" s="14">
        <f>J2427*G2427</f>
        <v/>
      </c>
      <c r="R2427" s="14">
        <f>K2427-Q2427</f>
        <v/>
      </c>
      <c r="S2427" s="3">
        <f>P2427*Assumptions!$B$3/100</f>
        <v/>
      </c>
      <c r="T2427" s="14">
        <f>R2427-S2427</f>
        <v/>
      </c>
      <c r="U2427" s="14">
        <f>L2427*G2427</f>
        <v/>
      </c>
    </row>
    <row r="2428">
      <c r="A2428" s="12" t="inlineStr">
        <is>
          <t>PO-2022-2426</t>
        </is>
      </c>
      <c r="B2428" s="26" t="n">
        <v>44604</v>
      </c>
      <c r="C2428" s="12" t="inlineStr">
        <is>
          <t>VS31</t>
        </is>
      </c>
      <c r="D2428" s="12" t="inlineStr">
        <is>
          <t>Structural Steel</t>
        </is>
      </c>
      <c r="E2428" s="12" t="inlineStr">
        <is>
          <t>N</t>
        </is>
      </c>
      <c r="F2428" s="12" t="n">
        <v>13.2</v>
      </c>
      <c r="G2428" s="17" t="n">
        <v>74047.78</v>
      </c>
      <c r="H2428" s="26" t="n">
        <v>44618</v>
      </c>
      <c r="I2428" s="26" t="n">
        <v>44621</v>
      </c>
      <c r="J2428" s="12" t="n">
        <v>13.14</v>
      </c>
      <c r="K2428" s="17" t="n">
        <v>977430.7</v>
      </c>
      <c r="L2428" s="12" t="n">
        <v>0</v>
      </c>
      <c r="M2428" s="12" t="n">
        <v>6</v>
      </c>
      <c r="N2428" s="27">
        <f>F2428-J2428</f>
        <v/>
      </c>
      <c r="O2428" s="16">
        <f>I2428-H2428</f>
        <v/>
      </c>
      <c r="P2428" s="14">
        <f>F2428*G2428</f>
        <v/>
      </c>
      <c r="Q2428" s="14">
        <f>J2428*G2428</f>
        <v/>
      </c>
      <c r="R2428" s="14">
        <f>K2428-Q2428</f>
        <v/>
      </c>
      <c r="S2428" s="3">
        <f>P2428*Assumptions!$B$3/100</f>
        <v/>
      </c>
      <c r="T2428" s="14">
        <f>R2428-S2428</f>
        <v/>
      </c>
      <c r="U2428" s="14">
        <f>L2428*G2428</f>
        <v/>
      </c>
    </row>
    <row r="2429">
      <c r="A2429" s="12" t="inlineStr">
        <is>
          <t>PO-2022-2427</t>
        </is>
      </c>
      <c r="B2429" s="26" t="n">
        <v>44558</v>
      </c>
      <c r="C2429" s="12" t="inlineStr">
        <is>
          <t>VS25</t>
        </is>
      </c>
      <c r="D2429" s="12" t="inlineStr">
        <is>
          <t>GI Pipes</t>
        </is>
      </c>
      <c r="E2429" s="12" t="inlineStr">
        <is>
          <t>N</t>
        </is>
      </c>
      <c r="F2429" s="12" t="n">
        <v>15.81</v>
      </c>
      <c r="G2429" s="17" t="n">
        <v>61756.7</v>
      </c>
      <c r="H2429" s="26" t="n">
        <v>44571</v>
      </c>
      <c r="I2429" s="26" t="n">
        <v>44572</v>
      </c>
      <c r="J2429" s="12" t="n">
        <v>15.72</v>
      </c>
      <c r="K2429" s="17" t="n">
        <v>976373.4300000001</v>
      </c>
      <c r="L2429" s="12" t="n">
        <v>0</v>
      </c>
      <c r="M2429" s="12" t="n">
        <v>18</v>
      </c>
      <c r="N2429" s="27">
        <f>F2429-J2429</f>
        <v/>
      </c>
      <c r="O2429" s="16">
        <f>I2429-H2429</f>
        <v/>
      </c>
      <c r="P2429" s="14">
        <f>F2429*G2429</f>
        <v/>
      </c>
      <c r="Q2429" s="14">
        <f>J2429*G2429</f>
        <v/>
      </c>
      <c r="R2429" s="14">
        <f>K2429-Q2429</f>
        <v/>
      </c>
      <c r="S2429" s="3">
        <f>P2429*Assumptions!$B$3/100</f>
        <v/>
      </c>
      <c r="T2429" s="14">
        <f>R2429-S2429</f>
        <v/>
      </c>
      <c r="U2429" s="14">
        <f>L2429*G2429</f>
        <v/>
      </c>
    </row>
    <row r="2430">
      <c r="A2430" s="12" t="inlineStr">
        <is>
          <t>PO-2022-2428</t>
        </is>
      </c>
      <c r="B2430" s="26" t="n">
        <v>45207</v>
      </c>
      <c r="C2430" s="12" t="inlineStr">
        <is>
          <t>VS15</t>
        </is>
      </c>
      <c r="D2430" s="12" t="inlineStr">
        <is>
          <t>Fasteners &amp; Fittings</t>
        </is>
      </c>
      <c r="E2430" s="12" t="inlineStr">
        <is>
          <t>N</t>
        </is>
      </c>
      <c r="F2430" s="12" t="n">
        <v>40.61</v>
      </c>
      <c r="G2430" s="17" t="n">
        <v>116103.09</v>
      </c>
      <c r="H2430" s="26" t="n">
        <v>45211</v>
      </c>
      <c r="I2430" s="26" t="n">
        <v>45211</v>
      </c>
      <c r="J2430" s="12" t="n">
        <v>40.6</v>
      </c>
      <c r="K2430" s="17" t="n">
        <v>4714946.48</v>
      </c>
      <c r="L2430" s="12" t="n">
        <v>0</v>
      </c>
      <c r="M2430" s="12" t="n">
        <v>0</v>
      </c>
      <c r="N2430" s="27">
        <f>F2430-J2430</f>
        <v/>
      </c>
      <c r="O2430" s="16">
        <f>I2430-H2430</f>
        <v/>
      </c>
      <c r="P2430" s="14">
        <f>F2430*G2430</f>
        <v/>
      </c>
      <c r="Q2430" s="14">
        <f>J2430*G2430</f>
        <v/>
      </c>
      <c r="R2430" s="14">
        <f>K2430-Q2430</f>
        <v/>
      </c>
      <c r="S2430" s="3">
        <f>P2430*Assumptions!$B$3/100</f>
        <v/>
      </c>
      <c r="T2430" s="14">
        <f>R2430-S2430</f>
        <v/>
      </c>
      <c r="U2430" s="14">
        <f>L2430*G2430</f>
        <v/>
      </c>
    </row>
    <row r="2431">
      <c r="A2431" s="12" t="inlineStr">
        <is>
          <t>PO-2022-2429</t>
        </is>
      </c>
      <c r="B2431" s="26" t="n">
        <v>44404</v>
      </c>
      <c r="C2431" s="12" t="inlineStr">
        <is>
          <t>VS11</t>
        </is>
      </c>
      <c r="D2431" s="12" t="inlineStr">
        <is>
          <t>Square/Rect Tubes</t>
        </is>
      </c>
      <c r="E2431" s="12" t="inlineStr">
        <is>
          <t>N</t>
        </is>
      </c>
      <c r="F2431" s="12" t="n">
        <v>7.47</v>
      </c>
      <c r="G2431" s="17" t="n">
        <v>118409.77</v>
      </c>
      <c r="H2431" s="26" t="n">
        <v>44416</v>
      </c>
      <c r="I2431" s="26" t="n">
        <v>44417</v>
      </c>
      <c r="J2431" s="12" t="n">
        <v>7.46</v>
      </c>
      <c r="K2431" s="17" t="n">
        <v>884520.98</v>
      </c>
      <c r="L2431" s="12" t="n">
        <v>0</v>
      </c>
      <c r="M2431" s="12" t="n">
        <v>0</v>
      </c>
      <c r="N2431" s="27">
        <f>F2431-J2431</f>
        <v/>
      </c>
      <c r="O2431" s="16">
        <f>I2431-H2431</f>
        <v/>
      </c>
      <c r="P2431" s="14">
        <f>F2431*G2431</f>
        <v/>
      </c>
      <c r="Q2431" s="14">
        <f>J2431*G2431</f>
        <v/>
      </c>
      <c r="R2431" s="14">
        <f>K2431-Q2431</f>
        <v/>
      </c>
      <c r="S2431" s="3">
        <f>P2431*Assumptions!$B$3/100</f>
        <v/>
      </c>
      <c r="T2431" s="14">
        <f>R2431-S2431</f>
        <v/>
      </c>
      <c r="U2431" s="14">
        <f>L2431*G2431</f>
        <v/>
      </c>
    </row>
    <row r="2432">
      <c r="A2432" s="12" t="inlineStr">
        <is>
          <t>PO-2022-2430</t>
        </is>
      </c>
      <c r="B2432" s="26" t="n">
        <v>44245</v>
      </c>
      <c r="C2432" s="12" t="inlineStr">
        <is>
          <t>VS29</t>
        </is>
      </c>
      <c r="D2432" s="12" t="inlineStr">
        <is>
          <t>Structural Steel</t>
        </is>
      </c>
      <c r="E2432" s="12" t="inlineStr">
        <is>
          <t>N</t>
        </is>
      </c>
      <c r="F2432" s="12" t="n">
        <v>18.97</v>
      </c>
      <c r="G2432" s="17" t="n">
        <v>97419.09</v>
      </c>
      <c r="H2432" s="26" t="n">
        <v>44248</v>
      </c>
      <c r="I2432" s="26" t="n">
        <v>44251</v>
      </c>
      <c r="J2432" s="12" t="n">
        <v>18.92</v>
      </c>
      <c r="K2432" s="17" t="n">
        <v>1848040.14</v>
      </c>
      <c r="L2432" s="12" t="n">
        <v>0</v>
      </c>
      <c r="M2432" s="12" t="n">
        <v>0</v>
      </c>
      <c r="N2432" s="27">
        <f>F2432-J2432</f>
        <v/>
      </c>
      <c r="O2432" s="16">
        <f>I2432-H2432</f>
        <v/>
      </c>
      <c r="P2432" s="14">
        <f>F2432*G2432</f>
        <v/>
      </c>
      <c r="Q2432" s="14">
        <f>J2432*G2432</f>
        <v/>
      </c>
      <c r="R2432" s="14">
        <f>K2432-Q2432</f>
        <v/>
      </c>
      <c r="S2432" s="3">
        <f>P2432*Assumptions!$B$3/100</f>
        <v/>
      </c>
      <c r="T2432" s="14">
        <f>R2432-S2432</f>
        <v/>
      </c>
      <c r="U2432" s="14">
        <f>L2432*G2432</f>
        <v/>
      </c>
    </row>
    <row r="2433">
      <c r="A2433" s="12" t="inlineStr">
        <is>
          <t>PO-2022-2431</t>
        </is>
      </c>
      <c r="B2433" s="26" t="n">
        <v>45272</v>
      </c>
      <c r="C2433" s="12" t="inlineStr">
        <is>
          <t>VS24</t>
        </is>
      </c>
      <c r="D2433" s="12" t="inlineStr">
        <is>
          <t>Spring Steel</t>
        </is>
      </c>
      <c r="E2433" s="12" t="inlineStr">
        <is>
          <t>Y</t>
        </is>
      </c>
      <c r="F2433" s="12" t="n">
        <v>6.21</v>
      </c>
      <c r="G2433" s="17" t="n">
        <v>80524.35000000001</v>
      </c>
      <c r="H2433" s="26" t="n">
        <v>45279</v>
      </c>
      <c r="I2433" s="26" t="n">
        <v>45280</v>
      </c>
      <c r="J2433" s="12" t="n">
        <v>6.21</v>
      </c>
      <c r="K2433" s="17" t="n">
        <v>500056.21</v>
      </c>
      <c r="L2433" s="12" t="n">
        <v>0</v>
      </c>
      <c r="M2433" s="12" t="n">
        <v>15</v>
      </c>
      <c r="N2433" s="27">
        <f>F2433-J2433</f>
        <v/>
      </c>
      <c r="O2433" s="16">
        <f>I2433-H2433</f>
        <v/>
      </c>
      <c r="P2433" s="14">
        <f>F2433*G2433</f>
        <v/>
      </c>
      <c r="Q2433" s="14">
        <f>J2433*G2433</f>
        <v/>
      </c>
      <c r="R2433" s="14">
        <f>K2433-Q2433</f>
        <v/>
      </c>
      <c r="S2433" s="3">
        <f>P2433*Assumptions!$B$3/100</f>
        <v/>
      </c>
      <c r="T2433" s="14">
        <f>R2433-S2433</f>
        <v/>
      </c>
      <c r="U2433" s="14">
        <f>L2433*G2433</f>
        <v/>
      </c>
    </row>
    <row r="2434">
      <c r="A2434" s="12" t="inlineStr">
        <is>
          <t>PO-2022-2432</t>
        </is>
      </c>
      <c r="B2434" s="26" t="n">
        <v>45090</v>
      </c>
      <c r="C2434" s="12" t="inlineStr">
        <is>
          <t>VS28</t>
        </is>
      </c>
      <c r="D2434" s="12" t="inlineStr">
        <is>
          <t>SS Pipes</t>
        </is>
      </c>
      <c r="E2434" s="12" t="inlineStr">
        <is>
          <t>Y</t>
        </is>
      </c>
      <c r="F2434" s="12" t="n">
        <v>4.19</v>
      </c>
      <c r="G2434" s="17" t="n">
        <v>64708.17</v>
      </c>
      <c r="H2434" s="26" t="n">
        <v>45103</v>
      </c>
      <c r="I2434" s="26" t="n">
        <v>45104</v>
      </c>
      <c r="J2434" s="12" t="n">
        <v>4.19</v>
      </c>
      <c r="K2434" s="17" t="n">
        <v>271127.23</v>
      </c>
      <c r="L2434" s="12" t="n">
        <v>0</v>
      </c>
      <c r="M2434" s="12" t="n">
        <v>23</v>
      </c>
      <c r="N2434" s="27">
        <f>F2434-J2434</f>
        <v/>
      </c>
      <c r="O2434" s="16">
        <f>I2434-H2434</f>
        <v/>
      </c>
      <c r="P2434" s="14">
        <f>F2434*G2434</f>
        <v/>
      </c>
      <c r="Q2434" s="14">
        <f>J2434*G2434</f>
        <v/>
      </c>
      <c r="R2434" s="14">
        <f>K2434-Q2434</f>
        <v/>
      </c>
      <c r="S2434" s="3">
        <f>P2434*Assumptions!$B$3/100</f>
        <v/>
      </c>
      <c r="T2434" s="14">
        <f>R2434-S2434</f>
        <v/>
      </c>
      <c r="U2434" s="14">
        <f>L2434*G2434</f>
        <v/>
      </c>
    </row>
    <row r="2435">
      <c r="A2435" s="12" t="inlineStr">
        <is>
          <t>PO-2022-2433</t>
        </is>
      </c>
      <c r="B2435" s="26" t="n">
        <v>44929</v>
      </c>
      <c r="C2435" s="12" t="inlineStr">
        <is>
          <t>VS31</t>
        </is>
      </c>
      <c r="D2435" s="12" t="inlineStr">
        <is>
          <t>MS Rods</t>
        </is>
      </c>
      <c r="E2435" s="12" t="inlineStr">
        <is>
          <t>N</t>
        </is>
      </c>
      <c r="F2435" s="12" t="n">
        <v>25.85</v>
      </c>
      <c r="G2435" s="17" t="n">
        <v>63242.4</v>
      </c>
      <c r="H2435" s="26" t="n">
        <v>44934</v>
      </c>
      <c r="I2435" s="26" t="n">
        <v>44934</v>
      </c>
      <c r="J2435" s="12" t="n">
        <v>25.66</v>
      </c>
      <c r="K2435" s="17" t="n">
        <v>1634816.04</v>
      </c>
      <c r="L2435" s="12" t="n">
        <v>0</v>
      </c>
      <c r="M2435" s="12" t="n">
        <v>20</v>
      </c>
      <c r="N2435" s="27">
        <f>F2435-J2435</f>
        <v/>
      </c>
      <c r="O2435" s="16">
        <f>I2435-H2435</f>
        <v/>
      </c>
      <c r="P2435" s="14">
        <f>F2435*G2435</f>
        <v/>
      </c>
      <c r="Q2435" s="14">
        <f>J2435*G2435</f>
        <v/>
      </c>
      <c r="R2435" s="14">
        <f>K2435-Q2435</f>
        <v/>
      </c>
      <c r="S2435" s="3">
        <f>P2435*Assumptions!$B$3/100</f>
        <v/>
      </c>
      <c r="T2435" s="14">
        <f>R2435-S2435</f>
        <v/>
      </c>
      <c r="U2435" s="14">
        <f>L2435*G2435</f>
        <v/>
      </c>
    </row>
    <row r="2436">
      <c r="A2436" s="12" t="inlineStr">
        <is>
          <t>PO-2022-2434</t>
        </is>
      </c>
      <c r="B2436" s="26" t="n">
        <v>44444</v>
      </c>
      <c r="C2436" s="12" t="inlineStr">
        <is>
          <t>VS02</t>
        </is>
      </c>
      <c r="D2436" s="12" t="inlineStr">
        <is>
          <t>MS Sheets</t>
        </is>
      </c>
      <c r="E2436" s="12" t="inlineStr">
        <is>
          <t>N</t>
        </is>
      </c>
      <c r="F2436" s="12" t="n">
        <v>5.23</v>
      </c>
      <c r="G2436" s="17" t="n">
        <v>59009.3</v>
      </c>
      <c r="H2436" s="26" t="n">
        <v>44450</v>
      </c>
      <c r="I2436" s="26" t="n">
        <v>44452</v>
      </c>
      <c r="J2436" s="12" t="n">
        <v>5.18</v>
      </c>
      <c r="K2436" s="17" t="n">
        <v>308618.64</v>
      </c>
      <c r="L2436" s="12" t="n">
        <v>0</v>
      </c>
      <c r="M2436" s="12" t="n">
        <v>16</v>
      </c>
      <c r="N2436" s="27">
        <f>F2436-J2436</f>
        <v/>
      </c>
      <c r="O2436" s="16">
        <f>I2436-H2436</f>
        <v/>
      </c>
      <c r="P2436" s="14">
        <f>F2436*G2436</f>
        <v/>
      </c>
      <c r="Q2436" s="14">
        <f>J2436*G2436</f>
        <v/>
      </c>
      <c r="R2436" s="14">
        <f>K2436-Q2436</f>
        <v/>
      </c>
      <c r="S2436" s="3">
        <f>P2436*Assumptions!$B$3/100</f>
        <v/>
      </c>
      <c r="T2436" s="14">
        <f>R2436-S2436</f>
        <v/>
      </c>
      <c r="U2436" s="14">
        <f>L2436*G2436</f>
        <v/>
      </c>
    </row>
    <row r="2437">
      <c r="A2437" s="12" t="inlineStr">
        <is>
          <t>PO-2022-2435</t>
        </is>
      </c>
      <c r="B2437" s="26" t="n">
        <v>45110</v>
      </c>
      <c r="C2437" s="12" t="inlineStr">
        <is>
          <t>VS24</t>
        </is>
      </c>
      <c r="D2437" s="12" t="inlineStr">
        <is>
          <t>Spring Steel</t>
        </is>
      </c>
      <c r="E2437" s="12" t="inlineStr">
        <is>
          <t>Y</t>
        </is>
      </c>
      <c r="F2437" s="12" t="n">
        <v>13.89</v>
      </c>
      <c r="G2437" s="17" t="n">
        <v>50011.42</v>
      </c>
      <c r="H2437" s="26" t="n">
        <v>45125</v>
      </c>
      <c r="I2437" s="26" t="n">
        <v>45126</v>
      </c>
      <c r="J2437" s="12" t="n">
        <v>13.81</v>
      </c>
      <c r="K2437" s="17" t="n">
        <v>694658.62</v>
      </c>
      <c r="L2437" s="12" t="n">
        <v>0</v>
      </c>
      <c r="M2437" s="12" t="n">
        <v>19</v>
      </c>
      <c r="N2437" s="27">
        <f>F2437-J2437</f>
        <v/>
      </c>
      <c r="O2437" s="16">
        <f>I2437-H2437</f>
        <v/>
      </c>
      <c r="P2437" s="14">
        <f>F2437*G2437</f>
        <v/>
      </c>
      <c r="Q2437" s="14">
        <f>J2437*G2437</f>
        <v/>
      </c>
      <c r="R2437" s="14">
        <f>K2437-Q2437</f>
        <v/>
      </c>
      <c r="S2437" s="3">
        <f>P2437*Assumptions!$B$3/100</f>
        <v/>
      </c>
      <c r="T2437" s="14">
        <f>R2437-S2437</f>
        <v/>
      </c>
      <c r="U2437" s="14">
        <f>L2437*G2437</f>
        <v/>
      </c>
    </row>
    <row r="2438">
      <c r="A2438" s="12" t="inlineStr">
        <is>
          <t>PO-2022-2436</t>
        </is>
      </c>
      <c r="B2438" s="26" t="n">
        <v>44576</v>
      </c>
      <c r="C2438" s="12" t="inlineStr">
        <is>
          <t>VS27</t>
        </is>
      </c>
      <c r="D2438" s="12" t="inlineStr">
        <is>
          <t>ERW Pipes</t>
        </is>
      </c>
      <c r="E2438" s="12" t="inlineStr">
        <is>
          <t>N</t>
        </is>
      </c>
      <c r="F2438" s="12" t="n">
        <v>28.42</v>
      </c>
      <c r="G2438" s="17" t="n">
        <v>62418.62</v>
      </c>
      <c r="H2438" s="26" t="n">
        <v>44581</v>
      </c>
      <c r="I2438" s="26" t="n">
        <v>44584</v>
      </c>
      <c r="J2438" s="12" t="n">
        <v>28.24</v>
      </c>
      <c r="K2438" s="17" t="n">
        <v>1773937.18</v>
      </c>
      <c r="L2438" s="12" t="n">
        <v>0</v>
      </c>
      <c r="M2438" s="12" t="n">
        <v>22</v>
      </c>
      <c r="N2438" s="27">
        <f>F2438-J2438</f>
        <v/>
      </c>
      <c r="O2438" s="16">
        <f>I2438-H2438</f>
        <v/>
      </c>
      <c r="P2438" s="14">
        <f>F2438*G2438</f>
        <v/>
      </c>
      <c r="Q2438" s="14">
        <f>J2438*G2438</f>
        <v/>
      </c>
      <c r="R2438" s="14">
        <f>K2438-Q2438</f>
        <v/>
      </c>
      <c r="S2438" s="3">
        <f>P2438*Assumptions!$B$3/100</f>
        <v/>
      </c>
      <c r="T2438" s="14">
        <f>R2438-S2438</f>
        <v/>
      </c>
      <c r="U2438" s="14">
        <f>L2438*G2438</f>
        <v/>
      </c>
    </row>
    <row r="2439">
      <c r="A2439" s="12" t="inlineStr">
        <is>
          <t>PO-2022-2437</t>
        </is>
      </c>
      <c r="B2439" s="26" t="n">
        <v>44812</v>
      </c>
      <c r="C2439" s="12" t="inlineStr">
        <is>
          <t>VS09</t>
        </is>
      </c>
      <c r="D2439" s="12" t="inlineStr">
        <is>
          <t>MS Rods</t>
        </is>
      </c>
      <c r="E2439" s="12" t="inlineStr">
        <is>
          <t>N</t>
        </is>
      </c>
      <c r="F2439" s="12" t="n">
        <v>1.55</v>
      </c>
      <c r="G2439" s="17" t="n">
        <v>49499.55</v>
      </c>
      <c r="H2439" s="26" t="n">
        <v>44827</v>
      </c>
      <c r="I2439" s="26" t="n">
        <v>44828</v>
      </c>
      <c r="J2439" s="12" t="n">
        <v>1.55</v>
      </c>
      <c r="K2439" s="17" t="n">
        <v>76724.3</v>
      </c>
      <c r="L2439" s="12" t="n">
        <v>0</v>
      </c>
      <c r="M2439" s="12" t="n">
        <v>14</v>
      </c>
      <c r="N2439" s="27">
        <f>F2439-J2439</f>
        <v/>
      </c>
      <c r="O2439" s="16">
        <f>I2439-H2439</f>
        <v/>
      </c>
      <c r="P2439" s="14">
        <f>F2439*G2439</f>
        <v/>
      </c>
      <c r="Q2439" s="14">
        <f>J2439*G2439</f>
        <v/>
      </c>
      <c r="R2439" s="14">
        <f>K2439-Q2439</f>
        <v/>
      </c>
      <c r="S2439" s="3">
        <f>P2439*Assumptions!$B$3/100</f>
        <v/>
      </c>
      <c r="T2439" s="14">
        <f>R2439-S2439</f>
        <v/>
      </c>
      <c r="U2439" s="14">
        <f>L2439*G2439</f>
        <v/>
      </c>
    </row>
    <row r="2440">
      <c r="A2440" s="12" t="inlineStr">
        <is>
          <t>PO-2022-2438</t>
        </is>
      </c>
      <c r="B2440" s="26" t="n">
        <v>44221</v>
      </c>
      <c r="C2440" s="12" t="inlineStr">
        <is>
          <t>VS08</t>
        </is>
      </c>
      <c r="D2440" s="12" t="inlineStr">
        <is>
          <t>Hex Bars</t>
        </is>
      </c>
      <c r="E2440" s="12" t="inlineStr">
        <is>
          <t>N</t>
        </is>
      </c>
      <c r="F2440" s="12" t="n">
        <v>33.63</v>
      </c>
      <c r="G2440" s="17" t="n">
        <v>88917.96000000001</v>
      </c>
      <c r="H2440" s="26" t="n">
        <v>44224</v>
      </c>
      <c r="I2440" s="26" t="n">
        <v>44225</v>
      </c>
      <c r="J2440" s="12" t="n">
        <v>33.55</v>
      </c>
      <c r="K2440" s="17" t="n">
        <v>2990310.99</v>
      </c>
      <c r="L2440" s="12" t="n">
        <v>0</v>
      </c>
      <c r="M2440" s="12" t="n">
        <v>0</v>
      </c>
      <c r="N2440" s="27">
        <f>F2440-J2440</f>
        <v/>
      </c>
      <c r="O2440" s="16">
        <f>I2440-H2440</f>
        <v/>
      </c>
      <c r="P2440" s="14">
        <f>F2440*G2440</f>
        <v/>
      </c>
      <c r="Q2440" s="14">
        <f>J2440*G2440</f>
        <v/>
      </c>
      <c r="R2440" s="14">
        <f>K2440-Q2440</f>
        <v/>
      </c>
      <c r="S2440" s="3">
        <f>P2440*Assumptions!$B$3/100</f>
        <v/>
      </c>
      <c r="T2440" s="14">
        <f>R2440-S2440</f>
        <v/>
      </c>
      <c r="U2440" s="14">
        <f>L2440*G2440</f>
        <v/>
      </c>
    </row>
    <row r="2441">
      <c r="A2441" s="12" t="inlineStr">
        <is>
          <t>PO-2022-2439</t>
        </is>
      </c>
      <c r="B2441" s="26" t="n">
        <v>44818</v>
      </c>
      <c r="C2441" s="12" t="inlineStr">
        <is>
          <t>VS09</t>
        </is>
      </c>
      <c r="D2441" s="12" t="inlineStr">
        <is>
          <t>MS Flats</t>
        </is>
      </c>
      <c r="E2441" s="12" t="inlineStr">
        <is>
          <t>N</t>
        </is>
      </c>
      <c r="F2441" s="12" t="n">
        <v>46.12</v>
      </c>
      <c r="G2441" s="17" t="n">
        <v>109543.93</v>
      </c>
      <c r="H2441" s="26" t="n">
        <v>44833</v>
      </c>
      <c r="I2441" s="26" t="n">
        <v>44834</v>
      </c>
      <c r="J2441" s="12" t="n">
        <v>45.88</v>
      </c>
      <c r="K2441" s="17" t="n">
        <v>5052166.05</v>
      </c>
      <c r="L2441" s="12" t="n">
        <v>0</v>
      </c>
      <c r="M2441" s="12" t="n">
        <v>0</v>
      </c>
      <c r="N2441" s="27">
        <f>F2441-J2441</f>
        <v/>
      </c>
      <c r="O2441" s="16">
        <f>I2441-H2441</f>
        <v/>
      </c>
      <c r="P2441" s="14">
        <f>F2441*G2441</f>
        <v/>
      </c>
      <c r="Q2441" s="14">
        <f>J2441*G2441</f>
        <v/>
      </c>
      <c r="R2441" s="14">
        <f>K2441-Q2441</f>
        <v/>
      </c>
      <c r="S2441" s="3">
        <f>P2441*Assumptions!$B$3/100</f>
        <v/>
      </c>
      <c r="T2441" s="14">
        <f>R2441-S2441</f>
        <v/>
      </c>
      <c r="U2441" s="14">
        <f>L2441*G2441</f>
        <v/>
      </c>
    </row>
    <row r="2442">
      <c r="A2442" s="12" t="inlineStr">
        <is>
          <t>PO-2022-2440</t>
        </is>
      </c>
      <c r="B2442" s="26" t="n">
        <v>44634</v>
      </c>
      <c r="C2442" s="12" t="inlineStr">
        <is>
          <t>VS13</t>
        </is>
      </c>
      <c r="D2442" s="12" t="inlineStr">
        <is>
          <t>Structural Steel</t>
        </is>
      </c>
      <c r="E2442" s="12" t="inlineStr">
        <is>
          <t>N</t>
        </is>
      </c>
      <c r="F2442" s="12" t="n">
        <v>24.44</v>
      </c>
      <c r="G2442" s="17" t="n">
        <v>61059.19</v>
      </c>
      <c r="H2442" s="26" t="n">
        <v>44639</v>
      </c>
      <c r="I2442" s="26" t="n">
        <v>44641</v>
      </c>
      <c r="J2442" s="12" t="n">
        <v>24.39</v>
      </c>
      <c r="K2442" s="17" t="n">
        <v>1492286.6</v>
      </c>
      <c r="L2442" s="12" t="n">
        <v>0</v>
      </c>
      <c r="M2442" s="12" t="n">
        <v>20</v>
      </c>
      <c r="N2442" s="27">
        <f>F2442-J2442</f>
        <v/>
      </c>
      <c r="O2442" s="16">
        <f>I2442-H2442</f>
        <v/>
      </c>
      <c r="P2442" s="14">
        <f>F2442*G2442</f>
        <v/>
      </c>
      <c r="Q2442" s="14">
        <f>J2442*G2442</f>
        <v/>
      </c>
      <c r="R2442" s="14">
        <f>K2442-Q2442</f>
        <v/>
      </c>
      <c r="S2442" s="3">
        <f>P2442*Assumptions!$B$3/100</f>
        <v/>
      </c>
      <c r="T2442" s="14">
        <f>R2442-S2442</f>
        <v/>
      </c>
      <c r="U2442" s="14">
        <f>L2442*G2442</f>
        <v/>
      </c>
    </row>
    <row r="2443">
      <c r="A2443" s="12" t="inlineStr">
        <is>
          <t>PO-2022-2441</t>
        </is>
      </c>
      <c r="B2443" s="26" t="n">
        <v>44991</v>
      </c>
      <c r="C2443" s="12" t="inlineStr">
        <is>
          <t>VS05</t>
        </is>
      </c>
      <c r="D2443" s="12" t="inlineStr">
        <is>
          <t>Square/Rect Tubes</t>
        </is>
      </c>
      <c r="E2443" s="12" t="inlineStr">
        <is>
          <t>N</t>
        </is>
      </c>
      <c r="F2443" s="12" t="n">
        <v>33.69</v>
      </c>
      <c r="G2443" s="17" t="n">
        <v>109338.42</v>
      </c>
      <c r="H2443" s="26" t="n">
        <v>44996</v>
      </c>
      <c r="I2443" s="26" t="n">
        <v>44997</v>
      </c>
      <c r="J2443" s="12" t="n">
        <v>33.48</v>
      </c>
      <c r="K2443" s="17" t="n">
        <v>3683611.37</v>
      </c>
      <c r="L2443" s="12" t="n">
        <v>0</v>
      </c>
      <c r="M2443" s="12" t="n">
        <v>17</v>
      </c>
      <c r="N2443" s="27">
        <f>F2443-J2443</f>
        <v/>
      </c>
      <c r="O2443" s="16">
        <f>I2443-H2443</f>
        <v/>
      </c>
      <c r="P2443" s="14">
        <f>F2443*G2443</f>
        <v/>
      </c>
      <c r="Q2443" s="14">
        <f>J2443*G2443</f>
        <v/>
      </c>
      <c r="R2443" s="14">
        <f>K2443-Q2443</f>
        <v/>
      </c>
      <c r="S2443" s="3">
        <f>P2443*Assumptions!$B$3/100</f>
        <v/>
      </c>
      <c r="T2443" s="14">
        <f>R2443-S2443</f>
        <v/>
      </c>
      <c r="U2443" s="14">
        <f>L2443*G2443</f>
        <v/>
      </c>
    </row>
    <row r="2444">
      <c r="A2444" s="12" t="inlineStr">
        <is>
          <t>PO-2022-2442</t>
        </is>
      </c>
      <c r="B2444" s="26" t="n">
        <v>44336</v>
      </c>
      <c r="C2444" s="12" t="inlineStr">
        <is>
          <t>VS31</t>
        </is>
      </c>
      <c r="D2444" s="12" t="inlineStr">
        <is>
          <t>Hex Bars</t>
        </is>
      </c>
      <c r="E2444" s="12" t="inlineStr">
        <is>
          <t>N</t>
        </is>
      </c>
      <c r="F2444" s="12" t="n">
        <v>49.5</v>
      </c>
      <c r="G2444" s="17" t="n">
        <v>50444.26</v>
      </c>
      <c r="H2444" s="26" t="n">
        <v>44341</v>
      </c>
      <c r="I2444" s="26" t="n">
        <v>44342</v>
      </c>
      <c r="J2444" s="12" t="n">
        <v>49.49</v>
      </c>
      <c r="K2444" s="17" t="n">
        <v>2496990.87</v>
      </c>
      <c r="L2444" s="12" t="n">
        <v>0</v>
      </c>
      <c r="M2444" s="12" t="n">
        <v>9</v>
      </c>
      <c r="N2444" s="27">
        <f>F2444-J2444</f>
        <v/>
      </c>
      <c r="O2444" s="16">
        <f>I2444-H2444</f>
        <v/>
      </c>
      <c r="P2444" s="14">
        <f>F2444*G2444</f>
        <v/>
      </c>
      <c r="Q2444" s="14">
        <f>J2444*G2444</f>
        <v/>
      </c>
      <c r="R2444" s="14">
        <f>K2444-Q2444</f>
        <v/>
      </c>
      <c r="S2444" s="3">
        <f>P2444*Assumptions!$B$3/100</f>
        <v/>
      </c>
      <c r="T2444" s="14">
        <f>R2444-S2444</f>
        <v/>
      </c>
      <c r="U2444" s="14">
        <f>L2444*G2444</f>
        <v/>
      </c>
    </row>
    <row r="2445">
      <c r="A2445" s="12" t="inlineStr">
        <is>
          <t>PO-2022-2443</t>
        </is>
      </c>
      <c r="B2445" s="26" t="n">
        <v>44702</v>
      </c>
      <c r="C2445" s="12" t="inlineStr">
        <is>
          <t>VS27</t>
        </is>
      </c>
      <c r="D2445" s="12" t="inlineStr">
        <is>
          <t>Angles &amp; Channels</t>
        </is>
      </c>
      <c r="E2445" s="12" t="inlineStr">
        <is>
          <t>N</t>
        </is>
      </c>
      <c r="F2445" s="12" t="n">
        <v>46.94</v>
      </c>
      <c r="G2445" s="17" t="n">
        <v>107098.17</v>
      </c>
      <c r="H2445" s="26" t="n">
        <v>44711</v>
      </c>
      <c r="I2445" s="26" t="n">
        <v>44712</v>
      </c>
      <c r="J2445" s="12" t="n">
        <v>46.47</v>
      </c>
      <c r="K2445" s="17" t="n">
        <v>5027188.1</v>
      </c>
      <c r="L2445" s="12" t="n">
        <v>0</v>
      </c>
      <c r="M2445" s="12" t="n">
        <v>0</v>
      </c>
      <c r="N2445" s="27">
        <f>F2445-J2445</f>
        <v/>
      </c>
      <c r="O2445" s="16">
        <f>I2445-H2445</f>
        <v/>
      </c>
      <c r="P2445" s="14">
        <f>F2445*G2445</f>
        <v/>
      </c>
      <c r="Q2445" s="14">
        <f>J2445*G2445</f>
        <v/>
      </c>
      <c r="R2445" s="14">
        <f>K2445-Q2445</f>
        <v/>
      </c>
      <c r="S2445" s="3">
        <f>P2445*Assumptions!$B$3/100</f>
        <v/>
      </c>
      <c r="T2445" s="14">
        <f>R2445-S2445</f>
        <v/>
      </c>
      <c r="U2445" s="14">
        <f>L2445*G2445</f>
        <v/>
      </c>
    </row>
    <row r="2446">
      <c r="A2446" s="12" t="inlineStr">
        <is>
          <t>PO-2022-2444</t>
        </is>
      </c>
      <c r="B2446" s="26" t="n">
        <v>44319</v>
      </c>
      <c r="C2446" s="12" t="inlineStr">
        <is>
          <t>VS28</t>
        </is>
      </c>
      <c r="D2446" s="12" t="inlineStr">
        <is>
          <t>GI Pipes</t>
        </is>
      </c>
      <c r="E2446" s="12" t="inlineStr">
        <is>
          <t>N</t>
        </is>
      </c>
      <c r="F2446" s="12" t="n">
        <v>43.66</v>
      </c>
      <c r="G2446" s="17" t="n">
        <v>103547.4</v>
      </c>
      <c r="H2446" s="26" t="n">
        <v>44322</v>
      </c>
      <c r="I2446" s="26" t="n">
        <v>44324</v>
      </c>
      <c r="J2446" s="12" t="n">
        <v>43.42</v>
      </c>
      <c r="K2446" s="17" t="n">
        <v>4520879.48</v>
      </c>
      <c r="L2446" s="12" t="n">
        <v>0</v>
      </c>
      <c r="M2446" s="12" t="n">
        <v>0</v>
      </c>
      <c r="N2446" s="27">
        <f>F2446-J2446</f>
        <v/>
      </c>
      <c r="O2446" s="16">
        <f>I2446-H2446</f>
        <v/>
      </c>
      <c r="P2446" s="14">
        <f>F2446*G2446</f>
        <v/>
      </c>
      <c r="Q2446" s="14">
        <f>J2446*G2446</f>
        <v/>
      </c>
      <c r="R2446" s="14">
        <f>K2446-Q2446</f>
        <v/>
      </c>
      <c r="S2446" s="3">
        <f>P2446*Assumptions!$B$3/100</f>
        <v/>
      </c>
      <c r="T2446" s="14">
        <f>R2446-S2446</f>
        <v/>
      </c>
      <c r="U2446" s="14">
        <f>L2446*G2446</f>
        <v/>
      </c>
    </row>
    <row r="2447">
      <c r="A2447" s="12" t="inlineStr">
        <is>
          <t>PO-2022-2445</t>
        </is>
      </c>
      <c r="B2447" s="26" t="n">
        <v>44591</v>
      </c>
      <c r="C2447" s="12" t="inlineStr">
        <is>
          <t>VS24</t>
        </is>
      </c>
      <c r="D2447" s="12" t="inlineStr">
        <is>
          <t>MS Rods</t>
        </is>
      </c>
      <c r="E2447" s="12" t="inlineStr">
        <is>
          <t>N</t>
        </is>
      </c>
      <c r="F2447" s="12" t="n">
        <v>23.04</v>
      </c>
      <c r="G2447" s="17" t="n">
        <v>107727.93</v>
      </c>
      <c r="H2447" s="26" t="n">
        <v>44597</v>
      </c>
      <c r="I2447" s="26" t="n">
        <v>44599</v>
      </c>
      <c r="J2447" s="12" t="n">
        <v>22.99</v>
      </c>
      <c r="K2447" s="17" t="n">
        <v>2482051.51</v>
      </c>
      <c r="L2447" s="12" t="n">
        <v>0</v>
      </c>
      <c r="M2447" s="12" t="n">
        <v>0</v>
      </c>
      <c r="N2447" s="27">
        <f>F2447-J2447</f>
        <v/>
      </c>
      <c r="O2447" s="16">
        <f>I2447-H2447</f>
        <v/>
      </c>
      <c r="P2447" s="14">
        <f>F2447*G2447</f>
        <v/>
      </c>
      <c r="Q2447" s="14">
        <f>J2447*G2447</f>
        <v/>
      </c>
      <c r="R2447" s="14">
        <f>K2447-Q2447</f>
        <v/>
      </c>
      <c r="S2447" s="3">
        <f>P2447*Assumptions!$B$3/100</f>
        <v/>
      </c>
      <c r="T2447" s="14">
        <f>R2447-S2447</f>
        <v/>
      </c>
      <c r="U2447" s="14">
        <f>L2447*G2447</f>
        <v/>
      </c>
    </row>
    <row r="2448">
      <c r="A2448" s="12" t="inlineStr">
        <is>
          <t>PO-2022-2446</t>
        </is>
      </c>
      <c r="B2448" s="26" t="n">
        <v>44457</v>
      </c>
      <c r="C2448" s="12" t="inlineStr">
        <is>
          <t>VS31</t>
        </is>
      </c>
      <c r="D2448" s="12" t="inlineStr">
        <is>
          <t>Hex Bars</t>
        </is>
      </c>
      <c r="E2448" s="12" t="inlineStr">
        <is>
          <t>N</t>
        </is>
      </c>
      <c r="F2448" s="12" t="n">
        <v>44.55</v>
      </c>
      <c r="G2448" s="17" t="n">
        <v>93453.07000000001</v>
      </c>
      <c r="H2448" s="26" t="n">
        <v>44472</v>
      </c>
      <c r="I2448" s="26" t="n">
        <v>44474</v>
      </c>
      <c r="J2448" s="12" t="n">
        <v>44.21</v>
      </c>
      <c r="K2448" s="17" t="n">
        <v>4163334.27</v>
      </c>
      <c r="L2448" s="12" t="n">
        <v>0</v>
      </c>
      <c r="M2448" s="12" t="n">
        <v>0</v>
      </c>
      <c r="N2448" s="27">
        <f>F2448-J2448</f>
        <v/>
      </c>
      <c r="O2448" s="16">
        <f>I2448-H2448</f>
        <v/>
      </c>
      <c r="P2448" s="14">
        <f>F2448*G2448</f>
        <v/>
      </c>
      <c r="Q2448" s="14">
        <f>J2448*G2448</f>
        <v/>
      </c>
      <c r="R2448" s="14">
        <f>K2448-Q2448</f>
        <v/>
      </c>
      <c r="S2448" s="3">
        <f>P2448*Assumptions!$B$3/100</f>
        <v/>
      </c>
      <c r="T2448" s="14">
        <f>R2448-S2448</f>
        <v/>
      </c>
      <c r="U2448" s="14">
        <f>L2448*G2448</f>
        <v/>
      </c>
    </row>
    <row r="2449">
      <c r="A2449" s="12" t="inlineStr">
        <is>
          <t>PO-2022-2447</t>
        </is>
      </c>
      <c r="B2449" s="26" t="n">
        <v>44519</v>
      </c>
      <c r="C2449" s="12" t="inlineStr">
        <is>
          <t>VS16</t>
        </is>
      </c>
      <c r="D2449" s="12" t="inlineStr">
        <is>
          <t>Hex Bars</t>
        </is>
      </c>
      <c r="E2449" s="12" t="inlineStr">
        <is>
          <t>N</t>
        </is>
      </c>
      <c r="F2449" s="12" t="n">
        <v>15.09</v>
      </c>
      <c r="G2449" s="17" t="n">
        <v>102982.44</v>
      </c>
      <c r="H2449" s="26" t="n">
        <v>44528</v>
      </c>
      <c r="I2449" s="26" t="n">
        <v>44530</v>
      </c>
      <c r="J2449" s="12" t="n">
        <v>14.97</v>
      </c>
      <c r="K2449" s="17" t="n">
        <v>1554005.02</v>
      </c>
      <c r="L2449" s="12" t="n">
        <v>0</v>
      </c>
      <c r="M2449" s="12" t="n">
        <v>9</v>
      </c>
      <c r="N2449" s="27">
        <f>F2449-J2449</f>
        <v/>
      </c>
      <c r="O2449" s="16">
        <f>I2449-H2449</f>
        <v/>
      </c>
      <c r="P2449" s="14">
        <f>F2449*G2449</f>
        <v/>
      </c>
      <c r="Q2449" s="14">
        <f>J2449*G2449</f>
        <v/>
      </c>
      <c r="R2449" s="14">
        <f>K2449-Q2449</f>
        <v/>
      </c>
      <c r="S2449" s="3">
        <f>P2449*Assumptions!$B$3/100</f>
        <v/>
      </c>
      <c r="T2449" s="14">
        <f>R2449-S2449</f>
        <v/>
      </c>
      <c r="U2449" s="14">
        <f>L2449*G2449</f>
        <v/>
      </c>
    </row>
    <row r="2450">
      <c r="A2450" s="12" t="inlineStr">
        <is>
          <t>PO-2022-2448</t>
        </is>
      </c>
      <c r="B2450" s="26" t="n">
        <v>44260</v>
      </c>
      <c r="C2450" s="12" t="inlineStr">
        <is>
          <t>VS27</t>
        </is>
      </c>
      <c r="D2450" s="12" t="inlineStr">
        <is>
          <t>SS Pipes</t>
        </is>
      </c>
      <c r="E2450" s="12" t="inlineStr">
        <is>
          <t>Y</t>
        </is>
      </c>
      <c r="F2450" s="12" t="n">
        <v>28.52</v>
      </c>
      <c r="G2450" s="17" t="n">
        <v>97835.58</v>
      </c>
      <c r="H2450" s="26" t="n">
        <v>44275</v>
      </c>
      <c r="I2450" s="26" t="n">
        <v>44278</v>
      </c>
      <c r="J2450" s="12" t="n">
        <v>28.24</v>
      </c>
      <c r="K2450" s="17" t="n">
        <v>2790270.74</v>
      </c>
      <c r="L2450" s="12" t="n">
        <v>0</v>
      </c>
      <c r="M2450" s="12" t="n">
        <v>14</v>
      </c>
      <c r="N2450" s="27">
        <f>F2450-J2450</f>
        <v/>
      </c>
      <c r="O2450" s="16">
        <f>I2450-H2450</f>
        <v/>
      </c>
      <c r="P2450" s="14">
        <f>F2450*G2450</f>
        <v/>
      </c>
      <c r="Q2450" s="14">
        <f>J2450*G2450</f>
        <v/>
      </c>
      <c r="R2450" s="14">
        <f>K2450-Q2450</f>
        <v/>
      </c>
      <c r="S2450" s="3">
        <f>P2450*Assumptions!$B$3/100</f>
        <v/>
      </c>
      <c r="T2450" s="14">
        <f>R2450-S2450</f>
        <v/>
      </c>
      <c r="U2450" s="14">
        <f>L2450*G2450</f>
        <v/>
      </c>
    </row>
    <row r="2451">
      <c r="A2451" s="12" t="inlineStr">
        <is>
          <t>PO-2022-2449</t>
        </is>
      </c>
      <c r="B2451" s="26" t="n">
        <v>44495</v>
      </c>
      <c r="C2451" s="12" t="inlineStr">
        <is>
          <t>VS03</t>
        </is>
      </c>
      <c r="D2451" s="12" t="inlineStr">
        <is>
          <t>Angles &amp; Channels</t>
        </is>
      </c>
      <c r="E2451" s="12" t="inlineStr">
        <is>
          <t>N</t>
        </is>
      </c>
      <c r="F2451" s="12" t="n">
        <v>14.59</v>
      </c>
      <c r="G2451" s="17" t="n">
        <v>68705.00999999999</v>
      </c>
      <c r="H2451" s="26" t="n">
        <v>44508</v>
      </c>
      <c r="I2451" s="26" t="n">
        <v>44516</v>
      </c>
      <c r="J2451" s="12" t="n">
        <v>14.01</v>
      </c>
      <c r="K2451" s="17" t="n">
        <v>1002406.1</v>
      </c>
      <c r="L2451" s="12" t="n">
        <v>0.34</v>
      </c>
      <c r="M2451" s="12" t="n">
        <v>0</v>
      </c>
      <c r="N2451" s="27">
        <f>F2451-J2451</f>
        <v/>
      </c>
      <c r="O2451" s="16">
        <f>I2451-H2451</f>
        <v/>
      </c>
      <c r="P2451" s="14">
        <f>F2451*G2451</f>
        <v/>
      </c>
      <c r="Q2451" s="14">
        <f>J2451*G2451</f>
        <v/>
      </c>
      <c r="R2451" s="14">
        <f>K2451-Q2451</f>
        <v/>
      </c>
      <c r="S2451" s="3">
        <f>P2451*Assumptions!$B$3/100</f>
        <v/>
      </c>
      <c r="T2451" s="14">
        <f>R2451-S2451</f>
        <v/>
      </c>
      <c r="U2451" s="14">
        <f>L2451*G2451</f>
        <v/>
      </c>
    </row>
    <row r="2452">
      <c r="A2452" s="12" t="inlineStr">
        <is>
          <t>PO-2022-2450</t>
        </is>
      </c>
      <c r="B2452" s="26" t="n">
        <v>44896</v>
      </c>
      <c r="C2452" s="12" t="inlineStr">
        <is>
          <t>VS20</t>
        </is>
      </c>
      <c r="D2452" s="12" t="inlineStr">
        <is>
          <t>Spring Steel</t>
        </is>
      </c>
      <c r="E2452" s="12" t="inlineStr">
        <is>
          <t>N</t>
        </is>
      </c>
      <c r="F2452" s="12" t="n">
        <v>30.66</v>
      </c>
      <c r="G2452" s="17" t="n">
        <v>113949.51</v>
      </c>
      <c r="H2452" s="26" t="n">
        <v>44906</v>
      </c>
      <c r="I2452" s="26" t="n">
        <v>44907</v>
      </c>
      <c r="J2452" s="12" t="n">
        <v>30.48</v>
      </c>
      <c r="K2452" s="17" t="n">
        <v>3493691.98</v>
      </c>
      <c r="L2452" s="12" t="n">
        <v>0</v>
      </c>
      <c r="M2452" s="12" t="n">
        <v>3</v>
      </c>
      <c r="N2452" s="27">
        <f>F2452-J2452</f>
        <v/>
      </c>
      <c r="O2452" s="16">
        <f>I2452-H2452</f>
        <v/>
      </c>
      <c r="P2452" s="14">
        <f>F2452*G2452</f>
        <v/>
      </c>
      <c r="Q2452" s="14">
        <f>J2452*G2452</f>
        <v/>
      </c>
      <c r="R2452" s="14">
        <f>K2452-Q2452</f>
        <v/>
      </c>
      <c r="S2452" s="3">
        <f>P2452*Assumptions!$B$3/100</f>
        <v/>
      </c>
      <c r="T2452" s="14">
        <f>R2452-S2452</f>
        <v/>
      </c>
      <c r="U2452" s="14">
        <f>L2452*G2452</f>
        <v/>
      </c>
    </row>
    <row r="2453">
      <c r="A2453" s="12" t="inlineStr">
        <is>
          <t>PO-2022-2451</t>
        </is>
      </c>
      <c r="B2453" s="26" t="n">
        <v>45244</v>
      </c>
      <c r="C2453" s="12" t="inlineStr">
        <is>
          <t>VS32</t>
        </is>
      </c>
      <c r="D2453" s="12" t="inlineStr">
        <is>
          <t>MS Rods</t>
        </is>
      </c>
      <c r="E2453" s="12" t="inlineStr">
        <is>
          <t>N</t>
        </is>
      </c>
      <c r="F2453" s="12" t="n">
        <v>38.11</v>
      </c>
      <c r="G2453" s="17" t="n">
        <v>107963.08</v>
      </c>
      <c r="H2453" s="26" t="n">
        <v>45256</v>
      </c>
      <c r="I2453" s="26" t="n">
        <v>45256</v>
      </c>
      <c r="J2453" s="12" t="n">
        <v>37.99</v>
      </c>
      <c r="K2453" s="17" t="n">
        <v>4114472.98</v>
      </c>
      <c r="L2453" s="12" t="n">
        <v>0</v>
      </c>
      <c r="M2453" s="12" t="n">
        <v>15</v>
      </c>
      <c r="N2453" s="27">
        <f>F2453-J2453</f>
        <v/>
      </c>
      <c r="O2453" s="16">
        <f>I2453-H2453</f>
        <v/>
      </c>
      <c r="P2453" s="14">
        <f>F2453*G2453</f>
        <v/>
      </c>
      <c r="Q2453" s="14">
        <f>J2453*G2453</f>
        <v/>
      </c>
      <c r="R2453" s="14">
        <f>K2453-Q2453</f>
        <v/>
      </c>
      <c r="S2453" s="3">
        <f>P2453*Assumptions!$B$3/100</f>
        <v/>
      </c>
      <c r="T2453" s="14">
        <f>R2453-S2453</f>
        <v/>
      </c>
      <c r="U2453" s="14">
        <f>L2453*G2453</f>
        <v/>
      </c>
    </row>
    <row r="2454">
      <c r="A2454" s="12" t="inlineStr">
        <is>
          <t>PO-2022-2452</t>
        </is>
      </c>
      <c r="B2454" s="26" t="n">
        <v>44478</v>
      </c>
      <c r="C2454" s="12" t="inlineStr">
        <is>
          <t>VS31</t>
        </is>
      </c>
      <c r="D2454" s="12" t="inlineStr">
        <is>
          <t>MS Flats</t>
        </is>
      </c>
      <c r="E2454" s="12" t="inlineStr">
        <is>
          <t>N</t>
        </is>
      </c>
      <c r="F2454" s="12" t="n">
        <v>5.46</v>
      </c>
      <c r="G2454" s="17" t="n">
        <v>81725.67</v>
      </c>
      <c r="H2454" s="26" t="n">
        <v>44486</v>
      </c>
      <c r="I2454" s="26" t="n">
        <v>44486</v>
      </c>
      <c r="J2454" s="12" t="n">
        <v>5.42</v>
      </c>
      <c r="K2454" s="17" t="n">
        <v>446222.16</v>
      </c>
      <c r="L2454" s="12" t="n">
        <v>0</v>
      </c>
      <c r="M2454" s="12" t="n">
        <v>11</v>
      </c>
      <c r="N2454" s="27">
        <f>F2454-J2454</f>
        <v/>
      </c>
      <c r="O2454" s="16">
        <f>I2454-H2454</f>
        <v/>
      </c>
      <c r="P2454" s="14">
        <f>F2454*G2454</f>
        <v/>
      </c>
      <c r="Q2454" s="14">
        <f>J2454*G2454</f>
        <v/>
      </c>
      <c r="R2454" s="14">
        <f>K2454-Q2454</f>
        <v/>
      </c>
      <c r="S2454" s="3">
        <f>P2454*Assumptions!$B$3/100</f>
        <v/>
      </c>
      <c r="T2454" s="14">
        <f>R2454-S2454</f>
        <v/>
      </c>
      <c r="U2454" s="14">
        <f>L2454*G2454</f>
        <v/>
      </c>
    </row>
    <row r="2455">
      <c r="A2455" s="12" t="inlineStr">
        <is>
          <t>PO-2022-2453</t>
        </is>
      </c>
      <c r="B2455" s="26" t="n">
        <v>45288</v>
      </c>
      <c r="C2455" s="12" t="inlineStr">
        <is>
          <t>VS34</t>
        </is>
      </c>
      <c r="D2455" s="12" t="inlineStr">
        <is>
          <t>SS Pipes</t>
        </is>
      </c>
      <c r="E2455" s="12" t="inlineStr">
        <is>
          <t>N</t>
        </is>
      </c>
      <c r="F2455" s="12" t="n">
        <v>13.33</v>
      </c>
      <c r="G2455" s="17" t="n">
        <v>65115.87</v>
      </c>
      <c r="H2455" s="26" t="n">
        <v>45295</v>
      </c>
      <c r="I2455" s="26" t="n">
        <v>45295</v>
      </c>
      <c r="J2455" s="12" t="n">
        <v>13.31</v>
      </c>
      <c r="K2455" s="17" t="n">
        <v>867994.55</v>
      </c>
      <c r="L2455" s="12" t="n">
        <v>0</v>
      </c>
      <c r="M2455" s="12" t="n">
        <v>0</v>
      </c>
      <c r="N2455" s="27">
        <f>F2455-J2455</f>
        <v/>
      </c>
      <c r="O2455" s="16">
        <f>I2455-H2455</f>
        <v/>
      </c>
      <c r="P2455" s="14">
        <f>F2455*G2455</f>
        <v/>
      </c>
      <c r="Q2455" s="14">
        <f>J2455*G2455</f>
        <v/>
      </c>
      <c r="R2455" s="14">
        <f>K2455-Q2455</f>
        <v/>
      </c>
      <c r="S2455" s="3">
        <f>P2455*Assumptions!$B$3/100</f>
        <v/>
      </c>
      <c r="T2455" s="14">
        <f>R2455-S2455</f>
        <v/>
      </c>
      <c r="U2455" s="14">
        <f>L2455*G2455</f>
        <v/>
      </c>
    </row>
    <row r="2456">
      <c r="A2456" s="12" t="inlineStr">
        <is>
          <t>PO-2022-2454</t>
        </is>
      </c>
      <c r="B2456" s="26" t="n">
        <v>44788</v>
      </c>
      <c r="C2456" s="12" t="inlineStr">
        <is>
          <t>VS33</t>
        </is>
      </c>
      <c r="D2456" s="12" t="inlineStr">
        <is>
          <t>HR Coils</t>
        </is>
      </c>
      <c r="E2456" s="12" t="inlineStr">
        <is>
          <t>Y</t>
        </is>
      </c>
      <c r="F2456" s="12" t="n">
        <v>16.34</v>
      </c>
      <c r="G2456" s="17" t="n">
        <v>112935.81</v>
      </c>
      <c r="H2456" s="26" t="n">
        <v>44794</v>
      </c>
      <c r="I2456" s="26" t="n">
        <v>44797</v>
      </c>
      <c r="J2456" s="12" t="n">
        <v>16.23</v>
      </c>
      <c r="K2456" s="17" t="n">
        <v>1845371.14</v>
      </c>
      <c r="L2456" s="12" t="n">
        <v>0</v>
      </c>
      <c r="M2456" s="12" t="n">
        <v>0</v>
      </c>
      <c r="N2456" s="27">
        <f>F2456-J2456</f>
        <v/>
      </c>
      <c r="O2456" s="16">
        <f>I2456-H2456</f>
        <v/>
      </c>
      <c r="P2456" s="14">
        <f>F2456*G2456</f>
        <v/>
      </c>
      <c r="Q2456" s="14">
        <f>J2456*G2456</f>
        <v/>
      </c>
      <c r="R2456" s="14">
        <f>K2456-Q2456</f>
        <v/>
      </c>
      <c r="S2456" s="3">
        <f>P2456*Assumptions!$B$3/100</f>
        <v/>
      </c>
      <c r="T2456" s="14">
        <f>R2456-S2456</f>
        <v/>
      </c>
      <c r="U2456" s="14">
        <f>L2456*G2456</f>
        <v/>
      </c>
    </row>
    <row r="2457">
      <c r="A2457" s="12" t="inlineStr">
        <is>
          <t>PO-2022-2455</t>
        </is>
      </c>
      <c r="B2457" s="26" t="n">
        <v>44588</v>
      </c>
      <c r="C2457" s="12" t="inlineStr">
        <is>
          <t>VS23</t>
        </is>
      </c>
      <c r="D2457" s="12" t="inlineStr">
        <is>
          <t>SS Sheets</t>
        </is>
      </c>
      <c r="E2457" s="12" t="inlineStr">
        <is>
          <t>N</t>
        </is>
      </c>
      <c r="F2457" s="12" t="n">
        <v>10.4</v>
      </c>
      <c r="G2457" s="17" t="n">
        <v>70124.89</v>
      </c>
      <c r="H2457" s="26" t="n">
        <v>44601</v>
      </c>
      <c r="I2457" s="26" t="n">
        <v>44602</v>
      </c>
      <c r="J2457" s="12" t="n">
        <v>10.36</v>
      </c>
      <c r="K2457" s="17" t="n">
        <v>729298.86</v>
      </c>
      <c r="L2457" s="12" t="n">
        <v>0</v>
      </c>
      <c r="M2457" s="12" t="n">
        <v>1</v>
      </c>
      <c r="N2457" s="27">
        <f>F2457-J2457</f>
        <v/>
      </c>
      <c r="O2457" s="16">
        <f>I2457-H2457</f>
        <v/>
      </c>
      <c r="P2457" s="14">
        <f>F2457*G2457</f>
        <v/>
      </c>
      <c r="Q2457" s="14">
        <f>J2457*G2457</f>
        <v/>
      </c>
      <c r="R2457" s="14">
        <f>K2457-Q2457</f>
        <v/>
      </c>
      <c r="S2457" s="3">
        <f>P2457*Assumptions!$B$3/100</f>
        <v/>
      </c>
      <c r="T2457" s="14">
        <f>R2457-S2457</f>
        <v/>
      </c>
      <c r="U2457" s="14">
        <f>L2457*G2457</f>
        <v/>
      </c>
    </row>
    <row r="2458">
      <c r="A2458" s="12" t="inlineStr">
        <is>
          <t>PO-2022-2456</t>
        </is>
      </c>
      <c r="B2458" s="26" t="n">
        <v>45039</v>
      </c>
      <c r="C2458" s="12" t="inlineStr">
        <is>
          <t>VS18</t>
        </is>
      </c>
      <c r="D2458" s="12" t="inlineStr">
        <is>
          <t>CR Sheets</t>
        </is>
      </c>
      <c r="E2458" s="12" t="inlineStr">
        <is>
          <t>N</t>
        </is>
      </c>
      <c r="F2458" s="12" t="n">
        <v>30.29</v>
      </c>
      <c r="G2458" s="17" t="n">
        <v>95226.35000000001</v>
      </c>
      <c r="H2458" s="26" t="n">
        <v>45045</v>
      </c>
      <c r="I2458" s="26" t="n">
        <v>45048</v>
      </c>
      <c r="J2458" s="12" t="n">
        <v>30.21</v>
      </c>
      <c r="K2458" s="17" t="n">
        <v>2884406.14</v>
      </c>
      <c r="L2458" s="12" t="n">
        <v>0</v>
      </c>
      <c r="M2458" s="12" t="n">
        <v>0</v>
      </c>
      <c r="N2458" s="27">
        <f>F2458-J2458</f>
        <v/>
      </c>
      <c r="O2458" s="16">
        <f>I2458-H2458</f>
        <v/>
      </c>
      <c r="P2458" s="14">
        <f>F2458*G2458</f>
        <v/>
      </c>
      <c r="Q2458" s="14">
        <f>J2458*G2458</f>
        <v/>
      </c>
      <c r="R2458" s="14">
        <f>K2458-Q2458</f>
        <v/>
      </c>
      <c r="S2458" s="3">
        <f>P2458*Assumptions!$B$3/100</f>
        <v/>
      </c>
      <c r="T2458" s="14">
        <f>R2458-S2458</f>
        <v/>
      </c>
      <c r="U2458" s="14">
        <f>L2458*G2458</f>
        <v/>
      </c>
    </row>
    <row r="2459">
      <c r="A2459" s="12" t="inlineStr">
        <is>
          <t>PO-2022-2457</t>
        </is>
      </c>
      <c r="B2459" s="26" t="n">
        <v>44482</v>
      </c>
      <c r="C2459" s="12" t="inlineStr">
        <is>
          <t>VS19</t>
        </is>
      </c>
      <c r="D2459" s="12" t="inlineStr">
        <is>
          <t>GI Sheets</t>
        </is>
      </c>
      <c r="E2459" s="12" t="inlineStr">
        <is>
          <t>N</t>
        </is>
      </c>
      <c r="F2459" s="12" t="n">
        <v>34.67</v>
      </c>
      <c r="G2459" s="17" t="n">
        <v>74995.98</v>
      </c>
      <c r="H2459" s="26" t="n">
        <v>44493</v>
      </c>
      <c r="I2459" s="26" t="n">
        <v>44499</v>
      </c>
      <c r="J2459" s="12" t="n">
        <v>33.86</v>
      </c>
      <c r="K2459" s="17" t="n">
        <v>2600110.63</v>
      </c>
      <c r="L2459" s="12" t="n">
        <v>1.02</v>
      </c>
      <c r="M2459" s="12" t="n">
        <v>0</v>
      </c>
      <c r="N2459" s="27">
        <f>F2459-J2459</f>
        <v/>
      </c>
      <c r="O2459" s="16">
        <f>I2459-H2459</f>
        <v/>
      </c>
      <c r="P2459" s="14">
        <f>F2459*G2459</f>
        <v/>
      </c>
      <c r="Q2459" s="14">
        <f>J2459*G2459</f>
        <v/>
      </c>
      <c r="R2459" s="14">
        <f>K2459-Q2459</f>
        <v/>
      </c>
      <c r="S2459" s="3">
        <f>P2459*Assumptions!$B$3/100</f>
        <v/>
      </c>
      <c r="T2459" s="14">
        <f>R2459-S2459</f>
        <v/>
      </c>
      <c r="U2459" s="14">
        <f>L2459*G2459</f>
        <v/>
      </c>
    </row>
    <row r="2460">
      <c r="A2460" s="12" t="inlineStr">
        <is>
          <t>PO-2022-2458</t>
        </is>
      </c>
      <c r="B2460" s="26" t="n">
        <v>44854</v>
      </c>
      <c r="C2460" s="12" t="inlineStr">
        <is>
          <t>VS14</t>
        </is>
      </c>
      <c r="D2460" s="12" t="inlineStr">
        <is>
          <t>Fasteners &amp; Fittings</t>
        </is>
      </c>
      <c r="E2460" s="12" t="inlineStr">
        <is>
          <t>N</t>
        </is>
      </c>
      <c r="F2460" s="12" t="n">
        <v>29.51</v>
      </c>
      <c r="G2460" s="17" t="n">
        <v>58006.17</v>
      </c>
      <c r="H2460" s="26" t="n">
        <v>44868</v>
      </c>
      <c r="I2460" s="26" t="n">
        <v>44871</v>
      </c>
      <c r="J2460" s="12" t="n">
        <v>29.46</v>
      </c>
      <c r="K2460" s="17" t="n">
        <v>1711762.08</v>
      </c>
      <c r="L2460" s="12" t="n">
        <v>0</v>
      </c>
      <c r="M2460" s="12" t="n">
        <v>2</v>
      </c>
      <c r="N2460" s="27">
        <f>F2460-J2460</f>
        <v/>
      </c>
      <c r="O2460" s="16">
        <f>I2460-H2460</f>
        <v/>
      </c>
      <c r="P2460" s="14">
        <f>F2460*G2460</f>
        <v/>
      </c>
      <c r="Q2460" s="14">
        <f>J2460*G2460</f>
        <v/>
      </c>
      <c r="R2460" s="14">
        <f>K2460-Q2460</f>
        <v/>
      </c>
      <c r="S2460" s="3">
        <f>P2460*Assumptions!$B$3/100</f>
        <v/>
      </c>
      <c r="T2460" s="14">
        <f>R2460-S2460</f>
        <v/>
      </c>
      <c r="U2460" s="14">
        <f>L2460*G2460</f>
        <v/>
      </c>
    </row>
    <row r="2461">
      <c r="A2461" s="12" t="inlineStr">
        <is>
          <t>PO-2022-2459</t>
        </is>
      </c>
      <c r="B2461" s="26" t="n">
        <v>44793</v>
      </c>
      <c r="C2461" s="12" t="inlineStr">
        <is>
          <t>VS16</t>
        </is>
      </c>
      <c r="D2461" s="12" t="inlineStr">
        <is>
          <t>GI Sheets</t>
        </is>
      </c>
      <c r="E2461" s="12" t="inlineStr">
        <is>
          <t>N</t>
        </is>
      </c>
      <c r="F2461" s="12" t="n">
        <v>30.31</v>
      </c>
      <c r="G2461" s="17" t="n">
        <v>92508.32000000001</v>
      </c>
      <c r="H2461" s="26" t="n">
        <v>44801</v>
      </c>
      <c r="I2461" s="26" t="n">
        <v>44804</v>
      </c>
      <c r="J2461" s="12" t="n">
        <v>30.25</v>
      </c>
      <c r="K2461" s="17" t="n">
        <v>2803927.18</v>
      </c>
      <c r="L2461" s="12" t="n">
        <v>0</v>
      </c>
      <c r="M2461" s="12" t="n">
        <v>0</v>
      </c>
      <c r="N2461" s="27">
        <f>F2461-J2461</f>
        <v/>
      </c>
      <c r="O2461" s="16">
        <f>I2461-H2461</f>
        <v/>
      </c>
      <c r="P2461" s="14">
        <f>F2461*G2461</f>
        <v/>
      </c>
      <c r="Q2461" s="14">
        <f>J2461*G2461</f>
        <v/>
      </c>
      <c r="R2461" s="14">
        <f>K2461-Q2461</f>
        <v/>
      </c>
      <c r="S2461" s="3">
        <f>P2461*Assumptions!$B$3/100</f>
        <v/>
      </c>
      <c r="T2461" s="14">
        <f>R2461-S2461</f>
        <v/>
      </c>
      <c r="U2461" s="14">
        <f>L2461*G2461</f>
        <v/>
      </c>
    </row>
    <row r="2462">
      <c r="A2462" s="12" t="inlineStr">
        <is>
          <t>PO-2022-2460</t>
        </is>
      </c>
      <c r="B2462" s="26" t="n">
        <v>44571</v>
      </c>
      <c r="C2462" s="12" t="inlineStr">
        <is>
          <t>VS32</t>
        </is>
      </c>
      <c r="D2462" s="12" t="inlineStr">
        <is>
          <t>Angles &amp; Channels</t>
        </is>
      </c>
      <c r="E2462" s="12" t="inlineStr">
        <is>
          <t>N</t>
        </is>
      </c>
      <c r="F2462" s="12" t="n">
        <v>13.04</v>
      </c>
      <c r="G2462" s="17" t="n">
        <v>81325.75</v>
      </c>
      <c r="H2462" s="26" t="n">
        <v>44578</v>
      </c>
      <c r="I2462" s="26" t="n">
        <v>44578</v>
      </c>
      <c r="J2462" s="12" t="n">
        <v>12.91</v>
      </c>
      <c r="K2462" s="17" t="n">
        <v>1060487.78</v>
      </c>
      <c r="L2462" s="12" t="n">
        <v>0</v>
      </c>
      <c r="M2462" s="12" t="n">
        <v>0</v>
      </c>
      <c r="N2462" s="27">
        <f>F2462-J2462</f>
        <v/>
      </c>
      <c r="O2462" s="16">
        <f>I2462-H2462</f>
        <v/>
      </c>
      <c r="P2462" s="14">
        <f>F2462*G2462</f>
        <v/>
      </c>
      <c r="Q2462" s="14">
        <f>J2462*G2462</f>
        <v/>
      </c>
      <c r="R2462" s="14">
        <f>K2462-Q2462</f>
        <v/>
      </c>
      <c r="S2462" s="3">
        <f>P2462*Assumptions!$B$3/100</f>
        <v/>
      </c>
      <c r="T2462" s="14">
        <f>R2462-S2462</f>
        <v/>
      </c>
      <c r="U2462" s="14">
        <f>L2462*G2462</f>
        <v/>
      </c>
    </row>
    <row r="2463">
      <c r="A2463" s="12" t="inlineStr">
        <is>
          <t>PO-2022-2461</t>
        </is>
      </c>
      <c r="B2463" s="26" t="n">
        <v>45137</v>
      </c>
      <c r="C2463" s="12" t="inlineStr">
        <is>
          <t>VS22</t>
        </is>
      </c>
      <c r="D2463" s="12" t="inlineStr">
        <is>
          <t>Square/Rect Tubes</t>
        </is>
      </c>
      <c r="E2463" s="12" t="inlineStr">
        <is>
          <t>N</t>
        </is>
      </c>
      <c r="F2463" s="12" t="n">
        <v>13.48</v>
      </c>
      <c r="G2463" s="17" t="n">
        <v>50403.77</v>
      </c>
      <c r="H2463" s="26" t="n">
        <v>45141</v>
      </c>
      <c r="I2463" s="26" t="n">
        <v>45144</v>
      </c>
      <c r="J2463" s="12" t="n">
        <v>13.36</v>
      </c>
      <c r="K2463" s="17" t="n">
        <v>679442.8199999999</v>
      </c>
      <c r="L2463" s="12" t="n">
        <v>0</v>
      </c>
      <c r="M2463" s="12" t="n">
        <v>0</v>
      </c>
      <c r="N2463" s="27">
        <f>F2463-J2463</f>
        <v/>
      </c>
      <c r="O2463" s="16">
        <f>I2463-H2463</f>
        <v/>
      </c>
      <c r="P2463" s="14">
        <f>F2463*G2463</f>
        <v/>
      </c>
      <c r="Q2463" s="14">
        <f>J2463*G2463</f>
        <v/>
      </c>
      <c r="R2463" s="14">
        <f>K2463-Q2463</f>
        <v/>
      </c>
      <c r="S2463" s="3">
        <f>P2463*Assumptions!$B$3/100</f>
        <v/>
      </c>
      <c r="T2463" s="14">
        <f>R2463-S2463</f>
        <v/>
      </c>
      <c r="U2463" s="14">
        <f>L2463*G2463</f>
        <v/>
      </c>
    </row>
    <row r="2464">
      <c r="A2464" s="12" t="inlineStr">
        <is>
          <t>PO-2022-2462</t>
        </is>
      </c>
      <c r="B2464" s="26" t="n">
        <v>44968</v>
      </c>
      <c r="C2464" s="12" t="inlineStr">
        <is>
          <t>VS26</t>
        </is>
      </c>
      <c r="D2464" s="12" t="inlineStr">
        <is>
          <t>MS Pipes</t>
        </is>
      </c>
      <c r="E2464" s="12" t="inlineStr">
        <is>
          <t>N</t>
        </is>
      </c>
      <c r="F2464" s="12" t="n">
        <v>4.26</v>
      </c>
      <c r="G2464" s="17" t="n">
        <v>105899.34</v>
      </c>
      <c r="H2464" s="26" t="n">
        <v>44975</v>
      </c>
      <c r="I2464" s="26" t="n">
        <v>44976</v>
      </c>
      <c r="J2464" s="12" t="n">
        <v>4.23</v>
      </c>
      <c r="K2464" s="17" t="n">
        <v>451131.19</v>
      </c>
      <c r="L2464" s="12" t="n">
        <v>0</v>
      </c>
      <c r="M2464" s="12" t="n">
        <v>0</v>
      </c>
      <c r="N2464" s="27">
        <f>F2464-J2464</f>
        <v/>
      </c>
      <c r="O2464" s="16">
        <f>I2464-H2464</f>
        <v/>
      </c>
      <c r="P2464" s="14">
        <f>F2464*G2464</f>
        <v/>
      </c>
      <c r="Q2464" s="14">
        <f>J2464*G2464</f>
        <v/>
      </c>
      <c r="R2464" s="14">
        <f>K2464-Q2464</f>
        <v/>
      </c>
      <c r="S2464" s="3">
        <f>P2464*Assumptions!$B$3/100</f>
        <v/>
      </c>
      <c r="T2464" s="14">
        <f>R2464-S2464</f>
        <v/>
      </c>
      <c r="U2464" s="14">
        <f>L2464*G2464</f>
        <v/>
      </c>
    </row>
    <row r="2465">
      <c r="A2465" s="12" t="inlineStr">
        <is>
          <t>PO-2022-2463</t>
        </is>
      </c>
      <c r="B2465" s="26" t="n">
        <v>45210</v>
      </c>
      <c r="C2465" s="12" t="inlineStr">
        <is>
          <t>VS30</t>
        </is>
      </c>
      <c r="D2465" s="12" t="inlineStr">
        <is>
          <t>Spring Steel</t>
        </is>
      </c>
      <c r="E2465" s="12" t="inlineStr">
        <is>
          <t>N</t>
        </is>
      </c>
      <c r="F2465" s="12" t="n">
        <v>29.6</v>
      </c>
      <c r="G2465" s="17" t="n">
        <v>65781.87</v>
      </c>
      <c r="H2465" s="26" t="n">
        <v>45222</v>
      </c>
      <c r="I2465" s="26" t="n">
        <v>45222</v>
      </c>
      <c r="J2465" s="12" t="n">
        <v>29.6</v>
      </c>
      <c r="K2465" s="17" t="n">
        <v>1947143.35</v>
      </c>
      <c r="L2465" s="12" t="n">
        <v>0</v>
      </c>
      <c r="M2465" s="12" t="n">
        <v>14</v>
      </c>
      <c r="N2465" s="27">
        <f>F2465-J2465</f>
        <v/>
      </c>
      <c r="O2465" s="16">
        <f>I2465-H2465</f>
        <v/>
      </c>
      <c r="P2465" s="14">
        <f>F2465*G2465</f>
        <v/>
      </c>
      <c r="Q2465" s="14">
        <f>J2465*G2465</f>
        <v/>
      </c>
      <c r="R2465" s="14">
        <f>K2465-Q2465</f>
        <v/>
      </c>
      <c r="S2465" s="3">
        <f>P2465*Assumptions!$B$3/100</f>
        <v/>
      </c>
      <c r="T2465" s="14">
        <f>R2465-S2465</f>
        <v/>
      </c>
      <c r="U2465" s="14">
        <f>L2465*G2465</f>
        <v/>
      </c>
    </row>
    <row r="2466">
      <c r="A2466" s="12" t="inlineStr">
        <is>
          <t>PO-2022-2464</t>
        </is>
      </c>
      <c r="B2466" s="26" t="n">
        <v>45058</v>
      </c>
      <c r="C2466" s="12" t="inlineStr">
        <is>
          <t>VS13</t>
        </is>
      </c>
      <c r="D2466" s="12" t="inlineStr">
        <is>
          <t>CR Sheets</t>
        </is>
      </c>
      <c r="E2466" s="12" t="inlineStr">
        <is>
          <t>Y</t>
        </is>
      </c>
      <c r="F2466" s="12" t="n">
        <v>3.5</v>
      </c>
      <c r="G2466" s="17" t="n">
        <v>77078.05</v>
      </c>
      <c r="H2466" s="26" t="n">
        <v>45068</v>
      </c>
      <c r="I2466" s="26" t="n">
        <v>45068</v>
      </c>
      <c r="J2466" s="12" t="n">
        <v>3.49</v>
      </c>
      <c r="K2466" s="17" t="n">
        <v>269773.17</v>
      </c>
      <c r="L2466" s="12" t="n">
        <v>0</v>
      </c>
      <c r="M2466" s="12" t="n">
        <v>14</v>
      </c>
      <c r="N2466" s="27">
        <f>F2466-J2466</f>
        <v/>
      </c>
      <c r="O2466" s="16">
        <f>I2466-H2466</f>
        <v/>
      </c>
      <c r="P2466" s="14">
        <f>F2466*G2466</f>
        <v/>
      </c>
      <c r="Q2466" s="14">
        <f>J2466*G2466</f>
        <v/>
      </c>
      <c r="R2466" s="14">
        <f>K2466-Q2466</f>
        <v/>
      </c>
      <c r="S2466" s="3">
        <f>P2466*Assumptions!$B$3/100</f>
        <v/>
      </c>
      <c r="T2466" s="14">
        <f>R2466-S2466</f>
        <v/>
      </c>
      <c r="U2466" s="14">
        <f>L2466*G2466</f>
        <v/>
      </c>
    </row>
    <row r="2467">
      <c r="A2467" s="12" t="inlineStr">
        <is>
          <t>PO-2022-2465</t>
        </is>
      </c>
      <c r="B2467" s="26" t="n">
        <v>44418</v>
      </c>
      <c r="C2467" s="12" t="inlineStr">
        <is>
          <t>VS31</t>
        </is>
      </c>
      <c r="D2467" s="12" t="inlineStr">
        <is>
          <t>GI Wire</t>
        </is>
      </c>
      <c r="E2467" s="12" t="inlineStr">
        <is>
          <t>N</t>
        </is>
      </c>
      <c r="F2467" s="12" t="n">
        <v>19.96</v>
      </c>
      <c r="G2467" s="17" t="n">
        <v>53958.36</v>
      </c>
      <c r="H2467" s="26" t="n">
        <v>44423</v>
      </c>
      <c r="I2467" s="26" t="n">
        <v>44426</v>
      </c>
      <c r="J2467" s="12" t="n">
        <v>19.96</v>
      </c>
      <c r="K2467" s="17" t="n">
        <v>1077008.87</v>
      </c>
      <c r="L2467" s="12" t="n">
        <v>0</v>
      </c>
      <c r="M2467" s="12" t="n">
        <v>21</v>
      </c>
      <c r="N2467" s="27">
        <f>F2467-J2467</f>
        <v/>
      </c>
      <c r="O2467" s="16">
        <f>I2467-H2467</f>
        <v/>
      </c>
      <c r="P2467" s="14">
        <f>F2467*G2467</f>
        <v/>
      </c>
      <c r="Q2467" s="14">
        <f>J2467*G2467</f>
        <v/>
      </c>
      <c r="R2467" s="14">
        <f>K2467-Q2467</f>
        <v/>
      </c>
      <c r="S2467" s="3">
        <f>P2467*Assumptions!$B$3/100</f>
        <v/>
      </c>
      <c r="T2467" s="14">
        <f>R2467-S2467</f>
        <v/>
      </c>
      <c r="U2467" s="14">
        <f>L2467*G2467</f>
        <v/>
      </c>
    </row>
    <row r="2468">
      <c r="A2468" s="12" t="inlineStr">
        <is>
          <t>PO-2022-2466</t>
        </is>
      </c>
      <c r="B2468" s="26" t="n">
        <v>44448</v>
      </c>
      <c r="C2468" s="12" t="inlineStr">
        <is>
          <t>VS24</t>
        </is>
      </c>
      <c r="D2468" s="12" t="inlineStr">
        <is>
          <t>GI Pipes</t>
        </is>
      </c>
      <c r="E2468" s="12" t="inlineStr">
        <is>
          <t>N</t>
        </is>
      </c>
      <c r="F2468" s="12" t="n">
        <v>3.01</v>
      </c>
      <c r="G2468" s="17" t="n">
        <v>50271</v>
      </c>
      <c r="H2468" s="26" t="n">
        <v>44452</v>
      </c>
      <c r="I2468" s="26" t="n">
        <v>44453</v>
      </c>
      <c r="J2468" s="12" t="n">
        <v>2.99</v>
      </c>
      <c r="K2468" s="17" t="n">
        <v>151315.71</v>
      </c>
      <c r="L2468" s="12" t="n">
        <v>0</v>
      </c>
      <c r="M2468" s="12" t="n">
        <v>6</v>
      </c>
      <c r="N2468" s="27">
        <f>F2468-J2468</f>
        <v/>
      </c>
      <c r="O2468" s="16">
        <f>I2468-H2468</f>
        <v/>
      </c>
      <c r="P2468" s="14">
        <f>F2468*G2468</f>
        <v/>
      </c>
      <c r="Q2468" s="14">
        <f>J2468*G2468</f>
        <v/>
      </c>
      <c r="R2468" s="14">
        <f>K2468-Q2468</f>
        <v/>
      </c>
      <c r="S2468" s="3">
        <f>P2468*Assumptions!$B$3/100</f>
        <v/>
      </c>
      <c r="T2468" s="14">
        <f>R2468-S2468</f>
        <v/>
      </c>
      <c r="U2468" s="14">
        <f>L2468*G2468</f>
        <v/>
      </c>
    </row>
    <row r="2469">
      <c r="A2469" s="12" t="inlineStr">
        <is>
          <t>PO-2022-2467</t>
        </is>
      </c>
      <c r="B2469" s="26" t="n">
        <v>44746</v>
      </c>
      <c r="C2469" s="12" t="inlineStr">
        <is>
          <t>VS09</t>
        </is>
      </c>
      <c r="D2469" s="12" t="inlineStr">
        <is>
          <t>ERW Pipes</t>
        </is>
      </c>
      <c r="E2469" s="12" t="inlineStr">
        <is>
          <t>N</t>
        </is>
      </c>
      <c r="F2469" s="12" t="n">
        <v>46.36</v>
      </c>
      <c r="G2469" s="17" t="n">
        <v>96504.32000000001</v>
      </c>
      <c r="H2469" s="26" t="n">
        <v>44752</v>
      </c>
      <c r="I2469" s="26" t="n">
        <v>44752</v>
      </c>
      <c r="J2469" s="12" t="n">
        <v>46.2</v>
      </c>
      <c r="K2469" s="17" t="n">
        <v>4473940.28</v>
      </c>
      <c r="L2469" s="12" t="n">
        <v>0</v>
      </c>
      <c r="M2469" s="12" t="n">
        <v>0</v>
      </c>
      <c r="N2469" s="27">
        <f>F2469-J2469</f>
        <v/>
      </c>
      <c r="O2469" s="16">
        <f>I2469-H2469</f>
        <v/>
      </c>
      <c r="P2469" s="14">
        <f>F2469*G2469</f>
        <v/>
      </c>
      <c r="Q2469" s="14">
        <f>J2469*G2469</f>
        <v/>
      </c>
      <c r="R2469" s="14">
        <f>K2469-Q2469</f>
        <v/>
      </c>
      <c r="S2469" s="3">
        <f>P2469*Assumptions!$B$3/100</f>
        <v/>
      </c>
      <c r="T2469" s="14">
        <f>R2469-S2469</f>
        <v/>
      </c>
      <c r="U2469" s="14">
        <f>L2469*G2469</f>
        <v/>
      </c>
    </row>
    <row r="2470">
      <c r="A2470" s="12" t="inlineStr">
        <is>
          <t>PO-2022-2468</t>
        </is>
      </c>
      <c r="B2470" s="26" t="n">
        <v>44278</v>
      </c>
      <c r="C2470" s="12" t="inlineStr">
        <is>
          <t>VS04</t>
        </is>
      </c>
      <c r="D2470" s="12" t="inlineStr">
        <is>
          <t>MS Pipes</t>
        </is>
      </c>
      <c r="E2470" s="12" t="inlineStr">
        <is>
          <t>N</t>
        </is>
      </c>
      <c r="F2470" s="12" t="n">
        <v>6.46</v>
      </c>
      <c r="G2470" s="17" t="n">
        <v>118262.72</v>
      </c>
      <c r="H2470" s="26" t="n">
        <v>44292</v>
      </c>
      <c r="I2470" s="26" t="n">
        <v>44295</v>
      </c>
      <c r="J2470" s="12" t="n">
        <v>6.41</v>
      </c>
      <c r="K2470" s="17" t="n">
        <v>763977.17</v>
      </c>
      <c r="L2470" s="12" t="n">
        <v>0</v>
      </c>
      <c r="M2470" s="12" t="n">
        <v>0</v>
      </c>
      <c r="N2470" s="27">
        <f>F2470-J2470</f>
        <v/>
      </c>
      <c r="O2470" s="16">
        <f>I2470-H2470</f>
        <v/>
      </c>
      <c r="P2470" s="14">
        <f>F2470*G2470</f>
        <v/>
      </c>
      <c r="Q2470" s="14">
        <f>J2470*G2470</f>
        <v/>
      </c>
      <c r="R2470" s="14">
        <f>K2470-Q2470</f>
        <v/>
      </c>
      <c r="S2470" s="3">
        <f>P2470*Assumptions!$B$3/100</f>
        <v/>
      </c>
      <c r="T2470" s="14">
        <f>R2470-S2470</f>
        <v/>
      </c>
      <c r="U2470" s="14">
        <f>L2470*G2470</f>
        <v/>
      </c>
    </row>
    <row r="2471">
      <c r="A2471" s="12" t="inlineStr">
        <is>
          <t>PO-2022-2469</t>
        </is>
      </c>
      <c r="B2471" s="26" t="n">
        <v>44764</v>
      </c>
      <c r="C2471" s="12" t="inlineStr">
        <is>
          <t>VS19</t>
        </is>
      </c>
      <c r="D2471" s="12" t="inlineStr">
        <is>
          <t>GI Wire</t>
        </is>
      </c>
      <c r="E2471" s="12" t="inlineStr">
        <is>
          <t>N</t>
        </is>
      </c>
      <c r="F2471" s="12" t="n">
        <v>12.79</v>
      </c>
      <c r="G2471" s="17" t="n">
        <v>63994.13</v>
      </c>
      <c r="H2471" s="26" t="n">
        <v>44776</v>
      </c>
      <c r="I2471" s="26" t="n">
        <v>44781</v>
      </c>
      <c r="J2471" s="12" t="n">
        <v>12.22</v>
      </c>
      <c r="K2471" s="17" t="n">
        <v>818484.92</v>
      </c>
      <c r="L2471" s="12" t="n">
        <v>0.05</v>
      </c>
      <c r="M2471" s="12" t="n">
        <v>0</v>
      </c>
      <c r="N2471" s="27">
        <f>F2471-J2471</f>
        <v/>
      </c>
      <c r="O2471" s="16">
        <f>I2471-H2471</f>
        <v/>
      </c>
      <c r="P2471" s="14">
        <f>F2471*G2471</f>
        <v/>
      </c>
      <c r="Q2471" s="14">
        <f>J2471*G2471</f>
        <v/>
      </c>
      <c r="R2471" s="14">
        <f>K2471-Q2471</f>
        <v/>
      </c>
      <c r="S2471" s="3">
        <f>P2471*Assumptions!$B$3/100</f>
        <v/>
      </c>
      <c r="T2471" s="14">
        <f>R2471-S2471</f>
        <v/>
      </c>
      <c r="U2471" s="14">
        <f>L2471*G2471</f>
        <v/>
      </c>
    </row>
    <row r="2472">
      <c r="A2472" s="12" t="inlineStr">
        <is>
          <t>PO-2022-2470</t>
        </is>
      </c>
      <c r="B2472" s="26" t="n">
        <v>44743</v>
      </c>
      <c r="C2472" s="12" t="inlineStr">
        <is>
          <t>VS23</t>
        </is>
      </c>
      <c r="D2472" s="12" t="inlineStr">
        <is>
          <t>HR Coils</t>
        </is>
      </c>
      <c r="E2472" s="12" t="inlineStr">
        <is>
          <t>Y</t>
        </is>
      </c>
      <c r="F2472" s="12" t="n">
        <v>8.43</v>
      </c>
      <c r="G2472" s="17" t="n">
        <v>86528.27</v>
      </c>
      <c r="H2472" s="26" t="n">
        <v>44751</v>
      </c>
      <c r="I2472" s="26" t="n">
        <v>44754</v>
      </c>
      <c r="J2472" s="12" t="n">
        <v>8.41</v>
      </c>
      <c r="K2472" s="17" t="n">
        <v>729433.3199999999</v>
      </c>
      <c r="L2472" s="12" t="n">
        <v>0</v>
      </c>
      <c r="M2472" s="12" t="n">
        <v>0</v>
      </c>
      <c r="N2472" s="27">
        <f>F2472-J2472</f>
        <v/>
      </c>
      <c r="O2472" s="16">
        <f>I2472-H2472</f>
        <v/>
      </c>
      <c r="P2472" s="14">
        <f>F2472*G2472</f>
        <v/>
      </c>
      <c r="Q2472" s="14">
        <f>J2472*G2472</f>
        <v/>
      </c>
      <c r="R2472" s="14">
        <f>K2472-Q2472</f>
        <v/>
      </c>
      <c r="S2472" s="3">
        <f>P2472*Assumptions!$B$3/100</f>
        <v/>
      </c>
      <c r="T2472" s="14">
        <f>R2472-S2472</f>
        <v/>
      </c>
      <c r="U2472" s="14">
        <f>L2472*G2472</f>
        <v/>
      </c>
    </row>
    <row r="2473">
      <c r="A2473" s="12" t="inlineStr">
        <is>
          <t>PO-2022-2471</t>
        </is>
      </c>
      <c r="B2473" s="26" t="n">
        <v>44647</v>
      </c>
      <c r="C2473" s="12" t="inlineStr">
        <is>
          <t>VS11</t>
        </is>
      </c>
      <c r="D2473" s="12" t="inlineStr">
        <is>
          <t>MS Rods</t>
        </is>
      </c>
      <c r="E2473" s="12" t="inlineStr">
        <is>
          <t>N</t>
        </is>
      </c>
      <c r="F2473" s="12" t="n">
        <v>10.95</v>
      </c>
      <c r="G2473" s="17" t="n">
        <v>91222.25</v>
      </c>
      <c r="H2473" s="26" t="n">
        <v>44652</v>
      </c>
      <c r="I2473" s="26" t="n">
        <v>44652</v>
      </c>
      <c r="J2473" s="12" t="n">
        <v>10.92</v>
      </c>
      <c r="K2473" s="17" t="n">
        <v>998883.64</v>
      </c>
      <c r="L2473" s="12" t="n">
        <v>0</v>
      </c>
      <c r="M2473" s="12" t="n">
        <v>0</v>
      </c>
      <c r="N2473" s="27">
        <f>F2473-J2473</f>
        <v/>
      </c>
      <c r="O2473" s="16">
        <f>I2473-H2473</f>
        <v/>
      </c>
      <c r="P2473" s="14">
        <f>F2473*G2473</f>
        <v/>
      </c>
      <c r="Q2473" s="14">
        <f>J2473*G2473</f>
        <v/>
      </c>
      <c r="R2473" s="14">
        <f>K2473-Q2473</f>
        <v/>
      </c>
      <c r="S2473" s="3">
        <f>P2473*Assumptions!$B$3/100</f>
        <v/>
      </c>
      <c r="T2473" s="14">
        <f>R2473-S2473</f>
        <v/>
      </c>
      <c r="U2473" s="14">
        <f>L2473*G2473</f>
        <v/>
      </c>
    </row>
    <row r="2474">
      <c r="A2474" s="12" t="inlineStr">
        <is>
          <t>PO-2022-2472</t>
        </is>
      </c>
      <c r="B2474" s="26" t="n">
        <v>44383</v>
      </c>
      <c r="C2474" s="12" t="inlineStr">
        <is>
          <t>VS18</t>
        </is>
      </c>
      <c r="D2474" s="12" t="inlineStr">
        <is>
          <t>Structural Steel</t>
        </is>
      </c>
      <c r="E2474" s="12" t="inlineStr">
        <is>
          <t>N</t>
        </is>
      </c>
      <c r="F2474" s="12" t="n">
        <v>7.1</v>
      </c>
      <c r="G2474" s="17" t="n">
        <v>63464.47</v>
      </c>
      <c r="H2474" s="26" t="n">
        <v>44392</v>
      </c>
      <c r="I2474" s="26" t="n">
        <v>44394</v>
      </c>
      <c r="J2474" s="12" t="n">
        <v>7.09</v>
      </c>
      <c r="K2474" s="17" t="n">
        <v>450597.74</v>
      </c>
      <c r="L2474" s="12" t="n">
        <v>0</v>
      </c>
      <c r="M2474" s="12" t="n">
        <v>8</v>
      </c>
      <c r="N2474" s="27">
        <f>F2474-J2474</f>
        <v/>
      </c>
      <c r="O2474" s="16">
        <f>I2474-H2474</f>
        <v/>
      </c>
      <c r="P2474" s="14">
        <f>F2474*G2474</f>
        <v/>
      </c>
      <c r="Q2474" s="14">
        <f>J2474*G2474</f>
        <v/>
      </c>
      <c r="R2474" s="14">
        <f>K2474-Q2474</f>
        <v/>
      </c>
      <c r="S2474" s="3">
        <f>P2474*Assumptions!$B$3/100</f>
        <v/>
      </c>
      <c r="T2474" s="14">
        <f>R2474-S2474</f>
        <v/>
      </c>
      <c r="U2474" s="14">
        <f>L2474*G2474</f>
        <v/>
      </c>
    </row>
    <row r="2475">
      <c r="A2475" s="12" t="inlineStr">
        <is>
          <t>PO-2022-2473</t>
        </is>
      </c>
      <c r="B2475" s="26" t="n">
        <v>44649</v>
      </c>
      <c r="C2475" s="12" t="inlineStr">
        <is>
          <t>VS16</t>
        </is>
      </c>
      <c r="D2475" s="12" t="inlineStr">
        <is>
          <t>Fasteners &amp; Fittings</t>
        </is>
      </c>
      <c r="E2475" s="12" t="inlineStr">
        <is>
          <t>N</t>
        </is>
      </c>
      <c r="F2475" s="12" t="n">
        <v>30.87</v>
      </c>
      <c r="G2475" s="17" t="n">
        <v>111891.39</v>
      </c>
      <c r="H2475" s="26" t="n">
        <v>44655</v>
      </c>
      <c r="I2475" s="26" t="n">
        <v>44658</v>
      </c>
      <c r="J2475" s="12" t="n">
        <v>30.6</v>
      </c>
      <c r="K2475" s="17" t="n">
        <v>3454087.21</v>
      </c>
      <c r="L2475" s="12" t="n">
        <v>0</v>
      </c>
      <c r="M2475" s="12" t="n">
        <v>24</v>
      </c>
      <c r="N2475" s="27">
        <f>F2475-J2475</f>
        <v/>
      </c>
      <c r="O2475" s="16">
        <f>I2475-H2475</f>
        <v/>
      </c>
      <c r="P2475" s="14">
        <f>F2475*G2475</f>
        <v/>
      </c>
      <c r="Q2475" s="14">
        <f>J2475*G2475</f>
        <v/>
      </c>
      <c r="R2475" s="14">
        <f>K2475-Q2475</f>
        <v/>
      </c>
      <c r="S2475" s="3">
        <f>P2475*Assumptions!$B$3/100</f>
        <v/>
      </c>
      <c r="T2475" s="14">
        <f>R2475-S2475</f>
        <v/>
      </c>
      <c r="U2475" s="14">
        <f>L2475*G2475</f>
        <v/>
      </c>
    </row>
    <row r="2476">
      <c r="A2476" s="12" t="inlineStr">
        <is>
          <t>PO-2022-2474</t>
        </is>
      </c>
      <c r="B2476" s="26" t="n">
        <v>44769</v>
      </c>
      <c r="C2476" s="12" t="inlineStr">
        <is>
          <t>VS07</t>
        </is>
      </c>
      <c r="D2476" s="12" t="inlineStr">
        <is>
          <t>MS Pipes</t>
        </is>
      </c>
      <c r="E2476" s="12" t="inlineStr">
        <is>
          <t>N</t>
        </is>
      </c>
      <c r="F2476" s="12" t="n">
        <v>12.7</v>
      </c>
      <c r="G2476" s="17" t="n">
        <v>68137.07000000001</v>
      </c>
      <c r="H2476" s="26" t="n">
        <v>44781</v>
      </c>
      <c r="I2476" s="26" t="n">
        <v>44783</v>
      </c>
      <c r="J2476" s="12" t="n">
        <v>12.67</v>
      </c>
      <c r="K2476" s="17" t="n">
        <v>865340.79</v>
      </c>
      <c r="L2476" s="12" t="n">
        <v>0</v>
      </c>
      <c r="M2476" s="12" t="n">
        <v>1</v>
      </c>
      <c r="N2476" s="27">
        <f>F2476-J2476</f>
        <v/>
      </c>
      <c r="O2476" s="16">
        <f>I2476-H2476</f>
        <v/>
      </c>
      <c r="P2476" s="14">
        <f>F2476*G2476</f>
        <v/>
      </c>
      <c r="Q2476" s="14">
        <f>J2476*G2476</f>
        <v/>
      </c>
      <c r="R2476" s="14">
        <f>K2476-Q2476</f>
        <v/>
      </c>
      <c r="S2476" s="3">
        <f>P2476*Assumptions!$B$3/100</f>
        <v/>
      </c>
      <c r="T2476" s="14">
        <f>R2476-S2476</f>
        <v/>
      </c>
      <c r="U2476" s="14">
        <f>L2476*G2476</f>
        <v/>
      </c>
    </row>
    <row r="2477">
      <c r="A2477" s="12" t="inlineStr">
        <is>
          <t>PO-2022-2475</t>
        </is>
      </c>
      <c r="B2477" s="26" t="n">
        <v>44988</v>
      </c>
      <c r="C2477" s="12" t="inlineStr">
        <is>
          <t>VS29</t>
        </is>
      </c>
      <c r="D2477" s="12" t="inlineStr">
        <is>
          <t>GI Sheets</t>
        </is>
      </c>
      <c r="E2477" s="12" t="inlineStr">
        <is>
          <t>N</t>
        </is>
      </c>
      <c r="F2477" s="12" t="n">
        <v>12.38</v>
      </c>
      <c r="G2477" s="17" t="n">
        <v>108546.17</v>
      </c>
      <c r="H2477" s="26" t="n">
        <v>44997</v>
      </c>
      <c r="I2477" s="26" t="n">
        <v>45000</v>
      </c>
      <c r="J2477" s="12" t="n">
        <v>12.29</v>
      </c>
      <c r="K2477" s="17" t="n">
        <v>1343801.58</v>
      </c>
      <c r="L2477" s="12" t="n">
        <v>0</v>
      </c>
      <c r="M2477" s="12" t="n">
        <v>0</v>
      </c>
      <c r="N2477" s="27">
        <f>F2477-J2477</f>
        <v/>
      </c>
      <c r="O2477" s="16">
        <f>I2477-H2477</f>
        <v/>
      </c>
      <c r="P2477" s="14">
        <f>F2477*G2477</f>
        <v/>
      </c>
      <c r="Q2477" s="14">
        <f>J2477*G2477</f>
        <v/>
      </c>
      <c r="R2477" s="14">
        <f>K2477-Q2477</f>
        <v/>
      </c>
      <c r="S2477" s="3">
        <f>P2477*Assumptions!$B$3/100</f>
        <v/>
      </c>
      <c r="T2477" s="14">
        <f>R2477-S2477</f>
        <v/>
      </c>
      <c r="U2477" s="14">
        <f>L2477*G2477</f>
        <v/>
      </c>
    </row>
    <row r="2478">
      <c r="A2478" s="12" t="inlineStr">
        <is>
          <t>PO-2022-2476</t>
        </is>
      </c>
      <c r="B2478" s="26" t="n">
        <v>45106</v>
      </c>
      <c r="C2478" s="12" t="inlineStr">
        <is>
          <t>VS29</t>
        </is>
      </c>
      <c r="D2478" s="12" t="inlineStr">
        <is>
          <t>Square/Rect Tubes</t>
        </is>
      </c>
      <c r="E2478" s="12" t="inlineStr">
        <is>
          <t>N</t>
        </is>
      </c>
      <c r="F2478" s="12" t="n">
        <v>37.22</v>
      </c>
      <c r="G2478" s="17" t="n">
        <v>73835.66</v>
      </c>
      <c r="H2478" s="26" t="n">
        <v>45118</v>
      </c>
      <c r="I2478" s="26" t="n">
        <v>45119</v>
      </c>
      <c r="J2478" s="12" t="n">
        <v>37.03</v>
      </c>
      <c r="K2478" s="17" t="n">
        <v>2748163.27</v>
      </c>
      <c r="L2478" s="12" t="n">
        <v>0</v>
      </c>
      <c r="M2478" s="12" t="n">
        <v>0</v>
      </c>
      <c r="N2478" s="27">
        <f>F2478-J2478</f>
        <v/>
      </c>
      <c r="O2478" s="16">
        <f>I2478-H2478</f>
        <v/>
      </c>
      <c r="P2478" s="14">
        <f>F2478*G2478</f>
        <v/>
      </c>
      <c r="Q2478" s="14">
        <f>J2478*G2478</f>
        <v/>
      </c>
      <c r="R2478" s="14">
        <f>K2478-Q2478</f>
        <v/>
      </c>
      <c r="S2478" s="3">
        <f>P2478*Assumptions!$B$3/100</f>
        <v/>
      </c>
      <c r="T2478" s="14">
        <f>R2478-S2478</f>
        <v/>
      </c>
      <c r="U2478" s="14">
        <f>L2478*G2478</f>
        <v/>
      </c>
    </row>
    <row r="2479">
      <c r="A2479" s="12" t="inlineStr">
        <is>
          <t>PO-2022-2477</t>
        </is>
      </c>
      <c r="B2479" s="26" t="n">
        <v>44975</v>
      </c>
      <c r="C2479" s="12" t="inlineStr">
        <is>
          <t>VS02</t>
        </is>
      </c>
      <c r="D2479" s="12" t="inlineStr">
        <is>
          <t>Spring Steel</t>
        </is>
      </c>
      <c r="E2479" s="12" t="inlineStr">
        <is>
          <t>Y</t>
        </is>
      </c>
      <c r="F2479" s="12" t="n">
        <v>38.49</v>
      </c>
      <c r="G2479" s="17" t="n">
        <v>60384.66</v>
      </c>
      <c r="H2479" s="26" t="n">
        <v>44988</v>
      </c>
      <c r="I2479" s="26" t="n">
        <v>44989</v>
      </c>
      <c r="J2479" s="12" t="n">
        <v>38.35</v>
      </c>
      <c r="K2479" s="17" t="n">
        <v>2324205.56</v>
      </c>
      <c r="L2479" s="12" t="n">
        <v>0</v>
      </c>
      <c r="M2479" s="12" t="n">
        <v>0</v>
      </c>
      <c r="N2479" s="27">
        <f>F2479-J2479</f>
        <v/>
      </c>
      <c r="O2479" s="16">
        <f>I2479-H2479</f>
        <v/>
      </c>
      <c r="P2479" s="14">
        <f>F2479*G2479</f>
        <v/>
      </c>
      <c r="Q2479" s="14">
        <f>J2479*G2479</f>
        <v/>
      </c>
      <c r="R2479" s="14">
        <f>K2479-Q2479</f>
        <v/>
      </c>
      <c r="S2479" s="3">
        <f>P2479*Assumptions!$B$3/100</f>
        <v/>
      </c>
      <c r="T2479" s="14">
        <f>R2479-S2479</f>
        <v/>
      </c>
      <c r="U2479" s="14">
        <f>L2479*G2479</f>
        <v/>
      </c>
    </row>
    <row r="2480">
      <c r="A2480" s="12" t="inlineStr">
        <is>
          <t>PO-2022-2478</t>
        </is>
      </c>
      <c r="B2480" s="26" t="n">
        <v>45203</v>
      </c>
      <c r="C2480" s="12" t="inlineStr">
        <is>
          <t>VS28</t>
        </is>
      </c>
      <c r="D2480" s="12" t="inlineStr">
        <is>
          <t>Hex Bars</t>
        </is>
      </c>
      <c r="E2480" s="12" t="inlineStr">
        <is>
          <t>N</t>
        </is>
      </c>
      <c r="F2480" s="12" t="n">
        <v>17.77</v>
      </c>
      <c r="G2480" s="17" t="n">
        <v>46553.69</v>
      </c>
      <c r="H2480" s="26" t="n">
        <v>45214</v>
      </c>
      <c r="I2480" s="26" t="n">
        <v>45214</v>
      </c>
      <c r="J2480" s="12" t="n">
        <v>17.72</v>
      </c>
      <c r="K2480" s="17" t="n">
        <v>827259.0699999999</v>
      </c>
      <c r="L2480" s="12" t="n">
        <v>0</v>
      </c>
      <c r="M2480" s="12" t="n">
        <v>9</v>
      </c>
      <c r="N2480" s="27">
        <f>F2480-J2480</f>
        <v/>
      </c>
      <c r="O2480" s="16">
        <f>I2480-H2480</f>
        <v/>
      </c>
      <c r="P2480" s="14">
        <f>F2480*G2480</f>
        <v/>
      </c>
      <c r="Q2480" s="14">
        <f>J2480*G2480</f>
        <v/>
      </c>
      <c r="R2480" s="14">
        <f>K2480-Q2480</f>
        <v/>
      </c>
      <c r="S2480" s="3">
        <f>P2480*Assumptions!$B$3/100</f>
        <v/>
      </c>
      <c r="T2480" s="14">
        <f>R2480-S2480</f>
        <v/>
      </c>
      <c r="U2480" s="14">
        <f>L2480*G2480</f>
        <v/>
      </c>
    </row>
    <row r="2481">
      <c r="A2481" s="12" t="inlineStr">
        <is>
          <t>PO-2022-2479</t>
        </is>
      </c>
      <c r="B2481" s="26" t="n">
        <v>44991</v>
      </c>
      <c r="C2481" s="12" t="inlineStr">
        <is>
          <t>VS29</t>
        </is>
      </c>
      <c r="D2481" s="12" t="inlineStr">
        <is>
          <t>GI Sheets</t>
        </is>
      </c>
      <c r="E2481" s="12" t="inlineStr">
        <is>
          <t>N</t>
        </is>
      </c>
      <c r="F2481" s="12" t="n">
        <v>19.28</v>
      </c>
      <c r="G2481" s="17" t="n">
        <v>97759.23</v>
      </c>
      <c r="H2481" s="26" t="n">
        <v>45003</v>
      </c>
      <c r="I2481" s="26" t="n">
        <v>45006</v>
      </c>
      <c r="J2481" s="12" t="n">
        <v>19.12</v>
      </c>
      <c r="K2481" s="17" t="n">
        <v>1884797.95</v>
      </c>
      <c r="L2481" s="12" t="n">
        <v>0</v>
      </c>
      <c r="M2481" s="12" t="n">
        <v>8</v>
      </c>
      <c r="N2481" s="27">
        <f>F2481-J2481</f>
        <v/>
      </c>
      <c r="O2481" s="16">
        <f>I2481-H2481</f>
        <v/>
      </c>
      <c r="P2481" s="14">
        <f>F2481*G2481</f>
        <v/>
      </c>
      <c r="Q2481" s="14">
        <f>J2481*G2481</f>
        <v/>
      </c>
      <c r="R2481" s="14">
        <f>K2481-Q2481</f>
        <v/>
      </c>
      <c r="S2481" s="3">
        <f>P2481*Assumptions!$B$3/100</f>
        <v/>
      </c>
      <c r="T2481" s="14">
        <f>R2481-S2481</f>
        <v/>
      </c>
      <c r="U2481" s="14">
        <f>L2481*G2481</f>
        <v/>
      </c>
    </row>
    <row r="2482">
      <c r="A2482" s="12" t="inlineStr">
        <is>
          <t>PO-2022-2480</t>
        </is>
      </c>
      <c r="B2482" s="26" t="n">
        <v>44970</v>
      </c>
      <c r="C2482" s="12" t="inlineStr">
        <is>
          <t>VS11</t>
        </is>
      </c>
      <c r="D2482" s="12" t="inlineStr">
        <is>
          <t>MS Rods</t>
        </is>
      </c>
      <c r="E2482" s="12" t="inlineStr">
        <is>
          <t>N</t>
        </is>
      </c>
      <c r="F2482" s="12" t="n">
        <v>11.15</v>
      </c>
      <c r="G2482" s="17" t="n">
        <v>68565.88</v>
      </c>
      <c r="H2482" s="26" t="n">
        <v>44979</v>
      </c>
      <c r="I2482" s="26" t="n">
        <v>44981</v>
      </c>
      <c r="J2482" s="12" t="n">
        <v>11.11</v>
      </c>
      <c r="K2482" s="17" t="n">
        <v>764509.5600000001</v>
      </c>
      <c r="L2482" s="12" t="n">
        <v>0</v>
      </c>
      <c r="M2482" s="12" t="n">
        <v>14</v>
      </c>
      <c r="N2482" s="27">
        <f>F2482-J2482</f>
        <v/>
      </c>
      <c r="O2482" s="16">
        <f>I2482-H2482</f>
        <v/>
      </c>
      <c r="P2482" s="14">
        <f>F2482*G2482</f>
        <v/>
      </c>
      <c r="Q2482" s="14">
        <f>J2482*G2482</f>
        <v/>
      </c>
      <c r="R2482" s="14">
        <f>K2482-Q2482</f>
        <v/>
      </c>
      <c r="S2482" s="3">
        <f>P2482*Assumptions!$B$3/100</f>
        <v/>
      </c>
      <c r="T2482" s="14">
        <f>R2482-S2482</f>
        <v/>
      </c>
      <c r="U2482" s="14">
        <f>L2482*G2482</f>
        <v/>
      </c>
    </row>
    <row r="2483">
      <c r="A2483" s="12" t="inlineStr">
        <is>
          <t>PO-2022-2481</t>
        </is>
      </c>
      <c r="B2483" s="26" t="n">
        <v>44758</v>
      </c>
      <c r="C2483" s="12" t="inlineStr">
        <is>
          <t>VS16</t>
        </is>
      </c>
      <c r="D2483" s="12" t="inlineStr">
        <is>
          <t>SS Sheets</t>
        </is>
      </c>
      <c r="E2483" s="12" t="inlineStr">
        <is>
          <t>N</t>
        </is>
      </c>
      <c r="F2483" s="12" t="n">
        <v>45.02</v>
      </c>
      <c r="G2483" s="17" t="n">
        <v>73458.3</v>
      </c>
      <c r="H2483" s="26" t="n">
        <v>44768</v>
      </c>
      <c r="I2483" s="26" t="n">
        <v>44768</v>
      </c>
      <c r="J2483" s="12" t="n">
        <v>44.85</v>
      </c>
      <c r="K2483" s="17" t="n">
        <v>3307092.67</v>
      </c>
      <c r="L2483" s="12" t="n">
        <v>0</v>
      </c>
      <c r="M2483" s="12" t="n">
        <v>0</v>
      </c>
      <c r="N2483" s="27">
        <f>F2483-J2483</f>
        <v/>
      </c>
      <c r="O2483" s="16">
        <f>I2483-H2483</f>
        <v/>
      </c>
      <c r="P2483" s="14">
        <f>F2483*G2483</f>
        <v/>
      </c>
      <c r="Q2483" s="14">
        <f>J2483*G2483</f>
        <v/>
      </c>
      <c r="R2483" s="14">
        <f>K2483-Q2483</f>
        <v/>
      </c>
      <c r="S2483" s="3">
        <f>P2483*Assumptions!$B$3/100</f>
        <v/>
      </c>
      <c r="T2483" s="14">
        <f>R2483-S2483</f>
        <v/>
      </c>
      <c r="U2483" s="14">
        <f>L2483*G2483</f>
        <v/>
      </c>
    </row>
    <row r="2484">
      <c r="A2484" s="12" t="inlineStr">
        <is>
          <t>PO-2022-2482</t>
        </is>
      </c>
      <c r="B2484" s="26" t="n">
        <v>44246</v>
      </c>
      <c r="C2484" s="12" t="inlineStr">
        <is>
          <t>VS16</t>
        </is>
      </c>
      <c r="D2484" s="12" t="inlineStr">
        <is>
          <t>SS Pipes</t>
        </is>
      </c>
      <c r="E2484" s="12" t="inlineStr">
        <is>
          <t>N</t>
        </is>
      </c>
      <c r="F2484" s="12" t="n">
        <v>23.16</v>
      </c>
      <c r="G2484" s="17" t="n">
        <v>105007.55</v>
      </c>
      <c r="H2484" s="26" t="n">
        <v>44255</v>
      </c>
      <c r="I2484" s="26" t="n">
        <v>44256</v>
      </c>
      <c r="J2484" s="12" t="n">
        <v>23.09</v>
      </c>
      <c r="K2484" s="17" t="n">
        <v>2431974.86</v>
      </c>
      <c r="L2484" s="12" t="n">
        <v>0</v>
      </c>
      <c r="M2484" s="12" t="n">
        <v>10</v>
      </c>
      <c r="N2484" s="27">
        <f>F2484-J2484</f>
        <v/>
      </c>
      <c r="O2484" s="16">
        <f>I2484-H2484</f>
        <v/>
      </c>
      <c r="P2484" s="14">
        <f>F2484*G2484</f>
        <v/>
      </c>
      <c r="Q2484" s="14">
        <f>J2484*G2484</f>
        <v/>
      </c>
      <c r="R2484" s="14">
        <f>K2484-Q2484</f>
        <v/>
      </c>
      <c r="S2484" s="3">
        <f>P2484*Assumptions!$B$3/100</f>
        <v/>
      </c>
      <c r="T2484" s="14">
        <f>R2484-S2484</f>
        <v/>
      </c>
      <c r="U2484" s="14">
        <f>L2484*G2484</f>
        <v/>
      </c>
    </row>
    <row r="2485">
      <c r="A2485" s="12" t="inlineStr">
        <is>
          <t>PO-2022-2483</t>
        </is>
      </c>
      <c r="B2485" s="26" t="n">
        <v>44903</v>
      </c>
      <c r="C2485" s="12" t="inlineStr">
        <is>
          <t>VS24</t>
        </is>
      </c>
      <c r="D2485" s="12" t="inlineStr">
        <is>
          <t>MS Rods</t>
        </is>
      </c>
      <c r="E2485" s="12" t="inlineStr">
        <is>
          <t>N</t>
        </is>
      </c>
      <c r="F2485" s="12" t="n">
        <v>2</v>
      </c>
      <c r="G2485" s="17" t="n">
        <v>77721.89</v>
      </c>
      <c r="H2485" s="26" t="n">
        <v>44913</v>
      </c>
      <c r="I2485" s="26" t="n">
        <v>44914</v>
      </c>
      <c r="J2485" s="12" t="n">
        <v>1.98</v>
      </c>
      <c r="K2485" s="17" t="n">
        <v>155443.78</v>
      </c>
      <c r="L2485" s="12" t="n">
        <v>0</v>
      </c>
      <c r="M2485" s="12" t="n">
        <v>0</v>
      </c>
      <c r="N2485" s="27">
        <f>F2485-J2485</f>
        <v/>
      </c>
      <c r="O2485" s="16">
        <f>I2485-H2485</f>
        <v/>
      </c>
      <c r="P2485" s="14">
        <f>F2485*G2485</f>
        <v/>
      </c>
      <c r="Q2485" s="14">
        <f>J2485*G2485</f>
        <v/>
      </c>
      <c r="R2485" s="14">
        <f>K2485-Q2485</f>
        <v/>
      </c>
      <c r="S2485" s="3">
        <f>P2485*Assumptions!$B$3/100</f>
        <v/>
      </c>
      <c r="T2485" s="14">
        <f>R2485-S2485</f>
        <v/>
      </c>
      <c r="U2485" s="14">
        <f>L2485*G2485</f>
        <v/>
      </c>
    </row>
    <row r="2486">
      <c r="A2486" s="12" t="inlineStr">
        <is>
          <t>PO-2022-2484</t>
        </is>
      </c>
      <c r="B2486" s="26" t="n">
        <v>45065</v>
      </c>
      <c r="C2486" s="12" t="inlineStr">
        <is>
          <t>VS06</t>
        </is>
      </c>
      <c r="D2486" s="12" t="inlineStr">
        <is>
          <t>GI Wire</t>
        </is>
      </c>
      <c r="E2486" s="12" t="inlineStr">
        <is>
          <t>N</t>
        </is>
      </c>
      <c r="F2486" s="12" t="n">
        <v>13.49</v>
      </c>
      <c r="G2486" s="17" t="n">
        <v>62141.76</v>
      </c>
      <c r="H2486" s="26" t="n">
        <v>45073</v>
      </c>
      <c r="I2486" s="26" t="n">
        <v>45073</v>
      </c>
      <c r="J2486" s="12" t="n">
        <v>13.36</v>
      </c>
      <c r="K2486" s="17" t="n">
        <v>838292.34</v>
      </c>
      <c r="L2486" s="12" t="n">
        <v>0</v>
      </c>
      <c r="M2486" s="12" t="n">
        <v>0</v>
      </c>
      <c r="N2486" s="27">
        <f>F2486-J2486</f>
        <v/>
      </c>
      <c r="O2486" s="16">
        <f>I2486-H2486</f>
        <v/>
      </c>
      <c r="P2486" s="14">
        <f>F2486*G2486</f>
        <v/>
      </c>
      <c r="Q2486" s="14">
        <f>J2486*G2486</f>
        <v/>
      </c>
      <c r="R2486" s="14">
        <f>K2486-Q2486</f>
        <v/>
      </c>
      <c r="S2486" s="3">
        <f>P2486*Assumptions!$B$3/100</f>
        <v/>
      </c>
      <c r="T2486" s="14">
        <f>R2486-S2486</f>
        <v/>
      </c>
      <c r="U2486" s="14">
        <f>L2486*G2486</f>
        <v/>
      </c>
    </row>
    <row r="2487">
      <c r="A2487" s="12" t="inlineStr">
        <is>
          <t>PO-2022-2485</t>
        </is>
      </c>
      <c r="B2487" s="26" t="n">
        <v>44729</v>
      </c>
      <c r="C2487" s="12" t="inlineStr">
        <is>
          <t>VS31</t>
        </is>
      </c>
      <c r="D2487" s="12" t="inlineStr">
        <is>
          <t>MS Sheets</t>
        </is>
      </c>
      <c r="E2487" s="12" t="inlineStr">
        <is>
          <t>N</t>
        </is>
      </c>
      <c r="F2487" s="12" t="n">
        <v>9.26</v>
      </c>
      <c r="G2487" s="17" t="n">
        <v>109023.52</v>
      </c>
      <c r="H2487" s="26" t="n">
        <v>44742</v>
      </c>
      <c r="I2487" s="26" t="n">
        <v>44742</v>
      </c>
      <c r="J2487" s="12" t="n">
        <v>9.19</v>
      </c>
      <c r="K2487" s="17" t="n">
        <v>1009557.8</v>
      </c>
      <c r="L2487" s="12" t="n">
        <v>0</v>
      </c>
      <c r="M2487" s="12" t="n">
        <v>1</v>
      </c>
      <c r="N2487" s="27">
        <f>F2487-J2487</f>
        <v/>
      </c>
      <c r="O2487" s="16">
        <f>I2487-H2487</f>
        <v/>
      </c>
      <c r="P2487" s="14">
        <f>F2487*G2487</f>
        <v/>
      </c>
      <c r="Q2487" s="14">
        <f>J2487*G2487</f>
        <v/>
      </c>
      <c r="R2487" s="14">
        <f>K2487-Q2487</f>
        <v/>
      </c>
      <c r="S2487" s="3">
        <f>P2487*Assumptions!$B$3/100</f>
        <v/>
      </c>
      <c r="T2487" s="14">
        <f>R2487-S2487</f>
        <v/>
      </c>
      <c r="U2487" s="14">
        <f>L2487*G2487</f>
        <v/>
      </c>
    </row>
    <row r="2488">
      <c r="A2488" s="12" t="inlineStr">
        <is>
          <t>PO-2022-2486</t>
        </is>
      </c>
      <c r="B2488" s="26" t="n">
        <v>45256</v>
      </c>
      <c r="C2488" s="12" t="inlineStr">
        <is>
          <t>VS34</t>
        </is>
      </c>
      <c r="D2488" s="12" t="inlineStr">
        <is>
          <t>GI Sheets</t>
        </is>
      </c>
      <c r="E2488" s="12" t="inlineStr">
        <is>
          <t>N</t>
        </is>
      </c>
      <c r="F2488" s="12" t="n">
        <v>42.45</v>
      </c>
      <c r="G2488" s="17" t="n">
        <v>118437.11</v>
      </c>
      <c r="H2488" s="26" t="n">
        <v>45264</v>
      </c>
      <c r="I2488" s="26" t="n">
        <v>45264</v>
      </c>
      <c r="J2488" s="12" t="n">
        <v>42.15</v>
      </c>
      <c r="K2488" s="17" t="n">
        <v>5027655.32</v>
      </c>
      <c r="L2488" s="12" t="n">
        <v>0</v>
      </c>
      <c r="M2488" s="12" t="n">
        <v>13</v>
      </c>
      <c r="N2488" s="27">
        <f>F2488-J2488</f>
        <v/>
      </c>
      <c r="O2488" s="16">
        <f>I2488-H2488</f>
        <v/>
      </c>
      <c r="P2488" s="14">
        <f>F2488*G2488</f>
        <v/>
      </c>
      <c r="Q2488" s="14">
        <f>J2488*G2488</f>
        <v/>
      </c>
      <c r="R2488" s="14">
        <f>K2488-Q2488</f>
        <v/>
      </c>
      <c r="S2488" s="3">
        <f>P2488*Assumptions!$B$3/100</f>
        <v/>
      </c>
      <c r="T2488" s="14">
        <f>R2488-S2488</f>
        <v/>
      </c>
      <c r="U2488" s="14">
        <f>L2488*G2488</f>
        <v/>
      </c>
    </row>
    <row r="2489">
      <c r="A2489" s="12" t="inlineStr">
        <is>
          <t>PO-2022-2487</t>
        </is>
      </c>
      <c r="B2489" s="26" t="n">
        <v>44295</v>
      </c>
      <c r="C2489" s="12" t="inlineStr">
        <is>
          <t>VS15</t>
        </is>
      </c>
      <c r="D2489" s="12" t="inlineStr">
        <is>
          <t>SS Pipes</t>
        </is>
      </c>
      <c r="E2489" s="12" t="inlineStr">
        <is>
          <t>N</t>
        </is>
      </c>
      <c r="F2489" s="12" t="n">
        <v>35.65</v>
      </c>
      <c r="G2489" s="17" t="n">
        <v>56906.53</v>
      </c>
      <c r="H2489" s="26" t="n">
        <v>44307</v>
      </c>
      <c r="I2489" s="26" t="n">
        <v>44309</v>
      </c>
      <c r="J2489" s="12" t="n">
        <v>35.62</v>
      </c>
      <c r="K2489" s="17" t="n">
        <v>2028717.79</v>
      </c>
      <c r="L2489" s="12" t="n">
        <v>0</v>
      </c>
      <c r="M2489" s="12" t="n">
        <v>6</v>
      </c>
      <c r="N2489" s="27">
        <f>F2489-J2489</f>
        <v/>
      </c>
      <c r="O2489" s="16">
        <f>I2489-H2489</f>
        <v/>
      </c>
      <c r="P2489" s="14">
        <f>F2489*G2489</f>
        <v/>
      </c>
      <c r="Q2489" s="14">
        <f>J2489*G2489</f>
        <v/>
      </c>
      <c r="R2489" s="14">
        <f>K2489-Q2489</f>
        <v/>
      </c>
      <c r="S2489" s="3">
        <f>P2489*Assumptions!$B$3/100</f>
        <v/>
      </c>
      <c r="T2489" s="14">
        <f>R2489-S2489</f>
        <v/>
      </c>
      <c r="U2489" s="14">
        <f>L2489*G2489</f>
        <v/>
      </c>
    </row>
    <row r="2490">
      <c r="A2490" s="12" t="inlineStr">
        <is>
          <t>PO-2022-2488</t>
        </is>
      </c>
      <c r="B2490" s="26" t="n">
        <v>44299</v>
      </c>
      <c r="C2490" s="12" t="inlineStr">
        <is>
          <t>VS17</t>
        </is>
      </c>
      <c r="D2490" s="12" t="inlineStr">
        <is>
          <t>SS Pipes</t>
        </is>
      </c>
      <c r="E2490" s="12" t="inlineStr">
        <is>
          <t>N</t>
        </is>
      </c>
      <c r="F2490" s="12" t="n">
        <v>26.74</v>
      </c>
      <c r="G2490" s="17" t="n">
        <v>64135.9</v>
      </c>
      <c r="H2490" s="26" t="n">
        <v>44304</v>
      </c>
      <c r="I2490" s="26" t="n">
        <v>44307</v>
      </c>
      <c r="J2490" s="12" t="n">
        <v>26.59</v>
      </c>
      <c r="K2490" s="17" t="n">
        <v>1714993.97</v>
      </c>
      <c r="L2490" s="12" t="n">
        <v>0</v>
      </c>
      <c r="M2490" s="12" t="n">
        <v>15</v>
      </c>
      <c r="N2490" s="27">
        <f>F2490-J2490</f>
        <v/>
      </c>
      <c r="O2490" s="16">
        <f>I2490-H2490</f>
        <v/>
      </c>
      <c r="P2490" s="14">
        <f>F2490*G2490</f>
        <v/>
      </c>
      <c r="Q2490" s="14">
        <f>J2490*G2490</f>
        <v/>
      </c>
      <c r="R2490" s="14">
        <f>K2490-Q2490</f>
        <v/>
      </c>
      <c r="S2490" s="3">
        <f>P2490*Assumptions!$B$3/100</f>
        <v/>
      </c>
      <c r="T2490" s="14">
        <f>R2490-S2490</f>
        <v/>
      </c>
      <c r="U2490" s="14">
        <f>L2490*G2490</f>
        <v/>
      </c>
    </row>
    <row r="2491">
      <c r="A2491" s="12" t="inlineStr">
        <is>
          <t>PO-2022-2489</t>
        </is>
      </c>
      <c r="B2491" s="26" t="n">
        <v>44797</v>
      </c>
      <c r="C2491" s="12" t="inlineStr">
        <is>
          <t>VS10</t>
        </is>
      </c>
      <c r="D2491" s="12" t="inlineStr">
        <is>
          <t>GI Wire</t>
        </is>
      </c>
      <c r="E2491" s="12" t="inlineStr">
        <is>
          <t>N</t>
        </is>
      </c>
      <c r="F2491" s="12" t="n">
        <v>14.65</v>
      </c>
      <c r="G2491" s="17" t="n">
        <v>113697.22</v>
      </c>
      <c r="H2491" s="26" t="n">
        <v>44803</v>
      </c>
      <c r="I2491" s="26" t="n">
        <v>44803</v>
      </c>
      <c r="J2491" s="12" t="n">
        <v>14.56</v>
      </c>
      <c r="K2491" s="17" t="n">
        <v>1665664.27</v>
      </c>
      <c r="L2491" s="12" t="n">
        <v>0</v>
      </c>
      <c r="M2491" s="12" t="n">
        <v>6</v>
      </c>
      <c r="N2491" s="27">
        <f>F2491-J2491</f>
        <v/>
      </c>
      <c r="O2491" s="16">
        <f>I2491-H2491</f>
        <v/>
      </c>
      <c r="P2491" s="14">
        <f>F2491*G2491</f>
        <v/>
      </c>
      <c r="Q2491" s="14">
        <f>J2491*G2491</f>
        <v/>
      </c>
      <c r="R2491" s="14">
        <f>K2491-Q2491</f>
        <v/>
      </c>
      <c r="S2491" s="3">
        <f>P2491*Assumptions!$B$3/100</f>
        <v/>
      </c>
      <c r="T2491" s="14">
        <f>R2491-S2491</f>
        <v/>
      </c>
      <c r="U2491" s="14">
        <f>L2491*G2491</f>
        <v/>
      </c>
    </row>
    <row r="2492">
      <c r="A2492" s="12" t="inlineStr">
        <is>
          <t>PO-2022-2490</t>
        </is>
      </c>
      <c r="B2492" s="26" t="n">
        <v>45035</v>
      </c>
      <c r="C2492" s="12" t="inlineStr">
        <is>
          <t>VS20</t>
        </is>
      </c>
      <c r="D2492" s="12" t="inlineStr">
        <is>
          <t>MS Sheets</t>
        </is>
      </c>
      <c r="E2492" s="12" t="inlineStr">
        <is>
          <t>Y</t>
        </is>
      </c>
      <c r="F2492" s="12" t="n">
        <v>26.5</v>
      </c>
      <c r="G2492" s="17" t="n">
        <v>62386.17</v>
      </c>
      <c r="H2492" s="26" t="n">
        <v>45039</v>
      </c>
      <c r="I2492" s="26" t="n">
        <v>45041</v>
      </c>
      <c r="J2492" s="12" t="n">
        <v>26.26</v>
      </c>
      <c r="K2492" s="17" t="n">
        <v>1653233.5</v>
      </c>
      <c r="L2492" s="12" t="n">
        <v>0</v>
      </c>
      <c r="M2492" s="12" t="n">
        <v>24</v>
      </c>
      <c r="N2492" s="27">
        <f>F2492-J2492</f>
        <v/>
      </c>
      <c r="O2492" s="16">
        <f>I2492-H2492</f>
        <v/>
      </c>
      <c r="P2492" s="14">
        <f>F2492*G2492</f>
        <v/>
      </c>
      <c r="Q2492" s="14">
        <f>J2492*G2492</f>
        <v/>
      </c>
      <c r="R2492" s="14">
        <f>K2492-Q2492</f>
        <v/>
      </c>
      <c r="S2492" s="3">
        <f>P2492*Assumptions!$B$3/100</f>
        <v/>
      </c>
      <c r="T2492" s="14">
        <f>R2492-S2492</f>
        <v/>
      </c>
      <c r="U2492" s="14">
        <f>L2492*G2492</f>
        <v/>
      </c>
    </row>
    <row r="2493">
      <c r="A2493" s="12" t="inlineStr">
        <is>
          <t>PO-2022-2491</t>
        </is>
      </c>
      <c r="B2493" s="26" t="n">
        <v>44303</v>
      </c>
      <c r="C2493" s="12" t="inlineStr">
        <is>
          <t>VS12</t>
        </is>
      </c>
      <c r="D2493" s="12" t="inlineStr">
        <is>
          <t>SS Sheets</t>
        </is>
      </c>
      <c r="E2493" s="12" t="inlineStr">
        <is>
          <t>N</t>
        </is>
      </c>
      <c r="F2493" s="12" t="n">
        <v>27.85</v>
      </c>
      <c r="G2493" s="17" t="n">
        <v>120277.26</v>
      </c>
      <c r="H2493" s="26" t="n">
        <v>44308</v>
      </c>
      <c r="I2493" s="26" t="n">
        <v>44313</v>
      </c>
      <c r="J2493" s="12" t="n">
        <v>26.46</v>
      </c>
      <c r="K2493" s="17" t="n">
        <v>3349721.69</v>
      </c>
      <c r="L2493" s="12" t="n">
        <v>0.42</v>
      </c>
      <c r="M2493" s="12" t="n">
        <v>0</v>
      </c>
      <c r="N2493" s="27">
        <f>F2493-J2493</f>
        <v/>
      </c>
      <c r="O2493" s="16">
        <f>I2493-H2493</f>
        <v/>
      </c>
      <c r="P2493" s="14">
        <f>F2493*G2493</f>
        <v/>
      </c>
      <c r="Q2493" s="14">
        <f>J2493*G2493</f>
        <v/>
      </c>
      <c r="R2493" s="14">
        <f>K2493-Q2493</f>
        <v/>
      </c>
      <c r="S2493" s="3">
        <f>P2493*Assumptions!$B$3/100</f>
        <v/>
      </c>
      <c r="T2493" s="14">
        <f>R2493-S2493</f>
        <v/>
      </c>
      <c r="U2493" s="14">
        <f>L2493*G2493</f>
        <v/>
      </c>
    </row>
    <row r="2494">
      <c r="A2494" s="12" t="inlineStr">
        <is>
          <t>PO-2022-2492</t>
        </is>
      </c>
      <c r="B2494" s="26" t="n">
        <v>44680</v>
      </c>
      <c r="C2494" s="12" t="inlineStr">
        <is>
          <t>VS02</t>
        </is>
      </c>
      <c r="D2494" s="12" t="inlineStr">
        <is>
          <t>GI Sheets</t>
        </is>
      </c>
      <c r="E2494" s="12" t="inlineStr">
        <is>
          <t>N</t>
        </is>
      </c>
      <c r="F2494" s="12" t="n">
        <v>30.53</v>
      </c>
      <c r="G2494" s="17" t="n">
        <v>50778.56</v>
      </c>
      <c r="H2494" s="26" t="n">
        <v>44695</v>
      </c>
      <c r="I2494" s="26" t="n">
        <v>44696</v>
      </c>
      <c r="J2494" s="12" t="n">
        <v>30.4</v>
      </c>
      <c r="K2494" s="17" t="n">
        <v>1550269.44</v>
      </c>
      <c r="L2494" s="12" t="n">
        <v>0</v>
      </c>
      <c r="M2494" s="12" t="n">
        <v>0</v>
      </c>
      <c r="N2494" s="27">
        <f>F2494-J2494</f>
        <v/>
      </c>
      <c r="O2494" s="16">
        <f>I2494-H2494</f>
        <v/>
      </c>
      <c r="P2494" s="14">
        <f>F2494*G2494</f>
        <v/>
      </c>
      <c r="Q2494" s="14">
        <f>J2494*G2494</f>
        <v/>
      </c>
      <c r="R2494" s="14">
        <f>K2494-Q2494</f>
        <v/>
      </c>
      <c r="S2494" s="3">
        <f>P2494*Assumptions!$B$3/100</f>
        <v/>
      </c>
      <c r="T2494" s="14">
        <f>R2494-S2494</f>
        <v/>
      </c>
      <c r="U2494" s="14">
        <f>L2494*G2494</f>
        <v/>
      </c>
    </row>
    <row r="2495">
      <c r="A2495" s="12" t="inlineStr">
        <is>
          <t>PO-2022-2493</t>
        </is>
      </c>
      <c r="B2495" s="26" t="n">
        <v>44404</v>
      </c>
      <c r="C2495" s="12" t="inlineStr">
        <is>
          <t>VS18</t>
        </is>
      </c>
      <c r="D2495" s="12" t="inlineStr">
        <is>
          <t>MS Sheets</t>
        </is>
      </c>
      <c r="E2495" s="12" t="inlineStr">
        <is>
          <t>N</t>
        </is>
      </c>
      <c r="F2495" s="12" t="n">
        <v>27.16</v>
      </c>
      <c r="G2495" s="17" t="n">
        <v>103429.45</v>
      </c>
      <c r="H2495" s="26" t="n">
        <v>44415</v>
      </c>
      <c r="I2495" s="26" t="n">
        <v>44418</v>
      </c>
      <c r="J2495" s="12" t="n">
        <v>27.07</v>
      </c>
      <c r="K2495" s="17" t="n">
        <v>2809143.86</v>
      </c>
      <c r="L2495" s="12" t="n">
        <v>0</v>
      </c>
      <c r="M2495" s="12" t="n">
        <v>14</v>
      </c>
      <c r="N2495" s="27">
        <f>F2495-J2495</f>
        <v/>
      </c>
      <c r="O2495" s="16">
        <f>I2495-H2495</f>
        <v/>
      </c>
      <c r="P2495" s="14">
        <f>F2495*G2495</f>
        <v/>
      </c>
      <c r="Q2495" s="14">
        <f>J2495*G2495</f>
        <v/>
      </c>
      <c r="R2495" s="14">
        <f>K2495-Q2495</f>
        <v/>
      </c>
      <c r="S2495" s="3">
        <f>P2495*Assumptions!$B$3/100</f>
        <v/>
      </c>
      <c r="T2495" s="14">
        <f>R2495-S2495</f>
        <v/>
      </c>
      <c r="U2495" s="14">
        <f>L2495*G2495</f>
        <v/>
      </c>
    </row>
    <row r="2496">
      <c r="A2496" s="12" t="inlineStr">
        <is>
          <t>PO-2022-2494</t>
        </is>
      </c>
      <c r="B2496" s="26" t="n">
        <v>44952</v>
      </c>
      <c r="C2496" s="12" t="inlineStr">
        <is>
          <t>VS12</t>
        </is>
      </c>
      <c r="D2496" s="12" t="inlineStr">
        <is>
          <t>Square/Rect Tubes</t>
        </is>
      </c>
      <c r="E2496" s="12" t="inlineStr">
        <is>
          <t>N</t>
        </is>
      </c>
      <c r="F2496" s="12" t="n">
        <v>27.15</v>
      </c>
      <c r="G2496" s="17" t="n">
        <v>61370.92</v>
      </c>
      <c r="H2496" s="26" t="n">
        <v>44967</v>
      </c>
      <c r="I2496" s="26" t="n">
        <v>44971</v>
      </c>
      <c r="J2496" s="12" t="n">
        <v>26.15</v>
      </c>
      <c r="K2496" s="17" t="n">
        <v>1666220.48</v>
      </c>
      <c r="L2496" s="12" t="n">
        <v>0.52</v>
      </c>
      <c r="M2496" s="12" t="n">
        <v>5</v>
      </c>
      <c r="N2496" s="27">
        <f>F2496-J2496</f>
        <v/>
      </c>
      <c r="O2496" s="16">
        <f>I2496-H2496</f>
        <v/>
      </c>
      <c r="P2496" s="14">
        <f>F2496*G2496</f>
        <v/>
      </c>
      <c r="Q2496" s="14">
        <f>J2496*G2496</f>
        <v/>
      </c>
      <c r="R2496" s="14">
        <f>K2496-Q2496</f>
        <v/>
      </c>
      <c r="S2496" s="3">
        <f>P2496*Assumptions!$B$3/100</f>
        <v/>
      </c>
      <c r="T2496" s="14">
        <f>R2496-S2496</f>
        <v/>
      </c>
      <c r="U2496" s="14">
        <f>L2496*G2496</f>
        <v/>
      </c>
    </row>
    <row r="2497">
      <c r="A2497" s="12" t="inlineStr">
        <is>
          <t>PO-2022-2495</t>
        </is>
      </c>
      <c r="B2497" s="26" t="n">
        <v>44214</v>
      </c>
      <c r="C2497" s="12" t="inlineStr">
        <is>
          <t>VS21</t>
        </is>
      </c>
      <c r="D2497" s="12" t="inlineStr">
        <is>
          <t>MS Sheets</t>
        </is>
      </c>
      <c r="E2497" s="12" t="inlineStr">
        <is>
          <t>N</t>
        </is>
      </c>
      <c r="F2497" s="12" t="n">
        <v>38.55</v>
      </c>
      <c r="G2497" s="17" t="n">
        <v>83493.44</v>
      </c>
      <c r="H2497" s="26" t="n">
        <v>44217</v>
      </c>
      <c r="I2497" s="26" t="n">
        <v>44220</v>
      </c>
      <c r="J2497" s="12" t="n">
        <v>38.45</v>
      </c>
      <c r="K2497" s="17" t="n">
        <v>3218672.11</v>
      </c>
      <c r="L2497" s="12" t="n">
        <v>0</v>
      </c>
      <c r="M2497" s="12" t="n">
        <v>0</v>
      </c>
      <c r="N2497" s="27">
        <f>F2497-J2497</f>
        <v/>
      </c>
      <c r="O2497" s="16">
        <f>I2497-H2497</f>
        <v/>
      </c>
      <c r="P2497" s="14">
        <f>F2497*G2497</f>
        <v/>
      </c>
      <c r="Q2497" s="14">
        <f>J2497*G2497</f>
        <v/>
      </c>
      <c r="R2497" s="14">
        <f>K2497-Q2497</f>
        <v/>
      </c>
      <c r="S2497" s="3">
        <f>P2497*Assumptions!$B$3/100</f>
        <v/>
      </c>
      <c r="T2497" s="14">
        <f>R2497-S2497</f>
        <v/>
      </c>
      <c r="U2497" s="14">
        <f>L2497*G2497</f>
        <v/>
      </c>
    </row>
    <row r="2498">
      <c r="A2498" s="12" t="inlineStr">
        <is>
          <t>PO-2022-2496</t>
        </is>
      </c>
      <c r="B2498" s="26" t="n">
        <v>45222</v>
      </c>
      <c r="C2498" s="12" t="inlineStr">
        <is>
          <t>VS33</t>
        </is>
      </c>
      <c r="D2498" s="12" t="inlineStr">
        <is>
          <t>GI Pipes</t>
        </is>
      </c>
      <c r="E2498" s="12" t="inlineStr">
        <is>
          <t>N</t>
        </is>
      </c>
      <c r="F2498" s="12" t="n">
        <v>20.3</v>
      </c>
      <c r="G2498" s="17" t="n">
        <v>57525.09</v>
      </c>
      <c r="H2498" s="26" t="n">
        <v>45232</v>
      </c>
      <c r="I2498" s="26" t="n">
        <v>45234</v>
      </c>
      <c r="J2498" s="12" t="n">
        <v>20.26</v>
      </c>
      <c r="K2498" s="17" t="n">
        <v>1167759.33</v>
      </c>
      <c r="L2498" s="12" t="n">
        <v>0</v>
      </c>
      <c r="M2498" s="12" t="n">
        <v>18</v>
      </c>
      <c r="N2498" s="27">
        <f>F2498-J2498</f>
        <v/>
      </c>
      <c r="O2498" s="16">
        <f>I2498-H2498</f>
        <v/>
      </c>
      <c r="P2498" s="14">
        <f>F2498*G2498</f>
        <v/>
      </c>
      <c r="Q2498" s="14">
        <f>J2498*G2498</f>
        <v/>
      </c>
      <c r="R2498" s="14">
        <f>K2498-Q2498</f>
        <v/>
      </c>
      <c r="S2498" s="3">
        <f>P2498*Assumptions!$B$3/100</f>
        <v/>
      </c>
      <c r="T2498" s="14">
        <f>R2498-S2498</f>
        <v/>
      </c>
      <c r="U2498" s="14">
        <f>L2498*G2498</f>
        <v/>
      </c>
    </row>
    <row r="2499">
      <c r="A2499" s="12" t="inlineStr">
        <is>
          <t>PO-2022-2497</t>
        </is>
      </c>
      <c r="B2499" s="26" t="n">
        <v>44516</v>
      </c>
      <c r="C2499" s="12" t="inlineStr">
        <is>
          <t>VS09</t>
        </is>
      </c>
      <c r="D2499" s="12" t="inlineStr">
        <is>
          <t>HR Coils</t>
        </is>
      </c>
      <c r="E2499" s="12" t="inlineStr">
        <is>
          <t>Y</t>
        </is>
      </c>
      <c r="F2499" s="12" t="n">
        <v>43.22</v>
      </c>
      <c r="G2499" s="17" t="n">
        <v>107570.99</v>
      </c>
      <c r="H2499" s="26" t="n">
        <v>44528</v>
      </c>
      <c r="I2499" s="26" t="n">
        <v>44531</v>
      </c>
      <c r="J2499" s="12" t="n">
        <v>42.95</v>
      </c>
      <c r="K2499" s="17" t="n">
        <v>4649218.19</v>
      </c>
      <c r="L2499" s="12" t="n">
        <v>0</v>
      </c>
      <c r="M2499" s="12" t="n">
        <v>22</v>
      </c>
      <c r="N2499" s="27">
        <f>F2499-J2499</f>
        <v/>
      </c>
      <c r="O2499" s="16">
        <f>I2499-H2499</f>
        <v/>
      </c>
      <c r="P2499" s="14">
        <f>F2499*G2499</f>
        <v/>
      </c>
      <c r="Q2499" s="14">
        <f>J2499*G2499</f>
        <v/>
      </c>
      <c r="R2499" s="14">
        <f>K2499-Q2499</f>
        <v/>
      </c>
      <c r="S2499" s="3">
        <f>P2499*Assumptions!$B$3/100</f>
        <v/>
      </c>
      <c r="T2499" s="14">
        <f>R2499-S2499</f>
        <v/>
      </c>
      <c r="U2499" s="14">
        <f>L2499*G2499</f>
        <v/>
      </c>
    </row>
    <row r="2500">
      <c r="A2500" s="12" t="inlineStr">
        <is>
          <t>PO-2022-2498</t>
        </is>
      </c>
      <c r="B2500" s="26" t="n">
        <v>44768</v>
      </c>
      <c r="C2500" s="12" t="inlineStr">
        <is>
          <t>VS30</t>
        </is>
      </c>
      <c r="D2500" s="12" t="inlineStr">
        <is>
          <t>HR Coils</t>
        </is>
      </c>
      <c r="E2500" s="12" t="inlineStr">
        <is>
          <t>N</t>
        </is>
      </c>
      <c r="F2500" s="12" t="n">
        <v>23.29</v>
      </c>
      <c r="G2500" s="17" t="n">
        <v>98265.69</v>
      </c>
      <c r="H2500" s="26" t="n">
        <v>44782</v>
      </c>
      <c r="I2500" s="26" t="n">
        <v>44785</v>
      </c>
      <c r="J2500" s="12" t="n">
        <v>23.28</v>
      </c>
      <c r="K2500" s="17" t="n">
        <v>2288607.92</v>
      </c>
      <c r="L2500" s="12" t="n">
        <v>0</v>
      </c>
      <c r="M2500" s="12" t="n">
        <v>0</v>
      </c>
      <c r="N2500" s="27">
        <f>F2500-J2500</f>
        <v/>
      </c>
      <c r="O2500" s="16">
        <f>I2500-H2500</f>
        <v/>
      </c>
      <c r="P2500" s="14">
        <f>F2500*G2500</f>
        <v/>
      </c>
      <c r="Q2500" s="14">
        <f>J2500*G2500</f>
        <v/>
      </c>
      <c r="R2500" s="14">
        <f>K2500-Q2500</f>
        <v/>
      </c>
      <c r="S2500" s="3">
        <f>P2500*Assumptions!$B$3/100</f>
        <v/>
      </c>
      <c r="T2500" s="14">
        <f>R2500-S2500</f>
        <v/>
      </c>
      <c r="U2500" s="14">
        <f>L2500*G2500</f>
        <v/>
      </c>
    </row>
    <row r="2501">
      <c r="A2501" s="12" t="inlineStr">
        <is>
          <t>PO-2022-2499</t>
        </is>
      </c>
      <c r="B2501" s="26" t="n">
        <v>44705</v>
      </c>
      <c r="C2501" s="12" t="inlineStr">
        <is>
          <t>VS11</t>
        </is>
      </c>
      <c r="D2501" s="12" t="inlineStr">
        <is>
          <t>GI Pipes</t>
        </is>
      </c>
      <c r="E2501" s="12" t="inlineStr">
        <is>
          <t>N</t>
        </is>
      </c>
      <c r="F2501" s="12" t="n">
        <v>4.29</v>
      </c>
      <c r="G2501" s="17" t="n">
        <v>73306.88</v>
      </c>
      <c r="H2501" s="26" t="n">
        <v>44708</v>
      </c>
      <c r="I2501" s="26" t="n">
        <v>44710</v>
      </c>
      <c r="J2501" s="12" t="n">
        <v>4.25</v>
      </c>
      <c r="K2501" s="17" t="n">
        <v>314486.52</v>
      </c>
      <c r="L2501" s="12" t="n">
        <v>0</v>
      </c>
      <c r="M2501" s="12" t="n">
        <v>10</v>
      </c>
      <c r="N2501" s="27">
        <f>F2501-J2501</f>
        <v/>
      </c>
      <c r="O2501" s="16">
        <f>I2501-H2501</f>
        <v/>
      </c>
      <c r="P2501" s="14">
        <f>F2501*G2501</f>
        <v/>
      </c>
      <c r="Q2501" s="14">
        <f>J2501*G2501</f>
        <v/>
      </c>
      <c r="R2501" s="14">
        <f>K2501-Q2501</f>
        <v/>
      </c>
      <c r="S2501" s="3">
        <f>P2501*Assumptions!$B$3/100</f>
        <v/>
      </c>
      <c r="T2501" s="14">
        <f>R2501-S2501</f>
        <v/>
      </c>
      <c r="U2501" s="14">
        <f>L2501*G2501</f>
        <v/>
      </c>
    </row>
    <row r="2502">
      <c r="A2502" s="12" t="inlineStr">
        <is>
          <t>PO-2022-2500</t>
        </is>
      </c>
      <c r="B2502" s="26" t="n">
        <v>44785</v>
      </c>
      <c r="C2502" s="12" t="inlineStr">
        <is>
          <t>VS30</t>
        </is>
      </c>
      <c r="D2502" s="12" t="inlineStr">
        <is>
          <t>Hex Bars</t>
        </is>
      </c>
      <c r="E2502" s="12" t="inlineStr">
        <is>
          <t>N</t>
        </is>
      </c>
      <c r="F2502" s="12" t="n">
        <v>40.14</v>
      </c>
      <c r="G2502" s="17" t="n">
        <v>95814.41</v>
      </c>
      <c r="H2502" s="26" t="n">
        <v>44794</v>
      </c>
      <c r="I2502" s="26" t="n">
        <v>44796</v>
      </c>
      <c r="J2502" s="12" t="n">
        <v>40.08</v>
      </c>
      <c r="K2502" s="17" t="n">
        <v>3845990.42</v>
      </c>
      <c r="L2502" s="12" t="n">
        <v>0</v>
      </c>
      <c r="M2502" s="12" t="n">
        <v>1</v>
      </c>
      <c r="N2502" s="27">
        <f>F2502-J2502</f>
        <v/>
      </c>
      <c r="O2502" s="16">
        <f>I2502-H2502</f>
        <v/>
      </c>
      <c r="P2502" s="14">
        <f>F2502*G2502</f>
        <v/>
      </c>
      <c r="Q2502" s="14">
        <f>J2502*G2502</f>
        <v/>
      </c>
      <c r="R2502" s="14">
        <f>K2502-Q2502</f>
        <v/>
      </c>
      <c r="S2502" s="3">
        <f>P2502*Assumptions!$B$3/100</f>
        <v/>
      </c>
      <c r="T2502" s="14">
        <f>R2502-S2502</f>
        <v/>
      </c>
      <c r="U2502" s="14">
        <f>L2502*G2502</f>
        <v/>
      </c>
    </row>
    <row r="2503">
      <c r="A2503" s="12" t="inlineStr">
        <is>
          <t>PO-2022-2501</t>
        </is>
      </c>
      <c r="B2503" s="26" t="n">
        <v>45024</v>
      </c>
      <c r="C2503" s="12" t="inlineStr">
        <is>
          <t>VS34</t>
        </is>
      </c>
      <c r="D2503" s="12" t="inlineStr">
        <is>
          <t>Fasteners &amp; Fittings</t>
        </is>
      </c>
      <c r="E2503" s="12" t="inlineStr">
        <is>
          <t>N</t>
        </is>
      </c>
      <c r="F2503" s="12" t="n">
        <v>48.14</v>
      </c>
      <c r="G2503" s="17" t="n">
        <v>115746.4</v>
      </c>
      <c r="H2503" s="26" t="n">
        <v>45032</v>
      </c>
      <c r="I2503" s="26" t="n">
        <v>45035</v>
      </c>
      <c r="J2503" s="12" t="n">
        <v>47.81</v>
      </c>
      <c r="K2503" s="17" t="n">
        <v>5572031.7</v>
      </c>
      <c r="L2503" s="12" t="n">
        <v>0</v>
      </c>
      <c r="M2503" s="12" t="n">
        <v>8</v>
      </c>
      <c r="N2503" s="27">
        <f>F2503-J2503</f>
        <v/>
      </c>
      <c r="O2503" s="16">
        <f>I2503-H2503</f>
        <v/>
      </c>
      <c r="P2503" s="14">
        <f>F2503*G2503</f>
        <v/>
      </c>
      <c r="Q2503" s="14">
        <f>J2503*G2503</f>
        <v/>
      </c>
      <c r="R2503" s="14">
        <f>K2503-Q2503</f>
        <v/>
      </c>
      <c r="S2503" s="3">
        <f>P2503*Assumptions!$B$3/100</f>
        <v/>
      </c>
      <c r="T2503" s="14">
        <f>R2503-S2503</f>
        <v/>
      </c>
      <c r="U2503" s="14">
        <f>L2503*G2503</f>
        <v/>
      </c>
    </row>
    <row r="2504">
      <c r="A2504" s="12" t="inlineStr">
        <is>
          <t>PO-2022-2502</t>
        </is>
      </c>
      <c r="B2504" s="26" t="n">
        <v>45026</v>
      </c>
      <c r="C2504" s="12" t="inlineStr">
        <is>
          <t>VS17</t>
        </is>
      </c>
      <c r="D2504" s="12" t="inlineStr">
        <is>
          <t>Hex Bars</t>
        </is>
      </c>
      <c r="E2504" s="12" t="inlineStr">
        <is>
          <t>N</t>
        </is>
      </c>
      <c r="F2504" s="12" t="n">
        <v>46.91</v>
      </c>
      <c r="G2504" s="17" t="n">
        <v>57517.16</v>
      </c>
      <c r="H2504" s="26" t="n">
        <v>45036</v>
      </c>
      <c r="I2504" s="26" t="n">
        <v>45037</v>
      </c>
      <c r="J2504" s="12" t="n">
        <v>46.47</v>
      </c>
      <c r="K2504" s="17" t="n">
        <v>2698129.98</v>
      </c>
      <c r="L2504" s="12" t="n">
        <v>0</v>
      </c>
      <c r="M2504" s="12" t="n">
        <v>19</v>
      </c>
      <c r="N2504" s="27">
        <f>F2504-J2504</f>
        <v/>
      </c>
      <c r="O2504" s="16">
        <f>I2504-H2504</f>
        <v/>
      </c>
      <c r="P2504" s="14">
        <f>F2504*G2504</f>
        <v/>
      </c>
      <c r="Q2504" s="14">
        <f>J2504*G2504</f>
        <v/>
      </c>
      <c r="R2504" s="14">
        <f>K2504-Q2504</f>
        <v/>
      </c>
      <c r="S2504" s="3">
        <f>P2504*Assumptions!$B$3/100</f>
        <v/>
      </c>
      <c r="T2504" s="14">
        <f>R2504-S2504</f>
        <v/>
      </c>
      <c r="U2504" s="14">
        <f>L2504*G2504</f>
        <v/>
      </c>
    </row>
    <row r="2505">
      <c r="A2505" s="12" t="inlineStr">
        <is>
          <t>PO-2022-2503</t>
        </is>
      </c>
      <c r="B2505" s="26" t="n">
        <v>44455</v>
      </c>
      <c r="C2505" s="12" t="inlineStr">
        <is>
          <t>VS03</t>
        </is>
      </c>
      <c r="D2505" s="12" t="inlineStr">
        <is>
          <t>GI Sheets</t>
        </is>
      </c>
      <c r="E2505" s="12" t="inlineStr">
        <is>
          <t>N</t>
        </is>
      </c>
      <c r="F2505" s="12" t="n">
        <v>4.6</v>
      </c>
      <c r="G2505" s="17" t="n">
        <v>124387.74</v>
      </c>
      <c r="H2505" s="26" t="n">
        <v>44462</v>
      </c>
      <c r="I2505" s="26" t="n">
        <v>44466</v>
      </c>
      <c r="J2505" s="12" t="n">
        <v>4.45</v>
      </c>
      <c r="K2505" s="17" t="n">
        <v>572183.6</v>
      </c>
      <c r="L2505" s="12" t="n">
        <v>0.12</v>
      </c>
      <c r="M2505" s="12" t="n">
        <v>12</v>
      </c>
      <c r="N2505" s="27">
        <f>F2505-J2505</f>
        <v/>
      </c>
      <c r="O2505" s="16">
        <f>I2505-H2505</f>
        <v/>
      </c>
      <c r="P2505" s="14">
        <f>F2505*G2505</f>
        <v/>
      </c>
      <c r="Q2505" s="14">
        <f>J2505*G2505</f>
        <v/>
      </c>
      <c r="R2505" s="14">
        <f>K2505-Q2505</f>
        <v/>
      </c>
      <c r="S2505" s="3">
        <f>P2505*Assumptions!$B$3/100</f>
        <v/>
      </c>
      <c r="T2505" s="14">
        <f>R2505-S2505</f>
        <v/>
      </c>
      <c r="U2505" s="14">
        <f>L2505*G2505</f>
        <v/>
      </c>
    </row>
    <row r="2506">
      <c r="A2506" s="12" t="inlineStr">
        <is>
          <t>PO-2022-2504</t>
        </is>
      </c>
      <c r="B2506" s="26" t="n">
        <v>44433</v>
      </c>
      <c r="C2506" s="12" t="inlineStr">
        <is>
          <t>VS27</t>
        </is>
      </c>
      <c r="D2506" s="12" t="inlineStr">
        <is>
          <t>MS Rods</t>
        </is>
      </c>
      <c r="E2506" s="12" t="inlineStr">
        <is>
          <t>N</t>
        </is>
      </c>
      <c r="F2506" s="12" t="n">
        <v>19.42</v>
      </c>
      <c r="G2506" s="17" t="n">
        <v>73021.75999999999</v>
      </c>
      <c r="H2506" s="26" t="n">
        <v>44441</v>
      </c>
      <c r="I2506" s="26" t="n">
        <v>44442</v>
      </c>
      <c r="J2506" s="12" t="n">
        <v>19.34</v>
      </c>
      <c r="K2506" s="17" t="n">
        <v>1418082.58</v>
      </c>
      <c r="L2506" s="12" t="n">
        <v>0</v>
      </c>
      <c r="M2506" s="12" t="n">
        <v>21</v>
      </c>
      <c r="N2506" s="27">
        <f>F2506-J2506</f>
        <v/>
      </c>
      <c r="O2506" s="16">
        <f>I2506-H2506</f>
        <v/>
      </c>
      <c r="P2506" s="14">
        <f>F2506*G2506</f>
        <v/>
      </c>
      <c r="Q2506" s="14">
        <f>J2506*G2506</f>
        <v/>
      </c>
      <c r="R2506" s="14">
        <f>K2506-Q2506</f>
        <v/>
      </c>
      <c r="S2506" s="3">
        <f>P2506*Assumptions!$B$3/100</f>
        <v/>
      </c>
      <c r="T2506" s="14">
        <f>R2506-S2506</f>
        <v/>
      </c>
      <c r="U2506" s="14">
        <f>L2506*G2506</f>
        <v/>
      </c>
    </row>
    <row r="2507">
      <c r="A2507" s="12" t="inlineStr">
        <is>
          <t>PO-2022-2505</t>
        </is>
      </c>
      <c r="B2507" s="26" t="n">
        <v>45194</v>
      </c>
      <c r="C2507" s="12" t="inlineStr">
        <is>
          <t>VS13</t>
        </is>
      </c>
      <c r="D2507" s="12" t="inlineStr">
        <is>
          <t>MS Pipes</t>
        </is>
      </c>
      <c r="E2507" s="12" t="inlineStr">
        <is>
          <t>N</t>
        </is>
      </c>
      <c r="F2507" s="12" t="n">
        <v>11.56</v>
      </c>
      <c r="G2507" s="17" t="n">
        <v>103130.4</v>
      </c>
      <c r="H2507" s="26" t="n">
        <v>45209</v>
      </c>
      <c r="I2507" s="26" t="n">
        <v>45212</v>
      </c>
      <c r="J2507" s="12" t="n">
        <v>11.56</v>
      </c>
      <c r="K2507" s="17" t="n">
        <v>1192187.42</v>
      </c>
      <c r="L2507" s="12" t="n">
        <v>0</v>
      </c>
      <c r="M2507" s="12" t="n">
        <v>0</v>
      </c>
      <c r="N2507" s="27">
        <f>F2507-J2507</f>
        <v/>
      </c>
      <c r="O2507" s="16">
        <f>I2507-H2507</f>
        <v/>
      </c>
      <c r="P2507" s="14">
        <f>F2507*G2507</f>
        <v/>
      </c>
      <c r="Q2507" s="14">
        <f>J2507*G2507</f>
        <v/>
      </c>
      <c r="R2507" s="14">
        <f>K2507-Q2507</f>
        <v/>
      </c>
      <c r="S2507" s="3">
        <f>P2507*Assumptions!$B$3/100</f>
        <v/>
      </c>
      <c r="T2507" s="14">
        <f>R2507-S2507</f>
        <v/>
      </c>
      <c r="U2507" s="14">
        <f>L2507*G2507</f>
        <v/>
      </c>
    </row>
    <row r="2508">
      <c r="A2508" s="12" t="inlineStr">
        <is>
          <t>PO-2022-2506</t>
        </is>
      </c>
      <c r="B2508" s="26" t="n">
        <v>44498</v>
      </c>
      <c r="C2508" s="12" t="inlineStr">
        <is>
          <t>VS29</t>
        </is>
      </c>
      <c r="D2508" s="12" t="inlineStr">
        <is>
          <t>Square/Rect Tubes</t>
        </is>
      </c>
      <c r="E2508" s="12" t="inlineStr">
        <is>
          <t>N</t>
        </is>
      </c>
      <c r="F2508" s="12" t="n">
        <v>32.8</v>
      </c>
      <c r="G2508" s="17" t="n">
        <v>67647.91</v>
      </c>
      <c r="H2508" s="26" t="n">
        <v>44504</v>
      </c>
      <c r="I2508" s="26" t="n">
        <v>44506</v>
      </c>
      <c r="J2508" s="12" t="n">
        <v>32.57</v>
      </c>
      <c r="K2508" s="17" t="n">
        <v>2218851.45</v>
      </c>
      <c r="L2508" s="12" t="n">
        <v>0</v>
      </c>
      <c r="M2508" s="12" t="n">
        <v>24</v>
      </c>
      <c r="N2508" s="27">
        <f>F2508-J2508</f>
        <v/>
      </c>
      <c r="O2508" s="16">
        <f>I2508-H2508</f>
        <v/>
      </c>
      <c r="P2508" s="14">
        <f>F2508*G2508</f>
        <v/>
      </c>
      <c r="Q2508" s="14">
        <f>J2508*G2508</f>
        <v/>
      </c>
      <c r="R2508" s="14">
        <f>K2508-Q2508</f>
        <v/>
      </c>
      <c r="S2508" s="3">
        <f>P2508*Assumptions!$B$3/100</f>
        <v/>
      </c>
      <c r="T2508" s="14">
        <f>R2508-S2508</f>
        <v/>
      </c>
      <c r="U2508" s="14">
        <f>L2508*G2508</f>
        <v/>
      </c>
    </row>
    <row r="2509">
      <c r="A2509" s="12" t="inlineStr">
        <is>
          <t>PO-2022-2507</t>
        </is>
      </c>
      <c r="B2509" s="26" t="n">
        <v>44488</v>
      </c>
      <c r="C2509" s="12" t="inlineStr">
        <is>
          <t>VS02</t>
        </is>
      </c>
      <c r="D2509" s="12" t="inlineStr">
        <is>
          <t>HR Coils</t>
        </is>
      </c>
      <c r="E2509" s="12" t="inlineStr">
        <is>
          <t>N</t>
        </is>
      </c>
      <c r="F2509" s="12" t="n">
        <v>45.28</v>
      </c>
      <c r="G2509" s="17" t="n">
        <v>63969</v>
      </c>
      <c r="H2509" s="26" t="n">
        <v>44497</v>
      </c>
      <c r="I2509" s="26" t="n">
        <v>44498</v>
      </c>
      <c r="J2509" s="12" t="n">
        <v>44.9</v>
      </c>
      <c r="K2509" s="17" t="n">
        <v>2896516.32</v>
      </c>
      <c r="L2509" s="12" t="n">
        <v>0</v>
      </c>
      <c r="M2509" s="12" t="n">
        <v>0</v>
      </c>
      <c r="N2509" s="27">
        <f>F2509-J2509</f>
        <v/>
      </c>
      <c r="O2509" s="16">
        <f>I2509-H2509</f>
        <v/>
      </c>
      <c r="P2509" s="14">
        <f>F2509*G2509</f>
        <v/>
      </c>
      <c r="Q2509" s="14">
        <f>J2509*G2509</f>
        <v/>
      </c>
      <c r="R2509" s="14">
        <f>K2509-Q2509</f>
        <v/>
      </c>
      <c r="S2509" s="3">
        <f>P2509*Assumptions!$B$3/100</f>
        <v/>
      </c>
      <c r="T2509" s="14">
        <f>R2509-S2509</f>
        <v/>
      </c>
      <c r="U2509" s="14">
        <f>L2509*G2509</f>
        <v/>
      </c>
    </row>
    <row r="2510">
      <c r="A2510" s="12" t="inlineStr">
        <is>
          <t>PO-2022-2508</t>
        </is>
      </c>
      <c r="B2510" s="26" t="n">
        <v>45152</v>
      </c>
      <c r="C2510" s="12" t="inlineStr">
        <is>
          <t>VS30</t>
        </is>
      </c>
      <c r="D2510" s="12" t="inlineStr">
        <is>
          <t>Angles &amp; Channels</t>
        </is>
      </c>
      <c r="E2510" s="12" t="inlineStr">
        <is>
          <t>N</t>
        </is>
      </c>
      <c r="F2510" s="12" t="n">
        <v>44.24</v>
      </c>
      <c r="G2510" s="17" t="n">
        <v>79747.45</v>
      </c>
      <c r="H2510" s="26" t="n">
        <v>45161</v>
      </c>
      <c r="I2510" s="26" t="n">
        <v>45161</v>
      </c>
      <c r="J2510" s="12" t="n">
        <v>44.1</v>
      </c>
      <c r="K2510" s="17" t="n">
        <v>3528027.19</v>
      </c>
      <c r="L2510" s="12" t="n">
        <v>0</v>
      </c>
      <c r="M2510" s="12" t="n">
        <v>12</v>
      </c>
      <c r="N2510" s="27">
        <f>F2510-J2510</f>
        <v/>
      </c>
      <c r="O2510" s="16">
        <f>I2510-H2510</f>
        <v/>
      </c>
      <c r="P2510" s="14">
        <f>F2510*G2510</f>
        <v/>
      </c>
      <c r="Q2510" s="14">
        <f>J2510*G2510</f>
        <v/>
      </c>
      <c r="R2510" s="14">
        <f>K2510-Q2510</f>
        <v/>
      </c>
      <c r="S2510" s="3">
        <f>P2510*Assumptions!$B$3/100</f>
        <v/>
      </c>
      <c r="T2510" s="14">
        <f>R2510-S2510</f>
        <v/>
      </c>
      <c r="U2510" s="14">
        <f>L2510*G2510</f>
        <v/>
      </c>
    </row>
    <row r="2511">
      <c r="A2511" s="12" t="inlineStr">
        <is>
          <t>PO-2022-2509</t>
        </is>
      </c>
      <c r="B2511" s="26" t="n">
        <v>44302</v>
      </c>
      <c r="C2511" s="12" t="inlineStr">
        <is>
          <t>VS16</t>
        </is>
      </c>
      <c r="D2511" s="12" t="inlineStr">
        <is>
          <t>Square/Rect Tubes</t>
        </is>
      </c>
      <c r="E2511" s="12" t="inlineStr">
        <is>
          <t>N</t>
        </is>
      </c>
      <c r="F2511" s="12" t="n">
        <v>44.95</v>
      </c>
      <c r="G2511" s="17" t="n">
        <v>114206</v>
      </c>
      <c r="H2511" s="26" t="n">
        <v>44309</v>
      </c>
      <c r="I2511" s="26" t="n">
        <v>44311</v>
      </c>
      <c r="J2511" s="12" t="n">
        <v>44.81</v>
      </c>
      <c r="K2511" s="17" t="n">
        <v>5133559.7</v>
      </c>
      <c r="L2511" s="12" t="n">
        <v>0</v>
      </c>
      <c r="M2511" s="12" t="n">
        <v>4</v>
      </c>
      <c r="N2511" s="27">
        <f>F2511-J2511</f>
        <v/>
      </c>
      <c r="O2511" s="16">
        <f>I2511-H2511</f>
        <v/>
      </c>
      <c r="P2511" s="14">
        <f>F2511*G2511</f>
        <v/>
      </c>
      <c r="Q2511" s="14">
        <f>J2511*G2511</f>
        <v/>
      </c>
      <c r="R2511" s="14">
        <f>K2511-Q2511</f>
        <v/>
      </c>
      <c r="S2511" s="3">
        <f>P2511*Assumptions!$B$3/100</f>
        <v/>
      </c>
      <c r="T2511" s="14">
        <f>R2511-S2511</f>
        <v/>
      </c>
      <c r="U2511" s="14">
        <f>L2511*G2511</f>
        <v/>
      </c>
    </row>
    <row r="2512">
      <c r="A2512" s="12" t="inlineStr">
        <is>
          <t>PO-2022-2510</t>
        </is>
      </c>
      <c r="B2512" s="26" t="n">
        <v>44963</v>
      </c>
      <c r="C2512" s="12" t="inlineStr">
        <is>
          <t>VS04</t>
        </is>
      </c>
      <c r="D2512" s="12" t="inlineStr">
        <is>
          <t>Angles &amp; Channels</t>
        </is>
      </c>
      <c r="E2512" s="12" t="inlineStr">
        <is>
          <t>N</t>
        </is>
      </c>
      <c r="F2512" s="12" t="n">
        <v>23.79</v>
      </c>
      <c r="G2512" s="17" t="n">
        <v>73991.75999999999</v>
      </c>
      <c r="H2512" s="26" t="n">
        <v>44976</v>
      </c>
      <c r="I2512" s="26" t="n">
        <v>44977</v>
      </c>
      <c r="J2512" s="12" t="n">
        <v>23.69</v>
      </c>
      <c r="K2512" s="17" t="n">
        <v>1760263.97</v>
      </c>
      <c r="L2512" s="12" t="n">
        <v>0</v>
      </c>
      <c r="M2512" s="12" t="n">
        <v>8</v>
      </c>
      <c r="N2512" s="27">
        <f>F2512-J2512</f>
        <v/>
      </c>
      <c r="O2512" s="16">
        <f>I2512-H2512</f>
        <v/>
      </c>
      <c r="P2512" s="14">
        <f>F2512*G2512</f>
        <v/>
      </c>
      <c r="Q2512" s="14">
        <f>J2512*G2512</f>
        <v/>
      </c>
      <c r="R2512" s="14">
        <f>K2512-Q2512</f>
        <v/>
      </c>
      <c r="S2512" s="3">
        <f>P2512*Assumptions!$B$3/100</f>
        <v/>
      </c>
      <c r="T2512" s="14">
        <f>R2512-S2512</f>
        <v/>
      </c>
      <c r="U2512" s="14">
        <f>L2512*G2512</f>
        <v/>
      </c>
    </row>
    <row r="2513">
      <c r="A2513" s="12" t="inlineStr">
        <is>
          <t>PO-2022-2511</t>
        </is>
      </c>
      <c r="B2513" s="26" t="n">
        <v>45084</v>
      </c>
      <c r="C2513" s="12" t="inlineStr">
        <is>
          <t>VS05</t>
        </is>
      </c>
      <c r="D2513" s="12" t="inlineStr">
        <is>
          <t>SS Sheets</t>
        </is>
      </c>
      <c r="E2513" s="12" t="inlineStr">
        <is>
          <t>N</t>
        </is>
      </c>
      <c r="F2513" s="12" t="n">
        <v>18.38</v>
      </c>
      <c r="G2513" s="17" t="n">
        <v>83442.11</v>
      </c>
      <c r="H2513" s="26" t="n">
        <v>45094</v>
      </c>
      <c r="I2513" s="26" t="n">
        <v>45097</v>
      </c>
      <c r="J2513" s="12" t="n">
        <v>18.34</v>
      </c>
      <c r="K2513" s="17" t="n">
        <v>1533665.98</v>
      </c>
      <c r="L2513" s="12" t="n">
        <v>0</v>
      </c>
      <c r="M2513" s="12" t="n">
        <v>6</v>
      </c>
      <c r="N2513" s="27">
        <f>F2513-J2513</f>
        <v/>
      </c>
      <c r="O2513" s="16">
        <f>I2513-H2513</f>
        <v/>
      </c>
      <c r="P2513" s="14">
        <f>F2513*G2513</f>
        <v/>
      </c>
      <c r="Q2513" s="14">
        <f>J2513*G2513</f>
        <v/>
      </c>
      <c r="R2513" s="14">
        <f>K2513-Q2513</f>
        <v/>
      </c>
      <c r="S2513" s="3">
        <f>P2513*Assumptions!$B$3/100</f>
        <v/>
      </c>
      <c r="T2513" s="14">
        <f>R2513-S2513</f>
        <v/>
      </c>
      <c r="U2513" s="14">
        <f>L2513*G2513</f>
        <v/>
      </c>
    </row>
    <row r="2514">
      <c r="A2514" s="12" t="inlineStr">
        <is>
          <t>PO-2022-2512</t>
        </is>
      </c>
      <c r="B2514" s="26" t="n">
        <v>44279</v>
      </c>
      <c r="C2514" s="12" t="inlineStr">
        <is>
          <t>VS31</t>
        </is>
      </c>
      <c r="D2514" s="12" t="inlineStr">
        <is>
          <t>SS Pipes</t>
        </is>
      </c>
      <c r="E2514" s="12" t="inlineStr">
        <is>
          <t>N</t>
        </is>
      </c>
      <c r="F2514" s="12" t="n">
        <v>18.27</v>
      </c>
      <c r="G2514" s="17" t="n">
        <v>59510.95</v>
      </c>
      <c r="H2514" s="26" t="n">
        <v>44290</v>
      </c>
      <c r="I2514" s="26" t="n">
        <v>44293</v>
      </c>
      <c r="J2514" s="12" t="n">
        <v>18.23</v>
      </c>
      <c r="K2514" s="17" t="n">
        <v>1087265.06</v>
      </c>
      <c r="L2514" s="12" t="n">
        <v>0</v>
      </c>
      <c r="M2514" s="12" t="n">
        <v>5</v>
      </c>
      <c r="N2514" s="27">
        <f>F2514-J2514</f>
        <v/>
      </c>
      <c r="O2514" s="16">
        <f>I2514-H2514</f>
        <v/>
      </c>
      <c r="P2514" s="14">
        <f>F2514*G2514</f>
        <v/>
      </c>
      <c r="Q2514" s="14">
        <f>J2514*G2514</f>
        <v/>
      </c>
      <c r="R2514" s="14">
        <f>K2514-Q2514</f>
        <v/>
      </c>
      <c r="S2514" s="3">
        <f>P2514*Assumptions!$B$3/100</f>
        <v/>
      </c>
      <c r="T2514" s="14">
        <f>R2514-S2514</f>
        <v/>
      </c>
      <c r="U2514" s="14">
        <f>L2514*G2514</f>
        <v/>
      </c>
    </row>
    <row r="2515">
      <c r="A2515" s="12" t="inlineStr">
        <is>
          <t>PO-2022-2513</t>
        </is>
      </c>
      <c r="B2515" s="26" t="n">
        <v>44536</v>
      </c>
      <c r="C2515" s="12" t="inlineStr">
        <is>
          <t>VS01</t>
        </is>
      </c>
      <c r="D2515" s="12" t="inlineStr">
        <is>
          <t>ERW Pipes</t>
        </is>
      </c>
      <c r="E2515" s="12" t="inlineStr">
        <is>
          <t>Y</t>
        </is>
      </c>
      <c r="F2515" s="12" t="n">
        <v>8.15</v>
      </c>
      <c r="G2515" s="17" t="n">
        <v>98332.88</v>
      </c>
      <c r="H2515" s="26" t="n">
        <v>44543</v>
      </c>
      <c r="I2515" s="26" t="n">
        <v>44543</v>
      </c>
      <c r="J2515" s="12" t="n">
        <v>8.07</v>
      </c>
      <c r="K2515" s="17" t="n">
        <v>801412.97</v>
      </c>
      <c r="L2515" s="12" t="n">
        <v>0</v>
      </c>
      <c r="M2515" s="12" t="n">
        <v>10</v>
      </c>
      <c r="N2515" s="27">
        <f>F2515-J2515</f>
        <v/>
      </c>
      <c r="O2515" s="16">
        <f>I2515-H2515</f>
        <v/>
      </c>
      <c r="P2515" s="14">
        <f>F2515*G2515</f>
        <v/>
      </c>
      <c r="Q2515" s="14">
        <f>J2515*G2515</f>
        <v/>
      </c>
      <c r="R2515" s="14">
        <f>K2515-Q2515</f>
        <v/>
      </c>
      <c r="S2515" s="3">
        <f>P2515*Assumptions!$B$3/100</f>
        <v/>
      </c>
      <c r="T2515" s="14">
        <f>R2515-S2515</f>
        <v/>
      </c>
      <c r="U2515" s="14">
        <f>L2515*G2515</f>
        <v/>
      </c>
    </row>
    <row r="2516">
      <c r="A2516" s="12" t="inlineStr">
        <is>
          <t>PO-2022-2514</t>
        </is>
      </c>
      <c r="B2516" s="26" t="n">
        <v>44319</v>
      </c>
      <c r="C2516" s="12" t="inlineStr">
        <is>
          <t>VS02</t>
        </is>
      </c>
      <c r="D2516" s="12" t="inlineStr">
        <is>
          <t>Hex Bars</t>
        </is>
      </c>
      <c r="E2516" s="12" t="inlineStr">
        <is>
          <t>N</t>
        </is>
      </c>
      <c r="F2516" s="12" t="n">
        <v>11.72</v>
      </c>
      <c r="G2516" s="17" t="n">
        <v>84081.83</v>
      </c>
      <c r="H2516" s="26" t="n">
        <v>44322</v>
      </c>
      <c r="I2516" s="26" t="n">
        <v>44323</v>
      </c>
      <c r="J2516" s="12" t="n">
        <v>11.64</v>
      </c>
      <c r="K2516" s="17" t="n">
        <v>985439.05</v>
      </c>
      <c r="L2516" s="12" t="n">
        <v>0</v>
      </c>
      <c r="M2516" s="12" t="n">
        <v>5</v>
      </c>
      <c r="N2516" s="27">
        <f>F2516-J2516</f>
        <v/>
      </c>
      <c r="O2516" s="16">
        <f>I2516-H2516</f>
        <v/>
      </c>
      <c r="P2516" s="14">
        <f>F2516*G2516</f>
        <v/>
      </c>
      <c r="Q2516" s="14">
        <f>J2516*G2516</f>
        <v/>
      </c>
      <c r="R2516" s="14">
        <f>K2516-Q2516</f>
        <v/>
      </c>
      <c r="S2516" s="3">
        <f>P2516*Assumptions!$B$3/100</f>
        <v/>
      </c>
      <c r="T2516" s="14">
        <f>R2516-S2516</f>
        <v/>
      </c>
      <c r="U2516" s="14">
        <f>L2516*G2516</f>
        <v/>
      </c>
    </row>
    <row r="2517">
      <c r="A2517" s="12" t="inlineStr">
        <is>
          <t>PO-2022-2515</t>
        </is>
      </c>
      <c r="B2517" s="26" t="n">
        <v>45115</v>
      </c>
      <c r="C2517" s="12" t="inlineStr">
        <is>
          <t>VS26</t>
        </is>
      </c>
      <c r="D2517" s="12" t="inlineStr">
        <is>
          <t>MS Flats</t>
        </is>
      </c>
      <c r="E2517" s="12" t="inlineStr">
        <is>
          <t>N</t>
        </is>
      </c>
      <c r="F2517" s="12" t="n">
        <v>40.13</v>
      </c>
      <c r="G2517" s="17" t="n">
        <v>79521.82000000001</v>
      </c>
      <c r="H2517" s="26" t="n">
        <v>45127</v>
      </c>
      <c r="I2517" s="26" t="n">
        <v>45128</v>
      </c>
      <c r="J2517" s="12" t="n">
        <v>39.96</v>
      </c>
      <c r="K2517" s="17" t="n">
        <v>3191210.64</v>
      </c>
      <c r="L2517" s="12" t="n">
        <v>0</v>
      </c>
      <c r="M2517" s="12" t="n">
        <v>0</v>
      </c>
      <c r="N2517" s="27">
        <f>F2517-J2517</f>
        <v/>
      </c>
      <c r="O2517" s="16">
        <f>I2517-H2517</f>
        <v/>
      </c>
      <c r="P2517" s="14">
        <f>F2517*G2517</f>
        <v/>
      </c>
      <c r="Q2517" s="14">
        <f>J2517*G2517</f>
        <v/>
      </c>
      <c r="R2517" s="14">
        <f>K2517-Q2517</f>
        <v/>
      </c>
      <c r="S2517" s="3">
        <f>P2517*Assumptions!$B$3/100</f>
        <v/>
      </c>
      <c r="T2517" s="14">
        <f>R2517-S2517</f>
        <v/>
      </c>
      <c r="U2517" s="14">
        <f>L2517*G2517</f>
        <v/>
      </c>
    </row>
    <row r="2518">
      <c r="A2518" s="12" t="inlineStr">
        <is>
          <t>PO-2022-2516</t>
        </is>
      </c>
      <c r="B2518" s="26" t="n">
        <v>44865</v>
      </c>
      <c r="C2518" s="12" t="inlineStr">
        <is>
          <t>VS19</t>
        </is>
      </c>
      <c r="D2518" s="12" t="inlineStr">
        <is>
          <t>Angles &amp; Channels</t>
        </is>
      </c>
      <c r="E2518" s="12" t="inlineStr">
        <is>
          <t>N</t>
        </is>
      </c>
      <c r="F2518" s="12" t="n">
        <v>3.49</v>
      </c>
      <c r="G2518" s="17" t="n">
        <v>87125.81</v>
      </c>
      <c r="H2518" s="26" t="n">
        <v>44869</v>
      </c>
      <c r="I2518" s="26" t="n">
        <v>44877</v>
      </c>
      <c r="J2518" s="12" t="n">
        <v>3.41</v>
      </c>
      <c r="K2518" s="17" t="n">
        <v>304069.08</v>
      </c>
      <c r="L2518" s="12" t="n">
        <v>0.04</v>
      </c>
      <c r="M2518" s="12" t="n">
        <v>6</v>
      </c>
      <c r="N2518" s="27">
        <f>F2518-J2518</f>
        <v/>
      </c>
      <c r="O2518" s="16">
        <f>I2518-H2518</f>
        <v/>
      </c>
      <c r="P2518" s="14">
        <f>F2518*G2518</f>
        <v/>
      </c>
      <c r="Q2518" s="14">
        <f>J2518*G2518</f>
        <v/>
      </c>
      <c r="R2518" s="14">
        <f>K2518-Q2518</f>
        <v/>
      </c>
      <c r="S2518" s="3">
        <f>P2518*Assumptions!$B$3/100</f>
        <v/>
      </c>
      <c r="T2518" s="14">
        <f>R2518-S2518</f>
        <v/>
      </c>
      <c r="U2518" s="14">
        <f>L2518*G2518</f>
        <v/>
      </c>
    </row>
    <row r="2519">
      <c r="A2519" s="12" t="inlineStr">
        <is>
          <t>PO-2022-2517</t>
        </is>
      </c>
      <c r="B2519" s="26" t="n">
        <v>45094</v>
      </c>
      <c r="C2519" s="12" t="inlineStr">
        <is>
          <t>VS32</t>
        </is>
      </c>
      <c r="D2519" s="12" t="inlineStr">
        <is>
          <t>GI Wire</t>
        </is>
      </c>
      <c r="E2519" s="12" t="inlineStr">
        <is>
          <t>N</t>
        </is>
      </c>
      <c r="F2519" s="12" t="n">
        <v>38.42</v>
      </c>
      <c r="G2519" s="17" t="n">
        <v>47711.69</v>
      </c>
      <c r="H2519" s="26" t="n">
        <v>45109</v>
      </c>
      <c r="I2519" s="26" t="n">
        <v>45110</v>
      </c>
      <c r="J2519" s="12" t="n">
        <v>38.07</v>
      </c>
      <c r="K2519" s="17" t="n">
        <v>1833083.13</v>
      </c>
      <c r="L2519" s="12" t="n">
        <v>0</v>
      </c>
      <c r="M2519" s="12" t="n">
        <v>0</v>
      </c>
      <c r="N2519" s="27">
        <f>F2519-J2519</f>
        <v/>
      </c>
      <c r="O2519" s="16">
        <f>I2519-H2519</f>
        <v/>
      </c>
      <c r="P2519" s="14">
        <f>F2519*G2519</f>
        <v/>
      </c>
      <c r="Q2519" s="14">
        <f>J2519*G2519</f>
        <v/>
      </c>
      <c r="R2519" s="14">
        <f>K2519-Q2519</f>
        <v/>
      </c>
      <c r="S2519" s="3">
        <f>P2519*Assumptions!$B$3/100</f>
        <v/>
      </c>
      <c r="T2519" s="14">
        <f>R2519-S2519</f>
        <v/>
      </c>
      <c r="U2519" s="14">
        <f>L2519*G2519</f>
        <v/>
      </c>
    </row>
    <row r="2520">
      <c r="A2520" s="12" t="inlineStr">
        <is>
          <t>PO-2022-2518</t>
        </is>
      </c>
      <c r="B2520" s="26" t="n">
        <v>45233</v>
      </c>
      <c r="C2520" s="12" t="inlineStr">
        <is>
          <t>VS05</t>
        </is>
      </c>
      <c r="D2520" s="12" t="inlineStr">
        <is>
          <t>Square/Rect Tubes</t>
        </is>
      </c>
      <c r="E2520" s="12" t="inlineStr">
        <is>
          <t>N</t>
        </is>
      </c>
      <c r="F2520" s="12" t="n">
        <v>46.71</v>
      </c>
      <c r="G2520" s="17" t="n">
        <v>73344.37</v>
      </c>
      <c r="H2520" s="26" t="n">
        <v>45246</v>
      </c>
      <c r="I2520" s="26" t="n">
        <v>45247</v>
      </c>
      <c r="J2520" s="12" t="n">
        <v>46.71</v>
      </c>
      <c r="K2520" s="17" t="n">
        <v>3425915.52</v>
      </c>
      <c r="L2520" s="12" t="n">
        <v>0</v>
      </c>
      <c r="M2520" s="12" t="n">
        <v>14</v>
      </c>
      <c r="N2520" s="27">
        <f>F2520-J2520</f>
        <v/>
      </c>
      <c r="O2520" s="16">
        <f>I2520-H2520</f>
        <v/>
      </c>
      <c r="P2520" s="14">
        <f>F2520*G2520</f>
        <v/>
      </c>
      <c r="Q2520" s="14">
        <f>J2520*G2520</f>
        <v/>
      </c>
      <c r="R2520" s="14">
        <f>K2520-Q2520</f>
        <v/>
      </c>
      <c r="S2520" s="3">
        <f>P2520*Assumptions!$B$3/100</f>
        <v/>
      </c>
      <c r="T2520" s="14">
        <f>R2520-S2520</f>
        <v/>
      </c>
      <c r="U2520" s="14">
        <f>L2520*G2520</f>
        <v/>
      </c>
    </row>
    <row r="2521">
      <c r="A2521" s="12" t="inlineStr">
        <is>
          <t>PO-2022-2519</t>
        </is>
      </c>
      <c r="B2521" s="26" t="n">
        <v>45097</v>
      </c>
      <c r="C2521" s="12" t="inlineStr">
        <is>
          <t>VS18</t>
        </is>
      </c>
      <c r="D2521" s="12" t="inlineStr">
        <is>
          <t>Square/Rect Tubes</t>
        </is>
      </c>
      <c r="E2521" s="12" t="inlineStr">
        <is>
          <t>N</t>
        </is>
      </c>
      <c r="F2521" s="12" t="n">
        <v>7.97</v>
      </c>
      <c r="G2521" s="17" t="n">
        <v>113624.61</v>
      </c>
      <c r="H2521" s="26" t="n">
        <v>45101</v>
      </c>
      <c r="I2521" s="26" t="n">
        <v>45102</v>
      </c>
      <c r="J2521" s="12" t="n">
        <v>7.96</v>
      </c>
      <c r="K2521" s="17" t="n">
        <v>905588.14</v>
      </c>
      <c r="L2521" s="12" t="n">
        <v>0</v>
      </c>
      <c r="M2521" s="12" t="n">
        <v>13</v>
      </c>
      <c r="N2521" s="27">
        <f>F2521-J2521</f>
        <v/>
      </c>
      <c r="O2521" s="16">
        <f>I2521-H2521</f>
        <v/>
      </c>
      <c r="P2521" s="14">
        <f>F2521*G2521</f>
        <v/>
      </c>
      <c r="Q2521" s="14">
        <f>J2521*G2521</f>
        <v/>
      </c>
      <c r="R2521" s="14">
        <f>K2521-Q2521</f>
        <v/>
      </c>
      <c r="S2521" s="3">
        <f>P2521*Assumptions!$B$3/100</f>
        <v/>
      </c>
      <c r="T2521" s="14">
        <f>R2521-S2521</f>
        <v/>
      </c>
      <c r="U2521" s="14">
        <f>L2521*G2521</f>
        <v/>
      </c>
    </row>
    <row r="2522">
      <c r="A2522" s="12" t="inlineStr">
        <is>
          <t>PO-2022-2520</t>
        </is>
      </c>
      <c r="B2522" s="26" t="n">
        <v>44983</v>
      </c>
      <c r="C2522" s="12" t="inlineStr">
        <is>
          <t>VS18</t>
        </is>
      </c>
      <c r="D2522" s="12" t="inlineStr">
        <is>
          <t>MS Rods</t>
        </is>
      </c>
      <c r="E2522" s="12" t="inlineStr">
        <is>
          <t>Y</t>
        </is>
      </c>
      <c r="F2522" s="12" t="n">
        <v>11.79</v>
      </c>
      <c r="G2522" s="17" t="n">
        <v>48301.01</v>
      </c>
      <c r="H2522" s="26" t="n">
        <v>44986</v>
      </c>
      <c r="I2522" s="26" t="n">
        <v>44986</v>
      </c>
      <c r="J2522" s="12" t="n">
        <v>11.78</v>
      </c>
      <c r="K2522" s="17" t="n">
        <v>569468.91</v>
      </c>
      <c r="L2522" s="12" t="n">
        <v>0</v>
      </c>
      <c r="M2522" s="12" t="n">
        <v>3</v>
      </c>
      <c r="N2522" s="27">
        <f>F2522-J2522</f>
        <v/>
      </c>
      <c r="O2522" s="16">
        <f>I2522-H2522</f>
        <v/>
      </c>
      <c r="P2522" s="14">
        <f>F2522*G2522</f>
        <v/>
      </c>
      <c r="Q2522" s="14">
        <f>J2522*G2522</f>
        <v/>
      </c>
      <c r="R2522" s="14">
        <f>K2522-Q2522</f>
        <v/>
      </c>
      <c r="S2522" s="3">
        <f>P2522*Assumptions!$B$3/100</f>
        <v/>
      </c>
      <c r="T2522" s="14">
        <f>R2522-S2522</f>
        <v/>
      </c>
      <c r="U2522" s="14">
        <f>L2522*G2522</f>
        <v/>
      </c>
    </row>
    <row r="2523">
      <c r="A2523" s="12" t="inlineStr">
        <is>
          <t>PO-2022-2521</t>
        </is>
      </c>
      <c r="B2523" s="26" t="n">
        <v>44469</v>
      </c>
      <c r="C2523" s="12" t="inlineStr">
        <is>
          <t>VS13</t>
        </is>
      </c>
      <c r="D2523" s="12" t="inlineStr">
        <is>
          <t>GI Wire</t>
        </is>
      </c>
      <c r="E2523" s="12" t="inlineStr">
        <is>
          <t>N</t>
        </is>
      </c>
      <c r="F2523" s="12" t="n">
        <v>28.9</v>
      </c>
      <c r="G2523" s="17" t="n">
        <v>76319.17999999999</v>
      </c>
      <c r="H2523" s="26" t="n">
        <v>44474</v>
      </c>
      <c r="I2523" s="26" t="n">
        <v>44476</v>
      </c>
      <c r="J2523" s="12" t="n">
        <v>28.8</v>
      </c>
      <c r="K2523" s="17" t="n">
        <v>2205624.3</v>
      </c>
      <c r="L2523" s="12" t="n">
        <v>0</v>
      </c>
      <c r="M2523" s="12" t="n">
        <v>0</v>
      </c>
      <c r="N2523" s="27">
        <f>F2523-J2523</f>
        <v/>
      </c>
      <c r="O2523" s="16">
        <f>I2523-H2523</f>
        <v/>
      </c>
      <c r="P2523" s="14">
        <f>F2523*G2523</f>
        <v/>
      </c>
      <c r="Q2523" s="14">
        <f>J2523*G2523</f>
        <v/>
      </c>
      <c r="R2523" s="14">
        <f>K2523-Q2523</f>
        <v/>
      </c>
      <c r="S2523" s="3">
        <f>P2523*Assumptions!$B$3/100</f>
        <v/>
      </c>
      <c r="T2523" s="14">
        <f>R2523-S2523</f>
        <v/>
      </c>
      <c r="U2523" s="14">
        <f>L2523*G2523</f>
        <v/>
      </c>
    </row>
    <row r="2524">
      <c r="A2524" s="12" t="inlineStr">
        <is>
          <t>PO-2022-2522</t>
        </is>
      </c>
      <c r="B2524" s="26" t="n">
        <v>45071</v>
      </c>
      <c r="C2524" s="12" t="inlineStr">
        <is>
          <t>VS17</t>
        </is>
      </c>
      <c r="D2524" s="12" t="inlineStr">
        <is>
          <t>GI Sheets</t>
        </is>
      </c>
      <c r="E2524" s="12" t="inlineStr">
        <is>
          <t>N</t>
        </is>
      </c>
      <c r="F2524" s="12" t="n">
        <v>1.03</v>
      </c>
      <c r="G2524" s="17" t="n">
        <v>49967.12</v>
      </c>
      <c r="H2524" s="26" t="n">
        <v>45074</v>
      </c>
      <c r="I2524" s="26" t="n">
        <v>45076</v>
      </c>
      <c r="J2524" s="12" t="n">
        <v>1.02</v>
      </c>
      <c r="K2524" s="17" t="n">
        <v>51466.13</v>
      </c>
      <c r="L2524" s="12" t="n">
        <v>0</v>
      </c>
      <c r="M2524" s="12" t="n">
        <v>0</v>
      </c>
      <c r="N2524" s="27">
        <f>F2524-J2524</f>
        <v/>
      </c>
      <c r="O2524" s="16">
        <f>I2524-H2524</f>
        <v/>
      </c>
      <c r="P2524" s="14">
        <f>F2524*G2524</f>
        <v/>
      </c>
      <c r="Q2524" s="14">
        <f>J2524*G2524</f>
        <v/>
      </c>
      <c r="R2524" s="14">
        <f>K2524-Q2524</f>
        <v/>
      </c>
      <c r="S2524" s="3">
        <f>P2524*Assumptions!$B$3/100</f>
        <v/>
      </c>
      <c r="T2524" s="14">
        <f>R2524-S2524</f>
        <v/>
      </c>
      <c r="U2524" s="14">
        <f>L2524*G2524</f>
        <v/>
      </c>
    </row>
    <row r="2525">
      <c r="A2525" s="12" t="inlineStr">
        <is>
          <t>PO-2022-2523</t>
        </is>
      </c>
      <c r="B2525" s="26" t="n">
        <v>44740</v>
      </c>
      <c r="C2525" s="12" t="inlineStr">
        <is>
          <t>VS31</t>
        </is>
      </c>
      <c r="D2525" s="12" t="inlineStr">
        <is>
          <t>SS Pipes</t>
        </is>
      </c>
      <c r="E2525" s="12" t="inlineStr">
        <is>
          <t>N</t>
        </is>
      </c>
      <c r="F2525" s="12" t="n">
        <v>11.74</v>
      </c>
      <c r="G2525" s="17" t="n">
        <v>113635.05</v>
      </c>
      <c r="H2525" s="26" t="n">
        <v>44745</v>
      </c>
      <c r="I2525" s="26" t="n">
        <v>44747</v>
      </c>
      <c r="J2525" s="12" t="n">
        <v>11.66</v>
      </c>
      <c r="K2525" s="17" t="n">
        <v>1334075.49</v>
      </c>
      <c r="L2525" s="12" t="n">
        <v>0</v>
      </c>
      <c r="M2525" s="12" t="n">
        <v>0</v>
      </c>
      <c r="N2525" s="27">
        <f>F2525-J2525</f>
        <v/>
      </c>
      <c r="O2525" s="16">
        <f>I2525-H2525</f>
        <v/>
      </c>
      <c r="P2525" s="14">
        <f>F2525*G2525</f>
        <v/>
      </c>
      <c r="Q2525" s="14">
        <f>J2525*G2525</f>
        <v/>
      </c>
      <c r="R2525" s="14">
        <f>K2525-Q2525</f>
        <v/>
      </c>
      <c r="S2525" s="3">
        <f>P2525*Assumptions!$B$3/100</f>
        <v/>
      </c>
      <c r="T2525" s="14">
        <f>R2525-S2525</f>
        <v/>
      </c>
      <c r="U2525" s="14">
        <f>L2525*G2525</f>
        <v/>
      </c>
    </row>
    <row r="2526">
      <c r="A2526" s="12" t="inlineStr">
        <is>
          <t>PO-2022-2524</t>
        </is>
      </c>
      <c r="B2526" s="26" t="n">
        <v>45207</v>
      </c>
      <c r="C2526" s="12" t="inlineStr">
        <is>
          <t>VS08</t>
        </is>
      </c>
      <c r="D2526" s="12" t="inlineStr">
        <is>
          <t>SS Pipes</t>
        </is>
      </c>
      <c r="E2526" s="12" t="inlineStr">
        <is>
          <t>N</t>
        </is>
      </c>
      <c r="F2526" s="12" t="n">
        <v>33.8</v>
      </c>
      <c r="G2526" s="17" t="n">
        <v>105876.73</v>
      </c>
      <c r="H2526" s="26" t="n">
        <v>45215</v>
      </c>
      <c r="I2526" s="26" t="n">
        <v>45217</v>
      </c>
      <c r="J2526" s="12" t="n">
        <v>33.59</v>
      </c>
      <c r="K2526" s="17" t="n">
        <v>3578633.47</v>
      </c>
      <c r="L2526" s="12" t="n">
        <v>0</v>
      </c>
      <c r="M2526" s="12" t="n">
        <v>0</v>
      </c>
      <c r="N2526" s="27">
        <f>F2526-J2526</f>
        <v/>
      </c>
      <c r="O2526" s="16">
        <f>I2526-H2526</f>
        <v/>
      </c>
      <c r="P2526" s="14">
        <f>F2526*G2526</f>
        <v/>
      </c>
      <c r="Q2526" s="14">
        <f>J2526*G2526</f>
        <v/>
      </c>
      <c r="R2526" s="14">
        <f>K2526-Q2526</f>
        <v/>
      </c>
      <c r="S2526" s="3">
        <f>P2526*Assumptions!$B$3/100</f>
        <v/>
      </c>
      <c r="T2526" s="14">
        <f>R2526-S2526</f>
        <v/>
      </c>
      <c r="U2526" s="14">
        <f>L2526*G2526</f>
        <v/>
      </c>
    </row>
    <row r="2527">
      <c r="A2527" s="12" t="inlineStr">
        <is>
          <t>PO-2022-2525</t>
        </is>
      </c>
      <c r="B2527" s="26" t="n">
        <v>44959</v>
      </c>
      <c r="C2527" s="12" t="inlineStr">
        <is>
          <t>VS31</t>
        </is>
      </c>
      <c r="D2527" s="12" t="inlineStr">
        <is>
          <t>CR Sheets</t>
        </is>
      </c>
      <c r="E2527" s="12" t="inlineStr">
        <is>
          <t>N</t>
        </is>
      </c>
      <c r="F2527" s="12" t="n">
        <v>29.28</v>
      </c>
      <c r="G2527" s="17" t="n">
        <v>86094.39999999999</v>
      </c>
      <c r="H2527" s="26" t="n">
        <v>44973</v>
      </c>
      <c r="I2527" s="26" t="n">
        <v>44975</v>
      </c>
      <c r="J2527" s="12" t="n">
        <v>29.09</v>
      </c>
      <c r="K2527" s="17" t="n">
        <v>2520844.03</v>
      </c>
      <c r="L2527" s="12" t="n">
        <v>0</v>
      </c>
      <c r="M2527" s="12" t="n">
        <v>21</v>
      </c>
      <c r="N2527" s="27">
        <f>F2527-J2527</f>
        <v/>
      </c>
      <c r="O2527" s="16">
        <f>I2527-H2527</f>
        <v/>
      </c>
      <c r="P2527" s="14">
        <f>F2527*G2527</f>
        <v/>
      </c>
      <c r="Q2527" s="14">
        <f>J2527*G2527</f>
        <v/>
      </c>
      <c r="R2527" s="14">
        <f>K2527-Q2527</f>
        <v/>
      </c>
      <c r="S2527" s="3">
        <f>P2527*Assumptions!$B$3/100</f>
        <v/>
      </c>
      <c r="T2527" s="14">
        <f>R2527-S2527</f>
        <v/>
      </c>
      <c r="U2527" s="14">
        <f>L2527*G2527</f>
        <v/>
      </c>
    </row>
    <row r="2528">
      <c r="A2528" s="12" t="inlineStr">
        <is>
          <t>PO-2022-2526</t>
        </is>
      </c>
      <c r="B2528" s="26" t="n">
        <v>44874</v>
      </c>
      <c r="C2528" s="12" t="inlineStr">
        <is>
          <t>VS21</t>
        </is>
      </c>
      <c r="D2528" s="12" t="inlineStr">
        <is>
          <t>Hex Bars</t>
        </is>
      </c>
      <c r="E2528" s="12" t="inlineStr">
        <is>
          <t>N</t>
        </is>
      </c>
      <c r="F2528" s="12" t="n">
        <v>8.619999999999999</v>
      </c>
      <c r="G2528" s="17" t="n">
        <v>96146.8</v>
      </c>
      <c r="H2528" s="26" t="n">
        <v>44888</v>
      </c>
      <c r="I2528" s="26" t="n">
        <v>44891</v>
      </c>
      <c r="J2528" s="12" t="n">
        <v>8.539999999999999</v>
      </c>
      <c r="K2528" s="17" t="n">
        <v>828785.42</v>
      </c>
      <c r="L2528" s="12" t="n">
        <v>0</v>
      </c>
      <c r="M2528" s="12" t="n">
        <v>11</v>
      </c>
      <c r="N2528" s="27">
        <f>F2528-J2528</f>
        <v/>
      </c>
      <c r="O2528" s="16">
        <f>I2528-H2528</f>
        <v/>
      </c>
      <c r="P2528" s="14">
        <f>F2528*G2528</f>
        <v/>
      </c>
      <c r="Q2528" s="14">
        <f>J2528*G2528</f>
        <v/>
      </c>
      <c r="R2528" s="14">
        <f>K2528-Q2528</f>
        <v/>
      </c>
      <c r="S2528" s="3">
        <f>P2528*Assumptions!$B$3/100</f>
        <v/>
      </c>
      <c r="T2528" s="14">
        <f>R2528-S2528</f>
        <v/>
      </c>
      <c r="U2528" s="14">
        <f>L2528*G2528</f>
        <v/>
      </c>
    </row>
    <row r="2529">
      <c r="A2529" s="12" t="inlineStr">
        <is>
          <t>PO-2022-2527</t>
        </is>
      </c>
      <c r="B2529" s="26" t="n">
        <v>45262</v>
      </c>
      <c r="C2529" s="12" t="inlineStr">
        <is>
          <t>VS18</t>
        </is>
      </c>
      <c r="D2529" s="12" t="inlineStr">
        <is>
          <t>HR Coils</t>
        </is>
      </c>
      <c r="E2529" s="12" t="inlineStr">
        <is>
          <t>N</t>
        </is>
      </c>
      <c r="F2529" s="12" t="n">
        <v>12.08</v>
      </c>
      <c r="G2529" s="17" t="n">
        <v>46666.89</v>
      </c>
      <c r="H2529" s="26" t="n">
        <v>45272</v>
      </c>
      <c r="I2529" s="26" t="n">
        <v>45274</v>
      </c>
      <c r="J2529" s="12" t="n">
        <v>11.98</v>
      </c>
      <c r="K2529" s="17" t="n">
        <v>563736.03</v>
      </c>
      <c r="L2529" s="12" t="n">
        <v>0</v>
      </c>
      <c r="M2529" s="12" t="n">
        <v>4</v>
      </c>
      <c r="N2529" s="27">
        <f>F2529-J2529</f>
        <v/>
      </c>
      <c r="O2529" s="16">
        <f>I2529-H2529</f>
        <v/>
      </c>
      <c r="P2529" s="14">
        <f>F2529*G2529</f>
        <v/>
      </c>
      <c r="Q2529" s="14">
        <f>J2529*G2529</f>
        <v/>
      </c>
      <c r="R2529" s="14">
        <f>K2529-Q2529</f>
        <v/>
      </c>
      <c r="S2529" s="3">
        <f>P2529*Assumptions!$B$3/100</f>
        <v/>
      </c>
      <c r="T2529" s="14">
        <f>R2529-S2529</f>
        <v/>
      </c>
      <c r="U2529" s="14">
        <f>L2529*G2529</f>
        <v/>
      </c>
    </row>
    <row r="2530">
      <c r="A2530" s="12" t="inlineStr">
        <is>
          <t>PO-2022-2528</t>
        </is>
      </c>
      <c r="B2530" s="26" t="n">
        <v>44754</v>
      </c>
      <c r="C2530" s="12" t="inlineStr">
        <is>
          <t>VS22</t>
        </is>
      </c>
      <c r="D2530" s="12" t="inlineStr">
        <is>
          <t>Hex Bars</t>
        </is>
      </c>
      <c r="E2530" s="12" t="inlineStr">
        <is>
          <t>N</t>
        </is>
      </c>
      <c r="F2530" s="12" t="n">
        <v>15.73</v>
      </c>
      <c r="G2530" s="17" t="n">
        <v>117957.09</v>
      </c>
      <c r="H2530" s="26" t="n">
        <v>44763</v>
      </c>
      <c r="I2530" s="26" t="n">
        <v>44766</v>
      </c>
      <c r="J2530" s="12" t="n">
        <v>15.72</v>
      </c>
      <c r="K2530" s="17" t="n">
        <v>1855465.03</v>
      </c>
      <c r="L2530" s="12" t="n">
        <v>0</v>
      </c>
      <c r="M2530" s="12" t="n">
        <v>8</v>
      </c>
      <c r="N2530" s="27">
        <f>F2530-J2530</f>
        <v/>
      </c>
      <c r="O2530" s="16">
        <f>I2530-H2530</f>
        <v/>
      </c>
      <c r="P2530" s="14">
        <f>F2530*G2530</f>
        <v/>
      </c>
      <c r="Q2530" s="14">
        <f>J2530*G2530</f>
        <v/>
      </c>
      <c r="R2530" s="14">
        <f>K2530-Q2530</f>
        <v/>
      </c>
      <c r="S2530" s="3">
        <f>P2530*Assumptions!$B$3/100</f>
        <v/>
      </c>
      <c r="T2530" s="14">
        <f>R2530-S2530</f>
        <v/>
      </c>
      <c r="U2530" s="14">
        <f>L2530*G2530</f>
        <v/>
      </c>
    </row>
    <row r="2531">
      <c r="A2531" s="12" t="inlineStr">
        <is>
          <t>PO-2022-2529</t>
        </is>
      </c>
      <c r="B2531" s="26" t="n">
        <v>44302</v>
      </c>
      <c r="C2531" s="12" t="inlineStr">
        <is>
          <t>VS20</t>
        </is>
      </c>
      <c r="D2531" s="12" t="inlineStr">
        <is>
          <t>CR Sheets</t>
        </is>
      </c>
      <c r="E2531" s="12" t="inlineStr">
        <is>
          <t>N</t>
        </is>
      </c>
      <c r="F2531" s="12" t="n">
        <v>6.22</v>
      </c>
      <c r="G2531" s="17" t="n">
        <v>56097.9</v>
      </c>
      <c r="H2531" s="26" t="n">
        <v>44308</v>
      </c>
      <c r="I2531" s="26" t="n">
        <v>44311</v>
      </c>
      <c r="J2531" s="12" t="n">
        <v>6.2</v>
      </c>
      <c r="K2531" s="17" t="n">
        <v>348928.94</v>
      </c>
      <c r="L2531" s="12" t="n">
        <v>0</v>
      </c>
      <c r="M2531" s="12" t="n">
        <v>0</v>
      </c>
      <c r="N2531" s="27">
        <f>F2531-J2531</f>
        <v/>
      </c>
      <c r="O2531" s="16">
        <f>I2531-H2531</f>
        <v/>
      </c>
      <c r="P2531" s="14">
        <f>F2531*G2531</f>
        <v/>
      </c>
      <c r="Q2531" s="14">
        <f>J2531*G2531</f>
        <v/>
      </c>
      <c r="R2531" s="14">
        <f>K2531-Q2531</f>
        <v/>
      </c>
      <c r="S2531" s="3">
        <f>P2531*Assumptions!$B$3/100</f>
        <v/>
      </c>
      <c r="T2531" s="14">
        <f>R2531-S2531</f>
        <v/>
      </c>
      <c r="U2531" s="14">
        <f>L2531*G2531</f>
        <v/>
      </c>
    </row>
    <row r="2532">
      <c r="A2532" s="12" t="inlineStr">
        <is>
          <t>PO-2022-2530</t>
        </is>
      </c>
      <c r="B2532" s="26" t="n">
        <v>44645</v>
      </c>
      <c r="C2532" s="12" t="inlineStr">
        <is>
          <t>VS16</t>
        </is>
      </c>
      <c r="D2532" s="12" t="inlineStr">
        <is>
          <t>Fasteners &amp; Fittings</t>
        </is>
      </c>
      <c r="E2532" s="12" t="inlineStr">
        <is>
          <t>N</t>
        </is>
      </c>
      <c r="F2532" s="12" t="n">
        <v>45.35</v>
      </c>
      <c r="G2532" s="17" t="n">
        <v>114453.87</v>
      </c>
      <c r="H2532" s="26" t="n">
        <v>44659</v>
      </c>
      <c r="I2532" s="26" t="n">
        <v>44660</v>
      </c>
      <c r="J2532" s="12" t="n">
        <v>45.04</v>
      </c>
      <c r="K2532" s="17" t="n">
        <v>5190483</v>
      </c>
      <c r="L2532" s="12" t="n">
        <v>0</v>
      </c>
      <c r="M2532" s="12" t="n">
        <v>10</v>
      </c>
      <c r="N2532" s="27">
        <f>F2532-J2532</f>
        <v/>
      </c>
      <c r="O2532" s="16">
        <f>I2532-H2532</f>
        <v/>
      </c>
      <c r="P2532" s="14">
        <f>F2532*G2532</f>
        <v/>
      </c>
      <c r="Q2532" s="14">
        <f>J2532*G2532</f>
        <v/>
      </c>
      <c r="R2532" s="14">
        <f>K2532-Q2532</f>
        <v/>
      </c>
      <c r="S2532" s="3">
        <f>P2532*Assumptions!$B$3/100</f>
        <v/>
      </c>
      <c r="T2532" s="14">
        <f>R2532-S2532</f>
        <v/>
      </c>
      <c r="U2532" s="14">
        <f>L2532*G2532</f>
        <v/>
      </c>
    </row>
    <row r="2533">
      <c r="A2533" s="12" t="inlineStr">
        <is>
          <t>PO-2022-2531</t>
        </is>
      </c>
      <c r="B2533" s="26" t="n">
        <v>45232</v>
      </c>
      <c r="C2533" s="12" t="inlineStr">
        <is>
          <t>VS24</t>
        </is>
      </c>
      <c r="D2533" s="12" t="inlineStr">
        <is>
          <t>GI Wire</t>
        </is>
      </c>
      <c r="E2533" s="12" t="inlineStr">
        <is>
          <t>N</t>
        </is>
      </c>
      <c r="F2533" s="12" t="n">
        <v>37.38</v>
      </c>
      <c r="G2533" s="17" t="n">
        <v>76446.86</v>
      </c>
      <c r="H2533" s="26" t="n">
        <v>45240</v>
      </c>
      <c r="I2533" s="26" t="n">
        <v>45241</v>
      </c>
      <c r="J2533" s="12" t="n">
        <v>37.25</v>
      </c>
      <c r="K2533" s="17" t="n">
        <v>2857583.63</v>
      </c>
      <c r="L2533" s="12" t="n">
        <v>0</v>
      </c>
      <c r="M2533" s="12" t="n">
        <v>0</v>
      </c>
      <c r="N2533" s="27">
        <f>F2533-J2533</f>
        <v/>
      </c>
      <c r="O2533" s="16">
        <f>I2533-H2533</f>
        <v/>
      </c>
      <c r="P2533" s="14">
        <f>F2533*G2533</f>
        <v/>
      </c>
      <c r="Q2533" s="14">
        <f>J2533*G2533</f>
        <v/>
      </c>
      <c r="R2533" s="14">
        <f>K2533-Q2533</f>
        <v/>
      </c>
      <c r="S2533" s="3">
        <f>P2533*Assumptions!$B$3/100</f>
        <v/>
      </c>
      <c r="T2533" s="14">
        <f>R2533-S2533</f>
        <v/>
      </c>
      <c r="U2533" s="14">
        <f>L2533*G2533</f>
        <v/>
      </c>
    </row>
    <row r="2534">
      <c r="A2534" s="12" t="inlineStr">
        <is>
          <t>PO-2022-2532</t>
        </is>
      </c>
      <c r="B2534" s="26" t="n">
        <v>44809</v>
      </c>
      <c r="C2534" s="12" t="inlineStr">
        <is>
          <t>VS06</t>
        </is>
      </c>
      <c r="D2534" s="12" t="inlineStr">
        <is>
          <t>HR Coils</t>
        </is>
      </c>
      <c r="E2534" s="12" t="inlineStr">
        <is>
          <t>N</t>
        </is>
      </c>
      <c r="F2534" s="12" t="n">
        <v>8.960000000000001</v>
      </c>
      <c r="G2534" s="17" t="n">
        <v>81088.03</v>
      </c>
      <c r="H2534" s="26" t="n">
        <v>44822</v>
      </c>
      <c r="I2534" s="26" t="n">
        <v>44822</v>
      </c>
      <c r="J2534" s="12" t="n">
        <v>8.93</v>
      </c>
      <c r="K2534" s="17" t="n">
        <v>726548.75</v>
      </c>
      <c r="L2534" s="12" t="n">
        <v>0</v>
      </c>
      <c r="M2534" s="12" t="n">
        <v>12</v>
      </c>
      <c r="N2534" s="27">
        <f>F2534-J2534</f>
        <v/>
      </c>
      <c r="O2534" s="16">
        <f>I2534-H2534</f>
        <v/>
      </c>
      <c r="P2534" s="14">
        <f>F2534*G2534</f>
        <v/>
      </c>
      <c r="Q2534" s="14">
        <f>J2534*G2534</f>
        <v/>
      </c>
      <c r="R2534" s="14">
        <f>K2534-Q2534</f>
        <v/>
      </c>
      <c r="S2534" s="3">
        <f>P2534*Assumptions!$B$3/100</f>
        <v/>
      </c>
      <c r="T2534" s="14">
        <f>R2534-S2534</f>
        <v/>
      </c>
      <c r="U2534" s="14">
        <f>L2534*G2534</f>
        <v/>
      </c>
    </row>
    <row r="2535">
      <c r="A2535" s="12" t="inlineStr">
        <is>
          <t>PO-2022-2533</t>
        </is>
      </c>
      <c r="B2535" s="26" t="n">
        <v>44332</v>
      </c>
      <c r="C2535" s="12" t="inlineStr">
        <is>
          <t>VS21</t>
        </is>
      </c>
      <c r="D2535" s="12" t="inlineStr">
        <is>
          <t>GI Pipes</t>
        </is>
      </c>
      <c r="E2535" s="12" t="inlineStr">
        <is>
          <t>N</t>
        </is>
      </c>
      <c r="F2535" s="12" t="n">
        <v>22.35</v>
      </c>
      <c r="G2535" s="17" t="n">
        <v>106129.56</v>
      </c>
      <c r="H2535" s="26" t="n">
        <v>44337</v>
      </c>
      <c r="I2535" s="26" t="n">
        <v>44339</v>
      </c>
      <c r="J2535" s="12" t="n">
        <v>22.34</v>
      </c>
      <c r="K2535" s="17" t="n">
        <v>2371995.67</v>
      </c>
      <c r="L2535" s="12" t="n">
        <v>0</v>
      </c>
      <c r="M2535" s="12" t="n">
        <v>0</v>
      </c>
      <c r="N2535" s="27">
        <f>F2535-J2535</f>
        <v/>
      </c>
      <c r="O2535" s="16">
        <f>I2535-H2535</f>
        <v/>
      </c>
      <c r="P2535" s="14">
        <f>F2535*G2535</f>
        <v/>
      </c>
      <c r="Q2535" s="14">
        <f>J2535*G2535</f>
        <v/>
      </c>
      <c r="R2535" s="14">
        <f>K2535-Q2535</f>
        <v/>
      </c>
      <c r="S2535" s="3">
        <f>P2535*Assumptions!$B$3/100</f>
        <v/>
      </c>
      <c r="T2535" s="14">
        <f>R2535-S2535</f>
        <v/>
      </c>
      <c r="U2535" s="14">
        <f>L2535*G2535</f>
        <v/>
      </c>
    </row>
    <row r="2536">
      <c r="A2536" s="12" t="inlineStr">
        <is>
          <t>PO-2022-2534</t>
        </is>
      </c>
      <c r="B2536" s="26" t="n">
        <v>45045</v>
      </c>
      <c r="C2536" s="12" t="inlineStr">
        <is>
          <t>VS31</t>
        </is>
      </c>
      <c r="D2536" s="12" t="inlineStr">
        <is>
          <t>MS Pipes</t>
        </is>
      </c>
      <c r="E2536" s="12" t="inlineStr">
        <is>
          <t>N</t>
        </is>
      </c>
      <c r="F2536" s="12" t="n">
        <v>17.36</v>
      </c>
      <c r="G2536" s="17" t="n">
        <v>72778.50999999999</v>
      </c>
      <c r="H2536" s="26" t="n">
        <v>45052</v>
      </c>
      <c r="I2536" s="26" t="n">
        <v>45055</v>
      </c>
      <c r="J2536" s="12" t="n">
        <v>17.36</v>
      </c>
      <c r="K2536" s="17" t="n">
        <v>1263434.93</v>
      </c>
      <c r="L2536" s="12" t="n">
        <v>0</v>
      </c>
      <c r="M2536" s="12" t="n">
        <v>17</v>
      </c>
      <c r="N2536" s="27">
        <f>F2536-J2536</f>
        <v/>
      </c>
      <c r="O2536" s="16">
        <f>I2536-H2536</f>
        <v/>
      </c>
      <c r="P2536" s="14">
        <f>F2536*G2536</f>
        <v/>
      </c>
      <c r="Q2536" s="14">
        <f>J2536*G2536</f>
        <v/>
      </c>
      <c r="R2536" s="14">
        <f>K2536-Q2536</f>
        <v/>
      </c>
      <c r="S2536" s="3">
        <f>P2536*Assumptions!$B$3/100</f>
        <v/>
      </c>
      <c r="T2536" s="14">
        <f>R2536-S2536</f>
        <v/>
      </c>
      <c r="U2536" s="14">
        <f>L2536*G2536</f>
        <v/>
      </c>
    </row>
    <row r="2537">
      <c r="A2537" s="12" t="inlineStr">
        <is>
          <t>PO-2022-2535</t>
        </is>
      </c>
      <c r="B2537" s="26" t="n">
        <v>44679</v>
      </c>
      <c r="C2537" s="12" t="inlineStr">
        <is>
          <t>VS32</t>
        </is>
      </c>
      <c r="D2537" s="12" t="inlineStr">
        <is>
          <t>Structural Steel</t>
        </is>
      </c>
      <c r="E2537" s="12" t="inlineStr">
        <is>
          <t>N</t>
        </is>
      </c>
      <c r="F2537" s="12" t="n">
        <v>46.46</v>
      </c>
      <c r="G2537" s="17" t="n">
        <v>74725.85000000001</v>
      </c>
      <c r="H2537" s="26" t="n">
        <v>44685</v>
      </c>
      <c r="I2537" s="26" t="n">
        <v>44686</v>
      </c>
      <c r="J2537" s="12" t="n">
        <v>46.37</v>
      </c>
      <c r="K2537" s="17" t="n">
        <v>3471762.99</v>
      </c>
      <c r="L2537" s="12" t="n">
        <v>0</v>
      </c>
      <c r="M2537" s="12" t="n">
        <v>21</v>
      </c>
      <c r="N2537" s="27">
        <f>F2537-J2537</f>
        <v/>
      </c>
      <c r="O2537" s="16">
        <f>I2537-H2537</f>
        <v/>
      </c>
      <c r="P2537" s="14">
        <f>F2537*G2537</f>
        <v/>
      </c>
      <c r="Q2537" s="14">
        <f>J2537*G2537</f>
        <v/>
      </c>
      <c r="R2537" s="14">
        <f>K2537-Q2537</f>
        <v/>
      </c>
      <c r="S2537" s="3">
        <f>P2537*Assumptions!$B$3/100</f>
        <v/>
      </c>
      <c r="T2537" s="14">
        <f>R2537-S2537</f>
        <v/>
      </c>
      <c r="U2537" s="14">
        <f>L2537*G2537</f>
        <v/>
      </c>
    </row>
    <row r="2538">
      <c r="A2538" s="12" t="inlineStr">
        <is>
          <t>PO-2022-2536</t>
        </is>
      </c>
      <c r="B2538" s="26" t="n">
        <v>45027</v>
      </c>
      <c r="C2538" s="12" t="inlineStr">
        <is>
          <t>VS28</t>
        </is>
      </c>
      <c r="D2538" s="12" t="inlineStr">
        <is>
          <t>HR Coils</t>
        </is>
      </c>
      <c r="E2538" s="12" t="inlineStr">
        <is>
          <t>Y</t>
        </is>
      </c>
      <c r="F2538" s="12" t="n">
        <v>15.04</v>
      </c>
      <c r="G2538" s="17" t="n">
        <v>90792.95</v>
      </c>
      <c r="H2538" s="26" t="n">
        <v>45032</v>
      </c>
      <c r="I2538" s="26" t="n">
        <v>45034</v>
      </c>
      <c r="J2538" s="12" t="n">
        <v>15</v>
      </c>
      <c r="K2538" s="17" t="n">
        <v>1365525.97</v>
      </c>
      <c r="L2538" s="12" t="n">
        <v>0</v>
      </c>
      <c r="M2538" s="12" t="n">
        <v>0</v>
      </c>
      <c r="N2538" s="27">
        <f>F2538-J2538</f>
        <v/>
      </c>
      <c r="O2538" s="16">
        <f>I2538-H2538</f>
        <v/>
      </c>
      <c r="P2538" s="14">
        <f>F2538*G2538</f>
        <v/>
      </c>
      <c r="Q2538" s="14">
        <f>J2538*G2538</f>
        <v/>
      </c>
      <c r="R2538" s="14">
        <f>K2538-Q2538</f>
        <v/>
      </c>
      <c r="S2538" s="3">
        <f>P2538*Assumptions!$B$3/100</f>
        <v/>
      </c>
      <c r="T2538" s="14">
        <f>R2538-S2538</f>
        <v/>
      </c>
      <c r="U2538" s="14">
        <f>L2538*G2538</f>
        <v/>
      </c>
    </row>
    <row r="2539">
      <c r="A2539" s="12" t="inlineStr">
        <is>
          <t>PO-2022-2537</t>
        </is>
      </c>
      <c r="B2539" s="26" t="n">
        <v>44885</v>
      </c>
      <c r="C2539" s="12" t="inlineStr">
        <is>
          <t>VS11</t>
        </is>
      </c>
      <c r="D2539" s="12" t="inlineStr">
        <is>
          <t>MS Flats</t>
        </is>
      </c>
      <c r="E2539" s="12" t="inlineStr">
        <is>
          <t>N</t>
        </is>
      </c>
      <c r="F2539" s="12" t="n">
        <v>30.08</v>
      </c>
      <c r="G2539" s="17" t="n">
        <v>108989.89</v>
      </c>
      <c r="H2539" s="26" t="n">
        <v>44889</v>
      </c>
      <c r="I2539" s="26" t="n">
        <v>44892</v>
      </c>
      <c r="J2539" s="12" t="n">
        <v>29.98</v>
      </c>
      <c r="K2539" s="17" t="n">
        <v>3278415.89</v>
      </c>
      <c r="L2539" s="12" t="n">
        <v>0</v>
      </c>
      <c r="M2539" s="12" t="n">
        <v>7</v>
      </c>
      <c r="N2539" s="27">
        <f>F2539-J2539</f>
        <v/>
      </c>
      <c r="O2539" s="16">
        <f>I2539-H2539</f>
        <v/>
      </c>
      <c r="P2539" s="14">
        <f>F2539*G2539</f>
        <v/>
      </c>
      <c r="Q2539" s="14">
        <f>J2539*G2539</f>
        <v/>
      </c>
      <c r="R2539" s="14">
        <f>K2539-Q2539</f>
        <v/>
      </c>
      <c r="S2539" s="3">
        <f>P2539*Assumptions!$B$3/100</f>
        <v/>
      </c>
      <c r="T2539" s="14">
        <f>R2539-S2539</f>
        <v/>
      </c>
      <c r="U2539" s="14">
        <f>L2539*G2539</f>
        <v/>
      </c>
    </row>
    <row r="2540">
      <c r="A2540" s="12" t="inlineStr">
        <is>
          <t>PO-2022-2538</t>
        </is>
      </c>
      <c r="B2540" s="26" t="n">
        <v>44365</v>
      </c>
      <c r="C2540" s="12" t="inlineStr">
        <is>
          <t>VS06</t>
        </is>
      </c>
      <c r="D2540" s="12" t="inlineStr">
        <is>
          <t>MS Pipes</t>
        </is>
      </c>
      <c r="E2540" s="12" t="inlineStr">
        <is>
          <t>N</t>
        </is>
      </c>
      <c r="F2540" s="12" t="n">
        <v>8.35</v>
      </c>
      <c r="G2540" s="17" t="n">
        <v>77140.7</v>
      </c>
      <c r="H2540" s="26" t="n">
        <v>44369</v>
      </c>
      <c r="I2540" s="26" t="n">
        <v>44372</v>
      </c>
      <c r="J2540" s="12" t="n">
        <v>8.32</v>
      </c>
      <c r="K2540" s="17" t="n">
        <v>644124.84</v>
      </c>
      <c r="L2540" s="12" t="n">
        <v>0</v>
      </c>
      <c r="M2540" s="12" t="n">
        <v>0</v>
      </c>
      <c r="N2540" s="27">
        <f>F2540-J2540</f>
        <v/>
      </c>
      <c r="O2540" s="16">
        <f>I2540-H2540</f>
        <v/>
      </c>
      <c r="P2540" s="14">
        <f>F2540*G2540</f>
        <v/>
      </c>
      <c r="Q2540" s="14">
        <f>J2540*G2540</f>
        <v/>
      </c>
      <c r="R2540" s="14">
        <f>K2540-Q2540</f>
        <v/>
      </c>
      <c r="S2540" s="3">
        <f>P2540*Assumptions!$B$3/100</f>
        <v/>
      </c>
      <c r="T2540" s="14">
        <f>R2540-S2540</f>
        <v/>
      </c>
      <c r="U2540" s="14">
        <f>L2540*G2540</f>
        <v/>
      </c>
    </row>
    <row r="2541">
      <c r="A2541" s="12" t="inlineStr">
        <is>
          <t>PO-2022-2539</t>
        </is>
      </c>
      <c r="B2541" s="26" t="n">
        <v>44508</v>
      </c>
      <c r="C2541" s="12" t="inlineStr">
        <is>
          <t>VS04</t>
        </is>
      </c>
      <c r="D2541" s="12" t="inlineStr">
        <is>
          <t>MS Pipes</t>
        </is>
      </c>
      <c r="E2541" s="12" t="inlineStr">
        <is>
          <t>N</t>
        </is>
      </c>
      <c r="F2541" s="12" t="n">
        <v>24.09</v>
      </c>
      <c r="G2541" s="17" t="n">
        <v>47451.35</v>
      </c>
      <c r="H2541" s="26" t="n">
        <v>44515</v>
      </c>
      <c r="I2541" s="26" t="n">
        <v>44517</v>
      </c>
      <c r="J2541" s="12" t="n">
        <v>24.08</v>
      </c>
      <c r="K2541" s="17" t="n">
        <v>1143103.02</v>
      </c>
      <c r="L2541" s="12" t="n">
        <v>0</v>
      </c>
      <c r="M2541" s="12" t="n">
        <v>21</v>
      </c>
      <c r="N2541" s="27">
        <f>F2541-J2541</f>
        <v/>
      </c>
      <c r="O2541" s="16">
        <f>I2541-H2541</f>
        <v/>
      </c>
      <c r="P2541" s="14">
        <f>F2541*G2541</f>
        <v/>
      </c>
      <c r="Q2541" s="14">
        <f>J2541*G2541</f>
        <v/>
      </c>
      <c r="R2541" s="14">
        <f>K2541-Q2541</f>
        <v/>
      </c>
      <c r="S2541" s="3">
        <f>P2541*Assumptions!$B$3/100</f>
        <v/>
      </c>
      <c r="T2541" s="14">
        <f>R2541-S2541</f>
        <v/>
      </c>
      <c r="U2541" s="14">
        <f>L2541*G2541</f>
        <v/>
      </c>
    </row>
    <row r="2542">
      <c r="A2542" s="12" t="inlineStr">
        <is>
          <t>PO-2022-2540</t>
        </is>
      </c>
      <c r="B2542" s="26" t="n">
        <v>44948</v>
      </c>
      <c r="C2542" s="12" t="inlineStr">
        <is>
          <t>VS23</t>
        </is>
      </c>
      <c r="D2542" s="12" t="inlineStr">
        <is>
          <t>SS Pipes</t>
        </is>
      </c>
      <c r="E2542" s="12" t="inlineStr">
        <is>
          <t>N</t>
        </is>
      </c>
      <c r="F2542" s="12" t="n">
        <v>2.98</v>
      </c>
      <c r="G2542" s="17" t="n">
        <v>111965.98</v>
      </c>
      <c r="H2542" s="26" t="n">
        <v>44956</v>
      </c>
      <c r="I2542" s="26" t="n">
        <v>44956</v>
      </c>
      <c r="J2542" s="12" t="n">
        <v>2.97</v>
      </c>
      <c r="K2542" s="17" t="n">
        <v>333658.62</v>
      </c>
      <c r="L2542" s="12" t="n">
        <v>0</v>
      </c>
      <c r="M2542" s="12" t="n">
        <v>11</v>
      </c>
      <c r="N2542" s="27">
        <f>F2542-J2542</f>
        <v/>
      </c>
      <c r="O2542" s="16">
        <f>I2542-H2542</f>
        <v/>
      </c>
      <c r="P2542" s="14">
        <f>F2542*G2542</f>
        <v/>
      </c>
      <c r="Q2542" s="14">
        <f>J2542*G2542</f>
        <v/>
      </c>
      <c r="R2542" s="14">
        <f>K2542-Q2542</f>
        <v/>
      </c>
      <c r="S2542" s="3">
        <f>P2542*Assumptions!$B$3/100</f>
        <v/>
      </c>
      <c r="T2542" s="14">
        <f>R2542-S2542</f>
        <v/>
      </c>
      <c r="U2542" s="14">
        <f>L2542*G2542</f>
        <v/>
      </c>
    </row>
    <row r="2543">
      <c r="A2543" s="12" t="inlineStr">
        <is>
          <t>PO-2022-2541</t>
        </is>
      </c>
      <c r="B2543" s="26" t="n">
        <v>44401</v>
      </c>
      <c r="C2543" s="12" t="inlineStr">
        <is>
          <t>VS03</t>
        </is>
      </c>
      <c r="D2543" s="12" t="inlineStr">
        <is>
          <t>SS Pipes</t>
        </is>
      </c>
      <c r="E2543" s="12" t="inlineStr">
        <is>
          <t>N</t>
        </is>
      </c>
      <c r="F2543" s="12" t="n">
        <v>49.42</v>
      </c>
      <c r="G2543" s="17" t="n">
        <v>94720.34</v>
      </c>
      <c r="H2543" s="26" t="n">
        <v>44407</v>
      </c>
      <c r="I2543" s="26" t="n">
        <v>44415</v>
      </c>
      <c r="J2543" s="12" t="n">
        <v>48.17</v>
      </c>
      <c r="K2543" s="17" t="n">
        <v>4681079.2</v>
      </c>
      <c r="L2543" s="12" t="n">
        <v>1.77</v>
      </c>
      <c r="M2543" s="12" t="n">
        <v>17</v>
      </c>
      <c r="N2543" s="27">
        <f>F2543-J2543</f>
        <v/>
      </c>
      <c r="O2543" s="16">
        <f>I2543-H2543</f>
        <v/>
      </c>
      <c r="P2543" s="14">
        <f>F2543*G2543</f>
        <v/>
      </c>
      <c r="Q2543" s="14">
        <f>J2543*G2543</f>
        <v/>
      </c>
      <c r="R2543" s="14">
        <f>K2543-Q2543</f>
        <v/>
      </c>
      <c r="S2543" s="3">
        <f>P2543*Assumptions!$B$3/100</f>
        <v/>
      </c>
      <c r="T2543" s="14">
        <f>R2543-S2543</f>
        <v/>
      </c>
      <c r="U2543" s="14">
        <f>L2543*G2543</f>
        <v/>
      </c>
    </row>
    <row r="2544">
      <c r="A2544" s="12" t="inlineStr">
        <is>
          <t>PO-2022-2542</t>
        </is>
      </c>
      <c r="B2544" s="26" t="n">
        <v>44545</v>
      </c>
      <c r="C2544" s="12" t="inlineStr">
        <is>
          <t>VS26</t>
        </is>
      </c>
      <c r="D2544" s="12" t="inlineStr">
        <is>
          <t>Structural Steel</t>
        </is>
      </c>
      <c r="E2544" s="12" t="inlineStr">
        <is>
          <t>N</t>
        </is>
      </c>
      <c r="F2544" s="12" t="n">
        <v>6.27</v>
      </c>
      <c r="G2544" s="17" t="n">
        <v>89502.75999999999</v>
      </c>
      <c r="H2544" s="26" t="n">
        <v>44557</v>
      </c>
      <c r="I2544" s="26" t="n">
        <v>44559</v>
      </c>
      <c r="J2544" s="12" t="n">
        <v>6.26</v>
      </c>
      <c r="K2544" s="17" t="n">
        <v>561182.3100000001</v>
      </c>
      <c r="L2544" s="12" t="n">
        <v>0</v>
      </c>
      <c r="M2544" s="12" t="n">
        <v>0</v>
      </c>
      <c r="N2544" s="27">
        <f>F2544-J2544</f>
        <v/>
      </c>
      <c r="O2544" s="16">
        <f>I2544-H2544</f>
        <v/>
      </c>
      <c r="P2544" s="14">
        <f>F2544*G2544</f>
        <v/>
      </c>
      <c r="Q2544" s="14">
        <f>J2544*G2544</f>
        <v/>
      </c>
      <c r="R2544" s="14">
        <f>K2544-Q2544</f>
        <v/>
      </c>
      <c r="S2544" s="3">
        <f>P2544*Assumptions!$B$3/100</f>
        <v/>
      </c>
      <c r="T2544" s="14">
        <f>R2544-S2544</f>
        <v/>
      </c>
      <c r="U2544" s="14">
        <f>L2544*G2544</f>
        <v/>
      </c>
    </row>
    <row r="2545">
      <c r="A2545" s="12" t="inlineStr">
        <is>
          <t>PO-2022-2543</t>
        </is>
      </c>
      <c r="B2545" s="26" t="n">
        <v>45274</v>
      </c>
      <c r="C2545" s="12" t="inlineStr">
        <is>
          <t>VS05</t>
        </is>
      </c>
      <c r="D2545" s="12" t="inlineStr">
        <is>
          <t>SS Sheets</t>
        </is>
      </c>
      <c r="E2545" s="12" t="inlineStr">
        <is>
          <t>N</t>
        </is>
      </c>
      <c r="F2545" s="12" t="n">
        <v>7.79</v>
      </c>
      <c r="G2545" s="17" t="n">
        <v>79675.24000000001</v>
      </c>
      <c r="H2545" s="26" t="n">
        <v>45281</v>
      </c>
      <c r="I2545" s="26" t="n">
        <v>45283</v>
      </c>
      <c r="J2545" s="12" t="n">
        <v>7.76</v>
      </c>
      <c r="K2545" s="17" t="n">
        <v>620670.12</v>
      </c>
      <c r="L2545" s="12" t="n">
        <v>0</v>
      </c>
      <c r="M2545" s="12" t="n">
        <v>19</v>
      </c>
      <c r="N2545" s="27">
        <f>F2545-J2545</f>
        <v/>
      </c>
      <c r="O2545" s="16">
        <f>I2545-H2545</f>
        <v/>
      </c>
      <c r="P2545" s="14">
        <f>F2545*G2545</f>
        <v/>
      </c>
      <c r="Q2545" s="14">
        <f>J2545*G2545</f>
        <v/>
      </c>
      <c r="R2545" s="14">
        <f>K2545-Q2545</f>
        <v/>
      </c>
      <c r="S2545" s="3">
        <f>P2545*Assumptions!$B$3/100</f>
        <v/>
      </c>
      <c r="T2545" s="14">
        <f>R2545-S2545</f>
        <v/>
      </c>
      <c r="U2545" s="14">
        <f>L2545*G2545</f>
        <v/>
      </c>
    </row>
    <row r="2546">
      <c r="A2546" s="12" t="inlineStr">
        <is>
          <t>PO-2022-2544</t>
        </is>
      </c>
      <c r="B2546" s="26" t="n">
        <v>44519</v>
      </c>
      <c r="C2546" s="12" t="inlineStr">
        <is>
          <t>VS33</t>
        </is>
      </c>
      <c r="D2546" s="12" t="inlineStr">
        <is>
          <t>ERW Pipes</t>
        </is>
      </c>
      <c r="E2546" s="12" t="inlineStr">
        <is>
          <t>Y</t>
        </is>
      </c>
      <c r="F2546" s="12" t="n">
        <v>25.32</v>
      </c>
      <c r="G2546" s="17" t="n">
        <v>61784.39</v>
      </c>
      <c r="H2546" s="26" t="n">
        <v>44526</v>
      </c>
      <c r="I2546" s="26" t="n">
        <v>44527</v>
      </c>
      <c r="J2546" s="12" t="n">
        <v>25.22</v>
      </c>
      <c r="K2546" s="17" t="n">
        <v>1564380.75</v>
      </c>
      <c r="L2546" s="12" t="n">
        <v>0</v>
      </c>
      <c r="M2546" s="12" t="n">
        <v>0</v>
      </c>
      <c r="N2546" s="27">
        <f>F2546-J2546</f>
        <v/>
      </c>
      <c r="O2546" s="16">
        <f>I2546-H2546</f>
        <v/>
      </c>
      <c r="P2546" s="14">
        <f>F2546*G2546</f>
        <v/>
      </c>
      <c r="Q2546" s="14">
        <f>J2546*G2546</f>
        <v/>
      </c>
      <c r="R2546" s="14">
        <f>K2546-Q2546</f>
        <v/>
      </c>
      <c r="S2546" s="3">
        <f>P2546*Assumptions!$B$3/100</f>
        <v/>
      </c>
      <c r="T2546" s="14">
        <f>R2546-S2546</f>
        <v/>
      </c>
      <c r="U2546" s="14">
        <f>L2546*G2546</f>
        <v/>
      </c>
    </row>
    <row r="2547">
      <c r="A2547" s="12" t="inlineStr">
        <is>
          <t>PO-2022-2545</t>
        </is>
      </c>
      <c r="B2547" s="26" t="n">
        <v>44262</v>
      </c>
      <c r="C2547" s="12" t="inlineStr">
        <is>
          <t>VS26</t>
        </is>
      </c>
      <c r="D2547" s="12" t="inlineStr">
        <is>
          <t>MS Flats</t>
        </is>
      </c>
      <c r="E2547" s="12" t="inlineStr">
        <is>
          <t>N</t>
        </is>
      </c>
      <c r="F2547" s="12" t="n">
        <v>33.59</v>
      </c>
      <c r="G2547" s="17" t="n">
        <v>97118.16</v>
      </c>
      <c r="H2547" s="26" t="n">
        <v>44277</v>
      </c>
      <c r="I2547" s="26" t="n">
        <v>44279</v>
      </c>
      <c r="J2547" s="12" t="n">
        <v>33.3</v>
      </c>
      <c r="K2547" s="17" t="n">
        <v>3262198.99</v>
      </c>
      <c r="L2547" s="12" t="n">
        <v>0</v>
      </c>
      <c r="M2547" s="12" t="n">
        <v>15</v>
      </c>
      <c r="N2547" s="27">
        <f>F2547-J2547</f>
        <v/>
      </c>
      <c r="O2547" s="16">
        <f>I2547-H2547</f>
        <v/>
      </c>
      <c r="P2547" s="14">
        <f>F2547*G2547</f>
        <v/>
      </c>
      <c r="Q2547" s="14">
        <f>J2547*G2547</f>
        <v/>
      </c>
      <c r="R2547" s="14">
        <f>K2547-Q2547</f>
        <v/>
      </c>
      <c r="S2547" s="3">
        <f>P2547*Assumptions!$B$3/100</f>
        <v/>
      </c>
      <c r="T2547" s="14">
        <f>R2547-S2547</f>
        <v/>
      </c>
      <c r="U2547" s="14">
        <f>L2547*G2547</f>
        <v/>
      </c>
    </row>
    <row r="2548">
      <c r="A2548" s="12" t="inlineStr">
        <is>
          <t>PO-2022-2546</t>
        </is>
      </c>
      <c r="B2548" s="26" t="n">
        <v>45123</v>
      </c>
      <c r="C2548" s="12" t="inlineStr">
        <is>
          <t>VS23</t>
        </is>
      </c>
      <c r="D2548" s="12" t="inlineStr">
        <is>
          <t>Hex Bars</t>
        </is>
      </c>
      <c r="E2548" s="12" t="inlineStr">
        <is>
          <t>N</t>
        </is>
      </c>
      <c r="F2548" s="12" t="n">
        <v>16.01</v>
      </c>
      <c r="G2548" s="17" t="n">
        <v>94011.71000000001</v>
      </c>
      <c r="H2548" s="26" t="n">
        <v>45132</v>
      </c>
      <c r="I2548" s="26" t="n">
        <v>45134</v>
      </c>
      <c r="J2548" s="12" t="n">
        <v>15.98</v>
      </c>
      <c r="K2548" s="17" t="n">
        <v>1505127.48</v>
      </c>
      <c r="L2548" s="12" t="n">
        <v>0</v>
      </c>
      <c r="M2548" s="12" t="n">
        <v>0</v>
      </c>
      <c r="N2548" s="27">
        <f>F2548-J2548</f>
        <v/>
      </c>
      <c r="O2548" s="16">
        <f>I2548-H2548</f>
        <v/>
      </c>
      <c r="P2548" s="14">
        <f>F2548*G2548</f>
        <v/>
      </c>
      <c r="Q2548" s="14">
        <f>J2548*G2548</f>
        <v/>
      </c>
      <c r="R2548" s="14">
        <f>K2548-Q2548</f>
        <v/>
      </c>
      <c r="S2548" s="3">
        <f>P2548*Assumptions!$B$3/100</f>
        <v/>
      </c>
      <c r="T2548" s="14">
        <f>R2548-S2548</f>
        <v/>
      </c>
      <c r="U2548" s="14">
        <f>L2548*G2548</f>
        <v/>
      </c>
    </row>
    <row r="2549">
      <c r="A2549" s="12" t="inlineStr">
        <is>
          <t>PO-2022-2547</t>
        </is>
      </c>
      <c r="B2549" s="26" t="n">
        <v>45053</v>
      </c>
      <c r="C2549" s="12" t="inlineStr">
        <is>
          <t>VS16</t>
        </is>
      </c>
      <c r="D2549" s="12" t="inlineStr">
        <is>
          <t>SS Sheets</t>
        </is>
      </c>
      <c r="E2549" s="12" t="inlineStr">
        <is>
          <t>N</t>
        </is>
      </c>
      <c r="F2549" s="12" t="n">
        <v>33.65</v>
      </c>
      <c r="G2549" s="17" t="n">
        <v>60791.05</v>
      </c>
      <c r="H2549" s="26" t="n">
        <v>45063</v>
      </c>
      <c r="I2549" s="26" t="n">
        <v>45066</v>
      </c>
      <c r="J2549" s="12" t="n">
        <v>33.38</v>
      </c>
      <c r="K2549" s="17" t="n">
        <v>2045618.83</v>
      </c>
      <c r="L2549" s="12" t="n">
        <v>0</v>
      </c>
      <c r="M2549" s="12" t="n">
        <v>0</v>
      </c>
      <c r="N2549" s="27">
        <f>F2549-J2549</f>
        <v/>
      </c>
      <c r="O2549" s="16">
        <f>I2549-H2549</f>
        <v/>
      </c>
      <c r="P2549" s="14">
        <f>F2549*G2549</f>
        <v/>
      </c>
      <c r="Q2549" s="14">
        <f>J2549*G2549</f>
        <v/>
      </c>
      <c r="R2549" s="14">
        <f>K2549-Q2549</f>
        <v/>
      </c>
      <c r="S2549" s="3">
        <f>P2549*Assumptions!$B$3/100</f>
        <v/>
      </c>
      <c r="T2549" s="14">
        <f>R2549-S2549</f>
        <v/>
      </c>
      <c r="U2549" s="14">
        <f>L2549*G2549</f>
        <v/>
      </c>
    </row>
    <row r="2550">
      <c r="A2550" s="12" t="inlineStr">
        <is>
          <t>PO-2022-2548</t>
        </is>
      </c>
      <c r="B2550" s="26" t="n">
        <v>44501</v>
      </c>
      <c r="C2550" s="12" t="inlineStr">
        <is>
          <t>VS10</t>
        </is>
      </c>
      <c r="D2550" s="12" t="inlineStr">
        <is>
          <t>GI Pipes</t>
        </is>
      </c>
      <c r="E2550" s="12" t="inlineStr">
        <is>
          <t>N</t>
        </is>
      </c>
      <c r="F2550" s="12" t="n">
        <v>4.89</v>
      </c>
      <c r="G2550" s="17" t="n">
        <v>89076.23</v>
      </c>
      <c r="H2550" s="26" t="n">
        <v>44505</v>
      </c>
      <c r="I2550" s="26" t="n">
        <v>44505</v>
      </c>
      <c r="J2550" s="12" t="n">
        <v>4.85</v>
      </c>
      <c r="K2550" s="17" t="n">
        <v>435582.76</v>
      </c>
      <c r="L2550" s="12" t="n">
        <v>0</v>
      </c>
      <c r="M2550" s="12" t="n">
        <v>0</v>
      </c>
      <c r="N2550" s="27">
        <f>F2550-J2550</f>
        <v/>
      </c>
      <c r="O2550" s="16">
        <f>I2550-H2550</f>
        <v/>
      </c>
      <c r="P2550" s="14">
        <f>F2550*G2550</f>
        <v/>
      </c>
      <c r="Q2550" s="14">
        <f>J2550*G2550</f>
        <v/>
      </c>
      <c r="R2550" s="14">
        <f>K2550-Q2550</f>
        <v/>
      </c>
      <c r="S2550" s="3">
        <f>P2550*Assumptions!$B$3/100</f>
        <v/>
      </c>
      <c r="T2550" s="14">
        <f>R2550-S2550</f>
        <v/>
      </c>
      <c r="U2550" s="14">
        <f>L2550*G2550</f>
        <v/>
      </c>
    </row>
    <row r="2551">
      <c r="A2551" s="12" t="inlineStr">
        <is>
          <t>PO-2022-2549</t>
        </is>
      </c>
      <c r="B2551" s="26" t="n">
        <v>44499</v>
      </c>
      <c r="C2551" s="12" t="inlineStr">
        <is>
          <t>VS07</t>
        </is>
      </c>
      <c r="D2551" s="12" t="inlineStr">
        <is>
          <t>Fasteners &amp; Fittings</t>
        </is>
      </c>
      <c r="E2551" s="12" t="inlineStr">
        <is>
          <t>Y</t>
        </is>
      </c>
      <c r="F2551" s="12" t="n">
        <v>7.18</v>
      </c>
      <c r="G2551" s="17" t="n">
        <v>99207.73</v>
      </c>
      <c r="H2551" s="26" t="n">
        <v>44506</v>
      </c>
      <c r="I2551" s="26" t="n">
        <v>44507</v>
      </c>
      <c r="J2551" s="12" t="n">
        <v>7.16</v>
      </c>
      <c r="K2551" s="17" t="n">
        <v>712311.5</v>
      </c>
      <c r="L2551" s="12" t="n">
        <v>0</v>
      </c>
      <c r="M2551" s="12" t="n">
        <v>0</v>
      </c>
      <c r="N2551" s="27">
        <f>F2551-J2551</f>
        <v/>
      </c>
      <c r="O2551" s="16">
        <f>I2551-H2551</f>
        <v/>
      </c>
      <c r="P2551" s="14">
        <f>F2551*G2551</f>
        <v/>
      </c>
      <c r="Q2551" s="14">
        <f>J2551*G2551</f>
        <v/>
      </c>
      <c r="R2551" s="14">
        <f>K2551-Q2551</f>
        <v/>
      </c>
      <c r="S2551" s="3">
        <f>P2551*Assumptions!$B$3/100</f>
        <v/>
      </c>
      <c r="T2551" s="14">
        <f>R2551-S2551</f>
        <v/>
      </c>
      <c r="U2551" s="14">
        <f>L2551*G2551</f>
        <v/>
      </c>
    </row>
    <row r="2552">
      <c r="A2552" s="12" t="inlineStr">
        <is>
          <t>PO-2022-2550</t>
        </is>
      </c>
      <c r="B2552" s="26" t="n">
        <v>44878</v>
      </c>
      <c r="C2552" s="12" t="inlineStr">
        <is>
          <t>VS21</t>
        </is>
      </c>
      <c r="D2552" s="12" t="inlineStr">
        <is>
          <t>HR Coils</t>
        </is>
      </c>
      <c r="E2552" s="12" t="inlineStr">
        <is>
          <t>N</t>
        </is>
      </c>
      <c r="F2552" s="12" t="n">
        <v>36.21</v>
      </c>
      <c r="G2552" s="17" t="n">
        <v>77650.11</v>
      </c>
      <c r="H2552" s="26" t="n">
        <v>44882</v>
      </c>
      <c r="I2552" s="26" t="n">
        <v>44882</v>
      </c>
      <c r="J2552" s="12" t="n">
        <v>36.07</v>
      </c>
      <c r="K2552" s="17" t="n">
        <v>2811710.48</v>
      </c>
      <c r="L2552" s="12" t="n">
        <v>0</v>
      </c>
      <c r="M2552" s="12" t="n">
        <v>0</v>
      </c>
      <c r="N2552" s="27">
        <f>F2552-J2552</f>
        <v/>
      </c>
      <c r="O2552" s="16">
        <f>I2552-H2552</f>
        <v/>
      </c>
      <c r="P2552" s="14">
        <f>F2552*G2552</f>
        <v/>
      </c>
      <c r="Q2552" s="14">
        <f>J2552*G2552</f>
        <v/>
      </c>
      <c r="R2552" s="14">
        <f>K2552-Q2552</f>
        <v/>
      </c>
      <c r="S2552" s="3">
        <f>P2552*Assumptions!$B$3/100</f>
        <v/>
      </c>
      <c r="T2552" s="14">
        <f>R2552-S2552</f>
        <v/>
      </c>
      <c r="U2552" s="14">
        <f>L2552*G2552</f>
        <v/>
      </c>
    </row>
    <row r="2553">
      <c r="A2553" s="12" t="inlineStr">
        <is>
          <t>PO-2022-2551</t>
        </is>
      </c>
      <c r="B2553" s="26" t="n">
        <v>44816</v>
      </c>
      <c r="C2553" s="12" t="inlineStr">
        <is>
          <t>VS14</t>
        </is>
      </c>
      <c r="D2553" s="12" t="inlineStr">
        <is>
          <t>Structural Steel</t>
        </is>
      </c>
      <c r="E2553" s="12" t="inlineStr">
        <is>
          <t>Y</t>
        </is>
      </c>
      <c r="F2553" s="12" t="n">
        <v>33.15</v>
      </c>
      <c r="G2553" s="17" t="n">
        <v>72315.7</v>
      </c>
      <c r="H2553" s="26" t="n">
        <v>44825</v>
      </c>
      <c r="I2553" s="26" t="n">
        <v>44827</v>
      </c>
      <c r="J2553" s="12" t="n">
        <v>33.1</v>
      </c>
      <c r="K2553" s="17" t="n">
        <v>2397265.45</v>
      </c>
      <c r="L2553" s="12" t="n">
        <v>0</v>
      </c>
      <c r="M2553" s="12" t="n">
        <v>2</v>
      </c>
      <c r="N2553" s="27">
        <f>F2553-J2553</f>
        <v/>
      </c>
      <c r="O2553" s="16">
        <f>I2553-H2553</f>
        <v/>
      </c>
      <c r="P2553" s="14">
        <f>F2553*G2553</f>
        <v/>
      </c>
      <c r="Q2553" s="14">
        <f>J2553*G2553</f>
        <v/>
      </c>
      <c r="R2553" s="14">
        <f>K2553-Q2553</f>
        <v/>
      </c>
      <c r="S2553" s="3">
        <f>P2553*Assumptions!$B$3/100</f>
        <v/>
      </c>
      <c r="T2553" s="14">
        <f>R2553-S2553</f>
        <v/>
      </c>
      <c r="U2553" s="14">
        <f>L2553*G2553</f>
        <v/>
      </c>
    </row>
    <row r="2554">
      <c r="A2554" s="12" t="inlineStr">
        <is>
          <t>PO-2022-2552</t>
        </is>
      </c>
      <c r="B2554" s="26" t="n">
        <v>44589</v>
      </c>
      <c r="C2554" s="12" t="inlineStr">
        <is>
          <t>VS23</t>
        </is>
      </c>
      <c r="D2554" s="12" t="inlineStr">
        <is>
          <t>SS Pipes</t>
        </is>
      </c>
      <c r="E2554" s="12" t="inlineStr">
        <is>
          <t>N</t>
        </is>
      </c>
      <c r="F2554" s="12" t="n">
        <v>3.4</v>
      </c>
      <c r="G2554" s="17" t="n">
        <v>108084.1</v>
      </c>
      <c r="H2554" s="26" t="n">
        <v>44604</v>
      </c>
      <c r="I2554" s="26" t="n">
        <v>44605</v>
      </c>
      <c r="J2554" s="12" t="n">
        <v>3.39</v>
      </c>
      <c r="K2554" s="17" t="n">
        <v>367485.94</v>
      </c>
      <c r="L2554" s="12" t="n">
        <v>0</v>
      </c>
      <c r="M2554" s="12" t="n">
        <v>0</v>
      </c>
      <c r="N2554" s="27">
        <f>F2554-J2554</f>
        <v/>
      </c>
      <c r="O2554" s="16">
        <f>I2554-H2554</f>
        <v/>
      </c>
      <c r="P2554" s="14">
        <f>F2554*G2554</f>
        <v/>
      </c>
      <c r="Q2554" s="14">
        <f>J2554*G2554</f>
        <v/>
      </c>
      <c r="R2554" s="14">
        <f>K2554-Q2554</f>
        <v/>
      </c>
      <c r="S2554" s="3">
        <f>P2554*Assumptions!$B$3/100</f>
        <v/>
      </c>
      <c r="T2554" s="14">
        <f>R2554-S2554</f>
        <v/>
      </c>
      <c r="U2554" s="14">
        <f>L2554*G2554</f>
        <v/>
      </c>
    </row>
    <row r="2555">
      <c r="A2555" s="12" t="inlineStr">
        <is>
          <t>PO-2022-2553</t>
        </is>
      </c>
      <c r="B2555" s="26" t="n">
        <v>44713</v>
      </c>
      <c r="C2555" s="12" t="inlineStr">
        <is>
          <t>VS25</t>
        </is>
      </c>
      <c r="D2555" s="12" t="inlineStr">
        <is>
          <t>MS Sheets</t>
        </is>
      </c>
      <c r="E2555" s="12" t="inlineStr">
        <is>
          <t>Y</t>
        </is>
      </c>
      <c r="F2555" s="12" t="n">
        <v>40.81</v>
      </c>
      <c r="G2555" s="17" t="n">
        <v>79762.8</v>
      </c>
      <c r="H2555" s="26" t="n">
        <v>44722</v>
      </c>
      <c r="I2555" s="26" t="n">
        <v>44725</v>
      </c>
      <c r="J2555" s="12" t="n">
        <v>40.47</v>
      </c>
      <c r="K2555" s="17" t="n">
        <v>3255119.87</v>
      </c>
      <c r="L2555" s="12" t="n">
        <v>0</v>
      </c>
      <c r="M2555" s="12" t="n">
        <v>16</v>
      </c>
      <c r="N2555" s="27">
        <f>F2555-J2555</f>
        <v/>
      </c>
      <c r="O2555" s="16">
        <f>I2555-H2555</f>
        <v/>
      </c>
      <c r="P2555" s="14">
        <f>F2555*G2555</f>
        <v/>
      </c>
      <c r="Q2555" s="14">
        <f>J2555*G2555</f>
        <v/>
      </c>
      <c r="R2555" s="14">
        <f>K2555-Q2555</f>
        <v/>
      </c>
      <c r="S2555" s="3">
        <f>P2555*Assumptions!$B$3/100</f>
        <v/>
      </c>
      <c r="T2555" s="14">
        <f>R2555-S2555</f>
        <v/>
      </c>
      <c r="U2555" s="14">
        <f>L2555*G2555</f>
        <v/>
      </c>
    </row>
    <row r="2556">
      <c r="A2556" s="12" t="inlineStr">
        <is>
          <t>PO-2022-2554</t>
        </is>
      </c>
      <c r="B2556" s="26" t="n">
        <v>44859</v>
      </c>
      <c r="C2556" s="12" t="inlineStr">
        <is>
          <t>VS29</t>
        </is>
      </c>
      <c r="D2556" s="12" t="inlineStr">
        <is>
          <t>Square/Rect Tubes</t>
        </is>
      </c>
      <c r="E2556" s="12" t="inlineStr">
        <is>
          <t>N</t>
        </is>
      </c>
      <c r="F2556" s="12" t="n">
        <v>40.97</v>
      </c>
      <c r="G2556" s="17" t="n">
        <v>100896.09</v>
      </c>
      <c r="H2556" s="26" t="n">
        <v>44873</v>
      </c>
      <c r="I2556" s="26" t="n">
        <v>44873</v>
      </c>
      <c r="J2556" s="12" t="n">
        <v>40.88</v>
      </c>
      <c r="K2556" s="17" t="n">
        <v>4133712.81</v>
      </c>
      <c r="L2556" s="12" t="n">
        <v>0</v>
      </c>
      <c r="M2556" s="12" t="n">
        <v>3</v>
      </c>
      <c r="N2556" s="27">
        <f>F2556-J2556</f>
        <v/>
      </c>
      <c r="O2556" s="16">
        <f>I2556-H2556</f>
        <v/>
      </c>
      <c r="P2556" s="14">
        <f>F2556*G2556</f>
        <v/>
      </c>
      <c r="Q2556" s="14">
        <f>J2556*G2556</f>
        <v/>
      </c>
      <c r="R2556" s="14">
        <f>K2556-Q2556</f>
        <v/>
      </c>
      <c r="S2556" s="3">
        <f>P2556*Assumptions!$B$3/100</f>
        <v/>
      </c>
      <c r="T2556" s="14">
        <f>R2556-S2556</f>
        <v/>
      </c>
      <c r="U2556" s="14">
        <f>L2556*G2556</f>
        <v/>
      </c>
    </row>
    <row r="2557">
      <c r="A2557" s="12" t="inlineStr">
        <is>
          <t>PO-2022-2555</t>
        </is>
      </c>
      <c r="B2557" s="26" t="n">
        <v>45061</v>
      </c>
      <c r="C2557" s="12" t="inlineStr">
        <is>
          <t>VS21</t>
        </is>
      </c>
      <c r="D2557" s="12" t="inlineStr">
        <is>
          <t>MS Sheets</t>
        </is>
      </c>
      <c r="E2557" s="12" t="inlineStr">
        <is>
          <t>N</t>
        </is>
      </c>
      <c r="F2557" s="12" t="n">
        <v>1.36</v>
      </c>
      <c r="G2557" s="17" t="n">
        <v>103740.5</v>
      </c>
      <c r="H2557" s="26" t="n">
        <v>45068</v>
      </c>
      <c r="I2557" s="26" t="n">
        <v>45068</v>
      </c>
      <c r="J2557" s="12" t="n">
        <v>1.35</v>
      </c>
      <c r="K2557" s="17" t="n">
        <v>141087.08</v>
      </c>
      <c r="L2557" s="12" t="n">
        <v>0</v>
      </c>
      <c r="M2557" s="12" t="n">
        <v>7</v>
      </c>
      <c r="N2557" s="27">
        <f>F2557-J2557</f>
        <v/>
      </c>
      <c r="O2557" s="16">
        <f>I2557-H2557</f>
        <v/>
      </c>
      <c r="P2557" s="14">
        <f>F2557*G2557</f>
        <v/>
      </c>
      <c r="Q2557" s="14">
        <f>J2557*G2557</f>
        <v/>
      </c>
      <c r="R2557" s="14">
        <f>K2557-Q2557</f>
        <v/>
      </c>
      <c r="S2557" s="3">
        <f>P2557*Assumptions!$B$3/100</f>
        <v/>
      </c>
      <c r="T2557" s="14">
        <f>R2557-S2557</f>
        <v/>
      </c>
      <c r="U2557" s="14">
        <f>L2557*G2557</f>
        <v/>
      </c>
    </row>
    <row r="2558">
      <c r="A2558" s="12" t="inlineStr">
        <is>
          <t>PO-2022-2556</t>
        </is>
      </c>
      <c r="B2558" s="26" t="n">
        <v>45048</v>
      </c>
      <c r="C2558" s="12" t="inlineStr">
        <is>
          <t>VS06</t>
        </is>
      </c>
      <c r="D2558" s="12" t="inlineStr">
        <is>
          <t>Structural Steel</t>
        </is>
      </c>
      <c r="E2558" s="12" t="inlineStr">
        <is>
          <t>N</t>
        </is>
      </c>
      <c r="F2558" s="12" t="n">
        <v>43.9</v>
      </c>
      <c r="G2558" s="17" t="n">
        <v>70091.72</v>
      </c>
      <c r="H2558" s="26" t="n">
        <v>45051</v>
      </c>
      <c r="I2558" s="26" t="n">
        <v>45053</v>
      </c>
      <c r="J2558" s="12" t="n">
        <v>43.86</v>
      </c>
      <c r="K2558" s="17" t="n">
        <v>3077026.51</v>
      </c>
      <c r="L2558" s="12" t="n">
        <v>0</v>
      </c>
      <c r="M2558" s="12" t="n">
        <v>23</v>
      </c>
      <c r="N2558" s="27">
        <f>F2558-J2558</f>
        <v/>
      </c>
      <c r="O2558" s="16">
        <f>I2558-H2558</f>
        <v/>
      </c>
      <c r="P2558" s="14">
        <f>F2558*G2558</f>
        <v/>
      </c>
      <c r="Q2558" s="14">
        <f>J2558*G2558</f>
        <v/>
      </c>
      <c r="R2558" s="14">
        <f>K2558-Q2558</f>
        <v/>
      </c>
      <c r="S2558" s="3">
        <f>P2558*Assumptions!$B$3/100</f>
        <v/>
      </c>
      <c r="T2558" s="14">
        <f>R2558-S2558</f>
        <v/>
      </c>
      <c r="U2558" s="14">
        <f>L2558*G2558</f>
        <v/>
      </c>
    </row>
    <row r="2559">
      <c r="A2559" s="12" t="inlineStr">
        <is>
          <t>PO-2022-2557</t>
        </is>
      </c>
      <c r="B2559" s="26" t="n">
        <v>44484</v>
      </c>
      <c r="C2559" s="12" t="inlineStr">
        <is>
          <t>VS16</t>
        </is>
      </c>
      <c r="D2559" s="12" t="inlineStr">
        <is>
          <t>Hex Bars</t>
        </is>
      </c>
      <c r="E2559" s="12" t="inlineStr">
        <is>
          <t>N</t>
        </is>
      </c>
      <c r="F2559" s="12" t="n">
        <v>30.59</v>
      </c>
      <c r="G2559" s="17" t="n">
        <v>116779.7</v>
      </c>
      <c r="H2559" s="26" t="n">
        <v>44490</v>
      </c>
      <c r="I2559" s="26" t="n">
        <v>44493</v>
      </c>
      <c r="J2559" s="12" t="n">
        <v>30.34</v>
      </c>
      <c r="K2559" s="17" t="n">
        <v>3572291.02</v>
      </c>
      <c r="L2559" s="12" t="n">
        <v>0</v>
      </c>
      <c r="M2559" s="12" t="n">
        <v>23</v>
      </c>
      <c r="N2559" s="27">
        <f>F2559-J2559</f>
        <v/>
      </c>
      <c r="O2559" s="16">
        <f>I2559-H2559</f>
        <v/>
      </c>
      <c r="P2559" s="14">
        <f>F2559*G2559</f>
        <v/>
      </c>
      <c r="Q2559" s="14">
        <f>J2559*G2559</f>
        <v/>
      </c>
      <c r="R2559" s="14">
        <f>K2559-Q2559</f>
        <v/>
      </c>
      <c r="S2559" s="3">
        <f>P2559*Assumptions!$B$3/100</f>
        <v/>
      </c>
      <c r="T2559" s="14">
        <f>R2559-S2559</f>
        <v/>
      </c>
      <c r="U2559" s="14">
        <f>L2559*G2559</f>
        <v/>
      </c>
    </row>
    <row r="2560">
      <c r="A2560" s="12" t="inlineStr">
        <is>
          <t>PO-2022-2558</t>
        </is>
      </c>
      <c r="B2560" s="26" t="n">
        <v>44566</v>
      </c>
      <c r="C2560" s="12" t="inlineStr">
        <is>
          <t>VS27</t>
        </is>
      </c>
      <c r="D2560" s="12" t="inlineStr">
        <is>
          <t>GI Pipes</t>
        </is>
      </c>
      <c r="E2560" s="12" t="inlineStr">
        <is>
          <t>N</t>
        </is>
      </c>
      <c r="F2560" s="12" t="n">
        <v>38.77</v>
      </c>
      <c r="G2560" s="17" t="n">
        <v>92365.35000000001</v>
      </c>
      <c r="H2560" s="26" t="n">
        <v>44580</v>
      </c>
      <c r="I2560" s="26" t="n">
        <v>44582</v>
      </c>
      <c r="J2560" s="12" t="n">
        <v>38.54</v>
      </c>
      <c r="K2560" s="17" t="n">
        <v>3581004.62</v>
      </c>
      <c r="L2560" s="12" t="n">
        <v>0</v>
      </c>
      <c r="M2560" s="12" t="n">
        <v>2</v>
      </c>
      <c r="N2560" s="27">
        <f>F2560-J2560</f>
        <v/>
      </c>
      <c r="O2560" s="16">
        <f>I2560-H2560</f>
        <v/>
      </c>
      <c r="P2560" s="14">
        <f>F2560*G2560</f>
        <v/>
      </c>
      <c r="Q2560" s="14">
        <f>J2560*G2560</f>
        <v/>
      </c>
      <c r="R2560" s="14">
        <f>K2560-Q2560</f>
        <v/>
      </c>
      <c r="S2560" s="3">
        <f>P2560*Assumptions!$B$3/100</f>
        <v/>
      </c>
      <c r="T2560" s="14">
        <f>R2560-S2560</f>
        <v/>
      </c>
      <c r="U2560" s="14">
        <f>L2560*G2560</f>
        <v/>
      </c>
    </row>
    <row r="2561">
      <c r="A2561" s="12" t="inlineStr">
        <is>
          <t>PO-2022-2559</t>
        </is>
      </c>
      <c r="B2561" s="26" t="n">
        <v>44899</v>
      </c>
      <c r="C2561" s="12" t="inlineStr">
        <is>
          <t>VS24</t>
        </is>
      </c>
      <c r="D2561" s="12" t="inlineStr">
        <is>
          <t>MS Flats</t>
        </is>
      </c>
      <c r="E2561" s="12" t="inlineStr">
        <is>
          <t>N</t>
        </is>
      </c>
      <c r="F2561" s="12" t="n">
        <v>1.13</v>
      </c>
      <c r="G2561" s="17" t="n">
        <v>81209.88</v>
      </c>
      <c r="H2561" s="26" t="n">
        <v>44910</v>
      </c>
      <c r="I2561" s="26" t="n">
        <v>44911</v>
      </c>
      <c r="J2561" s="12" t="n">
        <v>1.12</v>
      </c>
      <c r="K2561" s="17" t="n">
        <v>91767.16</v>
      </c>
      <c r="L2561" s="12" t="n">
        <v>0</v>
      </c>
      <c r="M2561" s="12" t="n">
        <v>18</v>
      </c>
      <c r="N2561" s="27">
        <f>F2561-J2561</f>
        <v/>
      </c>
      <c r="O2561" s="16">
        <f>I2561-H2561</f>
        <v/>
      </c>
      <c r="P2561" s="14">
        <f>F2561*G2561</f>
        <v/>
      </c>
      <c r="Q2561" s="14">
        <f>J2561*G2561</f>
        <v/>
      </c>
      <c r="R2561" s="14">
        <f>K2561-Q2561</f>
        <v/>
      </c>
      <c r="S2561" s="3">
        <f>P2561*Assumptions!$B$3/100</f>
        <v/>
      </c>
      <c r="T2561" s="14">
        <f>R2561-S2561</f>
        <v/>
      </c>
      <c r="U2561" s="14">
        <f>L2561*G2561</f>
        <v/>
      </c>
    </row>
    <row r="2562">
      <c r="A2562" s="12" t="inlineStr">
        <is>
          <t>PO-2022-2560</t>
        </is>
      </c>
      <c r="B2562" s="26" t="n">
        <v>44610</v>
      </c>
      <c r="C2562" s="12" t="inlineStr">
        <is>
          <t>VS14</t>
        </is>
      </c>
      <c r="D2562" s="12" t="inlineStr">
        <is>
          <t>Square/Rect Tubes</t>
        </is>
      </c>
      <c r="E2562" s="12" t="inlineStr">
        <is>
          <t>N</t>
        </is>
      </c>
      <c r="F2562" s="12" t="n">
        <v>17.29</v>
      </c>
      <c r="G2562" s="17" t="n">
        <v>94399.92</v>
      </c>
      <c r="H2562" s="26" t="n">
        <v>44624</v>
      </c>
      <c r="I2562" s="26" t="n">
        <v>44626</v>
      </c>
      <c r="J2562" s="12" t="n">
        <v>17.19</v>
      </c>
      <c r="K2562" s="17" t="n">
        <v>1632174.62</v>
      </c>
      <c r="L2562" s="12" t="n">
        <v>0</v>
      </c>
      <c r="M2562" s="12" t="n">
        <v>0</v>
      </c>
      <c r="N2562" s="27">
        <f>F2562-J2562</f>
        <v/>
      </c>
      <c r="O2562" s="16">
        <f>I2562-H2562</f>
        <v/>
      </c>
      <c r="P2562" s="14">
        <f>F2562*G2562</f>
        <v/>
      </c>
      <c r="Q2562" s="14">
        <f>J2562*G2562</f>
        <v/>
      </c>
      <c r="R2562" s="14">
        <f>K2562-Q2562</f>
        <v/>
      </c>
      <c r="S2562" s="3">
        <f>P2562*Assumptions!$B$3/100</f>
        <v/>
      </c>
      <c r="T2562" s="14">
        <f>R2562-S2562</f>
        <v/>
      </c>
      <c r="U2562" s="14">
        <f>L2562*G2562</f>
        <v/>
      </c>
    </row>
    <row r="2563">
      <c r="A2563" s="12" t="inlineStr">
        <is>
          <t>PO-2022-2561</t>
        </is>
      </c>
      <c r="B2563" s="26" t="n">
        <v>45231</v>
      </c>
      <c r="C2563" s="12" t="inlineStr">
        <is>
          <t>VS18</t>
        </is>
      </c>
      <c r="D2563" s="12" t="inlineStr">
        <is>
          <t>Hex Bars</t>
        </is>
      </c>
      <c r="E2563" s="12" t="inlineStr">
        <is>
          <t>Y</t>
        </is>
      </c>
      <c r="F2563" s="12" t="n">
        <v>20.14</v>
      </c>
      <c r="G2563" s="17" t="n">
        <v>84655.14</v>
      </c>
      <c r="H2563" s="26" t="n">
        <v>45243</v>
      </c>
      <c r="I2563" s="26" t="n">
        <v>45244</v>
      </c>
      <c r="J2563" s="12" t="n">
        <v>20.06</v>
      </c>
      <c r="K2563" s="17" t="n">
        <v>1704954.52</v>
      </c>
      <c r="L2563" s="12" t="n">
        <v>0</v>
      </c>
      <c r="M2563" s="12" t="n">
        <v>11</v>
      </c>
      <c r="N2563" s="27">
        <f>F2563-J2563</f>
        <v/>
      </c>
      <c r="O2563" s="16">
        <f>I2563-H2563</f>
        <v/>
      </c>
      <c r="P2563" s="14">
        <f>F2563*G2563</f>
        <v/>
      </c>
      <c r="Q2563" s="14">
        <f>J2563*G2563</f>
        <v/>
      </c>
      <c r="R2563" s="14">
        <f>K2563-Q2563</f>
        <v/>
      </c>
      <c r="S2563" s="3">
        <f>P2563*Assumptions!$B$3/100</f>
        <v/>
      </c>
      <c r="T2563" s="14">
        <f>R2563-S2563</f>
        <v/>
      </c>
      <c r="U2563" s="14">
        <f>L2563*G2563</f>
        <v/>
      </c>
    </row>
    <row r="2564">
      <c r="A2564" s="12" t="inlineStr">
        <is>
          <t>PO-2022-2562</t>
        </is>
      </c>
      <c r="B2564" s="26" t="n">
        <v>44599</v>
      </c>
      <c r="C2564" s="12" t="inlineStr">
        <is>
          <t>VS28</t>
        </is>
      </c>
      <c r="D2564" s="12" t="inlineStr">
        <is>
          <t>GI Pipes</t>
        </is>
      </c>
      <c r="E2564" s="12" t="inlineStr">
        <is>
          <t>N</t>
        </is>
      </c>
      <c r="F2564" s="12" t="n">
        <v>23.29</v>
      </c>
      <c r="G2564" s="17" t="n">
        <v>98933.03999999999</v>
      </c>
      <c r="H2564" s="26" t="n">
        <v>44610</v>
      </c>
      <c r="I2564" s="26" t="n">
        <v>44612</v>
      </c>
      <c r="J2564" s="12" t="n">
        <v>23.07</v>
      </c>
      <c r="K2564" s="17" t="n">
        <v>2304150.5</v>
      </c>
      <c r="L2564" s="12" t="n">
        <v>0</v>
      </c>
      <c r="M2564" s="12" t="n">
        <v>13</v>
      </c>
      <c r="N2564" s="27">
        <f>F2564-J2564</f>
        <v/>
      </c>
      <c r="O2564" s="16">
        <f>I2564-H2564</f>
        <v/>
      </c>
      <c r="P2564" s="14">
        <f>F2564*G2564</f>
        <v/>
      </c>
      <c r="Q2564" s="14">
        <f>J2564*G2564</f>
        <v/>
      </c>
      <c r="R2564" s="14">
        <f>K2564-Q2564</f>
        <v/>
      </c>
      <c r="S2564" s="3">
        <f>P2564*Assumptions!$B$3/100</f>
        <v/>
      </c>
      <c r="T2564" s="14">
        <f>R2564-S2564</f>
        <v/>
      </c>
      <c r="U2564" s="14">
        <f>L2564*G2564</f>
        <v/>
      </c>
    </row>
    <row r="2565">
      <c r="A2565" s="12" t="inlineStr">
        <is>
          <t>PO-2022-2563</t>
        </is>
      </c>
      <c r="B2565" s="26" t="n">
        <v>44791</v>
      </c>
      <c r="C2565" s="12" t="inlineStr">
        <is>
          <t>VS30</t>
        </is>
      </c>
      <c r="D2565" s="12" t="inlineStr">
        <is>
          <t>GI Pipes</t>
        </is>
      </c>
      <c r="E2565" s="12" t="inlineStr">
        <is>
          <t>N</t>
        </is>
      </c>
      <c r="F2565" s="12" t="n">
        <v>14.94</v>
      </c>
      <c r="G2565" s="17" t="n">
        <v>46343.62</v>
      </c>
      <c r="H2565" s="26" t="n">
        <v>44803</v>
      </c>
      <c r="I2565" s="26" t="n">
        <v>44805</v>
      </c>
      <c r="J2565" s="12" t="n">
        <v>14.82</v>
      </c>
      <c r="K2565" s="17" t="n">
        <v>692373.6800000001</v>
      </c>
      <c r="L2565" s="12" t="n">
        <v>0</v>
      </c>
      <c r="M2565" s="12" t="n">
        <v>15</v>
      </c>
      <c r="N2565" s="27">
        <f>F2565-J2565</f>
        <v/>
      </c>
      <c r="O2565" s="16">
        <f>I2565-H2565</f>
        <v/>
      </c>
      <c r="P2565" s="14">
        <f>F2565*G2565</f>
        <v/>
      </c>
      <c r="Q2565" s="14">
        <f>J2565*G2565</f>
        <v/>
      </c>
      <c r="R2565" s="14">
        <f>K2565-Q2565</f>
        <v/>
      </c>
      <c r="S2565" s="3">
        <f>P2565*Assumptions!$B$3/100</f>
        <v/>
      </c>
      <c r="T2565" s="14">
        <f>R2565-S2565</f>
        <v/>
      </c>
      <c r="U2565" s="14">
        <f>L2565*G2565</f>
        <v/>
      </c>
    </row>
    <row r="2566">
      <c r="A2566" s="12" t="inlineStr">
        <is>
          <t>PO-2022-2564</t>
        </is>
      </c>
      <c r="B2566" s="26" t="n">
        <v>44325</v>
      </c>
      <c r="C2566" s="12" t="inlineStr">
        <is>
          <t>VS31</t>
        </is>
      </c>
      <c r="D2566" s="12" t="inlineStr">
        <is>
          <t>GI Wire</t>
        </is>
      </c>
      <c r="E2566" s="12" t="inlineStr">
        <is>
          <t>N</t>
        </is>
      </c>
      <c r="F2566" s="12" t="n">
        <v>46.52</v>
      </c>
      <c r="G2566" s="17" t="n">
        <v>113557.89</v>
      </c>
      <c r="H2566" s="26" t="n">
        <v>44337</v>
      </c>
      <c r="I2566" s="26" t="n">
        <v>44340</v>
      </c>
      <c r="J2566" s="12" t="n">
        <v>46.11</v>
      </c>
      <c r="K2566" s="17" t="n">
        <v>5282713.04</v>
      </c>
      <c r="L2566" s="12" t="n">
        <v>0</v>
      </c>
      <c r="M2566" s="12" t="n">
        <v>0</v>
      </c>
      <c r="N2566" s="27">
        <f>F2566-J2566</f>
        <v/>
      </c>
      <c r="O2566" s="16">
        <f>I2566-H2566</f>
        <v/>
      </c>
      <c r="P2566" s="14">
        <f>F2566*G2566</f>
        <v/>
      </c>
      <c r="Q2566" s="14">
        <f>J2566*G2566</f>
        <v/>
      </c>
      <c r="R2566" s="14">
        <f>K2566-Q2566</f>
        <v/>
      </c>
      <c r="S2566" s="3">
        <f>P2566*Assumptions!$B$3/100</f>
        <v/>
      </c>
      <c r="T2566" s="14">
        <f>R2566-S2566</f>
        <v/>
      </c>
      <c r="U2566" s="14">
        <f>L2566*G2566</f>
        <v/>
      </c>
    </row>
    <row r="2567">
      <c r="A2567" s="12" t="inlineStr">
        <is>
          <t>PO-2022-2565</t>
        </is>
      </c>
      <c r="B2567" s="26" t="n">
        <v>44669</v>
      </c>
      <c r="C2567" s="12" t="inlineStr">
        <is>
          <t>VS21</t>
        </is>
      </c>
      <c r="D2567" s="12" t="inlineStr">
        <is>
          <t>HR Coils</t>
        </is>
      </c>
      <c r="E2567" s="12" t="inlineStr">
        <is>
          <t>N</t>
        </is>
      </c>
      <c r="F2567" s="12" t="n">
        <v>23.01</v>
      </c>
      <c r="G2567" s="17" t="n">
        <v>67521.19</v>
      </c>
      <c r="H2567" s="26" t="n">
        <v>44682</v>
      </c>
      <c r="I2567" s="26" t="n">
        <v>44682</v>
      </c>
      <c r="J2567" s="12" t="n">
        <v>23</v>
      </c>
      <c r="K2567" s="17" t="n">
        <v>1553662.58</v>
      </c>
      <c r="L2567" s="12" t="n">
        <v>0</v>
      </c>
      <c r="M2567" s="12" t="n">
        <v>0</v>
      </c>
      <c r="N2567" s="27">
        <f>F2567-J2567</f>
        <v/>
      </c>
      <c r="O2567" s="16">
        <f>I2567-H2567</f>
        <v/>
      </c>
      <c r="P2567" s="14">
        <f>F2567*G2567</f>
        <v/>
      </c>
      <c r="Q2567" s="14">
        <f>J2567*G2567</f>
        <v/>
      </c>
      <c r="R2567" s="14">
        <f>K2567-Q2567</f>
        <v/>
      </c>
      <c r="S2567" s="3">
        <f>P2567*Assumptions!$B$3/100</f>
        <v/>
      </c>
      <c r="T2567" s="14">
        <f>R2567-S2567</f>
        <v/>
      </c>
      <c r="U2567" s="14">
        <f>L2567*G2567</f>
        <v/>
      </c>
    </row>
    <row r="2568">
      <c r="A2568" s="12" t="inlineStr">
        <is>
          <t>PO-2022-2566</t>
        </is>
      </c>
      <c r="B2568" s="26" t="n">
        <v>44276</v>
      </c>
      <c r="C2568" s="12" t="inlineStr">
        <is>
          <t>VS15</t>
        </is>
      </c>
      <c r="D2568" s="12" t="inlineStr">
        <is>
          <t>CR Sheets</t>
        </is>
      </c>
      <c r="E2568" s="12" t="inlineStr">
        <is>
          <t>N</t>
        </is>
      </c>
      <c r="F2568" s="12" t="n">
        <v>20.35</v>
      </c>
      <c r="G2568" s="17" t="n">
        <v>45321.38</v>
      </c>
      <c r="H2568" s="26" t="n">
        <v>44282</v>
      </c>
      <c r="I2568" s="26" t="n">
        <v>44283</v>
      </c>
      <c r="J2568" s="12" t="n">
        <v>20.16</v>
      </c>
      <c r="K2568" s="17" t="n">
        <v>922290.08</v>
      </c>
      <c r="L2568" s="12" t="n">
        <v>0</v>
      </c>
      <c r="M2568" s="12" t="n">
        <v>25</v>
      </c>
      <c r="N2568" s="27">
        <f>F2568-J2568</f>
        <v/>
      </c>
      <c r="O2568" s="16">
        <f>I2568-H2568</f>
        <v/>
      </c>
      <c r="P2568" s="14">
        <f>F2568*G2568</f>
        <v/>
      </c>
      <c r="Q2568" s="14">
        <f>J2568*G2568</f>
        <v/>
      </c>
      <c r="R2568" s="14">
        <f>K2568-Q2568</f>
        <v/>
      </c>
      <c r="S2568" s="3">
        <f>P2568*Assumptions!$B$3/100</f>
        <v/>
      </c>
      <c r="T2568" s="14">
        <f>R2568-S2568</f>
        <v/>
      </c>
      <c r="U2568" s="14">
        <f>L2568*G2568</f>
        <v/>
      </c>
    </row>
    <row r="2569">
      <c r="A2569" s="12" t="inlineStr">
        <is>
          <t>PO-2022-2567</t>
        </is>
      </c>
      <c r="B2569" s="26" t="n">
        <v>44280</v>
      </c>
      <c r="C2569" s="12" t="inlineStr">
        <is>
          <t>VS15</t>
        </is>
      </c>
      <c r="D2569" s="12" t="inlineStr">
        <is>
          <t>Fasteners &amp; Fittings</t>
        </is>
      </c>
      <c r="E2569" s="12" t="inlineStr">
        <is>
          <t>N</t>
        </is>
      </c>
      <c r="F2569" s="12" t="n">
        <v>12.71</v>
      </c>
      <c r="G2569" s="17" t="n">
        <v>45168.78</v>
      </c>
      <c r="H2569" s="26" t="n">
        <v>44283</v>
      </c>
      <c r="I2569" s="26" t="n">
        <v>44285</v>
      </c>
      <c r="J2569" s="12" t="n">
        <v>12.62</v>
      </c>
      <c r="K2569" s="17" t="n">
        <v>574095.1899999999</v>
      </c>
      <c r="L2569" s="12" t="n">
        <v>0</v>
      </c>
      <c r="M2569" s="12" t="n">
        <v>6</v>
      </c>
      <c r="N2569" s="27">
        <f>F2569-J2569</f>
        <v/>
      </c>
      <c r="O2569" s="16">
        <f>I2569-H2569</f>
        <v/>
      </c>
      <c r="P2569" s="14">
        <f>F2569*G2569</f>
        <v/>
      </c>
      <c r="Q2569" s="14">
        <f>J2569*G2569</f>
        <v/>
      </c>
      <c r="R2569" s="14">
        <f>K2569-Q2569</f>
        <v/>
      </c>
      <c r="S2569" s="3">
        <f>P2569*Assumptions!$B$3/100</f>
        <v/>
      </c>
      <c r="T2569" s="14">
        <f>R2569-S2569</f>
        <v/>
      </c>
      <c r="U2569" s="14">
        <f>L2569*G2569</f>
        <v/>
      </c>
    </row>
    <row r="2570">
      <c r="A2570" s="12" t="inlineStr">
        <is>
          <t>PO-2022-2568</t>
        </is>
      </c>
      <c r="B2570" s="26" t="n">
        <v>44352</v>
      </c>
      <c r="C2570" s="12" t="inlineStr">
        <is>
          <t>VS18</t>
        </is>
      </c>
      <c r="D2570" s="12" t="inlineStr">
        <is>
          <t>Spring Steel</t>
        </is>
      </c>
      <c r="E2570" s="12" t="inlineStr">
        <is>
          <t>N</t>
        </is>
      </c>
      <c r="F2570" s="12" t="n">
        <v>40.91</v>
      </c>
      <c r="G2570" s="17" t="n">
        <v>85990.94</v>
      </c>
      <c r="H2570" s="26" t="n">
        <v>44361</v>
      </c>
      <c r="I2570" s="26" t="n">
        <v>44363</v>
      </c>
      <c r="J2570" s="12" t="n">
        <v>40.53</v>
      </c>
      <c r="K2570" s="17" t="n">
        <v>3517889.36</v>
      </c>
      <c r="L2570" s="12" t="n">
        <v>0</v>
      </c>
      <c r="M2570" s="12" t="n">
        <v>12</v>
      </c>
      <c r="N2570" s="27">
        <f>F2570-J2570</f>
        <v/>
      </c>
      <c r="O2570" s="16">
        <f>I2570-H2570</f>
        <v/>
      </c>
      <c r="P2570" s="14">
        <f>F2570*G2570</f>
        <v/>
      </c>
      <c r="Q2570" s="14">
        <f>J2570*G2570</f>
        <v/>
      </c>
      <c r="R2570" s="14">
        <f>K2570-Q2570</f>
        <v/>
      </c>
      <c r="S2570" s="3">
        <f>P2570*Assumptions!$B$3/100</f>
        <v/>
      </c>
      <c r="T2570" s="14">
        <f>R2570-S2570</f>
        <v/>
      </c>
      <c r="U2570" s="14">
        <f>L2570*G2570</f>
        <v/>
      </c>
    </row>
    <row r="2571">
      <c r="A2571" s="12" t="inlineStr">
        <is>
          <t>PO-2022-2569</t>
        </is>
      </c>
      <c r="B2571" s="26" t="n">
        <v>44230</v>
      </c>
      <c r="C2571" s="12" t="inlineStr">
        <is>
          <t>VS33</t>
        </is>
      </c>
      <c r="D2571" s="12" t="inlineStr">
        <is>
          <t>SS Sheets</t>
        </is>
      </c>
      <c r="E2571" s="12" t="inlineStr">
        <is>
          <t>N</t>
        </is>
      </c>
      <c r="F2571" s="12" t="n">
        <v>38.68</v>
      </c>
      <c r="G2571" s="17" t="n">
        <v>94748.56</v>
      </c>
      <c r="H2571" s="26" t="n">
        <v>44240</v>
      </c>
      <c r="I2571" s="26" t="n">
        <v>44241</v>
      </c>
      <c r="J2571" s="12" t="n">
        <v>38.32</v>
      </c>
      <c r="K2571" s="17" t="n">
        <v>3664874.3</v>
      </c>
      <c r="L2571" s="12" t="n">
        <v>0</v>
      </c>
      <c r="M2571" s="12" t="n">
        <v>18</v>
      </c>
      <c r="N2571" s="27">
        <f>F2571-J2571</f>
        <v/>
      </c>
      <c r="O2571" s="16">
        <f>I2571-H2571</f>
        <v/>
      </c>
      <c r="P2571" s="14">
        <f>F2571*G2571</f>
        <v/>
      </c>
      <c r="Q2571" s="14">
        <f>J2571*G2571</f>
        <v/>
      </c>
      <c r="R2571" s="14">
        <f>K2571-Q2571</f>
        <v/>
      </c>
      <c r="S2571" s="3">
        <f>P2571*Assumptions!$B$3/100</f>
        <v/>
      </c>
      <c r="T2571" s="14">
        <f>R2571-S2571</f>
        <v/>
      </c>
      <c r="U2571" s="14">
        <f>L2571*G2571</f>
        <v/>
      </c>
    </row>
    <row r="2572">
      <c r="A2572" s="12" t="inlineStr">
        <is>
          <t>PO-2022-2570</t>
        </is>
      </c>
      <c r="B2572" s="26" t="n">
        <v>44634</v>
      </c>
      <c r="C2572" s="12" t="inlineStr">
        <is>
          <t>VS19</t>
        </is>
      </c>
      <c r="D2572" s="12" t="inlineStr">
        <is>
          <t>ERW Pipes</t>
        </is>
      </c>
      <c r="E2572" s="12" t="inlineStr">
        <is>
          <t>Y</t>
        </is>
      </c>
      <c r="F2572" s="12" t="n">
        <v>42.91</v>
      </c>
      <c r="G2572" s="17" t="n">
        <v>118999.07</v>
      </c>
      <c r="H2572" s="26" t="n">
        <v>44643</v>
      </c>
      <c r="I2572" s="26" t="n">
        <v>44646</v>
      </c>
      <c r="J2572" s="12" t="n">
        <v>41.73</v>
      </c>
      <c r="K2572" s="17" t="n">
        <v>5106250.09</v>
      </c>
      <c r="L2572" s="12" t="n">
        <v>0.72</v>
      </c>
      <c r="M2572" s="12" t="n">
        <v>5</v>
      </c>
      <c r="N2572" s="27">
        <f>F2572-J2572</f>
        <v/>
      </c>
      <c r="O2572" s="16">
        <f>I2572-H2572</f>
        <v/>
      </c>
      <c r="P2572" s="14">
        <f>F2572*G2572</f>
        <v/>
      </c>
      <c r="Q2572" s="14">
        <f>J2572*G2572</f>
        <v/>
      </c>
      <c r="R2572" s="14">
        <f>K2572-Q2572</f>
        <v/>
      </c>
      <c r="S2572" s="3">
        <f>P2572*Assumptions!$B$3/100</f>
        <v/>
      </c>
      <c r="T2572" s="14">
        <f>R2572-S2572</f>
        <v/>
      </c>
      <c r="U2572" s="14">
        <f>L2572*G2572</f>
        <v/>
      </c>
    </row>
    <row r="2573">
      <c r="A2573" s="12" t="inlineStr">
        <is>
          <t>PO-2022-2571</t>
        </is>
      </c>
      <c r="B2573" s="26" t="n">
        <v>44869</v>
      </c>
      <c r="C2573" s="12" t="inlineStr">
        <is>
          <t>VS12</t>
        </is>
      </c>
      <c r="D2573" s="12" t="inlineStr">
        <is>
          <t>Spring Steel</t>
        </is>
      </c>
      <c r="E2573" s="12" t="inlineStr">
        <is>
          <t>Y</t>
        </is>
      </c>
      <c r="F2573" s="12" t="n">
        <v>33.15</v>
      </c>
      <c r="G2573" s="17" t="n">
        <v>47908.49</v>
      </c>
      <c r="H2573" s="26" t="n">
        <v>44878</v>
      </c>
      <c r="I2573" s="26" t="n">
        <v>44882</v>
      </c>
      <c r="J2573" s="12" t="n">
        <v>31.51</v>
      </c>
      <c r="K2573" s="17" t="n">
        <v>1588166.44</v>
      </c>
      <c r="L2573" s="12" t="n">
        <v>1.5</v>
      </c>
      <c r="M2573" s="12" t="n">
        <v>0</v>
      </c>
      <c r="N2573" s="27">
        <f>F2573-J2573</f>
        <v/>
      </c>
      <c r="O2573" s="16">
        <f>I2573-H2573</f>
        <v/>
      </c>
      <c r="P2573" s="14">
        <f>F2573*G2573</f>
        <v/>
      </c>
      <c r="Q2573" s="14">
        <f>J2573*G2573</f>
        <v/>
      </c>
      <c r="R2573" s="14">
        <f>K2573-Q2573</f>
        <v/>
      </c>
      <c r="S2573" s="3">
        <f>P2573*Assumptions!$B$3/100</f>
        <v/>
      </c>
      <c r="T2573" s="14">
        <f>R2573-S2573</f>
        <v/>
      </c>
      <c r="U2573" s="14">
        <f>L2573*G2573</f>
        <v/>
      </c>
    </row>
    <row r="2574">
      <c r="A2574" s="12" t="inlineStr">
        <is>
          <t>PO-2022-2572</t>
        </is>
      </c>
      <c r="B2574" s="26" t="n">
        <v>44360</v>
      </c>
      <c r="C2574" s="12" t="inlineStr">
        <is>
          <t>VS22</t>
        </is>
      </c>
      <c r="D2574" s="12" t="inlineStr">
        <is>
          <t>HR Coils</t>
        </is>
      </c>
      <c r="E2574" s="12" t="inlineStr">
        <is>
          <t>N</t>
        </is>
      </c>
      <c r="F2574" s="12" t="n">
        <v>47.38</v>
      </c>
      <c r="G2574" s="17" t="n">
        <v>46551.82</v>
      </c>
      <c r="H2574" s="26" t="n">
        <v>44365</v>
      </c>
      <c r="I2574" s="26" t="n">
        <v>44366</v>
      </c>
      <c r="J2574" s="12" t="n">
        <v>47.26</v>
      </c>
      <c r="K2574" s="17" t="n">
        <v>2205625.23</v>
      </c>
      <c r="L2574" s="12" t="n">
        <v>0</v>
      </c>
      <c r="M2574" s="12" t="n">
        <v>22</v>
      </c>
      <c r="N2574" s="27">
        <f>F2574-J2574</f>
        <v/>
      </c>
      <c r="O2574" s="16">
        <f>I2574-H2574</f>
        <v/>
      </c>
      <c r="P2574" s="14">
        <f>F2574*G2574</f>
        <v/>
      </c>
      <c r="Q2574" s="14">
        <f>J2574*G2574</f>
        <v/>
      </c>
      <c r="R2574" s="14">
        <f>K2574-Q2574</f>
        <v/>
      </c>
      <c r="S2574" s="3">
        <f>P2574*Assumptions!$B$3/100</f>
        <v/>
      </c>
      <c r="T2574" s="14">
        <f>R2574-S2574</f>
        <v/>
      </c>
      <c r="U2574" s="14">
        <f>L2574*G2574</f>
        <v/>
      </c>
    </row>
    <row r="2575">
      <c r="A2575" s="12" t="inlineStr">
        <is>
          <t>PO-2022-2573</t>
        </is>
      </c>
      <c r="B2575" s="26" t="n">
        <v>44725</v>
      </c>
      <c r="C2575" s="12" t="inlineStr">
        <is>
          <t>VS11</t>
        </is>
      </c>
      <c r="D2575" s="12" t="inlineStr">
        <is>
          <t>SS Sheets</t>
        </is>
      </c>
      <c r="E2575" s="12" t="inlineStr">
        <is>
          <t>N</t>
        </is>
      </c>
      <c r="F2575" s="12" t="n">
        <v>33.92</v>
      </c>
      <c r="G2575" s="17" t="n">
        <v>76168.17</v>
      </c>
      <c r="H2575" s="26" t="n">
        <v>44734</v>
      </c>
      <c r="I2575" s="26" t="n">
        <v>44735</v>
      </c>
      <c r="J2575" s="12" t="n">
        <v>33.76</v>
      </c>
      <c r="K2575" s="17" t="n">
        <v>2583624.33</v>
      </c>
      <c r="L2575" s="12" t="n">
        <v>0</v>
      </c>
      <c r="M2575" s="12" t="n">
        <v>0</v>
      </c>
      <c r="N2575" s="27">
        <f>F2575-J2575</f>
        <v/>
      </c>
      <c r="O2575" s="16">
        <f>I2575-H2575</f>
        <v/>
      </c>
      <c r="P2575" s="14">
        <f>F2575*G2575</f>
        <v/>
      </c>
      <c r="Q2575" s="14">
        <f>J2575*G2575</f>
        <v/>
      </c>
      <c r="R2575" s="14">
        <f>K2575-Q2575</f>
        <v/>
      </c>
      <c r="S2575" s="3">
        <f>P2575*Assumptions!$B$3/100</f>
        <v/>
      </c>
      <c r="T2575" s="14">
        <f>R2575-S2575</f>
        <v/>
      </c>
      <c r="U2575" s="14">
        <f>L2575*G2575</f>
        <v/>
      </c>
    </row>
    <row r="2576">
      <c r="A2576" s="12" t="inlineStr">
        <is>
          <t>PO-2022-2574</t>
        </is>
      </c>
      <c r="B2576" s="26" t="n">
        <v>44614</v>
      </c>
      <c r="C2576" s="12" t="inlineStr">
        <is>
          <t>VS11</t>
        </is>
      </c>
      <c r="D2576" s="12" t="inlineStr">
        <is>
          <t>Angles &amp; Channels</t>
        </is>
      </c>
      <c r="E2576" s="12" t="inlineStr">
        <is>
          <t>N</t>
        </is>
      </c>
      <c r="F2576" s="12" t="n">
        <v>5.78</v>
      </c>
      <c r="G2576" s="17" t="n">
        <v>114880.61</v>
      </c>
      <c r="H2576" s="26" t="n">
        <v>44621</v>
      </c>
      <c r="I2576" s="26" t="n">
        <v>44624</v>
      </c>
      <c r="J2576" s="12" t="n">
        <v>5.72</v>
      </c>
      <c r="K2576" s="17" t="n">
        <v>664009.9300000001</v>
      </c>
      <c r="L2576" s="12" t="n">
        <v>0</v>
      </c>
      <c r="M2576" s="12" t="n">
        <v>16</v>
      </c>
      <c r="N2576" s="27">
        <f>F2576-J2576</f>
        <v/>
      </c>
      <c r="O2576" s="16">
        <f>I2576-H2576</f>
        <v/>
      </c>
      <c r="P2576" s="14">
        <f>F2576*G2576</f>
        <v/>
      </c>
      <c r="Q2576" s="14">
        <f>J2576*G2576</f>
        <v/>
      </c>
      <c r="R2576" s="14">
        <f>K2576-Q2576</f>
        <v/>
      </c>
      <c r="S2576" s="3">
        <f>P2576*Assumptions!$B$3/100</f>
        <v/>
      </c>
      <c r="T2576" s="14">
        <f>R2576-S2576</f>
        <v/>
      </c>
      <c r="U2576" s="14">
        <f>L2576*G2576</f>
        <v/>
      </c>
    </row>
    <row r="2577">
      <c r="A2577" s="12" t="inlineStr">
        <is>
          <t>PO-2022-2575</t>
        </is>
      </c>
      <c r="B2577" s="26" t="n">
        <v>44337</v>
      </c>
      <c r="C2577" s="12" t="inlineStr">
        <is>
          <t>VS05</t>
        </is>
      </c>
      <c r="D2577" s="12" t="inlineStr">
        <is>
          <t>Square/Rect Tubes</t>
        </is>
      </c>
      <c r="E2577" s="12" t="inlineStr">
        <is>
          <t>N</t>
        </is>
      </c>
      <c r="F2577" s="12" t="n">
        <v>43.79</v>
      </c>
      <c r="G2577" s="17" t="n">
        <v>108977.27</v>
      </c>
      <c r="H2577" s="26" t="n">
        <v>44340</v>
      </c>
      <c r="I2577" s="26" t="n">
        <v>44342</v>
      </c>
      <c r="J2577" s="12" t="n">
        <v>43.35</v>
      </c>
      <c r="K2577" s="17" t="n">
        <v>4772114.65</v>
      </c>
      <c r="L2577" s="12" t="n">
        <v>0</v>
      </c>
      <c r="M2577" s="12" t="n">
        <v>0</v>
      </c>
      <c r="N2577" s="27">
        <f>F2577-J2577</f>
        <v/>
      </c>
      <c r="O2577" s="16">
        <f>I2577-H2577</f>
        <v/>
      </c>
      <c r="P2577" s="14">
        <f>F2577*G2577</f>
        <v/>
      </c>
      <c r="Q2577" s="14">
        <f>J2577*G2577</f>
        <v/>
      </c>
      <c r="R2577" s="14">
        <f>K2577-Q2577</f>
        <v/>
      </c>
      <c r="S2577" s="3">
        <f>P2577*Assumptions!$B$3/100</f>
        <v/>
      </c>
      <c r="T2577" s="14">
        <f>R2577-S2577</f>
        <v/>
      </c>
      <c r="U2577" s="14">
        <f>L2577*G2577</f>
        <v/>
      </c>
    </row>
    <row r="2578">
      <c r="A2578" s="12" t="inlineStr">
        <is>
          <t>PO-2022-2576</t>
        </is>
      </c>
      <c r="B2578" s="26" t="n">
        <v>44687</v>
      </c>
      <c r="C2578" s="12" t="inlineStr">
        <is>
          <t>VS05</t>
        </is>
      </c>
      <c r="D2578" s="12" t="inlineStr">
        <is>
          <t>CR Sheets</t>
        </is>
      </c>
      <c r="E2578" s="12" t="inlineStr">
        <is>
          <t>Y</t>
        </is>
      </c>
      <c r="F2578" s="12" t="n">
        <v>48.29</v>
      </c>
      <c r="G2578" s="17" t="n">
        <v>53502.81</v>
      </c>
      <c r="H2578" s="26" t="n">
        <v>44697</v>
      </c>
      <c r="I2578" s="26" t="n">
        <v>44697</v>
      </c>
      <c r="J2578" s="12" t="n">
        <v>47.82</v>
      </c>
      <c r="K2578" s="17" t="n">
        <v>2583650.69</v>
      </c>
      <c r="L2578" s="12" t="n">
        <v>0</v>
      </c>
      <c r="M2578" s="12" t="n">
        <v>21</v>
      </c>
      <c r="N2578" s="27">
        <f>F2578-J2578</f>
        <v/>
      </c>
      <c r="O2578" s="16">
        <f>I2578-H2578</f>
        <v/>
      </c>
      <c r="P2578" s="14">
        <f>F2578*G2578</f>
        <v/>
      </c>
      <c r="Q2578" s="14">
        <f>J2578*G2578</f>
        <v/>
      </c>
      <c r="R2578" s="14">
        <f>K2578-Q2578</f>
        <v/>
      </c>
      <c r="S2578" s="3">
        <f>P2578*Assumptions!$B$3/100</f>
        <v/>
      </c>
      <c r="T2578" s="14">
        <f>R2578-S2578</f>
        <v/>
      </c>
      <c r="U2578" s="14">
        <f>L2578*G2578</f>
        <v/>
      </c>
    </row>
    <row r="2579">
      <c r="A2579" s="12" t="inlineStr">
        <is>
          <t>PO-2022-2577</t>
        </is>
      </c>
      <c r="B2579" s="26" t="n">
        <v>44888</v>
      </c>
      <c r="C2579" s="12" t="inlineStr">
        <is>
          <t>VS08</t>
        </is>
      </c>
      <c r="D2579" s="12" t="inlineStr">
        <is>
          <t>Hex Bars</t>
        </is>
      </c>
      <c r="E2579" s="12" t="inlineStr">
        <is>
          <t>N</t>
        </is>
      </c>
      <c r="F2579" s="12" t="n">
        <v>38.53</v>
      </c>
      <c r="G2579" s="17" t="n">
        <v>103465.31</v>
      </c>
      <c r="H2579" s="26" t="n">
        <v>44898</v>
      </c>
      <c r="I2579" s="26" t="n">
        <v>44898</v>
      </c>
      <c r="J2579" s="12" t="n">
        <v>38.33</v>
      </c>
      <c r="K2579" s="17" t="n">
        <v>3986518.39</v>
      </c>
      <c r="L2579" s="12" t="n">
        <v>0</v>
      </c>
      <c r="M2579" s="12" t="n">
        <v>14</v>
      </c>
      <c r="N2579" s="27">
        <f>F2579-J2579</f>
        <v/>
      </c>
      <c r="O2579" s="16">
        <f>I2579-H2579</f>
        <v/>
      </c>
      <c r="P2579" s="14">
        <f>F2579*G2579</f>
        <v/>
      </c>
      <c r="Q2579" s="14">
        <f>J2579*G2579</f>
        <v/>
      </c>
      <c r="R2579" s="14">
        <f>K2579-Q2579</f>
        <v/>
      </c>
      <c r="S2579" s="3">
        <f>P2579*Assumptions!$B$3/100</f>
        <v/>
      </c>
      <c r="T2579" s="14">
        <f>R2579-S2579</f>
        <v/>
      </c>
      <c r="U2579" s="14">
        <f>L2579*G2579</f>
        <v/>
      </c>
    </row>
    <row r="2580">
      <c r="A2580" s="12" t="inlineStr">
        <is>
          <t>PO-2022-2578</t>
        </is>
      </c>
      <c r="B2580" s="26" t="n">
        <v>45243</v>
      </c>
      <c r="C2580" s="12" t="inlineStr">
        <is>
          <t>VS08</t>
        </is>
      </c>
      <c r="D2580" s="12" t="inlineStr">
        <is>
          <t>Structural Steel</t>
        </is>
      </c>
      <c r="E2580" s="12" t="inlineStr">
        <is>
          <t>N</t>
        </is>
      </c>
      <c r="F2580" s="12" t="n">
        <v>33.73</v>
      </c>
      <c r="G2580" s="17" t="n">
        <v>65872.53999999999</v>
      </c>
      <c r="H2580" s="26" t="n">
        <v>45247</v>
      </c>
      <c r="I2580" s="26" t="n">
        <v>45248</v>
      </c>
      <c r="J2580" s="12" t="n">
        <v>33.47</v>
      </c>
      <c r="K2580" s="17" t="n">
        <v>2221880.77</v>
      </c>
      <c r="L2580" s="12" t="n">
        <v>0</v>
      </c>
      <c r="M2580" s="12" t="n">
        <v>0</v>
      </c>
      <c r="N2580" s="27">
        <f>F2580-J2580</f>
        <v/>
      </c>
      <c r="O2580" s="16">
        <f>I2580-H2580</f>
        <v/>
      </c>
      <c r="P2580" s="14">
        <f>F2580*G2580</f>
        <v/>
      </c>
      <c r="Q2580" s="14">
        <f>J2580*G2580</f>
        <v/>
      </c>
      <c r="R2580" s="14">
        <f>K2580-Q2580</f>
        <v/>
      </c>
      <c r="S2580" s="3">
        <f>P2580*Assumptions!$B$3/100</f>
        <v/>
      </c>
      <c r="T2580" s="14">
        <f>R2580-S2580</f>
        <v/>
      </c>
      <c r="U2580" s="14">
        <f>L2580*G2580</f>
        <v/>
      </c>
    </row>
    <row r="2581">
      <c r="A2581" s="12" t="inlineStr">
        <is>
          <t>PO-2022-2579</t>
        </is>
      </c>
      <c r="B2581" s="26" t="n">
        <v>44926</v>
      </c>
      <c r="C2581" s="12" t="inlineStr">
        <is>
          <t>VS06</t>
        </is>
      </c>
      <c r="D2581" s="12" t="inlineStr">
        <is>
          <t>Angles &amp; Channels</t>
        </is>
      </c>
      <c r="E2581" s="12" t="inlineStr">
        <is>
          <t>N</t>
        </is>
      </c>
      <c r="F2581" s="12" t="n">
        <v>9.640000000000001</v>
      </c>
      <c r="G2581" s="17" t="n">
        <v>105495.14</v>
      </c>
      <c r="H2581" s="26" t="n">
        <v>44937</v>
      </c>
      <c r="I2581" s="26" t="n">
        <v>44938</v>
      </c>
      <c r="J2581" s="12" t="n">
        <v>9.630000000000001</v>
      </c>
      <c r="K2581" s="17" t="n">
        <v>1016973.15</v>
      </c>
      <c r="L2581" s="12" t="n">
        <v>0</v>
      </c>
      <c r="M2581" s="12" t="n">
        <v>6</v>
      </c>
      <c r="N2581" s="27">
        <f>F2581-J2581</f>
        <v/>
      </c>
      <c r="O2581" s="16">
        <f>I2581-H2581</f>
        <v/>
      </c>
      <c r="P2581" s="14">
        <f>F2581*G2581</f>
        <v/>
      </c>
      <c r="Q2581" s="14">
        <f>J2581*G2581</f>
        <v/>
      </c>
      <c r="R2581" s="14">
        <f>K2581-Q2581</f>
        <v/>
      </c>
      <c r="S2581" s="3">
        <f>P2581*Assumptions!$B$3/100</f>
        <v/>
      </c>
      <c r="T2581" s="14">
        <f>R2581-S2581</f>
        <v/>
      </c>
      <c r="U2581" s="14">
        <f>L2581*G2581</f>
        <v/>
      </c>
    </row>
    <row r="2582">
      <c r="A2582" s="12" t="inlineStr">
        <is>
          <t>PO-2022-2580</t>
        </is>
      </c>
      <c r="B2582" s="26" t="n">
        <v>44709</v>
      </c>
      <c r="C2582" s="12" t="inlineStr">
        <is>
          <t>VS02</t>
        </is>
      </c>
      <c r="D2582" s="12" t="inlineStr">
        <is>
          <t>SS Pipes</t>
        </is>
      </c>
      <c r="E2582" s="12" t="inlineStr">
        <is>
          <t>Y</t>
        </is>
      </c>
      <c r="F2582" s="12" t="n">
        <v>49.61</v>
      </c>
      <c r="G2582" s="17" t="n">
        <v>57171.91</v>
      </c>
      <c r="H2582" s="26" t="n">
        <v>44717</v>
      </c>
      <c r="I2582" s="26" t="n">
        <v>44720</v>
      </c>
      <c r="J2582" s="12" t="n">
        <v>49.35</v>
      </c>
      <c r="K2582" s="17" t="n">
        <v>2836298.46</v>
      </c>
      <c r="L2582" s="12" t="n">
        <v>0</v>
      </c>
      <c r="M2582" s="12" t="n">
        <v>0</v>
      </c>
      <c r="N2582" s="27">
        <f>F2582-J2582</f>
        <v/>
      </c>
      <c r="O2582" s="16">
        <f>I2582-H2582</f>
        <v/>
      </c>
      <c r="P2582" s="14">
        <f>F2582*G2582</f>
        <v/>
      </c>
      <c r="Q2582" s="14">
        <f>J2582*G2582</f>
        <v/>
      </c>
      <c r="R2582" s="14">
        <f>K2582-Q2582</f>
        <v/>
      </c>
      <c r="S2582" s="3">
        <f>P2582*Assumptions!$B$3/100</f>
        <v/>
      </c>
      <c r="T2582" s="14">
        <f>R2582-S2582</f>
        <v/>
      </c>
      <c r="U2582" s="14">
        <f>L2582*G2582</f>
        <v/>
      </c>
    </row>
    <row r="2583">
      <c r="A2583" s="12" t="inlineStr">
        <is>
          <t>PO-2022-2581</t>
        </is>
      </c>
      <c r="B2583" s="26" t="n">
        <v>44525</v>
      </c>
      <c r="C2583" s="12" t="inlineStr">
        <is>
          <t>VS34</t>
        </is>
      </c>
      <c r="D2583" s="12" t="inlineStr">
        <is>
          <t>Spring Steel</t>
        </is>
      </c>
      <c r="E2583" s="12" t="inlineStr">
        <is>
          <t>N</t>
        </is>
      </c>
      <c r="F2583" s="12" t="n">
        <v>10.51</v>
      </c>
      <c r="G2583" s="17" t="n">
        <v>119333.52</v>
      </c>
      <c r="H2583" s="26" t="n">
        <v>44540</v>
      </c>
      <c r="I2583" s="26" t="n">
        <v>44541</v>
      </c>
      <c r="J2583" s="12" t="n">
        <v>10.46</v>
      </c>
      <c r="K2583" s="17" t="n">
        <v>1254195.3</v>
      </c>
      <c r="L2583" s="12" t="n">
        <v>0</v>
      </c>
      <c r="M2583" s="12" t="n">
        <v>19</v>
      </c>
      <c r="N2583" s="27">
        <f>F2583-J2583</f>
        <v/>
      </c>
      <c r="O2583" s="16">
        <f>I2583-H2583</f>
        <v/>
      </c>
      <c r="P2583" s="14">
        <f>F2583*G2583</f>
        <v/>
      </c>
      <c r="Q2583" s="14">
        <f>J2583*G2583</f>
        <v/>
      </c>
      <c r="R2583" s="14">
        <f>K2583-Q2583</f>
        <v/>
      </c>
      <c r="S2583" s="3">
        <f>P2583*Assumptions!$B$3/100</f>
        <v/>
      </c>
      <c r="T2583" s="14">
        <f>R2583-S2583</f>
        <v/>
      </c>
      <c r="U2583" s="14">
        <f>L2583*G2583</f>
        <v/>
      </c>
    </row>
    <row r="2584">
      <c r="A2584" s="12" t="inlineStr">
        <is>
          <t>PO-2022-2582</t>
        </is>
      </c>
      <c r="B2584" s="26" t="n">
        <v>44916</v>
      </c>
      <c r="C2584" s="12" t="inlineStr">
        <is>
          <t>VS02</t>
        </is>
      </c>
      <c r="D2584" s="12" t="inlineStr">
        <is>
          <t>MS Flats</t>
        </is>
      </c>
      <c r="E2584" s="12" t="inlineStr">
        <is>
          <t>N</t>
        </is>
      </c>
      <c r="F2584" s="12" t="n">
        <v>42.82</v>
      </c>
      <c r="G2584" s="17" t="n">
        <v>104449.9</v>
      </c>
      <c r="H2584" s="26" t="n">
        <v>44925</v>
      </c>
      <c r="I2584" s="26" t="n">
        <v>44927</v>
      </c>
      <c r="J2584" s="12" t="n">
        <v>42.5</v>
      </c>
      <c r="K2584" s="17" t="n">
        <v>4472544.72</v>
      </c>
      <c r="L2584" s="12" t="n">
        <v>0</v>
      </c>
      <c r="M2584" s="12" t="n">
        <v>14</v>
      </c>
      <c r="N2584" s="27">
        <f>F2584-J2584</f>
        <v/>
      </c>
      <c r="O2584" s="16">
        <f>I2584-H2584</f>
        <v/>
      </c>
      <c r="P2584" s="14">
        <f>F2584*G2584</f>
        <v/>
      </c>
      <c r="Q2584" s="14">
        <f>J2584*G2584</f>
        <v/>
      </c>
      <c r="R2584" s="14">
        <f>K2584-Q2584</f>
        <v/>
      </c>
      <c r="S2584" s="3">
        <f>P2584*Assumptions!$B$3/100</f>
        <v/>
      </c>
      <c r="T2584" s="14">
        <f>R2584-S2584</f>
        <v/>
      </c>
      <c r="U2584" s="14">
        <f>L2584*G2584</f>
        <v/>
      </c>
    </row>
    <row r="2585">
      <c r="A2585" s="12" t="inlineStr">
        <is>
          <t>PO-2022-2583</t>
        </is>
      </c>
      <c r="B2585" s="26" t="n">
        <v>44409</v>
      </c>
      <c r="C2585" s="12" t="inlineStr">
        <is>
          <t>VS33</t>
        </is>
      </c>
      <c r="D2585" s="12" t="inlineStr">
        <is>
          <t>MS Rods</t>
        </is>
      </c>
      <c r="E2585" s="12" t="inlineStr">
        <is>
          <t>N</t>
        </is>
      </c>
      <c r="F2585" s="12" t="n">
        <v>11.41</v>
      </c>
      <c r="G2585" s="17" t="n">
        <v>59260.78</v>
      </c>
      <c r="H2585" s="26" t="n">
        <v>44422</v>
      </c>
      <c r="I2585" s="26" t="n">
        <v>44422</v>
      </c>
      <c r="J2585" s="12" t="n">
        <v>11.35</v>
      </c>
      <c r="K2585" s="17" t="n">
        <v>676165.5</v>
      </c>
      <c r="L2585" s="12" t="n">
        <v>0</v>
      </c>
      <c r="M2585" s="12" t="n">
        <v>0</v>
      </c>
      <c r="N2585" s="27">
        <f>F2585-J2585</f>
        <v/>
      </c>
      <c r="O2585" s="16">
        <f>I2585-H2585</f>
        <v/>
      </c>
      <c r="P2585" s="14">
        <f>F2585*G2585</f>
        <v/>
      </c>
      <c r="Q2585" s="14">
        <f>J2585*G2585</f>
        <v/>
      </c>
      <c r="R2585" s="14">
        <f>K2585-Q2585</f>
        <v/>
      </c>
      <c r="S2585" s="3">
        <f>P2585*Assumptions!$B$3/100</f>
        <v/>
      </c>
      <c r="T2585" s="14">
        <f>R2585-S2585</f>
        <v/>
      </c>
      <c r="U2585" s="14">
        <f>L2585*G2585</f>
        <v/>
      </c>
    </row>
    <row r="2586">
      <c r="A2586" s="12" t="inlineStr">
        <is>
          <t>PO-2022-2584</t>
        </is>
      </c>
      <c r="B2586" s="26" t="n">
        <v>45187</v>
      </c>
      <c r="C2586" s="12" t="inlineStr">
        <is>
          <t>VS05</t>
        </is>
      </c>
      <c r="D2586" s="12" t="inlineStr">
        <is>
          <t>HR Coils</t>
        </is>
      </c>
      <c r="E2586" s="12" t="inlineStr">
        <is>
          <t>N</t>
        </is>
      </c>
      <c r="F2586" s="12" t="n">
        <v>41.89</v>
      </c>
      <c r="G2586" s="17" t="n">
        <v>115034.72</v>
      </c>
      <c r="H2586" s="26" t="n">
        <v>45202</v>
      </c>
      <c r="I2586" s="26" t="n">
        <v>45204</v>
      </c>
      <c r="J2586" s="12" t="n">
        <v>41.67</v>
      </c>
      <c r="K2586" s="17" t="n">
        <v>4818804.42</v>
      </c>
      <c r="L2586" s="12" t="n">
        <v>0</v>
      </c>
      <c r="M2586" s="12" t="n">
        <v>0</v>
      </c>
      <c r="N2586" s="27">
        <f>F2586-J2586</f>
        <v/>
      </c>
      <c r="O2586" s="16">
        <f>I2586-H2586</f>
        <v/>
      </c>
      <c r="P2586" s="14">
        <f>F2586*G2586</f>
        <v/>
      </c>
      <c r="Q2586" s="14">
        <f>J2586*G2586</f>
        <v/>
      </c>
      <c r="R2586" s="14">
        <f>K2586-Q2586</f>
        <v/>
      </c>
      <c r="S2586" s="3">
        <f>P2586*Assumptions!$B$3/100</f>
        <v/>
      </c>
      <c r="T2586" s="14">
        <f>R2586-S2586</f>
        <v/>
      </c>
      <c r="U2586" s="14">
        <f>L2586*G2586</f>
        <v/>
      </c>
    </row>
    <row r="2587">
      <c r="A2587" s="12" t="inlineStr">
        <is>
          <t>PO-2022-2585</t>
        </is>
      </c>
      <c r="B2587" s="26" t="n">
        <v>45209</v>
      </c>
      <c r="C2587" s="12" t="inlineStr">
        <is>
          <t>VS30</t>
        </is>
      </c>
      <c r="D2587" s="12" t="inlineStr">
        <is>
          <t>MS Rods</t>
        </is>
      </c>
      <c r="E2587" s="12" t="inlineStr">
        <is>
          <t>N</t>
        </is>
      </c>
      <c r="F2587" s="12" t="n">
        <v>16.79</v>
      </c>
      <c r="G2587" s="17" t="n">
        <v>72665.31</v>
      </c>
      <c r="H2587" s="26" t="n">
        <v>45212</v>
      </c>
      <c r="I2587" s="26" t="n">
        <v>45214</v>
      </c>
      <c r="J2587" s="12" t="n">
        <v>16.68</v>
      </c>
      <c r="K2587" s="17" t="n">
        <v>1220050.55</v>
      </c>
      <c r="L2587" s="12" t="n">
        <v>0</v>
      </c>
      <c r="M2587" s="12" t="n">
        <v>15</v>
      </c>
      <c r="N2587" s="27">
        <f>F2587-J2587</f>
        <v/>
      </c>
      <c r="O2587" s="16">
        <f>I2587-H2587</f>
        <v/>
      </c>
      <c r="P2587" s="14">
        <f>F2587*G2587</f>
        <v/>
      </c>
      <c r="Q2587" s="14">
        <f>J2587*G2587</f>
        <v/>
      </c>
      <c r="R2587" s="14">
        <f>K2587-Q2587</f>
        <v/>
      </c>
      <c r="S2587" s="3">
        <f>P2587*Assumptions!$B$3/100</f>
        <v/>
      </c>
      <c r="T2587" s="14">
        <f>R2587-S2587</f>
        <v/>
      </c>
      <c r="U2587" s="14">
        <f>L2587*G2587</f>
        <v/>
      </c>
    </row>
    <row r="2588">
      <c r="A2588" s="12" t="inlineStr">
        <is>
          <t>PO-2022-2586</t>
        </is>
      </c>
      <c r="B2588" s="26" t="n">
        <v>44271</v>
      </c>
      <c r="C2588" s="12" t="inlineStr">
        <is>
          <t>VS29</t>
        </is>
      </c>
      <c r="D2588" s="12" t="inlineStr">
        <is>
          <t>GI Sheets</t>
        </is>
      </c>
      <c r="E2588" s="12" t="inlineStr">
        <is>
          <t>N</t>
        </is>
      </c>
      <c r="F2588" s="12" t="n">
        <v>1.18</v>
      </c>
      <c r="G2588" s="17" t="n">
        <v>71656.61</v>
      </c>
      <c r="H2588" s="26" t="n">
        <v>44284</v>
      </c>
      <c r="I2588" s="26" t="n">
        <v>44284</v>
      </c>
      <c r="J2588" s="12" t="n">
        <v>1.17</v>
      </c>
      <c r="K2588" s="17" t="n">
        <v>84554.8</v>
      </c>
      <c r="L2588" s="12" t="n">
        <v>0</v>
      </c>
      <c r="M2588" s="12" t="n">
        <v>0</v>
      </c>
      <c r="N2588" s="27">
        <f>F2588-J2588</f>
        <v/>
      </c>
      <c r="O2588" s="16">
        <f>I2588-H2588</f>
        <v/>
      </c>
      <c r="P2588" s="14">
        <f>F2588*G2588</f>
        <v/>
      </c>
      <c r="Q2588" s="14">
        <f>J2588*G2588</f>
        <v/>
      </c>
      <c r="R2588" s="14">
        <f>K2588-Q2588</f>
        <v/>
      </c>
      <c r="S2588" s="3">
        <f>P2588*Assumptions!$B$3/100</f>
        <v/>
      </c>
      <c r="T2588" s="14">
        <f>R2588-S2588</f>
        <v/>
      </c>
      <c r="U2588" s="14">
        <f>L2588*G2588</f>
        <v/>
      </c>
    </row>
    <row r="2589">
      <c r="A2589" s="12" t="inlineStr">
        <is>
          <t>PO-2022-2587</t>
        </is>
      </c>
      <c r="B2589" s="26" t="n">
        <v>44959</v>
      </c>
      <c r="C2589" s="12" t="inlineStr">
        <is>
          <t>VS22</t>
        </is>
      </c>
      <c r="D2589" s="12" t="inlineStr">
        <is>
          <t>GI Wire</t>
        </is>
      </c>
      <c r="E2589" s="12" t="inlineStr">
        <is>
          <t>N</t>
        </is>
      </c>
      <c r="F2589" s="12" t="n">
        <v>37.74</v>
      </c>
      <c r="G2589" s="17" t="n">
        <v>45557.84</v>
      </c>
      <c r="H2589" s="26" t="n">
        <v>44967</v>
      </c>
      <c r="I2589" s="26" t="n">
        <v>44968</v>
      </c>
      <c r="J2589" s="12" t="n">
        <v>37.71</v>
      </c>
      <c r="K2589" s="17" t="n">
        <v>1719352.88</v>
      </c>
      <c r="L2589" s="12" t="n">
        <v>0</v>
      </c>
      <c r="M2589" s="12" t="n">
        <v>0</v>
      </c>
      <c r="N2589" s="27">
        <f>F2589-J2589</f>
        <v/>
      </c>
      <c r="O2589" s="16">
        <f>I2589-H2589</f>
        <v/>
      </c>
      <c r="P2589" s="14">
        <f>F2589*G2589</f>
        <v/>
      </c>
      <c r="Q2589" s="14">
        <f>J2589*G2589</f>
        <v/>
      </c>
      <c r="R2589" s="14">
        <f>K2589-Q2589</f>
        <v/>
      </c>
      <c r="S2589" s="3">
        <f>P2589*Assumptions!$B$3/100</f>
        <v/>
      </c>
      <c r="T2589" s="14">
        <f>R2589-S2589</f>
        <v/>
      </c>
      <c r="U2589" s="14">
        <f>L2589*G2589</f>
        <v/>
      </c>
    </row>
    <row r="2590">
      <c r="A2590" s="12" t="inlineStr">
        <is>
          <t>PO-2022-2588</t>
        </is>
      </c>
      <c r="B2590" s="26" t="n">
        <v>45146</v>
      </c>
      <c r="C2590" s="12" t="inlineStr">
        <is>
          <t>VS06</t>
        </is>
      </c>
      <c r="D2590" s="12" t="inlineStr">
        <is>
          <t>Square/Rect Tubes</t>
        </is>
      </c>
      <c r="E2590" s="12" t="inlineStr">
        <is>
          <t>N</t>
        </is>
      </c>
      <c r="F2590" s="12" t="n">
        <v>42.31</v>
      </c>
      <c r="G2590" s="17" t="n">
        <v>89598.64</v>
      </c>
      <c r="H2590" s="26" t="n">
        <v>45157</v>
      </c>
      <c r="I2590" s="26" t="n">
        <v>45160</v>
      </c>
      <c r="J2590" s="12" t="n">
        <v>41.93</v>
      </c>
      <c r="K2590" s="17" t="n">
        <v>3790918.46</v>
      </c>
      <c r="L2590" s="12" t="n">
        <v>0</v>
      </c>
      <c r="M2590" s="12" t="n">
        <v>0</v>
      </c>
      <c r="N2590" s="27">
        <f>F2590-J2590</f>
        <v/>
      </c>
      <c r="O2590" s="16">
        <f>I2590-H2590</f>
        <v/>
      </c>
      <c r="P2590" s="14">
        <f>F2590*G2590</f>
        <v/>
      </c>
      <c r="Q2590" s="14">
        <f>J2590*G2590</f>
        <v/>
      </c>
      <c r="R2590" s="14">
        <f>K2590-Q2590</f>
        <v/>
      </c>
      <c r="S2590" s="3">
        <f>P2590*Assumptions!$B$3/100</f>
        <v/>
      </c>
      <c r="T2590" s="14">
        <f>R2590-S2590</f>
        <v/>
      </c>
      <c r="U2590" s="14">
        <f>L2590*G2590</f>
        <v/>
      </c>
    </row>
    <row r="2591">
      <c r="A2591" s="12" t="inlineStr">
        <is>
          <t>PO-2022-2589</t>
        </is>
      </c>
      <c r="B2591" s="26" t="n">
        <v>44435</v>
      </c>
      <c r="C2591" s="12" t="inlineStr">
        <is>
          <t>VS09</t>
        </is>
      </c>
      <c r="D2591" s="12" t="inlineStr">
        <is>
          <t>Structural Steel</t>
        </is>
      </c>
      <c r="E2591" s="12" t="inlineStr">
        <is>
          <t>N</t>
        </is>
      </c>
      <c r="F2591" s="12" t="n">
        <v>25.22</v>
      </c>
      <c r="G2591" s="17" t="n">
        <v>119710.18</v>
      </c>
      <c r="H2591" s="26" t="n">
        <v>44449</v>
      </c>
      <c r="I2591" s="26" t="n">
        <v>44450</v>
      </c>
      <c r="J2591" s="12" t="n">
        <v>25.11</v>
      </c>
      <c r="K2591" s="17" t="n">
        <v>3019090.74</v>
      </c>
      <c r="L2591" s="12" t="n">
        <v>0</v>
      </c>
      <c r="M2591" s="12" t="n">
        <v>0</v>
      </c>
      <c r="N2591" s="27">
        <f>F2591-J2591</f>
        <v/>
      </c>
      <c r="O2591" s="16">
        <f>I2591-H2591</f>
        <v/>
      </c>
      <c r="P2591" s="14">
        <f>F2591*G2591</f>
        <v/>
      </c>
      <c r="Q2591" s="14">
        <f>J2591*G2591</f>
        <v/>
      </c>
      <c r="R2591" s="14">
        <f>K2591-Q2591</f>
        <v/>
      </c>
      <c r="S2591" s="3">
        <f>P2591*Assumptions!$B$3/100</f>
        <v/>
      </c>
      <c r="T2591" s="14">
        <f>R2591-S2591</f>
        <v/>
      </c>
      <c r="U2591" s="14">
        <f>L2591*G2591</f>
        <v/>
      </c>
    </row>
    <row r="2592">
      <c r="A2592" s="12" t="inlineStr">
        <is>
          <t>PO-2022-2590</t>
        </is>
      </c>
      <c r="B2592" s="26" t="n">
        <v>44894</v>
      </c>
      <c r="C2592" s="12" t="inlineStr">
        <is>
          <t>VS08</t>
        </is>
      </c>
      <c r="D2592" s="12" t="inlineStr">
        <is>
          <t>GI Pipes</t>
        </is>
      </c>
      <c r="E2592" s="12" t="inlineStr">
        <is>
          <t>N</t>
        </is>
      </c>
      <c r="F2592" s="12" t="n">
        <v>39.52</v>
      </c>
      <c r="G2592" s="17" t="n">
        <v>92856.02</v>
      </c>
      <c r="H2592" s="26" t="n">
        <v>44900</v>
      </c>
      <c r="I2592" s="26" t="n">
        <v>44901</v>
      </c>
      <c r="J2592" s="12" t="n">
        <v>39.36</v>
      </c>
      <c r="K2592" s="17" t="n">
        <v>3669669.91</v>
      </c>
      <c r="L2592" s="12" t="n">
        <v>0</v>
      </c>
      <c r="M2592" s="12" t="n">
        <v>10</v>
      </c>
      <c r="N2592" s="27">
        <f>F2592-J2592</f>
        <v/>
      </c>
      <c r="O2592" s="16">
        <f>I2592-H2592</f>
        <v/>
      </c>
      <c r="P2592" s="14">
        <f>F2592*G2592</f>
        <v/>
      </c>
      <c r="Q2592" s="14">
        <f>J2592*G2592</f>
        <v/>
      </c>
      <c r="R2592" s="14">
        <f>K2592-Q2592</f>
        <v/>
      </c>
      <c r="S2592" s="3">
        <f>P2592*Assumptions!$B$3/100</f>
        <v/>
      </c>
      <c r="T2592" s="14">
        <f>R2592-S2592</f>
        <v/>
      </c>
      <c r="U2592" s="14">
        <f>L2592*G2592</f>
        <v/>
      </c>
    </row>
    <row r="2593">
      <c r="A2593" s="12" t="inlineStr">
        <is>
          <t>PO-2022-2591</t>
        </is>
      </c>
      <c r="B2593" s="26" t="n">
        <v>44836</v>
      </c>
      <c r="C2593" s="12" t="inlineStr">
        <is>
          <t>VS28</t>
        </is>
      </c>
      <c r="D2593" s="12" t="inlineStr">
        <is>
          <t>SS Sheets</t>
        </is>
      </c>
      <c r="E2593" s="12" t="inlineStr">
        <is>
          <t>N</t>
        </is>
      </c>
      <c r="F2593" s="12" t="n">
        <v>2.91</v>
      </c>
      <c r="G2593" s="17" t="n">
        <v>52993.07</v>
      </c>
      <c r="H2593" s="26" t="n">
        <v>44843</v>
      </c>
      <c r="I2593" s="26" t="n">
        <v>44846</v>
      </c>
      <c r="J2593" s="12" t="n">
        <v>2.9</v>
      </c>
      <c r="K2593" s="17" t="n">
        <v>154209.83</v>
      </c>
      <c r="L2593" s="12" t="n">
        <v>0</v>
      </c>
      <c r="M2593" s="12" t="n">
        <v>19</v>
      </c>
      <c r="N2593" s="27">
        <f>F2593-J2593</f>
        <v/>
      </c>
      <c r="O2593" s="16">
        <f>I2593-H2593</f>
        <v/>
      </c>
      <c r="P2593" s="14">
        <f>F2593*G2593</f>
        <v/>
      </c>
      <c r="Q2593" s="14">
        <f>J2593*G2593</f>
        <v/>
      </c>
      <c r="R2593" s="14">
        <f>K2593-Q2593</f>
        <v/>
      </c>
      <c r="S2593" s="3">
        <f>P2593*Assumptions!$B$3/100</f>
        <v/>
      </c>
      <c r="T2593" s="14">
        <f>R2593-S2593</f>
        <v/>
      </c>
      <c r="U2593" s="14">
        <f>L2593*G2593</f>
        <v/>
      </c>
    </row>
    <row r="2594">
      <c r="A2594" s="12" t="inlineStr">
        <is>
          <t>PO-2022-2592</t>
        </is>
      </c>
      <c r="B2594" s="26" t="n">
        <v>44477</v>
      </c>
      <c r="C2594" s="12" t="inlineStr">
        <is>
          <t>VS17</t>
        </is>
      </c>
      <c r="D2594" s="12" t="inlineStr">
        <is>
          <t>MS Rods</t>
        </is>
      </c>
      <c r="E2594" s="12" t="inlineStr">
        <is>
          <t>N</t>
        </is>
      </c>
      <c r="F2594" s="12" t="n">
        <v>49.96</v>
      </c>
      <c r="G2594" s="17" t="n">
        <v>66050.11</v>
      </c>
      <c r="H2594" s="26" t="n">
        <v>44486</v>
      </c>
      <c r="I2594" s="26" t="n">
        <v>44486</v>
      </c>
      <c r="J2594" s="12" t="n">
        <v>49.63</v>
      </c>
      <c r="K2594" s="17" t="n">
        <v>3299863.5</v>
      </c>
      <c r="L2594" s="12" t="n">
        <v>0</v>
      </c>
      <c r="M2594" s="12" t="n">
        <v>2</v>
      </c>
      <c r="N2594" s="27">
        <f>F2594-J2594</f>
        <v/>
      </c>
      <c r="O2594" s="16">
        <f>I2594-H2594</f>
        <v/>
      </c>
      <c r="P2594" s="14">
        <f>F2594*G2594</f>
        <v/>
      </c>
      <c r="Q2594" s="14">
        <f>J2594*G2594</f>
        <v/>
      </c>
      <c r="R2594" s="14">
        <f>K2594-Q2594</f>
        <v/>
      </c>
      <c r="S2594" s="3">
        <f>P2594*Assumptions!$B$3/100</f>
        <v/>
      </c>
      <c r="T2594" s="14">
        <f>R2594-S2594</f>
        <v/>
      </c>
      <c r="U2594" s="14">
        <f>L2594*G2594</f>
        <v/>
      </c>
    </row>
    <row r="2595">
      <c r="A2595" s="12" t="inlineStr">
        <is>
          <t>PO-2022-2593</t>
        </is>
      </c>
      <c r="B2595" s="26" t="n">
        <v>44349</v>
      </c>
      <c r="C2595" s="12" t="inlineStr">
        <is>
          <t>VS34</t>
        </is>
      </c>
      <c r="D2595" s="12" t="inlineStr">
        <is>
          <t>Angles &amp; Channels</t>
        </is>
      </c>
      <c r="E2595" s="12" t="inlineStr">
        <is>
          <t>N</t>
        </is>
      </c>
      <c r="F2595" s="12" t="n">
        <v>4.68</v>
      </c>
      <c r="G2595" s="17" t="n">
        <v>68128.88</v>
      </c>
      <c r="H2595" s="26" t="n">
        <v>44356</v>
      </c>
      <c r="I2595" s="26" t="n">
        <v>44356</v>
      </c>
      <c r="J2595" s="12" t="n">
        <v>4.64</v>
      </c>
      <c r="K2595" s="17" t="n">
        <v>318843.16</v>
      </c>
      <c r="L2595" s="12" t="n">
        <v>0</v>
      </c>
      <c r="M2595" s="12" t="n">
        <v>0</v>
      </c>
      <c r="N2595" s="27">
        <f>F2595-J2595</f>
        <v/>
      </c>
      <c r="O2595" s="16">
        <f>I2595-H2595</f>
        <v/>
      </c>
      <c r="P2595" s="14">
        <f>F2595*G2595</f>
        <v/>
      </c>
      <c r="Q2595" s="14">
        <f>J2595*G2595</f>
        <v/>
      </c>
      <c r="R2595" s="14">
        <f>K2595-Q2595</f>
        <v/>
      </c>
      <c r="S2595" s="3">
        <f>P2595*Assumptions!$B$3/100</f>
        <v/>
      </c>
      <c r="T2595" s="14">
        <f>R2595-S2595</f>
        <v/>
      </c>
      <c r="U2595" s="14">
        <f>L2595*G2595</f>
        <v/>
      </c>
    </row>
    <row r="2596">
      <c r="A2596" s="12" t="inlineStr">
        <is>
          <t>PO-2022-2594</t>
        </is>
      </c>
      <c r="B2596" s="26" t="n">
        <v>45030</v>
      </c>
      <c r="C2596" s="12" t="inlineStr">
        <is>
          <t>VS02</t>
        </is>
      </c>
      <c r="D2596" s="12" t="inlineStr">
        <is>
          <t>MS Pipes</t>
        </is>
      </c>
      <c r="E2596" s="12" t="inlineStr">
        <is>
          <t>N</t>
        </is>
      </c>
      <c r="F2596" s="12" t="n">
        <v>49.08</v>
      </c>
      <c r="G2596" s="17" t="n">
        <v>69581.53999999999</v>
      </c>
      <c r="H2596" s="26" t="n">
        <v>45044</v>
      </c>
      <c r="I2596" s="26" t="n">
        <v>45045</v>
      </c>
      <c r="J2596" s="12" t="n">
        <v>48.9</v>
      </c>
      <c r="K2596" s="17" t="n">
        <v>3415061.98</v>
      </c>
      <c r="L2596" s="12" t="n">
        <v>0</v>
      </c>
      <c r="M2596" s="12" t="n">
        <v>0</v>
      </c>
      <c r="N2596" s="27">
        <f>F2596-J2596</f>
        <v/>
      </c>
      <c r="O2596" s="16">
        <f>I2596-H2596</f>
        <v/>
      </c>
      <c r="P2596" s="14">
        <f>F2596*G2596</f>
        <v/>
      </c>
      <c r="Q2596" s="14">
        <f>J2596*G2596</f>
        <v/>
      </c>
      <c r="R2596" s="14">
        <f>K2596-Q2596</f>
        <v/>
      </c>
      <c r="S2596" s="3">
        <f>P2596*Assumptions!$B$3/100</f>
        <v/>
      </c>
      <c r="T2596" s="14">
        <f>R2596-S2596</f>
        <v/>
      </c>
      <c r="U2596" s="14">
        <f>L2596*G2596</f>
        <v/>
      </c>
    </row>
    <row r="2597">
      <c r="A2597" s="12" t="inlineStr">
        <is>
          <t>PO-2022-2595</t>
        </is>
      </c>
      <c r="B2597" s="26" t="n">
        <v>44387</v>
      </c>
      <c r="C2597" s="12" t="inlineStr">
        <is>
          <t>VS09</t>
        </is>
      </c>
      <c r="D2597" s="12" t="inlineStr">
        <is>
          <t>Hex Bars</t>
        </is>
      </c>
      <c r="E2597" s="12" t="inlineStr">
        <is>
          <t>N</t>
        </is>
      </c>
      <c r="F2597" s="12" t="n">
        <v>30.54</v>
      </c>
      <c r="G2597" s="17" t="n">
        <v>108867.74</v>
      </c>
      <c r="H2597" s="26" t="n">
        <v>44395</v>
      </c>
      <c r="I2597" s="26" t="n">
        <v>44395</v>
      </c>
      <c r="J2597" s="12" t="n">
        <v>30.37</v>
      </c>
      <c r="K2597" s="17" t="n">
        <v>3324820.78</v>
      </c>
      <c r="L2597" s="12" t="n">
        <v>0</v>
      </c>
      <c r="M2597" s="12" t="n">
        <v>8</v>
      </c>
      <c r="N2597" s="27">
        <f>F2597-J2597</f>
        <v/>
      </c>
      <c r="O2597" s="16">
        <f>I2597-H2597</f>
        <v/>
      </c>
      <c r="P2597" s="14">
        <f>F2597*G2597</f>
        <v/>
      </c>
      <c r="Q2597" s="14">
        <f>J2597*G2597</f>
        <v/>
      </c>
      <c r="R2597" s="14">
        <f>K2597-Q2597</f>
        <v/>
      </c>
      <c r="S2597" s="3">
        <f>P2597*Assumptions!$B$3/100</f>
        <v/>
      </c>
      <c r="T2597" s="14">
        <f>R2597-S2597</f>
        <v/>
      </c>
      <c r="U2597" s="14">
        <f>L2597*G2597</f>
        <v/>
      </c>
    </row>
    <row r="2598">
      <c r="A2598" s="12" t="inlineStr">
        <is>
          <t>PO-2022-2596</t>
        </is>
      </c>
      <c r="B2598" s="26" t="n">
        <v>44429</v>
      </c>
      <c r="C2598" s="12" t="inlineStr">
        <is>
          <t>VS07</t>
        </is>
      </c>
      <c r="D2598" s="12" t="inlineStr">
        <is>
          <t>CR Sheets</t>
        </is>
      </c>
      <c r="E2598" s="12" t="inlineStr">
        <is>
          <t>N</t>
        </is>
      </c>
      <c r="F2598" s="12" t="n">
        <v>38.63</v>
      </c>
      <c r="G2598" s="17" t="n">
        <v>68873.38</v>
      </c>
      <c r="H2598" s="26" t="n">
        <v>44433</v>
      </c>
      <c r="I2598" s="26" t="n">
        <v>44435</v>
      </c>
      <c r="J2598" s="12" t="n">
        <v>38.44</v>
      </c>
      <c r="K2598" s="17" t="n">
        <v>2660578.67</v>
      </c>
      <c r="L2598" s="12" t="n">
        <v>0</v>
      </c>
      <c r="M2598" s="12" t="n">
        <v>0</v>
      </c>
      <c r="N2598" s="27">
        <f>F2598-J2598</f>
        <v/>
      </c>
      <c r="O2598" s="16">
        <f>I2598-H2598</f>
        <v/>
      </c>
      <c r="P2598" s="14">
        <f>F2598*G2598</f>
        <v/>
      </c>
      <c r="Q2598" s="14">
        <f>J2598*G2598</f>
        <v/>
      </c>
      <c r="R2598" s="14">
        <f>K2598-Q2598</f>
        <v/>
      </c>
      <c r="S2598" s="3">
        <f>P2598*Assumptions!$B$3/100</f>
        <v/>
      </c>
      <c r="T2598" s="14">
        <f>R2598-S2598</f>
        <v/>
      </c>
      <c r="U2598" s="14">
        <f>L2598*G2598</f>
        <v/>
      </c>
    </row>
    <row r="2599">
      <c r="A2599" s="12" t="inlineStr">
        <is>
          <t>PO-2022-2597</t>
        </is>
      </c>
      <c r="B2599" s="26" t="n">
        <v>44571</v>
      </c>
      <c r="C2599" s="12" t="inlineStr">
        <is>
          <t>VS14</t>
        </is>
      </c>
      <c r="D2599" s="12" t="inlineStr">
        <is>
          <t>SS Pipes</t>
        </is>
      </c>
      <c r="E2599" s="12" t="inlineStr">
        <is>
          <t>N</t>
        </is>
      </c>
      <c r="F2599" s="12" t="n">
        <v>12.34</v>
      </c>
      <c r="G2599" s="17" t="n">
        <v>65738.62</v>
      </c>
      <c r="H2599" s="26" t="n">
        <v>44586</v>
      </c>
      <c r="I2599" s="26" t="n">
        <v>44589</v>
      </c>
      <c r="J2599" s="12" t="n">
        <v>12.27</v>
      </c>
      <c r="K2599" s="17" t="n">
        <v>811214.5699999999</v>
      </c>
      <c r="L2599" s="12" t="n">
        <v>0</v>
      </c>
      <c r="M2599" s="12" t="n">
        <v>0</v>
      </c>
      <c r="N2599" s="27">
        <f>F2599-J2599</f>
        <v/>
      </c>
      <c r="O2599" s="16">
        <f>I2599-H2599</f>
        <v/>
      </c>
      <c r="P2599" s="14">
        <f>F2599*G2599</f>
        <v/>
      </c>
      <c r="Q2599" s="14">
        <f>J2599*G2599</f>
        <v/>
      </c>
      <c r="R2599" s="14">
        <f>K2599-Q2599</f>
        <v/>
      </c>
      <c r="S2599" s="3">
        <f>P2599*Assumptions!$B$3/100</f>
        <v/>
      </c>
      <c r="T2599" s="14">
        <f>R2599-S2599</f>
        <v/>
      </c>
      <c r="U2599" s="14">
        <f>L2599*G2599</f>
        <v/>
      </c>
    </row>
    <row r="2600">
      <c r="A2600" s="12" t="inlineStr">
        <is>
          <t>PO-2022-2598</t>
        </is>
      </c>
      <c r="B2600" s="26" t="n">
        <v>44360</v>
      </c>
      <c r="C2600" s="12" t="inlineStr">
        <is>
          <t>VS20</t>
        </is>
      </c>
      <c r="D2600" s="12" t="inlineStr">
        <is>
          <t>Spring Steel</t>
        </is>
      </c>
      <c r="E2600" s="12" t="inlineStr">
        <is>
          <t>N</t>
        </is>
      </c>
      <c r="F2600" s="12" t="n">
        <v>33.24</v>
      </c>
      <c r="G2600" s="17" t="n">
        <v>52532.68</v>
      </c>
      <c r="H2600" s="26" t="n">
        <v>44369</v>
      </c>
      <c r="I2600" s="26" t="n">
        <v>44369</v>
      </c>
      <c r="J2600" s="12" t="n">
        <v>33.18</v>
      </c>
      <c r="K2600" s="17" t="n">
        <v>1746186.28</v>
      </c>
      <c r="L2600" s="12" t="n">
        <v>0</v>
      </c>
      <c r="M2600" s="12" t="n">
        <v>14</v>
      </c>
      <c r="N2600" s="27">
        <f>F2600-J2600</f>
        <v/>
      </c>
      <c r="O2600" s="16">
        <f>I2600-H2600</f>
        <v/>
      </c>
      <c r="P2600" s="14">
        <f>F2600*G2600</f>
        <v/>
      </c>
      <c r="Q2600" s="14">
        <f>J2600*G2600</f>
        <v/>
      </c>
      <c r="R2600" s="14">
        <f>K2600-Q2600</f>
        <v/>
      </c>
      <c r="S2600" s="3">
        <f>P2600*Assumptions!$B$3/100</f>
        <v/>
      </c>
      <c r="T2600" s="14">
        <f>R2600-S2600</f>
        <v/>
      </c>
      <c r="U2600" s="14">
        <f>L2600*G2600</f>
        <v/>
      </c>
    </row>
    <row r="2601">
      <c r="A2601" s="12" t="inlineStr">
        <is>
          <t>PO-2022-2599</t>
        </is>
      </c>
      <c r="B2601" s="26" t="n">
        <v>44280</v>
      </c>
      <c r="C2601" s="12" t="inlineStr">
        <is>
          <t>VS20</t>
        </is>
      </c>
      <c r="D2601" s="12" t="inlineStr">
        <is>
          <t>GI Wire</t>
        </is>
      </c>
      <c r="E2601" s="12" t="inlineStr">
        <is>
          <t>N</t>
        </is>
      </c>
      <c r="F2601" s="12" t="n">
        <v>5.56</v>
      </c>
      <c r="G2601" s="17" t="n">
        <v>69994.99000000001</v>
      </c>
      <c r="H2601" s="26" t="n">
        <v>44294</v>
      </c>
      <c r="I2601" s="26" t="n">
        <v>44294</v>
      </c>
      <c r="J2601" s="12" t="n">
        <v>5.52</v>
      </c>
      <c r="K2601" s="17" t="n">
        <v>389172.14</v>
      </c>
      <c r="L2601" s="12" t="n">
        <v>0</v>
      </c>
      <c r="M2601" s="12" t="n">
        <v>24</v>
      </c>
      <c r="N2601" s="27">
        <f>F2601-J2601</f>
        <v/>
      </c>
      <c r="O2601" s="16">
        <f>I2601-H2601</f>
        <v/>
      </c>
      <c r="P2601" s="14">
        <f>F2601*G2601</f>
        <v/>
      </c>
      <c r="Q2601" s="14">
        <f>J2601*G2601</f>
        <v/>
      </c>
      <c r="R2601" s="14">
        <f>K2601-Q2601</f>
        <v/>
      </c>
      <c r="S2601" s="3">
        <f>P2601*Assumptions!$B$3/100</f>
        <v/>
      </c>
      <c r="T2601" s="14">
        <f>R2601-S2601</f>
        <v/>
      </c>
      <c r="U2601" s="14">
        <f>L2601*G2601</f>
        <v/>
      </c>
    </row>
    <row r="2602">
      <c r="A2602" s="12" t="inlineStr">
        <is>
          <t>PO-2022-2600</t>
        </is>
      </c>
      <c r="B2602" s="26" t="n">
        <v>44303</v>
      </c>
      <c r="C2602" s="12" t="inlineStr">
        <is>
          <t>VS09</t>
        </is>
      </c>
      <c r="D2602" s="12" t="inlineStr">
        <is>
          <t>SS Pipes</t>
        </is>
      </c>
      <c r="E2602" s="12" t="inlineStr">
        <is>
          <t>Y</t>
        </is>
      </c>
      <c r="F2602" s="12" t="n">
        <v>5.62</v>
      </c>
      <c r="G2602" s="17" t="n">
        <v>115852.2</v>
      </c>
      <c r="H2602" s="26" t="n">
        <v>44306</v>
      </c>
      <c r="I2602" s="26" t="n">
        <v>44306</v>
      </c>
      <c r="J2602" s="12" t="n">
        <v>5.57</v>
      </c>
      <c r="K2602" s="17" t="n">
        <v>651089.36</v>
      </c>
      <c r="L2602" s="12" t="n">
        <v>0</v>
      </c>
      <c r="M2602" s="12" t="n">
        <v>5</v>
      </c>
      <c r="N2602" s="27">
        <f>F2602-J2602</f>
        <v/>
      </c>
      <c r="O2602" s="16">
        <f>I2602-H2602</f>
        <v/>
      </c>
      <c r="P2602" s="14">
        <f>F2602*G2602</f>
        <v/>
      </c>
      <c r="Q2602" s="14">
        <f>J2602*G2602</f>
        <v/>
      </c>
      <c r="R2602" s="14">
        <f>K2602-Q2602</f>
        <v/>
      </c>
      <c r="S2602" s="3">
        <f>P2602*Assumptions!$B$3/100</f>
        <v/>
      </c>
      <c r="T2602" s="14">
        <f>R2602-S2602</f>
        <v/>
      </c>
      <c r="U2602" s="14">
        <f>L2602*G2602</f>
        <v/>
      </c>
    </row>
    <row r="2603">
      <c r="A2603" s="12" t="inlineStr">
        <is>
          <t>PO-2022-2601</t>
        </is>
      </c>
      <c r="B2603" s="26" t="n">
        <v>44415</v>
      </c>
      <c r="C2603" s="12" t="inlineStr">
        <is>
          <t>VS31</t>
        </is>
      </c>
      <c r="D2603" s="12" t="inlineStr">
        <is>
          <t>GI Pipes</t>
        </is>
      </c>
      <c r="E2603" s="12" t="inlineStr">
        <is>
          <t>N</t>
        </is>
      </c>
      <c r="F2603" s="12" t="n">
        <v>23.99</v>
      </c>
      <c r="G2603" s="17" t="n">
        <v>72084.61</v>
      </c>
      <c r="H2603" s="26" t="n">
        <v>44426</v>
      </c>
      <c r="I2603" s="26" t="n">
        <v>44428</v>
      </c>
      <c r="J2603" s="12" t="n">
        <v>23.89</v>
      </c>
      <c r="K2603" s="17" t="n">
        <v>1729309.79</v>
      </c>
      <c r="L2603" s="12" t="n">
        <v>0</v>
      </c>
      <c r="M2603" s="12" t="n">
        <v>4</v>
      </c>
      <c r="N2603" s="27">
        <f>F2603-J2603</f>
        <v/>
      </c>
      <c r="O2603" s="16">
        <f>I2603-H2603</f>
        <v/>
      </c>
      <c r="P2603" s="14">
        <f>F2603*G2603</f>
        <v/>
      </c>
      <c r="Q2603" s="14">
        <f>J2603*G2603</f>
        <v/>
      </c>
      <c r="R2603" s="14">
        <f>K2603-Q2603</f>
        <v/>
      </c>
      <c r="S2603" s="3">
        <f>P2603*Assumptions!$B$3/100</f>
        <v/>
      </c>
      <c r="T2603" s="14">
        <f>R2603-S2603</f>
        <v/>
      </c>
      <c r="U2603" s="14">
        <f>L2603*G2603</f>
        <v/>
      </c>
    </row>
    <row r="2604">
      <c r="A2604" s="12" t="inlineStr">
        <is>
          <t>PO-2022-2602</t>
        </is>
      </c>
      <c r="B2604" s="26" t="n">
        <v>44415</v>
      </c>
      <c r="C2604" s="12" t="inlineStr">
        <is>
          <t>VS17</t>
        </is>
      </c>
      <c r="D2604" s="12" t="inlineStr">
        <is>
          <t>MS Sheets</t>
        </is>
      </c>
      <c r="E2604" s="12" t="inlineStr">
        <is>
          <t>N</t>
        </is>
      </c>
      <c r="F2604" s="12" t="n">
        <v>29.95</v>
      </c>
      <c r="G2604" s="17" t="n">
        <v>87089.28999999999</v>
      </c>
      <c r="H2604" s="26" t="n">
        <v>44430</v>
      </c>
      <c r="I2604" s="26" t="n">
        <v>44432</v>
      </c>
      <c r="J2604" s="12" t="n">
        <v>29.74</v>
      </c>
      <c r="K2604" s="17" t="n">
        <v>2608324.24</v>
      </c>
      <c r="L2604" s="12" t="n">
        <v>0</v>
      </c>
      <c r="M2604" s="12" t="n">
        <v>19</v>
      </c>
      <c r="N2604" s="27">
        <f>F2604-J2604</f>
        <v/>
      </c>
      <c r="O2604" s="16">
        <f>I2604-H2604</f>
        <v/>
      </c>
      <c r="P2604" s="14">
        <f>F2604*G2604</f>
        <v/>
      </c>
      <c r="Q2604" s="14">
        <f>J2604*G2604</f>
        <v/>
      </c>
      <c r="R2604" s="14">
        <f>K2604-Q2604</f>
        <v/>
      </c>
      <c r="S2604" s="3">
        <f>P2604*Assumptions!$B$3/100</f>
        <v/>
      </c>
      <c r="T2604" s="14">
        <f>R2604-S2604</f>
        <v/>
      </c>
      <c r="U2604" s="14">
        <f>L2604*G2604</f>
        <v/>
      </c>
    </row>
    <row r="2605">
      <c r="A2605" s="12" t="inlineStr">
        <is>
          <t>PO-2022-2603</t>
        </is>
      </c>
      <c r="B2605" s="26" t="n">
        <v>44704</v>
      </c>
      <c r="C2605" s="12" t="inlineStr">
        <is>
          <t>VS06</t>
        </is>
      </c>
      <c r="D2605" s="12" t="inlineStr">
        <is>
          <t>MS Flats</t>
        </is>
      </c>
      <c r="E2605" s="12" t="inlineStr">
        <is>
          <t>N</t>
        </is>
      </c>
      <c r="F2605" s="12" t="n">
        <v>9.25</v>
      </c>
      <c r="G2605" s="17" t="n">
        <v>93636.42999999999</v>
      </c>
      <c r="H2605" s="26" t="n">
        <v>44716</v>
      </c>
      <c r="I2605" s="26" t="n">
        <v>44716</v>
      </c>
      <c r="J2605" s="12" t="n">
        <v>9.25</v>
      </c>
      <c r="K2605" s="17" t="n">
        <v>866136.98</v>
      </c>
      <c r="L2605" s="12" t="n">
        <v>0</v>
      </c>
      <c r="M2605" s="12" t="n">
        <v>19</v>
      </c>
      <c r="N2605" s="27">
        <f>F2605-J2605</f>
        <v/>
      </c>
      <c r="O2605" s="16">
        <f>I2605-H2605</f>
        <v/>
      </c>
      <c r="P2605" s="14">
        <f>F2605*G2605</f>
        <v/>
      </c>
      <c r="Q2605" s="14">
        <f>J2605*G2605</f>
        <v/>
      </c>
      <c r="R2605" s="14">
        <f>K2605-Q2605</f>
        <v/>
      </c>
      <c r="S2605" s="3">
        <f>P2605*Assumptions!$B$3/100</f>
        <v/>
      </c>
      <c r="T2605" s="14">
        <f>R2605-S2605</f>
        <v/>
      </c>
      <c r="U2605" s="14">
        <f>L2605*G2605</f>
        <v/>
      </c>
    </row>
    <row r="2606">
      <c r="A2606" s="12" t="inlineStr">
        <is>
          <t>PO-2022-2604</t>
        </is>
      </c>
      <c r="B2606" s="26" t="n">
        <v>44409</v>
      </c>
      <c r="C2606" s="12" t="inlineStr">
        <is>
          <t>VS02</t>
        </is>
      </c>
      <c r="D2606" s="12" t="inlineStr">
        <is>
          <t>Structural Steel</t>
        </is>
      </c>
      <c r="E2606" s="12" t="inlineStr">
        <is>
          <t>N</t>
        </is>
      </c>
      <c r="F2606" s="12" t="n">
        <v>11.7</v>
      </c>
      <c r="G2606" s="17" t="n">
        <v>98112.11</v>
      </c>
      <c r="H2606" s="26" t="n">
        <v>44414</v>
      </c>
      <c r="I2606" s="26" t="n">
        <v>44414</v>
      </c>
      <c r="J2606" s="12" t="n">
        <v>11.68</v>
      </c>
      <c r="K2606" s="17" t="n">
        <v>1147911.69</v>
      </c>
      <c r="L2606" s="12" t="n">
        <v>0</v>
      </c>
      <c r="M2606" s="12" t="n">
        <v>22</v>
      </c>
      <c r="N2606" s="27">
        <f>F2606-J2606</f>
        <v/>
      </c>
      <c r="O2606" s="16">
        <f>I2606-H2606</f>
        <v/>
      </c>
      <c r="P2606" s="14">
        <f>F2606*G2606</f>
        <v/>
      </c>
      <c r="Q2606" s="14">
        <f>J2606*G2606</f>
        <v/>
      </c>
      <c r="R2606" s="14">
        <f>K2606-Q2606</f>
        <v/>
      </c>
      <c r="S2606" s="3">
        <f>P2606*Assumptions!$B$3/100</f>
        <v/>
      </c>
      <c r="T2606" s="14">
        <f>R2606-S2606</f>
        <v/>
      </c>
      <c r="U2606" s="14">
        <f>L2606*G2606</f>
        <v/>
      </c>
    </row>
    <row r="2607">
      <c r="A2607" s="12" t="inlineStr">
        <is>
          <t>PO-2022-2605</t>
        </is>
      </c>
      <c r="B2607" s="26" t="n">
        <v>45240</v>
      </c>
      <c r="C2607" s="12" t="inlineStr">
        <is>
          <t>VS16</t>
        </is>
      </c>
      <c r="D2607" s="12" t="inlineStr">
        <is>
          <t>GI Wire</t>
        </is>
      </c>
      <c r="E2607" s="12" t="inlineStr">
        <is>
          <t>N</t>
        </is>
      </c>
      <c r="F2607" s="12" t="n">
        <v>1.26</v>
      </c>
      <c r="G2607" s="17" t="n">
        <v>84223.13</v>
      </c>
      <c r="H2607" s="26" t="n">
        <v>45247</v>
      </c>
      <c r="I2607" s="26" t="n">
        <v>45250</v>
      </c>
      <c r="J2607" s="12" t="n">
        <v>1.26</v>
      </c>
      <c r="K2607" s="17" t="n">
        <v>106121.14</v>
      </c>
      <c r="L2607" s="12" t="n">
        <v>0</v>
      </c>
      <c r="M2607" s="12" t="n">
        <v>0</v>
      </c>
      <c r="N2607" s="27">
        <f>F2607-J2607</f>
        <v/>
      </c>
      <c r="O2607" s="16">
        <f>I2607-H2607</f>
        <v/>
      </c>
      <c r="P2607" s="14">
        <f>F2607*G2607</f>
        <v/>
      </c>
      <c r="Q2607" s="14">
        <f>J2607*G2607</f>
        <v/>
      </c>
      <c r="R2607" s="14">
        <f>K2607-Q2607</f>
        <v/>
      </c>
      <c r="S2607" s="3">
        <f>P2607*Assumptions!$B$3/100</f>
        <v/>
      </c>
      <c r="T2607" s="14">
        <f>R2607-S2607</f>
        <v/>
      </c>
      <c r="U2607" s="14">
        <f>L2607*G2607</f>
        <v/>
      </c>
    </row>
    <row r="2608">
      <c r="A2608" s="12" t="inlineStr">
        <is>
          <t>PO-2022-2606</t>
        </is>
      </c>
      <c r="B2608" s="26" t="n">
        <v>44581</v>
      </c>
      <c r="C2608" s="12" t="inlineStr">
        <is>
          <t>VS32</t>
        </is>
      </c>
      <c r="D2608" s="12" t="inlineStr">
        <is>
          <t>Spring Steel</t>
        </is>
      </c>
      <c r="E2608" s="12" t="inlineStr">
        <is>
          <t>N</t>
        </is>
      </c>
      <c r="F2608" s="12" t="n">
        <v>12.66</v>
      </c>
      <c r="G2608" s="17" t="n">
        <v>77229.23</v>
      </c>
      <c r="H2608" s="26" t="n">
        <v>44593</v>
      </c>
      <c r="I2608" s="26" t="n">
        <v>44594</v>
      </c>
      <c r="J2608" s="12" t="n">
        <v>12.54</v>
      </c>
      <c r="K2608" s="17" t="n">
        <v>977722.05</v>
      </c>
      <c r="L2608" s="12" t="n">
        <v>0</v>
      </c>
      <c r="M2608" s="12" t="n">
        <v>23</v>
      </c>
      <c r="N2608" s="27">
        <f>F2608-J2608</f>
        <v/>
      </c>
      <c r="O2608" s="16">
        <f>I2608-H2608</f>
        <v/>
      </c>
      <c r="P2608" s="14">
        <f>F2608*G2608</f>
        <v/>
      </c>
      <c r="Q2608" s="14">
        <f>J2608*G2608</f>
        <v/>
      </c>
      <c r="R2608" s="14">
        <f>K2608-Q2608</f>
        <v/>
      </c>
      <c r="S2608" s="3">
        <f>P2608*Assumptions!$B$3/100</f>
        <v/>
      </c>
      <c r="T2608" s="14">
        <f>R2608-S2608</f>
        <v/>
      </c>
      <c r="U2608" s="14">
        <f>L2608*G2608</f>
        <v/>
      </c>
    </row>
    <row r="2609">
      <c r="A2609" s="12" t="inlineStr">
        <is>
          <t>PO-2022-2607</t>
        </is>
      </c>
      <c r="B2609" s="26" t="n">
        <v>44992</v>
      </c>
      <c r="C2609" s="12" t="inlineStr">
        <is>
          <t>VS13</t>
        </is>
      </c>
      <c r="D2609" s="12" t="inlineStr">
        <is>
          <t>Hex Bars</t>
        </is>
      </c>
      <c r="E2609" s="12" t="inlineStr">
        <is>
          <t>N</t>
        </is>
      </c>
      <c r="F2609" s="12" t="n">
        <v>15.34</v>
      </c>
      <c r="G2609" s="17" t="n">
        <v>55215.79</v>
      </c>
      <c r="H2609" s="26" t="n">
        <v>45004</v>
      </c>
      <c r="I2609" s="26" t="n">
        <v>45007</v>
      </c>
      <c r="J2609" s="12" t="n">
        <v>15.32</v>
      </c>
      <c r="K2609" s="17" t="n">
        <v>847010.22</v>
      </c>
      <c r="L2609" s="12" t="n">
        <v>0</v>
      </c>
      <c r="M2609" s="12" t="n">
        <v>3</v>
      </c>
      <c r="N2609" s="27">
        <f>F2609-J2609</f>
        <v/>
      </c>
      <c r="O2609" s="16">
        <f>I2609-H2609</f>
        <v/>
      </c>
      <c r="P2609" s="14">
        <f>F2609*G2609</f>
        <v/>
      </c>
      <c r="Q2609" s="14">
        <f>J2609*G2609</f>
        <v/>
      </c>
      <c r="R2609" s="14">
        <f>K2609-Q2609</f>
        <v/>
      </c>
      <c r="S2609" s="3">
        <f>P2609*Assumptions!$B$3/100</f>
        <v/>
      </c>
      <c r="T2609" s="14">
        <f>R2609-S2609</f>
        <v/>
      </c>
      <c r="U2609" s="14">
        <f>L2609*G2609</f>
        <v/>
      </c>
    </row>
    <row r="2610">
      <c r="A2610" s="12" t="inlineStr">
        <is>
          <t>PO-2022-2608</t>
        </is>
      </c>
      <c r="B2610" s="26" t="n">
        <v>45039</v>
      </c>
      <c r="C2610" s="12" t="inlineStr">
        <is>
          <t>VS19</t>
        </is>
      </c>
      <c r="D2610" s="12" t="inlineStr">
        <is>
          <t>CR Sheets</t>
        </is>
      </c>
      <c r="E2610" s="12" t="inlineStr">
        <is>
          <t>Y</t>
        </is>
      </c>
      <c r="F2610" s="12" t="n">
        <v>13.2</v>
      </c>
      <c r="G2610" s="17" t="n">
        <v>113578.92</v>
      </c>
      <c r="H2610" s="26" t="n">
        <v>45043</v>
      </c>
      <c r="I2610" s="26" t="n">
        <v>45049</v>
      </c>
      <c r="J2610" s="12" t="n">
        <v>12.58</v>
      </c>
      <c r="K2610" s="17" t="n">
        <v>1499241.74</v>
      </c>
      <c r="L2610" s="12" t="n">
        <v>0</v>
      </c>
      <c r="M2610" s="12" t="n">
        <v>0</v>
      </c>
      <c r="N2610" s="27">
        <f>F2610-J2610</f>
        <v/>
      </c>
      <c r="O2610" s="16">
        <f>I2610-H2610</f>
        <v/>
      </c>
      <c r="P2610" s="14">
        <f>F2610*G2610</f>
        <v/>
      </c>
      <c r="Q2610" s="14">
        <f>J2610*G2610</f>
        <v/>
      </c>
      <c r="R2610" s="14">
        <f>K2610-Q2610</f>
        <v/>
      </c>
      <c r="S2610" s="3">
        <f>P2610*Assumptions!$B$3/100</f>
        <v/>
      </c>
      <c r="T2610" s="14">
        <f>R2610-S2610</f>
        <v/>
      </c>
      <c r="U2610" s="14">
        <f>L2610*G2610</f>
        <v/>
      </c>
    </row>
    <row r="2611">
      <c r="A2611" s="12" t="inlineStr">
        <is>
          <t>PO-2022-2609</t>
        </is>
      </c>
      <c r="B2611" s="26" t="n">
        <v>45057</v>
      </c>
      <c r="C2611" s="12" t="inlineStr">
        <is>
          <t>VS17</t>
        </is>
      </c>
      <c r="D2611" s="12" t="inlineStr">
        <is>
          <t>Structural Steel</t>
        </is>
      </c>
      <c r="E2611" s="12" t="inlineStr">
        <is>
          <t>N</t>
        </is>
      </c>
      <c r="F2611" s="12" t="n">
        <v>1.07</v>
      </c>
      <c r="G2611" s="17" t="n">
        <v>53595.8</v>
      </c>
      <c r="H2611" s="26" t="n">
        <v>45069</v>
      </c>
      <c r="I2611" s="26" t="n">
        <v>45071</v>
      </c>
      <c r="J2611" s="12" t="n">
        <v>1.06</v>
      </c>
      <c r="K2611" s="17" t="n">
        <v>57347.51</v>
      </c>
      <c r="L2611" s="12" t="n">
        <v>0</v>
      </c>
      <c r="M2611" s="12" t="n">
        <v>6</v>
      </c>
      <c r="N2611" s="27">
        <f>F2611-J2611</f>
        <v/>
      </c>
      <c r="O2611" s="16">
        <f>I2611-H2611</f>
        <v/>
      </c>
      <c r="P2611" s="14">
        <f>F2611*G2611</f>
        <v/>
      </c>
      <c r="Q2611" s="14">
        <f>J2611*G2611</f>
        <v/>
      </c>
      <c r="R2611" s="14">
        <f>K2611-Q2611</f>
        <v/>
      </c>
      <c r="S2611" s="3">
        <f>P2611*Assumptions!$B$3/100</f>
        <v/>
      </c>
      <c r="T2611" s="14">
        <f>R2611-S2611</f>
        <v/>
      </c>
      <c r="U2611" s="14">
        <f>L2611*G2611</f>
        <v/>
      </c>
    </row>
    <row r="2612">
      <c r="A2612" s="12" t="inlineStr">
        <is>
          <t>PO-2022-2610</t>
        </is>
      </c>
      <c r="B2612" s="26" t="n">
        <v>44588</v>
      </c>
      <c r="C2612" s="12" t="inlineStr">
        <is>
          <t>VS17</t>
        </is>
      </c>
      <c r="D2612" s="12" t="inlineStr">
        <is>
          <t>Square/Rect Tubes</t>
        </is>
      </c>
      <c r="E2612" s="12" t="inlineStr">
        <is>
          <t>N</t>
        </is>
      </c>
      <c r="F2612" s="12" t="n">
        <v>29.25</v>
      </c>
      <c r="G2612" s="17" t="n">
        <v>106083.47</v>
      </c>
      <c r="H2612" s="26" t="n">
        <v>44600</v>
      </c>
      <c r="I2612" s="26" t="n">
        <v>44601</v>
      </c>
      <c r="J2612" s="12" t="n">
        <v>29.07</v>
      </c>
      <c r="K2612" s="17" t="n">
        <v>3102941.5</v>
      </c>
      <c r="L2612" s="12" t="n">
        <v>0</v>
      </c>
      <c r="M2612" s="12" t="n">
        <v>6</v>
      </c>
      <c r="N2612" s="27">
        <f>F2612-J2612</f>
        <v/>
      </c>
      <c r="O2612" s="16">
        <f>I2612-H2612</f>
        <v/>
      </c>
      <c r="P2612" s="14">
        <f>F2612*G2612</f>
        <v/>
      </c>
      <c r="Q2612" s="14">
        <f>J2612*G2612</f>
        <v/>
      </c>
      <c r="R2612" s="14">
        <f>K2612-Q2612</f>
        <v/>
      </c>
      <c r="S2612" s="3">
        <f>P2612*Assumptions!$B$3/100</f>
        <v/>
      </c>
      <c r="T2612" s="14">
        <f>R2612-S2612</f>
        <v/>
      </c>
      <c r="U2612" s="14">
        <f>L2612*G2612</f>
        <v/>
      </c>
    </row>
    <row r="2613">
      <c r="A2613" s="12" t="inlineStr">
        <is>
          <t>PO-2022-2611</t>
        </is>
      </c>
      <c r="B2613" s="26" t="n">
        <v>44442</v>
      </c>
      <c r="C2613" s="12" t="inlineStr">
        <is>
          <t>VS16</t>
        </is>
      </c>
      <c r="D2613" s="12" t="inlineStr">
        <is>
          <t>Square/Rect Tubes</t>
        </is>
      </c>
      <c r="E2613" s="12" t="inlineStr">
        <is>
          <t>N</t>
        </is>
      </c>
      <c r="F2613" s="12" t="n">
        <v>35.84</v>
      </c>
      <c r="G2613" s="17" t="n">
        <v>62314.17</v>
      </c>
      <c r="H2613" s="26" t="n">
        <v>44448</v>
      </c>
      <c r="I2613" s="26" t="n">
        <v>44450</v>
      </c>
      <c r="J2613" s="12" t="n">
        <v>35.56</v>
      </c>
      <c r="K2613" s="17" t="n">
        <v>2233339.85</v>
      </c>
      <c r="L2613" s="12" t="n">
        <v>0</v>
      </c>
      <c r="M2613" s="12" t="n">
        <v>1</v>
      </c>
      <c r="N2613" s="27">
        <f>F2613-J2613</f>
        <v/>
      </c>
      <c r="O2613" s="16">
        <f>I2613-H2613</f>
        <v/>
      </c>
      <c r="P2613" s="14">
        <f>F2613*G2613</f>
        <v/>
      </c>
      <c r="Q2613" s="14">
        <f>J2613*G2613</f>
        <v/>
      </c>
      <c r="R2613" s="14">
        <f>K2613-Q2613</f>
        <v/>
      </c>
      <c r="S2613" s="3">
        <f>P2613*Assumptions!$B$3/100</f>
        <v/>
      </c>
      <c r="T2613" s="14">
        <f>R2613-S2613</f>
        <v/>
      </c>
      <c r="U2613" s="14">
        <f>L2613*G2613</f>
        <v/>
      </c>
    </row>
    <row r="2614">
      <c r="A2614" s="12" t="inlineStr">
        <is>
          <t>PO-2022-2612</t>
        </is>
      </c>
      <c r="B2614" s="26" t="n">
        <v>44292</v>
      </c>
      <c r="C2614" s="12" t="inlineStr">
        <is>
          <t>VS05</t>
        </is>
      </c>
      <c r="D2614" s="12" t="inlineStr">
        <is>
          <t>MS Rods</t>
        </is>
      </c>
      <c r="E2614" s="12" t="inlineStr">
        <is>
          <t>N</t>
        </is>
      </c>
      <c r="F2614" s="12" t="n">
        <v>7.52</v>
      </c>
      <c r="G2614" s="17" t="n">
        <v>61360.18</v>
      </c>
      <c r="H2614" s="26" t="n">
        <v>44296</v>
      </c>
      <c r="I2614" s="26" t="n">
        <v>44299</v>
      </c>
      <c r="J2614" s="12" t="n">
        <v>7.49</v>
      </c>
      <c r="K2614" s="17" t="n">
        <v>461428.55</v>
      </c>
      <c r="L2614" s="12" t="n">
        <v>0</v>
      </c>
      <c r="M2614" s="12" t="n">
        <v>0</v>
      </c>
      <c r="N2614" s="27">
        <f>F2614-J2614</f>
        <v/>
      </c>
      <c r="O2614" s="16">
        <f>I2614-H2614</f>
        <v/>
      </c>
      <c r="P2614" s="14">
        <f>F2614*G2614</f>
        <v/>
      </c>
      <c r="Q2614" s="14">
        <f>J2614*G2614</f>
        <v/>
      </c>
      <c r="R2614" s="14">
        <f>K2614-Q2614</f>
        <v/>
      </c>
      <c r="S2614" s="3">
        <f>P2614*Assumptions!$B$3/100</f>
        <v/>
      </c>
      <c r="T2614" s="14">
        <f>R2614-S2614</f>
        <v/>
      </c>
      <c r="U2614" s="14">
        <f>L2614*G2614</f>
        <v/>
      </c>
    </row>
    <row r="2615">
      <c r="A2615" s="12" t="inlineStr">
        <is>
          <t>PO-2022-2613</t>
        </is>
      </c>
      <c r="B2615" s="26" t="n">
        <v>44202</v>
      </c>
      <c r="C2615" s="12" t="inlineStr">
        <is>
          <t>VS14</t>
        </is>
      </c>
      <c r="D2615" s="12" t="inlineStr">
        <is>
          <t>ERW Pipes</t>
        </is>
      </c>
      <c r="E2615" s="12" t="inlineStr">
        <is>
          <t>N</t>
        </is>
      </c>
      <c r="F2615" s="12" t="n">
        <v>41.67</v>
      </c>
      <c r="G2615" s="17" t="n">
        <v>46031.99</v>
      </c>
      <c r="H2615" s="26" t="n">
        <v>44206</v>
      </c>
      <c r="I2615" s="26" t="n">
        <v>44207</v>
      </c>
      <c r="J2615" s="12" t="n">
        <v>41.32</v>
      </c>
      <c r="K2615" s="17" t="n">
        <v>1918153.02</v>
      </c>
      <c r="L2615" s="12" t="n">
        <v>0</v>
      </c>
      <c r="M2615" s="12" t="n">
        <v>4</v>
      </c>
      <c r="N2615" s="27">
        <f>F2615-J2615</f>
        <v/>
      </c>
      <c r="O2615" s="16">
        <f>I2615-H2615</f>
        <v/>
      </c>
      <c r="P2615" s="14">
        <f>F2615*G2615</f>
        <v/>
      </c>
      <c r="Q2615" s="14">
        <f>J2615*G2615</f>
        <v/>
      </c>
      <c r="R2615" s="14">
        <f>K2615-Q2615</f>
        <v/>
      </c>
      <c r="S2615" s="3">
        <f>P2615*Assumptions!$B$3/100</f>
        <v/>
      </c>
      <c r="T2615" s="14">
        <f>R2615-S2615</f>
        <v/>
      </c>
      <c r="U2615" s="14">
        <f>L2615*G2615</f>
        <v/>
      </c>
    </row>
    <row r="2616">
      <c r="A2616" s="12" t="inlineStr">
        <is>
          <t>PO-2022-2614</t>
        </is>
      </c>
      <c r="B2616" s="26" t="n">
        <v>44896</v>
      </c>
      <c r="C2616" s="12" t="inlineStr">
        <is>
          <t>VS14</t>
        </is>
      </c>
      <c r="D2616" s="12" t="inlineStr">
        <is>
          <t>Fasteners &amp; Fittings</t>
        </is>
      </c>
      <c r="E2616" s="12" t="inlineStr">
        <is>
          <t>N</t>
        </is>
      </c>
      <c r="F2616" s="12" t="n">
        <v>8.07</v>
      </c>
      <c r="G2616" s="17" t="n">
        <v>99323.57000000001</v>
      </c>
      <c r="H2616" s="26" t="n">
        <v>44911</v>
      </c>
      <c r="I2616" s="26" t="n">
        <v>44911</v>
      </c>
      <c r="J2616" s="12" t="n">
        <v>8.039999999999999</v>
      </c>
      <c r="K2616" s="17" t="n">
        <v>801541.21</v>
      </c>
      <c r="L2616" s="12" t="n">
        <v>0</v>
      </c>
      <c r="M2616" s="12" t="n">
        <v>18</v>
      </c>
      <c r="N2616" s="27">
        <f>F2616-J2616</f>
        <v/>
      </c>
      <c r="O2616" s="16">
        <f>I2616-H2616</f>
        <v/>
      </c>
      <c r="P2616" s="14">
        <f>F2616*G2616</f>
        <v/>
      </c>
      <c r="Q2616" s="14">
        <f>J2616*G2616</f>
        <v/>
      </c>
      <c r="R2616" s="14">
        <f>K2616-Q2616</f>
        <v/>
      </c>
      <c r="S2616" s="3">
        <f>P2616*Assumptions!$B$3/100</f>
        <v/>
      </c>
      <c r="T2616" s="14">
        <f>R2616-S2616</f>
        <v/>
      </c>
      <c r="U2616" s="14">
        <f>L2616*G2616</f>
        <v/>
      </c>
    </row>
    <row r="2617">
      <c r="A2617" s="12" t="inlineStr">
        <is>
          <t>PO-2022-2615</t>
        </is>
      </c>
      <c r="B2617" s="26" t="n">
        <v>44449</v>
      </c>
      <c r="C2617" s="12" t="inlineStr">
        <is>
          <t>VS24</t>
        </is>
      </c>
      <c r="D2617" s="12" t="inlineStr">
        <is>
          <t>MS Flats</t>
        </is>
      </c>
      <c r="E2617" s="12" t="inlineStr">
        <is>
          <t>N</t>
        </is>
      </c>
      <c r="F2617" s="12" t="n">
        <v>48.89</v>
      </c>
      <c r="G2617" s="17" t="n">
        <v>73404.35000000001</v>
      </c>
      <c r="H2617" s="26" t="n">
        <v>44460</v>
      </c>
      <c r="I2617" s="26" t="n">
        <v>44461</v>
      </c>
      <c r="J2617" s="12" t="n">
        <v>48.48</v>
      </c>
      <c r="K2617" s="17" t="n">
        <v>3588738.67</v>
      </c>
      <c r="L2617" s="12" t="n">
        <v>0</v>
      </c>
      <c r="M2617" s="12" t="n">
        <v>0</v>
      </c>
      <c r="N2617" s="27">
        <f>F2617-J2617</f>
        <v/>
      </c>
      <c r="O2617" s="16">
        <f>I2617-H2617</f>
        <v/>
      </c>
      <c r="P2617" s="14">
        <f>F2617*G2617</f>
        <v/>
      </c>
      <c r="Q2617" s="14">
        <f>J2617*G2617</f>
        <v/>
      </c>
      <c r="R2617" s="14">
        <f>K2617-Q2617</f>
        <v/>
      </c>
      <c r="S2617" s="3">
        <f>P2617*Assumptions!$B$3/100</f>
        <v/>
      </c>
      <c r="T2617" s="14">
        <f>R2617-S2617</f>
        <v/>
      </c>
      <c r="U2617" s="14">
        <f>L2617*G2617</f>
        <v/>
      </c>
    </row>
    <row r="2618">
      <c r="A2618" s="12" t="inlineStr">
        <is>
          <t>PO-2022-2616</t>
        </is>
      </c>
      <c r="B2618" s="26" t="n">
        <v>44760</v>
      </c>
      <c r="C2618" s="12" t="inlineStr">
        <is>
          <t>VS29</t>
        </is>
      </c>
      <c r="D2618" s="12" t="inlineStr">
        <is>
          <t>GI Sheets</t>
        </is>
      </c>
      <c r="E2618" s="12" t="inlineStr">
        <is>
          <t>N</t>
        </is>
      </c>
      <c r="F2618" s="12" t="n">
        <v>43.03</v>
      </c>
      <c r="G2618" s="17" t="n">
        <v>55943.66</v>
      </c>
      <c r="H2618" s="26" t="n">
        <v>44769</v>
      </c>
      <c r="I2618" s="26" t="n">
        <v>44772</v>
      </c>
      <c r="J2618" s="12" t="n">
        <v>42.91</v>
      </c>
      <c r="K2618" s="17" t="n">
        <v>2407255.69</v>
      </c>
      <c r="L2618" s="12" t="n">
        <v>0</v>
      </c>
      <c r="M2618" s="12" t="n">
        <v>0</v>
      </c>
      <c r="N2618" s="27">
        <f>F2618-J2618</f>
        <v/>
      </c>
      <c r="O2618" s="16">
        <f>I2618-H2618</f>
        <v/>
      </c>
      <c r="P2618" s="14">
        <f>F2618*G2618</f>
        <v/>
      </c>
      <c r="Q2618" s="14">
        <f>J2618*G2618</f>
        <v/>
      </c>
      <c r="R2618" s="14">
        <f>K2618-Q2618</f>
        <v/>
      </c>
      <c r="S2618" s="3">
        <f>P2618*Assumptions!$B$3/100</f>
        <v/>
      </c>
      <c r="T2618" s="14">
        <f>R2618-S2618</f>
        <v/>
      </c>
      <c r="U2618" s="14">
        <f>L2618*G2618</f>
        <v/>
      </c>
    </row>
    <row r="2619">
      <c r="A2619" s="12" t="inlineStr">
        <is>
          <t>PO-2022-2617</t>
        </is>
      </c>
      <c r="B2619" s="26" t="n">
        <v>44920</v>
      </c>
      <c r="C2619" s="12" t="inlineStr">
        <is>
          <t>VS13</t>
        </is>
      </c>
      <c r="D2619" s="12" t="inlineStr">
        <is>
          <t>HR Coils</t>
        </is>
      </c>
      <c r="E2619" s="12" t="inlineStr">
        <is>
          <t>N</t>
        </is>
      </c>
      <c r="F2619" s="12" t="n">
        <v>25.01</v>
      </c>
      <c r="G2619" s="17" t="n">
        <v>116185.73</v>
      </c>
      <c r="H2619" s="26" t="n">
        <v>44929</v>
      </c>
      <c r="I2619" s="26" t="n">
        <v>44931</v>
      </c>
      <c r="J2619" s="12" t="n">
        <v>24.8</v>
      </c>
      <c r="K2619" s="17" t="n">
        <v>2905805.11</v>
      </c>
      <c r="L2619" s="12" t="n">
        <v>0</v>
      </c>
      <c r="M2619" s="12" t="n">
        <v>0</v>
      </c>
      <c r="N2619" s="27">
        <f>F2619-J2619</f>
        <v/>
      </c>
      <c r="O2619" s="16">
        <f>I2619-H2619</f>
        <v/>
      </c>
      <c r="P2619" s="14">
        <f>F2619*G2619</f>
        <v/>
      </c>
      <c r="Q2619" s="14">
        <f>J2619*G2619</f>
        <v/>
      </c>
      <c r="R2619" s="14">
        <f>K2619-Q2619</f>
        <v/>
      </c>
      <c r="S2619" s="3">
        <f>P2619*Assumptions!$B$3/100</f>
        <v/>
      </c>
      <c r="T2619" s="14">
        <f>R2619-S2619</f>
        <v/>
      </c>
      <c r="U2619" s="14">
        <f>L2619*G2619</f>
        <v/>
      </c>
    </row>
    <row r="2620">
      <c r="A2620" s="12" t="inlineStr">
        <is>
          <t>PO-2022-2618</t>
        </is>
      </c>
      <c r="B2620" s="26" t="n">
        <v>44297</v>
      </c>
      <c r="C2620" s="12" t="inlineStr">
        <is>
          <t>VS17</t>
        </is>
      </c>
      <c r="D2620" s="12" t="inlineStr">
        <is>
          <t>MS Pipes</t>
        </is>
      </c>
      <c r="E2620" s="12" t="inlineStr">
        <is>
          <t>N</t>
        </is>
      </c>
      <c r="F2620" s="12" t="n">
        <v>22.23</v>
      </c>
      <c r="G2620" s="17" t="n">
        <v>56895.38</v>
      </c>
      <c r="H2620" s="26" t="n">
        <v>44312</v>
      </c>
      <c r="I2620" s="26" t="n">
        <v>44312</v>
      </c>
      <c r="J2620" s="12" t="n">
        <v>22.2</v>
      </c>
      <c r="K2620" s="17" t="n">
        <v>1264784.3</v>
      </c>
      <c r="L2620" s="12" t="n">
        <v>0</v>
      </c>
      <c r="M2620" s="12" t="n">
        <v>0</v>
      </c>
      <c r="N2620" s="27">
        <f>F2620-J2620</f>
        <v/>
      </c>
      <c r="O2620" s="16">
        <f>I2620-H2620</f>
        <v/>
      </c>
      <c r="P2620" s="14">
        <f>F2620*G2620</f>
        <v/>
      </c>
      <c r="Q2620" s="14">
        <f>J2620*G2620</f>
        <v/>
      </c>
      <c r="R2620" s="14">
        <f>K2620-Q2620</f>
        <v/>
      </c>
      <c r="S2620" s="3">
        <f>P2620*Assumptions!$B$3/100</f>
        <v/>
      </c>
      <c r="T2620" s="14">
        <f>R2620-S2620</f>
        <v/>
      </c>
      <c r="U2620" s="14">
        <f>L2620*G2620</f>
        <v/>
      </c>
    </row>
    <row r="2621">
      <c r="A2621" s="12" t="inlineStr">
        <is>
          <t>PO-2022-2619</t>
        </is>
      </c>
      <c r="B2621" s="26" t="n">
        <v>44319</v>
      </c>
      <c r="C2621" s="12" t="inlineStr">
        <is>
          <t>VS30</t>
        </is>
      </c>
      <c r="D2621" s="12" t="inlineStr">
        <is>
          <t>Hex Bars</t>
        </is>
      </c>
      <c r="E2621" s="12" t="inlineStr">
        <is>
          <t>N</t>
        </is>
      </c>
      <c r="F2621" s="12" t="n">
        <v>15.16</v>
      </c>
      <c r="G2621" s="17" t="n">
        <v>76005.33</v>
      </c>
      <c r="H2621" s="26" t="n">
        <v>44326</v>
      </c>
      <c r="I2621" s="26" t="n">
        <v>44329</v>
      </c>
      <c r="J2621" s="12" t="n">
        <v>15.15</v>
      </c>
      <c r="K2621" s="17" t="n">
        <v>1152240.8</v>
      </c>
      <c r="L2621" s="12" t="n">
        <v>0</v>
      </c>
      <c r="M2621" s="12" t="n">
        <v>4</v>
      </c>
      <c r="N2621" s="27">
        <f>F2621-J2621</f>
        <v/>
      </c>
      <c r="O2621" s="16">
        <f>I2621-H2621</f>
        <v/>
      </c>
      <c r="P2621" s="14">
        <f>F2621*G2621</f>
        <v/>
      </c>
      <c r="Q2621" s="14">
        <f>J2621*G2621</f>
        <v/>
      </c>
      <c r="R2621" s="14">
        <f>K2621-Q2621</f>
        <v/>
      </c>
      <c r="S2621" s="3">
        <f>P2621*Assumptions!$B$3/100</f>
        <v/>
      </c>
      <c r="T2621" s="14">
        <f>R2621-S2621</f>
        <v/>
      </c>
      <c r="U2621" s="14">
        <f>L2621*G2621</f>
        <v/>
      </c>
    </row>
    <row r="2622">
      <c r="A2622" s="12" t="inlineStr">
        <is>
          <t>PO-2022-2620</t>
        </is>
      </c>
      <c r="B2622" s="26" t="n">
        <v>44485</v>
      </c>
      <c r="C2622" s="12" t="inlineStr">
        <is>
          <t>VS19</t>
        </is>
      </c>
      <c r="D2622" s="12" t="inlineStr">
        <is>
          <t>CR Sheets</t>
        </is>
      </c>
      <c r="E2622" s="12" t="inlineStr">
        <is>
          <t>Y</t>
        </is>
      </c>
      <c r="F2622" s="12" t="n">
        <v>9.68</v>
      </c>
      <c r="G2622" s="17" t="n">
        <v>106786.18</v>
      </c>
      <c r="H2622" s="26" t="n">
        <v>44495</v>
      </c>
      <c r="I2622" s="26" t="n">
        <v>44497</v>
      </c>
      <c r="J2622" s="12" t="n">
        <v>9.210000000000001</v>
      </c>
      <c r="K2622" s="17" t="n">
        <v>1033690.22</v>
      </c>
      <c r="L2622" s="12" t="n">
        <v>0.42</v>
      </c>
      <c r="M2622" s="12" t="n">
        <v>23</v>
      </c>
      <c r="N2622" s="27">
        <f>F2622-J2622</f>
        <v/>
      </c>
      <c r="O2622" s="16">
        <f>I2622-H2622</f>
        <v/>
      </c>
      <c r="P2622" s="14">
        <f>F2622*G2622</f>
        <v/>
      </c>
      <c r="Q2622" s="14">
        <f>J2622*G2622</f>
        <v/>
      </c>
      <c r="R2622" s="14">
        <f>K2622-Q2622</f>
        <v/>
      </c>
      <c r="S2622" s="3">
        <f>P2622*Assumptions!$B$3/100</f>
        <v/>
      </c>
      <c r="T2622" s="14">
        <f>R2622-S2622</f>
        <v/>
      </c>
      <c r="U2622" s="14">
        <f>L2622*G2622</f>
        <v/>
      </c>
    </row>
    <row r="2623">
      <c r="A2623" s="12" t="inlineStr">
        <is>
          <t>PO-2022-2621</t>
        </is>
      </c>
      <c r="B2623" s="26" t="n">
        <v>45281</v>
      </c>
      <c r="C2623" s="12" t="inlineStr">
        <is>
          <t>VS05</t>
        </is>
      </c>
      <c r="D2623" s="12" t="inlineStr">
        <is>
          <t>Fasteners &amp; Fittings</t>
        </is>
      </c>
      <c r="E2623" s="12" t="inlineStr">
        <is>
          <t>N</t>
        </is>
      </c>
      <c r="F2623" s="12" t="n">
        <v>18.04</v>
      </c>
      <c r="G2623" s="17" t="n">
        <v>93318.75</v>
      </c>
      <c r="H2623" s="26" t="n">
        <v>45291</v>
      </c>
      <c r="I2623" s="26" t="n">
        <v>45293</v>
      </c>
      <c r="J2623" s="12" t="n">
        <v>17.9</v>
      </c>
      <c r="K2623" s="17" t="n">
        <v>1683470.25</v>
      </c>
      <c r="L2623" s="12" t="n">
        <v>0</v>
      </c>
      <c r="M2623" s="12" t="n">
        <v>12</v>
      </c>
      <c r="N2623" s="27">
        <f>F2623-J2623</f>
        <v/>
      </c>
      <c r="O2623" s="16">
        <f>I2623-H2623</f>
        <v/>
      </c>
      <c r="P2623" s="14">
        <f>F2623*G2623</f>
        <v/>
      </c>
      <c r="Q2623" s="14">
        <f>J2623*G2623</f>
        <v/>
      </c>
      <c r="R2623" s="14">
        <f>K2623-Q2623</f>
        <v/>
      </c>
      <c r="S2623" s="3">
        <f>P2623*Assumptions!$B$3/100</f>
        <v/>
      </c>
      <c r="T2623" s="14">
        <f>R2623-S2623</f>
        <v/>
      </c>
      <c r="U2623" s="14">
        <f>L2623*G2623</f>
        <v/>
      </c>
    </row>
    <row r="2624">
      <c r="A2624" s="12" t="inlineStr">
        <is>
          <t>PO-2022-2622</t>
        </is>
      </c>
      <c r="B2624" s="26" t="n">
        <v>44608</v>
      </c>
      <c r="C2624" s="12" t="inlineStr">
        <is>
          <t>VS18</t>
        </is>
      </c>
      <c r="D2624" s="12" t="inlineStr">
        <is>
          <t>Structural Steel</t>
        </is>
      </c>
      <c r="E2624" s="12" t="inlineStr">
        <is>
          <t>N</t>
        </is>
      </c>
      <c r="F2624" s="12" t="n">
        <v>48.21</v>
      </c>
      <c r="G2624" s="17" t="n">
        <v>65222.96</v>
      </c>
      <c r="H2624" s="26" t="n">
        <v>44618</v>
      </c>
      <c r="I2624" s="26" t="n">
        <v>44618</v>
      </c>
      <c r="J2624" s="12" t="n">
        <v>48.01</v>
      </c>
      <c r="K2624" s="17" t="n">
        <v>3144398.9</v>
      </c>
      <c r="L2624" s="12" t="n">
        <v>0</v>
      </c>
      <c r="M2624" s="12" t="n">
        <v>25</v>
      </c>
      <c r="N2624" s="27">
        <f>F2624-J2624</f>
        <v/>
      </c>
      <c r="O2624" s="16">
        <f>I2624-H2624</f>
        <v/>
      </c>
      <c r="P2624" s="14">
        <f>F2624*G2624</f>
        <v/>
      </c>
      <c r="Q2624" s="14">
        <f>J2624*G2624</f>
        <v/>
      </c>
      <c r="R2624" s="14">
        <f>K2624-Q2624</f>
        <v/>
      </c>
      <c r="S2624" s="3">
        <f>P2624*Assumptions!$B$3/100</f>
        <v/>
      </c>
      <c r="T2624" s="14">
        <f>R2624-S2624</f>
        <v/>
      </c>
      <c r="U2624" s="14">
        <f>L2624*G2624</f>
        <v/>
      </c>
    </row>
    <row r="2625">
      <c r="A2625" s="12" t="inlineStr">
        <is>
          <t>PO-2022-2623</t>
        </is>
      </c>
      <c r="B2625" s="26" t="n">
        <v>44648</v>
      </c>
      <c r="C2625" s="12" t="inlineStr">
        <is>
          <t>VS29</t>
        </is>
      </c>
      <c r="D2625" s="12" t="inlineStr">
        <is>
          <t>Square/Rect Tubes</t>
        </is>
      </c>
      <c r="E2625" s="12" t="inlineStr">
        <is>
          <t>N</t>
        </is>
      </c>
      <c r="F2625" s="12" t="n">
        <v>1.84</v>
      </c>
      <c r="G2625" s="17" t="n">
        <v>62581.57</v>
      </c>
      <c r="H2625" s="26" t="n">
        <v>44658</v>
      </c>
      <c r="I2625" s="26" t="n">
        <v>44661</v>
      </c>
      <c r="J2625" s="12" t="n">
        <v>1.83</v>
      </c>
      <c r="K2625" s="17" t="n">
        <v>115150.09</v>
      </c>
      <c r="L2625" s="12" t="n">
        <v>0</v>
      </c>
      <c r="M2625" s="12" t="n">
        <v>3</v>
      </c>
      <c r="N2625" s="27">
        <f>F2625-J2625</f>
        <v/>
      </c>
      <c r="O2625" s="16">
        <f>I2625-H2625</f>
        <v/>
      </c>
      <c r="P2625" s="14">
        <f>F2625*G2625</f>
        <v/>
      </c>
      <c r="Q2625" s="14">
        <f>J2625*G2625</f>
        <v/>
      </c>
      <c r="R2625" s="14">
        <f>K2625-Q2625</f>
        <v/>
      </c>
      <c r="S2625" s="3">
        <f>P2625*Assumptions!$B$3/100</f>
        <v/>
      </c>
      <c r="T2625" s="14">
        <f>R2625-S2625</f>
        <v/>
      </c>
      <c r="U2625" s="14">
        <f>L2625*G2625</f>
        <v/>
      </c>
    </row>
    <row r="2626">
      <c r="A2626" s="12" t="inlineStr">
        <is>
          <t>PO-2022-2624</t>
        </is>
      </c>
      <c r="B2626" s="26" t="n">
        <v>44984</v>
      </c>
      <c r="C2626" s="12" t="inlineStr">
        <is>
          <t>VS15</t>
        </is>
      </c>
      <c r="D2626" s="12" t="inlineStr">
        <is>
          <t>Spring Steel</t>
        </is>
      </c>
      <c r="E2626" s="12" t="inlineStr">
        <is>
          <t>N</t>
        </is>
      </c>
      <c r="F2626" s="12" t="n">
        <v>25.98</v>
      </c>
      <c r="G2626" s="17" t="n">
        <v>115048.22</v>
      </c>
      <c r="H2626" s="26" t="n">
        <v>44988</v>
      </c>
      <c r="I2626" s="26" t="n">
        <v>44990</v>
      </c>
      <c r="J2626" s="12" t="n">
        <v>25.85</v>
      </c>
      <c r="K2626" s="17" t="n">
        <v>2988952.76</v>
      </c>
      <c r="L2626" s="12" t="n">
        <v>0</v>
      </c>
      <c r="M2626" s="12" t="n">
        <v>21</v>
      </c>
      <c r="N2626" s="27">
        <f>F2626-J2626</f>
        <v/>
      </c>
      <c r="O2626" s="16">
        <f>I2626-H2626</f>
        <v/>
      </c>
      <c r="P2626" s="14">
        <f>F2626*G2626</f>
        <v/>
      </c>
      <c r="Q2626" s="14">
        <f>J2626*G2626</f>
        <v/>
      </c>
      <c r="R2626" s="14">
        <f>K2626-Q2626</f>
        <v/>
      </c>
      <c r="S2626" s="3">
        <f>P2626*Assumptions!$B$3/100</f>
        <v/>
      </c>
      <c r="T2626" s="14">
        <f>R2626-S2626</f>
        <v/>
      </c>
      <c r="U2626" s="14">
        <f>L2626*G2626</f>
        <v/>
      </c>
    </row>
    <row r="2627">
      <c r="A2627" s="12" t="inlineStr">
        <is>
          <t>PO-2022-2625</t>
        </is>
      </c>
      <c r="B2627" s="26" t="n">
        <v>44745</v>
      </c>
      <c r="C2627" s="12" t="inlineStr">
        <is>
          <t>VS24</t>
        </is>
      </c>
      <c r="D2627" s="12" t="inlineStr">
        <is>
          <t>Hex Bars</t>
        </is>
      </c>
      <c r="E2627" s="12" t="inlineStr">
        <is>
          <t>N</t>
        </is>
      </c>
      <c r="F2627" s="12" t="n">
        <v>13.49</v>
      </c>
      <c r="G2627" s="17" t="n">
        <v>52412.59</v>
      </c>
      <c r="H2627" s="26" t="n">
        <v>44758</v>
      </c>
      <c r="I2627" s="26" t="n">
        <v>44761</v>
      </c>
      <c r="J2627" s="12" t="n">
        <v>13.48</v>
      </c>
      <c r="K2627" s="17" t="n">
        <v>707045.84</v>
      </c>
      <c r="L2627" s="12" t="n">
        <v>0</v>
      </c>
      <c r="M2627" s="12" t="n">
        <v>9</v>
      </c>
      <c r="N2627" s="27">
        <f>F2627-J2627</f>
        <v/>
      </c>
      <c r="O2627" s="16">
        <f>I2627-H2627</f>
        <v/>
      </c>
      <c r="P2627" s="14">
        <f>F2627*G2627</f>
        <v/>
      </c>
      <c r="Q2627" s="14">
        <f>J2627*G2627</f>
        <v/>
      </c>
      <c r="R2627" s="14">
        <f>K2627-Q2627</f>
        <v/>
      </c>
      <c r="S2627" s="3">
        <f>P2627*Assumptions!$B$3/100</f>
        <v/>
      </c>
      <c r="T2627" s="14">
        <f>R2627-S2627</f>
        <v/>
      </c>
      <c r="U2627" s="14">
        <f>L2627*G2627</f>
        <v/>
      </c>
    </row>
    <row r="2628">
      <c r="A2628" s="12" t="inlineStr">
        <is>
          <t>PO-2022-2626</t>
        </is>
      </c>
      <c r="B2628" s="26" t="n">
        <v>45254</v>
      </c>
      <c r="C2628" s="12" t="inlineStr">
        <is>
          <t>VS20</t>
        </is>
      </c>
      <c r="D2628" s="12" t="inlineStr">
        <is>
          <t>MS Rods</t>
        </is>
      </c>
      <c r="E2628" s="12" t="inlineStr">
        <is>
          <t>N</t>
        </is>
      </c>
      <c r="F2628" s="12" t="n">
        <v>1.99</v>
      </c>
      <c r="G2628" s="17" t="n">
        <v>87536.69</v>
      </c>
      <c r="H2628" s="26" t="n">
        <v>45258</v>
      </c>
      <c r="I2628" s="26" t="n">
        <v>45260</v>
      </c>
      <c r="J2628" s="12" t="n">
        <v>1.98</v>
      </c>
      <c r="K2628" s="17" t="n">
        <v>174198.01</v>
      </c>
      <c r="L2628" s="12" t="n">
        <v>0</v>
      </c>
      <c r="M2628" s="12" t="n">
        <v>0</v>
      </c>
      <c r="N2628" s="27">
        <f>F2628-J2628</f>
        <v/>
      </c>
      <c r="O2628" s="16">
        <f>I2628-H2628</f>
        <v/>
      </c>
      <c r="P2628" s="14">
        <f>F2628*G2628</f>
        <v/>
      </c>
      <c r="Q2628" s="14">
        <f>J2628*G2628</f>
        <v/>
      </c>
      <c r="R2628" s="14">
        <f>K2628-Q2628</f>
        <v/>
      </c>
      <c r="S2628" s="3">
        <f>P2628*Assumptions!$B$3/100</f>
        <v/>
      </c>
      <c r="T2628" s="14">
        <f>R2628-S2628</f>
        <v/>
      </c>
      <c r="U2628" s="14">
        <f>L2628*G2628</f>
        <v/>
      </c>
    </row>
    <row r="2629">
      <c r="A2629" s="12" t="inlineStr">
        <is>
          <t>PO-2022-2627</t>
        </is>
      </c>
      <c r="B2629" s="26" t="n">
        <v>44691</v>
      </c>
      <c r="C2629" s="12" t="inlineStr">
        <is>
          <t>VS19</t>
        </is>
      </c>
      <c r="D2629" s="12" t="inlineStr">
        <is>
          <t>CR Sheets</t>
        </is>
      </c>
      <c r="E2629" s="12" t="inlineStr">
        <is>
          <t>Y</t>
        </is>
      </c>
      <c r="F2629" s="12" t="n">
        <v>40.68</v>
      </c>
      <c r="G2629" s="17" t="n">
        <v>105903.48</v>
      </c>
      <c r="H2629" s="26" t="n">
        <v>44704</v>
      </c>
      <c r="I2629" s="26" t="n">
        <v>44706</v>
      </c>
      <c r="J2629" s="12" t="n">
        <v>39.23</v>
      </c>
      <c r="K2629" s="17" t="n">
        <v>4308153.57</v>
      </c>
      <c r="L2629" s="12" t="n">
        <v>1.08</v>
      </c>
      <c r="M2629" s="12" t="n">
        <v>17</v>
      </c>
      <c r="N2629" s="27">
        <f>F2629-J2629</f>
        <v/>
      </c>
      <c r="O2629" s="16">
        <f>I2629-H2629</f>
        <v/>
      </c>
      <c r="P2629" s="14">
        <f>F2629*G2629</f>
        <v/>
      </c>
      <c r="Q2629" s="14">
        <f>J2629*G2629</f>
        <v/>
      </c>
      <c r="R2629" s="14">
        <f>K2629-Q2629</f>
        <v/>
      </c>
      <c r="S2629" s="3">
        <f>P2629*Assumptions!$B$3/100</f>
        <v/>
      </c>
      <c r="T2629" s="14">
        <f>R2629-S2629</f>
        <v/>
      </c>
      <c r="U2629" s="14">
        <f>L2629*G2629</f>
        <v/>
      </c>
    </row>
    <row r="2630">
      <c r="A2630" s="12" t="inlineStr">
        <is>
          <t>PO-2022-2628</t>
        </is>
      </c>
      <c r="B2630" s="26" t="n">
        <v>45282</v>
      </c>
      <c r="C2630" s="12" t="inlineStr">
        <is>
          <t>VS12</t>
        </is>
      </c>
      <c r="D2630" s="12" t="inlineStr">
        <is>
          <t>Structural Steel</t>
        </is>
      </c>
      <c r="E2630" s="12" t="inlineStr">
        <is>
          <t>N</t>
        </is>
      </c>
      <c r="F2630" s="12" t="n">
        <v>48.9</v>
      </c>
      <c r="G2630" s="17" t="n">
        <v>47062.93</v>
      </c>
      <c r="H2630" s="26" t="n">
        <v>45285</v>
      </c>
      <c r="I2630" s="26" t="n">
        <v>45292</v>
      </c>
      <c r="J2630" s="12" t="n">
        <v>46.5</v>
      </c>
      <c r="K2630" s="17" t="n">
        <v>2301377.28</v>
      </c>
      <c r="L2630" s="12" t="n">
        <v>0.67</v>
      </c>
      <c r="M2630" s="12" t="n">
        <v>0</v>
      </c>
      <c r="N2630" s="27">
        <f>F2630-J2630</f>
        <v/>
      </c>
      <c r="O2630" s="16">
        <f>I2630-H2630</f>
        <v/>
      </c>
      <c r="P2630" s="14">
        <f>F2630*G2630</f>
        <v/>
      </c>
      <c r="Q2630" s="14">
        <f>J2630*G2630</f>
        <v/>
      </c>
      <c r="R2630" s="14">
        <f>K2630-Q2630</f>
        <v/>
      </c>
      <c r="S2630" s="3">
        <f>P2630*Assumptions!$B$3/100</f>
        <v/>
      </c>
      <c r="T2630" s="14">
        <f>R2630-S2630</f>
        <v/>
      </c>
      <c r="U2630" s="14">
        <f>L2630*G2630</f>
        <v/>
      </c>
    </row>
    <row r="2631">
      <c r="A2631" s="12" t="inlineStr">
        <is>
          <t>PO-2022-2629</t>
        </is>
      </c>
      <c r="B2631" s="26" t="n">
        <v>44867</v>
      </c>
      <c r="C2631" s="12" t="inlineStr">
        <is>
          <t>VS27</t>
        </is>
      </c>
      <c r="D2631" s="12" t="inlineStr">
        <is>
          <t>MS Flats</t>
        </is>
      </c>
      <c r="E2631" s="12" t="inlineStr">
        <is>
          <t>N</t>
        </is>
      </c>
      <c r="F2631" s="12" t="n">
        <v>1.07</v>
      </c>
      <c r="G2631" s="17" t="n">
        <v>59506.44</v>
      </c>
      <c r="H2631" s="26" t="n">
        <v>44871</v>
      </c>
      <c r="I2631" s="26" t="n">
        <v>44872</v>
      </c>
      <c r="J2631" s="12" t="n">
        <v>1.06</v>
      </c>
      <c r="K2631" s="17" t="n">
        <v>63671.89</v>
      </c>
      <c r="L2631" s="12" t="n">
        <v>0</v>
      </c>
      <c r="M2631" s="12" t="n">
        <v>23</v>
      </c>
      <c r="N2631" s="27">
        <f>F2631-J2631</f>
        <v/>
      </c>
      <c r="O2631" s="16">
        <f>I2631-H2631</f>
        <v/>
      </c>
      <c r="P2631" s="14">
        <f>F2631*G2631</f>
        <v/>
      </c>
      <c r="Q2631" s="14">
        <f>J2631*G2631</f>
        <v/>
      </c>
      <c r="R2631" s="14">
        <f>K2631-Q2631</f>
        <v/>
      </c>
      <c r="S2631" s="3">
        <f>P2631*Assumptions!$B$3/100</f>
        <v/>
      </c>
      <c r="T2631" s="14">
        <f>R2631-S2631</f>
        <v/>
      </c>
      <c r="U2631" s="14">
        <f>L2631*G2631</f>
        <v/>
      </c>
    </row>
    <row r="2632">
      <c r="A2632" s="12" t="inlineStr">
        <is>
          <t>PO-2022-2630</t>
        </is>
      </c>
      <c r="B2632" s="26" t="n">
        <v>44824</v>
      </c>
      <c r="C2632" s="12" t="inlineStr">
        <is>
          <t>VS28</t>
        </is>
      </c>
      <c r="D2632" s="12" t="inlineStr">
        <is>
          <t>CR Sheets</t>
        </is>
      </c>
      <c r="E2632" s="12" t="inlineStr">
        <is>
          <t>N</t>
        </is>
      </c>
      <c r="F2632" s="12" t="n">
        <v>35.11</v>
      </c>
      <c r="G2632" s="17" t="n">
        <v>65395.62</v>
      </c>
      <c r="H2632" s="26" t="n">
        <v>44830</v>
      </c>
      <c r="I2632" s="26" t="n">
        <v>44832</v>
      </c>
      <c r="J2632" s="12" t="n">
        <v>35.05</v>
      </c>
      <c r="K2632" s="17" t="n">
        <v>2296040.22</v>
      </c>
      <c r="L2632" s="12" t="n">
        <v>0</v>
      </c>
      <c r="M2632" s="12" t="n">
        <v>0</v>
      </c>
      <c r="N2632" s="27">
        <f>F2632-J2632</f>
        <v/>
      </c>
      <c r="O2632" s="16">
        <f>I2632-H2632</f>
        <v/>
      </c>
      <c r="P2632" s="14">
        <f>F2632*G2632</f>
        <v/>
      </c>
      <c r="Q2632" s="14">
        <f>J2632*G2632</f>
        <v/>
      </c>
      <c r="R2632" s="14">
        <f>K2632-Q2632</f>
        <v/>
      </c>
      <c r="S2632" s="3">
        <f>P2632*Assumptions!$B$3/100</f>
        <v/>
      </c>
      <c r="T2632" s="14">
        <f>R2632-S2632</f>
        <v/>
      </c>
      <c r="U2632" s="14">
        <f>L2632*G2632</f>
        <v/>
      </c>
    </row>
    <row r="2633">
      <c r="A2633" s="12" t="inlineStr">
        <is>
          <t>PO-2022-2631</t>
        </is>
      </c>
      <c r="B2633" s="26" t="n">
        <v>45020</v>
      </c>
      <c r="C2633" s="12" t="inlineStr">
        <is>
          <t>VS23</t>
        </is>
      </c>
      <c r="D2633" s="12" t="inlineStr">
        <is>
          <t>ERW Pipes</t>
        </is>
      </c>
      <c r="E2633" s="12" t="inlineStr">
        <is>
          <t>N</t>
        </is>
      </c>
      <c r="F2633" s="12" t="n">
        <v>19.62</v>
      </c>
      <c r="G2633" s="17" t="n">
        <v>91846.44</v>
      </c>
      <c r="H2633" s="26" t="n">
        <v>45026</v>
      </c>
      <c r="I2633" s="26" t="n">
        <v>45029</v>
      </c>
      <c r="J2633" s="12" t="n">
        <v>19.59</v>
      </c>
      <c r="K2633" s="17" t="n">
        <v>1802027.15</v>
      </c>
      <c r="L2633" s="12" t="n">
        <v>0</v>
      </c>
      <c r="M2633" s="12" t="n">
        <v>0</v>
      </c>
      <c r="N2633" s="27">
        <f>F2633-J2633</f>
        <v/>
      </c>
      <c r="O2633" s="16">
        <f>I2633-H2633</f>
        <v/>
      </c>
      <c r="P2633" s="14">
        <f>F2633*G2633</f>
        <v/>
      </c>
      <c r="Q2633" s="14">
        <f>J2633*G2633</f>
        <v/>
      </c>
      <c r="R2633" s="14">
        <f>K2633-Q2633</f>
        <v/>
      </c>
      <c r="S2633" s="3">
        <f>P2633*Assumptions!$B$3/100</f>
        <v/>
      </c>
      <c r="T2633" s="14">
        <f>R2633-S2633</f>
        <v/>
      </c>
      <c r="U2633" s="14">
        <f>L2633*G2633</f>
        <v/>
      </c>
    </row>
    <row r="2634">
      <c r="A2634" s="12" t="inlineStr">
        <is>
          <t>PO-2022-2632</t>
        </is>
      </c>
      <c r="B2634" s="26" t="n">
        <v>44862</v>
      </c>
      <c r="C2634" s="12" t="inlineStr">
        <is>
          <t>VS03</t>
        </is>
      </c>
      <c r="D2634" s="12" t="inlineStr">
        <is>
          <t>MS Flats</t>
        </is>
      </c>
      <c r="E2634" s="12" t="inlineStr">
        <is>
          <t>N</t>
        </is>
      </c>
      <c r="F2634" s="12" t="n">
        <v>18.49</v>
      </c>
      <c r="G2634" s="17" t="n">
        <v>105996.27</v>
      </c>
      <c r="H2634" s="26" t="n">
        <v>44873</v>
      </c>
      <c r="I2634" s="26" t="n">
        <v>44881</v>
      </c>
      <c r="J2634" s="12" t="n">
        <v>17.99</v>
      </c>
      <c r="K2634" s="17" t="n">
        <v>1959871.03</v>
      </c>
      <c r="L2634" s="12" t="n">
        <v>0.3</v>
      </c>
      <c r="M2634" s="12" t="n">
        <v>0</v>
      </c>
      <c r="N2634" s="27">
        <f>F2634-J2634</f>
        <v/>
      </c>
      <c r="O2634" s="16">
        <f>I2634-H2634</f>
        <v/>
      </c>
      <c r="P2634" s="14">
        <f>F2634*G2634</f>
        <v/>
      </c>
      <c r="Q2634" s="14">
        <f>J2634*G2634</f>
        <v/>
      </c>
      <c r="R2634" s="14">
        <f>K2634-Q2634</f>
        <v/>
      </c>
      <c r="S2634" s="3">
        <f>P2634*Assumptions!$B$3/100</f>
        <v/>
      </c>
      <c r="T2634" s="14">
        <f>R2634-S2634</f>
        <v/>
      </c>
      <c r="U2634" s="14">
        <f>L2634*G2634</f>
        <v/>
      </c>
    </row>
    <row r="2635">
      <c r="A2635" s="12" t="inlineStr">
        <is>
          <t>PO-2022-2633</t>
        </is>
      </c>
      <c r="B2635" s="26" t="n">
        <v>44879</v>
      </c>
      <c r="C2635" s="12" t="inlineStr">
        <is>
          <t>VS32</t>
        </is>
      </c>
      <c r="D2635" s="12" t="inlineStr">
        <is>
          <t>HR Coils</t>
        </is>
      </c>
      <c r="E2635" s="12" t="inlineStr">
        <is>
          <t>N</t>
        </is>
      </c>
      <c r="F2635" s="12" t="n">
        <v>22.11</v>
      </c>
      <c r="G2635" s="17" t="n">
        <v>87182.64999999999</v>
      </c>
      <c r="H2635" s="26" t="n">
        <v>44893</v>
      </c>
      <c r="I2635" s="26" t="n">
        <v>44896</v>
      </c>
      <c r="J2635" s="12" t="n">
        <v>22.05</v>
      </c>
      <c r="K2635" s="17" t="n">
        <v>1927608.39</v>
      </c>
      <c r="L2635" s="12" t="n">
        <v>0</v>
      </c>
      <c r="M2635" s="12" t="n">
        <v>9</v>
      </c>
      <c r="N2635" s="27">
        <f>F2635-J2635</f>
        <v/>
      </c>
      <c r="O2635" s="16">
        <f>I2635-H2635</f>
        <v/>
      </c>
      <c r="P2635" s="14">
        <f>F2635*G2635</f>
        <v/>
      </c>
      <c r="Q2635" s="14">
        <f>J2635*G2635</f>
        <v/>
      </c>
      <c r="R2635" s="14">
        <f>K2635-Q2635</f>
        <v/>
      </c>
      <c r="S2635" s="3">
        <f>P2635*Assumptions!$B$3/100</f>
        <v/>
      </c>
      <c r="T2635" s="14">
        <f>R2635-S2635</f>
        <v/>
      </c>
      <c r="U2635" s="14">
        <f>L2635*G2635</f>
        <v/>
      </c>
    </row>
    <row r="2636">
      <c r="A2636" s="12" t="inlineStr">
        <is>
          <t>PO-2022-2634</t>
        </is>
      </c>
      <c r="B2636" s="26" t="n">
        <v>44353</v>
      </c>
      <c r="C2636" s="12" t="inlineStr">
        <is>
          <t>VS07</t>
        </is>
      </c>
      <c r="D2636" s="12" t="inlineStr">
        <is>
          <t>Square/Rect Tubes</t>
        </is>
      </c>
      <c r="E2636" s="12" t="inlineStr">
        <is>
          <t>N</t>
        </is>
      </c>
      <c r="F2636" s="12" t="n">
        <v>12.33</v>
      </c>
      <c r="G2636" s="17" t="n">
        <v>109991.37</v>
      </c>
      <c r="H2636" s="26" t="n">
        <v>44359</v>
      </c>
      <c r="I2636" s="26" t="n">
        <v>44359</v>
      </c>
      <c r="J2636" s="12" t="n">
        <v>12.26</v>
      </c>
      <c r="K2636" s="17" t="n">
        <v>1356193.59</v>
      </c>
      <c r="L2636" s="12" t="n">
        <v>0</v>
      </c>
      <c r="M2636" s="12" t="n">
        <v>0</v>
      </c>
      <c r="N2636" s="27">
        <f>F2636-J2636</f>
        <v/>
      </c>
      <c r="O2636" s="16">
        <f>I2636-H2636</f>
        <v/>
      </c>
      <c r="P2636" s="14">
        <f>F2636*G2636</f>
        <v/>
      </c>
      <c r="Q2636" s="14">
        <f>J2636*G2636</f>
        <v/>
      </c>
      <c r="R2636" s="14">
        <f>K2636-Q2636</f>
        <v/>
      </c>
      <c r="S2636" s="3">
        <f>P2636*Assumptions!$B$3/100</f>
        <v/>
      </c>
      <c r="T2636" s="14">
        <f>R2636-S2636</f>
        <v/>
      </c>
      <c r="U2636" s="14">
        <f>L2636*G2636</f>
        <v/>
      </c>
    </row>
    <row r="2637">
      <c r="A2637" s="12" t="inlineStr">
        <is>
          <t>PO-2022-2635</t>
        </is>
      </c>
      <c r="B2637" s="26" t="n">
        <v>45153</v>
      </c>
      <c r="C2637" s="12" t="inlineStr">
        <is>
          <t>VS27</t>
        </is>
      </c>
      <c r="D2637" s="12" t="inlineStr">
        <is>
          <t>Spring Steel</t>
        </is>
      </c>
      <c r="E2637" s="12" t="inlineStr">
        <is>
          <t>N</t>
        </is>
      </c>
      <c r="F2637" s="12" t="n">
        <v>49.8</v>
      </c>
      <c r="G2637" s="17" t="n">
        <v>50445.3</v>
      </c>
      <c r="H2637" s="26" t="n">
        <v>45166</v>
      </c>
      <c r="I2637" s="26" t="n">
        <v>45167</v>
      </c>
      <c r="J2637" s="12" t="n">
        <v>49.46</v>
      </c>
      <c r="K2637" s="17" t="n">
        <v>2512175.94</v>
      </c>
      <c r="L2637" s="12" t="n">
        <v>0</v>
      </c>
      <c r="M2637" s="12" t="n">
        <v>22</v>
      </c>
      <c r="N2637" s="27">
        <f>F2637-J2637</f>
        <v/>
      </c>
      <c r="O2637" s="16">
        <f>I2637-H2637</f>
        <v/>
      </c>
      <c r="P2637" s="14">
        <f>F2637*G2637</f>
        <v/>
      </c>
      <c r="Q2637" s="14">
        <f>J2637*G2637</f>
        <v/>
      </c>
      <c r="R2637" s="14">
        <f>K2637-Q2637</f>
        <v/>
      </c>
      <c r="S2637" s="3">
        <f>P2637*Assumptions!$B$3/100</f>
        <v/>
      </c>
      <c r="T2637" s="14">
        <f>R2637-S2637</f>
        <v/>
      </c>
      <c r="U2637" s="14">
        <f>L2637*G2637</f>
        <v/>
      </c>
    </row>
    <row r="2638">
      <c r="A2638" s="12" t="inlineStr">
        <is>
          <t>PO-2022-2636</t>
        </is>
      </c>
      <c r="B2638" s="26" t="n">
        <v>45100</v>
      </c>
      <c r="C2638" s="12" t="inlineStr">
        <is>
          <t>VS09</t>
        </is>
      </c>
      <c r="D2638" s="12" t="inlineStr">
        <is>
          <t>HR Coils</t>
        </is>
      </c>
      <c r="E2638" s="12" t="inlineStr">
        <is>
          <t>Y</t>
        </is>
      </c>
      <c r="F2638" s="12" t="n">
        <v>37.16</v>
      </c>
      <c r="G2638" s="17" t="n">
        <v>61385.28</v>
      </c>
      <c r="H2638" s="26" t="n">
        <v>45104</v>
      </c>
      <c r="I2638" s="26" t="n">
        <v>45106</v>
      </c>
      <c r="J2638" s="12" t="n">
        <v>36.83</v>
      </c>
      <c r="K2638" s="17" t="n">
        <v>2281077</v>
      </c>
      <c r="L2638" s="12" t="n">
        <v>0</v>
      </c>
      <c r="M2638" s="12" t="n">
        <v>20</v>
      </c>
      <c r="N2638" s="27">
        <f>F2638-J2638</f>
        <v/>
      </c>
      <c r="O2638" s="16">
        <f>I2638-H2638</f>
        <v/>
      </c>
      <c r="P2638" s="14">
        <f>F2638*G2638</f>
        <v/>
      </c>
      <c r="Q2638" s="14">
        <f>J2638*G2638</f>
        <v/>
      </c>
      <c r="R2638" s="14">
        <f>K2638-Q2638</f>
        <v/>
      </c>
      <c r="S2638" s="3">
        <f>P2638*Assumptions!$B$3/100</f>
        <v/>
      </c>
      <c r="T2638" s="14">
        <f>R2638-S2638</f>
        <v/>
      </c>
      <c r="U2638" s="14">
        <f>L2638*G2638</f>
        <v/>
      </c>
    </row>
    <row r="2639">
      <c r="A2639" s="12" t="inlineStr">
        <is>
          <t>PO-2022-2637</t>
        </is>
      </c>
      <c r="B2639" s="26" t="n">
        <v>44271</v>
      </c>
      <c r="C2639" s="12" t="inlineStr">
        <is>
          <t>VS17</t>
        </is>
      </c>
      <c r="D2639" s="12" t="inlineStr">
        <is>
          <t>MS Pipes</t>
        </is>
      </c>
      <c r="E2639" s="12" t="inlineStr">
        <is>
          <t>N</t>
        </is>
      </c>
      <c r="F2639" s="12" t="n">
        <v>45.99</v>
      </c>
      <c r="G2639" s="17" t="n">
        <v>75685.36</v>
      </c>
      <c r="H2639" s="26" t="n">
        <v>44278</v>
      </c>
      <c r="I2639" s="26" t="n">
        <v>44281</v>
      </c>
      <c r="J2639" s="12" t="n">
        <v>45.71</v>
      </c>
      <c r="K2639" s="17" t="n">
        <v>3480769.71</v>
      </c>
      <c r="L2639" s="12" t="n">
        <v>0</v>
      </c>
      <c r="M2639" s="12" t="n">
        <v>7</v>
      </c>
      <c r="N2639" s="27">
        <f>F2639-J2639</f>
        <v/>
      </c>
      <c r="O2639" s="16">
        <f>I2639-H2639</f>
        <v/>
      </c>
      <c r="P2639" s="14">
        <f>F2639*G2639</f>
        <v/>
      </c>
      <c r="Q2639" s="14">
        <f>J2639*G2639</f>
        <v/>
      </c>
      <c r="R2639" s="14">
        <f>K2639-Q2639</f>
        <v/>
      </c>
      <c r="S2639" s="3">
        <f>P2639*Assumptions!$B$3/100</f>
        <v/>
      </c>
      <c r="T2639" s="14">
        <f>R2639-S2639</f>
        <v/>
      </c>
      <c r="U2639" s="14">
        <f>L2639*G2639</f>
        <v/>
      </c>
    </row>
    <row r="2640">
      <c r="A2640" s="12" t="inlineStr">
        <is>
          <t>PO-2022-2638</t>
        </is>
      </c>
      <c r="B2640" s="26" t="n">
        <v>45118</v>
      </c>
      <c r="C2640" s="12" t="inlineStr">
        <is>
          <t>VS14</t>
        </is>
      </c>
      <c r="D2640" s="12" t="inlineStr">
        <is>
          <t>SS Pipes</t>
        </is>
      </c>
      <c r="E2640" s="12" t="inlineStr">
        <is>
          <t>N</t>
        </is>
      </c>
      <c r="F2640" s="12" t="n">
        <v>17.7</v>
      </c>
      <c r="G2640" s="17" t="n">
        <v>62753.21</v>
      </c>
      <c r="H2640" s="26" t="n">
        <v>45122</v>
      </c>
      <c r="I2640" s="26" t="n">
        <v>45125</v>
      </c>
      <c r="J2640" s="12" t="n">
        <v>17.59</v>
      </c>
      <c r="K2640" s="17" t="n">
        <v>1110731.82</v>
      </c>
      <c r="L2640" s="12" t="n">
        <v>0</v>
      </c>
      <c r="M2640" s="12" t="n">
        <v>0</v>
      </c>
      <c r="N2640" s="27">
        <f>F2640-J2640</f>
        <v/>
      </c>
      <c r="O2640" s="16">
        <f>I2640-H2640</f>
        <v/>
      </c>
      <c r="P2640" s="14">
        <f>F2640*G2640</f>
        <v/>
      </c>
      <c r="Q2640" s="14">
        <f>J2640*G2640</f>
        <v/>
      </c>
      <c r="R2640" s="14">
        <f>K2640-Q2640</f>
        <v/>
      </c>
      <c r="S2640" s="3">
        <f>P2640*Assumptions!$B$3/100</f>
        <v/>
      </c>
      <c r="T2640" s="14">
        <f>R2640-S2640</f>
        <v/>
      </c>
      <c r="U2640" s="14">
        <f>L2640*G2640</f>
        <v/>
      </c>
    </row>
    <row r="2641">
      <c r="A2641" s="12" t="inlineStr">
        <is>
          <t>PO-2022-2639</t>
        </is>
      </c>
      <c r="B2641" s="26" t="n">
        <v>44388</v>
      </c>
      <c r="C2641" s="12" t="inlineStr">
        <is>
          <t>VS17</t>
        </is>
      </c>
      <c r="D2641" s="12" t="inlineStr">
        <is>
          <t>Spring Steel</t>
        </is>
      </c>
      <c r="E2641" s="12" t="inlineStr">
        <is>
          <t>N</t>
        </is>
      </c>
      <c r="F2641" s="12" t="n">
        <v>37.57</v>
      </c>
      <c r="G2641" s="17" t="n">
        <v>115370.38</v>
      </c>
      <c r="H2641" s="26" t="n">
        <v>44394</v>
      </c>
      <c r="I2641" s="26" t="n">
        <v>44396</v>
      </c>
      <c r="J2641" s="12" t="n">
        <v>37.54</v>
      </c>
      <c r="K2641" s="17" t="n">
        <v>4334465.18</v>
      </c>
      <c r="L2641" s="12" t="n">
        <v>0</v>
      </c>
      <c r="M2641" s="12" t="n">
        <v>16</v>
      </c>
      <c r="N2641" s="27">
        <f>F2641-J2641</f>
        <v/>
      </c>
      <c r="O2641" s="16">
        <f>I2641-H2641</f>
        <v/>
      </c>
      <c r="P2641" s="14">
        <f>F2641*G2641</f>
        <v/>
      </c>
      <c r="Q2641" s="14">
        <f>J2641*G2641</f>
        <v/>
      </c>
      <c r="R2641" s="14">
        <f>K2641-Q2641</f>
        <v/>
      </c>
      <c r="S2641" s="3">
        <f>P2641*Assumptions!$B$3/100</f>
        <v/>
      </c>
      <c r="T2641" s="14">
        <f>R2641-S2641</f>
        <v/>
      </c>
      <c r="U2641" s="14">
        <f>L2641*G2641</f>
        <v/>
      </c>
    </row>
    <row r="2642">
      <c r="A2642" s="12" t="inlineStr">
        <is>
          <t>PO-2022-2640</t>
        </is>
      </c>
      <c r="B2642" s="26" t="n">
        <v>44287</v>
      </c>
      <c r="C2642" s="12" t="inlineStr">
        <is>
          <t>VS31</t>
        </is>
      </c>
      <c r="D2642" s="12" t="inlineStr">
        <is>
          <t>CR Sheets</t>
        </is>
      </c>
      <c r="E2642" s="12" t="inlineStr">
        <is>
          <t>N</t>
        </is>
      </c>
      <c r="F2642" s="12" t="n">
        <v>27.51</v>
      </c>
      <c r="G2642" s="17" t="n">
        <v>94297.28</v>
      </c>
      <c r="H2642" s="26" t="n">
        <v>44301</v>
      </c>
      <c r="I2642" s="26" t="n">
        <v>44303</v>
      </c>
      <c r="J2642" s="12" t="n">
        <v>27.45</v>
      </c>
      <c r="K2642" s="17" t="n">
        <v>2594118.17</v>
      </c>
      <c r="L2642" s="12" t="n">
        <v>0</v>
      </c>
      <c r="M2642" s="12" t="n">
        <v>24</v>
      </c>
      <c r="N2642" s="27">
        <f>F2642-J2642</f>
        <v/>
      </c>
      <c r="O2642" s="16">
        <f>I2642-H2642</f>
        <v/>
      </c>
      <c r="P2642" s="14">
        <f>F2642*G2642</f>
        <v/>
      </c>
      <c r="Q2642" s="14">
        <f>J2642*G2642</f>
        <v/>
      </c>
      <c r="R2642" s="14">
        <f>K2642-Q2642</f>
        <v/>
      </c>
      <c r="S2642" s="3">
        <f>P2642*Assumptions!$B$3/100</f>
        <v/>
      </c>
      <c r="T2642" s="14">
        <f>R2642-S2642</f>
        <v/>
      </c>
      <c r="U2642" s="14">
        <f>L2642*G2642</f>
        <v/>
      </c>
    </row>
    <row r="2643">
      <c r="A2643" s="12" t="inlineStr">
        <is>
          <t>PO-2022-2641</t>
        </is>
      </c>
      <c r="B2643" s="26" t="n">
        <v>44210</v>
      </c>
      <c r="C2643" s="12" t="inlineStr">
        <is>
          <t>VS32</t>
        </is>
      </c>
      <c r="D2643" s="12" t="inlineStr">
        <is>
          <t>GI Sheets</t>
        </is>
      </c>
      <c r="E2643" s="12" t="inlineStr">
        <is>
          <t>N</t>
        </is>
      </c>
      <c r="F2643" s="12" t="n">
        <v>39.99</v>
      </c>
      <c r="G2643" s="17" t="n">
        <v>111560.12</v>
      </c>
      <c r="H2643" s="26" t="n">
        <v>44214</v>
      </c>
      <c r="I2643" s="26" t="n">
        <v>44214</v>
      </c>
      <c r="J2643" s="12" t="n">
        <v>39.9</v>
      </c>
      <c r="K2643" s="17" t="n">
        <v>4461289.2</v>
      </c>
      <c r="L2643" s="12" t="n">
        <v>0</v>
      </c>
      <c r="M2643" s="12" t="n">
        <v>13</v>
      </c>
      <c r="N2643" s="27">
        <f>F2643-J2643</f>
        <v/>
      </c>
      <c r="O2643" s="16">
        <f>I2643-H2643</f>
        <v/>
      </c>
      <c r="P2643" s="14">
        <f>F2643*G2643</f>
        <v/>
      </c>
      <c r="Q2643" s="14">
        <f>J2643*G2643</f>
        <v/>
      </c>
      <c r="R2643" s="14">
        <f>K2643-Q2643</f>
        <v/>
      </c>
      <c r="S2643" s="3">
        <f>P2643*Assumptions!$B$3/100</f>
        <v/>
      </c>
      <c r="T2643" s="14">
        <f>R2643-S2643</f>
        <v/>
      </c>
      <c r="U2643" s="14">
        <f>L2643*G2643</f>
        <v/>
      </c>
    </row>
    <row r="2644">
      <c r="A2644" s="12" t="inlineStr">
        <is>
          <t>PO-2022-2642</t>
        </is>
      </c>
      <c r="B2644" s="26" t="n">
        <v>44378</v>
      </c>
      <c r="C2644" s="12" t="inlineStr">
        <is>
          <t>VS33</t>
        </is>
      </c>
      <c r="D2644" s="12" t="inlineStr">
        <is>
          <t>HR Coils</t>
        </is>
      </c>
      <c r="E2644" s="12" t="inlineStr">
        <is>
          <t>Y</t>
        </is>
      </c>
      <c r="F2644" s="12" t="n">
        <v>46.32</v>
      </c>
      <c r="G2644" s="17" t="n">
        <v>65825.25</v>
      </c>
      <c r="H2644" s="26" t="n">
        <v>44387</v>
      </c>
      <c r="I2644" s="26" t="n">
        <v>44388</v>
      </c>
      <c r="J2644" s="12" t="n">
        <v>46.18</v>
      </c>
      <c r="K2644" s="17" t="n">
        <v>3049025.58</v>
      </c>
      <c r="L2644" s="12" t="n">
        <v>0</v>
      </c>
      <c r="M2644" s="12" t="n">
        <v>0</v>
      </c>
      <c r="N2644" s="27">
        <f>F2644-J2644</f>
        <v/>
      </c>
      <c r="O2644" s="16">
        <f>I2644-H2644</f>
        <v/>
      </c>
      <c r="P2644" s="14">
        <f>F2644*G2644</f>
        <v/>
      </c>
      <c r="Q2644" s="14">
        <f>J2644*G2644</f>
        <v/>
      </c>
      <c r="R2644" s="14">
        <f>K2644-Q2644</f>
        <v/>
      </c>
      <c r="S2644" s="3">
        <f>P2644*Assumptions!$B$3/100</f>
        <v/>
      </c>
      <c r="T2644" s="14">
        <f>R2644-S2644</f>
        <v/>
      </c>
      <c r="U2644" s="14">
        <f>L2644*G2644</f>
        <v/>
      </c>
    </row>
    <row r="2645">
      <c r="A2645" s="12" t="inlineStr">
        <is>
          <t>PO-2022-2643</t>
        </is>
      </c>
      <c r="B2645" s="26" t="n">
        <v>44911</v>
      </c>
      <c r="C2645" s="12" t="inlineStr">
        <is>
          <t>VS23</t>
        </is>
      </c>
      <c r="D2645" s="12" t="inlineStr">
        <is>
          <t>Fasteners &amp; Fittings</t>
        </is>
      </c>
      <c r="E2645" s="12" t="inlineStr">
        <is>
          <t>N</t>
        </is>
      </c>
      <c r="F2645" s="12" t="n">
        <v>28.26</v>
      </c>
      <c r="G2645" s="17" t="n">
        <v>57322.08</v>
      </c>
      <c r="H2645" s="26" t="n">
        <v>44925</v>
      </c>
      <c r="I2645" s="26" t="n">
        <v>44927</v>
      </c>
      <c r="J2645" s="12" t="n">
        <v>28.02</v>
      </c>
      <c r="K2645" s="17" t="n">
        <v>1619921.98</v>
      </c>
      <c r="L2645" s="12" t="n">
        <v>0</v>
      </c>
      <c r="M2645" s="12" t="n">
        <v>0</v>
      </c>
      <c r="N2645" s="27">
        <f>F2645-J2645</f>
        <v/>
      </c>
      <c r="O2645" s="16">
        <f>I2645-H2645</f>
        <v/>
      </c>
      <c r="P2645" s="14">
        <f>F2645*G2645</f>
        <v/>
      </c>
      <c r="Q2645" s="14">
        <f>J2645*G2645</f>
        <v/>
      </c>
      <c r="R2645" s="14">
        <f>K2645-Q2645</f>
        <v/>
      </c>
      <c r="S2645" s="3">
        <f>P2645*Assumptions!$B$3/100</f>
        <v/>
      </c>
      <c r="T2645" s="14">
        <f>R2645-S2645</f>
        <v/>
      </c>
      <c r="U2645" s="14">
        <f>L2645*G2645</f>
        <v/>
      </c>
    </row>
    <row r="2646">
      <c r="A2646" s="12" t="inlineStr">
        <is>
          <t>PO-2022-2644</t>
        </is>
      </c>
      <c r="B2646" s="26" t="n">
        <v>44396</v>
      </c>
      <c r="C2646" s="12" t="inlineStr">
        <is>
          <t>VS02</t>
        </is>
      </c>
      <c r="D2646" s="12" t="inlineStr">
        <is>
          <t>CR Sheets</t>
        </is>
      </c>
      <c r="E2646" s="12" t="inlineStr">
        <is>
          <t>N</t>
        </is>
      </c>
      <c r="F2646" s="12" t="n">
        <v>10.43</v>
      </c>
      <c r="G2646" s="17" t="n">
        <v>106673.55</v>
      </c>
      <c r="H2646" s="26" t="n">
        <v>44402</v>
      </c>
      <c r="I2646" s="26" t="n">
        <v>44405</v>
      </c>
      <c r="J2646" s="12" t="n">
        <v>10.4</v>
      </c>
      <c r="K2646" s="17" t="n">
        <v>1112605.13</v>
      </c>
      <c r="L2646" s="12" t="n">
        <v>0</v>
      </c>
      <c r="M2646" s="12" t="n">
        <v>0</v>
      </c>
      <c r="N2646" s="27">
        <f>F2646-J2646</f>
        <v/>
      </c>
      <c r="O2646" s="16">
        <f>I2646-H2646</f>
        <v/>
      </c>
      <c r="P2646" s="14">
        <f>F2646*G2646</f>
        <v/>
      </c>
      <c r="Q2646" s="14">
        <f>J2646*G2646</f>
        <v/>
      </c>
      <c r="R2646" s="14">
        <f>K2646-Q2646</f>
        <v/>
      </c>
      <c r="S2646" s="3">
        <f>P2646*Assumptions!$B$3/100</f>
        <v/>
      </c>
      <c r="T2646" s="14">
        <f>R2646-S2646</f>
        <v/>
      </c>
      <c r="U2646" s="14">
        <f>L2646*G2646</f>
        <v/>
      </c>
    </row>
    <row r="2647">
      <c r="A2647" s="12" t="inlineStr">
        <is>
          <t>PO-2022-2645</t>
        </is>
      </c>
      <c r="B2647" s="26" t="n">
        <v>44289</v>
      </c>
      <c r="C2647" s="12" t="inlineStr">
        <is>
          <t>VS12</t>
        </is>
      </c>
      <c r="D2647" s="12" t="inlineStr">
        <is>
          <t>GI Sheets</t>
        </is>
      </c>
      <c r="E2647" s="12" t="inlineStr">
        <is>
          <t>N</t>
        </is>
      </c>
      <c r="F2647" s="12" t="n">
        <v>41.54</v>
      </c>
      <c r="G2647" s="17" t="n">
        <v>62216.28</v>
      </c>
      <c r="H2647" s="26" t="n">
        <v>44296</v>
      </c>
      <c r="I2647" s="26" t="n">
        <v>44303</v>
      </c>
      <c r="J2647" s="12" t="n">
        <v>39.64</v>
      </c>
      <c r="K2647" s="17" t="n">
        <v>2584464.27</v>
      </c>
      <c r="L2647" s="12" t="n">
        <v>0.02</v>
      </c>
      <c r="M2647" s="12" t="n">
        <v>0</v>
      </c>
      <c r="N2647" s="27">
        <f>F2647-J2647</f>
        <v/>
      </c>
      <c r="O2647" s="16">
        <f>I2647-H2647</f>
        <v/>
      </c>
      <c r="P2647" s="14">
        <f>F2647*G2647</f>
        <v/>
      </c>
      <c r="Q2647" s="14">
        <f>J2647*G2647</f>
        <v/>
      </c>
      <c r="R2647" s="14">
        <f>K2647-Q2647</f>
        <v/>
      </c>
      <c r="S2647" s="3">
        <f>P2647*Assumptions!$B$3/100</f>
        <v/>
      </c>
      <c r="T2647" s="14">
        <f>R2647-S2647</f>
        <v/>
      </c>
      <c r="U2647" s="14">
        <f>L2647*G2647</f>
        <v/>
      </c>
    </row>
    <row r="2648">
      <c r="A2648" s="12" t="inlineStr">
        <is>
          <t>PO-2022-2646</t>
        </is>
      </c>
      <c r="B2648" s="26" t="n">
        <v>45140</v>
      </c>
      <c r="C2648" s="12" t="inlineStr">
        <is>
          <t>VS04</t>
        </is>
      </c>
      <c r="D2648" s="12" t="inlineStr">
        <is>
          <t>Fasteners &amp; Fittings</t>
        </is>
      </c>
      <c r="E2648" s="12" t="inlineStr">
        <is>
          <t>N</t>
        </is>
      </c>
      <c r="F2648" s="12" t="n">
        <v>12.06</v>
      </c>
      <c r="G2648" s="17" t="n">
        <v>55088.63</v>
      </c>
      <c r="H2648" s="26" t="n">
        <v>45144</v>
      </c>
      <c r="I2648" s="26" t="n">
        <v>45145</v>
      </c>
      <c r="J2648" s="12" t="n">
        <v>12.06</v>
      </c>
      <c r="K2648" s="17" t="n">
        <v>664368.88</v>
      </c>
      <c r="L2648" s="12" t="n">
        <v>0</v>
      </c>
      <c r="M2648" s="12" t="n">
        <v>20</v>
      </c>
      <c r="N2648" s="27">
        <f>F2648-J2648</f>
        <v/>
      </c>
      <c r="O2648" s="16">
        <f>I2648-H2648</f>
        <v/>
      </c>
      <c r="P2648" s="14">
        <f>F2648*G2648</f>
        <v/>
      </c>
      <c r="Q2648" s="14">
        <f>J2648*G2648</f>
        <v/>
      </c>
      <c r="R2648" s="14">
        <f>K2648-Q2648</f>
        <v/>
      </c>
      <c r="S2648" s="3">
        <f>P2648*Assumptions!$B$3/100</f>
        <v/>
      </c>
      <c r="T2648" s="14">
        <f>R2648-S2648</f>
        <v/>
      </c>
      <c r="U2648" s="14">
        <f>L2648*G2648</f>
        <v/>
      </c>
    </row>
    <row r="2649">
      <c r="A2649" s="12" t="inlineStr">
        <is>
          <t>PO-2022-2647</t>
        </is>
      </c>
      <c r="B2649" s="26" t="n">
        <v>44615</v>
      </c>
      <c r="C2649" s="12" t="inlineStr">
        <is>
          <t>VS24</t>
        </is>
      </c>
      <c r="D2649" s="12" t="inlineStr">
        <is>
          <t>SS Sheets</t>
        </is>
      </c>
      <c r="E2649" s="12" t="inlineStr">
        <is>
          <t>N</t>
        </is>
      </c>
      <c r="F2649" s="12" t="n">
        <v>41.9</v>
      </c>
      <c r="G2649" s="17" t="n">
        <v>77386.69</v>
      </c>
      <c r="H2649" s="26" t="n">
        <v>44629</v>
      </c>
      <c r="I2649" s="26" t="n">
        <v>44631</v>
      </c>
      <c r="J2649" s="12" t="n">
        <v>41.52</v>
      </c>
      <c r="K2649" s="17" t="n">
        <v>3242502.31</v>
      </c>
      <c r="L2649" s="12" t="n">
        <v>0</v>
      </c>
      <c r="M2649" s="12" t="n">
        <v>1</v>
      </c>
      <c r="N2649" s="27">
        <f>F2649-J2649</f>
        <v/>
      </c>
      <c r="O2649" s="16">
        <f>I2649-H2649</f>
        <v/>
      </c>
      <c r="P2649" s="14">
        <f>F2649*G2649</f>
        <v/>
      </c>
      <c r="Q2649" s="14">
        <f>J2649*G2649</f>
        <v/>
      </c>
      <c r="R2649" s="14">
        <f>K2649-Q2649</f>
        <v/>
      </c>
      <c r="S2649" s="3">
        <f>P2649*Assumptions!$B$3/100</f>
        <v/>
      </c>
      <c r="T2649" s="14">
        <f>R2649-S2649</f>
        <v/>
      </c>
      <c r="U2649" s="14">
        <f>L2649*G2649</f>
        <v/>
      </c>
    </row>
    <row r="2650">
      <c r="A2650" s="12" t="inlineStr">
        <is>
          <t>PO-2022-2648</t>
        </is>
      </c>
      <c r="B2650" s="26" t="n">
        <v>44326</v>
      </c>
      <c r="C2650" s="12" t="inlineStr">
        <is>
          <t>VS11</t>
        </is>
      </c>
      <c r="D2650" s="12" t="inlineStr">
        <is>
          <t>Structural Steel</t>
        </is>
      </c>
      <c r="E2650" s="12" t="inlineStr">
        <is>
          <t>N</t>
        </is>
      </c>
      <c r="F2650" s="12" t="n">
        <v>19.53</v>
      </c>
      <c r="G2650" s="17" t="n">
        <v>57853.14</v>
      </c>
      <c r="H2650" s="26" t="n">
        <v>44329</v>
      </c>
      <c r="I2650" s="26" t="n">
        <v>44331</v>
      </c>
      <c r="J2650" s="12" t="n">
        <v>19.4</v>
      </c>
      <c r="K2650" s="17" t="n">
        <v>1129871.82</v>
      </c>
      <c r="L2650" s="12" t="n">
        <v>0</v>
      </c>
      <c r="M2650" s="12" t="n">
        <v>14</v>
      </c>
      <c r="N2650" s="27">
        <f>F2650-J2650</f>
        <v/>
      </c>
      <c r="O2650" s="16">
        <f>I2650-H2650</f>
        <v/>
      </c>
      <c r="P2650" s="14">
        <f>F2650*G2650</f>
        <v/>
      </c>
      <c r="Q2650" s="14">
        <f>J2650*G2650</f>
        <v/>
      </c>
      <c r="R2650" s="14">
        <f>K2650-Q2650</f>
        <v/>
      </c>
      <c r="S2650" s="3">
        <f>P2650*Assumptions!$B$3/100</f>
        <v/>
      </c>
      <c r="T2650" s="14">
        <f>R2650-S2650</f>
        <v/>
      </c>
      <c r="U2650" s="14">
        <f>L2650*G2650</f>
        <v/>
      </c>
    </row>
    <row r="2651">
      <c r="A2651" s="12" t="inlineStr">
        <is>
          <t>PO-2022-2649</t>
        </is>
      </c>
      <c r="B2651" s="26" t="n">
        <v>45288</v>
      </c>
      <c r="C2651" s="12" t="inlineStr">
        <is>
          <t>VS12</t>
        </is>
      </c>
      <c r="D2651" s="12" t="inlineStr">
        <is>
          <t>GI Wire</t>
        </is>
      </c>
      <c r="E2651" s="12" t="inlineStr">
        <is>
          <t>N</t>
        </is>
      </c>
      <c r="F2651" s="12" t="n">
        <v>6.32</v>
      </c>
      <c r="G2651" s="17" t="n">
        <v>106424.57</v>
      </c>
      <c r="H2651" s="26" t="n">
        <v>45294</v>
      </c>
      <c r="I2651" s="26" t="n">
        <v>45302</v>
      </c>
      <c r="J2651" s="12" t="n">
        <v>6.14</v>
      </c>
      <c r="K2651" s="17" t="n">
        <v>672603.28</v>
      </c>
      <c r="L2651" s="12" t="n">
        <v>0.14</v>
      </c>
      <c r="M2651" s="12" t="n">
        <v>19</v>
      </c>
      <c r="N2651" s="27">
        <f>F2651-J2651</f>
        <v/>
      </c>
      <c r="O2651" s="16">
        <f>I2651-H2651</f>
        <v/>
      </c>
      <c r="P2651" s="14">
        <f>F2651*G2651</f>
        <v/>
      </c>
      <c r="Q2651" s="14">
        <f>J2651*G2651</f>
        <v/>
      </c>
      <c r="R2651" s="14">
        <f>K2651-Q2651</f>
        <v/>
      </c>
      <c r="S2651" s="3">
        <f>P2651*Assumptions!$B$3/100</f>
        <v/>
      </c>
      <c r="T2651" s="14">
        <f>R2651-S2651</f>
        <v/>
      </c>
      <c r="U2651" s="14">
        <f>L2651*G2651</f>
        <v/>
      </c>
    </row>
    <row r="2652">
      <c r="A2652" s="12" t="inlineStr">
        <is>
          <t>PO-2022-2650</t>
        </is>
      </c>
      <c r="B2652" s="26" t="n">
        <v>44346</v>
      </c>
      <c r="C2652" s="12" t="inlineStr">
        <is>
          <t>VS10</t>
        </is>
      </c>
      <c r="D2652" s="12" t="inlineStr">
        <is>
          <t>GI Wire</t>
        </is>
      </c>
      <c r="E2652" s="12" t="inlineStr">
        <is>
          <t>N</t>
        </is>
      </c>
      <c r="F2652" s="12" t="n">
        <v>6.31</v>
      </c>
      <c r="G2652" s="17" t="n">
        <v>62194.28</v>
      </c>
      <c r="H2652" s="26" t="n">
        <v>44351</v>
      </c>
      <c r="I2652" s="26" t="n">
        <v>44352</v>
      </c>
      <c r="J2652" s="12" t="n">
        <v>6.28</v>
      </c>
      <c r="K2652" s="17" t="n">
        <v>392445.91</v>
      </c>
      <c r="L2652" s="12" t="n">
        <v>0</v>
      </c>
      <c r="M2652" s="12" t="n">
        <v>13</v>
      </c>
      <c r="N2652" s="27">
        <f>F2652-J2652</f>
        <v/>
      </c>
      <c r="O2652" s="16">
        <f>I2652-H2652</f>
        <v/>
      </c>
      <c r="P2652" s="14">
        <f>F2652*G2652</f>
        <v/>
      </c>
      <c r="Q2652" s="14">
        <f>J2652*G2652</f>
        <v/>
      </c>
      <c r="R2652" s="14">
        <f>K2652-Q2652</f>
        <v/>
      </c>
      <c r="S2652" s="3">
        <f>P2652*Assumptions!$B$3/100</f>
        <v/>
      </c>
      <c r="T2652" s="14">
        <f>R2652-S2652</f>
        <v/>
      </c>
      <c r="U2652" s="14">
        <f>L2652*G2652</f>
        <v/>
      </c>
    </row>
    <row r="2653">
      <c r="A2653" s="12" t="inlineStr">
        <is>
          <t>PO-2022-2651</t>
        </is>
      </c>
      <c r="B2653" s="26" t="n">
        <v>44742</v>
      </c>
      <c r="C2653" s="12" t="inlineStr">
        <is>
          <t>VS34</t>
        </is>
      </c>
      <c r="D2653" s="12" t="inlineStr">
        <is>
          <t>Spring Steel</t>
        </is>
      </c>
      <c r="E2653" s="12" t="inlineStr">
        <is>
          <t>N</t>
        </is>
      </c>
      <c r="F2653" s="12" t="n">
        <v>44.31</v>
      </c>
      <c r="G2653" s="17" t="n">
        <v>84814.94</v>
      </c>
      <c r="H2653" s="26" t="n">
        <v>44754</v>
      </c>
      <c r="I2653" s="26" t="n">
        <v>44754</v>
      </c>
      <c r="J2653" s="12" t="n">
        <v>43.99</v>
      </c>
      <c r="K2653" s="17" t="n">
        <v>3758149.99</v>
      </c>
      <c r="L2653" s="12" t="n">
        <v>0</v>
      </c>
      <c r="M2653" s="12" t="n">
        <v>12</v>
      </c>
      <c r="N2653" s="27">
        <f>F2653-J2653</f>
        <v/>
      </c>
      <c r="O2653" s="16">
        <f>I2653-H2653</f>
        <v/>
      </c>
      <c r="P2653" s="14">
        <f>F2653*G2653</f>
        <v/>
      </c>
      <c r="Q2653" s="14">
        <f>J2653*G2653</f>
        <v/>
      </c>
      <c r="R2653" s="14">
        <f>K2653-Q2653</f>
        <v/>
      </c>
      <c r="S2653" s="3">
        <f>P2653*Assumptions!$B$3/100</f>
        <v/>
      </c>
      <c r="T2653" s="14">
        <f>R2653-S2653</f>
        <v/>
      </c>
      <c r="U2653" s="14">
        <f>L2653*G2653</f>
        <v/>
      </c>
    </row>
    <row r="2654">
      <c r="A2654" s="12" t="inlineStr">
        <is>
          <t>PO-2022-2652</t>
        </is>
      </c>
      <c r="B2654" s="26" t="n">
        <v>44872</v>
      </c>
      <c r="C2654" s="12" t="inlineStr">
        <is>
          <t>VS29</t>
        </is>
      </c>
      <c r="D2654" s="12" t="inlineStr">
        <is>
          <t>MS Sheets</t>
        </is>
      </c>
      <c r="E2654" s="12" t="inlineStr">
        <is>
          <t>N</t>
        </is>
      </c>
      <c r="F2654" s="12" t="n">
        <v>41.61</v>
      </c>
      <c r="G2654" s="17" t="n">
        <v>89570.22</v>
      </c>
      <c r="H2654" s="26" t="n">
        <v>44885</v>
      </c>
      <c r="I2654" s="26" t="n">
        <v>44886</v>
      </c>
      <c r="J2654" s="12" t="n">
        <v>41.58</v>
      </c>
      <c r="K2654" s="17" t="n">
        <v>3727016.85</v>
      </c>
      <c r="L2654" s="12" t="n">
        <v>0</v>
      </c>
      <c r="M2654" s="12" t="n">
        <v>10</v>
      </c>
      <c r="N2654" s="27">
        <f>F2654-J2654</f>
        <v/>
      </c>
      <c r="O2654" s="16">
        <f>I2654-H2654</f>
        <v/>
      </c>
      <c r="P2654" s="14">
        <f>F2654*G2654</f>
        <v/>
      </c>
      <c r="Q2654" s="14">
        <f>J2654*G2654</f>
        <v/>
      </c>
      <c r="R2654" s="14">
        <f>K2654-Q2654</f>
        <v/>
      </c>
      <c r="S2654" s="3">
        <f>P2654*Assumptions!$B$3/100</f>
        <v/>
      </c>
      <c r="T2654" s="14">
        <f>R2654-S2654</f>
        <v/>
      </c>
      <c r="U2654" s="14">
        <f>L2654*G2654</f>
        <v/>
      </c>
    </row>
    <row r="2655">
      <c r="A2655" s="12" t="inlineStr">
        <is>
          <t>PO-2022-2653</t>
        </is>
      </c>
      <c r="B2655" s="26" t="n">
        <v>44638</v>
      </c>
      <c r="C2655" s="12" t="inlineStr">
        <is>
          <t>VS29</t>
        </is>
      </c>
      <c r="D2655" s="12" t="inlineStr">
        <is>
          <t>GI Wire</t>
        </is>
      </c>
      <c r="E2655" s="12" t="inlineStr">
        <is>
          <t>N</t>
        </is>
      </c>
      <c r="F2655" s="12" t="n">
        <v>9.43</v>
      </c>
      <c r="G2655" s="17" t="n">
        <v>107751.75</v>
      </c>
      <c r="H2655" s="26" t="n">
        <v>44648</v>
      </c>
      <c r="I2655" s="26" t="n">
        <v>44649</v>
      </c>
      <c r="J2655" s="12" t="n">
        <v>9.34</v>
      </c>
      <c r="K2655" s="17" t="n">
        <v>1016099</v>
      </c>
      <c r="L2655" s="12" t="n">
        <v>0</v>
      </c>
      <c r="M2655" s="12" t="n">
        <v>0</v>
      </c>
      <c r="N2655" s="27">
        <f>F2655-J2655</f>
        <v/>
      </c>
      <c r="O2655" s="16">
        <f>I2655-H2655</f>
        <v/>
      </c>
      <c r="P2655" s="14">
        <f>F2655*G2655</f>
        <v/>
      </c>
      <c r="Q2655" s="14">
        <f>J2655*G2655</f>
        <v/>
      </c>
      <c r="R2655" s="14">
        <f>K2655-Q2655</f>
        <v/>
      </c>
      <c r="S2655" s="3">
        <f>P2655*Assumptions!$B$3/100</f>
        <v/>
      </c>
      <c r="T2655" s="14">
        <f>R2655-S2655</f>
        <v/>
      </c>
      <c r="U2655" s="14">
        <f>L2655*G2655</f>
        <v/>
      </c>
    </row>
    <row r="2656">
      <c r="A2656" s="12" t="inlineStr">
        <is>
          <t>PO-2022-2654</t>
        </is>
      </c>
      <c r="B2656" s="26" t="n">
        <v>44768</v>
      </c>
      <c r="C2656" s="12" t="inlineStr">
        <is>
          <t>VS21</t>
        </is>
      </c>
      <c r="D2656" s="12" t="inlineStr">
        <is>
          <t>CR Sheets</t>
        </is>
      </c>
      <c r="E2656" s="12" t="inlineStr">
        <is>
          <t>N</t>
        </is>
      </c>
      <c r="F2656" s="12" t="n">
        <v>30.71</v>
      </c>
      <c r="G2656" s="17" t="n">
        <v>114465.98</v>
      </c>
      <c r="H2656" s="26" t="n">
        <v>44783</v>
      </c>
      <c r="I2656" s="26" t="n">
        <v>44786</v>
      </c>
      <c r="J2656" s="12" t="n">
        <v>30.42</v>
      </c>
      <c r="K2656" s="17" t="n">
        <v>3515250.25</v>
      </c>
      <c r="L2656" s="12" t="n">
        <v>0</v>
      </c>
      <c r="M2656" s="12" t="n">
        <v>13</v>
      </c>
      <c r="N2656" s="27">
        <f>F2656-J2656</f>
        <v/>
      </c>
      <c r="O2656" s="16">
        <f>I2656-H2656</f>
        <v/>
      </c>
      <c r="P2656" s="14">
        <f>F2656*G2656</f>
        <v/>
      </c>
      <c r="Q2656" s="14">
        <f>J2656*G2656</f>
        <v/>
      </c>
      <c r="R2656" s="14">
        <f>K2656-Q2656</f>
        <v/>
      </c>
      <c r="S2656" s="3">
        <f>P2656*Assumptions!$B$3/100</f>
        <v/>
      </c>
      <c r="T2656" s="14">
        <f>R2656-S2656</f>
        <v/>
      </c>
      <c r="U2656" s="14">
        <f>L2656*G2656</f>
        <v/>
      </c>
    </row>
    <row r="2657">
      <c r="A2657" s="12" t="inlineStr">
        <is>
          <t>PO-2022-2655</t>
        </is>
      </c>
      <c r="B2657" s="26" t="n">
        <v>44238</v>
      </c>
      <c r="C2657" s="12" t="inlineStr">
        <is>
          <t>VS13</t>
        </is>
      </c>
      <c r="D2657" s="12" t="inlineStr">
        <is>
          <t>MS Rods</t>
        </is>
      </c>
      <c r="E2657" s="12" t="inlineStr">
        <is>
          <t>Y</t>
        </is>
      </c>
      <c r="F2657" s="12" t="n">
        <v>15.48</v>
      </c>
      <c r="G2657" s="17" t="n">
        <v>102941.86</v>
      </c>
      <c r="H2657" s="26" t="n">
        <v>44248</v>
      </c>
      <c r="I2657" s="26" t="n">
        <v>44249</v>
      </c>
      <c r="J2657" s="12" t="n">
        <v>15.45</v>
      </c>
      <c r="K2657" s="17" t="n">
        <v>1593539.99</v>
      </c>
      <c r="L2657" s="12" t="n">
        <v>0</v>
      </c>
      <c r="M2657" s="12" t="n">
        <v>0</v>
      </c>
      <c r="N2657" s="27">
        <f>F2657-J2657</f>
        <v/>
      </c>
      <c r="O2657" s="16">
        <f>I2657-H2657</f>
        <v/>
      </c>
      <c r="P2657" s="14">
        <f>F2657*G2657</f>
        <v/>
      </c>
      <c r="Q2657" s="14">
        <f>J2657*G2657</f>
        <v/>
      </c>
      <c r="R2657" s="14">
        <f>K2657-Q2657</f>
        <v/>
      </c>
      <c r="S2657" s="3">
        <f>P2657*Assumptions!$B$3/100</f>
        <v/>
      </c>
      <c r="T2657" s="14">
        <f>R2657-S2657</f>
        <v/>
      </c>
      <c r="U2657" s="14">
        <f>L2657*G2657</f>
        <v/>
      </c>
    </row>
    <row r="2658">
      <c r="A2658" s="12" t="inlineStr">
        <is>
          <t>PO-2022-2656</t>
        </is>
      </c>
      <c r="B2658" s="26" t="n">
        <v>44383</v>
      </c>
      <c r="C2658" s="12" t="inlineStr">
        <is>
          <t>VS08</t>
        </is>
      </c>
      <c r="D2658" s="12" t="inlineStr">
        <is>
          <t>Square/Rect Tubes</t>
        </is>
      </c>
      <c r="E2658" s="12" t="inlineStr">
        <is>
          <t>N</t>
        </is>
      </c>
      <c r="F2658" s="12" t="n">
        <v>45.14</v>
      </c>
      <c r="G2658" s="17" t="n">
        <v>62230.34</v>
      </c>
      <c r="H2658" s="26" t="n">
        <v>44397</v>
      </c>
      <c r="I2658" s="26" t="n">
        <v>44398</v>
      </c>
      <c r="J2658" s="12" t="n">
        <v>44.96</v>
      </c>
      <c r="K2658" s="17" t="n">
        <v>2809077.55</v>
      </c>
      <c r="L2658" s="12" t="n">
        <v>0</v>
      </c>
      <c r="M2658" s="12" t="n">
        <v>8</v>
      </c>
      <c r="N2658" s="27">
        <f>F2658-J2658</f>
        <v/>
      </c>
      <c r="O2658" s="16">
        <f>I2658-H2658</f>
        <v/>
      </c>
      <c r="P2658" s="14">
        <f>F2658*G2658</f>
        <v/>
      </c>
      <c r="Q2658" s="14">
        <f>J2658*G2658</f>
        <v/>
      </c>
      <c r="R2658" s="14">
        <f>K2658-Q2658</f>
        <v/>
      </c>
      <c r="S2658" s="3">
        <f>P2658*Assumptions!$B$3/100</f>
        <v/>
      </c>
      <c r="T2658" s="14">
        <f>R2658-S2658</f>
        <v/>
      </c>
      <c r="U2658" s="14">
        <f>L2658*G2658</f>
        <v/>
      </c>
    </row>
    <row r="2659">
      <c r="A2659" s="12" t="inlineStr">
        <is>
          <t>PO-2022-2657</t>
        </is>
      </c>
      <c r="B2659" s="26" t="n">
        <v>45289</v>
      </c>
      <c r="C2659" s="12" t="inlineStr">
        <is>
          <t>VS08</t>
        </is>
      </c>
      <c r="D2659" s="12" t="inlineStr">
        <is>
          <t>Spring Steel</t>
        </is>
      </c>
      <c r="E2659" s="12" t="inlineStr">
        <is>
          <t>N</t>
        </is>
      </c>
      <c r="F2659" s="12" t="n">
        <v>24.49</v>
      </c>
      <c r="G2659" s="17" t="n">
        <v>113199.97</v>
      </c>
      <c r="H2659" s="26" t="n">
        <v>45301</v>
      </c>
      <c r="I2659" s="26" t="n">
        <v>45301</v>
      </c>
      <c r="J2659" s="12" t="n">
        <v>24.25</v>
      </c>
      <c r="K2659" s="17" t="n">
        <v>2772267.27</v>
      </c>
      <c r="L2659" s="12" t="n">
        <v>0</v>
      </c>
      <c r="M2659" s="12" t="n">
        <v>16</v>
      </c>
      <c r="N2659" s="27">
        <f>F2659-J2659</f>
        <v/>
      </c>
      <c r="O2659" s="16">
        <f>I2659-H2659</f>
        <v/>
      </c>
      <c r="P2659" s="14">
        <f>F2659*G2659</f>
        <v/>
      </c>
      <c r="Q2659" s="14">
        <f>J2659*G2659</f>
        <v/>
      </c>
      <c r="R2659" s="14">
        <f>K2659-Q2659</f>
        <v/>
      </c>
      <c r="S2659" s="3">
        <f>P2659*Assumptions!$B$3/100</f>
        <v/>
      </c>
      <c r="T2659" s="14">
        <f>R2659-S2659</f>
        <v/>
      </c>
      <c r="U2659" s="14">
        <f>L2659*G2659</f>
        <v/>
      </c>
    </row>
    <row r="2660">
      <c r="A2660" s="12" t="inlineStr">
        <is>
          <t>PO-2022-2658</t>
        </is>
      </c>
      <c r="B2660" s="26" t="n">
        <v>44473</v>
      </c>
      <c r="C2660" s="12" t="inlineStr">
        <is>
          <t>VS04</t>
        </is>
      </c>
      <c r="D2660" s="12" t="inlineStr">
        <is>
          <t>Hex Bars</t>
        </is>
      </c>
      <c r="E2660" s="12" t="inlineStr">
        <is>
          <t>N</t>
        </is>
      </c>
      <c r="F2660" s="12" t="n">
        <v>9.81</v>
      </c>
      <c r="G2660" s="17" t="n">
        <v>110684.93</v>
      </c>
      <c r="H2660" s="26" t="n">
        <v>44488</v>
      </c>
      <c r="I2660" s="26" t="n">
        <v>44490</v>
      </c>
      <c r="J2660" s="12" t="n">
        <v>9.77</v>
      </c>
      <c r="K2660" s="17" t="n">
        <v>1085819.16</v>
      </c>
      <c r="L2660" s="12" t="n">
        <v>0</v>
      </c>
      <c r="M2660" s="12" t="n">
        <v>0</v>
      </c>
      <c r="N2660" s="27">
        <f>F2660-J2660</f>
        <v/>
      </c>
      <c r="O2660" s="16">
        <f>I2660-H2660</f>
        <v/>
      </c>
      <c r="P2660" s="14">
        <f>F2660*G2660</f>
        <v/>
      </c>
      <c r="Q2660" s="14">
        <f>J2660*G2660</f>
        <v/>
      </c>
      <c r="R2660" s="14">
        <f>K2660-Q2660</f>
        <v/>
      </c>
      <c r="S2660" s="3">
        <f>P2660*Assumptions!$B$3/100</f>
        <v/>
      </c>
      <c r="T2660" s="14">
        <f>R2660-S2660</f>
        <v/>
      </c>
      <c r="U2660" s="14">
        <f>L2660*G2660</f>
        <v/>
      </c>
    </row>
    <row r="2661">
      <c r="A2661" s="12" t="inlineStr">
        <is>
          <t>PO-2022-2659</t>
        </is>
      </c>
      <c r="B2661" s="26" t="n">
        <v>44455</v>
      </c>
      <c r="C2661" s="12" t="inlineStr">
        <is>
          <t>VS16</t>
        </is>
      </c>
      <c r="D2661" s="12" t="inlineStr">
        <is>
          <t>GI Pipes</t>
        </is>
      </c>
      <c r="E2661" s="12" t="inlineStr">
        <is>
          <t>N</t>
        </is>
      </c>
      <c r="F2661" s="12" t="n">
        <v>25.91</v>
      </c>
      <c r="G2661" s="17" t="n">
        <v>90517.60000000001</v>
      </c>
      <c r="H2661" s="26" t="n">
        <v>44459</v>
      </c>
      <c r="I2661" s="26" t="n">
        <v>44461</v>
      </c>
      <c r="J2661" s="12" t="n">
        <v>25.88</v>
      </c>
      <c r="K2661" s="17" t="n">
        <v>2345311.02</v>
      </c>
      <c r="L2661" s="12" t="n">
        <v>0</v>
      </c>
      <c r="M2661" s="12" t="n">
        <v>13</v>
      </c>
      <c r="N2661" s="27">
        <f>F2661-J2661</f>
        <v/>
      </c>
      <c r="O2661" s="16">
        <f>I2661-H2661</f>
        <v/>
      </c>
      <c r="P2661" s="14">
        <f>F2661*G2661</f>
        <v/>
      </c>
      <c r="Q2661" s="14">
        <f>J2661*G2661</f>
        <v/>
      </c>
      <c r="R2661" s="14">
        <f>K2661-Q2661</f>
        <v/>
      </c>
      <c r="S2661" s="3">
        <f>P2661*Assumptions!$B$3/100</f>
        <v/>
      </c>
      <c r="T2661" s="14">
        <f>R2661-S2661</f>
        <v/>
      </c>
      <c r="U2661" s="14">
        <f>L2661*G2661</f>
        <v/>
      </c>
    </row>
    <row r="2662">
      <c r="A2662" s="12" t="inlineStr">
        <is>
          <t>PO-2022-2660</t>
        </is>
      </c>
      <c r="B2662" s="26" t="n">
        <v>44691</v>
      </c>
      <c r="C2662" s="12" t="inlineStr">
        <is>
          <t>VS06</t>
        </is>
      </c>
      <c r="D2662" s="12" t="inlineStr">
        <is>
          <t>MS Flats</t>
        </is>
      </c>
      <c r="E2662" s="12" t="inlineStr">
        <is>
          <t>N</t>
        </is>
      </c>
      <c r="F2662" s="12" t="n">
        <v>26.73</v>
      </c>
      <c r="G2662" s="17" t="n">
        <v>52015.24</v>
      </c>
      <c r="H2662" s="26" t="n">
        <v>44698</v>
      </c>
      <c r="I2662" s="26" t="n">
        <v>44699</v>
      </c>
      <c r="J2662" s="12" t="n">
        <v>26.62</v>
      </c>
      <c r="K2662" s="17" t="n">
        <v>1390367.37</v>
      </c>
      <c r="L2662" s="12" t="n">
        <v>0</v>
      </c>
      <c r="M2662" s="12" t="n">
        <v>23</v>
      </c>
      <c r="N2662" s="27">
        <f>F2662-J2662</f>
        <v/>
      </c>
      <c r="O2662" s="16">
        <f>I2662-H2662</f>
        <v/>
      </c>
      <c r="P2662" s="14">
        <f>F2662*G2662</f>
        <v/>
      </c>
      <c r="Q2662" s="14">
        <f>J2662*G2662</f>
        <v/>
      </c>
      <c r="R2662" s="14">
        <f>K2662-Q2662</f>
        <v/>
      </c>
      <c r="S2662" s="3">
        <f>P2662*Assumptions!$B$3/100</f>
        <v/>
      </c>
      <c r="T2662" s="14">
        <f>R2662-S2662</f>
        <v/>
      </c>
      <c r="U2662" s="14">
        <f>L2662*G2662</f>
        <v/>
      </c>
    </row>
    <row r="2663">
      <c r="A2663" s="12" t="inlineStr">
        <is>
          <t>PO-2022-2661</t>
        </is>
      </c>
      <c r="B2663" s="26" t="n">
        <v>44877</v>
      </c>
      <c r="C2663" s="12" t="inlineStr">
        <is>
          <t>VS09</t>
        </is>
      </c>
      <c r="D2663" s="12" t="inlineStr">
        <is>
          <t>MS Sheets</t>
        </is>
      </c>
      <c r="E2663" s="12" t="inlineStr">
        <is>
          <t>N</t>
        </is>
      </c>
      <c r="F2663" s="12" t="n">
        <v>3.16</v>
      </c>
      <c r="G2663" s="17" t="n">
        <v>81788.13</v>
      </c>
      <c r="H2663" s="26" t="n">
        <v>44883</v>
      </c>
      <c r="I2663" s="26" t="n">
        <v>44885</v>
      </c>
      <c r="J2663" s="12" t="n">
        <v>3.13</v>
      </c>
      <c r="K2663" s="17" t="n">
        <v>258450.49</v>
      </c>
      <c r="L2663" s="12" t="n">
        <v>0</v>
      </c>
      <c r="M2663" s="12" t="n">
        <v>0</v>
      </c>
      <c r="N2663" s="27">
        <f>F2663-J2663</f>
        <v/>
      </c>
      <c r="O2663" s="16">
        <f>I2663-H2663</f>
        <v/>
      </c>
      <c r="P2663" s="14">
        <f>F2663*G2663</f>
        <v/>
      </c>
      <c r="Q2663" s="14">
        <f>J2663*G2663</f>
        <v/>
      </c>
      <c r="R2663" s="14">
        <f>K2663-Q2663</f>
        <v/>
      </c>
      <c r="S2663" s="3">
        <f>P2663*Assumptions!$B$3/100</f>
        <v/>
      </c>
      <c r="T2663" s="14">
        <f>R2663-S2663</f>
        <v/>
      </c>
      <c r="U2663" s="14">
        <f>L2663*G2663</f>
        <v/>
      </c>
    </row>
    <row r="2664">
      <c r="A2664" s="12" t="inlineStr">
        <is>
          <t>PO-2022-2662</t>
        </is>
      </c>
      <c r="B2664" s="26" t="n">
        <v>44483</v>
      </c>
      <c r="C2664" s="12" t="inlineStr">
        <is>
          <t>VS15</t>
        </is>
      </c>
      <c r="D2664" s="12" t="inlineStr">
        <is>
          <t>SS Pipes</t>
        </is>
      </c>
      <c r="E2664" s="12" t="inlineStr">
        <is>
          <t>N</t>
        </is>
      </c>
      <c r="F2664" s="12" t="n">
        <v>26.38</v>
      </c>
      <c r="G2664" s="17" t="n">
        <v>91863</v>
      </c>
      <c r="H2664" s="26" t="n">
        <v>44487</v>
      </c>
      <c r="I2664" s="26" t="n">
        <v>44489</v>
      </c>
      <c r="J2664" s="12" t="n">
        <v>26.27</v>
      </c>
      <c r="K2664" s="17" t="n">
        <v>2423345.94</v>
      </c>
      <c r="L2664" s="12" t="n">
        <v>0</v>
      </c>
      <c r="M2664" s="12" t="n">
        <v>0</v>
      </c>
      <c r="N2664" s="27">
        <f>F2664-J2664</f>
        <v/>
      </c>
      <c r="O2664" s="16">
        <f>I2664-H2664</f>
        <v/>
      </c>
      <c r="P2664" s="14">
        <f>F2664*G2664</f>
        <v/>
      </c>
      <c r="Q2664" s="14">
        <f>J2664*G2664</f>
        <v/>
      </c>
      <c r="R2664" s="14">
        <f>K2664-Q2664</f>
        <v/>
      </c>
      <c r="S2664" s="3">
        <f>P2664*Assumptions!$B$3/100</f>
        <v/>
      </c>
      <c r="T2664" s="14">
        <f>R2664-S2664</f>
        <v/>
      </c>
      <c r="U2664" s="14">
        <f>L2664*G2664</f>
        <v/>
      </c>
    </row>
    <row r="2665">
      <c r="A2665" s="12" t="inlineStr">
        <is>
          <t>PO-2022-2663</t>
        </is>
      </c>
      <c r="B2665" s="26" t="n">
        <v>45061</v>
      </c>
      <c r="C2665" s="12" t="inlineStr">
        <is>
          <t>VS06</t>
        </is>
      </c>
      <c r="D2665" s="12" t="inlineStr">
        <is>
          <t>MS Flats</t>
        </is>
      </c>
      <c r="E2665" s="12" t="inlineStr">
        <is>
          <t>N</t>
        </is>
      </c>
      <c r="F2665" s="12" t="n">
        <v>23.58</v>
      </c>
      <c r="G2665" s="17" t="n">
        <v>96100.42</v>
      </c>
      <c r="H2665" s="26" t="n">
        <v>45069</v>
      </c>
      <c r="I2665" s="26" t="n">
        <v>45071</v>
      </c>
      <c r="J2665" s="12" t="n">
        <v>23.35</v>
      </c>
      <c r="K2665" s="17" t="n">
        <v>2266047.9</v>
      </c>
      <c r="L2665" s="12" t="n">
        <v>0</v>
      </c>
      <c r="M2665" s="12" t="n">
        <v>22</v>
      </c>
      <c r="N2665" s="27">
        <f>F2665-J2665</f>
        <v/>
      </c>
      <c r="O2665" s="16">
        <f>I2665-H2665</f>
        <v/>
      </c>
      <c r="P2665" s="14">
        <f>F2665*G2665</f>
        <v/>
      </c>
      <c r="Q2665" s="14">
        <f>J2665*G2665</f>
        <v/>
      </c>
      <c r="R2665" s="14">
        <f>K2665-Q2665</f>
        <v/>
      </c>
      <c r="S2665" s="3">
        <f>P2665*Assumptions!$B$3/100</f>
        <v/>
      </c>
      <c r="T2665" s="14">
        <f>R2665-S2665</f>
        <v/>
      </c>
      <c r="U2665" s="14">
        <f>L2665*G2665</f>
        <v/>
      </c>
    </row>
    <row r="2666">
      <c r="A2666" s="12" t="inlineStr">
        <is>
          <t>PO-2022-2664</t>
        </is>
      </c>
      <c r="B2666" s="26" t="n">
        <v>44258</v>
      </c>
      <c r="C2666" s="12" t="inlineStr">
        <is>
          <t>VS03</t>
        </is>
      </c>
      <c r="D2666" s="12" t="inlineStr">
        <is>
          <t>MS Pipes</t>
        </is>
      </c>
      <c r="E2666" s="12" t="inlineStr">
        <is>
          <t>N</t>
        </is>
      </c>
      <c r="F2666" s="12" t="n">
        <v>39.22</v>
      </c>
      <c r="G2666" s="17" t="n">
        <v>107273.73</v>
      </c>
      <c r="H2666" s="26" t="n">
        <v>44272</v>
      </c>
      <c r="I2666" s="26" t="n">
        <v>44275</v>
      </c>
      <c r="J2666" s="12" t="n">
        <v>37.97</v>
      </c>
      <c r="K2666" s="17" t="n">
        <v>4207275.69</v>
      </c>
      <c r="L2666" s="12" t="n">
        <v>1.75</v>
      </c>
      <c r="M2666" s="12" t="n">
        <v>0</v>
      </c>
      <c r="N2666" s="27">
        <f>F2666-J2666</f>
        <v/>
      </c>
      <c r="O2666" s="16">
        <f>I2666-H2666</f>
        <v/>
      </c>
      <c r="P2666" s="14">
        <f>F2666*G2666</f>
        <v/>
      </c>
      <c r="Q2666" s="14">
        <f>J2666*G2666</f>
        <v/>
      </c>
      <c r="R2666" s="14">
        <f>K2666-Q2666</f>
        <v/>
      </c>
      <c r="S2666" s="3">
        <f>P2666*Assumptions!$B$3/100</f>
        <v/>
      </c>
      <c r="T2666" s="14">
        <f>R2666-S2666</f>
        <v/>
      </c>
      <c r="U2666" s="14">
        <f>L2666*G2666</f>
        <v/>
      </c>
    </row>
    <row r="2667">
      <c r="A2667" s="12" t="inlineStr">
        <is>
          <t>PO-2022-2665</t>
        </is>
      </c>
      <c r="B2667" s="26" t="n">
        <v>44246</v>
      </c>
      <c r="C2667" s="12" t="inlineStr">
        <is>
          <t>VS02</t>
        </is>
      </c>
      <c r="D2667" s="12" t="inlineStr">
        <is>
          <t>SS Pipes</t>
        </is>
      </c>
      <c r="E2667" s="12" t="inlineStr">
        <is>
          <t>Y</t>
        </is>
      </c>
      <c r="F2667" s="12" t="n">
        <v>16.8</v>
      </c>
      <c r="G2667" s="17" t="n">
        <v>101816.89</v>
      </c>
      <c r="H2667" s="26" t="n">
        <v>44261</v>
      </c>
      <c r="I2667" s="26" t="n">
        <v>44262</v>
      </c>
      <c r="J2667" s="12" t="n">
        <v>16.74</v>
      </c>
      <c r="K2667" s="17" t="n">
        <v>1710523.75</v>
      </c>
      <c r="L2667" s="12" t="n">
        <v>0</v>
      </c>
      <c r="M2667" s="12" t="n">
        <v>0</v>
      </c>
      <c r="N2667" s="27">
        <f>F2667-J2667</f>
        <v/>
      </c>
      <c r="O2667" s="16">
        <f>I2667-H2667</f>
        <v/>
      </c>
      <c r="P2667" s="14">
        <f>F2667*G2667</f>
        <v/>
      </c>
      <c r="Q2667" s="14">
        <f>J2667*G2667</f>
        <v/>
      </c>
      <c r="R2667" s="14">
        <f>K2667-Q2667</f>
        <v/>
      </c>
      <c r="S2667" s="3">
        <f>P2667*Assumptions!$B$3/100</f>
        <v/>
      </c>
      <c r="T2667" s="14">
        <f>R2667-S2667</f>
        <v/>
      </c>
      <c r="U2667" s="14">
        <f>L2667*G2667</f>
        <v/>
      </c>
    </row>
    <row r="2668">
      <c r="A2668" s="12" t="inlineStr">
        <is>
          <t>PO-2022-2666</t>
        </is>
      </c>
      <c r="B2668" s="26" t="n">
        <v>44363</v>
      </c>
      <c r="C2668" s="12" t="inlineStr">
        <is>
          <t>VS06</t>
        </is>
      </c>
      <c r="D2668" s="12" t="inlineStr">
        <is>
          <t>GI Sheets</t>
        </is>
      </c>
      <c r="E2668" s="12" t="inlineStr">
        <is>
          <t>N</t>
        </is>
      </c>
      <c r="F2668" s="12" t="n">
        <v>24.56</v>
      </c>
      <c r="G2668" s="17" t="n">
        <v>105403</v>
      </c>
      <c r="H2668" s="26" t="n">
        <v>44373</v>
      </c>
      <c r="I2668" s="26" t="n">
        <v>44375</v>
      </c>
      <c r="J2668" s="12" t="n">
        <v>24.5</v>
      </c>
      <c r="K2668" s="17" t="n">
        <v>2588697.68</v>
      </c>
      <c r="L2668" s="12" t="n">
        <v>0</v>
      </c>
      <c r="M2668" s="12" t="n">
        <v>0</v>
      </c>
      <c r="N2668" s="27">
        <f>F2668-J2668</f>
        <v/>
      </c>
      <c r="O2668" s="16">
        <f>I2668-H2668</f>
        <v/>
      </c>
      <c r="P2668" s="14">
        <f>F2668*G2668</f>
        <v/>
      </c>
      <c r="Q2668" s="14">
        <f>J2668*G2668</f>
        <v/>
      </c>
      <c r="R2668" s="14">
        <f>K2668-Q2668</f>
        <v/>
      </c>
      <c r="S2668" s="3">
        <f>P2668*Assumptions!$B$3/100</f>
        <v/>
      </c>
      <c r="T2668" s="14">
        <f>R2668-S2668</f>
        <v/>
      </c>
      <c r="U2668" s="14">
        <f>L2668*G2668</f>
        <v/>
      </c>
    </row>
    <row r="2669">
      <c r="A2669" s="12" t="inlineStr">
        <is>
          <t>PO-2022-2667</t>
        </is>
      </c>
      <c r="B2669" s="26" t="n">
        <v>44957</v>
      </c>
      <c r="C2669" s="12" t="inlineStr">
        <is>
          <t>VS04</t>
        </is>
      </c>
      <c r="D2669" s="12" t="inlineStr">
        <is>
          <t>MS Pipes</t>
        </is>
      </c>
      <c r="E2669" s="12" t="inlineStr">
        <is>
          <t>N</t>
        </is>
      </c>
      <c r="F2669" s="12" t="n">
        <v>36.24</v>
      </c>
      <c r="G2669" s="17" t="n">
        <v>119130.22</v>
      </c>
      <c r="H2669" s="26" t="n">
        <v>44965</v>
      </c>
      <c r="I2669" s="26" t="n">
        <v>44968</v>
      </c>
      <c r="J2669" s="12" t="n">
        <v>36.13</v>
      </c>
      <c r="K2669" s="17" t="n">
        <v>4317279.17</v>
      </c>
      <c r="L2669" s="12" t="n">
        <v>0</v>
      </c>
      <c r="M2669" s="12" t="n">
        <v>0</v>
      </c>
      <c r="N2669" s="27">
        <f>F2669-J2669</f>
        <v/>
      </c>
      <c r="O2669" s="16">
        <f>I2669-H2669</f>
        <v/>
      </c>
      <c r="P2669" s="14">
        <f>F2669*G2669</f>
        <v/>
      </c>
      <c r="Q2669" s="14">
        <f>J2669*G2669</f>
        <v/>
      </c>
      <c r="R2669" s="14">
        <f>K2669-Q2669</f>
        <v/>
      </c>
      <c r="S2669" s="3">
        <f>P2669*Assumptions!$B$3/100</f>
        <v/>
      </c>
      <c r="T2669" s="14">
        <f>R2669-S2669</f>
        <v/>
      </c>
      <c r="U2669" s="14">
        <f>L2669*G2669</f>
        <v/>
      </c>
    </row>
    <row r="2670">
      <c r="A2670" s="12" t="inlineStr">
        <is>
          <t>PO-2022-2668</t>
        </is>
      </c>
      <c r="B2670" s="26" t="n">
        <v>44973</v>
      </c>
      <c r="C2670" s="12" t="inlineStr">
        <is>
          <t>VS08</t>
        </is>
      </c>
      <c r="D2670" s="12" t="inlineStr">
        <is>
          <t>Hex Bars</t>
        </is>
      </c>
      <c r="E2670" s="12" t="inlineStr">
        <is>
          <t>N</t>
        </is>
      </c>
      <c r="F2670" s="12" t="n">
        <v>32.63</v>
      </c>
      <c r="G2670" s="17" t="n">
        <v>101439.7</v>
      </c>
      <c r="H2670" s="26" t="n">
        <v>44980</v>
      </c>
      <c r="I2670" s="26" t="n">
        <v>44980</v>
      </c>
      <c r="J2670" s="12" t="n">
        <v>32.61</v>
      </c>
      <c r="K2670" s="17" t="n">
        <v>3309977.41</v>
      </c>
      <c r="L2670" s="12" t="n">
        <v>0</v>
      </c>
      <c r="M2670" s="12" t="n">
        <v>0</v>
      </c>
      <c r="N2670" s="27">
        <f>F2670-J2670</f>
        <v/>
      </c>
      <c r="O2670" s="16">
        <f>I2670-H2670</f>
        <v/>
      </c>
      <c r="P2670" s="14">
        <f>F2670*G2670</f>
        <v/>
      </c>
      <c r="Q2670" s="14">
        <f>J2670*G2670</f>
        <v/>
      </c>
      <c r="R2670" s="14">
        <f>K2670-Q2670</f>
        <v/>
      </c>
      <c r="S2670" s="3">
        <f>P2670*Assumptions!$B$3/100</f>
        <v/>
      </c>
      <c r="T2670" s="14">
        <f>R2670-S2670</f>
        <v/>
      </c>
      <c r="U2670" s="14">
        <f>L2670*G2670</f>
        <v/>
      </c>
    </row>
    <row r="2671">
      <c r="A2671" s="12" t="inlineStr">
        <is>
          <t>PO-2022-2669</t>
        </is>
      </c>
      <c r="B2671" s="26" t="n">
        <v>44523</v>
      </c>
      <c r="C2671" s="12" t="inlineStr">
        <is>
          <t>VS06</t>
        </is>
      </c>
      <c r="D2671" s="12" t="inlineStr">
        <is>
          <t>Spring Steel</t>
        </is>
      </c>
      <c r="E2671" s="12" t="inlineStr">
        <is>
          <t>N</t>
        </is>
      </c>
      <c r="F2671" s="12" t="n">
        <v>40.83</v>
      </c>
      <c r="G2671" s="17" t="n">
        <v>90026.12</v>
      </c>
      <c r="H2671" s="26" t="n">
        <v>44535</v>
      </c>
      <c r="I2671" s="26" t="n">
        <v>44536</v>
      </c>
      <c r="J2671" s="12" t="n">
        <v>40.55</v>
      </c>
      <c r="K2671" s="17" t="n">
        <v>3675766.48</v>
      </c>
      <c r="L2671" s="12" t="n">
        <v>0</v>
      </c>
      <c r="M2671" s="12" t="n">
        <v>16</v>
      </c>
      <c r="N2671" s="27">
        <f>F2671-J2671</f>
        <v/>
      </c>
      <c r="O2671" s="16">
        <f>I2671-H2671</f>
        <v/>
      </c>
      <c r="P2671" s="14">
        <f>F2671*G2671</f>
        <v/>
      </c>
      <c r="Q2671" s="14">
        <f>J2671*G2671</f>
        <v/>
      </c>
      <c r="R2671" s="14">
        <f>K2671-Q2671</f>
        <v/>
      </c>
      <c r="S2671" s="3">
        <f>P2671*Assumptions!$B$3/100</f>
        <v/>
      </c>
      <c r="T2671" s="14">
        <f>R2671-S2671</f>
        <v/>
      </c>
      <c r="U2671" s="14">
        <f>L2671*G2671</f>
        <v/>
      </c>
    </row>
    <row r="2672">
      <c r="A2672" s="12" t="inlineStr">
        <is>
          <t>PO-2022-2670</t>
        </is>
      </c>
      <c r="B2672" s="26" t="n">
        <v>45173</v>
      </c>
      <c r="C2672" s="12" t="inlineStr">
        <is>
          <t>VS19</t>
        </is>
      </c>
      <c r="D2672" s="12" t="inlineStr">
        <is>
          <t>Structural Steel</t>
        </is>
      </c>
      <c r="E2672" s="12" t="inlineStr">
        <is>
          <t>N</t>
        </is>
      </c>
      <c r="F2672" s="12" t="n">
        <v>26.59</v>
      </c>
      <c r="G2672" s="17" t="n">
        <v>106702.99</v>
      </c>
      <c r="H2672" s="26" t="n">
        <v>45178</v>
      </c>
      <c r="I2672" s="26" t="n">
        <v>45183</v>
      </c>
      <c r="J2672" s="12" t="n">
        <v>25.56</v>
      </c>
      <c r="K2672" s="17" t="n">
        <v>2837232.5</v>
      </c>
      <c r="L2672" s="12" t="n">
        <v>0.39</v>
      </c>
      <c r="M2672" s="12" t="n">
        <v>0</v>
      </c>
      <c r="N2672" s="27">
        <f>F2672-J2672</f>
        <v/>
      </c>
      <c r="O2672" s="16">
        <f>I2672-H2672</f>
        <v/>
      </c>
      <c r="P2672" s="14">
        <f>F2672*G2672</f>
        <v/>
      </c>
      <c r="Q2672" s="14">
        <f>J2672*G2672</f>
        <v/>
      </c>
      <c r="R2672" s="14">
        <f>K2672-Q2672</f>
        <v/>
      </c>
      <c r="S2672" s="3">
        <f>P2672*Assumptions!$B$3/100</f>
        <v/>
      </c>
      <c r="T2672" s="14">
        <f>R2672-S2672</f>
        <v/>
      </c>
      <c r="U2672" s="14">
        <f>L2672*G2672</f>
        <v/>
      </c>
    </row>
    <row r="2673">
      <c r="A2673" s="12" t="inlineStr">
        <is>
          <t>PO-2022-2671</t>
        </is>
      </c>
      <c r="B2673" s="26" t="n">
        <v>44556</v>
      </c>
      <c r="C2673" s="12" t="inlineStr">
        <is>
          <t>VS19</t>
        </is>
      </c>
      <c r="D2673" s="12" t="inlineStr">
        <is>
          <t>Hex Bars</t>
        </is>
      </c>
      <c r="E2673" s="12" t="inlineStr">
        <is>
          <t>N</t>
        </is>
      </c>
      <c r="F2673" s="12" t="n">
        <v>31.46</v>
      </c>
      <c r="G2673" s="17" t="n">
        <v>50111.87</v>
      </c>
      <c r="H2673" s="26" t="n">
        <v>44565</v>
      </c>
      <c r="I2673" s="26" t="n">
        <v>44570</v>
      </c>
      <c r="J2673" s="12" t="n">
        <v>30.76</v>
      </c>
      <c r="K2673" s="17" t="n">
        <v>1576519.43</v>
      </c>
      <c r="L2673" s="12" t="n">
        <v>1.26</v>
      </c>
      <c r="M2673" s="12" t="n">
        <v>19</v>
      </c>
      <c r="N2673" s="27">
        <f>F2673-J2673</f>
        <v/>
      </c>
      <c r="O2673" s="16">
        <f>I2673-H2673</f>
        <v/>
      </c>
      <c r="P2673" s="14">
        <f>F2673*G2673</f>
        <v/>
      </c>
      <c r="Q2673" s="14">
        <f>J2673*G2673</f>
        <v/>
      </c>
      <c r="R2673" s="14">
        <f>K2673-Q2673</f>
        <v/>
      </c>
      <c r="S2673" s="3">
        <f>P2673*Assumptions!$B$3/100</f>
        <v/>
      </c>
      <c r="T2673" s="14">
        <f>R2673-S2673</f>
        <v/>
      </c>
      <c r="U2673" s="14">
        <f>L2673*G2673</f>
        <v/>
      </c>
    </row>
    <row r="2674">
      <c r="A2674" s="12" t="inlineStr">
        <is>
          <t>PO-2022-2672</t>
        </is>
      </c>
      <c r="B2674" s="26" t="n">
        <v>45157</v>
      </c>
      <c r="C2674" s="12" t="inlineStr">
        <is>
          <t>VS03</t>
        </is>
      </c>
      <c r="D2674" s="12" t="inlineStr">
        <is>
          <t>Hex Bars</t>
        </is>
      </c>
      <c r="E2674" s="12" t="inlineStr">
        <is>
          <t>Y</t>
        </is>
      </c>
      <c r="F2674" s="12" t="n">
        <v>22.3</v>
      </c>
      <c r="G2674" s="17" t="n">
        <v>48847.61</v>
      </c>
      <c r="H2674" s="26" t="n">
        <v>45169</v>
      </c>
      <c r="I2674" s="26" t="n">
        <v>45172</v>
      </c>
      <c r="J2674" s="12" t="n">
        <v>21.53</v>
      </c>
      <c r="K2674" s="17" t="n">
        <v>1089301.7</v>
      </c>
      <c r="L2674" s="12" t="n">
        <v>0.54</v>
      </c>
      <c r="M2674" s="12" t="n">
        <v>6</v>
      </c>
      <c r="N2674" s="27">
        <f>F2674-J2674</f>
        <v/>
      </c>
      <c r="O2674" s="16">
        <f>I2674-H2674</f>
        <v/>
      </c>
      <c r="P2674" s="14">
        <f>F2674*G2674</f>
        <v/>
      </c>
      <c r="Q2674" s="14">
        <f>J2674*G2674</f>
        <v/>
      </c>
      <c r="R2674" s="14">
        <f>K2674-Q2674</f>
        <v/>
      </c>
      <c r="S2674" s="3">
        <f>P2674*Assumptions!$B$3/100</f>
        <v/>
      </c>
      <c r="T2674" s="14">
        <f>R2674-S2674</f>
        <v/>
      </c>
      <c r="U2674" s="14">
        <f>L2674*G2674</f>
        <v/>
      </c>
    </row>
    <row r="2675">
      <c r="A2675" s="12" t="inlineStr">
        <is>
          <t>PO-2022-2673</t>
        </is>
      </c>
      <c r="B2675" s="26" t="n">
        <v>44297</v>
      </c>
      <c r="C2675" s="12" t="inlineStr">
        <is>
          <t>VS01</t>
        </is>
      </c>
      <c r="D2675" s="12" t="inlineStr">
        <is>
          <t>CR Sheets</t>
        </is>
      </c>
      <c r="E2675" s="12" t="inlineStr">
        <is>
          <t>Y</t>
        </is>
      </c>
      <c r="F2675" s="12" t="n">
        <v>44.4</v>
      </c>
      <c r="G2675" s="17" t="n">
        <v>73342.17999999999</v>
      </c>
      <c r="H2675" s="26" t="n">
        <v>44310</v>
      </c>
      <c r="I2675" s="26" t="n">
        <v>44312</v>
      </c>
      <c r="J2675" s="12" t="n">
        <v>44.36</v>
      </c>
      <c r="K2675" s="17" t="n">
        <v>3256392.79</v>
      </c>
      <c r="L2675" s="12" t="n">
        <v>0</v>
      </c>
      <c r="M2675" s="12" t="n">
        <v>17</v>
      </c>
      <c r="N2675" s="27">
        <f>F2675-J2675</f>
        <v/>
      </c>
      <c r="O2675" s="16">
        <f>I2675-H2675</f>
        <v/>
      </c>
      <c r="P2675" s="14">
        <f>F2675*G2675</f>
        <v/>
      </c>
      <c r="Q2675" s="14">
        <f>J2675*G2675</f>
        <v/>
      </c>
      <c r="R2675" s="14">
        <f>K2675-Q2675</f>
        <v/>
      </c>
      <c r="S2675" s="3">
        <f>P2675*Assumptions!$B$3/100</f>
        <v/>
      </c>
      <c r="T2675" s="14">
        <f>R2675-S2675</f>
        <v/>
      </c>
      <c r="U2675" s="14">
        <f>L2675*G2675</f>
        <v/>
      </c>
    </row>
    <row r="2676">
      <c r="A2676" s="12" t="inlineStr">
        <is>
          <t>PO-2022-2674</t>
        </is>
      </c>
      <c r="B2676" s="26" t="n">
        <v>44896</v>
      </c>
      <c r="C2676" s="12" t="inlineStr">
        <is>
          <t>VS06</t>
        </is>
      </c>
      <c r="D2676" s="12" t="inlineStr">
        <is>
          <t>Angles &amp; Channels</t>
        </is>
      </c>
      <c r="E2676" s="12" t="inlineStr">
        <is>
          <t>N</t>
        </is>
      </c>
      <c r="F2676" s="12" t="n">
        <v>36.47</v>
      </c>
      <c r="G2676" s="17" t="n">
        <v>65630.95</v>
      </c>
      <c r="H2676" s="26" t="n">
        <v>44901</v>
      </c>
      <c r="I2676" s="26" t="n">
        <v>44903</v>
      </c>
      <c r="J2676" s="12" t="n">
        <v>36.23</v>
      </c>
      <c r="K2676" s="17" t="n">
        <v>2393560.75</v>
      </c>
      <c r="L2676" s="12" t="n">
        <v>0</v>
      </c>
      <c r="M2676" s="12" t="n">
        <v>13</v>
      </c>
      <c r="N2676" s="27">
        <f>F2676-J2676</f>
        <v/>
      </c>
      <c r="O2676" s="16">
        <f>I2676-H2676</f>
        <v/>
      </c>
      <c r="P2676" s="14">
        <f>F2676*G2676</f>
        <v/>
      </c>
      <c r="Q2676" s="14">
        <f>J2676*G2676</f>
        <v/>
      </c>
      <c r="R2676" s="14">
        <f>K2676-Q2676</f>
        <v/>
      </c>
      <c r="S2676" s="3">
        <f>P2676*Assumptions!$B$3/100</f>
        <v/>
      </c>
      <c r="T2676" s="14">
        <f>R2676-S2676</f>
        <v/>
      </c>
      <c r="U2676" s="14">
        <f>L2676*G2676</f>
        <v/>
      </c>
    </row>
    <row r="2677">
      <c r="A2677" s="12" t="inlineStr">
        <is>
          <t>PO-2022-2675</t>
        </is>
      </c>
      <c r="B2677" s="26" t="n">
        <v>45026</v>
      </c>
      <c r="C2677" s="12" t="inlineStr">
        <is>
          <t>VS25</t>
        </is>
      </c>
      <c r="D2677" s="12" t="inlineStr">
        <is>
          <t>ERW Pipes</t>
        </is>
      </c>
      <c r="E2677" s="12" t="inlineStr">
        <is>
          <t>N</t>
        </is>
      </c>
      <c r="F2677" s="12" t="n">
        <v>12.55</v>
      </c>
      <c r="G2677" s="17" t="n">
        <v>56195.48</v>
      </c>
      <c r="H2677" s="26" t="n">
        <v>45033</v>
      </c>
      <c r="I2677" s="26" t="n">
        <v>45035</v>
      </c>
      <c r="J2677" s="12" t="n">
        <v>12.52</v>
      </c>
      <c r="K2677" s="17" t="n">
        <v>705253.27</v>
      </c>
      <c r="L2677" s="12" t="n">
        <v>0</v>
      </c>
      <c r="M2677" s="12" t="n">
        <v>0</v>
      </c>
      <c r="N2677" s="27">
        <f>F2677-J2677</f>
        <v/>
      </c>
      <c r="O2677" s="16">
        <f>I2677-H2677</f>
        <v/>
      </c>
      <c r="P2677" s="14">
        <f>F2677*G2677</f>
        <v/>
      </c>
      <c r="Q2677" s="14">
        <f>J2677*G2677</f>
        <v/>
      </c>
      <c r="R2677" s="14">
        <f>K2677-Q2677</f>
        <v/>
      </c>
      <c r="S2677" s="3">
        <f>P2677*Assumptions!$B$3/100</f>
        <v/>
      </c>
      <c r="T2677" s="14">
        <f>R2677-S2677</f>
        <v/>
      </c>
      <c r="U2677" s="14">
        <f>L2677*G2677</f>
        <v/>
      </c>
    </row>
    <row r="2678">
      <c r="A2678" s="12" t="inlineStr">
        <is>
          <t>PO-2022-2676</t>
        </is>
      </c>
      <c r="B2678" s="26" t="n">
        <v>45244</v>
      </c>
      <c r="C2678" s="12" t="inlineStr">
        <is>
          <t>VS15</t>
        </is>
      </c>
      <c r="D2678" s="12" t="inlineStr">
        <is>
          <t>MS Flats</t>
        </is>
      </c>
      <c r="E2678" s="12" t="inlineStr">
        <is>
          <t>N</t>
        </is>
      </c>
      <c r="F2678" s="12" t="n">
        <v>19.11</v>
      </c>
      <c r="G2678" s="17" t="n">
        <v>48674.84</v>
      </c>
      <c r="H2678" s="26" t="n">
        <v>45251</v>
      </c>
      <c r="I2678" s="26" t="n">
        <v>45252</v>
      </c>
      <c r="J2678" s="12" t="n">
        <v>19.03</v>
      </c>
      <c r="K2678" s="17" t="n">
        <v>930176.1899999999</v>
      </c>
      <c r="L2678" s="12" t="n">
        <v>0</v>
      </c>
      <c r="M2678" s="12" t="n">
        <v>10</v>
      </c>
      <c r="N2678" s="27">
        <f>F2678-J2678</f>
        <v/>
      </c>
      <c r="O2678" s="16">
        <f>I2678-H2678</f>
        <v/>
      </c>
      <c r="P2678" s="14">
        <f>F2678*G2678</f>
        <v/>
      </c>
      <c r="Q2678" s="14">
        <f>J2678*G2678</f>
        <v/>
      </c>
      <c r="R2678" s="14">
        <f>K2678-Q2678</f>
        <v/>
      </c>
      <c r="S2678" s="3">
        <f>P2678*Assumptions!$B$3/100</f>
        <v/>
      </c>
      <c r="T2678" s="14">
        <f>R2678-S2678</f>
        <v/>
      </c>
      <c r="U2678" s="14">
        <f>L2678*G2678</f>
        <v/>
      </c>
    </row>
    <row r="2679">
      <c r="A2679" s="12" t="inlineStr">
        <is>
          <t>PO-2022-2677</t>
        </is>
      </c>
      <c r="B2679" s="26" t="n">
        <v>44545</v>
      </c>
      <c r="C2679" s="12" t="inlineStr">
        <is>
          <t>VS25</t>
        </is>
      </c>
      <c r="D2679" s="12" t="inlineStr">
        <is>
          <t>GI Pipes</t>
        </is>
      </c>
      <c r="E2679" s="12" t="inlineStr">
        <is>
          <t>N</t>
        </is>
      </c>
      <c r="F2679" s="12" t="n">
        <v>28.07</v>
      </c>
      <c r="G2679" s="17" t="n">
        <v>47953.2</v>
      </c>
      <c r="H2679" s="26" t="n">
        <v>44555</v>
      </c>
      <c r="I2679" s="26" t="n">
        <v>44558</v>
      </c>
      <c r="J2679" s="12" t="n">
        <v>27.9</v>
      </c>
      <c r="K2679" s="17" t="n">
        <v>1346046.32</v>
      </c>
      <c r="L2679" s="12" t="n">
        <v>0</v>
      </c>
      <c r="M2679" s="12" t="n">
        <v>0</v>
      </c>
      <c r="N2679" s="27">
        <f>F2679-J2679</f>
        <v/>
      </c>
      <c r="O2679" s="16">
        <f>I2679-H2679</f>
        <v/>
      </c>
      <c r="P2679" s="14">
        <f>F2679*G2679</f>
        <v/>
      </c>
      <c r="Q2679" s="14">
        <f>J2679*G2679</f>
        <v/>
      </c>
      <c r="R2679" s="14">
        <f>K2679-Q2679</f>
        <v/>
      </c>
      <c r="S2679" s="3">
        <f>P2679*Assumptions!$B$3/100</f>
        <v/>
      </c>
      <c r="T2679" s="14">
        <f>R2679-S2679</f>
        <v/>
      </c>
      <c r="U2679" s="14">
        <f>L2679*G2679</f>
        <v/>
      </c>
    </row>
    <row r="2680">
      <c r="A2680" s="12" t="inlineStr">
        <is>
          <t>PO-2022-2678</t>
        </is>
      </c>
      <c r="B2680" s="26" t="n">
        <v>44305</v>
      </c>
      <c r="C2680" s="12" t="inlineStr">
        <is>
          <t>VS27</t>
        </is>
      </c>
      <c r="D2680" s="12" t="inlineStr">
        <is>
          <t>GI Sheets</t>
        </is>
      </c>
      <c r="E2680" s="12" t="inlineStr">
        <is>
          <t>N</t>
        </is>
      </c>
      <c r="F2680" s="12" t="n">
        <v>12.78</v>
      </c>
      <c r="G2680" s="17" t="n">
        <v>90157.69</v>
      </c>
      <c r="H2680" s="26" t="n">
        <v>44317</v>
      </c>
      <c r="I2680" s="26" t="n">
        <v>44318</v>
      </c>
      <c r="J2680" s="12" t="n">
        <v>12.76</v>
      </c>
      <c r="K2680" s="17" t="n">
        <v>1152215.28</v>
      </c>
      <c r="L2680" s="12" t="n">
        <v>0</v>
      </c>
      <c r="M2680" s="12" t="n">
        <v>0</v>
      </c>
      <c r="N2680" s="27">
        <f>F2680-J2680</f>
        <v/>
      </c>
      <c r="O2680" s="16">
        <f>I2680-H2680</f>
        <v/>
      </c>
      <c r="P2680" s="14">
        <f>F2680*G2680</f>
        <v/>
      </c>
      <c r="Q2680" s="14">
        <f>J2680*G2680</f>
        <v/>
      </c>
      <c r="R2680" s="14">
        <f>K2680-Q2680</f>
        <v/>
      </c>
      <c r="S2680" s="3">
        <f>P2680*Assumptions!$B$3/100</f>
        <v/>
      </c>
      <c r="T2680" s="14">
        <f>R2680-S2680</f>
        <v/>
      </c>
      <c r="U2680" s="14">
        <f>L2680*G2680</f>
        <v/>
      </c>
    </row>
    <row r="2681">
      <c r="A2681" s="12" t="inlineStr">
        <is>
          <t>PO-2022-2679</t>
        </is>
      </c>
      <c r="B2681" s="26" t="n">
        <v>45139</v>
      </c>
      <c r="C2681" s="12" t="inlineStr">
        <is>
          <t>VS23</t>
        </is>
      </c>
      <c r="D2681" s="12" t="inlineStr">
        <is>
          <t>MS Pipes</t>
        </is>
      </c>
      <c r="E2681" s="12" t="inlineStr">
        <is>
          <t>N</t>
        </is>
      </c>
      <c r="F2681" s="12" t="n">
        <v>38.85</v>
      </c>
      <c r="G2681" s="17" t="n">
        <v>103396.04</v>
      </c>
      <c r="H2681" s="26" t="n">
        <v>45150</v>
      </c>
      <c r="I2681" s="26" t="n">
        <v>45152</v>
      </c>
      <c r="J2681" s="12" t="n">
        <v>38.64</v>
      </c>
      <c r="K2681" s="17" t="n">
        <v>4016936.15</v>
      </c>
      <c r="L2681" s="12" t="n">
        <v>0</v>
      </c>
      <c r="M2681" s="12" t="n">
        <v>0</v>
      </c>
      <c r="N2681" s="27">
        <f>F2681-J2681</f>
        <v/>
      </c>
      <c r="O2681" s="16">
        <f>I2681-H2681</f>
        <v/>
      </c>
      <c r="P2681" s="14">
        <f>F2681*G2681</f>
        <v/>
      </c>
      <c r="Q2681" s="14">
        <f>J2681*G2681</f>
        <v/>
      </c>
      <c r="R2681" s="14">
        <f>K2681-Q2681</f>
        <v/>
      </c>
      <c r="S2681" s="3">
        <f>P2681*Assumptions!$B$3/100</f>
        <v/>
      </c>
      <c r="T2681" s="14">
        <f>R2681-S2681</f>
        <v/>
      </c>
      <c r="U2681" s="14">
        <f>L2681*G2681</f>
        <v/>
      </c>
    </row>
    <row r="2682">
      <c r="A2682" s="12" t="inlineStr">
        <is>
          <t>PO-2022-2680</t>
        </is>
      </c>
      <c r="B2682" s="26" t="n">
        <v>44575</v>
      </c>
      <c r="C2682" s="12" t="inlineStr">
        <is>
          <t>VS09</t>
        </is>
      </c>
      <c r="D2682" s="12" t="inlineStr">
        <is>
          <t>SS Pipes</t>
        </is>
      </c>
      <c r="E2682" s="12" t="inlineStr">
        <is>
          <t>Y</t>
        </is>
      </c>
      <c r="F2682" s="12" t="n">
        <v>3.97</v>
      </c>
      <c r="G2682" s="17" t="n">
        <v>105149.53</v>
      </c>
      <c r="H2682" s="26" t="n">
        <v>44579</v>
      </c>
      <c r="I2682" s="26" t="n">
        <v>44582</v>
      </c>
      <c r="J2682" s="12" t="n">
        <v>3.94</v>
      </c>
      <c r="K2682" s="17" t="n">
        <v>417443.63</v>
      </c>
      <c r="L2682" s="12" t="n">
        <v>0</v>
      </c>
      <c r="M2682" s="12" t="n">
        <v>0</v>
      </c>
      <c r="N2682" s="27">
        <f>F2682-J2682</f>
        <v/>
      </c>
      <c r="O2682" s="16">
        <f>I2682-H2682</f>
        <v/>
      </c>
      <c r="P2682" s="14">
        <f>F2682*G2682</f>
        <v/>
      </c>
      <c r="Q2682" s="14">
        <f>J2682*G2682</f>
        <v/>
      </c>
      <c r="R2682" s="14">
        <f>K2682-Q2682</f>
        <v/>
      </c>
      <c r="S2682" s="3">
        <f>P2682*Assumptions!$B$3/100</f>
        <v/>
      </c>
      <c r="T2682" s="14">
        <f>R2682-S2682</f>
        <v/>
      </c>
      <c r="U2682" s="14">
        <f>L2682*G2682</f>
        <v/>
      </c>
    </row>
    <row r="2683">
      <c r="A2683" s="12" t="inlineStr">
        <is>
          <t>PO-2022-2681</t>
        </is>
      </c>
      <c r="B2683" s="26" t="n">
        <v>44999</v>
      </c>
      <c r="C2683" s="12" t="inlineStr">
        <is>
          <t>VS17</t>
        </is>
      </c>
      <c r="D2683" s="12" t="inlineStr">
        <is>
          <t>Hex Bars</t>
        </is>
      </c>
      <c r="E2683" s="12" t="inlineStr">
        <is>
          <t>N</t>
        </is>
      </c>
      <c r="F2683" s="12" t="n">
        <v>7.09</v>
      </c>
      <c r="G2683" s="17" t="n">
        <v>86684.50999999999</v>
      </c>
      <c r="H2683" s="26" t="n">
        <v>45010</v>
      </c>
      <c r="I2683" s="26" t="n">
        <v>45013</v>
      </c>
      <c r="J2683" s="12" t="n">
        <v>7.08</v>
      </c>
      <c r="K2683" s="17" t="n">
        <v>614593.1800000001</v>
      </c>
      <c r="L2683" s="12" t="n">
        <v>0</v>
      </c>
      <c r="M2683" s="12" t="n">
        <v>15</v>
      </c>
      <c r="N2683" s="27">
        <f>F2683-J2683</f>
        <v/>
      </c>
      <c r="O2683" s="16">
        <f>I2683-H2683</f>
        <v/>
      </c>
      <c r="P2683" s="14">
        <f>F2683*G2683</f>
        <v/>
      </c>
      <c r="Q2683" s="14">
        <f>J2683*G2683</f>
        <v/>
      </c>
      <c r="R2683" s="14">
        <f>K2683-Q2683</f>
        <v/>
      </c>
      <c r="S2683" s="3">
        <f>P2683*Assumptions!$B$3/100</f>
        <v/>
      </c>
      <c r="T2683" s="14">
        <f>R2683-S2683</f>
        <v/>
      </c>
      <c r="U2683" s="14">
        <f>L2683*G2683</f>
        <v/>
      </c>
    </row>
    <row r="2684">
      <c r="A2684" s="12" t="inlineStr">
        <is>
          <t>PO-2022-2682</t>
        </is>
      </c>
      <c r="B2684" s="26" t="n">
        <v>44207</v>
      </c>
      <c r="C2684" s="12" t="inlineStr">
        <is>
          <t>VS17</t>
        </is>
      </c>
      <c r="D2684" s="12" t="inlineStr">
        <is>
          <t>CR Sheets</t>
        </is>
      </c>
      <c r="E2684" s="12" t="inlineStr">
        <is>
          <t>N</t>
        </is>
      </c>
      <c r="F2684" s="12" t="n">
        <v>48.15</v>
      </c>
      <c r="G2684" s="17" t="n">
        <v>93283.31</v>
      </c>
      <c r="H2684" s="26" t="n">
        <v>44218</v>
      </c>
      <c r="I2684" s="26" t="n">
        <v>44219</v>
      </c>
      <c r="J2684" s="12" t="n">
        <v>47.9</v>
      </c>
      <c r="K2684" s="17" t="n">
        <v>4491591.38</v>
      </c>
      <c r="L2684" s="12" t="n">
        <v>0</v>
      </c>
      <c r="M2684" s="12" t="n">
        <v>1</v>
      </c>
      <c r="N2684" s="27">
        <f>F2684-J2684</f>
        <v/>
      </c>
      <c r="O2684" s="16">
        <f>I2684-H2684</f>
        <v/>
      </c>
      <c r="P2684" s="14">
        <f>F2684*G2684</f>
        <v/>
      </c>
      <c r="Q2684" s="14">
        <f>J2684*G2684</f>
        <v/>
      </c>
      <c r="R2684" s="14">
        <f>K2684-Q2684</f>
        <v/>
      </c>
      <c r="S2684" s="3">
        <f>P2684*Assumptions!$B$3/100</f>
        <v/>
      </c>
      <c r="T2684" s="14">
        <f>R2684-S2684</f>
        <v/>
      </c>
      <c r="U2684" s="14">
        <f>L2684*G2684</f>
        <v/>
      </c>
    </row>
    <row r="2685">
      <c r="A2685" s="12" t="inlineStr">
        <is>
          <t>PO-2022-2683</t>
        </is>
      </c>
      <c r="B2685" s="26" t="n">
        <v>45167</v>
      </c>
      <c r="C2685" s="12" t="inlineStr">
        <is>
          <t>VS32</t>
        </is>
      </c>
      <c r="D2685" s="12" t="inlineStr">
        <is>
          <t>HR Coils</t>
        </is>
      </c>
      <c r="E2685" s="12" t="inlineStr">
        <is>
          <t>N</t>
        </is>
      </c>
      <c r="F2685" s="12" t="n">
        <v>26.27</v>
      </c>
      <c r="G2685" s="17" t="n">
        <v>73356.59</v>
      </c>
      <c r="H2685" s="26" t="n">
        <v>45182</v>
      </c>
      <c r="I2685" s="26" t="n">
        <v>45184</v>
      </c>
      <c r="J2685" s="12" t="n">
        <v>26.13</v>
      </c>
      <c r="K2685" s="17" t="n">
        <v>1927077.62</v>
      </c>
      <c r="L2685" s="12" t="n">
        <v>0</v>
      </c>
      <c r="M2685" s="12" t="n">
        <v>0</v>
      </c>
      <c r="N2685" s="27">
        <f>F2685-J2685</f>
        <v/>
      </c>
      <c r="O2685" s="16">
        <f>I2685-H2685</f>
        <v/>
      </c>
      <c r="P2685" s="14">
        <f>F2685*G2685</f>
        <v/>
      </c>
      <c r="Q2685" s="14">
        <f>J2685*G2685</f>
        <v/>
      </c>
      <c r="R2685" s="14">
        <f>K2685-Q2685</f>
        <v/>
      </c>
      <c r="S2685" s="3">
        <f>P2685*Assumptions!$B$3/100</f>
        <v/>
      </c>
      <c r="T2685" s="14">
        <f>R2685-S2685</f>
        <v/>
      </c>
      <c r="U2685" s="14">
        <f>L2685*G2685</f>
        <v/>
      </c>
    </row>
    <row r="2686">
      <c r="A2686" s="12" t="inlineStr">
        <is>
          <t>PO-2022-2684</t>
        </is>
      </c>
      <c r="B2686" s="26" t="n">
        <v>44581</v>
      </c>
      <c r="C2686" s="12" t="inlineStr">
        <is>
          <t>VS34</t>
        </is>
      </c>
      <c r="D2686" s="12" t="inlineStr">
        <is>
          <t>SS Pipes</t>
        </is>
      </c>
      <c r="E2686" s="12" t="inlineStr">
        <is>
          <t>N</t>
        </is>
      </c>
      <c r="F2686" s="12" t="n">
        <v>20.59</v>
      </c>
      <c r="G2686" s="17" t="n">
        <v>63167.04</v>
      </c>
      <c r="H2686" s="26" t="n">
        <v>44594</v>
      </c>
      <c r="I2686" s="26" t="n">
        <v>44595</v>
      </c>
      <c r="J2686" s="12" t="n">
        <v>20.44</v>
      </c>
      <c r="K2686" s="17" t="n">
        <v>1300609.35</v>
      </c>
      <c r="L2686" s="12" t="n">
        <v>0</v>
      </c>
      <c r="M2686" s="12" t="n">
        <v>22</v>
      </c>
      <c r="N2686" s="27">
        <f>F2686-J2686</f>
        <v/>
      </c>
      <c r="O2686" s="16">
        <f>I2686-H2686</f>
        <v/>
      </c>
      <c r="P2686" s="14">
        <f>F2686*G2686</f>
        <v/>
      </c>
      <c r="Q2686" s="14">
        <f>J2686*G2686</f>
        <v/>
      </c>
      <c r="R2686" s="14">
        <f>K2686-Q2686</f>
        <v/>
      </c>
      <c r="S2686" s="3">
        <f>P2686*Assumptions!$B$3/100</f>
        <v/>
      </c>
      <c r="T2686" s="14">
        <f>R2686-S2686</f>
        <v/>
      </c>
      <c r="U2686" s="14">
        <f>L2686*G2686</f>
        <v/>
      </c>
    </row>
    <row r="2687">
      <c r="A2687" s="12" t="inlineStr">
        <is>
          <t>PO-2022-2685</t>
        </is>
      </c>
      <c r="B2687" s="26" t="n">
        <v>44331</v>
      </c>
      <c r="C2687" s="12" t="inlineStr">
        <is>
          <t>VS10</t>
        </is>
      </c>
      <c r="D2687" s="12" t="inlineStr">
        <is>
          <t>MS Rods</t>
        </is>
      </c>
      <c r="E2687" s="12" t="inlineStr">
        <is>
          <t>N</t>
        </is>
      </c>
      <c r="F2687" s="12" t="n">
        <v>31.33</v>
      </c>
      <c r="G2687" s="17" t="n">
        <v>67136.33</v>
      </c>
      <c r="H2687" s="26" t="n">
        <v>44336</v>
      </c>
      <c r="I2687" s="26" t="n">
        <v>44339</v>
      </c>
      <c r="J2687" s="12" t="n">
        <v>31.15</v>
      </c>
      <c r="K2687" s="17" t="n">
        <v>2103381.22</v>
      </c>
      <c r="L2687" s="12" t="n">
        <v>0</v>
      </c>
      <c r="M2687" s="12" t="n">
        <v>18</v>
      </c>
      <c r="N2687" s="27">
        <f>F2687-J2687</f>
        <v/>
      </c>
      <c r="O2687" s="16">
        <f>I2687-H2687</f>
        <v/>
      </c>
      <c r="P2687" s="14">
        <f>F2687*G2687</f>
        <v/>
      </c>
      <c r="Q2687" s="14">
        <f>J2687*G2687</f>
        <v/>
      </c>
      <c r="R2687" s="14">
        <f>K2687-Q2687</f>
        <v/>
      </c>
      <c r="S2687" s="3">
        <f>P2687*Assumptions!$B$3/100</f>
        <v/>
      </c>
      <c r="T2687" s="14">
        <f>R2687-S2687</f>
        <v/>
      </c>
      <c r="U2687" s="14">
        <f>L2687*G2687</f>
        <v/>
      </c>
    </row>
    <row r="2688">
      <c r="A2688" s="12" t="inlineStr">
        <is>
          <t>PO-2022-2686</t>
        </is>
      </c>
      <c r="B2688" s="26" t="n">
        <v>45265</v>
      </c>
      <c r="C2688" s="12" t="inlineStr">
        <is>
          <t>VS20</t>
        </is>
      </c>
      <c r="D2688" s="12" t="inlineStr">
        <is>
          <t>GI Wire</t>
        </is>
      </c>
      <c r="E2688" s="12" t="inlineStr">
        <is>
          <t>N</t>
        </is>
      </c>
      <c r="F2688" s="12" t="n">
        <v>15.58</v>
      </c>
      <c r="G2688" s="17" t="n">
        <v>46553.2</v>
      </c>
      <c r="H2688" s="26" t="n">
        <v>45274</v>
      </c>
      <c r="I2688" s="26" t="n">
        <v>45274</v>
      </c>
      <c r="J2688" s="12" t="n">
        <v>15.48</v>
      </c>
      <c r="K2688" s="17" t="n">
        <v>725298.86</v>
      </c>
      <c r="L2688" s="12" t="n">
        <v>0</v>
      </c>
      <c r="M2688" s="12" t="n">
        <v>0</v>
      </c>
      <c r="N2688" s="27">
        <f>F2688-J2688</f>
        <v/>
      </c>
      <c r="O2688" s="16">
        <f>I2688-H2688</f>
        <v/>
      </c>
      <c r="P2688" s="14">
        <f>F2688*G2688</f>
        <v/>
      </c>
      <c r="Q2688" s="14">
        <f>J2688*G2688</f>
        <v/>
      </c>
      <c r="R2688" s="14">
        <f>K2688-Q2688</f>
        <v/>
      </c>
      <c r="S2688" s="3">
        <f>P2688*Assumptions!$B$3/100</f>
        <v/>
      </c>
      <c r="T2688" s="14">
        <f>R2688-S2688</f>
        <v/>
      </c>
      <c r="U2688" s="14">
        <f>L2688*G2688</f>
        <v/>
      </c>
    </row>
    <row r="2689">
      <c r="A2689" s="12" t="inlineStr">
        <is>
          <t>PO-2022-2687</t>
        </is>
      </c>
      <c r="B2689" s="26" t="n">
        <v>44464</v>
      </c>
      <c r="C2689" s="12" t="inlineStr">
        <is>
          <t>VS24</t>
        </is>
      </c>
      <c r="D2689" s="12" t="inlineStr">
        <is>
          <t>Hex Bars</t>
        </is>
      </c>
      <c r="E2689" s="12" t="inlineStr">
        <is>
          <t>N</t>
        </is>
      </c>
      <c r="F2689" s="12" t="n">
        <v>22.11</v>
      </c>
      <c r="G2689" s="17" t="n">
        <v>52806.97</v>
      </c>
      <c r="H2689" s="26" t="n">
        <v>44479</v>
      </c>
      <c r="I2689" s="26" t="n">
        <v>44482</v>
      </c>
      <c r="J2689" s="12" t="n">
        <v>21.91</v>
      </c>
      <c r="K2689" s="17" t="n">
        <v>1167562.11</v>
      </c>
      <c r="L2689" s="12" t="n">
        <v>0</v>
      </c>
      <c r="M2689" s="12" t="n">
        <v>2</v>
      </c>
      <c r="N2689" s="27">
        <f>F2689-J2689</f>
        <v/>
      </c>
      <c r="O2689" s="16">
        <f>I2689-H2689</f>
        <v/>
      </c>
      <c r="P2689" s="14">
        <f>F2689*G2689</f>
        <v/>
      </c>
      <c r="Q2689" s="14">
        <f>J2689*G2689</f>
        <v/>
      </c>
      <c r="R2689" s="14">
        <f>K2689-Q2689</f>
        <v/>
      </c>
      <c r="S2689" s="3">
        <f>P2689*Assumptions!$B$3/100</f>
        <v/>
      </c>
      <c r="T2689" s="14">
        <f>R2689-S2689</f>
        <v/>
      </c>
      <c r="U2689" s="14">
        <f>L2689*G2689</f>
        <v/>
      </c>
    </row>
    <row r="2690">
      <c r="A2690" s="12" t="inlineStr">
        <is>
          <t>PO-2022-2688</t>
        </is>
      </c>
      <c r="B2690" s="26" t="n">
        <v>44712</v>
      </c>
      <c r="C2690" s="12" t="inlineStr">
        <is>
          <t>VS06</t>
        </is>
      </c>
      <c r="D2690" s="12" t="inlineStr">
        <is>
          <t>Fasteners &amp; Fittings</t>
        </is>
      </c>
      <c r="E2690" s="12" t="inlineStr">
        <is>
          <t>N</t>
        </is>
      </c>
      <c r="F2690" s="12" t="n">
        <v>43.8</v>
      </c>
      <c r="G2690" s="17" t="n">
        <v>106652.77</v>
      </c>
      <c r="H2690" s="26" t="n">
        <v>44719</v>
      </c>
      <c r="I2690" s="26" t="n">
        <v>44722</v>
      </c>
      <c r="J2690" s="12" t="n">
        <v>43.74</v>
      </c>
      <c r="K2690" s="17" t="n">
        <v>4671391.33</v>
      </c>
      <c r="L2690" s="12" t="n">
        <v>0</v>
      </c>
      <c r="M2690" s="12" t="n">
        <v>18</v>
      </c>
      <c r="N2690" s="27">
        <f>F2690-J2690</f>
        <v/>
      </c>
      <c r="O2690" s="16">
        <f>I2690-H2690</f>
        <v/>
      </c>
      <c r="P2690" s="14">
        <f>F2690*G2690</f>
        <v/>
      </c>
      <c r="Q2690" s="14">
        <f>J2690*G2690</f>
        <v/>
      </c>
      <c r="R2690" s="14">
        <f>K2690-Q2690</f>
        <v/>
      </c>
      <c r="S2690" s="3">
        <f>P2690*Assumptions!$B$3/100</f>
        <v/>
      </c>
      <c r="T2690" s="14">
        <f>R2690-S2690</f>
        <v/>
      </c>
      <c r="U2690" s="14">
        <f>L2690*G2690</f>
        <v/>
      </c>
    </row>
    <row r="2691">
      <c r="A2691" s="12" t="inlineStr">
        <is>
          <t>PO-2022-2689</t>
        </is>
      </c>
      <c r="B2691" s="26" t="n">
        <v>44995</v>
      </c>
      <c r="C2691" s="12" t="inlineStr">
        <is>
          <t>VS11</t>
        </is>
      </c>
      <c r="D2691" s="12" t="inlineStr">
        <is>
          <t>Angles &amp; Channels</t>
        </is>
      </c>
      <c r="E2691" s="12" t="inlineStr">
        <is>
          <t>N</t>
        </is>
      </c>
      <c r="F2691" s="12" t="n">
        <v>47.36</v>
      </c>
      <c r="G2691" s="17" t="n">
        <v>73024.87</v>
      </c>
      <c r="H2691" s="26" t="n">
        <v>45002</v>
      </c>
      <c r="I2691" s="26" t="n">
        <v>45003</v>
      </c>
      <c r="J2691" s="12" t="n">
        <v>47.12</v>
      </c>
      <c r="K2691" s="17" t="n">
        <v>3458457.84</v>
      </c>
      <c r="L2691" s="12" t="n">
        <v>0</v>
      </c>
      <c r="M2691" s="12" t="n">
        <v>17</v>
      </c>
      <c r="N2691" s="27">
        <f>F2691-J2691</f>
        <v/>
      </c>
      <c r="O2691" s="16">
        <f>I2691-H2691</f>
        <v/>
      </c>
      <c r="P2691" s="14">
        <f>F2691*G2691</f>
        <v/>
      </c>
      <c r="Q2691" s="14">
        <f>J2691*G2691</f>
        <v/>
      </c>
      <c r="R2691" s="14">
        <f>K2691-Q2691</f>
        <v/>
      </c>
      <c r="S2691" s="3">
        <f>P2691*Assumptions!$B$3/100</f>
        <v/>
      </c>
      <c r="T2691" s="14">
        <f>R2691-S2691</f>
        <v/>
      </c>
      <c r="U2691" s="14">
        <f>L2691*G2691</f>
        <v/>
      </c>
    </row>
    <row r="2692">
      <c r="A2692" s="12" t="inlineStr">
        <is>
          <t>PO-2022-2690</t>
        </is>
      </c>
      <c r="B2692" s="26" t="n">
        <v>44283</v>
      </c>
      <c r="C2692" s="12" t="inlineStr">
        <is>
          <t>VS12</t>
        </is>
      </c>
      <c r="D2692" s="12" t="inlineStr">
        <is>
          <t>MS Rods</t>
        </is>
      </c>
      <c r="E2692" s="12" t="inlineStr">
        <is>
          <t>N</t>
        </is>
      </c>
      <c r="F2692" s="12" t="n">
        <v>39.64</v>
      </c>
      <c r="G2692" s="17" t="n">
        <v>103047.68</v>
      </c>
      <c r="H2692" s="26" t="n">
        <v>44291</v>
      </c>
      <c r="I2692" s="26" t="n">
        <v>44299</v>
      </c>
      <c r="J2692" s="12" t="n">
        <v>38.54</v>
      </c>
      <c r="K2692" s="17" t="n">
        <v>4084810.04</v>
      </c>
      <c r="L2692" s="12" t="n">
        <v>1</v>
      </c>
      <c r="M2692" s="12" t="n">
        <v>22</v>
      </c>
      <c r="N2692" s="27">
        <f>F2692-J2692</f>
        <v/>
      </c>
      <c r="O2692" s="16">
        <f>I2692-H2692</f>
        <v/>
      </c>
      <c r="P2692" s="14">
        <f>F2692*G2692</f>
        <v/>
      </c>
      <c r="Q2692" s="14">
        <f>J2692*G2692</f>
        <v/>
      </c>
      <c r="R2692" s="14">
        <f>K2692-Q2692</f>
        <v/>
      </c>
      <c r="S2692" s="3">
        <f>P2692*Assumptions!$B$3/100</f>
        <v/>
      </c>
      <c r="T2692" s="14">
        <f>R2692-S2692</f>
        <v/>
      </c>
      <c r="U2692" s="14">
        <f>L2692*G2692</f>
        <v/>
      </c>
    </row>
    <row r="2693">
      <c r="A2693" s="12" t="inlineStr">
        <is>
          <t>PO-2022-2691</t>
        </is>
      </c>
      <c r="B2693" s="26" t="n">
        <v>44893</v>
      </c>
      <c r="C2693" s="12" t="inlineStr">
        <is>
          <t>VS12</t>
        </is>
      </c>
      <c r="D2693" s="12" t="inlineStr">
        <is>
          <t>SS Sheets</t>
        </is>
      </c>
      <c r="E2693" s="12" t="inlineStr">
        <is>
          <t>N</t>
        </is>
      </c>
      <c r="F2693" s="12" t="n">
        <v>10.39</v>
      </c>
      <c r="G2693" s="17" t="n">
        <v>114306.51</v>
      </c>
      <c r="H2693" s="26" t="n">
        <v>44907</v>
      </c>
      <c r="I2693" s="26" t="n">
        <v>44913</v>
      </c>
      <c r="J2693" s="12" t="n">
        <v>10.17</v>
      </c>
      <c r="K2693" s="17" t="n">
        <v>1187644.64</v>
      </c>
      <c r="L2693" s="12" t="n">
        <v>0.14</v>
      </c>
      <c r="M2693" s="12" t="n">
        <v>0</v>
      </c>
      <c r="N2693" s="27">
        <f>F2693-J2693</f>
        <v/>
      </c>
      <c r="O2693" s="16">
        <f>I2693-H2693</f>
        <v/>
      </c>
      <c r="P2693" s="14">
        <f>F2693*G2693</f>
        <v/>
      </c>
      <c r="Q2693" s="14">
        <f>J2693*G2693</f>
        <v/>
      </c>
      <c r="R2693" s="14">
        <f>K2693-Q2693</f>
        <v/>
      </c>
      <c r="S2693" s="3">
        <f>P2693*Assumptions!$B$3/100</f>
        <v/>
      </c>
      <c r="T2693" s="14">
        <f>R2693-S2693</f>
        <v/>
      </c>
      <c r="U2693" s="14">
        <f>L2693*G2693</f>
        <v/>
      </c>
    </row>
    <row r="2694">
      <c r="A2694" s="12" t="inlineStr">
        <is>
          <t>PO-2022-2692</t>
        </is>
      </c>
      <c r="B2694" s="26" t="n">
        <v>44244</v>
      </c>
      <c r="C2694" s="12" t="inlineStr">
        <is>
          <t>VS06</t>
        </is>
      </c>
      <c r="D2694" s="12" t="inlineStr">
        <is>
          <t>Structural Steel</t>
        </is>
      </c>
      <c r="E2694" s="12" t="inlineStr">
        <is>
          <t>N</t>
        </is>
      </c>
      <c r="F2694" s="12" t="n">
        <v>19.49</v>
      </c>
      <c r="G2694" s="17" t="n">
        <v>75839.37</v>
      </c>
      <c r="H2694" s="26" t="n">
        <v>44251</v>
      </c>
      <c r="I2694" s="26" t="n">
        <v>44253</v>
      </c>
      <c r="J2694" s="12" t="n">
        <v>19.47</v>
      </c>
      <c r="K2694" s="17" t="n">
        <v>1478109.32</v>
      </c>
      <c r="L2694" s="12" t="n">
        <v>0</v>
      </c>
      <c r="M2694" s="12" t="n">
        <v>0</v>
      </c>
      <c r="N2694" s="27">
        <f>F2694-J2694</f>
        <v/>
      </c>
      <c r="O2694" s="16">
        <f>I2694-H2694</f>
        <v/>
      </c>
      <c r="P2694" s="14">
        <f>F2694*G2694</f>
        <v/>
      </c>
      <c r="Q2694" s="14">
        <f>J2694*G2694</f>
        <v/>
      </c>
      <c r="R2694" s="14">
        <f>K2694-Q2694</f>
        <v/>
      </c>
      <c r="S2694" s="3">
        <f>P2694*Assumptions!$B$3/100</f>
        <v/>
      </c>
      <c r="T2694" s="14">
        <f>R2694-S2694</f>
        <v/>
      </c>
      <c r="U2694" s="14">
        <f>L2694*G2694</f>
        <v/>
      </c>
    </row>
    <row r="2695">
      <c r="A2695" s="12" t="inlineStr">
        <is>
          <t>PO-2022-2693</t>
        </is>
      </c>
      <c r="B2695" s="26" t="n">
        <v>44792</v>
      </c>
      <c r="C2695" s="12" t="inlineStr">
        <is>
          <t>VS33</t>
        </is>
      </c>
      <c r="D2695" s="12" t="inlineStr">
        <is>
          <t>Hex Bars</t>
        </is>
      </c>
      <c r="E2695" s="12" t="inlineStr">
        <is>
          <t>N</t>
        </is>
      </c>
      <c r="F2695" s="12" t="n">
        <v>25.76</v>
      </c>
      <c r="G2695" s="17" t="n">
        <v>113853.86</v>
      </c>
      <c r="H2695" s="26" t="n">
        <v>44807</v>
      </c>
      <c r="I2695" s="26" t="n">
        <v>44809</v>
      </c>
      <c r="J2695" s="12" t="n">
        <v>25.52</v>
      </c>
      <c r="K2695" s="17" t="n">
        <v>2932875.43</v>
      </c>
      <c r="L2695" s="12" t="n">
        <v>0</v>
      </c>
      <c r="M2695" s="12" t="n">
        <v>16</v>
      </c>
      <c r="N2695" s="27">
        <f>F2695-J2695</f>
        <v/>
      </c>
      <c r="O2695" s="16">
        <f>I2695-H2695</f>
        <v/>
      </c>
      <c r="P2695" s="14">
        <f>F2695*G2695</f>
        <v/>
      </c>
      <c r="Q2695" s="14">
        <f>J2695*G2695</f>
        <v/>
      </c>
      <c r="R2695" s="14">
        <f>K2695-Q2695</f>
        <v/>
      </c>
      <c r="S2695" s="3">
        <f>P2695*Assumptions!$B$3/100</f>
        <v/>
      </c>
      <c r="T2695" s="14">
        <f>R2695-S2695</f>
        <v/>
      </c>
      <c r="U2695" s="14">
        <f>L2695*G2695</f>
        <v/>
      </c>
    </row>
    <row r="2696">
      <c r="A2696" s="12" t="inlineStr">
        <is>
          <t>PO-2022-2694</t>
        </is>
      </c>
      <c r="B2696" s="26" t="n">
        <v>44659</v>
      </c>
      <c r="C2696" s="12" t="inlineStr">
        <is>
          <t>VS07</t>
        </is>
      </c>
      <c r="D2696" s="12" t="inlineStr">
        <is>
          <t>Angles &amp; Channels</t>
        </is>
      </c>
      <c r="E2696" s="12" t="inlineStr">
        <is>
          <t>N</t>
        </is>
      </c>
      <c r="F2696" s="12" t="n">
        <v>12.83</v>
      </c>
      <c r="G2696" s="17" t="n">
        <v>97305.46000000001</v>
      </c>
      <c r="H2696" s="26" t="n">
        <v>44670</v>
      </c>
      <c r="I2696" s="26" t="n">
        <v>44672</v>
      </c>
      <c r="J2696" s="12" t="n">
        <v>12.76</v>
      </c>
      <c r="K2696" s="17" t="n">
        <v>1248429.05</v>
      </c>
      <c r="L2696" s="12" t="n">
        <v>0</v>
      </c>
      <c r="M2696" s="12" t="n">
        <v>17</v>
      </c>
      <c r="N2696" s="27">
        <f>F2696-J2696</f>
        <v/>
      </c>
      <c r="O2696" s="16">
        <f>I2696-H2696</f>
        <v/>
      </c>
      <c r="P2696" s="14">
        <f>F2696*G2696</f>
        <v/>
      </c>
      <c r="Q2696" s="14">
        <f>J2696*G2696</f>
        <v/>
      </c>
      <c r="R2696" s="14">
        <f>K2696-Q2696</f>
        <v/>
      </c>
      <c r="S2696" s="3">
        <f>P2696*Assumptions!$B$3/100</f>
        <v/>
      </c>
      <c r="T2696" s="14">
        <f>R2696-S2696</f>
        <v/>
      </c>
      <c r="U2696" s="14">
        <f>L2696*G2696</f>
        <v/>
      </c>
    </row>
    <row r="2697">
      <c r="A2697" s="12" t="inlineStr">
        <is>
          <t>PO-2022-2695</t>
        </is>
      </c>
      <c r="B2697" s="26" t="n">
        <v>44562</v>
      </c>
      <c r="C2697" s="12" t="inlineStr">
        <is>
          <t>VS18</t>
        </is>
      </c>
      <c r="D2697" s="12" t="inlineStr">
        <is>
          <t>MS Flats</t>
        </is>
      </c>
      <c r="E2697" s="12" t="inlineStr">
        <is>
          <t>N</t>
        </is>
      </c>
      <c r="F2697" s="12" t="n">
        <v>36.55</v>
      </c>
      <c r="G2697" s="17" t="n">
        <v>55069.04</v>
      </c>
      <c r="H2697" s="26" t="n">
        <v>44574</v>
      </c>
      <c r="I2697" s="26" t="n">
        <v>44575</v>
      </c>
      <c r="J2697" s="12" t="n">
        <v>36.43</v>
      </c>
      <c r="K2697" s="17" t="n">
        <v>2012773.41</v>
      </c>
      <c r="L2697" s="12" t="n">
        <v>0</v>
      </c>
      <c r="M2697" s="12" t="n">
        <v>0</v>
      </c>
      <c r="N2697" s="27">
        <f>F2697-J2697</f>
        <v/>
      </c>
      <c r="O2697" s="16">
        <f>I2697-H2697</f>
        <v/>
      </c>
      <c r="P2697" s="14">
        <f>F2697*G2697</f>
        <v/>
      </c>
      <c r="Q2697" s="14">
        <f>J2697*G2697</f>
        <v/>
      </c>
      <c r="R2697" s="14">
        <f>K2697-Q2697</f>
        <v/>
      </c>
      <c r="S2697" s="3">
        <f>P2697*Assumptions!$B$3/100</f>
        <v/>
      </c>
      <c r="T2697" s="14">
        <f>R2697-S2697</f>
        <v/>
      </c>
      <c r="U2697" s="14">
        <f>L2697*G2697</f>
        <v/>
      </c>
    </row>
    <row r="2698">
      <c r="A2698" s="12" t="inlineStr">
        <is>
          <t>PO-2022-2696</t>
        </is>
      </c>
      <c r="B2698" s="26" t="n">
        <v>44323</v>
      </c>
      <c r="C2698" s="12" t="inlineStr">
        <is>
          <t>VS22</t>
        </is>
      </c>
      <c r="D2698" s="12" t="inlineStr">
        <is>
          <t>GI Pipes</t>
        </is>
      </c>
      <c r="E2698" s="12" t="inlineStr">
        <is>
          <t>N</t>
        </is>
      </c>
      <c r="F2698" s="12" t="n">
        <v>15.2</v>
      </c>
      <c r="G2698" s="17" t="n">
        <v>92931.10000000001</v>
      </c>
      <c r="H2698" s="26" t="n">
        <v>44330</v>
      </c>
      <c r="I2698" s="26" t="n">
        <v>44330</v>
      </c>
      <c r="J2698" s="12" t="n">
        <v>15.18</v>
      </c>
      <c r="K2698" s="17" t="n">
        <v>1412552.72</v>
      </c>
      <c r="L2698" s="12" t="n">
        <v>0</v>
      </c>
      <c r="M2698" s="12" t="n">
        <v>2</v>
      </c>
      <c r="N2698" s="27">
        <f>F2698-J2698</f>
        <v/>
      </c>
      <c r="O2698" s="16">
        <f>I2698-H2698</f>
        <v/>
      </c>
      <c r="P2698" s="14">
        <f>F2698*G2698</f>
        <v/>
      </c>
      <c r="Q2698" s="14">
        <f>J2698*G2698</f>
        <v/>
      </c>
      <c r="R2698" s="14">
        <f>K2698-Q2698</f>
        <v/>
      </c>
      <c r="S2698" s="3">
        <f>P2698*Assumptions!$B$3/100</f>
        <v/>
      </c>
      <c r="T2698" s="14">
        <f>R2698-S2698</f>
        <v/>
      </c>
      <c r="U2698" s="14">
        <f>L2698*G2698</f>
        <v/>
      </c>
    </row>
    <row r="2699">
      <c r="A2699" s="12" t="inlineStr">
        <is>
          <t>PO-2022-2697</t>
        </is>
      </c>
      <c r="B2699" s="26" t="n">
        <v>44686</v>
      </c>
      <c r="C2699" s="12" t="inlineStr">
        <is>
          <t>VS14</t>
        </is>
      </c>
      <c r="D2699" s="12" t="inlineStr">
        <is>
          <t>GI Sheets</t>
        </is>
      </c>
      <c r="E2699" s="12" t="inlineStr">
        <is>
          <t>N</t>
        </is>
      </c>
      <c r="F2699" s="12" t="n">
        <v>11.24</v>
      </c>
      <c r="G2699" s="17" t="n">
        <v>102378.48</v>
      </c>
      <c r="H2699" s="26" t="n">
        <v>44694</v>
      </c>
      <c r="I2699" s="26" t="n">
        <v>44695</v>
      </c>
      <c r="J2699" s="12" t="n">
        <v>11.21</v>
      </c>
      <c r="K2699" s="17" t="n">
        <v>1150734.12</v>
      </c>
      <c r="L2699" s="12" t="n">
        <v>0</v>
      </c>
      <c r="M2699" s="12" t="n">
        <v>14</v>
      </c>
      <c r="N2699" s="27">
        <f>F2699-J2699</f>
        <v/>
      </c>
      <c r="O2699" s="16">
        <f>I2699-H2699</f>
        <v/>
      </c>
      <c r="P2699" s="14">
        <f>F2699*G2699</f>
        <v/>
      </c>
      <c r="Q2699" s="14">
        <f>J2699*G2699</f>
        <v/>
      </c>
      <c r="R2699" s="14">
        <f>K2699-Q2699</f>
        <v/>
      </c>
      <c r="S2699" s="3">
        <f>P2699*Assumptions!$B$3/100</f>
        <v/>
      </c>
      <c r="T2699" s="14">
        <f>R2699-S2699</f>
        <v/>
      </c>
      <c r="U2699" s="14">
        <f>L2699*G2699</f>
        <v/>
      </c>
    </row>
    <row r="2700">
      <c r="A2700" s="12" t="inlineStr">
        <is>
          <t>PO-2022-2698</t>
        </is>
      </c>
      <c r="B2700" s="26" t="n">
        <v>44594</v>
      </c>
      <c r="C2700" s="12" t="inlineStr">
        <is>
          <t>VS34</t>
        </is>
      </c>
      <c r="D2700" s="12" t="inlineStr">
        <is>
          <t>CR Sheets</t>
        </is>
      </c>
      <c r="E2700" s="12" t="inlineStr">
        <is>
          <t>N</t>
        </is>
      </c>
      <c r="F2700" s="12" t="n">
        <v>29.77</v>
      </c>
      <c r="G2700" s="17" t="n">
        <v>111261.02</v>
      </c>
      <c r="H2700" s="26" t="n">
        <v>44598</v>
      </c>
      <c r="I2700" s="26" t="n">
        <v>44598</v>
      </c>
      <c r="J2700" s="12" t="n">
        <v>29.63</v>
      </c>
      <c r="K2700" s="17" t="n">
        <v>3312240.57</v>
      </c>
      <c r="L2700" s="12" t="n">
        <v>0</v>
      </c>
      <c r="M2700" s="12" t="n">
        <v>16</v>
      </c>
      <c r="N2700" s="27">
        <f>F2700-J2700</f>
        <v/>
      </c>
      <c r="O2700" s="16">
        <f>I2700-H2700</f>
        <v/>
      </c>
      <c r="P2700" s="14">
        <f>F2700*G2700</f>
        <v/>
      </c>
      <c r="Q2700" s="14">
        <f>J2700*G2700</f>
        <v/>
      </c>
      <c r="R2700" s="14">
        <f>K2700-Q2700</f>
        <v/>
      </c>
      <c r="S2700" s="3">
        <f>P2700*Assumptions!$B$3/100</f>
        <v/>
      </c>
      <c r="T2700" s="14">
        <f>R2700-S2700</f>
        <v/>
      </c>
      <c r="U2700" s="14">
        <f>L2700*G2700</f>
        <v/>
      </c>
    </row>
    <row r="2701">
      <c r="A2701" s="12" t="inlineStr">
        <is>
          <t>PO-2022-2699</t>
        </is>
      </c>
      <c r="B2701" s="26" t="n">
        <v>45005</v>
      </c>
      <c r="C2701" s="12" t="inlineStr">
        <is>
          <t>VS15</t>
        </is>
      </c>
      <c r="D2701" s="12" t="inlineStr">
        <is>
          <t>Square/Rect Tubes</t>
        </is>
      </c>
      <c r="E2701" s="12" t="inlineStr">
        <is>
          <t>N</t>
        </is>
      </c>
      <c r="F2701" s="12" t="n">
        <v>40.49</v>
      </c>
      <c r="G2701" s="17" t="n">
        <v>51754.32</v>
      </c>
      <c r="H2701" s="26" t="n">
        <v>45019</v>
      </c>
      <c r="I2701" s="26" t="n">
        <v>45019</v>
      </c>
      <c r="J2701" s="12" t="n">
        <v>40.13</v>
      </c>
      <c r="K2701" s="17" t="n">
        <v>2095532.42</v>
      </c>
      <c r="L2701" s="12" t="n">
        <v>0</v>
      </c>
      <c r="M2701" s="12" t="n">
        <v>1</v>
      </c>
      <c r="N2701" s="27">
        <f>F2701-J2701</f>
        <v/>
      </c>
      <c r="O2701" s="16">
        <f>I2701-H2701</f>
        <v/>
      </c>
      <c r="P2701" s="14">
        <f>F2701*G2701</f>
        <v/>
      </c>
      <c r="Q2701" s="14">
        <f>J2701*G2701</f>
        <v/>
      </c>
      <c r="R2701" s="14">
        <f>K2701-Q2701</f>
        <v/>
      </c>
      <c r="S2701" s="3">
        <f>P2701*Assumptions!$B$3/100</f>
        <v/>
      </c>
      <c r="T2701" s="14">
        <f>R2701-S2701</f>
        <v/>
      </c>
      <c r="U2701" s="14">
        <f>L2701*G2701</f>
        <v/>
      </c>
    </row>
    <row r="2702">
      <c r="A2702" s="12" t="inlineStr">
        <is>
          <t>PO-2022-2700</t>
        </is>
      </c>
      <c r="B2702" s="26" t="n">
        <v>45128</v>
      </c>
      <c r="C2702" s="12" t="inlineStr">
        <is>
          <t>VS34</t>
        </is>
      </c>
      <c r="D2702" s="12" t="inlineStr">
        <is>
          <t>Fasteners &amp; Fittings</t>
        </is>
      </c>
      <c r="E2702" s="12" t="inlineStr">
        <is>
          <t>N</t>
        </is>
      </c>
      <c r="F2702" s="12" t="n">
        <v>36.34</v>
      </c>
      <c r="G2702" s="17" t="n">
        <v>104052.98</v>
      </c>
      <c r="H2702" s="26" t="n">
        <v>45139</v>
      </c>
      <c r="I2702" s="26" t="n">
        <v>45140</v>
      </c>
      <c r="J2702" s="12" t="n">
        <v>36.07</v>
      </c>
      <c r="K2702" s="17" t="n">
        <v>3781285.29</v>
      </c>
      <c r="L2702" s="12" t="n">
        <v>0</v>
      </c>
      <c r="M2702" s="12" t="n">
        <v>0</v>
      </c>
      <c r="N2702" s="27">
        <f>F2702-J2702</f>
        <v/>
      </c>
      <c r="O2702" s="16">
        <f>I2702-H2702</f>
        <v/>
      </c>
      <c r="P2702" s="14">
        <f>F2702*G2702</f>
        <v/>
      </c>
      <c r="Q2702" s="14">
        <f>J2702*G2702</f>
        <v/>
      </c>
      <c r="R2702" s="14">
        <f>K2702-Q2702</f>
        <v/>
      </c>
      <c r="S2702" s="3">
        <f>P2702*Assumptions!$B$3/100</f>
        <v/>
      </c>
      <c r="T2702" s="14">
        <f>R2702-S2702</f>
        <v/>
      </c>
      <c r="U2702" s="14">
        <f>L2702*G2702</f>
        <v/>
      </c>
    </row>
    <row r="2703">
      <c r="A2703" s="12" t="inlineStr">
        <is>
          <t>PO-2022-2701</t>
        </is>
      </c>
      <c r="B2703" s="26" t="n">
        <v>44295</v>
      </c>
      <c r="C2703" s="12" t="inlineStr">
        <is>
          <t>VS13</t>
        </is>
      </c>
      <c r="D2703" s="12" t="inlineStr">
        <is>
          <t>HR Coils</t>
        </is>
      </c>
      <c r="E2703" s="12" t="inlineStr">
        <is>
          <t>N</t>
        </is>
      </c>
      <c r="F2703" s="12" t="n">
        <v>30.07</v>
      </c>
      <c r="G2703" s="17" t="n">
        <v>92315.52</v>
      </c>
      <c r="H2703" s="26" t="n">
        <v>44301</v>
      </c>
      <c r="I2703" s="26" t="n">
        <v>44301</v>
      </c>
      <c r="J2703" s="12" t="n">
        <v>30.01</v>
      </c>
      <c r="K2703" s="17" t="n">
        <v>2775927.69</v>
      </c>
      <c r="L2703" s="12" t="n">
        <v>0</v>
      </c>
      <c r="M2703" s="12" t="n">
        <v>0</v>
      </c>
      <c r="N2703" s="27">
        <f>F2703-J2703</f>
        <v/>
      </c>
      <c r="O2703" s="16">
        <f>I2703-H2703</f>
        <v/>
      </c>
      <c r="P2703" s="14">
        <f>F2703*G2703</f>
        <v/>
      </c>
      <c r="Q2703" s="14">
        <f>J2703*G2703</f>
        <v/>
      </c>
      <c r="R2703" s="14">
        <f>K2703-Q2703</f>
        <v/>
      </c>
      <c r="S2703" s="3">
        <f>P2703*Assumptions!$B$3/100</f>
        <v/>
      </c>
      <c r="T2703" s="14">
        <f>R2703-S2703</f>
        <v/>
      </c>
      <c r="U2703" s="14">
        <f>L2703*G2703</f>
        <v/>
      </c>
    </row>
    <row r="2704">
      <c r="A2704" s="12" t="inlineStr">
        <is>
          <t>PO-2022-2702</t>
        </is>
      </c>
      <c r="B2704" s="26" t="n">
        <v>45205</v>
      </c>
      <c r="C2704" s="12" t="inlineStr">
        <is>
          <t>VS14</t>
        </is>
      </c>
      <c r="D2704" s="12" t="inlineStr">
        <is>
          <t>Square/Rect Tubes</t>
        </is>
      </c>
      <c r="E2704" s="12" t="inlineStr">
        <is>
          <t>N</t>
        </is>
      </c>
      <c r="F2704" s="12" t="n">
        <v>20.84</v>
      </c>
      <c r="G2704" s="17" t="n">
        <v>69226.50999999999</v>
      </c>
      <c r="H2704" s="26" t="n">
        <v>45211</v>
      </c>
      <c r="I2704" s="26" t="n">
        <v>45212</v>
      </c>
      <c r="J2704" s="12" t="n">
        <v>20.73</v>
      </c>
      <c r="K2704" s="17" t="n">
        <v>1442680.47</v>
      </c>
      <c r="L2704" s="12" t="n">
        <v>0</v>
      </c>
      <c r="M2704" s="12" t="n">
        <v>0</v>
      </c>
      <c r="N2704" s="27">
        <f>F2704-J2704</f>
        <v/>
      </c>
      <c r="O2704" s="16">
        <f>I2704-H2704</f>
        <v/>
      </c>
      <c r="P2704" s="14">
        <f>F2704*G2704</f>
        <v/>
      </c>
      <c r="Q2704" s="14">
        <f>J2704*G2704</f>
        <v/>
      </c>
      <c r="R2704" s="14">
        <f>K2704-Q2704</f>
        <v/>
      </c>
      <c r="S2704" s="3">
        <f>P2704*Assumptions!$B$3/100</f>
        <v/>
      </c>
      <c r="T2704" s="14">
        <f>R2704-S2704</f>
        <v/>
      </c>
      <c r="U2704" s="14">
        <f>L2704*G2704</f>
        <v/>
      </c>
    </row>
    <row r="2705">
      <c r="A2705" s="12" t="inlineStr">
        <is>
          <t>PO-2022-2703</t>
        </is>
      </c>
      <c r="B2705" s="26" t="n">
        <v>44277</v>
      </c>
      <c r="C2705" s="12" t="inlineStr">
        <is>
          <t>VS27</t>
        </is>
      </c>
      <c r="D2705" s="12" t="inlineStr">
        <is>
          <t>GI Pipes</t>
        </is>
      </c>
      <c r="E2705" s="12" t="inlineStr">
        <is>
          <t>N</t>
        </is>
      </c>
      <c r="F2705" s="12" t="n">
        <v>36.44</v>
      </c>
      <c r="G2705" s="17" t="n">
        <v>116715.79</v>
      </c>
      <c r="H2705" s="26" t="n">
        <v>44292</v>
      </c>
      <c r="I2705" s="26" t="n">
        <v>44293</v>
      </c>
      <c r="J2705" s="12" t="n">
        <v>36.31</v>
      </c>
      <c r="K2705" s="17" t="n">
        <v>4253123.39</v>
      </c>
      <c r="L2705" s="12" t="n">
        <v>0</v>
      </c>
      <c r="M2705" s="12" t="n">
        <v>0</v>
      </c>
      <c r="N2705" s="27">
        <f>F2705-J2705</f>
        <v/>
      </c>
      <c r="O2705" s="16">
        <f>I2705-H2705</f>
        <v/>
      </c>
      <c r="P2705" s="14">
        <f>F2705*G2705</f>
        <v/>
      </c>
      <c r="Q2705" s="14">
        <f>J2705*G2705</f>
        <v/>
      </c>
      <c r="R2705" s="14">
        <f>K2705-Q2705</f>
        <v/>
      </c>
      <c r="S2705" s="3">
        <f>P2705*Assumptions!$B$3/100</f>
        <v/>
      </c>
      <c r="T2705" s="14">
        <f>R2705-S2705</f>
        <v/>
      </c>
      <c r="U2705" s="14">
        <f>L2705*G2705</f>
        <v/>
      </c>
    </row>
    <row r="2706">
      <c r="A2706" s="12" t="inlineStr">
        <is>
          <t>PO-2022-2704</t>
        </is>
      </c>
      <c r="B2706" s="26" t="n">
        <v>45231</v>
      </c>
      <c r="C2706" s="12" t="inlineStr">
        <is>
          <t>VS32</t>
        </is>
      </c>
      <c r="D2706" s="12" t="inlineStr">
        <is>
          <t>MS Flats</t>
        </is>
      </c>
      <c r="E2706" s="12" t="inlineStr">
        <is>
          <t>N</t>
        </is>
      </c>
      <c r="F2706" s="12" t="n">
        <v>49.58</v>
      </c>
      <c r="G2706" s="17" t="n">
        <v>52148.08</v>
      </c>
      <c r="H2706" s="26" t="n">
        <v>45242</v>
      </c>
      <c r="I2706" s="26" t="n">
        <v>45242</v>
      </c>
      <c r="J2706" s="12" t="n">
        <v>49.13</v>
      </c>
      <c r="K2706" s="17" t="n">
        <v>2585501.81</v>
      </c>
      <c r="L2706" s="12" t="n">
        <v>0</v>
      </c>
      <c r="M2706" s="12" t="n">
        <v>0</v>
      </c>
      <c r="N2706" s="27">
        <f>F2706-J2706</f>
        <v/>
      </c>
      <c r="O2706" s="16">
        <f>I2706-H2706</f>
        <v/>
      </c>
      <c r="P2706" s="14">
        <f>F2706*G2706</f>
        <v/>
      </c>
      <c r="Q2706" s="14">
        <f>J2706*G2706</f>
        <v/>
      </c>
      <c r="R2706" s="14">
        <f>K2706-Q2706</f>
        <v/>
      </c>
      <c r="S2706" s="3">
        <f>P2706*Assumptions!$B$3/100</f>
        <v/>
      </c>
      <c r="T2706" s="14">
        <f>R2706-S2706</f>
        <v/>
      </c>
      <c r="U2706" s="14">
        <f>L2706*G2706</f>
        <v/>
      </c>
    </row>
    <row r="2707">
      <c r="A2707" s="12" t="inlineStr">
        <is>
          <t>PO-2022-2705</t>
        </is>
      </c>
      <c r="B2707" s="26" t="n">
        <v>45030</v>
      </c>
      <c r="C2707" s="12" t="inlineStr">
        <is>
          <t>VS34</t>
        </is>
      </c>
      <c r="D2707" s="12" t="inlineStr">
        <is>
          <t>MS Pipes</t>
        </is>
      </c>
      <c r="E2707" s="12" t="inlineStr">
        <is>
          <t>N</t>
        </is>
      </c>
      <c r="F2707" s="12" t="n">
        <v>1.52</v>
      </c>
      <c r="G2707" s="17" t="n">
        <v>58862.16</v>
      </c>
      <c r="H2707" s="26" t="n">
        <v>45033</v>
      </c>
      <c r="I2707" s="26" t="n">
        <v>45034</v>
      </c>
      <c r="J2707" s="12" t="n">
        <v>1.51</v>
      </c>
      <c r="K2707" s="17" t="n">
        <v>89470.48</v>
      </c>
      <c r="L2707" s="12" t="n">
        <v>0</v>
      </c>
      <c r="M2707" s="12" t="n">
        <v>23</v>
      </c>
      <c r="N2707" s="27">
        <f>F2707-J2707</f>
        <v/>
      </c>
      <c r="O2707" s="16">
        <f>I2707-H2707</f>
        <v/>
      </c>
      <c r="P2707" s="14">
        <f>F2707*G2707</f>
        <v/>
      </c>
      <c r="Q2707" s="14">
        <f>J2707*G2707</f>
        <v/>
      </c>
      <c r="R2707" s="14">
        <f>K2707-Q2707</f>
        <v/>
      </c>
      <c r="S2707" s="3">
        <f>P2707*Assumptions!$B$3/100</f>
        <v/>
      </c>
      <c r="T2707" s="14">
        <f>R2707-S2707</f>
        <v/>
      </c>
      <c r="U2707" s="14">
        <f>L2707*G2707</f>
        <v/>
      </c>
    </row>
    <row r="2708">
      <c r="A2708" s="12" t="inlineStr">
        <is>
          <t>PO-2022-2706</t>
        </is>
      </c>
      <c r="B2708" s="26" t="n">
        <v>44257</v>
      </c>
      <c r="C2708" s="12" t="inlineStr">
        <is>
          <t>VS07</t>
        </is>
      </c>
      <c r="D2708" s="12" t="inlineStr">
        <is>
          <t>MS Flats</t>
        </is>
      </c>
      <c r="E2708" s="12" t="inlineStr">
        <is>
          <t>N</t>
        </is>
      </c>
      <c r="F2708" s="12" t="n">
        <v>39.15</v>
      </c>
      <c r="G2708" s="17" t="n">
        <v>53401.1</v>
      </c>
      <c r="H2708" s="26" t="n">
        <v>44262</v>
      </c>
      <c r="I2708" s="26" t="n">
        <v>44262</v>
      </c>
      <c r="J2708" s="12" t="n">
        <v>38.91</v>
      </c>
      <c r="K2708" s="17" t="n">
        <v>2090653.06</v>
      </c>
      <c r="L2708" s="12" t="n">
        <v>0</v>
      </c>
      <c r="M2708" s="12" t="n">
        <v>0</v>
      </c>
      <c r="N2708" s="27">
        <f>F2708-J2708</f>
        <v/>
      </c>
      <c r="O2708" s="16">
        <f>I2708-H2708</f>
        <v/>
      </c>
      <c r="P2708" s="14">
        <f>F2708*G2708</f>
        <v/>
      </c>
      <c r="Q2708" s="14">
        <f>J2708*G2708</f>
        <v/>
      </c>
      <c r="R2708" s="14">
        <f>K2708-Q2708</f>
        <v/>
      </c>
      <c r="S2708" s="3">
        <f>P2708*Assumptions!$B$3/100</f>
        <v/>
      </c>
      <c r="T2708" s="14">
        <f>R2708-S2708</f>
        <v/>
      </c>
      <c r="U2708" s="14">
        <f>L2708*G2708</f>
        <v/>
      </c>
    </row>
    <row r="2709">
      <c r="A2709" s="12" t="inlineStr">
        <is>
          <t>PO-2022-2707</t>
        </is>
      </c>
      <c r="B2709" s="26" t="n">
        <v>45269</v>
      </c>
      <c r="C2709" s="12" t="inlineStr">
        <is>
          <t>VS01</t>
        </is>
      </c>
      <c r="D2709" s="12" t="inlineStr">
        <is>
          <t>HR Coils</t>
        </is>
      </c>
      <c r="E2709" s="12" t="inlineStr">
        <is>
          <t>N</t>
        </is>
      </c>
      <c r="F2709" s="12" t="n">
        <v>34.73</v>
      </c>
      <c r="G2709" s="17" t="n">
        <v>70038.89999999999</v>
      </c>
      <c r="H2709" s="26" t="n">
        <v>45282</v>
      </c>
      <c r="I2709" s="26" t="n">
        <v>45284</v>
      </c>
      <c r="J2709" s="12" t="n">
        <v>34.45</v>
      </c>
      <c r="K2709" s="17" t="n">
        <v>2432451</v>
      </c>
      <c r="L2709" s="12" t="n">
        <v>0</v>
      </c>
      <c r="M2709" s="12" t="n">
        <v>0</v>
      </c>
      <c r="N2709" s="27">
        <f>F2709-J2709</f>
        <v/>
      </c>
      <c r="O2709" s="16">
        <f>I2709-H2709</f>
        <v/>
      </c>
      <c r="P2709" s="14">
        <f>F2709*G2709</f>
        <v/>
      </c>
      <c r="Q2709" s="14">
        <f>J2709*G2709</f>
        <v/>
      </c>
      <c r="R2709" s="14">
        <f>K2709-Q2709</f>
        <v/>
      </c>
      <c r="S2709" s="3">
        <f>P2709*Assumptions!$B$3/100</f>
        <v/>
      </c>
      <c r="T2709" s="14">
        <f>R2709-S2709</f>
        <v/>
      </c>
      <c r="U2709" s="14">
        <f>L2709*G2709</f>
        <v/>
      </c>
    </row>
    <row r="2710">
      <c r="A2710" s="12" t="inlineStr">
        <is>
          <t>PO-2022-2708</t>
        </is>
      </c>
      <c r="B2710" s="26" t="n">
        <v>45215</v>
      </c>
      <c r="C2710" s="12" t="inlineStr">
        <is>
          <t>VS17</t>
        </is>
      </c>
      <c r="D2710" s="12" t="inlineStr">
        <is>
          <t>SS Sheets</t>
        </is>
      </c>
      <c r="E2710" s="12" t="inlineStr">
        <is>
          <t>N</t>
        </is>
      </c>
      <c r="F2710" s="12" t="n">
        <v>41.33</v>
      </c>
      <c r="G2710" s="17" t="n">
        <v>89705.41</v>
      </c>
      <c r="H2710" s="26" t="n">
        <v>45229</v>
      </c>
      <c r="I2710" s="26" t="n">
        <v>45230</v>
      </c>
      <c r="J2710" s="12" t="n">
        <v>41.02</v>
      </c>
      <c r="K2710" s="17" t="n">
        <v>3707524.6</v>
      </c>
      <c r="L2710" s="12" t="n">
        <v>0</v>
      </c>
      <c r="M2710" s="12" t="n">
        <v>19</v>
      </c>
      <c r="N2710" s="27">
        <f>F2710-J2710</f>
        <v/>
      </c>
      <c r="O2710" s="16">
        <f>I2710-H2710</f>
        <v/>
      </c>
      <c r="P2710" s="14">
        <f>F2710*G2710</f>
        <v/>
      </c>
      <c r="Q2710" s="14">
        <f>J2710*G2710</f>
        <v/>
      </c>
      <c r="R2710" s="14">
        <f>K2710-Q2710</f>
        <v/>
      </c>
      <c r="S2710" s="3">
        <f>P2710*Assumptions!$B$3/100</f>
        <v/>
      </c>
      <c r="T2710" s="14">
        <f>R2710-S2710</f>
        <v/>
      </c>
      <c r="U2710" s="14">
        <f>L2710*G2710</f>
        <v/>
      </c>
    </row>
    <row r="2711">
      <c r="A2711" s="12" t="inlineStr">
        <is>
          <t>PO-2022-2709</t>
        </is>
      </c>
      <c r="B2711" s="26" t="n">
        <v>45047</v>
      </c>
      <c r="C2711" s="12" t="inlineStr">
        <is>
          <t>VS01</t>
        </is>
      </c>
      <c r="D2711" s="12" t="inlineStr">
        <is>
          <t>GI Sheets</t>
        </is>
      </c>
      <c r="E2711" s="12" t="inlineStr">
        <is>
          <t>N</t>
        </is>
      </c>
      <c r="F2711" s="12" t="n">
        <v>20.2</v>
      </c>
      <c r="G2711" s="17" t="n">
        <v>90730.7</v>
      </c>
      <c r="H2711" s="26" t="n">
        <v>45055</v>
      </c>
      <c r="I2711" s="26" t="n">
        <v>45057</v>
      </c>
      <c r="J2711" s="12" t="n">
        <v>20.03</v>
      </c>
      <c r="K2711" s="17" t="n">
        <v>1832760.14</v>
      </c>
      <c r="L2711" s="12" t="n">
        <v>0</v>
      </c>
      <c r="M2711" s="12" t="n">
        <v>2</v>
      </c>
      <c r="N2711" s="27">
        <f>F2711-J2711</f>
        <v/>
      </c>
      <c r="O2711" s="16">
        <f>I2711-H2711</f>
        <v/>
      </c>
      <c r="P2711" s="14">
        <f>F2711*G2711</f>
        <v/>
      </c>
      <c r="Q2711" s="14">
        <f>J2711*G2711</f>
        <v/>
      </c>
      <c r="R2711" s="14">
        <f>K2711-Q2711</f>
        <v/>
      </c>
      <c r="S2711" s="3">
        <f>P2711*Assumptions!$B$3/100</f>
        <v/>
      </c>
      <c r="T2711" s="14">
        <f>R2711-S2711</f>
        <v/>
      </c>
      <c r="U2711" s="14">
        <f>L2711*G2711</f>
        <v/>
      </c>
    </row>
    <row r="2712">
      <c r="A2712" s="12" t="inlineStr">
        <is>
          <t>PO-2022-2710</t>
        </is>
      </c>
      <c r="B2712" s="26" t="n">
        <v>44471</v>
      </c>
      <c r="C2712" s="12" t="inlineStr">
        <is>
          <t>VS04</t>
        </is>
      </c>
      <c r="D2712" s="12" t="inlineStr">
        <is>
          <t>SS Pipes</t>
        </is>
      </c>
      <c r="E2712" s="12" t="inlineStr">
        <is>
          <t>N</t>
        </is>
      </c>
      <c r="F2712" s="12" t="n">
        <v>16.25</v>
      </c>
      <c r="G2712" s="17" t="n">
        <v>50318.45</v>
      </c>
      <c r="H2712" s="26" t="n">
        <v>44475</v>
      </c>
      <c r="I2712" s="26" t="n">
        <v>44476</v>
      </c>
      <c r="J2712" s="12" t="n">
        <v>16.13</v>
      </c>
      <c r="K2712" s="17" t="n">
        <v>817674.8100000001</v>
      </c>
      <c r="L2712" s="12" t="n">
        <v>0</v>
      </c>
      <c r="M2712" s="12" t="n">
        <v>0</v>
      </c>
      <c r="N2712" s="27">
        <f>F2712-J2712</f>
        <v/>
      </c>
      <c r="O2712" s="16">
        <f>I2712-H2712</f>
        <v/>
      </c>
      <c r="P2712" s="14">
        <f>F2712*G2712</f>
        <v/>
      </c>
      <c r="Q2712" s="14">
        <f>J2712*G2712</f>
        <v/>
      </c>
      <c r="R2712" s="14">
        <f>K2712-Q2712</f>
        <v/>
      </c>
      <c r="S2712" s="3">
        <f>P2712*Assumptions!$B$3/100</f>
        <v/>
      </c>
      <c r="T2712" s="14">
        <f>R2712-S2712</f>
        <v/>
      </c>
      <c r="U2712" s="14">
        <f>L2712*G2712</f>
        <v/>
      </c>
    </row>
    <row r="2713">
      <c r="A2713" s="12" t="inlineStr">
        <is>
          <t>PO-2022-2711</t>
        </is>
      </c>
      <c r="B2713" s="26" t="n">
        <v>45274</v>
      </c>
      <c r="C2713" s="12" t="inlineStr">
        <is>
          <t>VS19</t>
        </is>
      </c>
      <c r="D2713" s="12" t="inlineStr">
        <is>
          <t>ERW Pipes</t>
        </is>
      </c>
      <c r="E2713" s="12" t="inlineStr">
        <is>
          <t>Y</t>
        </is>
      </c>
      <c r="F2713" s="12" t="n">
        <v>27.42</v>
      </c>
      <c r="G2713" s="17" t="n">
        <v>64415.84</v>
      </c>
      <c r="H2713" s="26" t="n">
        <v>45283</v>
      </c>
      <c r="I2713" s="26" t="n">
        <v>45290</v>
      </c>
      <c r="J2713" s="12" t="n">
        <v>26.1</v>
      </c>
      <c r="K2713" s="17" t="n">
        <v>1766282.33</v>
      </c>
      <c r="L2713" s="12" t="n">
        <v>1</v>
      </c>
      <c r="M2713" s="12" t="n">
        <v>19</v>
      </c>
      <c r="N2713" s="27">
        <f>F2713-J2713</f>
        <v/>
      </c>
      <c r="O2713" s="16">
        <f>I2713-H2713</f>
        <v/>
      </c>
      <c r="P2713" s="14">
        <f>F2713*G2713</f>
        <v/>
      </c>
      <c r="Q2713" s="14">
        <f>J2713*G2713</f>
        <v/>
      </c>
      <c r="R2713" s="14">
        <f>K2713-Q2713</f>
        <v/>
      </c>
      <c r="S2713" s="3">
        <f>P2713*Assumptions!$B$3/100</f>
        <v/>
      </c>
      <c r="T2713" s="14">
        <f>R2713-S2713</f>
        <v/>
      </c>
      <c r="U2713" s="14">
        <f>L2713*G2713</f>
        <v/>
      </c>
    </row>
    <row r="2714">
      <c r="A2714" s="12" t="inlineStr">
        <is>
          <t>PO-2022-2712</t>
        </is>
      </c>
      <c r="B2714" s="26" t="n">
        <v>45282</v>
      </c>
      <c r="C2714" s="12" t="inlineStr">
        <is>
          <t>VS31</t>
        </is>
      </c>
      <c r="D2714" s="12" t="inlineStr">
        <is>
          <t>MS Flats</t>
        </is>
      </c>
      <c r="E2714" s="12" t="inlineStr">
        <is>
          <t>N</t>
        </is>
      </c>
      <c r="F2714" s="12" t="n">
        <v>42.07</v>
      </c>
      <c r="G2714" s="17" t="n">
        <v>88991.78</v>
      </c>
      <c r="H2714" s="26" t="n">
        <v>45297</v>
      </c>
      <c r="I2714" s="26" t="n">
        <v>45298</v>
      </c>
      <c r="J2714" s="12" t="n">
        <v>41.68</v>
      </c>
      <c r="K2714" s="17" t="n">
        <v>3743884.18</v>
      </c>
      <c r="L2714" s="12" t="n">
        <v>0</v>
      </c>
      <c r="M2714" s="12" t="n">
        <v>15</v>
      </c>
      <c r="N2714" s="27">
        <f>F2714-J2714</f>
        <v/>
      </c>
      <c r="O2714" s="16">
        <f>I2714-H2714</f>
        <v/>
      </c>
      <c r="P2714" s="14">
        <f>F2714*G2714</f>
        <v/>
      </c>
      <c r="Q2714" s="14">
        <f>J2714*G2714</f>
        <v/>
      </c>
      <c r="R2714" s="14">
        <f>K2714-Q2714</f>
        <v/>
      </c>
      <c r="S2714" s="3">
        <f>P2714*Assumptions!$B$3/100</f>
        <v/>
      </c>
      <c r="T2714" s="14">
        <f>R2714-S2714</f>
        <v/>
      </c>
      <c r="U2714" s="14">
        <f>L2714*G2714</f>
        <v/>
      </c>
    </row>
    <row r="2715">
      <c r="A2715" s="12" t="inlineStr">
        <is>
          <t>PO-2022-2713</t>
        </is>
      </c>
      <c r="B2715" s="26" t="n">
        <v>45031</v>
      </c>
      <c r="C2715" s="12" t="inlineStr">
        <is>
          <t>VS13</t>
        </is>
      </c>
      <c r="D2715" s="12" t="inlineStr">
        <is>
          <t>MS Sheets</t>
        </is>
      </c>
      <c r="E2715" s="12" t="inlineStr">
        <is>
          <t>N</t>
        </is>
      </c>
      <c r="F2715" s="12" t="n">
        <v>40.93</v>
      </c>
      <c r="G2715" s="17" t="n">
        <v>56825.86</v>
      </c>
      <c r="H2715" s="26" t="n">
        <v>45037</v>
      </c>
      <c r="I2715" s="26" t="n">
        <v>45037</v>
      </c>
      <c r="J2715" s="12" t="n">
        <v>40.6</v>
      </c>
      <c r="K2715" s="17" t="n">
        <v>2325882.45</v>
      </c>
      <c r="L2715" s="12" t="n">
        <v>0</v>
      </c>
      <c r="M2715" s="12" t="n">
        <v>0</v>
      </c>
      <c r="N2715" s="27">
        <f>F2715-J2715</f>
        <v/>
      </c>
      <c r="O2715" s="16">
        <f>I2715-H2715</f>
        <v/>
      </c>
      <c r="P2715" s="14">
        <f>F2715*G2715</f>
        <v/>
      </c>
      <c r="Q2715" s="14">
        <f>J2715*G2715</f>
        <v/>
      </c>
      <c r="R2715" s="14">
        <f>K2715-Q2715</f>
        <v/>
      </c>
      <c r="S2715" s="3">
        <f>P2715*Assumptions!$B$3/100</f>
        <v/>
      </c>
      <c r="T2715" s="14">
        <f>R2715-S2715</f>
        <v/>
      </c>
      <c r="U2715" s="14">
        <f>L2715*G2715</f>
        <v/>
      </c>
    </row>
    <row r="2716">
      <c r="A2716" s="12" t="inlineStr">
        <is>
          <t>PO-2022-2714</t>
        </is>
      </c>
      <c r="B2716" s="26" t="n">
        <v>45232</v>
      </c>
      <c r="C2716" s="12" t="inlineStr">
        <is>
          <t>VS10</t>
        </is>
      </c>
      <c r="D2716" s="12" t="inlineStr">
        <is>
          <t>SS Pipes</t>
        </is>
      </c>
      <c r="E2716" s="12" t="inlineStr">
        <is>
          <t>N</t>
        </is>
      </c>
      <c r="F2716" s="12" t="n">
        <v>12.77</v>
      </c>
      <c r="G2716" s="17" t="n">
        <v>65626.47</v>
      </c>
      <c r="H2716" s="26" t="n">
        <v>45240</v>
      </c>
      <c r="I2716" s="26" t="n">
        <v>45243</v>
      </c>
      <c r="J2716" s="12" t="n">
        <v>12.7</v>
      </c>
      <c r="K2716" s="17" t="n">
        <v>838050.02</v>
      </c>
      <c r="L2716" s="12" t="n">
        <v>0</v>
      </c>
      <c r="M2716" s="12" t="n">
        <v>0</v>
      </c>
      <c r="N2716" s="27">
        <f>F2716-J2716</f>
        <v/>
      </c>
      <c r="O2716" s="16">
        <f>I2716-H2716</f>
        <v/>
      </c>
      <c r="P2716" s="14">
        <f>F2716*G2716</f>
        <v/>
      </c>
      <c r="Q2716" s="14">
        <f>J2716*G2716</f>
        <v/>
      </c>
      <c r="R2716" s="14">
        <f>K2716-Q2716</f>
        <v/>
      </c>
      <c r="S2716" s="3">
        <f>P2716*Assumptions!$B$3/100</f>
        <v/>
      </c>
      <c r="T2716" s="14">
        <f>R2716-S2716</f>
        <v/>
      </c>
      <c r="U2716" s="14">
        <f>L2716*G2716</f>
        <v/>
      </c>
    </row>
    <row r="2717">
      <c r="A2717" s="12" t="inlineStr">
        <is>
          <t>PO-2022-2715</t>
        </is>
      </c>
      <c r="B2717" s="26" t="n">
        <v>45053</v>
      </c>
      <c r="C2717" s="12" t="inlineStr">
        <is>
          <t>VS05</t>
        </is>
      </c>
      <c r="D2717" s="12" t="inlineStr">
        <is>
          <t>SS Pipes</t>
        </is>
      </c>
      <c r="E2717" s="12" t="inlineStr">
        <is>
          <t>N</t>
        </is>
      </c>
      <c r="F2717" s="12" t="n">
        <v>13.5</v>
      </c>
      <c r="G2717" s="17" t="n">
        <v>47736.22</v>
      </c>
      <c r="H2717" s="26" t="n">
        <v>45067</v>
      </c>
      <c r="I2717" s="26" t="n">
        <v>45067</v>
      </c>
      <c r="J2717" s="12" t="n">
        <v>13.39</v>
      </c>
      <c r="K2717" s="17" t="n">
        <v>644438.97</v>
      </c>
      <c r="L2717" s="12" t="n">
        <v>0</v>
      </c>
      <c r="M2717" s="12" t="n">
        <v>0</v>
      </c>
      <c r="N2717" s="27">
        <f>F2717-J2717</f>
        <v/>
      </c>
      <c r="O2717" s="16">
        <f>I2717-H2717</f>
        <v/>
      </c>
      <c r="P2717" s="14">
        <f>F2717*G2717</f>
        <v/>
      </c>
      <c r="Q2717" s="14">
        <f>J2717*G2717</f>
        <v/>
      </c>
      <c r="R2717" s="14">
        <f>K2717-Q2717</f>
        <v/>
      </c>
      <c r="S2717" s="3">
        <f>P2717*Assumptions!$B$3/100</f>
        <v/>
      </c>
      <c r="T2717" s="14">
        <f>R2717-S2717</f>
        <v/>
      </c>
      <c r="U2717" s="14">
        <f>L2717*G2717</f>
        <v/>
      </c>
    </row>
    <row r="2718">
      <c r="A2718" s="12" t="inlineStr">
        <is>
          <t>PO-2022-2716</t>
        </is>
      </c>
      <c r="B2718" s="26" t="n">
        <v>44799</v>
      </c>
      <c r="C2718" s="12" t="inlineStr">
        <is>
          <t>VS09</t>
        </is>
      </c>
      <c r="D2718" s="12" t="inlineStr">
        <is>
          <t>Hex Bars</t>
        </is>
      </c>
      <c r="E2718" s="12" t="inlineStr">
        <is>
          <t>N</t>
        </is>
      </c>
      <c r="F2718" s="12" t="n">
        <v>27.27</v>
      </c>
      <c r="G2718" s="17" t="n">
        <v>115550.08</v>
      </c>
      <c r="H2718" s="26" t="n">
        <v>44802</v>
      </c>
      <c r="I2718" s="26" t="n">
        <v>44802</v>
      </c>
      <c r="J2718" s="12" t="n">
        <v>27.24</v>
      </c>
      <c r="K2718" s="17" t="n">
        <v>3151050.68</v>
      </c>
      <c r="L2718" s="12" t="n">
        <v>0</v>
      </c>
      <c r="M2718" s="12" t="n">
        <v>0</v>
      </c>
      <c r="N2718" s="27">
        <f>F2718-J2718</f>
        <v/>
      </c>
      <c r="O2718" s="16">
        <f>I2718-H2718</f>
        <v/>
      </c>
      <c r="P2718" s="14">
        <f>F2718*G2718</f>
        <v/>
      </c>
      <c r="Q2718" s="14">
        <f>J2718*G2718</f>
        <v/>
      </c>
      <c r="R2718" s="14">
        <f>K2718-Q2718</f>
        <v/>
      </c>
      <c r="S2718" s="3">
        <f>P2718*Assumptions!$B$3/100</f>
        <v/>
      </c>
      <c r="T2718" s="14">
        <f>R2718-S2718</f>
        <v/>
      </c>
      <c r="U2718" s="14">
        <f>L2718*G2718</f>
        <v/>
      </c>
    </row>
    <row r="2719">
      <c r="A2719" s="12" t="inlineStr">
        <is>
          <t>PO-2022-2717</t>
        </is>
      </c>
      <c r="B2719" s="26" t="n">
        <v>44948</v>
      </c>
      <c r="C2719" s="12" t="inlineStr">
        <is>
          <t>VS02</t>
        </is>
      </c>
      <c r="D2719" s="12" t="inlineStr">
        <is>
          <t>MS Flats</t>
        </is>
      </c>
      <c r="E2719" s="12" t="inlineStr">
        <is>
          <t>N</t>
        </is>
      </c>
      <c r="F2719" s="12" t="n">
        <v>12.64</v>
      </c>
      <c r="G2719" s="17" t="n">
        <v>115169.43</v>
      </c>
      <c r="H2719" s="26" t="n">
        <v>44957</v>
      </c>
      <c r="I2719" s="26" t="n">
        <v>44957</v>
      </c>
      <c r="J2719" s="12" t="n">
        <v>12.6</v>
      </c>
      <c r="K2719" s="17" t="n">
        <v>1455741.6</v>
      </c>
      <c r="L2719" s="12" t="n">
        <v>0</v>
      </c>
      <c r="M2719" s="12" t="n">
        <v>21</v>
      </c>
      <c r="N2719" s="27">
        <f>F2719-J2719</f>
        <v/>
      </c>
      <c r="O2719" s="16">
        <f>I2719-H2719</f>
        <v/>
      </c>
      <c r="P2719" s="14">
        <f>F2719*G2719</f>
        <v/>
      </c>
      <c r="Q2719" s="14">
        <f>J2719*G2719</f>
        <v/>
      </c>
      <c r="R2719" s="14">
        <f>K2719-Q2719</f>
        <v/>
      </c>
      <c r="S2719" s="3">
        <f>P2719*Assumptions!$B$3/100</f>
        <v/>
      </c>
      <c r="T2719" s="14">
        <f>R2719-S2719</f>
        <v/>
      </c>
      <c r="U2719" s="14">
        <f>L2719*G2719</f>
        <v/>
      </c>
    </row>
    <row r="2720">
      <c r="A2720" s="12" t="inlineStr">
        <is>
          <t>PO-2022-2718</t>
        </is>
      </c>
      <c r="B2720" s="26" t="n">
        <v>45088</v>
      </c>
      <c r="C2720" s="12" t="inlineStr">
        <is>
          <t>VS03</t>
        </is>
      </c>
      <c r="D2720" s="12" t="inlineStr">
        <is>
          <t>Hex Bars</t>
        </is>
      </c>
      <c r="E2720" s="12" t="inlineStr">
        <is>
          <t>Y</t>
        </is>
      </c>
      <c r="F2720" s="12" t="n">
        <v>34.99</v>
      </c>
      <c r="G2720" s="17" t="n">
        <v>55887.99</v>
      </c>
      <c r="H2720" s="26" t="n">
        <v>45093</v>
      </c>
      <c r="I2720" s="26" t="n">
        <v>45100</v>
      </c>
      <c r="J2720" s="12" t="n">
        <v>33.58</v>
      </c>
      <c r="K2720" s="17" t="n">
        <v>1955520.77</v>
      </c>
      <c r="L2720" s="12" t="n">
        <v>1.52</v>
      </c>
      <c r="M2720" s="12" t="n">
        <v>0</v>
      </c>
      <c r="N2720" s="27">
        <f>F2720-J2720</f>
        <v/>
      </c>
      <c r="O2720" s="16">
        <f>I2720-H2720</f>
        <v/>
      </c>
      <c r="P2720" s="14">
        <f>F2720*G2720</f>
        <v/>
      </c>
      <c r="Q2720" s="14">
        <f>J2720*G2720</f>
        <v/>
      </c>
      <c r="R2720" s="14">
        <f>K2720-Q2720</f>
        <v/>
      </c>
      <c r="S2720" s="3">
        <f>P2720*Assumptions!$B$3/100</f>
        <v/>
      </c>
      <c r="T2720" s="14">
        <f>R2720-S2720</f>
        <v/>
      </c>
      <c r="U2720" s="14">
        <f>L2720*G2720</f>
        <v/>
      </c>
    </row>
    <row r="2721">
      <c r="A2721" s="12" t="inlineStr">
        <is>
          <t>PO-2022-2719</t>
        </is>
      </c>
      <c r="B2721" s="26" t="n">
        <v>45070</v>
      </c>
      <c r="C2721" s="12" t="inlineStr">
        <is>
          <t>VS02</t>
        </is>
      </c>
      <c r="D2721" s="12" t="inlineStr">
        <is>
          <t>GI Pipes</t>
        </is>
      </c>
      <c r="E2721" s="12" t="inlineStr">
        <is>
          <t>N</t>
        </is>
      </c>
      <c r="F2721" s="12" t="n">
        <v>47.25</v>
      </c>
      <c r="G2721" s="17" t="n">
        <v>110612.18</v>
      </c>
      <c r="H2721" s="26" t="n">
        <v>45073</v>
      </c>
      <c r="I2721" s="26" t="n">
        <v>45073</v>
      </c>
      <c r="J2721" s="12" t="n">
        <v>46.78</v>
      </c>
      <c r="K2721" s="17" t="n">
        <v>5226425.5</v>
      </c>
      <c r="L2721" s="12" t="n">
        <v>0</v>
      </c>
      <c r="M2721" s="12" t="n">
        <v>0</v>
      </c>
      <c r="N2721" s="27">
        <f>F2721-J2721</f>
        <v/>
      </c>
      <c r="O2721" s="16">
        <f>I2721-H2721</f>
        <v/>
      </c>
      <c r="P2721" s="14">
        <f>F2721*G2721</f>
        <v/>
      </c>
      <c r="Q2721" s="14">
        <f>J2721*G2721</f>
        <v/>
      </c>
      <c r="R2721" s="14">
        <f>K2721-Q2721</f>
        <v/>
      </c>
      <c r="S2721" s="3">
        <f>P2721*Assumptions!$B$3/100</f>
        <v/>
      </c>
      <c r="T2721" s="14">
        <f>R2721-S2721</f>
        <v/>
      </c>
      <c r="U2721" s="14">
        <f>L2721*G2721</f>
        <v/>
      </c>
    </row>
    <row r="2722">
      <c r="A2722" s="12" t="inlineStr">
        <is>
          <t>PO-2022-2720</t>
        </is>
      </c>
      <c r="B2722" s="26" t="n">
        <v>45262</v>
      </c>
      <c r="C2722" s="12" t="inlineStr">
        <is>
          <t>VS14</t>
        </is>
      </c>
      <c r="D2722" s="12" t="inlineStr">
        <is>
          <t>Angles &amp; Channels</t>
        </is>
      </c>
      <c r="E2722" s="12" t="inlineStr">
        <is>
          <t>N</t>
        </is>
      </c>
      <c r="F2722" s="12" t="n">
        <v>20.14</v>
      </c>
      <c r="G2722" s="17" t="n">
        <v>111340.47</v>
      </c>
      <c r="H2722" s="26" t="n">
        <v>45266</v>
      </c>
      <c r="I2722" s="26" t="n">
        <v>45266</v>
      </c>
      <c r="J2722" s="12" t="n">
        <v>20.07</v>
      </c>
      <c r="K2722" s="17" t="n">
        <v>2242397.07</v>
      </c>
      <c r="L2722" s="12" t="n">
        <v>0</v>
      </c>
      <c r="M2722" s="12" t="n">
        <v>0</v>
      </c>
      <c r="N2722" s="27">
        <f>F2722-J2722</f>
        <v/>
      </c>
      <c r="O2722" s="16">
        <f>I2722-H2722</f>
        <v/>
      </c>
      <c r="P2722" s="14">
        <f>F2722*G2722</f>
        <v/>
      </c>
      <c r="Q2722" s="14">
        <f>J2722*G2722</f>
        <v/>
      </c>
      <c r="R2722" s="14">
        <f>K2722-Q2722</f>
        <v/>
      </c>
      <c r="S2722" s="3">
        <f>P2722*Assumptions!$B$3/100</f>
        <v/>
      </c>
      <c r="T2722" s="14">
        <f>R2722-S2722</f>
        <v/>
      </c>
      <c r="U2722" s="14">
        <f>L2722*G2722</f>
        <v/>
      </c>
    </row>
    <row r="2723">
      <c r="A2723" s="12" t="inlineStr">
        <is>
          <t>PO-2022-2721</t>
        </is>
      </c>
      <c r="B2723" s="26" t="n">
        <v>44252</v>
      </c>
      <c r="C2723" s="12" t="inlineStr">
        <is>
          <t>VS25</t>
        </is>
      </c>
      <c r="D2723" s="12" t="inlineStr">
        <is>
          <t>Square/Rect Tubes</t>
        </is>
      </c>
      <c r="E2723" s="12" t="inlineStr">
        <is>
          <t>N</t>
        </is>
      </c>
      <c r="F2723" s="12" t="n">
        <v>34.56</v>
      </c>
      <c r="G2723" s="17" t="n">
        <v>50450.96</v>
      </c>
      <c r="H2723" s="26" t="n">
        <v>44266</v>
      </c>
      <c r="I2723" s="26" t="n">
        <v>44266</v>
      </c>
      <c r="J2723" s="12" t="n">
        <v>34.54</v>
      </c>
      <c r="K2723" s="17" t="n">
        <v>1743585.18</v>
      </c>
      <c r="L2723" s="12" t="n">
        <v>0</v>
      </c>
      <c r="M2723" s="12" t="n">
        <v>0</v>
      </c>
      <c r="N2723" s="27">
        <f>F2723-J2723</f>
        <v/>
      </c>
      <c r="O2723" s="16">
        <f>I2723-H2723</f>
        <v/>
      </c>
      <c r="P2723" s="14">
        <f>F2723*G2723</f>
        <v/>
      </c>
      <c r="Q2723" s="14">
        <f>J2723*G2723</f>
        <v/>
      </c>
      <c r="R2723" s="14">
        <f>K2723-Q2723</f>
        <v/>
      </c>
      <c r="S2723" s="3">
        <f>P2723*Assumptions!$B$3/100</f>
        <v/>
      </c>
      <c r="T2723" s="14">
        <f>R2723-S2723</f>
        <v/>
      </c>
      <c r="U2723" s="14">
        <f>L2723*G2723</f>
        <v/>
      </c>
    </row>
    <row r="2724">
      <c r="A2724" s="12" t="inlineStr">
        <is>
          <t>PO-2022-2722</t>
        </is>
      </c>
      <c r="B2724" s="26" t="n">
        <v>44632</v>
      </c>
      <c r="C2724" s="12" t="inlineStr">
        <is>
          <t>VS07</t>
        </is>
      </c>
      <c r="D2724" s="12" t="inlineStr">
        <is>
          <t>MS Sheets</t>
        </is>
      </c>
      <c r="E2724" s="12" t="inlineStr">
        <is>
          <t>N</t>
        </is>
      </c>
      <c r="F2724" s="12" t="n">
        <v>38.61</v>
      </c>
      <c r="G2724" s="17" t="n">
        <v>64052.02</v>
      </c>
      <c r="H2724" s="26" t="n">
        <v>44640</v>
      </c>
      <c r="I2724" s="26" t="n">
        <v>44642</v>
      </c>
      <c r="J2724" s="12" t="n">
        <v>38.55</v>
      </c>
      <c r="K2724" s="17" t="n">
        <v>2473048.49</v>
      </c>
      <c r="L2724" s="12" t="n">
        <v>0</v>
      </c>
      <c r="M2724" s="12" t="n">
        <v>0</v>
      </c>
      <c r="N2724" s="27">
        <f>F2724-J2724</f>
        <v/>
      </c>
      <c r="O2724" s="16">
        <f>I2724-H2724</f>
        <v/>
      </c>
      <c r="P2724" s="14">
        <f>F2724*G2724</f>
        <v/>
      </c>
      <c r="Q2724" s="14">
        <f>J2724*G2724</f>
        <v/>
      </c>
      <c r="R2724" s="14">
        <f>K2724-Q2724</f>
        <v/>
      </c>
      <c r="S2724" s="3">
        <f>P2724*Assumptions!$B$3/100</f>
        <v/>
      </c>
      <c r="T2724" s="14">
        <f>R2724-S2724</f>
        <v/>
      </c>
      <c r="U2724" s="14">
        <f>L2724*G2724</f>
        <v/>
      </c>
    </row>
    <row r="2725">
      <c r="A2725" s="12" t="inlineStr">
        <is>
          <t>PO-2022-2723</t>
        </is>
      </c>
      <c r="B2725" s="26" t="n">
        <v>44925</v>
      </c>
      <c r="C2725" s="12" t="inlineStr">
        <is>
          <t>VS04</t>
        </is>
      </c>
      <c r="D2725" s="12" t="inlineStr">
        <is>
          <t>GI Wire</t>
        </is>
      </c>
      <c r="E2725" s="12" t="inlineStr">
        <is>
          <t>Y</t>
        </is>
      </c>
      <c r="F2725" s="12" t="n">
        <v>25.94</v>
      </c>
      <c r="G2725" s="17" t="n">
        <v>58755.29</v>
      </c>
      <c r="H2725" s="26" t="n">
        <v>44937</v>
      </c>
      <c r="I2725" s="26" t="n">
        <v>44938</v>
      </c>
      <c r="J2725" s="12" t="n">
        <v>25.92</v>
      </c>
      <c r="K2725" s="17" t="n">
        <v>1524112.22</v>
      </c>
      <c r="L2725" s="12" t="n">
        <v>0</v>
      </c>
      <c r="M2725" s="12" t="n">
        <v>2</v>
      </c>
      <c r="N2725" s="27">
        <f>F2725-J2725</f>
        <v/>
      </c>
      <c r="O2725" s="16">
        <f>I2725-H2725</f>
        <v/>
      </c>
      <c r="P2725" s="14">
        <f>F2725*G2725</f>
        <v/>
      </c>
      <c r="Q2725" s="14">
        <f>J2725*G2725</f>
        <v/>
      </c>
      <c r="R2725" s="14">
        <f>K2725-Q2725</f>
        <v/>
      </c>
      <c r="S2725" s="3">
        <f>P2725*Assumptions!$B$3/100</f>
        <v/>
      </c>
      <c r="T2725" s="14">
        <f>R2725-S2725</f>
        <v/>
      </c>
      <c r="U2725" s="14">
        <f>L2725*G2725</f>
        <v/>
      </c>
    </row>
    <row r="2726">
      <c r="A2726" s="12" t="inlineStr">
        <is>
          <t>PO-2022-2724</t>
        </is>
      </c>
      <c r="B2726" s="26" t="n">
        <v>44419</v>
      </c>
      <c r="C2726" s="12" t="inlineStr">
        <is>
          <t>VS32</t>
        </is>
      </c>
      <c r="D2726" s="12" t="inlineStr">
        <is>
          <t>Structural Steel</t>
        </is>
      </c>
      <c r="E2726" s="12" t="inlineStr">
        <is>
          <t>N</t>
        </is>
      </c>
      <c r="F2726" s="12" t="n">
        <v>21.8</v>
      </c>
      <c r="G2726" s="17" t="n">
        <v>87102.81</v>
      </c>
      <c r="H2726" s="26" t="n">
        <v>44424</v>
      </c>
      <c r="I2726" s="26" t="n">
        <v>44425</v>
      </c>
      <c r="J2726" s="12" t="n">
        <v>21.64</v>
      </c>
      <c r="K2726" s="17" t="n">
        <v>1898841.26</v>
      </c>
      <c r="L2726" s="12" t="n">
        <v>0</v>
      </c>
      <c r="M2726" s="12" t="n">
        <v>0</v>
      </c>
      <c r="N2726" s="27">
        <f>F2726-J2726</f>
        <v/>
      </c>
      <c r="O2726" s="16">
        <f>I2726-H2726</f>
        <v/>
      </c>
      <c r="P2726" s="14">
        <f>F2726*G2726</f>
        <v/>
      </c>
      <c r="Q2726" s="14">
        <f>J2726*G2726</f>
        <v/>
      </c>
      <c r="R2726" s="14">
        <f>K2726-Q2726</f>
        <v/>
      </c>
      <c r="S2726" s="3">
        <f>P2726*Assumptions!$B$3/100</f>
        <v/>
      </c>
      <c r="T2726" s="14">
        <f>R2726-S2726</f>
        <v/>
      </c>
      <c r="U2726" s="14">
        <f>L2726*G2726</f>
        <v/>
      </c>
    </row>
    <row r="2727">
      <c r="A2727" s="12" t="inlineStr">
        <is>
          <t>PO-2022-2725</t>
        </is>
      </c>
      <c r="B2727" s="26" t="n">
        <v>44628</v>
      </c>
      <c r="C2727" s="12" t="inlineStr">
        <is>
          <t>VS34</t>
        </is>
      </c>
      <c r="D2727" s="12" t="inlineStr">
        <is>
          <t>CR Sheets</t>
        </is>
      </c>
      <c r="E2727" s="12" t="inlineStr">
        <is>
          <t>N</t>
        </is>
      </c>
      <c r="F2727" s="12" t="n">
        <v>15.23</v>
      </c>
      <c r="G2727" s="17" t="n">
        <v>117234.68</v>
      </c>
      <c r="H2727" s="26" t="n">
        <v>44632</v>
      </c>
      <c r="I2727" s="26" t="n">
        <v>44635</v>
      </c>
      <c r="J2727" s="12" t="n">
        <v>15.1</v>
      </c>
      <c r="K2727" s="17" t="n">
        <v>1785484.18</v>
      </c>
      <c r="L2727" s="12" t="n">
        <v>0</v>
      </c>
      <c r="M2727" s="12" t="n">
        <v>11</v>
      </c>
      <c r="N2727" s="27">
        <f>F2727-J2727</f>
        <v/>
      </c>
      <c r="O2727" s="16">
        <f>I2727-H2727</f>
        <v/>
      </c>
      <c r="P2727" s="14">
        <f>F2727*G2727</f>
        <v/>
      </c>
      <c r="Q2727" s="14">
        <f>J2727*G2727</f>
        <v/>
      </c>
      <c r="R2727" s="14">
        <f>K2727-Q2727</f>
        <v/>
      </c>
      <c r="S2727" s="3">
        <f>P2727*Assumptions!$B$3/100</f>
        <v/>
      </c>
      <c r="T2727" s="14">
        <f>R2727-S2727</f>
        <v/>
      </c>
      <c r="U2727" s="14">
        <f>L2727*G2727</f>
        <v/>
      </c>
    </row>
    <row r="2728">
      <c r="A2728" s="12" t="inlineStr">
        <is>
          <t>PO-2022-2726</t>
        </is>
      </c>
      <c r="B2728" s="26" t="n">
        <v>44692</v>
      </c>
      <c r="C2728" s="12" t="inlineStr">
        <is>
          <t>VS20</t>
        </is>
      </c>
      <c r="D2728" s="12" t="inlineStr">
        <is>
          <t>Spring Steel</t>
        </is>
      </c>
      <c r="E2728" s="12" t="inlineStr">
        <is>
          <t>N</t>
        </is>
      </c>
      <c r="F2728" s="12" t="n">
        <v>1.24</v>
      </c>
      <c r="G2728" s="17" t="n">
        <v>84585.74000000001</v>
      </c>
      <c r="H2728" s="26" t="n">
        <v>44702</v>
      </c>
      <c r="I2728" s="26" t="n">
        <v>44704</v>
      </c>
      <c r="J2728" s="12" t="n">
        <v>1.23</v>
      </c>
      <c r="K2728" s="17" t="n">
        <v>104886.32</v>
      </c>
      <c r="L2728" s="12" t="n">
        <v>0</v>
      </c>
      <c r="M2728" s="12" t="n">
        <v>19</v>
      </c>
      <c r="N2728" s="27">
        <f>F2728-J2728</f>
        <v/>
      </c>
      <c r="O2728" s="16">
        <f>I2728-H2728</f>
        <v/>
      </c>
      <c r="P2728" s="14">
        <f>F2728*G2728</f>
        <v/>
      </c>
      <c r="Q2728" s="14">
        <f>J2728*G2728</f>
        <v/>
      </c>
      <c r="R2728" s="14">
        <f>K2728-Q2728</f>
        <v/>
      </c>
      <c r="S2728" s="3">
        <f>P2728*Assumptions!$B$3/100</f>
        <v/>
      </c>
      <c r="T2728" s="14">
        <f>R2728-S2728</f>
        <v/>
      </c>
      <c r="U2728" s="14">
        <f>L2728*G2728</f>
        <v/>
      </c>
    </row>
    <row r="2729">
      <c r="A2729" s="12" t="inlineStr">
        <is>
          <t>PO-2022-2727</t>
        </is>
      </c>
      <c r="B2729" s="26" t="n">
        <v>44594</v>
      </c>
      <c r="C2729" s="12" t="inlineStr">
        <is>
          <t>VS22</t>
        </is>
      </c>
      <c r="D2729" s="12" t="inlineStr">
        <is>
          <t>SS Sheets</t>
        </is>
      </c>
      <c r="E2729" s="12" t="inlineStr">
        <is>
          <t>N</t>
        </is>
      </c>
      <c r="F2729" s="12" t="n">
        <v>12.63</v>
      </c>
      <c r="G2729" s="17" t="n">
        <v>109712.53</v>
      </c>
      <c r="H2729" s="26" t="n">
        <v>44605</v>
      </c>
      <c r="I2729" s="26" t="n">
        <v>44607</v>
      </c>
      <c r="J2729" s="12" t="n">
        <v>12.56</v>
      </c>
      <c r="K2729" s="17" t="n">
        <v>1385669.25</v>
      </c>
      <c r="L2729" s="12" t="n">
        <v>0</v>
      </c>
      <c r="M2729" s="12" t="n">
        <v>8</v>
      </c>
      <c r="N2729" s="27">
        <f>F2729-J2729</f>
        <v/>
      </c>
      <c r="O2729" s="16">
        <f>I2729-H2729</f>
        <v/>
      </c>
      <c r="P2729" s="14">
        <f>F2729*G2729</f>
        <v/>
      </c>
      <c r="Q2729" s="14">
        <f>J2729*G2729</f>
        <v/>
      </c>
      <c r="R2729" s="14">
        <f>K2729-Q2729</f>
        <v/>
      </c>
      <c r="S2729" s="3">
        <f>P2729*Assumptions!$B$3/100</f>
        <v/>
      </c>
      <c r="T2729" s="14">
        <f>R2729-S2729</f>
        <v/>
      </c>
      <c r="U2729" s="14">
        <f>L2729*G2729</f>
        <v/>
      </c>
    </row>
    <row r="2730">
      <c r="A2730" s="12" t="inlineStr">
        <is>
          <t>PO-2022-2728</t>
        </is>
      </c>
      <c r="B2730" s="26" t="n">
        <v>45279</v>
      </c>
      <c r="C2730" s="12" t="inlineStr">
        <is>
          <t>VS09</t>
        </is>
      </c>
      <c r="D2730" s="12" t="inlineStr">
        <is>
          <t>GI Wire</t>
        </is>
      </c>
      <c r="E2730" s="12" t="inlineStr">
        <is>
          <t>N</t>
        </is>
      </c>
      <c r="F2730" s="12" t="n">
        <v>3.26</v>
      </c>
      <c r="G2730" s="17" t="n">
        <v>62531.06</v>
      </c>
      <c r="H2730" s="26" t="n">
        <v>45287</v>
      </c>
      <c r="I2730" s="26" t="n">
        <v>45287</v>
      </c>
      <c r="J2730" s="12" t="n">
        <v>3.24</v>
      </c>
      <c r="K2730" s="17" t="n">
        <v>203851.26</v>
      </c>
      <c r="L2730" s="12" t="n">
        <v>0</v>
      </c>
      <c r="M2730" s="12" t="n">
        <v>13</v>
      </c>
      <c r="N2730" s="27">
        <f>F2730-J2730</f>
        <v/>
      </c>
      <c r="O2730" s="16">
        <f>I2730-H2730</f>
        <v/>
      </c>
      <c r="P2730" s="14">
        <f>F2730*G2730</f>
        <v/>
      </c>
      <c r="Q2730" s="14">
        <f>J2730*G2730</f>
        <v/>
      </c>
      <c r="R2730" s="14">
        <f>K2730-Q2730</f>
        <v/>
      </c>
      <c r="S2730" s="3">
        <f>P2730*Assumptions!$B$3/100</f>
        <v/>
      </c>
      <c r="T2730" s="14">
        <f>R2730-S2730</f>
        <v/>
      </c>
      <c r="U2730" s="14">
        <f>L2730*G2730</f>
        <v/>
      </c>
    </row>
    <row r="2731">
      <c r="A2731" s="12" t="inlineStr">
        <is>
          <t>PO-2022-2729</t>
        </is>
      </c>
      <c r="B2731" s="26" t="n">
        <v>44451</v>
      </c>
      <c r="C2731" s="12" t="inlineStr">
        <is>
          <t>VS04</t>
        </is>
      </c>
      <c r="D2731" s="12" t="inlineStr">
        <is>
          <t>ERW Pipes</t>
        </is>
      </c>
      <c r="E2731" s="12" t="inlineStr">
        <is>
          <t>N</t>
        </is>
      </c>
      <c r="F2731" s="12" t="n">
        <v>33.68</v>
      </c>
      <c r="G2731" s="17" t="n">
        <v>78865.03999999999</v>
      </c>
      <c r="H2731" s="26" t="n">
        <v>44465</v>
      </c>
      <c r="I2731" s="26" t="n">
        <v>44465</v>
      </c>
      <c r="J2731" s="12" t="n">
        <v>33.65</v>
      </c>
      <c r="K2731" s="17" t="n">
        <v>2656174.55</v>
      </c>
      <c r="L2731" s="12" t="n">
        <v>0</v>
      </c>
      <c r="M2731" s="12" t="n">
        <v>0</v>
      </c>
      <c r="N2731" s="27">
        <f>F2731-J2731</f>
        <v/>
      </c>
      <c r="O2731" s="16">
        <f>I2731-H2731</f>
        <v/>
      </c>
      <c r="P2731" s="14">
        <f>F2731*G2731</f>
        <v/>
      </c>
      <c r="Q2731" s="14">
        <f>J2731*G2731</f>
        <v/>
      </c>
      <c r="R2731" s="14">
        <f>K2731-Q2731</f>
        <v/>
      </c>
      <c r="S2731" s="3">
        <f>P2731*Assumptions!$B$3/100</f>
        <v/>
      </c>
      <c r="T2731" s="14">
        <f>R2731-S2731</f>
        <v/>
      </c>
      <c r="U2731" s="14">
        <f>L2731*G2731</f>
        <v/>
      </c>
    </row>
    <row r="2732">
      <c r="A2732" s="12" t="inlineStr">
        <is>
          <t>PO-2022-2730</t>
        </is>
      </c>
      <c r="B2732" s="26" t="n">
        <v>44233</v>
      </c>
      <c r="C2732" s="12" t="inlineStr">
        <is>
          <t>VS04</t>
        </is>
      </c>
      <c r="D2732" s="12" t="inlineStr">
        <is>
          <t>Hex Bars</t>
        </is>
      </c>
      <c r="E2732" s="12" t="inlineStr">
        <is>
          <t>N</t>
        </is>
      </c>
      <c r="F2732" s="12" t="n">
        <v>19.04</v>
      </c>
      <c r="G2732" s="17" t="n">
        <v>87334.63</v>
      </c>
      <c r="H2732" s="26" t="n">
        <v>44247</v>
      </c>
      <c r="I2732" s="26" t="n">
        <v>44250</v>
      </c>
      <c r="J2732" s="12" t="n">
        <v>18.85</v>
      </c>
      <c r="K2732" s="17" t="n">
        <v>1662851.36</v>
      </c>
      <c r="L2732" s="12" t="n">
        <v>0</v>
      </c>
      <c r="M2732" s="12" t="n">
        <v>0</v>
      </c>
      <c r="N2732" s="27">
        <f>F2732-J2732</f>
        <v/>
      </c>
      <c r="O2732" s="16">
        <f>I2732-H2732</f>
        <v/>
      </c>
      <c r="P2732" s="14">
        <f>F2732*G2732</f>
        <v/>
      </c>
      <c r="Q2732" s="14">
        <f>J2732*G2732</f>
        <v/>
      </c>
      <c r="R2732" s="14">
        <f>K2732-Q2732</f>
        <v/>
      </c>
      <c r="S2732" s="3">
        <f>P2732*Assumptions!$B$3/100</f>
        <v/>
      </c>
      <c r="T2732" s="14">
        <f>R2732-S2732</f>
        <v/>
      </c>
      <c r="U2732" s="14">
        <f>L2732*G2732</f>
        <v/>
      </c>
    </row>
    <row r="2733">
      <c r="A2733" s="12" t="inlineStr">
        <is>
          <t>PO-2022-2731</t>
        </is>
      </c>
      <c r="B2733" s="26" t="n">
        <v>44329</v>
      </c>
      <c r="C2733" s="12" t="inlineStr">
        <is>
          <t>VS19</t>
        </is>
      </c>
      <c r="D2733" s="12" t="inlineStr">
        <is>
          <t>SS Sheets</t>
        </is>
      </c>
      <c r="E2733" s="12" t="inlineStr">
        <is>
          <t>N</t>
        </is>
      </c>
      <c r="F2733" s="12" t="n">
        <v>29.13</v>
      </c>
      <c r="G2733" s="17" t="n">
        <v>119727</v>
      </c>
      <c r="H2733" s="26" t="n">
        <v>44343</v>
      </c>
      <c r="I2733" s="26" t="n">
        <v>44349</v>
      </c>
      <c r="J2733" s="12" t="n">
        <v>28.52</v>
      </c>
      <c r="K2733" s="17" t="n">
        <v>3487647.51</v>
      </c>
      <c r="L2733" s="12" t="n">
        <v>1.29</v>
      </c>
      <c r="M2733" s="12" t="n">
        <v>0</v>
      </c>
      <c r="N2733" s="27">
        <f>F2733-J2733</f>
        <v/>
      </c>
      <c r="O2733" s="16">
        <f>I2733-H2733</f>
        <v/>
      </c>
      <c r="P2733" s="14">
        <f>F2733*G2733</f>
        <v/>
      </c>
      <c r="Q2733" s="14">
        <f>J2733*G2733</f>
        <v/>
      </c>
      <c r="R2733" s="14">
        <f>K2733-Q2733</f>
        <v/>
      </c>
      <c r="S2733" s="3">
        <f>P2733*Assumptions!$B$3/100</f>
        <v/>
      </c>
      <c r="T2733" s="14">
        <f>R2733-S2733</f>
        <v/>
      </c>
      <c r="U2733" s="14">
        <f>L2733*G2733</f>
        <v/>
      </c>
    </row>
    <row r="2734">
      <c r="A2734" s="12" t="inlineStr">
        <is>
          <t>PO-2022-2732</t>
        </is>
      </c>
      <c r="B2734" s="26" t="n">
        <v>45124</v>
      </c>
      <c r="C2734" s="12" t="inlineStr">
        <is>
          <t>VS17</t>
        </is>
      </c>
      <c r="D2734" s="12" t="inlineStr">
        <is>
          <t>MS Sheets</t>
        </is>
      </c>
      <c r="E2734" s="12" t="inlineStr">
        <is>
          <t>N</t>
        </is>
      </c>
      <c r="F2734" s="12" t="n">
        <v>20.74</v>
      </c>
      <c r="G2734" s="17" t="n">
        <v>89838.78</v>
      </c>
      <c r="H2734" s="26" t="n">
        <v>45136</v>
      </c>
      <c r="I2734" s="26" t="n">
        <v>45136</v>
      </c>
      <c r="J2734" s="12" t="n">
        <v>20.54</v>
      </c>
      <c r="K2734" s="17" t="n">
        <v>1863256.3</v>
      </c>
      <c r="L2734" s="12" t="n">
        <v>0</v>
      </c>
      <c r="M2734" s="12" t="n">
        <v>5</v>
      </c>
      <c r="N2734" s="27">
        <f>F2734-J2734</f>
        <v/>
      </c>
      <c r="O2734" s="16">
        <f>I2734-H2734</f>
        <v/>
      </c>
      <c r="P2734" s="14">
        <f>F2734*G2734</f>
        <v/>
      </c>
      <c r="Q2734" s="14">
        <f>J2734*G2734</f>
        <v/>
      </c>
      <c r="R2734" s="14">
        <f>K2734-Q2734</f>
        <v/>
      </c>
      <c r="S2734" s="3">
        <f>P2734*Assumptions!$B$3/100</f>
        <v/>
      </c>
      <c r="T2734" s="14">
        <f>R2734-S2734</f>
        <v/>
      </c>
      <c r="U2734" s="14">
        <f>L2734*G2734</f>
        <v/>
      </c>
    </row>
    <row r="2735">
      <c r="A2735" s="12" t="inlineStr">
        <is>
          <t>PO-2022-2733</t>
        </is>
      </c>
      <c r="B2735" s="26" t="n">
        <v>45058</v>
      </c>
      <c r="C2735" s="12" t="inlineStr">
        <is>
          <t>VS25</t>
        </is>
      </c>
      <c r="D2735" s="12" t="inlineStr">
        <is>
          <t>SS Sheets</t>
        </is>
      </c>
      <c r="E2735" s="12" t="inlineStr">
        <is>
          <t>N</t>
        </is>
      </c>
      <c r="F2735" s="12" t="n">
        <v>41.68</v>
      </c>
      <c r="G2735" s="17" t="n">
        <v>93131.2</v>
      </c>
      <c r="H2735" s="26" t="n">
        <v>45073</v>
      </c>
      <c r="I2735" s="26" t="n">
        <v>45073</v>
      </c>
      <c r="J2735" s="12" t="n">
        <v>41.62</v>
      </c>
      <c r="K2735" s="17" t="n">
        <v>3881708.42</v>
      </c>
      <c r="L2735" s="12" t="n">
        <v>0</v>
      </c>
      <c r="M2735" s="12" t="n">
        <v>13</v>
      </c>
      <c r="N2735" s="27">
        <f>F2735-J2735</f>
        <v/>
      </c>
      <c r="O2735" s="16">
        <f>I2735-H2735</f>
        <v/>
      </c>
      <c r="P2735" s="14">
        <f>F2735*G2735</f>
        <v/>
      </c>
      <c r="Q2735" s="14">
        <f>J2735*G2735</f>
        <v/>
      </c>
      <c r="R2735" s="14">
        <f>K2735-Q2735</f>
        <v/>
      </c>
      <c r="S2735" s="3">
        <f>P2735*Assumptions!$B$3/100</f>
        <v/>
      </c>
      <c r="T2735" s="14">
        <f>R2735-S2735</f>
        <v/>
      </c>
      <c r="U2735" s="14">
        <f>L2735*G2735</f>
        <v/>
      </c>
    </row>
    <row r="2736">
      <c r="A2736" s="12" t="inlineStr">
        <is>
          <t>PO-2022-2734</t>
        </is>
      </c>
      <c r="B2736" s="26" t="n">
        <v>45131</v>
      </c>
      <c r="C2736" s="12" t="inlineStr">
        <is>
          <t>VS06</t>
        </is>
      </c>
      <c r="D2736" s="12" t="inlineStr">
        <is>
          <t>Hex Bars</t>
        </is>
      </c>
      <c r="E2736" s="12" t="inlineStr">
        <is>
          <t>N</t>
        </is>
      </c>
      <c r="F2736" s="12" t="n">
        <v>15.48</v>
      </c>
      <c r="G2736" s="17" t="n">
        <v>85144.85000000001</v>
      </c>
      <c r="H2736" s="26" t="n">
        <v>45139</v>
      </c>
      <c r="I2736" s="26" t="n">
        <v>45140</v>
      </c>
      <c r="J2736" s="12" t="n">
        <v>15.37</v>
      </c>
      <c r="K2736" s="17" t="n">
        <v>1318042.28</v>
      </c>
      <c r="L2736" s="12" t="n">
        <v>0</v>
      </c>
      <c r="M2736" s="12" t="n">
        <v>0</v>
      </c>
      <c r="N2736" s="27">
        <f>F2736-J2736</f>
        <v/>
      </c>
      <c r="O2736" s="16">
        <f>I2736-H2736</f>
        <v/>
      </c>
      <c r="P2736" s="14">
        <f>F2736*G2736</f>
        <v/>
      </c>
      <c r="Q2736" s="14">
        <f>J2736*G2736</f>
        <v/>
      </c>
      <c r="R2736" s="14">
        <f>K2736-Q2736</f>
        <v/>
      </c>
      <c r="S2736" s="3">
        <f>P2736*Assumptions!$B$3/100</f>
        <v/>
      </c>
      <c r="T2736" s="14">
        <f>R2736-S2736</f>
        <v/>
      </c>
      <c r="U2736" s="14">
        <f>L2736*G2736</f>
        <v/>
      </c>
    </row>
    <row r="2737">
      <c r="A2737" s="12" t="inlineStr">
        <is>
          <t>PO-2022-2735</t>
        </is>
      </c>
      <c r="B2737" s="26" t="n">
        <v>44983</v>
      </c>
      <c r="C2737" s="12" t="inlineStr">
        <is>
          <t>VS16</t>
        </is>
      </c>
      <c r="D2737" s="12" t="inlineStr">
        <is>
          <t>Square/Rect Tubes</t>
        </is>
      </c>
      <c r="E2737" s="12" t="inlineStr">
        <is>
          <t>N</t>
        </is>
      </c>
      <c r="F2737" s="12" t="n">
        <v>17.19</v>
      </c>
      <c r="G2737" s="17" t="n">
        <v>52720.8</v>
      </c>
      <c r="H2737" s="26" t="n">
        <v>44986</v>
      </c>
      <c r="I2737" s="26" t="n">
        <v>44986</v>
      </c>
      <c r="J2737" s="12" t="n">
        <v>17.05</v>
      </c>
      <c r="K2737" s="17" t="n">
        <v>906270.55</v>
      </c>
      <c r="L2737" s="12" t="n">
        <v>0</v>
      </c>
      <c r="M2737" s="12" t="n">
        <v>22</v>
      </c>
      <c r="N2737" s="27">
        <f>F2737-J2737</f>
        <v/>
      </c>
      <c r="O2737" s="16">
        <f>I2737-H2737</f>
        <v/>
      </c>
      <c r="P2737" s="14">
        <f>F2737*G2737</f>
        <v/>
      </c>
      <c r="Q2737" s="14">
        <f>J2737*G2737</f>
        <v/>
      </c>
      <c r="R2737" s="14">
        <f>K2737-Q2737</f>
        <v/>
      </c>
      <c r="S2737" s="3">
        <f>P2737*Assumptions!$B$3/100</f>
        <v/>
      </c>
      <c r="T2737" s="14">
        <f>R2737-S2737</f>
        <v/>
      </c>
      <c r="U2737" s="14">
        <f>L2737*G2737</f>
        <v/>
      </c>
    </row>
    <row r="2738">
      <c r="A2738" s="12" t="inlineStr">
        <is>
          <t>PO-2022-2736</t>
        </is>
      </c>
      <c r="B2738" s="26" t="n">
        <v>45221</v>
      </c>
      <c r="C2738" s="12" t="inlineStr">
        <is>
          <t>VS20</t>
        </is>
      </c>
      <c r="D2738" s="12" t="inlineStr">
        <is>
          <t>GI Sheets</t>
        </is>
      </c>
      <c r="E2738" s="12" t="inlineStr">
        <is>
          <t>N</t>
        </is>
      </c>
      <c r="F2738" s="12" t="n">
        <v>47.71</v>
      </c>
      <c r="G2738" s="17" t="n">
        <v>111790.48</v>
      </c>
      <c r="H2738" s="26" t="n">
        <v>45225</v>
      </c>
      <c r="I2738" s="26" t="n">
        <v>45226</v>
      </c>
      <c r="J2738" s="12" t="n">
        <v>47.29</v>
      </c>
      <c r="K2738" s="17" t="n">
        <v>5333523.8</v>
      </c>
      <c r="L2738" s="12" t="n">
        <v>0</v>
      </c>
      <c r="M2738" s="12" t="n">
        <v>11</v>
      </c>
      <c r="N2738" s="27">
        <f>F2738-J2738</f>
        <v/>
      </c>
      <c r="O2738" s="16">
        <f>I2738-H2738</f>
        <v/>
      </c>
      <c r="P2738" s="14">
        <f>F2738*G2738</f>
        <v/>
      </c>
      <c r="Q2738" s="14">
        <f>J2738*G2738</f>
        <v/>
      </c>
      <c r="R2738" s="14">
        <f>K2738-Q2738</f>
        <v/>
      </c>
      <c r="S2738" s="3">
        <f>P2738*Assumptions!$B$3/100</f>
        <v/>
      </c>
      <c r="T2738" s="14">
        <f>R2738-S2738</f>
        <v/>
      </c>
      <c r="U2738" s="14">
        <f>L2738*G2738</f>
        <v/>
      </c>
    </row>
    <row r="2739">
      <c r="A2739" s="12" t="inlineStr">
        <is>
          <t>PO-2022-2737</t>
        </is>
      </c>
      <c r="B2739" s="26" t="n">
        <v>44575</v>
      </c>
      <c r="C2739" s="12" t="inlineStr">
        <is>
          <t>VS15</t>
        </is>
      </c>
      <c r="D2739" s="12" t="inlineStr">
        <is>
          <t>SS Sheets</t>
        </is>
      </c>
      <c r="E2739" s="12" t="inlineStr">
        <is>
          <t>N</t>
        </is>
      </c>
      <c r="F2739" s="12" t="n">
        <v>39.25</v>
      </c>
      <c r="G2739" s="17" t="n">
        <v>103220.16</v>
      </c>
      <c r="H2739" s="26" t="n">
        <v>44584</v>
      </c>
      <c r="I2739" s="26" t="n">
        <v>44584</v>
      </c>
      <c r="J2739" s="12" t="n">
        <v>38.87</v>
      </c>
      <c r="K2739" s="17" t="n">
        <v>4051391.28</v>
      </c>
      <c r="L2739" s="12" t="n">
        <v>0</v>
      </c>
      <c r="M2739" s="12" t="n">
        <v>0</v>
      </c>
      <c r="N2739" s="27">
        <f>F2739-J2739</f>
        <v/>
      </c>
      <c r="O2739" s="16">
        <f>I2739-H2739</f>
        <v/>
      </c>
      <c r="P2739" s="14">
        <f>F2739*G2739</f>
        <v/>
      </c>
      <c r="Q2739" s="14">
        <f>J2739*G2739</f>
        <v/>
      </c>
      <c r="R2739" s="14">
        <f>K2739-Q2739</f>
        <v/>
      </c>
      <c r="S2739" s="3">
        <f>P2739*Assumptions!$B$3/100</f>
        <v/>
      </c>
      <c r="T2739" s="14">
        <f>R2739-S2739</f>
        <v/>
      </c>
      <c r="U2739" s="14">
        <f>L2739*G2739</f>
        <v/>
      </c>
    </row>
    <row r="2740">
      <c r="A2740" s="12" t="inlineStr">
        <is>
          <t>PO-2022-2738</t>
        </is>
      </c>
      <c r="B2740" s="26" t="n">
        <v>45024</v>
      </c>
      <c r="C2740" s="12" t="inlineStr">
        <is>
          <t>VS04</t>
        </is>
      </c>
      <c r="D2740" s="12" t="inlineStr">
        <is>
          <t>GI Wire</t>
        </is>
      </c>
      <c r="E2740" s="12" t="inlineStr">
        <is>
          <t>Y</t>
        </is>
      </c>
      <c r="F2740" s="12" t="n">
        <v>31.49</v>
      </c>
      <c r="G2740" s="17" t="n">
        <v>46722.05</v>
      </c>
      <c r="H2740" s="26" t="n">
        <v>45035</v>
      </c>
      <c r="I2740" s="26" t="n">
        <v>45036</v>
      </c>
      <c r="J2740" s="12" t="n">
        <v>31.23</v>
      </c>
      <c r="K2740" s="17" t="n">
        <v>1471277.35</v>
      </c>
      <c r="L2740" s="12" t="n">
        <v>0</v>
      </c>
      <c r="M2740" s="12" t="n">
        <v>0</v>
      </c>
      <c r="N2740" s="27">
        <f>F2740-J2740</f>
        <v/>
      </c>
      <c r="O2740" s="16">
        <f>I2740-H2740</f>
        <v/>
      </c>
      <c r="P2740" s="14">
        <f>F2740*G2740</f>
        <v/>
      </c>
      <c r="Q2740" s="14">
        <f>J2740*G2740</f>
        <v/>
      </c>
      <c r="R2740" s="14">
        <f>K2740-Q2740</f>
        <v/>
      </c>
      <c r="S2740" s="3">
        <f>P2740*Assumptions!$B$3/100</f>
        <v/>
      </c>
      <c r="T2740" s="14">
        <f>R2740-S2740</f>
        <v/>
      </c>
      <c r="U2740" s="14">
        <f>L2740*G2740</f>
        <v/>
      </c>
    </row>
    <row r="2741">
      <c r="A2741" s="12" t="inlineStr">
        <is>
          <t>PO-2022-2739</t>
        </is>
      </c>
      <c r="B2741" s="26" t="n">
        <v>45165</v>
      </c>
      <c r="C2741" s="12" t="inlineStr">
        <is>
          <t>VS10</t>
        </is>
      </c>
      <c r="D2741" s="12" t="inlineStr">
        <is>
          <t>MS Rods</t>
        </is>
      </c>
      <c r="E2741" s="12" t="inlineStr">
        <is>
          <t>N</t>
        </is>
      </c>
      <c r="F2741" s="12" t="n">
        <v>32.37</v>
      </c>
      <c r="G2741" s="17" t="n">
        <v>79288.61</v>
      </c>
      <c r="H2741" s="26" t="n">
        <v>45174</v>
      </c>
      <c r="I2741" s="26" t="n">
        <v>45174</v>
      </c>
      <c r="J2741" s="12" t="n">
        <v>32.22</v>
      </c>
      <c r="K2741" s="17" t="n">
        <v>2566572.31</v>
      </c>
      <c r="L2741" s="12" t="n">
        <v>0</v>
      </c>
      <c r="M2741" s="12" t="n">
        <v>10</v>
      </c>
      <c r="N2741" s="27">
        <f>F2741-J2741</f>
        <v/>
      </c>
      <c r="O2741" s="16">
        <f>I2741-H2741</f>
        <v/>
      </c>
      <c r="P2741" s="14">
        <f>F2741*G2741</f>
        <v/>
      </c>
      <c r="Q2741" s="14">
        <f>J2741*G2741</f>
        <v/>
      </c>
      <c r="R2741" s="14">
        <f>K2741-Q2741</f>
        <v/>
      </c>
      <c r="S2741" s="3">
        <f>P2741*Assumptions!$B$3/100</f>
        <v/>
      </c>
      <c r="T2741" s="14">
        <f>R2741-S2741</f>
        <v/>
      </c>
      <c r="U2741" s="14">
        <f>L2741*G2741</f>
        <v/>
      </c>
    </row>
    <row r="2742">
      <c r="A2742" s="12" t="inlineStr">
        <is>
          <t>PO-2022-2740</t>
        </is>
      </c>
      <c r="B2742" s="26" t="n">
        <v>44259</v>
      </c>
      <c r="C2742" s="12" t="inlineStr">
        <is>
          <t>VS29</t>
        </is>
      </c>
      <c r="D2742" s="12" t="inlineStr">
        <is>
          <t>MS Sheets</t>
        </is>
      </c>
      <c r="E2742" s="12" t="inlineStr">
        <is>
          <t>N</t>
        </is>
      </c>
      <c r="F2742" s="12" t="n">
        <v>37.71</v>
      </c>
      <c r="G2742" s="17" t="n">
        <v>68212.63</v>
      </c>
      <c r="H2742" s="26" t="n">
        <v>44273</v>
      </c>
      <c r="I2742" s="26" t="n">
        <v>44275</v>
      </c>
      <c r="J2742" s="12" t="n">
        <v>37.4</v>
      </c>
      <c r="K2742" s="17" t="n">
        <v>2572298.28</v>
      </c>
      <c r="L2742" s="12" t="n">
        <v>0</v>
      </c>
      <c r="M2742" s="12" t="n">
        <v>0</v>
      </c>
      <c r="N2742" s="27">
        <f>F2742-J2742</f>
        <v/>
      </c>
      <c r="O2742" s="16">
        <f>I2742-H2742</f>
        <v/>
      </c>
      <c r="P2742" s="14">
        <f>F2742*G2742</f>
        <v/>
      </c>
      <c r="Q2742" s="14">
        <f>J2742*G2742</f>
        <v/>
      </c>
      <c r="R2742" s="14">
        <f>K2742-Q2742</f>
        <v/>
      </c>
      <c r="S2742" s="3">
        <f>P2742*Assumptions!$B$3/100</f>
        <v/>
      </c>
      <c r="T2742" s="14">
        <f>R2742-S2742</f>
        <v/>
      </c>
      <c r="U2742" s="14">
        <f>L2742*G2742</f>
        <v/>
      </c>
    </row>
    <row r="2743">
      <c r="A2743" s="12" t="inlineStr">
        <is>
          <t>PO-2022-2741</t>
        </is>
      </c>
      <c r="B2743" s="26" t="n">
        <v>44664</v>
      </c>
      <c r="C2743" s="12" t="inlineStr">
        <is>
          <t>VS34</t>
        </is>
      </c>
      <c r="D2743" s="12" t="inlineStr">
        <is>
          <t>HR Coils</t>
        </is>
      </c>
      <c r="E2743" s="12" t="inlineStr">
        <is>
          <t>N</t>
        </is>
      </c>
      <c r="F2743" s="12" t="n">
        <v>16.96</v>
      </c>
      <c r="G2743" s="17" t="n">
        <v>94690.75</v>
      </c>
      <c r="H2743" s="26" t="n">
        <v>44672</v>
      </c>
      <c r="I2743" s="26" t="n">
        <v>44675</v>
      </c>
      <c r="J2743" s="12" t="n">
        <v>16.82</v>
      </c>
      <c r="K2743" s="17" t="n">
        <v>1605955.12</v>
      </c>
      <c r="L2743" s="12" t="n">
        <v>0</v>
      </c>
      <c r="M2743" s="12" t="n">
        <v>0</v>
      </c>
      <c r="N2743" s="27">
        <f>F2743-J2743</f>
        <v/>
      </c>
      <c r="O2743" s="16">
        <f>I2743-H2743</f>
        <v/>
      </c>
      <c r="P2743" s="14">
        <f>F2743*G2743</f>
        <v/>
      </c>
      <c r="Q2743" s="14">
        <f>J2743*G2743</f>
        <v/>
      </c>
      <c r="R2743" s="14">
        <f>K2743-Q2743</f>
        <v/>
      </c>
      <c r="S2743" s="3">
        <f>P2743*Assumptions!$B$3/100</f>
        <v/>
      </c>
      <c r="T2743" s="14">
        <f>R2743-S2743</f>
        <v/>
      </c>
      <c r="U2743" s="14">
        <f>L2743*G2743</f>
        <v/>
      </c>
    </row>
    <row r="2744">
      <c r="A2744" s="12" t="inlineStr">
        <is>
          <t>PO-2022-2742</t>
        </is>
      </c>
      <c r="B2744" s="26" t="n">
        <v>44696</v>
      </c>
      <c r="C2744" s="12" t="inlineStr">
        <is>
          <t>VS34</t>
        </is>
      </c>
      <c r="D2744" s="12" t="inlineStr">
        <is>
          <t>Square/Rect Tubes</t>
        </is>
      </c>
      <c r="E2744" s="12" t="inlineStr">
        <is>
          <t>N</t>
        </is>
      </c>
      <c r="F2744" s="12" t="n">
        <v>33.21</v>
      </c>
      <c r="G2744" s="17" t="n">
        <v>87086.5</v>
      </c>
      <c r="H2744" s="26" t="n">
        <v>44699</v>
      </c>
      <c r="I2744" s="26" t="n">
        <v>44699</v>
      </c>
      <c r="J2744" s="12" t="n">
        <v>33.17</v>
      </c>
      <c r="K2744" s="17" t="n">
        <v>2892142.67</v>
      </c>
      <c r="L2744" s="12" t="n">
        <v>0</v>
      </c>
      <c r="M2744" s="12" t="n">
        <v>15</v>
      </c>
      <c r="N2744" s="27">
        <f>F2744-J2744</f>
        <v/>
      </c>
      <c r="O2744" s="16">
        <f>I2744-H2744</f>
        <v/>
      </c>
      <c r="P2744" s="14">
        <f>F2744*G2744</f>
        <v/>
      </c>
      <c r="Q2744" s="14">
        <f>J2744*G2744</f>
        <v/>
      </c>
      <c r="R2744" s="14">
        <f>K2744-Q2744</f>
        <v/>
      </c>
      <c r="S2744" s="3">
        <f>P2744*Assumptions!$B$3/100</f>
        <v/>
      </c>
      <c r="T2744" s="14">
        <f>R2744-S2744</f>
        <v/>
      </c>
      <c r="U2744" s="14">
        <f>L2744*G2744</f>
        <v/>
      </c>
    </row>
    <row r="2745">
      <c r="A2745" s="12" t="inlineStr">
        <is>
          <t>PO-2022-2743</t>
        </is>
      </c>
      <c r="B2745" s="26" t="n">
        <v>44780</v>
      </c>
      <c r="C2745" s="12" t="inlineStr">
        <is>
          <t>VS01</t>
        </is>
      </c>
      <c r="D2745" s="12" t="inlineStr">
        <is>
          <t>Angles &amp; Channels</t>
        </is>
      </c>
      <c r="E2745" s="12" t="inlineStr">
        <is>
          <t>N</t>
        </is>
      </c>
      <c r="F2745" s="12" t="n">
        <v>48.04</v>
      </c>
      <c r="G2745" s="17" t="n">
        <v>111546.2</v>
      </c>
      <c r="H2745" s="26" t="n">
        <v>44784</v>
      </c>
      <c r="I2745" s="26" t="n">
        <v>44785</v>
      </c>
      <c r="J2745" s="12" t="n">
        <v>47.61</v>
      </c>
      <c r="K2745" s="17" t="n">
        <v>5358679.45</v>
      </c>
      <c r="L2745" s="12" t="n">
        <v>0</v>
      </c>
      <c r="M2745" s="12" t="n">
        <v>2</v>
      </c>
      <c r="N2745" s="27">
        <f>F2745-J2745</f>
        <v/>
      </c>
      <c r="O2745" s="16">
        <f>I2745-H2745</f>
        <v/>
      </c>
      <c r="P2745" s="14">
        <f>F2745*G2745</f>
        <v/>
      </c>
      <c r="Q2745" s="14">
        <f>J2745*G2745</f>
        <v/>
      </c>
      <c r="R2745" s="14">
        <f>K2745-Q2745</f>
        <v/>
      </c>
      <c r="S2745" s="3">
        <f>P2745*Assumptions!$B$3/100</f>
        <v/>
      </c>
      <c r="T2745" s="14">
        <f>R2745-S2745</f>
        <v/>
      </c>
      <c r="U2745" s="14">
        <f>L2745*G2745</f>
        <v/>
      </c>
    </row>
    <row r="2746">
      <c r="A2746" s="12" t="inlineStr">
        <is>
          <t>PO-2022-2744</t>
        </is>
      </c>
      <c r="B2746" s="26" t="n">
        <v>44488</v>
      </c>
      <c r="C2746" s="12" t="inlineStr">
        <is>
          <t>VS28</t>
        </is>
      </c>
      <c r="D2746" s="12" t="inlineStr">
        <is>
          <t>MS Flats</t>
        </is>
      </c>
      <c r="E2746" s="12" t="inlineStr">
        <is>
          <t>N</t>
        </is>
      </c>
      <c r="F2746" s="12" t="n">
        <v>2.47</v>
      </c>
      <c r="G2746" s="17" t="n">
        <v>105343.89</v>
      </c>
      <c r="H2746" s="26" t="n">
        <v>44503</v>
      </c>
      <c r="I2746" s="26" t="n">
        <v>44506</v>
      </c>
      <c r="J2746" s="12" t="n">
        <v>2.46</v>
      </c>
      <c r="K2746" s="17" t="n">
        <v>260199.41</v>
      </c>
      <c r="L2746" s="12" t="n">
        <v>0</v>
      </c>
      <c r="M2746" s="12" t="n">
        <v>20</v>
      </c>
      <c r="N2746" s="27">
        <f>F2746-J2746</f>
        <v/>
      </c>
      <c r="O2746" s="16">
        <f>I2746-H2746</f>
        <v/>
      </c>
      <c r="P2746" s="14">
        <f>F2746*G2746</f>
        <v/>
      </c>
      <c r="Q2746" s="14">
        <f>J2746*G2746</f>
        <v/>
      </c>
      <c r="R2746" s="14">
        <f>K2746-Q2746</f>
        <v/>
      </c>
      <c r="S2746" s="3">
        <f>P2746*Assumptions!$B$3/100</f>
        <v/>
      </c>
      <c r="T2746" s="14">
        <f>R2746-S2746</f>
        <v/>
      </c>
      <c r="U2746" s="14">
        <f>L2746*G2746</f>
        <v/>
      </c>
    </row>
    <row r="2747">
      <c r="A2747" s="12" t="inlineStr">
        <is>
          <t>PO-2022-2745</t>
        </is>
      </c>
      <c r="B2747" s="26" t="n">
        <v>44498</v>
      </c>
      <c r="C2747" s="12" t="inlineStr">
        <is>
          <t>VS26</t>
        </is>
      </c>
      <c r="D2747" s="12" t="inlineStr">
        <is>
          <t>Angles &amp; Channels</t>
        </is>
      </c>
      <c r="E2747" s="12" t="inlineStr">
        <is>
          <t>Y</t>
        </is>
      </c>
      <c r="F2747" s="12" t="n">
        <v>27.68</v>
      </c>
      <c r="G2747" s="17" t="n">
        <v>55995.92</v>
      </c>
      <c r="H2747" s="26" t="n">
        <v>44511</v>
      </c>
      <c r="I2747" s="26" t="n">
        <v>44513</v>
      </c>
      <c r="J2747" s="12" t="n">
        <v>27.45</v>
      </c>
      <c r="K2747" s="17" t="n">
        <v>1549967.07</v>
      </c>
      <c r="L2747" s="12" t="n">
        <v>0</v>
      </c>
      <c r="M2747" s="12" t="n">
        <v>0</v>
      </c>
      <c r="N2747" s="27">
        <f>F2747-J2747</f>
        <v/>
      </c>
      <c r="O2747" s="16">
        <f>I2747-H2747</f>
        <v/>
      </c>
      <c r="P2747" s="14">
        <f>F2747*G2747</f>
        <v/>
      </c>
      <c r="Q2747" s="14">
        <f>J2747*G2747</f>
        <v/>
      </c>
      <c r="R2747" s="14">
        <f>K2747-Q2747</f>
        <v/>
      </c>
      <c r="S2747" s="3">
        <f>P2747*Assumptions!$B$3/100</f>
        <v/>
      </c>
      <c r="T2747" s="14">
        <f>R2747-S2747</f>
        <v/>
      </c>
      <c r="U2747" s="14">
        <f>L2747*G2747</f>
        <v/>
      </c>
    </row>
    <row r="2748">
      <c r="A2748" s="12" t="inlineStr">
        <is>
          <t>PO-2022-2746</t>
        </is>
      </c>
      <c r="B2748" s="26" t="n">
        <v>44741</v>
      </c>
      <c r="C2748" s="12" t="inlineStr">
        <is>
          <t>VS06</t>
        </is>
      </c>
      <c r="D2748" s="12" t="inlineStr">
        <is>
          <t>Spring Steel</t>
        </is>
      </c>
      <c r="E2748" s="12" t="inlineStr">
        <is>
          <t>N</t>
        </is>
      </c>
      <c r="F2748" s="12" t="n">
        <v>19.74</v>
      </c>
      <c r="G2748" s="17" t="n">
        <v>73372.21000000001</v>
      </c>
      <c r="H2748" s="26" t="n">
        <v>44750</v>
      </c>
      <c r="I2748" s="26" t="n">
        <v>44751</v>
      </c>
      <c r="J2748" s="12" t="n">
        <v>19.58</v>
      </c>
      <c r="K2748" s="17" t="n">
        <v>1448367.43</v>
      </c>
      <c r="L2748" s="12" t="n">
        <v>0</v>
      </c>
      <c r="M2748" s="12" t="n">
        <v>16</v>
      </c>
      <c r="N2748" s="27">
        <f>F2748-J2748</f>
        <v/>
      </c>
      <c r="O2748" s="16">
        <f>I2748-H2748</f>
        <v/>
      </c>
      <c r="P2748" s="14">
        <f>F2748*G2748</f>
        <v/>
      </c>
      <c r="Q2748" s="14">
        <f>J2748*G2748</f>
        <v/>
      </c>
      <c r="R2748" s="14">
        <f>K2748-Q2748</f>
        <v/>
      </c>
      <c r="S2748" s="3">
        <f>P2748*Assumptions!$B$3/100</f>
        <v/>
      </c>
      <c r="T2748" s="14">
        <f>R2748-S2748</f>
        <v/>
      </c>
      <c r="U2748" s="14">
        <f>L2748*G2748</f>
        <v/>
      </c>
    </row>
    <row r="2749">
      <c r="A2749" s="12" t="inlineStr">
        <is>
          <t>PO-2022-2747</t>
        </is>
      </c>
      <c r="B2749" s="26" t="n">
        <v>44346</v>
      </c>
      <c r="C2749" s="12" t="inlineStr">
        <is>
          <t>VS14</t>
        </is>
      </c>
      <c r="D2749" s="12" t="inlineStr">
        <is>
          <t>MS Pipes</t>
        </is>
      </c>
      <c r="E2749" s="12" t="inlineStr">
        <is>
          <t>N</t>
        </is>
      </c>
      <c r="F2749" s="12" t="n">
        <v>28.53</v>
      </c>
      <c r="G2749" s="17" t="n">
        <v>105655.66</v>
      </c>
      <c r="H2749" s="26" t="n">
        <v>44350</v>
      </c>
      <c r="I2749" s="26" t="n">
        <v>44353</v>
      </c>
      <c r="J2749" s="12" t="n">
        <v>28.44</v>
      </c>
      <c r="K2749" s="17" t="n">
        <v>3014355.98</v>
      </c>
      <c r="L2749" s="12" t="n">
        <v>0</v>
      </c>
      <c r="M2749" s="12" t="n">
        <v>0</v>
      </c>
      <c r="N2749" s="27">
        <f>F2749-J2749</f>
        <v/>
      </c>
      <c r="O2749" s="16">
        <f>I2749-H2749</f>
        <v/>
      </c>
      <c r="P2749" s="14">
        <f>F2749*G2749</f>
        <v/>
      </c>
      <c r="Q2749" s="14">
        <f>J2749*G2749</f>
        <v/>
      </c>
      <c r="R2749" s="14">
        <f>K2749-Q2749</f>
        <v/>
      </c>
      <c r="S2749" s="3">
        <f>P2749*Assumptions!$B$3/100</f>
        <v/>
      </c>
      <c r="T2749" s="14">
        <f>R2749-S2749</f>
        <v/>
      </c>
      <c r="U2749" s="14">
        <f>L2749*G2749</f>
        <v/>
      </c>
    </row>
    <row r="2750">
      <c r="A2750" s="12" t="inlineStr">
        <is>
          <t>PO-2022-2748</t>
        </is>
      </c>
      <c r="B2750" s="26" t="n">
        <v>44495</v>
      </c>
      <c r="C2750" s="12" t="inlineStr">
        <is>
          <t>VS13</t>
        </is>
      </c>
      <c r="D2750" s="12" t="inlineStr">
        <is>
          <t>Hex Bars</t>
        </is>
      </c>
      <c r="E2750" s="12" t="inlineStr">
        <is>
          <t>N</t>
        </is>
      </c>
      <c r="F2750" s="12" t="n">
        <v>16.37</v>
      </c>
      <c r="G2750" s="17" t="n">
        <v>70263.94</v>
      </c>
      <c r="H2750" s="26" t="n">
        <v>44510</v>
      </c>
      <c r="I2750" s="26" t="n">
        <v>44510</v>
      </c>
      <c r="J2750" s="12" t="n">
        <v>16.27</v>
      </c>
      <c r="K2750" s="17" t="n">
        <v>1150220.7</v>
      </c>
      <c r="L2750" s="12" t="n">
        <v>0</v>
      </c>
      <c r="M2750" s="12" t="n">
        <v>0</v>
      </c>
      <c r="N2750" s="27">
        <f>F2750-J2750</f>
        <v/>
      </c>
      <c r="O2750" s="16">
        <f>I2750-H2750</f>
        <v/>
      </c>
      <c r="P2750" s="14">
        <f>F2750*G2750</f>
        <v/>
      </c>
      <c r="Q2750" s="14">
        <f>J2750*G2750</f>
        <v/>
      </c>
      <c r="R2750" s="14">
        <f>K2750-Q2750</f>
        <v/>
      </c>
      <c r="S2750" s="3">
        <f>P2750*Assumptions!$B$3/100</f>
        <v/>
      </c>
      <c r="T2750" s="14">
        <f>R2750-S2750</f>
        <v/>
      </c>
      <c r="U2750" s="14">
        <f>L2750*G2750</f>
        <v/>
      </c>
    </row>
    <row r="2751">
      <c r="A2751" s="12" t="inlineStr">
        <is>
          <t>PO-2022-2749</t>
        </is>
      </c>
      <c r="B2751" s="26" t="n">
        <v>44443</v>
      </c>
      <c r="C2751" s="12" t="inlineStr">
        <is>
          <t>VS17</t>
        </is>
      </c>
      <c r="D2751" s="12" t="inlineStr">
        <is>
          <t>GI Sheets</t>
        </is>
      </c>
      <c r="E2751" s="12" t="inlineStr">
        <is>
          <t>N</t>
        </is>
      </c>
      <c r="F2751" s="12" t="n">
        <v>39.08</v>
      </c>
      <c r="G2751" s="17" t="n">
        <v>74900.28999999999</v>
      </c>
      <c r="H2751" s="26" t="n">
        <v>44448</v>
      </c>
      <c r="I2751" s="26" t="n">
        <v>44448</v>
      </c>
      <c r="J2751" s="12" t="n">
        <v>38.73</v>
      </c>
      <c r="K2751" s="17" t="n">
        <v>2927103.33</v>
      </c>
      <c r="L2751" s="12" t="n">
        <v>0</v>
      </c>
      <c r="M2751" s="12" t="n">
        <v>0</v>
      </c>
      <c r="N2751" s="27">
        <f>F2751-J2751</f>
        <v/>
      </c>
      <c r="O2751" s="16">
        <f>I2751-H2751</f>
        <v/>
      </c>
      <c r="P2751" s="14">
        <f>F2751*G2751</f>
        <v/>
      </c>
      <c r="Q2751" s="14">
        <f>J2751*G2751</f>
        <v/>
      </c>
      <c r="R2751" s="14">
        <f>K2751-Q2751</f>
        <v/>
      </c>
      <c r="S2751" s="3">
        <f>P2751*Assumptions!$B$3/100</f>
        <v/>
      </c>
      <c r="T2751" s="14">
        <f>R2751-S2751</f>
        <v/>
      </c>
      <c r="U2751" s="14">
        <f>L2751*G2751</f>
        <v/>
      </c>
    </row>
    <row r="2752">
      <c r="A2752" s="12" t="inlineStr">
        <is>
          <t>PO-2022-2750</t>
        </is>
      </c>
      <c r="B2752" s="26" t="n">
        <v>44689</v>
      </c>
      <c r="C2752" s="12" t="inlineStr">
        <is>
          <t>VS20</t>
        </is>
      </c>
      <c r="D2752" s="12" t="inlineStr">
        <is>
          <t>Hex Bars</t>
        </is>
      </c>
      <c r="E2752" s="12" t="inlineStr">
        <is>
          <t>N</t>
        </is>
      </c>
      <c r="F2752" s="12" t="n">
        <v>14.32</v>
      </c>
      <c r="G2752" s="17" t="n">
        <v>112424.54</v>
      </c>
      <c r="H2752" s="26" t="n">
        <v>44692</v>
      </c>
      <c r="I2752" s="26" t="n">
        <v>44695</v>
      </c>
      <c r="J2752" s="12" t="n">
        <v>14.29</v>
      </c>
      <c r="K2752" s="17" t="n">
        <v>1609919.41</v>
      </c>
      <c r="L2752" s="12" t="n">
        <v>0</v>
      </c>
      <c r="M2752" s="12" t="n">
        <v>0</v>
      </c>
      <c r="N2752" s="27">
        <f>F2752-J2752</f>
        <v/>
      </c>
      <c r="O2752" s="16">
        <f>I2752-H2752</f>
        <v/>
      </c>
      <c r="P2752" s="14">
        <f>F2752*G2752</f>
        <v/>
      </c>
      <c r="Q2752" s="14">
        <f>J2752*G2752</f>
        <v/>
      </c>
      <c r="R2752" s="14">
        <f>K2752-Q2752</f>
        <v/>
      </c>
      <c r="S2752" s="3">
        <f>P2752*Assumptions!$B$3/100</f>
        <v/>
      </c>
      <c r="T2752" s="14">
        <f>R2752-S2752</f>
        <v/>
      </c>
      <c r="U2752" s="14">
        <f>L2752*G2752</f>
        <v/>
      </c>
    </row>
    <row r="2753">
      <c r="A2753" s="12" t="inlineStr">
        <is>
          <t>PO-2022-2751</t>
        </is>
      </c>
      <c r="B2753" s="26" t="n">
        <v>44533</v>
      </c>
      <c r="C2753" s="12" t="inlineStr">
        <is>
          <t>VS31</t>
        </is>
      </c>
      <c r="D2753" s="12" t="inlineStr">
        <is>
          <t>HR Coils</t>
        </is>
      </c>
      <c r="E2753" s="12" t="inlineStr">
        <is>
          <t>N</t>
        </is>
      </c>
      <c r="F2753" s="12" t="n">
        <v>1.05</v>
      </c>
      <c r="G2753" s="17" t="n">
        <v>95078.73</v>
      </c>
      <c r="H2753" s="26" t="n">
        <v>44544</v>
      </c>
      <c r="I2753" s="26" t="n">
        <v>44547</v>
      </c>
      <c r="J2753" s="12" t="n">
        <v>1.05</v>
      </c>
      <c r="K2753" s="17" t="n">
        <v>99832.67</v>
      </c>
      <c r="L2753" s="12" t="n">
        <v>0</v>
      </c>
      <c r="M2753" s="12" t="n">
        <v>18</v>
      </c>
      <c r="N2753" s="27">
        <f>F2753-J2753</f>
        <v/>
      </c>
      <c r="O2753" s="16">
        <f>I2753-H2753</f>
        <v/>
      </c>
      <c r="P2753" s="14">
        <f>F2753*G2753</f>
        <v/>
      </c>
      <c r="Q2753" s="14">
        <f>J2753*G2753</f>
        <v/>
      </c>
      <c r="R2753" s="14">
        <f>K2753-Q2753</f>
        <v/>
      </c>
      <c r="S2753" s="3">
        <f>P2753*Assumptions!$B$3/100</f>
        <v/>
      </c>
      <c r="T2753" s="14">
        <f>R2753-S2753</f>
        <v/>
      </c>
      <c r="U2753" s="14">
        <f>L2753*G2753</f>
        <v/>
      </c>
    </row>
    <row r="2754">
      <c r="A2754" s="12" t="inlineStr">
        <is>
          <t>PO-2022-2752</t>
        </is>
      </c>
      <c r="B2754" s="26" t="n">
        <v>45086</v>
      </c>
      <c r="C2754" s="12" t="inlineStr">
        <is>
          <t>VS26</t>
        </is>
      </c>
      <c r="D2754" s="12" t="inlineStr">
        <is>
          <t>MS Rods</t>
        </is>
      </c>
      <c r="E2754" s="12" t="inlineStr">
        <is>
          <t>N</t>
        </is>
      </c>
      <c r="F2754" s="12" t="n">
        <v>4.07</v>
      </c>
      <c r="G2754" s="17" t="n">
        <v>49136.32</v>
      </c>
      <c r="H2754" s="26" t="n">
        <v>45101</v>
      </c>
      <c r="I2754" s="26" t="n">
        <v>45101</v>
      </c>
      <c r="J2754" s="12" t="n">
        <v>4.04</v>
      </c>
      <c r="K2754" s="17" t="n">
        <v>199984.82</v>
      </c>
      <c r="L2754" s="12" t="n">
        <v>0</v>
      </c>
      <c r="M2754" s="12" t="n">
        <v>13</v>
      </c>
      <c r="N2754" s="27">
        <f>F2754-J2754</f>
        <v/>
      </c>
      <c r="O2754" s="16">
        <f>I2754-H2754</f>
        <v/>
      </c>
      <c r="P2754" s="14">
        <f>F2754*G2754</f>
        <v/>
      </c>
      <c r="Q2754" s="14">
        <f>J2754*G2754</f>
        <v/>
      </c>
      <c r="R2754" s="14">
        <f>K2754-Q2754</f>
        <v/>
      </c>
      <c r="S2754" s="3">
        <f>P2754*Assumptions!$B$3/100</f>
        <v/>
      </c>
      <c r="T2754" s="14">
        <f>R2754-S2754</f>
        <v/>
      </c>
      <c r="U2754" s="14">
        <f>L2754*G2754</f>
        <v/>
      </c>
    </row>
    <row r="2755">
      <c r="A2755" s="12" t="inlineStr">
        <is>
          <t>PO-2022-2753</t>
        </is>
      </c>
      <c r="B2755" s="26" t="n">
        <v>44989</v>
      </c>
      <c r="C2755" s="12" t="inlineStr">
        <is>
          <t>VS33</t>
        </is>
      </c>
      <c r="D2755" s="12" t="inlineStr">
        <is>
          <t>GI Sheets</t>
        </is>
      </c>
      <c r="E2755" s="12" t="inlineStr">
        <is>
          <t>N</t>
        </is>
      </c>
      <c r="F2755" s="12" t="n">
        <v>4.68</v>
      </c>
      <c r="G2755" s="17" t="n">
        <v>95123.63</v>
      </c>
      <c r="H2755" s="26" t="n">
        <v>45001</v>
      </c>
      <c r="I2755" s="26" t="n">
        <v>45003</v>
      </c>
      <c r="J2755" s="12" t="n">
        <v>4.64</v>
      </c>
      <c r="K2755" s="17" t="n">
        <v>445178.59</v>
      </c>
      <c r="L2755" s="12" t="n">
        <v>0</v>
      </c>
      <c r="M2755" s="12" t="n">
        <v>0</v>
      </c>
      <c r="N2755" s="27">
        <f>F2755-J2755</f>
        <v/>
      </c>
      <c r="O2755" s="16">
        <f>I2755-H2755</f>
        <v/>
      </c>
      <c r="P2755" s="14">
        <f>F2755*G2755</f>
        <v/>
      </c>
      <c r="Q2755" s="14">
        <f>J2755*G2755</f>
        <v/>
      </c>
      <c r="R2755" s="14">
        <f>K2755-Q2755</f>
        <v/>
      </c>
      <c r="S2755" s="3">
        <f>P2755*Assumptions!$B$3/100</f>
        <v/>
      </c>
      <c r="T2755" s="14">
        <f>R2755-S2755</f>
        <v/>
      </c>
      <c r="U2755" s="14">
        <f>L2755*G2755</f>
        <v/>
      </c>
    </row>
    <row r="2756">
      <c r="A2756" s="12" t="inlineStr">
        <is>
          <t>PO-2022-2754</t>
        </is>
      </c>
      <c r="B2756" s="26" t="n">
        <v>44882</v>
      </c>
      <c r="C2756" s="12" t="inlineStr">
        <is>
          <t>VS02</t>
        </is>
      </c>
      <c r="D2756" s="12" t="inlineStr">
        <is>
          <t>GI Pipes</t>
        </is>
      </c>
      <c r="E2756" s="12" t="inlineStr">
        <is>
          <t>N</t>
        </is>
      </c>
      <c r="F2756" s="12" t="n">
        <v>47.32</v>
      </c>
      <c r="G2756" s="17" t="n">
        <v>73139.36</v>
      </c>
      <c r="H2756" s="26" t="n">
        <v>44885</v>
      </c>
      <c r="I2756" s="26" t="n">
        <v>44887</v>
      </c>
      <c r="J2756" s="12" t="n">
        <v>47.2</v>
      </c>
      <c r="K2756" s="17" t="n">
        <v>3460954.52</v>
      </c>
      <c r="L2756" s="12" t="n">
        <v>0</v>
      </c>
      <c r="M2756" s="12" t="n">
        <v>15</v>
      </c>
      <c r="N2756" s="27">
        <f>F2756-J2756</f>
        <v/>
      </c>
      <c r="O2756" s="16">
        <f>I2756-H2756</f>
        <v/>
      </c>
      <c r="P2756" s="14">
        <f>F2756*G2756</f>
        <v/>
      </c>
      <c r="Q2756" s="14">
        <f>J2756*G2756</f>
        <v/>
      </c>
      <c r="R2756" s="14">
        <f>K2756-Q2756</f>
        <v/>
      </c>
      <c r="S2756" s="3">
        <f>P2756*Assumptions!$B$3/100</f>
        <v/>
      </c>
      <c r="T2756" s="14">
        <f>R2756-S2756</f>
        <v/>
      </c>
      <c r="U2756" s="14">
        <f>L2756*G2756</f>
        <v/>
      </c>
    </row>
    <row r="2757">
      <c r="A2757" s="12" t="inlineStr">
        <is>
          <t>PO-2022-2755</t>
        </is>
      </c>
      <c r="B2757" s="26" t="n">
        <v>44768</v>
      </c>
      <c r="C2757" s="12" t="inlineStr">
        <is>
          <t>VS06</t>
        </is>
      </c>
      <c r="D2757" s="12" t="inlineStr">
        <is>
          <t>SS Sheets</t>
        </is>
      </c>
      <c r="E2757" s="12" t="inlineStr">
        <is>
          <t>N</t>
        </is>
      </c>
      <c r="F2757" s="12" t="n">
        <v>31.86</v>
      </c>
      <c r="G2757" s="17" t="n">
        <v>50487.21</v>
      </c>
      <c r="H2757" s="26" t="n">
        <v>44782</v>
      </c>
      <c r="I2757" s="26" t="n">
        <v>44785</v>
      </c>
      <c r="J2757" s="12" t="n">
        <v>31.62</v>
      </c>
      <c r="K2757" s="17" t="n">
        <v>1608522.51</v>
      </c>
      <c r="L2757" s="12" t="n">
        <v>0</v>
      </c>
      <c r="M2757" s="12" t="n">
        <v>0</v>
      </c>
      <c r="N2757" s="27">
        <f>F2757-J2757</f>
        <v/>
      </c>
      <c r="O2757" s="16">
        <f>I2757-H2757</f>
        <v/>
      </c>
      <c r="P2757" s="14">
        <f>F2757*G2757</f>
        <v/>
      </c>
      <c r="Q2757" s="14">
        <f>J2757*G2757</f>
        <v/>
      </c>
      <c r="R2757" s="14">
        <f>K2757-Q2757</f>
        <v/>
      </c>
      <c r="S2757" s="3">
        <f>P2757*Assumptions!$B$3/100</f>
        <v/>
      </c>
      <c r="T2757" s="14">
        <f>R2757-S2757</f>
        <v/>
      </c>
      <c r="U2757" s="14">
        <f>L2757*G2757</f>
        <v/>
      </c>
    </row>
    <row r="2758">
      <c r="A2758" s="12" t="inlineStr">
        <is>
          <t>PO-2022-2756</t>
        </is>
      </c>
      <c r="B2758" s="26" t="n">
        <v>44855</v>
      </c>
      <c r="C2758" s="12" t="inlineStr">
        <is>
          <t>VS04</t>
        </is>
      </c>
      <c r="D2758" s="12" t="inlineStr">
        <is>
          <t>Fasteners &amp; Fittings</t>
        </is>
      </c>
      <c r="E2758" s="12" t="inlineStr">
        <is>
          <t>N</t>
        </is>
      </c>
      <c r="F2758" s="12" t="n">
        <v>20.98</v>
      </c>
      <c r="G2758" s="17" t="n">
        <v>58289.19</v>
      </c>
      <c r="H2758" s="26" t="n">
        <v>44868</v>
      </c>
      <c r="I2758" s="26" t="n">
        <v>44869</v>
      </c>
      <c r="J2758" s="12" t="n">
        <v>20.81</v>
      </c>
      <c r="K2758" s="17" t="n">
        <v>1222907.21</v>
      </c>
      <c r="L2758" s="12" t="n">
        <v>0</v>
      </c>
      <c r="M2758" s="12" t="n">
        <v>0</v>
      </c>
      <c r="N2758" s="27">
        <f>F2758-J2758</f>
        <v/>
      </c>
      <c r="O2758" s="16">
        <f>I2758-H2758</f>
        <v/>
      </c>
      <c r="P2758" s="14">
        <f>F2758*G2758</f>
        <v/>
      </c>
      <c r="Q2758" s="14">
        <f>J2758*G2758</f>
        <v/>
      </c>
      <c r="R2758" s="14">
        <f>K2758-Q2758</f>
        <v/>
      </c>
      <c r="S2758" s="3">
        <f>P2758*Assumptions!$B$3/100</f>
        <v/>
      </c>
      <c r="T2758" s="14">
        <f>R2758-S2758</f>
        <v/>
      </c>
      <c r="U2758" s="14">
        <f>L2758*G2758</f>
        <v/>
      </c>
    </row>
    <row r="2759">
      <c r="A2759" s="12" t="inlineStr">
        <is>
          <t>PO-2022-2757</t>
        </is>
      </c>
      <c r="B2759" s="26" t="n">
        <v>45265</v>
      </c>
      <c r="C2759" s="12" t="inlineStr">
        <is>
          <t>VS13</t>
        </is>
      </c>
      <c r="D2759" s="12" t="inlineStr">
        <is>
          <t>Fasteners &amp; Fittings</t>
        </is>
      </c>
      <c r="E2759" s="12" t="inlineStr">
        <is>
          <t>N</t>
        </is>
      </c>
      <c r="F2759" s="12" t="n">
        <v>32.46</v>
      </c>
      <c r="G2759" s="17" t="n">
        <v>92023.33</v>
      </c>
      <c r="H2759" s="26" t="n">
        <v>45268</v>
      </c>
      <c r="I2759" s="26" t="n">
        <v>45270</v>
      </c>
      <c r="J2759" s="12" t="n">
        <v>32.16</v>
      </c>
      <c r="K2759" s="17" t="n">
        <v>2987077.29</v>
      </c>
      <c r="L2759" s="12" t="n">
        <v>0</v>
      </c>
      <c r="M2759" s="12" t="n">
        <v>0</v>
      </c>
      <c r="N2759" s="27">
        <f>F2759-J2759</f>
        <v/>
      </c>
      <c r="O2759" s="16">
        <f>I2759-H2759</f>
        <v/>
      </c>
      <c r="P2759" s="14">
        <f>F2759*G2759</f>
        <v/>
      </c>
      <c r="Q2759" s="14">
        <f>J2759*G2759</f>
        <v/>
      </c>
      <c r="R2759" s="14">
        <f>K2759-Q2759</f>
        <v/>
      </c>
      <c r="S2759" s="3">
        <f>P2759*Assumptions!$B$3/100</f>
        <v/>
      </c>
      <c r="T2759" s="14">
        <f>R2759-S2759</f>
        <v/>
      </c>
      <c r="U2759" s="14">
        <f>L2759*G2759</f>
        <v/>
      </c>
    </row>
    <row r="2760">
      <c r="A2760" s="12" t="inlineStr">
        <is>
          <t>PO-2022-2758</t>
        </is>
      </c>
      <c r="B2760" s="26" t="n">
        <v>44951</v>
      </c>
      <c r="C2760" s="12" t="inlineStr">
        <is>
          <t>VS15</t>
        </is>
      </c>
      <c r="D2760" s="12" t="inlineStr">
        <is>
          <t>CR Sheets</t>
        </is>
      </c>
      <c r="E2760" s="12" t="inlineStr">
        <is>
          <t>N</t>
        </is>
      </c>
      <c r="F2760" s="12" t="n">
        <v>14.24</v>
      </c>
      <c r="G2760" s="17" t="n">
        <v>112178.89</v>
      </c>
      <c r="H2760" s="26" t="n">
        <v>44961</v>
      </c>
      <c r="I2760" s="26" t="n">
        <v>44963</v>
      </c>
      <c r="J2760" s="12" t="n">
        <v>14.13</v>
      </c>
      <c r="K2760" s="17" t="n">
        <v>1597427.39</v>
      </c>
      <c r="L2760" s="12" t="n">
        <v>0</v>
      </c>
      <c r="M2760" s="12" t="n">
        <v>0</v>
      </c>
      <c r="N2760" s="27">
        <f>F2760-J2760</f>
        <v/>
      </c>
      <c r="O2760" s="16">
        <f>I2760-H2760</f>
        <v/>
      </c>
      <c r="P2760" s="14">
        <f>F2760*G2760</f>
        <v/>
      </c>
      <c r="Q2760" s="14">
        <f>J2760*G2760</f>
        <v/>
      </c>
      <c r="R2760" s="14">
        <f>K2760-Q2760</f>
        <v/>
      </c>
      <c r="S2760" s="3">
        <f>P2760*Assumptions!$B$3/100</f>
        <v/>
      </c>
      <c r="T2760" s="14">
        <f>R2760-S2760</f>
        <v/>
      </c>
      <c r="U2760" s="14">
        <f>L2760*G2760</f>
        <v/>
      </c>
    </row>
    <row r="2761">
      <c r="A2761" s="12" t="inlineStr">
        <is>
          <t>PO-2022-2759</t>
        </is>
      </c>
      <c r="B2761" s="26" t="n">
        <v>45103</v>
      </c>
      <c r="C2761" s="12" t="inlineStr">
        <is>
          <t>VS19</t>
        </is>
      </c>
      <c r="D2761" s="12" t="inlineStr">
        <is>
          <t>MS Rods</t>
        </is>
      </c>
      <c r="E2761" s="12" t="inlineStr">
        <is>
          <t>N</t>
        </is>
      </c>
      <c r="F2761" s="12" t="n">
        <v>8.949999999999999</v>
      </c>
      <c r="G2761" s="17" t="n">
        <v>102516.6</v>
      </c>
      <c r="H2761" s="26" t="n">
        <v>45113</v>
      </c>
      <c r="I2761" s="26" t="n">
        <v>45120</v>
      </c>
      <c r="J2761" s="12" t="n">
        <v>8.51</v>
      </c>
      <c r="K2761" s="17" t="n">
        <v>917523.5699999999</v>
      </c>
      <c r="L2761" s="12" t="n">
        <v>0.34</v>
      </c>
      <c r="M2761" s="12" t="n">
        <v>0</v>
      </c>
      <c r="N2761" s="27">
        <f>F2761-J2761</f>
        <v/>
      </c>
      <c r="O2761" s="16">
        <f>I2761-H2761</f>
        <v/>
      </c>
      <c r="P2761" s="14">
        <f>F2761*G2761</f>
        <v/>
      </c>
      <c r="Q2761" s="14">
        <f>J2761*G2761</f>
        <v/>
      </c>
      <c r="R2761" s="14">
        <f>K2761-Q2761</f>
        <v/>
      </c>
      <c r="S2761" s="3">
        <f>P2761*Assumptions!$B$3/100</f>
        <v/>
      </c>
      <c r="T2761" s="14">
        <f>R2761-S2761</f>
        <v/>
      </c>
      <c r="U2761" s="14">
        <f>L2761*G2761</f>
        <v/>
      </c>
    </row>
    <row r="2762">
      <c r="A2762" s="12" t="inlineStr">
        <is>
          <t>PO-2022-2760</t>
        </is>
      </c>
      <c r="B2762" s="26" t="n">
        <v>44483</v>
      </c>
      <c r="C2762" s="12" t="inlineStr">
        <is>
          <t>VS26</t>
        </is>
      </c>
      <c r="D2762" s="12" t="inlineStr">
        <is>
          <t>GI Wire</t>
        </is>
      </c>
      <c r="E2762" s="12" t="inlineStr">
        <is>
          <t>N</t>
        </is>
      </c>
      <c r="F2762" s="12" t="n">
        <v>33.9</v>
      </c>
      <c r="G2762" s="17" t="n">
        <v>89723.39999999999</v>
      </c>
      <c r="H2762" s="26" t="n">
        <v>44491</v>
      </c>
      <c r="I2762" s="26" t="n">
        <v>44493</v>
      </c>
      <c r="J2762" s="12" t="n">
        <v>33.83</v>
      </c>
      <c r="K2762" s="17" t="n">
        <v>3041623.26</v>
      </c>
      <c r="L2762" s="12" t="n">
        <v>0</v>
      </c>
      <c r="M2762" s="12" t="n">
        <v>19</v>
      </c>
      <c r="N2762" s="27">
        <f>F2762-J2762</f>
        <v/>
      </c>
      <c r="O2762" s="16">
        <f>I2762-H2762</f>
        <v/>
      </c>
      <c r="P2762" s="14">
        <f>F2762*G2762</f>
        <v/>
      </c>
      <c r="Q2762" s="14">
        <f>J2762*G2762</f>
        <v/>
      </c>
      <c r="R2762" s="14">
        <f>K2762-Q2762</f>
        <v/>
      </c>
      <c r="S2762" s="3">
        <f>P2762*Assumptions!$B$3/100</f>
        <v/>
      </c>
      <c r="T2762" s="14">
        <f>R2762-S2762</f>
        <v/>
      </c>
      <c r="U2762" s="14">
        <f>L2762*G2762</f>
        <v/>
      </c>
    </row>
    <row r="2763">
      <c r="A2763" s="12" t="inlineStr">
        <is>
          <t>PO-2022-2761</t>
        </is>
      </c>
      <c r="B2763" s="26" t="n">
        <v>44236</v>
      </c>
      <c r="C2763" s="12" t="inlineStr">
        <is>
          <t>VS06</t>
        </is>
      </c>
      <c r="D2763" s="12" t="inlineStr">
        <is>
          <t>Structural Steel</t>
        </is>
      </c>
      <c r="E2763" s="12" t="inlineStr">
        <is>
          <t>N</t>
        </is>
      </c>
      <c r="F2763" s="12" t="n">
        <v>36.52</v>
      </c>
      <c r="G2763" s="17" t="n">
        <v>106950.45</v>
      </c>
      <c r="H2763" s="26" t="n">
        <v>44245</v>
      </c>
      <c r="I2763" s="26" t="n">
        <v>44247</v>
      </c>
      <c r="J2763" s="12" t="n">
        <v>36.16</v>
      </c>
      <c r="K2763" s="17" t="n">
        <v>3905830.43</v>
      </c>
      <c r="L2763" s="12" t="n">
        <v>0</v>
      </c>
      <c r="M2763" s="12" t="n">
        <v>0</v>
      </c>
      <c r="N2763" s="27">
        <f>F2763-J2763</f>
        <v/>
      </c>
      <c r="O2763" s="16">
        <f>I2763-H2763</f>
        <v/>
      </c>
      <c r="P2763" s="14">
        <f>F2763*G2763</f>
        <v/>
      </c>
      <c r="Q2763" s="14">
        <f>J2763*G2763</f>
        <v/>
      </c>
      <c r="R2763" s="14">
        <f>K2763-Q2763</f>
        <v/>
      </c>
      <c r="S2763" s="3">
        <f>P2763*Assumptions!$B$3/100</f>
        <v/>
      </c>
      <c r="T2763" s="14">
        <f>R2763-S2763</f>
        <v/>
      </c>
      <c r="U2763" s="14">
        <f>L2763*G2763</f>
        <v/>
      </c>
    </row>
    <row r="2764">
      <c r="A2764" s="12" t="inlineStr">
        <is>
          <t>PO-2022-2762</t>
        </is>
      </c>
      <c r="B2764" s="26" t="n">
        <v>44294</v>
      </c>
      <c r="C2764" s="12" t="inlineStr">
        <is>
          <t>VS11</t>
        </is>
      </c>
      <c r="D2764" s="12" t="inlineStr">
        <is>
          <t>SS Pipes</t>
        </is>
      </c>
      <c r="E2764" s="12" t="inlineStr">
        <is>
          <t>Y</t>
        </is>
      </c>
      <c r="F2764" s="12" t="n">
        <v>38.69</v>
      </c>
      <c r="G2764" s="17" t="n">
        <v>64765.94</v>
      </c>
      <c r="H2764" s="26" t="n">
        <v>44303</v>
      </c>
      <c r="I2764" s="26" t="n">
        <v>44305</v>
      </c>
      <c r="J2764" s="12" t="n">
        <v>38.3</v>
      </c>
      <c r="K2764" s="17" t="n">
        <v>2505794.22</v>
      </c>
      <c r="L2764" s="12" t="n">
        <v>0</v>
      </c>
      <c r="M2764" s="12" t="n">
        <v>0</v>
      </c>
      <c r="N2764" s="27">
        <f>F2764-J2764</f>
        <v/>
      </c>
      <c r="O2764" s="16">
        <f>I2764-H2764</f>
        <v/>
      </c>
      <c r="P2764" s="14">
        <f>F2764*G2764</f>
        <v/>
      </c>
      <c r="Q2764" s="14">
        <f>J2764*G2764</f>
        <v/>
      </c>
      <c r="R2764" s="14">
        <f>K2764-Q2764</f>
        <v/>
      </c>
      <c r="S2764" s="3">
        <f>P2764*Assumptions!$B$3/100</f>
        <v/>
      </c>
      <c r="T2764" s="14">
        <f>R2764-S2764</f>
        <v/>
      </c>
      <c r="U2764" s="14">
        <f>L2764*G2764</f>
        <v/>
      </c>
    </row>
    <row r="2765">
      <c r="A2765" s="12" t="inlineStr">
        <is>
          <t>PO-2022-2763</t>
        </is>
      </c>
      <c r="B2765" s="26" t="n">
        <v>45270</v>
      </c>
      <c r="C2765" s="12" t="inlineStr">
        <is>
          <t>VS17</t>
        </is>
      </c>
      <c r="D2765" s="12" t="inlineStr">
        <is>
          <t>SS Pipes</t>
        </is>
      </c>
      <c r="E2765" s="12" t="inlineStr">
        <is>
          <t>N</t>
        </is>
      </c>
      <c r="F2765" s="12" t="n">
        <v>48.54</v>
      </c>
      <c r="G2765" s="17" t="n">
        <v>59882.94</v>
      </c>
      <c r="H2765" s="26" t="n">
        <v>45280</v>
      </c>
      <c r="I2765" s="26" t="n">
        <v>45282</v>
      </c>
      <c r="J2765" s="12" t="n">
        <v>48.13</v>
      </c>
      <c r="K2765" s="17" t="n">
        <v>2906717.91</v>
      </c>
      <c r="L2765" s="12" t="n">
        <v>0</v>
      </c>
      <c r="M2765" s="12" t="n">
        <v>22</v>
      </c>
      <c r="N2765" s="27">
        <f>F2765-J2765</f>
        <v/>
      </c>
      <c r="O2765" s="16">
        <f>I2765-H2765</f>
        <v/>
      </c>
      <c r="P2765" s="14">
        <f>F2765*G2765</f>
        <v/>
      </c>
      <c r="Q2765" s="14">
        <f>J2765*G2765</f>
        <v/>
      </c>
      <c r="R2765" s="14">
        <f>K2765-Q2765</f>
        <v/>
      </c>
      <c r="S2765" s="3">
        <f>P2765*Assumptions!$B$3/100</f>
        <v/>
      </c>
      <c r="T2765" s="14">
        <f>R2765-S2765</f>
        <v/>
      </c>
      <c r="U2765" s="14">
        <f>L2765*G2765</f>
        <v/>
      </c>
    </row>
    <row r="2766">
      <c r="A2766" s="12" t="inlineStr">
        <is>
          <t>PO-2022-2764</t>
        </is>
      </c>
      <c r="B2766" s="26" t="n">
        <v>44672</v>
      </c>
      <c r="C2766" s="12" t="inlineStr">
        <is>
          <t>VS06</t>
        </is>
      </c>
      <c r="D2766" s="12" t="inlineStr">
        <is>
          <t>Square/Rect Tubes</t>
        </is>
      </c>
      <c r="E2766" s="12" t="inlineStr">
        <is>
          <t>N</t>
        </is>
      </c>
      <c r="F2766" s="12" t="n">
        <v>47.76</v>
      </c>
      <c r="G2766" s="17" t="n">
        <v>68565.00999999999</v>
      </c>
      <c r="H2766" s="26" t="n">
        <v>44686</v>
      </c>
      <c r="I2766" s="26" t="n">
        <v>44689</v>
      </c>
      <c r="J2766" s="12" t="n">
        <v>47.73</v>
      </c>
      <c r="K2766" s="17" t="n">
        <v>3274664.88</v>
      </c>
      <c r="L2766" s="12" t="n">
        <v>0</v>
      </c>
      <c r="M2766" s="12" t="n">
        <v>0</v>
      </c>
      <c r="N2766" s="27">
        <f>F2766-J2766</f>
        <v/>
      </c>
      <c r="O2766" s="16">
        <f>I2766-H2766</f>
        <v/>
      </c>
      <c r="P2766" s="14">
        <f>F2766*G2766</f>
        <v/>
      </c>
      <c r="Q2766" s="14">
        <f>J2766*G2766</f>
        <v/>
      </c>
      <c r="R2766" s="14">
        <f>K2766-Q2766</f>
        <v/>
      </c>
      <c r="S2766" s="3">
        <f>P2766*Assumptions!$B$3/100</f>
        <v/>
      </c>
      <c r="T2766" s="14">
        <f>R2766-S2766</f>
        <v/>
      </c>
      <c r="U2766" s="14">
        <f>L2766*G2766</f>
        <v/>
      </c>
    </row>
    <row r="2767">
      <c r="A2767" s="12" t="inlineStr">
        <is>
          <t>PO-2022-2765</t>
        </is>
      </c>
      <c r="B2767" s="26" t="n">
        <v>44547</v>
      </c>
      <c r="C2767" s="12" t="inlineStr">
        <is>
          <t>VS13</t>
        </is>
      </c>
      <c r="D2767" s="12" t="inlineStr">
        <is>
          <t>Angles &amp; Channels</t>
        </is>
      </c>
      <c r="E2767" s="12" t="inlineStr">
        <is>
          <t>N</t>
        </is>
      </c>
      <c r="F2767" s="12" t="n">
        <v>45.88</v>
      </c>
      <c r="G2767" s="17" t="n">
        <v>75098.42</v>
      </c>
      <c r="H2767" s="26" t="n">
        <v>44557</v>
      </c>
      <c r="I2767" s="26" t="n">
        <v>44557</v>
      </c>
      <c r="J2767" s="12" t="n">
        <v>45.53</v>
      </c>
      <c r="K2767" s="17" t="n">
        <v>3445515.51</v>
      </c>
      <c r="L2767" s="12" t="n">
        <v>0</v>
      </c>
      <c r="M2767" s="12" t="n">
        <v>17</v>
      </c>
      <c r="N2767" s="27">
        <f>F2767-J2767</f>
        <v/>
      </c>
      <c r="O2767" s="16">
        <f>I2767-H2767</f>
        <v/>
      </c>
      <c r="P2767" s="14">
        <f>F2767*G2767</f>
        <v/>
      </c>
      <c r="Q2767" s="14">
        <f>J2767*G2767</f>
        <v/>
      </c>
      <c r="R2767" s="14">
        <f>K2767-Q2767</f>
        <v/>
      </c>
      <c r="S2767" s="3">
        <f>P2767*Assumptions!$B$3/100</f>
        <v/>
      </c>
      <c r="T2767" s="14">
        <f>R2767-S2767</f>
        <v/>
      </c>
      <c r="U2767" s="14">
        <f>L2767*G2767</f>
        <v/>
      </c>
    </row>
    <row r="2768">
      <c r="A2768" s="12" t="inlineStr">
        <is>
          <t>PO-2022-2766</t>
        </is>
      </c>
      <c r="B2768" s="26" t="n">
        <v>44359</v>
      </c>
      <c r="C2768" s="12" t="inlineStr">
        <is>
          <t>VS30</t>
        </is>
      </c>
      <c r="D2768" s="12" t="inlineStr">
        <is>
          <t>MS Pipes</t>
        </is>
      </c>
      <c r="E2768" s="12" t="inlineStr">
        <is>
          <t>N</t>
        </is>
      </c>
      <c r="F2768" s="12" t="n">
        <v>11.04</v>
      </c>
      <c r="G2768" s="17" t="n">
        <v>119708.31</v>
      </c>
      <c r="H2768" s="26" t="n">
        <v>44364</v>
      </c>
      <c r="I2768" s="26" t="n">
        <v>44366</v>
      </c>
      <c r="J2768" s="12" t="n">
        <v>10.98</v>
      </c>
      <c r="K2768" s="17" t="n">
        <v>1321579.74</v>
      </c>
      <c r="L2768" s="12" t="n">
        <v>0</v>
      </c>
      <c r="M2768" s="12" t="n">
        <v>8</v>
      </c>
      <c r="N2768" s="27">
        <f>F2768-J2768</f>
        <v/>
      </c>
      <c r="O2768" s="16">
        <f>I2768-H2768</f>
        <v/>
      </c>
      <c r="P2768" s="14">
        <f>F2768*G2768</f>
        <v/>
      </c>
      <c r="Q2768" s="14">
        <f>J2768*G2768</f>
        <v/>
      </c>
      <c r="R2768" s="14">
        <f>K2768-Q2768</f>
        <v/>
      </c>
      <c r="S2768" s="3">
        <f>P2768*Assumptions!$B$3/100</f>
        <v/>
      </c>
      <c r="T2768" s="14">
        <f>R2768-S2768</f>
        <v/>
      </c>
      <c r="U2768" s="14">
        <f>L2768*G2768</f>
        <v/>
      </c>
    </row>
    <row r="2769">
      <c r="A2769" s="12" t="inlineStr">
        <is>
          <t>PO-2022-2767</t>
        </is>
      </c>
      <c r="B2769" s="26" t="n">
        <v>44405</v>
      </c>
      <c r="C2769" s="12" t="inlineStr">
        <is>
          <t>VS06</t>
        </is>
      </c>
      <c r="D2769" s="12" t="inlineStr">
        <is>
          <t>MS Sheets</t>
        </is>
      </c>
      <c r="E2769" s="12" t="inlineStr">
        <is>
          <t>N</t>
        </is>
      </c>
      <c r="F2769" s="12" t="n">
        <v>1.02</v>
      </c>
      <c r="G2769" s="17" t="n">
        <v>53446.5</v>
      </c>
      <c r="H2769" s="26" t="n">
        <v>44420</v>
      </c>
      <c r="I2769" s="26" t="n">
        <v>44423</v>
      </c>
      <c r="J2769" s="12" t="n">
        <v>1.01</v>
      </c>
      <c r="K2769" s="17" t="n">
        <v>54515.43</v>
      </c>
      <c r="L2769" s="12" t="n">
        <v>0</v>
      </c>
      <c r="M2769" s="12" t="n">
        <v>4</v>
      </c>
      <c r="N2769" s="27">
        <f>F2769-J2769</f>
        <v/>
      </c>
      <c r="O2769" s="16">
        <f>I2769-H2769</f>
        <v/>
      </c>
      <c r="P2769" s="14">
        <f>F2769*G2769</f>
        <v/>
      </c>
      <c r="Q2769" s="14">
        <f>J2769*G2769</f>
        <v/>
      </c>
      <c r="R2769" s="14">
        <f>K2769-Q2769</f>
        <v/>
      </c>
      <c r="S2769" s="3">
        <f>P2769*Assumptions!$B$3/100</f>
        <v/>
      </c>
      <c r="T2769" s="14">
        <f>R2769-S2769</f>
        <v/>
      </c>
      <c r="U2769" s="14">
        <f>L2769*G2769</f>
        <v/>
      </c>
    </row>
    <row r="2770">
      <c r="A2770" s="12" t="inlineStr">
        <is>
          <t>PO-2022-2768</t>
        </is>
      </c>
      <c r="B2770" s="26" t="n">
        <v>45061</v>
      </c>
      <c r="C2770" s="12" t="inlineStr">
        <is>
          <t>VS16</t>
        </is>
      </c>
      <c r="D2770" s="12" t="inlineStr">
        <is>
          <t>Hex Bars</t>
        </is>
      </c>
      <c r="E2770" s="12" t="inlineStr">
        <is>
          <t>N</t>
        </is>
      </c>
      <c r="F2770" s="12" t="n">
        <v>49</v>
      </c>
      <c r="G2770" s="17" t="n">
        <v>68831.7</v>
      </c>
      <c r="H2770" s="26" t="n">
        <v>45071</v>
      </c>
      <c r="I2770" s="26" t="n">
        <v>45072</v>
      </c>
      <c r="J2770" s="12" t="n">
        <v>49</v>
      </c>
      <c r="K2770" s="17" t="n">
        <v>3372753.3</v>
      </c>
      <c r="L2770" s="12" t="n">
        <v>0</v>
      </c>
      <c r="M2770" s="12" t="n">
        <v>0</v>
      </c>
      <c r="N2770" s="27">
        <f>F2770-J2770</f>
        <v/>
      </c>
      <c r="O2770" s="16">
        <f>I2770-H2770</f>
        <v/>
      </c>
      <c r="P2770" s="14">
        <f>F2770*G2770</f>
        <v/>
      </c>
      <c r="Q2770" s="14">
        <f>J2770*G2770</f>
        <v/>
      </c>
      <c r="R2770" s="14">
        <f>K2770-Q2770</f>
        <v/>
      </c>
      <c r="S2770" s="3">
        <f>P2770*Assumptions!$B$3/100</f>
        <v/>
      </c>
      <c r="T2770" s="14">
        <f>R2770-S2770</f>
        <v/>
      </c>
      <c r="U2770" s="14">
        <f>L2770*G2770</f>
        <v/>
      </c>
    </row>
    <row r="2771">
      <c r="A2771" s="12" t="inlineStr">
        <is>
          <t>PO-2022-2769</t>
        </is>
      </c>
      <c r="B2771" s="26" t="n">
        <v>45212</v>
      </c>
      <c r="C2771" s="12" t="inlineStr">
        <is>
          <t>VS23</t>
        </is>
      </c>
      <c r="D2771" s="12" t="inlineStr">
        <is>
          <t>MS Rods</t>
        </is>
      </c>
      <c r="E2771" s="12" t="inlineStr">
        <is>
          <t>N</t>
        </is>
      </c>
      <c r="F2771" s="12" t="n">
        <v>6.94</v>
      </c>
      <c r="G2771" s="17" t="n">
        <v>61369.03</v>
      </c>
      <c r="H2771" s="26" t="n">
        <v>45216</v>
      </c>
      <c r="I2771" s="26" t="n">
        <v>45219</v>
      </c>
      <c r="J2771" s="12" t="n">
        <v>6.9</v>
      </c>
      <c r="K2771" s="17" t="n">
        <v>425901.07</v>
      </c>
      <c r="L2771" s="12" t="n">
        <v>0</v>
      </c>
      <c r="M2771" s="12" t="n">
        <v>0</v>
      </c>
      <c r="N2771" s="27">
        <f>F2771-J2771</f>
        <v/>
      </c>
      <c r="O2771" s="16">
        <f>I2771-H2771</f>
        <v/>
      </c>
      <c r="P2771" s="14">
        <f>F2771*G2771</f>
        <v/>
      </c>
      <c r="Q2771" s="14">
        <f>J2771*G2771</f>
        <v/>
      </c>
      <c r="R2771" s="14">
        <f>K2771-Q2771</f>
        <v/>
      </c>
      <c r="S2771" s="3">
        <f>P2771*Assumptions!$B$3/100</f>
        <v/>
      </c>
      <c r="T2771" s="14">
        <f>R2771-S2771</f>
        <v/>
      </c>
      <c r="U2771" s="14">
        <f>L2771*G2771</f>
        <v/>
      </c>
    </row>
    <row r="2772">
      <c r="A2772" s="12" t="inlineStr">
        <is>
          <t>PO-2022-2770</t>
        </is>
      </c>
      <c r="B2772" s="26" t="n">
        <v>44804</v>
      </c>
      <c r="C2772" s="12" t="inlineStr">
        <is>
          <t>VS20</t>
        </is>
      </c>
      <c r="D2772" s="12" t="inlineStr">
        <is>
          <t>CR Sheets</t>
        </is>
      </c>
      <c r="E2772" s="12" t="inlineStr">
        <is>
          <t>N</t>
        </is>
      </c>
      <c r="F2772" s="12" t="n">
        <v>30.04</v>
      </c>
      <c r="G2772" s="17" t="n">
        <v>99449</v>
      </c>
      <c r="H2772" s="26" t="n">
        <v>44809</v>
      </c>
      <c r="I2772" s="26" t="n">
        <v>44811</v>
      </c>
      <c r="J2772" s="12" t="n">
        <v>29.99</v>
      </c>
      <c r="K2772" s="17" t="n">
        <v>2987447.96</v>
      </c>
      <c r="L2772" s="12" t="n">
        <v>0</v>
      </c>
      <c r="M2772" s="12" t="n">
        <v>0</v>
      </c>
      <c r="N2772" s="27">
        <f>F2772-J2772</f>
        <v/>
      </c>
      <c r="O2772" s="16">
        <f>I2772-H2772</f>
        <v/>
      </c>
      <c r="P2772" s="14">
        <f>F2772*G2772</f>
        <v/>
      </c>
      <c r="Q2772" s="14">
        <f>J2772*G2772</f>
        <v/>
      </c>
      <c r="R2772" s="14">
        <f>K2772-Q2772</f>
        <v/>
      </c>
      <c r="S2772" s="3">
        <f>P2772*Assumptions!$B$3/100</f>
        <v/>
      </c>
      <c r="T2772" s="14">
        <f>R2772-S2772</f>
        <v/>
      </c>
      <c r="U2772" s="14">
        <f>L2772*G2772</f>
        <v/>
      </c>
    </row>
    <row r="2773">
      <c r="A2773" s="12" t="inlineStr">
        <is>
          <t>PO-2022-2771</t>
        </is>
      </c>
      <c r="B2773" s="26" t="n">
        <v>44858</v>
      </c>
      <c r="C2773" s="12" t="inlineStr">
        <is>
          <t>VS04</t>
        </is>
      </c>
      <c r="D2773" s="12" t="inlineStr">
        <is>
          <t>Square/Rect Tubes</t>
        </is>
      </c>
      <c r="E2773" s="12" t="inlineStr">
        <is>
          <t>N</t>
        </is>
      </c>
      <c r="F2773" s="12" t="n">
        <v>43.34</v>
      </c>
      <c r="G2773" s="17" t="n">
        <v>67051.24000000001</v>
      </c>
      <c r="H2773" s="26" t="n">
        <v>44861</v>
      </c>
      <c r="I2773" s="26" t="n">
        <v>44862</v>
      </c>
      <c r="J2773" s="12" t="n">
        <v>43.05</v>
      </c>
      <c r="K2773" s="17" t="n">
        <v>2906000.74</v>
      </c>
      <c r="L2773" s="12" t="n">
        <v>0</v>
      </c>
      <c r="M2773" s="12" t="n">
        <v>8</v>
      </c>
      <c r="N2773" s="27">
        <f>F2773-J2773</f>
        <v/>
      </c>
      <c r="O2773" s="16">
        <f>I2773-H2773</f>
        <v/>
      </c>
      <c r="P2773" s="14">
        <f>F2773*G2773</f>
        <v/>
      </c>
      <c r="Q2773" s="14">
        <f>J2773*G2773</f>
        <v/>
      </c>
      <c r="R2773" s="14">
        <f>K2773-Q2773</f>
        <v/>
      </c>
      <c r="S2773" s="3">
        <f>P2773*Assumptions!$B$3/100</f>
        <v/>
      </c>
      <c r="T2773" s="14">
        <f>R2773-S2773</f>
        <v/>
      </c>
      <c r="U2773" s="14">
        <f>L2773*G2773</f>
        <v/>
      </c>
    </row>
    <row r="2774">
      <c r="A2774" s="12" t="inlineStr">
        <is>
          <t>PO-2022-2772</t>
        </is>
      </c>
      <c r="B2774" s="26" t="n">
        <v>44390</v>
      </c>
      <c r="C2774" s="12" t="inlineStr">
        <is>
          <t>VS28</t>
        </is>
      </c>
      <c r="D2774" s="12" t="inlineStr">
        <is>
          <t>CR Sheets</t>
        </is>
      </c>
      <c r="E2774" s="12" t="inlineStr">
        <is>
          <t>N</t>
        </is>
      </c>
      <c r="F2774" s="12" t="n">
        <v>14.95</v>
      </c>
      <c r="G2774" s="17" t="n">
        <v>48967.51</v>
      </c>
      <c r="H2774" s="26" t="n">
        <v>44400</v>
      </c>
      <c r="I2774" s="26" t="n">
        <v>44400</v>
      </c>
      <c r="J2774" s="12" t="n">
        <v>14.81</v>
      </c>
      <c r="K2774" s="17" t="n">
        <v>732064.27</v>
      </c>
      <c r="L2774" s="12" t="n">
        <v>0</v>
      </c>
      <c r="M2774" s="12" t="n">
        <v>0</v>
      </c>
      <c r="N2774" s="27">
        <f>F2774-J2774</f>
        <v/>
      </c>
      <c r="O2774" s="16">
        <f>I2774-H2774</f>
        <v/>
      </c>
      <c r="P2774" s="14">
        <f>F2774*G2774</f>
        <v/>
      </c>
      <c r="Q2774" s="14">
        <f>J2774*G2774</f>
        <v/>
      </c>
      <c r="R2774" s="14">
        <f>K2774-Q2774</f>
        <v/>
      </c>
      <c r="S2774" s="3">
        <f>P2774*Assumptions!$B$3/100</f>
        <v/>
      </c>
      <c r="T2774" s="14">
        <f>R2774-S2774</f>
        <v/>
      </c>
      <c r="U2774" s="14">
        <f>L2774*G2774</f>
        <v/>
      </c>
    </row>
    <row r="2775">
      <c r="A2775" s="12" t="inlineStr">
        <is>
          <t>PO-2022-2773</t>
        </is>
      </c>
      <c r="B2775" s="26" t="n">
        <v>44616</v>
      </c>
      <c r="C2775" s="12" t="inlineStr">
        <is>
          <t>VS17</t>
        </is>
      </c>
      <c r="D2775" s="12" t="inlineStr">
        <is>
          <t>ERW Pipes</t>
        </is>
      </c>
      <c r="E2775" s="12" t="inlineStr">
        <is>
          <t>Y</t>
        </is>
      </c>
      <c r="F2775" s="12" t="n">
        <v>20.52</v>
      </c>
      <c r="G2775" s="17" t="n">
        <v>85063.64</v>
      </c>
      <c r="H2775" s="26" t="n">
        <v>44621</v>
      </c>
      <c r="I2775" s="26" t="n">
        <v>44624</v>
      </c>
      <c r="J2775" s="12" t="n">
        <v>20.35</v>
      </c>
      <c r="K2775" s="17" t="n">
        <v>1745505.89</v>
      </c>
      <c r="L2775" s="12" t="n">
        <v>0</v>
      </c>
      <c r="M2775" s="12" t="n">
        <v>25</v>
      </c>
      <c r="N2775" s="27">
        <f>F2775-J2775</f>
        <v/>
      </c>
      <c r="O2775" s="16">
        <f>I2775-H2775</f>
        <v/>
      </c>
      <c r="P2775" s="14">
        <f>F2775*G2775</f>
        <v/>
      </c>
      <c r="Q2775" s="14">
        <f>J2775*G2775</f>
        <v/>
      </c>
      <c r="R2775" s="14">
        <f>K2775-Q2775</f>
        <v/>
      </c>
      <c r="S2775" s="3">
        <f>P2775*Assumptions!$B$3/100</f>
        <v/>
      </c>
      <c r="T2775" s="14">
        <f>R2775-S2775</f>
        <v/>
      </c>
      <c r="U2775" s="14">
        <f>L2775*G2775</f>
        <v/>
      </c>
    </row>
    <row r="2776">
      <c r="A2776" s="12" t="inlineStr">
        <is>
          <t>PO-2022-2774</t>
        </is>
      </c>
      <c r="B2776" s="26" t="n">
        <v>45145</v>
      </c>
      <c r="C2776" s="12" t="inlineStr">
        <is>
          <t>VS32</t>
        </is>
      </c>
      <c r="D2776" s="12" t="inlineStr">
        <is>
          <t>Hex Bars</t>
        </is>
      </c>
      <c r="E2776" s="12" t="inlineStr">
        <is>
          <t>N</t>
        </is>
      </c>
      <c r="F2776" s="12" t="n">
        <v>9.35</v>
      </c>
      <c r="G2776" s="17" t="n">
        <v>58998.62</v>
      </c>
      <c r="H2776" s="26" t="n">
        <v>45148</v>
      </c>
      <c r="I2776" s="26" t="n">
        <v>45151</v>
      </c>
      <c r="J2776" s="12" t="n">
        <v>9.279999999999999</v>
      </c>
      <c r="K2776" s="17" t="n">
        <v>551637.1</v>
      </c>
      <c r="L2776" s="12" t="n">
        <v>0</v>
      </c>
      <c r="M2776" s="12" t="n">
        <v>0</v>
      </c>
      <c r="N2776" s="27">
        <f>F2776-J2776</f>
        <v/>
      </c>
      <c r="O2776" s="16">
        <f>I2776-H2776</f>
        <v/>
      </c>
      <c r="P2776" s="14">
        <f>F2776*G2776</f>
        <v/>
      </c>
      <c r="Q2776" s="14">
        <f>J2776*G2776</f>
        <v/>
      </c>
      <c r="R2776" s="14">
        <f>K2776-Q2776</f>
        <v/>
      </c>
      <c r="S2776" s="3">
        <f>P2776*Assumptions!$B$3/100</f>
        <v/>
      </c>
      <c r="T2776" s="14">
        <f>R2776-S2776</f>
        <v/>
      </c>
      <c r="U2776" s="14">
        <f>L2776*G2776</f>
        <v/>
      </c>
    </row>
    <row r="2777">
      <c r="A2777" s="12" t="inlineStr">
        <is>
          <t>PO-2022-2775</t>
        </is>
      </c>
      <c r="B2777" s="26" t="n">
        <v>44527</v>
      </c>
      <c r="C2777" s="12" t="inlineStr">
        <is>
          <t>VS06</t>
        </is>
      </c>
      <c r="D2777" s="12" t="inlineStr">
        <is>
          <t>Structural Steel</t>
        </is>
      </c>
      <c r="E2777" s="12" t="inlineStr">
        <is>
          <t>N</t>
        </is>
      </c>
      <c r="F2777" s="12" t="n">
        <v>44.82</v>
      </c>
      <c r="G2777" s="17" t="n">
        <v>89174.48</v>
      </c>
      <c r="H2777" s="26" t="n">
        <v>44532</v>
      </c>
      <c r="I2777" s="26" t="n">
        <v>44533</v>
      </c>
      <c r="J2777" s="12" t="n">
        <v>44.62</v>
      </c>
      <c r="K2777" s="17" t="n">
        <v>3996800.19</v>
      </c>
      <c r="L2777" s="12" t="n">
        <v>0</v>
      </c>
      <c r="M2777" s="12" t="n">
        <v>0</v>
      </c>
      <c r="N2777" s="27">
        <f>F2777-J2777</f>
        <v/>
      </c>
      <c r="O2777" s="16">
        <f>I2777-H2777</f>
        <v/>
      </c>
      <c r="P2777" s="14">
        <f>F2777*G2777</f>
        <v/>
      </c>
      <c r="Q2777" s="14">
        <f>J2777*G2777</f>
        <v/>
      </c>
      <c r="R2777" s="14">
        <f>K2777-Q2777</f>
        <v/>
      </c>
      <c r="S2777" s="3">
        <f>P2777*Assumptions!$B$3/100</f>
        <v/>
      </c>
      <c r="T2777" s="14">
        <f>R2777-S2777</f>
        <v/>
      </c>
      <c r="U2777" s="14">
        <f>L2777*G2777</f>
        <v/>
      </c>
    </row>
    <row r="2778">
      <c r="A2778" s="12" t="inlineStr">
        <is>
          <t>PO-2022-2776</t>
        </is>
      </c>
      <c r="B2778" s="26" t="n">
        <v>44406</v>
      </c>
      <c r="C2778" s="12" t="inlineStr">
        <is>
          <t>VS13</t>
        </is>
      </c>
      <c r="D2778" s="12" t="inlineStr">
        <is>
          <t>CR Sheets</t>
        </is>
      </c>
      <c r="E2778" s="12" t="inlineStr">
        <is>
          <t>Y</t>
        </is>
      </c>
      <c r="F2778" s="12" t="n">
        <v>26.45</v>
      </c>
      <c r="G2778" s="17" t="n">
        <v>118025.88</v>
      </c>
      <c r="H2778" s="26" t="n">
        <v>44411</v>
      </c>
      <c r="I2778" s="26" t="n">
        <v>44411</v>
      </c>
      <c r="J2778" s="12" t="n">
        <v>26.22</v>
      </c>
      <c r="K2778" s="17" t="n">
        <v>3121784.53</v>
      </c>
      <c r="L2778" s="12" t="n">
        <v>0</v>
      </c>
      <c r="M2778" s="12" t="n">
        <v>0</v>
      </c>
      <c r="N2778" s="27">
        <f>F2778-J2778</f>
        <v/>
      </c>
      <c r="O2778" s="16">
        <f>I2778-H2778</f>
        <v/>
      </c>
      <c r="P2778" s="14">
        <f>F2778*G2778</f>
        <v/>
      </c>
      <c r="Q2778" s="14">
        <f>J2778*G2778</f>
        <v/>
      </c>
      <c r="R2778" s="14">
        <f>K2778-Q2778</f>
        <v/>
      </c>
      <c r="S2778" s="3">
        <f>P2778*Assumptions!$B$3/100</f>
        <v/>
      </c>
      <c r="T2778" s="14">
        <f>R2778-S2778</f>
        <v/>
      </c>
      <c r="U2778" s="14">
        <f>L2778*G2778</f>
        <v/>
      </c>
    </row>
    <row r="2779">
      <c r="A2779" s="12" t="inlineStr">
        <is>
          <t>PO-2022-2777</t>
        </is>
      </c>
      <c r="B2779" s="26" t="n">
        <v>44893</v>
      </c>
      <c r="C2779" s="12" t="inlineStr">
        <is>
          <t>VS32</t>
        </is>
      </c>
      <c r="D2779" s="12" t="inlineStr">
        <is>
          <t>Fasteners &amp; Fittings</t>
        </is>
      </c>
      <c r="E2779" s="12" t="inlineStr">
        <is>
          <t>Y</t>
        </is>
      </c>
      <c r="F2779" s="12" t="n">
        <v>12.46</v>
      </c>
      <c r="G2779" s="17" t="n">
        <v>76951.53999999999</v>
      </c>
      <c r="H2779" s="26" t="n">
        <v>44899</v>
      </c>
      <c r="I2779" s="26" t="n">
        <v>44900</v>
      </c>
      <c r="J2779" s="12" t="n">
        <v>12.35</v>
      </c>
      <c r="K2779" s="17" t="n">
        <v>958816.1899999999</v>
      </c>
      <c r="L2779" s="12" t="n">
        <v>0</v>
      </c>
      <c r="M2779" s="12" t="n">
        <v>16</v>
      </c>
      <c r="N2779" s="27">
        <f>F2779-J2779</f>
        <v/>
      </c>
      <c r="O2779" s="16">
        <f>I2779-H2779</f>
        <v/>
      </c>
      <c r="P2779" s="14">
        <f>F2779*G2779</f>
        <v/>
      </c>
      <c r="Q2779" s="14">
        <f>J2779*G2779</f>
        <v/>
      </c>
      <c r="R2779" s="14">
        <f>K2779-Q2779</f>
        <v/>
      </c>
      <c r="S2779" s="3">
        <f>P2779*Assumptions!$B$3/100</f>
        <v/>
      </c>
      <c r="T2779" s="14">
        <f>R2779-S2779</f>
        <v/>
      </c>
      <c r="U2779" s="14">
        <f>L2779*G2779</f>
        <v/>
      </c>
    </row>
    <row r="2780">
      <c r="A2780" s="12" t="inlineStr">
        <is>
          <t>PO-2022-2778</t>
        </is>
      </c>
      <c r="B2780" s="26" t="n">
        <v>44694</v>
      </c>
      <c r="C2780" s="12" t="inlineStr">
        <is>
          <t>VS08</t>
        </is>
      </c>
      <c r="D2780" s="12" t="inlineStr">
        <is>
          <t>Hex Bars</t>
        </is>
      </c>
      <c r="E2780" s="12" t="inlineStr">
        <is>
          <t>N</t>
        </is>
      </c>
      <c r="F2780" s="12" t="n">
        <v>9.68</v>
      </c>
      <c r="G2780" s="17" t="n">
        <v>96114.88</v>
      </c>
      <c r="H2780" s="26" t="n">
        <v>44702</v>
      </c>
      <c r="I2780" s="26" t="n">
        <v>44702</v>
      </c>
      <c r="J2780" s="12" t="n">
        <v>9.59</v>
      </c>
      <c r="K2780" s="17" t="n">
        <v>930392.04</v>
      </c>
      <c r="L2780" s="12" t="n">
        <v>0</v>
      </c>
      <c r="M2780" s="12" t="n">
        <v>4</v>
      </c>
      <c r="N2780" s="27">
        <f>F2780-J2780</f>
        <v/>
      </c>
      <c r="O2780" s="16">
        <f>I2780-H2780</f>
        <v/>
      </c>
      <c r="P2780" s="14">
        <f>F2780*G2780</f>
        <v/>
      </c>
      <c r="Q2780" s="14">
        <f>J2780*G2780</f>
        <v/>
      </c>
      <c r="R2780" s="14">
        <f>K2780-Q2780</f>
        <v/>
      </c>
      <c r="S2780" s="3">
        <f>P2780*Assumptions!$B$3/100</f>
        <v/>
      </c>
      <c r="T2780" s="14">
        <f>R2780-S2780</f>
        <v/>
      </c>
      <c r="U2780" s="14">
        <f>L2780*G2780</f>
        <v/>
      </c>
    </row>
    <row r="2781">
      <c r="A2781" s="12" t="inlineStr">
        <is>
          <t>PO-2022-2779</t>
        </is>
      </c>
      <c r="B2781" s="26" t="n">
        <v>45033</v>
      </c>
      <c r="C2781" s="12" t="inlineStr">
        <is>
          <t>VS02</t>
        </is>
      </c>
      <c r="D2781" s="12" t="inlineStr">
        <is>
          <t>MS Flats</t>
        </is>
      </c>
      <c r="E2781" s="12" t="inlineStr">
        <is>
          <t>N</t>
        </is>
      </c>
      <c r="F2781" s="12" t="n">
        <v>12.22</v>
      </c>
      <c r="G2781" s="17" t="n">
        <v>101270.34</v>
      </c>
      <c r="H2781" s="26" t="n">
        <v>45047</v>
      </c>
      <c r="I2781" s="26" t="n">
        <v>45047</v>
      </c>
      <c r="J2781" s="12" t="n">
        <v>12.2</v>
      </c>
      <c r="K2781" s="17" t="n">
        <v>1237523.55</v>
      </c>
      <c r="L2781" s="12" t="n">
        <v>0</v>
      </c>
      <c r="M2781" s="12" t="n">
        <v>15</v>
      </c>
      <c r="N2781" s="27">
        <f>F2781-J2781</f>
        <v/>
      </c>
      <c r="O2781" s="16">
        <f>I2781-H2781</f>
        <v/>
      </c>
      <c r="P2781" s="14">
        <f>F2781*G2781</f>
        <v/>
      </c>
      <c r="Q2781" s="14">
        <f>J2781*G2781</f>
        <v/>
      </c>
      <c r="R2781" s="14">
        <f>K2781-Q2781</f>
        <v/>
      </c>
      <c r="S2781" s="3">
        <f>P2781*Assumptions!$B$3/100</f>
        <v/>
      </c>
      <c r="T2781" s="14">
        <f>R2781-S2781</f>
        <v/>
      </c>
      <c r="U2781" s="14">
        <f>L2781*G2781</f>
        <v/>
      </c>
    </row>
    <row r="2782">
      <c r="A2782" s="12" t="inlineStr">
        <is>
          <t>PO-2022-2780</t>
        </is>
      </c>
      <c r="B2782" s="26" t="n">
        <v>44243</v>
      </c>
      <c r="C2782" s="12" t="inlineStr">
        <is>
          <t>VS32</t>
        </is>
      </c>
      <c r="D2782" s="12" t="inlineStr">
        <is>
          <t>Spring Steel</t>
        </is>
      </c>
      <c r="E2782" s="12" t="inlineStr">
        <is>
          <t>N</t>
        </is>
      </c>
      <c r="F2782" s="12" t="n">
        <v>36.24</v>
      </c>
      <c r="G2782" s="17" t="n">
        <v>77151.69</v>
      </c>
      <c r="H2782" s="26" t="n">
        <v>44256</v>
      </c>
      <c r="I2782" s="26" t="n">
        <v>44256</v>
      </c>
      <c r="J2782" s="12" t="n">
        <v>36.03</v>
      </c>
      <c r="K2782" s="17" t="n">
        <v>2795977.25</v>
      </c>
      <c r="L2782" s="12" t="n">
        <v>0</v>
      </c>
      <c r="M2782" s="12" t="n">
        <v>21</v>
      </c>
      <c r="N2782" s="27">
        <f>F2782-J2782</f>
        <v/>
      </c>
      <c r="O2782" s="16">
        <f>I2782-H2782</f>
        <v/>
      </c>
      <c r="P2782" s="14">
        <f>F2782*G2782</f>
        <v/>
      </c>
      <c r="Q2782" s="14">
        <f>J2782*G2782</f>
        <v/>
      </c>
      <c r="R2782" s="14">
        <f>K2782-Q2782</f>
        <v/>
      </c>
      <c r="S2782" s="3">
        <f>P2782*Assumptions!$B$3/100</f>
        <v/>
      </c>
      <c r="T2782" s="14">
        <f>R2782-S2782</f>
        <v/>
      </c>
      <c r="U2782" s="14">
        <f>L2782*G2782</f>
        <v/>
      </c>
    </row>
    <row r="2783">
      <c r="A2783" s="12" t="inlineStr">
        <is>
          <t>PO-2022-2781</t>
        </is>
      </c>
      <c r="B2783" s="26" t="n">
        <v>44440</v>
      </c>
      <c r="C2783" s="12" t="inlineStr">
        <is>
          <t>VS30</t>
        </is>
      </c>
      <c r="D2783" s="12" t="inlineStr">
        <is>
          <t>Structural Steel</t>
        </is>
      </c>
      <c r="E2783" s="12" t="inlineStr">
        <is>
          <t>Y</t>
        </is>
      </c>
      <c r="F2783" s="12" t="n">
        <v>35.31</v>
      </c>
      <c r="G2783" s="17" t="n">
        <v>75199.45</v>
      </c>
      <c r="H2783" s="26" t="n">
        <v>44450</v>
      </c>
      <c r="I2783" s="26" t="n">
        <v>44453</v>
      </c>
      <c r="J2783" s="12" t="n">
        <v>35.15</v>
      </c>
      <c r="K2783" s="17" t="n">
        <v>2655292.58</v>
      </c>
      <c r="L2783" s="12" t="n">
        <v>0</v>
      </c>
      <c r="M2783" s="12" t="n">
        <v>0</v>
      </c>
      <c r="N2783" s="27">
        <f>F2783-J2783</f>
        <v/>
      </c>
      <c r="O2783" s="16">
        <f>I2783-H2783</f>
        <v/>
      </c>
      <c r="P2783" s="14">
        <f>F2783*G2783</f>
        <v/>
      </c>
      <c r="Q2783" s="14">
        <f>J2783*G2783</f>
        <v/>
      </c>
      <c r="R2783" s="14">
        <f>K2783-Q2783</f>
        <v/>
      </c>
      <c r="S2783" s="3">
        <f>P2783*Assumptions!$B$3/100</f>
        <v/>
      </c>
      <c r="T2783" s="14">
        <f>R2783-S2783</f>
        <v/>
      </c>
      <c r="U2783" s="14">
        <f>L2783*G2783</f>
        <v/>
      </c>
    </row>
    <row r="2784">
      <c r="A2784" s="12" t="inlineStr">
        <is>
          <t>PO-2022-2782</t>
        </is>
      </c>
      <c r="B2784" s="26" t="n">
        <v>44680</v>
      </c>
      <c r="C2784" s="12" t="inlineStr">
        <is>
          <t>VS26</t>
        </is>
      </c>
      <c r="D2784" s="12" t="inlineStr">
        <is>
          <t>Hex Bars</t>
        </is>
      </c>
      <c r="E2784" s="12" t="inlineStr">
        <is>
          <t>N</t>
        </is>
      </c>
      <c r="F2784" s="12" t="n">
        <v>39.21</v>
      </c>
      <c r="G2784" s="17" t="n">
        <v>55990.81</v>
      </c>
      <c r="H2784" s="26" t="n">
        <v>44695</v>
      </c>
      <c r="I2784" s="26" t="n">
        <v>44695</v>
      </c>
      <c r="J2784" s="12" t="n">
        <v>38.96</v>
      </c>
      <c r="K2784" s="17" t="n">
        <v>2195399.66</v>
      </c>
      <c r="L2784" s="12" t="n">
        <v>0</v>
      </c>
      <c r="M2784" s="12" t="n">
        <v>0</v>
      </c>
      <c r="N2784" s="27">
        <f>F2784-J2784</f>
        <v/>
      </c>
      <c r="O2784" s="16">
        <f>I2784-H2784</f>
        <v/>
      </c>
      <c r="P2784" s="14">
        <f>F2784*G2784</f>
        <v/>
      </c>
      <c r="Q2784" s="14">
        <f>J2784*G2784</f>
        <v/>
      </c>
      <c r="R2784" s="14">
        <f>K2784-Q2784</f>
        <v/>
      </c>
      <c r="S2784" s="3">
        <f>P2784*Assumptions!$B$3/100</f>
        <v/>
      </c>
      <c r="T2784" s="14">
        <f>R2784-S2784</f>
        <v/>
      </c>
      <c r="U2784" s="14">
        <f>L2784*G2784</f>
        <v/>
      </c>
    </row>
    <row r="2785">
      <c r="A2785" s="12" t="inlineStr">
        <is>
          <t>PO-2022-2783</t>
        </is>
      </c>
      <c r="B2785" s="26" t="n">
        <v>44228</v>
      </c>
      <c r="C2785" s="12" t="inlineStr">
        <is>
          <t>VS24</t>
        </is>
      </c>
      <c r="D2785" s="12" t="inlineStr">
        <is>
          <t>MS Pipes</t>
        </is>
      </c>
      <c r="E2785" s="12" t="inlineStr">
        <is>
          <t>N</t>
        </is>
      </c>
      <c r="F2785" s="12" t="n">
        <v>19.43</v>
      </c>
      <c r="G2785" s="17" t="n">
        <v>55772.21</v>
      </c>
      <c r="H2785" s="26" t="n">
        <v>44241</v>
      </c>
      <c r="I2785" s="26" t="n">
        <v>44243</v>
      </c>
      <c r="J2785" s="12" t="n">
        <v>19.24</v>
      </c>
      <c r="K2785" s="17" t="n">
        <v>1083654.04</v>
      </c>
      <c r="L2785" s="12" t="n">
        <v>0</v>
      </c>
      <c r="M2785" s="12" t="n">
        <v>0</v>
      </c>
      <c r="N2785" s="27">
        <f>F2785-J2785</f>
        <v/>
      </c>
      <c r="O2785" s="16">
        <f>I2785-H2785</f>
        <v/>
      </c>
      <c r="P2785" s="14">
        <f>F2785*G2785</f>
        <v/>
      </c>
      <c r="Q2785" s="14">
        <f>J2785*G2785</f>
        <v/>
      </c>
      <c r="R2785" s="14">
        <f>K2785-Q2785</f>
        <v/>
      </c>
      <c r="S2785" s="3">
        <f>P2785*Assumptions!$B$3/100</f>
        <v/>
      </c>
      <c r="T2785" s="14">
        <f>R2785-S2785</f>
        <v/>
      </c>
      <c r="U2785" s="14">
        <f>L2785*G2785</f>
        <v/>
      </c>
    </row>
    <row r="2786">
      <c r="A2786" s="12" t="inlineStr">
        <is>
          <t>PO-2022-2784</t>
        </is>
      </c>
      <c r="B2786" s="26" t="n">
        <v>44547</v>
      </c>
      <c r="C2786" s="12" t="inlineStr">
        <is>
          <t>VS12</t>
        </is>
      </c>
      <c r="D2786" s="12" t="inlineStr">
        <is>
          <t>HR Coils</t>
        </is>
      </c>
      <c r="E2786" s="12" t="inlineStr">
        <is>
          <t>Y</t>
        </is>
      </c>
      <c r="F2786" s="12" t="n">
        <v>31.83</v>
      </c>
      <c r="G2786" s="17" t="n">
        <v>72375.47</v>
      </c>
      <c r="H2786" s="26" t="n">
        <v>44552</v>
      </c>
      <c r="I2786" s="26" t="n">
        <v>44554</v>
      </c>
      <c r="J2786" s="12" t="n">
        <v>30.88</v>
      </c>
      <c r="K2786" s="17" t="n">
        <v>2303711.21</v>
      </c>
      <c r="L2786" s="12" t="n">
        <v>0.99</v>
      </c>
      <c r="M2786" s="12" t="n">
        <v>2</v>
      </c>
      <c r="N2786" s="27">
        <f>F2786-J2786</f>
        <v/>
      </c>
      <c r="O2786" s="16">
        <f>I2786-H2786</f>
        <v/>
      </c>
      <c r="P2786" s="14">
        <f>F2786*G2786</f>
        <v/>
      </c>
      <c r="Q2786" s="14">
        <f>J2786*G2786</f>
        <v/>
      </c>
      <c r="R2786" s="14">
        <f>K2786-Q2786</f>
        <v/>
      </c>
      <c r="S2786" s="3">
        <f>P2786*Assumptions!$B$3/100</f>
        <v/>
      </c>
      <c r="T2786" s="14">
        <f>R2786-S2786</f>
        <v/>
      </c>
      <c r="U2786" s="14">
        <f>L2786*G2786</f>
        <v/>
      </c>
    </row>
    <row r="2787">
      <c r="A2787" s="12" t="inlineStr">
        <is>
          <t>PO-2022-2785</t>
        </is>
      </c>
      <c r="B2787" s="26" t="n">
        <v>44373</v>
      </c>
      <c r="C2787" s="12" t="inlineStr">
        <is>
          <t>VS26</t>
        </is>
      </c>
      <c r="D2787" s="12" t="inlineStr">
        <is>
          <t>Angles &amp; Channels</t>
        </is>
      </c>
      <c r="E2787" s="12" t="inlineStr">
        <is>
          <t>Y</t>
        </is>
      </c>
      <c r="F2787" s="12" t="n">
        <v>1.73</v>
      </c>
      <c r="G2787" s="17" t="n">
        <v>70128.83</v>
      </c>
      <c r="H2787" s="26" t="n">
        <v>44383</v>
      </c>
      <c r="I2787" s="26" t="n">
        <v>44386</v>
      </c>
      <c r="J2787" s="12" t="n">
        <v>1.73</v>
      </c>
      <c r="K2787" s="17" t="n">
        <v>121322.88</v>
      </c>
      <c r="L2787" s="12" t="n">
        <v>0</v>
      </c>
      <c r="M2787" s="12" t="n">
        <v>5</v>
      </c>
      <c r="N2787" s="27">
        <f>F2787-J2787</f>
        <v/>
      </c>
      <c r="O2787" s="16">
        <f>I2787-H2787</f>
        <v/>
      </c>
      <c r="P2787" s="14">
        <f>F2787*G2787</f>
        <v/>
      </c>
      <c r="Q2787" s="14">
        <f>J2787*G2787</f>
        <v/>
      </c>
      <c r="R2787" s="14">
        <f>K2787-Q2787</f>
        <v/>
      </c>
      <c r="S2787" s="3">
        <f>P2787*Assumptions!$B$3/100</f>
        <v/>
      </c>
      <c r="T2787" s="14">
        <f>R2787-S2787</f>
        <v/>
      </c>
      <c r="U2787" s="14">
        <f>L2787*G2787</f>
        <v/>
      </c>
    </row>
    <row r="2788">
      <c r="A2788" s="12" t="inlineStr">
        <is>
          <t>PO-2022-2786</t>
        </is>
      </c>
      <c r="B2788" s="26" t="n">
        <v>44411</v>
      </c>
      <c r="C2788" s="12" t="inlineStr">
        <is>
          <t>VS17</t>
        </is>
      </c>
      <c r="D2788" s="12" t="inlineStr">
        <is>
          <t>MS Rods</t>
        </is>
      </c>
      <c r="E2788" s="12" t="inlineStr">
        <is>
          <t>N</t>
        </is>
      </c>
      <c r="F2788" s="12" t="n">
        <v>28.9</v>
      </c>
      <c r="G2788" s="17" t="n">
        <v>99936.72</v>
      </c>
      <c r="H2788" s="26" t="n">
        <v>44422</v>
      </c>
      <c r="I2788" s="26" t="n">
        <v>44422</v>
      </c>
      <c r="J2788" s="12" t="n">
        <v>28.74</v>
      </c>
      <c r="K2788" s="17" t="n">
        <v>2888171.21</v>
      </c>
      <c r="L2788" s="12" t="n">
        <v>0</v>
      </c>
      <c r="M2788" s="12" t="n">
        <v>0</v>
      </c>
      <c r="N2788" s="27">
        <f>F2788-J2788</f>
        <v/>
      </c>
      <c r="O2788" s="16">
        <f>I2788-H2788</f>
        <v/>
      </c>
      <c r="P2788" s="14">
        <f>F2788*G2788</f>
        <v/>
      </c>
      <c r="Q2788" s="14">
        <f>J2788*G2788</f>
        <v/>
      </c>
      <c r="R2788" s="14">
        <f>K2788-Q2788</f>
        <v/>
      </c>
      <c r="S2788" s="3">
        <f>P2788*Assumptions!$B$3/100</f>
        <v/>
      </c>
      <c r="T2788" s="14">
        <f>R2788-S2788</f>
        <v/>
      </c>
      <c r="U2788" s="14">
        <f>L2788*G2788</f>
        <v/>
      </c>
    </row>
    <row r="2789">
      <c r="A2789" s="12" t="inlineStr">
        <is>
          <t>PO-2022-2787</t>
        </is>
      </c>
      <c r="B2789" s="26" t="n">
        <v>44553</v>
      </c>
      <c r="C2789" s="12" t="inlineStr">
        <is>
          <t>VS05</t>
        </is>
      </c>
      <c r="D2789" s="12" t="inlineStr">
        <is>
          <t>Square/Rect Tubes</t>
        </is>
      </c>
      <c r="E2789" s="12" t="inlineStr">
        <is>
          <t>N</t>
        </is>
      </c>
      <c r="F2789" s="12" t="n">
        <v>17.04</v>
      </c>
      <c r="G2789" s="17" t="n">
        <v>74844.78</v>
      </c>
      <c r="H2789" s="26" t="n">
        <v>44563</v>
      </c>
      <c r="I2789" s="26" t="n">
        <v>44566</v>
      </c>
      <c r="J2789" s="12" t="n">
        <v>16.92</v>
      </c>
      <c r="K2789" s="17" t="n">
        <v>1275355.05</v>
      </c>
      <c r="L2789" s="12" t="n">
        <v>0</v>
      </c>
      <c r="M2789" s="12" t="n">
        <v>0</v>
      </c>
      <c r="N2789" s="27">
        <f>F2789-J2789</f>
        <v/>
      </c>
      <c r="O2789" s="16">
        <f>I2789-H2789</f>
        <v/>
      </c>
      <c r="P2789" s="14">
        <f>F2789*G2789</f>
        <v/>
      </c>
      <c r="Q2789" s="14">
        <f>J2789*G2789</f>
        <v/>
      </c>
      <c r="R2789" s="14">
        <f>K2789-Q2789</f>
        <v/>
      </c>
      <c r="S2789" s="3">
        <f>P2789*Assumptions!$B$3/100</f>
        <v/>
      </c>
      <c r="T2789" s="14">
        <f>R2789-S2789</f>
        <v/>
      </c>
      <c r="U2789" s="14">
        <f>L2789*G2789</f>
        <v/>
      </c>
    </row>
    <row r="2790">
      <c r="A2790" s="12" t="inlineStr">
        <is>
          <t>PO-2022-2788</t>
        </is>
      </c>
      <c r="B2790" s="26" t="n">
        <v>44277</v>
      </c>
      <c r="C2790" s="12" t="inlineStr">
        <is>
          <t>VS18</t>
        </is>
      </c>
      <c r="D2790" s="12" t="inlineStr">
        <is>
          <t>HR Coils</t>
        </is>
      </c>
      <c r="E2790" s="12" t="inlineStr">
        <is>
          <t>N</t>
        </is>
      </c>
      <c r="F2790" s="12" t="n">
        <v>22.07</v>
      </c>
      <c r="G2790" s="17" t="n">
        <v>90672.09</v>
      </c>
      <c r="H2790" s="26" t="n">
        <v>44284</v>
      </c>
      <c r="I2790" s="26" t="n">
        <v>44287</v>
      </c>
      <c r="J2790" s="12" t="n">
        <v>21.97</v>
      </c>
      <c r="K2790" s="17" t="n">
        <v>2001133.03</v>
      </c>
      <c r="L2790" s="12" t="n">
        <v>0</v>
      </c>
      <c r="M2790" s="12" t="n">
        <v>0</v>
      </c>
      <c r="N2790" s="27">
        <f>F2790-J2790</f>
        <v/>
      </c>
      <c r="O2790" s="16">
        <f>I2790-H2790</f>
        <v/>
      </c>
      <c r="P2790" s="14">
        <f>F2790*G2790</f>
        <v/>
      </c>
      <c r="Q2790" s="14">
        <f>J2790*G2790</f>
        <v/>
      </c>
      <c r="R2790" s="14">
        <f>K2790-Q2790</f>
        <v/>
      </c>
      <c r="S2790" s="3">
        <f>P2790*Assumptions!$B$3/100</f>
        <v/>
      </c>
      <c r="T2790" s="14">
        <f>R2790-S2790</f>
        <v/>
      </c>
      <c r="U2790" s="14">
        <f>L2790*G2790</f>
        <v/>
      </c>
    </row>
    <row r="2791">
      <c r="A2791" s="12" t="inlineStr">
        <is>
          <t>PO-2022-2789</t>
        </is>
      </c>
      <c r="B2791" s="26" t="n">
        <v>44230</v>
      </c>
      <c r="C2791" s="12" t="inlineStr">
        <is>
          <t>VS11</t>
        </is>
      </c>
      <c r="D2791" s="12" t="inlineStr">
        <is>
          <t>Square/Rect Tubes</t>
        </is>
      </c>
      <c r="E2791" s="12" t="inlineStr">
        <is>
          <t>N</t>
        </is>
      </c>
      <c r="F2791" s="12" t="n">
        <v>44.72</v>
      </c>
      <c r="G2791" s="17" t="n">
        <v>47834.11</v>
      </c>
      <c r="H2791" s="26" t="n">
        <v>44238</v>
      </c>
      <c r="I2791" s="26" t="n">
        <v>44241</v>
      </c>
      <c r="J2791" s="12" t="n">
        <v>44.7</v>
      </c>
      <c r="K2791" s="17" t="n">
        <v>2139141.4</v>
      </c>
      <c r="L2791" s="12" t="n">
        <v>0</v>
      </c>
      <c r="M2791" s="12" t="n">
        <v>0</v>
      </c>
      <c r="N2791" s="27">
        <f>F2791-J2791</f>
        <v/>
      </c>
      <c r="O2791" s="16">
        <f>I2791-H2791</f>
        <v/>
      </c>
      <c r="P2791" s="14">
        <f>F2791*G2791</f>
        <v/>
      </c>
      <c r="Q2791" s="14">
        <f>J2791*G2791</f>
        <v/>
      </c>
      <c r="R2791" s="14">
        <f>K2791-Q2791</f>
        <v/>
      </c>
      <c r="S2791" s="3">
        <f>P2791*Assumptions!$B$3/100</f>
        <v/>
      </c>
      <c r="T2791" s="14">
        <f>R2791-S2791</f>
        <v/>
      </c>
      <c r="U2791" s="14">
        <f>L2791*G2791</f>
        <v/>
      </c>
    </row>
    <row r="2792">
      <c r="A2792" s="12" t="inlineStr">
        <is>
          <t>PO-2022-2790</t>
        </is>
      </c>
      <c r="B2792" s="26" t="n">
        <v>44266</v>
      </c>
      <c r="C2792" s="12" t="inlineStr">
        <is>
          <t>VS15</t>
        </is>
      </c>
      <c r="D2792" s="12" t="inlineStr">
        <is>
          <t>Spring Steel</t>
        </is>
      </c>
      <c r="E2792" s="12" t="inlineStr">
        <is>
          <t>N</t>
        </is>
      </c>
      <c r="F2792" s="12" t="n">
        <v>22.22</v>
      </c>
      <c r="G2792" s="17" t="n">
        <v>98939.17</v>
      </c>
      <c r="H2792" s="26" t="n">
        <v>44280</v>
      </c>
      <c r="I2792" s="26" t="n">
        <v>44280</v>
      </c>
      <c r="J2792" s="12" t="n">
        <v>22.03</v>
      </c>
      <c r="K2792" s="17" t="n">
        <v>2198428.36</v>
      </c>
      <c r="L2792" s="12" t="n">
        <v>0</v>
      </c>
      <c r="M2792" s="12" t="n">
        <v>12</v>
      </c>
      <c r="N2792" s="27">
        <f>F2792-J2792</f>
        <v/>
      </c>
      <c r="O2792" s="16">
        <f>I2792-H2792</f>
        <v/>
      </c>
      <c r="P2792" s="14">
        <f>F2792*G2792</f>
        <v/>
      </c>
      <c r="Q2792" s="14">
        <f>J2792*G2792</f>
        <v/>
      </c>
      <c r="R2792" s="14">
        <f>K2792-Q2792</f>
        <v/>
      </c>
      <c r="S2792" s="3">
        <f>P2792*Assumptions!$B$3/100</f>
        <v/>
      </c>
      <c r="T2792" s="14">
        <f>R2792-S2792</f>
        <v/>
      </c>
      <c r="U2792" s="14">
        <f>L2792*G2792</f>
        <v/>
      </c>
    </row>
    <row r="2793">
      <c r="A2793" s="12" t="inlineStr">
        <is>
          <t>PO-2022-2791</t>
        </is>
      </c>
      <c r="B2793" s="26" t="n">
        <v>44710</v>
      </c>
      <c r="C2793" s="12" t="inlineStr">
        <is>
          <t>VS33</t>
        </is>
      </c>
      <c r="D2793" s="12" t="inlineStr">
        <is>
          <t>SS Sheets</t>
        </is>
      </c>
      <c r="E2793" s="12" t="inlineStr">
        <is>
          <t>N</t>
        </is>
      </c>
      <c r="F2793" s="12" t="n">
        <v>32.77</v>
      </c>
      <c r="G2793" s="17" t="n">
        <v>67360.3</v>
      </c>
      <c r="H2793" s="26" t="n">
        <v>44722</v>
      </c>
      <c r="I2793" s="26" t="n">
        <v>44722</v>
      </c>
      <c r="J2793" s="12" t="n">
        <v>32.59</v>
      </c>
      <c r="K2793" s="17" t="n">
        <v>2207397.03</v>
      </c>
      <c r="L2793" s="12" t="n">
        <v>0</v>
      </c>
      <c r="M2793" s="12" t="n">
        <v>23</v>
      </c>
      <c r="N2793" s="27">
        <f>F2793-J2793</f>
        <v/>
      </c>
      <c r="O2793" s="16">
        <f>I2793-H2793</f>
        <v/>
      </c>
      <c r="P2793" s="14">
        <f>F2793*G2793</f>
        <v/>
      </c>
      <c r="Q2793" s="14">
        <f>J2793*G2793</f>
        <v/>
      </c>
      <c r="R2793" s="14">
        <f>K2793-Q2793</f>
        <v/>
      </c>
      <c r="S2793" s="3">
        <f>P2793*Assumptions!$B$3/100</f>
        <v/>
      </c>
      <c r="T2793" s="14">
        <f>R2793-S2793</f>
        <v/>
      </c>
      <c r="U2793" s="14">
        <f>L2793*G2793</f>
        <v/>
      </c>
    </row>
    <row r="2794">
      <c r="A2794" s="12" t="inlineStr">
        <is>
          <t>PO-2022-2792</t>
        </is>
      </c>
      <c r="B2794" s="26" t="n">
        <v>44888</v>
      </c>
      <c r="C2794" s="12" t="inlineStr">
        <is>
          <t>VS33</t>
        </is>
      </c>
      <c r="D2794" s="12" t="inlineStr">
        <is>
          <t>Spring Steel</t>
        </is>
      </c>
      <c r="E2794" s="12" t="inlineStr">
        <is>
          <t>N</t>
        </is>
      </c>
      <c r="F2794" s="12" t="n">
        <v>31.85</v>
      </c>
      <c r="G2794" s="17" t="n">
        <v>93545.31</v>
      </c>
      <c r="H2794" s="26" t="n">
        <v>44895</v>
      </c>
      <c r="I2794" s="26" t="n">
        <v>44895</v>
      </c>
      <c r="J2794" s="12" t="n">
        <v>31.63</v>
      </c>
      <c r="K2794" s="17" t="n">
        <v>2979418.12</v>
      </c>
      <c r="L2794" s="12" t="n">
        <v>0</v>
      </c>
      <c r="M2794" s="12" t="n">
        <v>5</v>
      </c>
      <c r="N2794" s="27">
        <f>F2794-J2794</f>
        <v/>
      </c>
      <c r="O2794" s="16">
        <f>I2794-H2794</f>
        <v/>
      </c>
      <c r="P2794" s="14">
        <f>F2794*G2794</f>
        <v/>
      </c>
      <c r="Q2794" s="14">
        <f>J2794*G2794</f>
        <v/>
      </c>
      <c r="R2794" s="14">
        <f>K2794-Q2794</f>
        <v/>
      </c>
      <c r="S2794" s="3">
        <f>P2794*Assumptions!$B$3/100</f>
        <v/>
      </c>
      <c r="T2794" s="14">
        <f>R2794-S2794</f>
        <v/>
      </c>
      <c r="U2794" s="14">
        <f>L2794*G2794</f>
        <v/>
      </c>
    </row>
    <row r="2795">
      <c r="A2795" s="12" t="inlineStr">
        <is>
          <t>PO-2022-2793</t>
        </is>
      </c>
      <c r="B2795" s="26" t="n">
        <v>44907</v>
      </c>
      <c r="C2795" s="12" t="inlineStr">
        <is>
          <t>VS29</t>
        </is>
      </c>
      <c r="D2795" s="12" t="inlineStr">
        <is>
          <t>Spring Steel</t>
        </is>
      </c>
      <c r="E2795" s="12" t="inlineStr">
        <is>
          <t>N</t>
        </is>
      </c>
      <c r="F2795" s="12" t="n">
        <v>25.87</v>
      </c>
      <c r="G2795" s="17" t="n">
        <v>117182.25</v>
      </c>
      <c r="H2795" s="26" t="n">
        <v>44922</v>
      </c>
      <c r="I2795" s="26" t="n">
        <v>44922</v>
      </c>
      <c r="J2795" s="12" t="n">
        <v>25.85</v>
      </c>
      <c r="K2795" s="17" t="n">
        <v>3031504.81</v>
      </c>
      <c r="L2795" s="12" t="n">
        <v>0</v>
      </c>
      <c r="M2795" s="12" t="n">
        <v>0</v>
      </c>
      <c r="N2795" s="27">
        <f>F2795-J2795</f>
        <v/>
      </c>
      <c r="O2795" s="16">
        <f>I2795-H2795</f>
        <v/>
      </c>
      <c r="P2795" s="14">
        <f>F2795*G2795</f>
        <v/>
      </c>
      <c r="Q2795" s="14">
        <f>J2795*G2795</f>
        <v/>
      </c>
      <c r="R2795" s="14">
        <f>K2795-Q2795</f>
        <v/>
      </c>
      <c r="S2795" s="3">
        <f>P2795*Assumptions!$B$3/100</f>
        <v/>
      </c>
      <c r="T2795" s="14">
        <f>R2795-S2795</f>
        <v/>
      </c>
      <c r="U2795" s="14">
        <f>L2795*G2795</f>
        <v/>
      </c>
    </row>
    <row r="2796">
      <c r="A2796" s="12" t="inlineStr">
        <is>
          <t>PO-2022-2794</t>
        </is>
      </c>
      <c r="B2796" s="26" t="n">
        <v>44270</v>
      </c>
      <c r="C2796" s="12" t="inlineStr">
        <is>
          <t>VS29</t>
        </is>
      </c>
      <c r="D2796" s="12" t="inlineStr">
        <is>
          <t>SS Pipes</t>
        </is>
      </c>
      <c r="E2796" s="12" t="inlineStr">
        <is>
          <t>N</t>
        </is>
      </c>
      <c r="F2796" s="12" t="n">
        <v>18.49</v>
      </c>
      <c r="G2796" s="17" t="n">
        <v>58428.17</v>
      </c>
      <c r="H2796" s="26" t="n">
        <v>44281</v>
      </c>
      <c r="I2796" s="26" t="n">
        <v>44281</v>
      </c>
      <c r="J2796" s="12" t="n">
        <v>18.41</v>
      </c>
      <c r="K2796" s="17" t="n">
        <v>1080336.86</v>
      </c>
      <c r="L2796" s="12" t="n">
        <v>0</v>
      </c>
      <c r="M2796" s="12" t="n">
        <v>0</v>
      </c>
      <c r="N2796" s="27">
        <f>F2796-J2796</f>
        <v/>
      </c>
      <c r="O2796" s="16">
        <f>I2796-H2796</f>
        <v/>
      </c>
      <c r="P2796" s="14">
        <f>F2796*G2796</f>
        <v/>
      </c>
      <c r="Q2796" s="14">
        <f>J2796*G2796</f>
        <v/>
      </c>
      <c r="R2796" s="14">
        <f>K2796-Q2796</f>
        <v/>
      </c>
      <c r="S2796" s="3">
        <f>P2796*Assumptions!$B$3/100</f>
        <v/>
      </c>
      <c r="T2796" s="14">
        <f>R2796-S2796</f>
        <v/>
      </c>
      <c r="U2796" s="14">
        <f>L2796*G2796</f>
        <v/>
      </c>
    </row>
    <row r="2797">
      <c r="A2797" s="12" t="inlineStr">
        <is>
          <t>PO-2022-2795</t>
        </is>
      </c>
      <c r="B2797" s="26" t="n">
        <v>45019</v>
      </c>
      <c r="C2797" s="12" t="inlineStr">
        <is>
          <t>VS29</t>
        </is>
      </c>
      <c r="D2797" s="12" t="inlineStr">
        <is>
          <t>MS Rods</t>
        </is>
      </c>
      <c r="E2797" s="12" t="inlineStr">
        <is>
          <t>N</t>
        </is>
      </c>
      <c r="F2797" s="12" t="n">
        <v>24.4</v>
      </c>
      <c r="G2797" s="17" t="n">
        <v>85445.25999999999</v>
      </c>
      <c r="H2797" s="26" t="n">
        <v>45032</v>
      </c>
      <c r="I2797" s="26" t="n">
        <v>45032</v>
      </c>
      <c r="J2797" s="12" t="n">
        <v>24.4</v>
      </c>
      <c r="K2797" s="17" t="n">
        <v>2084864.34</v>
      </c>
      <c r="L2797" s="12" t="n">
        <v>0</v>
      </c>
      <c r="M2797" s="12" t="n">
        <v>21</v>
      </c>
      <c r="N2797" s="27">
        <f>F2797-J2797</f>
        <v/>
      </c>
      <c r="O2797" s="16">
        <f>I2797-H2797</f>
        <v/>
      </c>
      <c r="P2797" s="14">
        <f>F2797*G2797</f>
        <v/>
      </c>
      <c r="Q2797" s="14">
        <f>J2797*G2797</f>
        <v/>
      </c>
      <c r="R2797" s="14">
        <f>K2797-Q2797</f>
        <v/>
      </c>
      <c r="S2797" s="3">
        <f>P2797*Assumptions!$B$3/100</f>
        <v/>
      </c>
      <c r="T2797" s="14">
        <f>R2797-S2797</f>
        <v/>
      </c>
      <c r="U2797" s="14">
        <f>L2797*G2797</f>
        <v/>
      </c>
    </row>
    <row r="2798">
      <c r="A2798" s="12" t="inlineStr">
        <is>
          <t>PO-2022-2796</t>
        </is>
      </c>
      <c r="B2798" s="26" t="n">
        <v>44579</v>
      </c>
      <c r="C2798" s="12" t="inlineStr">
        <is>
          <t>VS02</t>
        </is>
      </c>
      <c r="D2798" s="12" t="inlineStr">
        <is>
          <t>Fasteners &amp; Fittings</t>
        </is>
      </c>
      <c r="E2798" s="12" t="inlineStr">
        <is>
          <t>N</t>
        </is>
      </c>
      <c r="F2798" s="12" t="n">
        <v>14.47</v>
      </c>
      <c r="G2798" s="17" t="n">
        <v>103518.59</v>
      </c>
      <c r="H2798" s="26" t="n">
        <v>44591</v>
      </c>
      <c r="I2798" s="26" t="n">
        <v>44593</v>
      </c>
      <c r="J2798" s="12" t="n">
        <v>14.43</v>
      </c>
      <c r="K2798" s="17" t="n">
        <v>1497914</v>
      </c>
      <c r="L2798" s="12" t="n">
        <v>0</v>
      </c>
      <c r="M2798" s="12" t="n">
        <v>4</v>
      </c>
      <c r="N2798" s="27">
        <f>F2798-J2798</f>
        <v/>
      </c>
      <c r="O2798" s="16">
        <f>I2798-H2798</f>
        <v/>
      </c>
      <c r="P2798" s="14">
        <f>F2798*G2798</f>
        <v/>
      </c>
      <c r="Q2798" s="14">
        <f>J2798*G2798</f>
        <v/>
      </c>
      <c r="R2798" s="14">
        <f>K2798-Q2798</f>
        <v/>
      </c>
      <c r="S2798" s="3">
        <f>P2798*Assumptions!$B$3/100</f>
        <v/>
      </c>
      <c r="T2798" s="14">
        <f>R2798-S2798</f>
        <v/>
      </c>
      <c r="U2798" s="14">
        <f>L2798*G2798</f>
        <v/>
      </c>
    </row>
    <row r="2799">
      <c r="A2799" s="12" t="inlineStr">
        <is>
          <t>PO-2022-2797</t>
        </is>
      </c>
      <c r="B2799" s="26" t="n">
        <v>44327</v>
      </c>
      <c r="C2799" s="12" t="inlineStr">
        <is>
          <t>VS30</t>
        </is>
      </c>
      <c r="D2799" s="12" t="inlineStr">
        <is>
          <t>Structural Steel</t>
        </is>
      </c>
      <c r="E2799" s="12" t="inlineStr">
        <is>
          <t>Y</t>
        </is>
      </c>
      <c r="F2799" s="12" t="n">
        <v>30.91</v>
      </c>
      <c r="G2799" s="17" t="n">
        <v>81935.34</v>
      </c>
      <c r="H2799" s="26" t="n">
        <v>44338</v>
      </c>
      <c r="I2799" s="26" t="n">
        <v>44341</v>
      </c>
      <c r="J2799" s="12" t="n">
        <v>30.74</v>
      </c>
      <c r="K2799" s="17" t="n">
        <v>2532621.36</v>
      </c>
      <c r="L2799" s="12" t="n">
        <v>0</v>
      </c>
      <c r="M2799" s="12" t="n">
        <v>13</v>
      </c>
      <c r="N2799" s="27">
        <f>F2799-J2799</f>
        <v/>
      </c>
      <c r="O2799" s="16">
        <f>I2799-H2799</f>
        <v/>
      </c>
      <c r="P2799" s="14">
        <f>F2799*G2799</f>
        <v/>
      </c>
      <c r="Q2799" s="14">
        <f>J2799*G2799</f>
        <v/>
      </c>
      <c r="R2799" s="14">
        <f>K2799-Q2799</f>
        <v/>
      </c>
      <c r="S2799" s="3">
        <f>P2799*Assumptions!$B$3/100</f>
        <v/>
      </c>
      <c r="T2799" s="14">
        <f>R2799-S2799</f>
        <v/>
      </c>
      <c r="U2799" s="14">
        <f>L2799*G2799</f>
        <v/>
      </c>
    </row>
    <row r="2800">
      <c r="A2800" s="12" t="inlineStr">
        <is>
          <t>PO-2022-2798</t>
        </is>
      </c>
      <c r="B2800" s="26" t="n">
        <v>44504</v>
      </c>
      <c r="C2800" s="12" t="inlineStr">
        <is>
          <t>VS28</t>
        </is>
      </c>
      <c r="D2800" s="12" t="inlineStr">
        <is>
          <t>Hex Bars</t>
        </is>
      </c>
      <c r="E2800" s="12" t="inlineStr">
        <is>
          <t>N</t>
        </is>
      </c>
      <c r="F2800" s="12" t="n">
        <v>25.36</v>
      </c>
      <c r="G2800" s="17" t="n">
        <v>108413.35</v>
      </c>
      <c r="H2800" s="26" t="n">
        <v>44509</v>
      </c>
      <c r="I2800" s="26" t="n">
        <v>44509</v>
      </c>
      <c r="J2800" s="12" t="n">
        <v>25.25</v>
      </c>
      <c r="K2800" s="17" t="n">
        <v>2749362.56</v>
      </c>
      <c r="L2800" s="12" t="n">
        <v>0</v>
      </c>
      <c r="M2800" s="12" t="n">
        <v>3</v>
      </c>
      <c r="N2800" s="27">
        <f>F2800-J2800</f>
        <v/>
      </c>
      <c r="O2800" s="16">
        <f>I2800-H2800</f>
        <v/>
      </c>
      <c r="P2800" s="14">
        <f>F2800*G2800</f>
        <v/>
      </c>
      <c r="Q2800" s="14">
        <f>J2800*G2800</f>
        <v/>
      </c>
      <c r="R2800" s="14">
        <f>K2800-Q2800</f>
        <v/>
      </c>
      <c r="S2800" s="3">
        <f>P2800*Assumptions!$B$3/100</f>
        <v/>
      </c>
      <c r="T2800" s="14">
        <f>R2800-S2800</f>
        <v/>
      </c>
      <c r="U2800" s="14">
        <f>L2800*G2800</f>
        <v/>
      </c>
    </row>
    <row r="2801">
      <c r="A2801" s="12" t="inlineStr">
        <is>
          <t>PO-2022-2799</t>
        </is>
      </c>
      <c r="B2801" s="26" t="n">
        <v>44852</v>
      </c>
      <c r="C2801" s="12" t="inlineStr">
        <is>
          <t>VS34</t>
        </is>
      </c>
      <c r="D2801" s="12" t="inlineStr">
        <is>
          <t>GI Sheets</t>
        </is>
      </c>
      <c r="E2801" s="12" t="inlineStr">
        <is>
          <t>N</t>
        </is>
      </c>
      <c r="F2801" s="12" t="n">
        <v>25.2</v>
      </c>
      <c r="G2801" s="17" t="n">
        <v>101232.34</v>
      </c>
      <c r="H2801" s="26" t="n">
        <v>44867</v>
      </c>
      <c r="I2801" s="26" t="n">
        <v>44868</v>
      </c>
      <c r="J2801" s="12" t="n">
        <v>25.02</v>
      </c>
      <c r="K2801" s="17" t="n">
        <v>2551054.97</v>
      </c>
      <c r="L2801" s="12" t="n">
        <v>0</v>
      </c>
      <c r="M2801" s="12" t="n">
        <v>16</v>
      </c>
      <c r="N2801" s="27">
        <f>F2801-J2801</f>
        <v/>
      </c>
      <c r="O2801" s="16">
        <f>I2801-H2801</f>
        <v/>
      </c>
      <c r="P2801" s="14">
        <f>F2801*G2801</f>
        <v/>
      </c>
      <c r="Q2801" s="14">
        <f>J2801*G2801</f>
        <v/>
      </c>
      <c r="R2801" s="14">
        <f>K2801-Q2801</f>
        <v/>
      </c>
      <c r="S2801" s="3">
        <f>P2801*Assumptions!$B$3/100</f>
        <v/>
      </c>
      <c r="T2801" s="14">
        <f>R2801-S2801</f>
        <v/>
      </c>
      <c r="U2801" s="14">
        <f>L2801*G2801</f>
        <v/>
      </c>
    </row>
    <row r="2802">
      <c r="A2802" s="12" t="inlineStr">
        <is>
          <t>PO-2022-2800</t>
        </is>
      </c>
      <c r="B2802" s="26" t="n">
        <v>45286</v>
      </c>
      <c r="C2802" s="12" t="inlineStr">
        <is>
          <t>VS21</t>
        </is>
      </c>
      <c r="D2802" s="12" t="inlineStr">
        <is>
          <t>Hex Bars</t>
        </is>
      </c>
      <c r="E2802" s="12" t="inlineStr">
        <is>
          <t>N</t>
        </is>
      </c>
      <c r="F2802" s="12" t="n">
        <v>1.03</v>
      </c>
      <c r="G2802" s="17" t="n">
        <v>93266.21000000001</v>
      </c>
      <c r="H2802" s="26" t="n">
        <v>45299</v>
      </c>
      <c r="I2802" s="26" t="n">
        <v>45299</v>
      </c>
      <c r="J2802" s="12" t="n">
        <v>1.02</v>
      </c>
      <c r="K2802" s="17" t="n">
        <v>96064.2</v>
      </c>
      <c r="L2802" s="12" t="n">
        <v>0</v>
      </c>
      <c r="M2802" s="12" t="n">
        <v>13</v>
      </c>
      <c r="N2802" s="27">
        <f>F2802-J2802</f>
        <v/>
      </c>
      <c r="O2802" s="16">
        <f>I2802-H2802</f>
        <v/>
      </c>
      <c r="P2802" s="14">
        <f>F2802*G2802</f>
        <v/>
      </c>
      <c r="Q2802" s="14">
        <f>J2802*G2802</f>
        <v/>
      </c>
      <c r="R2802" s="14">
        <f>K2802-Q2802</f>
        <v/>
      </c>
      <c r="S2802" s="3">
        <f>P2802*Assumptions!$B$3/100</f>
        <v/>
      </c>
      <c r="T2802" s="14">
        <f>R2802-S2802</f>
        <v/>
      </c>
      <c r="U2802" s="14">
        <f>L2802*G2802</f>
        <v/>
      </c>
    </row>
    <row r="2803">
      <c r="A2803" s="12" t="inlineStr">
        <is>
          <t>PO-2022-2801</t>
        </is>
      </c>
      <c r="B2803" s="26" t="n">
        <v>44683</v>
      </c>
      <c r="C2803" s="12" t="inlineStr">
        <is>
          <t>VS24</t>
        </is>
      </c>
      <c r="D2803" s="12" t="inlineStr">
        <is>
          <t>GI Pipes</t>
        </is>
      </c>
      <c r="E2803" s="12" t="inlineStr">
        <is>
          <t>N</t>
        </is>
      </c>
      <c r="F2803" s="12" t="n">
        <v>35.08</v>
      </c>
      <c r="G2803" s="17" t="n">
        <v>111226.53</v>
      </c>
      <c r="H2803" s="26" t="n">
        <v>44696</v>
      </c>
      <c r="I2803" s="26" t="n">
        <v>44697</v>
      </c>
      <c r="J2803" s="12" t="n">
        <v>35.01</v>
      </c>
      <c r="K2803" s="17" t="n">
        <v>3901826.67</v>
      </c>
      <c r="L2803" s="12" t="n">
        <v>0</v>
      </c>
      <c r="M2803" s="12" t="n">
        <v>0</v>
      </c>
      <c r="N2803" s="27">
        <f>F2803-J2803</f>
        <v/>
      </c>
      <c r="O2803" s="16">
        <f>I2803-H2803</f>
        <v/>
      </c>
      <c r="P2803" s="14">
        <f>F2803*G2803</f>
        <v/>
      </c>
      <c r="Q2803" s="14">
        <f>J2803*G2803</f>
        <v/>
      </c>
      <c r="R2803" s="14">
        <f>K2803-Q2803</f>
        <v/>
      </c>
      <c r="S2803" s="3">
        <f>P2803*Assumptions!$B$3/100</f>
        <v/>
      </c>
      <c r="T2803" s="14">
        <f>R2803-S2803</f>
        <v/>
      </c>
      <c r="U2803" s="14">
        <f>L2803*G2803</f>
        <v/>
      </c>
    </row>
    <row r="2804">
      <c r="A2804" s="12" t="inlineStr">
        <is>
          <t>PO-2022-2802</t>
        </is>
      </c>
      <c r="B2804" s="26" t="n">
        <v>44935</v>
      </c>
      <c r="C2804" s="12" t="inlineStr">
        <is>
          <t>VS25</t>
        </is>
      </c>
      <c r="D2804" s="12" t="inlineStr">
        <is>
          <t>MS Rods</t>
        </is>
      </c>
      <c r="E2804" s="12" t="inlineStr">
        <is>
          <t>N</t>
        </is>
      </c>
      <c r="F2804" s="12" t="n">
        <v>36.66</v>
      </c>
      <c r="G2804" s="17" t="n">
        <v>69890.77</v>
      </c>
      <c r="H2804" s="26" t="n">
        <v>44945</v>
      </c>
      <c r="I2804" s="26" t="n">
        <v>44948</v>
      </c>
      <c r="J2804" s="12" t="n">
        <v>36.41</v>
      </c>
      <c r="K2804" s="17" t="n">
        <v>2562195.63</v>
      </c>
      <c r="L2804" s="12" t="n">
        <v>0</v>
      </c>
      <c r="M2804" s="12" t="n">
        <v>0</v>
      </c>
      <c r="N2804" s="27">
        <f>F2804-J2804</f>
        <v/>
      </c>
      <c r="O2804" s="16">
        <f>I2804-H2804</f>
        <v/>
      </c>
      <c r="P2804" s="14">
        <f>F2804*G2804</f>
        <v/>
      </c>
      <c r="Q2804" s="14">
        <f>J2804*G2804</f>
        <v/>
      </c>
      <c r="R2804" s="14">
        <f>K2804-Q2804</f>
        <v/>
      </c>
      <c r="S2804" s="3">
        <f>P2804*Assumptions!$B$3/100</f>
        <v/>
      </c>
      <c r="T2804" s="14">
        <f>R2804-S2804</f>
        <v/>
      </c>
      <c r="U2804" s="14">
        <f>L2804*G2804</f>
        <v/>
      </c>
    </row>
    <row r="2805">
      <c r="A2805" s="12" t="inlineStr">
        <is>
          <t>PO-2022-2803</t>
        </is>
      </c>
      <c r="B2805" s="26" t="n">
        <v>44275</v>
      </c>
      <c r="C2805" s="12" t="inlineStr">
        <is>
          <t>VS02</t>
        </is>
      </c>
      <c r="D2805" s="12" t="inlineStr">
        <is>
          <t>ERW Pipes</t>
        </is>
      </c>
      <c r="E2805" s="12" t="inlineStr">
        <is>
          <t>N</t>
        </is>
      </c>
      <c r="F2805" s="12" t="n">
        <v>9.23</v>
      </c>
      <c r="G2805" s="17" t="n">
        <v>112482.51</v>
      </c>
      <c r="H2805" s="26" t="n">
        <v>44280</v>
      </c>
      <c r="I2805" s="26" t="n">
        <v>44283</v>
      </c>
      <c r="J2805" s="12" t="n">
        <v>9.220000000000001</v>
      </c>
      <c r="K2805" s="17" t="n">
        <v>1038213.57</v>
      </c>
      <c r="L2805" s="12" t="n">
        <v>0</v>
      </c>
      <c r="M2805" s="12" t="n">
        <v>9</v>
      </c>
      <c r="N2805" s="27">
        <f>F2805-J2805</f>
        <v/>
      </c>
      <c r="O2805" s="16">
        <f>I2805-H2805</f>
        <v/>
      </c>
      <c r="P2805" s="14">
        <f>F2805*G2805</f>
        <v/>
      </c>
      <c r="Q2805" s="14">
        <f>J2805*G2805</f>
        <v/>
      </c>
      <c r="R2805" s="14">
        <f>K2805-Q2805</f>
        <v/>
      </c>
      <c r="S2805" s="3">
        <f>P2805*Assumptions!$B$3/100</f>
        <v/>
      </c>
      <c r="T2805" s="14">
        <f>R2805-S2805</f>
        <v/>
      </c>
      <c r="U2805" s="14">
        <f>L2805*G2805</f>
        <v/>
      </c>
    </row>
    <row r="2806">
      <c r="A2806" s="12" t="inlineStr">
        <is>
          <t>PO-2022-2804</t>
        </is>
      </c>
      <c r="B2806" s="26" t="n">
        <v>44898</v>
      </c>
      <c r="C2806" s="12" t="inlineStr">
        <is>
          <t>VS24</t>
        </is>
      </c>
      <c r="D2806" s="12" t="inlineStr">
        <is>
          <t>CR Sheets</t>
        </is>
      </c>
      <c r="E2806" s="12" t="inlineStr">
        <is>
          <t>N</t>
        </is>
      </c>
      <c r="F2806" s="12" t="n">
        <v>13.31</v>
      </c>
      <c r="G2806" s="17" t="n">
        <v>115067.31</v>
      </c>
      <c r="H2806" s="26" t="n">
        <v>44907</v>
      </c>
      <c r="I2806" s="26" t="n">
        <v>44907</v>
      </c>
      <c r="J2806" s="12" t="n">
        <v>13.19</v>
      </c>
      <c r="K2806" s="17" t="n">
        <v>1531545.9</v>
      </c>
      <c r="L2806" s="12" t="n">
        <v>0</v>
      </c>
      <c r="M2806" s="12" t="n">
        <v>16</v>
      </c>
      <c r="N2806" s="27">
        <f>F2806-J2806</f>
        <v/>
      </c>
      <c r="O2806" s="16">
        <f>I2806-H2806</f>
        <v/>
      </c>
      <c r="P2806" s="14">
        <f>F2806*G2806</f>
        <v/>
      </c>
      <c r="Q2806" s="14">
        <f>J2806*G2806</f>
        <v/>
      </c>
      <c r="R2806" s="14">
        <f>K2806-Q2806</f>
        <v/>
      </c>
      <c r="S2806" s="3">
        <f>P2806*Assumptions!$B$3/100</f>
        <v/>
      </c>
      <c r="T2806" s="14">
        <f>R2806-S2806</f>
        <v/>
      </c>
      <c r="U2806" s="14">
        <f>L2806*G2806</f>
        <v/>
      </c>
    </row>
    <row r="2807">
      <c r="A2807" s="12" t="inlineStr">
        <is>
          <t>PO-2022-2805</t>
        </is>
      </c>
      <c r="B2807" s="26" t="n">
        <v>45140</v>
      </c>
      <c r="C2807" s="12" t="inlineStr">
        <is>
          <t>VS26</t>
        </is>
      </c>
      <c r="D2807" s="12" t="inlineStr">
        <is>
          <t>GI Sheets</t>
        </is>
      </c>
      <c r="E2807" s="12" t="inlineStr">
        <is>
          <t>N</t>
        </is>
      </c>
      <c r="F2807" s="12" t="n">
        <v>7.88</v>
      </c>
      <c r="G2807" s="17" t="n">
        <v>106985.13</v>
      </c>
      <c r="H2807" s="26" t="n">
        <v>45152</v>
      </c>
      <c r="I2807" s="26" t="n">
        <v>45153</v>
      </c>
      <c r="J2807" s="12" t="n">
        <v>7.84</v>
      </c>
      <c r="K2807" s="17" t="n">
        <v>843042.8199999999</v>
      </c>
      <c r="L2807" s="12" t="n">
        <v>0</v>
      </c>
      <c r="M2807" s="12" t="n">
        <v>0</v>
      </c>
      <c r="N2807" s="27">
        <f>F2807-J2807</f>
        <v/>
      </c>
      <c r="O2807" s="16">
        <f>I2807-H2807</f>
        <v/>
      </c>
      <c r="P2807" s="14">
        <f>F2807*G2807</f>
        <v/>
      </c>
      <c r="Q2807" s="14">
        <f>J2807*G2807</f>
        <v/>
      </c>
      <c r="R2807" s="14">
        <f>K2807-Q2807</f>
        <v/>
      </c>
      <c r="S2807" s="3">
        <f>P2807*Assumptions!$B$3/100</f>
        <v/>
      </c>
      <c r="T2807" s="14">
        <f>R2807-S2807</f>
        <v/>
      </c>
      <c r="U2807" s="14">
        <f>L2807*G2807</f>
        <v/>
      </c>
    </row>
    <row r="2808">
      <c r="A2808" s="12" t="inlineStr">
        <is>
          <t>PO-2022-2806</t>
        </is>
      </c>
      <c r="B2808" s="26" t="n">
        <v>44799</v>
      </c>
      <c r="C2808" s="12" t="inlineStr">
        <is>
          <t>VS12</t>
        </is>
      </c>
      <c r="D2808" s="12" t="inlineStr">
        <is>
          <t>HR Coils</t>
        </is>
      </c>
      <c r="E2808" s="12" t="inlineStr">
        <is>
          <t>Y</t>
        </is>
      </c>
      <c r="F2808" s="12" t="n">
        <v>32.06</v>
      </c>
      <c r="G2808" s="17" t="n">
        <v>57181.64</v>
      </c>
      <c r="H2808" s="26" t="n">
        <v>44810</v>
      </c>
      <c r="I2808" s="26" t="n">
        <v>44813</v>
      </c>
      <c r="J2808" s="12" t="n">
        <v>30.75</v>
      </c>
      <c r="K2808" s="17" t="n">
        <v>1833243.38</v>
      </c>
      <c r="L2808" s="12" t="n">
        <v>0.78</v>
      </c>
      <c r="M2808" s="12" t="n">
        <v>0</v>
      </c>
      <c r="N2808" s="27">
        <f>F2808-J2808</f>
        <v/>
      </c>
      <c r="O2808" s="16">
        <f>I2808-H2808</f>
        <v/>
      </c>
      <c r="P2808" s="14">
        <f>F2808*G2808</f>
        <v/>
      </c>
      <c r="Q2808" s="14">
        <f>J2808*G2808</f>
        <v/>
      </c>
      <c r="R2808" s="14">
        <f>K2808-Q2808</f>
        <v/>
      </c>
      <c r="S2808" s="3">
        <f>P2808*Assumptions!$B$3/100</f>
        <v/>
      </c>
      <c r="T2808" s="14">
        <f>R2808-S2808</f>
        <v/>
      </c>
      <c r="U2808" s="14">
        <f>L2808*G2808</f>
        <v/>
      </c>
    </row>
    <row r="2809">
      <c r="A2809" s="12" t="inlineStr">
        <is>
          <t>PO-2022-2807</t>
        </is>
      </c>
      <c r="B2809" s="26" t="n">
        <v>44748</v>
      </c>
      <c r="C2809" s="12" t="inlineStr">
        <is>
          <t>VS26</t>
        </is>
      </c>
      <c r="D2809" s="12" t="inlineStr">
        <is>
          <t>HR Coils</t>
        </is>
      </c>
      <c r="E2809" s="12" t="inlineStr">
        <is>
          <t>N</t>
        </is>
      </c>
      <c r="F2809" s="12" t="n">
        <v>43.45</v>
      </c>
      <c r="G2809" s="17" t="n">
        <v>59592.59</v>
      </c>
      <c r="H2809" s="26" t="n">
        <v>44760</v>
      </c>
      <c r="I2809" s="26" t="n">
        <v>44763</v>
      </c>
      <c r="J2809" s="12" t="n">
        <v>43.22</v>
      </c>
      <c r="K2809" s="17" t="n">
        <v>2589298.04</v>
      </c>
      <c r="L2809" s="12" t="n">
        <v>0</v>
      </c>
      <c r="M2809" s="12" t="n">
        <v>0</v>
      </c>
      <c r="N2809" s="27">
        <f>F2809-J2809</f>
        <v/>
      </c>
      <c r="O2809" s="16">
        <f>I2809-H2809</f>
        <v/>
      </c>
      <c r="P2809" s="14">
        <f>F2809*G2809</f>
        <v/>
      </c>
      <c r="Q2809" s="14">
        <f>J2809*G2809</f>
        <v/>
      </c>
      <c r="R2809" s="14">
        <f>K2809-Q2809</f>
        <v/>
      </c>
      <c r="S2809" s="3">
        <f>P2809*Assumptions!$B$3/100</f>
        <v/>
      </c>
      <c r="T2809" s="14">
        <f>R2809-S2809</f>
        <v/>
      </c>
      <c r="U2809" s="14">
        <f>L2809*G2809</f>
        <v/>
      </c>
    </row>
    <row r="2810">
      <c r="A2810" s="12" t="inlineStr">
        <is>
          <t>PO-2022-2808</t>
        </is>
      </c>
      <c r="B2810" s="26" t="n">
        <v>44408</v>
      </c>
      <c r="C2810" s="12" t="inlineStr">
        <is>
          <t>VS22</t>
        </is>
      </c>
      <c r="D2810" s="12" t="inlineStr">
        <is>
          <t>MS Rods</t>
        </is>
      </c>
      <c r="E2810" s="12" t="inlineStr">
        <is>
          <t>N</t>
        </is>
      </c>
      <c r="F2810" s="12" t="n">
        <v>9.06</v>
      </c>
      <c r="G2810" s="17" t="n">
        <v>50970.52</v>
      </c>
      <c r="H2810" s="26" t="n">
        <v>44421</v>
      </c>
      <c r="I2810" s="26" t="n">
        <v>44423</v>
      </c>
      <c r="J2810" s="12" t="n">
        <v>9.050000000000001</v>
      </c>
      <c r="K2810" s="17" t="n">
        <v>461792.91</v>
      </c>
      <c r="L2810" s="12" t="n">
        <v>0</v>
      </c>
      <c r="M2810" s="12" t="n">
        <v>0</v>
      </c>
      <c r="N2810" s="27">
        <f>F2810-J2810</f>
        <v/>
      </c>
      <c r="O2810" s="16">
        <f>I2810-H2810</f>
        <v/>
      </c>
      <c r="P2810" s="14">
        <f>F2810*G2810</f>
        <v/>
      </c>
      <c r="Q2810" s="14">
        <f>J2810*G2810</f>
        <v/>
      </c>
      <c r="R2810" s="14">
        <f>K2810-Q2810</f>
        <v/>
      </c>
      <c r="S2810" s="3">
        <f>P2810*Assumptions!$B$3/100</f>
        <v/>
      </c>
      <c r="T2810" s="14">
        <f>R2810-S2810</f>
        <v/>
      </c>
      <c r="U2810" s="14">
        <f>L2810*G2810</f>
        <v/>
      </c>
    </row>
    <row r="2811">
      <c r="A2811" s="12" t="inlineStr">
        <is>
          <t>PO-2022-2809</t>
        </is>
      </c>
      <c r="B2811" s="26" t="n">
        <v>44868</v>
      </c>
      <c r="C2811" s="12" t="inlineStr">
        <is>
          <t>VS12</t>
        </is>
      </c>
      <c r="D2811" s="12" t="inlineStr">
        <is>
          <t>Spring Steel</t>
        </is>
      </c>
      <c r="E2811" s="12" t="inlineStr">
        <is>
          <t>Y</t>
        </is>
      </c>
      <c r="F2811" s="12" t="n">
        <v>38.31</v>
      </c>
      <c r="G2811" s="17" t="n">
        <v>103148.83</v>
      </c>
      <c r="H2811" s="26" t="n">
        <v>44878</v>
      </c>
      <c r="I2811" s="26" t="n">
        <v>44880</v>
      </c>
      <c r="J2811" s="12" t="n">
        <v>37.1</v>
      </c>
      <c r="K2811" s="17" t="n">
        <v>3951631.68</v>
      </c>
      <c r="L2811" s="12" t="n">
        <v>0.66</v>
      </c>
      <c r="M2811" s="12" t="n">
        <v>9</v>
      </c>
      <c r="N2811" s="27">
        <f>F2811-J2811</f>
        <v/>
      </c>
      <c r="O2811" s="16">
        <f>I2811-H2811</f>
        <v/>
      </c>
      <c r="P2811" s="14">
        <f>F2811*G2811</f>
        <v/>
      </c>
      <c r="Q2811" s="14">
        <f>J2811*G2811</f>
        <v/>
      </c>
      <c r="R2811" s="14">
        <f>K2811-Q2811</f>
        <v/>
      </c>
      <c r="S2811" s="3">
        <f>P2811*Assumptions!$B$3/100</f>
        <v/>
      </c>
      <c r="T2811" s="14">
        <f>R2811-S2811</f>
        <v/>
      </c>
      <c r="U2811" s="14">
        <f>L2811*G2811</f>
        <v/>
      </c>
    </row>
    <row r="2812">
      <c r="A2812" s="12" t="inlineStr">
        <is>
          <t>PO-2022-2810</t>
        </is>
      </c>
      <c r="B2812" s="26" t="n">
        <v>44561</v>
      </c>
      <c r="C2812" s="12" t="inlineStr">
        <is>
          <t>VS22</t>
        </is>
      </c>
      <c r="D2812" s="12" t="inlineStr">
        <is>
          <t>MS Rods</t>
        </is>
      </c>
      <c r="E2812" s="12" t="inlineStr">
        <is>
          <t>N</t>
        </is>
      </c>
      <c r="F2812" s="12" t="n">
        <v>9.220000000000001</v>
      </c>
      <c r="G2812" s="17" t="n">
        <v>88158.28</v>
      </c>
      <c r="H2812" s="26" t="n">
        <v>44570</v>
      </c>
      <c r="I2812" s="26" t="n">
        <v>44571</v>
      </c>
      <c r="J2812" s="12" t="n">
        <v>9.18</v>
      </c>
      <c r="K2812" s="17" t="n">
        <v>812819.34</v>
      </c>
      <c r="L2812" s="12" t="n">
        <v>0</v>
      </c>
      <c r="M2812" s="12" t="n">
        <v>8</v>
      </c>
      <c r="N2812" s="27">
        <f>F2812-J2812</f>
        <v/>
      </c>
      <c r="O2812" s="16">
        <f>I2812-H2812</f>
        <v/>
      </c>
      <c r="P2812" s="14">
        <f>F2812*G2812</f>
        <v/>
      </c>
      <c r="Q2812" s="14">
        <f>J2812*G2812</f>
        <v/>
      </c>
      <c r="R2812" s="14">
        <f>K2812-Q2812</f>
        <v/>
      </c>
      <c r="S2812" s="3">
        <f>P2812*Assumptions!$B$3/100</f>
        <v/>
      </c>
      <c r="T2812" s="14">
        <f>R2812-S2812</f>
        <v/>
      </c>
      <c r="U2812" s="14">
        <f>L2812*G2812</f>
        <v/>
      </c>
    </row>
    <row r="2813">
      <c r="A2813" s="12" t="inlineStr">
        <is>
          <t>PO-2022-2811</t>
        </is>
      </c>
      <c r="B2813" s="26" t="n">
        <v>44650</v>
      </c>
      <c r="C2813" s="12" t="inlineStr">
        <is>
          <t>VS15</t>
        </is>
      </c>
      <c r="D2813" s="12" t="inlineStr">
        <is>
          <t>MS Flats</t>
        </is>
      </c>
      <c r="E2813" s="12" t="inlineStr">
        <is>
          <t>N</t>
        </is>
      </c>
      <c r="F2813" s="12" t="n">
        <v>26.96</v>
      </c>
      <c r="G2813" s="17" t="n">
        <v>103626.19</v>
      </c>
      <c r="H2813" s="26" t="n">
        <v>44658</v>
      </c>
      <c r="I2813" s="26" t="n">
        <v>44661</v>
      </c>
      <c r="J2813" s="12" t="n">
        <v>26.9</v>
      </c>
      <c r="K2813" s="17" t="n">
        <v>2793762.08</v>
      </c>
      <c r="L2813" s="12" t="n">
        <v>0</v>
      </c>
      <c r="M2813" s="12" t="n">
        <v>0</v>
      </c>
      <c r="N2813" s="27">
        <f>F2813-J2813</f>
        <v/>
      </c>
      <c r="O2813" s="16">
        <f>I2813-H2813</f>
        <v/>
      </c>
      <c r="P2813" s="14">
        <f>F2813*G2813</f>
        <v/>
      </c>
      <c r="Q2813" s="14">
        <f>J2813*G2813</f>
        <v/>
      </c>
      <c r="R2813" s="14">
        <f>K2813-Q2813</f>
        <v/>
      </c>
      <c r="S2813" s="3">
        <f>P2813*Assumptions!$B$3/100</f>
        <v/>
      </c>
      <c r="T2813" s="14">
        <f>R2813-S2813</f>
        <v/>
      </c>
      <c r="U2813" s="14">
        <f>L2813*G2813</f>
        <v/>
      </c>
    </row>
    <row r="2814">
      <c r="A2814" s="12" t="inlineStr">
        <is>
          <t>PO-2022-2812</t>
        </is>
      </c>
      <c r="B2814" s="26" t="n">
        <v>44406</v>
      </c>
      <c r="C2814" s="12" t="inlineStr">
        <is>
          <t>VS15</t>
        </is>
      </c>
      <c r="D2814" s="12" t="inlineStr">
        <is>
          <t>Hex Bars</t>
        </is>
      </c>
      <c r="E2814" s="12" t="inlineStr">
        <is>
          <t>N</t>
        </is>
      </c>
      <c r="F2814" s="12" t="n">
        <v>6.2</v>
      </c>
      <c r="G2814" s="17" t="n">
        <v>98296.14999999999</v>
      </c>
      <c r="H2814" s="26" t="n">
        <v>44414</v>
      </c>
      <c r="I2814" s="26" t="n">
        <v>44417</v>
      </c>
      <c r="J2814" s="12" t="n">
        <v>6.15</v>
      </c>
      <c r="K2814" s="17" t="n">
        <v>609436.13</v>
      </c>
      <c r="L2814" s="12" t="n">
        <v>0</v>
      </c>
      <c r="M2814" s="12" t="n">
        <v>0</v>
      </c>
      <c r="N2814" s="27">
        <f>F2814-J2814</f>
        <v/>
      </c>
      <c r="O2814" s="16">
        <f>I2814-H2814</f>
        <v/>
      </c>
      <c r="P2814" s="14">
        <f>F2814*G2814</f>
        <v/>
      </c>
      <c r="Q2814" s="14">
        <f>J2814*G2814</f>
        <v/>
      </c>
      <c r="R2814" s="14">
        <f>K2814-Q2814</f>
        <v/>
      </c>
      <c r="S2814" s="3">
        <f>P2814*Assumptions!$B$3/100</f>
        <v/>
      </c>
      <c r="T2814" s="14">
        <f>R2814-S2814</f>
        <v/>
      </c>
      <c r="U2814" s="14">
        <f>L2814*G2814</f>
        <v/>
      </c>
    </row>
    <row r="2815">
      <c r="A2815" s="12" t="inlineStr">
        <is>
          <t>PO-2022-2813</t>
        </is>
      </c>
      <c r="B2815" s="26" t="n">
        <v>44946</v>
      </c>
      <c r="C2815" s="12" t="inlineStr">
        <is>
          <t>VS02</t>
        </is>
      </c>
      <c r="D2815" s="12" t="inlineStr">
        <is>
          <t>Structural Steel</t>
        </is>
      </c>
      <c r="E2815" s="12" t="inlineStr">
        <is>
          <t>N</t>
        </is>
      </c>
      <c r="F2815" s="12" t="n">
        <v>26.43</v>
      </c>
      <c r="G2815" s="17" t="n">
        <v>116719.42</v>
      </c>
      <c r="H2815" s="26" t="n">
        <v>44957</v>
      </c>
      <c r="I2815" s="26" t="n">
        <v>44958</v>
      </c>
      <c r="J2815" s="12" t="n">
        <v>26.33</v>
      </c>
      <c r="K2815" s="17" t="n">
        <v>3084894.27</v>
      </c>
      <c r="L2815" s="12" t="n">
        <v>0</v>
      </c>
      <c r="M2815" s="12" t="n">
        <v>0</v>
      </c>
      <c r="N2815" s="27">
        <f>F2815-J2815</f>
        <v/>
      </c>
      <c r="O2815" s="16">
        <f>I2815-H2815</f>
        <v/>
      </c>
      <c r="P2815" s="14">
        <f>F2815*G2815</f>
        <v/>
      </c>
      <c r="Q2815" s="14">
        <f>J2815*G2815</f>
        <v/>
      </c>
      <c r="R2815" s="14">
        <f>K2815-Q2815</f>
        <v/>
      </c>
      <c r="S2815" s="3">
        <f>P2815*Assumptions!$B$3/100</f>
        <v/>
      </c>
      <c r="T2815" s="14">
        <f>R2815-S2815</f>
        <v/>
      </c>
      <c r="U2815" s="14">
        <f>L2815*G2815</f>
        <v/>
      </c>
    </row>
    <row r="2816">
      <c r="A2816" s="12" t="inlineStr">
        <is>
          <t>PO-2022-2814</t>
        </is>
      </c>
      <c r="B2816" s="26" t="n">
        <v>44861</v>
      </c>
      <c r="C2816" s="12" t="inlineStr">
        <is>
          <t>VS02</t>
        </is>
      </c>
      <c r="D2816" s="12" t="inlineStr">
        <is>
          <t>MS Flats</t>
        </is>
      </c>
      <c r="E2816" s="12" t="inlineStr">
        <is>
          <t>N</t>
        </is>
      </c>
      <c r="F2816" s="12" t="n">
        <v>38.04</v>
      </c>
      <c r="G2816" s="17" t="n">
        <v>102975.24</v>
      </c>
      <c r="H2816" s="26" t="n">
        <v>44868</v>
      </c>
      <c r="I2816" s="26" t="n">
        <v>44869</v>
      </c>
      <c r="J2816" s="12" t="n">
        <v>37.9</v>
      </c>
      <c r="K2816" s="17" t="n">
        <v>3917178.13</v>
      </c>
      <c r="L2816" s="12" t="n">
        <v>0</v>
      </c>
      <c r="M2816" s="12" t="n">
        <v>0</v>
      </c>
      <c r="N2816" s="27">
        <f>F2816-J2816</f>
        <v/>
      </c>
      <c r="O2816" s="16">
        <f>I2816-H2816</f>
        <v/>
      </c>
      <c r="P2816" s="14">
        <f>F2816*G2816</f>
        <v/>
      </c>
      <c r="Q2816" s="14">
        <f>J2816*G2816</f>
        <v/>
      </c>
      <c r="R2816" s="14">
        <f>K2816-Q2816</f>
        <v/>
      </c>
      <c r="S2816" s="3">
        <f>P2816*Assumptions!$B$3/100</f>
        <v/>
      </c>
      <c r="T2816" s="14">
        <f>R2816-S2816</f>
        <v/>
      </c>
      <c r="U2816" s="14">
        <f>L2816*G2816</f>
        <v/>
      </c>
    </row>
    <row r="2817">
      <c r="A2817" s="12" t="inlineStr">
        <is>
          <t>PO-2022-2815</t>
        </is>
      </c>
      <c r="B2817" s="26" t="n">
        <v>44732</v>
      </c>
      <c r="C2817" s="12" t="inlineStr">
        <is>
          <t>VS15</t>
        </is>
      </c>
      <c r="D2817" s="12" t="inlineStr">
        <is>
          <t>MS Pipes</t>
        </is>
      </c>
      <c r="E2817" s="12" t="inlineStr">
        <is>
          <t>N</t>
        </is>
      </c>
      <c r="F2817" s="12" t="n">
        <v>10.51</v>
      </c>
      <c r="G2817" s="17" t="n">
        <v>92109.58</v>
      </c>
      <c r="H2817" s="26" t="n">
        <v>44736</v>
      </c>
      <c r="I2817" s="26" t="n">
        <v>44739</v>
      </c>
      <c r="J2817" s="12" t="n">
        <v>10.5</v>
      </c>
      <c r="K2817" s="17" t="n">
        <v>968071.6899999999</v>
      </c>
      <c r="L2817" s="12" t="n">
        <v>0</v>
      </c>
      <c r="M2817" s="12" t="n">
        <v>0</v>
      </c>
      <c r="N2817" s="27">
        <f>F2817-J2817</f>
        <v/>
      </c>
      <c r="O2817" s="16">
        <f>I2817-H2817</f>
        <v/>
      </c>
      <c r="P2817" s="14">
        <f>F2817*G2817</f>
        <v/>
      </c>
      <c r="Q2817" s="14">
        <f>J2817*G2817</f>
        <v/>
      </c>
      <c r="R2817" s="14">
        <f>K2817-Q2817</f>
        <v/>
      </c>
      <c r="S2817" s="3">
        <f>P2817*Assumptions!$B$3/100</f>
        <v/>
      </c>
      <c r="T2817" s="14">
        <f>R2817-S2817</f>
        <v/>
      </c>
      <c r="U2817" s="14">
        <f>L2817*G2817</f>
        <v/>
      </c>
    </row>
    <row r="2818">
      <c r="A2818" s="12" t="inlineStr">
        <is>
          <t>PO-2022-2816</t>
        </is>
      </c>
      <c r="B2818" s="26" t="n">
        <v>45246</v>
      </c>
      <c r="C2818" s="12" t="inlineStr">
        <is>
          <t>VS05</t>
        </is>
      </c>
      <c r="D2818" s="12" t="inlineStr">
        <is>
          <t>ERW Pipes</t>
        </is>
      </c>
      <c r="E2818" s="12" t="inlineStr">
        <is>
          <t>N</t>
        </is>
      </c>
      <c r="F2818" s="12" t="n">
        <v>45.78</v>
      </c>
      <c r="G2818" s="17" t="n">
        <v>89925.08</v>
      </c>
      <c r="H2818" s="26" t="n">
        <v>45251</v>
      </c>
      <c r="I2818" s="26" t="n">
        <v>45251</v>
      </c>
      <c r="J2818" s="12" t="n">
        <v>45.4</v>
      </c>
      <c r="K2818" s="17" t="n">
        <v>4116770.16</v>
      </c>
      <c r="L2818" s="12" t="n">
        <v>0</v>
      </c>
      <c r="M2818" s="12" t="n">
        <v>4</v>
      </c>
      <c r="N2818" s="27">
        <f>F2818-J2818</f>
        <v/>
      </c>
      <c r="O2818" s="16">
        <f>I2818-H2818</f>
        <v/>
      </c>
      <c r="P2818" s="14">
        <f>F2818*G2818</f>
        <v/>
      </c>
      <c r="Q2818" s="14">
        <f>J2818*G2818</f>
        <v/>
      </c>
      <c r="R2818" s="14">
        <f>K2818-Q2818</f>
        <v/>
      </c>
      <c r="S2818" s="3">
        <f>P2818*Assumptions!$B$3/100</f>
        <v/>
      </c>
      <c r="T2818" s="14">
        <f>R2818-S2818</f>
        <v/>
      </c>
      <c r="U2818" s="14">
        <f>L2818*G2818</f>
        <v/>
      </c>
    </row>
    <row r="2819">
      <c r="A2819" s="12" t="inlineStr">
        <is>
          <t>PO-2022-2817</t>
        </is>
      </c>
      <c r="B2819" s="26" t="n">
        <v>44293</v>
      </c>
      <c r="C2819" s="12" t="inlineStr">
        <is>
          <t>VS13</t>
        </is>
      </c>
      <c r="D2819" s="12" t="inlineStr">
        <is>
          <t>Hex Bars</t>
        </is>
      </c>
      <c r="E2819" s="12" t="inlineStr">
        <is>
          <t>N</t>
        </is>
      </c>
      <c r="F2819" s="12" t="n">
        <v>41.82</v>
      </c>
      <c r="G2819" s="17" t="n">
        <v>70021.14</v>
      </c>
      <c r="H2819" s="26" t="n">
        <v>44299</v>
      </c>
      <c r="I2819" s="26" t="n">
        <v>44299</v>
      </c>
      <c r="J2819" s="12" t="n">
        <v>41.78</v>
      </c>
      <c r="K2819" s="17" t="n">
        <v>2928284.07</v>
      </c>
      <c r="L2819" s="12" t="n">
        <v>0</v>
      </c>
      <c r="M2819" s="12" t="n">
        <v>0</v>
      </c>
      <c r="N2819" s="27">
        <f>F2819-J2819</f>
        <v/>
      </c>
      <c r="O2819" s="16">
        <f>I2819-H2819</f>
        <v/>
      </c>
      <c r="P2819" s="14">
        <f>F2819*G2819</f>
        <v/>
      </c>
      <c r="Q2819" s="14">
        <f>J2819*G2819</f>
        <v/>
      </c>
      <c r="R2819" s="14">
        <f>K2819-Q2819</f>
        <v/>
      </c>
      <c r="S2819" s="3">
        <f>P2819*Assumptions!$B$3/100</f>
        <v/>
      </c>
      <c r="T2819" s="14">
        <f>R2819-S2819</f>
        <v/>
      </c>
      <c r="U2819" s="14">
        <f>L2819*G2819</f>
        <v/>
      </c>
    </row>
    <row r="2820">
      <c r="A2820" s="12" t="inlineStr">
        <is>
          <t>PO-2022-2818</t>
        </is>
      </c>
      <c r="B2820" s="26" t="n">
        <v>44748</v>
      </c>
      <c r="C2820" s="12" t="inlineStr">
        <is>
          <t>VS03</t>
        </is>
      </c>
      <c r="D2820" s="12" t="inlineStr">
        <is>
          <t>SS Pipes</t>
        </is>
      </c>
      <c r="E2820" s="12" t="inlineStr">
        <is>
          <t>N</t>
        </is>
      </c>
      <c r="F2820" s="12" t="n">
        <v>42.09</v>
      </c>
      <c r="G2820" s="17" t="n">
        <v>63194.5</v>
      </c>
      <c r="H2820" s="26" t="n">
        <v>44755</v>
      </c>
      <c r="I2820" s="26" t="n">
        <v>44761</v>
      </c>
      <c r="J2820" s="12" t="n">
        <v>40.62</v>
      </c>
      <c r="K2820" s="17" t="n">
        <v>2659856.51</v>
      </c>
      <c r="L2820" s="12" t="n">
        <v>1.35</v>
      </c>
      <c r="M2820" s="12" t="n">
        <v>20</v>
      </c>
      <c r="N2820" s="27">
        <f>F2820-J2820</f>
        <v/>
      </c>
      <c r="O2820" s="16">
        <f>I2820-H2820</f>
        <v/>
      </c>
      <c r="P2820" s="14">
        <f>F2820*G2820</f>
        <v/>
      </c>
      <c r="Q2820" s="14">
        <f>J2820*G2820</f>
        <v/>
      </c>
      <c r="R2820" s="14">
        <f>K2820-Q2820</f>
        <v/>
      </c>
      <c r="S2820" s="3">
        <f>P2820*Assumptions!$B$3/100</f>
        <v/>
      </c>
      <c r="T2820" s="14">
        <f>R2820-S2820</f>
        <v/>
      </c>
      <c r="U2820" s="14">
        <f>L2820*G2820</f>
        <v/>
      </c>
    </row>
    <row r="2821">
      <c r="A2821" s="12" t="inlineStr">
        <is>
          <t>PO-2022-2819</t>
        </is>
      </c>
      <c r="B2821" s="26" t="n">
        <v>44377</v>
      </c>
      <c r="C2821" s="12" t="inlineStr">
        <is>
          <t>VS21</t>
        </is>
      </c>
      <c r="D2821" s="12" t="inlineStr">
        <is>
          <t>SS Sheets</t>
        </is>
      </c>
      <c r="E2821" s="12" t="inlineStr">
        <is>
          <t>Y</t>
        </is>
      </c>
      <c r="F2821" s="12" t="n">
        <v>23.23</v>
      </c>
      <c r="G2821" s="17" t="n">
        <v>69507.59</v>
      </c>
      <c r="H2821" s="26" t="n">
        <v>44385</v>
      </c>
      <c r="I2821" s="26" t="n">
        <v>44387</v>
      </c>
      <c r="J2821" s="12" t="n">
        <v>23.18</v>
      </c>
      <c r="K2821" s="17" t="n">
        <v>1614661.32</v>
      </c>
      <c r="L2821" s="12" t="n">
        <v>0</v>
      </c>
      <c r="M2821" s="12" t="n">
        <v>4</v>
      </c>
      <c r="N2821" s="27">
        <f>F2821-J2821</f>
        <v/>
      </c>
      <c r="O2821" s="16">
        <f>I2821-H2821</f>
        <v/>
      </c>
      <c r="P2821" s="14">
        <f>F2821*G2821</f>
        <v/>
      </c>
      <c r="Q2821" s="14">
        <f>J2821*G2821</f>
        <v/>
      </c>
      <c r="R2821" s="14">
        <f>K2821-Q2821</f>
        <v/>
      </c>
      <c r="S2821" s="3">
        <f>P2821*Assumptions!$B$3/100</f>
        <v/>
      </c>
      <c r="T2821" s="14">
        <f>R2821-S2821</f>
        <v/>
      </c>
      <c r="U2821" s="14">
        <f>L2821*G2821</f>
        <v/>
      </c>
    </row>
    <row r="2822">
      <c r="A2822" s="12" t="inlineStr">
        <is>
          <t>PO-2022-2820</t>
        </is>
      </c>
      <c r="B2822" s="26" t="n">
        <v>44611</v>
      </c>
      <c r="C2822" s="12" t="inlineStr">
        <is>
          <t>VS07</t>
        </is>
      </c>
      <c r="D2822" s="12" t="inlineStr">
        <is>
          <t>GI Sheets</t>
        </is>
      </c>
      <c r="E2822" s="12" t="inlineStr">
        <is>
          <t>N</t>
        </is>
      </c>
      <c r="F2822" s="12" t="n">
        <v>36.72</v>
      </c>
      <c r="G2822" s="17" t="n">
        <v>72458.25999999999</v>
      </c>
      <c r="H2822" s="26" t="n">
        <v>44617</v>
      </c>
      <c r="I2822" s="26" t="n">
        <v>44619</v>
      </c>
      <c r="J2822" s="12" t="n">
        <v>36.45</v>
      </c>
      <c r="K2822" s="17" t="n">
        <v>2660667.31</v>
      </c>
      <c r="L2822" s="12" t="n">
        <v>0</v>
      </c>
      <c r="M2822" s="12" t="n">
        <v>20</v>
      </c>
      <c r="N2822" s="27">
        <f>F2822-J2822</f>
        <v/>
      </c>
      <c r="O2822" s="16">
        <f>I2822-H2822</f>
        <v/>
      </c>
      <c r="P2822" s="14">
        <f>F2822*G2822</f>
        <v/>
      </c>
      <c r="Q2822" s="14">
        <f>J2822*G2822</f>
        <v/>
      </c>
      <c r="R2822" s="14">
        <f>K2822-Q2822</f>
        <v/>
      </c>
      <c r="S2822" s="3">
        <f>P2822*Assumptions!$B$3/100</f>
        <v/>
      </c>
      <c r="T2822" s="14">
        <f>R2822-S2822</f>
        <v/>
      </c>
      <c r="U2822" s="14">
        <f>L2822*G2822</f>
        <v/>
      </c>
    </row>
    <row r="2823">
      <c r="A2823" s="12" t="inlineStr">
        <is>
          <t>PO-2022-2821</t>
        </is>
      </c>
      <c r="B2823" s="26" t="n">
        <v>45056</v>
      </c>
      <c r="C2823" s="12" t="inlineStr">
        <is>
          <t>VS31</t>
        </is>
      </c>
      <c r="D2823" s="12" t="inlineStr">
        <is>
          <t>Hex Bars</t>
        </is>
      </c>
      <c r="E2823" s="12" t="inlineStr">
        <is>
          <t>N</t>
        </is>
      </c>
      <c r="F2823" s="12" t="n">
        <v>5.77</v>
      </c>
      <c r="G2823" s="17" t="n">
        <v>104910.28</v>
      </c>
      <c r="H2823" s="26" t="n">
        <v>45066</v>
      </c>
      <c r="I2823" s="26" t="n">
        <v>45069</v>
      </c>
      <c r="J2823" s="12" t="n">
        <v>5.73</v>
      </c>
      <c r="K2823" s="17" t="n">
        <v>605332.3199999999</v>
      </c>
      <c r="L2823" s="12" t="n">
        <v>0</v>
      </c>
      <c r="M2823" s="12" t="n">
        <v>0</v>
      </c>
      <c r="N2823" s="27">
        <f>F2823-J2823</f>
        <v/>
      </c>
      <c r="O2823" s="16">
        <f>I2823-H2823</f>
        <v/>
      </c>
      <c r="P2823" s="14">
        <f>F2823*G2823</f>
        <v/>
      </c>
      <c r="Q2823" s="14">
        <f>J2823*G2823</f>
        <v/>
      </c>
      <c r="R2823" s="14">
        <f>K2823-Q2823</f>
        <v/>
      </c>
      <c r="S2823" s="3">
        <f>P2823*Assumptions!$B$3/100</f>
        <v/>
      </c>
      <c r="T2823" s="14">
        <f>R2823-S2823</f>
        <v/>
      </c>
      <c r="U2823" s="14">
        <f>L2823*G2823</f>
        <v/>
      </c>
    </row>
    <row r="2824">
      <c r="A2824" s="12" t="inlineStr">
        <is>
          <t>PO-2022-2822</t>
        </is>
      </c>
      <c r="B2824" s="26" t="n">
        <v>44846</v>
      </c>
      <c r="C2824" s="12" t="inlineStr">
        <is>
          <t>VS03</t>
        </is>
      </c>
      <c r="D2824" s="12" t="inlineStr">
        <is>
          <t>MS Pipes</t>
        </is>
      </c>
      <c r="E2824" s="12" t="inlineStr">
        <is>
          <t>N</t>
        </is>
      </c>
      <c r="F2824" s="12" t="n">
        <v>48.03</v>
      </c>
      <c r="G2824" s="17" t="n">
        <v>67528.85000000001</v>
      </c>
      <c r="H2824" s="26" t="n">
        <v>44851</v>
      </c>
      <c r="I2824" s="26" t="n">
        <v>44855</v>
      </c>
      <c r="J2824" s="12" t="n">
        <v>46.67</v>
      </c>
      <c r="K2824" s="17" t="n">
        <v>3243410.67</v>
      </c>
      <c r="L2824" s="12" t="n">
        <v>0.92</v>
      </c>
      <c r="M2824" s="12" t="n">
        <v>5</v>
      </c>
      <c r="N2824" s="27">
        <f>F2824-J2824</f>
        <v/>
      </c>
      <c r="O2824" s="16">
        <f>I2824-H2824</f>
        <v/>
      </c>
      <c r="P2824" s="14">
        <f>F2824*G2824</f>
        <v/>
      </c>
      <c r="Q2824" s="14">
        <f>J2824*G2824</f>
        <v/>
      </c>
      <c r="R2824" s="14">
        <f>K2824-Q2824</f>
        <v/>
      </c>
      <c r="S2824" s="3">
        <f>P2824*Assumptions!$B$3/100</f>
        <v/>
      </c>
      <c r="T2824" s="14">
        <f>R2824-S2824</f>
        <v/>
      </c>
      <c r="U2824" s="14">
        <f>L2824*G2824</f>
        <v/>
      </c>
    </row>
    <row r="2825">
      <c r="A2825" s="12" t="inlineStr">
        <is>
          <t>PO-2022-2823</t>
        </is>
      </c>
      <c r="B2825" s="26" t="n">
        <v>44420</v>
      </c>
      <c r="C2825" s="12" t="inlineStr">
        <is>
          <t>VS19</t>
        </is>
      </c>
      <c r="D2825" s="12" t="inlineStr">
        <is>
          <t>SS Pipes</t>
        </is>
      </c>
      <c r="E2825" s="12" t="inlineStr">
        <is>
          <t>N</t>
        </is>
      </c>
      <c r="F2825" s="12" t="n">
        <v>2.72</v>
      </c>
      <c r="G2825" s="17" t="n">
        <v>74401.03999999999</v>
      </c>
      <c r="H2825" s="26" t="n">
        <v>44430</v>
      </c>
      <c r="I2825" s="26" t="n">
        <v>44433</v>
      </c>
      <c r="J2825" s="12" t="n">
        <v>2.64</v>
      </c>
      <c r="K2825" s="17" t="n">
        <v>202370.83</v>
      </c>
      <c r="L2825" s="12" t="n">
        <v>0.08</v>
      </c>
      <c r="M2825" s="12" t="n">
        <v>0</v>
      </c>
      <c r="N2825" s="27">
        <f>F2825-J2825</f>
        <v/>
      </c>
      <c r="O2825" s="16">
        <f>I2825-H2825</f>
        <v/>
      </c>
      <c r="P2825" s="14">
        <f>F2825*G2825</f>
        <v/>
      </c>
      <c r="Q2825" s="14">
        <f>J2825*G2825</f>
        <v/>
      </c>
      <c r="R2825" s="14">
        <f>K2825-Q2825</f>
        <v/>
      </c>
      <c r="S2825" s="3">
        <f>P2825*Assumptions!$B$3/100</f>
        <v/>
      </c>
      <c r="T2825" s="14">
        <f>R2825-S2825</f>
        <v/>
      </c>
      <c r="U2825" s="14">
        <f>L2825*G2825</f>
        <v/>
      </c>
    </row>
    <row r="2826">
      <c r="A2826" s="12" t="inlineStr">
        <is>
          <t>PO-2022-2824</t>
        </is>
      </c>
      <c r="B2826" s="26" t="n">
        <v>44981</v>
      </c>
      <c r="C2826" s="12" t="inlineStr">
        <is>
          <t>VS34</t>
        </is>
      </c>
      <c r="D2826" s="12" t="inlineStr">
        <is>
          <t>ERW Pipes</t>
        </is>
      </c>
      <c r="E2826" s="12" t="inlineStr">
        <is>
          <t>N</t>
        </is>
      </c>
      <c r="F2826" s="12" t="n">
        <v>35.11</v>
      </c>
      <c r="G2826" s="17" t="n">
        <v>84279.07000000001</v>
      </c>
      <c r="H2826" s="26" t="n">
        <v>44992</v>
      </c>
      <c r="I2826" s="26" t="n">
        <v>44995</v>
      </c>
      <c r="J2826" s="12" t="n">
        <v>34.99</v>
      </c>
      <c r="K2826" s="17" t="n">
        <v>2959038.15</v>
      </c>
      <c r="L2826" s="12" t="n">
        <v>0</v>
      </c>
      <c r="M2826" s="12" t="n">
        <v>19</v>
      </c>
      <c r="N2826" s="27">
        <f>F2826-J2826</f>
        <v/>
      </c>
      <c r="O2826" s="16">
        <f>I2826-H2826</f>
        <v/>
      </c>
      <c r="P2826" s="14">
        <f>F2826*G2826</f>
        <v/>
      </c>
      <c r="Q2826" s="14">
        <f>J2826*G2826</f>
        <v/>
      </c>
      <c r="R2826" s="14">
        <f>K2826-Q2826</f>
        <v/>
      </c>
      <c r="S2826" s="3">
        <f>P2826*Assumptions!$B$3/100</f>
        <v/>
      </c>
      <c r="T2826" s="14">
        <f>R2826-S2826</f>
        <v/>
      </c>
      <c r="U2826" s="14">
        <f>L2826*G2826</f>
        <v/>
      </c>
    </row>
    <row r="2827">
      <c r="A2827" s="12" t="inlineStr">
        <is>
          <t>PO-2022-2825</t>
        </is>
      </c>
      <c r="B2827" s="26" t="n">
        <v>44320</v>
      </c>
      <c r="C2827" s="12" t="inlineStr">
        <is>
          <t>VS09</t>
        </is>
      </c>
      <c r="D2827" s="12" t="inlineStr">
        <is>
          <t>Structural Steel</t>
        </is>
      </c>
      <c r="E2827" s="12" t="inlineStr">
        <is>
          <t>N</t>
        </is>
      </c>
      <c r="F2827" s="12" t="n">
        <v>1.33</v>
      </c>
      <c r="G2827" s="17" t="n">
        <v>72073.99000000001</v>
      </c>
      <c r="H2827" s="26" t="n">
        <v>44326</v>
      </c>
      <c r="I2827" s="26" t="n">
        <v>44327</v>
      </c>
      <c r="J2827" s="12" t="n">
        <v>1.33</v>
      </c>
      <c r="K2827" s="17" t="n">
        <v>95858.41</v>
      </c>
      <c r="L2827" s="12" t="n">
        <v>0</v>
      </c>
      <c r="M2827" s="12" t="n">
        <v>16</v>
      </c>
      <c r="N2827" s="27">
        <f>F2827-J2827</f>
        <v/>
      </c>
      <c r="O2827" s="16">
        <f>I2827-H2827</f>
        <v/>
      </c>
      <c r="P2827" s="14">
        <f>F2827*G2827</f>
        <v/>
      </c>
      <c r="Q2827" s="14">
        <f>J2827*G2827</f>
        <v/>
      </c>
      <c r="R2827" s="14">
        <f>K2827-Q2827</f>
        <v/>
      </c>
      <c r="S2827" s="3">
        <f>P2827*Assumptions!$B$3/100</f>
        <v/>
      </c>
      <c r="T2827" s="14">
        <f>R2827-S2827</f>
        <v/>
      </c>
      <c r="U2827" s="14">
        <f>L2827*G2827</f>
        <v/>
      </c>
    </row>
    <row r="2828">
      <c r="A2828" s="12" t="inlineStr">
        <is>
          <t>PO-2022-2826</t>
        </is>
      </c>
      <c r="B2828" s="26" t="n">
        <v>45250</v>
      </c>
      <c r="C2828" s="12" t="inlineStr">
        <is>
          <t>VS34</t>
        </is>
      </c>
      <c r="D2828" s="12" t="inlineStr">
        <is>
          <t>Spring Steel</t>
        </is>
      </c>
      <c r="E2828" s="12" t="inlineStr">
        <is>
          <t>N</t>
        </is>
      </c>
      <c r="F2828" s="12" t="n">
        <v>42.97</v>
      </c>
      <c r="G2828" s="17" t="n">
        <v>71123.72</v>
      </c>
      <c r="H2828" s="26" t="n">
        <v>45255</v>
      </c>
      <c r="I2828" s="26" t="n">
        <v>45258</v>
      </c>
      <c r="J2828" s="12" t="n">
        <v>42.65</v>
      </c>
      <c r="K2828" s="17" t="n">
        <v>3056186.25</v>
      </c>
      <c r="L2828" s="12" t="n">
        <v>0</v>
      </c>
      <c r="M2828" s="12" t="n">
        <v>4</v>
      </c>
      <c r="N2828" s="27">
        <f>F2828-J2828</f>
        <v/>
      </c>
      <c r="O2828" s="16">
        <f>I2828-H2828</f>
        <v/>
      </c>
      <c r="P2828" s="14">
        <f>F2828*G2828</f>
        <v/>
      </c>
      <c r="Q2828" s="14">
        <f>J2828*G2828</f>
        <v/>
      </c>
      <c r="R2828" s="14">
        <f>K2828-Q2828</f>
        <v/>
      </c>
      <c r="S2828" s="3">
        <f>P2828*Assumptions!$B$3/100</f>
        <v/>
      </c>
      <c r="T2828" s="14">
        <f>R2828-S2828</f>
        <v/>
      </c>
      <c r="U2828" s="14">
        <f>L2828*G2828</f>
        <v/>
      </c>
    </row>
    <row r="2829">
      <c r="A2829" s="12" t="inlineStr">
        <is>
          <t>PO-2022-2827</t>
        </is>
      </c>
      <c r="B2829" s="26" t="n">
        <v>44477</v>
      </c>
      <c r="C2829" s="12" t="inlineStr">
        <is>
          <t>VS22</t>
        </is>
      </c>
      <c r="D2829" s="12" t="inlineStr">
        <is>
          <t>Spring Steel</t>
        </is>
      </c>
      <c r="E2829" s="12" t="inlineStr">
        <is>
          <t>N</t>
        </is>
      </c>
      <c r="F2829" s="12" t="n">
        <v>40.65</v>
      </c>
      <c r="G2829" s="17" t="n">
        <v>105704.38</v>
      </c>
      <c r="H2829" s="26" t="n">
        <v>44486</v>
      </c>
      <c r="I2829" s="26" t="n">
        <v>44487</v>
      </c>
      <c r="J2829" s="12" t="n">
        <v>40.59</v>
      </c>
      <c r="K2829" s="17" t="n">
        <v>4296883.05</v>
      </c>
      <c r="L2829" s="12" t="n">
        <v>0</v>
      </c>
      <c r="M2829" s="12" t="n">
        <v>22</v>
      </c>
      <c r="N2829" s="27">
        <f>F2829-J2829</f>
        <v/>
      </c>
      <c r="O2829" s="16">
        <f>I2829-H2829</f>
        <v/>
      </c>
      <c r="P2829" s="14">
        <f>F2829*G2829</f>
        <v/>
      </c>
      <c r="Q2829" s="14">
        <f>J2829*G2829</f>
        <v/>
      </c>
      <c r="R2829" s="14">
        <f>K2829-Q2829</f>
        <v/>
      </c>
      <c r="S2829" s="3">
        <f>P2829*Assumptions!$B$3/100</f>
        <v/>
      </c>
      <c r="T2829" s="14">
        <f>R2829-S2829</f>
        <v/>
      </c>
      <c r="U2829" s="14">
        <f>L2829*G2829</f>
        <v/>
      </c>
    </row>
    <row r="2830">
      <c r="A2830" s="12" t="inlineStr">
        <is>
          <t>PO-2022-2828</t>
        </is>
      </c>
      <c r="B2830" s="26" t="n">
        <v>45049</v>
      </c>
      <c r="C2830" s="12" t="inlineStr">
        <is>
          <t>VS04</t>
        </is>
      </c>
      <c r="D2830" s="12" t="inlineStr">
        <is>
          <t>MS Flats</t>
        </is>
      </c>
      <c r="E2830" s="12" t="inlineStr">
        <is>
          <t>N</t>
        </is>
      </c>
      <c r="F2830" s="12" t="n">
        <v>43.34</v>
      </c>
      <c r="G2830" s="17" t="n">
        <v>88767.53</v>
      </c>
      <c r="H2830" s="26" t="n">
        <v>45058</v>
      </c>
      <c r="I2830" s="26" t="n">
        <v>45061</v>
      </c>
      <c r="J2830" s="12" t="n">
        <v>43.18</v>
      </c>
      <c r="K2830" s="17" t="n">
        <v>3847184.75</v>
      </c>
      <c r="L2830" s="12" t="n">
        <v>0</v>
      </c>
      <c r="M2830" s="12" t="n">
        <v>0</v>
      </c>
      <c r="N2830" s="27">
        <f>F2830-J2830</f>
        <v/>
      </c>
      <c r="O2830" s="16">
        <f>I2830-H2830</f>
        <v/>
      </c>
      <c r="P2830" s="14">
        <f>F2830*G2830</f>
        <v/>
      </c>
      <c r="Q2830" s="14">
        <f>J2830*G2830</f>
        <v/>
      </c>
      <c r="R2830" s="14">
        <f>K2830-Q2830</f>
        <v/>
      </c>
      <c r="S2830" s="3">
        <f>P2830*Assumptions!$B$3/100</f>
        <v/>
      </c>
      <c r="T2830" s="14">
        <f>R2830-S2830</f>
        <v/>
      </c>
      <c r="U2830" s="14">
        <f>L2830*G2830</f>
        <v/>
      </c>
    </row>
    <row r="2831">
      <c r="A2831" s="12" t="inlineStr">
        <is>
          <t>PO-2022-2829</t>
        </is>
      </c>
      <c r="B2831" s="26" t="n">
        <v>45118</v>
      </c>
      <c r="C2831" s="12" t="inlineStr">
        <is>
          <t>VS29</t>
        </is>
      </c>
      <c r="D2831" s="12" t="inlineStr">
        <is>
          <t>CR Sheets</t>
        </is>
      </c>
      <c r="E2831" s="12" t="inlineStr">
        <is>
          <t>N</t>
        </is>
      </c>
      <c r="F2831" s="12" t="n">
        <v>15.63</v>
      </c>
      <c r="G2831" s="17" t="n">
        <v>57569.24</v>
      </c>
      <c r="H2831" s="26" t="n">
        <v>45128</v>
      </c>
      <c r="I2831" s="26" t="n">
        <v>45128</v>
      </c>
      <c r="J2831" s="12" t="n">
        <v>15.54</v>
      </c>
      <c r="K2831" s="17" t="n">
        <v>899807.22</v>
      </c>
      <c r="L2831" s="12" t="n">
        <v>0</v>
      </c>
      <c r="M2831" s="12" t="n">
        <v>2</v>
      </c>
      <c r="N2831" s="27">
        <f>F2831-J2831</f>
        <v/>
      </c>
      <c r="O2831" s="16">
        <f>I2831-H2831</f>
        <v/>
      </c>
      <c r="P2831" s="14">
        <f>F2831*G2831</f>
        <v/>
      </c>
      <c r="Q2831" s="14">
        <f>J2831*G2831</f>
        <v/>
      </c>
      <c r="R2831" s="14">
        <f>K2831-Q2831</f>
        <v/>
      </c>
      <c r="S2831" s="3">
        <f>P2831*Assumptions!$B$3/100</f>
        <v/>
      </c>
      <c r="T2831" s="14">
        <f>R2831-S2831</f>
        <v/>
      </c>
      <c r="U2831" s="14">
        <f>L2831*G2831</f>
        <v/>
      </c>
    </row>
    <row r="2832">
      <c r="A2832" s="12" t="inlineStr">
        <is>
          <t>PO-2022-2830</t>
        </is>
      </c>
      <c r="B2832" s="26" t="n">
        <v>44888</v>
      </c>
      <c r="C2832" s="12" t="inlineStr">
        <is>
          <t>VS33</t>
        </is>
      </c>
      <c r="D2832" s="12" t="inlineStr">
        <is>
          <t>MS Flats</t>
        </is>
      </c>
      <c r="E2832" s="12" t="inlineStr">
        <is>
          <t>Y</t>
        </is>
      </c>
      <c r="F2832" s="12" t="n">
        <v>49.17</v>
      </c>
      <c r="G2832" s="17" t="n">
        <v>111987.82</v>
      </c>
      <c r="H2832" s="26" t="n">
        <v>44895</v>
      </c>
      <c r="I2832" s="26" t="n">
        <v>44896</v>
      </c>
      <c r="J2832" s="12" t="n">
        <v>48.81</v>
      </c>
      <c r="K2832" s="17" t="n">
        <v>5506441.11</v>
      </c>
      <c r="L2832" s="12" t="n">
        <v>0</v>
      </c>
      <c r="M2832" s="12" t="n">
        <v>3</v>
      </c>
      <c r="N2832" s="27">
        <f>F2832-J2832</f>
        <v/>
      </c>
      <c r="O2832" s="16">
        <f>I2832-H2832</f>
        <v/>
      </c>
      <c r="P2832" s="14">
        <f>F2832*G2832</f>
        <v/>
      </c>
      <c r="Q2832" s="14">
        <f>J2832*G2832</f>
        <v/>
      </c>
      <c r="R2832" s="14">
        <f>K2832-Q2832</f>
        <v/>
      </c>
      <c r="S2832" s="3">
        <f>P2832*Assumptions!$B$3/100</f>
        <v/>
      </c>
      <c r="T2832" s="14">
        <f>R2832-S2832</f>
        <v/>
      </c>
      <c r="U2832" s="14">
        <f>L2832*G2832</f>
        <v/>
      </c>
    </row>
    <row r="2833">
      <c r="A2833" s="12" t="inlineStr">
        <is>
          <t>PO-2022-2831</t>
        </is>
      </c>
      <c r="B2833" s="26" t="n">
        <v>44892</v>
      </c>
      <c r="C2833" s="12" t="inlineStr">
        <is>
          <t>VS28</t>
        </is>
      </c>
      <c r="D2833" s="12" t="inlineStr">
        <is>
          <t>Angles &amp; Channels</t>
        </is>
      </c>
      <c r="E2833" s="12" t="inlineStr">
        <is>
          <t>N</t>
        </is>
      </c>
      <c r="F2833" s="12" t="n">
        <v>40.03</v>
      </c>
      <c r="G2833" s="17" t="n">
        <v>68799.55</v>
      </c>
      <c r="H2833" s="26" t="n">
        <v>44906</v>
      </c>
      <c r="I2833" s="26" t="n">
        <v>44906</v>
      </c>
      <c r="J2833" s="12" t="n">
        <v>39.73</v>
      </c>
      <c r="K2833" s="17" t="n">
        <v>2754045.99</v>
      </c>
      <c r="L2833" s="12" t="n">
        <v>0</v>
      </c>
      <c r="M2833" s="12" t="n">
        <v>0</v>
      </c>
      <c r="N2833" s="27">
        <f>F2833-J2833</f>
        <v/>
      </c>
      <c r="O2833" s="16">
        <f>I2833-H2833</f>
        <v/>
      </c>
      <c r="P2833" s="14">
        <f>F2833*G2833</f>
        <v/>
      </c>
      <c r="Q2833" s="14">
        <f>J2833*G2833</f>
        <v/>
      </c>
      <c r="R2833" s="14">
        <f>K2833-Q2833</f>
        <v/>
      </c>
      <c r="S2833" s="3">
        <f>P2833*Assumptions!$B$3/100</f>
        <v/>
      </c>
      <c r="T2833" s="14">
        <f>R2833-S2833</f>
        <v/>
      </c>
      <c r="U2833" s="14">
        <f>L2833*G2833</f>
        <v/>
      </c>
    </row>
    <row r="2834">
      <c r="A2834" s="12" t="inlineStr">
        <is>
          <t>PO-2022-2832</t>
        </is>
      </c>
      <c r="B2834" s="26" t="n">
        <v>44786</v>
      </c>
      <c r="C2834" s="12" t="inlineStr">
        <is>
          <t>VS12</t>
        </is>
      </c>
      <c r="D2834" s="12" t="inlineStr">
        <is>
          <t>Hex Bars</t>
        </is>
      </c>
      <c r="E2834" s="12" t="inlineStr">
        <is>
          <t>N</t>
        </is>
      </c>
      <c r="F2834" s="12" t="n">
        <v>7.32</v>
      </c>
      <c r="G2834" s="17" t="n">
        <v>121524.4</v>
      </c>
      <c r="H2834" s="26" t="n">
        <v>44790</v>
      </c>
      <c r="I2834" s="26" t="n">
        <v>44794</v>
      </c>
      <c r="J2834" s="12" t="n">
        <v>7.04</v>
      </c>
      <c r="K2834" s="17" t="n">
        <v>889558.61</v>
      </c>
      <c r="L2834" s="12" t="n">
        <v>0.07000000000000001</v>
      </c>
      <c r="M2834" s="12" t="n">
        <v>0</v>
      </c>
      <c r="N2834" s="27">
        <f>F2834-J2834</f>
        <v/>
      </c>
      <c r="O2834" s="16">
        <f>I2834-H2834</f>
        <v/>
      </c>
      <c r="P2834" s="14">
        <f>F2834*G2834</f>
        <v/>
      </c>
      <c r="Q2834" s="14">
        <f>J2834*G2834</f>
        <v/>
      </c>
      <c r="R2834" s="14">
        <f>K2834-Q2834</f>
        <v/>
      </c>
      <c r="S2834" s="3">
        <f>P2834*Assumptions!$B$3/100</f>
        <v/>
      </c>
      <c r="T2834" s="14">
        <f>R2834-S2834</f>
        <v/>
      </c>
      <c r="U2834" s="14">
        <f>L2834*G2834</f>
        <v/>
      </c>
    </row>
    <row r="2835">
      <c r="A2835" s="12" t="inlineStr">
        <is>
          <t>PO-2022-2833</t>
        </is>
      </c>
      <c r="B2835" s="26" t="n">
        <v>44366</v>
      </c>
      <c r="C2835" s="12" t="inlineStr">
        <is>
          <t>VS28</t>
        </is>
      </c>
      <c r="D2835" s="12" t="inlineStr">
        <is>
          <t>MS Flats</t>
        </is>
      </c>
      <c r="E2835" s="12" t="inlineStr">
        <is>
          <t>N</t>
        </is>
      </c>
      <c r="F2835" s="12" t="n">
        <v>2.24</v>
      </c>
      <c r="G2835" s="17" t="n">
        <v>114943.09</v>
      </c>
      <c r="H2835" s="26" t="n">
        <v>44369</v>
      </c>
      <c r="I2835" s="26" t="n">
        <v>44371</v>
      </c>
      <c r="J2835" s="12" t="n">
        <v>2.22</v>
      </c>
      <c r="K2835" s="17" t="n">
        <v>257472.52</v>
      </c>
      <c r="L2835" s="12" t="n">
        <v>0</v>
      </c>
      <c r="M2835" s="12" t="n">
        <v>4</v>
      </c>
      <c r="N2835" s="27">
        <f>F2835-J2835</f>
        <v/>
      </c>
      <c r="O2835" s="16">
        <f>I2835-H2835</f>
        <v/>
      </c>
      <c r="P2835" s="14">
        <f>F2835*G2835</f>
        <v/>
      </c>
      <c r="Q2835" s="14">
        <f>J2835*G2835</f>
        <v/>
      </c>
      <c r="R2835" s="14">
        <f>K2835-Q2835</f>
        <v/>
      </c>
      <c r="S2835" s="3">
        <f>P2835*Assumptions!$B$3/100</f>
        <v/>
      </c>
      <c r="T2835" s="14">
        <f>R2835-S2835</f>
        <v/>
      </c>
      <c r="U2835" s="14">
        <f>L2835*G2835</f>
        <v/>
      </c>
    </row>
    <row r="2836">
      <c r="A2836" s="12" t="inlineStr">
        <is>
          <t>PO-2022-2834</t>
        </is>
      </c>
      <c r="B2836" s="26" t="n">
        <v>44277</v>
      </c>
      <c r="C2836" s="12" t="inlineStr">
        <is>
          <t>VS03</t>
        </is>
      </c>
      <c r="D2836" s="12" t="inlineStr">
        <is>
          <t>Square/Rect Tubes</t>
        </is>
      </c>
      <c r="E2836" s="12" t="inlineStr">
        <is>
          <t>N</t>
        </is>
      </c>
      <c r="F2836" s="12" t="n">
        <v>40.28</v>
      </c>
      <c r="G2836" s="17" t="n">
        <v>75855.28</v>
      </c>
      <c r="H2836" s="26" t="n">
        <v>44283</v>
      </c>
      <c r="I2836" s="26" t="n">
        <v>44288</v>
      </c>
      <c r="J2836" s="12" t="n">
        <v>38.47</v>
      </c>
      <c r="K2836" s="17" t="n">
        <v>3055450.68</v>
      </c>
      <c r="L2836" s="12" t="n">
        <v>1.67</v>
      </c>
      <c r="M2836" s="12" t="n">
        <v>0</v>
      </c>
      <c r="N2836" s="27">
        <f>F2836-J2836</f>
        <v/>
      </c>
      <c r="O2836" s="16">
        <f>I2836-H2836</f>
        <v/>
      </c>
      <c r="P2836" s="14">
        <f>F2836*G2836</f>
        <v/>
      </c>
      <c r="Q2836" s="14">
        <f>J2836*G2836</f>
        <v/>
      </c>
      <c r="R2836" s="14">
        <f>K2836-Q2836</f>
        <v/>
      </c>
      <c r="S2836" s="3">
        <f>P2836*Assumptions!$B$3/100</f>
        <v/>
      </c>
      <c r="T2836" s="14">
        <f>R2836-S2836</f>
        <v/>
      </c>
      <c r="U2836" s="14">
        <f>L2836*G2836</f>
        <v/>
      </c>
    </row>
    <row r="2837">
      <c r="A2837" s="12" t="inlineStr">
        <is>
          <t>PO-2022-2835</t>
        </is>
      </c>
      <c r="B2837" s="26" t="n">
        <v>44672</v>
      </c>
      <c r="C2837" s="12" t="inlineStr">
        <is>
          <t>VS05</t>
        </is>
      </c>
      <c r="D2837" s="12" t="inlineStr">
        <is>
          <t>HR Coils</t>
        </is>
      </c>
      <c r="E2837" s="12" t="inlineStr">
        <is>
          <t>N</t>
        </is>
      </c>
      <c r="F2837" s="12" t="n">
        <v>7.43</v>
      </c>
      <c r="G2837" s="17" t="n">
        <v>110802.88</v>
      </c>
      <c r="H2837" s="26" t="n">
        <v>44676</v>
      </c>
      <c r="I2837" s="26" t="n">
        <v>44679</v>
      </c>
      <c r="J2837" s="12" t="n">
        <v>7.37</v>
      </c>
      <c r="K2837" s="17" t="n">
        <v>823265.4</v>
      </c>
      <c r="L2837" s="12" t="n">
        <v>0</v>
      </c>
      <c r="M2837" s="12" t="n">
        <v>0</v>
      </c>
      <c r="N2837" s="27">
        <f>F2837-J2837</f>
        <v/>
      </c>
      <c r="O2837" s="16">
        <f>I2837-H2837</f>
        <v/>
      </c>
      <c r="P2837" s="14">
        <f>F2837*G2837</f>
        <v/>
      </c>
      <c r="Q2837" s="14">
        <f>J2837*G2837</f>
        <v/>
      </c>
      <c r="R2837" s="14">
        <f>K2837-Q2837</f>
        <v/>
      </c>
      <c r="S2837" s="3">
        <f>P2837*Assumptions!$B$3/100</f>
        <v/>
      </c>
      <c r="T2837" s="14">
        <f>R2837-S2837</f>
        <v/>
      </c>
      <c r="U2837" s="14">
        <f>L2837*G2837</f>
        <v/>
      </c>
    </row>
    <row r="2838">
      <c r="A2838" s="12" t="inlineStr">
        <is>
          <t>PO-2022-2836</t>
        </is>
      </c>
      <c r="B2838" s="26" t="n">
        <v>44864</v>
      </c>
      <c r="C2838" s="12" t="inlineStr">
        <is>
          <t>VS21</t>
        </is>
      </c>
      <c r="D2838" s="12" t="inlineStr">
        <is>
          <t>SS Pipes</t>
        </is>
      </c>
      <c r="E2838" s="12" t="inlineStr">
        <is>
          <t>N</t>
        </is>
      </c>
      <c r="F2838" s="12" t="n">
        <v>11.21</v>
      </c>
      <c r="G2838" s="17" t="n">
        <v>69298.24000000001</v>
      </c>
      <c r="H2838" s="26" t="n">
        <v>44874</v>
      </c>
      <c r="I2838" s="26" t="n">
        <v>44875</v>
      </c>
      <c r="J2838" s="12" t="n">
        <v>11.14</v>
      </c>
      <c r="K2838" s="17" t="n">
        <v>776833.27</v>
      </c>
      <c r="L2838" s="12" t="n">
        <v>0</v>
      </c>
      <c r="M2838" s="12" t="n">
        <v>2</v>
      </c>
      <c r="N2838" s="27">
        <f>F2838-J2838</f>
        <v/>
      </c>
      <c r="O2838" s="16">
        <f>I2838-H2838</f>
        <v/>
      </c>
      <c r="P2838" s="14">
        <f>F2838*G2838</f>
        <v/>
      </c>
      <c r="Q2838" s="14">
        <f>J2838*G2838</f>
        <v/>
      </c>
      <c r="R2838" s="14">
        <f>K2838-Q2838</f>
        <v/>
      </c>
      <c r="S2838" s="3">
        <f>P2838*Assumptions!$B$3/100</f>
        <v/>
      </c>
      <c r="T2838" s="14">
        <f>R2838-S2838</f>
        <v/>
      </c>
      <c r="U2838" s="14">
        <f>L2838*G2838</f>
        <v/>
      </c>
    </row>
    <row r="2839">
      <c r="A2839" s="12" t="inlineStr">
        <is>
          <t>PO-2022-2837</t>
        </is>
      </c>
      <c r="B2839" s="26" t="n">
        <v>44266</v>
      </c>
      <c r="C2839" s="12" t="inlineStr">
        <is>
          <t>VS34</t>
        </is>
      </c>
      <c r="D2839" s="12" t="inlineStr">
        <is>
          <t>GI Sheets</t>
        </is>
      </c>
      <c r="E2839" s="12" t="inlineStr">
        <is>
          <t>N</t>
        </is>
      </c>
      <c r="F2839" s="12" t="n">
        <v>32.04</v>
      </c>
      <c r="G2839" s="17" t="n">
        <v>76926.21000000001</v>
      </c>
      <c r="H2839" s="26" t="n">
        <v>44280</v>
      </c>
      <c r="I2839" s="26" t="n">
        <v>44282</v>
      </c>
      <c r="J2839" s="12" t="n">
        <v>31.81</v>
      </c>
      <c r="K2839" s="17" t="n">
        <v>2464715.77</v>
      </c>
      <c r="L2839" s="12" t="n">
        <v>0</v>
      </c>
      <c r="M2839" s="12" t="n">
        <v>17</v>
      </c>
      <c r="N2839" s="27">
        <f>F2839-J2839</f>
        <v/>
      </c>
      <c r="O2839" s="16">
        <f>I2839-H2839</f>
        <v/>
      </c>
      <c r="P2839" s="14">
        <f>F2839*G2839</f>
        <v/>
      </c>
      <c r="Q2839" s="14">
        <f>J2839*G2839</f>
        <v/>
      </c>
      <c r="R2839" s="14">
        <f>K2839-Q2839</f>
        <v/>
      </c>
      <c r="S2839" s="3">
        <f>P2839*Assumptions!$B$3/100</f>
        <v/>
      </c>
      <c r="T2839" s="14">
        <f>R2839-S2839</f>
        <v/>
      </c>
      <c r="U2839" s="14">
        <f>L2839*G2839</f>
        <v/>
      </c>
    </row>
    <row r="2840">
      <c r="A2840" s="12" t="inlineStr">
        <is>
          <t>PO-2022-2838</t>
        </is>
      </c>
      <c r="B2840" s="26" t="n">
        <v>44570</v>
      </c>
      <c r="C2840" s="12" t="inlineStr">
        <is>
          <t>VS07</t>
        </is>
      </c>
      <c r="D2840" s="12" t="inlineStr">
        <is>
          <t>SS Sheets</t>
        </is>
      </c>
      <c r="E2840" s="12" t="inlineStr">
        <is>
          <t>N</t>
        </is>
      </c>
      <c r="F2840" s="12" t="n">
        <v>15.86</v>
      </c>
      <c r="G2840" s="17" t="n">
        <v>108834.16</v>
      </c>
      <c r="H2840" s="26" t="n">
        <v>44581</v>
      </c>
      <c r="I2840" s="26" t="n">
        <v>44583</v>
      </c>
      <c r="J2840" s="12" t="n">
        <v>15.83</v>
      </c>
      <c r="K2840" s="17" t="n">
        <v>1726109.78</v>
      </c>
      <c r="L2840" s="12" t="n">
        <v>0</v>
      </c>
      <c r="M2840" s="12" t="n">
        <v>25</v>
      </c>
      <c r="N2840" s="27">
        <f>F2840-J2840</f>
        <v/>
      </c>
      <c r="O2840" s="16">
        <f>I2840-H2840</f>
        <v/>
      </c>
      <c r="P2840" s="14">
        <f>F2840*G2840</f>
        <v/>
      </c>
      <c r="Q2840" s="14">
        <f>J2840*G2840</f>
        <v/>
      </c>
      <c r="R2840" s="14">
        <f>K2840-Q2840</f>
        <v/>
      </c>
      <c r="S2840" s="3">
        <f>P2840*Assumptions!$B$3/100</f>
        <v/>
      </c>
      <c r="T2840" s="14">
        <f>R2840-S2840</f>
        <v/>
      </c>
      <c r="U2840" s="14">
        <f>L2840*G2840</f>
        <v/>
      </c>
    </row>
    <row r="2841">
      <c r="A2841" s="12" t="inlineStr">
        <is>
          <t>PO-2022-2839</t>
        </is>
      </c>
      <c r="B2841" s="26" t="n">
        <v>44981</v>
      </c>
      <c r="C2841" s="12" t="inlineStr">
        <is>
          <t>VS25</t>
        </is>
      </c>
      <c r="D2841" s="12" t="inlineStr">
        <is>
          <t>Structural Steel</t>
        </is>
      </c>
      <c r="E2841" s="12" t="inlineStr">
        <is>
          <t>N</t>
        </is>
      </c>
      <c r="F2841" s="12" t="n">
        <v>8.06</v>
      </c>
      <c r="G2841" s="17" t="n">
        <v>117232.15</v>
      </c>
      <c r="H2841" s="26" t="n">
        <v>44995</v>
      </c>
      <c r="I2841" s="26" t="n">
        <v>44997</v>
      </c>
      <c r="J2841" s="12" t="n">
        <v>8</v>
      </c>
      <c r="K2841" s="17" t="n">
        <v>944891.13</v>
      </c>
      <c r="L2841" s="12" t="n">
        <v>0</v>
      </c>
      <c r="M2841" s="12" t="n">
        <v>3</v>
      </c>
      <c r="N2841" s="27">
        <f>F2841-J2841</f>
        <v/>
      </c>
      <c r="O2841" s="16">
        <f>I2841-H2841</f>
        <v/>
      </c>
      <c r="P2841" s="14">
        <f>F2841*G2841</f>
        <v/>
      </c>
      <c r="Q2841" s="14">
        <f>J2841*G2841</f>
        <v/>
      </c>
      <c r="R2841" s="14">
        <f>K2841-Q2841</f>
        <v/>
      </c>
      <c r="S2841" s="3">
        <f>P2841*Assumptions!$B$3/100</f>
        <v/>
      </c>
      <c r="T2841" s="14">
        <f>R2841-S2841</f>
        <v/>
      </c>
      <c r="U2841" s="14">
        <f>L2841*G2841</f>
        <v/>
      </c>
    </row>
    <row r="2842">
      <c r="A2842" s="12" t="inlineStr">
        <is>
          <t>PO-2022-2840</t>
        </is>
      </c>
      <c r="B2842" s="26" t="n">
        <v>44651</v>
      </c>
      <c r="C2842" s="12" t="inlineStr">
        <is>
          <t>VS28</t>
        </is>
      </c>
      <c r="D2842" s="12" t="inlineStr">
        <is>
          <t>Fasteners &amp; Fittings</t>
        </is>
      </c>
      <c r="E2842" s="12" t="inlineStr">
        <is>
          <t>N</t>
        </is>
      </c>
      <c r="F2842" s="12" t="n">
        <v>45.04</v>
      </c>
      <c r="G2842" s="17" t="n">
        <v>104162.07</v>
      </c>
      <c r="H2842" s="26" t="n">
        <v>44665</v>
      </c>
      <c r="I2842" s="26" t="n">
        <v>44666</v>
      </c>
      <c r="J2842" s="12" t="n">
        <v>44.63</v>
      </c>
      <c r="K2842" s="17" t="n">
        <v>4691459.63</v>
      </c>
      <c r="L2842" s="12" t="n">
        <v>0</v>
      </c>
      <c r="M2842" s="12" t="n">
        <v>14</v>
      </c>
      <c r="N2842" s="27">
        <f>F2842-J2842</f>
        <v/>
      </c>
      <c r="O2842" s="16">
        <f>I2842-H2842</f>
        <v/>
      </c>
      <c r="P2842" s="14">
        <f>F2842*G2842</f>
        <v/>
      </c>
      <c r="Q2842" s="14">
        <f>J2842*G2842</f>
        <v/>
      </c>
      <c r="R2842" s="14">
        <f>K2842-Q2842</f>
        <v/>
      </c>
      <c r="S2842" s="3">
        <f>P2842*Assumptions!$B$3/100</f>
        <v/>
      </c>
      <c r="T2842" s="14">
        <f>R2842-S2842</f>
        <v/>
      </c>
      <c r="U2842" s="14">
        <f>L2842*G2842</f>
        <v/>
      </c>
    </row>
    <row r="2843">
      <c r="A2843" s="12" t="inlineStr">
        <is>
          <t>PO-2022-2841</t>
        </is>
      </c>
      <c r="B2843" s="26" t="n">
        <v>44796</v>
      </c>
      <c r="C2843" s="12" t="inlineStr">
        <is>
          <t>VS27</t>
        </is>
      </c>
      <c r="D2843" s="12" t="inlineStr">
        <is>
          <t>Square/Rect Tubes</t>
        </is>
      </c>
      <c r="E2843" s="12" t="inlineStr">
        <is>
          <t>N</t>
        </is>
      </c>
      <c r="F2843" s="12" t="n">
        <v>37.6</v>
      </c>
      <c r="G2843" s="17" t="n">
        <v>54730.24</v>
      </c>
      <c r="H2843" s="26" t="n">
        <v>44807</v>
      </c>
      <c r="I2843" s="26" t="n">
        <v>44810</v>
      </c>
      <c r="J2843" s="12" t="n">
        <v>37.35</v>
      </c>
      <c r="K2843" s="17" t="n">
        <v>2057857.02</v>
      </c>
      <c r="L2843" s="12" t="n">
        <v>0</v>
      </c>
      <c r="M2843" s="12" t="n">
        <v>0</v>
      </c>
      <c r="N2843" s="27">
        <f>F2843-J2843</f>
        <v/>
      </c>
      <c r="O2843" s="16">
        <f>I2843-H2843</f>
        <v/>
      </c>
      <c r="P2843" s="14">
        <f>F2843*G2843</f>
        <v/>
      </c>
      <c r="Q2843" s="14">
        <f>J2843*G2843</f>
        <v/>
      </c>
      <c r="R2843" s="14">
        <f>K2843-Q2843</f>
        <v/>
      </c>
      <c r="S2843" s="3">
        <f>P2843*Assumptions!$B$3/100</f>
        <v/>
      </c>
      <c r="T2843" s="14">
        <f>R2843-S2843</f>
        <v/>
      </c>
      <c r="U2843" s="14">
        <f>L2843*G2843</f>
        <v/>
      </c>
    </row>
    <row r="2844">
      <c r="A2844" s="12" t="inlineStr">
        <is>
          <t>PO-2022-2842</t>
        </is>
      </c>
      <c r="B2844" s="26" t="n">
        <v>44540</v>
      </c>
      <c r="C2844" s="12" t="inlineStr">
        <is>
          <t>VS24</t>
        </is>
      </c>
      <c r="D2844" s="12" t="inlineStr">
        <is>
          <t>SS Sheets</t>
        </is>
      </c>
      <c r="E2844" s="12" t="inlineStr">
        <is>
          <t>N</t>
        </is>
      </c>
      <c r="F2844" s="12" t="n">
        <v>11.25</v>
      </c>
      <c r="G2844" s="17" t="n">
        <v>116901.87</v>
      </c>
      <c r="H2844" s="26" t="n">
        <v>44551</v>
      </c>
      <c r="I2844" s="26" t="n">
        <v>44553</v>
      </c>
      <c r="J2844" s="12" t="n">
        <v>11.17</v>
      </c>
      <c r="K2844" s="17" t="n">
        <v>1315146.04</v>
      </c>
      <c r="L2844" s="12" t="n">
        <v>0</v>
      </c>
      <c r="M2844" s="12" t="n">
        <v>23</v>
      </c>
      <c r="N2844" s="27">
        <f>F2844-J2844</f>
        <v/>
      </c>
      <c r="O2844" s="16">
        <f>I2844-H2844</f>
        <v/>
      </c>
      <c r="P2844" s="14">
        <f>F2844*G2844</f>
        <v/>
      </c>
      <c r="Q2844" s="14">
        <f>J2844*G2844</f>
        <v/>
      </c>
      <c r="R2844" s="14">
        <f>K2844-Q2844</f>
        <v/>
      </c>
      <c r="S2844" s="3">
        <f>P2844*Assumptions!$B$3/100</f>
        <v/>
      </c>
      <c r="T2844" s="14">
        <f>R2844-S2844</f>
        <v/>
      </c>
      <c r="U2844" s="14">
        <f>L2844*G2844</f>
        <v/>
      </c>
    </row>
    <row r="2845">
      <c r="A2845" s="12" t="inlineStr">
        <is>
          <t>PO-2022-2843</t>
        </is>
      </c>
      <c r="B2845" s="26" t="n">
        <v>44644</v>
      </c>
      <c r="C2845" s="12" t="inlineStr">
        <is>
          <t>VS12</t>
        </is>
      </c>
      <c r="D2845" s="12" t="inlineStr">
        <is>
          <t>Spring Steel</t>
        </is>
      </c>
      <c r="E2845" s="12" t="inlineStr">
        <is>
          <t>Y</t>
        </is>
      </c>
      <c r="F2845" s="12" t="n">
        <v>40.58</v>
      </c>
      <c r="G2845" s="17" t="n">
        <v>55057.17</v>
      </c>
      <c r="H2845" s="26" t="n">
        <v>44649</v>
      </c>
      <c r="I2845" s="26" t="n">
        <v>44654</v>
      </c>
      <c r="J2845" s="12" t="n">
        <v>39.33</v>
      </c>
      <c r="K2845" s="17" t="n">
        <v>2234219.96</v>
      </c>
      <c r="L2845" s="12" t="n">
        <v>0.33</v>
      </c>
      <c r="M2845" s="12" t="n">
        <v>18</v>
      </c>
      <c r="N2845" s="27">
        <f>F2845-J2845</f>
        <v/>
      </c>
      <c r="O2845" s="16">
        <f>I2845-H2845</f>
        <v/>
      </c>
      <c r="P2845" s="14">
        <f>F2845*G2845</f>
        <v/>
      </c>
      <c r="Q2845" s="14">
        <f>J2845*G2845</f>
        <v/>
      </c>
      <c r="R2845" s="14">
        <f>K2845-Q2845</f>
        <v/>
      </c>
      <c r="S2845" s="3">
        <f>P2845*Assumptions!$B$3/100</f>
        <v/>
      </c>
      <c r="T2845" s="14">
        <f>R2845-S2845</f>
        <v/>
      </c>
      <c r="U2845" s="14">
        <f>L2845*G2845</f>
        <v/>
      </c>
    </row>
    <row r="2846">
      <c r="A2846" s="12" t="inlineStr">
        <is>
          <t>PO-2022-2844</t>
        </is>
      </c>
      <c r="B2846" s="26" t="n">
        <v>44586</v>
      </c>
      <c r="C2846" s="12" t="inlineStr">
        <is>
          <t>VS05</t>
        </is>
      </c>
      <c r="D2846" s="12" t="inlineStr">
        <is>
          <t>Square/Rect Tubes</t>
        </is>
      </c>
      <c r="E2846" s="12" t="inlineStr">
        <is>
          <t>N</t>
        </is>
      </c>
      <c r="F2846" s="12" t="n">
        <v>10.81</v>
      </c>
      <c r="G2846" s="17" t="n">
        <v>55740.95</v>
      </c>
      <c r="H2846" s="26" t="n">
        <v>44599</v>
      </c>
      <c r="I2846" s="26" t="n">
        <v>44601</v>
      </c>
      <c r="J2846" s="12" t="n">
        <v>10.72</v>
      </c>
      <c r="K2846" s="17" t="n">
        <v>602559.67</v>
      </c>
      <c r="L2846" s="12" t="n">
        <v>0</v>
      </c>
      <c r="M2846" s="12" t="n">
        <v>9</v>
      </c>
      <c r="N2846" s="27">
        <f>F2846-J2846</f>
        <v/>
      </c>
      <c r="O2846" s="16">
        <f>I2846-H2846</f>
        <v/>
      </c>
      <c r="P2846" s="14">
        <f>F2846*G2846</f>
        <v/>
      </c>
      <c r="Q2846" s="14">
        <f>J2846*G2846</f>
        <v/>
      </c>
      <c r="R2846" s="14">
        <f>K2846-Q2846</f>
        <v/>
      </c>
      <c r="S2846" s="3">
        <f>P2846*Assumptions!$B$3/100</f>
        <v/>
      </c>
      <c r="T2846" s="14">
        <f>R2846-S2846</f>
        <v/>
      </c>
      <c r="U2846" s="14">
        <f>L2846*G2846</f>
        <v/>
      </c>
    </row>
    <row r="2847">
      <c r="A2847" s="12" t="inlineStr">
        <is>
          <t>PO-2022-2845</t>
        </is>
      </c>
      <c r="B2847" s="26" t="n">
        <v>44211</v>
      </c>
      <c r="C2847" s="12" t="inlineStr">
        <is>
          <t>VS20</t>
        </is>
      </c>
      <c r="D2847" s="12" t="inlineStr">
        <is>
          <t>SS Pipes</t>
        </is>
      </c>
      <c r="E2847" s="12" t="inlineStr">
        <is>
          <t>N</t>
        </is>
      </c>
      <c r="F2847" s="12" t="n">
        <v>3.89</v>
      </c>
      <c r="G2847" s="17" t="n">
        <v>100372.23</v>
      </c>
      <c r="H2847" s="26" t="n">
        <v>44215</v>
      </c>
      <c r="I2847" s="26" t="n">
        <v>44217</v>
      </c>
      <c r="J2847" s="12" t="n">
        <v>3.87</v>
      </c>
      <c r="K2847" s="17" t="n">
        <v>390447.97</v>
      </c>
      <c r="L2847" s="12" t="n">
        <v>0</v>
      </c>
      <c r="M2847" s="12" t="n">
        <v>6</v>
      </c>
      <c r="N2847" s="27">
        <f>F2847-J2847</f>
        <v/>
      </c>
      <c r="O2847" s="16">
        <f>I2847-H2847</f>
        <v/>
      </c>
      <c r="P2847" s="14">
        <f>F2847*G2847</f>
        <v/>
      </c>
      <c r="Q2847" s="14">
        <f>J2847*G2847</f>
        <v/>
      </c>
      <c r="R2847" s="14">
        <f>K2847-Q2847</f>
        <v/>
      </c>
      <c r="S2847" s="3">
        <f>P2847*Assumptions!$B$3/100</f>
        <v/>
      </c>
      <c r="T2847" s="14">
        <f>R2847-S2847</f>
        <v/>
      </c>
      <c r="U2847" s="14">
        <f>L2847*G2847</f>
        <v/>
      </c>
    </row>
    <row r="2848">
      <c r="A2848" s="12" t="inlineStr">
        <is>
          <t>PO-2022-2846</t>
        </is>
      </c>
      <c r="B2848" s="26" t="n">
        <v>45261</v>
      </c>
      <c r="C2848" s="12" t="inlineStr">
        <is>
          <t>VS16</t>
        </is>
      </c>
      <c r="D2848" s="12" t="inlineStr">
        <is>
          <t>GI Wire</t>
        </is>
      </c>
      <c r="E2848" s="12" t="inlineStr">
        <is>
          <t>N</t>
        </is>
      </c>
      <c r="F2848" s="12" t="n">
        <v>13.86</v>
      </c>
      <c r="G2848" s="17" t="n">
        <v>57011.31</v>
      </c>
      <c r="H2848" s="26" t="n">
        <v>45275</v>
      </c>
      <c r="I2848" s="26" t="n">
        <v>45275</v>
      </c>
      <c r="J2848" s="12" t="n">
        <v>13.85</v>
      </c>
      <c r="K2848" s="17" t="n">
        <v>790176.76</v>
      </c>
      <c r="L2848" s="12" t="n">
        <v>0</v>
      </c>
      <c r="M2848" s="12" t="n">
        <v>0</v>
      </c>
      <c r="N2848" s="27">
        <f>F2848-J2848</f>
        <v/>
      </c>
      <c r="O2848" s="16">
        <f>I2848-H2848</f>
        <v/>
      </c>
      <c r="P2848" s="14">
        <f>F2848*G2848</f>
        <v/>
      </c>
      <c r="Q2848" s="14">
        <f>J2848*G2848</f>
        <v/>
      </c>
      <c r="R2848" s="14">
        <f>K2848-Q2848</f>
        <v/>
      </c>
      <c r="S2848" s="3">
        <f>P2848*Assumptions!$B$3/100</f>
        <v/>
      </c>
      <c r="T2848" s="14">
        <f>R2848-S2848</f>
        <v/>
      </c>
      <c r="U2848" s="14">
        <f>L2848*G2848</f>
        <v/>
      </c>
    </row>
    <row r="2849">
      <c r="A2849" s="12" t="inlineStr">
        <is>
          <t>PO-2022-2847</t>
        </is>
      </c>
      <c r="B2849" s="26" t="n">
        <v>45145</v>
      </c>
      <c r="C2849" s="12" t="inlineStr">
        <is>
          <t>VS23</t>
        </is>
      </c>
      <c r="D2849" s="12" t="inlineStr">
        <is>
          <t>MS Pipes</t>
        </is>
      </c>
      <c r="E2849" s="12" t="inlineStr">
        <is>
          <t>N</t>
        </is>
      </c>
      <c r="F2849" s="12" t="n">
        <v>27.09</v>
      </c>
      <c r="G2849" s="17" t="n">
        <v>102520.13</v>
      </c>
      <c r="H2849" s="26" t="n">
        <v>45154</v>
      </c>
      <c r="I2849" s="26" t="n">
        <v>45155</v>
      </c>
      <c r="J2849" s="12" t="n">
        <v>26.99</v>
      </c>
      <c r="K2849" s="17" t="n">
        <v>2777270.32</v>
      </c>
      <c r="L2849" s="12" t="n">
        <v>0</v>
      </c>
      <c r="M2849" s="12" t="n">
        <v>0</v>
      </c>
      <c r="N2849" s="27">
        <f>F2849-J2849</f>
        <v/>
      </c>
      <c r="O2849" s="16">
        <f>I2849-H2849</f>
        <v/>
      </c>
      <c r="P2849" s="14">
        <f>F2849*G2849</f>
        <v/>
      </c>
      <c r="Q2849" s="14">
        <f>J2849*G2849</f>
        <v/>
      </c>
      <c r="R2849" s="14">
        <f>K2849-Q2849</f>
        <v/>
      </c>
      <c r="S2849" s="3">
        <f>P2849*Assumptions!$B$3/100</f>
        <v/>
      </c>
      <c r="T2849" s="14">
        <f>R2849-S2849</f>
        <v/>
      </c>
      <c r="U2849" s="14">
        <f>L2849*G2849</f>
        <v/>
      </c>
    </row>
    <row r="2850">
      <c r="A2850" s="12" t="inlineStr">
        <is>
          <t>PO-2022-2848</t>
        </is>
      </c>
      <c r="B2850" s="26" t="n">
        <v>45259</v>
      </c>
      <c r="C2850" s="12" t="inlineStr">
        <is>
          <t>VS06</t>
        </is>
      </c>
      <c r="D2850" s="12" t="inlineStr">
        <is>
          <t>Fasteners &amp; Fittings</t>
        </is>
      </c>
      <c r="E2850" s="12" t="inlineStr">
        <is>
          <t>N</t>
        </is>
      </c>
      <c r="F2850" s="12" t="n">
        <v>9.67</v>
      </c>
      <c r="G2850" s="17" t="n">
        <v>58549.89</v>
      </c>
      <c r="H2850" s="26" t="n">
        <v>45267</v>
      </c>
      <c r="I2850" s="26" t="n">
        <v>45270</v>
      </c>
      <c r="J2850" s="12" t="n">
        <v>9.6</v>
      </c>
      <c r="K2850" s="17" t="n">
        <v>566177.4399999999</v>
      </c>
      <c r="L2850" s="12" t="n">
        <v>0</v>
      </c>
      <c r="M2850" s="12" t="n">
        <v>0</v>
      </c>
      <c r="N2850" s="27">
        <f>F2850-J2850</f>
        <v/>
      </c>
      <c r="O2850" s="16">
        <f>I2850-H2850</f>
        <v/>
      </c>
      <c r="P2850" s="14">
        <f>F2850*G2850</f>
        <v/>
      </c>
      <c r="Q2850" s="14">
        <f>J2850*G2850</f>
        <v/>
      </c>
      <c r="R2850" s="14">
        <f>K2850-Q2850</f>
        <v/>
      </c>
      <c r="S2850" s="3">
        <f>P2850*Assumptions!$B$3/100</f>
        <v/>
      </c>
      <c r="T2850" s="14">
        <f>R2850-S2850</f>
        <v/>
      </c>
      <c r="U2850" s="14">
        <f>L2850*G2850</f>
        <v/>
      </c>
    </row>
    <row r="2851">
      <c r="A2851" s="12" t="inlineStr">
        <is>
          <t>PO-2022-2849</t>
        </is>
      </c>
      <c r="B2851" s="26" t="n">
        <v>45180</v>
      </c>
      <c r="C2851" s="12" t="inlineStr">
        <is>
          <t>VS30</t>
        </is>
      </c>
      <c r="D2851" s="12" t="inlineStr">
        <is>
          <t>MS Flats</t>
        </is>
      </c>
      <c r="E2851" s="12" t="inlineStr">
        <is>
          <t>N</t>
        </is>
      </c>
      <c r="F2851" s="12" t="n">
        <v>13.76</v>
      </c>
      <c r="G2851" s="17" t="n">
        <v>117997.2</v>
      </c>
      <c r="H2851" s="26" t="n">
        <v>45191</v>
      </c>
      <c r="I2851" s="26" t="n">
        <v>45192</v>
      </c>
      <c r="J2851" s="12" t="n">
        <v>13.75</v>
      </c>
      <c r="K2851" s="17" t="n">
        <v>1623641.47</v>
      </c>
      <c r="L2851" s="12" t="n">
        <v>0</v>
      </c>
      <c r="M2851" s="12" t="n">
        <v>0</v>
      </c>
      <c r="N2851" s="27">
        <f>F2851-J2851</f>
        <v/>
      </c>
      <c r="O2851" s="16">
        <f>I2851-H2851</f>
        <v/>
      </c>
      <c r="P2851" s="14">
        <f>F2851*G2851</f>
        <v/>
      </c>
      <c r="Q2851" s="14">
        <f>J2851*G2851</f>
        <v/>
      </c>
      <c r="R2851" s="14">
        <f>K2851-Q2851</f>
        <v/>
      </c>
      <c r="S2851" s="3">
        <f>P2851*Assumptions!$B$3/100</f>
        <v/>
      </c>
      <c r="T2851" s="14">
        <f>R2851-S2851</f>
        <v/>
      </c>
      <c r="U2851" s="14">
        <f>L2851*G2851</f>
        <v/>
      </c>
    </row>
    <row r="2852">
      <c r="A2852" s="12" t="inlineStr">
        <is>
          <t>PO-2022-2850</t>
        </is>
      </c>
      <c r="B2852" s="26" t="n">
        <v>44741</v>
      </c>
      <c r="C2852" s="12" t="inlineStr">
        <is>
          <t>VS31</t>
        </is>
      </c>
      <c r="D2852" s="12" t="inlineStr">
        <is>
          <t>Square/Rect Tubes</t>
        </is>
      </c>
      <c r="E2852" s="12" t="inlineStr">
        <is>
          <t>N</t>
        </is>
      </c>
      <c r="F2852" s="12" t="n">
        <v>19.57</v>
      </c>
      <c r="G2852" s="17" t="n">
        <v>109705.33</v>
      </c>
      <c r="H2852" s="26" t="n">
        <v>44744</v>
      </c>
      <c r="I2852" s="26" t="n">
        <v>44747</v>
      </c>
      <c r="J2852" s="12" t="n">
        <v>19.43</v>
      </c>
      <c r="K2852" s="17" t="n">
        <v>2146933.31</v>
      </c>
      <c r="L2852" s="12" t="n">
        <v>0</v>
      </c>
      <c r="M2852" s="12" t="n">
        <v>19</v>
      </c>
      <c r="N2852" s="27">
        <f>F2852-J2852</f>
        <v/>
      </c>
      <c r="O2852" s="16">
        <f>I2852-H2852</f>
        <v/>
      </c>
      <c r="P2852" s="14">
        <f>F2852*G2852</f>
        <v/>
      </c>
      <c r="Q2852" s="14">
        <f>J2852*G2852</f>
        <v/>
      </c>
      <c r="R2852" s="14">
        <f>K2852-Q2852</f>
        <v/>
      </c>
      <c r="S2852" s="3">
        <f>P2852*Assumptions!$B$3/100</f>
        <v/>
      </c>
      <c r="T2852" s="14">
        <f>R2852-S2852</f>
        <v/>
      </c>
      <c r="U2852" s="14">
        <f>L2852*G2852</f>
        <v/>
      </c>
    </row>
    <row r="2853">
      <c r="A2853" s="12" t="inlineStr">
        <is>
          <t>PO-2022-2851</t>
        </is>
      </c>
      <c r="B2853" s="26" t="n">
        <v>44863</v>
      </c>
      <c r="C2853" s="12" t="inlineStr">
        <is>
          <t>VS10</t>
        </is>
      </c>
      <c r="D2853" s="12" t="inlineStr">
        <is>
          <t>SS Pipes</t>
        </is>
      </c>
      <c r="E2853" s="12" t="inlineStr">
        <is>
          <t>N</t>
        </is>
      </c>
      <c r="F2853" s="12" t="n">
        <v>26.04</v>
      </c>
      <c r="G2853" s="17" t="n">
        <v>103163.85</v>
      </c>
      <c r="H2853" s="26" t="n">
        <v>44876</v>
      </c>
      <c r="I2853" s="26" t="n">
        <v>44879</v>
      </c>
      <c r="J2853" s="12" t="n">
        <v>25.82</v>
      </c>
      <c r="K2853" s="17" t="n">
        <v>2686386.65</v>
      </c>
      <c r="L2853" s="12" t="n">
        <v>0</v>
      </c>
      <c r="M2853" s="12" t="n">
        <v>0</v>
      </c>
      <c r="N2853" s="27">
        <f>F2853-J2853</f>
        <v/>
      </c>
      <c r="O2853" s="16">
        <f>I2853-H2853</f>
        <v/>
      </c>
      <c r="P2853" s="14">
        <f>F2853*G2853</f>
        <v/>
      </c>
      <c r="Q2853" s="14">
        <f>J2853*G2853</f>
        <v/>
      </c>
      <c r="R2853" s="14">
        <f>K2853-Q2853</f>
        <v/>
      </c>
      <c r="S2853" s="3">
        <f>P2853*Assumptions!$B$3/100</f>
        <v/>
      </c>
      <c r="T2853" s="14">
        <f>R2853-S2853</f>
        <v/>
      </c>
      <c r="U2853" s="14">
        <f>L2853*G2853</f>
        <v/>
      </c>
    </row>
    <row r="2854">
      <c r="A2854" s="12" t="inlineStr">
        <is>
          <t>PO-2022-2852</t>
        </is>
      </c>
      <c r="B2854" s="26" t="n">
        <v>45125</v>
      </c>
      <c r="C2854" s="12" t="inlineStr">
        <is>
          <t>VS25</t>
        </is>
      </c>
      <c r="D2854" s="12" t="inlineStr">
        <is>
          <t>Spring Steel</t>
        </is>
      </c>
      <c r="E2854" s="12" t="inlineStr">
        <is>
          <t>N</t>
        </is>
      </c>
      <c r="F2854" s="12" t="n">
        <v>12.81</v>
      </c>
      <c r="G2854" s="17" t="n">
        <v>52668.75</v>
      </c>
      <c r="H2854" s="26" t="n">
        <v>45128</v>
      </c>
      <c r="I2854" s="26" t="n">
        <v>45129</v>
      </c>
      <c r="J2854" s="12" t="n">
        <v>12.72</v>
      </c>
      <c r="K2854" s="17" t="n">
        <v>674686.6899999999</v>
      </c>
      <c r="L2854" s="12" t="n">
        <v>0</v>
      </c>
      <c r="M2854" s="12" t="n">
        <v>22</v>
      </c>
      <c r="N2854" s="27">
        <f>F2854-J2854</f>
        <v/>
      </c>
      <c r="O2854" s="16">
        <f>I2854-H2854</f>
        <v/>
      </c>
      <c r="P2854" s="14">
        <f>F2854*G2854</f>
        <v/>
      </c>
      <c r="Q2854" s="14">
        <f>J2854*G2854</f>
        <v/>
      </c>
      <c r="R2854" s="14">
        <f>K2854-Q2854</f>
        <v/>
      </c>
      <c r="S2854" s="3">
        <f>P2854*Assumptions!$B$3/100</f>
        <v/>
      </c>
      <c r="T2854" s="14">
        <f>R2854-S2854</f>
        <v/>
      </c>
      <c r="U2854" s="14">
        <f>L2854*G2854</f>
        <v/>
      </c>
    </row>
    <row r="2855">
      <c r="A2855" s="12" t="inlineStr">
        <is>
          <t>PO-2022-2853</t>
        </is>
      </c>
      <c r="B2855" s="26" t="n">
        <v>44569</v>
      </c>
      <c r="C2855" s="12" t="inlineStr">
        <is>
          <t>VS29</t>
        </is>
      </c>
      <c r="D2855" s="12" t="inlineStr">
        <is>
          <t>ERW Pipes</t>
        </is>
      </c>
      <c r="E2855" s="12" t="inlineStr">
        <is>
          <t>N</t>
        </is>
      </c>
      <c r="F2855" s="12" t="n">
        <v>32.63</v>
      </c>
      <c r="G2855" s="17" t="n">
        <v>58166.17</v>
      </c>
      <c r="H2855" s="26" t="n">
        <v>44579</v>
      </c>
      <c r="I2855" s="26" t="n">
        <v>44582</v>
      </c>
      <c r="J2855" s="12" t="n">
        <v>32.43</v>
      </c>
      <c r="K2855" s="17" t="n">
        <v>1897962.13</v>
      </c>
      <c r="L2855" s="12" t="n">
        <v>0</v>
      </c>
      <c r="M2855" s="12" t="n">
        <v>1</v>
      </c>
      <c r="N2855" s="27">
        <f>F2855-J2855</f>
        <v/>
      </c>
      <c r="O2855" s="16">
        <f>I2855-H2855</f>
        <v/>
      </c>
      <c r="P2855" s="14">
        <f>F2855*G2855</f>
        <v/>
      </c>
      <c r="Q2855" s="14">
        <f>J2855*G2855</f>
        <v/>
      </c>
      <c r="R2855" s="14">
        <f>K2855-Q2855</f>
        <v/>
      </c>
      <c r="S2855" s="3">
        <f>P2855*Assumptions!$B$3/100</f>
        <v/>
      </c>
      <c r="T2855" s="14">
        <f>R2855-S2855</f>
        <v/>
      </c>
      <c r="U2855" s="14">
        <f>L2855*G2855</f>
        <v/>
      </c>
    </row>
    <row r="2856">
      <c r="A2856" s="12" t="inlineStr">
        <is>
          <t>PO-2022-2854</t>
        </is>
      </c>
      <c r="B2856" s="26" t="n">
        <v>44637</v>
      </c>
      <c r="C2856" s="12" t="inlineStr">
        <is>
          <t>VS13</t>
        </is>
      </c>
      <c r="D2856" s="12" t="inlineStr">
        <is>
          <t>Fasteners &amp; Fittings</t>
        </is>
      </c>
      <c r="E2856" s="12" t="inlineStr">
        <is>
          <t>N</t>
        </is>
      </c>
      <c r="F2856" s="12" t="n">
        <v>39.57</v>
      </c>
      <c r="G2856" s="17" t="n">
        <v>99622.75999999999</v>
      </c>
      <c r="H2856" s="26" t="n">
        <v>44649</v>
      </c>
      <c r="I2856" s="26" t="n">
        <v>44649</v>
      </c>
      <c r="J2856" s="12" t="n">
        <v>39.32</v>
      </c>
      <c r="K2856" s="17" t="n">
        <v>3942072.61</v>
      </c>
      <c r="L2856" s="12" t="n">
        <v>0</v>
      </c>
      <c r="M2856" s="12" t="n">
        <v>0</v>
      </c>
      <c r="N2856" s="27">
        <f>F2856-J2856</f>
        <v/>
      </c>
      <c r="O2856" s="16">
        <f>I2856-H2856</f>
        <v/>
      </c>
      <c r="P2856" s="14">
        <f>F2856*G2856</f>
        <v/>
      </c>
      <c r="Q2856" s="14">
        <f>J2856*G2856</f>
        <v/>
      </c>
      <c r="R2856" s="14">
        <f>K2856-Q2856</f>
        <v/>
      </c>
      <c r="S2856" s="3">
        <f>P2856*Assumptions!$B$3/100</f>
        <v/>
      </c>
      <c r="T2856" s="14">
        <f>R2856-S2856</f>
        <v/>
      </c>
      <c r="U2856" s="14">
        <f>L2856*G2856</f>
        <v/>
      </c>
    </row>
    <row r="2857">
      <c r="A2857" s="12" t="inlineStr">
        <is>
          <t>PO-2022-2855</t>
        </is>
      </c>
      <c r="B2857" s="26" t="n">
        <v>44578</v>
      </c>
      <c r="C2857" s="12" t="inlineStr">
        <is>
          <t>VS02</t>
        </is>
      </c>
      <c r="D2857" s="12" t="inlineStr">
        <is>
          <t>MS Flats</t>
        </is>
      </c>
      <c r="E2857" s="12" t="inlineStr">
        <is>
          <t>N</t>
        </is>
      </c>
      <c r="F2857" s="12" t="n">
        <v>9.91</v>
      </c>
      <c r="G2857" s="17" t="n">
        <v>56639.37</v>
      </c>
      <c r="H2857" s="26" t="n">
        <v>44590</v>
      </c>
      <c r="I2857" s="26" t="n">
        <v>44590</v>
      </c>
      <c r="J2857" s="12" t="n">
        <v>9.859999999999999</v>
      </c>
      <c r="K2857" s="17" t="n">
        <v>561296.16</v>
      </c>
      <c r="L2857" s="12" t="n">
        <v>0</v>
      </c>
      <c r="M2857" s="12" t="n">
        <v>0</v>
      </c>
      <c r="N2857" s="27">
        <f>F2857-J2857</f>
        <v/>
      </c>
      <c r="O2857" s="16">
        <f>I2857-H2857</f>
        <v/>
      </c>
      <c r="P2857" s="14">
        <f>F2857*G2857</f>
        <v/>
      </c>
      <c r="Q2857" s="14">
        <f>J2857*G2857</f>
        <v/>
      </c>
      <c r="R2857" s="14">
        <f>K2857-Q2857</f>
        <v/>
      </c>
      <c r="S2857" s="3">
        <f>P2857*Assumptions!$B$3/100</f>
        <v/>
      </c>
      <c r="T2857" s="14">
        <f>R2857-S2857</f>
        <v/>
      </c>
      <c r="U2857" s="14">
        <f>L2857*G2857</f>
        <v/>
      </c>
    </row>
    <row r="2858">
      <c r="A2858" s="12" t="inlineStr">
        <is>
          <t>PO-2022-2856</t>
        </is>
      </c>
      <c r="B2858" s="26" t="n">
        <v>44635</v>
      </c>
      <c r="C2858" s="12" t="inlineStr">
        <is>
          <t>VS27</t>
        </is>
      </c>
      <c r="D2858" s="12" t="inlineStr">
        <is>
          <t>MS Sheets</t>
        </is>
      </c>
      <c r="E2858" s="12" t="inlineStr">
        <is>
          <t>N</t>
        </is>
      </c>
      <c r="F2858" s="12" t="n">
        <v>47.81</v>
      </c>
      <c r="G2858" s="17" t="n">
        <v>99960.38</v>
      </c>
      <c r="H2858" s="26" t="n">
        <v>44650</v>
      </c>
      <c r="I2858" s="26" t="n">
        <v>44652</v>
      </c>
      <c r="J2858" s="12" t="n">
        <v>47.51</v>
      </c>
      <c r="K2858" s="17" t="n">
        <v>4779105.77</v>
      </c>
      <c r="L2858" s="12" t="n">
        <v>0</v>
      </c>
      <c r="M2858" s="12" t="n">
        <v>0</v>
      </c>
      <c r="N2858" s="27">
        <f>F2858-J2858</f>
        <v/>
      </c>
      <c r="O2858" s="16">
        <f>I2858-H2858</f>
        <v/>
      </c>
      <c r="P2858" s="14">
        <f>F2858*G2858</f>
        <v/>
      </c>
      <c r="Q2858" s="14">
        <f>J2858*G2858</f>
        <v/>
      </c>
      <c r="R2858" s="14">
        <f>K2858-Q2858</f>
        <v/>
      </c>
      <c r="S2858" s="3">
        <f>P2858*Assumptions!$B$3/100</f>
        <v/>
      </c>
      <c r="T2858" s="14">
        <f>R2858-S2858</f>
        <v/>
      </c>
      <c r="U2858" s="14">
        <f>L2858*G2858</f>
        <v/>
      </c>
    </row>
    <row r="2859">
      <c r="A2859" s="12" t="inlineStr">
        <is>
          <t>PO-2022-2857</t>
        </is>
      </c>
      <c r="B2859" s="26" t="n">
        <v>44866</v>
      </c>
      <c r="C2859" s="12" t="inlineStr">
        <is>
          <t>VS05</t>
        </is>
      </c>
      <c r="D2859" s="12" t="inlineStr">
        <is>
          <t>SS Sheets</t>
        </is>
      </c>
      <c r="E2859" s="12" t="inlineStr">
        <is>
          <t>N</t>
        </is>
      </c>
      <c r="F2859" s="12" t="n">
        <v>12.58</v>
      </c>
      <c r="G2859" s="17" t="n">
        <v>86299.42</v>
      </c>
      <c r="H2859" s="26" t="n">
        <v>44872</v>
      </c>
      <c r="I2859" s="26" t="n">
        <v>44872</v>
      </c>
      <c r="J2859" s="12" t="n">
        <v>12.55</v>
      </c>
      <c r="K2859" s="17" t="n">
        <v>1085646.7</v>
      </c>
      <c r="L2859" s="12" t="n">
        <v>0</v>
      </c>
      <c r="M2859" s="12" t="n">
        <v>0</v>
      </c>
      <c r="N2859" s="27">
        <f>F2859-J2859</f>
        <v/>
      </c>
      <c r="O2859" s="16">
        <f>I2859-H2859</f>
        <v/>
      </c>
      <c r="P2859" s="14">
        <f>F2859*G2859</f>
        <v/>
      </c>
      <c r="Q2859" s="14">
        <f>J2859*G2859</f>
        <v/>
      </c>
      <c r="R2859" s="14">
        <f>K2859-Q2859</f>
        <v/>
      </c>
      <c r="S2859" s="3">
        <f>P2859*Assumptions!$B$3/100</f>
        <v/>
      </c>
      <c r="T2859" s="14">
        <f>R2859-S2859</f>
        <v/>
      </c>
      <c r="U2859" s="14">
        <f>L2859*G2859</f>
        <v/>
      </c>
    </row>
    <row r="2860">
      <c r="A2860" s="12" t="inlineStr">
        <is>
          <t>PO-2022-2858</t>
        </is>
      </c>
      <c r="B2860" s="26" t="n">
        <v>44538</v>
      </c>
      <c r="C2860" s="12" t="inlineStr">
        <is>
          <t>VS21</t>
        </is>
      </c>
      <c r="D2860" s="12" t="inlineStr">
        <is>
          <t>Angles &amp; Channels</t>
        </is>
      </c>
      <c r="E2860" s="12" t="inlineStr">
        <is>
          <t>N</t>
        </is>
      </c>
      <c r="F2860" s="12" t="n">
        <v>35.42</v>
      </c>
      <c r="G2860" s="17" t="n">
        <v>63339.09</v>
      </c>
      <c r="H2860" s="26" t="n">
        <v>44550</v>
      </c>
      <c r="I2860" s="26" t="n">
        <v>44552</v>
      </c>
      <c r="J2860" s="12" t="n">
        <v>35.24</v>
      </c>
      <c r="K2860" s="17" t="n">
        <v>2243470.57</v>
      </c>
      <c r="L2860" s="12" t="n">
        <v>0</v>
      </c>
      <c r="M2860" s="12" t="n">
        <v>0</v>
      </c>
      <c r="N2860" s="27">
        <f>F2860-J2860</f>
        <v/>
      </c>
      <c r="O2860" s="16">
        <f>I2860-H2860</f>
        <v/>
      </c>
      <c r="P2860" s="14">
        <f>F2860*G2860</f>
        <v/>
      </c>
      <c r="Q2860" s="14">
        <f>J2860*G2860</f>
        <v/>
      </c>
      <c r="R2860" s="14">
        <f>K2860-Q2860</f>
        <v/>
      </c>
      <c r="S2860" s="3">
        <f>P2860*Assumptions!$B$3/100</f>
        <v/>
      </c>
      <c r="T2860" s="14">
        <f>R2860-S2860</f>
        <v/>
      </c>
      <c r="U2860" s="14">
        <f>L2860*G2860</f>
        <v/>
      </c>
    </row>
    <row r="2861">
      <c r="A2861" s="12" t="inlineStr">
        <is>
          <t>PO-2022-2859</t>
        </is>
      </c>
      <c r="B2861" s="26" t="n">
        <v>44613</v>
      </c>
      <c r="C2861" s="12" t="inlineStr">
        <is>
          <t>VS21</t>
        </is>
      </c>
      <c r="D2861" s="12" t="inlineStr">
        <is>
          <t>Spring Steel</t>
        </is>
      </c>
      <c r="E2861" s="12" t="inlineStr">
        <is>
          <t>N</t>
        </is>
      </c>
      <c r="F2861" s="12" t="n">
        <v>47.05</v>
      </c>
      <c r="G2861" s="17" t="n">
        <v>65008.37</v>
      </c>
      <c r="H2861" s="26" t="n">
        <v>44617</v>
      </c>
      <c r="I2861" s="26" t="n">
        <v>44618</v>
      </c>
      <c r="J2861" s="12" t="n">
        <v>47.01</v>
      </c>
      <c r="K2861" s="17" t="n">
        <v>3058643.81</v>
      </c>
      <c r="L2861" s="12" t="n">
        <v>0</v>
      </c>
      <c r="M2861" s="12" t="n">
        <v>9</v>
      </c>
      <c r="N2861" s="27">
        <f>F2861-J2861</f>
        <v/>
      </c>
      <c r="O2861" s="16">
        <f>I2861-H2861</f>
        <v/>
      </c>
      <c r="P2861" s="14">
        <f>F2861*G2861</f>
        <v/>
      </c>
      <c r="Q2861" s="14">
        <f>J2861*G2861</f>
        <v/>
      </c>
      <c r="R2861" s="14">
        <f>K2861-Q2861</f>
        <v/>
      </c>
      <c r="S2861" s="3">
        <f>P2861*Assumptions!$B$3/100</f>
        <v/>
      </c>
      <c r="T2861" s="14">
        <f>R2861-S2861</f>
        <v/>
      </c>
      <c r="U2861" s="14">
        <f>L2861*G2861</f>
        <v/>
      </c>
    </row>
    <row r="2862">
      <c r="A2862" s="12" t="inlineStr">
        <is>
          <t>PO-2022-2860</t>
        </is>
      </c>
      <c r="B2862" s="26" t="n">
        <v>45198</v>
      </c>
      <c r="C2862" s="12" t="inlineStr">
        <is>
          <t>VS30</t>
        </is>
      </c>
      <c r="D2862" s="12" t="inlineStr">
        <is>
          <t>Structural Steel</t>
        </is>
      </c>
      <c r="E2862" s="12" t="inlineStr">
        <is>
          <t>Y</t>
        </is>
      </c>
      <c r="F2862" s="12" t="n">
        <v>11.72</v>
      </c>
      <c r="G2862" s="17" t="n">
        <v>105618.14</v>
      </c>
      <c r="H2862" s="26" t="n">
        <v>45205</v>
      </c>
      <c r="I2862" s="26" t="n">
        <v>45205</v>
      </c>
      <c r="J2862" s="12" t="n">
        <v>11.64</v>
      </c>
      <c r="K2862" s="17" t="n">
        <v>1237844.6</v>
      </c>
      <c r="L2862" s="12" t="n">
        <v>0</v>
      </c>
      <c r="M2862" s="12" t="n">
        <v>0</v>
      </c>
      <c r="N2862" s="27">
        <f>F2862-J2862</f>
        <v/>
      </c>
      <c r="O2862" s="16">
        <f>I2862-H2862</f>
        <v/>
      </c>
      <c r="P2862" s="14">
        <f>F2862*G2862</f>
        <v/>
      </c>
      <c r="Q2862" s="14">
        <f>J2862*G2862</f>
        <v/>
      </c>
      <c r="R2862" s="14">
        <f>K2862-Q2862</f>
        <v/>
      </c>
      <c r="S2862" s="3">
        <f>P2862*Assumptions!$B$3/100</f>
        <v/>
      </c>
      <c r="T2862" s="14">
        <f>R2862-S2862</f>
        <v/>
      </c>
      <c r="U2862" s="14">
        <f>L2862*G2862</f>
        <v/>
      </c>
    </row>
    <row r="2863">
      <c r="A2863" s="12" t="inlineStr">
        <is>
          <t>PO-2022-2861</t>
        </is>
      </c>
      <c r="B2863" s="26" t="n">
        <v>44703</v>
      </c>
      <c r="C2863" s="12" t="inlineStr">
        <is>
          <t>VS02</t>
        </is>
      </c>
      <c r="D2863" s="12" t="inlineStr">
        <is>
          <t>MS Flats</t>
        </is>
      </c>
      <c r="E2863" s="12" t="inlineStr">
        <is>
          <t>N</t>
        </is>
      </c>
      <c r="F2863" s="12" t="n">
        <v>13.79</v>
      </c>
      <c r="G2863" s="17" t="n">
        <v>64042.22</v>
      </c>
      <c r="H2863" s="26" t="n">
        <v>44718</v>
      </c>
      <c r="I2863" s="26" t="n">
        <v>44719</v>
      </c>
      <c r="J2863" s="12" t="n">
        <v>13.69</v>
      </c>
      <c r="K2863" s="17" t="n">
        <v>883142.21</v>
      </c>
      <c r="L2863" s="12" t="n">
        <v>0</v>
      </c>
      <c r="M2863" s="12" t="n">
        <v>24</v>
      </c>
      <c r="N2863" s="27">
        <f>F2863-J2863</f>
        <v/>
      </c>
      <c r="O2863" s="16">
        <f>I2863-H2863</f>
        <v/>
      </c>
      <c r="P2863" s="14">
        <f>F2863*G2863</f>
        <v/>
      </c>
      <c r="Q2863" s="14">
        <f>J2863*G2863</f>
        <v/>
      </c>
      <c r="R2863" s="14">
        <f>K2863-Q2863</f>
        <v/>
      </c>
      <c r="S2863" s="3">
        <f>P2863*Assumptions!$B$3/100</f>
        <v/>
      </c>
      <c r="T2863" s="14">
        <f>R2863-S2863</f>
        <v/>
      </c>
      <c r="U2863" s="14">
        <f>L2863*G2863</f>
        <v/>
      </c>
    </row>
    <row r="2864">
      <c r="A2864" s="12" t="inlineStr">
        <is>
          <t>PO-2022-2862</t>
        </is>
      </c>
      <c r="B2864" s="26" t="n">
        <v>45217</v>
      </c>
      <c r="C2864" s="12" t="inlineStr">
        <is>
          <t>VS08</t>
        </is>
      </c>
      <c r="D2864" s="12" t="inlineStr">
        <is>
          <t>MS Sheets</t>
        </is>
      </c>
      <c r="E2864" s="12" t="inlineStr">
        <is>
          <t>N</t>
        </is>
      </c>
      <c r="F2864" s="12" t="n">
        <v>44.77</v>
      </c>
      <c r="G2864" s="17" t="n">
        <v>90270.56</v>
      </c>
      <c r="H2864" s="26" t="n">
        <v>45229</v>
      </c>
      <c r="I2864" s="26" t="n">
        <v>45230</v>
      </c>
      <c r="J2864" s="12" t="n">
        <v>44.77</v>
      </c>
      <c r="K2864" s="17" t="n">
        <v>4041412.97</v>
      </c>
      <c r="L2864" s="12" t="n">
        <v>0</v>
      </c>
      <c r="M2864" s="12" t="n">
        <v>0</v>
      </c>
      <c r="N2864" s="27">
        <f>F2864-J2864</f>
        <v/>
      </c>
      <c r="O2864" s="16">
        <f>I2864-H2864</f>
        <v/>
      </c>
      <c r="P2864" s="14">
        <f>F2864*G2864</f>
        <v/>
      </c>
      <c r="Q2864" s="14">
        <f>J2864*G2864</f>
        <v/>
      </c>
      <c r="R2864" s="14">
        <f>K2864-Q2864</f>
        <v/>
      </c>
      <c r="S2864" s="3">
        <f>P2864*Assumptions!$B$3/100</f>
        <v/>
      </c>
      <c r="T2864" s="14">
        <f>R2864-S2864</f>
        <v/>
      </c>
      <c r="U2864" s="14">
        <f>L2864*G2864</f>
        <v/>
      </c>
    </row>
    <row r="2865">
      <c r="A2865" s="12" t="inlineStr">
        <is>
          <t>PO-2022-2863</t>
        </is>
      </c>
      <c r="B2865" s="26" t="n">
        <v>45095</v>
      </c>
      <c r="C2865" s="12" t="inlineStr">
        <is>
          <t>VS01</t>
        </is>
      </c>
      <c r="D2865" s="12" t="inlineStr">
        <is>
          <t>MS Sheets</t>
        </is>
      </c>
      <c r="E2865" s="12" t="inlineStr">
        <is>
          <t>N</t>
        </is>
      </c>
      <c r="F2865" s="12" t="n">
        <v>28.98</v>
      </c>
      <c r="G2865" s="17" t="n">
        <v>78010.63</v>
      </c>
      <c r="H2865" s="26" t="n">
        <v>45100</v>
      </c>
      <c r="I2865" s="26" t="n">
        <v>45100</v>
      </c>
      <c r="J2865" s="12" t="n">
        <v>28.73</v>
      </c>
      <c r="K2865" s="17" t="n">
        <v>2260748.06</v>
      </c>
      <c r="L2865" s="12" t="n">
        <v>0</v>
      </c>
      <c r="M2865" s="12" t="n">
        <v>1</v>
      </c>
      <c r="N2865" s="27">
        <f>F2865-J2865</f>
        <v/>
      </c>
      <c r="O2865" s="16">
        <f>I2865-H2865</f>
        <v/>
      </c>
      <c r="P2865" s="14">
        <f>F2865*G2865</f>
        <v/>
      </c>
      <c r="Q2865" s="14">
        <f>J2865*G2865</f>
        <v/>
      </c>
      <c r="R2865" s="14">
        <f>K2865-Q2865</f>
        <v/>
      </c>
      <c r="S2865" s="3">
        <f>P2865*Assumptions!$B$3/100</f>
        <v/>
      </c>
      <c r="T2865" s="14">
        <f>R2865-S2865</f>
        <v/>
      </c>
      <c r="U2865" s="14">
        <f>L2865*G2865</f>
        <v/>
      </c>
    </row>
    <row r="2866">
      <c r="A2866" s="12" t="inlineStr">
        <is>
          <t>PO-2022-2864</t>
        </is>
      </c>
      <c r="B2866" s="26" t="n">
        <v>44310</v>
      </c>
      <c r="C2866" s="12" t="inlineStr">
        <is>
          <t>VS22</t>
        </is>
      </c>
      <c r="D2866" s="12" t="inlineStr">
        <is>
          <t>HR Coils</t>
        </is>
      </c>
      <c r="E2866" s="12" t="inlineStr">
        <is>
          <t>N</t>
        </is>
      </c>
      <c r="F2866" s="12" t="n">
        <v>33.67</v>
      </c>
      <c r="G2866" s="17" t="n">
        <v>89692.17999999999</v>
      </c>
      <c r="H2866" s="26" t="n">
        <v>44325</v>
      </c>
      <c r="I2866" s="26" t="n">
        <v>44327</v>
      </c>
      <c r="J2866" s="12" t="n">
        <v>33.64</v>
      </c>
      <c r="K2866" s="17" t="n">
        <v>3019935.7</v>
      </c>
      <c r="L2866" s="12" t="n">
        <v>0</v>
      </c>
      <c r="M2866" s="12" t="n">
        <v>0</v>
      </c>
      <c r="N2866" s="27">
        <f>F2866-J2866</f>
        <v/>
      </c>
      <c r="O2866" s="16">
        <f>I2866-H2866</f>
        <v/>
      </c>
      <c r="P2866" s="14">
        <f>F2866*G2866</f>
        <v/>
      </c>
      <c r="Q2866" s="14">
        <f>J2866*G2866</f>
        <v/>
      </c>
      <c r="R2866" s="14">
        <f>K2866-Q2866</f>
        <v/>
      </c>
      <c r="S2866" s="3">
        <f>P2866*Assumptions!$B$3/100</f>
        <v/>
      </c>
      <c r="T2866" s="14">
        <f>R2866-S2866</f>
        <v/>
      </c>
      <c r="U2866" s="14">
        <f>L2866*G2866</f>
        <v/>
      </c>
    </row>
    <row r="2867">
      <c r="A2867" s="12" t="inlineStr">
        <is>
          <t>PO-2022-2865</t>
        </is>
      </c>
      <c r="B2867" s="26" t="n">
        <v>45276</v>
      </c>
      <c r="C2867" s="12" t="inlineStr">
        <is>
          <t>VS32</t>
        </is>
      </c>
      <c r="D2867" s="12" t="inlineStr">
        <is>
          <t>ERW Pipes</t>
        </is>
      </c>
      <c r="E2867" s="12" t="inlineStr">
        <is>
          <t>N</t>
        </is>
      </c>
      <c r="F2867" s="12" t="n">
        <v>11.5</v>
      </c>
      <c r="G2867" s="17" t="n">
        <v>98093.89999999999</v>
      </c>
      <c r="H2867" s="26" t="n">
        <v>45284</v>
      </c>
      <c r="I2867" s="26" t="n">
        <v>45287</v>
      </c>
      <c r="J2867" s="12" t="n">
        <v>11.45</v>
      </c>
      <c r="K2867" s="17" t="n">
        <v>1128079.85</v>
      </c>
      <c r="L2867" s="12" t="n">
        <v>0</v>
      </c>
      <c r="M2867" s="12" t="n">
        <v>0</v>
      </c>
      <c r="N2867" s="27">
        <f>F2867-J2867</f>
        <v/>
      </c>
      <c r="O2867" s="16">
        <f>I2867-H2867</f>
        <v/>
      </c>
      <c r="P2867" s="14">
        <f>F2867*G2867</f>
        <v/>
      </c>
      <c r="Q2867" s="14">
        <f>J2867*G2867</f>
        <v/>
      </c>
      <c r="R2867" s="14">
        <f>K2867-Q2867</f>
        <v/>
      </c>
      <c r="S2867" s="3">
        <f>P2867*Assumptions!$B$3/100</f>
        <v/>
      </c>
      <c r="T2867" s="14">
        <f>R2867-S2867</f>
        <v/>
      </c>
      <c r="U2867" s="14">
        <f>L2867*G2867</f>
        <v/>
      </c>
    </row>
    <row r="2868">
      <c r="A2868" s="12" t="inlineStr">
        <is>
          <t>PO-2022-2866</t>
        </is>
      </c>
      <c r="B2868" s="26" t="n">
        <v>44480</v>
      </c>
      <c r="C2868" s="12" t="inlineStr">
        <is>
          <t>VS34</t>
        </is>
      </c>
      <c r="D2868" s="12" t="inlineStr">
        <is>
          <t>HR Coils</t>
        </is>
      </c>
      <c r="E2868" s="12" t="inlineStr">
        <is>
          <t>N</t>
        </is>
      </c>
      <c r="F2868" s="12" t="n">
        <v>7.4</v>
      </c>
      <c r="G2868" s="17" t="n">
        <v>47105.88</v>
      </c>
      <c r="H2868" s="26" t="n">
        <v>44493</v>
      </c>
      <c r="I2868" s="26" t="n">
        <v>44496</v>
      </c>
      <c r="J2868" s="12" t="n">
        <v>7.4</v>
      </c>
      <c r="K2868" s="17" t="n">
        <v>348583.51</v>
      </c>
      <c r="L2868" s="12" t="n">
        <v>0</v>
      </c>
      <c r="M2868" s="12" t="n">
        <v>2</v>
      </c>
      <c r="N2868" s="27">
        <f>F2868-J2868</f>
        <v/>
      </c>
      <c r="O2868" s="16">
        <f>I2868-H2868</f>
        <v/>
      </c>
      <c r="P2868" s="14">
        <f>F2868*G2868</f>
        <v/>
      </c>
      <c r="Q2868" s="14">
        <f>J2868*G2868</f>
        <v/>
      </c>
      <c r="R2868" s="14">
        <f>K2868-Q2868</f>
        <v/>
      </c>
      <c r="S2868" s="3">
        <f>P2868*Assumptions!$B$3/100</f>
        <v/>
      </c>
      <c r="T2868" s="14">
        <f>R2868-S2868</f>
        <v/>
      </c>
      <c r="U2868" s="14">
        <f>L2868*G2868</f>
        <v/>
      </c>
    </row>
    <row r="2869">
      <c r="A2869" s="12" t="inlineStr">
        <is>
          <t>PO-2022-2867</t>
        </is>
      </c>
      <c r="B2869" s="26" t="n">
        <v>44398</v>
      </c>
      <c r="C2869" s="12" t="inlineStr">
        <is>
          <t>VS09</t>
        </is>
      </c>
      <c r="D2869" s="12" t="inlineStr">
        <is>
          <t>Angles &amp; Channels</t>
        </is>
      </c>
      <c r="E2869" s="12" t="inlineStr">
        <is>
          <t>N</t>
        </is>
      </c>
      <c r="F2869" s="12" t="n">
        <v>20.46</v>
      </c>
      <c r="G2869" s="17" t="n">
        <v>104293.93</v>
      </c>
      <c r="H2869" s="26" t="n">
        <v>44401</v>
      </c>
      <c r="I2869" s="26" t="n">
        <v>44402</v>
      </c>
      <c r="J2869" s="12" t="n">
        <v>20.41</v>
      </c>
      <c r="K2869" s="17" t="n">
        <v>2133853.81</v>
      </c>
      <c r="L2869" s="12" t="n">
        <v>0</v>
      </c>
      <c r="M2869" s="12" t="n">
        <v>0</v>
      </c>
      <c r="N2869" s="27">
        <f>F2869-J2869</f>
        <v/>
      </c>
      <c r="O2869" s="16">
        <f>I2869-H2869</f>
        <v/>
      </c>
      <c r="P2869" s="14">
        <f>F2869*G2869</f>
        <v/>
      </c>
      <c r="Q2869" s="14">
        <f>J2869*G2869</f>
        <v/>
      </c>
      <c r="R2869" s="14">
        <f>K2869-Q2869</f>
        <v/>
      </c>
      <c r="S2869" s="3">
        <f>P2869*Assumptions!$B$3/100</f>
        <v/>
      </c>
      <c r="T2869" s="14">
        <f>R2869-S2869</f>
        <v/>
      </c>
      <c r="U2869" s="14">
        <f>L2869*G2869</f>
        <v/>
      </c>
    </row>
    <row r="2870">
      <c r="A2870" s="12" t="inlineStr">
        <is>
          <t>PO-2022-2868</t>
        </is>
      </c>
      <c r="B2870" s="26" t="n">
        <v>44582</v>
      </c>
      <c r="C2870" s="12" t="inlineStr">
        <is>
          <t>VS12</t>
        </is>
      </c>
      <c r="D2870" s="12" t="inlineStr">
        <is>
          <t>GI Pipes</t>
        </is>
      </c>
      <c r="E2870" s="12" t="inlineStr">
        <is>
          <t>N</t>
        </is>
      </c>
      <c r="F2870" s="12" t="n">
        <v>44.29</v>
      </c>
      <c r="G2870" s="17" t="n">
        <v>67494.3</v>
      </c>
      <c r="H2870" s="26" t="n">
        <v>44593</v>
      </c>
      <c r="I2870" s="26" t="n">
        <v>44597</v>
      </c>
      <c r="J2870" s="12" t="n">
        <v>42.92</v>
      </c>
      <c r="K2870" s="17" t="n">
        <v>2989322.55</v>
      </c>
      <c r="L2870" s="12" t="n">
        <v>0.03</v>
      </c>
      <c r="M2870" s="12" t="n">
        <v>24</v>
      </c>
      <c r="N2870" s="27">
        <f>F2870-J2870</f>
        <v/>
      </c>
      <c r="O2870" s="16">
        <f>I2870-H2870</f>
        <v/>
      </c>
      <c r="P2870" s="14">
        <f>F2870*G2870</f>
        <v/>
      </c>
      <c r="Q2870" s="14">
        <f>J2870*G2870</f>
        <v/>
      </c>
      <c r="R2870" s="14">
        <f>K2870-Q2870</f>
        <v/>
      </c>
      <c r="S2870" s="3">
        <f>P2870*Assumptions!$B$3/100</f>
        <v/>
      </c>
      <c r="T2870" s="14">
        <f>R2870-S2870</f>
        <v/>
      </c>
      <c r="U2870" s="14">
        <f>L2870*G2870</f>
        <v/>
      </c>
    </row>
    <row r="2871">
      <c r="A2871" s="12" t="inlineStr">
        <is>
          <t>PO-2022-2869</t>
        </is>
      </c>
      <c r="B2871" s="26" t="n">
        <v>45198</v>
      </c>
      <c r="C2871" s="12" t="inlineStr">
        <is>
          <t>VS30</t>
        </is>
      </c>
      <c r="D2871" s="12" t="inlineStr">
        <is>
          <t>Hex Bars</t>
        </is>
      </c>
      <c r="E2871" s="12" t="inlineStr">
        <is>
          <t>N</t>
        </is>
      </c>
      <c r="F2871" s="12" t="n">
        <v>25.67</v>
      </c>
      <c r="G2871" s="17" t="n">
        <v>109771.73</v>
      </c>
      <c r="H2871" s="26" t="n">
        <v>45208</v>
      </c>
      <c r="I2871" s="26" t="n">
        <v>45211</v>
      </c>
      <c r="J2871" s="12" t="n">
        <v>25.44</v>
      </c>
      <c r="K2871" s="17" t="n">
        <v>2817840.31</v>
      </c>
      <c r="L2871" s="12" t="n">
        <v>0</v>
      </c>
      <c r="M2871" s="12" t="n">
        <v>16</v>
      </c>
      <c r="N2871" s="27">
        <f>F2871-J2871</f>
        <v/>
      </c>
      <c r="O2871" s="16">
        <f>I2871-H2871</f>
        <v/>
      </c>
      <c r="P2871" s="14">
        <f>F2871*G2871</f>
        <v/>
      </c>
      <c r="Q2871" s="14">
        <f>J2871*G2871</f>
        <v/>
      </c>
      <c r="R2871" s="14">
        <f>K2871-Q2871</f>
        <v/>
      </c>
      <c r="S2871" s="3">
        <f>P2871*Assumptions!$B$3/100</f>
        <v/>
      </c>
      <c r="T2871" s="14">
        <f>R2871-S2871</f>
        <v/>
      </c>
      <c r="U2871" s="14">
        <f>L2871*G2871</f>
        <v/>
      </c>
    </row>
    <row r="2872">
      <c r="A2872" s="12" t="inlineStr">
        <is>
          <t>PO-2022-2870</t>
        </is>
      </c>
      <c r="B2872" s="26" t="n">
        <v>44912</v>
      </c>
      <c r="C2872" s="12" t="inlineStr">
        <is>
          <t>VS14</t>
        </is>
      </c>
      <c r="D2872" s="12" t="inlineStr">
        <is>
          <t>Angles &amp; Channels</t>
        </is>
      </c>
      <c r="E2872" s="12" t="inlineStr">
        <is>
          <t>N</t>
        </is>
      </c>
      <c r="F2872" s="12" t="n">
        <v>33.7</v>
      </c>
      <c r="G2872" s="17" t="n">
        <v>71802.32000000001</v>
      </c>
      <c r="H2872" s="26" t="n">
        <v>44918</v>
      </c>
      <c r="I2872" s="26" t="n">
        <v>44921</v>
      </c>
      <c r="J2872" s="12" t="n">
        <v>33.64</v>
      </c>
      <c r="K2872" s="17" t="n">
        <v>2419738.18</v>
      </c>
      <c r="L2872" s="12" t="n">
        <v>0</v>
      </c>
      <c r="M2872" s="12" t="n">
        <v>23</v>
      </c>
      <c r="N2872" s="27">
        <f>F2872-J2872</f>
        <v/>
      </c>
      <c r="O2872" s="16">
        <f>I2872-H2872</f>
        <v/>
      </c>
      <c r="P2872" s="14">
        <f>F2872*G2872</f>
        <v/>
      </c>
      <c r="Q2872" s="14">
        <f>J2872*G2872</f>
        <v/>
      </c>
      <c r="R2872" s="14">
        <f>K2872-Q2872</f>
        <v/>
      </c>
      <c r="S2872" s="3">
        <f>P2872*Assumptions!$B$3/100</f>
        <v/>
      </c>
      <c r="T2872" s="14">
        <f>R2872-S2872</f>
        <v/>
      </c>
      <c r="U2872" s="14">
        <f>L2872*G2872</f>
        <v/>
      </c>
    </row>
    <row r="2873">
      <c r="A2873" s="12" t="inlineStr">
        <is>
          <t>PO-2022-2871</t>
        </is>
      </c>
      <c r="B2873" s="26" t="n">
        <v>45292</v>
      </c>
      <c r="C2873" s="12" t="inlineStr">
        <is>
          <t>VS26</t>
        </is>
      </c>
      <c r="D2873" s="12" t="inlineStr">
        <is>
          <t>GI Pipes</t>
        </is>
      </c>
      <c r="E2873" s="12" t="inlineStr">
        <is>
          <t>N</t>
        </is>
      </c>
      <c r="F2873" s="12" t="n">
        <v>40.14</v>
      </c>
      <c r="G2873" s="17" t="n">
        <v>114191.06</v>
      </c>
      <c r="H2873" s="26" t="n">
        <v>45307</v>
      </c>
      <c r="I2873" s="26" t="n">
        <v>45310</v>
      </c>
      <c r="J2873" s="12" t="n">
        <v>39.84</v>
      </c>
      <c r="K2873" s="17" t="n">
        <v>4583629.15</v>
      </c>
      <c r="L2873" s="12" t="n">
        <v>0</v>
      </c>
      <c r="M2873" s="12" t="n">
        <v>9</v>
      </c>
      <c r="N2873" s="27">
        <f>F2873-J2873</f>
        <v/>
      </c>
      <c r="O2873" s="16">
        <f>I2873-H2873</f>
        <v/>
      </c>
      <c r="P2873" s="14">
        <f>F2873*G2873</f>
        <v/>
      </c>
      <c r="Q2873" s="14">
        <f>J2873*G2873</f>
        <v/>
      </c>
      <c r="R2873" s="14">
        <f>K2873-Q2873</f>
        <v/>
      </c>
      <c r="S2873" s="3">
        <f>P2873*Assumptions!$B$3/100</f>
        <v/>
      </c>
      <c r="T2873" s="14">
        <f>R2873-S2873</f>
        <v/>
      </c>
      <c r="U2873" s="14">
        <f>L2873*G2873</f>
        <v/>
      </c>
    </row>
    <row r="2874">
      <c r="A2874" s="12" t="inlineStr">
        <is>
          <t>PO-2022-2872</t>
        </is>
      </c>
      <c r="B2874" s="26" t="n">
        <v>44279</v>
      </c>
      <c r="C2874" s="12" t="inlineStr">
        <is>
          <t>VS13</t>
        </is>
      </c>
      <c r="D2874" s="12" t="inlineStr">
        <is>
          <t>MS Pipes</t>
        </is>
      </c>
      <c r="E2874" s="12" t="inlineStr">
        <is>
          <t>N</t>
        </is>
      </c>
      <c r="F2874" s="12" t="n">
        <v>14.63</v>
      </c>
      <c r="G2874" s="17" t="n">
        <v>67657.75999999999</v>
      </c>
      <c r="H2874" s="26" t="n">
        <v>44288</v>
      </c>
      <c r="I2874" s="26" t="n">
        <v>44290</v>
      </c>
      <c r="J2874" s="12" t="n">
        <v>14.57</v>
      </c>
      <c r="K2874" s="17" t="n">
        <v>989833.03</v>
      </c>
      <c r="L2874" s="12" t="n">
        <v>0</v>
      </c>
      <c r="M2874" s="12" t="n">
        <v>0</v>
      </c>
      <c r="N2874" s="27">
        <f>F2874-J2874</f>
        <v/>
      </c>
      <c r="O2874" s="16">
        <f>I2874-H2874</f>
        <v/>
      </c>
      <c r="P2874" s="14">
        <f>F2874*G2874</f>
        <v/>
      </c>
      <c r="Q2874" s="14">
        <f>J2874*G2874</f>
        <v/>
      </c>
      <c r="R2874" s="14">
        <f>K2874-Q2874</f>
        <v/>
      </c>
      <c r="S2874" s="3">
        <f>P2874*Assumptions!$B$3/100</f>
        <v/>
      </c>
      <c r="T2874" s="14">
        <f>R2874-S2874</f>
        <v/>
      </c>
      <c r="U2874" s="14">
        <f>L2874*G2874</f>
        <v/>
      </c>
    </row>
    <row r="2875">
      <c r="A2875" s="12" t="inlineStr">
        <is>
          <t>PO-2022-2873</t>
        </is>
      </c>
      <c r="B2875" s="26" t="n">
        <v>44364</v>
      </c>
      <c r="C2875" s="12" t="inlineStr">
        <is>
          <t>VS21</t>
        </is>
      </c>
      <c r="D2875" s="12" t="inlineStr">
        <is>
          <t>ERW Pipes</t>
        </is>
      </c>
      <c r="E2875" s="12" t="inlineStr">
        <is>
          <t>Y</t>
        </is>
      </c>
      <c r="F2875" s="12" t="n">
        <v>23.55</v>
      </c>
      <c r="G2875" s="17" t="n">
        <v>71016.56</v>
      </c>
      <c r="H2875" s="26" t="n">
        <v>44369</v>
      </c>
      <c r="I2875" s="26" t="n">
        <v>44369</v>
      </c>
      <c r="J2875" s="12" t="n">
        <v>23.44</v>
      </c>
      <c r="K2875" s="17" t="n">
        <v>1672439.99</v>
      </c>
      <c r="L2875" s="12" t="n">
        <v>0</v>
      </c>
      <c r="M2875" s="12" t="n">
        <v>0</v>
      </c>
      <c r="N2875" s="27">
        <f>F2875-J2875</f>
        <v/>
      </c>
      <c r="O2875" s="16">
        <f>I2875-H2875</f>
        <v/>
      </c>
      <c r="P2875" s="14">
        <f>F2875*G2875</f>
        <v/>
      </c>
      <c r="Q2875" s="14">
        <f>J2875*G2875</f>
        <v/>
      </c>
      <c r="R2875" s="14">
        <f>K2875-Q2875</f>
        <v/>
      </c>
      <c r="S2875" s="3">
        <f>P2875*Assumptions!$B$3/100</f>
        <v/>
      </c>
      <c r="T2875" s="14">
        <f>R2875-S2875</f>
        <v/>
      </c>
      <c r="U2875" s="14">
        <f>L2875*G2875</f>
        <v/>
      </c>
    </row>
    <row r="2876">
      <c r="A2876" s="12" t="inlineStr">
        <is>
          <t>PO-2022-2874</t>
        </is>
      </c>
      <c r="B2876" s="26" t="n">
        <v>44627</v>
      </c>
      <c r="C2876" s="12" t="inlineStr">
        <is>
          <t>VS06</t>
        </is>
      </c>
      <c r="D2876" s="12" t="inlineStr">
        <is>
          <t>MS Pipes</t>
        </is>
      </c>
      <c r="E2876" s="12" t="inlineStr">
        <is>
          <t>N</t>
        </is>
      </c>
      <c r="F2876" s="12" t="n">
        <v>39.17</v>
      </c>
      <c r="G2876" s="17" t="n">
        <v>93218.38</v>
      </c>
      <c r="H2876" s="26" t="n">
        <v>44632</v>
      </c>
      <c r="I2876" s="26" t="n">
        <v>44632</v>
      </c>
      <c r="J2876" s="12" t="n">
        <v>38.93</v>
      </c>
      <c r="K2876" s="17" t="n">
        <v>3651363.94</v>
      </c>
      <c r="L2876" s="12" t="n">
        <v>0</v>
      </c>
      <c r="M2876" s="12" t="n">
        <v>0</v>
      </c>
      <c r="N2876" s="27">
        <f>F2876-J2876</f>
        <v/>
      </c>
      <c r="O2876" s="16">
        <f>I2876-H2876</f>
        <v/>
      </c>
      <c r="P2876" s="14">
        <f>F2876*G2876</f>
        <v/>
      </c>
      <c r="Q2876" s="14">
        <f>J2876*G2876</f>
        <v/>
      </c>
      <c r="R2876" s="14">
        <f>K2876-Q2876</f>
        <v/>
      </c>
      <c r="S2876" s="3">
        <f>P2876*Assumptions!$B$3/100</f>
        <v/>
      </c>
      <c r="T2876" s="14">
        <f>R2876-S2876</f>
        <v/>
      </c>
      <c r="U2876" s="14">
        <f>L2876*G2876</f>
        <v/>
      </c>
    </row>
    <row r="2877">
      <c r="A2877" s="12" t="inlineStr">
        <is>
          <t>PO-2022-2875</t>
        </is>
      </c>
      <c r="B2877" s="26" t="n">
        <v>44910</v>
      </c>
      <c r="C2877" s="12" t="inlineStr">
        <is>
          <t>VS02</t>
        </is>
      </c>
      <c r="D2877" s="12" t="inlineStr">
        <is>
          <t>SS Pipes</t>
        </is>
      </c>
      <c r="E2877" s="12" t="inlineStr">
        <is>
          <t>Y</t>
        </is>
      </c>
      <c r="F2877" s="12" t="n">
        <v>15.84</v>
      </c>
      <c r="G2877" s="17" t="n">
        <v>80847.66</v>
      </c>
      <c r="H2877" s="26" t="n">
        <v>44923</v>
      </c>
      <c r="I2877" s="26" t="n">
        <v>44926</v>
      </c>
      <c r="J2877" s="12" t="n">
        <v>15.69</v>
      </c>
      <c r="K2877" s="17" t="n">
        <v>1280626.93</v>
      </c>
      <c r="L2877" s="12" t="n">
        <v>0</v>
      </c>
      <c r="M2877" s="12" t="n">
        <v>0</v>
      </c>
      <c r="N2877" s="27">
        <f>F2877-J2877</f>
        <v/>
      </c>
      <c r="O2877" s="16">
        <f>I2877-H2877</f>
        <v/>
      </c>
      <c r="P2877" s="14">
        <f>F2877*G2877</f>
        <v/>
      </c>
      <c r="Q2877" s="14">
        <f>J2877*G2877</f>
        <v/>
      </c>
      <c r="R2877" s="14">
        <f>K2877-Q2877</f>
        <v/>
      </c>
      <c r="S2877" s="3">
        <f>P2877*Assumptions!$B$3/100</f>
        <v/>
      </c>
      <c r="T2877" s="14">
        <f>R2877-S2877</f>
        <v/>
      </c>
      <c r="U2877" s="14">
        <f>L2877*G2877</f>
        <v/>
      </c>
    </row>
    <row r="2878">
      <c r="A2878" s="12" t="inlineStr">
        <is>
          <t>PO-2022-2876</t>
        </is>
      </c>
      <c r="B2878" s="26" t="n">
        <v>45244</v>
      </c>
      <c r="C2878" s="12" t="inlineStr">
        <is>
          <t>VS13</t>
        </is>
      </c>
      <c r="D2878" s="12" t="inlineStr">
        <is>
          <t>GI Pipes</t>
        </is>
      </c>
      <c r="E2878" s="12" t="inlineStr">
        <is>
          <t>N</t>
        </is>
      </c>
      <c r="F2878" s="12" t="n">
        <v>30.99</v>
      </c>
      <c r="G2878" s="17" t="n">
        <v>59724.95</v>
      </c>
      <c r="H2878" s="26" t="n">
        <v>45247</v>
      </c>
      <c r="I2878" s="26" t="n">
        <v>45250</v>
      </c>
      <c r="J2878" s="12" t="n">
        <v>30.71</v>
      </c>
      <c r="K2878" s="17" t="n">
        <v>1850876.2</v>
      </c>
      <c r="L2878" s="12" t="n">
        <v>0</v>
      </c>
      <c r="M2878" s="12" t="n">
        <v>11</v>
      </c>
      <c r="N2878" s="27">
        <f>F2878-J2878</f>
        <v/>
      </c>
      <c r="O2878" s="16">
        <f>I2878-H2878</f>
        <v/>
      </c>
      <c r="P2878" s="14">
        <f>F2878*G2878</f>
        <v/>
      </c>
      <c r="Q2878" s="14">
        <f>J2878*G2878</f>
        <v/>
      </c>
      <c r="R2878" s="14">
        <f>K2878-Q2878</f>
        <v/>
      </c>
      <c r="S2878" s="3">
        <f>P2878*Assumptions!$B$3/100</f>
        <v/>
      </c>
      <c r="T2878" s="14">
        <f>R2878-S2878</f>
        <v/>
      </c>
      <c r="U2878" s="14">
        <f>L2878*G2878</f>
        <v/>
      </c>
    </row>
    <row r="2879">
      <c r="A2879" s="12" t="inlineStr">
        <is>
          <t>PO-2022-2877</t>
        </is>
      </c>
      <c r="B2879" s="26" t="n">
        <v>45048</v>
      </c>
      <c r="C2879" s="12" t="inlineStr">
        <is>
          <t>VS31</t>
        </is>
      </c>
      <c r="D2879" s="12" t="inlineStr">
        <is>
          <t>SS Pipes</t>
        </is>
      </c>
      <c r="E2879" s="12" t="inlineStr">
        <is>
          <t>N</t>
        </is>
      </c>
      <c r="F2879" s="12" t="n">
        <v>11.31</v>
      </c>
      <c r="G2879" s="17" t="n">
        <v>89511.37</v>
      </c>
      <c r="H2879" s="26" t="n">
        <v>45052</v>
      </c>
      <c r="I2879" s="26" t="n">
        <v>45052</v>
      </c>
      <c r="J2879" s="12" t="n">
        <v>11.21</v>
      </c>
      <c r="K2879" s="17" t="n">
        <v>1012373.59</v>
      </c>
      <c r="L2879" s="12" t="n">
        <v>0</v>
      </c>
      <c r="M2879" s="12" t="n">
        <v>0</v>
      </c>
      <c r="N2879" s="27">
        <f>F2879-J2879</f>
        <v/>
      </c>
      <c r="O2879" s="16">
        <f>I2879-H2879</f>
        <v/>
      </c>
      <c r="P2879" s="14">
        <f>F2879*G2879</f>
        <v/>
      </c>
      <c r="Q2879" s="14">
        <f>J2879*G2879</f>
        <v/>
      </c>
      <c r="R2879" s="14">
        <f>K2879-Q2879</f>
        <v/>
      </c>
      <c r="S2879" s="3">
        <f>P2879*Assumptions!$B$3/100</f>
        <v/>
      </c>
      <c r="T2879" s="14">
        <f>R2879-S2879</f>
        <v/>
      </c>
      <c r="U2879" s="14">
        <f>L2879*G2879</f>
        <v/>
      </c>
    </row>
    <row r="2880">
      <c r="A2880" s="12" t="inlineStr">
        <is>
          <t>PO-2022-2878</t>
        </is>
      </c>
      <c r="B2880" s="26" t="n">
        <v>44432</v>
      </c>
      <c r="C2880" s="12" t="inlineStr">
        <is>
          <t>VS10</t>
        </is>
      </c>
      <c r="D2880" s="12" t="inlineStr">
        <is>
          <t>MS Rods</t>
        </is>
      </c>
      <c r="E2880" s="12" t="inlineStr">
        <is>
          <t>N</t>
        </is>
      </c>
      <c r="F2880" s="12" t="n">
        <v>3.37</v>
      </c>
      <c r="G2880" s="17" t="n">
        <v>56319.88</v>
      </c>
      <c r="H2880" s="26" t="n">
        <v>44437</v>
      </c>
      <c r="I2880" s="26" t="n">
        <v>44439</v>
      </c>
      <c r="J2880" s="12" t="n">
        <v>3.34</v>
      </c>
      <c r="K2880" s="17" t="n">
        <v>189798</v>
      </c>
      <c r="L2880" s="12" t="n">
        <v>0</v>
      </c>
      <c r="M2880" s="12" t="n">
        <v>6</v>
      </c>
      <c r="N2880" s="27">
        <f>F2880-J2880</f>
        <v/>
      </c>
      <c r="O2880" s="16">
        <f>I2880-H2880</f>
        <v/>
      </c>
      <c r="P2880" s="14">
        <f>F2880*G2880</f>
        <v/>
      </c>
      <c r="Q2880" s="14">
        <f>J2880*G2880</f>
        <v/>
      </c>
      <c r="R2880" s="14">
        <f>K2880-Q2880</f>
        <v/>
      </c>
      <c r="S2880" s="3">
        <f>P2880*Assumptions!$B$3/100</f>
        <v/>
      </c>
      <c r="T2880" s="14">
        <f>R2880-S2880</f>
        <v/>
      </c>
      <c r="U2880" s="14">
        <f>L2880*G2880</f>
        <v/>
      </c>
    </row>
    <row r="2881">
      <c r="A2881" s="12" t="inlineStr">
        <is>
          <t>PO-2022-2879</t>
        </is>
      </c>
      <c r="B2881" s="26" t="n">
        <v>44433</v>
      </c>
      <c r="C2881" s="12" t="inlineStr">
        <is>
          <t>VS14</t>
        </is>
      </c>
      <c r="D2881" s="12" t="inlineStr">
        <is>
          <t>MS Sheets</t>
        </is>
      </c>
      <c r="E2881" s="12" t="inlineStr">
        <is>
          <t>N</t>
        </is>
      </c>
      <c r="F2881" s="12" t="n">
        <v>6.79</v>
      </c>
      <c r="G2881" s="17" t="n">
        <v>96508.95</v>
      </c>
      <c r="H2881" s="26" t="n">
        <v>44447</v>
      </c>
      <c r="I2881" s="26" t="n">
        <v>44448</v>
      </c>
      <c r="J2881" s="12" t="n">
        <v>6.73</v>
      </c>
      <c r="K2881" s="17" t="n">
        <v>655295.77</v>
      </c>
      <c r="L2881" s="12" t="n">
        <v>0</v>
      </c>
      <c r="M2881" s="12" t="n">
        <v>24</v>
      </c>
      <c r="N2881" s="27">
        <f>F2881-J2881</f>
        <v/>
      </c>
      <c r="O2881" s="16">
        <f>I2881-H2881</f>
        <v/>
      </c>
      <c r="P2881" s="14">
        <f>F2881*G2881</f>
        <v/>
      </c>
      <c r="Q2881" s="14">
        <f>J2881*G2881</f>
        <v/>
      </c>
      <c r="R2881" s="14">
        <f>K2881-Q2881</f>
        <v/>
      </c>
      <c r="S2881" s="3">
        <f>P2881*Assumptions!$B$3/100</f>
        <v/>
      </c>
      <c r="T2881" s="14">
        <f>R2881-S2881</f>
        <v/>
      </c>
      <c r="U2881" s="14">
        <f>L2881*G2881</f>
        <v/>
      </c>
    </row>
    <row r="2882">
      <c r="A2882" s="12" t="inlineStr">
        <is>
          <t>PO-2022-2880</t>
        </is>
      </c>
      <c r="B2882" s="26" t="n">
        <v>45139</v>
      </c>
      <c r="C2882" s="12" t="inlineStr">
        <is>
          <t>VS27</t>
        </is>
      </c>
      <c r="D2882" s="12" t="inlineStr">
        <is>
          <t>Fasteners &amp; Fittings</t>
        </is>
      </c>
      <c r="E2882" s="12" t="inlineStr">
        <is>
          <t>N</t>
        </is>
      </c>
      <c r="F2882" s="12" t="n">
        <v>37.88</v>
      </c>
      <c r="G2882" s="17" t="n">
        <v>55472.63</v>
      </c>
      <c r="H2882" s="26" t="n">
        <v>45143</v>
      </c>
      <c r="I2882" s="26" t="n">
        <v>45143</v>
      </c>
      <c r="J2882" s="12" t="n">
        <v>37.85</v>
      </c>
      <c r="K2882" s="17" t="n">
        <v>2101303.22</v>
      </c>
      <c r="L2882" s="12" t="n">
        <v>0</v>
      </c>
      <c r="M2882" s="12" t="n">
        <v>20</v>
      </c>
      <c r="N2882" s="27">
        <f>F2882-J2882</f>
        <v/>
      </c>
      <c r="O2882" s="16">
        <f>I2882-H2882</f>
        <v/>
      </c>
      <c r="P2882" s="14">
        <f>F2882*G2882</f>
        <v/>
      </c>
      <c r="Q2882" s="14">
        <f>J2882*G2882</f>
        <v/>
      </c>
      <c r="R2882" s="14">
        <f>K2882-Q2882</f>
        <v/>
      </c>
      <c r="S2882" s="3">
        <f>P2882*Assumptions!$B$3/100</f>
        <v/>
      </c>
      <c r="T2882" s="14">
        <f>R2882-S2882</f>
        <v/>
      </c>
      <c r="U2882" s="14">
        <f>L2882*G2882</f>
        <v/>
      </c>
    </row>
    <row r="2883">
      <c r="A2883" s="12" t="inlineStr">
        <is>
          <t>PO-2022-2881</t>
        </is>
      </c>
      <c r="B2883" s="26" t="n">
        <v>44379</v>
      </c>
      <c r="C2883" s="12" t="inlineStr">
        <is>
          <t>VS08</t>
        </is>
      </c>
      <c r="D2883" s="12" t="inlineStr">
        <is>
          <t>ERW Pipes</t>
        </is>
      </c>
      <c r="E2883" s="12" t="inlineStr">
        <is>
          <t>N</t>
        </is>
      </c>
      <c r="F2883" s="12" t="n">
        <v>19.75</v>
      </c>
      <c r="G2883" s="17" t="n">
        <v>52837.91</v>
      </c>
      <c r="H2883" s="26" t="n">
        <v>44384</v>
      </c>
      <c r="I2883" s="26" t="n">
        <v>44385</v>
      </c>
      <c r="J2883" s="12" t="n">
        <v>19.73</v>
      </c>
      <c r="K2883" s="17" t="n">
        <v>1043548.72</v>
      </c>
      <c r="L2883" s="12" t="n">
        <v>0</v>
      </c>
      <c r="M2883" s="12" t="n">
        <v>8</v>
      </c>
      <c r="N2883" s="27">
        <f>F2883-J2883</f>
        <v/>
      </c>
      <c r="O2883" s="16">
        <f>I2883-H2883</f>
        <v/>
      </c>
      <c r="P2883" s="14">
        <f>F2883*G2883</f>
        <v/>
      </c>
      <c r="Q2883" s="14">
        <f>J2883*G2883</f>
        <v/>
      </c>
      <c r="R2883" s="14">
        <f>K2883-Q2883</f>
        <v/>
      </c>
      <c r="S2883" s="3">
        <f>P2883*Assumptions!$B$3/100</f>
        <v/>
      </c>
      <c r="T2883" s="14">
        <f>R2883-S2883</f>
        <v/>
      </c>
      <c r="U2883" s="14">
        <f>L2883*G2883</f>
        <v/>
      </c>
    </row>
    <row r="2884">
      <c r="A2884" s="12" t="inlineStr">
        <is>
          <t>PO-2022-2882</t>
        </is>
      </c>
      <c r="B2884" s="26" t="n">
        <v>44282</v>
      </c>
      <c r="C2884" s="12" t="inlineStr">
        <is>
          <t>VS08</t>
        </is>
      </c>
      <c r="D2884" s="12" t="inlineStr">
        <is>
          <t>GI Pipes</t>
        </is>
      </c>
      <c r="E2884" s="12" t="inlineStr">
        <is>
          <t>N</t>
        </is>
      </c>
      <c r="F2884" s="12" t="n">
        <v>22.88</v>
      </c>
      <c r="G2884" s="17" t="n">
        <v>99224.95</v>
      </c>
      <c r="H2884" s="26" t="n">
        <v>44295</v>
      </c>
      <c r="I2884" s="26" t="n">
        <v>44296</v>
      </c>
      <c r="J2884" s="12" t="n">
        <v>22.78</v>
      </c>
      <c r="K2884" s="17" t="n">
        <v>2270266.86</v>
      </c>
      <c r="L2884" s="12" t="n">
        <v>0</v>
      </c>
      <c r="M2884" s="12" t="n">
        <v>0</v>
      </c>
      <c r="N2884" s="27">
        <f>F2884-J2884</f>
        <v/>
      </c>
      <c r="O2884" s="16">
        <f>I2884-H2884</f>
        <v/>
      </c>
      <c r="P2884" s="14">
        <f>F2884*G2884</f>
        <v/>
      </c>
      <c r="Q2884" s="14">
        <f>J2884*G2884</f>
        <v/>
      </c>
      <c r="R2884" s="14">
        <f>K2884-Q2884</f>
        <v/>
      </c>
      <c r="S2884" s="3">
        <f>P2884*Assumptions!$B$3/100</f>
        <v/>
      </c>
      <c r="T2884" s="14">
        <f>R2884-S2884</f>
        <v/>
      </c>
      <c r="U2884" s="14">
        <f>L2884*G2884</f>
        <v/>
      </c>
    </row>
    <row r="2885">
      <c r="A2885" s="12" t="inlineStr">
        <is>
          <t>PO-2022-2883</t>
        </is>
      </c>
      <c r="B2885" s="26" t="n">
        <v>45280</v>
      </c>
      <c r="C2885" s="12" t="inlineStr">
        <is>
          <t>VS29</t>
        </is>
      </c>
      <c r="D2885" s="12" t="inlineStr">
        <is>
          <t>HR Coils</t>
        </is>
      </c>
      <c r="E2885" s="12" t="inlineStr">
        <is>
          <t>N</t>
        </is>
      </c>
      <c r="F2885" s="12" t="n">
        <v>10.7</v>
      </c>
      <c r="G2885" s="17" t="n">
        <v>91723.05</v>
      </c>
      <c r="H2885" s="26" t="n">
        <v>45294</v>
      </c>
      <c r="I2885" s="26" t="n">
        <v>45297</v>
      </c>
      <c r="J2885" s="12" t="n">
        <v>10.68</v>
      </c>
      <c r="K2885" s="17" t="n">
        <v>981436.64</v>
      </c>
      <c r="L2885" s="12" t="n">
        <v>0</v>
      </c>
      <c r="M2885" s="12" t="n">
        <v>11</v>
      </c>
      <c r="N2885" s="27">
        <f>F2885-J2885</f>
        <v/>
      </c>
      <c r="O2885" s="16">
        <f>I2885-H2885</f>
        <v/>
      </c>
      <c r="P2885" s="14">
        <f>F2885*G2885</f>
        <v/>
      </c>
      <c r="Q2885" s="14">
        <f>J2885*G2885</f>
        <v/>
      </c>
      <c r="R2885" s="14">
        <f>K2885-Q2885</f>
        <v/>
      </c>
      <c r="S2885" s="3">
        <f>P2885*Assumptions!$B$3/100</f>
        <v/>
      </c>
      <c r="T2885" s="14">
        <f>R2885-S2885</f>
        <v/>
      </c>
      <c r="U2885" s="14">
        <f>L2885*G2885</f>
        <v/>
      </c>
    </row>
    <row r="2886">
      <c r="A2886" s="12" t="inlineStr">
        <is>
          <t>PO-2022-2884</t>
        </is>
      </c>
      <c r="B2886" s="26" t="n">
        <v>44635</v>
      </c>
      <c r="C2886" s="12" t="inlineStr">
        <is>
          <t>VS03</t>
        </is>
      </c>
      <c r="D2886" s="12" t="inlineStr">
        <is>
          <t>SS Sheets</t>
        </is>
      </c>
      <c r="E2886" s="12" t="inlineStr">
        <is>
          <t>N</t>
        </is>
      </c>
      <c r="F2886" s="12" t="n">
        <v>29.02</v>
      </c>
      <c r="G2886" s="17" t="n">
        <v>80452.99000000001</v>
      </c>
      <c r="H2886" s="26" t="n">
        <v>44643</v>
      </c>
      <c r="I2886" s="26" t="n">
        <v>44650</v>
      </c>
      <c r="J2886" s="12" t="n">
        <v>27.69</v>
      </c>
      <c r="K2886" s="17" t="n">
        <v>2334745.77</v>
      </c>
      <c r="L2886" s="12" t="n">
        <v>1.28</v>
      </c>
      <c r="M2886" s="12" t="n">
        <v>20</v>
      </c>
      <c r="N2886" s="27">
        <f>F2886-J2886</f>
        <v/>
      </c>
      <c r="O2886" s="16">
        <f>I2886-H2886</f>
        <v/>
      </c>
      <c r="P2886" s="14">
        <f>F2886*G2886</f>
        <v/>
      </c>
      <c r="Q2886" s="14">
        <f>J2886*G2886</f>
        <v/>
      </c>
      <c r="R2886" s="14">
        <f>K2886-Q2886</f>
        <v/>
      </c>
      <c r="S2886" s="3">
        <f>P2886*Assumptions!$B$3/100</f>
        <v/>
      </c>
      <c r="T2886" s="14">
        <f>R2886-S2886</f>
        <v/>
      </c>
      <c r="U2886" s="14">
        <f>L2886*G2886</f>
        <v/>
      </c>
    </row>
    <row r="2887">
      <c r="A2887" s="12" t="inlineStr">
        <is>
          <t>PO-2022-2885</t>
        </is>
      </c>
      <c r="B2887" s="26" t="n">
        <v>44623</v>
      </c>
      <c r="C2887" s="12" t="inlineStr">
        <is>
          <t>VS01</t>
        </is>
      </c>
      <c r="D2887" s="12" t="inlineStr">
        <is>
          <t>MS Sheets</t>
        </is>
      </c>
      <c r="E2887" s="12" t="inlineStr">
        <is>
          <t>N</t>
        </is>
      </c>
      <c r="F2887" s="12" t="n">
        <v>23.31</v>
      </c>
      <c r="G2887" s="17" t="n">
        <v>110765.44</v>
      </c>
      <c r="H2887" s="26" t="n">
        <v>44638</v>
      </c>
      <c r="I2887" s="26" t="n">
        <v>44641</v>
      </c>
      <c r="J2887" s="12" t="n">
        <v>23.28</v>
      </c>
      <c r="K2887" s="17" t="n">
        <v>2581942.41</v>
      </c>
      <c r="L2887" s="12" t="n">
        <v>0</v>
      </c>
      <c r="M2887" s="12" t="n">
        <v>19</v>
      </c>
      <c r="N2887" s="27">
        <f>F2887-J2887</f>
        <v/>
      </c>
      <c r="O2887" s="16">
        <f>I2887-H2887</f>
        <v/>
      </c>
      <c r="P2887" s="14">
        <f>F2887*G2887</f>
        <v/>
      </c>
      <c r="Q2887" s="14">
        <f>J2887*G2887</f>
        <v/>
      </c>
      <c r="R2887" s="14">
        <f>K2887-Q2887</f>
        <v/>
      </c>
      <c r="S2887" s="3">
        <f>P2887*Assumptions!$B$3/100</f>
        <v/>
      </c>
      <c r="T2887" s="14">
        <f>R2887-S2887</f>
        <v/>
      </c>
      <c r="U2887" s="14">
        <f>L2887*G2887</f>
        <v/>
      </c>
    </row>
    <row r="2888">
      <c r="A2888" s="12" t="inlineStr">
        <is>
          <t>PO-2022-2886</t>
        </is>
      </c>
      <c r="B2888" s="26" t="n">
        <v>44814</v>
      </c>
      <c r="C2888" s="12" t="inlineStr">
        <is>
          <t>VS34</t>
        </is>
      </c>
      <c r="D2888" s="12" t="inlineStr">
        <is>
          <t>ERW Pipes</t>
        </is>
      </c>
      <c r="E2888" s="12" t="inlineStr">
        <is>
          <t>N</t>
        </is>
      </c>
      <c r="F2888" s="12" t="n">
        <v>8.33</v>
      </c>
      <c r="G2888" s="17" t="n">
        <v>103875.08</v>
      </c>
      <c r="H2888" s="26" t="n">
        <v>44819</v>
      </c>
      <c r="I2888" s="26" t="n">
        <v>44821</v>
      </c>
      <c r="J2888" s="12" t="n">
        <v>8.26</v>
      </c>
      <c r="K2888" s="17" t="n">
        <v>865279.42</v>
      </c>
      <c r="L2888" s="12" t="n">
        <v>0</v>
      </c>
      <c r="M2888" s="12" t="n">
        <v>0</v>
      </c>
      <c r="N2888" s="27">
        <f>F2888-J2888</f>
        <v/>
      </c>
      <c r="O2888" s="16">
        <f>I2888-H2888</f>
        <v/>
      </c>
      <c r="P2888" s="14">
        <f>F2888*G2888</f>
        <v/>
      </c>
      <c r="Q2888" s="14">
        <f>J2888*G2888</f>
        <v/>
      </c>
      <c r="R2888" s="14">
        <f>K2888-Q2888</f>
        <v/>
      </c>
      <c r="S2888" s="3">
        <f>P2888*Assumptions!$B$3/100</f>
        <v/>
      </c>
      <c r="T2888" s="14">
        <f>R2888-S2888</f>
        <v/>
      </c>
      <c r="U2888" s="14">
        <f>L2888*G2888</f>
        <v/>
      </c>
    </row>
    <row r="2889">
      <c r="A2889" s="12" t="inlineStr">
        <is>
          <t>PO-2022-2887</t>
        </is>
      </c>
      <c r="B2889" s="26" t="n">
        <v>44402</v>
      </c>
      <c r="C2889" s="12" t="inlineStr">
        <is>
          <t>VS06</t>
        </is>
      </c>
      <c r="D2889" s="12" t="inlineStr">
        <is>
          <t>SS Sheets</t>
        </is>
      </c>
      <c r="E2889" s="12" t="inlineStr">
        <is>
          <t>N</t>
        </is>
      </c>
      <c r="F2889" s="12" t="n">
        <v>2.11</v>
      </c>
      <c r="G2889" s="17" t="n">
        <v>86879</v>
      </c>
      <c r="H2889" s="26" t="n">
        <v>44411</v>
      </c>
      <c r="I2889" s="26" t="n">
        <v>44414</v>
      </c>
      <c r="J2889" s="12" t="n">
        <v>2.1</v>
      </c>
      <c r="K2889" s="17" t="n">
        <v>183314.69</v>
      </c>
      <c r="L2889" s="12" t="n">
        <v>0</v>
      </c>
      <c r="M2889" s="12" t="n">
        <v>12</v>
      </c>
      <c r="N2889" s="27">
        <f>F2889-J2889</f>
        <v/>
      </c>
      <c r="O2889" s="16">
        <f>I2889-H2889</f>
        <v/>
      </c>
      <c r="P2889" s="14">
        <f>F2889*G2889</f>
        <v/>
      </c>
      <c r="Q2889" s="14">
        <f>J2889*G2889</f>
        <v/>
      </c>
      <c r="R2889" s="14">
        <f>K2889-Q2889</f>
        <v/>
      </c>
      <c r="S2889" s="3">
        <f>P2889*Assumptions!$B$3/100</f>
        <v/>
      </c>
      <c r="T2889" s="14">
        <f>R2889-S2889</f>
        <v/>
      </c>
      <c r="U2889" s="14">
        <f>L2889*G2889</f>
        <v/>
      </c>
    </row>
    <row r="2890">
      <c r="A2890" s="12" t="inlineStr">
        <is>
          <t>PO-2022-2888</t>
        </is>
      </c>
      <c r="B2890" s="26" t="n">
        <v>45271</v>
      </c>
      <c r="C2890" s="12" t="inlineStr">
        <is>
          <t>VS09</t>
        </is>
      </c>
      <c r="D2890" s="12" t="inlineStr">
        <is>
          <t>MS Flats</t>
        </is>
      </c>
      <c r="E2890" s="12" t="inlineStr">
        <is>
          <t>N</t>
        </is>
      </c>
      <c r="F2890" s="12" t="n">
        <v>43.13</v>
      </c>
      <c r="G2890" s="17" t="n">
        <v>88232.22</v>
      </c>
      <c r="H2890" s="26" t="n">
        <v>45279</v>
      </c>
      <c r="I2890" s="26" t="n">
        <v>45282</v>
      </c>
      <c r="J2890" s="12" t="n">
        <v>42.92</v>
      </c>
      <c r="K2890" s="17" t="n">
        <v>3805455.65</v>
      </c>
      <c r="L2890" s="12" t="n">
        <v>0</v>
      </c>
      <c r="M2890" s="12" t="n">
        <v>19</v>
      </c>
      <c r="N2890" s="27">
        <f>F2890-J2890</f>
        <v/>
      </c>
      <c r="O2890" s="16">
        <f>I2890-H2890</f>
        <v/>
      </c>
      <c r="P2890" s="14">
        <f>F2890*G2890</f>
        <v/>
      </c>
      <c r="Q2890" s="14">
        <f>J2890*G2890</f>
        <v/>
      </c>
      <c r="R2890" s="14">
        <f>K2890-Q2890</f>
        <v/>
      </c>
      <c r="S2890" s="3">
        <f>P2890*Assumptions!$B$3/100</f>
        <v/>
      </c>
      <c r="T2890" s="14">
        <f>R2890-S2890</f>
        <v/>
      </c>
      <c r="U2890" s="14">
        <f>L2890*G2890</f>
        <v/>
      </c>
    </row>
    <row r="2891">
      <c r="A2891" s="12" t="inlineStr">
        <is>
          <t>PO-2022-2889</t>
        </is>
      </c>
      <c r="B2891" s="26" t="n">
        <v>44472</v>
      </c>
      <c r="C2891" s="12" t="inlineStr">
        <is>
          <t>VS10</t>
        </is>
      </c>
      <c r="D2891" s="12" t="inlineStr">
        <is>
          <t>SS Sheets</t>
        </is>
      </c>
      <c r="E2891" s="12" t="inlineStr">
        <is>
          <t>N</t>
        </is>
      </c>
      <c r="F2891" s="12" t="n">
        <v>19.4</v>
      </c>
      <c r="G2891" s="17" t="n">
        <v>46283.62</v>
      </c>
      <c r="H2891" s="26" t="n">
        <v>44484</v>
      </c>
      <c r="I2891" s="26" t="n">
        <v>44485</v>
      </c>
      <c r="J2891" s="12" t="n">
        <v>19.21</v>
      </c>
      <c r="K2891" s="17" t="n">
        <v>897902.23</v>
      </c>
      <c r="L2891" s="12" t="n">
        <v>0</v>
      </c>
      <c r="M2891" s="12" t="n">
        <v>17</v>
      </c>
      <c r="N2891" s="27">
        <f>F2891-J2891</f>
        <v/>
      </c>
      <c r="O2891" s="16">
        <f>I2891-H2891</f>
        <v/>
      </c>
      <c r="P2891" s="14">
        <f>F2891*G2891</f>
        <v/>
      </c>
      <c r="Q2891" s="14">
        <f>J2891*G2891</f>
        <v/>
      </c>
      <c r="R2891" s="14">
        <f>K2891-Q2891</f>
        <v/>
      </c>
      <c r="S2891" s="3">
        <f>P2891*Assumptions!$B$3/100</f>
        <v/>
      </c>
      <c r="T2891" s="14">
        <f>R2891-S2891</f>
        <v/>
      </c>
      <c r="U2891" s="14">
        <f>L2891*G2891</f>
        <v/>
      </c>
    </row>
    <row r="2892">
      <c r="A2892" s="12" t="inlineStr">
        <is>
          <t>PO-2022-2890</t>
        </is>
      </c>
      <c r="B2892" s="26" t="n">
        <v>44593</v>
      </c>
      <c r="C2892" s="12" t="inlineStr">
        <is>
          <t>VS24</t>
        </is>
      </c>
      <c r="D2892" s="12" t="inlineStr">
        <is>
          <t>Angles &amp; Channels</t>
        </is>
      </c>
      <c r="E2892" s="12" t="inlineStr">
        <is>
          <t>N</t>
        </is>
      </c>
      <c r="F2892" s="12" t="n">
        <v>36.36</v>
      </c>
      <c r="G2892" s="17" t="n">
        <v>107973.45</v>
      </c>
      <c r="H2892" s="26" t="n">
        <v>44597</v>
      </c>
      <c r="I2892" s="26" t="n">
        <v>44597</v>
      </c>
      <c r="J2892" s="12" t="n">
        <v>36.1</v>
      </c>
      <c r="K2892" s="17" t="n">
        <v>3925914.64</v>
      </c>
      <c r="L2892" s="12" t="n">
        <v>0</v>
      </c>
      <c r="M2892" s="12" t="n">
        <v>11</v>
      </c>
      <c r="N2892" s="27">
        <f>F2892-J2892</f>
        <v/>
      </c>
      <c r="O2892" s="16">
        <f>I2892-H2892</f>
        <v/>
      </c>
      <c r="P2892" s="14">
        <f>F2892*G2892</f>
        <v/>
      </c>
      <c r="Q2892" s="14">
        <f>J2892*G2892</f>
        <v/>
      </c>
      <c r="R2892" s="14">
        <f>K2892-Q2892</f>
        <v/>
      </c>
      <c r="S2892" s="3">
        <f>P2892*Assumptions!$B$3/100</f>
        <v/>
      </c>
      <c r="T2892" s="14">
        <f>R2892-S2892</f>
        <v/>
      </c>
      <c r="U2892" s="14">
        <f>L2892*G2892</f>
        <v/>
      </c>
    </row>
    <row r="2893">
      <c r="A2893" s="12" t="inlineStr">
        <is>
          <t>PO-2022-2891</t>
        </is>
      </c>
      <c r="B2893" s="26" t="n">
        <v>44199</v>
      </c>
      <c r="C2893" s="12" t="inlineStr">
        <is>
          <t>VS14</t>
        </is>
      </c>
      <c r="D2893" s="12" t="inlineStr">
        <is>
          <t>Angles &amp; Channels</t>
        </is>
      </c>
      <c r="E2893" s="12" t="inlineStr">
        <is>
          <t>N</t>
        </is>
      </c>
      <c r="F2893" s="12" t="n">
        <v>7.28</v>
      </c>
      <c r="G2893" s="17" t="n">
        <v>97092.03999999999</v>
      </c>
      <c r="H2893" s="26" t="n">
        <v>44209</v>
      </c>
      <c r="I2893" s="26" t="n">
        <v>44211</v>
      </c>
      <c r="J2893" s="12" t="n">
        <v>7.22</v>
      </c>
      <c r="K2893" s="17" t="n">
        <v>706830.05</v>
      </c>
      <c r="L2893" s="12" t="n">
        <v>0</v>
      </c>
      <c r="M2893" s="12" t="n">
        <v>16</v>
      </c>
      <c r="N2893" s="27">
        <f>F2893-J2893</f>
        <v/>
      </c>
      <c r="O2893" s="16">
        <f>I2893-H2893</f>
        <v/>
      </c>
      <c r="P2893" s="14">
        <f>F2893*G2893</f>
        <v/>
      </c>
      <c r="Q2893" s="14">
        <f>J2893*G2893</f>
        <v/>
      </c>
      <c r="R2893" s="14">
        <f>K2893-Q2893</f>
        <v/>
      </c>
      <c r="S2893" s="3">
        <f>P2893*Assumptions!$B$3/100</f>
        <v/>
      </c>
      <c r="T2893" s="14">
        <f>R2893-S2893</f>
        <v/>
      </c>
      <c r="U2893" s="14">
        <f>L2893*G2893</f>
        <v/>
      </c>
    </row>
    <row r="2894">
      <c r="A2894" s="12" t="inlineStr">
        <is>
          <t>PO-2022-2892</t>
        </is>
      </c>
      <c r="B2894" s="26" t="n">
        <v>44231</v>
      </c>
      <c r="C2894" s="12" t="inlineStr">
        <is>
          <t>VS07</t>
        </is>
      </c>
      <c r="D2894" s="12" t="inlineStr">
        <is>
          <t>HR Coils</t>
        </is>
      </c>
      <c r="E2894" s="12" t="inlineStr">
        <is>
          <t>N</t>
        </is>
      </c>
      <c r="F2894" s="12" t="n">
        <v>48.48</v>
      </c>
      <c r="G2894" s="17" t="n">
        <v>53898.77</v>
      </c>
      <c r="H2894" s="26" t="n">
        <v>44238</v>
      </c>
      <c r="I2894" s="26" t="n">
        <v>44238</v>
      </c>
      <c r="J2894" s="12" t="n">
        <v>48.31</v>
      </c>
      <c r="K2894" s="17" t="n">
        <v>2613012.37</v>
      </c>
      <c r="L2894" s="12" t="n">
        <v>0</v>
      </c>
      <c r="M2894" s="12" t="n">
        <v>0</v>
      </c>
      <c r="N2894" s="27">
        <f>F2894-J2894</f>
        <v/>
      </c>
      <c r="O2894" s="16">
        <f>I2894-H2894</f>
        <v/>
      </c>
      <c r="P2894" s="14">
        <f>F2894*G2894</f>
        <v/>
      </c>
      <c r="Q2894" s="14">
        <f>J2894*G2894</f>
        <v/>
      </c>
      <c r="R2894" s="14">
        <f>K2894-Q2894</f>
        <v/>
      </c>
      <c r="S2894" s="3">
        <f>P2894*Assumptions!$B$3/100</f>
        <v/>
      </c>
      <c r="T2894" s="14">
        <f>R2894-S2894</f>
        <v/>
      </c>
      <c r="U2894" s="14">
        <f>L2894*G2894</f>
        <v/>
      </c>
    </row>
    <row r="2895">
      <c r="A2895" s="12" t="inlineStr">
        <is>
          <t>PO-2022-2893</t>
        </is>
      </c>
      <c r="B2895" s="26" t="n">
        <v>44587</v>
      </c>
      <c r="C2895" s="12" t="inlineStr">
        <is>
          <t>VS28</t>
        </is>
      </c>
      <c r="D2895" s="12" t="inlineStr">
        <is>
          <t>Angles &amp; Channels</t>
        </is>
      </c>
      <c r="E2895" s="12" t="inlineStr">
        <is>
          <t>N</t>
        </is>
      </c>
      <c r="F2895" s="12" t="n">
        <v>27.94</v>
      </c>
      <c r="G2895" s="17" t="n">
        <v>85472.95</v>
      </c>
      <c r="H2895" s="26" t="n">
        <v>44596</v>
      </c>
      <c r="I2895" s="26" t="n">
        <v>44599</v>
      </c>
      <c r="J2895" s="12" t="n">
        <v>27.71</v>
      </c>
      <c r="K2895" s="17" t="n">
        <v>2388114.22</v>
      </c>
      <c r="L2895" s="12" t="n">
        <v>0</v>
      </c>
      <c r="M2895" s="12" t="n">
        <v>0</v>
      </c>
      <c r="N2895" s="27">
        <f>F2895-J2895</f>
        <v/>
      </c>
      <c r="O2895" s="16">
        <f>I2895-H2895</f>
        <v/>
      </c>
      <c r="P2895" s="14">
        <f>F2895*G2895</f>
        <v/>
      </c>
      <c r="Q2895" s="14">
        <f>J2895*G2895</f>
        <v/>
      </c>
      <c r="R2895" s="14">
        <f>K2895-Q2895</f>
        <v/>
      </c>
      <c r="S2895" s="3">
        <f>P2895*Assumptions!$B$3/100</f>
        <v/>
      </c>
      <c r="T2895" s="14">
        <f>R2895-S2895</f>
        <v/>
      </c>
      <c r="U2895" s="14">
        <f>L2895*G2895</f>
        <v/>
      </c>
    </row>
    <row r="2896">
      <c r="A2896" s="12" t="inlineStr">
        <is>
          <t>PO-2022-2894</t>
        </is>
      </c>
      <c r="B2896" s="26" t="n">
        <v>44825</v>
      </c>
      <c r="C2896" s="12" t="inlineStr">
        <is>
          <t>VS09</t>
        </is>
      </c>
      <c r="D2896" s="12" t="inlineStr">
        <is>
          <t>GI Sheets</t>
        </is>
      </c>
      <c r="E2896" s="12" t="inlineStr">
        <is>
          <t>N</t>
        </is>
      </c>
      <c r="F2896" s="12" t="n">
        <v>42.47</v>
      </c>
      <c r="G2896" s="17" t="n">
        <v>64451.79</v>
      </c>
      <c r="H2896" s="26" t="n">
        <v>44829</v>
      </c>
      <c r="I2896" s="26" t="n">
        <v>44832</v>
      </c>
      <c r="J2896" s="12" t="n">
        <v>42.07</v>
      </c>
      <c r="K2896" s="17" t="n">
        <v>2737267.52</v>
      </c>
      <c r="L2896" s="12" t="n">
        <v>0</v>
      </c>
      <c r="M2896" s="12" t="n">
        <v>0</v>
      </c>
      <c r="N2896" s="27">
        <f>F2896-J2896</f>
        <v/>
      </c>
      <c r="O2896" s="16">
        <f>I2896-H2896</f>
        <v/>
      </c>
      <c r="P2896" s="14">
        <f>F2896*G2896</f>
        <v/>
      </c>
      <c r="Q2896" s="14">
        <f>J2896*G2896</f>
        <v/>
      </c>
      <c r="R2896" s="14">
        <f>K2896-Q2896</f>
        <v/>
      </c>
      <c r="S2896" s="3">
        <f>P2896*Assumptions!$B$3/100</f>
        <v/>
      </c>
      <c r="T2896" s="14">
        <f>R2896-S2896</f>
        <v/>
      </c>
      <c r="U2896" s="14">
        <f>L2896*G2896</f>
        <v/>
      </c>
    </row>
    <row r="2897">
      <c r="A2897" s="12" t="inlineStr">
        <is>
          <t>PO-2022-2895</t>
        </is>
      </c>
      <c r="B2897" s="26" t="n">
        <v>44516</v>
      </c>
      <c r="C2897" s="12" t="inlineStr">
        <is>
          <t>VS02</t>
        </is>
      </c>
      <c r="D2897" s="12" t="inlineStr">
        <is>
          <t>Square/Rect Tubes</t>
        </is>
      </c>
      <c r="E2897" s="12" t="inlineStr">
        <is>
          <t>N</t>
        </is>
      </c>
      <c r="F2897" s="12" t="n">
        <v>49.51</v>
      </c>
      <c r="G2897" s="17" t="n">
        <v>114763.89</v>
      </c>
      <c r="H2897" s="26" t="n">
        <v>44525</v>
      </c>
      <c r="I2897" s="26" t="n">
        <v>44527</v>
      </c>
      <c r="J2897" s="12" t="n">
        <v>49.1</v>
      </c>
      <c r="K2897" s="17" t="n">
        <v>5681960.19</v>
      </c>
      <c r="L2897" s="12" t="n">
        <v>0</v>
      </c>
      <c r="M2897" s="12" t="n">
        <v>14</v>
      </c>
      <c r="N2897" s="27">
        <f>F2897-J2897</f>
        <v/>
      </c>
      <c r="O2897" s="16">
        <f>I2897-H2897</f>
        <v/>
      </c>
      <c r="P2897" s="14">
        <f>F2897*G2897</f>
        <v/>
      </c>
      <c r="Q2897" s="14">
        <f>J2897*G2897</f>
        <v/>
      </c>
      <c r="R2897" s="14">
        <f>K2897-Q2897</f>
        <v/>
      </c>
      <c r="S2897" s="3">
        <f>P2897*Assumptions!$B$3/100</f>
        <v/>
      </c>
      <c r="T2897" s="14">
        <f>R2897-S2897</f>
        <v/>
      </c>
      <c r="U2897" s="14">
        <f>L2897*G2897</f>
        <v/>
      </c>
    </row>
    <row r="2898">
      <c r="A2898" s="12" t="inlineStr">
        <is>
          <t>PO-2022-2896</t>
        </is>
      </c>
      <c r="B2898" s="26" t="n">
        <v>44449</v>
      </c>
      <c r="C2898" s="12" t="inlineStr">
        <is>
          <t>VS24</t>
        </is>
      </c>
      <c r="D2898" s="12" t="inlineStr">
        <is>
          <t>MS Sheets</t>
        </is>
      </c>
      <c r="E2898" s="12" t="inlineStr">
        <is>
          <t>N</t>
        </is>
      </c>
      <c r="F2898" s="12" t="n">
        <v>24.49</v>
      </c>
      <c r="G2898" s="17" t="n">
        <v>86814.63</v>
      </c>
      <c r="H2898" s="26" t="n">
        <v>44456</v>
      </c>
      <c r="I2898" s="26" t="n">
        <v>44458</v>
      </c>
      <c r="J2898" s="12" t="n">
        <v>24.43</v>
      </c>
      <c r="K2898" s="17" t="n">
        <v>2126090.29</v>
      </c>
      <c r="L2898" s="12" t="n">
        <v>0</v>
      </c>
      <c r="M2898" s="12" t="n">
        <v>0</v>
      </c>
      <c r="N2898" s="27">
        <f>F2898-J2898</f>
        <v/>
      </c>
      <c r="O2898" s="16">
        <f>I2898-H2898</f>
        <v/>
      </c>
      <c r="P2898" s="14">
        <f>F2898*G2898</f>
        <v/>
      </c>
      <c r="Q2898" s="14">
        <f>J2898*G2898</f>
        <v/>
      </c>
      <c r="R2898" s="14">
        <f>K2898-Q2898</f>
        <v/>
      </c>
      <c r="S2898" s="3">
        <f>P2898*Assumptions!$B$3/100</f>
        <v/>
      </c>
      <c r="T2898" s="14">
        <f>R2898-S2898</f>
        <v/>
      </c>
      <c r="U2898" s="14">
        <f>L2898*G2898</f>
        <v/>
      </c>
    </row>
    <row r="2899">
      <c r="A2899" s="12" t="inlineStr">
        <is>
          <t>PO-2022-2897</t>
        </is>
      </c>
      <c r="B2899" s="26" t="n">
        <v>44320</v>
      </c>
      <c r="C2899" s="12" t="inlineStr">
        <is>
          <t>VS11</t>
        </is>
      </c>
      <c r="D2899" s="12" t="inlineStr">
        <is>
          <t>GI Pipes</t>
        </is>
      </c>
      <c r="E2899" s="12" t="inlineStr">
        <is>
          <t>N</t>
        </is>
      </c>
      <c r="F2899" s="12" t="n">
        <v>22.71</v>
      </c>
      <c r="G2899" s="17" t="n">
        <v>99116.06</v>
      </c>
      <c r="H2899" s="26" t="n">
        <v>44324</v>
      </c>
      <c r="I2899" s="26" t="n">
        <v>44326</v>
      </c>
      <c r="J2899" s="12" t="n">
        <v>22.59</v>
      </c>
      <c r="K2899" s="17" t="n">
        <v>2250925.72</v>
      </c>
      <c r="L2899" s="12" t="n">
        <v>0</v>
      </c>
      <c r="M2899" s="12" t="n">
        <v>10</v>
      </c>
      <c r="N2899" s="27">
        <f>F2899-J2899</f>
        <v/>
      </c>
      <c r="O2899" s="16">
        <f>I2899-H2899</f>
        <v/>
      </c>
      <c r="P2899" s="14">
        <f>F2899*G2899</f>
        <v/>
      </c>
      <c r="Q2899" s="14">
        <f>J2899*G2899</f>
        <v/>
      </c>
      <c r="R2899" s="14">
        <f>K2899-Q2899</f>
        <v/>
      </c>
      <c r="S2899" s="3">
        <f>P2899*Assumptions!$B$3/100</f>
        <v/>
      </c>
      <c r="T2899" s="14">
        <f>R2899-S2899</f>
        <v/>
      </c>
      <c r="U2899" s="14">
        <f>L2899*G2899</f>
        <v/>
      </c>
    </row>
    <row r="2900">
      <c r="A2900" s="12" t="inlineStr">
        <is>
          <t>PO-2022-2898</t>
        </is>
      </c>
      <c r="B2900" s="26" t="n">
        <v>45080</v>
      </c>
      <c r="C2900" s="12" t="inlineStr">
        <is>
          <t>VS28</t>
        </is>
      </c>
      <c r="D2900" s="12" t="inlineStr">
        <is>
          <t>MS Pipes</t>
        </is>
      </c>
      <c r="E2900" s="12" t="inlineStr">
        <is>
          <t>Y</t>
        </is>
      </c>
      <c r="F2900" s="12" t="n">
        <v>21.2</v>
      </c>
      <c r="G2900" s="17" t="n">
        <v>54749.07</v>
      </c>
      <c r="H2900" s="26" t="n">
        <v>45087</v>
      </c>
      <c r="I2900" s="26" t="n">
        <v>45090</v>
      </c>
      <c r="J2900" s="12" t="n">
        <v>21.14</v>
      </c>
      <c r="K2900" s="17" t="n">
        <v>1160680.28</v>
      </c>
      <c r="L2900" s="12" t="n">
        <v>0</v>
      </c>
      <c r="M2900" s="12" t="n">
        <v>17</v>
      </c>
      <c r="N2900" s="27">
        <f>F2900-J2900</f>
        <v/>
      </c>
      <c r="O2900" s="16">
        <f>I2900-H2900</f>
        <v/>
      </c>
      <c r="P2900" s="14">
        <f>F2900*G2900</f>
        <v/>
      </c>
      <c r="Q2900" s="14">
        <f>J2900*G2900</f>
        <v/>
      </c>
      <c r="R2900" s="14">
        <f>K2900-Q2900</f>
        <v/>
      </c>
      <c r="S2900" s="3">
        <f>P2900*Assumptions!$B$3/100</f>
        <v/>
      </c>
      <c r="T2900" s="14">
        <f>R2900-S2900</f>
        <v/>
      </c>
      <c r="U2900" s="14">
        <f>L2900*G2900</f>
        <v/>
      </c>
    </row>
    <row r="2901">
      <c r="A2901" s="12" t="inlineStr">
        <is>
          <t>PO-2022-2899</t>
        </is>
      </c>
      <c r="B2901" s="26" t="n">
        <v>45284</v>
      </c>
      <c r="C2901" s="12" t="inlineStr">
        <is>
          <t>VS07</t>
        </is>
      </c>
      <c r="D2901" s="12" t="inlineStr">
        <is>
          <t>MS Flats</t>
        </is>
      </c>
      <c r="E2901" s="12" t="inlineStr">
        <is>
          <t>N</t>
        </is>
      </c>
      <c r="F2901" s="12" t="n">
        <v>16.65</v>
      </c>
      <c r="G2901" s="17" t="n">
        <v>116468.58</v>
      </c>
      <c r="H2901" s="26" t="n">
        <v>45289</v>
      </c>
      <c r="I2901" s="26" t="n">
        <v>45292</v>
      </c>
      <c r="J2901" s="12" t="n">
        <v>16.6</v>
      </c>
      <c r="K2901" s="17" t="n">
        <v>1939201.86</v>
      </c>
      <c r="L2901" s="12" t="n">
        <v>0</v>
      </c>
      <c r="M2901" s="12" t="n">
        <v>4</v>
      </c>
      <c r="N2901" s="27">
        <f>F2901-J2901</f>
        <v/>
      </c>
      <c r="O2901" s="16">
        <f>I2901-H2901</f>
        <v/>
      </c>
      <c r="P2901" s="14">
        <f>F2901*G2901</f>
        <v/>
      </c>
      <c r="Q2901" s="14">
        <f>J2901*G2901</f>
        <v/>
      </c>
      <c r="R2901" s="14">
        <f>K2901-Q2901</f>
        <v/>
      </c>
      <c r="S2901" s="3">
        <f>P2901*Assumptions!$B$3/100</f>
        <v/>
      </c>
      <c r="T2901" s="14">
        <f>R2901-S2901</f>
        <v/>
      </c>
      <c r="U2901" s="14">
        <f>L2901*G2901</f>
        <v/>
      </c>
    </row>
    <row r="2902">
      <c r="A2902" s="12" t="inlineStr">
        <is>
          <t>PO-2022-2900</t>
        </is>
      </c>
      <c r="B2902" s="26" t="n">
        <v>44212</v>
      </c>
      <c r="C2902" s="12" t="inlineStr">
        <is>
          <t>VS15</t>
        </is>
      </c>
      <c r="D2902" s="12" t="inlineStr">
        <is>
          <t>SS Sheets</t>
        </is>
      </c>
      <c r="E2902" s="12" t="inlineStr">
        <is>
          <t>N</t>
        </is>
      </c>
      <c r="F2902" s="12" t="n">
        <v>2.59</v>
      </c>
      <c r="G2902" s="17" t="n">
        <v>49398.58</v>
      </c>
      <c r="H2902" s="26" t="n">
        <v>44215</v>
      </c>
      <c r="I2902" s="26" t="n">
        <v>44216</v>
      </c>
      <c r="J2902" s="12" t="n">
        <v>2.58</v>
      </c>
      <c r="K2902" s="17" t="n">
        <v>127942.32</v>
      </c>
      <c r="L2902" s="12" t="n">
        <v>0</v>
      </c>
      <c r="M2902" s="12" t="n">
        <v>0</v>
      </c>
      <c r="N2902" s="27">
        <f>F2902-J2902</f>
        <v/>
      </c>
      <c r="O2902" s="16">
        <f>I2902-H2902</f>
        <v/>
      </c>
      <c r="P2902" s="14">
        <f>F2902*G2902</f>
        <v/>
      </c>
      <c r="Q2902" s="14">
        <f>J2902*G2902</f>
        <v/>
      </c>
      <c r="R2902" s="14">
        <f>K2902-Q2902</f>
        <v/>
      </c>
      <c r="S2902" s="3">
        <f>P2902*Assumptions!$B$3/100</f>
        <v/>
      </c>
      <c r="T2902" s="14">
        <f>R2902-S2902</f>
        <v/>
      </c>
      <c r="U2902" s="14">
        <f>L2902*G2902</f>
        <v/>
      </c>
    </row>
    <row r="2903">
      <c r="A2903" s="12" t="inlineStr">
        <is>
          <t>PO-2022-2901</t>
        </is>
      </c>
      <c r="B2903" s="26" t="n">
        <v>44940</v>
      </c>
      <c r="C2903" s="12" t="inlineStr">
        <is>
          <t>VS26</t>
        </is>
      </c>
      <c r="D2903" s="12" t="inlineStr">
        <is>
          <t>Structural Steel</t>
        </is>
      </c>
      <c r="E2903" s="12" t="inlineStr">
        <is>
          <t>N</t>
        </is>
      </c>
      <c r="F2903" s="12" t="n">
        <v>28.66</v>
      </c>
      <c r="G2903" s="17" t="n">
        <v>102630.94</v>
      </c>
      <c r="H2903" s="26" t="n">
        <v>44950</v>
      </c>
      <c r="I2903" s="26" t="n">
        <v>44952</v>
      </c>
      <c r="J2903" s="12" t="n">
        <v>28.46</v>
      </c>
      <c r="K2903" s="17" t="n">
        <v>2941402.74</v>
      </c>
      <c r="L2903" s="12" t="n">
        <v>0</v>
      </c>
      <c r="M2903" s="12" t="n">
        <v>8</v>
      </c>
      <c r="N2903" s="27">
        <f>F2903-J2903</f>
        <v/>
      </c>
      <c r="O2903" s="16">
        <f>I2903-H2903</f>
        <v/>
      </c>
      <c r="P2903" s="14">
        <f>F2903*G2903</f>
        <v/>
      </c>
      <c r="Q2903" s="14">
        <f>J2903*G2903</f>
        <v/>
      </c>
      <c r="R2903" s="14">
        <f>K2903-Q2903</f>
        <v/>
      </c>
      <c r="S2903" s="3">
        <f>P2903*Assumptions!$B$3/100</f>
        <v/>
      </c>
      <c r="T2903" s="14">
        <f>R2903-S2903</f>
        <v/>
      </c>
      <c r="U2903" s="14">
        <f>L2903*G2903</f>
        <v/>
      </c>
    </row>
    <row r="2904">
      <c r="A2904" s="12" t="inlineStr">
        <is>
          <t>PO-2022-2902</t>
        </is>
      </c>
      <c r="B2904" s="26" t="n">
        <v>44951</v>
      </c>
      <c r="C2904" s="12" t="inlineStr">
        <is>
          <t>VS28</t>
        </is>
      </c>
      <c r="D2904" s="12" t="inlineStr">
        <is>
          <t>SS Sheets</t>
        </is>
      </c>
      <c r="E2904" s="12" t="inlineStr">
        <is>
          <t>N</t>
        </is>
      </c>
      <c r="F2904" s="12" t="n">
        <v>31.52</v>
      </c>
      <c r="G2904" s="17" t="n">
        <v>72816.60000000001</v>
      </c>
      <c r="H2904" s="26" t="n">
        <v>44963</v>
      </c>
      <c r="I2904" s="26" t="n">
        <v>44966</v>
      </c>
      <c r="J2904" s="12" t="n">
        <v>31.41</v>
      </c>
      <c r="K2904" s="17" t="n">
        <v>2295179.23</v>
      </c>
      <c r="L2904" s="12" t="n">
        <v>0</v>
      </c>
      <c r="M2904" s="12" t="n">
        <v>0</v>
      </c>
      <c r="N2904" s="27">
        <f>F2904-J2904</f>
        <v/>
      </c>
      <c r="O2904" s="16">
        <f>I2904-H2904</f>
        <v/>
      </c>
      <c r="P2904" s="14">
        <f>F2904*G2904</f>
        <v/>
      </c>
      <c r="Q2904" s="14">
        <f>J2904*G2904</f>
        <v/>
      </c>
      <c r="R2904" s="14">
        <f>K2904-Q2904</f>
        <v/>
      </c>
      <c r="S2904" s="3">
        <f>P2904*Assumptions!$B$3/100</f>
        <v/>
      </c>
      <c r="T2904" s="14">
        <f>R2904-S2904</f>
        <v/>
      </c>
      <c r="U2904" s="14">
        <f>L2904*G2904</f>
        <v/>
      </c>
    </row>
    <row r="2905">
      <c r="A2905" s="12" t="inlineStr">
        <is>
          <t>PO-2022-2903</t>
        </is>
      </c>
      <c r="B2905" s="26" t="n">
        <v>44909</v>
      </c>
      <c r="C2905" s="12" t="inlineStr">
        <is>
          <t>VS24</t>
        </is>
      </c>
      <c r="D2905" s="12" t="inlineStr">
        <is>
          <t>SS Sheets</t>
        </is>
      </c>
      <c r="E2905" s="12" t="inlineStr">
        <is>
          <t>N</t>
        </is>
      </c>
      <c r="F2905" s="12" t="n">
        <v>21.83</v>
      </c>
      <c r="G2905" s="17" t="n">
        <v>57936.19</v>
      </c>
      <c r="H2905" s="26" t="n">
        <v>44915</v>
      </c>
      <c r="I2905" s="26" t="n">
        <v>44916</v>
      </c>
      <c r="J2905" s="12" t="n">
        <v>21.7</v>
      </c>
      <c r="K2905" s="17" t="n">
        <v>1264747.03</v>
      </c>
      <c r="L2905" s="12" t="n">
        <v>0</v>
      </c>
      <c r="M2905" s="12" t="n">
        <v>0</v>
      </c>
      <c r="N2905" s="27">
        <f>F2905-J2905</f>
        <v/>
      </c>
      <c r="O2905" s="16">
        <f>I2905-H2905</f>
        <v/>
      </c>
      <c r="P2905" s="14">
        <f>F2905*G2905</f>
        <v/>
      </c>
      <c r="Q2905" s="14">
        <f>J2905*G2905</f>
        <v/>
      </c>
      <c r="R2905" s="14">
        <f>K2905-Q2905</f>
        <v/>
      </c>
      <c r="S2905" s="3">
        <f>P2905*Assumptions!$B$3/100</f>
        <v/>
      </c>
      <c r="T2905" s="14">
        <f>R2905-S2905</f>
        <v/>
      </c>
      <c r="U2905" s="14">
        <f>L2905*G2905</f>
        <v/>
      </c>
    </row>
    <row r="2906">
      <c r="A2906" s="12" t="inlineStr">
        <is>
          <t>PO-2022-2904</t>
        </is>
      </c>
      <c r="B2906" s="26" t="n">
        <v>44711</v>
      </c>
      <c r="C2906" s="12" t="inlineStr">
        <is>
          <t>VS31</t>
        </is>
      </c>
      <c r="D2906" s="12" t="inlineStr">
        <is>
          <t>ERW Pipes</t>
        </is>
      </c>
      <c r="E2906" s="12" t="inlineStr">
        <is>
          <t>Y</t>
        </is>
      </c>
      <c r="F2906" s="12" t="n">
        <v>7.71</v>
      </c>
      <c r="G2906" s="17" t="n">
        <v>105756.59</v>
      </c>
      <c r="H2906" s="26" t="n">
        <v>44721</v>
      </c>
      <c r="I2906" s="26" t="n">
        <v>44721</v>
      </c>
      <c r="J2906" s="12" t="n">
        <v>7.67</v>
      </c>
      <c r="K2906" s="17" t="n">
        <v>815383.3100000001</v>
      </c>
      <c r="L2906" s="12" t="n">
        <v>0</v>
      </c>
      <c r="M2906" s="12" t="n">
        <v>18</v>
      </c>
      <c r="N2906" s="27">
        <f>F2906-J2906</f>
        <v/>
      </c>
      <c r="O2906" s="16">
        <f>I2906-H2906</f>
        <v/>
      </c>
      <c r="P2906" s="14">
        <f>F2906*G2906</f>
        <v/>
      </c>
      <c r="Q2906" s="14">
        <f>J2906*G2906</f>
        <v/>
      </c>
      <c r="R2906" s="14">
        <f>K2906-Q2906</f>
        <v/>
      </c>
      <c r="S2906" s="3">
        <f>P2906*Assumptions!$B$3/100</f>
        <v/>
      </c>
      <c r="T2906" s="14">
        <f>R2906-S2906</f>
        <v/>
      </c>
      <c r="U2906" s="14">
        <f>L2906*G2906</f>
        <v/>
      </c>
    </row>
    <row r="2907">
      <c r="A2907" s="12" t="inlineStr">
        <is>
          <t>PO-2022-2905</t>
        </is>
      </c>
      <c r="B2907" s="26" t="n">
        <v>45086</v>
      </c>
      <c r="C2907" s="12" t="inlineStr">
        <is>
          <t>VS01</t>
        </is>
      </c>
      <c r="D2907" s="12" t="inlineStr">
        <is>
          <t>ERW Pipes</t>
        </is>
      </c>
      <c r="E2907" s="12" t="inlineStr">
        <is>
          <t>Y</t>
        </is>
      </c>
      <c r="F2907" s="12" t="n">
        <v>3.16</v>
      </c>
      <c r="G2907" s="17" t="n">
        <v>49454.89</v>
      </c>
      <c r="H2907" s="26" t="n">
        <v>45090</v>
      </c>
      <c r="I2907" s="26" t="n">
        <v>45090</v>
      </c>
      <c r="J2907" s="12" t="n">
        <v>3.13</v>
      </c>
      <c r="K2907" s="17" t="n">
        <v>156277.45</v>
      </c>
      <c r="L2907" s="12" t="n">
        <v>0</v>
      </c>
      <c r="M2907" s="12" t="n">
        <v>5</v>
      </c>
      <c r="N2907" s="27">
        <f>F2907-J2907</f>
        <v/>
      </c>
      <c r="O2907" s="16">
        <f>I2907-H2907</f>
        <v/>
      </c>
      <c r="P2907" s="14">
        <f>F2907*G2907</f>
        <v/>
      </c>
      <c r="Q2907" s="14">
        <f>J2907*G2907</f>
        <v/>
      </c>
      <c r="R2907" s="14">
        <f>K2907-Q2907</f>
        <v/>
      </c>
      <c r="S2907" s="3">
        <f>P2907*Assumptions!$B$3/100</f>
        <v/>
      </c>
      <c r="T2907" s="14">
        <f>R2907-S2907</f>
        <v/>
      </c>
      <c r="U2907" s="14">
        <f>L2907*G2907</f>
        <v/>
      </c>
    </row>
    <row r="2908">
      <c r="A2908" s="12" t="inlineStr">
        <is>
          <t>PO-2022-2906</t>
        </is>
      </c>
      <c r="B2908" s="26" t="n">
        <v>45250</v>
      </c>
      <c r="C2908" s="12" t="inlineStr">
        <is>
          <t>VS08</t>
        </is>
      </c>
      <c r="D2908" s="12" t="inlineStr">
        <is>
          <t>GI Pipes</t>
        </is>
      </c>
      <c r="E2908" s="12" t="inlineStr">
        <is>
          <t>N</t>
        </is>
      </c>
      <c r="F2908" s="12" t="n">
        <v>11.15</v>
      </c>
      <c r="G2908" s="17" t="n">
        <v>105457.26</v>
      </c>
      <c r="H2908" s="26" t="n">
        <v>45264</v>
      </c>
      <c r="I2908" s="26" t="n">
        <v>45265</v>
      </c>
      <c r="J2908" s="12" t="n">
        <v>11.11</v>
      </c>
      <c r="K2908" s="17" t="n">
        <v>1175848.45</v>
      </c>
      <c r="L2908" s="12" t="n">
        <v>0</v>
      </c>
      <c r="M2908" s="12" t="n">
        <v>20</v>
      </c>
      <c r="N2908" s="27">
        <f>F2908-J2908</f>
        <v/>
      </c>
      <c r="O2908" s="16">
        <f>I2908-H2908</f>
        <v/>
      </c>
      <c r="P2908" s="14">
        <f>F2908*G2908</f>
        <v/>
      </c>
      <c r="Q2908" s="14">
        <f>J2908*G2908</f>
        <v/>
      </c>
      <c r="R2908" s="14">
        <f>K2908-Q2908</f>
        <v/>
      </c>
      <c r="S2908" s="3">
        <f>P2908*Assumptions!$B$3/100</f>
        <v/>
      </c>
      <c r="T2908" s="14">
        <f>R2908-S2908</f>
        <v/>
      </c>
      <c r="U2908" s="14">
        <f>L2908*G2908</f>
        <v/>
      </c>
    </row>
    <row r="2909">
      <c r="A2909" s="12" t="inlineStr">
        <is>
          <t>PO-2022-2907</t>
        </is>
      </c>
      <c r="B2909" s="26" t="n">
        <v>45041</v>
      </c>
      <c r="C2909" s="12" t="inlineStr">
        <is>
          <t>VS15</t>
        </is>
      </c>
      <c r="D2909" s="12" t="inlineStr">
        <is>
          <t>ERW Pipes</t>
        </is>
      </c>
      <c r="E2909" s="12" t="inlineStr">
        <is>
          <t>N</t>
        </is>
      </c>
      <c r="F2909" s="12" t="n">
        <v>23.02</v>
      </c>
      <c r="G2909" s="17" t="n">
        <v>65712.75</v>
      </c>
      <c r="H2909" s="26" t="n">
        <v>45045</v>
      </c>
      <c r="I2909" s="26" t="n">
        <v>45045</v>
      </c>
      <c r="J2909" s="12" t="n">
        <v>22.86</v>
      </c>
      <c r="K2909" s="17" t="n">
        <v>1512707.5</v>
      </c>
      <c r="L2909" s="12" t="n">
        <v>0</v>
      </c>
      <c r="M2909" s="12" t="n">
        <v>1</v>
      </c>
      <c r="N2909" s="27">
        <f>F2909-J2909</f>
        <v/>
      </c>
      <c r="O2909" s="16">
        <f>I2909-H2909</f>
        <v/>
      </c>
      <c r="P2909" s="14">
        <f>F2909*G2909</f>
        <v/>
      </c>
      <c r="Q2909" s="14">
        <f>J2909*G2909</f>
        <v/>
      </c>
      <c r="R2909" s="14">
        <f>K2909-Q2909</f>
        <v/>
      </c>
      <c r="S2909" s="3">
        <f>P2909*Assumptions!$B$3/100</f>
        <v/>
      </c>
      <c r="T2909" s="14">
        <f>R2909-S2909</f>
        <v/>
      </c>
      <c r="U2909" s="14">
        <f>L2909*G2909</f>
        <v/>
      </c>
    </row>
    <row r="2910">
      <c r="A2910" s="12" t="inlineStr">
        <is>
          <t>PO-2022-2908</t>
        </is>
      </c>
      <c r="B2910" s="26" t="n">
        <v>45198</v>
      </c>
      <c r="C2910" s="12" t="inlineStr">
        <is>
          <t>VS11</t>
        </is>
      </c>
      <c r="D2910" s="12" t="inlineStr">
        <is>
          <t>GI Wire</t>
        </is>
      </c>
      <c r="E2910" s="12" t="inlineStr">
        <is>
          <t>N</t>
        </is>
      </c>
      <c r="F2910" s="12" t="n">
        <v>26.3</v>
      </c>
      <c r="G2910" s="17" t="n">
        <v>85827.95</v>
      </c>
      <c r="H2910" s="26" t="n">
        <v>45209</v>
      </c>
      <c r="I2910" s="26" t="n">
        <v>45210</v>
      </c>
      <c r="J2910" s="12" t="n">
        <v>26.19</v>
      </c>
      <c r="K2910" s="17" t="n">
        <v>2257275.08</v>
      </c>
      <c r="L2910" s="12" t="n">
        <v>0</v>
      </c>
      <c r="M2910" s="12" t="n">
        <v>0</v>
      </c>
      <c r="N2910" s="27">
        <f>F2910-J2910</f>
        <v/>
      </c>
      <c r="O2910" s="16">
        <f>I2910-H2910</f>
        <v/>
      </c>
      <c r="P2910" s="14">
        <f>F2910*G2910</f>
        <v/>
      </c>
      <c r="Q2910" s="14">
        <f>J2910*G2910</f>
        <v/>
      </c>
      <c r="R2910" s="14">
        <f>K2910-Q2910</f>
        <v/>
      </c>
      <c r="S2910" s="3">
        <f>P2910*Assumptions!$B$3/100</f>
        <v/>
      </c>
      <c r="T2910" s="14">
        <f>R2910-S2910</f>
        <v/>
      </c>
      <c r="U2910" s="14">
        <f>L2910*G2910</f>
        <v/>
      </c>
    </row>
    <row r="2911">
      <c r="A2911" s="12" t="inlineStr">
        <is>
          <t>PO-2022-2909</t>
        </is>
      </c>
      <c r="B2911" s="26" t="n">
        <v>44396</v>
      </c>
      <c r="C2911" s="12" t="inlineStr">
        <is>
          <t>VS24</t>
        </is>
      </c>
      <c r="D2911" s="12" t="inlineStr">
        <is>
          <t>Fasteners &amp; Fittings</t>
        </is>
      </c>
      <c r="E2911" s="12" t="inlineStr">
        <is>
          <t>N</t>
        </is>
      </c>
      <c r="F2911" s="12" t="n">
        <v>6.26</v>
      </c>
      <c r="G2911" s="17" t="n">
        <v>89456.05</v>
      </c>
      <c r="H2911" s="26" t="n">
        <v>44410</v>
      </c>
      <c r="I2911" s="26" t="n">
        <v>44412</v>
      </c>
      <c r="J2911" s="12" t="n">
        <v>6.26</v>
      </c>
      <c r="K2911" s="17" t="n">
        <v>559994.87</v>
      </c>
      <c r="L2911" s="12" t="n">
        <v>0</v>
      </c>
      <c r="M2911" s="12" t="n">
        <v>17</v>
      </c>
      <c r="N2911" s="27">
        <f>F2911-J2911</f>
        <v/>
      </c>
      <c r="O2911" s="16">
        <f>I2911-H2911</f>
        <v/>
      </c>
      <c r="P2911" s="14">
        <f>F2911*G2911</f>
        <v/>
      </c>
      <c r="Q2911" s="14">
        <f>J2911*G2911</f>
        <v/>
      </c>
      <c r="R2911" s="14">
        <f>K2911-Q2911</f>
        <v/>
      </c>
      <c r="S2911" s="3">
        <f>P2911*Assumptions!$B$3/100</f>
        <v/>
      </c>
      <c r="T2911" s="14">
        <f>R2911-S2911</f>
        <v/>
      </c>
      <c r="U2911" s="14">
        <f>L2911*G2911</f>
        <v/>
      </c>
    </row>
    <row r="2912">
      <c r="A2912" s="12" t="inlineStr">
        <is>
          <t>PO-2022-2910</t>
        </is>
      </c>
      <c r="B2912" s="26" t="n">
        <v>44418</v>
      </c>
      <c r="C2912" s="12" t="inlineStr">
        <is>
          <t>VS22</t>
        </is>
      </c>
      <c r="D2912" s="12" t="inlineStr">
        <is>
          <t>GI Pipes</t>
        </is>
      </c>
      <c r="E2912" s="12" t="inlineStr">
        <is>
          <t>N</t>
        </is>
      </c>
      <c r="F2912" s="12" t="n">
        <v>23.71</v>
      </c>
      <c r="G2912" s="17" t="n">
        <v>59661.43</v>
      </c>
      <c r="H2912" s="26" t="n">
        <v>44421</v>
      </c>
      <c r="I2912" s="26" t="n">
        <v>44421</v>
      </c>
      <c r="J2912" s="12" t="n">
        <v>23.68</v>
      </c>
      <c r="K2912" s="17" t="n">
        <v>1414572.51</v>
      </c>
      <c r="L2912" s="12" t="n">
        <v>0</v>
      </c>
      <c r="M2912" s="12" t="n">
        <v>0</v>
      </c>
      <c r="N2912" s="27">
        <f>F2912-J2912</f>
        <v/>
      </c>
      <c r="O2912" s="16">
        <f>I2912-H2912</f>
        <v/>
      </c>
      <c r="P2912" s="14">
        <f>F2912*G2912</f>
        <v/>
      </c>
      <c r="Q2912" s="14">
        <f>J2912*G2912</f>
        <v/>
      </c>
      <c r="R2912" s="14">
        <f>K2912-Q2912</f>
        <v/>
      </c>
      <c r="S2912" s="3">
        <f>P2912*Assumptions!$B$3/100</f>
        <v/>
      </c>
      <c r="T2912" s="14">
        <f>R2912-S2912</f>
        <v/>
      </c>
      <c r="U2912" s="14">
        <f>L2912*G2912</f>
        <v/>
      </c>
    </row>
    <row r="2913">
      <c r="A2913" s="12" t="inlineStr">
        <is>
          <t>PO-2022-2911</t>
        </is>
      </c>
      <c r="B2913" s="26" t="n">
        <v>45033</v>
      </c>
      <c r="C2913" s="12" t="inlineStr">
        <is>
          <t>VS29</t>
        </is>
      </c>
      <c r="D2913" s="12" t="inlineStr">
        <is>
          <t>ERW Pipes</t>
        </is>
      </c>
      <c r="E2913" s="12" t="inlineStr">
        <is>
          <t>N</t>
        </is>
      </c>
      <c r="F2913" s="12" t="n">
        <v>13.08</v>
      </c>
      <c r="G2913" s="17" t="n">
        <v>79645.96000000001</v>
      </c>
      <c r="H2913" s="26" t="n">
        <v>45039</v>
      </c>
      <c r="I2913" s="26" t="n">
        <v>45041</v>
      </c>
      <c r="J2913" s="12" t="n">
        <v>13.05</v>
      </c>
      <c r="K2913" s="17" t="n">
        <v>1041769.16</v>
      </c>
      <c r="L2913" s="12" t="n">
        <v>0</v>
      </c>
      <c r="M2913" s="12" t="n">
        <v>0</v>
      </c>
      <c r="N2913" s="27">
        <f>F2913-J2913</f>
        <v/>
      </c>
      <c r="O2913" s="16">
        <f>I2913-H2913</f>
        <v/>
      </c>
      <c r="P2913" s="14">
        <f>F2913*G2913</f>
        <v/>
      </c>
      <c r="Q2913" s="14">
        <f>J2913*G2913</f>
        <v/>
      </c>
      <c r="R2913" s="14">
        <f>K2913-Q2913</f>
        <v/>
      </c>
      <c r="S2913" s="3">
        <f>P2913*Assumptions!$B$3/100</f>
        <v/>
      </c>
      <c r="T2913" s="14">
        <f>R2913-S2913</f>
        <v/>
      </c>
      <c r="U2913" s="14">
        <f>L2913*G2913</f>
        <v/>
      </c>
    </row>
    <row r="2914">
      <c r="A2914" s="12" t="inlineStr">
        <is>
          <t>PO-2022-2912</t>
        </is>
      </c>
      <c r="B2914" s="26" t="n">
        <v>44877</v>
      </c>
      <c r="C2914" s="12" t="inlineStr">
        <is>
          <t>VS06</t>
        </is>
      </c>
      <c r="D2914" s="12" t="inlineStr">
        <is>
          <t>GI Pipes</t>
        </is>
      </c>
      <c r="E2914" s="12" t="inlineStr">
        <is>
          <t>N</t>
        </is>
      </c>
      <c r="F2914" s="12" t="n">
        <v>40.84</v>
      </c>
      <c r="G2914" s="17" t="n">
        <v>66579.39999999999</v>
      </c>
      <c r="H2914" s="26" t="n">
        <v>44888</v>
      </c>
      <c r="I2914" s="26" t="n">
        <v>44891</v>
      </c>
      <c r="J2914" s="12" t="n">
        <v>40.68</v>
      </c>
      <c r="K2914" s="17" t="n">
        <v>2719102.7</v>
      </c>
      <c r="L2914" s="12" t="n">
        <v>0</v>
      </c>
      <c r="M2914" s="12" t="n">
        <v>3</v>
      </c>
      <c r="N2914" s="27">
        <f>F2914-J2914</f>
        <v/>
      </c>
      <c r="O2914" s="16">
        <f>I2914-H2914</f>
        <v/>
      </c>
      <c r="P2914" s="14">
        <f>F2914*G2914</f>
        <v/>
      </c>
      <c r="Q2914" s="14">
        <f>J2914*G2914</f>
        <v/>
      </c>
      <c r="R2914" s="14">
        <f>K2914-Q2914</f>
        <v/>
      </c>
      <c r="S2914" s="3">
        <f>P2914*Assumptions!$B$3/100</f>
        <v/>
      </c>
      <c r="T2914" s="14">
        <f>R2914-S2914</f>
        <v/>
      </c>
      <c r="U2914" s="14">
        <f>L2914*G2914</f>
        <v/>
      </c>
    </row>
    <row r="2915">
      <c r="A2915" s="12" t="inlineStr">
        <is>
          <t>PO-2022-2913</t>
        </is>
      </c>
      <c r="B2915" s="26" t="n">
        <v>44761</v>
      </c>
      <c r="C2915" s="12" t="inlineStr">
        <is>
          <t>VS32</t>
        </is>
      </c>
      <c r="D2915" s="12" t="inlineStr">
        <is>
          <t>SS Sheets</t>
        </is>
      </c>
      <c r="E2915" s="12" t="inlineStr">
        <is>
          <t>N</t>
        </is>
      </c>
      <c r="F2915" s="12" t="n">
        <v>10.78</v>
      </c>
      <c r="G2915" s="17" t="n">
        <v>75046.28</v>
      </c>
      <c r="H2915" s="26" t="n">
        <v>44765</v>
      </c>
      <c r="I2915" s="26" t="n">
        <v>44768</v>
      </c>
      <c r="J2915" s="12" t="n">
        <v>10.75</v>
      </c>
      <c r="K2915" s="17" t="n">
        <v>808998.9</v>
      </c>
      <c r="L2915" s="12" t="n">
        <v>0</v>
      </c>
      <c r="M2915" s="12" t="n">
        <v>0</v>
      </c>
      <c r="N2915" s="27">
        <f>F2915-J2915</f>
        <v/>
      </c>
      <c r="O2915" s="16">
        <f>I2915-H2915</f>
        <v/>
      </c>
      <c r="P2915" s="14">
        <f>F2915*G2915</f>
        <v/>
      </c>
      <c r="Q2915" s="14">
        <f>J2915*G2915</f>
        <v/>
      </c>
      <c r="R2915" s="14">
        <f>K2915-Q2915</f>
        <v/>
      </c>
      <c r="S2915" s="3">
        <f>P2915*Assumptions!$B$3/100</f>
        <v/>
      </c>
      <c r="T2915" s="14">
        <f>R2915-S2915</f>
        <v/>
      </c>
      <c r="U2915" s="14">
        <f>L2915*G2915</f>
        <v/>
      </c>
    </row>
    <row r="2916">
      <c r="A2916" s="12" t="inlineStr">
        <is>
          <t>PO-2022-2914</t>
        </is>
      </c>
      <c r="B2916" s="26" t="n">
        <v>44599</v>
      </c>
      <c r="C2916" s="12" t="inlineStr">
        <is>
          <t>VS02</t>
        </is>
      </c>
      <c r="D2916" s="12" t="inlineStr">
        <is>
          <t>MS Pipes</t>
        </is>
      </c>
      <c r="E2916" s="12" t="inlineStr">
        <is>
          <t>N</t>
        </is>
      </c>
      <c r="F2916" s="12" t="n">
        <v>28.69</v>
      </c>
      <c r="G2916" s="17" t="n">
        <v>58629.44</v>
      </c>
      <c r="H2916" s="26" t="n">
        <v>44610</v>
      </c>
      <c r="I2916" s="26" t="n">
        <v>44613</v>
      </c>
      <c r="J2916" s="12" t="n">
        <v>28.46</v>
      </c>
      <c r="K2916" s="17" t="n">
        <v>1682078.63</v>
      </c>
      <c r="L2916" s="12" t="n">
        <v>0</v>
      </c>
      <c r="M2916" s="12" t="n">
        <v>13</v>
      </c>
      <c r="N2916" s="27">
        <f>F2916-J2916</f>
        <v/>
      </c>
      <c r="O2916" s="16">
        <f>I2916-H2916</f>
        <v/>
      </c>
      <c r="P2916" s="14">
        <f>F2916*G2916</f>
        <v/>
      </c>
      <c r="Q2916" s="14">
        <f>J2916*G2916</f>
        <v/>
      </c>
      <c r="R2916" s="14">
        <f>K2916-Q2916</f>
        <v/>
      </c>
      <c r="S2916" s="3">
        <f>P2916*Assumptions!$B$3/100</f>
        <v/>
      </c>
      <c r="T2916" s="14">
        <f>R2916-S2916</f>
        <v/>
      </c>
      <c r="U2916" s="14">
        <f>L2916*G2916</f>
        <v/>
      </c>
    </row>
    <row r="2917">
      <c r="A2917" s="12" t="inlineStr">
        <is>
          <t>PO-2022-2915</t>
        </is>
      </c>
      <c r="B2917" s="26" t="n">
        <v>45278</v>
      </c>
      <c r="C2917" s="12" t="inlineStr">
        <is>
          <t>VS23</t>
        </is>
      </c>
      <c r="D2917" s="12" t="inlineStr">
        <is>
          <t>Fasteners &amp; Fittings</t>
        </is>
      </c>
      <c r="E2917" s="12" t="inlineStr">
        <is>
          <t>N</t>
        </is>
      </c>
      <c r="F2917" s="12" t="n">
        <v>21.87</v>
      </c>
      <c r="G2917" s="17" t="n">
        <v>77211.37</v>
      </c>
      <c r="H2917" s="26" t="n">
        <v>45285</v>
      </c>
      <c r="I2917" s="26" t="n">
        <v>45288</v>
      </c>
      <c r="J2917" s="12" t="n">
        <v>21.85</v>
      </c>
      <c r="K2917" s="17" t="n">
        <v>1688612.66</v>
      </c>
      <c r="L2917" s="12" t="n">
        <v>0</v>
      </c>
      <c r="M2917" s="12" t="n">
        <v>1</v>
      </c>
      <c r="N2917" s="27">
        <f>F2917-J2917</f>
        <v/>
      </c>
      <c r="O2917" s="16">
        <f>I2917-H2917</f>
        <v/>
      </c>
      <c r="P2917" s="14">
        <f>F2917*G2917</f>
        <v/>
      </c>
      <c r="Q2917" s="14">
        <f>J2917*G2917</f>
        <v/>
      </c>
      <c r="R2917" s="14">
        <f>K2917-Q2917</f>
        <v/>
      </c>
      <c r="S2917" s="3">
        <f>P2917*Assumptions!$B$3/100</f>
        <v/>
      </c>
      <c r="T2917" s="14">
        <f>R2917-S2917</f>
        <v/>
      </c>
      <c r="U2917" s="14">
        <f>L2917*G2917</f>
        <v/>
      </c>
    </row>
    <row r="2918">
      <c r="A2918" s="12" t="inlineStr">
        <is>
          <t>PO-2022-2916</t>
        </is>
      </c>
      <c r="B2918" s="26" t="n">
        <v>45213</v>
      </c>
      <c r="C2918" s="12" t="inlineStr">
        <is>
          <t>VS02</t>
        </is>
      </c>
      <c r="D2918" s="12" t="inlineStr">
        <is>
          <t>GI Sheets</t>
        </is>
      </c>
      <c r="E2918" s="12" t="inlineStr">
        <is>
          <t>N</t>
        </is>
      </c>
      <c r="F2918" s="12" t="n">
        <v>6.9</v>
      </c>
      <c r="G2918" s="17" t="n">
        <v>45410</v>
      </c>
      <c r="H2918" s="26" t="n">
        <v>45219</v>
      </c>
      <c r="I2918" s="26" t="n">
        <v>45219</v>
      </c>
      <c r="J2918" s="12" t="n">
        <v>6.89</v>
      </c>
      <c r="K2918" s="17" t="n">
        <v>313329</v>
      </c>
      <c r="L2918" s="12" t="n">
        <v>0</v>
      </c>
      <c r="M2918" s="12" t="n">
        <v>0</v>
      </c>
      <c r="N2918" s="27">
        <f>F2918-J2918</f>
        <v/>
      </c>
      <c r="O2918" s="16">
        <f>I2918-H2918</f>
        <v/>
      </c>
      <c r="P2918" s="14">
        <f>F2918*G2918</f>
        <v/>
      </c>
      <c r="Q2918" s="14">
        <f>J2918*G2918</f>
        <v/>
      </c>
      <c r="R2918" s="14">
        <f>K2918-Q2918</f>
        <v/>
      </c>
      <c r="S2918" s="3">
        <f>P2918*Assumptions!$B$3/100</f>
        <v/>
      </c>
      <c r="T2918" s="14">
        <f>R2918-S2918</f>
        <v/>
      </c>
      <c r="U2918" s="14">
        <f>L2918*G2918</f>
        <v/>
      </c>
    </row>
    <row r="2919">
      <c r="A2919" s="12" t="inlineStr">
        <is>
          <t>PO-2022-2917</t>
        </is>
      </c>
      <c r="B2919" s="26" t="n">
        <v>44607</v>
      </c>
      <c r="C2919" s="12" t="inlineStr">
        <is>
          <t>VS26</t>
        </is>
      </c>
      <c r="D2919" s="12" t="inlineStr">
        <is>
          <t>MS Sheets</t>
        </is>
      </c>
      <c r="E2919" s="12" t="inlineStr">
        <is>
          <t>N</t>
        </is>
      </c>
      <c r="F2919" s="12" t="n">
        <v>41.31</v>
      </c>
      <c r="G2919" s="17" t="n">
        <v>113959.22</v>
      </c>
      <c r="H2919" s="26" t="n">
        <v>44617</v>
      </c>
      <c r="I2919" s="26" t="n">
        <v>44617</v>
      </c>
      <c r="J2919" s="12" t="n">
        <v>41.23</v>
      </c>
      <c r="K2919" s="17" t="n">
        <v>4707655.38</v>
      </c>
      <c r="L2919" s="12" t="n">
        <v>0</v>
      </c>
      <c r="M2919" s="12" t="n">
        <v>0</v>
      </c>
      <c r="N2919" s="27">
        <f>F2919-J2919</f>
        <v/>
      </c>
      <c r="O2919" s="16">
        <f>I2919-H2919</f>
        <v/>
      </c>
      <c r="P2919" s="14">
        <f>F2919*G2919</f>
        <v/>
      </c>
      <c r="Q2919" s="14">
        <f>J2919*G2919</f>
        <v/>
      </c>
      <c r="R2919" s="14">
        <f>K2919-Q2919</f>
        <v/>
      </c>
      <c r="S2919" s="3">
        <f>P2919*Assumptions!$B$3/100</f>
        <v/>
      </c>
      <c r="T2919" s="14">
        <f>R2919-S2919</f>
        <v/>
      </c>
      <c r="U2919" s="14">
        <f>L2919*G2919</f>
        <v/>
      </c>
    </row>
    <row r="2920">
      <c r="A2920" s="12" t="inlineStr">
        <is>
          <t>PO-2022-2918</t>
        </is>
      </c>
      <c r="B2920" s="26" t="n">
        <v>44717</v>
      </c>
      <c r="C2920" s="12" t="inlineStr">
        <is>
          <t>VS28</t>
        </is>
      </c>
      <c r="D2920" s="12" t="inlineStr">
        <is>
          <t>MS Rods</t>
        </is>
      </c>
      <c r="E2920" s="12" t="inlineStr">
        <is>
          <t>N</t>
        </is>
      </c>
      <c r="F2920" s="12" t="n">
        <v>22.4</v>
      </c>
      <c r="G2920" s="17" t="n">
        <v>56168.52</v>
      </c>
      <c r="H2920" s="26" t="n">
        <v>44725</v>
      </c>
      <c r="I2920" s="26" t="n">
        <v>44725</v>
      </c>
      <c r="J2920" s="12" t="n">
        <v>22.2</v>
      </c>
      <c r="K2920" s="17" t="n">
        <v>1258174.85</v>
      </c>
      <c r="L2920" s="12" t="n">
        <v>0</v>
      </c>
      <c r="M2920" s="12" t="n">
        <v>21</v>
      </c>
      <c r="N2920" s="27">
        <f>F2920-J2920</f>
        <v/>
      </c>
      <c r="O2920" s="16">
        <f>I2920-H2920</f>
        <v/>
      </c>
      <c r="P2920" s="14">
        <f>F2920*G2920</f>
        <v/>
      </c>
      <c r="Q2920" s="14">
        <f>J2920*G2920</f>
        <v/>
      </c>
      <c r="R2920" s="14">
        <f>K2920-Q2920</f>
        <v/>
      </c>
      <c r="S2920" s="3">
        <f>P2920*Assumptions!$B$3/100</f>
        <v/>
      </c>
      <c r="T2920" s="14">
        <f>R2920-S2920</f>
        <v/>
      </c>
      <c r="U2920" s="14">
        <f>L2920*G2920</f>
        <v/>
      </c>
    </row>
    <row r="2921">
      <c r="A2921" s="12" t="inlineStr">
        <is>
          <t>PO-2022-2919</t>
        </is>
      </c>
      <c r="B2921" s="26" t="n">
        <v>44328</v>
      </c>
      <c r="C2921" s="12" t="inlineStr">
        <is>
          <t>VS34</t>
        </is>
      </c>
      <c r="D2921" s="12" t="inlineStr">
        <is>
          <t>HR Coils</t>
        </is>
      </c>
      <c r="E2921" s="12" t="inlineStr">
        <is>
          <t>N</t>
        </is>
      </c>
      <c r="F2921" s="12" t="n">
        <v>41.7</v>
      </c>
      <c r="G2921" s="17" t="n">
        <v>97460.78999999999</v>
      </c>
      <c r="H2921" s="26" t="n">
        <v>44338</v>
      </c>
      <c r="I2921" s="26" t="n">
        <v>44339</v>
      </c>
      <c r="J2921" s="12" t="n">
        <v>41.45</v>
      </c>
      <c r="K2921" s="17" t="n">
        <v>4064114.94</v>
      </c>
      <c r="L2921" s="12" t="n">
        <v>0</v>
      </c>
      <c r="M2921" s="12" t="n">
        <v>19</v>
      </c>
      <c r="N2921" s="27">
        <f>F2921-J2921</f>
        <v/>
      </c>
      <c r="O2921" s="16">
        <f>I2921-H2921</f>
        <v/>
      </c>
      <c r="P2921" s="14">
        <f>F2921*G2921</f>
        <v/>
      </c>
      <c r="Q2921" s="14">
        <f>J2921*G2921</f>
        <v/>
      </c>
      <c r="R2921" s="14">
        <f>K2921-Q2921</f>
        <v/>
      </c>
      <c r="S2921" s="3">
        <f>P2921*Assumptions!$B$3/100</f>
        <v/>
      </c>
      <c r="T2921" s="14">
        <f>R2921-S2921</f>
        <v/>
      </c>
      <c r="U2921" s="14">
        <f>L2921*G2921</f>
        <v/>
      </c>
    </row>
    <row r="2922">
      <c r="A2922" s="12" t="inlineStr">
        <is>
          <t>PO-2022-2920</t>
        </is>
      </c>
      <c r="B2922" s="26" t="n">
        <v>44235</v>
      </c>
      <c r="C2922" s="12" t="inlineStr">
        <is>
          <t>VS03</t>
        </is>
      </c>
      <c r="D2922" s="12" t="inlineStr">
        <is>
          <t>GI Pipes</t>
        </is>
      </c>
      <c r="E2922" s="12" t="inlineStr">
        <is>
          <t>N</t>
        </is>
      </c>
      <c r="F2922" s="12" t="n">
        <v>49.01</v>
      </c>
      <c r="G2922" s="17" t="n">
        <v>78232.78</v>
      </c>
      <c r="H2922" s="26" t="n">
        <v>44244</v>
      </c>
      <c r="I2922" s="26" t="n">
        <v>44249</v>
      </c>
      <c r="J2922" s="12" t="n">
        <v>47.02</v>
      </c>
      <c r="K2922" s="17" t="n">
        <v>3834188.55</v>
      </c>
      <c r="L2922" s="12" t="n">
        <v>1.54</v>
      </c>
      <c r="M2922" s="12" t="n">
        <v>0</v>
      </c>
      <c r="N2922" s="27">
        <f>F2922-J2922</f>
        <v/>
      </c>
      <c r="O2922" s="16">
        <f>I2922-H2922</f>
        <v/>
      </c>
      <c r="P2922" s="14">
        <f>F2922*G2922</f>
        <v/>
      </c>
      <c r="Q2922" s="14">
        <f>J2922*G2922</f>
        <v/>
      </c>
      <c r="R2922" s="14">
        <f>K2922-Q2922</f>
        <v/>
      </c>
      <c r="S2922" s="3">
        <f>P2922*Assumptions!$B$3/100</f>
        <v/>
      </c>
      <c r="T2922" s="14">
        <f>R2922-S2922</f>
        <v/>
      </c>
      <c r="U2922" s="14">
        <f>L2922*G2922</f>
        <v/>
      </c>
    </row>
    <row r="2923">
      <c r="A2923" s="12" t="inlineStr">
        <is>
          <t>PO-2022-2921</t>
        </is>
      </c>
      <c r="B2923" s="26" t="n">
        <v>44402</v>
      </c>
      <c r="C2923" s="12" t="inlineStr">
        <is>
          <t>VS20</t>
        </is>
      </c>
      <c r="D2923" s="12" t="inlineStr">
        <is>
          <t>MS Flats</t>
        </is>
      </c>
      <c r="E2923" s="12" t="inlineStr">
        <is>
          <t>N</t>
        </is>
      </c>
      <c r="F2923" s="12" t="n">
        <v>31.72</v>
      </c>
      <c r="G2923" s="17" t="n">
        <v>46870</v>
      </c>
      <c r="H2923" s="26" t="n">
        <v>44406</v>
      </c>
      <c r="I2923" s="26" t="n">
        <v>44406</v>
      </c>
      <c r="J2923" s="12" t="n">
        <v>31.68</v>
      </c>
      <c r="K2923" s="17" t="n">
        <v>1486716.4</v>
      </c>
      <c r="L2923" s="12" t="n">
        <v>0</v>
      </c>
      <c r="M2923" s="12" t="n">
        <v>14</v>
      </c>
      <c r="N2923" s="27">
        <f>F2923-J2923</f>
        <v/>
      </c>
      <c r="O2923" s="16">
        <f>I2923-H2923</f>
        <v/>
      </c>
      <c r="P2923" s="14">
        <f>F2923*G2923</f>
        <v/>
      </c>
      <c r="Q2923" s="14">
        <f>J2923*G2923</f>
        <v/>
      </c>
      <c r="R2923" s="14">
        <f>K2923-Q2923</f>
        <v/>
      </c>
      <c r="S2923" s="3">
        <f>P2923*Assumptions!$B$3/100</f>
        <v/>
      </c>
      <c r="T2923" s="14">
        <f>R2923-S2923</f>
        <v/>
      </c>
      <c r="U2923" s="14">
        <f>L2923*G2923</f>
        <v/>
      </c>
    </row>
    <row r="2924">
      <c r="A2924" s="12" t="inlineStr">
        <is>
          <t>PO-2022-2922</t>
        </is>
      </c>
      <c r="B2924" s="26" t="n">
        <v>44435</v>
      </c>
      <c r="C2924" s="12" t="inlineStr">
        <is>
          <t>VS04</t>
        </is>
      </c>
      <c r="D2924" s="12" t="inlineStr">
        <is>
          <t>Fasteners &amp; Fittings</t>
        </is>
      </c>
      <c r="E2924" s="12" t="inlineStr">
        <is>
          <t>N</t>
        </is>
      </c>
      <c r="F2924" s="12" t="n">
        <v>29.84</v>
      </c>
      <c r="G2924" s="17" t="n">
        <v>94990.24000000001</v>
      </c>
      <c r="H2924" s="26" t="n">
        <v>44439</v>
      </c>
      <c r="I2924" s="26" t="n">
        <v>44441</v>
      </c>
      <c r="J2924" s="12" t="n">
        <v>29.64</v>
      </c>
      <c r="K2924" s="17" t="n">
        <v>2834508.76</v>
      </c>
      <c r="L2924" s="12" t="n">
        <v>0</v>
      </c>
      <c r="M2924" s="12" t="n">
        <v>16</v>
      </c>
      <c r="N2924" s="27">
        <f>F2924-J2924</f>
        <v/>
      </c>
      <c r="O2924" s="16">
        <f>I2924-H2924</f>
        <v/>
      </c>
      <c r="P2924" s="14">
        <f>F2924*G2924</f>
        <v/>
      </c>
      <c r="Q2924" s="14">
        <f>J2924*G2924</f>
        <v/>
      </c>
      <c r="R2924" s="14">
        <f>K2924-Q2924</f>
        <v/>
      </c>
      <c r="S2924" s="3">
        <f>P2924*Assumptions!$B$3/100</f>
        <v/>
      </c>
      <c r="T2924" s="14">
        <f>R2924-S2924</f>
        <v/>
      </c>
      <c r="U2924" s="14">
        <f>L2924*G2924</f>
        <v/>
      </c>
    </row>
    <row r="2925">
      <c r="A2925" s="12" t="inlineStr">
        <is>
          <t>PO-2022-2923</t>
        </is>
      </c>
      <c r="B2925" s="26" t="n">
        <v>44713</v>
      </c>
      <c r="C2925" s="12" t="inlineStr">
        <is>
          <t>VS03</t>
        </is>
      </c>
      <c r="D2925" s="12" t="inlineStr">
        <is>
          <t>MS Pipes</t>
        </is>
      </c>
      <c r="E2925" s="12" t="inlineStr">
        <is>
          <t>N</t>
        </is>
      </c>
      <c r="F2925" s="12" t="n">
        <v>37.7</v>
      </c>
      <c r="G2925" s="17" t="n">
        <v>67290.14999999999</v>
      </c>
      <c r="H2925" s="26" t="n">
        <v>44719</v>
      </c>
      <c r="I2925" s="26" t="n">
        <v>44725</v>
      </c>
      <c r="J2925" s="12" t="n">
        <v>36.21</v>
      </c>
      <c r="K2925" s="17" t="n">
        <v>2536838.65</v>
      </c>
      <c r="L2925" s="12" t="n">
        <v>1.42</v>
      </c>
      <c r="M2925" s="12" t="n">
        <v>19</v>
      </c>
      <c r="N2925" s="27">
        <f>F2925-J2925</f>
        <v/>
      </c>
      <c r="O2925" s="16">
        <f>I2925-H2925</f>
        <v/>
      </c>
      <c r="P2925" s="14">
        <f>F2925*G2925</f>
        <v/>
      </c>
      <c r="Q2925" s="14">
        <f>J2925*G2925</f>
        <v/>
      </c>
      <c r="R2925" s="14">
        <f>K2925-Q2925</f>
        <v/>
      </c>
      <c r="S2925" s="3">
        <f>P2925*Assumptions!$B$3/100</f>
        <v/>
      </c>
      <c r="T2925" s="14">
        <f>R2925-S2925</f>
        <v/>
      </c>
      <c r="U2925" s="14">
        <f>L2925*G2925</f>
        <v/>
      </c>
    </row>
    <row r="2926">
      <c r="A2926" s="12" t="inlineStr">
        <is>
          <t>PO-2022-2924</t>
        </is>
      </c>
      <c r="B2926" s="26" t="n">
        <v>44336</v>
      </c>
      <c r="C2926" s="12" t="inlineStr">
        <is>
          <t>VS18</t>
        </is>
      </c>
      <c r="D2926" s="12" t="inlineStr">
        <is>
          <t>MS Pipes</t>
        </is>
      </c>
      <c r="E2926" s="12" t="inlineStr">
        <is>
          <t>N</t>
        </is>
      </c>
      <c r="F2926" s="12" t="n">
        <v>16.44</v>
      </c>
      <c r="G2926" s="17" t="n">
        <v>95078.23</v>
      </c>
      <c r="H2926" s="26" t="n">
        <v>44350</v>
      </c>
      <c r="I2926" s="26" t="n">
        <v>44351</v>
      </c>
      <c r="J2926" s="12" t="n">
        <v>16.33</v>
      </c>
      <c r="K2926" s="17" t="n">
        <v>1563086.1</v>
      </c>
      <c r="L2926" s="12" t="n">
        <v>0</v>
      </c>
      <c r="M2926" s="12" t="n">
        <v>0</v>
      </c>
      <c r="N2926" s="27">
        <f>F2926-J2926</f>
        <v/>
      </c>
      <c r="O2926" s="16">
        <f>I2926-H2926</f>
        <v/>
      </c>
      <c r="P2926" s="14">
        <f>F2926*G2926</f>
        <v/>
      </c>
      <c r="Q2926" s="14">
        <f>J2926*G2926</f>
        <v/>
      </c>
      <c r="R2926" s="14">
        <f>K2926-Q2926</f>
        <v/>
      </c>
      <c r="S2926" s="3">
        <f>P2926*Assumptions!$B$3/100</f>
        <v/>
      </c>
      <c r="T2926" s="14">
        <f>R2926-S2926</f>
        <v/>
      </c>
      <c r="U2926" s="14">
        <f>L2926*G2926</f>
        <v/>
      </c>
    </row>
    <row r="2927">
      <c r="A2927" s="12" t="inlineStr">
        <is>
          <t>PO-2022-2925</t>
        </is>
      </c>
      <c r="B2927" s="26" t="n">
        <v>44331</v>
      </c>
      <c r="C2927" s="12" t="inlineStr">
        <is>
          <t>VS21</t>
        </is>
      </c>
      <c r="D2927" s="12" t="inlineStr">
        <is>
          <t>MS Sheets</t>
        </is>
      </c>
      <c r="E2927" s="12" t="inlineStr">
        <is>
          <t>N</t>
        </is>
      </c>
      <c r="F2927" s="12" t="n">
        <v>3.07</v>
      </c>
      <c r="G2927" s="17" t="n">
        <v>90791.88</v>
      </c>
      <c r="H2927" s="26" t="n">
        <v>44342</v>
      </c>
      <c r="I2927" s="26" t="n">
        <v>44343</v>
      </c>
      <c r="J2927" s="12" t="n">
        <v>3.05</v>
      </c>
      <c r="K2927" s="17" t="n">
        <v>278731.07</v>
      </c>
      <c r="L2927" s="12" t="n">
        <v>0</v>
      </c>
      <c r="M2927" s="12" t="n">
        <v>2</v>
      </c>
      <c r="N2927" s="27">
        <f>F2927-J2927</f>
        <v/>
      </c>
      <c r="O2927" s="16">
        <f>I2927-H2927</f>
        <v/>
      </c>
      <c r="P2927" s="14">
        <f>F2927*G2927</f>
        <v/>
      </c>
      <c r="Q2927" s="14">
        <f>J2927*G2927</f>
        <v/>
      </c>
      <c r="R2927" s="14">
        <f>K2927-Q2927</f>
        <v/>
      </c>
      <c r="S2927" s="3">
        <f>P2927*Assumptions!$B$3/100</f>
        <v/>
      </c>
      <c r="T2927" s="14">
        <f>R2927-S2927</f>
        <v/>
      </c>
      <c r="U2927" s="14">
        <f>L2927*G2927</f>
        <v/>
      </c>
    </row>
    <row r="2928">
      <c r="A2928" s="12" t="inlineStr">
        <is>
          <t>PO-2022-2926</t>
        </is>
      </c>
      <c r="B2928" s="26" t="n">
        <v>44274</v>
      </c>
      <c r="C2928" s="12" t="inlineStr">
        <is>
          <t>VS20</t>
        </is>
      </c>
      <c r="D2928" s="12" t="inlineStr">
        <is>
          <t>Structural Steel</t>
        </is>
      </c>
      <c r="E2928" s="12" t="inlineStr">
        <is>
          <t>N</t>
        </is>
      </c>
      <c r="F2928" s="12" t="n">
        <v>46.53</v>
      </c>
      <c r="G2928" s="17" t="n">
        <v>74625.02</v>
      </c>
      <c r="H2928" s="26" t="n">
        <v>44286</v>
      </c>
      <c r="I2928" s="26" t="n">
        <v>44287</v>
      </c>
      <c r="J2928" s="12" t="n">
        <v>46.28</v>
      </c>
      <c r="K2928" s="17" t="n">
        <v>3472302.18</v>
      </c>
      <c r="L2928" s="12" t="n">
        <v>0</v>
      </c>
      <c r="M2928" s="12" t="n">
        <v>0</v>
      </c>
      <c r="N2928" s="27">
        <f>F2928-J2928</f>
        <v/>
      </c>
      <c r="O2928" s="16">
        <f>I2928-H2928</f>
        <v/>
      </c>
      <c r="P2928" s="14">
        <f>F2928*G2928</f>
        <v/>
      </c>
      <c r="Q2928" s="14">
        <f>J2928*G2928</f>
        <v/>
      </c>
      <c r="R2928" s="14">
        <f>K2928-Q2928</f>
        <v/>
      </c>
      <c r="S2928" s="3">
        <f>P2928*Assumptions!$B$3/100</f>
        <v/>
      </c>
      <c r="T2928" s="14">
        <f>R2928-S2928</f>
        <v/>
      </c>
      <c r="U2928" s="14">
        <f>L2928*G2928</f>
        <v/>
      </c>
    </row>
    <row r="2929">
      <c r="A2929" s="12" t="inlineStr">
        <is>
          <t>PO-2022-2927</t>
        </is>
      </c>
      <c r="B2929" s="26" t="n">
        <v>45280</v>
      </c>
      <c r="C2929" s="12" t="inlineStr">
        <is>
          <t>VS32</t>
        </is>
      </c>
      <c r="D2929" s="12" t="inlineStr">
        <is>
          <t>HR Coils</t>
        </is>
      </c>
      <c r="E2929" s="12" t="inlineStr">
        <is>
          <t>N</t>
        </is>
      </c>
      <c r="F2929" s="12" t="n">
        <v>32.75</v>
      </c>
      <c r="G2929" s="17" t="n">
        <v>59899.78</v>
      </c>
      <c r="H2929" s="26" t="n">
        <v>45292</v>
      </c>
      <c r="I2929" s="26" t="n">
        <v>45294</v>
      </c>
      <c r="J2929" s="12" t="n">
        <v>32.43</v>
      </c>
      <c r="K2929" s="17" t="n">
        <v>1961717.79</v>
      </c>
      <c r="L2929" s="12" t="n">
        <v>0</v>
      </c>
      <c r="M2929" s="12" t="n">
        <v>0</v>
      </c>
      <c r="N2929" s="27">
        <f>F2929-J2929</f>
        <v/>
      </c>
      <c r="O2929" s="16">
        <f>I2929-H2929</f>
        <v/>
      </c>
      <c r="P2929" s="14">
        <f>F2929*G2929</f>
        <v/>
      </c>
      <c r="Q2929" s="14">
        <f>J2929*G2929</f>
        <v/>
      </c>
      <c r="R2929" s="14">
        <f>K2929-Q2929</f>
        <v/>
      </c>
      <c r="S2929" s="3">
        <f>P2929*Assumptions!$B$3/100</f>
        <v/>
      </c>
      <c r="T2929" s="14">
        <f>R2929-S2929</f>
        <v/>
      </c>
      <c r="U2929" s="14">
        <f>L2929*G2929</f>
        <v/>
      </c>
    </row>
    <row r="2930">
      <c r="A2930" s="12" t="inlineStr">
        <is>
          <t>PO-2022-2928</t>
        </is>
      </c>
      <c r="B2930" s="26" t="n">
        <v>45096</v>
      </c>
      <c r="C2930" s="12" t="inlineStr">
        <is>
          <t>VS08</t>
        </is>
      </c>
      <c r="D2930" s="12" t="inlineStr">
        <is>
          <t>GI Wire</t>
        </is>
      </c>
      <c r="E2930" s="12" t="inlineStr">
        <is>
          <t>N</t>
        </is>
      </c>
      <c r="F2930" s="12" t="n">
        <v>19.73</v>
      </c>
      <c r="G2930" s="17" t="n">
        <v>86740.64999999999</v>
      </c>
      <c r="H2930" s="26" t="n">
        <v>45103</v>
      </c>
      <c r="I2930" s="26" t="n">
        <v>45106</v>
      </c>
      <c r="J2930" s="12" t="n">
        <v>19.71</v>
      </c>
      <c r="K2930" s="17" t="n">
        <v>1711393.02</v>
      </c>
      <c r="L2930" s="12" t="n">
        <v>0</v>
      </c>
      <c r="M2930" s="12" t="n">
        <v>15</v>
      </c>
      <c r="N2930" s="27">
        <f>F2930-J2930</f>
        <v/>
      </c>
      <c r="O2930" s="16">
        <f>I2930-H2930</f>
        <v/>
      </c>
      <c r="P2930" s="14">
        <f>F2930*G2930</f>
        <v/>
      </c>
      <c r="Q2930" s="14">
        <f>J2930*G2930</f>
        <v/>
      </c>
      <c r="R2930" s="14">
        <f>K2930-Q2930</f>
        <v/>
      </c>
      <c r="S2930" s="3">
        <f>P2930*Assumptions!$B$3/100</f>
        <v/>
      </c>
      <c r="T2930" s="14">
        <f>R2930-S2930</f>
        <v/>
      </c>
      <c r="U2930" s="14">
        <f>L2930*G2930</f>
        <v/>
      </c>
    </row>
    <row r="2931">
      <c r="A2931" s="12" t="inlineStr">
        <is>
          <t>PO-2022-2929</t>
        </is>
      </c>
      <c r="B2931" s="26" t="n">
        <v>44406</v>
      </c>
      <c r="C2931" s="12" t="inlineStr">
        <is>
          <t>VS27</t>
        </is>
      </c>
      <c r="D2931" s="12" t="inlineStr">
        <is>
          <t>MS Rods</t>
        </is>
      </c>
      <c r="E2931" s="12" t="inlineStr">
        <is>
          <t>N</t>
        </is>
      </c>
      <c r="F2931" s="12" t="n">
        <v>47.82</v>
      </c>
      <c r="G2931" s="17" t="n">
        <v>56132.99</v>
      </c>
      <c r="H2931" s="26" t="n">
        <v>44416</v>
      </c>
      <c r="I2931" s="26" t="n">
        <v>44418</v>
      </c>
      <c r="J2931" s="12" t="n">
        <v>47.56</v>
      </c>
      <c r="K2931" s="17" t="n">
        <v>2684279.58</v>
      </c>
      <c r="L2931" s="12" t="n">
        <v>0</v>
      </c>
      <c r="M2931" s="12" t="n">
        <v>10</v>
      </c>
      <c r="N2931" s="27">
        <f>F2931-J2931</f>
        <v/>
      </c>
      <c r="O2931" s="16">
        <f>I2931-H2931</f>
        <v/>
      </c>
      <c r="P2931" s="14">
        <f>F2931*G2931</f>
        <v/>
      </c>
      <c r="Q2931" s="14">
        <f>J2931*G2931</f>
        <v/>
      </c>
      <c r="R2931" s="14">
        <f>K2931-Q2931</f>
        <v/>
      </c>
      <c r="S2931" s="3">
        <f>P2931*Assumptions!$B$3/100</f>
        <v/>
      </c>
      <c r="T2931" s="14">
        <f>R2931-S2931</f>
        <v/>
      </c>
      <c r="U2931" s="14">
        <f>L2931*G2931</f>
        <v/>
      </c>
    </row>
    <row r="2932">
      <c r="A2932" s="12" t="inlineStr">
        <is>
          <t>PO-2022-2930</t>
        </is>
      </c>
      <c r="B2932" s="26" t="n">
        <v>44784</v>
      </c>
      <c r="C2932" s="12" t="inlineStr">
        <is>
          <t>VS04</t>
        </is>
      </c>
      <c r="D2932" s="12" t="inlineStr">
        <is>
          <t>Structural Steel</t>
        </is>
      </c>
      <c r="E2932" s="12" t="inlineStr">
        <is>
          <t>N</t>
        </is>
      </c>
      <c r="F2932" s="12" t="n">
        <v>24.51</v>
      </c>
      <c r="G2932" s="17" t="n">
        <v>64963.06</v>
      </c>
      <c r="H2932" s="26" t="n">
        <v>44790</v>
      </c>
      <c r="I2932" s="26" t="n">
        <v>44793</v>
      </c>
      <c r="J2932" s="12" t="n">
        <v>24.48</v>
      </c>
      <c r="K2932" s="17" t="n">
        <v>1592244.6</v>
      </c>
      <c r="L2932" s="12" t="n">
        <v>0</v>
      </c>
      <c r="M2932" s="12" t="n">
        <v>0</v>
      </c>
      <c r="N2932" s="27">
        <f>F2932-J2932</f>
        <v/>
      </c>
      <c r="O2932" s="16">
        <f>I2932-H2932</f>
        <v/>
      </c>
      <c r="P2932" s="14">
        <f>F2932*G2932</f>
        <v/>
      </c>
      <c r="Q2932" s="14">
        <f>J2932*G2932</f>
        <v/>
      </c>
      <c r="R2932" s="14">
        <f>K2932-Q2932</f>
        <v/>
      </c>
      <c r="S2932" s="3">
        <f>P2932*Assumptions!$B$3/100</f>
        <v/>
      </c>
      <c r="T2932" s="14">
        <f>R2932-S2932</f>
        <v/>
      </c>
      <c r="U2932" s="14">
        <f>L2932*G2932</f>
        <v/>
      </c>
    </row>
    <row r="2933">
      <c r="A2933" s="12" t="inlineStr">
        <is>
          <t>PO-2022-2931</t>
        </is>
      </c>
      <c r="B2933" s="26" t="n">
        <v>44553</v>
      </c>
      <c r="C2933" s="12" t="inlineStr">
        <is>
          <t>VS21</t>
        </is>
      </c>
      <c r="D2933" s="12" t="inlineStr">
        <is>
          <t>GI Wire</t>
        </is>
      </c>
      <c r="E2933" s="12" t="inlineStr">
        <is>
          <t>N</t>
        </is>
      </c>
      <c r="F2933" s="12" t="n">
        <v>9.970000000000001</v>
      </c>
      <c r="G2933" s="17" t="n">
        <v>100272.6</v>
      </c>
      <c r="H2933" s="26" t="n">
        <v>44564</v>
      </c>
      <c r="I2933" s="26" t="n">
        <v>44566</v>
      </c>
      <c r="J2933" s="12" t="n">
        <v>9.94</v>
      </c>
      <c r="K2933" s="17" t="n">
        <v>999717.8199999999</v>
      </c>
      <c r="L2933" s="12" t="n">
        <v>0</v>
      </c>
      <c r="M2933" s="12" t="n">
        <v>10</v>
      </c>
      <c r="N2933" s="27">
        <f>F2933-J2933</f>
        <v/>
      </c>
      <c r="O2933" s="16">
        <f>I2933-H2933</f>
        <v/>
      </c>
      <c r="P2933" s="14">
        <f>F2933*G2933</f>
        <v/>
      </c>
      <c r="Q2933" s="14">
        <f>J2933*G2933</f>
        <v/>
      </c>
      <c r="R2933" s="14">
        <f>K2933-Q2933</f>
        <v/>
      </c>
      <c r="S2933" s="3">
        <f>P2933*Assumptions!$B$3/100</f>
        <v/>
      </c>
      <c r="T2933" s="14">
        <f>R2933-S2933</f>
        <v/>
      </c>
      <c r="U2933" s="14">
        <f>L2933*G2933</f>
        <v/>
      </c>
    </row>
    <row r="2934">
      <c r="A2934" s="12" t="inlineStr">
        <is>
          <t>PO-2022-2932</t>
        </is>
      </c>
      <c r="B2934" s="26" t="n">
        <v>44789</v>
      </c>
      <c r="C2934" s="12" t="inlineStr">
        <is>
          <t>VS08</t>
        </is>
      </c>
      <c r="D2934" s="12" t="inlineStr">
        <is>
          <t>Fasteners &amp; Fittings</t>
        </is>
      </c>
      <c r="E2934" s="12" t="inlineStr">
        <is>
          <t>N</t>
        </is>
      </c>
      <c r="F2934" s="12" t="n">
        <v>40.54</v>
      </c>
      <c r="G2934" s="17" t="n">
        <v>50024.67</v>
      </c>
      <c r="H2934" s="26" t="n">
        <v>44796</v>
      </c>
      <c r="I2934" s="26" t="n">
        <v>44797</v>
      </c>
      <c r="J2934" s="12" t="n">
        <v>40.27</v>
      </c>
      <c r="K2934" s="17" t="n">
        <v>2028000.12</v>
      </c>
      <c r="L2934" s="12" t="n">
        <v>0</v>
      </c>
      <c r="M2934" s="12" t="n">
        <v>21</v>
      </c>
      <c r="N2934" s="27">
        <f>F2934-J2934</f>
        <v/>
      </c>
      <c r="O2934" s="16">
        <f>I2934-H2934</f>
        <v/>
      </c>
      <c r="P2934" s="14">
        <f>F2934*G2934</f>
        <v/>
      </c>
      <c r="Q2934" s="14">
        <f>J2934*G2934</f>
        <v/>
      </c>
      <c r="R2934" s="14">
        <f>K2934-Q2934</f>
        <v/>
      </c>
      <c r="S2934" s="3">
        <f>P2934*Assumptions!$B$3/100</f>
        <v/>
      </c>
      <c r="T2934" s="14">
        <f>R2934-S2934</f>
        <v/>
      </c>
      <c r="U2934" s="14">
        <f>L2934*G2934</f>
        <v/>
      </c>
    </row>
    <row r="2935">
      <c r="A2935" s="12" t="inlineStr">
        <is>
          <t>PO-2022-2933</t>
        </is>
      </c>
      <c r="B2935" s="26" t="n">
        <v>44535</v>
      </c>
      <c r="C2935" s="12" t="inlineStr">
        <is>
          <t>VS28</t>
        </is>
      </c>
      <c r="D2935" s="12" t="inlineStr">
        <is>
          <t>Square/Rect Tubes</t>
        </is>
      </c>
      <c r="E2935" s="12" t="inlineStr">
        <is>
          <t>N</t>
        </is>
      </c>
      <c r="F2935" s="12" t="n">
        <v>2.29</v>
      </c>
      <c r="G2935" s="17" t="n">
        <v>80045.14</v>
      </c>
      <c r="H2935" s="26" t="n">
        <v>44546</v>
      </c>
      <c r="I2935" s="26" t="n">
        <v>44547</v>
      </c>
      <c r="J2935" s="12" t="n">
        <v>2.29</v>
      </c>
      <c r="K2935" s="17" t="n">
        <v>183303.37</v>
      </c>
      <c r="L2935" s="12" t="n">
        <v>0</v>
      </c>
      <c r="M2935" s="12" t="n">
        <v>0</v>
      </c>
      <c r="N2935" s="27">
        <f>F2935-J2935</f>
        <v/>
      </c>
      <c r="O2935" s="16">
        <f>I2935-H2935</f>
        <v/>
      </c>
      <c r="P2935" s="14">
        <f>F2935*G2935</f>
        <v/>
      </c>
      <c r="Q2935" s="14">
        <f>J2935*G2935</f>
        <v/>
      </c>
      <c r="R2935" s="14">
        <f>K2935-Q2935</f>
        <v/>
      </c>
      <c r="S2935" s="3">
        <f>P2935*Assumptions!$B$3/100</f>
        <v/>
      </c>
      <c r="T2935" s="14">
        <f>R2935-S2935</f>
        <v/>
      </c>
      <c r="U2935" s="14">
        <f>L2935*G2935</f>
        <v/>
      </c>
    </row>
    <row r="2936">
      <c r="A2936" s="12" t="inlineStr">
        <is>
          <t>PO-2022-2934</t>
        </is>
      </c>
      <c r="B2936" s="26" t="n">
        <v>45140</v>
      </c>
      <c r="C2936" s="12" t="inlineStr">
        <is>
          <t>VS11</t>
        </is>
      </c>
      <c r="D2936" s="12" t="inlineStr">
        <is>
          <t>ERW Pipes</t>
        </is>
      </c>
      <c r="E2936" s="12" t="inlineStr">
        <is>
          <t>N</t>
        </is>
      </c>
      <c r="F2936" s="12" t="n">
        <v>5.36</v>
      </c>
      <c r="G2936" s="17" t="n">
        <v>49119.19</v>
      </c>
      <c r="H2936" s="26" t="n">
        <v>45145</v>
      </c>
      <c r="I2936" s="26" t="n">
        <v>45147</v>
      </c>
      <c r="J2936" s="12" t="n">
        <v>5.33</v>
      </c>
      <c r="K2936" s="17" t="n">
        <v>263278.86</v>
      </c>
      <c r="L2936" s="12" t="n">
        <v>0</v>
      </c>
      <c r="M2936" s="12" t="n">
        <v>0</v>
      </c>
      <c r="N2936" s="27">
        <f>F2936-J2936</f>
        <v/>
      </c>
      <c r="O2936" s="16">
        <f>I2936-H2936</f>
        <v/>
      </c>
      <c r="P2936" s="14">
        <f>F2936*G2936</f>
        <v/>
      </c>
      <c r="Q2936" s="14">
        <f>J2936*G2936</f>
        <v/>
      </c>
      <c r="R2936" s="14">
        <f>K2936-Q2936</f>
        <v/>
      </c>
      <c r="S2936" s="3">
        <f>P2936*Assumptions!$B$3/100</f>
        <v/>
      </c>
      <c r="T2936" s="14">
        <f>R2936-S2936</f>
        <v/>
      </c>
      <c r="U2936" s="14">
        <f>L2936*G2936</f>
        <v/>
      </c>
    </row>
    <row r="2937">
      <c r="A2937" s="12" t="inlineStr">
        <is>
          <t>PO-2022-2935</t>
        </is>
      </c>
      <c r="B2937" s="26" t="n">
        <v>44253</v>
      </c>
      <c r="C2937" s="12" t="inlineStr">
        <is>
          <t>VS17</t>
        </is>
      </c>
      <c r="D2937" s="12" t="inlineStr">
        <is>
          <t>ERW Pipes</t>
        </is>
      </c>
      <c r="E2937" s="12" t="inlineStr">
        <is>
          <t>Y</t>
        </is>
      </c>
      <c r="F2937" s="12" t="n">
        <v>42.63</v>
      </c>
      <c r="G2937" s="17" t="n">
        <v>112645.23</v>
      </c>
      <c r="H2937" s="26" t="n">
        <v>44264</v>
      </c>
      <c r="I2937" s="26" t="n">
        <v>44264</v>
      </c>
      <c r="J2937" s="12" t="n">
        <v>42.24</v>
      </c>
      <c r="K2937" s="17" t="n">
        <v>4802066.15</v>
      </c>
      <c r="L2937" s="12" t="n">
        <v>0</v>
      </c>
      <c r="M2937" s="12" t="n">
        <v>0</v>
      </c>
      <c r="N2937" s="27">
        <f>F2937-J2937</f>
        <v/>
      </c>
      <c r="O2937" s="16">
        <f>I2937-H2937</f>
        <v/>
      </c>
      <c r="P2937" s="14">
        <f>F2937*G2937</f>
        <v/>
      </c>
      <c r="Q2937" s="14">
        <f>J2937*G2937</f>
        <v/>
      </c>
      <c r="R2937" s="14">
        <f>K2937-Q2937</f>
        <v/>
      </c>
      <c r="S2937" s="3">
        <f>P2937*Assumptions!$B$3/100</f>
        <v/>
      </c>
      <c r="T2937" s="14">
        <f>R2937-S2937</f>
        <v/>
      </c>
      <c r="U2937" s="14">
        <f>L2937*G2937</f>
        <v/>
      </c>
    </row>
    <row r="2938">
      <c r="A2938" s="12" t="inlineStr">
        <is>
          <t>PO-2022-2936</t>
        </is>
      </c>
      <c r="B2938" s="26" t="n">
        <v>44368</v>
      </c>
      <c r="C2938" s="12" t="inlineStr">
        <is>
          <t>VS16</t>
        </is>
      </c>
      <c r="D2938" s="12" t="inlineStr">
        <is>
          <t>Angles &amp; Channels</t>
        </is>
      </c>
      <c r="E2938" s="12" t="inlineStr">
        <is>
          <t>Y</t>
        </is>
      </c>
      <c r="F2938" s="12" t="n">
        <v>34.53</v>
      </c>
      <c r="G2938" s="17" t="n">
        <v>101319.43</v>
      </c>
      <c r="H2938" s="26" t="n">
        <v>44380</v>
      </c>
      <c r="I2938" s="26" t="n">
        <v>44382</v>
      </c>
      <c r="J2938" s="12" t="n">
        <v>34.45</v>
      </c>
      <c r="K2938" s="17" t="n">
        <v>3498559.92</v>
      </c>
      <c r="L2938" s="12" t="n">
        <v>0</v>
      </c>
      <c r="M2938" s="12" t="n">
        <v>0</v>
      </c>
      <c r="N2938" s="27">
        <f>F2938-J2938</f>
        <v/>
      </c>
      <c r="O2938" s="16">
        <f>I2938-H2938</f>
        <v/>
      </c>
      <c r="P2938" s="14">
        <f>F2938*G2938</f>
        <v/>
      </c>
      <c r="Q2938" s="14">
        <f>J2938*G2938</f>
        <v/>
      </c>
      <c r="R2938" s="14">
        <f>K2938-Q2938</f>
        <v/>
      </c>
      <c r="S2938" s="3">
        <f>P2938*Assumptions!$B$3/100</f>
        <v/>
      </c>
      <c r="T2938" s="14">
        <f>R2938-S2938</f>
        <v/>
      </c>
      <c r="U2938" s="14">
        <f>L2938*G2938</f>
        <v/>
      </c>
    </row>
    <row r="2939">
      <c r="A2939" s="12" t="inlineStr">
        <is>
          <t>PO-2022-2937</t>
        </is>
      </c>
      <c r="B2939" s="26" t="n">
        <v>45247</v>
      </c>
      <c r="C2939" s="12" t="inlineStr">
        <is>
          <t>VS33</t>
        </is>
      </c>
      <c r="D2939" s="12" t="inlineStr">
        <is>
          <t>Fasteners &amp; Fittings</t>
        </is>
      </c>
      <c r="E2939" s="12" t="inlineStr">
        <is>
          <t>N</t>
        </is>
      </c>
      <c r="F2939" s="12" t="n">
        <v>45.14</v>
      </c>
      <c r="G2939" s="17" t="n">
        <v>112308.51</v>
      </c>
      <c r="H2939" s="26" t="n">
        <v>45251</v>
      </c>
      <c r="I2939" s="26" t="n">
        <v>45254</v>
      </c>
      <c r="J2939" s="12" t="n">
        <v>44.95</v>
      </c>
      <c r="K2939" s="17" t="n">
        <v>5069606.14</v>
      </c>
      <c r="L2939" s="12" t="n">
        <v>0</v>
      </c>
      <c r="M2939" s="12" t="n">
        <v>14</v>
      </c>
      <c r="N2939" s="27">
        <f>F2939-J2939</f>
        <v/>
      </c>
      <c r="O2939" s="16">
        <f>I2939-H2939</f>
        <v/>
      </c>
      <c r="P2939" s="14">
        <f>F2939*G2939</f>
        <v/>
      </c>
      <c r="Q2939" s="14">
        <f>J2939*G2939</f>
        <v/>
      </c>
      <c r="R2939" s="14">
        <f>K2939-Q2939</f>
        <v/>
      </c>
      <c r="S2939" s="3">
        <f>P2939*Assumptions!$B$3/100</f>
        <v/>
      </c>
      <c r="T2939" s="14">
        <f>R2939-S2939</f>
        <v/>
      </c>
      <c r="U2939" s="14">
        <f>L2939*G2939</f>
        <v/>
      </c>
    </row>
    <row r="2940">
      <c r="A2940" s="12" t="inlineStr">
        <is>
          <t>PO-2022-2938</t>
        </is>
      </c>
      <c r="B2940" s="26" t="n">
        <v>45107</v>
      </c>
      <c r="C2940" s="12" t="inlineStr">
        <is>
          <t>VS02</t>
        </is>
      </c>
      <c r="D2940" s="12" t="inlineStr">
        <is>
          <t>Spring Steel</t>
        </is>
      </c>
      <c r="E2940" s="12" t="inlineStr">
        <is>
          <t>Y</t>
        </is>
      </c>
      <c r="F2940" s="12" t="n">
        <v>25.68</v>
      </c>
      <c r="G2940" s="17" t="n">
        <v>89073.56</v>
      </c>
      <c r="H2940" s="26" t="n">
        <v>45114</v>
      </c>
      <c r="I2940" s="26" t="n">
        <v>45115</v>
      </c>
      <c r="J2940" s="12" t="n">
        <v>25.58</v>
      </c>
      <c r="K2940" s="17" t="n">
        <v>2287409.02</v>
      </c>
      <c r="L2940" s="12" t="n">
        <v>0</v>
      </c>
      <c r="M2940" s="12" t="n">
        <v>25</v>
      </c>
      <c r="N2940" s="27">
        <f>F2940-J2940</f>
        <v/>
      </c>
      <c r="O2940" s="16">
        <f>I2940-H2940</f>
        <v/>
      </c>
      <c r="P2940" s="14">
        <f>F2940*G2940</f>
        <v/>
      </c>
      <c r="Q2940" s="14">
        <f>J2940*G2940</f>
        <v/>
      </c>
      <c r="R2940" s="14">
        <f>K2940-Q2940</f>
        <v/>
      </c>
      <c r="S2940" s="3">
        <f>P2940*Assumptions!$B$3/100</f>
        <v/>
      </c>
      <c r="T2940" s="14">
        <f>R2940-S2940</f>
        <v/>
      </c>
      <c r="U2940" s="14">
        <f>L2940*G2940</f>
        <v/>
      </c>
    </row>
    <row r="2941">
      <c r="A2941" s="12" t="inlineStr">
        <is>
          <t>PO-2022-2939</t>
        </is>
      </c>
      <c r="B2941" s="26" t="n">
        <v>45237</v>
      </c>
      <c r="C2941" s="12" t="inlineStr">
        <is>
          <t>VS02</t>
        </is>
      </c>
      <c r="D2941" s="12" t="inlineStr">
        <is>
          <t>SS Pipes</t>
        </is>
      </c>
      <c r="E2941" s="12" t="inlineStr">
        <is>
          <t>Y</t>
        </is>
      </c>
      <c r="F2941" s="12" t="n">
        <v>48.55</v>
      </c>
      <c r="G2941" s="17" t="n">
        <v>114605.68</v>
      </c>
      <c r="H2941" s="26" t="n">
        <v>45244</v>
      </c>
      <c r="I2941" s="26" t="n">
        <v>45247</v>
      </c>
      <c r="J2941" s="12" t="n">
        <v>48.22</v>
      </c>
      <c r="K2941" s="17" t="n">
        <v>5564105.76</v>
      </c>
      <c r="L2941" s="12" t="n">
        <v>0</v>
      </c>
      <c r="M2941" s="12" t="n">
        <v>24</v>
      </c>
      <c r="N2941" s="27">
        <f>F2941-J2941</f>
        <v/>
      </c>
      <c r="O2941" s="16">
        <f>I2941-H2941</f>
        <v/>
      </c>
      <c r="P2941" s="14">
        <f>F2941*G2941</f>
        <v/>
      </c>
      <c r="Q2941" s="14">
        <f>J2941*G2941</f>
        <v/>
      </c>
      <c r="R2941" s="14">
        <f>K2941-Q2941</f>
        <v/>
      </c>
      <c r="S2941" s="3">
        <f>P2941*Assumptions!$B$3/100</f>
        <v/>
      </c>
      <c r="T2941" s="14">
        <f>R2941-S2941</f>
        <v/>
      </c>
      <c r="U2941" s="14">
        <f>L2941*G2941</f>
        <v/>
      </c>
    </row>
    <row r="2942">
      <c r="A2942" s="12" t="inlineStr">
        <is>
          <t>PO-2022-2940</t>
        </is>
      </c>
      <c r="B2942" s="26" t="n">
        <v>44819</v>
      </c>
      <c r="C2942" s="12" t="inlineStr">
        <is>
          <t>VS09</t>
        </is>
      </c>
      <c r="D2942" s="12" t="inlineStr">
        <is>
          <t>MS Sheets</t>
        </is>
      </c>
      <c r="E2942" s="12" t="inlineStr">
        <is>
          <t>N</t>
        </is>
      </c>
      <c r="F2942" s="12" t="n">
        <v>38.13</v>
      </c>
      <c r="G2942" s="17" t="n">
        <v>78846.85000000001</v>
      </c>
      <c r="H2942" s="26" t="n">
        <v>44827</v>
      </c>
      <c r="I2942" s="26" t="n">
        <v>44828</v>
      </c>
      <c r="J2942" s="12" t="n">
        <v>38.05</v>
      </c>
      <c r="K2942" s="17" t="n">
        <v>3006430.39</v>
      </c>
      <c r="L2942" s="12" t="n">
        <v>0</v>
      </c>
      <c r="M2942" s="12" t="n">
        <v>0</v>
      </c>
      <c r="N2942" s="27">
        <f>F2942-J2942</f>
        <v/>
      </c>
      <c r="O2942" s="16">
        <f>I2942-H2942</f>
        <v/>
      </c>
      <c r="P2942" s="14">
        <f>F2942*G2942</f>
        <v/>
      </c>
      <c r="Q2942" s="14">
        <f>J2942*G2942</f>
        <v/>
      </c>
      <c r="R2942" s="14">
        <f>K2942-Q2942</f>
        <v/>
      </c>
      <c r="S2942" s="3">
        <f>P2942*Assumptions!$B$3/100</f>
        <v/>
      </c>
      <c r="T2942" s="14">
        <f>R2942-S2942</f>
        <v/>
      </c>
      <c r="U2942" s="14">
        <f>L2942*G2942</f>
        <v/>
      </c>
    </row>
    <row r="2943">
      <c r="A2943" s="12" t="inlineStr">
        <is>
          <t>PO-2022-2941</t>
        </is>
      </c>
      <c r="B2943" s="26" t="n">
        <v>45265</v>
      </c>
      <c r="C2943" s="12" t="inlineStr">
        <is>
          <t>VS33</t>
        </is>
      </c>
      <c r="D2943" s="12" t="inlineStr">
        <is>
          <t>HR Coils</t>
        </is>
      </c>
      <c r="E2943" s="12" t="inlineStr">
        <is>
          <t>Y</t>
        </is>
      </c>
      <c r="F2943" s="12" t="n">
        <v>28.98</v>
      </c>
      <c r="G2943" s="17" t="n">
        <v>78026.52</v>
      </c>
      <c r="H2943" s="26" t="n">
        <v>45276</v>
      </c>
      <c r="I2943" s="26" t="n">
        <v>45279</v>
      </c>
      <c r="J2943" s="12" t="n">
        <v>28.76</v>
      </c>
      <c r="K2943" s="17" t="n">
        <v>2261208.55</v>
      </c>
      <c r="L2943" s="12" t="n">
        <v>0</v>
      </c>
      <c r="M2943" s="12" t="n">
        <v>0</v>
      </c>
      <c r="N2943" s="27">
        <f>F2943-J2943</f>
        <v/>
      </c>
      <c r="O2943" s="16">
        <f>I2943-H2943</f>
        <v/>
      </c>
      <c r="P2943" s="14">
        <f>F2943*G2943</f>
        <v/>
      </c>
      <c r="Q2943" s="14">
        <f>J2943*G2943</f>
        <v/>
      </c>
      <c r="R2943" s="14">
        <f>K2943-Q2943</f>
        <v/>
      </c>
      <c r="S2943" s="3">
        <f>P2943*Assumptions!$B$3/100</f>
        <v/>
      </c>
      <c r="T2943" s="14">
        <f>R2943-S2943</f>
        <v/>
      </c>
      <c r="U2943" s="14">
        <f>L2943*G2943</f>
        <v/>
      </c>
    </row>
    <row r="2944">
      <c r="A2944" s="12" t="inlineStr">
        <is>
          <t>PO-2022-2942</t>
        </is>
      </c>
      <c r="B2944" s="26" t="n">
        <v>44962</v>
      </c>
      <c r="C2944" s="12" t="inlineStr">
        <is>
          <t>VS29</t>
        </is>
      </c>
      <c r="D2944" s="12" t="inlineStr">
        <is>
          <t>MS Pipes</t>
        </is>
      </c>
      <c r="E2944" s="12" t="inlineStr">
        <is>
          <t>N</t>
        </is>
      </c>
      <c r="F2944" s="12" t="n">
        <v>27.42</v>
      </c>
      <c r="G2944" s="17" t="n">
        <v>49628.59</v>
      </c>
      <c r="H2944" s="26" t="n">
        <v>44965</v>
      </c>
      <c r="I2944" s="26" t="n">
        <v>44965</v>
      </c>
      <c r="J2944" s="12" t="n">
        <v>27.18</v>
      </c>
      <c r="K2944" s="17" t="n">
        <v>1360815.94</v>
      </c>
      <c r="L2944" s="12" t="n">
        <v>0</v>
      </c>
      <c r="M2944" s="12" t="n">
        <v>0</v>
      </c>
      <c r="N2944" s="27">
        <f>F2944-J2944</f>
        <v/>
      </c>
      <c r="O2944" s="16">
        <f>I2944-H2944</f>
        <v/>
      </c>
      <c r="P2944" s="14">
        <f>F2944*G2944</f>
        <v/>
      </c>
      <c r="Q2944" s="14">
        <f>J2944*G2944</f>
        <v/>
      </c>
      <c r="R2944" s="14">
        <f>K2944-Q2944</f>
        <v/>
      </c>
      <c r="S2944" s="3">
        <f>P2944*Assumptions!$B$3/100</f>
        <v/>
      </c>
      <c r="T2944" s="14">
        <f>R2944-S2944</f>
        <v/>
      </c>
      <c r="U2944" s="14">
        <f>L2944*G2944</f>
        <v/>
      </c>
    </row>
    <row r="2945">
      <c r="A2945" s="12" t="inlineStr">
        <is>
          <t>PO-2022-2943</t>
        </is>
      </c>
      <c r="B2945" s="26" t="n">
        <v>44728</v>
      </c>
      <c r="C2945" s="12" t="inlineStr">
        <is>
          <t>VS03</t>
        </is>
      </c>
      <c r="D2945" s="12" t="inlineStr">
        <is>
          <t>GI Wire</t>
        </is>
      </c>
      <c r="E2945" s="12" t="inlineStr">
        <is>
          <t>N</t>
        </is>
      </c>
      <c r="F2945" s="12" t="n">
        <v>24.24</v>
      </c>
      <c r="G2945" s="17" t="n">
        <v>83715.47</v>
      </c>
      <c r="H2945" s="26" t="n">
        <v>44732</v>
      </c>
      <c r="I2945" s="26" t="n">
        <v>44736</v>
      </c>
      <c r="J2945" s="12" t="n">
        <v>23.06</v>
      </c>
      <c r="K2945" s="17" t="n">
        <v>2029262.99</v>
      </c>
      <c r="L2945" s="12" t="n">
        <v>0</v>
      </c>
      <c r="M2945" s="12" t="n">
        <v>11</v>
      </c>
      <c r="N2945" s="27">
        <f>F2945-J2945</f>
        <v/>
      </c>
      <c r="O2945" s="16">
        <f>I2945-H2945</f>
        <v/>
      </c>
      <c r="P2945" s="14">
        <f>F2945*G2945</f>
        <v/>
      </c>
      <c r="Q2945" s="14">
        <f>J2945*G2945</f>
        <v/>
      </c>
      <c r="R2945" s="14">
        <f>K2945-Q2945</f>
        <v/>
      </c>
      <c r="S2945" s="3">
        <f>P2945*Assumptions!$B$3/100</f>
        <v/>
      </c>
      <c r="T2945" s="14">
        <f>R2945-S2945</f>
        <v/>
      </c>
      <c r="U2945" s="14">
        <f>L2945*G2945</f>
        <v/>
      </c>
    </row>
    <row r="2946">
      <c r="A2946" s="12" t="inlineStr">
        <is>
          <t>PO-2022-2944</t>
        </is>
      </c>
      <c r="B2946" s="26" t="n">
        <v>44565</v>
      </c>
      <c r="C2946" s="12" t="inlineStr">
        <is>
          <t>VS13</t>
        </is>
      </c>
      <c r="D2946" s="12" t="inlineStr">
        <is>
          <t>MS Rods</t>
        </is>
      </c>
      <c r="E2946" s="12" t="inlineStr">
        <is>
          <t>Y</t>
        </is>
      </c>
      <c r="F2946" s="12" t="n">
        <v>28.61</v>
      </c>
      <c r="G2946" s="17" t="n">
        <v>67466.67999999999</v>
      </c>
      <c r="H2946" s="26" t="n">
        <v>44574</v>
      </c>
      <c r="I2946" s="26" t="n">
        <v>44576</v>
      </c>
      <c r="J2946" s="12" t="n">
        <v>28.54</v>
      </c>
      <c r="K2946" s="17" t="n">
        <v>1930221.71</v>
      </c>
      <c r="L2946" s="12" t="n">
        <v>0</v>
      </c>
      <c r="M2946" s="12" t="n">
        <v>16</v>
      </c>
      <c r="N2946" s="27">
        <f>F2946-J2946</f>
        <v/>
      </c>
      <c r="O2946" s="16">
        <f>I2946-H2946</f>
        <v/>
      </c>
      <c r="P2946" s="14">
        <f>F2946*G2946</f>
        <v/>
      </c>
      <c r="Q2946" s="14">
        <f>J2946*G2946</f>
        <v/>
      </c>
      <c r="R2946" s="14">
        <f>K2946-Q2946</f>
        <v/>
      </c>
      <c r="S2946" s="3">
        <f>P2946*Assumptions!$B$3/100</f>
        <v/>
      </c>
      <c r="T2946" s="14">
        <f>R2946-S2946</f>
        <v/>
      </c>
      <c r="U2946" s="14">
        <f>L2946*G2946</f>
        <v/>
      </c>
    </row>
    <row r="2947">
      <c r="A2947" s="12" t="inlineStr">
        <is>
          <t>PO-2022-2945</t>
        </is>
      </c>
      <c r="B2947" s="26" t="n">
        <v>44384</v>
      </c>
      <c r="C2947" s="12" t="inlineStr">
        <is>
          <t>VS06</t>
        </is>
      </c>
      <c r="D2947" s="12" t="inlineStr">
        <is>
          <t>MS Sheets</t>
        </is>
      </c>
      <c r="E2947" s="12" t="inlineStr">
        <is>
          <t>N</t>
        </is>
      </c>
      <c r="F2947" s="12" t="n">
        <v>26.03</v>
      </c>
      <c r="G2947" s="17" t="n">
        <v>82476.33</v>
      </c>
      <c r="H2947" s="26" t="n">
        <v>44396</v>
      </c>
      <c r="I2947" s="26" t="n">
        <v>44396</v>
      </c>
      <c r="J2947" s="12" t="n">
        <v>26.01</v>
      </c>
      <c r="K2947" s="17" t="n">
        <v>2146858.87</v>
      </c>
      <c r="L2947" s="12" t="n">
        <v>0</v>
      </c>
      <c r="M2947" s="12" t="n">
        <v>0</v>
      </c>
      <c r="N2947" s="27">
        <f>F2947-J2947</f>
        <v/>
      </c>
      <c r="O2947" s="16">
        <f>I2947-H2947</f>
        <v/>
      </c>
      <c r="P2947" s="14">
        <f>F2947*G2947</f>
        <v/>
      </c>
      <c r="Q2947" s="14">
        <f>J2947*G2947</f>
        <v/>
      </c>
      <c r="R2947" s="14">
        <f>K2947-Q2947</f>
        <v/>
      </c>
      <c r="S2947" s="3">
        <f>P2947*Assumptions!$B$3/100</f>
        <v/>
      </c>
      <c r="T2947" s="14">
        <f>R2947-S2947</f>
        <v/>
      </c>
      <c r="U2947" s="14">
        <f>L2947*G2947</f>
        <v/>
      </c>
    </row>
    <row r="2948">
      <c r="A2948" s="12" t="inlineStr">
        <is>
          <t>PO-2022-2946</t>
        </is>
      </c>
      <c r="B2948" s="26" t="n">
        <v>44750</v>
      </c>
      <c r="C2948" s="12" t="inlineStr">
        <is>
          <t>VS11</t>
        </is>
      </c>
      <c r="D2948" s="12" t="inlineStr">
        <is>
          <t>GI Wire</t>
        </is>
      </c>
      <c r="E2948" s="12" t="inlineStr">
        <is>
          <t>N</t>
        </is>
      </c>
      <c r="F2948" s="12" t="n">
        <v>28.42</v>
      </c>
      <c r="G2948" s="17" t="n">
        <v>82851.5</v>
      </c>
      <c r="H2948" s="26" t="n">
        <v>44760</v>
      </c>
      <c r="I2948" s="26" t="n">
        <v>44761</v>
      </c>
      <c r="J2948" s="12" t="n">
        <v>28.25</v>
      </c>
      <c r="K2948" s="17" t="n">
        <v>2354639.63</v>
      </c>
      <c r="L2948" s="12" t="n">
        <v>0</v>
      </c>
      <c r="M2948" s="12" t="n">
        <v>3</v>
      </c>
      <c r="N2948" s="27">
        <f>F2948-J2948</f>
        <v/>
      </c>
      <c r="O2948" s="16">
        <f>I2948-H2948</f>
        <v/>
      </c>
      <c r="P2948" s="14">
        <f>F2948*G2948</f>
        <v/>
      </c>
      <c r="Q2948" s="14">
        <f>J2948*G2948</f>
        <v/>
      </c>
      <c r="R2948" s="14">
        <f>K2948-Q2948</f>
        <v/>
      </c>
      <c r="S2948" s="3">
        <f>P2948*Assumptions!$B$3/100</f>
        <v/>
      </c>
      <c r="T2948" s="14">
        <f>R2948-S2948</f>
        <v/>
      </c>
      <c r="U2948" s="14">
        <f>L2948*G2948</f>
        <v/>
      </c>
    </row>
    <row r="2949">
      <c r="A2949" s="12" t="inlineStr">
        <is>
          <t>PO-2022-2947</t>
        </is>
      </c>
      <c r="B2949" s="26" t="n">
        <v>45000</v>
      </c>
      <c r="C2949" s="12" t="inlineStr">
        <is>
          <t>VS31</t>
        </is>
      </c>
      <c r="D2949" s="12" t="inlineStr">
        <is>
          <t>GI Pipes</t>
        </is>
      </c>
      <c r="E2949" s="12" t="inlineStr">
        <is>
          <t>N</t>
        </is>
      </c>
      <c r="F2949" s="12" t="n">
        <v>14.09</v>
      </c>
      <c r="G2949" s="17" t="n">
        <v>89163.13</v>
      </c>
      <c r="H2949" s="26" t="n">
        <v>45006</v>
      </c>
      <c r="I2949" s="26" t="n">
        <v>45008</v>
      </c>
      <c r="J2949" s="12" t="n">
        <v>14.02</v>
      </c>
      <c r="K2949" s="17" t="n">
        <v>1256308.5</v>
      </c>
      <c r="L2949" s="12" t="n">
        <v>0</v>
      </c>
      <c r="M2949" s="12" t="n">
        <v>0</v>
      </c>
      <c r="N2949" s="27">
        <f>F2949-J2949</f>
        <v/>
      </c>
      <c r="O2949" s="16">
        <f>I2949-H2949</f>
        <v/>
      </c>
      <c r="P2949" s="14">
        <f>F2949*G2949</f>
        <v/>
      </c>
      <c r="Q2949" s="14">
        <f>J2949*G2949</f>
        <v/>
      </c>
      <c r="R2949" s="14">
        <f>K2949-Q2949</f>
        <v/>
      </c>
      <c r="S2949" s="3">
        <f>P2949*Assumptions!$B$3/100</f>
        <v/>
      </c>
      <c r="T2949" s="14">
        <f>R2949-S2949</f>
        <v/>
      </c>
      <c r="U2949" s="14">
        <f>L2949*G2949</f>
        <v/>
      </c>
    </row>
    <row r="2950">
      <c r="A2950" s="12" t="inlineStr">
        <is>
          <t>PO-2022-2948</t>
        </is>
      </c>
      <c r="B2950" s="26" t="n">
        <v>44438</v>
      </c>
      <c r="C2950" s="12" t="inlineStr">
        <is>
          <t>VS17</t>
        </is>
      </c>
      <c r="D2950" s="12" t="inlineStr">
        <is>
          <t>SS Pipes</t>
        </is>
      </c>
      <c r="E2950" s="12" t="inlineStr">
        <is>
          <t>N</t>
        </is>
      </c>
      <c r="F2950" s="12" t="n">
        <v>39.72</v>
      </c>
      <c r="G2950" s="17" t="n">
        <v>76764.21000000001</v>
      </c>
      <c r="H2950" s="26" t="n">
        <v>44446</v>
      </c>
      <c r="I2950" s="26" t="n">
        <v>44447</v>
      </c>
      <c r="J2950" s="12" t="n">
        <v>39.66</v>
      </c>
      <c r="K2950" s="17" t="n">
        <v>3049074.42</v>
      </c>
      <c r="L2950" s="12" t="n">
        <v>0</v>
      </c>
      <c r="M2950" s="12" t="n">
        <v>0</v>
      </c>
      <c r="N2950" s="27">
        <f>F2950-J2950</f>
        <v/>
      </c>
      <c r="O2950" s="16">
        <f>I2950-H2950</f>
        <v/>
      </c>
      <c r="P2950" s="14">
        <f>F2950*G2950</f>
        <v/>
      </c>
      <c r="Q2950" s="14">
        <f>J2950*G2950</f>
        <v/>
      </c>
      <c r="R2950" s="14">
        <f>K2950-Q2950</f>
        <v/>
      </c>
      <c r="S2950" s="3">
        <f>P2950*Assumptions!$B$3/100</f>
        <v/>
      </c>
      <c r="T2950" s="14">
        <f>R2950-S2950</f>
        <v/>
      </c>
      <c r="U2950" s="14">
        <f>L2950*G2950</f>
        <v/>
      </c>
    </row>
    <row r="2951">
      <c r="A2951" s="12" t="inlineStr">
        <is>
          <t>PO-2022-2949</t>
        </is>
      </c>
      <c r="B2951" s="26" t="n">
        <v>45071</v>
      </c>
      <c r="C2951" s="12" t="inlineStr">
        <is>
          <t>VS03</t>
        </is>
      </c>
      <c r="D2951" s="12" t="inlineStr">
        <is>
          <t>Structural Steel</t>
        </is>
      </c>
      <c r="E2951" s="12" t="inlineStr">
        <is>
          <t>N</t>
        </is>
      </c>
      <c r="F2951" s="12" t="n">
        <v>45.08</v>
      </c>
      <c r="G2951" s="17" t="n">
        <v>96901.49000000001</v>
      </c>
      <c r="H2951" s="26" t="n">
        <v>45076</v>
      </c>
      <c r="I2951" s="26" t="n">
        <v>45078</v>
      </c>
      <c r="J2951" s="12" t="n">
        <v>43.78</v>
      </c>
      <c r="K2951" s="17" t="n">
        <v>4368319.17</v>
      </c>
      <c r="L2951" s="12" t="n">
        <v>0.44</v>
      </c>
      <c r="M2951" s="12" t="n">
        <v>9</v>
      </c>
      <c r="N2951" s="27">
        <f>F2951-J2951</f>
        <v/>
      </c>
      <c r="O2951" s="16">
        <f>I2951-H2951</f>
        <v/>
      </c>
      <c r="P2951" s="14">
        <f>F2951*G2951</f>
        <v/>
      </c>
      <c r="Q2951" s="14">
        <f>J2951*G2951</f>
        <v/>
      </c>
      <c r="R2951" s="14">
        <f>K2951-Q2951</f>
        <v/>
      </c>
      <c r="S2951" s="3">
        <f>P2951*Assumptions!$B$3/100</f>
        <v/>
      </c>
      <c r="T2951" s="14">
        <f>R2951-S2951</f>
        <v/>
      </c>
      <c r="U2951" s="14">
        <f>L2951*G2951</f>
        <v/>
      </c>
    </row>
    <row r="2952">
      <c r="A2952" s="12" t="inlineStr">
        <is>
          <t>PO-2022-2950</t>
        </is>
      </c>
      <c r="B2952" s="26" t="n">
        <v>45195</v>
      </c>
      <c r="C2952" s="12" t="inlineStr">
        <is>
          <t>VS19</t>
        </is>
      </c>
      <c r="D2952" s="12" t="inlineStr">
        <is>
          <t>Spring Steel</t>
        </is>
      </c>
      <c r="E2952" s="12" t="inlineStr">
        <is>
          <t>N</t>
        </is>
      </c>
      <c r="F2952" s="12" t="n">
        <v>28.35</v>
      </c>
      <c r="G2952" s="17" t="n">
        <v>72797.94</v>
      </c>
      <c r="H2952" s="26" t="n">
        <v>45204</v>
      </c>
      <c r="I2952" s="26" t="n">
        <v>45209</v>
      </c>
      <c r="J2952" s="12" t="n">
        <v>27.53</v>
      </c>
      <c r="K2952" s="17" t="n">
        <v>2063821.6</v>
      </c>
      <c r="L2952" s="12" t="n">
        <v>0.46</v>
      </c>
      <c r="M2952" s="12" t="n">
        <v>13</v>
      </c>
      <c r="N2952" s="27">
        <f>F2952-J2952</f>
        <v/>
      </c>
      <c r="O2952" s="16">
        <f>I2952-H2952</f>
        <v/>
      </c>
      <c r="P2952" s="14">
        <f>F2952*G2952</f>
        <v/>
      </c>
      <c r="Q2952" s="14">
        <f>J2952*G2952</f>
        <v/>
      </c>
      <c r="R2952" s="14">
        <f>K2952-Q2952</f>
        <v/>
      </c>
      <c r="S2952" s="3">
        <f>P2952*Assumptions!$B$3/100</f>
        <v/>
      </c>
      <c r="T2952" s="14">
        <f>R2952-S2952</f>
        <v/>
      </c>
      <c r="U2952" s="14">
        <f>L2952*G2952</f>
        <v/>
      </c>
    </row>
    <row r="2953">
      <c r="A2953" s="12" t="inlineStr">
        <is>
          <t>PO-2022-2951</t>
        </is>
      </c>
      <c r="B2953" s="26" t="n">
        <v>44922</v>
      </c>
      <c r="C2953" s="12" t="inlineStr">
        <is>
          <t>VS07</t>
        </is>
      </c>
      <c r="D2953" s="12" t="inlineStr">
        <is>
          <t>Fasteners &amp; Fittings</t>
        </is>
      </c>
      <c r="E2953" s="12" t="inlineStr">
        <is>
          <t>Y</t>
        </is>
      </c>
      <c r="F2953" s="12" t="n">
        <v>29.47</v>
      </c>
      <c r="G2953" s="17" t="n">
        <v>109424.5</v>
      </c>
      <c r="H2953" s="26" t="n">
        <v>44935</v>
      </c>
      <c r="I2953" s="26" t="n">
        <v>44937</v>
      </c>
      <c r="J2953" s="12" t="n">
        <v>29.3</v>
      </c>
      <c r="K2953" s="17" t="n">
        <v>3224740.01</v>
      </c>
      <c r="L2953" s="12" t="n">
        <v>0</v>
      </c>
      <c r="M2953" s="12" t="n">
        <v>0</v>
      </c>
      <c r="N2953" s="27">
        <f>F2953-J2953</f>
        <v/>
      </c>
      <c r="O2953" s="16">
        <f>I2953-H2953</f>
        <v/>
      </c>
      <c r="P2953" s="14">
        <f>F2953*G2953</f>
        <v/>
      </c>
      <c r="Q2953" s="14">
        <f>J2953*G2953</f>
        <v/>
      </c>
      <c r="R2953" s="14">
        <f>K2953-Q2953</f>
        <v/>
      </c>
      <c r="S2953" s="3">
        <f>P2953*Assumptions!$B$3/100</f>
        <v/>
      </c>
      <c r="T2953" s="14">
        <f>R2953-S2953</f>
        <v/>
      </c>
      <c r="U2953" s="14">
        <f>L2953*G2953</f>
        <v/>
      </c>
    </row>
    <row r="2954">
      <c r="A2954" s="12" t="inlineStr">
        <is>
          <t>PO-2022-2952</t>
        </is>
      </c>
      <c r="B2954" s="26" t="n">
        <v>45012</v>
      </c>
      <c r="C2954" s="12" t="inlineStr">
        <is>
          <t>VS12</t>
        </is>
      </c>
      <c r="D2954" s="12" t="inlineStr">
        <is>
          <t>SS Sheets</t>
        </is>
      </c>
      <c r="E2954" s="12" t="inlineStr">
        <is>
          <t>N</t>
        </is>
      </c>
      <c r="F2954" s="12" t="n">
        <v>32.36</v>
      </c>
      <c r="G2954" s="17" t="n">
        <v>115811.86</v>
      </c>
      <c r="H2954" s="26" t="n">
        <v>45021</v>
      </c>
      <c r="I2954" s="26" t="n">
        <v>45028</v>
      </c>
      <c r="J2954" s="12" t="n">
        <v>31.16</v>
      </c>
      <c r="K2954" s="17" t="n">
        <v>3747671.79</v>
      </c>
      <c r="L2954" s="12" t="n">
        <v>0.26</v>
      </c>
      <c r="M2954" s="12" t="n">
        <v>21</v>
      </c>
      <c r="N2954" s="27">
        <f>F2954-J2954</f>
        <v/>
      </c>
      <c r="O2954" s="16">
        <f>I2954-H2954</f>
        <v/>
      </c>
      <c r="P2954" s="14">
        <f>F2954*G2954</f>
        <v/>
      </c>
      <c r="Q2954" s="14">
        <f>J2954*G2954</f>
        <v/>
      </c>
      <c r="R2954" s="14">
        <f>K2954-Q2954</f>
        <v/>
      </c>
      <c r="S2954" s="3">
        <f>P2954*Assumptions!$B$3/100</f>
        <v/>
      </c>
      <c r="T2954" s="14">
        <f>R2954-S2954</f>
        <v/>
      </c>
      <c r="U2954" s="14">
        <f>L2954*G2954</f>
        <v/>
      </c>
    </row>
    <row r="2955">
      <c r="A2955" s="12" t="inlineStr">
        <is>
          <t>PO-2022-2953</t>
        </is>
      </c>
      <c r="B2955" s="26" t="n">
        <v>44776</v>
      </c>
      <c r="C2955" s="12" t="inlineStr">
        <is>
          <t>VS25</t>
        </is>
      </c>
      <c r="D2955" s="12" t="inlineStr">
        <is>
          <t>MS Rods</t>
        </is>
      </c>
      <c r="E2955" s="12" t="inlineStr">
        <is>
          <t>N</t>
        </is>
      </c>
      <c r="F2955" s="12" t="n">
        <v>27.79</v>
      </c>
      <c r="G2955" s="17" t="n">
        <v>99026.62</v>
      </c>
      <c r="H2955" s="26" t="n">
        <v>44788</v>
      </c>
      <c r="I2955" s="26" t="n">
        <v>44788</v>
      </c>
      <c r="J2955" s="12" t="n">
        <v>27.65</v>
      </c>
      <c r="K2955" s="17" t="n">
        <v>2751949.77</v>
      </c>
      <c r="L2955" s="12" t="n">
        <v>0</v>
      </c>
      <c r="M2955" s="12" t="n">
        <v>1</v>
      </c>
      <c r="N2955" s="27">
        <f>F2955-J2955</f>
        <v/>
      </c>
      <c r="O2955" s="16">
        <f>I2955-H2955</f>
        <v/>
      </c>
      <c r="P2955" s="14">
        <f>F2955*G2955</f>
        <v/>
      </c>
      <c r="Q2955" s="14">
        <f>J2955*G2955</f>
        <v/>
      </c>
      <c r="R2955" s="14">
        <f>K2955-Q2955</f>
        <v/>
      </c>
      <c r="S2955" s="3">
        <f>P2955*Assumptions!$B$3/100</f>
        <v/>
      </c>
      <c r="T2955" s="14">
        <f>R2955-S2955</f>
        <v/>
      </c>
      <c r="U2955" s="14">
        <f>L2955*G2955</f>
        <v/>
      </c>
    </row>
    <row r="2956">
      <c r="A2956" s="12" t="inlineStr">
        <is>
          <t>PO-2022-2954</t>
        </is>
      </c>
      <c r="B2956" s="26" t="n">
        <v>45076</v>
      </c>
      <c r="C2956" s="12" t="inlineStr">
        <is>
          <t>VS02</t>
        </is>
      </c>
      <c r="D2956" s="12" t="inlineStr">
        <is>
          <t>CR Sheets</t>
        </is>
      </c>
      <c r="E2956" s="12" t="inlineStr">
        <is>
          <t>N</t>
        </is>
      </c>
      <c r="F2956" s="12" t="n">
        <v>23.2</v>
      </c>
      <c r="G2956" s="17" t="n">
        <v>68429.53</v>
      </c>
      <c r="H2956" s="26" t="n">
        <v>45080</v>
      </c>
      <c r="I2956" s="26" t="n">
        <v>45080</v>
      </c>
      <c r="J2956" s="12" t="n">
        <v>23.06</v>
      </c>
      <c r="K2956" s="17" t="n">
        <v>1587565.1</v>
      </c>
      <c r="L2956" s="12" t="n">
        <v>0</v>
      </c>
      <c r="M2956" s="12" t="n">
        <v>0</v>
      </c>
      <c r="N2956" s="27">
        <f>F2956-J2956</f>
        <v/>
      </c>
      <c r="O2956" s="16">
        <f>I2956-H2956</f>
        <v/>
      </c>
      <c r="P2956" s="14">
        <f>F2956*G2956</f>
        <v/>
      </c>
      <c r="Q2956" s="14">
        <f>J2956*G2956</f>
        <v/>
      </c>
      <c r="R2956" s="14">
        <f>K2956-Q2956</f>
        <v/>
      </c>
      <c r="S2956" s="3">
        <f>P2956*Assumptions!$B$3/100</f>
        <v/>
      </c>
      <c r="T2956" s="14">
        <f>R2956-S2956</f>
        <v/>
      </c>
      <c r="U2956" s="14">
        <f>L2956*G2956</f>
        <v/>
      </c>
    </row>
    <row r="2957">
      <c r="A2957" s="12" t="inlineStr">
        <is>
          <t>PO-2022-2955</t>
        </is>
      </c>
      <c r="B2957" s="26" t="n">
        <v>45106</v>
      </c>
      <c r="C2957" s="12" t="inlineStr">
        <is>
          <t>VS01</t>
        </is>
      </c>
      <c r="D2957" s="12" t="inlineStr">
        <is>
          <t>Square/Rect Tubes</t>
        </is>
      </c>
      <c r="E2957" s="12" t="inlineStr">
        <is>
          <t>N</t>
        </is>
      </c>
      <c r="F2957" s="12" t="n">
        <v>28.48</v>
      </c>
      <c r="G2957" s="17" t="n">
        <v>52665.73</v>
      </c>
      <c r="H2957" s="26" t="n">
        <v>45111</v>
      </c>
      <c r="I2957" s="26" t="n">
        <v>45112</v>
      </c>
      <c r="J2957" s="12" t="n">
        <v>28.27</v>
      </c>
      <c r="K2957" s="17" t="n">
        <v>1499919.99</v>
      </c>
      <c r="L2957" s="12" t="n">
        <v>0</v>
      </c>
      <c r="M2957" s="12" t="n">
        <v>13</v>
      </c>
      <c r="N2957" s="27">
        <f>F2957-J2957</f>
        <v/>
      </c>
      <c r="O2957" s="16">
        <f>I2957-H2957</f>
        <v/>
      </c>
      <c r="P2957" s="14">
        <f>F2957*G2957</f>
        <v/>
      </c>
      <c r="Q2957" s="14">
        <f>J2957*G2957</f>
        <v/>
      </c>
      <c r="R2957" s="14">
        <f>K2957-Q2957</f>
        <v/>
      </c>
      <c r="S2957" s="3">
        <f>P2957*Assumptions!$B$3/100</f>
        <v/>
      </c>
      <c r="T2957" s="14">
        <f>R2957-S2957</f>
        <v/>
      </c>
      <c r="U2957" s="14">
        <f>L2957*G2957</f>
        <v/>
      </c>
    </row>
    <row r="2958">
      <c r="A2958" s="12" t="inlineStr">
        <is>
          <t>PO-2022-2956</t>
        </is>
      </c>
      <c r="B2958" s="26" t="n">
        <v>44524</v>
      </c>
      <c r="C2958" s="12" t="inlineStr">
        <is>
          <t>VS23</t>
        </is>
      </c>
      <c r="D2958" s="12" t="inlineStr">
        <is>
          <t>HR Coils</t>
        </is>
      </c>
      <c r="E2958" s="12" t="inlineStr">
        <is>
          <t>Y</t>
        </is>
      </c>
      <c r="F2958" s="12" t="n">
        <v>41.45</v>
      </c>
      <c r="G2958" s="17" t="n">
        <v>75497.32000000001</v>
      </c>
      <c r="H2958" s="26" t="n">
        <v>44535</v>
      </c>
      <c r="I2958" s="26" t="n">
        <v>44535</v>
      </c>
      <c r="J2958" s="12" t="n">
        <v>41.06</v>
      </c>
      <c r="K2958" s="17" t="n">
        <v>3129363.91</v>
      </c>
      <c r="L2958" s="12" t="n">
        <v>0</v>
      </c>
      <c r="M2958" s="12" t="n">
        <v>11</v>
      </c>
      <c r="N2958" s="27">
        <f>F2958-J2958</f>
        <v/>
      </c>
      <c r="O2958" s="16">
        <f>I2958-H2958</f>
        <v/>
      </c>
      <c r="P2958" s="14">
        <f>F2958*G2958</f>
        <v/>
      </c>
      <c r="Q2958" s="14">
        <f>J2958*G2958</f>
        <v/>
      </c>
      <c r="R2958" s="14">
        <f>K2958-Q2958</f>
        <v/>
      </c>
      <c r="S2958" s="3">
        <f>P2958*Assumptions!$B$3/100</f>
        <v/>
      </c>
      <c r="T2958" s="14">
        <f>R2958-S2958</f>
        <v/>
      </c>
      <c r="U2958" s="14">
        <f>L2958*G2958</f>
        <v/>
      </c>
    </row>
    <row r="2959">
      <c r="A2959" s="12" t="inlineStr">
        <is>
          <t>PO-2022-2957</t>
        </is>
      </c>
      <c r="B2959" s="26" t="n">
        <v>44453</v>
      </c>
      <c r="C2959" s="12" t="inlineStr">
        <is>
          <t>VS01</t>
        </is>
      </c>
      <c r="D2959" s="12" t="inlineStr">
        <is>
          <t>Hex Bars</t>
        </is>
      </c>
      <c r="E2959" s="12" t="inlineStr">
        <is>
          <t>N</t>
        </is>
      </c>
      <c r="F2959" s="12" t="n">
        <v>48.42</v>
      </c>
      <c r="G2959" s="17" t="n">
        <v>117011.56</v>
      </c>
      <c r="H2959" s="26" t="n">
        <v>44468</v>
      </c>
      <c r="I2959" s="26" t="n">
        <v>44471</v>
      </c>
      <c r="J2959" s="12" t="n">
        <v>48.19</v>
      </c>
      <c r="K2959" s="17" t="n">
        <v>5665699.74</v>
      </c>
      <c r="L2959" s="12" t="n">
        <v>0</v>
      </c>
      <c r="M2959" s="12" t="n">
        <v>0</v>
      </c>
      <c r="N2959" s="27">
        <f>F2959-J2959</f>
        <v/>
      </c>
      <c r="O2959" s="16">
        <f>I2959-H2959</f>
        <v/>
      </c>
      <c r="P2959" s="14">
        <f>F2959*G2959</f>
        <v/>
      </c>
      <c r="Q2959" s="14">
        <f>J2959*G2959</f>
        <v/>
      </c>
      <c r="R2959" s="14">
        <f>K2959-Q2959</f>
        <v/>
      </c>
      <c r="S2959" s="3">
        <f>P2959*Assumptions!$B$3/100</f>
        <v/>
      </c>
      <c r="T2959" s="14">
        <f>R2959-S2959</f>
        <v/>
      </c>
      <c r="U2959" s="14">
        <f>L2959*G2959</f>
        <v/>
      </c>
    </row>
    <row r="2960">
      <c r="A2960" s="12" t="inlineStr">
        <is>
          <t>PO-2022-2958</t>
        </is>
      </c>
      <c r="B2960" s="26" t="n">
        <v>44651</v>
      </c>
      <c r="C2960" s="12" t="inlineStr">
        <is>
          <t>VS18</t>
        </is>
      </c>
      <c r="D2960" s="12" t="inlineStr">
        <is>
          <t>Spring Steel</t>
        </is>
      </c>
      <c r="E2960" s="12" t="inlineStr">
        <is>
          <t>N</t>
        </is>
      </c>
      <c r="F2960" s="12" t="n">
        <v>20.61</v>
      </c>
      <c r="G2960" s="17" t="n">
        <v>97251.59</v>
      </c>
      <c r="H2960" s="26" t="n">
        <v>44657</v>
      </c>
      <c r="I2960" s="26" t="n">
        <v>44660</v>
      </c>
      <c r="J2960" s="12" t="n">
        <v>20.43</v>
      </c>
      <c r="K2960" s="17" t="n">
        <v>2004355.27</v>
      </c>
      <c r="L2960" s="12" t="n">
        <v>0</v>
      </c>
      <c r="M2960" s="12" t="n">
        <v>6</v>
      </c>
      <c r="N2960" s="27">
        <f>F2960-J2960</f>
        <v/>
      </c>
      <c r="O2960" s="16">
        <f>I2960-H2960</f>
        <v/>
      </c>
      <c r="P2960" s="14">
        <f>F2960*G2960</f>
        <v/>
      </c>
      <c r="Q2960" s="14">
        <f>J2960*G2960</f>
        <v/>
      </c>
      <c r="R2960" s="14">
        <f>K2960-Q2960</f>
        <v/>
      </c>
      <c r="S2960" s="3">
        <f>P2960*Assumptions!$B$3/100</f>
        <v/>
      </c>
      <c r="T2960" s="14">
        <f>R2960-S2960</f>
        <v/>
      </c>
      <c r="U2960" s="14">
        <f>L2960*G2960</f>
        <v/>
      </c>
    </row>
    <row r="2961">
      <c r="A2961" s="12" t="inlineStr">
        <is>
          <t>PO-2022-2959</t>
        </is>
      </c>
      <c r="B2961" s="26" t="n">
        <v>44281</v>
      </c>
      <c r="C2961" s="12" t="inlineStr">
        <is>
          <t>VS28</t>
        </is>
      </c>
      <c r="D2961" s="12" t="inlineStr">
        <is>
          <t>Square/Rect Tubes</t>
        </is>
      </c>
      <c r="E2961" s="12" t="inlineStr">
        <is>
          <t>N</t>
        </is>
      </c>
      <c r="F2961" s="12" t="n">
        <v>49.27</v>
      </c>
      <c r="G2961" s="17" t="n">
        <v>74639.14</v>
      </c>
      <c r="H2961" s="26" t="n">
        <v>44286</v>
      </c>
      <c r="I2961" s="26" t="n">
        <v>44289</v>
      </c>
      <c r="J2961" s="12" t="n">
        <v>49.22</v>
      </c>
      <c r="K2961" s="17" t="n">
        <v>3677470.43</v>
      </c>
      <c r="L2961" s="12" t="n">
        <v>0</v>
      </c>
      <c r="M2961" s="12" t="n">
        <v>0</v>
      </c>
      <c r="N2961" s="27">
        <f>F2961-J2961</f>
        <v/>
      </c>
      <c r="O2961" s="16">
        <f>I2961-H2961</f>
        <v/>
      </c>
      <c r="P2961" s="14">
        <f>F2961*G2961</f>
        <v/>
      </c>
      <c r="Q2961" s="14">
        <f>J2961*G2961</f>
        <v/>
      </c>
      <c r="R2961" s="14">
        <f>K2961-Q2961</f>
        <v/>
      </c>
      <c r="S2961" s="3">
        <f>P2961*Assumptions!$B$3/100</f>
        <v/>
      </c>
      <c r="T2961" s="14">
        <f>R2961-S2961</f>
        <v/>
      </c>
      <c r="U2961" s="14">
        <f>L2961*G2961</f>
        <v/>
      </c>
    </row>
    <row r="2962">
      <c r="A2962" s="12" t="inlineStr">
        <is>
          <t>PO-2022-2960</t>
        </is>
      </c>
      <c r="B2962" s="26" t="n">
        <v>45276</v>
      </c>
      <c r="C2962" s="12" t="inlineStr">
        <is>
          <t>VS29</t>
        </is>
      </c>
      <c r="D2962" s="12" t="inlineStr">
        <is>
          <t>SS Pipes</t>
        </is>
      </c>
      <c r="E2962" s="12" t="inlineStr">
        <is>
          <t>N</t>
        </is>
      </c>
      <c r="F2962" s="12" t="n">
        <v>21.82</v>
      </c>
      <c r="G2962" s="17" t="n">
        <v>91742.92999999999</v>
      </c>
      <c r="H2962" s="26" t="n">
        <v>45280</v>
      </c>
      <c r="I2962" s="26" t="n">
        <v>45281</v>
      </c>
      <c r="J2962" s="12" t="n">
        <v>21.75</v>
      </c>
      <c r="K2962" s="17" t="n">
        <v>2001830.73</v>
      </c>
      <c r="L2962" s="12" t="n">
        <v>0</v>
      </c>
      <c r="M2962" s="12" t="n">
        <v>23</v>
      </c>
      <c r="N2962" s="27">
        <f>F2962-J2962</f>
        <v/>
      </c>
      <c r="O2962" s="16">
        <f>I2962-H2962</f>
        <v/>
      </c>
      <c r="P2962" s="14">
        <f>F2962*G2962</f>
        <v/>
      </c>
      <c r="Q2962" s="14">
        <f>J2962*G2962</f>
        <v/>
      </c>
      <c r="R2962" s="14">
        <f>K2962-Q2962</f>
        <v/>
      </c>
      <c r="S2962" s="3">
        <f>P2962*Assumptions!$B$3/100</f>
        <v/>
      </c>
      <c r="T2962" s="14">
        <f>R2962-S2962</f>
        <v/>
      </c>
      <c r="U2962" s="14">
        <f>L2962*G2962</f>
        <v/>
      </c>
    </row>
    <row r="2963">
      <c r="A2963" s="12" t="inlineStr">
        <is>
          <t>PO-2022-2961</t>
        </is>
      </c>
      <c r="B2963" s="26" t="n">
        <v>44379</v>
      </c>
      <c r="C2963" s="12" t="inlineStr">
        <is>
          <t>VS20</t>
        </is>
      </c>
      <c r="D2963" s="12" t="inlineStr">
        <is>
          <t>SS Pipes</t>
        </is>
      </c>
      <c r="E2963" s="12" t="inlineStr">
        <is>
          <t>N</t>
        </is>
      </c>
      <c r="F2963" s="12" t="n">
        <v>11.51</v>
      </c>
      <c r="G2963" s="17" t="n">
        <v>107227.22</v>
      </c>
      <c r="H2963" s="26" t="n">
        <v>44391</v>
      </c>
      <c r="I2963" s="26" t="n">
        <v>44391</v>
      </c>
      <c r="J2963" s="12" t="n">
        <v>11.43</v>
      </c>
      <c r="K2963" s="17" t="n">
        <v>1234185.3</v>
      </c>
      <c r="L2963" s="12" t="n">
        <v>0</v>
      </c>
      <c r="M2963" s="12" t="n">
        <v>0</v>
      </c>
      <c r="N2963" s="27">
        <f>F2963-J2963</f>
        <v/>
      </c>
      <c r="O2963" s="16">
        <f>I2963-H2963</f>
        <v/>
      </c>
      <c r="P2963" s="14">
        <f>F2963*G2963</f>
        <v/>
      </c>
      <c r="Q2963" s="14">
        <f>J2963*G2963</f>
        <v/>
      </c>
      <c r="R2963" s="14">
        <f>K2963-Q2963</f>
        <v/>
      </c>
      <c r="S2963" s="3">
        <f>P2963*Assumptions!$B$3/100</f>
        <v/>
      </c>
      <c r="T2963" s="14">
        <f>R2963-S2963</f>
        <v/>
      </c>
      <c r="U2963" s="14">
        <f>L2963*G2963</f>
        <v/>
      </c>
    </row>
    <row r="2964">
      <c r="A2964" s="12" t="inlineStr">
        <is>
          <t>PO-2022-2962</t>
        </is>
      </c>
      <c r="B2964" s="26" t="n">
        <v>44705</v>
      </c>
      <c r="C2964" s="12" t="inlineStr">
        <is>
          <t>VS23</t>
        </is>
      </c>
      <c r="D2964" s="12" t="inlineStr">
        <is>
          <t>MS Sheets</t>
        </is>
      </c>
      <c r="E2964" s="12" t="inlineStr">
        <is>
          <t>N</t>
        </is>
      </c>
      <c r="F2964" s="12" t="n">
        <v>49.93</v>
      </c>
      <c r="G2964" s="17" t="n">
        <v>110484.96</v>
      </c>
      <c r="H2964" s="26" t="n">
        <v>44719</v>
      </c>
      <c r="I2964" s="26" t="n">
        <v>44719</v>
      </c>
      <c r="J2964" s="12" t="n">
        <v>49.67</v>
      </c>
      <c r="K2964" s="17" t="n">
        <v>5516514.05</v>
      </c>
      <c r="L2964" s="12" t="n">
        <v>0</v>
      </c>
      <c r="M2964" s="12" t="n">
        <v>4</v>
      </c>
      <c r="N2964" s="27">
        <f>F2964-J2964</f>
        <v/>
      </c>
      <c r="O2964" s="16">
        <f>I2964-H2964</f>
        <v/>
      </c>
      <c r="P2964" s="14">
        <f>F2964*G2964</f>
        <v/>
      </c>
      <c r="Q2964" s="14">
        <f>J2964*G2964</f>
        <v/>
      </c>
      <c r="R2964" s="14">
        <f>K2964-Q2964</f>
        <v/>
      </c>
      <c r="S2964" s="3">
        <f>P2964*Assumptions!$B$3/100</f>
        <v/>
      </c>
      <c r="T2964" s="14">
        <f>R2964-S2964</f>
        <v/>
      </c>
      <c r="U2964" s="14">
        <f>L2964*G2964</f>
        <v/>
      </c>
    </row>
    <row r="2965">
      <c r="A2965" s="12" t="inlineStr">
        <is>
          <t>PO-2022-2963</t>
        </is>
      </c>
      <c r="B2965" s="26" t="n">
        <v>45031</v>
      </c>
      <c r="C2965" s="12" t="inlineStr">
        <is>
          <t>VS07</t>
        </is>
      </c>
      <c r="D2965" s="12" t="inlineStr">
        <is>
          <t>HR Coils</t>
        </is>
      </c>
      <c r="E2965" s="12" t="inlineStr">
        <is>
          <t>N</t>
        </is>
      </c>
      <c r="F2965" s="12" t="n">
        <v>11.45</v>
      </c>
      <c r="G2965" s="17" t="n">
        <v>98978.58</v>
      </c>
      <c r="H2965" s="26" t="n">
        <v>45034</v>
      </c>
      <c r="I2965" s="26" t="n">
        <v>45034</v>
      </c>
      <c r="J2965" s="12" t="n">
        <v>11.45</v>
      </c>
      <c r="K2965" s="17" t="n">
        <v>1133304.74</v>
      </c>
      <c r="L2965" s="12" t="n">
        <v>0</v>
      </c>
      <c r="M2965" s="12" t="n">
        <v>19</v>
      </c>
      <c r="N2965" s="27">
        <f>F2965-J2965</f>
        <v/>
      </c>
      <c r="O2965" s="16">
        <f>I2965-H2965</f>
        <v/>
      </c>
      <c r="P2965" s="14">
        <f>F2965*G2965</f>
        <v/>
      </c>
      <c r="Q2965" s="14">
        <f>J2965*G2965</f>
        <v/>
      </c>
      <c r="R2965" s="14">
        <f>K2965-Q2965</f>
        <v/>
      </c>
      <c r="S2965" s="3">
        <f>P2965*Assumptions!$B$3/100</f>
        <v/>
      </c>
      <c r="T2965" s="14">
        <f>R2965-S2965</f>
        <v/>
      </c>
      <c r="U2965" s="14">
        <f>L2965*G2965</f>
        <v/>
      </c>
    </row>
    <row r="2966">
      <c r="A2966" s="12" t="inlineStr">
        <is>
          <t>PO-2022-2964</t>
        </is>
      </c>
      <c r="B2966" s="26" t="n">
        <v>44896</v>
      </c>
      <c r="C2966" s="12" t="inlineStr">
        <is>
          <t>VS12</t>
        </is>
      </c>
      <c r="D2966" s="12" t="inlineStr">
        <is>
          <t>HR Coils</t>
        </is>
      </c>
      <c r="E2966" s="12" t="inlineStr">
        <is>
          <t>Y</t>
        </is>
      </c>
      <c r="F2966" s="12" t="n">
        <v>3.15</v>
      </c>
      <c r="G2966" s="17" t="n">
        <v>66651.98</v>
      </c>
      <c r="H2966" s="26" t="n">
        <v>44907</v>
      </c>
      <c r="I2966" s="26" t="n">
        <v>44909</v>
      </c>
      <c r="J2966" s="12" t="n">
        <v>3.04</v>
      </c>
      <c r="K2966" s="17" t="n">
        <v>209953.74</v>
      </c>
      <c r="L2966" s="12" t="n">
        <v>0.06</v>
      </c>
      <c r="M2966" s="12" t="n">
        <v>0</v>
      </c>
      <c r="N2966" s="27">
        <f>F2966-J2966</f>
        <v/>
      </c>
      <c r="O2966" s="16">
        <f>I2966-H2966</f>
        <v/>
      </c>
      <c r="P2966" s="14">
        <f>F2966*G2966</f>
        <v/>
      </c>
      <c r="Q2966" s="14">
        <f>J2966*G2966</f>
        <v/>
      </c>
      <c r="R2966" s="14">
        <f>K2966-Q2966</f>
        <v/>
      </c>
      <c r="S2966" s="3">
        <f>P2966*Assumptions!$B$3/100</f>
        <v/>
      </c>
      <c r="T2966" s="14">
        <f>R2966-S2966</f>
        <v/>
      </c>
      <c r="U2966" s="14">
        <f>L2966*G2966</f>
        <v/>
      </c>
    </row>
    <row r="2967">
      <c r="A2967" s="12" t="inlineStr">
        <is>
          <t>PO-2022-2965</t>
        </is>
      </c>
      <c r="B2967" s="26" t="n">
        <v>45243</v>
      </c>
      <c r="C2967" s="12" t="inlineStr">
        <is>
          <t>VS07</t>
        </is>
      </c>
      <c r="D2967" s="12" t="inlineStr">
        <is>
          <t>MS Rods</t>
        </is>
      </c>
      <c r="E2967" s="12" t="inlineStr">
        <is>
          <t>N</t>
        </is>
      </c>
      <c r="F2967" s="12" t="n">
        <v>17.29</v>
      </c>
      <c r="G2967" s="17" t="n">
        <v>107254.41</v>
      </c>
      <c r="H2967" s="26" t="n">
        <v>45246</v>
      </c>
      <c r="I2967" s="26" t="n">
        <v>45246</v>
      </c>
      <c r="J2967" s="12" t="n">
        <v>17.21</v>
      </c>
      <c r="K2967" s="17" t="n">
        <v>1854428.75</v>
      </c>
      <c r="L2967" s="12" t="n">
        <v>0</v>
      </c>
      <c r="M2967" s="12" t="n">
        <v>0</v>
      </c>
      <c r="N2967" s="27">
        <f>F2967-J2967</f>
        <v/>
      </c>
      <c r="O2967" s="16">
        <f>I2967-H2967</f>
        <v/>
      </c>
      <c r="P2967" s="14">
        <f>F2967*G2967</f>
        <v/>
      </c>
      <c r="Q2967" s="14">
        <f>J2967*G2967</f>
        <v/>
      </c>
      <c r="R2967" s="14">
        <f>K2967-Q2967</f>
        <v/>
      </c>
      <c r="S2967" s="3">
        <f>P2967*Assumptions!$B$3/100</f>
        <v/>
      </c>
      <c r="T2967" s="14">
        <f>R2967-S2967</f>
        <v/>
      </c>
      <c r="U2967" s="14">
        <f>L2967*G2967</f>
        <v/>
      </c>
    </row>
    <row r="2968">
      <c r="A2968" s="12" t="inlineStr">
        <is>
          <t>PO-2022-2966</t>
        </is>
      </c>
      <c r="B2968" s="26" t="n">
        <v>44536</v>
      </c>
      <c r="C2968" s="12" t="inlineStr">
        <is>
          <t>VS24</t>
        </is>
      </c>
      <c r="D2968" s="12" t="inlineStr">
        <is>
          <t>CR Sheets</t>
        </is>
      </c>
      <c r="E2968" s="12" t="inlineStr">
        <is>
          <t>N</t>
        </is>
      </c>
      <c r="F2968" s="12" t="n">
        <v>37.77</v>
      </c>
      <c r="G2968" s="17" t="n">
        <v>82169.39999999999</v>
      </c>
      <c r="H2968" s="26" t="n">
        <v>44543</v>
      </c>
      <c r="I2968" s="26" t="n">
        <v>44544</v>
      </c>
      <c r="J2968" s="12" t="n">
        <v>37.55</v>
      </c>
      <c r="K2968" s="17" t="n">
        <v>3103538.24</v>
      </c>
      <c r="L2968" s="12" t="n">
        <v>0</v>
      </c>
      <c r="M2968" s="12" t="n">
        <v>0</v>
      </c>
      <c r="N2968" s="27">
        <f>F2968-J2968</f>
        <v/>
      </c>
      <c r="O2968" s="16">
        <f>I2968-H2968</f>
        <v/>
      </c>
      <c r="P2968" s="14">
        <f>F2968*G2968</f>
        <v/>
      </c>
      <c r="Q2968" s="14">
        <f>J2968*G2968</f>
        <v/>
      </c>
      <c r="R2968" s="14">
        <f>K2968-Q2968</f>
        <v/>
      </c>
      <c r="S2968" s="3">
        <f>P2968*Assumptions!$B$3/100</f>
        <v/>
      </c>
      <c r="T2968" s="14">
        <f>R2968-S2968</f>
        <v/>
      </c>
      <c r="U2968" s="14">
        <f>L2968*G2968</f>
        <v/>
      </c>
    </row>
    <row r="2969">
      <c r="A2969" s="12" t="inlineStr">
        <is>
          <t>PO-2022-2967</t>
        </is>
      </c>
      <c r="B2969" s="26" t="n">
        <v>44452</v>
      </c>
      <c r="C2969" s="12" t="inlineStr">
        <is>
          <t>VS07</t>
        </is>
      </c>
      <c r="D2969" s="12" t="inlineStr">
        <is>
          <t>GI Wire</t>
        </is>
      </c>
      <c r="E2969" s="12" t="inlineStr">
        <is>
          <t>N</t>
        </is>
      </c>
      <c r="F2969" s="12" t="n">
        <v>16.58</v>
      </c>
      <c r="G2969" s="17" t="n">
        <v>47367.43</v>
      </c>
      <c r="H2969" s="26" t="n">
        <v>44458</v>
      </c>
      <c r="I2969" s="26" t="n">
        <v>44458</v>
      </c>
      <c r="J2969" s="12" t="n">
        <v>16.52</v>
      </c>
      <c r="K2969" s="17" t="n">
        <v>785351.99</v>
      </c>
      <c r="L2969" s="12" t="n">
        <v>0</v>
      </c>
      <c r="M2969" s="12" t="n">
        <v>2</v>
      </c>
      <c r="N2969" s="27">
        <f>F2969-J2969</f>
        <v/>
      </c>
      <c r="O2969" s="16">
        <f>I2969-H2969</f>
        <v/>
      </c>
      <c r="P2969" s="14">
        <f>F2969*G2969</f>
        <v/>
      </c>
      <c r="Q2969" s="14">
        <f>J2969*G2969</f>
        <v/>
      </c>
      <c r="R2969" s="14">
        <f>K2969-Q2969</f>
        <v/>
      </c>
      <c r="S2969" s="3">
        <f>P2969*Assumptions!$B$3/100</f>
        <v/>
      </c>
      <c r="T2969" s="14">
        <f>R2969-S2969</f>
        <v/>
      </c>
      <c r="U2969" s="14">
        <f>L2969*G2969</f>
        <v/>
      </c>
    </row>
    <row r="2970">
      <c r="A2970" s="12" t="inlineStr">
        <is>
          <t>PO-2022-2968</t>
        </is>
      </c>
      <c r="B2970" s="26" t="n">
        <v>44789</v>
      </c>
      <c r="C2970" s="12" t="inlineStr">
        <is>
          <t>VS18</t>
        </is>
      </c>
      <c r="D2970" s="12" t="inlineStr">
        <is>
          <t>MS Pipes</t>
        </is>
      </c>
      <c r="E2970" s="12" t="inlineStr">
        <is>
          <t>N</t>
        </is>
      </c>
      <c r="F2970" s="12" t="n">
        <v>39.6</v>
      </c>
      <c r="G2970" s="17" t="n">
        <v>76229.32000000001</v>
      </c>
      <c r="H2970" s="26" t="n">
        <v>44793</v>
      </c>
      <c r="I2970" s="26" t="n">
        <v>44793</v>
      </c>
      <c r="J2970" s="12" t="n">
        <v>39.45</v>
      </c>
      <c r="K2970" s="17" t="n">
        <v>3018681.07</v>
      </c>
      <c r="L2970" s="12" t="n">
        <v>0</v>
      </c>
      <c r="M2970" s="12" t="n">
        <v>0</v>
      </c>
      <c r="N2970" s="27">
        <f>F2970-J2970</f>
        <v/>
      </c>
      <c r="O2970" s="16">
        <f>I2970-H2970</f>
        <v/>
      </c>
      <c r="P2970" s="14">
        <f>F2970*G2970</f>
        <v/>
      </c>
      <c r="Q2970" s="14">
        <f>J2970*G2970</f>
        <v/>
      </c>
      <c r="R2970" s="14">
        <f>K2970-Q2970</f>
        <v/>
      </c>
      <c r="S2970" s="3">
        <f>P2970*Assumptions!$B$3/100</f>
        <v/>
      </c>
      <c r="T2970" s="14">
        <f>R2970-S2970</f>
        <v/>
      </c>
      <c r="U2970" s="14">
        <f>L2970*G2970</f>
        <v/>
      </c>
    </row>
    <row r="2971">
      <c r="A2971" s="12" t="inlineStr">
        <is>
          <t>PO-2022-2969</t>
        </is>
      </c>
      <c r="B2971" s="26" t="n">
        <v>45159</v>
      </c>
      <c r="C2971" s="12" t="inlineStr">
        <is>
          <t>VS31</t>
        </is>
      </c>
      <c r="D2971" s="12" t="inlineStr">
        <is>
          <t>SS Pipes</t>
        </is>
      </c>
      <c r="E2971" s="12" t="inlineStr">
        <is>
          <t>N</t>
        </is>
      </c>
      <c r="F2971" s="12" t="n">
        <v>38.85</v>
      </c>
      <c r="G2971" s="17" t="n">
        <v>54508.3</v>
      </c>
      <c r="H2971" s="26" t="n">
        <v>45166</v>
      </c>
      <c r="I2971" s="26" t="n">
        <v>45166</v>
      </c>
      <c r="J2971" s="12" t="n">
        <v>38.55</v>
      </c>
      <c r="K2971" s="17" t="n">
        <v>2117647.46</v>
      </c>
      <c r="L2971" s="12" t="n">
        <v>0</v>
      </c>
      <c r="M2971" s="12" t="n">
        <v>0</v>
      </c>
      <c r="N2971" s="27">
        <f>F2971-J2971</f>
        <v/>
      </c>
      <c r="O2971" s="16">
        <f>I2971-H2971</f>
        <v/>
      </c>
      <c r="P2971" s="14">
        <f>F2971*G2971</f>
        <v/>
      </c>
      <c r="Q2971" s="14">
        <f>J2971*G2971</f>
        <v/>
      </c>
      <c r="R2971" s="14">
        <f>K2971-Q2971</f>
        <v/>
      </c>
      <c r="S2971" s="3">
        <f>P2971*Assumptions!$B$3/100</f>
        <v/>
      </c>
      <c r="T2971" s="14">
        <f>R2971-S2971</f>
        <v/>
      </c>
      <c r="U2971" s="14">
        <f>L2971*G2971</f>
        <v/>
      </c>
    </row>
    <row r="2972">
      <c r="A2972" s="12" t="inlineStr">
        <is>
          <t>PO-2022-2970</t>
        </is>
      </c>
      <c r="B2972" s="26" t="n">
        <v>44282</v>
      </c>
      <c r="C2972" s="12" t="inlineStr">
        <is>
          <t>VS01</t>
        </is>
      </c>
      <c r="D2972" s="12" t="inlineStr">
        <is>
          <t>MS Rods</t>
        </is>
      </c>
      <c r="E2972" s="12" t="inlineStr">
        <is>
          <t>N</t>
        </is>
      </c>
      <c r="F2972" s="12" t="n">
        <v>23.62</v>
      </c>
      <c r="G2972" s="17" t="n">
        <v>86336.47</v>
      </c>
      <c r="H2972" s="26" t="n">
        <v>44286</v>
      </c>
      <c r="I2972" s="26" t="n">
        <v>44286</v>
      </c>
      <c r="J2972" s="12" t="n">
        <v>23.56</v>
      </c>
      <c r="K2972" s="17" t="n">
        <v>2039267.42</v>
      </c>
      <c r="L2972" s="12" t="n">
        <v>0</v>
      </c>
      <c r="M2972" s="12" t="n">
        <v>6</v>
      </c>
      <c r="N2972" s="27">
        <f>F2972-J2972</f>
        <v/>
      </c>
      <c r="O2972" s="16">
        <f>I2972-H2972</f>
        <v/>
      </c>
      <c r="P2972" s="14">
        <f>F2972*G2972</f>
        <v/>
      </c>
      <c r="Q2972" s="14">
        <f>J2972*G2972</f>
        <v/>
      </c>
      <c r="R2972" s="14">
        <f>K2972-Q2972</f>
        <v/>
      </c>
      <c r="S2972" s="3">
        <f>P2972*Assumptions!$B$3/100</f>
        <v/>
      </c>
      <c r="T2972" s="14">
        <f>R2972-S2972</f>
        <v/>
      </c>
      <c r="U2972" s="14">
        <f>L2972*G2972</f>
        <v/>
      </c>
    </row>
    <row r="2973">
      <c r="A2973" s="12" t="inlineStr">
        <is>
          <t>PO-2022-2971</t>
        </is>
      </c>
      <c r="B2973" s="26" t="n">
        <v>44753</v>
      </c>
      <c r="C2973" s="12" t="inlineStr">
        <is>
          <t>VS06</t>
        </is>
      </c>
      <c r="D2973" s="12" t="inlineStr">
        <is>
          <t>Fasteners &amp; Fittings</t>
        </is>
      </c>
      <c r="E2973" s="12" t="inlineStr">
        <is>
          <t>N</t>
        </is>
      </c>
      <c r="F2973" s="12" t="n">
        <v>14.27</v>
      </c>
      <c r="G2973" s="17" t="n">
        <v>83772.87</v>
      </c>
      <c r="H2973" s="26" t="n">
        <v>44757</v>
      </c>
      <c r="I2973" s="26" t="n">
        <v>44757</v>
      </c>
      <c r="J2973" s="12" t="n">
        <v>14.13</v>
      </c>
      <c r="K2973" s="17" t="n">
        <v>1195438.85</v>
      </c>
      <c r="L2973" s="12" t="n">
        <v>0</v>
      </c>
      <c r="M2973" s="12" t="n">
        <v>0</v>
      </c>
      <c r="N2973" s="27">
        <f>F2973-J2973</f>
        <v/>
      </c>
      <c r="O2973" s="16">
        <f>I2973-H2973</f>
        <v/>
      </c>
      <c r="P2973" s="14">
        <f>F2973*G2973</f>
        <v/>
      </c>
      <c r="Q2973" s="14">
        <f>J2973*G2973</f>
        <v/>
      </c>
      <c r="R2973" s="14">
        <f>K2973-Q2973</f>
        <v/>
      </c>
      <c r="S2973" s="3">
        <f>P2973*Assumptions!$B$3/100</f>
        <v/>
      </c>
      <c r="T2973" s="14">
        <f>R2973-S2973</f>
        <v/>
      </c>
      <c r="U2973" s="14">
        <f>L2973*G2973</f>
        <v/>
      </c>
    </row>
    <row r="2974">
      <c r="A2974" s="12" t="inlineStr">
        <is>
          <t>PO-2022-2972</t>
        </is>
      </c>
      <c r="B2974" s="26" t="n">
        <v>44660</v>
      </c>
      <c r="C2974" s="12" t="inlineStr">
        <is>
          <t>VS21</t>
        </is>
      </c>
      <c r="D2974" s="12" t="inlineStr">
        <is>
          <t>MS Sheets</t>
        </is>
      </c>
      <c r="E2974" s="12" t="inlineStr">
        <is>
          <t>N</t>
        </is>
      </c>
      <c r="F2974" s="12" t="n">
        <v>46.04</v>
      </c>
      <c r="G2974" s="17" t="n">
        <v>91994.25999999999</v>
      </c>
      <c r="H2974" s="26" t="n">
        <v>44667</v>
      </c>
      <c r="I2974" s="26" t="n">
        <v>44670</v>
      </c>
      <c r="J2974" s="12" t="n">
        <v>45.8</v>
      </c>
      <c r="K2974" s="17" t="n">
        <v>4235415.73</v>
      </c>
      <c r="L2974" s="12" t="n">
        <v>0</v>
      </c>
      <c r="M2974" s="12" t="n">
        <v>0</v>
      </c>
      <c r="N2974" s="27">
        <f>F2974-J2974</f>
        <v/>
      </c>
      <c r="O2974" s="16">
        <f>I2974-H2974</f>
        <v/>
      </c>
      <c r="P2974" s="14">
        <f>F2974*G2974</f>
        <v/>
      </c>
      <c r="Q2974" s="14">
        <f>J2974*G2974</f>
        <v/>
      </c>
      <c r="R2974" s="14">
        <f>K2974-Q2974</f>
        <v/>
      </c>
      <c r="S2974" s="3">
        <f>P2974*Assumptions!$B$3/100</f>
        <v/>
      </c>
      <c r="T2974" s="14">
        <f>R2974-S2974</f>
        <v/>
      </c>
      <c r="U2974" s="14">
        <f>L2974*G2974</f>
        <v/>
      </c>
    </row>
    <row r="2975">
      <c r="A2975" s="12" t="inlineStr">
        <is>
          <t>PO-2022-2973</t>
        </is>
      </c>
      <c r="B2975" s="26" t="n">
        <v>45061</v>
      </c>
      <c r="C2975" s="12" t="inlineStr">
        <is>
          <t>VS16</t>
        </is>
      </c>
      <c r="D2975" s="12" t="inlineStr">
        <is>
          <t>MS Rods</t>
        </is>
      </c>
      <c r="E2975" s="12" t="inlineStr">
        <is>
          <t>Y</t>
        </is>
      </c>
      <c r="F2975" s="12" t="n">
        <v>35.13</v>
      </c>
      <c r="G2975" s="17" t="n">
        <v>86216.41</v>
      </c>
      <c r="H2975" s="26" t="n">
        <v>45068</v>
      </c>
      <c r="I2975" s="26" t="n">
        <v>45071</v>
      </c>
      <c r="J2975" s="12" t="n">
        <v>34.95</v>
      </c>
      <c r="K2975" s="17" t="n">
        <v>3028782.48</v>
      </c>
      <c r="L2975" s="12" t="n">
        <v>0</v>
      </c>
      <c r="M2975" s="12" t="n">
        <v>0</v>
      </c>
      <c r="N2975" s="27">
        <f>F2975-J2975</f>
        <v/>
      </c>
      <c r="O2975" s="16">
        <f>I2975-H2975</f>
        <v/>
      </c>
      <c r="P2975" s="14">
        <f>F2975*G2975</f>
        <v/>
      </c>
      <c r="Q2975" s="14">
        <f>J2975*G2975</f>
        <v/>
      </c>
      <c r="R2975" s="14">
        <f>K2975-Q2975</f>
        <v/>
      </c>
      <c r="S2975" s="3">
        <f>P2975*Assumptions!$B$3/100</f>
        <v/>
      </c>
      <c r="T2975" s="14">
        <f>R2975-S2975</f>
        <v/>
      </c>
      <c r="U2975" s="14">
        <f>L2975*G2975</f>
        <v/>
      </c>
    </row>
    <row r="2976">
      <c r="A2976" s="12" t="inlineStr">
        <is>
          <t>PO-2022-2974</t>
        </is>
      </c>
      <c r="B2976" s="26" t="n">
        <v>45234</v>
      </c>
      <c r="C2976" s="12" t="inlineStr">
        <is>
          <t>VS25</t>
        </is>
      </c>
      <c r="D2976" s="12" t="inlineStr">
        <is>
          <t>SS Sheets</t>
        </is>
      </c>
      <c r="E2976" s="12" t="inlineStr">
        <is>
          <t>N</t>
        </is>
      </c>
      <c r="F2976" s="12" t="n">
        <v>34.75</v>
      </c>
      <c r="G2976" s="17" t="n">
        <v>110004.92</v>
      </c>
      <c r="H2976" s="26" t="n">
        <v>45242</v>
      </c>
      <c r="I2976" s="26" t="n">
        <v>45245</v>
      </c>
      <c r="J2976" s="12" t="n">
        <v>34.56</v>
      </c>
      <c r="K2976" s="17" t="n">
        <v>3822670.97</v>
      </c>
      <c r="L2976" s="12" t="n">
        <v>0</v>
      </c>
      <c r="M2976" s="12" t="n">
        <v>19</v>
      </c>
      <c r="N2976" s="27">
        <f>F2976-J2976</f>
        <v/>
      </c>
      <c r="O2976" s="16">
        <f>I2976-H2976</f>
        <v/>
      </c>
      <c r="P2976" s="14">
        <f>F2976*G2976</f>
        <v/>
      </c>
      <c r="Q2976" s="14">
        <f>J2976*G2976</f>
        <v/>
      </c>
      <c r="R2976" s="14">
        <f>K2976-Q2976</f>
        <v/>
      </c>
      <c r="S2976" s="3">
        <f>P2976*Assumptions!$B$3/100</f>
        <v/>
      </c>
      <c r="T2976" s="14">
        <f>R2976-S2976</f>
        <v/>
      </c>
      <c r="U2976" s="14">
        <f>L2976*G2976</f>
        <v/>
      </c>
    </row>
    <row r="2977">
      <c r="A2977" s="12" t="inlineStr">
        <is>
          <t>PO-2022-2975</t>
        </is>
      </c>
      <c r="B2977" s="26" t="n">
        <v>44893</v>
      </c>
      <c r="C2977" s="12" t="inlineStr">
        <is>
          <t>VS17</t>
        </is>
      </c>
      <c r="D2977" s="12" t="inlineStr">
        <is>
          <t>MS Flats</t>
        </is>
      </c>
      <c r="E2977" s="12" t="inlineStr">
        <is>
          <t>N</t>
        </is>
      </c>
      <c r="F2977" s="12" t="n">
        <v>40.38</v>
      </c>
      <c r="G2977" s="17" t="n">
        <v>48697.54</v>
      </c>
      <c r="H2977" s="26" t="n">
        <v>44897</v>
      </c>
      <c r="I2977" s="26" t="n">
        <v>44899</v>
      </c>
      <c r="J2977" s="12" t="n">
        <v>40.29</v>
      </c>
      <c r="K2977" s="17" t="n">
        <v>1966406.67</v>
      </c>
      <c r="L2977" s="12" t="n">
        <v>0</v>
      </c>
      <c r="M2977" s="12" t="n">
        <v>10</v>
      </c>
      <c r="N2977" s="27">
        <f>F2977-J2977</f>
        <v/>
      </c>
      <c r="O2977" s="16">
        <f>I2977-H2977</f>
        <v/>
      </c>
      <c r="P2977" s="14">
        <f>F2977*G2977</f>
        <v/>
      </c>
      <c r="Q2977" s="14">
        <f>J2977*G2977</f>
        <v/>
      </c>
      <c r="R2977" s="14">
        <f>K2977-Q2977</f>
        <v/>
      </c>
      <c r="S2977" s="3">
        <f>P2977*Assumptions!$B$3/100</f>
        <v/>
      </c>
      <c r="T2977" s="14">
        <f>R2977-S2977</f>
        <v/>
      </c>
      <c r="U2977" s="14">
        <f>L2977*G2977</f>
        <v/>
      </c>
    </row>
    <row r="2978">
      <c r="A2978" s="12" t="inlineStr">
        <is>
          <t>PO-2022-2976</t>
        </is>
      </c>
      <c r="B2978" s="26" t="n">
        <v>44473</v>
      </c>
      <c r="C2978" s="12" t="inlineStr">
        <is>
          <t>VS12</t>
        </is>
      </c>
      <c r="D2978" s="12" t="inlineStr">
        <is>
          <t>GI Pipes</t>
        </is>
      </c>
      <c r="E2978" s="12" t="inlineStr">
        <is>
          <t>N</t>
        </is>
      </c>
      <c r="F2978" s="12" t="n">
        <v>42.4</v>
      </c>
      <c r="G2978" s="17" t="n">
        <v>107721.59</v>
      </c>
      <c r="H2978" s="26" t="n">
        <v>44481</v>
      </c>
      <c r="I2978" s="26" t="n">
        <v>44485</v>
      </c>
      <c r="J2978" s="12" t="n">
        <v>40.73</v>
      </c>
      <c r="K2978" s="17" t="n">
        <v>4567395.42</v>
      </c>
      <c r="L2978" s="12" t="n">
        <v>0.61</v>
      </c>
      <c r="M2978" s="12" t="n">
        <v>2</v>
      </c>
      <c r="N2978" s="27">
        <f>F2978-J2978</f>
        <v/>
      </c>
      <c r="O2978" s="16">
        <f>I2978-H2978</f>
        <v/>
      </c>
      <c r="P2978" s="14">
        <f>F2978*G2978</f>
        <v/>
      </c>
      <c r="Q2978" s="14">
        <f>J2978*G2978</f>
        <v/>
      </c>
      <c r="R2978" s="14">
        <f>K2978-Q2978</f>
        <v/>
      </c>
      <c r="S2978" s="3">
        <f>P2978*Assumptions!$B$3/100</f>
        <v/>
      </c>
      <c r="T2978" s="14">
        <f>R2978-S2978</f>
        <v/>
      </c>
      <c r="U2978" s="14">
        <f>L2978*G2978</f>
        <v/>
      </c>
    </row>
    <row r="2979">
      <c r="A2979" s="12" t="inlineStr">
        <is>
          <t>PO-2022-2977</t>
        </is>
      </c>
      <c r="B2979" s="26" t="n">
        <v>44701</v>
      </c>
      <c r="C2979" s="12" t="inlineStr">
        <is>
          <t>VS25</t>
        </is>
      </c>
      <c r="D2979" s="12" t="inlineStr">
        <is>
          <t>GI Pipes</t>
        </is>
      </c>
      <c r="E2979" s="12" t="inlineStr">
        <is>
          <t>N</t>
        </is>
      </c>
      <c r="F2979" s="12" t="n">
        <v>18.21</v>
      </c>
      <c r="G2979" s="17" t="n">
        <v>50278.77</v>
      </c>
      <c r="H2979" s="26" t="n">
        <v>44705</v>
      </c>
      <c r="I2979" s="26" t="n">
        <v>44705</v>
      </c>
      <c r="J2979" s="12" t="n">
        <v>18.07</v>
      </c>
      <c r="K2979" s="17" t="n">
        <v>915576.4</v>
      </c>
      <c r="L2979" s="12" t="n">
        <v>0</v>
      </c>
      <c r="M2979" s="12" t="n">
        <v>24</v>
      </c>
      <c r="N2979" s="27">
        <f>F2979-J2979</f>
        <v/>
      </c>
      <c r="O2979" s="16">
        <f>I2979-H2979</f>
        <v/>
      </c>
      <c r="P2979" s="14">
        <f>F2979*G2979</f>
        <v/>
      </c>
      <c r="Q2979" s="14">
        <f>J2979*G2979</f>
        <v/>
      </c>
      <c r="R2979" s="14">
        <f>K2979-Q2979</f>
        <v/>
      </c>
      <c r="S2979" s="3">
        <f>P2979*Assumptions!$B$3/100</f>
        <v/>
      </c>
      <c r="T2979" s="14">
        <f>R2979-S2979</f>
        <v/>
      </c>
      <c r="U2979" s="14">
        <f>L2979*G2979</f>
        <v/>
      </c>
    </row>
    <row r="2980">
      <c r="A2980" s="12" t="inlineStr">
        <is>
          <t>PO-2022-2978</t>
        </is>
      </c>
      <c r="B2980" s="26" t="n">
        <v>45062</v>
      </c>
      <c r="C2980" s="12" t="inlineStr">
        <is>
          <t>VS04</t>
        </is>
      </c>
      <c r="D2980" s="12" t="inlineStr">
        <is>
          <t>HR Coils</t>
        </is>
      </c>
      <c r="E2980" s="12" t="inlineStr">
        <is>
          <t>Y</t>
        </is>
      </c>
      <c r="F2980" s="12" t="n">
        <v>41.79</v>
      </c>
      <c r="G2980" s="17" t="n">
        <v>85336.31</v>
      </c>
      <c r="H2980" s="26" t="n">
        <v>45077</v>
      </c>
      <c r="I2980" s="26" t="n">
        <v>45077</v>
      </c>
      <c r="J2980" s="12" t="n">
        <v>41.63</v>
      </c>
      <c r="K2980" s="17" t="n">
        <v>3566204.39</v>
      </c>
      <c r="L2980" s="12" t="n">
        <v>0</v>
      </c>
      <c r="M2980" s="12" t="n">
        <v>15</v>
      </c>
      <c r="N2980" s="27">
        <f>F2980-J2980</f>
        <v/>
      </c>
      <c r="O2980" s="16">
        <f>I2980-H2980</f>
        <v/>
      </c>
      <c r="P2980" s="14">
        <f>F2980*G2980</f>
        <v/>
      </c>
      <c r="Q2980" s="14">
        <f>J2980*G2980</f>
        <v/>
      </c>
      <c r="R2980" s="14">
        <f>K2980-Q2980</f>
        <v/>
      </c>
      <c r="S2980" s="3">
        <f>P2980*Assumptions!$B$3/100</f>
        <v/>
      </c>
      <c r="T2980" s="14">
        <f>R2980-S2980</f>
        <v/>
      </c>
      <c r="U2980" s="14">
        <f>L2980*G2980</f>
        <v/>
      </c>
    </row>
    <row r="2981">
      <c r="A2981" s="12" t="inlineStr">
        <is>
          <t>PO-2022-2979</t>
        </is>
      </c>
      <c r="B2981" s="26" t="n">
        <v>45005</v>
      </c>
      <c r="C2981" s="12" t="inlineStr">
        <is>
          <t>VS14</t>
        </is>
      </c>
      <c r="D2981" s="12" t="inlineStr">
        <is>
          <t>GI Wire</t>
        </is>
      </c>
      <c r="E2981" s="12" t="inlineStr">
        <is>
          <t>N</t>
        </is>
      </c>
      <c r="F2981" s="12" t="n">
        <v>16.41</v>
      </c>
      <c r="G2981" s="17" t="n">
        <v>75809.22</v>
      </c>
      <c r="H2981" s="26" t="n">
        <v>45019</v>
      </c>
      <c r="I2981" s="26" t="n">
        <v>45021</v>
      </c>
      <c r="J2981" s="12" t="n">
        <v>16.28</v>
      </c>
      <c r="K2981" s="17" t="n">
        <v>1244029.3</v>
      </c>
      <c r="L2981" s="12" t="n">
        <v>0</v>
      </c>
      <c r="M2981" s="12" t="n">
        <v>0</v>
      </c>
      <c r="N2981" s="27">
        <f>F2981-J2981</f>
        <v/>
      </c>
      <c r="O2981" s="16">
        <f>I2981-H2981</f>
        <v/>
      </c>
      <c r="P2981" s="14">
        <f>F2981*G2981</f>
        <v/>
      </c>
      <c r="Q2981" s="14">
        <f>J2981*G2981</f>
        <v/>
      </c>
      <c r="R2981" s="14">
        <f>K2981-Q2981</f>
        <v/>
      </c>
      <c r="S2981" s="3">
        <f>P2981*Assumptions!$B$3/100</f>
        <v/>
      </c>
      <c r="T2981" s="14">
        <f>R2981-S2981</f>
        <v/>
      </c>
      <c r="U2981" s="14">
        <f>L2981*G2981</f>
        <v/>
      </c>
    </row>
    <row r="2982">
      <c r="A2982" s="12" t="inlineStr">
        <is>
          <t>PO-2022-2980</t>
        </is>
      </c>
      <c r="B2982" s="26" t="n">
        <v>44454</v>
      </c>
      <c r="C2982" s="12" t="inlineStr">
        <is>
          <t>VS07</t>
        </is>
      </c>
      <c r="D2982" s="12" t="inlineStr">
        <is>
          <t>Hex Bars</t>
        </is>
      </c>
      <c r="E2982" s="12" t="inlineStr">
        <is>
          <t>N</t>
        </is>
      </c>
      <c r="F2982" s="12" t="n">
        <v>29.38</v>
      </c>
      <c r="G2982" s="17" t="n">
        <v>69574.03999999999</v>
      </c>
      <c r="H2982" s="26" t="n">
        <v>44466</v>
      </c>
      <c r="I2982" s="26" t="n">
        <v>44466</v>
      </c>
      <c r="J2982" s="12" t="n">
        <v>29.12</v>
      </c>
      <c r="K2982" s="17" t="n">
        <v>2044085.3</v>
      </c>
      <c r="L2982" s="12" t="n">
        <v>0</v>
      </c>
      <c r="M2982" s="12" t="n">
        <v>0</v>
      </c>
      <c r="N2982" s="27">
        <f>F2982-J2982</f>
        <v/>
      </c>
      <c r="O2982" s="16">
        <f>I2982-H2982</f>
        <v/>
      </c>
      <c r="P2982" s="14">
        <f>F2982*G2982</f>
        <v/>
      </c>
      <c r="Q2982" s="14">
        <f>J2982*G2982</f>
        <v/>
      </c>
      <c r="R2982" s="14">
        <f>K2982-Q2982</f>
        <v/>
      </c>
      <c r="S2982" s="3">
        <f>P2982*Assumptions!$B$3/100</f>
        <v/>
      </c>
      <c r="T2982" s="14">
        <f>R2982-S2982</f>
        <v/>
      </c>
      <c r="U2982" s="14">
        <f>L2982*G2982</f>
        <v/>
      </c>
    </row>
    <row r="2983">
      <c r="A2983" s="12" t="inlineStr">
        <is>
          <t>PO-2022-2981</t>
        </is>
      </c>
      <c r="B2983" s="26" t="n">
        <v>44311</v>
      </c>
      <c r="C2983" s="12" t="inlineStr">
        <is>
          <t>VS25</t>
        </is>
      </c>
      <c r="D2983" s="12" t="inlineStr">
        <is>
          <t>Structural Steel</t>
        </is>
      </c>
      <c r="E2983" s="12" t="inlineStr">
        <is>
          <t>N</t>
        </is>
      </c>
      <c r="F2983" s="12" t="n">
        <v>1.38</v>
      </c>
      <c r="G2983" s="17" t="n">
        <v>46857.99</v>
      </c>
      <c r="H2983" s="26" t="n">
        <v>44324</v>
      </c>
      <c r="I2983" s="26" t="n">
        <v>44325</v>
      </c>
      <c r="J2983" s="12" t="n">
        <v>1.37</v>
      </c>
      <c r="K2983" s="17" t="n">
        <v>64664.03</v>
      </c>
      <c r="L2983" s="12" t="n">
        <v>0</v>
      </c>
      <c r="M2983" s="12" t="n">
        <v>15</v>
      </c>
      <c r="N2983" s="27">
        <f>F2983-J2983</f>
        <v/>
      </c>
      <c r="O2983" s="16">
        <f>I2983-H2983</f>
        <v/>
      </c>
      <c r="P2983" s="14">
        <f>F2983*G2983</f>
        <v/>
      </c>
      <c r="Q2983" s="14">
        <f>J2983*G2983</f>
        <v/>
      </c>
      <c r="R2983" s="14">
        <f>K2983-Q2983</f>
        <v/>
      </c>
      <c r="S2983" s="3">
        <f>P2983*Assumptions!$B$3/100</f>
        <v/>
      </c>
      <c r="T2983" s="14">
        <f>R2983-S2983</f>
        <v/>
      </c>
      <c r="U2983" s="14">
        <f>L2983*G2983</f>
        <v/>
      </c>
    </row>
    <row r="2984">
      <c r="A2984" s="12" t="inlineStr">
        <is>
          <t>PO-2022-2982</t>
        </is>
      </c>
      <c r="B2984" s="26" t="n">
        <v>44813</v>
      </c>
      <c r="C2984" s="12" t="inlineStr">
        <is>
          <t>VS09</t>
        </is>
      </c>
      <c r="D2984" s="12" t="inlineStr">
        <is>
          <t>SS Sheets</t>
        </is>
      </c>
      <c r="E2984" s="12" t="inlineStr">
        <is>
          <t>N</t>
        </is>
      </c>
      <c r="F2984" s="12" t="n">
        <v>26.99</v>
      </c>
      <c r="G2984" s="17" t="n">
        <v>88527.28999999999</v>
      </c>
      <c r="H2984" s="26" t="n">
        <v>44818</v>
      </c>
      <c r="I2984" s="26" t="n">
        <v>44820</v>
      </c>
      <c r="J2984" s="12" t="n">
        <v>26.82</v>
      </c>
      <c r="K2984" s="17" t="n">
        <v>2389351.56</v>
      </c>
      <c r="L2984" s="12" t="n">
        <v>0</v>
      </c>
      <c r="M2984" s="12" t="n">
        <v>0</v>
      </c>
      <c r="N2984" s="27">
        <f>F2984-J2984</f>
        <v/>
      </c>
      <c r="O2984" s="16">
        <f>I2984-H2984</f>
        <v/>
      </c>
      <c r="P2984" s="14">
        <f>F2984*G2984</f>
        <v/>
      </c>
      <c r="Q2984" s="14">
        <f>J2984*G2984</f>
        <v/>
      </c>
      <c r="R2984" s="14">
        <f>K2984-Q2984</f>
        <v/>
      </c>
      <c r="S2984" s="3">
        <f>P2984*Assumptions!$B$3/100</f>
        <v/>
      </c>
      <c r="T2984" s="14">
        <f>R2984-S2984</f>
        <v/>
      </c>
      <c r="U2984" s="14">
        <f>L2984*G2984</f>
        <v/>
      </c>
    </row>
    <row r="2985">
      <c r="A2985" s="12" t="inlineStr">
        <is>
          <t>PO-2022-2983</t>
        </is>
      </c>
      <c r="B2985" s="26" t="n">
        <v>44293</v>
      </c>
      <c r="C2985" s="12" t="inlineStr">
        <is>
          <t>VS19</t>
        </is>
      </c>
      <c r="D2985" s="12" t="inlineStr">
        <is>
          <t>MS Rods</t>
        </is>
      </c>
      <c r="E2985" s="12" t="inlineStr">
        <is>
          <t>N</t>
        </is>
      </c>
      <c r="F2985" s="12" t="n">
        <v>49.93</v>
      </c>
      <c r="G2985" s="17" t="n">
        <v>100027.86</v>
      </c>
      <c r="H2985" s="26" t="n">
        <v>44300</v>
      </c>
      <c r="I2985" s="26" t="n">
        <v>44306</v>
      </c>
      <c r="J2985" s="12" t="n">
        <v>48.36</v>
      </c>
      <c r="K2985" s="17" t="n">
        <v>4994391.05</v>
      </c>
      <c r="L2985" s="12" t="n">
        <v>1.82</v>
      </c>
      <c r="M2985" s="12" t="n">
        <v>12</v>
      </c>
      <c r="N2985" s="27">
        <f>F2985-J2985</f>
        <v/>
      </c>
      <c r="O2985" s="16">
        <f>I2985-H2985</f>
        <v/>
      </c>
      <c r="P2985" s="14">
        <f>F2985*G2985</f>
        <v/>
      </c>
      <c r="Q2985" s="14">
        <f>J2985*G2985</f>
        <v/>
      </c>
      <c r="R2985" s="14">
        <f>K2985-Q2985</f>
        <v/>
      </c>
      <c r="S2985" s="3">
        <f>P2985*Assumptions!$B$3/100</f>
        <v/>
      </c>
      <c r="T2985" s="14">
        <f>R2985-S2985</f>
        <v/>
      </c>
      <c r="U2985" s="14">
        <f>L2985*G2985</f>
        <v/>
      </c>
    </row>
    <row r="2986">
      <c r="A2986" s="12" t="inlineStr">
        <is>
          <t>PO-2022-2984</t>
        </is>
      </c>
      <c r="B2986" s="26" t="n">
        <v>45087</v>
      </c>
      <c r="C2986" s="12" t="inlineStr">
        <is>
          <t>VS28</t>
        </is>
      </c>
      <c r="D2986" s="12" t="inlineStr">
        <is>
          <t>Structural Steel</t>
        </is>
      </c>
      <c r="E2986" s="12" t="inlineStr">
        <is>
          <t>N</t>
        </is>
      </c>
      <c r="F2986" s="12" t="n">
        <v>21.11</v>
      </c>
      <c r="G2986" s="17" t="n">
        <v>69515.59</v>
      </c>
      <c r="H2986" s="26" t="n">
        <v>45096</v>
      </c>
      <c r="I2986" s="26" t="n">
        <v>45097</v>
      </c>
      <c r="J2986" s="12" t="n">
        <v>20.94</v>
      </c>
      <c r="K2986" s="17" t="n">
        <v>1467474.1</v>
      </c>
      <c r="L2986" s="12" t="n">
        <v>0</v>
      </c>
      <c r="M2986" s="12" t="n">
        <v>0</v>
      </c>
      <c r="N2986" s="27">
        <f>F2986-J2986</f>
        <v/>
      </c>
      <c r="O2986" s="16">
        <f>I2986-H2986</f>
        <v/>
      </c>
      <c r="P2986" s="14">
        <f>F2986*G2986</f>
        <v/>
      </c>
      <c r="Q2986" s="14">
        <f>J2986*G2986</f>
        <v/>
      </c>
      <c r="R2986" s="14">
        <f>K2986-Q2986</f>
        <v/>
      </c>
      <c r="S2986" s="3">
        <f>P2986*Assumptions!$B$3/100</f>
        <v/>
      </c>
      <c r="T2986" s="14">
        <f>R2986-S2986</f>
        <v/>
      </c>
      <c r="U2986" s="14">
        <f>L2986*G2986</f>
        <v/>
      </c>
    </row>
    <row r="2987">
      <c r="A2987" s="12" t="inlineStr">
        <is>
          <t>PO-2022-2985</t>
        </is>
      </c>
      <c r="B2987" s="26" t="n">
        <v>44733</v>
      </c>
      <c r="C2987" s="12" t="inlineStr">
        <is>
          <t>VS11</t>
        </is>
      </c>
      <c r="D2987" s="12" t="inlineStr">
        <is>
          <t>MS Pipes</t>
        </is>
      </c>
      <c r="E2987" s="12" t="inlineStr">
        <is>
          <t>N</t>
        </is>
      </c>
      <c r="F2987" s="12" t="n">
        <v>41.19</v>
      </c>
      <c r="G2987" s="17" t="n">
        <v>114854.47</v>
      </c>
      <c r="H2987" s="26" t="n">
        <v>44741</v>
      </c>
      <c r="I2987" s="26" t="n">
        <v>44742</v>
      </c>
      <c r="J2987" s="12" t="n">
        <v>40.93</v>
      </c>
      <c r="K2987" s="17" t="n">
        <v>4730855.62</v>
      </c>
      <c r="L2987" s="12" t="n">
        <v>0</v>
      </c>
      <c r="M2987" s="12" t="n">
        <v>11</v>
      </c>
      <c r="N2987" s="27">
        <f>F2987-J2987</f>
        <v/>
      </c>
      <c r="O2987" s="16">
        <f>I2987-H2987</f>
        <v/>
      </c>
      <c r="P2987" s="14">
        <f>F2987*G2987</f>
        <v/>
      </c>
      <c r="Q2987" s="14">
        <f>J2987*G2987</f>
        <v/>
      </c>
      <c r="R2987" s="14">
        <f>K2987-Q2987</f>
        <v/>
      </c>
      <c r="S2987" s="3">
        <f>P2987*Assumptions!$B$3/100</f>
        <v/>
      </c>
      <c r="T2987" s="14">
        <f>R2987-S2987</f>
        <v/>
      </c>
      <c r="U2987" s="14">
        <f>L2987*G2987</f>
        <v/>
      </c>
    </row>
    <row r="2988">
      <c r="A2988" s="12" t="inlineStr">
        <is>
          <t>PO-2022-2986</t>
        </is>
      </c>
      <c r="B2988" s="26" t="n">
        <v>45064</v>
      </c>
      <c r="C2988" s="12" t="inlineStr">
        <is>
          <t>VS24</t>
        </is>
      </c>
      <c r="D2988" s="12" t="inlineStr">
        <is>
          <t>Structural Steel</t>
        </is>
      </c>
      <c r="E2988" s="12" t="inlineStr">
        <is>
          <t>N</t>
        </is>
      </c>
      <c r="F2988" s="12" t="n">
        <v>38.06</v>
      </c>
      <c r="G2988" s="17" t="n">
        <v>70493.75999999999</v>
      </c>
      <c r="H2988" s="26" t="n">
        <v>45067</v>
      </c>
      <c r="I2988" s="26" t="n">
        <v>45067</v>
      </c>
      <c r="J2988" s="12" t="n">
        <v>37.8</v>
      </c>
      <c r="K2988" s="17" t="n">
        <v>2682992.51</v>
      </c>
      <c r="L2988" s="12" t="n">
        <v>0</v>
      </c>
      <c r="M2988" s="12" t="n">
        <v>0</v>
      </c>
      <c r="N2988" s="27">
        <f>F2988-J2988</f>
        <v/>
      </c>
      <c r="O2988" s="16">
        <f>I2988-H2988</f>
        <v/>
      </c>
      <c r="P2988" s="14">
        <f>F2988*G2988</f>
        <v/>
      </c>
      <c r="Q2988" s="14">
        <f>J2988*G2988</f>
        <v/>
      </c>
      <c r="R2988" s="14">
        <f>K2988-Q2988</f>
        <v/>
      </c>
      <c r="S2988" s="3">
        <f>P2988*Assumptions!$B$3/100</f>
        <v/>
      </c>
      <c r="T2988" s="14">
        <f>R2988-S2988</f>
        <v/>
      </c>
      <c r="U2988" s="14">
        <f>L2988*G2988</f>
        <v/>
      </c>
    </row>
    <row r="2989">
      <c r="A2989" s="12" t="inlineStr">
        <is>
          <t>PO-2022-2987</t>
        </is>
      </c>
      <c r="B2989" s="26" t="n">
        <v>45119</v>
      </c>
      <c r="C2989" s="12" t="inlineStr">
        <is>
          <t>VS20</t>
        </is>
      </c>
      <c r="D2989" s="12" t="inlineStr">
        <is>
          <t>MS Flats</t>
        </is>
      </c>
      <c r="E2989" s="12" t="inlineStr">
        <is>
          <t>N</t>
        </is>
      </c>
      <c r="F2989" s="12" t="n">
        <v>48.27</v>
      </c>
      <c r="G2989" s="17" t="n">
        <v>59421.56</v>
      </c>
      <c r="H2989" s="26" t="n">
        <v>45130</v>
      </c>
      <c r="I2989" s="26" t="n">
        <v>45132</v>
      </c>
      <c r="J2989" s="12" t="n">
        <v>47.95</v>
      </c>
      <c r="K2989" s="17" t="n">
        <v>2868278.7</v>
      </c>
      <c r="L2989" s="12" t="n">
        <v>0</v>
      </c>
      <c r="M2989" s="12" t="n">
        <v>22</v>
      </c>
      <c r="N2989" s="27">
        <f>F2989-J2989</f>
        <v/>
      </c>
      <c r="O2989" s="16">
        <f>I2989-H2989</f>
        <v/>
      </c>
      <c r="P2989" s="14">
        <f>F2989*G2989</f>
        <v/>
      </c>
      <c r="Q2989" s="14">
        <f>J2989*G2989</f>
        <v/>
      </c>
      <c r="R2989" s="14">
        <f>K2989-Q2989</f>
        <v/>
      </c>
      <c r="S2989" s="3">
        <f>P2989*Assumptions!$B$3/100</f>
        <v/>
      </c>
      <c r="T2989" s="14">
        <f>R2989-S2989</f>
        <v/>
      </c>
      <c r="U2989" s="14">
        <f>L2989*G2989</f>
        <v/>
      </c>
    </row>
    <row r="2990">
      <c r="A2990" s="12" t="inlineStr">
        <is>
          <t>PO-2022-2988</t>
        </is>
      </c>
      <c r="B2990" s="26" t="n">
        <v>44256</v>
      </c>
      <c r="C2990" s="12" t="inlineStr">
        <is>
          <t>VS28</t>
        </is>
      </c>
      <c r="D2990" s="12" t="inlineStr">
        <is>
          <t>Square/Rect Tubes</t>
        </is>
      </c>
      <c r="E2990" s="12" t="inlineStr">
        <is>
          <t>N</t>
        </is>
      </c>
      <c r="F2990" s="12" t="n">
        <v>12.88</v>
      </c>
      <c r="G2990" s="17" t="n">
        <v>103667.29</v>
      </c>
      <c r="H2990" s="26" t="n">
        <v>44263</v>
      </c>
      <c r="I2990" s="26" t="n">
        <v>44266</v>
      </c>
      <c r="J2990" s="12" t="n">
        <v>12.75</v>
      </c>
      <c r="K2990" s="17" t="n">
        <v>1335234.7</v>
      </c>
      <c r="L2990" s="12" t="n">
        <v>0</v>
      </c>
      <c r="M2990" s="12" t="n">
        <v>0</v>
      </c>
      <c r="N2990" s="27">
        <f>F2990-J2990</f>
        <v/>
      </c>
      <c r="O2990" s="16">
        <f>I2990-H2990</f>
        <v/>
      </c>
      <c r="P2990" s="14">
        <f>F2990*G2990</f>
        <v/>
      </c>
      <c r="Q2990" s="14">
        <f>J2990*G2990</f>
        <v/>
      </c>
      <c r="R2990" s="14">
        <f>K2990-Q2990</f>
        <v/>
      </c>
      <c r="S2990" s="3">
        <f>P2990*Assumptions!$B$3/100</f>
        <v/>
      </c>
      <c r="T2990" s="14">
        <f>R2990-S2990</f>
        <v/>
      </c>
      <c r="U2990" s="14">
        <f>L2990*G2990</f>
        <v/>
      </c>
    </row>
    <row r="2991">
      <c r="A2991" s="12" t="inlineStr">
        <is>
          <t>PO-2022-2989</t>
        </is>
      </c>
      <c r="B2991" s="26" t="n">
        <v>45025</v>
      </c>
      <c r="C2991" s="12" t="inlineStr">
        <is>
          <t>VS25</t>
        </is>
      </c>
      <c r="D2991" s="12" t="inlineStr">
        <is>
          <t>Square/Rect Tubes</t>
        </is>
      </c>
      <c r="E2991" s="12" t="inlineStr">
        <is>
          <t>N</t>
        </is>
      </c>
      <c r="F2991" s="12" t="n">
        <v>42.86</v>
      </c>
      <c r="G2991" s="17" t="n">
        <v>58824.4</v>
      </c>
      <c r="H2991" s="26" t="n">
        <v>45034</v>
      </c>
      <c r="I2991" s="26" t="n">
        <v>45036</v>
      </c>
      <c r="J2991" s="12" t="n">
        <v>42.44</v>
      </c>
      <c r="K2991" s="17" t="n">
        <v>2521213.78</v>
      </c>
      <c r="L2991" s="12" t="n">
        <v>0</v>
      </c>
      <c r="M2991" s="12" t="n">
        <v>0</v>
      </c>
      <c r="N2991" s="27">
        <f>F2991-J2991</f>
        <v/>
      </c>
      <c r="O2991" s="16">
        <f>I2991-H2991</f>
        <v/>
      </c>
      <c r="P2991" s="14">
        <f>F2991*G2991</f>
        <v/>
      </c>
      <c r="Q2991" s="14">
        <f>J2991*G2991</f>
        <v/>
      </c>
      <c r="R2991" s="14">
        <f>K2991-Q2991</f>
        <v/>
      </c>
      <c r="S2991" s="3">
        <f>P2991*Assumptions!$B$3/100</f>
        <v/>
      </c>
      <c r="T2991" s="14">
        <f>R2991-S2991</f>
        <v/>
      </c>
      <c r="U2991" s="14">
        <f>L2991*G2991</f>
        <v/>
      </c>
    </row>
    <row r="2992">
      <c r="A2992" s="12" t="inlineStr">
        <is>
          <t>PO-2022-2990</t>
        </is>
      </c>
      <c r="B2992" s="26" t="n">
        <v>44886</v>
      </c>
      <c r="C2992" s="12" t="inlineStr">
        <is>
          <t>VS19</t>
        </is>
      </c>
      <c r="D2992" s="12" t="inlineStr">
        <is>
          <t>GI Pipes</t>
        </is>
      </c>
      <c r="E2992" s="12" t="inlineStr">
        <is>
          <t>N</t>
        </is>
      </c>
      <c r="F2992" s="12" t="n">
        <v>6.31</v>
      </c>
      <c r="G2992" s="17" t="n">
        <v>96144.67</v>
      </c>
      <c r="H2992" s="26" t="n">
        <v>44898</v>
      </c>
      <c r="I2992" s="26" t="n">
        <v>44900</v>
      </c>
      <c r="J2992" s="12" t="n">
        <v>6.07</v>
      </c>
      <c r="K2992" s="17" t="n">
        <v>606672.87</v>
      </c>
      <c r="L2992" s="12" t="n">
        <v>0.09</v>
      </c>
      <c r="M2992" s="12" t="n">
        <v>0</v>
      </c>
      <c r="N2992" s="27">
        <f>F2992-J2992</f>
        <v/>
      </c>
      <c r="O2992" s="16">
        <f>I2992-H2992</f>
        <v/>
      </c>
      <c r="P2992" s="14">
        <f>F2992*G2992</f>
        <v/>
      </c>
      <c r="Q2992" s="14">
        <f>J2992*G2992</f>
        <v/>
      </c>
      <c r="R2992" s="14">
        <f>K2992-Q2992</f>
        <v/>
      </c>
      <c r="S2992" s="3">
        <f>P2992*Assumptions!$B$3/100</f>
        <v/>
      </c>
      <c r="T2992" s="14">
        <f>R2992-S2992</f>
        <v/>
      </c>
      <c r="U2992" s="14">
        <f>L2992*G2992</f>
        <v/>
      </c>
    </row>
    <row r="2993">
      <c r="A2993" s="12" t="inlineStr">
        <is>
          <t>PO-2022-2991</t>
        </is>
      </c>
      <c r="B2993" s="26" t="n">
        <v>44907</v>
      </c>
      <c r="C2993" s="12" t="inlineStr">
        <is>
          <t>VS15</t>
        </is>
      </c>
      <c r="D2993" s="12" t="inlineStr">
        <is>
          <t>GI Pipes</t>
        </is>
      </c>
      <c r="E2993" s="12" t="inlineStr">
        <is>
          <t>N</t>
        </is>
      </c>
      <c r="F2993" s="12" t="n">
        <v>1.45</v>
      </c>
      <c r="G2993" s="17" t="n">
        <v>114893.66</v>
      </c>
      <c r="H2993" s="26" t="n">
        <v>44916</v>
      </c>
      <c r="I2993" s="26" t="n">
        <v>44918</v>
      </c>
      <c r="J2993" s="12" t="n">
        <v>1.44</v>
      </c>
      <c r="K2993" s="17" t="n">
        <v>166595.81</v>
      </c>
      <c r="L2993" s="12" t="n">
        <v>0</v>
      </c>
      <c r="M2993" s="12" t="n">
        <v>12</v>
      </c>
      <c r="N2993" s="27">
        <f>F2993-J2993</f>
        <v/>
      </c>
      <c r="O2993" s="16">
        <f>I2993-H2993</f>
        <v/>
      </c>
      <c r="P2993" s="14">
        <f>F2993*G2993</f>
        <v/>
      </c>
      <c r="Q2993" s="14">
        <f>J2993*G2993</f>
        <v/>
      </c>
      <c r="R2993" s="14">
        <f>K2993-Q2993</f>
        <v/>
      </c>
      <c r="S2993" s="3">
        <f>P2993*Assumptions!$B$3/100</f>
        <v/>
      </c>
      <c r="T2993" s="14">
        <f>R2993-S2993</f>
        <v/>
      </c>
      <c r="U2993" s="14">
        <f>L2993*G2993</f>
        <v/>
      </c>
    </row>
    <row r="2994">
      <c r="A2994" s="12" t="inlineStr">
        <is>
          <t>PO-2022-2992</t>
        </is>
      </c>
      <c r="B2994" s="26" t="n">
        <v>44525</v>
      </c>
      <c r="C2994" s="12" t="inlineStr">
        <is>
          <t>VS12</t>
        </is>
      </c>
      <c r="D2994" s="12" t="inlineStr">
        <is>
          <t>ERW Pipes</t>
        </is>
      </c>
      <c r="E2994" s="12" t="inlineStr">
        <is>
          <t>N</t>
        </is>
      </c>
      <c r="F2994" s="12" t="n">
        <v>9.57</v>
      </c>
      <c r="G2994" s="17" t="n">
        <v>69740.75999999999</v>
      </c>
      <c r="H2994" s="26" t="n">
        <v>44540</v>
      </c>
      <c r="I2994" s="26" t="n">
        <v>44544</v>
      </c>
      <c r="J2994" s="12" t="n">
        <v>9.33</v>
      </c>
      <c r="K2994" s="17" t="n">
        <v>667419.0699999999</v>
      </c>
      <c r="L2994" s="12" t="n">
        <v>0.22</v>
      </c>
      <c r="M2994" s="12" t="n">
        <v>0</v>
      </c>
      <c r="N2994" s="27">
        <f>F2994-J2994</f>
        <v/>
      </c>
      <c r="O2994" s="16">
        <f>I2994-H2994</f>
        <v/>
      </c>
      <c r="P2994" s="14">
        <f>F2994*G2994</f>
        <v/>
      </c>
      <c r="Q2994" s="14">
        <f>J2994*G2994</f>
        <v/>
      </c>
      <c r="R2994" s="14">
        <f>K2994-Q2994</f>
        <v/>
      </c>
      <c r="S2994" s="3">
        <f>P2994*Assumptions!$B$3/100</f>
        <v/>
      </c>
      <c r="T2994" s="14">
        <f>R2994-S2994</f>
        <v/>
      </c>
      <c r="U2994" s="14">
        <f>L2994*G2994</f>
        <v/>
      </c>
    </row>
    <row r="2995">
      <c r="A2995" s="12" t="inlineStr">
        <is>
          <t>PO-2022-2993</t>
        </is>
      </c>
      <c r="B2995" s="26" t="n">
        <v>45122</v>
      </c>
      <c r="C2995" s="12" t="inlineStr">
        <is>
          <t>VS28</t>
        </is>
      </c>
      <c r="D2995" s="12" t="inlineStr">
        <is>
          <t>Structural Steel</t>
        </is>
      </c>
      <c r="E2995" s="12" t="inlineStr">
        <is>
          <t>N</t>
        </is>
      </c>
      <c r="F2995" s="12" t="n">
        <v>35</v>
      </c>
      <c r="G2995" s="17" t="n">
        <v>80546.13</v>
      </c>
      <c r="H2995" s="26" t="n">
        <v>45131</v>
      </c>
      <c r="I2995" s="26" t="n">
        <v>45131</v>
      </c>
      <c r="J2995" s="12" t="n">
        <v>34.98</v>
      </c>
      <c r="K2995" s="17" t="n">
        <v>2819114.55</v>
      </c>
      <c r="L2995" s="12" t="n">
        <v>0</v>
      </c>
      <c r="M2995" s="12" t="n">
        <v>22</v>
      </c>
      <c r="N2995" s="27">
        <f>F2995-J2995</f>
        <v/>
      </c>
      <c r="O2995" s="16">
        <f>I2995-H2995</f>
        <v/>
      </c>
      <c r="P2995" s="14">
        <f>F2995*G2995</f>
        <v/>
      </c>
      <c r="Q2995" s="14">
        <f>J2995*G2995</f>
        <v/>
      </c>
      <c r="R2995" s="14">
        <f>K2995-Q2995</f>
        <v/>
      </c>
      <c r="S2995" s="3">
        <f>P2995*Assumptions!$B$3/100</f>
        <v/>
      </c>
      <c r="T2995" s="14">
        <f>R2995-S2995</f>
        <v/>
      </c>
      <c r="U2995" s="14">
        <f>L2995*G2995</f>
        <v/>
      </c>
    </row>
    <row r="2996">
      <c r="A2996" s="12" t="inlineStr">
        <is>
          <t>PO-2022-2994</t>
        </is>
      </c>
      <c r="B2996" s="26" t="n">
        <v>44472</v>
      </c>
      <c r="C2996" s="12" t="inlineStr">
        <is>
          <t>VS21</t>
        </is>
      </c>
      <c r="D2996" s="12" t="inlineStr">
        <is>
          <t>SS Pipes</t>
        </is>
      </c>
      <c r="E2996" s="12" t="inlineStr">
        <is>
          <t>N</t>
        </is>
      </c>
      <c r="F2996" s="12" t="n">
        <v>20.12</v>
      </c>
      <c r="G2996" s="17" t="n">
        <v>52774.22</v>
      </c>
      <c r="H2996" s="26" t="n">
        <v>44477</v>
      </c>
      <c r="I2996" s="26" t="n">
        <v>44479</v>
      </c>
      <c r="J2996" s="12" t="n">
        <v>20.03</v>
      </c>
      <c r="K2996" s="17" t="n">
        <v>1061817.31</v>
      </c>
      <c r="L2996" s="12" t="n">
        <v>0</v>
      </c>
      <c r="M2996" s="12" t="n">
        <v>0</v>
      </c>
      <c r="N2996" s="27">
        <f>F2996-J2996</f>
        <v/>
      </c>
      <c r="O2996" s="16">
        <f>I2996-H2996</f>
        <v/>
      </c>
      <c r="P2996" s="14">
        <f>F2996*G2996</f>
        <v/>
      </c>
      <c r="Q2996" s="14">
        <f>J2996*G2996</f>
        <v/>
      </c>
      <c r="R2996" s="14">
        <f>K2996-Q2996</f>
        <v/>
      </c>
      <c r="S2996" s="3">
        <f>P2996*Assumptions!$B$3/100</f>
        <v/>
      </c>
      <c r="T2996" s="14">
        <f>R2996-S2996</f>
        <v/>
      </c>
      <c r="U2996" s="14">
        <f>L2996*G2996</f>
        <v/>
      </c>
    </row>
    <row r="2997">
      <c r="A2997" s="12" t="inlineStr">
        <is>
          <t>PO-2022-2995</t>
        </is>
      </c>
      <c r="B2997" s="26" t="n">
        <v>44772</v>
      </c>
      <c r="C2997" s="12" t="inlineStr">
        <is>
          <t>VS07</t>
        </is>
      </c>
      <c r="D2997" s="12" t="inlineStr">
        <is>
          <t>SS Pipes</t>
        </is>
      </c>
      <c r="E2997" s="12" t="inlineStr">
        <is>
          <t>N</t>
        </is>
      </c>
      <c r="F2997" s="12" t="n">
        <v>19.25</v>
      </c>
      <c r="G2997" s="17" t="n">
        <v>117930.92</v>
      </c>
      <c r="H2997" s="26" t="n">
        <v>44783</v>
      </c>
      <c r="I2997" s="26" t="n">
        <v>44785</v>
      </c>
      <c r="J2997" s="12" t="n">
        <v>19.18</v>
      </c>
      <c r="K2997" s="17" t="n">
        <v>2270170.21</v>
      </c>
      <c r="L2997" s="12" t="n">
        <v>0</v>
      </c>
      <c r="M2997" s="12" t="n">
        <v>0</v>
      </c>
      <c r="N2997" s="27">
        <f>F2997-J2997</f>
        <v/>
      </c>
      <c r="O2997" s="16">
        <f>I2997-H2997</f>
        <v/>
      </c>
      <c r="P2997" s="14">
        <f>F2997*G2997</f>
        <v/>
      </c>
      <c r="Q2997" s="14">
        <f>J2997*G2997</f>
        <v/>
      </c>
      <c r="R2997" s="14">
        <f>K2997-Q2997</f>
        <v/>
      </c>
      <c r="S2997" s="3">
        <f>P2997*Assumptions!$B$3/100</f>
        <v/>
      </c>
      <c r="T2997" s="14">
        <f>R2997-S2997</f>
        <v/>
      </c>
      <c r="U2997" s="14">
        <f>L2997*G2997</f>
        <v/>
      </c>
    </row>
    <row r="2998">
      <c r="A2998" s="12" t="inlineStr">
        <is>
          <t>PO-2022-2996</t>
        </is>
      </c>
      <c r="B2998" s="26" t="n">
        <v>44711</v>
      </c>
      <c r="C2998" s="12" t="inlineStr">
        <is>
          <t>VS34</t>
        </is>
      </c>
      <c r="D2998" s="12" t="inlineStr">
        <is>
          <t>MS Rods</t>
        </is>
      </c>
      <c r="E2998" s="12" t="inlineStr">
        <is>
          <t>N</t>
        </is>
      </c>
      <c r="F2998" s="12" t="n">
        <v>49.68</v>
      </c>
      <c r="G2998" s="17" t="n">
        <v>45458.95</v>
      </c>
      <c r="H2998" s="26" t="n">
        <v>44722</v>
      </c>
      <c r="I2998" s="26" t="n">
        <v>44725</v>
      </c>
      <c r="J2998" s="12" t="n">
        <v>49.31</v>
      </c>
      <c r="K2998" s="17" t="n">
        <v>2258400.64</v>
      </c>
      <c r="L2998" s="12" t="n">
        <v>0</v>
      </c>
      <c r="M2998" s="12" t="n">
        <v>0</v>
      </c>
      <c r="N2998" s="27">
        <f>F2998-J2998</f>
        <v/>
      </c>
      <c r="O2998" s="16">
        <f>I2998-H2998</f>
        <v/>
      </c>
      <c r="P2998" s="14">
        <f>F2998*G2998</f>
        <v/>
      </c>
      <c r="Q2998" s="14">
        <f>J2998*G2998</f>
        <v/>
      </c>
      <c r="R2998" s="14">
        <f>K2998-Q2998</f>
        <v/>
      </c>
      <c r="S2998" s="3">
        <f>P2998*Assumptions!$B$3/100</f>
        <v/>
      </c>
      <c r="T2998" s="14">
        <f>R2998-S2998</f>
        <v/>
      </c>
      <c r="U2998" s="14">
        <f>L2998*G2998</f>
        <v/>
      </c>
    </row>
    <row r="2999">
      <c r="A2999" s="12" t="inlineStr">
        <is>
          <t>PO-2022-2997</t>
        </is>
      </c>
      <c r="B2999" s="26" t="n">
        <v>44227</v>
      </c>
      <c r="C2999" s="12" t="inlineStr">
        <is>
          <t>VS07</t>
        </is>
      </c>
      <c r="D2999" s="12" t="inlineStr">
        <is>
          <t>Structural Steel</t>
        </is>
      </c>
      <c r="E2999" s="12" t="inlineStr">
        <is>
          <t>N</t>
        </is>
      </c>
      <c r="F2999" s="12" t="n">
        <v>29.85</v>
      </c>
      <c r="G2999" s="17" t="n">
        <v>118648.39</v>
      </c>
      <c r="H2999" s="26" t="n">
        <v>44237</v>
      </c>
      <c r="I2999" s="26" t="n">
        <v>44239</v>
      </c>
      <c r="J2999" s="12" t="n">
        <v>29.57</v>
      </c>
      <c r="K2999" s="17" t="n">
        <v>3541654.44</v>
      </c>
      <c r="L2999" s="12" t="n">
        <v>0</v>
      </c>
      <c r="M2999" s="12" t="n">
        <v>11</v>
      </c>
      <c r="N2999" s="27">
        <f>F2999-J2999</f>
        <v/>
      </c>
      <c r="O2999" s="16">
        <f>I2999-H2999</f>
        <v/>
      </c>
      <c r="P2999" s="14">
        <f>F2999*G2999</f>
        <v/>
      </c>
      <c r="Q2999" s="14">
        <f>J2999*G2999</f>
        <v/>
      </c>
      <c r="R2999" s="14">
        <f>K2999-Q2999</f>
        <v/>
      </c>
      <c r="S2999" s="3">
        <f>P2999*Assumptions!$B$3/100</f>
        <v/>
      </c>
      <c r="T2999" s="14">
        <f>R2999-S2999</f>
        <v/>
      </c>
      <c r="U2999" s="14">
        <f>L2999*G2999</f>
        <v/>
      </c>
    </row>
    <row r="3000">
      <c r="A3000" s="12" t="inlineStr">
        <is>
          <t>PO-2022-2998</t>
        </is>
      </c>
      <c r="B3000" s="26" t="n">
        <v>45209</v>
      </c>
      <c r="C3000" s="12" t="inlineStr">
        <is>
          <t>VS09</t>
        </is>
      </c>
      <c r="D3000" s="12" t="inlineStr">
        <is>
          <t>GI Sheets</t>
        </is>
      </c>
      <c r="E3000" s="12" t="inlineStr">
        <is>
          <t>N</t>
        </is>
      </c>
      <c r="F3000" s="12" t="n">
        <v>43.86</v>
      </c>
      <c r="G3000" s="17" t="n">
        <v>57966.69</v>
      </c>
      <c r="H3000" s="26" t="n">
        <v>45221</v>
      </c>
      <c r="I3000" s="26" t="n">
        <v>45223</v>
      </c>
      <c r="J3000" s="12" t="n">
        <v>43.78</v>
      </c>
      <c r="K3000" s="17" t="n">
        <v>2542419.02</v>
      </c>
      <c r="L3000" s="12" t="n">
        <v>0</v>
      </c>
      <c r="M3000" s="12" t="n">
        <v>18</v>
      </c>
      <c r="N3000" s="27">
        <f>F3000-J3000</f>
        <v/>
      </c>
      <c r="O3000" s="16">
        <f>I3000-H3000</f>
        <v/>
      </c>
      <c r="P3000" s="14">
        <f>F3000*G3000</f>
        <v/>
      </c>
      <c r="Q3000" s="14">
        <f>J3000*G3000</f>
        <v/>
      </c>
      <c r="R3000" s="14">
        <f>K3000-Q3000</f>
        <v/>
      </c>
      <c r="S3000" s="3">
        <f>P3000*Assumptions!$B$3/100</f>
        <v/>
      </c>
      <c r="T3000" s="14">
        <f>R3000-S3000</f>
        <v/>
      </c>
      <c r="U3000" s="14">
        <f>L3000*G3000</f>
        <v/>
      </c>
    </row>
    <row r="3001">
      <c r="A3001" s="12" t="inlineStr">
        <is>
          <t>PO-2022-2999</t>
        </is>
      </c>
      <c r="B3001" s="26" t="n">
        <v>44930</v>
      </c>
      <c r="C3001" s="12" t="inlineStr">
        <is>
          <t>VS29</t>
        </is>
      </c>
      <c r="D3001" s="12" t="inlineStr">
        <is>
          <t>MS Pipes</t>
        </is>
      </c>
      <c r="E3001" s="12" t="inlineStr">
        <is>
          <t>N</t>
        </is>
      </c>
      <c r="F3001" s="12" t="n">
        <v>46.62</v>
      </c>
      <c r="G3001" s="17" t="n">
        <v>65489.78</v>
      </c>
      <c r="H3001" s="26" t="n">
        <v>44935</v>
      </c>
      <c r="I3001" s="26" t="n">
        <v>44937</v>
      </c>
      <c r="J3001" s="12" t="n">
        <v>46.23</v>
      </c>
      <c r="K3001" s="17" t="n">
        <v>3053133.54</v>
      </c>
      <c r="L3001" s="12" t="n">
        <v>0</v>
      </c>
      <c r="M3001" s="12" t="n">
        <v>25</v>
      </c>
      <c r="N3001" s="27">
        <f>F3001-J3001</f>
        <v/>
      </c>
      <c r="O3001" s="16">
        <f>I3001-H3001</f>
        <v/>
      </c>
      <c r="P3001" s="14">
        <f>F3001*G3001</f>
        <v/>
      </c>
      <c r="Q3001" s="14">
        <f>J3001*G3001</f>
        <v/>
      </c>
      <c r="R3001" s="14">
        <f>K3001-Q3001</f>
        <v/>
      </c>
      <c r="S3001" s="3">
        <f>P3001*Assumptions!$B$3/100</f>
        <v/>
      </c>
      <c r="T3001" s="14">
        <f>R3001-S3001</f>
        <v/>
      </c>
      <c r="U3001" s="14">
        <f>L3001*G3001</f>
        <v/>
      </c>
    </row>
    <row r="3002">
      <c r="A3002" s="12" t="inlineStr">
        <is>
          <t>PO-2022-3000</t>
        </is>
      </c>
      <c r="B3002" s="26" t="n">
        <v>45033</v>
      </c>
      <c r="C3002" s="12" t="inlineStr">
        <is>
          <t>VS17</t>
        </is>
      </c>
      <c r="D3002" s="12" t="inlineStr">
        <is>
          <t>MS Sheets</t>
        </is>
      </c>
      <c r="E3002" s="12" t="inlineStr">
        <is>
          <t>N</t>
        </is>
      </c>
      <c r="F3002" s="12" t="n">
        <v>32.29</v>
      </c>
      <c r="G3002" s="17" t="n">
        <v>76874.11</v>
      </c>
      <c r="H3002" s="26" t="n">
        <v>45038</v>
      </c>
      <c r="I3002" s="26" t="n">
        <v>45039</v>
      </c>
      <c r="J3002" s="12" t="n">
        <v>32.04</v>
      </c>
      <c r="K3002" s="17" t="n">
        <v>2482265.01</v>
      </c>
      <c r="L3002" s="12" t="n">
        <v>0</v>
      </c>
      <c r="M3002" s="12" t="n">
        <v>0</v>
      </c>
      <c r="N3002" s="27">
        <f>F3002-J3002</f>
        <v/>
      </c>
      <c r="O3002" s="16">
        <f>I3002-H3002</f>
        <v/>
      </c>
      <c r="P3002" s="14">
        <f>F3002*G3002</f>
        <v/>
      </c>
      <c r="Q3002" s="14">
        <f>J3002*G3002</f>
        <v/>
      </c>
      <c r="R3002" s="14">
        <f>K3002-Q3002</f>
        <v/>
      </c>
      <c r="S3002" s="3">
        <f>P3002*Assumptions!$B$3/100</f>
        <v/>
      </c>
      <c r="T3002" s="14">
        <f>R3002-S3002</f>
        <v/>
      </c>
      <c r="U3002" s="14">
        <f>L3002*G3002</f>
        <v/>
      </c>
    </row>
    <row r="3003">
      <c r="A3003" s="12" t="inlineStr">
        <is>
          <t>PO-2022-3001</t>
        </is>
      </c>
      <c r="B3003" s="26" t="n">
        <v>44424</v>
      </c>
      <c r="C3003" s="12" t="inlineStr">
        <is>
          <t>VS11</t>
        </is>
      </c>
      <c r="D3003" s="12" t="inlineStr">
        <is>
          <t>GI Pipes</t>
        </is>
      </c>
      <c r="E3003" s="12" t="inlineStr">
        <is>
          <t>N</t>
        </is>
      </c>
      <c r="F3003" s="12" t="n">
        <v>10.99</v>
      </c>
      <c r="G3003" s="17" t="n">
        <v>63842.14</v>
      </c>
      <c r="H3003" s="26" t="n">
        <v>44438</v>
      </c>
      <c r="I3003" s="26" t="n">
        <v>44439</v>
      </c>
      <c r="J3003" s="12" t="n">
        <v>10.93</v>
      </c>
      <c r="K3003" s="17" t="n">
        <v>701625.12</v>
      </c>
      <c r="L3003" s="12" t="n">
        <v>0</v>
      </c>
      <c r="M3003" s="12" t="n">
        <v>0</v>
      </c>
      <c r="N3003" s="27">
        <f>F3003-J3003</f>
        <v/>
      </c>
      <c r="O3003" s="16">
        <f>I3003-H3003</f>
        <v/>
      </c>
      <c r="P3003" s="14">
        <f>F3003*G3003</f>
        <v/>
      </c>
      <c r="Q3003" s="14">
        <f>J3003*G3003</f>
        <v/>
      </c>
      <c r="R3003" s="14">
        <f>K3003-Q3003</f>
        <v/>
      </c>
      <c r="S3003" s="3">
        <f>P3003*Assumptions!$B$3/100</f>
        <v/>
      </c>
      <c r="T3003" s="14">
        <f>R3003-S3003</f>
        <v/>
      </c>
      <c r="U3003" s="14">
        <f>L3003*G3003</f>
        <v/>
      </c>
    </row>
    <row r="3004">
      <c r="A3004" s="12" t="inlineStr">
        <is>
          <t>PO-2022-3002</t>
        </is>
      </c>
      <c r="B3004" s="26" t="n">
        <v>45177</v>
      </c>
      <c r="C3004" s="12" t="inlineStr">
        <is>
          <t>VS22</t>
        </is>
      </c>
      <c r="D3004" s="12" t="inlineStr">
        <is>
          <t>HR Coils</t>
        </is>
      </c>
      <c r="E3004" s="12" t="inlineStr">
        <is>
          <t>N</t>
        </is>
      </c>
      <c r="F3004" s="12" t="n">
        <v>22.07</v>
      </c>
      <c r="G3004" s="17" t="n">
        <v>97232.57000000001</v>
      </c>
      <c r="H3004" s="26" t="n">
        <v>45191</v>
      </c>
      <c r="I3004" s="26" t="n">
        <v>45192</v>
      </c>
      <c r="J3004" s="12" t="n">
        <v>21.93</v>
      </c>
      <c r="K3004" s="17" t="n">
        <v>2145922.82</v>
      </c>
      <c r="L3004" s="12" t="n">
        <v>0</v>
      </c>
      <c r="M3004" s="12" t="n">
        <v>2</v>
      </c>
      <c r="N3004" s="27">
        <f>F3004-J3004</f>
        <v/>
      </c>
      <c r="O3004" s="16">
        <f>I3004-H3004</f>
        <v/>
      </c>
      <c r="P3004" s="14">
        <f>F3004*G3004</f>
        <v/>
      </c>
      <c r="Q3004" s="14">
        <f>J3004*G3004</f>
        <v/>
      </c>
      <c r="R3004" s="14">
        <f>K3004-Q3004</f>
        <v/>
      </c>
      <c r="S3004" s="3">
        <f>P3004*Assumptions!$B$3/100</f>
        <v/>
      </c>
      <c r="T3004" s="14">
        <f>R3004-S3004</f>
        <v/>
      </c>
      <c r="U3004" s="14">
        <f>L3004*G3004</f>
        <v/>
      </c>
    </row>
    <row r="3005">
      <c r="A3005" s="12" t="inlineStr">
        <is>
          <t>PO-2022-3003</t>
        </is>
      </c>
      <c r="B3005" s="26" t="n">
        <v>44987</v>
      </c>
      <c r="C3005" s="12" t="inlineStr">
        <is>
          <t>VS04</t>
        </is>
      </c>
      <c r="D3005" s="12" t="inlineStr">
        <is>
          <t>Fasteners &amp; Fittings</t>
        </is>
      </c>
      <c r="E3005" s="12" t="inlineStr">
        <is>
          <t>N</t>
        </is>
      </c>
      <c r="F3005" s="12" t="n">
        <v>28.15</v>
      </c>
      <c r="G3005" s="17" t="n">
        <v>118027.72</v>
      </c>
      <c r="H3005" s="26" t="n">
        <v>45000</v>
      </c>
      <c r="I3005" s="26" t="n">
        <v>45002</v>
      </c>
      <c r="J3005" s="12" t="n">
        <v>28.02</v>
      </c>
      <c r="K3005" s="17" t="n">
        <v>3322480.32</v>
      </c>
      <c r="L3005" s="12" t="n">
        <v>0</v>
      </c>
      <c r="M3005" s="12" t="n">
        <v>6</v>
      </c>
      <c r="N3005" s="27">
        <f>F3005-J3005</f>
        <v/>
      </c>
      <c r="O3005" s="16">
        <f>I3005-H3005</f>
        <v/>
      </c>
      <c r="P3005" s="14">
        <f>F3005*G3005</f>
        <v/>
      </c>
      <c r="Q3005" s="14">
        <f>J3005*G3005</f>
        <v/>
      </c>
      <c r="R3005" s="14">
        <f>K3005-Q3005</f>
        <v/>
      </c>
      <c r="S3005" s="3">
        <f>P3005*Assumptions!$B$3/100</f>
        <v/>
      </c>
      <c r="T3005" s="14">
        <f>R3005-S3005</f>
        <v/>
      </c>
      <c r="U3005" s="14">
        <f>L3005*G3005</f>
        <v/>
      </c>
    </row>
    <row r="3006">
      <c r="A3006" s="12" t="inlineStr">
        <is>
          <t>PO-2022-3004</t>
        </is>
      </c>
      <c r="B3006" s="26" t="n">
        <v>44542</v>
      </c>
      <c r="C3006" s="12" t="inlineStr">
        <is>
          <t>VS24</t>
        </is>
      </c>
      <c r="D3006" s="12" t="inlineStr">
        <is>
          <t>CR Sheets</t>
        </is>
      </c>
      <c r="E3006" s="12" t="inlineStr">
        <is>
          <t>N</t>
        </is>
      </c>
      <c r="F3006" s="12" t="n">
        <v>47.45</v>
      </c>
      <c r="G3006" s="17" t="n">
        <v>58112.13</v>
      </c>
      <c r="H3006" s="26" t="n">
        <v>44547</v>
      </c>
      <c r="I3006" s="26" t="n">
        <v>44547</v>
      </c>
      <c r="J3006" s="12" t="n">
        <v>47.26</v>
      </c>
      <c r="K3006" s="17" t="n">
        <v>2757420.57</v>
      </c>
      <c r="L3006" s="12" t="n">
        <v>0</v>
      </c>
      <c r="M3006" s="12" t="n">
        <v>0</v>
      </c>
      <c r="N3006" s="27">
        <f>F3006-J3006</f>
        <v/>
      </c>
      <c r="O3006" s="16">
        <f>I3006-H3006</f>
        <v/>
      </c>
      <c r="P3006" s="14">
        <f>F3006*G3006</f>
        <v/>
      </c>
      <c r="Q3006" s="14">
        <f>J3006*G3006</f>
        <v/>
      </c>
      <c r="R3006" s="14">
        <f>K3006-Q3006</f>
        <v/>
      </c>
      <c r="S3006" s="3">
        <f>P3006*Assumptions!$B$3/100</f>
        <v/>
      </c>
      <c r="T3006" s="14">
        <f>R3006-S3006</f>
        <v/>
      </c>
      <c r="U3006" s="14">
        <f>L3006*G3006</f>
        <v/>
      </c>
    </row>
    <row r="3007">
      <c r="A3007" s="12" t="inlineStr">
        <is>
          <t>PO-2022-3005</t>
        </is>
      </c>
      <c r="B3007" s="26" t="n">
        <v>44449</v>
      </c>
      <c r="C3007" s="12" t="inlineStr">
        <is>
          <t>VS15</t>
        </is>
      </c>
      <c r="D3007" s="12" t="inlineStr">
        <is>
          <t>Hex Bars</t>
        </is>
      </c>
      <c r="E3007" s="12" t="inlineStr">
        <is>
          <t>N</t>
        </is>
      </c>
      <c r="F3007" s="12" t="n">
        <v>16.89</v>
      </c>
      <c r="G3007" s="17" t="n">
        <v>63991.33</v>
      </c>
      <c r="H3007" s="26" t="n">
        <v>44464</v>
      </c>
      <c r="I3007" s="26" t="n">
        <v>44466</v>
      </c>
      <c r="J3007" s="12" t="n">
        <v>16.86</v>
      </c>
      <c r="K3007" s="17" t="n">
        <v>1080813.56</v>
      </c>
      <c r="L3007" s="12" t="n">
        <v>0</v>
      </c>
      <c r="M3007" s="12" t="n">
        <v>16</v>
      </c>
      <c r="N3007" s="27">
        <f>F3007-J3007</f>
        <v/>
      </c>
      <c r="O3007" s="16">
        <f>I3007-H3007</f>
        <v/>
      </c>
      <c r="P3007" s="14">
        <f>F3007*G3007</f>
        <v/>
      </c>
      <c r="Q3007" s="14">
        <f>J3007*G3007</f>
        <v/>
      </c>
      <c r="R3007" s="14">
        <f>K3007-Q3007</f>
        <v/>
      </c>
      <c r="S3007" s="3">
        <f>P3007*Assumptions!$B$3/100</f>
        <v/>
      </c>
      <c r="T3007" s="14">
        <f>R3007-S3007</f>
        <v/>
      </c>
      <c r="U3007" s="14">
        <f>L3007*G3007</f>
        <v/>
      </c>
    </row>
    <row r="3008">
      <c r="A3008" s="12" t="inlineStr">
        <is>
          <t>PO-2022-3006</t>
        </is>
      </c>
      <c r="B3008" s="26" t="n">
        <v>44746</v>
      </c>
      <c r="C3008" s="12" t="inlineStr">
        <is>
          <t>VS04</t>
        </is>
      </c>
      <c r="D3008" s="12" t="inlineStr">
        <is>
          <t>GI Pipes</t>
        </is>
      </c>
      <c r="E3008" s="12" t="inlineStr">
        <is>
          <t>N</t>
        </is>
      </c>
      <c r="F3008" s="12" t="n">
        <v>34.12</v>
      </c>
      <c r="G3008" s="17" t="n">
        <v>77192.78999999999</v>
      </c>
      <c r="H3008" s="26" t="n">
        <v>44753</v>
      </c>
      <c r="I3008" s="26" t="n">
        <v>44753</v>
      </c>
      <c r="J3008" s="12" t="n">
        <v>33.91</v>
      </c>
      <c r="K3008" s="17" t="n">
        <v>2633817.99</v>
      </c>
      <c r="L3008" s="12" t="n">
        <v>0</v>
      </c>
      <c r="M3008" s="12" t="n">
        <v>0</v>
      </c>
      <c r="N3008" s="27">
        <f>F3008-J3008</f>
        <v/>
      </c>
      <c r="O3008" s="16">
        <f>I3008-H3008</f>
        <v/>
      </c>
      <c r="P3008" s="14">
        <f>F3008*G3008</f>
        <v/>
      </c>
      <c r="Q3008" s="14">
        <f>J3008*G3008</f>
        <v/>
      </c>
      <c r="R3008" s="14">
        <f>K3008-Q3008</f>
        <v/>
      </c>
      <c r="S3008" s="3">
        <f>P3008*Assumptions!$B$3/100</f>
        <v/>
      </c>
      <c r="T3008" s="14">
        <f>R3008-S3008</f>
        <v/>
      </c>
      <c r="U3008" s="14">
        <f>L3008*G3008</f>
        <v/>
      </c>
    </row>
    <row r="3009">
      <c r="A3009" s="12" t="inlineStr">
        <is>
          <t>PO-2022-3007</t>
        </is>
      </c>
      <c r="B3009" s="26" t="n">
        <v>44949</v>
      </c>
      <c r="C3009" s="12" t="inlineStr">
        <is>
          <t>VS19</t>
        </is>
      </c>
      <c r="D3009" s="12" t="inlineStr">
        <is>
          <t>Fasteners &amp; Fittings</t>
        </is>
      </c>
      <c r="E3009" s="12" t="inlineStr">
        <is>
          <t>N</t>
        </is>
      </c>
      <c r="F3009" s="12" t="n">
        <v>17.59</v>
      </c>
      <c r="G3009" s="17" t="n">
        <v>58160.08</v>
      </c>
      <c r="H3009" s="26" t="n">
        <v>44955</v>
      </c>
      <c r="I3009" s="26" t="n">
        <v>44961</v>
      </c>
      <c r="J3009" s="12" t="n">
        <v>17.02</v>
      </c>
      <c r="K3009" s="17" t="n">
        <v>1023035.81</v>
      </c>
      <c r="L3009" s="12" t="n">
        <v>0.64</v>
      </c>
      <c r="M3009" s="12" t="n">
        <v>0</v>
      </c>
      <c r="N3009" s="27">
        <f>F3009-J3009</f>
        <v/>
      </c>
      <c r="O3009" s="16">
        <f>I3009-H3009</f>
        <v/>
      </c>
      <c r="P3009" s="14">
        <f>F3009*G3009</f>
        <v/>
      </c>
      <c r="Q3009" s="14">
        <f>J3009*G3009</f>
        <v/>
      </c>
      <c r="R3009" s="14">
        <f>K3009-Q3009</f>
        <v/>
      </c>
      <c r="S3009" s="3">
        <f>P3009*Assumptions!$B$3/100</f>
        <v/>
      </c>
      <c r="T3009" s="14">
        <f>R3009-S3009</f>
        <v/>
      </c>
      <c r="U3009" s="14">
        <f>L3009*G3009</f>
        <v/>
      </c>
    </row>
    <row r="3010">
      <c r="A3010" s="12" t="inlineStr">
        <is>
          <t>PO-2022-3008</t>
        </is>
      </c>
      <c r="B3010" s="26" t="n">
        <v>44354</v>
      </c>
      <c r="C3010" s="12" t="inlineStr">
        <is>
          <t>VS08</t>
        </is>
      </c>
      <c r="D3010" s="12" t="inlineStr">
        <is>
          <t>Square/Rect Tubes</t>
        </is>
      </c>
      <c r="E3010" s="12" t="inlineStr">
        <is>
          <t>N</t>
        </is>
      </c>
      <c r="F3010" s="12" t="n">
        <v>47.28</v>
      </c>
      <c r="G3010" s="17" t="n">
        <v>56562.29</v>
      </c>
      <c r="H3010" s="26" t="n">
        <v>44368</v>
      </c>
      <c r="I3010" s="26" t="n">
        <v>44370</v>
      </c>
      <c r="J3010" s="12" t="n">
        <v>46.96</v>
      </c>
      <c r="K3010" s="17" t="n">
        <v>2674265.07</v>
      </c>
      <c r="L3010" s="12" t="n">
        <v>0</v>
      </c>
      <c r="M3010" s="12" t="n">
        <v>0</v>
      </c>
      <c r="N3010" s="27">
        <f>F3010-J3010</f>
        <v/>
      </c>
      <c r="O3010" s="16">
        <f>I3010-H3010</f>
        <v/>
      </c>
      <c r="P3010" s="14">
        <f>F3010*G3010</f>
        <v/>
      </c>
      <c r="Q3010" s="14">
        <f>J3010*G3010</f>
        <v/>
      </c>
      <c r="R3010" s="14">
        <f>K3010-Q3010</f>
        <v/>
      </c>
      <c r="S3010" s="3">
        <f>P3010*Assumptions!$B$3/100</f>
        <v/>
      </c>
      <c r="T3010" s="14">
        <f>R3010-S3010</f>
        <v/>
      </c>
      <c r="U3010" s="14">
        <f>L3010*G3010</f>
        <v/>
      </c>
    </row>
    <row r="3011">
      <c r="A3011" s="12" t="inlineStr">
        <is>
          <t>PO-2022-3009</t>
        </is>
      </c>
      <c r="B3011" s="26" t="n">
        <v>45113</v>
      </c>
      <c r="C3011" s="12" t="inlineStr">
        <is>
          <t>VS19</t>
        </is>
      </c>
      <c r="D3011" s="12" t="inlineStr">
        <is>
          <t>Spring Steel</t>
        </is>
      </c>
      <c r="E3011" s="12" t="inlineStr">
        <is>
          <t>N</t>
        </is>
      </c>
      <c r="F3011" s="12" t="n">
        <v>31.12</v>
      </c>
      <c r="G3011" s="17" t="n">
        <v>104245.36</v>
      </c>
      <c r="H3011" s="26" t="n">
        <v>45123</v>
      </c>
      <c r="I3011" s="26" t="n">
        <v>45127</v>
      </c>
      <c r="J3011" s="12" t="n">
        <v>29.97</v>
      </c>
      <c r="K3011" s="17" t="n">
        <v>3244115.6</v>
      </c>
      <c r="L3011" s="12" t="n">
        <v>1.15</v>
      </c>
      <c r="M3011" s="12" t="n">
        <v>0</v>
      </c>
      <c r="N3011" s="27">
        <f>F3011-J3011</f>
        <v/>
      </c>
      <c r="O3011" s="16">
        <f>I3011-H3011</f>
        <v/>
      </c>
      <c r="P3011" s="14">
        <f>F3011*G3011</f>
        <v/>
      </c>
      <c r="Q3011" s="14">
        <f>J3011*G3011</f>
        <v/>
      </c>
      <c r="R3011" s="14">
        <f>K3011-Q3011</f>
        <v/>
      </c>
      <c r="S3011" s="3">
        <f>P3011*Assumptions!$B$3/100</f>
        <v/>
      </c>
      <c r="T3011" s="14">
        <f>R3011-S3011</f>
        <v/>
      </c>
      <c r="U3011" s="14">
        <f>L3011*G3011</f>
        <v/>
      </c>
    </row>
    <row r="3012">
      <c r="A3012" s="12" t="inlineStr">
        <is>
          <t>PO-2022-3010</t>
        </is>
      </c>
      <c r="B3012" s="26" t="n">
        <v>44370</v>
      </c>
      <c r="C3012" s="12" t="inlineStr">
        <is>
          <t>VS29</t>
        </is>
      </c>
      <c r="D3012" s="12" t="inlineStr">
        <is>
          <t>Fasteners &amp; Fittings</t>
        </is>
      </c>
      <c r="E3012" s="12" t="inlineStr">
        <is>
          <t>N</t>
        </is>
      </c>
      <c r="F3012" s="12" t="n">
        <v>45.16</v>
      </c>
      <c r="G3012" s="17" t="n">
        <v>74860.8</v>
      </c>
      <c r="H3012" s="26" t="n">
        <v>44376</v>
      </c>
      <c r="I3012" s="26" t="n">
        <v>44377</v>
      </c>
      <c r="J3012" s="12" t="n">
        <v>45.08</v>
      </c>
      <c r="K3012" s="17" t="n">
        <v>3380713.73</v>
      </c>
      <c r="L3012" s="12" t="n">
        <v>0</v>
      </c>
      <c r="M3012" s="12" t="n">
        <v>5</v>
      </c>
      <c r="N3012" s="27">
        <f>F3012-J3012</f>
        <v/>
      </c>
      <c r="O3012" s="16">
        <f>I3012-H3012</f>
        <v/>
      </c>
      <c r="P3012" s="14">
        <f>F3012*G3012</f>
        <v/>
      </c>
      <c r="Q3012" s="14">
        <f>J3012*G3012</f>
        <v/>
      </c>
      <c r="R3012" s="14">
        <f>K3012-Q3012</f>
        <v/>
      </c>
      <c r="S3012" s="3">
        <f>P3012*Assumptions!$B$3/100</f>
        <v/>
      </c>
      <c r="T3012" s="14">
        <f>R3012-S3012</f>
        <v/>
      </c>
      <c r="U3012" s="14">
        <f>L3012*G3012</f>
        <v/>
      </c>
    </row>
    <row r="3013">
      <c r="A3013" s="12" t="inlineStr">
        <is>
          <t>PO-2022-3011</t>
        </is>
      </c>
      <c r="B3013" s="26" t="n">
        <v>44694</v>
      </c>
      <c r="C3013" s="12" t="inlineStr">
        <is>
          <t>VS19</t>
        </is>
      </c>
      <c r="D3013" s="12" t="inlineStr">
        <is>
          <t>MS Sheets</t>
        </is>
      </c>
      <c r="E3013" s="12" t="inlineStr">
        <is>
          <t>N</t>
        </is>
      </c>
      <c r="F3013" s="12" t="n">
        <v>24.97</v>
      </c>
      <c r="G3013" s="17" t="n">
        <v>49195</v>
      </c>
      <c r="H3013" s="26" t="n">
        <v>44705</v>
      </c>
      <c r="I3013" s="26" t="n">
        <v>44709</v>
      </c>
      <c r="J3013" s="12" t="n">
        <v>23.78</v>
      </c>
      <c r="K3013" s="17" t="n">
        <v>1228399.15</v>
      </c>
      <c r="L3013" s="12" t="n">
        <v>0.44</v>
      </c>
      <c r="M3013" s="12" t="n">
        <v>0</v>
      </c>
      <c r="N3013" s="27">
        <f>F3013-J3013</f>
        <v/>
      </c>
      <c r="O3013" s="16">
        <f>I3013-H3013</f>
        <v/>
      </c>
      <c r="P3013" s="14">
        <f>F3013*G3013</f>
        <v/>
      </c>
      <c r="Q3013" s="14">
        <f>J3013*G3013</f>
        <v/>
      </c>
      <c r="R3013" s="14">
        <f>K3013-Q3013</f>
        <v/>
      </c>
      <c r="S3013" s="3">
        <f>P3013*Assumptions!$B$3/100</f>
        <v/>
      </c>
      <c r="T3013" s="14">
        <f>R3013-S3013</f>
        <v/>
      </c>
      <c r="U3013" s="14">
        <f>L3013*G3013</f>
        <v/>
      </c>
    </row>
    <row r="3014">
      <c r="A3014" s="12" t="inlineStr">
        <is>
          <t>PO-2022-3012</t>
        </is>
      </c>
      <c r="B3014" s="26" t="n">
        <v>44974</v>
      </c>
      <c r="C3014" s="12" t="inlineStr">
        <is>
          <t>VS11</t>
        </is>
      </c>
      <c r="D3014" s="12" t="inlineStr">
        <is>
          <t>SS Pipes</t>
        </is>
      </c>
      <c r="E3014" s="12" t="inlineStr">
        <is>
          <t>Y</t>
        </is>
      </c>
      <c r="F3014" s="12" t="n">
        <v>44.99</v>
      </c>
      <c r="G3014" s="17" t="n">
        <v>71522.25999999999</v>
      </c>
      <c r="H3014" s="26" t="n">
        <v>44977</v>
      </c>
      <c r="I3014" s="26" t="n">
        <v>44978</v>
      </c>
      <c r="J3014" s="12" t="n">
        <v>44.98</v>
      </c>
      <c r="K3014" s="17" t="n">
        <v>3217786.48</v>
      </c>
      <c r="L3014" s="12" t="n">
        <v>0</v>
      </c>
      <c r="M3014" s="12" t="n">
        <v>7</v>
      </c>
      <c r="N3014" s="27">
        <f>F3014-J3014</f>
        <v/>
      </c>
      <c r="O3014" s="16">
        <f>I3014-H3014</f>
        <v/>
      </c>
      <c r="P3014" s="14">
        <f>F3014*G3014</f>
        <v/>
      </c>
      <c r="Q3014" s="14">
        <f>J3014*G3014</f>
        <v/>
      </c>
      <c r="R3014" s="14">
        <f>K3014-Q3014</f>
        <v/>
      </c>
      <c r="S3014" s="3">
        <f>P3014*Assumptions!$B$3/100</f>
        <v/>
      </c>
      <c r="T3014" s="14">
        <f>R3014-S3014</f>
        <v/>
      </c>
      <c r="U3014" s="14">
        <f>L3014*G3014</f>
        <v/>
      </c>
    </row>
    <row r="3015">
      <c r="A3015" s="12" t="inlineStr">
        <is>
          <t>PO-2022-3013</t>
        </is>
      </c>
      <c r="B3015" s="26" t="n">
        <v>44321</v>
      </c>
      <c r="C3015" s="12" t="inlineStr">
        <is>
          <t>VS05</t>
        </is>
      </c>
      <c r="D3015" s="12" t="inlineStr">
        <is>
          <t>MS Rods</t>
        </is>
      </c>
      <c r="E3015" s="12" t="inlineStr">
        <is>
          <t>N</t>
        </is>
      </c>
      <c r="F3015" s="12" t="n">
        <v>48.15</v>
      </c>
      <c r="G3015" s="17" t="n">
        <v>107002.62</v>
      </c>
      <c r="H3015" s="26" t="n">
        <v>44328</v>
      </c>
      <c r="I3015" s="26" t="n">
        <v>44331</v>
      </c>
      <c r="J3015" s="12" t="n">
        <v>47.91</v>
      </c>
      <c r="K3015" s="17" t="n">
        <v>5152176.15</v>
      </c>
      <c r="L3015" s="12" t="n">
        <v>0</v>
      </c>
      <c r="M3015" s="12" t="n">
        <v>21</v>
      </c>
      <c r="N3015" s="27">
        <f>F3015-J3015</f>
        <v/>
      </c>
      <c r="O3015" s="16">
        <f>I3015-H3015</f>
        <v/>
      </c>
      <c r="P3015" s="14">
        <f>F3015*G3015</f>
        <v/>
      </c>
      <c r="Q3015" s="14">
        <f>J3015*G3015</f>
        <v/>
      </c>
      <c r="R3015" s="14">
        <f>K3015-Q3015</f>
        <v/>
      </c>
      <c r="S3015" s="3">
        <f>P3015*Assumptions!$B$3/100</f>
        <v/>
      </c>
      <c r="T3015" s="14">
        <f>R3015-S3015</f>
        <v/>
      </c>
      <c r="U3015" s="14">
        <f>L3015*G3015</f>
        <v/>
      </c>
    </row>
    <row r="3016">
      <c r="A3016" s="12" t="inlineStr">
        <is>
          <t>PO-2022-3014</t>
        </is>
      </c>
      <c r="B3016" s="26" t="n">
        <v>44870</v>
      </c>
      <c r="C3016" s="12" t="inlineStr">
        <is>
          <t>VS13</t>
        </is>
      </c>
      <c r="D3016" s="12" t="inlineStr">
        <is>
          <t>GI Pipes</t>
        </is>
      </c>
      <c r="E3016" s="12" t="inlineStr">
        <is>
          <t>N</t>
        </is>
      </c>
      <c r="F3016" s="12" t="n">
        <v>19.94</v>
      </c>
      <c r="G3016" s="17" t="n">
        <v>119574.75</v>
      </c>
      <c r="H3016" s="26" t="n">
        <v>44876</v>
      </c>
      <c r="I3016" s="26" t="n">
        <v>44878</v>
      </c>
      <c r="J3016" s="12" t="n">
        <v>19.79</v>
      </c>
      <c r="K3016" s="17" t="n">
        <v>2384320.52</v>
      </c>
      <c r="L3016" s="12" t="n">
        <v>0</v>
      </c>
      <c r="M3016" s="12" t="n">
        <v>16</v>
      </c>
      <c r="N3016" s="27">
        <f>F3016-J3016</f>
        <v/>
      </c>
      <c r="O3016" s="16">
        <f>I3016-H3016</f>
        <v/>
      </c>
      <c r="P3016" s="14">
        <f>F3016*G3016</f>
        <v/>
      </c>
      <c r="Q3016" s="14">
        <f>J3016*G3016</f>
        <v/>
      </c>
      <c r="R3016" s="14">
        <f>K3016-Q3016</f>
        <v/>
      </c>
      <c r="S3016" s="3">
        <f>P3016*Assumptions!$B$3/100</f>
        <v/>
      </c>
      <c r="T3016" s="14">
        <f>R3016-S3016</f>
        <v/>
      </c>
      <c r="U3016" s="14">
        <f>L3016*G3016</f>
        <v/>
      </c>
    </row>
    <row r="3017">
      <c r="A3017" s="12" t="inlineStr">
        <is>
          <t>PO-2022-3015</t>
        </is>
      </c>
      <c r="B3017" s="26" t="n">
        <v>44862</v>
      </c>
      <c r="C3017" s="12" t="inlineStr">
        <is>
          <t>VS33</t>
        </is>
      </c>
      <c r="D3017" s="12" t="inlineStr">
        <is>
          <t>Square/Rect Tubes</t>
        </is>
      </c>
      <c r="E3017" s="12" t="inlineStr">
        <is>
          <t>N</t>
        </is>
      </c>
      <c r="F3017" s="12" t="n">
        <v>14.07</v>
      </c>
      <c r="G3017" s="17" t="n">
        <v>112034.57</v>
      </c>
      <c r="H3017" s="26" t="n">
        <v>44870</v>
      </c>
      <c r="I3017" s="26" t="n">
        <v>44870</v>
      </c>
      <c r="J3017" s="12" t="n">
        <v>14</v>
      </c>
      <c r="K3017" s="17" t="n">
        <v>1576326.4</v>
      </c>
      <c r="L3017" s="12" t="n">
        <v>0</v>
      </c>
      <c r="M3017" s="12" t="n">
        <v>0</v>
      </c>
      <c r="N3017" s="27">
        <f>F3017-J3017</f>
        <v/>
      </c>
      <c r="O3017" s="16">
        <f>I3017-H3017</f>
        <v/>
      </c>
      <c r="P3017" s="14">
        <f>F3017*G3017</f>
        <v/>
      </c>
      <c r="Q3017" s="14">
        <f>J3017*G3017</f>
        <v/>
      </c>
      <c r="R3017" s="14">
        <f>K3017-Q3017</f>
        <v/>
      </c>
      <c r="S3017" s="3">
        <f>P3017*Assumptions!$B$3/100</f>
        <v/>
      </c>
      <c r="T3017" s="14">
        <f>R3017-S3017</f>
        <v/>
      </c>
      <c r="U3017" s="14">
        <f>L3017*G3017</f>
        <v/>
      </c>
    </row>
    <row r="3018">
      <c r="A3018" s="12" t="inlineStr">
        <is>
          <t>PO-2022-3016</t>
        </is>
      </c>
      <c r="B3018" s="26" t="n">
        <v>44667</v>
      </c>
      <c r="C3018" s="12" t="inlineStr">
        <is>
          <t>VS20</t>
        </is>
      </c>
      <c r="D3018" s="12" t="inlineStr">
        <is>
          <t>MS Pipes</t>
        </is>
      </c>
      <c r="E3018" s="12" t="inlineStr">
        <is>
          <t>N</t>
        </is>
      </c>
      <c r="F3018" s="12" t="n">
        <v>2.75</v>
      </c>
      <c r="G3018" s="17" t="n">
        <v>114062.44</v>
      </c>
      <c r="H3018" s="26" t="n">
        <v>44681</v>
      </c>
      <c r="I3018" s="26" t="n">
        <v>44684</v>
      </c>
      <c r="J3018" s="12" t="n">
        <v>2.74</v>
      </c>
      <c r="K3018" s="17" t="n">
        <v>313671.71</v>
      </c>
      <c r="L3018" s="12" t="n">
        <v>0</v>
      </c>
      <c r="M3018" s="12" t="n">
        <v>20</v>
      </c>
      <c r="N3018" s="27">
        <f>F3018-J3018</f>
        <v/>
      </c>
      <c r="O3018" s="16">
        <f>I3018-H3018</f>
        <v/>
      </c>
      <c r="P3018" s="14">
        <f>F3018*G3018</f>
        <v/>
      </c>
      <c r="Q3018" s="14">
        <f>J3018*G3018</f>
        <v/>
      </c>
      <c r="R3018" s="14">
        <f>K3018-Q3018</f>
        <v/>
      </c>
      <c r="S3018" s="3">
        <f>P3018*Assumptions!$B$3/100</f>
        <v/>
      </c>
      <c r="T3018" s="14">
        <f>R3018-S3018</f>
        <v/>
      </c>
      <c r="U3018" s="14">
        <f>L3018*G3018</f>
        <v/>
      </c>
    </row>
    <row r="3019">
      <c r="A3019" s="12" t="inlineStr">
        <is>
          <t>PO-2022-3017</t>
        </is>
      </c>
      <c r="B3019" s="26" t="n">
        <v>44409</v>
      </c>
      <c r="C3019" s="12" t="inlineStr">
        <is>
          <t>VS33</t>
        </is>
      </c>
      <c r="D3019" s="12" t="inlineStr">
        <is>
          <t>SS Pipes</t>
        </is>
      </c>
      <c r="E3019" s="12" t="inlineStr">
        <is>
          <t>N</t>
        </is>
      </c>
      <c r="F3019" s="12" t="n">
        <v>36.04</v>
      </c>
      <c r="G3019" s="17" t="n">
        <v>74725.42999999999</v>
      </c>
      <c r="H3019" s="26" t="n">
        <v>44419</v>
      </c>
      <c r="I3019" s="26" t="n">
        <v>44419</v>
      </c>
      <c r="J3019" s="12" t="n">
        <v>35.72</v>
      </c>
      <c r="K3019" s="17" t="n">
        <v>2693104.5</v>
      </c>
      <c r="L3019" s="12" t="n">
        <v>0</v>
      </c>
      <c r="M3019" s="12" t="n">
        <v>0</v>
      </c>
      <c r="N3019" s="27">
        <f>F3019-J3019</f>
        <v/>
      </c>
      <c r="O3019" s="16">
        <f>I3019-H3019</f>
        <v/>
      </c>
      <c r="P3019" s="14">
        <f>F3019*G3019</f>
        <v/>
      </c>
      <c r="Q3019" s="14">
        <f>J3019*G3019</f>
        <v/>
      </c>
      <c r="R3019" s="14">
        <f>K3019-Q3019</f>
        <v/>
      </c>
      <c r="S3019" s="3">
        <f>P3019*Assumptions!$B$3/100</f>
        <v/>
      </c>
      <c r="T3019" s="14">
        <f>R3019-S3019</f>
        <v/>
      </c>
      <c r="U3019" s="14">
        <f>L3019*G3019</f>
        <v/>
      </c>
    </row>
    <row r="3020">
      <c r="A3020" s="12" t="inlineStr">
        <is>
          <t>PO-2022-3018</t>
        </is>
      </c>
      <c r="B3020" s="26" t="n">
        <v>45231</v>
      </c>
      <c r="C3020" s="12" t="inlineStr">
        <is>
          <t>VS19</t>
        </is>
      </c>
      <c r="D3020" s="12" t="inlineStr">
        <is>
          <t>Hex Bars</t>
        </is>
      </c>
      <c r="E3020" s="12" t="inlineStr">
        <is>
          <t>N</t>
        </is>
      </c>
      <c r="F3020" s="12" t="n">
        <v>45.35</v>
      </c>
      <c r="G3020" s="17" t="n">
        <v>112519.69</v>
      </c>
      <c r="H3020" s="26" t="n">
        <v>45239</v>
      </c>
      <c r="I3020" s="26" t="n">
        <v>45244</v>
      </c>
      <c r="J3020" s="12" t="n">
        <v>43.7</v>
      </c>
      <c r="K3020" s="17" t="n">
        <v>5102767.94</v>
      </c>
      <c r="L3020" s="12" t="n">
        <v>0.1</v>
      </c>
      <c r="M3020" s="12" t="n">
        <v>4</v>
      </c>
      <c r="N3020" s="27">
        <f>F3020-J3020</f>
        <v/>
      </c>
      <c r="O3020" s="16">
        <f>I3020-H3020</f>
        <v/>
      </c>
      <c r="P3020" s="14">
        <f>F3020*G3020</f>
        <v/>
      </c>
      <c r="Q3020" s="14">
        <f>J3020*G3020</f>
        <v/>
      </c>
      <c r="R3020" s="14">
        <f>K3020-Q3020</f>
        <v/>
      </c>
      <c r="S3020" s="3">
        <f>P3020*Assumptions!$B$3/100</f>
        <v/>
      </c>
      <c r="T3020" s="14">
        <f>R3020-S3020</f>
        <v/>
      </c>
      <c r="U3020" s="14">
        <f>L3020*G3020</f>
        <v/>
      </c>
    </row>
    <row r="3021">
      <c r="A3021" s="12" t="inlineStr">
        <is>
          <t>PO-2022-3019</t>
        </is>
      </c>
      <c r="B3021" s="26" t="n">
        <v>44549</v>
      </c>
      <c r="C3021" s="12" t="inlineStr">
        <is>
          <t>VS18</t>
        </is>
      </c>
      <c r="D3021" s="12" t="inlineStr">
        <is>
          <t>CR Sheets</t>
        </is>
      </c>
      <c r="E3021" s="12" t="inlineStr">
        <is>
          <t>N</t>
        </is>
      </c>
      <c r="F3021" s="12" t="n">
        <v>13.47</v>
      </c>
      <c r="G3021" s="17" t="n">
        <v>95251.95</v>
      </c>
      <c r="H3021" s="26" t="n">
        <v>44557</v>
      </c>
      <c r="I3021" s="26" t="n">
        <v>44558</v>
      </c>
      <c r="J3021" s="12" t="n">
        <v>13.39</v>
      </c>
      <c r="K3021" s="17" t="n">
        <v>1283043.77</v>
      </c>
      <c r="L3021" s="12" t="n">
        <v>0</v>
      </c>
      <c r="M3021" s="12" t="n">
        <v>23</v>
      </c>
      <c r="N3021" s="27">
        <f>F3021-J3021</f>
        <v/>
      </c>
      <c r="O3021" s="16">
        <f>I3021-H3021</f>
        <v/>
      </c>
      <c r="P3021" s="14">
        <f>F3021*G3021</f>
        <v/>
      </c>
      <c r="Q3021" s="14">
        <f>J3021*G3021</f>
        <v/>
      </c>
      <c r="R3021" s="14">
        <f>K3021-Q3021</f>
        <v/>
      </c>
      <c r="S3021" s="3">
        <f>P3021*Assumptions!$B$3/100</f>
        <v/>
      </c>
      <c r="T3021" s="14">
        <f>R3021-S3021</f>
        <v/>
      </c>
      <c r="U3021" s="14">
        <f>L3021*G3021</f>
        <v/>
      </c>
    </row>
    <row r="3022">
      <c r="A3022" s="12" t="inlineStr">
        <is>
          <t>PO-2022-3020</t>
        </is>
      </c>
      <c r="B3022" s="26" t="n">
        <v>44732</v>
      </c>
      <c r="C3022" s="12" t="inlineStr">
        <is>
          <t>VS17</t>
        </is>
      </c>
      <c r="D3022" s="12" t="inlineStr">
        <is>
          <t>GI Wire</t>
        </is>
      </c>
      <c r="E3022" s="12" t="inlineStr">
        <is>
          <t>N</t>
        </is>
      </c>
      <c r="F3022" s="12" t="n">
        <v>3.62</v>
      </c>
      <c r="G3022" s="17" t="n">
        <v>84880.27</v>
      </c>
      <c r="H3022" s="26" t="n">
        <v>44743</v>
      </c>
      <c r="I3022" s="26" t="n">
        <v>44745</v>
      </c>
      <c r="J3022" s="12" t="n">
        <v>3.62</v>
      </c>
      <c r="K3022" s="17" t="n">
        <v>307266.58</v>
      </c>
      <c r="L3022" s="12" t="n">
        <v>0</v>
      </c>
      <c r="M3022" s="12" t="n">
        <v>21</v>
      </c>
      <c r="N3022" s="27">
        <f>F3022-J3022</f>
        <v/>
      </c>
      <c r="O3022" s="16">
        <f>I3022-H3022</f>
        <v/>
      </c>
      <c r="P3022" s="14">
        <f>F3022*G3022</f>
        <v/>
      </c>
      <c r="Q3022" s="14">
        <f>J3022*G3022</f>
        <v/>
      </c>
      <c r="R3022" s="14">
        <f>K3022-Q3022</f>
        <v/>
      </c>
      <c r="S3022" s="3">
        <f>P3022*Assumptions!$B$3/100</f>
        <v/>
      </c>
      <c r="T3022" s="14">
        <f>R3022-S3022</f>
        <v/>
      </c>
      <c r="U3022" s="14">
        <f>L3022*G3022</f>
        <v/>
      </c>
    </row>
    <row r="3023">
      <c r="A3023" s="12" t="inlineStr">
        <is>
          <t>PO-2022-3021</t>
        </is>
      </c>
      <c r="B3023" s="26" t="n">
        <v>44937</v>
      </c>
      <c r="C3023" s="12" t="inlineStr">
        <is>
          <t>VS05</t>
        </is>
      </c>
      <c r="D3023" s="12" t="inlineStr">
        <is>
          <t>Structural Steel</t>
        </is>
      </c>
      <c r="E3023" s="12" t="inlineStr">
        <is>
          <t>N</t>
        </is>
      </c>
      <c r="F3023" s="12" t="n">
        <v>30.54</v>
      </c>
      <c r="G3023" s="17" t="n">
        <v>61308.2</v>
      </c>
      <c r="H3023" s="26" t="n">
        <v>44951</v>
      </c>
      <c r="I3023" s="26" t="n">
        <v>44952</v>
      </c>
      <c r="J3023" s="12" t="n">
        <v>30.51</v>
      </c>
      <c r="K3023" s="17" t="n">
        <v>1872352.43</v>
      </c>
      <c r="L3023" s="12" t="n">
        <v>0</v>
      </c>
      <c r="M3023" s="12" t="n">
        <v>0</v>
      </c>
      <c r="N3023" s="27">
        <f>F3023-J3023</f>
        <v/>
      </c>
      <c r="O3023" s="16">
        <f>I3023-H3023</f>
        <v/>
      </c>
      <c r="P3023" s="14">
        <f>F3023*G3023</f>
        <v/>
      </c>
      <c r="Q3023" s="14">
        <f>J3023*G3023</f>
        <v/>
      </c>
      <c r="R3023" s="14">
        <f>K3023-Q3023</f>
        <v/>
      </c>
      <c r="S3023" s="3">
        <f>P3023*Assumptions!$B$3/100</f>
        <v/>
      </c>
      <c r="T3023" s="14">
        <f>R3023-S3023</f>
        <v/>
      </c>
      <c r="U3023" s="14">
        <f>L3023*G3023</f>
        <v/>
      </c>
    </row>
    <row r="3024">
      <c r="A3024" s="12" t="inlineStr">
        <is>
          <t>PO-2022-3022</t>
        </is>
      </c>
      <c r="B3024" s="26" t="n">
        <v>44416</v>
      </c>
      <c r="C3024" s="12" t="inlineStr">
        <is>
          <t>VS01</t>
        </is>
      </c>
      <c r="D3024" s="12" t="inlineStr">
        <is>
          <t>MS Flats</t>
        </is>
      </c>
      <c r="E3024" s="12" t="inlineStr">
        <is>
          <t>N</t>
        </is>
      </c>
      <c r="F3024" s="12" t="n">
        <v>12.81</v>
      </c>
      <c r="G3024" s="17" t="n">
        <v>89681.73</v>
      </c>
      <c r="H3024" s="26" t="n">
        <v>44421</v>
      </c>
      <c r="I3024" s="26" t="n">
        <v>44421</v>
      </c>
      <c r="J3024" s="12" t="n">
        <v>12.69</v>
      </c>
      <c r="K3024" s="17" t="n">
        <v>1148822.96</v>
      </c>
      <c r="L3024" s="12" t="n">
        <v>0</v>
      </c>
      <c r="M3024" s="12" t="n">
        <v>2</v>
      </c>
      <c r="N3024" s="27">
        <f>F3024-J3024</f>
        <v/>
      </c>
      <c r="O3024" s="16">
        <f>I3024-H3024</f>
        <v/>
      </c>
      <c r="P3024" s="14">
        <f>F3024*G3024</f>
        <v/>
      </c>
      <c r="Q3024" s="14">
        <f>J3024*G3024</f>
        <v/>
      </c>
      <c r="R3024" s="14">
        <f>K3024-Q3024</f>
        <v/>
      </c>
      <c r="S3024" s="3">
        <f>P3024*Assumptions!$B$3/100</f>
        <v/>
      </c>
      <c r="T3024" s="14">
        <f>R3024-S3024</f>
        <v/>
      </c>
      <c r="U3024" s="14">
        <f>L3024*G3024</f>
        <v/>
      </c>
    </row>
    <row r="3025">
      <c r="A3025" s="12" t="inlineStr">
        <is>
          <t>PO-2022-3023</t>
        </is>
      </c>
      <c r="B3025" s="26" t="n">
        <v>45131</v>
      </c>
      <c r="C3025" s="12" t="inlineStr">
        <is>
          <t>VS33</t>
        </is>
      </c>
      <c r="D3025" s="12" t="inlineStr">
        <is>
          <t>Hex Bars</t>
        </is>
      </c>
      <c r="E3025" s="12" t="inlineStr">
        <is>
          <t>N</t>
        </is>
      </c>
      <c r="F3025" s="12" t="n">
        <v>33.39</v>
      </c>
      <c r="G3025" s="17" t="n">
        <v>110560.01</v>
      </c>
      <c r="H3025" s="26" t="n">
        <v>45145</v>
      </c>
      <c r="I3025" s="26" t="n">
        <v>45147</v>
      </c>
      <c r="J3025" s="12" t="n">
        <v>33.28</v>
      </c>
      <c r="K3025" s="17" t="n">
        <v>3691598.73</v>
      </c>
      <c r="L3025" s="12" t="n">
        <v>0</v>
      </c>
      <c r="M3025" s="12" t="n">
        <v>18</v>
      </c>
      <c r="N3025" s="27">
        <f>F3025-J3025</f>
        <v/>
      </c>
      <c r="O3025" s="16">
        <f>I3025-H3025</f>
        <v/>
      </c>
      <c r="P3025" s="14">
        <f>F3025*G3025</f>
        <v/>
      </c>
      <c r="Q3025" s="14">
        <f>J3025*G3025</f>
        <v/>
      </c>
      <c r="R3025" s="14">
        <f>K3025-Q3025</f>
        <v/>
      </c>
      <c r="S3025" s="3">
        <f>P3025*Assumptions!$B$3/100</f>
        <v/>
      </c>
      <c r="T3025" s="14">
        <f>R3025-S3025</f>
        <v/>
      </c>
      <c r="U3025" s="14">
        <f>L3025*G3025</f>
        <v/>
      </c>
    </row>
    <row r="3026">
      <c r="A3026" s="12" t="inlineStr">
        <is>
          <t>PO-2022-3024</t>
        </is>
      </c>
      <c r="B3026" s="26" t="n">
        <v>44987</v>
      </c>
      <c r="C3026" s="12" t="inlineStr">
        <is>
          <t>VS28</t>
        </is>
      </c>
      <c r="D3026" s="12" t="inlineStr">
        <is>
          <t>Hex Bars</t>
        </is>
      </c>
      <c r="E3026" s="12" t="inlineStr">
        <is>
          <t>N</t>
        </is>
      </c>
      <c r="F3026" s="12" t="n">
        <v>26.21</v>
      </c>
      <c r="G3026" s="17" t="n">
        <v>56625.27</v>
      </c>
      <c r="H3026" s="26" t="n">
        <v>45002</v>
      </c>
      <c r="I3026" s="26" t="n">
        <v>45005</v>
      </c>
      <c r="J3026" s="12" t="n">
        <v>26.18</v>
      </c>
      <c r="K3026" s="17" t="n">
        <v>1484148.33</v>
      </c>
      <c r="L3026" s="12" t="n">
        <v>0</v>
      </c>
      <c r="M3026" s="12" t="n">
        <v>23</v>
      </c>
      <c r="N3026" s="27">
        <f>F3026-J3026</f>
        <v/>
      </c>
      <c r="O3026" s="16">
        <f>I3026-H3026</f>
        <v/>
      </c>
      <c r="P3026" s="14">
        <f>F3026*G3026</f>
        <v/>
      </c>
      <c r="Q3026" s="14">
        <f>J3026*G3026</f>
        <v/>
      </c>
      <c r="R3026" s="14">
        <f>K3026-Q3026</f>
        <v/>
      </c>
      <c r="S3026" s="3">
        <f>P3026*Assumptions!$B$3/100</f>
        <v/>
      </c>
      <c r="T3026" s="14">
        <f>R3026-S3026</f>
        <v/>
      </c>
      <c r="U3026" s="14">
        <f>L3026*G3026</f>
        <v/>
      </c>
    </row>
    <row r="3027">
      <c r="A3027" s="12" t="inlineStr">
        <is>
          <t>PO-2022-3025</t>
        </is>
      </c>
      <c r="B3027" s="26" t="n">
        <v>44321</v>
      </c>
      <c r="C3027" s="12" t="inlineStr">
        <is>
          <t>VS20</t>
        </is>
      </c>
      <c r="D3027" s="12" t="inlineStr">
        <is>
          <t>MS Flats</t>
        </is>
      </c>
      <c r="E3027" s="12" t="inlineStr">
        <is>
          <t>N</t>
        </is>
      </c>
      <c r="F3027" s="12" t="n">
        <v>24.58</v>
      </c>
      <c r="G3027" s="17" t="n">
        <v>97730.82000000001</v>
      </c>
      <c r="H3027" s="26" t="n">
        <v>44331</v>
      </c>
      <c r="I3027" s="26" t="n">
        <v>44334</v>
      </c>
      <c r="J3027" s="12" t="n">
        <v>24.39</v>
      </c>
      <c r="K3027" s="17" t="n">
        <v>2402223.56</v>
      </c>
      <c r="L3027" s="12" t="n">
        <v>0</v>
      </c>
      <c r="M3027" s="12" t="n">
        <v>0</v>
      </c>
      <c r="N3027" s="27">
        <f>F3027-J3027</f>
        <v/>
      </c>
      <c r="O3027" s="16">
        <f>I3027-H3027</f>
        <v/>
      </c>
      <c r="P3027" s="14">
        <f>F3027*G3027</f>
        <v/>
      </c>
      <c r="Q3027" s="14">
        <f>J3027*G3027</f>
        <v/>
      </c>
      <c r="R3027" s="14">
        <f>K3027-Q3027</f>
        <v/>
      </c>
      <c r="S3027" s="3">
        <f>P3027*Assumptions!$B$3/100</f>
        <v/>
      </c>
      <c r="T3027" s="14">
        <f>R3027-S3027</f>
        <v/>
      </c>
      <c r="U3027" s="14">
        <f>L3027*G3027</f>
        <v/>
      </c>
    </row>
    <row r="3028">
      <c r="A3028" s="12" t="inlineStr">
        <is>
          <t>PO-2022-3026</t>
        </is>
      </c>
      <c r="B3028" s="26" t="n">
        <v>44411</v>
      </c>
      <c r="C3028" s="12" t="inlineStr">
        <is>
          <t>VS18</t>
        </is>
      </c>
      <c r="D3028" s="12" t="inlineStr">
        <is>
          <t>Fasteners &amp; Fittings</t>
        </is>
      </c>
      <c r="E3028" s="12" t="inlineStr">
        <is>
          <t>N</t>
        </is>
      </c>
      <c r="F3028" s="12" t="n">
        <v>34.37</v>
      </c>
      <c r="G3028" s="17" t="n">
        <v>64034.48</v>
      </c>
      <c r="H3028" s="26" t="n">
        <v>44417</v>
      </c>
      <c r="I3028" s="26" t="n">
        <v>44420</v>
      </c>
      <c r="J3028" s="12" t="n">
        <v>34.04</v>
      </c>
      <c r="K3028" s="17" t="n">
        <v>2200865.08</v>
      </c>
      <c r="L3028" s="12" t="n">
        <v>0</v>
      </c>
      <c r="M3028" s="12" t="n">
        <v>1</v>
      </c>
      <c r="N3028" s="27">
        <f>F3028-J3028</f>
        <v/>
      </c>
      <c r="O3028" s="16">
        <f>I3028-H3028</f>
        <v/>
      </c>
      <c r="P3028" s="14">
        <f>F3028*G3028</f>
        <v/>
      </c>
      <c r="Q3028" s="14">
        <f>J3028*G3028</f>
        <v/>
      </c>
      <c r="R3028" s="14">
        <f>K3028-Q3028</f>
        <v/>
      </c>
      <c r="S3028" s="3">
        <f>P3028*Assumptions!$B$3/100</f>
        <v/>
      </c>
      <c r="T3028" s="14">
        <f>R3028-S3028</f>
        <v/>
      </c>
      <c r="U3028" s="14">
        <f>L3028*G3028</f>
        <v/>
      </c>
    </row>
    <row r="3029">
      <c r="A3029" s="12" t="inlineStr">
        <is>
          <t>PO-2022-3027</t>
        </is>
      </c>
      <c r="B3029" s="26" t="n">
        <v>44271</v>
      </c>
      <c r="C3029" s="12" t="inlineStr">
        <is>
          <t>VS06</t>
        </is>
      </c>
      <c r="D3029" s="12" t="inlineStr">
        <is>
          <t>Spring Steel</t>
        </is>
      </c>
      <c r="E3029" s="12" t="inlineStr">
        <is>
          <t>N</t>
        </is>
      </c>
      <c r="F3029" s="12" t="n">
        <v>37.64</v>
      </c>
      <c r="G3029" s="17" t="n">
        <v>73600.39</v>
      </c>
      <c r="H3029" s="26" t="n">
        <v>44278</v>
      </c>
      <c r="I3029" s="26" t="n">
        <v>44278</v>
      </c>
      <c r="J3029" s="12" t="n">
        <v>37.42</v>
      </c>
      <c r="K3029" s="17" t="n">
        <v>2770318.68</v>
      </c>
      <c r="L3029" s="12" t="n">
        <v>0</v>
      </c>
      <c r="M3029" s="12" t="n">
        <v>3</v>
      </c>
      <c r="N3029" s="27">
        <f>F3029-J3029</f>
        <v/>
      </c>
      <c r="O3029" s="16">
        <f>I3029-H3029</f>
        <v/>
      </c>
      <c r="P3029" s="14">
        <f>F3029*G3029</f>
        <v/>
      </c>
      <c r="Q3029" s="14">
        <f>J3029*G3029</f>
        <v/>
      </c>
      <c r="R3029" s="14">
        <f>K3029-Q3029</f>
        <v/>
      </c>
      <c r="S3029" s="3">
        <f>P3029*Assumptions!$B$3/100</f>
        <v/>
      </c>
      <c r="T3029" s="14">
        <f>R3029-S3029</f>
        <v/>
      </c>
      <c r="U3029" s="14">
        <f>L3029*G3029</f>
        <v/>
      </c>
    </row>
    <row r="3030">
      <c r="A3030" s="12" t="inlineStr">
        <is>
          <t>PO-2022-3028</t>
        </is>
      </c>
      <c r="B3030" s="26" t="n">
        <v>44555</v>
      </c>
      <c r="C3030" s="12" t="inlineStr">
        <is>
          <t>VS18</t>
        </is>
      </c>
      <c r="D3030" s="12" t="inlineStr">
        <is>
          <t>Square/Rect Tubes</t>
        </is>
      </c>
      <c r="E3030" s="12" t="inlineStr">
        <is>
          <t>N</t>
        </is>
      </c>
      <c r="F3030" s="12" t="n">
        <v>45.32</v>
      </c>
      <c r="G3030" s="17" t="n">
        <v>107373.12</v>
      </c>
      <c r="H3030" s="26" t="n">
        <v>44568</v>
      </c>
      <c r="I3030" s="26" t="n">
        <v>44570</v>
      </c>
      <c r="J3030" s="12" t="n">
        <v>44.87</v>
      </c>
      <c r="K3030" s="17" t="n">
        <v>4866149.8</v>
      </c>
      <c r="L3030" s="12" t="n">
        <v>0</v>
      </c>
      <c r="M3030" s="12" t="n">
        <v>9</v>
      </c>
      <c r="N3030" s="27">
        <f>F3030-J3030</f>
        <v/>
      </c>
      <c r="O3030" s="16">
        <f>I3030-H3030</f>
        <v/>
      </c>
      <c r="P3030" s="14">
        <f>F3030*G3030</f>
        <v/>
      </c>
      <c r="Q3030" s="14">
        <f>J3030*G3030</f>
        <v/>
      </c>
      <c r="R3030" s="14">
        <f>K3030-Q3030</f>
        <v/>
      </c>
      <c r="S3030" s="3">
        <f>P3030*Assumptions!$B$3/100</f>
        <v/>
      </c>
      <c r="T3030" s="14">
        <f>R3030-S3030</f>
        <v/>
      </c>
      <c r="U3030" s="14">
        <f>L3030*G3030</f>
        <v/>
      </c>
    </row>
    <row r="3031">
      <c r="A3031" s="12" t="inlineStr">
        <is>
          <t>PO-2022-3029</t>
        </is>
      </c>
      <c r="B3031" s="26" t="n">
        <v>44660</v>
      </c>
      <c r="C3031" s="12" t="inlineStr">
        <is>
          <t>VS29</t>
        </is>
      </c>
      <c r="D3031" s="12" t="inlineStr">
        <is>
          <t>MS Sheets</t>
        </is>
      </c>
      <c r="E3031" s="12" t="inlineStr">
        <is>
          <t>N</t>
        </is>
      </c>
      <c r="F3031" s="12" t="n">
        <v>26.55</v>
      </c>
      <c r="G3031" s="17" t="n">
        <v>62870.04</v>
      </c>
      <c r="H3031" s="26" t="n">
        <v>44675</v>
      </c>
      <c r="I3031" s="26" t="n">
        <v>44676</v>
      </c>
      <c r="J3031" s="12" t="n">
        <v>26.5</v>
      </c>
      <c r="K3031" s="17" t="n">
        <v>1669199.56</v>
      </c>
      <c r="L3031" s="12" t="n">
        <v>0</v>
      </c>
      <c r="M3031" s="12" t="n">
        <v>18</v>
      </c>
      <c r="N3031" s="27">
        <f>F3031-J3031</f>
        <v/>
      </c>
      <c r="O3031" s="16">
        <f>I3031-H3031</f>
        <v/>
      </c>
      <c r="P3031" s="14">
        <f>F3031*G3031</f>
        <v/>
      </c>
      <c r="Q3031" s="14">
        <f>J3031*G3031</f>
        <v/>
      </c>
      <c r="R3031" s="14">
        <f>K3031-Q3031</f>
        <v/>
      </c>
      <c r="S3031" s="3">
        <f>P3031*Assumptions!$B$3/100</f>
        <v/>
      </c>
      <c r="T3031" s="14">
        <f>R3031-S3031</f>
        <v/>
      </c>
      <c r="U3031" s="14">
        <f>L3031*G3031</f>
        <v/>
      </c>
    </row>
    <row r="3032">
      <c r="A3032" s="12" t="inlineStr">
        <is>
          <t>PO-2022-3030</t>
        </is>
      </c>
      <c r="B3032" s="26" t="n">
        <v>44408</v>
      </c>
      <c r="C3032" s="12" t="inlineStr">
        <is>
          <t>VS10</t>
        </is>
      </c>
      <c r="D3032" s="12" t="inlineStr">
        <is>
          <t>ERW Pipes</t>
        </is>
      </c>
      <c r="E3032" s="12" t="inlineStr">
        <is>
          <t>N</t>
        </is>
      </c>
      <c r="F3032" s="12" t="n">
        <v>49.28</v>
      </c>
      <c r="G3032" s="17" t="n">
        <v>94464.82000000001</v>
      </c>
      <c r="H3032" s="26" t="n">
        <v>44418</v>
      </c>
      <c r="I3032" s="26" t="n">
        <v>44418</v>
      </c>
      <c r="J3032" s="12" t="n">
        <v>48.98</v>
      </c>
      <c r="K3032" s="17" t="n">
        <v>4655226.33</v>
      </c>
      <c r="L3032" s="12" t="n">
        <v>0</v>
      </c>
      <c r="M3032" s="12" t="n">
        <v>0</v>
      </c>
      <c r="N3032" s="27">
        <f>F3032-J3032</f>
        <v/>
      </c>
      <c r="O3032" s="16">
        <f>I3032-H3032</f>
        <v/>
      </c>
      <c r="P3032" s="14">
        <f>F3032*G3032</f>
        <v/>
      </c>
      <c r="Q3032" s="14">
        <f>J3032*G3032</f>
        <v/>
      </c>
      <c r="R3032" s="14">
        <f>K3032-Q3032</f>
        <v/>
      </c>
      <c r="S3032" s="3">
        <f>P3032*Assumptions!$B$3/100</f>
        <v/>
      </c>
      <c r="T3032" s="14">
        <f>R3032-S3032</f>
        <v/>
      </c>
      <c r="U3032" s="14">
        <f>L3032*G3032</f>
        <v/>
      </c>
    </row>
    <row r="3033">
      <c r="A3033" s="12" t="inlineStr">
        <is>
          <t>PO-2022-3031</t>
        </is>
      </c>
      <c r="B3033" s="26" t="n">
        <v>44258</v>
      </c>
      <c r="C3033" s="12" t="inlineStr">
        <is>
          <t>VS26</t>
        </is>
      </c>
      <c r="D3033" s="12" t="inlineStr">
        <is>
          <t>MS Sheets</t>
        </is>
      </c>
      <c r="E3033" s="12" t="inlineStr">
        <is>
          <t>N</t>
        </is>
      </c>
      <c r="F3033" s="12" t="n">
        <v>47.24</v>
      </c>
      <c r="G3033" s="17" t="n">
        <v>87493.59</v>
      </c>
      <c r="H3033" s="26" t="n">
        <v>44263</v>
      </c>
      <c r="I3033" s="26" t="n">
        <v>44265</v>
      </c>
      <c r="J3033" s="12" t="n">
        <v>47</v>
      </c>
      <c r="K3033" s="17" t="n">
        <v>4133197.19</v>
      </c>
      <c r="L3033" s="12" t="n">
        <v>0</v>
      </c>
      <c r="M3033" s="12" t="n">
        <v>17</v>
      </c>
      <c r="N3033" s="27">
        <f>F3033-J3033</f>
        <v/>
      </c>
      <c r="O3033" s="16">
        <f>I3033-H3033</f>
        <v/>
      </c>
      <c r="P3033" s="14">
        <f>F3033*G3033</f>
        <v/>
      </c>
      <c r="Q3033" s="14">
        <f>J3033*G3033</f>
        <v/>
      </c>
      <c r="R3033" s="14">
        <f>K3033-Q3033</f>
        <v/>
      </c>
      <c r="S3033" s="3">
        <f>P3033*Assumptions!$B$3/100</f>
        <v/>
      </c>
      <c r="T3033" s="14">
        <f>R3033-S3033</f>
        <v/>
      </c>
      <c r="U3033" s="14">
        <f>L3033*G3033</f>
        <v/>
      </c>
    </row>
    <row r="3034">
      <c r="A3034" s="12" t="inlineStr">
        <is>
          <t>PO-2022-3032</t>
        </is>
      </c>
      <c r="B3034" s="26" t="n">
        <v>45255</v>
      </c>
      <c r="C3034" s="12" t="inlineStr">
        <is>
          <t>VS33</t>
        </is>
      </c>
      <c r="D3034" s="12" t="inlineStr">
        <is>
          <t>GI Pipes</t>
        </is>
      </c>
      <c r="E3034" s="12" t="inlineStr">
        <is>
          <t>N</t>
        </is>
      </c>
      <c r="F3034" s="12" t="n">
        <v>35.87</v>
      </c>
      <c r="G3034" s="17" t="n">
        <v>86778.44</v>
      </c>
      <c r="H3034" s="26" t="n">
        <v>45261</v>
      </c>
      <c r="I3034" s="26" t="n">
        <v>45264</v>
      </c>
      <c r="J3034" s="12" t="n">
        <v>35.64</v>
      </c>
      <c r="K3034" s="17" t="n">
        <v>3112742.64</v>
      </c>
      <c r="L3034" s="12" t="n">
        <v>0</v>
      </c>
      <c r="M3034" s="12" t="n">
        <v>0</v>
      </c>
      <c r="N3034" s="27">
        <f>F3034-J3034</f>
        <v/>
      </c>
      <c r="O3034" s="16">
        <f>I3034-H3034</f>
        <v/>
      </c>
      <c r="P3034" s="14">
        <f>F3034*G3034</f>
        <v/>
      </c>
      <c r="Q3034" s="14">
        <f>J3034*G3034</f>
        <v/>
      </c>
      <c r="R3034" s="14">
        <f>K3034-Q3034</f>
        <v/>
      </c>
      <c r="S3034" s="3">
        <f>P3034*Assumptions!$B$3/100</f>
        <v/>
      </c>
      <c r="T3034" s="14">
        <f>R3034-S3034</f>
        <v/>
      </c>
      <c r="U3034" s="14">
        <f>L3034*G3034</f>
        <v/>
      </c>
    </row>
    <row r="3035">
      <c r="A3035" s="12" t="inlineStr">
        <is>
          <t>PO-2022-3033</t>
        </is>
      </c>
      <c r="B3035" s="26" t="n">
        <v>44540</v>
      </c>
      <c r="C3035" s="12" t="inlineStr">
        <is>
          <t>VS10</t>
        </is>
      </c>
      <c r="D3035" s="12" t="inlineStr">
        <is>
          <t>ERW Pipes</t>
        </is>
      </c>
      <c r="E3035" s="12" t="inlineStr">
        <is>
          <t>N</t>
        </is>
      </c>
      <c r="F3035" s="12" t="n">
        <v>3.19</v>
      </c>
      <c r="G3035" s="17" t="n">
        <v>53772.97</v>
      </c>
      <c r="H3035" s="26" t="n">
        <v>44545</v>
      </c>
      <c r="I3035" s="26" t="n">
        <v>44546</v>
      </c>
      <c r="J3035" s="12" t="n">
        <v>3.18</v>
      </c>
      <c r="K3035" s="17" t="n">
        <v>171535.77</v>
      </c>
      <c r="L3035" s="12" t="n">
        <v>0</v>
      </c>
      <c r="M3035" s="12" t="n">
        <v>15</v>
      </c>
      <c r="N3035" s="27">
        <f>F3035-J3035</f>
        <v/>
      </c>
      <c r="O3035" s="16">
        <f>I3035-H3035</f>
        <v/>
      </c>
      <c r="P3035" s="14">
        <f>F3035*G3035</f>
        <v/>
      </c>
      <c r="Q3035" s="14">
        <f>J3035*G3035</f>
        <v/>
      </c>
      <c r="R3035" s="14">
        <f>K3035-Q3035</f>
        <v/>
      </c>
      <c r="S3035" s="3">
        <f>P3035*Assumptions!$B$3/100</f>
        <v/>
      </c>
      <c r="T3035" s="14">
        <f>R3035-S3035</f>
        <v/>
      </c>
      <c r="U3035" s="14">
        <f>L3035*G3035</f>
        <v/>
      </c>
    </row>
    <row r="3036">
      <c r="A3036" s="12" t="inlineStr">
        <is>
          <t>PO-2022-3034</t>
        </is>
      </c>
      <c r="B3036" s="26" t="n">
        <v>44668</v>
      </c>
      <c r="C3036" s="12" t="inlineStr">
        <is>
          <t>VS12</t>
        </is>
      </c>
      <c r="D3036" s="12" t="inlineStr">
        <is>
          <t>MS Pipes</t>
        </is>
      </c>
      <c r="E3036" s="12" t="inlineStr">
        <is>
          <t>N</t>
        </is>
      </c>
      <c r="F3036" s="12" t="n">
        <v>1.8</v>
      </c>
      <c r="G3036" s="17" t="n">
        <v>100749.87</v>
      </c>
      <c r="H3036" s="26" t="n">
        <v>44677</v>
      </c>
      <c r="I3036" s="26" t="n">
        <v>44685</v>
      </c>
      <c r="J3036" s="12" t="n">
        <v>1.72</v>
      </c>
      <c r="K3036" s="17" t="n">
        <v>181349.77</v>
      </c>
      <c r="L3036" s="12" t="n">
        <v>0.05</v>
      </c>
      <c r="M3036" s="12" t="n">
        <v>0</v>
      </c>
      <c r="N3036" s="27">
        <f>F3036-J3036</f>
        <v/>
      </c>
      <c r="O3036" s="16">
        <f>I3036-H3036</f>
        <v/>
      </c>
      <c r="P3036" s="14">
        <f>F3036*G3036</f>
        <v/>
      </c>
      <c r="Q3036" s="14">
        <f>J3036*G3036</f>
        <v/>
      </c>
      <c r="R3036" s="14">
        <f>K3036-Q3036</f>
        <v/>
      </c>
      <c r="S3036" s="3">
        <f>P3036*Assumptions!$B$3/100</f>
        <v/>
      </c>
      <c r="T3036" s="14">
        <f>R3036-S3036</f>
        <v/>
      </c>
      <c r="U3036" s="14">
        <f>L3036*G3036</f>
        <v/>
      </c>
    </row>
    <row r="3037">
      <c r="A3037" s="12" t="inlineStr">
        <is>
          <t>PO-2022-3035</t>
        </is>
      </c>
      <c r="B3037" s="26" t="n">
        <v>45141</v>
      </c>
      <c r="C3037" s="12" t="inlineStr">
        <is>
          <t>VS28</t>
        </is>
      </c>
      <c r="D3037" s="12" t="inlineStr">
        <is>
          <t>MS Rods</t>
        </is>
      </c>
      <c r="E3037" s="12" t="inlineStr">
        <is>
          <t>N</t>
        </is>
      </c>
      <c r="F3037" s="12" t="n">
        <v>6.62</v>
      </c>
      <c r="G3037" s="17" t="n">
        <v>113253.06</v>
      </c>
      <c r="H3037" s="26" t="n">
        <v>45152</v>
      </c>
      <c r="I3037" s="26" t="n">
        <v>45155</v>
      </c>
      <c r="J3037" s="12" t="n">
        <v>6.6</v>
      </c>
      <c r="K3037" s="17" t="n">
        <v>749735.26</v>
      </c>
      <c r="L3037" s="12" t="n">
        <v>0</v>
      </c>
      <c r="M3037" s="12" t="n">
        <v>0</v>
      </c>
      <c r="N3037" s="27">
        <f>F3037-J3037</f>
        <v/>
      </c>
      <c r="O3037" s="16">
        <f>I3037-H3037</f>
        <v/>
      </c>
      <c r="P3037" s="14">
        <f>F3037*G3037</f>
        <v/>
      </c>
      <c r="Q3037" s="14">
        <f>J3037*G3037</f>
        <v/>
      </c>
      <c r="R3037" s="14">
        <f>K3037-Q3037</f>
        <v/>
      </c>
      <c r="S3037" s="3">
        <f>P3037*Assumptions!$B$3/100</f>
        <v/>
      </c>
      <c r="T3037" s="14">
        <f>R3037-S3037</f>
        <v/>
      </c>
      <c r="U3037" s="14">
        <f>L3037*G3037</f>
        <v/>
      </c>
    </row>
    <row r="3038">
      <c r="A3038" s="12" t="inlineStr">
        <is>
          <t>PO-2022-3036</t>
        </is>
      </c>
      <c r="B3038" s="26" t="n">
        <v>45181</v>
      </c>
      <c r="C3038" s="12" t="inlineStr">
        <is>
          <t>VS25</t>
        </is>
      </c>
      <c r="D3038" s="12" t="inlineStr">
        <is>
          <t>ERW Pipes</t>
        </is>
      </c>
      <c r="E3038" s="12" t="inlineStr">
        <is>
          <t>N</t>
        </is>
      </c>
      <c r="F3038" s="12" t="n">
        <v>1.55</v>
      </c>
      <c r="G3038" s="17" t="n">
        <v>51270.86</v>
      </c>
      <c r="H3038" s="26" t="n">
        <v>45188</v>
      </c>
      <c r="I3038" s="26" t="n">
        <v>45190</v>
      </c>
      <c r="J3038" s="12" t="n">
        <v>1.55</v>
      </c>
      <c r="K3038" s="17" t="n">
        <v>79469.83</v>
      </c>
      <c r="L3038" s="12" t="n">
        <v>0</v>
      </c>
      <c r="M3038" s="12" t="n">
        <v>19</v>
      </c>
      <c r="N3038" s="27">
        <f>F3038-J3038</f>
        <v/>
      </c>
      <c r="O3038" s="16">
        <f>I3038-H3038</f>
        <v/>
      </c>
      <c r="P3038" s="14">
        <f>F3038*G3038</f>
        <v/>
      </c>
      <c r="Q3038" s="14">
        <f>J3038*G3038</f>
        <v/>
      </c>
      <c r="R3038" s="14">
        <f>K3038-Q3038</f>
        <v/>
      </c>
      <c r="S3038" s="3">
        <f>P3038*Assumptions!$B$3/100</f>
        <v/>
      </c>
      <c r="T3038" s="14">
        <f>R3038-S3038</f>
        <v/>
      </c>
      <c r="U3038" s="14">
        <f>L3038*G3038</f>
        <v/>
      </c>
    </row>
    <row r="3039">
      <c r="A3039" s="12" t="inlineStr">
        <is>
          <t>PO-2022-3037</t>
        </is>
      </c>
      <c r="B3039" s="26" t="n">
        <v>44584</v>
      </c>
      <c r="C3039" s="12" t="inlineStr">
        <is>
          <t>VS24</t>
        </is>
      </c>
      <c r="D3039" s="12" t="inlineStr">
        <is>
          <t>MS Rods</t>
        </is>
      </c>
      <c r="E3039" s="12" t="inlineStr">
        <is>
          <t>N</t>
        </is>
      </c>
      <c r="F3039" s="12" t="n">
        <v>40.05</v>
      </c>
      <c r="G3039" s="17" t="n">
        <v>66657.28999999999</v>
      </c>
      <c r="H3039" s="26" t="n">
        <v>44598</v>
      </c>
      <c r="I3039" s="26" t="n">
        <v>44598</v>
      </c>
      <c r="J3039" s="12" t="n">
        <v>39.82</v>
      </c>
      <c r="K3039" s="17" t="n">
        <v>2669624.46</v>
      </c>
      <c r="L3039" s="12" t="n">
        <v>0</v>
      </c>
      <c r="M3039" s="12" t="n">
        <v>0</v>
      </c>
      <c r="N3039" s="27">
        <f>F3039-J3039</f>
        <v/>
      </c>
      <c r="O3039" s="16">
        <f>I3039-H3039</f>
        <v/>
      </c>
      <c r="P3039" s="14">
        <f>F3039*G3039</f>
        <v/>
      </c>
      <c r="Q3039" s="14">
        <f>J3039*G3039</f>
        <v/>
      </c>
      <c r="R3039" s="14">
        <f>K3039-Q3039</f>
        <v/>
      </c>
      <c r="S3039" s="3">
        <f>P3039*Assumptions!$B$3/100</f>
        <v/>
      </c>
      <c r="T3039" s="14">
        <f>R3039-S3039</f>
        <v/>
      </c>
      <c r="U3039" s="14">
        <f>L3039*G3039</f>
        <v/>
      </c>
    </row>
    <row r="3040">
      <c r="A3040" s="12" t="inlineStr">
        <is>
          <t>PO-2022-3038</t>
        </is>
      </c>
      <c r="B3040" s="26" t="n">
        <v>44678</v>
      </c>
      <c r="C3040" s="12" t="inlineStr">
        <is>
          <t>VS19</t>
        </is>
      </c>
      <c r="D3040" s="12" t="inlineStr">
        <is>
          <t>MS Flats</t>
        </is>
      </c>
      <c r="E3040" s="12" t="inlineStr">
        <is>
          <t>N</t>
        </is>
      </c>
      <c r="F3040" s="12" t="n">
        <v>32.84</v>
      </c>
      <c r="G3040" s="17" t="n">
        <v>96809.96000000001</v>
      </c>
      <c r="H3040" s="26" t="n">
        <v>44682</v>
      </c>
      <c r="I3040" s="26" t="n">
        <v>44686</v>
      </c>
      <c r="J3040" s="12" t="n">
        <v>31.55</v>
      </c>
      <c r="K3040" s="17" t="n">
        <v>3179239.09</v>
      </c>
      <c r="L3040" s="12" t="n">
        <v>0.74</v>
      </c>
      <c r="M3040" s="12" t="n">
        <v>4</v>
      </c>
      <c r="N3040" s="27">
        <f>F3040-J3040</f>
        <v/>
      </c>
      <c r="O3040" s="16">
        <f>I3040-H3040</f>
        <v/>
      </c>
      <c r="P3040" s="14">
        <f>F3040*G3040</f>
        <v/>
      </c>
      <c r="Q3040" s="14">
        <f>J3040*G3040</f>
        <v/>
      </c>
      <c r="R3040" s="14">
        <f>K3040-Q3040</f>
        <v/>
      </c>
      <c r="S3040" s="3">
        <f>P3040*Assumptions!$B$3/100</f>
        <v/>
      </c>
      <c r="T3040" s="14">
        <f>R3040-S3040</f>
        <v/>
      </c>
      <c r="U3040" s="14">
        <f>L3040*G3040</f>
        <v/>
      </c>
    </row>
    <row r="3041">
      <c r="A3041" s="12" t="inlineStr">
        <is>
          <t>PO-2022-3039</t>
        </is>
      </c>
      <c r="B3041" s="26" t="n">
        <v>45242</v>
      </c>
      <c r="C3041" s="12" t="inlineStr">
        <is>
          <t>VS04</t>
        </is>
      </c>
      <c r="D3041" s="12" t="inlineStr">
        <is>
          <t>Structural Steel</t>
        </is>
      </c>
      <c r="E3041" s="12" t="inlineStr">
        <is>
          <t>N</t>
        </is>
      </c>
      <c r="F3041" s="12" t="n">
        <v>14.54</v>
      </c>
      <c r="G3041" s="17" t="n">
        <v>103727.88</v>
      </c>
      <c r="H3041" s="26" t="n">
        <v>45257</v>
      </c>
      <c r="I3041" s="26" t="n">
        <v>45259</v>
      </c>
      <c r="J3041" s="12" t="n">
        <v>14.45</v>
      </c>
      <c r="K3041" s="17" t="n">
        <v>1508203.38</v>
      </c>
      <c r="L3041" s="12" t="n">
        <v>0</v>
      </c>
      <c r="M3041" s="12" t="n">
        <v>0</v>
      </c>
      <c r="N3041" s="27">
        <f>F3041-J3041</f>
        <v/>
      </c>
      <c r="O3041" s="16">
        <f>I3041-H3041</f>
        <v/>
      </c>
      <c r="P3041" s="14">
        <f>F3041*G3041</f>
        <v/>
      </c>
      <c r="Q3041" s="14">
        <f>J3041*G3041</f>
        <v/>
      </c>
      <c r="R3041" s="14">
        <f>K3041-Q3041</f>
        <v/>
      </c>
      <c r="S3041" s="3">
        <f>P3041*Assumptions!$B$3/100</f>
        <v/>
      </c>
      <c r="T3041" s="14">
        <f>R3041-S3041</f>
        <v/>
      </c>
      <c r="U3041" s="14">
        <f>L3041*G3041</f>
        <v/>
      </c>
    </row>
    <row r="3042">
      <c r="A3042" s="12" t="inlineStr">
        <is>
          <t>PO-2022-3040</t>
        </is>
      </c>
      <c r="B3042" s="26" t="n">
        <v>44480</v>
      </c>
      <c r="C3042" s="12" t="inlineStr">
        <is>
          <t>VS13</t>
        </is>
      </c>
      <c r="D3042" s="12" t="inlineStr">
        <is>
          <t>MS Flats</t>
        </is>
      </c>
      <c r="E3042" s="12" t="inlineStr">
        <is>
          <t>N</t>
        </is>
      </c>
      <c r="F3042" s="12" t="n">
        <v>16.16</v>
      </c>
      <c r="G3042" s="17" t="n">
        <v>109976.59</v>
      </c>
      <c r="H3042" s="26" t="n">
        <v>44492</v>
      </c>
      <c r="I3042" s="26" t="n">
        <v>44495</v>
      </c>
      <c r="J3042" s="12" t="n">
        <v>16.01</v>
      </c>
      <c r="K3042" s="17" t="n">
        <v>1777221.69</v>
      </c>
      <c r="L3042" s="12" t="n">
        <v>0</v>
      </c>
      <c r="M3042" s="12" t="n">
        <v>6</v>
      </c>
      <c r="N3042" s="27">
        <f>F3042-J3042</f>
        <v/>
      </c>
      <c r="O3042" s="16">
        <f>I3042-H3042</f>
        <v/>
      </c>
      <c r="P3042" s="14">
        <f>F3042*G3042</f>
        <v/>
      </c>
      <c r="Q3042" s="14">
        <f>J3042*G3042</f>
        <v/>
      </c>
      <c r="R3042" s="14">
        <f>K3042-Q3042</f>
        <v/>
      </c>
      <c r="S3042" s="3">
        <f>P3042*Assumptions!$B$3/100</f>
        <v/>
      </c>
      <c r="T3042" s="14">
        <f>R3042-S3042</f>
        <v/>
      </c>
      <c r="U3042" s="14">
        <f>L3042*G3042</f>
        <v/>
      </c>
    </row>
    <row r="3043">
      <c r="A3043" s="12" t="inlineStr">
        <is>
          <t>PO-2022-3041</t>
        </is>
      </c>
      <c r="B3043" s="26" t="n">
        <v>44844</v>
      </c>
      <c r="C3043" s="12" t="inlineStr">
        <is>
          <t>VS07</t>
        </is>
      </c>
      <c r="D3043" s="12" t="inlineStr">
        <is>
          <t>GI Pipes</t>
        </is>
      </c>
      <c r="E3043" s="12" t="inlineStr">
        <is>
          <t>N</t>
        </is>
      </c>
      <c r="F3043" s="12" t="n">
        <v>1.18</v>
      </c>
      <c r="G3043" s="17" t="n">
        <v>100000.14</v>
      </c>
      <c r="H3043" s="26" t="n">
        <v>44847</v>
      </c>
      <c r="I3043" s="26" t="n">
        <v>44850</v>
      </c>
      <c r="J3043" s="12" t="n">
        <v>1.17</v>
      </c>
      <c r="K3043" s="17" t="n">
        <v>118000.17</v>
      </c>
      <c r="L3043" s="12" t="n">
        <v>0</v>
      </c>
      <c r="M3043" s="12" t="n">
        <v>8</v>
      </c>
      <c r="N3043" s="27">
        <f>F3043-J3043</f>
        <v/>
      </c>
      <c r="O3043" s="16">
        <f>I3043-H3043</f>
        <v/>
      </c>
      <c r="P3043" s="14">
        <f>F3043*G3043</f>
        <v/>
      </c>
      <c r="Q3043" s="14">
        <f>J3043*G3043</f>
        <v/>
      </c>
      <c r="R3043" s="14">
        <f>K3043-Q3043</f>
        <v/>
      </c>
      <c r="S3043" s="3">
        <f>P3043*Assumptions!$B$3/100</f>
        <v/>
      </c>
      <c r="T3043" s="14">
        <f>R3043-S3043</f>
        <v/>
      </c>
      <c r="U3043" s="14">
        <f>L3043*G3043</f>
        <v/>
      </c>
    </row>
    <row r="3044">
      <c r="A3044" s="12" t="inlineStr">
        <is>
          <t>PO-2022-3042</t>
        </is>
      </c>
      <c r="B3044" s="26" t="n">
        <v>45133</v>
      </c>
      <c r="C3044" s="12" t="inlineStr">
        <is>
          <t>VS26</t>
        </is>
      </c>
      <c r="D3044" s="12" t="inlineStr">
        <is>
          <t>MS Sheets</t>
        </is>
      </c>
      <c r="E3044" s="12" t="inlineStr">
        <is>
          <t>N</t>
        </is>
      </c>
      <c r="F3044" s="12" t="n">
        <v>1.17</v>
      </c>
      <c r="G3044" s="17" t="n">
        <v>106302.73</v>
      </c>
      <c r="H3044" s="26" t="n">
        <v>45140</v>
      </c>
      <c r="I3044" s="26" t="n">
        <v>45142</v>
      </c>
      <c r="J3044" s="12" t="n">
        <v>1.17</v>
      </c>
      <c r="K3044" s="17" t="n">
        <v>124374.19</v>
      </c>
      <c r="L3044" s="12" t="n">
        <v>0</v>
      </c>
      <c r="M3044" s="12" t="n">
        <v>0</v>
      </c>
      <c r="N3044" s="27">
        <f>F3044-J3044</f>
        <v/>
      </c>
      <c r="O3044" s="16">
        <f>I3044-H3044</f>
        <v/>
      </c>
      <c r="P3044" s="14">
        <f>F3044*G3044</f>
        <v/>
      </c>
      <c r="Q3044" s="14">
        <f>J3044*G3044</f>
        <v/>
      </c>
      <c r="R3044" s="14">
        <f>K3044-Q3044</f>
        <v/>
      </c>
      <c r="S3044" s="3">
        <f>P3044*Assumptions!$B$3/100</f>
        <v/>
      </c>
      <c r="T3044" s="14">
        <f>R3044-S3044</f>
        <v/>
      </c>
      <c r="U3044" s="14">
        <f>L3044*G3044</f>
        <v/>
      </c>
    </row>
    <row r="3045">
      <c r="A3045" s="12" t="inlineStr">
        <is>
          <t>PO-2022-3043</t>
        </is>
      </c>
      <c r="B3045" s="26" t="n">
        <v>44871</v>
      </c>
      <c r="C3045" s="12" t="inlineStr">
        <is>
          <t>VS25</t>
        </is>
      </c>
      <c r="D3045" s="12" t="inlineStr">
        <is>
          <t>Fasteners &amp; Fittings</t>
        </is>
      </c>
      <c r="E3045" s="12" t="inlineStr">
        <is>
          <t>N</t>
        </is>
      </c>
      <c r="F3045" s="12" t="n">
        <v>41.87</v>
      </c>
      <c r="G3045" s="17" t="n">
        <v>69855.56</v>
      </c>
      <c r="H3045" s="26" t="n">
        <v>44885</v>
      </c>
      <c r="I3045" s="26" t="n">
        <v>44886</v>
      </c>
      <c r="J3045" s="12" t="n">
        <v>41.63</v>
      </c>
      <c r="K3045" s="17" t="n">
        <v>2924852.3</v>
      </c>
      <c r="L3045" s="12" t="n">
        <v>0</v>
      </c>
      <c r="M3045" s="12" t="n">
        <v>6</v>
      </c>
      <c r="N3045" s="27">
        <f>F3045-J3045</f>
        <v/>
      </c>
      <c r="O3045" s="16">
        <f>I3045-H3045</f>
        <v/>
      </c>
      <c r="P3045" s="14">
        <f>F3045*G3045</f>
        <v/>
      </c>
      <c r="Q3045" s="14">
        <f>J3045*G3045</f>
        <v/>
      </c>
      <c r="R3045" s="14">
        <f>K3045-Q3045</f>
        <v/>
      </c>
      <c r="S3045" s="3">
        <f>P3045*Assumptions!$B$3/100</f>
        <v/>
      </c>
      <c r="T3045" s="14">
        <f>R3045-S3045</f>
        <v/>
      </c>
      <c r="U3045" s="14">
        <f>L3045*G3045</f>
        <v/>
      </c>
    </row>
    <row r="3046">
      <c r="A3046" s="12" t="inlineStr">
        <is>
          <t>PO-2022-3044</t>
        </is>
      </c>
      <c r="B3046" s="26" t="n">
        <v>44291</v>
      </c>
      <c r="C3046" s="12" t="inlineStr">
        <is>
          <t>VS28</t>
        </is>
      </c>
      <c r="D3046" s="12" t="inlineStr">
        <is>
          <t>GI Wire</t>
        </is>
      </c>
      <c r="E3046" s="12" t="inlineStr">
        <is>
          <t>N</t>
        </is>
      </c>
      <c r="F3046" s="12" t="n">
        <v>48.65</v>
      </c>
      <c r="G3046" s="17" t="n">
        <v>95133.14999999999</v>
      </c>
      <c r="H3046" s="26" t="n">
        <v>44300</v>
      </c>
      <c r="I3046" s="26" t="n">
        <v>44301</v>
      </c>
      <c r="J3046" s="12" t="n">
        <v>48.35</v>
      </c>
      <c r="K3046" s="17" t="n">
        <v>4628227.75</v>
      </c>
      <c r="L3046" s="12" t="n">
        <v>0</v>
      </c>
      <c r="M3046" s="12" t="n">
        <v>0</v>
      </c>
      <c r="N3046" s="27">
        <f>F3046-J3046</f>
        <v/>
      </c>
      <c r="O3046" s="16">
        <f>I3046-H3046</f>
        <v/>
      </c>
      <c r="P3046" s="14">
        <f>F3046*G3046</f>
        <v/>
      </c>
      <c r="Q3046" s="14">
        <f>J3046*G3046</f>
        <v/>
      </c>
      <c r="R3046" s="14">
        <f>K3046-Q3046</f>
        <v/>
      </c>
      <c r="S3046" s="3">
        <f>P3046*Assumptions!$B$3/100</f>
        <v/>
      </c>
      <c r="T3046" s="14">
        <f>R3046-S3046</f>
        <v/>
      </c>
      <c r="U3046" s="14">
        <f>L3046*G3046</f>
        <v/>
      </c>
    </row>
    <row r="3047">
      <c r="A3047" s="12" t="inlineStr">
        <is>
          <t>PO-2022-3045</t>
        </is>
      </c>
      <c r="B3047" s="26" t="n">
        <v>44747</v>
      </c>
      <c r="C3047" s="12" t="inlineStr">
        <is>
          <t>VS06</t>
        </is>
      </c>
      <c r="D3047" s="12" t="inlineStr">
        <is>
          <t>SS Pipes</t>
        </is>
      </c>
      <c r="E3047" s="12" t="inlineStr">
        <is>
          <t>N</t>
        </is>
      </c>
      <c r="F3047" s="12" t="n">
        <v>1.64</v>
      </c>
      <c r="G3047" s="17" t="n">
        <v>93547.86</v>
      </c>
      <c r="H3047" s="26" t="n">
        <v>44755</v>
      </c>
      <c r="I3047" s="26" t="n">
        <v>44755</v>
      </c>
      <c r="J3047" s="12" t="n">
        <v>1.63</v>
      </c>
      <c r="K3047" s="17" t="n">
        <v>153418.49</v>
      </c>
      <c r="L3047" s="12" t="n">
        <v>0</v>
      </c>
      <c r="M3047" s="12" t="n">
        <v>0</v>
      </c>
      <c r="N3047" s="27">
        <f>F3047-J3047</f>
        <v/>
      </c>
      <c r="O3047" s="16">
        <f>I3047-H3047</f>
        <v/>
      </c>
      <c r="P3047" s="14">
        <f>F3047*G3047</f>
        <v/>
      </c>
      <c r="Q3047" s="14">
        <f>J3047*G3047</f>
        <v/>
      </c>
      <c r="R3047" s="14">
        <f>K3047-Q3047</f>
        <v/>
      </c>
      <c r="S3047" s="3">
        <f>P3047*Assumptions!$B$3/100</f>
        <v/>
      </c>
      <c r="T3047" s="14">
        <f>R3047-S3047</f>
        <v/>
      </c>
      <c r="U3047" s="14">
        <f>L3047*G3047</f>
        <v/>
      </c>
    </row>
    <row r="3048">
      <c r="A3048" s="12" t="inlineStr">
        <is>
          <t>PO-2022-3046</t>
        </is>
      </c>
      <c r="B3048" s="26" t="n">
        <v>44809</v>
      </c>
      <c r="C3048" s="12" t="inlineStr">
        <is>
          <t>VS06</t>
        </is>
      </c>
      <c r="D3048" s="12" t="inlineStr">
        <is>
          <t>SS Pipes</t>
        </is>
      </c>
      <c r="E3048" s="12" t="inlineStr">
        <is>
          <t>N</t>
        </is>
      </c>
      <c r="F3048" s="12" t="n">
        <v>35.5</v>
      </c>
      <c r="G3048" s="17" t="n">
        <v>111885.68</v>
      </c>
      <c r="H3048" s="26" t="n">
        <v>44815</v>
      </c>
      <c r="I3048" s="26" t="n">
        <v>44817</v>
      </c>
      <c r="J3048" s="12" t="n">
        <v>35.19</v>
      </c>
      <c r="K3048" s="17" t="n">
        <v>3971941.64</v>
      </c>
      <c r="L3048" s="12" t="n">
        <v>0</v>
      </c>
      <c r="M3048" s="12" t="n">
        <v>2</v>
      </c>
      <c r="N3048" s="27">
        <f>F3048-J3048</f>
        <v/>
      </c>
      <c r="O3048" s="16">
        <f>I3048-H3048</f>
        <v/>
      </c>
      <c r="P3048" s="14">
        <f>F3048*G3048</f>
        <v/>
      </c>
      <c r="Q3048" s="14">
        <f>J3048*G3048</f>
        <v/>
      </c>
      <c r="R3048" s="14">
        <f>K3048-Q3048</f>
        <v/>
      </c>
      <c r="S3048" s="3">
        <f>P3048*Assumptions!$B$3/100</f>
        <v/>
      </c>
      <c r="T3048" s="14">
        <f>R3048-S3048</f>
        <v/>
      </c>
      <c r="U3048" s="14">
        <f>L3048*G3048</f>
        <v/>
      </c>
    </row>
    <row r="3049">
      <c r="A3049" s="12" t="inlineStr">
        <is>
          <t>PO-2022-3047</t>
        </is>
      </c>
      <c r="B3049" s="26" t="n">
        <v>44774</v>
      </c>
      <c r="C3049" s="12" t="inlineStr">
        <is>
          <t>VS01</t>
        </is>
      </c>
      <c r="D3049" s="12" t="inlineStr">
        <is>
          <t>Fasteners &amp; Fittings</t>
        </is>
      </c>
      <c r="E3049" s="12" t="inlineStr">
        <is>
          <t>N</t>
        </is>
      </c>
      <c r="F3049" s="12" t="n">
        <v>27.54</v>
      </c>
      <c r="G3049" s="17" t="n">
        <v>52542.87</v>
      </c>
      <c r="H3049" s="26" t="n">
        <v>44786</v>
      </c>
      <c r="I3049" s="26" t="n">
        <v>44786</v>
      </c>
      <c r="J3049" s="12" t="n">
        <v>27.5</v>
      </c>
      <c r="K3049" s="17" t="n">
        <v>1447030.64</v>
      </c>
      <c r="L3049" s="12" t="n">
        <v>0</v>
      </c>
      <c r="M3049" s="12" t="n">
        <v>14</v>
      </c>
      <c r="N3049" s="27">
        <f>F3049-J3049</f>
        <v/>
      </c>
      <c r="O3049" s="16">
        <f>I3049-H3049</f>
        <v/>
      </c>
      <c r="P3049" s="14">
        <f>F3049*G3049</f>
        <v/>
      </c>
      <c r="Q3049" s="14">
        <f>J3049*G3049</f>
        <v/>
      </c>
      <c r="R3049" s="14">
        <f>K3049-Q3049</f>
        <v/>
      </c>
      <c r="S3049" s="3">
        <f>P3049*Assumptions!$B$3/100</f>
        <v/>
      </c>
      <c r="T3049" s="14">
        <f>R3049-S3049</f>
        <v/>
      </c>
      <c r="U3049" s="14">
        <f>L3049*G3049</f>
        <v/>
      </c>
    </row>
    <row r="3050">
      <c r="A3050" s="12" t="inlineStr">
        <is>
          <t>PO-2022-3048</t>
        </is>
      </c>
      <c r="B3050" s="26" t="n">
        <v>44747</v>
      </c>
      <c r="C3050" s="12" t="inlineStr">
        <is>
          <t>VS31</t>
        </is>
      </c>
      <c r="D3050" s="12" t="inlineStr">
        <is>
          <t>GI Pipes</t>
        </is>
      </c>
      <c r="E3050" s="12" t="inlineStr">
        <is>
          <t>N</t>
        </is>
      </c>
      <c r="F3050" s="12" t="n">
        <v>26.62</v>
      </c>
      <c r="G3050" s="17" t="n">
        <v>46128.33</v>
      </c>
      <c r="H3050" s="26" t="n">
        <v>44762</v>
      </c>
      <c r="I3050" s="26" t="n">
        <v>44763</v>
      </c>
      <c r="J3050" s="12" t="n">
        <v>26.41</v>
      </c>
      <c r="K3050" s="17" t="n">
        <v>1227936.14</v>
      </c>
      <c r="L3050" s="12" t="n">
        <v>0</v>
      </c>
      <c r="M3050" s="12" t="n">
        <v>25</v>
      </c>
      <c r="N3050" s="27">
        <f>F3050-J3050</f>
        <v/>
      </c>
      <c r="O3050" s="16">
        <f>I3050-H3050</f>
        <v/>
      </c>
      <c r="P3050" s="14">
        <f>F3050*G3050</f>
        <v/>
      </c>
      <c r="Q3050" s="14">
        <f>J3050*G3050</f>
        <v/>
      </c>
      <c r="R3050" s="14">
        <f>K3050-Q3050</f>
        <v/>
      </c>
      <c r="S3050" s="3">
        <f>P3050*Assumptions!$B$3/100</f>
        <v/>
      </c>
      <c r="T3050" s="14">
        <f>R3050-S3050</f>
        <v/>
      </c>
      <c r="U3050" s="14">
        <f>L3050*G3050</f>
        <v/>
      </c>
    </row>
    <row r="3051">
      <c r="A3051" s="12" t="inlineStr">
        <is>
          <t>PO-2022-3049</t>
        </is>
      </c>
      <c r="B3051" s="26" t="n">
        <v>44595</v>
      </c>
      <c r="C3051" s="12" t="inlineStr">
        <is>
          <t>VS28</t>
        </is>
      </c>
      <c r="D3051" s="12" t="inlineStr">
        <is>
          <t>GI Wire</t>
        </is>
      </c>
      <c r="E3051" s="12" t="inlineStr">
        <is>
          <t>N</t>
        </is>
      </c>
      <c r="F3051" s="12" t="n">
        <v>27.86</v>
      </c>
      <c r="G3051" s="17" t="n">
        <v>67065.08</v>
      </c>
      <c r="H3051" s="26" t="n">
        <v>44600</v>
      </c>
      <c r="I3051" s="26" t="n">
        <v>44603</v>
      </c>
      <c r="J3051" s="12" t="n">
        <v>27.86</v>
      </c>
      <c r="K3051" s="17" t="n">
        <v>1868433.13</v>
      </c>
      <c r="L3051" s="12" t="n">
        <v>0</v>
      </c>
      <c r="M3051" s="12" t="n">
        <v>7</v>
      </c>
      <c r="N3051" s="27">
        <f>F3051-J3051</f>
        <v/>
      </c>
      <c r="O3051" s="16">
        <f>I3051-H3051</f>
        <v/>
      </c>
      <c r="P3051" s="14">
        <f>F3051*G3051</f>
        <v/>
      </c>
      <c r="Q3051" s="14">
        <f>J3051*G3051</f>
        <v/>
      </c>
      <c r="R3051" s="14">
        <f>K3051-Q3051</f>
        <v/>
      </c>
      <c r="S3051" s="3">
        <f>P3051*Assumptions!$B$3/100</f>
        <v/>
      </c>
      <c r="T3051" s="14">
        <f>R3051-S3051</f>
        <v/>
      </c>
      <c r="U3051" s="14">
        <f>L3051*G3051</f>
        <v/>
      </c>
    </row>
    <row r="3052">
      <c r="A3052" s="12" t="inlineStr">
        <is>
          <t>PO-2022-3050</t>
        </is>
      </c>
      <c r="B3052" s="26" t="n">
        <v>44970</v>
      </c>
      <c r="C3052" s="12" t="inlineStr">
        <is>
          <t>VS26</t>
        </is>
      </c>
      <c r="D3052" s="12" t="inlineStr">
        <is>
          <t>MS Sheets</t>
        </is>
      </c>
      <c r="E3052" s="12" t="inlineStr">
        <is>
          <t>N</t>
        </is>
      </c>
      <c r="F3052" s="12" t="n">
        <v>20.03</v>
      </c>
      <c r="G3052" s="17" t="n">
        <v>79433.5</v>
      </c>
      <c r="H3052" s="26" t="n">
        <v>44973</v>
      </c>
      <c r="I3052" s="26" t="n">
        <v>44974</v>
      </c>
      <c r="J3052" s="12" t="n">
        <v>19.88</v>
      </c>
      <c r="K3052" s="17" t="n">
        <v>1591053.01</v>
      </c>
      <c r="L3052" s="12" t="n">
        <v>0</v>
      </c>
      <c r="M3052" s="12" t="n">
        <v>0</v>
      </c>
      <c r="N3052" s="27">
        <f>F3052-J3052</f>
        <v/>
      </c>
      <c r="O3052" s="16">
        <f>I3052-H3052</f>
        <v/>
      </c>
      <c r="P3052" s="14">
        <f>F3052*G3052</f>
        <v/>
      </c>
      <c r="Q3052" s="14">
        <f>J3052*G3052</f>
        <v/>
      </c>
      <c r="R3052" s="14">
        <f>K3052-Q3052</f>
        <v/>
      </c>
      <c r="S3052" s="3">
        <f>P3052*Assumptions!$B$3/100</f>
        <v/>
      </c>
      <c r="T3052" s="14">
        <f>R3052-S3052</f>
        <v/>
      </c>
      <c r="U3052" s="14">
        <f>L3052*G3052</f>
        <v/>
      </c>
    </row>
    <row r="3053">
      <c r="A3053" s="12" t="inlineStr">
        <is>
          <t>PO-2022-3051</t>
        </is>
      </c>
      <c r="B3053" s="26" t="n">
        <v>45278</v>
      </c>
      <c r="C3053" s="12" t="inlineStr">
        <is>
          <t>VS15</t>
        </is>
      </c>
      <c r="D3053" s="12" t="inlineStr">
        <is>
          <t>Spring Steel</t>
        </is>
      </c>
      <c r="E3053" s="12" t="inlineStr">
        <is>
          <t>N</t>
        </is>
      </c>
      <c r="F3053" s="12" t="n">
        <v>22.24</v>
      </c>
      <c r="G3053" s="17" t="n">
        <v>86656.56</v>
      </c>
      <c r="H3053" s="26" t="n">
        <v>45291</v>
      </c>
      <c r="I3053" s="26" t="n">
        <v>45291</v>
      </c>
      <c r="J3053" s="12" t="n">
        <v>22.13</v>
      </c>
      <c r="K3053" s="17" t="n">
        <v>1927241.89</v>
      </c>
      <c r="L3053" s="12" t="n">
        <v>0</v>
      </c>
      <c r="M3053" s="12" t="n">
        <v>4</v>
      </c>
      <c r="N3053" s="27">
        <f>F3053-J3053</f>
        <v/>
      </c>
      <c r="O3053" s="16">
        <f>I3053-H3053</f>
        <v/>
      </c>
      <c r="P3053" s="14">
        <f>F3053*G3053</f>
        <v/>
      </c>
      <c r="Q3053" s="14">
        <f>J3053*G3053</f>
        <v/>
      </c>
      <c r="R3053" s="14">
        <f>K3053-Q3053</f>
        <v/>
      </c>
      <c r="S3053" s="3">
        <f>P3053*Assumptions!$B$3/100</f>
        <v/>
      </c>
      <c r="T3053" s="14">
        <f>R3053-S3053</f>
        <v/>
      </c>
      <c r="U3053" s="14">
        <f>L3053*G3053</f>
        <v/>
      </c>
    </row>
    <row r="3054">
      <c r="A3054" s="12" t="inlineStr">
        <is>
          <t>PO-2022-3052</t>
        </is>
      </c>
      <c r="B3054" s="26" t="n">
        <v>44439</v>
      </c>
      <c r="C3054" s="12" t="inlineStr">
        <is>
          <t>VS31</t>
        </is>
      </c>
      <c r="D3054" s="12" t="inlineStr">
        <is>
          <t>Hex Bars</t>
        </is>
      </c>
      <c r="E3054" s="12" t="inlineStr">
        <is>
          <t>N</t>
        </is>
      </c>
      <c r="F3054" s="12" t="n">
        <v>49.76</v>
      </c>
      <c r="G3054" s="17" t="n">
        <v>94530.89</v>
      </c>
      <c r="H3054" s="26" t="n">
        <v>44449</v>
      </c>
      <c r="I3054" s="26" t="n">
        <v>44452</v>
      </c>
      <c r="J3054" s="12" t="n">
        <v>49.56</v>
      </c>
      <c r="K3054" s="17" t="n">
        <v>4703857.09</v>
      </c>
      <c r="L3054" s="12" t="n">
        <v>0</v>
      </c>
      <c r="M3054" s="12" t="n">
        <v>20</v>
      </c>
      <c r="N3054" s="27">
        <f>F3054-J3054</f>
        <v/>
      </c>
      <c r="O3054" s="16">
        <f>I3054-H3054</f>
        <v/>
      </c>
      <c r="P3054" s="14">
        <f>F3054*G3054</f>
        <v/>
      </c>
      <c r="Q3054" s="14">
        <f>J3054*G3054</f>
        <v/>
      </c>
      <c r="R3054" s="14">
        <f>K3054-Q3054</f>
        <v/>
      </c>
      <c r="S3054" s="3">
        <f>P3054*Assumptions!$B$3/100</f>
        <v/>
      </c>
      <c r="T3054" s="14">
        <f>R3054-S3054</f>
        <v/>
      </c>
      <c r="U3054" s="14">
        <f>L3054*G3054</f>
        <v/>
      </c>
    </row>
    <row r="3055">
      <c r="A3055" s="12" t="inlineStr">
        <is>
          <t>PO-2022-3053</t>
        </is>
      </c>
      <c r="B3055" s="26" t="n">
        <v>44345</v>
      </c>
      <c r="C3055" s="12" t="inlineStr">
        <is>
          <t>VS24</t>
        </is>
      </c>
      <c r="D3055" s="12" t="inlineStr">
        <is>
          <t>MS Pipes</t>
        </is>
      </c>
      <c r="E3055" s="12" t="inlineStr">
        <is>
          <t>N</t>
        </is>
      </c>
      <c r="F3055" s="12" t="n">
        <v>19.18</v>
      </c>
      <c r="G3055" s="17" t="n">
        <v>89352.14</v>
      </c>
      <c r="H3055" s="26" t="n">
        <v>44350</v>
      </c>
      <c r="I3055" s="26" t="n">
        <v>44351</v>
      </c>
      <c r="J3055" s="12" t="n">
        <v>19</v>
      </c>
      <c r="K3055" s="17" t="n">
        <v>1713774.05</v>
      </c>
      <c r="L3055" s="12" t="n">
        <v>0</v>
      </c>
      <c r="M3055" s="12" t="n">
        <v>10</v>
      </c>
      <c r="N3055" s="27">
        <f>F3055-J3055</f>
        <v/>
      </c>
      <c r="O3055" s="16">
        <f>I3055-H3055</f>
        <v/>
      </c>
      <c r="P3055" s="14">
        <f>F3055*G3055</f>
        <v/>
      </c>
      <c r="Q3055" s="14">
        <f>J3055*G3055</f>
        <v/>
      </c>
      <c r="R3055" s="14">
        <f>K3055-Q3055</f>
        <v/>
      </c>
      <c r="S3055" s="3">
        <f>P3055*Assumptions!$B$3/100</f>
        <v/>
      </c>
      <c r="T3055" s="14">
        <f>R3055-S3055</f>
        <v/>
      </c>
      <c r="U3055" s="14">
        <f>L3055*G3055</f>
        <v/>
      </c>
    </row>
    <row r="3056">
      <c r="A3056" s="12" t="inlineStr">
        <is>
          <t>PO-2022-3054</t>
        </is>
      </c>
      <c r="B3056" s="26" t="n">
        <v>44940</v>
      </c>
      <c r="C3056" s="12" t="inlineStr">
        <is>
          <t>VS30</t>
        </is>
      </c>
      <c r="D3056" s="12" t="inlineStr">
        <is>
          <t>SS Pipes</t>
        </is>
      </c>
      <c r="E3056" s="12" t="inlineStr">
        <is>
          <t>N</t>
        </is>
      </c>
      <c r="F3056" s="12" t="n">
        <v>28.9</v>
      </c>
      <c r="G3056" s="17" t="n">
        <v>112259.41</v>
      </c>
      <c r="H3056" s="26" t="n">
        <v>44943</v>
      </c>
      <c r="I3056" s="26" t="n">
        <v>44946</v>
      </c>
      <c r="J3056" s="12" t="n">
        <v>28.87</v>
      </c>
      <c r="K3056" s="17" t="n">
        <v>3244296.95</v>
      </c>
      <c r="L3056" s="12" t="n">
        <v>0</v>
      </c>
      <c r="M3056" s="12" t="n">
        <v>2</v>
      </c>
      <c r="N3056" s="27">
        <f>F3056-J3056</f>
        <v/>
      </c>
      <c r="O3056" s="16">
        <f>I3056-H3056</f>
        <v/>
      </c>
      <c r="P3056" s="14">
        <f>F3056*G3056</f>
        <v/>
      </c>
      <c r="Q3056" s="14">
        <f>J3056*G3056</f>
        <v/>
      </c>
      <c r="R3056" s="14">
        <f>K3056-Q3056</f>
        <v/>
      </c>
      <c r="S3056" s="3">
        <f>P3056*Assumptions!$B$3/100</f>
        <v/>
      </c>
      <c r="T3056" s="14">
        <f>R3056-S3056</f>
        <v/>
      </c>
      <c r="U3056" s="14">
        <f>L3056*G3056</f>
        <v/>
      </c>
    </row>
    <row r="3057">
      <c r="A3057" s="12" t="inlineStr">
        <is>
          <t>PO-2022-3055</t>
        </is>
      </c>
      <c r="B3057" s="26" t="n">
        <v>44681</v>
      </c>
      <c r="C3057" s="12" t="inlineStr">
        <is>
          <t>VS09</t>
        </is>
      </c>
      <c r="D3057" s="12" t="inlineStr">
        <is>
          <t>MS Pipes</t>
        </is>
      </c>
      <c r="E3057" s="12" t="inlineStr">
        <is>
          <t>N</t>
        </is>
      </c>
      <c r="F3057" s="12" t="n">
        <v>47.22</v>
      </c>
      <c r="G3057" s="17" t="n">
        <v>54952.58</v>
      </c>
      <c r="H3057" s="26" t="n">
        <v>44695</v>
      </c>
      <c r="I3057" s="26" t="n">
        <v>44697</v>
      </c>
      <c r="J3057" s="12" t="n">
        <v>47.01</v>
      </c>
      <c r="K3057" s="17" t="n">
        <v>2594860.83</v>
      </c>
      <c r="L3057" s="12" t="n">
        <v>0</v>
      </c>
      <c r="M3057" s="12" t="n">
        <v>0</v>
      </c>
      <c r="N3057" s="27">
        <f>F3057-J3057</f>
        <v/>
      </c>
      <c r="O3057" s="16">
        <f>I3057-H3057</f>
        <v/>
      </c>
      <c r="P3057" s="14">
        <f>F3057*G3057</f>
        <v/>
      </c>
      <c r="Q3057" s="14">
        <f>J3057*G3057</f>
        <v/>
      </c>
      <c r="R3057" s="14">
        <f>K3057-Q3057</f>
        <v/>
      </c>
      <c r="S3057" s="3">
        <f>P3057*Assumptions!$B$3/100</f>
        <v/>
      </c>
      <c r="T3057" s="14">
        <f>R3057-S3057</f>
        <v/>
      </c>
      <c r="U3057" s="14">
        <f>L3057*G3057</f>
        <v/>
      </c>
    </row>
    <row r="3058">
      <c r="A3058" s="12" t="inlineStr">
        <is>
          <t>PO-2022-3056</t>
        </is>
      </c>
      <c r="B3058" s="26" t="n">
        <v>44931</v>
      </c>
      <c r="C3058" s="12" t="inlineStr">
        <is>
          <t>VS30</t>
        </is>
      </c>
      <c r="D3058" s="12" t="inlineStr">
        <is>
          <t>Hex Bars</t>
        </is>
      </c>
      <c r="E3058" s="12" t="inlineStr">
        <is>
          <t>N</t>
        </is>
      </c>
      <c r="F3058" s="12" t="n">
        <v>29.29</v>
      </c>
      <c r="G3058" s="17" t="n">
        <v>107327.78</v>
      </c>
      <c r="H3058" s="26" t="n">
        <v>44936</v>
      </c>
      <c r="I3058" s="26" t="n">
        <v>44939</v>
      </c>
      <c r="J3058" s="12" t="n">
        <v>29.17</v>
      </c>
      <c r="K3058" s="17" t="n">
        <v>3143630.68</v>
      </c>
      <c r="L3058" s="12" t="n">
        <v>0</v>
      </c>
      <c r="M3058" s="12" t="n">
        <v>0</v>
      </c>
      <c r="N3058" s="27">
        <f>F3058-J3058</f>
        <v/>
      </c>
      <c r="O3058" s="16">
        <f>I3058-H3058</f>
        <v/>
      </c>
      <c r="P3058" s="14">
        <f>F3058*G3058</f>
        <v/>
      </c>
      <c r="Q3058" s="14">
        <f>J3058*G3058</f>
        <v/>
      </c>
      <c r="R3058" s="14">
        <f>K3058-Q3058</f>
        <v/>
      </c>
      <c r="S3058" s="3">
        <f>P3058*Assumptions!$B$3/100</f>
        <v/>
      </c>
      <c r="T3058" s="14">
        <f>R3058-S3058</f>
        <v/>
      </c>
      <c r="U3058" s="14">
        <f>L3058*G3058</f>
        <v/>
      </c>
    </row>
    <row r="3059">
      <c r="A3059" s="12" t="inlineStr">
        <is>
          <t>PO-2022-3057</t>
        </is>
      </c>
      <c r="B3059" s="26" t="n">
        <v>44975</v>
      </c>
      <c r="C3059" s="12" t="inlineStr">
        <is>
          <t>VS01</t>
        </is>
      </c>
      <c r="D3059" s="12" t="inlineStr">
        <is>
          <t>SS Sheets</t>
        </is>
      </c>
      <c r="E3059" s="12" t="inlineStr">
        <is>
          <t>N</t>
        </is>
      </c>
      <c r="F3059" s="12" t="n">
        <v>48.91</v>
      </c>
      <c r="G3059" s="17" t="n">
        <v>86497.2</v>
      </c>
      <c r="H3059" s="26" t="n">
        <v>44978</v>
      </c>
      <c r="I3059" s="26" t="n">
        <v>44980</v>
      </c>
      <c r="J3059" s="12" t="n">
        <v>48.68</v>
      </c>
      <c r="K3059" s="17" t="n">
        <v>4230578.05</v>
      </c>
      <c r="L3059" s="12" t="n">
        <v>0</v>
      </c>
      <c r="M3059" s="12" t="n">
        <v>22</v>
      </c>
      <c r="N3059" s="27">
        <f>F3059-J3059</f>
        <v/>
      </c>
      <c r="O3059" s="16">
        <f>I3059-H3059</f>
        <v/>
      </c>
      <c r="P3059" s="14">
        <f>F3059*G3059</f>
        <v/>
      </c>
      <c r="Q3059" s="14">
        <f>J3059*G3059</f>
        <v/>
      </c>
      <c r="R3059" s="14">
        <f>K3059-Q3059</f>
        <v/>
      </c>
      <c r="S3059" s="3">
        <f>P3059*Assumptions!$B$3/100</f>
        <v/>
      </c>
      <c r="T3059" s="14">
        <f>R3059-S3059</f>
        <v/>
      </c>
      <c r="U3059" s="14">
        <f>L3059*G3059</f>
        <v/>
      </c>
    </row>
    <row r="3060">
      <c r="A3060" s="12" t="inlineStr">
        <is>
          <t>PO-2022-3058</t>
        </is>
      </c>
      <c r="B3060" s="26" t="n">
        <v>44951</v>
      </c>
      <c r="C3060" s="12" t="inlineStr">
        <is>
          <t>VS09</t>
        </is>
      </c>
      <c r="D3060" s="12" t="inlineStr">
        <is>
          <t>SS Pipes</t>
        </is>
      </c>
      <c r="E3060" s="12" t="inlineStr">
        <is>
          <t>Y</t>
        </is>
      </c>
      <c r="F3060" s="12" t="n">
        <v>39.41</v>
      </c>
      <c r="G3060" s="17" t="n">
        <v>72090.52</v>
      </c>
      <c r="H3060" s="26" t="n">
        <v>44962</v>
      </c>
      <c r="I3060" s="26" t="n">
        <v>44965</v>
      </c>
      <c r="J3060" s="12" t="n">
        <v>39.31</v>
      </c>
      <c r="K3060" s="17" t="n">
        <v>2841087.39</v>
      </c>
      <c r="L3060" s="12" t="n">
        <v>0</v>
      </c>
      <c r="M3060" s="12" t="n">
        <v>23</v>
      </c>
      <c r="N3060" s="27">
        <f>F3060-J3060</f>
        <v/>
      </c>
      <c r="O3060" s="16">
        <f>I3060-H3060</f>
        <v/>
      </c>
      <c r="P3060" s="14">
        <f>F3060*G3060</f>
        <v/>
      </c>
      <c r="Q3060" s="14">
        <f>J3060*G3060</f>
        <v/>
      </c>
      <c r="R3060" s="14">
        <f>K3060-Q3060</f>
        <v/>
      </c>
      <c r="S3060" s="3">
        <f>P3060*Assumptions!$B$3/100</f>
        <v/>
      </c>
      <c r="T3060" s="14">
        <f>R3060-S3060</f>
        <v/>
      </c>
      <c r="U3060" s="14">
        <f>L3060*G3060</f>
        <v/>
      </c>
    </row>
    <row r="3061">
      <c r="A3061" s="12" t="inlineStr">
        <is>
          <t>PO-2022-3059</t>
        </is>
      </c>
      <c r="B3061" s="26" t="n">
        <v>44840</v>
      </c>
      <c r="C3061" s="12" t="inlineStr">
        <is>
          <t>VS08</t>
        </is>
      </c>
      <c r="D3061" s="12" t="inlineStr">
        <is>
          <t>Fasteners &amp; Fittings</t>
        </is>
      </c>
      <c r="E3061" s="12" t="inlineStr">
        <is>
          <t>N</t>
        </is>
      </c>
      <c r="F3061" s="12" t="n">
        <v>24.85</v>
      </c>
      <c r="G3061" s="17" t="n">
        <v>66809.05</v>
      </c>
      <c r="H3061" s="26" t="n">
        <v>44844</v>
      </c>
      <c r="I3061" s="26" t="n">
        <v>44847</v>
      </c>
      <c r="J3061" s="12" t="n">
        <v>24.83</v>
      </c>
      <c r="K3061" s="17" t="n">
        <v>1660204.89</v>
      </c>
      <c r="L3061" s="12" t="n">
        <v>0</v>
      </c>
      <c r="M3061" s="12" t="n">
        <v>14</v>
      </c>
      <c r="N3061" s="27">
        <f>F3061-J3061</f>
        <v/>
      </c>
      <c r="O3061" s="16">
        <f>I3061-H3061</f>
        <v/>
      </c>
      <c r="P3061" s="14">
        <f>F3061*G3061</f>
        <v/>
      </c>
      <c r="Q3061" s="14">
        <f>J3061*G3061</f>
        <v/>
      </c>
      <c r="R3061" s="14">
        <f>K3061-Q3061</f>
        <v/>
      </c>
      <c r="S3061" s="3">
        <f>P3061*Assumptions!$B$3/100</f>
        <v/>
      </c>
      <c r="T3061" s="14">
        <f>R3061-S3061</f>
        <v/>
      </c>
      <c r="U3061" s="14">
        <f>L3061*G3061</f>
        <v/>
      </c>
    </row>
    <row r="3062">
      <c r="A3062" s="12" t="inlineStr">
        <is>
          <t>PO-2022-3060</t>
        </is>
      </c>
      <c r="B3062" s="26" t="n">
        <v>44479</v>
      </c>
      <c r="C3062" s="12" t="inlineStr">
        <is>
          <t>VS32</t>
        </is>
      </c>
      <c r="D3062" s="12" t="inlineStr">
        <is>
          <t>SS Sheets</t>
        </is>
      </c>
      <c r="E3062" s="12" t="inlineStr">
        <is>
          <t>N</t>
        </is>
      </c>
      <c r="F3062" s="12" t="n">
        <v>19.87</v>
      </c>
      <c r="G3062" s="17" t="n">
        <v>58865.87</v>
      </c>
      <c r="H3062" s="26" t="n">
        <v>44483</v>
      </c>
      <c r="I3062" s="26" t="n">
        <v>44485</v>
      </c>
      <c r="J3062" s="12" t="n">
        <v>19.7</v>
      </c>
      <c r="K3062" s="17" t="n">
        <v>1169664.84</v>
      </c>
      <c r="L3062" s="12" t="n">
        <v>0</v>
      </c>
      <c r="M3062" s="12" t="n">
        <v>24</v>
      </c>
      <c r="N3062" s="27">
        <f>F3062-J3062</f>
        <v/>
      </c>
      <c r="O3062" s="16">
        <f>I3062-H3062</f>
        <v/>
      </c>
      <c r="P3062" s="14">
        <f>F3062*G3062</f>
        <v/>
      </c>
      <c r="Q3062" s="14">
        <f>J3062*G3062</f>
        <v/>
      </c>
      <c r="R3062" s="14">
        <f>K3062-Q3062</f>
        <v/>
      </c>
      <c r="S3062" s="3">
        <f>P3062*Assumptions!$B$3/100</f>
        <v/>
      </c>
      <c r="T3062" s="14">
        <f>R3062-S3062</f>
        <v/>
      </c>
      <c r="U3062" s="14">
        <f>L3062*G3062</f>
        <v/>
      </c>
    </row>
    <row r="3063">
      <c r="A3063" s="12" t="inlineStr">
        <is>
          <t>PO-2022-3061</t>
        </is>
      </c>
      <c r="B3063" s="26" t="n">
        <v>44394</v>
      </c>
      <c r="C3063" s="12" t="inlineStr">
        <is>
          <t>VS10</t>
        </is>
      </c>
      <c r="D3063" s="12" t="inlineStr">
        <is>
          <t>CR Sheets</t>
        </is>
      </c>
      <c r="E3063" s="12" t="inlineStr">
        <is>
          <t>N</t>
        </is>
      </c>
      <c r="F3063" s="12" t="n">
        <v>5.5</v>
      </c>
      <c r="G3063" s="17" t="n">
        <v>98457.75999999999</v>
      </c>
      <c r="H3063" s="26" t="n">
        <v>44403</v>
      </c>
      <c r="I3063" s="26" t="n">
        <v>44403</v>
      </c>
      <c r="J3063" s="12" t="n">
        <v>5.46</v>
      </c>
      <c r="K3063" s="17" t="n">
        <v>541517.6800000001</v>
      </c>
      <c r="L3063" s="12" t="n">
        <v>0</v>
      </c>
      <c r="M3063" s="12" t="n">
        <v>0</v>
      </c>
      <c r="N3063" s="27">
        <f>F3063-J3063</f>
        <v/>
      </c>
      <c r="O3063" s="16">
        <f>I3063-H3063</f>
        <v/>
      </c>
      <c r="P3063" s="14">
        <f>F3063*G3063</f>
        <v/>
      </c>
      <c r="Q3063" s="14">
        <f>J3063*G3063</f>
        <v/>
      </c>
      <c r="R3063" s="14">
        <f>K3063-Q3063</f>
        <v/>
      </c>
      <c r="S3063" s="3">
        <f>P3063*Assumptions!$B$3/100</f>
        <v/>
      </c>
      <c r="T3063" s="14">
        <f>R3063-S3063</f>
        <v/>
      </c>
      <c r="U3063" s="14">
        <f>L3063*G3063</f>
        <v/>
      </c>
    </row>
    <row r="3064">
      <c r="A3064" s="12" t="inlineStr">
        <is>
          <t>PO-2022-3062</t>
        </is>
      </c>
      <c r="B3064" s="26" t="n">
        <v>44479</v>
      </c>
      <c r="C3064" s="12" t="inlineStr">
        <is>
          <t>VS28</t>
        </is>
      </c>
      <c r="D3064" s="12" t="inlineStr">
        <is>
          <t>CR Sheets</t>
        </is>
      </c>
      <c r="E3064" s="12" t="inlineStr">
        <is>
          <t>N</t>
        </is>
      </c>
      <c r="F3064" s="12" t="n">
        <v>9.67</v>
      </c>
      <c r="G3064" s="17" t="n">
        <v>55568.5</v>
      </c>
      <c r="H3064" s="26" t="n">
        <v>44489</v>
      </c>
      <c r="I3064" s="26" t="n">
        <v>44492</v>
      </c>
      <c r="J3064" s="12" t="n">
        <v>9.630000000000001</v>
      </c>
      <c r="K3064" s="17" t="n">
        <v>537347.4</v>
      </c>
      <c r="L3064" s="12" t="n">
        <v>0</v>
      </c>
      <c r="M3064" s="12" t="n">
        <v>15</v>
      </c>
      <c r="N3064" s="27">
        <f>F3064-J3064</f>
        <v/>
      </c>
      <c r="O3064" s="16">
        <f>I3064-H3064</f>
        <v/>
      </c>
      <c r="P3064" s="14">
        <f>F3064*G3064</f>
        <v/>
      </c>
      <c r="Q3064" s="14">
        <f>J3064*G3064</f>
        <v/>
      </c>
      <c r="R3064" s="14">
        <f>K3064-Q3064</f>
        <v/>
      </c>
      <c r="S3064" s="3">
        <f>P3064*Assumptions!$B$3/100</f>
        <v/>
      </c>
      <c r="T3064" s="14">
        <f>R3064-S3064</f>
        <v/>
      </c>
      <c r="U3064" s="14">
        <f>L3064*G3064</f>
        <v/>
      </c>
    </row>
    <row r="3065">
      <c r="A3065" s="12" t="inlineStr">
        <is>
          <t>PO-2022-3063</t>
        </is>
      </c>
      <c r="B3065" s="26" t="n">
        <v>44881</v>
      </c>
      <c r="C3065" s="12" t="inlineStr">
        <is>
          <t>VS33</t>
        </is>
      </c>
      <c r="D3065" s="12" t="inlineStr">
        <is>
          <t>SS Pipes</t>
        </is>
      </c>
      <c r="E3065" s="12" t="inlineStr">
        <is>
          <t>N</t>
        </is>
      </c>
      <c r="F3065" s="12" t="n">
        <v>23.01</v>
      </c>
      <c r="G3065" s="17" t="n">
        <v>105837.21</v>
      </c>
      <c r="H3065" s="26" t="n">
        <v>44888</v>
      </c>
      <c r="I3065" s="26" t="n">
        <v>44889</v>
      </c>
      <c r="J3065" s="12" t="n">
        <v>22.96</v>
      </c>
      <c r="K3065" s="17" t="n">
        <v>2435314.2</v>
      </c>
      <c r="L3065" s="12" t="n">
        <v>0</v>
      </c>
      <c r="M3065" s="12" t="n">
        <v>16</v>
      </c>
      <c r="N3065" s="27">
        <f>F3065-J3065</f>
        <v/>
      </c>
      <c r="O3065" s="16">
        <f>I3065-H3065</f>
        <v/>
      </c>
      <c r="P3065" s="14">
        <f>F3065*G3065</f>
        <v/>
      </c>
      <c r="Q3065" s="14">
        <f>J3065*G3065</f>
        <v/>
      </c>
      <c r="R3065" s="14">
        <f>K3065-Q3065</f>
        <v/>
      </c>
      <c r="S3065" s="3">
        <f>P3065*Assumptions!$B$3/100</f>
        <v/>
      </c>
      <c r="T3065" s="14">
        <f>R3065-S3065</f>
        <v/>
      </c>
      <c r="U3065" s="14">
        <f>L3065*G3065</f>
        <v/>
      </c>
    </row>
    <row r="3066">
      <c r="A3066" s="12" t="inlineStr">
        <is>
          <t>PO-2022-3064</t>
        </is>
      </c>
      <c r="B3066" s="26" t="n">
        <v>44947</v>
      </c>
      <c r="C3066" s="12" t="inlineStr">
        <is>
          <t>VS18</t>
        </is>
      </c>
      <c r="D3066" s="12" t="inlineStr">
        <is>
          <t>Square/Rect Tubes</t>
        </is>
      </c>
      <c r="E3066" s="12" t="inlineStr">
        <is>
          <t>N</t>
        </is>
      </c>
      <c r="F3066" s="12" t="n">
        <v>6.16</v>
      </c>
      <c r="G3066" s="17" t="n">
        <v>86516.41</v>
      </c>
      <c r="H3066" s="26" t="n">
        <v>44960</v>
      </c>
      <c r="I3066" s="26" t="n">
        <v>44960</v>
      </c>
      <c r="J3066" s="12" t="n">
        <v>6.12</v>
      </c>
      <c r="K3066" s="17" t="n">
        <v>532941.09</v>
      </c>
      <c r="L3066" s="12" t="n">
        <v>0</v>
      </c>
      <c r="M3066" s="12" t="n">
        <v>20</v>
      </c>
      <c r="N3066" s="27">
        <f>F3066-J3066</f>
        <v/>
      </c>
      <c r="O3066" s="16">
        <f>I3066-H3066</f>
        <v/>
      </c>
      <c r="P3066" s="14">
        <f>F3066*G3066</f>
        <v/>
      </c>
      <c r="Q3066" s="14">
        <f>J3066*G3066</f>
        <v/>
      </c>
      <c r="R3066" s="14">
        <f>K3066-Q3066</f>
        <v/>
      </c>
      <c r="S3066" s="3">
        <f>P3066*Assumptions!$B$3/100</f>
        <v/>
      </c>
      <c r="T3066" s="14">
        <f>R3066-S3066</f>
        <v/>
      </c>
      <c r="U3066" s="14">
        <f>L3066*G3066</f>
        <v/>
      </c>
    </row>
    <row r="3067">
      <c r="A3067" s="12" t="inlineStr">
        <is>
          <t>PO-2022-3065</t>
        </is>
      </c>
      <c r="B3067" s="26" t="n">
        <v>44798</v>
      </c>
      <c r="C3067" s="12" t="inlineStr">
        <is>
          <t>VS24</t>
        </is>
      </c>
      <c r="D3067" s="12" t="inlineStr">
        <is>
          <t>Structural Steel</t>
        </is>
      </c>
      <c r="E3067" s="12" t="inlineStr">
        <is>
          <t>N</t>
        </is>
      </c>
      <c r="F3067" s="12" t="n">
        <v>41.84</v>
      </c>
      <c r="G3067" s="17" t="n">
        <v>48402.86</v>
      </c>
      <c r="H3067" s="26" t="n">
        <v>44807</v>
      </c>
      <c r="I3067" s="26" t="n">
        <v>44808</v>
      </c>
      <c r="J3067" s="12" t="n">
        <v>41.42</v>
      </c>
      <c r="K3067" s="17" t="n">
        <v>2025175.66</v>
      </c>
      <c r="L3067" s="12" t="n">
        <v>0</v>
      </c>
      <c r="M3067" s="12" t="n">
        <v>0</v>
      </c>
      <c r="N3067" s="27">
        <f>F3067-J3067</f>
        <v/>
      </c>
      <c r="O3067" s="16">
        <f>I3067-H3067</f>
        <v/>
      </c>
      <c r="P3067" s="14">
        <f>F3067*G3067</f>
        <v/>
      </c>
      <c r="Q3067" s="14">
        <f>J3067*G3067</f>
        <v/>
      </c>
      <c r="R3067" s="14">
        <f>K3067-Q3067</f>
        <v/>
      </c>
      <c r="S3067" s="3">
        <f>P3067*Assumptions!$B$3/100</f>
        <v/>
      </c>
      <c r="T3067" s="14">
        <f>R3067-S3067</f>
        <v/>
      </c>
      <c r="U3067" s="14">
        <f>L3067*G3067</f>
        <v/>
      </c>
    </row>
    <row r="3068">
      <c r="A3068" s="12" t="inlineStr">
        <is>
          <t>PO-2022-3066</t>
        </is>
      </c>
      <c r="B3068" s="26" t="n">
        <v>45232</v>
      </c>
      <c r="C3068" s="12" t="inlineStr">
        <is>
          <t>VS09</t>
        </is>
      </c>
      <c r="D3068" s="12" t="inlineStr">
        <is>
          <t>MS Pipes</t>
        </is>
      </c>
      <c r="E3068" s="12" t="inlineStr">
        <is>
          <t>N</t>
        </is>
      </c>
      <c r="F3068" s="12" t="n">
        <v>42.4</v>
      </c>
      <c r="G3068" s="17" t="n">
        <v>55615.2</v>
      </c>
      <c r="H3068" s="26" t="n">
        <v>45240</v>
      </c>
      <c r="I3068" s="26" t="n">
        <v>45241</v>
      </c>
      <c r="J3068" s="12" t="n">
        <v>42.18</v>
      </c>
      <c r="K3068" s="17" t="n">
        <v>2358084.48</v>
      </c>
      <c r="L3068" s="12" t="n">
        <v>0</v>
      </c>
      <c r="M3068" s="12" t="n">
        <v>0</v>
      </c>
      <c r="N3068" s="27">
        <f>F3068-J3068</f>
        <v/>
      </c>
      <c r="O3068" s="16">
        <f>I3068-H3068</f>
        <v/>
      </c>
      <c r="P3068" s="14">
        <f>F3068*G3068</f>
        <v/>
      </c>
      <c r="Q3068" s="14">
        <f>J3068*G3068</f>
        <v/>
      </c>
      <c r="R3068" s="14">
        <f>K3068-Q3068</f>
        <v/>
      </c>
      <c r="S3068" s="3">
        <f>P3068*Assumptions!$B$3/100</f>
        <v/>
      </c>
      <c r="T3068" s="14">
        <f>R3068-S3068</f>
        <v/>
      </c>
      <c r="U3068" s="14">
        <f>L3068*G3068</f>
        <v/>
      </c>
    </row>
    <row r="3069">
      <c r="A3069" s="12" t="inlineStr">
        <is>
          <t>PO-2022-3067</t>
        </is>
      </c>
      <c r="B3069" s="26" t="n">
        <v>45214</v>
      </c>
      <c r="C3069" s="12" t="inlineStr">
        <is>
          <t>VS01</t>
        </is>
      </c>
      <c r="D3069" s="12" t="inlineStr">
        <is>
          <t>MS Pipes</t>
        </is>
      </c>
      <c r="E3069" s="12" t="inlineStr">
        <is>
          <t>Y</t>
        </is>
      </c>
      <c r="F3069" s="12" t="n">
        <v>46.97</v>
      </c>
      <c r="G3069" s="17" t="n">
        <v>48733.58</v>
      </c>
      <c r="H3069" s="26" t="n">
        <v>45227</v>
      </c>
      <c r="I3069" s="26" t="n">
        <v>45227</v>
      </c>
      <c r="J3069" s="12" t="n">
        <v>46.55</v>
      </c>
      <c r="K3069" s="17" t="n">
        <v>2289016.25</v>
      </c>
      <c r="L3069" s="12" t="n">
        <v>0</v>
      </c>
      <c r="M3069" s="12" t="n">
        <v>16</v>
      </c>
      <c r="N3069" s="27">
        <f>F3069-J3069</f>
        <v/>
      </c>
      <c r="O3069" s="16">
        <f>I3069-H3069</f>
        <v/>
      </c>
      <c r="P3069" s="14">
        <f>F3069*G3069</f>
        <v/>
      </c>
      <c r="Q3069" s="14">
        <f>J3069*G3069</f>
        <v/>
      </c>
      <c r="R3069" s="14">
        <f>K3069-Q3069</f>
        <v/>
      </c>
      <c r="S3069" s="3">
        <f>P3069*Assumptions!$B$3/100</f>
        <v/>
      </c>
      <c r="T3069" s="14">
        <f>R3069-S3069</f>
        <v/>
      </c>
      <c r="U3069" s="14">
        <f>L3069*G3069</f>
        <v/>
      </c>
    </row>
    <row r="3070">
      <c r="A3070" s="12" t="inlineStr">
        <is>
          <t>PO-2022-3068</t>
        </is>
      </c>
      <c r="B3070" s="26" t="n">
        <v>45014</v>
      </c>
      <c r="C3070" s="12" t="inlineStr">
        <is>
          <t>VS15</t>
        </is>
      </c>
      <c r="D3070" s="12" t="inlineStr">
        <is>
          <t>MS Flats</t>
        </is>
      </c>
      <c r="E3070" s="12" t="inlineStr">
        <is>
          <t>N</t>
        </is>
      </c>
      <c r="F3070" s="12" t="n">
        <v>21.09</v>
      </c>
      <c r="G3070" s="17" t="n">
        <v>116297.94</v>
      </c>
      <c r="H3070" s="26" t="n">
        <v>45024</v>
      </c>
      <c r="I3070" s="26" t="n">
        <v>45025</v>
      </c>
      <c r="J3070" s="12" t="n">
        <v>21.08</v>
      </c>
      <c r="K3070" s="17" t="n">
        <v>2452723.55</v>
      </c>
      <c r="L3070" s="12" t="n">
        <v>0</v>
      </c>
      <c r="M3070" s="12" t="n">
        <v>1</v>
      </c>
      <c r="N3070" s="27">
        <f>F3070-J3070</f>
        <v/>
      </c>
      <c r="O3070" s="16">
        <f>I3070-H3070</f>
        <v/>
      </c>
      <c r="P3070" s="14">
        <f>F3070*G3070</f>
        <v/>
      </c>
      <c r="Q3070" s="14">
        <f>J3070*G3070</f>
        <v/>
      </c>
      <c r="R3070" s="14">
        <f>K3070-Q3070</f>
        <v/>
      </c>
      <c r="S3070" s="3">
        <f>P3070*Assumptions!$B$3/100</f>
        <v/>
      </c>
      <c r="T3070" s="14">
        <f>R3070-S3070</f>
        <v/>
      </c>
      <c r="U3070" s="14">
        <f>L3070*G3070</f>
        <v/>
      </c>
    </row>
    <row r="3071">
      <c r="A3071" s="12" t="inlineStr">
        <is>
          <t>PO-2022-3069</t>
        </is>
      </c>
      <c r="B3071" s="26" t="n">
        <v>44548</v>
      </c>
      <c r="C3071" s="12" t="inlineStr">
        <is>
          <t>VS14</t>
        </is>
      </c>
      <c r="D3071" s="12" t="inlineStr">
        <is>
          <t>Square/Rect Tubes</t>
        </is>
      </c>
      <c r="E3071" s="12" t="inlineStr">
        <is>
          <t>N</t>
        </is>
      </c>
      <c r="F3071" s="12" t="n">
        <v>14.64</v>
      </c>
      <c r="G3071" s="17" t="n">
        <v>109838.75</v>
      </c>
      <c r="H3071" s="26" t="n">
        <v>44553</v>
      </c>
      <c r="I3071" s="26" t="n">
        <v>44553</v>
      </c>
      <c r="J3071" s="12" t="n">
        <v>14.58</v>
      </c>
      <c r="K3071" s="17" t="n">
        <v>1608039.3</v>
      </c>
      <c r="L3071" s="12" t="n">
        <v>0</v>
      </c>
      <c r="M3071" s="12" t="n">
        <v>9</v>
      </c>
      <c r="N3071" s="27">
        <f>F3071-J3071</f>
        <v/>
      </c>
      <c r="O3071" s="16">
        <f>I3071-H3071</f>
        <v/>
      </c>
      <c r="P3071" s="14">
        <f>F3071*G3071</f>
        <v/>
      </c>
      <c r="Q3071" s="14">
        <f>J3071*G3071</f>
        <v/>
      </c>
      <c r="R3071" s="14">
        <f>K3071-Q3071</f>
        <v/>
      </c>
      <c r="S3071" s="3">
        <f>P3071*Assumptions!$B$3/100</f>
        <v/>
      </c>
      <c r="T3071" s="14">
        <f>R3071-S3071</f>
        <v/>
      </c>
      <c r="U3071" s="14">
        <f>L3071*G3071</f>
        <v/>
      </c>
    </row>
    <row r="3072">
      <c r="A3072" s="12" t="inlineStr">
        <is>
          <t>PO-2022-3070</t>
        </is>
      </c>
      <c r="B3072" s="26" t="n">
        <v>45227</v>
      </c>
      <c r="C3072" s="12" t="inlineStr">
        <is>
          <t>VS11</t>
        </is>
      </c>
      <c r="D3072" s="12" t="inlineStr">
        <is>
          <t>Spring Steel</t>
        </is>
      </c>
      <c r="E3072" s="12" t="inlineStr">
        <is>
          <t>N</t>
        </is>
      </c>
      <c r="F3072" s="12" t="n">
        <v>30.94</v>
      </c>
      <c r="G3072" s="17" t="n">
        <v>111556.81</v>
      </c>
      <c r="H3072" s="26" t="n">
        <v>45242</v>
      </c>
      <c r="I3072" s="26" t="n">
        <v>45245</v>
      </c>
      <c r="J3072" s="12" t="n">
        <v>30.71</v>
      </c>
      <c r="K3072" s="17" t="n">
        <v>3451567.7</v>
      </c>
      <c r="L3072" s="12" t="n">
        <v>0</v>
      </c>
      <c r="M3072" s="12" t="n">
        <v>20</v>
      </c>
      <c r="N3072" s="27">
        <f>F3072-J3072</f>
        <v/>
      </c>
      <c r="O3072" s="16">
        <f>I3072-H3072</f>
        <v/>
      </c>
      <c r="P3072" s="14">
        <f>F3072*G3072</f>
        <v/>
      </c>
      <c r="Q3072" s="14">
        <f>J3072*G3072</f>
        <v/>
      </c>
      <c r="R3072" s="14">
        <f>K3072-Q3072</f>
        <v/>
      </c>
      <c r="S3072" s="3">
        <f>P3072*Assumptions!$B$3/100</f>
        <v/>
      </c>
      <c r="T3072" s="14">
        <f>R3072-S3072</f>
        <v/>
      </c>
      <c r="U3072" s="14">
        <f>L3072*G3072</f>
        <v/>
      </c>
    </row>
    <row r="3073">
      <c r="A3073" s="12" t="inlineStr">
        <is>
          <t>PO-2022-3071</t>
        </is>
      </c>
      <c r="B3073" s="26" t="n">
        <v>44770</v>
      </c>
      <c r="C3073" s="12" t="inlineStr">
        <is>
          <t>VS01</t>
        </is>
      </c>
      <c r="D3073" s="12" t="inlineStr">
        <is>
          <t>GI Pipes</t>
        </is>
      </c>
      <c r="E3073" s="12" t="inlineStr">
        <is>
          <t>N</t>
        </is>
      </c>
      <c r="F3073" s="12" t="n">
        <v>5.36</v>
      </c>
      <c r="G3073" s="17" t="n">
        <v>84012.8</v>
      </c>
      <c r="H3073" s="26" t="n">
        <v>44781</v>
      </c>
      <c r="I3073" s="26" t="n">
        <v>44781</v>
      </c>
      <c r="J3073" s="12" t="n">
        <v>5.35</v>
      </c>
      <c r="K3073" s="17" t="n">
        <v>450308.61</v>
      </c>
      <c r="L3073" s="12" t="n">
        <v>0</v>
      </c>
      <c r="M3073" s="12" t="n">
        <v>0</v>
      </c>
      <c r="N3073" s="27">
        <f>F3073-J3073</f>
        <v/>
      </c>
      <c r="O3073" s="16">
        <f>I3073-H3073</f>
        <v/>
      </c>
      <c r="P3073" s="14">
        <f>F3073*G3073</f>
        <v/>
      </c>
      <c r="Q3073" s="14">
        <f>J3073*G3073</f>
        <v/>
      </c>
      <c r="R3073" s="14">
        <f>K3073-Q3073</f>
        <v/>
      </c>
      <c r="S3073" s="3">
        <f>P3073*Assumptions!$B$3/100</f>
        <v/>
      </c>
      <c r="T3073" s="14">
        <f>R3073-S3073</f>
        <v/>
      </c>
      <c r="U3073" s="14">
        <f>L3073*G3073</f>
        <v/>
      </c>
    </row>
    <row r="3074">
      <c r="A3074" s="12" t="inlineStr">
        <is>
          <t>PO-2022-3072</t>
        </is>
      </c>
      <c r="B3074" s="26" t="n">
        <v>44571</v>
      </c>
      <c r="C3074" s="12" t="inlineStr">
        <is>
          <t>VS11</t>
        </is>
      </c>
      <c r="D3074" s="12" t="inlineStr">
        <is>
          <t>CR Sheets</t>
        </is>
      </c>
      <c r="E3074" s="12" t="inlineStr">
        <is>
          <t>N</t>
        </is>
      </c>
      <c r="F3074" s="12" t="n">
        <v>36.14</v>
      </c>
      <c r="G3074" s="17" t="n">
        <v>63027.79</v>
      </c>
      <c r="H3074" s="26" t="n">
        <v>44576</v>
      </c>
      <c r="I3074" s="26" t="n">
        <v>44578</v>
      </c>
      <c r="J3074" s="12" t="n">
        <v>35.86</v>
      </c>
      <c r="K3074" s="17" t="n">
        <v>2277824.33</v>
      </c>
      <c r="L3074" s="12" t="n">
        <v>0</v>
      </c>
      <c r="M3074" s="12" t="n">
        <v>21</v>
      </c>
      <c r="N3074" s="27">
        <f>F3074-J3074</f>
        <v/>
      </c>
      <c r="O3074" s="16">
        <f>I3074-H3074</f>
        <v/>
      </c>
      <c r="P3074" s="14">
        <f>F3074*G3074</f>
        <v/>
      </c>
      <c r="Q3074" s="14">
        <f>J3074*G3074</f>
        <v/>
      </c>
      <c r="R3074" s="14">
        <f>K3074-Q3074</f>
        <v/>
      </c>
      <c r="S3074" s="3">
        <f>P3074*Assumptions!$B$3/100</f>
        <v/>
      </c>
      <c r="T3074" s="14">
        <f>R3074-S3074</f>
        <v/>
      </c>
      <c r="U3074" s="14">
        <f>L3074*G3074</f>
        <v/>
      </c>
    </row>
    <row r="3075">
      <c r="A3075" s="12" t="inlineStr">
        <is>
          <t>PO-2022-3073</t>
        </is>
      </c>
      <c r="B3075" s="26" t="n">
        <v>45056</v>
      </c>
      <c r="C3075" s="12" t="inlineStr">
        <is>
          <t>VS05</t>
        </is>
      </c>
      <c r="D3075" s="12" t="inlineStr">
        <is>
          <t>MS Rods</t>
        </is>
      </c>
      <c r="E3075" s="12" t="inlineStr">
        <is>
          <t>N</t>
        </is>
      </c>
      <c r="F3075" s="12" t="n">
        <v>47.14</v>
      </c>
      <c r="G3075" s="17" t="n">
        <v>85668.37</v>
      </c>
      <c r="H3075" s="26" t="n">
        <v>45071</v>
      </c>
      <c r="I3075" s="26" t="n">
        <v>45071</v>
      </c>
      <c r="J3075" s="12" t="n">
        <v>46.87</v>
      </c>
      <c r="K3075" s="17" t="n">
        <v>4038406.96</v>
      </c>
      <c r="L3075" s="12" t="n">
        <v>0</v>
      </c>
      <c r="M3075" s="12" t="n">
        <v>11</v>
      </c>
      <c r="N3075" s="27">
        <f>F3075-J3075</f>
        <v/>
      </c>
      <c r="O3075" s="16">
        <f>I3075-H3075</f>
        <v/>
      </c>
      <c r="P3075" s="14">
        <f>F3075*G3075</f>
        <v/>
      </c>
      <c r="Q3075" s="14">
        <f>J3075*G3075</f>
        <v/>
      </c>
      <c r="R3075" s="14">
        <f>K3075-Q3075</f>
        <v/>
      </c>
      <c r="S3075" s="3">
        <f>P3075*Assumptions!$B$3/100</f>
        <v/>
      </c>
      <c r="T3075" s="14">
        <f>R3075-S3075</f>
        <v/>
      </c>
      <c r="U3075" s="14">
        <f>L3075*G3075</f>
        <v/>
      </c>
    </row>
    <row r="3076">
      <c r="A3076" s="12" t="inlineStr">
        <is>
          <t>PO-2022-3074</t>
        </is>
      </c>
      <c r="B3076" s="26" t="n">
        <v>44961</v>
      </c>
      <c r="C3076" s="12" t="inlineStr">
        <is>
          <t>VS01</t>
        </is>
      </c>
      <c r="D3076" s="12" t="inlineStr">
        <is>
          <t>Structural Steel</t>
        </is>
      </c>
      <c r="E3076" s="12" t="inlineStr">
        <is>
          <t>N</t>
        </is>
      </c>
      <c r="F3076" s="12" t="n">
        <v>4.23</v>
      </c>
      <c r="G3076" s="17" t="n">
        <v>103972.59</v>
      </c>
      <c r="H3076" s="26" t="n">
        <v>44972</v>
      </c>
      <c r="I3076" s="26" t="n">
        <v>44973</v>
      </c>
      <c r="J3076" s="12" t="n">
        <v>4.2</v>
      </c>
      <c r="K3076" s="17" t="n">
        <v>439804.06</v>
      </c>
      <c r="L3076" s="12" t="n">
        <v>0</v>
      </c>
      <c r="M3076" s="12" t="n">
        <v>2</v>
      </c>
      <c r="N3076" s="27">
        <f>F3076-J3076</f>
        <v/>
      </c>
      <c r="O3076" s="16">
        <f>I3076-H3076</f>
        <v/>
      </c>
      <c r="P3076" s="14">
        <f>F3076*G3076</f>
        <v/>
      </c>
      <c r="Q3076" s="14">
        <f>J3076*G3076</f>
        <v/>
      </c>
      <c r="R3076" s="14">
        <f>K3076-Q3076</f>
        <v/>
      </c>
      <c r="S3076" s="3">
        <f>P3076*Assumptions!$B$3/100</f>
        <v/>
      </c>
      <c r="T3076" s="14">
        <f>R3076-S3076</f>
        <v/>
      </c>
      <c r="U3076" s="14">
        <f>L3076*G3076</f>
        <v/>
      </c>
    </row>
    <row r="3077">
      <c r="A3077" s="12" t="inlineStr">
        <is>
          <t>PO-2022-3075</t>
        </is>
      </c>
      <c r="B3077" s="26" t="n">
        <v>44317</v>
      </c>
      <c r="C3077" s="12" t="inlineStr">
        <is>
          <t>VS06</t>
        </is>
      </c>
      <c r="D3077" s="12" t="inlineStr">
        <is>
          <t>ERW Pipes</t>
        </is>
      </c>
      <c r="E3077" s="12" t="inlineStr">
        <is>
          <t>N</t>
        </is>
      </c>
      <c r="F3077" s="12" t="n">
        <v>29.14</v>
      </c>
      <c r="G3077" s="17" t="n">
        <v>118104.34</v>
      </c>
      <c r="H3077" s="26" t="n">
        <v>44329</v>
      </c>
      <c r="I3077" s="26" t="n">
        <v>44330</v>
      </c>
      <c r="J3077" s="12" t="n">
        <v>28.95</v>
      </c>
      <c r="K3077" s="17" t="n">
        <v>3441560.47</v>
      </c>
      <c r="L3077" s="12" t="n">
        <v>0</v>
      </c>
      <c r="M3077" s="12" t="n">
        <v>17</v>
      </c>
      <c r="N3077" s="27">
        <f>F3077-J3077</f>
        <v/>
      </c>
      <c r="O3077" s="16">
        <f>I3077-H3077</f>
        <v/>
      </c>
      <c r="P3077" s="14">
        <f>F3077*G3077</f>
        <v/>
      </c>
      <c r="Q3077" s="14">
        <f>J3077*G3077</f>
        <v/>
      </c>
      <c r="R3077" s="14">
        <f>K3077-Q3077</f>
        <v/>
      </c>
      <c r="S3077" s="3">
        <f>P3077*Assumptions!$B$3/100</f>
        <v/>
      </c>
      <c r="T3077" s="14">
        <f>R3077-S3077</f>
        <v/>
      </c>
      <c r="U3077" s="14">
        <f>L3077*G3077</f>
        <v/>
      </c>
    </row>
    <row r="3078">
      <c r="A3078" s="12" t="inlineStr">
        <is>
          <t>PO-2022-3076</t>
        </is>
      </c>
      <c r="B3078" s="26" t="n">
        <v>44561</v>
      </c>
      <c r="C3078" s="12" t="inlineStr">
        <is>
          <t>VS30</t>
        </is>
      </c>
      <c r="D3078" s="12" t="inlineStr">
        <is>
          <t>ERW Pipes</t>
        </is>
      </c>
      <c r="E3078" s="12" t="inlineStr">
        <is>
          <t>N</t>
        </is>
      </c>
      <c r="F3078" s="12" t="n">
        <v>49.07</v>
      </c>
      <c r="G3078" s="17" t="n">
        <v>94270.28999999999</v>
      </c>
      <c r="H3078" s="26" t="n">
        <v>44569</v>
      </c>
      <c r="I3078" s="26" t="n">
        <v>44570</v>
      </c>
      <c r="J3078" s="12" t="n">
        <v>48.89</v>
      </c>
      <c r="K3078" s="17" t="n">
        <v>4625843.13</v>
      </c>
      <c r="L3078" s="12" t="n">
        <v>0</v>
      </c>
      <c r="M3078" s="12" t="n">
        <v>23</v>
      </c>
      <c r="N3078" s="27">
        <f>F3078-J3078</f>
        <v/>
      </c>
      <c r="O3078" s="16">
        <f>I3078-H3078</f>
        <v/>
      </c>
      <c r="P3078" s="14">
        <f>F3078*G3078</f>
        <v/>
      </c>
      <c r="Q3078" s="14">
        <f>J3078*G3078</f>
        <v/>
      </c>
      <c r="R3078" s="14">
        <f>K3078-Q3078</f>
        <v/>
      </c>
      <c r="S3078" s="3">
        <f>P3078*Assumptions!$B$3/100</f>
        <v/>
      </c>
      <c r="T3078" s="14">
        <f>R3078-S3078</f>
        <v/>
      </c>
      <c r="U3078" s="14">
        <f>L3078*G3078</f>
        <v/>
      </c>
    </row>
    <row r="3079">
      <c r="A3079" s="12" t="inlineStr">
        <is>
          <t>PO-2022-3077</t>
        </is>
      </c>
      <c r="B3079" s="26" t="n">
        <v>44577</v>
      </c>
      <c r="C3079" s="12" t="inlineStr">
        <is>
          <t>VS28</t>
        </is>
      </c>
      <c r="D3079" s="12" t="inlineStr">
        <is>
          <t>SS Pipes</t>
        </is>
      </c>
      <c r="E3079" s="12" t="inlineStr">
        <is>
          <t>Y</t>
        </is>
      </c>
      <c r="F3079" s="12" t="n">
        <v>37.63</v>
      </c>
      <c r="G3079" s="17" t="n">
        <v>48271.47</v>
      </c>
      <c r="H3079" s="26" t="n">
        <v>44585</v>
      </c>
      <c r="I3079" s="26" t="n">
        <v>44588</v>
      </c>
      <c r="J3079" s="12" t="n">
        <v>37.42</v>
      </c>
      <c r="K3079" s="17" t="n">
        <v>1816455.42</v>
      </c>
      <c r="L3079" s="12" t="n">
        <v>0</v>
      </c>
      <c r="M3079" s="12" t="n">
        <v>11</v>
      </c>
      <c r="N3079" s="27">
        <f>F3079-J3079</f>
        <v/>
      </c>
      <c r="O3079" s="16">
        <f>I3079-H3079</f>
        <v/>
      </c>
      <c r="P3079" s="14">
        <f>F3079*G3079</f>
        <v/>
      </c>
      <c r="Q3079" s="14">
        <f>J3079*G3079</f>
        <v/>
      </c>
      <c r="R3079" s="14">
        <f>K3079-Q3079</f>
        <v/>
      </c>
      <c r="S3079" s="3">
        <f>P3079*Assumptions!$B$3/100</f>
        <v/>
      </c>
      <c r="T3079" s="14">
        <f>R3079-S3079</f>
        <v/>
      </c>
      <c r="U3079" s="14">
        <f>L3079*G3079</f>
        <v/>
      </c>
    </row>
    <row r="3080">
      <c r="A3080" s="12" t="inlineStr">
        <is>
          <t>PO-2022-3078</t>
        </is>
      </c>
      <c r="B3080" s="26" t="n">
        <v>44662</v>
      </c>
      <c r="C3080" s="12" t="inlineStr">
        <is>
          <t>VS29</t>
        </is>
      </c>
      <c r="D3080" s="12" t="inlineStr">
        <is>
          <t>GI Pipes</t>
        </is>
      </c>
      <c r="E3080" s="12" t="inlineStr">
        <is>
          <t>N</t>
        </is>
      </c>
      <c r="F3080" s="12" t="n">
        <v>41.22</v>
      </c>
      <c r="G3080" s="17" t="n">
        <v>55212.32</v>
      </c>
      <c r="H3080" s="26" t="n">
        <v>44665</v>
      </c>
      <c r="I3080" s="26" t="n">
        <v>44667</v>
      </c>
      <c r="J3080" s="12" t="n">
        <v>40.88</v>
      </c>
      <c r="K3080" s="17" t="n">
        <v>2275851.83</v>
      </c>
      <c r="L3080" s="12" t="n">
        <v>0</v>
      </c>
      <c r="M3080" s="12" t="n">
        <v>25</v>
      </c>
      <c r="N3080" s="27">
        <f>F3080-J3080</f>
        <v/>
      </c>
      <c r="O3080" s="16">
        <f>I3080-H3080</f>
        <v/>
      </c>
      <c r="P3080" s="14">
        <f>F3080*G3080</f>
        <v/>
      </c>
      <c r="Q3080" s="14">
        <f>J3080*G3080</f>
        <v/>
      </c>
      <c r="R3080" s="14">
        <f>K3080-Q3080</f>
        <v/>
      </c>
      <c r="S3080" s="3">
        <f>P3080*Assumptions!$B$3/100</f>
        <v/>
      </c>
      <c r="T3080" s="14">
        <f>R3080-S3080</f>
        <v/>
      </c>
      <c r="U3080" s="14">
        <f>L3080*G3080</f>
        <v/>
      </c>
    </row>
    <row r="3081">
      <c r="A3081" s="12" t="inlineStr">
        <is>
          <t>PO-2022-3079</t>
        </is>
      </c>
      <c r="B3081" s="26" t="n">
        <v>44264</v>
      </c>
      <c r="C3081" s="12" t="inlineStr">
        <is>
          <t>VS30</t>
        </is>
      </c>
      <c r="D3081" s="12" t="inlineStr">
        <is>
          <t>SS Pipes</t>
        </is>
      </c>
      <c r="E3081" s="12" t="inlineStr">
        <is>
          <t>N</t>
        </is>
      </c>
      <c r="F3081" s="12" t="n">
        <v>40.67</v>
      </c>
      <c r="G3081" s="17" t="n">
        <v>89523.63</v>
      </c>
      <c r="H3081" s="26" t="n">
        <v>44277</v>
      </c>
      <c r="I3081" s="26" t="n">
        <v>44279</v>
      </c>
      <c r="J3081" s="12" t="n">
        <v>40.59</v>
      </c>
      <c r="K3081" s="17" t="n">
        <v>3640926.03</v>
      </c>
      <c r="L3081" s="12" t="n">
        <v>0</v>
      </c>
      <c r="M3081" s="12" t="n">
        <v>0</v>
      </c>
      <c r="N3081" s="27">
        <f>F3081-J3081</f>
        <v/>
      </c>
      <c r="O3081" s="16">
        <f>I3081-H3081</f>
        <v/>
      </c>
      <c r="P3081" s="14">
        <f>F3081*G3081</f>
        <v/>
      </c>
      <c r="Q3081" s="14">
        <f>J3081*G3081</f>
        <v/>
      </c>
      <c r="R3081" s="14">
        <f>K3081-Q3081</f>
        <v/>
      </c>
      <c r="S3081" s="3">
        <f>P3081*Assumptions!$B$3/100</f>
        <v/>
      </c>
      <c r="T3081" s="14">
        <f>R3081-S3081</f>
        <v/>
      </c>
      <c r="U3081" s="14">
        <f>L3081*G3081</f>
        <v/>
      </c>
    </row>
    <row r="3082">
      <c r="A3082" s="12" t="inlineStr">
        <is>
          <t>PO-2022-3080</t>
        </is>
      </c>
      <c r="B3082" s="26" t="n">
        <v>44227</v>
      </c>
      <c r="C3082" s="12" t="inlineStr">
        <is>
          <t>VS01</t>
        </is>
      </c>
      <c r="D3082" s="12" t="inlineStr">
        <is>
          <t>Structural Steel</t>
        </is>
      </c>
      <c r="E3082" s="12" t="inlineStr">
        <is>
          <t>N</t>
        </is>
      </c>
      <c r="F3082" s="12" t="n">
        <v>13.56</v>
      </c>
      <c r="G3082" s="17" t="n">
        <v>97549.58</v>
      </c>
      <c r="H3082" s="26" t="n">
        <v>44240</v>
      </c>
      <c r="I3082" s="26" t="n">
        <v>44242</v>
      </c>
      <c r="J3082" s="12" t="n">
        <v>13.54</v>
      </c>
      <c r="K3082" s="17" t="n">
        <v>1322772.3</v>
      </c>
      <c r="L3082" s="12" t="n">
        <v>0</v>
      </c>
      <c r="M3082" s="12" t="n">
        <v>0</v>
      </c>
      <c r="N3082" s="27">
        <f>F3082-J3082</f>
        <v/>
      </c>
      <c r="O3082" s="16">
        <f>I3082-H3082</f>
        <v/>
      </c>
      <c r="P3082" s="14">
        <f>F3082*G3082</f>
        <v/>
      </c>
      <c r="Q3082" s="14">
        <f>J3082*G3082</f>
        <v/>
      </c>
      <c r="R3082" s="14">
        <f>K3082-Q3082</f>
        <v/>
      </c>
      <c r="S3082" s="3">
        <f>P3082*Assumptions!$B$3/100</f>
        <v/>
      </c>
      <c r="T3082" s="14">
        <f>R3082-S3082</f>
        <v/>
      </c>
      <c r="U3082" s="14">
        <f>L3082*G3082</f>
        <v/>
      </c>
    </row>
    <row r="3083">
      <c r="A3083" s="12" t="inlineStr">
        <is>
          <t>PO-2022-3081</t>
        </is>
      </c>
      <c r="B3083" s="26" t="n">
        <v>44374</v>
      </c>
      <c r="C3083" s="12" t="inlineStr">
        <is>
          <t>VS33</t>
        </is>
      </c>
      <c r="D3083" s="12" t="inlineStr">
        <is>
          <t>SS Sheets</t>
        </is>
      </c>
      <c r="E3083" s="12" t="inlineStr">
        <is>
          <t>N</t>
        </is>
      </c>
      <c r="F3083" s="12" t="n">
        <v>28.53</v>
      </c>
      <c r="G3083" s="17" t="n">
        <v>69542.16</v>
      </c>
      <c r="H3083" s="26" t="n">
        <v>44381</v>
      </c>
      <c r="I3083" s="26" t="n">
        <v>44381</v>
      </c>
      <c r="J3083" s="12" t="n">
        <v>28.31</v>
      </c>
      <c r="K3083" s="17" t="n">
        <v>1984037.82</v>
      </c>
      <c r="L3083" s="12" t="n">
        <v>0</v>
      </c>
      <c r="M3083" s="12" t="n">
        <v>0</v>
      </c>
      <c r="N3083" s="27">
        <f>F3083-J3083</f>
        <v/>
      </c>
      <c r="O3083" s="16">
        <f>I3083-H3083</f>
        <v/>
      </c>
      <c r="P3083" s="14">
        <f>F3083*G3083</f>
        <v/>
      </c>
      <c r="Q3083" s="14">
        <f>J3083*G3083</f>
        <v/>
      </c>
      <c r="R3083" s="14">
        <f>K3083-Q3083</f>
        <v/>
      </c>
      <c r="S3083" s="3">
        <f>P3083*Assumptions!$B$3/100</f>
        <v/>
      </c>
      <c r="T3083" s="14">
        <f>R3083-S3083</f>
        <v/>
      </c>
      <c r="U3083" s="14">
        <f>L3083*G3083</f>
        <v/>
      </c>
    </row>
    <row r="3084">
      <c r="A3084" s="12" t="inlineStr">
        <is>
          <t>PO-2022-3082</t>
        </is>
      </c>
      <c r="B3084" s="26" t="n">
        <v>44661</v>
      </c>
      <c r="C3084" s="12" t="inlineStr">
        <is>
          <t>VS10</t>
        </is>
      </c>
      <c r="D3084" s="12" t="inlineStr">
        <is>
          <t>Hex Bars</t>
        </is>
      </c>
      <c r="E3084" s="12" t="inlineStr">
        <is>
          <t>N</t>
        </is>
      </c>
      <c r="F3084" s="12" t="n">
        <v>23.95</v>
      </c>
      <c r="G3084" s="17" t="n">
        <v>89482.36</v>
      </c>
      <c r="H3084" s="26" t="n">
        <v>44673</v>
      </c>
      <c r="I3084" s="26" t="n">
        <v>44674</v>
      </c>
      <c r="J3084" s="12" t="n">
        <v>23.82</v>
      </c>
      <c r="K3084" s="17" t="n">
        <v>2143102.52</v>
      </c>
      <c r="L3084" s="12" t="n">
        <v>0</v>
      </c>
      <c r="M3084" s="12" t="n">
        <v>6</v>
      </c>
      <c r="N3084" s="27">
        <f>F3084-J3084</f>
        <v/>
      </c>
      <c r="O3084" s="16">
        <f>I3084-H3084</f>
        <v/>
      </c>
      <c r="P3084" s="14">
        <f>F3084*G3084</f>
        <v/>
      </c>
      <c r="Q3084" s="14">
        <f>J3084*G3084</f>
        <v/>
      </c>
      <c r="R3084" s="14">
        <f>K3084-Q3084</f>
        <v/>
      </c>
      <c r="S3084" s="3">
        <f>P3084*Assumptions!$B$3/100</f>
        <v/>
      </c>
      <c r="T3084" s="14">
        <f>R3084-S3084</f>
        <v/>
      </c>
      <c r="U3084" s="14">
        <f>L3084*G3084</f>
        <v/>
      </c>
    </row>
    <row r="3085">
      <c r="A3085" s="12" t="inlineStr">
        <is>
          <t>PO-2022-3083</t>
        </is>
      </c>
      <c r="B3085" s="26" t="n">
        <v>44633</v>
      </c>
      <c r="C3085" s="12" t="inlineStr">
        <is>
          <t>VS27</t>
        </is>
      </c>
      <c r="D3085" s="12" t="inlineStr">
        <is>
          <t>Angles &amp; Channels</t>
        </is>
      </c>
      <c r="E3085" s="12" t="inlineStr">
        <is>
          <t>N</t>
        </is>
      </c>
      <c r="F3085" s="12" t="n">
        <v>7.44</v>
      </c>
      <c r="G3085" s="17" t="n">
        <v>64281.81</v>
      </c>
      <c r="H3085" s="26" t="n">
        <v>44643</v>
      </c>
      <c r="I3085" s="26" t="n">
        <v>44644</v>
      </c>
      <c r="J3085" s="12" t="n">
        <v>7.42</v>
      </c>
      <c r="K3085" s="17" t="n">
        <v>478256.67</v>
      </c>
      <c r="L3085" s="12" t="n">
        <v>0</v>
      </c>
      <c r="M3085" s="12" t="n">
        <v>9</v>
      </c>
      <c r="N3085" s="27">
        <f>F3085-J3085</f>
        <v/>
      </c>
      <c r="O3085" s="16">
        <f>I3085-H3085</f>
        <v/>
      </c>
      <c r="P3085" s="14">
        <f>F3085*G3085</f>
        <v/>
      </c>
      <c r="Q3085" s="14">
        <f>J3085*G3085</f>
        <v/>
      </c>
      <c r="R3085" s="14">
        <f>K3085-Q3085</f>
        <v/>
      </c>
      <c r="S3085" s="3">
        <f>P3085*Assumptions!$B$3/100</f>
        <v/>
      </c>
      <c r="T3085" s="14">
        <f>R3085-S3085</f>
        <v/>
      </c>
      <c r="U3085" s="14">
        <f>L3085*G3085</f>
        <v/>
      </c>
    </row>
    <row r="3086">
      <c r="A3086" s="12" t="inlineStr">
        <is>
          <t>PO-2022-3084</t>
        </is>
      </c>
      <c r="B3086" s="26" t="n">
        <v>44433</v>
      </c>
      <c r="C3086" s="12" t="inlineStr">
        <is>
          <t>VS27</t>
        </is>
      </c>
      <c r="D3086" s="12" t="inlineStr">
        <is>
          <t>SS Pipes</t>
        </is>
      </c>
      <c r="E3086" s="12" t="inlineStr">
        <is>
          <t>Y</t>
        </is>
      </c>
      <c r="F3086" s="12" t="n">
        <v>48.01</v>
      </c>
      <c r="G3086" s="17" t="n">
        <v>104477.37</v>
      </c>
      <c r="H3086" s="26" t="n">
        <v>44444</v>
      </c>
      <c r="I3086" s="26" t="n">
        <v>44445</v>
      </c>
      <c r="J3086" s="12" t="n">
        <v>47.87</v>
      </c>
      <c r="K3086" s="17" t="n">
        <v>5015958.53</v>
      </c>
      <c r="L3086" s="12" t="n">
        <v>0</v>
      </c>
      <c r="M3086" s="12" t="n">
        <v>19</v>
      </c>
      <c r="N3086" s="27">
        <f>F3086-J3086</f>
        <v/>
      </c>
      <c r="O3086" s="16">
        <f>I3086-H3086</f>
        <v/>
      </c>
      <c r="P3086" s="14">
        <f>F3086*G3086</f>
        <v/>
      </c>
      <c r="Q3086" s="14">
        <f>J3086*G3086</f>
        <v/>
      </c>
      <c r="R3086" s="14">
        <f>K3086-Q3086</f>
        <v/>
      </c>
      <c r="S3086" s="3">
        <f>P3086*Assumptions!$B$3/100</f>
        <v/>
      </c>
      <c r="T3086" s="14">
        <f>R3086-S3086</f>
        <v/>
      </c>
      <c r="U3086" s="14">
        <f>L3086*G3086</f>
        <v/>
      </c>
    </row>
    <row r="3087">
      <c r="A3087" s="12" t="inlineStr">
        <is>
          <t>PO-2022-3085</t>
        </is>
      </c>
      <c r="B3087" s="26" t="n">
        <v>44486</v>
      </c>
      <c r="C3087" s="12" t="inlineStr">
        <is>
          <t>VS31</t>
        </is>
      </c>
      <c r="D3087" s="12" t="inlineStr">
        <is>
          <t>GI Sheets</t>
        </is>
      </c>
      <c r="E3087" s="12" t="inlineStr">
        <is>
          <t>Y</t>
        </is>
      </c>
      <c r="F3087" s="12" t="n">
        <v>40.43</v>
      </c>
      <c r="G3087" s="17" t="n">
        <v>105820.26</v>
      </c>
      <c r="H3087" s="26" t="n">
        <v>44490</v>
      </c>
      <c r="I3087" s="26" t="n">
        <v>44493</v>
      </c>
      <c r="J3087" s="12" t="n">
        <v>40.11</v>
      </c>
      <c r="K3087" s="17" t="n">
        <v>4278313.11</v>
      </c>
      <c r="L3087" s="12" t="n">
        <v>0</v>
      </c>
      <c r="M3087" s="12" t="n">
        <v>10</v>
      </c>
      <c r="N3087" s="27">
        <f>F3087-J3087</f>
        <v/>
      </c>
      <c r="O3087" s="16">
        <f>I3087-H3087</f>
        <v/>
      </c>
      <c r="P3087" s="14">
        <f>F3087*G3087</f>
        <v/>
      </c>
      <c r="Q3087" s="14">
        <f>J3087*G3087</f>
        <v/>
      </c>
      <c r="R3087" s="14">
        <f>K3087-Q3087</f>
        <v/>
      </c>
      <c r="S3087" s="3">
        <f>P3087*Assumptions!$B$3/100</f>
        <v/>
      </c>
      <c r="T3087" s="14">
        <f>R3087-S3087</f>
        <v/>
      </c>
      <c r="U3087" s="14">
        <f>L3087*G3087</f>
        <v/>
      </c>
    </row>
    <row r="3088">
      <c r="A3088" s="12" t="inlineStr">
        <is>
          <t>PO-2022-3086</t>
        </is>
      </c>
      <c r="B3088" s="26" t="n">
        <v>44633</v>
      </c>
      <c r="C3088" s="12" t="inlineStr">
        <is>
          <t>VS05</t>
        </is>
      </c>
      <c r="D3088" s="12" t="inlineStr">
        <is>
          <t>GI Pipes</t>
        </is>
      </c>
      <c r="E3088" s="12" t="inlineStr">
        <is>
          <t>N</t>
        </is>
      </c>
      <c r="F3088" s="12" t="n">
        <v>13.63</v>
      </c>
      <c r="G3088" s="17" t="n">
        <v>48405.3</v>
      </c>
      <c r="H3088" s="26" t="n">
        <v>44641</v>
      </c>
      <c r="I3088" s="26" t="n">
        <v>44642</v>
      </c>
      <c r="J3088" s="12" t="n">
        <v>13.59</v>
      </c>
      <c r="K3088" s="17" t="n">
        <v>659764.24</v>
      </c>
      <c r="L3088" s="12" t="n">
        <v>0</v>
      </c>
      <c r="M3088" s="12" t="n">
        <v>0</v>
      </c>
      <c r="N3088" s="27">
        <f>F3088-J3088</f>
        <v/>
      </c>
      <c r="O3088" s="16">
        <f>I3088-H3088</f>
        <v/>
      </c>
      <c r="P3088" s="14">
        <f>F3088*G3088</f>
        <v/>
      </c>
      <c r="Q3088" s="14">
        <f>J3088*G3088</f>
        <v/>
      </c>
      <c r="R3088" s="14">
        <f>K3088-Q3088</f>
        <v/>
      </c>
      <c r="S3088" s="3">
        <f>P3088*Assumptions!$B$3/100</f>
        <v/>
      </c>
      <c r="T3088" s="14">
        <f>R3088-S3088</f>
        <v/>
      </c>
      <c r="U3088" s="14">
        <f>L3088*G3088</f>
        <v/>
      </c>
    </row>
    <row r="3089">
      <c r="A3089" s="12" t="inlineStr">
        <is>
          <t>PO-2022-3087</t>
        </is>
      </c>
      <c r="B3089" s="26" t="n">
        <v>45022</v>
      </c>
      <c r="C3089" s="12" t="inlineStr">
        <is>
          <t>VS15</t>
        </is>
      </c>
      <c r="D3089" s="12" t="inlineStr">
        <is>
          <t>MS Sheets</t>
        </is>
      </c>
      <c r="E3089" s="12" t="inlineStr">
        <is>
          <t>N</t>
        </is>
      </c>
      <c r="F3089" s="12" t="n">
        <v>4.37</v>
      </c>
      <c r="G3089" s="17" t="n">
        <v>111930.14</v>
      </c>
      <c r="H3089" s="26" t="n">
        <v>45028</v>
      </c>
      <c r="I3089" s="26" t="n">
        <v>45030</v>
      </c>
      <c r="J3089" s="12" t="n">
        <v>4.36</v>
      </c>
      <c r="K3089" s="17" t="n">
        <v>489134.71</v>
      </c>
      <c r="L3089" s="12" t="n">
        <v>0</v>
      </c>
      <c r="M3089" s="12" t="n">
        <v>4</v>
      </c>
      <c r="N3089" s="27">
        <f>F3089-J3089</f>
        <v/>
      </c>
      <c r="O3089" s="16">
        <f>I3089-H3089</f>
        <v/>
      </c>
      <c r="P3089" s="14">
        <f>F3089*G3089</f>
        <v/>
      </c>
      <c r="Q3089" s="14">
        <f>J3089*G3089</f>
        <v/>
      </c>
      <c r="R3089" s="14">
        <f>K3089-Q3089</f>
        <v/>
      </c>
      <c r="S3089" s="3">
        <f>P3089*Assumptions!$B$3/100</f>
        <v/>
      </c>
      <c r="T3089" s="14">
        <f>R3089-S3089</f>
        <v/>
      </c>
      <c r="U3089" s="14">
        <f>L3089*G3089</f>
        <v/>
      </c>
    </row>
    <row r="3090">
      <c r="A3090" s="12" t="inlineStr">
        <is>
          <t>PO-2022-3088</t>
        </is>
      </c>
      <c r="B3090" s="26" t="n">
        <v>44934</v>
      </c>
      <c r="C3090" s="12" t="inlineStr">
        <is>
          <t>VS29</t>
        </is>
      </c>
      <c r="D3090" s="12" t="inlineStr">
        <is>
          <t>CR Sheets</t>
        </is>
      </c>
      <c r="E3090" s="12" t="inlineStr">
        <is>
          <t>N</t>
        </is>
      </c>
      <c r="F3090" s="12" t="n">
        <v>26.68</v>
      </c>
      <c r="G3090" s="17" t="n">
        <v>111098.17</v>
      </c>
      <c r="H3090" s="26" t="n">
        <v>44940</v>
      </c>
      <c r="I3090" s="26" t="n">
        <v>44940</v>
      </c>
      <c r="J3090" s="12" t="n">
        <v>26.56</v>
      </c>
      <c r="K3090" s="17" t="n">
        <v>2964099.18</v>
      </c>
      <c r="L3090" s="12" t="n">
        <v>0</v>
      </c>
      <c r="M3090" s="12" t="n">
        <v>15</v>
      </c>
      <c r="N3090" s="27">
        <f>F3090-J3090</f>
        <v/>
      </c>
      <c r="O3090" s="16">
        <f>I3090-H3090</f>
        <v/>
      </c>
      <c r="P3090" s="14">
        <f>F3090*G3090</f>
        <v/>
      </c>
      <c r="Q3090" s="14">
        <f>J3090*G3090</f>
        <v/>
      </c>
      <c r="R3090" s="14">
        <f>K3090-Q3090</f>
        <v/>
      </c>
      <c r="S3090" s="3">
        <f>P3090*Assumptions!$B$3/100</f>
        <v/>
      </c>
      <c r="T3090" s="14">
        <f>R3090-S3090</f>
        <v/>
      </c>
      <c r="U3090" s="14">
        <f>L3090*G3090</f>
        <v/>
      </c>
    </row>
    <row r="3091">
      <c r="A3091" s="12" t="inlineStr">
        <is>
          <t>PO-2022-3089</t>
        </is>
      </c>
      <c r="B3091" s="26" t="n">
        <v>44887</v>
      </c>
      <c r="C3091" s="12" t="inlineStr">
        <is>
          <t>VS10</t>
        </is>
      </c>
      <c r="D3091" s="12" t="inlineStr">
        <is>
          <t>GI Wire</t>
        </is>
      </c>
      <c r="E3091" s="12" t="inlineStr">
        <is>
          <t>N</t>
        </is>
      </c>
      <c r="F3091" s="12" t="n">
        <v>26.97</v>
      </c>
      <c r="G3091" s="17" t="n">
        <v>75422.37</v>
      </c>
      <c r="H3091" s="26" t="n">
        <v>44894</v>
      </c>
      <c r="I3091" s="26" t="n">
        <v>44895</v>
      </c>
      <c r="J3091" s="12" t="n">
        <v>26.7</v>
      </c>
      <c r="K3091" s="17" t="n">
        <v>2034141.32</v>
      </c>
      <c r="L3091" s="12" t="n">
        <v>0</v>
      </c>
      <c r="M3091" s="12" t="n">
        <v>0</v>
      </c>
      <c r="N3091" s="27">
        <f>F3091-J3091</f>
        <v/>
      </c>
      <c r="O3091" s="16">
        <f>I3091-H3091</f>
        <v/>
      </c>
      <c r="P3091" s="14">
        <f>F3091*G3091</f>
        <v/>
      </c>
      <c r="Q3091" s="14">
        <f>J3091*G3091</f>
        <v/>
      </c>
      <c r="R3091" s="14">
        <f>K3091-Q3091</f>
        <v/>
      </c>
      <c r="S3091" s="3">
        <f>P3091*Assumptions!$B$3/100</f>
        <v/>
      </c>
      <c r="T3091" s="14">
        <f>R3091-S3091</f>
        <v/>
      </c>
      <c r="U3091" s="14">
        <f>L3091*G3091</f>
        <v/>
      </c>
    </row>
    <row r="3092">
      <c r="A3092" s="12" t="inlineStr">
        <is>
          <t>PO-2022-3090</t>
        </is>
      </c>
      <c r="B3092" s="26" t="n">
        <v>45088</v>
      </c>
      <c r="C3092" s="12" t="inlineStr">
        <is>
          <t>VS03</t>
        </is>
      </c>
      <c r="D3092" s="12" t="inlineStr">
        <is>
          <t>GI Wire</t>
        </is>
      </c>
      <c r="E3092" s="12" t="inlineStr">
        <is>
          <t>N</t>
        </is>
      </c>
      <c r="F3092" s="12" t="n">
        <v>22.94</v>
      </c>
      <c r="G3092" s="17" t="n">
        <v>92686.31</v>
      </c>
      <c r="H3092" s="26" t="n">
        <v>45094</v>
      </c>
      <c r="I3092" s="26" t="n">
        <v>45101</v>
      </c>
      <c r="J3092" s="12" t="n">
        <v>22.37</v>
      </c>
      <c r="K3092" s="17" t="n">
        <v>2126223.95</v>
      </c>
      <c r="L3092" s="12" t="n">
        <v>0.96</v>
      </c>
      <c r="M3092" s="12" t="n">
        <v>22</v>
      </c>
      <c r="N3092" s="27">
        <f>F3092-J3092</f>
        <v/>
      </c>
      <c r="O3092" s="16">
        <f>I3092-H3092</f>
        <v/>
      </c>
      <c r="P3092" s="14">
        <f>F3092*G3092</f>
        <v/>
      </c>
      <c r="Q3092" s="14">
        <f>J3092*G3092</f>
        <v/>
      </c>
      <c r="R3092" s="14">
        <f>K3092-Q3092</f>
        <v/>
      </c>
      <c r="S3092" s="3">
        <f>P3092*Assumptions!$B$3/100</f>
        <v/>
      </c>
      <c r="T3092" s="14">
        <f>R3092-S3092</f>
        <v/>
      </c>
      <c r="U3092" s="14">
        <f>L3092*G3092</f>
        <v/>
      </c>
    </row>
    <row r="3093">
      <c r="A3093" s="12" t="inlineStr">
        <is>
          <t>PO-2022-3091</t>
        </is>
      </c>
      <c r="B3093" s="26" t="n">
        <v>44711</v>
      </c>
      <c r="C3093" s="12" t="inlineStr">
        <is>
          <t>VS20</t>
        </is>
      </c>
      <c r="D3093" s="12" t="inlineStr">
        <is>
          <t>Spring Steel</t>
        </is>
      </c>
      <c r="E3093" s="12" t="inlineStr">
        <is>
          <t>N</t>
        </is>
      </c>
      <c r="F3093" s="12" t="n">
        <v>25.67</v>
      </c>
      <c r="G3093" s="17" t="n">
        <v>86037.19</v>
      </c>
      <c r="H3093" s="26" t="n">
        <v>44716</v>
      </c>
      <c r="I3093" s="26" t="n">
        <v>44718</v>
      </c>
      <c r="J3093" s="12" t="n">
        <v>25.54</v>
      </c>
      <c r="K3093" s="17" t="n">
        <v>2208574.67</v>
      </c>
      <c r="L3093" s="12" t="n">
        <v>0</v>
      </c>
      <c r="M3093" s="12" t="n">
        <v>7</v>
      </c>
      <c r="N3093" s="27">
        <f>F3093-J3093</f>
        <v/>
      </c>
      <c r="O3093" s="16">
        <f>I3093-H3093</f>
        <v/>
      </c>
      <c r="P3093" s="14">
        <f>F3093*G3093</f>
        <v/>
      </c>
      <c r="Q3093" s="14">
        <f>J3093*G3093</f>
        <v/>
      </c>
      <c r="R3093" s="14">
        <f>K3093-Q3093</f>
        <v/>
      </c>
      <c r="S3093" s="3">
        <f>P3093*Assumptions!$B$3/100</f>
        <v/>
      </c>
      <c r="T3093" s="14">
        <f>R3093-S3093</f>
        <v/>
      </c>
      <c r="U3093" s="14">
        <f>L3093*G3093</f>
        <v/>
      </c>
    </row>
    <row r="3094">
      <c r="A3094" s="12" t="inlineStr">
        <is>
          <t>PO-2022-3092</t>
        </is>
      </c>
      <c r="B3094" s="26" t="n">
        <v>44848</v>
      </c>
      <c r="C3094" s="12" t="inlineStr">
        <is>
          <t>VS15</t>
        </is>
      </c>
      <c r="D3094" s="12" t="inlineStr">
        <is>
          <t>MS Rods</t>
        </is>
      </c>
      <c r="E3094" s="12" t="inlineStr">
        <is>
          <t>N</t>
        </is>
      </c>
      <c r="F3094" s="12" t="n">
        <v>46.14</v>
      </c>
      <c r="G3094" s="17" t="n">
        <v>104834.52</v>
      </c>
      <c r="H3094" s="26" t="n">
        <v>44861</v>
      </c>
      <c r="I3094" s="26" t="n">
        <v>44862</v>
      </c>
      <c r="J3094" s="12" t="n">
        <v>45.98</v>
      </c>
      <c r="K3094" s="17" t="n">
        <v>4837064.75</v>
      </c>
      <c r="L3094" s="12" t="n">
        <v>0</v>
      </c>
      <c r="M3094" s="12" t="n">
        <v>20</v>
      </c>
      <c r="N3094" s="27">
        <f>F3094-J3094</f>
        <v/>
      </c>
      <c r="O3094" s="16">
        <f>I3094-H3094</f>
        <v/>
      </c>
      <c r="P3094" s="14">
        <f>F3094*G3094</f>
        <v/>
      </c>
      <c r="Q3094" s="14">
        <f>J3094*G3094</f>
        <v/>
      </c>
      <c r="R3094" s="14">
        <f>K3094-Q3094</f>
        <v/>
      </c>
      <c r="S3094" s="3">
        <f>P3094*Assumptions!$B$3/100</f>
        <v/>
      </c>
      <c r="T3094" s="14">
        <f>R3094-S3094</f>
        <v/>
      </c>
      <c r="U3094" s="14">
        <f>L3094*G3094</f>
        <v/>
      </c>
    </row>
    <row r="3095">
      <c r="A3095" s="12" t="inlineStr">
        <is>
          <t>PO-2022-3093</t>
        </is>
      </c>
      <c r="B3095" s="26" t="n">
        <v>44807</v>
      </c>
      <c r="C3095" s="12" t="inlineStr">
        <is>
          <t>VS26</t>
        </is>
      </c>
      <c r="D3095" s="12" t="inlineStr">
        <is>
          <t>Square/Rect Tubes</t>
        </is>
      </c>
      <c r="E3095" s="12" t="inlineStr">
        <is>
          <t>N</t>
        </is>
      </c>
      <c r="F3095" s="12" t="n">
        <v>27.47</v>
      </c>
      <c r="G3095" s="17" t="n">
        <v>69813.62</v>
      </c>
      <c r="H3095" s="26" t="n">
        <v>44810</v>
      </c>
      <c r="I3095" s="26" t="n">
        <v>44812</v>
      </c>
      <c r="J3095" s="12" t="n">
        <v>27.25</v>
      </c>
      <c r="K3095" s="17" t="n">
        <v>1917780.14</v>
      </c>
      <c r="L3095" s="12" t="n">
        <v>0</v>
      </c>
      <c r="M3095" s="12" t="n">
        <v>7</v>
      </c>
      <c r="N3095" s="27">
        <f>F3095-J3095</f>
        <v/>
      </c>
      <c r="O3095" s="16">
        <f>I3095-H3095</f>
        <v/>
      </c>
      <c r="P3095" s="14">
        <f>F3095*G3095</f>
        <v/>
      </c>
      <c r="Q3095" s="14">
        <f>J3095*G3095</f>
        <v/>
      </c>
      <c r="R3095" s="14">
        <f>K3095-Q3095</f>
        <v/>
      </c>
      <c r="S3095" s="3">
        <f>P3095*Assumptions!$B$3/100</f>
        <v/>
      </c>
      <c r="T3095" s="14">
        <f>R3095-S3095</f>
        <v/>
      </c>
      <c r="U3095" s="14">
        <f>L3095*G3095</f>
        <v/>
      </c>
    </row>
    <row r="3096">
      <c r="A3096" s="12" t="inlineStr">
        <is>
          <t>PO-2022-3094</t>
        </is>
      </c>
      <c r="B3096" s="26" t="n">
        <v>45109</v>
      </c>
      <c r="C3096" s="12" t="inlineStr">
        <is>
          <t>VS29</t>
        </is>
      </c>
      <c r="D3096" s="12" t="inlineStr">
        <is>
          <t>CR Sheets</t>
        </is>
      </c>
      <c r="E3096" s="12" t="inlineStr">
        <is>
          <t>N</t>
        </is>
      </c>
      <c r="F3096" s="12" t="n">
        <v>35.53</v>
      </c>
      <c r="G3096" s="17" t="n">
        <v>74510.52</v>
      </c>
      <c r="H3096" s="26" t="n">
        <v>45119</v>
      </c>
      <c r="I3096" s="26" t="n">
        <v>45119</v>
      </c>
      <c r="J3096" s="12" t="n">
        <v>35.43</v>
      </c>
      <c r="K3096" s="17" t="n">
        <v>2647358.78</v>
      </c>
      <c r="L3096" s="12" t="n">
        <v>0</v>
      </c>
      <c r="M3096" s="12" t="n">
        <v>13</v>
      </c>
      <c r="N3096" s="27">
        <f>F3096-J3096</f>
        <v/>
      </c>
      <c r="O3096" s="16">
        <f>I3096-H3096</f>
        <v/>
      </c>
      <c r="P3096" s="14">
        <f>F3096*G3096</f>
        <v/>
      </c>
      <c r="Q3096" s="14">
        <f>J3096*G3096</f>
        <v/>
      </c>
      <c r="R3096" s="14">
        <f>K3096-Q3096</f>
        <v/>
      </c>
      <c r="S3096" s="3">
        <f>P3096*Assumptions!$B$3/100</f>
        <v/>
      </c>
      <c r="T3096" s="14">
        <f>R3096-S3096</f>
        <v/>
      </c>
      <c r="U3096" s="14">
        <f>L3096*G3096</f>
        <v/>
      </c>
    </row>
    <row r="3097">
      <c r="A3097" s="12" t="inlineStr">
        <is>
          <t>PO-2022-3095</t>
        </is>
      </c>
      <c r="B3097" s="26" t="n">
        <v>44884</v>
      </c>
      <c r="C3097" s="12" t="inlineStr">
        <is>
          <t>VS23</t>
        </is>
      </c>
      <c r="D3097" s="12" t="inlineStr">
        <is>
          <t>SS Pipes</t>
        </is>
      </c>
      <c r="E3097" s="12" t="inlineStr">
        <is>
          <t>N</t>
        </is>
      </c>
      <c r="F3097" s="12" t="n">
        <v>18.85</v>
      </c>
      <c r="G3097" s="17" t="n">
        <v>74779.94</v>
      </c>
      <c r="H3097" s="26" t="n">
        <v>44890</v>
      </c>
      <c r="I3097" s="26" t="n">
        <v>44891</v>
      </c>
      <c r="J3097" s="12" t="n">
        <v>18.76</v>
      </c>
      <c r="K3097" s="17" t="n">
        <v>1409601.87</v>
      </c>
      <c r="L3097" s="12" t="n">
        <v>0</v>
      </c>
      <c r="M3097" s="12" t="n">
        <v>23</v>
      </c>
      <c r="N3097" s="27">
        <f>F3097-J3097</f>
        <v/>
      </c>
      <c r="O3097" s="16">
        <f>I3097-H3097</f>
        <v/>
      </c>
      <c r="P3097" s="14">
        <f>F3097*G3097</f>
        <v/>
      </c>
      <c r="Q3097" s="14">
        <f>J3097*G3097</f>
        <v/>
      </c>
      <c r="R3097" s="14">
        <f>K3097-Q3097</f>
        <v/>
      </c>
      <c r="S3097" s="3">
        <f>P3097*Assumptions!$B$3/100</f>
        <v/>
      </c>
      <c r="T3097" s="14">
        <f>R3097-S3097</f>
        <v/>
      </c>
      <c r="U3097" s="14">
        <f>L3097*G3097</f>
        <v/>
      </c>
    </row>
    <row r="3098">
      <c r="A3098" s="12" t="inlineStr">
        <is>
          <t>PO-2022-3096</t>
        </is>
      </c>
      <c r="B3098" s="26" t="n">
        <v>44571</v>
      </c>
      <c r="C3098" s="12" t="inlineStr">
        <is>
          <t>VS01</t>
        </is>
      </c>
      <c r="D3098" s="12" t="inlineStr">
        <is>
          <t>GI Pipes</t>
        </is>
      </c>
      <c r="E3098" s="12" t="inlineStr">
        <is>
          <t>N</t>
        </is>
      </c>
      <c r="F3098" s="12" t="n">
        <v>27.5</v>
      </c>
      <c r="G3098" s="17" t="n">
        <v>69997.99000000001</v>
      </c>
      <c r="H3098" s="26" t="n">
        <v>44586</v>
      </c>
      <c r="I3098" s="26" t="n">
        <v>44589</v>
      </c>
      <c r="J3098" s="12" t="n">
        <v>27.36</v>
      </c>
      <c r="K3098" s="17" t="n">
        <v>1924944.73</v>
      </c>
      <c r="L3098" s="12" t="n">
        <v>0</v>
      </c>
      <c r="M3098" s="12" t="n">
        <v>5</v>
      </c>
      <c r="N3098" s="27">
        <f>F3098-J3098</f>
        <v/>
      </c>
      <c r="O3098" s="16">
        <f>I3098-H3098</f>
        <v/>
      </c>
      <c r="P3098" s="14">
        <f>F3098*G3098</f>
        <v/>
      </c>
      <c r="Q3098" s="14">
        <f>J3098*G3098</f>
        <v/>
      </c>
      <c r="R3098" s="14">
        <f>K3098-Q3098</f>
        <v/>
      </c>
      <c r="S3098" s="3">
        <f>P3098*Assumptions!$B$3/100</f>
        <v/>
      </c>
      <c r="T3098" s="14">
        <f>R3098-S3098</f>
        <v/>
      </c>
      <c r="U3098" s="14">
        <f>L3098*G3098</f>
        <v/>
      </c>
    </row>
    <row r="3099">
      <c r="A3099" s="12" t="inlineStr">
        <is>
          <t>PO-2022-3097</t>
        </is>
      </c>
      <c r="B3099" s="26" t="n">
        <v>44861</v>
      </c>
      <c r="C3099" s="12" t="inlineStr">
        <is>
          <t>VS07</t>
        </is>
      </c>
      <c r="D3099" s="12" t="inlineStr">
        <is>
          <t>GI Pipes</t>
        </is>
      </c>
      <c r="E3099" s="12" t="inlineStr">
        <is>
          <t>N</t>
        </is>
      </c>
      <c r="F3099" s="12" t="n">
        <v>25.18</v>
      </c>
      <c r="G3099" s="17" t="n">
        <v>97487.78999999999</v>
      </c>
      <c r="H3099" s="26" t="n">
        <v>44875</v>
      </c>
      <c r="I3099" s="26" t="n">
        <v>44875</v>
      </c>
      <c r="J3099" s="12" t="n">
        <v>25.13</v>
      </c>
      <c r="K3099" s="17" t="n">
        <v>2454742.55</v>
      </c>
      <c r="L3099" s="12" t="n">
        <v>0</v>
      </c>
      <c r="M3099" s="12" t="n">
        <v>0</v>
      </c>
      <c r="N3099" s="27">
        <f>F3099-J3099</f>
        <v/>
      </c>
      <c r="O3099" s="16">
        <f>I3099-H3099</f>
        <v/>
      </c>
      <c r="P3099" s="14">
        <f>F3099*G3099</f>
        <v/>
      </c>
      <c r="Q3099" s="14">
        <f>J3099*G3099</f>
        <v/>
      </c>
      <c r="R3099" s="14">
        <f>K3099-Q3099</f>
        <v/>
      </c>
      <c r="S3099" s="3">
        <f>P3099*Assumptions!$B$3/100</f>
        <v/>
      </c>
      <c r="T3099" s="14">
        <f>R3099-S3099</f>
        <v/>
      </c>
      <c r="U3099" s="14">
        <f>L3099*G3099</f>
        <v/>
      </c>
    </row>
    <row r="3100">
      <c r="A3100" s="12" t="inlineStr">
        <is>
          <t>PO-2022-3098</t>
        </is>
      </c>
      <c r="B3100" s="26" t="n">
        <v>44253</v>
      </c>
      <c r="C3100" s="12" t="inlineStr">
        <is>
          <t>VS07</t>
        </is>
      </c>
      <c r="D3100" s="12" t="inlineStr">
        <is>
          <t>HR Coils</t>
        </is>
      </c>
      <c r="E3100" s="12" t="inlineStr">
        <is>
          <t>N</t>
        </is>
      </c>
      <c r="F3100" s="12" t="n">
        <v>5.89</v>
      </c>
      <c r="G3100" s="17" t="n">
        <v>51250.1</v>
      </c>
      <c r="H3100" s="26" t="n">
        <v>44257</v>
      </c>
      <c r="I3100" s="26" t="n">
        <v>44260</v>
      </c>
      <c r="J3100" s="12" t="n">
        <v>5.86</v>
      </c>
      <c r="K3100" s="17" t="n">
        <v>301863.09</v>
      </c>
      <c r="L3100" s="12" t="n">
        <v>0</v>
      </c>
      <c r="M3100" s="12" t="n">
        <v>24</v>
      </c>
      <c r="N3100" s="27">
        <f>F3100-J3100</f>
        <v/>
      </c>
      <c r="O3100" s="16">
        <f>I3100-H3100</f>
        <v/>
      </c>
      <c r="P3100" s="14">
        <f>F3100*G3100</f>
        <v/>
      </c>
      <c r="Q3100" s="14">
        <f>J3100*G3100</f>
        <v/>
      </c>
      <c r="R3100" s="14">
        <f>K3100-Q3100</f>
        <v/>
      </c>
      <c r="S3100" s="3">
        <f>P3100*Assumptions!$B$3/100</f>
        <v/>
      </c>
      <c r="T3100" s="14">
        <f>R3100-S3100</f>
        <v/>
      </c>
      <c r="U3100" s="14">
        <f>L3100*G3100</f>
        <v/>
      </c>
    </row>
    <row r="3101">
      <c r="A3101" s="12" t="inlineStr">
        <is>
          <t>PO-2022-3099</t>
        </is>
      </c>
      <c r="B3101" s="26" t="n">
        <v>45144</v>
      </c>
      <c r="C3101" s="12" t="inlineStr">
        <is>
          <t>VS33</t>
        </is>
      </c>
      <c r="D3101" s="12" t="inlineStr">
        <is>
          <t>MS Rods</t>
        </is>
      </c>
      <c r="E3101" s="12" t="inlineStr">
        <is>
          <t>N</t>
        </is>
      </c>
      <c r="F3101" s="12" t="n">
        <v>5.64</v>
      </c>
      <c r="G3101" s="17" t="n">
        <v>118971.02</v>
      </c>
      <c r="H3101" s="26" t="n">
        <v>45147</v>
      </c>
      <c r="I3101" s="26" t="n">
        <v>45148</v>
      </c>
      <c r="J3101" s="12" t="n">
        <v>5.61</v>
      </c>
      <c r="K3101" s="17" t="n">
        <v>670996.55</v>
      </c>
      <c r="L3101" s="12" t="n">
        <v>0</v>
      </c>
      <c r="M3101" s="12" t="n">
        <v>22</v>
      </c>
      <c r="N3101" s="27">
        <f>F3101-J3101</f>
        <v/>
      </c>
      <c r="O3101" s="16">
        <f>I3101-H3101</f>
        <v/>
      </c>
      <c r="P3101" s="14">
        <f>F3101*G3101</f>
        <v/>
      </c>
      <c r="Q3101" s="14">
        <f>J3101*G3101</f>
        <v/>
      </c>
      <c r="R3101" s="14">
        <f>K3101-Q3101</f>
        <v/>
      </c>
      <c r="S3101" s="3">
        <f>P3101*Assumptions!$B$3/100</f>
        <v/>
      </c>
      <c r="T3101" s="14">
        <f>R3101-S3101</f>
        <v/>
      </c>
      <c r="U3101" s="14">
        <f>L3101*G3101</f>
        <v/>
      </c>
    </row>
    <row r="3102">
      <c r="A3102" s="12" t="inlineStr">
        <is>
          <t>PO-2022-3100</t>
        </is>
      </c>
      <c r="B3102" s="26" t="n">
        <v>44488</v>
      </c>
      <c r="C3102" s="12" t="inlineStr">
        <is>
          <t>VS22</t>
        </is>
      </c>
      <c r="D3102" s="12" t="inlineStr">
        <is>
          <t>SS Sheets</t>
        </is>
      </c>
      <c r="E3102" s="12" t="inlineStr">
        <is>
          <t>N</t>
        </is>
      </c>
      <c r="F3102" s="12" t="n">
        <v>35.5</v>
      </c>
      <c r="G3102" s="17" t="n">
        <v>78388.89</v>
      </c>
      <c r="H3102" s="26" t="n">
        <v>44497</v>
      </c>
      <c r="I3102" s="26" t="n">
        <v>44499</v>
      </c>
      <c r="J3102" s="12" t="n">
        <v>35.32</v>
      </c>
      <c r="K3102" s="17" t="n">
        <v>2782805.6</v>
      </c>
      <c r="L3102" s="12" t="n">
        <v>0</v>
      </c>
      <c r="M3102" s="12" t="n">
        <v>8</v>
      </c>
      <c r="N3102" s="27">
        <f>F3102-J3102</f>
        <v/>
      </c>
      <c r="O3102" s="16">
        <f>I3102-H3102</f>
        <v/>
      </c>
      <c r="P3102" s="14">
        <f>F3102*G3102</f>
        <v/>
      </c>
      <c r="Q3102" s="14">
        <f>J3102*G3102</f>
        <v/>
      </c>
      <c r="R3102" s="14">
        <f>K3102-Q3102</f>
        <v/>
      </c>
      <c r="S3102" s="3">
        <f>P3102*Assumptions!$B$3/100</f>
        <v/>
      </c>
      <c r="T3102" s="14">
        <f>R3102-S3102</f>
        <v/>
      </c>
      <c r="U3102" s="14">
        <f>L3102*G3102</f>
        <v/>
      </c>
    </row>
    <row r="3103">
      <c r="A3103" s="12" t="inlineStr">
        <is>
          <t>PO-2022-3101</t>
        </is>
      </c>
      <c r="B3103" s="26" t="n">
        <v>44307</v>
      </c>
      <c r="C3103" s="12" t="inlineStr">
        <is>
          <t>VS12</t>
        </is>
      </c>
      <c r="D3103" s="12" t="inlineStr">
        <is>
          <t>MS Sheets</t>
        </is>
      </c>
      <c r="E3103" s="12" t="inlineStr">
        <is>
          <t>N</t>
        </is>
      </c>
      <c r="F3103" s="12" t="n">
        <v>32.06</v>
      </c>
      <c r="G3103" s="17" t="n">
        <v>78477.59</v>
      </c>
      <c r="H3103" s="26" t="n">
        <v>44319</v>
      </c>
      <c r="I3103" s="26" t="n">
        <v>44326</v>
      </c>
      <c r="J3103" s="12" t="n">
        <v>30.69</v>
      </c>
      <c r="K3103" s="17" t="n">
        <v>2515991.54</v>
      </c>
      <c r="L3103" s="12" t="n">
        <v>0.64</v>
      </c>
      <c r="M3103" s="12" t="n">
        <v>10</v>
      </c>
      <c r="N3103" s="27">
        <f>F3103-J3103</f>
        <v/>
      </c>
      <c r="O3103" s="16">
        <f>I3103-H3103</f>
        <v/>
      </c>
      <c r="P3103" s="14">
        <f>F3103*G3103</f>
        <v/>
      </c>
      <c r="Q3103" s="14">
        <f>J3103*G3103</f>
        <v/>
      </c>
      <c r="R3103" s="14">
        <f>K3103-Q3103</f>
        <v/>
      </c>
      <c r="S3103" s="3">
        <f>P3103*Assumptions!$B$3/100</f>
        <v/>
      </c>
      <c r="T3103" s="14">
        <f>R3103-S3103</f>
        <v/>
      </c>
      <c r="U3103" s="14">
        <f>L3103*G3103</f>
        <v/>
      </c>
    </row>
    <row r="3104">
      <c r="A3104" s="12" t="inlineStr">
        <is>
          <t>PO-2022-3102</t>
        </is>
      </c>
      <c r="B3104" s="26" t="n">
        <v>44956</v>
      </c>
      <c r="C3104" s="12" t="inlineStr">
        <is>
          <t>VS15</t>
        </is>
      </c>
      <c r="D3104" s="12" t="inlineStr">
        <is>
          <t>MS Flats</t>
        </is>
      </c>
      <c r="E3104" s="12" t="inlineStr">
        <is>
          <t>N</t>
        </is>
      </c>
      <c r="F3104" s="12" t="n">
        <v>41.06</v>
      </c>
      <c r="G3104" s="17" t="n">
        <v>114912.56</v>
      </c>
      <c r="H3104" s="26" t="n">
        <v>44970</v>
      </c>
      <c r="I3104" s="26" t="n">
        <v>44972</v>
      </c>
      <c r="J3104" s="12" t="n">
        <v>40.79</v>
      </c>
      <c r="K3104" s="17" t="n">
        <v>4718309.71</v>
      </c>
      <c r="L3104" s="12" t="n">
        <v>0</v>
      </c>
      <c r="M3104" s="12" t="n">
        <v>19</v>
      </c>
      <c r="N3104" s="27">
        <f>F3104-J3104</f>
        <v/>
      </c>
      <c r="O3104" s="16">
        <f>I3104-H3104</f>
        <v/>
      </c>
      <c r="P3104" s="14">
        <f>F3104*G3104</f>
        <v/>
      </c>
      <c r="Q3104" s="14">
        <f>J3104*G3104</f>
        <v/>
      </c>
      <c r="R3104" s="14">
        <f>K3104-Q3104</f>
        <v/>
      </c>
      <c r="S3104" s="3">
        <f>P3104*Assumptions!$B$3/100</f>
        <v/>
      </c>
      <c r="T3104" s="14">
        <f>R3104-S3104</f>
        <v/>
      </c>
      <c r="U3104" s="14">
        <f>L3104*G3104</f>
        <v/>
      </c>
    </row>
    <row r="3105">
      <c r="A3105" s="12" t="inlineStr">
        <is>
          <t>PO-2022-3103</t>
        </is>
      </c>
      <c r="B3105" s="26" t="n">
        <v>44367</v>
      </c>
      <c r="C3105" s="12" t="inlineStr">
        <is>
          <t>VS12</t>
        </is>
      </c>
      <c r="D3105" s="12" t="inlineStr">
        <is>
          <t>MS Pipes</t>
        </is>
      </c>
      <c r="E3105" s="12" t="inlineStr">
        <is>
          <t>N</t>
        </is>
      </c>
      <c r="F3105" s="12" t="n">
        <v>44.76</v>
      </c>
      <c r="G3105" s="17" t="n">
        <v>98815.19</v>
      </c>
      <c r="H3105" s="26" t="n">
        <v>44372</v>
      </c>
      <c r="I3105" s="26" t="n">
        <v>44379</v>
      </c>
      <c r="J3105" s="12" t="n">
        <v>43.18</v>
      </c>
      <c r="K3105" s="17" t="n">
        <v>4422967.9</v>
      </c>
      <c r="L3105" s="12" t="n">
        <v>0.11</v>
      </c>
      <c r="M3105" s="12" t="n">
        <v>0</v>
      </c>
      <c r="N3105" s="27">
        <f>F3105-J3105</f>
        <v/>
      </c>
      <c r="O3105" s="16">
        <f>I3105-H3105</f>
        <v/>
      </c>
      <c r="P3105" s="14">
        <f>F3105*G3105</f>
        <v/>
      </c>
      <c r="Q3105" s="14">
        <f>J3105*G3105</f>
        <v/>
      </c>
      <c r="R3105" s="14">
        <f>K3105-Q3105</f>
        <v/>
      </c>
      <c r="S3105" s="3">
        <f>P3105*Assumptions!$B$3/100</f>
        <v/>
      </c>
      <c r="T3105" s="14">
        <f>R3105-S3105</f>
        <v/>
      </c>
      <c r="U3105" s="14">
        <f>L3105*G3105</f>
        <v/>
      </c>
    </row>
    <row r="3106">
      <c r="A3106" s="12" t="inlineStr">
        <is>
          <t>PO-2022-3104</t>
        </is>
      </c>
      <c r="B3106" s="26" t="n">
        <v>45093</v>
      </c>
      <c r="C3106" s="12" t="inlineStr">
        <is>
          <t>VS21</t>
        </is>
      </c>
      <c r="D3106" s="12" t="inlineStr">
        <is>
          <t>Angles &amp; Channels</t>
        </is>
      </c>
      <c r="E3106" s="12" t="inlineStr">
        <is>
          <t>N</t>
        </is>
      </c>
      <c r="F3106" s="12" t="n">
        <v>43.72</v>
      </c>
      <c r="G3106" s="17" t="n">
        <v>49464.08</v>
      </c>
      <c r="H3106" s="26" t="n">
        <v>45098</v>
      </c>
      <c r="I3106" s="26" t="n">
        <v>45100</v>
      </c>
      <c r="J3106" s="12" t="n">
        <v>43.71</v>
      </c>
      <c r="K3106" s="17" t="n">
        <v>2162569.58</v>
      </c>
      <c r="L3106" s="12" t="n">
        <v>0</v>
      </c>
      <c r="M3106" s="12" t="n">
        <v>0</v>
      </c>
      <c r="N3106" s="27">
        <f>F3106-J3106</f>
        <v/>
      </c>
      <c r="O3106" s="16">
        <f>I3106-H3106</f>
        <v/>
      </c>
      <c r="P3106" s="14">
        <f>F3106*G3106</f>
        <v/>
      </c>
      <c r="Q3106" s="14">
        <f>J3106*G3106</f>
        <v/>
      </c>
      <c r="R3106" s="14">
        <f>K3106-Q3106</f>
        <v/>
      </c>
      <c r="S3106" s="3">
        <f>P3106*Assumptions!$B$3/100</f>
        <v/>
      </c>
      <c r="T3106" s="14">
        <f>R3106-S3106</f>
        <v/>
      </c>
      <c r="U3106" s="14">
        <f>L3106*G3106</f>
        <v/>
      </c>
    </row>
    <row r="3107">
      <c r="A3107" s="12" t="inlineStr">
        <is>
          <t>PO-2022-3105</t>
        </is>
      </c>
      <c r="B3107" s="26" t="n">
        <v>45052</v>
      </c>
      <c r="C3107" s="12" t="inlineStr">
        <is>
          <t>VS04</t>
        </is>
      </c>
      <c r="D3107" s="12" t="inlineStr">
        <is>
          <t>SS Pipes</t>
        </is>
      </c>
      <c r="E3107" s="12" t="inlineStr">
        <is>
          <t>N</t>
        </is>
      </c>
      <c r="F3107" s="12" t="n">
        <v>16.66</v>
      </c>
      <c r="G3107" s="17" t="n">
        <v>70294.53999999999</v>
      </c>
      <c r="H3107" s="26" t="n">
        <v>45066</v>
      </c>
      <c r="I3107" s="26" t="n">
        <v>45067</v>
      </c>
      <c r="J3107" s="12" t="n">
        <v>16.58</v>
      </c>
      <c r="K3107" s="17" t="n">
        <v>1171107.04</v>
      </c>
      <c r="L3107" s="12" t="n">
        <v>0</v>
      </c>
      <c r="M3107" s="12" t="n">
        <v>0</v>
      </c>
      <c r="N3107" s="27">
        <f>F3107-J3107</f>
        <v/>
      </c>
      <c r="O3107" s="16">
        <f>I3107-H3107</f>
        <v/>
      </c>
      <c r="P3107" s="14">
        <f>F3107*G3107</f>
        <v/>
      </c>
      <c r="Q3107" s="14">
        <f>J3107*G3107</f>
        <v/>
      </c>
      <c r="R3107" s="14">
        <f>K3107-Q3107</f>
        <v/>
      </c>
      <c r="S3107" s="3">
        <f>P3107*Assumptions!$B$3/100</f>
        <v/>
      </c>
      <c r="T3107" s="14">
        <f>R3107-S3107</f>
        <v/>
      </c>
      <c r="U3107" s="14">
        <f>L3107*G3107</f>
        <v/>
      </c>
    </row>
    <row r="3108">
      <c r="A3108" s="12" t="inlineStr">
        <is>
          <t>PO-2022-3106</t>
        </is>
      </c>
      <c r="B3108" s="26" t="n">
        <v>44571</v>
      </c>
      <c r="C3108" s="12" t="inlineStr">
        <is>
          <t>VS23</t>
        </is>
      </c>
      <c r="D3108" s="12" t="inlineStr">
        <is>
          <t>CR Sheets</t>
        </is>
      </c>
      <c r="E3108" s="12" t="inlineStr">
        <is>
          <t>N</t>
        </is>
      </c>
      <c r="F3108" s="12" t="n">
        <v>22.57</v>
      </c>
      <c r="G3108" s="17" t="n">
        <v>111794.76</v>
      </c>
      <c r="H3108" s="26" t="n">
        <v>44579</v>
      </c>
      <c r="I3108" s="26" t="n">
        <v>44581</v>
      </c>
      <c r="J3108" s="12" t="n">
        <v>22.49</v>
      </c>
      <c r="K3108" s="17" t="n">
        <v>2523207.73</v>
      </c>
      <c r="L3108" s="12" t="n">
        <v>0</v>
      </c>
      <c r="M3108" s="12" t="n">
        <v>7</v>
      </c>
      <c r="N3108" s="27">
        <f>F3108-J3108</f>
        <v/>
      </c>
      <c r="O3108" s="16">
        <f>I3108-H3108</f>
        <v/>
      </c>
      <c r="P3108" s="14">
        <f>F3108*G3108</f>
        <v/>
      </c>
      <c r="Q3108" s="14">
        <f>J3108*G3108</f>
        <v/>
      </c>
      <c r="R3108" s="14">
        <f>K3108-Q3108</f>
        <v/>
      </c>
      <c r="S3108" s="3">
        <f>P3108*Assumptions!$B$3/100</f>
        <v/>
      </c>
      <c r="T3108" s="14">
        <f>R3108-S3108</f>
        <v/>
      </c>
      <c r="U3108" s="14">
        <f>L3108*G3108</f>
        <v/>
      </c>
    </row>
    <row r="3109">
      <c r="A3109" s="12" t="inlineStr">
        <is>
          <t>PO-2022-3107</t>
        </is>
      </c>
      <c r="B3109" s="26" t="n">
        <v>44262</v>
      </c>
      <c r="C3109" s="12" t="inlineStr">
        <is>
          <t>VS29</t>
        </is>
      </c>
      <c r="D3109" s="12" t="inlineStr">
        <is>
          <t>SS Sheets</t>
        </is>
      </c>
      <c r="E3109" s="12" t="inlineStr">
        <is>
          <t>N</t>
        </is>
      </c>
      <c r="F3109" s="12" t="n">
        <v>3.15</v>
      </c>
      <c r="G3109" s="17" t="n">
        <v>107606.51</v>
      </c>
      <c r="H3109" s="26" t="n">
        <v>44266</v>
      </c>
      <c r="I3109" s="26" t="n">
        <v>44266</v>
      </c>
      <c r="J3109" s="12" t="n">
        <v>3.14</v>
      </c>
      <c r="K3109" s="17" t="n">
        <v>338960.51</v>
      </c>
      <c r="L3109" s="12" t="n">
        <v>0</v>
      </c>
      <c r="M3109" s="12" t="n">
        <v>11</v>
      </c>
      <c r="N3109" s="27">
        <f>F3109-J3109</f>
        <v/>
      </c>
      <c r="O3109" s="16">
        <f>I3109-H3109</f>
        <v/>
      </c>
      <c r="P3109" s="14">
        <f>F3109*G3109</f>
        <v/>
      </c>
      <c r="Q3109" s="14">
        <f>J3109*G3109</f>
        <v/>
      </c>
      <c r="R3109" s="14">
        <f>K3109-Q3109</f>
        <v/>
      </c>
      <c r="S3109" s="3">
        <f>P3109*Assumptions!$B$3/100</f>
        <v/>
      </c>
      <c r="T3109" s="14">
        <f>R3109-S3109</f>
        <v/>
      </c>
      <c r="U3109" s="14">
        <f>L3109*G3109</f>
        <v/>
      </c>
    </row>
    <row r="3110">
      <c r="A3110" s="12" t="inlineStr">
        <is>
          <t>PO-2022-3108</t>
        </is>
      </c>
      <c r="B3110" s="26" t="n">
        <v>45104</v>
      </c>
      <c r="C3110" s="12" t="inlineStr">
        <is>
          <t>VS13</t>
        </is>
      </c>
      <c r="D3110" s="12" t="inlineStr">
        <is>
          <t>Square/Rect Tubes</t>
        </is>
      </c>
      <c r="E3110" s="12" t="inlineStr">
        <is>
          <t>N</t>
        </is>
      </c>
      <c r="F3110" s="12" t="n">
        <v>23.72</v>
      </c>
      <c r="G3110" s="17" t="n">
        <v>86305.84</v>
      </c>
      <c r="H3110" s="26" t="n">
        <v>45112</v>
      </c>
      <c r="I3110" s="26" t="n">
        <v>45114</v>
      </c>
      <c r="J3110" s="12" t="n">
        <v>23.66</v>
      </c>
      <c r="K3110" s="17" t="n">
        <v>2047174.52</v>
      </c>
      <c r="L3110" s="12" t="n">
        <v>0</v>
      </c>
      <c r="M3110" s="12" t="n">
        <v>24</v>
      </c>
      <c r="N3110" s="27">
        <f>F3110-J3110</f>
        <v/>
      </c>
      <c r="O3110" s="16">
        <f>I3110-H3110</f>
        <v/>
      </c>
      <c r="P3110" s="14">
        <f>F3110*G3110</f>
        <v/>
      </c>
      <c r="Q3110" s="14">
        <f>J3110*G3110</f>
        <v/>
      </c>
      <c r="R3110" s="14">
        <f>K3110-Q3110</f>
        <v/>
      </c>
      <c r="S3110" s="3">
        <f>P3110*Assumptions!$B$3/100</f>
        <v/>
      </c>
      <c r="T3110" s="14">
        <f>R3110-S3110</f>
        <v/>
      </c>
      <c r="U3110" s="14">
        <f>L3110*G3110</f>
        <v/>
      </c>
    </row>
    <row r="3111">
      <c r="A3111" s="12" t="inlineStr">
        <is>
          <t>PO-2022-3109</t>
        </is>
      </c>
      <c r="B3111" s="26" t="n">
        <v>44946</v>
      </c>
      <c r="C3111" s="12" t="inlineStr">
        <is>
          <t>VS02</t>
        </is>
      </c>
      <c r="D3111" s="12" t="inlineStr">
        <is>
          <t>HR Coils</t>
        </is>
      </c>
      <c r="E3111" s="12" t="inlineStr">
        <is>
          <t>N</t>
        </is>
      </c>
      <c r="F3111" s="12" t="n">
        <v>33.65</v>
      </c>
      <c r="G3111" s="17" t="n">
        <v>107192.52</v>
      </c>
      <c r="H3111" s="26" t="n">
        <v>44949</v>
      </c>
      <c r="I3111" s="26" t="n">
        <v>44952</v>
      </c>
      <c r="J3111" s="12" t="n">
        <v>33.63</v>
      </c>
      <c r="K3111" s="17" t="n">
        <v>3607028.3</v>
      </c>
      <c r="L3111" s="12" t="n">
        <v>0</v>
      </c>
      <c r="M3111" s="12" t="n">
        <v>3</v>
      </c>
      <c r="N3111" s="27">
        <f>F3111-J3111</f>
        <v/>
      </c>
      <c r="O3111" s="16">
        <f>I3111-H3111</f>
        <v/>
      </c>
      <c r="P3111" s="14">
        <f>F3111*G3111</f>
        <v/>
      </c>
      <c r="Q3111" s="14">
        <f>J3111*G3111</f>
        <v/>
      </c>
      <c r="R3111" s="14">
        <f>K3111-Q3111</f>
        <v/>
      </c>
      <c r="S3111" s="3">
        <f>P3111*Assumptions!$B$3/100</f>
        <v/>
      </c>
      <c r="T3111" s="14">
        <f>R3111-S3111</f>
        <v/>
      </c>
      <c r="U3111" s="14">
        <f>L3111*G3111</f>
        <v/>
      </c>
    </row>
    <row r="3112">
      <c r="A3112" s="12" t="inlineStr">
        <is>
          <t>PO-2022-3110</t>
        </is>
      </c>
      <c r="B3112" s="26" t="n">
        <v>44216</v>
      </c>
      <c r="C3112" s="12" t="inlineStr">
        <is>
          <t>VS26</t>
        </is>
      </c>
      <c r="D3112" s="12" t="inlineStr">
        <is>
          <t>SS Sheets</t>
        </is>
      </c>
      <c r="E3112" s="12" t="inlineStr">
        <is>
          <t>N</t>
        </is>
      </c>
      <c r="F3112" s="12" t="n">
        <v>47.91</v>
      </c>
      <c r="G3112" s="17" t="n">
        <v>91653.05</v>
      </c>
      <c r="H3112" s="26" t="n">
        <v>44223</v>
      </c>
      <c r="I3112" s="26" t="n">
        <v>44226</v>
      </c>
      <c r="J3112" s="12" t="n">
        <v>47.65</v>
      </c>
      <c r="K3112" s="17" t="n">
        <v>4391097.63</v>
      </c>
      <c r="L3112" s="12" t="n">
        <v>0</v>
      </c>
      <c r="M3112" s="12" t="n">
        <v>0</v>
      </c>
      <c r="N3112" s="27">
        <f>F3112-J3112</f>
        <v/>
      </c>
      <c r="O3112" s="16">
        <f>I3112-H3112</f>
        <v/>
      </c>
      <c r="P3112" s="14">
        <f>F3112*G3112</f>
        <v/>
      </c>
      <c r="Q3112" s="14">
        <f>J3112*G3112</f>
        <v/>
      </c>
      <c r="R3112" s="14">
        <f>K3112-Q3112</f>
        <v/>
      </c>
      <c r="S3112" s="3">
        <f>P3112*Assumptions!$B$3/100</f>
        <v/>
      </c>
      <c r="T3112" s="14">
        <f>R3112-S3112</f>
        <v/>
      </c>
      <c r="U3112" s="14">
        <f>L3112*G3112</f>
        <v/>
      </c>
    </row>
    <row r="3113">
      <c r="A3113" s="12" t="inlineStr">
        <is>
          <t>PO-2022-3111</t>
        </is>
      </c>
      <c r="B3113" s="26" t="n">
        <v>44221</v>
      </c>
      <c r="C3113" s="12" t="inlineStr">
        <is>
          <t>VS14</t>
        </is>
      </c>
      <c r="D3113" s="12" t="inlineStr">
        <is>
          <t>ERW Pipes</t>
        </is>
      </c>
      <c r="E3113" s="12" t="inlineStr">
        <is>
          <t>N</t>
        </is>
      </c>
      <c r="F3113" s="12" t="n">
        <v>1.15</v>
      </c>
      <c r="G3113" s="17" t="n">
        <v>71115.74000000001</v>
      </c>
      <c r="H3113" s="26" t="n">
        <v>44224</v>
      </c>
      <c r="I3113" s="26" t="n">
        <v>44226</v>
      </c>
      <c r="J3113" s="12" t="n">
        <v>1.14</v>
      </c>
      <c r="K3113" s="17" t="n">
        <v>81783.10000000001</v>
      </c>
      <c r="L3113" s="12" t="n">
        <v>0</v>
      </c>
      <c r="M3113" s="12" t="n">
        <v>23</v>
      </c>
      <c r="N3113" s="27">
        <f>F3113-J3113</f>
        <v/>
      </c>
      <c r="O3113" s="16">
        <f>I3113-H3113</f>
        <v/>
      </c>
      <c r="P3113" s="14">
        <f>F3113*G3113</f>
        <v/>
      </c>
      <c r="Q3113" s="14">
        <f>J3113*G3113</f>
        <v/>
      </c>
      <c r="R3113" s="14">
        <f>K3113-Q3113</f>
        <v/>
      </c>
      <c r="S3113" s="3">
        <f>P3113*Assumptions!$B$3/100</f>
        <v/>
      </c>
      <c r="T3113" s="14">
        <f>R3113-S3113</f>
        <v/>
      </c>
      <c r="U3113" s="14">
        <f>L3113*G3113</f>
        <v/>
      </c>
    </row>
    <row r="3114">
      <c r="A3114" s="12" t="inlineStr">
        <is>
          <t>PO-2022-3112</t>
        </is>
      </c>
      <c r="B3114" s="26" t="n">
        <v>44636</v>
      </c>
      <c r="C3114" s="12" t="inlineStr">
        <is>
          <t>VS28</t>
        </is>
      </c>
      <c r="D3114" s="12" t="inlineStr">
        <is>
          <t>GI Pipes</t>
        </is>
      </c>
      <c r="E3114" s="12" t="inlineStr">
        <is>
          <t>N</t>
        </is>
      </c>
      <c r="F3114" s="12" t="n">
        <v>25.82</v>
      </c>
      <c r="G3114" s="17" t="n">
        <v>97404.73</v>
      </c>
      <c r="H3114" s="26" t="n">
        <v>44651</v>
      </c>
      <c r="I3114" s="26" t="n">
        <v>44652</v>
      </c>
      <c r="J3114" s="12" t="n">
        <v>25.58</v>
      </c>
      <c r="K3114" s="17" t="n">
        <v>2514990.13</v>
      </c>
      <c r="L3114" s="12" t="n">
        <v>0</v>
      </c>
      <c r="M3114" s="12" t="n">
        <v>2</v>
      </c>
      <c r="N3114" s="27">
        <f>F3114-J3114</f>
        <v/>
      </c>
      <c r="O3114" s="16">
        <f>I3114-H3114</f>
        <v/>
      </c>
      <c r="P3114" s="14">
        <f>F3114*G3114</f>
        <v/>
      </c>
      <c r="Q3114" s="14">
        <f>J3114*G3114</f>
        <v/>
      </c>
      <c r="R3114" s="14">
        <f>K3114-Q3114</f>
        <v/>
      </c>
      <c r="S3114" s="3">
        <f>P3114*Assumptions!$B$3/100</f>
        <v/>
      </c>
      <c r="T3114" s="14">
        <f>R3114-S3114</f>
        <v/>
      </c>
      <c r="U3114" s="14">
        <f>L3114*G3114</f>
        <v/>
      </c>
    </row>
    <row r="3115">
      <c r="A3115" s="12" t="inlineStr">
        <is>
          <t>PO-2022-3113</t>
        </is>
      </c>
      <c r="B3115" s="26" t="n">
        <v>44779</v>
      </c>
      <c r="C3115" s="12" t="inlineStr">
        <is>
          <t>VS05</t>
        </is>
      </c>
      <c r="D3115" s="12" t="inlineStr">
        <is>
          <t>SS Pipes</t>
        </is>
      </c>
      <c r="E3115" s="12" t="inlineStr">
        <is>
          <t>N</t>
        </is>
      </c>
      <c r="F3115" s="12" t="n">
        <v>27.6</v>
      </c>
      <c r="G3115" s="17" t="n">
        <v>92014.57000000001</v>
      </c>
      <c r="H3115" s="26" t="n">
        <v>44783</v>
      </c>
      <c r="I3115" s="26" t="n">
        <v>44786</v>
      </c>
      <c r="J3115" s="12" t="n">
        <v>27.48</v>
      </c>
      <c r="K3115" s="17" t="n">
        <v>2539602.13</v>
      </c>
      <c r="L3115" s="12" t="n">
        <v>0</v>
      </c>
      <c r="M3115" s="12" t="n">
        <v>22</v>
      </c>
      <c r="N3115" s="27">
        <f>F3115-J3115</f>
        <v/>
      </c>
      <c r="O3115" s="16">
        <f>I3115-H3115</f>
        <v/>
      </c>
      <c r="P3115" s="14">
        <f>F3115*G3115</f>
        <v/>
      </c>
      <c r="Q3115" s="14">
        <f>J3115*G3115</f>
        <v/>
      </c>
      <c r="R3115" s="14">
        <f>K3115-Q3115</f>
        <v/>
      </c>
      <c r="S3115" s="3">
        <f>P3115*Assumptions!$B$3/100</f>
        <v/>
      </c>
      <c r="T3115" s="14">
        <f>R3115-S3115</f>
        <v/>
      </c>
      <c r="U3115" s="14">
        <f>L3115*G3115</f>
        <v/>
      </c>
    </row>
    <row r="3116">
      <c r="A3116" s="12" t="inlineStr">
        <is>
          <t>PO-2022-3114</t>
        </is>
      </c>
      <c r="B3116" s="26" t="n">
        <v>44650</v>
      </c>
      <c r="C3116" s="12" t="inlineStr">
        <is>
          <t>VS22</t>
        </is>
      </c>
      <c r="D3116" s="12" t="inlineStr">
        <is>
          <t>MS Sheets</t>
        </is>
      </c>
      <c r="E3116" s="12" t="inlineStr">
        <is>
          <t>N</t>
        </is>
      </c>
      <c r="F3116" s="12" t="n">
        <v>48.03</v>
      </c>
      <c r="G3116" s="17" t="n">
        <v>71938.06</v>
      </c>
      <c r="H3116" s="26" t="n">
        <v>44665</v>
      </c>
      <c r="I3116" s="26" t="n">
        <v>44665</v>
      </c>
      <c r="J3116" s="12" t="n">
        <v>47.61</v>
      </c>
      <c r="K3116" s="17" t="n">
        <v>3455185.02</v>
      </c>
      <c r="L3116" s="12" t="n">
        <v>0</v>
      </c>
      <c r="M3116" s="12" t="n">
        <v>0</v>
      </c>
      <c r="N3116" s="27">
        <f>F3116-J3116</f>
        <v/>
      </c>
      <c r="O3116" s="16">
        <f>I3116-H3116</f>
        <v/>
      </c>
      <c r="P3116" s="14">
        <f>F3116*G3116</f>
        <v/>
      </c>
      <c r="Q3116" s="14">
        <f>J3116*G3116</f>
        <v/>
      </c>
      <c r="R3116" s="14">
        <f>K3116-Q3116</f>
        <v/>
      </c>
      <c r="S3116" s="3">
        <f>P3116*Assumptions!$B$3/100</f>
        <v/>
      </c>
      <c r="T3116" s="14">
        <f>R3116-S3116</f>
        <v/>
      </c>
      <c r="U3116" s="14">
        <f>L3116*G3116</f>
        <v/>
      </c>
    </row>
    <row r="3117">
      <c r="A3117" s="12" t="inlineStr">
        <is>
          <t>PO-2022-3115</t>
        </is>
      </c>
      <c r="B3117" s="26" t="n">
        <v>44695</v>
      </c>
      <c r="C3117" s="12" t="inlineStr">
        <is>
          <t>VS24</t>
        </is>
      </c>
      <c r="D3117" s="12" t="inlineStr">
        <is>
          <t>MS Flats</t>
        </is>
      </c>
      <c r="E3117" s="12" t="inlineStr">
        <is>
          <t>N</t>
        </is>
      </c>
      <c r="F3117" s="12" t="n">
        <v>8.18</v>
      </c>
      <c r="G3117" s="17" t="n">
        <v>72100.95</v>
      </c>
      <c r="H3117" s="26" t="n">
        <v>44699</v>
      </c>
      <c r="I3117" s="26" t="n">
        <v>44701</v>
      </c>
      <c r="J3117" s="12" t="n">
        <v>8.109999999999999</v>
      </c>
      <c r="K3117" s="17" t="n">
        <v>589785.77</v>
      </c>
      <c r="L3117" s="12" t="n">
        <v>0</v>
      </c>
      <c r="M3117" s="12" t="n">
        <v>0</v>
      </c>
      <c r="N3117" s="27">
        <f>F3117-J3117</f>
        <v/>
      </c>
      <c r="O3117" s="16">
        <f>I3117-H3117</f>
        <v/>
      </c>
      <c r="P3117" s="14">
        <f>F3117*G3117</f>
        <v/>
      </c>
      <c r="Q3117" s="14">
        <f>J3117*G3117</f>
        <v/>
      </c>
      <c r="R3117" s="14">
        <f>K3117-Q3117</f>
        <v/>
      </c>
      <c r="S3117" s="3">
        <f>P3117*Assumptions!$B$3/100</f>
        <v/>
      </c>
      <c r="T3117" s="14">
        <f>R3117-S3117</f>
        <v/>
      </c>
      <c r="U3117" s="14">
        <f>L3117*G3117</f>
        <v/>
      </c>
    </row>
    <row r="3118">
      <c r="A3118" s="12" t="inlineStr">
        <is>
          <t>PO-2022-3116</t>
        </is>
      </c>
      <c r="B3118" s="26" t="n">
        <v>44265</v>
      </c>
      <c r="C3118" s="12" t="inlineStr">
        <is>
          <t>VS04</t>
        </is>
      </c>
      <c r="D3118" s="12" t="inlineStr">
        <is>
          <t>GI Wire</t>
        </is>
      </c>
      <c r="E3118" s="12" t="inlineStr">
        <is>
          <t>Y</t>
        </is>
      </c>
      <c r="F3118" s="12" t="n">
        <v>48.22</v>
      </c>
      <c r="G3118" s="17" t="n">
        <v>87704.59</v>
      </c>
      <c r="H3118" s="26" t="n">
        <v>44277</v>
      </c>
      <c r="I3118" s="26" t="n">
        <v>44279</v>
      </c>
      <c r="J3118" s="12" t="n">
        <v>48.12</v>
      </c>
      <c r="K3118" s="17" t="n">
        <v>4229115.33</v>
      </c>
      <c r="L3118" s="12" t="n">
        <v>0</v>
      </c>
      <c r="M3118" s="12" t="n">
        <v>15</v>
      </c>
      <c r="N3118" s="27">
        <f>F3118-J3118</f>
        <v/>
      </c>
      <c r="O3118" s="16">
        <f>I3118-H3118</f>
        <v/>
      </c>
      <c r="P3118" s="14">
        <f>F3118*G3118</f>
        <v/>
      </c>
      <c r="Q3118" s="14">
        <f>J3118*G3118</f>
        <v/>
      </c>
      <c r="R3118" s="14">
        <f>K3118-Q3118</f>
        <v/>
      </c>
      <c r="S3118" s="3">
        <f>P3118*Assumptions!$B$3/100</f>
        <v/>
      </c>
      <c r="T3118" s="14">
        <f>R3118-S3118</f>
        <v/>
      </c>
      <c r="U3118" s="14">
        <f>L3118*G3118</f>
        <v/>
      </c>
    </row>
    <row r="3119">
      <c r="A3119" s="12" t="inlineStr">
        <is>
          <t>PO-2022-3117</t>
        </is>
      </c>
      <c r="B3119" s="26" t="n">
        <v>44223</v>
      </c>
      <c r="C3119" s="12" t="inlineStr">
        <is>
          <t>VS02</t>
        </is>
      </c>
      <c r="D3119" s="12" t="inlineStr">
        <is>
          <t>MS Rods</t>
        </is>
      </c>
      <c r="E3119" s="12" t="inlineStr">
        <is>
          <t>N</t>
        </is>
      </c>
      <c r="F3119" s="12" t="n">
        <v>28.99</v>
      </c>
      <c r="G3119" s="17" t="n">
        <v>115717.84</v>
      </c>
      <c r="H3119" s="26" t="n">
        <v>44234</v>
      </c>
      <c r="I3119" s="26" t="n">
        <v>44234</v>
      </c>
      <c r="J3119" s="12" t="n">
        <v>28.85</v>
      </c>
      <c r="K3119" s="17" t="n">
        <v>3354660.18</v>
      </c>
      <c r="L3119" s="12" t="n">
        <v>0</v>
      </c>
      <c r="M3119" s="12" t="n">
        <v>13</v>
      </c>
      <c r="N3119" s="27">
        <f>F3119-J3119</f>
        <v/>
      </c>
      <c r="O3119" s="16">
        <f>I3119-H3119</f>
        <v/>
      </c>
      <c r="P3119" s="14">
        <f>F3119*G3119</f>
        <v/>
      </c>
      <c r="Q3119" s="14">
        <f>J3119*G3119</f>
        <v/>
      </c>
      <c r="R3119" s="14">
        <f>K3119-Q3119</f>
        <v/>
      </c>
      <c r="S3119" s="3">
        <f>P3119*Assumptions!$B$3/100</f>
        <v/>
      </c>
      <c r="T3119" s="14">
        <f>R3119-S3119</f>
        <v/>
      </c>
      <c r="U3119" s="14">
        <f>L3119*G3119</f>
        <v/>
      </c>
    </row>
    <row r="3120">
      <c r="A3120" s="12" t="inlineStr">
        <is>
          <t>PO-2022-3118</t>
        </is>
      </c>
      <c r="B3120" s="26" t="n">
        <v>44317</v>
      </c>
      <c r="C3120" s="12" t="inlineStr">
        <is>
          <t>VS05</t>
        </is>
      </c>
      <c r="D3120" s="12" t="inlineStr">
        <is>
          <t>Spring Steel</t>
        </is>
      </c>
      <c r="E3120" s="12" t="inlineStr">
        <is>
          <t>N</t>
        </is>
      </c>
      <c r="F3120" s="12" t="n">
        <v>19.96</v>
      </c>
      <c r="G3120" s="17" t="n">
        <v>77942.42</v>
      </c>
      <c r="H3120" s="26" t="n">
        <v>44324</v>
      </c>
      <c r="I3120" s="26" t="n">
        <v>44325</v>
      </c>
      <c r="J3120" s="12" t="n">
        <v>19.86</v>
      </c>
      <c r="K3120" s="17" t="n">
        <v>1555730.7</v>
      </c>
      <c r="L3120" s="12" t="n">
        <v>0</v>
      </c>
      <c r="M3120" s="12" t="n">
        <v>0</v>
      </c>
      <c r="N3120" s="27">
        <f>F3120-J3120</f>
        <v/>
      </c>
      <c r="O3120" s="16">
        <f>I3120-H3120</f>
        <v/>
      </c>
      <c r="P3120" s="14">
        <f>F3120*G3120</f>
        <v/>
      </c>
      <c r="Q3120" s="14">
        <f>J3120*G3120</f>
        <v/>
      </c>
      <c r="R3120" s="14">
        <f>K3120-Q3120</f>
        <v/>
      </c>
      <c r="S3120" s="3">
        <f>P3120*Assumptions!$B$3/100</f>
        <v/>
      </c>
      <c r="T3120" s="14">
        <f>R3120-S3120</f>
        <v/>
      </c>
      <c r="U3120" s="14">
        <f>L3120*G3120</f>
        <v/>
      </c>
    </row>
    <row r="3121">
      <c r="A3121" s="12" t="inlineStr">
        <is>
          <t>PO-2022-3119</t>
        </is>
      </c>
      <c r="B3121" s="26" t="n">
        <v>44287</v>
      </c>
      <c r="C3121" s="12" t="inlineStr">
        <is>
          <t>VS16</t>
        </is>
      </c>
      <c r="D3121" s="12" t="inlineStr">
        <is>
          <t>Structural Steel</t>
        </is>
      </c>
      <c r="E3121" s="12" t="inlineStr">
        <is>
          <t>N</t>
        </is>
      </c>
      <c r="F3121" s="12" t="n">
        <v>25.55</v>
      </c>
      <c r="G3121" s="17" t="n">
        <v>97079.11</v>
      </c>
      <c r="H3121" s="26" t="n">
        <v>44292</v>
      </c>
      <c r="I3121" s="26" t="n">
        <v>44292</v>
      </c>
      <c r="J3121" s="12" t="n">
        <v>25.53</v>
      </c>
      <c r="K3121" s="17" t="n">
        <v>2480371.26</v>
      </c>
      <c r="L3121" s="12" t="n">
        <v>0</v>
      </c>
      <c r="M3121" s="12" t="n">
        <v>0</v>
      </c>
      <c r="N3121" s="27">
        <f>F3121-J3121</f>
        <v/>
      </c>
      <c r="O3121" s="16">
        <f>I3121-H3121</f>
        <v/>
      </c>
      <c r="P3121" s="14">
        <f>F3121*G3121</f>
        <v/>
      </c>
      <c r="Q3121" s="14">
        <f>J3121*G3121</f>
        <v/>
      </c>
      <c r="R3121" s="14">
        <f>K3121-Q3121</f>
        <v/>
      </c>
      <c r="S3121" s="3">
        <f>P3121*Assumptions!$B$3/100</f>
        <v/>
      </c>
      <c r="T3121" s="14">
        <f>R3121-S3121</f>
        <v/>
      </c>
      <c r="U3121" s="14">
        <f>L3121*G3121</f>
        <v/>
      </c>
    </row>
    <row r="3122">
      <c r="A3122" s="12" t="inlineStr">
        <is>
          <t>PO-2022-3120</t>
        </is>
      </c>
      <c r="B3122" s="26" t="n">
        <v>44643</v>
      </c>
      <c r="C3122" s="12" t="inlineStr">
        <is>
          <t>VS13</t>
        </is>
      </c>
      <c r="D3122" s="12" t="inlineStr">
        <is>
          <t>SS Sheets</t>
        </is>
      </c>
      <c r="E3122" s="12" t="inlineStr">
        <is>
          <t>N</t>
        </is>
      </c>
      <c r="F3122" s="12" t="n">
        <v>16.03</v>
      </c>
      <c r="G3122" s="17" t="n">
        <v>97416.7</v>
      </c>
      <c r="H3122" s="26" t="n">
        <v>44651</v>
      </c>
      <c r="I3122" s="26" t="n">
        <v>44653</v>
      </c>
      <c r="J3122" s="12" t="n">
        <v>15.89</v>
      </c>
      <c r="K3122" s="17" t="n">
        <v>1561589.7</v>
      </c>
      <c r="L3122" s="12" t="n">
        <v>0</v>
      </c>
      <c r="M3122" s="12" t="n">
        <v>0</v>
      </c>
      <c r="N3122" s="27">
        <f>F3122-J3122</f>
        <v/>
      </c>
      <c r="O3122" s="16">
        <f>I3122-H3122</f>
        <v/>
      </c>
      <c r="P3122" s="14">
        <f>F3122*G3122</f>
        <v/>
      </c>
      <c r="Q3122" s="14">
        <f>J3122*G3122</f>
        <v/>
      </c>
      <c r="R3122" s="14">
        <f>K3122-Q3122</f>
        <v/>
      </c>
      <c r="S3122" s="3">
        <f>P3122*Assumptions!$B$3/100</f>
        <v/>
      </c>
      <c r="T3122" s="14">
        <f>R3122-S3122</f>
        <v/>
      </c>
      <c r="U3122" s="14">
        <f>L3122*G3122</f>
        <v/>
      </c>
    </row>
    <row r="3123">
      <c r="A3123" s="12" t="inlineStr">
        <is>
          <t>PO-2022-3121</t>
        </is>
      </c>
      <c r="B3123" s="26" t="n">
        <v>44657</v>
      </c>
      <c r="C3123" s="12" t="inlineStr">
        <is>
          <t>VS02</t>
        </is>
      </c>
      <c r="D3123" s="12" t="inlineStr">
        <is>
          <t>MS Pipes</t>
        </is>
      </c>
      <c r="E3123" s="12" t="inlineStr">
        <is>
          <t>N</t>
        </is>
      </c>
      <c r="F3123" s="12" t="n">
        <v>20.24</v>
      </c>
      <c r="G3123" s="17" t="n">
        <v>79385.72</v>
      </c>
      <c r="H3123" s="26" t="n">
        <v>44672</v>
      </c>
      <c r="I3123" s="26" t="n">
        <v>44675</v>
      </c>
      <c r="J3123" s="12" t="n">
        <v>20.13</v>
      </c>
      <c r="K3123" s="17" t="n">
        <v>1606766.97</v>
      </c>
      <c r="L3123" s="12" t="n">
        <v>0</v>
      </c>
      <c r="M3123" s="12" t="n">
        <v>0</v>
      </c>
      <c r="N3123" s="27">
        <f>F3123-J3123</f>
        <v/>
      </c>
      <c r="O3123" s="16">
        <f>I3123-H3123</f>
        <v/>
      </c>
      <c r="P3123" s="14">
        <f>F3123*G3123</f>
        <v/>
      </c>
      <c r="Q3123" s="14">
        <f>J3123*G3123</f>
        <v/>
      </c>
      <c r="R3123" s="14">
        <f>K3123-Q3123</f>
        <v/>
      </c>
      <c r="S3123" s="3">
        <f>P3123*Assumptions!$B$3/100</f>
        <v/>
      </c>
      <c r="T3123" s="14">
        <f>R3123-S3123</f>
        <v/>
      </c>
      <c r="U3123" s="14">
        <f>L3123*G3123</f>
        <v/>
      </c>
    </row>
    <row r="3124">
      <c r="A3124" s="12" t="inlineStr">
        <is>
          <t>PO-2022-3122</t>
        </is>
      </c>
      <c r="B3124" s="26" t="n">
        <v>44518</v>
      </c>
      <c r="C3124" s="12" t="inlineStr">
        <is>
          <t>VS22</t>
        </is>
      </c>
      <c r="D3124" s="12" t="inlineStr">
        <is>
          <t>MS Flats</t>
        </is>
      </c>
      <c r="E3124" s="12" t="inlineStr">
        <is>
          <t>Y</t>
        </is>
      </c>
      <c r="F3124" s="12" t="n">
        <v>1.39</v>
      </c>
      <c r="G3124" s="17" t="n">
        <v>57051.01</v>
      </c>
      <c r="H3124" s="26" t="n">
        <v>44526</v>
      </c>
      <c r="I3124" s="26" t="n">
        <v>44528</v>
      </c>
      <c r="J3124" s="12" t="n">
        <v>1.38</v>
      </c>
      <c r="K3124" s="17" t="n">
        <v>79300.89999999999</v>
      </c>
      <c r="L3124" s="12" t="n">
        <v>0</v>
      </c>
      <c r="M3124" s="12" t="n">
        <v>18</v>
      </c>
      <c r="N3124" s="27">
        <f>F3124-J3124</f>
        <v/>
      </c>
      <c r="O3124" s="16">
        <f>I3124-H3124</f>
        <v/>
      </c>
      <c r="P3124" s="14">
        <f>F3124*G3124</f>
        <v/>
      </c>
      <c r="Q3124" s="14">
        <f>J3124*G3124</f>
        <v/>
      </c>
      <c r="R3124" s="14">
        <f>K3124-Q3124</f>
        <v/>
      </c>
      <c r="S3124" s="3">
        <f>P3124*Assumptions!$B$3/100</f>
        <v/>
      </c>
      <c r="T3124" s="14">
        <f>R3124-S3124</f>
        <v/>
      </c>
      <c r="U3124" s="14">
        <f>L3124*G3124</f>
        <v/>
      </c>
    </row>
    <row r="3125">
      <c r="A3125" s="12" t="inlineStr">
        <is>
          <t>PO-2022-3123</t>
        </is>
      </c>
      <c r="B3125" s="26" t="n">
        <v>44219</v>
      </c>
      <c r="C3125" s="12" t="inlineStr">
        <is>
          <t>VS05</t>
        </is>
      </c>
      <c r="D3125" s="12" t="inlineStr">
        <is>
          <t>Structural Steel</t>
        </is>
      </c>
      <c r="E3125" s="12" t="inlineStr">
        <is>
          <t>N</t>
        </is>
      </c>
      <c r="F3125" s="12" t="n">
        <v>11.41</v>
      </c>
      <c r="G3125" s="17" t="n">
        <v>73461.22</v>
      </c>
      <c r="H3125" s="26" t="n">
        <v>44226</v>
      </c>
      <c r="I3125" s="26" t="n">
        <v>44229</v>
      </c>
      <c r="J3125" s="12" t="n">
        <v>11.38</v>
      </c>
      <c r="K3125" s="17" t="n">
        <v>838192.52</v>
      </c>
      <c r="L3125" s="12" t="n">
        <v>0</v>
      </c>
      <c r="M3125" s="12" t="n">
        <v>0</v>
      </c>
      <c r="N3125" s="27">
        <f>F3125-J3125</f>
        <v/>
      </c>
      <c r="O3125" s="16">
        <f>I3125-H3125</f>
        <v/>
      </c>
      <c r="P3125" s="14">
        <f>F3125*G3125</f>
        <v/>
      </c>
      <c r="Q3125" s="14">
        <f>J3125*G3125</f>
        <v/>
      </c>
      <c r="R3125" s="14">
        <f>K3125-Q3125</f>
        <v/>
      </c>
      <c r="S3125" s="3">
        <f>P3125*Assumptions!$B$3/100</f>
        <v/>
      </c>
      <c r="T3125" s="14">
        <f>R3125-S3125</f>
        <v/>
      </c>
      <c r="U3125" s="14">
        <f>L3125*G3125</f>
        <v/>
      </c>
    </row>
    <row r="3126">
      <c r="A3126" s="12" t="inlineStr">
        <is>
          <t>PO-2022-3124</t>
        </is>
      </c>
      <c r="B3126" s="26" t="n">
        <v>44463</v>
      </c>
      <c r="C3126" s="12" t="inlineStr">
        <is>
          <t>VS26</t>
        </is>
      </c>
      <c r="D3126" s="12" t="inlineStr">
        <is>
          <t>MS Sheets</t>
        </is>
      </c>
      <c r="E3126" s="12" t="inlineStr">
        <is>
          <t>N</t>
        </is>
      </c>
      <c r="F3126" s="12" t="n">
        <v>15.01</v>
      </c>
      <c r="G3126" s="17" t="n">
        <v>79453.39</v>
      </c>
      <c r="H3126" s="26" t="n">
        <v>44470</v>
      </c>
      <c r="I3126" s="26" t="n">
        <v>44472</v>
      </c>
      <c r="J3126" s="12" t="n">
        <v>14.93</v>
      </c>
      <c r="K3126" s="17" t="n">
        <v>1192595.38</v>
      </c>
      <c r="L3126" s="12" t="n">
        <v>0</v>
      </c>
      <c r="M3126" s="12" t="n">
        <v>25</v>
      </c>
      <c r="N3126" s="27">
        <f>F3126-J3126</f>
        <v/>
      </c>
      <c r="O3126" s="16">
        <f>I3126-H3126</f>
        <v/>
      </c>
      <c r="P3126" s="14">
        <f>F3126*G3126</f>
        <v/>
      </c>
      <c r="Q3126" s="14">
        <f>J3126*G3126</f>
        <v/>
      </c>
      <c r="R3126" s="14">
        <f>K3126-Q3126</f>
        <v/>
      </c>
      <c r="S3126" s="3">
        <f>P3126*Assumptions!$B$3/100</f>
        <v/>
      </c>
      <c r="T3126" s="14">
        <f>R3126-S3126</f>
        <v/>
      </c>
      <c r="U3126" s="14">
        <f>L3126*G3126</f>
        <v/>
      </c>
    </row>
    <row r="3127">
      <c r="A3127" s="12" t="inlineStr">
        <is>
          <t>PO-2022-3125</t>
        </is>
      </c>
      <c r="B3127" s="26" t="n">
        <v>44573</v>
      </c>
      <c r="C3127" s="12" t="inlineStr">
        <is>
          <t>VS04</t>
        </is>
      </c>
      <c r="D3127" s="12" t="inlineStr">
        <is>
          <t>MS Sheets</t>
        </is>
      </c>
      <c r="E3127" s="12" t="inlineStr">
        <is>
          <t>N</t>
        </is>
      </c>
      <c r="F3127" s="12" t="n">
        <v>33.41</v>
      </c>
      <c r="G3127" s="17" t="n">
        <v>87951.16</v>
      </c>
      <c r="H3127" s="26" t="n">
        <v>44588</v>
      </c>
      <c r="I3127" s="26" t="n">
        <v>44589</v>
      </c>
      <c r="J3127" s="12" t="n">
        <v>33.25</v>
      </c>
      <c r="K3127" s="17" t="n">
        <v>2938448.26</v>
      </c>
      <c r="L3127" s="12" t="n">
        <v>0</v>
      </c>
      <c r="M3127" s="12" t="n">
        <v>22</v>
      </c>
      <c r="N3127" s="27">
        <f>F3127-J3127</f>
        <v/>
      </c>
      <c r="O3127" s="16">
        <f>I3127-H3127</f>
        <v/>
      </c>
      <c r="P3127" s="14">
        <f>F3127*G3127</f>
        <v/>
      </c>
      <c r="Q3127" s="14">
        <f>J3127*G3127</f>
        <v/>
      </c>
      <c r="R3127" s="14">
        <f>K3127-Q3127</f>
        <v/>
      </c>
      <c r="S3127" s="3">
        <f>P3127*Assumptions!$B$3/100</f>
        <v/>
      </c>
      <c r="T3127" s="14">
        <f>R3127-S3127</f>
        <v/>
      </c>
      <c r="U3127" s="14">
        <f>L3127*G3127</f>
        <v/>
      </c>
    </row>
    <row r="3128">
      <c r="A3128" s="12" t="inlineStr">
        <is>
          <t>PO-2022-3126</t>
        </is>
      </c>
      <c r="B3128" s="26" t="n">
        <v>44503</v>
      </c>
      <c r="C3128" s="12" t="inlineStr">
        <is>
          <t>VS15</t>
        </is>
      </c>
      <c r="D3128" s="12" t="inlineStr">
        <is>
          <t>HR Coils</t>
        </is>
      </c>
      <c r="E3128" s="12" t="inlineStr">
        <is>
          <t>Y</t>
        </is>
      </c>
      <c r="F3128" s="12" t="n">
        <v>16.08</v>
      </c>
      <c r="G3128" s="17" t="n">
        <v>109200.86</v>
      </c>
      <c r="H3128" s="26" t="n">
        <v>44507</v>
      </c>
      <c r="I3128" s="26" t="n">
        <v>44508</v>
      </c>
      <c r="J3128" s="12" t="n">
        <v>16.03</v>
      </c>
      <c r="K3128" s="17" t="n">
        <v>1755949.83</v>
      </c>
      <c r="L3128" s="12" t="n">
        <v>0</v>
      </c>
      <c r="M3128" s="12" t="n">
        <v>7</v>
      </c>
      <c r="N3128" s="27">
        <f>F3128-J3128</f>
        <v/>
      </c>
      <c r="O3128" s="16">
        <f>I3128-H3128</f>
        <v/>
      </c>
      <c r="P3128" s="14">
        <f>F3128*G3128</f>
        <v/>
      </c>
      <c r="Q3128" s="14">
        <f>J3128*G3128</f>
        <v/>
      </c>
      <c r="R3128" s="14">
        <f>K3128-Q3128</f>
        <v/>
      </c>
      <c r="S3128" s="3">
        <f>P3128*Assumptions!$B$3/100</f>
        <v/>
      </c>
      <c r="T3128" s="14">
        <f>R3128-S3128</f>
        <v/>
      </c>
      <c r="U3128" s="14">
        <f>L3128*G3128</f>
        <v/>
      </c>
    </row>
    <row r="3129">
      <c r="A3129" s="12" t="inlineStr">
        <is>
          <t>PO-2022-3127</t>
        </is>
      </c>
      <c r="B3129" s="26" t="n">
        <v>44228</v>
      </c>
      <c r="C3129" s="12" t="inlineStr">
        <is>
          <t>VS03</t>
        </is>
      </c>
      <c r="D3129" s="12" t="inlineStr">
        <is>
          <t>GI Pipes</t>
        </is>
      </c>
      <c r="E3129" s="12" t="inlineStr">
        <is>
          <t>N</t>
        </is>
      </c>
      <c r="F3129" s="12" t="n">
        <v>32.51</v>
      </c>
      <c r="G3129" s="17" t="n">
        <v>116403.07</v>
      </c>
      <c r="H3129" s="26" t="n">
        <v>44241</v>
      </c>
      <c r="I3129" s="26" t="n">
        <v>44249</v>
      </c>
      <c r="J3129" s="12" t="n">
        <v>31.44</v>
      </c>
      <c r="K3129" s="17" t="n">
        <v>3784263.81</v>
      </c>
      <c r="L3129" s="12" t="n">
        <v>0.52</v>
      </c>
      <c r="M3129" s="12" t="n">
        <v>0</v>
      </c>
      <c r="N3129" s="27">
        <f>F3129-J3129</f>
        <v/>
      </c>
      <c r="O3129" s="16">
        <f>I3129-H3129</f>
        <v/>
      </c>
      <c r="P3129" s="14">
        <f>F3129*G3129</f>
        <v/>
      </c>
      <c r="Q3129" s="14">
        <f>J3129*G3129</f>
        <v/>
      </c>
      <c r="R3129" s="14">
        <f>K3129-Q3129</f>
        <v/>
      </c>
      <c r="S3129" s="3">
        <f>P3129*Assumptions!$B$3/100</f>
        <v/>
      </c>
      <c r="T3129" s="14">
        <f>R3129-S3129</f>
        <v/>
      </c>
      <c r="U3129" s="14">
        <f>L3129*G3129</f>
        <v/>
      </c>
    </row>
    <row r="3130">
      <c r="A3130" s="12" t="inlineStr">
        <is>
          <t>PO-2022-3128</t>
        </is>
      </c>
      <c r="B3130" s="26" t="n">
        <v>44292</v>
      </c>
      <c r="C3130" s="12" t="inlineStr">
        <is>
          <t>VS23</t>
        </is>
      </c>
      <c r="D3130" s="12" t="inlineStr">
        <is>
          <t>HR Coils</t>
        </is>
      </c>
      <c r="E3130" s="12" t="inlineStr">
        <is>
          <t>Y</t>
        </is>
      </c>
      <c r="F3130" s="12" t="n">
        <v>1.28</v>
      </c>
      <c r="G3130" s="17" t="n">
        <v>102322.91</v>
      </c>
      <c r="H3130" s="26" t="n">
        <v>44303</v>
      </c>
      <c r="I3130" s="26" t="n">
        <v>44303</v>
      </c>
      <c r="J3130" s="12" t="n">
        <v>1.28</v>
      </c>
      <c r="K3130" s="17" t="n">
        <v>130973.32</v>
      </c>
      <c r="L3130" s="12" t="n">
        <v>0</v>
      </c>
      <c r="M3130" s="12" t="n">
        <v>0</v>
      </c>
      <c r="N3130" s="27">
        <f>F3130-J3130</f>
        <v/>
      </c>
      <c r="O3130" s="16">
        <f>I3130-H3130</f>
        <v/>
      </c>
      <c r="P3130" s="14">
        <f>F3130*G3130</f>
        <v/>
      </c>
      <c r="Q3130" s="14">
        <f>J3130*G3130</f>
        <v/>
      </c>
      <c r="R3130" s="14">
        <f>K3130-Q3130</f>
        <v/>
      </c>
      <c r="S3130" s="3">
        <f>P3130*Assumptions!$B$3/100</f>
        <v/>
      </c>
      <c r="T3130" s="14">
        <f>R3130-S3130</f>
        <v/>
      </c>
      <c r="U3130" s="14">
        <f>L3130*G3130</f>
        <v/>
      </c>
    </row>
    <row r="3131">
      <c r="A3131" s="12" t="inlineStr">
        <is>
          <t>PO-2022-3129</t>
        </is>
      </c>
      <c r="B3131" s="26" t="n">
        <v>45044</v>
      </c>
      <c r="C3131" s="12" t="inlineStr">
        <is>
          <t>VS33</t>
        </is>
      </c>
      <c r="D3131" s="12" t="inlineStr">
        <is>
          <t>CR Sheets</t>
        </is>
      </c>
      <c r="E3131" s="12" t="inlineStr">
        <is>
          <t>N</t>
        </is>
      </c>
      <c r="F3131" s="12" t="n">
        <v>12.91</v>
      </c>
      <c r="G3131" s="17" t="n">
        <v>56360.01</v>
      </c>
      <c r="H3131" s="26" t="n">
        <v>45048</v>
      </c>
      <c r="I3131" s="26" t="n">
        <v>45050</v>
      </c>
      <c r="J3131" s="12" t="n">
        <v>12.85</v>
      </c>
      <c r="K3131" s="17" t="n">
        <v>727607.73</v>
      </c>
      <c r="L3131" s="12" t="n">
        <v>0</v>
      </c>
      <c r="M3131" s="12" t="n">
        <v>22</v>
      </c>
      <c r="N3131" s="27">
        <f>F3131-J3131</f>
        <v/>
      </c>
      <c r="O3131" s="16">
        <f>I3131-H3131</f>
        <v/>
      </c>
      <c r="P3131" s="14">
        <f>F3131*G3131</f>
        <v/>
      </c>
      <c r="Q3131" s="14">
        <f>J3131*G3131</f>
        <v/>
      </c>
      <c r="R3131" s="14">
        <f>K3131-Q3131</f>
        <v/>
      </c>
      <c r="S3131" s="3">
        <f>P3131*Assumptions!$B$3/100</f>
        <v/>
      </c>
      <c r="T3131" s="14">
        <f>R3131-S3131</f>
        <v/>
      </c>
      <c r="U3131" s="14">
        <f>L3131*G3131</f>
        <v/>
      </c>
    </row>
    <row r="3132">
      <c r="A3132" s="12" t="inlineStr">
        <is>
          <t>PO-2022-3130</t>
        </is>
      </c>
      <c r="B3132" s="26" t="n">
        <v>44378</v>
      </c>
      <c r="C3132" s="12" t="inlineStr">
        <is>
          <t>VS25</t>
        </is>
      </c>
      <c r="D3132" s="12" t="inlineStr">
        <is>
          <t>MS Rods</t>
        </is>
      </c>
      <c r="E3132" s="12" t="inlineStr">
        <is>
          <t>N</t>
        </is>
      </c>
      <c r="F3132" s="12" t="n">
        <v>22.76</v>
      </c>
      <c r="G3132" s="17" t="n">
        <v>104593.37</v>
      </c>
      <c r="H3132" s="26" t="n">
        <v>44390</v>
      </c>
      <c r="I3132" s="26" t="n">
        <v>44392</v>
      </c>
      <c r="J3132" s="12" t="n">
        <v>22.58</v>
      </c>
      <c r="K3132" s="17" t="n">
        <v>2380545.1</v>
      </c>
      <c r="L3132" s="12" t="n">
        <v>0</v>
      </c>
      <c r="M3132" s="12" t="n">
        <v>9</v>
      </c>
      <c r="N3132" s="27">
        <f>F3132-J3132</f>
        <v/>
      </c>
      <c r="O3132" s="16">
        <f>I3132-H3132</f>
        <v/>
      </c>
      <c r="P3132" s="14">
        <f>F3132*G3132</f>
        <v/>
      </c>
      <c r="Q3132" s="14">
        <f>J3132*G3132</f>
        <v/>
      </c>
      <c r="R3132" s="14">
        <f>K3132-Q3132</f>
        <v/>
      </c>
      <c r="S3132" s="3">
        <f>P3132*Assumptions!$B$3/100</f>
        <v/>
      </c>
      <c r="T3132" s="14">
        <f>R3132-S3132</f>
        <v/>
      </c>
      <c r="U3132" s="14">
        <f>L3132*G3132</f>
        <v/>
      </c>
    </row>
    <row r="3133">
      <c r="A3133" s="12" t="inlineStr">
        <is>
          <t>PO-2022-3131</t>
        </is>
      </c>
      <c r="B3133" s="26" t="n">
        <v>44210</v>
      </c>
      <c r="C3133" s="12" t="inlineStr">
        <is>
          <t>VS19</t>
        </is>
      </c>
      <c r="D3133" s="12" t="inlineStr">
        <is>
          <t>MS Flats</t>
        </is>
      </c>
      <c r="E3133" s="12" t="inlineStr">
        <is>
          <t>N</t>
        </is>
      </c>
      <c r="F3133" s="12" t="n">
        <v>47.93</v>
      </c>
      <c r="G3133" s="17" t="n">
        <v>118835.31</v>
      </c>
      <c r="H3133" s="26" t="n">
        <v>44220</v>
      </c>
      <c r="I3133" s="26" t="n">
        <v>44227</v>
      </c>
      <c r="J3133" s="12" t="n">
        <v>46.77</v>
      </c>
      <c r="K3133" s="17" t="n">
        <v>5695776.41</v>
      </c>
      <c r="L3133" s="12" t="n">
        <v>1.07</v>
      </c>
      <c r="M3133" s="12" t="n">
        <v>0</v>
      </c>
      <c r="N3133" s="27">
        <f>F3133-J3133</f>
        <v/>
      </c>
      <c r="O3133" s="16">
        <f>I3133-H3133</f>
        <v/>
      </c>
      <c r="P3133" s="14">
        <f>F3133*G3133</f>
        <v/>
      </c>
      <c r="Q3133" s="14">
        <f>J3133*G3133</f>
        <v/>
      </c>
      <c r="R3133" s="14">
        <f>K3133-Q3133</f>
        <v/>
      </c>
      <c r="S3133" s="3">
        <f>P3133*Assumptions!$B$3/100</f>
        <v/>
      </c>
      <c r="T3133" s="14">
        <f>R3133-S3133</f>
        <v/>
      </c>
      <c r="U3133" s="14">
        <f>L3133*G3133</f>
        <v/>
      </c>
    </row>
    <row r="3134">
      <c r="A3134" s="12" t="inlineStr">
        <is>
          <t>PO-2022-3132</t>
        </is>
      </c>
      <c r="B3134" s="26" t="n">
        <v>44881</v>
      </c>
      <c r="C3134" s="12" t="inlineStr">
        <is>
          <t>VS29</t>
        </is>
      </c>
      <c r="D3134" s="12" t="inlineStr">
        <is>
          <t>MS Flats</t>
        </is>
      </c>
      <c r="E3134" s="12" t="inlineStr">
        <is>
          <t>Y</t>
        </is>
      </c>
      <c r="F3134" s="12" t="n">
        <v>43</v>
      </c>
      <c r="G3134" s="17" t="n">
        <v>109552.78</v>
      </c>
      <c r="H3134" s="26" t="n">
        <v>44885</v>
      </c>
      <c r="I3134" s="26" t="n">
        <v>44888</v>
      </c>
      <c r="J3134" s="12" t="n">
        <v>42.6</v>
      </c>
      <c r="K3134" s="17" t="n">
        <v>4710769.54</v>
      </c>
      <c r="L3134" s="12" t="n">
        <v>0</v>
      </c>
      <c r="M3134" s="12" t="n">
        <v>0</v>
      </c>
      <c r="N3134" s="27">
        <f>F3134-J3134</f>
        <v/>
      </c>
      <c r="O3134" s="16">
        <f>I3134-H3134</f>
        <v/>
      </c>
      <c r="P3134" s="14">
        <f>F3134*G3134</f>
        <v/>
      </c>
      <c r="Q3134" s="14">
        <f>J3134*G3134</f>
        <v/>
      </c>
      <c r="R3134" s="14">
        <f>K3134-Q3134</f>
        <v/>
      </c>
      <c r="S3134" s="3">
        <f>P3134*Assumptions!$B$3/100</f>
        <v/>
      </c>
      <c r="T3134" s="14">
        <f>R3134-S3134</f>
        <v/>
      </c>
      <c r="U3134" s="14">
        <f>L3134*G3134</f>
        <v/>
      </c>
    </row>
    <row r="3135">
      <c r="A3135" s="12" t="inlineStr">
        <is>
          <t>PO-2022-3133</t>
        </is>
      </c>
      <c r="B3135" s="26" t="n">
        <v>44547</v>
      </c>
      <c r="C3135" s="12" t="inlineStr">
        <is>
          <t>VS28</t>
        </is>
      </c>
      <c r="D3135" s="12" t="inlineStr">
        <is>
          <t>SS Sheets</t>
        </is>
      </c>
      <c r="E3135" s="12" t="inlineStr">
        <is>
          <t>N</t>
        </is>
      </c>
      <c r="F3135" s="12" t="n">
        <v>9.210000000000001</v>
      </c>
      <c r="G3135" s="17" t="n">
        <v>48481.97</v>
      </c>
      <c r="H3135" s="26" t="n">
        <v>44553</v>
      </c>
      <c r="I3135" s="26" t="n">
        <v>44556</v>
      </c>
      <c r="J3135" s="12" t="n">
        <v>9.15</v>
      </c>
      <c r="K3135" s="17" t="n">
        <v>446518.94</v>
      </c>
      <c r="L3135" s="12" t="n">
        <v>0</v>
      </c>
      <c r="M3135" s="12" t="n">
        <v>0</v>
      </c>
      <c r="N3135" s="27">
        <f>F3135-J3135</f>
        <v/>
      </c>
      <c r="O3135" s="16">
        <f>I3135-H3135</f>
        <v/>
      </c>
      <c r="P3135" s="14">
        <f>F3135*G3135</f>
        <v/>
      </c>
      <c r="Q3135" s="14">
        <f>J3135*G3135</f>
        <v/>
      </c>
      <c r="R3135" s="14">
        <f>K3135-Q3135</f>
        <v/>
      </c>
      <c r="S3135" s="3">
        <f>P3135*Assumptions!$B$3/100</f>
        <v/>
      </c>
      <c r="T3135" s="14">
        <f>R3135-S3135</f>
        <v/>
      </c>
      <c r="U3135" s="14">
        <f>L3135*G3135</f>
        <v/>
      </c>
    </row>
    <row r="3136">
      <c r="A3136" s="12" t="inlineStr">
        <is>
          <t>PO-2022-3134</t>
        </is>
      </c>
      <c r="B3136" s="26" t="n">
        <v>45055</v>
      </c>
      <c r="C3136" s="12" t="inlineStr">
        <is>
          <t>VS12</t>
        </is>
      </c>
      <c r="D3136" s="12" t="inlineStr">
        <is>
          <t>MS Pipes</t>
        </is>
      </c>
      <c r="E3136" s="12" t="inlineStr">
        <is>
          <t>N</t>
        </is>
      </c>
      <c r="F3136" s="12" t="n">
        <v>44.35</v>
      </c>
      <c r="G3136" s="17" t="n">
        <v>57834.29</v>
      </c>
      <c r="H3136" s="26" t="n">
        <v>45063</v>
      </c>
      <c r="I3136" s="26" t="n">
        <v>45071</v>
      </c>
      <c r="J3136" s="12" t="n">
        <v>43.11</v>
      </c>
      <c r="K3136" s="17" t="n">
        <v>2564950.76</v>
      </c>
      <c r="L3136" s="12" t="n">
        <v>1.9</v>
      </c>
      <c r="M3136" s="12" t="n">
        <v>2</v>
      </c>
      <c r="N3136" s="27">
        <f>F3136-J3136</f>
        <v/>
      </c>
      <c r="O3136" s="16">
        <f>I3136-H3136</f>
        <v/>
      </c>
      <c r="P3136" s="14">
        <f>F3136*G3136</f>
        <v/>
      </c>
      <c r="Q3136" s="14">
        <f>J3136*G3136</f>
        <v/>
      </c>
      <c r="R3136" s="14">
        <f>K3136-Q3136</f>
        <v/>
      </c>
      <c r="S3136" s="3">
        <f>P3136*Assumptions!$B$3/100</f>
        <v/>
      </c>
      <c r="T3136" s="14">
        <f>R3136-S3136</f>
        <v/>
      </c>
      <c r="U3136" s="14">
        <f>L3136*G3136</f>
        <v/>
      </c>
    </row>
    <row r="3137">
      <c r="A3137" s="12" t="inlineStr">
        <is>
          <t>PO-2022-3135</t>
        </is>
      </c>
      <c r="B3137" s="26" t="n">
        <v>44921</v>
      </c>
      <c r="C3137" s="12" t="inlineStr">
        <is>
          <t>VS34</t>
        </is>
      </c>
      <c r="D3137" s="12" t="inlineStr">
        <is>
          <t>MS Sheets</t>
        </is>
      </c>
      <c r="E3137" s="12" t="inlineStr">
        <is>
          <t>N</t>
        </is>
      </c>
      <c r="F3137" s="12" t="n">
        <v>4.81</v>
      </c>
      <c r="G3137" s="17" t="n">
        <v>79645.78</v>
      </c>
      <c r="H3137" s="26" t="n">
        <v>44931</v>
      </c>
      <c r="I3137" s="26" t="n">
        <v>44931</v>
      </c>
      <c r="J3137" s="12" t="n">
        <v>4.8</v>
      </c>
      <c r="K3137" s="17" t="n">
        <v>383096.2</v>
      </c>
      <c r="L3137" s="12" t="n">
        <v>0</v>
      </c>
      <c r="M3137" s="12" t="n">
        <v>2</v>
      </c>
      <c r="N3137" s="27">
        <f>F3137-J3137</f>
        <v/>
      </c>
      <c r="O3137" s="16">
        <f>I3137-H3137</f>
        <v/>
      </c>
      <c r="P3137" s="14">
        <f>F3137*G3137</f>
        <v/>
      </c>
      <c r="Q3137" s="14">
        <f>J3137*G3137</f>
        <v/>
      </c>
      <c r="R3137" s="14">
        <f>K3137-Q3137</f>
        <v/>
      </c>
      <c r="S3137" s="3">
        <f>P3137*Assumptions!$B$3/100</f>
        <v/>
      </c>
      <c r="T3137" s="14">
        <f>R3137-S3137</f>
        <v/>
      </c>
      <c r="U3137" s="14">
        <f>L3137*G3137</f>
        <v/>
      </c>
    </row>
    <row r="3138">
      <c r="A3138" s="12" t="inlineStr">
        <is>
          <t>PO-2022-3136</t>
        </is>
      </c>
      <c r="B3138" s="26" t="n">
        <v>44247</v>
      </c>
      <c r="C3138" s="12" t="inlineStr">
        <is>
          <t>VS09</t>
        </is>
      </c>
      <c r="D3138" s="12" t="inlineStr">
        <is>
          <t>MS Pipes</t>
        </is>
      </c>
      <c r="E3138" s="12" t="inlineStr">
        <is>
          <t>N</t>
        </is>
      </c>
      <c r="F3138" s="12" t="n">
        <v>45.46</v>
      </c>
      <c r="G3138" s="17" t="n">
        <v>53590.08</v>
      </c>
      <c r="H3138" s="26" t="n">
        <v>44262</v>
      </c>
      <c r="I3138" s="26" t="n">
        <v>44264</v>
      </c>
      <c r="J3138" s="12" t="n">
        <v>45.33</v>
      </c>
      <c r="K3138" s="17" t="n">
        <v>2436205.04</v>
      </c>
      <c r="L3138" s="12" t="n">
        <v>0</v>
      </c>
      <c r="M3138" s="12" t="n">
        <v>0</v>
      </c>
      <c r="N3138" s="27">
        <f>F3138-J3138</f>
        <v/>
      </c>
      <c r="O3138" s="16">
        <f>I3138-H3138</f>
        <v/>
      </c>
      <c r="P3138" s="14">
        <f>F3138*G3138</f>
        <v/>
      </c>
      <c r="Q3138" s="14">
        <f>J3138*G3138</f>
        <v/>
      </c>
      <c r="R3138" s="14">
        <f>K3138-Q3138</f>
        <v/>
      </c>
      <c r="S3138" s="3">
        <f>P3138*Assumptions!$B$3/100</f>
        <v/>
      </c>
      <c r="T3138" s="14">
        <f>R3138-S3138</f>
        <v/>
      </c>
      <c r="U3138" s="14">
        <f>L3138*G3138</f>
        <v/>
      </c>
    </row>
    <row r="3139">
      <c r="A3139" s="12" t="inlineStr">
        <is>
          <t>PO-2022-3137</t>
        </is>
      </c>
      <c r="B3139" s="26" t="n">
        <v>44902</v>
      </c>
      <c r="C3139" s="12" t="inlineStr">
        <is>
          <t>VS11</t>
        </is>
      </c>
      <c r="D3139" s="12" t="inlineStr">
        <is>
          <t>HR Coils</t>
        </is>
      </c>
      <c r="E3139" s="12" t="inlineStr">
        <is>
          <t>Y</t>
        </is>
      </c>
      <c r="F3139" s="12" t="n">
        <v>35.97</v>
      </c>
      <c r="G3139" s="17" t="n">
        <v>86304.81</v>
      </c>
      <c r="H3139" s="26" t="n">
        <v>44907</v>
      </c>
      <c r="I3139" s="26" t="n">
        <v>44910</v>
      </c>
      <c r="J3139" s="12" t="n">
        <v>35.8</v>
      </c>
      <c r="K3139" s="17" t="n">
        <v>3104384.02</v>
      </c>
      <c r="L3139" s="12" t="n">
        <v>0</v>
      </c>
      <c r="M3139" s="12" t="n">
        <v>0</v>
      </c>
      <c r="N3139" s="27">
        <f>F3139-J3139</f>
        <v/>
      </c>
      <c r="O3139" s="16">
        <f>I3139-H3139</f>
        <v/>
      </c>
      <c r="P3139" s="14">
        <f>F3139*G3139</f>
        <v/>
      </c>
      <c r="Q3139" s="14">
        <f>J3139*G3139</f>
        <v/>
      </c>
      <c r="R3139" s="14">
        <f>K3139-Q3139</f>
        <v/>
      </c>
      <c r="S3139" s="3">
        <f>P3139*Assumptions!$B$3/100</f>
        <v/>
      </c>
      <c r="T3139" s="14">
        <f>R3139-S3139</f>
        <v/>
      </c>
      <c r="U3139" s="14">
        <f>L3139*G3139</f>
        <v/>
      </c>
    </row>
    <row r="3140">
      <c r="A3140" s="12" t="inlineStr">
        <is>
          <t>PO-2022-3138</t>
        </is>
      </c>
      <c r="B3140" s="26" t="n">
        <v>44584</v>
      </c>
      <c r="C3140" s="12" t="inlineStr">
        <is>
          <t>VS28</t>
        </is>
      </c>
      <c r="D3140" s="12" t="inlineStr">
        <is>
          <t>MS Sheets</t>
        </is>
      </c>
      <c r="E3140" s="12" t="inlineStr">
        <is>
          <t>N</t>
        </is>
      </c>
      <c r="F3140" s="12" t="n">
        <v>5.85</v>
      </c>
      <c r="G3140" s="17" t="n">
        <v>104644.63</v>
      </c>
      <c r="H3140" s="26" t="n">
        <v>44598</v>
      </c>
      <c r="I3140" s="26" t="n">
        <v>44599</v>
      </c>
      <c r="J3140" s="12" t="n">
        <v>5.82</v>
      </c>
      <c r="K3140" s="17" t="n">
        <v>612171.09</v>
      </c>
      <c r="L3140" s="12" t="n">
        <v>0</v>
      </c>
      <c r="M3140" s="12" t="n">
        <v>8</v>
      </c>
      <c r="N3140" s="27">
        <f>F3140-J3140</f>
        <v/>
      </c>
      <c r="O3140" s="16">
        <f>I3140-H3140</f>
        <v/>
      </c>
      <c r="P3140" s="14">
        <f>F3140*G3140</f>
        <v/>
      </c>
      <c r="Q3140" s="14">
        <f>J3140*G3140</f>
        <v/>
      </c>
      <c r="R3140" s="14">
        <f>K3140-Q3140</f>
        <v/>
      </c>
      <c r="S3140" s="3">
        <f>P3140*Assumptions!$B$3/100</f>
        <v/>
      </c>
      <c r="T3140" s="14">
        <f>R3140-S3140</f>
        <v/>
      </c>
      <c r="U3140" s="14">
        <f>L3140*G3140</f>
        <v/>
      </c>
    </row>
    <row r="3141">
      <c r="A3141" s="12" t="inlineStr">
        <is>
          <t>PO-2022-3139</t>
        </is>
      </c>
      <c r="B3141" s="26" t="n">
        <v>44547</v>
      </c>
      <c r="C3141" s="12" t="inlineStr">
        <is>
          <t>VS05</t>
        </is>
      </c>
      <c r="D3141" s="12" t="inlineStr">
        <is>
          <t>Angles &amp; Channels</t>
        </is>
      </c>
      <c r="E3141" s="12" t="inlineStr">
        <is>
          <t>N</t>
        </is>
      </c>
      <c r="F3141" s="12" t="n">
        <v>45.44</v>
      </c>
      <c r="G3141" s="17" t="n">
        <v>84332.47</v>
      </c>
      <c r="H3141" s="26" t="n">
        <v>44551</v>
      </c>
      <c r="I3141" s="26" t="n">
        <v>44553</v>
      </c>
      <c r="J3141" s="12" t="n">
        <v>45.42</v>
      </c>
      <c r="K3141" s="17" t="n">
        <v>3832067.44</v>
      </c>
      <c r="L3141" s="12" t="n">
        <v>0</v>
      </c>
      <c r="M3141" s="12" t="n">
        <v>0</v>
      </c>
      <c r="N3141" s="27">
        <f>F3141-J3141</f>
        <v/>
      </c>
      <c r="O3141" s="16">
        <f>I3141-H3141</f>
        <v/>
      </c>
      <c r="P3141" s="14">
        <f>F3141*G3141</f>
        <v/>
      </c>
      <c r="Q3141" s="14">
        <f>J3141*G3141</f>
        <v/>
      </c>
      <c r="R3141" s="14">
        <f>K3141-Q3141</f>
        <v/>
      </c>
      <c r="S3141" s="3">
        <f>P3141*Assumptions!$B$3/100</f>
        <v/>
      </c>
      <c r="T3141" s="14">
        <f>R3141-S3141</f>
        <v/>
      </c>
      <c r="U3141" s="14">
        <f>L3141*G3141</f>
        <v/>
      </c>
    </row>
    <row r="3142">
      <c r="A3142" s="12" t="inlineStr">
        <is>
          <t>PO-2022-3140</t>
        </is>
      </c>
      <c r="B3142" s="26" t="n">
        <v>45266</v>
      </c>
      <c r="C3142" s="12" t="inlineStr">
        <is>
          <t>VS32</t>
        </is>
      </c>
      <c r="D3142" s="12" t="inlineStr">
        <is>
          <t>MS Pipes</t>
        </is>
      </c>
      <c r="E3142" s="12" t="inlineStr">
        <is>
          <t>N</t>
        </is>
      </c>
      <c r="F3142" s="12" t="n">
        <v>34.63</v>
      </c>
      <c r="G3142" s="17" t="n">
        <v>87415.75</v>
      </c>
      <c r="H3142" s="26" t="n">
        <v>45275</v>
      </c>
      <c r="I3142" s="26" t="n">
        <v>45276</v>
      </c>
      <c r="J3142" s="12" t="n">
        <v>34.42</v>
      </c>
      <c r="K3142" s="17" t="n">
        <v>3027207.42</v>
      </c>
      <c r="L3142" s="12" t="n">
        <v>0</v>
      </c>
      <c r="M3142" s="12" t="n">
        <v>14</v>
      </c>
      <c r="N3142" s="27">
        <f>F3142-J3142</f>
        <v/>
      </c>
      <c r="O3142" s="16">
        <f>I3142-H3142</f>
        <v/>
      </c>
      <c r="P3142" s="14">
        <f>F3142*G3142</f>
        <v/>
      </c>
      <c r="Q3142" s="14">
        <f>J3142*G3142</f>
        <v/>
      </c>
      <c r="R3142" s="14">
        <f>K3142-Q3142</f>
        <v/>
      </c>
      <c r="S3142" s="3">
        <f>P3142*Assumptions!$B$3/100</f>
        <v/>
      </c>
      <c r="T3142" s="14">
        <f>R3142-S3142</f>
        <v/>
      </c>
      <c r="U3142" s="14">
        <f>L3142*G3142</f>
        <v/>
      </c>
    </row>
    <row r="3143">
      <c r="A3143" s="12" t="inlineStr">
        <is>
          <t>PO-2022-3141</t>
        </is>
      </c>
      <c r="B3143" s="26" t="n">
        <v>44414</v>
      </c>
      <c r="C3143" s="12" t="inlineStr">
        <is>
          <t>VS08</t>
        </is>
      </c>
      <c r="D3143" s="12" t="inlineStr">
        <is>
          <t>Hex Bars</t>
        </is>
      </c>
      <c r="E3143" s="12" t="inlineStr">
        <is>
          <t>N</t>
        </is>
      </c>
      <c r="F3143" s="12" t="n">
        <v>22.39</v>
      </c>
      <c r="G3143" s="17" t="n">
        <v>85164.78999999999</v>
      </c>
      <c r="H3143" s="26" t="n">
        <v>44422</v>
      </c>
      <c r="I3143" s="26" t="n">
        <v>44422</v>
      </c>
      <c r="J3143" s="12" t="n">
        <v>22.3</v>
      </c>
      <c r="K3143" s="17" t="n">
        <v>1906839.65</v>
      </c>
      <c r="L3143" s="12" t="n">
        <v>0</v>
      </c>
      <c r="M3143" s="12" t="n">
        <v>0</v>
      </c>
      <c r="N3143" s="27">
        <f>F3143-J3143</f>
        <v/>
      </c>
      <c r="O3143" s="16">
        <f>I3143-H3143</f>
        <v/>
      </c>
      <c r="P3143" s="14">
        <f>F3143*G3143</f>
        <v/>
      </c>
      <c r="Q3143" s="14">
        <f>J3143*G3143</f>
        <v/>
      </c>
      <c r="R3143" s="14">
        <f>K3143-Q3143</f>
        <v/>
      </c>
      <c r="S3143" s="3">
        <f>P3143*Assumptions!$B$3/100</f>
        <v/>
      </c>
      <c r="T3143" s="14">
        <f>R3143-S3143</f>
        <v/>
      </c>
      <c r="U3143" s="14">
        <f>L3143*G3143</f>
        <v/>
      </c>
    </row>
    <row r="3144">
      <c r="A3144" s="12" t="inlineStr">
        <is>
          <t>PO-2022-3142</t>
        </is>
      </c>
      <c r="B3144" s="26" t="n">
        <v>44364</v>
      </c>
      <c r="C3144" s="12" t="inlineStr">
        <is>
          <t>VS21</t>
        </is>
      </c>
      <c r="D3144" s="12" t="inlineStr">
        <is>
          <t>Fasteners &amp; Fittings</t>
        </is>
      </c>
      <c r="E3144" s="12" t="inlineStr">
        <is>
          <t>N</t>
        </is>
      </c>
      <c r="F3144" s="12" t="n">
        <v>34.82</v>
      </c>
      <c r="G3144" s="17" t="n">
        <v>80283.39</v>
      </c>
      <c r="H3144" s="26" t="n">
        <v>44378</v>
      </c>
      <c r="I3144" s="26" t="n">
        <v>44378</v>
      </c>
      <c r="J3144" s="12" t="n">
        <v>34.53</v>
      </c>
      <c r="K3144" s="17" t="n">
        <v>2795467.64</v>
      </c>
      <c r="L3144" s="12" t="n">
        <v>0</v>
      </c>
      <c r="M3144" s="12" t="n">
        <v>21</v>
      </c>
      <c r="N3144" s="27">
        <f>F3144-J3144</f>
        <v/>
      </c>
      <c r="O3144" s="16">
        <f>I3144-H3144</f>
        <v/>
      </c>
      <c r="P3144" s="14">
        <f>F3144*G3144</f>
        <v/>
      </c>
      <c r="Q3144" s="14">
        <f>J3144*G3144</f>
        <v/>
      </c>
      <c r="R3144" s="14">
        <f>K3144-Q3144</f>
        <v/>
      </c>
      <c r="S3144" s="3">
        <f>P3144*Assumptions!$B$3/100</f>
        <v/>
      </c>
      <c r="T3144" s="14">
        <f>R3144-S3144</f>
        <v/>
      </c>
      <c r="U3144" s="14">
        <f>L3144*G3144</f>
        <v/>
      </c>
    </row>
    <row r="3145">
      <c r="A3145" s="12" t="inlineStr">
        <is>
          <t>PO-2022-3143</t>
        </is>
      </c>
      <c r="B3145" s="26" t="n">
        <v>44389</v>
      </c>
      <c r="C3145" s="12" t="inlineStr">
        <is>
          <t>VS25</t>
        </is>
      </c>
      <c r="D3145" s="12" t="inlineStr">
        <is>
          <t>Spring Steel</t>
        </is>
      </c>
      <c r="E3145" s="12" t="inlineStr">
        <is>
          <t>N</t>
        </is>
      </c>
      <c r="F3145" s="12" t="n">
        <v>26.32</v>
      </c>
      <c r="G3145" s="17" t="n">
        <v>98162.23</v>
      </c>
      <c r="H3145" s="26" t="n">
        <v>44404</v>
      </c>
      <c r="I3145" s="26" t="n">
        <v>44404</v>
      </c>
      <c r="J3145" s="12" t="n">
        <v>26.17</v>
      </c>
      <c r="K3145" s="17" t="n">
        <v>2583629.89</v>
      </c>
      <c r="L3145" s="12" t="n">
        <v>0</v>
      </c>
      <c r="M3145" s="12" t="n">
        <v>4</v>
      </c>
      <c r="N3145" s="27">
        <f>F3145-J3145</f>
        <v/>
      </c>
      <c r="O3145" s="16">
        <f>I3145-H3145</f>
        <v/>
      </c>
      <c r="P3145" s="14">
        <f>F3145*G3145</f>
        <v/>
      </c>
      <c r="Q3145" s="14">
        <f>J3145*G3145</f>
        <v/>
      </c>
      <c r="R3145" s="14">
        <f>K3145-Q3145</f>
        <v/>
      </c>
      <c r="S3145" s="3">
        <f>P3145*Assumptions!$B$3/100</f>
        <v/>
      </c>
      <c r="T3145" s="14">
        <f>R3145-S3145</f>
        <v/>
      </c>
      <c r="U3145" s="14">
        <f>L3145*G3145</f>
        <v/>
      </c>
    </row>
    <row r="3146">
      <c r="A3146" s="12" t="inlineStr">
        <is>
          <t>PO-2022-3144</t>
        </is>
      </c>
      <c r="B3146" s="26" t="n">
        <v>44892</v>
      </c>
      <c r="C3146" s="12" t="inlineStr">
        <is>
          <t>VS16</t>
        </is>
      </c>
      <c r="D3146" s="12" t="inlineStr">
        <is>
          <t>Structural Steel</t>
        </is>
      </c>
      <c r="E3146" s="12" t="inlineStr">
        <is>
          <t>N</t>
        </is>
      </c>
      <c r="F3146" s="12" t="n">
        <v>27.21</v>
      </c>
      <c r="G3146" s="17" t="n">
        <v>105622.19</v>
      </c>
      <c r="H3146" s="26" t="n">
        <v>44904</v>
      </c>
      <c r="I3146" s="26" t="n">
        <v>44906</v>
      </c>
      <c r="J3146" s="12" t="n">
        <v>27.12</v>
      </c>
      <c r="K3146" s="17" t="n">
        <v>2873979.79</v>
      </c>
      <c r="L3146" s="12" t="n">
        <v>0</v>
      </c>
      <c r="M3146" s="12" t="n">
        <v>0</v>
      </c>
      <c r="N3146" s="27">
        <f>F3146-J3146</f>
        <v/>
      </c>
      <c r="O3146" s="16">
        <f>I3146-H3146</f>
        <v/>
      </c>
      <c r="P3146" s="14">
        <f>F3146*G3146</f>
        <v/>
      </c>
      <c r="Q3146" s="14">
        <f>J3146*G3146</f>
        <v/>
      </c>
      <c r="R3146" s="14">
        <f>K3146-Q3146</f>
        <v/>
      </c>
      <c r="S3146" s="3">
        <f>P3146*Assumptions!$B$3/100</f>
        <v/>
      </c>
      <c r="T3146" s="14">
        <f>R3146-S3146</f>
        <v/>
      </c>
      <c r="U3146" s="14">
        <f>L3146*G3146</f>
        <v/>
      </c>
    </row>
    <row r="3147">
      <c r="A3147" s="12" t="inlineStr">
        <is>
          <t>PO-2022-3145</t>
        </is>
      </c>
      <c r="B3147" s="26" t="n">
        <v>44639</v>
      </c>
      <c r="C3147" s="12" t="inlineStr">
        <is>
          <t>VS05</t>
        </is>
      </c>
      <c r="D3147" s="12" t="inlineStr">
        <is>
          <t>Spring Steel</t>
        </is>
      </c>
      <c r="E3147" s="12" t="inlineStr">
        <is>
          <t>N</t>
        </is>
      </c>
      <c r="F3147" s="12" t="n">
        <v>48.98</v>
      </c>
      <c r="G3147" s="17" t="n">
        <v>90649.24000000001</v>
      </c>
      <c r="H3147" s="26" t="n">
        <v>44644</v>
      </c>
      <c r="I3147" s="26" t="n">
        <v>44644</v>
      </c>
      <c r="J3147" s="12" t="n">
        <v>48.84</v>
      </c>
      <c r="K3147" s="17" t="n">
        <v>4439999.78</v>
      </c>
      <c r="L3147" s="12" t="n">
        <v>0</v>
      </c>
      <c r="M3147" s="12" t="n">
        <v>0</v>
      </c>
      <c r="N3147" s="27">
        <f>F3147-J3147</f>
        <v/>
      </c>
      <c r="O3147" s="16">
        <f>I3147-H3147</f>
        <v/>
      </c>
      <c r="P3147" s="14">
        <f>F3147*G3147</f>
        <v/>
      </c>
      <c r="Q3147" s="14">
        <f>J3147*G3147</f>
        <v/>
      </c>
      <c r="R3147" s="14">
        <f>K3147-Q3147</f>
        <v/>
      </c>
      <c r="S3147" s="3">
        <f>P3147*Assumptions!$B$3/100</f>
        <v/>
      </c>
      <c r="T3147" s="14">
        <f>R3147-S3147</f>
        <v/>
      </c>
      <c r="U3147" s="14">
        <f>L3147*G3147</f>
        <v/>
      </c>
    </row>
    <row r="3148">
      <c r="A3148" s="12" t="inlineStr">
        <is>
          <t>PO-2022-3146</t>
        </is>
      </c>
      <c r="B3148" s="26" t="n">
        <v>45238</v>
      </c>
      <c r="C3148" s="12" t="inlineStr">
        <is>
          <t>VS31</t>
        </is>
      </c>
      <c r="D3148" s="12" t="inlineStr">
        <is>
          <t>MS Sheets</t>
        </is>
      </c>
      <c r="E3148" s="12" t="inlineStr">
        <is>
          <t>N</t>
        </is>
      </c>
      <c r="F3148" s="12" t="n">
        <v>40.38</v>
      </c>
      <c r="G3148" s="17" t="n">
        <v>65708.32000000001</v>
      </c>
      <c r="H3148" s="26" t="n">
        <v>45245</v>
      </c>
      <c r="I3148" s="26" t="n">
        <v>45245</v>
      </c>
      <c r="J3148" s="12" t="n">
        <v>40.38</v>
      </c>
      <c r="K3148" s="17" t="n">
        <v>2653301.96</v>
      </c>
      <c r="L3148" s="12" t="n">
        <v>0</v>
      </c>
      <c r="M3148" s="12" t="n">
        <v>5</v>
      </c>
      <c r="N3148" s="27">
        <f>F3148-J3148</f>
        <v/>
      </c>
      <c r="O3148" s="16">
        <f>I3148-H3148</f>
        <v/>
      </c>
      <c r="P3148" s="14">
        <f>F3148*G3148</f>
        <v/>
      </c>
      <c r="Q3148" s="14">
        <f>J3148*G3148</f>
        <v/>
      </c>
      <c r="R3148" s="14">
        <f>K3148-Q3148</f>
        <v/>
      </c>
      <c r="S3148" s="3">
        <f>P3148*Assumptions!$B$3/100</f>
        <v/>
      </c>
      <c r="T3148" s="14">
        <f>R3148-S3148</f>
        <v/>
      </c>
      <c r="U3148" s="14">
        <f>L3148*G3148</f>
        <v/>
      </c>
    </row>
    <row r="3149">
      <c r="A3149" s="12" t="inlineStr">
        <is>
          <t>PO-2022-3147</t>
        </is>
      </c>
      <c r="B3149" s="26" t="n">
        <v>44306</v>
      </c>
      <c r="C3149" s="12" t="inlineStr">
        <is>
          <t>VS07</t>
        </is>
      </c>
      <c r="D3149" s="12" t="inlineStr">
        <is>
          <t>Hex Bars</t>
        </is>
      </c>
      <c r="E3149" s="12" t="inlineStr">
        <is>
          <t>N</t>
        </is>
      </c>
      <c r="F3149" s="12" t="n">
        <v>7.77</v>
      </c>
      <c r="G3149" s="17" t="n">
        <v>99178.69</v>
      </c>
      <c r="H3149" s="26" t="n">
        <v>44316</v>
      </c>
      <c r="I3149" s="26" t="n">
        <v>44317</v>
      </c>
      <c r="J3149" s="12" t="n">
        <v>7.69</v>
      </c>
      <c r="K3149" s="17" t="n">
        <v>770618.42</v>
      </c>
      <c r="L3149" s="12" t="n">
        <v>0</v>
      </c>
      <c r="M3149" s="12" t="n">
        <v>0</v>
      </c>
      <c r="N3149" s="27">
        <f>F3149-J3149</f>
        <v/>
      </c>
      <c r="O3149" s="16">
        <f>I3149-H3149</f>
        <v/>
      </c>
      <c r="P3149" s="14">
        <f>F3149*G3149</f>
        <v/>
      </c>
      <c r="Q3149" s="14">
        <f>J3149*G3149</f>
        <v/>
      </c>
      <c r="R3149" s="14">
        <f>K3149-Q3149</f>
        <v/>
      </c>
      <c r="S3149" s="3">
        <f>P3149*Assumptions!$B$3/100</f>
        <v/>
      </c>
      <c r="T3149" s="14">
        <f>R3149-S3149</f>
        <v/>
      </c>
      <c r="U3149" s="14">
        <f>L3149*G3149</f>
        <v/>
      </c>
    </row>
    <row r="3150">
      <c r="A3150" s="12" t="inlineStr">
        <is>
          <t>PO-2022-3148</t>
        </is>
      </c>
      <c r="B3150" s="26" t="n">
        <v>44529</v>
      </c>
      <c r="C3150" s="12" t="inlineStr">
        <is>
          <t>VS01</t>
        </is>
      </c>
      <c r="D3150" s="12" t="inlineStr">
        <is>
          <t>GI Pipes</t>
        </is>
      </c>
      <c r="E3150" s="12" t="inlineStr">
        <is>
          <t>N</t>
        </is>
      </c>
      <c r="F3150" s="12" t="n">
        <v>9.699999999999999</v>
      </c>
      <c r="G3150" s="17" t="n">
        <v>61031.36</v>
      </c>
      <c r="H3150" s="26" t="n">
        <v>44536</v>
      </c>
      <c r="I3150" s="26" t="n">
        <v>44536</v>
      </c>
      <c r="J3150" s="12" t="n">
        <v>9.69</v>
      </c>
      <c r="K3150" s="17" t="n">
        <v>592004.1899999999</v>
      </c>
      <c r="L3150" s="12" t="n">
        <v>0</v>
      </c>
      <c r="M3150" s="12" t="n">
        <v>19</v>
      </c>
      <c r="N3150" s="27">
        <f>F3150-J3150</f>
        <v/>
      </c>
      <c r="O3150" s="16">
        <f>I3150-H3150</f>
        <v/>
      </c>
      <c r="P3150" s="14">
        <f>F3150*G3150</f>
        <v/>
      </c>
      <c r="Q3150" s="14">
        <f>J3150*G3150</f>
        <v/>
      </c>
      <c r="R3150" s="14">
        <f>K3150-Q3150</f>
        <v/>
      </c>
      <c r="S3150" s="3">
        <f>P3150*Assumptions!$B$3/100</f>
        <v/>
      </c>
      <c r="T3150" s="14">
        <f>R3150-S3150</f>
        <v/>
      </c>
      <c r="U3150" s="14">
        <f>L3150*G3150</f>
        <v/>
      </c>
    </row>
    <row r="3151">
      <c r="A3151" s="12" t="inlineStr">
        <is>
          <t>PO-2022-3149</t>
        </is>
      </c>
      <c r="B3151" s="26" t="n">
        <v>44458</v>
      </c>
      <c r="C3151" s="12" t="inlineStr">
        <is>
          <t>VS15</t>
        </is>
      </c>
      <c r="D3151" s="12" t="inlineStr">
        <is>
          <t>Square/Rect Tubes</t>
        </is>
      </c>
      <c r="E3151" s="12" t="inlineStr">
        <is>
          <t>N</t>
        </is>
      </c>
      <c r="F3151" s="12" t="n">
        <v>33.46</v>
      </c>
      <c r="G3151" s="17" t="n">
        <v>56661.53</v>
      </c>
      <c r="H3151" s="26" t="n">
        <v>44465</v>
      </c>
      <c r="I3151" s="26" t="n">
        <v>44466</v>
      </c>
      <c r="J3151" s="12" t="n">
        <v>33.31</v>
      </c>
      <c r="K3151" s="17" t="n">
        <v>1895894.79</v>
      </c>
      <c r="L3151" s="12" t="n">
        <v>0</v>
      </c>
      <c r="M3151" s="12" t="n">
        <v>0</v>
      </c>
      <c r="N3151" s="27">
        <f>F3151-J3151</f>
        <v/>
      </c>
      <c r="O3151" s="16">
        <f>I3151-H3151</f>
        <v/>
      </c>
      <c r="P3151" s="14">
        <f>F3151*G3151</f>
        <v/>
      </c>
      <c r="Q3151" s="14">
        <f>J3151*G3151</f>
        <v/>
      </c>
      <c r="R3151" s="14">
        <f>K3151-Q3151</f>
        <v/>
      </c>
      <c r="S3151" s="3">
        <f>P3151*Assumptions!$B$3/100</f>
        <v/>
      </c>
      <c r="T3151" s="14">
        <f>R3151-S3151</f>
        <v/>
      </c>
      <c r="U3151" s="14">
        <f>L3151*G3151</f>
        <v/>
      </c>
    </row>
    <row r="3152">
      <c r="A3152" s="12" t="inlineStr">
        <is>
          <t>PO-2022-3150</t>
        </is>
      </c>
      <c r="B3152" s="26" t="n">
        <v>44378</v>
      </c>
      <c r="C3152" s="12" t="inlineStr">
        <is>
          <t>VS18</t>
        </is>
      </c>
      <c r="D3152" s="12" t="inlineStr">
        <is>
          <t>CR Sheets</t>
        </is>
      </c>
      <c r="E3152" s="12" t="inlineStr">
        <is>
          <t>N</t>
        </is>
      </c>
      <c r="F3152" s="12" t="n">
        <v>24.88</v>
      </c>
      <c r="G3152" s="17" t="n">
        <v>65907.08</v>
      </c>
      <c r="H3152" s="26" t="n">
        <v>44384</v>
      </c>
      <c r="I3152" s="26" t="n">
        <v>44384</v>
      </c>
      <c r="J3152" s="12" t="n">
        <v>24.87</v>
      </c>
      <c r="K3152" s="17" t="n">
        <v>1639768.15</v>
      </c>
      <c r="L3152" s="12" t="n">
        <v>0</v>
      </c>
      <c r="M3152" s="12" t="n">
        <v>19</v>
      </c>
      <c r="N3152" s="27">
        <f>F3152-J3152</f>
        <v/>
      </c>
      <c r="O3152" s="16">
        <f>I3152-H3152</f>
        <v/>
      </c>
      <c r="P3152" s="14">
        <f>F3152*G3152</f>
        <v/>
      </c>
      <c r="Q3152" s="14">
        <f>J3152*G3152</f>
        <v/>
      </c>
      <c r="R3152" s="14">
        <f>K3152-Q3152</f>
        <v/>
      </c>
      <c r="S3152" s="3">
        <f>P3152*Assumptions!$B$3/100</f>
        <v/>
      </c>
      <c r="T3152" s="14">
        <f>R3152-S3152</f>
        <v/>
      </c>
      <c r="U3152" s="14">
        <f>L3152*G3152</f>
        <v/>
      </c>
    </row>
    <row r="3153">
      <c r="A3153" s="12" t="inlineStr">
        <is>
          <t>PO-2022-3151</t>
        </is>
      </c>
      <c r="B3153" s="26" t="n">
        <v>44466</v>
      </c>
      <c r="C3153" s="12" t="inlineStr">
        <is>
          <t>VS34</t>
        </is>
      </c>
      <c r="D3153" s="12" t="inlineStr">
        <is>
          <t>ERW Pipes</t>
        </is>
      </c>
      <c r="E3153" s="12" t="inlineStr">
        <is>
          <t>N</t>
        </is>
      </c>
      <c r="F3153" s="12" t="n">
        <v>4.24</v>
      </c>
      <c r="G3153" s="17" t="n">
        <v>118045.36</v>
      </c>
      <c r="H3153" s="26" t="n">
        <v>44474</v>
      </c>
      <c r="I3153" s="26" t="n">
        <v>44474</v>
      </c>
      <c r="J3153" s="12" t="n">
        <v>4.23</v>
      </c>
      <c r="K3153" s="17" t="n">
        <v>500512.33</v>
      </c>
      <c r="L3153" s="12" t="n">
        <v>0</v>
      </c>
      <c r="M3153" s="12" t="n">
        <v>11</v>
      </c>
      <c r="N3153" s="27">
        <f>F3153-J3153</f>
        <v/>
      </c>
      <c r="O3153" s="16">
        <f>I3153-H3153</f>
        <v/>
      </c>
      <c r="P3153" s="14">
        <f>F3153*G3153</f>
        <v/>
      </c>
      <c r="Q3153" s="14">
        <f>J3153*G3153</f>
        <v/>
      </c>
      <c r="R3153" s="14">
        <f>K3153-Q3153</f>
        <v/>
      </c>
      <c r="S3153" s="3">
        <f>P3153*Assumptions!$B$3/100</f>
        <v/>
      </c>
      <c r="T3153" s="14">
        <f>R3153-S3153</f>
        <v/>
      </c>
      <c r="U3153" s="14">
        <f>L3153*G3153</f>
        <v/>
      </c>
    </row>
    <row r="3154">
      <c r="A3154" s="12" t="inlineStr">
        <is>
          <t>PO-2022-3152</t>
        </is>
      </c>
      <c r="B3154" s="26" t="n">
        <v>44598</v>
      </c>
      <c r="C3154" s="12" t="inlineStr">
        <is>
          <t>VS01</t>
        </is>
      </c>
      <c r="D3154" s="12" t="inlineStr">
        <is>
          <t>Square/Rect Tubes</t>
        </is>
      </c>
      <c r="E3154" s="12" t="inlineStr">
        <is>
          <t>N</t>
        </is>
      </c>
      <c r="F3154" s="12" t="n">
        <v>37.05</v>
      </c>
      <c r="G3154" s="17" t="n">
        <v>100108.98</v>
      </c>
      <c r="H3154" s="26" t="n">
        <v>44603</v>
      </c>
      <c r="I3154" s="26" t="n">
        <v>44606</v>
      </c>
      <c r="J3154" s="12" t="n">
        <v>36.83</v>
      </c>
      <c r="K3154" s="17" t="n">
        <v>3709037.71</v>
      </c>
      <c r="L3154" s="12" t="n">
        <v>0</v>
      </c>
      <c r="M3154" s="12" t="n">
        <v>3</v>
      </c>
      <c r="N3154" s="27">
        <f>F3154-J3154</f>
        <v/>
      </c>
      <c r="O3154" s="16">
        <f>I3154-H3154</f>
        <v/>
      </c>
      <c r="P3154" s="14">
        <f>F3154*G3154</f>
        <v/>
      </c>
      <c r="Q3154" s="14">
        <f>J3154*G3154</f>
        <v/>
      </c>
      <c r="R3154" s="14">
        <f>K3154-Q3154</f>
        <v/>
      </c>
      <c r="S3154" s="3">
        <f>P3154*Assumptions!$B$3/100</f>
        <v/>
      </c>
      <c r="T3154" s="14">
        <f>R3154-S3154</f>
        <v/>
      </c>
      <c r="U3154" s="14">
        <f>L3154*G3154</f>
        <v/>
      </c>
    </row>
    <row r="3155">
      <c r="A3155" s="12" t="inlineStr">
        <is>
          <t>PO-2022-3153</t>
        </is>
      </c>
      <c r="B3155" s="26" t="n">
        <v>44270</v>
      </c>
      <c r="C3155" s="12" t="inlineStr">
        <is>
          <t>VS14</t>
        </is>
      </c>
      <c r="D3155" s="12" t="inlineStr">
        <is>
          <t>GI Pipes</t>
        </is>
      </c>
      <c r="E3155" s="12" t="inlineStr">
        <is>
          <t>N</t>
        </is>
      </c>
      <c r="F3155" s="12" t="n">
        <v>14.57</v>
      </c>
      <c r="G3155" s="17" t="n">
        <v>98579.56</v>
      </c>
      <c r="H3155" s="26" t="n">
        <v>44275</v>
      </c>
      <c r="I3155" s="26" t="n">
        <v>44278</v>
      </c>
      <c r="J3155" s="12" t="n">
        <v>14.57</v>
      </c>
      <c r="K3155" s="17" t="n">
        <v>1436304.19</v>
      </c>
      <c r="L3155" s="12" t="n">
        <v>0</v>
      </c>
      <c r="M3155" s="12" t="n">
        <v>0</v>
      </c>
      <c r="N3155" s="27">
        <f>F3155-J3155</f>
        <v/>
      </c>
      <c r="O3155" s="16">
        <f>I3155-H3155</f>
        <v/>
      </c>
      <c r="P3155" s="14">
        <f>F3155*G3155</f>
        <v/>
      </c>
      <c r="Q3155" s="14">
        <f>J3155*G3155</f>
        <v/>
      </c>
      <c r="R3155" s="14">
        <f>K3155-Q3155</f>
        <v/>
      </c>
      <c r="S3155" s="3">
        <f>P3155*Assumptions!$B$3/100</f>
        <v/>
      </c>
      <c r="T3155" s="14">
        <f>R3155-S3155</f>
        <v/>
      </c>
      <c r="U3155" s="14">
        <f>L3155*G3155</f>
        <v/>
      </c>
    </row>
    <row r="3156">
      <c r="A3156" s="12" t="inlineStr">
        <is>
          <t>PO-2022-3154</t>
        </is>
      </c>
      <c r="B3156" s="26" t="n">
        <v>44645</v>
      </c>
      <c r="C3156" s="12" t="inlineStr">
        <is>
          <t>VS09</t>
        </is>
      </c>
      <c r="D3156" s="12" t="inlineStr">
        <is>
          <t>Square/Rect Tubes</t>
        </is>
      </c>
      <c r="E3156" s="12" t="inlineStr">
        <is>
          <t>N</t>
        </is>
      </c>
      <c r="F3156" s="12" t="n">
        <v>36.13</v>
      </c>
      <c r="G3156" s="17" t="n">
        <v>82352.03</v>
      </c>
      <c r="H3156" s="26" t="n">
        <v>44650</v>
      </c>
      <c r="I3156" s="26" t="n">
        <v>44651</v>
      </c>
      <c r="J3156" s="12" t="n">
        <v>36.11</v>
      </c>
      <c r="K3156" s="17" t="n">
        <v>2975378.84</v>
      </c>
      <c r="L3156" s="12" t="n">
        <v>0</v>
      </c>
      <c r="M3156" s="12" t="n">
        <v>9</v>
      </c>
      <c r="N3156" s="27">
        <f>F3156-J3156</f>
        <v/>
      </c>
      <c r="O3156" s="16">
        <f>I3156-H3156</f>
        <v/>
      </c>
      <c r="P3156" s="14">
        <f>F3156*G3156</f>
        <v/>
      </c>
      <c r="Q3156" s="14">
        <f>J3156*G3156</f>
        <v/>
      </c>
      <c r="R3156" s="14">
        <f>K3156-Q3156</f>
        <v/>
      </c>
      <c r="S3156" s="3">
        <f>P3156*Assumptions!$B$3/100</f>
        <v/>
      </c>
      <c r="T3156" s="14">
        <f>R3156-S3156</f>
        <v/>
      </c>
      <c r="U3156" s="14">
        <f>L3156*G3156</f>
        <v/>
      </c>
    </row>
    <row r="3157">
      <c r="A3157" s="12" t="inlineStr">
        <is>
          <t>PO-2022-3155</t>
        </is>
      </c>
      <c r="B3157" s="26" t="n">
        <v>44408</v>
      </c>
      <c r="C3157" s="12" t="inlineStr">
        <is>
          <t>VS16</t>
        </is>
      </c>
      <c r="D3157" s="12" t="inlineStr">
        <is>
          <t>Angles &amp; Channels</t>
        </is>
      </c>
      <c r="E3157" s="12" t="inlineStr">
        <is>
          <t>Y</t>
        </is>
      </c>
      <c r="F3157" s="12" t="n">
        <v>36.17</v>
      </c>
      <c r="G3157" s="17" t="n">
        <v>48107.16</v>
      </c>
      <c r="H3157" s="26" t="n">
        <v>44423</v>
      </c>
      <c r="I3157" s="26" t="n">
        <v>44426</v>
      </c>
      <c r="J3157" s="12" t="n">
        <v>35.89</v>
      </c>
      <c r="K3157" s="17" t="n">
        <v>1740035.98</v>
      </c>
      <c r="L3157" s="12" t="n">
        <v>0</v>
      </c>
      <c r="M3157" s="12" t="n">
        <v>0</v>
      </c>
      <c r="N3157" s="27">
        <f>F3157-J3157</f>
        <v/>
      </c>
      <c r="O3157" s="16">
        <f>I3157-H3157</f>
        <v/>
      </c>
      <c r="P3157" s="14">
        <f>F3157*G3157</f>
        <v/>
      </c>
      <c r="Q3157" s="14">
        <f>J3157*G3157</f>
        <v/>
      </c>
      <c r="R3157" s="14">
        <f>K3157-Q3157</f>
        <v/>
      </c>
      <c r="S3157" s="3">
        <f>P3157*Assumptions!$B$3/100</f>
        <v/>
      </c>
      <c r="T3157" s="14">
        <f>R3157-S3157</f>
        <v/>
      </c>
      <c r="U3157" s="14">
        <f>L3157*G3157</f>
        <v/>
      </c>
    </row>
    <row r="3158">
      <c r="A3158" s="12" t="inlineStr">
        <is>
          <t>PO-2022-3156</t>
        </is>
      </c>
      <c r="B3158" s="26" t="n">
        <v>44464</v>
      </c>
      <c r="C3158" s="12" t="inlineStr">
        <is>
          <t>VS33</t>
        </is>
      </c>
      <c r="D3158" s="12" t="inlineStr">
        <is>
          <t>SS Pipes</t>
        </is>
      </c>
      <c r="E3158" s="12" t="inlineStr">
        <is>
          <t>N</t>
        </is>
      </c>
      <c r="F3158" s="12" t="n">
        <v>21.48</v>
      </c>
      <c r="G3158" s="17" t="n">
        <v>111475.19</v>
      </c>
      <c r="H3158" s="26" t="n">
        <v>44473</v>
      </c>
      <c r="I3158" s="26" t="n">
        <v>44474</v>
      </c>
      <c r="J3158" s="12" t="n">
        <v>21.48</v>
      </c>
      <c r="K3158" s="17" t="n">
        <v>2394487.08</v>
      </c>
      <c r="L3158" s="12" t="n">
        <v>0</v>
      </c>
      <c r="M3158" s="12" t="n">
        <v>0</v>
      </c>
      <c r="N3158" s="27">
        <f>F3158-J3158</f>
        <v/>
      </c>
      <c r="O3158" s="16">
        <f>I3158-H3158</f>
        <v/>
      </c>
      <c r="P3158" s="14">
        <f>F3158*G3158</f>
        <v/>
      </c>
      <c r="Q3158" s="14">
        <f>J3158*G3158</f>
        <v/>
      </c>
      <c r="R3158" s="14">
        <f>K3158-Q3158</f>
        <v/>
      </c>
      <c r="S3158" s="3">
        <f>P3158*Assumptions!$B$3/100</f>
        <v/>
      </c>
      <c r="T3158" s="14">
        <f>R3158-S3158</f>
        <v/>
      </c>
      <c r="U3158" s="14">
        <f>L3158*G3158</f>
        <v/>
      </c>
    </row>
    <row r="3159">
      <c r="A3159" s="12" t="inlineStr">
        <is>
          <t>PO-2022-3157</t>
        </is>
      </c>
      <c r="B3159" s="26" t="n">
        <v>44716</v>
      </c>
      <c r="C3159" s="12" t="inlineStr">
        <is>
          <t>VS26</t>
        </is>
      </c>
      <c r="D3159" s="12" t="inlineStr">
        <is>
          <t>GI Sheets</t>
        </is>
      </c>
      <c r="E3159" s="12" t="inlineStr">
        <is>
          <t>N</t>
        </is>
      </c>
      <c r="F3159" s="12" t="n">
        <v>1.14</v>
      </c>
      <c r="G3159" s="17" t="n">
        <v>118827.09</v>
      </c>
      <c r="H3159" s="26" t="n">
        <v>44719</v>
      </c>
      <c r="I3159" s="26" t="n">
        <v>44721</v>
      </c>
      <c r="J3159" s="12" t="n">
        <v>1.13</v>
      </c>
      <c r="K3159" s="17" t="n">
        <v>135462.88</v>
      </c>
      <c r="L3159" s="12" t="n">
        <v>0</v>
      </c>
      <c r="M3159" s="12" t="n">
        <v>0</v>
      </c>
      <c r="N3159" s="27">
        <f>F3159-J3159</f>
        <v/>
      </c>
      <c r="O3159" s="16">
        <f>I3159-H3159</f>
        <v/>
      </c>
      <c r="P3159" s="14">
        <f>F3159*G3159</f>
        <v/>
      </c>
      <c r="Q3159" s="14">
        <f>J3159*G3159</f>
        <v/>
      </c>
      <c r="R3159" s="14">
        <f>K3159-Q3159</f>
        <v/>
      </c>
      <c r="S3159" s="3">
        <f>P3159*Assumptions!$B$3/100</f>
        <v/>
      </c>
      <c r="T3159" s="14">
        <f>R3159-S3159</f>
        <v/>
      </c>
      <c r="U3159" s="14">
        <f>L3159*G3159</f>
        <v/>
      </c>
    </row>
    <row r="3160">
      <c r="A3160" s="12" t="inlineStr">
        <is>
          <t>PO-2022-3158</t>
        </is>
      </c>
      <c r="B3160" s="26" t="n">
        <v>44902</v>
      </c>
      <c r="C3160" s="12" t="inlineStr">
        <is>
          <t>VS15</t>
        </is>
      </c>
      <c r="D3160" s="12" t="inlineStr">
        <is>
          <t>Fasteners &amp; Fittings</t>
        </is>
      </c>
      <c r="E3160" s="12" t="inlineStr">
        <is>
          <t>N</t>
        </is>
      </c>
      <c r="F3160" s="12" t="n">
        <v>23.39</v>
      </c>
      <c r="G3160" s="17" t="n">
        <v>71689.42</v>
      </c>
      <c r="H3160" s="26" t="n">
        <v>44914</v>
      </c>
      <c r="I3160" s="26" t="n">
        <v>44917</v>
      </c>
      <c r="J3160" s="12" t="n">
        <v>23.31</v>
      </c>
      <c r="K3160" s="17" t="n">
        <v>1676815.53</v>
      </c>
      <c r="L3160" s="12" t="n">
        <v>0</v>
      </c>
      <c r="M3160" s="12" t="n">
        <v>0</v>
      </c>
      <c r="N3160" s="27">
        <f>F3160-J3160</f>
        <v/>
      </c>
      <c r="O3160" s="16">
        <f>I3160-H3160</f>
        <v/>
      </c>
      <c r="P3160" s="14">
        <f>F3160*G3160</f>
        <v/>
      </c>
      <c r="Q3160" s="14">
        <f>J3160*G3160</f>
        <v/>
      </c>
      <c r="R3160" s="14">
        <f>K3160-Q3160</f>
        <v/>
      </c>
      <c r="S3160" s="3">
        <f>P3160*Assumptions!$B$3/100</f>
        <v/>
      </c>
      <c r="T3160" s="14">
        <f>R3160-S3160</f>
        <v/>
      </c>
      <c r="U3160" s="14">
        <f>L3160*G3160</f>
        <v/>
      </c>
    </row>
    <row r="3161">
      <c r="A3161" s="12" t="inlineStr">
        <is>
          <t>PO-2022-3159</t>
        </is>
      </c>
      <c r="B3161" s="26" t="n">
        <v>44393</v>
      </c>
      <c r="C3161" s="12" t="inlineStr">
        <is>
          <t>VS15</t>
        </is>
      </c>
      <c r="D3161" s="12" t="inlineStr">
        <is>
          <t>Square/Rect Tubes</t>
        </is>
      </c>
      <c r="E3161" s="12" t="inlineStr">
        <is>
          <t>N</t>
        </is>
      </c>
      <c r="F3161" s="12" t="n">
        <v>38.63</v>
      </c>
      <c r="G3161" s="17" t="n">
        <v>96284.02</v>
      </c>
      <c r="H3161" s="26" t="n">
        <v>44406</v>
      </c>
      <c r="I3161" s="26" t="n">
        <v>44406</v>
      </c>
      <c r="J3161" s="12" t="n">
        <v>38.38</v>
      </c>
      <c r="K3161" s="17" t="n">
        <v>3719451.69</v>
      </c>
      <c r="L3161" s="12" t="n">
        <v>0</v>
      </c>
      <c r="M3161" s="12" t="n">
        <v>0</v>
      </c>
      <c r="N3161" s="27">
        <f>F3161-J3161</f>
        <v/>
      </c>
      <c r="O3161" s="16">
        <f>I3161-H3161</f>
        <v/>
      </c>
      <c r="P3161" s="14">
        <f>F3161*G3161</f>
        <v/>
      </c>
      <c r="Q3161" s="14">
        <f>J3161*G3161</f>
        <v/>
      </c>
      <c r="R3161" s="14">
        <f>K3161-Q3161</f>
        <v/>
      </c>
      <c r="S3161" s="3">
        <f>P3161*Assumptions!$B$3/100</f>
        <v/>
      </c>
      <c r="T3161" s="14">
        <f>R3161-S3161</f>
        <v/>
      </c>
      <c r="U3161" s="14">
        <f>L3161*G3161</f>
        <v/>
      </c>
    </row>
    <row r="3162">
      <c r="A3162" s="12" t="inlineStr">
        <is>
          <t>PO-2022-3160</t>
        </is>
      </c>
      <c r="B3162" s="26" t="n">
        <v>44528</v>
      </c>
      <c r="C3162" s="12" t="inlineStr">
        <is>
          <t>VS06</t>
        </is>
      </c>
      <c r="D3162" s="12" t="inlineStr">
        <is>
          <t>GI Wire</t>
        </is>
      </c>
      <c r="E3162" s="12" t="inlineStr">
        <is>
          <t>N</t>
        </is>
      </c>
      <c r="F3162" s="12" t="n">
        <v>34.45</v>
      </c>
      <c r="G3162" s="17" t="n">
        <v>105971.6</v>
      </c>
      <c r="H3162" s="26" t="n">
        <v>44542</v>
      </c>
      <c r="I3162" s="26" t="n">
        <v>44544</v>
      </c>
      <c r="J3162" s="12" t="n">
        <v>34.27</v>
      </c>
      <c r="K3162" s="17" t="n">
        <v>3650721.62</v>
      </c>
      <c r="L3162" s="12" t="n">
        <v>0</v>
      </c>
      <c r="M3162" s="12" t="n">
        <v>0</v>
      </c>
      <c r="N3162" s="27">
        <f>F3162-J3162</f>
        <v/>
      </c>
      <c r="O3162" s="16">
        <f>I3162-H3162</f>
        <v/>
      </c>
      <c r="P3162" s="14">
        <f>F3162*G3162</f>
        <v/>
      </c>
      <c r="Q3162" s="14">
        <f>J3162*G3162</f>
        <v/>
      </c>
      <c r="R3162" s="14">
        <f>K3162-Q3162</f>
        <v/>
      </c>
      <c r="S3162" s="3">
        <f>P3162*Assumptions!$B$3/100</f>
        <v/>
      </c>
      <c r="T3162" s="14">
        <f>R3162-S3162</f>
        <v/>
      </c>
      <c r="U3162" s="14">
        <f>L3162*G3162</f>
        <v/>
      </c>
    </row>
    <row r="3163">
      <c r="A3163" s="12" t="inlineStr">
        <is>
          <t>PO-2022-3161</t>
        </is>
      </c>
      <c r="B3163" s="26" t="n">
        <v>44348</v>
      </c>
      <c r="C3163" s="12" t="inlineStr">
        <is>
          <t>VS31</t>
        </is>
      </c>
      <c r="D3163" s="12" t="inlineStr">
        <is>
          <t>SS Sheets</t>
        </is>
      </c>
      <c r="E3163" s="12" t="inlineStr">
        <is>
          <t>N</t>
        </is>
      </c>
      <c r="F3163" s="12" t="n">
        <v>19.53</v>
      </c>
      <c r="G3163" s="17" t="n">
        <v>90608.88</v>
      </c>
      <c r="H3163" s="26" t="n">
        <v>44353</v>
      </c>
      <c r="I3163" s="26" t="n">
        <v>44354</v>
      </c>
      <c r="J3163" s="12" t="n">
        <v>19.45</v>
      </c>
      <c r="K3163" s="17" t="n">
        <v>1769591.43</v>
      </c>
      <c r="L3163" s="12" t="n">
        <v>0</v>
      </c>
      <c r="M3163" s="12" t="n">
        <v>8</v>
      </c>
      <c r="N3163" s="27">
        <f>F3163-J3163</f>
        <v/>
      </c>
      <c r="O3163" s="16">
        <f>I3163-H3163</f>
        <v/>
      </c>
      <c r="P3163" s="14">
        <f>F3163*G3163</f>
        <v/>
      </c>
      <c r="Q3163" s="14">
        <f>J3163*G3163</f>
        <v/>
      </c>
      <c r="R3163" s="14">
        <f>K3163-Q3163</f>
        <v/>
      </c>
      <c r="S3163" s="3">
        <f>P3163*Assumptions!$B$3/100</f>
        <v/>
      </c>
      <c r="T3163" s="14">
        <f>R3163-S3163</f>
        <v/>
      </c>
      <c r="U3163" s="14">
        <f>L3163*G3163</f>
        <v/>
      </c>
    </row>
    <row r="3164">
      <c r="A3164" s="12" t="inlineStr">
        <is>
          <t>PO-2022-3162</t>
        </is>
      </c>
      <c r="B3164" s="26" t="n">
        <v>45284</v>
      </c>
      <c r="C3164" s="12" t="inlineStr">
        <is>
          <t>VS14</t>
        </is>
      </c>
      <c r="D3164" s="12" t="inlineStr">
        <is>
          <t>ERW Pipes</t>
        </is>
      </c>
      <c r="E3164" s="12" t="inlineStr">
        <is>
          <t>N</t>
        </is>
      </c>
      <c r="F3164" s="12" t="n">
        <v>47.26</v>
      </c>
      <c r="G3164" s="17" t="n">
        <v>47187.87</v>
      </c>
      <c r="H3164" s="26" t="n">
        <v>45290</v>
      </c>
      <c r="I3164" s="26" t="n">
        <v>45293</v>
      </c>
      <c r="J3164" s="12" t="n">
        <v>46.8</v>
      </c>
      <c r="K3164" s="17" t="n">
        <v>2230098.74</v>
      </c>
      <c r="L3164" s="12" t="n">
        <v>0</v>
      </c>
      <c r="M3164" s="12" t="n">
        <v>13</v>
      </c>
      <c r="N3164" s="27">
        <f>F3164-J3164</f>
        <v/>
      </c>
      <c r="O3164" s="16">
        <f>I3164-H3164</f>
        <v/>
      </c>
      <c r="P3164" s="14">
        <f>F3164*G3164</f>
        <v/>
      </c>
      <c r="Q3164" s="14">
        <f>J3164*G3164</f>
        <v/>
      </c>
      <c r="R3164" s="14">
        <f>K3164-Q3164</f>
        <v/>
      </c>
      <c r="S3164" s="3">
        <f>P3164*Assumptions!$B$3/100</f>
        <v/>
      </c>
      <c r="T3164" s="14">
        <f>R3164-S3164</f>
        <v/>
      </c>
      <c r="U3164" s="14">
        <f>L3164*G3164</f>
        <v/>
      </c>
    </row>
    <row r="3165">
      <c r="A3165" s="12" t="inlineStr">
        <is>
          <t>PO-2022-3163</t>
        </is>
      </c>
      <c r="B3165" s="26" t="n">
        <v>44762</v>
      </c>
      <c r="C3165" s="12" t="inlineStr">
        <is>
          <t>VS05</t>
        </is>
      </c>
      <c r="D3165" s="12" t="inlineStr">
        <is>
          <t>MS Rods</t>
        </is>
      </c>
      <c r="E3165" s="12" t="inlineStr">
        <is>
          <t>N</t>
        </is>
      </c>
      <c r="F3165" s="12" t="n">
        <v>20.2</v>
      </c>
      <c r="G3165" s="17" t="n">
        <v>56312.68</v>
      </c>
      <c r="H3165" s="26" t="n">
        <v>44766</v>
      </c>
      <c r="I3165" s="26" t="n">
        <v>44769</v>
      </c>
      <c r="J3165" s="12" t="n">
        <v>20.16</v>
      </c>
      <c r="K3165" s="17" t="n">
        <v>1137516.14</v>
      </c>
      <c r="L3165" s="12" t="n">
        <v>0</v>
      </c>
      <c r="M3165" s="12" t="n">
        <v>0</v>
      </c>
      <c r="N3165" s="27">
        <f>F3165-J3165</f>
        <v/>
      </c>
      <c r="O3165" s="16">
        <f>I3165-H3165</f>
        <v/>
      </c>
      <c r="P3165" s="14">
        <f>F3165*G3165</f>
        <v/>
      </c>
      <c r="Q3165" s="14">
        <f>J3165*G3165</f>
        <v/>
      </c>
      <c r="R3165" s="14">
        <f>K3165-Q3165</f>
        <v/>
      </c>
      <c r="S3165" s="3">
        <f>P3165*Assumptions!$B$3/100</f>
        <v/>
      </c>
      <c r="T3165" s="14">
        <f>R3165-S3165</f>
        <v/>
      </c>
      <c r="U3165" s="14">
        <f>L3165*G3165</f>
        <v/>
      </c>
    </row>
    <row r="3166">
      <c r="A3166" s="12" t="inlineStr">
        <is>
          <t>PO-2022-3164</t>
        </is>
      </c>
      <c r="B3166" s="26" t="n">
        <v>44612</v>
      </c>
      <c r="C3166" s="12" t="inlineStr">
        <is>
          <t>VS08</t>
        </is>
      </c>
      <c r="D3166" s="12" t="inlineStr">
        <is>
          <t>GI Wire</t>
        </is>
      </c>
      <c r="E3166" s="12" t="inlineStr">
        <is>
          <t>N</t>
        </is>
      </c>
      <c r="F3166" s="12" t="n">
        <v>24.86</v>
      </c>
      <c r="G3166" s="17" t="n">
        <v>82581.53999999999</v>
      </c>
      <c r="H3166" s="26" t="n">
        <v>44620</v>
      </c>
      <c r="I3166" s="26" t="n">
        <v>44621</v>
      </c>
      <c r="J3166" s="12" t="n">
        <v>24.63</v>
      </c>
      <c r="K3166" s="17" t="n">
        <v>2052977.08</v>
      </c>
      <c r="L3166" s="12" t="n">
        <v>0</v>
      </c>
      <c r="M3166" s="12" t="n">
        <v>20</v>
      </c>
      <c r="N3166" s="27">
        <f>F3166-J3166</f>
        <v/>
      </c>
      <c r="O3166" s="16">
        <f>I3166-H3166</f>
        <v/>
      </c>
      <c r="P3166" s="14">
        <f>F3166*G3166</f>
        <v/>
      </c>
      <c r="Q3166" s="14">
        <f>J3166*G3166</f>
        <v/>
      </c>
      <c r="R3166" s="14">
        <f>K3166-Q3166</f>
        <v/>
      </c>
      <c r="S3166" s="3">
        <f>P3166*Assumptions!$B$3/100</f>
        <v/>
      </c>
      <c r="T3166" s="14">
        <f>R3166-S3166</f>
        <v/>
      </c>
      <c r="U3166" s="14">
        <f>L3166*G3166</f>
        <v/>
      </c>
    </row>
    <row r="3167">
      <c r="A3167" s="12" t="inlineStr">
        <is>
          <t>PO-2022-3165</t>
        </is>
      </c>
      <c r="B3167" s="26" t="n">
        <v>45028</v>
      </c>
      <c r="C3167" s="12" t="inlineStr">
        <is>
          <t>VS24</t>
        </is>
      </c>
      <c r="D3167" s="12" t="inlineStr">
        <is>
          <t>GI Wire</t>
        </is>
      </c>
      <c r="E3167" s="12" t="inlineStr">
        <is>
          <t>N</t>
        </is>
      </c>
      <c r="F3167" s="12" t="n">
        <v>42.23</v>
      </c>
      <c r="G3167" s="17" t="n">
        <v>113055.84</v>
      </c>
      <c r="H3167" s="26" t="n">
        <v>45038</v>
      </c>
      <c r="I3167" s="26" t="n">
        <v>45038</v>
      </c>
      <c r="J3167" s="12" t="n">
        <v>42.06</v>
      </c>
      <c r="K3167" s="17" t="n">
        <v>4774348.12</v>
      </c>
      <c r="L3167" s="12" t="n">
        <v>0</v>
      </c>
      <c r="M3167" s="12" t="n">
        <v>10</v>
      </c>
      <c r="N3167" s="27">
        <f>F3167-J3167</f>
        <v/>
      </c>
      <c r="O3167" s="16">
        <f>I3167-H3167</f>
        <v/>
      </c>
      <c r="P3167" s="14">
        <f>F3167*G3167</f>
        <v/>
      </c>
      <c r="Q3167" s="14">
        <f>J3167*G3167</f>
        <v/>
      </c>
      <c r="R3167" s="14">
        <f>K3167-Q3167</f>
        <v/>
      </c>
      <c r="S3167" s="3">
        <f>P3167*Assumptions!$B$3/100</f>
        <v/>
      </c>
      <c r="T3167" s="14">
        <f>R3167-S3167</f>
        <v/>
      </c>
      <c r="U3167" s="14">
        <f>L3167*G3167</f>
        <v/>
      </c>
    </row>
    <row r="3168">
      <c r="A3168" s="12" t="inlineStr">
        <is>
          <t>PO-2022-3166</t>
        </is>
      </c>
      <c r="B3168" s="26" t="n">
        <v>44280</v>
      </c>
      <c r="C3168" s="12" t="inlineStr">
        <is>
          <t>VS25</t>
        </is>
      </c>
      <c r="D3168" s="12" t="inlineStr">
        <is>
          <t>HR Coils</t>
        </is>
      </c>
      <c r="E3168" s="12" t="inlineStr">
        <is>
          <t>N</t>
        </is>
      </c>
      <c r="F3168" s="12" t="n">
        <v>35.32</v>
      </c>
      <c r="G3168" s="17" t="n">
        <v>114739.62</v>
      </c>
      <c r="H3168" s="26" t="n">
        <v>44284</v>
      </c>
      <c r="I3168" s="26" t="n">
        <v>44286</v>
      </c>
      <c r="J3168" s="12" t="n">
        <v>35.06</v>
      </c>
      <c r="K3168" s="17" t="n">
        <v>4052603.38</v>
      </c>
      <c r="L3168" s="12" t="n">
        <v>0</v>
      </c>
      <c r="M3168" s="12" t="n">
        <v>0</v>
      </c>
      <c r="N3168" s="27">
        <f>F3168-J3168</f>
        <v/>
      </c>
      <c r="O3168" s="16">
        <f>I3168-H3168</f>
        <v/>
      </c>
      <c r="P3168" s="14">
        <f>F3168*G3168</f>
        <v/>
      </c>
      <c r="Q3168" s="14">
        <f>J3168*G3168</f>
        <v/>
      </c>
      <c r="R3168" s="14">
        <f>K3168-Q3168</f>
        <v/>
      </c>
      <c r="S3168" s="3">
        <f>P3168*Assumptions!$B$3/100</f>
        <v/>
      </c>
      <c r="T3168" s="14">
        <f>R3168-S3168</f>
        <v/>
      </c>
      <c r="U3168" s="14">
        <f>L3168*G3168</f>
        <v/>
      </c>
    </row>
    <row r="3169">
      <c r="A3169" s="12" t="inlineStr">
        <is>
          <t>PO-2022-3167</t>
        </is>
      </c>
      <c r="B3169" s="26" t="n">
        <v>45245</v>
      </c>
      <c r="C3169" s="12" t="inlineStr">
        <is>
          <t>VS26</t>
        </is>
      </c>
      <c r="D3169" s="12" t="inlineStr">
        <is>
          <t>Angles &amp; Channels</t>
        </is>
      </c>
      <c r="E3169" s="12" t="inlineStr">
        <is>
          <t>Y</t>
        </is>
      </c>
      <c r="F3169" s="12" t="n">
        <v>18.72</v>
      </c>
      <c r="G3169" s="17" t="n">
        <v>67739.75</v>
      </c>
      <c r="H3169" s="26" t="n">
        <v>45252</v>
      </c>
      <c r="I3169" s="26" t="n">
        <v>45255</v>
      </c>
      <c r="J3169" s="12" t="n">
        <v>18.67</v>
      </c>
      <c r="K3169" s="17" t="n">
        <v>1268088.12</v>
      </c>
      <c r="L3169" s="12" t="n">
        <v>0</v>
      </c>
      <c r="M3169" s="12" t="n">
        <v>8</v>
      </c>
      <c r="N3169" s="27">
        <f>F3169-J3169</f>
        <v/>
      </c>
      <c r="O3169" s="16">
        <f>I3169-H3169</f>
        <v/>
      </c>
      <c r="P3169" s="14">
        <f>F3169*G3169</f>
        <v/>
      </c>
      <c r="Q3169" s="14">
        <f>J3169*G3169</f>
        <v/>
      </c>
      <c r="R3169" s="14">
        <f>K3169-Q3169</f>
        <v/>
      </c>
      <c r="S3169" s="3">
        <f>P3169*Assumptions!$B$3/100</f>
        <v/>
      </c>
      <c r="T3169" s="14">
        <f>R3169-S3169</f>
        <v/>
      </c>
      <c r="U3169" s="14">
        <f>L3169*G3169</f>
        <v/>
      </c>
    </row>
    <row r="3170">
      <c r="A3170" s="12" t="inlineStr">
        <is>
          <t>PO-2022-3168</t>
        </is>
      </c>
      <c r="B3170" s="26" t="n">
        <v>44718</v>
      </c>
      <c r="C3170" s="12" t="inlineStr">
        <is>
          <t>VS20</t>
        </is>
      </c>
      <c r="D3170" s="12" t="inlineStr">
        <is>
          <t>GI Pipes</t>
        </is>
      </c>
      <c r="E3170" s="12" t="inlineStr">
        <is>
          <t>N</t>
        </is>
      </c>
      <c r="F3170" s="12" t="n">
        <v>22.61</v>
      </c>
      <c r="G3170" s="17" t="n">
        <v>77361.39</v>
      </c>
      <c r="H3170" s="26" t="n">
        <v>44724</v>
      </c>
      <c r="I3170" s="26" t="n">
        <v>44724</v>
      </c>
      <c r="J3170" s="12" t="n">
        <v>22.55</v>
      </c>
      <c r="K3170" s="17" t="n">
        <v>1749141.03</v>
      </c>
      <c r="L3170" s="12" t="n">
        <v>0</v>
      </c>
      <c r="M3170" s="12" t="n">
        <v>20</v>
      </c>
      <c r="N3170" s="27">
        <f>F3170-J3170</f>
        <v/>
      </c>
      <c r="O3170" s="16">
        <f>I3170-H3170</f>
        <v/>
      </c>
      <c r="P3170" s="14">
        <f>F3170*G3170</f>
        <v/>
      </c>
      <c r="Q3170" s="14">
        <f>J3170*G3170</f>
        <v/>
      </c>
      <c r="R3170" s="14">
        <f>K3170-Q3170</f>
        <v/>
      </c>
      <c r="S3170" s="3">
        <f>P3170*Assumptions!$B$3/100</f>
        <v/>
      </c>
      <c r="T3170" s="14">
        <f>R3170-S3170</f>
        <v/>
      </c>
      <c r="U3170" s="14">
        <f>L3170*G3170</f>
        <v/>
      </c>
    </row>
    <row r="3171">
      <c r="A3171" s="12" t="inlineStr">
        <is>
          <t>PO-2022-3169</t>
        </is>
      </c>
      <c r="B3171" s="26" t="n">
        <v>44824</v>
      </c>
      <c r="C3171" s="12" t="inlineStr">
        <is>
          <t>VS13</t>
        </is>
      </c>
      <c r="D3171" s="12" t="inlineStr">
        <is>
          <t>HR Coils</t>
        </is>
      </c>
      <c r="E3171" s="12" t="inlineStr">
        <is>
          <t>N</t>
        </is>
      </c>
      <c r="F3171" s="12" t="n">
        <v>28.81</v>
      </c>
      <c r="G3171" s="17" t="n">
        <v>70784.24000000001</v>
      </c>
      <c r="H3171" s="26" t="n">
        <v>44831</v>
      </c>
      <c r="I3171" s="26" t="n">
        <v>44834</v>
      </c>
      <c r="J3171" s="12" t="n">
        <v>28.68</v>
      </c>
      <c r="K3171" s="17" t="n">
        <v>2039293.95</v>
      </c>
      <c r="L3171" s="12" t="n">
        <v>0</v>
      </c>
      <c r="M3171" s="12" t="n">
        <v>0</v>
      </c>
      <c r="N3171" s="27">
        <f>F3171-J3171</f>
        <v/>
      </c>
      <c r="O3171" s="16">
        <f>I3171-H3171</f>
        <v/>
      </c>
      <c r="P3171" s="14">
        <f>F3171*G3171</f>
        <v/>
      </c>
      <c r="Q3171" s="14">
        <f>J3171*G3171</f>
        <v/>
      </c>
      <c r="R3171" s="14">
        <f>K3171-Q3171</f>
        <v/>
      </c>
      <c r="S3171" s="3">
        <f>P3171*Assumptions!$B$3/100</f>
        <v/>
      </c>
      <c r="T3171" s="14">
        <f>R3171-S3171</f>
        <v/>
      </c>
      <c r="U3171" s="14">
        <f>L3171*G3171</f>
        <v/>
      </c>
    </row>
    <row r="3172">
      <c r="A3172" s="12" t="inlineStr">
        <is>
          <t>PO-2022-3170</t>
        </is>
      </c>
      <c r="B3172" s="26" t="n">
        <v>44968</v>
      </c>
      <c r="C3172" s="12" t="inlineStr">
        <is>
          <t>VS11</t>
        </is>
      </c>
      <c r="D3172" s="12" t="inlineStr">
        <is>
          <t>Fasteners &amp; Fittings</t>
        </is>
      </c>
      <c r="E3172" s="12" t="inlineStr">
        <is>
          <t>N</t>
        </is>
      </c>
      <c r="F3172" s="12" t="n">
        <v>10.3</v>
      </c>
      <c r="G3172" s="17" t="n">
        <v>108488.2</v>
      </c>
      <c r="H3172" s="26" t="n">
        <v>44977</v>
      </c>
      <c r="I3172" s="26" t="n">
        <v>44978</v>
      </c>
      <c r="J3172" s="12" t="n">
        <v>10.23</v>
      </c>
      <c r="K3172" s="17" t="n">
        <v>1117428.46</v>
      </c>
      <c r="L3172" s="12" t="n">
        <v>0</v>
      </c>
      <c r="M3172" s="12" t="n">
        <v>0</v>
      </c>
      <c r="N3172" s="27">
        <f>F3172-J3172</f>
        <v/>
      </c>
      <c r="O3172" s="16">
        <f>I3172-H3172</f>
        <v/>
      </c>
      <c r="P3172" s="14">
        <f>F3172*G3172</f>
        <v/>
      </c>
      <c r="Q3172" s="14">
        <f>J3172*G3172</f>
        <v/>
      </c>
      <c r="R3172" s="14">
        <f>K3172-Q3172</f>
        <v/>
      </c>
      <c r="S3172" s="3">
        <f>P3172*Assumptions!$B$3/100</f>
        <v/>
      </c>
      <c r="T3172" s="14">
        <f>R3172-S3172</f>
        <v/>
      </c>
      <c r="U3172" s="14">
        <f>L3172*G3172</f>
        <v/>
      </c>
    </row>
    <row r="3173">
      <c r="A3173" s="12" t="inlineStr">
        <is>
          <t>PO-2022-3171</t>
        </is>
      </c>
      <c r="B3173" s="26" t="n">
        <v>44472</v>
      </c>
      <c r="C3173" s="12" t="inlineStr">
        <is>
          <t>VS28</t>
        </is>
      </c>
      <c r="D3173" s="12" t="inlineStr">
        <is>
          <t>ERW Pipes</t>
        </is>
      </c>
      <c r="E3173" s="12" t="inlineStr">
        <is>
          <t>N</t>
        </is>
      </c>
      <c r="F3173" s="12" t="n">
        <v>5.33</v>
      </c>
      <c r="G3173" s="17" t="n">
        <v>117649.31</v>
      </c>
      <c r="H3173" s="26" t="n">
        <v>44479</v>
      </c>
      <c r="I3173" s="26" t="n">
        <v>44480</v>
      </c>
      <c r="J3173" s="12" t="n">
        <v>5.33</v>
      </c>
      <c r="K3173" s="17" t="n">
        <v>627070.8199999999</v>
      </c>
      <c r="L3173" s="12" t="n">
        <v>0</v>
      </c>
      <c r="M3173" s="12" t="n">
        <v>8</v>
      </c>
      <c r="N3173" s="27">
        <f>F3173-J3173</f>
        <v/>
      </c>
      <c r="O3173" s="16">
        <f>I3173-H3173</f>
        <v/>
      </c>
      <c r="P3173" s="14">
        <f>F3173*G3173</f>
        <v/>
      </c>
      <c r="Q3173" s="14">
        <f>J3173*G3173</f>
        <v/>
      </c>
      <c r="R3173" s="14">
        <f>K3173-Q3173</f>
        <v/>
      </c>
      <c r="S3173" s="3">
        <f>P3173*Assumptions!$B$3/100</f>
        <v/>
      </c>
      <c r="T3173" s="14">
        <f>R3173-S3173</f>
        <v/>
      </c>
      <c r="U3173" s="14">
        <f>L3173*G3173</f>
        <v/>
      </c>
    </row>
    <row r="3174">
      <c r="A3174" s="12" t="inlineStr">
        <is>
          <t>PO-2022-3172</t>
        </is>
      </c>
      <c r="B3174" s="26" t="n">
        <v>44640</v>
      </c>
      <c r="C3174" s="12" t="inlineStr">
        <is>
          <t>VS27</t>
        </is>
      </c>
      <c r="D3174" s="12" t="inlineStr">
        <is>
          <t>Square/Rect Tubes</t>
        </is>
      </c>
      <c r="E3174" s="12" t="inlineStr">
        <is>
          <t>N</t>
        </is>
      </c>
      <c r="F3174" s="12" t="n">
        <v>46.06</v>
      </c>
      <c r="G3174" s="17" t="n">
        <v>100413.3</v>
      </c>
      <c r="H3174" s="26" t="n">
        <v>44653</v>
      </c>
      <c r="I3174" s="26" t="n">
        <v>44656</v>
      </c>
      <c r="J3174" s="12" t="n">
        <v>45.99</v>
      </c>
      <c r="K3174" s="17" t="n">
        <v>4625036.6</v>
      </c>
      <c r="L3174" s="12" t="n">
        <v>0</v>
      </c>
      <c r="M3174" s="12" t="n">
        <v>0</v>
      </c>
      <c r="N3174" s="27">
        <f>F3174-J3174</f>
        <v/>
      </c>
      <c r="O3174" s="16">
        <f>I3174-H3174</f>
        <v/>
      </c>
      <c r="P3174" s="14">
        <f>F3174*G3174</f>
        <v/>
      </c>
      <c r="Q3174" s="14">
        <f>J3174*G3174</f>
        <v/>
      </c>
      <c r="R3174" s="14">
        <f>K3174-Q3174</f>
        <v/>
      </c>
      <c r="S3174" s="3">
        <f>P3174*Assumptions!$B$3/100</f>
        <v/>
      </c>
      <c r="T3174" s="14">
        <f>R3174-S3174</f>
        <v/>
      </c>
      <c r="U3174" s="14">
        <f>L3174*G3174</f>
        <v/>
      </c>
    </row>
    <row r="3175">
      <c r="A3175" s="12" t="inlineStr">
        <is>
          <t>PO-2022-3173</t>
        </is>
      </c>
      <c r="B3175" s="26" t="n">
        <v>44853</v>
      </c>
      <c r="C3175" s="12" t="inlineStr">
        <is>
          <t>VS18</t>
        </is>
      </c>
      <c r="D3175" s="12" t="inlineStr">
        <is>
          <t>Square/Rect Tubes</t>
        </is>
      </c>
      <c r="E3175" s="12" t="inlineStr">
        <is>
          <t>N</t>
        </is>
      </c>
      <c r="F3175" s="12" t="n">
        <v>5.97</v>
      </c>
      <c r="G3175" s="17" t="n">
        <v>83601.53</v>
      </c>
      <c r="H3175" s="26" t="n">
        <v>44864</v>
      </c>
      <c r="I3175" s="26" t="n">
        <v>44865</v>
      </c>
      <c r="J3175" s="12" t="n">
        <v>5.93</v>
      </c>
      <c r="K3175" s="17" t="n">
        <v>499101.13</v>
      </c>
      <c r="L3175" s="12" t="n">
        <v>0</v>
      </c>
      <c r="M3175" s="12" t="n">
        <v>0</v>
      </c>
      <c r="N3175" s="27">
        <f>F3175-J3175</f>
        <v/>
      </c>
      <c r="O3175" s="16">
        <f>I3175-H3175</f>
        <v/>
      </c>
      <c r="P3175" s="14">
        <f>F3175*G3175</f>
        <v/>
      </c>
      <c r="Q3175" s="14">
        <f>J3175*G3175</f>
        <v/>
      </c>
      <c r="R3175" s="14">
        <f>K3175-Q3175</f>
        <v/>
      </c>
      <c r="S3175" s="3">
        <f>P3175*Assumptions!$B$3/100</f>
        <v/>
      </c>
      <c r="T3175" s="14">
        <f>R3175-S3175</f>
        <v/>
      </c>
      <c r="U3175" s="14">
        <f>L3175*G3175</f>
        <v/>
      </c>
    </row>
    <row r="3176">
      <c r="A3176" s="12" t="inlineStr">
        <is>
          <t>PO-2022-3174</t>
        </is>
      </c>
      <c r="B3176" s="26" t="n">
        <v>44277</v>
      </c>
      <c r="C3176" s="12" t="inlineStr">
        <is>
          <t>VS32</t>
        </is>
      </c>
      <c r="D3176" s="12" t="inlineStr">
        <is>
          <t>ERW Pipes</t>
        </is>
      </c>
      <c r="E3176" s="12" t="inlineStr">
        <is>
          <t>N</t>
        </is>
      </c>
      <c r="F3176" s="12" t="n">
        <v>37.26</v>
      </c>
      <c r="G3176" s="17" t="n">
        <v>114772.89</v>
      </c>
      <c r="H3176" s="26" t="n">
        <v>44282</v>
      </c>
      <c r="I3176" s="26" t="n">
        <v>44282</v>
      </c>
      <c r="J3176" s="12" t="n">
        <v>37.14</v>
      </c>
      <c r="K3176" s="17" t="n">
        <v>4276437.88</v>
      </c>
      <c r="L3176" s="12" t="n">
        <v>0</v>
      </c>
      <c r="M3176" s="12" t="n">
        <v>15</v>
      </c>
      <c r="N3176" s="27">
        <f>F3176-J3176</f>
        <v/>
      </c>
      <c r="O3176" s="16">
        <f>I3176-H3176</f>
        <v/>
      </c>
      <c r="P3176" s="14">
        <f>F3176*G3176</f>
        <v/>
      </c>
      <c r="Q3176" s="14">
        <f>J3176*G3176</f>
        <v/>
      </c>
      <c r="R3176" s="14">
        <f>K3176-Q3176</f>
        <v/>
      </c>
      <c r="S3176" s="3">
        <f>P3176*Assumptions!$B$3/100</f>
        <v/>
      </c>
      <c r="T3176" s="14">
        <f>R3176-S3176</f>
        <v/>
      </c>
      <c r="U3176" s="14">
        <f>L3176*G3176</f>
        <v/>
      </c>
    </row>
    <row r="3177">
      <c r="A3177" s="12" t="inlineStr">
        <is>
          <t>PO-2022-3175</t>
        </is>
      </c>
      <c r="B3177" s="26" t="n">
        <v>44688</v>
      </c>
      <c r="C3177" s="12" t="inlineStr">
        <is>
          <t>VS20</t>
        </is>
      </c>
      <c r="D3177" s="12" t="inlineStr">
        <is>
          <t>SS Pipes</t>
        </is>
      </c>
      <c r="E3177" s="12" t="inlineStr">
        <is>
          <t>N</t>
        </is>
      </c>
      <c r="F3177" s="12" t="n">
        <v>33.24</v>
      </c>
      <c r="G3177" s="17" t="n">
        <v>87817.02</v>
      </c>
      <c r="H3177" s="26" t="n">
        <v>44697</v>
      </c>
      <c r="I3177" s="26" t="n">
        <v>44699</v>
      </c>
      <c r="J3177" s="12" t="n">
        <v>33.08</v>
      </c>
      <c r="K3177" s="17" t="n">
        <v>2919037.74</v>
      </c>
      <c r="L3177" s="12" t="n">
        <v>0</v>
      </c>
      <c r="M3177" s="12" t="n">
        <v>15</v>
      </c>
      <c r="N3177" s="27">
        <f>F3177-J3177</f>
        <v/>
      </c>
      <c r="O3177" s="16">
        <f>I3177-H3177</f>
        <v/>
      </c>
      <c r="P3177" s="14">
        <f>F3177*G3177</f>
        <v/>
      </c>
      <c r="Q3177" s="14">
        <f>J3177*G3177</f>
        <v/>
      </c>
      <c r="R3177" s="14">
        <f>K3177-Q3177</f>
        <v/>
      </c>
      <c r="S3177" s="3">
        <f>P3177*Assumptions!$B$3/100</f>
        <v/>
      </c>
      <c r="T3177" s="14">
        <f>R3177-S3177</f>
        <v/>
      </c>
      <c r="U3177" s="14">
        <f>L3177*G3177</f>
        <v/>
      </c>
    </row>
    <row r="3178">
      <c r="A3178" s="12" t="inlineStr">
        <is>
          <t>PO-2022-3176</t>
        </is>
      </c>
      <c r="B3178" s="26" t="n">
        <v>44736</v>
      </c>
      <c r="C3178" s="12" t="inlineStr">
        <is>
          <t>VS15</t>
        </is>
      </c>
      <c r="D3178" s="12" t="inlineStr">
        <is>
          <t>GI Sheets</t>
        </is>
      </c>
      <c r="E3178" s="12" t="inlineStr">
        <is>
          <t>N</t>
        </is>
      </c>
      <c r="F3178" s="12" t="n">
        <v>28.43</v>
      </c>
      <c r="G3178" s="17" t="n">
        <v>105374.85</v>
      </c>
      <c r="H3178" s="26" t="n">
        <v>44741</v>
      </c>
      <c r="I3178" s="26" t="n">
        <v>44741</v>
      </c>
      <c r="J3178" s="12" t="n">
        <v>28.39</v>
      </c>
      <c r="K3178" s="17" t="n">
        <v>2995806.99</v>
      </c>
      <c r="L3178" s="12" t="n">
        <v>0</v>
      </c>
      <c r="M3178" s="12" t="n">
        <v>10</v>
      </c>
      <c r="N3178" s="27">
        <f>F3178-J3178</f>
        <v/>
      </c>
      <c r="O3178" s="16">
        <f>I3178-H3178</f>
        <v/>
      </c>
      <c r="P3178" s="14">
        <f>F3178*G3178</f>
        <v/>
      </c>
      <c r="Q3178" s="14">
        <f>J3178*G3178</f>
        <v/>
      </c>
      <c r="R3178" s="14">
        <f>K3178-Q3178</f>
        <v/>
      </c>
      <c r="S3178" s="3">
        <f>P3178*Assumptions!$B$3/100</f>
        <v/>
      </c>
      <c r="T3178" s="14">
        <f>R3178-S3178</f>
        <v/>
      </c>
      <c r="U3178" s="14">
        <f>L3178*G3178</f>
        <v/>
      </c>
    </row>
    <row r="3179">
      <c r="A3179" s="12" t="inlineStr">
        <is>
          <t>PO-2022-3177</t>
        </is>
      </c>
      <c r="B3179" s="26" t="n">
        <v>44773</v>
      </c>
      <c r="C3179" s="12" t="inlineStr">
        <is>
          <t>VS30</t>
        </is>
      </c>
      <c r="D3179" s="12" t="inlineStr">
        <is>
          <t>MS Sheets</t>
        </is>
      </c>
      <c r="E3179" s="12" t="inlineStr">
        <is>
          <t>N</t>
        </is>
      </c>
      <c r="F3179" s="12" t="n">
        <v>44.56</v>
      </c>
      <c r="G3179" s="17" t="n">
        <v>95003.28</v>
      </c>
      <c r="H3179" s="26" t="n">
        <v>44781</v>
      </c>
      <c r="I3179" s="26" t="n">
        <v>44784</v>
      </c>
      <c r="J3179" s="12" t="n">
        <v>44.17</v>
      </c>
      <c r="K3179" s="17" t="n">
        <v>4233346.16</v>
      </c>
      <c r="L3179" s="12" t="n">
        <v>0</v>
      </c>
      <c r="M3179" s="12" t="n">
        <v>0</v>
      </c>
      <c r="N3179" s="27">
        <f>F3179-J3179</f>
        <v/>
      </c>
      <c r="O3179" s="16">
        <f>I3179-H3179</f>
        <v/>
      </c>
      <c r="P3179" s="14">
        <f>F3179*G3179</f>
        <v/>
      </c>
      <c r="Q3179" s="14">
        <f>J3179*G3179</f>
        <v/>
      </c>
      <c r="R3179" s="14">
        <f>K3179-Q3179</f>
        <v/>
      </c>
      <c r="S3179" s="3">
        <f>P3179*Assumptions!$B$3/100</f>
        <v/>
      </c>
      <c r="T3179" s="14">
        <f>R3179-S3179</f>
        <v/>
      </c>
      <c r="U3179" s="14">
        <f>L3179*G3179</f>
        <v/>
      </c>
    </row>
    <row r="3180">
      <c r="A3180" s="12" t="inlineStr">
        <is>
          <t>PO-2022-3178</t>
        </is>
      </c>
      <c r="B3180" s="26" t="n">
        <v>45285</v>
      </c>
      <c r="C3180" s="12" t="inlineStr">
        <is>
          <t>VS16</t>
        </is>
      </c>
      <c r="D3180" s="12" t="inlineStr">
        <is>
          <t>HR Coils</t>
        </is>
      </c>
      <c r="E3180" s="12" t="inlineStr">
        <is>
          <t>Y</t>
        </is>
      </c>
      <c r="F3180" s="12" t="n">
        <v>13.03</v>
      </c>
      <c r="G3180" s="17" t="n">
        <v>116192.64</v>
      </c>
      <c r="H3180" s="26" t="n">
        <v>45288</v>
      </c>
      <c r="I3180" s="26" t="n">
        <v>45291</v>
      </c>
      <c r="J3180" s="12" t="n">
        <v>13</v>
      </c>
      <c r="K3180" s="17" t="n">
        <v>1513990.1</v>
      </c>
      <c r="L3180" s="12" t="n">
        <v>0</v>
      </c>
      <c r="M3180" s="12" t="n">
        <v>0</v>
      </c>
      <c r="N3180" s="27">
        <f>F3180-J3180</f>
        <v/>
      </c>
      <c r="O3180" s="16">
        <f>I3180-H3180</f>
        <v/>
      </c>
      <c r="P3180" s="14">
        <f>F3180*G3180</f>
        <v/>
      </c>
      <c r="Q3180" s="14">
        <f>J3180*G3180</f>
        <v/>
      </c>
      <c r="R3180" s="14">
        <f>K3180-Q3180</f>
        <v/>
      </c>
      <c r="S3180" s="3">
        <f>P3180*Assumptions!$B$3/100</f>
        <v/>
      </c>
      <c r="T3180" s="14">
        <f>R3180-S3180</f>
        <v/>
      </c>
      <c r="U3180" s="14">
        <f>L3180*G3180</f>
        <v/>
      </c>
    </row>
    <row r="3181">
      <c r="A3181" s="12" t="inlineStr">
        <is>
          <t>PO-2022-3179</t>
        </is>
      </c>
      <c r="B3181" s="26" t="n">
        <v>44690</v>
      </c>
      <c r="C3181" s="12" t="inlineStr">
        <is>
          <t>VS05</t>
        </is>
      </c>
      <c r="D3181" s="12" t="inlineStr">
        <is>
          <t>SS Pipes</t>
        </is>
      </c>
      <c r="E3181" s="12" t="inlineStr">
        <is>
          <t>N</t>
        </is>
      </c>
      <c r="F3181" s="12" t="n">
        <v>35.61</v>
      </c>
      <c r="G3181" s="17" t="n">
        <v>72438.33</v>
      </c>
      <c r="H3181" s="26" t="n">
        <v>44703</v>
      </c>
      <c r="I3181" s="26" t="n">
        <v>44703</v>
      </c>
      <c r="J3181" s="12" t="n">
        <v>35.26</v>
      </c>
      <c r="K3181" s="17" t="n">
        <v>2579528.93</v>
      </c>
      <c r="L3181" s="12" t="n">
        <v>0</v>
      </c>
      <c r="M3181" s="12" t="n">
        <v>0</v>
      </c>
      <c r="N3181" s="27">
        <f>F3181-J3181</f>
        <v/>
      </c>
      <c r="O3181" s="16">
        <f>I3181-H3181</f>
        <v/>
      </c>
      <c r="P3181" s="14">
        <f>F3181*G3181</f>
        <v/>
      </c>
      <c r="Q3181" s="14">
        <f>J3181*G3181</f>
        <v/>
      </c>
      <c r="R3181" s="14">
        <f>K3181-Q3181</f>
        <v/>
      </c>
      <c r="S3181" s="3">
        <f>P3181*Assumptions!$B$3/100</f>
        <v/>
      </c>
      <c r="T3181" s="14">
        <f>R3181-S3181</f>
        <v/>
      </c>
      <c r="U3181" s="14">
        <f>L3181*G3181</f>
        <v/>
      </c>
    </row>
    <row r="3182">
      <c r="A3182" s="12" t="inlineStr">
        <is>
          <t>PO-2022-3180</t>
        </is>
      </c>
      <c r="B3182" s="26" t="n">
        <v>45280</v>
      </c>
      <c r="C3182" s="12" t="inlineStr">
        <is>
          <t>VS32</t>
        </is>
      </c>
      <c r="D3182" s="12" t="inlineStr">
        <is>
          <t>MS Rods</t>
        </is>
      </c>
      <c r="E3182" s="12" t="inlineStr">
        <is>
          <t>N</t>
        </is>
      </c>
      <c r="F3182" s="12" t="n">
        <v>2.37</v>
      </c>
      <c r="G3182" s="17" t="n">
        <v>118510.34</v>
      </c>
      <c r="H3182" s="26" t="n">
        <v>45287</v>
      </c>
      <c r="I3182" s="26" t="n">
        <v>45287</v>
      </c>
      <c r="J3182" s="12" t="n">
        <v>2.37</v>
      </c>
      <c r="K3182" s="17" t="n">
        <v>280869.51</v>
      </c>
      <c r="L3182" s="12" t="n">
        <v>0</v>
      </c>
      <c r="M3182" s="12" t="n">
        <v>0</v>
      </c>
      <c r="N3182" s="27">
        <f>F3182-J3182</f>
        <v/>
      </c>
      <c r="O3182" s="16">
        <f>I3182-H3182</f>
        <v/>
      </c>
      <c r="P3182" s="14">
        <f>F3182*G3182</f>
        <v/>
      </c>
      <c r="Q3182" s="14">
        <f>J3182*G3182</f>
        <v/>
      </c>
      <c r="R3182" s="14">
        <f>K3182-Q3182</f>
        <v/>
      </c>
      <c r="S3182" s="3">
        <f>P3182*Assumptions!$B$3/100</f>
        <v/>
      </c>
      <c r="T3182" s="14">
        <f>R3182-S3182</f>
        <v/>
      </c>
      <c r="U3182" s="14">
        <f>L3182*G3182</f>
        <v/>
      </c>
    </row>
    <row r="3183">
      <c r="A3183" s="12" t="inlineStr">
        <is>
          <t>PO-2022-3181</t>
        </is>
      </c>
      <c r="B3183" s="26" t="n">
        <v>44954</v>
      </c>
      <c r="C3183" s="12" t="inlineStr">
        <is>
          <t>VS30</t>
        </is>
      </c>
      <c r="D3183" s="12" t="inlineStr">
        <is>
          <t>MS Rods</t>
        </is>
      </c>
      <c r="E3183" s="12" t="inlineStr">
        <is>
          <t>N</t>
        </is>
      </c>
      <c r="F3183" s="12" t="n">
        <v>45.89</v>
      </c>
      <c r="G3183" s="17" t="n">
        <v>87278.66</v>
      </c>
      <c r="H3183" s="26" t="n">
        <v>44961</v>
      </c>
      <c r="I3183" s="26" t="n">
        <v>44964</v>
      </c>
      <c r="J3183" s="12" t="n">
        <v>45.53</v>
      </c>
      <c r="K3183" s="17" t="n">
        <v>4005217.71</v>
      </c>
      <c r="L3183" s="12" t="n">
        <v>0</v>
      </c>
      <c r="M3183" s="12" t="n">
        <v>0</v>
      </c>
      <c r="N3183" s="27">
        <f>F3183-J3183</f>
        <v/>
      </c>
      <c r="O3183" s="16">
        <f>I3183-H3183</f>
        <v/>
      </c>
      <c r="P3183" s="14">
        <f>F3183*G3183</f>
        <v/>
      </c>
      <c r="Q3183" s="14">
        <f>J3183*G3183</f>
        <v/>
      </c>
      <c r="R3183" s="14">
        <f>K3183-Q3183</f>
        <v/>
      </c>
      <c r="S3183" s="3">
        <f>P3183*Assumptions!$B$3/100</f>
        <v/>
      </c>
      <c r="T3183" s="14">
        <f>R3183-S3183</f>
        <v/>
      </c>
      <c r="U3183" s="14">
        <f>L3183*G3183</f>
        <v/>
      </c>
    </row>
    <row r="3184">
      <c r="A3184" s="12" t="inlineStr">
        <is>
          <t>PO-2022-3182</t>
        </is>
      </c>
      <c r="B3184" s="26" t="n">
        <v>45219</v>
      </c>
      <c r="C3184" s="12" t="inlineStr">
        <is>
          <t>VS22</t>
        </is>
      </c>
      <c r="D3184" s="12" t="inlineStr">
        <is>
          <t>Fasteners &amp; Fittings</t>
        </is>
      </c>
      <c r="E3184" s="12" t="inlineStr">
        <is>
          <t>N</t>
        </is>
      </c>
      <c r="F3184" s="12" t="n">
        <v>20.67</v>
      </c>
      <c r="G3184" s="17" t="n">
        <v>98407.98</v>
      </c>
      <c r="H3184" s="26" t="n">
        <v>45233</v>
      </c>
      <c r="I3184" s="26" t="n">
        <v>45235</v>
      </c>
      <c r="J3184" s="12" t="n">
        <v>20.52</v>
      </c>
      <c r="K3184" s="17" t="n">
        <v>2034092.95</v>
      </c>
      <c r="L3184" s="12" t="n">
        <v>0</v>
      </c>
      <c r="M3184" s="12" t="n">
        <v>16</v>
      </c>
      <c r="N3184" s="27">
        <f>F3184-J3184</f>
        <v/>
      </c>
      <c r="O3184" s="16">
        <f>I3184-H3184</f>
        <v/>
      </c>
      <c r="P3184" s="14">
        <f>F3184*G3184</f>
        <v/>
      </c>
      <c r="Q3184" s="14">
        <f>J3184*G3184</f>
        <v/>
      </c>
      <c r="R3184" s="14">
        <f>K3184-Q3184</f>
        <v/>
      </c>
      <c r="S3184" s="3">
        <f>P3184*Assumptions!$B$3/100</f>
        <v/>
      </c>
      <c r="T3184" s="14">
        <f>R3184-S3184</f>
        <v/>
      </c>
      <c r="U3184" s="14">
        <f>L3184*G3184</f>
        <v/>
      </c>
    </row>
    <row r="3185">
      <c r="A3185" s="12" t="inlineStr">
        <is>
          <t>PO-2022-3183</t>
        </is>
      </c>
      <c r="B3185" s="26" t="n">
        <v>44746</v>
      </c>
      <c r="C3185" s="12" t="inlineStr">
        <is>
          <t>VS22</t>
        </is>
      </c>
      <c r="D3185" s="12" t="inlineStr">
        <is>
          <t>GI Sheets</t>
        </is>
      </c>
      <c r="E3185" s="12" t="inlineStr">
        <is>
          <t>N</t>
        </is>
      </c>
      <c r="F3185" s="12" t="n">
        <v>18.66</v>
      </c>
      <c r="G3185" s="17" t="n">
        <v>62994.69</v>
      </c>
      <c r="H3185" s="26" t="n">
        <v>44754</v>
      </c>
      <c r="I3185" s="26" t="n">
        <v>44755</v>
      </c>
      <c r="J3185" s="12" t="n">
        <v>18.59</v>
      </c>
      <c r="K3185" s="17" t="n">
        <v>1175480.92</v>
      </c>
      <c r="L3185" s="12" t="n">
        <v>0</v>
      </c>
      <c r="M3185" s="12" t="n">
        <v>7</v>
      </c>
      <c r="N3185" s="27">
        <f>F3185-J3185</f>
        <v/>
      </c>
      <c r="O3185" s="16">
        <f>I3185-H3185</f>
        <v/>
      </c>
      <c r="P3185" s="14">
        <f>F3185*G3185</f>
        <v/>
      </c>
      <c r="Q3185" s="14">
        <f>J3185*G3185</f>
        <v/>
      </c>
      <c r="R3185" s="14">
        <f>K3185-Q3185</f>
        <v/>
      </c>
      <c r="S3185" s="3">
        <f>P3185*Assumptions!$B$3/100</f>
        <v/>
      </c>
      <c r="T3185" s="14">
        <f>R3185-S3185</f>
        <v/>
      </c>
      <c r="U3185" s="14">
        <f>L3185*G3185</f>
        <v/>
      </c>
    </row>
    <row r="3186">
      <c r="A3186" s="12" t="inlineStr">
        <is>
          <t>PO-2022-3184</t>
        </is>
      </c>
      <c r="B3186" s="26" t="n">
        <v>45164</v>
      </c>
      <c r="C3186" s="12" t="inlineStr">
        <is>
          <t>VS18</t>
        </is>
      </c>
      <c r="D3186" s="12" t="inlineStr">
        <is>
          <t>MS Rods</t>
        </is>
      </c>
      <c r="E3186" s="12" t="inlineStr">
        <is>
          <t>Y</t>
        </is>
      </c>
      <c r="F3186" s="12" t="n">
        <v>19.95</v>
      </c>
      <c r="G3186" s="17" t="n">
        <v>99610.00999999999</v>
      </c>
      <c r="H3186" s="26" t="n">
        <v>45179</v>
      </c>
      <c r="I3186" s="26" t="n">
        <v>45182</v>
      </c>
      <c r="J3186" s="12" t="n">
        <v>19.81</v>
      </c>
      <c r="K3186" s="17" t="n">
        <v>1987219.7</v>
      </c>
      <c r="L3186" s="12" t="n">
        <v>0</v>
      </c>
      <c r="M3186" s="12" t="n">
        <v>22</v>
      </c>
      <c r="N3186" s="27">
        <f>F3186-J3186</f>
        <v/>
      </c>
      <c r="O3186" s="16">
        <f>I3186-H3186</f>
        <v/>
      </c>
      <c r="P3186" s="14">
        <f>F3186*G3186</f>
        <v/>
      </c>
      <c r="Q3186" s="14">
        <f>J3186*G3186</f>
        <v/>
      </c>
      <c r="R3186" s="14">
        <f>K3186-Q3186</f>
        <v/>
      </c>
      <c r="S3186" s="3">
        <f>P3186*Assumptions!$B$3/100</f>
        <v/>
      </c>
      <c r="T3186" s="14">
        <f>R3186-S3186</f>
        <v/>
      </c>
      <c r="U3186" s="14">
        <f>L3186*G3186</f>
        <v/>
      </c>
    </row>
    <row r="3187">
      <c r="A3187" s="12" t="inlineStr">
        <is>
          <t>PO-2022-3185</t>
        </is>
      </c>
      <c r="B3187" s="26" t="n">
        <v>45226</v>
      </c>
      <c r="C3187" s="12" t="inlineStr">
        <is>
          <t>VS25</t>
        </is>
      </c>
      <c r="D3187" s="12" t="inlineStr">
        <is>
          <t>SS Pipes</t>
        </is>
      </c>
      <c r="E3187" s="12" t="inlineStr">
        <is>
          <t>N</t>
        </is>
      </c>
      <c r="F3187" s="12" t="n">
        <v>22.11</v>
      </c>
      <c r="G3187" s="17" t="n">
        <v>112945.86</v>
      </c>
      <c r="H3187" s="26" t="n">
        <v>45231</v>
      </c>
      <c r="I3187" s="26" t="n">
        <v>45232</v>
      </c>
      <c r="J3187" s="12" t="n">
        <v>22.07</v>
      </c>
      <c r="K3187" s="17" t="n">
        <v>2497232.96</v>
      </c>
      <c r="L3187" s="12" t="n">
        <v>0</v>
      </c>
      <c r="M3187" s="12" t="n">
        <v>0</v>
      </c>
      <c r="N3187" s="27">
        <f>F3187-J3187</f>
        <v/>
      </c>
      <c r="O3187" s="16">
        <f>I3187-H3187</f>
        <v/>
      </c>
      <c r="P3187" s="14">
        <f>F3187*G3187</f>
        <v/>
      </c>
      <c r="Q3187" s="14">
        <f>J3187*G3187</f>
        <v/>
      </c>
      <c r="R3187" s="14">
        <f>K3187-Q3187</f>
        <v/>
      </c>
      <c r="S3187" s="3">
        <f>P3187*Assumptions!$B$3/100</f>
        <v/>
      </c>
      <c r="T3187" s="14">
        <f>R3187-S3187</f>
        <v/>
      </c>
      <c r="U3187" s="14">
        <f>L3187*G3187</f>
        <v/>
      </c>
    </row>
    <row r="3188">
      <c r="A3188" s="12" t="inlineStr">
        <is>
          <t>PO-2022-3186</t>
        </is>
      </c>
      <c r="B3188" s="26" t="n">
        <v>44358</v>
      </c>
      <c r="C3188" s="12" t="inlineStr">
        <is>
          <t>VS12</t>
        </is>
      </c>
      <c r="D3188" s="12" t="inlineStr">
        <is>
          <t>MS Flats</t>
        </is>
      </c>
      <c r="E3188" s="12" t="inlineStr">
        <is>
          <t>Y</t>
        </is>
      </c>
      <c r="F3188" s="12" t="n">
        <v>14.99</v>
      </c>
      <c r="G3188" s="17" t="n">
        <v>48525.83</v>
      </c>
      <c r="H3188" s="26" t="n">
        <v>44372</v>
      </c>
      <c r="I3188" s="26" t="n">
        <v>44378</v>
      </c>
      <c r="J3188" s="12" t="n">
        <v>14.51</v>
      </c>
      <c r="K3188" s="17" t="n">
        <v>727402.1899999999</v>
      </c>
      <c r="L3188" s="12" t="n">
        <v>0.08</v>
      </c>
      <c r="M3188" s="12" t="n">
        <v>0</v>
      </c>
      <c r="N3188" s="27">
        <f>F3188-J3188</f>
        <v/>
      </c>
      <c r="O3188" s="16">
        <f>I3188-H3188</f>
        <v/>
      </c>
      <c r="P3188" s="14">
        <f>F3188*G3188</f>
        <v/>
      </c>
      <c r="Q3188" s="14">
        <f>J3188*G3188</f>
        <v/>
      </c>
      <c r="R3188" s="14">
        <f>K3188-Q3188</f>
        <v/>
      </c>
      <c r="S3188" s="3">
        <f>P3188*Assumptions!$B$3/100</f>
        <v/>
      </c>
      <c r="T3188" s="14">
        <f>R3188-S3188</f>
        <v/>
      </c>
      <c r="U3188" s="14">
        <f>L3188*G3188</f>
        <v/>
      </c>
    </row>
    <row r="3189">
      <c r="A3189" s="12" t="inlineStr">
        <is>
          <t>PO-2022-3187</t>
        </is>
      </c>
      <c r="B3189" s="26" t="n">
        <v>44213</v>
      </c>
      <c r="C3189" s="12" t="inlineStr">
        <is>
          <t>VS22</t>
        </is>
      </c>
      <c r="D3189" s="12" t="inlineStr">
        <is>
          <t>SS Sheets</t>
        </is>
      </c>
      <c r="E3189" s="12" t="inlineStr">
        <is>
          <t>N</t>
        </is>
      </c>
      <c r="F3189" s="12" t="n">
        <v>25.89</v>
      </c>
      <c r="G3189" s="17" t="n">
        <v>106107.45</v>
      </c>
      <c r="H3189" s="26" t="n">
        <v>44218</v>
      </c>
      <c r="I3189" s="26" t="n">
        <v>44220</v>
      </c>
      <c r="J3189" s="12" t="n">
        <v>25.88</v>
      </c>
      <c r="K3189" s="17" t="n">
        <v>2747121.88</v>
      </c>
      <c r="L3189" s="12" t="n">
        <v>0</v>
      </c>
      <c r="M3189" s="12" t="n">
        <v>0</v>
      </c>
      <c r="N3189" s="27">
        <f>F3189-J3189</f>
        <v/>
      </c>
      <c r="O3189" s="16">
        <f>I3189-H3189</f>
        <v/>
      </c>
      <c r="P3189" s="14">
        <f>F3189*G3189</f>
        <v/>
      </c>
      <c r="Q3189" s="14">
        <f>J3189*G3189</f>
        <v/>
      </c>
      <c r="R3189" s="14">
        <f>K3189-Q3189</f>
        <v/>
      </c>
      <c r="S3189" s="3">
        <f>P3189*Assumptions!$B$3/100</f>
        <v/>
      </c>
      <c r="T3189" s="14">
        <f>R3189-S3189</f>
        <v/>
      </c>
      <c r="U3189" s="14">
        <f>L3189*G3189</f>
        <v/>
      </c>
    </row>
    <row r="3190">
      <c r="A3190" s="12" t="inlineStr">
        <is>
          <t>PO-2022-3188</t>
        </is>
      </c>
      <c r="B3190" s="26" t="n">
        <v>45014</v>
      </c>
      <c r="C3190" s="12" t="inlineStr">
        <is>
          <t>VS10</t>
        </is>
      </c>
      <c r="D3190" s="12" t="inlineStr">
        <is>
          <t>MS Flats</t>
        </is>
      </c>
      <c r="E3190" s="12" t="inlineStr">
        <is>
          <t>N</t>
        </is>
      </c>
      <c r="F3190" s="12" t="n">
        <v>39.54</v>
      </c>
      <c r="G3190" s="17" t="n">
        <v>72841.17999999999</v>
      </c>
      <c r="H3190" s="26" t="n">
        <v>45023</v>
      </c>
      <c r="I3190" s="26" t="n">
        <v>45026</v>
      </c>
      <c r="J3190" s="12" t="n">
        <v>39.17</v>
      </c>
      <c r="K3190" s="17" t="n">
        <v>2880140.26</v>
      </c>
      <c r="L3190" s="12" t="n">
        <v>0</v>
      </c>
      <c r="M3190" s="12" t="n">
        <v>5</v>
      </c>
      <c r="N3190" s="27">
        <f>F3190-J3190</f>
        <v/>
      </c>
      <c r="O3190" s="16">
        <f>I3190-H3190</f>
        <v/>
      </c>
      <c r="P3190" s="14">
        <f>F3190*G3190</f>
        <v/>
      </c>
      <c r="Q3190" s="14">
        <f>J3190*G3190</f>
        <v/>
      </c>
      <c r="R3190" s="14">
        <f>K3190-Q3190</f>
        <v/>
      </c>
      <c r="S3190" s="3">
        <f>P3190*Assumptions!$B$3/100</f>
        <v/>
      </c>
      <c r="T3190" s="14">
        <f>R3190-S3190</f>
        <v/>
      </c>
      <c r="U3190" s="14">
        <f>L3190*G3190</f>
        <v/>
      </c>
    </row>
    <row r="3191">
      <c r="A3191" s="12" t="inlineStr">
        <is>
          <t>PO-2022-3189</t>
        </is>
      </c>
      <c r="B3191" s="26" t="n">
        <v>45010</v>
      </c>
      <c r="C3191" s="12" t="inlineStr">
        <is>
          <t>VS20</t>
        </is>
      </c>
      <c r="D3191" s="12" t="inlineStr">
        <is>
          <t>Fasteners &amp; Fittings</t>
        </is>
      </c>
      <c r="E3191" s="12" t="inlineStr">
        <is>
          <t>Y</t>
        </is>
      </c>
      <c r="F3191" s="12" t="n">
        <v>9.9</v>
      </c>
      <c r="G3191" s="17" t="n">
        <v>109008.64</v>
      </c>
      <c r="H3191" s="26" t="n">
        <v>45016</v>
      </c>
      <c r="I3191" s="26" t="n">
        <v>45017</v>
      </c>
      <c r="J3191" s="12" t="n">
        <v>9.81</v>
      </c>
      <c r="K3191" s="17" t="n">
        <v>1079185.54</v>
      </c>
      <c r="L3191" s="12" t="n">
        <v>0</v>
      </c>
      <c r="M3191" s="12" t="n">
        <v>20</v>
      </c>
      <c r="N3191" s="27">
        <f>F3191-J3191</f>
        <v/>
      </c>
      <c r="O3191" s="16">
        <f>I3191-H3191</f>
        <v/>
      </c>
      <c r="P3191" s="14">
        <f>F3191*G3191</f>
        <v/>
      </c>
      <c r="Q3191" s="14">
        <f>J3191*G3191</f>
        <v/>
      </c>
      <c r="R3191" s="14">
        <f>K3191-Q3191</f>
        <v/>
      </c>
      <c r="S3191" s="3">
        <f>P3191*Assumptions!$B$3/100</f>
        <v/>
      </c>
      <c r="T3191" s="14">
        <f>R3191-S3191</f>
        <v/>
      </c>
      <c r="U3191" s="14">
        <f>L3191*G3191</f>
        <v/>
      </c>
    </row>
    <row r="3192">
      <c r="A3192" s="12" t="inlineStr">
        <is>
          <t>PO-2022-3190</t>
        </is>
      </c>
      <c r="B3192" s="26" t="n">
        <v>44224</v>
      </c>
      <c r="C3192" s="12" t="inlineStr">
        <is>
          <t>VS30</t>
        </is>
      </c>
      <c r="D3192" s="12" t="inlineStr">
        <is>
          <t>CR Sheets</t>
        </is>
      </c>
      <c r="E3192" s="12" t="inlineStr">
        <is>
          <t>N</t>
        </is>
      </c>
      <c r="F3192" s="12" t="n">
        <v>7.7</v>
      </c>
      <c r="G3192" s="17" t="n">
        <v>72595.7</v>
      </c>
      <c r="H3192" s="26" t="n">
        <v>44238</v>
      </c>
      <c r="I3192" s="26" t="n">
        <v>44240</v>
      </c>
      <c r="J3192" s="12" t="n">
        <v>7.65</v>
      </c>
      <c r="K3192" s="17" t="n">
        <v>558986.89</v>
      </c>
      <c r="L3192" s="12" t="n">
        <v>0</v>
      </c>
      <c r="M3192" s="12" t="n">
        <v>0</v>
      </c>
      <c r="N3192" s="27">
        <f>F3192-J3192</f>
        <v/>
      </c>
      <c r="O3192" s="16">
        <f>I3192-H3192</f>
        <v/>
      </c>
      <c r="P3192" s="14">
        <f>F3192*G3192</f>
        <v/>
      </c>
      <c r="Q3192" s="14">
        <f>J3192*G3192</f>
        <v/>
      </c>
      <c r="R3192" s="14">
        <f>K3192-Q3192</f>
        <v/>
      </c>
      <c r="S3192" s="3">
        <f>P3192*Assumptions!$B$3/100</f>
        <v/>
      </c>
      <c r="T3192" s="14">
        <f>R3192-S3192</f>
        <v/>
      </c>
      <c r="U3192" s="14">
        <f>L3192*G3192</f>
        <v/>
      </c>
    </row>
    <row r="3193">
      <c r="A3193" s="12" t="inlineStr">
        <is>
          <t>PO-2022-3191</t>
        </is>
      </c>
      <c r="B3193" s="26" t="n">
        <v>44440</v>
      </c>
      <c r="C3193" s="12" t="inlineStr">
        <is>
          <t>VS18</t>
        </is>
      </c>
      <c r="D3193" s="12" t="inlineStr">
        <is>
          <t>MS Sheets</t>
        </is>
      </c>
      <c r="E3193" s="12" t="inlineStr">
        <is>
          <t>N</t>
        </is>
      </c>
      <c r="F3193" s="12" t="n">
        <v>19.86</v>
      </c>
      <c r="G3193" s="17" t="n">
        <v>114984.39</v>
      </c>
      <c r="H3193" s="26" t="n">
        <v>44447</v>
      </c>
      <c r="I3193" s="26" t="n">
        <v>44449</v>
      </c>
      <c r="J3193" s="12" t="n">
        <v>19.79</v>
      </c>
      <c r="K3193" s="17" t="n">
        <v>2283589.99</v>
      </c>
      <c r="L3193" s="12" t="n">
        <v>0</v>
      </c>
      <c r="M3193" s="12" t="n">
        <v>21</v>
      </c>
      <c r="N3193" s="27">
        <f>F3193-J3193</f>
        <v/>
      </c>
      <c r="O3193" s="16">
        <f>I3193-H3193</f>
        <v/>
      </c>
      <c r="P3193" s="14">
        <f>F3193*G3193</f>
        <v/>
      </c>
      <c r="Q3193" s="14">
        <f>J3193*G3193</f>
        <v/>
      </c>
      <c r="R3193" s="14">
        <f>K3193-Q3193</f>
        <v/>
      </c>
      <c r="S3193" s="3">
        <f>P3193*Assumptions!$B$3/100</f>
        <v/>
      </c>
      <c r="T3193" s="14">
        <f>R3193-S3193</f>
        <v/>
      </c>
      <c r="U3193" s="14">
        <f>L3193*G3193</f>
        <v/>
      </c>
    </row>
    <row r="3194">
      <c r="A3194" s="12" t="inlineStr">
        <is>
          <t>PO-2022-3192</t>
        </is>
      </c>
      <c r="B3194" s="26" t="n">
        <v>44304</v>
      </c>
      <c r="C3194" s="12" t="inlineStr">
        <is>
          <t>VS17</t>
        </is>
      </c>
      <c r="D3194" s="12" t="inlineStr">
        <is>
          <t>Spring Steel</t>
        </is>
      </c>
      <c r="E3194" s="12" t="inlineStr">
        <is>
          <t>N</t>
        </is>
      </c>
      <c r="F3194" s="12" t="n">
        <v>29.59</v>
      </c>
      <c r="G3194" s="17" t="n">
        <v>63585.93</v>
      </c>
      <c r="H3194" s="26" t="n">
        <v>44309</v>
      </c>
      <c r="I3194" s="26" t="n">
        <v>44310</v>
      </c>
      <c r="J3194" s="12" t="n">
        <v>29.4</v>
      </c>
      <c r="K3194" s="17" t="n">
        <v>1881507.67</v>
      </c>
      <c r="L3194" s="12" t="n">
        <v>0</v>
      </c>
      <c r="M3194" s="12" t="n">
        <v>0</v>
      </c>
      <c r="N3194" s="27">
        <f>F3194-J3194</f>
        <v/>
      </c>
      <c r="O3194" s="16">
        <f>I3194-H3194</f>
        <v/>
      </c>
      <c r="P3194" s="14">
        <f>F3194*G3194</f>
        <v/>
      </c>
      <c r="Q3194" s="14">
        <f>J3194*G3194</f>
        <v/>
      </c>
      <c r="R3194" s="14">
        <f>K3194-Q3194</f>
        <v/>
      </c>
      <c r="S3194" s="3">
        <f>P3194*Assumptions!$B$3/100</f>
        <v/>
      </c>
      <c r="T3194" s="14">
        <f>R3194-S3194</f>
        <v/>
      </c>
      <c r="U3194" s="14">
        <f>L3194*G3194</f>
        <v/>
      </c>
    </row>
    <row r="3195">
      <c r="A3195" s="12" t="inlineStr">
        <is>
          <t>PO-2022-3193</t>
        </is>
      </c>
      <c r="B3195" s="26" t="n">
        <v>45047</v>
      </c>
      <c r="C3195" s="12" t="inlineStr">
        <is>
          <t>VS08</t>
        </is>
      </c>
      <c r="D3195" s="12" t="inlineStr">
        <is>
          <t>SS Sheets</t>
        </is>
      </c>
      <c r="E3195" s="12" t="inlineStr">
        <is>
          <t>Y</t>
        </is>
      </c>
      <c r="F3195" s="12" t="n">
        <v>39.06</v>
      </c>
      <c r="G3195" s="17" t="n">
        <v>111459.82</v>
      </c>
      <c r="H3195" s="26" t="n">
        <v>45053</v>
      </c>
      <c r="I3195" s="26" t="n">
        <v>45053</v>
      </c>
      <c r="J3195" s="12" t="n">
        <v>38.7</v>
      </c>
      <c r="K3195" s="17" t="n">
        <v>4353620.57</v>
      </c>
      <c r="L3195" s="12" t="n">
        <v>0</v>
      </c>
      <c r="M3195" s="12" t="n">
        <v>0</v>
      </c>
      <c r="N3195" s="27">
        <f>F3195-J3195</f>
        <v/>
      </c>
      <c r="O3195" s="16">
        <f>I3195-H3195</f>
        <v/>
      </c>
      <c r="P3195" s="14">
        <f>F3195*G3195</f>
        <v/>
      </c>
      <c r="Q3195" s="14">
        <f>J3195*G3195</f>
        <v/>
      </c>
      <c r="R3195" s="14">
        <f>K3195-Q3195</f>
        <v/>
      </c>
      <c r="S3195" s="3">
        <f>P3195*Assumptions!$B$3/100</f>
        <v/>
      </c>
      <c r="T3195" s="14">
        <f>R3195-S3195</f>
        <v/>
      </c>
      <c r="U3195" s="14">
        <f>L3195*G3195</f>
        <v/>
      </c>
    </row>
    <row r="3196">
      <c r="A3196" s="12" t="inlineStr">
        <is>
          <t>PO-2022-3194</t>
        </is>
      </c>
      <c r="B3196" s="26" t="n">
        <v>44311</v>
      </c>
      <c r="C3196" s="12" t="inlineStr">
        <is>
          <t>VS29</t>
        </is>
      </c>
      <c r="D3196" s="12" t="inlineStr">
        <is>
          <t>GI Wire</t>
        </is>
      </c>
      <c r="E3196" s="12" t="inlineStr">
        <is>
          <t>N</t>
        </is>
      </c>
      <c r="F3196" s="12" t="n">
        <v>11.78</v>
      </c>
      <c r="G3196" s="17" t="n">
        <v>102773.99</v>
      </c>
      <c r="H3196" s="26" t="n">
        <v>44317</v>
      </c>
      <c r="I3196" s="26" t="n">
        <v>44317</v>
      </c>
      <c r="J3196" s="12" t="n">
        <v>11.69</v>
      </c>
      <c r="K3196" s="17" t="n">
        <v>1210677.6</v>
      </c>
      <c r="L3196" s="12" t="n">
        <v>0</v>
      </c>
      <c r="M3196" s="12" t="n">
        <v>0</v>
      </c>
      <c r="N3196" s="27">
        <f>F3196-J3196</f>
        <v/>
      </c>
      <c r="O3196" s="16">
        <f>I3196-H3196</f>
        <v/>
      </c>
      <c r="P3196" s="14">
        <f>F3196*G3196</f>
        <v/>
      </c>
      <c r="Q3196" s="14">
        <f>J3196*G3196</f>
        <v/>
      </c>
      <c r="R3196" s="14">
        <f>K3196-Q3196</f>
        <v/>
      </c>
      <c r="S3196" s="3">
        <f>P3196*Assumptions!$B$3/100</f>
        <v/>
      </c>
      <c r="T3196" s="14">
        <f>R3196-S3196</f>
        <v/>
      </c>
      <c r="U3196" s="14">
        <f>L3196*G3196</f>
        <v/>
      </c>
    </row>
    <row r="3197">
      <c r="A3197" s="12" t="inlineStr">
        <is>
          <t>PO-2022-3195</t>
        </is>
      </c>
      <c r="B3197" s="26" t="n">
        <v>44410</v>
      </c>
      <c r="C3197" s="12" t="inlineStr">
        <is>
          <t>VS02</t>
        </is>
      </c>
      <c r="D3197" s="12" t="inlineStr">
        <is>
          <t>MS Pipes</t>
        </is>
      </c>
      <c r="E3197" s="12" t="inlineStr">
        <is>
          <t>N</t>
        </is>
      </c>
      <c r="F3197" s="12" t="n">
        <v>27.17</v>
      </c>
      <c r="G3197" s="17" t="n">
        <v>96469.38</v>
      </c>
      <c r="H3197" s="26" t="n">
        <v>44414</v>
      </c>
      <c r="I3197" s="26" t="n">
        <v>44416</v>
      </c>
      <c r="J3197" s="12" t="n">
        <v>27.13</v>
      </c>
      <c r="K3197" s="17" t="n">
        <v>2621073.05</v>
      </c>
      <c r="L3197" s="12" t="n">
        <v>0</v>
      </c>
      <c r="M3197" s="12" t="n">
        <v>0</v>
      </c>
      <c r="N3197" s="27">
        <f>F3197-J3197</f>
        <v/>
      </c>
      <c r="O3197" s="16">
        <f>I3197-H3197</f>
        <v/>
      </c>
      <c r="P3197" s="14">
        <f>F3197*G3197</f>
        <v/>
      </c>
      <c r="Q3197" s="14">
        <f>J3197*G3197</f>
        <v/>
      </c>
      <c r="R3197" s="14">
        <f>K3197-Q3197</f>
        <v/>
      </c>
      <c r="S3197" s="3">
        <f>P3197*Assumptions!$B$3/100</f>
        <v/>
      </c>
      <c r="T3197" s="14">
        <f>R3197-S3197</f>
        <v/>
      </c>
      <c r="U3197" s="14">
        <f>L3197*G3197</f>
        <v/>
      </c>
    </row>
    <row r="3198">
      <c r="A3198" s="12" t="inlineStr">
        <is>
          <t>PO-2022-3196</t>
        </is>
      </c>
      <c r="B3198" s="26" t="n">
        <v>45212</v>
      </c>
      <c r="C3198" s="12" t="inlineStr">
        <is>
          <t>VS34</t>
        </is>
      </c>
      <c r="D3198" s="12" t="inlineStr">
        <is>
          <t>Angles &amp; Channels</t>
        </is>
      </c>
      <c r="E3198" s="12" t="inlineStr">
        <is>
          <t>N</t>
        </is>
      </c>
      <c r="F3198" s="12" t="n">
        <v>46.07</v>
      </c>
      <c r="G3198" s="17" t="n">
        <v>55656.66</v>
      </c>
      <c r="H3198" s="26" t="n">
        <v>45216</v>
      </c>
      <c r="I3198" s="26" t="n">
        <v>45218</v>
      </c>
      <c r="J3198" s="12" t="n">
        <v>45.69</v>
      </c>
      <c r="K3198" s="17" t="n">
        <v>2564102.33</v>
      </c>
      <c r="L3198" s="12" t="n">
        <v>0</v>
      </c>
      <c r="M3198" s="12" t="n">
        <v>0</v>
      </c>
      <c r="N3198" s="27">
        <f>F3198-J3198</f>
        <v/>
      </c>
      <c r="O3198" s="16">
        <f>I3198-H3198</f>
        <v/>
      </c>
      <c r="P3198" s="14">
        <f>F3198*G3198</f>
        <v/>
      </c>
      <c r="Q3198" s="14">
        <f>J3198*G3198</f>
        <v/>
      </c>
      <c r="R3198" s="14">
        <f>K3198-Q3198</f>
        <v/>
      </c>
      <c r="S3198" s="3">
        <f>P3198*Assumptions!$B$3/100</f>
        <v/>
      </c>
      <c r="T3198" s="14">
        <f>R3198-S3198</f>
        <v/>
      </c>
      <c r="U3198" s="14">
        <f>L3198*G3198</f>
        <v/>
      </c>
    </row>
    <row r="3199">
      <c r="A3199" s="12" t="inlineStr">
        <is>
          <t>PO-2022-3197</t>
        </is>
      </c>
      <c r="B3199" s="26" t="n">
        <v>44359</v>
      </c>
      <c r="C3199" s="12" t="inlineStr">
        <is>
          <t>VS24</t>
        </is>
      </c>
      <c r="D3199" s="12" t="inlineStr">
        <is>
          <t>Spring Steel</t>
        </is>
      </c>
      <c r="E3199" s="12" t="inlineStr">
        <is>
          <t>Y</t>
        </is>
      </c>
      <c r="F3199" s="12" t="n">
        <v>22.89</v>
      </c>
      <c r="G3199" s="17" t="n">
        <v>113711.27</v>
      </c>
      <c r="H3199" s="26" t="n">
        <v>44370</v>
      </c>
      <c r="I3199" s="26" t="n">
        <v>44372</v>
      </c>
      <c r="J3199" s="12" t="n">
        <v>22.68</v>
      </c>
      <c r="K3199" s="17" t="n">
        <v>2602850.97</v>
      </c>
      <c r="L3199" s="12" t="n">
        <v>0</v>
      </c>
      <c r="M3199" s="12" t="n">
        <v>12</v>
      </c>
      <c r="N3199" s="27">
        <f>F3199-J3199</f>
        <v/>
      </c>
      <c r="O3199" s="16">
        <f>I3199-H3199</f>
        <v/>
      </c>
      <c r="P3199" s="14">
        <f>F3199*G3199</f>
        <v/>
      </c>
      <c r="Q3199" s="14">
        <f>J3199*G3199</f>
        <v/>
      </c>
      <c r="R3199" s="14">
        <f>K3199-Q3199</f>
        <v/>
      </c>
      <c r="S3199" s="3">
        <f>P3199*Assumptions!$B$3/100</f>
        <v/>
      </c>
      <c r="T3199" s="14">
        <f>R3199-S3199</f>
        <v/>
      </c>
      <c r="U3199" s="14">
        <f>L3199*G3199</f>
        <v/>
      </c>
    </row>
    <row r="3200">
      <c r="A3200" s="12" t="inlineStr">
        <is>
          <t>PO-2022-3198</t>
        </is>
      </c>
      <c r="B3200" s="26" t="n">
        <v>44772</v>
      </c>
      <c r="C3200" s="12" t="inlineStr">
        <is>
          <t>VS21</t>
        </is>
      </c>
      <c r="D3200" s="12" t="inlineStr">
        <is>
          <t>MS Sheets</t>
        </is>
      </c>
      <c r="E3200" s="12" t="inlineStr">
        <is>
          <t>N</t>
        </is>
      </c>
      <c r="F3200" s="12" t="n">
        <v>11.25</v>
      </c>
      <c r="G3200" s="17" t="n">
        <v>106173.41</v>
      </c>
      <c r="H3200" s="26" t="n">
        <v>44785</v>
      </c>
      <c r="I3200" s="26" t="n">
        <v>44787</v>
      </c>
      <c r="J3200" s="12" t="n">
        <v>11.2</v>
      </c>
      <c r="K3200" s="17" t="n">
        <v>1194450.86</v>
      </c>
      <c r="L3200" s="12" t="n">
        <v>0</v>
      </c>
      <c r="M3200" s="12" t="n">
        <v>22</v>
      </c>
      <c r="N3200" s="27">
        <f>F3200-J3200</f>
        <v/>
      </c>
      <c r="O3200" s="16">
        <f>I3200-H3200</f>
        <v/>
      </c>
      <c r="P3200" s="14">
        <f>F3200*G3200</f>
        <v/>
      </c>
      <c r="Q3200" s="14">
        <f>J3200*G3200</f>
        <v/>
      </c>
      <c r="R3200" s="14">
        <f>K3200-Q3200</f>
        <v/>
      </c>
      <c r="S3200" s="3">
        <f>P3200*Assumptions!$B$3/100</f>
        <v/>
      </c>
      <c r="T3200" s="14">
        <f>R3200-S3200</f>
        <v/>
      </c>
      <c r="U3200" s="14">
        <f>L3200*G3200</f>
        <v/>
      </c>
    </row>
    <row r="3201">
      <c r="A3201" s="12" t="inlineStr">
        <is>
          <t>PO-2022-3199</t>
        </is>
      </c>
      <c r="B3201" s="26" t="n">
        <v>44769</v>
      </c>
      <c r="C3201" s="12" t="inlineStr">
        <is>
          <t>VS12</t>
        </is>
      </c>
      <c r="D3201" s="12" t="inlineStr">
        <is>
          <t>GI Wire</t>
        </is>
      </c>
      <c r="E3201" s="12" t="inlineStr">
        <is>
          <t>N</t>
        </is>
      </c>
      <c r="F3201" s="12" t="n">
        <v>44.57</v>
      </c>
      <c r="G3201" s="17" t="n">
        <v>86227.89999999999</v>
      </c>
      <c r="H3201" s="26" t="n">
        <v>44779</v>
      </c>
      <c r="I3201" s="26" t="n">
        <v>44786</v>
      </c>
      <c r="J3201" s="12" t="n">
        <v>43.26</v>
      </c>
      <c r="K3201" s="17" t="n">
        <v>3843177.5</v>
      </c>
      <c r="L3201" s="12" t="n">
        <v>1.64</v>
      </c>
      <c r="M3201" s="12" t="n">
        <v>14</v>
      </c>
      <c r="N3201" s="27">
        <f>F3201-J3201</f>
        <v/>
      </c>
      <c r="O3201" s="16">
        <f>I3201-H3201</f>
        <v/>
      </c>
      <c r="P3201" s="14">
        <f>F3201*G3201</f>
        <v/>
      </c>
      <c r="Q3201" s="14">
        <f>J3201*G3201</f>
        <v/>
      </c>
      <c r="R3201" s="14">
        <f>K3201-Q3201</f>
        <v/>
      </c>
      <c r="S3201" s="3">
        <f>P3201*Assumptions!$B$3/100</f>
        <v/>
      </c>
      <c r="T3201" s="14">
        <f>R3201-S3201</f>
        <v/>
      </c>
      <c r="U3201" s="14">
        <f>L3201*G3201</f>
        <v/>
      </c>
    </row>
    <row r="3202">
      <c r="A3202" s="12" t="inlineStr">
        <is>
          <t>PO-2023-3200</t>
        </is>
      </c>
      <c r="B3202" s="26" t="n">
        <v>44728</v>
      </c>
      <c r="C3202" s="12" t="inlineStr">
        <is>
          <t>VS18</t>
        </is>
      </c>
      <c r="D3202" s="12" t="inlineStr">
        <is>
          <t>Structural Steel</t>
        </is>
      </c>
      <c r="E3202" s="12" t="inlineStr">
        <is>
          <t>N</t>
        </is>
      </c>
      <c r="F3202" s="12" t="n">
        <v>3.38</v>
      </c>
      <c r="G3202" s="17" t="n">
        <v>82291.50999999999</v>
      </c>
      <c r="H3202" s="26" t="n">
        <v>44741</v>
      </c>
      <c r="I3202" s="26" t="n">
        <v>44742</v>
      </c>
      <c r="J3202" s="12" t="n">
        <v>3.37</v>
      </c>
      <c r="K3202" s="17" t="n">
        <v>278145.3</v>
      </c>
      <c r="L3202" s="12" t="n">
        <v>0</v>
      </c>
      <c r="M3202" s="12" t="n">
        <v>0</v>
      </c>
      <c r="N3202" s="27">
        <f>F3202-J3202</f>
        <v/>
      </c>
      <c r="O3202" s="16">
        <f>I3202-H3202</f>
        <v/>
      </c>
      <c r="P3202" s="14">
        <f>F3202*G3202</f>
        <v/>
      </c>
      <c r="Q3202" s="14">
        <f>J3202*G3202</f>
        <v/>
      </c>
      <c r="R3202" s="14">
        <f>K3202-Q3202</f>
        <v/>
      </c>
      <c r="S3202" s="3">
        <f>P3202*Assumptions!$B$3/100</f>
        <v/>
      </c>
      <c r="T3202" s="14">
        <f>R3202-S3202</f>
        <v/>
      </c>
      <c r="U3202" s="14">
        <f>L3202*G3202</f>
        <v/>
      </c>
    </row>
    <row r="3203">
      <c r="A3203" s="12" t="inlineStr">
        <is>
          <t>PO-2023-3201</t>
        </is>
      </c>
      <c r="B3203" s="26" t="n">
        <v>44532</v>
      </c>
      <c r="C3203" s="12" t="inlineStr">
        <is>
          <t>VS02</t>
        </is>
      </c>
      <c r="D3203" s="12" t="inlineStr">
        <is>
          <t>Hex Bars</t>
        </is>
      </c>
      <c r="E3203" s="12" t="inlineStr">
        <is>
          <t>N</t>
        </is>
      </c>
      <c r="F3203" s="12" t="n">
        <v>21.14</v>
      </c>
      <c r="G3203" s="17" t="n">
        <v>70607.78</v>
      </c>
      <c r="H3203" s="26" t="n">
        <v>44546</v>
      </c>
      <c r="I3203" s="26" t="n">
        <v>44549</v>
      </c>
      <c r="J3203" s="12" t="n">
        <v>21.07</v>
      </c>
      <c r="K3203" s="17" t="n">
        <v>1492648.47</v>
      </c>
      <c r="L3203" s="12" t="n">
        <v>0</v>
      </c>
      <c r="M3203" s="12" t="n">
        <v>0</v>
      </c>
      <c r="N3203" s="27">
        <f>F3203-J3203</f>
        <v/>
      </c>
      <c r="O3203" s="16">
        <f>I3203-H3203</f>
        <v/>
      </c>
      <c r="P3203" s="14">
        <f>F3203*G3203</f>
        <v/>
      </c>
      <c r="Q3203" s="14">
        <f>J3203*G3203</f>
        <v/>
      </c>
      <c r="R3203" s="14">
        <f>K3203-Q3203</f>
        <v/>
      </c>
      <c r="S3203" s="3">
        <f>P3203*Assumptions!$B$3/100</f>
        <v/>
      </c>
      <c r="T3203" s="14">
        <f>R3203-S3203</f>
        <v/>
      </c>
      <c r="U3203" s="14">
        <f>L3203*G3203</f>
        <v/>
      </c>
    </row>
    <row r="3204">
      <c r="A3204" s="12" t="inlineStr">
        <is>
          <t>PO-2023-3202</t>
        </is>
      </c>
      <c r="B3204" s="26" t="n">
        <v>44499</v>
      </c>
      <c r="C3204" s="12" t="inlineStr">
        <is>
          <t>VS15</t>
        </is>
      </c>
      <c r="D3204" s="12" t="inlineStr">
        <is>
          <t>Fasteners &amp; Fittings</t>
        </is>
      </c>
      <c r="E3204" s="12" t="inlineStr">
        <is>
          <t>N</t>
        </is>
      </c>
      <c r="F3204" s="12" t="n">
        <v>23.68</v>
      </c>
      <c r="G3204" s="17" t="n">
        <v>54904.27</v>
      </c>
      <c r="H3204" s="26" t="n">
        <v>44508</v>
      </c>
      <c r="I3204" s="26" t="n">
        <v>44511</v>
      </c>
      <c r="J3204" s="12" t="n">
        <v>23.65</v>
      </c>
      <c r="K3204" s="17" t="n">
        <v>1300133.11</v>
      </c>
      <c r="L3204" s="12" t="n">
        <v>0</v>
      </c>
      <c r="M3204" s="12" t="n">
        <v>0</v>
      </c>
      <c r="N3204" s="27">
        <f>F3204-J3204</f>
        <v/>
      </c>
      <c r="O3204" s="16">
        <f>I3204-H3204</f>
        <v/>
      </c>
      <c r="P3204" s="14">
        <f>F3204*G3204</f>
        <v/>
      </c>
      <c r="Q3204" s="14">
        <f>J3204*G3204</f>
        <v/>
      </c>
      <c r="R3204" s="14">
        <f>K3204-Q3204</f>
        <v/>
      </c>
      <c r="S3204" s="3">
        <f>P3204*Assumptions!$B$3/100</f>
        <v/>
      </c>
      <c r="T3204" s="14">
        <f>R3204-S3204</f>
        <v/>
      </c>
      <c r="U3204" s="14">
        <f>L3204*G3204</f>
        <v/>
      </c>
    </row>
    <row r="3205">
      <c r="A3205" s="12" t="inlineStr">
        <is>
          <t>PO-2023-3203</t>
        </is>
      </c>
      <c r="B3205" s="26" t="n">
        <v>45016</v>
      </c>
      <c r="C3205" s="12" t="inlineStr">
        <is>
          <t>VS21</t>
        </is>
      </c>
      <c r="D3205" s="12" t="inlineStr">
        <is>
          <t>GI Wire</t>
        </is>
      </c>
      <c r="E3205" s="12" t="inlineStr">
        <is>
          <t>N</t>
        </is>
      </c>
      <c r="F3205" s="12" t="n">
        <v>10.23</v>
      </c>
      <c r="G3205" s="17" t="n">
        <v>80102.28999999999</v>
      </c>
      <c r="H3205" s="26" t="n">
        <v>45020</v>
      </c>
      <c r="I3205" s="26" t="n">
        <v>45023</v>
      </c>
      <c r="J3205" s="12" t="n">
        <v>10.21</v>
      </c>
      <c r="K3205" s="17" t="n">
        <v>819446.4300000001</v>
      </c>
      <c r="L3205" s="12" t="n">
        <v>0</v>
      </c>
      <c r="M3205" s="12" t="n">
        <v>21</v>
      </c>
      <c r="N3205" s="27">
        <f>F3205-J3205</f>
        <v/>
      </c>
      <c r="O3205" s="16">
        <f>I3205-H3205</f>
        <v/>
      </c>
      <c r="P3205" s="14">
        <f>F3205*G3205</f>
        <v/>
      </c>
      <c r="Q3205" s="14">
        <f>J3205*G3205</f>
        <v/>
      </c>
      <c r="R3205" s="14">
        <f>K3205-Q3205</f>
        <v/>
      </c>
      <c r="S3205" s="3">
        <f>P3205*Assumptions!$B$3/100</f>
        <v/>
      </c>
      <c r="T3205" s="14">
        <f>R3205-S3205</f>
        <v/>
      </c>
      <c r="U3205" s="14">
        <f>L3205*G3205</f>
        <v/>
      </c>
    </row>
    <row r="3206">
      <c r="A3206" s="12" t="inlineStr">
        <is>
          <t>PO-2023-3204</t>
        </is>
      </c>
      <c r="B3206" s="26" t="n">
        <v>44767</v>
      </c>
      <c r="C3206" s="12" t="inlineStr">
        <is>
          <t>VS04</t>
        </is>
      </c>
      <c r="D3206" s="12" t="inlineStr">
        <is>
          <t>GI Pipes</t>
        </is>
      </c>
      <c r="E3206" s="12" t="inlineStr">
        <is>
          <t>N</t>
        </is>
      </c>
      <c r="F3206" s="12" t="n">
        <v>46.33</v>
      </c>
      <c r="G3206" s="17" t="n">
        <v>92197.48</v>
      </c>
      <c r="H3206" s="26" t="n">
        <v>44775</v>
      </c>
      <c r="I3206" s="26" t="n">
        <v>44777</v>
      </c>
      <c r="J3206" s="12" t="n">
        <v>46.28</v>
      </c>
      <c r="K3206" s="17" t="n">
        <v>4271509.25</v>
      </c>
      <c r="L3206" s="12" t="n">
        <v>0</v>
      </c>
      <c r="M3206" s="12" t="n">
        <v>0</v>
      </c>
      <c r="N3206" s="27">
        <f>F3206-J3206</f>
        <v/>
      </c>
      <c r="O3206" s="16">
        <f>I3206-H3206</f>
        <v/>
      </c>
      <c r="P3206" s="14">
        <f>F3206*G3206</f>
        <v/>
      </c>
      <c r="Q3206" s="14">
        <f>J3206*G3206</f>
        <v/>
      </c>
      <c r="R3206" s="14">
        <f>K3206-Q3206</f>
        <v/>
      </c>
      <c r="S3206" s="3">
        <f>P3206*Assumptions!$B$3/100</f>
        <v/>
      </c>
      <c r="T3206" s="14">
        <f>R3206-S3206</f>
        <v/>
      </c>
      <c r="U3206" s="14">
        <f>L3206*G3206</f>
        <v/>
      </c>
    </row>
    <row r="3207">
      <c r="A3207" s="12" t="inlineStr">
        <is>
          <t>PO-2023-3205</t>
        </is>
      </c>
      <c r="B3207" s="26" t="n">
        <v>44509</v>
      </c>
      <c r="C3207" s="12" t="inlineStr">
        <is>
          <t>VS29</t>
        </is>
      </c>
      <c r="D3207" s="12" t="inlineStr">
        <is>
          <t>Spring Steel</t>
        </is>
      </c>
      <c r="E3207" s="12" t="inlineStr">
        <is>
          <t>N</t>
        </is>
      </c>
      <c r="F3207" s="12" t="n">
        <v>4.08</v>
      </c>
      <c r="G3207" s="17" t="n">
        <v>114567.87</v>
      </c>
      <c r="H3207" s="26" t="n">
        <v>44517</v>
      </c>
      <c r="I3207" s="26" t="n">
        <v>44518</v>
      </c>
      <c r="J3207" s="12" t="n">
        <v>4.07</v>
      </c>
      <c r="K3207" s="17" t="n">
        <v>467436.91</v>
      </c>
      <c r="L3207" s="12" t="n">
        <v>0</v>
      </c>
      <c r="M3207" s="12" t="n">
        <v>12</v>
      </c>
      <c r="N3207" s="27">
        <f>F3207-J3207</f>
        <v/>
      </c>
      <c r="O3207" s="16">
        <f>I3207-H3207</f>
        <v/>
      </c>
      <c r="P3207" s="14">
        <f>F3207*G3207</f>
        <v/>
      </c>
      <c r="Q3207" s="14">
        <f>J3207*G3207</f>
        <v/>
      </c>
      <c r="R3207" s="14">
        <f>K3207-Q3207</f>
        <v/>
      </c>
      <c r="S3207" s="3">
        <f>P3207*Assumptions!$B$3/100</f>
        <v/>
      </c>
      <c r="T3207" s="14">
        <f>R3207-S3207</f>
        <v/>
      </c>
      <c r="U3207" s="14">
        <f>L3207*G3207</f>
        <v/>
      </c>
    </row>
    <row r="3208">
      <c r="A3208" s="12" t="inlineStr">
        <is>
          <t>PO-2023-3206</t>
        </is>
      </c>
      <c r="B3208" s="26" t="n">
        <v>44863</v>
      </c>
      <c r="C3208" s="12" t="inlineStr">
        <is>
          <t>VS34</t>
        </is>
      </c>
      <c r="D3208" s="12" t="inlineStr">
        <is>
          <t>GI Pipes</t>
        </is>
      </c>
      <c r="E3208" s="12" t="inlineStr">
        <is>
          <t>N</t>
        </is>
      </c>
      <c r="F3208" s="12" t="n">
        <v>2.78</v>
      </c>
      <c r="G3208" s="17" t="n">
        <v>114058.11</v>
      </c>
      <c r="H3208" s="26" t="n">
        <v>44873</v>
      </c>
      <c r="I3208" s="26" t="n">
        <v>44873</v>
      </c>
      <c r="J3208" s="12" t="n">
        <v>2.77</v>
      </c>
      <c r="K3208" s="17" t="n">
        <v>317081.55</v>
      </c>
      <c r="L3208" s="12" t="n">
        <v>0</v>
      </c>
      <c r="M3208" s="12" t="n">
        <v>18</v>
      </c>
      <c r="N3208" s="27">
        <f>F3208-J3208</f>
        <v/>
      </c>
      <c r="O3208" s="16">
        <f>I3208-H3208</f>
        <v/>
      </c>
      <c r="P3208" s="14">
        <f>F3208*G3208</f>
        <v/>
      </c>
      <c r="Q3208" s="14">
        <f>J3208*G3208</f>
        <v/>
      </c>
      <c r="R3208" s="14">
        <f>K3208-Q3208</f>
        <v/>
      </c>
      <c r="S3208" s="3">
        <f>P3208*Assumptions!$B$3/100</f>
        <v/>
      </c>
      <c r="T3208" s="14">
        <f>R3208-S3208</f>
        <v/>
      </c>
      <c r="U3208" s="14">
        <f>L3208*G3208</f>
        <v/>
      </c>
    </row>
    <row r="3209">
      <c r="A3209" s="12" t="inlineStr">
        <is>
          <t>PO-2023-3207</t>
        </is>
      </c>
      <c r="B3209" s="26" t="n">
        <v>44561</v>
      </c>
      <c r="C3209" s="12" t="inlineStr">
        <is>
          <t>VS09</t>
        </is>
      </c>
      <c r="D3209" s="12" t="inlineStr">
        <is>
          <t>SS Pipes</t>
        </is>
      </c>
      <c r="E3209" s="12" t="inlineStr">
        <is>
          <t>Y</t>
        </is>
      </c>
      <c r="F3209" s="12" t="n">
        <v>16.15</v>
      </c>
      <c r="G3209" s="17" t="n">
        <v>68984.14999999999</v>
      </c>
      <c r="H3209" s="26" t="n">
        <v>44574</v>
      </c>
      <c r="I3209" s="26" t="n">
        <v>44577</v>
      </c>
      <c r="J3209" s="12" t="n">
        <v>16.08</v>
      </c>
      <c r="K3209" s="17" t="n">
        <v>1114094.02</v>
      </c>
      <c r="L3209" s="12" t="n">
        <v>0</v>
      </c>
      <c r="M3209" s="12" t="n">
        <v>1</v>
      </c>
      <c r="N3209" s="27">
        <f>F3209-J3209</f>
        <v/>
      </c>
      <c r="O3209" s="16">
        <f>I3209-H3209</f>
        <v/>
      </c>
      <c r="P3209" s="14">
        <f>F3209*G3209</f>
        <v/>
      </c>
      <c r="Q3209" s="14">
        <f>J3209*G3209</f>
        <v/>
      </c>
      <c r="R3209" s="14">
        <f>K3209-Q3209</f>
        <v/>
      </c>
      <c r="S3209" s="3">
        <f>P3209*Assumptions!$B$3/100</f>
        <v/>
      </c>
      <c r="T3209" s="14">
        <f>R3209-S3209</f>
        <v/>
      </c>
      <c r="U3209" s="14">
        <f>L3209*G3209</f>
        <v/>
      </c>
    </row>
    <row r="3210">
      <c r="A3210" s="12" t="inlineStr">
        <is>
          <t>PO-2023-3208</t>
        </is>
      </c>
      <c r="B3210" s="26" t="n">
        <v>44596</v>
      </c>
      <c r="C3210" s="12" t="inlineStr">
        <is>
          <t>VS08</t>
        </is>
      </c>
      <c r="D3210" s="12" t="inlineStr">
        <is>
          <t>GI Wire</t>
        </is>
      </c>
      <c r="E3210" s="12" t="inlineStr">
        <is>
          <t>N</t>
        </is>
      </c>
      <c r="F3210" s="12" t="n">
        <v>2.3</v>
      </c>
      <c r="G3210" s="17" t="n">
        <v>67584.28999999999</v>
      </c>
      <c r="H3210" s="26" t="n">
        <v>44608</v>
      </c>
      <c r="I3210" s="26" t="n">
        <v>44611</v>
      </c>
      <c r="J3210" s="12" t="n">
        <v>2.28</v>
      </c>
      <c r="K3210" s="17" t="n">
        <v>155443.87</v>
      </c>
      <c r="L3210" s="12" t="n">
        <v>0</v>
      </c>
      <c r="M3210" s="12" t="n">
        <v>18</v>
      </c>
      <c r="N3210" s="27">
        <f>F3210-J3210</f>
        <v/>
      </c>
      <c r="O3210" s="16">
        <f>I3210-H3210</f>
        <v/>
      </c>
      <c r="P3210" s="14">
        <f>F3210*G3210</f>
        <v/>
      </c>
      <c r="Q3210" s="14">
        <f>J3210*G3210</f>
        <v/>
      </c>
      <c r="R3210" s="14">
        <f>K3210-Q3210</f>
        <v/>
      </c>
      <c r="S3210" s="3">
        <f>P3210*Assumptions!$B$3/100</f>
        <v/>
      </c>
      <c r="T3210" s="14">
        <f>R3210-S3210</f>
        <v/>
      </c>
      <c r="U3210" s="14">
        <f>L3210*G3210</f>
        <v/>
      </c>
    </row>
    <row r="3211">
      <c r="A3211" s="12" t="inlineStr">
        <is>
          <t>PO-2023-3209</t>
        </is>
      </c>
      <c r="B3211" s="26" t="n">
        <v>44449</v>
      </c>
      <c r="C3211" s="12" t="inlineStr">
        <is>
          <t>VS14</t>
        </is>
      </c>
      <c r="D3211" s="12" t="inlineStr">
        <is>
          <t>MS Rods</t>
        </is>
      </c>
      <c r="E3211" s="12" t="inlineStr">
        <is>
          <t>N</t>
        </is>
      </c>
      <c r="F3211" s="12" t="n">
        <v>26.93</v>
      </c>
      <c r="G3211" s="17" t="n">
        <v>92065.99000000001</v>
      </c>
      <c r="H3211" s="26" t="n">
        <v>44453</v>
      </c>
      <c r="I3211" s="26" t="n">
        <v>44454</v>
      </c>
      <c r="J3211" s="12" t="n">
        <v>26.67</v>
      </c>
      <c r="K3211" s="17" t="n">
        <v>2479337.11</v>
      </c>
      <c r="L3211" s="12" t="n">
        <v>0</v>
      </c>
      <c r="M3211" s="12" t="n">
        <v>0</v>
      </c>
      <c r="N3211" s="27">
        <f>F3211-J3211</f>
        <v/>
      </c>
      <c r="O3211" s="16">
        <f>I3211-H3211</f>
        <v/>
      </c>
      <c r="P3211" s="14">
        <f>F3211*G3211</f>
        <v/>
      </c>
      <c r="Q3211" s="14">
        <f>J3211*G3211</f>
        <v/>
      </c>
      <c r="R3211" s="14">
        <f>K3211-Q3211</f>
        <v/>
      </c>
      <c r="S3211" s="3">
        <f>P3211*Assumptions!$B$3/100</f>
        <v/>
      </c>
      <c r="T3211" s="14">
        <f>R3211-S3211</f>
        <v/>
      </c>
      <c r="U3211" s="14">
        <f>L3211*G3211</f>
        <v/>
      </c>
    </row>
    <row r="3212">
      <c r="A3212" s="12" t="inlineStr">
        <is>
          <t>PO-2023-3210</t>
        </is>
      </c>
      <c r="B3212" s="26" t="n">
        <v>45209</v>
      </c>
      <c r="C3212" s="12" t="inlineStr">
        <is>
          <t>VS11</t>
        </is>
      </c>
      <c r="D3212" s="12" t="inlineStr">
        <is>
          <t>GI Pipes</t>
        </is>
      </c>
      <c r="E3212" s="12" t="inlineStr">
        <is>
          <t>N</t>
        </is>
      </c>
      <c r="F3212" s="12" t="n">
        <v>10.72</v>
      </c>
      <c r="G3212" s="17" t="n">
        <v>59858.67</v>
      </c>
      <c r="H3212" s="26" t="n">
        <v>45221</v>
      </c>
      <c r="I3212" s="26" t="n">
        <v>45222</v>
      </c>
      <c r="J3212" s="12" t="n">
        <v>10.66</v>
      </c>
      <c r="K3212" s="17" t="n">
        <v>641684.9399999999</v>
      </c>
      <c r="L3212" s="12" t="n">
        <v>0</v>
      </c>
      <c r="M3212" s="12" t="n">
        <v>24</v>
      </c>
      <c r="N3212" s="27">
        <f>F3212-J3212</f>
        <v/>
      </c>
      <c r="O3212" s="16">
        <f>I3212-H3212</f>
        <v/>
      </c>
      <c r="P3212" s="14">
        <f>F3212*G3212</f>
        <v/>
      </c>
      <c r="Q3212" s="14">
        <f>J3212*G3212</f>
        <v/>
      </c>
      <c r="R3212" s="14">
        <f>K3212-Q3212</f>
        <v/>
      </c>
      <c r="S3212" s="3">
        <f>P3212*Assumptions!$B$3/100</f>
        <v/>
      </c>
      <c r="T3212" s="14">
        <f>R3212-S3212</f>
        <v/>
      </c>
      <c r="U3212" s="14">
        <f>L3212*G3212</f>
        <v/>
      </c>
    </row>
    <row r="3213">
      <c r="A3213" s="12" t="inlineStr">
        <is>
          <t>PO-2023-3211</t>
        </is>
      </c>
      <c r="B3213" s="26" t="n">
        <v>44905</v>
      </c>
      <c r="C3213" s="12" t="inlineStr">
        <is>
          <t>VS23</t>
        </is>
      </c>
      <c r="D3213" s="12" t="inlineStr">
        <is>
          <t>Square/Rect Tubes</t>
        </is>
      </c>
      <c r="E3213" s="12" t="inlineStr">
        <is>
          <t>N</t>
        </is>
      </c>
      <c r="F3213" s="12" t="n">
        <v>26.39</v>
      </c>
      <c r="G3213" s="17" t="n">
        <v>74307.41</v>
      </c>
      <c r="H3213" s="26" t="n">
        <v>44919</v>
      </c>
      <c r="I3213" s="26" t="n">
        <v>44920</v>
      </c>
      <c r="J3213" s="12" t="n">
        <v>26.29</v>
      </c>
      <c r="K3213" s="17" t="n">
        <v>1960972.55</v>
      </c>
      <c r="L3213" s="12" t="n">
        <v>0</v>
      </c>
      <c r="M3213" s="12" t="n">
        <v>14</v>
      </c>
      <c r="N3213" s="27">
        <f>F3213-J3213</f>
        <v/>
      </c>
      <c r="O3213" s="16">
        <f>I3213-H3213</f>
        <v/>
      </c>
      <c r="P3213" s="14">
        <f>F3213*G3213</f>
        <v/>
      </c>
      <c r="Q3213" s="14">
        <f>J3213*G3213</f>
        <v/>
      </c>
      <c r="R3213" s="14">
        <f>K3213-Q3213</f>
        <v/>
      </c>
      <c r="S3213" s="3">
        <f>P3213*Assumptions!$B$3/100</f>
        <v/>
      </c>
      <c r="T3213" s="14">
        <f>R3213-S3213</f>
        <v/>
      </c>
      <c r="U3213" s="14">
        <f>L3213*G3213</f>
        <v/>
      </c>
    </row>
    <row r="3214">
      <c r="A3214" s="12" t="inlineStr">
        <is>
          <t>PO-2023-3212</t>
        </is>
      </c>
      <c r="B3214" s="26" t="n">
        <v>44251</v>
      </c>
      <c r="C3214" s="12" t="inlineStr">
        <is>
          <t>VS12</t>
        </is>
      </c>
      <c r="D3214" s="12" t="inlineStr">
        <is>
          <t>Structural Steel</t>
        </is>
      </c>
      <c r="E3214" s="12" t="inlineStr">
        <is>
          <t>N</t>
        </is>
      </c>
      <c r="F3214" s="12" t="n">
        <v>39.42</v>
      </c>
      <c r="G3214" s="17" t="n">
        <v>73629.61</v>
      </c>
      <c r="H3214" s="26" t="n">
        <v>44265</v>
      </c>
      <c r="I3214" s="26" t="n">
        <v>44272</v>
      </c>
      <c r="J3214" s="12" t="n">
        <v>37.46</v>
      </c>
      <c r="K3214" s="17" t="n">
        <v>2902479.23</v>
      </c>
      <c r="L3214" s="12" t="n">
        <v>0.72</v>
      </c>
      <c r="M3214" s="12" t="n">
        <v>10</v>
      </c>
      <c r="N3214" s="27">
        <f>F3214-J3214</f>
        <v/>
      </c>
      <c r="O3214" s="16">
        <f>I3214-H3214</f>
        <v/>
      </c>
      <c r="P3214" s="14">
        <f>F3214*G3214</f>
        <v/>
      </c>
      <c r="Q3214" s="14">
        <f>J3214*G3214</f>
        <v/>
      </c>
      <c r="R3214" s="14">
        <f>K3214-Q3214</f>
        <v/>
      </c>
      <c r="S3214" s="3">
        <f>P3214*Assumptions!$B$3/100</f>
        <v/>
      </c>
      <c r="T3214" s="14">
        <f>R3214-S3214</f>
        <v/>
      </c>
      <c r="U3214" s="14">
        <f>L3214*G3214</f>
        <v/>
      </c>
    </row>
    <row r="3215">
      <c r="A3215" s="12" t="inlineStr">
        <is>
          <t>PO-2023-3213</t>
        </is>
      </c>
      <c r="B3215" s="26" t="n">
        <v>44961</v>
      </c>
      <c r="C3215" s="12" t="inlineStr">
        <is>
          <t>VS23</t>
        </is>
      </c>
      <c r="D3215" s="12" t="inlineStr">
        <is>
          <t>GI Sheets</t>
        </is>
      </c>
      <c r="E3215" s="12" t="inlineStr">
        <is>
          <t>N</t>
        </is>
      </c>
      <c r="F3215" s="12" t="n">
        <v>45.57</v>
      </c>
      <c r="G3215" s="17" t="n">
        <v>56126.89</v>
      </c>
      <c r="H3215" s="26" t="n">
        <v>44966</v>
      </c>
      <c r="I3215" s="26" t="n">
        <v>44967</v>
      </c>
      <c r="J3215" s="12" t="n">
        <v>45.35</v>
      </c>
      <c r="K3215" s="17" t="n">
        <v>2557702.38</v>
      </c>
      <c r="L3215" s="12" t="n">
        <v>0</v>
      </c>
      <c r="M3215" s="12" t="n">
        <v>0</v>
      </c>
      <c r="N3215" s="27">
        <f>F3215-J3215</f>
        <v/>
      </c>
      <c r="O3215" s="16">
        <f>I3215-H3215</f>
        <v/>
      </c>
      <c r="P3215" s="14">
        <f>F3215*G3215</f>
        <v/>
      </c>
      <c r="Q3215" s="14">
        <f>J3215*G3215</f>
        <v/>
      </c>
      <c r="R3215" s="14">
        <f>K3215-Q3215</f>
        <v/>
      </c>
      <c r="S3215" s="3">
        <f>P3215*Assumptions!$B$3/100</f>
        <v/>
      </c>
      <c r="T3215" s="14">
        <f>R3215-S3215</f>
        <v/>
      </c>
      <c r="U3215" s="14">
        <f>L3215*G3215</f>
        <v/>
      </c>
    </row>
    <row r="3216">
      <c r="A3216" s="12" t="inlineStr">
        <is>
          <t>PO-2023-3214</t>
        </is>
      </c>
      <c r="B3216" s="26" t="n">
        <v>45103</v>
      </c>
      <c r="C3216" s="12" t="inlineStr">
        <is>
          <t>VS15</t>
        </is>
      </c>
      <c r="D3216" s="12" t="inlineStr">
        <is>
          <t>GI Sheets</t>
        </is>
      </c>
      <c r="E3216" s="12" t="inlineStr">
        <is>
          <t>N</t>
        </is>
      </c>
      <c r="F3216" s="12" t="n">
        <v>44.79</v>
      </c>
      <c r="G3216" s="17" t="n">
        <v>90254.23</v>
      </c>
      <c r="H3216" s="26" t="n">
        <v>45108</v>
      </c>
      <c r="I3216" s="26" t="n">
        <v>45111</v>
      </c>
      <c r="J3216" s="12" t="n">
        <v>44.4</v>
      </c>
      <c r="K3216" s="17" t="n">
        <v>4042486.96</v>
      </c>
      <c r="L3216" s="12" t="n">
        <v>0</v>
      </c>
      <c r="M3216" s="12" t="n">
        <v>0</v>
      </c>
      <c r="N3216" s="27">
        <f>F3216-J3216</f>
        <v/>
      </c>
      <c r="O3216" s="16">
        <f>I3216-H3216</f>
        <v/>
      </c>
      <c r="P3216" s="14">
        <f>F3216*G3216</f>
        <v/>
      </c>
      <c r="Q3216" s="14">
        <f>J3216*G3216</f>
        <v/>
      </c>
      <c r="R3216" s="14">
        <f>K3216-Q3216</f>
        <v/>
      </c>
      <c r="S3216" s="3">
        <f>P3216*Assumptions!$B$3/100</f>
        <v/>
      </c>
      <c r="T3216" s="14">
        <f>R3216-S3216</f>
        <v/>
      </c>
      <c r="U3216" s="14">
        <f>L3216*G3216</f>
        <v/>
      </c>
    </row>
    <row r="3217">
      <c r="A3217" s="12" t="inlineStr">
        <is>
          <t>PO-2023-3215</t>
        </is>
      </c>
      <c r="B3217" s="26" t="n">
        <v>44199</v>
      </c>
      <c r="C3217" s="12" t="inlineStr">
        <is>
          <t>VS19</t>
        </is>
      </c>
      <c r="D3217" s="12" t="inlineStr">
        <is>
          <t>Angles &amp; Channels</t>
        </is>
      </c>
      <c r="E3217" s="12" t="inlineStr">
        <is>
          <t>N</t>
        </is>
      </c>
      <c r="F3217" s="12" t="n">
        <v>42.79</v>
      </c>
      <c r="G3217" s="17" t="n">
        <v>100712.81</v>
      </c>
      <c r="H3217" s="26" t="n">
        <v>44214</v>
      </c>
      <c r="I3217" s="26" t="n">
        <v>44220</v>
      </c>
      <c r="J3217" s="12" t="n">
        <v>41.07</v>
      </c>
      <c r="K3217" s="17" t="n">
        <v>4309501.14</v>
      </c>
      <c r="L3217" s="12" t="n">
        <v>0.46</v>
      </c>
      <c r="M3217" s="12" t="n">
        <v>0</v>
      </c>
      <c r="N3217" s="27">
        <f>F3217-J3217</f>
        <v/>
      </c>
      <c r="O3217" s="16">
        <f>I3217-H3217</f>
        <v/>
      </c>
      <c r="P3217" s="14">
        <f>F3217*G3217</f>
        <v/>
      </c>
      <c r="Q3217" s="14">
        <f>J3217*G3217</f>
        <v/>
      </c>
      <c r="R3217" s="14">
        <f>K3217-Q3217</f>
        <v/>
      </c>
      <c r="S3217" s="3">
        <f>P3217*Assumptions!$B$3/100</f>
        <v/>
      </c>
      <c r="T3217" s="14">
        <f>R3217-S3217</f>
        <v/>
      </c>
      <c r="U3217" s="14">
        <f>L3217*G3217</f>
        <v/>
      </c>
    </row>
    <row r="3218">
      <c r="A3218" s="12" t="inlineStr">
        <is>
          <t>PO-2023-3216</t>
        </is>
      </c>
      <c r="B3218" s="26" t="n">
        <v>44651</v>
      </c>
      <c r="C3218" s="12" t="inlineStr">
        <is>
          <t>VS23</t>
        </is>
      </c>
      <c r="D3218" s="12" t="inlineStr">
        <is>
          <t>HR Coils</t>
        </is>
      </c>
      <c r="E3218" s="12" t="inlineStr">
        <is>
          <t>Y</t>
        </is>
      </c>
      <c r="F3218" s="12" t="n">
        <v>7.33</v>
      </c>
      <c r="G3218" s="17" t="n">
        <v>76742.00999999999</v>
      </c>
      <c r="H3218" s="26" t="n">
        <v>44655</v>
      </c>
      <c r="I3218" s="26" t="n">
        <v>44655</v>
      </c>
      <c r="J3218" s="12" t="n">
        <v>7.32</v>
      </c>
      <c r="K3218" s="17" t="n">
        <v>562518.9300000001</v>
      </c>
      <c r="L3218" s="12" t="n">
        <v>0</v>
      </c>
      <c r="M3218" s="12" t="n">
        <v>0</v>
      </c>
      <c r="N3218" s="27">
        <f>F3218-J3218</f>
        <v/>
      </c>
      <c r="O3218" s="16">
        <f>I3218-H3218</f>
        <v/>
      </c>
      <c r="P3218" s="14">
        <f>F3218*G3218</f>
        <v/>
      </c>
      <c r="Q3218" s="14">
        <f>J3218*G3218</f>
        <v/>
      </c>
      <c r="R3218" s="14">
        <f>K3218-Q3218</f>
        <v/>
      </c>
      <c r="S3218" s="3">
        <f>P3218*Assumptions!$B$3/100</f>
        <v/>
      </c>
      <c r="T3218" s="14">
        <f>R3218-S3218</f>
        <v/>
      </c>
      <c r="U3218" s="14">
        <f>L3218*G3218</f>
        <v/>
      </c>
    </row>
    <row r="3219">
      <c r="A3219" s="12" t="inlineStr">
        <is>
          <t>PO-2023-3217</t>
        </is>
      </c>
      <c r="B3219" s="26" t="n">
        <v>45235</v>
      </c>
      <c r="C3219" s="12" t="inlineStr">
        <is>
          <t>VS23</t>
        </is>
      </c>
      <c r="D3219" s="12" t="inlineStr">
        <is>
          <t>GI Pipes</t>
        </is>
      </c>
      <c r="E3219" s="12" t="inlineStr">
        <is>
          <t>N</t>
        </is>
      </c>
      <c r="F3219" s="12" t="n">
        <v>24.01</v>
      </c>
      <c r="G3219" s="17" t="n">
        <v>51872.85</v>
      </c>
      <c r="H3219" s="26" t="n">
        <v>45238</v>
      </c>
      <c r="I3219" s="26" t="n">
        <v>45241</v>
      </c>
      <c r="J3219" s="12" t="n">
        <v>23.78</v>
      </c>
      <c r="K3219" s="17" t="n">
        <v>1245467.13</v>
      </c>
      <c r="L3219" s="12" t="n">
        <v>0</v>
      </c>
      <c r="M3219" s="12" t="n">
        <v>25</v>
      </c>
      <c r="N3219" s="27">
        <f>F3219-J3219</f>
        <v/>
      </c>
      <c r="O3219" s="16">
        <f>I3219-H3219</f>
        <v/>
      </c>
      <c r="P3219" s="14">
        <f>F3219*G3219</f>
        <v/>
      </c>
      <c r="Q3219" s="14">
        <f>J3219*G3219</f>
        <v/>
      </c>
      <c r="R3219" s="14">
        <f>K3219-Q3219</f>
        <v/>
      </c>
      <c r="S3219" s="3">
        <f>P3219*Assumptions!$B$3/100</f>
        <v/>
      </c>
      <c r="T3219" s="14">
        <f>R3219-S3219</f>
        <v/>
      </c>
      <c r="U3219" s="14">
        <f>L3219*G3219</f>
        <v/>
      </c>
    </row>
    <row r="3220">
      <c r="A3220" s="12" t="inlineStr">
        <is>
          <t>PO-2023-3218</t>
        </is>
      </c>
      <c r="B3220" s="26" t="n">
        <v>45137</v>
      </c>
      <c r="C3220" s="12" t="inlineStr">
        <is>
          <t>VS03</t>
        </is>
      </c>
      <c r="D3220" s="12" t="inlineStr">
        <is>
          <t>Hex Bars</t>
        </is>
      </c>
      <c r="E3220" s="12" t="inlineStr">
        <is>
          <t>Y</t>
        </is>
      </c>
      <c r="F3220" s="12" t="n">
        <v>10.18</v>
      </c>
      <c r="G3220" s="17" t="n">
        <v>94156.47</v>
      </c>
      <c r="H3220" s="26" t="n">
        <v>45152</v>
      </c>
      <c r="I3220" s="26" t="n">
        <v>45157</v>
      </c>
      <c r="J3220" s="12" t="n">
        <v>9.93</v>
      </c>
      <c r="K3220" s="17" t="n">
        <v>958512.86</v>
      </c>
      <c r="L3220" s="12" t="n">
        <v>0.24</v>
      </c>
      <c r="M3220" s="12" t="n">
        <v>8</v>
      </c>
      <c r="N3220" s="27">
        <f>F3220-J3220</f>
        <v/>
      </c>
      <c r="O3220" s="16">
        <f>I3220-H3220</f>
        <v/>
      </c>
      <c r="P3220" s="14">
        <f>F3220*G3220</f>
        <v/>
      </c>
      <c r="Q3220" s="14">
        <f>J3220*G3220</f>
        <v/>
      </c>
      <c r="R3220" s="14">
        <f>K3220-Q3220</f>
        <v/>
      </c>
      <c r="S3220" s="3">
        <f>P3220*Assumptions!$B$3/100</f>
        <v/>
      </c>
      <c r="T3220" s="14">
        <f>R3220-S3220</f>
        <v/>
      </c>
      <c r="U3220" s="14">
        <f>L3220*G3220</f>
        <v/>
      </c>
    </row>
    <row r="3221">
      <c r="A3221" s="12" t="inlineStr">
        <is>
          <t>PO-2023-3219</t>
        </is>
      </c>
      <c r="B3221" s="26" t="n">
        <v>44444</v>
      </c>
      <c r="C3221" s="12" t="inlineStr">
        <is>
          <t>VS33</t>
        </is>
      </c>
      <c r="D3221" s="12" t="inlineStr">
        <is>
          <t>MS Sheets</t>
        </is>
      </c>
      <c r="E3221" s="12" t="inlineStr">
        <is>
          <t>N</t>
        </is>
      </c>
      <c r="F3221" s="12" t="n">
        <v>41.66</v>
      </c>
      <c r="G3221" s="17" t="n">
        <v>59992.75</v>
      </c>
      <c r="H3221" s="26" t="n">
        <v>44447</v>
      </c>
      <c r="I3221" s="26" t="n">
        <v>44448</v>
      </c>
      <c r="J3221" s="12" t="n">
        <v>41.65</v>
      </c>
      <c r="K3221" s="17" t="n">
        <v>2499297.96</v>
      </c>
      <c r="L3221" s="12" t="n">
        <v>0</v>
      </c>
      <c r="M3221" s="12" t="n">
        <v>0</v>
      </c>
      <c r="N3221" s="27">
        <f>F3221-J3221</f>
        <v/>
      </c>
      <c r="O3221" s="16">
        <f>I3221-H3221</f>
        <v/>
      </c>
      <c r="P3221" s="14">
        <f>F3221*G3221</f>
        <v/>
      </c>
      <c r="Q3221" s="14">
        <f>J3221*G3221</f>
        <v/>
      </c>
      <c r="R3221" s="14">
        <f>K3221-Q3221</f>
        <v/>
      </c>
      <c r="S3221" s="3">
        <f>P3221*Assumptions!$B$3/100</f>
        <v/>
      </c>
      <c r="T3221" s="14">
        <f>R3221-S3221</f>
        <v/>
      </c>
      <c r="U3221" s="14">
        <f>L3221*G3221</f>
        <v/>
      </c>
    </row>
    <row r="3222">
      <c r="A3222" s="12" t="inlineStr">
        <is>
          <t>PO-2023-3220</t>
        </is>
      </c>
      <c r="B3222" s="26" t="n">
        <v>44399</v>
      </c>
      <c r="C3222" s="12" t="inlineStr">
        <is>
          <t>VS01</t>
        </is>
      </c>
      <c r="D3222" s="12" t="inlineStr">
        <is>
          <t>Structural Steel</t>
        </is>
      </c>
      <c r="E3222" s="12" t="inlineStr">
        <is>
          <t>N</t>
        </is>
      </c>
      <c r="F3222" s="12" t="n">
        <v>7.11</v>
      </c>
      <c r="G3222" s="17" t="n">
        <v>74731.92999999999</v>
      </c>
      <c r="H3222" s="26" t="n">
        <v>44407</v>
      </c>
      <c r="I3222" s="26" t="n">
        <v>44408</v>
      </c>
      <c r="J3222" s="12" t="n">
        <v>7.09</v>
      </c>
      <c r="K3222" s="17" t="n">
        <v>531344.02</v>
      </c>
      <c r="L3222" s="12" t="n">
        <v>0</v>
      </c>
      <c r="M3222" s="12" t="n">
        <v>0</v>
      </c>
      <c r="N3222" s="27">
        <f>F3222-J3222</f>
        <v/>
      </c>
      <c r="O3222" s="16">
        <f>I3222-H3222</f>
        <v/>
      </c>
      <c r="P3222" s="14">
        <f>F3222*G3222</f>
        <v/>
      </c>
      <c r="Q3222" s="14">
        <f>J3222*G3222</f>
        <v/>
      </c>
      <c r="R3222" s="14">
        <f>K3222-Q3222</f>
        <v/>
      </c>
      <c r="S3222" s="3">
        <f>P3222*Assumptions!$B$3/100</f>
        <v/>
      </c>
      <c r="T3222" s="14">
        <f>R3222-S3222</f>
        <v/>
      </c>
      <c r="U3222" s="14">
        <f>L3222*G3222</f>
        <v/>
      </c>
    </row>
    <row r="3223">
      <c r="A3223" s="12" t="inlineStr">
        <is>
          <t>PO-2023-3221</t>
        </is>
      </c>
      <c r="B3223" s="26" t="n">
        <v>44652</v>
      </c>
      <c r="C3223" s="12" t="inlineStr">
        <is>
          <t>VS12</t>
        </is>
      </c>
      <c r="D3223" s="12" t="inlineStr">
        <is>
          <t>SS Pipes</t>
        </is>
      </c>
      <c r="E3223" s="12" t="inlineStr">
        <is>
          <t>N</t>
        </is>
      </c>
      <c r="F3223" s="12" t="n">
        <v>48.22</v>
      </c>
      <c r="G3223" s="17" t="n">
        <v>85253.62</v>
      </c>
      <c r="H3223" s="26" t="n">
        <v>44667</v>
      </c>
      <c r="I3223" s="26" t="n">
        <v>44670</v>
      </c>
      <c r="J3223" s="12" t="n">
        <v>46.58</v>
      </c>
      <c r="K3223" s="17" t="n">
        <v>4110929.56</v>
      </c>
      <c r="L3223" s="12" t="n">
        <v>2.29</v>
      </c>
      <c r="M3223" s="12" t="n">
        <v>0</v>
      </c>
      <c r="N3223" s="27">
        <f>F3223-J3223</f>
        <v/>
      </c>
      <c r="O3223" s="16">
        <f>I3223-H3223</f>
        <v/>
      </c>
      <c r="P3223" s="14">
        <f>F3223*G3223</f>
        <v/>
      </c>
      <c r="Q3223" s="14">
        <f>J3223*G3223</f>
        <v/>
      </c>
      <c r="R3223" s="14">
        <f>K3223-Q3223</f>
        <v/>
      </c>
      <c r="S3223" s="3">
        <f>P3223*Assumptions!$B$3/100</f>
        <v/>
      </c>
      <c r="T3223" s="14">
        <f>R3223-S3223</f>
        <v/>
      </c>
      <c r="U3223" s="14">
        <f>L3223*G3223</f>
        <v/>
      </c>
    </row>
    <row r="3224">
      <c r="A3224" s="12" t="inlineStr">
        <is>
          <t>PO-2023-3222</t>
        </is>
      </c>
      <c r="B3224" s="26" t="n">
        <v>45087</v>
      </c>
      <c r="C3224" s="12" t="inlineStr">
        <is>
          <t>VS17</t>
        </is>
      </c>
      <c r="D3224" s="12" t="inlineStr">
        <is>
          <t>Spring Steel</t>
        </is>
      </c>
      <c r="E3224" s="12" t="inlineStr">
        <is>
          <t>N</t>
        </is>
      </c>
      <c r="F3224" s="12" t="n">
        <v>43.12</v>
      </c>
      <c r="G3224" s="17" t="n">
        <v>103451.3</v>
      </c>
      <c r="H3224" s="26" t="n">
        <v>45097</v>
      </c>
      <c r="I3224" s="26" t="n">
        <v>45099</v>
      </c>
      <c r="J3224" s="12" t="n">
        <v>43.04</v>
      </c>
      <c r="K3224" s="17" t="n">
        <v>4460820.06</v>
      </c>
      <c r="L3224" s="12" t="n">
        <v>0</v>
      </c>
      <c r="M3224" s="12" t="n">
        <v>0</v>
      </c>
      <c r="N3224" s="27">
        <f>F3224-J3224</f>
        <v/>
      </c>
      <c r="O3224" s="16">
        <f>I3224-H3224</f>
        <v/>
      </c>
      <c r="P3224" s="14">
        <f>F3224*G3224</f>
        <v/>
      </c>
      <c r="Q3224" s="14">
        <f>J3224*G3224</f>
        <v/>
      </c>
      <c r="R3224" s="14">
        <f>K3224-Q3224</f>
        <v/>
      </c>
      <c r="S3224" s="3">
        <f>P3224*Assumptions!$B$3/100</f>
        <v/>
      </c>
      <c r="T3224" s="14">
        <f>R3224-S3224</f>
        <v/>
      </c>
      <c r="U3224" s="14">
        <f>L3224*G3224</f>
        <v/>
      </c>
    </row>
    <row r="3225">
      <c r="A3225" s="12" t="inlineStr">
        <is>
          <t>PO-2023-3223</t>
        </is>
      </c>
      <c r="B3225" s="26" t="n">
        <v>44607</v>
      </c>
      <c r="C3225" s="12" t="inlineStr">
        <is>
          <t>VS21</t>
        </is>
      </c>
      <c r="D3225" s="12" t="inlineStr">
        <is>
          <t>Fasteners &amp; Fittings</t>
        </is>
      </c>
      <c r="E3225" s="12" t="inlineStr">
        <is>
          <t>N</t>
        </is>
      </c>
      <c r="F3225" s="12" t="n">
        <v>37.93</v>
      </c>
      <c r="G3225" s="17" t="n">
        <v>54826.81</v>
      </c>
      <c r="H3225" s="26" t="n">
        <v>44613</v>
      </c>
      <c r="I3225" s="26" t="n">
        <v>44613</v>
      </c>
      <c r="J3225" s="12" t="n">
        <v>37.69</v>
      </c>
      <c r="K3225" s="17" t="n">
        <v>2079580.9</v>
      </c>
      <c r="L3225" s="12" t="n">
        <v>0</v>
      </c>
      <c r="M3225" s="12" t="n">
        <v>0</v>
      </c>
      <c r="N3225" s="27">
        <f>F3225-J3225</f>
        <v/>
      </c>
      <c r="O3225" s="16">
        <f>I3225-H3225</f>
        <v/>
      </c>
      <c r="P3225" s="14">
        <f>F3225*G3225</f>
        <v/>
      </c>
      <c r="Q3225" s="14">
        <f>J3225*G3225</f>
        <v/>
      </c>
      <c r="R3225" s="14">
        <f>K3225-Q3225</f>
        <v/>
      </c>
      <c r="S3225" s="3">
        <f>P3225*Assumptions!$B$3/100</f>
        <v/>
      </c>
      <c r="T3225" s="14">
        <f>R3225-S3225</f>
        <v/>
      </c>
      <c r="U3225" s="14">
        <f>L3225*G3225</f>
        <v/>
      </c>
    </row>
    <row r="3226">
      <c r="A3226" s="12" t="inlineStr">
        <is>
          <t>PO-2023-3224</t>
        </is>
      </c>
      <c r="B3226" s="26" t="n">
        <v>44640</v>
      </c>
      <c r="C3226" s="12" t="inlineStr">
        <is>
          <t>VS10</t>
        </is>
      </c>
      <c r="D3226" s="12" t="inlineStr">
        <is>
          <t>Square/Rect Tubes</t>
        </is>
      </c>
      <c r="E3226" s="12" t="inlineStr">
        <is>
          <t>N</t>
        </is>
      </c>
      <c r="F3226" s="12" t="n">
        <v>47.66</v>
      </c>
      <c r="G3226" s="17" t="n">
        <v>113973.2</v>
      </c>
      <c r="H3226" s="26" t="n">
        <v>44651</v>
      </c>
      <c r="I3226" s="26" t="n">
        <v>44652</v>
      </c>
      <c r="J3226" s="12" t="n">
        <v>47.3</v>
      </c>
      <c r="K3226" s="17" t="n">
        <v>5431962.71</v>
      </c>
      <c r="L3226" s="12" t="n">
        <v>0</v>
      </c>
      <c r="M3226" s="12" t="n">
        <v>19</v>
      </c>
      <c r="N3226" s="27">
        <f>F3226-J3226</f>
        <v/>
      </c>
      <c r="O3226" s="16">
        <f>I3226-H3226</f>
        <v/>
      </c>
      <c r="P3226" s="14">
        <f>F3226*G3226</f>
        <v/>
      </c>
      <c r="Q3226" s="14">
        <f>J3226*G3226</f>
        <v/>
      </c>
      <c r="R3226" s="14">
        <f>K3226-Q3226</f>
        <v/>
      </c>
      <c r="S3226" s="3">
        <f>P3226*Assumptions!$B$3/100</f>
        <v/>
      </c>
      <c r="T3226" s="14">
        <f>R3226-S3226</f>
        <v/>
      </c>
      <c r="U3226" s="14">
        <f>L3226*G3226</f>
        <v/>
      </c>
    </row>
    <row r="3227">
      <c r="A3227" s="12" t="inlineStr">
        <is>
          <t>PO-2023-3225</t>
        </is>
      </c>
      <c r="B3227" s="26" t="n">
        <v>44231</v>
      </c>
      <c r="C3227" s="12" t="inlineStr">
        <is>
          <t>VS07</t>
        </is>
      </c>
      <c r="D3227" s="12" t="inlineStr">
        <is>
          <t>SS Sheets</t>
        </is>
      </c>
      <c r="E3227" s="12" t="inlineStr">
        <is>
          <t>N</t>
        </is>
      </c>
      <c r="F3227" s="12" t="n">
        <v>13.43</v>
      </c>
      <c r="G3227" s="17" t="n">
        <v>56547.65</v>
      </c>
      <c r="H3227" s="26" t="n">
        <v>44242</v>
      </c>
      <c r="I3227" s="26" t="n">
        <v>44243</v>
      </c>
      <c r="J3227" s="12" t="n">
        <v>13.35</v>
      </c>
      <c r="K3227" s="17" t="n">
        <v>759434.9399999999</v>
      </c>
      <c r="L3227" s="12" t="n">
        <v>0</v>
      </c>
      <c r="M3227" s="12" t="n">
        <v>0</v>
      </c>
      <c r="N3227" s="27">
        <f>F3227-J3227</f>
        <v/>
      </c>
      <c r="O3227" s="16">
        <f>I3227-H3227</f>
        <v/>
      </c>
      <c r="P3227" s="14">
        <f>F3227*G3227</f>
        <v/>
      </c>
      <c r="Q3227" s="14">
        <f>J3227*G3227</f>
        <v/>
      </c>
      <c r="R3227" s="14">
        <f>K3227-Q3227</f>
        <v/>
      </c>
      <c r="S3227" s="3">
        <f>P3227*Assumptions!$B$3/100</f>
        <v/>
      </c>
      <c r="T3227" s="14">
        <f>R3227-S3227</f>
        <v/>
      </c>
      <c r="U3227" s="14">
        <f>L3227*G3227</f>
        <v/>
      </c>
    </row>
    <row r="3228">
      <c r="A3228" s="12" t="inlineStr">
        <is>
          <t>PO-2023-3226</t>
        </is>
      </c>
      <c r="B3228" s="26" t="n">
        <v>44512</v>
      </c>
      <c r="C3228" s="12" t="inlineStr">
        <is>
          <t>VS12</t>
        </is>
      </c>
      <c r="D3228" s="12" t="inlineStr">
        <is>
          <t>MS Sheets</t>
        </is>
      </c>
      <c r="E3228" s="12" t="inlineStr">
        <is>
          <t>N</t>
        </is>
      </c>
      <c r="F3228" s="12" t="n">
        <v>36.98</v>
      </c>
      <c r="G3228" s="17" t="n">
        <v>74391.64</v>
      </c>
      <c r="H3228" s="26" t="n">
        <v>44515</v>
      </c>
      <c r="I3228" s="26" t="n">
        <v>44520</v>
      </c>
      <c r="J3228" s="12" t="n">
        <v>35.72</v>
      </c>
      <c r="K3228" s="17" t="n">
        <v>2751002.85</v>
      </c>
      <c r="L3228" s="12" t="n">
        <v>0.2</v>
      </c>
      <c r="M3228" s="12" t="n">
        <v>13</v>
      </c>
      <c r="N3228" s="27">
        <f>F3228-J3228</f>
        <v/>
      </c>
      <c r="O3228" s="16">
        <f>I3228-H3228</f>
        <v/>
      </c>
      <c r="P3228" s="14">
        <f>F3228*G3228</f>
        <v/>
      </c>
      <c r="Q3228" s="14">
        <f>J3228*G3228</f>
        <v/>
      </c>
      <c r="R3228" s="14">
        <f>K3228-Q3228</f>
        <v/>
      </c>
      <c r="S3228" s="3">
        <f>P3228*Assumptions!$B$3/100</f>
        <v/>
      </c>
      <c r="T3228" s="14">
        <f>R3228-S3228</f>
        <v/>
      </c>
      <c r="U3228" s="14">
        <f>L3228*G3228</f>
        <v/>
      </c>
    </row>
    <row r="3229">
      <c r="A3229" s="12" t="inlineStr">
        <is>
          <t>PO-2023-3227</t>
        </is>
      </c>
      <c r="B3229" s="26" t="n">
        <v>44969</v>
      </c>
      <c r="C3229" s="12" t="inlineStr">
        <is>
          <t>VS12</t>
        </is>
      </c>
      <c r="D3229" s="12" t="inlineStr">
        <is>
          <t>MS Flats</t>
        </is>
      </c>
      <c r="E3229" s="12" t="inlineStr">
        <is>
          <t>Y</t>
        </is>
      </c>
      <c r="F3229" s="12" t="n">
        <v>11.34</v>
      </c>
      <c r="G3229" s="17" t="n">
        <v>97975</v>
      </c>
      <c r="H3229" s="26" t="n">
        <v>44978</v>
      </c>
      <c r="I3229" s="26" t="n">
        <v>44982</v>
      </c>
      <c r="J3229" s="12" t="n">
        <v>11.03</v>
      </c>
      <c r="K3229" s="17" t="n">
        <v>1111036.5</v>
      </c>
      <c r="L3229" s="12" t="n">
        <v>0.26</v>
      </c>
      <c r="M3229" s="12" t="n">
        <v>11</v>
      </c>
      <c r="N3229" s="27">
        <f>F3229-J3229</f>
        <v/>
      </c>
      <c r="O3229" s="16">
        <f>I3229-H3229</f>
        <v/>
      </c>
      <c r="P3229" s="14">
        <f>F3229*G3229</f>
        <v/>
      </c>
      <c r="Q3229" s="14">
        <f>J3229*G3229</f>
        <v/>
      </c>
      <c r="R3229" s="14">
        <f>K3229-Q3229</f>
        <v/>
      </c>
      <c r="S3229" s="3">
        <f>P3229*Assumptions!$B$3/100</f>
        <v/>
      </c>
      <c r="T3229" s="14">
        <f>R3229-S3229</f>
        <v/>
      </c>
      <c r="U3229" s="14">
        <f>L3229*G3229</f>
        <v/>
      </c>
    </row>
    <row r="3230">
      <c r="A3230" s="12" t="inlineStr">
        <is>
          <t>PO-2023-3228</t>
        </is>
      </c>
      <c r="B3230" s="26" t="n">
        <v>44693</v>
      </c>
      <c r="C3230" s="12" t="inlineStr">
        <is>
          <t>VS31</t>
        </is>
      </c>
      <c r="D3230" s="12" t="inlineStr">
        <is>
          <t>HR Coils</t>
        </is>
      </c>
      <c r="E3230" s="12" t="inlineStr">
        <is>
          <t>N</t>
        </is>
      </c>
      <c r="F3230" s="12" t="n">
        <v>4.27</v>
      </c>
      <c r="G3230" s="17" t="n">
        <v>93581.57000000001</v>
      </c>
      <c r="H3230" s="26" t="n">
        <v>44704</v>
      </c>
      <c r="I3230" s="26" t="n">
        <v>44707</v>
      </c>
      <c r="J3230" s="12" t="n">
        <v>4.24</v>
      </c>
      <c r="K3230" s="17" t="n">
        <v>399593.3</v>
      </c>
      <c r="L3230" s="12" t="n">
        <v>0</v>
      </c>
      <c r="M3230" s="12" t="n">
        <v>0</v>
      </c>
      <c r="N3230" s="27">
        <f>F3230-J3230</f>
        <v/>
      </c>
      <c r="O3230" s="16">
        <f>I3230-H3230</f>
        <v/>
      </c>
      <c r="P3230" s="14">
        <f>F3230*G3230</f>
        <v/>
      </c>
      <c r="Q3230" s="14">
        <f>J3230*G3230</f>
        <v/>
      </c>
      <c r="R3230" s="14">
        <f>K3230-Q3230</f>
        <v/>
      </c>
      <c r="S3230" s="3">
        <f>P3230*Assumptions!$B$3/100</f>
        <v/>
      </c>
      <c r="T3230" s="14">
        <f>R3230-S3230</f>
        <v/>
      </c>
      <c r="U3230" s="14">
        <f>L3230*G3230</f>
        <v/>
      </c>
    </row>
    <row r="3231">
      <c r="A3231" s="12" t="inlineStr">
        <is>
          <t>PO-2023-3229</t>
        </is>
      </c>
      <c r="B3231" s="26" t="n">
        <v>44310</v>
      </c>
      <c r="C3231" s="12" t="inlineStr">
        <is>
          <t>VS18</t>
        </is>
      </c>
      <c r="D3231" s="12" t="inlineStr">
        <is>
          <t>MS Rods</t>
        </is>
      </c>
      <c r="E3231" s="12" t="inlineStr">
        <is>
          <t>Y</t>
        </is>
      </c>
      <c r="F3231" s="12" t="n">
        <v>34.5</v>
      </c>
      <c r="G3231" s="17" t="n">
        <v>81883.22</v>
      </c>
      <c r="H3231" s="26" t="n">
        <v>44314</v>
      </c>
      <c r="I3231" s="26" t="n">
        <v>44314</v>
      </c>
      <c r="J3231" s="12" t="n">
        <v>34.22</v>
      </c>
      <c r="K3231" s="17" t="n">
        <v>2824971.09</v>
      </c>
      <c r="L3231" s="12" t="n">
        <v>0</v>
      </c>
      <c r="M3231" s="12" t="n">
        <v>0</v>
      </c>
      <c r="N3231" s="27">
        <f>F3231-J3231</f>
        <v/>
      </c>
      <c r="O3231" s="16">
        <f>I3231-H3231</f>
        <v/>
      </c>
      <c r="P3231" s="14">
        <f>F3231*G3231</f>
        <v/>
      </c>
      <c r="Q3231" s="14">
        <f>J3231*G3231</f>
        <v/>
      </c>
      <c r="R3231" s="14">
        <f>K3231-Q3231</f>
        <v/>
      </c>
      <c r="S3231" s="3">
        <f>P3231*Assumptions!$B$3/100</f>
        <v/>
      </c>
      <c r="T3231" s="14">
        <f>R3231-S3231</f>
        <v/>
      </c>
      <c r="U3231" s="14">
        <f>L3231*G3231</f>
        <v/>
      </c>
    </row>
    <row r="3232">
      <c r="A3232" s="12" t="inlineStr">
        <is>
          <t>PO-2023-3230</t>
        </is>
      </c>
      <c r="B3232" s="26" t="n">
        <v>44680</v>
      </c>
      <c r="C3232" s="12" t="inlineStr">
        <is>
          <t>VS01</t>
        </is>
      </c>
      <c r="D3232" s="12" t="inlineStr">
        <is>
          <t>Structural Steel</t>
        </is>
      </c>
      <c r="E3232" s="12" t="inlineStr">
        <is>
          <t>N</t>
        </is>
      </c>
      <c r="F3232" s="12" t="n">
        <v>33.78</v>
      </c>
      <c r="G3232" s="17" t="n">
        <v>62183.64</v>
      </c>
      <c r="H3232" s="26" t="n">
        <v>44691</v>
      </c>
      <c r="I3232" s="26" t="n">
        <v>44693</v>
      </c>
      <c r="J3232" s="12" t="n">
        <v>33.64</v>
      </c>
      <c r="K3232" s="17" t="n">
        <v>2100563.36</v>
      </c>
      <c r="L3232" s="12" t="n">
        <v>0</v>
      </c>
      <c r="M3232" s="12" t="n">
        <v>0</v>
      </c>
      <c r="N3232" s="27">
        <f>F3232-J3232</f>
        <v/>
      </c>
      <c r="O3232" s="16">
        <f>I3232-H3232</f>
        <v/>
      </c>
      <c r="P3232" s="14">
        <f>F3232*G3232</f>
        <v/>
      </c>
      <c r="Q3232" s="14">
        <f>J3232*G3232</f>
        <v/>
      </c>
      <c r="R3232" s="14">
        <f>K3232-Q3232</f>
        <v/>
      </c>
      <c r="S3232" s="3">
        <f>P3232*Assumptions!$B$3/100</f>
        <v/>
      </c>
      <c r="T3232" s="14">
        <f>R3232-S3232</f>
        <v/>
      </c>
      <c r="U3232" s="14">
        <f>L3232*G3232</f>
        <v/>
      </c>
    </row>
    <row r="3233">
      <c r="A3233" s="12" t="inlineStr">
        <is>
          <t>PO-2023-3231</t>
        </is>
      </c>
      <c r="B3233" s="26" t="n">
        <v>44821</v>
      </c>
      <c r="C3233" s="12" t="inlineStr">
        <is>
          <t>VS08</t>
        </is>
      </c>
      <c r="D3233" s="12" t="inlineStr">
        <is>
          <t>Spring Steel</t>
        </is>
      </c>
      <c r="E3233" s="12" t="inlineStr">
        <is>
          <t>N</t>
        </is>
      </c>
      <c r="F3233" s="12" t="n">
        <v>16.87</v>
      </c>
      <c r="G3233" s="17" t="n">
        <v>46016.4</v>
      </c>
      <c r="H3233" s="26" t="n">
        <v>44834</v>
      </c>
      <c r="I3233" s="26" t="n">
        <v>44837</v>
      </c>
      <c r="J3233" s="12" t="n">
        <v>16.86</v>
      </c>
      <c r="K3233" s="17" t="n">
        <v>776296.67</v>
      </c>
      <c r="L3233" s="12" t="n">
        <v>0</v>
      </c>
      <c r="M3233" s="12" t="n">
        <v>10</v>
      </c>
      <c r="N3233" s="27">
        <f>F3233-J3233</f>
        <v/>
      </c>
      <c r="O3233" s="16">
        <f>I3233-H3233</f>
        <v/>
      </c>
      <c r="P3233" s="14">
        <f>F3233*G3233</f>
        <v/>
      </c>
      <c r="Q3233" s="14">
        <f>J3233*G3233</f>
        <v/>
      </c>
      <c r="R3233" s="14">
        <f>K3233-Q3233</f>
        <v/>
      </c>
      <c r="S3233" s="3">
        <f>P3233*Assumptions!$B$3/100</f>
        <v/>
      </c>
      <c r="T3233" s="14">
        <f>R3233-S3233</f>
        <v/>
      </c>
      <c r="U3233" s="14">
        <f>L3233*G3233</f>
        <v/>
      </c>
    </row>
    <row r="3234">
      <c r="A3234" s="12" t="inlineStr">
        <is>
          <t>PO-2023-3232</t>
        </is>
      </c>
      <c r="B3234" s="26" t="n">
        <v>44343</v>
      </c>
      <c r="C3234" s="12" t="inlineStr">
        <is>
          <t>VS15</t>
        </is>
      </c>
      <c r="D3234" s="12" t="inlineStr">
        <is>
          <t>MS Rods</t>
        </is>
      </c>
      <c r="E3234" s="12" t="inlineStr">
        <is>
          <t>N</t>
        </is>
      </c>
      <c r="F3234" s="12" t="n">
        <v>9.550000000000001</v>
      </c>
      <c r="G3234" s="17" t="n">
        <v>94582.38</v>
      </c>
      <c r="H3234" s="26" t="n">
        <v>44354</v>
      </c>
      <c r="I3234" s="26" t="n">
        <v>44356</v>
      </c>
      <c r="J3234" s="12" t="n">
        <v>9.460000000000001</v>
      </c>
      <c r="K3234" s="17" t="n">
        <v>903261.73</v>
      </c>
      <c r="L3234" s="12" t="n">
        <v>0</v>
      </c>
      <c r="M3234" s="12" t="n">
        <v>0</v>
      </c>
      <c r="N3234" s="27">
        <f>F3234-J3234</f>
        <v/>
      </c>
      <c r="O3234" s="16">
        <f>I3234-H3234</f>
        <v/>
      </c>
      <c r="P3234" s="14">
        <f>F3234*G3234</f>
        <v/>
      </c>
      <c r="Q3234" s="14">
        <f>J3234*G3234</f>
        <v/>
      </c>
      <c r="R3234" s="14">
        <f>K3234-Q3234</f>
        <v/>
      </c>
      <c r="S3234" s="3">
        <f>P3234*Assumptions!$B$3/100</f>
        <v/>
      </c>
      <c r="T3234" s="14">
        <f>R3234-S3234</f>
        <v/>
      </c>
      <c r="U3234" s="14">
        <f>L3234*G3234</f>
        <v/>
      </c>
    </row>
    <row r="3235">
      <c r="A3235" s="12" t="inlineStr">
        <is>
          <t>PO-2023-3233</t>
        </is>
      </c>
      <c r="B3235" s="26" t="n">
        <v>44784</v>
      </c>
      <c r="C3235" s="12" t="inlineStr">
        <is>
          <t>VS26</t>
        </is>
      </c>
      <c r="D3235" s="12" t="inlineStr">
        <is>
          <t>HR Coils</t>
        </is>
      </c>
      <c r="E3235" s="12" t="inlineStr">
        <is>
          <t>N</t>
        </is>
      </c>
      <c r="F3235" s="12" t="n">
        <v>28.97</v>
      </c>
      <c r="G3235" s="17" t="n">
        <v>99007.13</v>
      </c>
      <c r="H3235" s="26" t="n">
        <v>44797</v>
      </c>
      <c r="I3235" s="26" t="n">
        <v>44799</v>
      </c>
      <c r="J3235" s="12" t="n">
        <v>28.77</v>
      </c>
      <c r="K3235" s="17" t="n">
        <v>2868236.56</v>
      </c>
      <c r="L3235" s="12" t="n">
        <v>0</v>
      </c>
      <c r="M3235" s="12" t="n">
        <v>21</v>
      </c>
      <c r="N3235" s="27">
        <f>F3235-J3235</f>
        <v/>
      </c>
      <c r="O3235" s="16">
        <f>I3235-H3235</f>
        <v/>
      </c>
      <c r="P3235" s="14">
        <f>F3235*G3235</f>
        <v/>
      </c>
      <c r="Q3235" s="14">
        <f>J3235*G3235</f>
        <v/>
      </c>
      <c r="R3235" s="14">
        <f>K3235-Q3235</f>
        <v/>
      </c>
      <c r="S3235" s="3">
        <f>P3235*Assumptions!$B$3/100</f>
        <v/>
      </c>
      <c r="T3235" s="14">
        <f>R3235-S3235</f>
        <v/>
      </c>
      <c r="U3235" s="14">
        <f>L3235*G3235</f>
        <v/>
      </c>
    </row>
    <row r="3236">
      <c r="A3236" s="12" t="inlineStr">
        <is>
          <t>PO-2023-3234</t>
        </is>
      </c>
      <c r="B3236" s="26" t="n">
        <v>44945</v>
      </c>
      <c r="C3236" s="12" t="inlineStr">
        <is>
          <t>VS25</t>
        </is>
      </c>
      <c r="D3236" s="12" t="inlineStr">
        <is>
          <t>SS Pipes</t>
        </is>
      </c>
      <c r="E3236" s="12" t="inlineStr">
        <is>
          <t>N</t>
        </is>
      </c>
      <c r="F3236" s="12" t="n">
        <v>16.38</v>
      </c>
      <c r="G3236" s="17" t="n">
        <v>65763.66</v>
      </c>
      <c r="H3236" s="26" t="n">
        <v>44955</v>
      </c>
      <c r="I3236" s="26" t="n">
        <v>44957</v>
      </c>
      <c r="J3236" s="12" t="n">
        <v>16.34</v>
      </c>
      <c r="K3236" s="17" t="n">
        <v>1077208.75</v>
      </c>
      <c r="L3236" s="12" t="n">
        <v>0</v>
      </c>
      <c r="M3236" s="12" t="n">
        <v>22</v>
      </c>
      <c r="N3236" s="27">
        <f>F3236-J3236</f>
        <v/>
      </c>
      <c r="O3236" s="16">
        <f>I3236-H3236</f>
        <v/>
      </c>
      <c r="P3236" s="14">
        <f>F3236*G3236</f>
        <v/>
      </c>
      <c r="Q3236" s="14">
        <f>J3236*G3236</f>
        <v/>
      </c>
      <c r="R3236" s="14">
        <f>K3236-Q3236</f>
        <v/>
      </c>
      <c r="S3236" s="3">
        <f>P3236*Assumptions!$B$3/100</f>
        <v/>
      </c>
      <c r="T3236" s="14">
        <f>R3236-S3236</f>
        <v/>
      </c>
      <c r="U3236" s="14">
        <f>L3236*G3236</f>
        <v/>
      </c>
    </row>
    <row r="3237">
      <c r="A3237" s="12" t="inlineStr">
        <is>
          <t>PO-2023-3235</t>
        </is>
      </c>
      <c r="B3237" s="26" t="n">
        <v>44289</v>
      </c>
      <c r="C3237" s="12" t="inlineStr">
        <is>
          <t>VS24</t>
        </is>
      </c>
      <c r="D3237" s="12" t="inlineStr">
        <is>
          <t>MS Flats</t>
        </is>
      </c>
      <c r="E3237" s="12" t="inlineStr">
        <is>
          <t>N</t>
        </is>
      </c>
      <c r="F3237" s="12" t="n">
        <v>13.32</v>
      </c>
      <c r="G3237" s="17" t="n">
        <v>50454.11</v>
      </c>
      <c r="H3237" s="26" t="n">
        <v>44294</v>
      </c>
      <c r="I3237" s="26" t="n">
        <v>44297</v>
      </c>
      <c r="J3237" s="12" t="n">
        <v>13.28</v>
      </c>
      <c r="K3237" s="17" t="n">
        <v>672048.75</v>
      </c>
      <c r="L3237" s="12" t="n">
        <v>0</v>
      </c>
      <c r="M3237" s="12" t="n">
        <v>21</v>
      </c>
      <c r="N3237" s="27">
        <f>F3237-J3237</f>
        <v/>
      </c>
      <c r="O3237" s="16">
        <f>I3237-H3237</f>
        <v/>
      </c>
      <c r="P3237" s="14">
        <f>F3237*G3237</f>
        <v/>
      </c>
      <c r="Q3237" s="14">
        <f>J3237*G3237</f>
        <v/>
      </c>
      <c r="R3237" s="14">
        <f>K3237-Q3237</f>
        <v/>
      </c>
      <c r="S3237" s="3">
        <f>P3237*Assumptions!$B$3/100</f>
        <v/>
      </c>
      <c r="T3237" s="14">
        <f>R3237-S3237</f>
        <v/>
      </c>
      <c r="U3237" s="14">
        <f>L3237*G3237</f>
        <v/>
      </c>
    </row>
    <row r="3238">
      <c r="A3238" s="12" t="inlineStr">
        <is>
          <t>PO-2023-3236</t>
        </is>
      </c>
      <c r="B3238" s="26" t="n">
        <v>44334</v>
      </c>
      <c r="C3238" s="12" t="inlineStr">
        <is>
          <t>VS24</t>
        </is>
      </c>
      <c r="D3238" s="12" t="inlineStr">
        <is>
          <t>SS Pipes</t>
        </is>
      </c>
      <c r="E3238" s="12" t="inlineStr">
        <is>
          <t>N</t>
        </is>
      </c>
      <c r="F3238" s="12" t="n">
        <v>21.98</v>
      </c>
      <c r="G3238" s="17" t="n">
        <v>99028.49000000001</v>
      </c>
      <c r="H3238" s="26" t="n">
        <v>44338</v>
      </c>
      <c r="I3238" s="26" t="n">
        <v>44339</v>
      </c>
      <c r="J3238" s="12" t="n">
        <v>21.98</v>
      </c>
      <c r="K3238" s="17" t="n">
        <v>2176646.21</v>
      </c>
      <c r="L3238" s="12" t="n">
        <v>0</v>
      </c>
      <c r="M3238" s="12" t="n">
        <v>5</v>
      </c>
      <c r="N3238" s="27">
        <f>F3238-J3238</f>
        <v/>
      </c>
      <c r="O3238" s="16">
        <f>I3238-H3238</f>
        <v/>
      </c>
      <c r="P3238" s="14">
        <f>F3238*G3238</f>
        <v/>
      </c>
      <c r="Q3238" s="14">
        <f>J3238*G3238</f>
        <v/>
      </c>
      <c r="R3238" s="14">
        <f>K3238-Q3238</f>
        <v/>
      </c>
      <c r="S3238" s="3">
        <f>P3238*Assumptions!$B$3/100</f>
        <v/>
      </c>
      <c r="T3238" s="14">
        <f>R3238-S3238</f>
        <v/>
      </c>
      <c r="U3238" s="14">
        <f>L3238*G3238</f>
        <v/>
      </c>
    </row>
    <row r="3239">
      <c r="A3239" s="12" t="inlineStr">
        <is>
          <t>PO-2023-3237</t>
        </is>
      </c>
      <c r="B3239" s="26" t="n">
        <v>44355</v>
      </c>
      <c r="C3239" s="12" t="inlineStr">
        <is>
          <t>VS22</t>
        </is>
      </c>
      <c r="D3239" s="12" t="inlineStr">
        <is>
          <t>MS Flats</t>
        </is>
      </c>
      <c r="E3239" s="12" t="inlineStr">
        <is>
          <t>Y</t>
        </is>
      </c>
      <c r="F3239" s="12" t="n">
        <v>21.98</v>
      </c>
      <c r="G3239" s="17" t="n">
        <v>46268.02</v>
      </c>
      <c r="H3239" s="26" t="n">
        <v>44368</v>
      </c>
      <c r="I3239" s="26" t="n">
        <v>44369</v>
      </c>
      <c r="J3239" s="12" t="n">
        <v>21.92</v>
      </c>
      <c r="K3239" s="17" t="n">
        <v>1016971.08</v>
      </c>
      <c r="L3239" s="12" t="n">
        <v>0</v>
      </c>
      <c r="M3239" s="12" t="n">
        <v>0</v>
      </c>
      <c r="N3239" s="27">
        <f>F3239-J3239</f>
        <v/>
      </c>
      <c r="O3239" s="16">
        <f>I3239-H3239</f>
        <v/>
      </c>
      <c r="P3239" s="14">
        <f>F3239*G3239</f>
        <v/>
      </c>
      <c r="Q3239" s="14">
        <f>J3239*G3239</f>
        <v/>
      </c>
      <c r="R3239" s="14">
        <f>K3239-Q3239</f>
        <v/>
      </c>
      <c r="S3239" s="3">
        <f>P3239*Assumptions!$B$3/100</f>
        <v/>
      </c>
      <c r="T3239" s="14">
        <f>R3239-S3239</f>
        <v/>
      </c>
      <c r="U3239" s="14">
        <f>L3239*G3239</f>
        <v/>
      </c>
    </row>
    <row r="3240">
      <c r="A3240" s="12" t="inlineStr">
        <is>
          <t>PO-2023-3238</t>
        </is>
      </c>
      <c r="B3240" s="26" t="n">
        <v>44384</v>
      </c>
      <c r="C3240" s="12" t="inlineStr">
        <is>
          <t>VS25</t>
        </is>
      </c>
      <c r="D3240" s="12" t="inlineStr">
        <is>
          <t>GI Sheets</t>
        </is>
      </c>
      <c r="E3240" s="12" t="inlineStr">
        <is>
          <t>N</t>
        </is>
      </c>
      <c r="F3240" s="12" t="n">
        <v>29.96</v>
      </c>
      <c r="G3240" s="17" t="n">
        <v>78814.45</v>
      </c>
      <c r="H3240" s="26" t="n">
        <v>44394</v>
      </c>
      <c r="I3240" s="26" t="n">
        <v>44394</v>
      </c>
      <c r="J3240" s="12" t="n">
        <v>29.87</v>
      </c>
      <c r="K3240" s="17" t="n">
        <v>2361280.92</v>
      </c>
      <c r="L3240" s="12" t="n">
        <v>0</v>
      </c>
      <c r="M3240" s="12" t="n">
        <v>24</v>
      </c>
      <c r="N3240" s="27">
        <f>F3240-J3240</f>
        <v/>
      </c>
      <c r="O3240" s="16">
        <f>I3240-H3240</f>
        <v/>
      </c>
      <c r="P3240" s="14">
        <f>F3240*G3240</f>
        <v/>
      </c>
      <c r="Q3240" s="14">
        <f>J3240*G3240</f>
        <v/>
      </c>
      <c r="R3240" s="14">
        <f>K3240-Q3240</f>
        <v/>
      </c>
      <c r="S3240" s="3">
        <f>P3240*Assumptions!$B$3/100</f>
        <v/>
      </c>
      <c r="T3240" s="14">
        <f>R3240-S3240</f>
        <v/>
      </c>
      <c r="U3240" s="14">
        <f>L3240*G3240</f>
        <v/>
      </c>
    </row>
    <row r="3241">
      <c r="A3241" s="12" t="inlineStr">
        <is>
          <t>PO-2023-3239</t>
        </is>
      </c>
      <c r="B3241" s="26" t="n">
        <v>44929</v>
      </c>
      <c r="C3241" s="12" t="inlineStr">
        <is>
          <t>VS12</t>
        </is>
      </c>
      <c r="D3241" s="12" t="inlineStr">
        <is>
          <t>GI Pipes</t>
        </is>
      </c>
      <c r="E3241" s="12" t="inlineStr">
        <is>
          <t>N</t>
        </is>
      </c>
      <c r="F3241" s="12" t="n">
        <v>24.38</v>
      </c>
      <c r="G3241" s="17" t="n">
        <v>46841.18</v>
      </c>
      <c r="H3241" s="26" t="n">
        <v>44934</v>
      </c>
      <c r="I3241" s="26" t="n">
        <v>44936</v>
      </c>
      <c r="J3241" s="12" t="n">
        <v>23.72</v>
      </c>
      <c r="K3241" s="17" t="n">
        <v>1141987.97</v>
      </c>
      <c r="L3241" s="12" t="n">
        <v>0.12</v>
      </c>
      <c r="M3241" s="12" t="n">
        <v>23</v>
      </c>
      <c r="N3241" s="27">
        <f>F3241-J3241</f>
        <v/>
      </c>
      <c r="O3241" s="16">
        <f>I3241-H3241</f>
        <v/>
      </c>
      <c r="P3241" s="14">
        <f>F3241*G3241</f>
        <v/>
      </c>
      <c r="Q3241" s="14">
        <f>J3241*G3241</f>
        <v/>
      </c>
      <c r="R3241" s="14">
        <f>K3241-Q3241</f>
        <v/>
      </c>
      <c r="S3241" s="3">
        <f>P3241*Assumptions!$B$3/100</f>
        <v/>
      </c>
      <c r="T3241" s="14">
        <f>R3241-S3241</f>
        <v/>
      </c>
      <c r="U3241" s="14">
        <f>L3241*G3241</f>
        <v/>
      </c>
    </row>
    <row r="3242">
      <c r="A3242" s="12" t="inlineStr">
        <is>
          <t>PO-2023-3240</t>
        </is>
      </c>
      <c r="B3242" s="26" t="n">
        <v>44234</v>
      </c>
      <c r="C3242" s="12" t="inlineStr">
        <is>
          <t>VS17</t>
        </is>
      </c>
      <c r="D3242" s="12" t="inlineStr">
        <is>
          <t>MS Sheets</t>
        </is>
      </c>
      <c r="E3242" s="12" t="inlineStr">
        <is>
          <t>N</t>
        </is>
      </c>
      <c r="F3242" s="12" t="n">
        <v>22.3</v>
      </c>
      <c r="G3242" s="17" t="n">
        <v>56872.18</v>
      </c>
      <c r="H3242" s="26" t="n">
        <v>44237</v>
      </c>
      <c r="I3242" s="26" t="n">
        <v>44239</v>
      </c>
      <c r="J3242" s="12" t="n">
        <v>22.24</v>
      </c>
      <c r="K3242" s="17" t="n">
        <v>1268249.61</v>
      </c>
      <c r="L3242" s="12" t="n">
        <v>0</v>
      </c>
      <c r="M3242" s="12" t="n">
        <v>22</v>
      </c>
      <c r="N3242" s="27">
        <f>F3242-J3242</f>
        <v/>
      </c>
      <c r="O3242" s="16">
        <f>I3242-H3242</f>
        <v/>
      </c>
      <c r="P3242" s="14">
        <f>F3242*G3242</f>
        <v/>
      </c>
      <c r="Q3242" s="14">
        <f>J3242*G3242</f>
        <v/>
      </c>
      <c r="R3242" s="14">
        <f>K3242-Q3242</f>
        <v/>
      </c>
      <c r="S3242" s="3">
        <f>P3242*Assumptions!$B$3/100</f>
        <v/>
      </c>
      <c r="T3242" s="14">
        <f>R3242-S3242</f>
        <v/>
      </c>
      <c r="U3242" s="14">
        <f>L3242*G3242</f>
        <v/>
      </c>
    </row>
    <row r="3243">
      <c r="A3243" s="12" t="inlineStr">
        <is>
          <t>PO-2023-3241</t>
        </is>
      </c>
      <c r="B3243" s="26" t="n">
        <v>44342</v>
      </c>
      <c r="C3243" s="12" t="inlineStr">
        <is>
          <t>VS32</t>
        </is>
      </c>
      <c r="D3243" s="12" t="inlineStr">
        <is>
          <t>ERW Pipes</t>
        </is>
      </c>
      <c r="E3243" s="12" t="inlineStr">
        <is>
          <t>N</t>
        </is>
      </c>
      <c r="F3243" s="12" t="n">
        <v>7.66</v>
      </c>
      <c r="G3243" s="17" t="n">
        <v>94622.42999999999</v>
      </c>
      <c r="H3243" s="26" t="n">
        <v>44347</v>
      </c>
      <c r="I3243" s="26" t="n">
        <v>44348</v>
      </c>
      <c r="J3243" s="12" t="n">
        <v>7.64</v>
      </c>
      <c r="K3243" s="17" t="n">
        <v>724807.8100000001</v>
      </c>
      <c r="L3243" s="12" t="n">
        <v>0</v>
      </c>
      <c r="M3243" s="12" t="n">
        <v>25</v>
      </c>
      <c r="N3243" s="27">
        <f>F3243-J3243</f>
        <v/>
      </c>
      <c r="O3243" s="16">
        <f>I3243-H3243</f>
        <v/>
      </c>
      <c r="P3243" s="14">
        <f>F3243*G3243</f>
        <v/>
      </c>
      <c r="Q3243" s="14">
        <f>J3243*G3243</f>
        <v/>
      </c>
      <c r="R3243" s="14">
        <f>K3243-Q3243</f>
        <v/>
      </c>
      <c r="S3243" s="3">
        <f>P3243*Assumptions!$B$3/100</f>
        <v/>
      </c>
      <c r="T3243" s="14">
        <f>R3243-S3243</f>
        <v/>
      </c>
      <c r="U3243" s="14">
        <f>L3243*G3243</f>
        <v/>
      </c>
    </row>
    <row r="3244">
      <c r="A3244" s="12" t="inlineStr">
        <is>
          <t>PO-2023-3242</t>
        </is>
      </c>
      <c r="B3244" s="26" t="n">
        <v>44826</v>
      </c>
      <c r="C3244" s="12" t="inlineStr">
        <is>
          <t>VS05</t>
        </is>
      </c>
      <c r="D3244" s="12" t="inlineStr">
        <is>
          <t>GI Sheets</t>
        </is>
      </c>
      <c r="E3244" s="12" t="inlineStr">
        <is>
          <t>N</t>
        </is>
      </c>
      <c r="F3244" s="12" t="n">
        <v>29.01</v>
      </c>
      <c r="G3244" s="17" t="n">
        <v>101392.33</v>
      </c>
      <c r="H3244" s="26" t="n">
        <v>44835</v>
      </c>
      <c r="I3244" s="26" t="n">
        <v>44837</v>
      </c>
      <c r="J3244" s="12" t="n">
        <v>28.74</v>
      </c>
      <c r="K3244" s="17" t="n">
        <v>2941391.49</v>
      </c>
      <c r="L3244" s="12" t="n">
        <v>0</v>
      </c>
      <c r="M3244" s="12" t="n">
        <v>24</v>
      </c>
      <c r="N3244" s="27">
        <f>F3244-J3244</f>
        <v/>
      </c>
      <c r="O3244" s="16">
        <f>I3244-H3244</f>
        <v/>
      </c>
      <c r="P3244" s="14">
        <f>F3244*G3244</f>
        <v/>
      </c>
      <c r="Q3244" s="14">
        <f>J3244*G3244</f>
        <v/>
      </c>
      <c r="R3244" s="14">
        <f>K3244-Q3244</f>
        <v/>
      </c>
      <c r="S3244" s="3">
        <f>P3244*Assumptions!$B$3/100</f>
        <v/>
      </c>
      <c r="T3244" s="14">
        <f>R3244-S3244</f>
        <v/>
      </c>
      <c r="U3244" s="14">
        <f>L3244*G3244</f>
        <v/>
      </c>
    </row>
    <row r="3245">
      <c r="A3245" s="12" t="inlineStr">
        <is>
          <t>PO-2023-3243</t>
        </is>
      </c>
      <c r="B3245" s="26" t="n">
        <v>45023</v>
      </c>
      <c r="C3245" s="12" t="inlineStr">
        <is>
          <t>VS30</t>
        </is>
      </c>
      <c r="D3245" s="12" t="inlineStr">
        <is>
          <t>Spring Steel</t>
        </is>
      </c>
      <c r="E3245" s="12" t="inlineStr">
        <is>
          <t>N</t>
        </is>
      </c>
      <c r="F3245" s="12" t="n">
        <v>28.76</v>
      </c>
      <c r="G3245" s="17" t="n">
        <v>79042.74000000001</v>
      </c>
      <c r="H3245" s="26" t="n">
        <v>45026</v>
      </c>
      <c r="I3245" s="26" t="n">
        <v>45029</v>
      </c>
      <c r="J3245" s="12" t="n">
        <v>28.55</v>
      </c>
      <c r="K3245" s="17" t="n">
        <v>2273269.2</v>
      </c>
      <c r="L3245" s="12" t="n">
        <v>0</v>
      </c>
      <c r="M3245" s="12" t="n">
        <v>20</v>
      </c>
      <c r="N3245" s="27">
        <f>F3245-J3245</f>
        <v/>
      </c>
      <c r="O3245" s="16">
        <f>I3245-H3245</f>
        <v/>
      </c>
      <c r="P3245" s="14">
        <f>F3245*G3245</f>
        <v/>
      </c>
      <c r="Q3245" s="14">
        <f>J3245*G3245</f>
        <v/>
      </c>
      <c r="R3245" s="14">
        <f>K3245-Q3245</f>
        <v/>
      </c>
      <c r="S3245" s="3">
        <f>P3245*Assumptions!$B$3/100</f>
        <v/>
      </c>
      <c r="T3245" s="14">
        <f>R3245-S3245</f>
        <v/>
      </c>
      <c r="U3245" s="14">
        <f>L3245*G3245</f>
        <v/>
      </c>
    </row>
    <row r="3246">
      <c r="A3246" s="12" t="inlineStr">
        <is>
          <t>PO-2023-3244</t>
        </is>
      </c>
      <c r="B3246" s="26" t="n">
        <v>45268</v>
      </c>
      <c r="C3246" s="12" t="inlineStr">
        <is>
          <t>VS31</t>
        </is>
      </c>
      <c r="D3246" s="12" t="inlineStr">
        <is>
          <t>GI Sheets</t>
        </is>
      </c>
      <c r="E3246" s="12" t="inlineStr">
        <is>
          <t>Y</t>
        </is>
      </c>
      <c r="F3246" s="12" t="n">
        <v>4.64</v>
      </c>
      <c r="G3246" s="17" t="n">
        <v>76977.17999999999</v>
      </c>
      <c r="H3246" s="26" t="n">
        <v>45278</v>
      </c>
      <c r="I3246" s="26" t="n">
        <v>45281</v>
      </c>
      <c r="J3246" s="12" t="n">
        <v>4.64</v>
      </c>
      <c r="K3246" s="17" t="n">
        <v>357174.12</v>
      </c>
      <c r="L3246" s="12" t="n">
        <v>0</v>
      </c>
      <c r="M3246" s="12" t="n">
        <v>0</v>
      </c>
      <c r="N3246" s="27">
        <f>F3246-J3246</f>
        <v/>
      </c>
      <c r="O3246" s="16">
        <f>I3246-H3246</f>
        <v/>
      </c>
      <c r="P3246" s="14">
        <f>F3246*G3246</f>
        <v/>
      </c>
      <c r="Q3246" s="14">
        <f>J3246*G3246</f>
        <v/>
      </c>
      <c r="R3246" s="14">
        <f>K3246-Q3246</f>
        <v/>
      </c>
      <c r="S3246" s="3">
        <f>P3246*Assumptions!$B$3/100</f>
        <v/>
      </c>
      <c r="T3246" s="14">
        <f>R3246-S3246</f>
        <v/>
      </c>
      <c r="U3246" s="14">
        <f>L3246*G3246</f>
        <v/>
      </c>
    </row>
    <row r="3247">
      <c r="A3247" s="12" t="inlineStr">
        <is>
          <t>PO-2023-3245</t>
        </is>
      </c>
      <c r="B3247" s="26" t="n">
        <v>44670</v>
      </c>
      <c r="C3247" s="12" t="inlineStr">
        <is>
          <t>VS06</t>
        </is>
      </c>
      <c r="D3247" s="12" t="inlineStr">
        <is>
          <t>MS Sheets</t>
        </is>
      </c>
      <c r="E3247" s="12" t="inlineStr">
        <is>
          <t>N</t>
        </is>
      </c>
      <c r="F3247" s="12" t="n">
        <v>7.46</v>
      </c>
      <c r="G3247" s="17" t="n">
        <v>93902.57000000001</v>
      </c>
      <c r="H3247" s="26" t="n">
        <v>44683</v>
      </c>
      <c r="I3247" s="26" t="n">
        <v>44685</v>
      </c>
      <c r="J3247" s="12" t="n">
        <v>7.39</v>
      </c>
      <c r="K3247" s="17" t="n">
        <v>700513.17</v>
      </c>
      <c r="L3247" s="12" t="n">
        <v>0</v>
      </c>
      <c r="M3247" s="12" t="n">
        <v>5</v>
      </c>
      <c r="N3247" s="27">
        <f>F3247-J3247</f>
        <v/>
      </c>
      <c r="O3247" s="16">
        <f>I3247-H3247</f>
        <v/>
      </c>
      <c r="P3247" s="14">
        <f>F3247*G3247</f>
        <v/>
      </c>
      <c r="Q3247" s="14">
        <f>J3247*G3247</f>
        <v/>
      </c>
      <c r="R3247" s="14">
        <f>K3247-Q3247</f>
        <v/>
      </c>
      <c r="S3247" s="3">
        <f>P3247*Assumptions!$B$3/100</f>
        <v/>
      </c>
      <c r="T3247" s="14">
        <f>R3247-S3247</f>
        <v/>
      </c>
      <c r="U3247" s="14">
        <f>L3247*G3247</f>
        <v/>
      </c>
    </row>
    <row r="3248">
      <c r="A3248" s="12" t="inlineStr">
        <is>
          <t>PO-2023-3246</t>
        </is>
      </c>
      <c r="B3248" s="26" t="n">
        <v>44254</v>
      </c>
      <c r="C3248" s="12" t="inlineStr">
        <is>
          <t>VS30</t>
        </is>
      </c>
      <c r="D3248" s="12" t="inlineStr">
        <is>
          <t>MS Flats</t>
        </is>
      </c>
      <c r="E3248" s="12" t="inlineStr">
        <is>
          <t>N</t>
        </is>
      </c>
      <c r="F3248" s="12" t="n">
        <v>35.08</v>
      </c>
      <c r="G3248" s="17" t="n">
        <v>117287.6</v>
      </c>
      <c r="H3248" s="26" t="n">
        <v>44265</v>
      </c>
      <c r="I3248" s="26" t="n">
        <v>44265</v>
      </c>
      <c r="J3248" s="12" t="n">
        <v>35.07</v>
      </c>
      <c r="K3248" s="17" t="n">
        <v>4114449.01</v>
      </c>
      <c r="L3248" s="12" t="n">
        <v>0</v>
      </c>
      <c r="M3248" s="12" t="n">
        <v>25</v>
      </c>
      <c r="N3248" s="27">
        <f>F3248-J3248</f>
        <v/>
      </c>
      <c r="O3248" s="16">
        <f>I3248-H3248</f>
        <v/>
      </c>
      <c r="P3248" s="14">
        <f>F3248*G3248</f>
        <v/>
      </c>
      <c r="Q3248" s="14">
        <f>J3248*G3248</f>
        <v/>
      </c>
      <c r="R3248" s="14">
        <f>K3248-Q3248</f>
        <v/>
      </c>
      <c r="S3248" s="3">
        <f>P3248*Assumptions!$B$3/100</f>
        <v/>
      </c>
      <c r="T3248" s="14">
        <f>R3248-S3248</f>
        <v/>
      </c>
      <c r="U3248" s="14">
        <f>L3248*G3248</f>
        <v/>
      </c>
    </row>
    <row r="3249">
      <c r="A3249" s="12" t="inlineStr">
        <is>
          <t>PO-2023-3247</t>
        </is>
      </c>
      <c r="B3249" s="26" t="n">
        <v>45170</v>
      </c>
      <c r="C3249" s="12" t="inlineStr">
        <is>
          <t>VS27</t>
        </is>
      </c>
      <c r="D3249" s="12" t="inlineStr">
        <is>
          <t>Angles &amp; Channels</t>
        </is>
      </c>
      <c r="E3249" s="12" t="inlineStr">
        <is>
          <t>N</t>
        </is>
      </c>
      <c r="F3249" s="12" t="n">
        <v>12.62</v>
      </c>
      <c r="G3249" s="17" t="n">
        <v>92805.17999999999</v>
      </c>
      <c r="H3249" s="26" t="n">
        <v>45176</v>
      </c>
      <c r="I3249" s="26" t="n">
        <v>45177</v>
      </c>
      <c r="J3249" s="12" t="n">
        <v>12.56</v>
      </c>
      <c r="K3249" s="17" t="n">
        <v>1171201.37</v>
      </c>
      <c r="L3249" s="12" t="n">
        <v>0</v>
      </c>
      <c r="M3249" s="12" t="n">
        <v>21</v>
      </c>
      <c r="N3249" s="27">
        <f>F3249-J3249</f>
        <v/>
      </c>
      <c r="O3249" s="16">
        <f>I3249-H3249</f>
        <v/>
      </c>
      <c r="P3249" s="14">
        <f>F3249*G3249</f>
        <v/>
      </c>
      <c r="Q3249" s="14">
        <f>J3249*G3249</f>
        <v/>
      </c>
      <c r="R3249" s="14">
        <f>K3249-Q3249</f>
        <v/>
      </c>
      <c r="S3249" s="3">
        <f>P3249*Assumptions!$B$3/100</f>
        <v/>
      </c>
      <c r="T3249" s="14">
        <f>R3249-S3249</f>
        <v/>
      </c>
      <c r="U3249" s="14">
        <f>L3249*G3249</f>
        <v/>
      </c>
    </row>
    <row r="3250">
      <c r="A3250" s="12" t="inlineStr">
        <is>
          <t>PO-2023-3248</t>
        </is>
      </c>
      <c r="B3250" s="26" t="n">
        <v>44829</v>
      </c>
      <c r="C3250" s="12" t="inlineStr">
        <is>
          <t>VS13</t>
        </is>
      </c>
      <c r="D3250" s="12" t="inlineStr">
        <is>
          <t>ERW Pipes</t>
        </is>
      </c>
      <c r="E3250" s="12" t="inlineStr">
        <is>
          <t>N</t>
        </is>
      </c>
      <c r="F3250" s="12" t="n">
        <v>30.53</v>
      </c>
      <c r="G3250" s="17" t="n">
        <v>92247.39999999999</v>
      </c>
      <c r="H3250" s="26" t="n">
        <v>44838</v>
      </c>
      <c r="I3250" s="26" t="n">
        <v>44838</v>
      </c>
      <c r="J3250" s="12" t="n">
        <v>30.49</v>
      </c>
      <c r="K3250" s="17" t="n">
        <v>2816313.12</v>
      </c>
      <c r="L3250" s="12" t="n">
        <v>0</v>
      </c>
      <c r="M3250" s="12" t="n">
        <v>0</v>
      </c>
      <c r="N3250" s="27">
        <f>F3250-J3250</f>
        <v/>
      </c>
      <c r="O3250" s="16">
        <f>I3250-H3250</f>
        <v/>
      </c>
      <c r="P3250" s="14">
        <f>F3250*G3250</f>
        <v/>
      </c>
      <c r="Q3250" s="14">
        <f>J3250*G3250</f>
        <v/>
      </c>
      <c r="R3250" s="14">
        <f>K3250-Q3250</f>
        <v/>
      </c>
      <c r="S3250" s="3">
        <f>P3250*Assumptions!$B$3/100</f>
        <v/>
      </c>
      <c r="T3250" s="14">
        <f>R3250-S3250</f>
        <v/>
      </c>
      <c r="U3250" s="14">
        <f>L3250*G3250</f>
        <v/>
      </c>
    </row>
    <row r="3251">
      <c r="A3251" s="12" t="inlineStr">
        <is>
          <t>PO-2023-3249</t>
        </is>
      </c>
      <c r="B3251" s="26" t="n">
        <v>44870</v>
      </c>
      <c r="C3251" s="12" t="inlineStr">
        <is>
          <t>VS20</t>
        </is>
      </c>
      <c r="D3251" s="12" t="inlineStr">
        <is>
          <t>GI Sheets</t>
        </is>
      </c>
      <c r="E3251" s="12" t="inlineStr">
        <is>
          <t>N</t>
        </is>
      </c>
      <c r="F3251" s="12" t="n">
        <v>2.51</v>
      </c>
      <c r="G3251" s="17" t="n">
        <v>83437.06</v>
      </c>
      <c r="H3251" s="26" t="n">
        <v>44884</v>
      </c>
      <c r="I3251" s="26" t="n">
        <v>44886</v>
      </c>
      <c r="J3251" s="12" t="n">
        <v>2.5</v>
      </c>
      <c r="K3251" s="17" t="n">
        <v>209427.02</v>
      </c>
      <c r="L3251" s="12" t="n">
        <v>0</v>
      </c>
      <c r="M3251" s="12" t="n">
        <v>0</v>
      </c>
      <c r="N3251" s="27">
        <f>F3251-J3251</f>
        <v/>
      </c>
      <c r="O3251" s="16">
        <f>I3251-H3251</f>
        <v/>
      </c>
      <c r="P3251" s="14">
        <f>F3251*G3251</f>
        <v/>
      </c>
      <c r="Q3251" s="14">
        <f>J3251*G3251</f>
        <v/>
      </c>
      <c r="R3251" s="14">
        <f>K3251-Q3251</f>
        <v/>
      </c>
      <c r="S3251" s="3">
        <f>P3251*Assumptions!$B$3/100</f>
        <v/>
      </c>
      <c r="T3251" s="14">
        <f>R3251-S3251</f>
        <v/>
      </c>
      <c r="U3251" s="14">
        <f>L3251*G3251</f>
        <v/>
      </c>
    </row>
    <row r="3252">
      <c r="A3252" s="12" t="inlineStr">
        <is>
          <t>PO-2023-3250</t>
        </is>
      </c>
      <c r="B3252" s="26" t="n">
        <v>44882</v>
      </c>
      <c r="C3252" s="12" t="inlineStr">
        <is>
          <t>VS12</t>
        </is>
      </c>
      <c r="D3252" s="12" t="inlineStr">
        <is>
          <t>HR Coils</t>
        </is>
      </c>
      <c r="E3252" s="12" t="inlineStr">
        <is>
          <t>Y</t>
        </is>
      </c>
      <c r="F3252" s="12" t="n">
        <v>7.11</v>
      </c>
      <c r="G3252" s="17" t="n">
        <v>50363.09</v>
      </c>
      <c r="H3252" s="26" t="n">
        <v>44886</v>
      </c>
      <c r="I3252" s="26" t="n">
        <v>44889</v>
      </c>
      <c r="J3252" s="12" t="n">
        <v>6.92</v>
      </c>
      <c r="K3252" s="17" t="n">
        <v>358081.57</v>
      </c>
      <c r="L3252" s="12" t="n">
        <v>0.11</v>
      </c>
      <c r="M3252" s="12" t="n">
        <v>0</v>
      </c>
      <c r="N3252" s="27">
        <f>F3252-J3252</f>
        <v/>
      </c>
      <c r="O3252" s="16">
        <f>I3252-H3252</f>
        <v/>
      </c>
      <c r="P3252" s="14">
        <f>F3252*G3252</f>
        <v/>
      </c>
      <c r="Q3252" s="14">
        <f>J3252*G3252</f>
        <v/>
      </c>
      <c r="R3252" s="14">
        <f>K3252-Q3252</f>
        <v/>
      </c>
      <c r="S3252" s="3">
        <f>P3252*Assumptions!$B$3/100</f>
        <v/>
      </c>
      <c r="T3252" s="14">
        <f>R3252-S3252</f>
        <v/>
      </c>
      <c r="U3252" s="14">
        <f>L3252*G3252</f>
        <v/>
      </c>
    </row>
    <row r="3253">
      <c r="A3253" s="12" t="inlineStr">
        <is>
          <t>PO-2023-3251</t>
        </is>
      </c>
      <c r="B3253" s="26" t="n">
        <v>44338</v>
      </c>
      <c r="C3253" s="12" t="inlineStr">
        <is>
          <t>VS23</t>
        </is>
      </c>
      <c r="D3253" s="12" t="inlineStr">
        <is>
          <t>MS Pipes</t>
        </is>
      </c>
      <c r="E3253" s="12" t="inlineStr">
        <is>
          <t>N</t>
        </is>
      </c>
      <c r="F3253" s="12" t="n">
        <v>38.96</v>
      </c>
      <c r="G3253" s="17" t="n">
        <v>81471.75</v>
      </c>
      <c r="H3253" s="26" t="n">
        <v>44347</v>
      </c>
      <c r="I3253" s="26" t="n">
        <v>44347</v>
      </c>
      <c r="J3253" s="12" t="n">
        <v>38.67</v>
      </c>
      <c r="K3253" s="17" t="n">
        <v>3174139.38</v>
      </c>
      <c r="L3253" s="12" t="n">
        <v>0</v>
      </c>
      <c r="M3253" s="12" t="n">
        <v>15</v>
      </c>
      <c r="N3253" s="27">
        <f>F3253-J3253</f>
        <v/>
      </c>
      <c r="O3253" s="16">
        <f>I3253-H3253</f>
        <v/>
      </c>
      <c r="P3253" s="14">
        <f>F3253*G3253</f>
        <v/>
      </c>
      <c r="Q3253" s="14">
        <f>J3253*G3253</f>
        <v/>
      </c>
      <c r="R3253" s="14">
        <f>K3253-Q3253</f>
        <v/>
      </c>
      <c r="S3253" s="3">
        <f>P3253*Assumptions!$B$3/100</f>
        <v/>
      </c>
      <c r="T3253" s="14">
        <f>R3253-S3253</f>
        <v/>
      </c>
      <c r="U3253" s="14">
        <f>L3253*G3253</f>
        <v/>
      </c>
    </row>
    <row r="3254">
      <c r="A3254" s="12" t="inlineStr">
        <is>
          <t>PO-2023-3252</t>
        </is>
      </c>
      <c r="B3254" s="26" t="n">
        <v>44754</v>
      </c>
      <c r="C3254" s="12" t="inlineStr">
        <is>
          <t>VS19</t>
        </is>
      </c>
      <c r="D3254" s="12" t="inlineStr">
        <is>
          <t>Fasteners &amp; Fittings</t>
        </is>
      </c>
      <c r="E3254" s="12" t="inlineStr">
        <is>
          <t>N</t>
        </is>
      </c>
      <c r="F3254" s="12" t="n">
        <v>40.18</v>
      </c>
      <c r="G3254" s="17" t="n">
        <v>68959.21000000001</v>
      </c>
      <c r="H3254" s="26" t="n">
        <v>44757</v>
      </c>
      <c r="I3254" s="26" t="n">
        <v>44764</v>
      </c>
      <c r="J3254" s="12" t="n">
        <v>39.07</v>
      </c>
      <c r="K3254" s="17" t="n">
        <v>2770781.06</v>
      </c>
      <c r="L3254" s="12" t="n">
        <v>0.67</v>
      </c>
      <c r="M3254" s="12" t="n">
        <v>8</v>
      </c>
      <c r="N3254" s="27">
        <f>F3254-J3254</f>
        <v/>
      </c>
      <c r="O3254" s="16">
        <f>I3254-H3254</f>
        <v/>
      </c>
      <c r="P3254" s="14">
        <f>F3254*G3254</f>
        <v/>
      </c>
      <c r="Q3254" s="14">
        <f>J3254*G3254</f>
        <v/>
      </c>
      <c r="R3254" s="14">
        <f>K3254-Q3254</f>
        <v/>
      </c>
      <c r="S3254" s="3">
        <f>P3254*Assumptions!$B$3/100</f>
        <v/>
      </c>
      <c r="T3254" s="14">
        <f>R3254-S3254</f>
        <v/>
      </c>
      <c r="U3254" s="14">
        <f>L3254*G3254</f>
        <v/>
      </c>
    </row>
    <row r="3255">
      <c r="A3255" s="12" t="inlineStr">
        <is>
          <t>PO-2023-3253</t>
        </is>
      </c>
      <c r="B3255" s="26" t="n">
        <v>44299</v>
      </c>
      <c r="C3255" s="12" t="inlineStr">
        <is>
          <t>VS01</t>
        </is>
      </c>
      <c r="D3255" s="12" t="inlineStr">
        <is>
          <t>Square/Rect Tubes</t>
        </is>
      </c>
      <c r="E3255" s="12" t="inlineStr">
        <is>
          <t>N</t>
        </is>
      </c>
      <c r="F3255" s="12" t="n">
        <v>21.62</v>
      </c>
      <c r="G3255" s="17" t="n">
        <v>87094.67999999999</v>
      </c>
      <c r="H3255" s="26" t="n">
        <v>44308</v>
      </c>
      <c r="I3255" s="26" t="n">
        <v>44309</v>
      </c>
      <c r="J3255" s="12" t="n">
        <v>21.59</v>
      </c>
      <c r="K3255" s="17" t="n">
        <v>1882986.98</v>
      </c>
      <c r="L3255" s="12" t="n">
        <v>0</v>
      </c>
      <c r="M3255" s="12" t="n">
        <v>0</v>
      </c>
      <c r="N3255" s="27">
        <f>F3255-J3255</f>
        <v/>
      </c>
      <c r="O3255" s="16">
        <f>I3255-H3255</f>
        <v/>
      </c>
      <c r="P3255" s="14">
        <f>F3255*G3255</f>
        <v/>
      </c>
      <c r="Q3255" s="14">
        <f>J3255*G3255</f>
        <v/>
      </c>
      <c r="R3255" s="14">
        <f>K3255-Q3255</f>
        <v/>
      </c>
      <c r="S3255" s="3">
        <f>P3255*Assumptions!$B$3/100</f>
        <v/>
      </c>
      <c r="T3255" s="14">
        <f>R3255-S3255</f>
        <v/>
      </c>
      <c r="U3255" s="14">
        <f>L3255*G3255</f>
        <v/>
      </c>
    </row>
    <row r="3256">
      <c r="A3256" s="12" t="inlineStr">
        <is>
          <t>PO-2023-3254</t>
        </is>
      </c>
      <c r="B3256" s="26" t="n">
        <v>44824</v>
      </c>
      <c r="C3256" s="12" t="inlineStr">
        <is>
          <t>VS20</t>
        </is>
      </c>
      <c r="D3256" s="12" t="inlineStr">
        <is>
          <t>Spring Steel</t>
        </is>
      </c>
      <c r="E3256" s="12" t="inlineStr">
        <is>
          <t>N</t>
        </is>
      </c>
      <c r="F3256" s="12" t="n">
        <v>33.6</v>
      </c>
      <c r="G3256" s="17" t="n">
        <v>77644.38</v>
      </c>
      <c r="H3256" s="26" t="n">
        <v>44833</v>
      </c>
      <c r="I3256" s="26" t="n">
        <v>44834</v>
      </c>
      <c r="J3256" s="12" t="n">
        <v>33.35</v>
      </c>
      <c r="K3256" s="17" t="n">
        <v>2608851.17</v>
      </c>
      <c r="L3256" s="12" t="n">
        <v>0</v>
      </c>
      <c r="M3256" s="12" t="n">
        <v>0</v>
      </c>
      <c r="N3256" s="27">
        <f>F3256-J3256</f>
        <v/>
      </c>
      <c r="O3256" s="16">
        <f>I3256-H3256</f>
        <v/>
      </c>
      <c r="P3256" s="14">
        <f>F3256*G3256</f>
        <v/>
      </c>
      <c r="Q3256" s="14">
        <f>J3256*G3256</f>
        <v/>
      </c>
      <c r="R3256" s="14">
        <f>K3256-Q3256</f>
        <v/>
      </c>
      <c r="S3256" s="3">
        <f>P3256*Assumptions!$B$3/100</f>
        <v/>
      </c>
      <c r="T3256" s="14">
        <f>R3256-S3256</f>
        <v/>
      </c>
      <c r="U3256" s="14">
        <f>L3256*G3256</f>
        <v/>
      </c>
    </row>
    <row r="3257">
      <c r="A3257" s="12" t="inlineStr">
        <is>
          <t>PO-2023-3255</t>
        </is>
      </c>
      <c r="B3257" s="26" t="n">
        <v>44806</v>
      </c>
      <c r="C3257" s="12" t="inlineStr">
        <is>
          <t>VS29</t>
        </is>
      </c>
      <c r="D3257" s="12" t="inlineStr">
        <is>
          <t>Fasteners &amp; Fittings</t>
        </is>
      </c>
      <c r="E3257" s="12" t="inlineStr">
        <is>
          <t>N</t>
        </is>
      </c>
      <c r="F3257" s="12" t="n">
        <v>46.24</v>
      </c>
      <c r="G3257" s="17" t="n">
        <v>111361.01</v>
      </c>
      <c r="H3257" s="26" t="n">
        <v>44810</v>
      </c>
      <c r="I3257" s="26" t="n">
        <v>44812</v>
      </c>
      <c r="J3257" s="12" t="n">
        <v>45.84</v>
      </c>
      <c r="K3257" s="17" t="n">
        <v>5149333.1</v>
      </c>
      <c r="L3257" s="12" t="n">
        <v>0</v>
      </c>
      <c r="M3257" s="12" t="n">
        <v>0</v>
      </c>
      <c r="N3257" s="27">
        <f>F3257-J3257</f>
        <v/>
      </c>
      <c r="O3257" s="16">
        <f>I3257-H3257</f>
        <v/>
      </c>
      <c r="P3257" s="14">
        <f>F3257*G3257</f>
        <v/>
      </c>
      <c r="Q3257" s="14">
        <f>J3257*G3257</f>
        <v/>
      </c>
      <c r="R3257" s="14">
        <f>K3257-Q3257</f>
        <v/>
      </c>
      <c r="S3257" s="3">
        <f>P3257*Assumptions!$B$3/100</f>
        <v/>
      </c>
      <c r="T3257" s="14">
        <f>R3257-S3257</f>
        <v/>
      </c>
      <c r="U3257" s="14">
        <f>L3257*G3257</f>
        <v/>
      </c>
    </row>
    <row r="3258">
      <c r="A3258" s="12" t="inlineStr">
        <is>
          <t>PO-2023-3256</t>
        </is>
      </c>
      <c r="B3258" s="26" t="n">
        <v>45056</v>
      </c>
      <c r="C3258" s="12" t="inlineStr">
        <is>
          <t>VS13</t>
        </is>
      </c>
      <c r="D3258" s="12" t="inlineStr">
        <is>
          <t>MS Rods</t>
        </is>
      </c>
      <c r="E3258" s="12" t="inlineStr">
        <is>
          <t>Y</t>
        </is>
      </c>
      <c r="F3258" s="12" t="n">
        <v>44.64</v>
      </c>
      <c r="G3258" s="17" t="n">
        <v>76997.28</v>
      </c>
      <c r="H3258" s="26" t="n">
        <v>45059</v>
      </c>
      <c r="I3258" s="26" t="n">
        <v>45062</v>
      </c>
      <c r="J3258" s="12" t="n">
        <v>44.22</v>
      </c>
      <c r="K3258" s="17" t="n">
        <v>3437158.58</v>
      </c>
      <c r="L3258" s="12" t="n">
        <v>0</v>
      </c>
      <c r="M3258" s="12" t="n">
        <v>15</v>
      </c>
      <c r="N3258" s="27">
        <f>F3258-J3258</f>
        <v/>
      </c>
      <c r="O3258" s="16">
        <f>I3258-H3258</f>
        <v/>
      </c>
      <c r="P3258" s="14">
        <f>F3258*G3258</f>
        <v/>
      </c>
      <c r="Q3258" s="14">
        <f>J3258*G3258</f>
        <v/>
      </c>
      <c r="R3258" s="14">
        <f>K3258-Q3258</f>
        <v/>
      </c>
      <c r="S3258" s="3">
        <f>P3258*Assumptions!$B$3/100</f>
        <v/>
      </c>
      <c r="T3258" s="14">
        <f>R3258-S3258</f>
        <v/>
      </c>
      <c r="U3258" s="14">
        <f>L3258*G3258</f>
        <v/>
      </c>
    </row>
    <row r="3259">
      <c r="A3259" s="12" t="inlineStr">
        <is>
          <t>PO-2023-3257</t>
        </is>
      </c>
      <c r="B3259" s="26" t="n">
        <v>44723</v>
      </c>
      <c r="C3259" s="12" t="inlineStr">
        <is>
          <t>VS22</t>
        </is>
      </c>
      <c r="D3259" s="12" t="inlineStr">
        <is>
          <t>GI Pipes</t>
        </is>
      </c>
      <c r="E3259" s="12" t="inlineStr">
        <is>
          <t>N</t>
        </is>
      </c>
      <c r="F3259" s="12" t="n">
        <v>2.13</v>
      </c>
      <c r="G3259" s="17" t="n">
        <v>63319.79</v>
      </c>
      <c r="H3259" s="26" t="n">
        <v>44731</v>
      </c>
      <c r="I3259" s="26" t="n">
        <v>44733</v>
      </c>
      <c r="J3259" s="12" t="n">
        <v>2.13</v>
      </c>
      <c r="K3259" s="17" t="n">
        <v>134871.15</v>
      </c>
      <c r="L3259" s="12" t="n">
        <v>0</v>
      </c>
      <c r="M3259" s="12" t="n">
        <v>11</v>
      </c>
      <c r="N3259" s="27">
        <f>F3259-J3259</f>
        <v/>
      </c>
      <c r="O3259" s="16">
        <f>I3259-H3259</f>
        <v/>
      </c>
      <c r="P3259" s="14">
        <f>F3259*G3259</f>
        <v/>
      </c>
      <c r="Q3259" s="14">
        <f>J3259*G3259</f>
        <v/>
      </c>
      <c r="R3259" s="14">
        <f>K3259-Q3259</f>
        <v/>
      </c>
      <c r="S3259" s="3">
        <f>P3259*Assumptions!$B$3/100</f>
        <v/>
      </c>
      <c r="T3259" s="14">
        <f>R3259-S3259</f>
        <v/>
      </c>
      <c r="U3259" s="14">
        <f>L3259*G3259</f>
        <v/>
      </c>
    </row>
    <row r="3260">
      <c r="A3260" s="12" t="inlineStr">
        <is>
          <t>PO-2023-3258</t>
        </is>
      </c>
      <c r="B3260" s="26" t="n">
        <v>44648</v>
      </c>
      <c r="C3260" s="12" t="inlineStr">
        <is>
          <t>VS31</t>
        </is>
      </c>
      <c r="D3260" s="12" t="inlineStr">
        <is>
          <t>GI Sheets</t>
        </is>
      </c>
      <c r="E3260" s="12" t="inlineStr">
        <is>
          <t>Y</t>
        </is>
      </c>
      <c r="F3260" s="12" t="n">
        <v>2.84</v>
      </c>
      <c r="G3260" s="17" t="n">
        <v>100433.61</v>
      </c>
      <c r="H3260" s="26" t="n">
        <v>44655</v>
      </c>
      <c r="I3260" s="26" t="n">
        <v>44658</v>
      </c>
      <c r="J3260" s="12" t="n">
        <v>2.84</v>
      </c>
      <c r="K3260" s="17" t="n">
        <v>285231.45</v>
      </c>
      <c r="L3260" s="12" t="n">
        <v>0</v>
      </c>
      <c r="M3260" s="12" t="n">
        <v>25</v>
      </c>
      <c r="N3260" s="27">
        <f>F3260-J3260</f>
        <v/>
      </c>
      <c r="O3260" s="16">
        <f>I3260-H3260</f>
        <v/>
      </c>
      <c r="P3260" s="14">
        <f>F3260*G3260</f>
        <v/>
      </c>
      <c r="Q3260" s="14">
        <f>J3260*G3260</f>
        <v/>
      </c>
      <c r="R3260" s="14">
        <f>K3260-Q3260</f>
        <v/>
      </c>
      <c r="S3260" s="3">
        <f>P3260*Assumptions!$B$3/100</f>
        <v/>
      </c>
      <c r="T3260" s="14">
        <f>R3260-S3260</f>
        <v/>
      </c>
      <c r="U3260" s="14">
        <f>L3260*G3260</f>
        <v/>
      </c>
    </row>
    <row r="3261">
      <c r="A3261" s="12" t="inlineStr">
        <is>
          <t>PO-2023-3259</t>
        </is>
      </c>
      <c r="B3261" s="26" t="n">
        <v>45070</v>
      </c>
      <c r="C3261" s="12" t="inlineStr">
        <is>
          <t>VS12</t>
        </is>
      </c>
      <c r="D3261" s="12" t="inlineStr">
        <is>
          <t>Fasteners &amp; Fittings</t>
        </is>
      </c>
      <c r="E3261" s="12" t="inlineStr">
        <is>
          <t>N</t>
        </is>
      </c>
      <c r="F3261" s="12" t="n">
        <v>22.63</v>
      </c>
      <c r="G3261" s="17" t="n">
        <v>55372.98</v>
      </c>
      <c r="H3261" s="26" t="n">
        <v>45083</v>
      </c>
      <c r="I3261" s="26" t="n">
        <v>45088</v>
      </c>
      <c r="J3261" s="12" t="n">
        <v>21.63</v>
      </c>
      <c r="K3261" s="17" t="n">
        <v>1253090.54</v>
      </c>
      <c r="L3261" s="12" t="n">
        <v>0.59</v>
      </c>
      <c r="M3261" s="12" t="n">
        <v>0</v>
      </c>
      <c r="N3261" s="27">
        <f>F3261-J3261</f>
        <v/>
      </c>
      <c r="O3261" s="16">
        <f>I3261-H3261</f>
        <v/>
      </c>
      <c r="P3261" s="14">
        <f>F3261*G3261</f>
        <v/>
      </c>
      <c r="Q3261" s="14">
        <f>J3261*G3261</f>
        <v/>
      </c>
      <c r="R3261" s="14">
        <f>K3261-Q3261</f>
        <v/>
      </c>
      <c r="S3261" s="3">
        <f>P3261*Assumptions!$B$3/100</f>
        <v/>
      </c>
      <c r="T3261" s="14">
        <f>R3261-S3261</f>
        <v/>
      </c>
      <c r="U3261" s="14">
        <f>L3261*G3261</f>
        <v/>
      </c>
    </row>
    <row r="3262">
      <c r="A3262" s="12" t="inlineStr">
        <is>
          <t>PO-2023-3260</t>
        </is>
      </c>
      <c r="B3262" s="26" t="n">
        <v>44930</v>
      </c>
      <c r="C3262" s="12" t="inlineStr">
        <is>
          <t>VS09</t>
        </is>
      </c>
      <c r="D3262" s="12" t="inlineStr">
        <is>
          <t>MS Rods</t>
        </is>
      </c>
      <c r="E3262" s="12" t="inlineStr">
        <is>
          <t>N</t>
        </is>
      </c>
      <c r="F3262" s="12" t="n">
        <v>11.91</v>
      </c>
      <c r="G3262" s="17" t="n">
        <v>60441.65</v>
      </c>
      <c r="H3262" s="26" t="n">
        <v>44944</v>
      </c>
      <c r="I3262" s="26" t="n">
        <v>44945</v>
      </c>
      <c r="J3262" s="12" t="n">
        <v>11.89</v>
      </c>
      <c r="K3262" s="17" t="n">
        <v>719860.05</v>
      </c>
      <c r="L3262" s="12" t="n">
        <v>0</v>
      </c>
      <c r="M3262" s="12" t="n">
        <v>1</v>
      </c>
      <c r="N3262" s="27">
        <f>F3262-J3262</f>
        <v/>
      </c>
      <c r="O3262" s="16">
        <f>I3262-H3262</f>
        <v/>
      </c>
      <c r="P3262" s="14">
        <f>F3262*G3262</f>
        <v/>
      </c>
      <c r="Q3262" s="14">
        <f>J3262*G3262</f>
        <v/>
      </c>
      <c r="R3262" s="14">
        <f>K3262-Q3262</f>
        <v/>
      </c>
      <c r="S3262" s="3">
        <f>P3262*Assumptions!$B$3/100</f>
        <v/>
      </c>
      <c r="T3262" s="14">
        <f>R3262-S3262</f>
        <v/>
      </c>
      <c r="U3262" s="14">
        <f>L3262*G3262</f>
        <v/>
      </c>
    </row>
    <row r="3263">
      <c r="A3263" s="12" t="inlineStr">
        <is>
          <t>PO-2023-3261</t>
        </is>
      </c>
      <c r="B3263" s="26" t="n">
        <v>44956</v>
      </c>
      <c r="C3263" s="12" t="inlineStr">
        <is>
          <t>VS30</t>
        </is>
      </c>
      <c r="D3263" s="12" t="inlineStr">
        <is>
          <t>MS Pipes</t>
        </is>
      </c>
      <c r="E3263" s="12" t="inlineStr">
        <is>
          <t>N</t>
        </is>
      </c>
      <c r="F3263" s="12" t="n">
        <v>9.779999999999999</v>
      </c>
      <c r="G3263" s="17" t="n">
        <v>71232.34</v>
      </c>
      <c r="H3263" s="26" t="n">
        <v>44961</v>
      </c>
      <c r="I3263" s="26" t="n">
        <v>44962</v>
      </c>
      <c r="J3263" s="12" t="n">
        <v>9.73</v>
      </c>
      <c r="K3263" s="17" t="n">
        <v>696652.29</v>
      </c>
      <c r="L3263" s="12" t="n">
        <v>0</v>
      </c>
      <c r="M3263" s="12" t="n">
        <v>0</v>
      </c>
      <c r="N3263" s="27">
        <f>F3263-J3263</f>
        <v/>
      </c>
      <c r="O3263" s="16">
        <f>I3263-H3263</f>
        <v/>
      </c>
      <c r="P3263" s="14">
        <f>F3263*G3263</f>
        <v/>
      </c>
      <c r="Q3263" s="14">
        <f>J3263*G3263</f>
        <v/>
      </c>
      <c r="R3263" s="14">
        <f>K3263-Q3263</f>
        <v/>
      </c>
      <c r="S3263" s="3">
        <f>P3263*Assumptions!$B$3/100</f>
        <v/>
      </c>
      <c r="T3263" s="14">
        <f>R3263-S3263</f>
        <v/>
      </c>
      <c r="U3263" s="14">
        <f>L3263*G3263</f>
        <v/>
      </c>
    </row>
    <row r="3264">
      <c r="A3264" s="12" t="inlineStr">
        <is>
          <t>PO-2023-3262</t>
        </is>
      </c>
      <c r="B3264" s="26" t="n">
        <v>45280</v>
      </c>
      <c r="C3264" s="12" t="inlineStr">
        <is>
          <t>VS11</t>
        </is>
      </c>
      <c r="D3264" s="12" t="inlineStr">
        <is>
          <t>Fasteners &amp; Fittings</t>
        </is>
      </c>
      <c r="E3264" s="12" t="inlineStr">
        <is>
          <t>N</t>
        </is>
      </c>
      <c r="F3264" s="12" t="n">
        <v>21.26</v>
      </c>
      <c r="G3264" s="17" t="n">
        <v>60477.75</v>
      </c>
      <c r="H3264" s="26" t="n">
        <v>45287</v>
      </c>
      <c r="I3264" s="26" t="n">
        <v>45287</v>
      </c>
      <c r="J3264" s="12" t="n">
        <v>21.19</v>
      </c>
      <c r="K3264" s="17" t="n">
        <v>1285756.97</v>
      </c>
      <c r="L3264" s="12" t="n">
        <v>0</v>
      </c>
      <c r="M3264" s="12" t="n">
        <v>0</v>
      </c>
      <c r="N3264" s="27">
        <f>F3264-J3264</f>
        <v/>
      </c>
      <c r="O3264" s="16">
        <f>I3264-H3264</f>
        <v/>
      </c>
      <c r="P3264" s="14">
        <f>F3264*G3264</f>
        <v/>
      </c>
      <c r="Q3264" s="14">
        <f>J3264*G3264</f>
        <v/>
      </c>
      <c r="R3264" s="14">
        <f>K3264-Q3264</f>
        <v/>
      </c>
      <c r="S3264" s="3">
        <f>P3264*Assumptions!$B$3/100</f>
        <v/>
      </c>
      <c r="T3264" s="14">
        <f>R3264-S3264</f>
        <v/>
      </c>
      <c r="U3264" s="14">
        <f>L3264*G3264</f>
        <v/>
      </c>
    </row>
    <row r="3265">
      <c r="A3265" s="12" t="inlineStr">
        <is>
          <t>PO-2023-3263</t>
        </is>
      </c>
      <c r="B3265" s="26" t="n">
        <v>44677</v>
      </c>
      <c r="C3265" s="12" t="inlineStr">
        <is>
          <t>VS06</t>
        </is>
      </c>
      <c r="D3265" s="12" t="inlineStr">
        <is>
          <t>MS Flats</t>
        </is>
      </c>
      <c r="E3265" s="12" t="inlineStr">
        <is>
          <t>N</t>
        </is>
      </c>
      <c r="F3265" s="12" t="n">
        <v>31.09</v>
      </c>
      <c r="G3265" s="17" t="n">
        <v>113712.39</v>
      </c>
      <c r="H3265" s="26" t="n">
        <v>44689</v>
      </c>
      <c r="I3265" s="26" t="n">
        <v>44692</v>
      </c>
      <c r="J3265" s="12" t="n">
        <v>31.02</v>
      </c>
      <c r="K3265" s="17" t="n">
        <v>3535318.21</v>
      </c>
      <c r="L3265" s="12" t="n">
        <v>0</v>
      </c>
      <c r="M3265" s="12" t="n">
        <v>17</v>
      </c>
      <c r="N3265" s="27">
        <f>F3265-J3265</f>
        <v/>
      </c>
      <c r="O3265" s="16">
        <f>I3265-H3265</f>
        <v/>
      </c>
      <c r="P3265" s="14">
        <f>F3265*G3265</f>
        <v/>
      </c>
      <c r="Q3265" s="14">
        <f>J3265*G3265</f>
        <v/>
      </c>
      <c r="R3265" s="14">
        <f>K3265-Q3265</f>
        <v/>
      </c>
      <c r="S3265" s="3">
        <f>P3265*Assumptions!$B$3/100</f>
        <v/>
      </c>
      <c r="T3265" s="14">
        <f>R3265-S3265</f>
        <v/>
      </c>
      <c r="U3265" s="14">
        <f>L3265*G3265</f>
        <v/>
      </c>
    </row>
    <row r="3266">
      <c r="A3266" s="12" t="inlineStr">
        <is>
          <t>PO-2023-3264</t>
        </is>
      </c>
      <c r="B3266" s="26" t="n">
        <v>44883</v>
      </c>
      <c r="C3266" s="12" t="inlineStr">
        <is>
          <t>VS26</t>
        </is>
      </c>
      <c r="D3266" s="12" t="inlineStr">
        <is>
          <t>Angles &amp; Channels</t>
        </is>
      </c>
      <c r="E3266" s="12" t="inlineStr">
        <is>
          <t>Y</t>
        </is>
      </c>
      <c r="F3266" s="12" t="n">
        <v>46.21</v>
      </c>
      <c r="G3266" s="17" t="n">
        <v>76046.06</v>
      </c>
      <c r="H3266" s="26" t="n">
        <v>44892</v>
      </c>
      <c r="I3266" s="26" t="n">
        <v>44895</v>
      </c>
      <c r="J3266" s="12" t="n">
        <v>46.02</v>
      </c>
      <c r="K3266" s="17" t="n">
        <v>3514088.43</v>
      </c>
      <c r="L3266" s="12" t="n">
        <v>0</v>
      </c>
      <c r="M3266" s="12" t="n">
        <v>0</v>
      </c>
      <c r="N3266" s="27">
        <f>F3266-J3266</f>
        <v/>
      </c>
      <c r="O3266" s="16">
        <f>I3266-H3266</f>
        <v/>
      </c>
      <c r="P3266" s="14">
        <f>F3266*G3266</f>
        <v/>
      </c>
      <c r="Q3266" s="14">
        <f>J3266*G3266</f>
        <v/>
      </c>
      <c r="R3266" s="14">
        <f>K3266-Q3266</f>
        <v/>
      </c>
      <c r="S3266" s="3">
        <f>P3266*Assumptions!$B$3/100</f>
        <v/>
      </c>
      <c r="T3266" s="14">
        <f>R3266-S3266</f>
        <v/>
      </c>
      <c r="U3266" s="14">
        <f>L3266*G3266</f>
        <v/>
      </c>
    </row>
    <row r="3267">
      <c r="A3267" s="12" t="inlineStr">
        <is>
          <t>PO-2023-3265</t>
        </is>
      </c>
      <c r="B3267" s="26" t="n">
        <v>44704</v>
      </c>
      <c r="C3267" s="12" t="inlineStr">
        <is>
          <t>VS20</t>
        </is>
      </c>
      <c r="D3267" s="12" t="inlineStr">
        <is>
          <t>MS Flats</t>
        </is>
      </c>
      <c r="E3267" s="12" t="inlineStr">
        <is>
          <t>N</t>
        </is>
      </c>
      <c r="F3267" s="12" t="n">
        <v>37.93</v>
      </c>
      <c r="G3267" s="17" t="n">
        <v>110599.43</v>
      </c>
      <c r="H3267" s="26" t="n">
        <v>44711</v>
      </c>
      <c r="I3267" s="26" t="n">
        <v>44713</v>
      </c>
      <c r="J3267" s="12" t="n">
        <v>37.73</v>
      </c>
      <c r="K3267" s="17" t="n">
        <v>4195036.38</v>
      </c>
      <c r="L3267" s="12" t="n">
        <v>0</v>
      </c>
      <c r="M3267" s="12" t="n">
        <v>0</v>
      </c>
      <c r="N3267" s="27">
        <f>F3267-J3267</f>
        <v/>
      </c>
      <c r="O3267" s="16">
        <f>I3267-H3267</f>
        <v/>
      </c>
      <c r="P3267" s="14">
        <f>F3267*G3267</f>
        <v/>
      </c>
      <c r="Q3267" s="14">
        <f>J3267*G3267</f>
        <v/>
      </c>
      <c r="R3267" s="14">
        <f>K3267-Q3267</f>
        <v/>
      </c>
      <c r="S3267" s="3">
        <f>P3267*Assumptions!$B$3/100</f>
        <v/>
      </c>
      <c r="T3267" s="14">
        <f>R3267-S3267</f>
        <v/>
      </c>
      <c r="U3267" s="14">
        <f>L3267*G3267</f>
        <v/>
      </c>
    </row>
    <row r="3268">
      <c r="A3268" s="12" t="inlineStr">
        <is>
          <t>PO-2023-3266</t>
        </is>
      </c>
      <c r="B3268" s="26" t="n">
        <v>44650</v>
      </c>
      <c r="C3268" s="12" t="inlineStr">
        <is>
          <t>VS20</t>
        </is>
      </c>
      <c r="D3268" s="12" t="inlineStr">
        <is>
          <t>CR Sheets</t>
        </is>
      </c>
      <c r="E3268" s="12" t="inlineStr">
        <is>
          <t>N</t>
        </is>
      </c>
      <c r="F3268" s="12" t="n">
        <v>39.49</v>
      </c>
      <c r="G3268" s="17" t="n">
        <v>104378.03</v>
      </c>
      <c r="H3268" s="26" t="n">
        <v>44657</v>
      </c>
      <c r="I3268" s="26" t="n">
        <v>44658</v>
      </c>
      <c r="J3268" s="12" t="n">
        <v>39.47</v>
      </c>
      <c r="K3268" s="17" t="n">
        <v>4121888.4</v>
      </c>
      <c r="L3268" s="12" t="n">
        <v>0</v>
      </c>
      <c r="M3268" s="12" t="n">
        <v>0</v>
      </c>
      <c r="N3268" s="27">
        <f>F3268-J3268</f>
        <v/>
      </c>
      <c r="O3268" s="16">
        <f>I3268-H3268</f>
        <v/>
      </c>
      <c r="P3268" s="14">
        <f>F3268*G3268</f>
        <v/>
      </c>
      <c r="Q3268" s="14">
        <f>J3268*G3268</f>
        <v/>
      </c>
      <c r="R3268" s="14">
        <f>K3268-Q3268</f>
        <v/>
      </c>
      <c r="S3268" s="3">
        <f>P3268*Assumptions!$B$3/100</f>
        <v/>
      </c>
      <c r="T3268" s="14">
        <f>R3268-S3268</f>
        <v/>
      </c>
      <c r="U3268" s="14">
        <f>L3268*G3268</f>
        <v/>
      </c>
    </row>
    <row r="3269">
      <c r="A3269" s="12" t="inlineStr">
        <is>
          <t>PO-2023-3267</t>
        </is>
      </c>
      <c r="B3269" s="26" t="n">
        <v>44445</v>
      </c>
      <c r="C3269" s="12" t="inlineStr">
        <is>
          <t>VS26</t>
        </is>
      </c>
      <c r="D3269" s="12" t="inlineStr">
        <is>
          <t>HR Coils</t>
        </is>
      </c>
      <c r="E3269" s="12" t="inlineStr">
        <is>
          <t>N</t>
        </is>
      </c>
      <c r="F3269" s="12" t="n">
        <v>37.9</v>
      </c>
      <c r="G3269" s="17" t="n">
        <v>63184.35</v>
      </c>
      <c r="H3269" s="26" t="n">
        <v>44459</v>
      </c>
      <c r="I3269" s="26" t="n">
        <v>44462</v>
      </c>
      <c r="J3269" s="12" t="n">
        <v>37.53</v>
      </c>
      <c r="K3269" s="17" t="n">
        <v>2394686.86</v>
      </c>
      <c r="L3269" s="12" t="n">
        <v>0</v>
      </c>
      <c r="M3269" s="12" t="n">
        <v>0</v>
      </c>
      <c r="N3269" s="27">
        <f>F3269-J3269</f>
        <v/>
      </c>
      <c r="O3269" s="16">
        <f>I3269-H3269</f>
        <v/>
      </c>
      <c r="P3269" s="14">
        <f>F3269*G3269</f>
        <v/>
      </c>
      <c r="Q3269" s="14">
        <f>J3269*G3269</f>
        <v/>
      </c>
      <c r="R3269" s="14">
        <f>K3269-Q3269</f>
        <v/>
      </c>
      <c r="S3269" s="3">
        <f>P3269*Assumptions!$B$3/100</f>
        <v/>
      </c>
      <c r="T3269" s="14">
        <f>R3269-S3269</f>
        <v/>
      </c>
      <c r="U3269" s="14">
        <f>L3269*G3269</f>
        <v/>
      </c>
    </row>
    <row r="3270">
      <c r="A3270" s="12" t="inlineStr">
        <is>
          <t>PO-2023-3268</t>
        </is>
      </c>
      <c r="B3270" s="26" t="n">
        <v>44726</v>
      </c>
      <c r="C3270" s="12" t="inlineStr">
        <is>
          <t>VS18</t>
        </is>
      </c>
      <c r="D3270" s="12" t="inlineStr">
        <is>
          <t>Fasteners &amp; Fittings</t>
        </is>
      </c>
      <c r="E3270" s="12" t="inlineStr">
        <is>
          <t>N</t>
        </is>
      </c>
      <c r="F3270" s="12" t="n">
        <v>14.97</v>
      </c>
      <c r="G3270" s="17" t="n">
        <v>88118.99000000001</v>
      </c>
      <c r="H3270" s="26" t="n">
        <v>44733</v>
      </c>
      <c r="I3270" s="26" t="n">
        <v>44735</v>
      </c>
      <c r="J3270" s="12" t="n">
        <v>14.92</v>
      </c>
      <c r="K3270" s="17" t="n">
        <v>1319141.28</v>
      </c>
      <c r="L3270" s="12" t="n">
        <v>0</v>
      </c>
      <c r="M3270" s="12" t="n">
        <v>9</v>
      </c>
      <c r="N3270" s="27">
        <f>F3270-J3270</f>
        <v/>
      </c>
      <c r="O3270" s="16">
        <f>I3270-H3270</f>
        <v/>
      </c>
      <c r="P3270" s="14">
        <f>F3270*G3270</f>
        <v/>
      </c>
      <c r="Q3270" s="14">
        <f>J3270*G3270</f>
        <v/>
      </c>
      <c r="R3270" s="14">
        <f>K3270-Q3270</f>
        <v/>
      </c>
      <c r="S3270" s="3">
        <f>P3270*Assumptions!$B$3/100</f>
        <v/>
      </c>
      <c r="T3270" s="14">
        <f>R3270-S3270</f>
        <v/>
      </c>
      <c r="U3270" s="14">
        <f>L3270*G3270</f>
        <v/>
      </c>
    </row>
    <row r="3271">
      <c r="A3271" s="12" t="inlineStr">
        <is>
          <t>PO-2023-3269</t>
        </is>
      </c>
      <c r="B3271" s="26" t="n">
        <v>45036</v>
      </c>
      <c r="C3271" s="12" t="inlineStr">
        <is>
          <t>VS17</t>
        </is>
      </c>
      <c r="D3271" s="12" t="inlineStr">
        <is>
          <t>MS Pipes</t>
        </is>
      </c>
      <c r="E3271" s="12" t="inlineStr">
        <is>
          <t>N</t>
        </is>
      </c>
      <c r="F3271" s="12" t="n">
        <v>26.77</v>
      </c>
      <c r="G3271" s="17" t="n">
        <v>95701.62</v>
      </c>
      <c r="H3271" s="26" t="n">
        <v>45049</v>
      </c>
      <c r="I3271" s="26" t="n">
        <v>45052</v>
      </c>
      <c r="J3271" s="12" t="n">
        <v>26.65</v>
      </c>
      <c r="K3271" s="17" t="n">
        <v>2561932.37</v>
      </c>
      <c r="L3271" s="12" t="n">
        <v>0</v>
      </c>
      <c r="M3271" s="12" t="n">
        <v>18</v>
      </c>
      <c r="N3271" s="27">
        <f>F3271-J3271</f>
        <v/>
      </c>
      <c r="O3271" s="16">
        <f>I3271-H3271</f>
        <v/>
      </c>
      <c r="P3271" s="14">
        <f>F3271*G3271</f>
        <v/>
      </c>
      <c r="Q3271" s="14">
        <f>J3271*G3271</f>
        <v/>
      </c>
      <c r="R3271" s="14">
        <f>K3271-Q3271</f>
        <v/>
      </c>
      <c r="S3271" s="3">
        <f>P3271*Assumptions!$B$3/100</f>
        <v/>
      </c>
      <c r="T3271" s="14">
        <f>R3271-S3271</f>
        <v/>
      </c>
      <c r="U3271" s="14">
        <f>L3271*G3271</f>
        <v/>
      </c>
    </row>
    <row r="3272">
      <c r="A3272" s="12" t="inlineStr">
        <is>
          <t>PO-2023-3270</t>
        </is>
      </c>
      <c r="B3272" s="26" t="n">
        <v>44547</v>
      </c>
      <c r="C3272" s="12" t="inlineStr">
        <is>
          <t>VS10</t>
        </is>
      </c>
      <c r="D3272" s="12" t="inlineStr">
        <is>
          <t>HR Coils</t>
        </is>
      </c>
      <c r="E3272" s="12" t="inlineStr">
        <is>
          <t>N</t>
        </is>
      </c>
      <c r="F3272" s="12" t="n">
        <v>3.34</v>
      </c>
      <c r="G3272" s="17" t="n">
        <v>69614.10000000001</v>
      </c>
      <c r="H3272" s="26" t="n">
        <v>44556</v>
      </c>
      <c r="I3272" s="26" t="n">
        <v>44557</v>
      </c>
      <c r="J3272" s="12" t="n">
        <v>3.32</v>
      </c>
      <c r="K3272" s="17" t="n">
        <v>232511.09</v>
      </c>
      <c r="L3272" s="12" t="n">
        <v>0</v>
      </c>
      <c r="M3272" s="12" t="n">
        <v>9</v>
      </c>
      <c r="N3272" s="27">
        <f>F3272-J3272</f>
        <v/>
      </c>
      <c r="O3272" s="16">
        <f>I3272-H3272</f>
        <v/>
      </c>
      <c r="P3272" s="14">
        <f>F3272*G3272</f>
        <v/>
      </c>
      <c r="Q3272" s="14">
        <f>J3272*G3272</f>
        <v/>
      </c>
      <c r="R3272" s="14">
        <f>K3272-Q3272</f>
        <v/>
      </c>
      <c r="S3272" s="3">
        <f>P3272*Assumptions!$B$3/100</f>
        <v/>
      </c>
      <c r="T3272" s="14">
        <f>R3272-S3272</f>
        <v/>
      </c>
      <c r="U3272" s="14">
        <f>L3272*G3272</f>
        <v/>
      </c>
    </row>
    <row r="3273">
      <c r="A3273" s="12" t="inlineStr">
        <is>
          <t>PO-2023-3271</t>
        </is>
      </c>
      <c r="B3273" s="26" t="n">
        <v>44459</v>
      </c>
      <c r="C3273" s="12" t="inlineStr">
        <is>
          <t>VS31</t>
        </is>
      </c>
      <c r="D3273" s="12" t="inlineStr">
        <is>
          <t>GI Sheets</t>
        </is>
      </c>
      <c r="E3273" s="12" t="inlineStr">
        <is>
          <t>Y</t>
        </is>
      </c>
      <c r="F3273" s="12" t="n">
        <v>49.43</v>
      </c>
      <c r="G3273" s="17" t="n">
        <v>95175.59</v>
      </c>
      <c r="H3273" s="26" t="n">
        <v>44470</v>
      </c>
      <c r="I3273" s="26" t="n">
        <v>44471</v>
      </c>
      <c r="J3273" s="12" t="n">
        <v>49.39</v>
      </c>
      <c r="K3273" s="17" t="n">
        <v>4704529.41</v>
      </c>
      <c r="L3273" s="12" t="n">
        <v>0</v>
      </c>
      <c r="M3273" s="12" t="n">
        <v>0</v>
      </c>
      <c r="N3273" s="27">
        <f>F3273-J3273</f>
        <v/>
      </c>
      <c r="O3273" s="16">
        <f>I3273-H3273</f>
        <v/>
      </c>
      <c r="P3273" s="14">
        <f>F3273*G3273</f>
        <v/>
      </c>
      <c r="Q3273" s="14">
        <f>J3273*G3273</f>
        <v/>
      </c>
      <c r="R3273" s="14">
        <f>K3273-Q3273</f>
        <v/>
      </c>
      <c r="S3273" s="3">
        <f>P3273*Assumptions!$B$3/100</f>
        <v/>
      </c>
      <c r="T3273" s="14">
        <f>R3273-S3273</f>
        <v/>
      </c>
      <c r="U3273" s="14">
        <f>L3273*G3273</f>
        <v/>
      </c>
    </row>
    <row r="3274">
      <c r="A3274" s="12" t="inlineStr">
        <is>
          <t>PO-2023-3272</t>
        </is>
      </c>
      <c r="B3274" s="26" t="n">
        <v>45266</v>
      </c>
      <c r="C3274" s="12" t="inlineStr">
        <is>
          <t>VS18</t>
        </is>
      </c>
      <c r="D3274" s="12" t="inlineStr">
        <is>
          <t>ERW Pipes</t>
        </is>
      </c>
      <c r="E3274" s="12" t="inlineStr">
        <is>
          <t>N</t>
        </is>
      </c>
      <c r="F3274" s="12" t="n">
        <v>13.21</v>
      </c>
      <c r="G3274" s="17" t="n">
        <v>52770.85</v>
      </c>
      <c r="H3274" s="26" t="n">
        <v>45269</v>
      </c>
      <c r="I3274" s="26" t="n">
        <v>45270</v>
      </c>
      <c r="J3274" s="12" t="n">
        <v>13.1</v>
      </c>
      <c r="K3274" s="17" t="n">
        <v>697102.9300000001</v>
      </c>
      <c r="L3274" s="12" t="n">
        <v>0</v>
      </c>
      <c r="M3274" s="12" t="n">
        <v>0</v>
      </c>
      <c r="N3274" s="27">
        <f>F3274-J3274</f>
        <v/>
      </c>
      <c r="O3274" s="16">
        <f>I3274-H3274</f>
        <v/>
      </c>
      <c r="P3274" s="14">
        <f>F3274*G3274</f>
        <v/>
      </c>
      <c r="Q3274" s="14">
        <f>J3274*G3274</f>
        <v/>
      </c>
      <c r="R3274" s="14">
        <f>K3274-Q3274</f>
        <v/>
      </c>
      <c r="S3274" s="3">
        <f>P3274*Assumptions!$B$3/100</f>
        <v/>
      </c>
      <c r="T3274" s="14">
        <f>R3274-S3274</f>
        <v/>
      </c>
      <c r="U3274" s="14">
        <f>L3274*G3274</f>
        <v/>
      </c>
    </row>
    <row r="3275">
      <c r="A3275" s="12" t="inlineStr">
        <is>
          <t>PO-2023-3273</t>
        </is>
      </c>
      <c r="B3275" s="26" t="n">
        <v>45109</v>
      </c>
      <c r="C3275" s="12" t="inlineStr">
        <is>
          <t>VS09</t>
        </is>
      </c>
      <c r="D3275" s="12" t="inlineStr">
        <is>
          <t>GI Pipes</t>
        </is>
      </c>
      <c r="E3275" s="12" t="inlineStr">
        <is>
          <t>N</t>
        </is>
      </c>
      <c r="F3275" s="12" t="n">
        <v>34.87</v>
      </c>
      <c r="G3275" s="17" t="n">
        <v>53635.76</v>
      </c>
      <c r="H3275" s="26" t="n">
        <v>45119</v>
      </c>
      <c r="I3275" s="26" t="n">
        <v>45121</v>
      </c>
      <c r="J3275" s="12" t="n">
        <v>34.55</v>
      </c>
      <c r="K3275" s="17" t="n">
        <v>1870278.95</v>
      </c>
      <c r="L3275" s="12" t="n">
        <v>0</v>
      </c>
      <c r="M3275" s="12" t="n">
        <v>0</v>
      </c>
      <c r="N3275" s="27">
        <f>F3275-J3275</f>
        <v/>
      </c>
      <c r="O3275" s="16">
        <f>I3275-H3275</f>
        <v/>
      </c>
      <c r="P3275" s="14">
        <f>F3275*G3275</f>
        <v/>
      </c>
      <c r="Q3275" s="14">
        <f>J3275*G3275</f>
        <v/>
      </c>
      <c r="R3275" s="14">
        <f>K3275-Q3275</f>
        <v/>
      </c>
      <c r="S3275" s="3">
        <f>P3275*Assumptions!$B$3/100</f>
        <v/>
      </c>
      <c r="T3275" s="14">
        <f>R3275-S3275</f>
        <v/>
      </c>
      <c r="U3275" s="14">
        <f>L3275*G3275</f>
        <v/>
      </c>
    </row>
    <row r="3276">
      <c r="A3276" s="12" t="inlineStr">
        <is>
          <t>PO-2023-3274</t>
        </is>
      </c>
      <c r="B3276" s="26" t="n">
        <v>44285</v>
      </c>
      <c r="C3276" s="12" t="inlineStr">
        <is>
          <t>VS31</t>
        </is>
      </c>
      <c r="D3276" s="12" t="inlineStr">
        <is>
          <t>MS Flats</t>
        </is>
      </c>
      <c r="E3276" s="12" t="inlineStr">
        <is>
          <t>N</t>
        </is>
      </c>
      <c r="F3276" s="12" t="n">
        <v>15.77</v>
      </c>
      <c r="G3276" s="17" t="n">
        <v>108871.93</v>
      </c>
      <c r="H3276" s="26" t="n">
        <v>44293</v>
      </c>
      <c r="I3276" s="26" t="n">
        <v>44294</v>
      </c>
      <c r="J3276" s="12" t="n">
        <v>15.76</v>
      </c>
      <c r="K3276" s="17" t="n">
        <v>1716910.34</v>
      </c>
      <c r="L3276" s="12" t="n">
        <v>0</v>
      </c>
      <c r="M3276" s="12" t="n">
        <v>12</v>
      </c>
      <c r="N3276" s="27">
        <f>F3276-J3276</f>
        <v/>
      </c>
      <c r="O3276" s="16">
        <f>I3276-H3276</f>
        <v/>
      </c>
      <c r="P3276" s="14">
        <f>F3276*G3276</f>
        <v/>
      </c>
      <c r="Q3276" s="14">
        <f>J3276*G3276</f>
        <v/>
      </c>
      <c r="R3276" s="14">
        <f>K3276-Q3276</f>
        <v/>
      </c>
      <c r="S3276" s="3">
        <f>P3276*Assumptions!$B$3/100</f>
        <v/>
      </c>
      <c r="T3276" s="14">
        <f>R3276-S3276</f>
        <v/>
      </c>
      <c r="U3276" s="14">
        <f>L3276*G3276</f>
        <v/>
      </c>
    </row>
    <row r="3277">
      <c r="A3277" s="12" t="inlineStr">
        <is>
          <t>PO-2023-3275</t>
        </is>
      </c>
      <c r="B3277" s="26" t="n">
        <v>44591</v>
      </c>
      <c r="C3277" s="12" t="inlineStr">
        <is>
          <t>VS19</t>
        </is>
      </c>
      <c r="D3277" s="12" t="inlineStr">
        <is>
          <t>GI Wire</t>
        </is>
      </c>
      <c r="E3277" s="12" t="inlineStr">
        <is>
          <t>N</t>
        </is>
      </c>
      <c r="F3277" s="12" t="n">
        <v>19.16</v>
      </c>
      <c r="G3277" s="17" t="n">
        <v>83664.17999999999</v>
      </c>
      <c r="H3277" s="26" t="n">
        <v>44603</v>
      </c>
      <c r="I3277" s="26" t="n">
        <v>44606</v>
      </c>
      <c r="J3277" s="12" t="n">
        <v>18.5</v>
      </c>
      <c r="K3277" s="17" t="n">
        <v>1603005.69</v>
      </c>
      <c r="L3277" s="12" t="n">
        <v>0.64</v>
      </c>
      <c r="M3277" s="12" t="n">
        <v>0</v>
      </c>
      <c r="N3277" s="27">
        <f>F3277-J3277</f>
        <v/>
      </c>
      <c r="O3277" s="16">
        <f>I3277-H3277</f>
        <v/>
      </c>
      <c r="P3277" s="14">
        <f>F3277*G3277</f>
        <v/>
      </c>
      <c r="Q3277" s="14">
        <f>J3277*G3277</f>
        <v/>
      </c>
      <c r="R3277" s="14">
        <f>K3277-Q3277</f>
        <v/>
      </c>
      <c r="S3277" s="3">
        <f>P3277*Assumptions!$B$3/100</f>
        <v/>
      </c>
      <c r="T3277" s="14">
        <f>R3277-S3277</f>
        <v/>
      </c>
      <c r="U3277" s="14">
        <f>L3277*G3277</f>
        <v/>
      </c>
    </row>
    <row r="3278">
      <c r="A3278" s="12" t="inlineStr">
        <is>
          <t>PO-2023-3276</t>
        </is>
      </c>
      <c r="B3278" s="26" t="n">
        <v>44467</v>
      </c>
      <c r="C3278" s="12" t="inlineStr">
        <is>
          <t>VS09</t>
        </is>
      </c>
      <c r="D3278" s="12" t="inlineStr">
        <is>
          <t>GI Pipes</t>
        </is>
      </c>
      <c r="E3278" s="12" t="inlineStr">
        <is>
          <t>N</t>
        </is>
      </c>
      <c r="F3278" s="12" t="n">
        <v>12.98</v>
      </c>
      <c r="G3278" s="17" t="n">
        <v>48218.31</v>
      </c>
      <c r="H3278" s="26" t="n">
        <v>44474</v>
      </c>
      <c r="I3278" s="26" t="n">
        <v>44475</v>
      </c>
      <c r="J3278" s="12" t="n">
        <v>12.9</v>
      </c>
      <c r="K3278" s="17" t="n">
        <v>625873.66</v>
      </c>
      <c r="L3278" s="12" t="n">
        <v>0</v>
      </c>
      <c r="M3278" s="12" t="n">
        <v>14</v>
      </c>
      <c r="N3278" s="27">
        <f>F3278-J3278</f>
        <v/>
      </c>
      <c r="O3278" s="16">
        <f>I3278-H3278</f>
        <v/>
      </c>
      <c r="P3278" s="14">
        <f>F3278*G3278</f>
        <v/>
      </c>
      <c r="Q3278" s="14">
        <f>J3278*G3278</f>
        <v/>
      </c>
      <c r="R3278" s="14">
        <f>K3278-Q3278</f>
        <v/>
      </c>
      <c r="S3278" s="3">
        <f>P3278*Assumptions!$B$3/100</f>
        <v/>
      </c>
      <c r="T3278" s="14">
        <f>R3278-S3278</f>
        <v/>
      </c>
      <c r="U3278" s="14">
        <f>L3278*G3278</f>
        <v/>
      </c>
    </row>
    <row r="3279">
      <c r="A3279" s="12" t="inlineStr">
        <is>
          <t>PO-2023-3277</t>
        </is>
      </c>
      <c r="B3279" s="26" t="n">
        <v>45083</v>
      </c>
      <c r="C3279" s="12" t="inlineStr">
        <is>
          <t>VS20</t>
        </is>
      </c>
      <c r="D3279" s="12" t="inlineStr">
        <is>
          <t>MS Rods</t>
        </is>
      </c>
      <c r="E3279" s="12" t="inlineStr">
        <is>
          <t>N</t>
        </is>
      </c>
      <c r="F3279" s="12" t="n">
        <v>46.52</v>
      </c>
      <c r="G3279" s="17" t="n">
        <v>56128.63</v>
      </c>
      <c r="H3279" s="26" t="n">
        <v>45095</v>
      </c>
      <c r="I3279" s="26" t="n">
        <v>45097</v>
      </c>
      <c r="J3279" s="12" t="n">
        <v>46.46</v>
      </c>
      <c r="K3279" s="17" t="n">
        <v>2611103.87</v>
      </c>
      <c r="L3279" s="12" t="n">
        <v>0</v>
      </c>
      <c r="M3279" s="12" t="n">
        <v>0</v>
      </c>
      <c r="N3279" s="27">
        <f>F3279-J3279</f>
        <v/>
      </c>
      <c r="O3279" s="16">
        <f>I3279-H3279</f>
        <v/>
      </c>
      <c r="P3279" s="14">
        <f>F3279*G3279</f>
        <v/>
      </c>
      <c r="Q3279" s="14">
        <f>J3279*G3279</f>
        <v/>
      </c>
      <c r="R3279" s="14">
        <f>K3279-Q3279</f>
        <v/>
      </c>
      <c r="S3279" s="3">
        <f>P3279*Assumptions!$B$3/100</f>
        <v/>
      </c>
      <c r="T3279" s="14">
        <f>R3279-S3279</f>
        <v/>
      </c>
      <c r="U3279" s="14">
        <f>L3279*G3279</f>
        <v/>
      </c>
    </row>
    <row r="3280">
      <c r="A3280" s="12" t="inlineStr">
        <is>
          <t>PO-2023-3278</t>
        </is>
      </c>
      <c r="B3280" s="26" t="n">
        <v>44654</v>
      </c>
      <c r="C3280" s="12" t="inlineStr">
        <is>
          <t>VS04</t>
        </is>
      </c>
      <c r="D3280" s="12" t="inlineStr">
        <is>
          <t>MS Pipes</t>
        </is>
      </c>
      <c r="E3280" s="12" t="inlineStr">
        <is>
          <t>N</t>
        </is>
      </c>
      <c r="F3280" s="12" t="n">
        <v>7.93</v>
      </c>
      <c r="G3280" s="17" t="n">
        <v>100297.25</v>
      </c>
      <c r="H3280" s="26" t="n">
        <v>44662</v>
      </c>
      <c r="I3280" s="26" t="n">
        <v>44664</v>
      </c>
      <c r="J3280" s="12" t="n">
        <v>7.87</v>
      </c>
      <c r="K3280" s="17" t="n">
        <v>795357.1899999999</v>
      </c>
      <c r="L3280" s="12" t="n">
        <v>0</v>
      </c>
      <c r="M3280" s="12" t="n">
        <v>23</v>
      </c>
      <c r="N3280" s="27">
        <f>F3280-J3280</f>
        <v/>
      </c>
      <c r="O3280" s="16">
        <f>I3280-H3280</f>
        <v/>
      </c>
      <c r="P3280" s="14">
        <f>F3280*G3280</f>
        <v/>
      </c>
      <c r="Q3280" s="14">
        <f>J3280*G3280</f>
        <v/>
      </c>
      <c r="R3280" s="14">
        <f>K3280-Q3280</f>
        <v/>
      </c>
      <c r="S3280" s="3">
        <f>P3280*Assumptions!$B$3/100</f>
        <v/>
      </c>
      <c r="T3280" s="14">
        <f>R3280-S3280</f>
        <v/>
      </c>
      <c r="U3280" s="14">
        <f>L3280*G3280</f>
        <v/>
      </c>
    </row>
    <row r="3281">
      <c r="A3281" s="12" t="inlineStr">
        <is>
          <t>PO-2023-3279</t>
        </is>
      </c>
      <c r="B3281" s="26" t="n">
        <v>44415</v>
      </c>
      <c r="C3281" s="12" t="inlineStr">
        <is>
          <t>VS09</t>
        </is>
      </c>
      <c r="D3281" s="12" t="inlineStr">
        <is>
          <t>ERW Pipes</t>
        </is>
      </c>
      <c r="E3281" s="12" t="inlineStr">
        <is>
          <t>N</t>
        </is>
      </c>
      <c r="F3281" s="12" t="n">
        <v>11</v>
      </c>
      <c r="G3281" s="17" t="n">
        <v>109783.08</v>
      </c>
      <c r="H3281" s="26" t="n">
        <v>44423</v>
      </c>
      <c r="I3281" s="26" t="n">
        <v>44425</v>
      </c>
      <c r="J3281" s="12" t="n">
        <v>10.9</v>
      </c>
      <c r="K3281" s="17" t="n">
        <v>1207613.88</v>
      </c>
      <c r="L3281" s="12" t="n">
        <v>0</v>
      </c>
      <c r="M3281" s="12" t="n">
        <v>0</v>
      </c>
      <c r="N3281" s="27">
        <f>F3281-J3281</f>
        <v/>
      </c>
      <c r="O3281" s="16">
        <f>I3281-H3281</f>
        <v/>
      </c>
      <c r="P3281" s="14">
        <f>F3281*G3281</f>
        <v/>
      </c>
      <c r="Q3281" s="14">
        <f>J3281*G3281</f>
        <v/>
      </c>
      <c r="R3281" s="14">
        <f>K3281-Q3281</f>
        <v/>
      </c>
      <c r="S3281" s="3">
        <f>P3281*Assumptions!$B$3/100</f>
        <v/>
      </c>
      <c r="T3281" s="14">
        <f>R3281-S3281</f>
        <v/>
      </c>
      <c r="U3281" s="14">
        <f>L3281*G3281</f>
        <v/>
      </c>
    </row>
    <row r="3282">
      <c r="A3282" s="12" t="inlineStr">
        <is>
          <t>PO-2023-3280</t>
        </is>
      </c>
      <c r="B3282" s="26" t="n">
        <v>45002</v>
      </c>
      <c r="C3282" s="12" t="inlineStr">
        <is>
          <t>VS23</t>
        </is>
      </c>
      <c r="D3282" s="12" t="inlineStr">
        <is>
          <t>Hex Bars</t>
        </is>
      </c>
      <c r="E3282" s="12" t="inlineStr">
        <is>
          <t>N</t>
        </is>
      </c>
      <c r="F3282" s="12" t="n">
        <v>35.64</v>
      </c>
      <c r="G3282" s="17" t="n">
        <v>74370.47</v>
      </c>
      <c r="H3282" s="26" t="n">
        <v>45010</v>
      </c>
      <c r="I3282" s="26" t="n">
        <v>45011</v>
      </c>
      <c r="J3282" s="12" t="n">
        <v>35.4</v>
      </c>
      <c r="K3282" s="17" t="n">
        <v>2650563.55</v>
      </c>
      <c r="L3282" s="12" t="n">
        <v>0</v>
      </c>
      <c r="M3282" s="12" t="n">
        <v>0</v>
      </c>
      <c r="N3282" s="27">
        <f>F3282-J3282</f>
        <v/>
      </c>
      <c r="O3282" s="16">
        <f>I3282-H3282</f>
        <v/>
      </c>
      <c r="P3282" s="14">
        <f>F3282*G3282</f>
        <v/>
      </c>
      <c r="Q3282" s="14">
        <f>J3282*G3282</f>
        <v/>
      </c>
      <c r="R3282" s="14">
        <f>K3282-Q3282</f>
        <v/>
      </c>
      <c r="S3282" s="3">
        <f>P3282*Assumptions!$B$3/100</f>
        <v/>
      </c>
      <c r="T3282" s="14">
        <f>R3282-S3282</f>
        <v/>
      </c>
      <c r="U3282" s="14">
        <f>L3282*G3282</f>
        <v/>
      </c>
    </row>
    <row r="3283">
      <c r="A3283" s="12" t="inlineStr">
        <is>
          <t>PO-2023-3281</t>
        </is>
      </c>
      <c r="B3283" s="26" t="n">
        <v>44887</v>
      </c>
      <c r="C3283" s="12" t="inlineStr">
        <is>
          <t>VS31</t>
        </is>
      </c>
      <c r="D3283" s="12" t="inlineStr">
        <is>
          <t>MS Pipes</t>
        </is>
      </c>
      <c r="E3283" s="12" t="inlineStr">
        <is>
          <t>N</t>
        </is>
      </c>
      <c r="F3283" s="12" t="n">
        <v>28.21</v>
      </c>
      <c r="G3283" s="17" t="n">
        <v>77268.31</v>
      </c>
      <c r="H3283" s="26" t="n">
        <v>44902</v>
      </c>
      <c r="I3283" s="26" t="n">
        <v>44903</v>
      </c>
      <c r="J3283" s="12" t="n">
        <v>27.95</v>
      </c>
      <c r="K3283" s="17" t="n">
        <v>2179739.03</v>
      </c>
      <c r="L3283" s="12" t="n">
        <v>0</v>
      </c>
      <c r="M3283" s="12" t="n">
        <v>24</v>
      </c>
      <c r="N3283" s="27">
        <f>F3283-J3283</f>
        <v/>
      </c>
      <c r="O3283" s="16">
        <f>I3283-H3283</f>
        <v/>
      </c>
      <c r="P3283" s="14">
        <f>F3283*G3283</f>
        <v/>
      </c>
      <c r="Q3283" s="14">
        <f>J3283*G3283</f>
        <v/>
      </c>
      <c r="R3283" s="14">
        <f>K3283-Q3283</f>
        <v/>
      </c>
      <c r="S3283" s="3">
        <f>P3283*Assumptions!$B$3/100</f>
        <v/>
      </c>
      <c r="T3283" s="14">
        <f>R3283-S3283</f>
        <v/>
      </c>
      <c r="U3283" s="14">
        <f>L3283*G3283</f>
        <v/>
      </c>
    </row>
    <row r="3284">
      <c r="A3284" s="12" t="inlineStr">
        <is>
          <t>PO-2023-3282</t>
        </is>
      </c>
      <c r="B3284" s="26" t="n">
        <v>44358</v>
      </c>
      <c r="C3284" s="12" t="inlineStr">
        <is>
          <t>VS14</t>
        </is>
      </c>
      <c r="D3284" s="12" t="inlineStr">
        <is>
          <t>SS Pipes</t>
        </is>
      </c>
      <c r="E3284" s="12" t="inlineStr">
        <is>
          <t>N</t>
        </is>
      </c>
      <c r="F3284" s="12" t="n">
        <v>13.79</v>
      </c>
      <c r="G3284" s="17" t="n">
        <v>72037.22</v>
      </c>
      <c r="H3284" s="26" t="n">
        <v>44365</v>
      </c>
      <c r="I3284" s="26" t="n">
        <v>44365</v>
      </c>
      <c r="J3284" s="12" t="n">
        <v>13.77</v>
      </c>
      <c r="K3284" s="17" t="n">
        <v>993393.26</v>
      </c>
      <c r="L3284" s="12" t="n">
        <v>0</v>
      </c>
      <c r="M3284" s="12" t="n">
        <v>7</v>
      </c>
      <c r="N3284" s="27">
        <f>F3284-J3284</f>
        <v/>
      </c>
      <c r="O3284" s="16">
        <f>I3284-H3284</f>
        <v/>
      </c>
      <c r="P3284" s="14">
        <f>F3284*G3284</f>
        <v/>
      </c>
      <c r="Q3284" s="14">
        <f>J3284*G3284</f>
        <v/>
      </c>
      <c r="R3284" s="14">
        <f>K3284-Q3284</f>
        <v/>
      </c>
      <c r="S3284" s="3">
        <f>P3284*Assumptions!$B$3/100</f>
        <v/>
      </c>
      <c r="T3284" s="14">
        <f>R3284-S3284</f>
        <v/>
      </c>
      <c r="U3284" s="14">
        <f>L3284*G3284</f>
        <v/>
      </c>
    </row>
    <row r="3285">
      <c r="A3285" s="12" t="inlineStr">
        <is>
          <t>PO-2023-3283</t>
        </is>
      </c>
      <c r="B3285" s="26" t="n">
        <v>44584</v>
      </c>
      <c r="C3285" s="12" t="inlineStr">
        <is>
          <t>VS17</t>
        </is>
      </c>
      <c r="D3285" s="12" t="inlineStr">
        <is>
          <t>MS Flats</t>
        </is>
      </c>
      <c r="E3285" s="12" t="inlineStr">
        <is>
          <t>N</t>
        </is>
      </c>
      <c r="F3285" s="12" t="n">
        <v>20.43</v>
      </c>
      <c r="G3285" s="17" t="n">
        <v>61596.54</v>
      </c>
      <c r="H3285" s="26" t="n">
        <v>44588</v>
      </c>
      <c r="I3285" s="26" t="n">
        <v>44591</v>
      </c>
      <c r="J3285" s="12" t="n">
        <v>20.27</v>
      </c>
      <c r="K3285" s="17" t="n">
        <v>1258417.31</v>
      </c>
      <c r="L3285" s="12" t="n">
        <v>0</v>
      </c>
      <c r="M3285" s="12" t="n">
        <v>19</v>
      </c>
      <c r="N3285" s="27">
        <f>F3285-J3285</f>
        <v/>
      </c>
      <c r="O3285" s="16">
        <f>I3285-H3285</f>
        <v/>
      </c>
      <c r="P3285" s="14">
        <f>F3285*G3285</f>
        <v/>
      </c>
      <c r="Q3285" s="14">
        <f>J3285*G3285</f>
        <v/>
      </c>
      <c r="R3285" s="14">
        <f>K3285-Q3285</f>
        <v/>
      </c>
      <c r="S3285" s="3">
        <f>P3285*Assumptions!$B$3/100</f>
        <v/>
      </c>
      <c r="T3285" s="14">
        <f>R3285-S3285</f>
        <v/>
      </c>
      <c r="U3285" s="14">
        <f>L3285*G3285</f>
        <v/>
      </c>
    </row>
    <row r="3286">
      <c r="A3286" s="12" t="inlineStr">
        <is>
          <t>PO-2023-3284</t>
        </is>
      </c>
      <c r="B3286" s="26" t="n">
        <v>44653</v>
      </c>
      <c r="C3286" s="12" t="inlineStr">
        <is>
          <t>VS24</t>
        </is>
      </c>
      <c r="D3286" s="12" t="inlineStr">
        <is>
          <t>GI Pipes</t>
        </is>
      </c>
      <c r="E3286" s="12" t="inlineStr">
        <is>
          <t>N</t>
        </is>
      </c>
      <c r="F3286" s="12" t="n">
        <v>44.37</v>
      </c>
      <c r="G3286" s="17" t="n">
        <v>67246.75999999999</v>
      </c>
      <c r="H3286" s="26" t="n">
        <v>44658</v>
      </c>
      <c r="I3286" s="26" t="n">
        <v>44659</v>
      </c>
      <c r="J3286" s="12" t="n">
        <v>44.15</v>
      </c>
      <c r="K3286" s="17" t="n">
        <v>2983738.74</v>
      </c>
      <c r="L3286" s="12" t="n">
        <v>0</v>
      </c>
      <c r="M3286" s="12" t="n">
        <v>0</v>
      </c>
      <c r="N3286" s="27">
        <f>F3286-J3286</f>
        <v/>
      </c>
      <c r="O3286" s="16">
        <f>I3286-H3286</f>
        <v/>
      </c>
      <c r="P3286" s="14">
        <f>F3286*G3286</f>
        <v/>
      </c>
      <c r="Q3286" s="14">
        <f>J3286*G3286</f>
        <v/>
      </c>
      <c r="R3286" s="14">
        <f>K3286-Q3286</f>
        <v/>
      </c>
      <c r="S3286" s="3">
        <f>P3286*Assumptions!$B$3/100</f>
        <v/>
      </c>
      <c r="T3286" s="14">
        <f>R3286-S3286</f>
        <v/>
      </c>
      <c r="U3286" s="14">
        <f>L3286*G3286</f>
        <v/>
      </c>
    </row>
    <row r="3287">
      <c r="A3287" s="12" t="inlineStr">
        <is>
          <t>PO-2023-3285</t>
        </is>
      </c>
      <c r="B3287" s="26" t="n">
        <v>44587</v>
      </c>
      <c r="C3287" s="12" t="inlineStr">
        <is>
          <t>VS27</t>
        </is>
      </c>
      <c r="D3287" s="12" t="inlineStr">
        <is>
          <t>MS Sheets</t>
        </is>
      </c>
      <c r="E3287" s="12" t="inlineStr">
        <is>
          <t>N</t>
        </is>
      </c>
      <c r="F3287" s="12" t="n">
        <v>46.71</v>
      </c>
      <c r="G3287" s="17" t="n">
        <v>100564.63</v>
      </c>
      <c r="H3287" s="26" t="n">
        <v>44590</v>
      </c>
      <c r="I3287" s="26" t="n">
        <v>44593</v>
      </c>
      <c r="J3287" s="12" t="n">
        <v>46.33</v>
      </c>
      <c r="K3287" s="17" t="n">
        <v>4697373.87</v>
      </c>
      <c r="L3287" s="12" t="n">
        <v>0</v>
      </c>
      <c r="M3287" s="12" t="n">
        <v>0</v>
      </c>
      <c r="N3287" s="27">
        <f>F3287-J3287</f>
        <v/>
      </c>
      <c r="O3287" s="16">
        <f>I3287-H3287</f>
        <v/>
      </c>
      <c r="P3287" s="14">
        <f>F3287*G3287</f>
        <v/>
      </c>
      <c r="Q3287" s="14">
        <f>J3287*G3287</f>
        <v/>
      </c>
      <c r="R3287" s="14">
        <f>K3287-Q3287</f>
        <v/>
      </c>
      <c r="S3287" s="3">
        <f>P3287*Assumptions!$B$3/100</f>
        <v/>
      </c>
      <c r="T3287" s="14">
        <f>R3287-S3287</f>
        <v/>
      </c>
      <c r="U3287" s="14">
        <f>L3287*G3287</f>
        <v/>
      </c>
    </row>
    <row r="3288">
      <c r="A3288" s="12" t="inlineStr">
        <is>
          <t>PO-2023-3286</t>
        </is>
      </c>
      <c r="B3288" s="26" t="n">
        <v>44706</v>
      </c>
      <c r="C3288" s="12" t="inlineStr">
        <is>
          <t>VS13</t>
        </is>
      </c>
      <c r="D3288" s="12" t="inlineStr">
        <is>
          <t>SS Sheets</t>
        </is>
      </c>
      <c r="E3288" s="12" t="inlineStr">
        <is>
          <t>N</t>
        </is>
      </c>
      <c r="F3288" s="12" t="n">
        <v>23.42</v>
      </c>
      <c r="G3288" s="17" t="n">
        <v>58733.37</v>
      </c>
      <c r="H3288" s="26" t="n">
        <v>44715</v>
      </c>
      <c r="I3288" s="26" t="n">
        <v>44717</v>
      </c>
      <c r="J3288" s="12" t="n">
        <v>23.39</v>
      </c>
      <c r="K3288" s="17" t="n">
        <v>1375535.53</v>
      </c>
      <c r="L3288" s="12" t="n">
        <v>0</v>
      </c>
      <c r="M3288" s="12" t="n">
        <v>25</v>
      </c>
      <c r="N3288" s="27">
        <f>F3288-J3288</f>
        <v/>
      </c>
      <c r="O3288" s="16">
        <f>I3288-H3288</f>
        <v/>
      </c>
      <c r="P3288" s="14">
        <f>F3288*G3288</f>
        <v/>
      </c>
      <c r="Q3288" s="14">
        <f>J3288*G3288</f>
        <v/>
      </c>
      <c r="R3288" s="14">
        <f>K3288-Q3288</f>
        <v/>
      </c>
      <c r="S3288" s="3">
        <f>P3288*Assumptions!$B$3/100</f>
        <v/>
      </c>
      <c r="T3288" s="14">
        <f>R3288-S3288</f>
        <v/>
      </c>
      <c r="U3288" s="14">
        <f>L3288*G3288</f>
        <v/>
      </c>
    </row>
    <row r="3289">
      <c r="A3289" s="12" t="inlineStr">
        <is>
          <t>PO-2023-3287</t>
        </is>
      </c>
      <c r="B3289" s="26" t="n">
        <v>44622</v>
      </c>
      <c r="C3289" s="12" t="inlineStr">
        <is>
          <t>VS07</t>
        </is>
      </c>
      <c r="D3289" s="12" t="inlineStr">
        <is>
          <t>MS Pipes</t>
        </is>
      </c>
      <c r="E3289" s="12" t="inlineStr">
        <is>
          <t>N</t>
        </is>
      </c>
      <c r="F3289" s="12" t="n">
        <v>15.76</v>
      </c>
      <c r="G3289" s="17" t="n">
        <v>94746.42999999999</v>
      </c>
      <c r="H3289" s="26" t="n">
        <v>44636</v>
      </c>
      <c r="I3289" s="26" t="n">
        <v>44638</v>
      </c>
      <c r="J3289" s="12" t="n">
        <v>15.76</v>
      </c>
      <c r="K3289" s="17" t="n">
        <v>1493203.74</v>
      </c>
      <c r="L3289" s="12" t="n">
        <v>0</v>
      </c>
      <c r="M3289" s="12" t="n">
        <v>14</v>
      </c>
      <c r="N3289" s="27">
        <f>F3289-J3289</f>
        <v/>
      </c>
      <c r="O3289" s="16">
        <f>I3289-H3289</f>
        <v/>
      </c>
      <c r="P3289" s="14">
        <f>F3289*G3289</f>
        <v/>
      </c>
      <c r="Q3289" s="14">
        <f>J3289*G3289</f>
        <v/>
      </c>
      <c r="R3289" s="14">
        <f>K3289-Q3289</f>
        <v/>
      </c>
      <c r="S3289" s="3">
        <f>P3289*Assumptions!$B$3/100</f>
        <v/>
      </c>
      <c r="T3289" s="14">
        <f>R3289-S3289</f>
        <v/>
      </c>
      <c r="U3289" s="14">
        <f>L3289*G3289</f>
        <v/>
      </c>
    </row>
    <row r="3290">
      <c r="A3290" s="12" t="inlineStr">
        <is>
          <t>PO-2023-3288</t>
        </is>
      </c>
      <c r="B3290" s="26" t="n">
        <v>45048</v>
      </c>
      <c r="C3290" s="12" t="inlineStr">
        <is>
          <t>VS33</t>
        </is>
      </c>
      <c r="D3290" s="12" t="inlineStr">
        <is>
          <t>MS Rods</t>
        </is>
      </c>
      <c r="E3290" s="12" t="inlineStr">
        <is>
          <t>N</t>
        </is>
      </c>
      <c r="F3290" s="12" t="n">
        <v>39.29</v>
      </c>
      <c r="G3290" s="17" t="n">
        <v>85520.42</v>
      </c>
      <c r="H3290" s="26" t="n">
        <v>45051</v>
      </c>
      <c r="I3290" s="26" t="n">
        <v>45054</v>
      </c>
      <c r="J3290" s="12" t="n">
        <v>39.04</v>
      </c>
      <c r="K3290" s="17" t="n">
        <v>3360097.3</v>
      </c>
      <c r="L3290" s="12" t="n">
        <v>0</v>
      </c>
      <c r="M3290" s="12" t="n">
        <v>25</v>
      </c>
      <c r="N3290" s="27">
        <f>F3290-J3290</f>
        <v/>
      </c>
      <c r="O3290" s="16">
        <f>I3290-H3290</f>
        <v/>
      </c>
      <c r="P3290" s="14">
        <f>F3290*G3290</f>
        <v/>
      </c>
      <c r="Q3290" s="14">
        <f>J3290*G3290</f>
        <v/>
      </c>
      <c r="R3290" s="14">
        <f>K3290-Q3290</f>
        <v/>
      </c>
      <c r="S3290" s="3">
        <f>P3290*Assumptions!$B$3/100</f>
        <v/>
      </c>
      <c r="T3290" s="14">
        <f>R3290-S3290</f>
        <v/>
      </c>
      <c r="U3290" s="14">
        <f>L3290*G3290</f>
        <v/>
      </c>
    </row>
    <row r="3291">
      <c r="A3291" s="12" t="inlineStr">
        <is>
          <t>PO-2023-3289</t>
        </is>
      </c>
      <c r="B3291" s="26" t="n">
        <v>44263</v>
      </c>
      <c r="C3291" s="12" t="inlineStr">
        <is>
          <t>VS21</t>
        </is>
      </c>
      <c r="D3291" s="12" t="inlineStr">
        <is>
          <t>Square/Rect Tubes</t>
        </is>
      </c>
      <c r="E3291" s="12" t="inlineStr">
        <is>
          <t>N</t>
        </is>
      </c>
      <c r="F3291" s="12" t="n">
        <v>28.88</v>
      </c>
      <c r="G3291" s="17" t="n">
        <v>66043.48</v>
      </c>
      <c r="H3291" s="26" t="n">
        <v>44278</v>
      </c>
      <c r="I3291" s="26" t="n">
        <v>44281</v>
      </c>
      <c r="J3291" s="12" t="n">
        <v>28.83</v>
      </c>
      <c r="K3291" s="17" t="n">
        <v>1907335.7</v>
      </c>
      <c r="L3291" s="12" t="n">
        <v>0</v>
      </c>
      <c r="M3291" s="12" t="n">
        <v>22</v>
      </c>
      <c r="N3291" s="27">
        <f>F3291-J3291</f>
        <v/>
      </c>
      <c r="O3291" s="16">
        <f>I3291-H3291</f>
        <v/>
      </c>
      <c r="P3291" s="14">
        <f>F3291*G3291</f>
        <v/>
      </c>
      <c r="Q3291" s="14">
        <f>J3291*G3291</f>
        <v/>
      </c>
      <c r="R3291" s="14">
        <f>K3291-Q3291</f>
        <v/>
      </c>
      <c r="S3291" s="3">
        <f>P3291*Assumptions!$B$3/100</f>
        <v/>
      </c>
      <c r="T3291" s="14">
        <f>R3291-S3291</f>
        <v/>
      </c>
      <c r="U3291" s="14">
        <f>L3291*G3291</f>
        <v/>
      </c>
    </row>
    <row r="3292">
      <c r="A3292" s="12" t="inlineStr">
        <is>
          <t>PO-2023-3290</t>
        </is>
      </c>
      <c r="B3292" s="26" t="n">
        <v>44299</v>
      </c>
      <c r="C3292" s="12" t="inlineStr">
        <is>
          <t>VS10</t>
        </is>
      </c>
      <c r="D3292" s="12" t="inlineStr">
        <is>
          <t>SS Pipes</t>
        </is>
      </c>
      <c r="E3292" s="12" t="inlineStr">
        <is>
          <t>N</t>
        </is>
      </c>
      <c r="F3292" s="12" t="n">
        <v>32.69</v>
      </c>
      <c r="G3292" s="17" t="n">
        <v>117920.92</v>
      </c>
      <c r="H3292" s="26" t="n">
        <v>44309</v>
      </c>
      <c r="I3292" s="26" t="n">
        <v>44312</v>
      </c>
      <c r="J3292" s="12" t="n">
        <v>32.58</v>
      </c>
      <c r="K3292" s="17" t="n">
        <v>3854834.87</v>
      </c>
      <c r="L3292" s="12" t="n">
        <v>0</v>
      </c>
      <c r="M3292" s="12" t="n">
        <v>0</v>
      </c>
      <c r="N3292" s="27">
        <f>F3292-J3292</f>
        <v/>
      </c>
      <c r="O3292" s="16">
        <f>I3292-H3292</f>
        <v/>
      </c>
      <c r="P3292" s="14">
        <f>F3292*G3292</f>
        <v/>
      </c>
      <c r="Q3292" s="14">
        <f>J3292*G3292</f>
        <v/>
      </c>
      <c r="R3292" s="14">
        <f>K3292-Q3292</f>
        <v/>
      </c>
      <c r="S3292" s="3">
        <f>P3292*Assumptions!$B$3/100</f>
        <v/>
      </c>
      <c r="T3292" s="14">
        <f>R3292-S3292</f>
        <v/>
      </c>
      <c r="U3292" s="14">
        <f>L3292*G3292</f>
        <v/>
      </c>
    </row>
    <row r="3293">
      <c r="A3293" s="12" t="inlineStr">
        <is>
          <t>PO-2023-3291</t>
        </is>
      </c>
      <c r="B3293" s="26" t="n">
        <v>44782</v>
      </c>
      <c r="C3293" s="12" t="inlineStr">
        <is>
          <t>VS05</t>
        </is>
      </c>
      <c r="D3293" s="12" t="inlineStr">
        <is>
          <t>Fasteners &amp; Fittings</t>
        </is>
      </c>
      <c r="E3293" s="12" t="inlineStr">
        <is>
          <t>N</t>
        </is>
      </c>
      <c r="F3293" s="12" t="n">
        <v>13.91</v>
      </c>
      <c r="G3293" s="17" t="n">
        <v>119516.02</v>
      </c>
      <c r="H3293" s="26" t="n">
        <v>44789</v>
      </c>
      <c r="I3293" s="26" t="n">
        <v>44790</v>
      </c>
      <c r="J3293" s="12" t="n">
        <v>13.79</v>
      </c>
      <c r="K3293" s="17" t="n">
        <v>1662467.84</v>
      </c>
      <c r="L3293" s="12" t="n">
        <v>0</v>
      </c>
      <c r="M3293" s="12" t="n">
        <v>15</v>
      </c>
      <c r="N3293" s="27">
        <f>F3293-J3293</f>
        <v/>
      </c>
      <c r="O3293" s="16">
        <f>I3293-H3293</f>
        <v/>
      </c>
      <c r="P3293" s="14">
        <f>F3293*G3293</f>
        <v/>
      </c>
      <c r="Q3293" s="14">
        <f>J3293*G3293</f>
        <v/>
      </c>
      <c r="R3293" s="14">
        <f>K3293-Q3293</f>
        <v/>
      </c>
      <c r="S3293" s="3">
        <f>P3293*Assumptions!$B$3/100</f>
        <v/>
      </c>
      <c r="T3293" s="14">
        <f>R3293-S3293</f>
        <v/>
      </c>
      <c r="U3293" s="14">
        <f>L3293*G3293</f>
        <v/>
      </c>
    </row>
    <row r="3294">
      <c r="A3294" s="12" t="inlineStr">
        <is>
          <t>PO-2023-3292</t>
        </is>
      </c>
      <c r="B3294" s="26" t="n">
        <v>44622</v>
      </c>
      <c r="C3294" s="12" t="inlineStr">
        <is>
          <t>VS21</t>
        </is>
      </c>
      <c r="D3294" s="12" t="inlineStr">
        <is>
          <t>GI Pipes</t>
        </is>
      </c>
      <c r="E3294" s="12" t="inlineStr">
        <is>
          <t>N</t>
        </is>
      </c>
      <c r="F3294" s="12" t="n">
        <v>8.6</v>
      </c>
      <c r="G3294" s="17" t="n">
        <v>85242.11</v>
      </c>
      <c r="H3294" s="26" t="n">
        <v>44637</v>
      </c>
      <c r="I3294" s="26" t="n">
        <v>44639</v>
      </c>
      <c r="J3294" s="12" t="n">
        <v>8.52</v>
      </c>
      <c r="K3294" s="17" t="n">
        <v>733082.15</v>
      </c>
      <c r="L3294" s="12" t="n">
        <v>0</v>
      </c>
      <c r="M3294" s="12" t="n">
        <v>0</v>
      </c>
      <c r="N3294" s="27">
        <f>F3294-J3294</f>
        <v/>
      </c>
      <c r="O3294" s="16">
        <f>I3294-H3294</f>
        <v/>
      </c>
      <c r="P3294" s="14">
        <f>F3294*G3294</f>
        <v/>
      </c>
      <c r="Q3294" s="14">
        <f>J3294*G3294</f>
        <v/>
      </c>
      <c r="R3294" s="14">
        <f>K3294-Q3294</f>
        <v/>
      </c>
      <c r="S3294" s="3">
        <f>P3294*Assumptions!$B$3/100</f>
        <v/>
      </c>
      <c r="T3294" s="14">
        <f>R3294-S3294</f>
        <v/>
      </c>
      <c r="U3294" s="14">
        <f>L3294*G3294</f>
        <v/>
      </c>
    </row>
    <row r="3295">
      <c r="A3295" s="12" t="inlineStr">
        <is>
          <t>PO-2023-3293</t>
        </is>
      </c>
      <c r="B3295" s="26" t="n">
        <v>44947</v>
      </c>
      <c r="C3295" s="12" t="inlineStr">
        <is>
          <t>VS04</t>
        </is>
      </c>
      <c r="D3295" s="12" t="inlineStr">
        <is>
          <t>MS Sheets</t>
        </is>
      </c>
      <c r="E3295" s="12" t="inlineStr">
        <is>
          <t>N</t>
        </is>
      </c>
      <c r="F3295" s="12" t="n">
        <v>8.94</v>
      </c>
      <c r="G3295" s="17" t="n">
        <v>86931.34</v>
      </c>
      <c r="H3295" s="26" t="n">
        <v>44954</v>
      </c>
      <c r="I3295" s="26" t="n">
        <v>44955</v>
      </c>
      <c r="J3295" s="12" t="n">
        <v>8.93</v>
      </c>
      <c r="K3295" s="17" t="n">
        <v>777166.1800000001</v>
      </c>
      <c r="L3295" s="12" t="n">
        <v>0</v>
      </c>
      <c r="M3295" s="12" t="n">
        <v>10</v>
      </c>
      <c r="N3295" s="27">
        <f>F3295-J3295</f>
        <v/>
      </c>
      <c r="O3295" s="16">
        <f>I3295-H3295</f>
        <v/>
      </c>
      <c r="P3295" s="14">
        <f>F3295*G3295</f>
        <v/>
      </c>
      <c r="Q3295" s="14">
        <f>J3295*G3295</f>
        <v/>
      </c>
      <c r="R3295" s="14">
        <f>K3295-Q3295</f>
        <v/>
      </c>
      <c r="S3295" s="3">
        <f>P3295*Assumptions!$B$3/100</f>
        <v/>
      </c>
      <c r="T3295" s="14">
        <f>R3295-S3295</f>
        <v/>
      </c>
      <c r="U3295" s="14">
        <f>L3295*G3295</f>
        <v/>
      </c>
    </row>
    <row r="3296">
      <c r="A3296" s="12" t="inlineStr">
        <is>
          <t>PO-2023-3294</t>
        </is>
      </c>
      <c r="B3296" s="26" t="n">
        <v>45061</v>
      </c>
      <c r="C3296" s="12" t="inlineStr">
        <is>
          <t>VS26</t>
        </is>
      </c>
      <c r="D3296" s="12" t="inlineStr">
        <is>
          <t>MS Flats</t>
        </is>
      </c>
      <c r="E3296" s="12" t="inlineStr">
        <is>
          <t>N</t>
        </is>
      </c>
      <c r="F3296" s="12" t="n">
        <v>9.880000000000001</v>
      </c>
      <c r="G3296" s="17" t="n">
        <v>101370.48</v>
      </c>
      <c r="H3296" s="26" t="n">
        <v>45075</v>
      </c>
      <c r="I3296" s="26" t="n">
        <v>45077</v>
      </c>
      <c r="J3296" s="12" t="n">
        <v>9.82</v>
      </c>
      <c r="K3296" s="17" t="n">
        <v>1001540.34</v>
      </c>
      <c r="L3296" s="12" t="n">
        <v>0</v>
      </c>
      <c r="M3296" s="12" t="n">
        <v>0</v>
      </c>
      <c r="N3296" s="27">
        <f>F3296-J3296</f>
        <v/>
      </c>
      <c r="O3296" s="16">
        <f>I3296-H3296</f>
        <v/>
      </c>
      <c r="P3296" s="14">
        <f>F3296*G3296</f>
        <v/>
      </c>
      <c r="Q3296" s="14">
        <f>J3296*G3296</f>
        <v/>
      </c>
      <c r="R3296" s="14">
        <f>K3296-Q3296</f>
        <v/>
      </c>
      <c r="S3296" s="3">
        <f>P3296*Assumptions!$B$3/100</f>
        <v/>
      </c>
      <c r="T3296" s="14">
        <f>R3296-S3296</f>
        <v/>
      </c>
      <c r="U3296" s="14">
        <f>L3296*G3296</f>
        <v/>
      </c>
    </row>
    <row r="3297">
      <c r="A3297" s="12" t="inlineStr">
        <is>
          <t>PO-2023-3295</t>
        </is>
      </c>
      <c r="B3297" s="26" t="n">
        <v>44523</v>
      </c>
      <c r="C3297" s="12" t="inlineStr">
        <is>
          <t>VS13</t>
        </is>
      </c>
      <c r="D3297" s="12" t="inlineStr">
        <is>
          <t>GI Sheets</t>
        </is>
      </c>
      <c r="E3297" s="12" t="inlineStr">
        <is>
          <t>N</t>
        </is>
      </c>
      <c r="F3297" s="12" t="n">
        <v>7.54</v>
      </c>
      <c r="G3297" s="17" t="n">
        <v>119551.22</v>
      </c>
      <c r="H3297" s="26" t="n">
        <v>44535</v>
      </c>
      <c r="I3297" s="26" t="n">
        <v>44536</v>
      </c>
      <c r="J3297" s="12" t="n">
        <v>7.49</v>
      </c>
      <c r="K3297" s="17" t="n">
        <v>901416.2</v>
      </c>
      <c r="L3297" s="12" t="n">
        <v>0</v>
      </c>
      <c r="M3297" s="12" t="n">
        <v>21</v>
      </c>
      <c r="N3297" s="27">
        <f>F3297-J3297</f>
        <v/>
      </c>
      <c r="O3297" s="16">
        <f>I3297-H3297</f>
        <v/>
      </c>
      <c r="P3297" s="14">
        <f>F3297*G3297</f>
        <v/>
      </c>
      <c r="Q3297" s="14">
        <f>J3297*G3297</f>
        <v/>
      </c>
      <c r="R3297" s="14">
        <f>K3297-Q3297</f>
        <v/>
      </c>
      <c r="S3297" s="3">
        <f>P3297*Assumptions!$B$3/100</f>
        <v/>
      </c>
      <c r="T3297" s="14">
        <f>R3297-S3297</f>
        <v/>
      </c>
      <c r="U3297" s="14">
        <f>L3297*G3297</f>
        <v/>
      </c>
    </row>
    <row r="3298">
      <c r="A3298" s="12" t="inlineStr">
        <is>
          <t>PO-2023-3296</t>
        </is>
      </c>
      <c r="B3298" s="26" t="n">
        <v>44675</v>
      </c>
      <c r="C3298" s="12" t="inlineStr">
        <is>
          <t>VS01</t>
        </is>
      </c>
      <c r="D3298" s="12" t="inlineStr">
        <is>
          <t>Square/Rect Tubes</t>
        </is>
      </c>
      <c r="E3298" s="12" t="inlineStr">
        <is>
          <t>N</t>
        </is>
      </c>
      <c r="F3298" s="12" t="n">
        <v>1.8</v>
      </c>
      <c r="G3298" s="17" t="n">
        <v>69764.17999999999</v>
      </c>
      <c r="H3298" s="26" t="n">
        <v>44687</v>
      </c>
      <c r="I3298" s="26" t="n">
        <v>44687</v>
      </c>
      <c r="J3298" s="12" t="n">
        <v>1.79</v>
      </c>
      <c r="K3298" s="17" t="n">
        <v>125575.52</v>
      </c>
      <c r="L3298" s="12" t="n">
        <v>0</v>
      </c>
      <c r="M3298" s="12" t="n">
        <v>5</v>
      </c>
      <c r="N3298" s="27">
        <f>F3298-J3298</f>
        <v/>
      </c>
      <c r="O3298" s="16">
        <f>I3298-H3298</f>
        <v/>
      </c>
      <c r="P3298" s="14">
        <f>F3298*G3298</f>
        <v/>
      </c>
      <c r="Q3298" s="14">
        <f>J3298*G3298</f>
        <v/>
      </c>
      <c r="R3298" s="14">
        <f>K3298-Q3298</f>
        <v/>
      </c>
      <c r="S3298" s="3">
        <f>P3298*Assumptions!$B$3/100</f>
        <v/>
      </c>
      <c r="T3298" s="14">
        <f>R3298-S3298</f>
        <v/>
      </c>
      <c r="U3298" s="14">
        <f>L3298*G3298</f>
        <v/>
      </c>
    </row>
    <row r="3299">
      <c r="A3299" s="12" t="inlineStr">
        <is>
          <t>PO-2023-3297</t>
        </is>
      </c>
      <c r="B3299" s="26" t="n">
        <v>44417</v>
      </c>
      <c r="C3299" s="12" t="inlineStr">
        <is>
          <t>VS14</t>
        </is>
      </c>
      <c r="D3299" s="12" t="inlineStr">
        <is>
          <t>GI Sheets</t>
        </is>
      </c>
      <c r="E3299" s="12" t="inlineStr">
        <is>
          <t>N</t>
        </is>
      </c>
      <c r="F3299" s="12" t="n">
        <v>44.01</v>
      </c>
      <c r="G3299" s="17" t="n">
        <v>62229.14</v>
      </c>
      <c r="H3299" s="26" t="n">
        <v>44423</v>
      </c>
      <c r="I3299" s="26" t="n">
        <v>44424</v>
      </c>
      <c r="J3299" s="12" t="n">
        <v>43.66</v>
      </c>
      <c r="K3299" s="17" t="n">
        <v>2738704.45</v>
      </c>
      <c r="L3299" s="12" t="n">
        <v>0</v>
      </c>
      <c r="M3299" s="12" t="n">
        <v>21</v>
      </c>
      <c r="N3299" s="27">
        <f>F3299-J3299</f>
        <v/>
      </c>
      <c r="O3299" s="16">
        <f>I3299-H3299</f>
        <v/>
      </c>
      <c r="P3299" s="14">
        <f>F3299*G3299</f>
        <v/>
      </c>
      <c r="Q3299" s="14">
        <f>J3299*G3299</f>
        <v/>
      </c>
      <c r="R3299" s="14">
        <f>K3299-Q3299</f>
        <v/>
      </c>
      <c r="S3299" s="3">
        <f>P3299*Assumptions!$B$3/100</f>
        <v/>
      </c>
      <c r="T3299" s="14">
        <f>R3299-S3299</f>
        <v/>
      </c>
      <c r="U3299" s="14">
        <f>L3299*G3299</f>
        <v/>
      </c>
    </row>
    <row r="3300">
      <c r="A3300" s="12" t="inlineStr">
        <is>
          <t>PO-2023-3298</t>
        </is>
      </c>
      <c r="B3300" s="26" t="n">
        <v>44601</v>
      </c>
      <c r="C3300" s="12" t="inlineStr">
        <is>
          <t>VS17</t>
        </is>
      </c>
      <c r="D3300" s="12" t="inlineStr">
        <is>
          <t>GI Wire</t>
        </is>
      </c>
      <c r="E3300" s="12" t="inlineStr">
        <is>
          <t>N</t>
        </is>
      </c>
      <c r="F3300" s="12" t="n">
        <v>23.95</v>
      </c>
      <c r="G3300" s="17" t="n">
        <v>50079.06</v>
      </c>
      <c r="H3300" s="26" t="n">
        <v>44615</v>
      </c>
      <c r="I3300" s="26" t="n">
        <v>44616</v>
      </c>
      <c r="J3300" s="12" t="n">
        <v>23.91</v>
      </c>
      <c r="K3300" s="17" t="n">
        <v>1199393.49</v>
      </c>
      <c r="L3300" s="12" t="n">
        <v>0</v>
      </c>
      <c r="M3300" s="12" t="n">
        <v>15</v>
      </c>
      <c r="N3300" s="27">
        <f>F3300-J3300</f>
        <v/>
      </c>
      <c r="O3300" s="16">
        <f>I3300-H3300</f>
        <v/>
      </c>
      <c r="P3300" s="14">
        <f>F3300*G3300</f>
        <v/>
      </c>
      <c r="Q3300" s="14">
        <f>J3300*G3300</f>
        <v/>
      </c>
      <c r="R3300" s="14">
        <f>K3300-Q3300</f>
        <v/>
      </c>
      <c r="S3300" s="3">
        <f>P3300*Assumptions!$B$3/100</f>
        <v/>
      </c>
      <c r="T3300" s="14">
        <f>R3300-S3300</f>
        <v/>
      </c>
      <c r="U3300" s="14">
        <f>L3300*G3300</f>
        <v/>
      </c>
    </row>
    <row r="3301">
      <c r="A3301" s="12" t="inlineStr">
        <is>
          <t>PO-2023-3299</t>
        </is>
      </c>
      <c r="B3301" s="26" t="n">
        <v>44448</v>
      </c>
      <c r="C3301" s="12" t="inlineStr">
        <is>
          <t>VS28</t>
        </is>
      </c>
      <c r="D3301" s="12" t="inlineStr">
        <is>
          <t>Fasteners &amp; Fittings</t>
        </is>
      </c>
      <c r="E3301" s="12" t="inlineStr">
        <is>
          <t>N</t>
        </is>
      </c>
      <c r="F3301" s="12" t="n">
        <v>18.89</v>
      </c>
      <c r="G3301" s="17" t="n">
        <v>106183.88</v>
      </c>
      <c r="H3301" s="26" t="n">
        <v>44458</v>
      </c>
      <c r="I3301" s="26" t="n">
        <v>44461</v>
      </c>
      <c r="J3301" s="12" t="n">
        <v>18.73</v>
      </c>
      <c r="K3301" s="17" t="n">
        <v>2005813.49</v>
      </c>
      <c r="L3301" s="12" t="n">
        <v>0</v>
      </c>
      <c r="M3301" s="12" t="n">
        <v>3</v>
      </c>
      <c r="N3301" s="27">
        <f>F3301-J3301</f>
        <v/>
      </c>
      <c r="O3301" s="16">
        <f>I3301-H3301</f>
        <v/>
      </c>
      <c r="P3301" s="14">
        <f>F3301*G3301</f>
        <v/>
      </c>
      <c r="Q3301" s="14">
        <f>J3301*G3301</f>
        <v/>
      </c>
      <c r="R3301" s="14">
        <f>K3301-Q3301</f>
        <v/>
      </c>
      <c r="S3301" s="3">
        <f>P3301*Assumptions!$B$3/100</f>
        <v/>
      </c>
      <c r="T3301" s="14">
        <f>R3301-S3301</f>
        <v/>
      </c>
      <c r="U3301" s="14">
        <f>L3301*G3301</f>
        <v/>
      </c>
    </row>
    <row r="3302">
      <c r="A3302" s="12" t="inlineStr">
        <is>
          <t>PO-2023-3300</t>
        </is>
      </c>
      <c r="B3302" s="26" t="n">
        <v>45071</v>
      </c>
      <c r="C3302" s="12" t="inlineStr">
        <is>
          <t>VS10</t>
        </is>
      </c>
      <c r="D3302" s="12" t="inlineStr">
        <is>
          <t>Structural Steel</t>
        </is>
      </c>
      <c r="E3302" s="12" t="inlineStr">
        <is>
          <t>N</t>
        </is>
      </c>
      <c r="F3302" s="12" t="n">
        <v>30.87</v>
      </c>
      <c r="G3302" s="17" t="n">
        <v>71053.00999999999</v>
      </c>
      <c r="H3302" s="26" t="n">
        <v>45079</v>
      </c>
      <c r="I3302" s="26" t="n">
        <v>45081</v>
      </c>
      <c r="J3302" s="12" t="n">
        <v>30.68</v>
      </c>
      <c r="K3302" s="17" t="n">
        <v>2193406.42</v>
      </c>
      <c r="L3302" s="12" t="n">
        <v>0</v>
      </c>
      <c r="M3302" s="12" t="n">
        <v>24</v>
      </c>
      <c r="N3302" s="27">
        <f>F3302-J3302</f>
        <v/>
      </c>
      <c r="O3302" s="16">
        <f>I3302-H3302</f>
        <v/>
      </c>
      <c r="P3302" s="14">
        <f>F3302*G3302</f>
        <v/>
      </c>
      <c r="Q3302" s="14">
        <f>J3302*G3302</f>
        <v/>
      </c>
      <c r="R3302" s="14">
        <f>K3302-Q3302</f>
        <v/>
      </c>
      <c r="S3302" s="3">
        <f>P3302*Assumptions!$B$3/100</f>
        <v/>
      </c>
      <c r="T3302" s="14">
        <f>R3302-S3302</f>
        <v/>
      </c>
      <c r="U3302" s="14">
        <f>L3302*G3302</f>
        <v/>
      </c>
    </row>
    <row r="3303">
      <c r="A3303" s="12" t="inlineStr">
        <is>
          <t>PO-2023-3301</t>
        </is>
      </c>
      <c r="B3303" s="26" t="n">
        <v>44707</v>
      </c>
      <c r="C3303" s="12" t="inlineStr">
        <is>
          <t>VS04</t>
        </is>
      </c>
      <c r="D3303" s="12" t="inlineStr">
        <is>
          <t>MS Sheets</t>
        </is>
      </c>
      <c r="E3303" s="12" t="inlineStr">
        <is>
          <t>N</t>
        </is>
      </c>
      <c r="F3303" s="12" t="n">
        <v>14.62</v>
      </c>
      <c r="G3303" s="17" t="n">
        <v>72764.63</v>
      </c>
      <c r="H3303" s="26" t="n">
        <v>44710</v>
      </c>
      <c r="I3303" s="26" t="n">
        <v>44711</v>
      </c>
      <c r="J3303" s="12" t="n">
        <v>14.53</v>
      </c>
      <c r="K3303" s="17" t="n">
        <v>1063818.89</v>
      </c>
      <c r="L3303" s="12" t="n">
        <v>0</v>
      </c>
      <c r="M3303" s="12" t="n">
        <v>9</v>
      </c>
      <c r="N3303" s="27">
        <f>F3303-J3303</f>
        <v/>
      </c>
      <c r="O3303" s="16">
        <f>I3303-H3303</f>
        <v/>
      </c>
      <c r="P3303" s="14">
        <f>F3303*G3303</f>
        <v/>
      </c>
      <c r="Q3303" s="14">
        <f>J3303*G3303</f>
        <v/>
      </c>
      <c r="R3303" s="14">
        <f>K3303-Q3303</f>
        <v/>
      </c>
      <c r="S3303" s="3">
        <f>P3303*Assumptions!$B$3/100</f>
        <v/>
      </c>
      <c r="T3303" s="14">
        <f>R3303-S3303</f>
        <v/>
      </c>
      <c r="U3303" s="14">
        <f>L3303*G3303</f>
        <v/>
      </c>
    </row>
    <row r="3304">
      <c r="A3304" s="12" t="inlineStr">
        <is>
          <t>PO-2023-3302</t>
        </is>
      </c>
      <c r="B3304" s="26" t="n">
        <v>44357</v>
      </c>
      <c r="C3304" s="12" t="inlineStr">
        <is>
          <t>VS12</t>
        </is>
      </c>
      <c r="D3304" s="12" t="inlineStr">
        <is>
          <t>HR Coils</t>
        </is>
      </c>
      <c r="E3304" s="12" t="inlineStr">
        <is>
          <t>Y</t>
        </is>
      </c>
      <c r="F3304" s="12" t="n">
        <v>37</v>
      </c>
      <c r="G3304" s="17" t="n">
        <v>90178.03</v>
      </c>
      <c r="H3304" s="26" t="n">
        <v>44364</v>
      </c>
      <c r="I3304" s="26" t="n">
        <v>44367</v>
      </c>
      <c r="J3304" s="12" t="n">
        <v>35.42</v>
      </c>
      <c r="K3304" s="17" t="n">
        <v>3336587.11</v>
      </c>
      <c r="L3304" s="12" t="n">
        <v>1.51</v>
      </c>
      <c r="M3304" s="12" t="n">
        <v>25</v>
      </c>
      <c r="N3304" s="27">
        <f>F3304-J3304</f>
        <v/>
      </c>
      <c r="O3304" s="16">
        <f>I3304-H3304</f>
        <v/>
      </c>
      <c r="P3304" s="14">
        <f>F3304*G3304</f>
        <v/>
      </c>
      <c r="Q3304" s="14">
        <f>J3304*G3304</f>
        <v/>
      </c>
      <c r="R3304" s="14">
        <f>K3304-Q3304</f>
        <v/>
      </c>
      <c r="S3304" s="3">
        <f>P3304*Assumptions!$B$3/100</f>
        <v/>
      </c>
      <c r="T3304" s="14">
        <f>R3304-S3304</f>
        <v/>
      </c>
      <c r="U3304" s="14">
        <f>L3304*G3304</f>
        <v/>
      </c>
    </row>
    <row r="3305">
      <c r="A3305" s="12" t="inlineStr">
        <is>
          <t>PO-2023-3303</t>
        </is>
      </c>
      <c r="B3305" s="26" t="n">
        <v>45195</v>
      </c>
      <c r="C3305" s="12" t="inlineStr">
        <is>
          <t>VS11</t>
        </is>
      </c>
      <c r="D3305" s="12" t="inlineStr">
        <is>
          <t>HR Coils</t>
        </is>
      </c>
      <c r="E3305" s="12" t="inlineStr">
        <is>
          <t>Y</t>
        </is>
      </c>
      <c r="F3305" s="12" t="n">
        <v>2.42</v>
      </c>
      <c r="G3305" s="17" t="n">
        <v>65313.99</v>
      </c>
      <c r="H3305" s="26" t="n">
        <v>45210</v>
      </c>
      <c r="I3305" s="26" t="n">
        <v>45213</v>
      </c>
      <c r="J3305" s="12" t="n">
        <v>2.4</v>
      </c>
      <c r="K3305" s="17" t="n">
        <v>158059.86</v>
      </c>
      <c r="L3305" s="12" t="n">
        <v>0</v>
      </c>
      <c r="M3305" s="12" t="n">
        <v>0</v>
      </c>
      <c r="N3305" s="27">
        <f>F3305-J3305</f>
        <v/>
      </c>
      <c r="O3305" s="16">
        <f>I3305-H3305</f>
        <v/>
      </c>
      <c r="P3305" s="14">
        <f>F3305*G3305</f>
        <v/>
      </c>
      <c r="Q3305" s="14">
        <f>J3305*G3305</f>
        <v/>
      </c>
      <c r="R3305" s="14">
        <f>K3305-Q3305</f>
        <v/>
      </c>
      <c r="S3305" s="3">
        <f>P3305*Assumptions!$B$3/100</f>
        <v/>
      </c>
      <c r="T3305" s="14">
        <f>R3305-S3305</f>
        <v/>
      </c>
      <c r="U3305" s="14">
        <f>L3305*G3305</f>
        <v/>
      </c>
    </row>
    <row r="3306">
      <c r="A3306" s="12" t="inlineStr">
        <is>
          <t>PO-2023-3304</t>
        </is>
      </c>
      <c r="B3306" s="26" t="n">
        <v>44466</v>
      </c>
      <c r="C3306" s="12" t="inlineStr">
        <is>
          <t>VS03</t>
        </is>
      </c>
      <c r="D3306" s="12" t="inlineStr">
        <is>
          <t>Square/Rect Tubes</t>
        </is>
      </c>
      <c r="E3306" s="12" t="inlineStr">
        <is>
          <t>N</t>
        </is>
      </c>
      <c r="F3306" s="12" t="n">
        <v>27.47</v>
      </c>
      <c r="G3306" s="17" t="n">
        <v>82559.31</v>
      </c>
      <c r="H3306" s="26" t="n">
        <v>44481</v>
      </c>
      <c r="I3306" s="26" t="n">
        <v>44488</v>
      </c>
      <c r="J3306" s="12" t="n">
        <v>26.42</v>
      </c>
      <c r="K3306" s="17" t="n">
        <v>2267904.25</v>
      </c>
      <c r="L3306" s="12" t="n">
        <v>1.18</v>
      </c>
      <c r="M3306" s="12" t="n">
        <v>23</v>
      </c>
      <c r="N3306" s="27">
        <f>F3306-J3306</f>
        <v/>
      </c>
      <c r="O3306" s="16">
        <f>I3306-H3306</f>
        <v/>
      </c>
      <c r="P3306" s="14">
        <f>F3306*G3306</f>
        <v/>
      </c>
      <c r="Q3306" s="14">
        <f>J3306*G3306</f>
        <v/>
      </c>
      <c r="R3306" s="14">
        <f>K3306-Q3306</f>
        <v/>
      </c>
      <c r="S3306" s="3">
        <f>P3306*Assumptions!$B$3/100</f>
        <v/>
      </c>
      <c r="T3306" s="14">
        <f>R3306-S3306</f>
        <v/>
      </c>
      <c r="U3306" s="14">
        <f>L3306*G3306</f>
        <v/>
      </c>
    </row>
    <row r="3307">
      <c r="A3307" s="12" t="inlineStr">
        <is>
          <t>PO-2023-3305</t>
        </is>
      </c>
      <c r="B3307" s="26" t="n">
        <v>44230</v>
      </c>
      <c r="C3307" s="12" t="inlineStr">
        <is>
          <t>VS06</t>
        </is>
      </c>
      <c r="D3307" s="12" t="inlineStr">
        <is>
          <t>Fasteners &amp; Fittings</t>
        </is>
      </c>
      <c r="E3307" s="12" t="inlineStr">
        <is>
          <t>N</t>
        </is>
      </c>
      <c r="F3307" s="12" t="n">
        <v>36.17</v>
      </c>
      <c r="G3307" s="17" t="n">
        <v>116820.89</v>
      </c>
      <c r="H3307" s="26" t="n">
        <v>44243</v>
      </c>
      <c r="I3307" s="26" t="n">
        <v>44243</v>
      </c>
      <c r="J3307" s="12" t="n">
        <v>35.89</v>
      </c>
      <c r="K3307" s="17" t="n">
        <v>4225411.59</v>
      </c>
      <c r="L3307" s="12" t="n">
        <v>0</v>
      </c>
      <c r="M3307" s="12" t="n">
        <v>0</v>
      </c>
      <c r="N3307" s="27">
        <f>F3307-J3307</f>
        <v/>
      </c>
      <c r="O3307" s="16">
        <f>I3307-H3307</f>
        <v/>
      </c>
      <c r="P3307" s="14">
        <f>F3307*G3307</f>
        <v/>
      </c>
      <c r="Q3307" s="14">
        <f>J3307*G3307</f>
        <v/>
      </c>
      <c r="R3307" s="14">
        <f>K3307-Q3307</f>
        <v/>
      </c>
      <c r="S3307" s="3">
        <f>P3307*Assumptions!$B$3/100</f>
        <v/>
      </c>
      <c r="T3307" s="14">
        <f>R3307-S3307</f>
        <v/>
      </c>
      <c r="U3307" s="14">
        <f>L3307*G3307</f>
        <v/>
      </c>
    </row>
    <row r="3308">
      <c r="A3308" s="12" t="inlineStr">
        <is>
          <t>PO-2023-3306</t>
        </is>
      </c>
      <c r="B3308" s="26" t="n">
        <v>44468</v>
      </c>
      <c r="C3308" s="12" t="inlineStr">
        <is>
          <t>VS19</t>
        </is>
      </c>
      <c r="D3308" s="12" t="inlineStr">
        <is>
          <t>GI Pipes</t>
        </is>
      </c>
      <c r="E3308" s="12" t="inlineStr">
        <is>
          <t>N</t>
        </is>
      </c>
      <c r="F3308" s="12" t="n">
        <v>44.17</v>
      </c>
      <c r="G3308" s="17" t="n">
        <v>51362.2</v>
      </c>
      <c r="H3308" s="26" t="n">
        <v>44482</v>
      </c>
      <c r="I3308" s="26" t="n">
        <v>44486</v>
      </c>
      <c r="J3308" s="12" t="n">
        <v>42.77</v>
      </c>
      <c r="K3308" s="17" t="n">
        <v>2268668.37</v>
      </c>
      <c r="L3308" s="12" t="n">
        <v>1.1</v>
      </c>
      <c r="M3308" s="12" t="n">
        <v>3</v>
      </c>
      <c r="N3308" s="27">
        <f>F3308-J3308</f>
        <v/>
      </c>
      <c r="O3308" s="16">
        <f>I3308-H3308</f>
        <v/>
      </c>
      <c r="P3308" s="14">
        <f>F3308*G3308</f>
        <v/>
      </c>
      <c r="Q3308" s="14">
        <f>J3308*G3308</f>
        <v/>
      </c>
      <c r="R3308" s="14">
        <f>K3308-Q3308</f>
        <v/>
      </c>
      <c r="S3308" s="3">
        <f>P3308*Assumptions!$B$3/100</f>
        <v/>
      </c>
      <c r="T3308" s="14">
        <f>R3308-S3308</f>
        <v/>
      </c>
      <c r="U3308" s="14">
        <f>L3308*G3308</f>
        <v/>
      </c>
    </row>
    <row r="3309">
      <c r="A3309" s="12" t="inlineStr">
        <is>
          <t>PO-2023-3307</t>
        </is>
      </c>
      <c r="B3309" s="26" t="n">
        <v>45044</v>
      </c>
      <c r="C3309" s="12" t="inlineStr">
        <is>
          <t>VS17</t>
        </is>
      </c>
      <c r="D3309" s="12" t="inlineStr">
        <is>
          <t>Spring Steel</t>
        </is>
      </c>
      <c r="E3309" s="12" t="inlineStr">
        <is>
          <t>N</t>
        </is>
      </c>
      <c r="F3309" s="12" t="n">
        <v>23.67</v>
      </c>
      <c r="G3309" s="17" t="n">
        <v>103214.09</v>
      </c>
      <c r="H3309" s="26" t="n">
        <v>45048</v>
      </c>
      <c r="I3309" s="26" t="n">
        <v>45051</v>
      </c>
      <c r="J3309" s="12" t="n">
        <v>23.5</v>
      </c>
      <c r="K3309" s="17" t="n">
        <v>2443077.51</v>
      </c>
      <c r="L3309" s="12" t="n">
        <v>0</v>
      </c>
      <c r="M3309" s="12" t="n">
        <v>0</v>
      </c>
      <c r="N3309" s="27">
        <f>F3309-J3309</f>
        <v/>
      </c>
      <c r="O3309" s="16">
        <f>I3309-H3309</f>
        <v/>
      </c>
      <c r="P3309" s="14">
        <f>F3309*G3309</f>
        <v/>
      </c>
      <c r="Q3309" s="14">
        <f>J3309*G3309</f>
        <v/>
      </c>
      <c r="R3309" s="14">
        <f>K3309-Q3309</f>
        <v/>
      </c>
      <c r="S3309" s="3">
        <f>P3309*Assumptions!$B$3/100</f>
        <v/>
      </c>
      <c r="T3309" s="14">
        <f>R3309-S3309</f>
        <v/>
      </c>
      <c r="U3309" s="14">
        <f>L3309*G3309</f>
        <v/>
      </c>
    </row>
    <row r="3310">
      <c r="A3310" s="12" t="inlineStr">
        <is>
          <t>PO-2023-3308</t>
        </is>
      </c>
      <c r="B3310" s="26" t="n">
        <v>45172</v>
      </c>
      <c r="C3310" s="12" t="inlineStr">
        <is>
          <t>VS32</t>
        </is>
      </c>
      <c r="D3310" s="12" t="inlineStr">
        <is>
          <t>MS Flats</t>
        </is>
      </c>
      <c r="E3310" s="12" t="inlineStr">
        <is>
          <t>N</t>
        </is>
      </c>
      <c r="F3310" s="12" t="n">
        <v>41.42</v>
      </c>
      <c r="G3310" s="17" t="n">
        <v>76044</v>
      </c>
      <c r="H3310" s="26" t="n">
        <v>45184</v>
      </c>
      <c r="I3310" s="26" t="n">
        <v>45184</v>
      </c>
      <c r="J3310" s="12" t="n">
        <v>41.19</v>
      </c>
      <c r="K3310" s="17" t="n">
        <v>3149742.48</v>
      </c>
      <c r="L3310" s="12" t="n">
        <v>0</v>
      </c>
      <c r="M3310" s="12" t="n">
        <v>13</v>
      </c>
      <c r="N3310" s="27">
        <f>F3310-J3310</f>
        <v/>
      </c>
      <c r="O3310" s="16">
        <f>I3310-H3310</f>
        <v/>
      </c>
      <c r="P3310" s="14">
        <f>F3310*G3310</f>
        <v/>
      </c>
      <c r="Q3310" s="14">
        <f>J3310*G3310</f>
        <v/>
      </c>
      <c r="R3310" s="14">
        <f>K3310-Q3310</f>
        <v/>
      </c>
      <c r="S3310" s="3">
        <f>P3310*Assumptions!$B$3/100</f>
        <v/>
      </c>
      <c r="T3310" s="14">
        <f>R3310-S3310</f>
        <v/>
      </c>
      <c r="U3310" s="14">
        <f>L3310*G3310</f>
        <v/>
      </c>
    </row>
    <row r="3311">
      <c r="A3311" s="12" t="inlineStr">
        <is>
          <t>PO-2023-3309</t>
        </is>
      </c>
      <c r="B3311" s="26" t="n">
        <v>44571</v>
      </c>
      <c r="C3311" s="12" t="inlineStr">
        <is>
          <t>VS17</t>
        </is>
      </c>
      <c r="D3311" s="12" t="inlineStr">
        <is>
          <t>GI Pipes</t>
        </is>
      </c>
      <c r="E3311" s="12" t="inlineStr">
        <is>
          <t>N</t>
        </is>
      </c>
      <c r="F3311" s="12" t="n">
        <v>19.93</v>
      </c>
      <c r="G3311" s="17" t="n">
        <v>92986.41</v>
      </c>
      <c r="H3311" s="26" t="n">
        <v>44577</v>
      </c>
      <c r="I3311" s="26" t="n">
        <v>44579</v>
      </c>
      <c r="J3311" s="12" t="n">
        <v>19.9</v>
      </c>
      <c r="K3311" s="17" t="n">
        <v>1853219.15</v>
      </c>
      <c r="L3311" s="12" t="n">
        <v>0</v>
      </c>
      <c r="M3311" s="12" t="n">
        <v>0</v>
      </c>
      <c r="N3311" s="27">
        <f>F3311-J3311</f>
        <v/>
      </c>
      <c r="O3311" s="16">
        <f>I3311-H3311</f>
        <v/>
      </c>
      <c r="P3311" s="14">
        <f>F3311*G3311</f>
        <v/>
      </c>
      <c r="Q3311" s="14">
        <f>J3311*G3311</f>
        <v/>
      </c>
      <c r="R3311" s="14">
        <f>K3311-Q3311</f>
        <v/>
      </c>
      <c r="S3311" s="3">
        <f>P3311*Assumptions!$B$3/100</f>
        <v/>
      </c>
      <c r="T3311" s="14">
        <f>R3311-S3311</f>
        <v/>
      </c>
      <c r="U3311" s="14">
        <f>L3311*G3311</f>
        <v/>
      </c>
    </row>
    <row r="3312">
      <c r="A3312" s="12" t="inlineStr">
        <is>
          <t>PO-2023-3310</t>
        </is>
      </c>
      <c r="B3312" s="26" t="n">
        <v>45099</v>
      </c>
      <c r="C3312" s="12" t="inlineStr">
        <is>
          <t>VS10</t>
        </is>
      </c>
      <c r="D3312" s="12" t="inlineStr">
        <is>
          <t>Structural Steel</t>
        </is>
      </c>
      <c r="E3312" s="12" t="inlineStr">
        <is>
          <t>N</t>
        </is>
      </c>
      <c r="F3312" s="12" t="n">
        <v>31.82</v>
      </c>
      <c r="G3312" s="17" t="n">
        <v>70460.88</v>
      </c>
      <c r="H3312" s="26" t="n">
        <v>45103</v>
      </c>
      <c r="I3312" s="26" t="n">
        <v>45104</v>
      </c>
      <c r="J3312" s="12" t="n">
        <v>31.77</v>
      </c>
      <c r="K3312" s="17" t="n">
        <v>2242065.2</v>
      </c>
      <c r="L3312" s="12" t="n">
        <v>0</v>
      </c>
      <c r="M3312" s="12" t="n">
        <v>11</v>
      </c>
      <c r="N3312" s="27">
        <f>F3312-J3312</f>
        <v/>
      </c>
      <c r="O3312" s="16">
        <f>I3312-H3312</f>
        <v/>
      </c>
      <c r="P3312" s="14">
        <f>F3312*G3312</f>
        <v/>
      </c>
      <c r="Q3312" s="14">
        <f>J3312*G3312</f>
        <v/>
      </c>
      <c r="R3312" s="14">
        <f>K3312-Q3312</f>
        <v/>
      </c>
      <c r="S3312" s="3">
        <f>P3312*Assumptions!$B$3/100</f>
        <v/>
      </c>
      <c r="T3312" s="14">
        <f>R3312-S3312</f>
        <v/>
      </c>
      <c r="U3312" s="14">
        <f>L3312*G3312</f>
        <v/>
      </c>
    </row>
    <row r="3313">
      <c r="A3313" s="12" t="inlineStr">
        <is>
          <t>PO-2023-3311</t>
        </is>
      </c>
      <c r="B3313" s="26" t="n">
        <v>44565</v>
      </c>
      <c r="C3313" s="12" t="inlineStr">
        <is>
          <t>VS10</t>
        </is>
      </c>
      <c r="D3313" s="12" t="inlineStr">
        <is>
          <t>MS Flats</t>
        </is>
      </c>
      <c r="E3313" s="12" t="inlineStr">
        <is>
          <t>N</t>
        </is>
      </c>
      <c r="F3313" s="12" t="n">
        <v>30.34</v>
      </c>
      <c r="G3313" s="17" t="n">
        <v>105199.83</v>
      </c>
      <c r="H3313" s="26" t="n">
        <v>44577</v>
      </c>
      <c r="I3313" s="26" t="n">
        <v>44577</v>
      </c>
      <c r="J3313" s="12" t="n">
        <v>30.11</v>
      </c>
      <c r="K3313" s="17" t="n">
        <v>3191762.84</v>
      </c>
      <c r="L3313" s="12" t="n">
        <v>0</v>
      </c>
      <c r="M3313" s="12" t="n">
        <v>9</v>
      </c>
      <c r="N3313" s="27">
        <f>F3313-J3313</f>
        <v/>
      </c>
      <c r="O3313" s="16">
        <f>I3313-H3313</f>
        <v/>
      </c>
      <c r="P3313" s="14">
        <f>F3313*G3313</f>
        <v/>
      </c>
      <c r="Q3313" s="14">
        <f>J3313*G3313</f>
        <v/>
      </c>
      <c r="R3313" s="14">
        <f>K3313-Q3313</f>
        <v/>
      </c>
      <c r="S3313" s="3">
        <f>P3313*Assumptions!$B$3/100</f>
        <v/>
      </c>
      <c r="T3313" s="14">
        <f>R3313-S3313</f>
        <v/>
      </c>
      <c r="U3313" s="14">
        <f>L3313*G3313</f>
        <v/>
      </c>
    </row>
    <row r="3314">
      <c r="A3314" s="12" t="inlineStr">
        <is>
          <t>PO-2023-3312</t>
        </is>
      </c>
      <c r="B3314" s="26" t="n">
        <v>44899</v>
      </c>
      <c r="C3314" s="12" t="inlineStr">
        <is>
          <t>VS25</t>
        </is>
      </c>
      <c r="D3314" s="12" t="inlineStr">
        <is>
          <t>MS Rods</t>
        </is>
      </c>
      <c r="E3314" s="12" t="inlineStr">
        <is>
          <t>N</t>
        </is>
      </c>
      <c r="F3314" s="12" t="n">
        <v>38.15</v>
      </c>
      <c r="G3314" s="17" t="n">
        <v>66131.06</v>
      </c>
      <c r="H3314" s="26" t="n">
        <v>44906</v>
      </c>
      <c r="I3314" s="26" t="n">
        <v>44906</v>
      </c>
      <c r="J3314" s="12" t="n">
        <v>38.04</v>
      </c>
      <c r="K3314" s="17" t="n">
        <v>2522899.94</v>
      </c>
      <c r="L3314" s="12" t="n">
        <v>0</v>
      </c>
      <c r="M3314" s="12" t="n">
        <v>0</v>
      </c>
      <c r="N3314" s="27">
        <f>F3314-J3314</f>
        <v/>
      </c>
      <c r="O3314" s="16">
        <f>I3314-H3314</f>
        <v/>
      </c>
      <c r="P3314" s="14">
        <f>F3314*G3314</f>
        <v/>
      </c>
      <c r="Q3314" s="14">
        <f>J3314*G3314</f>
        <v/>
      </c>
      <c r="R3314" s="14">
        <f>K3314-Q3314</f>
        <v/>
      </c>
      <c r="S3314" s="3">
        <f>P3314*Assumptions!$B$3/100</f>
        <v/>
      </c>
      <c r="T3314" s="14">
        <f>R3314-S3314</f>
        <v/>
      </c>
      <c r="U3314" s="14">
        <f>L3314*G3314</f>
        <v/>
      </c>
    </row>
    <row r="3315">
      <c r="A3315" s="12" t="inlineStr">
        <is>
          <t>PO-2023-3313</t>
        </is>
      </c>
      <c r="B3315" s="26" t="n">
        <v>45235</v>
      </c>
      <c r="C3315" s="12" t="inlineStr">
        <is>
          <t>VS10</t>
        </is>
      </c>
      <c r="D3315" s="12" t="inlineStr">
        <is>
          <t>HR Coils</t>
        </is>
      </c>
      <c r="E3315" s="12" t="inlineStr">
        <is>
          <t>N</t>
        </is>
      </c>
      <c r="F3315" s="12" t="n">
        <v>24.79</v>
      </c>
      <c r="G3315" s="17" t="n">
        <v>92040.08</v>
      </c>
      <c r="H3315" s="26" t="n">
        <v>45245</v>
      </c>
      <c r="I3315" s="26" t="n">
        <v>45245</v>
      </c>
      <c r="J3315" s="12" t="n">
        <v>24.64</v>
      </c>
      <c r="K3315" s="17" t="n">
        <v>2281673.58</v>
      </c>
      <c r="L3315" s="12" t="n">
        <v>0</v>
      </c>
      <c r="M3315" s="12" t="n">
        <v>19</v>
      </c>
      <c r="N3315" s="27">
        <f>F3315-J3315</f>
        <v/>
      </c>
      <c r="O3315" s="16">
        <f>I3315-H3315</f>
        <v/>
      </c>
      <c r="P3315" s="14">
        <f>F3315*G3315</f>
        <v/>
      </c>
      <c r="Q3315" s="14">
        <f>J3315*G3315</f>
        <v/>
      </c>
      <c r="R3315" s="14">
        <f>K3315-Q3315</f>
        <v/>
      </c>
      <c r="S3315" s="3">
        <f>P3315*Assumptions!$B$3/100</f>
        <v/>
      </c>
      <c r="T3315" s="14">
        <f>R3315-S3315</f>
        <v/>
      </c>
      <c r="U3315" s="14">
        <f>L3315*G3315</f>
        <v/>
      </c>
    </row>
    <row r="3316">
      <c r="A3316" s="12" t="inlineStr">
        <is>
          <t>PO-2023-3314</t>
        </is>
      </c>
      <c r="B3316" s="26" t="n">
        <v>44353</v>
      </c>
      <c r="C3316" s="12" t="inlineStr">
        <is>
          <t>VS12</t>
        </is>
      </c>
      <c r="D3316" s="12" t="inlineStr">
        <is>
          <t>ERW Pipes</t>
        </is>
      </c>
      <c r="E3316" s="12" t="inlineStr">
        <is>
          <t>N</t>
        </is>
      </c>
      <c r="F3316" s="12" t="n">
        <v>7.37</v>
      </c>
      <c r="G3316" s="17" t="n">
        <v>53504.31</v>
      </c>
      <c r="H3316" s="26" t="n">
        <v>44356</v>
      </c>
      <c r="I3316" s="26" t="n">
        <v>44361</v>
      </c>
      <c r="J3316" s="12" t="n">
        <v>7.04</v>
      </c>
      <c r="K3316" s="17" t="n">
        <v>394326.76</v>
      </c>
      <c r="L3316" s="12" t="n">
        <v>0.26</v>
      </c>
      <c r="M3316" s="12" t="n">
        <v>0</v>
      </c>
      <c r="N3316" s="27">
        <f>F3316-J3316</f>
        <v/>
      </c>
      <c r="O3316" s="16">
        <f>I3316-H3316</f>
        <v/>
      </c>
      <c r="P3316" s="14">
        <f>F3316*G3316</f>
        <v/>
      </c>
      <c r="Q3316" s="14">
        <f>J3316*G3316</f>
        <v/>
      </c>
      <c r="R3316" s="14">
        <f>K3316-Q3316</f>
        <v/>
      </c>
      <c r="S3316" s="3">
        <f>P3316*Assumptions!$B$3/100</f>
        <v/>
      </c>
      <c r="T3316" s="14">
        <f>R3316-S3316</f>
        <v/>
      </c>
      <c r="U3316" s="14">
        <f>L3316*G3316</f>
        <v/>
      </c>
    </row>
    <row r="3317">
      <c r="A3317" s="12" t="inlineStr">
        <is>
          <t>PO-2023-3315</t>
        </is>
      </c>
      <c r="B3317" s="26" t="n">
        <v>44441</v>
      </c>
      <c r="C3317" s="12" t="inlineStr">
        <is>
          <t>VS34</t>
        </is>
      </c>
      <c r="D3317" s="12" t="inlineStr">
        <is>
          <t>Fasteners &amp; Fittings</t>
        </is>
      </c>
      <c r="E3317" s="12" t="inlineStr">
        <is>
          <t>N</t>
        </is>
      </c>
      <c r="F3317" s="12" t="n">
        <v>48.33</v>
      </c>
      <c r="G3317" s="17" t="n">
        <v>48147.27</v>
      </c>
      <c r="H3317" s="26" t="n">
        <v>44455</v>
      </c>
      <c r="I3317" s="26" t="n">
        <v>44457</v>
      </c>
      <c r="J3317" s="12" t="n">
        <v>48.02</v>
      </c>
      <c r="K3317" s="17" t="n">
        <v>2326957.56</v>
      </c>
      <c r="L3317" s="12" t="n">
        <v>0</v>
      </c>
      <c r="M3317" s="12" t="n">
        <v>7</v>
      </c>
      <c r="N3317" s="27">
        <f>F3317-J3317</f>
        <v/>
      </c>
      <c r="O3317" s="16">
        <f>I3317-H3317</f>
        <v/>
      </c>
      <c r="P3317" s="14">
        <f>F3317*G3317</f>
        <v/>
      </c>
      <c r="Q3317" s="14">
        <f>J3317*G3317</f>
        <v/>
      </c>
      <c r="R3317" s="14">
        <f>K3317-Q3317</f>
        <v/>
      </c>
      <c r="S3317" s="3">
        <f>P3317*Assumptions!$B$3/100</f>
        <v/>
      </c>
      <c r="T3317" s="14">
        <f>R3317-S3317</f>
        <v/>
      </c>
      <c r="U3317" s="14">
        <f>L3317*G3317</f>
        <v/>
      </c>
    </row>
    <row r="3318">
      <c r="A3318" s="12" t="inlineStr">
        <is>
          <t>PO-2023-3316</t>
        </is>
      </c>
      <c r="B3318" s="26" t="n">
        <v>44906</v>
      </c>
      <c r="C3318" s="12" t="inlineStr">
        <is>
          <t>VS27</t>
        </is>
      </c>
      <c r="D3318" s="12" t="inlineStr">
        <is>
          <t>GI Pipes</t>
        </is>
      </c>
      <c r="E3318" s="12" t="inlineStr">
        <is>
          <t>N</t>
        </is>
      </c>
      <c r="F3318" s="12" t="n">
        <v>33.81</v>
      </c>
      <c r="G3318" s="17" t="n">
        <v>111814.16</v>
      </c>
      <c r="H3318" s="26" t="n">
        <v>44910</v>
      </c>
      <c r="I3318" s="26" t="n">
        <v>44912</v>
      </c>
      <c r="J3318" s="12" t="n">
        <v>33.5</v>
      </c>
      <c r="K3318" s="17" t="n">
        <v>3780436.75</v>
      </c>
      <c r="L3318" s="12" t="n">
        <v>0</v>
      </c>
      <c r="M3318" s="12" t="n">
        <v>5</v>
      </c>
      <c r="N3318" s="27">
        <f>F3318-J3318</f>
        <v/>
      </c>
      <c r="O3318" s="16">
        <f>I3318-H3318</f>
        <v/>
      </c>
      <c r="P3318" s="14">
        <f>F3318*G3318</f>
        <v/>
      </c>
      <c r="Q3318" s="14">
        <f>J3318*G3318</f>
        <v/>
      </c>
      <c r="R3318" s="14">
        <f>K3318-Q3318</f>
        <v/>
      </c>
      <c r="S3318" s="3">
        <f>P3318*Assumptions!$B$3/100</f>
        <v/>
      </c>
      <c r="T3318" s="14">
        <f>R3318-S3318</f>
        <v/>
      </c>
      <c r="U3318" s="14">
        <f>L3318*G3318</f>
        <v/>
      </c>
    </row>
    <row r="3319">
      <c r="A3319" s="12" t="inlineStr">
        <is>
          <t>PO-2023-3317</t>
        </is>
      </c>
      <c r="B3319" s="26" t="n">
        <v>45127</v>
      </c>
      <c r="C3319" s="12" t="inlineStr">
        <is>
          <t>VS04</t>
        </is>
      </c>
      <c r="D3319" s="12" t="inlineStr">
        <is>
          <t>Structural Steel</t>
        </is>
      </c>
      <c r="E3319" s="12" t="inlineStr">
        <is>
          <t>N</t>
        </is>
      </c>
      <c r="F3319" s="12" t="n">
        <v>15.28</v>
      </c>
      <c r="G3319" s="17" t="n">
        <v>47704.02</v>
      </c>
      <c r="H3319" s="26" t="n">
        <v>45140</v>
      </c>
      <c r="I3319" s="26" t="n">
        <v>45142</v>
      </c>
      <c r="J3319" s="12" t="n">
        <v>15.2</v>
      </c>
      <c r="K3319" s="17" t="n">
        <v>728917.4300000001</v>
      </c>
      <c r="L3319" s="12" t="n">
        <v>0</v>
      </c>
      <c r="M3319" s="12" t="n">
        <v>0</v>
      </c>
      <c r="N3319" s="27">
        <f>F3319-J3319</f>
        <v/>
      </c>
      <c r="O3319" s="16">
        <f>I3319-H3319</f>
        <v/>
      </c>
      <c r="P3319" s="14">
        <f>F3319*G3319</f>
        <v/>
      </c>
      <c r="Q3319" s="14">
        <f>J3319*G3319</f>
        <v/>
      </c>
      <c r="R3319" s="14">
        <f>K3319-Q3319</f>
        <v/>
      </c>
      <c r="S3319" s="3">
        <f>P3319*Assumptions!$B$3/100</f>
        <v/>
      </c>
      <c r="T3319" s="14">
        <f>R3319-S3319</f>
        <v/>
      </c>
      <c r="U3319" s="14">
        <f>L3319*G3319</f>
        <v/>
      </c>
    </row>
    <row r="3320">
      <c r="A3320" s="12" t="inlineStr">
        <is>
          <t>PO-2023-3318</t>
        </is>
      </c>
      <c r="B3320" s="26" t="n">
        <v>44658</v>
      </c>
      <c r="C3320" s="12" t="inlineStr">
        <is>
          <t>VS10</t>
        </is>
      </c>
      <c r="D3320" s="12" t="inlineStr">
        <is>
          <t>Angles &amp; Channels</t>
        </is>
      </c>
      <c r="E3320" s="12" t="inlineStr">
        <is>
          <t>Y</t>
        </is>
      </c>
      <c r="F3320" s="12" t="n">
        <v>6.07</v>
      </c>
      <c r="G3320" s="17" t="n">
        <v>117871.83</v>
      </c>
      <c r="H3320" s="26" t="n">
        <v>44670</v>
      </c>
      <c r="I3320" s="26" t="n">
        <v>44671</v>
      </c>
      <c r="J3320" s="12" t="n">
        <v>6.02</v>
      </c>
      <c r="K3320" s="17" t="n">
        <v>715482.01</v>
      </c>
      <c r="L3320" s="12" t="n">
        <v>0</v>
      </c>
      <c r="M3320" s="12" t="n">
        <v>15</v>
      </c>
      <c r="N3320" s="27">
        <f>F3320-J3320</f>
        <v/>
      </c>
      <c r="O3320" s="16">
        <f>I3320-H3320</f>
        <v/>
      </c>
      <c r="P3320" s="14">
        <f>F3320*G3320</f>
        <v/>
      </c>
      <c r="Q3320" s="14">
        <f>J3320*G3320</f>
        <v/>
      </c>
      <c r="R3320" s="14">
        <f>K3320-Q3320</f>
        <v/>
      </c>
      <c r="S3320" s="3">
        <f>P3320*Assumptions!$B$3/100</f>
        <v/>
      </c>
      <c r="T3320" s="14">
        <f>R3320-S3320</f>
        <v/>
      </c>
      <c r="U3320" s="14">
        <f>L3320*G3320</f>
        <v/>
      </c>
    </row>
    <row r="3321">
      <c r="A3321" s="12" t="inlineStr">
        <is>
          <t>PO-2023-3319</t>
        </is>
      </c>
      <c r="B3321" s="26" t="n">
        <v>44712</v>
      </c>
      <c r="C3321" s="12" t="inlineStr">
        <is>
          <t>VS23</t>
        </is>
      </c>
      <c r="D3321" s="12" t="inlineStr">
        <is>
          <t>MS Sheets</t>
        </is>
      </c>
      <c r="E3321" s="12" t="inlineStr">
        <is>
          <t>N</t>
        </is>
      </c>
      <c r="F3321" s="12" t="n">
        <v>30.31</v>
      </c>
      <c r="G3321" s="17" t="n">
        <v>100141.4</v>
      </c>
      <c r="H3321" s="26" t="n">
        <v>44727</v>
      </c>
      <c r="I3321" s="26" t="n">
        <v>44729</v>
      </c>
      <c r="J3321" s="12" t="n">
        <v>30.03</v>
      </c>
      <c r="K3321" s="17" t="n">
        <v>3035285.83</v>
      </c>
      <c r="L3321" s="12" t="n">
        <v>0</v>
      </c>
      <c r="M3321" s="12" t="n">
        <v>0</v>
      </c>
      <c r="N3321" s="27">
        <f>F3321-J3321</f>
        <v/>
      </c>
      <c r="O3321" s="16">
        <f>I3321-H3321</f>
        <v/>
      </c>
      <c r="P3321" s="14">
        <f>F3321*G3321</f>
        <v/>
      </c>
      <c r="Q3321" s="14">
        <f>J3321*G3321</f>
        <v/>
      </c>
      <c r="R3321" s="14">
        <f>K3321-Q3321</f>
        <v/>
      </c>
      <c r="S3321" s="3">
        <f>P3321*Assumptions!$B$3/100</f>
        <v/>
      </c>
      <c r="T3321" s="14">
        <f>R3321-S3321</f>
        <v/>
      </c>
      <c r="U3321" s="14">
        <f>L3321*G3321</f>
        <v/>
      </c>
    </row>
    <row r="3322">
      <c r="A3322" s="12" t="inlineStr">
        <is>
          <t>PO-2023-3320</t>
        </is>
      </c>
      <c r="B3322" s="26" t="n">
        <v>44421</v>
      </c>
      <c r="C3322" s="12" t="inlineStr">
        <is>
          <t>VS32</t>
        </is>
      </c>
      <c r="D3322" s="12" t="inlineStr">
        <is>
          <t>ERW Pipes</t>
        </is>
      </c>
      <c r="E3322" s="12" t="inlineStr">
        <is>
          <t>N</t>
        </is>
      </c>
      <c r="F3322" s="12" t="n">
        <v>9.460000000000001</v>
      </c>
      <c r="G3322" s="17" t="n">
        <v>55657.87</v>
      </c>
      <c r="H3322" s="26" t="n">
        <v>44431</v>
      </c>
      <c r="I3322" s="26" t="n">
        <v>44431</v>
      </c>
      <c r="J3322" s="12" t="n">
        <v>9.41</v>
      </c>
      <c r="K3322" s="17" t="n">
        <v>526523.45</v>
      </c>
      <c r="L3322" s="12" t="n">
        <v>0</v>
      </c>
      <c r="M3322" s="12" t="n">
        <v>4</v>
      </c>
      <c r="N3322" s="27">
        <f>F3322-J3322</f>
        <v/>
      </c>
      <c r="O3322" s="16">
        <f>I3322-H3322</f>
        <v/>
      </c>
      <c r="P3322" s="14">
        <f>F3322*G3322</f>
        <v/>
      </c>
      <c r="Q3322" s="14">
        <f>J3322*G3322</f>
        <v/>
      </c>
      <c r="R3322" s="14">
        <f>K3322-Q3322</f>
        <v/>
      </c>
      <c r="S3322" s="3">
        <f>P3322*Assumptions!$B$3/100</f>
        <v/>
      </c>
      <c r="T3322" s="14">
        <f>R3322-S3322</f>
        <v/>
      </c>
      <c r="U3322" s="14">
        <f>L3322*G3322</f>
        <v/>
      </c>
    </row>
    <row r="3323">
      <c r="A3323" s="12" t="inlineStr">
        <is>
          <t>PO-2023-3321</t>
        </is>
      </c>
      <c r="B3323" s="26" t="n">
        <v>44991</v>
      </c>
      <c r="C3323" s="12" t="inlineStr">
        <is>
          <t>VS17</t>
        </is>
      </c>
      <c r="D3323" s="12" t="inlineStr">
        <is>
          <t>HR Coils</t>
        </is>
      </c>
      <c r="E3323" s="12" t="inlineStr">
        <is>
          <t>N</t>
        </is>
      </c>
      <c r="F3323" s="12" t="n">
        <v>11.8</v>
      </c>
      <c r="G3323" s="17" t="n">
        <v>79080.25999999999</v>
      </c>
      <c r="H3323" s="26" t="n">
        <v>44996</v>
      </c>
      <c r="I3323" s="26" t="n">
        <v>44999</v>
      </c>
      <c r="J3323" s="12" t="n">
        <v>11.69</v>
      </c>
      <c r="K3323" s="17" t="n">
        <v>933147.0699999999</v>
      </c>
      <c r="L3323" s="12" t="n">
        <v>0</v>
      </c>
      <c r="M3323" s="12" t="n">
        <v>19</v>
      </c>
      <c r="N3323" s="27">
        <f>F3323-J3323</f>
        <v/>
      </c>
      <c r="O3323" s="16">
        <f>I3323-H3323</f>
        <v/>
      </c>
      <c r="P3323" s="14">
        <f>F3323*G3323</f>
        <v/>
      </c>
      <c r="Q3323" s="14">
        <f>J3323*G3323</f>
        <v/>
      </c>
      <c r="R3323" s="14">
        <f>K3323-Q3323</f>
        <v/>
      </c>
      <c r="S3323" s="3">
        <f>P3323*Assumptions!$B$3/100</f>
        <v/>
      </c>
      <c r="T3323" s="14">
        <f>R3323-S3323</f>
        <v/>
      </c>
      <c r="U3323" s="14">
        <f>L3323*G3323</f>
        <v/>
      </c>
    </row>
    <row r="3324">
      <c r="A3324" s="12" t="inlineStr">
        <is>
          <t>PO-2023-3322</t>
        </is>
      </c>
      <c r="B3324" s="26" t="n">
        <v>44240</v>
      </c>
      <c r="C3324" s="12" t="inlineStr">
        <is>
          <t>VS24</t>
        </is>
      </c>
      <c r="D3324" s="12" t="inlineStr">
        <is>
          <t>SS Sheets</t>
        </is>
      </c>
      <c r="E3324" s="12" t="inlineStr">
        <is>
          <t>N</t>
        </is>
      </c>
      <c r="F3324" s="12" t="n">
        <v>8.33</v>
      </c>
      <c r="G3324" s="17" t="n">
        <v>53474.02</v>
      </c>
      <c r="H3324" s="26" t="n">
        <v>44245</v>
      </c>
      <c r="I3324" s="26" t="n">
        <v>44248</v>
      </c>
      <c r="J3324" s="12" t="n">
        <v>8.31</v>
      </c>
      <c r="K3324" s="17" t="n">
        <v>445438.59</v>
      </c>
      <c r="L3324" s="12" t="n">
        <v>0</v>
      </c>
      <c r="M3324" s="12" t="n">
        <v>8</v>
      </c>
      <c r="N3324" s="27">
        <f>F3324-J3324</f>
        <v/>
      </c>
      <c r="O3324" s="16">
        <f>I3324-H3324</f>
        <v/>
      </c>
      <c r="P3324" s="14">
        <f>F3324*G3324</f>
        <v/>
      </c>
      <c r="Q3324" s="14">
        <f>J3324*G3324</f>
        <v/>
      </c>
      <c r="R3324" s="14">
        <f>K3324-Q3324</f>
        <v/>
      </c>
      <c r="S3324" s="3">
        <f>P3324*Assumptions!$B$3/100</f>
        <v/>
      </c>
      <c r="T3324" s="14">
        <f>R3324-S3324</f>
        <v/>
      </c>
      <c r="U3324" s="14">
        <f>L3324*G3324</f>
        <v/>
      </c>
    </row>
    <row r="3325">
      <c r="A3325" s="12" t="inlineStr">
        <is>
          <t>PO-2023-3323</t>
        </is>
      </c>
      <c r="B3325" s="26" t="n">
        <v>44968</v>
      </c>
      <c r="C3325" s="12" t="inlineStr">
        <is>
          <t>VS21</t>
        </is>
      </c>
      <c r="D3325" s="12" t="inlineStr">
        <is>
          <t>CR Sheets</t>
        </is>
      </c>
      <c r="E3325" s="12" t="inlineStr">
        <is>
          <t>N</t>
        </is>
      </c>
      <c r="F3325" s="12" t="n">
        <v>29.96</v>
      </c>
      <c r="G3325" s="17" t="n">
        <v>93453.67</v>
      </c>
      <c r="H3325" s="26" t="n">
        <v>44974</v>
      </c>
      <c r="I3325" s="26" t="n">
        <v>44974</v>
      </c>
      <c r="J3325" s="12" t="n">
        <v>29.72</v>
      </c>
      <c r="K3325" s="17" t="n">
        <v>2799871.95</v>
      </c>
      <c r="L3325" s="12" t="n">
        <v>0</v>
      </c>
      <c r="M3325" s="12" t="n">
        <v>5</v>
      </c>
      <c r="N3325" s="27">
        <f>F3325-J3325</f>
        <v/>
      </c>
      <c r="O3325" s="16">
        <f>I3325-H3325</f>
        <v/>
      </c>
      <c r="P3325" s="14">
        <f>F3325*G3325</f>
        <v/>
      </c>
      <c r="Q3325" s="14">
        <f>J3325*G3325</f>
        <v/>
      </c>
      <c r="R3325" s="14">
        <f>K3325-Q3325</f>
        <v/>
      </c>
      <c r="S3325" s="3">
        <f>P3325*Assumptions!$B$3/100</f>
        <v/>
      </c>
      <c r="T3325" s="14">
        <f>R3325-S3325</f>
        <v/>
      </c>
      <c r="U3325" s="14">
        <f>L3325*G3325</f>
        <v/>
      </c>
    </row>
    <row r="3326">
      <c r="A3326" s="12" t="inlineStr">
        <is>
          <t>PO-2023-3324</t>
        </is>
      </c>
      <c r="B3326" s="26" t="n">
        <v>44596</v>
      </c>
      <c r="C3326" s="12" t="inlineStr">
        <is>
          <t>VS01</t>
        </is>
      </c>
      <c r="D3326" s="12" t="inlineStr">
        <is>
          <t>Spring Steel</t>
        </is>
      </c>
      <c r="E3326" s="12" t="inlineStr">
        <is>
          <t>N</t>
        </is>
      </c>
      <c r="F3326" s="12" t="n">
        <v>41.01</v>
      </c>
      <c r="G3326" s="17" t="n">
        <v>60176.75</v>
      </c>
      <c r="H3326" s="26" t="n">
        <v>44603</v>
      </c>
      <c r="I3326" s="26" t="n">
        <v>44603</v>
      </c>
      <c r="J3326" s="12" t="n">
        <v>40.72</v>
      </c>
      <c r="K3326" s="17" t="n">
        <v>2467848.52</v>
      </c>
      <c r="L3326" s="12" t="n">
        <v>0</v>
      </c>
      <c r="M3326" s="12" t="n">
        <v>15</v>
      </c>
      <c r="N3326" s="27">
        <f>F3326-J3326</f>
        <v/>
      </c>
      <c r="O3326" s="16">
        <f>I3326-H3326</f>
        <v/>
      </c>
      <c r="P3326" s="14">
        <f>F3326*G3326</f>
        <v/>
      </c>
      <c r="Q3326" s="14">
        <f>J3326*G3326</f>
        <v/>
      </c>
      <c r="R3326" s="14">
        <f>K3326-Q3326</f>
        <v/>
      </c>
      <c r="S3326" s="3">
        <f>P3326*Assumptions!$B$3/100</f>
        <v/>
      </c>
      <c r="T3326" s="14">
        <f>R3326-S3326</f>
        <v/>
      </c>
      <c r="U3326" s="14">
        <f>L3326*G3326</f>
        <v/>
      </c>
    </row>
    <row r="3327">
      <c r="A3327" s="12" t="inlineStr">
        <is>
          <t>PO-2023-3325</t>
        </is>
      </c>
      <c r="B3327" s="26" t="n">
        <v>44799</v>
      </c>
      <c r="C3327" s="12" t="inlineStr">
        <is>
          <t>VS20</t>
        </is>
      </c>
      <c r="D3327" s="12" t="inlineStr">
        <is>
          <t>Fasteners &amp; Fittings</t>
        </is>
      </c>
      <c r="E3327" s="12" t="inlineStr">
        <is>
          <t>Y</t>
        </is>
      </c>
      <c r="F3327" s="12" t="n">
        <v>43.98</v>
      </c>
      <c r="G3327" s="17" t="n">
        <v>107513.54</v>
      </c>
      <c r="H3327" s="26" t="n">
        <v>44806</v>
      </c>
      <c r="I3327" s="26" t="n">
        <v>44806</v>
      </c>
      <c r="J3327" s="12" t="n">
        <v>43.82</v>
      </c>
      <c r="K3327" s="17" t="n">
        <v>4728445.49</v>
      </c>
      <c r="L3327" s="12" t="n">
        <v>0</v>
      </c>
      <c r="M3327" s="12" t="n">
        <v>0</v>
      </c>
      <c r="N3327" s="27">
        <f>F3327-J3327</f>
        <v/>
      </c>
      <c r="O3327" s="16">
        <f>I3327-H3327</f>
        <v/>
      </c>
      <c r="P3327" s="14">
        <f>F3327*G3327</f>
        <v/>
      </c>
      <c r="Q3327" s="14">
        <f>J3327*G3327</f>
        <v/>
      </c>
      <c r="R3327" s="14">
        <f>K3327-Q3327</f>
        <v/>
      </c>
      <c r="S3327" s="3">
        <f>P3327*Assumptions!$B$3/100</f>
        <v/>
      </c>
      <c r="T3327" s="14">
        <f>R3327-S3327</f>
        <v/>
      </c>
      <c r="U3327" s="14">
        <f>L3327*G3327</f>
        <v/>
      </c>
    </row>
    <row r="3328">
      <c r="A3328" s="12" t="inlineStr">
        <is>
          <t>PO-2023-3326</t>
        </is>
      </c>
      <c r="B3328" s="26" t="n">
        <v>45225</v>
      </c>
      <c r="C3328" s="12" t="inlineStr">
        <is>
          <t>VS34</t>
        </is>
      </c>
      <c r="D3328" s="12" t="inlineStr">
        <is>
          <t>Structural Steel</t>
        </is>
      </c>
      <c r="E3328" s="12" t="inlineStr">
        <is>
          <t>N</t>
        </is>
      </c>
      <c r="F3328" s="12" t="n">
        <v>25.92</v>
      </c>
      <c r="G3328" s="17" t="n">
        <v>88508.3</v>
      </c>
      <c r="H3328" s="26" t="n">
        <v>45233</v>
      </c>
      <c r="I3328" s="26" t="n">
        <v>45235</v>
      </c>
      <c r="J3328" s="12" t="n">
        <v>25.82</v>
      </c>
      <c r="K3328" s="17" t="n">
        <v>2294135.14</v>
      </c>
      <c r="L3328" s="12" t="n">
        <v>0</v>
      </c>
      <c r="M3328" s="12" t="n">
        <v>0</v>
      </c>
      <c r="N3328" s="27">
        <f>F3328-J3328</f>
        <v/>
      </c>
      <c r="O3328" s="16">
        <f>I3328-H3328</f>
        <v/>
      </c>
      <c r="P3328" s="14">
        <f>F3328*G3328</f>
        <v/>
      </c>
      <c r="Q3328" s="14">
        <f>J3328*G3328</f>
        <v/>
      </c>
      <c r="R3328" s="14">
        <f>K3328-Q3328</f>
        <v/>
      </c>
      <c r="S3328" s="3">
        <f>P3328*Assumptions!$B$3/100</f>
        <v/>
      </c>
      <c r="T3328" s="14">
        <f>R3328-S3328</f>
        <v/>
      </c>
      <c r="U3328" s="14">
        <f>L3328*G3328</f>
        <v/>
      </c>
    </row>
    <row r="3329">
      <c r="A3329" s="12" t="inlineStr">
        <is>
          <t>PO-2023-3327</t>
        </is>
      </c>
      <c r="B3329" s="26" t="n">
        <v>44221</v>
      </c>
      <c r="C3329" s="12" t="inlineStr">
        <is>
          <t>VS18</t>
        </is>
      </c>
      <c r="D3329" s="12" t="inlineStr">
        <is>
          <t>Fasteners &amp; Fittings</t>
        </is>
      </c>
      <c r="E3329" s="12" t="inlineStr">
        <is>
          <t>N</t>
        </is>
      </c>
      <c r="F3329" s="12" t="n">
        <v>2.02</v>
      </c>
      <c r="G3329" s="17" t="n">
        <v>57465.76</v>
      </c>
      <c r="H3329" s="26" t="n">
        <v>44229</v>
      </c>
      <c r="I3329" s="26" t="n">
        <v>44230</v>
      </c>
      <c r="J3329" s="12" t="n">
        <v>2.01</v>
      </c>
      <c r="K3329" s="17" t="n">
        <v>116080.84</v>
      </c>
      <c r="L3329" s="12" t="n">
        <v>0</v>
      </c>
      <c r="M3329" s="12" t="n">
        <v>0</v>
      </c>
      <c r="N3329" s="27">
        <f>F3329-J3329</f>
        <v/>
      </c>
      <c r="O3329" s="16">
        <f>I3329-H3329</f>
        <v/>
      </c>
      <c r="P3329" s="14">
        <f>F3329*G3329</f>
        <v/>
      </c>
      <c r="Q3329" s="14">
        <f>J3329*G3329</f>
        <v/>
      </c>
      <c r="R3329" s="14">
        <f>K3329-Q3329</f>
        <v/>
      </c>
      <c r="S3329" s="3">
        <f>P3329*Assumptions!$B$3/100</f>
        <v/>
      </c>
      <c r="T3329" s="14">
        <f>R3329-S3329</f>
        <v/>
      </c>
      <c r="U3329" s="14">
        <f>L3329*G3329</f>
        <v/>
      </c>
    </row>
    <row r="3330">
      <c r="A3330" s="12" t="inlineStr">
        <is>
          <t>PO-2023-3328</t>
        </is>
      </c>
      <c r="B3330" s="26" t="n">
        <v>44970</v>
      </c>
      <c r="C3330" s="12" t="inlineStr">
        <is>
          <t>VS33</t>
        </is>
      </c>
      <c r="D3330" s="12" t="inlineStr">
        <is>
          <t>Angles &amp; Channels</t>
        </is>
      </c>
      <c r="E3330" s="12" t="inlineStr">
        <is>
          <t>N</t>
        </is>
      </c>
      <c r="F3330" s="12" t="n">
        <v>4.5</v>
      </c>
      <c r="G3330" s="17" t="n">
        <v>102456.65</v>
      </c>
      <c r="H3330" s="26" t="n">
        <v>44978</v>
      </c>
      <c r="I3330" s="26" t="n">
        <v>44978</v>
      </c>
      <c r="J3330" s="12" t="n">
        <v>4.5</v>
      </c>
      <c r="K3330" s="17" t="n">
        <v>461054.92</v>
      </c>
      <c r="L3330" s="12" t="n">
        <v>0</v>
      </c>
      <c r="M3330" s="12" t="n">
        <v>22</v>
      </c>
      <c r="N3330" s="27">
        <f>F3330-J3330</f>
        <v/>
      </c>
      <c r="O3330" s="16">
        <f>I3330-H3330</f>
        <v/>
      </c>
      <c r="P3330" s="14">
        <f>F3330*G3330</f>
        <v/>
      </c>
      <c r="Q3330" s="14">
        <f>J3330*G3330</f>
        <v/>
      </c>
      <c r="R3330" s="14">
        <f>K3330-Q3330</f>
        <v/>
      </c>
      <c r="S3330" s="3">
        <f>P3330*Assumptions!$B$3/100</f>
        <v/>
      </c>
      <c r="T3330" s="14">
        <f>R3330-S3330</f>
        <v/>
      </c>
      <c r="U3330" s="14">
        <f>L3330*G3330</f>
        <v/>
      </c>
    </row>
    <row r="3331">
      <c r="A3331" s="12" t="inlineStr">
        <is>
          <t>PO-2023-3329</t>
        </is>
      </c>
      <c r="B3331" s="26" t="n">
        <v>44585</v>
      </c>
      <c r="C3331" s="12" t="inlineStr">
        <is>
          <t>VS29</t>
        </is>
      </c>
      <c r="D3331" s="12" t="inlineStr">
        <is>
          <t>Structural Steel</t>
        </is>
      </c>
      <c r="E3331" s="12" t="inlineStr">
        <is>
          <t>N</t>
        </is>
      </c>
      <c r="F3331" s="12" t="n">
        <v>13.61</v>
      </c>
      <c r="G3331" s="17" t="n">
        <v>97649.31</v>
      </c>
      <c r="H3331" s="26" t="n">
        <v>44590</v>
      </c>
      <c r="I3331" s="26" t="n">
        <v>44593</v>
      </c>
      <c r="J3331" s="12" t="n">
        <v>13.6</v>
      </c>
      <c r="K3331" s="17" t="n">
        <v>1329007.11</v>
      </c>
      <c r="L3331" s="12" t="n">
        <v>0</v>
      </c>
      <c r="M3331" s="12" t="n">
        <v>7</v>
      </c>
      <c r="N3331" s="27">
        <f>F3331-J3331</f>
        <v/>
      </c>
      <c r="O3331" s="16">
        <f>I3331-H3331</f>
        <v/>
      </c>
      <c r="P3331" s="14">
        <f>F3331*G3331</f>
        <v/>
      </c>
      <c r="Q3331" s="14">
        <f>J3331*G3331</f>
        <v/>
      </c>
      <c r="R3331" s="14">
        <f>K3331-Q3331</f>
        <v/>
      </c>
      <c r="S3331" s="3">
        <f>P3331*Assumptions!$B$3/100</f>
        <v/>
      </c>
      <c r="T3331" s="14">
        <f>R3331-S3331</f>
        <v/>
      </c>
      <c r="U3331" s="14">
        <f>L3331*G3331</f>
        <v/>
      </c>
    </row>
    <row r="3332">
      <c r="A3332" s="12" t="inlineStr">
        <is>
          <t>PO-2023-3330</t>
        </is>
      </c>
      <c r="B3332" s="26" t="n">
        <v>45010</v>
      </c>
      <c r="C3332" s="12" t="inlineStr">
        <is>
          <t>VS28</t>
        </is>
      </c>
      <c r="D3332" s="12" t="inlineStr">
        <is>
          <t>GI Sheets</t>
        </is>
      </c>
      <c r="E3332" s="12" t="inlineStr">
        <is>
          <t>N</t>
        </is>
      </c>
      <c r="F3332" s="12" t="n">
        <v>8.84</v>
      </c>
      <c r="G3332" s="17" t="n">
        <v>110823.61</v>
      </c>
      <c r="H3332" s="26" t="n">
        <v>45024</v>
      </c>
      <c r="I3332" s="26" t="n">
        <v>45026</v>
      </c>
      <c r="J3332" s="12" t="n">
        <v>8.779999999999999</v>
      </c>
      <c r="K3332" s="17" t="n">
        <v>979680.71</v>
      </c>
      <c r="L3332" s="12" t="n">
        <v>0</v>
      </c>
      <c r="M3332" s="12" t="n">
        <v>19</v>
      </c>
      <c r="N3332" s="27">
        <f>F3332-J3332</f>
        <v/>
      </c>
      <c r="O3332" s="16">
        <f>I3332-H3332</f>
        <v/>
      </c>
      <c r="P3332" s="14">
        <f>F3332*G3332</f>
        <v/>
      </c>
      <c r="Q3332" s="14">
        <f>J3332*G3332</f>
        <v/>
      </c>
      <c r="R3332" s="14">
        <f>K3332-Q3332</f>
        <v/>
      </c>
      <c r="S3332" s="3">
        <f>P3332*Assumptions!$B$3/100</f>
        <v/>
      </c>
      <c r="T3332" s="14">
        <f>R3332-S3332</f>
        <v/>
      </c>
      <c r="U3332" s="14">
        <f>L3332*G3332</f>
        <v/>
      </c>
    </row>
    <row r="3333">
      <c r="A3333" s="12" t="inlineStr">
        <is>
          <t>PO-2023-3331</t>
        </is>
      </c>
      <c r="B3333" s="26" t="n">
        <v>44845</v>
      </c>
      <c r="C3333" s="12" t="inlineStr">
        <is>
          <t>VS27</t>
        </is>
      </c>
      <c r="D3333" s="12" t="inlineStr">
        <is>
          <t>HR Coils</t>
        </is>
      </c>
      <c r="E3333" s="12" t="inlineStr">
        <is>
          <t>N</t>
        </is>
      </c>
      <c r="F3333" s="12" t="n">
        <v>14.13</v>
      </c>
      <c r="G3333" s="17" t="n">
        <v>78926.28999999999</v>
      </c>
      <c r="H3333" s="26" t="n">
        <v>44855</v>
      </c>
      <c r="I3333" s="26" t="n">
        <v>44858</v>
      </c>
      <c r="J3333" s="12" t="n">
        <v>14.04</v>
      </c>
      <c r="K3333" s="17" t="n">
        <v>1115228.48</v>
      </c>
      <c r="L3333" s="12" t="n">
        <v>0</v>
      </c>
      <c r="M3333" s="12" t="n">
        <v>25</v>
      </c>
      <c r="N3333" s="27">
        <f>F3333-J3333</f>
        <v/>
      </c>
      <c r="O3333" s="16">
        <f>I3333-H3333</f>
        <v/>
      </c>
      <c r="P3333" s="14">
        <f>F3333*G3333</f>
        <v/>
      </c>
      <c r="Q3333" s="14">
        <f>J3333*G3333</f>
        <v/>
      </c>
      <c r="R3333" s="14">
        <f>K3333-Q3333</f>
        <v/>
      </c>
      <c r="S3333" s="3">
        <f>P3333*Assumptions!$B$3/100</f>
        <v/>
      </c>
      <c r="T3333" s="14">
        <f>R3333-S3333</f>
        <v/>
      </c>
      <c r="U3333" s="14">
        <f>L3333*G3333</f>
        <v/>
      </c>
    </row>
    <row r="3334">
      <c r="A3334" s="12" t="inlineStr">
        <is>
          <t>PO-2023-3332</t>
        </is>
      </c>
      <c r="B3334" s="26" t="n">
        <v>45168</v>
      </c>
      <c r="C3334" s="12" t="inlineStr">
        <is>
          <t>VS21</t>
        </is>
      </c>
      <c r="D3334" s="12" t="inlineStr">
        <is>
          <t>MS Sheets</t>
        </is>
      </c>
      <c r="E3334" s="12" t="inlineStr">
        <is>
          <t>N</t>
        </is>
      </c>
      <c r="F3334" s="12" t="n">
        <v>8.84</v>
      </c>
      <c r="G3334" s="17" t="n">
        <v>71901.95</v>
      </c>
      <c r="H3334" s="26" t="n">
        <v>45173</v>
      </c>
      <c r="I3334" s="26" t="n">
        <v>45175</v>
      </c>
      <c r="J3334" s="12" t="n">
        <v>8.779999999999999</v>
      </c>
      <c r="K3334" s="17" t="n">
        <v>635613.24</v>
      </c>
      <c r="L3334" s="12" t="n">
        <v>0</v>
      </c>
      <c r="M3334" s="12" t="n">
        <v>6</v>
      </c>
      <c r="N3334" s="27">
        <f>F3334-J3334</f>
        <v/>
      </c>
      <c r="O3334" s="16">
        <f>I3334-H3334</f>
        <v/>
      </c>
      <c r="P3334" s="14">
        <f>F3334*G3334</f>
        <v/>
      </c>
      <c r="Q3334" s="14">
        <f>J3334*G3334</f>
        <v/>
      </c>
      <c r="R3334" s="14">
        <f>K3334-Q3334</f>
        <v/>
      </c>
      <c r="S3334" s="3">
        <f>P3334*Assumptions!$B$3/100</f>
        <v/>
      </c>
      <c r="T3334" s="14">
        <f>R3334-S3334</f>
        <v/>
      </c>
      <c r="U3334" s="14">
        <f>L3334*G3334</f>
        <v/>
      </c>
    </row>
    <row r="3335">
      <c r="A3335" s="12" t="inlineStr">
        <is>
          <t>PO-2023-3333</t>
        </is>
      </c>
      <c r="B3335" s="26" t="n">
        <v>44232</v>
      </c>
      <c r="C3335" s="12" t="inlineStr">
        <is>
          <t>VS27</t>
        </is>
      </c>
      <c r="D3335" s="12" t="inlineStr">
        <is>
          <t>SS Pipes</t>
        </is>
      </c>
      <c r="E3335" s="12" t="inlineStr">
        <is>
          <t>Y</t>
        </is>
      </c>
      <c r="F3335" s="12" t="n">
        <v>44.41</v>
      </c>
      <c r="G3335" s="17" t="n">
        <v>71196.73</v>
      </c>
      <c r="H3335" s="26" t="n">
        <v>44236</v>
      </c>
      <c r="I3335" s="26" t="n">
        <v>44237</v>
      </c>
      <c r="J3335" s="12" t="n">
        <v>44.34</v>
      </c>
      <c r="K3335" s="17" t="n">
        <v>3161846.78</v>
      </c>
      <c r="L3335" s="12" t="n">
        <v>0</v>
      </c>
      <c r="M3335" s="12" t="n">
        <v>1</v>
      </c>
      <c r="N3335" s="27">
        <f>F3335-J3335</f>
        <v/>
      </c>
      <c r="O3335" s="16">
        <f>I3335-H3335</f>
        <v/>
      </c>
      <c r="P3335" s="14">
        <f>F3335*G3335</f>
        <v/>
      </c>
      <c r="Q3335" s="14">
        <f>J3335*G3335</f>
        <v/>
      </c>
      <c r="R3335" s="14">
        <f>K3335-Q3335</f>
        <v/>
      </c>
      <c r="S3335" s="3">
        <f>P3335*Assumptions!$B$3/100</f>
        <v/>
      </c>
      <c r="T3335" s="14">
        <f>R3335-S3335</f>
        <v/>
      </c>
      <c r="U3335" s="14">
        <f>L3335*G3335</f>
        <v/>
      </c>
    </row>
    <row r="3336">
      <c r="A3336" s="12" t="inlineStr">
        <is>
          <t>PO-2023-3334</t>
        </is>
      </c>
      <c r="B3336" s="26" t="n">
        <v>44487</v>
      </c>
      <c r="C3336" s="12" t="inlineStr">
        <is>
          <t>VS09</t>
        </is>
      </c>
      <c r="D3336" s="12" t="inlineStr">
        <is>
          <t>MS Pipes</t>
        </is>
      </c>
      <c r="E3336" s="12" t="inlineStr">
        <is>
          <t>N</t>
        </is>
      </c>
      <c r="F3336" s="12" t="n">
        <v>33.05</v>
      </c>
      <c r="G3336" s="17" t="n">
        <v>87952.85000000001</v>
      </c>
      <c r="H3336" s="26" t="n">
        <v>44492</v>
      </c>
      <c r="I3336" s="26" t="n">
        <v>44492</v>
      </c>
      <c r="J3336" s="12" t="n">
        <v>32.86</v>
      </c>
      <c r="K3336" s="17" t="n">
        <v>2906841.69</v>
      </c>
      <c r="L3336" s="12" t="n">
        <v>0</v>
      </c>
      <c r="M3336" s="12" t="n">
        <v>12</v>
      </c>
      <c r="N3336" s="27">
        <f>F3336-J3336</f>
        <v/>
      </c>
      <c r="O3336" s="16">
        <f>I3336-H3336</f>
        <v/>
      </c>
      <c r="P3336" s="14">
        <f>F3336*G3336</f>
        <v/>
      </c>
      <c r="Q3336" s="14">
        <f>J3336*G3336</f>
        <v/>
      </c>
      <c r="R3336" s="14">
        <f>K3336-Q3336</f>
        <v/>
      </c>
      <c r="S3336" s="3">
        <f>P3336*Assumptions!$B$3/100</f>
        <v/>
      </c>
      <c r="T3336" s="14">
        <f>R3336-S3336</f>
        <v/>
      </c>
      <c r="U3336" s="14">
        <f>L3336*G3336</f>
        <v/>
      </c>
    </row>
    <row r="3337">
      <c r="A3337" s="12" t="inlineStr">
        <is>
          <t>PO-2023-3335</t>
        </is>
      </c>
      <c r="B3337" s="26" t="n">
        <v>44506</v>
      </c>
      <c r="C3337" s="12" t="inlineStr">
        <is>
          <t>VS19</t>
        </is>
      </c>
      <c r="D3337" s="12" t="inlineStr">
        <is>
          <t>ERW Pipes</t>
        </is>
      </c>
      <c r="E3337" s="12" t="inlineStr">
        <is>
          <t>Y</t>
        </is>
      </c>
      <c r="F3337" s="12" t="n">
        <v>4.5</v>
      </c>
      <c r="G3337" s="17" t="n">
        <v>118876.72</v>
      </c>
      <c r="H3337" s="26" t="n">
        <v>44521</v>
      </c>
      <c r="I3337" s="26" t="n">
        <v>44528</v>
      </c>
      <c r="J3337" s="12" t="n">
        <v>4.31</v>
      </c>
      <c r="K3337" s="17" t="n">
        <v>534945.24</v>
      </c>
      <c r="L3337" s="12" t="n">
        <v>0.19</v>
      </c>
      <c r="M3337" s="12" t="n">
        <v>0</v>
      </c>
      <c r="N3337" s="27">
        <f>F3337-J3337</f>
        <v/>
      </c>
      <c r="O3337" s="16">
        <f>I3337-H3337</f>
        <v/>
      </c>
      <c r="P3337" s="14">
        <f>F3337*G3337</f>
        <v/>
      </c>
      <c r="Q3337" s="14">
        <f>J3337*G3337</f>
        <v/>
      </c>
      <c r="R3337" s="14">
        <f>K3337-Q3337</f>
        <v/>
      </c>
      <c r="S3337" s="3">
        <f>P3337*Assumptions!$B$3/100</f>
        <v/>
      </c>
      <c r="T3337" s="14">
        <f>R3337-S3337</f>
        <v/>
      </c>
      <c r="U3337" s="14">
        <f>L3337*G3337</f>
        <v/>
      </c>
    </row>
    <row r="3338">
      <c r="A3338" s="12" t="inlineStr">
        <is>
          <t>PO-2023-3336</t>
        </is>
      </c>
      <c r="B3338" s="26" t="n">
        <v>45037</v>
      </c>
      <c r="C3338" s="12" t="inlineStr">
        <is>
          <t>VS14</t>
        </is>
      </c>
      <c r="D3338" s="12" t="inlineStr">
        <is>
          <t>GI Pipes</t>
        </is>
      </c>
      <c r="E3338" s="12" t="inlineStr">
        <is>
          <t>N</t>
        </is>
      </c>
      <c r="F3338" s="12" t="n">
        <v>8.43</v>
      </c>
      <c r="G3338" s="17" t="n">
        <v>68830.96000000001</v>
      </c>
      <c r="H3338" s="26" t="n">
        <v>45052</v>
      </c>
      <c r="I3338" s="26" t="n">
        <v>45053</v>
      </c>
      <c r="J3338" s="12" t="n">
        <v>8.369999999999999</v>
      </c>
      <c r="K3338" s="17" t="n">
        <v>580244.99</v>
      </c>
      <c r="L3338" s="12" t="n">
        <v>0</v>
      </c>
      <c r="M3338" s="12" t="n">
        <v>0</v>
      </c>
      <c r="N3338" s="27">
        <f>F3338-J3338</f>
        <v/>
      </c>
      <c r="O3338" s="16">
        <f>I3338-H3338</f>
        <v/>
      </c>
      <c r="P3338" s="14">
        <f>F3338*G3338</f>
        <v/>
      </c>
      <c r="Q3338" s="14">
        <f>J3338*G3338</f>
        <v/>
      </c>
      <c r="R3338" s="14">
        <f>K3338-Q3338</f>
        <v/>
      </c>
      <c r="S3338" s="3">
        <f>P3338*Assumptions!$B$3/100</f>
        <v/>
      </c>
      <c r="T3338" s="14">
        <f>R3338-S3338</f>
        <v/>
      </c>
      <c r="U3338" s="14">
        <f>L3338*G3338</f>
        <v/>
      </c>
    </row>
    <row r="3339">
      <c r="A3339" s="12" t="inlineStr">
        <is>
          <t>PO-2023-3337</t>
        </is>
      </c>
      <c r="B3339" s="26" t="n">
        <v>45020</v>
      </c>
      <c r="C3339" s="12" t="inlineStr">
        <is>
          <t>VS15</t>
        </is>
      </c>
      <c r="D3339" s="12" t="inlineStr">
        <is>
          <t>GI Wire</t>
        </is>
      </c>
      <c r="E3339" s="12" t="inlineStr">
        <is>
          <t>N</t>
        </is>
      </c>
      <c r="F3339" s="12" t="n">
        <v>12.97</v>
      </c>
      <c r="G3339" s="17" t="n">
        <v>95128.13</v>
      </c>
      <c r="H3339" s="26" t="n">
        <v>45035</v>
      </c>
      <c r="I3339" s="26" t="n">
        <v>45037</v>
      </c>
      <c r="J3339" s="12" t="n">
        <v>12.95</v>
      </c>
      <c r="K3339" s="17" t="n">
        <v>1233811.85</v>
      </c>
      <c r="L3339" s="12" t="n">
        <v>0</v>
      </c>
      <c r="M3339" s="12" t="n">
        <v>4</v>
      </c>
      <c r="N3339" s="27">
        <f>F3339-J3339</f>
        <v/>
      </c>
      <c r="O3339" s="16">
        <f>I3339-H3339</f>
        <v/>
      </c>
      <c r="P3339" s="14">
        <f>F3339*G3339</f>
        <v/>
      </c>
      <c r="Q3339" s="14">
        <f>J3339*G3339</f>
        <v/>
      </c>
      <c r="R3339" s="14">
        <f>K3339-Q3339</f>
        <v/>
      </c>
      <c r="S3339" s="3">
        <f>P3339*Assumptions!$B$3/100</f>
        <v/>
      </c>
      <c r="T3339" s="14">
        <f>R3339-S3339</f>
        <v/>
      </c>
      <c r="U3339" s="14">
        <f>L3339*G3339</f>
        <v/>
      </c>
    </row>
    <row r="3340">
      <c r="A3340" s="12" t="inlineStr">
        <is>
          <t>PO-2023-3338</t>
        </is>
      </c>
      <c r="B3340" s="26" t="n">
        <v>44512</v>
      </c>
      <c r="C3340" s="12" t="inlineStr">
        <is>
          <t>VS27</t>
        </is>
      </c>
      <c r="D3340" s="12" t="inlineStr">
        <is>
          <t>MS Sheets</t>
        </is>
      </c>
      <c r="E3340" s="12" t="inlineStr">
        <is>
          <t>N</t>
        </is>
      </c>
      <c r="F3340" s="12" t="n">
        <v>41.51</v>
      </c>
      <c r="G3340" s="17" t="n">
        <v>99203.99000000001</v>
      </c>
      <c r="H3340" s="26" t="n">
        <v>44525</v>
      </c>
      <c r="I3340" s="26" t="n">
        <v>44528</v>
      </c>
      <c r="J3340" s="12" t="n">
        <v>41.13</v>
      </c>
      <c r="K3340" s="17" t="n">
        <v>4117957.62</v>
      </c>
      <c r="L3340" s="12" t="n">
        <v>0</v>
      </c>
      <c r="M3340" s="12" t="n">
        <v>5</v>
      </c>
      <c r="N3340" s="27">
        <f>F3340-J3340</f>
        <v/>
      </c>
      <c r="O3340" s="16">
        <f>I3340-H3340</f>
        <v/>
      </c>
      <c r="P3340" s="14">
        <f>F3340*G3340</f>
        <v/>
      </c>
      <c r="Q3340" s="14">
        <f>J3340*G3340</f>
        <v/>
      </c>
      <c r="R3340" s="14">
        <f>K3340-Q3340</f>
        <v/>
      </c>
      <c r="S3340" s="3">
        <f>P3340*Assumptions!$B$3/100</f>
        <v/>
      </c>
      <c r="T3340" s="14">
        <f>R3340-S3340</f>
        <v/>
      </c>
      <c r="U3340" s="14">
        <f>L3340*G3340</f>
        <v/>
      </c>
    </row>
    <row r="3341">
      <c r="A3341" s="12" t="inlineStr">
        <is>
          <t>PO-2023-3339</t>
        </is>
      </c>
      <c r="B3341" s="26" t="n">
        <v>44565</v>
      </c>
      <c r="C3341" s="12" t="inlineStr">
        <is>
          <t>VS03</t>
        </is>
      </c>
      <c r="D3341" s="12" t="inlineStr">
        <is>
          <t>GI Wire</t>
        </is>
      </c>
      <c r="E3341" s="12" t="inlineStr">
        <is>
          <t>N</t>
        </is>
      </c>
      <c r="F3341" s="12" t="n">
        <v>19.47</v>
      </c>
      <c r="G3341" s="17" t="n">
        <v>72947.50999999999</v>
      </c>
      <c r="H3341" s="26" t="n">
        <v>44572</v>
      </c>
      <c r="I3341" s="26" t="n">
        <v>44579</v>
      </c>
      <c r="J3341" s="12" t="n">
        <v>18.77</v>
      </c>
      <c r="K3341" s="17" t="n">
        <v>1420288.02</v>
      </c>
      <c r="L3341" s="12" t="n">
        <v>0.16</v>
      </c>
      <c r="M3341" s="12" t="n">
        <v>1</v>
      </c>
      <c r="N3341" s="27">
        <f>F3341-J3341</f>
        <v/>
      </c>
      <c r="O3341" s="16">
        <f>I3341-H3341</f>
        <v/>
      </c>
      <c r="P3341" s="14">
        <f>F3341*G3341</f>
        <v/>
      </c>
      <c r="Q3341" s="14">
        <f>J3341*G3341</f>
        <v/>
      </c>
      <c r="R3341" s="14">
        <f>K3341-Q3341</f>
        <v/>
      </c>
      <c r="S3341" s="3">
        <f>P3341*Assumptions!$B$3/100</f>
        <v/>
      </c>
      <c r="T3341" s="14">
        <f>R3341-S3341</f>
        <v/>
      </c>
      <c r="U3341" s="14">
        <f>L3341*G3341</f>
        <v/>
      </c>
    </row>
    <row r="3342">
      <c r="A3342" s="12" t="inlineStr">
        <is>
          <t>PO-2023-3340</t>
        </is>
      </c>
      <c r="B3342" s="26" t="n">
        <v>45250</v>
      </c>
      <c r="C3342" s="12" t="inlineStr">
        <is>
          <t>VS02</t>
        </is>
      </c>
      <c r="D3342" s="12" t="inlineStr">
        <is>
          <t>Spring Steel</t>
        </is>
      </c>
      <c r="E3342" s="12" t="inlineStr">
        <is>
          <t>Y</t>
        </is>
      </c>
      <c r="F3342" s="12" t="n">
        <v>17.64</v>
      </c>
      <c r="G3342" s="17" t="n">
        <v>59589.88</v>
      </c>
      <c r="H3342" s="26" t="n">
        <v>45264</v>
      </c>
      <c r="I3342" s="26" t="n">
        <v>45266</v>
      </c>
      <c r="J3342" s="12" t="n">
        <v>17.47</v>
      </c>
      <c r="K3342" s="17" t="n">
        <v>1051165.48</v>
      </c>
      <c r="L3342" s="12" t="n">
        <v>0</v>
      </c>
      <c r="M3342" s="12" t="n">
        <v>8</v>
      </c>
      <c r="N3342" s="27">
        <f>F3342-J3342</f>
        <v/>
      </c>
      <c r="O3342" s="16">
        <f>I3342-H3342</f>
        <v/>
      </c>
      <c r="P3342" s="14">
        <f>F3342*G3342</f>
        <v/>
      </c>
      <c r="Q3342" s="14">
        <f>J3342*G3342</f>
        <v/>
      </c>
      <c r="R3342" s="14">
        <f>K3342-Q3342</f>
        <v/>
      </c>
      <c r="S3342" s="3">
        <f>P3342*Assumptions!$B$3/100</f>
        <v/>
      </c>
      <c r="T3342" s="14">
        <f>R3342-S3342</f>
        <v/>
      </c>
      <c r="U3342" s="14">
        <f>L3342*G3342</f>
        <v/>
      </c>
    </row>
    <row r="3343">
      <c r="A3343" s="12" t="inlineStr">
        <is>
          <t>PO-2023-3341</t>
        </is>
      </c>
      <c r="B3343" s="26" t="n">
        <v>44416</v>
      </c>
      <c r="C3343" s="12" t="inlineStr">
        <is>
          <t>VS15</t>
        </is>
      </c>
      <c r="D3343" s="12" t="inlineStr">
        <is>
          <t>Spring Steel</t>
        </is>
      </c>
      <c r="E3343" s="12" t="inlineStr">
        <is>
          <t>N</t>
        </is>
      </c>
      <c r="F3343" s="12" t="n">
        <v>38.25</v>
      </c>
      <c r="G3343" s="17" t="n">
        <v>48033.56</v>
      </c>
      <c r="H3343" s="26" t="n">
        <v>44423</v>
      </c>
      <c r="I3343" s="26" t="n">
        <v>44423</v>
      </c>
      <c r="J3343" s="12" t="n">
        <v>38.25</v>
      </c>
      <c r="K3343" s="17" t="n">
        <v>1837283.67</v>
      </c>
      <c r="L3343" s="12" t="n">
        <v>0</v>
      </c>
      <c r="M3343" s="12" t="n">
        <v>0</v>
      </c>
      <c r="N3343" s="27">
        <f>F3343-J3343</f>
        <v/>
      </c>
      <c r="O3343" s="16">
        <f>I3343-H3343</f>
        <v/>
      </c>
      <c r="P3343" s="14">
        <f>F3343*G3343</f>
        <v/>
      </c>
      <c r="Q3343" s="14">
        <f>J3343*G3343</f>
        <v/>
      </c>
      <c r="R3343" s="14">
        <f>K3343-Q3343</f>
        <v/>
      </c>
      <c r="S3343" s="3">
        <f>P3343*Assumptions!$B$3/100</f>
        <v/>
      </c>
      <c r="T3343" s="14">
        <f>R3343-S3343</f>
        <v/>
      </c>
      <c r="U3343" s="14">
        <f>L3343*G3343</f>
        <v/>
      </c>
    </row>
    <row r="3344">
      <c r="A3344" s="12" t="inlineStr">
        <is>
          <t>PO-2023-3342</t>
        </is>
      </c>
      <c r="B3344" s="26" t="n">
        <v>45291</v>
      </c>
      <c r="C3344" s="12" t="inlineStr">
        <is>
          <t>VS15</t>
        </is>
      </c>
      <c r="D3344" s="12" t="inlineStr">
        <is>
          <t>MS Sheets</t>
        </is>
      </c>
      <c r="E3344" s="12" t="inlineStr">
        <is>
          <t>N</t>
        </is>
      </c>
      <c r="F3344" s="12" t="n">
        <v>4.15</v>
      </c>
      <c r="G3344" s="17" t="n">
        <v>93177.47</v>
      </c>
      <c r="H3344" s="26" t="n">
        <v>45296</v>
      </c>
      <c r="I3344" s="26" t="n">
        <v>45296</v>
      </c>
      <c r="J3344" s="12" t="n">
        <v>4.14</v>
      </c>
      <c r="K3344" s="17" t="n">
        <v>386686.5</v>
      </c>
      <c r="L3344" s="12" t="n">
        <v>0</v>
      </c>
      <c r="M3344" s="12" t="n">
        <v>19</v>
      </c>
      <c r="N3344" s="27">
        <f>F3344-J3344</f>
        <v/>
      </c>
      <c r="O3344" s="16">
        <f>I3344-H3344</f>
        <v/>
      </c>
      <c r="P3344" s="14">
        <f>F3344*G3344</f>
        <v/>
      </c>
      <c r="Q3344" s="14">
        <f>J3344*G3344</f>
        <v/>
      </c>
      <c r="R3344" s="14">
        <f>K3344-Q3344</f>
        <v/>
      </c>
      <c r="S3344" s="3">
        <f>P3344*Assumptions!$B$3/100</f>
        <v/>
      </c>
      <c r="T3344" s="14">
        <f>R3344-S3344</f>
        <v/>
      </c>
      <c r="U3344" s="14">
        <f>L3344*G3344</f>
        <v/>
      </c>
    </row>
    <row r="3345">
      <c r="A3345" s="12" t="inlineStr">
        <is>
          <t>PO-2023-3343</t>
        </is>
      </c>
      <c r="B3345" s="26" t="n">
        <v>44507</v>
      </c>
      <c r="C3345" s="12" t="inlineStr">
        <is>
          <t>VS07</t>
        </is>
      </c>
      <c r="D3345" s="12" t="inlineStr">
        <is>
          <t>MS Sheets</t>
        </is>
      </c>
      <c r="E3345" s="12" t="inlineStr">
        <is>
          <t>N</t>
        </is>
      </c>
      <c r="F3345" s="12" t="n">
        <v>39.32</v>
      </c>
      <c r="G3345" s="17" t="n">
        <v>72908.49000000001</v>
      </c>
      <c r="H3345" s="26" t="n">
        <v>44514</v>
      </c>
      <c r="I3345" s="26" t="n">
        <v>44517</v>
      </c>
      <c r="J3345" s="12" t="n">
        <v>38.96</v>
      </c>
      <c r="K3345" s="17" t="n">
        <v>2866761.83</v>
      </c>
      <c r="L3345" s="12" t="n">
        <v>0</v>
      </c>
      <c r="M3345" s="12" t="n">
        <v>14</v>
      </c>
      <c r="N3345" s="27">
        <f>F3345-J3345</f>
        <v/>
      </c>
      <c r="O3345" s="16">
        <f>I3345-H3345</f>
        <v/>
      </c>
      <c r="P3345" s="14">
        <f>F3345*G3345</f>
        <v/>
      </c>
      <c r="Q3345" s="14">
        <f>J3345*G3345</f>
        <v/>
      </c>
      <c r="R3345" s="14">
        <f>K3345-Q3345</f>
        <v/>
      </c>
      <c r="S3345" s="3">
        <f>P3345*Assumptions!$B$3/100</f>
        <v/>
      </c>
      <c r="T3345" s="14">
        <f>R3345-S3345</f>
        <v/>
      </c>
      <c r="U3345" s="14">
        <f>L3345*G3345</f>
        <v/>
      </c>
    </row>
    <row r="3346">
      <c r="A3346" s="12" t="inlineStr">
        <is>
          <t>PO-2023-3344</t>
        </is>
      </c>
      <c r="B3346" s="26" t="n">
        <v>45244</v>
      </c>
      <c r="C3346" s="12" t="inlineStr">
        <is>
          <t>VS08</t>
        </is>
      </c>
      <c r="D3346" s="12" t="inlineStr">
        <is>
          <t>Angles &amp; Channels</t>
        </is>
      </c>
      <c r="E3346" s="12" t="inlineStr">
        <is>
          <t>Y</t>
        </is>
      </c>
      <c r="F3346" s="12" t="n">
        <v>27.38</v>
      </c>
      <c r="G3346" s="17" t="n">
        <v>110229.77</v>
      </c>
      <c r="H3346" s="26" t="n">
        <v>45255</v>
      </c>
      <c r="I3346" s="26" t="n">
        <v>45257</v>
      </c>
      <c r="J3346" s="12" t="n">
        <v>27.17</v>
      </c>
      <c r="K3346" s="17" t="n">
        <v>3018091.1</v>
      </c>
      <c r="L3346" s="12" t="n">
        <v>0</v>
      </c>
      <c r="M3346" s="12" t="n">
        <v>19</v>
      </c>
      <c r="N3346" s="27">
        <f>F3346-J3346</f>
        <v/>
      </c>
      <c r="O3346" s="16">
        <f>I3346-H3346</f>
        <v/>
      </c>
      <c r="P3346" s="14">
        <f>F3346*G3346</f>
        <v/>
      </c>
      <c r="Q3346" s="14">
        <f>J3346*G3346</f>
        <v/>
      </c>
      <c r="R3346" s="14">
        <f>K3346-Q3346</f>
        <v/>
      </c>
      <c r="S3346" s="3">
        <f>P3346*Assumptions!$B$3/100</f>
        <v/>
      </c>
      <c r="T3346" s="14">
        <f>R3346-S3346</f>
        <v/>
      </c>
      <c r="U3346" s="14">
        <f>L3346*G3346</f>
        <v/>
      </c>
    </row>
    <row r="3347">
      <c r="A3347" s="12" t="inlineStr">
        <is>
          <t>PO-2023-3345</t>
        </is>
      </c>
      <c r="B3347" s="26" t="n">
        <v>45051</v>
      </c>
      <c r="C3347" s="12" t="inlineStr">
        <is>
          <t>VS32</t>
        </is>
      </c>
      <c r="D3347" s="12" t="inlineStr">
        <is>
          <t>MS Rods</t>
        </is>
      </c>
      <c r="E3347" s="12" t="inlineStr">
        <is>
          <t>N</t>
        </is>
      </c>
      <c r="F3347" s="12" t="n">
        <v>15.6</v>
      </c>
      <c r="G3347" s="17" t="n">
        <v>45632.71</v>
      </c>
      <c r="H3347" s="26" t="n">
        <v>45066</v>
      </c>
      <c r="I3347" s="26" t="n">
        <v>45067</v>
      </c>
      <c r="J3347" s="12" t="n">
        <v>15.57</v>
      </c>
      <c r="K3347" s="17" t="n">
        <v>711870.28</v>
      </c>
      <c r="L3347" s="12" t="n">
        <v>0</v>
      </c>
      <c r="M3347" s="12" t="n">
        <v>6</v>
      </c>
      <c r="N3347" s="27">
        <f>F3347-J3347</f>
        <v/>
      </c>
      <c r="O3347" s="16">
        <f>I3347-H3347</f>
        <v/>
      </c>
      <c r="P3347" s="14">
        <f>F3347*G3347</f>
        <v/>
      </c>
      <c r="Q3347" s="14">
        <f>J3347*G3347</f>
        <v/>
      </c>
      <c r="R3347" s="14">
        <f>K3347-Q3347</f>
        <v/>
      </c>
      <c r="S3347" s="3">
        <f>P3347*Assumptions!$B$3/100</f>
        <v/>
      </c>
      <c r="T3347" s="14">
        <f>R3347-S3347</f>
        <v/>
      </c>
      <c r="U3347" s="14">
        <f>L3347*G3347</f>
        <v/>
      </c>
    </row>
    <row r="3348">
      <c r="A3348" s="12" t="inlineStr">
        <is>
          <t>PO-2023-3346</t>
        </is>
      </c>
      <c r="B3348" s="26" t="n">
        <v>44421</v>
      </c>
      <c r="C3348" s="12" t="inlineStr">
        <is>
          <t>VS34</t>
        </is>
      </c>
      <c r="D3348" s="12" t="inlineStr">
        <is>
          <t>MS Flats</t>
        </is>
      </c>
      <c r="E3348" s="12" t="inlineStr">
        <is>
          <t>N</t>
        </is>
      </c>
      <c r="F3348" s="12" t="n">
        <v>13.85</v>
      </c>
      <c r="G3348" s="17" t="n">
        <v>85292.53</v>
      </c>
      <c r="H3348" s="26" t="n">
        <v>44430</v>
      </c>
      <c r="I3348" s="26" t="n">
        <v>44430</v>
      </c>
      <c r="J3348" s="12" t="n">
        <v>13.75</v>
      </c>
      <c r="K3348" s="17" t="n">
        <v>1181301.54</v>
      </c>
      <c r="L3348" s="12" t="n">
        <v>0</v>
      </c>
      <c r="M3348" s="12" t="n">
        <v>16</v>
      </c>
      <c r="N3348" s="27">
        <f>F3348-J3348</f>
        <v/>
      </c>
      <c r="O3348" s="16">
        <f>I3348-H3348</f>
        <v/>
      </c>
      <c r="P3348" s="14">
        <f>F3348*G3348</f>
        <v/>
      </c>
      <c r="Q3348" s="14">
        <f>J3348*G3348</f>
        <v/>
      </c>
      <c r="R3348" s="14">
        <f>K3348-Q3348</f>
        <v/>
      </c>
      <c r="S3348" s="3">
        <f>P3348*Assumptions!$B$3/100</f>
        <v/>
      </c>
      <c r="T3348" s="14">
        <f>R3348-S3348</f>
        <v/>
      </c>
      <c r="U3348" s="14">
        <f>L3348*G3348</f>
        <v/>
      </c>
    </row>
    <row r="3349">
      <c r="A3349" s="12" t="inlineStr">
        <is>
          <t>PO-2023-3347</t>
        </is>
      </c>
      <c r="B3349" s="26" t="n">
        <v>44830</v>
      </c>
      <c r="C3349" s="12" t="inlineStr">
        <is>
          <t>VS20</t>
        </is>
      </c>
      <c r="D3349" s="12" t="inlineStr">
        <is>
          <t>Square/Rect Tubes</t>
        </is>
      </c>
      <c r="E3349" s="12" t="inlineStr">
        <is>
          <t>N</t>
        </is>
      </c>
      <c r="F3349" s="12" t="n">
        <v>42.02</v>
      </c>
      <c r="G3349" s="17" t="n">
        <v>95528.95</v>
      </c>
      <c r="H3349" s="26" t="n">
        <v>44833</v>
      </c>
      <c r="I3349" s="26" t="n">
        <v>44835</v>
      </c>
      <c r="J3349" s="12" t="n">
        <v>41.75</v>
      </c>
      <c r="K3349" s="17" t="n">
        <v>4014126.48</v>
      </c>
      <c r="L3349" s="12" t="n">
        <v>0</v>
      </c>
      <c r="M3349" s="12" t="n">
        <v>14</v>
      </c>
      <c r="N3349" s="27">
        <f>F3349-J3349</f>
        <v/>
      </c>
      <c r="O3349" s="16">
        <f>I3349-H3349</f>
        <v/>
      </c>
      <c r="P3349" s="14">
        <f>F3349*G3349</f>
        <v/>
      </c>
      <c r="Q3349" s="14">
        <f>J3349*G3349</f>
        <v/>
      </c>
      <c r="R3349" s="14">
        <f>K3349-Q3349</f>
        <v/>
      </c>
      <c r="S3349" s="3">
        <f>P3349*Assumptions!$B$3/100</f>
        <v/>
      </c>
      <c r="T3349" s="14">
        <f>R3349-S3349</f>
        <v/>
      </c>
      <c r="U3349" s="14">
        <f>L3349*G3349</f>
        <v/>
      </c>
    </row>
    <row r="3350">
      <c r="A3350" s="12" t="inlineStr">
        <is>
          <t>PO-2023-3348</t>
        </is>
      </c>
      <c r="B3350" s="26" t="n">
        <v>44992</v>
      </c>
      <c r="C3350" s="12" t="inlineStr">
        <is>
          <t>VS12</t>
        </is>
      </c>
      <c r="D3350" s="12" t="inlineStr">
        <is>
          <t>Hex Bars</t>
        </is>
      </c>
      <c r="E3350" s="12" t="inlineStr">
        <is>
          <t>N</t>
        </is>
      </c>
      <c r="F3350" s="12" t="n">
        <v>45.86</v>
      </c>
      <c r="G3350" s="17" t="n">
        <v>85630.59</v>
      </c>
      <c r="H3350" s="26" t="n">
        <v>45005</v>
      </c>
      <c r="I3350" s="26" t="n">
        <v>45008</v>
      </c>
      <c r="J3350" s="12" t="n">
        <v>44.34</v>
      </c>
      <c r="K3350" s="17" t="n">
        <v>3927018.86</v>
      </c>
      <c r="L3350" s="12" t="n">
        <v>1.77</v>
      </c>
      <c r="M3350" s="12" t="n">
        <v>0</v>
      </c>
      <c r="N3350" s="27">
        <f>F3350-J3350</f>
        <v/>
      </c>
      <c r="O3350" s="16">
        <f>I3350-H3350</f>
        <v/>
      </c>
      <c r="P3350" s="14">
        <f>F3350*G3350</f>
        <v/>
      </c>
      <c r="Q3350" s="14">
        <f>J3350*G3350</f>
        <v/>
      </c>
      <c r="R3350" s="14">
        <f>K3350-Q3350</f>
        <v/>
      </c>
      <c r="S3350" s="3">
        <f>P3350*Assumptions!$B$3/100</f>
        <v/>
      </c>
      <c r="T3350" s="14">
        <f>R3350-S3350</f>
        <v/>
      </c>
      <c r="U3350" s="14">
        <f>L3350*G3350</f>
        <v/>
      </c>
    </row>
    <row r="3351">
      <c r="A3351" s="12" t="inlineStr">
        <is>
          <t>PO-2023-3349</t>
        </is>
      </c>
      <c r="B3351" s="26" t="n">
        <v>45271</v>
      </c>
      <c r="C3351" s="12" t="inlineStr">
        <is>
          <t>VS31</t>
        </is>
      </c>
      <c r="D3351" s="12" t="inlineStr">
        <is>
          <t>HR Coils</t>
        </is>
      </c>
      <c r="E3351" s="12" t="inlineStr">
        <is>
          <t>N</t>
        </is>
      </c>
      <c r="F3351" s="12" t="n">
        <v>41.76</v>
      </c>
      <c r="G3351" s="17" t="n">
        <v>84058.57000000001</v>
      </c>
      <c r="H3351" s="26" t="n">
        <v>45286</v>
      </c>
      <c r="I3351" s="26" t="n">
        <v>45287</v>
      </c>
      <c r="J3351" s="12" t="n">
        <v>41.46</v>
      </c>
      <c r="K3351" s="17" t="n">
        <v>3510285.88</v>
      </c>
      <c r="L3351" s="12" t="n">
        <v>0</v>
      </c>
      <c r="M3351" s="12" t="n">
        <v>20</v>
      </c>
      <c r="N3351" s="27">
        <f>F3351-J3351</f>
        <v/>
      </c>
      <c r="O3351" s="16">
        <f>I3351-H3351</f>
        <v/>
      </c>
      <c r="P3351" s="14">
        <f>F3351*G3351</f>
        <v/>
      </c>
      <c r="Q3351" s="14">
        <f>J3351*G3351</f>
        <v/>
      </c>
      <c r="R3351" s="14">
        <f>K3351-Q3351</f>
        <v/>
      </c>
      <c r="S3351" s="3">
        <f>P3351*Assumptions!$B$3/100</f>
        <v/>
      </c>
      <c r="T3351" s="14">
        <f>R3351-S3351</f>
        <v/>
      </c>
      <c r="U3351" s="14">
        <f>L3351*G3351</f>
        <v/>
      </c>
    </row>
    <row r="3352">
      <c r="A3352" s="12" t="inlineStr">
        <is>
          <t>PO-2023-3350</t>
        </is>
      </c>
      <c r="B3352" s="26" t="n">
        <v>44991</v>
      </c>
      <c r="C3352" s="12" t="inlineStr">
        <is>
          <t>VS26</t>
        </is>
      </c>
      <c r="D3352" s="12" t="inlineStr">
        <is>
          <t>SS Sheets</t>
        </is>
      </c>
      <c r="E3352" s="12" t="inlineStr">
        <is>
          <t>N</t>
        </is>
      </c>
      <c r="F3352" s="12" t="n">
        <v>47.34</v>
      </c>
      <c r="G3352" s="17" t="n">
        <v>74947.17999999999</v>
      </c>
      <c r="H3352" s="26" t="n">
        <v>44998</v>
      </c>
      <c r="I3352" s="26" t="n">
        <v>44999</v>
      </c>
      <c r="J3352" s="12" t="n">
        <v>46.94</v>
      </c>
      <c r="K3352" s="17" t="n">
        <v>3547999.5</v>
      </c>
      <c r="L3352" s="12" t="n">
        <v>0</v>
      </c>
      <c r="M3352" s="12" t="n">
        <v>21</v>
      </c>
      <c r="N3352" s="27">
        <f>F3352-J3352</f>
        <v/>
      </c>
      <c r="O3352" s="16">
        <f>I3352-H3352</f>
        <v/>
      </c>
      <c r="P3352" s="14">
        <f>F3352*G3352</f>
        <v/>
      </c>
      <c r="Q3352" s="14">
        <f>J3352*G3352</f>
        <v/>
      </c>
      <c r="R3352" s="14">
        <f>K3352-Q3352</f>
        <v/>
      </c>
      <c r="S3352" s="3">
        <f>P3352*Assumptions!$B$3/100</f>
        <v/>
      </c>
      <c r="T3352" s="14">
        <f>R3352-S3352</f>
        <v/>
      </c>
      <c r="U3352" s="14">
        <f>L3352*G3352</f>
        <v/>
      </c>
    </row>
    <row r="3353">
      <c r="A3353" s="12" t="inlineStr">
        <is>
          <t>PO-2023-3351</t>
        </is>
      </c>
      <c r="B3353" s="26" t="n">
        <v>44440</v>
      </c>
      <c r="C3353" s="12" t="inlineStr">
        <is>
          <t>VS28</t>
        </is>
      </c>
      <c r="D3353" s="12" t="inlineStr">
        <is>
          <t>Square/Rect Tubes</t>
        </is>
      </c>
      <c r="E3353" s="12" t="inlineStr">
        <is>
          <t>N</t>
        </is>
      </c>
      <c r="F3353" s="12" t="n">
        <v>11.67</v>
      </c>
      <c r="G3353" s="17" t="n">
        <v>94387.8</v>
      </c>
      <c r="H3353" s="26" t="n">
        <v>44444</v>
      </c>
      <c r="I3353" s="26" t="n">
        <v>44444</v>
      </c>
      <c r="J3353" s="12" t="n">
        <v>11.59</v>
      </c>
      <c r="K3353" s="17" t="n">
        <v>1101505.63</v>
      </c>
      <c r="L3353" s="12" t="n">
        <v>0</v>
      </c>
      <c r="M3353" s="12" t="n">
        <v>12</v>
      </c>
      <c r="N3353" s="27">
        <f>F3353-J3353</f>
        <v/>
      </c>
      <c r="O3353" s="16">
        <f>I3353-H3353</f>
        <v/>
      </c>
      <c r="P3353" s="14">
        <f>F3353*G3353</f>
        <v/>
      </c>
      <c r="Q3353" s="14">
        <f>J3353*G3353</f>
        <v/>
      </c>
      <c r="R3353" s="14">
        <f>K3353-Q3353</f>
        <v/>
      </c>
      <c r="S3353" s="3">
        <f>P3353*Assumptions!$B$3/100</f>
        <v/>
      </c>
      <c r="T3353" s="14">
        <f>R3353-S3353</f>
        <v/>
      </c>
      <c r="U3353" s="14">
        <f>L3353*G3353</f>
        <v/>
      </c>
    </row>
    <row r="3354">
      <c r="A3354" s="12" t="inlineStr">
        <is>
          <t>PO-2023-3352</t>
        </is>
      </c>
      <c r="B3354" s="26" t="n">
        <v>44485</v>
      </c>
      <c r="C3354" s="12" t="inlineStr">
        <is>
          <t>VS28</t>
        </is>
      </c>
      <c r="D3354" s="12" t="inlineStr">
        <is>
          <t>Square/Rect Tubes</t>
        </is>
      </c>
      <c r="E3354" s="12" t="inlineStr">
        <is>
          <t>N</t>
        </is>
      </c>
      <c r="F3354" s="12" t="n">
        <v>9.77</v>
      </c>
      <c r="G3354" s="17" t="n">
        <v>59498.1</v>
      </c>
      <c r="H3354" s="26" t="n">
        <v>44488</v>
      </c>
      <c r="I3354" s="26" t="n">
        <v>44489</v>
      </c>
      <c r="J3354" s="12" t="n">
        <v>9.68</v>
      </c>
      <c r="K3354" s="17" t="n">
        <v>581296.4399999999</v>
      </c>
      <c r="L3354" s="12" t="n">
        <v>0</v>
      </c>
      <c r="M3354" s="12" t="n">
        <v>0</v>
      </c>
      <c r="N3354" s="27">
        <f>F3354-J3354</f>
        <v/>
      </c>
      <c r="O3354" s="16">
        <f>I3354-H3354</f>
        <v/>
      </c>
      <c r="P3354" s="14">
        <f>F3354*G3354</f>
        <v/>
      </c>
      <c r="Q3354" s="14">
        <f>J3354*G3354</f>
        <v/>
      </c>
      <c r="R3354" s="14">
        <f>K3354-Q3354</f>
        <v/>
      </c>
      <c r="S3354" s="3">
        <f>P3354*Assumptions!$B$3/100</f>
        <v/>
      </c>
      <c r="T3354" s="14">
        <f>R3354-S3354</f>
        <v/>
      </c>
      <c r="U3354" s="14">
        <f>L3354*G3354</f>
        <v/>
      </c>
    </row>
    <row r="3355">
      <c r="A3355" s="12" t="inlineStr">
        <is>
          <t>PO-2023-3353</t>
        </is>
      </c>
      <c r="B3355" s="26" t="n">
        <v>44822</v>
      </c>
      <c r="C3355" s="12" t="inlineStr">
        <is>
          <t>VS05</t>
        </is>
      </c>
      <c r="D3355" s="12" t="inlineStr">
        <is>
          <t>GI Pipes</t>
        </is>
      </c>
      <c r="E3355" s="12" t="inlineStr">
        <is>
          <t>N</t>
        </is>
      </c>
      <c r="F3355" s="12" t="n">
        <v>14.93</v>
      </c>
      <c r="G3355" s="17" t="n">
        <v>90880.07000000001</v>
      </c>
      <c r="H3355" s="26" t="n">
        <v>44833</v>
      </c>
      <c r="I3355" s="26" t="n">
        <v>44835</v>
      </c>
      <c r="J3355" s="12" t="n">
        <v>14.8</v>
      </c>
      <c r="K3355" s="17" t="n">
        <v>1356839.45</v>
      </c>
      <c r="L3355" s="12" t="n">
        <v>0</v>
      </c>
      <c r="M3355" s="12" t="n">
        <v>0</v>
      </c>
      <c r="N3355" s="27">
        <f>F3355-J3355</f>
        <v/>
      </c>
      <c r="O3355" s="16">
        <f>I3355-H3355</f>
        <v/>
      </c>
      <c r="P3355" s="14">
        <f>F3355*G3355</f>
        <v/>
      </c>
      <c r="Q3355" s="14">
        <f>J3355*G3355</f>
        <v/>
      </c>
      <c r="R3355" s="14">
        <f>K3355-Q3355</f>
        <v/>
      </c>
      <c r="S3355" s="3">
        <f>P3355*Assumptions!$B$3/100</f>
        <v/>
      </c>
      <c r="T3355" s="14">
        <f>R3355-S3355</f>
        <v/>
      </c>
      <c r="U3355" s="14">
        <f>L3355*G3355</f>
        <v/>
      </c>
    </row>
    <row r="3356">
      <c r="A3356" s="12" t="inlineStr">
        <is>
          <t>PO-2023-3354</t>
        </is>
      </c>
      <c r="B3356" s="26" t="n">
        <v>44641</v>
      </c>
      <c r="C3356" s="12" t="inlineStr">
        <is>
          <t>VS08</t>
        </is>
      </c>
      <c r="D3356" s="12" t="inlineStr">
        <is>
          <t>SS Sheets</t>
        </is>
      </c>
      <c r="E3356" s="12" t="inlineStr">
        <is>
          <t>Y</t>
        </is>
      </c>
      <c r="F3356" s="12" t="n">
        <v>36.9</v>
      </c>
      <c r="G3356" s="17" t="n">
        <v>115324.57</v>
      </c>
      <c r="H3356" s="26" t="n">
        <v>44653</v>
      </c>
      <c r="I3356" s="26" t="n">
        <v>44656</v>
      </c>
      <c r="J3356" s="12" t="n">
        <v>36.73</v>
      </c>
      <c r="K3356" s="17" t="n">
        <v>4255476.63</v>
      </c>
      <c r="L3356" s="12" t="n">
        <v>0</v>
      </c>
      <c r="M3356" s="12" t="n">
        <v>9</v>
      </c>
      <c r="N3356" s="27">
        <f>F3356-J3356</f>
        <v/>
      </c>
      <c r="O3356" s="16">
        <f>I3356-H3356</f>
        <v/>
      </c>
      <c r="P3356" s="14">
        <f>F3356*G3356</f>
        <v/>
      </c>
      <c r="Q3356" s="14">
        <f>J3356*G3356</f>
        <v/>
      </c>
      <c r="R3356" s="14">
        <f>K3356-Q3356</f>
        <v/>
      </c>
      <c r="S3356" s="3">
        <f>P3356*Assumptions!$B$3/100</f>
        <v/>
      </c>
      <c r="T3356" s="14">
        <f>R3356-S3356</f>
        <v/>
      </c>
      <c r="U3356" s="14">
        <f>L3356*G3356</f>
        <v/>
      </c>
    </row>
    <row r="3357">
      <c r="A3357" s="12" t="inlineStr">
        <is>
          <t>PO-2023-3355</t>
        </is>
      </c>
      <c r="B3357" s="26" t="n">
        <v>44426</v>
      </c>
      <c r="C3357" s="12" t="inlineStr">
        <is>
          <t>VS06</t>
        </is>
      </c>
      <c r="D3357" s="12" t="inlineStr">
        <is>
          <t>Structural Steel</t>
        </is>
      </c>
      <c r="E3357" s="12" t="inlineStr">
        <is>
          <t>N</t>
        </is>
      </c>
      <c r="F3357" s="12" t="n">
        <v>43.27</v>
      </c>
      <c r="G3357" s="17" t="n">
        <v>78488.50999999999</v>
      </c>
      <c r="H3357" s="26" t="n">
        <v>44441</v>
      </c>
      <c r="I3357" s="26" t="n">
        <v>44442</v>
      </c>
      <c r="J3357" s="12" t="n">
        <v>43.02</v>
      </c>
      <c r="K3357" s="17" t="n">
        <v>3396197.83</v>
      </c>
      <c r="L3357" s="12" t="n">
        <v>0</v>
      </c>
      <c r="M3357" s="12" t="n">
        <v>0</v>
      </c>
      <c r="N3357" s="27">
        <f>F3357-J3357</f>
        <v/>
      </c>
      <c r="O3357" s="16">
        <f>I3357-H3357</f>
        <v/>
      </c>
      <c r="P3357" s="14">
        <f>F3357*G3357</f>
        <v/>
      </c>
      <c r="Q3357" s="14">
        <f>J3357*G3357</f>
        <v/>
      </c>
      <c r="R3357" s="14">
        <f>K3357-Q3357</f>
        <v/>
      </c>
      <c r="S3357" s="3">
        <f>P3357*Assumptions!$B$3/100</f>
        <v/>
      </c>
      <c r="T3357" s="14">
        <f>R3357-S3357</f>
        <v/>
      </c>
      <c r="U3357" s="14">
        <f>L3357*G3357</f>
        <v/>
      </c>
    </row>
    <row r="3358">
      <c r="A3358" s="12" t="inlineStr">
        <is>
          <t>PO-2023-3356</t>
        </is>
      </c>
      <c r="B3358" s="26" t="n">
        <v>45029</v>
      </c>
      <c r="C3358" s="12" t="inlineStr">
        <is>
          <t>VS18</t>
        </is>
      </c>
      <c r="D3358" s="12" t="inlineStr">
        <is>
          <t>Hex Bars</t>
        </is>
      </c>
      <c r="E3358" s="12" t="inlineStr">
        <is>
          <t>Y</t>
        </is>
      </c>
      <c r="F3358" s="12" t="n">
        <v>5.73</v>
      </c>
      <c r="G3358" s="17" t="n">
        <v>57066.27</v>
      </c>
      <c r="H3358" s="26" t="n">
        <v>45043</v>
      </c>
      <c r="I3358" s="26" t="n">
        <v>45044</v>
      </c>
      <c r="J3358" s="12" t="n">
        <v>5.69</v>
      </c>
      <c r="K3358" s="17" t="n">
        <v>326989.73</v>
      </c>
      <c r="L3358" s="12" t="n">
        <v>0</v>
      </c>
      <c r="M3358" s="12" t="n">
        <v>0</v>
      </c>
      <c r="N3358" s="27">
        <f>F3358-J3358</f>
        <v/>
      </c>
      <c r="O3358" s="16">
        <f>I3358-H3358</f>
        <v/>
      </c>
      <c r="P3358" s="14">
        <f>F3358*G3358</f>
        <v/>
      </c>
      <c r="Q3358" s="14">
        <f>J3358*G3358</f>
        <v/>
      </c>
      <c r="R3358" s="14">
        <f>K3358-Q3358</f>
        <v/>
      </c>
      <c r="S3358" s="3">
        <f>P3358*Assumptions!$B$3/100</f>
        <v/>
      </c>
      <c r="T3358" s="14">
        <f>R3358-S3358</f>
        <v/>
      </c>
      <c r="U3358" s="14">
        <f>L3358*G3358</f>
        <v/>
      </c>
    </row>
    <row r="3359">
      <c r="A3359" s="12" t="inlineStr">
        <is>
          <t>PO-2023-3357</t>
        </is>
      </c>
      <c r="B3359" s="26" t="n">
        <v>44604</v>
      </c>
      <c r="C3359" s="12" t="inlineStr">
        <is>
          <t>VS08</t>
        </is>
      </c>
      <c r="D3359" s="12" t="inlineStr">
        <is>
          <t>Spring Steel</t>
        </is>
      </c>
      <c r="E3359" s="12" t="inlineStr">
        <is>
          <t>N</t>
        </is>
      </c>
      <c r="F3359" s="12" t="n">
        <v>1.98</v>
      </c>
      <c r="G3359" s="17" t="n">
        <v>61450.51</v>
      </c>
      <c r="H3359" s="26" t="n">
        <v>44613</v>
      </c>
      <c r="I3359" s="26" t="n">
        <v>44615</v>
      </c>
      <c r="J3359" s="12" t="n">
        <v>1.98</v>
      </c>
      <c r="K3359" s="17" t="n">
        <v>121672.01</v>
      </c>
      <c r="L3359" s="12" t="n">
        <v>0</v>
      </c>
      <c r="M3359" s="12" t="n">
        <v>16</v>
      </c>
      <c r="N3359" s="27">
        <f>F3359-J3359</f>
        <v/>
      </c>
      <c r="O3359" s="16">
        <f>I3359-H3359</f>
        <v/>
      </c>
      <c r="P3359" s="14">
        <f>F3359*G3359</f>
        <v/>
      </c>
      <c r="Q3359" s="14">
        <f>J3359*G3359</f>
        <v/>
      </c>
      <c r="R3359" s="14">
        <f>K3359-Q3359</f>
        <v/>
      </c>
      <c r="S3359" s="3">
        <f>P3359*Assumptions!$B$3/100</f>
        <v/>
      </c>
      <c r="T3359" s="14">
        <f>R3359-S3359</f>
        <v/>
      </c>
      <c r="U3359" s="14">
        <f>L3359*G3359</f>
        <v/>
      </c>
    </row>
    <row r="3360">
      <c r="A3360" s="12" t="inlineStr">
        <is>
          <t>PO-2023-3358</t>
        </is>
      </c>
      <c r="B3360" s="26" t="n">
        <v>45061</v>
      </c>
      <c r="C3360" s="12" t="inlineStr">
        <is>
          <t>VS27</t>
        </is>
      </c>
      <c r="D3360" s="12" t="inlineStr">
        <is>
          <t>MS Pipes</t>
        </is>
      </c>
      <c r="E3360" s="12" t="inlineStr">
        <is>
          <t>N</t>
        </is>
      </c>
      <c r="F3360" s="12" t="n">
        <v>37.14</v>
      </c>
      <c r="G3360" s="17" t="n">
        <v>100884.45</v>
      </c>
      <c r="H3360" s="26" t="n">
        <v>45075</v>
      </c>
      <c r="I3360" s="26" t="n">
        <v>45076</v>
      </c>
      <c r="J3360" s="12" t="n">
        <v>37.14</v>
      </c>
      <c r="K3360" s="17" t="n">
        <v>3746848.47</v>
      </c>
      <c r="L3360" s="12" t="n">
        <v>0</v>
      </c>
      <c r="M3360" s="12" t="n">
        <v>0</v>
      </c>
      <c r="N3360" s="27">
        <f>F3360-J3360</f>
        <v/>
      </c>
      <c r="O3360" s="16">
        <f>I3360-H3360</f>
        <v/>
      </c>
      <c r="P3360" s="14">
        <f>F3360*G3360</f>
        <v/>
      </c>
      <c r="Q3360" s="14">
        <f>J3360*G3360</f>
        <v/>
      </c>
      <c r="R3360" s="14">
        <f>K3360-Q3360</f>
        <v/>
      </c>
      <c r="S3360" s="3">
        <f>P3360*Assumptions!$B$3/100</f>
        <v/>
      </c>
      <c r="T3360" s="14">
        <f>R3360-S3360</f>
        <v/>
      </c>
      <c r="U3360" s="14">
        <f>L3360*G3360</f>
        <v/>
      </c>
    </row>
    <row r="3361">
      <c r="A3361" s="12" t="inlineStr">
        <is>
          <t>PO-2023-3359</t>
        </is>
      </c>
      <c r="B3361" s="26" t="n">
        <v>44201</v>
      </c>
      <c r="C3361" s="12" t="inlineStr">
        <is>
          <t>VS04</t>
        </is>
      </c>
      <c r="D3361" s="12" t="inlineStr">
        <is>
          <t>MS Pipes</t>
        </is>
      </c>
      <c r="E3361" s="12" t="inlineStr">
        <is>
          <t>N</t>
        </is>
      </c>
      <c r="F3361" s="12" t="n">
        <v>18.04</v>
      </c>
      <c r="G3361" s="17" t="n">
        <v>59753.14</v>
      </c>
      <c r="H3361" s="26" t="n">
        <v>44206</v>
      </c>
      <c r="I3361" s="26" t="n">
        <v>44208</v>
      </c>
      <c r="J3361" s="12" t="n">
        <v>17.99</v>
      </c>
      <c r="K3361" s="17" t="n">
        <v>1077946.65</v>
      </c>
      <c r="L3361" s="12" t="n">
        <v>0</v>
      </c>
      <c r="M3361" s="12" t="n">
        <v>0</v>
      </c>
      <c r="N3361" s="27">
        <f>F3361-J3361</f>
        <v/>
      </c>
      <c r="O3361" s="16">
        <f>I3361-H3361</f>
        <v/>
      </c>
      <c r="P3361" s="14">
        <f>F3361*G3361</f>
        <v/>
      </c>
      <c r="Q3361" s="14">
        <f>J3361*G3361</f>
        <v/>
      </c>
      <c r="R3361" s="14">
        <f>K3361-Q3361</f>
        <v/>
      </c>
      <c r="S3361" s="3">
        <f>P3361*Assumptions!$B$3/100</f>
        <v/>
      </c>
      <c r="T3361" s="14">
        <f>R3361-S3361</f>
        <v/>
      </c>
      <c r="U3361" s="14">
        <f>L3361*G3361</f>
        <v/>
      </c>
    </row>
    <row r="3362">
      <c r="A3362" s="12" t="inlineStr">
        <is>
          <t>PO-2023-3360</t>
        </is>
      </c>
      <c r="B3362" s="26" t="n">
        <v>44886</v>
      </c>
      <c r="C3362" s="12" t="inlineStr">
        <is>
          <t>VS13</t>
        </is>
      </c>
      <c r="D3362" s="12" t="inlineStr">
        <is>
          <t>Spring Steel</t>
        </is>
      </c>
      <c r="E3362" s="12" t="inlineStr">
        <is>
          <t>N</t>
        </is>
      </c>
      <c r="F3362" s="12" t="n">
        <v>20.41</v>
      </c>
      <c r="G3362" s="17" t="n">
        <v>110472.61</v>
      </c>
      <c r="H3362" s="26" t="n">
        <v>44889</v>
      </c>
      <c r="I3362" s="26" t="n">
        <v>44889</v>
      </c>
      <c r="J3362" s="12" t="n">
        <v>20.25</v>
      </c>
      <c r="K3362" s="17" t="n">
        <v>2254745.97</v>
      </c>
      <c r="L3362" s="12" t="n">
        <v>0</v>
      </c>
      <c r="M3362" s="12" t="n">
        <v>0</v>
      </c>
      <c r="N3362" s="27">
        <f>F3362-J3362</f>
        <v/>
      </c>
      <c r="O3362" s="16">
        <f>I3362-H3362</f>
        <v/>
      </c>
      <c r="P3362" s="14">
        <f>F3362*G3362</f>
        <v/>
      </c>
      <c r="Q3362" s="14">
        <f>J3362*G3362</f>
        <v/>
      </c>
      <c r="R3362" s="14">
        <f>K3362-Q3362</f>
        <v/>
      </c>
      <c r="S3362" s="3">
        <f>P3362*Assumptions!$B$3/100</f>
        <v/>
      </c>
      <c r="T3362" s="14">
        <f>R3362-S3362</f>
        <v/>
      </c>
      <c r="U3362" s="14">
        <f>L3362*G3362</f>
        <v/>
      </c>
    </row>
    <row r="3363">
      <c r="A3363" s="12" t="inlineStr">
        <is>
          <t>PO-2023-3361</t>
        </is>
      </c>
      <c r="B3363" s="26" t="n">
        <v>44855</v>
      </c>
      <c r="C3363" s="12" t="inlineStr">
        <is>
          <t>VS03</t>
        </is>
      </c>
      <c r="D3363" s="12" t="inlineStr">
        <is>
          <t>MS Flats</t>
        </is>
      </c>
      <c r="E3363" s="12" t="inlineStr">
        <is>
          <t>N</t>
        </is>
      </c>
      <c r="F3363" s="12" t="n">
        <v>40.67</v>
      </c>
      <c r="G3363" s="17" t="n">
        <v>67871.92</v>
      </c>
      <c r="H3363" s="26" t="n">
        <v>44866</v>
      </c>
      <c r="I3363" s="26" t="n">
        <v>44869</v>
      </c>
      <c r="J3363" s="12" t="n">
        <v>38.7</v>
      </c>
      <c r="K3363" s="17" t="n">
        <v>2760350.99</v>
      </c>
      <c r="L3363" s="12" t="n">
        <v>1.58</v>
      </c>
      <c r="M3363" s="12" t="n">
        <v>0</v>
      </c>
      <c r="N3363" s="27">
        <f>F3363-J3363</f>
        <v/>
      </c>
      <c r="O3363" s="16">
        <f>I3363-H3363</f>
        <v/>
      </c>
      <c r="P3363" s="14">
        <f>F3363*G3363</f>
        <v/>
      </c>
      <c r="Q3363" s="14">
        <f>J3363*G3363</f>
        <v/>
      </c>
      <c r="R3363" s="14">
        <f>K3363-Q3363</f>
        <v/>
      </c>
      <c r="S3363" s="3">
        <f>P3363*Assumptions!$B$3/100</f>
        <v/>
      </c>
      <c r="T3363" s="14">
        <f>R3363-S3363</f>
        <v/>
      </c>
      <c r="U3363" s="14">
        <f>L3363*G3363</f>
        <v/>
      </c>
    </row>
    <row r="3364">
      <c r="A3364" s="12" t="inlineStr">
        <is>
          <t>PO-2023-3362</t>
        </is>
      </c>
      <c r="B3364" s="26" t="n">
        <v>44678</v>
      </c>
      <c r="C3364" s="12" t="inlineStr">
        <is>
          <t>VS01</t>
        </is>
      </c>
      <c r="D3364" s="12" t="inlineStr">
        <is>
          <t>Angles &amp; Channels</t>
        </is>
      </c>
      <c r="E3364" s="12" t="inlineStr">
        <is>
          <t>N</t>
        </is>
      </c>
      <c r="F3364" s="12" t="n">
        <v>28.1</v>
      </c>
      <c r="G3364" s="17" t="n">
        <v>57137.91</v>
      </c>
      <c r="H3364" s="26" t="n">
        <v>44687</v>
      </c>
      <c r="I3364" s="26" t="n">
        <v>44688</v>
      </c>
      <c r="J3364" s="12" t="n">
        <v>27.92</v>
      </c>
      <c r="K3364" s="17" t="n">
        <v>1605575.27</v>
      </c>
      <c r="L3364" s="12" t="n">
        <v>0</v>
      </c>
      <c r="M3364" s="12" t="n">
        <v>0</v>
      </c>
      <c r="N3364" s="27">
        <f>F3364-J3364</f>
        <v/>
      </c>
      <c r="O3364" s="16">
        <f>I3364-H3364</f>
        <v/>
      </c>
      <c r="P3364" s="14">
        <f>F3364*G3364</f>
        <v/>
      </c>
      <c r="Q3364" s="14">
        <f>J3364*G3364</f>
        <v/>
      </c>
      <c r="R3364" s="14">
        <f>K3364-Q3364</f>
        <v/>
      </c>
      <c r="S3364" s="3">
        <f>P3364*Assumptions!$B$3/100</f>
        <v/>
      </c>
      <c r="T3364" s="14">
        <f>R3364-S3364</f>
        <v/>
      </c>
      <c r="U3364" s="14">
        <f>L3364*G3364</f>
        <v/>
      </c>
    </row>
    <row r="3365">
      <c r="A3365" s="12" t="inlineStr">
        <is>
          <t>PO-2023-3363</t>
        </is>
      </c>
      <c r="B3365" s="26" t="n">
        <v>44547</v>
      </c>
      <c r="C3365" s="12" t="inlineStr">
        <is>
          <t>VS04</t>
        </is>
      </c>
      <c r="D3365" s="12" t="inlineStr">
        <is>
          <t>GI Pipes</t>
        </is>
      </c>
      <c r="E3365" s="12" t="inlineStr">
        <is>
          <t>N</t>
        </is>
      </c>
      <c r="F3365" s="12" t="n">
        <v>23.1</v>
      </c>
      <c r="G3365" s="17" t="n">
        <v>85048.64</v>
      </c>
      <c r="H3365" s="26" t="n">
        <v>44556</v>
      </c>
      <c r="I3365" s="26" t="n">
        <v>44557</v>
      </c>
      <c r="J3365" s="12" t="n">
        <v>22.98</v>
      </c>
      <c r="K3365" s="17" t="n">
        <v>1964623.58</v>
      </c>
      <c r="L3365" s="12" t="n">
        <v>0</v>
      </c>
      <c r="M3365" s="12" t="n">
        <v>11</v>
      </c>
      <c r="N3365" s="27">
        <f>F3365-J3365</f>
        <v/>
      </c>
      <c r="O3365" s="16">
        <f>I3365-H3365</f>
        <v/>
      </c>
      <c r="P3365" s="14">
        <f>F3365*G3365</f>
        <v/>
      </c>
      <c r="Q3365" s="14">
        <f>J3365*G3365</f>
        <v/>
      </c>
      <c r="R3365" s="14">
        <f>K3365-Q3365</f>
        <v/>
      </c>
      <c r="S3365" s="3">
        <f>P3365*Assumptions!$B$3/100</f>
        <v/>
      </c>
      <c r="T3365" s="14">
        <f>R3365-S3365</f>
        <v/>
      </c>
      <c r="U3365" s="14">
        <f>L3365*G3365</f>
        <v/>
      </c>
    </row>
    <row r="3366">
      <c r="A3366" s="12" t="inlineStr">
        <is>
          <t>PO-2023-3364</t>
        </is>
      </c>
      <c r="B3366" s="26" t="n">
        <v>44532</v>
      </c>
      <c r="C3366" s="12" t="inlineStr">
        <is>
          <t>VS30</t>
        </is>
      </c>
      <c r="D3366" s="12" t="inlineStr">
        <is>
          <t>GI Wire</t>
        </is>
      </c>
      <c r="E3366" s="12" t="inlineStr">
        <is>
          <t>N</t>
        </is>
      </c>
      <c r="F3366" s="12" t="n">
        <v>46.74</v>
      </c>
      <c r="G3366" s="17" t="n">
        <v>109334.59</v>
      </c>
      <c r="H3366" s="26" t="n">
        <v>44537</v>
      </c>
      <c r="I3366" s="26" t="n">
        <v>44540</v>
      </c>
      <c r="J3366" s="12" t="n">
        <v>46.65</v>
      </c>
      <c r="K3366" s="17" t="n">
        <v>5110298.74</v>
      </c>
      <c r="L3366" s="12" t="n">
        <v>0</v>
      </c>
      <c r="M3366" s="12" t="n">
        <v>0</v>
      </c>
      <c r="N3366" s="27">
        <f>F3366-J3366</f>
        <v/>
      </c>
      <c r="O3366" s="16">
        <f>I3366-H3366</f>
        <v/>
      </c>
      <c r="P3366" s="14">
        <f>F3366*G3366</f>
        <v/>
      </c>
      <c r="Q3366" s="14">
        <f>J3366*G3366</f>
        <v/>
      </c>
      <c r="R3366" s="14">
        <f>K3366-Q3366</f>
        <v/>
      </c>
      <c r="S3366" s="3">
        <f>P3366*Assumptions!$B$3/100</f>
        <v/>
      </c>
      <c r="T3366" s="14">
        <f>R3366-S3366</f>
        <v/>
      </c>
      <c r="U3366" s="14">
        <f>L3366*G3366</f>
        <v/>
      </c>
    </row>
    <row r="3367">
      <c r="A3367" s="12" t="inlineStr">
        <is>
          <t>PO-2023-3365</t>
        </is>
      </c>
      <c r="B3367" s="26" t="n">
        <v>44620</v>
      </c>
      <c r="C3367" s="12" t="inlineStr">
        <is>
          <t>VS33</t>
        </is>
      </c>
      <c r="D3367" s="12" t="inlineStr">
        <is>
          <t>MS Rods</t>
        </is>
      </c>
      <c r="E3367" s="12" t="inlineStr">
        <is>
          <t>N</t>
        </is>
      </c>
      <c r="F3367" s="12" t="n">
        <v>33.99</v>
      </c>
      <c r="G3367" s="17" t="n">
        <v>111207.3</v>
      </c>
      <c r="H3367" s="26" t="n">
        <v>44626</v>
      </c>
      <c r="I3367" s="26" t="n">
        <v>44627</v>
      </c>
      <c r="J3367" s="12" t="n">
        <v>33.82</v>
      </c>
      <c r="K3367" s="17" t="n">
        <v>3779936.13</v>
      </c>
      <c r="L3367" s="12" t="n">
        <v>0</v>
      </c>
      <c r="M3367" s="12" t="n">
        <v>0</v>
      </c>
      <c r="N3367" s="27">
        <f>F3367-J3367</f>
        <v/>
      </c>
      <c r="O3367" s="16">
        <f>I3367-H3367</f>
        <v/>
      </c>
      <c r="P3367" s="14">
        <f>F3367*G3367</f>
        <v/>
      </c>
      <c r="Q3367" s="14">
        <f>J3367*G3367</f>
        <v/>
      </c>
      <c r="R3367" s="14">
        <f>K3367-Q3367</f>
        <v/>
      </c>
      <c r="S3367" s="3">
        <f>P3367*Assumptions!$B$3/100</f>
        <v/>
      </c>
      <c r="T3367" s="14">
        <f>R3367-S3367</f>
        <v/>
      </c>
      <c r="U3367" s="14">
        <f>L3367*G3367</f>
        <v/>
      </c>
    </row>
    <row r="3368">
      <c r="A3368" s="12" t="inlineStr">
        <is>
          <t>PO-2023-3366</t>
        </is>
      </c>
      <c r="B3368" s="26" t="n">
        <v>44636</v>
      </c>
      <c r="C3368" s="12" t="inlineStr">
        <is>
          <t>VS31</t>
        </is>
      </c>
      <c r="D3368" s="12" t="inlineStr">
        <is>
          <t>GI Wire</t>
        </is>
      </c>
      <c r="E3368" s="12" t="inlineStr">
        <is>
          <t>N</t>
        </is>
      </c>
      <c r="F3368" s="12" t="n">
        <v>45.11</v>
      </c>
      <c r="G3368" s="17" t="n">
        <v>51247.63</v>
      </c>
      <c r="H3368" s="26" t="n">
        <v>44644</v>
      </c>
      <c r="I3368" s="26" t="n">
        <v>44646</v>
      </c>
      <c r="J3368" s="12" t="n">
        <v>44.68</v>
      </c>
      <c r="K3368" s="17" t="n">
        <v>2311780.59</v>
      </c>
      <c r="L3368" s="12" t="n">
        <v>0</v>
      </c>
      <c r="M3368" s="12" t="n">
        <v>0</v>
      </c>
      <c r="N3368" s="27">
        <f>F3368-J3368</f>
        <v/>
      </c>
      <c r="O3368" s="16">
        <f>I3368-H3368</f>
        <v/>
      </c>
      <c r="P3368" s="14">
        <f>F3368*G3368</f>
        <v/>
      </c>
      <c r="Q3368" s="14">
        <f>J3368*G3368</f>
        <v/>
      </c>
      <c r="R3368" s="14">
        <f>K3368-Q3368</f>
        <v/>
      </c>
      <c r="S3368" s="3">
        <f>P3368*Assumptions!$B$3/100</f>
        <v/>
      </c>
      <c r="T3368" s="14">
        <f>R3368-S3368</f>
        <v/>
      </c>
      <c r="U3368" s="14">
        <f>L3368*G3368</f>
        <v/>
      </c>
    </row>
    <row r="3369">
      <c r="A3369" s="12" t="inlineStr">
        <is>
          <t>PO-2023-3367</t>
        </is>
      </c>
      <c r="B3369" s="26" t="n">
        <v>44430</v>
      </c>
      <c r="C3369" s="12" t="inlineStr">
        <is>
          <t>VS26</t>
        </is>
      </c>
      <c r="D3369" s="12" t="inlineStr">
        <is>
          <t>MS Sheets</t>
        </is>
      </c>
      <c r="E3369" s="12" t="inlineStr">
        <is>
          <t>N</t>
        </is>
      </c>
      <c r="F3369" s="12" t="n">
        <v>20.48</v>
      </c>
      <c r="G3369" s="17" t="n">
        <v>52856.61</v>
      </c>
      <c r="H3369" s="26" t="n">
        <v>44439</v>
      </c>
      <c r="I3369" s="26" t="n">
        <v>44440</v>
      </c>
      <c r="J3369" s="12" t="n">
        <v>20.37</v>
      </c>
      <c r="K3369" s="17" t="n">
        <v>1082503.37</v>
      </c>
      <c r="L3369" s="12" t="n">
        <v>0</v>
      </c>
      <c r="M3369" s="12" t="n">
        <v>14</v>
      </c>
      <c r="N3369" s="27">
        <f>F3369-J3369</f>
        <v/>
      </c>
      <c r="O3369" s="16">
        <f>I3369-H3369</f>
        <v/>
      </c>
      <c r="P3369" s="14">
        <f>F3369*G3369</f>
        <v/>
      </c>
      <c r="Q3369" s="14">
        <f>J3369*G3369</f>
        <v/>
      </c>
      <c r="R3369" s="14">
        <f>K3369-Q3369</f>
        <v/>
      </c>
      <c r="S3369" s="3">
        <f>P3369*Assumptions!$B$3/100</f>
        <v/>
      </c>
      <c r="T3369" s="14">
        <f>R3369-S3369</f>
        <v/>
      </c>
      <c r="U3369" s="14">
        <f>L3369*G3369</f>
        <v/>
      </c>
    </row>
    <row r="3370">
      <c r="A3370" s="12" t="inlineStr">
        <is>
          <t>PO-2023-3368</t>
        </is>
      </c>
      <c r="B3370" s="26" t="n">
        <v>44821</v>
      </c>
      <c r="C3370" s="12" t="inlineStr">
        <is>
          <t>VS07</t>
        </is>
      </c>
      <c r="D3370" s="12" t="inlineStr">
        <is>
          <t>MS Pipes</t>
        </is>
      </c>
      <c r="E3370" s="12" t="inlineStr">
        <is>
          <t>N</t>
        </is>
      </c>
      <c r="F3370" s="12" t="n">
        <v>48.68</v>
      </c>
      <c r="G3370" s="17" t="n">
        <v>59240.39</v>
      </c>
      <c r="H3370" s="26" t="n">
        <v>44834</v>
      </c>
      <c r="I3370" s="26" t="n">
        <v>44836</v>
      </c>
      <c r="J3370" s="12" t="n">
        <v>48.32</v>
      </c>
      <c r="K3370" s="17" t="n">
        <v>2883822.19</v>
      </c>
      <c r="L3370" s="12" t="n">
        <v>0</v>
      </c>
      <c r="M3370" s="12" t="n">
        <v>0</v>
      </c>
      <c r="N3370" s="27">
        <f>F3370-J3370</f>
        <v/>
      </c>
      <c r="O3370" s="16">
        <f>I3370-H3370</f>
        <v/>
      </c>
      <c r="P3370" s="14">
        <f>F3370*G3370</f>
        <v/>
      </c>
      <c r="Q3370" s="14">
        <f>J3370*G3370</f>
        <v/>
      </c>
      <c r="R3370" s="14">
        <f>K3370-Q3370</f>
        <v/>
      </c>
      <c r="S3370" s="3">
        <f>P3370*Assumptions!$B$3/100</f>
        <v/>
      </c>
      <c r="T3370" s="14">
        <f>R3370-S3370</f>
        <v/>
      </c>
      <c r="U3370" s="14">
        <f>L3370*G3370</f>
        <v/>
      </c>
    </row>
    <row r="3371">
      <c r="A3371" s="12" t="inlineStr">
        <is>
          <t>PO-2023-3369</t>
        </is>
      </c>
      <c r="B3371" s="26" t="n">
        <v>45232</v>
      </c>
      <c r="C3371" s="12" t="inlineStr">
        <is>
          <t>VS11</t>
        </is>
      </c>
      <c r="D3371" s="12" t="inlineStr">
        <is>
          <t>GI Sheets</t>
        </is>
      </c>
      <c r="E3371" s="12" t="inlineStr">
        <is>
          <t>N</t>
        </is>
      </c>
      <c r="F3371" s="12" t="n">
        <v>45.1</v>
      </c>
      <c r="G3371" s="17" t="n">
        <v>98767.22</v>
      </c>
      <c r="H3371" s="26" t="n">
        <v>45237</v>
      </c>
      <c r="I3371" s="26" t="n">
        <v>45239</v>
      </c>
      <c r="J3371" s="12" t="n">
        <v>44.72</v>
      </c>
      <c r="K3371" s="17" t="n">
        <v>4454401.62</v>
      </c>
      <c r="L3371" s="12" t="n">
        <v>0</v>
      </c>
      <c r="M3371" s="12" t="n">
        <v>0</v>
      </c>
      <c r="N3371" s="27">
        <f>F3371-J3371</f>
        <v/>
      </c>
      <c r="O3371" s="16">
        <f>I3371-H3371</f>
        <v/>
      </c>
      <c r="P3371" s="14">
        <f>F3371*G3371</f>
        <v/>
      </c>
      <c r="Q3371" s="14">
        <f>J3371*G3371</f>
        <v/>
      </c>
      <c r="R3371" s="14">
        <f>K3371-Q3371</f>
        <v/>
      </c>
      <c r="S3371" s="3">
        <f>P3371*Assumptions!$B$3/100</f>
        <v/>
      </c>
      <c r="T3371" s="14">
        <f>R3371-S3371</f>
        <v/>
      </c>
      <c r="U3371" s="14">
        <f>L3371*G3371</f>
        <v/>
      </c>
    </row>
    <row r="3372">
      <c r="A3372" s="12" t="inlineStr">
        <is>
          <t>PO-2023-3370</t>
        </is>
      </c>
      <c r="B3372" s="26" t="n">
        <v>44400</v>
      </c>
      <c r="C3372" s="12" t="inlineStr">
        <is>
          <t>VS33</t>
        </is>
      </c>
      <c r="D3372" s="12" t="inlineStr">
        <is>
          <t>HR Coils</t>
        </is>
      </c>
      <c r="E3372" s="12" t="inlineStr">
        <is>
          <t>Y</t>
        </is>
      </c>
      <c r="F3372" s="12" t="n">
        <v>18.12</v>
      </c>
      <c r="G3372" s="17" t="n">
        <v>59012.62</v>
      </c>
      <c r="H3372" s="26" t="n">
        <v>44414</v>
      </c>
      <c r="I3372" s="26" t="n">
        <v>44416</v>
      </c>
      <c r="J3372" s="12" t="n">
        <v>18.07</v>
      </c>
      <c r="K3372" s="17" t="n">
        <v>1069308.67</v>
      </c>
      <c r="L3372" s="12" t="n">
        <v>0</v>
      </c>
      <c r="M3372" s="12" t="n">
        <v>9</v>
      </c>
      <c r="N3372" s="27">
        <f>F3372-J3372</f>
        <v/>
      </c>
      <c r="O3372" s="16">
        <f>I3372-H3372</f>
        <v/>
      </c>
      <c r="P3372" s="14">
        <f>F3372*G3372</f>
        <v/>
      </c>
      <c r="Q3372" s="14">
        <f>J3372*G3372</f>
        <v/>
      </c>
      <c r="R3372" s="14">
        <f>K3372-Q3372</f>
        <v/>
      </c>
      <c r="S3372" s="3">
        <f>P3372*Assumptions!$B$3/100</f>
        <v/>
      </c>
      <c r="T3372" s="14">
        <f>R3372-S3372</f>
        <v/>
      </c>
      <c r="U3372" s="14">
        <f>L3372*G3372</f>
        <v/>
      </c>
    </row>
    <row r="3373">
      <c r="A3373" s="12" t="inlineStr">
        <is>
          <t>PO-2023-3371</t>
        </is>
      </c>
      <c r="B3373" s="26" t="n">
        <v>44326</v>
      </c>
      <c r="C3373" s="12" t="inlineStr">
        <is>
          <t>VS34</t>
        </is>
      </c>
      <c r="D3373" s="12" t="inlineStr">
        <is>
          <t>Structural Steel</t>
        </is>
      </c>
      <c r="E3373" s="12" t="inlineStr">
        <is>
          <t>N</t>
        </is>
      </c>
      <c r="F3373" s="12" t="n">
        <v>16.94</v>
      </c>
      <c r="G3373" s="17" t="n">
        <v>115342.17</v>
      </c>
      <c r="H3373" s="26" t="n">
        <v>44340</v>
      </c>
      <c r="I3373" s="26" t="n">
        <v>44341</v>
      </c>
      <c r="J3373" s="12" t="n">
        <v>16.81</v>
      </c>
      <c r="K3373" s="17" t="n">
        <v>1953896.36</v>
      </c>
      <c r="L3373" s="12" t="n">
        <v>0</v>
      </c>
      <c r="M3373" s="12" t="n">
        <v>24</v>
      </c>
      <c r="N3373" s="27">
        <f>F3373-J3373</f>
        <v/>
      </c>
      <c r="O3373" s="16">
        <f>I3373-H3373</f>
        <v/>
      </c>
      <c r="P3373" s="14">
        <f>F3373*G3373</f>
        <v/>
      </c>
      <c r="Q3373" s="14">
        <f>J3373*G3373</f>
        <v/>
      </c>
      <c r="R3373" s="14">
        <f>K3373-Q3373</f>
        <v/>
      </c>
      <c r="S3373" s="3">
        <f>P3373*Assumptions!$B$3/100</f>
        <v/>
      </c>
      <c r="T3373" s="14">
        <f>R3373-S3373</f>
        <v/>
      </c>
      <c r="U3373" s="14">
        <f>L3373*G3373</f>
        <v/>
      </c>
    </row>
    <row r="3374">
      <c r="A3374" s="12" t="inlineStr">
        <is>
          <t>PO-2023-3372</t>
        </is>
      </c>
      <c r="B3374" s="26" t="n">
        <v>44237</v>
      </c>
      <c r="C3374" s="12" t="inlineStr">
        <is>
          <t>VS26</t>
        </is>
      </c>
      <c r="D3374" s="12" t="inlineStr">
        <is>
          <t>Structural Steel</t>
        </is>
      </c>
      <c r="E3374" s="12" t="inlineStr">
        <is>
          <t>N</t>
        </is>
      </c>
      <c r="F3374" s="12" t="n">
        <v>25.16</v>
      </c>
      <c r="G3374" s="17" t="n">
        <v>52122.89</v>
      </c>
      <c r="H3374" s="26" t="n">
        <v>44240</v>
      </c>
      <c r="I3374" s="26" t="n">
        <v>44243</v>
      </c>
      <c r="J3374" s="12" t="n">
        <v>25.07</v>
      </c>
      <c r="K3374" s="17" t="n">
        <v>1311411.91</v>
      </c>
      <c r="L3374" s="12" t="n">
        <v>0</v>
      </c>
      <c r="M3374" s="12" t="n">
        <v>0</v>
      </c>
      <c r="N3374" s="27">
        <f>F3374-J3374</f>
        <v/>
      </c>
      <c r="O3374" s="16">
        <f>I3374-H3374</f>
        <v/>
      </c>
      <c r="P3374" s="14">
        <f>F3374*G3374</f>
        <v/>
      </c>
      <c r="Q3374" s="14">
        <f>J3374*G3374</f>
        <v/>
      </c>
      <c r="R3374" s="14">
        <f>K3374-Q3374</f>
        <v/>
      </c>
      <c r="S3374" s="3">
        <f>P3374*Assumptions!$B$3/100</f>
        <v/>
      </c>
      <c r="T3374" s="14">
        <f>R3374-S3374</f>
        <v/>
      </c>
      <c r="U3374" s="14">
        <f>L3374*G3374</f>
        <v/>
      </c>
    </row>
    <row r="3375">
      <c r="A3375" s="12" t="inlineStr">
        <is>
          <t>PO-2023-3373</t>
        </is>
      </c>
      <c r="B3375" s="26" t="n">
        <v>45062</v>
      </c>
      <c r="C3375" s="12" t="inlineStr">
        <is>
          <t>VS24</t>
        </is>
      </c>
      <c r="D3375" s="12" t="inlineStr">
        <is>
          <t>MS Sheets</t>
        </is>
      </c>
      <c r="E3375" s="12" t="inlineStr">
        <is>
          <t>N</t>
        </is>
      </c>
      <c r="F3375" s="12" t="n">
        <v>1.31</v>
      </c>
      <c r="G3375" s="17" t="n">
        <v>112414.05</v>
      </c>
      <c r="H3375" s="26" t="n">
        <v>45073</v>
      </c>
      <c r="I3375" s="26" t="n">
        <v>45075</v>
      </c>
      <c r="J3375" s="12" t="n">
        <v>1.3</v>
      </c>
      <c r="K3375" s="17" t="n">
        <v>147262.41</v>
      </c>
      <c r="L3375" s="12" t="n">
        <v>0</v>
      </c>
      <c r="M3375" s="12" t="n">
        <v>0</v>
      </c>
      <c r="N3375" s="27">
        <f>F3375-J3375</f>
        <v/>
      </c>
      <c r="O3375" s="16">
        <f>I3375-H3375</f>
        <v/>
      </c>
      <c r="P3375" s="14">
        <f>F3375*G3375</f>
        <v/>
      </c>
      <c r="Q3375" s="14">
        <f>J3375*G3375</f>
        <v/>
      </c>
      <c r="R3375" s="14">
        <f>K3375-Q3375</f>
        <v/>
      </c>
      <c r="S3375" s="3">
        <f>P3375*Assumptions!$B$3/100</f>
        <v/>
      </c>
      <c r="T3375" s="14">
        <f>R3375-S3375</f>
        <v/>
      </c>
      <c r="U3375" s="14">
        <f>L3375*G3375</f>
        <v/>
      </c>
    </row>
    <row r="3376">
      <c r="A3376" s="12" t="inlineStr">
        <is>
          <t>PO-2023-3374</t>
        </is>
      </c>
      <c r="B3376" s="26" t="n">
        <v>45267</v>
      </c>
      <c r="C3376" s="12" t="inlineStr">
        <is>
          <t>VS07</t>
        </is>
      </c>
      <c r="D3376" s="12" t="inlineStr">
        <is>
          <t>CR Sheets</t>
        </is>
      </c>
      <c r="E3376" s="12" t="inlineStr">
        <is>
          <t>N</t>
        </is>
      </c>
      <c r="F3376" s="12" t="n">
        <v>13.12</v>
      </c>
      <c r="G3376" s="17" t="n">
        <v>50629.53</v>
      </c>
      <c r="H3376" s="26" t="n">
        <v>45272</v>
      </c>
      <c r="I3376" s="26" t="n">
        <v>45273</v>
      </c>
      <c r="J3376" s="12" t="n">
        <v>13.1</v>
      </c>
      <c r="K3376" s="17" t="n">
        <v>664259.4300000001</v>
      </c>
      <c r="L3376" s="12" t="n">
        <v>0</v>
      </c>
      <c r="M3376" s="12" t="n">
        <v>23</v>
      </c>
      <c r="N3376" s="27">
        <f>F3376-J3376</f>
        <v/>
      </c>
      <c r="O3376" s="16">
        <f>I3376-H3376</f>
        <v/>
      </c>
      <c r="P3376" s="14">
        <f>F3376*G3376</f>
        <v/>
      </c>
      <c r="Q3376" s="14">
        <f>J3376*G3376</f>
        <v/>
      </c>
      <c r="R3376" s="14">
        <f>K3376-Q3376</f>
        <v/>
      </c>
      <c r="S3376" s="3">
        <f>P3376*Assumptions!$B$3/100</f>
        <v/>
      </c>
      <c r="T3376" s="14">
        <f>R3376-S3376</f>
        <v/>
      </c>
      <c r="U3376" s="14">
        <f>L3376*G3376</f>
        <v/>
      </c>
    </row>
    <row r="3377">
      <c r="A3377" s="12" t="inlineStr">
        <is>
          <t>PO-2023-3375</t>
        </is>
      </c>
      <c r="B3377" s="26" t="n">
        <v>45153</v>
      </c>
      <c r="C3377" s="12" t="inlineStr">
        <is>
          <t>VS29</t>
        </is>
      </c>
      <c r="D3377" s="12" t="inlineStr">
        <is>
          <t>GI Wire</t>
        </is>
      </c>
      <c r="E3377" s="12" t="inlineStr">
        <is>
          <t>N</t>
        </is>
      </c>
      <c r="F3377" s="12" t="n">
        <v>6.72</v>
      </c>
      <c r="G3377" s="17" t="n">
        <v>113866.57</v>
      </c>
      <c r="H3377" s="26" t="n">
        <v>45167</v>
      </c>
      <c r="I3377" s="26" t="n">
        <v>45167</v>
      </c>
      <c r="J3377" s="12" t="n">
        <v>6.69</v>
      </c>
      <c r="K3377" s="17" t="n">
        <v>765183.35</v>
      </c>
      <c r="L3377" s="12" t="n">
        <v>0</v>
      </c>
      <c r="M3377" s="12" t="n">
        <v>23</v>
      </c>
      <c r="N3377" s="27">
        <f>F3377-J3377</f>
        <v/>
      </c>
      <c r="O3377" s="16">
        <f>I3377-H3377</f>
        <v/>
      </c>
      <c r="P3377" s="14">
        <f>F3377*G3377</f>
        <v/>
      </c>
      <c r="Q3377" s="14">
        <f>J3377*G3377</f>
        <v/>
      </c>
      <c r="R3377" s="14">
        <f>K3377-Q3377</f>
        <v/>
      </c>
      <c r="S3377" s="3">
        <f>P3377*Assumptions!$B$3/100</f>
        <v/>
      </c>
      <c r="T3377" s="14">
        <f>R3377-S3377</f>
        <v/>
      </c>
      <c r="U3377" s="14">
        <f>L3377*G3377</f>
        <v/>
      </c>
    </row>
    <row r="3378">
      <c r="A3378" s="12" t="inlineStr">
        <is>
          <t>PO-2023-3376</t>
        </is>
      </c>
      <c r="B3378" s="26" t="n">
        <v>44423</v>
      </c>
      <c r="C3378" s="12" t="inlineStr">
        <is>
          <t>VS23</t>
        </is>
      </c>
      <c r="D3378" s="12" t="inlineStr">
        <is>
          <t>GI Wire</t>
        </is>
      </c>
      <c r="E3378" s="12" t="inlineStr">
        <is>
          <t>N</t>
        </is>
      </c>
      <c r="F3378" s="12" t="n">
        <v>29.4</v>
      </c>
      <c r="G3378" s="17" t="n">
        <v>84993.08</v>
      </c>
      <c r="H3378" s="26" t="n">
        <v>44429</v>
      </c>
      <c r="I3378" s="26" t="n">
        <v>44431</v>
      </c>
      <c r="J3378" s="12" t="n">
        <v>29.39</v>
      </c>
      <c r="K3378" s="17" t="n">
        <v>2498796.55</v>
      </c>
      <c r="L3378" s="12" t="n">
        <v>0</v>
      </c>
      <c r="M3378" s="12" t="n">
        <v>0</v>
      </c>
      <c r="N3378" s="27">
        <f>F3378-J3378</f>
        <v/>
      </c>
      <c r="O3378" s="16">
        <f>I3378-H3378</f>
        <v/>
      </c>
      <c r="P3378" s="14">
        <f>F3378*G3378</f>
        <v/>
      </c>
      <c r="Q3378" s="14">
        <f>J3378*G3378</f>
        <v/>
      </c>
      <c r="R3378" s="14">
        <f>K3378-Q3378</f>
        <v/>
      </c>
      <c r="S3378" s="3">
        <f>P3378*Assumptions!$B$3/100</f>
        <v/>
      </c>
      <c r="T3378" s="14">
        <f>R3378-S3378</f>
        <v/>
      </c>
      <c r="U3378" s="14">
        <f>L3378*G3378</f>
        <v/>
      </c>
    </row>
    <row r="3379">
      <c r="A3379" s="12" t="inlineStr">
        <is>
          <t>PO-2023-3377</t>
        </is>
      </c>
      <c r="B3379" s="26" t="n">
        <v>44809</v>
      </c>
      <c r="C3379" s="12" t="inlineStr">
        <is>
          <t>VS23</t>
        </is>
      </c>
      <c r="D3379" s="12" t="inlineStr">
        <is>
          <t>Structural Steel</t>
        </is>
      </c>
      <c r="E3379" s="12" t="inlineStr">
        <is>
          <t>N</t>
        </is>
      </c>
      <c r="F3379" s="12" t="n">
        <v>9.73</v>
      </c>
      <c r="G3379" s="17" t="n">
        <v>95666.77</v>
      </c>
      <c r="H3379" s="26" t="n">
        <v>44823</v>
      </c>
      <c r="I3379" s="26" t="n">
        <v>44826</v>
      </c>
      <c r="J3379" s="12" t="n">
        <v>9.699999999999999</v>
      </c>
      <c r="K3379" s="17" t="n">
        <v>930837.67</v>
      </c>
      <c r="L3379" s="12" t="n">
        <v>0</v>
      </c>
      <c r="M3379" s="12" t="n">
        <v>9</v>
      </c>
      <c r="N3379" s="27">
        <f>F3379-J3379</f>
        <v/>
      </c>
      <c r="O3379" s="16">
        <f>I3379-H3379</f>
        <v/>
      </c>
      <c r="P3379" s="14">
        <f>F3379*G3379</f>
        <v/>
      </c>
      <c r="Q3379" s="14">
        <f>J3379*G3379</f>
        <v/>
      </c>
      <c r="R3379" s="14">
        <f>K3379-Q3379</f>
        <v/>
      </c>
      <c r="S3379" s="3">
        <f>P3379*Assumptions!$B$3/100</f>
        <v/>
      </c>
      <c r="T3379" s="14">
        <f>R3379-S3379</f>
        <v/>
      </c>
      <c r="U3379" s="14">
        <f>L3379*G3379</f>
        <v/>
      </c>
    </row>
    <row r="3380">
      <c r="A3380" s="12" t="inlineStr">
        <is>
          <t>PO-2023-3378</t>
        </is>
      </c>
      <c r="B3380" s="26" t="n">
        <v>44505</v>
      </c>
      <c r="C3380" s="12" t="inlineStr">
        <is>
          <t>VS26</t>
        </is>
      </c>
      <c r="D3380" s="12" t="inlineStr">
        <is>
          <t>MS Rods</t>
        </is>
      </c>
      <c r="E3380" s="12" t="inlineStr">
        <is>
          <t>N</t>
        </is>
      </c>
      <c r="F3380" s="12" t="n">
        <v>19.06</v>
      </c>
      <c r="G3380" s="17" t="n">
        <v>116500.58</v>
      </c>
      <c r="H3380" s="26" t="n">
        <v>44514</v>
      </c>
      <c r="I3380" s="26" t="n">
        <v>44514</v>
      </c>
      <c r="J3380" s="12" t="n">
        <v>19.03</v>
      </c>
      <c r="K3380" s="17" t="n">
        <v>2220501.05</v>
      </c>
      <c r="L3380" s="12" t="n">
        <v>0</v>
      </c>
      <c r="M3380" s="12" t="n">
        <v>14</v>
      </c>
      <c r="N3380" s="27">
        <f>F3380-J3380</f>
        <v/>
      </c>
      <c r="O3380" s="16">
        <f>I3380-H3380</f>
        <v/>
      </c>
      <c r="P3380" s="14">
        <f>F3380*G3380</f>
        <v/>
      </c>
      <c r="Q3380" s="14">
        <f>J3380*G3380</f>
        <v/>
      </c>
      <c r="R3380" s="14">
        <f>K3380-Q3380</f>
        <v/>
      </c>
      <c r="S3380" s="3">
        <f>P3380*Assumptions!$B$3/100</f>
        <v/>
      </c>
      <c r="T3380" s="14">
        <f>R3380-S3380</f>
        <v/>
      </c>
      <c r="U3380" s="14">
        <f>L3380*G3380</f>
        <v/>
      </c>
    </row>
    <row r="3381">
      <c r="A3381" s="12" t="inlineStr">
        <is>
          <t>PO-2023-3379</t>
        </is>
      </c>
      <c r="B3381" s="26" t="n">
        <v>45290</v>
      </c>
      <c r="C3381" s="12" t="inlineStr">
        <is>
          <t>VS25</t>
        </is>
      </c>
      <c r="D3381" s="12" t="inlineStr">
        <is>
          <t>MS Sheets</t>
        </is>
      </c>
      <c r="E3381" s="12" t="inlineStr">
        <is>
          <t>Y</t>
        </is>
      </c>
      <c r="F3381" s="12" t="n">
        <v>30.97</v>
      </c>
      <c r="G3381" s="17" t="n">
        <v>71542.64</v>
      </c>
      <c r="H3381" s="26" t="n">
        <v>45294</v>
      </c>
      <c r="I3381" s="26" t="n">
        <v>45295</v>
      </c>
      <c r="J3381" s="12" t="n">
        <v>30.94</v>
      </c>
      <c r="K3381" s="17" t="n">
        <v>2215675.56</v>
      </c>
      <c r="L3381" s="12" t="n">
        <v>0</v>
      </c>
      <c r="M3381" s="12" t="n">
        <v>19</v>
      </c>
      <c r="N3381" s="27">
        <f>F3381-J3381</f>
        <v/>
      </c>
      <c r="O3381" s="16">
        <f>I3381-H3381</f>
        <v/>
      </c>
      <c r="P3381" s="14">
        <f>F3381*G3381</f>
        <v/>
      </c>
      <c r="Q3381" s="14">
        <f>J3381*G3381</f>
        <v/>
      </c>
      <c r="R3381" s="14">
        <f>K3381-Q3381</f>
        <v/>
      </c>
      <c r="S3381" s="3">
        <f>P3381*Assumptions!$B$3/100</f>
        <v/>
      </c>
      <c r="T3381" s="14">
        <f>R3381-S3381</f>
        <v/>
      </c>
      <c r="U3381" s="14">
        <f>L3381*G3381</f>
        <v/>
      </c>
    </row>
    <row r="3382">
      <c r="A3382" s="12" t="inlineStr">
        <is>
          <t>PO-2023-3380</t>
        </is>
      </c>
      <c r="B3382" s="26" t="n">
        <v>44480</v>
      </c>
      <c r="C3382" s="12" t="inlineStr">
        <is>
          <t>VS21</t>
        </is>
      </c>
      <c r="D3382" s="12" t="inlineStr">
        <is>
          <t>Fasteners &amp; Fittings</t>
        </is>
      </c>
      <c r="E3382" s="12" t="inlineStr">
        <is>
          <t>N</t>
        </is>
      </c>
      <c r="F3382" s="12" t="n">
        <v>11</v>
      </c>
      <c r="G3382" s="17" t="n">
        <v>91255.7</v>
      </c>
      <c r="H3382" s="26" t="n">
        <v>44492</v>
      </c>
      <c r="I3382" s="26" t="n">
        <v>44495</v>
      </c>
      <c r="J3382" s="12" t="n">
        <v>10.91</v>
      </c>
      <c r="K3382" s="17" t="n">
        <v>1003812.7</v>
      </c>
      <c r="L3382" s="12" t="n">
        <v>0</v>
      </c>
      <c r="M3382" s="12" t="n">
        <v>0</v>
      </c>
      <c r="N3382" s="27">
        <f>F3382-J3382</f>
        <v/>
      </c>
      <c r="O3382" s="16">
        <f>I3382-H3382</f>
        <v/>
      </c>
      <c r="P3382" s="14">
        <f>F3382*G3382</f>
        <v/>
      </c>
      <c r="Q3382" s="14">
        <f>J3382*G3382</f>
        <v/>
      </c>
      <c r="R3382" s="14">
        <f>K3382-Q3382</f>
        <v/>
      </c>
      <c r="S3382" s="3">
        <f>P3382*Assumptions!$B$3/100</f>
        <v/>
      </c>
      <c r="T3382" s="14">
        <f>R3382-S3382</f>
        <v/>
      </c>
      <c r="U3382" s="14">
        <f>L3382*G3382</f>
        <v/>
      </c>
    </row>
    <row r="3383">
      <c r="A3383" s="12" t="inlineStr">
        <is>
          <t>PO-2023-3381</t>
        </is>
      </c>
      <c r="B3383" s="26" t="n">
        <v>44529</v>
      </c>
      <c r="C3383" s="12" t="inlineStr">
        <is>
          <t>VS22</t>
        </is>
      </c>
      <c r="D3383" s="12" t="inlineStr">
        <is>
          <t>MS Flats</t>
        </is>
      </c>
      <c r="E3383" s="12" t="inlineStr">
        <is>
          <t>Y</t>
        </is>
      </c>
      <c r="F3383" s="12" t="n">
        <v>11.95</v>
      </c>
      <c r="G3383" s="17" t="n">
        <v>65462.15</v>
      </c>
      <c r="H3383" s="26" t="n">
        <v>44538</v>
      </c>
      <c r="I3383" s="26" t="n">
        <v>44538</v>
      </c>
      <c r="J3383" s="12" t="n">
        <v>11.89</v>
      </c>
      <c r="K3383" s="17" t="n">
        <v>782272.6899999999</v>
      </c>
      <c r="L3383" s="12" t="n">
        <v>0</v>
      </c>
      <c r="M3383" s="12" t="n">
        <v>6</v>
      </c>
      <c r="N3383" s="27">
        <f>F3383-J3383</f>
        <v/>
      </c>
      <c r="O3383" s="16">
        <f>I3383-H3383</f>
        <v/>
      </c>
      <c r="P3383" s="14">
        <f>F3383*G3383</f>
        <v/>
      </c>
      <c r="Q3383" s="14">
        <f>J3383*G3383</f>
        <v/>
      </c>
      <c r="R3383" s="14">
        <f>K3383-Q3383</f>
        <v/>
      </c>
      <c r="S3383" s="3">
        <f>P3383*Assumptions!$B$3/100</f>
        <v/>
      </c>
      <c r="T3383" s="14">
        <f>R3383-S3383</f>
        <v/>
      </c>
      <c r="U3383" s="14">
        <f>L3383*G3383</f>
        <v/>
      </c>
    </row>
    <row r="3384">
      <c r="A3384" s="12" t="inlineStr">
        <is>
          <t>PO-2023-3382</t>
        </is>
      </c>
      <c r="B3384" s="26" t="n">
        <v>44215</v>
      </c>
      <c r="C3384" s="12" t="inlineStr">
        <is>
          <t>VS29</t>
        </is>
      </c>
      <c r="D3384" s="12" t="inlineStr">
        <is>
          <t>SS Sheets</t>
        </is>
      </c>
      <c r="E3384" s="12" t="inlineStr">
        <is>
          <t>N</t>
        </is>
      </c>
      <c r="F3384" s="12" t="n">
        <v>44.44</v>
      </c>
      <c r="G3384" s="17" t="n">
        <v>88449.87</v>
      </c>
      <c r="H3384" s="26" t="n">
        <v>44227</v>
      </c>
      <c r="I3384" s="26" t="n">
        <v>44229</v>
      </c>
      <c r="J3384" s="12" t="n">
        <v>44.2</v>
      </c>
      <c r="K3384" s="17" t="n">
        <v>3930712.22</v>
      </c>
      <c r="L3384" s="12" t="n">
        <v>0</v>
      </c>
      <c r="M3384" s="12" t="n">
        <v>0</v>
      </c>
      <c r="N3384" s="27">
        <f>F3384-J3384</f>
        <v/>
      </c>
      <c r="O3384" s="16">
        <f>I3384-H3384</f>
        <v/>
      </c>
      <c r="P3384" s="14">
        <f>F3384*G3384</f>
        <v/>
      </c>
      <c r="Q3384" s="14">
        <f>J3384*G3384</f>
        <v/>
      </c>
      <c r="R3384" s="14">
        <f>K3384-Q3384</f>
        <v/>
      </c>
      <c r="S3384" s="3">
        <f>P3384*Assumptions!$B$3/100</f>
        <v/>
      </c>
      <c r="T3384" s="14">
        <f>R3384-S3384</f>
        <v/>
      </c>
      <c r="U3384" s="14">
        <f>L3384*G3384</f>
        <v/>
      </c>
    </row>
    <row r="3385">
      <c r="A3385" s="12" t="inlineStr">
        <is>
          <t>PO-2023-3383</t>
        </is>
      </c>
      <c r="B3385" s="26" t="n">
        <v>44243</v>
      </c>
      <c r="C3385" s="12" t="inlineStr">
        <is>
          <t>VS29</t>
        </is>
      </c>
      <c r="D3385" s="12" t="inlineStr">
        <is>
          <t>CR Sheets</t>
        </is>
      </c>
      <c r="E3385" s="12" t="inlineStr">
        <is>
          <t>N</t>
        </is>
      </c>
      <c r="F3385" s="12" t="n">
        <v>31.74</v>
      </c>
      <c r="G3385" s="17" t="n">
        <v>55703.95</v>
      </c>
      <c r="H3385" s="26" t="n">
        <v>44255</v>
      </c>
      <c r="I3385" s="26" t="n">
        <v>44256</v>
      </c>
      <c r="J3385" s="12" t="n">
        <v>31.6</v>
      </c>
      <c r="K3385" s="17" t="n">
        <v>1768043.37</v>
      </c>
      <c r="L3385" s="12" t="n">
        <v>0</v>
      </c>
      <c r="M3385" s="12" t="n">
        <v>14</v>
      </c>
      <c r="N3385" s="27">
        <f>F3385-J3385</f>
        <v/>
      </c>
      <c r="O3385" s="16">
        <f>I3385-H3385</f>
        <v/>
      </c>
      <c r="P3385" s="14">
        <f>F3385*G3385</f>
        <v/>
      </c>
      <c r="Q3385" s="14">
        <f>J3385*G3385</f>
        <v/>
      </c>
      <c r="R3385" s="14">
        <f>K3385-Q3385</f>
        <v/>
      </c>
      <c r="S3385" s="3">
        <f>P3385*Assumptions!$B$3/100</f>
        <v/>
      </c>
      <c r="T3385" s="14">
        <f>R3385-S3385</f>
        <v/>
      </c>
      <c r="U3385" s="14">
        <f>L3385*G3385</f>
        <v/>
      </c>
    </row>
    <row r="3386">
      <c r="A3386" s="12" t="inlineStr">
        <is>
          <t>PO-2023-3384</t>
        </is>
      </c>
      <c r="B3386" s="26" t="n">
        <v>45040</v>
      </c>
      <c r="C3386" s="12" t="inlineStr">
        <is>
          <t>VS28</t>
        </is>
      </c>
      <c r="D3386" s="12" t="inlineStr">
        <is>
          <t>SS Sheets</t>
        </is>
      </c>
      <c r="E3386" s="12" t="inlineStr">
        <is>
          <t>N</t>
        </is>
      </c>
      <c r="F3386" s="12" t="n">
        <v>4.08</v>
      </c>
      <c r="G3386" s="17" t="n">
        <v>77840.46000000001</v>
      </c>
      <c r="H3386" s="26" t="n">
        <v>45052</v>
      </c>
      <c r="I3386" s="26" t="n">
        <v>45052</v>
      </c>
      <c r="J3386" s="12" t="n">
        <v>4.06</v>
      </c>
      <c r="K3386" s="17" t="n">
        <v>317589.08</v>
      </c>
      <c r="L3386" s="12" t="n">
        <v>0</v>
      </c>
      <c r="M3386" s="12" t="n">
        <v>0</v>
      </c>
      <c r="N3386" s="27">
        <f>F3386-J3386</f>
        <v/>
      </c>
      <c r="O3386" s="16">
        <f>I3386-H3386</f>
        <v/>
      </c>
      <c r="P3386" s="14">
        <f>F3386*G3386</f>
        <v/>
      </c>
      <c r="Q3386" s="14">
        <f>J3386*G3386</f>
        <v/>
      </c>
      <c r="R3386" s="14">
        <f>K3386-Q3386</f>
        <v/>
      </c>
      <c r="S3386" s="3">
        <f>P3386*Assumptions!$B$3/100</f>
        <v/>
      </c>
      <c r="T3386" s="14">
        <f>R3386-S3386</f>
        <v/>
      </c>
      <c r="U3386" s="14">
        <f>L3386*G3386</f>
        <v/>
      </c>
    </row>
    <row r="3387">
      <c r="A3387" s="12" t="inlineStr">
        <is>
          <t>PO-2023-3385</t>
        </is>
      </c>
      <c r="B3387" s="26" t="n">
        <v>45008</v>
      </c>
      <c r="C3387" s="12" t="inlineStr">
        <is>
          <t>VS32</t>
        </is>
      </c>
      <c r="D3387" s="12" t="inlineStr">
        <is>
          <t>MS Pipes</t>
        </is>
      </c>
      <c r="E3387" s="12" t="inlineStr">
        <is>
          <t>N</t>
        </is>
      </c>
      <c r="F3387" s="12" t="n">
        <v>28.56</v>
      </c>
      <c r="G3387" s="17" t="n">
        <v>86493.42999999999</v>
      </c>
      <c r="H3387" s="26" t="n">
        <v>45020</v>
      </c>
      <c r="I3387" s="26" t="n">
        <v>45022</v>
      </c>
      <c r="J3387" s="12" t="n">
        <v>28.52</v>
      </c>
      <c r="K3387" s="17" t="n">
        <v>2470252.36</v>
      </c>
      <c r="L3387" s="12" t="n">
        <v>0</v>
      </c>
      <c r="M3387" s="12" t="n">
        <v>0</v>
      </c>
      <c r="N3387" s="27">
        <f>F3387-J3387</f>
        <v/>
      </c>
      <c r="O3387" s="16">
        <f>I3387-H3387</f>
        <v/>
      </c>
      <c r="P3387" s="14">
        <f>F3387*G3387</f>
        <v/>
      </c>
      <c r="Q3387" s="14">
        <f>J3387*G3387</f>
        <v/>
      </c>
      <c r="R3387" s="14">
        <f>K3387-Q3387</f>
        <v/>
      </c>
      <c r="S3387" s="3">
        <f>P3387*Assumptions!$B$3/100</f>
        <v/>
      </c>
      <c r="T3387" s="14">
        <f>R3387-S3387</f>
        <v/>
      </c>
      <c r="U3387" s="14">
        <f>L3387*G3387</f>
        <v/>
      </c>
    </row>
    <row r="3388">
      <c r="A3388" s="12" t="inlineStr">
        <is>
          <t>PO-2023-3386</t>
        </is>
      </c>
      <c r="B3388" s="26" t="n">
        <v>45133</v>
      </c>
      <c r="C3388" s="12" t="inlineStr">
        <is>
          <t>VS20</t>
        </is>
      </c>
      <c r="D3388" s="12" t="inlineStr">
        <is>
          <t>Structural Steel</t>
        </is>
      </c>
      <c r="E3388" s="12" t="inlineStr">
        <is>
          <t>N</t>
        </is>
      </c>
      <c r="F3388" s="12" t="n">
        <v>13.49</v>
      </c>
      <c r="G3388" s="17" t="n">
        <v>71395.75</v>
      </c>
      <c r="H3388" s="26" t="n">
        <v>45145</v>
      </c>
      <c r="I3388" s="26" t="n">
        <v>45145</v>
      </c>
      <c r="J3388" s="12" t="n">
        <v>13.38</v>
      </c>
      <c r="K3388" s="17" t="n">
        <v>963128.67</v>
      </c>
      <c r="L3388" s="12" t="n">
        <v>0</v>
      </c>
      <c r="M3388" s="12" t="n">
        <v>22</v>
      </c>
      <c r="N3388" s="27">
        <f>F3388-J3388</f>
        <v/>
      </c>
      <c r="O3388" s="16">
        <f>I3388-H3388</f>
        <v/>
      </c>
      <c r="P3388" s="14">
        <f>F3388*G3388</f>
        <v/>
      </c>
      <c r="Q3388" s="14">
        <f>J3388*G3388</f>
        <v/>
      </c>
      <c r="R3388" s="14">
        <f>K3388-Q3388</f>
        <v/>
      </c>
      <c r="S3388" s="3">
        <f>P3388*Assumptions!$B$3/100</f>
        <v/>
      </c>
      <c r="T3388" s="14">
        <f>R3388-S3388</f>
        <v/>
      </c>
      <c r="U3388" s="14">
        <f>L3388*G3388</f>
        <v/>
      </c>
    </row>
    <row r="3389">
      <c r="A3389" s="12" t="inlineStr">
        <is>
          <t>PO-2023-3387</t>
        </is>
      </c>
      <c r="B3389" s="26" t="n">
        <v>44779</v>
      </c>
      <c r="C3389" s="12" t="inlineStr">
        <is>
          <t>VS26</t>
        </is>
      </c>
      <c r="D3389" s="12" t="inlineStr">
        <is>
          <t>CR Sheets</t>
        </is>
      </c>
      <c r="E3389" s="12" t="inlineStr">
        <is>
          <t>N</t>
        </is>
      </c>
      <c r="F3389" s="12" t="n">
        <v>4.69</v>
      </c>
      <c r="G3389" s="17" t="n">
        <v>83179.42</v>
      </c>
      <c r="H3389" s="26" t="n">
        <v>44794</v>
      </c>
      <c r="I3389" s="26" t="n">
        <v>44796</v>
      </c>
      <c r="J3389" s="12" t="n">
        <v>4.66</v>
      </c>
      <c r="K3389" s="17" t="n">
        <v>390111.48</v>
      </c>
      <c r="L3389" s="12" t="n">
        <v>0</v>
      </c>
      <c r="M3389" s="12" t="n">
        <v>0</v>
      </c>
      <c r="N3389" s="27">
        <f>F3389-J3389</f>
        <v/>
      </c>
      <c r="O3389" s="16">
        <f>I3389-H3389</f>
        <v/>
      </c>
      <c r="P3389" s="14">
        <f>F3389*G3389</f>
        <v/>
      </c>
      <c r="Q3389" s="14">
        <f>J3389*G3389</f>
        <v/>
      </c>
      <c r="R3389" s="14">
        <f>K3389-Q3389</f>
        <v/>
      </c>
      <c r="S3389" s="3">
        <f>P3389*Assumptions!$B$3/100</f>
        <v/>
      </c>
      <c r="T3389" s="14">
        <f>R3389-S3389</f>
        <v/>
      </c>
      <c r="U3389" s="14">
        <f>L3389*G3389</f>
        <v/>
      </c>
    </row>
    <row r="3390">
      <c r="A3390" s="12" t="inlineStr">
        <is>
          <t>PO-2023-3388</t>
        </is>
      </c>
      <c r="B3390" s="26" t="n">
        <v>45229</v>
      </c>
      <c r="C3390" s="12" t="inlineStr">
        <is>
          <t>VS20</t>
        </is>
      </c>
      <c r="D3390" s="12" t="inlineStr">
        <is>
          <t>ERW Pipes</t>
        </is>
      </c>
      <c r="E3390" s="12" t="inlineStr">
        <is>
          <t>N</t>
        </is>
      </c>
      <c r="F3390" s="12" t="n">
        <v>21.14</v>
      </c>
      <c r="G3390" s="17" t="n">
        <v>63189.89</v>
      </c>
      <c r="H3390" s="26" t="n">
        <v>45239</v>
      </c>
      <c r="I3390" s="26" t="n">
        <v>45241</v>
      </c>
      <c r="J3390" s="12" t="n">
        <v>21.12</v>
      </c>
      <c r="K3390" s="17" t="n">
        <v>1335834.27</v>
      </c>
      <c r="L3390" s="12" t="n">
        <v>0</v>
      </c>
      <c r="M3390" s="12" t="n">
        <v>0</v>
      </c>
      <c r="N3390" s="27">
        <f>F3390-J3390</f>
        <v/>
      </c>
      <c r="O3390" s="16">
        <f>I3390-H3390</f>
        <v/>
      </c>
      <c r="P3390" s="14">
        <f>F3390*G3390</f>
        <v/>
      </c>
      <c r="Q3390" s="14">
        <f>J3390*G3390</f>
        <v/>
      </c>
      <c r="R3390" s="14">
        <f>K3390-Q3390</f>
        <v/>
      </c>
      <c r="S3390" s="3">
        <f>P3390*Assumptions!$B$3/100</f>
        <v/>
      </c>
      <c r="T3390" s="14">
        <f>R3390-S3390</f>
        <v/>
      </c>
      <c r="U3390" s="14">
        <f>L3390*G3390</f>
        <v/>
      </c>
    </row>
    <row r="3391">
      <c r="A3391" s="12" t="inlineStr">
        <is>
          <t>PO-2023-3389</t>
        </is>
      </c>
      <c r="B3391" s="26" t="n">
        <v>45259</v>
      </c>
      <c r="C3391" s="12" t="inlineStr">
        <is>
          <t>VS22</t>
        </is>
      </c>
      <c r="D3391" s="12" t="inlineStr">
        <is>
          <t>GI Sheets</t>
        </is>
      </c>
      <c r="E3391" s="12" t="inlineStr">
        <is>
          <t>N</t>
        </is>
      </c>
      <c r="F3391" s="12" t="n">
        <v>20.53</v>
      </c>
      <c r="G3391" s="17" t="n">
        <v>88614.37</v>
      </c>
      <c r="H3391" s="26" t="n">
        <v>45274</v>
      </c>
      <c r="I3391" s="26" t="n">
        <v>45277</v>
      </c>
      <c r="J3391" s="12" t="n">
        <v>20.39</v>
      </c>
      <c r="K3391" s="17" t="n">
        <v>1819253.02</v>
      </c>
      <c r="L3391" s="12" t="n">
        <v>0</v>
      </c>
      <c r="M3391" s="12" t="n">
        <v>0</v>
      </c>
      <c r="N3391" s="27">
        <f>F3391-J3391</f>
        <v/>
      </c>
      <c r="O3391" s="16">
        <f>I3391-H3391</f>
        <v/>
      </c>
      <c r="P3391" s="14">
        <f>F3391*G3391</f>
        <v/>
      </c>
      <c r="Q3391" s="14">
        <f>J3391*G3391</f>
        <v/>
      </c>
      <c r="R3391" s="14">
        <f>K3391-Q3391</f>
        <v/>
      </c>
      <c r="S3391" s="3">
        <f>P3391*Assumptions!$B$3/100</f>
        <v/>
      </c>
      <c r="T3391" s="14">
        <f>R3391-S3391</f>
        <v/>
      </c>
      <c r="U3391" s="14">
        <f>L3391*G3391</f>
        <v/>
      </c>
    </row>
    <row r="3392">
      <c r="A3392" s="12" t="inlineStr">
        <is>
          <t>PO-2023-3390</t>
        </is>
      </c>
      <c r="B3392" s="26" t="n">
        <v>45289</v>
      </c>
      <c r="C3392" s="12" t="inlineStr">
        <is>
          <t>VS07</t>
        </is>
      </c>
      <c r="D3392" s="12" t="inlineStr">
        <is>
          <t>MS Rods</t>
        </is>
      </c>
      <c r="E3392" s="12" t="inlineStr">
        <is>
          <t>N</t>
        </is>
      </c>
      <c r="F3392" s="12" t="n">
        <v>15.36</v>
      </c>
      <c r="G3392" s="17" t="n">
        <v>88820.99000000001</v>
      </c>
      <c r="H3392" s="26" t="n">
        <v>45292</v>
      </c>
      <c r="I3392" s="26" t="n">
        <v>45293</v>
      </c>
      <c r="J3392" s="12" t="n">
        <v>15.28</v>
      </c>
      <c r="K3392" s="17" t="n">
        <v>1364290.41</v>
      </c>
      <c r="L3392" s="12" t="n">
        <v>0</v>
      </c>
      <c r="M3392" s="12" t="n">
        <v>2</v>
      </c>
      <c r="N3392" s="27">
        <f>F3392-J3392</f>
        <v/>
      </c>
      <c r="O3392" s="16">
        <f>I3392-H3392</f>
        <v/>
      </c>
      <c r="P3392" s="14">
        <f>F3392*G3392</f>
        <v/>
      </c>
      <c r="Q3392" s="14">
        <f>J3392*G3392</f>
        <v/>
      </c>
      <c r="R3392" s="14">
        <f>K3392-Q3392</f>
        <v/>
      </c>
      <c r="S3392" s="3">
        <f>P3392*Assumptions!$B$3/100</f>
        <v/>
      </c>
      <c r="T3392" s="14">
        <f>R3392-S3392</f>
        <v/>
      </c>
      <c r="U3392" s="14">
        <f>L3392*G3392</f>
        <v/>
      </c>
    </row>
    <row r="3393">
      <c r="A3393" s="12" t="inlineStr">
        <is>
          <t>PO-2023-3391</t>
        </is>
      </c>
      <c r="B3393" s="26" t="n">
        <v>44740</v>
      </c>
      <c r="C3393" s="12" t="inlineStr">
        <is>
          <t>VS19</t>
        </is>
      </c>
      <c r="D3393" s="12" t="inlineStr">
        <is>
          <t>MS Flats</t>
        </is>
      </c>
      <c r="E3393" s="12" t="inlineStr">
        <is>
          <t>N</t>
        </is>
      </c>
      <c r="F3393" s="12" t="n">
        <v>1.48</v>
      </c>
      <c r="G3393" s="17" t="n">
        <v>93984.38</v>
      </c>
      <c r="H3393" s="26" t="n">
        <v>44753</v>
      </c>
      <c r="I3393" s="26" t="n">
        <v>44758</v>
      </c>
      <c r="J3393" s="12" t="n">
        <v>1.42</v>
      </c>
      <c r="K3393" s="17" t="n">
        <v>139096.88</v>
      </c>
      <c r="L3393" s="12" t="n">
        <v>0</v>
      </c>
      <c r="M3393" s="12" t="n">
        <v>0</v>
      </c>
      <c r="N3393" s="27">
        <f>F3393-J3393</f>
        <v/>
      </c>
      <c r="O3393" s="16">
        <f>I3393-H3393</f>
        <v/>
      </c>
      <c r="P3393" s="14">
        <f>F3393*G3393</f>
        <v/>
      </c>
      <c r="Q3393" s="14">
        <f>J3393*G3393</f>
        <v/>
      </c>
      <c r="R3393" s="14">
        <f>K3393-Q3393</f>
        <v/>
      </c>
      <c r="S3393" s="3">
        <f>P3393*Assumptions!$B$3/100</f>
        <v/>
      </c>
      <c r="T3393" s="14">
        <f>R3393-S3393</f>
        <v/>
      </c>
      <c r="U3393" s="14">
        <f>L3393*G3393</f>
        <v/>
      </c>
    </row>
    <row r="3394">
      <c r="A3394" s="12" t="inlineStr">
        <is>
          <t>PO-2023-3392</t>
        </is>
      </c>
      <c r="B3394" s="26" t="n">
        <v>45251</v>
      </c>
      <c r="C3394" s="12" t="inlineStr">
        <is>
          <t>VS26</t>
        </is>
      </c>
      <c r="D3394" s="12" t="inlineStr">
        <is>
          <t>MS Pipes</t>
        </is>
      </c>
      <c r="E3394" s="12" t="inlineStr">
        <is>
          <t>N</t>
        </is>
      </c>
      <c r="F3394" s="12" t="n">
        <v>17.01</v>
      </c>
      <c r="G3394" s="17" t="n">
        <v>57817.6</v>
      </c>
      <c r="H3394" s="26" t="n">
        <v>45254</v>
      </c>
      <c r="I3394" s="26" t="n">
        <v>45255</v>
      </c>
      <c r="J3394" s="12" t="n">
        <v>16.91</v>
      </c>
      <c r="K3394" s="17" t="n">
        <v>983477.38</v>
      </c>
      <c r="L3394" s="12" t="n">
        <v>0</v>
      </c>
      <c r="M3394" s="12" t="n">
        <v>0</v>
      </c>
      <c r="N3394" s="27">
        <f>F3394-J3394</f>
        <v/>
      </c>
      <c r="O3394" s="16">
        <f>I3394-H3394</f>
        <v/>
      </c>
      <c r="P3394" s="14">
        <f>F3394*G3394</f>
        <v/>
      </c>
      <c r="Q3394" s="14">
        <f>J3394*G3394</f>
        <v/>
      </c>
      <c r="R3394" s="14">
        <f>K3394-Q3394</f>
        <v/>
      </c>
      <c r="S3394" s="3">
        <f>P3394*Assumptions!$B$3/100</f>
        <v/>
      </c>
      <c r="T3394" s="14">
        <f>R3394-S3394</f>
        <v/>
      </c>
      <c r="U3394" s="14">
        <f>L3394*G3394</f>
        <v/>
      </c>
    </row>
    <row r="3395">
      <c r="A3395" s="12" t="inlineStr">
        <is>
          <t>PO-2023-3393</t>
        </is>
      </c>
      <c r="B3395" s="26" t="n">
        <v>44532</v>
      </c>
      <c r="C3395" s="12" t="inlineStr">
        <is>
          <t>VS26</t>
        </is>
      </c>
      <c r="D3395" s="12" t="inlineStr">
        <is>
          <t>Square/Rect Tubes</t>
        </is>
      </c>
      <c r="E3395" s="12" t="inlineStr">
        <is>
          <t>N</t>
        </is>
      </c>
      <c r="F3395" s="12" t="n">
        <v>48.1</v>
      </c>
      <c r="G3395" s="17" t="n">
        <v>47931.34</v>
      </c>
      <c r="H3395" s="26" t="n">
        <v>44541</v>
      </c>
      <c r="I3395" s="26" t="n">
        <v>44541</v>
      </c>
      <c r="J3395" s="12" t="n">
        <v>47.99</v>
      </c>
      <c r="K3395" s="17" t="n">
        <v>2305497.45</v>
      </c>
      <c r="L3395" s="12" t="n">
        <v>0</v>
      </c>
      <c r="M3395" s="12" t="n">
        <v>7</v>
      </c>
      <c r="N3395" s="27">
        <f>F3395-J3395</f>
        <v/>
      </c>
      <c r="O3395" s="16">
        <f>I3395-H3395</f>
        <v/>
      </c>
      <c r="P3395" s="14">
        <f>F3395*G3395</f>
        <v/>
      </c>
      <c r="Q3395" s="14">
        <f>J3395*G3395</f>
        <v/>
      </c>
      <c r="R3395" s="14">
        <f>K3395-Q3395</f>
        <v/>
      </c>
      <c r="S3395" s="3">
        <f>P3395*Assumptions!$B$3/100</f>
        <v/>
      </c>
      <c r="T3395" s="14">
        <f>R3395-S3395</f>
        <v/>
      </c>
      <c r="U3395" s="14">
        <f>L3395*G3395</f>
        <v/>
      </c>
    </row>
    <row r="3396">
      <c r="A3396" s="12" t="inlineStr">
        <is>
          <t>PO-2023-3394</t>
        </is>
      </c>
      <c r="B3396" s="26" t="n">
        <v>44790</v>
      </c>
      <c r="C3396" s="12" t="inlineStr">
        <is>
          <t>VS04</t>
        </is>
      </c>
      <c r="D3396" s="12" t="inlineStr">
        <is>
          <t>MS Pipes</t>
        </is>
      </c>
      <c r="E3396" s="12" t="inlineStr">
        <is>
          <t>N</t>
        </is>
      </c>
      <c r="F3396" s="12" t="n">
        <v>42.15</v>
      </c>
      <c r="G3396" s="17" t="n">
        <v>58435.61</v>
      </c>
      <c r="H3396" s="26" t="n">
        <v>44801</v>
      </c>
      <c r="I3396" s="26" t="n">
        <v>44803</v>
      </c>
      <c r="J3396" s="12" t="n">
        <v>41.77</v>
      </c>
      <c r="K3396" s="17" t="n">
        <v>2463060.96</v>
      </c>
      <c r="L3396" s="12" t="n">
        <v>0</v>
      </c>
      <c r="M3396" s="12" t="n">
        <v>0</v>
      </c>
      <c r="N3396" s="27">
        <f>F3396-J3396</f>
        <v/>
      </c>
      <c r="O3396" s="16">
        <f>I3396-H3396</f>
        <v/>
      </c>
      <c r="P3396" s="14">
        <f>F3396*G3396</f>
        <v/>
      </c>
      <c r="Q3396" s="14">
        <f>J3396*G3396</f>
        <v/>
      </c>
      <c r="R3396" s="14">
        <f>K3396-Q3396</f>
        <v/>
      </c>
      <c r="S3396" s="3">
        <f>P3396*Assumptions!$B$3/100</f>
        <v/>
      </c>
      <c r="T3396" s="14">
        <f>R3396-S3396</f>
        <v/>
      </c>
      <c r="U3396" s="14">
        <f>L3396*G3396</f>
        <v/>
      </c>
    </row>
    <row r="3397">
      <c r="A3397" s="12" t="inlineStr">
        <is>
          <t>PO-2023-3395</t>
        </is>
      </c>
      <c r="B3397" s="26" t="n">
        <v>44714</v>
      </c>
      <c r="C3397" s="12" t="inlineStr">
        <is>
          <t>VS23</t>
        </is>
      </c>
      <c r="D3397" s="12" t="inlineStr">
        <is>
          <t>Hex Bars</t>
        </is>
      </c>
      <c r="E3397" s="12" t="inlineStr">
        <is>
          <t>N</t>
        </is>
      </c>
      <c r="F3397" s="12" t="n">
        <v>6.11</v>
      </c>
      <c r="G3397" s="17" t="n">
        <v>61607.96</v>
      </c>
      <c r="H3397" s="26" t="n">
        <v>44725</v>
      </c>
      <c r="I3397" s="26" t="n">
        <v>44725</v>
      </c>
      <c r="J3397" s="12" t="n">
        <v>6.08</v>
      </c>
      <c r="K3397" s="17" t="n">
        <v>376424.64</v>
      </c>
      <c r="L3397" s="12" t="n">
        <v>0</v>
      </c>
      <c r="M3397" s="12" t="n">
        <v>8</v>
      </c>
      <c r="N3397" s="27">
        <f>F3397-J3397</f>
        <v/>
      </c>
      <c r="O3397" s="16">
        <f>I3397-H3397</f>
        <v/>
      </c>
      <c r="P3397" s="14">
        <f>F3397*G3397</f>
        <v/>
      </c>
      <c r="Q3397" s="14">
        <f>J3397*G3397</f>
        <v/>
      </c>
      <c r="R3397" s="14">
        <f>K3397-Q3397</f>
        <v/>
      </c>
      <c r="S3397" s="3">
        <f>P3397*Assumptions!$B$3/100</f>
        <v/>
      </c>
      <c r="T3397" s="14">
        <f>R3397-S3397</f>
        <v/>
      </c>
      <c r="U3397" s="14">
        <f>L3397*G3397</f>
        <v/>
      </c>
    </row>
    <row r="3398">
      <c r="A3398" s="12" t="inlineStr">
        <is>
          <t>PO-2023-3396</t>
        </is>
      </c>
      <c r="B3398" s="26" t="n">
        <v>44586</v>
      </c>
      <c r="C3398" s="12" t="inlineStr">
        <is>
          <t>VS03</t>
        </is>
      </c>
      <c r="D3398" s="12" t="inlineStr">
        <is>
          <t>MS Flats</t>
        </is>
      </c>
      <c r="E3398" s="12" t="inlineStr">
        <is>
          <t>N</t>
        </is>
      </c>
      <c r="F3398" s="12" t="n">
        <v>24.64</v>
      </c>
      <c r="G3398" s="17" t="n">
        <v>98807.07000000001</v>
      </c>
      <c r="H3398" s="26" t="n">
        <v>44597</v>
      </c>
      <c r="I3398" s="26" t="n">
        <v>44603</v>
      </c>
      <c r="J3398" s="12" t="n">
        <v>23.85</v>
      </c>
      <c r="K3398" s="17" t="n">
        <v>2434606.2</v>
      </c>
      <c r="L3398" s="12" t="n">
        <v>0.6</v>
      </c>
      <c r="M3398" s="12" t="n">
        <v>12</v>
      </c>
      <c r="N3398" s="27">
        <f>F3398-J3398</f>
        <v/>
      </c>
      <c r="O3398" s="16">
        <f>I3398-H3398</f>
        <v/>
      </c>
      <c r="P3398" s="14">
        <f>F3398*G3398</f>
        <v/>
      </c>
      <c r="Q3398" s="14">
        <f>J3398*G3398</f>
        <v/>
      </c>
      <c r="R3398" s="14">
        <f>K3398-Q3398</f>
        <v/>
      </c>
      <c r="S3398" s="3">
        <f>P3398*Assumptions!$B$3/100</f>
        <v/>
      </c>
      <c r="T3398" s="14">
        <f>R3398-S3398</f>
        <v/>
      </c>
      <c r="U3398" s="14">
        <f>L3398*G3398</f>
        <v/>
      </c>
    </row>
    <row r="3399">
      <c r="A3399" s="12" t="inlineStr">
        <is>
          <t>PO-2023-3397</t>
        </is>
      </c>
      <c r="B3399" s="26" t="n">
        <v>44682</v>
      </c>
      <c r="C3399" s="12" t="inlineStr">
        <is>
          <t>VS31</t>
        </is>
      </c>
      <c r="D3399" s="12" t="inlineStr">
        <is>
          <t>CR Sheets</t>
        </is>
      </c>
      <c r="E3399" s="12" t="inlineStr">
        <is>
          <t>N</t>
        </is>
      </c>
      <c r="F3399" s="12" t="n">
        <v>41.84</v>
      </c>
      <c r="G3399" s="17" t="n">
        <v>100763.46</v>
      </c>
      <c r="H3399" s="26" t="n">
        <v>44686</v>
      </c>
      <c r="I3399" s="26" t="n">
        <v>44688</v>
      </c>
      <c r="J3399" s="12" t="n">
        <v>41.77</v>
      </c>
      <c r="K3399" s="17" t="n">
        <v>4215943.17</v>
      </c>
      <c r="L3399" s="12" t="n">
        <v>0</v>
      </c>
      <c r="M3399" s="12" t="n">
        <v>0</v>
      </c>
      <c r="N3399" s="27">
        <f>F3399-J3399</f>
        <v/>
      </c>
      <c r="O3399" s="16">
        <f>I3399-H3399</f>
        <v/>
      </c>
      <c r="P3399" s="14">
        <f>F3399*G3399</f>
        <v/>
      </c>
      <c r="Q3399" s="14">
        <f>J3399*G3399</f>
        <v/>
      </c>
      <c r="R3399" s="14">
        <f>K3399-Q3399</f>
        <v/>
      </c>
      <c r="S3399" s="3">
        <f>P3399*Assumptions!$B$3/100</f>
        <v/>
      </c>
      <c r="T3399" s="14">
        <f>R3399-S3399</f>
        <v/>
      </c>
      <c r="U3399" s="14">
        <f>L3399*G3399</f>
        <v/>
      </c>
    </row>
    <row r="3400">
      <c r="A3400" s="12" t="inlineStr">
        <is>
          <t>PO-2023-3398</t>
        </is>
      </c>
      <c r="B3400" s="26" t="n">
        <v>44908</v>
      </c>
      <c r="C3400" s="12" t="inlineStr">
        <is>
          <t>VS27</t>
        </is>
      </c>
      <c r="D3400" s="12" t="inlineStr">
        <is>
          <t>HR Coils</t>
        </is>
      </c>
      <c r="E3400" s="12" t="inlineStr">
        <is>
          <t>N</t>
        </is>
      </c>
      <c r="F3400" s="12" t="n">
        <v>1.71</v>
      </c>
      <c r="G3400" s="17" t="n">
        <v>114409.08</v>
      </c>
      <c r="H3400" s="26" t="n">
        <v>44918</v>
      </c>
      <c r="I3400" s="26" t="n">
        <v>44920</v>
      </c>
      <c r="J3400" s="12" t="n">
        <v>1.69</v>
      </c>
      <c r="K3400" s="17" t="n">
        <v>195639.53</v>
      </c>
      <c r="L3400" s="12" t="n">
        <v>0</v>
      </c>
      <c r="M3400" s="12" t="n">
        <v>0</v>
      </c>
      <c r="N3400" s="27">
        <f>F3400-J3400</f>
        <v/>
      </c>
      <c r="O3400" s="16">
        <f>I3400-H3400</f>
        <v/>
      </c>
      <c r="P3400" s="14">
        <f>F3400*G3400</f>
        <v/>
      </c>
      <c r="Q3400" s="14">
        <f>J3400*G3400</f>
        <v/>
      </c>
      <c r="R3400" s="14">
        <f>K3400-Q3400</f>
        <v/>
      </c>
      <c r="S3400" s="3">
        <f>P3400*Assumptions!$B$3/100</f>
        <v/>
      </c>
      <c r="T3400" s="14">
        <f>R3400-S3400</f>
        <v/>
      </c>
      <c r="U3400" s="14">
        <f>L3400*G3400</f>
        <v/>
      </c>
    </row>
    <row r="3401">
      <c r="A3401" s="12" t="inlineStr">
        <is>
          <t>PO-2023-3399</t>
        </is>
      </c>
      <c r="B3401" s="26" t="n">
        <v>44955</v>
      </c>
      <c r="C3401" s="12" t="inlineStr">
        <is>
          <t>VS01</t>
        </is>
      </c>
      <c r="D3401" s="12" t="inlineStr">
        <is>
          <t>GI Pipes</t>
        </is>
      </c>
      <c r="E3401" s="12" t="inlineStr">
        <is>
          <t>N</t>
        </is>
      </c>
      <c r="F3401" s="12" t="n">
        <v>1.03</v>
      </c>
      <c r="G3401" s="17" t="n">
        <v>48444.32</v>
      </c>
      <c r="H3401" s="26" t="n">
        <v>44963</v>
      </c>
      <c r="I3401" s="26" t="n">
        <v>44964</v>
      </c>
      <c r="J3401" s="12" t="n">
        <v>1.03</v>
      </c>
      <c r="K3401" s="17" t="n">
        <v>49897.65</v>
      </c>
      <c r="L3401" s="12" t="n">
        <v>0</v>
      </c>
      <c r="M3401" s="12" t="n">
        <v>1</v>
      </c>
      <c r="N3401" s="27">
        <f>F3401-J3401</f>
        <v/>
      </c>
      <c r="O3401" s="16">
        <f>I3401-H3401</f>
        <v/>
      </c>
      <c r="P3401" s="14">
        <f>F3401*G3401</f>
        <v/>
      </c>
      <c r="Q3401" s="14">
        <f>J3401*G3401</f>
        <v/>
      </c>
      <c r="R3401" s="14">
        <f>K3401-Q3401</f>
        <v/>
      </c>
      <c r="S3401" s="3">
        <f>P3401*Assumptions!$B$3/100</f>
        <v/>
      </c>
      <c r="T3401" s="14">
        <f>R3401-S3401</f>
        <v/>
      </c>
      <c r="U3401" s="14">
        <f>L3401*G3401</f>
        <v/>
      </c>
    </row>
    <row r="3402">
      <c r="A3402" s="12" t="inlineStr">
        <is>
          <t>PO-2023-3400</t>
        </is>
      </c>
      <c r="B3402" s="26" t="n">
        <v>44996</v>
      </c>
      <c r="C3402" s="12" t="inlineStr">
        <is>
          <t>VS26</t>
        </is>
      </c>
      <c r="D3402" s="12" t="inlineStr">
        <is>
          <t>ERW Pipes</t>
        </is>
      </c>
      <c r="E3402" s="12" t="inlineStr">
        <is>
          <t>N</t>
        </is>
      </c>
      <c r="F3402" s="12" t="n">
        <v>30.02</v>
      </c>
      <c r="G3402" s="17" t="n">
        <v>110207.91</v>
      </c>
      <c r="H3402" s="26" t="n">
        <v>45008</v>
      </c>
      <c r="I3402" s="26" t="n">
        <v>45011</v>
      </c>
      <c r="J3402" s="12" t="n">
        <v>29.73</v>
      </c>
      <c r="K3402" s="17" t="n">
        <v>3308441.46</v>
      </c>
      <c r="L3402" s="12" t="n">
        <v>0</v>
      </c>
      <c r="M3402" s="12" t="n">
        <v>22</v>
      </c>
      <c r="N3402" s="27">
        <f>F3402-J3402</f>
        <v/>
      </c>
      <c r="O3402" s="16">
        <f>I3402-H3402</f>
        <v/>
      </c>
      <c r="P3402" s="14">
        <f>F3402*G3402</f>
        <v/>
      </c>
      <c r="Q3402" s="14">
        <f>J3402*G3402</f>
        <v/>
      </c>
      <c r="R3402" s="14">
        <f>K3402-Q3402</f>
        <v/>
      </c>
      <c r="S3402" s="3">
        <f>P3402*Assumptions!$B$3/100</f>
        <v/>
      </c>
      <c r="T3402" s="14">
        <f>R3402-S3402</f>
        <v/>
      </c>
      <c r="U3402" s="14">
        <f>L3402*G3402</f>
        <v/>
      </c>
    </row>
    <row r="3403">
      <c r="A3403" s="12" t="inlineStr">
        <is>
          <t>PO-2023-3401</t>
        </is>
      </c>
      <c r="B3403" s="26" t="n">
        <v>44925</v>
      </c>
      <c r="C3403" s="12" t="inlineStr">
        <is>
          <t>VS14</t>
        </is>
      </c>
      <c r="D3403" s="12" t="inlineStr">
        <is>
          <t>MS Pipes</t>
        </is>
      </c>
      <c r="E3403" s="12" t="inlineStr">
        <is>
          <t>N</t>
        </is>
      </c>
      <c r="F3403" s="12" t="n">
        <v>45.65</v>
      </c>
      <c r="G3403" s="17" t="n">
        <v>116273.67</v>
      </c>
      <c r="H3403" s="26" t="n">
        <v>44934</v>
      </c>
      <c r="I3403" s="26" t="n">
        <v>44936</v>
      </c>
      <c r="J3403" s="12" t="n">
        <v>45.41</v>
      </c>
      <c r="K3403" s="17" t="n">
        <v>5307893.04</v>
      </c>
      <c r="L3403" s="12" t="n">
        <v>0</v>
      </c>
      <c r="M3403" s="12" t="n">
        <v>9</v>
      </c>
      <c r="N3403" s="27">
        <f>F3403-J3403</f>
        <v/>
      </c>
      <c r="O3403" s="16">
        <f>I3403-H3403</f>
        <v/>
      </c>
      <c r="P3403" s="14">
        <f>F3403*G3403</f>
        <v/>
      </c>
      <c r="Q3403" s="14">
        <f>J3403*G3403</f>
        <v/>
      </c>
      <c r="R3403" s="14">
        <f>K3403-Q3403</f>
        <v/>
      </c>
      <c r="S3403" s="3">
        <f>P3403*Assumptions!$B$3/100</f>
        <v/>
      </c>
      <c r="T3403" s="14">
        <f>R3403-S3403</f>
        <v/>
      </c>
      <c r="U3403" s="14">
        <f>L3403*G3403</f>
        <v/>
      </c>
    </row>
    <row r="3404">
      <c r="A3404" s="12" t="inlineStr">
        <is>
          <t>PO-2023-3402</t>
        </is>
      </c>
      <c r="B3404" s="26" t="n">
        <v>44796</v>
      </c>
      <c r="C3404" s="12" t="inlineStr">
        <is>
          <t>VS07</t>
        </is>
      </c>
      <c r="D3404" s="12" t="inlineStr">
        <is>
          <t>Spring Steel</t>
        </is>
      </c>
      <c r="E3404" s="12" t="inlineStr">
        <is>
          <t>N</t>
        </is>
      </c>
      <c r="F3404" s="12" t="n">
        <v>13.79</v>
      </c>
      <c r="G3404" s="17" t="n">
        <v>87399.99000000001</v>
      </c>
      <c r="H3404" s="26" t="n">
        <v>44806</v>
      </c>
      <c r="I3404" s="26" t="n">
        <v>44808</v>
      </c>
      <c r="J3404" s="12" t="n">
        <v>13.67</v>
      </c>
      <c r="K3404" s="17" t="n">
        <v>1205245.86</v>
      </c>
      <c r="L3404" s="12" t="n">
        <v>0</v>
      </c>
      <c r="M3404" s="12" t="n">
        <v>2</v>
      </c>
      <c r="N3404" s="27">
        <f>F3404-J3404</f>
        <v/>
      </c>
      <c r="O3404" s="16">
        <f>I3404-H3404</f>
        <v/>
      </c>
      <c r="P3404" s="14">
        <f>F3404*G3404</f>
        <v/>
      </c>
      <c r="Q3404" s="14">
        <f>J3404*G3404</f>
        <v/>
      </c>
      <c r="R3404" s="14">
        <f>K3404-Q3404</f>
        <v/>
      </c>
      <c r="S3404" s="3">
        <f>P3404*Assumptions!$B$3/100</f>
        <v/>
      </c>
      <c r="T3404" s="14">
        <f>R3404-S3404</f>
        <v/>
      </c>
      <c r="U3404" s="14">
        <f>L3404*G3404</f>
        <v/>
      </c>
    </row>
    <row r="3405">
      <c r="A3405" s="12" t="inlineStr">
        <is>
          <t>PO-2023-3403</t>
        </is>
      </c>
      <c r="B3405" s="26" t="n">
        <v>44799</v>
      </c>
      <c r="C3405" s="12" t="inlineStr">
        <is>
          <t>VS28</t>
        </is>
      </c>
      <c r="D3405" s="12" t="inlineStr">
        <is>
          <t>Fasteners &amp; Fittings</t>
        </is>
      </c>
      <c r="E3405" s="12" t="inlineStr">
        <is>
          <t>N</t>
        </is>
      </c>
      <c r="F3405" s="12" t="n">
        <v>28.9</v>
      </c>
      <c r="G3405" s="17" t="n">
        <v>82699.02</v>
      </c>
      <c r="H3405" s="26" t="n">
        <v>44809</v>
      </c>
      <c r="I3405" s="26" t="n">
        <v>44812</v>
      </c>
      <c r="J3405" s="12" t="n">
        <v>28.77</v>
      </c>
      <c r="K3405" s="17" t="n">
        <v>2390001.68</v>
      </c>
      <c r="L3405" s="12" t="n">
        <v>0</v>
      </c>
      <c r="M3405" s="12" t="n">
        <v>0</v>
      </c>
      <c r="N3405" s="27">
        <f>F3405-J3405</f>
        <v/>
      </c>
      <c r="O3405" s="16">
        <f>I3405-H3405</f>
        <v/>
      </c>
      <c r="P3405" s="14">
        <f>F3405*G3405</f>
        <v/>
      </c>
      <c r="Q3405" s="14">
        <f>J3405*G3405</f>
        <v/>
      </c>
      <c r="R3405" s="14">
        <f>K3405-Q3405</f>
        <v/>
      </c>
      <c r="S3405" s="3">
        <f>P3405*Assumptions!$B$3/100</f>
        <v/>
      </c>
      <c r="T3405" s="14">
        <f>R3405-S3405</f>
        <v/>
      </c>
      <c r="U3405" s="14">
        <f>L3405*G3405</f>
        <v/>
      </c>
    </row>
    <row r="3406">
      <c r="A3406" s="12" t="inlineStr">
        <is>
          <t>PO-2023-3404</t>
        </is>
      </c>
      <c r="B3406" s="26" t="n">
        <v>44236</v>
      </c>
      <c r="C3406" s="12" t="inlineStr">
        <is>
          <t>VS08</t>
        </is>
      </c>
      <c r="D3406" s="12" t="inlineStr">
        <is>
          <t>Hex Bars</t>
        </is>
      </c>
      <c r="E3406" s="12" t="inlineStr">
        <is>
          <t>N</t>
        </is>
      </c>
      <c r="F3406" s="12" t="n">
        <v>24.13</v>
      </c>
      <c r="G3406" s="17" t="n">
        <v>76083.39999999999</v>
      </c>
      <c r="H3406" s="26" t="n">
        <v>44249</v>
      </c>
      <c r="I3406" s="26" t="n">
        <v>44249</v>
      </c>
      <c r="J3406" s="12" t="n">
        <v>23.94</v>
      </c>
      <c r="K3406" s="17" t="n">
        <v>1835892.44</v>
      </c>
      <c r="L3406" s="12" t="n">
        <v>0</v>
      </c>
      <c r="M3406" s="12" t="n">
        <v>0</v>
      </c>
      <c r="N3406" s="27">
        <f>F3406-J3406</f>
        <v/>
      </c>
      <c r="O3406" s="16">
        <f>I3406-H3406</f>
        <v/>
      </c>
      <c r="P3406" s="14">
        <f>F3406*G3406</f>
        <v/>
      </c>
      <c r="Q3406" s="14">
        <f>J3406*G3406</f>
        <v/>
      </c>
      <c r="R3406" s="14">
        <f>K3406-Q3406</f>
        <v/>
      </c>
      <c r="S3406" s="3">
        <f>P3406*Assumptions!$B$3/100</f>
        <v/>
      </c>
      <c r="T3406" s="14">
        <f>R3406-S3406</f>
        <v/>
      </c>
      <c r="U3406" s="14">
        <f>L3406*G3406</f>
        <v/>
      </c>
    </row>
    <row r="3407">
      <c r="A3407" s="12" t="inlineStr">
        <is>
          <t>PO-2023-3405</t>
        </is>
      </c>
      <c r="B3407" s="26" t="n">
        <v>44268</v>
      </c>
      <c r="C3407" s="12" t="inlineStr">
        <is>
          <t>VS02</t>
        </is>
      </c>
      <c r="D3407" s="12" t="inlineStr">
        <is>
          <t>ERW Pipes</t>
        </is>
      </c>
      <c r="E3407" s="12" t="inlineStr">
        <is>
          <t>N</t>
        </is>
      </c>
      <c r="F3407" s="12" t="n">
        <v>31.92</v>
      </c>
      <c r="G3407" s="17" t="n">
        <v>60303.37</v>
      </c>
      <c r="H3407" s="26" t="n">
        <v>44276</v>
      </c>
      <c r="I3407" s="26" t="n">
        <v>44276</v>
      </c>
      <c r="J3407" s="12" t="n">
        <v>31.74</v>
      </c>
      <c r="K3407" s="17" t="n">
        <v>1924883.57</v>
      </c>
      <c r="L3407" s="12" t="n">
        <v>0</v>
      </c>
      <c r="M3407" s="12" t="n">
        <v>0</v>
      </c>
      <c r="N3407" s="27">
        <f>F3407-J3407</f>
        <v/>
      </c>
      <c r="O3407" s="16">
        <f>I3407-H3407</f>
        <v/>
      </c>
      <c r="P3407" s="14">
        <f>F3407*G3407</f>
        <v/>
      </c>
      <c r="Q3407" s="14">
        <f>J3407*G3407</f>
        <v/>
      </c>
      <c r="R3407" s="14">
        <f>K3407-Q3407</f>
        <v/>
      </c>
      <c r="S3407" s="3">
        <f>P3407*Assumptions!$B$3/100</f>
        <v/>
      </c>
      <c r="T3407" s="14">
        <f>R3407-S3407</f>
        <v/>
      </c>
      <c r="U3407" s="14">
        <f>L3407*G3407</f>
        <v/>
      </c>
    </row>
    <row r="3408">
      <c r="A3408" s="12" t="inlineStr">
        <is>
          <t>PO-2023-3406</t>
        </is>
      </c>
      <c r="B3408" s="26" t="n">
        <v>44448</v>
      </c>
      <c r="C3408" s="12" t="inlineStr">
        <is>
          <t>VS04</t>
        </is>
      </c>
      <c r="D3408" s="12" t="inlineStr">
        <is>
          <t>HR Coils</t>
        </is>
      </c>
      <c r="E3408" s="12" t="inlineStr">
        <is>
          <t>Y</t>
        </is>
      </c>
      <c r="F3408" s="12" t="n">
        <v>14.3</v>
      </c>
      <c r="G3408" s="17" t="n">
        <v>67171.98</v>
      </c>
      <c r="H3408" s="26" t="n">
        <v>44455</v>
      </c>
      <c r="I3408" s="26" t="n">
        <v>44458</v>
      </c>
      <c r="J3408" s="12" t="n">
        <v>14.23</v>
      </c>
      <c r="K3408" s="17" t="n">
        <v>960559.3100000001</v>
      </c>
      <c r="L3408" s="12" t="n">
        <v>0</v>
      </c>
      <c r="M3408" s="12" t="n">
        <v>9</v>
      </c>
      <c r="N3408" s="27">
        <f>F3408-J3408</f>
        <v/>
      </c>
      <c r="O3408" s="16">
        <f>I3408-H3408</f>
        <v/>
      </c>
      <c r="P3408" s="14">
        <f>F3408*G3408</f>
        <v/>
      </c>
      <c r="Q3408" s="14">
        <f>J3408*G3408</f>
        <v/>
      </c>
      <c r="R3408" s="14">
        <f>K3408-Q3408</f>
        <v/>
      </c>
      <c r="S3408" s="3">
        <f>P3408*Assumptions!$B$3/100</f>
        <v/>
      </c>
      <c r="T3408" s="14">
        <f>R3408-S3408</f>
        <v/>
      </c>
      <c r="U3408" s="14">
        <f>L3408*G3408</f>
        <v/>
      </c>
    </row>
    <row r="3409">
      <c r="A3409" s="12" t="inlineStr">
        <is>
          <t>PO-2023-3407</t>
        </is>
      </c>
      <c r="B3409" s="26" t="n">
        <v>44466</v>
      </c>
      <c r="C3409" s="12" t="inlineStr">
        <is>
          <t>VS03</t>
        </is>
      </c>
      <c r="D3409" s="12" t="inlineStr">
        <is>
          <t>MS Rods</t>
        </is>
      </c>
      <c r="E3409" s="12" t="inlineStr">
        <is>
          <t>N</t>
        </is>
      </c>
      <c r="F3409" s="12" t="n">
        <v>24.71</v>
      </c>
      <c r="G3409" s="17" t="n">
        <v>98690.67999999999</v>
      </c>
      <c r="H3409" s="26" t="n">
        <v>44475</v>
      </c>
      <c r="I3409" s="26" t="n">
        <v>44478</v>
      </c>
      <c r="J3409" s="12" t="n">
        <v>23.67</v>
      </c>
      <c r="K3409" s="17" t="n">
        <v>2438646.7</v>
      </c>
      <c r="L3409" s="12" t="n">
        <v>0.77</v>
      </c>
      <c r="M3409" s="12" t="n">
        <v>22</v>
      </c>
      <c r="N3409" s="27">
        <f>F3409-J3409</f>
        <v/>
      </c>
      <c r="O3409" s="16">
        <f>I3409-H3409</f>
        <v/>
      </c>
      <c r="P3409" s="14">
        <f>F3409*G3409</f>
        <v/>
      </c>
      <c r="Q3409" s="14">
        <f>J3409*G3409</f>
        <v/>
      </c>
      <c r="R3409" s="14">
        <f>K3409-Q3409</f>
        <v/>
      </c>
      <c r="S3409" s="3">
        <f>P3409*Assumptions!$B$3/100</f>
        <v/>
      </c>
      <c r="T3409" s="14">
        <f>R3409-S3409</f>
        <v/>
      </c>
      <c r="U3409" s="14">
        <f>L3409*G3409</f>
        <v/>
      </c>
    </row>
    <row r="3410">
      <c r="A3410" s="12" t="inlineStr">
        <is>
          <t>PO-2023-3408</t>
        </is>
      </c>
      <c r="B3410" s="26" t="n">
        <v>45017</v>
      </c>
      <c r="C3410" s="12" t="inlineStr">
        <is>
          <t>VS24</t>
        </is>
      </c>
      <c r="D3410" s="12" t="inlineStr">
        <is>
          <t>MS Sheets</t>
        </is>
      </c>
      <c r="E3410" s="12" t="inlineStr">
        <is>
          <t>N</t>
        </is>
      </c>
      <c r="F3410" s="12" t="n">
        <v>15.74</v>
      </c>
      <c r="G3410" s="17" t="n">
        <v>47896.45</v>
      </c>
      <c r="H3410" s="26" t="n">
        <v>45022</v>
      </c>
      <c r="I3410" s="26" t="n">
        <v>45023</v>
      </c>
      <c r="J3410" s="12" t="n">
        <v>15.64</v>
      </c>
      <c r="K3410" s="17" t="n">
        <v>753890.12</v>
      </c>
      <c r="L3410" s="12" t="n">
        <v>0</v>
      </c>
      <c r="M3410" s="12" t="n">
        <v>22</v>
      </c>
      <c r="N3410" s="27">
        <f>F3410-J3410</f>
        <v/>
      </c>
      <c r="O3410" s="16">
        <f>I3410-H3410</f>
        <v/>
      </c>
      <c r="P3410" s="14">
        <f>F3410*G3410</f>
        <v/>
      </c>
      <c r="Q3410" s="14">
        <f>J3410*G3410</f>
        <v/>
      </c>
      <c r="R3410" s="14">
        <f>K3410-Q3410</f>
        <v/>
      </c>
      <c r="S3410" s="3">
        <f>P3410*Assumptions!$B$3/100</f>
        <v/>
      </c>
      <c r="T3410" s="14">
        <f>R3410-S3410</f>
        <v/>
      </c>
      <c r="U3410" s="14">
        <f>L3410*G3410</f>
        <v/>
      </c>
    </row>
    <row r="3411">
      <c r="A3411" s="12" t="inlineStr">
        <is>
          <t>PO-2023-3409</t>
        </is>
      </c>
      <c r="B3411" s="26" t="n">
        <v>44455</v>
      </c>
      <c r="C3411" s="12" t="inlineStr">
        <is>
          <t>VS08</t>
        </is>
      </c>
      <c r="D3411" s="12" t="inlineStr">
        <is>
          <t>MS Flats</t>
        </is>
      </c>
      <c r="E3411" s="12" t="inlineStr">
        <is>
          <t>N</t>
        </is>
      </c>
      <c r="F3411" s="12" t="n">
        <v>45.6</v>
      </c>
      <c r="G3411" s="17" t="n">
        <v>90846.14</v>
      </c>
      <c r="H3411" s="26" t="n">
        <v>44464</v>
      </c>
      <c r="I3411" s="26" t="n">
        <v>44467</v>
      </c>
      <c r="J3411" s="12" t="n">
        <v>45.55</v>
      </c>
      <c r="K3411" s="17" t="n">
        <v>4142583.98</v>
      </c>
      <c r="L3411" s="12" t="n">
        <v>0</v>
      </c>
      <c r="M3411" s="12" t="n">
        <v>22</v>
      </c>
      <c r="N3411" s="27">
        <f>F3411-J3411</f>
        <v/>
      </c>
      <c r="O3411" s="16">
        <f>I3411-H3411</f>
        <v/>
      </c>
      <c r="P3411" s="14">
        <f>F3411*G3411</f>
        <v/>
      </c>
      <c r="Q3411" s="14">
        <f>J3411*G3411</f>
        <v/>
      </c>
      <c r="R3411" s="14">
        <f>K3411-Q3411</f>
        <v/>
      </c>
      <c r="S3411" s="3">
        <f>P3411*Assumptions!$B$3/100</f>
        <v/>
      </c>
      <c r="T3411" s="14">
        <f>R3411-S3411</f>
        <v/>
      </c>
      <c r="U3411" s="14">
        <f>L3411*G3411</f>
        <v/>
      </c>
    </row>
    <row r="3412">
      <c r="A3412" s="12" t="inlineStr">
        <is>
          <t>PO-2023-3410</t>
        </is>
      </c>
      <c r="B3412" s="26" t="n">
        <v>45175</v>
      </c>
      <c r="C3412" s="12" t="inlineStr">
        <is>
          <t>VS09</t>
        </is>
      </c>
      <c r="D3412" s="12" t="inlineStr">
        <is>
          <t>MS Flats</t>
        </is>
      </c>
      <c r="E3412" s="12" t="inlineStr">
        <is>
          <t>N</t>
        </is>
      </c>
      <c r="F3412" s="12" t="n">
        <v>46.69</v>
      </c>
      <c r="G3412" s="17" t="n">
        <v>102608.88</v>
      </c>
      <c r="H3412" s="26" t="n">
        <v>45180</v>
      </c>
      <c r="I3412" s="26" t="n">
        <v>45181</v>
      </c>
      <c r="J3412" s="12" t="n">
        <v>46.58</v>
      </c>
      <c r="K3412" s="17" t="n">
        <v>4790808.61</v>
      </c>
      <c r="L3412" s="12" t="n">
        <v>0</v>
      </c>
      <c r="M3412" s="12" t="n">
        <v>0</v>
      </c>
      <c r="N3412" s="27">
        <f>F3412-J3412</f>
        <v/>
      </c>
      <c r="O3412" s="16">
        <f>I3412-H3412</f>
        <v/>
      </c>
      <c r="P3412" s="14">
        <f>F3412*G3412</f>
        <v/>
      </c>
      <c r="Q3412" s="14">
        <f>J3412*G3412</f>
        <v/>
      </c>
      <c r="R3412" s="14">
        <f>K3412-Q3412</f>
        <v/>
      </c>
      <c r="S3412" s="3">
        <f>P3412*Assumptions!$B$3/100</f>
        <v/>
      </c>
      <c r="T3412" s="14">
        <f>R3412-S3412</f>
        <v/>
      </c>
      <c r="U3412" s="14">
        <f>L3412*G3412</f>
        <v/>
      </c>
    </row>
    <row r="3413">
      <c r="A3413" s="12" t="inlineStr">
        <is>
          <t>PO-2023-3411</t>
        </is>
      </c>
      <c r="B3413" s="26" t="n">
        <v>44567</v>
      </c>
      <c r="C3413" s="12" t="inlineStr">
        <is>
          <t>VS08</t>
        </is>
      </c>
      <c r="D3413" s="12" t="inlineStr">
        <is>
          <t>MS Pipes</t>
        </is>
      </c>
      <c r="E3413" s="12" t="inlineStr">
        <is>
          <t>N</t>
        </is>
      </c>
      <c r="F3413" s="12" t="n">
        <v>17.26</v>
      </c>
      <c r="G3413" s="17" t="n">
        <v>61159.11</v>
      </c>
      <c r="H3413" s="26" t="n">
        <v>44580</v>
      </c>
      <c r="I3413" s="26" t="n">
        <v>44580</v>
      </c>
      <c r="J3413" s="12" t="n">
        <v>17.12</v>
      </c>
      <c r="K3413" s="17" t="n">
        <v>1055606.24</v>
      </c>
      <c r="L3413" s="12" t="n">
        <v>0</v>
      </c>
      <c r="M3413" s="12" t="n">
        <v>0</v>
      </c>
      <c r="N3413" s="27">
        <f>F3413-J3413</f>
        <v/>
      </c>
      <c r="O3413" s="16">
        <f>I3413-H3413</f>
        <v/>
      </c>
      <c r="P3413" s="14">
        <f>F3413*G3413</f>
        <v/>
      </c>
      <c r="Q3413" s="14">
        <f>J3413*G3413</f>
        <v/>
      </c>
      <c r="R3413" s="14">
        <f>K3413-Q3413</f>
        <v/>
      </c>
      <c r="S3413" s="3">
        <f>P3413*Assumptions!$B$3/100</f>
        <v/>
      </c>
      <c r="T3413" s="14">
        <f>R3413-S3413</f>
        <v/>
      </c>
      <c r="U3413" s="14">
        <f>L3413*G3413</f>
        <v/>
      </c>
    </row>
    <row r="3414">
      <c r="A3414" s="12" t="inlineStr">
        <is>
          <t>PO-2023-3412</t>
        </is>
      </c>
      <c r="B3414" s="26" t="n">
        <v>44800</v>
      </c>
      <c r="C3414" s="12" t="inlineStr">
        <is>
          <t>VS29</t>
        </is>
      </c>
      <c r="D3414" s="12" t="inlineStr">
        <is>
          <t>MS Pipes</t>
        </is>
      </c>
      <c r="E3414" s="12" t="inlineStr">
        <is>
          <t>N</t>
        </is>
      </c>
      <c r="F3414" s="12" t="n">
        <v>13.67</v>
      </c>
      <c r="G3414" s="17" t="n">
        <v>68047.74000000001</v>
      </c>
      <c r="H3414" s="26" t="n">
        <v>44809</v>
      </c>
      <c r="I3414" s="26" t="n">
        <v>44811</v>
      </c>
      <c r="J3414" s="12" t="n">
        <v>13.57</v>
      </c>
      <c r="K3414" s="17" t="n">
        <v>930212.61</v>
      </c>
      <c r="L3414" s="12" t="n">
        <v>0</v>
      </c>
      <c r="M3414" s="12" t="n">
        <v>0</v>
      </c>
      <c r="N3414" s="27">
        <f>F3414-J3414</f>
        <v/>
      </c>
      <c r="O3414" s="16">
        <f>I3414-H3414</f>
        <v/>
      </c>
      <c r="P3414" s="14">
        <f>F3414*G3414</f>
        <v/>
      </c>
      <c r="Q3414" s="14">
        <f>J3414*G3414</f>
        <v/>
      </c>
      <c r="R3414" s="14">
        <f>K3414-Q3414</f>
        <v/>
      </c>
      <c r="S3414" s="3">
        <f>P3414*Assumptions!$B$3/100</f>
        <v/>
      </c>
      <c r="T3414" s="14">
        <f>R3414-S3414</f>
        <v/>
      </c>
      <c r="U3414" s="14">
        <f>L3414*G3414</f>
        <v/>
      </c>
    </row>
    <row r="3415">
      <c r="A3415" s="12" t="inlineStr">
        <is>
          <t>PO-2023-3413</t>
        </is>
      </c>
      <c r="B3415" s="26" t="n">
        <v>44818</v>
      </c>
      <c r="C3415" s="12" t="inlineStr">
        <is>
          <t>VS19</t>
        </is>
      </c>
      <c r="D3415" s="12" t="inlineStr">
        <is>
          <t>MS Flats</t>
        </is>
      </c>
      <c r="E3415" s="12" t="inlineStr">
        <is>
          <t>N</t>
        </is>
      </c>
      <c r="F3415" s="12" t="n">
        <v>19.25</v>
      </c>
      <c r="G3415" s="17" t="n">
        <v>64181.31</v>
      </c>
      <c r="H3415" s="26" t="n">
        <v>44827</v>
      </c>
      <c r="I3415" s="26" t="n">
        <v>44834</v>
      </c>
      <c r="J3415" s="12" t="n">
        <v>18.69</v>
      </c>
      <c r="K3415" s="17" t="n">
        <v>1235490.22</v>
      </c>
      <c r="L3415" s="12" t="n">
        <v>0.79</v>
      </c>
      <c r="M3415" s="12" t="n">
        <v>0</v>
      </c>
      <c r="N3415" s="27">
        <f>F3415-J3415</f>
        <v/>
      </c>
      <c r="O3415" s="16">
        <f>I3415-H3415</f>
        <v/>
      </c>
      <c r="P3415" s="14">
        <f>F3415*G3415</f>
        <v/>
      </c>
      <c r="Q3415" s="14">
        <f>J3415*G3415</f>
        <v/>
      </c>
      <c r="R3415" s="14">
        <f>K3415-Q3415</f>
        <v/>
      </c>
      <c r="S3415" s="3">
        <f>P3415*Assumptions!$B$3/100</f>
        <v/>
      </c>
      <c r="T3415" s="14">
        <f>R3415-S3415</f>
        <v/>
      </c>
      <c r="U3415" s="14">
        <f>L3415*G3415</f>
        <v/>
      </c>
    </row>
    <row r="3416">
      <c r="A3416" s="12" t="inlineStr">
        <is>
          <t>PO-2023-3414</t>
        </is>
      </c>
      <c r="B3416" s="26" t="n">
        <v>44865</v>
      </c>
      <c r="C3416" s="12" t="inlineStr">
        <is>
          <t>VS11</t>
        </is>
      </c>
      <c r="D3416" s="12" t="inlineStr">
        <is>
          <t>ERW Pipes</t>
        </is>
      </c>
      <c r="E3416" s="12" t="inlineStr">
        <is>
          <t>N</t>
        </is>
      </c>
      <c r="F3416" s="12" t="n">
        <v>42.56</v>
      </c>
      <c r="G3416" s="17" t="n">
        <v>106333.59</v>
      </c>
      <c r="H3416" s="26" t="n">
        <v>44876</v>
      </c>
      <c r="I3416" s="26" t="n">
        <v>44878</v>
      </c>
      <c r="J3416" s="12" t="n">
        <v>42.21</v>
      </c>
      <c r="K3416" s="17" t="n">
        <v>4525557.59</v>
      </c>
      <c r="L3416" s="12" t="n">
        <v>0</v>
      </c>
      <c r="M3416" s="12" t="n">
        <v>23</v>
      </c>
      <c r="N3416" s="27">
        <f>F3416-J3416</f>
        <v/>
      </c>
      <c r="O3416" s="16">
        <f>I3416-H3416</f>
        <v/>
      </c>
      <c r="P3416" s="14">
        <f>F3416*G3416</f>
        <v/>
      </c>
      <c r="Q3416" s="14">
        <f>J3416*G3416</f>
        <v/>
      </c>
      <c r="R3416" s="14">
        <f>K3416-Q3416</f>
        <v/>
      </c>
      <c r="S3416" s="3">
        <f>P3416*Assumptions!$B$3/100</f>
        <v/>
      </c>
      <c r="T3416" s="14">
        <f>R3416-S3416</f>
        <v/>
      </c>
      <c r="U3416" s="14">
        <f>L3416*G3416</f>
        <v/>
      </c>
    </row>
    <row r="3417">
      <c r="A3417" s="12" t="inlineStr">
        <is>
          <t>PO-2023-3415</t>
        </is>
      </c>
      <c r="B3417" s="26" t="n">
        <v>44658</v>
      </c>
      <c r="C3417" s="12" t="inlineStr">
        <is>
          <t>VS21</t>
        </is>
      </c>
      <c r="D3417" s="12" t="inlineStr">
        <is>
          <t>MS Pipes</t>
        </is>
      </c>
      <c r="E3417" s="12" t="inlineStr">
        <is>
          <t>N</t>
        </is>
      </c>
      <c r="F3417" s="12" t="n">
        <v>24.97</v>
      </c>
      <c r="G3417" s="17" t="n">
        <v>51137.67</v>
      </c>
      <c r="H3417" s="26" t="n">
        <v>44663</v>
      </c>
      <c r="I3417" s="26" t="n">
        <v>44666</v>
      </c>
      <c r="J3417" s="12" t="n">
        <v>24.94</v>
      </c>
      <c r="K3417" s="17" t="n">
        <v>1276907.62</v>
      </c>
      <c r="L3417" s="12" t="n">
        <v>0</v>
      </c>
      <c r="M3417" s="12" t="n">
        <v>0</v>
      </c>
      <c r="N3417" s="27">
        <f>F3417-J3417</f>
        <v/>
      </c>
      <c r="O3417" s="16">
        <f>I3417-H3417</f>
        <v/>
      </c>
      <c r="P3417" s="14">
        <f>F3417*G3417</f>
        <v/>
      </c>
      <c r="Q3417" s="14">
        <f>J3417*G3417</f>
        <v/>
      </c>
      <c r="R3417" s="14">
        <f>K3417-Q3417</f>
        <v/>
      </c>
      <c r="S3417" s="3">
        <f>P3417*Assumptions!$B$3/100</f>
        <v/>
      </c>
      <c r="T3417" s="14">
        <f>R3417-S3417</f>
        <v/>
      </c>
      <c r="U3417" s="14">
        <f>L3417*G3417</f>
        <v/>
      </c>
    </row>
    <row r="3418">
      <c r="A3418" s="12" t="inlineStr">
        <is>
          <t>PO-2023-3416</t>
        </is>
      </c>
      <c r="B3418" s="26" t="n">
        <v>44785</v>
      </c>
      <c r="C3418" s="12" t="inlineStr">
        <is>
          <t>VS22</t>
        </is>
      </c>
      <c r="D3418" s="12" t="inlineStr">
        <is>
          <t>Angles &amp; Channels</t>
        </is>
      </c>
      <c r="E3418" s="12" t="inlineStr">
        <is>
          <t>N</t>
        </is>
      </c>
      <c r="F3418" s="12" t="n">
        <v>11.69</v>
      </c>
      <c r="G3418" s="17" t="n">
        <v>57466.81</v>
      </c>
      <c r="H3418" s="26" t="n">
        <v>44797</v>
      </c>
      <c r="I3418" s="26" t="n">
        <v>44797</v>
      </c>
      <c r="J3418" s="12" t="n">
        <v>11.58</v>
      </c>
      <c r="K3418" s="17" t="n">
        <v>671787.01</v>
      </c>
      <c r="L3418" s="12" t="n">
        <v>0</v>
      </c>
      <c r="M3418" s="12" t="n">
        <v>0</v>
      </c>
      <c r="N3418" s="27">
        <f>F3418-J3418</f>
        <v/>
      </c>
      <c r="O3418" s="16">
        <f>I3418-H3418</f>
        <v/>
      </c>
      <c r="P3418" s="14">
        <f>F3418*G3418</f>
        <v/>
      </c>
      <c r="Q3418" s="14">
        <f>J3418*G3418</f>
        <v/>
      </c>
      <c r="R3418" s="14">
        <f>K3418-Q3418</f>
        <v/>
      </c>
      <c r="S3418" s="3">
        <f>P3418*Assumptions!$B$3/100</f>
        <v/>
      </c>
      <c r="T3418" s="14">
        <f>R3418-S3418</f>
        <v/>
      </c>
      <c r="U3418" s="14">
        <f>L3418*G3418</f>
        <v/>
      </c>
    </row>
    <row r="3419">
      <c r="A3419" s="12" t="inlineStr">
        <is>
          <t>PO-2023-3417</t>
        </is>
      </c>
      <c r="B3419" s="26" t="n">
        <v>44312</v>
      </c>
      <c r="C3419" s="12" t="inlineStr">
        <is>
          <t>VS01</t>
        </is>
      </c>
      <c r="D3419" s="12" t="inlineStr">
        <is>
          <t>HR Coils</t>
        </is>
      </c>
      <c r="E3419" s="12" t="inlineStr">
        <is>
          <t>N</t>
        </is>
      </c>
      <c r="F3419" s="12" t="n">
        <v>20.32</v>
      </c>
      <c r="G3419" s="17" t="n">
        <v>94380.89999999999</v>
      </c>
      <c r="H3419" s="26" t="n">
        <v>44316</v>
      </c>
      <c r="I3419" s="26" t="n">
        <v>44319</v>
      </c>
      <c r="J3419" s="12" t="n">
        <v>20.29</v>
      </c>
      <c r="K3419" s="17" t="n">
        <v>1917819.89</v>
      </c>
      <c r="L3419" s="12" t="n">
        <v>0</v>
      </c>
      <c r="M3419" s="12" t="n">
        <v>16</v>
      </c>
      <c r="N3419" s="27">
        <f>F3419-J3419</f>
        <v/>
      </c>
      <c r="O3419" s="16">
        <f>I3419-H3419</f>
        <v/>
      </c>
      <c r="P3419" s="14">
        <f>F3419*G3419</f>
        <v/>
      </c>
      <c r="Q3419" s="14">
        <f>J3419*G3419</f>
        <v/>
      </c>
      <c r="R3419" s="14">
        <f>K3419-Q3419</f>
        <v/>
      </c>
      <c r="S3419" s="3">
        <f>P3419*Assumptions!$B$3/100</f>
        <v/>
      </c>
      <c r="T3419" s="14">
        <f>R3419-S3419</f>
        <v/>
      </c>
      <c r="U3419" s="14">
        <f>L3419*G3419</f>
        <v/>
      </c>
    </row>
    <row r="3420">
      <c r="A3420" s="12" t="inlineStr">
        <is>
          <t>PO-2023-3418</t>
        </is>
      </c>
      <c r="B3420" s="26" t="n">
        <v>44336</v>
      </c>
      <c r="C3420" s="12" t="inlineStr">
        <is>
          <t>VS31</t>
        </is>
      </c>
      <c r="D3420" s="12" t="inlineStr">
        <is>
          <t>HR Coils</t>
        </is>
      </c>
      <c r="E3420" s="12" t="inlineStr">
        <is>
          <t>N</t>
        </is>
      </c>
      <c r="F3420" s="12" t="n">
        <v>46.23</v>
      </c>
      <c r="G3420" s="17" t="n">
        <v>93006.94</v>
      </c>
      <c r="H3420" s="26" t="n">
        <v>44349</v>
      </c>
      <c r="I3420" s="26" t="n">
        <v>44352</v>
      </c>
      <c r="J3420" s="12" t="n">
        <v>46.22</v>
      </c>
      <c r="K3420" s="17" t="n">
        <v>4299710.84</v>
      </c>
      <c r="L3420" s="12" t="n">
        <v>0</v>
      </c>
      <c r="M3420" s="12" t="n">
        <v>3</v>
      </c>
      <c r="N3420" s="27">
        <f>F3420-J3420</f>
        <v/>
      </c>
      <c r="O3420" s="16">
        <f>I3420-H3420</f>
        <v/>
      </c>
      <c r="P3420" s="14">
        <f>F3420*G3420</f>
        <v/>
      </c>
      <c r="Q3420" s="14">
        <f>J3420*G3420</f>
        <v/>
      </c>
      <c r="R3420" s="14">
        <f>K3420-Q3420</f>
        <v/>
      </c>
      <c r="S3420" s="3">
        <f>P3420*Assumptions!$B$3/100</f>
        <v/>
      </c>
      <c r="T3420" s="14">
        <f>R3420-S3420</f>
        <v/>
      </c>
      <c r="U3420" s="14">
        <f>L3420*G3420</f>
        <v/>
      </c>
    </row>
    <row r="3421">
      <c r="A3421" s="12" t="inlineStr">
        <is>
          <t>PO-2023-3419</t>
        </is>
      </c>
      <c r="B3421" s="26" t="n">
        <v>45145</v>
      </c>
      <c r="C3421" s="12" t="inlineStr">
        <is>
          <t>VS32</t>
        </is>
      </c>
      <c r="D3421" s="12" t="inlineStr">
        <is>
          <t>MS Sheets</t>
        </is>
      </c>
      <c r="E3421" s="12" t="inlineStr">
        <is>
          <t>N</t>
        </is>
      </c>
      <c r="F3421" s="12" t="n">
        <v>21.85</v>
      </c>
      <c r="G3421" s="17" t="n">
        <v>65302.5</v>
      </c>
      <c r="H3421" s="26" t="n">
        <v>45158</v>
      </c>
      <c r="I3421" s="26" t="n">
        <v>45161</v>
      </c>
      <c r="J3421" s="12" t="n">
        <v>21.68</v>
      </c>
      <c r="K3421" s="17" t="n">
        <v>1426859.62</v>
      </c>
      <c r="L3421" s="12" t="n">
        <v>0</v>
      </c>
      <c r="M3421" s="12" t="n">
        <v>23</v>
      </c>
      <c r="N3421" s="27">
        <f>F3421-J3421</f>
        <v/>
      </c>
      <c r="O3421" s="16">
        <f>I3421-H3421</f>
        <v/>
      </c>
      <c r="P3421" s="14">
        <f>F3421*G3421</f>
        <v/>
      </c>
      <c r="Q3421" s="14">
        <f>J3421*G3421</f>
        <v/>
      </c>
      <c r="R3421" s="14">
        <f>K3421-Q3421</f>
        <v/>
      </c>
      <c r="S3421" s="3">
        <f>P3421*Assumptions!$B$3/100</f>
        <v/>
      </c>
      <c r="T3421" s="14">
        <f>R3421-S3421</f>
        <v/>
      </c>
      <c r="U3421" s="14">
        <f>L3421*G3421</f>
        <v/>
      </c>
    </row>
    <row r="3422">
      <c r="A3422" s="12" t="inlineStr">
        <is>
          <t>PO-2023-3420</t>
        </is>
      </c>
      <c r="B3422" s="26" t="n">
        <v>44701</v>
      </c>
      <c r="C3422" s="12" t="inlineStr">
        <is>
          <t>VS23</t>
        </is>
      </c>
      <c r="D3422" s="12" t="inlineStr">
        <is>
          <t>Spring Steel</t>
        </is>
      </c>
      <c r="E3422" s="12" t="inlineStr">
        <is>
          <t>N</t>
        </is>
      </c>
      <c r="F3422" s="12" t="n">
        <v>16.73</v>
      </c>
      <c r="G3422" s="17" t="n">
        <v>95633.00999999999</v>
      </c>
      <c r="H3422" s="26" t="n">
        <v>44712</v>
      </c>
      <c r="I3422" s="26" t="n">
        <v>44715</v>
      </c>
      <c r="J3422" s="12" t="n">
        <v>16.71</v>
      </c>
      <c r="K3422" s="17" t="n">
        <v>1599940.26</v>
      </c>
      <c r="L3422" s="12" t="n">
        <v>0</v>
      </c>
      <c r="M3422" s="12" t="n">
        <v>0</v>
      </c>
      <c r="N3422" s="27">
        <f>F3422-J3422</f>
        <v/>
      </c>
      <c r="O3422" s="16">
        <f>I3422-H3422</f>
        <v/>
      </c>
      <c r="P3422" s="14">
        <f>F3422*G3422</f>
        <v/>
      </c>
      <c r="Q3422" s="14">
        <f>J3422*G3422</f>
        <v/>
      </c>
      <c r="R3422" s="14">
        <f>K3422-Q3422</f>
        <v/>
      </c>
      <c r="S3422" s="3">
        <f>P3422*Assumptions!$B$3/100</f>
        <v/>
      </c>
      <c r="T3422" s="14">
        <f>R3422-S3422</f>
        <v/>
      </c>
      <c r="U3422" s="14">
        <f>L3422*G3422</f>
        <v/>
      </c>
    </row>
    <row r="3423">
      <c r="A3423" s="12" t="inlineStr">
        <is>
          <t>PO-2023-3421</t>
        </is>
      </c>
      <c r="B3423" s="26" t="n">
        <v>44862</v>
      </c>
      <c r="C3423" s="12" t="inlineStr">
        <is>
          <t>VS11</t>
        </is>
      </c>
      <c r="D3423" s="12" t="inlineStr">
        <is>
          <t>MS Sheets</t>
        </is>
      </c>
      <c r="E3423" s="12" t="inlineStr">
        <is>
          <t>Y</t>
        </is>
      </c>
      <c r="F3423" s="12" t="n">
        <v>29.64</v>
      </c>
      <c r="G3423" s="17" t="n">
        <v>67895.53999999999</v>
      </c>
      <c r="H3423" s="26" t="n">
        <v>44875</v>
      </c>
      <c r="I3423" s="26" t="n">
        <v>44877</v>
      </c>
      <c r="J3423" s="12" t="n">
        <v>29.57</v>
      </c>
      <c r="K3423" s="17" t="n">
        <v>2012423.81</v>
      </c>
      <c r="L3423" s="12" t="n">
        <v>0</v>
      </c>
      <c r="M3423" s="12" t="n">
        <v>11</v>
      </c>
      <c r="N3423" s="27">
        <f>F3423-J3423</f>
        <v/>
      </c>
      <c r="O3423" s="16">
        <f>I3423-H3423</f>
        <v/>
      </c>
      <c r="P3423" s="14">
        <f>F3423*G3423</f>
        <v/>
      </c>
      <c r="Q3423" s="14">
        <f>J3423*G3423</f>
        <v/>
      </c>
      <c r="R3423" s="14">
        <f>K3423-Q3423</f>
        <v/>
      </c>
      <c r="S3423" s="3">
        <f>P3423*Assumptions!$B$3/100</f>
        <v/>
      </c>
      <c r="T3423" s="14">
        <f>R3423-S3423</f>
        <v/>
      </c>
      <c r="U3423" s="14">
        <f>L3423*G3423</f>
        <v/>
      </c>
    </row>
    <row r="3424">
      <c r="A3424" s="12" t="inlineStr">
        <is>
          <t>PO-2023-3422</t>
        </is>
      </c>
      <c r="B3424" s="26" t="n">
        <v>44906</v>
      </c>
      <c r="C3424" s="12" t="inlineStr">
        <is>
          <t>VS09</t>
        </is>
      </c>
      <c r="D3424" s="12" t="inlineStr">
        <is>
          <t>MS Flats</t>
        </is>
      </c>
      <c r="E3424" s="12" t="inlineStr">
        <is>
          <t>N</t>
        </is>
      </c>
      <c r="F3424" s="12" t="n">
        <v>5.97</v>
      </c>
      <c r="G3424" s="17" t="n">
        <v>53674.21</v>
      </c>
      <c r="H3424" s="26" t="n">
        <v>44917</v>
      </c>
      <c r="I3424" s="26" t="n">
        <v>44917</v>
      </c>
      <c r="J3424" s="12" t="n">
        <v>5.94</v>
      </c>
      <c r="K3424" s="17" t="n">
        <v>320435.03</v>
      </c>
      <c r="L3424" s="12" t="n">
        <v>0</v>
      </c>
      <c r="M3424" s="12" t="n">
        <v>21</v>
      </c>
      <c r="N3424" s="27">
        <f>F3424-J3424</f>
        <v/>
      </c>
      <c r="O3424" s="16">
        <f>I3424-H3424</f>
        <v/>
      </c>
      <c r="P3424" s="14">
        <f>F3424*G3424</f>
        <v/>
      </c>
      <c r="Q3424" s="14">
        <f>J3424*G3424</f>
        <v/>
      </c>
      <c r="R3424" s="14">
        <f>K3424-Q3424</f>
        <v/>
      </c>
      <c r="S3424" s="3">
        <f>P3424*Assumptions!$B$3/100</f>
        <v/>
      </c>
      <c r="T3424" s="14">
        <f>R3424-S3424</f>
        <v/>
      </c>
      <c r="U3424" s="14">
        <f>L3424*G3424</f>
        <v/>
      </c>
    </row>
    <row r="3425">
      <c r="A3425" s="12" t="inlineStr">
        <is>
          <t>PO-2023-3423</t>
        </is>
      </c>
      <c r="B3425" s="26" t="n">
        <v>44868</v>
      </c>
      <c r="C3425" s="12" t="inlineStr">
        <is>
          <t>VS32</t>
        </is>
      </c>
      <c r="D3425" s="12" t="inlineStr">
        <is>
          <t>Angles &amp; Channels</t>
        </is>
      </c>
      <c r="E3425" s="12" t="inlineStr">
        <is>
          <t>N</t>
        </is>
      </c>
      <c r="F3425" s="12" t="n">
        <v>31.13</v>
      </c>
      <c r="G3425" s="17" t="n">
        <v>78647</v>
      </c>
      <c r="H3425" s="26" t="n">
        <v>44871</v>
      </c>
      <c r="I3425" s="26" t="n">
        <v>44874</v>
      </c>
      <c r="J3425" s="12" t="n">
        <v>30.98</v>
      </c>
      <c r="K3425" s="17" t="n">
        <v>2448281.11</v>
      </c>
      <c r="L3425" s="12" t="n">
        <v>0</v>
      </c>
      <c r="M3425" s="12" t="n">
        <v>11</v>
      </c>
      <c r="N3425" s="27">
        <f>F3425-J3425</f>
        <v/>
      </c>
      <c r="O3425" s="16">
        <f>I3425-H3425</f>
        <v/>
      </c>
      <c r="P3425" s="14">
        <f>F3425*G3425</f>
        <v/>
      </c>
      <c r="Q3425" s="14">
        <f>J3425*G3425</f>
        <v/>
      </c>
      <c r="R3425" s="14">
        <f>K3425-Q3425</f>
        <v/>
      </c>
      <c r="S3425" s="3">
        <f>P3425*Assumptions!$B$3/100</f>
        <v/>
      </c>
      <c r="T3425" s="14">
        <f>R3425-S3425</f>
        <v/>
      </c>
      <c r="U3425" s="14">
        <f>L3425*G3425</f>
        <v/>
      </c>
    </row>
    <row r="3426">
      <c r="A3426" s="12" t="inlineStr">
        <is>
          <t>PO-2023-3424</t>
        </is>
      </c>
      <c r="B3426" s="26" t="n">
        <v>44885</v>
      </c>
      <c r="C3426" s="12" t="inlineStr">
        <is>
          <t>VS04</t>
        </is>
      </c>
      <c r="D3426" s="12" t="inlineStr">
        <is>
          <t>Hex Bars</t>
        </is>
      </c>
      <c r="E3426" s="12" t="inlineStr">
        <is>
          <t>N</t>
        </is>
      </c>
      <c r="F3426" s="12" t="n">
        <v>42.73</v>
      </c>
      <c r="G3426" s="17" t="n">
        <v>48537.27</v>
      </c>
      <c r="H3426" s="26" t="n">
        <v>44892</v>
      </c>
      <c r="I3426" s="26" t="n">
        <v>44894</v>
      </c>
      <c r="J3426" s="12" t="n">
        <v>42.46</v>
      </c>
      <c r="K3426" s="17" t="n">
        <v>2073997.55</v>
      </c>
      <c r="L3426" s="12" t="n">
        <v>0</v>
      </c>
      <c r="M3426" s="12" t="n">
        <v>0</v>
      </c>
      <c r="N3426" s="27">
        <f>F3426-J3426</f>
        <v/>
      </c>
      <c r="O3426" s="16">
        <f>I3426-H3426</f>
        <v/>
      </c>
      <c r="P3426" s="14">
        <f>F3426*G3426</f>
        <v/>
      </c>
      <c r="Q3426" s="14">
        <f>J3426*G3426</f>
        <v/>
      </c>
      <c r="R3426" s="14">
        <f>K3426-Q3426</f>
        <v/>
      </c>
      <c r="S3426" s="3">
        <f>P3426*Assumptions!$B$3/100</f>
        <v/>
      </c>
      <c r="T3426" s="14">
        <f>R3426-S3426</f>
        <v/>
      </c>
      <c r="U3426" s="14">
        <f>L3426*G3426</f>
        <v/>
      </c>
    </row>
    <row r="3427">
      <c r="A3427" s="12" t="inlineStr">
        <is>
          <t>PO-2023-3425</t>
        </is>
      </c>
      <c r="B3427" s="26" t="n">
        <v>44386</v>
      </c>
      <c r="C3427" s="12" t="inlineStr">
        <is>
          <t>VS17</t>
        </is>
      </c>
      <c r="D3427" s="12" t="inlineStr">
        <is>
          <t>Fasteners &amp; Fittings</t>
        </is>
      </c>
      <c r="E3427" s="12" t="inlineStr">
        <is>
          <t>N</t>
        </is>
      </c>
      <c r="F3427" s="12" t="n">
        <v>23.25</v>
      </c>
      <c r="G3427" s="17" t="n">
        <v>65193.38</v>
      </c>
      <c r="H3427" s="26" t="n">
        <v>44392</v>
      </c>
      <c r="I3427" s="26" t="n">
        <v>44394</v>
      </c>
      <c r="J3427" s="12" t="n">
        <v>23.15</v>
      </c>
      <c r="K3427" s="17" t="n">
        <v>1515746.08</v>
      </c>
      <c r="L3427" s="12" t="n">
        <v>0</v>
      </c>
      <c r="M3427" s="12" t="n">
        <v>4</v>
      </c>
      <c r="N3427" s="27">
        <f>F3427-J3427</f>
        <v/>
      </c>
      <c r="O3427" s="16">
        <f>I3427-H3427</f>
        <v/>
      </c>
      <c r="P3427" s="14">
        <f>F3427*G3427</f>
        <v/>
      </c>
      <c r="Q3427" s="14">
        <f>J3427*G3427</f>
        <v/>
      </c>
      <c r="R3427" s="14">
        <f>K3427-Q3427</f>
        <v/>
      </c>
      <c r="S3427" s="3">
        <f>P3427*Assumptions!$B$3/100</f>
        <v/>
      </c>
      <c r="T3427" s="14">
        <f>R3427-S3427</f>
        <v/>
      </c>
      <c r="U3427" s="14">
        <f>L3427*G3427</f>
        <v/>
      </c>
    </row>
    <row r="3428">
      <c r="A3428" s="12" t="inlineStr">
        <is>
          <t>PO-2023-3426</t>
        </is>
      </c>
      <c r="B3428" s="26" t="n">
        <v>44946</v>
      </c>
      <c r="C3428" s="12" t="inlineStr">
        <is>
          <t>VS14</t>
        </is>
      </c>
      <c r="D3428" s="12" t="inlineStr">
        <is>
          <t>Angles &amp; Channels</t>
        </is>
      </c>
      <c r="E3428" s="12" t="inlineStr">
        <is>
          <t>N</t>
        </is>
      </c>
      <c r="F3428" s="12" t="n">
        <v>38.85</v>
      </c>
      <c r="G3428" s="17" t="n">
        <v>67317.23</v>
      </c>
      <c r="H3428" s="26" t="n">
        <v>44957</v>
      </c>
      <c r="I3428" s="26" t="n">
        <v>44958</v>
      </c>
      <c r="J3428" s="12" t="n">
        <v>38.7</v>
      </c>
      <c r="K3428" s="17" t="n">
        <v>2615274.39</v>
      </c>
      <c r="L3428" s="12" t="n">
        <v>0</v>
      </c>
      <c r="M3428" s="12" t="n">
        <v>0</v>
      </c>
      <c r="N3428" s="27">
        <f>F3428-J3428</f>
        <v/>
      </c>
      <c r="O3428" s="16">
        <f>I3428-H3428</f>
        <v/>
      </c>
      <c r="P3428" s="14">
        <f>F3428*G3428</f>
        <v/>
      </c>
      <c r="Q3428" s="14">
        <f>J3428*G3428</f>
        <v/>
      </c>
      <c r="R3428" s="14">
        <f>K3428-Q3428</f>
        <v/>
      </c>
      <c r="S3428" s="3">
        <f>P3428*Assumptions!$B$3/100</f>
        <v/>
      </c>
      <c r="T3428" s="14">
        <f>R3428-S3428</f>
        <v/>
      </c>
      <c r="U3428" s="14">
        <f>L3428*G3428</f>
        <v/>
      </c>
    </row>
    <row r="3429">
      <c r="A3429" s="12" t="inlineStr">
        <is>
          <t>PO-2023-3427</t>
        </is>
      </c>
      <c r="B3429" s="26" t="n">
        <v>44802</v>
      </c>
      <c r="C3429" s="12" t="inlineStr">
        <is>
          <t>VS08</t>
        </is>
      </c>
      <c r="D3429" s="12" t="inlineStr">
        <is>
          <t>Fasteners &amp; Fittings</t>
        </is>
      </c>
      <c r="E3429" s="12" t="inlineStr">
        <is>
          <t>N</t>
        </is>
      </c>
      <c r="F3429" s="12" t="n">
        <v>6.84</v>
      </c>
      <c r="G3429" s="17" t="n">
        <v>88543.57000000001</v>
      </c>
      <c r="H3429" s="26" t="n">
        <v>44816</v>
      </c>
      <c r="I3429" s="26" t="n">
        <v>44816</v>
      </c>
      <c r="J3429" s="12" t="n">
        <v>6.82</v>
      </c>
      <c r="K3429" s="17" t="n">
        <v>605638.02</v>
      </c>
      <c r="L3429" s="12" t="n">
        <v>0</v>
      </c>
      <c r="M3429" s="12" t="n">
        <v>18</v>
      </c>
      <c r="N3429" s="27">
        <f>F3429-J3429</f>
        <v/>
      </c>
      <c r="O3429" s="16">
        <f>I3429-H3429</f>
        <v/>
      </c>
      <c r="P3429" s="14">
        <f>F3429*G3429</f>
        <v/>
      </c>
      <c r="Q3429" s="14">
        <f>J3429*G3429</f>
        <v/>
      </c>
      <c r="R3429" s="14">
        <f>K3429-Q3429</f>
        <v/>
      </c>
      <c r="S3429" s="3">
        <f>P3429*Assumptions!$B$3/100</f>
        <v/>
      </c>
      <c r="T3429" s="14">
        <f>R3429-S3429</f>
        <v/>
      </c>
      <c r="U3429" s="14">
        <f>L3429*G3429</f>
        <v/>
      </c>
    </row>
    <row r="3430">
      <c r="A3430" s="12" t="inlineStr">
        <is>
          <t>PO-2023-3428</t>
        </is>
      </c>
      <c r="B3430" s="26" t="n">
        <v>45137</v>
      </c>
      <c r="C3430" s="12" t="inlineStr">
        <is>
          <t>VS13</t>
        </is>
      </c>
      <c r="D3430" s="12" t="inlineStr">
        <is>
          <t>CR Sheets</t>
        </is>
      </c>
      <c r="E3430" s="12" t="inlineStr">
        <is>
          <t>Y</t>
        </is>
      </c>
      <c r="F3430" s="12" t="n">
        <v>15.18</v>
      </c>
      <c r="G3430" s="17" t="n">
        <v>112597.65</v>
      </c>
      <c r="H3430" s="26" t="n">
        <v>45143</v>
      </c>
      <c r="I3430" s="26" t="n">
        <v>45145</v>
      </c>
      <c r="J3430" s="12" t="n">
        <v>15.03</v>
      </c>
      <c r="K3430" s="17" t="n">
        <v>1709232.33</v>
      </c>
      <c r="L3430" s="12" t="n">
        <v>0</v>
      </c>
      <c r="M3430" s="12" t="n">
        <v>5</v>
      </c>
      <c r="N3430" s="27">
        <f>F3430-J3430</f>
        <v/>
      </c>
      <c r="O3430" s="16">
        <f>I3430-H3430</f>
        <v/>
      </c>
      <c r="P3430" s="14">
        <f>F3430*G3430</f>
        <v/>
      </c>
      <c r="Q3430" s="14">
        <f>J3430*G3430</f>
        <v/>
      </c>
      <c r="R3430" s="14">
        <f>K3430-Q3430</f>
        <v/>
      </c>
      <c r="S3430" s="3">
        <f>P3430*Assumptions!$B$3/100</f>
        <v/>
      </c>
      <c r="T3430" s="14">
        <f>R3430-S3430</f>
        <v/>
      </c>
      <c r="U3430" s="14">
        <f>L3430*G3430</f>
        <v/>
      </c>
    </row>
    <row r="3431">
      <c r="A3431" s="12" t="inlineStr">
        <is>
          <t>PO-2023-3429</t>
        </is>
      </c>
      <c r="B3431" s="26" t="n">
        <v>44272</v>
      </c>
      <c r="C3431" s="12" t="inlineStr">
        <is>
          <t>VS22</t>
        </is>
      </c>
      <c r="D3431" s="12" t="inlineStr">
        <is>
          <t>HR Coils</t>
        </is>
      </c>
      <c r="E3431" s="12" t="inlineStr">
        <is>
          <t>N</t>
        </is>
      </c>
      <c r="F3431" s="12" t="n">
        <v>24.93</v>
      </c>
      <c r="G3431" s="17" t="n">
        <v>85073.67</v>
      </c>
      <c r="H3431" s="26" t="n">
        <v>44278</v>
      </c>
      <c r="I3431" s="26" t="n">
        <v>44279</v>
      </c>
      <c r="J3431" s="12" t="n">
        <v>24.91</v>
      </c>
      <c r="K3431" s="17" t="n">
        <v>2120886.59</v>
      </c>
      <c r="L3431" s="12" t="n">
        <v>0</v>
      </c>
      <c r="M3431" s="12" t="n">
        <v>22</v>
      </c>
      <c r="N3431" s="27">
        <f>F3431-J3431</f>
        <v/>
      </c>
      <c r="O3431" s="16">
        <f>I3431-H3431</f>
        <v/>
      </c>
      <c r="P3431" s="14">
        <f>F3431*G3431</f>
        <v/>
      </c>
      <c r="Q3431" s="14">
        <f>J3431*G3431</f>
        <v/>
      </c>
      <c r="R3431" s="14">
        <f>K3431-Q3431</f>
        <v/>
      </c>
      <c r="S3431" s="3">
        <f>P3431*Assumptions!$B$3/100</f>
        <v/>
      </c>
      <c r="T3431" s="14">
        <f>R3431-S3431</f>
        <v/>
      </c>
      <c r="U3431" s="14">
        <f>L3431*G3431</f>
        <v/>
      </c>
    </row>
    <row r="3432">
      <c r="A3432" s="12" t="inlineStr">
        <is>
          <t>PO-2023-3430</t>
        </is>
      </c>
      <c r="B3432" s="26" t="n">
        <v>44596</v>
      </c>
      <c r="C3432" s="12" t="inlineStr">
        <is>
          <t>VS08</t>
        </is>
      </c>
      <c r="D3432" s="12" t="inlineStr">
        <is>
          <t>Hex Bars</t>
        </is>
      </c>
      <c r="E3432" s="12" t="inlineStr">
        <is>
          <t>N</t>
        </is>
      </c>
      <c r="F3432" s="12" t="n">
        <v>11.67</v>
      </c>
      <c r="G3432" s="17" t="n">
        <v>51235.94</v>
      </c>
      <c r="H3432" s="26" t="n">
        <v>44611</v>
      </c>
      <c r="I3432" s="26" t="n">
        <v>44611</v>
      </c>
      <c r="J3432" s="12" t="n">
        <v>11.66</v>
      </c>
      <c r="K3432" s="17" t="n">
        <v>597923.42</v>
      </c>
      <c r="L3432" s="12" t="n">
        <v>0</v>
      </c>
      <c r="M3432" s="12" t="n">
        <v>0</v>
      </c>
      <c r="N3432" s="27">
        <f>F3432-J3432</f>
        <v/>
      </c>
      <c r="O3432" s="16">
        <f>I3432-H3432</f>
        <v/>
      </c>
      <c r="P3432" s="14">
        <f>F3432*G3432</f>
        <v/>
      </c>
      <c r="Q3432" s="14">
        <f>J3432*G3432</f>
        <v/>
      </c>
      <c r="R3432" s="14">
        <f>K3432-Q3432</f>
        <v/>
      </c>
      <c r="S3432" s="3">
        <f>P3432*Assumptions!$B$3/100</f>
        <v/>
      </c>
      <c r="T3432" s="14">
        <f>R3432-S3432</f>
        <v/>
      </c>
      <c r="U3432" s="14">
        <f>L3432*G3432</f>
        <v/>
      </c>
    </row>
    <row r="3433">
      <c r="A3433" s="12" t="inlineStr">
        <is>
          <t>PO-2023-3431</t>
        </is>
      </c>
      <c r="B3433" s="26" t="n">
        <v>44337</v>
      </c>
      <c r="C3433" s="12" t="inlineStr">
        <is>
          <t>VS13</t>
        </is>
      </c>
      <c r="D3433" s="12" t="inlineStr">
        <is>
          <t>HR Coils</t>
        </is>
      </c>
      <c r="E3433" s="12" t="inlineStr">
        <is>
          <t>N</t>
        </is>
      </c>
      <c r="F3433" s="12" t="n">
        <v>41.45</v>
      </c>
      <c r="G3433" s="17" t="n">
        <v>84087.42</v>
      </c>
      <c r="H3433" s="26" t="n">
        <v>44349</v>
      </c>
      <c r="I3433" s="26" t="n">
        <v>44349</v>
      </c>
      <c r="J3433" s="12" t="n">
        <v>41.16</v>
      </c>
      <c r="K3433" s="17" t="n">
        <v>3485423.56</v>
      </c>
      <c r="L3433" s="12" t="n">
        <v>0</v>
      </c>
      <c r="M3433" s="12" t="n">
        <v>16</v>
      </c>
      <c r="N3433" s="27">
        <f>F3433-J3433</f>
        <v/>
      </c>
      <c r="O3433" s="16">
        <f>I3433-H3433</f>
        <v/>
      </c>
      <c r="P3433" s="14">
        <f>F3433*G3433</f>
        <v/>
      </c>
      <c r="Q3433" s="14">
        <f>J3433*G3433</f>
        <v/>
      </c>
      <c r="R3433" s="14">
        <f>K3433-Q3433</f>
        <v/>
      </c>
      <c r="S3433" s="3">
        <f>P3433*Assumptions!$B$3/100</f>
        <v/>
      </c>
      <c r="T3433" s="14">
        <f>R3433-S3433</f>
        <v/>
      </c>
      <c r="U3433" s="14">
        <f>L3433*G3433</f>
        <v/>
      </c>
    </row>
    <row r="3434">
      <c r="A3434" s="12" t="inlineStr">
        <is>
          <t>PO-2023-3432</t>
        </is>
      </c>
      <c r="B3434" s="26" t="n">
        <v>44570</v>
      </c>
      <c r="C3434" s="12" t="inlineStr">
        <is>
          <t>VS28</t>
        </is>
      </c>
      <c r="D3434" s="12" t="inlineStr">
        <is>
          <t>GI Pipes</t>
        </is>
      </c>
      <c r="E3434" s="12" t="inlineStr">
        <is>
          <t>N</t>
        </is>
      </c>
      <c r="F3434" s="12" t="n">
        <v>26.14</v>
      </c>
      <c r="G3434" s="17" t="n">
        <v>82952.07000000001</v>
      </c>
      <c r="H3434" s="26" t="n">
        <v>44575</v>
      </c>
      <c r="I3434" s="26" t="n">
        <v>44578</v>
      </c>
      <c r="J3434" s="12" t="n">
        <v>26.13</v>
      </c>
      <c r="K3434" s="17" t="n">
        <v>2168367.11</v>
      </c>
      <c r="L3434" s="12" t="n">
        <v>0</v>
      </c>
      <c r="M3434" s="12" t="n">
        <v>2</v>
      </c>
      <c r="N3434" s="27">
        <f>F3434-J3434</f>
        <v/>
      </c>
      <c r="O3434" s="16">
        <f>I3434-H3434</f>
        <v/>
      </c>
      <c r="P3434" s="14">
        <f>F3434*G3434</f>
        <v/>
      </c>
      <c r="Q3434" s="14">
        <f>J3434*G3434</f>
        <v/>
      </c>
      <c r="R3434" s="14">
        <f>K3434-Q3434</f>
        <v/>
      </c>
      <c r="S3434" s="3">
        <f>P3434*Assumptions!$B$3/100</f>
        <v/>
      </c>
      <c r="T3434" s="14">
        <f>R3434-S3434</f>
        <v/>
      </c>
      <c r="U3434" s="14">
        <f>L3434*G3434</f>
        <v/>
      </c>
    </row>
    <row r="3435">
      <c r="A3435" s="12" t="inlineStr">
        <is>
          <t>PO-2023-3433</t>
        </is>
      </c>
      <c r="B3435" s="26" t="n">
        <v>44336</v>
      </c>
      <c r="C3435" s="12" t="inlineStr">
        <is>
          <t>VS23</t>
        </is>
      </c>
      <c r="D3435" s="12" t="inlineStr">
        <is>
          <t>MS Sheets</t>
        </is>
      </c>
      <c r="E3435" s="12" t="inlineStr">
        <is>
          <t>N</t>
        </is>
      </c>
      <c r="F3435" s="12" t="n">
        <v>24.52</v>
      </c>
      <c r="G3435" s="17" t="n">
        <v>80641.34</v>
      </c>
      <c r="H3435" s="26" t="n">
        <v>44339</v>
      </c>
      <c r="I3435" s="26" t="n">
        <v>44342</v>
      </c>
      <c r="J3435" s="12" t="n">
        <v>24.43</v>
      </c>
      <c r="K3435" s="17" t="n">
        <v>1977325.66</v>
      </c>
      <c r="L3435" s="12" t="n">
        <v>0</v>
      </c>
      <c r="M3435" s="12" t="n">
        <v>13</v>
      </c>
      <c r="N3435" s="27">
        <f>F3435-J3435</f>
        <v/>
      </c>
      <c r="O3435" s="16">
        <f>I3435-H3435</f>
        <v/>
      </c>
      <c r="P3435" s="14">
        <f>F3435*G3435</f>
        <v/>
      </c>
      <c r="Q3435" s="14">
        <f>J3435*G3435</f>
        <v/>
      </c>
      <c r="R3435" s="14">
        <f>K3435-Q3435</f>
        <v/>
      </c>
      <c r="S3435" s="3">
        <f>P3435*Assumptions!$B$3/100</f>
        <v/>
      </c>
      <c r="T3435" s="14">
        <f>R3435-S3435</f>
        <v/>
      </c>
      <c r="U3435" s="14">
        <f>L3435*G3435</f>
        <v/>
      </c>
    </row>
    <row r="3436">
      <c r="A3436" s="12" t="inlineStr">
        <is>
          <t>PO-2023-3434</t>
        </is>
      </c>
      <c r="B3436" s="26" t="n">
        <v>44781</v>
      </c>
      <c r="C3436" s="12" t="inlineStr">
        <is>
          <t>VS28</t>
        </is>
      </c>
      <c r="D3436" s="12" t="inlineStr">
        <is>
          <t>MS Sheets</t>
        </is>
      </c>
      <c r="E3436" s="12" t="inlineStr">
        <is>
          <t>N</t>
        </is>
      </c>
      <c r="F3436" s="12" t="n">
        <v>16.48</v>
      </c>
      <c r="G3436" s="17" t="n">
        <v>49694.62</v>
      </c>
      <c r="H3436" s="26" t="n">
        <v>44786</v>
      </c>
      <c r="I3436" s="26" t="n">
        <v>44787</v>
      </c>
      <c r="J3436" s="12" t="n">
        <v>16.32</v>
      </c>
      <c r="K3436" s="17" t="n">
        <v>818967.34</v>
      </c>
      <c r="L3436" s="12" t="n">
        <v>0</v>
      </c>
      <c r="M3436" s="12" t="n">
        <v>0</v>
      </c>
      <c r="N3436" s="27">
        <f>F3436-J3436</f>
        <v/>
      </c>
      <c r="O3436" s="16">
        <f>I3436-H3436</f>
        <v/>
      </c>
      <c r="P3436" s="14">
        <f>F3436*G3436</f>
        <v/>
      </c>
      <c r="Q3436" s="14">
        <f>J3436*G3436</f>
        <v/>
      </c>
      <c r="R3436" s="14">
        <f>K3436-Q3436</f>
        <v/>
      </c>
      <c r="S3436" s="3">
        <f>P3436*Assumptions!$B$3/100</f>
        <v/>
      </c>
      <c r="T3436" s="14">
        <f>R3436-S3436</f>
        <v/>
      </c>
      <c r="U3436" s="14">
        <f>L3436*G3436</f>
        <v/>
      </c>
    </row>
    <row r="3437">
      <c r="A3437" s="12" t="inlineStr">
        <is>
          <t>PO-2023-3435</t>
        </is>
      </c>
      <c r="B3437" s="26" t="n">
        <v>44447</v>
      </c>
      <c r="C3437" s="12" t="inlineStr">
        <is>
          <t>VS29</t>
        </is>
      </c>
      <c r="D3437" s="12" t="inlineStr">
        <is>
          <t>SS Sheets</t>
        </is>
      </c>
      <c r="E3437" s="12" t="inlineStr">
        <is>
          <t>N</t>
        </is>
      </c>
      <c r="F3437" s="12" t="n">
        <v>21.02</v>
      </c>
      <c r="G3437" s="17" t="n">
        <v>107379.92</v>
      </c>
      <c r="H3437" s="26" t="n">
        <v>44453</v>
      </c>
      <c r="I3437" s="26" t="n">
        <v>44454</v>
      </c>
      <c r="J3437" s="12" t="n">
        <v>20.98</v>
      </c>
      <c r="K3437" s="17" t="n">
        <v>2257125.92</v>
      </c>
      <c r="L3437" s="12" t="n">
        <v>0</v>
      </c>
      <c r="M3437" s="12" t="n">
        <v>0</v>
      </c>
      <c r="N3437" s="27">
        <f>F3437-J3437</f>
        <v/>
      </c>
      <c r="O3437" s="16">
        <f>I3437-H3437</f>
        <v/>
      </c>
      <c r="P3437" s="14">
        <f>F3437*G3437</f>
        <v/>
      </c>
      <c r="Q3437" s="14">
        <f>J3437*G3437</f>
        <v/>
      </c>
      <c r="R3437" s="14">
        <f>K3437-Q3437</f>
        <v/>
      </c>
      <c r="S3437" s="3">
        <f>P3437*Assumptions!$B$3/100</f>
        <v/>
      </c>
      <c r="T3437" s="14">
        <f>R3437-S3437</f>
        <v/>
      </c>
      <c r="U3437" s="14">
        <f>L3437*G3437</f>
        <v/>
      </c>
    </row>
    <row r="3438">
      <c r="A3438" s="12" t="inlineStr">
        <is>
          <t>PO-2023-3436</t>
        </is>
      </c>
      <c r="B3438" s="26" t="n">
        <v>44867</v>
      </c>
      <c r="C3438" s="12" t="inlineStr">
        <is>
          <t>VS15</t>
        </is>
      </c>
      <c r="D3438" s="12" t="inlineStr">
        <is>
          <t>Structural Steel</t>
        </is>
      </c>
      <c r="E3438" s="12" t="inlineStr">
        <is>
          <t>N</t>
        </is>
      </c>
      <c r="F3438" s="12" t="n">
        <v>40.8</v>
      </c>
      <c r="G3438" s="17" t="n">
        <v>103818.67</v>
      </c>
      <c r="H3438" s="26" t="n">
        <v>44870</v>
      </c>
      <c r="I3438" s="26" t="n">
        <v>44873</v>
      </c>
      <c r="J3438" s="12" t="n">
        <v>40.66</v>
      </c>
      <c r="K3438" s="17" t="n">
        <v>4235801.74</v>
      </c>
      <c r="L3438" s="12" t="n">
        <v>0</v>
      </c>
      <c r="M3438" s="12" t="n">
        <v>25</v>
      </c>
      <c r="N3438" s="27">
        <f>F3438-J3438</f>
        <v/>
      </c>
      <c r="O3438" s="16">
        <f>I3438-H3438</f>
        <v/>
      </c>
      <c r="P3438" s="14">
        <f>F3438*G3438</f>
        <v/>
      </c>
      <c r="Q3438" s="14">
        <f>J3438*G3438</f>
        <v/>
      </c>
      <c r="R3438" s="14">
        <f>K3438-Q3438</f>
        <v/>
      </c>
      <c r="S3438" s="3">
        <f>P3438*Assumptions!$B$3/100</f>
        <v/>
      </c>
      <c r="T3438" s="14">
        <f>R3438-S3438</f>
        <v/>
      </c>
      <c r="U3438" s="14">
        <f>L3438*G3438</f>
        <v/>
      </c>
    </row>
    <row r="3439">
      <c r="A3439" s="12" t="inlineStr">
        <is>
          <t>PO-2023-3437</t>
        </is>
      </c>
      <c r="B3439" s="26" t="n">
        <v>44404</v>
      </c>
      <c r="C3439" s="12" t="inlineStr">
        <is>
          <t>VS33</t>
        </is>
      </c>
      <c r="D3439" s="12" t="inlineStr">
        <is>
          <t>ERW Pipes</t>
        </is>
      </c>
      <c r="E3439" s="12" t="inlineStr">
        <is>
          <t>Y</t>
        </is>
      </c>
      <c r="F3439" s="12" t="n">
        <v>18.46</v>
      </c>
      <c r="G3439" s="17" t="n">
        <v>96416.92999999999</v>
      </c>
      <c r="H3439" s="26" t="n">
        <v>44410</v>
      </c>
      <c r="I3439" s="26" t="n">
        <v>44413</v>
      </c>
      <c r="J3439" s="12" t="n">
        <v>18.45</v>
      </c>
      <c r="K3439" s="17" t="n">
        <v>1779856.53</v>
      </c>
      <c r="L3439" s="12" t="n">
        <v>0</v>
      </c>
      <c r="M3439" s="12" t="n">
        <v>20</v>
      </c>
      <c r="N3439" s="27">
        <f>F3439-J3439</f>
        <v/>
      </c>
      <c r="O3439" s="16">
        <f>I3439-H3439</f>
        <v/>
      </c>
      <c r="P3439" s="14">
        <f>F3439*G3439</f>
        <v/>
      </c>
      <c r="Q3439" s="14">
        <f>J3439*G3439</f>
        <v/>
      </c>
      <c r="R3439" s="14">
        <f>K3439-Q3439</f>
        <v/>
      </c>
      <c r="S3439" s="3">
        <f>P3439*Assumptions!$B$3/100</f>
        <v/>
      </c>
      <c r="T3439" s="14">
        <f>R3439-S3439</f>
        <v/>
      </c>
      <c r="U3439" s="14">
        <f>L3439*G3439</f>
        <v/>
      </c>
    </row>
    <row r="3440">
      <c r="A3440" s="12" t="inlineStr">
        <is>
          <t>PO-2023-3438</t>
        </is>
      </c>
      <c r="B3440" s="26" t="n">
        <v>44796</v>
      </c>
      <c r="C3440" s="12" t="inlineStr">
        <is>
          <t>VS18</t>
        </is>
      </c>
      <c r="D3440" s="12" t="inlineStr">
        <is>
          <t>MS Rods</t>
        </is>
      </c>
      <c r="E3440" s="12" t="inlineStr">
        <is>
          <t>Y</t>
        </is>
      </c>
      <c r="F3440" s="12" t="n">
        <v>25.33</v>
      </c>
      <c r="G3440" s="17" t="n">
        <v>100141.55</v>
      </c>
      <c r="H3440" s="26" t="n">
        <v>44806</v>
      </c>
      <c r="I3440" s="26" t="n">
        <v>44806</v>
      </c>
      <c r="J3440" s="12" t="n">
        <v>25.17</v>
      </c>
      <c r="K3440" s="17" t="n">
        <v>2536585.46</v>
      </c>
      <c r="L3440" s="12" t="n">
        <v>0</v>
      </c>
      <c r="M3440" s="12" t="n">
        <v>15</v>
      </c>
      <c r="N3440" s="27">
        <f>F3440-J3440</f>
        <v/>
      </c>
      <c r="O3440" s="16">
        <f>I3440-H3440</f>
        <v/>
      </c>
      <c r="P3440" s="14">
        <f>F3440*G3440</f>
        <v/>
      </c>
      <c r="Q3440" s="14">
        <f>J3440*G3440</f>
        <v/>
      </c>
      <c r="R3440" s="14">
        <f>K3440-Q3440</f>
        <v/>
      </c>
      <c r="S3440" s="3">
        <f>P3440*Assumptions!$B$3/100</f>
        <v/>
      </c>
      <c r="T3440" s="14">
        <f>R3440-S3440</f>
        <v/>
      </c>
      <c r="U3440" s="14">
        <f>L3440*G3440</f>
        <v/>
      </c>
    </row>
    <row r="3441">
      <c r="A3441" s="12" t="inlineStr">
        <is>
          <t>PO-2023-3439</t>
        </is>
      </c>
      <c r="B3441" s="26" t="n">
        <v>44972</v>
      </c>
      <c r="C3441" s="12" t="inlineStr">
        <is>
          <t>VS11</t>
        </is>
      </c>
      <c r="D3441" s="12" t="inlineStr">
        <is>
          <t>MS Rods</t>
        </is>
      </c>
      <c r="E3441" s="12" t="inlineStr">
        <is>
          <t>N</t>
        </is>
      </c>
      <c r="F3441" s="12" t="n">
        <v>29.85</v>
      </c>
      <c r="G3441" s="17" t="n">
        <v>49897.83</v>
      </c>
      <c r="H3441" s="26" t="n">
        <v>44979</v>
      </c>
      <c r="I3441" s="26" t="n">
        <v>44982</v>
      </c>
      <c r="J3441" s="12" t="n">
        <v>29.61</v>
      </c>
      <c r="K3441" s="17" t="n">
        <v>1489450.23</v>
      </c>
      <c r="L3441" s="12" t="n">
        <v>0</v>
      </c>
      <c r="M3441" s="12" t="n">
        <v>21</v>
      </c>
      <c r="N3441" s="27">
        <f>F3441-J3441</f>
        <v/>
      </c>
      <c r="O3441" s="16">
        <f>I3441-H3441</f>
        <v/>
      </c>
      <c r="P3441" s="14">
        <f>F3441*G3441</f>
        <v/>
      </c>
      <c r="Q3441" s="14">
        <f>J3441*G3441</f>
        <v/>
      </c>
      <c r="R3441" s="14">
        <f>K3441-Q3441</f>
        <v/>
      </c>
      <c r="S3441" s="3">
        <f>P3441*Assumptions!$B$3/100</f>
        <v/>
      </c>
      <c r="T3441" s="14">
        <f>R3441-S3441</f>
        <v/>
      </c>
      <c r="U3441" s="14">
        <f>L3441*G3441</f>
        <v/>
      </c>
    </row>
    <row r="3442">
      <c r="A3442" s="12" t="inlineStr">
        <is>
          <t>PO-2023-3440</t>
        </is>
      </c>
      <c r="B3442" s="26" t="n">
        <v>44656</v>
      </c>
      <c r="C3442" s="12" t="inlineStr">
        <is>
          <t>VS14</t>
        </is>
      </c>
      <c r="D3442" s="12" t="inlineStr">
        <is>
          <t>MS Rods</t>
        </is>
      </c>
      <c r="E3442" s="12" t="inlineStr">
        <is>
          <t>N</t>
        </is>
      </c>
      <c r="F3442" s="12" t="n">
        <v>7.69</v>
      </c>
      <c r="G3442" s="17" t="n">
        <v>90345.09</v>
      </c>
      <c r="H3442" s="26" t="n">
        <v>44663</v>
      </c>
      <c r="I3442" s="26" t="n">
        <v>44664</v>
      </c>
      <c r="J3442" s="12" t="n">
        <v>7.64</v>
      </c>
      <c r="K3442" s="17" t="n">
        <v>694753.74</v>
      </c>
      <c r="L3442" s="12" t="n">
        <v>0</v>
      </c>
      <c r="M3442" s="12" t="n">
        <v>24</v>
      </c>
      <c r="N3442" s="27">
        <f>F3442-J3442</f>
        <v/>
      </c>
      <c r="O3442" s="16">
        <f>I3442-H3442</f>
        <v/>
      </c>
      <c r="P3442" s="14">
        <f>F3442*G3442</f>
        <v/>
      </c>
      <c r="Q3442" s="14">
        <f>J3442*G3442</f>
        <v/>
      </c>
      <c r="R3442" s="14">
        <f>K3442-Q3442</f>
        <v/>
      </c>
      <c r="S3442" s="3">
        <f>P3442*Assumptions!$B$3/100</f>
        <v/>
      </c>
      <c r="T3442" s="14">
        <f>R3442-S3442</f>
        <v/>
      </c>
      <c r="U3442" s="14">
        <f>L3442*G3442</f>
        <v/>
      </c>
    </row>
    <row r="3443">
      <c r="A3443" s="12" t="inlineStr">
        <is>
          <t>PO-2023-3441</t>
        </is>
      </c>
      <c r="B3443" s="26" t="n">
        <v>44967</v>
      </c>
      <c r="C3443" s="12" t="inlineStr">
        <is>
          <t>VS28</t>
        </is>
      </c>
      <c r="D3443" s="12" t="inlineStr">
        <is>
          <t>CR Sheets</t>
        </is>
      </c>
      <c r="E3443" s="12" t="inlineStr">
        <is>
          <t>N</t>
        </is>
      </c>
      <c r="F3443" s="12" t="n">
        <v>48.61</v>
      </c>
      <c r="G3443" s="17" t="n">
        <v>70609.13</v>
      </c>
      <c r="H3443" s="26" t="n">
        <v>44979</v>
      </c>
      <c r="I3443" s="26" t="n">
        <v>44979</v>
      </c>
      <c r="J3443" s="12" t="n">
        <v>48.14</v>
      </c>
      <c r="K3443" s="17" t="n">
        <v>3432309.81</v>
      </c>
      <c r="L3443" s="12" t="n">
        <v>0</v>
      </c>
      <c r="M3443" s="12" t="n">
        <v>25</v>
      </c>
      <c r="N3443" s="27">
        <f>F3443-J3443</f>
        <v/>
      </c>
      <c r="O3443" s="16">
        <f>I3443-H3443</f>
        <v/>
      </c>
      <c r="P3443" s="14">
        <f>F3443*G3443</f>
        <v/>
      </c>
      <c r="Q3443" s="14">
        <f>J3443*G3443</f>
        <v/>
      </c>
      <c r="R3443" s="14">
        <f>K3443-Q3443</f>
        <v/>
      </c>
      <c r="S3443" s="3">
        <f>P3443*Assumptions!$B$3/100</f>
        <v/>
      </c>
      <c r="T3443" s="14">
        <f>R3443-S3443</f>
        <v/>
      </c>
      <c r="U3443" s="14">
        <f>L3443*G3443</f>
        <v/>
      </c>
    </row>
    <row r="3444">
      <c r="A3444" s="12" t="inlineStr">
        <is>
          <t>PO-2023-3442</t>
        </is>
      </c>
      <c r="B3444" s="26" t="n">
        <v>44256</v>
      </c>
      <c r="C3444" s="12" t="inlineStr">
        <is>
          <t>VS03</t>
        </is>
      </c>
      <c r="D3444" s="12" t="inlineStr">
        <is>
          <t>ERW Pipes</t>
        </is>
      </c>
      <c r="E3444" s="12" t="inlineStr">
        <is>
          <t>N</t>
        </is>
      </c>
      <c r="F3444" s="12" t="n">
        <v>3.36</v>
      </c>
      <c r="G3444" s="17" t="n">
        <v>93255.03999999999</v>
      </c>
      <c r="H3444" s="26" t="n">
        <v>44264</v>
      </c>
      <c r="I3444" s="26" t="n">
        <v>44269</v>
      </c>
      <c r="J3444" s="12" t="n">
        <v>3.29</v>
      </c>
      <c r="K3444" s="17" t="n">
        <v>313336.93</v>
      </c>
      <c r="L3444" s="12" t="n">
        <v>0.15</v>
      </c>
      <c r="M3444" s="12" t="n">
        <v>0</v>
      </c>
      <c r="N3444" s="27">
        <f>F3444-J3444</f>
        <v/>
      </c>
      <c r="O3444" s="16">
        <f>I3444-H3444</f>
        <v/>
      </c>
      <c r="P3444" s="14">
        <f>F3444*G3444</f>
        <v/>
      </c>
      <c r="Q3444" s="14">
        <f>J3444*G3444</f>
        <v/>
      </c>
      <c r="R3444" s="14">
        <f>K3444-Q3444</f>
        <v/>
      </c>
      <c r="S3444" s="3">
        <f>P3444*Assumptions!$B$3/100</f>
        <v/>
      </c>
      <c r="T3444" s="14">
        <f>R3444-S3444</f>
        <v/>
      </c>
      <c r="U3444" s="14">
        <f>L3444*G3444</f>
        <v/>
      </c>
    </row>
    <row r="3445">
      <c r="A3445" s="12" t="inlineStr">
        <is>
          <t>PO-2023-3443</t>
        </is>
      </c>
      <c r="B3445" s="26" t="n">
        <v>45179</v>
      </c>
      <c r="C3445" s="12" t="inlineStr">
        <is>
          <t>VS15</t>
        </is>
      </c>
      <c r="D3445" s="12" t="inlineStr">
        <is>
          <t>MS Pipes</t>
        </is>
      </c>
      <c r="E3445" s="12" t="inlineStr">
        <is>
          <t>N</t>
        </is>
      </c>
      <c r="F3445" s="12" t="n">
        <v>27.03</v>
      </c>
      <c r="G3445" s="17" t="n">
        <v>62546.44</v>
      </c>
      <c r="H3445" s="26" t="n">
        <v>45192</v>
      </c>
      <c r="I3445" s="26" t="n">
        <v>45195</v>
      </c>
      <c r="J3445" s="12" t="n">
        <v>27.01</v>
      </c>
      <c r="K3445" s="17" t="n">
        <v>1690630.27</v>
      </c>
      <c r="L3445" s="12" t="n">
        <v>0</v>
      </c>
      <c r="M3445" s="12" t="n">
        <v>0</v>
      </c>
      <c r="N3445" s="27">
        <f>F3445-J3445</f>
        <v/>
      </c>
      <c r="O3445" s="16">
        <f>I3445-H3445</f>
        <v/>
      </c>
      <c r="P3445" s="14">
        <f>F3445*G3445</f>
        <v/>
      </c>
      <c r="Q3445" s="14">
        <f>J3445*G3445</f>
        <v/>
      </c>
      <c r="R3445" s="14">
        <f>K3445-Q3445</f>
        <v/>
      </c>
      <c r="S3445" s="3">
        <f>P3445*Assumptions!$B$3/100</f>
        <v/>
      </c>
      <c r="T3445" s="14">
        <f>R3445-S3445</f>
        <v/>
      </c>
      <c r="U3445" s="14">
        <f>L3445*G3445</f>
        <v/>
      </c>
    </row>
    <row r="3446">
      <c r="A3446" s="12" t="inlineStr">
        <is>
          <t>PO-2023-3444</t>
        </is>
      </c>
      <c r="B3446" s="26" t="n">
        <v>44894</v>
      </c>
      <c r="C3446" s="12" t="inlineStr">
        <is>
          <t>VS11</t>
        </is>
      </c>
      <c r="D3446" s="12" t="inlineStr">
        <is>
          <t>ERW Pipes</t>
        </is>
      </c>
      <c r="E3446" s="12" t="inlineStr">
        <is>
          <t>N</t>
        </is>
      </c>
      <c r="F3446" s="12" t="n">
        <v>35.51</v>
      </c>
      <c r="G3446" s="17" t="n">
        <v>85522.69</v>
      </c>
      <c r="H3446" s="26" t="n">
        <v>44903</v>
      </c>
      <c r="I3446" s="26" t="n">
        <v>44904</v>
      </c>
      <c r="J3446" s="12" t="n">
        <v>35.29</v>
      </c>
      <c r="K3446" s="17" t="n">
        <v>3036910.72</v>
      </c>
      <c r="L3446" s="12" t="n">
        <v>0</v>
      </c>
      <c r="M3446" s="12" t="n">
        <v>5</v>
      </c>
      <c r="N3446" s="27">
        <f>F3446-J3446</f>
        <v/>
      </c>
      <c r="O3446" s="16">
        <f>I3446-H3446</f>
        <v/>
      </c>
      <c r="P3446" s="14">
        <f>F3446*G3446</f>
        <v/>
      </c>
      <c r="Q3446" s="14">
        <f>J3446*G3446</f>
        <v/>
      </c>
      <c r="R3446" s="14">
        <f>K3446-Q3446</f>
        <v/>
      </c>
      <c r="S3446" s="3">
        <f>P3446*Assumptions!$B$3/100</f>
        <v/>
      </c>
      <c r="T3446" s="14">
        <f>R3446-S3446</f>
        <v/>
      </c>
      <c r="U3446" s="14">
        <f>L3446*G3446</f>
        <v/>
      </c>
    </row>
    <row r="3447">
      <c r="A3447" s="12" t="inlineStr">
        <is>
          <t>PO-2023-3445</t>
        </is>
      </c>
      <c r="B3447" s="26" t="n">
        <v>45266</v>
      </c>
      <c r="C3447" s="12" t="inlineStr">
        <is>
          <t>VS19</t>
        </is>
      </c>
      <c r="D3447" s="12" t="inlineStr">
        <is>
          <t>SS Sheets</t>
        </is>
      </c>
      <c r="E3447" s="12" t="inlineStr">
        <is>
          <t>N</t>
        </is>
      </c>
      <c r="F3447" s="12" t="n">
        <v>9.34</v>
      </c>
      <c r="G3447" s="17" t="n">
        <v>69795.11</v>
      </c>
      <c r="H3447" s="26" t="n">
        <v>45273</v>
      </c>
      <c r="I3447" s="26" t="n">
        <v>45279</v>
      </c>
      <c r="J3447" s="12" t="n">
        <v>9.109999999999999</v>
      </c>
      <c r="K3447" s="17" t="n">
        <v>651886.33</v>
      </c>
      <c r="L3447" s="12" t="n">
        <v>0.25</v>
      </c>
      <c r="M3447" s="12" t="n">
        <v>4</v>
      </c>
      <c r="N3447" s="27">
        <f>F3447-J3447</f>
        <v/>
      </c>
      <c r="O3447" s="16">
        <f>I3447-H3447</f>
        <v/>
      </c>
      <c r="P3447" s="14">
        <f>F3447*G3447</f>
        <v/>
      </c>
      <c r="Q3447" s="14">
        <f>J3447*G3447</f>
        <v/>
      </c>
      <c r="R3447" s="14">
        <f>K3447-Q3447</f>
        <v/>
      </c>
      <c r="S3447" s="3">
        <f>P3447*Assumptions!$B$3/100</f>
        <v/>
      </c>
      <c r="T3447" s="14">
        <f>R3447-S3447</f>
        <v/>
      </c>
      <c r="U3447" s="14">
        <f>L3447*G3447</f>
        <v/>
      </c>
    </row>
    <row r="3448">
      <c r="A3448" s="12" t="inlineStr">
        <is>
          <t>PO-2023-3446</t>
        </is>
      </c>
      <c r="B3448" s="26" t="n">
        <v>45250</v>
      </c>
      <c r="C3448" s="12" t="inlineStr">
        <is>
          <t>VS34</t>
        </is>
      </c>
      <c r="D3448" s="12" t="inlineStr">
        <is>
          <t>SS Sheets</t>
        </is>
      </c>
      <c r="E3448" s="12" t="inlineStr">
        <is>
          <t>N</t>
        </is>
      </c>
      <c r="F3448" s="12" t="n">
        <v>31.34</v>
      </c>
      <c r="G3448" s="17" t="n">
        <v>115437.23</v>
      </c>
      <c r="H3448" s="26" t="n">
        <v>45263</v>
      </c>
      <c r="I3448" s="26" t="n">
        <v>45263</v>
      </c>
      <c r="J3448" s="12" t="n">
        <v>31.08</v>
      </c>
      <c r="K3448" s="17" t="n">
        <v>3617802.79</v>
      </c>
      <c r="L3448" s="12" t="n">
        <v>0</v>
      </c>
      <c r="M3448" s="12" t="n">
        <v>0</v>
      </c>
      <c r="N3448" s="27">
        <f>F3448-J3448</f>
        <v/>
      </c>
      <c r="O3448" s="16">
        <f>I3448-H3448</f>
        <v/>
      </c>
      <c r="P3448" s="14">
        <f>F3448*G3448</f>
        <v/>
      </c>
      <c r="Q3448" s="14">
        <f>J3448*G3448</f>
        <v/>
      </c>
      <c r="R3448" s="14">
        <f>K3448-Q3448</f>
        <v/>
      </c>
      <c r="S3448" s="3">
        <f>P3448*Assumptions!$B$3/100</f>
        <v/>
      </c>
      <c r="T3448" s="14">
        <f>R3448-S3448</f>
        <v/>
      </c>
      <c r="U3448" s="14">
        <f>L3448*G3448</f>
        <v/>
      </c>
    </row>
    <row r="3449">
      <c r="A3449" s="12" t="inlineStr">
        <is>
          <t>PO-2023-3447</t>
        </is>
      </c>
      <c r="B3449" s="26" t="n">
        <v>45134</v>
      </c>
      <c r="C3449" s="12" t="inlineStr">
        <is>
          <t>VS24</t>
        </is>
      </c>
      <c r="D3449" s="12" t="inlineStr">
        <is>
          <t>Fasteners &amp; Fittings</t>
        </is>
      </c>
      <c r="E3449" s="12" t="inlineStr">
        <is>
          <t>N</t>
        </is>
      </c>
      <c r="F3449" s="12" t="n">
        <v>9.359999999999999</v>
      </c>
      <c r="G3449" s="17" t="n">
        <v>113312.9</v>
      </c>
      <c r="H3449" s="26" t="n">
        <v>45142</v>
      </c>
      <c r="I3449" s="26" t="n">
        <v>45144</v>
      </c>
      <c r="J3449" s="12" t="n">
        <v>9.35</v>
      </c>
      <c r="K3449" s="17" t="n">
        <v>1060608.74</v>
      </c>
      <c r="L3449" s="12" t="n">
        <v>0</v>
      </c>
      <c r="M3449" s="12" t="n">
        <v>3</v>
      </c>
      <c r="N3449" s="27">
        <f>F3449-J3449</f>
        <v/>
      </c>
      <c r="O3449" s="16">
        <f>I3449-H3449</f>
        <v/>
      </c>
      <c r="P3449" s="14">
        <f>F3449*G3449</f>
        <v/>
      </c>
      <c r="Q3449" s="14">
        <f>J3449*G3449</f>
        <v/>
      </c>
      <c r="R3449" s="14">
        <f>K3449-Q3449</f>
        <v/>
      </c>
      <c r="S3449" s="3">
        <f>P3449*Assumptions!$B$3/100</f>
        <v/>
      </c>
      <c r="T3449" s="14">
        <f>R3449-S3449</f>
        <v/>
      </c>
      <c r="U3449" s="14">
        <f>L3449*G3449</f>
        <v/>
      </c>
    </row>
    <row r="3450">
      <c r="A3450" s="12" t="inlineStr">
        <is>
          <t>PO-2023-3448</t>
        </is>
      </c>
      <c r="B3450" s="26" t="n">
        <v>45201</v>
      </c>
      <c r="C3450" s="12" t="inlineStr">
        <is>
          <t>VS22</t>
        </is>
      </c>
      <c r="D3450" s="12" t="inlineStr">
        <is>
          <t>Angles &amp; Channels</t>
        </is>
      </c>
      <c r="E3450" s="12" t="inlineStr">
        <is>
          <t>N</t>
        </is>
      </c>
      <c r="F3450" s="12" t="n">
        <v>37.96</v>
      </c>
      <c r="G3450" s="17" t="n">
        <v>54481.38</v>
      </c>
      <c r="H3450" s="26" t="n">
        <v>45212</v>
      </c>
      <c r="I3450" s="26" t="n">
        <v>45214</v>
      </c>
      <c r="J3450" s="12" t="n">
        <v>37.8</v>
      </c>
      <c r="K3450" s="17" t="n">
        <v>2068113.18</v>
      </c>
      <c r="L3450" s="12" t="n">
        <v>0</v>
      </c>
      <c r="M3450" s="12" t="n">
        <v>0</v>
      </c>
      <c r="N3450" s="27">
        <f>F3450-J3450</f>
        <v/>
      </c>
      <c r="O3450" s="16">
        <f>I3450-H3450</f>
        <v/>
      </c>
      <c r="P3450" s="14">
        <f>F3450*G3450</f>
        <v/>
      </c>
      <c r="Q3450" s="14">
        <f>J3450*G3450</f>
        <v/>
      </c>
      <c r="R3450" s="14">
        <f>K3450-Q3450</f>
        <v/>
      </c>
      <c r="S3450" s="3">
        <f>P3450*Assumptions!$B$3/100</f>
        <v/>
      </c>
      <c r="T3450" s="14">
        <f>R3450-S3450</f>
        <v/>
      </c>
      <c r="U3450" s="14">
        <f>L3450*G3450</f>
        <v/>
      </c>
    </row>
    <row r="3451">
      <c r="A3451" s="12" t="inlineStr">
        <is>
          <t>PO-2023-3449</t>
        </is>
      </c>
      <c r="B3451" s="26" t="n">
        <v>44424</v>
      </c>
      <c r="C3451" s="12" t="inlineStr">
        <is>
          <t>VS04</t>
        </is>
      </c>
      <c r="D3451" s="12" t="inlineStr">
        <is>
          <t>MS Sheets</t>
        </is>
      </c>
      <c r="E3451" s="12" t="inlineStr">
        <is>
          <t>N</t>
        </is>
      </c>
      <c r="F3451" s="12" t="n">
        <v>8.029999999999999</v>
      </c>
      <c r="G3451" s="17" t="n">
        <v>78083.05</v>
      </c>
      <c r="H3451" s="26" t="n">
        <v>44436</v>
      </c>
      <c r="I3451" s="26" t="n">
        <v>44436</v>
      </c>
      <c r="J3451" s="12" t="n">
        <v>8</v>
      </c>
      <c r="K3451" s="17" t="n">
        <v>627006.89</v>
      </c>
      <c r="L3451" s="12" t="n">
        <v>0</v>
      </c>
      <c r="M3451" s="12" t="n">
        <v>0</v>
      </c>
      <c r="N3451" s="27">
        <f>F3451-J3451</f>
        <v/>
      </c>
      <c r="O3451" s="16">
        <f>I3451-H3451</f>
        <v/>
      </c>
      <c r="P3451" s="14">
        <f>F3451*G3451</f>
        <v/>
      </c>
      <c r="Q3451" s="14">
        <f>J3451*G3451</f>
        <v/>
      </c>
      <c r="R3451" s="14">
        <f>K3451-Q3451</f>
        <v/>
      </c>
      <c r="S3451" s="3">
        <f>P3451*Assumptions!$B$3/100</f>
        <v/>
      </c>
      <c r="T3451" s="14">
        <f>R3451-S3451</f>
        <v/>
      </c>
      <c r="U3451" s="14">
        <f>L3451*G3451</f>
        <v/>
      </c>
    </row>
    <row r="3452">
      <c r="A3452" s="12" t="inlineStr">
        <is>
          <t>PO-2023-3450</t>
        </is>
      </c>
      <c r="B3452" s="26" t="n">
        <v>45144</v>
      </c>
      <c r="C3452" s="12" t="inlineStr">
        <is>
          <t>VS05</t>
        </is>
      </c>
      <c r="D3452" s="12" t="inlineStr">
        <is>
          <t>Square/Rect Tubes</t>
        </is>
      </c>
      <c r="E3452" s="12" t="inlineStr">
        <is>
          <t>N</t>
        </is>
      </c>
      <c r="F3452" s="12" t="n">
        <v>15.66</v>
      </c>
      <c r="G3452" s="17" t="n">
        <v>85533.59</v>
      </c>
      <c r="H3452" s="26" t="n">
        <v>45157</v>
      </c>
      <c r="I3452" s="26" t="n">
        <v>45157</v>
      </c>
      <c r="J3452" s="12" t="n">
        <v>15.6</v>
      </c>
      <c r="K3452" s="17" t="n">
        <v>1339456.02</v>
      </c>
      <c r="L3452" s="12" t="n">
        <v>0</v>
      </c>
      <c r="M3452" s="12" t="n">
        <v>0</v>
      </c>
      <c r="N3452" s="27">
        <f>F3452-J3452</f>
        <v/>
      </c>
      <c r="O3452" s="16">
        <f>I3452-H3452</f>
        <v/>
      </c>
      <c r="P3452" s="14">
        <f>F3452*G3452</f>
        <v/>
      </c>
      <c r="Q3452" s="14">
        <f>J3452*G3452</f>
        <v/>
      </c>
      <c r="R3452" s="14">
        <f>K3452-Q3452</f>
        <v/>
      </c>
      <c r="S3452" s="3">
        <f>P3452*Assumptions!$B$3/100</f>
        <v/>
      </c>
      <c r="T3452" s="14">
        <f>R3452-S3452</f>
        <v/>
      </c>
      <c r="U3452" s="14">
        <f>L3452*G3452</f>
        <v/>
      </c>
    </row>
    <row r="3453">
      <c r="A3453" s="12" t="inlineStr">
        <is>
          <t>PO-2023-3451</t>
        </is>
      </c>
      <c r="B3453" s="26" t="n">
        <v>45122</v>
      </c>
      <c r="C3453" s="12" t="inlineStr">
        <is>
          <t>VS06</t>
        </is>
      </c>
      <c r="D3453" s="12" t="inlineStr">
        <is>
          <t>Fasteners &amp; Fittings</t>
        </is>
      </c>
      <c r="E3453" s="12" t="inlineStr">
        <is>
          <t>N</t>
        </is>
      </c>
      <c r="F3453" s="12" t="n">
        <v>1.71</v>
      </c>
      <c r="G3453" s="17" t="n">
        <v>69612.46000000001</v>
      </c>
      <c r="H3453" s="26" t="n">
        <v>45134</v>
      </c>
      <c r="I3453" s="26" t="n">
        <v>45134</v>
      </c>
      <c r="J3453" s="12" t="n">
        <v>1.71</v>
      </c>
      <c r="K3453" s="17" t="n">
        <v>119037.31</v>
      </c>
      <c r="L3453" s="12" t="n">
        <v>0</v>
      </c>
      <c r="M3453" s="12" t="n">
        <v>14</v>
      </c>
      <c r="N3453" s="27">
        <f>F3453-J3453</f>
        <v/>
      </c>
      <c r="O3453" s="16">
        <f>I3453-H3453</f>
        <v/>
      </c>
      <c r="P3453" s="14">
        <f>F3453*G3453</f>
        <v/>
      </c>
      <c r="Q3453" s="14">
        <f>J3453*G3453</f>
        <v/>
      </c>
      <c r="R3453" s="14">
        <f>K3453-Q3453</f>
        <v/>
      </c>
      <c r="S3453" s="3">
        <f>P3453*Assumptions!$B$3/100</f>
        <v/>
      </c>
      <c r="T3453" s="14">
        <f>R3453-S3453</f>
        <v/>
      </c>
      <c r="U3453" s="14">
        <f>L3453*G3453</f>
        <v/>
      </c>
    </row>
    <row r="3454">
      <c r="A3454" s="12" t="inlineStr">
        <is>
          <t>PO-2023-3452</t>
        </is>
      </c>
      <c r="B3454" s="26" t="n">
        <v>45280</v>
      </c>
      <c r="C3454" s="12" t="inlineStr">
        <is>
          <t>VS20</t>
        </is>
      </c>
      <c r="D3454" s="12" t="inlineStr">
        <is>
          <t>CR Sheets</t>
        </is>
      </c>
      <c r="E3454" s="12" t="inlineStr">
        <is>
          <t>N</t>
        </is>
      </c>
      <c r="F3454" s="12" t="n">
        <v>46.35</v>
      </c>
      <c r="G3454" s="17" t="n">
        <v>105816.39</v>
      </c>
      <c r="H3454" s="26" t="n">
        <v>45295</v>
      </c>
      <c r="I3454" s="26" t="n">
        <v>45297</v>
      </c>
      <c r="J3454" s="12" t="n">
        <v>46.29</v>
      </c>
      <c r="K3454" s="17" t="n">
        <v>4904589.68</v>
      </c>
      <c r="L3454" s="12" t="n">
        <v>0</v>
      </c>
      <c r="M3454" s="12" t="n">
        <v>0</v>
      </c>
      <c r="N3454" s="27">
        <f>F3454-J3454</f>
        <v/>
      </c>
      <c r="O3454" s="16">
        <f>I3454-H3454</f>
        <v/>
      </c>
      <c r="P3454" s="14">
        <f>F3454*G3454</f>
        <v/>
      </c>
      <c r="Q3454" s="14">
        <f>J3454*G3454</f>
        <v/>
      </c>
      <c r="R3454" s="14">
        <f>K3454-Q3454</f>
        <v/>
      </c>
      <c r="S3454" s="3">
        <f>P3454*Assumptions!$B$3/100</f>
        <v/>
      </c>
      <c r="T3454" s="14">
        <f>R3454-S3454</f>
        <v/>
      </c>
      <c r="U3454" s="14">
        <f>L3454*G3454</f>
        <v/>
      </c>
    </row>
    <row r="3455">
      <c r="A3455" s="12" t="inlineStr">
        <is>
          <t>PO-2023-3453</t>
        </is>
      </c>
      <c r="B3455" s="26" t="n">
        <v>44741</v>
      </c>
      <c r="C3455" s="12" t="inlineStr">
        <is>
          <t>VS14</t>
        </is>
      </c>
      <c r="D3455" s="12" t="inlineStr">
        <is>
          <t>GI Wire</t>
        </is>
      </c>
      <c r="E3455" s="12" t="inlineStr">
        <is>
          <t>N</t>
        </is>
      </c>
      <c r="F3455" s="12" t="n">
        <v>25.32</v>
      </c>
      <c r="G3455" s="17" t="n">
        <v>110538.65</v>
      </c>
      <c r="H3455" s="26" t="n">
        <v>44752</v>
      </c>
      <c r="I3455" s="26" t="n">
        <v>44755</v>
      </c>
      <c r="J3455" s="12" t="n">
        <v>25.25</v>
      </c>
      <c r="K3455" s="17" t="n">
        <v>2798838.62</v>
      </c>
      <c r="L3455" s="12" t="n">
        <v>0</v>
      </c>
      <c r="M3455" s="12" t="n">
        <v>21</v>
      </c>
      <c r="N3455" s="27">
        <f>F3455-J3455</f>
        <v/>
      </c>
      <c r="O3455" s="16">
        <f>I3455-H3455</f>
        <v/>
      </c>
      <c r="P3455" s="14">
        <f>F3455*G3455</f>
        <v/>
      </c>
      <c r="Q3455" s="14">
        <f>J3455*G3455</f>
        <v/>
      </c>
      <c r="R3455" s="14">
        <f>K3455-Q3455</f>
        <v/>
      </c>
      <c r="S3455" s="3">
        <f>P3455*Assumptions!$B$3/100</f>
        <v/>
      </c>
      <c r="T3455" s="14">
        <f>R3455-S3455</f>
        <v/>
      </c>
      <c r="U3455" s="14">
        <f>L3455*G3455</f>
        <v/>
      </c>
    </row>
    <row r="3456">
      <c r="A3456" s="12" t="inlineStr">
        <is>
          <t>PO-2023-3454</t>
        </is>
      </c>
      <c r="B3456" s="26" t="n">
        <v>44998</v>
      </c>
      <c r="C3456" s="12" t="inlineStr">
        <is>
          <t>VS34</t>
        </is>
      </c>
      <c r="D3456" s="12" t="inlineStr">
        <is>
          <t>ERW Pipes</t>
        </is>
      </c>
      <c r="E3456" s="12" t="inlineStr">
        <is>
          <t>N</t>
        </is>
      </c>
      <c r="F3456" s="12" t="n">
        <v>5.07</v>
      </c>
      <c r="G3456" s="17" t="n">
        <v>99458.96000000001</v>
      </c>
      <c r="H3456" s="26" t="n">
        <v>45011</v>
      </c>
      <c r="I3456" s="26" t="n">
        <v>45013</v>
      </c>
      <c r="J3456" s="12" t="n">
        <v>5.03</v>
      </c>
      <c r="K3456" s="17" t="n">
        <v>504256.93</v>
      </c>
      <c r="L3456" s="12" t="n">
        <v>0</v>
      </c>
      <c r="M3456" s="12" t="n">
        <v>11</v>
      </c>
      <c r="N3456" s="27">
        <f>F3456-J3456</f>
        <v/>
      </c>
      <c r="O3456" s="16">
        <f>I3456-H3456</f>
        <v/>
      </c>
      <c r="P3456" s="14">
        <f>F3456*G3456</f>
        <v/>
      </c>
      <c r="Q3456" s="14">
        <f>J3456*G3456</f>
        <v/>
      </c>
      <c r="R3456" s="14">
        <f>K3456-Q3456</f>
        <v/>
      </c>
      <c r="S3456" s="3">
        <f>P3456*Assumptions!$B$3/100</f>
        <v/>
      </c>
      <c r="T3456" s="14">
        <f>R3456-S3456</f>
        <v/>
      </c>
      <c r="U3456" s="14">
        <f>L3456*G3456</f>
        <v/>
      </c>
    </row>
    <row r="3457">
      <c r="A3457" s="12" t="inlineStr">
        <is>
          <t>PO-2023-3455</t>
        </is>
      </c>
      <c r="B3457" s="26" t="n">
        <v>44257</v>
      </c>
      <c r="C3457" s="12" t="inlineStr">
        <is>
          <t>VS14</t>
        </is>
      </c>
      <c r="D3457" s="12" t="inlineStr">
        <is>
          <t>Hex Bars</t>
        </is>
      </c>
      <c r="E3457" s="12" t="inlineStr">
        <is>
          <t>N</t>
        </is>
      </c>
      <c r="F3457" s="12" t="n">
        <v>25.64</v>
      </c>
      <c r="G3457" s="17" t="n">
        <v>101398.91</v>
      </c>
      <c r="H3457" s="26" t="n">
        <v>44268</v>
      </c>
      <c r="I3457" s="26" t="n">
        <v>44269</v>
      </c>
      <c r="J3457" s="12" t="n">
        <v>25.42</v>
      </c>
      <c r="K3457" s="17" t="n">
        <v>2599868.05</v>
      </c>
      <c r="L3457" s="12" t="n">
        <v>0</v>
      </c>
      <c r="M3457" s="12" t="n">
        <v>3</v>
      </c>
      <c r="N3457" s="27">
        <f>F3457-J3457</f>
        <v/>
      </c>
      <c r="O3457" s="16">
        <f>I3457-H3457</f>
        <v/>
      </c>
      <c r="P3457" s="14">
        <f>F3457*G3457</f>
        <v/>
      </c>
      <c r="Q3457" s="14">
        <f>J3457*G3457</f>
        <v/>
      </c>
      <c r="R3457" s="14">
        <f>K3457-Q3457</f>
        <v/>
      </c>
      <c r="S3457" s="3">
        <f>P3457*Assumptions!$B$3/100</f>
        <v/>
      </c>
      <c r="T3457" s="14">
        <f>R3457-S3457</f>
        <v/>
      </c>
      <c r="U3457" s="14">
        <f>L3457*G3457</f>
        <v/>
      </c>
    </row>
    <row r="3458">
      <c r="A3458" s="12" t="inlineStr">
        <is>
          <t>PO-2023-3456</t>
        </is>
      </c>
      <c r="B3458" s="26" t="n">
        <v>44430</v>
      </c>
      <c r="C3458" s="12" t="inlineStr">
        <is>
          <t>VS06</t>
        </is>
      </c>
      <c r="D3458" s="12" t="inlineStr">
        <is>
          <t>HR Coils</t>
        </is>
      </c>
      <c r="E3458" s="12" t="inlineStr">
        <is>
          <t>N</t>
        </is>
      </c>
      <c r="F3458" s="12" t="n">
        <v>30.88</v>
      </c>
      <c r="G3458" s="17" t="n">
        <v>118938</v>
      </c>
      <c r="H3458" s="26" t="n">
        <v>44441</v>
      </c>
      <c r="I3458" s="26" t="n">
        <v>44443</v>
      </c>
      <c r="J3458" s="12" t="n">
        <v>30.75</v>
      </c>
      <c r="K3458" s="17" t="n">
        <v>3672805.44</v>
      </c>
      <c r="L3458" s="12" t="n">
        <v>0</v>
      </c>
      <c r="M3458" s="12" t="n">
        <v>13</v>
      </c>
      <c r="N3458" s="27">
        <f>F3458-J3458</f>
        <v/>
      </c>
      <c r="O3458" s="16">
        <f>I3458-H3458</f>
        <v/>
      </c>
      <c r="P3458" s="14">
        <f>F3458*G3458</f>
        <v/>
      </c>
      <c r="Q3458" s="14">
        <f>J3458*G3458</f>
        <v/>
      </c>
      <c r="R3458" s="14">
        <f>K3458-Q3458</f>
        <v/>
      </c>
      <c r="S3458" s="3">
        <f>P3458*Assumptions!$B$3/100</f>
        <v/>
      </c>
      <c r="T3458" s="14">
        <f>R3458-S3458</f>
        <v/>
      </c>
      <c r="U3458" s="14">
        <f>L3458*G3458</f>
        <v/>
      </c>
    </row>
    <row r="3459">
      <c r="A3459" s="12" t="inlineStr">
        <is>
          <t>PO-2023-3457</t>
        </is>
      </c>
      <c r="B3459" s="26" t="n">
        <v>44360</v>
      </c>
      <c r="C3459" s="12" t="inlineStr">
        <is>
          <t>VS18</t>
        </is>
      </c>
      <c r="D3459" s="12" t="inlineStr">
        <is>
          <t>MS Flats</t>
        </is>
      </c>
      <c r="E3459" s="12" t="inlineStr">
        <is>
          <t>N</t>
        </is>
      </c>
      <c r="F3459" s="12" t="n">
        <v>29.25</v>
      </c>
      <c r="G3459" s="17" t="n">
        <v>111563.1</v>
      </c>
      <c r="H3459" s="26" t="n">
        <v>44363</v>
      </c>
      <c r="I3459" s="26" t="n">
        <v>44363</v>
      </c>
      <c r="J3459" s="12" t="n">
        <v>29.1</v>
      </c>
      <c r="K3459" s="17" t="n">
        <v>3263220.68</v>
      </c>
      <c r="L3459" s="12" t="n">
        <v>0</v>
      </c>
      <c r="M3459" s="12" t="n">
        <v>15</v>
      </c>
      <c r="N3459" s="27">
        <f>F3459-J3459</f>
        <v/>
      </c>
      <c r="O3459" s="16">
        <f>I3459-H3459</f>
        <v/>
      </c>
      <c r="P3459" s="14">
        <f>F3459*G3459</f>
        <v/>
      </c>
      <c r="Q3459" s="14">
        <f>J3459*G3459</f>
        <v/>
      </c>
      <c r="R3459" s="14">
        <f>K3459-Q3459</f>
        <v/>
      </c>
      <c r="S3459" s="3">
        <f>P3459*Assumptions!$B$3/100</f>
        <v/>
      </c>
      <c r="T3459" s="14">
        <f>R3459-S3459</f>
        <v/>
      </c>
      <c r="U3459" s="14">
        <f>L3459*G3459</f>
        <v/>
      </c>
    </row>
    <row r="3460">
      <c r="A3460" s="12" t="inlineStr">
        <is>
          <t>PO-2023-3458</t>
        </is>
      </c>
      <c r="B3460" s="26" t="n">
        <v>44538</v>
      </c>
      <c r="C3460" s="12" t="inlineStr">
        <is>
          <t>VS07</t>
        </is>
      </c>
      <c r="D3460" s="12" t="inlineStr">
        <is>
          <t>Fasteners &amp; Fittings</t>
        </is>
      </c>
      <c r="E3460" s="12" t="inlineStr">
        <is>
          <t>Y</t>
        </is>
      </c>
      <c r="F3460" s="12" t="n">
        <v>23.93</v>
      </c>
      <c r="G3460" s="17" t="n">
        <v>48524.56</v>
      </c>
      <c r="H3460" s="26" t="n">
        <v>44546</v>
      </c>
      <c r="I3460" s="26" t="n">
        <v>44549</v>
      </c>
      <c r="J3460" s="12" t="n">
        <v>23.87</v>
      </c>
      <c r="K3460" s="17" t="n">
        <v>1161192.72</v>
      </c>
      <c r="L3460" s="12" t="n">
        <v>0</v>
      </c>
      <c r="M3460" s="12" t="n">
        <v>0</v>
      </c>
      <c r="N3460" s="27">
        <f>F3460-J3460</f>
        <v/>
      </c>
      <c r="O3460" s="16">
        <f>I3460-H3460</f>
        <v/>
      </c>
      <c r="P3460" s="14">
        <f>F3460*G3460</f>
        <v/>
      </c>
      <c r="Q3460" s="14">
        <f>J3460*G3460</f>
        <v/>
      </c>
      <c r="R3460" s="14">
        <f>K3460-Q3460</f>
        <v/>
      </c>
      <c r="S3460" s="3">
        <f>P3460*Assumptions!$B$3/100</f>
        <v/>
      </c>
      <c r="T3460" s="14">
        <f>R3460-S3460</f>
        <v/>
      </c>
      <c r="U3460" s="14">
        <f>L3460*G3460</f>
        <v/>
      </c>
    </row>
    <row r="3461">
      <c r="A3461" s="12" t="inlineStr">
        <is>
          <t>PO-2023-3459</t>
        </is>
      </c>
      <c r="B3461" s="26" t="n">
        <v>44499</v>
      </c>
      <c r="C3461" s="12" t="inlineStr">
        <is>
          <t>VS28</t>
        </is>
      </c>
      <c r="D3461" s="12" t="inlineStr">
        <is>
          <t>GI Wire</t>
        </is>
      </c>
      <c r="E3461" s="12" t="inlineStr">
        <is>
          <t>N</t>
        </is>
      </c>
      <c r="F3461" s="12" t="n">
        <v>29.67</v>
      </c>
      <c r="G3461" s="17" t="n">
        <v>61575.84</v>
      </c>
      <c r="H3461" s="26" t="n">
        <v>44514</v>
      </c>
      <c r="I3461" s="26" t="n">
        <v>44516</v>
      </c>
      <c r="J3461" s="12" t="n">
        <v>29.54</v>
      </c>
      <c r="K3461" s="17" t="n">
        <v>1826955.17</v>
      </c>
      <c r="L3461" s="12" t="n">
        <v>0</v>
      </c>
      <c r="M3461" s="12" t="n">
        <v>17</v>
      </c>
      <c r="N3461" s="27">
        <f>F3461-J3461</f>
        <v/>
      </c>
      <c r="O3461" s="16">
        <f>I3461-H3461</f>
        <v/>
      </c>
      <c r="P3461" s="14">
        <f>F3461*G3461</f>
        <v/>
      </c>
      <c r="Q3461" s="14">
        <f>J3461*G3461</f>
        <v/>
      </c>
      <c r="R3461" s="14">
        <f>K3461-Q3461</f>
        <v/>
      </c>
      <c r="S3461" s="3">
        <f>P3461*Assumptions!$B$3/100</f>
        <v/>
      </c>
      <c r="T3461" s="14">
        <f>R3461-S3461</f>
        <v/>
      </c>
      <c r="U3461" s="14">
        <f>L3461*G3461</f>
        <v/>
      </c>
    </row>
    <row r="3462">
      <c r="A3462" s="12" t="inlineStr">
        <is>
          <t>PO-2023-3460</t>
        </is>
      </c>
      <c r="B3462" s="26" t="n">
        <v>44962</v>
      </c>
      <c r="C3462" s="12" t="inlineStr">
        <is>
          <t>VS06</t>
        </is>
      </c>
      <c r="D3462" s="12" t="inlineStr">
        <is>
          <t>MS Flats</t>
        </is>
      </c>
      <c r="E3462" s="12" t="inlineStr">
        <is>
          <t>N</t>
        </is>
      </c>
      <c r="F3462" s="12" t="n">
        <v>37.48</v>
      </c>
      <c r="G3462" s="17" t="n">
        <v>85384.58</v>
      </c>
      <c r="H3462" s="26" t="n">
        <v>44965</v>
      </c>
      <c r="I3462" s="26" t="n">
        <v>44967</v>
      </c>
      <c r="J3462" s="12" t="n">
        <v>37.39</v>
      </c>
      <c r="K3462" s="17" t="n">
        <v>3200214.06</v>
      </c>
      <c r="L3462" s="12" t="n">
        <v>0</v>
      </c>
      <c r="M3462" s="12" t="n">
        <v>7</v>
      </c>
      <c r="N3462" s="27">
        <f>F3462-J3462</f>
        <v/>
      </c>
      <c r="O3462" s="16">
        <f>I3462-H3462</f>
        <v/>
      </c>
      <c r="P3462" s="14">
        <f>F3462*G3462</f>
        <v/>
      </c>
      <c r="Q3462" s="14">
        <f>J3462*G3462</f>
        <v/>
      </c>
      <c r="R3462" s="14">
        <f>K3462-Q3462</f>
        <v/>
      </c>
      <c r="S3462" s="3">
        <f>P3462*Assumptions!$B$3/100</f>
        <v/>
      </c>
      <c r="T3462" s="14">
        <f>R3462-S3462</f>
        <v/>
      </c>
      <c r="U3462" s="14">
        <f>L3462*G3462</f>
        <v/>
      </c>
    </row>
    <row r="3463">
      <c r="A3463" s="12" t="inlineStr">
        <is>
          <t>PO-2023-3461</t>
        </is>
      </c>
      <c r="B3463" s="26" t="n">
        <v>45148</v>
      </c>
      <c r="C3463" s="12" t="inlineStr">
        <is>
          <t>VS01</t>
        </is>
      </c>
      <c r="D3463" s="12" t="inlineStr">
        <is>
          <t>MS Flats</t>
        </is>
      </c>
      <c r="E3463" s="12" t="inlineStr">
        <is>
          <t>N</t>
        </is>
      </c>
      <c r="F3463" s="12" t="n">
        <v>10.56</v>
      </c>
      <c r="G3463" s="17" t="n">
        <v>95500.09</v>
      </c>
      <c r="H3463" s="26" t="n">
        <v>45151</v>
      </c>
      <c r="I3463" s="26" t="n">
        <v>45151</v>
      </c>
      <c r="J3463" s="12" t="n">
        <v>10.46</v>
      </c>
      <c r="K3463" s="17" t="n">
        <v>1008480.95</v>
      </c>
      <c r="L3463" s="12" t="n">
        <v>0</v>
      </c>
      <c r="M3463" s="12" t="n">
        <v>0</v>
      </c>
      <c r="N3463" s="27">
        <f>F3463-J3463</f>
        <v/>
      </c>
      <c r="O3463" s="16">
        <f>I3463-H3463</f>
        <v/>
      </c>
      <c r="P3463" s="14">
        <f>F3463*G3463</f>
        <v/>
      </c>
      <c r="Q3463" s="14">
        <f>J3463*G3463</f>
        <v/>
      </c>
      <c r="R3463" s="14">
        <f>K3463-Q3463</f>
        <v/>
      </c>
      <c r="S3463" s="3">
        <f>P3463*Assumptions!$B$3/100</f>
        <v/>
      </c>
      <c r="T3463" s="14">
        <f>R3463-S3463</f>
        <v/>
      </c>
      <c r="U3463" s="14">
        <f>L3463*G3463</f>
        <v/>
      </c>
    </row>
    <row r="3464">
      <c r="A3464" s="12" t="inlineStr">
        <is>
          <t>PO-2023-3462</t>
        </is>
      </c>
      <c r="B3464" s="26" t="n">
        <v>44445</v>
      </c>
      <c r="C3464" s="12" t="inlineStr">
        <is>
          <t>VS08</t>
        </is>
      </c>
      <c r="D3464" s="12" t="inlineStr">
        <is>
          <t>HR Coils</t>
        </is>
      </c>
      <c r="E3464" s="12" t="inlineStr">
        <is>
          <t>N</t>
        </is>
      </c>
      <c r="F3464" s="12" t="n">
        <v>39.58</v>
      </c>
      <c r="G3464" s="17" t="n">
        <v>50986.52</v>
      </c>
      <c r="H3464" s="26" t="n">
        <v>44451</v>
      </c>
      <c r="I3464" s="26" t="n">
        <v>44453</v>
      </c>
      <c r="J3464" s="12" t="n">
        <v>39.2</v>
      </c>
      <c r="K3464" s="17" t="n">
        <v>2018046.46</v>
      </c>
      <c r="L3464" s="12" t="n">
        <v>0</v>
      </c>
      <c r="M3464" s="12" t="n">
        <v>8</v>
      </c>
      <c r="N3464" s="27">
        <f>F3464-J3464</f>
        <v/>
      </c>
      <c r="O3464" s="16">
        <f>I3464-H3464</f>
        <v/>
      </c>
      <c r="P3464" s="14">
        <f>F3464*G3464</f>
        <v/>
      </c>
      <c r="Q3464" s="14">
        <f>J3464*G3464</f>
        <v/>
      </c>
      <c r="R3464" s="14">
        <f>K3464-Q3464</f>
        <v/>
      </c>
      <c r="S3464" s="3">
        <f>P3464*Assumptions!$B$3/100</f>
        <v/>
      </c>
      <c r="T3464" s="14">
        <f>R3464-S3464</f>
        <v/>
      </c>
      <c r="U3464" s="14">
        <f>L3464*G3464</f>
        <v/>
      </c>
    </row>
    <row r="3465">
      <c r="A3465" s="12" t="inlineStr">
        <is>
          <t>PO-2023-3463</t>
        </is>
      </c>
      <c r="B3465" s="26" t="n">
        <v>45287</v>
      </c>
      <c r="C3465" s="12" t="inlineStr">
        <is>
          <t>VS09</t>
        </is>
      </c>
      <c r="D3465" s="12" t="inlineStr">
        <is>
          <t>Structural Steel</t>
        </is>
      </c>
      <c r="E3465" s="12" t="inlineStr">
        <is>
          <t>N</t>
        </is>
      </c>
      <c r="F3465" s="12" t="n">
        <v>16.06</v>
      </c>
      <c r="G3465" s="17" t="n">
        <v>93473.87</v>
      </c>
      <c r="H3465" s="26" t="n">
        <v>45295</v>
      </c>
      <c r="I3465" s="26" t="n">
        <v>45297</v>
      </c>
      <c r="J3465" s="12" t="n">
        <v>15.97</v>
      </c>
      <c r="K3465" s="17" t="n">
        <v>1501190.35</v>
      </c>
      <c r="L3465" s="12" t="n">
        <v>0</v>
      </c>
      <c r="M3465" s="12" t="n">
        <v>22</v>
      </c>
      <c r="N3465" s="27">
        <f>F3465-J3465</f>
        <v/>
      </c>
      <c r="O3465" s="16">
        <f>I3465-H3465</f>
        <v/>
      </c>
      <c r="P3465" s="14">
        <f>F3465*G3465</f>
        <v/>
      </c>
      <c r="Q3465" s="14">
        <f>J3465*G3465</f>
        <v/>
      </c>
      <c r="R3465" s="14">
        <f>K3465-Q3465</f>
        <v/>
      </c>
      <c r="S3465" s="3">
        <f>P3465*Assumptions!$B$3/100</f>
        <v/>
      </c>
      <c r="T3465" s="14">
        <f>R3465-S3465</f>
        <v/>
      </c>
      <c r="U3465" s="14">
        <f>L3465*G3465</f>
        <v/>
      </c>
    </row>
    <row r="3466">
      <c r="A3466" s="12" t="inlineStr">
        <is>
          <t>PO-2023-3464</t>
        </is>
      </c>
      <c r="B3466" s="26" t="n">
        <v>44912</v>
      </c>
      <c r="C3466" s="12" t="inlineStr">
        <is>
          <t>VS08</t>
        </is>
      </c>
      <c r="D3466" s="12" t="inlineStr">
        <is>
          <t>HR Coils</t>
        </is>
      </c>
      <c r="E3466" s="12" t="inlineStr">
        <is>
          <t>N</t>
        </is>
      </c>
      <c r="F3466" s="12" t="n">
        <v>36.45</v>
      </c>
      <c r="G3466" s="17" t="n">
        <v>48169.69</v>
      </c>
      <c r="H3466" s="26" t="n">
        <v>44915</v>
      </c>
      <c r="I3466" s="26" t="n">
        <v>44916</v>
      </c>
      <c r="J3466" s="12" t="n">
        <v>36.37</v>
      </c>
      <c r="K3466" s="17" t="n">
        <v>1755785.2</v>
      </c>
      <c r="L3466" s="12" t="n">
        <v>0</v>
      </c>
      <c r="M3466" s="12" t="n">
        <v>2</v>
      </c>
      <c r="N3466" s="27">
        <f>F3466-J3466</f>
        <v/>
      </c>
      <c r="O3466" s="16">
        <f>I3466-H3466</f>
        <v/>
      </c>
      <c r="P3466" s="14">
        <f>F3466*G3466</f>
        <v/>
      </c>
      <c r="Q3466" s="14">
        <f>J3466*G3466</f>
        <v/>
      </c>
      <c r="R3466" s="14">
        <f>K3466-Q3466</f>
        <v/>
      </c>
      <c r="S3466" s="3">
        <f>P3466*Assumptions!$B$3/100</f>
        <v/>
      </c>
      <c r="T3466" s="14">
        <f>R3466-S3466</f>
        <v/>
      </c>
      <c r="U3466" s="14">
        <f>L3466*G3466</f>
        <v/>
      </c>
    </row>
    <row r="3467">
      <c r="A3467" s="12" t="inlineStr">
        <is>
          <t>PO-2023-3465</t>
        </is>
      </c>
      <c r="B3467" s="26" t="n">
        <v>45284</v>
      </c>
      <c r="C3467" s="12" t="inlineStr">
        <is>
          <t>VS21</t>
        </is>
      </c>
      <c r="D3467" s="12" t="inlineStr">
        <is>
          <t>Spring Steel</t>
        </is>
      </c>
      <c r="E3467" s="12" t="inlineStr">
        <is>
          <t>N</t>
        </is>
      </c>
      <c r="F3467" s="12" t="n">
        <v>40.08</v>
      </c>
      <c r="G3467" s="17" t="n">
        <v>109168.89</v>
      </c>
      <c r="H3467" s="26" t="n">
        <v>45298</v>
      </c>
      <c r="I3467" s="26" t="n">
        <v>45298</v>
      </c>
      <c r="J3467" s="12" t="n">
        <v>39.97</v>
      </c>
      <c r="K3467" s="17" t="n">
        <v>4375489.11</v>
      </c>
      <c r="L3467" s="12" t="n">
        <v>0</v>
      </c>
      <c r="M3467" s="12" t="n">
        <v>20</v>
      </c>
      <c r="N3467" s="27">
        <f>F3467-J3467</f>
        <v/>
      </c>
      <c r="O3467" s="16">
        <f>I3467-H3467</f>
        <v/>
      </c>
      <c r="P3467" s="14">
        <f>F3467*G3467</f>
        <v/>
      </c>
      <c r="Q3467" s="14">
        <f>J3467*G3467</f>
        <v/>
      </c>
      <c r="R3467" s="14">
        <f>K3467-Q3467</f>
        <v/>
      </c>
      <c r="S3467" s="3">
        <f>P3467*Assumptions!$B$3/100</f>
        <v/>
      </c>
      <c r="T3467" s="14">
        <f>R3467-S3467</f>
        <v/>
      </c>
      <c r="U3467" s="14">
        <f>L3467*G3467</f>
        <v/>
      </c>
    </row>
    <row r="3468">
      <c r="A3468" s="12" t="inlineStr">
        <is>
          <t>PO-2023-3466</t>
        </is>
      </c>
      <c r="B3468" s="26" t="n">
        <v>44448</v>
      </c>
      <c r="C3468" s="12" t="inlineStr">
        <is>
          <t>VS03</t>
        </is>
      </c>
      <c r="D3468" s="12" t="inlineStr">
        <is>
          <t>SS Sheets</t>
        </is>
      </c>
      <c r="E3468" s="12" t="inlineStr">
        <is>
          <t>N</t>
        </is>
      </c>
      <c r="F3468" s="12" t="n">
        <v>17.06</v>
      </c>
      <c r="G3468" s="17" t="n">
        <v>115386.93</v>
      </c>
      <c r="H3468" s="26" t="n">
        <v>44455</v>
      </c>
      <c r="I3468" s="26" t="n">
        <v>44460</v>
      </c>
      <c r="J3468" s="12" t="n">
        <v>16.6</v>
      </c>
      <c r="K3468" s="17" t="n">
        <v>1968501.03</v>
      </c>
      <c r="L3468" s="12" t="n">
        <v>0.5</v>
      </c>
      <c r="M3468" s="12" t="n">
        <v>0</v>
      </c>
      <c r="N3468" s="27">
        <f>F3468-J3468</f>
        <v/>
      </c>
      <c r="O3468" s="16">
        <f>I3468-H3468</f>
        <v/>
      </c>
      <c r="P3468" s="14">
        <f>F3468*G3468</f>
        <v/>
      </c>
      <c r="Q3468" s="14">
        <f>J3468*G3468</f>
        <v/>
      </c>
      <c r="R3468" s="14">
        <f>K3468-Q3468</f>
        <v/>
      </c>
      <c r="S3468" s="3">
        <f>P3468*Assumptions!$B$3/100</f>
        <v/>
      </c>
      <c r="T3468" s="14">
        <f>R3468-S3468</f>
        <v/>
      </c>
      <c r="U3468" s="14">
        <f>L3468*G3468</f>
        <v/>
      </c>
    </row>
    <row r="3469">
      <c r="A3469" s="12" t="inlineStr">
        <is>
          <t>PO-2023-3467</t>
        </is>
      </c>
      <c r="B3469" s="26" t="n">
        <v>44631</v>
      </c>
      <c r="C3469" s="12" t="inlineStr">
        <is>
          <t>VS30</t>
        </is>
      </c>
      <c r="D3469" s="12" t="inlineStr">
        <is>
          <t>GI Sheets</t>
        </is>
      </c>
      <c r="E3469" s="12" t="inlineStr">
        <is>
          <t>Y</t>
        </is>
      </c>
      <c r="F3469" s="12" t="n">
        <v>20.62</v>
      </c>
      <c r="G3469" s="17" t="n">
        <v>112933.27</v>
      </c>
      <c r="H3469" s="26" t="n">
        <v>44645</v>
      </c>
      <c r="I3469" s="26" t="n">
        <v>44648</v>
      </c>
      <c r="J3469" s="12" t="n">
        <v>20.52</v>
      </c>
      <c r="K3469" s="17" t="n">
        <v>2328684.03</v>
      </c>
      <c r="L3469" s="12" t="n">
        <v>0</v>
      </c>
      <c r="M3469" s="12" t="n">
        <v>21</v>
      </c>
      <c r="N3469" s="27">
        <f>F3469-J3469</f>
        <v/>
      </c>
      <c r="O3469" s="16">
        <f>I3469-H3469</f>
        <v/>
      </c>
      <c r="P3469" s="14">
        <f>F3469*G3469</f>
        <v/>
      </c>
      <c r="Q3469" s="14">
        <f>J3469*G3469</f>
        <v/>
      </c>
      <c r="R3469" s="14">
        <f>K3469-Q3469</f>
        <v/>
      </c>
      <c r="S3469" s="3">
        <f>P3469*Assumptions!$B$3/100</f>
        <v/>
      </c>
      <c r="T3469" s="14">
        <f>R3469-S3469</f>
        <v/>
      </c>
      <c r="U3469" s="14">
        <f>L3469*G3469</f>
        <v/>
      </c>
    </row>
    <row r="3470">
      <c r="A3470" s="12" t="inlineStr">
        <is>
          <t>PO-2023-3468</t>
        </is>
      </c>
      <c r="B3470" s="26" t="n">
        <v>45284</v>
      </c>
      <c r="C3470" s="12" t="inlineStr">
        <is>
          <t>VS32</t>
        </is>
      </c>
      <c r="D3470" s="12" t="inlineStr">
        <is>
          <t>GI Sheets</t>
        </is>
      </c>
      <c r="E3470" s="12" t="inlineStr">
        <is>
          <t>N</t>
        </is>
      </c>
      <c r="F3470" s="12" t="n">
        <v>19.58</v>
      </c>
      <c r="G3470" s="17" t="n">
        <v>75154.27</v>
      </c>
      <c r="H3470" s="26" t="n">
        <v>45294</v>
      </c>
      <c r="I3470" s="26" t="n">
        <v>45295</v>
      </c>
      <c r="J3470" s="12" t="n">
        <v>19.53</v>
      </c>
      <c r="K3470" s="17" t="n">
        <v>1471520.61</v>
      </c>
      <c r="L3470" s="12" t="n">
        <v>0</v>
      </c>
      <c r="M3470" s="12" t="n">
        <v>0</v>
      </c>
      <c r="N3470" s="27">
        <f>F3470-J3470</f>
        <v/>
      </c>
      <c r="O3470" s="16">
        <f>I3470-H3470</f>
        <v/>
      </c>
      <c r="P3470" s="14">
        <f>F3470*G3470</f>
        <v/>
      </c>
      <c r="Q3470" s="14">
        <f>J3470*G3470</f>
        <v/>
      </c>
      <c r="R3470" s="14">
        <f>K3470-Q3470</f>
        <v/>
      </c>
      <c r="S3470" s="3">
        <f>P3470*Assumptions!$B$3/100</f>
        <v/>
      </c>
      <c r="T3470" s="14">
        <f>R3470-S3470</f>
        <v/>
      </c>
      <c r="U3470" s="14">
        <f>L3470*G3470</f>
        <v/>
      </c>
    </row>
    <row r="3471">
      <c r="A3471" s="12" t="inlineStr">
        <is>
          <t>PO-2023-3469</t>
        </is>
      </c>
      <c r="B3471" s="26" t="n">
        <v>44358</v>
      </c>
      <c r="C3471" s="12" t="inlineStr">
        <is>
          <t>VS14</t>
        </is>
      </c>
      <c r="D3471" s="12" t="inlineStr">
        <is>
          <t>Angles &amp; Channels</t>
        </is>
      </c>
      <c r="E3471" s="12" t="inlineStr">
        <is>
          <t>N</t>
        </is>
      </c>
      <c r="F3471" s="12" t="n">
        <v>25.97</v>
      </c>
      <c r="G3471" s="17" t="n">
        <v>89968.78999999999</v>
      </c>
      <c r="H3471" s="26" t="n">
        <v>44370</v>
      </c>
      <c r="I3471" s="26" t="n">
        <v>44372</v>
      </c>
      <c r="J3471" s="12" t="n">
        <v>25.9</v>
      </c>
      <c r="K3471" s="17" t="n">
        <v>2336489.48</v>
      </c>
      <c r="L3471" s="12" t="n">
        <v>0</v>
      </c>
      <c r="M3471" s="12" t="n">
        <v>15</v>
      </c>
      <c r="N3471" s="27">
        <f>F3471-J3471</f>
        <v/>
      </c>
      <c r="O3471" s="16">
        <f>I3471-H3471</f>
        <v/>
      </c>
      <c r="P3471" s="14">
        <f>F3471*G3471</f>
        <v/>
      </c>
      <c r="Q3471" s="14">
        <f>J3471*G3471</f>
        <v/>
      </c>
      <c r="R3471" s="14">
        <f>K3471-Q3471</f>
        <v/>
      </c>
      <c r="S3471" s="3">
        <f>P3471*Assumptions!$B$3/100</f>
        <v/>
      </c>
      <c r="T3471" s="14">
        <f>R3471-S3471</f>
        <v/>
      </c>
      <c r="U3471" s="14">
        <f>L3471*G3471</f>
        <v/>
      </c>
    </row>
    <row r="3472">
      <c r="A3472" s="12" t="inlineStr">
        <is>
          <t>PO-2023-3470</t>
        </is>
      </c>
      <c r="B3472" s="26" t="n">
        <v>44699</v>
      </c>
      <c r="C3472" s="12" t="inlineStr">
        <is>
          <t>VS14</t>
        </is>
      </c>
      <c r="D3472" s="12" t="inlineStr">
        <is>
          <t>Angles &amp; Channels</t>
        </is>
      </c>
      <c r="E3472" s="12" t="inlineStr">
        <is>
          <t>N</t>
        </is>
      </c>
      <c r="F3472" s="12" t="n">
        <v>12.86</v>
      </c>
      <c r="G3472" s="17" t="n">
        <v>91401.14999999999</v>
      </c>
      <c r="H3472" s="26" t="n">
        <v>44713</v>
      </c>
      <c r="I3472" s="26" t="n">
        <v>44714</v>
      </c>
      <c r="J3472" s="12" t="n">
        <v>12.79</v>
      </c>
      <c r="K3472" s="17" t="n">
        <v>1175418.79</v>
      </c>
      <c r="L3472" s="12" t="n">
        <v>0</v>
      </c>
      <c r="M3472" s="12" t="n">
        <v>15</v>
      </c>
      <c r="N3472" s="27">
        <f>F3472-J3472</f>
        <v/>
      </c>
      <c r="O3472" s="16">
        <f>I3472-H3472</f>
        <v/>
      </c>
      <c r="P3472" s="14">
        <f>F3472*G3472</f>
        <v/>
      </c>
      <c r="Q3472" s="14">
        <f>J3472*G3472</f>
        <v/>
      </c>
      <c r="R3472" s="14">
        <f>K3472-Q3472</f>
        <v/>
      </c>
      <c r="S3472" s="3">
        <f>P3472*Assumptions!$B$3/100</f>
        <v/>
      </c>
      <c r="T3472" s="14">
        <f>R3472-S3472</f>
        <v/>
      </c>
      <c r="U3472" s="14">
        <f>L3472*G3472</f>
        <v/>
      </c>
    </row>
    <row r="3473">
      <c r="A3473" s="12" t="inlineStr">
        <is>
          <t>PO-2023-3471</t>
        </is>
      </c>
      <c r="B3473" s="26" t="n">
        <v>44211</v>
      </c>
      <c r="C3473" s="12" t="inlineStr">
        <is>
          <t>VS22</t>
        </is>
      </c>
      <c r="D3473" s="12" t="inlineStr">
        <is>
          <t>Spring Steel</t>
        </is>
      </c>
      <c r="E3473" s="12" t="inlineStr">
        <is>
          <t>N</t>
        </is>
      </c>
      <c r="F3473" s="12" t="n">
        <v>16.77</v>
      </c>
      <c r="G3473" s="17" t="n">
        <v>110536.13</v>
      </c>
      <c r="H3473" s="26" t="n">
        <v>44226</v>
      </c>
      <c r="I3473" s="26" t="n">
        <v>44228</v>
      </c>
      <c r="J3473" s="12" t="n">
        <v>16.65</v>
      </c>
      <c r="K3473" s="17" t="n">
        <v>1853690.9</v>
      </c>
      <c r="L3473" s="12" t="n">
        <v>0</v>
      </c>
      <c r="M3473" s="12" t="n">
        <v>6</v>
      </c>
      <c r="N3473" s="27">
        <f>F3473-J3473</f>
        <v/>
      </c>
      <c r="O3473" s="16">
        <f>I3473-H3473</f>
        <v/>
      </c>
      <c r="P3473" s="14">
        <f>F3473*G3473</f>
        <v/>
      </c>
      <c r="Q3473" s="14">
        <f>J3473*G3473</f>
        <v/>
      </c>
      <c r="R3473" s="14">
        <f>K3473-Q3473</f>
        <v/>
      </c>
      <c r="S3473" s="3">
        <f>P3473*Assumptions!$B$3/100</f>
        <v/>
      </c>
      <c r="T3473" s="14">
        <f>R3473-S3473</f>
        <v/>
      </c>
      <c r="U3473" s="14">
        <f>L3473*G3473</f>
        <v/>
      </c>
    </row>
    <row r="3474">
      <c r="A3474" s="12" t="inlineStr">
        <is>
          <t>PO-2023-3472</t>
        </is>
      </c>
      <c r="B3474" s="26" t="n">
        <v>45078</v>
      </c>
      <c r="C3474" s="12" t="inlineStr">
        <is>
          <t>VS06</t>
        </is>
      </c>
      <c r="D3474" s="12" t="inlineStr">
        <is>
          <t>Angles &amp; Channels</t>
        </is>
      </c>
      <c r="E3474" s="12" t="inlineStr">
        <is>
          <t>N</t>
        </is>
      </c>
      <c r="F3474" s="12" t="n">
        <v>32.01</v>
      </c>
      <c r="G3474" s="17" t="n">
        <v>66892.41</v>
      </c>
      <c r="H3474" s="26" t="n">
        <v>45091</v>
      </c>
      <c r="I3474" s="26" t="n">
        <v>45094</v>
      </c>
      <c r="J3474" s="12" t="n">
        <v>31.87</v>
      </c>
      <c r="K3474" s="17" t="n">
        <v>2141226.04</v>
      </c>
      <c r="L3474" s="12" t="n">
        <v>0</v>
      </c>
      <c r="M3474" s="12" t="n">
        <v>14</v>
      </c>
      <c r="N3474" s="27">
        <f>F3474-J3474</f>
        <v/>
      </c>
      <c r="O3474" s="16">
        <f>I3474-H3474</f>
        <v/>
      </c>
      <c r="P3474" s="14">
        <f>F3474*G3474</f>
        <v/>
      </c>
      <c r="Q3474" s="14">
        <f>J3474*G3474</f>
        <v/>
      </c>
      <c r="R3474" s="14">
        <f>K3474-Q3474</f>
        <v/>
      </c>
      <c r="S3474" s="3">
        <f>P3474*Assumptions!$B$3/100</f>
        <v/>
      </c>
      <c r="T3474" s="14">
        <f>R3474-S3474</f>
        <v/>
      </c>
      <c r="U3474" s="14">
        <f>L3474*G3474</f>
        <v/>
      </c>
    </row>
    <row r="3475">
      <c r="A3475" s="12" t="inlineStr">
        <is>
          <t>PO-2023-3473</t>
        </is>
      </c>
      <c r="B3475" s="26" t="n">
        <v>44701</v>
      </c>
      <c r="C3475" s="12" t="inlineStr">
        <is>
          <t>VS06</t>
        </is>
      </c>
      <c r="D3475" s="12" t="inlineStr">
        <is>
          <t>MS Flats</t>
        </is>
      </c>
      <c r="E3475" s="12" t="inlineStr">
        <is>
          <t>N</t>
        </is>
      </c>
      <c r="F3475" s="12" t="n">
        <v>43.18</v>
      </c>
      <c r="G3475" s="17" t="n">
        <v>106530.85</v>
      </c>
      <c r="H3475" s="26" t="n">
        <v>44707</v>
      </c>
      <c r="I3475" s="26" t="n">
        <v>44708</v>
      </c>
      <c r="J3475" s="12" t="n">
        <v>43.14</v>
      </c>
      <c r="K3475" s="17" t="n">
        <v>4600002.1</v>
      </c>
      <c r="L3475" s="12" t="n">
        <v>0</v>
      </c>
      <c r="M3475" s="12" t="n">
        <v>16</v>
      </c>
      <c r="N3475" s="27">
        <f>F3475-J3475</f>
        <v/>
      </c>
      <c r="O3475" s="16">
        <f>I3475-H3475</f>
        <v/>
      </c>
      <c r="P3475" s="14">
        <f>F3475*G3475</f>
        <v/>
      </c>
      <c r="Q3475" s="14">
        <f>J3475*G3475</f>
        <v/>
      </c>
      <c r="R3475" s="14">
        <f>K3475-Q3475</f>
        <v/>
      </c>
      <c r="S3475" s="3">
        <f>P3475*Assumptions!$B$3/100</f>
        <v/>
      </c>
      <c r="T3475" s="14">
        <f>R3475-S3475</f>
        <v/>
      </c>
      <c r="U3475" s="14">
        <f>L3475*G3475</f>
        <v/>
      </c>
    </row>
    <row r="3476">
      <c r="A3476" s="12" t="inlineStr">
        <is>
          <t>PO-2023-3474</t>
        </is>
      </c>
      <c r="B3476" s="26" t="n">
        <v>45195</v>
      </c>
      <c r="C3476" s="12" t="inlineStr">
        <is>
          <t>VS12</t>
        </is>
      </c>
      <c r="D3476" s="12" t="inlineStr">
        <is>
          <t>Angles &amp; Channels</t>
        </is>
      </c>
      <c r="E3476" s="12" t="inlineStr">
        <is>
          <t>N</t>
        </is>
      </c>
      <c r="F3476" s="12" t="n">
        <v>17.99</v>
      </c>
      <c r="G3476" s="17" t="n">
        <v>115223.22</v>
      </c>
      <c r="H3476" s="26" t="n">
        <v>45199</v>
      </c>
      <c r="I3476" s="26" t="n">
        <v>45207</v>
      </c>
      <c r="J3476" s="12" t="n">
        <v>17.55</v>
      </c>
      <c r="K3476" s="17" t="n">
        <v>2072865.73</v>
      </c>
      <c r="L3476" s="12" t="n">
        <v>0.8100000000000001</v>
      </c>
      <c r="M3476" s="12" t="n">
        <v>0</v>
      </c>
      <c r="N3476" s="27">
        <f>F3476-J3476</f>
        <v/>
      </c>
      <c r="O3476" s="16">
        <f>I3476-H3476</f>
        <v/>
      </c>
      <c r="P3476" s="14">
        <f>F3476*G3476</f>
        <v/>
      </c>
      <c r="Q3476" s="14">
        <f>J3476*G3476</f>
        <v/>
      </c>
      <c r="R3476" s="14">
        <f>K3476-Q3476</f>
        <v/>
      </c>
      <c r="S3476" s="3">
        <f>P3476*Assumptions!$B$3/100</f>
        <v/>
      </c>
      <c r="T3476" s="14">
        <f>R3476-S3476</f>
        <v/>
      </c>
      <c r="U3476" s="14">
        <f>L3476*G3476</f>
        <v/>
      </c>
    </row>
    <row r="3477">
      <c r="A3477" s="12" t="inlineStr">
        <is>
          <t>PO-2023-3475</t>
        </is>
      </c>
      <c r="B3477" s="26" t="n">
        <v>44974</v>
      </c>
      <c r="C3477" s="12" t="inlineStr">
        <is>
          <t>VS19</t>
        </is>
      </c>
      <c r="D3477" s="12" t="inlineStr">
        <is>
          <t>HR Coils</t>
        </is>
      </c>
      <c r="E3477" s="12" t="inlineStr">
        <is>
          <t>N</t>
        </is>
      </c>
      <c r="F3477" s="12" t="n">
        <v>20.25</v>
      </c>
      <c r="G3477" s="17" t="n">
        <v>99749.73</v>
      </c>
      <c r="H3477" s="26" t="n">
        <v>44977</v>
      </c>
      <c r="I3477" s="26" t="n">
        <v>44985</v>
      </c>
      <c r="J3477" s="12" t="n">
        <v>19.49</v>
      </c>
      <c r="K3477" s="17" t="n">
        <v>2019932.03</v>
      </c>
      <c r="L3477" s="12" t="n">
        <v>0.61</v>
      </c>
      <c r="M3477" s="12" t="n">
        <v>7</v>
      </c>
      <c r="N3477" s="27">
        <f>F3477-J3477</f>
        <v/>
      </c>
      <c r="O3477" s="16">
        <f>I3477-H3477</f>
        <v/>
      </c>
      <c r="P3477" s="14">
        <f>F3477*G3477</f>
        <v/>
      </c>
      <c r="Q3477" s="14">
        <f>J3477*G3477</f>
        <v/>
      </c>
      <c r="R3477" s="14">
        <f>K3477-Q3477</f>
        <v/>
      </c>
      <c r="S3477" s="3">
        <f>P3477*Assumptions!$B$3/100</f>
        <v/>
      </c>
      <c r="T3477" s="14">
        <f>R3477-S3477</f>
        <v/>
      </c>
      <c r="U3477" s="14">
        <f>L3477*G3477</f>
        <v/>
      </c>
    </row>
    <row r="3478">
      <c r="A3478" s="12" t="inlineStr">
        <is>
          <t>PO-2023-3476</t>
        </is>
      </c>
      <c r="B3478" s="26" t="n">
        <v>44471</v>
      </c>
      <c r="C3478" s="12" t="inlineStr">
        <is>
          <t>VS33</t>
        </is>
      </c>
      <c r="D3478" s="12" t="inlineStr">
        <is>
          <t>HR Coils</t>
        </is>
      </c>
      <c r="E3478" s="12" t="inlineStr">
        <is>
          <t>Y</t>
        </is>
      </c>
      <c r="F3478" s="12" t="n">
        <v>24.11</v>
      </c>
      <c r="G3478" s="17" t="n">
        <v>58628.31</v>
      </c>
      <c r="H3478" s="26" t="n">
        <v>44474</v>
      </c>
      <c r="I3478" s="26" t="n">
        <v>44476</v>
      </c>
      <c r="J3478" s="12" t="n">
        <v>23.98</v>
      </c>
      <c r="K3478" s="17" t="n">
        <v>1413528.55</v>
      </c>
      <c r="L3478" s="12" t="n">
        <v>0</v>
      </c>
      <c r="M3478" s="12" t="n">
        <v>9</v>
      </c>
      <c r="N3478" s="27">
        <f>F3478-J3478</f>
        <v/>
      </c>
      <c r="O3478" s="16">
        <f>I3478-H3478</f>
        <v/>
      </c>
      <c r="P3478" s="14">
        <f>F3478*G3478</f>
        <v/>
      </c>
      <c r="Q3478" s="14">
        <f>J3478*G3478</f>
        <v/>
      </c>
      <c r="R3478" s="14">
        <f>K3478-Q3478</f>
        <v/>
      </c>
      <c r="S3478" s="3">
        <f>P3478*Assumptions!$B$3/100</f>
        <v/>
      </c>
      <c r="T3478" s="14">
        <f>R3478-S3478</f>
        <v/>
      </c>
      <c r="U3478" s="14">
        <f>L3478*G3478</f>
        <v/>
      </c>
    </row>
    <row r="3479">
      <c r="A3479" s="12" t="inlineStr">
        <is>
          <t>PO-2023-3477</t>
        </is>
      </c>
      <c r="B3479" s="26" t="n">
        <v>44521</v>
      </c>
      <c r="C3479" s="12" t="inlineStr">
        <is>
          <t>VS27</t>
        </is>
      </c>
      <c r="D3479" s="12" t="inlineStr">
        <is>
          <t>MS Rods</t>
        </is>
      </c>
      <c r="E3479" s="12" t="inlineStr">
        <is>
          <t>N</t>
        </is>
      </c>
      <c r="F3479" s="12" t="n">
        <v>21.08</v>
      </c>
      <c r="G3479" s="17" t="n">
        <v>70733.66</v>
      </c>
      <c r="H3479" s="26" t="n">
        <v>44527</v>
      </c>
      <c r="I3479" s="26" t="n">
        <v>44530</v>
      </c>
      <c r="J3479" s="12" t="n">
        <v>21.05</v>
      </c>
      <c r="K3479" s="17" t="n">
        <v>1491065.55</v>
      </c>
      <c r="L3479" s="12" t="n">
        <v>0</v>
      </c>
      <c r="M3479" s="12" t="n">
        <v>10</v>
      </c>
      <c r="N3479" s="27">
        <f>F3479-J3479</f>
        <v/>
      </c>
      <c r="O3479" s="16">
        <f>I3479-H3479</f>
        <v/>
      </c>
      <c r="P3479" s="14">
        <f>F3479*G3479</f>
        <v/>
      </c>
      <c r="Q3479" s="14">
        <f>J3479*G3479</f>
        <v/>
      </c>
      <c r="R3479" s="14">
        <f>K3479-Q3479</f>
        <v/>
      </c>
      <c r="S3479" s="3">
        <f>P3479*Assumptions!$B$3/100</f>
        <v/>
      </c>
      <c r="T3479" s="14">
        <f>R3479-S3479</f>
        <v/>
      </c>
      <c r="U3479" s="14">
        <f>L3479*G3479</f>
        <v/>
      </c>
    </row>
    <row r="3480">
      <c r="A3480" s="12" t="inlineStr">
        <is>
          <t>PO-2023-3478</t>
        </is>
      </c>
      <c r="B3480" s="26" t="n">
        <v>44801</v>
      </c>
      <c r="C3480" s="12" t="inlineStr">
        <is>
          <t>VS12</t>
        </is>
      </c>
      <c r="D3480" s="12" t="inlineStr">
        <is>
          <t>Hex Bars</t>
        </is>
      </c>
      <c r="E3480" s="12" t="inlineStr">
        <is>
          <t>N</t>
        </is>
      </c>
      <c r="F3480" s="12" t="n">
        <v>5.03</v>
      </c>
      <c r="G3480" s="17" t="n">
        <v>109764.56</v>
      </c>
      <c r="H3480" s="26" t="n">
        <v>44808</v>
      </c>
      <c r="I3480" s="26" t="n">
        <v>44815</v>
      </c>
      <c r="J3480" s="12" t="n">
        <v>4.85</v>
      </c>
      <c r="K3480" s="17" t="n">
        <v>552115.74</v>
      </c>
      <c r="L3480" s="12" t="n">
        <v>0.02</v>
      </c>
      <c r="M3480" s="12" t="n">
        <v>1</v>
      </c>
      <c r="N3480" s="27">
        <f>F3480-J3480</f>
        <v/>
      </c>
      <c r="O3480" s="16">
        <f>I3480-H3480</f>
        <v/>
      </c>
      <c r="P3480" s="14">
        <f>F3480*G3480</f>
        <v/>
      </c>
      <c r="Q3480" s="14">
        <f>J3480*G3480</f>
        <v/>
      </c>
      <c r="R3480" s="14">
        <f>K3480-Q3480</f>
        <v/>
      </c>
      <c r="S3480" s="3">
        <f>P3480*Assumptions!$B$3/100</f>
        <v/>
      </c>
      <c r="T3480" s="14">
        <f>R3480-S3480</f>
        <v/>
      </c>
      <c r="U3480" s="14">
        <f>L3480*G3480</f>
        <v/>
      </c>
    </row>
    <row r="3481">
      <c r="A3481" s="12" t="inlineStr">
        <is>
          <t>PO-2023-3479</t>
        </is>
      </c>
      <c r="B3481" s="26" t="n">
        <v>44337</v>
      </c>
      <c r="C3481" s="12" t="inlineStr">
        <is>
          <t>VS27</t>
        </is>
      </c>
      <c r="D3481" s="12" t="inlineStr">
        <is>
          <t>SS Pipes</t>
        </is>
      </c>
      <c r="E3481" s="12" t="inlineStr">
        <is>
          <t>Y</t>
        </is>
      </c>
      <c r="F3481" s="12" t="n">
        <v>2.71</v>
      </c>
      <c r="G3481" s="17" t="n">
        <v>52863.23</v>
      </c>
      <c r="H3481" s="26" t="n">
        <v>44351</v>
      </c>
      <c r="I3481" s="26" t="n">
        <v>44353</v>
      </c>
      <c r="J3481" s="12" t="n">
        <v>2.69</v>
      </c>
      <c r="K3481" s="17" t="n">
        <v>143259.35</v>
      </c>
      <c r="L3481" s="12" t="n">
        <v>0</v>
      </c>
      <c r="M3481" s="12" t="n">
        <v>0</v>
      </c>
      <c r="N3481" s="27">
        <f>F3481-J3481</f>
        <v/>
      </c>
      <c r="O3481" s="16">
        <f>I3481-H3481</f>
        <v/>
      </c>
      <c r="P3481" s="14">
        <f>F3481*G3481</f>
        <v/>
      </c>
      <c r="Q3481" s="14">
        <f>J3481*G3481</f>
        <v/>
      </c>
      <c r="R3481" s="14">
        <f>K3481-Q3481</f>
        <v/>
      </c>
      <c r="S3481" s="3">
        <f>P3481*Assumptions!$B$3/100</f>
        <v/>
      </c>
      <c r="T3481" s="14">
        <f>R3481-S3481</f>
        <v/>
      </c>
      <c r="U3481" s="14">
        <f>L3481*G3481</f>
        <v/>
      </c>
    </row>
    <row r="3482">
      <c r="A3482" s="12" t="inlineStr">
        <is>
          <t>PO-2023-3480</t>
        </is>
      </c>
      <c r="B3482" s="26" t="n">
        <v>45142</v>
      </c>
      <c r="C3482" s="12" t="inlineStr">
        <is>
          <t>VS21</t>
        </is>
      </c>
      <c r="D3482" s="12" t="inlineStr">
        <is>
          <t>GI Sheets</t>
        </is>
      </c>
      <c r="E3482" s="12" t="inlineStr">
        <is>
          <t>Y</t>
        </is>
      </c>
      <c r="F3482" s="12" t="n">
        <v>17.4</v>
      </c>
      <c r="G3482" s="17" t="n">
        <v>110414.43</v>
      </c>
      <c r="H3482" s="26" t="n">
        <v>45155</v>
      </c>
      <c r="I3482" s="26" t="n">
        <v>45156</v>
      </c>
      <c r="J3482" s="12" t="n">
        <v>17.29</v>
      </c>
      <c r="K3482" s="17" t="n">
        <v>1921211.08</v>
      </c>
      <c r="L3482" s="12" t="n">
        <v>0</v>
      </c>
      <c r="M3482" s="12" t="n">
        <v>0</v>
      </c>
      <c r="N3482" s="27">
        <f>F3482-J3482</f>
        <v/>
      </c>
      <c r="O3482" s="16">
        <f>I3482-H3482</f>
        <v/>
      </c>
      <c r="P3482" s="14">
        <f>F3482*G3482</f>
        <v/>
      </c>
      <c r="Q3482" s="14">
        <f>J3482*G3482</f>
        <v/>
      </c>
      <c r="R3482" s="14">
        <f>K3482-Q3482</f>
        <v/>
      </c>
      <c r="S3482" s="3">
        <f>P3482*Assumptions!$B$3/100</f>
        <v/>
      </c>
      <c r="T3482" s="14">
        <f>R3482-S3482</f>
        <v/>
      </c>
      <c r="U3482" s="14">
        <f>L3482*G3482</f>
        <v/>
      </c>
    </row>
    <row r="3483">
      <c r="A3483" s="12" t="inlineStr">
        <is>
          <t>PO-2023-3481</t>
        </is>
      </c>
      <c r="B3483" s="26" t="n">
        <v>44810</v>
      </c>
      <c r="C3483" s="12" t="inlineStr">
        <is>
          <t>VS27</t>
        </is>
      </c>
      <c r="D3483" s="12" t="inlineStr">
        <is>
          <t>CR Sheets</t>
        </is>
      </c>
      <c r="E3483" s="12" t="inlineStr">
        <is>
          <t>N</t>
        </is>
      </c>
      <c r="F3483" s="12" t="n">
        <v>3.1</v>
      </c>
      <c r="G3483" s="17" t="n">
        <v>72997.87</v>
      </c>
      <c r="H3483" s="26" t="n">
        <v>44814</v>
      </c>
      <c r="I3483" s="26" t="n">
        <v>44814</v>
      </c>
      <c r="J3483" s="12" t="n">
        <v>3.09</v>
      </c>
      <c r="K3483" s="17" t="n">
        <v>226293.4</v>
      </c>
      <c r="L3483" s="12" t="n">
        <v>0</v>
      </c>
      <c r="M3483" s="12" t="n">
        <v>11</v>
      </c>
      <c r="N3483" s="27">
        <f>F3483-J3483</f>
        <v/>
      </c>
      <c r="O3483" s="16">
        <f>I3483-H3483</f>
        <v/>
      </c>
      <c r="P3483" s="14">
        <f>F3483*G3483</f>
        <v/>
      </c>
      <c r="Q3483" s="14">
        <f>J3483*G3483</f>
        <v/>
      </c>
      <c r="R3483" s="14">
        <f>K3483-Q3483</f>
        <v/>
      </c>
      <c r="S3483" s="3">
        <f>P3483*Assumptions!$B$3/100</f>
        <v/>
      </c>
      <c r="T3483" s="14">
        <f>R3483-S3483</f>
        <v/>
      </c>
      <c r="U3483" s="14">
        <f>L3483*G3483</f>
        <v/>
      </c>
    </row>
    <row r="3484">
      <c r="A3484" s="12" t="inlineStr">
        <is>
          <t>PO-2023-3482</t>
        </is>
      </c>
      <c r="B3484" s="26" t="n">
        <v>44273</v>
      </c>
      <c r="C3484" s="12" t="inlineStr">
        <is>
          <t>VS13</t>
        </is>
      </c>
      <c r="D3484" s="12" t="inlineStr">
        <is>
          <t>Spring Steel</t>
        </is>
      </c>
      <c r="E3484" s="12" t="inlineStr">
        <is>
          <t>N</t>
        </is>
      </c>
      <c r="F3484" s="12" t="n">
        <v>27.8</v>
      </c>
      <c r="G3484" s="17" t="n">
        <v>55152.67</v>
      </c>
      <c r="H3484" s="26" t="n">
        <v>44279</v>
      </c>
      <c r="I3484" s="26" t="n">
        <v>44282</v>
      </c>
      <c r="J3484" s="12" t="n">
        <v>27.65</v>
      </c>
      <c r="K3484" s="17" t="n">
        <v>1533244.23</v>
      </c>
      <c r="L3484" s="12" t="n">
        <v>0</v>
      </c>
      <c r="M3484" s="12" t="n">
        <v>10</v>
      </c>
      <c r="N3484" s="27">
        <f>F3484-J3484</f>
        <v/>
      </c>
      <c r="O3484" s="16">
        <f>I3484-H3484</f>
        <v/>
      </c>
      <c r="P3484" s="14">
        <f>F3484*G3484</f>
        <v/>
      </c>
      <c r="Q3484" s="14">
        <f>J3484*G3484</f>
        <v/>
      </c>
      <c r="R3484" s="14">
        <f>K3484-Q3484</f>
        <v/>
      </c>
      <c r="S3484" s="3">
        <f>P3484*Assumptions!$B$3/100</f>
        <v/>
      </c>
      <c r="T3484" s="14">
        <f>R3484-S3484</f>
        <v/>
      </c>
      <c r="U3484" s="14">
        <f>L3484*G3484</f>
        <v/>
      </c>
    </row>
    <row r="3485">
      <c r="A3485" s="12" t="inlineStr">
        <is>
          <t>PO-2023-3483</t>
        </is>
      </c>
      <c r="B3485" s="26" t="n">
        <v>44213</v>
      </c>
      <c r="C3485" s="12" t="inlineStr">
        <is>
          <t>VS17</t>
        </is>
      </c>
      <c r="D3485" s="12" t="inlineStr">
        <is>
          <t>Square/Rect Tubes</t>
        </is>
      </c>
      <c r="E3485" s="12" t="inlineStr">
        <is>
          <t>N</t>
        </is>
      </c>
      <c r="F3485" s="12" t="n">
        <v>24.84</v>
      </c>
      <c r="G3485" s="17" t="n">
        <v>60639.8</v>
      </c>
      <c r="H3485" s="26" t="n">
        <v>44218</v>
      </c>
      <c r="I3485" s="26" t="n">
        <v>44220</v>
      </c>
      <c r="J3485" s="12" t="n">
        <v>24.64</v>
      </c>
      <c r="K3485" s="17" t="n">
        <v>1506292.63</v>
      </c>
      <c r="L3485" s="12" t="n">
        <v>0</v>
      </c>
      <c r="M3485" s="12" t="n">
        <v>0</v>
      </c>
      <c r="N3485" s="27">
        <f>F3485-J3485</f>
        <v/>
      </c>
      <c r="O3485" s="16">
        <f>I3485-H3485</f>
        <v/>
      </c>
      <c r="P3485" s="14">
        <f>F3485*G3485</f>
        <v/>
      </c>
      <c r="Q3485" s="14">
        <f>J3485*G3485</f>
        <v/>
      </c>
      <c r="R3485" s="14">
        <f>K3485-Q3485</f>
        <v/>
      </c>
      <c r="S3485" s="3">
        <f>P3485*Assumptions!$B$3/100</f>
        <v/>
      </c>
      <c r="T3485" s="14">
        <f>R3485-S3485</f>
        <v/>
      </c>
      <c r="U3485" s="14">
        <f>L3485*G3485</f>
        <v/>
      </c>
    </row>
    <row r="3486">
      <c r="A3486" s="12" t="inlineStr">
        <is>
          <t>PO-2023-3484</t>
        </is>
      </c>
      <c r="B3486" s="26" t="n">
        <v>45239</v>
      </c>
      <c r="C3486" s="12" t="inlineStr">
        <is>
          <t>VS07</t>
        </is>
      </c>
      <c r="D3486" s="12" t="inlineStr">
        <is>
          <t>CR Sheets</t>
        </is>
      </c>
      <c r="E3486" s="12" t="inlineStr">
        <is>
          <t>N</t>
        </is>
      </c>
      <c r="F3486" s="12" t="n">
        <v>32.05</v>
      </c>
      <c r="G3486" s="17" t="n">
        <v>95732.42</v>
      </c>
      <c r="H3486" s="26" t="n">
        <v>45249</v>
      </c>
      <c r="I3486" s="26" t="n">
        <v>45249</v>
      </c>
      <c r="J3486" s="12" t="n">
        <v>31.98</v>
      </c>
      <c r="K3486" s="17" t="n">
        <v>3068224.06</v>
      </c>
      <c r="L3486" s="12" t="n">
        <v>0</v>
      </c>
      <c r="M3486" s="12" t="n">
        <v>0</v>
      </c>
      <c r="N3486" s="27">
        <f>F3486-J3486</f>
        <v/>
      </c>
      <c r="O3486" s="16">
        <f>I3486-H3486</f>
        <v/>
      </c>
      <c r="P3486" s="14">
        <f>F3486*G3486</f>
        <v/>
      </c>
      <c r="Q3486" s="14">
        <f>J3486*G3486</f>
        <v/>
      </c>
      <c r="R3486" s="14">
        <f>K3486-Q3486</f>
        <v/>
      </c>
      <c r="S3486" s="3">
        <f>P3486*Assumptions!$B$3/100</f>
        <v/>
      </c>
      <c r="T3486" s="14">
        <f>R3486-S3486</f>
        <v/>
      </c>
      <c r="U3486" s="14">
        <f>L3486*G3486</f>
        <v/>
      </c>
    </row>
    <row r="3487">
      <c r="A3487" s="12" t="inlineStr">
        <is>
          <t>PO-2023-3485</t>
        </is>
      </c>
      <c r="B3487" s="26" t="n">
        <v>44434</v>
      </c>
      <c r="C3487" s="12" t="inlineStr">
        <is>
          <t>VS34</t>
        </is>
      </c>
      <c r="D3487" s="12" t="inlineStr">
        <is>
          <t>HR Coils</t>
        </is>
      </c>
      <c r="E3487" s="12" t="inlineStr">
        <is>
          <t>N</t>
        </is>
      </c>
      <c r="F3487" s="12" t="n">
        <v>30.01</v>
      </c>
      <c r="G3487" s="17" t="n">
        <v>104568.52</v>
      </c>
      <c r="H3487" s="26" t="n">
        <v>44437</v>
      </c>
      <c r="I3487" s="26" t="n">
        <v>44440</v>
      </c>
      <c r="J3487" s="12" t="n">
        <v>29.8</v>
      </c>
      <c r="K3487" s="17" t="n">
        <v>3138101.29</v>
      </c>
      <c r="L3487" s="12" t="n">
        <v>0</v>
      </c>
      <c r="M3487" s="12" t="n">
        <v>0</v>
      </c>
      <c r="N3487" s="27">
        <f>F3487-J3487</f>
        <v/>
      </c>
      <c r="O3487" s="16">
        <f>I3487-H3487</f>
        <v/>
      </c>
      <c r="P3487" s="14">
        <f>F3487*G3487</f>
        <v/>
      </c>
      <c r="Q3487" s="14">
        <f>J3487*G3487</f>
        <v/>
      </c>
      <c r="R3487" s="14">
        <f>K3487-Q3487</f>
        <v/>
      </c>
      <c r="S3487" s="3">
        <f>P3487*Assumptions!$B$3/100</f>
        <v/>
      </c>
      <c r="T3487" s="14">
        <f>R3487-S3487</f>
        <v/>
      </c>
      <c r="U3487" s="14">
        <f>L3487*G3487</f>
        <v/>
      </c>
    </row>
    <row r="3488">
      <c r="A3488" s="12" t="inlineStr">
        <is>
          <t>PO-2023-3486</t>
        </is>
      </c>
      <c r="B3488" s="26" t="n">
        <v>45040</v>
      </c>
      <c r="C3488" s="12" t="inlineStr">
        <is>
          <t>VS03</t>
        </is>
      </c>
      <c r="D3488" s="12" t="inlineStr">
        <is>
          <t>GI Wire</t>
        </is>
      </c>
      <c r="E3488" s="12" t="inlineStr">
        <is>
          <t>N</t>
        </is>
      </c>
      <c r="F3488" s="12" t="n">
        <v>25.27</v>
      </c>
      <c r="G3488" s="17" t="n">
        <v>67089.96000000001</v>
      </c>
      <c r="H3488" s="26" t="n">
        <v>45055</v>
      </c>
      <c r="I3488" s="26" t="n">
        <v>45059</v>
      </c>
      <c r="J3488" s="12" t="n">
        <v>24.05</v>
      </c>
      <c r="K3488" s="17" t="n">
        <v>1695363.29</v>
      </c>
      <c r="L3488" s="12" t="n">
        <v>1.11</v>
      </c>
      <c r="M3488" s="12" t="n">
        <v>0</v>
      </c>
      <c r="N3488" s="27">
        <f>F3488-J3488</f>
        <v/>
      </c>
      <c r="O3488" s="16">
        <f>I3488-H3488</f>
        <v/>
      </c>
      <c r="P3488" s="14">
        <f>F3488*G3488</f>
        <v/>
      </c>
      <c r="Q3488" s="14">
        <f>J3488*G3488</f>
        <v/>
      </c>
      <c r="R3488" s="14">
        <f>K3488-Q3488</f>
        <v/>
      </c>
      <c r="S3488" s="3">
        <f>P3488*Assumptions!$B$3/100</f>
        <v/>
      </c>
      <c r="T3488" s="14">
        <f>R3488-S3488</f>
        <v/>
      </c>
      <c r="U3488" s="14">
        <f>L3488*G3488</f>
        <v/>
      </c>
    </row>
    <row r="3489">
      <c r="A3489" s="12" t="inlineStr">
        <is>
          <t>PO-2023-3487</t>
        </is>
      </c>
      <c r="B3489" s="26" t="n">
        <v>44204</v>
      </c>
      <c r="C3489" s="12" t="inlineStr">
        <is>
          <t>VS12</t>
        </is>
      </c>
      <c r="D3489" s="12" t="inlineStr">
        <is>
          <t>MS Sheets</t>
        </is>
      </c>
      <c r="E3489" s="12" t="inlineStr">
        <is>
          <t>N</t>
        </is>
      </c>
      <c r="F3489" s="12" t="n">
        <v>25.78</v>
      </c>
      <c r="G3489" s="17" t="n">
        <v>106355.45</v>
      </c>
      <c r="H3489" s="26" t="n">
        <v>44211</v>
      </c>
      <c r="I3489" s="26" t="n">
        <v>44219</v>
      </c>
      <c r="J3489" s="12" t="n">
        <v>24.54</v>
      </c>
      <c r="K3489" s="17" t="n">
        <v>2741843.5</v>
      </c>
      <c r="L3489" s="12" t="n">
        <v>0.36</v>
      </c>
      <c r="M3489" s="12" t="n">
        <v>0</v>
      </c>
      <c r="N3489" s="27">
        <f>F3489-J3489</f>
        <v/>
      </c>
      <c r="O3489" s="16">
        <f>I3489-H3489</f>
        <v/>
      </c>
      <c r="P3489" s="14">
        <f>F3489*G3489</f>
        <v/>
      </c>
      <c r="Q3489" s="14">
        <f>J3489*G3489</f>
        <v/>
      </c>
      <c r="R3489" s="14">
        <f>K3489-Q3489</f>
        <v/>
      </c>
      <c r="S3489" s="3">
        <f>P3489*Assumptions!$B$3/100</f>
        <v/>
      </c>
      <c r="T3489" s="14">
        <f>R3489-S3489</f>
        <v/>
      </c>
      <c r="U3489" s="14">
        <f>L3489*G3489</f>
        <v/>
      </c>
    </row>
    <row r="3490">
      <c r="A3490" s="12" t="inlineStr">
        <is>
          <t>PO-2023-3488</t>
        </is>
      </c>
      <c r="B3490" s="26" t="n">
        <v>45239</v>
      </c>
      <c r="C3490" s="12" t="inlineStr">
        <is>
          <t>VS30</t>
        </is>
      </c>
      <c r="D3490" s="12" t="inlineStr">
        <is>
          <t>CR Sheets</t>
        </is>
      </c>
      <c r="E3490" s="12" t="inlineStr">
        <is>
          <t>N</t>
        </is>
      </c>
      <c r="F3490" s="12" t="n">
        <v>43.69</v>
      </c>
      <c r="G3490" s="17" t="n">
        <v>101579.91</v>
      </c>
      <c r="H3490" s="26" t="n">
        <v>45247</v>
      </c>
      <c r="I3490" s="26" t="n">
        <v>45247</v>
      </c>
      <c r="J3490" s="12" t="n">
        <v>43.43</v>
      </c>
      <c r="K3490" s="17" t="n">
        <v>4438026.27</v>
      </c>
      <c r="L3490" s="12" t="n">
        <v>0</v>
      </c>
      <c r="M3490" s="12" t="n">
        <v>16</v>
      </c>
      <c r="N3490" s="27">
        <f>F3490-J3490</f>
        <v/>
      </c>
      <c r="O3490" s="16">
        <f>I3490-H3490</f>
        <v/>
      </c>
      <c r="P3490" s="14">
        <f>F3490*G3490</f>
        <v/>
      </c>
      <c r="Q3490" s="14">
        <f>J3490*G3490</f>
        <v/>
      </c>
      <c r="R3490" s="14">
        <f>K3490-Q3490</f>
        <v/>
      </c>
      <c r="S3490" s="3">
        <f>P3490*Assumptions!$B$3/100</f>
        <v/>
      </c>
      <c r="T3490" s="14">
        <f>R3490-S3490</f>
        <v/>
      </c>
      <c r="U3490" s="14">
        <f>L3490*G3490</f>
        <v/>
      </c>
    </row>
    <row r="3491">
      <c r="A3491" s="12" t="inlineStr">
        <is>
          <t>PO-2023-3489</t>
        </is>
      </c>
      <c r="B3491" s="26" t="n">
        <v>44426</v>
      </c>
      <c r="C3491" s="12" t="inlineStr">
        <is>
          <t>VS16</t>
        </is>
      </c>
      <c r="D3491" s="12" t="inlineStr">
        <is>
          <t>MS Flats</t>
        </is>
      </c>
      <c r="E3491" s="12" t="inlineStr">
        <is>
          <t>N</t>
        </is>
      </c>
      <c r="F3491" s="12" t="n">
        <v>27.34</v>
      </c>
      <c r="G3491" s="17" t="n">
        <v>111956.75</v>
      </c>
      <c r="H3491" s="26" t="n">
        <v>44431</v>
      </c>
      <c r="I3491" s="26" t="n">
        <v>44434</v>
      </c>
      <c r="J3491" s="12" t="n">
        <v>27.19</v>
      </c>
      <c r="K3491" s="17" t="n">
        <v>3060897.54</v>
      </c>
      <c r="L3491" s="12" t="n">
        <v>0</v>
      </c>
      <c r="M3491" s="12" t="n">
        <v>0</v>
      </c>
      <c r="N3491" s="27">
        <f>F3491-J3491</f>
        <v/>
      </c>
      <c r="O3491" s="16">
        <f>I3491-H3491</f>
        <v/>
      </c>
      <c r="P3491" s="14">
        <f>F3491*G3491</f>
        <v/>
      </c>
      <c r="Q3491" s="14">
        <f>J3491*G3491</f>
        <v/>
      </c>
      <c r="R3491" s="14">
        <f>K3491-Q3491</f>
        <v/>
      </c>
      <c r="S3491" s="3">
        <f>P3491*Assumptions!$B$3/100</f>
        <v/>
      </c>
      <c r="T3491" s="14">
        <f>R3491-S3491</f>
        <v/>
      </c>
      <c r="U3491" s="14">
        <f>L3491*G3491</f>
        <v/>
      </c>
    </row>
    <row r="3492">
      <c r="A3492" s="12" t="inlineStr">
        <is>
          <t>PO-2023-3490</t>
        </is>
      </c>
      <c r="B3492" s="26" t="n">
        <v>45202</v>
      </c>
      <c r="C3492" s="12" t="inlineStr">
        <is>
          <t>VS08</t>
        </is>
      </c>
      <c r="D3492" s="12" t="inlineStr">
        <is>
          <t>Fasteners &amp; Fittings</t>
        </is>
      </c>
      <c r="E3492" s="12" t="inlineStr">
        <is>
          <t>N</t>
        </is>
      </c>
      <c r="F3492" s="12" t="n">
        <v>14.03</v>
      </c>
      <c r="G3492" s="17" t="n">
        <v>59740.95</v>
      </c>
      <c r="H3492" s="26" t="n">
        <v>45215</v>
      </c>
      <c r="I3492" s="26" t="n">
        <v>45218</v>
      </c>
      <c r="J3492" s="12" t="n">
        <v>14</v>
      </c>
      <c r="K3492" s="17" t="n">
        <v>838165.53</v>
      </c>
      <c r="L3492" s="12" t="n">
        <v>0</v>
      </c>
      <c r="M3492" s="12" t="n">
        <v>8</v>
      </c>
      <c r="N3492" s="27">
        <f>F3492-J3492</f>
        <v/>
      </c>
      <c r="O3492" s="16">
        <f>I3492-H3492</f>
        <v/>
      </c>
      <c r="P3492" s="14">
        <f>F3492*G3492</f>
        <v/>
      </c>
      <c r="Q3492" s="14">
        <f>J3492*G3492</f>
        <v/>
      </c>
      <c r="R3492" s="14">
        <f>K3492-Q3492</f>
        <v/>
      </c>
      <c r="S3492" s="3">
        <f>P3492*Assumptions!$B$3/100</f>
        <v/>
      </c>
      <c r="T3492" s="14">
        <f>R3492-S3492</f>
        <v/>
      </c>
      <c r="U3492" s="14">
        <f>L3492*G3492</f>
        <v/>
      </c>
    </row>
    <row r="3493">
      <c r="A3493" s="12" t="inlineStr">
        <is>
          <t>PO-2023-3491</t>
        </is>
      </c>
      <c r="B3493" s="26" t="n">
        <v>45067</v>
      </c>
      <c r="C3493" s="12" t="inlineStr">
        <is>
          <t>VS08</t>
        </is>
      </c>
      <c r="D3493" s="12" t="inlineStr">
        <is>
          <t>ERW Pipes</t>
        </is>
      </c>
      <c r="E3493" s="12" t="inlineStr">
        <is>
          <t>N</t>
        </is>
      </c>
      <c r="F3493" s="12" t="n">
        <v>38.12</v>
      </c>
      <c r="G3493" s="17" t="n">
        <v>107935.78</v>
      </c>
      <c r="H3493" s="26" t="n">
        <v>45074</v>
      </c>
      <c r="I3493" s="26" t="n">
        <v>45077</v>
      </c>
      <c r="J3493" s="12" t="n">
        <v>37.78</v>
      </c>
      <c r="K3493" s="17" t="n">
        <v>4114511.93</v>
      </c>
      <c r="L3493" s="12" t="n">
        <v>0</v>
      </c>
      <c r="M3493" s="12" t="n">
        <v>0</v>
      </c>
      <c r="N3493" s="27">
        <f>F3493-J3493</f>
        <v/>
      </c>
      <c r="O3493" s="16">
        <f>I3493-H3493</f>
        <v/>
      </c>
      <c r="P3493" s="14">
        <f>F3493*G3493</f>
        <v/>
      </c>
      <c r="Q3493" s="14">
        <f>J3493*G3493</f>
        <v/>
      </c>
      <c r="R3493" s="14">
        <f>K3493-Q3493</f>
        <v/>
      </c>
      <c r="S3493" s="3">
        <f>P3493*Assumptions!$B$3/100</f>
        <v/>
      </c>
      <c r="T3493" s="14">
        <f>R3493-S3493</f>
        <v/>
      </c>
      <c r="U3493" s="14">
        <f>L3493*G3493</f>
        <v/>
      </c>
    </row>
    <row r="3494">
      <c r="A3494" s="12" t="inlineStr">
        <is>
          <t>PO-2023-3492</t>
        </is>
      </c>
      <c r="B3494" s="26" t="n">
        <v>44268</v>
      </c>
      <c r="C3494" s="12" t="inlineStr">
        <is>
          <t>VS13</t>
        </is>
      </c>
      <c r="D3494" s="12" t="inlineStr">
        <is>
          <t>SS Sheets</t>
        </is>
      </c>
      <c r="E3494" s="12" t="inlineStr">
        <is>
          <t>N</t>
        </is>
      </c>
      <c r="F3494" s="12" t="n">
        <v>47.41</v>
      </c>
      <c r="G3494" s="17" t="n">
        <v>89298.57000000001</v>
      </c>
      <c r="H3494" s="26" t="n">
        <v>44283</v>
      </c>
      <c r="I3494" s="26" t="n">
        <v>44286</v>
      </c>
      <c r="J3494" s="12" t="n">
        <v>47.21</v>
      </c>
      <c r="K3494" s="17" t="n">
        <v>4233645.2</v>
      </c>
      <c r="L3494" s="12" t="n">
        <v>0</v>
      </c>
      <c r="M3494" s="12" t="n">
        <v>0</v>
      </c>
      <c r="N3494" s="27">
        <f>F3494-J3494</f>
        <v/>
      </c>
      <c r="O3494" s="16">
        <f>I3494-H3494</f>
        <v/>
      </c>
      <c r="P3494" s="14">
        <f>F3494*G3494</f>
        <v/>
      </c>
      <c r="Q3494" s="14">
        <f>J3494*G3494</f>
        <v/>
      </c>
      <c r="R3494" s="14">
        <f>K3494-Q3494</f>
        <v/>
      </c>
      <c r="S3494" s="3">
        <f>P3494*Assumptions!$B$3/100</f>
        <v/>
      </c>
      <c r="T3494" s="14">
        <f>R3494-S3494</f>
        <v/>
      </c>
      <c r="U3494" s="14">
        <f>L3494*G3494</f>
        <v/>
      </c>
    </row>
    <row r="3495">
      <c r="A3495" s="12" t="inlineStr">
        <is>
          <t>PO-2023-3493</t>
        </is>
      </c>
      <c r="B3495" s="26" t="n">
        <v>45267</v>
      </c>
      <c r="C3495" s="12" t="inlineStr">
        <is>
          <t>VS05</t>
        </is>
      </c>
      <c r="D3495" s="12" t="inlineStr">
        <is>
          <t>Hex Bars</t>
        </is>
      </c>
      <c r="E3495" s="12" t="inlineStr">
        <is>
          <t>N</t>
        </is>
      </c>
      <c r="F3495" s="12" t="n">
        <v>25.18</v>
      </c>
      <c r="G3495" s="17" t="n">
        <v>86128.25</v>
      </c>
      <c r="H3495" s="26" t="n">
        <v>45277</v>
      </c>
      <c r="I3495" s="26" t="n">
        <v>45280</v>
      </c>
      <c r="J3495" s="12" t="n">
        <v>24.95</v>
      </c>
      <c r="K3495" s="17" t="n">
        <v>2168709.33</v>
      </c>
      <c r="L3495" s="12" t="n">
        <v>0</v>
      </c>
      <c r="M3495" s="12" t="n">
        <v>0</v>
      </c>
      <c r="N3495" s="27">
        <f>F3495-J3495</f>
        <v/>
      </c>
      <c r="O3495" s="16">
        <f>I3495-H3495</f>
        <v/>
      </c>
      <c r="P3495" s="14">
        <f>F3495*G3495</f>
        <v/>
      </c>
      <c r="Q3495" s="14">
        <f>J3495*G3495</f>
        <v/>
      </c>
      <c r="R3495" s="14">
        <f>K3495-Q3495</f>
        <v/>
      </c>
      <c r="S3495" s="3">
        <f>P3495*Assumptions!$B$3/100</f>
        <v/>
      </c>
      <c r="T3495" s="14">
        <f>R3495-S3495</f>
        <v/>
      </c>
      <c r="U3495" s="14">
        <f>L3495*G3495</f>
        <v/>
      </c>
    </row>
    <row r="3496">
      <c r="A3496" s="12" t="inlineStr">
        <is>
          <t>PO-2023-3494</t>
        </is>
      </c>
      <c r="B3496" s="26" t="n">
        <v>44932</v>
      </c>
      <c r="C3496" s="12" t="inlineStr">
        <is>
          <t>VS33</t>
        </is>
      </c>
      <c r="D3496" s="12" t="inlineStr">
        <is>
          <t>HR Coils</t>
        </is>
      </c>
      <c r="E3496" s="12" t="inlineStr">
        <is>
          <t>Y</t>
        </is>
      </c>
      <c r="F3496" s="12" t="n">
        <v>36.88</v>
      </c>
      <c r="G3496" s="17" t="n">
        <v>61083.68</v>
      </c>
      <c r="H3496" s="26" t="n">
        <v>44939</v>
      </c>
      <c r="I3496" s="26" t="n">
        <v>44940</v>
      </c>
      <c r="J3496" s="12" t="n">
        <v>36.78</v>
      </c>
      <c r="K3496" s="17" t="n">
        <v>2252766.12</v>
      </c>
      <c r="L3496" s="12" t="n">
        <v>0</v>
      </c>
      <c r="M3496" s="12" t="n">
        <v>0</v>
      </c>
      <c r="N3496" s="27">
        <f>F3496-J3496</f>
        <v/>
      </c>
      <c r="O3496" s="16">
        <f>I3496-H3496</f>
        <v/>
      </c>
      <c r="P3496" s="14">
        <f>F3496*G3496</f>
        <v/>
      </c>
      <c r="Q3496" s="14">
        <f>J3496*G3496</f>
        <v/>
      </c>
      <c r="R3496" s="14">
        <f>K3496-Q3496</f>
        <v/>
      </c>
      <c r="S3496" s="3">
        <f>P3496*Assumptions!$B$3/100</f>
        <v/>
      </c>
      <c r="T3496" s="14">
        <f>R3496-S3496</f>
        <v/>
      </c>
      <c r="U3496" s="14">
        <f>L3496*G3496</f>
        <v/>
      </c>
    </row>
    <row r="3497">
      <c r="A3497" s="12" t="inlineStr">
        <is>
          <t>PO-2023-3495</t>
        </is>
      </c>
      <c r="B3497" s="26" t="n">
        <v>45169</v>
      </c>
      <c r="C3497" s="12" t="inlineStr">
        <is>
          <t>VS29</t>
        </is>
      </c>
      <c r="D3497" s="12" t="inlineStr">
        <is>
          <t>MS Pipes</t>
        </is>
      </c>
      <c r="E3497" s="12" t="inlineStr">
        <is>
          <t>N</t>
        </is>
      </c>
      <c r="F3497" s="12" t="n">
        <v>41.64</v>
      </c>
      <c r="G3497" s="17" t="n">
        <v>52071.98</v>
      </c>
      <c r="H3497" s="26" t="n">
        <v>45183</v>
      </c>
      <c r="I3497" s="26" t="n">
        <v>45183</v>
      </c>
      <c r="J3497" s="12" t="n">
        <v>41.39</v>
      </c>
      <c r="K3497" s="17" t="n">
        <v>2168277.25</v>
      </c>
      <c r="L3497" s="12" t="n">
        <v>0</v>
      </c>
      <c r="M3497" s="12" t="n">
        <v>0</v>
      </c>
      <c r="N3497" s="27">
        <f>F3497-J3497</f>
        <v/>
      </c>
      <c r="O3497" s="16">
        <f>I3497-H3497</f>
        <v/>
      </c>
      <c r="P3497" s="14">
        <f>F3497*G3497</f>
        <v/>
      </c>
      <c r="Q3497" s="14">
        <f>J3497*G3497</f>
        <v/>
      </c>
      <c r="R3497" s="14">
        <f>K3497-Q3497</f>
        <v/>
      </c>
      <c r="S3497" s="3">
        <f>P3497*Assumptions!$B$3/100</f>
        <v/>
      </c>
      <c r="T3497" s="14">
        <f>R3497-S3497</f>
        <v/>
      </c>
      <c r="U3497" s="14">
        <f>L3497*G3497</f>
        <v/>
      </c>
    </row>
    <row r="3498">
      <c r="A3498" s="12" t="inlineStr">
        <is>
          <t>PO-2023-3496</t>
        </is>
      </c>
      <c r="B3498" s="26" t="n">
        <v>44214</v>
      </c>
      <c r="C3498" s="12" t="inlineStr">
        <is>
          <t>VS01</t>
        </is>
      </c>
      <c r="D3498" s="12" t="inlineStr">
        <is>
          <t>ERW Pipes</t>
        </is>
      </c>
      <c r="E3498" s="12" t="inlineStr">
        <is>
          <t>Y</t>
        </is>
      </c>
      <c r="F3498" s="12" t="n">
        <v>47.16</v>
      </c>
      <c r="G3498" s="17" t="n">
        <v>71183</v>
      </c>
      <c r="H3498" s="26" t="n">
        <v>44225</v>
      </c>
      <c r="I3498" s="26" t="n">
        <v>44226</v>
      </c>
      <c r="J3498" s="12" t="n">
        <v>47.16</v>
      </c>
      <c r="K3498" s="17" t="n">
        <v>3356990.28</v>
      </c>
      <c r="L3498" s="12" t="n">
        <v>0</v>
      </c>
      <c r="M3498" s="12" t="n">
        <v>4</v>
      </c>
      <c r="N3498" s="27">
        <f>F3498-J3498</f>
        <v/>
      </c>
      <c r="O3498" s="16">
        <f>I3498-H3498</f>
        <v/>
      </c>
      <c r="P3498" s="14">
        <f>F3498*G3498</f>
        <v/>
      </c>
      <c r="Q3498" s="14">
        <f>J3498*G3498</f>
        <v/>
      </c>
      <c r="R3498" s="14">
        <f>K3498-Q3498</f>
        <v/>
      </c>
      <c r="S3498" s="3">
        <f>P3498*Assumptions!$B$3/100</f>
        <v/>
      </c>
      <c r="T3498" s="14">
        <f>R3498-S3498</f>
        <v/>
      </c>
      <c r="U3498" s="14">
        <f>L3498*G3498</f>
        <v/>
      </c>
    </row>
    <row r="3499">
      <c r="A3499" s="12" t="inlineStr">
        <is>
          <t>PO-2023-3497</t>
        </is>
      </c>
      <c r="B3499" s="26" t="n">
        <v>45055</v>
      </c>
      <c r="C3499" s="12" t="inlineStr">
        <is>
          <t>VS02</t>
        </is>
      </c>
      <c r="D3499" s="12" t="inlineStr">
        <is>
          <t>MS Sheets</t>
        </is>
      </c>
      <c r="E3499" s="12" t="inlineStr">
        <is>
          <t>N</t>
        </is>
      </c>
      <c r="F3499" s="12" t="n">
        <v>27.7</v>
      </c>
      <c r="G3499" s="17" t="n">
        <v>74692.35000000001</v>
      </c>
      <c r="H3499" s="26" t="n">
        <v>45063</v>
      </c>
      <c r="I3499" s="26" t="n">
        <v>45064</v>
      </c>
      <c r="J3499" s="12" t="n">
        <v>27.58</v>
      </c>
      <c r="K3499" s="17" t="n">
        <v>2068978.1</v>
      </c>
      <c r="L3499" s="12" t="n">
        <v>0</v>
      </c>
      <c r="M3499" s="12" t="n">
        <v>12</v>
      </c>
      <c r="N3499" s="27">
        <f>F3499-J3499</f>
        <v/>
      </c>
      <c r="O3499" s="16">
        <f>I3499-H3499</f>
        <v/>
      </c>
      <c r="P3499" s="14">
        <f>F3499*G3499</f>
        <v/>
      </c>
      <c r="Q3499" s="14">
        <f>J3499*G3499</f>
        <v/>
      </c>
      <c r="R3499" s="14">
        <f>K3499-Q3499</f>
        <v/>
      </c>
      <c r="S3499" s="3">
        <f>P3499*Assumptions!$B$3/100</f>
        <v/>
      </c>
      <c r="T3499" s="14">
        <f>R3499-S3499</f>
        <v/>
      </c>
      <c r="U3499" s="14">
        <f>L3499*G3499</f>
        <v/>
      </c>
    </row>
    <row r="3500">
      <c r="A3500" s="12" t="inlineStr">
        <is>
          <t>PO-2023-3498</t>
        </is>
      </c>
      <c r="B3500" s="26" t="n">
        <v>44738</v>
      </c>
      <c r="C3500" s="12" t="inlineStr">
        <is>
          <t>VS11</t>
        </is>
      </c>
      <c r="D3500" s="12" t="inlineStr">
        <is>
          <t>GI Pipes</t>
        </is>
      </c>
      <c r="E3500" s="12" t="inlineStr">
        <is>
          <t>N</t>
        </is>
      </c>
      <c r="F3500" s="12" t="n">
        <v>46.27</v>
      </c>
      <c r="G3500" s="17" t="n">
        <v>50086.51</v>
      </c>
      <c r="H3500" s="26" t="n">
        <v>44743</v>
      </c>
      <c r="I3500" s="26" t="n">
        <v>44743</v>
      </c>
      <c r="J3500" s="12" t="n">
        <v>46.13</v>
      </c>
      <c r="K3500" s="17" t="n">
        <v>2317502.82</v>
      </c>
      <c r="L3500" s="12" t="n">
        <v>0</v>
      </c>
      <c r="M3500" s="12" t="n">
        <v>12</v>
      </c>
      <c r="N3500" s="27">
        <f>F3500-J3500</f>
        <v/>
      </c>
      <c r="O3500" s="16">
        <f>I3500-H3500</f>
        <v/>
      </c>
      <c r="P3500" s="14">
        <f>F3500*G3500</f>
        <v/>
      </c>
      <c r="Q3500" s="14">
        <f>J3500*G3500</f>
        <v/>
      </c>
      <c r="R3500" s="14">
        <f>K3500-Q3500</f>
        <v/>
      </c>
      <c r="S3500" s="3">
        <f>P3500*Assumptions!$B$3/100</f>
        <v/>
      </c>
      <c r="T3500" s="14">
        <f>R3500-S3500</f>
        <v/>
      </c>
      <c r="U3500" s="14">
        <f>L3500*G3500</f>
        <v/>
      </c>
    </row>
    <row r="3501">
      <c r="A3501" s="12" t="inlineStr">
        <is>
          <t>PO-2023-3499</t>
        </is>
      </c>
      <c r="B3501" s="26" t="n">
        <v>44673</v>
      </c>
      <c r="C3501" s="12" t="inlineStr">
        <is>
          <t>VS06</t>
        </is>
      </c>
      <c r="D3501" s="12" t="inlineStr">
        <is>
          <t>GI Pipes</t>
        </is>
      </c>
      <c r="E3501" s="12" t="inlineStr">
        <is>
          <t>N</t>
        </is>
      </c>
      <c r="F3501" s="12" t="n">
        <v>36.48</v>
      </c>
      <c r="G3501" s="17" t="n">
        <v>71707.46000000001</v>
      </c>
      <c r="H3501" s="26" t="n">
        <v>44683</v>
      </c>
      <c r="I3501" s="26" t="n">
        <v>44683</v>
      </c>
      <c r="J3501" s="12" t="n">
        <v>36.29</v>
      </c>
      <c r="K3501" s="17" t="n">
        <v>2615888.14</v>
      </c>
      <c r="L3501" s="12" t="n">
        <v>0</v>
      </c>
      <c r="M3501" s="12" t="n">
        <v>9</v>
      </c>
      <c r="N3501" s="27">
        <f>F3501-J3501</f>
        <v/>
      </c>
      <c r="O3501" s="16">
        <f>I3501-H3501</f>
        <v/>
      </c>
      <c r="P3501" s="14">
        <f>F3501*G3501</f>
        <v/>
      </c>
      <c r="Q3501" s="14">
        <f>J3501*G3501</f>
        <v/>
      </c>
      <c r="R3501" s="14">
        <f>K3501-Q3501</f>
        <v/>
      </c>
      <c r="S3501" s="3">
        <f>P3501*Assumptions!$B$3/100</f>
        <v/>
      </c>
      <c r="T3501" s="14">
        <f>R3501-S3501</f>
        <v/>
      </c>
      <c r="U3501" s="14">
        <f>L3501*G3501</f>
        <v/>
      </c>
    </row>
    <row r="3502">
      <c r="A3502" s="12" t="inlineStr">
        <is>
          <t>PO-2023-3500</t>
        </is>
      </c>
      <c r="B3502" s="26" t="n">
        <v>44471</v>
      </c>
      <c r="C3502" s="12" t="inlineStr">
        <is>
          <t>VS01</t>
        </is>
      </c>
      <c r="D3502" s="12" t="inlineStr">
        <is>
          <t>CR Sheets</t>
        </is>
      </c>
      <c r="E3502" s="12" t="inlineStr">
        <is>
          <t>Y</t>
        </is>
      </c>
      <c r="F3502" s="12" t="n">
        <v>38.14</v>
      </c>
      <c r="G3502" s="17" t="n">
        <v>49971.36</v>
      </c>
      <c r="H3502" s="26" t="n">
        <v>44474</v>
      </c>
      <c r="I3502" s="26" t="n">
        <v>44477</v>
      </c>
      <c r="J3502" s="12" t="n">
        <v>37.93</v>
      </c>
      <c r="K3502" s="17" t="n">
        <v>1905907.67</v>
      </c>
      <c r="L3502" s="12" t="n">
        <v>0</v>
      </c>
      <c r="M3502" s="12" t="n">
        <v>2</v>
      </c>
      <c r="N3502" s="27">
        <f>F3502-J3502</f>
        <v/>
      </c>
      <c r="O3502" s="16">
        <f>I3502-H3502</f>
        <v/>
      </c>
      <c r="P3502" s="14">
        <f>F3502*G3502</f>
        <v/>
      </c>
      <c r="Q3502" s="14">
        <f>J3502*G3502</f>
        <v/>
      </c>
      <c r="R3502" s="14">
        <f>K3502-Q3502</f>
        <v/>
      </c>
      <c r="S3502" s="3">
        <f>P3502*Assumptions!$B$3/100</f>
        <v/>
      </c>
      <c r="T3502" s="14">
        <f>R3502-S3502</f>
        <v/>
      </c>
      <c r="U3502" s="14">
        <f>L3502*G3502</f>
        <v/>
      </c>
    </row>
    <row r="3503">
      <c r="A3503" s="12" t="inlineStr">
        <is>
          <t>PO-2023-3501</t>
        </is>
      </c>
      <c r="B3503" s="26" t="n">
        <v>45210</v>
      </c>
      <c r="C3503" s="12" t="inlineStr">
        <is>
          <t>VS18</t>
        </is>
      </c>
      <c r="D3503" s="12" t="inlineStr">
        <is>
          <t>ERW Pipes</t>
        </is>
      </c>
      <c r="E3503" s="12" t="inlineStr">
        <is>
          <t>N</t>
        </is>
      </c>
      <c r="F3503" s="12" t="n">
        <v>28.69</v>
      </c>
      <c r="G3503" s="17" t="n">
        <v>56967.08</v>
      </c>
      <c r="H3503" s="26" t="n">
        <v>45218</v>
      </c>
      <c r="I3503" s="26" t="n">
        <v>45219</v>
      </c>
      <c r="J3503" s="12" t="n">
        <v>28.65</v>
      </c>
      <c r="K3503" s="17" t="n">
        <v>1634385.53</v>
      </c>
      <c r="L3503" s="12" t="n">
        <v>0</v>
      </c>
      <c r="M3503" s="12" t="n">
        <v>16</v>
      </c>
      <c r="N3503" s="27">
        <f>F3503-J3503</f>
        <v/>
      </c>
      <c r="O3503" s="16">
        <f>I3503-H3503</f>
        <v/>
      </c>
      <c r="P3503" s="14">
        <f>F3503*G3503</f>
        <v/>
      </c>
      <c r="Q3503" s="14">
        <f>J3503*G3503</f>
        <v/>
      </c>
      <c r="R3503" s="14">
        <f>K3503-Q3503</f>
        <v/>
      </c>
      <c r="S3503" s="3">
        <f>P3503*Assumptions!$B$3/100</f>
        <v/>
      </c>
      <c r="T3503" s="14">
        <f>R3503-S3503</f>
        <v/>
      </c>
      <c r="U3503" s="14">
        <f>L3503*G3503</f>
        <v/>
      </c>
    </row>
    <row r="3504">
      <c r="A3504" s="12" t="inlineStr">
        <is>
          <t>PO-2023-3502</t>
        </is>
      </c>
      <c r="B3504" s="26" t="n">
        <v>44688</v>
      </c>
      <c r="C3504" s="12" t="inlineStr">
        <is>
          <t>VS05</t>
        </is>
      </c>
      <c r="D3504" s="12" t="inlineStr">
        <is>
          <t>GI Pipes</t>
        </is>
      </c>
      <c r="E3504" s="12" t="inlineStr">
        <is>
          <t>N</t>
        </is>
      </c>
      <c r="F3504" s="12" t="n">
        <v>31.45</v>
      </c>
      <c r="G3504" s="17" t="n">
        <v>98594.02</v>
      </c>
      <c r="H3504" s="26" t="n">
        <v>44695</v>
      </c>
      <c r="I3504" s="26" t="n">
        <v>44695</v>
      </c>
      <c r="J3504" s="12" t="n">
        <v>31.18</v>
      </c>
      <c r="K3504" s="17" t="n">
        <v>3100781.93</v>
      </c>
      <c r="L3504" s="12" t="n">
        <v>0</v>
      </c>
      <c r="M3504" s="12" t="n">
        <v>1</v>
      </c>
      <c r="N3504" s="27">
        <f>F3504-J3504</f>
        <v/>
      </c>
      <c r="O3504" s="16">
        <f>I3504-H3504</f>
        <v/>
      </c>
      <c r="P3504" s="14">
        <f>F3504*G3504</f>
        <v/>
      </c>
      <c r="Q3504" s="14">
        <f>J3504*G3504</f>
        <v/>
      </c>
      <c r="R3504" s="14">
        <f>K3504-Q3504</f>
        <v/>
      </c>
      <c r="S3504" s="3">
        <f>P3504*Assumptions!$B$3/100</f>
        <v/>
      </c>
      <c r="T3504" s="14">
        <f>R3504-S3504</f>
        <v/>
      </c>
      <c r="U3504" s="14">
        <f>L3504*G3504</f>
        <v/>
      </c>
    </row>
    <row r="3505">
      <c r="A3505" s="12" t="inlineStr">
        <is>
          <t>PO-2023-3503</t>
        </is>
      </c>
      <c r="B3505" s="26" t="n">
        <v>44399</v>
      </c>
      <c r="C3505" s="12" t="inlineStr">
        <is>
          <t>VS10</t>
        </is>
      </c>
      <c r="D3505" s="12" t="inlineStr">
        <is>
          <t>Square/Rect Tubes</t>
        </is>
      </c>
      <c r="E3505" s="12" t="inlineStr">
        <is>
          <t>N</t>
        </is>
      </c>
      <c r="F3505" s="12" t="n">
        <v>37.78</v>
      </c>
      <c r="G3505" s="17" t="n">
        <v>85798.96000000001</v>
      </c>
      <c r="H3505" s="26" t="n">
        <v>44409</v>
      </c>
      <c r="I3505" s="26" t="n">
        <v>44411</v>
      </c>
      <c r="J3505" s="12" t="n">
        <v>37.5</v>
      </c>
      <c r="K3505" s="17" t="n">
        <v>3241484.71</v>
      </c>
      <c r="L3505" s="12" t="n">
        <v>0</v>
      </c>
      <c r="M3505" s="12" t="n">
        <v>17</v>
      </c>
      <c r="N3505" s="27">
        <f>F3505-J3505</f>
        <v/>
      </c>
      <c r="O3505" s="16">
        <f>I3505-H3505</f>
        <v/>
      </c>
      <c r="P3505" s="14">
        <f>F3505*G3505</f>
        <v/>
      </c>
      <c r="Q3505" s="14">
        <f>J3505*G3505</f>
        <v/>
      </c>
      <c r="R3505" s="14">
        <f>K3505-Q3505</f>
        <v/>
      </c>
      <c r="S3505" s="3">
        <f>P3505*Assumptions!$B$3/100</f>
        <v/>
      </c>
      <c r="T3505" s="14">
        <f>R3505-S3505</f>
        <v/>
      </c>
      <c r="U3505" s="14">
        <f>L3505*G3505</f>
        <v/>
      </c>
    </row>
    <row r="3506">
      <c r="A3506" s="12" t="inlineStr">
        <is>
          <t>PO-2023-3504</t>
        </is>
      </c>
      <c r="B3506" s="26" t="n">
        <v>44254</v>
      </c>
      <c r="C3506" s="12" t="inlineStr">
        <is>
          <t>VS31</t>
        </is>
      </c>
      <c r="D3506" s="12" t="inlineStr">
        <is>
          <t>Square/Rect Tubes</t>
        </is>
      </c>
      <c r="E3506" s="12" t="inlineStr">
        <is>
          <t>N</t>
        </is>
      </c>
      <c r="F3506" s="12" t="n">
        <v>37.48</v>
      </c>
      <c r="G3506" s="17" t="n">
        <v>118722.27</v>
      </c>
      <c r="H3506" s="26" t="n">
        <v>44266</v>
      </c>
      <c r="I3506" s="26" t="n">
        <v>44269</v>
      </c>
      <c r="J3506" s="12" t="n">
        <v>37.35</v>
      </c>
      <c r="K3506" s="17" t="n">
        <v>4449710.68</v>
      </c>
      <c r="L3506" s="12" t="n">
        <v>0</v>
      </c>
      <c r="M3506" s="12" t="n">
        <v>16</v>
      </c>
      <c r="N3506" s="27">
        <f>F3506-J3506</f>
        <v/>
      </c>
      <c r="O3506" s="16">
        <f>I3506-H3506</f>
        <v/>
      </c>
      <c r="P3506" s="14">
        <f>F3506*G3506</f>
        <v/>
      </c>
      <c r="Q3506" s="14">
        <f>J3506*G3506</f>
        <v/>
      </c>
      <c r="R3506" s="14">
        <f>K3506-Q3506</f>
        <v/>
      </c>
      <c r="S3506" s="3">
        <f>P3506*Assumptions!$B$3/100</f>
        <v/>
      </c>
      <c r="T3506" s="14">
        <f>R3506-S3506</f>
        <v/>
      </c>
      <c r="U3506" s="14">
        <f>L3506*G3506</f>
        <v/>
      </c>
    </row>
    <row r="3507">
      <c r="A3507" s="12" t="inlineStr">
        <is>
          <t>PO-2023-3505</t>
        </is>
      </c>
      <c r="B3507" s="26" t="n">
        <v>45030</v>
      </c>
      <c r="C3507" s="12" t="inlineStr">
        <is>
          <t>VS14</t>
        </is>
      </c>
      <c r="D3507" s="12" t="inlineStr">
        <is>
          <t>MS Sheets</t>
        </is>
      </c>
      <c r="E3507" s="12" t="inlineStr">
        <is>
          <t>N</t>
        </is>
      </c>
      <c r="F3507" s="12" t="n">
        <v>9.699999999999999</v>
      </c>
      <c r="G3507" s="17" t="n">
        <v>50859.65</v>
      </c>
      <c r="H3507" s="26" t="n">
        <v>45040</v>
      </c>
      <c r="I3507" s="26" t="n">
        <v>45040</v>
      </c>
      <c r="J3507" s="12" t="n">
        <v>9.630000000000001</v>
      </c>
      <c r="K3507" s="17" t="n">
        <v>493338.6</v>
      </c>
      <c r="L3507" s="12" t="n">
        <v>0</v>
      </c>
      <c r="M3507" s="12" t="n">
        <v>24</v>
      </c>
      <c r="N3507" s="27">
        <f>F3507-J3507</f>
        <v/>
      </c>
      <c r="O3507" s="16">
        <f>I3507-H3507</f>
        <v/>
      </c>
      <c r="P3507" s="14">
        <f>F3507*G3507</f>
        <v/>
      </c>
      <c r="Q3507" s="14">
        <f>J3507*G3507</f>
        <v/>
      </c>
      <c r="R3507" s="14">
        <f>K3507-Q3507</f>
        <v/>
      </c>
      <c r="S3507" s="3">
        <f>P3507*Assumptions!$B$3/100</f>
        <v/>
      </c>
      <c r="T3507" s="14">
        <f>R3507-S3507</f>
        <v/>
      </c>
      <c r="U3507" s="14">
        <f>L3507*G3507</f>
        <v/>
      </c>
    </row>
    <row r="3508">
      <c r="A3508" s="12" t="inlineStr">
        <is>
          <t>PO-2023-3506</t>
        </is>
      </c>
      <c r="B3508" s="26" t="n">
        <v>44808</v>
      </c>
      <c r="C3508" s="12" t="inlineStr">
        <is>
          <t>VS10</t>
        </is>
      </c>
      <c r="D3508" s="12" t="inlineStr">
        <is>
          <t>MS Sheets</t>
        </is>
      </c>
      <c r="E3508" s="12" t="inlineStr">
        <is>
          <t>Y</t>
        </is>
      </c>
      <c r="F3508" s="12" t="n">
        <v>15.19</v>
      </c>
      <c r="G3508" s="17" t="n">
        <v>64876.1</v>
      </c>
      <c r="H3508" s="26" t="n">
        <v>44822</v>
      </c>
      <c r="I3508" s="26" t="n">
        <v>44825</v>
      </c>
      <c r="J3508" s="12" t="n">
        <v>15.08</v>
      </c>
      <c r="K3508" s="17" t="n">
        <v>985467.96</v>
      </c>
      <c r="L3508" s="12" t="n">
        <v>0</v>
      </c>
      <c r="M3508" s="12" t="n">
        <v>0</v>
      </c>
      <c r="N3508" s="27">
        <f>F3508-J3508</f>
        <v/>
      </c>
      <c r="O3508" s="16">
        <f>I3508-H3508</f>
        <v/>
      </c>
      <c r="P3508" s="14">
        <f>F3508*G3508</f>
        <v/>
      </c>
      <c r="Q3508" s="14">
        <f>J3508*G3508</f>
        <v/>
      </c>
      <c r="R3508" s="14">
        <f>K3508-Q3508</f>
        <v/>
      </c>
      <c r="S3508" s="3">
        <f>P3508*Assumptions!$B$3/100</f>
        <v/>
      </c>
      <c r="T3508" s="14">
        <f>R3508-S3508</f>
        <v/>
      </c>
      <c r="U3508" s="14">
        <f>L3508*G3508</f>
        <v/>
      </c>
    </row>
    <row r="3509">
      <c r="A3509" s="12" t="inlineStr">
        <is>
          <t>PO-2023-3507</t>
        </is>
      </c>
      <c r="B3509" s="26" t="n">
        <v>44635</v>
      </c>
      <c r="C3509" s="12" t="inlineStr">
        <is>
          <t>VS12</t>
        </is>
      </c>
      <c r="D3509" s="12" t="inlineStr">
        <is>
          <t>GI Wire</t>
        </is>
      </c>
      <c r="E3509" s="12" t="inlineStr">
        <is>
          <t>N</t>
        </is>
      </c>
      <c r="F3509" s="12" t="n">
        <v>5.88</v>
      </c>
      <c r="G3509" s="17" t="n">
        <v>88418.41</v>
      </c>
      <c r="H3509" s="26" t="n">
        <v>44647</v>
      </c>
      <c r="I3509" s="26" t="n">
        <v>44651</v>
      </c>
      <c r="J3509" s="12" t="n">
        <v>5.66</v>
      </c>
      <c r="K3509" s="17" t="n">
        <v>519900.25</v>
      </c>
      <c r="L3509" s="12" t="n">
        <v>0.23</v>
      </c>
      <c r="M3509" s="12" t="n">
        <v>21</v>
      </c>
      <c r="N3509" s="27">
        <f>F3509-J3509</f>
        <v/>
      </c>
      <c r="O3509" s="16">
        <f>I3509-H3509</f>
        <v/>
      </c>
      <c r="P3509" s="14">
        <f>F3509*G3509</f>
        <v/>
      </c>
      <c r="Q3509" s="14">
        <f>J3509*G3509</f>
        <v/>
      </c>
      <c r="R3509" s="14">
        <f>K3509-Q3509</f>
        <v/>
      </c>
      <c r="S3509" s="3">
        <f>P3509*Assumptions!$B$3/100</f>
        <v/>
      </c>
      <c r="T3509" s="14">
        <f>R3509-S3509</f>
        <v/>
      </c>
      <c r="U3509" s="14">
        <f>L3509*G3509</f>
        <v/>
      </c>
    </row>
    <row r="3510">
      <c r="A3510" s="12" t="inlineStr">
        <is>
          <t>PO-2023-3508</t>
        </is>
      </c>
      <c r="B3510" s="26" t="n">
        <v>44302</v>
      </c>
      <c r="C3510" s="12" t="inlineStr">
        <is>
          <t>VS03</t>
        </is>
      </c>
      <c r="D3510" s="12" t="inlineStr">
        <is>
          <t>GI Sheets</t>
        </is>
      </c>
      <c r="E3510" s="12" t="inlineStr">
        <is>
          <t>N</t>
        </is>
      </c>
      <c r="F3510" s="12" t="n">
        <v>15.97</v>
      </c>
      <c r="G3510" s="17" t="n">
        <v>87815.56</v>
      </c>
      <c r="H3510" s="26" t="n">
        <v>44306</v>
      </c>
      <c r="I3510" s="26" t="n">
        <v>44312</v>
      </c>
      <c r="J3510" s="12" t="n">
        <v>15.25</v>
      </c>
      <c r="K3510" s="17" t="n">
        <v>1402414.49</v>
      </c>
      <c r="L3510" s="12" t="n">
        <v>0.5</v>
      </c>
      <c r="M3510" s="12" t="n">
        <v>0</v>
      </c>
      <c r="N3510" s="27">
        <f>F3510-J3510</f>
        <v/>
      </c>
      <c r="O3510" s="16">
        <f>I3510-H3510</f>
        <v/>
      </c>
      <c r="P3510" s="14">
        <f>F3510*G3510</f>
        <v/>
      </c>
      <c r="Q3510" s="14">
        <f>J3510*G3510</f>
        <v/>
      </c>
      <c r="R3510" s="14">
        <f>K3510-Q3510</f>
        <v/>
      </c>
      <c r="S3510" s="3">
        <f>P3510*Assumptions!$B$3/100</f>
        <v/>
      </c>
      <c r="T3510" s="14">
        <f>R3510-S3510</f>
        <v/>
      </c>
      <c r="U3510" s="14">
        <f>L3510*G3510</f>
        <v/>
      </c>
    </row>
    <row r="3511">
      <c r="A3511" s="12" t="inlineStr">
        <is>
          <t>PO-2023-3509</t>
        </is>
      </c>
      <c r="B3511" s="26" t="n">
        <v>44978</v>
      </c>
      <c r="C3511" s="12" t="inlineStr">
        <is>
          <t>VS14</t>
        </is>
      </c>
      <c r="D3511" s="12" t="inlineStr">
        <is>
          <t>GI Pipes</t>
        </is>
      </c>
      <c r="E3511" s="12" t="inlineStr">
        <is>
          <t>N</t>
        </is>
      </c>
      <c r="F3511" s="12" t="n">
        <v>24.27</v>
      </c>
      <c r="G3511" s="17" t="n">
        <v>56198.2</v>
      </c>
      <c r="H3511" s="26" t="n">
        <v>44987</v>
      </c>
      <c r="I3511" s="26" t="n">
        <v>44988</v>
      </c>
      <c r="J3511" s="12" t="n">
        <v>24.13</v>
      </c>
      <c r="K3511" s="17" t="n">
        <v>1363930.31</v>
      </c>
      <c r="L3511" s="12" t="n">
        <v>0</v>
      </c>
      <c r="M3511" s="12" t="n">
        <v>19</v>
      </c>
      <c r="N3511" s="27">
        <f>F3511-J3511</f>
        <v/>
      </c>
      <c r="O3511" s="16">
        <f>I3511-H3511</f>
        <v/>
      </c>
      <c r="P3511" s="14">
        <f>F3511*G3511</f>
        <v/>
      </c>
      <c r="Q3511" s="14">
        <f>J3511*G3511</f>
        <v/>
      </c>
      <c r="R3511" s="14">
        <f>K3511-Q3511</f>
        <v/>
      </c>
      <c r="S3511" s="3">
        <f>P3511*Assumptions!$B$3/100</f>
        <v/>
      </c>
      <c r="T3511" s="14">
        <f>R3511-S3511</f>
        <v/>
      </c>
      <c r="U3511" s="14">
        <f>L3511*G3511</f>
        <v/>
      </c>
    </row>
    <row r="3512">
      <c r="A3512" s="12" t="inlineStr">
        <is>
          <t>PO-2023-3510</t>
        </is>
      </c>
      <c r="B3512" s="26" t="n">
        <v>45115</v>
      </c>
      <c r="C3512" s="12" t="inlineStr">
        <is>
          <t>VS11</t>
        </is>
      </c>
      <c r="D3512" s="12" t="inlineStr">
        <is>
          <t>GI Pipes</t>
        </is>
      </c>
      <c r="E3512" s="12" t="inlineStr">
        <is>
          <t>N</t>
        </is>
      </c>
      <c r="F3512" s="12" t="n">
        <v>46.78</v>
      </c>
      <c r="G3512" s="17" t="n">
        <v>56358.48</v>
      </c>
      <c r="H3512" s="26" t="n">
        <v>45118</v>
      </c>
      <c r="I3512" s="26" t="n">
        <v>45121</v>
      </c>
      <c r="J3512" s="12" t="n">
        <v>46.64</v>
      </c>
      <c r="K3512" s="17" t="n">
        <v>2636449.69</v>
      </c>
      <c r="L3512" s="12" t="n">
        <v>0</v>
      </c>
      <c r="M3512" s="12" t="n">
        <v>5</v>
      </c>
      <c r="N3512" s="27">
        <f>F3512-J3512</f>
        <v/>
      </c>
      <c r="O3512" s="16">
        <f>I3512-H3512</f>
        <v/>
      </c>
      <c r="P3512" s="14">
        <f>F3512*G3512</f>
        <v/>
      </c>
      <c r="Q3512" s="14">
        <f>J3512*G3512</f>
        <v/>
      </c>
      <c r="R3512" s="14">
        <f>K3512-Q3512</f>
        <v/>
      </c>
      <c r="S3512" s="3">
        <f>P3512*Assumptions!$B$3/100</f>
        <v/>
      </c>
      <c r="T3512" s="14">
        <f>R3512-S3512</f>
        <v/>
      </c>
      <c r="U3512" s="14">
        <f>L3512*G3512</f>
        <v/>
      </c>
    </row>
    <row r="3513">
      <c r="A3513" s="12" t="inlineStr">
        <is>
          <t>PO-2023-3511</t>
        </is>
      </c>
      <c r="B3513" s="26" t="n">
        <v>44262</v>
      </c>
      <c r="C3513" s="12" t="inlineStr">
        <is>
          <t>VS22</t>
        </is>
      </c>
      <c r="D3513" s="12" t="inlineStr">
        <is>
          <t>HR Coils</t>
        </is>
      </c>
      <c r="E3513" s="12" t="inlineStr">
        <is>
          <t>N</t>
        </is>
      </c>
      <c r="F3513" s="12" t="n">
        <v>20.16</v>
      </c>
      <c r="G3513" s="17" t="n">
        <v>105194.07</v>
      </c>
      <c r="H3513" s="26" t="n">
        <v>44276</v>
      </c>
      <c r="I3513" s="26" t="n">
        <v>44278</v>
      </c>
      <c r="J3513" s="12" t="n">
        <v>20.1</v>
      </c>
      <c r="K3513" s="17" t="n">
        <v>2120712.45</v>
      </c>
      <c r="L3513" s="12" t="n">
        <v>0</v>
      </c>
      <c r="M3513" s="12" t="n">
        <v>18</v>
      </c>
      <c r="N3513" s="27">
        <f>F3513-J3513</f>
        <v/>
      </c>
      <c r="O3513" s="16">
        <f>I3513-H3513</f>
        <v/>
      </c>
      <c r="P3513" s="14">
        <f>F3513*G3513</f>
        <v/>
      </c>
      <c r="Q3513" s="14">
        <f>J3513*G3513</f>
        <v/>
      </c>
      <c r="R3513" s="14">
        <f>K3513-Q3513</f>
        <v/>
      </c>
      <c r="S3513" s="3">
        <f>P3513*Assumptions!$B$3/100</f>
        <v/>
      </c>
      <c r="T3513" s="14">
        <f>R3513-S3513</f>
        <v/>
      </c>
      <c r="U3513" s="14">
        <f>L3513*G3513</f>
        <v/>
      </c>
    </row>
    <row r="3514">
      <c r="A3514" s="12" t="inlineStr">
        <is>
          <t>PO-2023-3512</t>
        </is>
      </c>
      <c r="B3514" s="26" t="n">
        <v>44474</v>
      </c>
      <c r="C3514" s="12" t="inlineStr">
        <is>
          <t>VS05</t>
        </is>
      </c>
      <c r="D3514" s="12" t="inlineStr">
        <is>
          <t>Angles &amp; Channels</t>
        </is>
      </c>
      <c r="E3514" s="12" t="inlineStr">
        <is>
          <t>N</t>
        </is>
      </c>
      <c r="F3514" s="12" t="n">
        <v>10.63</v>
      </c>
      <c r="G3514" s="17" t="n">
        <v>116882.71</v>
      </c>
      <c r="H3514" s="26" t="n">
        <v>44486</v>
      </c>
      <c r="I3514" s="26" t="n">
        <v>44488</v>
      </c>
      <c r="J3514" s="12" t="n">
        <v>10.53</v>
      </c>
      <c r="K3514" s="17" t="n">
        <v>1242463.21</v>
      </c>
      <c r="L3514" s="12" t="n">
        <v>0</v>
      </c>
      <c r="M3514" s="12" t="n">
        <v>1</v>
      </c>
      <c r="N3514" s="27">
        <f>F3514-J3514</f>
        <v/>
      </c>
      <c r="O3514" s="16">
        <f>I3514-H3514</f>
        <v/>
      </c>
      <c r="P3514" s="14">
        <f>F3514*G3514</f>
        <v/>
      </c>
      <c r="Q3514" s="14">
        <f>J3514*G3514</f>
        <v/>
      </c>
      <c r="R3514" s="14">
        <f>K3514-Q3514</f>
        <v/>
      </c>
      <c r="S3514" s="3">
        <f>P3514*Assumptions!$B$3/100</f>
        <v/>
      </c>
      <c r="T3514" s="14">
        <f>R3514-S3514</f>
        <v/>
      </c>
      <c r="U3514" s="14">
        <f>L3514*G3514</f>
        <v/>
      </c>
    </row>
    <row r="3515">
      <c r="A3515" s="12" t="inlineStr">
        <is>
          <t>PO-2023-3513</t>
        </is>
      </c>
      <c r="B3515" s="26" t="n">
        <v>44260</v>
      </c>
      <c r="C3515" s="12" t="inlineStr">
        <is>
          <t>VS01</t>
        </is>
      </c>
      <c r="D3515" s="12" t="inlineStr">
        <is>
          <t>MS Flats</t>
        </is>
      </c>
      <c r="E3515" s="12" t="inlineStr">
        <is>
          <t>N</t>
        </is>
      </c>
      <c r="F3515" s="12" t="n">
        <v>23.78</v>
      </c>
      <c r="G3515" s="17" t="n">
        <v>90368.64</v>
      </c>
      <c r="H3515" s="26" t="n">
        <v>44263</v>
      </c>
      <c r="I3515" s="26" t="n">
        <v>44266</v>
      </c>
      <c r="J3515" s="12" t="n">
        <v>23.76</v>
      </c>
      <c r="K3515" s="17" t="n">
        <v>2148966.26</v>
      </c>
      <c r="L3515" s="12" t="n">
        <v>0</v>
      </c>
      <c r="M3515" s="12" t="n">
        <v>20</v>
      </c>
      <c r="N3515" s="27">
        <f>F3515-J3515</f>
        <v/>
      </c>
      <c r="O3515" s="16">
        <f>I3515-H3515</f>
        <v/>
      </c>
      <c r="P3515" s="14">
        <f>F3515*G3515</f>
        <v/>
      </c>
      <c r="Q3515" s="14">
        <f>J3515*G3515</f>
        <v/>
      </c>
      <c r="R3515" s="14">
        <f>K3515-Q3515</f>
        <v/>
      </c>
      <c r="S3515" s="3">
        <f>P3515*Assumptions!$B$3/100</f>
        <v/>
      </c>
      <c r="T3515" s="14">
        <f>R3515-S3515</f>
        <v/>
      </c>
      <c r="U3515" s="14">
        <f>L3515*G3515</f>
        <v/>
      </c>
    </row>
    <row r="3516">
      <c r="A3516" s="12" t="inlineStr">
        <is>
          <t>PO-2023-3514</t>
        </is>
      </c>
      <c r="B3516" s="26" t="n">
        <v>44319</v>
      </c>
      <c r="C3516" s="12" t="inlineStr">
        <is>
          <t>VS07</t>
        </is>
      </c>
      <c r="D3516" s="12" t="inlineStr">
        <is>
          <t>Structural Steel</t>
        </is>
      </c>
      <c r="E3516" s="12" t="inlineStr">
        <is>
          <t>N</t>
        </is>
      </c>
      <c r="F3516" s="12" t="n">
        <v>12.93</v>
      </c>
      <c r="G3516" s="17" t="n">
        <v>70015.38</v>
      </c>
      <c r="H3516" s="26" t="n">
        <v>44334</v>
      </c>
      <c r="I3516" s="26" t="n">
        <v>44336</v>
      </c>
      <c r="J3516" s="12" t="n">
        <v>12.8</v>
      </c>
      <c r="K3516" s="17" t="n">
        <v>905298.86</v>
      </c>
      <c r="L3516" s="12" t="n">
        <v>0</v>
      </c>
      <c r="M3516" s="12" t="n">
        <v>0</v>
      </c>
      <c r="N3516" s="27">
        <f>F3516-J3516</f>
        <v/>
      </c>
      <c r="O3516" s="16">
        <f>I3516-H3516</f>
        <v/>
      </c>
      <c r="P3516" s="14">
        <f>F3516*G3516</f>
        <v/>
      </c>
      <c r="Q3516" s="14">
        <f>J3516*G3516</f>
        <v/>
      </c>
      <c r="R3516" s="14">
        <f>K3516-Q3516</f>
        <v/>
      </c>
      <c r="S3516" s="3">
        <f>P3516*Assumptions!$B$3/100</f>
        <v/>
      </c>
      <c r="T3516" s="14">
        <f>R3516-S3516</f>
        <v/>
      </c>
      <c r="U3516" s="14">
        <f>L3516*G3516</f>
        <v/>
      </c>
    </row>
    <row r="3517">
      <c r="A3517" s="12" t="inlineStr">
        <is>
          <t>PO-2023-3515</t>
        </is>
      </c>
      <c r="B3517" s="26" t="n">
        <v>44222</v>
      </c>
      <c r="C3517" s="12" t="inlineStr">
        <is>
          <t>VS02</t>
        </is>
      </c>
      <c r="D3517" s="12" t="inlineStr">
        <is>
          <t>Fasteners &amp; Fittings</t>
        </is>
      </c>
      <c r="E3517" s="12" t="inlineStr">
        <is>
          <t>N</t>
        </is>
      </c>
      <c r="F3517" s="12" t="n">
        <v>11.59</v>
      </c>
      <c r="G3517" s="17" t="n">
        <v>79610.92999999999</v>
      </c>
      <c r="H3517" s="26" t="n">
        <v>44228</v>
      </c>
      <c r="I3517" s="26" t="n">
        <v>44231</v>
      </c>
      <c r="J3517" s="12" t="n">
        <v>11.5</v>
      </c>
      <c r="K3517" s="17" t="n">
        <v>922690.6800000001</v>
      </c>
      <c r="L3517" s="12" t="n">
        <v>0</v>
      </c>
      <c r="M3517" s="12" t="n">
        <v>1</v>
      </c>
      <c r="N3517" s="27">
        <f>F3517-J3517</f>
        <v/>
      </c>
      <c r="O3517" s="16">
        <f>I3517-H3517</f>
        <v/>
      </c>
      <c r="P3517" s="14">
        <f>F3517*G3517</f>
        <v/>
      </c>
      <c r="Q3517" s="14">
        <f>J3517*G3517</f>
        <v/>
      </c>
      <c r="R3517" s="14">
        <f>K3517-Q3517</f>
        <v/>
      </c>
      <c r="S3517" s="3">
        <f>P3517*Assumptions!$B$3/100</f>
        <v/>
      </c>
      <c r="T3517" s="14">
        <f>R3517-S3517</f>
        <v/>
      </c>
      <c r="U3517" s="14">
        <f>L3517*G3517</f>
        <v/>
      </c>
    </row>
    <row r="3518">
      <c r="A3518" s="12" t="inlineStr">
        <is>
          <t>PO-2023-3516</t>
        </is>
      </c>
      <c r="B3518" s="26" t="n">
        <v>44267</v>
      </c>
      <c r="C3518" s="12" t="inlineStr">
        <is>
          <t>VS29</t>
        </is>
      </c>
      <c r="D3518" s="12" t="inlineStr">
        <is>
          <t>MS Sheets</t>
        </is>
      </c>
      <c r="E3518" s="12" t="inlineStr">
        <is>
          <t>N</t>
        </is>
      </c>
      <c r="F3518" s="12" t="n">
        <v>8.85</v>
      </c>
      <c r="G3518" s="17" t="n">
        <v>53186.78</v>
      </c>
      <c r="H3518" s="26" t="n">
        <v>44278</v>
      </c>
      <c r="I3518" s="26" t="n">
        <v>44279</v>
      </c>
      <c r="J3518" s="12" t="n">
        <v>8.83</v>
      </c>
      <c r="K3518" s="17" t="n">
        <v>470703</v>
      </c>
      <c r="L3518" s="12" t="n">
        <v>0</v>
      </c>
      <c r="M3518" s="12" t="n">
        <v>8</v>
      </c>
      <c r="N3518" s="27">
        <f>F3518-J3518</f>
        <v/>
      </c>
      <c r="O3518" s="16">
        <f>I3518-H3518</f>
        <v/>
      </c>
      <c r="P3518" s="14">
        <f>F3518*G3518</f>
        <v/>
      </c>
      <c r="Q3518" s="14">
        <f>J3518*G3518</f>
        <v/>
      </c>
      <c r="R3518" s="14">
        <f>K3518-Q3518</f>
        <v/>
      </c>
      <c r="S3518" s="3">
        <f>P3518*Assumptions!$B$3/100</f>
        <v/>
      </c>
      <c r="T3518" s="14">
        <f>R3518-S3518</f>
        <v/>
      </c>
      <c r="U3518" s="14">
        <f>L3518*G3518</f>
        <v/>
      </c>
    </row>
    <row r="3519">
      <c r="A3519" s="12" t="inlineStr">
        <is>
          <t>PO-2023-3517</t>
        </is>
      </c>
      <c r="B3519" s="26" t="n">
        <v>44976</v>
      </c>
      <c r="C3519" s="12" t="inlineStr">
        <is>
          <t>VS03</t>
        </is>
      </c>
      <c r="D3519" s="12" t="inlineStr">
        <is>
          <t>Hex Bars</t>
        </is>
      </c>
      <c r="E3519" s="12" t="inlineStr">
        <is>
          <t>Y</t>
        </is>
      </c>
      <c r="F3519" s="12" t="n">
        <v>24.16</v>
      </c>
      <c r="G3519" s="17" t="n">
        <v>52694.5</v>
      </c>
      <c r="H3519" s="26" t="n">
        <v>44985</v>
      </c>
      <c r="I3519" s="26" t="n">
        <v>44993</v>
      </c>
      <c r="J3519" s="12" t="n">
        <v>23.54</v>
      </c>
      <c r="K3519" s="17" t="n">
        <v>1273099.12</v>
      </c>
      <c r="L3519" s="12" t="n">
        <v>0.51</v>
      </c>
      <c r="M3519" s="12" t="n">
        <v>0</v>
      </c>
      <c r="N3519" s="27">
        <f>F3519-J3519</f>
        <v/>
      </c>
      <c r="O3519" s="16">
        <f>I3519-H3519</f>
        <v/>
      </c>
      <c r="P3519" s="14">
        <f>F3519*G3519</f>
        <v/>
      </c>
      <c r="Q3519" s="14">
        <f>J3519*G3519</f>
        <v/>
      </c>
      <c r="R3519" s="14">
        <f>K3519-Q3519</f>
        <v/>
      </c>
      <c r="S3519" s="3">
        <f>P3519*Assumptions!$B$3/100</f>
        <v/>
      </c>
      <c r="T3519" s="14">
        <f>R3519-S3519</f>
        <v/>
      </c>
      <c r="U3519" s="14">
        <f>L3519*G3519</f>
        <v/>
      </c>
    </row>
    <row r="3520">
      <c r="A3520" s="12" t="inlineStr">
        <is>
          <t>PO-2023-3518</t>
        </is>
      </c>
      <c r="B3520" s="26" t="n">
        <v>45212</v>
      </c>
      <c r="C3520" s="12" t="inlineStr">
        <is>
          <t>VS10</t>
        </is>
      </c>
      <c r="D3520" s="12" t="inlineStr">
        <is>
          <t>MS Sheets</t>
        </is>
      </c>
      <c r="E3520" s="12" t="inlineStr">
        <is>
          <t>Y</t>
        </is>
      </c>
      <c r="F3520" s="12" t="n">
        <v>6.88</v>
      </c>
      <c r="G3520" s="17" t="n">
        <v>105319.87</v>
      </c>
      <c r="H3520" s="26" t="n">
        <v>45219</v>
      </c>
      <c r="I3520" s="26" t="n">
        <v>45222</v>
      </c>
      <c r="J3520" s="12" t="n">
        <v>6.84</v>
      </c>
      <c r="K3520" s="17" t="n">
        <v>724600.71</v>
      </c>
      <c r="L3520" s="12" t="n">
        <v>0</v>
      </c>
      <c r="M3520" s="12" t="n">
        <v>0</v>
      </c>
      <c r="N3520" s="27">
        <f>F3520-J3520</f>
        <v/>
      </c>
      <c r="O3520" s="16">
        <f>I3520-H3520</f>
        <v/>
      </c>
      <c r="P3520" s="14">
        <f>F3520*G3520</f>
        <v/>
      </c>
      <c r="Q3520" s="14">
        <f>J3520*G3520</f>
        <v/>
      </c>
      <c r="R3520" s="14">
        <f>K3520-Q3520</f>
        <v/>
      </c>
      <c r="S3520" s="3">
        <f>P3520*Assumptions!$B$3/100</f>
        <v/>
      </c>
      <c r="T3520" s="14">
        <f>R3520-S3520</f>
        <v/>
      </c>
      <c r="U3520" s="14">
        <f>L3520*G3520</f>
        <v/>
      </c>
    </row>
    <row r="3521">
      <c r="A3521" s="12" t="inlineStr">
        <is>
          <t>PO-2023-3519</t>
        </is>
      </c>
      <c r="B3521" s="26" t="n">
        <v>44844</v>
      </c>
      <c r="C3521" s="12" t="inlineStr">
        <is>
          <t>VS18</t>
        </is>
      </c>
      <c r="D3521" s="12" t="inlineStr">
        <is>
          <t>GI Wire</t>
        </is>
      </c>
      <c r="E3521" s="12" t="inlineStr">
        <is>
          <t>N</t>
        </is>
      </c>
      <c r="F3521" s="12" t="n">
        <v>39.83</v>
      </c>
      <c r="G3521" s="17" t="n">
        <v>119909.52</v>
      </c>
      <c r="H3521" s="26" t="n">
        <v>44848</v>
      </c>
      <c r="I3521" s="26" t="n">
        <v>44850</v>
      </c>
      <c r="J3521" s="12" t="n">
        <v>39.69</v>
      </c>
      <c r="K3521" s="17" t="n">
        <v>4775996.18</v>
      </c>
      <c r="L3521" s="12" t="n">
        <v>0</v>
      </c>
      <c r="M3521" s="12" t="n">
        <v>14</v>
      </c>
      <c r="N3521" s="27">
        <f>F3521-J3521</f>
        <v/>
      </c>
      <c r="O3521" s="16">
        <f>I3521-H3521</f>
        <v/>
      </c>
      <c r="P3521" s="14">
        <f>F3521*G3521</f>
        <v/>
      </c>
      <c r="Q3521" s="14">
        <f>J3521*G3521</f>
        <v/>
      </c>
      <c r="R3521" s="14">
        <f>K3521-Q3521</f>
        <v/>
      </c>
      <c r="S3521" s="3">
        <f>P3521*Assumptions!$B$3/100</f>
        <v/>
      </c>
      <c r="T3521" s="14">
        <f>R3521-S3521</f>
        <v/>
      </c>
      <c r="U3521" s="14">
        <f>L3521*G3521</f>
        <v/>
      </c>
    </row>
    <row r="3522">
      <c r="A3522" s="12" t="inlineStr">
        <is>
          <t>PO-2023-3520</t>
        </is>
      </c>
      <c r="B3522" s="26" t="n">
        <v>44539</v>
      </c>
      <c r="C3522" s="12" t="inlineStr">
        <is>
          <t>VS05</t>
        </is>
      </c>
      <c r="D3522" s="12" t="inlineStr">
        <is>
          <t>Structural Steel</t>
        </is>
      </c>
      <c r="E3522" s="12" t="inlineStr">
        <is>
          <t>N</t>
        </is>
      </c>
      <c r="F3522" s="12" t="n">
        <v>41.88</v>
      </c>
      <c r="G3522" s="17" t="n">
        <v>79109.11</v>
      </c>
      <c r="H3522" s="26" t="n">
        <v>44546</v>
      </c>
      <c r="I3522" s="26" t="n">
        <v>44547</v>
      </c>
      <c r="J3522" s="12" t="n">
        <v>41.77</v>
      </c>
      <c r="K3522" s="17" t="n">
        <v>3313089.53</v>
      </c>
      <c r="L3522" s="12" t="n">
        <v>0</v>
      </c>
      <c r="M3522" s="12" t="n">
        <v>0</v>
      </c>
      <c r="N3522" s="27">
        <f>F3522-J3522</f>
        <v/>
      </c>
      <c r="O3522" s="16">
        <f>I3522-H3522</f>
        <v/>
      </c>
      <c r="P3522" s="14">
        <f>F3522*G3522</f>
        <v/>
      </c>
      <c r="Q3522" s="14">
        <f>J3522*G3522</f>
        <v/>
      </c>
      <c r="R3522" s="14">
        <f>K3522-Q3522</f>
        <v/>
      </c>
      <c r="S3522" s="3">
        <f>P3522*Assumptions!$B$3/100</f>
        <v/>
      </c>
      <c r="T3522" s="14">
        <f>R3522-S3522</f>
        <v/>
      </c>
      <c r="U3522" s="14">
        <f>L3522*G3522</f>
        <v/>
      </c>
    </row>
    <row r="3523">
      <c r="A3523" s="12" t="inlineStr">
        <is>
          <t>PO-2023-3521</t>
        </is>
      </c>
      <c r="B3523" s="26" t="n">
        <v>44698</v>
      </c>
      <c r="C3523" s="12" t="inlineStr">
        <is>
          <t>VS27</t>
        </is>
      </c>
      <c r="D3523" s="12" t="inlineStr">
        <is>
          <t>GI Pipes</t>
        </is>
      </c>
      <c r="E3523" s="12" t="inlineStr">
        <is>
          <t>N</t>
        </is>
      </c>
      <c r="F3523" s="12" t="n">
        <v>49.18</v>
      </c>
      <c r="G3523" s="17" t="n">
        <v>55852.48</v>
      </c>
      <c r="H3523" s="26" t="n">
        <v>44704</v>
      </c>
      <c r="I3523" s="26" t="n">
        <v>44706</v>
      </c>
      <c r="J3523" s="12" t="n">
        <v>48.77</v>
      </c>
      <c r="K3523" s="17" t="n">
        <v>2746824.97</v>
      </c>
      <c r="L3523" s="12" t="n">
        <v>0</v>
      </c>
      <c r="M3523" s="12" t="n">
        <v>16</v>
      </c>
      <c r="N3523" s="27">
        <f>F3523-J3523</f>
        <v/>
      </c>
      <c r="O3523" s="16">
        <f>I3523-H3523</f>
        <v/>
      </c>
      <c r="P3523" s="14">
        <f>F3523*G3523</f>
        <v/>
      </c>
      <c r="Q3523" s="14">
        <f>J3523*G3523</f>
        <v/>
      </c>
      <c r="R3523" s="14">
        <f>K3523-Q3523</f>
        <v/>
      </c>
      <c r="S3523" s="3">
        <f>P3523*Assumptions!$B$3/100</f>
        <v/>
      </c>
      <c r="T3523" s="14">
        <f>R3523-S3523</f>
        <v/>
      </c>
      <c r="U3523" s="14">
        <f>L3523*G3523</f>
        <v/>
      </c>
    </row>
    <row r="3524">
      <c r="A3524" s="12" t="inlineStr">
        <is>
          <t>PO-2023-3522</t>
        </is>
      </c>
      <c r="B3524" s="26" t="n">
        <v>44814</v>
      </c>
      <c r="C3524" s="12" t="inlineStr">
        <is>
          <t>VS19</t>
        </is>
      </c>
      <c r="D3524" s="12" t="inlineStr">
        <is>
          <t>Square/Rect Tubes</t>
        </is>
      </c>
      <c r="E3524" s="12" t="inlineStr">
        <is>
          <t>N</t>
        </is>
      </c>
      <c r="F3524" s="12" t="n">
        <v>10</v>
      </c>
      <c r="G3524" s="17" t="n">
        <v>58049.53</v>
      </c>
      <c r="H3524" s="26" t="n">
        <v>44827</v>
      </c>
      <c r="I3524" s="26" t="n">
        <v>44834</v>
      </c>
      <c r="J3524" s="12" t="n">
        <v>9.76</v>
      </c>
      <c r="K3524" s="17" t="n">
        <v>580495.3</v>
      </c>
      <c r="L3524" s="12" t="n">
        <v>0.48</v>
      </c>
      <c r="M3524" s="12" t="n">
        <v>18</v>
      </c>
      <c r="N3524" s="27">
        <f>F3524-J3524</f>
        <v/>
      </c>
      <c r="O3524" s="16">
        <f>I3524-H3524</f>
        <v/>
      </c>
      <c r="P3524" s="14">
        <f>F3524*G3524</f>
        <v/>
      </c>
      <c r="Q3524" s="14">
        <f>J3524*G3524</f>
        <v/>
      </c>
      <c r="R3524" s="14">
        <f>K3524-Q3524</f>
        <v/>
      </c>
      <c r="S3524" s="3">
        <f>P3524*Assumptions!$B$3/100</f>
        <v/>
      </c>
      <c r="T3524" s="14">
        <f>R3524-S3524</f>
        <v/>
      </c>
      <c r="U3524" s="14">
        <f>L3524*G3524</f>
        <v/>
      </c>
    </row>
    <row r="3525">
      <c r="A3525" s="12" t="inlineStr">
        <is>
          <t>PO-2023-3523</t>
        </is>
      </c>
      <c r="B3525" s="26" t="n">
        <v>45010</v>
      </c>
      <c r="C3525" s="12" t="inlineStr">
        <is>
          <t>VS01</t>
        </is>
      </c>
      <c r="D3525" s="12" t="inlineStr">
        <is>
          <t>Square/Rect Tubes</t>
        </is>
      </c>
      <c r="E3525" s="12" t="inlineStr">
        <is>
          <t>N</t>
        </is>
      </c>
      <c r="F3525" s="12" t="n">
        <v>17.77</v>
      </c>
      <c r="G3525" s="17" t="n">
        <v>61100.54</v>
      </c>
      <c r="H3525" s="26" t="n">
        <v>45022</v>
      </c>
      <c r="I3525" s="26" t="n">
        <v>45023</v>
      </c>
      <c r="J3525" s="12" t="n">
        <v>17.65</v>
      </c>
      <c r="K3525" s="17" t="n">
        <v>1085756.6</v>
      </c>
      <c r="L3525" s="12" t="n">
        <v>0</v>
      </c>
      <c r="M3525" s="12" t="n">
        <v>12</v>
      </c>
      <c r="N3525" s="27">
        <f>F3525-J3525</f>
        <v/>
      </c>
      <c r="O3525" s="16">
        <f>I3525-H3525</f>
        <v/>
      </c>
      <c r="P3525" s="14">
        <f>F3525*G3525</f>
        <v/>
      </c>
      <c r="Q3525" s="14">
        <f>J3525*G3525</f>
        <v/>
      </c>
      <c r="R3525" s="14">
        <f>K3525-Q3525</f>
        <v/>
      </c>
      <c r="S3525" s="3">
        <f>P3525*Assumptions!$B$3/100</f>
        <v/>
      </c>
      <c r="T3525" s="14">
        <f>R3525-S3525</f>
        <v/>
      </c>
      <c r="U3525" s="14">
        <f>L3525*G3525</f>
        <v/>
      </c>
    </row>
    <row r="3526">
      <c r="A3526" s="12" t="inlineStr">
        <is>
          <t>PO-2023-3524</t>
        </is>
      </c>
      <c r="B3526" s="26" t="n">
        <v>44749</v>
      </c>
      <c r="C3526" s="12" t="inlineStr">
        <is>
          <t>VS06</t>
        </is>
      </c>
      <c r="D3526" s="12" t="inlineStr">
        <is>
          <t>Square/Rect Tubes</t>
        </is>
      </c>
      <c r="E3526" s="12" t="inlineStr">
        <is>
          <t>N</t>
        </is>
      </c>
      <c r="F3526" s="12" t="n">
        <v>47.76</v>
      </c>
      <c r="G3526" s="17" t="n">
        <v>113539.68</v>
      </c>
      <c r="H3526" s="26" t="n">
        <v>44762</v>
      </c>
      <c r="I3526" s="26" t="n">
        <v>44763</v>
      </c>
      <c r="J3526" s="12" t="n">
        <v>47.73</v>
      </c>
      <c r="K3526" s="17" t="n">
        <v>5422655.12</v>
      </c>
      <c r="L3526" s="12" t="n">
        <v>0</v>
      </c>
      <c r="M3526" s="12" t="n">
        <v>0</v>
      </c>
      <c r="N3526" s="27">
        <f>F3526-J3526</f>
        <v/>
      </c>
      <c r="O3526" s="16">
        <f>I3526-H3526</f>
        <v/>
      </c>
      <c r="P3526" s="14">
        <f>F3526*G3526</f>
        <v/>
      </c>
      <c r="Q3526" s="14">
        <f>J3526*G3526</f>
        <v/>
      </c>
      <c r="R3526" s="14">
        <f>K3526-Q3526</f>
        <v/>
      </c>
      <c r="S3526" s="3">
        <f>P3526*Assumptions!$B$3/100</f>
        <v/>
      </c>
      <c r="T3526" s="14">
        <f>R3526-S3526</f>
        <v/>
      </c>
      <c r="U3526" s="14">
        <f>L3526*G3526</f>
        <v/>
      </c>
    </row>
    <row r="3527">
      <c r="A3527" s="12" t="inlineStr">
        <is>
          <t>PO-2023-3525</t>
        </is>
      </c>
      <c r="B3527" s="26" t="n">
        <v>44231</v>
      </c>
      <c r="C3527" s="12" t="inlineStr">
        <is>
          <t>VS18</t>
        </is>
      </c>
      <c r="D3527" s="12" t="inlineStr">
        <is>
          <t>SS Sheets</t>
        </is>
      </c>
      <c r="E3527" s="12" t="inlineStr">
        <is>
          <t>N</t>
        </is>
      </c>
      <c r="F3527" s="12" t="n">
        <v>37.35</v>
      </c>
      <c r="G3527" s="17" t="n">
        <v>78455.82000000001</v>
      </c>
      <c r="H3527" s="26" t="n">
        <v>44241</v>
      </c>
      <c r="I3527" s="26" t="n">
        <v>44244</v>
      </c>
      <c r="J3527" s="12" t="n">
        <v>37.32</v>
      </c>
      <c r="K3527" s="17" t="n">
        <v>2930324.88</v>
      </c>
      <c r="L3527" s="12" t="n">
        <v>0</v>
      </c>
      <c r="M3527" s="12" t="n">
        <v>10</v>
      </c>
      <c r="N3527" s="27">
        <f>F3527-J3527</f>
        <v/>
      </c>
      <c r="O3527" s="16">
        <f>I3527-H3527</f>
        <v/>
      </c>
      <c r="P3527" s="14">
        <f>F3527*G3527</f>
        <v/>
      </c>
      <c r="Q3527" s="14">
        <f>J3527*G3527</f>
        <v/>
      </c>
      <c r="R3527" s="14">
        <f>K3527-Q3527</f>
        <v/>
      </c>
      <c r="S3527" s="3">
        <f>P3527*Assumptions!$B$3/100</f>
        <v/>
      </c>
      <c r="T3527" s="14">
        <f>R3527-S3527</f>
        <v/>
      </c>
      <c r="U3527" s="14">
        <f>L3527*G3527</f>
        <v/>
      </c>
    </row>
    <row r="3528">
      <c r="A3528" s="12" t="inlineStr">
        <is>
          <t>PO-2023-3526</t>
        </is>
      </c>
      <c r="B3528" s="26" t="n">
        <v>44566</v>
      </c>
      <c r="C3528" s="12" t="inlineStr">
        <is>
          <t>VS25</t>
        </is>
      </c>
      <c r="D3528" s="12" t="inlineStr">
        <is>
          <t>MS Pipes</t>
        </is>
      </c>
      <c r="E3528" s="12" t="inlineStr">
        <is>
          <t>N</t>
        </is>
      </c>
      <c r="F3528" s="12" t="n">
        <v>11.2</v>
      </c>
      <c r="G3528" s="17" t="n">
        <v>58697.37</v>
      </c>
      <c r="H3528" s="26" t="n">
        <v>44579</v>
      </c>
      <c r="I3528" s="26" t="n">
        <v>44579</v>
      </c>
      <c r="J3528" s="12" t="n">
        <v>11.13</v>
      </c>
      <c r="K3528" s="17" t="n">
        <v>657410.54</v>
      </c>
      <c r="L3528" s="12" t="n">
        <v>0</v>
      </c>
      <c r="M3528" s="12" t="n">
        <v>0</v>
      </c>
      <c r="N3528" s="27">
        <f>F3528-J3528</f>
        <v/>
      </c>
      <c r="O3528" s="16">
        <f>I3528-H3528</f>
        <v/>
      </c>
      <c r="P3528" s="14">
        <f>F3528*G3528</f>
        <v/>
      </c>
      <c r="Q3528" s="14">
        <f>J3528*G3528</f>
        <v/>
      </c>
      <c r="R3528" s="14">
        <f>K3528-Q3528</f>
        <v/>
      </c>
      <c r="S3528" s="3">
        <f>P3528*Assumptions!$B$3/100</f>
        <v/>
      </c>
      <c r="T3528" s="14">
        <f>R3528-S3528</f>
        <v/>
      </c>
      <c r="U3528" s="14">
        <f>L3528*G3528</f>
        <v/>
      </c>
    </row>
    <row r="3529">
      <c r="A3529" s="12" t="inlineStr">
        <is>
          <t>PO-2023-3527</t>
        </is>
      </c>
      <c r="B3529" s="26" t="n">
        <v>44920</v>
      </c>
      <c r="C3529" s="12" t="inlineStr">
        <is>
          <t>VS21</t>
        </is>
      </c>
      <c r="D3529" s="12" t="inlineStr">
        <is>
          <t>ERW Pipes</t>
        </is>
      </c>
      <c r="E3529" s="12" t="inlineStr">
        <is>
          <t>Y</t>
        </is>
      </c>
      <c r="F3529" s="12" t="n">
        <v>12.01</v>
      </c>
      <c r="G3529" s="17" t="n">
        <v>54791.25</v>
      </c>
      <c r="H3529" s="26" t="n">
        <v>44929</v>
      </c>
      <c r="I3529" s="26" t="n">
        <v>44930</v>
      </c>
      <c r="J3529" s="12" t="n">
        <v>12.01</v>
      </c>
      <c r="K3529" s="17" t="n">
        <v>658042.91</v>
      </c>
      <c r="L3529" s="12" t="n">
        <v>0</v>
      </c>
      <c r="M3529" s="12" t="n">
        <v>7</v>
      </c>
      <c r="N3529" s="27">
        <f>F3529-J3529</f>
        <v/>
      </c>
      <c r="O3529" s="16">
        <f>I3529-H3529</f>
        <v/>
      </c>
      <c r="P3529" s="14">
        <f>F3529*G3529</f>
        <v/>
      </c>
      <c r="Q3529" s="14">
        <f>J3529*G3529</f>
        <v/>
      </c>
      <c r="R3529" s="14">
        <f>K3529-Q3529</f>
        <v/>
      </c>
      <c r="S3529" s="3">
        <f>P3529*Assumptions!$B$3/100</f>
        <v/>
      </c>
      <c r="T3529" s="14">
        <f>R3529-S3529</f>
        <v/>
      </c>
      <c r="U3529" s="14">
        <f>L3529*G3529</f>
        <v/>
      </c>
    </row>
    <row r="3530">
      <c r="A3530" s="12" t="inlineStr">
        <is>
          <t>PO-2023-3528</t>
        </is>
      </c>
      <c r="B3530" s="26" t="n">
        <v>44358</v>
      </c>
      <c r="C3530" s="12" t="inlineStr">
        <is>
          <t>VS30</t>
        </is>
      </c>
      <c r="D3530" s="12" t="inlineStr">
        <is>
          <t>SS Sheets</t>
        </is>
      </c>
      <c r="E3530" s="12" t="inlineStr">
        <is>
          <t>N</t>
        </is>
      </c>
      <c r="F3530" s="12" t="n">
        <v>36.29</v>
      </c>
      <c r="G3530" s="17" t="n">
        <v>46807.98</v>
      </c>
      <c r="H3530" s="26" t="n">
        <v>44371</v>
      </c>
      <c r="I3530" s="26" t="n">
        <v>44371</v>
      </c>
      <c r="J3530" s="12" t="n">
        <v>36.27</v>
      </c>
      <c r="K3530" s="17" t="n">
        <v>1698661.59</v>
      </c>
      <c r="L3530" s="12" t="n">
        <v>0</v>
      </c>
      <c r="M3530" s="12" t="n">
        <v>20</v>
      </c>
      <c r="N3530" s="27">
        <f>F3530-J3530</f>
        <v/>
      </c>
      <c r="O3530" s="16">
        <f>I3530-H3530</f>
        <v/>
      </c>
      <c r="P3530" s="14">
        <f>F3530*G3530</f>
        <v/>
      </c>
      <c r="Q3530" s="14">
        <f>J3530*G3530</f>
        <v/>
      </c>
      <c r="R3530" s="14">
        <f>K3530-Q3530</f>
        <v/>
      </c>
      <c r="S3530" s="3">
        <f>P3530*Assumptions!$B$3/100</f>
        <v/>
      </c>
      <c r="T3530" s="14">
        <f>R3530-S3530</f>
        <v/>
      </c>
      <c r="U3530" s="14">
        <f>L3530*G3530</f>
        <v/>
      </c>
    </row>
    <row r="3531">
      <c r="A3531" s="12" t="inlineStr">
        <is>
          <t>PO-2023-3529</t>
        </is>
      </c>
      <c r="B3531" s="26" t="n">
        <v>44471</v>
      </c>
      <c r="C3531" s="12" t="inlineStr">
        <is>
          <t>VS18</t>
        </is>
      </c>
      <c r="D3531" s="12" t="inlineStr">
        <is>
          <t>Angles &amp; Channels</t>
        </is>
      </c>
      <c r="E3531" s="12" t="inlineStr">
        <is>
          <t>N</t>
        </is>
      </c>
      <c r="F3531" s="12" t="n">
        <v>41.53</v>
      </c>
      <c r="G3531" s="17" t="n">
        <v>71931.77</v>
      </c>
      <c r="H3531" s="26" t="n">
        <v>44482</v>
      </c>
      <c r="I3531" s="26" t="n">
        <v>44483</v>
      </c>
      <c r="J3531" s="12" t="n">
        <v>41.19</v>
      </c>
      <c r="K3531" s="17" t="n">
        <v>2987326.41</v>
      </c>
      <c r="L3531" s="12" t="n">
        <v>0</v>
      </c>
      <c r="M3531" s="12" t="n">
        <v>0</v>
      </c>
      <c r="N3531" s="27">
        <f>F3531-J3531</f>
        <v/>
      </c>
      <c r="O3531" s="16">
        <f>I3531-H3531</f>
        <v/>
      </c>
      <c r="P3531" s="14">
        <f>F3531*G3531</f>
        <v/>
      </c>
      <c r="Q3531" s="14">
        <f>J3531*G3531</f>
        <v/>
      </c>
      <c r="R3531" s="14">
        <f>K3531-Q3531</f>
        <v/>
      </c>
      <c r="S3531" s="3">
        <f>P3531*Assumptions!$B$3/100</f>
        <v/>
      </c>
      <c r="T3531" s="14">
        <f>R3531-S3531</f>
        <v/>
      </c>
      <c r="U3531" s="14">
        <f>L3531*G3531</f>
        <v/>
      </c>
    </row>
    <row r="3532">
      <c r="A3532" s="12" t="inlineStr">
        <is>
          <t>PO-2023-3530</t>
        </is>
      </c>
      <c r="B3532" s="26" t="n">
        <v>44915</v>
      </c>
      <c r="C3532" s="12" t="inlineStr">
        <is>
          <t>VS08</t>
        </is>
      </c>
      <c r="D3532" s="12" t="inlineStr">
        <is>
          <t>MS Rods</t>
        </is>
      </c>
      <c r="E3532" s="12" t="inlineStr">
        <is>
          <t>N</t>
        </is>
      </c>
      <c r="F3532" s="12" t="n">
        <v>2.82</v>
      </c>
      <c r="G3532" s="17" t="n">
        <v>52932.65</v>
      </c>
      <c r="H3532" s="26" t="n">
        <v>44927</v>
      </c>
      <c r="I3532" s="26" t="n">
        <v>44930</v>
      </c>
      <c r="J3532" s="12" t="n">
        <v>2.81</v>
      </c>
      <c r="K3532" s="17" t="n">
        <v>149270.07</v>
      </c>
      <c r="L3532" s="12" t="n">
        <v>0</v>
      </c>
      <c r="M3532" s="12" t="n">
        <v>9</v>
      </c>
      <c r="N3532" s="27">
        <f>F3532-J3532</f>
        <v/>
      </c>
      <c r="O3532" s="16">
        <f>I3532-H3532</f>
        <v/>
      </c>
      <c r="P3532" s="14">
        <f>F3532*G3532</f>
        <v/>
      </c>
      <c r="Q3532" s="14">
        <f>J3532*G3532</f>
        <v/>
      </c>
      <c r="R3532" s="14">
        <f>K3532-Q3532</f>
        <v/>
      </c>
      <c r="S3532" s="3">
        <f>P3532*Assumptions!$B$3/100</f>
        <v/>
      </c>
      <c r="T3532" s="14">
        <f>R3532-S3532</f>
        <v/>
      </c>
      <c r="U3532" s="14">
        <f>L3532*G3532</f>
        <v/>
      </c>
    </row>
    <row r="3533">
      <c r="A3533" s="12" t="inlineStr">
        <is>
          <t>PO-2023-3531</t>
        </is>
      </c>
      <c r="B3533" s="26" t="n">
        <v>44423</v>
      </c>
      <c r="C3533" s="12" t="inlineStr">
        <is>
          <t>VS21</t>
        </is>
      </c>
      <c r="D3533" s="12" t="inlineStr">
        <is>
          <t>Spring Steel</t>
        </is>
      </c>
      <c r="E3533" s="12" t="inlineStr">
        <is>
          <t>N</t>
        </is>
      </c>
      <c r="F3533" s="12" t="n">
        <v>29.49</v>
      </c>
      <c r="G3533" s="17" t="n">
        <v>108119.52</v>
      </c>
      <c r="H3533" s="26" t="n">
        <v>44428</v>
      </c>
      <c r="I3533" s="26" t="n">
        <v>44431</v>
      </c>
      <c r="J3533" s="12" t="n">
        <v>29.28</v>
      </c>
      <c r="K3533" s="17" t="n">
        <v>3188444.64</v>
      </c>
      <c r="L3533" s="12" t="n">
        <v>0</v>
      </c>
      <c r="M3533" s="12" t="n">
        <v>18</v>
      </c>
      <c r="N3533" s="27">
        <f>F3533-J3533</f>
        <v/>
      </c>
      <c r="O3533" s="16">
        <f>I3533-H3533</f>
        <v/>
      </c>
      <c r="P3533" s="14">
        <f>F3533*G3533</f>
        <v/>
      </c>
      <c r="Q3533" s="14">
        <f>J3533*G3533</f>
        <v/>
      </c>
      <c r="R3533" s="14">
        <f>K3533-Q3533</f>
        <v/>
      </c>
      <c r="S3533" s="3">
        <f>P3533*Assumptions!$B$3/100</f>
        <v/>
      </c>
      <c r="T3533" s="14">
        <f>R3533-S3533</f>
        <v/>
      </c>
      <c r="U3533" s="14">
        <f>L3533*G3533</f>
        <v/>
      </c>
    </row>
    <row r="3534">
      <c r="A3534" s="12" t="inlineStr">
        <is>
          <t>PO-2023-3532</t>
        </is>
      </c>
      <c r="B3534" s="26" t="n">
        <v>45077</v>
      </c>
      <c r="C3534" s="12" t="inlineStr">
        <is>
          <t>VS26</t>
        </is>
      </c>
      <c r="D3534" s="12" t="inlineStr">
        <is>
          <t>SS Sheets</t>
        </is>
      </c>
      <c r="E3534" s="12" t="inlineStr">
        <is>
          <t>N</t>
        </is>
      </c>
      <c r="F3534" s="12" t="n">
        <v>36.89</v>
      </c>
      <c r="G3534" s="17" t="n">
        <v>105175.03</v>
      </c>
      <c r="H3534" s="26" t="n">
        <v>45086</v>
      </c>
      <c r="I3534" s="26" t="n">
        <v>45088</v>
      </c>
      <c r="J3534" s="12" t="n">
        <v>36.57</v>
      </c>
      <c r="K3534" s="17" t="n">
        <v>3879906.86</v>
      </c>
      <c r="L3534" s="12" t="n">
        <v>0</v>
      </c>
      <c r="M3534" s="12" t="n">
        <v>0</v>
      </c>
      <c r="N3534" s="27">
        <f>F3534-J3534</f>
        <v/>
      </c>
      <c r="O3534" s="16">
        <f>I3534-H3534</f>
        <v/>
      </c>
      <c r="P3534" s="14">
        <f>F3534*G3534</f>
        <v/>
      </c>
      <c r="Q3534" s="14">
        <f>J3534*G3534</f>
        <v/>
      </c>
      <c r="R3534" s="14">
        <f>K3534-Q3534</f>
        <v/>
      </c>
      <c r="S3534" s="3">
        <f>P3534*Assumptions!$B$3/100</f>
        <v/>
      </c>
      <c r="T3534" s="14">
        <f>R3534-S3534</f>
        <v/>
      </c>
      <c r="U3534" s="14">
        <f>L3534*G3534</f>
        <v/>
      </c>
    </row>
    <row r="3535">
      <c r="A3535" s="12" t="inlineStr">
        <is>
          <t>PO-2023-3533</t>
        </is>
      </c>
      <c r="B3535" s="26" t="n">
        <v>44719</v>
      </c>
      <c r="C3535" s="12" t="inlineStr">
        <is>
          <t>VS31</t>
        </is>
      </c>
      <c r="D3535" s="12" t="inlineStr">
        <is>
          <t>Spring Steel</t>
        </is>
      </c>
      <c r="E3535" s="12" t="inlineStr">
        <is>
          <t>N</t>
        </is>
      </c>
      <c r="F3535" s="12" t="n">
        <v>21.97</v>
      </c>
      <c r="G3535" s="17" t="n">
        <v>110910.61</v>
      </c>
      <c r="H3535" s="26" t="n">
        <v>44730</v>
      </c>
      <c r="I3535" s="26" t="n">
        <v>44732</v>
      </c>
      <c r="J3535" s="12" t="n">
        <v>21.78</v>
      </c>
      <c r="K3535" s="17" t="n">
        <v>2436706.1</v>
      </c>
      <c r="L3535" s="12" t="n">
        <v>0</v>
      </c>
      <c r="M3535" s="12" t="n">
        <v>7</v>
      </c>
      <c r="N3535" s="27">
        <f>F3535-J3535</f>
        <v/>
      </c>
      <c r="O3535" s="16">
        <f>I3535-H3535</f>
        <v/>
      </c>
      <c r="P3535" s="14">
        <f>F3535*G3535</f>
        <v/>
      </c>
      <c r="Q3535" s="14">
        <f>J3535*G3535</f>
        <v/>
      </c>
      <c r="R3535" s="14">
        <f>K3535-Q3535</f>
        <v/>
      </c>
      <c r="S3535" s="3">
        <f>P3535*Assumptions!$B$3/100</f>
        <v/>
      </c>
      <c r="T3535" s="14">
        <f>R3535-S3535</f>
        <v/>
      </c>
      <c r="U3535" s="14">
        <f>L3535*G3535</f>
        <v/>
      </c>
    </row>
    <row r="3536">
      <c r="A3536" s="12" t="inlineStr">
        <is>
          <t>PO-2023-3534</t>
        </is>
      </c>
      <c r="B3536" s="26" t="n">
        <v>45059</v>
      </c>
      <c r="C3536" s="12" t="inlineStr">
        <is>
          <t>VS09</t>
        </is>
      </c>
      <c r="D3536" s="12" t="inlineStr">
        <is>
          <t>GI Sheets</t>
        </is>
      </c>
      <c r="E3536" s="12" t="inlineStr">
        <is>
          <t>N</t>
        </is>
      </c>
      <c r="F3536" s="12" t="n">
        <v>23.72</v>
      </c>
      <c r="G3536" s="17" t="n">
        <v>119934.55</v>
      </c>
      <c r="H3536" s="26" t="n">
        <v>45062</v>
      </c>
      <c r="I3536" s="26" t="n">
        <v>45062</v>
      </c>
      <c r="J3536" s="12" t="n">
        <v>23.72</v>
      </c>
      <c r="K3536" s="17" t="n">
        <v>2844847.53</v>
      </c>
      <c r="L3536" s="12" t="n">
        <v>0</v>
      </c>
      <c r="M3536" s="12" t="n">
        <v>0</v>
      </c>
      <c r="N3536" s="27">
        <f>F3536-J3536</f>
        <v/>
      </c>
      <c r="O3536" s="16">
        <f>I3536-H3536</f>
        <v/>
      </c>
      <c r="P3536" s="14">
        <f>F3536*G3536</f>
        <v/>
      </c>
      <c r="Q3536" s="14">
        <f>J3536*G3536</f>
        <v/>
      </c>
      <c r="R3536" s="14">
        <f>K3536-Q3536</f>
        <v/>
      </c>
      <c r="S3536" s="3">
        <f>P3536*Assumptions!$B$3/100</f>
        <v/>
      </c>
      <c r="T3536" s="14">
        <f>R3536-S3536</f>
        <v/>
      </c>
      <c r="U3536" s="14">
        <f>L3536*G3536</f>
        <v/>
      </c>
    </row>
    <row r="3537">
      <c r="A3537" s="12" t="inlineStr">
        <is>
          <t>PO-2023-3535</t>
        </is>
      </c>
      <c r="B3537" s="26" t="n">
        <v>45221</v>
      </c>
      <c r="C3537" s="12" t="inlineStr">
        <is>
          <t>VS34</t>
        </is>
      </c>
      <c r="D3537" s="12" t="inlineStr">
        <is>
          <t>CR Sheets</t>
        </is>
      </c>
      <c r="E3537" s="12" t="inlineStr">
        <is>
          <t>N</t>
        </is>
      </c>
      <c r="F3537" s="12" t="n">
        <v>16.29</v>
      </c>
      <c r="G3537" s="17" t="n">
        <v>64411.34</v>
      </c>
      <c r="H3537" s="26" t="n">
        <v>45232</v>
      </c>
      <c r="I3537" s="26" t="n">
        <v>45234</v>
      </c>
      <c r="J3537" s="12" t="n">
        <v>16.29</v>
      </c>
      <c r="K3537" s="17" t="n">
        <v>1049260.73</v>
      </c>
      <c r="L3537" s="12" t="n">
        <v>0</v>
      </c>
      <c r="M3537" s="12" t="n">
        <v>15</v>
      </c>
      <c r="N3537" s="27">
        <f>F3537-J3537</f>
        <v/>
      </c>
      <c r="O3537" s="16">
        <f>I3537-H3537</f>
        <v/>
      </c>
      <c r="P3537" s="14">
        <f>F3537*G3537</f>
        <v/>
      </c>
      <c r="Q3537" s="14">
        <f>J3537*G3537</f>
        <v/>
      </c>
      <c r="R3537" s="14">
        <f>K3537-Q3537</f>
        <v/>
      </c>
      <c r="S3537" s="3">
        <f>P3537*Assumptions!$B$3/100</f>
        <v/>
      </c>
      <c r="T3537" s="14">
        <f>R3537-S3537</f>
        <v/>
      </c>
      <c r="U3537" s="14">
        <f>L3537*G3537</f>
        <v/>
      </c>
    </row>
    <row r="3538">
      <c r="A3538" s="12" t="inlineStr">
        <is>
          <t>PO-2023-3536</t>
        </is>
      </c>
      <c r="B3538" s="26" t="n">
        <v>44669</v>
      </c>
      <c r="C3538" s="12" t="inlineStr">
        <is>
          <t>VS29</t>
        </is>
      </c>
      <c r="D3538" s="12" t="inlineStr">
        <is>
          <t>Spring Steel</t>
        </is>
      </c>
      <c r="E3538" s="12" t="inlineStr">
        <is>
          <t>N</t>
        </is>
      </c>
      <c r="F3538" s="12" t="n">
        <v>48.84</v>
      </c>
      <c r="G3538" s="17" t="n">
        <v>118254.05</v>
      </c>
      <c r="H3538" s="26" t="n">
        <v>44673</v>
      </c>
      <c r="I3538" s="26" t="n">
        <v>44675</v>
      </c>
      <c r="J3538" s="12" t="n">
        <v>48.82</v>
      </c>
      <c r="K3538" s="17" t="n">
        <v>5775527.8</v>
      </c>
      <c r="L3538" s="12" t="n">
        <v>0</v>
      </c>
      <c r="M3538" s="12" t="n">
        <v>0</v>
      </c>
      <c r="N3538" s="27">
        <f>F3538-J3538</f>
        <v/>
      </c>
      <c r="O3538" s="16">
        <f>I3538-H3538</f>
        <v/>
      </c>
      <c r="P3538" s="14">
        <f>F3538*G3538</f>
        <v/>
      </c>
      <c r="Q3538" s="14">
        <f>J3538*G3538</f>
        <v/>
      </c>
      <c r="R3538" s="14">
        <f>K3538-Q3538</f>
        <v/>
      </c>
      <c r="S3538" s="3">
        <f>P3538*Assumptions!$B$3/100</f>
        <v/>
      </c>
      <c r="T3538" s="14">
        <f>R3538-S3538</f>
        <v/>
      </c>
      <c r="U3538" s="14">
        <f>L3538*G3538</f>
        <v/>
      </c>
    </row>
    <row r="3539">
      <c r="A3539" s="12" t="inlineStr">
        <is>
          <t>PO-2023-3537</t>
        </is>
      </c>
      <c r="B3539" s="26" t="n">
        <v>44263</v>
      </c>
      <c r="C3539" s="12" t="inlineStr">
        <is>
          <t>VS32</t>
        </is>
      </c>
      <c r="D3539" s="12" t="inlineStr">
        <is>
          <t>SS Sheets</t>
        </is>
      </c>
      <c r="E3539" s="12" t="inlineStr">
        <is>
          <t>N</t>
        </is>
      </c>
      <c r="F3539" s="12" t="n">
        <v>31.37</v>
      </c>
      <c r="G3539" s="17" t="n">
        <v>87544.03</v>
      </c>
      <c r="H3539" s="26" t="n">
        <v>44267</v>
      </c>
      <c r="I3539" s="26" t="n">
        <v>44269</v>
      </c>
      <c r="J3539" s="12" t="n">
        <v>31.07</v>
      </c>
      <c r="K3539" s="17" t="n">
        <v>2746256.22</v>
      </c>
      <c r="L3539" s="12" t="n">
        <v>0</v>
      </c>
      <c r="M3539" s="12" t="n">
        <v>5</v>
      </c>
      <c r="N3539" s="27">
        <f>F3539-J3539</f>
        <v/>
      </c>
      <c r="O3539" s="16">
        <f>I3539-H3539</f>
        <v/>
      </c>
      <c r="P3539" s="14">
        <f>F3539*G3539</f>
        <v/>
      </c>
      <c r="Q3539" s="14">
        <f>J3539*G3539</f>
        <v/>
      </c>
      <c r="R3539" s="14">
        <f>K3539-Q3539</f>
        <v/>
      </c>
      <c r="S3539" s="3">
        <f>P3539*Assumptions!$B$3/100</f>
        <v/>
      </c>
      <c r="T3539" s="14">
        <f>R3539-S3539</f>
        <v/>
      </c>
      <c r="U3539" s="14">
        <f>L3539*G3539</f>
        <v/>
      </c>
    </row>
    <row r="3540">
      <c r="A3540" s="12" t="inlineStr">
        <is>
          <t>PO-2023-3538</t>
        </is>
      </c>
      <c r="B3540" s="26" t="n">
        <v>45092</v>
      </c>
      <c r="C3540" s="12" t="inlineStr">
        <is>
          <t>VS20</t>
        </is>
      </c>
      <c r="D3540" s="12" t="inlineStr">
        <is>
          <t>GI Pipes</t>
        </is>
      </c>
      <c r="E3540" s="12" t="inlineStr">
        <is>
          <t>N</t>
        </is>
      </c>
      <c r="F3540" s="12" t="n">
        <v>3.47</v>
      </c>
      <c r="G3540" s="17" t="n">
        <v>87846.05</v>
      </c>
      <c r="H3540" s="26" t="n">
        <v>45106</v>
      </c>
      <c r="I3540" s="26" t="n">
        <v>45109</v>
      </c>
      <c r="J3540" s="12" t="n">
        <v>3.47</v>
      </c>
      <c r="K3540" s="17" t="n">
        <v>304825.79</v>
      </c>
      <c r="L3540" s="12" t="n">
        <v>0</v>
      </c>
      <c r="M3540" s="12" t="n">
        <v>18</v>
      </c>
      <c r="N3540" s="27">
        <f>F3540-J3540</f>
        <v/>
      </c>
      <c r="O3540" s="16">
        <f>I3540-H3540</f>
        <v/>
      </c>
      <c r="P3540" s="14">
        <f>F3540*G3540</f>
        <v/>
      </c>
      <c r="Q3540" s="14">
        <f>J3540*G3540</f>
        <v/>
      </c>
      <c r="R3540" s="14">
        <f>K3540-Q3540</f>
        <v/>
      </c>
      <c r="S3540" s="3">
        <f>P3540*Assumptions!$B$3/100</f>
        <v/>
      </c>
      <c r="T3540" s="14">
        <f>R3540-S3540</f>
        <v/>
      </c>
      <c r="U3540" s="14">
        <f>L3540*G3540</f>
        <v/>
      </c>
    </row>
    <row r="3541">
      <c r="A3541" s="12" t="inlineStr">
        <is>
          <t>PO-2023-3539</t>
        </is>
      </c>
      <c r="B3541" s="26" t="n">
        <v>45280</v>
      </c>
      <c r="C3541" s="12" t="inlineStr">
        <is>
          <t>VS13</t>
        </is>
      </c>
      <c r="D3541" s="12" t="inlineStr">
        <is>
          <t>MS Rods</t>
        </is>
      </c>
      <c r="E3541" s="12" t="inlineStr">
        <is>
          <t>Y</t>
        </is>
      </c>
      <c r="F3541" s="12" t="n">
        <v>30.79</v>
      </c>
      <c r="G3541" s="17" t="n">
        <v>99777.17</v>
      </c>
      <c r="H3541" s="26" t="n">
        <v>45285</v>
      </c>
      <c r="I3541" s="26" t="n">
        <v>45287</v>
      </c>
      <c r="J3541" s="12" t="n">
        <v>30.51</v>
      </c>
      <c r="K3541" s="17" t="n">
        <v>3072139.06</v>
      </c>
      <c r="L3541" s="12" t="n">
        <v>0</v>
      </c>
      <c r="M3541" s="12" t="n">
        <v>5</v>
      </c>
      <c r="N3541" s="27">
        <f>F3541-J3541</f>
        <v/>
      </c>
      <c r="O3541" s="16">
        <f>I3541-H3541</f>
        <v/>
      </c>
      <c r="P3541" s="14">
        <f>F3541*G3541</f>
        <v/>
      </c>
      <c r="Q3541" s="14">
        <f>J3541*G3541</f>
        <v/>
      </c>
      <c r="R3541" s="14">
        <f>K3541-Q3541</f>
        <v/>
      </c>
      <c r="S3541" s="3">
        <f>P3541*Assumptions!$B$3/100</f>
        <v/>
      </c>
      <c r="T3541" s="14">
        <f>R3541-S3541</f>
        <v/>
      </c>
      <c r="U3541" s="14">
        <f>L3541*G3541</f>
        <v/>
      </c>
    </row>
    <row r="3542">
      <c r="A3542" s="12" t="inlineStr">
        <is>
          <t>PO-2023-3540</t>
        </is>
      </c>
      <c r="B3542" s="26" t="n">
        <v>44601</v>
      </c>
      <c r="C3542" s="12" t="inlineStr">
        <is>
          <t>VS21</t>
        </is>
      </c>
      <c r="D3542" s="12" t="inlineStr">
        <is>
          <t>HR Coils</t>
        </is>
      </c>
      <c r="E3542" s="12" t="inlineStr">
        <is>
          <t>N</t>
        </is>
      </c>
      <c r="F3542" s="12" t="n">
        <v>14.65</v>
      </c>
      <c r="G3542" s="17" t="n">
        <v>65176.16</v>
      </c>
      <c r="H3542" s="26" t="n">
        <v>44610</v>
      </c>
      <c r="I3542" s="26" t="n">
        <v>44612</v>
      </c>
      <c r="J3542" s="12" t="n">
        <v>14.64</v>
      </c>
      <c r="K3542" s="17" t="n">
        <v>954830.74</v>
      </c>
      <c r="L3542" s="12" t="n">
        <v>0</v>
      </c>
      <c r="M3542" s="12" t="n">
        <v>3</v>
      </c>
      <c r="N3542" s="27">
        <f>F3542-J3542</f>
        <v/>
      </c>
      <c r="O3542" s="16">
        <f>I3542-H3542</f>
        <v/>
      </c>
      <c r="P3542" s="14">
        <f>F3542*G3542</f>
        <v/>
      </c>
      <c r="Q3542" s="14">
        <f>J3542*G3542</f>
        <v/>
      </c>
      <c r="R3542" s="14">
        <f>K3542-Q3542</f>
        <v/>
      </c>
      <c r="S3542" s="3">
        <f>P3542*Assumptions!$B$3/100</f>
        <v/>
      </c>
      <c r="T3542" s="14">
        <f>R3542-S3542</f>
        <v/>
      </c>
      <c r="U3542" s="14">
        <f>L3542*G3542</f>
        <v/>
      </c>
    </row>
    <row r="3543">
      <c r="A3543" s="12" t="inlineStr">
        <is>
          <t>PO-2023-3541</t>
        </is>
      </c>
      <c r="B3543" s="26" t="n">
        <v>44750</v>
      </c>
      <c r="C3543" s="12" t="inlineStr">
        <is>
          <t>VS29</t>
        </is>
      </c>
      <c r="D3543" s="12" t="inlineStr">
        <is>
          <t>GI Pipes</t>
        </is>
      </c>
      <c r="E3543" s="12" t="inlineStr">
        <is>
          <t>N</t>
        </is>
      </c>
      <c r="F3543" s="12" t="n">
        <v>25.7</v>
      </c>
      <c r="G3543" s="17" t="n">
        <v>53795.13</v>
      </c>
      <c r="H3543" s="26" t="n">
        <v>44762</v>
      </c>
      <c r="I3543" s="26" t="n">
        <v>44765</v>
      </c>
      <c r="J3543" s="12" t="n">
        <v>25.61</v>
      </c>
      <c r="K3543" s="17" t="n">
        <v>1382534.84</v>
      </c>
      <c r="L3543" s="12" t="n">
        <v>0</v>
      </c>
      <c r="M3543" s="12" t="n">
        <v>0</v>
      </c>
      <c r="N3543" s="27">
        <f>F3543-J3543</f>
        <v/>
      </c>
      <c r="O3543" s="16">
        <f>I3543-H3543</f>
        <v/>
      </c>
      <c r="P3543" s="14">
        <f>F3543*G3543</f>
        <v/>
      </c>
      <c r="Q3543" s="14">
        <f>J3543*G3543</f>
        <v/>
      </c>
      <c r="R3543" s="14">
        <f>K3543-Q3543</f>
        <v/>
      </c>
      <c r="S3543" s="3">
        <f>P3543*Assumptions!$B$3/100</f>
        <v/>
      </c>
      <c r="T3543" s="14">
        <f>R3543-S3543</f>
        <v/>
      </c>
      <c r="U3543" s="14">
        <f>L3543*G3543</f>
        <v/>
      </c>
    </row>
    <row r="3544">
      <c r="A3544" s="12" t="inlineStr">
        <is>
          <t>PO-2023-3542</t>
        </is>
      </c>
      <c r="B3544" s="26" t="n">
        <v>45277</v>
      </c>
      <c r="C3544" s="12" t="inlineStr">
        <is>
          <t>VS27</t>
        </is>
      </c>
      <c r="D3544" s="12" t="inlineStr">
        <is>
          <t>MS Flats</t>
        </is>
      </c>
      <c r="E3544" s="12" t="inlineStr">
        <is>
          <t>N</t>
        </is>
      </c>
      <c r="F3544" s="12" t="n">
        <v>14.44</v>
      </c>
      <c r="G3544" s="17" t="n">
        <v>59061.87</v>
      </c>
      <c r="H3544" s="26" t="n">
        <v>45291</v>
      </c>
      <c r="I3544" s="26" t="n">
        <v>45294</v>
      </c>
      <c r="J3544" s="12" t="n">
        <v>14.38</v>
      </c>
      <c r="K3544" s="17" t="n">
        <v>852853.4</v>
      </c>
      <c r="L3544" s="12" t="n">
        <v>0</v>
      </c>
      <c r="M3544" s="12" t="n">
        <v>21</v>
      </c>
      <c r="N3544" s="27">
        <f>F3544-J3544</f>
        <v/>
      </c>
      <c r="O3544" s="16">
        <f>I3544-H3544</f>
        <v/>
      </c>
      <c r="P3544" s="14">
        <f>F3544*G3544</f>
        <v/>
      </c>
      <c r="Q3544" s="14">
        <f>J3544*G3544</f>
        <v/>
      </c>
      <c r="R3544" s="14">
        <f>K3544-Q3544</f>
        <v/>
      </c>
      <c r="S3544" s="3">
        <f>P3544*Assumptions!$B$3/100</f>
        <v/>
      </c>
      <c r="T3544" s="14">
        <f>R3544-S3544</f>
        <v/>
      </c>
      <c r="U3544" s="14">
        <f>L3544*G3544</f>
        <v/>
      </c>
    </row>
    <row r="3545">
      <c r="A3545" s="12" t="inlineStr">
        <is>
          <t>PO-2023-3543</t>
        </is>
      </c>
      <c r="B3545" s="26" t="n">
        <v>44216</v>
      </c>
      <c r="C3545" s="12" t="inlineStr">
        <is>
          <t>VS11</t>
        </is>
      </c>
      <c r="D3545" s="12" t="inlineStr">
        <is>
          <t>SS Pipes</t>
        </is>
      </c>
      <c r="E3545" s="12" t="inlineStr">
        <is>
          <t>Y</t>
        </is>
      </c>
      <c r="F3545" s="12" t="n">
        <v>49.9</v>
      </c>
      <c r="G3545" s="17" t="n">
        <v>59947.64</v>
      </c>
      <c r="H3545" s="26" t="n">
        <v>44230</v>
      </c>
      <c r="I3545" s="26" t="n">
        <v>44231</v>
      </c>
      <c r="J3545" s="12" t="n">
        <v>49.56</v>
      </c>
      <c r="K3545" s="17" t="n">
        <v>2991387.24</v>
      </c>
      <c r="L3545" s="12" t="n">
        <v>0</v>
      </c>
      <c r="M3545" s="12" t="n">
        <v>1</v>
      </c>
      <c r="N3545" s="27">
        <f>F3545-J3545</f>
        <v/>
      </c>
      <c r="O3545" s="16">
        <f>I3545-H3545</f>
        <v/>
      </c>
      <c r="P3545" s="14">
        <f>F3545*G3545</f>
        <v/>
      </c>
      <c r="Q3545" s="14">
        <f>J3545*G3545</f>
        <v/>
      </c>
      <c r="R3545" s="14">
        <f>K3545-Q3545</f>
        <v/>
      </c>
      <c r="S3545" s="3">
        <f>P3545*Assumptions!$B$3/100</f>
        <v/>
      </c>
      <c r="T3545" s="14">
        <f>R3545-S3545</f>
        <v/>
      </c>
      <c r="U3545" s="14">
        <f>L3545*G3545</f>
        <v/>
      </c>
    </row>
    <row r="3546">
      <c r="A3546" s="12" t="inlineStr">
        <is>
          <t>PO-2023-3544</t>
        </is>
      </c>
      <c r="B3546" s="26" t="n">
        <v>45203</v>
      </c>
      <c r="C3546" s="12" t="inlineStr">
        <is>
          <t>VS10</t>
        </is>
      </c>
      <c r="D3546" s="12" t="inlineStr">
        <is>
          <t>MS Pipes</t>
        </is>
      </c>
      <c r="E3546" s="12" t="inlineStr">
        <is>
          <t>N</t>
        </is>
      </c>
      <c r="F3546" s="12" t="n">
        <v>18.6</v>
      </c>
      <c r="G3546" s="17" t="n">
        <v>69664.00999999999</v>
      </c>
      <c r="H3546" s="26" t="n">
        <v>45209</v>
      </c>
      <c r="I3546" s="26" t="n">
        <v>45209</v>
      </c>
      <c r="J3546" s="12" t="n">
        <v>18.49</v>
      </c>
      <c r="K3546" s="17" t="n">
        <v>1295750.59</v>
      </c>
      <c r="L3546" s="12" t="n">
        <v>0</v>
      </c>
      <c r="M3546" s="12" t="n">
        <v>0</v>
      </c>
      <c r="N3546" s="27">
        <f>F3546-J3546</f>
        <v/>
      </c>
      <c r="O3546" s="16">
        <f>I3546-H3546</f>
        <v/>
      </c>
      <c r="P3546" s="14">
        <f>F3546*G3546</f>
        <v/>
      </c>
      <c r="Q3546" s="14">
        <f>J3546*G3546</f>
        <v/>
      </c>
      <c r="R3546" s="14">
        <f>K3546-Q3546</f>
        <v/>
      </c>
      <c r="S3546" s="3">
        <f>P3546*Assumptions!$B$3/100</f>
        <v/>
      </c>
      <c r="T3546" s="14">
        <f>R3546-S3546</f>
        <v/>
      </c>
      <c r="U3546" s="14">
        <f>L3546*G3546</f>
        <v/>
      </c>
    </row>
    <row r="3547">
      <c r="A3547" s="12" t="inlineStr">
        <is>
          <t>PO-2023-3545</t>
        </is>
      </c>
      <c r="B3547" s="26" t="n">
        <v>44643</v>
      </c>
      <c r="C3547" s="12" t="inlineStr">
        <is>
          <t>VS01</t>
        </is>
      </c>
      <c r="D3547" s="12" t="inlineStr">
        <is>
          <t>GI Pipes</t>
        </is>
      </c>
      <c r="E3547" s="12" t="inlineStr">
        <is>
          <t>N</t>
        </is>
      </c>
      <c r="F3547" s="12" t="n">
        <v>2.01</v>
      </c>
      <c r="G3547" s="17" t="n">
        <v>86140.78</v>
      </c>
      <c r="H3547" s="26" t="n">
        <v>44652</v>
      </c>
      <c r="I3547" s="26" t="n">
        <v>44654</v>
      </c>
      <c r="J3547" s="12" t="n">
        <v>2</v>
      </c>
      <c r="K3547" s="17" t="n">
        <v>173142.97</v>
      </c>
      <c r="L3547" s="12" t="n">
        <v>0</v>
      </c>
      <c r="M3547" s="12" t="n">
        <v>0</v>
      </c>
      <c r="N3547" s="27">
        <f>F3547-J3547</f>
        <v/>
      </c>
      <c r="O3547" s="16">
        <f>I3547-H3547</f>
        <v/>
      </c>
      <c r="P3547" s="14">
        <f>F3547*G3547</f>
        <v/>
      </c>
      <c r="Q3547" s="14">
        <f>J3547*G3547</f>
        <v/>
      </c>
      <c r="R3547" s="14">
        <f>K3547-Q3547</f>
        <v/>
      </c>
      <c r="S3547" s="3">
        <f>P3547*Assumptions!$B$3/100</f>
        <v/>
      </c>
      <c r="T3547" s="14">
        <f>R3547-S3547</f>
        <v/>
      </c>
      <c r="U3547" s="14">
        <f>L3547*G3547</f>
        <v/>
      </c>
    </row>
    <row r="3548">
      <c r="A3548" s="12" t="inlineStr">
        <is>
          <t>PO-2023-3546</t>
        </is>
      </c>
      <c r="B3548" s="26" t="n">
        <v>44706</v>
      </c>
      <c r="C3548" s="12" t="inlineStr">
        <is>
          <t>VS19</t>
        </is>
      </c>
      <c r="D3548" s="12" t="inlineStr">
        <is>
          <t>MS Rods</t>
        </is>
      </c>
      <c r="E3548" s="12" t="inlineStr">
        <is>
          <t>N</t>
        </is>
      </c>
      <c r="F3548" s="12" t="n">
        <v>23.22</v>
      </c>
      <c r="G3548" s="17" t="n">
        <v>93112.00999999999</v>
      </c>
      <c r="H3548" s="26" t="n">
        <v>44718</v>
      </c>
      <c r="I3548" s="26" t="n">
        <v>44720</v>
      </c>
      <c r="J3548" s="12" t="n">
        <v>22.4</v>
      </c>
      <c r="K3548" s="17" t="n">
        <v>2162060.87</v>
      </c>
      <c r="L3548" s="12" t="n">
        <v>0.85</v>
      </c>
      <c r="M3548" s="12" t="n">
        <v>19</v>
      </c>
      <c r="N3548" s="27">
        <f>F3548-J3548</f>
        <v/>
      </c>
      <c r="O3548" s="16">
        <f>I3548-H3548</f>
        <v/>
      </c>
      <c r="P3548" s="14">
        <f>F3548*G3548</f>
        <v/>
      </c>
      <c r="Q3548" s="14">
        <f>J3548*G3548</f>
        <v/>
      </c>
      <c r="R3548" s="14">
        <f>K3548-Q3548</f>
        <v/>
      </c>
      <c r="S3548" s="3">
        <f>P3548*Assumptions!$B$3/100</f>
        <v/>
      </c>
      <c r="T3548" s="14">
        <f>R3548-S3548</f>
        <v/>
      </c>
      <c r="U3548" s="14">
        <f>L3548*G3548</f>
        <v/>
      </c>
    </row>
    <row r="3549">
      <c r="A3549" s="12" t="inlineStr">
        <is>
          <t>PO-2023-3547</t>
        </is>
      </c>
      <c r="B3549" s="26" t="n">
        <v>44206</v>
      </c>
      <c r="C3549" s="12" t="inlineStr">
        <is>
          <t>VS01</t>
        </is>
      </c>
      <c r="D3549" s="12" t="inlineStr">
        <is>
          <t>Hex Bars</t>
        </is>
      </c>
      <c r="E3549" s="12" t="inlineStr">
        <is>
          <t>N</t>
        </is>
      </c>
      <c r="F3549" s="12" t="n">
        <v>26.53</v>
      </c>
      <c r="G3549" s="17" t="n">
        <v>102608.85</v>
      </c>
      <c r="H3549" s="26" t="n">
        <v>44218</v>
      </c>
      <c r="I3549" s="26" t="n">
        <v>44221</v>
      </c>
      <c r="J3549" s="12" t="n">
        <v>26.45</v>
      </c>
      <c r="K3549" s="17" t="n">
        <v>2722212.79</v>
      </c>
      <c r="L3549" s="12" t="n">
        <v>0</v>
      </c>
      <c r="M3549" s="12" t="n">
        <v>12</v>
      </c>
      <c r="N3549" s="27">
        <f>F3549-J3549</f>
        <v/>
      </c>
      <c r="O3549" s="16">
        <f>I3549-H3549</f>
        <v/>
      </c>
      <c r="P3549" s="14">
        <f>F3549*G3549</f>
        <v/>
      </c>
      <c r="Q3549" s="14">
        <f>J3549*G3549</f>
        <v/>
      </c>
      <c r="R3549" s="14">
        <f>K3549-Q3549</f>
        <v/>
      </c>
      <c r="S3549" s="3">
        <f>P3549*Assumptions!$B$3/100</f>
        <v/>
      </c>
      <c r="T3549" s="14">
        <f>R3549-S3549</f>
        <v/>
      </c>
      <c r="U3549" s="14">
        <f>L3549*G3549</f>
        <v/>
      </c>
    </row>
    <row r="3550">
      <c r="A3550" s="12" t="inlineStr">
        <is>
          <t>PO-2023-3548</t>
        </is>
      </c>
      <c r="B3550" s="26" t="n">
        <v>44381</v>
      </c>
      <c r="C3550" s="12" t="inlineStr">
        <is>
          <t>VS08</t>
        </is>
      </c>
      <c r="D3550" s="12" t="inlineStr">
        <is>
          <t>CR Sheets</t>
        </is>
      </c>
      <c r="E3550" s="12" t="inlineStr">
        <is>
          <t>N</t>
        </is>
      </c>
      <c r="F3550" s="12" t="n">
        <v>6.84</v>
      </c>
      <c r="G3550" s="17" t="n">
        <v>104874.09</v>
      </c>
      <c r="H3550" s="26" t="n">
        <v>44384</v>
      </c>
      <c r="I3550" s="26" t="n">
        <v>44384</v>
      </c>
      <c r="J3550" s="12" t="n">
        <v>6.83</v>
      </c>
      <c r="K3550" s="17" t="n">
        <v>717338.78</v>
      </c>
      <c r="L3550" s="12" t="n">
        <v>0</v>
      </c>
      <c r="M3550" s="12" t="n">
        <v>25</v>
      </c>
      <c r="N3550" s="27">
        <f>F3550-J3550</f>
        <v/>
      </c>
      <c r="O3550" s="16">
        <f>I3550-H3550</f>
        <v/>
      </c>
      <c r="P3550" s="14">
        <f>F3550*G3550</f>
        <v/>
      </c>
      <c r="Q3550" s="14">
        <f>J3550*G3550</f>
        <v/>
      </c>
      <c r="R3550" s="14">
        <f>K3550-Q3550</f>
        <v/>
      </c>
      <c r="S3550" s="3">
        <f>P3550*Assumptions!$B$3/100</f>
        <v/>
      </c>
      <c r="T3550" s="14">
        <f>R3550-S3550</f>
        <v/>
      </c>
      <c r="U3550" s="14">
        <f>L3550*G3550</f>
        <v/>
      </c>
    </row>
    <row r="3551">
      <c r="A3551" s="12" t="inlineStr">
        <is>
          <t>PO-2023-3549</t>
        </is>
      </c>
      <c r="B3551" s="26" t="n">
        <v>44386</v>
      </c>
      <c r="C3551" s="12" t="inlineStr">
        <is>
          <t>VS25</t>
        </is>
      </c>
      <c r="D3551" s="12" t="inlineStr">
        <is>
          <t>Square/Rect Tubes</t>
        </is>
      </c>
      <c r="E3551" s="12" t="inlineStr">
        <is>
          <t>N</t>
        </is>
      </c>
      <c r="F3551" s="12" t="n">
        <v>41.2</v>
      </c>
      <c r="G3551" s="17" t="n">
        <v>55414.78</v>
      </c>
      <c r="H3551" s="26" t="n">
        <v>44396</v>
      </c>
      <c r="I3551" s="26" t="n">
        <v>44399</v>
      </c>
      <c r="J3551" s="12" t="n">
        <v>41.15</v>
      </c>
      <c r="K3551" s="17" t="n">
        <v>2283088.94</v>
      </c>
      <c r="L3551" s="12" t="n">
        <v>0</v>
      </c>
      <c r="M3551" s="12" t="n">
        <v>0</v>
      </c>
      <c r="N3551" s="27">
        <f>F3551-J3551</f>
        <v/>
      </c>
      <c r="O3551" s="16">
        <f>I3551-H3551</f>
        <v/>
      </c>
      <c r="P3551" s="14">
        <f>F3551*G3551</f>
        <v/>
      </c>
      <c r="Q3551" s="14">
        <f>J3551*G3551</f>
        <v/>
      </c>
      <c r="R3551" s="14">
        <f>K3551-Q3551</f>
        <v/>
      </c>
      <c r="S3551" s="3">
        <f>P3551*Assumptions!$B$3/100</f>
        <v/>
      </c>
      <c r="T3551" s="14">
        <f>R3551-S3551</f>
        <v/>
      </c>
      <c r="U3551" s="14">
        <f>L3551*G3551</f>
        <v/>
      </c>
    </row>
    <row r="3552">
      <c r="A3552" s="12" t="inlineStr">
        <is>
          <t>PO-2023-3550</t>
        </is>
      </c>
      <c r="B3552" s="26" t="n">
        <v>44609</v>
      </c>
      <c r="C3552" s="12" t="inlineStr">
        <is>
          <t>VS30</t>
        </is>
      </c>
      <c r="D3552" s="12" t="inlineStr">
        <is>
          <t>Spring Steel</t>
        </is>
      </c>
      <c r="E3552" s="12" t="inlineStr">
        <is>
          <t>N</t>
        </is>
      </c>
      <c r="F3552" s="12" t="n">
        <v>47.31</v>
      </c>
      <c r="G3552" s="17" t="n">
        <v>88287.73</v>
      </c>
      <c r="H3552" s="26" t="n">
        <v>44619</v>
      </c>
      <c r="I3552" s="26" t="n">
        <v>44621</v>
      </c>
      <c r="J3552" s="12" t="n">
        <v>46.94</v>
      </c>
      <c r="K3552" s="17" t="n">
        <v>4176892.51</v>
      </c>
      <c r="L3552" s="12" t="n">
        <v>0</v>
      </c>
      <c r="M3552" s="12" t="n">
        <v>21</v>
      </c>
      <c r="N3552" s="27">
        <f>F3552-J3552</f>
        <v/>
      </c>
      <c r="O3552" s="16">
        <f>I3552-H3552</f>
        <v/>
      </c>
      <c r="P3552" s="14">
        <f>F3552*G3552</f>
        <v/>
      </c>
      <c r="Q3552" s="14">
        <f>J3552*G3552</f>
        <v/>
      </c>
      <c r="R3552" s="14">
        <f>K3552-Q3552</f>
        <v/>
      </c>
      <c r="S3552" s="3">
        <f>P3552*Assumptions!$B$3/100</f>
        <v/>
      </c>
      <c r="T3552" s="14">
        <f>R3552-S3552</f>
        <v/>
      </c>
      <c r="U3552" s="14">
        <f>L3552*G3552</f>
        <v/>
      </c>
    </row>
    <row r="3553">
      <c r="A3553" s="12" t="inlineStr">
        <is>
          <t>PO-2023-3551</t>
        </is>
      </c>
      <c r="B3553" s="26" t="n">
        <v>44288</v>
      </c>
      <c r="C3553" s="12" t="inlineStr">
        <is>
          <t>VS25</t>
        </is>
      </c>
      <c r="D3553" s="12" t="inlineStr">
        <is>
          <t>MS Pipes</t>
        </is>
      </c>
      <c r="E3553" s="12" t="inlineStr">
        <is>
          <t>N</t>
        </is>
      </c>
      <c r="F3553" s="12" t="n">
        <v>27.55</v>
      </c>
      <c r="G3553" s="17" t="n">
        <v>99979.14</v>
      </c>
      <c r="H3553" s="26" t="n">
        <v>44295</v>
      </c>
      <c r="I3553" s="26" t="n">
        <v>44298</v>
      </c>
      <c r="J3553" s="12" t="n">
        <v>27.5</v>
      </c>
      <c r="K3553" s="17" t="n">
        <v>2754425.31</v>
      </c>
      <c r="L3553" s="12" t="n">
        <v>0</v>
      </c>
      <c r="M3553" s="12" t="n">
        <v>0</v>
      </c>
      <c r="N3553" s="27">
        <f>F3553-J3553</f>
        <v/>
      </c>
      <c r="O3553" s="16">
        <f>I3553-H3553</f>
        <v/>
      </c>
      <c r="P3553" s="14">
        <f>F3553*G3553</f>
        <v/>
      </c>
      <c r="Q3553" s="14">
        <f>J3553*G3553</f>
        <v/>
      </c>
      <c r="R3553" s="14">
        <f>K3553-Q3553</f>
        <v/>
      </c>
      <c r="S3553" s="3">
        <f>P3553*Assumptions!$B$3/100</f>
        <v/>
      </c>
      <c r="T3553" s="14">
        <f>R3553-S3553</f>
        <v/>
      </c>
      <c r="U3553" s="14">
        <f>L3553*G3553</f>
        <v/>
      </c>
    </row>
    <row r="3554">
      <c r="A3554" s="12" t="inlineStr">
        <is>
          <t>PO-2023-3552</t>
        </is>
      </c>
      <c r="B3554" s="26" t="n">
        <v>44365</v>
      </c>
      <c r="C3554" s="12" t="inlineStr">
        <is>
          <t>VS28</t>
        </is>
      </c>
      <c r="D3554" s="12" t="inlineStr">
        <is>
          <t>Structural Steel</t>
        </is>
      </c>
      <c r="E3554" s="12" t="inlineStr">
        <is>
          <t>N</t>
        </is>
      </c>
      <c r="F3554" s="12" t="n">
        <v>50</v>
      </c>
      <c r="G3554" s="17" t="n">
        <v>74138.09</v>
      </c>
      <c r="H3554" s="26" t="n">
        <v>44368</v>
      </c>
      <c r="I3554" s="26" t="n">
        <v>44370</v>
      </c>
      <c r="J3554" s="12" t="n">
        <v>49.9</v>
      </c>
      <c r="K3554" s="17" t="n">
        <v>3706904.5</v>
      </c>
      <c r="L3554" s="12" t="n">
        <v>0</v>
      </c>
      <c r="M3554" s="12" t="n">
        <v>7</v>
      </c>
      <c r="N3554" s="27">
        <f>F3554-J3554</f>
        <v/>
      </c>
      <c r="O3554" s="16">
        <f>I3554-H3554</f>
        <v/>
      </c>
      <c r="P3554" s="14">
        <f>F3554*G3554</f>
        <v/>
      </c>
      <c r="Q3554" s="14">
        <f>J3554*G3554</f>
        <v/>
      </c>
      <c r="R3554" s="14">
        <f>K3554-Q3554</f>
        <v/>
      </c>
      <c r="S3554" s="3">
        <f>P3554*Assumptions!$B$3/100</f>
        <v/>
      </c>
      <c r="T3554" s="14">
        <f>R3554-S3554</f>
        <v/>
      </c>
      <c r="U3554" s="14">
        <f>L3554*G3554</f>
        <v/>
      </c>
    </row>
    <row r="3555">
      <c r="A3555" s="12" t="inlineStr">
        <is>
          <t>PO-2023-3553</t>
        </is>
      </c>
      <c r="B3555" s="26" t="n">
        <v>44300</v>
      </c>
      <c r="C3555" s="12" t="inlineStr">
        <is>
          <t>VS02</t>
        </is>
      </c>
      <c r="D3555" s="12" t="inlineStr">
        <is>
          <t>Hex Bars</t>
        </is>
      </c>
      <c r="E3555" s="12" t="inlineStr">
        <is>
          <t>N</t>
        </is>
      </c>
      <c r="F3555" s="12" t="n">
        <v>14.59</v>
      </c>
      <c r="G3555" s="17" t="n">
        <v>61433.86</v>
      </c>
      <c r="H3555" s="26" t="n">
        <v>44309</v>
      </c>
      <c r="I3555" s="26" t="n">
        <v>44309</v>
      </c>
      <c r="J3555" s="12" t="n">
        <v>14.54</v>
      </c>
      <c r="K3555" s="17" t="n">
        <v>896320.02</v>
      </c>
      <c r="L3555" s="12" t="n">
        <v>0</v>
      </c>
      <c r="M3555" s="12" t="n">
        <v>16</v>
      </c>
      <c r="N3555" s="27">
        <f>F3555-J3555</f>
        <v/>
      </c>
      <c r="O3555" s="16">
        <f>I3555-H3555</f>
        <v/>
      </c>
      <c r="P3555" s="14">
        <f>F3555*G3555</f>
        <v/>
      </c>
      <c r="Q3555" s="14">
        <f>J3555*G3555</f>
        <v/>
      </c>
      <c r="R3555" s="14">
        <f>K3555-Q3555</f>
        <v/>
      </c>
      <c r="S3555" s="3">
        <f>P3555*Assumptions!$B$3/100</f>
        <v/>
      </c>
      <c r="T3555" s="14">
        <f>R3555-S3555</f>
        <v/>
      </c>
      <c r="U3555" s="14">
        <f>L3555*G3555</f>
        <v/>
      </c>
    </row>
    <row r="3556">
      <c r="A3556" s="12" t="inlineStr">
        <is>
          <t>PO-2023-3554</t>
        </is>
      </c>
      <c r="B3556" s="26" t="n">
        <v>44440</v>
      </c>
      <c r="C3556" s="12" t="inlineStr">
        <is>
          <t>VS07</t>
        </is>
      </c>
      <c r="D3556" s="12" t="inlineStr">
        <is>
          <t>HR Coils</t>
        </is>
      </c>
      <c r="E3556" s="12" t="inlineStr">
        <is>
          <t>N</t>
        </is>
      </c>
      <c r="F3556" s="12" t="n">
        <v>47.7</v>
      </c>
      <c r="G3556" s="17" t="n">
        <v>51186.15</v>
      </c>
      <c r="H3556" s="26" t="n">
        <v>44444</v>
      </c>
      <c r="I3556" s="26" t="n">
        <v>44447</v>
      </c>
      <c r="J3556" s="12" t="n">
        <v>47.42</v>
      </c>
      <c r="K3556" s="17" t="n">
        <v>2441579.36</v>
      </c>
      <c r="L3556" s="12" t="n">
        <v>0</v>
      </c>
      <c r="M3556" s="12" t="n">
        <v>17</v>
      </c>
      <c r="N3556" s="27">
        <f>F3556-J3556</f>
        <v/>
      </c>
      <c r="O3556" s="16">
        <f>I3556-H3556</f>
        <v/>
      </c>
      <c r="P3556" s="14">
        <f>F3556*G3556</f>
        <v/>
      </c>
      <c r="Q3556" s="14">
        <f>J3556*G3556</f>
        <v/>
      </c>
      <c r="R3556" s="14">
        <f>K3556-Q3556</f>
        <v/>
      </c>
      <c r="S3556" s="3">
        <f>P3556*Assumptions!$B$3/100</f>
        <v/>
      </c>
      <c r="T3556" s="14">
        <f>R3556-S3556</f>
        <v/>
      </c>
      <c r="U3556" s="14">
        <f>L3556*G3556</f>
        <v/>
      </c>
    </row>
    <row r="3557">
      <c r="A3557" s="12" t="inlineStr">
        <is>
          <t>PO-2023-3555</t>
        </is>
      </c>
      <c r="B3557" s="26" t="n">
        <v>45268</v>
      </c>
      <c r="C3557" s="12" t="inlineStr">
        <is>
          <t>VS06</t>
        </is>
      </c>
      <c r="D3557" s="12" t="inlineStr">
        <is>
          <t>MS Flats</t>
        </is>
      </c>
      <c r="E3557" s="12" t="inlineStr">
        <is>
          <t>N</t>
        </is>
      </c>
      <c r="F3557" s="12" t="n">
        <v>5.53</v>
      </c>
      <c r="G3557" s="17" t="n">
        <v>90309.67999999999</v>
      </c>
      <c r="H3557" s="26" t="n">
        <v>45281</v>
      </c>
      <c r="I3557" s="26" t="n">
        <v>45281</v>
      </c>
      <c r="J3557" s="12" t="n">
        <v>5.49</v>
      </c>
      <c r="K3557" s="17" t="n">
        <v>499412.53</v>
      </c>
      <c r="L3557" s="12" t="n">
        <v>0</v>
      </c>
      <c r="M3557" s="12" t="n">
        <v>0</v>
      </c>
      <c r="N3557" s="27">
        <f>F3557-J3557</f>
        <v/>
      </c>
      <c r="O3557" s="16">
        <f>I3557-H3557</f>
        <v/>
      </c>
      <c r="P3557" s="14">
        <f>F3557*G3557</f>
        <v/>
      </c>
      <c r="Q3557" s="14">
        <f>J3557*G3557</f>
        <v/>
      </c>
      <c r="R3557" s="14">
        <f>K3557-Q3557</f>
        <v/>
      </c>
      <c r="S3557" s="3">
        <f>P3557*Assumptions!$B$3/100</f>
        <v/>
      </c>
      <c r="T3557" s="14">
        <f>R3557-S3557</f>
        <v/>
      </c>
      <c r="U3557" s="14">
        <f>L3557*G3557</f>
        <v/>
      </c>
    </row>
    <row r="3558">
      <c r="A3558" s="12" t="inlineStr">
        <is>
          <t>PO-2023-3556</t>
        </is>
      </c>
      <c r="B3558" s="26" t="n">
        <v>44953</v>
      </c>
      <c r="C3558" s="12" t="inlineStr">
        <is>
          <t>VS17</t>
        </is>
      </c>
      <c r="D3558" s="12" t="inlineStr">
        <is>
          <t>MS Flats</t>
        </is>
      </c>
      <c r="E3558" s="12" t="inlineStr">
        <is>
          <t>N</t>
        </is>
      </c>
      <c r="F3558" s="12" t="n">
        <v>25.56</v>
      </c>
      <c r="G3558" s="17" t="n">
        <v>101942.22</v>
      </c>
      <c r="H3558" s="26" t="n">
        <v>44968</v>
      </c>
      <c r="I3558" s="26" t="n">
        <v>44971</v>
      </c>
      <c r="J3558" s="12" t="n">
        <v>25.5</v>
      </c>
      <c r="K3558" s="17" t="n">
        <v>2605643.14</v>
      </c>
      <c r="L3558" s="12" t="n">
        <v>0</v>
      </c>
      <c r="M3558" s="12" t="n">
        <v>2</v>
      </c>
      <c r="N3558" s="27">
        <f>F3558-J3558</f>
        <v/>
      </c>
      <c r="O3558" s="16">
        <f>I3558-H3558</f>
        <v/>
      </c>
      <c r="P3558" s="14">
        <f>F3558*G3558</f>
        <v/>
      </c>
      <c r="Q3558" s="14">
        <f>J3558*G3558</f>
        <v/>
      </c>
      <c r="R3558" s="14">
        <f>K3558-Q3558</f>
        <v/>
      </c>
      <c r="S3558" s="3">
        <f>P3558*Assumptions!$B$3/100</f>
        <v/>
      </c>
      <c r="T3558" s="14">
        <f>R3558-S3558</f>
        <v/>
      </c>
      <c r="U3558" s="14">
        <f>L3558*G3558</f>
        <v/>
      </c>
    </row>
    <row r="3559">
      <c r="A3559" s="12" t="inlineStr">
        <is>
          <t>PO-2023-3557</t>
        </is>
      </c>
      <c r="B3559" s="26" t="n">
        <v>44829</v>
      </c>
      <c r="C3559" s="12" t="inlineStr">
        <is>
          <t>VS10</t>
        </is>
      </c>
      <c r="D3559" s="12" t="inlineStr">
        <is>
          <t>MS Pipes</t>
        </is>
      </c>
      <c r="E3559" s="12" t="inlineStr">
        <is>
          <t>N</t>
        </is>
      </c>
      <c r="F3559" s="12" t="n">
        <v>10.27</v>
      </c>
      <c r="G3559" s="17" t="n">
        <v>64483.07</v>
      </c>
      <c r="H3559" s="26" t="n">
        <v>44842</v>
      </c>
      <c r="I3559" s="26" t="n">
        <v>44844</v>
      </c>
      <c r="J3559" s="12" t="n">
        <v>10.24</v>
      </c>
      <c r="K3559" s="17" t="n">
        <v>662241.13</v>
      </c>
      <c r="L3559" s="12" t="n">
        <v>0</v>
      </c>
      <c r="M3559" s="12" t="n">
        <v>0</v>
      </c>
      <c r="N3559" s="27">
        <f>F3559-J3559</f>
        <v/>
      </c>
      <c r="O3559" s="16">
        <f>I3559-H3559</f>
        <v/>
      </c>
      <c r="P3559" s="14">
        <f>F3559*G3559</f>
        <v/>
      </c>
      <c r="Q3559" s="14">
        <f>J3559*G3559</f>
        <v/>
      </c>
      <c r="R3559" s="14">
        <f>K3559-Q3559</f>
        <v/>
      </c>
      <c r="S3559" s="3">
        <f>P3559*Assumptions!$B$3/100</f>
        <v/>
      </c>
      <c r="T3559" s="14">
        <f>R3559-S3559</f>
        <v/>
      </c>
      <c r="U3559" s="14">
        <f>L3559*G3559</f>
        <v/>
      </c>
    </row>
    <row r="3560">
      <c r="A3560" s="12" t="inlineStr">
        <is>
          <t>PO-2023-3558</t>
        </is>
      </c>
      <c r="B3560" s="26" t="n">
        <v>44221</v>
      </c>
      <c r="C3560" s="12" t="inlineStr">
        <is>
          <t>VS05</t>
        </is>
      </c>
      <c r="D3560" s="12" t="inlineStr">
        <is>
          <t>Angles &amp; Channels</t>
        </is>
      </c>
      <c r="E3560" s="12" t="inlineStr">
        <is>
          <t>N</t>
        </is>
      </c>
      <c r="F3560" s="12" t="n">
        <v>10.97</v>
      </c>
      <c r="G3560" s="17" t="n">
        <v>102197.94</v>
      </c>
      <c r="H3560" s="26" t="n">
        <v>44228</v>
      </c>
      <c r="I3560" s="26" t="n">
        <v>44230</v>
      </c>
      <c r="J3560" s="12" t="n">
        <v>10.88</v>
      </c>
      <c r="K3560" s="17" t="n">
        <v>1121111.4</v>
      </c>
      <c r="L3560" s="12" t="n">
        <v>0</v>
      </c>
      <c r="M3560" s="12" t="n">
        <v>18</v>
      </c>
      <c r="N3560" s="27">
        <f>F3560-J3560</f>
        <v/>
      </c>
      <c r="O3560" s="16">
        <f>I3560-H3560</f>
        <v/>
      </c>
      <c r="P3560" s="14">
        <f>F3560*G3560</f>
        <v/>
      </c>
      <c r="Q3560" s="14">
        <f>J3560*G3560</f>
        <v/>
      </c>
      <c r="R3560" s="14">
        <f>K3560-Q3560</f>
        <v/>
      </c>
      <c r="S3560" s="3">
        <f>P3560*Assumptions!$B$3/100</f>
        <v/>
      </c>
      <c r="T3560" s="14">
        <f>R3560-S3560</f>
        <v/>
      </c>
      <c r="U3560" s="14">
        <f>L3560*G3560</f>
        <v/>
      </c>
    </row>
    <row r="3561">
      <c r="A3561" s="12" t="inlineStr">
        <is>
          <t>PO-2023-3559</t>
        </is>
      </c>
      <c r="B3561" s="26" t="n">
        <v>45042</v>
      </c>
      <c r="C3561" s="12" t="inlineStr">
        <is>
          <t>VS27</t>
        </is>
      </c>
      <c r="D3561" s="12" t="inlineStr">
        <is>
          <t>MS Pipes</t>
        </is>
      </c>
      <c r="E3561" s="12" t="inlineStr">
        <is>
          <t>N</t>
        </is>
      </c>
      <c r="F3561" s="12" t="n">
        <v>22.88</v>
      </c>
      <c r="G3561" s="17" t="n">
        <v>73129.64</v>
      </c>
      <c r="H3561" s="26" t="n">
        <v>45054</v>
      </c>
      <c r="I3561" s="26" t="n">
        <v>45057</v>
      </c>
      <c r="J3561" s="12" t="n">
        <v>22.83</v>
      </c>
      <c r="K3561" s="17" t="n">
        <v>1673206.16</v>
      </c>
      <c r="L3561" s="12" t="n">
        <v>0</v>
      </c>
      <c r="M3561" s="12" t="n">
        <v>0</v>
      </c>
      <c r="N3561" s="27">
        <f>F3561-J3561</f>
        <v/>
      </c>
      <c r="O3561" s="16">
        <f>I3561-H3561</f>
        <v/>
      </c>
      <c r="P3561" s="14">
        <f>F3561*G3561</f>
        <v/>
      </c>
      <c r="Q3561" s="14">
        <f>J3561*G3561</f>
        <v/>
      </c>
      <c r="R3561" s="14">
        <f>K3561-Q3561</f>
        <v/>
      </c>
      <c r="S3561" s="3">
        <f>P3561*Assumptions!$B$3/100</f>
        <v/>
      </c>
      <c r="T3561" s="14">
        <f>R3561-S3561</f>
        <v/>
      </c>
      <c r="U3561" s="14">
        <f>L3561*G3561</f>
        <v/>
      </c>
    </row>
    <row r="3562">
      <c r="A3562" s="12" t="inlineStr">
        <is>
          <t>PO-2023-3560</t>
        </is>
      </c>
      <c r="B3562" s="26" t="n">
        <v>44709</v>
      </c>
      <c r="C3562" s="12" t="inlineStr">
        <is>
          <t>VS19</t>
        </is>
      </c>
      <c r="D3562" s="12" t="inlineStr">
        <is>
          <t>CR Sheets</t>
        </is>
      </c>
      <c r="E3562" s="12" t="inlineStr">
        <is>
          <t>Y</t>
        </is>
      </c>
      <c r="F3562" s="12" t="n">
        <v>43.3</v>
      </c>
      <c r="G3562" s="17" t="n">
        <v>80491.50999999999</v>
      </c>
      <c r="H3562" s="26" t="n">
        <v>44714</v>
      </c>
      <c r="I3562" s="26" t="n">
        <v>44722</v>
      </c>
      <c r="J3562" s="12" t="n">
        <v>41.32</v>
      </c>
      <c r="K3562" s="17" t="n">
        <v>3485282.38</v>
      </c>
      <c r="L3562" s="12" t="n">
        <v>1.75</v>
      </c>
      <c r="M3562" s="12" t="n">
        <v>0</v>
      </c>
      <c r="N3562" s="27">
        <f>F3562-J3562</f>
        <v/>
      </c>
      <c r="O3562" s="16">
        <f>I3562-H3562</f>
        <v/>
      </c>
      <c r="P3562" s="14">
        <f>F3562*G3562</f>
        <v/>
      </c>
      <c r="Q3562" s="14">
        <f>J3562*G3562</f>
        <v/>
      </c>
      <c r="R3562" s="14">
        <f>K3562-Q3562</f>
        <v/>
      </c>
      <c r="S3562" s="3">
        <f>P3562*Assumptions!$B$3/100</f>
        <v/>
      </c>
      <c r="T3562" s="14">
        <f>R3562-S3562</f>
        <v/>
      </c>
      <c r="U3562" s="14">
        <f>L3562*G3562</f>
        <v/>
      </c>
    </row>
    <row r="3563">
      <c r="A3563" s="12" t="inlineStr">
        <is>
          <t>PO-2023-3561</t>
        </is>
      </c>
      <c r="B3563" s="26" t="n">
        <v>44306</v>
      </c>
      <c r="C3563" s="12" t="inlineStr">
        <is>
          <t>VS07</t>
        </is>
      </c>
      <c r="D3563" s="12" t="inlineStr">
        <is>
          <t>GI Pipes</t>
        </is>
      </c>
      <c r="E3563" s="12" t="inlineStr">
        <is>
          <t>N</t>
        </is>
      </c>
      <c r="F3563" s="12" t="n">
        <v>27.98</v>
      </c>
      <c r="G3563" s="17" t="n">
        <v>65024.74</v>
      </c>
      <c r="H3563" s="26" t="n">
        <v>44319</v>
      </c>
      <c r="I3563" s="26" t="n">
        <v>44322</v>
      </c>
      <c r="J3563" s="12" t="n">
        <v>27.71</v>
      </c>
      <c r="K3563" s="17" t="n">
        <v>1819392.23</v>
      </c>
      <c r="L3563" s="12" t="n">
        <v>0</v>
      </c>
      <c r="M3563" s="12" t="n">
        <v>0</v>
      </c>
      <c r="N3563" s="27">
        <f>F3563-J3563</f>
        <v/>
      </c>
      <c r="O3563" s="16">
        <f>I3563-H3563</f>
        <v/>
      </c>
      <c r="P3563" s="14">
        <f>F3563*G3563</f>
        <v/>
      </c>
      <c r="Q3563" s="14">
        <f>J3563*G3563</f>
        <v/>
      </c>
      <c r="R3563" s="14">
        <f>K3563-Q3563</f>
        <v/>
      </c>
      <c r="S3563" s="3">
        <f>P3563*Assumptions!$B$3/100</f>
        <v/>
      </c>
      <c r="T3563" s="14">
        <f>R3563-S3563</f>
        <v/>
      </c>
      <c r="U3563" s="14">
        <f>L3563*G3563</f>
        <v/>
      </c>
    </row>
    <row r="3564">
      <c r="A3564" s="12" t="inlineStr">
        <is>
          <t>PO-2023-3562</t>
        </is>
      </c>
      <c r="B3564" s="26" t="n">
        <v>44229</v>
      </c>
      <c r="C3564" s="12" t="inlineStr">
        <is>
          <t>VS09</t>
        </is>
      </c>
      <c r="D3564" s="12" t="inlineStr">
        <is>
          <t>Spring Steel</t>
        </is>
      </c>
      <c r="E3564" s="12" t="inlineStr">
        <is>
          <t>N</t>
        </is>
      </c>
      <c r="F3564" s="12" t="n">
        <v>45.6</v>
      </c>
      <c r="G3564" s="17" t="n">
        <v>96653.87</v>
      </c>
      <c r="H3564" s="26" t="n">
        <v>44234</v>
      </c>
      <c r="I3564" s="26" t="n">
        <v>44234</v>
      </c>
      <c r="J3564" s="12" t="n">
        <v>45.59</v>
      </c>
      <c r="K3564" s="17" t="n">
        <v>4407416.47</v>
      </c>
      <c r="L3564" s="12" t="n">
        <v>0</v>
      </c>
      <c r="M3564" s="12" t="n">
        <v>8</v>
      </c>
      <c r="N3564" s="27">
        <f>F3564-J3564</f>
        <v/>
      </c>
      <c r="O3564" s="16">
        <f>I3564-H3564</f>
        <v/>
      </c>
      <c r="P3564" s="14">
        <f>F3564*G3564</f>
        <v/>
      </c>
      <c r="Q3564" s="14">
        <f>J3564*G3564</f>
        <v/>
      </c>
      <c r="R3564" s="14">
        <f>K3564-Q3564</f>
        <v/>
      </c>
      <c r="S3564" s="3">
        <f>P3564*Assumptions!$B$3/100</f>
        <v/>
      </c>
      <c r="T3564" s="14">
        <f>R3564-S3564</f>
        <v/>
      </c>
      <c r="U3564" s="14">
        <f>L3564*G3564</f>
        <v/>
      </c>
    </row>
    <row r="3565">
      <c r="A3565" s="12" t="inlineStr">
        <is>
          <t>PO-2023-3563</t>
        </is>
      </c>
      <c r="B3565" s="26" t="n">
        <v>44479</v>
      </c>
      <c r="C3565" s="12" t="inlineStr">
        <is>
          <t>VS15</t>
        </is>
      </c>
      <c r="D3565" s="12" t="inlineStr">
        <is>
          <t>Hex Bars</t>
        </is>
      </c>
      <c r="E3565" s="12" t="inlineStr">
        <is>
          <t>N</t>
        </is>
      </c>
      <c r="F3565" s="12" t="n">
        <v>22.89</v>
      </c>
      <c r="G3565" s="17" t="n">
        <v>114183.19</v>
      </c>
      <c r="H3565" s="26" t="n">
        <v>44486</v>
      </c>
      <c r="I3565" s="26" t="n">
        <v>44486</v>
      </c>
      <c r="J3565" s="12" t="n">
        <v>22.72</v>
      </c>
      <c r="K3565" s="17" t="n">
        <v>2613653.22</v>
      </c>
      <c r="L3565" s="12" t="n">
        <v>0</v>
      </c>
      <c r="M3565" s="12" t="n">
        <v>7</v>
      </c>
      <c r="N3565" s="27">
        <f>F3565-J3565</f>
        <v/>
      </c>
      <c r="O3565" s="16">
        <f>I3565-H3565</f>
        <v/>
      </c>
      <c r="P3565" s="14">
        <f>F3565*G3565</f>
        <v/>
      </c>
      <c r="Q3565" s="14">
        <f>J3565*G3565</f>
        <v/>
      </c>
      <c r="R3565" s="14">
        <f>K3565-Q3565</f>
        <v/>
      </c>
      <c r="S3565" s="3">
        <f>P3565*Assumptions!$B$3/100</f>
        <v/>
      </c>
      <c r="T3565" s="14">
        <f>R3565-S3565</f>
        <v/>
      </c>
      <c r="U3565" s="14">
        <f>L3565*G3565</f>
        <v/>
      </c>
    </row>
    <row r="3566">
      <c r="A3566" s="12" t="inlineStr">
        <is>
          <t>PO-2023-3564</t>
        </is>
      </c>
      <c r="B3566" s="26" t="n">
        <v>44199</v>
      </c>
      <c r="C3566" s="12" t="inlineStr">
        <is>
          <t>VS10</t>
        </is>
      </c>
      <c r="D3566" s="12" t="inlineStr">
        <is>
          <t>MS Rods</t>
        </is>
      </c>
      <c r="E3566" s="12" t="inlineStr">
        <is>
          <t>N</t>
        </is>
      </c>
      <c r="F3566" s="12" t="n">
        <v>7.9</v>
      </c>
      <c r="G3566" s="17" t="n">
        <v>84815.88</v>
      </c>
      <c r="H3566" s="26" t="n">
        <v>44210</v>
      </c>
      <c r="I3566" s="26" t="n">
        <v>44210</v>
      </c>
      <c r="J3566" s="12" t="n">
        <v>7.83</v>
      </c>
      <c r="K3566" s="17" t="n">
        <v>670045.45</v>
      </c>
      <c r="L3566" s="12" t="n">
        <v>0</v>
      </c>
      <c r="M3566" s="12" t="n">
        <v>0</v>
      </c>
      <c r="N3566" s="27">
        <f>F3566-J3566</f>
        <v/>
      </c>
      <c r="O3566" s="16">
        <f>I3566-H3566</f>
        <v/>
      </c>
      <c r="P3566" s="14">
        <f>F3566*G3566</f>
        <v/>
      </c>
      <c r="Q3566" s="14">
        <f>J3566*G3566</f>
        <v/>
      </c>
      <c r="R3566" s="14">
        <f>K3566-Q3566</f>
        <v/>
      </c>
      <c r="S3566" s="3">
        <f>P3566*Assumptions!$B$3/100</f>
        <v/>
      </c>
      <c r="T3566" s="14">
        <f>R3566-S3566</f>
        <v/>
      </c>
      <c r="U3566" s="14">
        <f>L3566*G3566</f>
        <v/>
      </c>
    </row>
    <row r="3567">
      <c r="A3567" s="12" t="inlineStr">
        <is>
          <t>PO-2023-3565</t>
        </is>
      </c>
      <c r="B3567" s="26" t="n">
        <v>44340</v>
      </c>
      <c r="C3567" s="12" t="inlineStr">
        <is>
          <t>VS32</t>
        </is>
      </c>
      <c r="D3567" s="12" t="inlineStr">
        <is>
          <t>CR Sheets</t>
        </is>
      </c>
      <c r="E3567" s="12" t="inlineStr">
        <is>
          <t>N</t>
        </is>
      </c>
      <c r="F3567" s="12" t="n">
        <v>34.75</v>
      </c>
      <c r="G3567" s="17" t="n">
        <v>112862.59</v>
      </c>
      <c r="H3567" s="26" t="n">
        <v>44350</v>
      </c>
      <c r="I3567" s="26" t="n">
        <v>44353</v>
      </c>
      <c r="J3567" s="12" t="n">
        <v>34.43</v>
      </c>
      <c r="K3567" s="17" t="n">
        <v>3921975</v>
      </c>
      <c r="L3567" s="12" t="n">
        <v>0</v>
      </c>
      <c r="M3567" s="12" t="n">
        <v>0</v>
      </c>
      <c r="N3567" s="27">
        <f>F3567-J3567</f>
        <v/>
      </c>
      <c r="O3567" s="16">
        <f>I3567-H3567</f>
        <v/>
      </c>
      <c r="P3567" s="14">
        <f>F3567*G3567</f>
        <v/>
      </c>
      <c r="Q3567" s="14">
        <f>J3567*G3567</f>
        <v/>
      </c>
      <c r="R3567" s="14">
        <f>K3567-Q3567</f>
        <v/>
      </c>
      <c r="S3567" s="3">
        <f>P3567*Assumptions!$B$3/100</f>
        <v/>
      </c>
      <c r="T3567" s="14">
        <f>R3567-S3567</f>
        <v/>
      </c>
      <c r="U3567" s="14">
        <f>L3567*G3567</f>
        <v/>
      </c>
    </row>
    <row r="3568">
      <c r="A3568" s="12" t="inlineStr">
        <is>
          <t>PO-2023-3566</t>
        </is>
      </c>
      <c r="B3568" s="26" t="n">
        <v>44662</v>
      </c>
      <c r="C3568" s="12" t="inlineStr">
        <is>
          <t>VS23</t>
        </is>
      </c>
      <c r="D3568" s="12" t="inlineStr">
        <is>
          <t>GI Sheets</t>
        </is>
      </c>
      <c r="E3568" s="12" t="inlineStr">
        <is>
          <t>N</t>
        </is>
      </c>
      <c r="F3568" s="12" t="n">
        <v>21.17</v>
      </c>
      <c r="G3568" s="17" t="n">
        <v>56982.71</v>
      </c>
      <c r="H3568" s="26" t="n">
        <v>44668</v>
      </c>
      <c r="I3568" s="26" t="n">
        <v>44670</v>
      </c>
      <c r="J3568" s="12" t="n">
        <v>20.97</v>
      </c>
      <c r="K3568" s="17" t="n">
        <v>1206323.97</v>
      </c>
      <c r="L3568" s="12" t="n">
        <v>0</v>
      </c>
      <c r="M3568" s="12" t="n">
        <v>18</v>
      </c>
      <c r="N3568" s="27">
        <f>F3568-J3568</f>
        <v/>
      </c>
      <c r="O3568" s="16">
        <f>I3568-H3568</f>
        <v/>
      </c>
      <c r="P3568" s="14">
        <f>F3568*G3568</f>
        <v/>
      </c>
      <c r="Q3568" s="14">
        <f>J3568*G3568</f>
        <v/>
      </c>
      <c r="R3568" s="14">
        <f>K3568-Q3568</f>
        <v/>
      </c>
      <c r="S3568" s="3">
        <f>P3568*Assumptions!$B$3/100</f>
        <v/>
      </c>
      <c r="T3568" s="14">
        <f>R3568-S3568</f>
        <v/>
      </c>
      <c r="U3568" s="14">
        <f>L3568*G3568</f>
        <v/>
      </c>
    </row>
    <row r="3569">
      <c r="A3569" s="12" t="inlineStr">
        <is>
          <t>PO-2023-3567</t>
        </is>
      </c>
      <c r="B3569" s="26" t="n">
        <v>44902</v>
      </c>
      <c r="C3569" s="12" t="inlineStr">
        <is>
          <t>VS30</t>
        </is>
      </c>
      <c r="D3569" s="12" t="inlineStr">
        <is>
          <t>MS Pipes</t>
        </is>
      </c>
      <c r="E3569" s="12" t="inlineStr">
        <is>
          <t>N</t>
        </is>
      </c>
      <c r="F3569" s="12" t="n">
        <v>1.41</v>
      </c>
      <c r="G3569" s="17" t="n">
        <v>51539.24</v>
      </c>
      <c r="H3569" s="26" t="n">
        <v>44914</v>
      </c>
      <c r="I3569" s="26" t="n">
        <v>44916</v>
      </c>
      <c r="J3569" s="12" t="n">
        <v>1.4</v>
      </c>
      <c r="K3569" s="17" t="n">
        <v>72670.33</v>
      </c>
      <c r="L3569" s="12" t="n">
        <v>0</v>
      </c>
      <c r="M3569" s="12" t="n">
        <v>20</v>
      </c>
      <c r="N3569" s="27">
        <f>F3569-J3569</f>
        <v/>
      </c>
      <c r="O3569" s="16">
        <f>I3569-H3569</f>
        <v/>
      </c>
      <c r="P3569" s="14">
        <f>F3569*G3569</f>
        <v/>
      </c>
      <c r="Q3569" s="14">
        <f>J3569*G3569</f>
        <v/>
      </c>
      <c r="R3569" s="14">
        <f>K3569-Q3569</f>
        <v/>
      </c>
      <c r="S3569" s="3">
        <f>P3569*Assumptions!$B$3/100</f>
        <v/>
      </c>
      <c r="T3569" s="14">
        <f>R3569-S3569</f>
        <v/>
      </c>
      <c r="U3569" s="14">
        <f>L3569*G3569</f>
        <v/>
      </c>
    </row>
    <row r="3570">
      <c r="A3570" s="12" t="inlineStr">
        <is>
          <t>PO-2023-3568</t>
        </is>
      </c>
      <c r="B3570" s="26" t="n">
        <v>44390</v>
      </c>
      <c r="C3570" s="12" t="inlineStr">
        <is>
          <t>VS09</t>
        </is>
      </c>
      <c r="D3570" s="12" t="inlineStr">
        <is>
          <t>Spring Steel</t>
        </is>
      </c>
      <c r="E3570" s="12" t="inlineStr">
        <is>
          <t>N</t>
        </is>
      </c>
      <c r="F3570" s="12" t="n">
        <v>35.36</v>
      </c>
      <c r="G3570" s="17" t="n">
        <v>53038.72</v>
      </c>
      <c r="H3570" s="26" t="n">
        <v>44394</v>
      </c>
      <c r="I3570" s="26" t="n">
        <v>44394</v>
      </c>
      <c r="J3570" s="12" t="n">
        <v>35.29</v>
      </c>
      <c r="K3570" s="17" t="n">
        <v>1875449.14</v>
      </c>
      <c r="L3570" s="12" t="n">
        <v>0</v>
      </c>
      <c r="M3570" s="12" t="n">
        <v>25</v>
      </c>
      <c r="N3570" s="27">
        <f>F3570-J3570</f>
        <v/>
      </c>
      <c r="O3570" s="16">
        <f>I3570-H3570</f>
        <v/>
      </c>
      <c r="P3570" s="14">
        <f>F3570*G3570</f>
        <v/>
      </c>
      <c r="Q3570" s="14">
        <f>J3570*G3570</f>
        <v/>
      </c>
      <c r="R3570" s="14">
        <f>K3570-Q3570</f>
        <v/>
      </c>
      <c r="S3570" s="3">
        <f>P3570*Assumptions!$B$3/100</f>
        <v/>
      </c>
      <c r="T3570" s="14">
        <f>R3570-S3570</f>
        <v/>
      </c>
      <c r="U3570" s="14">
        <f>L3570*G3570</f>
        <v/>
      </c>
    </row>
    <row r="3571">
      <c r="A3571" s="12" t="inlineStr">
        <is>
          <t>PO-2023-3569</t>
        </is>
      </c>
      <c r="B3571" s="26" t="n">
        <v>45054</v>
      </c>
      <c r="C3571" s="12" t="inlineStr">
        <is>
          <t>VS05</t>
        </is>
      </c>
      <c r="D3571" s="12" t="inlineStr">
        <is>
          <t>MS Sheets</t>
        </is>
      </c>
      <c r="E3571" s="12" t="inlineStr">
        <is>
          <t>N</t>
        </is>
      </c>
      <c r="F3571" s="12" t="n">
        <v>39.53</v>
      </c>
      <c r="G3571" s="17" t="n">
        <v>118091.46</v>
      </c>
      <c r="H3571" s="26" t="n">
        <v>45062</v>
      </c>
      <c r="I3571" s="26" t="n">
        <v>45062</v>
      </c>
      <c r="J3571" s="12" t="n">
        <v>39.33</v>
      </c>
      <c r="K3571" s="17" t="n">
        <v>4668155.41</v>
      </c>
      <c r="L3571" s="12" t="n">
        <v>0</v>
      </c>
      <c r="M3571" s="12" t="n">
        <v>15</v>
      </c>
      <c r="N3571" s="27">
        <f>F3571-J3571</f>
        <v/>
      </c>
      <c r="O3571" s="16">
        <f>I3571-H3571</f>
        <v/>
      </c>
      <c r="P3571" s="14">
        <f>F3571*G3571</f>
        <v/>
      </c>
      <c r="Q3571" s="14">
        <f>J3571*G3571</f>
        <v/>
      </c>
      <c r="R3571" s="14">
        <f>K3571-Q3571</f>
        <v/>
      </c>
      <c r="S3571" s="3">
        <f>P3571*Assumptions!$B$3/100</f>
        <v/>
      </c>
      <c r="T3571" s="14">
        <f>R3571-S3571</f>
        <v/>
      </c>
      <c r="U3571" s="14">
        <f>L3571*G3571</f>
        <v/>
      </c>
    </row>
    <row r="3572">
      <c r="A3572" s="12" t="inlineStr">
        <is>
          <t>PO-2023-3570</t>
        </is>
      </c>
      <c r="B3572" s="26" t="n">
        <v>44233</v>
      </c>
      <c r="C3572" s="12" t="inlineStr">
        <is>
          <t>VS19</t>
        </is>
      </c>
      <c r="D3572" s="12" t="inlineStr">
        <is>
          <t>MS Rods</t>
        </is>
      </c>
      <c r="E3572" s="12" t="inlineStr">
        <is>
          <t>N</t>
        </is>
      </c>
      <c r="F3572" s="12" t="n">
        <v>6.61</v>
      </c>
      <c r="G3572" s="17" t="n">
        <v>49273.16</v>
      </c>
      <c r="H3572" s="26" t="n">
        <v>44243</v>
      </c>
      <c r="I3572" s="26" t="n">
        <v>44245</v>
      </c>
      <c r="J3572" s="12" t="n">
        <v>6.42</v>
      </c>
      <c r="K3572" s="17" t="n">
        <v>325695.59</v>
      </c>
      <c r="L3572" s="12" t="n">
        <v>0.17</v>
      </c>
      <c r="M3572" s="12" t="n">
        <v>11</v>
      </c>
      <c r="N3572" s="27">
        <f>F3572-J3572</f>
        <v/>
      </c>
      <c r="O3572" s="16">
        <f>I3572-H3572</f>
        <v/>
      </c>
      <c r="P3572" s="14">
        <f>F3572*G3572</f>
        <v/>
      </c>
      <c r="Q3572" s="14">
        <f>J3572*G3572</f>
        <v/>
      </c>
      <c r="R3572" s="14">
        <f>K3572-Q3572</f>
        <v/>
      </c>
      <c r="S3572" s="3">
        <f>P3572*Assumptions!$B$3/100</f>
        <v/>
      </c>
      <c r="T3572" s="14">
        <f>R3572-S3572</f>
        <v/>
      </c>
      <c r="U3572" s="14">
        <f>L3572*G3572</f>
        <v/>
      </c>
    </row>
    <row r="3573">
      <c r="A3573" s="12" t="inlineStr">
        <is>
          <t>PO-2023-3571</t>
        </is>
      </c>
      <c r="B3573" s="26" t="n">
        <v>44551</v>
      </c>
      <c r="C3573" s="12" t="inlineStr">
        <is>
          <t>VS15</t>
        </is>
      </c>
      <c r="D3573" s="12" t="inlineStr">
        <is>
          <t>GI Pipes</t>
        </is>
      </c>
      <c r="E3573" s="12" t="inlineStr">
        <is>
          <t>N</t>
        </is>
      </c>
      <c r="F3573" s="12" t="n">
        <v>13.96</v>
      </c>
      <c r="G3573" s="17" t="n">
        <v>75629.89</v>
      </c>
      <c r="H3573" s="26" t="n">
        <v>44554</v>
      </c>
      <c r="I3573" s="26" t="n">
        <v>44556</v>
      </c>
      <c r="J3573" s="12" t="n">
        <v>13.89</v>
      </c>
      <c r="K3573" s="17" t="n">
        <v>1055793.26</v>
      </c>
      <c r="L3573" s="12" t="n">
        <v>0</v>
      </c>
      <c r="M3573" s="12" t="n">
        <v>0</v>
      </c>
      <c r="N3573" s="27">
        <f>F3573-J3573</f>
        <v/>
      </c>
      <c r="O3573" s="16">
        <f>I3573-H3573</f>
        <v/>
      </c>
      <c r="P3573" s="14">
        <f>F3573*G3573</f>
        <v/>
      </c>
      <c r="Q3573" s="14">
        <f>J3573*G3573</f>
        <v/>
      </c>
      <c r="R3573" s="14">
        <f>K3573-Q3573</f>
        <v/>
      </c>
      <c r="S3573" s="3">
        <f>P3573*Assumptions!$B$3/100</f>
        <v/>
      </c>
      <c r="T3573" s="14">
        <f>R3573-S3573</f>
        <v/>
      </c>
      <c r="U3573" s="14">
        <f>L3573*G3573</f>
        <v/>
      </c>
    </row>
    <row r="3574">
      <c r="A3574" s="12" t="inlineStr">
        <is>
          <t>PO-2023-3572</t>
        </is>
      </c>
      <c r="B3574" s="26" t="n">
        <v>44371</v>
      </c>
      <c r="C3574" s="12" t="inlineStr">
        <is>
          <t>VS09</t>
        </is>
      </c>
      <c r="D3574" s="12" t="inlineStr">
        <is>
          <t>Spring Steel</t>
        </is>
      </c>
      <c r="E3574" s="12" t="inlineStr">
        <is>
          <t>N</t>
        </is>
      </c>
      <c r="F3574" s="12" t="n">
        <v>12.87</v>
      </c>
      <c r="G3574" s="17" t="n">
        <v>55749.32</v>
      </c>
      <c r="H3574" s="26" t="n">
        <v>44375</v>
      </c>
      <c r="I3574" s="26" t="n">
        <v>44375</v>
      </c>
      <c r="J3574" s="12" t="n">
        <v>12.78</v>
      </c>
      <c r="K3574" s="17" t="n">
        <v>717493.75</v>
      </c>
      <c r="L3574" s="12" t="n">
        <v>0</v>
      </c>
      <c r="M3574" s="12" t="n">
        <v>3</v>
      </c>
      <c r="N3574" s="27">
        <f>F3574-J3574</f>
        <v/>
      </c>
      <c r="O3574" s="16">
        <f>I3574-H3574</f>
        <v/>
      </c>
      <c r="P3574" s="14">
        <f>F3574*G3574</f>
        <v/>
      </c>
      <c r="Q3574" s="14">
        <f>J3574*G3574</f>
        <v/>
      </c>
      <c r="R3574" s="14">
        <f>K3574-Q3574</f>
        <v/>
      </c>
      <c r="S3574" s="3">
        <f>P3574*Assumptions!$B$3/100</f>
        <v/>
      </c>
      <c r="T3574" s="14">
        <f>R3574-S3574</f>
        <v/>
      </c>
      <c r="U3574" s="14">
        <f>L3574*G3574</f>
        <v/>
      </c>
    </row>
    <row r="3575">
      <c r="A3575" s="12" t="inlineStr">
        <is>
          <t>PO-2023-3573</t>
        </is>
      </c>
      <c r="B3575" s="26" t="n">
        <v>44257</v>
      </c>
      <c r="C3575" s="12" t="inlineStr">
        <is>
          <t>VS06</t>
        </is>
      </c>
      <c r="D3575" s="12" t="inlineStr">
        <is>
          <t>MS Sheets</t>
        </is>
      </c>
      <c r="E3575" s="12" t="inlineStr">
        <is>
          <t>N</t>
        </is>
      </c>
      <c r="F3575" s="12" t="n">
        <v>10.82</v>
      </c>
      <c r="G3575" s="17" t="n">
        <v>112805.96</v>
      </c>
      <c r="H3575" s="26" t="n">
        <v>44269</v>
      </c>
      <c r="I3575" s="26" t="n">
        <v>44269</v>
      </c>
      <c r="J3575" s="12" t="n">
        <v>10.77</v>
      </c>
      <c r="K3575" s="17" t="n">
        <v>1220560.49</v>
      </c>
      <c r="L3575" s="12" t="n">
        <v>0</v>
      </c>
      <c r="M3575" s="12" t="n">
        <v>22</v>
      </c>
      <c r="N3575" s="27">
        <f>F3575-J3575</f>
        <v/>
      </c>
      <c r="O3575" s="16">
        <f>I3575-H3575</f>
        <v/>
      </c>
      <c r="P3575" s="14">
        <f>F3575*G3575</f>
        <v/>
      </c>
      <c r="Q3575" s="14">
        <f>J3575*G3575</f>
        <v/>
      </c>
      <c r="R3575" s="14">
        <f>K3575-Q3575</f>
        <v/>
      </c>
      <c r="S3575" s="3">
        <f>P3575*Assumptions!$B$3/100</f>
        <v/>
      </c>
      <c r="T3575" s="14">
        <f>R3575-S3575</f>
        <v/>
      </c>
      <c r="U3575" s="14">
        <f>L3575*G3575</f>
        <v/>
      </c>
    </row>
    <row r="3576">
      <c r="A3576" s="12" t="inlineStr">
        <is>
          <t>PO-2023-3574</t>
        </is>
      </c>
      <c r="B3576" s="26" t="n">
        <v>45071</v>
      </c>
      <c r="C3576" s="12" t="inlineStr">
        <is>
          <t>VS05</t>
        </is>
      </c>
      <c r="D3576" s="12" t="inlineStr">
        <is>
          <t>Angles &amp; Channels</t>
        </is>
      </c>
      <c r="E3576" s="12" t="inlineStr">
        <is>
          <t>N</t>
        </is>
      </c>
      <c r="F3576" s="12" t="n">
        <v>5.39</v>
      </c>
      <c r="G3576" s="17" t="n">
        <v>47202.38</v>
      </c>
      <c r="H3576" s="26" t="n">
        <v>45078</v>
      </c>
      <c r="I3576" s="26" t="n">
        <v>45078</v>
      </c>
      <c r="J3576" s="12" t="n">
        <v>5.35</v>
      </c>
      <c r="K3576" s="17" t="n">
        <v>254420.83</v>
      </c>
      <c r="L3576" s="12" t="n">
        <v>0</v>
      </c>
      <c r="M3576" s="12" t="n">
        <v>0</v>
      </c>
      <c r="N3576" s="27">
        <f>F3576-J3576</f>
        <v/>
      </c>
      <c r="O3576" s="16">
        <f>I3576-H3576</f>
        <v/>
      </c>
      <c r="P3576" s="14">
        <f>F3576*G3576</f>
        <v/>
      </c>
      <c r="Q3576" s="14">
        <f>J3576*G3576</f>
        <v/>
      </c>
      <c r="R3576" s="14">
        <f>K3576-Q3576</f>
        <v/>
      </c>
      <c r="S3576" s="3">
        <f>P3576*Assumptions!$B$3/100</f>
        <v/>
      </c>
      <c r="T3576" s="14">
        <f>R3576-S3576</f>
        <v/>
      </c>
      <c r="U3576" s="14">
        <f>L3576*G3576</f>
        <v/>
      </c>
    </row>
    <row r="3577">
      <c r="A3577" s="12" t="inlineStr">
        <is>
          <t>PO-2023-3575</t>
        </is>
      </c>
      <c r="B3577" s="26" t="n">
        <v>45287</v>
      </c>
      <c r="C3577" s="12" t="inlineStr">
        <is>
          <t>VS24</t>
        </is>
      </c>
      <c r="D3577" s="12" t="inlineStr">
        <is>
          <t>MS Pipes</t>
        </is>
      </c>
      <c r="E3577" s="12" t="inlineStr">
        <is>
          <t>N</t>
        </is>
      </c>
      <c r="F3577" s="12" t="n">
        <v>25.39</v>
      </c>
      <c r="G3577" s="17" t="n">
        <v>77203.74000000001</v>
      </c>
      <c r="H3577" s="26" t="n">
        <v>45302</v>
      </c>
      <c r="I3577" s="26" t="n">
        <v>45302</v>
      </c>
      <c r="J3577" s="12" t="n">
        <v>25.22</v>
      </c>
      <c r="K3577" s="17" t="n">
        <v>1960202.96</v>
      </c>
      <c r="L3577" s="12" t="n">
        <v>0</v>
      </c>
      <c r="M3577" s="12" t="n">
        <v>0</v>
      </c>
      <c r="N3577" s="27">
        <f>F3577-J3577</f>
        <v/>
      </c>
      <c r="O3577" s="16">
        <f>I3577-H3577</f>
        <v/>
      </c>
      <c r="P3577" s="14">
        <f>F3577*G3577</f>
        <v/>
      </c>
      <c r="Q3577" s="14">
        <f>J3577*G3577</f>
        <v/>
      </c>
      <c r="R3577" s="14">
        <f>K3577-Q3577</f>
        <v/>
      </c>
      <c r="S3577" s="3">
        <f>P3577*Assumptions!$B$3/100</f>
        <v/>
      </c>
      <c r="T3577" s="14">
        <f>R3577-S3577</f>
        <v/>
      </c>
      <c r="U3577" s="14">
        <f>L3577*G3577</f>
        <v/>
      </c>
    </row>
    <row r="3578">
      <c r="A3578" s="12" t="inlineStr">
        <is>
          <t>PO-2023-3576</t>
        </is>
      </c>
      <c r="B3578" s="26" t="n">
        <v>44862</v>
      </c>
      <c r="C3578" s="12" t="inlineStr">
        <is>
          <t>VS15</t>
        </is>
      </c>
      <c r="D3578" s="12" t="inlineStr">
        <is>
          <t>CR Sheets</t>
        </is>
      </c>
      <c r="E3578" s="12" t="inlineStr">
        <is>
          <t>N</t>
        </is>
      </c>
      <c r="F3578" s="12" t="n">
        <v>16.29</v>
      </c>
      <c r="G3578" s="17" t="n">
        <v>99405.46000000001</v>
      </c>
      <c r="H3578" s="26" t="n">
        <v>44869</v>
      </c>
      <c r="I3578" s="26" t="n">
        <v>44869</v>
      </c>
      <c r="J3578" s="12" t="n">
        <v>16.24</v>
      </c>
      <c r="K3578" s="17" t="n">
        <v>1619314.94</v>
      </c>
      <c r="L3578" s="12" t="n">
        <v>0</v>
      </c>
      <c r="M3578" s="12" t="n">
        <v>20</v>
      </c>
      <c r="N3578" s="27">
        <f>F3578-J3578</f>
        <v/>
      </c>
      <c r="O3578" s="16">
        <f>I3578-H3578</f>
        <v/>
      </c>
      <c r="P3578" s="14">
        <f>F3578*G3578</f>
        <v/>
      </c>
      <c r="Q3578" s="14">
        <f>J3578*G3578</f>
        <v/>
      </c>
      <c r="R3578" s="14">
        <f>K3578-Q3578</f>
        <v/>
      </c>
      <c r="S3578" s="3">
        <f>P3578*Assumptions!$B$3/100</f>
        <v/>
      </c>
      <c r="T3578" s="14">
        <f>R3578-S3578</f>
        <v/>
      </c>
      <c r="U3578" s="14">
        <f>L3578*G3578</f>
        <v/>
      </c>
    </row>
    <row r="3579">
      <c r="A3579" s="12" t="inlineStr">
        <is>
          <t>PO-2023-3577</t>
        </is>
      </c>
      <c r="B3579" s="26" t="n">
        <v>44560</v>
      </c>
      <c r="C3579" s="12" t="inlineStr">
        <is>
          <t>VS10</t>
        </is>
      </c>
      <c r="D3579" s="12" t="inlineStr">
        <is>
          <t>Fasteners &amp; Fittings</t>
        </is>
      </c>
      <c r="E3579" s="12" t="inlineStr">
        <is>
          <t>N</t>
        </is>
      </c>
      <c r="F3579" s="12" t="n">
        <v>21.53</v>
      </c>
      <c r="G3579" s="17" t="n">
        <v>61407.23</v>
      </c>
      <c r="H3579" s="26" t="n">
        <v>44573</v>
      </c>
      <c r="I3579" s="26" t="n">
        <v>44575</v>
      </c>
      <c r="J3579" s="12" t="n">
        <v>21.4</v>
      </c>
      <c r="K3579" s="17" t="n">
        <v>1322097.66</v>
      </c>
      <c r="L3579" s="12" t="n">
        <v>0</v>
      </c>
      <c r="M3579" s="12" t="n">
        <v>16</v>
      </c>
      <c r="N3579" s="27">
        <f>F3579-J3579</f>
        <v/>
      </c>
      <c r="O3579" s="16">
        <f>I3579-H3579</f>
        <v/>
      </c>
      <c r="P3579" s="14">
        <f>F3579*G3579</f>
        <v/>
      </c>
      <c r="Q3579" s="14">
        <f>J3579*G3579</f>
        <v/>
      </c>
      <c r="R3579" s="14">
        <f>K3579-Q3579</f>
        <v/>
      </c>
      <c r="S3579" s="3">
        <f>P3579*Assumptions!$B$3/100</f>
        <v/>
      </c>
      <c r="T3579" s="14">
        <f>R3579-S3579</f>
        <v/>
      </c>
      <c r="U3579" s="14">
        <f>L3579*G3579</f>
        <v/>
      </c>
    </row>
    <row r="3580">
      <c r="A3580" s="12" t="inlineStr">
        <is>
          <t>PO-2023-3578</t>
        </is>
      </c>
      <c r="B3580" s="26" t="n">
        <v>44811</v>
      </c>
      <c r="C3580" s="12" t="inlineStr">
        <is>
          <t>VS25</t>
        </is>
      </c>
      <c r="D3580" s="12" t="inlineStr">
        <is>
          <t>MS Pipes</t>
        </is>
      </c>
      <c r="E3580" s="12" t="inlineStr">
        <is>
          <t>N</t>
        </is>
      </c>
      <c r="F3580" s="12" t="n">
        <v>6.25</v>
      </c>
      <c r="G3580" s="17" t="n">
        <v>51608.44</v>
      </c>
      <c r="H3580" s="26" t="n">
        <v>44817</v>
      </c>
      <c r="I3580" s="26" t="n">
        <v>44818</v>
      </c>
      <c r="J3580" s="12" t="n">
        <v>6.21</v>
      </c>
      <c r="K3580" s="17" t="n">
        <v>322552.75</v>
      </c>
      <c r="L3580" s="12" t="n">
        <v>0</v>
      </c>
      <c r="M3580" s="12" t="n">
        <v>25</v>
      </c>
      <c r="N3580" s="27">
        <f>F3580-J3580</f>
        <v/>
      </c>
      <c r="O3580" s="16">
        <f>I3580-H3580</f>
        <v/>
      </c>
      <c r="P3580" s="14">
        <f>F3580*G3580</f>
        <v/>
      </c>
      <c r="Q3580" s="14">
        <f>J3580*G3580</f>
        <v/>
      </c>
      <c r="R3580" s="14">
        <f>K3580-Q3580</f>
        <v/>
      </c>
      <c r="S3580" s="3">
        <f>P3580*Assumptions!$B$3/100</f>
        <v/>
      </c>
      <c r="T3580" s="14">
        <f>R3580-S3580</f>
        <v/>
      </c>
      <c r="U3580" s="14">
        <f>L3580*G3580</f>
        <v/>
      </c>
    </row>
    <row r="3581">
      <c r="A3581" s="12" t="inlineStr">
        <is>
          <t>PO-2023-3579</t>
        </is>
      </c>
      <c r="B3581" s="26" t="n">
        <v>44211</v>
      </c>
      <c r="C3581" s="12" t="inlineStr">
        <is>
          <t>VS24</t>
        </is>
      </c>
      <c r="D3581" s="12" t="inlineStr">
        <is>
          <t>Structural Steel</t>
        </is>
      </c>
      <c r="E3581" s="12" t="inlineStr">
        <is>
          <t>N</t>
        </is>
      </c>
      <c r="F3581" s="12" t="n">
        <v>36.24</v>
      </c>
      <c r="G3581" s="17" t="n">
        <v>104891.22</v>
      </c>
      <c r="H3581" s="26" t="n">
        <v>44217</v>
      </c>
      <c r="I3581" s="26" t="n">
        <v>44220</v>
      </c>
      <c r="J3581" s="12" t="n">
        <v>36.17</v>
      </c>
      <c r="K3581" s="17" t="n">
        <v>3801257.81</v>
      </c>
      <c r="L3581" s="12" t="n">
        <v>0</v>
      </c>
      <c r="M3581" s="12" t="n">
        <v>10</v>
      </c>
      <c r="N3581" s="27">
        <f>F3581-J3581</f>
        <v/>
      </c>
      <c r="O3581" s="16">
        <f>I3581-H3581</f>
        <v/>
      </c>
      <c r="P3581" s="14">
        <f>F3581*G3581</f>
        <v/>
      </c>
      <c r="Q3581" s="14">
        <f>J3581*G3581</f>
        <v/>
      </c>
      <c r="R3581" s="14">
        <f>K3581-Q3581</f>
        <v/>
      </c>
      <c r="S3581" s="3">
        <f>P3581*Assumptions!$B$3/100</f>
        <v/>
      </c>
      <c r="T3581" s="14">
        <f>R3581-S3581</f>
        <v/>
      </c>
      <c r="U3581" s="14">
        <f>L3581*G3581</f>
        <v/>
      </c>
    </row>
    <row r="3582">
      <c r="A3582" s="12" t="inlineStr">
        <is>
          <t>PO-2023-3580</t>
        </is>
      </c>
      <c r="B3582" s="26" t="n">
        <v>44830</v>
      </c>
      <c r="C3582" s="12" t="inlineStr">
        <is>
          <t>VS32</t>
        </is>
      </c>
      <c r="D3582" s="12" t="inlineStr">
        <is>
          <t>Square/Rect Tubes</t>
        </is>
      </c>
      <c r="E3582" s="12" t="inlineStr">
        <is>
          <t>N</t>
        </is>
      </c>
      <c r="F3582" s="12" t="n">
        <v>13.71</v>
      </c>
      <c r="G3582" s="17" t="n">
        <v>71229.17</v>
      </c>
      <c r="H3582" s="26" t="n">
        <v>44839</v>
      </c>
      <c r="I3582" s="26" t="n">
        <v>44839</v>
      </c>
      <c r="J3582" s="12" t="n">
        <v>13.66</v>
      </c>
      <c r="K3582" s="17" t="n">
        <v>976551.92</v>
      </c>
      <c r="L3582" s="12" t="n">
        <v>0</v>
      </c>
      <c r="M3582" s="12" t="n">
        <v>4</v>
      </c>
      <c r="N3582" s="27">
        <f>F3582-J3582</f>
        <v/>
      </c>
      <c r="O3582" s="16">
        <f>I3582-H3582</f>
        <v/>
      </c>
      <c r="P3582" s="14">
        <f>F3582*G3582</f>
        <v/>
      </c>
      <c r="Q3582" s="14">
        <f>J3582*G3582</f>
        <v/>
      </c>
      <c r="R3582" s="14">
        <f>K3582-Q3582</f>
        <v/>
      </c>
      <c r="S3582" s="3">
        <f>P3582*Assumptions!$B$3/100</f>
        <v/>
      </c>
      <c r="T3582" s="14">
        <f>R3582-S3582</f>
        <v/>
      </c>
      <c r="U3582" s="14">
        <f>L3582*G3582</f>
        <v/>
      </c>
    </row>
    <row r="3583">
      <c r="A3583" s="12" t="inlineStr">
        <is>
          <t>PO-2023-3581</t>
        </is>
      </c>
      <c r="B3583" s="26" t="n">
        <v>44367</v>
      </c>
      <c r="C3583" s="12" t="inlineStr">
        <is>
          <t>VS32</t>
        </is>
      </c>
      <c r="D3583" s="12" t="inlineStr">
        <is>
          <t>GI Wire</t>
        </is>
      </c>
      <c r="E3583" s="12" t="inlineStr">
        <is>
          <t>N</t>
        </is>
      </c>
      <c r="F3583" s="12" t="n">
        <v>27.2</v>
      </c>
      <c r="G3583" s="17" t="n">
        <v>57238.64</v>
      </c>
      <c r="H3583" s="26" t="n">
        <v>44375</v>
      </c>
      <c r="I3583" s="26" t="n">
        <v>44376</v>
      </c>
      <c r="J3583" s="12" t="n">
        <v>27.2</v>
      </c>
      <c r="K3583" s="17" t="n">
        <v>1556891.01</v>
      </c>
      <c r="L3583" s="12" t="n">
        <v>0</v>
      </c>
      <c r="M3583" s="12" t="n">
        <v>0</v>
      </c>
      <c r="N3583" s="27">
        <f>F3583-J3583</f>
        <v/>
      </c>
      <c r="O3583" s="16">
        <f>I3583-H3583</f>
        <v/>
      </c>
      <c r="P3583" s="14">
        <f>F3583*G3583</f>
        <v/>
      </c>
      <c r="Q3583" s="14">
        <f>J3583*G3583</f>
        <v/>
      </c>
      <c r="R3583" s="14">
        <f>K3583-Q3583</f>
        <v/>
      </c>
      <c r="S3583" s="3">
        <f>P3583*Assumptions!$B$3/100</f>
        <v/>
      </c>
      <c r="T3583" s="14">
        <f>R3583-S3583</f>
        <v/>
      </c>
      <c r="U3583" s="14">
        <f>L3583*G3583</f>
        <v/>
      </c>
    </row>
    <row r="3584">
      <c r="A3584" s="12" t="inlineStr">
        <is>
          <t>PO-2023-3582</t>
        </is>
      </c>
      <c r="B3584" s="26" t="n">
        <v>44404</v>
      </c>
      <c r="C3584" s="12" t="inlineStr">
        <is>
          <t>VS09</t>
        </is>
      </c>
      <c r="D3584" s="12" t="inlineStr">
        <is>
          <t>Fasteners &amp; Fittings</t>
        </is>
      </c>
      <c r="E3584" s="12" t="inlineStr">
        <is>
          <t>N</t>
        </is>
      </c>
      <c r="F3584" s="12" t="n">
        <v>33.74</v>
      </c>
      <c r="G3584" s="17" t="n">
        <v>58745.47</v>
      </c>
      <c r="H3584" s="26" t="n">
        <v>44414</v>
      </c>
      <c r="I3584" s="26" t="n">
        <v>44417</v>
      </c>
      <c r="J3584" s="12" t="n">
        <v>33.64</v>
      </c>
      <c r="K3584" s="17" t="n">
        <v>1982072.16</v>
      </c>
      <c r="L3584" s="12" t="n">
        <v>0</v>
      </c>
      <c r="M3584" s="12" t="n">
        <v>23</v>
      </c>
      <c r="N3584" s="27">
        <f>F3584-J3584</f>
        <v/>
      </c>
      <c r="O3584" s="16">
        <f>I3584-H3584</f>
        <v/>
      </c>
      <c r="P3584" s="14">
        <f>F3584*G3584</f>
        <v/>
      </c>
      <c r="Q3584" s="14">
        <f>J3584*G3584</f>
        <v/>
      </c>
      <c r="R3584" s="14">
        <f>K3584-Q3584</f>
        <v/>
      </c>
      <c r="S3584" s="3">
        <f>P3584*Assumptions!$B$3/100</f>
        <v/>
      </c>
      <c r="T3584" s="14">
        <f>R3584-S3584</f>
        <v/>
      </c>
      <c r="U3584" s="14">
        <f>L3584*G3584</f>
        <v/>
      </c>
    </row>
    <row r="3585">
      <c r="A3585" s="12" t="inlineStr">
        <is>
          <t>PO-2023-3583</t>
        </is>
      </c>
      <c r="B3585" s="26" t="n">
        <v>44204</v>
      </c>
      <c r="C3585" s="12" t="inlineStr">
        <is>
          <t>VS33</t>
        </is>
      </c>
      <c r="D3585" s="12" t="inlineStr">
        <is>
          <t>MS Rods</t>
        </is>
      </c>
      <c r="E3585" s="12" t="inlineStr">
        <is>
          <t>N</t>
        </is>
      </c>
      <c r="F3585" s="12" t="n">
        <v>42.52</v>
      </c>
      <c r="G3585" s="17" t="n">
        <v>97769.42999999999</v>
      </c>
      <c r="H3585" s="26" t="n">
        <v>44213</v>
      </c>
      <c r="I3585" s="26" t="n">
        <v>44215</v>
      </c>
      <c r="J3585" s="12" t="n">
        <v>42.27</v>
      </c>
      <c r="K3585" s="17" t="n">
        <v>4157156.16</v>
      </c>
      <c r="L3585" s="12" t="n">
        <v>0</v>
      </c>
      <c r="M3585" s="12" t="n">
        <v>21</v>
      </c>
      <c r="N3585" s="27">
        <f>F3585-J3585</f>
        <v/>
      </c>
      <c r="O3585" s="16">
        <f>I3585-H3585</f>
        <v/>
      </c>
      <c r="P3585" s="14">
        <f>F3585*G3585</f>
        <v/>
      </c>
      <c r="Q3585" s="14">
        <f>J3585*G3585</f>
        <v/>
      </c>
      <c r="R3585" s="14">
        <f>K3585-Q3585</f>
        <v/>
      </c>
      <c r="S3585" s="3">
        <f>P3585*Assumptions!$B$3/100</f>
        <v/>
      </c>
      <c r="T3585" s="14">
        <f>R3585-S3585</f>
        <v/>
      </c>
      <c r="U3585" s="14">
        <f>L3585*G3585</f>
        <v/>
      </c>
    </row>
    <row r="3586">
      <c r="A3586" s="12" t="inlineStr">
        <is>
          <t>PO-2023-3584</t>
        </is>
      </c>
      <c r="B3586" s="26" t="n">
        <v>44916</v>
      </c>
      <c r="C3586" s="12" t="inlineStr">
        <is>
          <t>VS26</t>
        </is>
      </c>
      <c r="D3586" s="12" t="inlineStr">
        <is>
          <t>Square/Rect Tubes</t>
        </is>
      </c>
      <c r="E3586" s="12" t="inlineStr">
        <is>
          <t>N</t>
        </is>
      </c>
      <c r="F3586" s="12" t="n">
        <v>42.94</v>
      </c>
      <c r="G3586" s="17" t="n">
        <v>65704.64999999999</v>
      </c>
      <c r="H3586" s="26" t="n">
        <v>44920</v>
      </c>
      <c r="I3586" s="26" t="n">
        <v>44920</v>
      </c>
      <c r="J3586" s="12" t="n">
        <v>42.58</v>
      </c>
      <c r="K3586" s="17" t="n">
        <v>2821357.67</v>
      </c>
      <c r="L3586" s="12" t="n">
        <v>0</v>
      </c>
      <c r="M3586" s="12" t="n">
        <v>20</v>
      </c>
      <c r="N3586" s="27">
        <f>F3586-J3586</f>
        <v/>
      </c>
      <c r="O3586" s="16">
        <f>I3586-H3586</f>
        <v/>
      </c>
      <c r="P3586" s="14">
        <f>F3586*G3586</f>
        <v/>
      </c>
      <c r="Q3586" s="14">
        <f>J3586*G3586</f>
        <v/>
      </c>
      <c r="R3586" s="14">
        <f>K3586-Q3586</f>
        <v/>
      </c>
      <c r="S3586" s="3">
        <f>P3586*Assumptions!$B$3/100</f>
        <v/>
      </c>
      <c r="T3586" s="14">
        <f>R3586-S3586</f>
        <v/>
      </c>
      <c r="U3586" s="14">
        <f>L3586*G3586</f>
        <v/>
      </c>
    </row>
    <row r="3587">
      <c r="A3587" s="12" t="inlineStr">
        <is>
          <t>PO-2023-3585</t>
        </is>
      </c>
      <c r="B3587" s="26" t="n">
        <v>45102</v>
      </c>
      <c r="C3587" s="12" t="inlineStr">
        <is>
          <t>VS27</t>
        </is>
      </c>
      <c r="D3587" s="12" t="inlineStr">
        <is>
          <t>Spring Steel</t>
        </is>
      </c>
      <c r="E3587" s="12" t="inlineStr">
        <is>
          <t>N</t>
        </is>
      </c>
      <c r="F3587" s="12" t="n">
        <v>22.66</v>
      </c>
      <c r="G3587" s="17" t="n">
        <v>109219.44</v>
      </c>
      <c r="H3587" s="26" t="n">
        <v>45109</v>
      </c>
      <c r="I3587" s="26" t="n">
        <v>45112</v>
      </c>
      <c r="J3587" s="12" t="n">
        <v>22.65</v>
      </c>
      <c r="K3587" s="17" t="n">
        <v>2474912.51</v>
      </c>
      <c r="L3587" s="12" t="n">
        <v>0</v>
      </c>
      <c r="M3587" s="12" t="n">
        <v>0</v>
      </c>
      <c r="N3587" s="27">
        <f>F3587-J3587</f>
        <v/>
      </c>
      <c r="O3587" s="16">
        <f>I3587-H3587</f>
        <v/>
      </c>
      <c r="P3587" s="14">
        <f>F3587*G3587</f>
        <v/>
      </c>
      <c r="Q3587" s="14">
        <f>J3587*G3587</f>
        <v/>
      </c>
      <c r="R3587" s="14">
        <f>K3587-Q3587</f>
        <v/>
      </c>
      <c r="S3587" s="3">
        <f>P3587*Assumptions!$B$3/100</f>
        <v/>
      </c>
      <c r="T3587" s="14">
        <f>R3587-S3587</f>
        <v/>
      </c>
      <c r="U3587" s="14">
        <f>L3587*G3587</f>
        <v/>
      </c>
    </row>
    <row r="3588">
      <c r="A3588" s="12" t="inlineStr">
        <is>
          <t>PO-2023-3586</t>
        </is>
      </c>
      <c r="B3588" s="26" t="n">
        <v>44797</v>
      </c>
      <c r="C3588" s="12" t="inlineStr">
        <is>
          <t>VS31</t>
        </is>
      </c>
      <c r="D3588" s="12" t="inlineStr">
        <is>
          <t>Fasteners &amp; Fittings</t>
        </is>
      </c>
      <c r="E3588" s="12" t="inlineStr">
        <is>
          <t>N</t>
        </is>
      </c>
      <c r="F3588" s="12" t="n">
        <v>41.66</v>
      </c>
      <c r="G3588" s="17" t="n">
        <v>94679.36</v>
      </c>
      <c r="H3588" s="26" t="n">
        <v>44809</v>
      </c>
      <c r="I3588" s="26" t="n">
        <v>44811</v>
      </c>
      <c r="J3588" s="12" t="n">
        <v>41.3</v>
      </c>
      <c r="K3588" s="17" t="n">
        <v>3944342.14</v>
      </c>
      <c r="L3588" s="12" t="n">
        <v>0</v>
      </c>
      <c r="M3588" s="12" t="n">
        <v>0</v>
      </c>
      <c r="N3588" s="27">
        <f>F3588-J3588</f>
        <v/>
      </c>
      <c r="O3588" s="16">
        <f>I3588-H3588</f>
        <v/>
      </c>
      <c r="P3588" s="14">
        <f>F3588*G3588</f>
        <v/>
      </c>
      <c r="Q3588" s="14">
        <f>J3588*G3588</f>
        <v/>
      </c>
      <c r="R3588" s="14">
        <f>K3588-Q3588</f>
        <v/>
      </c>
      <c r="S3588" s="3">
        <f>P3588*Assumptions!$B$3/100</f>
        <v/>
      </c>
      <c r="T3588" s="14">
        <f>R3588-S3588</f>
        <v/>
      </c>
      <c r="U3588" s="14">
        <f>L3588*G3588</f>
        <v/>
      </c>
    </row>
    <row r="3589">
      <c r="A3589" s="12" t="inlineStr">
        <is>
          <t>PO-2023-3587</t>
        </is>
      </c>
      <c r="B3589" s="26" t="n">
        <v>44320</v>
      </c>
      <c r="C3589" s="12" t="inlineStr">
        <is>
          <t>VS14</t>
        </is>
      </c>
      <c r="D3589" s="12" t="inlineStr">
        <is>
          <t>Angles &amp; Channels</t>
        </is>
      </c>
      <c r="E3589" s="12" t="inlineStr">
        <is>
          <t>N</t>
        </is>
      </c>
      <c r="F3589" s="12" t="n">
        <v>1.74</v>
      </c>
      <c r="G3589" s="17" t="n">
        <v>75958.57000000001</v>
      </c>
      <c r="H3589" s="26" t="n">
        <v>44324</v>
      </c>
      <c r="I3589" s="26" t="n">
        <v>44325</v>
      </c>
      <c r="J3589" s="12" t="n">
        <v>1.73</v>
      </c>
      <c r="K3589" s="17" t="n">
        <v>132167.91</v>
      </c>
      <c r="L3589" s="12" t="n">
        <v>0</v>
      </c>
      <c r="M3589" s="12" t="n">
        <v>1</v>
      </c>
      <c r="N3589" s="27">
        <f>F3589-J3589</f>
        <v/>
      </c>
      <c r="O3589" s="16">
        <f>I3589-H3589</f>
        <v/>
      </c>
      <c r="P3589" s="14">
        <f>F3589*G3589</f>
        <v/>
      </c>
      <c r="Q3589" s="14">
        <f>J3589*G3589</f>
        <v/>
      </c>
      <c r="R3589" s="14">
        <f>K3589-Q3589</f>
        <v/>
      </c>
      <c r="S3589" s="3">
        <f>P3589*Assumptions!$B$3/100</f>
        <v/>
      </c>
      <c r="T3589" s="14">
        <f>R3589-S3589</f>
        <v/>
      </c>
      <c r="U3589" s="14">
        <f>L3589*G3589</f>
        <v/>
      </c>
    </row>
    <row r="3590">
      <c r="A3590" s="12" t="inlineStr">
        <is>
          <t>PO-2023-3588</t>
        </is>
      </c>
      <c r="B3590" s="26" t="n">
        <v>45242</v>
      </c>
      <c r="C3590" s="12" t="inlineStr">
        <is>
          <t>VS20</t>
        </is>
      </c>
      <c r="D3590" s="12" t="inlineStr">
        <is>
          <t>Hex Bars</t>
        </is>
      </c>
      <c r="E3590" s="12" t="inlineStr">
        <is>
          <t>N</t>
        </is>
      </c>
      <c r="F3590" s="12" t="n">
        <v>28.72</v>
      </c>
      <c r="G3590" s="17" t="n">
        <v>119506.63</v>
      </c>
      <c r="H3590" s="26" t="n">
        <v>45247</v>
      </c>
      <c r="I3590" s="26" t="n">
        <v>45249</v>
      </c>
      <c r="J3590" s="12" t="n">
        <v>28.6</v>
      </c>
      <c r="K3590" s="17" t="n">
        <v>3432230.41</v>
      </c>
      <c r="L3590" s="12" t="n">
        <v>0</v>
      </c>
      <c r="M3590" s="12" t="n">
        <v>23</v>
      </c>
      <c r="N3590" s="27">
        <f>F3590-J3590</f>
        <v/>
      </c>
      <c r="O3590" s="16">
        <f>I3590-H3590</f>
        <v/>
      </c>
      <c r="P3590" s="14">
        <f>F3590*G3590</f>
        <v/>
      </c>
      <c r="Q3590" s="14">
        <f>J3590*G3590</f>
        <v/>
      </c>
      <c r="R3590" s="14">
        <f>K3590-Q3590</f>
        <v/>
      </c>
      <c r="S3590" s="3">
        <f>P3590*Assumptions!$B$3/100</f>
        <v/>
      </c>
      <c r="T3590" s="14">
        <f>R3590-S3590</f>
        <v/>
      </c>
      <c r="U3590" s="14">
        <f>L3590*G3590</f>
        <v/>
      </c>
    </row>
    <row r="3591">
      <c r="A3591" s="12" t="inlineStr">
        <is>
          <t>PO-2023-3589</t>
        </is>
      </c>
      <c r="B3591" s="26" t="n">
        <v>44454</v>
      </c>
      <c r="C3591" s="12" t="inlineStr">
        <is>
          <t>VS16</t>
        </is>
      </c>
      <c r="D3591" s="12" t="inlineStr">
        <is>
          <t>MS Flats</t>
        </is>
      </c>
      <c r="E3591" s="12" t="inlineStr">
        <is>
          <t>N</t>
        </is>
      </c>
      <c r="F3591" s="12" t="n">
        <v>43.34</v>
      </c>
      <c r="G3591" s="17" t="n">
        <v>105877.13</v>
      </c>
      <c r="H3591" s="26" t="n">
        <v>44461</v>
      </c>
      <c r="I3591" s="26" t="n">
        <v>44464</v>
      </c>
      <c r="J3591" s="12" t="n">
        <v>43.24</v>
      </c>
      <c r="K3591" s="17" t="n">
        <v>4588714.81</v>
      </c>
      <c r="L3591" s="12" t="n">
        <v>0</v>
      </c>
      <c r="M3591" s="12" t="n">
        <v>22</v>
      </c>
      <c r="N3591" s="27">
        <f>F3591-J3591</f>
        <v/>
      </c>
      <c r="O3591" s="16">
        <f>I3591-H3591</f>
        <v/>
      </c>
      <c r="P3591" s="14">
        <f>F3591*G3591</f>
        <v/>
      </c>
      <c r="Q3591" s="14">
        <f>J3591*G3591</f>
        <v/>
      </c>
      <c r="R3591" s="14">
        <f>K3591-Q3591</f>
        <v/>
      </c>
      <c r="S3591" s="3">
        <f>P3591*Assumptions!$B$3/100</f>
        <v/>
      </c>
      <c r="T3591" s="14">
        <f>R3591-S3591</f>
        <v/>
      </c>
      <c r="U3591" s="14">
        <f>L3591*G3591</f>
        <v/>
      </c>
    </row>
    <row r="3592">
      <c r="A3592" s="12" t="inlineStr">
        <is>
          <t>PO-2023-3590</t>
        </is>
      </c>
      <c r="B3592" s="26" t="n">
        <v>44306</v>
      </c>
      <c r="C3592" s="12" t="inlineStr">
        <is>
          <t>VS20</t>
        </is>
      </c>
      <c r="D3592" s="12" t="inlineStr">
        <is>
          <t>GI Wire</t>
        </is>
      </c>
      <c r="E3592" s="12" t="inlineStr">
        <is>
          <t>N</t>
        </is>
      </c>
      <c r="F3592" s="12" t="n">
        <v>44.06</v>
      </c>
      <c r="G3592" s="17" t="n">
        <v>101542.5</v>
      </c>
      <c r="H3592" s="26" t="n">
        <v>44317</v>
      </c>
      <c r="I3592" s="26" t="n">
        <v>44320</v>
      </c>
      <c r="J3592" s="12" t="n">
        <v>43.98</v>
      </c>
      <c r="K3592" s="17" t="n">
        <v>4473962.55</v>
      </c>
      <c r="L3592" s="12" t="n">
        <v>0</v>
      </c>
      <c r="M3592" s="12" t="n">
        <v>23</v>
      </c>
      <c r="N3592" s="27">
        <f>F3592-J3592</f>
        <v/>
      </c>
      <c r="O3592" s="16">
        <f>I3592-H3592</f>
        <v/>
      </c>
      <c r="P3592" s="14">
        <f>F3592*G3592</f>
        <v/>
      </c>
      <c r="Q3592" s="14">
        <f>J3592*G3592</f>
        <v/>
      </c>
      <c r="R3592" s="14">
        <f>K3592-Q3592</f>
        <v/>
      </c>
      <c r="S3592" s="3">
        <f>P3592*Assumptions!$B$3/100</f>
        <v/>
      </c>
      <c r="T3592" s="14">
        <f>R3592-S3592</f>
        <v/>
      </c>
      <c r="U3592" s="14">
        <f>L3592*G3592</f>
        <v/>
      </c>
    </row>
    <row r="3593">
      <c r="A3593" s="12" t="inlineStr">
        <is>
          <t>PO-2023-3591</t>
        </is>
      </c>
      <c r="B3593" s="26" t="n">
        <v>44509</v>
      </c>
      <c r="C3593" s="12" t="inlineStr">
        <is>
          <t>VS08</t>
        </is>
      </c>
      <c r="D3593" s="12" t="inlineStr">
        <is>
          <t>Square/Rect Tubes</t>
        </is>
      </c>
      <c r="E3593" s="12" t="inlineStr">
        <is>
          <t>N</t>
        </is>
      </c>
      <c r="F3593" s="12" t="n">
        <v>5.26</v>
      </c>
      <c r="G3593" s="17" t="n">
        <v>104297.24</v>
      </c>
      <c r="H3593" s="26" t="n">
        <v>44518</v>
      </c>
      <c r="I3593" s="26" t="n">
        <v>44520</v>
      </c>
      <c r="J3593" s="12" t="n">
        <v>5.24</v>
      </c>
      <c r="K3593" s="17" t="n">
        <v>548603.48</v>
      </c>
      <c r="L3593" s="12" t="n">
        <v>0</v>
      </c>
      <c r="M3593" s="12" t="n">
        <v>0</v>
      </c>
      <c r="N3593" s="27">
        <f>F3593-J3593</f>
        <v/>
      </c>
      <c r="O3593" s="16">
        <f>I3593-H3593</f>
        <v/>
      </c>
      <c r="P3593" s="14">
        <f>F3593*G3593</f>
        <v/>
      </c>
      <c r="Q3593" s="14">
        <f>J3593*G3593</f>
        <v/>
      </c>
      <c r="R3593" s="14">
        <f>K3593-Q3593</f>
        <v/>
      </c>
      <c r="S3593" s="3">
        <f>P3593*Assumptions!$B$3/100</f>
        <v/>
      </c>
      <c r="T3593" s="14">
        <f>R3593-S3593</f>
        <v/>
      </c>
      <c r="U3593" s="14">
        <f>L3593*G3593</f>
        <v/>
      </c>
    </row>
    <row r="3594">
      <c r="A3594" s="12" t="inlineStr">
        <is>
          <t>PO-2023-3592</t>
        </is>
      </c>
      <c r="B3594" s="26" t="n">
        <v>44714</v>
      </c>
      <c r="C3594" s="12" t="inlineStr">
        <is>
          <t>VS23</t>
        </is>
      </c>
      <c r="D3594" s="12" t="inlineStr">
        <is>
          <t>MS Sheets</t>
        </is>
      </c>
      <c r="E3594" s="12" t="inlineStr">
        <is>
          <t>N</t>
        </is>
      </c>
      <c r="F3594" s="12" t="n">
        <v>18.49</v>
      </c>
      <c r="G3594" s="17" t="n">
        <v>88112.39999999999</v>
      </c>
      <c r="H3594" s="26" t="n">
        <v>44719</v>
      </c>
      <c r="I3594" s="26" t="n">
        <v>44721</v>
      </c>
      <c r="J3594" s="12" t="n">
        <v>18.42</v>
      </c>
      <c r="K3594" s="17" t="n">
        <v>1629198.28</v>
      </c>
      <c r="L3594" s="12" t="n">
        <v>0</v>
      </c>
      <c r="M3594" s="12" t="n">
        <v>0</v>
      </c>
      <c r="N3594" s="27">
        <f>F3594-J3594</f>
        <v/>
      </c>
      <c r="O3594" s="16">
        <f>I3594-H3594</f>
        <v/>
      </c>
      <c r="P3594" s="14">
        <f>F3594*G3594</f>
        <v/>
      </c>
      <c r="Q3594" s="14">
        <f>J3594*G3594</f>
        <v/>
      </c>
      <c r="R3594" s="14">
        <f>K3594-Q3594</f>
        <v/>
      </c>
      <c r="S3594" s="3">
        <f>P3594*Assumptions!$B$3/100</f>
        <v/>
      </c>
      <c r="T3594" s="14">
        <f>R3594-S3594</f>
        <v/>
      </c>
      <c r="U3594" s="14">
        <f>L3594*G3594</f>
        <v/>
      </c>
    </row>
    <row r="3595">
      <c r="A3595" s="12" t="inlineStr">
        <is>
          <t>PO-2023-3593</t>
        </is>
      </c>
      <c r="B3595" s="26" t="n">
        <v>44232</v>
      </c>
      <c r="C3595" s="12" t="inlineStr">
        <is>
          <t>VS26</t>
        </is>
      </c>
      <c r="D3595" s="12" t="inlineStr">
        <is>
          <t>CR Sheets</t>
        </is>
      </c>
      <c r="E3595" s="12" t="inlineStr">
        <is>
          <t>N</t>
        </is>
      </c>
      <c r="F3595" s="12" t="n">
        <v>40.25</v>
      </c>
      <c r="G3595" s="17" t="n">
        <v>93211.36</v>
      </c>
      <c r="H3595" s="26" t="n">
        <v>44236</v>
      </c>
      <c r="I3595" s="26" t="n">
        <v>44239</v>
      </c>
      <c r="J3595" s="12" t="n">
        <v>39.85</v>
      </c>
      <c r="K3595" s="17" t="n">
        <v>3751757.24</v>
      </c>
      <c r="L3595" s="12" t="n">
        <v>0</v>
      </c>
      <c r="M3595" s="12" t="n">
        <v>18</v>
      </c>
      <c r="N3595" s="27">
        <f>F3595-J3595</f>
        <v/>
      </c>
      <c r="O3595" s="16">
        <f>I3595-H3595</f>
        <v/>
      </c>
      <c r="P3595" s="14">
        <f>F3595*G3595</f>
        <v/>
      </c>
      <c r="Q3595" s="14">
        <f>J3595*G3595</f>
        <v/>
      </c>
      <c r="R3595" s="14">
        <f>K3595-Q3595</f>
        <v/>
      </c>
      <c r="S3595" s="3">
        <f>P3595*Assumptions!$B$3/100</f>
        <v/>
      </c>
      <c r="T3595" s="14">
        <f>R3595-S3595</f>
        <v/>
      </c>
      <c r="U3595" s="14">
        <f>L3595*G3595</f>
        <v/>
      </c>
    </row>
    <row r="3596">
      <c r="A3596" s="12" t="inlineStr">
        <is>
          <t>PO-2023-3594</t>
        </is>
      </c>
      <c r="B3596" s="26" t="n">
        <v>44450</v>
      </c>
      <c r="C3596" s="12" t="inlineStr">
        <is>
          <t>VS07</t>
        </is>
      </c>
      <c r="D3596" s="12" t="inlineStr">
        <is>
          <t>Structural Steel</t>
        </is>
      </c>
      <c r="E3596" s="12" t="inlineStr">
        <is>
          <t>N</t>
        </is>
      </c>
      <c r="F3596" s="12" t="n">
        <v>38.93</v>
      </c>
      <c r="G3596" s="17" t="n">
        <v>86002.64999999999</v>
      </c>
      <c r="H3596" s="26" t="n">
        <v>44454</v>
      </c>
      <c r="I3596" s="26" t="n">
        <v>44455</v>
      </c>
      <c r="J3596" s="12" t="n">
        <v>38.54</v>
      </c>
      <c r="K3596" s="17" t="n">
        <v>3348083.16</v>
      </c>
      <c r="L3596" s="12" t="n">
        <v>0</v>
      </c>
      <c r="M3596" s="12" t="n">
        <v>17</v>
      </c>
      <c r="N3596" s="27">
        <f>F3596-J3596</f>
        <v/>
      </c>
      <c r="O3596" s="16">
        <f>I3596-H3596</f>
        <v/>
      </c>
      <c r="P3596" s="14">
        <f>F3596*G3596</f>
        <v/>
      </c>
      <c r="Q3596" s="14">
        <f>J3596*G3596</f>
        <v/>
      </c>
      <c r="R3596" s="14">
        <f>K3596-Q3596</f>
        <v/>
      </c>
      <c r="S3596" s="3">
        <f>P3596*Assumptions!$B$3/100</f>
        <v/>
      </c>
      <c r="T3596" s="14">
        <f>R3596-S3596</f>
        <v/>
      </c>
      <c r="U3596" s="14">
        <f>L3596*G3596</f>
        <v/>
      </c>
    </row>
    <row r="3597">
      <c r="A3597" s="12" t="inlineStr">
        <is>
          <t>PO-2023-3595</t>
        </is>
      </c>
      <c r="B3597" s="26" t="n">
        <v>45284</v>
      </c>
      <c r="C3597" s="12" t="inlineStr">
        <is>
          <t>VS10</t>
        </is>
      </c>
      <c r="D3597" s="12" t="inlineStr">
        <is>
          <t>Fasteners &amp; Fittings</t>
        </is>
      </c>
      <c r="E3597" s="12" t="inlineStr">
        <is>
          <t>N</t>
        </is>
      </c>
      <c r="F3597" s="12" t="n">
        <v>13.2</v>
      </c>
      <c r="G3597" s="17" t="n">
        <v>109288.09</v>
      </c>
      <c r="H3597" s="26" t="n">
        <v>45293</v>
      </c>
      <c r="I3597" s="26" t="n">
        <v>45293</v>
      </c>
      <c r="J3597" s="12" t="n">
        <v>13.16</v>
      </c>
      <c r="K3597" s="17" t="n">
        <v>1442602.79</v>
      </c>
      <c r="L3597" s="12" t="n">
        <v>0</v>
      </c>
      <c r="M3597" s="12" t="n">
        <v>7</v>
      </c>
      <c r="N3597" s="27">
        <f>F3597-J3597</f>
        <v/>
      </c>
      <c r="O3597" s="16">
        <f>I3597-H3597</f>
        <v/>
      </c>
      <c r="P3597" s="14">
        <f>F3597*G3597</f>
        <v/>
      </c>
      <c r="Q3597" s="14">
        <f>J3597*G3597</f>
        <v/>
      </c>
      <c r="R3597" s="14">
        <f>K3597-Q3597</f>
        <v/>
      </c>
      <c r="S3597" s="3">
        <f>P3597*Assumptions!$B$3/100</f>
        <v/>
      </c>
      <c r="T3597" s="14">
        <f>R3597-S3597</f>
        <v/>
      </c>
      <c r="U3597" s="14">
        <f>L3597*G3597</f>
        <v/>
      </c>
    </row>
    <row r="3598">
      <c r="A3598" s="12" t="inlineStr">
        <is>
          <t>PO-2023-3596</t>
        </is>
      </c>
      <c r="B3598" s="26" t="n">
        <v>44675</v>
      </c>
      <c r="C3598" s="12" t="inlineStr">
        <is>
          <t>VS20</t>
        </is>
      </c>
      <c r="D3598" s="12" t="inlineStr">
        <is>
          <t>HR Coils</t>
        </is>
      </c>
      <c r="E3598" s="12" t="inlineStr">
        <is>
          <t>N</t>
        </is>
      </c>
      <c r="F3598" s="12" t="n">
        <v>17.53</v>
      </c>
      <c r="G3598" s="17" t="n">
        <v>89006.95</v>
      </c>
      <c r="H3598" s="26" t="n">
        <v>44682</v>
      </c>
      <c r="I3598" s="26" t="n">
        <v>44685</v>
      </c>
      <c r="J3598" s="12" t="n">
        <v>17.42</v>
      </c>
      <c r="K3598" s="17" t="n">
        <v>1560291.83</v>
      </c>
      <c r="L3598" s="12" t="n">
        <v>0</v>
      </c>
      <c r="M3598" s="12" t="n">
        <v>0</v>
      </c>
      <c r="N3598" s="27">
        <f>F3598-J3598</f>
        <v/>
      </c>
      <c r="O3598" s="16">
        <f>I3598-H3598</f>
        <v/>
      </c>
      <c r="P3598" s="14">
        <f>F3598*G3598</f>
        <v/>
      </c>
      <c r="Q3598" s="14">
        <f>J3598*G3598</f>
        <v/>
      </c>
      <c r="R3598" s="14">
        <f>K3598-Q3598</f>
        <v/>
      </c>
      <c r="S3598" s="3">
        <f>P3598*Assumptions!$B$3/100</f>
        <v/>
      </c>
      <c r="T3598" s="14">
        <f>R3598-S3598</f>
        <v/>
      </c>
      <c r="U3598" s="14">
        <f>L3598*G3598</f>
        <v/>
      </c>
    </row>
    <row r="3599">
      <c r="A3599" s="12" t="inlineStr">
        <is>
          <t>PO-2023-3597</t>
        </is>
      </c>
      <c r="B3599" s="26" t="n">
        <v>45221</v>
      </c>
      <c r="C3599" s="12" t="inlineStr">
        <is>
          <t>VS33</t>
        </is>
      </c>
      <c r="D3599" s="12" t="inlineStr">
        <is>
          <t>MS Sheets</t>
        </is>
      </c>
      <c r="E3599" s="12" t="inlineStr">
        <is>
          <t>N</t>
        </is>
      </c>
      <c r="F3599" s="12" t="n">
        <v>36.48</v>
      </c>
      <c r="G3599" s="17" t="n">
        <v>84617.63</v>
      </c>
      <c r="H3599" s="26" t="n">
        <v>45228</v>
      </c>
      <c r="I3599" s="26" t="n">
        <v>45230</v>
      </c>
      <c r="J3599" s="12" t="n">
        <v>36.3</v>
      </c>
      <c r="K3599" s="17" t="n">
        <v>3086851.14</v>
      </c>
      <c r="L3599" s="12" t="n">
        <v>0</v>
      </c>
      <c r="M3599" s="12" t="n">
        <v>0</v>
      </c>
      <c r="N3599" s="27">
        <f>F3599-J3599</f>
        <v/>
      </c>
      <c r="O3599" s="16">
        <f>I3599-H3599</f>
        <v/>
      </c>
      <c r="P3599" s="14">
        <f>F3599*G3599</f>
        <v/>
      </c>
      <c r="Q3599" s="14">
        <f>J3599*G3599</f>
        <v/>
      </c>
      <c r="R3599" s="14">
        <f>K3599-Q3599</f>
        <v/>
      </c>
      <c r="S3599" s="3">
        <f>P3599*Assumptions!$B$3/100</f>
        <v/>
      </c>
      <c r="T3599" s="14">
        <f>R3599-S3599</f>
        <v/>
      </c>
      <c r="U3599" s="14">
        <f>L3599*G3599</f>
        <v/>
      </c>
    </row>
    <row r="3600">
      <c r="A3600" s="12" t="inlineStr">
        <is>
          <t>PO-2023-3598</t>
        </is>
      </c>
      <c r="B3600" s="26" t="n">
        <v>45056</v>
      </c>
      <c r="C3600" s="12" t="inlineStr">
        <is>
          <t>VS02</t>
        </is>
      </c>
      <c r="D3600" s="12" t="inlineStr">
        <is>
          <t>MS Rods</t>
        </is>
      </c>
      <c r="E3600" s="12" t="inlineStr">
        <is>
          <t>N</t>
        </is>
      </c>
      <c r="F3600" s="12" t="n">
        <v>20.85</v>
      </c>
      <c r="G3600" s="17" t="n">
        <v>109962.85</v>
      </c>
      <c r="H3600" s="26" t="n">
        <v>45059</v>
      </c>
      <c r="I3600" s="26" t="n">
        <v>45062</v>
      </c>
      <c r="J3600" s="12" t="n">
        <v>20.72</v>
      </c>
      <c r="K3600" s="17" t="n">
        <v>2292725.42</v>
      </c>
      <c r="L3600" s="12" t="n">
        <v>0</v>
      </c>
      <c r="M3600" s="12" t="n">
        <v>0</v>
      </c>
      <c r="N3600" s="27">
        <f>F3600-J3600</f>
        <v/>
      </c>
      <c r="O3600" s="16">
        <f>I3600-H3600</f>
        <v/>
      </c>
      <c r="P3600" s="14">
        <f>F3600*G3600</f>
        <v/>
      </c>
      <c r="Q3600" s="14">
        <f>J3600*G3600</f>
        <v/>
      </c>
      <c r="R3600" s="14">
        <f>K3600-Q3600</f>
        <v/>
      </c>
      <c r="S3600" s="3">
        <f>P3600*Assumptions!$B$3/100</f>
        <v/>
      </c>
      <c r="T3600" s="14">
        <f>R3600-S3600</f>
        <v/>
      </c>
      <c r="U3600" s="14">
        <f>L3600*G3600</f>
        <v/>
      </c>
    </row>
    <row r="3601">
      <c r="A3601" s="12" t="inlineStr">
        <is>
          <t>PO-2023-3599</t>
        </is>
      </c>
      <c r="B3601" s="26" t="n">
        <v>44908</v>
      </c>
      <c r="C3601" s="12" t="inlineStr">
        <is>
          <t>VS07</t>
        </is>
      </c>
      <c r="D3601" s="12" t="inlineStr">
        <is>
          <t>ERW Pipes</t>
        </is>
      </c>
      <c r="E3601" s="12" t="inlineStr">
        <is>
          <t>N</t>
        </is>
      </c>
      <c r="F3601" s="12" t="n">
        <v>49.66</v>
      </c>
      <c r="G3601" s="17" t="n">
        <v>58630.86</v>
      </c>
      <c r="H3601" s="26" t="n">
        <v>44913</v>
      </c>
      <c r="I3601" s="26" t="n">
        <v>44913</v>
      </c>
      <c r="J3601" s="12" t="n">
        <v>49.27</v>
      </c>
      <c r="K3601" s="17" t="n">
        <v>2911608.51</v>
      </c>
      <c r="L3601" s="12" t="n">
        <v>0</v>
      </c>
      <c r="M3601" s="12" t="n">
        <v>5</v>
      </c>
      <c r="N3601" s="27">
        <f>F3601-J3601</f>
        <v/>
      </c>
      <c r="O3601" s="16">
        <f>I3601-H3601</f>
        <v/>
      </c>
      <c r="P3601" s="14">
        <f>F3601*G3601</f>
        <v/>
      </c>
      <c r="Q3601" s="14">
        <f>J3601*G3601</f>
        <v/>
      </c>
      <c r="R3601" s="14">
        <f>K3601-Q3601</f>
        <v/>
      </c>
      <c r="S3601" s="3">
        <f>P3601*Assumptions!$B$3/100</f>
        <v/>
      </c>
      <c r="T3601" s="14">
        <f>R3601-S3601</f>
        <v/>
      </c>
      <c r="U3601" s="14">
        <f>L3601*G3601</f>
        <v/>
      </c>
    </row>
    <row r="3602">
      <c r="A3602" s="12" t="inlineStr">
        <is>
          <t>PO-2023-3600</t>
        </is>
      </c>
      <c r="B3602" s="26" t="n">
        <v>44956</v>
      </c>
      <c r="C3602" s="12" t="inlineStr">
        <is>
          <t>VS20</t>
        </is>
      </c>
      <c r="D3602" s="12" t="inlineStr">
        <is>
          <t>GI Sheets</t>
        </is>
      </c>
      <c r="E3602" s="12" t="inlineStr">
        <is>
          <t>N</t>
        </is>
      </c>
      <c r="F3602" s="12" t="n">
        <v>33.17</v>
      </c>
      <c r="G3602" s="17" t="n">
        <v>65922.44</v>
      </c>
      <c r="H3602" s="26" t="n">
        <v>44971</v>
      </c>
      <c r="I3602" s="26" t="n">
        <v>44973</v>
      </c>
      <c r="J3602" s="12" t="n">
        <v>33.12</v>
      </c>
      <c r="K3602" s="17" t="n">
        <v>2186647.33</v>
      </c>
      <c r="L3602" s="12" t="n">
        <v>0</v>
      </c>
      <c r="M3602" s="12" t="n">
        <v>0</v>
      </c>
      <c r="N3602" s="27">
        <f>F3602-J3602</f>
        <v/>
      </c>
      <c r="O3602" s="16">
        <f>I3602-H3602</f>
        <v/>
      </c>
      <c r="P3602" s="14">
        <f>F3602*G3602</f>
        <v/>
      </c>
      <c r="Q3602" s="14">
        <f>J3602*G3602</f>
        <v/>
      </c>
      <c r="R3602" s="14">
        <f>K3602-Q3602</f>
        <v/>
      </c>
      <c r="S3602" s="3">
        <f>P3602*Assumptions!$B$3/100</f>
        <v/>
      </c>
      <c r="T3602" s="14">
        <f>R3602-S3602</f>
        <v/>
      </c>
      <c r="U3602" s="14">
        <f>L3602*G3602</f>
        <v/>
      </c>
    </row>
    <row r="3603">
      <c r="A3603" s="12" t="inlineStr">
        <is>
          <t>PO-2023-3601</t>
        </is>
      </c>
      <c r="B3603" s="26" t="n">
        <v>44578</v>
      </c>
      <c r="C3603" s="12" t="inlineStr">
        <is>
          <t>VS16</t>
        </is>
      </c>
      <c r="D3603" s="12" t="inlineStr">
        <is>
          <t>MS Pipes</t>
        </is>
      </c>
      <c r="E3603" s="12" t="inlineStr">
        <is>
          <t>N</t>
        </is>
      </c>
      <c r="F3603" s="12" t="n">
        <v>6.8</v>
      </c>
      <c r="G3603" s="17" t="n">
        <v>75108.64</v>
      </c>
      <c r="H3603" s="26" t="n">
        <v>44585</v>
      </c>
      <c r="I3603" s="26" t="n">
        <v>44586</v>
      </c>
      <c r="J3603" s="12" t="n">
        <v>6.8</v>
      </c>
      <c r="K3603" s="17" t="n">
        <v>510738.75</v>
      </c>
      <c r="L3603" s="12" t="n">
        <v>0</v>
      </c>
      <c r="M3603" s="12" t="n">
        <v>7</v>
      </c>
      <c r="N3603" s="27">
        <f>F3603-J3603</f>
        <v/>
      </c>
      <c r="O3603" s="16">
        <f>I3603-H3603</f>
        <v/>
      </c>
      <c r="P3603" s="14">
        <f>F3603*G3603</f>
        <v/>
      </c>
      <c r="Q3603" s="14">
        <f>J3603*G3603</f>
        <v/>
      </c>
      <c r="R3603" s="14">
        <f>K3603-Q3603</f>
        <v/>
      </c>
      <c r="S3603" s="3">
        <f>P3603*Assumptions!$B$3/100</f>
        <v/>
      </c>
      <c r="T3603" s="14">
        <f>R3603-S3603</f>
        <v/>
      </c>
      <c r="U3603" s="14">
        <f>L3603*G3603</f>
        <v/>
      </c>
    </row>
    <row r="3604">
      <c r="A3604" s="12" t="inlineStr">
        <is>
          <t>PO-2023-3602</t>
        </is>
      </c>
      <c r="B3604" s="26" t="n">
        <v>45278</v>
      </c>
      <c r="C3604" s="12" t="inlineStr">
        <is>
          <t>VS28</t>
        </is>
      </c>
      <c r="D3604" s="12" t="inlineStr">
        <is>
          <t>MS Pipes</t>
        </is>
      </c>
      <c r="E3604" s="12" t="inlineStr">
        <is>
          <t>Y</t>
        </is>
      </c>
      <c r="F3604" s="12" t="n">
        <v>41.37</v>
      </c>
      <c r="G3604" s="17" t="n">
        <v>62978.81</v>
      </c>
      <c r="H3604" s="26" t="n">
        <v>45283</v>
      </c>
      <c r="I3604" s="26" t="n">
        <v>45286</v>
      </c>
      <c r="J3604" s="12" t="n">
        <v>41.08</v>
      </c>
      <c r="K3604" s="17" t="n">
        <v>2605433.37</v>
      </c>
      <c r="L3604" s="12" t="n">
        <v>0</v>
      </c>
      <c r="M3604" s="12" t="n">
        <v>0</v>
      </c>
      <c r="N3604" s="27">
        <f>F3604-J3604</f>
        <v/>
      </c>
      <c r="O3604" s="16">
        <f>I3604-H3604</f>
        <v/>
      </c>
      <c r="P3604" s="14">
        <f>F3604*G3604</f>
        <v/>
      </c>
      <c r="Q3604" s="14">
        <f>J3604*G3604</f>
        <v/>
      </c>
      <c r="R3604" s="14">
        <f>K3604-Q3604</f>
        <v/>
      </c>
      <c r="S3604" s="3">
        <f>P3604*Assumptions!$B$3/100</f>
        <v/>
      </c>
      <c r="T3604" s="14">
        <f>R3604-S3604</f>
        <v/>
      </c>
      <c r="U3604" s="14">
        <f>L3604*G3604</f>
        <v/>
      </c>
    </row>
    <row r="3605">
      <c r="A3605" s="12" t="inlineStr">
        <is>
          <t>PO-2023-3603</t>
        </is>
      </c>
      <c r="B3605" s="26" t="n">
        <v>44402</v>
      </c>
      <c r="C3605" s="12" t="inlineStr">
        <is>
          <t>VS33</t>
        </is>
      </c>
      <c r="D3605" s="12" t="inlineStr">
        <is>
          <t>MS Rods</t>
        </is>
      </c>
      <c r="E3605" s="12" t="inlineStr">
        <is>
          <t>N</t>
        </is>
      </c>
      <c r="F3605" s="12" t="n">
        <v>3.59</v>
      </c>
      <c r="G3605" s="17" t="n">
        <v>49384.06</v>
      </c>
      <c r="H3605" s="26" t="n">
        <v>44407</v>
      </c>
      <c r="I3605" s="26" t="n">
        <v>44410</v>
      </c>
      <c r="J3605" s="12" t="n">
        <v>3.56</v>
      </c>
      <c r="K3605" s="17" t="n">
        <v>177288.78</v>
      </c>
      <c r="L3605" s="12" t="n">
        <v>0</v>
      </c>
      <c r="M3605" s="12" t="n">
        <v>13</v>
      </c>
      <c r="N3605" s="27">
        <f>F3605-J3605</f>
        <v/>
      </c>
      <c r="O3605" s="16">
        <f>I3605-H3605</f>
        <v/>
      </c>
      <c r="P3605" s="14">
        <f>F3605*G3605</f>
        <v/>
      </c>
      <c r="Q3605" s="14">
        <f>J3605*G3605</f>
        <v/>
      </c>
      <c r="R3605" s="14">
        <f>K3605-Q3605</f>
        <v/>
      </c>
      <c r="S3605" s="3">
        <f>P3605*Assumptions!$B$3/100</f>
        <v/>
      </c>
      <c r="T3605" s="14">
        <f>R3605-S3605</f>
        <v/>
      </c>
      <c r="U3605" s="14">
        <f>L3605*G3605</f>
        <v/>
      </c>
    </row>
    <row r="3606">
      <c r="A3606" s="12" t="inlineStr">
        <is>
          <t>PO-2023-3604</t>
        </is>
      </c>
      <c r="B3606" s="26" t="n">
        <v>44324</v>
      </c>
      <c r="C3606" s="12" t="inlineStr">
        <is>
          <t>VS13</t>
        </is>
      </c>
      <c r="D3606" s="12" t="inlineStr">
        <is>
          <t>ERW Pipes</t>
        </is>
      </c>
      <c r="E3606" s="12" t="inlineStr">
        <is>
          <t>N</t>
        </is>
      </c>
      <c r="F3606" s="12" t="n">
        <v>30.14</v>
      </c>
      <c r="G3606" s="17" t="n">
        <v>86306.91</v>
      </c>
      <c r="H3606" s="26" t="n">
        <v>44336</v>
      </c>
      <c r="I3606" s="26" t="n">
        <v>44339</v>
      </c>
      <c r="J3606" s="12" t="n">
        <v>29.88</v>
      </c>
      <c r="K3606" s="17" t="n">
        <v>2601290.27</v>
      </c>
      <c r="L3606" s="12" t="n">
        <v>0</v>
      </c>
      <c r="M3606" s="12" t="n">
        <v>6</v>
      </c>
      <c r="N3606" s="27">
        <f>F3606-J3606</f>
        <v/>
      </c>
      <c r="O3606" s="16">
        <f>I3606-H3606</f>
        <v/>
      </c>
      <c r="P3606" s="14">
        <f>F3606*G3606</f>
        <v/>
      </c>
      <c r="Q3606" s="14">
        <f>J3606*G3606</f>
        <v/>
      </c>
      <c r="R3606" s="14">
        <f>K3606-Q3606</f>
        <v/>
      </c>
      <c r="S3606" s="3">
        <f>P3606*Assumptions!$B$3/100</f>
        <v/>
      </c>
      <c r="T3606" s="14">
        <f>R3606-S3606</f>
        <v/>
      </c>
      <c r="U3606" s="14">
        <f>L3606*G3606</f>
        <v/>
      </c>
    </row>
    <row r="3607">
      <c r="A3607" s="12" t="inlineStr">
        <is>
          <t>PO-2023-3605</t>
        </is>
      </c>
      <c r="B3607" s="26" t="n">
        <v>44298</v>
      </c>
      <c r="C3607" s="12" t="inlineStr">
        <is>
          <t>VS06</t>
        </is>
      </c>
      <c r="D3607" s="12" t="inlineStr">
        <is>
          <t>SS Pipes</t>
        </is>
      </c>
      <c r="E3607" s="12" t="inlineStr">
        <is>
          <t>N</t>
        </is>
      </c>
      <c r="F3607" s="12" t="n">
        <v>40.57</v>
      </c>
      <c r="G3607" s="17" t="n">
        <v>47432.53</v>
      </c>
      <c r="H3607" s="26" t="n">
        <v>44301</v>
      </c>
      <c r="I3607" s="26" t="n">
        <v>44303</v>
      </c>
      <c r="J3607" s="12" t="n">
        <v>40.24</v>
      </c>
      <c r="K3607" s="17" t="n">
        <v>1924337.74</v>
      </c>
      <c r="L3607" s="12" t="n">
        <v>0</v>
      </c>
      <c r="M3607" s="12" t="n">
        <v>0</v>
      </c>
      <c r="N3607" s="27">
        <f>F3607-J3607</f>
        <v/>
      </c>
      <c r="O3607" s="16">
        <f>I3607-H3607</f>
        <v/>
      </c>
      <c r="P3607" s="14">
        <f>F3607*G3607</f>
        <v/>
      </c>
      <c r="Q3607" s="14">
        <f>J3607*G3607</f>
        <v/>
      </c>
      <c r="R3607" s="14">
        <f>K3607-Q3607</f>
        <v/>
      </c>
      <c r="S3607" s="3">
        <f>P3607*Assumptions!$B$3/100</f>
        <v/>
      </c>
      <c r="T3607" s="14">
        <f>R3607-S3607</f>
        <v/>
      </c>
      <c r="U3607" s="14">
        <f>L3607*G3607</f>
        <v/>
      </c>
    </row>
    <row r="3608">
      <c r="A3608" s="12" t="inlineStr">
        <is>
          <t>PO-2023-3606</t>
        </is>
      </c>
      <c r="B3608" s="26" t="n">
        <v>44626</v>
      </c>
      <c r="C3608" s="12" t="inlineStr">
        <is>
          <t>VS20</t>
        </is>
      </c>
      <c r="D3608" s="12" t="inlineStr">
        <is>
          <t>Structural Steel</t>
        </is>
      </c>
      <c r="E3608" s="12" t="inlineStr">
        <is>
          <t>N</t>
        </is>
      </c>
      <c r="F3608" s="12" t="n">
        <v>40.85</v>
      </c>
      <c r="G3608" s="17" t="n">
        <v>63052.64</v>
      </c>
      <c r="H3608" s="26" t="n">
        <v>44641</v>
      </c>
      <c r="I3608" s="26" t="n">
        <v>44642</v>
      </c>
      <c r="J3608" s="12" t="n">
        <v>40.79</v>
      </c>
      <c r="K3608" s="17" t="n">
        <v>2575700.34</v>
      </c>
      <c r="L3608" s="12" t="n">
        <v>0</v>
      </c>
      <c r="M3608" s="12" t="n">
        <v>17</v>
      </c>
      <c r="N3608" s="27">
        <f>F3608-J3608</f>
        <v/>
      </c>
      <c r="O3608" s="16">
        <f>I3608-H3608</f>
        <v/>
      </c>
      <c r="P3608" s="14">
        <f>F3608*G3608</f>
        <v/>
      </c>
      <c r="Q3608" s="14">
        <f>J3608*G3608</f>
        <v/>
      </c>
      <c r="R3608" s="14">
        <f>K3608-Q3608</f>
        <v/>
      </c>
      <c r="S3608" s="3">
        <f>P3608*Assumptions!$B$3/100</f>
        <v/>
      </c>
      <c r="T3608" s="14">
        <f>R3608-S3608</f>
        <v/>
      </c>
      <c r="U3608" s="14">
        <f>L3608*G3608</f>
        <v/>
      </c>
    </row>
    <row r="3609">
      <c r="A3609" s="12" t="inlineStr">
        <is>
          <t>PO-2023-3607</t>
        </is>
      </c>
      <c r="B3609" s="26" t="n">
        <v>45213</v>
      </c>
      <c r="C3609" s="12" t="inlineStr">
        <is>
          <t>VS07</t>
        </is>
      </c>
      <c r="D3609" s="12" t="inlineStr">
        <is>
          <t>Fasteners &amp; Fittings</t>
        </is>
      </c>
      <c r="E3609" s="12" t="inlineStr">
        <is>
          <t>Y</t>
        </is>
      </c>
      <c r="F3609" s="12" t="n">
        <v>38.33</v>
      </c>
      <c r="G3609" s="17" t="n">
        <v>86608.19</v>
      </c>
      <c r="H3609" s="26" t="n">
        <v>45216</v>
      </c>
      <c r="I3609" s="26" t="n">
        <v>45219</v>
      </c>
      <c r="J3609" s="12" t="n">
        <v>38.33</v>
      </c>
      <c r="K3609" s="17" t="n">
        <v>3319691.92</v>
      </c>
      <c r="L3609" s="12" t="n">
        <v>0</v>
      </c>
      <c r="M3609" s="12" t="n">
        <v>0</v>
      </c>
      <c r="N3609" s="27">
        <f>F3609-J3609</f>
        <v/>
      </c>
      <c r="O3609" s="16">
        <f>I3609-H3609</f>
        <v/>
      </c>
      <c r="P3609" s="14">
        <f>F3609*G3609</f>
        <v/>
      </c>
      <c r="Q3609" s="14">
        <f>J3609*G3609</f>
        <v/>
      </c>
      <c r="R3609" s="14">
        <f>K3609-Q3609</f>
        <v/>
      </c>
      <c r="S3609" s="3">
        <f>P3609*Assumptions!$B$3/100</f>
        <v/>
      </c>
      <c r="T3609" s="14">
        <f>R3609-S3609</f>
        <v/>
      </c>
      <c r="U3609" s="14">
        <f>L3609*G3609</f>
        <v/>
      </c>
    </row>
    <row r="3610">
      <c r="A3610" s="12" t="inlineStr">
        <is>
          <t>PO-2023-3608</t>
        </is>
      </c>
      <c r="B3610" s="26" t="n">
        <v>44411</v>
      </c>
      <c r="C3610" s="12" t="inlineStr">
        <is>
          <t>VS25</t>
        </is>
      </c>
      <c r="D3610" s="12" t="inlineStr">
        <is>
          <t>Square/Rect Tubes</t>
        </is>
      </c>
      <c r="E3610" s="12" t="inlineStr">
        <is>
          <t>N</t>
        </is>
      </c>
      <c r="F3610" s="12" t="n">
        <v>38.27</v>
      </c>
      <c r="G3610" s="17" t="n">
        <v>115493.01</v>
      </c>
      <c r="H3610" s="26" t="n">
        <v>44424</v>
      </c>
      <c r="I3610" s="26" t="n">
        <v>44427</v>
      </c>
      <c r="J3610" s="12" t="n">
        <v>38.03</v>
      </c>
      <c r="K3610" s="17" t="n">
        <v>4419917.49</v>
      </c>
      <c r="L3610" s="12" t="n">
        <v>0</v>
      </c>
      <c r="M3610" s="12" t="n">
        <v>0</v>
      </c>
      <c r="N3610" s="27">
        <f>F3610-J3610</f>
        <v/>
      </c>
      <c r="O3610" s="16">
        <f>I3610-H3610</f>
        <v/>
      </c>
      <c r="P3610" s="14">
        <f>F3610*G3610</f>
        <v/>
      </c>
      <c r="Q3610" s="14">
        <f>J3610*G3610</f>
        <v/>
      </c>
      <c r="R3610" s="14">
        <f>K3610-Q3610</f>
        <v/>
      </c>
      <c r="S3610" s="3">
        <f>P3610*Assumptions!$B$3/100</f>
        <v/>
      </c>
      <c r="T3610" s="14">
        <f>R3610-S3610</f>
        <v/>
      </c>
      <c r="U3610" s="14">
        <f>L3610*G3610</f>
        <v/>
      </c>
    </row>
    <row r="3611">
      <c r="A3611" s="12" t="inlineStr">
        <is>
          <t>PO-2023-3609</t>
        </is>
      </c>
      <c r="B3611" s="26" t="n">
        <v>44301</v>
      </c>
      <c r="C3611" s="12" t="inlineStr">
        <is>
          <t>VS33</t>
        </is>
      </c>
      <c r="D3611" s="12" t="inlineStr">
        <is>
          <t>CR Sheets</t>
        </is>
      </c>
      <c r="E3611" s="12" t="inlineStr">
        <is>
          <t>N</t>
        </is>
      </c>
      <c r="F3611" s="12" t="n">
        <v>5.83</v>
      </c>
      <c r="G3611" s="17" t="n">
        <v>93601.06</v>
      </c>
      <c r="H3611" s="26" t="n">
        <v>44314</v>
      </c>
      <c r="I3611" s="26" t="n">
        <v>44315</v>
      </c>
      <c r="J3611" s="12" t="n">
        <v>5.8</v>
      </c>
      <c r="K3611" s="17" t="n">
        <v>545694.1800000001</v>
      </c>
      <c r="L3611" s="12" t="n">
        <v>0</v>
      </c>
      <c r="M3611" s="12" t="n">
        <v>0</v>
      </c>
      <c r="N3611" s="27">
        <f>F3611-J3611</f>
        <v/>
      </c>
      <c r="O3611" s="16">
        <f>I3611-H3611</f>
        <v/>
      </c>
      <c r="P3611" s="14">
        <f>F3611*G3611</f>
        <v/>
      </c>
      <c r="Q3611" s="14">
        <f>J3611*G3611</f>
        <v/>
      </c>
      <c r="R3611" s="14">
        <f>K3611-Q3611</f>
        <v/>
      </c>
      <c r="S3611" s="3">
        <f>P3611*Assumptions!$B$3/100</f>
        <v/>
      </c>
      <c r="T3611" s="14">
        <f>R3611-S3611</f>
        <v/>
      </c>
      <c r="U3611" s="14">
        <f>L3611*G3611</f>
        <v/>
      </c>
    </row>
    <row r="3612">
      <c r="A3612" s="12" t="inlineStr">
        <is>
          <t>PO-2023-3610</t>
        </is>
      </c>
      <c r="B3612" s="26" t="n">
        <v>45152</v>
      </c>
      <c r="C3612" s="12" t="inlineStr">
        <is>
          <t>VS34</t>
        </is>
      </c>
      <c r="D3612" s="12" t="inlineStr">
        <is>
          <t>MS Flats</t>
        </is>
      </c>
      <c r="E3612" s="12" t="inlineStr">
        <is>
          <t>N</t>
        </is>
      </c>
      <c r="F3612" s="12" t="n">
        <v>43.5</v>
      </c>
      <c r="G3612" s="17" t="n">
        <v>114094.84</v>
      </c>
      <c r="H3612" s="26" t="n">
        <v>45165</v>
      </c>
      <c r="I3612" s="26" t="n">
        <v>45167</v>
      </c>
      <c r="J3612" s="12" t="n">
        <v>43.42</v>
      </c>
      <c r="K3612" s="17" t="n">
        <v>4963125.54</v>
      </c>
      <c r="L3612" s="12" t="n">
        <v>0</v>
      </c>
      <c r="M3612" s="12" t="n">
        <v>8</v>
      </c>
      <c r="N3612" s="27">
        <f>F3612-J3612</f>
        <v/>
      </c>
      <c r="O3612" s="16">
        <f>I3612-H3612</f>
        <v/>
      </c>
      <c r="P3612" s="14">
        <f>F3612*G3612</f>
        <v/>
      </c>
      <c r="Q3612" s="14">
        <f>J3612*G3612</f>
        <v/>
      </c>
      <c r="R3612" s="14">
        <f>K3612-Q3612</f>
        <v/>
      </c>
      <c r="S3612" s="3">
        <f>P3612*Assumptions!$B$3/100</f>
        <v/>
      </c>
      <c r="T3612" s="14">
        <f>R3612-S3612</f>
        <v/>
      </c>
      <c r="U3612" s="14">
        <f>L3612*G3612</f>
        <v/>
      </c>
    </row>
    <row r="3613">
      <c r="A3613" s="12" t="inlineStr">
        <is>
          <t>PO-2023-3611</t>
        </is>
      </c>
      <c r="B3613" s="26" t="n">
        <v>44443</v>
      </c>
      <c r="C3613" s="12" t="inlineStr">
        <is>
          <t>VS05</t>
        </is>
      </c>
      <c r="D3613" s="12" t="inlineStr">
        <is>
          <t>GI Sheets</t>
        </is>
      </c>
      <c r="E3613" s="12" t="inlineStr">
        <is>
          <t>N</t>
        </is>
      </c>
      <c r="F3613" s="12" t="n">
        <v>47.95</v>
      </c>
      <c r="G3613" s="17" t="n">
        <v>70554.46000000001</v>
      </c>
      <c r="H3613" s="26" t="n">
        <v>44451</v>
      </c>
      <c r="I3613" s="26" t="n">
        <v>44454</v>
      </c>
      <c r="J3613" s="12" t="n">
        <v>47.59</v>
      </c>
      <c r="K3613" s="17" t="n">
        <v>3383086.36</v>
      </c>
      <c r="L3613" s="12" t="n">
        <v>0</v>
      </c>
      <c r="M3613" s="12" t="n">
        <v>22</v>
      </c>
      <c r="N3613" s="27">
        <f>F3613-J3613</f>
        <v/>
      </c>
      <c r="O3613" s="16">
        <f>I3613-H3613</f>
        <v/>
      </c>
      <c r="P3613" s="14">
        <f>F3613*G3613</f>
        <v/>
      </c>
      <c r="Q3613" s="14">
        <f>J3613*G3613</f>
        <v/>
      </c>
      <c r="R3613" s="14">
        <f>K3613-Q3613</f>
        <v/>
      </c>
      <c r="S3613" s="3">
        <f>P3613*Assumptions!$B$3/100</f>
        <v/>
      </c>
      <c r="T3613" s="14">
        <f>R3613-S3613</f>
        <v/>
      </c>
      <c r="U3613" s="14">
        <f>L3613*G3613</f>
        <v/>
      </c>
    </row>
    <row r="3614">
      <c r="A3614" s="12" t="inlineStr">
        <is>
          <t>PO-2023-3612</t>
        </is>
      </c>
      <c r="B3614" s="26" t="n">
        <v>45282</v>
      </c>
      <c r="C3614" s="12" t="inlineStr">
        <is>
          <t>VS11</t>
        </is>
      </c>
      <c r="D3614" s="12" t="inlineStr">
        <is>
          <t>ERW Pipes</t>
        </is>
      </c>
      <c r="E3614" s="12" t="inlineStr">
        <is>
          <t>N</t>
        </is>
      </c>
      <c r="F3614" s="12" t="n">
        <v>2.11</v>
      </c>
      <c r="G3614" s="17" t="n">
        <v>114196.8</v>
      </c>
      <c r="H3614" s="26" t="n">
        <v>45293</v>
      </c>
      <c r="I3614" s="26" t="n">
        <v>45296</v>
      </c>
      <c r="J3614" s="12" t="n">
        <v>2.09</v>
      </c>
      <c r="K3614" s="17" t="n">
        <v>240955.25</v>
      </c>
      <c r="L3614" s="12" t="n">
        <v>0</v>
      </c>
      <c r="M3614" s="12" t="n">
        <v>1</v>
      </c>
      <c r="N3614" s="27">
        <f>F3614-J3614</f>
        <v/>
      </c>
      <c r="O3614" s="16">
        <f>I3614-H3614</f>
        <v/>
      </c>
      <c r="P3614" s="14">
        <f>F3614*G3614</f>
        <v/>
      </c>
      <c r="Q3614" s="14">
        <f>J3614*G3614</f>
        <v/>
      </c>
      <c r="R3614" s="14">
        <f>K3614-Q3614</f>
        <v/>
      </c>
      <c r="S3614" s="3">
        <f>P3614*Assumptions!$B$3/100</f>
        <v/>
      </c>
      <c r="T3614" s="14">
        <f>R3614-S3614</f>
        <v/>
      </c>
      <c r="U3614" s="14">
        <f>L3614*G3614</f>
        <v/>
      </c>
    </row>
    <row r="3615">
      <c r="A3615" s="12" t="inlineStr">
        <is>
          <t>PO-2023-3613</t>
        </is>
      </c>
      <c r="B3615" s="26" t="n">
        <v>45279</v>
      </c>
      <c r="C3615" s="12" t="inlineStr">
        <is>
          <t>VS29</t>
        </is>
      </c>
      <c r="D3615" s="12" t="inlineStr">
        <is>
          <t>Hex Bars</t>
        </is>
      </c>
      <c r="E3615" s="12" t="inlineStr">
        <is>
          <t>N</t>
        </is>
      </c>
      <c r="F3615" s="12" t="n">
        <v>37.49</v>
      </c>
      <c r="G3615" s="17" t="n">
        <v>80375.53999999999</v>
      </c>
      <c r="H3615" s="26" t="n">
        <v>45294</v>
      </c>
      <c r="I3615" s="26" t="n">
        <v>45294</v>
      </c>
      <c r="J3615" s="12" t="n">
        <v>37.37</v>
      </c>
      <c r="K3615" s="17" t="n">
        <v>3013278.99</v>
      </c>
      <c r="L3615" s="12" t="n">
        <v>0</v>
      </c>
      <c r="M3615" s="12" t="n">
        <v>0</v>
      </c>
      <c r="N3615" s="27">
        <f>F3615-J3615</f>
        <v/>
      </c>
      <c r="O3615" s="16">
        <f>I3615-H3615</f>
        <v/>
      </c>
      <c r="P3615" s="14">
        <f>F3615*G3615</f>
        <v/>
      </c>
      <c r="Q3615" s="14">
        <f>J3615*G3615</f>
        <v/>
      </c>
      <c r="R3615" s="14">
        <f>K3615-Q3615</f>
        <v/>
      </c>
      <c r="S3615" s="3">
        <f>P3615*Assumptions!$B$3/100</f>
        <v/>
      </c>
      <c r="T3615" s="14">
        <f>R3615-S3615</f>
        <v/>
      </c>
      <c r="U3615" s="14">
        <f>L3615*G3615</f>
        <v/>
      </c>
    </row>
    <row r="3616">
      <c r="A3616" s="12" t="inlineStr">
        <is>
          <t>PO-2023-3614</t>
        </is>
      </c>
      <c r="B3616" s="26" t="n">
        <v>45155</v>
      </c>
      <c r="C3616" s="12" t="inlineStr">
        <is>
          <t>VS04</t>
        </is>
      </c>
      <c r="D3616" s="12" t="inlineStr">
        <is>
          <t>HR Coils</t>
        </is>
      </c>
      <c r="E3616" s="12" t="inlineStr">
        <is>
          <t>Y</t>
        </is>
      </c>
      <c r="F3616" s="12" t="n">
        <v>23.93</v>
      </c>
      <c r="G3616" s="17" t="n">
        <v>115912.01</v>
      </c>
      <c r="H3616" s="26" t="n">
        <v>45159</v>
      </c>
      <c r="I3616" s="26" t="n">
        <v>45160</v>
      </c>
      <c r="J3616" s="12" t="n">
        <v>23.83</v>
      </c>
      <c r="K3616" s="17" t="n">
        <v>2773774.4</v>
      </c>
      <c r="L3616" s="12" t="n">
        <v>0</v>
      </c>
      <c r="M3616" s="12" t="n">
        <v>3</v>
      </c>
      <c r="N3616" s="27">
        <f>F3616-J3616</f>
        <v/>
      </c>
      <c r="O3616" s="16">
        <f>I3616-H3616</f>
        <v/>
      </c>
      <c r="P3616" s="14">
        <f>F3616*G3616</f>
        <v/>
      </c>
      <c r="Q3616" s="14">
        <f>J3616*G3616</f>
        <v/>
      </c>
      <c r="R3616" s="14">
        <f>K3616-Q3616</f>
        <v/>
      </c>
      <c r="S3616" s="3">
        <f>P3616*Assumptions!$B$3/100</f>
        <v/>
      </c>
      <c r="T3616" s="14">
        <f>R3616-S3616</f>
        <v/>
      </c>
      <c r="U3616" s="14">
        <f>L3616*G3616</f>
        <v/>
      </c>
    </row>
    <row r="3617">
      <c r="A3617" s="12" t="inlineStr">
        <is>
          <t>PO-2023-3615</t>
        </is>
      </c>
      <c r="B3617" s="26" t="n">
        <v>45070</v>
      </c>
      <c r="C3617" s="12" t="inlineStr">
        <is>
          <t>VS02</t>
        </is>
      </c>
      <c r="D3617" s="12" t="inlineStr">
        <is>
          <t>Spring Steel</t>
        </is>
      </c>
      <c r="E3617" s="12" t="inlineStr">
        <is>
          <t>Y</t>
        </is>
      </c>
      <c r="F3617" s="12" t="n">
        <v>34.82</v>
      </c>
      <c r="G3617" s="17" t="n">
        <v>53330.11</v>
      </c>
      <c r="H3617" s="26" t="n">
        <v>45082</v>
      </c>
      <c r="I3617" s="26" t="n">
        <v>45082</v>
      </c>
      <c r="J3617" s="12" t="n">
        <v>34.65</v>
      </c>
      <c r="K3617" s="17" t="n">
        <v>1856954.43</v>
      </c>
      <c r="L3617" s="12" t="n">
        <v>0</v>
      </c>
      <c r="M3617" s="12" t="n">
        <v>22</v>
      </c>
      <c r="N3617" s="27">
        <f>F3617-J3617</f>
        <v/>
      </c>
      <c r="O3617" s="16">
        <f>I3617-H3617</f>
        <v/>
      </c>
      <c r="P3617" s="14">
        <f>F3617*G3617</f>
        <v/>
      </c>
      <c r="Q3617" s="14">
        <f>J3617*G3617</f>
        <v/>
      </c>
      <c r="R3617" s="14">
        <f>K3617-Q3617</f>
        <v/>
      </c>
      <c r="S3617" s="3">
        <f>P3617*Assumptions!$B$3/100</f>
        <v/>
      </c>
      <c r="T3617" s="14">
        <f>R3617-S3617</f>
        <v/>
      </c>
      <c r="U3617" s="14">
        <f>L3617*G3617</f>
        <v/>
      </c>
    </row>
    <row r="3618">
      <c r="A3618" s="12" t="inlineStr">
        <is>
          <t>PO-2023-3616</t>
        </is>
      </c>
      <c r="B3618" s="26" t="n">
        <v>45159</v>
      </c>
      <c r="C3618" s="12" t="inlineStr">
        <is>
          <t>VS10</t>
        </is>
      </c>
      <c r="D3618" s="12" t="inlineStr">
        <is>
          <t>Square/Rect Tubes</t>
        </is>
      </c>
      <c r="E3618" s="12" t="inlineStr">
        <is>
          <t>N</t>
        </is>
      </c>
      <c r="F3618" s="12" t="n">
        <v>44.79</v>
      </c>
      <c r="G3618" s="17" t="n">
        <v>95763.46000000001</v>
      </c>
      <c r="H3618" s="26" t="n">
        <v>45174</v>
      </c>
      <c r="I3618" s="26" t="n">
        <v>45176</v>
      </c>
      <c r="J3618" s="12" t="n">
        <v>44.63</v>
      </c>
      <c r="K3618" s="17" t="n">
        <v>4289245.37</v>
      </c>
      <c r="L3618" s="12" t="n">
        <v>0</v>
      </c>
      <c r="M3618" s="12" t="n">
        <v>0</v>
      </c>
      <c r="N3618" s="27">
        <f>F3618-J3618</f>
        <v/>
      </c>
      <c r="O3618" s="16">
        <f>I3618-H3618</f>
        <v/>
      </c>
      <c r="P3618" s="14">
        <f>F3618*G3618</f>
        <v/>
      </c>
      <c r="Q3618" s="14">
        <f>J3618*G3618</f>
        <v/>
      </c>
      <c r="R3618" s="14">
        <f>K3618-Q3618</f>
        <v/>
      </c>
      <c r="S3618" s="3">
        <f>P3618*Assumptions!$B$3/100</f>
        <v/>
      </c>
      <c r="T3618" s="14">
        <f>R3618-S3618</f>
        <v/>
      </c>
      <c r="U3618" s="14">
        <f>L3618*G3618</f>
        <v/>
      </c>
    </row>
    <row r="3619">
      <c r="A3619" s="12" t="inlineStr">
        <is>
          <t>PO-2023-3617</t>
        </is>
      </c>
      <c r="B3619" s="26" t="n">
        <v>44983</v>
      </c>
      <c r="C3619" s="12" t="inlineStr">
        <is>
          <t>VS17</t>
        </is>
      </c>
      <c r="D3619" s="12" t="inlineStr">
        <is>
          <t>Structural Steel</t>
        </is>
      </c>
      <c r="E3619" s="12" t="inlineStr">
        <is>
          <t>N</t>
        </is>
      </c>
      <c r="F3619" s="12" t="n">
        <v>25.03</v>
      </c>
      <c r="G3619" s="17" t="n">
        <v>54046.08</v>
      </c>
      <c r="H3619" s="26" t="n">
        <v>44989</v>
      </c>
      <c r="I3619" s="26" t="n">
        <v>44990</v>
      </c>
      <c r="J3619" s="12" t="n">
        <v>24.95</v>
      </c>
      <c r="K3619" s="17" t="n">
        <v>1352773.38</v>
      </c>
      <c r="L3619" s="12" t="n">
        <v>0</v>
      </c>
      <c r="M3619" s="12" t="n">
        <v>0</v>
      </c>
      <c r="N3619" s="27">
        <f>F3619-J3619</f>
        <v/>
      </c>
      <c r="O3619" s="16">
        <f>I3619-H3619</f>
        <v/>
      </c>
      <c r="P3619" s="14">
        <f>F3619*G3619</f>
        <v/>
      </c>
      <c r="Q3619" s="14">
        <f>J3619*G3619</f>
        <v/>
      </c>
      <c r="R3619" s="14">
        <f>K3619-Q3619</f>
        <v/>
      </c>
      <c r="S3619" s="3">
        <f>P3619*Assumptions!$B$3/100</f>
        <v/>
      </c>
      <c r="T3619" s="14">
        <f>R3619-S3619</f>
        <v/>
      </c>
      <c r="U3619" s="14">
        <f>L3619*G3619</f>
        <v/>
      </c>
    </row>
    <row r="3620">
      <c r="A3620" s="12" t="inlineStr">
        <is>
          <t>PO-2023-3618</t>
        </is>
      </c>
      <c r="B3620" s="26" t="n">
        <v>45190</v>
      </c>
      <c r="C3620" s="12" t="inlineStr">
        <is>
          <t>VS22</t>
        </is>
      </c>
      <c r="D3620" s="12" t="inlineStr">
        <is>
          <t>HR Coils</t>
        </is>
      </c>
      <c r="E3620" s="12" t="inlineStr">
        <is>
          <t>N</t>
        </is>
      </c>
      <c r="F3620" s="12" t="n">
        <v>2.98</v>
      </c>
      <c r="G3620" s="17" t="n">
        <v>110873</v>
      </c>
      <c r="H3620" s="26" t="n">
        <v>45201</v>
      </c>
      <c r="I3620" s="26" t="n">
        <v>45203</v>
      </c>
      <c r="J3620" s="12" t="n">
        <v>2.97</v>
      </c>
      <c r="K3620" s="17" t="n">
        <v>330401.54</v>
      </c>
      <c r="L3620" s="12" t="n">
        <v>0</v>
      </c>
      <c r="M3620" s="12" t="n">
        <v>0</v>
      </c>
      <c r="N3620" s="27">
        <f>F3620-J3620</f>
        <v/>
      </c>
      <c r="O3620" s="16">
        <f>I3620-H3620</f>
        <v/>
      </c>
      <c r="P3620" s="14">
        <f>F3620*G3620</f>
        <v/>
      </c>
      <c r="Q3620" s="14">
        <f>J3620*G3620</f>
        <v/>
      </c>
      <c r="R3620" s="14">
        <f>K3620-Q3620</f>
        <v/>
      </c>
      <c r="S3620" s="3">
        <f>P3620*Assumptions!$B$3/100</f>
        <v/>
      </c>
      <c r="T3620" s="14">
        <f>R3620-S3620</f>
        <v/>
      </c>
      <c r="U3620" s="14">
        <f>L3620*G3620</f>
        <v/>
      </c>
    </row>
    <row r="3621">
      <c r="A3621" s="12" t="inlineStr">
        <is>
          <t>PO-2023-3619</t>
        </is>
      </c>
      <c r="B3621" s="26" t="n">
        <v>44414</v>
      </c>
      <c r="C3621" s="12" t="inlineStr">
        <is>
          <t>VS01</t>
        </is>
      </c>
      <c r="D3621" s="12" t="inlineStr">
        <is>
          <t>MS Sheets</t>
        </is>
      </c>
      <c r="E3621" s="12" t="inlineStr">
        <is>
          <t>N</t>
        </is>
      </c>
      <c r="F3621" s="12" t="n">
        <v>40.12</v>
      </c>
      <c r="G3621" s="17" t="n">
        <v>86027.24000000001</v>
      </c>
      <c r="H3621" s="26" t="n">
        <v>44427</v>
      </c>
      <c r="I3621" s="26" t="n">
        <v>44427</v>
      </c>
      <c r="J3621" s="12" t="n">
        <v>39.96</v>
      </c>
      <c r="K3621" s="17" t="n">
        <v>3451412.87</v>
      </c>
      <c r="L3621" s="12" t="n">
        <v>0</v>
      </c>
      <c r="M3621" s="12" t="n">
        <v>0</v>
      </c>
      <c r="N3621" s="27">
        <f>F3621-J3621</f>
        <v/>
      </c>
      <c r="O3621" s="16">
        <f>I3621-H3621</f>
        <v/>
      </c>
      <c r="P3621" s="14">
        <f>F3621*G3621</f>
        <v/>
      </c>
      <c r="Q3621" s="14">
        <f>J3621*G3621</f>
        <v/>
      </c>
      <c r="R3621" s="14">
        <f>K3621-Q3621</f>
        <v/>
      </c>
      <c r="S3621" s="3">
        <f>P3621*Assumptions!$B$3/100</f>
        <v/>
      </c>
      <c r="T3621" s="14">
        <f>R3621-S3621</f>
        <v/>
      </c>
      <c r="U3621" s="14">
        <f>L3621*G3621</f>
        <v/>
      </c>
    </row>
    <row r="3622">
      <c r="A3622" s="12" t="inlineStr">
        <is>
          <t>PO-2023-3620</t>
        </is>
      </c>
      <c r="B3622" s="26" t="n">
        <v>44947</v>
      </c>
      <c r="C3622" s="12" t="inlineStr">
        <is>
          <t>VS23</t>
        </is>
      </c>
      <c r="D3622" s="12" t="inlineStr">
        <is>
          <t>Fasteners &amp; Fittings</t>
        </is>
      </c>
      <c r="E3622" s="12" t="inlineStr">
        <is>
          <t>N</t>
        </is>
      </c>
      <c r="F3622" s="12" t="n">
        <v>43.49</v>
      </c>
      <c r="G3622" s="17" t="n">
        <v>82537.60000000001</v>
      </c>
      <c r="H3622" s="26" t="n">
        <v>44950</v>
      </c>
      <c r="I3622" s="26" t="n">
        <v>44953</v>
      </c>
      <c r="J3622" s="12" t="n">
        <v>43.32</v>
      </c>
      <c r="K3622" s="17" t="n">
        <v>3589560.22</v>
      </c>
      <c r="L3622" s="12" t="n">
        <v>0</v>
      </c>
      <c r="M3622" s="12" t="n">
        <v>21</v>
      </c>
      <c r="N3622" s="27">
        <f>F3622-J3622</f>
        <v/>
      </c>
      <c r="O3622" s="16">
        <f>I3622-H3622</f>
        <v/>
      </c>
      <c r="P3622" s="14">
        <f>F3622*G3622</f>
        <v/>
      </c>
      <c r="Q3622" s="14">
        <f>J3622*G3622</f>
        <v/>
      </c>
      <c r="R3622" s="14">
        <f>K3622-Q3622</f>
        <v/>
      </c>
      <c r="S3622" s="3">
        <f>P3622*Assumptions!$B$3/100</f>
        <v/>
      </c>
      <c r="T3622" s="14">
        <f>R3622-S3622</f>
        <v/>
      </c>
      <c r="U3622" s="14">
        <f>L3622*G3622</f>
        <v/>
      </c>
    </row>
    <row r="3623">
      <c r="A3623" s="12" t="inlineStr">
        <is>
          <t>PO-2023-3621</t>
        </is>
      </c>
      <c r="B3623" s="26" t="n">
        <v>44544</v>
      </c>
      <c r="C3623" s="12" t="inlineStr">
        <is>
          <t>VS17</t>
        </is>
      </c>
      <c r="D3623" s="12" t="inlineStr">
        <is>
          <t>SS Sheets</t>
        </is>
      </c>
      <c r="E3623" s="12" t="inlineStr">
        <is>
          <t>N</t>
        </is>
      </c>
      <c r="F3623" s="12" t="n">
        <v>10.51</v>
      </c>
      <c r="G3623" s="17" t="n">
        <v>102602.43</v>
      </c>
      <c r="H3623" s="26" t="n">
        <v>44550</v>
      </c>
      <c r="I3623" s="26" t="n">
        <v>44553</v>
      </c>
      <c r="J3623" s="12" t="n">
        <v>10.47</v>
      </c>
      <c r="K3623" s="17" t="n">
        <v>1078351.54</v>
      </c>
      <c r="L3623" s="12" t="n">
        <v>0</v>
      </c>
      <c r="M3623" s="12" t="n">
        <v>0</v>
      </c>
      <c r="N3623" s="27">
        <f>F3623-J3623</f>
        <v/>
      </c>
      <c r="O3623" s="16">
        <f>I3623-H3623</f>
        <v/>
      </c>
      <c r="P3623" s="14">
        <f>F3623*G3623</f>
        <v/>
      </c>
      <c r="Q3623" s="14">
        <f>J3623*G3623</f>
        <v/>
      </c>
      <c r="R3623" s="14">
        <f>K3623-Q3623</f>
        <v/>
      </c>
      <c r="S3623" s="3">
        <f>P3623*Assumptions!$B$3/100</f>
        <v/>
      </c>
      <c r="T3623" s="14">
        <f>R3623-S3623</f>
        <v/>
      </c>
      <c r="U3623" s="14">
        <f>L3623*G3623</f>
        <v/>
      </c>
    </row>
    <row r="3624">
      <c r="A3624" s="12" t="inlineStr">
        <is>
          <t>PO-2023-3622</t>
        </is>
      </c>
      <c r="B3624" s="26" t="n">
        <v>45006</v>
      </c>
      <c r="C3624" s="12" t="inlineStr">
        <is>
          <t>VS12</t>
        </is>
      </c>
      <c r="D3624" s="12" t="inlineStr">
        <is>
          <t>MS Sheets</t>
        </is>
      </c>
      <c r="E3624" s="12" t="inlineStr">
        <is>
          <t>N</t>
        </is>
      </c>
      <c r="F3624" s="12" t="n">
        <v>48.54</v>
      </c>
      <c r="G3624" s="17" t="n">
        <v>56280.25</v>
      </c>
      <c r="H3624" s="26" t="n">
        <v>45018</v>
      </c>
      <c r="I3624" s="26" t="n">
        <v>45025</v>
      </c>
      <c r="J3624" s="12" t="n">
        <v>47.45</v>
      </c>
      <c r="K3624" s="17" t="n">
        <v>2731843.33</v>
      </c>
      <c r="L3624" s="12" t="n">
        <v>0.98</v>
      </c>
      <c r="M3624" s="12" t="n">
        <v>11</v>
      </c>
      <c r="N3624" s="27">
        <f>F3624-J3624</f>
        <v/>
      </c>
      <c r="O3624" s="16">
        <f>I3624-H3624</f>
        <v/>
      </c>
      <c r="P3624" s="14">
        <f>F3624*G3624</f>
        <v/>
      </c>
      <c r="Q3624" s="14">
        <f>J3624*G3624</f>
        <v/>
      </c>
      <c r="R3624" s="14">
        <f>K3624-Q3624</f>
        <v/>
      </c>
      <c r="S3624" s="3">
        <f>P3624*Assumptions!$B$3/100</f>
        <v/>
      </c>
      <c r="T3624" s="14">
        <f>R3624-S3624</f>
        <v/>
      </c>
      <c r="U3624" s="14">
        <f>L3624*G3624</f>
        <v/>
      </c>
    </row>
    <row r="3625">
      <c r="A3625" s="12" t="inlineStr">
        <is>
          <t>PO-2023-3623</t>
        </is>
      </c>
      <c r="B3625" s="26" t="n">
        <v>44274</v>
      </c>
      <c r="C3625" s="12" t="inlineStr">
        <is>
          <t>VS25</t>
        </is>
      </c>
      <c r="D3625" s="12" t="inlineStr">
        <is>
          <t>MS Rods</t>
        </is>
      </c>
      <c r="E3625" s="12" t="inlineStr">
        <is>
          <t>N</t>
        </is>
      </c>
      <c r="F3625" s="12" t="n">
        <v>28.02</v>
      </c>
      <c r="G3625" s="17" t="n">
        <v>108518.7</v>
      </c>
      <c r="H3625" s="26" t="n">
        <v>44281</v>
      </c>
      <c r="I3625" s="26" t="n">
        <v>44284</v>
      </c>
      <c r="J3625" s="12" t="n">
        <v>27.86</v>
      </c>
      <c r="K3625" s="17" t="n">
        <v>3040693.97</v>
      </c>
      <c r="L3625" s="12" t="n">
        <v>0</v>
      </c>
      <c r="M3625" s="12" t="n">
        <v>0</v>
      </c>
      <c r="N3625" s="27">
        <f>F3625-J3625</f>
        <v/>
      </c>
      <c r="O3625" s="16">
        <f>I3625-H3625</f>
        <v/>
      </c>
      <c r="P3625" s="14">
        <f>F3625*G3625</f>
        <v/>
      </c>
      <c r="Q3625" s="14">
        <f>J3625*G3625</f>
        <v/>
      </c>
      <c r="R3625" s="14">
        <f>K3625-Q3625</f>
        <v/>
      </c>
      <c r="S3625" s="3">
        <f>P3625*Assumptions!$B$3/100</f>
        <v/>
      </c>
      <c r="T3625" s="14">
        <f>R3625-S3625</f>
        <v/>
      </c>
      <c r="U3625" s="14">
        <f>L3625*G3625</f>
        <v/>
      </c>
    </row>
    <row r="3626">
      <c r="A3626" s="12" t="inlineStr">
        <is>
          <t>PO-2023-3624</t>
        </is>
      </c>
      <c r="B3626" s="26" t="n">
        <v>45012</v>
      </c>
      <c r="C3626" s="12" t="inlineStr">
        <is>
          <t>VS31</t>
        </is>
      </c>
      <c r="D3626" s="12" t="inlineStr">
        <is>
          <t>MS Pipes</t>
        </is>
      </c>
      <c r="E3626" s="12" t="inlineStr">
        <is>
          <t>N</t>
        </is>
      </c>
      <c r="F3626" s="12" t="n">
        <v>20.06</v>
      </c>
      <c r="G3626" s="17" t="n">
        <v>78186.3</v>
      </c>
      <c r="H3626" s="26" t="n">
        <v>45025</v>
      </c>
      <c r="I3626" s="26" t="n">
        <v>45026</v>
      </c>
      <c r="J3626" s="12" t="n">
        <v>19.91</v>
      </c>
      <c r="K3626" s="17" t="n">
        <v>1568417.18</v>
      </c>
      <c r="L3626" s="12" t="n">
        <v>0</v>
      </c>
      <c r="M3626" s="12" t="n">
        <v>5</v>
      </c>
      <c r="N3626" s="27">
        <f>F3626-J3626</f>
        <v/>
      </c>
      <c r="O3626" s="16">
        <f>I3626-H3626</f>
        <v/>
      </c>
      <c r="P3626" s="14">
        <f>F3626*G3626</f>
        <v/>
      </c>
      <c r="Q3626" s="14">
        <f>J3626*G3626</f>
        <v/>
      </c>
      <c r="R3626" s="14">
        <f>K3626-Q3626</f>
        <v/>
      </c>
      <c r="S3626" s="3">
        <f>P3626*Assumptions!$B$3/100</f>
        <v/>
      </c>
      <c r="T3626" s="14">
        <f>R3626-S3626</f>
        <v/>
      </c>
      <c r="U3626" s="14">
        <f>L3626*G3626</f>
        <v/>
      </c>
    </row>
    <row r="3627">
      <c r="A3627" s="12" t="inlineStr">
        <is>
          <t>PO-2023-3625</t>
        </is>
      </c>
      <c r="B3627" s="26" t="n">
        <v>44927</v>
      </c>
      <c r="C3627" s="12" t="inlineStr">
        <is>
          <t>VS05</t>
        </is>
      </c>
      <c r="D3627" s="12" t="inlineStr">
        <is>
          <t>GI Wire</t>
        </is>
      </c>
      <c r="E3627" s="12" t="inlineStr">
        <is>
          <t>Y</t>
        </is>
      </c>
      <c r="F3627" s="12" t="n">
        <v>31.37</v>
      </c>
      <c r="G3627" s="17" t="n">
        <v>53879.56</v>
      </c>
      <c r="H3627" s="26" t="n">
        <v>44939</v>
      </c>
      <c r="I3627" s="26" t="n">
        <v>44940</v>
      </c>
      <c r="J3627" s="12" t="n">
        <v>31.08</v>
      </c>
      <c r="K3627" s="17" t="n">
        <v>1690201.8</v>
      </c>
      <c r="L3627" s="12" t="n">
        <v>0</v>
      </c>
      <c r="M3627" s="12" t="n">
        <v>19</v>
      </c>
      <c r="N3627" s="27">
        <f>F3627-J3627</f>
        <v/>
      </c>
      <c r="O3627" s="16">
        <f>I3627-H3627</f>
        <v/>
      </c>
      <c r="P3627" s="14">
        <f>F3627*G3627</f>
        <v/>
      </c>
      <c r="Q3627" s="14">
        <f>J3627*G3627</f>
        <v/>
      </c>
      <c r="R3627" s="14">
        <f>K3627-Q3627</f>
        <v/>
      </c>
      <c r="S3627" s="3">
        <f>P3627*Assumptions!$B$3/100</f>
        <v/>
      </c>
      <c r="T3627" s="14">
        <f>R3627-S3627</f>
        <v/>
      </c>
      <c r="U3627" s="14">
        <f>L3627*G3627</f>
        <v/>
      </c>
    </row>
    <row r="3628">
      <c r="A3628" s="12" t="inlineStr">
        <is>
          <t>PO-2023-3626</t>
        </is>
      </c>
      <c r="B3628" s="26" t="n">
        <v>44943</v>
      </c>
      <c r="C3628" s="12" t="inlineStr">
        <is>
          <t>VS10</t>
        </is>
      </c>
      <c r="D3628" s="12" t="inlineStr">
        <is>
          <t>SS Pipes</t>
        </is>
      </c>
      <c r="E3628" s="12" t="inlineStr">
        <is>
          <t>N</t>
        </is>
      </c>
      <c r="F3628" s="12" t="n">
        <v>16.77</v>
      </c>
      <c r="G3628" s="17" t="n">
        <v>100184.99</v>
      </c>
      <c r="H3628" s="26" t="n">
        <v>44952</v>
      </c>
      <c r="I3628" s="26" t="n">
        <v>44955</v>
      </c>
      <c r="J3628" s="12" t="n">
        <v>16.66</v>
      </c>
      <c r="K3628" s="17" t="n">
        <v>1680102.28</v>
      </c>
      <c r="L3628" s="12" t="n">
        <v>0</v>
      </c>
      <c r="M3628" s="12" t="n">
        <v>0</v>
      </c>
      <c r="N3628" s="27">
        <f>F3628-J3628</f>
        <v/>
      </c>
      <c r="O3628" s="16">
        <f>I3628-H3628</f>
        <v/>
      </c>
      <c r="P3628" s="14">
        <f>F3628*G3628</f>
        <v/>
      </c>
      <c r="Q3628" s="14">
        <f>J3628*G3628</f>
        <v/>
      </c>
      <c r="R3628" s="14">
        <f>K3628-Q3628</f>
        <v/>
      </c>
      <c r="S3628" s="3">
        <f>P3628*Assumptions!$B$3/100</f>
        <v/>
      </c>
      <c r="T3628" s="14">
        <f>R3628-S3628</f>
        <v/>
      </c>
      <c r="U3628" s="14">
        <f>L3628*G3628</f>
        <v/>
      </c>
    </row>
    <row r="3629">
      <c r="A3629" s="12" t="inlineStr">
        <is>
          <t>PO-2023-3627</t>
        </is>
      </c>
      <c r="B3629" s="26" t="n">
        <v>44807</v>
      </c>
      <c r="C3629" s="12" t="inlineStr">
        <is>
          <t>VS10</t>
        </is>
      </c>
      <c r="D3629" s="12" t="inlineStr">
        <is>
          <t>MS Rods</t>
        </is>
      </c>
      <c r="E3629" s="12" t="inlineStr">
        <is>
          <t>N</t>
        </is>
      </c>
      <c r="F3629" s="12" t="n">
        <v>4.56</v>
      </c>
      <c r="G3629" s="17" t="n">
        <v>81025.7</v>
      </c>
      <c r="H3629" s="26" t="n">
        <v>44810</v>
      </c>
      <c r="I3629" s="26" t="n">
        <v>44810</v>
      </c>
      <c r="J3629" s="12" t="n">
        <v>4.54</v>
      </c>
      <c r="K3629" s="17" t="n">
        <v>369477.19</v>
      </c>
      <c r="L3629" s="12" t="n">
        <v>0</v>
      </c>
      <c r="M3629" s="12" t="n">
        <v>0</v>
      </c>
      <c r="N3629" s="27">
        <f>F3629-J3629</f>
        <v/>
      </c>
      <c r="O3629" s="16">
        <f>I3629-H3629</f>
        <v/>
      </c>
      <c r="P3629" s="14">
        <f>F3629*G3629</f>
        <v/>
      </c>
      <c r="Q3629" s="14">
        <f>J3629*G3629</f>
        <v/>
      </c>
      <c r="R3629" s="14">
        <f>K3629-Q3629</f>
        <v/>
      </c>
      <c r="S3629" s="3">
        <f>P3629*Assumptions!$B$3/100</f>
        <v/>
      </c>
      <c r="T3629" s="14">
        <f>R3629-S3629</f>
        <v/>
      </c>
      <c r="U3629" s="14">
        <f>L3629*G3629</f>
        <v/>
      </c>
    </row>
    <row r="3630">
      <c r="A3630" s="12" t="inlineStr">
        <is>
          <t>PO-2023-3628</t>
        </is>
      </c>
      <c r="B3630" s="26" t="n">
        <v>44642</v>
      </c>
      <c r="C3630" s="12" t="inlineStr">
        <is>
          <t>VS13</t>
        </is>
      </c>
      <c r="D3630" s="12" t="inlineStr">
        <is>
          <t>Angles &amp; Channels</t>
        </is>
      </c>
      <c r="E3630" s="12" t="inlineStr">
        <is>
          <t>N</t>
        </is>
      </c>
      <c r="F3630" s="12" t="n">
        <v>3.27</v>
      </c>
      <c r="G3630" s="17" t="n">
        <v>115576.27</v>
      </c>
      <c r="H3630" s="26" t="n">
        <v>44655</v>
      </c>
      <c r="I3630" s="26" t="n">
        <v>44657</v>
      </c>
      <c r="J3630" s="12" t="n">
        <v>3.27</v>
      </c>
      <c r="K3630" s="17" t="n">
        <v>377934.4</v>
      </c>
      <c r="L3630" s="12" t="n">
        <v>0</v>
      </c>
      <c r="M3630" s="12" t="n">
        <v>0</v>
      </c>
      <c r="N3630" s="27">
        <f>F3630-J3630</f>
        <v/>
      </c>
      <c r="O3630" s="16">
        <f>I3630-H3630</f>
        <v/>
      </c>
      <c r="P3630" s="14">
        <f>F3630*G3630</f>
        <v/>
      </c>
      <c r="Q3630" s="14">
        <f>J3630*G3630</f>
        <v/>
      </c>
      <c r="R3630" s="14">
        <f>K3630-Q3630</f>
        <v/>
      </c>
      <c r="S3630" s="3">
        <f>P3630*Assumptions!$B$3/100</f>
        <v/>
      </c>
      <c r="T3630" s="14">
        <f>R3630-S3630</f>
        <v/>
      </c>
      <c r="U3630" s="14">
        <f>L3630*G3630</f>
        <v/>
      </c>
    </row>
    <row r="3631">
      <c r="A3631" s="12" t="inlineStr">
        <is>
          <t>PO-2023-3629</t>
        </is>
      </c>
      <c r="B3631" s="26" t="n">
        <v>45267</v>
      </c>
      <c r="C3631" s="12" t="inlineStr">
        <is>
          <t>VS17</t>
        </is>
      </c>
      <c r="D3631" s="12" t="inlineStr">
        <is>
          <t>MS Sheets</t>
        </is>
      </c>
      <c r="E3631" s="12" t="inlineStr">
        <is>
          <t>N</t>
        </is>
      </c>
      <c r="F3631" s="12" t="n">
        <v>14.82</v>
      </c>
      <c r="G3631" s="17" t="n">
        <v>60891.1</v>
      </c>
      <c r="H3631" s="26" t="n">
        <v>45281</v>
      </c>
      <c r="I3631" s="26" t="n">
        <v>45284</v>
      </c>
      <c r="J3631" s="12" t="n">
        <v>14.8</v>
      </c>
      <c r="K3631" s="17" t="n">
        <v>902406.1</v>
      </c>
      <c r="L3631" s="12" t="n">
        <v>0</v>
      </c>
      <c r="M3631" s="12" t="n">
        <v>0</v>
      </c>
      <c r="N3631" s="27">
        <f>F3631-J3631</f>
        <v/>
      </c>
      <c r="O3631" s="16">
        <f>I3631-H3631</f>
        <v/>
      </c>
      <c r="P3631" s="14">
        <f>F3631*G3631</f>
        <v/>
      </c>
      <c r="Q3631" s="14">
        <f>J3631*G3631</f>
        <v/>
      </c>
      <c r="R3631" s="14">
        <f>K3631-Q3631</f>
        <v/>
      </c>
      <c r="S3631" s="3">
        <f>P3631*Assumptions!$B$3/100</f>
        <v/>
      </c>
      <c r="T3631" s="14">
        <f>R3631-S3631</f>
        <v/>
      </c>
      <c r="U3631" s="14">
        <f>L3631*G3631</f>
        <v/>
      </c>
    </row>
    <row r="3632">
      <c r="A3632" s="12" t="inlineStr">
        <is>
          <t>PO-2023-3630</t>
        </is>
      </c>
      <c r="B3632" s="26" t="n">
        <v>44427</v>
      </c>
      <c r="C3632" s="12" t="inlineStr">
        <is>
          <t>VS15</t>
        </is>
      </c>
      <c r="D3632" s="12" t="inlineStr">
        <is>
          <t>Square/Rect Tubes</t>
        </is>
      </c>
      <c r="E3632" s="12" t="inlineStr">
        <is>
          <t>N</t>
        </is>
      </c>
      <c r="F3632" s="12" t="n">
        <v>15.14</v>
      </c>
      <c r="G3632" s="17" t="n">
        <v>109145.96</v>
      </c>
      <c r="H3632" s="26" t="n">
        <v>44438</v>
      </c>
      <c r="I3632" s="26" t="n">
        <v>44438</v>
      </c>
      <c r="J3632" s="12" t="n">
        <v>15.01</v>
      </c>
      <c r="K3632" s="17" t="n">
        <v>1652469.83</v>
      </c>
      <c r="L3632" s="12" t="n">
        <v>0</v>
      </c>
      <c r="M3632" s="12" t="n">
        <v>0</v>
      </c>
      <c r="N3632" s="27">
        <f>F3632-J3632</f>
        <v/>
      </c>
      <c r="O3632" s="16">
        <f>I3632-H3632</f>
        <v/>
      </c>
      <c r="P3632" s="14">
        <f>F3632*G3632</f>
        <v/>
      </c>
      <c r="Q3632" s="14">
        <f>J3632*G3632</f>
        <v/>
      </c>
      <c r="R3632" s="14">
        <f>K3632-Q3632</f>
        <v/>
      </c>
      <c r="S3632" s="3">
        <f>P3632*Assumptions!$B$3/100</f>
        <v/>
      </c>
      <c r="T3632" s="14">
        <f>R3632-S3632</f>
        <v/>
      </c>
      <c r="U3632" s="14">
        <f>L3632*G3632</f>
        <v/>
      </c>
    </row>
    <row r="3633">
      <c r="A3633" s="12" t="inlineStr">
        <is>
          <t>PO-2023-3631</t>
        </is>
      </c>
      <c r="B3633" s="26" t="n">
        <v>44332</v>
      </c>
      <c r="C3633" s="12" t="inlineStr">
        <is>
          <t>VS15</t>
        </is>
      </c>
      <c r="D3633" s="12" t="inlineStr">
        <is>
          <t>MS Pipes</t>
        </is>
      </c>
      <c r="E3633" s="12" t="inlineStr">
        <is>
          <t>N</t>
        </is>
      </c>
      <c r="F3633" s="12" t="n">
        <v>1.5</v>
      </c>
      <c r="G3633" s="17" t="n">
        <v>113465.6</v>
      </c>
      <c r="H3633" s="26" t="n">
        <v>44346</v>
      </c>
      <c r="I3633" s="26" t="n">
        <v>44346</v>
      </c>
      <c r="J3633" s="12" t="n">
        <v>1.49</v>
      </c>
      <c r="K3633" s="17" t="n">
        <v>170198.4</v>
      </c>
      <c r="L3633" s="12" t="n">
        <v>0</v>
      </c>
      <c r="M3633" s="12" t="n">
        <v>0</v>
      </c>
      <c r="N3633" s="27">
        <f>F3633-J3633</f>
        <v/>
      </c>
      <c r="O3633" s="16">
        <f>I3633-H3633</f>
        <v/>
      </c>
      <c r="P3633" s="14">
        <f>F3633*G3633</f>
        <v/>
      </c>
      <c r="Q3633" s="14">
        <f>J3633*G3633</f>
        <v/>
      </c>
      <c r="R3633" s="14">
        <f>K3633-Q3633</f>
        <v/>
      </c>
      <c r="S3633" s="3">
        <f>P3633*Assumptions!$B$3/100</f>
        <v/>
      </c>
      <c r="T3633" s="14">
        <f>R3633-S3633</f>
        <v/>
      </c>
      <c r="U3633" s="14">
        <f>L3633*G3633</f>
        <v/>
      </c>
    </row>
    <row r="3634">
      <c r="A3634" s="12" t="inlineStr">
        <is>
          <t>PO-2023-3632</t>
        </is>
      </c>
      <c r="B3634" s="26" t="n">
        <v>45067</v>
      </c>
      <c r="C3634" s="12" t="inlineStr">
        <is>
          <t>VS05</t>
        </is>
      </c>
      <c r="D3634" s="12" t="inlineStr">
        <is>
          <t>MS Pipes</t>
        </is>
      </c>
      <c r="E3634" s="12" t="inlineStr">
        <is>
          <t>N</t>
        </is>
      </c>
      <c r="F3634" s="12" t="n">
        <v>16.5</v>
      </c>
      <c r="G3634" s="17" t="n">
        <v>62147.49</v>
      </c>
      <c r="H3634" s="26" t="n">
        <v>45072</v>
      </c>
      <c r="I3634" s="26" t="n">
        <v>45075</v>
      </c>
      <c r="J3634" s="12" t="n">
        <v>16.35</v>
      </c>
      <c r="K3634" s="17" t="n">
        <v>1025433.58</v>
      </c>
      <c r="L3634" s="12" t="n">
        <v>0</v>
      </c>
      <c r="M3634" s="12" t="n">
        <v>1</v>
      </c>
      <c r="N3634" s="27">
        <f>F3634-J3634</f>
        <v/>
      </c>
      <c r="O3634" s="16">
        <f>I3634-H3634</f>
        <v/>
      </c>
      <c r="P3634" s="14">
        <f>F3634*G3634</f>
        <v/>
      </c>
      <c r="Q3634" s="14">
        <f>J3634*G3634</f>
        <v/>
      </c>
      <c r="R3634" s="14">
        <f>K3634-Q3634</f>
        <v/>
      </c>
      <c r="S3634" s="3">
        <f>P3634*Assumptions!$B$3/100</f>
        <v/>
      </c>
      <c r="T3634" s="14">
        <f>R3634-S3634</f>
        <v/>
      </c>
      <c r="U3634" s="14">
        <f>L3634*G3634</f>
        <v/>
      </c>
    </row>
    <row r="3635">
      <c r="A3635" s="12" t="inlineStr">
        <is>
          <t>PO-2023-3633</t>
        </is>
      </c>
      <c r="B3635" s="26" t="n">
        <v>44403</v>
      </c>
      <c r="C3635" s="12" t="inlineStr">
        <is>
          <t>VS24</t>
        </is>
      </c>
      <c r="D3635" s="12" t="inlineStr">
        <is>
          <t>SS Pipes</t>
        </is>
      </c>
      <c r="E3635" s="12" t="inlineStr">
        <is>
          <t>N</t>
        </is>
      </c>
      <c r="F3635" s="12" t="n">
        <v>19.48</v>
      </c>
      <c r="G3635" s="17" t="n">
        <v>98977.14</v>
      </c>
      <c r="H3635" s="26" t="n">
        <v>44418</v>
      </c>
      <c r="I3635" s="26" t="n">
        <v>44421</v>
      </c>
      <c r="J3635" s="12" t="n">
        <v>19.31</v>
      </c>
      <c r="K3635" s="17" t="n">
        <v>1928074.69</v>
      </c>
      <c r="L3635" s="12" t="n">
        <v>0</v>
      </c>
      <c r="M3635" s="12" t="n">
        <v>12</v>
      </c>
      <c r="N3635" s="27">
        <f>F3635-J3635</f>
        <v/>
      </c>
      <c r="O3635" s="16">
        <f>I3635-H3635</f>
        <v/>
      </c>
      <c r="P3635" s="14">
        <f>F3635*G3635</f>
        <v/>
      </c>
      <c r="Q3635" s="14">
        <f>J3635*G3635</f>
        <v/>
      </c>
      <c r="R3635" s="14">
        <f>K3635-Q3635</f>
        <v/>
      </c>
      <c r="S3635" s="3">
        <f>P3635*Assumptions!$B$3/100</f>
        <v/>
      </c>
      <c r="T3635" s="14">
        <f>R3635-S3635</f>
        <v/>
      </c>
      <c r="U3635" s="14">
        <f>L3635*G3635</f>
        <v/>
      </c>
    </row>
    <row r="3636">
      <c r="A3636" s="12" t="inlineStr">
        <is>
          <t>PO-2023-3634</t>
        </is>
      </c>
      <c r="B3636" s="26" t="n">
        <v>44991</v>
      </c>
      <c r="C3636" s="12" t="inlineStr">
        <is>
          <t>VS19</t>
        </is>
      </c>
      <c r="D3636" s="12" t="inlineStr">
        <is>
          <t>MS Rods</t>
        </is>
      </c>
      <c r="E3636" s="12" t="inlineStr">
        <is>
          <t>N</t>
        </is>
      </c>
      <c r="F3636" s="12" t="n">
        <v>35.93</v>
      </c>
      <c r="G3636" s="17" t="n">
        <v>65915.31</v>
      </c>
      <c r="H3636" s="26" t="n">
        <v>45004</v>
      </c>
      <c r="I3636" s="26" t="n">
        <v>45012</v>
      </c>
      <c r="J3636" s="12" t="n">
        <v>35.12</v>
      </c>
      <c r="K3636" s="17" t="n">
        <v>2368337.09</v>
      </c>
      <c r="L3636" s="12" t="n">
        <v>0.23</v>
      </c>
      <c r="M3636" s="12" t="n">
        <v>0</v>
      </c>
      <c r="N3636" s="27">
        <f>F3636-J3636</f>
        <v/>
      </c>
      <c r="O3636" s="16">
        <f>I3636-H3636</f>
        <v/>
      </c>
      <c r="P3636" s="14">
        <f>F3636*G3636</f>
        <v/>
      </c>
      <c r="Q3636" s="14">
        <f>J3636*G3636</f>
        <v/>
      </c>
      <c r="R3636" s="14">
        <f>K3636-Q3636</f>
        <v/>
      </c>
      <c r="S3636" s="3">
        <f>P3636*Assumptions!$B$3/100</f>
        <v/>
      </c>
      <c r="T3636" s="14">
        <f>R3636-S3636</f>
        <v/>
      </c>
      <c r="U3636" s="14">
        <f>L3636*G3636</f>
        <v/>
      </c>
    </row>
    <row r="3637">
      <c r="A3637" s="12" t="inlineStr">
        <is>
          <t>PO-2023-3635</t>
        </is>
      </c>
      <c r="B3637" s="26" t="n">
        <v>44872</v>
      </c>
      <c r="C3637" s="12" t="inlineStr">
        <is>
          <t>VS15</t>
        </is>
      </c>
      <c r="D3637" s="12" t="inlineStr">
        <is>
          <t>SS Sheets</t>
        </is>
      </c>
      <c r="E3637" s="12" t="inlineStr">
        <is>
          <t>N</t>
        </is>
      </c>
      <c r="F3637" s="12" t="n">
        <v>27.95</v>
      </c>
      <c r="G3637" s="17" t="n">
        <v>52010.43</v>
      </c>
      <c r="H3637" s="26" t="n">
        <v>44880</v>
      </c>
      <c r="I3637" s="26" t="n">
        <v>44882</v>
      </c>
      <c r="J3637" s="12" t="n">
        <v>27.75</v>
      </c>
      <c r="K3637" s="17" t="n">
        <v>1453691.52</v>
      </c>
      <c r="L3637" s="12" t="n">
        <v>0</v>
      </c>
      <c r="M3637" s="12" t="n">
        <v>0</v>
      </c>
      <c r="N3637" s="27">
        <f>F3637-J3637</f>
        <v/>
      </c>
      <c r="O3637" s="16">
        <f>I3637-H3637</f>
        <v/>
      </c>
      <c r="P3637" s="14">
        <f>F3637*G3637</f>
        <v/>
      </c>
      <c r="Q3637" s="14">
        <f>J3637*G3637</f>
        <v/>
      </c>
      <c r="R3637" s="14">
        <f>K3637-Q3637</f>
        <v/>
      </c>
      <c r="S3637" s="3">
        <f>P3637*Assumptions!$B$3/100</f>
        <v/>
      </c>
      <c r="T3637" s="14">
        <f>R3637-S3637</f>
        <v/>
      </c>
      <c r="U3637" s="14">
        <f>L3637*G3637</f>
        <v/>
      </c>
    </row>
    <row r="3638">
      <c r="A3638" s="12" t="inlineStr">
        <is>
          <t>PO-2023-3636</t>
        </is>
      </c>
      <c r="B3638" s="26" t="n">
        <v>44231</v>
      </c>
      <c r="C3638" s="12" t="inlineStr">
        <is>
          <t>VS08</t>
        </is>
      </c>
      <c r="D3638" s="12" t="inlineStr">
        <is>
          <t>CR Sheets</t>
        </is>
      </c>
      <c r="E3638" s="12" t="inlineStr">
        <is>
          <t>N</t>
        </is>
      </c>
      <c r="F3638" s="12" t="n">
        <v>45.69</v>
      </c>
      <c r="G3638" s="17" t="n">
        <v>76545.83</v>
      </c>
      <c r="H3638" s="26" t="n">
        <v>44246</v>
      </c>
      <c r="I3638" s="26" t="n">
        <v>44248</v>
      </c>
      <c r="J3638" s="12" t="n">
        <v>45.54</v>
      </c>
      <c r="K3638" s="17" t="n">
        <v>3497378.97</v>
      </c>
      <c r="L3638" s="12" t="n">
        <v>0</v>
      </c>
      <c r="M3638" s="12" t="n">
        <v>15</v>
      </c>
      <c r="N3638" s="27">
        <f>F3638-J3638</f>
        <v/>
      </c>
      <c r="O3638" s="16">
        <f>I3638-H3638</f>
        <v/>
      </c>
      <c r="P3638" s="14">
        <f>F3638*G3638</f>
        <v/>
      </c>
      <c r="Q3638" s="14">
        <f>J3638*G3638</f>
        <v/>
      </c>
      <c r="R3638" s="14">
        <f>K3638-Q3638</f>
        <v/>
      </c>
      <c r="S3638" s="3">
        <f>P3638*Assumptions!$B$3/100</f>
        <v/>
      </c>
      <c r="T3638" s="14">
        <f>R3638-S3638</f>
        <v/>
      </c>
      <c r="U3638" s="14">
        <f>L3638*G3638</f>
        <v/>
      </c>
    </row>
    <row r="3639">
      <c r="A3639" s="12" t="inlineStr">
        <is>
          <t>PO-2023-3637</t>
        </is>
      </c>
      <c r="B3639" s="26" t="n">
        <v>44515</v>
      </c>
      <c r="C3639" s="12" t="inlineStr">
        <is>
          <t>VS32</t>
        </is>
      </c>
      <c r="D3639" s="12" t="inlineStr">
        <is>
          <t>Hex Bars</t>
        </is>
      </c>
      <c r="E3639" s="12" t="inlineStr">
        <is>
          <t>N</t>
        </is>
      </c>
      <c r="F3639" s="12" t="n">
        <v>41.19</v>
      </c>
      <c r="G3639" s="17" t="n">
        <v>88890.59</v>
      </c>
      <c r="H3639" s="26" t="n">
        <v>44524</v>
      </c>
      <c r="I3639" s="26" t="n">
        <v>44524</v>
      </c>
      <c r="J3639" s="12" t="n">
        <v>41.19</v>
      </c>
      <c r="K3639" s="17" t="n">
        <v>3661403.4</v>
      </c>
      <c r="L3639" s="12" t="n">
        <v>0</v>
      </c>
      <c r="M3639" s="12" t="n">
        <v>10</v>
      </c>
      <c r="N3639" s="27">
        <f>F3639-J3639</f>
        <v/>
      </c>
      <c r="O3639" s="16">
        <f>I3639-H3639</f>
        <v/>
      </c>
      <c r="P3639" s="14">
        <f>F3639*G3639</f>
        <v/>
      </c>
      <c r="Q3639" s="14">
        <f>J3639*G3639</f>
        <v/>
      </c>
      <c r="R3639" s="14">
        <f>K3639-Q3639</f>
        <v/>
      </c>
      <c r="S3639" s="3">
        <f>P3639*Assumptions!$B$3/100</f>
        <v/>
      </c>
      <c r="T3639" s="14">
        <f>R3639-S3639</f>
        <v/>
      </c>
      <c r="U3639" s="14">
        <f>L3639*G3639</f>
        <v/>
      </c>
    </row>
    <row r="3640">
      <c r="A3640" s="12" t="inlineStr">
        <is>
          <t>PO-2023-3638</t>
        </is>
      </c>
      <c r="B3640" s="26" t="n">
        <v>44447</v>
      </c>
      <c r="C3640" s="12" t="inlineStr">
        <is>
          <t>VS21</t>
        </is>
      </c>
      <c r="D3640" s="12" t="inlineStr">
        <is>
          <t>Structural Steel</t>
        </is>
      </c>
      <c r="E3640" s="12" t="inlineStr">
        <is>
          <t>N</t>
        </is>
      </c>
      <c r="F3640" s="12" t="n">
        <v>13.09</v>
      </c>
      <c r="G3640" s="17" t="n">
        <v>70272</v>
      </c>
      <c r="H3640" s="26" t="n">
        <v>44461</v>
      </c>
      <c r="I3640" s="26" t="n">
        <v>44463</v>
      </c>
      <c r="J3640" s="12" t="n">
        <v>13.05</v>
      </c>
      <c r="K3640" s="17" t="n">
        <v>919860.48</v>
      </c>
      <c r="L3640" s="12" t="n">
        <v>0</v>
      </c>
      <c r="M3640" s="12" t="n">
        <v>0</v>
      </c>
      <c r="N3640" s="27">
        <f>F3640-J3640</f>
        <v/>
      </c>
      <c r="O3640" s="16">
        <f>I3640-H3640</f>
        <v/>
      </c>
      <c r="P3640" s="14">
        <f>F3640*G3640</f>
        <v/>
      </c>
      <c r="Q3640" s="14">
        <f>J3640*G3640</f>
        <v/>
      </c>
      <c r="R3640" s="14">
        <f>K3640-Q3640</f>
        <v/>
      </c>
      <c r="S3640" s="3">
        <f>P3640*Assumptions!$B$3/100</f>
        <v/>
      </c>
      <c r="T3640" s="14">
        <f>R3640-S3640</f>
        <v/>
      </c>
      <c r="U3640" s="14">
        <f>L3640*G3640</f>
        <v/>
      </c>
    </row>
    <row r="3641">
      <c r="A3641" s="12" t="inlineStr">
        <is>
          <t>PO-2023-3639</t>
        </is>
      </c>
      <c r="B3641" s="26" t="n">
        <v>44424</v>
      </c>
      <c r="C3641" s="12" t="inlineStr">
        <is>
          <t>VS09</t>
        </is>
      </c>
      <c r="D3641" s="12" t="inlineStr">
        <is>
          <t>Spring Steel</t>
        </is>
      </c>
      <c r="E3641" s="12" t="inlineStr">
        <is>
          <t>N</t>
        </is>
      </c>
      <c r="F3641" s="12" t="n">
        <v>38.75</v>
      </c>
      <c r="G3641" s="17" t="n">
        <v>112937.46</v>
      </c>
      <c r="H3641" s="26" t="n">
        <v>44434</v>
      </c>
      <c r="I3641" s="26" t="n">
        <v>44434</v>
      </c>
      <c r="J3641" s="12" t="n">
        <v>38.37</v>
      </c>
      <c r="K3641" s="17" t="n">
        <v>4376326.58</v>
      </c>
      <c r="L3641" s="12" t="n">
        <v>0</v>
      </c>
      <c r="M3641" s="12" t="n">
        <v>0</v>
      </c>
      <c r="N3641" s="27">
        <f>F3641-J3641</f>
        <v/>
      </c>
      <c r="O3641" s="16">
        <f>I3641-H3641</f>
        <v/>
      </c>
      <c r="P3641" s="14">
        <f>F3641*G3641</f>
        <v/>
      </c>
      <c r="Q3641" s="14">
        <f>J3641*G3641</f>
        <v/>
      </c>
      <c r="R3641" s="14">
        <f>K3641-Q3641</f>
        <v/>
      </c>
      <c r="S3641" s="3">
        <f>P3641*Assumptions!$B$3/100</f>
        <v/>
      </c>
      <c r="T3641" s="14">
        <f>R3641-S3641</f>
        <v/>
      </c>
      <c r="U3641" s="14">
        <f>L3641*G3641</f>
        <v/>
      </c>
    </row>
    <row r="3642">
      <c r="A3642" s="12" t="inlineStr">
        <is>
          <t>PO-2023-3640</t>
        </is>
      </c>
      <c r="B3642" s="26" t="n">
        <v>44871</v>
      </c>
      <c r="C3642" s="12" t="inlineStr">
        <is>
          <t>VS07</t>
        </is>
      </c>
      <c r="D3642" s="12" t="inlineStr">
        <is>
          <t>Square/Rect Tubes</t>
        </is>
      </c>
      <c r="E3642" s="12" t="inlineStr">
        <is>
          <t>N</t>
        </is>
      </c>
      <c r="F3642" s="12" t="n">
        <v>12.48</v>
      </c>
      <c r="G3642" s="17" t="n">
        <v>72908.7</v>
      </c>
      <c r="H3642" s="26" t="n">
        <v>44883</v>
      </c>
      <c r="I3642" s="26" t="n">
        <v>44884</v>
      </c>
      <c r="J3642" s="12" t="n">
        <v>12.47</v>
      </c>
      <c r="K3642" s="17" t="n">
        <v>909900.58</v>
      </c>
      <c r="L3642" s="12" t="n">
        <v>0</v>
      </c>
      <c r="M3642" s="12" t="n">
        <v>20</v>
      </c>
      <c r="N3642" s="27">
        <f>F3642-J3642</f>
        <v/>
      </c>
      <c r="O3642" s="16">
        <f>I3642-H3642</f>
        <v/>
      </c>
      <c r="P3642" s="14">
        <f>F3642*G3642</f>
        <v/>
      </c>
      <c r="Q3642" s="14">
        <f>J3642*G3642</f>
        <v/>
      </c>
      <c r="R3642" s="14">
        <f>K3642-Q3642</f>
        <v/>
      </c>
      <c r="S3642" s="3">
        <f>P3642*Assumptions!$B$3/100</f>
        <v/>
      </c>
      <c r="T3642" s="14">
        <f>R3642-S3642</f>
        <v/>
      </c>
      <c r="U3642" s="14">
        <f>L3642*G3642</f>
        <v/>
      </c>
    </row>
    <row r="3643">
      <c r="A3643" s="12" t="inlineStr">
        <is>
          <t>PO-2023-3641</t>
        </is>
      </c>
      <c r="B3643" s="26" t="n">
        <v>45216</v>
      </c>
      <c r="C3643" s="12" t="inlineStr">
        <is>
          <t>VS33</t>
        </is>
      </c>
      <c r="D3643" s="12" t="inlineStr">
        <is>
          <t>ERW Pipes</t>
        </is>
      </c>
      <c r="E3643" s="12" t="inlineStr">
        <is>
          <t>Y</t>
        </is>
      </c>
      <c r="F3643" s="12" t="n">
        <v>17.73</v>
      </c>
      <c r="G3643" s="17" t="n">
        <v>64469.8</v>
      </c>
      <c r="H3643" s="26" t="n">
        <v>45225</v>
      </c>
      <c r="I3643" s="26" t="n">
        <v>45225</v>
      </c>
      <c r="J3643" s="12" t="n">
        <v>17.7</v>
      </c>
      <c r="K3643" s="17" t="n">
        <v>1143049.55</v>
      </c>
      <c r="L3643" s="12" t="n">
        <v>0</v>
      </c>
      <c r="M3643" s="12" t="n">
        <v>0</v>
      </c>
      <c r="N3643" s="27">
        <f>F3643-J3643</f>
        <v/>
      </c>
      <c r="O3643" s="16">
        <f>I3643-H3643</f>
        <v/>
      </c>
      <c r="P3643" s="14">
        <f>F3643*G3643</f>
        <v/>
      </c>
      <c r="Q3643" s="14">
        <f>J3643*G3643</f>
        <v/>
      </c>
      <c r="R3643" s="14">
        <f>K3643-Q3643</f>
        <v/>
      </c>
      <c r="S3643" s="3">
        <f>P3643*Assumptions!$B$3/100</f>
        <v/>
      </c>
      <c r="T3643" s="14">
        <f>R3643-S3643</f>
        <v/>
      </c>
      <c r="U3643" s="14">
        <f>L3643*G3643</f>
        <v/>
      </c>
    </row>
    <row r="3644">
      <c r="A3644" s="12" t="inlineStr">
        <is>
          <t>PO-2023-3642</t>
        </is>
      </c>
      <c r="B3644" s="26" t="n">
        <v>44290</v>
      </c>
      <c r="C3644" s="12" t="inlineStr">
        <is>
          <t>VS30</t>
        </is>
      </c>
      <c r="D3644" s="12" t="inlineStr">
        <is>
          <t>MS Sheets</t>
        </is>
      </c>
      <c r="E3644" s="12" t="inlineStr">
        <is>
          <t>N</t>
        </is>
      </c>
      <c r="F3644" s="12" t="n">
        <v>12.13</v>
      </c>
      <c r="G3644" s="17" t="n">
        <v>73751.42999999999</v>
      </c>
      <c r="H3644" s="26" t="n">
        <v>44295</v>
      </c>
      <c r="I3644" s="26" t="n">
        <v>44298</v>
      </c>
      <c r="J3644" s="12" t="n">
        <v>12.13</v>
      </c>
      <c r="K3644" s="17" t="n">
        <v>894604.85</v>
      </c>
      <c r="L3644" s="12" t="n">
        <v>0</v>
      </c>
      <c r="M3644" s="12" t="n">
        <v>0</v>
      </c>
      <c r="N3644" s="27">
        <f>F3644-J3644</f>
        <v/>
      </c>
      <c r="O3644" s="16">
        <f>I3644-H3644</f>
        <v/>
      </c>
      <c r="P3644" s="14">
        <f>F3644*G3644</f>
        <v/>
      </c>
      <c r="Q3644" s="14">
        <f>J3644*G3644</f>
        <v/>
      </c>
      <c r="R3644" s="14">
        <f>K3644-Q3644</f>
        <v/>
      </c>
      <c r="S3644" s="3">
        <f>P3644*Assumptions!$B$3/100</f>
        <v/>
      </c>
      <c r="T3644" s="14">
        <f>R3644-S3644</f>
        <v/>
      </c>
      <c r="U3644" s="14">
        <f>L3644*G3644</f>
        <v/>
      </c>
    </row>
    <row r="3645">
      <c r="A3645" s="12" t="inlineStr">
        <is>
          <t>PO-2023-3643</t>
        </is>
      </c>
      <c r="B3645" s="26" t="n">
        <v>44802</v>
      </c>
      <c r="C3645" s="12" t="inlineStr">
        <is>
          <t>VS19</t>
        </is>
      </c>
      <c r="D3645" s="12" t="inlineStr">
        <is>
          <t>GI Wire</t>
        </is>
      </c>
      <c r="E3645" s="12" t="inlineStr">
        <is>
          <t>N</t>
        </is>
      </c>
      <c r="F3645" s="12" t="n">
        <v>38.16</v>
      </c>
      <c r="G3645" s="17" t="n">
        <v>112520.91</v>
      </c>
      <c r="H3645" s="26" t="n">
        <v>44810</v>
      </c>
      <c r="I3645" s="26" t="n">
        <v>44815</v>
      </c>
      <c r="J3645" s="12" t="n">
        <v>36.74</v>
      </c>
      <c r="K3645" s="17" t="n">
        <v>4293797.93</v>
      </c>
      <c r="L3645" s="12" t="n">
        <v>0.89</v>
      </c>
      <c r="M3645" s="12" t="n">
        <v>12</v>
      </c>
      <c r="N3645" s="27">
        <f>F3645-J3645</f>
        <v/>
      </c>
      <c r="O3645" s="16">
        <f>I3645-H3645</f>
        <v/>
      </c>
      <c r="P3645" s="14">
        <f>F3645*G3645</f>
        <v/>
      </c>
      <c r="Q3645" s="14">
        <f>J3645*G3645</f>
        <v/>
      </c>
      <c r="R3645" s="14">
        <f>K3645-Q3645</f>
        <v/>
      </c>
      <c r="S3645" s="3">
        <f>P3645*Assumptions!$B$3/100</f>
        <v/>
      </c>
      <c r="T3645" s="14">
        <f>R3645-S3645</f>
        <v/>
      </c>
      <c r="U3645" s="14">
        <f>L3645*G3645</f>
        <v/>
      </c>
    </row>
    <row r="3646">
      <c r="A3646" s="12" t="inlineStr">
        <is>
          <t>PO-2023-3644</t>
        </is>
      </c>
      <c r="B3646" s="26" t="n">
        <v>44770</v>
      </c>
      <c r="C3646" s="12" t="inlineStr">
        <is>
          <t>VS28</t>
        </is>
      </c>
      <c r="D3646" s="12" t="inlineStr">
        <is>
          <t>Fasteners &amp; Fittings</t>
        </is>
      </c>
      <c r="E3646" s="12" t="inlineStr">
        <is>
          <t>N</t>
        </is>
      </c>
      <c r="F3646" s="12" t="n">
        <v>23.96</v>
      </c>
      <c r="G3646" s="17" t="n">
        <v>47750.88</v>
      </c>
      <c r="H3646" s="26" t="n">
        <v>44774</v>
      </c>
      <c r="I3646" s="26" t="n">
        <v>44776</v>
      </c>
      <c r="J3646" s="12" t="n">
        <v>23.83</v>
      </c>
      <c r="K3646" s="17" t="n">
        <v>1144111.08</v>
      </c>
      <c r="L3646" s="12" t="n">
        <v>0</v>
      </c>
      <c r="M3646" s="12" t="n">
        <v>14</v>
      </c>
      <c r="N3646" s="27">
        <f>F3646-J3646</f>
        <v/>
      </c>
      <c r="O3646" s="16">
        <f>I3646-H3646</f>
        <v/>
      </c>
      <c r="P3646" s="14">
        <f>F3646*G3646</f>
        <v/>
      </c>
      <c r="Q3646" s="14">
        <f>J3646*G3646</f>
        <v/>
      </c>
      <c r="R3646" s="14">
        <f>K3646-Q3646</f>
        <v/>
      </c>
      <c r="S3646" s="3">
        <f>P3646*Assumptions!$B$3/100</f>
        <v/>
      </c>
      <c r="T3646" s="14">
        <f>R3646-S3646</f>
        <v/>
      </c>
      <c r="U3646" s="14">
        <f>L3646*G3646</f>
        <v/>
      </c>
    </row>
    <row r="3647">
      <c r="A3647" s="12" t="inlineStr">
        <is>
          <t>PO-2023-3645</t>
        </is>
      </c>
      <c r="B3647" s="26" t="n">
        <v>45101</v>
      </c>
      <c r="C3647" s="12" t="inlineStr">
        <is>
          <t>VS07</t>
        </is>
      </c>
      <c r="D3647" s="12" t="inlineStr">
        <is>
          <t>MS Pipes</t>
        </is>
      </c>
      <c r="E3647" s="12" t="inlineStr">
        <is>
          <t>N</t>
        </is>
      </c>
      <c r="F3647" s="12" t="n">
        <v>23.57</v>
      </c>
      <c r="G3647" s="17" t="n">
        <v>49585.96</v>
      </c>
      <c r="H3647" s="26" t="n">
        <v>45112</v>
      </c>
      <c r="I3647" s="26" t="n">
        <v>45113</v>
      </c>
      <c r="J3647" s="12" t="n">
        <v>23.51</v>
      </c>
      <c r="K3647" s="17" t="n">
        <v>1168741.08</v>
      </c>
      <c r="L3647" s="12" t="n">
        <v>0</v>
      </c>
      <c r="M3647" s="12" t="n">
        <v>0</v>
      </c>
      <c r="N3647" s="27">
        <f>F3647-J3647</f>
        <v/>
      </c>
      <c r="O3647" s="16">
        <f>I3647-H3647</f>
        <v/>
      </c>
      <c r="P3647" s="14">
        <f>F3647*G3647</f>
        <v/>
      </c>
      <c r="Q3647" s="14">
        <f>J3647*G3647</f>
        <v/>
      </c>
      <c r="R3647" s="14">
        <f>K3647-Q3647</f>
        <v/>
      </c>
      <c r="S3647" s="3">
        <f>P3647*Assumptions!$B$3/100</f>
        <v/>
      </c>
      <c r="T3647" s="14">
        <f>R3647-S3647</f>
        <v/>
      </c>
      <c r="U3647" s="14">
        <f>L3647*G3647</f>
        <v/>
      </c>
    </row>
    <row r="3648">
      <c r="A3648" s="12" t="inlineStr">
        <is>
          <t>PO-2023-3646</t>
        </is>
      </c>
      <c r="B3648" s="26" t="n">
        <v>45146</v>
      </c>
      <c r="C3648" s="12" t="inlineStr">
        <is>
          <t>VS08</t>
        </is>
      </c>
      <c r="D3648" s="12" t="inlineStr">
        <is>
          <t>Angles &amp; Channels</t>
        </is>
      </c>
      <c r="E3648" s="12" t="inlineStr">
        <is>
          <t>Y</t>
        </is>
      </c>
      <c r="F3648" s="12" t="n">
        <v>19.83</v>
      </c>
      <c r="G3648" s="17" t="n">
        <v>64768.08</v>
      </c>
      <c r="H3648" s="26" t="n">
        <v>45159</v>
      </c>
      <c r="I3648" s="26" t="n">
        <v>45159</v>
      </c>
      <c r="J3648" s="12" t="n">
        <v>19.65</v>
      </c>
      <c r="K3648" s="17" t="n">
        <v>1284351.03</v>
      </c>
      <c r="L3648" s="12" t="n">
        <v>0</v>
      </c>
      <c r="M3648" s="12" t="n">
        <v>0</v>
      </c>
      <c r="N3648" s="27">
        <f>F3648-J3648</f>
        <v/>
      </c>
      <c r="O3648" s="16">
        <f>I3648-H3648</f>
        <v/>
      </c>
      <c r="P3648" s="14">
        <f>F3648*G3648</f>
        <v/>
      </c>
      <c r="Q3648" s="14">
        <f>J3648*G3648</f>
        <v/>
      </c>
      <c r="R3648" s="14">
        <f>K3648-Q3648</f>
        <v/>
      </c>
      <c r="S3648" s="3">
        <f>P3648*Assumptions!$B$3/100</f>
        <v/>
      </c>
      <c r="T3648" s="14">
        <f>R3648-S3648</f>
        <v/>
      </c>
      <c r="U3648" s="14">
        <f>L3648*G3648</f>
        <v/>
      </c>
    </row>
    <row r="3649">
      <c r="A3649" s="12" t="inlineStr">
        <is>
          <t>PO-2023-3647</t>
        </is>
      </c>
      <c r="B3649" s="26" t="n">
        <v>45181</v>
      </c>
      <c r="C3649" s="12" t="inlineStr">
        <is>
          <t>VS15</t>
        </is>
      </c>
      <c r="D3649" s="12" t="inlineStr">
        <is>
          <t>Structural Steel</t>
        </is>
      </c>
      <c r="E3649" s="12" t="inlineStr">
        <is>
          <t>N</t>
        </is>
      </c>
      <c r="F3649" s="12" t="n">
        <v>33.56</v>
      </c>
      <c r="G3649" s="17" t="n">
        <v>49590.11</v>
      </c>
      <c r="H3649" s="26" t="n">
        <v>45185</v>
      </c>
      <c r="I3649" s="26" t="n">
        <v>45187</v>
      </c>
      <c r="J3649" s="12" t="n">
        <v>33.22</v>
      </c>
      <c r="K3649" s="17" t="n">
        <v>1664244.09</v>
      </c>
      <c r="L3649" s="12" t="n">
        <v>0</v>
      </c>
      <c r="M3649" s="12" t="n">
        <v>0</v>
      </c>
      <c r="N3649" s="27">
        <f>F3649-J3649</f>
        <v/>
      </c>
      <c r="O3649" s="16">
        <f>I3649-H3649</f>
        <v/>
      </c>
      <c r="P3649" s="14">
        <f>F3649*G3649</f>
        <v/>
      </c>
      <c r="Q3649" s="14">
        <f>J3649*G3649</f>
        <v/>
      </c>
      <c r="R3649" s="14">
        <f>K3649-Q3649</f>
        <v/>
      </c>
      <c r="S3649" s="3">
        <f>P3649*Assumptions!$B$3/100</f>
        <v/>
      </c>
      <c r="T3649" s="14">
        <f>R3649-S3649</f>
        <v/>
      </c>
      <c r="U3649" s="14">
        <f>L3649*G3649</f>
        <v/>
      </c>
    </row>
    <row r="3650">
      <c r="A3650" s="12" t="inlineStr">
        <is>
          <t>PO-2023-3648</t>
        </is>
      </c>
      <c r="B3650" s="26" t="n">
        <v>45193</v>
      </c>
      <c r="C3650" s="12" t="inlineStr">
        <is>
          <t>VS21</t>
        </is>
      </c>
      <c r="D3650" s="12" t="inlineStr">
        <is>
          <t>SS Sheets</t>
        </is>
      </c>
      <c r="E3650" s="12" t="inlineStr">
        <is>
          <t>Y</t>
        </is>
      </c>
      <c r="F3650" s="12" t="n">
        <v>48.96</v>
      </c>
      <c r="G3650" s="17" t="n">
        <v>84755.72</v>
      </c>
      <c r="H3650" s="26" t="n">
        <v>45208</v>
      </c>
      <c r="I3650" s="26" t="n">
        <v>45210</v>
      </c>
      <c r="J3650" s="12" t="n">
        <v>48.59</v>
      </c>
      <c r="K3650" s="17" t="n">
        <v>4149640.05</v>
      </c>
      <c r="L3650" s="12" t="n">
        <v>0</v>
      </c>
      <c r="M3650" s="12" t="n">
        <v>0</v>
      </c>
      <c r="N3650" s="27">
        <f>F3650-J3650</f>
        <v/>
      </c>
      <c r="O3650" s="16">
        <f>I3650-H3650</f>
        <v/>
      </c>
      <c r="P3650" s="14">
        <f>F3650*G3650</f>
        <v/>
      </c>
      <c r="Q3650" s="14">
        <f>J3650*G3650</f>
        <v/>
      </c>
      <c r="R3650" s="14">
        <f>K3650-Q3650</f>
        <v/>
      </c>
      <c r="S3650" s="3">
        <f>P3650*Assumptions!$B$3/100</f>
        <v/>
      </c>
      <c r="T3650" s="14">
        <f>R3650-S3650</f>
        <v/>
      </c>
      <c r="U3650" s="14">
        <f>L3650*G3650</f>
        <v/>
      </c>
    </row>
    <row r="3651">
      <c r="A3651" s="12" t="inlineStr">
        <is>
          <t>PO-2023-3649</t>
        </is>
      </c>
      <c r="B3651" s="26" t="n">
        <v>44577</v>
      </c>
      <c r="C3651" s="12" t="inlineStr">
        <is>
          <t>VS29</t>
        </is>
      </c>
      <c r="D3651" s="12" t="inlineStr">
        <is>
          <t>SS Sheets</t>
        </is>
      </c>
      <c r="E3651" s="12" t="inlineStr">
        <is>
          <t>N</t>
        </is>
      </c>
      <c r="F3651" s="12" t="n">
        <v>41.25</v>
      </c>
      <c r="G3651" s="17" t="n">
        <v>108040.25</v>
      </c>
      <c r="H3651" s="26" t="n">
        <v>44588</v>
      </c>
      <c r="I3651" s="26" t="n">
        <v>44589</v>
      </c>
      <c r="J3651" s="12" t="n">
        <v>41</v>
      </c>
      <c r="K3651" s="17" t="n">
        <v>4456660.31</v>
      </c>
      <c r="L3651" s="12" t="n">
        <v>0</v>
      </c>
      <c r="M3651" s="12" t="n">
        <v>6</v>
      </c>
      <c r="N3651" s="27">
        <f>F3651-J3651</f>
        <v/>
      </c>
      <c r="O3651" s="16">
        <f>I3651-H3651</f>
        <v/>
      </c>
      <c r="P3651" s="14">
        <f>F3651*G3651</f>
        <v/>
      </c>
      <c r="Q3651" s="14">
        <f>J3651*G3651</f>
        <v/>
      </c>
      <c r="R3651" s="14">
        <f>K3651-Q3651</f>
        <v/>
      </c>
      <c r="S3651" s="3">
        <f>P3651*Assumptions!$B$3/100</f>
        <v/>
      </c>
      <c r="T3651" s="14">
        <f>R3651-S3651</f>
        <v/>
      </c>
      <c r="U3651" s="14">
        <f>L3651*G3651</f>
        <v/>
      </c>
    </row>
    <row r="3652">
      <c r="A3652" s="12" t="inlineStr">
        <is>
          <t>PO-2023-3650</t>
        </is>
      </c>
      <c r="B3652" s="26" t="n">
        <v>44861</v>
      </c>
      <c r="C3652" s="12" t="inlineStr">
        <is>
          <t>VS30</t>
        </is>
      </c>
      <c r="D3652" s="12" t="inlineStr">
        <is>
          <t>MS Sheets</t>
        </is>
      </c>
      <c r="E3652" s="12" t="inlineStr">
        <is>
          <t>N</t>
        </is>
      </c>
      <c r="F3652" s="12" t="n">
        <v>19.78</v>
      </c>
      <c r="G3652" s="17" t="n">
        <v>57149.82</v>
      </c>
      <c r="H3652" s="26" t="n">
        <v>44866</v>
      </c>
      <c r="I3652" s="26" t="n">
        <v>44869</v>
      </c>
      <c r="J3652" s="12" t="n">
        <v>19.67</v>
      </c>
      <c r="K3652" s="17" t="n">
        <v>1130423.44</v>
      </c>
      <c r="L3652" s="12" t="n">
        <v>0</v>
      </c>
      <c r="M3652" s="12" t="n">
        <v>18</v>
      </c>
      <c r="N3652" s="27">
        <f>F3652-J3652</f>
        <v/>
      </c>
      <c r="O3652" s="16">
        <f>I3652-H3652</f>
        <v/>
      </c>
      <c r="P3652" s="14">
        <f>F3652*G3652</f>
        <v/>
      </c>
      <c r="Q3652" s="14">
        <f>J3652*G3652</f>
        <v/>
      </c>
      <c r="R3652" s="14">
        <f>K3652-Q3652</f>
        <v/>
      </c>
      <c r="S3652" s="3">
        <f>P3652*Assumptions!$B$3/100</f>
        <v/>
      </c>
      <c r="T3652" s="14">
        <f>R3652-S3652</f>
        <v/>
      </c>
      <c r="U3652" s="14">
        <f>L3652*G3652</f>
        <v/>
      </c>
    </row>
    <row r="3653">
      <c r="A3653" s="12" t="inlineStr">
        <is>
          <t>PO-2023-3651</t>
        </is>
      </c>
      <c r="B3653" s="26" t="n">
        <v>44877</v>
      </c>
      <c r="C3653" s="12" t="inlineStr">
        <is>
          <t>VS17</t>
        </is>
      </c>
      <c r="D3653" s="12" t="inlineStr">
        <is>
          <t>MS Rods</t>
        </is>
      </c>
      <c r="E3653" s="12" t="inlineStr">
        <is>
          <t>N</t>
        </is>
      </c>
      <c r="F3653" s="12" t="n">
        <v>34.58</v>
      </c>
      <c r="G3653" s="17" t="n">
        <v>75212</v>
      </c>
      <c r="H3653" s="26" t="n">
        <v>44882</v>
      </c>
      <c r="I3653" s="26" t="n">
        <v>44884</v>
      </c>
      <c r="J3653" s="12" t="n">
        <v>34.46</v>
      </c>
      <c r="K3653" s="17" t="n">
        <v>2600830.96</v>
      </c>
      <c r="L3653" s="12" t="n">
        <v>0</v>
      </c>
      <c r="M3653" s="12" t="n">
        <v>0</v>
      </c>
      <c r="N3653" s="27">
        <f>F3653-J3653</f>
        <v/>
      </c>
      <c r="O3653" s="16">
        <f>I3653-H3653</f>
        <v/>
      </c>
      <c r="P3653" s="14">
        <f>F3653*G3653</f>
        <v/>
      </c>
      <c r="Q3653" s="14">
        <f>J3653*G3653</f>
        <v/>
      </c>
      <c r="R3653" s="14">
        <f>K3653-Q3653</f>
        <v/>
      </c>
      <c r="S3653" s="3">
        <f>P3653*Assumptions!$B$3/100</f>
        <v/>
      </c>
      <c r="T3653" s="14">
        <f>R3653-S3653</f>
        <v/>
      </c>
      <c r="U3653" s="14">
        <f>L3653*G3653</f>
        <v/>
      </c>
    </row>
    <row r="3654">
      <c r="A3654" s="12" t="inlineStr">
        <is>
          <t>PO-2023-3652</t>
        </is>
      </c>
      <c r="B3654" s="26" t="n">
        <v>45120</v>
      </c>
      <c r="C3654" s="12" t="inlineStr">
        <is>
          <t>VS12</t>
        </is>
      </c>
      <c r="D3654" s="12" t="inlineStr">
        <is>
          <t>Spring Steel</t>
        </is>
      </c>
      <c r="E3654" s="12" t="inlineStr">
        <is>
          <t>Y</t>
        </is>
      </c>
      <c r="F3654" s="12" t="n">
        <v>26.29</v>
      </c>
      <c r="G3654" s="17" t="n">
        <v>70220.08</v>
      </c>
      <c r="H3654" s="26" t="n">
        <v>45123</v>
      </c>
      <c r="I3654" s="26" t="n">
        <v>45126</v>
      </c>
      <c r="J3654" s="12" t="n">
        <v>25.08</v>
      </c>
      <c r="K3654" s="17" t="n">
        <v>1846085.9</v>
      </c>
      <c r="L3654" s="12" t="n">
        <v>0.27</v>
      </c>
      <c r="M3654" s="12" t="n">
        <v>25</v>
      </c>
      <c r="N3654" s="27">
        <f>F3654-J3654</f>
        <v/>
      </c>
      <c r="O3654" s="16">
        <f>I3654-H3654</f>
        <v/>
      </c>
      <c r="P3654" s="14">
        <f>F3654*G3654</f>
        <v/>
      </c>
      <c r="Q3654" s="14">
        <f>J3654*G3654</f>
        <v/>
      </c>
      <c r="R3654" s="14">
        <f>K3654-Q3654</f>
        <v/>
      </c>
      <c r="S3654" s="3">
        <f>P3654*Assumptions!$B$3/100</f>
        <v/>
      </c>
      <c r="T3654" s="14">
        <f>R3654-S3654</f>
        <v/>
      </c>
      <c r="U3654" s="14">
        <f>L3654*G3654</f>
        <v/>
      </c>
    </row>
    <row r="3655">
      <c r="A3655" s="12" t="inlineStr">
        <is>
          <t>PO-2023-3653</t>
        </is>
      </c>
      <c r="B3655" s="26" t="n">
        <v>45115</v>
      </c>
      <c r="C3655" s="12" t="inlineStr">
        <is>
          <t>VS27</t>
        </is>
      </c>
      <c r="D3655" s="12" t="inlineStr">
        <is>
          <t>GI Wire</t>
        </is>
      </c>
      <c r="E3655" s="12" t="inlineStr">
        <is>
          <t>N</t>
        </is>
      </c>
      <c r="F3655" s="12" t="n">
        <v>13.28</v>
      </c>
      <c r="G3655" s="17" t="n">
        <v>45771.42</v>
      </c>
      <c r="H3655" s="26" t="n">
        <v>45128</v>
      </c>
      <c r="I3655" s="26" t="n">
        <v>45129</v>
      </c>
      <c r="J3655" s="12" t="n">
        <v>13.16</v>
      </c>
      <c r="K3655" s="17" t="n">
        <v>607844.46</v>
      </c>
      <c r="L3655" s="12" t="n">
        <v>0</v>
      </c>
      <c r="M3655" s="12" t="n">
        <v>17</v>
      </c>
      <c r="N3655" s="27">
        <f>F3655-J3655</f>
        <v/>
      </c>
      <c r="O3655" s="16">
        <f>I3655-H3655</f>
        <v/>
      </c>
      <c r="P3655" s="14">
        <f>F3655*G3655</f>
        <v/>
      </c>
      <c r="Q3655" s="14">
        <f>J3655*G3655</f>
        <v/>
      </c>
      <c r="R3655" s="14">
        <f>K3655-Q3655</f>
        <v/>
      </c>
      <c r="S3655" s="3">
        <f>P3655*Assumptions!$B$3/100</f>
        <v/>
      </c>
      <c r="T3655" s="14">
        <f>R3655-S3655</f>
        <v/>
      </c>
      <c r="U3655" s="14">
        <f>L3655*G3655</f>
        <v/>
      </c>
    </row>
    <row r="3656">
      <c r="A3656" s="12" t="inlineStr">
        <is>
          <t>PO-2023-3654</t>
        </is>
      </c>
      <c r="B3656" s="26" t="n">
        <v>44969</v>
      </c>
      <c r="C3656" s="12" t="inlineStr">
        <is>
          <t>VS14</t>
        </is>
      </c>
      <c r="D3656" s="12" t="inlineStr">
        <is>
          <t>Square/Rect Tubes</t>
        </is>
      </c>
      <c r="E3656" s="12" t="inlineStr">
        <is>
          <t>N</t>
        </is>
      </c>
      <c r="F3656" s="12" t="n">
        <v>24.43</v>
      </c>
      <c r="G3656" s="17" t="n">
        <v>50069.83</v>
      </c>
      <c r="H3656" s="26" t="n">
        <v>44983</v>
      </c>
      <c r="I3656" s="26" t="n">
        <v>44985</v>
      </c>
      <c r="J3656" s="12" t="n">
        <v>24.4</v>
      </c>
      <c r="K3656" s="17" t="n">
        <v>1223205.95</v>
      </c>
      <c r="L3656" s="12" t="n">
        <v>0</v>
      </c>
      <c r="M3656" s="12" t="n">
        <v>21</v>
      </c>
      <c r="N3656" s="27">
        <f>F3656-J3656</f>
        <v/>
      </c>
      <c r="O3656" s="16">
        <f>I3656-H3656</f>
        <v/>
      </c>
      <c r="P3656" s="14">
        <f>F3656*G3656</f>
        <v/>
      </c>
      <c r="Q3656" s="14">
        <f>J3656*G3656</f>
        <v/>
      </c>
      <c r="R3656" s="14">
        <f>K3656-Q3656</f>
        <v/>
      </c>
      <c r="S3656" s="3">
        <f>P3656*Assumptions!$B$3/100</f>
        <v/>
      </c>
      <c r="T3656" s="14">
        <f>R3656-S3656</f>
        <v/>
      </c>
      <c r="U3656" s="14">
        <f>L3656*G3656</f>
        <v/>
      </c>
    </row>
    <row r="3657">
      <c r="A3657" s="12" t="inlineStr">
        <is>
          <t>PO-2023-3655</t>
        </is>
      </c>
      <c r="B3657" s="26" t="n">
        <v>44619</v>
      </c>
      <c r="C3657" s="12" t="inlineStr">
        <is>
          <t>VS22</t>
        </is>
      </c>
      <c r="D3657" s="12" t="inlineStr">
        <is>
          <t>GI Sheets</t>
        </is>
      </c>
      <c r="E3657" s="12" t="inlineStr">
        <is>
          <t>N</t>
        </is>
      </c>
      <c r="F3657" s="12" t="n">
        <v>36.6</v>
      </c>
      <c r="G3657" s="17" t="n">
        <v>117517.13</v>
      </c>
      <c r="H3657" s="26" t="n">
        <v>44628</v>
      </c>
      <c r="I3657" s="26" t="n">
        <v>44631</v>
      </c>
      <c r="J3657" s="12" t="n">
        <v>36.4</v>
      </c>
      <c r="K3657" s="17" t="n">
        <v>4301126.96</v>
      </c>
      <c r="L3657" s="12" t="n">
        <v>0</v>
      </c>
      <c r="M3657" s="12" t="n">
        <v>0</v>
      </c>
      <c r="N3657" s="27">
        <f>F3657-J3657</f>
        <v/>
      </c>
      <c r="O3657" s="16">
        <f>I3657-H3657</f>
        <v/>
      </c>
      <c r="P3657" s="14">
        <f>F3657*G3657</f>
        <v/>
      </c>
      <c r="Q3657" s="14">
        <f>J3657*G3657</f>
        <v/>
      </c>
      <c r="R3657" s="14">
        <f>K3657-Q3657</f>
        <v/>
      </c>
      <c r="S3657" s="3">
        <f>P3657*Assumptions!$B$3/100</f>
        <v/>
      </c>
      <c r="T3657" s="14">
        <f>R3657-S3657</f>
        <v/>
      </c>
      <c r="U3657" s="14">
        <f>L3657*G3657</f>
        <v/>
      </c>
    </row>
    <row r="3658">
      <c r="A3658" s="12" t="inlineStr">
        <is>
          <t>PO-2023-3656</t>
        </is>
      </c>
      <c r="B3658" s="26" t="n">
        <v>45171</v>
      </c>
      <c r="C3658" s="12" t="inlineStr">
        <is>
          <t>VS27</t>
        </is>
      </c>
      <c r="D3658" s="12" t="inlineStr">
        <is>
          <t>Square/Rect Tubes</t>
        </is>
      </c>
      <c r="E3658" s="12" t="inlineStr">
        <is>
          <t>N</t>
        </is>
      </c>
      <c r="F3658" s="12" t="n">
        <v>18.55</v>
      </c>
      <c r="G3658" s="17" t="n">
        <v>54403.53</v>
      </c>
      <c r="H3658" s="26" t="n">
        <v>45182</v>
      </c>
      <c r="I3658" s="26" t="n">
        <v>45185</v>
      </c>
      <c r="J3658" s="12" t="n">
        <v>18.45</v>
      </c>
      <c r="K3658" s="17" t="n">
        <v>1009185.48</v>
      </c>
      <c r="L3658" s="12" t="n">
        <v>0</v>
      </c>
      <c r="M3658" s="12" t="n">
        <v>0</v>
      </c>
      <c r="N3658" s="27">
        <f>F3658-J3658</f>
        <v/>
      </c>
      <c r="O3658" s="16">
        <f>I3658-H3658</f>
        <v/>
      </c>
      <c r="P3658" s="14">
        <f>F3658*G3658</f>
        <v/>
      </c>
      <c r="Q3658" s="14">
        <f>J3658*G3658</f>
        <v/>
      </c>
      <c r="R3658" s="14">
        <f>K3658-Q3658</f>
        <v/>
      </c>
      <c r="S3658" s="3">
        <f>P3658*Assumptions!$B$3/100</f>
        <v/>
      </c>
      <c r="T3658" s="14">
        <f>R3658-S3658</f>
        <v/>
      </c>
      <c r="U3658" s="14">
        <f>L3658*G3658</f>
        <v/>
      </c>
    </row>
    <row r="3659">
      <c r="A3659" s="12" t="inlineStr">
        <is>
          <t>PO-2023-3657</t>
        </is>
      </c>
      <c r="B3659" s="26" t="n">
        <v>45080</v>
      </c>
      <c r="C3659" s="12" t="inlineStr">
        <is>
          <t>VS33</t>
        </is>
      </c>
      <c r="D3659" s="12" t="inlineStr">
        <is>
          <t>Structural Steel</t>
        </is>
      </c>
      <c r="E3659" s="12" t="inlineStr">
        <is>
          <t>N</t>
        </is>
      </c>
      <c r="F3659" s="12" t="n">
        <v>30.76</v>
      </c>
      <c r="G3659" s="17" t="n">
        <v>75482.77</v>
      </c>
      <c r="H3659" s="26" t="n">
        <v>45093</v>
      </c>
      <c r="I3659" s="26" t="n">
        <v>45096</v>
      </c>
      <c r="J3659" s="12" t="n">
        <v>30.66</v>
      </c>
      <c r="K3659" s="17" t="n">
        <v>2321850.01</v>
      </c>
      <c r="L3659" s="12" t="n">
        <v>0</v>
      </c>
      <c r="M3659" s="12" t="n">
        <v>0</v>
      </c>
      <c r="N3659" s="27">
        <f>F3659-J3659</f>
        <v/>
      </c>
      <c r="O3659" s="16">
        <f>I3659-H3659</f>
        <v/>
      </c>
      <c r="P3659" s="14">
        <f>F3659*G3659</f>
        <v/>
      </c>
      <c r="Q3659" s="14">
        <f>J3659*G3659</f>
        <v/>
      </c>
      <c r="R3659" s="14">
        <f>K3659-Q3659</f>
        <v/>
      </c>
      <c r="S3659" s="3">
        <f>P3659*Assumptions!$B$3/100</f>
        <v/>
      </c>
      <c r="T3659" s="14">
        <f>R3659-S3659</f>
        <v/>
      </c>
      <c r="U3659" s="14">
        <f>L3659*G3659</f>
        <v/>
      </c>
    </row>
    <row r="3660">
      <c r="A3660" s="12" t="inlineStr">
        <is>
          <t>PO-2023-3658</t>
        </is>
      </c>
      <c r="B3660" s="26" t="n">
        <v>44258</v>
      </c>
      <c r="C3660" s="12" t="inlineStr">
        <is>
          <t>VS17</t>
        </is>
      </c>
      <c r="D3660" s="12" t="inlineStr">
        <is>
          <t>Hex Bars</t>
        </is>
      </c>
      <c r="E3660" s="12" t="inlineStr">
        <is>
          <t>N</t>
        </is>
      </c>
      <c r="F3660" s="12" t="n">
        <v>46.01</v>
      </c>
      <c r="G3660" s="17" t="n">
        <v>84248.67</v>
      </c>
      <c r="H3660" s="26" t="n">
        <v>44267</v>
      </c>
      <c r="I3660" s="26" t="n">
        <v>44268</v>
      </c>
      <c r="J3660" s="12" t="n">
        <v>46.01</v>
      </c>
      <c r="K3660" s="17" t="n">
        <v>3876281.31</v>
      </c>
      <c r="L3660" s="12" t="n">
        <v>0</v>
      </c>
      <c r="M3660" s="12" t="n">
        <v>0</v>
      </c>
      <c r="N3660" s="27">
        <f>F3660-J3660</f>
        <v/>
      </c>
      <c r="O3660" s="16">
        <f>I3660-H3660</f>
        <v/>
      </c>
      <c r="P3660" s="14">
        <f>F3660*G3660</f>
        <v/>
      </c>
      <c r="Q3660" s="14">
        <f>J3660*G3660</f>
        <v/>
      </c>
      <c r="R3660" s="14">
        <f>K3660-Q3660</f>
        <v/>
      </c>
      <c r="S3660" s="3">
        <f>P3660*Assumptions!$B$3/100</f>
        <v/>
      </c>
      <c r="T3660" s="14">
        <f>R3660-S3660</f>
        <v/>
      </c>
      <c r="U3660" s="14">
        <f>L3660*G3660</f>
        <v/>
      </c>
    </row>
    <row r="3661">
      <c r="A3661" s="12" t="inlineStr">
        <is>
          <t>PO-2023-3659</t>
        </is>
      </c>
      <c r="B3661" s="26" t="n">
        <v>44675</v>
      </c>
      <c r="C3661" s="12" t="inlineStr">
        <is>
          <t>VS12</t>
        </is>
      </c>
      <c r="D3661" s="12" t="inlineStr">
        <is>
          <t>GI Pipes</t>
        </is>
      </c>
      <c r="E3661" s="12" t="inlineStr">
        <is>
          <t>N</t>
        </is>
      </c>
      <c r="F3661" s="12" t="n">
        <v>35</v>
      </c>
      <c r="G3661" s="17" t="n">
        <v>107653.42</v>
      </c>
      <c r="H3661" s="26" t="n">
        <v>44690</v>
      </c>
      <c r="I3661" s="26" t="n">
        <v>44693</v>
      </c>
      <c r="J3661" s="12" t="n">
        <v>33.35</v>
      </c>
      <c r="K3661" s="17" t="n">
        <v>3767869.7</v>
      </c>
      <c r="L3661" s="12" t="n">
        <v>1.56</v>
      </c>
      <c r="M3661" s="12" t="n">
        <v>16</v>
      </c>
      <c r="N3661" s="27">
        <f>F3661-J3661</f>
        <v/>
      </c>
      <c r="O3661" s="16">
        <f>I3661-H3661</f>
        <v/>
      </c>
      <c r="P3661" s="14">
        <f>F3661*G3661</f>
        <v/>
      </c>
      <c r="Q3661" s="14">
        <f>J3661*G3661</f>
        <v/>
      </c>
      <c r="R3661" s="14">
        <f>K3661-Q3661</f>
        <v/>
      </c>
      <c r="S3661" s="3">
        <f>P3661*Assumptions!$B$3/100</f>
        <v/>
      </c>
      <c r="T3661" s="14">
        <f>R3661-S3661</f>
        <v/>
      </c>
      <c r="U3661" s="14">
        <f>L3661*G3661</f>
        <v/>
      </c>
    </row>
    <row r="3662">
      <c r="A3662" s="12" t="inlineStr">
        <is>
          <t>PO-2023-3660</t>
        </is>
      </c>
      <c r="B3662" s="26" t="n">
        <v>44678</v>
      </c>
      <c r="C3662" s="12" t="inlineStr">
        <is>
          <t>VS17</t>
        </is>
      </c>
      <c r="D3662" s="12" t="inlineStr">
        <is>
          <t>MS Pipes</t>
        </is>
      </c>
      <c r="E3662" s="12" t="inlineStr">
        <is>
          <t>N</t>
        </is>
      </c>
      <c r="F3662" s="12" t="n">
        <v>18</v>
      </c>
      <c r="G3662" s="17" t="n">
        <v>46904.95</v>
      </c>
      <c r="H3662" s="26" t="n">
        <v>44689</v>
      </c>
      <c r="I3662" s="26" t="n">
        <v>44691</v>
      </c>
      <c r="J3662" s="12" t="n">
        <v>17.9</v>
      </c>
      <c r="K3662" s="17" t="n">
        <v>844289.1</v>
      </c>
      <c r="L3662" s="12" t="n">
        <v>0</v>
      </c>
      <c r="M3662" s="12" t="n">
        <v>2</v>
      </c>
      <c r="N3662" s="27">
        <f>F3662-J3662</f>
        <v/>
      </c>
      <c r="O3662" s="16">
        <f>I3662-H3662</f>
        <v/>
      </c>
      <c r="P3662" s="14">
        <f>F3662*G3662</f>
        <v/>
      </c>
      <c r="Q3662" s="14">
        <f>J3662*G3662</f>
        <v/>
      </c>
      <c r="R3662" s="14">
        <f>K3662-Q3662</f>
        <v/>
      </c>
      <c r="S3662" s="3">
        <f>P3662*Assumptions!$B$3/100</f>
        <v/>
      </c>
      <c r="T3662" s="14">
        <f>R3662-S3662</f>
        <v/>
      </c>
      <c r="U3662" s="14">
        <f>L3662*G3662</f>
        <v/>
      </c>
    </row>
    <row r="3663">
      <c r="A3663" s="12" t="inlineStr">
        <is>
          <t>PO-2023-3661</t>
        </is>
      </c>
      <c r="B3663" s="26" t="n">
        <v>44493</v>
      </c>
      <c r="C3663" s="12" t="inlineStr">
        <is>
          <t>VS31</t>
        </is>
      </c>
      <c r="D3663" s="12" t="inlineStr">
        <is>
          <t>GI Sheets</t>
        </is>
      </c>
      <c r="E3663" s="12" t="inlineStr">
        <is>
          <t>Y</t>
        </is>
      </c>
      <c r="F3663" s="12" t="n">
        <v>29.31</v>
      </c>
      <c r="G3663" s="17" t="n">
        <v>100665.28</v>
      </c>
      <c r="H3663" s="26" t="n">
        <v>44501</v>
      </c>
      <c r="I3663" s="26" t="n">
        <v>44502</v>
      </c>
      <c r="J3663" s="12" t="n">
        <v>29.23</v>
      </c>
      <c r="K3663" s="17" t="n">
        <v>2950499.36</v>
      </c>
      <c r="L3663" s="12" t="n">
        <v>0</v>
      </c>
      <c r="M3663" s="12" t="n">
        <v>0</v>
      </c>
      <c r="N3663" s="27">
        <f>F3663-J3663</f>
        <v/>
      </c>
      <c r="O3663" s="16">
        <f>I3663-H3663</f>
        <v/>
      </c>
      <c r="P3663" s="14">
        <f>F3663*G3663</f>
        <v/>
      </c>
      <c r="Q3663" s="14">
        <f>J3663*G3663</f>
        <v/>
      </c>
      <c r="R3663" s="14">
        <f>K3663-Q3663</f>
        <v/>
      </c>
      <c r="S3663" s="3">
        <f>P3663*Assumptions!$B$3/100</f>
        <v/>
      </c>
      <c r="T3663" s="14">
        <f>R3663-S3663</f>
        <v/>
      </c>
      <c r="U3663" s="14">
        <f>L3663*G3663</f>
        <v/>
      </c>
    </row>
    <row r="3664">
      <c r="A3664" s="12" t="inlineStr">
        <is>
          <t>PO-2023-3662</t>
        </is>
      </c>
      <c r="B3664" s="26" t="n">
        <v>45117</v>
      </c>
      <c r="C3664" s="12" t="inlineStr">
        <is>
          <t>VS28</t>
        </is>
      </c>
      <c r="D3664" s="12" t="inlineStr">
        <is>
          <t>CR Sheets</t>
        </is>
      </c>
      <c r="E3664" s="12" t="inlineStr">
        <is>
          <t>N</t>
        </is>
      </c>
      <c r="F3664" s="12" t="n">
        <v>39.05</v>
      </c>
      <c r="G3664" s="17" t="n">
        <v>68570.3</v>
      </c>
      <c r="H3664" s="26" t="n">
        <v>45130</v>
      </c>
      <c r="I3664" s="26" t="n">
        <v>45131</v>
      </c>
      <c r="J3664" s="12" t="n">
        <v>38.89</v>
      </c>
      <c r="K3664" s="17" t="n">
        <v>2677670.21</v>
      </c>
      <c r="L3664" s="12" t="n">
        <v>0</v>
      </c>
      <c r="M3664" s="12" t="n">
        <v>0</v>
      </c>
      <c r="N3664" s="27">
        <f>F3664-J3664</f>
        <v/>
      </c>
      <c r="O3664" s="16">
        <f>I3664-H3664</f>
        <v/>
      </c>
      <c r="P3664" s="14">
        <f>F3664*G3664</f>
        <v/>
      </c>
      <c r="Q3664" s="14">
        <f>J3664*G3664</f>
        <v/>
      </c>
      <c r="R3664" s="14">
        <f>K3664-Q3664</f>
        <v/>
      </c>
      <c r="S3664" s="3">
        <f>P3664*Assumptions!$B$3/100</f>
        <v/>
      </c>
      <c r="T3664" s="14">
        <f>R3664-S3664</f>
        <v/>
      </c>
      <c r="U3664" s="14">
        <f>L3664*G3664</f>
        <v/>
      </c>
    </row>
    <row r="3665">
      <c r="A3665" s="12" t="inlineStr">
        <is>
          <t>PO-2023-3663</t>
        </is>
      </c>
      <c r="B3665" s="26" t="n">
        <v>44855</v>
      </c>
      <c r="C3665" s="12" t="inlineStr">
        <is>
          <t>VS27</t>
        </is>
      </c>
      <c r="D3665" s="12" t="inlineStr">
        <is>
          <t>Fasteners &amp; Fittings</t>
        </is>
      </c>
      <c r="E3665" s="12" t="inlineStr">
        <is>
          <t>N</t>
        </is>
      </c>
      <c r="F3665" s="12" t="n">
        <v>3.83</v>
      </c>
      <c r="G3665" s="17" t="n">
        <v>80526.75</v>
      </c>
      <c r="H3665" s="26" t="n">
        <v>44867</v>
      </c>
      <c r="I3665" s="26" t="n">
        <v>44870</v>
      </c>
      <c r="J3665" s="12" t="n">
        <v>3.81</v>
      </c>
      <c r="K3665" s="17" t="n">
        <v>308417.45</v>
      </c>
      <c r="L3665" s="12" t="n">
        <v>0</v>
      </c>
      <c r="M3665" s="12" t="n">
        <v>21</v>
      </c>
      <c r="N3665" s="27">
        <f>F3665-J3665</f>
        <v/>
      </c>
      <c r="O3665" s="16">
        <f>I3665-H3665</f>
        <v/>
      </c>
      <c r="P3665" s="14">
        <f>F3665*G3665</f>
        <v/>
      </c>
      <c r="Q3665" s="14">
        <f>J3665*G3665</f>
        <v/>
      </c>
      <c r="R3665" s="14">
        <f>K3665-Q3665</f>
        <v/>
      </c>
      <c r="S3665" s="3">
        <f>P3665*Assumptions!$B$3/100</f>
        <v/>
      </c>
      <c r="T3665" s="14">
        <f>R3665-S3665</f>
        <v/>
      </c>
      <c r="U3665" s="14">
        <f>L3665*G3665</f>
        <v/>
      </c>
    </row>
    <row r="3666">
      <c r="A3666" s="12" t="inlineStr">
        <is>
          <t>PO-2023-3664</t>
        </is>
      </c>
      <c r="B3666" s="26" t="n">
        <v>45145</v>
      </c>
      <c r="C3666" s="12" t="inlineStr">
        <is>
          <t>VS32</t>
        </is>
      </c>
      <c r="D3666" s="12" t="inlineStr">
        <is>
          <t>MS Flats</t>
        </is>
      </c>
      <c r="E3666" s="12" t="inlineStr">
        <is>
          <t>N</t>
        </is>
      </c>
      <c r="F3666" s="12" t="n">
        <v>17.87</v>
      </c>
      <c r="G3666" s="17" t="n">
        <v>56908.89</v>
      </c>
      <c r="H3666" s="26" t="n">
        <v>45149</v>
      </c>
      <c r="I3666" s="26" t="n">
        <v>45151</v>
      </c>
      <c r="J3666" s="12" t="n">
        <v>17.72</v>
      </c>
      <c r="K3666" s="17" t="n">
        <v>1016961.86</v>
      </c>
      <c r="L3666" s="12" t="n">
        <v>0</v>
      </c>
      <c r="M3666" s="12" t="n">
        <v>8</v>
      </c>
      <c r="N3666" s="27">
        <f>F3666-J3666</f>
        <v/>
      </c>
      <c r="O3666" s="16">
        <f>I3666-H3666</f>
        <v/>
      </c>
      <c r="P3666" s="14">
        <f>F3666*G3666</f>
        <v/>
      </c>
      <c r="Q3666" s="14">
        <f>J3666*G3666</f>
        <v/>
      </c>
      <c r="R3666" s="14">
        <f>K3666-Q3666</f>
        <v/>
      </c>
      <c r="S3666" s="3">
        <f>P3666*Assumptions!$B$3/100</f>
        <v/>
      </c>
      <c r="T3666" s="14">
        <f>R3666-S3666</f>
        <v/>
      </c>
      <c r="U3666" s="14">
        <f>L3666*G3666</f>
        <v/>
      </c>
    </row>
    <row r="3667">
      <c r="A3667" s="12" t="inlineStr">
        <is>
          <t>PO-2023-3665</t>
        </is>
      </c>
      <c r="B3667" s="26" t="n">
        <v>44253</v>
      </c>
      <c r="C3667" s="12" t="inlineStr">
        <is>
          <t>VS16</t>
        </is>
      </c>
      <c r="D3667" s="12" t="inlineStr">
        <is>
          <t>Hex Bars</t>
        </is>
      </c>
      <c r="E3667" s="12" t="inlineStr">
        <is>
          <t>N</t>
        </is>
      </c>
      <c r="F3667" s="12" t="n">
        <v>13.72</v>
      </c>
      <c r="G3667" s="17" t="n">
        <v>108380.87</v>
      </c>
      <c r="H3667" s="26" t="n">
        <v>44263</v>
      </c>
      <c r="I3667" s="26" t="n">
        <v>44265</v>
      </c>
      <c r="J3667" s="12" t="n">
        <v>13.65</v>
      </c>
      <c r="K3667" s="17" t="n">
        <v>1486985.54</v>
      </c>
      <c r="L3667" s="12" t="n">
        <v>0</v>
      </c>
      <c r="M3667" s="12" t="n">
        <v>18</v>
      </c>
      <c r="N3667" s="27">
        <f>F3667-J3667</f>
        <v/>
      </c>
      <c r="O3667" s="16">
        <f>I3667-H3667</f>
        <v/>
      </c>
      <c r="P3667" s="14">
        <f>F3667*G3667</f>
        <v/>
      </c>
      <c r="Q3667" s="14">
        <f>J3667*G3667</f>
        <v/>
      </c>
      <c r="R3667" s="14">
        <f>K3667-Q3667</f>
        <v/>
      </c>
      <c r="S3667" s="3">
        <f>P3667*Assumptions!$B$3/100</f>
        <v/>
      </c>
      <c r="T3667" s="14">
        <f>R3667-S3667</f>
        <v/>
      </c>
      <c r="U3667" s="14">
        <f>L3667*G3667</f>
        <v/>
      </c>
    </row>
    <row r="3668">
      <c r="A3668" s="12" t="inlineStr">
        <is>
          <t>PO-2023-3666</t>
        </is>
      </c>
      <c r="B3668" s="26" t="n">
        <v>44627</v>
      </c>
      <c r="C3668" s="12" t="inlineStr">
        <is>
          <t>VS26</t>
        </is>
      </c>
      <c r="D3668" s="12" t="inlineStr">
        <is>
          <t>Square/Rect Tubes</t>
        </is>
      </c>
      <c r="E3668" s="12" t="inlineStr">
        <is>
          <t>N</t>
        </is>
      </c>
      <c r="F3668" s="12" t="n">
        <v>23.32</v>
      </c>
      <c r="G3668" s="17" t="n">
        <v>60468.15</v>
      </c>
      <c r="H3668" s="26" t="n">
        <v>44630</v>
      </c>
      <c r="I3668" s="26" t="n">
        <v>44631</v>
      </c>
      <c r="J3668" s="12" t="n">
        <v>23.17</v>
      </c>
      <c r="K3668" s="17" t="n">
        <v>1410117.26</v>
      </c>
      <c r="L3668" s="12" t="n">
        <v>0</v>
      </c>
      <c r="M3668" s="12" t="n">
        <v>0</v>
      </c>
      <c r="N3668" s="27">
        <f>F3668-J3668</f>
        <v/>
      </c>
      <c r="O3668" s="16">
        <f>I3668-H3668</f>
        <v/>
      </c>
      <c r="P3668" s="14">
        <f>F3668*G3668</f>
        <v/>
      </c>
      <c r="Q3668" s="14">
        <f>J3668*G3668</f>
        <v/>
      </c>
      <c r="R3668" s="14">
        <f>K3668-Q3668</f>
        <v/>
      </c>
      <c r="S3668" s="3">
        <f>P3668*Assumptions!$B$3/100</f>
        <v/>
      </c>
      <c r="T3668" s="14">
        <f>R3668-S3668</f>
        <v/>
      </c>
      <c r="U3668" s="14">
        <f>L3668*G3668</f>
        <v/>
      </c>
    </row>
    <row r="3669">
      <c r="A3669" s="12" t="inlineStr">
        <is>
          <t>PO-2023-3667</t>
        </is>
      </c>
      <c r="B3669" s="26" t="n">
        <v>44557</v>
      </c>
      <c r="C3669" s="12" t="inlineStr">
        <is>
          <t>VS12</t>
        </is>
      </c>
      <c r="D3669" s="12" t="inlineStr">
        <is>
          <t>Square/Rect Tubes</t>
        </is>
      </c>
      <c r="E3669" s="12" t="inlineStr">
        <is>
          <t>N</t>
        </is>
      </c>
      <c r="F3669" s="12" t="n">
        <v>24.63</v>
      </c>
      <c r="G3669" s="17" t="n">
        <v>55100.51</v>
      </c>
      <c r="H3669" s="26" t="n">
        <v>44561</v>
      </c>
      <c r="I3669" s="26" t="n">
        <v>44566</v>
      </c>
      <c r="J3669" s="12" t="n">
        <v>23.95</v>
      </c>
      <c r="K3669" s="17" t="n">
        <v>1357125.56</v>
      </c>
      <c r="L3669" s="12" t="n">
        <v>0.07000000000000001</v>
      </c>
      <c r="M3669" s="12" t="n">
        <v>1</v>
      </c>
      <c r="N3669" s="27">
        <f>F3669-J3669</f>
        <v/>
      </c>
      <c r="O3669" s="16">
        <f>I3669-H3669</f>
        <v/>
      </c>
      <c r="P3669" s="14">
        <f>F3669*G3669</f>
        <v/>
      </c>
      <c r="Q3669" s="14">
        <f>J3669*G3669</f>
        <v/>
      </c>
      <c r="R3669" s="14">
        <f>K3669-Q3669</f>
        <v/>
      </c>
      <c r="S3669" s="3">
        <f>P3669*Assumptions!$B$3/100</f>
        <v/>
      </c>
      <c r="T3669" s="14">
        <f>R3669-S3669</f>
        <v/>
      </c>
      <c r="U3669" s="14">
        <f>L3669*G3669</f>
        <v/>
      </c>
    </row>
    <row r="3670">
      <c r="A3670" s="12" t="inlineStr">
        <is>
          <t>PO-2023-3668</t>
        </is>
      </c>
      <c r="B3670" s="26" t="n">
        <v>45148</v>
      </c>
      <c r="C3670" s="12" t="inlineStr">
        <is>
          <t>VS24</t>
        </is>
      </c>
      <c r="D3670" s="12" t="inlineStr">
        <is>
          <t>Structural Steel</t>
        </is>
      </c>
      <c r="E3670" s="12" t="inlineStr">
        <is>
          <t>N</t>
        </is>
      </c>
      <c r="F3670" s="12" t="n">
        <v>21.87</v>
      </c>
      <c r="G3670" s="17" t="n">
        <v>54051.9</v>
      </c>
      <c r="H3670" s="26" t="n">
        <v>45158</v>
      </c>
      <c r="I3670" s="26" t="n">
        <v>45159</v>
      </c>
      <c r="J3670" s="12" t="n">
        <v>21.8</v>
      </c>
      <c r="K3670" s="17" t="n">
        <v>1182115.05</v>
      </c>
      <c r="L3670" s="12" t="n">
        <v>0</v>
      </c>
      <c r="M3670" s="12" t="n">
        <v>0</v>
      </c>
      <c r="N3670" s="27">
        <f>F3670-J3670</f>
        <v/>
      </c>
      <c r="O3670" s="16">
        <f>I3670-H3670</f>
        <v/>
      </c>
      <c r="P3670" s="14">
        <f>F3670*G3670</f>
        <v/>
      </c>
      <c r="Q3670" s="14">
        <f>J3670*G3670</f>
        <v/>
      </c>
      <c r="R3670" s="14">
        <f>K3670-Q3670</f>
        <v/>
      </c>
      <c r="S3670" s="3">
        <f>P3670*Assumptions!$B$3/100</f>
        <v/>
      </c>
      <c r="T3670" s="14">
        <f>R3670-S3670</f>
        <v/>
      </c>
      <c r="U3670" s="14">
        <f>L3670*G3670</f>
        <v/>
      </c>
    </row>
    <row r="3671">
      <c r="A3671" s="12" t="inlineStr">
        <is>
          <t>PO-2023-3669</t>
        </is>
      </c>
      <c r="B3671" s="26" t="n">
        <v>44415</v>
      </c>
      <c r="C3671" s="12" t="inlineStr">
        <is>
          <t>VS28</t>
        </is>
      </c>
      <c r="D3671" s="12" t="inlineStr">
        <is>
          <t>MS Sheets</t>
        </is>
      </c>
      <c r="E3671" s="12" t="inlineStr">
        <is>
          <t>N</t>
        </is>
      </c>
      <c r="F3671" s="12" t="n">
        <v>3.8</v>
      </c>
      <c r="G3671" s="17" t="n">
        <v>67089.60000000001</v>
      </c>
      <c r="H3671" s="26" t="n">
        <v>44427</v>
      </c>
      <c r="I3671" s="26" t="n">
        <v>44429</v>
      </c>
      <c r="J3671" s="12" t="n">
        <v>3.77</v>
      </c>
      <c r="K3671" s="17" t="n">
        <v>254940.48</v>
      </c>
      <c r="L3671" s="12" t="n">
        <v>0</v>
      </c>
      <c r="M3671" s="12" t="n">
        <v>0</v>
      </c>
      <c r="N3671" s="27">
        <f>F3671-J3671</f>
        <v/>
      </c>
      <c r="O3671" s="16">
        <f>I3671-H3671</f>
        <v/>
      </c>
      <c r="P3671" s="14">
        <f>F3671*G3671</f>
        <v/>
      </c>
      <c r="Q3671" s="14">
        <f>J3671*G3671</f>
        <v/>
      </c>
      <c r="R3671" s="14">
        <f>K3671-Q3671</f>
        <v/>
      </c>
      <c r="S3671" s="3">
        <f>P3671*Assumptions!$B$3/100</f>
        <v/>
      </c>
      <c r="T3671" s="14">
        <f>R3671-S3671</f>
        <v/>
      </c>
      <c r="U3671" s="14">
        <f>L3671*G3671</f>
        <v/>
      </c>
    </row>
    <row r="3672">
      <c r="A3672" s="12" t="inlineStr">
        <is>
          <t>PO-2023-3670</t>
        </is>
      </c>
      <c r="B3672" s="26" t="n">
        <v>44958</v>
      </c>
      <c r="C3672" s="12" t="inlineStr">
        <is>
          <t>VS08</t>
        </is>
      </c>
      <c r="D3672" s="12" t="inlineStr">
        <is>
          <t>SS Sheets</t>
        </is>
      </c>
      <c r="E3672" s="12" t="inlineStr">
        <is>
          <t>Y</t>
        </is>
      </c>
      <c r="F3672" s="12" t="n">
        <v>14.14</v>
      </c>
      <c r="G3672" s="17" t="n">
        <v>86436.53999999999</v>
      </c>
      <c r="H3672" s="26" t="n">
        <v>44970</v>
      </c>
      <c r="I3672" s="26" t="n">
        <v>44970</v>
      </c>
      <c r="J3672" s="12" t="n">
        <v>14.02</v>
      </c>
      <c r="K3672" s="17" t="n">
        <v>1222212.68</v>
      </c>
      <c r="L3672" s="12" t="n">
        <v>0</v>
      </c>
      <c r="M3672" s="12" t="n">
        <v>20</v>
      </c>
      <c r="N3672" s="27">
        <f>F3672-J3672</f>
        <v/>
      </c>
      <c r="O3672" s="16">
        <f>I3672-H3672</f>
        <v/>
      </c>
      <c r="P3672" s="14">
        <f>F3672*G3672</f>
        <v/>
      </c>
      <c r="Q3672" s="14">
        <f>J3672*G3672</f>
        <v/>
      </c>
      <c r="R3672" s="14">
        <f>K3672-Q3672</f>
        <v/>
      </c>
      <c r="S3672" s="3">
        <f>P3672*Assumptions!$B$3/100</f>
        <v/>
      </c>
      <c r="T3672" s="14">
        <f>R3672-S3672</f>
        <v/>
      </c>
      <c r="U3672" s="14">
        <f>L3672*G3672</f>
        <v/>
      </c>
    </row>
    <row r="3673">
      <c r="A3673" s="12" t="inlineStr">
        <is>
          <t>PO-2023-3671</t>
        </is>
      </c>
      <c r="B3673" s="26" t="n">
        <v>44673</v>
      </c>
      <c r="C3673" s="12" t="inlineStr">
        <is>
          <t>VS03</t>
        </is>
      </c>
      <c r="D3673" s="12" t="inlineStr">
        <is>
          <t>Angles &amp; Channels</t>
        </is>
      </c>
      <c r="E3673" s="12" t="inlineStr">
        <is>
          <t>N</t>
        </is>
      </c>
      <c r="F3673" s="12" t="n">
        <v>9.609999999999999</v>
      </c>
      <c r="G3673" s="17" t="n">
        <v>54878.1</v>
      </c>
      <c r="H3673" s="26" t="n">
        <v>44682</v>
      </c>
      <c r="I3673" s="26" t="n">
        <v>44687</v>
      </c>
      <c r="J3673" s="12" t="n">
        <v>9.15</v>
      </c>
      <c r="K3673" s="17" t="n">
        <v>527378.54</v>
      </c>
      <c r="L3673" s="12" t="n">
        <v>0.19</v>
      </c>
      <c r="M3673" s="12" t="n">
        <v>4</v>
      </c>
      <c r="N3673" s="27">
        <f>F3673-J3673</f>
        <v/>
      </c>
      <c r="O3673" s="16">
        <f>I3673-H3673</f>
        <v/>
      </c>
      <c r="P3673" s="14">
        <f>F3673*G3673</f>
        <v/>
      </c>
      <c r="Q3673" s="14">
        <f>J3673*G3673</f>
        <v/>
      </c>
      <c r="R3673" s="14">
        <f>K3673-Q3673</f>
        <v/>
      </c>
      <c r="S3673" s="3">
        <f>P3673*Assumptions!$B$3/100</f>
        <v/>
      </c>
      <c r="T3673" s="14">
        <f>R3673-S3673</f>
        <v/>
      </c>
      <c r="U3673" s="14">
        <f>L3673*G3673</f>
        <v/>
      </c>
    </row>
    <row r="3674">
      <c r="A3674" s="12" t="inlineStr">
        <is>
          <t>PO-2023-3672</t>
        </is>
      </c>
      <c r="B3674" s="26" t="n">
        <v>44213</v>
      </c>
      <c r="C3674" s="12" t="inlineStr">
        <is>
          <t>VS14</t>
        </is>
      </c>
      <c r="D3674" s="12" t="inlineStr">
        <is>
          <t>MS Sheets</t>
        </is>
      </c>
      <c r="E3674" s="12" t="inlineStr">
        <is>
          <t>N</t>
        </is>
      </c>
      <c r="F3674" s="12" t="n">
        <v>10.17</v>
      </c>
      <c r="G3674" s="17" t="n">
        <v>112386.66</v>
      </c>
      <c r="H3674" s="26" t="n">
        <v>44227</v>
      </c>
      <c r="I3674" s="26" t="n">
        <v>44230</v>
      </c>
      <c r="J3674" s="12" t="n">
        <v>10.13</v>
      </c>
      <c r="K3674" s="17" t="n">
        <v>1142972.33</v>
      </c>
      <c r="L3674" s="12" t="n">
        <v>0</v>
      </c>
      <c r="M3674" s="12" t="n">
        <v>0</v>
      </c>
      <c r="N3674" s="27">
        <f>F3674-J3674</f>
        <v/>
      </c>
      <c r="O3674" s="16">
        <f>I3674-H3674</f>
        <v/>
      </c>
      <c r="P3674" s="14">
        <f>F3674*G3674</f>
        <v/>
      </c>
      <c r="Q3674" s="14">
        <f>J3674*G3674</f>
        <v/>
      </c>
      <c r="R3674" s="14">
        <f>K3674-Q3674</f>
        <v/>
      </c>
      <c r="S3674" s="3">
        <f>P3674*Assumptions!$B$3/100</f>
        <v/>
      </c>
      <c r="T3674" s="14">
        <f>R3674-S3674</f>
        <v/>
      </c>
      <c r="U3674" s="14">
        <f>L3674*G3674</f>
        <v/>
      </c>
    </row>
    <row r="3675">
      <c r="A3675" s="12" t="inlineStr">
        <is>
          <t>PO-2023-3673</t>
        </is>
      </c>
      <c r="B3675" s="26" t="n">
        <v>45043</v>
      </c>
      <c r="C3675" s="12" t="inlineStr">
        <is>
          <t>VS01</t>
        </is>
      </c>
      <c r="D3675" s="12" t="inlineStr">
        <is>
          <t>ERW Pipes</t>
        </is>
      </c>
      <c r="E3675" s="12" t="inlineStr">
        <is>
          <t>Y</t>
        </is>
      </c>
      <c r="F3675" s="12" t="n">
        <v>49.85</v>
      </c>
      <c r="G3675" s="17" t="n">
        <v>111786.26</v>
      </c>
      <c r="H3675" s="26" t="n">
        <v>45048</v>
      </c>
      <c r="I3675" s="26" t="n">
        <v>45051</v>
      </c>
      <c r="J3675" s="12" t="n">
        <v>49.72</v>
      </c>
      <c r="K3675" s="17" t="n">
        <v>5572545.06</v>
      </c>
      <c r="L3675" s="12" t="n">
        <v>0</v>
      </c>
      <c r="M3675" s="12" t="n">
        <v>0</v>
      </c>
      <c r="N3675" s="27">
        <f>F3675-J3675</f>
        <v/>
      </c>
      <c r="O3675" s="16">
        <f>I3675-H3675</f>
        <v/>
      </c>
      <c r="P3675" s="14">
        <f>F3675*G3675</f>
        <v/>
      </c>
      <c r="Q3675" s="14">
        <f>J3675*G3675</f>
        <v/>
      </c>
      <c r="R3675" s="14">
        <f>K3675-Q3675</f>
        <v/>
      </c>
      <c r="S3675" s="3">
        <f>P3675*Assumptions!$B$3/100</f>
        <v/>
      </c>
      <c r="T3675" s="14">
        <f>R3675-S3675</f>
        <v/>
      </c>
      <c r="U3675" s="14">
        <f>L3675*G3675</f>
        <v/>
      </c>
    </row>
    <row r="3676">
      <c r="A3676" s="12" t="inlineStr">
        <is>
          <t>PO-2023-3674</t>
        </is>
      </c>
      <c r="B3676" s="26" t="n">
        <v>45011</v>
      </c>
      <c r="C3676" s="12" t="inlineStr">
        <is>
          <t>VS18</t>
        </is>
      </c>
      <c r="D3676" s="12" t="inlineStr">
        <is>
          <t>Structural Steel</t>
        </is>
      </c>
      <c r="E3676" s="12" t="inlineStr">
        <is>
          <t>N</t>
        </is>
      </c>
      <c r="F3676" s="12" t="n">
        <v>41.61</v>
      </c>
      <c r="G3676" s="17" t="n">
        <v>49541.25</v>
      </c>
      <c r="H3676" s="26" t="n">
        <v>45022</v>
      </c>
      <c r="I3676" s="26" t="n">
        <v>45025</v>
      </c>
      <c r="J3676" s="12" t="n">
        <v>41.41</v>
      </c>
      <c r="K3676" s="17" t="n">
        <v>2061411.41</v>
      </c>
      <c r="L3676" s="12" t="n">
        <v>0</v>
      </c>
      <c r="M3676" s="12" t="n">
        <v>0</v>
      </c>
      <c r="N3676" s="27">
        <f>F3676-J3676</f>
        <v/>
      </c>
      <c r="O3676" s="16">
        <f>I3676-H3676</f>
        <v/>
      </c>
      <c r="P3676" s="14">
        <f>F3676*G3676</f>
        <v/>
      </c>
      <c r="Q3676" s="14">
        <f>J3676*G3676</f>
        <v/>
      </c>
      <c r="R3676" s="14">
        <f>K3676-Q3676</f>
        <v/>
      </c>
      <c r="S3676" s="3">
        <f>P3676*Assumptions!$B$3/100</f>
        <v/>
      </c>
      <c r="T3676" s="14">
        <f>R3676-S3676</f>
        <v/>
      </c>
      <c r="U3676" s="14">
        <f>L3676*G3676</f>
        <v/>
      </c>
    </row>
    <row r="3677">
      <c r="A3677" s="12" t="inlineStr">
        <is>
          <t>PO-2023-3675</t>
        </is>
      </c>
      <c r="B3677" s="26" t="n">
        <v>44248</v>
      </c>
      <c r="C3677" s="12" t="inlineStr">
        <is>
          <t>VS05</t>
        </is>
      </c>
      <c r="D3677" s="12" t="inlineStr">
        <is>
          <t>Fasteners &amp; Fittings</t>
        </is>
      </c>
      <c r="E3677" s="12" t="inlineStr">
        <is>
          <t>N</t>
        </is>
      </c>
      <c r="F3677" s="12" t="n">
        <v>23.76</v>
      </c>
      <c r="G3677" s="17" t="n">
        <v>111529.44</v>
      </c>
      <c r="H3677" s="26" t="n">
        <v>44251</v>
      </c>
      <c r="I3677" s="26" t="n">
        <v>44254</v>
      </c>
      <c r="J3677" s="12" t="n">
        <v>23.57</v>
      </c>
      <c r="K3677" s="17" t="n">
        <v>2649939.49</v>
      </c>
      <c r="L3677" s="12" t="n">
        <v>0</v>
      </c>
      <c r="M3677" s="12" t="n">
        <v>18</v>
      </c>
      <c r="N3677" s="27">
        <f>F3677-J3677</f>
        <v/>
      </c>
      <c r="O3677" s="16">
        <f>I3677-H3677</f>
        <v/>
      </c>
      <c r="P3677" s="14">
        <f>F3677*G3677</f>
        <v/>
      </c>
      <c r="Q3677" s="14">
        <f>J3677*G3677</f>
        <v/>
      </c>
      <c r="R3677" s="14">
        <f>K3677-Q3677</f>
        <v/>
      </c>
      <c r="S3677" s="3">
        <f>P3677*Assumptions!$B$3/100</f>
        <v/>
      </c>
      <c r="T3677" s="14">
        <f>R3677-S3677</f>
        <v/>
      </c>
      <c r="U3677" s="14">
        <f>L3677*G3677</f>
        <v/>
      </c>
    </row>
    <row r="3678">
      <c r="A3678" s="12" t="inlineStr">
        <is>
          <t>PO-2023-3676</t>
        </is>
      </c>
      <c r="B3678" s="26" t="n">
        <v>44639</v>
      </c>
      <c r="C3678" s="12" t="inlineStr">
        <is>
          <t>VS06</t>
        </is>
      </c>
      <c r="D3678" s="12" t="inlineStr">
        <is>
          <t>MS Rods</t>
        </is>
      </c>
      <c r="E3678" s="12" t="inlineStr">
        <is>
          <t>Y</t>
        </is>
      </c>
      <c r="F3678" s="12" t="n">
        <v>46.27</v>
      </c>
      <c r="G3678" s="17" t="n">
        <v>78423.62</v>
      </c>
      <c r="H3678" s="26" t="n">
        <v>44654</v>
      </c>
      <c r="I3678" s="26" t="n">
        <v>44654</v>
      </c>
      <c r="J3678" s="12" t="n">
        <v>46.21</v>
      </c>
      <c r="K3678" s="17" t="n">
        <v>3628660.9</v>
      </c>
      <c r="L3678" s="12" t="n">
        <v>0</v>
      </c>
      <c r="M3678" s="12" t="n">
        <v>25</v>
      </c>
      <c r="N3678" s="27">
        <f>F3678-J3678</f>
        <v/>
      </c>
      <c r="O3678" s="16">
        <f>I3678-H3678</f>
        <v/>
      </c>
      <c r="P3678" s="14">
        <f>F3678*G3678</f>
        <v/>
      </c>
      <c r="Q3678" s="14">
        <f>J3678*G3678</f>
        <v/>
      </c>
      <c r="R3678" s="14">
        <f>K3678-Q3678</f>
        <v/>
      </c>
      <c r="S3678" s="3">
        <f>P3678*Assumptions!$B$3/100</f>
        <v/>
      </c>
      <c r="T3678" s="14">
        <f>R3678-S3678</f>
        <v/>
      </c>
      <c r="U3678" s="14">
        <f>L3678*G3678</f>
        <v/>
      </c>
    </row>
    <row r="3679">
      <c r="A3679" s="12" t="inlineStr">
        <is>
          <t>PO-2023-3677</t>
        </is>
      </c>
      <c r="B3679" s="26" t="n">
        <v>44277</v>
      </c>
      <c r="C3679" s="12" t="inlineStr">
        <is>
          <t>VS22</t>
        </is>
      </c>
      <c r="D3679" s="12" t="inlineStr">
        <is>
          <t>MS Pipes</t>
        </is>
      </c>
      <c r="E3679" s="12" t="inlineStr">
        <is>
          <t>Y</t>
        </is>
      </c>
      <c r="F3679" s="12" t="n">
        <v>47.13</v>
      </c>
      <c r="G3679" s="17" t="n">
        <v>66840.39999999999</v>
      </c>
      <c r="H3679" s="26" t="n">
        <v>44283</v>
      </c>
      <c r="I3679" s="26" t="n">
        <v>44285</v>
      </c>
      <c r="J3679" s="12" t="n">
        <v>46.95</v>
      </c>
      <c r="K3679" s="17" t="n">
        <v>3150188.05</v>
      </c>
      <c r="L3679" s="12" t="n">
        <v>0</v>
      </c>
      <c r="M3679" s="12" t="n">
        <v>0</v>
      </c>
      <c r="N3679" s="27">
        <f>F3679-J3679</f>
        <v/>
      </c>
      <c r="O3679" s="16">
        <f>I3679-H3679</f>
        <v/>
      </c>
      <c r="P3679" s="14">
        <f>F3679*G3679</f>
        <v/>
      </c>
      <c r="Q3679" s="14">
        <f>J3679*G3679</f>
        <v/>
      </c>
      <c r="R3679" s="14">
        <f>K3679-Q3679</f>
        <v/>
      </c>
      <c r="S3679" s="3">
        <f>P3679*Assumptions!$B$3/100</f>
        <v/>
      </c>
      <c r="T3679" s="14">
        <f>R3679-S3679</f>
        <v/>
      </c>
      <c r="U3679" s="14">
        <f>L3679*G3679</f>
        <v/>
      </c>
    </row>
    <row r="3680">
      <c r="A3680" s="12" t="inlineStr">
        <is>
          <t>PO-2023-3678</t>
        </is>
      </c>
      <c r="B3680" s="26" t="n">
        <v>44624</v>
      </c>
      <c r="C3680" s="12" t="inlineStr">
        <is>
          <t>VS12</t>
        </is>
      </c>
      <c r="D3680" s="12" t="inlineStr">
        <is>
          <t>GI Wire</t>
        </is>
      </c>
      <c r="E3680" s="12" t="inlineStr">
        <is>
          <t>N</t>
        </is>
      </c>
      <c r="F3680" s="12" t="n">
        <v>41.92</v>
      </c>
      <c r="G3680" s="17" t="n">
        <v>61116.11</v>
      </c>
      <c r="H3680" s="26" t="n">
        <v>44631</v>
      </c>
      <c r="I3680" s="26" t="n">
        <v>44639</v>
      </c>
      <c r="J3680" s="12" t="n">
        <v>40.56</v>
      </c>
      <c r="K3680" s="17" t="n">
        <v>2561987.33</v>
      </c>
      <c r="L3680" s="12" t="n">
        <v>1.43</v>
      </c>
      <c r="M3680" s="12" t="n">
        <v>6</v>
      </c>
      <c r="N3680" s="27">
        <f>F3680-J3680</f>
        <v/>
      </c>
      <c r="O3680" s="16">
        <f>I3680-H3680</f>
        <v/>
      </c>
      <c r="P3680" s="14">
        <f>F3680*G3680</f>
        <v/>
      </c>
      <c r="Q3680" s="14">
        <f>J3680*G3680</f>
        <v/>
      </c>
      <c r="R3680" s="14">
        <f>K3680-Q3680</f>
        <v/>
      </c>
      <c r="S3680" s="3">
        <f>P3680*Assumptions!$B$3/100</f>
        <v/>
      </c>
      <c r="T3680" s="14">
        <f>R3680-S3680</f>
        <v/>
      </c>
      <c r="U3680" s="14">
        <f>L3680*G3680</f>
        <v/>
      </c>
    </row>
    <row r="3681">
      <c r="A3681" s="12" t="inlineStr">
        <is>
          <t>PO-2023-3679</t>
        </is>
      </c>
      <c r="B3681" s="26" t="n">
        <v>44968</v>
      </c>
      <c r="C3681" s="12" t="inlineStr">
        <is>
          <t>VS15</t>
        </is>
      </c>
      <c r="D3681" s="12" t="inlineStr">
        <is>
          <t>ERW Pipes</t>
        </is>
      </c>
      <c r="E3681" s="12" t="inlineStr">
        <is>
          <t>N</t>
        </is>
      </c>
      <c r="F3681" s="12" t="n">
        <v>43.29</v>
      </c>
      <c r="G3681" s="17" t="n">
        <v>78042.72</v>
      </c>
      <c r="H3681" s="26" t="n">
        <v>44980</v>
      </c>
      <c r="I3681" s="26" t="n">
        <v>44980</v>
      </c>
      <c r="J3681" s="12" t="n">
        <v>43.17</v>
      </c>
      <c r="K3681" s="17" t="n">
        <v>3378469.35</v>
      </c>
      <c r="L3681" s="12" t="n">
        <v>0</v>
      </c>
      <c r="M3681" s="12" t="n">
        <v>2</v>
      </c>
      <c r="N3681" s="27">
        <f>F3681-J3681</f>
        <v/>
      </c>
      <c r="O3681" s="16">
        <f>I3681-H3681</f>
        <v/>
      </c>
      <c r="P3681" s="14">
        <f>F3681*G3681</f>
        <v/>
      </c>
      <c r="Q3681" s="14">
        <f>J3681*G3681</f>
        <v/>
      </c>
      <c r="R3681" s="14">
        <f>K3681-Q3681</f>
        <v/>
      </c>
      <c r="S3681" s="3">
        <f>P3681*Assumptions!$B$3/100</f>
        <v/>
      </c>
      <c r="T3681" s="14">
        <f>R3681-S3681</f>
        <v/>
      </c>
      <c r="U3681" s="14">
        <f>L3681*G3681</f>
        <v/>
      </c>
    </row>
    <row r="3682">
      <c r="A3682" s="12" t="inlineStr">
        <is>
          <t>PO-2023-3680</t>
        </is>
      </c>
      <c r="B3682" s="26" t="n">
        <v>44767</v>
      </c>
      <c r="C3682" s="12" t="inlineStr">
        <is>
          <t>VS29</t>
        </is>
      </c>
      <c r="D3682" s="12" t="inlineStr">
        <is>
          <t>GI Wire</t>
        </is>
      </c>
      <c r="E3682" s="12" t="inlineStr">
        <is>
          <t>N</t>
        </is>
      </c>
      <c r="F3682" s="12" t="n">
        <v>48.97</v>
      </c>
      <c r="G3682" s="17" t="n">
        <v>113690.98</v>
      </c>
      <c r="H3682" s="26" t="n">
        <v>44770</v>
      </c>
      <c r="I3682" s="26" t="n">
        <v>44773</v>
      </c>
      <c r="J3682" s="12" t="n">
        <v>48.56</v>
      </c>
      <c r="K3682" s="17" t="n">
        <v>5567447.29</v>
      </c>
      <c r="L3682" s="12" t="n">
        <v>0</v>
      </c>
      <c r="M3682" s="12" t="n">
        <v>8</v>
      </c>
      <c r="N3682" s="27">
        <f>F3682-J3682</f>
        <v/>
      </c>
      <c r="O3682" s="16">
        <f>I3682-H3682</f>
        <v/>
      </c>
      <c r="P3682" s="14">
        <f>F3682*G3682</f>
        <v/>
      </c>
      <c r="Q3682" s="14">
        <f>J3682*G3682</f>
        <v/>
      </c>
      <c r="R3682" s="14">
        <f>K3682-Q3682</f>
        <v/>
      </c>
      <c r="S3682" s="3">
        <f>P3682*Assumptions!$B$3/100</f>
        <v/>
      </c>
      <c r="T3682" s="14">
        <f>R3682-S3682</f>
        <v/>
      </c>
      <c r="U3682" s="14">
        <f>L3682*G3682</f>
        <v/>
      </c>
    </row>
    <row r="3683">
      <c r="A3683" s="12" t="inlineStr">
        <is>
          <t>PO-2023-3681</t>
        </is>
      </c>
      <c r="B3683" s="26" t="n">
        <v>44652</v>
      </c>
      <c r="C3683" s="12" t="inlineStr">
        <is>
          <t>VS03</t>
        </is>
      </c>
      <c r="D3683" s="12" t="inlineStr">
        <is>
          <t>MS Rods</t>
        </is>
      </c>
      <c r="E3683" s="12" t="inlineStr">
        <is>
          <t>N</t>
        </is>
      </c>
      <c r="F3683" s="12" t="n">
        <v>38.06</v>
      </c>
      <c r="G3683" s="17" t="n">
        <v>72157.52</v>
      </c>
      <c r="H3683" s="26" t="n">
        <v>44655</v>
      </c>
      <c r="I3683" s="26" t="n">
        <v>44662</v>
      </c>
      <c r="J3683" s="12" t="n">
        <v>36.22</v>
      </c>
      <c r="K3683" s="17" t="n">
        <v>2746315.21</v>
      </c>
      <c r="L3683" s="12" t="n">
        <v>1.12</v>
      </c>
      <c r="M3683" s="12" t="n">
        <v>0</v>
      </c>
      <c r="N3683" s="27">
        <f>F3683-J3683</f>
        <v/>
      </c>
      <c r="O3683" s="16">
        <f>I3683-H3683</f>
        <v/>
      </c>
      <c r="P3683" s="14">
        <f>F3683*G3683</f>
        <v/>
      </c>
      <c r="Q3683" s="14">
        <f>J3683*G3683</f>
        <v/>
      </c>
      <c r="R3683" s="14">
        <f>K3683-Q3683</f>
        <v/>
      </c>
      <c r="S3683" s="3">
        <f>P3683*Assumptions!$B$3/100</f>
        <v/>
      </c>
      <c r="T3683" s="14">
        <f>R3683-S3683</f>
        <v/>
      </c>
      <c r="U3683" s="14">
        <f>L3683*G3683</f>
        <v/>
      </c>
    </row>
    <row r="3684">
      <c r="A3684" s="12" t="inlineStr">
        <is>
          <t>PO-2023-3682</t>
        </is>
      </c>
      <c r="B3684" s="26" t="n">
        <v>44517</v>
      </c>
      <c r="C3684" s="12" t="inlineStr">
        <is>
          <t>VS23</t>
        </is>
      </c>
      <c r="D3684" s="12" t="inlineStr">
        <is>
          <t>Spring Steel</t>
        </is>
      </c>
      <c r="E3684" s="12" t="inlineStr">
        <is>
          <t>N</t>
        </is>
      </c>
      <c r="F3684" s="12" t="n">
        <v>16.93</v>
      </c>
      <c r="G3684" s="17" t="n">
        <v>97416.06</v>
      </c>
      <c r="H3684" s="26" t="n">
        <v>44523</v>
      </c>
      <c r="I3684" s="26" t="n">
        <v>44524</v>
      </c>
      <c r="J3684" s="12" t="n">
        <v>16.84</v>
      </c>
      <c r="K3684" s="17" t="n">
        <v>1649253.9</v>
      </c>
      <c r="L3684" s="12" t="n">
        <v>0</v>
      </c>
      <c r="M3684" s="12" t="n">
        <v>0</v>
      </c>
      <c r="N3684" s="27">
        <f>F3684-J3684</f>
        <v/>
      </c>
      <c r="O3684" s="16">
        <f>I3684-H3684</f>
        <v/>
      </c>
      <c r="P3684" s="14">
        <f>F3684*G3684</f>
        <v/>
      </c>
      <c r="Q3684" s="14">
        <f>J3684*G3684</f>
        <v/>
      </c>
      <c r="R3684" s="14">
        <f>K3684-Q3684</f>
        <v/>
      </c>
      <c r="S3684" s="3">
        <f>P3684*Assumptions!$B$3/100</f>
        <v/>
      </c>
      <c r="T3684" s="14">
        <f>R3684-S3684</f>
        <v/>
      </c>
      <c r="U3684" s="14">
        <f>L3684*G3684</f>
        <v/>
      </c>
    </row>
    <row r="3685">
      <c r="A3685" s="12" t="inlineStr">
        <is>
          <t>PO-2023-3683</t>
        </is>
      </c>
      <c r="B3685" s="26" t="n">
        <v>44657</v>
      </c>
      <c r="C3685" s="12" t="inlineStr">
        <is>
          <t>VS09</t>
        </is>
      </c>
      <c r="D3685" s="12" t="inlineStr">
        <is>
          <t>Fasteners &amp; Fittings</t>
        </is>
      </c>
      <c r="E3685" s="12" t="inlineStr">
        <is>
          <t>N</t>
        </is>
      </c>
      <c r="F3685" s="12" t="n">
        <v>35.34</v>
      </c>
      <c r="G3685" s="17" t="n">
        <v>119347.99</v>
      </c>
      <c r="H3685" s="26" t="n">
        <v>44667</v>
      </c>
      <c r="I3685" s="26" t="n">
        <v>44670</v>
      </c>
      <c r="J3685" s="12" t="n">
        <v>35.04</v>
      </c>
      <c r="K3685" s="17" t="n">
        <v>4217757.97</v>
      </c>
      <c r="L3685" s="12" t="n">
        <v>0</v>
      </c>
      <c r="M3685" s="12" t="n">
        <v>0</v>
      </c>
      <c r="N3685" s="27">
        <f>F3685-J3685</f>
        <v/>
      </c>
      <c r="O3685" s="16">
        <f>I3685-H3685</f>
        <v/>
      </c>
      <c r="P3685" s="14">
        <f>F3685*G3685</f>
        <v/>
      </c>
      <c r="Q3685" s="14">
        <f>J3685*G3685</f>
        <v/>
      </c>
      <c r="R3685" s="14">
        <f>K3685-Q3685</f>
        <v/>
      </c>
      <c r="S3685" s="3">
        <f>P3685*Assumptions!$B$3/100</f>
        <v/>
      </c>
      <c r="T3685" s="14">
        <f>R3685-S3685</f>
        <v/>
      </c>
      <c r="U3685" s="14">
        <f>L3685*G3685</f>
        <v/>
      </c>
    </row>
    <row r="3686">
      <c r="A3686" s="12" t="inlineStr">
        <is>
          <t>PO-2023-3684</t>
        </is>
      </c>
      <c r="B3686" s="26" t="n">
        <v>44566</v>
      </c>
      <c r="C3686" s="12" t="inlineStr">
        <is>
          <t>VS06</t>
        </is>
      </c>
      <c r="D3686" s="12" t="inlineStr">
        <is>
          <t>MS Sheets</t>
        </is>
      </c>
      <c r="E3686" s="12" t="inlineStr">
        <is>
          <t>N</t>
        </is>
      </c>
      <c r="F3686" s="12" t="n">
        <v>44.85</v>
      </c>
      <c r="G3686" s="17" t="n">
        <v>53840.47</v>
      </c>
      <c r="H3686" s="26" t="n">
        <v>44575</v>
      </c>
      <c r="I3686" s="26" t="n">
        <v>44576</v>
      </c>
      <c r="J3686" s="12" t="n">
        <v>44.63</v>
      </c>
      <c r="K3686" s="17" t="n">
        <v>2414745.08</v>
      </c>
      <c r="L3686" s="12" t="n">
        <v>0</v>
      </c>
      <c r="M3686" s="12" t="n">
        <v>19</v>
      </c>
      <c r="N3686" s="27">
        <f>F3686-J3686</f>
        <v/>
      </c>
      <c r="O3686" s="16">
        <f>I3686-H3686</f>
        <v/>
      </c>
      <c r="P3686" s="14">
        <f>F3686*G3686</f>
        <v/>
      </c>
      <c r="Q3686" s="14">
        <f>J3686*G3686</f>
        <v/>
      </c>
      <c r="R3686" s="14">
        <f>K3686-Q3686</f>
        <v/>
      </c>
      <c r="S3686" s="3">
        <f>P3686*Assumptions!$B$3/100</f>
        <v/>
      </c>
      <c r="T3686" s="14">
        <f>R3686-S3686</f>
        <v/>
      </c>
      <c r="U3686" s="14">
        <f>L3686*G3686</f>
        <v/>
      </c>
    </row>
    <row r="3687">
      <c r="A3687" s="12" t="inlineStr">
        <is>
          <t>PO-2023-3685</t>
        </is>
      </c>
      <c r="B3687" s="26" t="n">
        <v>44652</v>
      </c>
      <c r="C3687" s="12" t="inlineStr">
        <is>
          <t>VS23</t>
        </is>
      </c>
      <c r="D3687" s="12" t="inlineStr">
        <is>
          <t>GI Pipes</t>
        </is>
      </c>
      <c r="E3687" s="12" t="inlineStr">
        <is>
          <t>N</t>
        </is>
      </c>
      <c r="F3687" s="12" t="n">
        <v>15.62</v>
      </c>
      <c r="G3687" s="17" t="n">
        <v>102930.31</v>
      </c>
      <c r="H3687" s="26" t="n">
        <v>44661</v>
      </c>
      <c r="I3687" s="26" t="n">
        <v>44664</v>
      </c>
      <c r="J3687" s="12" t="n">
        <v>15.6</v>
      </c>
      <c r="K3687" s="17" t="n">
        <v>1607771.44</v>
      </c>
      <c r="L3687" s="12" t="n">
        <v>0</v>
      </c>
      <c r="M3687" s="12" t="n">
        <v>15</v>
      </c>
      <c r="N3687" s="27">
        <f>F3687-J3687</f>
        <v/>
      </c>
      <c r="O3687" s="16">
        <f>I3687-H3687</f>
        <v/>
      </c>
      <c r="P3687" s="14">
        <f>F3687*G3687</f>
        <v/>
      </c>
      <c r="Q3687" s="14">
        <f>J3687*G3687</f>
        <v/>
      </c>
      <c r="R3687" s="14">
        <f>K3687-Q3687</f>
        <v/>
      </c>
      <c r="S3687" s="3">
        <f>P3687*Assumptions!$B$3/100</f>
        <v/>
      </c>
      <c r="T3687" s="14">
        <f>R3687-S3687</f>
        <v/>
      </c>
      <c r="U3687" s="14">
        <f>L3687*G3687</f>
        <v/>
      </c>
    </row>
    <row r="3688">
      <c r="A3688" s="12" t="inlineStr">
        <is>
          <t>PO-2023-3686</t>
        </is>
      </c>
      <c r="B3688" s="26" t="n">
        <v>44318</v>
      </c>
      <c r="C3688" s="12" t="inlineStr">
        <is>
          <t>VS09</t>
        </is>
      </c>
      <c r="D3688" s="12" t="inlineStr">
        <is>
          <t>GI Wire</t>
        </is>
      </c>
      <c r="E3688" s="12" t="inlineStr">
        <is>
          <t>N</t>
        </is>
      </c>
      <c r="F3688" s="12" t="n">
        <v>36.21</v>
      </c>
      <c r="G3688" s="17" t="n">
        <v>78942.19</v>
      </c>
      <c r="H3688" s="26" t="n">
        <v>44331</v>
      </c>
      <c r="I3688" s="26" t="n">
        <v>44333</v>
      </c>
      <c r="J3688" s="12" t="n">
        <v>36.13</v>
      </c>
      <c r="K3688" s="17" t="n">
        <v>2858496.7</v>
      </c>
      <c r="L3688" s="12" t="n">
        <v>0</v>
      </c>
      <c r="M3688" s="12" t="n">
        <v>0</v>
      </c>
      <c r="N3688" s="27">
        <f>F3688-J3688</f>
        <v/>
      </c>
      <c r="O3688" s="16">
        <f>I3688-H3688</f>
        <v/>
      </c>
      <c r="P3688" s="14">
        <f>F3688*G3688</f>
        <v/>
      </c>
      <c r="Q3688" s="14">
        <f>J3688*G3688</f>
        <v/>
      </c>
      <c r="R3688" s="14">
        <f>K3688-Q3688</f>
        <v/>
      </c>
      <c r="S3688" s="3">
        <f>P3688*Assumptions!$B$3/100</f>
        <v/>
      </c>
      <c r="T3688" s="14">
        <f>R3688-S3688</f>
        <v/>
      </c>
      <c r="U3688" s="14">
        <f>L3688*G3688</f>
        <v/>
      </c>
    </row>
    <row r="3689">
      <c r="A3689" s="12" t="inlineStr">
        <is>
          <t>PO-2023-3687</t>
        </is>
      </c>
      <c r="B3689" s="26" t="n">
        <v>44875</v>
      </c>
      <c r="C3689" s="12" t="inlineStr">
        <is>
          <t>VS11</t>
        </is>
      </c>
      <c r="D3689" s="12" t="inlineStr">
        <is>
          <t>Fasteners &amp; Fittings</t>
        </is>
      </c>
      <c r="E3689" s="12" t="inlineStr">
        <is>
          <t>N</t>
        </is>
      </c>
      <c r="F3689" s="12" t="n">
        <v>43.29</v>
      </c>
      <c r="G3689" s="17" t="n">
        <v>86472.36</v>
      </c>
      <c r="H3689" s="26" t="n">
        <v>44882</v>
      </c>
      <c r="I3689" s="26" t="n">
        <v>44885</v>
      </c>
      <c r="J3689" s="12" t="n">
        <v>43.15</v>
      </c>
      <c r="K3689" s="17" t="n">
        <v>3743388.46</v>
      </c>
      <c r="L3689" s="12" t="n">
        <v>0</v>
      </c>
      <c r="M3689" s="12" t="n">
        <v>14</v>
      </c>
      <c r="N3689" s="27">
        <f>F3689-J3689</f>
        <v/>
      </c>
      <c r="O3689" s="16">
        <f>I3689-H3689</f>
        <v/>
      </c>
      <c r="P3689" s="14">
        <f>F3689*G3689</f>
        <v/>
      </c>
      <c r="Q3689" s="14">
        <f>J3689*G3689</f>
        <v/>
      </c>
      <c r="R3689" s="14">
        <f>K3689-Q3689</f>
        <v/>
      </c>
      <c r="S3689" s="3">
        <f>P3689*Assumptions!$B$3/100</f>
        <v/>
      </c>
      <c r="T3689" s="14">
        <f>R3689-S3689</f>
        <v/>
      </c>
      <c r="U3689" s="14">
        <f>L3689*G3689</f>
        <v/>
      </c>
    </row>
    <row r="3690">
      <c r="A3690" s="12" t="inlineStr">
        <is>
          <t>PO-2023-3688</t>
        </is>
      </c>
      <c r="B3690" s="26" t="n">
        <v>44925</v>
      </c>
      <c r="C3690" s="12" t="inlineStr">
        <is>
          <t>VS14</t>
        </is>
      </c>
      <c r="D3690" s="12" t="inlineStr">
        <is>
          <t>Structural Steel</t>
        </is>
      </c>
      <c r="E3690" s="12" t="inlineStr">
        <is>
          <t>Y</t>
        </is>
      </c>
      <c r="F3690" s="12" t="n">
        <v>13.97</v>
      </c>
      <c r="G3690" s="17" t="n">
        <v>101168.89</v>
      </c>
      <c r="H3690" s="26" t="n">
        <v>44937</v>
      </c>
      <c r="I3690" s="26" t="n">
        <v>44937</v>
      </c>
      <c r="J3690" s="12" t="n">
        <v>13.93</v>
      </c>
      <c r="K3690" s="17" t="n">
        <v>1413329.39</v>
      </c>
      <c r="L3690" s="12" t="n">
        <v>0</v>
      </c>
      <c r="M3690" s="12" t="n">
        <v>0</v>
      </c>
      <c r="N3690" s="27">
        <f>F3690-J3690</f>
        <v/>
      </c>
      <c r="O3690" s="16">
        <f>I3690-H3690</f>
        <v/>
      </c>
      <c r="P3690" s="14">
        <f>F3690*G3690</f>
        <v/>
      </c>
      <c r="Q3690" s="14">
        <f>J3690*G3690</f>
        <v/>
      </c>
      <c r="R3690" s="14">
        <f>K3690-Q3690</f>
        <v/>
      </c>
      <c r="S3690" s="3">
        <f>P3690*Assumptions!$B$3/100</f>
        <v/>
      </c>
      <c r="T3690" s="14">
        <f>R3690-S3690</f>
        <v/>
      </c>
      <c r="U3690" s="14">
        <f>L3690*G3690</f>
        <v/>
      </c>
    </row>
    <row r="3691">
      <c r="A3691" s="12" t="inlineStr">
        <is>
          <t>PO-2023-3689</t>
        </is>
      </c>
      <c r="B3691" s="26" t="n">
        <v>44962</v>
      </c>
      <c r="C3691" s="12" t="inlineStr">
        <is>
          <t>VS02</t>
        </is>
      </c>
      <c r="D3691" s="12" t="inlineStr">
        <is>
          <t>Fasteners &amp; Fittings</t>
        </is>
      </c>
      <c r="E3691" s="12" t="inlineStr">
        <is>
          <t>N</t>
        </is>
      </c>
      <c r="F3691" s="12" t="n">
        <v>36.42</v>
      </c>
      <c r="G3691" s="17" t="n">
        <v>82924.91</v>
      </c>
      <c r="H3691" s="26" t="n">
        <v>44973</v>
      </c>
      <c r="I3691" s="26" t="n">
        <v>44974</v>
      </c>
      <c r="J3691" s="12" t="n">
        <v>36.35</v>
      </c>
      <c r="K3691" s="17" t="n">
        <v>3020125.22</v>
      </c>
      <c r="L3691" s="12" t="n">
        <v>0</v>
      </c>
      <c r="M3691" s="12" t="n">
        <v>0</v>
      </c>
      <c r="N3691" s="27">
        <f>F3691-J3691</f>
        <v/>
      </c>
      <c r="O3691" s="16">
        <f>I3691-H3691</f>
        <v/>
      </c>
      <c r="P3691" s="14">
        <f>F3691*G3691</f>
        <v/>
      </c>
      <c r="Q3691" s="14">
        <f>J3691*G3691</f>
        <v/>
      </c>
      <c r="R3691" s="14">
        <f>K3691-Q3691</f>
        <v/>
      </c>
      <c r="S3691" s="3">
        <f>P3691*Assumptions!$B$3/100</f>
        <v/>
      </c>
      <c r="T3691" s="14">
        <f>R3691-S3691</f>
        <v/>
      </c>
      <c r="U3691" s="14">
        <f>L3691*G3691</f>
        <v/>
      </c>
    </row>
    <row r="3692">
      <c r="A3692" s="12" t="inlineStr">
        <is>
          <t>PO-2023-3690</t>
        </is>
      </c>
      <c r="B3692" s="26" t="n">
        <v>45087</v>
      </c>
      <c r="C3692" s="12" t="inlineStr">
        <is>
          <t>VS20</t>
        </is>
      </c>
      <c r="D3692" s="12" t="inlineStr">
        <is>
          <t>MS Pipes</t>
        </is>
      </c>
      <c r="E3692" s="12" t="inlineStr">
        <is>
          <t>N</t>
        </is>
      </c>
      <c r="F3692" s="12" t="n">
        <v>21.52</v>
      </c>
      <c r="G3692" s="17" t="n">
        <v>82137.13</v>
      </c>
      <c r="H3692" s="26" t="n">
        <v>45095</v>
      </c>
      <c r="I3692" s="26" t="n">
        <v>45095</v>
      </c>
      <c r="J3692" s="12" t="n">
        <v>21.31</v>
      </c>
      <c r="K3692" s="17" t="n">
        <v>1767591.04</v>
      </c>
      <c r="L3692" s="12" t="n">
        <v>0</v>
      </c>
      <c r="M3692" s="12" t="n">
        <v>0</v>
      </c>
      <c r="N3692" s="27">
        <f>F3692-J3692</f>
        <v/>
      </c>
      <c r="O3692" s="16">
        <f>I3692-H3692</f>
        <v/>
      </c>
      <c r="P3692" s="14">
        <f>F3692*G3692</f>
        <v/>
      </c>
      <c r="Q3692" s="14">
        <f>J3692*G3692</f>
        <v/>
      </c>
      <c r="R3692" s="14">
        <f>K3692-Q3692</f>
        <v/>
      </c>
      <c r="S3692" s="3">
        <f>P3692*Assumptions!$B$3/100</f>
        <v/>
      </c>
      <c r="T3692" s="14">
        <f>R3692-S3692</f>
        <v/>
      </c>
      <c r="U3692" s="14">
        <f>L3692*G3692</f>
        <v/>
      </c>
    </row>
    <row r="3693">
      <c r="A3693" s="12" t="inlineStr">
        <is>
          <t>PO-2023-3691</t>
        </is>
      </c>
      <c r="B3693" s="26" t="n">
        <v>45042</v>
      </c>
      <c r="C3693" s="12" t="inlineStr">
        <is>
          <t>VS02</t>
        </is>
      </c>
      <c r="D3693" s="12" t="inlineStr">
        <is>
          <t>MS Sheets</t>
        </is>
      </c>
      <c r="E3693" s="12" t="inlineStr">
        <is>
          <t>N</t>
        </is>
      </c>
      <c r="F3693" s="12" t="n">
        <v>3.19</v>
      </c>
      <c r="G3693" s="17" t="n">
        <v>45767.22</v>
      </c>
      <c r="H3693" s="26" t="n">
        <v>45056</v>
      </c>
      <c r="I3693" s="26" t="n">
        <v>45056</v>
      </c>
      <c r="J3693" s="12" t="n">
        <v>3.16</v>
      </c>
      <c r="K3693" s="17" t="n">
        <v>145997.43</v>
      </c>
      <c r="L3693" s="12" t="n">
        <v>0</v>
      </c>
      <c r="M3693" s="12" t="n">
        <v>12</v>
      </c>
      <c r="N3693" s="27">
        <f>F3693-J3693</f>
        <v/>
      </c>
      <c r="O3693" s="16">
        <f>I3693-H3693</f>
        <v/>
      </c>
      <c r="P3693" s="14">
        <f>F3693*G3693</f>
        <v/>
      </c>
      <c r="Q3693" s="14">
        <f>J3693*G3693</f>
        <v/>
      </c>
      <c r="R3693" s="14">
        <f>K3693-Q3693</f>
        <v/>
      </c>
      <c r="S3693" s="3">
        <f>P3693*Assumptions!$B$3/100</f>
        <v/>
      </c>
      <c r="T3693" s="14">
        <f>R3693-S3693</f>
        <v/>
      </c>
      <c r="U3693" s="14">
        <f>L3693*G3693</f>
        <v/>
      </c>
    </row>
    <row r="3694">
      <c r="A3694" s="12" t="inlineStr">
        <is>
          <t>PO-2023-3692</t>
        </is>
      </c>
      <c r="B3694" s="26" t="n">
        <v>44408</v>
      </c>
      <c r="C3694" s="12" t="inlineStr">
        <is>
          <t>VS11</t>
        </is>
      </c>
      <c r="D3694" s="12" t="inlineStr">
        <is>
          <t>GI Pipes</t>
        </is>
      </c>
      <c r="E3694" s="12" t="inlineStr">
        <is>
          <t>N</t>
        </is>
      </c>
      <c r="F3694" s="12" t="n">
        <v>9.130000000000001</v>
      </c>
      <c r="G3694" s="17" t="n">
        <v>102873.54</v>
      </c>
      <c r="H3694" s="26" t="n">
        <v>44416</v>
      </c>
      <c r="I3694" s="26" t="n">
        <v>44416</v>
      </c>
      <c r="J3694" s="12" t="n">
        <v>9.109999999999999</v>
      </c>
      <c r="K3694" s="17" t="n">
        <v>939235.42</v>
      </c>
      <c r="L3694" s="12" t="n">
        <v>0</v>
      </c>
      <c r="M3694" s="12" t="n">
        <v>8</v>
      </c>
      <c r="N3694" s="27">
        <f>F3694-J3694</f>
        <v/>
      </c>
      <c r="O3694" s="16">
        <f>I3694-H3694</f>
        <v/>
      </c>
      <c r="P3694" s="14">
        <f>F3694*G3694</f>
        <v/>
      </c>
      <c r="Q3694" s="14">
        <f>J3694*G3694</f>
        <v/>
      </c>
      <c r="R3694" s="14">
        <f>K3694-Q3694</f>
        <v/>
      </c>
      <c r="S3694" s="3">
        <f>P3694*Assumptions!$B$3/100</f>
        <v/>
      </c>
      <c r="T3694" s="14">
        <f>R3694-S3694</f>
        <v/>
      </c>
      <c r="U3694" s="14">
        <f>L3694*G3694</f>
        <v/>
      </c>
    </row>
    <row r="3695">
      <c r="A3695" s="12" t="inlineStr">
        <is>
          <t>PO-2023-3693</t>
        </is>
      </c>
      <c r="B3695" s="26" t="n">
        <v>44809</v>
      </c>
      <c r="C3695" s="12" t="inlineStr">
        <is>
          <t>VS16</t>
        </is>
      </c>
      <c r="D3695" s="12" t="inlineStr">
        <is>
          <t>GI Pipes</t>
        </is>
      </c>
      <c r="E3695" s="12" t="inlineStr">
        <is>
          <t>N</t>
        </is>
      </c>
      <c r="F3695" s="12" t="n">
        <v>14.7</v>
      </c>
      <c r="G3695" s="17" t="n">
        <v>85666.03999999999</v>
      </c>
      <c r="H3695" s="26" t="n">
        <v>44812</v>
      </c>
      <c r="I3695" s="26" t="n">
        <v>44815</v>
      </c>
      <c r="J3695" s="12" t="n">
        <v>14.65</v>
      </c>
      <c r="K3695" s="17" t="n">
        <v>1259290.79</v>
      </c>
      <c r="L3695" s="12" t="n">
        <v>0</v>
      </c>
      <c r="M3695" s="12" t="n">
        <v>0</v>
      </c>
      <c r="N3695" s="27">
        <f>F3695-J3695</f>
        <v/>
      </c>
      <c r="O3695" s="16">
        <f>I3695-H3695</f>
        <v/>
      </c>
      <c r="P3695" s="14">
        <f>F3695*G3695</f>
        <v/>
      </c>
      <c r="Q3695" s="14">
        <f>J3695*G3695</f>
        <v/>
      </c>
      <c r="R3695" s="14">
        <f>K3695-Q3695</f>
        <v/>
      </c>
      <c r="S3695" s="3">
        <f>P3695*Assumptions!$B$3/100</f>
        <v/>
      </c>
      <c r="T3695" s="14">
        <f>R3695-S3695</f>
        <v/>
      </c>
      <c r="U3695" s="14">
        <f>L3695*G3695</f>
        <v/>
      </c>
    </row>
    <row r="3696">
      <c r="A3696" s="12" t="inlineStr">
        <is>
          <t>PO-2023-3694</t>
        </is>
      </c>
      <c r="B3696" s="26" t="n">
        <v>44658</v>
      </c>
      <c r="C3696" s="12" t="inlineStr">
        <is>
          <t>VS12</t>
        </is>
      </c>
      <c r="D3696" s="12" t="inlineStr">
        <is>
          <t>MS Sheets</t>
        </is>
      </c>
      <c r="E3696" s="12" t="inlineStr">
        <is>
          <t>N</t>
        </is>
      </c>
      <c r="F3696" s="12" t="n">
        <v>18.08</v>
      </c>
      <c r="G3696" s="17" t="n">
        <v>61809.42</v>
      </c>
      <c r="H3696" s="26" t="n">
        <v>44664</v>
      </c>
      <c r="I3696" s="26" t="n">
        <v>44669</v>
      </c>
      <c r="J3696" s="12" t="n">
        <v>17.27</v>
      </c>
      <c r="K3696" s="17" t="n">
        <v>1117514.31</v>
      </c>
      <c r="L3696" s="12" t="n">
        <v>0.07000000000000001</v>
      </c>
      <c r="M3696" s="12" t="n">
        <v>0</v>
      </c>
      <c r="N3696" s="27">
        <f>F3696-J3696</f>
        <v/>
      </c>
      <c r="O3696" s="16">
        <f>I3696-H3696</f>
        <v/>
      </c>
      <c r="P3696" s="14">
        <f>F3696*G3696</f>
        <v/>
      </c>
      <c r="Q3696" s="14">
        <f>J3696*G3696</f>
        <v/>
      </c>
      <c r="R3696" s="14">
        <f>K3696-Q3696</f>
        <v/>
      </c>
      <c r="S3696" s="3">
        <f>P3696*Assumptions!$B$3/100</f>
        <v/>
      </c>
      <c r="T3696" s="14">
        <f>R3696-S3696</f>
        <v/>
      </c>
      <c r="U3696" s="14">
        <f>L3696*G3696</f>
        <v/>
      </c>
    </row>
    <row r="3697">
      <c r="A3697" s="12" t="inlineStr">
        <is>
          <t>PO-2023-3695</t>
        </is>
      </c>
      <c r="B3697" s="26" t="n">
        <v>44551</v>
      </c>
      <c r="C3697" s="12" t="inlineStr">
        <is>
          <t>VS01</t>
        </is>
      </c>
      <c r="D3697" s="12" t="inlineStr">
        <is>
          <t>MS Sheets</t>
        </is>
      </c>
      <c r="E3697" s="12" t="inlineStr">
        <is>
          <t>N</t>
        </is>
      </c>
      <c r="F3697" s="12" t="n">
        <v>12.99</v>
      </c>
      <c r="G3697" s="17" t="n">
        <v>50042.67</v>
      </c>
      <c r="H3697" s="26" t="n">
        <v>44556</v>
      </c>
      <c r="I3697" s="26" t="n">
        <v>44558</v>
      </c>
      <c r="J3697" s="12" t="n">
        <v>12.94</v>
      </c>
      <c r="K3697" s="17" t="n">
        <v>650054.28</v>
      </c>
      <c r="L3697" s="12" t="n">
        <v>0</v>
      </c>
      <c r="M3697" s="12" t="n">
        <v>25</v>
      </c>
      <c r="N3697" s="27">
        <f>F3697-J3697</f>
        <v/>
      </c>
      <c r="O3697" s="16">
        <f>I3697-H3697</f>
        <v/>
      </c>
      <c r="P3697" s="14">
        <f>F3697*G3697</f>
        <v/>
      </c>
      <c r="Q3697" s="14">
        <f>J3697*G3697</f>
        <v/>
      </c>
      <c r="R3697" s="14">
        <f>K3697-Q3697</f>
        <v/>
      </c>
      <c r="S3697" s="3">
        <f>P3697*Assumptions!$B$3/100</f>
        <v/>
      </c>
      <c r="T3697" s="14">
        <f>R3697-S3697</f>
        <v/>
      </c>
      <c r="U3697" s="14">
        <f>L3697*G3697</f>
        <v/>
      </c>
    </row>
    <row r="3698">
      <c r="A3698" s="12" t="inlineStr">
        <is>
          <t>PO-2023-3696</t>
        </is>
      </c>
      <c r="B3698" s="26" t="n">
        <v>44963</v>
      </c>
      <c r="C3698" s="12" t="inlineStr">
        <is>
          <t>VS22</t>
        </is>
      </c>
      <c r="D3698" s="12" t="inlineStr">
        <is>
          <t>Angles &amp; Channels</t>
        </is>
      </c>
      <c r="E3698" s="12" t="inlineStr">
        <is>
          <t>N</t>
        </is>
      </c>
      <c r="F3698" s="12" t="n">
        <v>42.82</v>
      </c>
      <c r="G3698" s="17" t="n">
        <v>49453.47</v>
      </c>
      <c r="H3698" s="26" t="n">
        <v>44975</v>
      </c>
      <c r="I3698" s="26" t="n">
        <v>44977</v>
      </c>
      <c r="J3698" s="12" t="n">
        <v>42.76</v>
      </c>
      <c r="K3698" s="17" t="n">
        <v>2117597.59</v>
      </c>
      <c r="L3698" s="12" t="n">
        <v>0</v>
      </c>
      <c r="M3698" s="12" t="n">
        <v>0</v>
      </c>
      <c r="N3698" s="27">
        <f>F3698-J3698</f>
        <v/>
      </c>
      <c r="O3698" s="16">
        <f>I3698-H3698</f>
        <v/>
      </c>
      <c r="P3698" s="14">
        <f>F3698*G3698</f>
        <v/>
      </c>
      <c r="Q3698" s="14">
        <f>J3698*G3698</f>
        <v/>
      </c>
      <c r="R3698" s="14">
        <f>K3698-Q3698</f>
        <v/>
      </c>
      <c r="S3698" s="3">
        <f>P3698*Assumptions!$B$3/100</f>
        <v/>
      </c>
      <c r="T3698" s="14">
        <f>R3698-S3698</f>
        <v/>
      </c>
      <c r="U3698" s="14">
        <f>L3698*G3698</f>
        <v/>
      </c>
    </row>
    <row r="3699">
      <c r="A3699" s="12" t="inlineStr">
        <is>
          <t>PO-2023-3697</t>
        </is>
      </c>
      <c r="B3699" s="26" t="n">
        <v>44660</v>
      </c>
      <c r="C3699" s="12" t="inlineStr">
        <is>
          <t>VS22</t>
        </is>
      </c>
      <c r="D3699" s="12" t="inlineStr">
        <is>
          <t>SS Sheets</t>
        </is>
      </c>
      <c r="E3699" s="12" t="inlineStr">
        <is>
          <t>N</t>
        </is>
      </c>
      <c r="F3699" s="12" t="n">
        <v>17.1</v>
      </c>
      <c r="G3699" s="17" t="n">
        <v>98843.50999999999</v>
      </c>
      <c r="H3699" s="26" t="n">
        <v>44663</v>
      </c>
      <c r="I3699" s="26" t="n">
        <v>44666</v>
      </c>
      <c r="J3699" s="12" t="n">
        <v>17.01</v>
      </c>
      <c r="K3699" s="17" t="n">
        <v>1690224.02</v>
      </c>
      <c r="L3699" s="12" t="n">
        <v>0</v>
      </c>
      <c r="M3699" s="12" t="n">
        <v>0</v>
      </c>
      <c r="N3699" s="27">
        <f>F3699-J3699</f>
        <v/>
      </c>
      <c r="O3699" s="16">
        <f>I3699-H3699</f>
        <v/>
      </c>
      <c r="P3699" s="14">
        <f>F3699*G3699</f>
        <v/>
      </c>
      <c r="Q3699" s="14">
        <f>J3699*G3699</f>
        <v/>
      </c>
      <c r="R3699" s="14">
        <f>K3699-Q3699</f>
        <v/>
      </c>
      <c r="S3699" s="3">
        <f>P3699*Assumptions!$B$3/100</f>
        <v/>
      </c>
      <c r="T3699" s="14">
        <f>R3699-S3699</f>
        <v/>
      </c>
      <c r="U3699" s="14">
        <f>L3699*G3699</f>
        <v/>
      </c>
    </row>
    <row r="3700">
      <c r="A3700" s="12" t="inlineStr">
        <is>
          <t>PO-2023-3698</t>
        </is>
      </c>
      <c r="B3700" s="26" t="n">
        <v>44659</v>
      </c>
      <c r="C3700" s="12" t="inlineStr">
        <is>
          <t>VS26</t>
        </is>
      </c>
      <c r="D3700" s="12" t="inlineStr">
        <is>
          <t>Hex Bars</t>
        </is>
      </c>
      <c r="E3700" s="12" t="inlineStr">
        <is>
          <t>N</t>
        </is>
      </c>
      <c r="F3700" s="12" t="n">
        <v>40.84</v>
      </c>
      <c r="G3700" s="17" t="n">
        <v>105640.2</v>
      </c>
      <c r="H3700" s="26" t="n">
        <v>44666</v>
      </c>
      <c r="I3700" s="26" t="n">
        <v>44666</v>
      </c>
      <c r="J3700" s="12" t="n">
        <v>40.7</v>
      </c>
      <c r="K3700" s="17" t="n">
        <v>4314345.77</v>
      </c>
      <c r="L3700" s="12" t="n">
        <v>0</v>
      </c>
      <c r="M3700" s="12" t="n">
        <v>0</v>
      </c>
      <c r="N3700" s="27">
        <f>F3700-J3700</f>
        <v/>
      </c>
      <c r="O3700" s="16">
        <f>I3700-H3700</f>
        <v/>
      </c>
      <c r="P3700" s="14">
        <f>F3700*G3700</f>
        <v/>
      </c>
      <c r="Q3700" s="14">
        <f>J3700*G3700</f>
        <v/>
      </c>
      <c r="R3700" s="14">
        <f>K3700-Q3700</f>
        <v/>
      </c>
      <c r="S3700" s="3">
        <f>P3700*Assumptions!$B$3/100</f>
        <v/>
      </c>
      <c r="T3700" s="14">
        <f>R3700-S3700</f>
        <v/>
      </c>
      <c r="U3700" s="14">
        <f>L3700*G3700</f>
        <v/>
      </c>
    </row>
    <row r="3701">
      <c r="A3701" s="12" t="inlineStr">
        <is>
          <t>PO-2023-3699</t>
        </is>
      </c>
      <c r="B3701" s="26" t="n">
        <v>44623</v>
      </c>
      <c r="C3701" s="12" t="inlineStr">
        <is>
          <t>VS13</t>
        </is>
      </c>
      <c r="D3701" s="12" t="inlineStr">
        <is>
          <t>HR Coils</t>
        </is>
      </c>
      <c r="E3701" s="12" t="inlineStr">
        <is>
          <t>N</t>
        </is>
      </c>
      <c r="F3701" s="12" t="n">
        <v>10.44</v>
      </c>
      <c r="G3701" s="17" t="n">
        <v>57165.09</v>
      </c>
      <c r="H3701" s="26" t="n">
        <v>44629</v>
      </c>
      <c r="I3701" s="26" t="n">
        <v>44629</v>
      </c>
      <c r="J3701" s="12" t="n">
        <v>10.41</v>
      </c>
      <c r="K3701" s="17" t="n">
        <v>596803.54</v>
      </c>
      <c r="L3701" s="12" t="n">
        <v>0</v>
      </c>
      <c r="M3701" s="12" t="n">
        <v>0</v>
      </c>
      <c r="N3701" s="27">
        <f>F3701-J3701</f>
        <v/>
      </c>
      <c r="O3701" s="16">
        <f>I3701-H3701</f>
        <v/>
      </c>
      <c r="P3701" s="14">
        <f>F3701*G3701</f>
        <v/>
      </c>
      <c r="Q3701" s="14">
        <f>J3701*G3701</f>
        <v/>
      </c>
      <c r="R3701" s="14">
        <f>K3701-Q3701</f>
        <v/>
      </c>
      <c r="S3701" s="3">
        <f>P3701*Assumptions!$B$3/100</f>
        <v/>
      </c>
      <c r="T3701" s="14">
        <f>R3701-S3701</f>
        <v/>
      </c>
      <c r="U3701" s="14">
        <f>L3701*G3701</f>
        <v/>
      </c>
    </row>
    <row r="3702">
      <c r="A3702" s="12" t="inlineStr">
        <is>
          <t>PO-2023-3700</t>
        </is>
      </c>
      <c r="B3702" s="26" t="n">
        <v>45004</v>
      </c>
      <c r="C3702" s="12" t="inlineStr">
        <is>
          <t>VS11</t>
        </is>
      </c>
      <c r="D3702" s="12" t="inlineStr">
        <is>
          <t>GI Wire</t>
        </is>
      </c>
      <c r="E3702" s="12" t="inlineStr">
        <is>
          <t>N</t>
        </is>
      </c>
      <c r="F3702" s="12" t="n">
        <v>7.48</v>
      </c>
      <c r="G3702" s="17" t="n">
        <v>105888.43</v>
      </c>
      <c r="H3702" s="26" t="n">
        <v>45007</v>
      </c>
      <c r="I3702" s="26" t="n">
        <v>45009</v>
      </c>
      <c r="J3702" s="12" t="n">
        <v>7.44</v>
      </c>
      <c r="K3702" s="17" t="n">
        <v>792045.46</v>
      </c>
      <c r="L3702" s="12" t="n">
        <v>0</v>
      </c>
      <c r="M3702" s="12" t="n">
        <v>0</v>
      </c>
      <c r="N3702" s="27">
        <f>F3702-J3702</f>
        <v/>
      </c>
      <c r="O3702" s="16">
        <f>I3702-H3702</f>
        <v/>
      </c>
      <c r="P3702" s="14">
        <f>F3702*G3702</f>
        <v/>
      </c>
      <c r="Q3702" s="14">
        <f>J3702*G3702</f>
        <v/>
      </c>
      <c r="R3702" s="14">
        <f>K3702-Q3702</f>
        <v/>
      </c>
      <c r="S3702" s="3">
        <f>P3702*Assumptions!$B$3/100</f>
        <v/>
      </c>
      <c r="T3702" s="14">
        <f>R3702-S3702</f>
        <v/>
      </c>
      <c r="U3702" s="14">
        <f>L3702*G3702</f>
        <v/>
      </c>
    </row>
    <row r="3703">
      <c r="A3703" s="12" t="inlineStr">
        <is>
          <t>PO-2023-3701</t>
        </is>
      </c>
      <c r="B3703" s="26" t="n">
        <v>44907</v>
      </c>
      <c r="C3703" s="12" t="inlineStr">
        <is>
          <t>VS15</t>
        </is>
      </c>
      <c r="D3703" s="12" t="inlineStr">
        <is>
          <t>ERW Pipes</t>
        </is>
      </c>
      <c r="E3703" s="12" t="inlineStr">
        <is>
          <t>N</t>
        </is>
      </c>
      <c r="F3703" s="12" t="n">
        <v>7.19</v>
      </c>
      <c r="G3703" s="17" t="n">
        <v>117443.86</v>
      </c>
      <c r="H3703" s="26" t="n">
        <v>44914</v>
      </c>
      <c r="I3703" s="26" t="n">
        <v>44915</v>
      </c>
      <c r="J3703" s="12" t="n">
        <v>7.14</v>
      </c>
      <c r="K3703" s="17" t="n">
        <v>844421.35</v>
      </c>
      <c r="L3703" s="12" t="n">
        <v>0</v>
      </c>
      <c r="M3703" s="12" t="n">
        <v>0</v>
      </c>
      <c r="N3703" s="27">
        <f>F3703-J3703</f>
        <v/>
      </c>
      <c r="O3703" s="16">
        <f>I3703-H3703</f>
        <v/>
      </c>
      <c r="P3703" s="14">
        <f>F3703*G3703</f>
        <v/>
      </c>
      <c r="Q3703" s="14">
        <f>J3703*G3703</f>
        <v/>
      </c>
      <c r="R3703" s="14">
        <f>K3703-Q3703</f>
        <v/>
      </c>
      <c r="S3703" s="3">
        <f>P3703*Assumptions!$B$3/100</f>
        <v/>
      </c>
      <c r="T3703" s="14">
        <f>R3703-S3703</f>
        <v/>
      </c>
      <c r="U3703" s="14">
        <f>L3703*G3703</f>
        <v/>
      </c>
    </row>
    <row r="3704">
      <c r="A3704" s="12" t="inlineStr">
        <is>
          <t>PO-2023-3702</t>
        </is>
      </c>
      <c r="B3704" s="26" t="n">
        <v>44750</v>
      </c>
      <c r="C3704" s="12" t="inlineStr">
        <is>
          <t>VS06</t>
        </is>
      </c>
      <c r="D3704" s="12" t="inlineStr">
        <is>
          <t>MS Sheets</t>
        </is>
      </c>
      <c r="E3704" s="12" t="inlineStr">
        <is>
          <t>N</t>
        </is>
      </c>
      <c r="F3704" s="12" t="n">
        <v>44.11</v>
      </c>
      <c r="G3704" s="17" t="n">
        <v>49314.92</v>
      </c>
      <c r="H3704" s="26" t="n">
        <v>44765</v>
      </c>
      <c r="I3704" s="26" t="n">
        <v>44766</v>
      </c>
      <c r="J3704" s="12" t="n">
        <v>43.88</v>
      </c>
      <c r="K3704" s="17" t="n">
        <v>2175281.12</v>
      </c>
      <c r="L3704" s="12" t="n">
        <v>0</v>
      </c>
      <c r="M3704" s="12" t="n">
        <v>13</v>
      </c>
      <c r="N3704" s="27">
        <f>F3704-J3704</f>
        <v/>
      </c>
      <c r="O3704" s="16">
        <f>I3704-H3704</f>
        <v/>
      </c>
      <c r="P3704" s="14">
        <f>F3704*G3704</f>
        <v/>
      </c>
      <c r="Q3704" s="14">
        <f>J3704*G3704</f>
        <v/>
      </c>
      <c r="R3704" s="14">
        <f>K3704-Q3704</f>
        <v/>
      </c>
      <c r="S3704" s="3">
        <f>P3704*Assumptions!$B$3/100</f>
        <v/>
      </c>
      <c r="T3704" s="14">
        <f>R3704-S3704</f>
        <v/>
      </c>
      <c r="U3704" s="14">
        <f>L3704*G3704</f>
        <v/>
      </c>
    </row>
    <row r="3705">
      <c r="A3705" s="12" t="inlineStr">
        <is>
          <t>PO-2023-3703</t>
        </is>
      </c>
      <c r="B3705" s="26" t="n">
        <v>44879</v>
      </c>
      <c r="C3705" s="12" t="inlineStr">
        <is>
          <t>VS26</t>
        </is>
      </c>
      <c r="D3705" s="12" t="inlineStr">
        <is>
          <t>MS Flats</t>
        </is>
      </c>
      <c r="E3705" s="12" t="inlineStr">
        <is>
          <t>N</t>
        </is>
      </c>
      <c r="F3705" s="12" t="n">
        <v>45.48</v>
      </c>
      <c r="G3705" s="17" t="n">
        <v>90879.64</v>
      </c>
      <c r="H3705" s="26" t="n">
        <v>44891</v>
      </c>
      <c r="I3705" s="26" t="n">
        <v>44893</v>
      </c>
      <c r="J3705" s="12" t="n">
        <v>45.42</v>
      </c>
      <c r="K3705" s="17" t="n">
        <v>4133206.03</v>
      </c>
      <c r="L3705" s="12" t="n">
        <v>0</v>
      </c>
      <c r="M3705" s="12" t="n">
        <v>15</v>
      </c>
      <c r="N3705" s="27">
        <f>F3705-J3705</f>
        <v/>
      </c>
      <c r="O3705" s="16">
        <f>I3705-H3705</f>
        <v/>
      </c>
      <c r="P3705" s="14">
        <f>F3705*G3705</f>
        <v/>
      </c>
      <c r="Q3705" s="14">
        <f>J3705*G3705</f>
        <v/>
      </c>
      <c r="R3705" s="14">
        <f>K3705-Q3705</f>
        <v/>
      </c>
      <c r="S3705" s="3">
        <f>P3705*Assumptions!$B$3/100</f>
        <v/>
      </c>
      <c r="T3705" s="14">
        <f>R3705-S3705</f>
        <v/>
      </c>
      <c r="U3705" s="14">
        <f>L3705*G3705</f>
        <v/>
      </c>
    </row>
    <row r="3706">
      <c r="A3706" s="12" t="inlineStr">
        <is>
          <t>PO-2023-3704</t>
        </is>
      </c>
      <c r="B3706" s="26" t="n">
        <v>44471</v>
      </c>
      <c r="C3706" s="12" t="inlineStr">
        <is>
          <t>VS04</t>
        </is>
      </c>
      <c r="D3706" s="12" t="inlineStr">
        <is>
          <t>ERW Pipes</t>
        </is>
      </c>
      <c r="E3706" s="12" t="inlineStr">
        <is>
          <t>N</t>
        </is>
      </c>
      <c r="F3706" s="12" t="n">
        <v>7.99</v>
      </c>
      <c r="G3706" s="17" t="n">
        <v>117523.56</v>
      </c>
      <c r="H3706" s="26" t="n">
        <v>44480</v>
      </c>
      <c r="I3706" s="26" t="n">
        <v>44483</v>
      </c>
      <c r="J3706" s="12" t="n">
        <v>7.94</v>
      </c>
      <c r="K3706" s="17" t="n">
        <v>939013.24</v>
      </c>
      <c r="L3706" s="12" t="n">
        <v>0</v>
      </c>
      <c r="M3706" s="12" t="n">
        <v>9</v>
      </c>
      <c r="N3706" s="27">
        <f>F3706-J3706</f>
        <v/>
      </c>
      <c r="O3706" s="16">
        <f>I3706-H3706</f>
        <v/>
      </c>
      <c r="P3706" s="14">
        <f>F3706*G3706</f>
        <v/>
      </c>
      <c r="Q3706" s="14">
        <f>J3706*G3706</f>
        <v/>
      </c>
      <c r="R3706" s="14">
        <f>K3706-Q3706</f>
        <v/>
      </c>
      <c r="S3706" s="3">
        <f>P3706*Assumptions!$B$3/100</f>
        <v/>
      </c>
      <c r="T3706" s="14">
        <f>R3706-S3706</f>
        <v/>
      </c>
      <c r="U3706" s="14">
        <f>L3706*G3706</f>
        <v/>
      </c>
    </row>
    <row r="3707">
      <c r="A3707" s="12" t="inlineStr">
        <is>
          <t>PO-2023-3705</t>
        </is>
      </c>
      <c r="B3707" s="26" t="n">
        <v>44602</v>
      </c>
      <c r="C3707" s="12" t="inlineStr">
        <is>
          <t>VS05</t>
        </is>
      </c>
      <c r="D3707" s="12" t="inlineStr">
        <is>
          <t>Structural Steel</t>
        </is>
      </c>
      <c r="E3707" s="12" t="inlineStr">
        <is>
          <t>N</t>
        </is>
      </c>
      <c r="F3707" s="12" t="n">
        <v>23.53</v>
      </c>
      <c r="G3707" s="17" t="n">
        <v>89099.86</v>
      </c>
      <c r="H3707" s="26" t="n">
        <v>44609</v>
      </c>
      <c r="I3707" s="26" t="n">
        <v>44610</v>
      </c>
      <c r="J3707" s="12" t="n">
        <v>23.44</v>
      </c>
      <c r="K3707" s="17" t="n">
        <v>2096519.71</v>
      </c>
      <c r="L3707" s="12" t="n">
        <v>0</v>
      </c>
      <c r="M3707" s="12" t="n">
        <v>4</v>
      </c>
      <c r="N3707" s="27">
        <f>F3707-J3707</f>
        <v/>
      </c>
      <c r="O3707" s="16">
        <f>I3707-H3707</f>
        <v/>
      </c>
      <c r="P3707" s="14">
        <f>F3707*G3707</f>
        <v/>
      </c>
      <c r="Q3707" s="14">
        <f>J3707*G3707</f>
        <v/>
      </c>
      <c r="R3707" s="14">
        <f>K3707-Q3707</f>
        <v/>
      </c>
      <c r="S3707" s="3">
        <f>P3707*Assumptions!$B$3/100</f>
        <v/>
      </c>
      <c r="T3707" s="14">
        <f>R3707-S3707</f>
        <v/>
      </c>
      <c r="U3707" s="14">
        <f>L3707*G3707</f>
        <v/>
      </c>
    </row>
    <row r="3708">
      <c r="A3708" s="12" t="inlineStr">
        <is>
          <t>PO-2023-3706</t>
        </is>
      </c>
      <c r="B3708" s="26" t="n">
        <v>44524</v>
      </c>
      <c r="C3708" s="12" t="inlineStr">
        <is>
          <t>VS05</t>
        </is>
      </c>
      <c r="D3708" s="12" t="inlineStr">
        <is>
          <t>MS Pipes</t>
        </is>
      </c>
      <c r="E3708" s="12" t="inlineStr">
        <is>
          <t>N</t>
        </is>
      </c>
      <c r="F3708" s="12" t="n">
        <v>19.81</v>
      </c>
      <c r="G3708" s="17" t="n">
        <v>89647.32000000001</v>
      </c>
      <c r="H3708" s="26" t="n">
        <v>44531</v>
      </c>
      <c r="I3708" s="26" t="n">
        <v>44532</v>
      </c>
      <c r="J3708" s="12" t="n">
        <v>19.78</v>
      </c>
      <c r="K3708" s="17" t="n">
        <v>1775913.41</v>
      </c>
      <c r="L3708" s="12" t="n">
        <v>0</v>
      </c>
      <c r="M3708" s="12" t="n">
        <v>4</v>
      </c>
      <c r="N3708" s="27">
        <f>F3708-J3708</f>
        <v/>
      </c>
      <c r="O3708" s="16">
        <f>I3708-H3708</f>
        <v/>
      </c>
      <c r="P3708" s="14">
        <f>F3708*G3708</f>
        <v/>
      </c>
      <c r="Q3708" s="14">
        <f>J3708*G3708</f>
        <v/>
      </c>
      <c r="R3708" s="14">
        <f>K3708-Q3708</f>
        <v/>
      </c>
      <c r="S3708" s="3">
        <f>P3708*Assumptions!$B$3/100</f>
        <v/>
      </c>
      <c r="T3708" s="14">
        <f>R3708-S3708</f>
        <v/>
      </c>
      <c r="U3708" s="14">
        <f>L3708*G3708</f>
        <v/>
      </c>
    </row>
    <row r="3709">
      <c r="A3709" s="12" t="inlineStr">
        <is>
          <t>PO-2023-3707</t>
        </is>
      </c>
      <c r="B3709" s="26" t="n">
        <v>44387</v>
      </c>
      <c r="C3709" s="12" t="inlineStr">
        <is>
          <t>VS14</t>
        </is>
      </c>
      <c r="D3709" s="12" t="inlineStr">
        <is>
          <t>Fasteners &amp; Fittings</t>
        </is>
      </c>
      <c r="E3709" s="12" t="inlineStr">
        <is>
          <t>N</t>
        </is>
      </c>
      <c r="F3709" s="12" t="n">
        <v>17.75</v>
      </c>
      <c r="G3709" s="17" t="n">
        <v>118948.78</v>
      </c>
      <c r="H3709" s="26" t="n">
        <v>44391</v>
      </c>
      <c r="I3709" s="26" t="n">
        <v>44391</v>
      </c>
      <c r="J3709" s="12" t="n">
        <v>17.65</v>
      </c>
      <c r="K3709" s="17" t="n">
        <v>2111340.85</v>
      </c>
      <c r="L3709" s="12" t="n">
        <v>0</v>
      </c>
      <c r="M3709" s="12" t="n">
        <v>5</v>
      </c>
      <c r="N3709" s="27">
        <f>F3709-J3709</f>
        <v/>
      </c>
      <c r="O3709" s="16">
        <f>I3709-H3709</f>
        <v/>
      </c>
      <c r="P3709" s="14">
        <f>F3709*G3709</f>
        <v/>
      </c>
      <c r="Q3709" s="14">
        <f>J3709*G3709</f>
        <v/>
      </c>
      <c r="R3709" s="14">
        <f>K3709-Q3709</f>
        <v/>
      </c>
      <c r="S3709" s="3">
        <f>P3709*Assumptions!$B$3/100</f>
        <v/>
      </c>
      <c r="T3709" s="14">
        <f>R3709-S3709</f>
        <v/>
      </c>
      <c r="U3709" s="14">
        <f>L3709*G3709</f>
        <v/>
      </c>
    </row>
    <row r="3710">
      <c r="A3710" s="12" t="inlineStr">
        <is>
          <t>PO-2023-3708</t>
        </is>
      </c>
      <c r="B3710" s="26" t="n">
        <v>44468</v>
      </c>
      <c r="C3710" s="12" t="inlineStr">
        <is>
          <t>VS12</t>
        </is>
      </c>
      <c r="D3710" s="12" t="inlineStr">
        <is>
          <t>MS Rods</t>
        </is>
      </c>
      <c r="E3710" s="12" t="inlineStr">
        <is>
          <t>N</t>
        </is>
      </c>
      <c r="F3710" s="12" t="n">
        <v>22.87</v>
      </c>
      <c r="G3710" s="17" t="n">
        <v>101633.27</v>
      </c>
      <c r="H3710" s="26" t="n">
        <v>44472</v>
      </c>
      <c r="I3710" s="26" t="n">
        <v>44475</v>
      </c>
      <c r="J3710" s="12" t="n">
        <v>22.24</v>
      </c>
      <c r="K3710" s="17" t="n">
        <v>2324352.88</v>
      </c>
      <c r="L3710" s="12" t="n">
        <v>0.07000000000000001</v>
      </c>
      <c r="M3710" s="12" t="n">
        <v>3</v>
      </c>
      <c r="N3710" s="27">
        <f>F3710-J3710</f>
        <v/>
      </c>
      <c r="O3710" s="16">
        <f>I3710-H3710</f>
        <v/>
      </c>
      <c r="P3710" s="14">
        <f>F3710*G3710</f>
        <v/>
      </c>
      <c r="Q3710" s="14">
        <f>J3710*G3710</f>
        <v/>
      </c>
      <c r="R3710" s="14">
        <f>K3710-Q3710</f>
        <v/>
      </c>
      <c r="S3710" s="3">
        <f>P3710*Assumptions!$B$3/100</f>
        <v/>
      </c>
      <c r="T3710" s="14">
        <f>R3710-S3710</f>
        <v/>
      </c>
      <c r="U3710" s="14">
        <f>L3710*G3710</f>
        <v/>
      </c>
    </row>
    <row r="3711">
      <c r="A3711" s="12" t="inlineStr">
        <is>
          <t>PO-2023-3709</t>
        </is>
      </c>
      <c r="B3711" s="26" t="n">
        <v>45183</v>
      </c>
      <c r="C3711" s="12" t="inlineStr">
        <is>
          <t>VS24</t>
        </is>
      </c>
      <c r="D3711" s="12" t="inlineStr">
        <is>
          <t>HR Coils</t>
        </is>
      </c>
      <c r="E3711" s="12" t="inlineStr">
        <is>
          <t>N</t>
        </is>
      </c>
      <c r="F3711" s="12" t="n">
        <v>36.4</v>
      </c>
      <c r="G3711" s="17" t="n">
        <v>54608.16</v>
      </c>
      <c r="H3711" s="26" t="n">
        <v>45192</v>
      </c>
      <c r="I3711" s="26" t="n">
        <v>45193</v>
      </c>
      <c r="J3711" s="12" t="n">
        <v>36.35</v>
      </c>
      <c r="K3711" s="17" t="n">
        <v>1987737.02</v>
      </c>
      <c r="L3711" s="12" t="n">
        <v>0</v>
      </c>
      <c r="M3711" s="12" t="n">
        <v>0</v>
      </c>
      <c r="N3711" s="27">
        <f>F3711-J3711</f>
        <v/>
      </c>
      <c r="O3711" s="16">
        <f>I3711-H3711</f>
        <v/>
      </c>
      <c r="P3711" s="14">
        <f>F3711*G3711</f>
        <v/>
      </c>
      <c r="Q3711" s="14">
        <f>J3711*G3711</f>
        <v/>
      </c>
      <c r="R3711" s="14">
        <f>K3711-Q3711</f>
        <v/>
      </c>
      <c r="S3711" s="3">
        <f>P3711*Assumptions!$B$3/100</f>
        <v/>
      </c>
      <c r="T3711" s="14">
        <f>R3711-S3711</f>
        <v/>
      </c>
      <c r="U3711" s="14">
        <f>L3711*G3711</f>
        <v/>
      </c>
    </row>
    <row r="3712">
      <c r="A3712" s="12" t="inlineStr">
        <is>
          <t>PO-2023-3710</t>
        </is>
      </c>
      <c r="B3712" s="26" t="n">
        <v>44758</v>
      </c>
      <c r="C3712" s="12" t="inlineStr">
        <is>
          <t>VS31</t>
        </is>
      </c>
      <c r="D3712" s="12" t="inlineStr">
        <is>
          <t>MS Flats</t>
        </is>
      </c>
      <c r="E3712" s="12" t="inlineStr">
        <is>
          <t>N</t>
        </is>
      </c>
      <c r="F3712" s="12" t="n">
        <v>8.41</v>
      </c>
      <c r="G3712" s="17" t="n">
        <v>108978.53</v>
      </c>
      <c r="H3712" s="26" t="n">
        <v>44771</v>
      </c>
      <c r="I3712" s="26" t="n">
        <v>44772</v>
      </c>
      <c r="J3712" s="12" t="n">
        <v>8.390000000000001</v>
      </c>
      <c r="K3712" s="17" t="n">
        <v>916509.4399999999</v>
      </c>
      <c r="L3712" s="12" t="n">
        <v>0</v>
      </c>
      <c r="M3712" s="12" t="n">
        <v>23</v>
      </c>
      <c r="N3712" s="27">
        <f>F3712-J3712</f>
        <v/>
      </c>
      <c r="O3712" s="16">
        <f>I3712-H3712</f>
        <v/>
      </c>
      <c r="P3712" s="14">
        <f>F3712*G3712</f>
        <v/>
      </c>
      <c r="Q3712" s="14">
        <f>J3712*G3712</f>
        <v/>
      </c>
      <c r="R3712" s="14">
        <f>K3712-Q3712</f>
        <v/>
      </c>
      <c r="S3712" s="3">
        <f>P3712*Assumptions!$B$3/100</f>
        <v/>
      </c>
      <c r="T3712" s="14">
        <f>R3712-S3712</f>
        <v/>
      </c>
      <c r="U3712" s="14">
        <f>L3712*G3712</f>
        <v/>
      </c>
    </row>
    <row r="3713">
      <c r="A3713" s="12" t="inlineStr">
        <is>
          <t>PO-2023-3711</t>
        </is>
      </c>
      <c r="B3713" s="26" t="n">
        <v>45013</v>
      </c>
      <c r="C3713" s="12" t="inlineStr">
        <is>
          <t>VS17</t>
        </is>
      </c>
      <c r="D3713" s="12" t="inlineStr">
        <is>
          <t>MS Rods</t>
        </is>
      </c>
      <c r="E3713" s="12" t="inlineStr">
        <is>
          <t>N</t>
        </is>
      </c>
      <c r="F3713" s="12" t="n">
        <v>6.04</v>
      </c>
      <c r="G3713" s="17" t="n">
        <v>112927.97</v>
      </c>
      <c r="H3713" s="26" t="n">
        <v>45027</v>
      </c>
      <c r="I3713" s="26" t="n">
        <v>45029</v>
      </c>
      <c r="J3713" s="12" t="n">
        <v>5.99</v>
      </c>
      <c r="K3713" s="17" t="n">
        <v>682084.9399999999</v>
      </c>
      <c r="L3713" s="12" t="n">
        <v>0</v>
      </c>
      <c r="M3713" s="12" t="n">
        <v>10</v>
      </c>
      <c r="N3713" s="27">
        <f>F3713-J3713</f>
        <v/>
      </c>
      <c r="O3713" s="16">
        <f>I3713-H3713</f>
        <v/>
      </c>
      <c r="P3713" s="14">
        <f>F3713*G3713</f>
        <v/>
      </c>
      <c r="Q3713" s="14">
        <f>J3713*G3713</f>
        <v/>
      </c>
      <c r="R3713" s="14">
        <f>K3713-Q3713</f>
        <v/>
      </c>
      <c r="S3713" s="3">
        <f>P3713*Assumptions!$B$3/100</f>
        <v/>
      </c>
      <c r="T3713" s="14">
        <f>R3713-S3713</f>
        <v/>
      </c>
      <c r="U3713" s="14">
        <f>L3713*G3713</f>
        <v/>
      </c>
    </row>
    <row r="3714">
      <c r="A3714" s="12" t="inlineStr">
        <is>
          <t>PO-2023-3712</t>
        </is>
      </c>
      <c r="B3714" s="26" t="n">
        <v>44249</v>
      </c>
      <c r="C3714" s="12" t="inlineStr">
        <is>
          <t>VS28</t>
        </is>
      </c>
      <c r="D3714" s="12" t="inlineStr">
        <is>
          <t>ERW Pipes</t>
        </is>
      </c>
      <c r="E3714" s="12" t="inlineStr">
        <is>
          <t>N</t>
        </is>
      </c>
      <c r="F3714" s="12" t="n">
        <v>22.98</v>
      </c>
      <c r="G3714" s="17" t="n">
        <v>102483.94</v>
      </c>
      <c r="H3714" s="26" t="n">
        <v>44252</v>
      </c>
      <c r="I3714" s="26" t="n">
        <v>44255</v>
      </c>
      <c r="J3714" s="12" t="n">
        <v>22.84</v>
      </c>
      <c r="K3714" s="17" t="n">
        <v>2355080.94</v>
      </c>
      <c r="L3714" s="12" t="n">
        <v>0</v>
      </c>
      <c r="M3714" s="12" t="n">
        <v>0</v>
      </c>
      <c r="N3714" s="27">
        <f>F3714-J3714</f>
        <v/>
      </c>
      <c r="O3714" s="16">
        <f>I3714-H3714</f>
        <v/>
      </c>
      <c r="P3714" s="14">
        <f>F3714*G3714</f>
        <v/>
      </c>
      <c r="Q3714" s="14">
        <f>J3714*G3714</f>
        <v/>
      </c>
      <c r="R3714" s="14">
        <f>K3714-Q3714</f>
        <v/>
      </c>
      <c r="S3714" s="3">
        <f>P3714*Assumptions!$B$3/100</f>
        <v/>
      </c>
      <c r="T3714" s="14">
        <f>R3714-S3714</f>
        <v/>
      </c>
      <c r="U3714" s="14">
        <f>L3714*G3714</f>
        <v/>
      </c>
    </row>
    <row r="3715">
      <c r="A3715" s="12" t="inlineStr">
        <is>
          <t>PO-2023-3713</t>
        </is>
      </c>
      <c r="B3715" s="26" t="n">
        <v>44206</v>
      </c>
      <c r="C3715" s="12" t="inlineStr">
        <is>
          <t>VS11</t>
        </is>
      </c>
      <c r="D3715" s="12" t="inlineStr">
        <is>
          <t>Spring Steel</t>
        </is>
      </c>
      <c r="E3715" s="12" t="inlineStr">
        <is>
          <t>N</t>
        </is>
      </c>
      <c r="F3715" s="12" t="n">
        <v>45.22</v>
      </c>
      <c r="G3715" s="17" t="n">
        <v>68655.38</v>
      </c>
      <c r="H3715" s="26" t="n">
        <v>44211</v>
      </c>
      <c r="I3715" s="26" t="n">
        <v>44214</v>
      </c>
      <c r="J3715" s="12" t="n">
        <v>44.99</v>
      </c>
      <c r="K3715" s="17" t="n">
        <v>3104596.28</v>
      </c>
      <c r="L3715" s="12" t="n">
        <v>0</v>
      </c>
      <c r="M3715" s="12" t="n">
        <v>16</v>
      </c>
      <c r="N3715" s="27">
        <f>F3715-J3715</f>
        <v/>
      </c>
      <c r="O3715" s="16">
        <f>I3715-H3715</f>
        <v/>
      </c>
      <c r="P3715" s="14">
        <f>F3715*G3715</f>
        <v/>
      </c>
      <c r="Q3715" s="14">
        <f>J3715*G3715</f>
        <v/>
      </c>
      <c r="R3715" s="14">
        <f>K3715-Q3715</f>
        <v/>
      </c>
      <c r="S3715" s="3">
        <f>P3715*Assumptions!$B$3/100</f>
        <v/>
      </c>
      <c r="T3715" s="14">
        <f>R3715-S3715</f>
        <v/>
      </c>
      <c r="U3715" s="14">
        <f>L3715*G3715</f>
        <v/>
      </c>
    </row>
    <row r="3716">
      <c r="A3716" s="12" t="inlineStr">
        <is>
          <t>PO-2023-3714</t>
        </is>
      </c>
      <c r="B3716" s="26" t="n">
        <v>44750</v>
      </c>
      <c r="C3716" s="12" t="inlineStr">
        <is>
          <t>VS04</t>
        </is>
      </c>
      <c r="D3716" s="12" t="inlineStr">
        <is>
          <t>GI Sheets</t>
        </is>
      </c>
      <c r="E3716" s="12" t="inlineStr">
        <is>
          <t>N</t>
        </is>
      </c>
      <c r="F3716" s="12" t="n">
        <v>9.140000000000001</v>
      </c>
      <c r="G3716" s="17" t="n">
        <v>52942.1</v>
      </c>
      <c r="H3716" s="26" t="n">
        <v>44758</v>
      </c>
      <c r="I3716" s="26" t="n">
        <v>44760</v>
      </c>
      <c r="J3716" s="12" t="n">
        <v>9.130000000000001</v>
      </c>
      <c r="K3716" s="17" t="n">
        <v>483890.79</v>
      </c>
      <c r="L3716" s="12" t="n">
        <v>0</v>
      </c>
      <c r="M3716" s="12" t="n">
        <v>0</v>
      </c>
      <c r="N3716" s="27">
        <f>F3716-J3716</f>
        <v/>
      </c>
      <c r="O3716" s="16">
        <f>I3716-H3716</f>
        <v/>
      </c>
      <c r="P3716" s="14">
        <f>F3716*G3716</f>
        <v/>
      </c>
      <c r="Q3716" s="14">
        <f>J3716*G3716</f>
        <v/>
      </c>
      <c r="R3716" s="14">
        <f>K3716-Q3716</f>
        <v/>
      </c>
      <c r="S3716" s="3">
        <f>P3716*Assumptions!$B$3/100</f>
        <v/>
      </c>
      <c r="T3716" s="14">
        <f>R3716-S3716</f>
        <v/>
      </c>
      <c r="U3716" s="14">
        <f>L3716*G3716</f>
        <v/>
      </c>
    </row>
    <row r="3717">
      <c r="A3717" s="12" t="inlineStr">
        <is>
          <t>PO-2023-3715</t>
        </is>
      </c>
      <c r="B3717" s="26" t="n">
        <v>44668</v>
      </c>
      <c r="C3717" s="12" t="inlineStr">
        <is>
          <t>VS22</t>
        </is>
      </c>
      <c r="D3717" s="12" t="inlineStr">
        <is>
          <t>Angles &amp; Channels</t>
        </is>
      </c>
      <c r="E3717" s="12" t="inlineStr">
        <is>
          <t>N</t>
        </is>
      </c>
      <c r="F3717" s="12" t="n">
        <v>1.49</v>
      </c>
      <c r="G3717" s="17" t="n">
        <v>52056.54</v>
      </c>
      <c r="H3717" s="26" t="n">
        <v>44674</v>
      </c>
      <c r="I3717" s="26" t="n">
        <v>44677</v>
      </c>
      <c r="J3717" s="12" t="n">
        <v>1.49</v>
      </c>
      <c r="K3717" s="17" t="n">
        <v>77564.24000000001</v>
      </c>
      <c r="L3717" s="12" t="n">
        <v>0</v>
      </c>
      <c r="M3717" s="12" t="n">
        <v>23</v>
      </c>
      <c r="N3717" s="27">
        <f>F3717-J3717</f>
        <v/>
      </c>
      <c r="O3717" s="16">
        <f>I3717-H3717</f>
        <v/>
      </c>
      <c r="P3717" s="14">
        <f>F3717*G3717</f>
        <v/>
      </c>
      <c r="Q3717" s="14">
        <f>J3717*G3717</f>
        <v/>
      </c>
      <c r="R3717" s="14">
        <f>K3717-Q3717</f>
        <v/>
      </c>
      <c r="S3717" s="3">
        <f>P3717*Assumptions!$B$3/100</f>
        <v/>
      </c>
      <c r="T3717" s="14">
        <f>R3717-S3717</f>
        <v/>
      </c>
      <c r="U3717" s="14">
        <f>L3717*G3717</f>
        <v/>
      </c>
    </row>
    <row r="3718">
      <c r="A3718" s="12" t="inlineStr">
        <is>
          <t>PO-2023-3716</t>
        </is>
      </c>
      <c r="B3718" s="26" t="n">
        <v>44482</v>
      </c>
      <c r="C3718" s="12" t="inlineStr">
        <is>
          <t>VS07</t>
        </is>
      </c>
      <c r="D3718" s="12" t="inlineStr">
        <is>
          <t>ERW Pipes</t>
        </is>
      </c>
      <c r="E3718" s="12" t="inlineStr">
        <is>
          <t>N</t>
        </is>
      </c>
      <c r="F3718" s="12" t="n">
        <v>15.68</v>
      </c>
      <c r="G3718" s="17" t="n">
        <v>94964.28</v>
      </c>
      <c r="H3718" s="26" t="n">
        <v>44485</v>
      </c>
      <c r="I3718" s="26" t="n">
        <v>44488</v>
      </c>
      <c r="J3718" s="12" t="n">
        <v>15.57</v>
      </c>
      <c r="K3718" s="17" t="n">
        <v>1489039.91</v>
      </c>
      <c r="L3718" s="12" t="n">
        <v>0</v>
      </c>
      <c r="M3718" s="12" t="n">
        <v>5</v>
      </c>
      <c r="N3718" s="27">
        <f>F3718-J3718</f>
        <v/>
      </c>
      <c r="O3718" s="16">
        <f>I3718-H3718</f>
        <v/>
      </c>
      <c r="P3718" s="14">
        <f>F3718*G3718</f>
        <v/>
      </c>
      <c r="Q3718" s="14">
        <f>J3718*G3718</f>
        <v/>
      </c>
      <c r="R3718" s="14">
        <f>K3718-Q3718</f>
        <v/>
      </c>
      <c r="S3718" s="3">
        <f>P3718*Assumptions!$B$3/100</f>
        <v/>
      </c>
      <c r="T3718" s="14">
        <f>R3718-S3718</f>
        <v/>
      </c>
      <c r="U3718" s="14">
        <f>L3718*G3718</f>
        <v/>
      </c>
    </row>
    <row r="3719">
      <c r="A3719" s="12" t="inlineStr">
        <is>
          <t>PO-2023-3717</t>
        </is>
      </c>
      <c r="B3719" s="26" t="n">
        <v>45256</v>
      </c>
      <c r="C3719" s="12" t="inlineStr">
        <is>
          <t>VS29</t>
        </is>
      </c>
      <c r="D3719" s="12" t="inlineStr">
        <is>
          <t>Structural Steel</t>
        </is>
      </c>
      <c r="E3719" s="12" t="inlineStr">
        <is>
          <t>N</t>
        </is>
      </c>
      <c r="F3719" s="12" t="n">
        <v>45.95</v>
      </c>
      <c r="G3719" s="17" t="n">
        <v>79574.66</v>
      </c>
      <c r="H3719" s="26" t="n">
        <v>45261</v>
      </c>
      <c r="I3719" s="26" t="n">
        <v>45261</v>
      </c>
      <c r="J3719" s="12" t="n">
        <v>45.49</v>
      </c>
      <c r="K3719" s="17" t="n">
        <v>3656455.63</v>
      </c>
      <c r="L3719" s="12" t="n">
        <v>0</v>
      </c>
      <c r="M3719" s="12" t="n">
        <v>25</v>
      </c>
      <c r="N3719" s="27">
        <f>F3719-J3719</f>
        <v/>
      </c>
      <c r="O3719" s="16">
        <f>I3719-H3719</f>
        <v/>
      </c>
      <c r="P3719" s="14">
        <f>F3719*G3719</f>
        <v/>
      </c>
      <c r="Q3719" s="14">
        <f>J3719*G3719</f>
        <v/>
      </c>
      <c r="R3719" s="14">
        <f>K3719-Q3719</f>
        <v/>
      </c>
      <c r="S3719" s="3">
        <f>P3719*Assumptions!$B$3/100</f>
        <v/>
      </c>
      <c r="T3719" s="14">
        <f>R3719-S3719</f>
        <v/>
      </c>
      <c r="U3719" s="14">
        <f>L3719*G3719</f>
        <v/>
      </c>
    </row>
    <row r="3720">
      <c r="A3720" s="12" t="inlineStr">
        <is>
          <t>PO-2023-3718</t>
        </is>
      </c>
      <c r="B3720" s="26" t="n">
        <v>44731</v>
      </c>
      <c r="C3720" s="12" t="inlineStr">
        <is>
          <t>VS30</t>
        </is>
      </c>
      <c r="D3720" s="12" t="inlineStr">
        <is>
          <t>Square/Rect Tubes</t>
        </is>
      </c>
      <c r="E3720" s="12" t="inlineStr">
        <is>
          <t>Y</t>
        </is>
      </c>
      <c r="F3720" s="12" t="n">
        <v>19.34</v>
      </c>
      <c r="G3720" s="17" t="n">
        <v>100593.67</v>
      </c>
      <c r="H3720" s="26" t="n">
        <v>44736</v>
      </c>
      <c r="I3720" s="26" t="n">
        <v>44739</v>
      </c>
      <c r="J3720" s="12" t="n">
        <v>19.26</v>
      </c>
      <c r="K3720" s="17" t="n">
        <v>1945481.58</v>
      </c>
      <c r="L3720" s="12" t="n">
        <v>0</v>
      </c>
      <c r="M3720" s="12" t="n">
        <v>10</v>
      </c>
      <c r="N3720" s="27">
        <f>F3720-J3720</f>
        <v/>
      </c>
      <c r="O3720" s="16">
        <f>I3720-H3720</f>
        <v/>
      </c>
      <c r="P3720" s="14">
        <f>F3720*G3720</f>
        <v/>
      </c>
      <c r="Q3720" s="14">
        <f>J3720*G3720</f>
        <v/>
      </c>
      <c r="R3720" s="14">
        <f>K3720-Q3720</f>
        <v/>
      </c>
      <c r="S3720" s="3">
        <f>P3720*Assumptions!$B$3/100</f>
        <v/>
      </c>
      <c r="T3720" s="14">
        <f>R3720-S3720</f>
        <v/>
      </c>
      <c r="U3720" s="14">
        <f>L3720*G3720</f>
        <v/>
      </c>
    </row>
    <row r="3721">
      <c r="A3721" s="12" t="inlineStr">
        <is>
          <t>PO-2023-3719</t>
        </is>
      </c>
      <c r="B3721" s="26" t="n">
        <v>44511</v>
      </c>
      <c r="C3721" s="12" t="inlineStr">
        <is>
          <t>VS06</t>
        </is>
      </c>
      <c r="D3721" s="12" t="inlineStr">
        <is>
          <t>Hex Bars</t>
        </is>
      </c>
      <c r="E3721" s="12" t="inlineStr">
        <is>
          <t>N</t>
        </is>
      </c>
      <c r="F3721" s="12" t="n">
        <v>27.72</v>
      </c>
      <c r="G3721" s="17" t="n">
        <v>98114.7</v>
      </c>
      <c r="H3721" s="26" t="n">
        <v>44518</v>
      </c>
      <c r="I3721" s="26" t="n">
        <v>44518</v>
      </c>
      <c r="J3721" s="12" t="n">
        <v>27.57</v>
      </c>
      <c r="K3721" s="17" t="n">
        <v>2719739.48</v>
      </c>
      <c r="L3721" s="12" t="n">
        <v>0</v>
      </c>
      <c r="M3721" s="12" t="n">
        <v>0</v>
      </c>
      <c r="N3721" s="27">
        <f>F3721-J3721</f>
        <v/>
      </c>
      <c r="O3721" s="16">
        <f>I3721-H3721</f>
        <v/>
      </c>
      <c r="P3721" s="14">
        <f>F3721*G3721</f>
        <v/>
      </c>
      <c r="Q3721" s="14">
        <f>J3721*G3721</f>
        <v/>
      </c>
      <c r="R3721" s="14">
        <f>K3721-Q3721</f>
        <v/>
      </c>
      <c r="S3721" s="3">
        <f>P3721*Assumptions!$B$3/100</f>
        <v/>
      </c>
      <c r="T3721" s="14">
        <f>R3721-S3721</f>
        <v/>
      </c>
      <c r="U3721" s="14">
        <f>L3721*G3721</f>
        <v/>
      </c>
    </row>
    <row r="3722">
      <c r="A3722" s="12" t="inlineStr">
        <is>
          <t>PO-2023-3720</t>
        </is>
      </c>
      <c r="B3722" s="26" t="n">
        <v>44855</v>
      </c>
      <c r="C3722" s="12" t="inlineStr">
        <is>
          <t>VS08</t>
        </is>
      </c>
      <c r="D3722" s="12" t="inlineStr">
        <is>
          <t>MS Sheets</t>
        </is>
      </c>
      <c r="E3722" s="12" t="inlineStr">
        <is>
          <t>N</t>
        </is>
      </c>
      <c r="F3722" s="12" t="n">
        <v>37.06</v>
      </c>
      <c r="G3722" s="17" t="n">
        <v>117684.54</v>
      </c>
      <c r="H3722" s="26" t="n">
        <v>44862</v>
      </c>
      <c r="I3722" s="26" t="n">
        <v>44862</v>
      </c>
      <c r="J3722" s="12" t="n">
        <v>36.92</v>
      </c>
      <c r="K3722" s="17" t="n">
        <v>4361389.05</v>
      </c>
      <c r="L3722" s="12" t="n">
        <v>0</v>
      </c>
      <c r="M3722" s="12" t="n">
        <v>0</v>
      </c>
      <c r="N3722" s="27">
        <f>F3722-J3722</f>
        <v/>
      </c>
      <c r="O3722" s="16">
        <f>I3722-H3722</f>
        <v/>
      </c>
      <c r="P3722" s="14">
        <f>F3722*G3722</f>
        <v/>
      </c>
      <c r="Q3722" s="14">
        <f>J3722*G3722</f>
        <v/>
      </c>
      <c r="R3722" s="14">
        <f>K3722-Q3722</f>
        <v/>
      </c>
      <c r="S3722" s="3">
        <f>P3722*Assumptions!$B$3/100</f>
        <v/>
      </c>
      <c r="T3722" s="14">
        <f>R3722-S3722</f>
        <v/>
      </c>
      <c r="U3722" s="14">
        <f>L3722*G3722</f>
        <v/>
      </c>
    </row>
    <row r="3723">
      <c r="A3723" s="12" t="inlineStr">
        <is>
          <t>PO-2023-3721</t>
        </is>
      </c>
      <c r="B3723" s="26" t="n">
        <v>45186</v>
      </c>
      <c r="C3723" s="12" t="inlineStr">
        <is>
          <t>VS32</t>
        </is>
      </c>
      <c r="D3723" s="12" t="inlineStr">
        <is>
          <t>GI Pipes</t>
        </is>
      </c>
      <c r="E3723" s="12" t="inlineStr">
        <is>
          <t>Y</t>
        </is>
      </c>
      <c r="F3723" s="12" t="n">
        <v>22.14</v>
      </c>
      <c r="G3723" s="17" t="n">
        <v>92553.55</v>
      </c>
      <c r="H3723" s="26" t="n">
        <v>45198</v>
      </c>
      <c r="I3723" s="26" t="n">
        <v>45199</v>
      </c>
      <c r="J3723" s="12" t="n">
        <v>22.11</v>
      </c>
      <c r="K3723" s="17" t="n">
        <v>2049135.6</v>
      </c>
      <c r="L3723" s="12" t="n">
        <v>0</v>
      </c>
      <c r="M3723" s="12" t="n">
        <v>0</v>
      </c>
      <c r="N3723" s="27">
        <f>F3723-J3723</f>
        <v/>
      </c>
      <c r="O3723" s="16">
        <f>I3723-H3723</f>
        <v/>
      </c>
      <c r="P3723" s="14">
        <f>F3723*G3723</f>
        <v/>
      </c>
      <c r="Q3723" s="14">
        <f>J3723*G3723</f>
        <v/>
      </c>
      <c r="R3723" s="14">
        <f>K3723-Q3723</f>
        <v/>
      </c>
      <c r="S3723" s="3">
        <f>P3723*Assumptions!$B$3/100</f>
        <v/>
      </c>
      <c r="T3723" s="14">
        <f>R3723-S3723</f>
        <v/>
      </c>
      <c r="U3723" s="14">
        <f>L3723*G3723</f>
        <v/>
      </c>
    </row>
    <row r="3724">
      <c r="A3724" s="12" t="inlineStr">
        <is>
          <t>PO-2023-3722</t>
        </is>
      </c>
      <c r="B3724" s="26" t="n">
        <v>44603</v>
      </c>
      <c r="C3724" s="12" t="inlineStr">
        <is>
          <t>VS14</t>
        </is>
      </c>
      <c r="D3724" s="12" t="inlineStr">
        <is>
          <t>HR Coils</t>
        </is>
      </c>
      <c r="E3724" s="12" t="inlineStr">
        <is>
          <t>N</t>
        </is>
      </c>
      <c r="F3724" s="12" t="n">
        <v>38.12</v>
      </c>
      <c r="G3724" s="17" t="n">
        <v>89168.38</v>
      </c>
      <c r="H3724" s="26" t="n">
        <v>44614</v>
      </c>
      <c r="I3724" s="26" t="n">
        <v>44617</v>
      </c>
      <c r="J3724" s="12" t="n">
        <v>37.77</v>
      </c>
      <c r="K3724" s="17" t="n">
        <v>3399098.65</v>
      </c>
      <c r="L3724" s="12" t="n">
        <v>0</v>
      </c>
      <c r="M3724" s="12" t="n">
        <v>0</v>
      </c>
      <c r="N3724" s="27">
        <f>F3724-J3724</f>
        <v/>
      </c>
      <c r="O3724" s="16">
        <f>I3724-H3724</f>
        <v/>
      </c>
      <c r="P3724" s="14">
        <f>F3724*G3724</f>
        <v/>
      </c>
      <c r="Q3724" s="14">
        <f>J3724*G3724</f>
        <v/>
      </c>
      <c r="R3724" s="14">
        <f>K3724-Q3724</f>
        <v/>
      </c>
      <c r="S3724" s="3">
        <f>P3724*Assumptions!$B$3/100</f>
        <v/>
      </c>
      <c r="T3724" s="14">
        <f>R3724-S3724</f>
        <v/>
      </c>
      <c r="U3724" s="14">
        <f>L3724*G3724</f>
        <v/>
      </c>
    </row>
    <row r="3725">
      <c r="A3725" s="12" t="inlineStr">
        <is>
          <t>PO-2023-3723</t>
        </is>
      </c>
      <c r="B3725" s="26" t="n">
        <v>45077</v>
      </c>
      <c r="C3725" s="12" t="inlineStr">
        <is>
          <t>VS23</t>
        </is>
      </c>
      <c r="D3725" s="12" t="inlineStr">
        <is>
          <t>ERW Pipes</t>
        </is>
      </c>
      <c r="E3725" s="12" t="inlineStr">
        <is>
          <t>N</t>
        </is>
      </c>
      <c r="F3725" s="12" t="n">
        <v>18.54</v>
      </c>
      <c r="G3725" s="17" t="n">
        <v>91313.34</v>
      </c>
      <c r="H3725" s="26" t="n">
        <v>45080</v>
      </c>
      <c r="I3725" s="26" t="n">
        <v>45080</v>
      </c>
      <c r="J3725" s="12" t="n">
        <v>18.44</v>
      </c>
      <c r="K3725" s="17" t="n">
        <v>1692949.32</v>
      </c>
      <c r="L3725" s="12" t="n">
        <v>0</v>
      </c>
      <c r="M3725" s="12" t="n">
        <v>0</v>
      </c>
      <c r="N3725" s="27">
        <f>F3725-J3725</f>
        <v/>
      </c>
      <c r="O3725" s="16">
        <f>I3725-H3725</f>
        <v/>
      </c>
      <c r="P3725" s="14">
        <f>F3725*G3725</f>
        <v/>
      </c>
      <c r="Q3725" s="14">
        <f>J3725*G3725</f>
        <v/>
      </c>
      <c r="R3725" s="14">
        <f>K3725-Q3725</f>
        <v/>
      </c>
      <c r="S3725" s="3">
        <f>P3725*Assumptions!$B$3/100</f>
        <v/>
      </c>
      <c r="T3725" s="14">
        <f>R3725-S3725</f>
        <v/>
      </c>
      <c r="U3725" s="14">
        <f>L3725*G3725</f>
        <v/>
      </c>
    </row>
    <row r="3726">
      <c r="A3726" s="12" t="inlineStr">
        <is>
          <t>PO-2023-3724</t>
        </is>
      </c>
      <c r="B3726" s="26" t="n">
        <v>44536</v>
      </c>
      <c r="C3726" s="12" t="inlineStr">
        <is>
          <t>VS22</t>
        </is>
      </c>
      <c r="D3726" s="12" t="inlineStr">
        <is>
          <t>Fasteners &amp; Fittings</t>
        </is>
      </c>
      <c r="E3726" s="12" t="inlineStr">
        <is>
          <t>N</t>
        </is>
      </c>
      <c r="F3726" s="12" t="n">
        <v>36.1</v>
      </c>
      <c r="G3726" s="17" t="n">
        <v>94913.41</v>
      </c>
      <c r="H3726" s="26" t="n">
        <v>44545</v>
      </c>
      <c r="I3726" s="26" t="n">
        <v>44548</v>
      </c>
      <c r="J3726" s="12" t="n">
        <v>35.88</v>
      </c>
      <c r="K3726" s="17" t="n">
        <v>3426374.1</v>
      </c>
      <c r="L3726" s="12" t="n">
        <v>0</v>
      </c>
      <c r="M3726" s="12" t="n">
        <v>0</v>
      </c>
      <c r="N3726" s="27">
        <f>F3726-J3726</f>
        <v/>
      </c>
      <c r="O3726" s="16">
        <f>I3726-H3726</f>
        <v/>
      </c>
      <c r="P3726" s="14">
        <f>F3726*G3726</f>
        <v/>
      </c>
      <c r="Q3726" s="14">
        <f>J3726*G3726</f>
        <v/>
      </c>
      <c r="R3726" s="14">
        <f>K3726-Q3726</f>
        <v/>
      </c>
      <c r="S3726" s="3">
        <f>P3726*Assumptions!$B$3/100</f>
        <v/>
      </c>
      <c r="T3726" s="14">
        <f>R3726-S3726</f>
        <v/>
      </c>
      <c r="U3726" s="14">
        <f>L3726*G3726</f>
        <v/>
      </c>
    </row>
    <row r="3727">
      <c r="A3727" s="12" t="inlineStr">
        <is>
          <t>PO-2023-3725</t>
        </is>
      </c>
      <c r="B3727" s="26" t="n">
        <v>44760</v>
      </c>
      <c r="C3727" s="12" t="inlineStr">
        <is>
          <t>VS04</t>
        </is>
      </c>
      <c r="D3727" s="12" t="inlineStr">
        <is>
          <t>Hex Bars</t>
        </is>
      </c>
      <c r="E3727" s="12" t="inlineStr">
        <is>
          <t>N</t>
        </is>
      </c>
      <c r="F3727" s="12" t="n">
        <v>17.34</v>
      </c>
      <c r="G3727" s="17" t="n">
        <v>82759.21000000001</v>
      </c>
      <c r="H3727" s="26" t="n">
        <v>44775</v>
      </c>
      <c r="I3727" s="26" t="n">
        <v>44778</v>
      </c>
      <c r="J3727" s="12" t="n">
        <v>17.27</v>
      </c>
      <c r="K3727" s="17" t="n">
        <v>1435044.7</v>
      </c>
      <c r="L3727" s="12" t="n">
        <v>0</v>
      </c>
      <c r="M3727" s="12" t="n">
        <v>16</v>
      </c>
      <c r="N3727" s="27">
        <f>F3727-J3727</f>
        <v/>
      </c>
      <c r="O3727" s="16">
        <f>I3727-H3727</f>
        <v/>
      </c>
      <c r="P3727" s="14">
        <f>F3727*G3727</f>
        <v/>
      </c>
      <c r="Q3727" s="14">
        <f>J3727*G3727</f>
        <v/>
      </c>
      <c r="R3727" s="14">
        <f>K3727-Q3727</f>
        <v/>
      </c>
      <c r="S3727" s="3">
        <f>P3727*Assumptions!$B$3/100</f>
        <v/>
      </c>
      <c r="T3727" s="14">
        <f>R3727-S3727</f>
        <v/>
      </c>
      <c r="U3727" s="14">
        <f>L3727*G3727</f>
        <v/>
      </c>
    </row>
    <row r="3728">
      <c r="A3728" s="12" t="inlineStr">
        <is>
          <t>PO-2023-3726</t>
        </is>
      </c>
      <c r="B3728" s="26" t="n">
        <v>44932</v>
      </c>
      <c r="C3728" s="12" t="inlineStr">
        <is>
          <t>VS34</t>
        </is>
      </c>
      <c r="D3728" s="12" t="inlineStr">
        <is>
          <t>Hex Bars</t>
        </is>
      </c>
      <c r="E3728" s="12" t="inlineStr">
        <is>
          <t>N</t>
        </is>
      </c>
      <c r="F3728" s="12" t="n">
        <v>10.41</v>
      </c>
      <c r="G3728" s="17" t="n">
        <v>100411.3</v>
      </c>
      <c r="H3728" s="26" t="n">
        <v>44937</v>
      </c>
      <c r="I3728" s="26" t="n">
        <v>44939</v>
      </c>
      <c r="J3728" s="12" t="n">
        <v>10.36</v>
      </c>
      <c r="K3728" s="17" t="n">
        <v>1045281.63</v>
      </c>
      <c r="L3728" s="12" t="n">
        <v>0</v>
      </c>
      <c r="M3728" s="12" t="n">
        <v>0</v>
      </c>
      <c r="N3728" s="27">
        <f>F3728-J3728</f>
        <v/>
      </c>
      <c r="O3728" s="16">
        <f>I3728-H3728</f>
        <v/>
      </c>
      <c r="P3728" s="14">
        <f>F3728*G3728</f>
        <v/>
      </c>
      <c r="Q3728" s="14">
        <f>J3728*G3728</f>
        <v/>
      </c>
      <c r="R3728" s="14">
        <f>K3728-Q3728</f>
        <v/>
      </c>
      <c r="S3728" s="3">
        <f>P3728*Assumptions!$B$3/100</f>
        <v/>
      </c>
      <c r="T3728" s="14">
        <f>R3728-S3728</f>
        <v/>
      </c>
      <c r="U3728" s="14">
        <f>L3728*G3728</f>
        <v/>
      </c>
    </row>
    <row r="3729">
      <c r="A3729" s="12" t="inlineStr">
        <is>
          <t>PO-2023-3727</t>
        </is>
      </c>
      <c r="B3729" s="26" t="n">
        <v>44853</v>
      </c>
      <c r="C3729" s="12" t="inlineStr">
        <is>
          <t>VS28</t>
        </is>
      </c>
      <c r="D3729" s="12" t="inlineStr">
        <is>
          <t>Structural Steel</t>
        </is>
      </c>
      <c r="E3729" s="12" t="inlineStr">
        <is>
          <t>N</t>
        </is>
      </c>
      <c r="F3729" s="12" t="n">
        <v>7.61</v>
      </c>
      <c r="G3729" s="17" t="n">
        <v>104140.21</v>
      </c>
      <c r="H3729" s="26" t="n">
        <v>44856</v>
      </c>
      <c r="I3729" s="26" t="n">
        <v>44856</v>
      </c>
      <c r="J3729" s="12" t="n">
        <v>7.57</v>
      </c>
      <c r="K3729" s="17" t="n">
        <v>792507</v>
      </c>
      <c r="L3729" s="12" t="n">
        <v>0</v>
      </c>
      <c r="M3729" s="12" t="n">
        <v>16</v>
      </c>
      <c r="N3729" s="27">
        <f>F3729-J3729</f>
        <v/>
      </c>
      <c r="O3729" s="16">
        <f>I3729-H3729</f>
        <v/>
      </c>
      <c r="P3729" s="14">
        <f>F3729*G3729</f>
        <v/>
      </c>
      <c r="Q3729" s="14">
        <f>J3729*G3729</f>
        <v/>
      </c>
      <c r="R3729" s="14">
        <f>K3729-Q3729</f>
        <v/>
      </c>
      <c r="S3729" s="3">
        <f>P3729*Assumptions!$B$3/100</f>
        <v/>
      </c>
      <c r="T3729" s="14">
        <f>R3729-S3729</f>
        <v/>
      </c>
      <c r="U3729" s="14">
        <f>L3729*G3729</f>
        <v/>
      </c>
    </row>
    <row r="3730">
      <c r="A3730" s="12" t="inlineStr">
        <is>
          <t>PO-2023-3728</t>
        </is>
      </c>
      <c r="B3730" s="26" t="n">
        <v>45237</v>
      </c>
      <c r="C3730" s="12" t="inlineStr">
        <is>
          <t>VS18</t>
        </is>
      </c>
      <c r="D3730" s="12" t="inlineStr">
        <is>
          <t>MS Rods</t>
        </is>
      </c>
      <c r="E3730" s="12" t="inlineStr">
        <is>
          <t>Y</t>
        </is>
      </c>
      <c r="F3730" s="12" t="n">
        <v>24.63</v>
      </c>
      <c r="G3730" s="17" t="n">
        <v>94384.66</v>
      </c>
      <c r="H3730" s="26" t="n">
        <v>45252</v>
      </c>
      <c r="I3730" s="26" t="n">
        <v>45254</v>
      </c>
      <c r="J3730" s="12" t="n">
        <v>24.57</v>
      </c>
      <c r="K3730" s="17" t="n">
        <v>2324694.18</v>
      </c>
      <c r="L3730" s="12" t="n">
        <v>0</v>
      </c>
      <c r="M3730" s="12" t="n">
        <v>17</v>
      </c>
      <c r="N3730" s="27">
        <f>F3730-J3730</f>
        <v/>
      </c>
      <c r="O3730" s="16">
        <f>I3730-H3730</f>
        <v/>
      </c>
      <c r="P3730" s="14">
        <f>F3730*G3730</f>
        <v/>
      </c>
      <c r="Q3730" s="14">
        <f>J3730*G3730</f>
        <v/>
      </c>
      <c r="R3730" s="14">
        <f>K3730-Q3730</f>
        <v/>
      </c>
      <c r="S3730" s="3">
        <f>P3730*Assumptions!$B$3/100</f>
        <v/>
      </c>
      <c r="T3730" s="14">
        <f>R3730-S3730</f>
        <v/>
      </c>
      <c r="U3730" s="14">
        <f>L3730*G3730</f>
        <v/>
      </c>
    </row>
    <row r="3731">
      <c r="A3731" s="12" t="inlineStr">
        <is>
          <t>PO-2023-3729</t>
        </is>
      </c>
      <c r="B3731" s="26" t="n">
        <v>44541</v>
      </c>
      <c r="C3731" s="12" t="inlineStr">
        <is>
          <t>VS24</t>
        </is>
      </c>
      <c r="D3731" s="12" t="inlineStr">
        <is>
          <t>SS Sheets</t>
        </is>
      </c>
      <c r="E3731" s="12" t="inlineStr">
        <is>
          <t>N</t>
        </is>
      </c>
      <c r="F3731" s="12" t="n">
        <v>46.27</v>
      </c>
      <c r="G3731" s="17" t="n">
        <v>109669.77</v>
      </c>
      <c r="H3731" s="26" t="n">
        <v>44554</v>
      </c>
      <c r="I3731" s="26" t="n">
        <v>44557</v>
      </c>
      <c r="J3731" s="12" t="n">
        <v>46</v>
      </c>
      <c r="K3731" s="17" t="n">
        <v>5074420.26</v>
      </c>
      <c r="L3731" s="12" t="n">
        <v>0</v>
      </c>
      <c r="M3731" s="12" t="n">
        <v>13</v>
      </c>
      <c r="N3731" s="27">
        <f>F3731-J3731</f>
        <v/>
      </c>
      <c r="O3731" s="16">
        <f>I3731-H3731</f>
        <v/>
      </c>
      <c r="P3731" s="14">
        <f>F3731*G3731</f>
        <v/>
      </c>
      <c r="Q3731" s="14">
        <f>J3731*G3731</f>
        <v/>
      </c>
      <c r="R3731" s="14">
        <f>K3731-Q3731</f>
        <v/>
      </c>
      <c r="S3731" s="3">
        <f>P3731*Assumptions!$B$3/100</f>
        <v/>
      </c>
      <c r="T3731" s="14">
        <f>R3731-S3731</f>
        <v/>
      </c>
      <c r="U3731" s="14">
        <f>L3731*G3731</f>
        <v/>
      </c>
    </row>
    <row r="3732">
      <c r="A3732" s="12" t="inlineStr">
        <is>
          <t>PO-2023-3730</t>
        </is>
      </c>
      <c r="B3732" s="26" t="n">
        <v>44850</v>
      </c>
      <c r="C3732" s="12" t="inlineStr">
        <is>
          <t>VS24</t>
        </is>
      </c>
      <c r="D3732" s="12" t="inlineStr">
        <is>
          <t>SS Pipes</t>
        </is>
      </c>
      <c r="E3732" s="12" t="inlineStr">
        <is>
          <t>N</t>
        </is>
      </c>
      <c r="F3732" s="12" t="n">
        <v>39.5</v>
      </c>
      <c r="G3732" s="17" t="n">
        <v>74384.25999999999</v>
      </c>
      <c r="H3732" s="26" t="n">
        <v>44861</v>
      </c>
      <c r="I3732" s="26" t="n">
        <v>44862</v>
      </c>
      <c r="J3732" s="12" t="n">
        <v>39.41</v>
      </c>
      <c r="K3732" s="17" t="n">
        <v>2938178.27</v>
      </c>
      <c r="L3732" s="12" t="n">
        <v>0</v>
      </c>
      <c r="M3732" s="12" t="n">
        <v>17</v>
      </c>
      <c r="N3732" s="27">
        <f>F3732-J3732</f>
        <v/>
      </c>
      <c r="O3732" s="16">
        <f>I3732-H3732</f>
        <v/>
      </c>
      <c r="P3732" s="14">
        <f>F3732*G3732</f>
        <v/>
      </c>
      <c r="Q3732" s="14">
        <f>J3732*G3732</f>
        <v/>
      </c>
      <c r="R3732" s="14">
        <f>K3732-Q3732</f>
        <v/>
      </c>
      <c r="S3732" s="3">
        <f>P3732*Assumptions!$B$3/100</f>
        <v/>
      </c>
      <c r="T3732" s="14">
        <f>R3732-S3732</f>
        <v/>
      </c>
      <c r="U3732" s="14">
        <f>L3732*G3732</f>
        <v/>
      </c>
    </row>
    <row r="3733">
      <c r="A3733" s="12" t="inlineStr">
        <is>
          <t>PO-2023-3731</t>
        </is>
      </c>
      <c r="B3733" s="26" t="n">
        <v>44522</v>
      </c>
      <c r="C3733" s="12" t="inlineStr">
        <is>
          <t>VS12</t>
        </is>
      </c>
      <c r="D3733" s="12" t="inlineStr">
        <is>
          <t>MS Sheets</t>
        </is>
      </c>
      <c r="E3733" s="12" t="inlineStr">
        <is>
          <t>N</t>
        </is>
      </c>
      <c r="F3733" s="12" t="n">
        <v>43.61</v>
      </c>
      <c r="G3733" s="17" t="n">
        <v>47472.58</v>
      </c>
      <c r="H3733" s="26" t="n">
        <v>44526</v>
      </c>
      <c r="I3733" s="26" t="n">
        <v>44529</v>
      </c>
      <c r="J3733" s="12" t="n">
        <v>41.63</v>
      </c>
      <c r="K3733" s="17" t="n">
        <v>2070279.21</v>
      </c>
      <c r="L3733" s="12" t="n">
        <v>1.58</v>
      </c>
      <c r="M3733" s="12" t="n">
        <v>12</v>
      </c>
      <c r="N3733" s="27">
        <f>F3733-J3733</f>
        <v/>
      </c>
      <c r="O3733" s="16">
        <f>I3733-H3733</f>
        <v/>
      </c>
      <c r="P3733" s="14">
        <f>F3733*G3733</f>
        <v/>
      </c>
      <c r="Q3733" s="14">
        <f>J3733*G3733</f>
        <v/>
      </c>
      <c r="R3733" s="14">
        <f>K3733-Q3733</f>
        <v/>
      </c>
      <c r="S3733" s="3">
        <f>P3733*Assumptions!$B$3/100</f>
        <v/>
      </c>
      <c r="T3733" s="14">
        <f>R3733-S3733</f>
        <v/>
      </c>
      <c r="U3733" s="14">
        <f>L3733*G3733</f>
        <v/>
      </c>
    </row>
    <row r="3734">
      <c r="A3734" s="12" t="inlineStr">
        <is>
          <t>PO-2023-3732</t>
        </is>
      </c>
      <c r="B3734" s="26" t="n">
        <v>45289</v>
      </c>
      <c r="C3734" s="12" t="inlineStr">
        <is>
          <t>VS12</t>
        </is>
      </c>
      <c r="D3734" s="12" t="inlineStr">
        <is>
          <t>Angles &amp; Channels</t>
        </is>
      </c>
      <c r="E3734" s="12" t="inlineStr">
        <is>
          <t>N</t>
        </is>
      </c>
      <c r="F3734" s="12" t="n">
        <v>36.74</v>
      </c>
      <c r="G3734" s="17" t="n">
        <v>98567.67999999999</v>
      </c>
      <c r="H3734" s="26" t="n">
        <v>45302</v>
      </c>
      <c r="I3734" s="26" t="n">
        <v>45309</v>
      </c>
      <c r="J3734" s="12" t="n">
        <v>35.06</v>
      </c>
      <c r="K3734" s="17" t="n">
        <v>3621376.56</v>
      </c>
      <c r="L3734" s="12" t="n">
        <v>0.64</v>
      </c>
      <c r="M3734" s="12" t="n">
        <v>3</v>
      </c>
      <c r="N3734" s="27">
        <f>F3734-J3734</f>
        <v/>
      </c>
      <c r="O3734" s="16">
        <f>I3734-H3734</f>
        <v/>
      </c>
      <c r="P3734" s="14">
        <f>F3734*G3734</f>
        <v/>
      </c>
      <c r="Q3734" s="14">
        <f>J3734*G3734</f>
        <v/>
      </c>
      <c r="R3734" s="14">
        <f>K3734-Q3734</f>
        <v/>
      </c>
      <c r="S3734" s="3">
        <f>P3734*Assumptions!$B$3/100</f>
        <v/>
      </c>
      <c r="T3734" s="14">
        <f>R3734-S3734</f>
        <v/>
      </c>
      <c r="U3734" s="14">
        <f>L3734*G3734</f>
        <v/>
      </c>
    </row>
    <row r="3735">
      <c r="A3735" s="12" t="inlineStr">
        <is>
          <t>PO-2023-3733</t>
        </is>
      </c>
      <c r="B3735" s="26" t="n">
        <v>45027</v>
      </c>
      <c r="C3735" s="12" t="inlineStr">
        <is>
          <t>VS11</t>
        </is>
      </c>
      <c r="D3735" s="12" t="inlineStr">
        <is>
          <t>SS Sheets</t>
        </is>
      </c>
      <c r="E3735" s="12" t="inlineStr">
        <is>
          <t>N</t>
        </is>
      </c>
      <c r="F3735" s="12" t="n">
        <v>22.91</v>
      </c>
      <c r="G3735" s="17" t="n">
        <v>86435.3</v>
      </c>
      <c r="H3735" s="26" t="n">
        <v>45033</v>
      </c>
      <c r="I3735" s="26" t="n">
        <v>45036</v>
      </c>
      <c r="J3735" s="12" t="n">
        <v>22.85</v>
      </c>
      <c r="K3735" s="17" t="n">
        <v>1980232.72</v>
      </c>
      <c r="L3735" s="12" t="n">
        <v>0</v>
      </c>
      <c r="M3735" s="12" t="n">
        <v>0</v>
      </c>
      <c r="N3735" s="27">
        <f>F3735-J3735</f>
        <v/>
      </c>
      <c r="O3735" s="16">
        <f>I3735-H3735</f>
        <v/>
      </c>
      <c r="P3735" s="14">
        <f>F3735*G3735</f>
        <v/>
      </c>
      <c r="Q3735" s="14">
        <f>J3735*G3735</f>
        <v/>
      </c>
      <c r="R3735" s="14">
        <f>K3735-Q3735</f>
        <v/>
      </c>
      <c r="S3735" s="3">
        <f>P3735*Assumptions!$B$3/100</f>
        <v/>
      </c>
      <c r="T3735" s="14">
        <f>R3735-S3735</f>
        <v/>
      </c>
      <c r="U3735" s="14">
        <f>L3735*G3735</f>
        <v/>
      </c>
    </row>
    <row r="3736">
      <c r="A3736" s="12" t="inlineStr">
        <is>
          <t>PO-2023-3734</t>
        </is>
      </c>
      <c r="B3736" s="26" t="n">
        <v>44712</v>
      </c>
      <c r="C3736" s="12" t="inlineStr">
        <is>
          <t>VS12</t>
        </is>
      </c>
      <c r="D3736" s="12" t="inlineStr">
        <is>
          <t>MS Pipes</t>
        </is>
      </c>
      <c r="E3736" s="12" t="inlineStr">
        <is>
          <t>N</t>
        </is>
      </c>
      <c r="F3736" s="12" t="n">
        <v>5.44</v>
      </c>
      <c r="G3736" s="17" t="n">
        <v>120569.59</v>
      </c>
      <c r="H3736" s="26" t="n">
        <v>44727</v>
      </c>
      <c r="I3736" s="26" t="n">
        <v>44730</v>
      </c>
      <c r="J3736" s="12" t="n">
        <v>5.22</v>
      </c>
      <c r="K3736" s="17" t="n">
        <v>655898.5699999999</v>
      </c>
      <c r="L3736" s="12" t="n">
        <v>0</v>
      </c>
      <c r="M3736" s="12" t="n">
        <v>0</v>
      </c>
      <c r="N3736" s="27">
        <f>F3736-J3736</f>
        <v/>
      </c>
      <c r="O3736" s="16">
        <f>I3736-H3736</f>
        <v/>
      </c>
      <c r="P3736" s="14">
        <f>F3736*G3736</f>
        <v/>
      </c>
      <c r="Q3736" s="14">
        <f>J3736*G3736</f>
        <v/>
      </c>
      <c r="R3736" s="14">
        <f>K3736-Q3736</f>
        <v/>
      </c>
      <c r="S3736" s="3">
        <f>P3736*Assumptions!$B$3/100</f>
        <v/>
      </c>
      <c r="T3736" s="14">
        <f>R3736-S3736</f>
        <v/>
      </c>
      <c r="U3736" s="14">
        <f>L3736*G3736</f>
        <v/>
      </c>
    </row>
    <row r="3737">
      <c r="A3737" s="12" t="inlineStr">
        <is>
          <t>PO-2023-3735</t>
        </is>
      </c>
      <c r="B3737" s="26" t="n">
        <v>44529</v>
      </c>
      <c r="C3737" s="12" t="inlineStr">
        <is>
          <t>VS16</t>
        </is>
      </c>
      <c r="D3737" s="12" t="inlineStr">
        <is>
          <t>CR Sheets</t>
        </is>
      </c>
      <c r="E3737" s="12" t="inlineStr">
        <is>
          <t>N</t>
        </is>
      </c>
      <c r="F3737" s="12" t="n">
        <v>5.27</v>
      </c>
      <c r="G3737" s="17" t="n">
        <v>87729.87</v>
      </c>
      <c r="H3737" s="26" t="n">
        <v>44534</v>
      </c>
      <c r="I3737" s="26" t="n">
        <v>44534</v>
      </c>
      <c r="J3737" s="12" t="n">
        <v>5.26</v>
      </c>
      <c r="K3737" s="17" t="n">
        <v>462336.41</v>
      </c>
      <c r="L3737" s="12" t="n">
        <v>0</v>
      </c>
      <c r="M3737" s="12" t="n">
        <v>0</v>
      </c>
      <c r="N3737" s="27">
        <f>F3737-J3737</f>
        <v/>
      </c>
      <c r="O3737" s="16">
        <f>I3737-H3737</f>
        <v/>
      </c>
      <c r="P3737" s="14">
        <f>F3737*G3737</f>
        <v/>
      </c>
      <c r="Q3737" s="14">
        <f>J3737*G3737</f>
        <v/>
      </c>
      <c r="R3737" s="14">
        <f>K3737-Q3737</f>
        <v/>
      </c>
      <c r="S3737" s="3">
        <f>P3737*Assumptions!$B$3/100</f>
        <v/>
      </c>
      <c r="T3737" s="14">
        <f>R3737-S3737</f>
        <v/>
      </c>
      <c r="U3737" s="14">
        <f>L3737*G3737</f>
        <v/>
      </c>
    </row>
    <row r="3738">
      <c r="A3738" s="12" t="inlineStr">
        <is>
          <t>PO-2023-3736</t>
        </is>
      </c>
      <c r="B3738" s="26" t="n">
        <v>44220</v>
      </c>
      <c r="C3738" s="12" t="inlineStr">
        <is>
          <t>VS01</t>
        </is>
      </c>
      <c r="D3738" s="12" t="inlineStr">
        <is>
          <t>GI Wire</t>
        </is>
      </c>
      <c r="E3738" s="12" t="inlineStr">
        <is>
          <t>N</t>
        </is>
      </c>
      <c r="F3738" s="12" t="n">
        <v>20.33</v>
      </c>
      <c r="G3738" s="17" t="n">
        <v>107360.65</v>
      </c>
      <c r="H3738" s="26" t="n">
        <v>44230</v>
      </c>
      <c r="I3738" s="26" t="n">
        <v>44233</v>
      </c>
      <c r="J3738" s="12" t="n">
        <v>20.16</v>
      </c>
      <c r="K3738" s="17" t="n">
        <v>2182642.01</v>
      </c>
      <c r="L3738" s="12" t="n">
        <v>0</v>
      </c>
      <c r="M3738" s="12" t="n">
        <v>0</v>
      </c>
      <c r="N3738" s="27">
        <f>F3738-J3738</f>
        <v/>
      </c>
      <c r="O3738" s="16">
        <f>I3738-H3738</f>
        <v/>
      </c>
      <c r="P3738" s="14">
        <f>F3738*G3738</f>
        <v/>
      </c>
      <c r="Q3738" s="14">
        <f>J3738*G3738</f>
        <v/>
      </c>
      <c r="R3738" s="14">
        <f>K3738-Q3738</f>
        <v/>
      </c>
      <c r="S3738" s="3">
        <f>P3738*Assumptions!$B$3/100</f>
        <v/>
      </c>
      <c r="T3738" s="14">
        <f>R3738-S3738</f>
        <v/>
      </c>
      <c r="U3738" s="14">
        <f>L3738*G3738</f>
        <v/>
      </c>
    </row>
    <row r="3739">
      <c r="A3739" s="12" t="inlineStr">
        <is>
          <t>PO-2023-3737</t>
        </is>
      </c>
      <c r="B3739" s="26" t="n">
        <v>44278</v>
      </c>
      <c r="C3739" s="12" t="inlineStr">
        <is>
          <t>VS09</t>
        </is>
      </c>
      <c r="D3739" s="12" t="inlineStr">
        <is>
          <t>GI Wire</t>
        </is>
      </c>
      <c r="E3739" s="12" t="inlineStr">
        <is>
          <t>N</t>
        </is>
      </c>
      <c r="F3739" s="12" t="n">
        <v>20.53</v>
      </c>
      <c r="G3739" s="17" t="n">
        <v>64670.72</v>
      </c>
      <c r="H3739" s="26" t="n">
        <v>44286</v>
      </c>
      <c r="I3739" s="26" t="n">
        <v>44287</v>
      </c>
      <c r="J3739" s="12" t="n">
        <v>20.46</v>
      </c>
      <c r="K3739" s="17" t="n">
        <v>1327689.88</v>
      </c>
      <c r="L3739" s="12" t="n">
        <v>0</v>
      </c>
      <c r="M3739" s="12" t="n">
        <v>2</v>
      </c>
      <c r="N3739" s="27">
        <f>F3739-J3739</f>
        <v/>
      </c>
      <c r="O3739" s="16">
        <f>I3739-H3739</f>
        <v/>
      </c>
      <c r="P3739" s="14">
        <f>F3739*G3739</f>
        <v/>
      </c>
      <c r="Q3739" s="14">
        <f>J3739*G3739</f>
        <v/>
      </c>
      <c r="R3739" s="14">
        <f>K3739-Q3739</f>
        <v/>
      </c>
      <c r="S3739" s="3">
        <f>P3739*Assumptions!$B$3/100</f>
        <v/>
      </c>
      <c r="T3739" s="14">
        <f>R3739-S3739</f>
        <v/>
      </c>
      <c r="U3739" s="14">
        <f>L3739*G3739</f>
        <v/>
      </c>
    </row>
    <row r="3740">
      <c r="A3740" s="12" t="inlineStr">
        <is>
          <t>PO-2023-3738</t>
        </is>
      </c>
      <c r="B3740" s="26" t="n">
        <v>44304</v>
      </c>
      <c r="C3740" s="12" t="inlineStr">
        <is>
          <t>VS24</t>
        </is>
      </c>
      <c r="D3740" s="12" t="inlineStr">
        <is>
          <t>GI Wire</t>
        </is>
      </c>
      <c r="E3740" s="12" t="inlineStr">
        <is>
          <t>N</t>
        </is>
      </c>
      <c r="F3740" s="12" t="n">
        <v>10.52</v>
      </c>
      <c r="G3740" s="17" t="n">
        <v>50006.5</v>
      </c>
      <c r="H3740" s="26" t="n">
        <v>44311</v>
      </c>
      <c r="I3740" s="26" t="n">
        <v>44314</v>
      </c>
      <c r="J3740" s="12" t="n">
        <v>10.5</v>
      </c>
      <c r="K3740" s="17" t="n">
        <v>526068.38</v>
      </c>
      <c r="L3740" s="12" t="n">
        <v>0</v>
      </c>
      <c r="M3740" s="12" t="n">
        <v>11</v>
      </c>
      <c r="N3740" s="27">
        <f>F3740-J3740</f>
        <v/>
      </c>
      <c r="O3740" s="16">
        <f>I3740-H3740</f>
        <v/>
      </c>
      <c r="P3740" s="14">
        <f>F3740*G3740</f>
        <v/>
      </c>
      <c r="Q3740" s="14">
        <f>J3740*G3740</f>
        <v/>
      </c>
      <c r="R3740" s="14">
        <f>K3740-Q3740</f>
        <v/>
      </c>
      <c r="S3740" s="3">
        <f>P3740*Assumptions!$B$3/100</f>
        <v/>
      </c>
      <c r="T3740" s="14">
        <f>R3740-S3740</f>
        <v/>
      </c>
      <c r="U3740" s="14">
        <f>L3740*G3740</f>
        <v/>
      </c>
    </row>
    <row r="3741">
      <c r="A3741" s="12" t="inlineStr">
        <is>
          <t>PO-2023-3739</t>
        </is>
      </c>
      <c r="B3741" s="26" t="n">
        <v>44277</v>
      </c>
      <c r="C3741" s="12" t="inlineStr">
        <is>
          <t>VS02</t>
        </is>
      </c>
      <c r="D3741" s="12" t="inlineStr">
        <is>
          <t>HR Coils</t>
        </is>
      </c>
      <c r="E3741" s="12" t="inlineStr">
        <is>
          <t>N</t>
        </is>
      </c>
      <c r="F3741" s="12" t="n">
        <v>31.11</v>
      </c>
      <c r="G3741" s="17" t="n">
        <v>48742.67</v>
      </c>
      <c r="H3741" s="26" t="n">
        <v>44292</v>
      </c>
      <c r="I3741" s="26" t="n">
        <v>44295</v>
      </c>
      <c r="J3741" s="12" t="n">
        <v>31.03</v>
      </c>
      <c r="K3741" s="17" t="n">
        <v>1516384.46</v>
      </c>
      <c r="L3741" s="12" t="n">
        <v>0</v>
      </c>
      <c r="M3741" s="12" t="n">
        <v>24</v>
      </c>
      <c r="N3741" s="27">
        <f>F3741-J3741</f>
        <v/>
      </c>
      <c r="O3741" s="16">
        <f>I3741-H3741</f>
        <v/>
      </c>
      <c r="P3741" s="14">
        <f>F3741*G3741</f>
        <v/>
      </c>
      <c r="Q3741" s="14">
        <f>J3741*G3741</f>
        <v/>
      </c>
      <c r="R3741" s="14">
        <f>K3741-Q3741</f>
        <v/>
      </c>
      <c r="S3741" s="3">
        <f>P3741*Assumptions!$B$3/100</f>
        <v/>
      </c>
      <c r="T3741" s="14">
        <f>R3741-S3741</f>
        <v/>
      </c>
      <c r="U3741" s="14">
        <f>L3741*G3741</f>
        <v/>
      </c>
    </row>
    <row r="3742">
      <c r="A3742" s="12" t="inlineStr">
        <is>
          <t>PO-2023-3740</t>
        </is>
      </c>
      <c r="B3742" s="26" t="n">
        <v>44369</v>
      </c>
      <c r="C3742" s="12" t="inlineStr">
        <is>
          <t>VS15</t>
        </is>
      </c>
      <c r="D3742" s="12" t="inlineStr">
        <is>
          <t>HR Coils</t>
        </is>
      </c>
      <c r="E3742" s="12" t="inlineStr">
        <is>
          <t>Y</t>
        </is>
      </c>
      <c r="F3742" s="12" t="n">
        <v>19.17</v>
      </c>
      <c r="G3742" s="17" t="n">
        <v>60059.41</v>
      </c>
      <c r="H3742" s="26" t="n">
        <v>44381</v>
      </c>
      <c r="I3742" s="26" t="n">
        <v>44382</v>
      </c>
      <c r="J3742" s="12" t="n">
        <v>19.11</v>
      </c>
      <c r="K3742" s="17" t="n">
        <v>1151338.89</v>
      </c>
      <c r="L3742" s="12" t="n">
        <v>0</v>
      </c>
      <c r="M3742" s="12" t="n">
        <v>15</v>
      </c>
      <c r="N3742" s="27">
        <f>F3742-J3742</f>
        <v/>
      </c>
      <c r="O3742" s="16">
        <f>I3742-H3742</f>
        <v/>
      </c>
      <c r="P3742" s="14">
        <f>F3742*G3742</f>
        <v/>
      </c>
      <c r="Q3742" s="14">
        <f>J3742*G3742</f>
        <v/>
      </c>
      <c r="R3742" s="14">
        <f>K3742-Q3742</f>
        <v/>
      </c>
      <c r="S3742" s="3">
        <f>P3742*Assumptions!$B$3/100</f>
        <v/>
      </c>
      <c r="T3742" s="14">
        <f>R3742-S3742</f>
        <v/>
      </c>
      <c r="U3742" s="14">
        <f>L3742*G3742</f>
        <v/>
      </c>
    </row>
    <row r="3743">
      <c r="A3743" s="12" t="inlineStr">
        <is>
          <t>PO-2023-3741</t>
        </is>
      </c>
      <c r="B3743" s="26" t="n">
        <v>44560</v>
      </c>
      <c r="C3743" s="12" t="inlineStr">
        <is>
          <t>VS09</t>
        </is>
      </c>
      <c r="D3743" s="12" t="inlineStr">
        <is>
          <t>MS Sheets</t>
        </is>
      </c>
      <c r="E3743" s="12" t="inlineStr">
        <is>
          <t>N</t>
        </is>
      </c>
      <c r="F3743" s="12" t="n">
        <v>15.6</v>
      </c>
      <c r="G3743" s="17" t="n">
        <v>79776.03</v>
      </c>
      <c r="H3743" s="26" t="n">
        <v>44564</v>
      </c>
      <c r="I3743" s="26" t="n">
        <v>44566</v>
      </c>
      <c r="J3743" s="12" t="n">
        <v>15.54</v>
      </c>
      <c r="K3743" s="17" t="n">
        <v>1244506.07</v>
      </c>
      <c r="L3743" s="12" t="n">
        <v>0</v>
      </c>
      <c r="M3743" s="12" t="n">
        <v>0</v>
      </c>
      <c r="N3743" s="27">
        <f>F3743-J3743</f>
        <v/>
      </c>
      <c r="O3743" s="16">
        <f>I3743-H3743</f>
        <v/>
      </c>
      <c r="P3743" s="14">
        <f>F3743*G3743</f>
        <v/>
      </c>
      <c r="Q3743" s="14">
        <f>J3743*G3743</f>
        <v/>
      </c>
      <c r="R3743" s="14">
        <f>K3743-Q3743</f>
        <v/>
      </c>
      <c r="S3743" s="3">
        <f>P3743*Assumptions!$B$3/100</f>
        <v/>
      </c>
      <c r="T3743" s="14">
        <f>R3743-S3743</f>
        <v/>
      </c>
      <c r="U3743" s="14">
        <f>L3743*G3743</f>
        <v/>
      </c>
    </row>
    <row r="3744">
      <c r="A3744" s="12" t="inlineStr">
        <is>
          <t>PO-2023-3742</t>
        </is>
      </c>
      <c r="B3744" s="26" t="n">
        <v>44652</v>
      </c>
      <c r="C3744" s="12" t="inlineStr">
        <is>
          <t>VS25</t>
        </is>
      </c>
      <c r="D3744" s="12" t="inlineStr">
        <is>
          <t>MS Pipes</t>
        </is>
      </c>
      <c r="E3744" s="12" t="inlineStr">
        <is>
          <t>N</t>
        </is>
      </c>
      <c r="F3744" s="12" t="n">
        <v>35.05</v>
      </c>
      <c r="G3744" s="17" t="n">
        <v>76490.39999999999</v>
      </c>
      <c r="H3744" s="26" t="n">
        <v>44655</v>
      </c>
      <c r="I3744" s="26" t="n">
        <v>44656</v>
      </c>
      <c r="J3744" s="12" t="n">
        <v>34.93</v>
      </c>
      <c r="K3744" s="17" t="n">
        <v>2680988.52</v>
      </c>
      <c r="L3744" s="12" t="n">
        <v>0</v>
      </c>
      <c r="M3744" s="12" t="n">
        <v>0</v>
      </c>
      <c r="N3744" s="27">
        <f>F3744-J3744</f>
        <v/>
      </c>
      <c r="O3744" s="16">
        <f>I3744-H3744</f>
        <v/>
      </c>
      <c r="P3744" s="14">
        <f>F3744*G3744</f>
        <v/>
      </c>
      <c r="Q3744" s="14">
        <f>J3744*G3744</f>
        <v/>
      </c>
      <c r="R3744" s="14">
        <f>K3744-Q3744</f>
        <v/>
      </c>
      <c r="S3744" s="3">
        <f>P3744*Assumptions!$B$3/100</f>
        <v/>
      </c>
      <c r="T3744" s="14">
        <f>R3744-S3744</f>
        <v/>
      </c>
      <c r="U3744" s="14">
        <f>L3744*G3744</f>
        <v/>
      </c>
    </row>
    <row r="3745">
      <c r="A3745" s="12" t="inlineStr">
        <is>
          <t>PO-2023-3743</t>
        </is>
      </c>
      <c r="B3745" s="26" t="n">
        <v>45280</v>
      </c>
      <c r="C3745" s="12" t="inlineStr">
        <is>
          <t>VS10</t>
        </is>
      </c>
      <c r="D3745" s="12" t="inlineStr">
        <is>
          <t>Fasteners &amp; Fittings</t>
        </is>
      </c>
      <c r="E3745" s="12" t="inlineStr">
        <is>
          <t>N</t>
        </is>
      </c>
      <c r="F3745" s="12" t="n">
        <v>24.81</v>
      </c>
      <c r="G3745" s="17" t="n">
        <v>47795.39</v>
      </c>
      <c r="H3745" s="26" t="n">
        <v>45289</v>
      </c>
      <c r="I3745" s="26" t="n">
        <v>45290</v>
      </c>
      <c r="J3745" s="12" t="n">
        <v>24.59</v>
      </c>
      <c r="K3745" s="17" t="n">
        <v>1185803.63</v>
      </c>
      <c r="L3745" s="12" t="n">
        <v>0</v>
      </c>
      <c r="M3745" s="12" t="n">
        <v>0</v>
      </c>
      <c r="N3745" s="27">
        <f>F3745-J3745</f>
        <v/>
      </c>
      <c r="O3745" s="16">
        <f>I3745-H3745</f>
        <v/>
      </c>
      <c r="P3745" s="14">
        <f>F3745*G3745</f>
        <v/>
      </c>
      <c r="Q3745" s="14">
        <f>J3745*G3745</f>
        <v/>
      </c>
      <c r="R3745" s="14">
        <f>K3745-Q3745</f>
        <v/>
      </c>
      <c r="S3745" s="3">
        <f>P3745*Assumptions!$B$3/100</f>
        <v/>
      </c>
      <c r="T3745" s="14">
        <f>R3745-S3745</f>
        <v/>
      </c>
      <c r="U3745" s="14">
        <f>L3745*G3745</f>
        <v/>
      </c>
    </row>
    <row r="3746">
      <c r="A3746" s="12" t="inlineStr">
        <is>
          <t>PO-2023-3744</t>
        </is>
      </c>
      <c r="B3746" s="26" t="n">
        <v>44772</v>
      </c>
      <c r="C3746" s="12" t="inlineStr">
        <is>
          <t>VS26</t>
        </is>
      </c>
      <c r="D3746" s="12" t="inlineStr">
        <is>
          <t>ERW Pipes</t>
        </is>
      </c>
      <c r="E3746" s="12" t="inlineStr">
        <is>
          <t>N</t>
        </is>
      </c>
      <c r="F3746" s="12" t="n">
        <v>46.25</v>
      </c>
      <c r="G3746" s="17" t="n">
        <v>101127.17</v>
      </c>
      <c r="H3746" s="26" t="n">
        <v>44775</v>
      </c>
      <c r="I3746" s="26" t="n">
        <v>44778</v>
      </c>
      <c r="J3746" s="12" t="n">
        <v>45.87</v>
      </c>
      <c r="K3746" s="17" t="n">
        <v>4677131.61</v>
      </c>
      <c r="L3746" s="12" t="n">
        <v>0</v>
      </c>
      <c r="M3746" s="12" t="n">
        <v>9</v>
      </c>
      <c r="N3746" s="27">
        <f>F3746-J3746</f>
        <v/>
      </c>
      <c r="O3746" s="16">
        <f>I3746-H3746</f>
        <v/>
      </c>
      <c r="P3746" s="14">
        <f>F3746*G3746</f>
        <v/>
      </c>
      <c r="Q3746" s="14">
        <f>J3746*G3746</f>
        <v/>
      </c>
      <c r="R3746" s="14">
        <f>K3746-Q3746</f>
        <v/>
      </c>
      <c r="S3746" s="3">
        <f>P3746*Assumptions!$B$3/100</f>
        <v/>
      </c>
      <c r="T3746" s="14">
        <f>R3746-S3746</f>
        <v/>
      </c>
      <c r="U3746" s="14">
        <f>L3746*G3746</f>
        <v/>
      </c>
    </row>
    <row r="3747">
      <c r="A3747" s="12" t="inlineStr">
        <is>
          <t>PO-2023-3745</t>
        </is>
      </c>
      <c r="B3747" s="26" t="n">
        <v>45167</v>
      </c>
      <c r="C3747" s="12" t="inlineStr">
        <is>
          <t>VS28</t>
        </is>
      </c>
      <c r="D3747" s="12" t="inlineStr">
        <is>
          <t>Square/Rect Tubes</t>
        </is>
      </c>
      <c r="E3747" s="12" t="inlineStr">
        <is>
          <t>N</t>
        </is>
      </c>
      <c r="F3747" s="12" t="n">
        <v>20.16</v>
      </c>
      <c r="G3747" s="17" t="n">
        <v>61379.15</v>
      </c>
      <c r="H3747" s="26" t="n">
        <v>45178</v>
      </c>
      <c r="I3747" s="26" t="n">
        <v>45180</v>
      </c>
      <c r="J3747" s="12" t="n">
        <v>20.04</v>
      </c>
      <c r="K3747" s="17" t="n">
        <v>1237403.66</v>
      </c>
      <c r="L3747" s="12" t="n">
        <v>0</v>
      </c>
      <c r="M3747" s="12" t="n">
        <v>0</v>
      </c>
      <c r="N3747" s="27">
        <f>F3747-J3747</f>
        <v/>
      </c>
      <c r="O3747" s="16">
        <f>I3747-H3747</f>
        <v/>
      </c>
      <c r="P3747" s="14">
        <f>F3747*G3747</f>
        <v/>
      </c>
      <c r="Q3747" s="14">
        <f>J3747*G3747</f>
        <v/>
      </c>
      <c r="R3747" s="14">
        <f>K3747-Q3747</f>
        <v/>
      </c>
      <c r="S3747" s="3">
        <f>P3747*Assumptions!$B$3/100</f>
        <v/>
      </c>
      <c r="T3747" s="14">
        <f>R3747-S3747</f>
        <v/>
      </c>
      <c r="U3747" s="14">
        <f>L3747*G3747</f>
        <v/>
      </c>
    </row>
    <row r="3748">
      <c r="A3748" s="12" t="inlineStr">
        <is>
          <t>PO-2023-3746</t>
        </is>
      </c>
      <c r="B3748" s="26" t="n">
        <v>44921</v>
      </c>
      <c r="C3748" s="12" t="inlineStr">
        <is>
          <t>VS01</t>
        </is>
      </c>
      <c r="D3748" s="12" t="inlineStr">
        <is>
          <t>MS Pipes</t>
        </is>
      </c>
      <c r="E3748" s="12" t="inlineStr">
        <is>
          <t>Y</t>
        </is>
      </c>
      <c r="F3748" s="12" t="n">
        <v>29.05</v>
      </c>
      <c r="G3748" s="17" t="n">
        <v>62120.19</v>
      </c>
      <c r="H3748" s="26" t="n">
        <v>44926</v>
      </c>
      <c r="I3748" s="26" t="n">
        <v>44928</v>
      </c>
      <c r="J3748" s="12" t="n">
        <v>28.82</v>
      </c>
      <c r="K3748" s="17" t="n">
        <v>1804591.52</v>
      </c>
      <c r="L3748" s="12" t="n">
        <v>0</v>
      </c>
      <c r="M3748" s="12" t="n">
        <v>18</v>
      </c>
      <c r="N3748" s="27">
        <f>F3748-J3748</f>
        <v/>
      </c>
      <c r="O3748" s="16">
        <f>I3748-H3748</f>
        <v/>
      </c>
      <c r="P3748" s="14">
        <f>F3748*G3748</f>
        <v/>
      </c>
      <c r="Q3748" s="14">
        <f>J3748*G3748</f>
        <v/>
      </c>
      <c r="R3748" s="14">
        <f>K3748-Q3748</f>
        <v/>
      </c>
      <c r="S3748" s="3">
        <f>P3748*Assumptions!$B$3/100</f>
        <v/>
      </c>
      <c r="T3748" s="14">
        <f>R3748-S3748</f>
        <v/>
      </c>
      <c r="U3748" s="14">
        <f>L3748*G3748</f>
        <v/>
      </c>
    </row>
    <row r="3749">
      <c r="A3749" s="12" t="inlineStr">
        <is>
          <t>PO-2023-3747</t>
        </is>
      </c>
      <c r="B3749" s="26" t="n">
        <v>44606</v>
      </c>
      <c r="C3749" s="12" t="inlineStr">
        <is>
          <t>VS18</t>
        </is>
      </c>
      <c r="D3749" s="12" t="inlineStr">
        <is>
          <t>GI Wire</t>
        </is>
      </c>
      <c r="E3749" s="12" t="inlineStr">
        <is>
          <t>N</t>
        </is>
      </c>
      <c r="F3749" s="12" t="n">
        <v>5.42</v>
      </c>
      <c r="G3749" s="17" t="n">
        <v>106962.18</v>
      </c>
      <c r="H3749" s="26" t="n">
        <v>44619</v>
      </c>
      <c r="I3749" s="26" t="n">
        <v>44621</v>
      </c>
      <c r="J3749" s="12" t="n">
        <v>5.37</v>
      </c>
      <c r="K3749" s="17" t="n">
        <v>579735.02</v>
      </c>
      <c r="L3749" s="12" t="n">
        <v>0</v>
      </c>
      <c r="M3749" s="12" t="n">
        <v>14</v>
      </c>
      <c r="N3749" s="27">
        <f>F3749-J3749</f>
        <v/>
      </c>
      <c r="O3749" s="16">
        <f>I3749-H3749</f>
        <v/>
      </c>
      <c r="P3749" s="14">
        <f>F3749*G3749</f>
        <v/>
      </c>
      <c r="Q3749" s="14">
        <f>J3749*G3749</f>
        <v/>
      </c>
      <c r="R3749" s="14">
        <f>K3749-Q3749</f>
        <v/>
      </c>
      <c r="S3749" s="3">
        <f>P3749*Assumptions!$B$3/100</f>
        <v/>
      </c>
      <c r="T3749" s="14">
        <f>R3749-S3749</f>
        <v/>
      </c>
      <c r="U3749" s="14">
        <f>L3749*G3749</f>
        <v/>
      </c>
    </row>
    <row r="3750">
      <c r="A3750" s="12" t="inlineStr">
        <is>
          <t>PO-2023-3748</t>
        </is>
      </c>
      <c r="B3750" s="26" t="n">
        <v>44497</v>
      </c>
      <c r="C3750" s="12" t="inlineStr">
        <is>
          <t>VS15</t>
        </is>
      </c>
      <c r="D3750" s="12" t="inlineStr">
        <is>
          <t>ERW Pipes</t>
        </is>
      </c>
      <c r="E3750" s="12" t="inlineStr">
        <is>
          <t>N</t>
        </is>
      </c>
      <c r="F3750" s="12" t="n">
        <v>11.07</v>
      </c>
      <c r="G3750" s="17" t="n">
        <v>110051</v>
      </c>
      <c r="H3750" s="26" t="n">
        <v>44503</v>
      </c>
      <c r="I3750" s="26" t="n">
        <v>44505</v>
      </c>
      <c r="J3750" s="12" t="n">
        <v>11</v>
      </c>
      <c r="K3750" s="17" t="n">
        <v>1218264.57</v>
      </c>
      <c r="L3750" s="12" t="n">
        <v>0</v>
      </c>
      <c r="M3750" s="12" t="n">
        <v>8</v>
      </c>
      <c r="N3750" s="27">
        <f>F3750-J3750</f>
        <v/>
      </c>
      <c r="O3750" s="16">
        <f>I3750-H3750</f>
        <v/>
      </c>
      <c r="P3750" s="14">
        <f>F3750*G3750</f>
        <v/>
      </c>
      <c r="Q3750" s="14">
        <f>J3750*G3750</f>
        <v/>
      </c>
      <c r="R3750" s="14">
        <f>K3750-Q3750</f>
        <v/>
      </c>
      <c r="S3750" s="3">
        <f>P3750*Assumptions!$B$3/100</f>
        <v/>
      </c>
      <c r="T3750" s="14">
        <f>R3750-S3750</f>
        <v/>
      </c>
      <c r="U3750" s="14">
        <f>L3750*G3750</f>
        <v/>
      </c>
    </row>
    <row r="3751">
      <c r="A3751" s="12" t="inlineStr">
        <is>
          <t>PO-2023-3749</t>
        </is>
      </c>
      <c r="B3751" s="26" t="n">
        <v>45037</v>
      </c>
      <c r="C3751" s="12" t="inlineStr">
        <is>
          <t>VS08</t>
        </is>
      </c>
      <c r="D3751" s="12" t="inlineStr">
        <is>
          <t>MS Pipes</t>
        </is>
      </c>
      <c r="E3751" s="12" t="inlineStr">
        <is>
          <t>N</t>
        </is>
      </c>
      <c r="F3751" s="12" t="n">
        <v>32.5</v>
      </c>
      <c r="G3751" s="17" t="n">
        <v>104442.32</v>
      </c>
      <c r="H3751" s="26" t="n">
        <v>45044</v>
      </c>
      <c r="I3751" s="26" t="n">
        <v>45045</v>
      </c>
      <c r="J3751" s="12" t="n">
        <v>32.5</v>
      </c>
      <c r="K3751" s="17" t="n">
        <v>3394375.4</v>
      </c>
      <c r="L3751" s="12" t="n">
        <v>0</v>
      </c>
      <c r="M3751" s="12" t="n">
        <v>6</v>
      </c>
      <c r="N3751" s="27">
        <f>F3751-J3751</f>
        <v/>
      </c>
      <c r="O3751" s="16">
        <f>I3751-H3751</f>
        <v/>
      </c>
      <c r="P3751" s="14">
        <f>F3751*G3751</f>
        <v/>
      </c>
      <c r="Q3751" s="14">
        <f>J3751*G3751</f>
        <v/>
      </c>
      <c r="R3751" s="14">
        <f>K3751-Q3751</f>
        <v/>
      </c>
      <c r="S3751" s="3">
        <f>P3751*Assumptions!$B$3/100</f>
        <v/>
      </c>
      <c r="T3751" s="14">
        <f>R3751-S3751</f>
        <v/>
      </c>
      <c r="U3751" s="14">
        <f>L3751*G3751</f>
        <v/>
      </c>
    </row>
    <row r="3752">
      <c r="A3752" s="12" t="inlineStr">
        <is>
          <t>PO-2023-3750</t>
        </is>
      </c>
      <c r="B3752" s="26" t="n">
        <v>44776</v>
      </c>
      <c r="C3752" s="12" t="inlineStr">
        <is>
          <t>VS06</t>
        </is>
      </c>
      <c r="D3752" s="12" t="inlineStr">
        <is>
          <t>GI Wire</t>
        </is>
      </c>
      <c r="E3752" s="12" t="inlineStr">
        <is>
          <t>N</t>
        </is>
      </c>
      <c r="F3752" s="12" t="n">
        <v>15.68</v>
      </c>
      <c r="G3752" s="17" t="n">
        <v>115401.84</v>
      </c>
      <c r="H3752" s="26" t="n">
        <v>44790</v>
      </c>
      <c r="I3752" s="26" t="n">
        <v>44793</v>
      </c>
      <c r="J3752" s="12" t="n">
        <v>15.55</v>
      </c>
      <c r="K3752" s="17" t="n">
        <v>1809500.85</v>
      </c>
      <c r="L3752" s="12" t="n">
        <v>0</v>
      </c>
      <c r="M3752" s="12" t="n">
        <v>0</v>
      </c>
      <c r="N3752" s="27">
        <f>F3752-J3752</f>
        <v/>
      </c>
      <c r="O3752" s="16">
        <f>I3752-H3752</f>
        <v/>
      </c>
      <c r="P3752" s="14">
        <f>F3752*G3752</f>
        <v/>
      </c>
      <c r="Q3752" s="14">
        <f>J3752*G3752</f>
        <v/>
      </c>
      <c r="R3752" s="14">
        <f>K3752-Q3752</f>
        <v/>
      </c>
      <c r="S3752" s="3">
        <f>P3752*Assumptions!$B$3/100</f>
        <v/>
      </c>
      <c r="T3752" s="14">
        <f>R3752-S3752</f>
        <v/>
      </c>
      <c r="U3752" s="14">
        <f>L3752*G3752</f>
        <v/>
      </c>
    </row>
    <row r="3753">
      <c r="A3753" s="12" t="inlineStr">
        <is>
          <t>PO-2023-3751</t>
        </is>
      </c>
      <c r="B3753" s="26" t="n">
        <v>44400</v>
      </c>
      <c r="C3753" s="12" t="inlineStr">
        <is>
          <t>VS25</t>
        </is>
      </c>
      <c r="D3753" s="12" t="inlineStr">
        <is>
          <t>Angles &amp; Channels</t>
        </is>
      </c>
      <c r="E3753" s="12" t="inlineStr">
        <is>
          <t>N</t>
        </is>
      </c>
      <c r="F3753" s="12" t="n">
        <v>14.53</v>
      </c>
      <c r="G3753" s="17" t="n">
        <v>106284.55</v>
      </c>
      <c r="H3753" s="26" t="n">
        <v>44404</v>
      </c>
      <c r="I3753" s="26" t="n">
        <v>44404</v>
      </c>
      <c r="J3753" s="12" t="n">
        <v>14.5</v>
      </c>
      <c r="K3753" s="17" t="n">
        <v>1544314.51</v>
      </c>
      <c r="L3753" s="12" t="n">
        <v>0</v>
      </c>
      <c r="M3753" s="12" t="n">
        <v>19</v>
      </c>
      <c r="N3753" s="27">
        <f>F3753-J3753</f>
        <v/>
      </c>
      <c r="O3753" s="16">
        <f>I3753-H3753</f>
        <v/>
      </c>
      <c r="P3753" s="14">
        <f>F3753*G3753</f>
        <v/>
      </c>
      <c r="Q3753" s="14">
        <f>J3753*G3753</f>
        <v/>
      </c>
      <c r="R3753" s="14">
        <f>K3753-Q3753</f>
        <v/>
      </c>
      <c r="S3753" s="3">
        <f>P3753*Assumptions!$B$3/100</f>
        <v/>
      </c>
      <c r="T3753" s="14">
        <f>R3753-S3753</f>
        <v/>
      </c>
      <c r="U3753" s="14">
        <f>L3753*G3753</f>
        <v/>
      </c>
    </row>
    <row r="3754">
      <c r="A3754" s="12" t="inlineStr">
        <is>
          <t>PO-2023-3752</t>
        </is>
      </c>
      <c r="B3754" s="26" t="n">
        <v>44599</v>
      </c>
      <c r="C3754" s="12" t="inlineStr">
        <is>
          <t>VS30</t>
        </is>
      </c>
      <c r="D3754" s="12" t="inlineStr">
        <is>
          <t>MS Sheets</t>
        </is>
      </c>
      <c r="E3754" s="12" t="inlineStr">
        <is>
          <t>N</t>
        </is>
      </c>
      <c r="F3754" s="12" t="n">
        <v>23.73</v>
      </c>
      <c r="G3754" s="17" t="n">
        <v>94386.92999999999</v>
      </c>
      <c r="H3754" s="26" t="n">
        <v>44608</v>
      </c>
      <c r="I3754" s="26" t="n">
        <v>44610</v>
      </c>
      <c r="J3754" s="12" t="n">
        <v>23.65</v>
      </c>
      <c r="K3754" s="17" t="n">
        <v>2239801.85</v>
      </c>
      <c r="L3754" s="12" t="n">
        <v>0</v>
      </c>
      <c r="M3754" s="12" t="n">
        <v>0</v>
      </c>
      <c r="N3754" s="27">
        <f>F3754-J3754</f>
        <v/>
      </c>
      <c r="O3754" s="16">
        <f>I3754-H3754</f>
        <v/>
      </c>
      <c r="P3754" s="14">
        <f>F3754*G3754</f>
        <v/>
      </c>
      <c r="Q3754" s="14">
        <f>J3754*G3754</f>
        <v/>
      </c>
      <c r="R3754" s="14">
        <f>K3754-Q3754</f>
        <v/>
      </c>
      <c r="S3754" s="3">
        <f>P3754*Assumptions!$B$3/100</f>
        <v/>
      </c>
      <c r="T3754" s="14">
        <f>R3754-S3754</f>
        <v/>
      </c>
      <c r="U3754" s="14">
        <f>L3754*G3754</f>
        <v/>
      </c>
    </row>
    <row r="3755">
      <c r="A3755" s="12" t="inlineStr">
        <is>
          <t>PO-2023-3753</t>
        </is>
      </c>
      <c r="B3755" s="26" t="n">
        <v>45268</v>
      </c>
      <c r="C3755" s="12" t="inlineStr">
        <is>
          <t>VS24</t>
        </is>
      </c>
      <c r="D3755" s="12" t="inlineStr">
        <is>
          <t>Structural Steel</t>
        </is>
      </c>
      <c r="E3755" s="12" t="inlineStr">
        <is>
          <t>N</t>
        </is>
      </c>
      <c r="F3755" s="12" t="n">
        <v>47.6</v>
      </c>
      <c r="G3755" s="17" t="n">
        <v>112072.17</v>
      </c>
      <c r="H3755" s="26" t="n">
        <v>45283</v>
      </c>
      <c r="I3755" s="26" t="n">
        <v>45285</v>
      </c>
      <c r="J3755" s="12" t="n">
        <v>47.15</v>
      </c>
      <c r="K3755" s="17" t="n">
        <v>5334635.29</v>
      </c>
      <c r="L3755" s="12" t="n">
        <v>0</v>
      </c>
      <c r="M3755" s="12" t="n">
        <v>10</v>
      </c>
      <c r="N3755" s="27">
        <f>F3755-J3755</f>
        <v/>
      </c>
      <c r="O3755" s="16">
        <f>I3755-H3755</f>
        <v/>
      </c>
      <c r="P3755" s="14">
        <f>F3755*G3755</f>
        <v/>
      </c>
      <c r="Q3755" s="14">
        <f>J3755*G3755</f>
        <v/>
      </c>
      <c r="R3755" s="14">
        <f>K3755-Q3755</f>
        <v/>
      </c>
      <c r="S3755" s="3">
        <f>P3755*Assumptions!$B$3/100</f>
        <v/>
      </c>
      <c r="T3755" s="14">
        <f>R3755-S3755</f>
        <v/>
      </c>
      <c r="U3755" s="14">
        <f>L3755*G3755</f>
        <v/>
      </c>
    </row>
    <row r="3756">
      <c r="A3756" s="12" t="inlineStr">
        <is>
          <t>PO-2023-3754</t>
        </is>
      </c>
      <c r="B3756" s="26" t="n">
        <v>44261</v>
      </c>
      <c r="C3756" s="12" t="inlineStr">
        <is>
          <t>VS28</t>
        </is>
      </c>
      <c r="D3756" s="12" t="inlineStr">
        <is>
          <t>GI Sheets</t>
        </is>
      </c>
      <c r="E3756" s="12" t="inlineStr">
        <is>
          <t>N</t>
        </is>
      </c>
      <c r="F3756" s="12" t="n">
        <v>39.71</v>
      </c>
      <c r="G3756" s="17" t="n">
        <v>90330.39</v>
      </c>
      <c r="H3756" s="26" t="n">
        <v>44266</v>
      </c>
      <c r="I3756" s="26" t="n">
        <v>44269</v>
      </c>
      <c r="J3756" s="12" t="n">
        <v>39.66</v>
      </c>
      <c r="K3756" s="17" t="n">
        <v>3587019.79</v>
      </c>
      <c r="L3756" s="12" t="n">
        <v>0</v>
      </c>
      <c r="M3756" s="12" t="n">
        <v>22</v>
      </c>
      <c r="N3756" s="27">
        <f>F3756-J3756</f>
        <v/>
      </c>
      <c r="O3756" s="16">
        <f>I3756-H3756</f>
        <v/>
      </c>
      <c r="P3756" s="14">
        <f>F3756*G3756</f>
        <v/>
      </c>
      <c r="Q3756" s="14">
        <f>J3756*G3756</f>
        <v/>
      </c>
      <c r="R3756" s="14">
        <f>K3756-Q3756</f>
        <v/>
      </c>
      <c r="S3756" s="3">
        <f>P3756*Assumptions!$B$3/100</f>
        <v/>
      </c>
      <c r="T3756" s="14">
        <f>R3756-S3756</f>
        <v/>
      </c>
      <c r="U3756" s="14">
        <f>L3756*G3756</f>
        <v/>
      </c>
    </row>
    <row r="3757">
      <c r="A3757" s="12" t="inlineStr">
        <is>
          <t>PO-2023-3755</t>
        </is>
      </c>
      <c r="B3757" s="26" t="n">
        <v>44289</v>
      </c>
      <c r="C3757" s="12" t="inlineStr">
        <is>
          <t>VS18</t>
        </is>
      </c>
      <c r="D3757" s="12" t="inlineStr">
        <is>
          <t>GI Wire</t>
        </is>
      </c>
      <c r="E3757" s="12" t="inlineStr">
        <is>
          <t>N</t>
        </is>
      </c>
      <c r="F3757" s="12" t="n">
        <v>40.63</v>
      </c>
      <c r="G3757" s="17" t="n">
        <v>80503.61</v>
      </c>
      <c r="H3757" s="26" t="n">
        <v>44297</v>
      </c>
      <c r="I3757" s="26" t="n">
        <v>44297</v>
      </c>
      <c r="J3757" s="12" t="n">
        <v>40.58</v>
      </c>
      <c r="K3757" s="17" t="n">
        <v>3270861.67</v>
      </c>
      <c r="L3757" s="12" t="n">
        <v>0</v>
      </c>
      <c r="M3757" s="12" t="n">
        <v>0</v>
      </c>
      <c r="N3757" s="27">
        <f>F3757-J3757</f>
        <v/>
      </c>
      <c r="O3757" s="16">
        <f>I3757-H3757</f>
        <v/>
      </c>
      <c r="P3757" s="14">
        <f>F3757*G3757</f>
        <v/>
      </c>
      <c r="Q3757" s="14">
        <f>J3757*G3757</f>
        <v/>
      </c>
      <c r="R3757" s="14">
        <f>K3757-Q3757</f>
        <v/>
      </c>
      <c r="S3757" s="3">
        <f>P3757*Assumptions!$B$3/100</f>
        <v/>
      </c>
      <c r="T3757" s="14">
        <f>R3757-S3757</f>
        <v/>
      </c>
      <c r="U3757" s="14">
        <f>L3757*G3757</f>
        <v/>
      </c>
    </row>
    <row r="3758">
      <c r="A3758" s="12" t="inlineStr">
        <is>
          <t>PO-2023-3756</t>
        </is>
      </c>
      <c r="B3758" s="26" t="n">
        <v>44401</v>
      </c>
      <c r="C3758" s="12" t="inlineStr">
        <is>
          <t>VS33</t>
        </is>
      </c>
      <c r="D3758" s="12" t="inlineStr">
        <is>
          <t>Spring Steel</t>
        </is>
      </c>
      <c r="E3758" s="12" t="inlineStr">
        <is>
          <t>N</t>
        </is>
      </c>
      <c r="F3758" s="12" t="n">
        <v>22.63</v>
      </c>
      <c r="G3758" s="17" t="n">
        <v>119850.41</v>
      </c>
      <c r="H3758" s="26" t="n">
        <v>44411</v>
      </c>
      <c r="I3758" s="26" t="n">
        <v>44411</v>
      </c>
      <c r="J3758" s="12" t="n">
        <v>22.42</v>
      </c>
      <c r="K3758" s="17" t="n">
        <v>2712214.78</v>
      </c>
      <c r="L3758" s="12" t="n">
        <v>0</v>
      </c>
      <c r="M3758" s="12" t="n">
        <v>1</v>
      </c>
      <c r="N3758" s="27">
        <f>F3758-J3758</f>
        <v/>
      </c>
      <c r="O3758" s="16">
        <f>I3758-H3758</f>
        <v/>
      </c>
      <c r="P3758" s="14">
        <f>F3758*G3758</f>
        <v/>
      </c>
      <c r="Q3758" s="14">
        <f>J3758*G3758</f>
        <v/>
      </c>
      <c r="R3758" s="14">
        <f>K3758-Q3758</f>
        <v/>
      </c>
      <c r="S3758" s="3">
        <f>P3758*Assumptions!$B$3/100</f>
        <v/>
      </c>
      <c r="T3758" s="14">
        <f>R3758-S3758</f>
        <v/>
      </c>
      <c r="U3758" s="14">
        <f>L3758*G3758</f>
        <v/>
      </c>
    </row>
    <row r="3759">
      <c r="A3759" s="12" t="inlineStr">
        <is>
          <t>PO-2023-3757</t>
        </is>
      </c>
      <c r="B3759" s="26" t="n">
        <v>44583</v>
      </c>
      <c r="C3759" s="12" t="inlineStr">
        <is>
          <t>VS12</t>
        </is>
      </c>
      <c r="D3759" s="12" t="inlineStr">
        <is>
          <t>SS Sheets</t>
        </is>
      </c>
      <c r="E3759" s="12" t="inlineStr">
        <is>
          <t>N</t>
        </is>
      </c>
      <c r="F3759" s="12" t="n">
        <v>35.17</v>
      </c>
      <c r="G3759" s="17" t="n">
        <v>50011.76</v>
      </c>
      <c r="H3759" s="26" t="n">
        <v>44588</v>
      </c>
      <c r="I3759" s="26" t="n">
        <v>44596</v>
      </c>
      <c r="J3759" s="12" t="n">
        <v>34.32</v>
      </c>
      <c r="K3759" s="17" t="n">
        <v>1758913.6</v>
      </c>
      <c r="L3759" s="12" t="n">
        <v>1.29</v>
      </c>
      <c r="M3759" s="12" t="n">
        <v>9</v>
      </c>
      <c r="N3759" s="27">
        <f>F3759-J3759</f>
        <v/>
      </c>
      <c r="O3759" s="16">
        <f>I3759-H3759</f>
        <v/>
      </c>
      <c r="P3759" s="14">
        <f>F3759*G3759</f>
        <v/>
      </c>
      <c r="Q3759" s="14">
        <f>J3759*G3759</f>
        <v/>
      </c>
      <c r="R3759" s="14">
        <f>K3759-Q3759</f>
        <v/>
      </c>
      <c r="S3759" s="3">
        <f>P3759*Assumptions!$B$3/100</f>
        <v/>
      </c>
      <c r="T3759" s="14">
        <f>R3759-S3759</f>
        <v/>
      </c>
      <c r="U3759" s="14">
        <f>L3759*G3759</f>
        <v/>
      </c>
    </row>
    <row r="3760">
      <c r="A3760" s="12" t="inlineStr">
        <is>
          <t>PO-2023-3758</t>
        </is>
      </c>
      <c r="B3760" s="26" t="n">
        <v>44784</v>
      </c>
      <c r="C3760" s="12" t="inlineStr">
        <is>
          <t>VS15</t>
        </is>
      </c>
      <c r="D3760" s="12" t="inlineStr">
        <is>
          <t>Fasteners &amp; Fittings</t>
        </is>
      </c>
      <c r="E3760" s="12" t="inlineStr">
        <is>
          <t>N</t>
        </is>
      </c>
      <c r="F3760" s="12" t="n">
        <v>16.07</v>
      </c>
      <c r="G3760" s="17" t="n">
        <v>102862.17</v>
      </c>
      <c r="H3760" s="26" t="n">
        <v>44788</v>
      </c>
      <c r="I3760" s="26" t="n">
        <v>44791</v>
      </c>
      <c r="J3760" s="12" t="n">
        <v>16.03</v>
      </c>
      <c r="K3760" s="17" t="n">
        <v>1652995.07</v>
      </c>
      <c r="L3760" s="12" t="n">
        <v>0</v>
      </c>
      <c r="M3760" s="12" t="n">
        <v>10</v>
      </c>
      <c r="N3760" s="27">
        <f>F3760-J3760</f>
        <v/>
      </c>
      <c r="O3760" s="16">
        <f>I3760-H3760</f>
        <v/>
      </c>
      <c r="P3760" s="14">
        <f>F3760*G3760</f>
        <v/>
      </c>
      <c r="Q3760" s="14">
        <f>J3760*G3760</f>
        <v/>
      </c>
      <c r="R3760" s="14">
        <f>K3760-Q3760</f>
        <v/>
      </c>
      <c r="S3760" s="3">
        <f>P3760*Assumptions!$B$3/100</f>
        <v/>
      </c>
      <c r="T3760" s="14">
        <f>R3760-S3760</f>
        <v/>
      </c>
      <c r="U3760" s="14">
        <f>L3760*G3760</f>
        <v/>
      </c>
    </row>
    <row r="3761">
      <c r="A3761" s="12" t="inlineStr">
        <is>
          <t>PO-2023-3759</t>
        </is>
      </c>
      <c r="B3761" s="26" t="n">
        <v>45213</v>
      </c>
      <c r="C3761" s="12" t="inlineStr">
        <is>
          <t>VS11</t>
        </is>
      </c>
      <c r="D3761" s="12" t="inlineStr">
        <is>
          <t>HR Coils</t>
        </is>
      </c>
      <c r="E3761" s="12" t="inlineStr">
        <is>
          <t>Y</t>
        </is>
      </c>
      <c r="F3761" s="12" t="n">
        <v>14.16</v>
      </c>
      <c r="G3761" s="17" t="n">
        <v>77130.05</v>
      </c>
      <c r="H3761" s="26" t="n">
        <v>45221</v>
      </c>
      <c r="I3761" s="26" t="n">
        <v>45222</v>
      </c>
      <c r="J3761" s="12" t="n">
        <v>14.1</v>
      </c>
      <c r="K3761" s="17" t="n">
        <v>1092161.51</v>
      </c>
      <c r="L3761" s="12" t="n">
        <v>0</v>
      </c>
      <c r="M3761" s="12" t="n">
        <v>4</v>
      </c>
      <c r="N3761" s="27">
        <f>F3761-J3761</f>
        <v/>
      </c>
      <c r="O3761" s="16">
        <f>I3761-H3761</f>
        <v/>
      </c>
      <c r="P3761" s="14">
        <f>F3761*G3761</f>
        <v/>
      </c>
      <c r="Q3761" s="14">
        <f>J3761*G3761</f>
        <v/>
      </c>
      <c r="R3761" s="14">
        <f>K3761-Q3761</f>
        <v/>
      </c>
      <c r="S3761" s="3">
        <f>P3761*Assumptions!$B$3/100</f>
        <v/>
      </c>
      <c r="T3761" s="14">
        <f>R3761-S3761</f>
        <v/>
      </c>
      <c r="U3761" s="14">
        <f>L3761*G3761</f>
        <v/>
      </c>
    </row>
    <row r="3762">
      <c r="A3762" s="12" t="inlineStr">
        <is>
          <t>PO-2023-3760</t>
        </is>
      </c>
      <c r="B3762" s="26" t="n">
        <v>44599</v>
      </c>
      <c r="C3762" s="12" t="inlineStr">
        <is>
          <t>VS33</t>
        </is>
      </c>
      <c r="D3762" s="12" t="inlineStr">
        <is>
          <t>MS Rods</t>
        </is>
      </c>
      <c r="E3762" s="12" t="inlineStr">
        <is>
          <t>N</t>
        </is>
      </c>
      <c r="F3762" s="12" t="n">
        <v>29.06</v>
      </c>
      <c r="G3762" s="17" t="n">
        <v>78647.64</v>
      </c>
      <c r="H3762" s="26" t="n">
        <v>44614</v>
      </c>
      <c r="I3762" s="26" t="n">
        <v>44615</v>
      </c>
      <c r="J3762" s="12" t="n">
        <v>28.91</v>
      </c>
      <c r="K3762" s="17" t="n">
        <v>2285500.42</v>
      </c>
      <c r="L3762" s="12" t="n">
        <v>0</v>
      </c>
      <c r="M3762" s="12" t="n">
        <v>0</v>
      </c>
      <c r="N3762" s="27">
        <f>F3762-J3762</f>
        <v/>
      </c>
      <c r="O3762" s="16">
        <f>I3762-H3762</f>
        <v/>
      </c>
      <c r="P3762" s="14">
        <f>F3762*G3762</f>
        <v/>
      </c>
      <c r="Q3762" s="14">
        <f>J3762*G3762</f>
        <v/>
      </c>
      <c r="R3762" s="14">
        <f>K3762-Q3762</f>
        <v/>
      </c>
      <c r="S3762" s="3">
        <f>P3762*Assumptions!$B$3/100</f>
        <v/>
      </c>
      <c r="T3762" s="14">
        <f>R3762-S3762</f>
        <v/>
      </c>
      <c r="U3762" s="14">
        <f>L3762*G3762</f>
        <v/>
      </c>
    </row>
    <row r="3763">
      <c r="A3763" s="12" t="inlineStr">
        <is>
          <t>PO-2023-3761</t>
        </is>
      </c>
      <c r="B3763" s="26" t="n">
        <v>44219</v>
      </c>
      <c r="C3763" s="12" t="inlineStr">
        <is>
          <t>VS11</t>
        </is>
      </c>
      <c r="D3763" s="12" t="inlineStr">
        <is>
          <t>Angles &amp; Channels</t>
        </is>
      </c>
      <c r="E3763" s="12" t="inlineStr">
        <is>
          <t>N</t>
        </is>
      </c>
      <c r="F3763" s="12" t="n">
        <v>43.83</v>
      </c>
      <c r="G3763" s="17" t="n">
        <v>102953.32</v>
      </c>
      <c r="H3763" s="26" t="n">
        <v>44227</v>
      </c>
      <c r="I3763" s="26" t="n">
        <v>44228</v>
      </c>
      <c r="J3763" s="12" t="n">
        <v>43.73</v>
      </c>
      <c r="K3763" s="17" t="n">
        <v>4512444.02</v>
      </c>
      <c r="L3763" s="12" t="n">
        <v>0</v>
      </c>
      <c r="M3763" s="12" t="n">
        <v>23</v>
      </c>
      <c r="N3763" s="27">
        <f>F3763-J3763</f>
        <v/>
      </c>
      <c r="O3763" s="16">
        <f>I3763-H3763</f>
        <v/>
      </c>
      <c r="P3763" s="14">
        <f>F3763*G3763</f>
        <v/>
      </c>
      <c r="Q3763" s="14">
        <f>J3763*G3763</f>
        <v/>
      </c>
      <c r="R3763" s="14">
        <f>K3763-Q3763</f>
        <v/>
      </c>
      <c r="S3763" s="3">
        <f>P3763*Assumptions!$B$3/100</f>
        <v/>
      </c>
      <c r="T3763" s="14">
        <f>R3763-S3763</f>
        <v/>
      </c>
      <c r="U3763" s="14">
        <f>L3763*G3763</f>
        <v/>
      </c>
    </row>
    <row r="3764">
      <c r="A3764" s="12" t="inlineStr">
        <is>
          <t>PO-2023-3762</t>
        </is>
      </c>
      <c r="B3764" s="26" t="n">
        <v>44658</v>
      </c>
      <c r="C3764" s="12" t="inlineStr">
        <is>
          <t>VS25</t>
        </is>
      </c>
      <c r="D3764" s="12" t="inlineStr">
        <is>
          <t>Square/Rect Tubes</t>
        </is>
      </c>
      <c r="E3764" s="12" t="inlineStr">
        <is>
          <t>N</t>
        </is>
      </c>
      <c r="F3764" s="12" t="n">
        <v>21.48</v>
      </c>
      <c r="G3764" s="17" t="n">
        <v>87586.5</v>
      </c>
      <c r="H3764" s="26" t="n">
        <v>44665</v>
      </c>
      <c r="I3764" s="26" t="n">
        <v>44667</v>
      </c>
      <c r="J3764" s="12" t="n">
        <v>21.39</v>
      </c>
      <c r="K3764" s="17" t="n">
        <v>1881358.02</v>
      </c>
      <c r="L3764" s="12" t="n">
        <v>0</v>
      </c>
      <c r="M3764" s="12" t="n">
        <v>12</v>
      </c>
      <c r="N3764" s="27">
        <f>F3764-J3764</f>
        <v/>
      </c>
      <c r="O3764" s="16">
        <f>I3764-H3764</f>
        <v/>
      </c>
      <c r="P3764" s="14">
        <f>F3764*G3764</f>
        <v/>
      </c>
      <c r="Q3764" s="14">
        <f>J3764*G3764</f>
        <v/>
      </c>
      <c r="R3764" s="14">
        <f>K3764-Q3764</f>
        <v/>
      </c>
      <c r="S3764" s="3">
        <f>P3764*Assumptions!$B$3/100</f>
        <v/>
      </c>
      <c r="T3764" s="14">
        <f>R3764-S3764</f>
        <v/>
      </c>
      <c r="U3764" s="14">
        <f>L3764*G3764</f>
        <v/>
      </c>
    </row>
    <row r="3765">
      <c r="A3765" s="12" t="inlineStr">
        <is>
          <t>PO-2023-3763</t>
        </is>
      </c>
      <c r="B3765" s="26" t="n">
        <v>45154</v>
      </c>
      <c r="C3765" s="12" t="inlineStr">
        <is>
          <t>VS12</t>
        </is>
      </c>
      <c r="D3765" s="12" t="inlineStr">
        <is>
          <t>GI Sheets</t>
        </is>
      </c>
      <c r="E3765" s="12" t="inlineStr">
        <is>
          <t>N</t>
        </is>
      </c>
      <c r="F3765" s="12" t="n">
        <v>26.27</v>
      </c>
      <c r="G3765" s="17" t="n">
        <v>104047.49</v>
      </c>
      <c r="H3765" s="26" t="n">
        <v>45161</v>
      </c>
      <c r="I3765" s="26" t="n">
        <v>45166</v>
      </c>
      <c r="J3765" s="12" t="n">
        <v>25.32</v>
      </c>
      <c r="K3765" s="17" t="n">
        <v>2733327.56</v>
      </c>
      <c r="L3765" s="12" t="n">
        <v>0.88</v>
      </c>
      <c r="M3765" s="12" t="n">
        <v>0</v>
      </c>
      <c r="N3765" s="27">
        <f>F3765-J3765</f>
        <v/>
      </c>
      <c r="O3765" s="16">
        <f>I3765-H3765</f>
        <v/>
      </c>
      <c r="P3765" s="14">
        <f>F3765*G3765</f>
        <v/>
      </c>
      <c r="Q3765" s="14">
        <f>J3765*G3765</f>
        <v/>
      </c>
      <c r="R3765" s="14">
        <f>K3765-Q3765</f>
        <v/>
      </c>
      <c r="S3765" s="3">
        <f>P3765*Assumptions!$B$3/100</f>
        <v/>
      </c>
      <c r="T3765" s="14">
        <f>R3765-S3765</f>
        <v/>
      </c>
      <c r="U3765" s="14">
        <f>L3765*G3765</f>
        <v/>
      </c>
    </row>
    <row r="3766">
      <c r="A3766" s="12" t="inlineStr">
        <is>
          <t>PO-2023-3764</t>
        </is>
      </c>
      <c r="B3766" s="26" t="n">
        <v>44326</v>
      </c>
      <c r="C3766" s="12" t="inlineStr">
        <is>
          <t>VS01</t>
        </is>
      </c>
      <c r="D3766" s="12" t="inlineStr">
        <is>
          <t>MS Pipes</t>
        </is>
      </c>
      <c r="E3766" s="12" t="inlineStr">
        <is>
          <t>Y</t>
        </is>
      </c>
      <c r="F3766" s="12" t="n">
        <v>30.19</v>
      </c>
      <c r="G3766" s="17" t="n">
        <v>62035.24</v>
      </c>
      <c r="H3766" s="26" t="n">
        <v>44334</v>
      </c>
      <c r="I3766" s="26" t="n">
        <v>44336</v>
      </c>
      <c r="J3766" s="12" t="n">
        <v>29.98</v>
      </c>
      <c r="K3766" s="17" t="n">
        <v>1872843.9</v>
      </c>
      <c r="L3766" s="12" t="n">
        <v>0</v>
      </c>
      <c r="M3766" s="12" t="n">
        <v>23</v>
      </c>
      <c r="N3766" s="27">
        <f>F3766-J3766</f>
        <v/>
      </c>
      <c r="O3766" s="16">
        <f>I3766-H3766</f>
        <v/>
      </c>
      <c r="P3766" s="14">
        <f>F3766*G3766</f>
        <v/>
      </c>
      <c r="Q3766" s="14">
        <f>J3766*G3766</f>
        <v/>
      </c>
      <c r="R3766" s="14">
        <f>K3766-Q3766</f>
        <v/>
      </c>
      <c r="S3766" s="3">
        <f>P3766*Assumptions!$B$3/100</f>
        <v/>
      </c>
      <c r="T3766" s="14">
        <f>R3766-S3766</f>
        <v/>
      </c>
      <c r="U3766" s="14">
        <f>L3766*G3766</f>
        <v/>
      </c>
    </row>
    <row r="3767">
      <c r="A3767" s="12" t="inlineStr">
        <is>
          <t>PO-2023-3765</t>
        </is>
      </c>
      <c r="B3767" s="26" t="n">
        <v>44837</v>
      </c>
      <c r="C3767" s="12" t="inlineStr">
        <is>
          <t>VS31</t>
        </is>
      </c>
      <c r="D3767" s="12" t="inlineStr">
        <is>
          <t>CR Sheets</t>
        </is>
      </c>
      <c r="E3767" s="12" t="inlineStr">
        <is>
          <t>N</t>
        </is>
      </c>
      <c r="F3767" s="12" t="n">
        <v>9.539999999999999</v>
      </c>
      <c r="G3767" s="17" t="n">
        <v>74311.11</v>
      </c>
      <c r="H3767" s="26" t="n">
        <v>44844</v>
      </c>
      <c r="I3767" s="26" t="n">
        <v>44844</v>
      </c>
      <c r="J3767" s="12" t="n">
        <v>9.49</v>
      </c>
      <c r="K3767" s="17" t="n">
        <v>708927.99</v>
      </c>
      <c r="L3767" s="12" t="n">
        <v>0</v>
      </c>
      <c r="M3767" s="12" t="n">
        <v>0</v>
      </c>
      <c r="N3767" s="27">
        <f>F3767-J3767</f>
        <v/>
      </c>
      <c r="O3767" s="16">
        <f>I3767-H3767</f>
        <v/>
      </c>
      <c r="P3767" s="14">
        <f>F3767*G3767</f>
        <v/>
      </c>
      <c r="Q3767" s="14">
        <f>J3767*G3767</f>
        <v/>
      </c>
      <c r="R3767" s="14">
        <f>K3767-Q3767</f>
        <v/>
      </c>
      <c r="S3767" s="3">
        <f>P3767*Assumptions!$B$3/100</f>
        <v/>
      </c>
      <c r="T3767" s="14">
        <f>R3767-S3767</f>
        <v/>
      </c>
      <c r="U3767" s="14">
        <f>L3767*G3767</f>
        <v/>
      </c>
    </row>
    <row r="3768">
      <c r="A3768" s="12" t="inlineStr">
        <is>
          <t>PO-2023-3766</t>
        </is>
      </c>
      <c r="B3768" s="26" t="n">
        <v>44677</v>
      </c>
      <c r="C3768" s="12" t="inlineStr">
        <is>
          <t>VS21</t>
        </is>
      </c>
      <c r="D3768" s="12" t="inlineStr">
        <is>
          <t>MS Pipes</t>
        </is>
      </c>
      <c r="E3768" s="12" t="inlineStr">
        <is>
          <t>N</t>
        </is>
      </c>
      <c r="F3768" s="12" t="n">
        <v>41.93</v>
      </c>
      <c r="G3768" s="17" t="n">
        <v>47437.6</v>
      </c>
      <c r="H3768" s="26" t="n">
        <v>44692</v>
      </c>
      <c r="I3768" s="26" t="n">
        <v>44695</v>
      </c>
      <c r="J3768" s="12" t="n">
        <v>41.77</v>
      </c>
      <c r="K3768" s="17" t="n">
        <v>1989058.57</v>
      </c>
      <c r="L3768" s="12" t="n">
        <v>0</v>
      </c>
      <c r="M3768" s="12" t="n">
        <v>0</v>
      </c>
      <c r="N3768" s="27">
        <f>F3768-J3768</f>
        <v/>
      </c>
      <c r="O3768" s="16">
        <f>I3768-H3768</f>
        <v/>
      </c>
      <c r="P3768" s="14">
        <f>F3768*G3768</f>
        <v/>
      </c>
      <c r="Q3768" s="14">
        <f>J3768*G3768</f>
        <v/>
      </c>
      <c r="R3768" s="14">
        <f>K3768-Q3768</f>
        <v/>
      </c>
      <c r="S3768" s="3">
        <f>P3768*Assumptions!$B$3/100</f>
        <v/>
      </c>
      <c r="T3768" s="14">
        <f>R3768-S3768</f>
        <v/>
      </c>
      <c r="U3768" s="14">
        <f>L3768*G3768</f>
        <v/>
      </c>
    </row>
    <row r="3769">
      <c r="A3769" s="12" t="inlineStr">
        <is>
          <t>PO-2023-3767</t>
        </is>
      </c>
      <c r="B3769" s="26" t="n">
        <v>44648</v>
      </c>
      <c r="C3769" s="12" t="inlineStr">
        <is>
          <t>VS31</t>
        </is>
      </c>
      <c r="D3769" s="12" t="inlineStr">
        <is>
          <t>Spring Steel</t>
        </is>
      </c>
      <c r="E3769" s="12" t="inlineStr">
        <is>
          <t>N</t>
        </is>
      </c>
      <c r="F3769" s="12" t="n">
        <v>4.8</v>
      </c>
      <c r="G3769" s="17" t="n">
        <v>95397.12</v>
      </c>
      <c r="H3769" s="26" t="n">
        <v>44651</v>
      </c>
      <c r="I3769" s="26" t="n">
        <v>44651</v>
      </c>
      <c r="J3769" s="12" t="n">
        <v>4.77</v>
      </c>
      <c r="K3769" s="17" t="n">
        <v>457906.18</v>
      </c>
      <c r="L3769" s="12" t="n">
        <v>0</v>
      </c>
      <c r="M3769" s="12" t="n">
        <v>17</v>
      </c>
      <c r="N3769" s="27">
        <f>F3769-J3769</f>
        <v/>
      </c>
      <c r="O3769" s="16">
        <f>I3769-H3769</f>
        <v/>
      </c>
      <c r="P3769" s="14">
        <f>F3769*G3769</f>
        <v/>
      </c>
      <c r="Q3769" s="14">
        <f>J3769*G3769</f>
        <v/>
      </c>
      <c r="R3769" s="14">
        <f>K3769-Q3769</f>
        <v/>
      </c>
      <c r="S3769" s="3">
        <f>P3769*Assumptions!$B$3/100</f>
        <v/>
      </c>
      <c r="T3769" s="14">
        <f>R3769-S3769</f>
        <v/>
      </c>
      <c r="U3769" s="14">
        <f>L3769*G3769</f>
        <v/>
      </c>
    </row>
    <row r="3770">
      <c r="A3770" s="12" t="inlineStr">
        <is>
          <t>PO-2023-3768</t>
        </is>
      </c>
      <c r="B3770" s="26" t="n">
        <v>44821</v>
      </c>
      <c r="C3770" s="12" t="inlineStr">
        <is>
          <t>VS32</t>
        </is>
      </c>
      <c r="D3770" s="12" t="inlineStr">
        <is>
          <t>GI Wire</t>
        </is>
      </c>
      <c r="E3770" s="12" t="inlineStr">
        <is>
          <t>N</t>
        </is>
      </c>
      <c r="F3770" s="12" t="n">
        <v>37.11</v>
      </c>
      <c r="G3770" s="17" t="n">
        <v>67020</v>
      </c>
      <c r="H3770" s="26" t="n">
        <v>44831</v>
      </c>
      <c r="I3770" s="26" t="n">
        <v>44832</v>
      </c>
      <c r="J3770" s="12" t="n">
        <v>37.1</v>
      </c>
      <c r="K3770" s="17" t="n">
        <v>2487112.2</v>
      </c>
      <c r="L3770" s="12" t="n">
        <v>0</v>
      </c>
      <c r="M3770" s="12" t="n">
        <v>0</v>
      </c>
      <c r="N3770" s="27">
        <f>F3770-J3770</f>
        <v/>
      </c>
      <c r="O3770" s="16">
        <f>I3770-H3770</f>
        <v/>
      </c>
      <c r="P3770" s="14">
        <f>F3770*G3770</f>
        <v/>
      </c>
      <c r="Q3770" s="14">
        <f>J3770*G3770</f>
        <v/>
      </c>
      <c r="R3770" s="14">
        <f>K3770-Q3770</f>
        <v/>
      </c>
      <c r="S3770" s="3">
        <f>P3770*Assumptions!$B$3/100</f>
        <v/>
      </c>
      <c r="T3770" s="14">
        <f>R3770-S3770</f>
        <v/>
      </c>
      <c r="U3770" s="14">
        <f>L3770*G3770</f>
        <v/>
      </c>
    </row>
    <row r="3771">
      <c r="A3771" s="12" t="inlineStr">
        <is>
          <t>PO-2023-3769</t>
        </is>
      </c>
      <c r="B3771" s="26" t="n">
        <v>45231</v>
      </c>
      <c r="C3771" s="12" t="inlineStr">
        <is>
          <t>VS34</t>
        </is>
      </c>
      <c r="D3771" s="12" t="inlineStr">
        <is>
          <t>CR Sheets</t>
        </is>
      </c>
      <c r="E3771" s="12" t="inlineStr">
        <is>
          <t>N</t>
        </is>
      </c>
      <c r="F3771" s="12" t="n">
        <v>14.51</v>
      </c>
      <c r="G3771" s="17" t="n">
        <v>79277.73</v>
      </c>
      <c r="H3771" s="26" t="n">
        <v>45240</v>
      </c>
      <c r="I3771" s="26" t="n">
        <v>45240</v>
      </c>
      <c r="J3771" s="12" t="n">
        <v>14.37</v>
      </c>
      <c r="K3771" s="17" t="n">
        <v>1150319.86</v>
      </c>
      <c r="L3771" s="12" t="n">
        <v>0</v>
      </c>
      <c r="M3771" s="12" t="n">
        <v>0</v>
      </c>
      <c r="N3771" s="27">
        <f>F3771-J3771</f>
        <v/>
      </c>
      <c r="O3771" s="16">
        <f>I3771-H3771</f>
        <v/>
      </c>
      <c r="P3771" s="14">
        <f>F3771*G3771</f>
        <v/>
      </c>
      <c r="Q3771" s="14">
        <f>J3771*G3771</f>
        <v/>
      </c>
      <c r="R3771" s="14">
        <f>K3771-Q3771</f>
        <v/>
      </c>
      <c r="S3771" s="3">
        <f>P3771*Assumptions!$B$3/100</f>
        <v/>
      </c>
      <c r="T3771" s="14">
        <f>R3771-S3771</f>
        <v/>
      </c>
      <c r="U3771" s="14">
        <f>L3771*G3771</f>
        <v/>
      </c>
    </row>
    <row r="3772">
      <c r="A3772" s="12" t="inlineStr">
        <is>
          <t>PO-2023-3770</t>
        </is>
      </c>
      <c r="B3772" s="26" t="n">
        <v>44965</v>
      </c>
      <c r="C3772" s="12" t="inlineStr">
        <is>
          <t>VS06</t>
        </is>
      </c>
      <c r="D3772" s="12" t="inlineStr">
        <is>
          <t>Spring Steel</t>
        </is>
      </c>
      <c r="E3772" s="12" t="inlineStr">
        <is>
          <t>N</t>
        </is>
      </c>
      <c r="F3772" s="12" t="n">
        <v>37.87</v>
      </c>
      <c r="G3772" s="17" t="n">
        <v>108243.1</v>
      </c>
      <c r="H3772" s="26" t="n">
        <v>44973</v>
      </c>
      <c r="I3772" s="26" t="n">
        <v>44974</v>
      </c>
      <c r="J3772" s="12" t="n">
        <v>37.57</v>
      </c>
      <c r="K3772" s="17" t="n">
        <v>4099166.2</v>
      </c>
      <c r="L3772" s="12" t="n">
        <v>0</v>
      </c>
      <c r="M3772" s="12" t="n">
        <v>24</v>
      </c>
      <c r="N3772" s="27">
        <f>F3772-J3772</f>
        <v/>
      </c>
      <c r="O3772" s="16">
        <f>I3772-H3772</f>
        <v/>
      </c>
      <c r="P3772" s="14">
        <f>F3772*G3772</f>
        <v/>
      </c>
      <c r="Q3772" s="14">
        <f>J3772*G3772</f>
        <v/>
      </c>
      <c r="R3772" s="14">
        <f>K3772-Q3772</f>
        <v/>
      </c>
      <c r="S3772" s="3">
        <f>P3772*Assumptions!$B$3/100</f>
        <v/>
      </c>
      <c r="T3772" s="14">
        <f>R3772-S3772</f>
        <v/>
      </c>
      <c r="U3772" s="14">
        <f>L3772*G3772</f>
        <v/>
      </c>
    </row>
    <row r="3773">
      <c r="A3773" s="12" t="inlineStr">
        <is>
          <t>PO-2023-3771</t>
        </is>
      </c>
      <c r="B3773" s="26" t="n">
        <v>45048</v>
      </c>
      <c r="C3773" s="12" t="inlineStr">
        <is>
          <t>VS17</t>
        </is>
      </c>
      <c r="D3773" s="12" t="inlineStr">
        <is>
          <t>GI Wire</t>
        </is>
      </c>
      <c r="E3773" s="12" t="inlineStr">
        <is>
          <t>N</t>
        </is>
      </c>
      <c r="F3773" s="12" t="n">
        <v>42.6</v>
      </c>
      <c r="G3773" s="17" t="n">
        <v>54853.02</v>
      </c>
      <c r="H3773" s="26" t="n">
        <v>45057</v>
      </c>
      <c r="I3773" s="26" t="n">
        <v>45057</v>
      </c>
      <c r="J3773" s="12" t="n">
        <v>42.26</v>
      </c>
      <c r="K3773" s="17" t="n">
        <v>2336738.65</v>
      </c>
      <c r="L3773" s="12" t="n">
        <v>0</v>
      </c>
      <c r="M3773" s="12" t="n">
        <v>0</v>
      </c>
      <c r="N3773" s="27">
        <f>F3773-J3773</f>
        <v/>
      </c>
      <c r="O3773" s="16">
        <f>I3773-H3773</f>
        <v/>
      </c>
      <c r="P3773" s="14">
        <f>F3773*G3773</f>
        <v/>
      </c>
      <c r="Q3773" s="14">
        <f>J3773*G3773</f>
        <v/>
      </c>
      <c r="R3773" s="14">
        <f>K3773-Q3773</f>
        <v/>
      </c>
      <c r="S3773" s="3">
        <f>P3773*Assumptions!$B$3/100</f>
        <v/>
      </c>
      <c r="T3773" s="14">
        <f>R3773-S3773</f>
        <v/>
      </c>
      <c r="U3773" s="14">
        <f>L3773*G3773</f>
        <v/>
      </c>
    </row>
    <row r="3774">
      <c r="A3774" s="12" t="inlineStr">
        <is>
          <t>PO-2023-3772</t>
        </is>
      </c>
      <c r="B3774" s="26" t="n">
        <v>44675</v>
      </c>
      <c r="C3774" s="12" t="inlineStr">
        <is>
          <t>VS26</t>
        </is>
      </c>
      <c r="D3774" s="12" t="inlineStr">
        <is>
          <t>Spring Steel</t>
        </is>
      </c>
      <c r="E3774" s="12" t="inlineStr">
        <is>
          <t>N</t>
        </is>
      </c>
      <c r="F3774" s="12" t="n">
        <v>46.31</v>
      </c>
      <c r="G3774" s="17" t="n">
        <v>112599.68</v>
      </c>
      <c r="H3774" s="26" t="n">
        <v>44690</v>
      </c>
      <c r="I3774" s="26" t="n">
        <v>44693</v>
      </c>
      <c r="J3774" s="12" t="n">
        <v>46.08</v>
      </c>
      <c r="K3774" s="17" t="n">
        <v>5214491.18</v>
      </c>
      <c r="L3774" s="12" t="n">
        <v>0</v>
      </c>
      <c r="M3774" s="12" t="n">
        <v>2</v>
      </c>
      <c r="N3774" s="27">
        <f>F3774-J3774</f>
        <v/>
      </c>
      <c r="O3774" s="16">
        <f>I3774-H3774</f>
        <v/>
      </c>
      <c r="P3774" s="14">
        <f>F3774*G3774</f>
        <v/>
      </c>
      <c r="Q3774" s="14">
        <f>J3774*G3774</f>
        <v/>
      </c>
      <c r="R3774" s="14">
        <f>K3774-Q3774</f>
        <v/>
      </c>
      <c r="S3774" s="3">
        <f>P3774*Assumptions!$B$3/100</f>
        <v/>
      </c>
      <c r="T3774" s="14">
        <f>R3774-S3774</f>
        <v/>
      </c>
      <c r="U3774" s="14">
        <f>L3774*G3774</f>
        <v/>
      </c>
    </row>
    <row r="3775">
      <c r="A3775" s="12" t="inlineStr">
        <is>
          <t>PO-2023-3773</t>
        </is>
      </c>
      <c r="B3775" s="26" t="n">
        <v>44334</v>
      </c>
      <c r="C3775" s="12" t="inlineStr">
        <is>
          <t>VS24</t>
        </is>
      </c>
      <c r="D3775" s="12" t="inlineStr">
        <is>
          <t>SS Sheets</t>
        </is>
      </c>
      <c r="E3775" s="12" t="inlineStr">
        <is>
          <t>N</t>
        </is>
      </c>
      <c r="F3775" s="12" t="n">
        <v>44.23</v>
      </c>
      <c r="G3775" s="17" t="n">
        <v>51534.59</v>
      </c>
      <c r="H3775" s="26" t="n">
        <v>44342</v>
      </c>
      <c r="I3775" s="26" t="n">
        <v>44345</v>
      </c>
      <c r="J3775" s="12" t="n">
        <v>44.15</v>
      </c>
      <c r="K3775" s="17" t="n">
        <v>2279374.92</v>
      </c>
      <c r="L3775" s="12" t="n">
        <v>0</v>
      </c>
      <c r="M3775" s="12" t="n">
        <v>19</v>
      </c>
      <c r="N3775" s="27">
        <f>F3775-J3775</f>
        <v/>
      </c>
      <c r="O3775" s="16">
        <f>I3775-H3775</f>
        <v/>
      </c>
      <c r="P3775" s="14">
        <f>F3775*G3775</f>
        <v/>
      </c>
      <c r="Q3775" s="14">
        <f>J3775*G3775</f>
        <v/>
      </c>
      <c r="R3775" s="14">
        <f>K3775-Q3775</f>
        <v/>
      </c>
      <c r="S3775" s="3">
        <f>P3775*Assumptions!$B$3/100</f>
        <v/>
      </c>
      <c r="T3775" s="14">
        <f>R3775-S3775</f>
        <v/>
      </c>
      <c r="U3775" s="14">
        <f>L3775*G3775</f>
        <v/>
      </c>
    </row>
    <row r="3776">
      <c r="A3776" s="12" t="inlineStr">
        <is>
          <t>PO-2023-3774</t>
        </is>
      </c>
      <c r="B3776" s="26" t="n">
        <v>45256</v>
      </c>
      <c r="C3776" s="12" t="inlineStr">
        <is>
          <t>VS03</t>
        </is>
      </c>
      <c r="D3776" s="12" t="inlineStr">
        <is>
          <t>GI Pipes</t>
        </is>
      </c>
      <c r="E3776" s="12" t="inlineStr">
        <is>
          <t>N</t>
        </is>
      </c>
      <c r="F3776" s="12" t="n">
        <v>8.31</v>
      </c>
      <c r="G3776" s="17" t="n">
        <v>83879.48</v>
      </c>
      <c r="H3776" s="26" t="n">
        <v>45270</v>
      </c>
      <c r="I3776" s="26" t="n">
        <v>45273</v>
      </c>
      <c r="J3776" s="12" t="n">
        <v>7.91</v>
      </c>
      <c r="K3776" s="17" t="n">
        <v>697038.48</v>
      </c>
      <c r="L3776" s="12" t="n">
        <v>0.17</v>
      </c>
      <c r="M3776" s="12" t="n">
        <v>10</v>
      </c>
      <c r="N3776" s="27">
        <f>F3776-J3776</f>
        <v/>
      </c>
      <c r="O3776" s="16">
        <f>I3776-H3776</f>
        <v/>
      </c>
      <c r="P3776" s="14">
        <f>F3776*G3776</f>
        <v/>
      </c>
      <c r="Q3776" s="14">
        <f>J3776*G3776</f>
        <v/>
      </c>
      <c r="R3776" s="14">
        <f>K3776-Q3776</f>
        <v/>
      </c>
      <c r="S3776" s="3">
        <f>P3776*Assumptions!$B$3/100</f>
        <v/>
      </c>
      <c r="T3776" s="14">
        <f>R3776-S3776</f>
        <v/>
      </c>
      <c r="U3776" s="14">
        <f>L3776*G3776</f>
        <v/>
      </c>
    </row>
    <row r="3777">
      <c r="A3777" s="12" t="inlineStr">
        <is>
          <t>PO-2023-3775</t>
        </is>
      </c>
      <c r="B3777" s="26" t="n">
        <v>44538</v>
      </c>
      <c r="C3777" s="12" t="inlineStr">
        <is>
          <t>VS08</t>
        </is>
      </c>
      <c r="D3777" s="12" t="inlineStr">
        <is>
          <t>MS Pipes</t>
        </is>
      </c>
      <c r="E3777" s="12" t="inlineStr">
        <is>
          <t>N</t>
        </is>
      </c>
      <c r="F3777" s="12" t="n">
        <v>39.08</v>
      </c>
      <c r="G3777" s="17" t="n">
        <v>68104.91</v>
      </c>
      <c r="H3777" s="26" t="n">
        <v>44541</v>
      </c>
      <c r="I3777" s="26" t="n">
        <v>44543</v>
      </c>
      <c r="J3777" s="12" t="n">
        <v>38.72</v>
      </c>
      <c r="K3777" s="17" t="n">
        <v>2661539.88</v>
      </c>
      <c r="L3777" s="12" t="n">
        <v>0</v>
      </c>
      <c r="M3777" s="12" t="n">
        <v>0</v>
      </c>
      <c r="N3777" s="27">
        <f>F3777-J3777</f>
        <v/>
      </c>
      <c r="O3777" s="16">
        <f>I3777-H3777</f>
        <v/>
      </c>
      <c r="P3777" s="14">
        <f>F3777*G3777</f>
        <v/>
      </c>
      <c r="Q3777" s="14">
        <f>J3777*G3777</f>
        <v/>
      </c>
      <c r="R3777" s="14">
        <f>K3777-Q3777</f>
        <v/>
      </c>
      <c r="S3777" s="3">
        <f>P3777*Assumptions!$B$3/100</f>
        <v/>
      </c>
      <c r="T3777" s="14">
        <f>R3777-S3777</f>
        <v/>
      </c>
      <c r="U3777" s="14">
        <f>L3777*G3777</f>
        <v/>
      </c>
    </row>
    <row r="3778">
      <c r="A3778" s="12" t="inlineStr">
        <is>
          <t>PO-2023-3776</t>
        </is>
      </c>
      <c r="B3778" s="26" t="n">
        <v>45127</v>
      </c>
      <c r="C3778" s="12" t="inlineStr">
        <is>
          <t>VS25</t>
        </is>
      </c>
      <c r="D3778" s="12" t="inlineStr">
        <is>
          <t>MS Pipes</t>
        </is>
      </c>
      <c r="E3778" s="12" t="inlineStr">
        <is>
          <t>N</t>
        </is>
      </c>
      <c r="F3778" s="12" t="n">
        <v>15.21</v>
      </c>
      <c r="G3778" s="17" t="n">
        <v>62714.09</v>
      </c>
      <c r="H3778" s="26" t="n">
        <v>45136</v>
      </c>
      <c r="I3778" s="26" t="n">
        <v>45139</v>
      </c>
      <c r="J3778" s="12" t="n">
        <v>15.07</v>
      </c>
      <c r="K3778" s="17" t="n">
        <v>953881.3100000001</v>
      </c>
      <c r="L3778" s="12" t="n">
        <v>0</v>
      </c>
      <c r="M3778" s="12" t="n">
        <v>10</v>
      </c>
      <c r="N3778" s="27">
        <f>F3778-J3778</f>
        <v/>
      </c>
      <c r="O3778" s="16">
        <f>I3778-H3778</f>
        <v/>
      </c>
      <c r="P3778" s="14">
        <f>F3778*G3778</f>
        <v/>
      </c>
      <c r="Q3778" s="14">
        <f>J3778*G3778</f>
        <v/>
      </c>
      <c r="R3778" s="14">
        <f>K3778-Q3778</f>
        <v/>
      </c>
      <c r="S3778" s="3">
        <f>P3778*Assumptions!$B$3/100</f>
        <v/>
      </c>
      <c r="T3778" s="14">
        <f>R3778-S3778</f>
        <v/>
      </c>
      <c r="U3778" s="14">
        <f>L3778*G3778</f>
        <v/>
      </c>
    </row>
    <row r="3779">
      <c r="A3779" s="12" t="inlineStr">
        <is>
          <t>PO-2023-3777</t>
        </is>
      </c>
      <c r="B3779" s="26" t="n">
        <v>45074</v>
      </c>
      <c r="C3779" s="12" t="inlineStr">
        <is>
          <t>VS03</t>
        </is>
      </c>
      <c r="D3779" s="12" t="inlineStr">
        <is>
          <t>MS Flats</t>
        </is>
      </c>
      <c r="E3779" s="12" t="inlineStr">
        <is>
          <t>N</t>
        </is>
      </c>
      <c r="F3779" s="12" t="n">
        <v>45.07</v>
      </c>
      <c r="G3779" s="17" t="n">
        <v>64575.7</v>
      </c>
      <c r="H3779" s="26" t="n">
        <v>45080</v>
      </c>
      <c r="I3779" s="26" t="n">
        <v>45086</v>
      </c>
      <c r="J3779" s="12" t="n">
        <v>43.18</v>
      </c>
      <c r="K3779" s="17" t="n">
        <v>2910426.8</v>
      </c>
      <c r="L3779" s="12" t="n">
        <v>1.51</v>
      </c>
      <c r="M3779" s="12" t="n">
        <v>0</v>
      </c>
      <c r="N3779" s="27">
        <f>F3779-J3779</f>
        <v/>
      </c>
      <c r="O3779" s="16">
        <f>I3779-H3779</f>
        <v/>
      </c>
      <c r="P3779" s="14">
        <f>F3779*G3779</f>
        <v/>
      </c>
      <c r="Q3779" s="14">
        <f>J3779*G3779</f>
        <v/>
      </c>
      <c r="R3779" s="14">
        <f>K3779-Q3779</f>
        <v/>
      </c>
      <c r="S3779" s="3">
        <f>P3779*Assumptions!$B$3/100</f>
        <v/>
      </c>
      <c r="T3779" s="14">
        <f>R3779-S3779</f>
        <v/>
      </c>
      <c r="U3779" s="14">
        <f>L3779*G3779</f>
        <v/>
      </c>
    </row>
    <row r="3780">
      <c r="A3780" s="12" t="inlineStr">
        <is>
          <t>PO-2023-3778</t>
        </is>
      </c>
      <c r="B3780" s="26" t="n">
        <v>45106</v>
      </c>
      <c r="C3780" s="12" t="inlineStr">
        <is>
          <t>VS18</t>
        </is>
      </c>
      <c r="D3780" s="12" t="inlineStr">
        <is>
          <t>GI Wire</t>
        </is>
      </c>
      <c r="E3780" s="12" t="inlineStr">
        <is>
          <t>N</t>
        </is>
      </c>
      <c r="F3780" s="12" t="n">
        <v>30.01</v>
      </c>
      <c r="G3780" s="17" t="n">
        <v>63423.53</v>
      </c>
      <c r="H3780" s="26" t="n">
        <v>45109</v>
      </c>
      <c r="I3780" s="26" t="n">
        <v>45111</v>
      </c>
      <c r="J3780" s="12" t="n">
        <v>29.73</v>
      </c>
      <c r="K3780" s="17" t="n">
        <v>1903340.14</v>
      </c>
      <c r="L3780" s="12" t="n">
        <v>0</v>
      </c>
      <c r="M3780" s="12" t="n">
        <v>0</v>
      </c>
      <c r="N3780" s="27">
        <f>F3780-J3780</f>
        <v/>
      </c>
      <c r="O3780" s="16">
        <f>I3780-H3780</f>
        <v/>
      </c>
      <c r="P3780" s="14">
        <f>F3780*G3780</f>
        <v/>
      </c>
      <c r="Q3780" s="14">
        <f>J3780*G3780</f>
        <v/>
      </c>
      <c r="R3780" s="14">
        <f>K3780-Q3780</f>
        <v/>
      </c>
      <c r="S3780" s="3">
        <f>P3780*Assumptions!$B$3/100</f>
        <v/>
      </c>
      <c r="T3780" s="14">
        <f>R3780-S3780</f>
        <v/>
      </c>
      <c r="U3780" s="14">
        <f>L3780*G3780</f>
        <v/>
      </c>
    </row>
    <row r="3781">
      <c r="A3781" s="12" t="inlineStr">
        <is>
          <t>PO-2023-3779</t>
        </is>
      </c>
      <c r="B3781" s="26" t="n">
        <v>45008</v>
      </c>
      <c r="C3781" s="12" t="inlineStr">
        <is>
          <t>VS31</t>
        </is>
      </c>
      <c r="D3781" s="12" t="inlineStr">
        <is>
          <t>Fasteners &amp; Fittings</t>
        </is>
      </c>
      <c r="E3781" s="12" t="inlineStr">
        <is>
          <t>N</t>
        </is>
      </c>
      <c r="F3781" s="12" t="n">
        <v>33.63</v>
      </c>
      <c r="G3781" s="17" t="n">
        <v>46668.99</v>
      </c>
      <c r="H3781" s="26" t="n">
        <v>45017</v>
      </c>
      <c r="I3781" s="26" t="n">
        <v>45019</v>
      </c>
      <c r="J3781" s="12" t="n">
        <v>33.56</v>
      </c>
      <c r="K3781" s="17" t="n">
        <v>1569478.13</v>
      </c>
      <c r="L3781" s="12" t="n">
        <v>0</v>
      </c>
      <c r="M3781" s="12" t="n">
        <v>24</v>
      </c>
      <c r="N3781" s="27">
        <f>F3781-J3781</f>
        <v/>
      </c>
      <c r="O3781" s="16">
        <f>I3781-H3781</f>
        <v/>
      </c>
      <c r="P3781" s="14">
        <f>F3781*G3781</f>
        <v/>
      </c>
      <c r="Q3781" s="14">
        <f>J3781*G3781</f>
        <v/>
      </c>
      <c r="R3781" s="14">
        <f>K3781-Q3781</f>
        <v/>
      </c>
      <c r="S3781" s="3">
        <f>P3781*Assumptions!$B$3/100</f>
        <v/>
      </c>
      <c r="T3781" s="14">
        <f>R3781-S3781</f>
        <v/>
      </c>
      <c r="U3781" s="14">
        <f>L3781*G3781</f>
        <v/>
      </c>
    </row>
    <row r="3782">
      <c r="A3782" s="12" t="inlineStr">
        <is>
          <t>PO-2023-3780</t>
        </is>
      </c>
      <c r="B3782" s="26" t="n">
        <v>45161</v>
      </c>
      <c r="C3782" s="12" t="inlineStr">
        <is>
          <t>VS08</t>
        </is>
      </c>
      <c r="D3782" s="12" t="inlineStr">
        <is>
          <t>Spring Steel</t>
        </is>
      </c>
      <c r="E3782" s="12" t="inlineStr">
        <is>
          <t>N</t>
        </is>
      </c>
      <c r="F3782" s="12" t="n">
        <v>46.72</v>
      </c>
      <c r="G3782" s="17" t="n">
        <v>58727.73</v>
      </c>
      <c r="H3782" s="26" t="n">
        <v>45166</v>
      </c>
      <c r="I3782" s="26" t="n">
        <v>45169</v>
      </c>
      <c r="J3782" s="12" t="n">
        <v>46.46</v>
      </c>
      <c r="K3782" s="17" t="n">
        <v>2743759.55</v>
      </c>
      <c r="L3782" s="12" t="n">
        <v>0</v>
      </c>
      <c r="M3782" s="12" t="n">
        <v>0</v>
      </c>
      <c r="N3782" s="27">
        <f>F3782-J3782</f>
        <v/>
      </c>
      <c r="O3782" s="16">
        <f>I3782-H3782</f>
        <v/>
      </c>
      <c r="P3782" s="14">
        <f>F3782*G3782</f>
        <v/>
      </c>
      <c r="Q3782" s="14">
        <f>J3782*G3782</f>
        <v/>
      </c>
      <c r="R3782" s="14">
        <f>K3782-Q3782</f>
        <v/>
      </c>
      <c r="S3782" s="3">
        <f>P3782*Assumptions!$B$3/100</f>
        <v/>
      </c>
      <c r="T3782" s="14">
        <f>R3782-S3782</f>
        <v/>
      </c>
      <c r="U3782" s="14">
        <f>L3782*G3782</f>
        <v/>
      </c>
    </row>
    <row r="3783">
      <c r="A3783" s="12" t="inlineStr">
        <is>
          <t>PO-2023-3781</t>
        </is>
      </c>
      <c r="B3783" s="26" t="n">
        <v>45058</v>
      </c>
      <c r="C3783" s="12" t="inlineStr">
        <is>
          <t>VS27</t>
        </is>
      </c>
      <c r="D3783" s="12" t="inlineStr">
        <is>
          <t>Structural Steel</t>
        </is>
      </c>
      <c r="E3783" s="12" t="inlineStr">
        <is>
          <t>N</t>
        </is>
      </c>
      <c r="F3783" s="12" t="n">
        <v>45.65</v>
      </c>
      <c r="G3783" s="17" t="n">
        <v>93177.98</v>
      </c>
      <c r="H3783" s="26" t="n">
        <v>45073</v>
      </c>
      <c r="I3783" s="26" t="n">
        <v>45075</v>
      </c>
      <c r="J3783" s="12" t="n">
        <v>45.45</v>
      </c>
      <c r="K3783" s="17" t="n">
        <v>4253574.79</v>
      </c>
      <c r="L3783" s="12" t="n">
        <v>0</v>
      </c>
      <c r="M3783" s="12" t="n">
        <v>0</v>
      </c>
      <c r="N3783" s="27">
        <f>F3783-J3783</f>
        <v/>
      </c>
      <c r="O3783" s="16">
        <f>I3783-H3783</f>
        <v/>
      </c>
      <c r="P3783" s="14">
        <f>F3783*G3783</f>
        <v/>
      </c>
      <c r="Q3783" s="14">
        <f>J3783*G3783</f>
        <v/>
      </c>
      <c r="R3783" s="14">
        <f>K3783-Q3783</f>
        <v/>
      </c>
      <c r="S3783" s="3">
        <f>P3783*Assumptions!$B$3/100</f>
        <v/>
      </c>
      <c r="T3783" s="14">
        <f>R3783-S3783</f>
        <v/>
      </c>
      <c r="U3783" s="14">
        <f>L3783*G3783</f>
        <v/>
      </c>
    </row>
    <row r="3784">
      <c r="A3784" s="12" t="inlineStr">
        <is>
          <t>PO-2023-3782</t>
        </is>
      </c>
      <c r="B3784" s="26" t="n">
        <v>44363</v>
      </c>
      <c r="C3784" s="12" t="inlineStr">
        <is>
          <t>VS02</t>
        </is>
      </c>
      <c r="D3784" s="12" t="inlineStr">
        <is>
          <t>Hex Bars</t>
        </is>
      </c>
      <c r="E3784" s="12" t="inlineStr">
        <is>
          <t>N</t>
        </is>
      </c>
      <c r="F3784" s="12" t="n">
        <v>23.15</v>
      </c>
      <c r="G3784" s="17" t="n">
        <v>93528.2</v>
      </c>
      <c r="H3784" s="26" t="n">
        <v>44372</v>
      </c>
      <c r="I3784" s="26" t="n">
        <v>44373</v>
      </c>
      <c r="J3784" s="12" t="n">
        <v>22.97</v>
      </c>
      <c r="K3784" s="17" t="n">
        <v>2165177.83</v>
      </c>
      <c r="L3784" s="12" t="n">
        <v>0</v>
      </c>
      <c r="M3784" s="12" t="n">
        <v>0</v>
      </c>
      <c r="N3784" s="27">
        <f>F3784-J3784</f>
        <v/>
      </c>
      <c r="O3784" s="16">
        <f>I3784-H3784</f>
        <v/>
      </c>
      <c r="P3784" s="14">
        <f>F3784*G3784</f>
        <v/>
      </c>
      <c r="Q3784" s="14">
        <f>J3784*G3784</f>
        <v/>
      </c>
      <c r="R3784" s="14">
        <f>K3784-Q3784</f>
        <v/>
      </c>
      <c r="S3784" s="3">
        <f>P3784*Assumptions!$B$3/100</f>
        <v/>
      </c>
      <c r="T3784" s="14">
        <f>R3784-S3784</f>
        <v/>
      </c>
      <c r="U3784" s="14">
        <f>L3784*G3784</f>
        <v/>
      </c>
    </row>
    <row r="3785">
      <c r="A3785" s="12" t="inlineStr">
        <is>
          <t>PO-2023-3783</t>
        </is>
      </c>
      <c r="B3785" s="26" t="n">
        <v>44870</v>
      </c>
      <c r="C3785" s="12" t="inlineStr">
        <is>
          <t>VS14</t>
        </is>
      </c>
      <c r="D3785" s="12" t="inlineStr">
        <is>
          <t>Hex Bars</t>
        </is>
      </c>
      <c r="E3785" s="12" t="inlineStr">
        <is>
          <t>N</t>
        </is>
      </c>
      <c r="F3785" s="12" t="n">
        <v>38.24</v>
      </c>
      <c r="G3785" s="17" t="n">
        <v>95718.96000000001</v>
      </c>
      <c r="H3785" s="26" t="n">
        <v>44885</v>
      </c>
      <c r="I3785" s="26" t="n">
        <v>44887</v>
      </c>
      <c r="J3785" s="12" t="n">
        <v>38.2</v>
      </c>
      <c r="K3785" s="17" t="n">
        <v>3660293.03</v>
      </c>
      <c r="L3785" s="12" t="n">
        <v>0</v>
      </c>
      <c r="M3785" s="12" t="n">
        <v>4</v>
      </c>
      <c r="N3785" s="27">
        <f>F3785-J3785</f>
        <v/>
      </c>
      <c r="O3785" s="16">
        <f>I3785-H3785</f>
        <v/>
      </c>
      <c r="P3785" s="14">
        <f>F3785*G3785</f>
        <v/>
      </c>
      <c r="Q3785" s="14">
        <f>J3785*G3785</f>
        <v/>
      </c>
      <c r="R3785" s="14">
        <f>K3785-Q3785</f>
        <v/>
      </c>
      <c r="S3785" s="3">
        <f>P3785*Assumptions!$B$3/100</f>
        <v/>
      </c>
      <c r="T3785" s="14">
        <f>R3785-S3785</f>
        <v/>
      </c>
      <c r="U3785" s="14">
        <f>L3785*G3785</f>
        <v/>
      </c>
    </row>
    <row r="3786">
      <c r="A3786" s="12" t="inlineStr">
        <is>
          <t>PO-2023-3784</t>
        </is>
      </c>
      <c r="B3786" s="26" t="n">
        <v>44292</v>
      </c>
      <c r="C3786" s="12" t="inlineStr">
        <is>
          <t>VS25</t>
        </is>
      </c>
      <c r="D3786" s="12" t="inlineStr">
        <is>
          <t>Structural Steel</t>
        </is>
      </c>
      <c r="E3786" s="12" t="inlineStr">
        <is>
          <t>N</t>
        </is>
      </c>
      <c r="F3786" s="12" t="n">
        <v>37.82</v>
      </c>
      <c r="G3786" s="17" t="n">
        <v>87948.08</v>
      </c>
      <c r="H3786" s="26" t="n">
        <v>44298</v>
      </c>
      <c r="I3786" s="26" t="n">
        <v>44300</v>
      </c>
      <c r="J3786" s="12" t="n">
        <v>37.65</v>
      </c>
      <c r="K3786" s="17" t="n">
        <v>3326196.39</v>
      </c>
      <c r="L3786" s="12" t="n">
        <v>0</v>
      </c>
      <c r="M3786" s="12" t="n">
        <v>17</v>
      </c>
      <c r="N3786" s="27">
        <f>F3786-J3786</f>
        <v/>
      </c>
      <c r="O3786" s="16">
        <f>I3786-H3786</f>
        <v/>
      </c>
      <c r="P3786" s="14">
        <f>F3786*G3786</f>
        <v/>
      </c>
      <c r="Q3786" s="14">
        <f>J3786*G3786</f>
        <v/>
      </c>
      <c r="R3786" s="14">
        <f>K3786-Q3786</f>
        <v/>
      </c>
      <c r="S3786" s="3">
        <f>P3786*Assumptions!$B$3/100</f>
        <v/>
      </c>
      <c r="T3786" s="14">
        <f>R3786-S3786</f>
        <v/>
      </c>
      <c r="U3786" s="14">
        <f>L3786*G3786</f>
        <v/>
      </c>
    </row>
    <row r="3787">
      <c r="A3787" s="12" t="inlineStr">
        <is>
          <t>PO-2023-3785</t>
        </is>
      </c>
      <c r="B3787" s="26" t="n">
        <v>44820</v>
      </c>
      <c r="C3787" s="12" t="inlineStr">
        <is>
          <t>VS11</t>
        </is>
      </c>
      <c r="D3787" s="12" t="inlineStr">
        <is>
          <t>Hex Bars</t>
        </is>
      </c>
      <c r="E3787" s="12" t="inlineStr">
        <is>
          <t>N</t>
        </is>
      </c>
      <c r="F3787" s="12" t="n">
        <v>34.99</v>
      </c>
      <c r="G3787" s="17" t="n">
        <v>110134.35</v>
      </c>
      <c r="H3787" s="26" t="n">
        <v>44831</v>
      </c>
      <c r="I3787" s="26" t="n">
        <v>44831</v>
      </c>
      <c r="J3787" s="12" t="n">
        <v>34.94</v>
      </c>
      <c r="K3787" s="17" t="n">
        <v>3853600.91</v>
      </c>
      <c r="L3787" s="12" t="n">
        <v>0</v>
      </c>
      <c r="M3787" s="12" t="n">
        <v>21</v>
      </c>
      <c r="N3787" s="27">
        <f>F3787-J3787</f>
        <v/>
      </c>
      <c r="O3787" s="16">
        <f>I3787-H3787</f>
        <v/>
      </c>
      <c r="P3787" s="14">
        <f>F3787*G3787</f>
        <v/>
      </c>
      <c r="Q3787" s="14">
        <f>J3787*G3787</f>
        <v/>
      </c>
      <c r="R3787" s="14">
        <f>K3787-Q3787</f>
        <v/>
      </c>
      <c r="S3787" s="3">
        <f>P3787*Assumptions!$B$3/100</f>
        <v/>
      </c>
      <c r="T3787" s="14">
        <f>R3787-S3787</f>
        <v/>
      </c>
      <c r="U3787" s="14">
        <f>L3787*G3787</f>
        <v/>
      </c>
    </row>
    <row r="3788">
      <c r="A3788" s="12" t="inlineStr">
        <is>
          <t>PO-2023-3786</t>
        </is>
      </c>
      <c r="B3788" s="26" t="n">
        <v>45183</v>
      </c>
      <c r="C3788" s="12" t="inlineStr">
        <is>
          <t>VS26</t>
        </is>
      </c>
      <c r="D3788" s="12" t="inlineStr">
        <is>
          <t>MS Pipes</t>
        </is>
      </c>
      <c r="E3788" s="12" t="inlineStr">
        <is>
          <t>N</t>
        </is>
      </c>
      <c r="F3788" s="12" t="n">
        <v>37.35</v>
      </c>
      <c r="G3788" s="17" t="n">
        <v>68618.45</v>
      </c>
      <c r="H3788" s="26" t="n">
        <v>45196</v>
      </c>
      <c r="I3788" s="26" t="n">
        <v>45197</v>
      </c>
      <c r="J3788" s="12" t="n">
        <v>36.98</v>
      </c>
      <c r="K3788" s="17" t="n">
        <v>2562899.11</v>
      </c>
      <c r="L3788" s="12" t="n">
        <v>0</v>
      </c>
      <c r="M3788" s="12" t="n">
        <v>24</v>
      </c>
      <c r="N3788" s="27">
        <f>F3788-J3788</f>
        <v/>
      </c>
      <c r="O3788" s="16">
        <f>I3788-H3788</f>
        <v/>
      </c>
      <c r="P3788" s="14">
        <f>F3788*G3788</f>
        <v/>
      </c>
      <c r="Q3788" s="14">
        <f>J3788*G3788</f>
        <v/>
      </c>
      <c r="R3788" s="14">
        <f>K3788-Q3788</f>
        <v/>
      </c>
      <c r="S3788" s="3">
        <f>P3788*Assumptions!$B$3/100</f>
        <v/>
      </c>
      <c r="T3788" s="14">
        <f>R3788-S3788</f>
        <v/>
      </c>
      <c r="U3788" s="14">
        <f>L3788*G3788</f>
        <v/>
      </c>
    </row>
    <row r="3789">
      <c r="A3789" s="12" t="inlineStr">
        <is>
          <t>PO-2023-3787</t>
        </is>
      </c>
      <c r="B3789" s="26" t="n">
        <v>44857</v>
      </c>
      <c r="C3789" s="12" t="inlineStr">
        <is>
          <t>VS02</t>
        </is>
      </c>
      <c r="D3789" s="12" t="inlineStr">
        <is>
          <t>SS Sheets</t>
        </is>
      </c>
      <c r="E3789" s="12" t="inlineStr">
        <is>
          <t>N</t>
        </is>
      </c>
      <c r="F3789" s="12" t="n">
        <v>28.98</v>
      </c>
      <c r="G3789" s="17" t="n">
        <v>55424.92</v>
      </c>
      <c r="H3789" s="26" t="n">
        <v>44861</v>
      </c>
      <c r="I3789" s="26" t="n">
        <v>44862</v>
      </c>
      <c r="J3789" s="12" t="n">
        <v>28.91</v>
      </c>
      <c r="K3789" s="17" t="n">
        <v>1606214.18</v>
      </c>
      <c r="L3789" s="12" t="n">
        <v>0</v>
      </c>
      <c r="M3789" s="12" t="n">
        <v>0</v>
      </c>
      <c r="N3789" s="27">
        <f>F3789-J3789</f>
        <v/>
      </c>
      <c r="O3789" s="16">
        <f>I3789-H3789</f>
        <v/>
      </c>
      <c r="P3789" s="14">
        <f>F3789*G3789</f>
        <v/>
      </c>
      <c r="Q3789" s="14">
        <f>J3789*G3789</f>
        <v/>
      </c>
      <c r="R3789" s="14">
        <f>K3789-Q3789</f>
        <v/>
      </c>
      <c r="S3789" s="3">
        <f>P3789*Assumptions!$B$3/100</f>
        <v/>
      </c>
      <c r="T3789" s="14">
        <f>R3789-S3789</f>
        <v/>
      </c>
      <c r="U3789" s="14">
        <f>L3789*G3789</f>
        <v/>
      </c>
    </row>
    <row r="3790">
      <c r="A3790" s="12" t="inlineStr">
        <is>
          <t>PO-2023-3788</t>
        </is>
      </c>
      <c r="B3790" s="26" t="n">
        <v>45129</v>
      </c>
      <c r="C3790" s="12" t="inlineStr">
        <is>
          <t>VS04</t>
        </is>
      </c>
      <c r="D3790" s="12" t="inlineStr">
        <is>
          <t>CR Sheets</t>
        </is>
      </c>
      <c r="E3790" s="12" t="inlineStr">
        <is>
          <t>N</t>
        </is>
      </c>
      <c r="F3790" s="12" t="n">
        <v>32.75</v>
      </c>
      <c r="G3790" s="17" t="n">
        <v>87077.58</v>
      </c>
      <c r="H3790" s="26" t="n">
        <v>45144</v>
      </c>
      <c r="I3790" s="26" t="n">
        <v>45145</v>
      </c>
      <c r="J3790" s="12" t="n">
        <v>32.62</v>
      </c>
      <c r="K3790" s="17" t="n">
        <v>2851790.75</v>
      </c>
      <c r="L3790" s="12" t="n">
        <v>0</v>
      </c>
      <c r="M3790" s="12" t="n">
        <v>11</v>
      </c>
      <c r="N3790" s="27">
        <f>F3790-J3790</f>
        <v/>
      </c>
      <c r="O3790" s="16">
        <f>I3790-H3790</f>
        <v/>
      </c>
      <c r="P3790" s="14">
        <f>F3790*G3790</f>
        <v/>
      </c>
      <c r="Q3790" s="14">
        <f>J3790*G3790</f>
        <v/>
      </c>
      <c r="R3790" s="14">
        <f>K3790-Q3790</f>
        <v/>
      </c>
      <c r="S3790" s="3">
        <f>P3790*Assumptions!$B$3/100</f>
        <v/>
      </c>
      <c r="T3790" s="14">
        <f>R3790-S3790</f>
        <v/>
      </c>
      <c r="U3790" s="14">
        <f>L3790*G3790</f>
        <v/>
      </c>
    </row>
    <row r="3791">
      <c r="A3791" s="12" t="inlineStr">
        <is>
          <t>PO-2023-3789</t>
        </is>
      </c>
      <c r="B3791" s="26" t="n">
        <v>44356</v>
      </c>
      <c r="C3791" s="12" t="inlineStr">
        <is>
          <t>VS26</t>
        </is>
      </c>
      <c r="D3791" s="12" t="inlineStr">
        <is>
          <t>Fasteners &amp; Fittings</t>
        </is>
      </c>
      <c r="E3791" s="12" t="inlineStr">
        <is>
          <t>Y</t>
        </is>
      </c>
      <c r="F3791" s="12" t="n">
        <v>2.46</v>
      </c>
      <c r="G3791" s="17" t="n">
        <v>74306.56</v>
      </c>
      <c r="H3791" s="26" t="n">
        <v>44361</v>
      </c>
      <c r="I3791" s="26" t="n">
        <v>44362</v>
      </c>
      <c r="J3791" s="12" t="n">
        <v>2.44</v>
      </c>
      <c r="K3791" s="17" t="n">
        <v>182794.14</v>
      </c>
      <c r="L3791" s="12" t="n">
        <v>0</v>
      </c>
      <c r="M3791" s="12" t="n">
        <v>23</v>
      </c>
      <c r="N3791" s="27">
        <f>F3791-J3791</f>
        <v/>
      </c>
      <c r="O3791" s="16">
        <f>I3791-H3791</f>
        <v/>
      </c>
      <c r="P3791" s="14">
        <f>F3791*G3791</f>
        <v/>
      </c>
      <c r="Q3791" s="14">
        <f>J3791*G3791</f>
        <v/>
      </c>
      <c r="R3791" s="14">
        <f>K3791-Q3791</f>
        <v/>
      </c>
      <c r="S3791" s="3">
        <f>P3791*Assumptions!$B$3/100</f>
        <v/>
      </c>
      <c r="T3791" s="14">
        <f>R3791-S3791</f>
        <v/>
      </c>
      <c r="U3791" s="14">
        <f>L3791*G3791</f>
        <v/>
      </c>
    </row>
    <row r="3792">
      <c r="A3792" s="12" t="inlineStr">
        <is>
          <t>PO-2023-3790</t>
        </is>
      </c>
      <c r="B3792" s="26" t="n">
        <v>44322</v>
      </c>
      <c r="C3792" s="12" t="inlineStr">
        <is>
          <t>VS05</t>
        </is>
      </c>
      <c r="D3792" s="12" t="inlineStr">
        <is>
          <t>MS Rods</t>
        </is>
      </c>
      <c r="E3792" s="12" t="inlineStr">
        <is>
          <t>N</t>
        </is>
      </c>
      <c r="F3792" s="12" t="n">
        <v>38.39</v>
      </c>
      <c r="G3792" s="17" t="n">
        <v>88341.03</v>
      </c>
      <c r="H3792" s="26" t="n">
        <v>44335</v>
      </c>
      <c r="I3792" s="26" t="n">
        <v>44338</v>
      </c>
      <c r="J3792" s="12" t="n">
        <v>38.21</v>
      </c>
      <c r="K3792" s="17" t="n">
        <v>3391412.14</v>
      </c>
      <c r="L3792" s="12" t="n">
        <v>0</v>
      </c>
      <c r="M3792" s="12" t="n">
        <v>9</v>
      </c>
      <c r="N3792" s="27">
        <f>F3792-J3792</f>
        <v/>
      </c>
      <c r="O3792" s="16">
        <f>I3792-H3792</f>
        <v/>
      </c>
      <c r="P3792" s="14">
        <f>F3792*G3792</f>
        <v/>
      </c>
      <c r="Q3792" s="14">
        <f>J3792*G3792</f>
        <v/>
      </c>
      <c r="R3792" s="14">
        <f>K3792-Q3792</f>
        <v/>
      </c>
      <c r="S3792" s="3">
        <f>P3792*Assumptions!$B$3/100</f>
        <v/>
      </c>
      <c r="T3792" s="14">
        <f>R3792-S3792</f>
        <v/>
      </c>
      <c r="U3792" s="14">
        <f>L3792*G3792</f>
        <v/>
      </c>
    </row>
    <row r="3793">
      <c r="A3793" s="12" t="inlineStr">
        <is>
          <t>PO-2023-3791</t>
        </is>
      </c>
      <c r="B3793" s="26" t="n">
        <v>44227</v>
      </c>
      <c r="C3793" s="12" t="inlineStr">
        <is>
          <t>VS31</t>
        </is>
      </c>
      <c r="D3793" s="12" t="inlineStr">
        <is>
          <t>GI Sheets</t>
        </is>
      </c>
      <c r="E3793" s="12" t="inlineStr">
        <is>
          <t>Y</t>
        </is>
      </c>
      <c r="F3793" s="12" t="n">
        <v>47.23</v>
      </c>
      <c r="G3793" s="17" t="n">
        <v>88516.24000000001</v>
      </c>
      <c r="H3793" s="26" t="n">
        <v>44232</v>
      </c>
      <c r="I3793" s="26" t="n">
        <v>44232</v>
      </c>
      <c r="J3793" s="12" t="n">
        <v>46.93</v>
      </c>
      <c r="K3793" s="17" t="n">
        <v>4180622.02</v>
      </c>
      <c r="L3793" s="12" t="n">
        <v>0</v>
      </c>
      <c r="M3793" s="12" t="n">
        <v>11</v>
      </c>
      <c r="N3793" s="27">
        <f>F3793-J3793</f>
        <v/>
      </c>
      <c r="O3793" s="16">
        <f>I3793-H3793</f>
        <v/>
      </c>
      <c r="P3793" s="14">
        <f>F3793*G3793</f>
        <v/>
      </c>
      <c r="Q3793" s="14">
        <f>J3793*G3793</f>
        <v/>
      </c>
      <c r="R3793" s="14">
        <f>K3793-Q3793</f>
        <v/>
      </c>
      <c r="S3793" s="3">
        <f>P3793*Assumptions!$B$3/100</f>
        <v/>
      </c>
      <c r="T3793" s="14">
        <f>R3793-S3793</f>
        <v/>
      </c>
      <c r="U3793" s="14">
        <f>L3793*G3793</f>
        <v/>
      </c>
    </row>
    <row r="3794">
      <c r="A3794" s="12" t="inlineStr">
        <is>
          <t>PO-2023-3792</t>
        </is>
      </c>
      <c r="B3794" s="26" t="n">
        <v>45239</v>
      </c>
      <c r="C3794" s="12" t="inlineStr">
        <is>
          <t>VS06</t>
        </is>
      </c>
      <c r="D3794" s="12" t="inlineStr">
        <is>
          <t>Spring Steel</t>
        </is>
      </c>
      <c r="E3794" s="12" t="inlineStr">
        <is>
          <t>N</t>
        </is>
      </c>
      <c r="F3794" s="12" t="n">
        <v>46.59</v>
      </c>
      <c r="G3794" s="17" t="n">
        <v>81790.35000000001</v>
      </c>
      <c r="H3794" s="26" t="n">
        <v>45250</v>
      </c>
      <c r="I3794" s="26" t="n">
        <v>45252</v>
      </c>
      <c r="J3794" s="12" t="n">
        <v>46.5</v>
      </c>
      <c r="K3794" s="17" t="n">
        <v>3810612.41</v>
      </c>
      <c r="L3794" s="12" t="n">
        <v>0</v>
      </c>
      <c r="M3794" s="12" t="n">
        <v>6</v>
      </c>
      <c r="N3794" s="27">
        <f>F3794-J3794</f>
        <v/>
      </c>
      <c r="O3794" s="16">
        <f>I3794-H3794</f>
        <v/>
      </c>
      <c r="P3794" s="14">
        <f>F3794*G3794</f>
        <v/>
      </c>
      <c r="Q3794" s="14">
        <f>J3794*G3794</f>
        <v/>
      </c>
      <c r="R3794" s="14">
        <f>K3794-Q3794</f>
        <v/>
      </c>
      <c r="S3794" s="3">
        <f>P3794*Assumptions!$B$3/100</f>
        <v/>
      </c>
      <c r="T3794" s="14">
        <f>R3794-S3794</f>
        <v/>
      </c>
      <c r="U3794" s="14">
        <f>L3794*G3794</f>
        <v/>
      </c>
    </row>
    <row r="3795">
      <c r="A3795" s="12" t="inlineStr">
        <is>
          <t>PO-2023-3793</t>
        </is>
      </c>
      <c r="B3795" s="26" t="n">
        <v>44512</v>
      </c>
      <c r="C3795" s="12" t="inlineStr">
        <is>
          <t>VS27</t>
        </is>
      </c>
      <c r="D3795" s="12" t="inlineStr">
        <is>
          <t>MS Flats</t>
        </is>
      </c>
      <c r="E3795" s="12" t="inlineStr">
        <is>
          <t>N</t>
        </is>
      </c>
      <c r="F3795" s="12" t="n">
        <v>48.32</v>
      </c>
      <c r="G3795" s="17" t="n">
        <v>102709.83</v>
      </c>
      <c r="H3795" s="26" t="n">
        <v>44527</v>
      </c>
      <c r="I3795" s="26" t="n">
        <v>44530</v>
      </c>
      <c r="J3795" s="12" t="n">
        <v>47.98</v>
      </c>
      <c r="K3795" s="17" t="n">
        <v>4962938.99</v>
      </c>
      <c r="L3795" s="12" t="n">
        <v>0</v>
      </c>
      <c r="M3795" s="12" t="n">
        <v>15</v>
      </c>
      <c r="N3795" s="27">
        <f>F3795-J3795</f>
        <v/>
      </c>
      <c r="O3795" s="16">
        <f>I3795-H3795</f>
        <v/>
      </c>
      <c r="P3795" s="14">
        <f>F3795*G3795</f>
        <v/>
      </c>
      <c r="Q3795" s="14">
        <f>J3795*G3795</f>
        <v/>
      </c>
      <c r="R3795" s="14">
        <f>K3795-Q3795</f>
        <v/>
      </c>
      <c r="S3795" s="3">
        <f>P3795*Assumptions!$B$3/100</f>
        <v/>
      </c>
      <c r="T3795" s="14">
        <f>R3795-S3795</f>
        <v/>
      </c>
      <c r="U3795" s="14">
        <f>L3795*G3795</f>
        <v/>
      </c>
    </row>
    <row r="3796">
      <c r="A3796" s="12" t="inlineStr">
        <is>
          <t>PO-2023-3794</t>
        </is>
      </c>
      <c r="B3796" s="26" t="n">
        <v>44674</v>
      </c>
      <c r="C3796" s="12" t="inlineStr">
        <is>
          <t>VS30</t>
        </is>
      </c>
      <c r="D3796" s="12" t="inlineStr">
        <is>
          <t>SS Pipes</t>
        </is>
      </c>
      <c r="E3796" s="12" t="inlineStr">
        <is>
          <t>N</t>
        </is>
      </c>
      <c r="F3796" s="12" t="n">
        <v>23.42</v>
      </c>
      <c r="G3796" s="17" t="n">
        <v>113581.51</v>
      </c>
      <c r="H3796" s="26" t="n">
        <v>44677</v>
      </c>
      <c r="I3796" s="26" t="n">
        <v>44680</v>
      </c>
      <c r="J3796" s="12" t="n">
        <v>23.31</v>
      </c>
      <c r="K3796" s="17" t="n">
        <v>2660078.96</v>
      </c>
      <c r="L3796" s="12" t="n">
        <v>0</v>
      </c>
      <c r="M3796" s="12" t="n">
        <v>10</v>
      </c>
      <c r="N3796" s="27">
        <f>F3796-J3796</f>
        <v/>
      </c>
      <c r="O3796" s="16">
        <f>I3796-H3796</f>
        <v/>
      </c>
      <c r="P3796" s="14">
        <f>F3796*G3796</f>
        <v/>
      </c>
      <c r="Q3796" s="14">
        <f>J3796*G3796</f>
        <v/>
      </c>
      <c r="R3796" s="14">
        <f>K3796-Q3796</f>
        <v/>
      </c>
      <c r="S3796" s="3">
        <f>P3796*Assumptions!$B$3/100</f>
        <v/>
      </c>
      <c r="T3796" s="14">
        <f>R3796-S3796</f>
        <v/>
      </c>
      <c r="U3796" s="14">
        <f>L3796*G3796</f>
        <v/>
      </c>
    </row>
    <row r="3797">
      <c r="A3797" s="12" t="inlineStr">
        <is>
          <t>PO-2023-3795</t>
        </is>
      </c>
      <c r="B3797" s="26" t="n">
        <v>45290</v>
      </c>
      <c r="C3797" s="12" t="inlineStr">
        <is>
          <t>VS28</t>
        </is>
      </c>
      <c r="D3797" s="12" t="inlineStr">
        <is>
          <t>SS Sheets</t>
        </is>
      </c>
      <c r="E3797" s="12" t="inlineStr">
        <is>
          <t>N</t>
        </is>
      </c>
      <c r="F3797" s="12" t="n">
        <v>30.93</v>
      </c>
      <c r="G3797" s="17" t="n">
        <v>57871.18</v>
      </c>
      <c r="H3797" s="26" t="n">
        <v>45302</v>
      </c>
      <c r="I3797" s="26" t="n">
        <v>45305</v>
      </c>
      <c r="J3797" s="12" t="n">
        <v>30.7</v>
      </c>
      <c r="K3797" s="17" t="n">
        <v>1789955.6</v>
      </c>
      <c r="L3797" s="12" t="n">
        <v>0</v>
      </c>
      <c r="M3797" s="12" t="n">
        <v>23</v>
      </c>
      <c r="N3797" s="27">
        <f>F3797-J3797</f>
        <v/>
      </c>
      <c r="O3797" s="16">
        <f>I3797-H3797</f>
        <v/>
      </c>
      <c r="P3797" s="14">
        <f>F3797*G3797</f>
        <v/>
      </c>
      <c r="Q3797" s="14">
        <f>J3797*G3797</f>
        <v/>
      </c>
      <c r="R3797" s="14">
        <f>K3797-Q3797</f>
        <v/>
      </c>
      <c r="S3797" s="3">
        <f>P3797*Assumptions!$B$3/100</f>
        <v/>
      </c>
      <c r="T3797" s="14">
        <f>R3797-S3797</f>
        <v/>
      </c>
      <c r="U3797" s="14">
        <f>L3797*G3797</f>
        <v/>
      </c>
    </row>
    <row r="3798">
      <c r="A3798" s="12" t="inlineStr">
        <is>
          <t>PO-2023-3796</t>
        </is>
      </c>
      <c r="B3798" s="26" t="n">
        <v>44794</v>
      </c>
      <c r="C3798" s="12" t="inlineStr">
        <is>
          <t>VS11</t>
        </is>
      </c>
      <c r="D3798" s="12" t="inlineStr">
        <is>
          <t>MS Pipes</t>
        </is>
      </c>
      <c r="E3798" s="12" t="inlineStr">
        <is>
          <t>N</t>
        </is>
      </c>
      <c r="F3798" s="12" t="n">
        <v>11.11</v>
      </c>
      <c r="G3798" s="17" t="n">
        <v>97159.2</v>
      </c>
      <c r="H3798" s="26" t="n">
        <v>44805</v>
      </c>
      <c r="I3798" s="26" t="n">
        <v>44807</v>
      </c>
      <c r="J3798" s="12" t="n">
        <v>11.03</v>
      </c>
      <c r="K3798" s="17" t="n">
        <v>1079438.71</v>
      </c>
      <c r="L3798" s="12" t="n">
        <v>0</v>
      </c>
      <c r="M3798" s="12" t="n">
        <v>17</v>
      </c>
      <c r="N3798" s="27">
        <f>F3798-J3798</f>
        <v/>
      </c>
      <c r="O3798" s="16">
        <f>I3798-H3798</f>
        <v/>
      </c>
      <c r="P3798" s="14">
        <f>F3798*G3798</f>
        <v/>
      </c>
      <c r="Q3798" s="14">
        <f>J3798*G3798</f>
        <v/>
      </c>
      <c r="R3798" s="14">
        <f>K3798-Q3798</f>
        <v/>
      </c>
      <c r="S3798" s="3">
        <f>P3798*Assumptions!$B$3/100</f>
        <v/>
      </c>
      <c r="T3798" s="14">
        <f>R3798-S3798</f>
        <v/>
      </c>
      <c r="U3798" s="14">
        <f>L3798*G3798</f>
        <v/>
      </c>
    </row>
    <row r="3799">
      <c r="A3799" s="12" t="inlineStr">
        <is>
          <t>PO-2023-3797</t>
        </is>
      </c>
      <c r="B3799" s="26" t="n">
        <v>44677</v>
      </c>
      <c r="C3799" s="12" t="inlineStr">
        <is>
          <t>VS06</t>
        </is>
      </c>
      <c r="D3799" s="12" t="inlineStr">
        <is>
          <t>HR Coils</t>
        </is>
      </c>
      <c r="E3799" s="12" t="inlineStr">
        <is>
          <t>N</t>
        </is>
      </c>
      <c r="F3799" s="12" t="n">
        <v>47.92</v>
      </c>
      <c r="G3799" s="17" t="n">
        <v>67686.52</v>
      </c>
      <c r="H3799" s="26" t="n">
        <v>44690</v>
      </c>
      <c r="I3799" s="26" t="n">
        <v>44691</v>
      </c>
      <c r="J3799" s="12" t="n">
        <v>47.87</v>
      </c>
      <c r="K3799" s="17" t="n">
        <v>3243538.04</v>
      </c>
      <c r="L3799" s="12" t="n">
        <v>0</v>
      </c>
      <c r="M3799" s="12" t="n">
        <v>0</v>
      </c>
      <c r="N3799" s="27">
        <f>F3799-J3799</f>
        <v/>
      </c>
      <c r="O3799" s="16">
        <f>I3799-H3799</f>
        <v/>
      </c>
      <c r="P3799" s="14">
        <f>F3799*G3799</f>
        <v/>
      </c>
      <c r="Q3799" s="14">
        <f>J3799*G3799</f>
        <v/>
      </c>
      <c r="R3799" s="14">
        <f>K3799-Q3799</f>
        <v/>
      </c>
      <c r="S3799" s="3">
        <f>P3799*Assumptions!$B$3/100</f>
        <v/>
      </c>
      <c r="T3799" s="14">
        <f>R3799-S3799</f>
        <v/>
      </c>
      <c r="U3799" s="14">
        <f>L3799*G3799</f>
        <v/>
      </c>
    </row>
    <row r="3800">
      <c r="A3800" s="12" t="inlineStr">
        <is>
          <t>PO-2023-3798</t>
        </is>
      </c>
      <c r="B3800" s="26" t="n">
        <v>44236</v>
      </c>
      <c r="C3800" s="12" t="inlineStr">
        <is>
          <t>VS08</t>
        </is>
      </c>
      <c r="D3800" s="12" t="inlineStr">
        <is>
          <t>SS Sheets</t>
        </is>
      </c>
      <c r="E3800" s="12" t="inlineStr">
        <is>
          <t>Y</t>
        </is>
      </c>
      <c r="F3800" s="12" t="n">
        <v>18.58</v>
      </c>
      <c r="G3800" s="17" t="n">
        <v>87418.56</v>
      </c>
      <c r="H3800" s="26" t="n">
        <v>44245</v>
      </c>
      <c r="I3800" s="26" t="n">
        <v>44245</v>
      </c>
      <c r="J3800" s="12" t="n">
        <v>18.54</v>
      </c>
      <c r="K3800" s="17" t="n">
        <v>1624236.84</v>
      </c>
      <c r="L3800" s="12" t="n">
        <v>0</v>
      </c>
      <c r="M3800" s="12" t="n">
        <v>0</v>
      </c>
      <c r="N3800" s="27">
        <f>F3800-J3800</f>
        <v/>
      </c>
      <c r="O3800" s="16">
        <f>I3800-H3800</f>
        <v/>
      </c>
      <c r="P3800" s="14">
        <f>F3800*G3800</f>
        <v/>
      </c>
      <c r="Q3800" s="14">
        <f>J3800*G3800</f>
        <v/>
      </c>
      <c r="R3800" s="14">
        <f>K3800-Q3800</f>
        <v/>
      </c>
      <c r="S3800" s="3">
        <f>P3800*Assumptions!$B$3/100</f>
        <v/>
      </c>
      <c r="T3800" s="14">
        <f>R3800-S3800</f>
        <v/>
      </c>
      <c r="U3800" s="14">
        <f>L3800*G3800</f>
        <v/>
      </c>
    </row>
    <row r="3801">
      <c r="A3801" s="12" t="inlineStr">
        <is>
          <t>PO-2023-3799</t>
        </is>
      </c>
      <c r="B3801" s="26" t="n">
        <v>45117</v>
      </c>
      <c r="C3801" s="12" t="inlineStr">
        <is>
          <t>VS02</t>
        </is>
      </c>
      <c r="D3801" s="12" t="inlineStr">
        <is>
          <t>MS Rods</t>
        </is>
      </c>
      <c r="E3801" s="12" t="inlineStr">
        <is>
          <t>N</t>
        </is>
      </c>
      <c r="F3801" s="12" t="n">
        <v>30.34</v>
      </c>
      <c r="G3801" s="17" t="n">
        <v>49763.21</v>
      </c>
      <c r="H3801" s="26" t="n">
        <v>45125</v>
      </c>
      <c r="I3801" s="26" t="n">
        <v>45127</v>
      </c>
      <c r="J3801" s="12" t="n">
        <v>30.26</v>
      </c>
      <c r="K3801" s="17" t="n">
        <v>1509815.79</v>
      </c>
      <c r="L3801" s="12" t="n">
        <v>0</v>
      </c>
      <c r="M3801" s="12" t="n">
        <v>0</v>
      </c>
      <c r="N3801" s="27">
        <f>F3801-J3801</f>
        <v/>
      </c>
      <c r="O3801" s="16">
        <f>I3801-H3801</f>
        <v/>
      </c>
      <c r="P3801" s="14">
        <f>F3801*G3801</f>
        <v/>
      </c>
      <c r="Q3801" s="14">
        <f>J3801*G3801</f>
        <v/>
      </c>
      <c r="R3801" s="14">
        <f>K3801-Q3801</f>
        <v/>
      </c>
      <c r="S3801" s="3">
        <f>P3801*Assumptions!$B$3/100</f>
        <v/>
      </c>
      <c r="T3801" s="14">
        <f>R3801-S3801</f>
        <v/>
      </c>
      <c r="U3801" s="14">
        <f>L3801*G3801</f>
        <v/>
      </c>
    </row>
    <row r="3802">
      <c r="A3802" s="12" t="inlineStr">
        <is>
          <t>PO-2023-3800</t>
        </is>
      </c>
      <c r="B3802" s="26" t="n">
        <v>45096</v>
      </c>
      <c r="C3802" s="12" t="inlineStr">
        <is>
          <t>VS13</t>
        </is>
      </c>
      <c r="D3802" s="12" t="inlineStr">
        <is>
          <t>MS Pipes</t>
        </is>
      </c>
      <c r="E3802" s="12" t="inlineStr">
        <is>
          <t>N</t>
        </is>
      </c>
      <c r="F3802" s="12" t="n">
        <v>19.03</v>
      </c>
      <c r="G3802" s="17" t="n">
        <v>119717.56</v>
      </c>
      <c r="H3802" s="26" t="n">
        <v>45107</v>
      </c>
      <c r="I3802" s="26" t="n">
        <v>45107</v>
      </c>
      <c r="J3802" s="12" t="n">
        <v>19.02</v>
      </c>
      <c r="K3802" s="17" t="n">
        <v>2278225.17</v>
      </c>
      <c r="L3802" s="12" t="n">
        <v>0</v>
      </c>
      <c r="M3802" s="12" t="n">
        <v>25</v>
      </c>
      <c r="N3802" s="27">
        <f>F3802-J3802</f>
        <v/>
      </c>
      <c r="O3802" s="16">
        <f>I3802-H3802</f>
        <v/>
      </c>
      <c r="P3802" s="14">
        <f>F3802*G3802</f>
        <v/>
      </c>
      <c r="Q3802" s="14">
        <f>J3802*G3802</f>
        <v/>
      </c>
      <c r="R3802" s="14">
        <f>K3802-Q3802</f>
        <v/>
      </c>
      <c r="S3802" s="3">
        <f>P3802*Assumptions!$B$3/100</f>
        <v/>
      </c>
      <c r="T3802" s="14">
        <f>R3802-S3802</f>
        <v/>
      </c>
      <c r="U3802" s="14">
        <f>L3802*G3802</f>
        <v/>
      </c>
    </row>
    <row r="3803">
      <c r="A3803" s="12" t="inlineStr">
        <is>
          <t>PO-2023-3801</t>
        </is>
      </c>
      <c r="B3803" s="26" t="n">
        <v>44529</v>
      </c>
      <c r="C3803" s="12" t="inlineStr">
        <is>
          <t>VS18</t>
        </is>
      </c>
      <c r="D3803" s="12" t="inlineStr">
        <is>
          <t>HR Coils</t>
        </is>
      </c>
      <c r="E3803" s="12" t="inlineStr">
        <is>
          <t>N</t>
        </is>
      </c>
      <c r="F3803" s="12" t="n">
        <v>28.51</v>
      </c>
      <c r="G3803" s="17" t="n">
        <v>83447.23</v>
      </c>
      <c r="H3803" s="26" t="n">
        <v>44544</v>
      </c>
      <c r="I3803" s="26" t="n">
        <v>44546</v>
      </c>
      <c r="J3803" s="12" t="n">
        <v>28.34</v>
      </c>
      <c r="K3803" s="17" t="n">
        <v>2379080.53</v>
      </c>
      <c r="L3803" s="12" t="n">
        <v>0</v>
      </c>
      <c r="M3803" s="12" t="n">
        <v>4</v>
      </c>
      <c r="N3803" s="27">
        <f>F3803-J3803</f>
        <v/>
      </c>
      <c r="O3803" s="16">
        <f>I3803-H3803</f>
        <v/>
      </c>
      <c r="P3803" s="14">
        <f>F3803*G3803</f>
        <v/>
      </c>
      <c r="Q3803" s="14">
        <f>J3803*G3803</f>
        <v/>
      </c>
      <c r="R3803" s="14">
        <f>K3803-Q3803</f>
        <v/>
      </c>
      <c r="S3803" s="3">
        <f>P3803*Assumptions!$B$3/100</f>
        <v/>
      </c>
      <c r="T3803" s="14">
        <f>R3803-S3803</f>
        <v/>
      </c>
      <c r="U3803" s="14">
        <f>L3803*G3803</f>
        <v/>
      </c>
    </row>
    <row r="3804">
      <c r="A3804" s="12" t="inlineStr">
        <is>
          <t>PO-2023-3802</t>
        </is>
      </c>
      <c r="B3804" s="26" t="n">
        <v>44766</v>
      </c>
      <c r="C3804" s="12" t="inlineStr">
        <is>
          <t>VS16</t>
        </is>
      </c>
      <c r="D3804" s="12" t="inlineStr">
        <is>
          <t>GI Pipes</t>
        </is>
      </c>
      <c r="E3804" s="12" t="inlineStr">
        <is>
          <t>N</t>
        </is>
      </c>
      <c r="F3804" s="12" t="n">
        <v>35.17</v>
      </c>
      <c r="G3804" s="17" t="n">
        <v>103710.75</v>
      </c>
      <c r="H3804" s="26" t="n">
        <v>44780</v>
      </c>
      <c r="I3804" s="26" t="n">
        <v>44782</v>
      </c>
      <c r="J3804" s="12" t="n">
        <v>35.08</v>
      </c>
      <c r="K3804" s="17" t="n">
        <v>3647507.08</v>
      </c>
      <c r="L3804" s="12" t="n">
        <v>0</v>
      </c>
      <c r="M3804" s="12" t="n">
        <v>15</v>
      </c>
      <c r="N3804" s="27">
        <f>F3804-J3804</f>
        <v/>
      </c>
      <c r="O3804" s="16">
        <f>I3804-H3804</f>
        <v/>
      </c>
      <c r="P3804" s="14">
        <f>F3804*G3804</f>
        <v/>
      </c>
      <c r="Q3804" s="14">
        <f>J3804*G3804</f>
        <v/>
      </c>
      <c r="R3804" s="14">
        <f>K3804-Q3804</f>
        <v/>
      </c>
      <c r="S3804" s="3">
        <f>P3804*Assumptions!$B$3/100</f>
        <v/>
      </c>
      <c r="T3804" s="14">
        <f>R3804-S3804</f>
        <v/>
      </c>
      <c r="U3804" s="14">
        <f>L3804*G3804</f>
        <v/>
      </c>
    </row>
    <row r="3805">
      <c r="A3805" s="12" t="inlineStr">
        <is>
          <t>PO-2023-3803</t>
        </is>
      </c>
      <c r="B3805" s="26" t="n">
        <v>44351</v>
      </c>
      <c r="C3805" s="12" t="inlineStr">
        <is>
          <t>VS30</t>
        </is>
      </c>
      <c r="D3805" s="12" t="inlineStr">
        <is>
          <t>Spring Steel</t>
        </is>
      </c>
      <c r="E3805" s="12" t="inlineStr">
        <is>
          <t>N</t>
        </is>
      </c>
      <c r="F3805" s="12" t="n">
        <v>6.47</v>
      </c>
      <c r="G3805" s="17" t="n">
        <v>80360.7</v>
      </c>
      <c r="H3805" s="26" t="n">
        <v>44354</v>
      </c>
      <c r="I3805" s="26" t="n">
        <v>44356</v>
      </c>
      <c r="J3805" s="12" t="n">
        <v>6.44</v>
      </c>
      <c r="K3805" s="17" t="n">
        <v>519933.73</v>
      </c>
      <c r="L3805" s="12" t="n">
        <v>0</v>
      </c>
      <c r="M3805" s="12" t="n">
        <v>0</v>
      </c>
      <c r="N3805" s="27">
        <f>F3805-J3805</f>
        <v/>
      </c>
      <c r="O3805" s="16">
        <f>I3805-H3805</f>
        <v/>
      </c>
      <c r="P3805" s="14">
        <f>F3805*G3805</f>
        <v/>
      </c>
      <c r="Q3805" s="14">
        <f>J3805*G3805</f>
        <v/>
      </c>
      <c r="R3805" s="14">
        <f>K3805-Q3805</f>
        <v/>
      </c>
      <c r="S3805" s="3">
        <f>P3805*Assumptions!$B$3/100</f>
        <v/>
      </c>
      <c r="T3805" s="14">
        <f>R3805-S3805</f>
        <v/>
      </c>
      <c r="U3805" s="14">
        <f>L3805*G3805</f>
        <v/>
      </c>
    </row>
    <row r="3806">
      <c r="A3806" s="12" t="inlineStr">
        <is>
          <t>PO-2023-3804</t>
        </is>
      </c>
      <c r="B3806" s="26" t="n">
        <v>44988</v>
      </c>
      <c r="C3806" s="12" t="inlineStr">
        <is>
          <t>VS25</t>
        </is>
      </c>
      <c r="D3806" s="12" t="inlineStr">
        <is>
          <t>CR Sheets</t>
        </is>
      </c>
      <c r="E3806" s="12" t="inlineStr">
        <is>
          <t>Y</t>
        </is>
      </c>
      <c r="F3806" s="12" t="n">
        <v>33.5</v>
      </c>
      <c r="G3806" s="17" t="n">
        <v>95835.06</v>
      </c>
      <c r="H3806" s="26" t="n">
        <v>44996</v>
      </c>
      <c r="I3806" s="26" t="n">
        <v>44996</v>
      </c>
      <c r="J3806" s="12" t="n">
        <v>33.27</v>
      </c>
      <c r="K3806" s="17" t="n">
        <v>3210474.51</v>
      </c>
      <c r="L3806" s="12" t="n">
        <v>0</v>
      </c>
      <c r="M3806" s="12" t="n">
        <v>13</v>
      </c>
      <c r="N3806" s="27">
        <f>F3806-J3806</f>
        <v/>
      </c>
      <c r="O3806" s="16">
        <f>I3806-H3806</f>
        <v/>
      </c>
      <c r="P3806" s="14">
        <f>F3806*G3806</f>
        <v/>
      </c>
      <c r="Q3806" s="14">
        <f>J3806*G3806</f>
        <v/>
      </c>
      <c r="R3806" s="14">
        <f>K3806-Q3806</f>
        <v/>
      </c>
      <c r="S3806" s="3">
        <f>P3806*Assumptions!$B$3/100</f>
        <v/>
      </c>
      <c r="T3806" s="14">
        <f>R3806-S3806</f>
        <v/>
      </c>
      <c r="U3806" s="14">
        <f>L3806*G3806</f>
        <v/>
      </c>
    </row>
    <row r="3807">
      <c r="A3807" s="12" t="inlineStr">
        <is>
          <t>PO-2023-3805</t>
        </is>
      </c>
      <c r="B3807" s="26" t="n">
        <v>45277</v>
      </c>
      <c r="C3807" s="12" t="inlineStr">
        <is>
          <t>VS04</t>
        </is>
      </c>
      <c r="D3807" s="12" t="inlineStr">
        <is>
          <t>ERW Pipes</t>
        </is>
      </c>
      <c r="E3807" s="12" t="inlineStr">
        <is>
          <t>N</t>
        </is>
      </c>
      <c r="F3807" s="12" t="n">
        <v>19.6</v>
      </c>
      <c r="G3807" s="17" t="n">
        <v>108818.56</v>
      </c>
      <c r="H3807" s="26" t="n">
        <v>45292</v>
      </c>
      <c r="I3807" s="26" t="n">
        <v>45292</v>
      </c>
      <c r="J3807" s="12" t="n">
        <v>19.4</v>
      </c>
      <c r="K3807" s="17" t="n">
        <v>2132843.78</v>
      </c>
      <c r="L3807" s="12" t="n">
        <v>0</v>
      </c>
      <c r="M3807" s="12" t="n">
        <v>25</v>
      </c>
      <c r="N3807" s="27">
        <f>F3807-J3807</f>
        <v/>
      </c>
      <c r="O3807" s="16">
        <f>I3807-H3807</f>
        <v/>
      </c>
      <c r="P3807" s="14">
        <f>F3807*G3807</f>
        <v/>
      </c>
      <c r="Q3807" s="14">
        <f>J3807*G3807</f>
        <v/>
      </c>
      <c r="R3807" s="14">
        <f>K3807-Q3807</f>
        <v/>
      </c>
      <c r="S3807" s="3">
        <f>P3807*Assumptions!$B$3/100</f>
        <v/>
      </c>
      <c r="T3807" s="14">
        <f>R3807-S3807</f>
        <v/>
      </c>
      <c r="U3807" s="14">
        <f>L3807*G3807</f>
        <v/>
      </c>
    </row>
    <row r="3808">
      <c r="A3808" s="12" t="inlineStr">
        <is>
          <t>PO-2023-3806</t>
        </is>
      </c>
      <c r="B3808" s="26" t="n">
        <v>44487</v>
      </c>
      <c r="C3808" s="12" t="inlineStr">
        <is>
          <t>VS33</t>
        </is>
      </c>
      <c r="D3808" s="12" t="inlineStr">
        <is>
          <t>SS Pipes</t>
        </is>
      </c>
      <c r="E3808" s="12" t="inlineStr">
        <is>
          <t>N</t>
        </is>
      </c>
      <c r="F3808" s="12" t="n">
        <v>17.1</v>
      </c>
      <c r="G3808" s="17" t="n">
        <v>59978.49</v>
      </c>
      <c r="H3808" s="26" t="n">
        <v>44497</v>
      </c>
      <c r="I3808" s="26" t="n">
        <v>44500</v>
      </c>
      <c r="J3808" s="12" t="n">
        <v>17.01</v>
      </c>
      <c r="K3808" s="17" t="n">
        <v>1025632.18</v>
      </c>
      <c r="L3808" s="12" t="n">
        <v>0</v>
      </c>
      <c r="M3808" s="12" t="n">
        <v>0</v>
      </c>
      <c r="N3808" s="27">
        <f>F3808-J3808</f>
        <v/>
      </c>
      <c r="O3808" s="16">
        <f>I3808-H3808</f>
        <v/>
      </c>
      <c r="P3808" s="14">
        <f>F3808*G3808</f>
        <v/>
      </c>
      <c r="Q3808" s="14">
        <f>J3808*G3808</f>
        <v/>
      </c>
      <c r="R3808" s="14">
        <f>K3808-Q3808</f>
        <v/>
      </c>
      <c r="S3808" s="3">
        <f>P3808*Assumptions!$B$3/100</f>
        <v/>
      </c>
      <c r="T3808" s="14">
        <f>R3808-S3808</f>
        <v/>
      </c>
      <c r="U3808" s="14">
        <f>L3808*G3808</f>
        <v/>
      </c>
    </row>
    <row r="3809">
      <c r="A3809" s="12" t="inlineStr">
        <is>
          <t>PO-2023-3807</t>
        </is>
      </c>
      <c r="B3809" s="26" t="n">
        <v>44291</v>
      </c>
      <c r="C3809" s="12" t="inlineStr">
        <is>
          <t>VS08</t>
        </is>
      </c>
      <c r="D3809" s="12" t="inlineStr">
        <is>
          <t>Structural Steel</t>
        </is>
      </c>
      <c r="E3809" s="12" t="inlineStr">
        <is>
          <t>N</t>
        </is>
      </c>
      <c r="F3809" s="12" t="n">
        <v>3.67</v>
      </c>
      <c r="G3809" s="17" t="n">
        <v>89930.78</v>
      </c>
      <c r="H3809" s="26" t="n">
        <v>44296</v>
      </c>
      <c r="I3809" s="26" t="n">
        <v>44298</v>
      </c>
      <c r="J3809" s="12" t="n">
        <v>3.64</v>
      </c>
      <c r="K3809" s="17" t="n">
        <v>330045.96</v>
      </c>
      <c r="L3809" s="12" t="n">
        <v>0</v>
      </c>
      <c r="M3809" s="12" t="n">
        <v>0</v>
      </c>
      <c r="N3809" s="27">
        <f>F3809-J3809</f>
        <v/>
      </c>
      <c r="O3809" s="16">
        <f>I3809-H3809</f>
        <v/>
      </c>
      <c r="P3809" s="14">
        <f>F3809*G3809</f>
        <v/>
      </c>
      <c r="Q3809" s="14">
        <f>J3809*G3809</f>
        <v/>
      </c>
      <c r="R3809" s="14">
        <f>K3809-Q3809</f>
        <v/>
      </c>
      <c r="S3809" s="3">
        <f>P3809*Assumptions!$B$3/100</f>
        <v/>
      </c>
      <c r="T3809" s="14">
        <f>R3809-S3809</f>
        <v/>
      </c>
      <c r="U3809" s="14">
        <f>L3809*G3809</f>
        <v/>
      </c>
    </row>
    <row r="3810">
      <c r="A3810" s="12" t="inlineStr">
        <is>
          <t>PO-2023-3808</t>
        </is>
      </c>
      <c r="B3810" s="26" t="n">
        <v>45041</v>
      </c>
      <c r="C3810" s="12" t="inlineStr">
        <is>
          <t>VS20</t>
        </is>
      </c>
      <c r="D3810" s="12" t="inlineStr">
        <is>
          <t>GI Pipes</t>
        </is>
      </c>
      <c r="E3810" s="12" t="inlineStr">
        <is>
          <t>N</t>
        </is>
      </c>
      <c r="F3810" s="12" t="n">
        <v>22.87</v>
      </c>
      <c r="G3810" s="17" t="n">
        <v>48594.31</v>
      </c>
      <c r="H3810" s="26" t="n">
        <v>45044</v>
      </c>
      <c r="I3810" s="26" t="n">
        <v>45044</v>
      </c>
      <c r="J3810" s="12" t="n">
        <v>22.78</v>
      </c>
      <c r="K3810" s="17" t="n">
        <v>1111351.87</v>
      </c>
      <c r="L3810" s="12" t="n">
        <v>0</v>
      </c>
      <c r="M3810" s="12" t="n">
        <v>20</v>
      </c>
      <c r="N3810" s="27">
        <f>F3810-J3810</f>
        <v/>
      </c>
      <c r="O3810" s="16">
        <f>I3810-H3810</f>
        <v/>
      </c>
      <c r="P3810" s="14">
        <f>F3810*G3810</f>
        <v/>
      </c>
      <c r="Q3810" s="14">
        <f>J3810*G3810</f>
        <v/>
      </c>
      <c r="R3810" s="14">
        <f>K3810-Q3810</f>
        <v/>
      </c>
      <c r="S3810" s="3">
        <f>P3810*Assumptions!$B$3/100</f>
        <v/>
      </c>
      <c r="T3810" s="14">
        <f>R3810-S3810</f>
        <v/>
      </c>
      <c r="U3810" s="14">
        <f>L3810*G3810</f>
        <v/>
      </c>
    </row>
    <row r="3811">
      <c r="A3811" s="12" t="inlineStr">
        <is>
          <t>PO-2023-3809</t>
        </is>
      </c>
      <c r="B3811" s="26" t="n">
        <v>45247</v>
      </c>
      <c r="C3811" s="12" t="inlineStr">
        <is>
          <t>VS03</t>
        </is>
      </c>
      <c r="D3811" s="12" t="inlineStr">
        <is>
          <t>Hex Bars</t>
        </is>
      </c>
      <c r="E3811" s="12" t="inlineStr">
        <is>
          <t>Y</t>
        </is>
      </c>
      <c r="F3811" s="12" t="n">
        <v>32.39</v>
      </c>
      <c r="G3811" s="17" t="n">
        <v>114361.16</v>
      </c>
      <c r="H3811" s="26" t="n">
        <v>45251</v>
      </c>
      <c r="I3811" s="26" t="n">
        <v>45256</v>
      </c>
      <c r="J3811" s="12" t="n">
        <v>30.96</v>
      </c>
      <c r="K3811" s="17" t="n">
        <v>3704157.97</v>
      </c>
      <c r="L3811" s="12" t="n">
        <v>0.59</v>
      </c>
      <c r="M3811" s="12" t="n">
        <v>0</v>
      </c>
      <c r="N3811" s="27">
        <f>F3811-J3811</f>
        <v/>
      </c>
      <c r="O3811" s="16">
        <f>I3811-H3811</f>
        <v/>
      </c>
      <c r="P3811" s="14">
        <f>F3811*G3811</f>
        <v/>
      </c>
      <c r="Q3811" s="14">
        <f>J3811*G3811</f>
        <v/>
      </c>
      <c r="R3811" s="14">
        <f>K3811-Q3811</f>
        <v/>
      </c>
      <c r="S3811" s="3">
        <f>P3811*Assumptions!$B$3/100</f>
        <v/>
      </c>
      <c r="T3811" s="14">
        <f>R3811-S3811</f>
        <v/>
      </c>
      <c r="U3811" s="14">
        <f>L3811*G3811</f>
        <v/>
      </c>
    </row>
    <row r="3812">
      <c r="A3812" s="12" t="inlineStr">
        <is>
          <t>PO-2023-3810</t>
        </is>
      </c>
      <c r="B3812" s="26" t="n">
        <v>45127</v>
      </c>
      <c r="C3812" s="12" t="inlineStr">
        <is>
          <t>VS11</t>
        </is>
      </c>
      <c r="D3812" s="12" t="inlineStr">
        <is>
          <t>MS Rods</t>
        </is>
      </c>
      <c r="E3812" s="12" t="inlineStr">
        <is>
          <t>N</t>
        </is>
      </c>
      <c r="F3812" s="12" t="n">
        <v>8.359999999999999</v>
      </c>
      <c r="G3812" s="17" t="n">
        <v>57420.33</v>
      </c>
      <c r="H3812" s="26" t="n">
        <v>45136</v>
      </c>
      <c r="I3812" s="26" t="n">
        <v>45138</v>
      </c>
      <c r="J3812" s="12" t="n">
        <v>8.31</v>
      </c>
      <c r="K3812" s="17" t="n">
        <v>480033.96</v>
      </c>
      <c r="L3812" s="12" t="n">
        <v>0</v>
      </c>
      <c r="M3812" s="12" t="n">
        <v>15</v>
      </c>
      <c r="N3812" s="27">
        <f>F3812-J3812</f>
        <v/>
      </c>
      <c r="O3812" s="16">
        <f>I3812-H3812</f>
        <v/>
      </c>
      <c r="P3812" s="14">
        <f>F3812*G3812</f>
        <v/>
      </c>
      <c r="Q3812" s="14">
        <f>J3812*G3812</f>
        <v/>
      </c>
      <c r="R3812" s="14">
        <f>K3812-Q3812</f>
        <v/>
      </c>
      <c r="S3812" s="3">
        <f>P3812*Assumptions!$B$3/100</f>
        <v/>
      </c>
      <c r="T3812" s="14">
        <f>R3812-S3812</f>
        <v/>
      </c>
      <c r="U3812" s="14">
        <f>L3812*G3812</f>
        <v/>
      </c>
    </row>
    <row r="3813">
      <c r="A3813" s="12" t="inlineStr">
        <is>
          <t>PO-2023-3811</t>
        </is>
      </c>
      <c r="B3813" s="26" t="n">
        <v>44553</v>
      </c>
      <c r="C3813" s="12" t="inlineStr">
        <is>
          <t>VS19</t>
        </is>
      </c>
      <c r="D3813" s="12" t="inlineStr">
        <is>
          <t>SS Sheets</t>
        </is>
      </c>
      <c r="E3813" s="12" t="inlineStr">
        <is>
          <t>N</t>
        </is>
      </c>
      <c r="F3813" s="12" t="n">
        <v>42.28</v>
      </c>
      <c r="G3813" s="17" t="n">
        <v>72247.42</v>
      </c>
      <c r="H3813" s="26" t="n">
        <v>44556</v>
      </c>
      <c r="I3813" s="26" t="n">
        <v>44559</v>
      </c>
      <c r="J3813" s="12" t="n">
        <v>40.46</v>
      </c>
      <c r="K3813" s="17" t="n">
        <v>3054620.92</v>
      </c>
      <c r="L3813" s="12" t="n">
        <v>1.65</v>
      </c>
      <c r="M3813" s="12" t="n">
        <v>18</v>
      </c>
      <c r="N3813" s="27">
        <f>F3813-J3813</f>
        <v/>
      </c>
      <c r="O3813" s="16">
        <f>I3813-H3813</f>
        <v/>
      </c>
      <c r="P3813" s="14">
        <f>F3813*G3813</f>
        <v/>
      </c>
      <c r="Q3813" s="14">
        <f>J3813*G3813</f>
        <v/>
      </c>
      <c r="R3813" s="14">
        <f>K3813-Q3813</f>
        <v/>
      </c>
      <c r="S3813" s="3">
        <f>P3813*Assumptions!$B$3/100</f>
        <v/>
      </c>
      <c r="T3813" s="14">
        <f>R3813-S3813</f>
        <v/>
      </c>
      <c r="U3813" s="14">
        <f>L3813*G3813</f>
        <v/>
      </c>
    </row>
    <row r="3814">
      <c r="A3814" s="12" t="inlineStr">
        <is>
          <t>PO-2023-3812</t>
        </is>
      </c>
      <c r="B3814" s="26" t="n">
        <v>44236</v>
      </c>
      <c r="C3814" s="12" t="inlineStr">
        <is>
          <t>VS30</t>
        </is>
      </c>
      <c r="D3814" s="12" t="inlineStr">
        <is>
          <t>Square/Rect Tubes</t>
        </is>
      </c>
      <c r="E3814" s="12" t="inlineStr">
        <is>
          <t>Y</t>
        </is>
      </c>
      <c r="F3814" s="12" t="n">
        <v>26.3</v>
      </c>
      <c r="G3814" s="17" t="n">
        <v>94482.83</v>
      </c>
      <c r="H3814" s="26" t="n">
        <v>44244</v>
      </c>
      <c r="I3814" s="26" t="n">
        <v>44246</v>
      </c>
      <c r="J3814" s="12" t="n">
        <v>26.23</v>
      </c>
      <c r="K3814" s="17" t="n">
        <v>2484898.43</v>
      </c>
      <c r="L3814" s="12" t="n">
        <v>0</v>
      </c>
      <c r="M3814" s="12" t="n">
        <v>24</v>
      </c>
      <c r="N3814" s="27">
        <f>F3814-J3814</f>
        <v/>
      </c>
      <c r="O3814" s="16">
        <f>I3814-H3814</f>
        <v/>
      </c>
      <c r="P3814" s="14">
        <f>F3814*G3814</f>
        <v/>
      </c>
      <c r="Q3814" s="14">
        <f>J3814*G3814</f>
        <v/>
      </c>
      <c r="R3814" s="14">
        <f>K3814-Q3814</f>
        <v/>
      </c>
      <c r="S3814" s="3">
        <f>P3814*Assumptions!$B$3/100</f>
        <v/>
      </c>
      <c r="T3814" s="14">
        <f>R3814-S3814</f>
        <v/>
      </c>
      <c r="U3814" s="14">
        <f>L3814*G3814</f>
        <v/>
      </c>
    </row>
    <row r="3815">
      <c r="A3815" s="12" t="inlineStr">
        <is>
          <t>PO-2023-3813</t>
        </is>
      </c>
      <c r="B3815" s="26" t="n">
        <v>44573</v>
      </c>
      <c r="C3815" s="12" t="inlineStr">
        <is>
          <t>VS30</t>
        </is>
      </c>
      <c r="D3815" s="12" t="inlineStr">
        <is>
          <t>CR Sheets</t>
        </is>
      </c>
      <c r="E3815" s="12" t="inlineStr">
        <is>
          <t>N</t>
        </is>
      </c>
      <c r="F3815" s="12" t="n">
        <v>5.35</v>
      </c>
      <c r="G3815" s="17" t="n">
        <v>76421.13</v>
      </c>
      <c r="H3815" s="26" t="n">
        <v>44576</v>
      </c>
      <c r="I3815" s="26" t="n">
        <v>44577</v>
      </c>
      <c r="J3815" s="12" t="n">
        <v>5.31</v>
      </c>
      <c r="K3815" s="17" t="n">
        <v>408853.05</v>
      </c>
      <c r="L3815" s="12" t="n">
        <v>0</v>
      </c>
      <c r="M3815" s="12" t="n">
        <v>0</v>
      </c>
      <c r="N3815" s="27">
        <f>F3815-J3815</f>
        <v/>
      </c>
      <c r="O3815" s="16">
        <f>I3815-H3815</f>
        <v/>
      </c>
      <c r="P3815" s="14">
        <f>F3815*G3815</f>
        <v/>
      </c>
      <c r="Q3815" s="14">
        <f>J3815*G3815</f>
        <v/>
      </c>
      <c r="R3815" s="14">
        <f>K3815-Q3815</f>
        <v/>
      </c>
      <c r="S3815" s="3">
        <f>P3815*Assumptions!$B$3/100</f>
        <v/>
      </c>
      <c r="T3815" s="14">
        <f>R3815-S3815</f>
        <v/>
      </c>
      <c r="U3815" s="14">
        <f>L3815*G3815</f>
        <v/>
      </c>
    </row>
    <row r="3816">
      <c r="A3816" s="12" t="inlineStr">
        <is>
          <t>PO-2023-3814</t>
        </is>
      </c>
      <c r="B3816" s="26" t="n">
        <v>45063</v>
      </c>
      <c r="C3816" s="12" t="inlineStr">
        <is>
          <t>VS08</t>
        </is>
      </c>
      <c r="D3816" s="12" t="inlineStr">
        <is>
          <t>MS Rods</t>
        </is>
      </c>
      <c r="E3816" s="12" t="inlineStr">
        <is>
          <t>N</t>
        </is>
      </c>
      <c r="F3816" s="12" t="n">
        <v>43.07</v>
      </c>
      <c r="G3816" s="17" t="n">
        <v>57861.79</v>
      </c>
      <c r="H3816" s="26" t="n">
        <v>45073</v>
      </c>
      <c r="I3816" s="26" t="n">
        <v>45074</v>
      </c>
      <c r="J3816" s="12" t="n">
        <v>42.71</v>
      </c>
      <c r="K3816" s="17" t="n">
        <v>2492107.3</v>
      </c>
      <c r="L3816" s="12" t="n">
        <v>0</v>
      </c>
      <c r="M3816" s="12" t="n">
        <v>0</v>
      </c>
      <c r="N3816" s="27">
        <f>F3816-J3816</f>
        <v/>
      </c>
      <c r="O3816" s="16">
        <f>I3816-H3816</f>
        <v/>
      </c>
      <c r="P3816" s="14">
        <f>F3816*G3816</f>
        <v/>
      </c>
      <c r="Q3816" s="14">
        <f>J3816*G3816</f>
        <v/>
      </c>
      <c r="R3816" s="14">
        <f>K3816-Q3816</f>
        <v/>
      </c>
      <c r="S3816" s="3">
        <f>P3816*Assumptions!$B$3/100</f>
        <v/>
      </c>
      <c r="T3816" s="14">
        <f>R3816-S3816</f>
        <v/>
      </c>
      <c r="U3816" s="14">
        <f>L3816*G3816</f>
        <v/>
      </c>
    </row>
    <row r="3817">
      <c r="A3817" s="12" t="inlineStr">
        <is>
          <t>PO-2023-3815</t>
        </is>
      </c>
      <c r="B3817" s="26" t="n">
        <v>45028</v>
      </c>
      <c r="C3817" s="12" t="inlineStr">
        <is>
          <t>VS26</t>
        </is>
      </c>
      <c r="D3817" s="12" t="inlineStr">
        <is>
          <t>Square/Rect Tubes</t>
        </is>
      </c>
      <c r="E3817" s="12" t="inlineStr">
        <is>
          <t>N</t>
        </is>
      </c>
      <c r="F3817" s="12" t="n">
        <v>1.76</v>
      </c>
      <c r="G3817" s="17" t="n">
        <v>47482.02</v>
      </c>
      <c r="H3817" s="26" t="n">
        <v>45033</v>
      </c>
      <c r="I3817" s="26" t="n">
        <v>45036</v>
      </c>
      <c r="J3817" s="12" t="n">
        <v>1.76</v>
      </c>
      <c r="K3817" s="17" t="n">
        <v>83568.36</v>
      </c>
      <c r="L3817" s="12" t="n">
        <v>0</v>
      </c>
      <c r="M3817" s="12" t="n">
        <v>11</v>
      </c>
      <c r="N3817" s="27">
        <f>F3817-J3817</f>
        <v/>
      </c>
      <c r="O3817" s="16">
        <f>I3817-H3817</f>
        <v/>
      </c>
      <c r="P3817" s="14">
        <f>F3817*G3817</f>
        <v/>
      </c>
      <c r="Q3817" s="14">
        <f>J3817*G3817</f>
        <v/>
      </c>
      <c r="R3817" s="14">
        <f>K3817-Q3817</f>
        <v/>
      </c>
      <c r="S3817" s="3">
        <f>P3817*Assumptions!$B$3/100</f>
        <v/>
      </c>
      <c r="T3817" s="14">
        <f>R3817-S3817</f>
        <v/>
      </c>
      <c r="U3817" s="14">
        <f>L3817*G3817</f>
        <v/>
      </c>
    </row>
    <row r="3818">
      <c r="A3818" s="12" t="inlineStr">
        <is>
          <t>PO-2023-3816</t>
        </is>
      </c>
      <c r="B3818" s="26" t="n">
        <v>44231</v>
      </c>
      <c r="C3818" s="12" t="inlineStr">
        <is>
          <t>VS16</t>
        </is>
      </c>
      <c r="D3818" s="12" t="inlineStr">
        <is>
          <t>ERW Pipes</t>
        </is>
      </c>
      <c r="E3818" s="12" t="inlineStr">
        <is>
          <t>N</t>
        </is>
      </c>
      <c r="F3818" s="12" t="n">
        <v>23.36</v>
      </c>
      <c r="G3818" s="17" t="n">
        <v>92670.2</v>
      </c>
      <c r="H3818" s="26" t="n">
        <v>44246</v>
      </c>
      <c r="I3818" s="26" t="n">
        <v>44246</v>
      </c>
      <c r="J3818" s="12" t="n">
        <v>23.27</v>
      </c>
      <c r="K3818" s="17" t="n">
        <v>2164775.87</v>
      </c>
      <c r="L3818" s="12" t="n">
        <v>0</v>
      </c>
      <c r="M3818" s="12" t="n">
        <v>7</v>
      </c>
      <c r="N3818" s="27">
        <f>F3818-J3818</f>
        <v/>
      </c>
      <c r="O3818" s="16">
        <f>I3818-H3818</f>
        <v/>
      </c>
      <c r="P3818" s="14">
        <f>F3818*G3818</f>
        <v/>
      </c>
      <c r="Q3818" s="14">
        <f>J3818*G3818</f>
        <v/>
      </c>
      <c r="R3818" s="14">
        <f>K3818-Q3818</f>
        <v/>
      </c>
      <c r="S3818" s="3">
        <f>P3818*Assumptions!$B$3/100</f>
        <v/>
      </c>
      <c r="T3818" s="14">
        <f>R3818-S3818</f>
        <v/>
      </c>
      <c r="U3818" s="14">
        <f>L3818*G3818</f>
        <v/>
      </c>
    </row>
    <row r="3819">
      <c r="A3819" s="12" t="inlineStr">
        <is>
          <t>PO-2023-3817</t>
        </is>
      </c>
      <c r="B3819" s="26" t="n">
        <v>44555</v>
      </c>
      <c r="C3819" s="12" t="inlineStr">
        <is>
          <t>VS27</t>
        </is>
      </c>
      <c r="D3819" s="12" t="inlineStr">
        <is>
          <t>GI Sheets</t>
        </is>
      </c>
      <c r="E3819" s="12" t="inlineStr">
        <is>
          <t>N</t>
        </is>
      </c>
      <c r="F3819" s="12" t="n">
        <v>33.95</v>
      </c>
      <c r="G3819" s="17" t="n">
        <v>111177.24</v>
      </c>
      <c r="H3819" s="26" t="n">
        <v>44562</v>
      </c>
      <c r="I3819" s="26" t="n">
        <v>44564</v>
      </c>
      <c r="J3819" s="12" t="n">
        <v>33.61</v>
      </c>
      <c r="K3819" s="17" t="n">
        <v>3774467.3</v>
      </c>
      <c r="L3819" s="12" t="n">
        <v>0</v>
      </c>
      <c r="M3819" s="12" t="n">
        <v>8</v>
      </c>
      <c r="N3819" s="27">
        <f>F3819-J3819</f>
        <v/>
      </c>
      <c r="O3819" s="16">
        <f>I3819-H3819</f>
        <v/>
      </c>
      <c r="P3819" s="14">
        <f>F3819*G3819</f>
        <v/>
      </c>
      <c r="Q3819" s="14">
        <f>J3819*G3819</f>
        <v/>
      </c>
      <c r="R3819" s="14">
        <f>K3819-Q3819</f>
        <v/>
      </c>
      <c r="S3819" s="3">
        <f>P3819*Assumptions!$B$3/100</f>
        <v/>
      </c>
      <c r="T3819" s="14">
        <f>R3819-S3819</f>
        <v/>
      </c>
      <c r="U3819" s="14">
        <f>L3819*G3819</f>
        <v/>
      </c>
    </row>
    <row r="3820">
      <c r="A3820" s="12" t="inlineStr">
        <is>
          <t>PO-2023-3818</t>
        </is>
      </c>
      <c r="B3820" s="26" t="n">
        <v>44748</v>
      </c>
      <c r="C3820" s="12" t="inlineStr">
        <is>
          <t>VS14</t>
        </is>
      </c>
      <c r="D3820" s="12" t="inlineStr">
        <is>
          <t>MS Flats</t>
        </is>
      </c>
      <c r="E3820" s="12" t="inlineStr">
        <is>
          <t>N</t>
        </is>
      </c>
      <c r="F3820" s="12" t="n">
        <v>40.35</v>
      </c>
      <c r="G3820" s="17" t="n">
        <v>73611.39</v>
      </c>
      <c r="H3820" s="26" t="n">
        <v>44761</v>
      </c>
      <c r="I3820" s="26" t="n">
        <v>44764</v>
      </c>
      <c r="J3820" s="12" t="n">
        <v>40.06</v>
      </c>
      <c r="K3820" s="17" t="n">
        <v>2970219.59</v>
      </c>
      <c r="L3820" s="12" t="n">
        <v>0</v>
      </c>
      <c r="M3820" s="12" t="n">
        <v>16</v>
      </c>
      <c r="N3820" s="27">
        <f>F3820-J3820</f>
        <v/>
      </c>
      <c r="O3820" s="16">
        <f>I3820-H3820</f>
        <v/>
      </c>
      <c r="P3820" s="14">
        <f>F3820*G3820</f>
        <v/>
      </c>
      <c r="Q3820" s="14">
        <f>J3820*G3820</f>
        <v/>
      </c>
      <c r="R3820" s="14">
        <f>K3820-Q3820</f>
        <v/>
      </c>
      <c r="S3820" s="3">
        <f>P3820*Assumptions!$B$3/100</f>
        <v/>
      </c>
      <c r="T3820" s="14">
        <f>R3820-S3820</f>
        <v/>
      </c>
      <c r="U3820" s="14">
        <f>L3820*G3820</f>
        <v/>
      </c>
    </row>
    <row r="3821">
      <c r="A3821" s="12" t="inlineStr">
        <is>
          <t>PO-2023-3819</t>
        </is>
      </c>
      <c r="B3821" s="26" t="n">
        <v>44573</v>
      </c>
      <c r="C3821" s="12" t="inlineStr">
        <is>
          <t>VS17</t>
        </is>
      </c>
      <c r="D3821" s="12" t="inlineStr">
        <is>
          <t>MS Flats</t>
        </is>
      </c>
      <c r="E3821" s="12" t="inlineStr">
        <is>
          <t>N</t>
        </is>
      </c>
      <c r="F3821" s="12" t="n">
        <v>49.92</v>
      </c>
      <c r="G3821" s="17" t="n">
        <v>96035.00999999999</v>
      </c>
      <c r="H3821" s="26" t="n">
        <v>44583</v>
      </c>
      <c r="I3821" s="26" t="n">
        <v>44586</v>
      </c>
      <c r="J3821" s="12" t="n">
        <v>49.54</v>
      </c>
      <c r="K3821" s="17" t="n">
        <v>4794067.7</v>
      </c>
      <c r="L3821" s="12" t="n">
        <v>0</v>
      </c>
      <c r="M3821" s="12" t="n">
        <v>13</v>
      </c>
      <c r="N3821" s="27">
        <f>F3821-J3821</f>
        <v/>
      </c>
      <c r="O3821" s="16">
        <f>I3821-H3821</f>
        <v/>
      </c>
      <c r="P3821" s="14">
        <f>F3821*G3821</f>
        <v/>
      </c>
      <c r="Q3821" s="14">
        <f>J3821*G3821</f>
        <v/>
      </c>
      <c r="R3821" s="14">
        <f>K3821-Q3821</f>
        <v/>
      </c>
      <c r="S3821" s="3">
        <f>P3821*Assumptions!$B$3/100</f>
        <v/>
      </c>
      <c r="T3821" s="14">
        <f>R3821-S3821</f>
        <v/>
      </c>
      <c r="U3821" s="14">
        <f>L3821*G3821</f>
        <v/>
      </c>
    </row>
    <row r="3822">
      <c r="A3822" s="12" t="inlineStr">
        <is>
          <t>PO-2023-3820</t>
        </is>
      </c>
      <c r="B3822" s="26" t="n">
        <v>44209</v>
      </c>
      <c r="C3822" s="12" t="inlineStr">
        <is>
          <t>VS06</t>
        </is>
      </c>
      <c r="D3822" s="12" t="inlineStr">
        <is>
          <t>MS Sheets</t>
        </is>
      </c>
      <c r="E3822" s="12" t="inlineStr">
        <is>
          <t>N</t>
        </is>
      </c>
      <c r="F3822" s="12" t="n">
        <v>1.54</v>
      </c>
      <c r="G3822" s="17" t="n">
        <v>100978.4</v>
      </c>
      <c r="H3822" s="26" t="n">
        <v>44224</v>
      </c>
      <c r="I3822" s="26" t="n">
        <v>44224</v>
      </c>
      <c r="J3822" s="12" t="n">
        <v>1.53</v>
      </c>
      <c r="K3822" s="17" t="n">
        <v>155506.74</v>
      </c>
      <c r="L3822" s="12" t="n">
        <v>0</v>
      </c>
      <c r="M3822" s="12" t="n">
        <v>0</v>
      </c>
      <c r="N3822" s="27">
        <f>F3822-J3822</f>
        <v/>
      </c>
      <c r="O3822" s="16">
        <f>I3822-H3822</f>
        <v/>
      </c>
      <c r="P3822" s="14">
        <f>F3822*G3822</f>
        <v/>
      </c>
      <c r="Q3822" s="14">
        <f>J3822*G3822</f>
        <v/>
      </c>
      <c r="R3822" s="14">
        <f>K3822-Q3822</f>
        <v/>
      </c>
      <c r="S3822" s="3">
        <f>P3822*Assumptions!$B$3/100</f>
        <v/>
      </c>
      <c r="T3822" s="14">
        <f>R3822-S3822</f>
        <v/>
      </c>
      <c r="U3822" s="14">
        <f>L3822*G3822</f>
        <v/>
      </c>
    </row>
    <row r="3823">
      <c r="A3823" s="12" t="inlineStr">
        <is>
          <t>PO-2023-3821</t>
        </is>
      </c>
      <c r="B3823" s="26" t="n">
        <v>44489</v>
      </c>
      <c r="C3823" s="12" t="inlineStr">
        <is>
          <t>VS20</t>
        </is>
      </c>
      <c r="D3823" s="12" t="inlineStr">
        <is>
          <t>MS Sheets</t>
        </is>
      </c>
      <c r="E3823" s="12" t="inlineStr">
        <is>
          <t>Y</t>
        </is>
      </c>
      <c r="F3823" s="12" t="n">
        <v>33.22</v>
      </c>
      <c r="G3823" s="17" t="n">
        <v>73045.12</v>
      </c>
      <c r="H3823" s="26" t="n">
        <v>44498</v>
      </c>
      <c r="I3823" s="26" t="n">
        <v>44498</v>
      </c>
      <c r="J3823" s="12" t="n">
        <v>33.09</v>
      </c>
      <c r="K3823" s="17" t="n">
        <v>2426558.89</v>
      </c>
      <c r="L3823" s="12" t="n">
        <v>0</v>
      </c>
      <c r="M3823" s="12" t="n">
        <v>0</v>
      </c>
      <c r="N3823" s="27">
        <f>F3823-J3823</f>
        <v/>
      </c>
      <c r="O3823" s="16">
        <f>I3823-H3823</f>
        <v/>
      </c>
      <c r="P3823" s="14">
        <f>F3823*G3823</f>
        <v/>
      </c>
      <c r="Q3823" s="14">
        <f>J3823*G3823</f>
        <v/>
      </c>
      <c r="R3823" s="14">
        <f>K3823-Q3823</f>
        <v/>
      </c>
      <c r="S3823" s="3">
        <f>P3823*Assumptions!$B$3/100</f>
        <v/>
      </c>
      <c r="T3823" s="14">
        <f>R3823-S3823</f>
        <v/>
      </c>
      <c r="U3823" s="14">
        <f>L3823*G3823</f>
        <v/>
      </c>
    </row>
    <row r="3824">
      <c r="A3824" s="12" t="inlineStr">
        <is>
          <t>PO-2023-3822</t>
        </is>
      </c>
      <c r="B3824" s="26" t="n">
        <v>44235</v>
      </c>
      <c r="C3824" s="12" t="inlineStr">
        <is>
          <t>VS06</t>
        </is>
      </c>
      <c r="D3824" s="12" t="inlineStr">
        <is>
          <t>Square/Rect Tubes</t>
        </is>
      </c>
      <c r="E3824" s="12" t="inlineStr">
        <is>
          <t>N</t>
        </is>
      </c>
      <c r="F3824" s="12" t="n">
        <v>47.88</v>
      </c>
      <c r="G3824" s="17" t="n">
        <v>79389.7</v>
      </c>
      <c r="H3824" s="26" t="n">
        <v>44241</v>
      </c>
      <c r="I3824" s="26" t="n">
        <v>44243</v>
      </c>
      <c r="J3824" s="12" t="n">
        <v>47.84</v>
      </c>
      <c r="K3824" s="17" t="n">
        <v>3801178.84</v>
      </c>
      <c r="L3824" s="12" t="n">
        <v>0</v>
      </c>
      <c r="M3824" s="12" t="n">
        <v>0</v>
      </c>
      <c r="N3824" s="27">
        <f>F3824-J3824</f>
        <v/>
      </c>
      <c r="O3824" s="16">
        <f>I3824-H3824</f>
        <v/>
      </c>
      <c r="P3824" s="14">
        <f>F3824*G3824</f>
        <v/>
      </c>
      <c r="Q3824" s="14">
        <f>J3824*G3824</f>
        <v/>
      </c>
      <c r="R3824" s="14">
        <f>K3824-Q3824</f>
        <v/>
      </c>
      <c r="S3824" s="3">
        <f>P3824*Assumptions!$B$3/100</f>
        <v/>
      </c>
      <c r="T3824" s="14">
        <f>R3824-S3824</f>
        <v/>
      </c>
      <c r="U3824" s="14">
        <f>L3824*G3824</f>
        <v/>
      </c>
    </row>
    <row r="3825">
      <c r="A3825" s="12" t="inlineStr">
        <is>
          <t>PO-2023-3823</t>
        </is>
      </c>
      <c r="B3825" s="26" t="n">
        <v>44215</v>
      </c>
      <c r="C3825" s="12" t="inlineStr">
        <is>
          <t>VS12</t>
        </is>
      </c>
      <c r="D3825" s="12" t="inlineStr">
        <is>
          <t>Spring Steel</t>
        </is>
      </c>
      <c r="E3825" s="12" t="inlineStr">
        <is>
          <t>Y</t>
        </is>
      </c>
      <c r="F3825" s="12" t="n">
        <v>45.56</v>
      </c>
      <c r="G3825" s="17" t="n">
        <v>91250.34</v>
      </c>
      <c r="H3825" s="26" t="n">
        <v>44224</v>
      </c>
      <c r="I3825" s="26" t="n">
        <v>44229</v>
      </c>
      <c r="J3825" s="12" t="n">
        <v>43.46</v>
      </c>
      <c r="K3825" s="17" t="n">
        <v>4157365.49</v>
      </c>
      <c r="L3825" s="12" t="n">
        <v>0.91</v>
      </c>
      <c r="M3825" s="12" t="n">
        <v>25</v>
      </c>
      <c r="N3825" s="27">
        <f>F3825-J3825</f>
        <v/>
      </c>
      <c r="O3825" s="16">
        <f>I3825-H3825</f>
        <v/>
      </c>
      <c r="P3825" s="14">
        <f>F3825*G3825</f>
        <v/>
      </c>
      <c r="Q3825" s="14">
        <f>J3825*G3825</f>
        <v/>
      </c>
      <c r="R3825" s="14">
        <f>K3825-Q3825</f>
        <v/>
      </c>
      <c r="S3825" s="3">
        <f>P3825*Assumptions!$B$3/100</f>
        <v/>
      </c>
      <c r="T3825" s="14">
        <f>R3825-S3825</f>
        <v/>
      </c>
      <c r="U3825" s="14">
        <f>L3825*G3825</f>
        <v/>
      </c>
    </row>
    <row r="3826">
      <c r="A3826" s="12" t="inlineStr">
        <is>
          <t>PO-2023-3824</t>
        </is>
      </c>
      <c r="B3826" s="26" t="n">
        <v>44317</v>
      </c>
      <c r="C3826" s="12" t="inlineStr">
        <is>
          <t>VS16</t>
        </is>
      </c>
      <c r="D3826" s="12" t="inlineStr">
        <is>
          <t>MS Rods</t>
        </is>
      </c>
      <c r="E3826" s="12" t="inlineStr">
        <is>
          <t>Y</t>
        </is>
      </c>
      <c r="F3826" s="12" t="n">
        <v>32.8</v>
      </c>
      <c r="G3826" s="17" t="n">
        <v>78664.45</v>
      </c>
      <c r="H3826" s="26" t="n">
        <v>44322</v>
      </c>
      <c r="I3826" s="26" t="n">
        <v>44325</v>
      </c>
      <c r="J3826" s="12" t="n">
        <v>32.76</v>
      </c>
      <c r="K3826" s="17" t="n">
        <v>2580193.96</v>
      </c>
      <c r="L3826" s="12" t="n">
        <v>0</v>
      </c>
      <c r="M3826" s="12" t="n">
        <v>0</v>
      </c>
      <c r="N3826" s="27">
        <f>F3826-J3826</f>
        <v/>
      </c>
      <c r="O3826" s="16">
        <f>I3826-H3826</f>
        <v/>
      </c>
      <c r="P3826" s="14">
        <f>F3826*G3826</f>
        <v/>
      </c>
      <c r="Q3826" s="14">
        <f>J3826*G3826</f>
        <v/>
      </c>
      <c r="R3826" s="14">
        <f>K3826-Q3826</f>
        <v/>
      </c>
      <c r="S3826" s="3">
        <f>P3826*Assumptions!$B$3/100</f>
        <v/>
      </c>
      <c r="T3826" s="14">
        <f>R3826-S3826</f>
        <v/>
      </c>
      <c r="U3826" s="14">
        <f>L3826*G3826</f>
        <v/>
      </c>
    </row>
    <row r="3827">
      <c r="A3827" s="12" t="inlineStr">
        <is>
          <t>PO-2023-3825</t>
        </is>
      </c>
      <c r="B3827" s="26" t="n">
        <v>44798</v>
      </c>
      <c r="C3827" s="12" t="inlineStr">
        <is>
          <t>VS16</t>
        </is>
      </c>
      <c r="D3827" s="12" t="inlineStr">
        <is>
          <t>MS Rods</t>
        </is>
      </c>
      <c r="E3827" s="12" t="inlineStr">
        <is>
          <t>Y</t>
        </is>
      </c>
      <c r="F3827" s="12" t="n">
        <v>16.59</v>
      </c>
      <c r="G3827" s="17" t="n">
        <v>108334.62</v>
      </c>
      <c r="H3827" s="26" t="n">
        <v>44812</v>
      </c>
      <c r="I3827" s="26" t="n">
        <v>44815</v>
      </c>
      <c r="J3827" s="12" t="n">
        <v>16.45</v>
      </c>
      <c r="K3827" s="17" t="n">
        <v>1797271.35</v>
      </c>
      <c r="L3827" s="12" t="n">
        <v>0</v>
      </c>
      <c r="M3827" s="12" t="n">
        <v>0</v>
      </c>
      <c r="N3827" s="27">
        <f>F3827-J3827</f>
        <v/>
      </c>
      <c r="O3827" s="16">
        <f>I3827-H3827</f>
        <v/>
      </c>
      <c r="P3827" s="14">
        <f>F3827*G3827</f>
        <v/>
      </c>
      <c r="Q3827" s="14">
        <f>J3827*G3827</f>
        <v/>
      </c>
      <c r="R3827" s="14">
        <f>K3827-Q3827</f>
        <v/>
      </c>
      <c r="S3827" s="3">
        <f>P3827*Assumptions!$B$3/100</f>
        <v/>
      </c>
      <c r="T3827" s="14">
        <f>R3827-S3827</f>
        <v/>
      </c>
      <c r="U3827" s="14">
        <f>L3827*G3827</f>
        <v/>
      </c>
    </row>
    <row r="3828">
      <c r="A3828" s="12" t="inlineStr">
        <is>
          <t>PO-2023-3826</t>
        </is>
      </c>
      <c r="B3828" s="26" t="n">
        <v>44828</v>
      </c>
      <c r="C3828" s="12" t="inlineStr">
        <is>
          <t>VS03</t>
        </is>
      </c>
      <c r="D3828" s="12" t="inlineStr">
        <is>
          <t>Angles &amp; Channels</t>
        </is>
      </c>
      <c r="E3828" s="12" t="inlineStr">
        <is>
          <t>N</t>
        </is>
      </c>
      <c r="F3828" s="12" t="n">
        <v>18.39</v>
      </c>
      <c r="G3828" s="17" t="n">
        <v>101275.29</v>
      </c>
      <c r="H3828" s="26" t="n">
        <v>44837</v>
      </c>
      <c r="I3828" s="26" t="n">
        <v>44841</v>
      </c>
      <c r="J3828" s="12" t="n">
        <v>17.99</v>
      </c>
      <c r="K3828" s="17" t="n">
        <v>1862452.58</v>
      </c>
      <c r="L3828" s="12" t="n">
        <v>0.44</v>
      </c>
      <c r="M3828" s="12" t="n">
        <v>24</v>
      </c>
      <c r="N3828" s="27">
        <f>F3828-J3828</f>
        <v/>
      </c>
      <c r="O3828" s="16">
        <f>I3828-H3828</f>
        <v/>
      </c>
      <c r="P3828" s="14">
        <f>F3828*G3828</f>
        <v/>
      </c>
      <c r="Q3828" s="14">
        <f>J3828*G3828</f>
        <v/>
      </c>
      <c r="R3828" s="14">
        <f>K3828-Q3828</f>
        <v/>
      </c>
      <c r="S3828" s="3">
        <f>P3828*Assumptions!$B$3/100</f>
        <v/>
      </c>
      <c r="T3828" s="14">
        <f>R3828-S3828</f>
        <v/>
      </c>
      <c r="U3828" s="14">
        <f>L3828*G3828</f>
        <v/>
      </c>
    </row>
    <row r="3829">
      <c r="A3829" s="12" t="inlineStr">
        <is>
          <t>PO-2023-3827</t>
        </is>
      </c>
      <c r="B3829" s="26" t="n">
        <v>44720</v>
      </c>
      <c r="C3829" s="12" t="inlineStr">
        <is>
          <t>VS33</t>
        </is>
      </c>
      <c r="D3829" s="12" t="inlineStr">
        <is>
          <t>SS Pipes</t>
        </is>
      </c>
      <c r="E3829" s="12" t="inlineStr">
        <is>
          <t>N</t>
        </is>
      </c>
      <c r="F3829" s="12" t="n">
        <v>35.3</v>
      </c>
      <c r="G3829" s="17" t="n">
        <v>106136.44</v>
      </c>
      <c r="H3829" s="26" t="n">
        <v>44735</v>
      </c>
      <c r="I3829" s="26" t="n">
        <v>44738</v>
      </c>
      <c r="J3829" s="12" t="n">
        <v>35.08</v>
      </c>
      <c r="K3829" s="17" t="n">
        <v>3746616.33</v>
      </c>
      <c r="L3829" s="12" t="n">
        <v>0</v>
      </c>
      <c r="M3829" s="12" t="n">
        <v>0</v>
      </c>
      <c r="N3829" s="27">
        <f>F3829-J3829</f>
        <v/>
      </c>
      <c r="O3829" s="16">
        <f>I3829-H3829</f>
        <v/>
      </c>
      <c r="P3829" s="14">
        <f>F3829*G3829</f>
        <v/>
      </c>
      <c r="Q3829" s="14">
        <f>J3829*G3829</f>
        <v/>
      </c>
      <c r="R3829" s="14">
        <f>K3829-Q3829</f>
        <v/>
      </c>
      <c r="S3829" s="3">
        <f>P3829*Assumptions!$B$3/100</f>
        <v/>
      </c>
      <c r="T3829" s="14">
        <f>R3829-S3829</f>
        <v/>
      </c>
      <c r="U3829" s="14">
        <f>L3829*G3829</f>
        <v/>
      </c>
    </row>
    <row r="3830">
      <c r="A3830" s="12" t="inlineStr">
        <is>
          <t>PO-2023-3828</t>
        </is>
      </c>
      <c r="B3830" s="26" t="n">
        <v>44949</v>
      </c>
      <c r="C3830" s="12" t="inlineStr">
        <is>
          <t>VS18</t>
        </is>
      </c>
      <c r="D3830" s="12" t="inlineStr">
        <is>
          <t>MS Pipes</t>
        </is>
      </c>
      <c r="E3830" s="12" t="inlineStr">
        <is>
          <t>N</t>
        </is>
      </c>
      <c r="F3830" s="12" t="n">
        <v>48.57</v>
      </c>
      <c r="G3830" s="17" t="n">
        <v>110527.8</v>
      </c>
      <c r="H3830" s="26" t="n">
        <v>44963</v>
      </c>
      <c r="I3830" s="26" t="n">
        <v>44965</v>
      </c>
      <c r="J3830" s="12" t="n">
        <v>48.37</v>
      </c>
      <c r="K3830" s="17" t="n">
        <v>5368335.25</v>
      </c>
      <c r="L3830" s="12" t="n">
        <v>0</v>
      </c>
      <c r="M3830" s="12" t="n">
        <v>0</v>
      </c>
      <c r="N3830" s="27">
        <f>F3830-J3830</f>
        <v/>
      </c>
      <c r="O3830" s="16">
        <f>I3830-H3830</f>
        <v/>
      </c>
      <c r="P3830" s="14">
        <f>F3830*G3830</f>
        <v/>
      </c>
      <c r="Q3830" s="14">
        <f>J3830*G3830</f>
        <v/>
      </c>
      <c r="R3830" s="14">
        <f>K3830-Q3830</f>
        <v/>
      </c>
      <c r="S3830" s="3">
        <f>P3830*Assumptions!$B$3/100</f>
        <v/>
      </c>
      <c r="T3830" s="14">
        <f>R3830-S3830</f>
        <v/>
      </c>
      <c r="U3830" s="14">
        <f>L3830*G3830</f>
        <v/>
      </c>
    </row>
    <row r="3831">
      <c r="A3831" s="12" t="inlineStr">
        <is>
          <t>PO-2023-3829</t>
        </is>
      </c>
      <c r="B3831" s="26" t="n">
        <v>44754</v>
      </c>
      <c r="C3831" s="12" t="inlineStr">
        <is>
          <t>VS33</t>
        </is>
      </c>
      <c r="D3831" s="12" t="inlineStr">
        <is>
          <t>Spring Steel</t>
        </is>
      </c>
      <c r="E3831" s="12" t="inlineStr">
        <is>
          <t>N</t>
        </is>
      </c>
      <c r="F3831" s="12" t="n">
        <v>8.199999999999999</v>
      </c>
      <c r="G3831" s="17" t="n">
        <v>71420.86</v>
      </c>
      <c r="H3831" s="26" t="n">
        <v>44768</v>
      </c>
      <c r="I3831" s="26" t="n">
        <v>44768</v>
      </c>
      <c r="J3831" s="12" t="n">
        <v>8.15</v>
      </c>
      <c r="K3831" s="17" t="n">
        <v>585651.05</v>
      </c>
      <c r="L3831" s="12" t="n">
        <v>0</v>
      </c>
      <c r="M3831" s="12" t="n">
        <v>0</v>
      </c>
      <c r="N3831" s="27">
        <f>F3831-J3831</f>
        <v/>
      </c>
      <c r="O3831" s="16">
        <f>I3831-H3831</f>
        <v/>
      </c>
      <c r="P3831" s="14">
        <f>F3831*G3831</f>
        <v/>
      </c>
      <c r="Q3831" s="14">
        <f>J3831*G3831</f>
        <v/>
      </c>
      <c r="R3831" s="14">
        <f>K3831-Q3831</f>
        <v/>
      </c>
      <c r="S3831" s="3">
        <f>P3831*Assumptions!$B$3/100</f>
        <v/>
      </c>
      <c r="T3831" s="14">
        <f>R3831-S3831</f>
        <v/>
      </c>
      <c r="U3831" s="14">
        <f>L3831*G3831</f>
        <v/>
      </c>
    </row>
    <row r="3832">
      <c r="A3832" s="12" t="inlineStr">
        <is>
          <t>PO-2023-3830</t>
        </is>
      </c>
      <c r="B3832" s="26" t="n">
        <v>45122</v>
      </c>
      <c r="C3832" s="12" t="inlineStr">
        <is>
          <t>VS32</t>
        </is>
      </c>
      <c r="D3832" s="12" t="inlineStr">
        <is>
          <t>HR Coils</t>
        </is>
      </c>
      <c r="E3832" s="12" t="inlineStr">
        <is>
          <t>N</t>
        </is>
      </c>
      <c r="F3832" s="12" t="n">
        <v>26.37</v>
      </c>
      <c r="G3832" s="17" t="n">
        <v>65733.39</v>
      </c>
      <c r="H3832" s="26" t="n">
        <v>45136</v>
      </c>
      <c r="I3832" s="26" t="n">
        <v>45139</v>
      </c>
      <c r="J3832" s="12" t="n">
        <v>26.36</v>
      </c>
      <c r="K3832" s="17" t="n">
        <v>1733389.49</v>
      </c>
      <c r="L3832" s="12" t="n">
        <v>0</v>
      </c>
      <c r="M3832" s="12" t="n">
        <v>0</v>
      </c>
      <c r="N3832" s="27">
        <f>F3832-J3832</f>
        <v/>
      </c>
      <c r="O3832" s="16">
        <f>I3832-H3832</f>
        <v/>
      </c>
      <c r="P3832" s="14">
        <f>F3832*G3832</f>
        <v/>
      </c>
      <c r="Q3832" s="14">
        <f>J3832*G3832</f>
        <v/>
      </c>
      <c r="R3832" s="14">
        <f>K3832-Q3832</f>
        <v/>
      </c>
      <c r="S3832" s="3">
        <f>P3832*Assumptions!$B$3/100</f>
        <v/>
      </c>
      <c r="T3832" s="14">
        <f>R3832-S3832</f>
        <v/>
      </c>
      <c r="U3832" s="14">
        <f>L3832*G3832</f>
        <v/>
      </c>
    </row>
    <row r="3833">
      <c r="A3833" s="12" t="inlineStr">
        <is>
          <t>PO-2023-3831</t>
        </is>
      </c>
      <c r="B3833" s="26" t="n">
        <v>45016</v>
      </c>
      <c r="C3833" s="12" t="inlineStr">
        <is>
          <t>VS27</t>
        </is>
      </c>
      <c r="D3833" s="12" t="inlineStr">
        <is>
          <t>Square/Rect Tubes</t>
        </is>
      </c>
      <c r="E3833" s="12" t="inlineStr">
        <is>
          <t>N</t>
        </is>
      </c>
      <c r="F3833" s="12" t="n">
        <v>49.95</v>
      </c>
      <c r="G3833" s="17" t="n">
        <v>117054.77</v>
      </c>
      <c r="H3833" s="26" t="n">
        <v>45022</v>
      </c>
      <c r="I3833" s="26" t="n">
        <v>45025</v>
      </c>
      <c r="J3833" s="12" t="n">
        <v>49.67</v>
      </c>
      <c r="K3833" s="17" t="n">
        <v>5846885.76</v>
      </c>
      <c r="L3833" s="12" t="n">
        <v>0</v>
      </c>
      <c r="M3833" s="12" t="n">
        <v>8</v>
      </c>
      <c r="N3833" s="27">
        <f>F3833-J3833</f>
        <v/>
      </c>
      <c r="O3833" s="16">
        <f>I3833-H3833</f>
        <v/>
      </c>
      <c r="P3833" s="14">
        <f>F3833*G3833</f>
        <v/>
      </c>
      <c r="Q3833" s="14">
        <f>J3833*G3833</f>
        <v/>
      </c>
      <c r="R3833" s="14">
        <f>K3833-Q3833</f>
        <v/>
      </c>
      <c r="S3833" s="3">
        <f>P3833*Assumptions!$B$3/100</f>
        <v/>
      </c>
      <c r="T3833" s="14">
        <f>R3833-S3833</f>
        <v/>
      </c>
      <c r="U3833" s="14">
        <f>L3833*G3833</f>
        <v/>
      </c>
    </row>
    <row r="3834">
      <c r="A3834" s="12" t="inlineStr">
        <is>
          <t>PO-2023-3832</t>
        </is>
      </c>
      <c r="B3834" s="26" t="n">
        <v>45073</v>
      </c>
      <c r="C3834" s="12" t="inlineStr">
        <is>
          <t>VS03</t>
        </is>
      </c>
      <c r="D3834" s="12" t="inlineStr">
        <is>
          <t>MS Rods</t>
        </is>
      </c>
      <c r="E3834" s="12" t="inlineStr">
        <is>
          <t>N</t>
        </is>
      </c>
      <c r="F3834" s="12" t="n">
        <v>20.76</v>
      </c>
      <c r="G3834" s="17" t="n">
        <v>82960.23</v>
      </c>
      <c r="H3834" s="26" t="n">
        <v>45088</v>
      </c>
      <c r="I3834" s="26" t="n">
        <v>45095</v>
      </c>
      <c r="J3834" s="12" t="n">
        <v>20.05</v>
      </c>
      <c r="K3834" s="17" t="n">
        <v>1722254.37</v>
      </c>
      <c r="L3834" s="12" t="n">
        <v>0.35</v>
      </c>
      <c r="M3834" s="12" t="n">
        <v>0</v>
      </c>
      <c r="N3834" s="27">
        <f>F3834-J3834</f>
        <v/>
      </c>
      <c r="O3834" s="16">
        <f>I3834-H3834</f>
        <v/>
      </c>
      <c r="P3834" s="14">
        <f>F3834*G3834</f>
        <v/>
      </c>
      <c r="Q3834" s="14">
        <f>J3834*G3834</f>
        <v/>
      </c>
      <c r="R3834" s="14">
        <f>K3834-Q3834</f>
        <v/>
      </c>
      <c r="S3834" s="3">
        <f>P3834*Assumptions!$B$3/100</f>
        <v/>
      </c>
      <c r="T3834" s="14">
        <f>R3834-S3834</f>
        <v/>
      </c>
      <c r="U3834" s="14">
        <f>L3834*G3834</f>
        <v/>
      </c>
    </row>
    <row r="3835">
      <c r="A3835" s="12" t="inlineStr">
        <is>
          <t>PO-2023-3833</t>
        </is>
      </c>
      <c r="B3835" s="26" t="n">
        <v>45280</v>
      </c>
      <c r="C3835" s="12" t="inlineStr">
        <is>
          <t>VS27</t>
        </is>
      </c>
      <c r="D3835" s="12" t="inlineStr">
        <is>
          <t>SS Sheets</t>
        </is>
      </c>
      <c r="E3835" s="12" t="inlineStr">
        <is>
          <t>N</t>
        </is>
      </c>
      <c r="F3835" s="12" t="n">
        <v>29.68</v>
      </c>
      <c r="G3835" s="17" t="n">
        <v>54701.08</v>
      </c>
      <c r="H3835" s="26" t="n">
        <v>45292</v>
      </c>
      <c r="I3835" s="26" t="n">
        <v>45294</v>
      </c>
      <c r="J3835" s="12" t="n">
        <v>29.53</v>
      </c>
      <c r="K3835" s="17" t="n">
        <v>1623528.05</v>
      </c>
      <c r="L3835" s="12" t="n">
        <v>0</v>
      </c>
      <c r="M3835" s="12" t="n">
        <v>2</v>
      </c>
      <c r="N3835" s="27">
        <f>F3835-J3835</f>
        <v/>
      </c>
      <c r="O3835" s="16">
        <f>I3835-H3835</f>
        <v/>
      </c>
      <c r="P3835" s="14">
        <f>F3835*G3835</f>
        <v/>
      </c>
      <c r="Q3835" s="14">
        <f>J3835*G3835</f>
        <v/>
      </c>
      <c r="R3835" s="14">
        <f>K3835-Q3835</f>
        <v/>
      </c>
      <c r="S3835" s="3">
        <f>P3835*Assumptions!$B$3/100</f>
        <v/>
      </c>
      <c r="T3835" s="14">
        <f>R3835-S3835</f>
        <v/>
      </c>
      <c r="U3835" s="14">
        <f>L3835*G3835</f>
        <v/>
      </c>
    </row>
    <row r="3836">
      <c r="A3836" s="12" t="inlineStr">
        <is>
          <t>PO-2023-3834</t>
        </is>
      </c>
      <c r="B3836" s="26" t="n">
        <v>44832</v>
      </c>
      <c r="C3836" s="12" t="inlineStr">
        <is>
          <t>VS32</t>
        </is>
      </c>
      <c r="D3836" s="12" t="inlineStr">
        <is>
          <t>MS Sheets</t>
        </is>
      </c>
      <c r="E3836" s="12" t="inlineStr">
        <is>
          <t>N</t>
        </is>
      </c>
      <c r="F3836" s="12" t="n">
        <v>7.61</v>
      </c>
      <c r="G3836" s="17" t="n">
        <v>48787.33</v>
      </c>
      <c r="H3836" s="26" t="n">
        <v>44839</v>
      </c>
      <c r="I3836" s="26" t="n">
        <v>44841</v>
      </c>
      <c r="J3836" s="12" t="n">
        <v>7.6</v>
      </c>
      <c r="K3836" s="17" t="n">
        <v>371271.58</v>
      </c>
      <c r="L3836" s="12" t="n">
        <v>0</v>
      </c>
      <c r="M3836" s="12" t="n">
        <v>0</v>
      </c>
      <c r="N3836" s="27">
        <f>F3836-J3836</f>
        <v/>
      </c>
      <c r="O3836" s="16">
        <f>I3836-H3836</f>
        <v/>
      </c>
      <c r="P3836" s="14">
        <f>F3836*G3836</f>
        <v/>
      </c>
      <c r="Q3836" s="14">
        <f>J3836*G3836</f>
        <v/>
      </c>
      <c r="R3836" s="14">
        <f>K3836-Q3836</f>
        <v/>
      </c>
      <c r="S3836" s="3">
        <f>P3836*Assumptions!$B$3/100</f>
        <v/>
      </c>
      <c r="T3836" s="14">
        <f>R3836-S3836</f>
        <v/>
      </c>
      <c r="U3836" s="14">
        <f>L3836*G3836</f>
        <v/>
      </c>
    </row>
    <row r="3837">
      <c r="A3837" s="12" t="inlineStr">
        <is>
          <t>PO-2023-3835</t>
        </is>
      </c>
      <c r="B3837" s="26" t="n">
        <v>44577</v>
      </c>
      <c r="C3837" s="12" t="inlineStr">
        <is>
          <t>VS34</t>
        </is>
      </c>
      <c r="D3837" s="12" t="inlineStr">
        <is>
          <t>MS Rods</t>
        </is>
      </c>
      <c r="E3837" s="12" t="inlineStr">
        <is>
          <t>N</t>
        </is>
      </c>
      <c r="F3837" s="12" t="n">
        <v>10.04</v>
      </c>
      <c r="G3837" s="17" t="n">
        <v>117093.45</v>
      </c>
      <c r="H3837" s="26" t="n">
        <v>44589</v>
      </c>
      <c r="I3837" s="26" t="n">
        <v>44592</v>
      </c>
      <c r="J3837" s="12" t="n">
        <v>9.949999999999999</v>
      </c>
      <c r="K3837" s="17" t="n">
        <v>1175618.24</v>
      </c>
      <c r="L3837" s="12" t="n">
        <v>0</v>
      </c>
      <c r="M3837" s="12" t="n">
        <v>0</v>
      </c>
      <c r="N3837" s="27">
        <f>F3837-J3837</f>
        <v/>
      </c>
      <c r="O3837" s="16">
        <f>I3837-H3837</f>
        <v/>
      </c>
      <c r="P3837" s="14">
        <f>F3837*G3837</f>
        <v/>
      </c>
      <c r="Q3837" s="14">
        <f>J3837*G3837</f>
        <v/>
      </c>
      <c r="R3837" s="14">
        <f>K3837-Q3837</f>
        <v/>
      </c>
      <c r="S3837" s="3">
        <f>P3837*Assumptions!$B$3/100</f>
        <v/>
      </c>
      <c r="T3837" s="14">
        <f>R3837-S3837</f>
        <v/>
      </c>
      <c r="U3837" s="14">
        <f>L3837*G3837</f>
        <v/>
      </c>
    </row>
    <row r="3838">
      <c r="A3838" s="12" t="inlineStr">
        <is>
          <t>PO-2023-3836</t>
        </is>
      </c>
      <c r="B3838" s="26" t="n">
        <v>44460</v>
      </c>
      <c r="C3838" s="12" t="inlineStr">
        <is>
          <t>VS01</t>
        </is>
      </c>
      <c r="D3838" s="12" t="inlineStr">
        <is>
          <t>MS Rods</t>
        </is>
      </c>
      <c r="E3838" s="12" t="inlineStr">
        <is>
          <t>N</t>
        </is>
      </c>
      <c r="F3838" s="12" t="n">
        <v>21.43</v>
      </c>
      <c r="G3838" s="17" t="n">
        <v>50450.36</v>
      </c>
      <c r="H3838" s="26" t="n">
        <v>44470</v>
      </c>
      <c r="I3838" s="26" t="n">
        <v>44472</v>
      </c>
      <c r="J3838" s="12" t="n">
        <v>21.42</v>
      </c>
      <c r="K3838" s="17" t="n">
        <v>1081151.21</v>
      </c>
      <c r="L3838" s="12" t="n">
        <v>0</v>
      </c>
      <c r="M3838" s="12" t="n">
        <v>14</v>
      </c>
      <c r="N3838" s="27">
        <f>F3838-J3838</f>
        <v/>
      </c>
      <c r="O3838" s="16">
        <f>I3838-H3838</f>
        <v/>
      </c>
      <c r="P3838" s="14">
        <f>F3838*G3838</f>
        <v/>
      </c>
      <c r="Q3838" s="14">
        <f>J3838*G3838</f>
        <v/>
      </c>
      <c r="R3838" s="14">
        <f>K3838-Q3838</f>
        <v/>
      </c>
      <c r="S3838" s="3">
        <f>P3838*Assumptions!$B$3/100</f>
        <v/>
      </c>
      <c r="T3838" s="14">
        <f>R3838-S3838</f>
        <v/>
      </c>
      <c r="U3838" s="14">
        <f>L3838*G3838</f>
        <v/>
      </c>
    </row>
    <row r="3839">
      <c r="A3839" s="12" t="inlineStr">
        <is>
          <t>PO-2023-3837</t>
        </is>
      </c>
      <c r="B3839" s="26" t="n">
        <v>45032</v>
      </c>
      <c r="C3839" s="12" t="inlineStr">
        <is>
          <t>VS12</t>
        </is>
      </c>
      <c r="D3839" s="12" t="inlineStr">
        <is>
          <t>GI Sheets</t>
        </is>
      </c>
      <c r="E3839" s="12" t="inlineStr">
        <is>
          <t>N</t>
        </is>
      </c>
      <c r="F3839" s="12" t="n">
        <v>44.73</v>
      </c>
      <c r="G3839" s="17" t="n">
        <v>76202.52</v>
      </c>
      <c r="H3839" s="26" t="n">
        <v>45044</v>
      </c>
      <c r="I3839" s="26" t="n">
        <v>45046</v>
      </c>
      <c r="J3839" s="12" t="n">
        <v>43.73</v>
      </c>
      <c r="K3839" s="17" t="n">
        <v>3408538.72</v>
      </c>
      <c r="L3839" s="12" t="n">
        <v>0.53</v>
      </c>
      <c r="M3839" s="12" t="n">
        <v>8</v>
      </c>
      <c r="N3839" s="27">
        <f>F3839-J3839</f>
        <v/>
      </c>
      <c r="O3839" s="16">
        <f>I3839-H3839</f>
        <v/>
      </c>
      <c r="P3839" s="14">
        <f>F3839*G3839</f>
        <v/>
      </c>
      <c r="Q3839" s="14">
        <f>J3839*G3839</f>
        <v/>
      </c>
      <c r="R3839" s="14">
        <f>K3839-Q3839</f>
        <v/>
      </c>
      <c r="S3839" s="3">
        <f>P3839*Assumptions!$B$3/100</f>
        <v/>
      </c>
      <c r="T3839" s="14">
        <f>R3839-S3839</f>
        <v/>
      </c>
      <c r="U3839" s="14">
        <f>L3839*G3839</f>
        <v/>
      </c>
    </row>
    <row r="3840">
      <c r="A3840" s="12" t="inlineStr">
        <is>
          <t>PO-2023-3838</t>
        </is>
      </c>
      <c r="B3840" s="26" t="n">
        <v>44513</v>
      </c>
      <c r="C3840" s="12" t="inlineStr">
        <is>
          <t>VS16</t>
        </is>
      </c>
      <c r="D3840" s="12" t="inlineStr">
        <is>
          <t>GI Sheets</t>
        </is>
      </c>
      <c r="E3840" s="12" t="inlineStr">
        <is>
          <t>N</t>
        </is>
      </c>
      <c r="F3840" s="12" t="n">
        <v>16.71</v>
      </c>
      <c r="G3840" s="17" t="n">
        <v>86463.45</v>
      </c>
      <c r="H3840" s="26" t="n">
        <v>44523</v>
      </c>
      <c r="I3840" s="26" t="n">
        <v>44525</v>
      </c>
      <c r="J3840" s="12" t="n">
        <v>16.57</v>
      </c>
      <c r="K3840" s="17" t="n">
        <v>1444804.25</v>
      </c>
      <c r="L3840" s="12" t="n">
        <v>0</v>
      </c>
      <c r="M3840" s="12" t="n">
        <v>0</v>
      </c>
      <c r="N3840" s="27">
        <f>F3840-J3840</f>
        <v/>
      </c>
      <c r="O3840" s="16">
        <f>I3840-H3840</f>
        <v/>
      </c>
      <c r="P3840" s="14">
        <f>F3840*G3840</f>
        <v/>
      </c>
      <c r="Q3840" s="14">
        <f>J3840*G3840</f>
        <v/>
      </c>
      <c r="R3840" s="14">
        <f>K3840-Q3840</f>
        <v/>
      </c>
      <c r="S3840" s="3">
        <f>P3840*Assumptions!$B$3/100</f>
        <v/>
      </c>
      <c r="T3840" s="14">
        <f>R3840-S3840</f>
        <v/>
      </c>
      <c r="U3840" s="14">
        <f>L3840*G3840</f>
        <v/>
      </c>
    </row>
    <row r="3841">
      <c r="A3841" s="12" t="inlineStr">
        <is>
          <t>PO-2023-3839</t>
        </is>
      </c>
      <c r="B3841" s="26" t="n">
        <v>45015</v>
      </c>
      <c r="C3841" s="12" t="inlineStr">
        <is>
          <t>VS33</t>
        </is>
      </c>
      <c r="D3841" s="12" t="inlineStr">
        <is>
          <t>Fasteners &amp; Fittings</t>
        </is>
      </c>
      <c r="E3841" s="12" t="inlineStr">
        <is>
          <t>N</t>
        </is>
      </c>
      <c r="F3841" s="12" t="n">
        <v>35.8</v>
      </c>
      <c r="G3841" s="17" t="n">
        <v>78820.49000000001</v>
      </c>
      <c r="H3841" s="26" t="n">
        <v>45020</v>
      </c>
      <c r="I3841" s="26" t="n">
        <v>45022</v>
      </c>
      <c r="J3841" s="12" t="n">
        <v>35.61</v>
      </c>
      <c r="K3841" s="17" t="n">
        <v>2821773.54</v>
      </c>
      <c r="L3841" s="12" t="n">
        <v>0</v>
      </c>
      <c r="M3841" s="12" t="n">
        <v>15</v>
      </c>
      <c r="N3841" s="27">
        <f>F3841-J3841</f>
        <v/>
      </c>
      <c r="O3841" s="16">
        <f>I3841-H3841</f>
        <v/>
      </c>
      <c r="P3841" s="14">
        <f>F3841*G3841</f>
        <v/>
      </c>
      <c r="Q3841" s="14">
        <f>J3841*G3841</f>
        <v/>
      </c>
      <c r="R3841" s="14">
        <f>K3841-Q3841</f>
        <v/>
      </c>
      <c r="S3841" s="3">
        <f>P3841*Assumptions!$B$3/100</f>
        <v/>
      </c>
      <c r="T3841" s="14">
        <f>R3841-S3841</f>
        <v/>
      </c>
      <c r="U3841" s="14">
        <f>L3841*G3841</f>
        <v/>
      </c>
    </row>
    <row r="3842">
      <c r="A3842" s="12" t="inlineStr">
        <is>
          <t>PO-2023-3840</t>
        </is>
      </c>
      <c r="B3842" s="26" t="n">
        <v>44959</v>
      </c>
      <c r="C3842" s="12" t="inlineStr">
        <is>
          <t>VS28</t>
        </is>
      </c>
      <c r="D3842" s="12" t="inlineStr">
        <is>
          <t>MS Pipes</t>
        </is>
      </c>
      <c r="E3842" s="12" t="inlineStr">
        <is>
          <t>Y</t>
        </is>
      </c>
      <c r="F3842" s="12" t="n">
        <v>15.75</v>
      </c>
      <c r="G3842" s="17" t="n">
        <v>63529.43</v>
      </c>
      <c r="H3842" s="26" t="n">
        <v>44970</v>
      </c>
      <c r="I3842" s="26" t="n">
        <v>44972</v>
      </c>
      <c r="J3842" s="12" t="n">
        <v>15.63</v>
      </c>
      <c r="K3842" s="17" t="n">
        <v>1000588.52</v>
      </c>
      <c r="L3842" s="12" t="n">
        <v>0</v>
      </c>
      <c r="M3842" s="12" t="n">
        <v>8</v>
      </c>
      <c r="N3842" s="27">
        <f>F3842-J3842</f>
        <v/>
      </c>
      <c r="O3842" s="16">
        <f>I3842-H3842</f>
        <v/>
      </c>
      <c r="P3842" s="14">
        <f>F3842*G3842</f>
        <v/>
      </c>
      <c r="Q3842" s="14">
        <f>J3842*G3842</f>
        <v/>
      </c>
      <c r="R3842" s="14">
        <f>K3842-Q3842</f>
        <v/>
      </c>
      <c r="S3842" s="3">
        <f>P3842*Assumptions!$B$3/100</f>
        <v/>
      </c>
      <c r="T3842" s="14">
        <f>R3842-S3842</f>
        <v/>
      </c>
      <c r="U3842" s="14">
        <f>L3842*G3842</f>
        <v/>
      </c>
    </row>
    <row r="3843">
      <c r="A3843" s="12" t="inlineStr">
        <is>
          <t>PO-2023-3841</t>
        </is>
      </c>
      <c r="B3843" s="26" t="n">
        <v>44550</v>
      </c>
      <c r="C3843" s="12" t="inlineStr">
        <is>
          <t>VS04</t>
        </is>
      </c>
      <c r="D3843" s="12" t="inlineStr">
        <is>
          <t>Hex Bars</t>
        </is>
      </c>
      <c r="E3843" s="12" t="inlineStr">
        <is>
          <t>N</t>
        </is>
      </c>
      <c r="F3843" s="12" t="n">
        <v>47.43</v>
      </c>
      <c r="G3843" s="17" t="n">
        <v>105560.96</v>
      </c>
      <c r="H3843" s="26" t="n">
        <v>44562</v>
      </c>
      <c r="I3843" s="26" t="n">
        <v>44563</v>
      </c>
      <c r="J3843" s="12" t="n">
        <v>46.99</v>
      </c>
      <c r="K3843" s="17" t="n">
        <v>5006756.33</v>
      </c>
      <c r="L3843" s="12" t="n">
        <v>0</v>
      </c>
      <c r="M3843" s="12" t="n">
        <v>0</v>
      </c>
      <c r="N3843" s="27">
        <f>F3843-J3843</f>
        <v/>
      </c>
      <c r="O3843" s="16">
        <f>I3843-H3843</f>
        <v/>
      </c>
      <c r="P3843" s="14">
        <f>F3843*G3843</f>
        <v/>
      </c>
      <c r="Q3843" s="14">
        <f>J3843*G3843</f>
        <v/>
      </c>
      <c r="R3843" s="14">
        <f>K3843-Q3843</f>
        <v/>
      </c>
      <c r="S3843" s="3">
        <f>P3843*Assumptions!$B$3/100</f>
        <v/>
      </c>
      <c r="T3843" s="14">
        <f>R3843-S3843</f>
        <v/>
      </c>
      <c r="U3843" s="14">
        <f>L3843*G3843</f>
        <v/>
      </c>
    </row>
    <row r="3844">
      <c r="A3844" s="12" t="inlineStr">
        <is>
          <t>PO-2023-3842</t>
        </is>
      </c>
      <c r="B3844" s="26" t="n">
        <v>44702</v>
      </c>
      <c r="C3844" s="12" t="inlineStr">
        <is>
          <t>VS07</t>
        </is>
      </c>
      <c r="D3844" s="12" t="inlineStr">
        <is>
          <t>MS Flats</t>
        </is>
      </c>
      <c r="E3844" s="12" t="inlineStr">
        <is>
          <t>N</t>
        </is>
      </c>
      <c r="F3844" s="12" t="n">
        <v>10.81</v>
      </c>
      <c r="G3844" s="17" t="n">
        <v>84591.00999999999</v>
      </c>
      <c r="H3844" s="26" t="n">
        <v>44708</v>
      </c>
      <c r="I3844" s="26" t="n">
        <v>44710</v>
      </c>
      <c r="J3844" s="12" t="n">
        <v>10.76</v>
      </c>
      <c r="K3844" s="17" t="n">
        <v>914428.8199999999</v>
      </c>
      <c r="L3844" s="12" t="n">
        <v>0</v>
      </c>
      <c r="M3844" s="12" t="n">
        <v>12</v>
      </c>
      <c r="N3844" s="27">
        <f>F3844-J3844</f>
        <v/>
      </c>
      <c r="O3844" s="16">
        <f>I3844-H3844</f>
        <v/>
      </c>
      <c r="P3844" s="14">
        <f>F3844*G3844</f>
        <v/>
      </c>
      <c r="Q3844" s="14">
        <f>J3844*G3844</f>
        <v/>
      </c>
      <c r="R3844" s="14">
        <f>K3844-Q3844</f>
        <v/>
      </c>
      <c r="S3844" s="3">
        <f>P3844*Assumptions!$B$3/100</f>
        <v/>
      </c>
      <c r="T3844" s="14">
        <f>R3844-S3844</f>
        <v/>
      </c>
      <c r="U3844" s="14">
        <f>L3844*G3844</f>
        <v/>
      </c>
    </row>
    <row r="3845">
      <c r="A3845" s="12" t="inlineStr">
        <is>
          <t>PO-2023-3843</t>
        </is>
      </c>
      <c r="B3845" s="26" t="n">
        <v>44370</v>
      </c>
      <c r="C3845" s="12" t="inlineStr">
        <is>
          <t>VS10</t>
        </is>
      </c>
      <c r="D3845" s="12" t="inlineStr">
        <is>
          <t>Square/Rect Tubes</t>
        </is>
      </c>
      <c r="E3845" s="12" t="inlineStr">
        <is>
          <t>N</t>
        </is>
      </c>
      <c r="F3845" s="12" t="n">
        <v>20.72</v>
      </c>
      <c r="G3845" s="17" t="n">
        <v>47199.82</v>
      </c>
      <c r="H3845" s="26" t="n">
        <v>44374</v>
      </c>
      <c r="I3845" s="26" t="n">
        <v>44376</v>
      </c>
      <c r="J3845" s="12" t="n">
        <v>20.59</v>
      </c>
      <c r="K3845" s="17" t="n">
        <v>977980.27</v>
      </c>
      <c r="L3845" s="12" t="n">
        <v>0</v>
      </c>
      <c r="M3845" s="12" t="n">
        <v>0</v>
      </c>
      <c r="N3845" s="27">
        <f>F3845-J3845</f>
        <v/>
      </c>
      <c r="O3845" s="16">
        <f>I3845-H3845</f>
        <v/>
      </c>
      <c r="P3845" s="14">
        <f>F3845*G3845</f>
        <v/>
      </c>
      <c r="Q3845" s="14">
        <f>J3845*G3845</f>
        <v/>
      </c>
      <c r="R3845" s="14">
        <f>K3845-Q3845</f>
        <v/>
      </c>
      <c r="S3845" s="3">
        <f>P3845*Assumptions!$B$3/100</f>
        <v/>
      </c>
      <c r="T3845" s="14">
        <f>R3845-S3845</f>
        <v/>
      </c>
      <c r="U3845" s="14">
        <f>L3845*G3845</f>
        <v/>
      </c>
    </row>
    <row r="3846">
      <c r="A3846" s="12" t="inlineStr">
        <is>
          <t>PO-2023-3844</t>
        </is>
      </c>
      <c r="B3846" s="26" t="n">
        <v>44790</v>
      </c>
      <c r="C3846" s="12" t="inlineStr">
        <is>
          <t>VS20</t>
        </is>
      </c>
      <c r="D3846" s="12" t="inlineStr">
        <is>
          <t>GI Pipes</t>
        </is>
      </c>
      <c r="E3846" s="12" t="inlineStr">
        <is>
          <t>N</t>
        </is>
      </c>
      <c r="F3846" s="12" t="n">
        <v>32.97</v>
      </c>
      <c r="G3846" s="17" t="n">
        <v>94366.83</v>
      </c>
      <c r="H3846" s="26" t="n">
        <v>44800</v>
      </c>
      <c r="I3846" s="26" t="n">
        <v>44800</v>
      </c>
      <c r="J3846" s="12" t="n">
        <v>32.95</v>
      </c>
      <c r="K3846" s="17" t="n">
        <v>3111274.39</v>
      </c>
      <c r="L3846" s="12" t="n">
        <v>0</v>
      </c>
      <c r="M3846" s="12" t="n">
        <v>15</v>
      </c>
      <c r="N3846" s="27">
        <f>F3846-J3846</f>
        <v/>
      </c>
      <c r="O3846" s="16">
        <f>I3846-H3846</f>
        <v/>
      </c>
      <c r="P3846" s="14">
        <f>F3846*G3846</f>
        <v/>
      </c>
      <c r="Q3846" s="14">
        <f>J3846*G3846</f>
        <v/>
      </c>
      <c r="R3846" s="14">
        <f>K3846-Q3846</f>
        <v/>
      </c>
      <c r="S3846" s="3">
        <f>P3846*Assumptions!$B$3/100</f>
        <v/>
      </c>
      <c r="T3846" s="14">
        <f>R3846-S3846</f>
        <v/>
      </c>
      <c r="U3846" s="14">
        <f>L3846*G3846</f>
        <v/>
      </c>
    </row>
    <row r="3847">
      <c r="A3847" s="12" t="inlineStr">
        <is>
          <t>PO-2023-3845</t>
        </is>
      </c>
      <c r="B3847" s="26" t="n">
        <v>45013</v>
      </c>
      <c r="C3847" s="12" t="inlineStr">
        <is>
          <t>VS10</t>
        </is>
      </c>
      <c r="D3847" s="12" t="inlineStr">
        <is>
          <t>SS Pipes</t>
        </is>
      </c>
      <c r="E3847" s="12" t="inlineStr">
        <is>
          <t>N</t>
        </is>
      </c>
      <c r="F3847" s="12" t="n">
        <v>47.87</v>
      </c>
      <c r="G3847" s="17" t="n">
        <v>67871.98</v>
      </c>
      <c r="H3847" s="26" t="n">
        <v>45026</v>
      </c>
      <c r="I3847" s="26" t="n">
        <v>45029</v>
      </c>
      <c r="J3847" s="12" t="n">
        <v>47.55</v>
      </c>
      <c r="K3847" s="17" t="n">
        <v>3249031.68</v>
      </c>
      <c r="L3847" s="12" t="n">
        <v>0</v>
      </c>
      <c r="M3847" s="12" t="n">
        <v>0</v>
      </c>
      <c r="N3847" s="27">
        <f>F3847-J3847</f>
        <v/>
      </c>
      <c r="O3847" s="16">
        <f>I3847-H3847</f>
        <v/>
      </c>
      <c r="P3847" s="14">
        <f>F3847*G3847</f>
        <v/>
      </c>
      <c r="Q3847" s="14">
        <f>J3847*G3847</f>
        <v/>
      </c>
      <c r="R3847" s="14">
        <f>K3847-Q3847</f>
        <v/>
      </c>
      <c r="S3847" s="3">
        <f>P3847*Assumptions!$B$3/100</f>
        <v/>
      </c>
      <c r="T3847" s="14">
        <f>R3847-S3847</f>
        <v/>
      </c>
      <c r="U3847" s="14">
        <f>L3847*G3847</f>
        <v/>
      </c>
    </row>
    <row r="3848">
      <c r="A3848" s="12" t="inlineStr">
        <is>
          <t>PO-2023-3846</t>
        </is>
      </c>
      <c r="B3848" s="26" t="n">
        <v>44661</v>
      </c>
      <c r="C3848" s="12" t="inlineStr">
        <is>
          <t>VS03</t>
        </is>
      </c>
      <c r="D3848" s="12" t="inlineStr">
        <is>
          <t>SS Sheets</t>
        </is>
      </c>
      <c r="E3848" s="12" t="inlineStr">
        <is>
          <t>N</t>
        </is>
      </c>
      <c r="F3848" s="12" t="n">
        <v>36.82</v>
      </c>
      <c r="G3848" s="17" t="n">
        <v>90793.78999999999</v>
      </c>
      <c r="H3848" s="26" t="n">
        <v>44667</v>
      </c>
      <c r="I3848" s="26" t="n">
        <v>44670</v>
      </c>
      <c r="J3848" s="12" t="n">
        <v>35.79</v>
      </c>
      <c r="K3848" s="17" t="n">
        <v>3343027.35</v>
      </c>
      <c r="L3848" s="12" t="n">
        <v>1.46</v>
      </c>
      <c r="M3848" s="12" t="n">
        <v>13</v>
      </c>
      <c r="N3848" s="27">
        <f>F3848-J3848</f>
        <v/>
      </c>
      <c r="O3848" s="16">
        <f>I3848-H3848</f>
        <v/>
      </c>
      <c r="P3848" s="14">
        <f>F3848*G3848</f>
        <v/>
      </c>
      <c r="Q3848" s="14">
        <f>J3848*G3848</f>
        <v/>
      </c>
      <c r="R3848" s="14">
        <f>K3848-Q3848</f>
        <v/>
      </c>
      <c r="S3848" s="3">
        <f>P3848*Assumptions!$B$3/100</f>
        <v/>
      </c>
      <c r="T3848" s="14">
        <f>R3848-S3848</f>
        <v/>
      </c>
      <c r="U3848" s="14">
        <f>L3848*G3848</f>
        <v/>
      </c>
    </row>
    <row r="3849">
      <c r="A3849" s="12" t="inlineStr">
        <is>
          <t>PO-2023-3847</t>
        </is>
      </c>
      <c r="B3849" s="26" t="n">
        <v>44812</v>
      </c>
      <c r="C3849" s="12" t="inlineStr">
        <is>
          <t>VS08</t>
        </is>
      </c>
      <c r="D3849" s="12" t="inlineStr">
        <is>
          <t>MS Pipes</t>
        </is>
      </c>
      <c r="E3849" s="12" t="inlineStr">
        <is>
          <t>N</t>
        </is>
      </c>
      <c r="F3849" s="12" t="n">
        <v>11</v>
      </c>
      <c r="G3849" s="17" t="n">
        <v>105864.55</v>
      </c>
      <c r="H3849" s="26" t="n">
        <v>44822</v>
      </c>
      <c r="I3849" s="26" t="n">
        <v>44822</v>
      </c>
      <c r="J3849" s="12" t="n">
        <v>10.99</v>
      </c>
      <c r="K3849" s="17" t="n">
        <v>1164510.05</v>
      </c>
      <c r="L3849" s="12" t="n">
        <v>0</v>
      </c>
      <c r="M3849" s="12" t="n">
        <v>4</v>
      </c>
      <c r="N3849" s="27">
        <f>F3849-J3849</f>
        <v/>
      </c>
      <c r="O3849" s="16">
        <f>I3849-H3849</f>
        <v/>
      </c>
      <c r="P3849" s="14">
        <f>F3849*G3849</f>
        <v/>
      </c>
      <c r="Q3849" s="14">
        <f>J3849*G3849</f>
        <v/>
      </c>
      <c r="R3849" s="14">
        <f>K3849-Q3849</f>
        <v/>
      </c>
      <c r="S3849" s="3">
        <f>P3849*Assumptions!$B$3/100</f>
        <v/>
      </c>
      <c r="T3849" s="14">
        <f>R3849-S3849</f>
        <v/>
      </c>
      <c r="U3849" s="14">
        <f>L3849*G3849</f>
        <v/>
      </c>
    </row>
    <row r="3850">
      <c r="A3850" s="12" t="inlineStr">
        <is>
          <t>PO-2023-3848</t>
        </is>
      </c>
      <c r="B3850" s="26" t="n">
        <v>44855</v>
      </c>
      <c r="C3850" s="12" t="inlineStr">
        <is>
          <t>VS10</t>
        </is>
      </c>
      <c r="D3850" s="12" t="inlineStr">
        <is>
          <t>Spring Steel</t>
        </is>
      </c>
      <c r="E3850" s="12" t="inlineStr">
        <is>
          <t>N</t>
        </is>
      </c>
      <c r="F3850" s="12" t="n">
        <v>24.03</v>
      </c>
      <c r="G3850" s="17" t="n">
        <v>47487.9</v>
      </c>
      <c r="H3850" s="26" t="n">
        <v>44867</v>
      </c>
      <c r="I3850" s="26" t="n">
        <v>44867</v>
      </c>
      <c r="J3850" s="12" t="n">
        <v>23.87</v>
      </c>
      <c r="K3850" s="17" t="n">
        <v>1141134.24</v>
      </c>
      <c r="L3850" s="12" t="n">
        <v>0</v>
      </c>
      <c r="M3850" s="12" t="n">
        <v>1</v>
      </c>
      <c r="N3850" s="27">
        <f>F3850-J3850</f>
        <v/>
      </c>
      <c r="O3850" s="16">
        <f>I3850-H3850</f>
        <v/>
      </c>
      <c r="P3850" s="14">
        <f>F3850*G3850</f>
        <v/>
      </c>
      <c r="Q3850" s="14">
        <f>J3850*G3850</f>
        <v/>
      </c>
      <c r="R3850" s="14">
        <f>K3850-Q3850</f>
        <v/>
      </c>
      <c r="S3850" s="3">
        <f>P3850*Assumptions!$B$3/100</f>
        <v/>
      </c>
      <c r="T3850" s="14">
        <f>R3850-S3850</f>
        <v/>
      </c>
      <c r="U3850" s="14">
        <f>L3850*G3850</f>
        <v/>
      </c>
    </row>
    <row r="3851">
      <c r="A3851" s="12" t="inlineStr">
        <is>
          <t>PO-2023-3849</t>
        </is>
      </c>
      <c r="B3851" s="26" t="n">
        <v>45087</v>
      </c>
      <c r="C3851" s="12" t="inlineStr">
        <is>
          <t>VS21</t>
        </is>
      </c>
      <c r="D3851" s="12" t="inlineStr">
        <is>
          <t>MS Rods</t>
        </is>
      </c>
      <c r="E3851" s="12" t="inlineStr">
        <is>
          <t>N</t>
        </is>
      </c>
      <c r="F3851" s="12" t="n">
        <v>15.56</v>
      </c>
      <c r="G3851" s="17" t="n">
        <v>100671.21</v>
      </c>
      <c r="H3851" s="26" t="n">
        <v>45100</v>
      </c>
      <c r="I3851" s="26" t="n">
        <v>45100</v>
      </c>
      <c r="J3851" s="12" t="n">
        <v>15.47</v>
      </c>
      <c r="K3851" s="17" t="n">
        <v>1566444.03</v>
      </c>
      <c r="L3851" s="12" t="n">
        <v>0</v>
      </c>
      <c r="M3851" s="12" t="n">
        <v>8</v>
      </c>
      <c r="N3851" s="27">
        <f>F3851-J3851</f>
        <v/>
      </c>
      <c r="O3851" s="16">
        <f>I3851-H3851</f>
        <v/>
      </c>
      <c r="P3851" s="14">
        <f>F3851*G3851</f>
        <v/>
      </c>
      <c r="Q3851" s="14">
        <f>J3851*G3851</f>
        <v/>
      </c>
      <c r="R3851" s="14">
        <f>K3851-Q3851</f>
        <v/>
      </c>
      <c r="S3851" s="3">
        <f>P3851*Assumptions!$B$3/100</f>
        <v/>
      </c>
      <c r="T3851" s="14">
        <f>R3851-S3851</f>
        <v/>
      </c>
      <c r="U3851" s="14">
        <f>L3851*G3851</f>
        <v/>
      </c>
    </row>
    <row r="3852">
      <c r="A3852" s="12" t="inlineStr">
        <is>
          <t>PO-2023-3850</t>
        </is>
      </c>
      <c r="B3852" s="26" t="n">
        <v>44474</v>
      </c>
      <c r="C3852" s="12" t="inlineStr">
        <is>
          <t>VS19</t>
        </is>
      </c>
      <c r="D3852" s="12" t="inlineStr">
        <is>
          <t>MS Pipes</t>
        </is>
      </c>
      <c r="E3852" s="12" t="inlineStr">
        <is>
          <t>Y</t>
        </is>
      </c>
      <c r="F3852" s="12" t="n">
        <v>17.15</v>
      </c>
      <c r="G3852" s="17" t="n">
        <v>122430.44</v>
      </c>
      <c r="H3852" s="26" t="n">
        <v>44487</v>
      </c>
      <c r="I3852" s="26" t="n">
        <v>44493</v>
      </c>
      <c r="J3852" s="12" t="n">
        <v>16.48</v>
      </c>
      <c r="K3852" s="17" t="n">
        <v>2099682.05</v>
      </c>
      <c r="L3852" s="12" t="n">
        <v>0.03</v>
      </c>
      <c r="M3852" s="12" t="n">
        <v>7</v>
      </c>
      <c r="N3852" s="27">
        <f>F3852-J3852</f>
        <v/>
      </c>
      <c r="O3852" s="16">
        <f>I3852-H3852</f>
        <v/>
      </c>
      <c r="P3852" s="14">
        <f>F3852*G3852</f>
        <v/>
      </c>
      <c r="Q3852" s="14">
        <f>J3852*G3852</f>
        <v/>
      </c>
      <c r="R3852" s="14">
        <f>K3852-Q3852</f>
        <v/>
      </c>
      <c r="S3852" s="3">
        <f>P3852*Assumptions!$B$3/100</f>
        <v/>
      </c>
      <c r="T3852" s="14">
        <f>R3852-S3852</f>
        <v/>
      </c>
      <c r="U3852" s="14">
        <f>L3852*G3852</f>
        <v/>
      </c>
    </row>
    <row r="3853">
      <c r="A3853" s="12" t="inlineStr">
        <is>
          <t>PO-2023-3851</t>
        </is>
      </c>
      <c r="B3853" s="26" t="n">
        <v>44506</v>
      </c>
      <c r="C3853" s="12" t="inlineStr">
        <is>
          <t>VS04</t>
        </is>
      </c>
      <c r="D3853" s="12" t="inlineStr">
        <is>
          <t>Hex Bars</t>
        </is>
      </c>
      <c r="E3853" s="12" t="inlineStr">
        <is>
          <t>N</t>
        </is>
      </c>
      <c r="F3853" s="12" t="n">
        <v>9.949999999999999</v>
      </c>
      <c r="G3853" s="17" t="n">
        <v>70262.52</v>
      </c>
      <c r="H3853" s="26" t="n">
        <v>44512</v>
      </c>
      <c r="I3853" s="26" t="n">
        <v>44512</v>
      </c>
      <c r="J3853" s="12" t="n">
        <v>9.91</v>
      </c>
      <c r="K3853" s="17" t="n">
        <v>699112.0699999999</v>
      </c>
      <c r="L3853" s="12" t="n">
        <v>0</v>
      </c>
      <c r="M3853" s="12" t="n">
        <v>0</v>
      </c>
      <c r="N3853" s="27">
        <f>F3853-J3853</f>
        <v/>
      </c>
      <c r="O3853" s="16">
        <f>I3853-H3853</f>
        <v/>
      </c>
      <c r="P3853" s="14">
        <f>F3853*G3853</f>
        <v/>
      </c>
      <c r="Q3853" s="14">
        <f>J3853*G3853</f>
        <v/>
      </c>
      <c r="R3853" s="14">
        <f>K3853-Q3853</f>
        <v/>
      </c>
      <c r="S3853" s="3">
        <f>P3853*Assumptions!$B$3/100</f>
        <v/>
      </c>
      <c r="T3853" s="14">
        <f>R3853-S3853</f>
        <v/>
      </c>
      <c r="U3853" s="14">
        <f>L3853*G3853</f>
        <v/>
      </c>
    </row>
    <row r="3854">
      <c r="A3854" s="12" t="inlineStr">
        <is>
          <t>PO-2023-3852</t>
        </is>
      </c>
      <c r="B3854" s="26" t="n">
        <v>44260</v>
      </c>
      <c r="C3854" s="12" t="inlineStr">
        <is>
          <t>VS32</t>
        </is>
      </c>
      <c r="D3854" s="12" t="inlineStr">
        <is>
          <t>GI Wire</t>
        </is>
      </c>
      <c r="E3854" s="12" t="inlineStr">
        <is>
          <t>N</t>
        </is>
      </c>
      <c r="F3854" s="12" t="n">
        <v>21.98</v>
      </c>
      <c r="G3854" s="17" t="n">
        <v>115680.71</v>
      </c>
      <c r="H3854" s="26" t="n">
        <v>44264</v>
      </c>
      <c r="I3854" s="26" t="n">
        <v>44266</v>
      </c>
      <c r="J3854" s="12" t="n">
        <v>21.96</v>
      </c>
      <c r="K3854" s="17" t="n">
        <v>2542662.01</v>
      </c>
      <c r="L3854" s="12" t="n">
        <v>0</v>
      </c>
      <c r="M3854" s="12" t="n">
        <v>13</v>
      </c>
      <c r="N3854" s="27">
        <f>F3854-J3854</f>
        <v/>
      </c>
      <c r="O3854" s="16">
        <f>I3854-H3854</f>
        <v/>
      </c>
      <c r="P3854" s="14">
        <f>F3854*G3854</f>
        <v/>
      </c>
      <c r="Q3854" s="14">
        <f>J3854*G3854</f>
        <v/>
      </c>
      <c r="R3854" s="14">
        <f>K3854-Q3854</f>
        <v/>
      </c>
      <c r="S3854" s="3">
        <f>P3854*Assumptions!$B$3/100</f>
        <v/>
      </c>
      <c r="T3854" s="14">
        <f>R3854-S3854</f>
        <v/>
      </c>
      <c r="U3854" s="14">
        <f>L3854*G3854</f>
        <v/>
      </c>
    </row>
    <row r="3855">
      <c r="A3855" s="12" t="inlineStr">
        <is>
          <t>PO-2023-3853</t>
        </is>
      </c>
      <c r="B3855" s="26" t="n">
        <v>44731</v>
      </c>
      <c r="C3855" s="12" t="inlineStr">
        <is>
          <t>VS26</t>
        </is>
      </c>
      <c r="D3855" s="12" t="inlineStr">
        <is>
          <t>Square/Rect Tubes</t>
        </is>
      </c>
      <c r="E3855" s="12" t="inlineStr">
        <is>
          <t>N</t>
        </is>
      </c>
      <c r="F3855" s="12" t="n">
        <v>45.85</v>
      </c>
      <c r="G3855" s="17" t="n">
        <v>87628.88</v>
      </c>
      <c r="H3855" s="26" t="n">
        <v>44746</v>
      </c>
      <c r="I3855" s="26" t="n">
        <v>44749</v>
      </c>
      <c r="J3855" s="12" t="n">
        <v>45.45</v>
      </c>
      <c r="K3855" s="17" t="n">
        <v>4017784.15</v>
      </c>
      <c r="L3855" s="12" t="n">
        <v>0</v>
      </c>
      <c r="M3855" s="12" t="n">
        <v>10</v>
      </c>
      <c r="N3855" s="27">
        <f>F3855-J3855</f>
        <v/>
      </c>
      <c r="O3855" s="16">
        <f>I3855-H3855</f>
        <v/>
      </c>
      <c r="P3855" s="14">
        <f>F3855*G3855</f>
        <v/>
      </c>
      <c r="Q3855" s="14">
        <f>J3855*G3855</f>
        <v/>
      </c>
      <c r="R3855" s="14">
        <f>K3855-Q3855</f>
        <v/>
      </c>
      <c r="S3855" s="3">
        <f>P3855*Assumptions!$B$3/100</f>
        <v/>
      </c>
      <c r="T3855" s="14">
        <f>R3855-S3855</f>
        <v/>
      </c>
      <c r="U3855" s="14">
        <f>L3855*G3855</f>
        <v/>
      </c>
    </row>
    <row r="3856">
      <c r="A3856" s="12" t="inlineStr">
        <is>
          <t>PO-2023-3854</t>
        </is>
      </c>
      <c r="B3856" s="26" t="n">
        <v>44266</v>
      </c>
      <c r="C3856" s="12" t="inlineStr">
        <is>
          <t>VS24</t>
        </is>
      </c>
      <c r="D3856" s="12" t="inlineStr">
        <is>
          <t>MS Rods</t>
        </is>
      </c>
      <c r="E3856" s="12" t="inlineStr">
        <is>
          <t>N</t>
        </is>
      </c>
      <c r="F3856" s="12" t="n">
        <v>27.16</v>
      </c>
      <c r="G3856" s="17" t="n">
        <v>110951.01</v>
      </c>
      <c r="H3856" s="26" t="n">
        <v>44270</v>
      </c>
      <c r="I3856" s="26" t="n">
        <v>44273</v>
      </c>
      <c r="J3856" s="12" t="n">
        <v>26.92</v>
      </c>
      <c r="K3856" s="17" t="n">
        <v>3013429.43</v>
      </c>
      <c r="L3856" s="12" t="n">
        <v>0</v>
      </c>
      <c r="M3856" s="12" t="n">
        <v>0</v>
      </c>
      <c r="N3856" s="27">
        <f>F3856-J3856</f>
        <v/>
      </c>
      <c r="O3856" s="16">
        <f>I3856-H3856</f>
        <v/>
      </c>
      <c r="P3856" s="14">
        <f>F3856*G3856</f>
        <v/>
      </c>
      <c r="Q3856" s="14">
        <f>J3856*G3856</f>
        <v/>
      </c>
      <c r="R3856" s="14">
        <f>K3856-Q3856</f>
        <v/>
      </c>
      <c r="S3856" s="3">
        <f>P3856*Assumptions!$B$3/100</f>
        <v/>
      </c>
      <c r="T3856" s="14">
        <f>R3856-S3856</f>
        <v/>
      </c>
      <c r="U3856" s="14">
        <f>L3856*G3856</f>
        <v/>
      </c>
    </row>
    <row r="3857">
      <c r="A3857" s="12" t="inlineStr">
        <is>
          <t>PO-2023-3855</t>
        </is>
      </c>
      <c r="B3857" s="26" t="n">
        <v>45167</v>
      </c>
      <c r="C3857" s="12" t="inlineStr">
        <is>
          <t>VS24</t>
        </is>
      </c>
      <c r="D3857" s="12" t="inlineStr">
        <is>
          <t>HR Coils</t>
        </is>
      </c>
      <c r="E3857" s="12" t="inlineStr">
        <is>
          <t>N</t>
        </is>
      </c>
      <c r="F3857" s="12" t="n">
        <v>31.77</v>
      </c>
      <c r="G3857" s="17" t="n">
        <v>45208.36</v>
      </c>
      <c r="H3857" s="26" t="n">
        <v>45179</v>
      </c>
      <c r="I3857" s="26" t="n">
        <v>45180</v>
      </c>
      <c r="J3857" s="12" t="n">
        <v>31.65</v>
      </c>
      <c r="K3857" s="17" t="n">
        <v>1436269.6</v>
      </c>
      <c r="L3857" s="12" t="n">
        <v>0</v>
      </c>
      <c r="M3857" s="12" t="n">
        <v>25</v>
      </c>
      <c r="N3857" s="27">
        <f>F3857-J3857</f>
        <v/>
      </c>
      <c r="O3857" s="16">
        <f>I3857-H3857</f>
        <v/>
      </c>
      <c r="P3857" s="14">
        <f>F3857*G3857</f>
        <v/>
      </c>
      <c r="Q3857" s="14">
        <f>J3857*G3857</f>
        <v/>
      </c>
      <c r="R3857" s="14">
        <f>K3857-Q3857</f>
        <v/>
      </c>
      <c r="S3857" s="3">
        <f>P3857*Assumptions!$B$3/100</f>
        <v/>
      </c>
      <c r="T3857" s="14">
        <f>R3857-S3857</f>
        <v/>
      </c>
      <c r="U3857" s="14">
        <f>L3857*G3857</f>
        <v/>
      </c>
    </row>
    <row r="3858">
      <c r="A3858" s="12" t="inlineStr">
        <is>
          <t>PO-2023-3856</t>
        </is>
      </c>
      <c r="B3858" s="26" t="n">
        <v>45033</v>
      </c>
      <c r="C3858" s="12" t="inlineStr">
        <is>
          <t>VS27</t>
        </is>
      </c>
      <c r="D3858" s="12" t="inlineStr">
        <is>
          <t>ERW Pipes</t>
        </is>
      </c>
      <c r="E3858" s="12" t="inlineStr">
        <is>
          <t>N</t>
        </is>
      </c>
      <c r="F3858" s="12" t="n">
        <v>46.89</v>
      </c>
      <c r="G3858" s="17" t="n">
        <v>77296.00999999999</v>
      </c>
      <c r="H3858" s="26" t="n">
        <v>45041</v>
      </c>
      <c r="I3858" s="26" t="n">
        <v>45041</v>
      </c>
      <c r="J3858" s="12" t="n">
        <v>46.78</v>
      </c>
      <c r="K3858" s="17" t="n">
        <v>3624409.91</v>
      </c>
      <c r="L3858" s="12" t="n">
        <v>0</v>
      </c>
      <c r="M3858" s="12" t="n">
        <v>5</v>
      </c>
      <c r="N3858" s="27">
        <f>F3858-J3858</f>
        <v/>
      </c>
      <c r="O3858" s="16">
        <f>I3858-H3858</f>
        <v/>
      </c>
      <c r="P3858" s="14">
        <f>F3858*G3858</f>
        <v/>
      </c>
      <c r="Q3858" s="14">
        <f>J3858*G3858</f>
        <v/>
      </c>
      <c r="R3858" s="14">
        <f>K3858-Q3858</f>
        <v/>
      </c>
      <c r="S3858" s="3">
        <f>P3858*Assumptions!$B$3/100</f>
        <v/>
      </c>
      <c r="T3858" s="14">
        <f>R3858-S3858</f>
        <v/>
      </c>
      <c r="U3858" s="14">
        <f>L3858*G3858</f>
        <v/>
      </c>
    </row>
    <row r="3859">
      <c r="A3859" s="12" t="inlineStr">
        <is>
          <t>PO-2023-3857</t>
        </is>
      </c>
      <c r="B3859" s="26" t="n">
        <v>45180</v>
      </c>
      <c r="C3859" s="12" t="inlineStr">
        <is>
          <t>VS10</t>
        </is>
      </c>
      <c r="D3859" s="12" t="inlineStr">
        <is>
          <t>SS Sheets</t>
        </is>
      </c>
      <c r="E3859" s="12" t="inlineStr">
        <is>
          <t>N</t>
        </is>
      </c>
      <c r="F3859" s="12" t="n">
        <v>42.63</v>
      </c>
      <c r="G3859" s="17" t="n">
        <v>45504.57</v>
      </c>
      <c r="H3859" s="26" t="n">
        <v>45186</v>
      </c>
      <c r="I3859" s="26" t="n">
        <v>45188</v>
      </c>
      <c r="J3859" s="12" t="n">
        <v>42.3</v>
      </c>
      <c r="K3859" s="17" t="n">
        <v>1939859.82</v>
      </c>
      <c r="L3859" s="12" t="n">
        <v>0</v>
      </c>
      <c r="M3859" s="12" t="n">
        <v>5</v>
      </c>
      <c r="N3859" s="27">
        <f>F3859-J3859</f>
        <v/>
      </c>
      <c r="O3859" s="16">
        <f>I3859-H3859</f>
        <v/>
      </c>
      <c r="P3859" s="14">
        <f>F3859*G3859</f>
        <v/>
      </c>
      <c r="Q3859" s="14">
        <f>J3859*G3859</f>
        <v/>
      </c>
      <c r="R3859" s="14">
        <f>K3859-Q3859</f>
        <v/>
      </c>
      <c r="S3859" s="3">
        <f>P3859*Assumptions!$B$3/100</f>
        <v/>
      </c>
      <c r="T3859" s="14">
        <f>R3859-S3859</f>
        <v/>
      </c>
      <c r="U3859" s="14">
        <f>L3859*G3859</f>
        <v/>
      </c>
    </row>
    <row r="3860">
      <c r="A3860" s="12" t="inlineStr">
        <is>
          <t>PO-2023-3858</t>
        </is>
      </c>
      <c r="B3860" s="26" t="n">
        <v>44826</v>
      </c>
      <c r="C3860" s="12" t="inlineStr">
        <is>
          <t>VS32</t>
        </is>
      </c>
      <c r="D3860" s="12" t="inlineStr">
        <is>
          <t>CR Sheets</t>
        </is>
      </c>
      <c r="E3860" s="12" t="inlineStr">
        <is>
          <t>N</t>
        </is>
      </c>
      <c r="F3860" s="12" t="n">
        <v>6.91</v>
      </c>
      <c r="G3860" s="17" t="n">
        <v>57252.51</v>
      </c>
      <c r="H3860" s="26" t="n">
        <v>44832</v>
      </c>
      <c r="I3860" s="26" t="n">
        <v>44833</v>
      </c>
      <c r="J3860" s="12" t="n">
        <v>6.9</v>
      </c>
      <c r="K3860" s="17" t="n">
        <v>395614.84</v>
      </c>
      <c r="L3860" s="12" t="n">
        <v>0</v>
      </c>
      <c r="M3860" s="12" t="n">
        <v>0</v>
      </c>
      <c r="N3860" s="27">
        <f>F3860-J3860</f>
        <v/>
      </c>
      <c r="O3860" s="16">
        <f>I3860-H3860</f>
        <v/>
      </c>
      <c r="P3860" s="14">
        <f>F3860*G3860</f>
        <v/>
      </c>
      <c r="Q3860" s="14">
        <f>J3860*G3860</f>
        <v/>
      </c>
      <c r="R3860" s="14">
        <f>K3860-Q3860</f>
        <v/>
      </c>
      <c r="S3860" s="3">
        <f>P3860*Assumptions!$B$3/100</f>
        <v/>
      </c>
      <c r="T3860" s="14">
        <f>R3860-S3860</f>
        <v/>
      </c>
      <c r="U3860" s="14">
        <f>L3860*G3860</f>
        <v/>
      </c>
    </row>
    <row r="3861">
      <c r="A3861" s="12" t="inlineStr">
        <is>
          <t>PO-2023-3859</t>
        </is>
      </c>
      <c r="B3861" s="26" t="n">
        <v>44345</v>
      </c>
      <c r="C3861" s="12" t="inlineStr">
        <is>
          <t>VS13</t>
        </is>
      </c>
      <c r="D3861" s="12" t="inlineStr">
        <is>
          <t>Structural Steel</t>
        </is>
      </c>
      <c r="E3861" s="12" t="inlineStr">
        <is>
          <t>N</t>
        </is>
      </c>
      <c r="F3861" s="12" t="n">
        <v>33.36</v>
      </c>
      <c r="G3861" s="17" t="n">
        <v>68681.14</v>
      </c>
      <c r="H3861" s="26" t="n">
        <v>44354</v>
      </c>
      <c r="I3861" s="26" t="n">
        <v>44357</v>
      </c>
      <c r="J3861" s="12" t="n">
        <v>33.13</v>
      </c>
      <c r="K3861" s="17" t="n">
        <v>2291202.83</v>
      </c>
      <c r="L3861" s="12" t="n">
        <v>0</v>
      </c>
      <c r="M3861" s="12" t="n">
        <v>18</v>
      </c>
      <c r="N3861" s="27">
        <f>F3861-J3861</f>
        <v/>
      </c>
      <c r="O3861" s="16">
        <f>I3861-H3861</f>
        <v/>
      </c>
      <c r="P3861" s="14">
        <f>F3861*G3861</f>
        <v/>
      </c>
      <c r="Q3861" s="14">
        <f>J3861*G3861</f>
        <v/>
      </c>
      <c r="R3861" s="14">
        <f>K3861-Q3861</f>
        <v/>
      </c>
      <c r="S3861" s="3">
        <f>P3861*Assumptions!$B$3/100</f>
        <v/>
      </c>
      <c r="T3861" s="14">
        <f>R3861-S3861</f>
        <v/>
      </c>
      <c r="U3861" s="14">
        <f>L3861*G3861</f>
        <v/>
      </c>
    </row>
    <row r="3862">
      <c r="A3862" s="12" t="inlineStr">
        <is>
          <t>PO-2023-3860</t>
        </is>
      </c>
      <c r="B3862" s="26" t="n">
        <v>44395</v>
      </c>
      <c r="C3862" s="12" t="inlineStr">
        <is>
          <t>VS01</t>
        </is>
      </c>
      <c r="D3862" s="12" t="inlineStr">
        <is>
          <t>GI Pipes</t>
        </is>
      </c>
      <c r="E3862" s="12" t="inlineStr">
        <is>
          <t>N</t>
        </is>
      </c>
      <c r="F3862" s="12" t="n">
        <v>25.31</v>
      </c>
      <c r="G3862" s="17" t="n">
        <v>82190.11</v>
      </c>
      <c r="H3862" s="26" t="n">
        <v>44408</v>
      </c>
      <c r="I3862" s="26" t="n">
        <v>44408</v>
      </c>
      <c r="J3862" s="12" t="n">
        <v>25.2</v>
      </c>
      <c r="K3862" s="17" t="n">
        <v>2080231.68</v>
      </c>
      <c r="L3862" s="12" t="n">
        <v>0</v>
      </c>
      <c r="M3862" s="12" t="n">
        <v>0</v>
      </c>
      <c r="N3862" s="27">
        <f>F3862-J3862</f>
        <v/>
      </c>
      <c r="O3862" s="16">
        <f>I3862-H3862</f>
        <v/>
      </c>
      <c r="P3862" s="14">
        <f>F3862*G3862</f>
        <v/>
      </c>
      <c r="Q3862" s="14">
        <f>J3862*G3862</f>
        <v/>
      </c>
      <c r="R3862" s="14">
        <f>K3862-Q3862</f>
        <v/>
      </c>
      <c r="S3862" s="3">
        <f>P3862*Assumptions!$B$3/100</f>
        <v/>
      </c>
      <c r="T3862" s="14">
        <f>R3862-S3862</f>
        <v/>
      </c>
      <c r="U3862" s="14">
        <f>L3862*G3862</f>
        <v/>
      </c>
    </row>
    <row r="3863">
      <c r="A3863" s="12" t="inlineStr">
        <is>
          <t>PO-2023-3861</t>
        </is>
      </c>
      <c r="B3863" s="26" t="n">
        <v>44544</v>
      </c>
      <c r="C3863" s="12" t="inlineStr">
        <is>
          <t>VS05</t>
        </is>
      </c>
      <c r="D3863" s="12" t="inlineStr">
        <is>
          <t>Structural Steel</t>
        </is>
      </c>
      <c r="E3863" s="12" t="inlineStr">
        <is>
          <t>N</t>
        </is>
      </c>
      <c r="F3863" s="12" t="n">
        <v>49.54</v>
      </c>
      <c r="G3863" s="17" t="n">
        <v>71220.89</v>
      </c>
      <c r="H3863" s="26" t="n">
        <v>44550</v>
      </c>
      <c r="I3863" s="26" t="n">
        <v>44551</v>
      </c>
      <c r="J3863" s="12" t="n">
        <v>49.41</v>
      </c>
      <c r="K3863" s="17" t="n">
        <v>3528282.89</v>
      </c>
      <c r="L3863" s="12" t="n">
        <v>0</v>
      </c>
      <c r="M3863" s="12" t="n">
        <v>6</v>
      </c>
      <c r="N3863" s="27">
        <f>F3863-J3863</f>
        <v/>
      </c>
      <c r="O3863" s="16">
        <f>I3863-H3863</f>
        <v/>
      </c>
      <c r="P3863" s="14">
        <f>F3863*G3863</f>
        <v/>
      </c>
      <c r="Q3863" s="14">
        <f>J3863*G3863</f>
        <v/>
      </c>
      <c r="R3863" s="14">
        <f>K3863-Q3863</f>
        <v/>
      </c>
      <c r="S3863" s="3">
        <f>P3863*Assumptions!$B$3/100</f>
        <v/>
      </c>
      <c r="T3863" s="14">
        <f>R3863-S3863</f>
        <v/>
      </c>
      <c r="U3863" s="14">
        <f>L3863*G3863</f>
        <v/>
      </c>
    </row>
    <row r="3864">
      <c r="A3864" s="12" t="inlineStr">
        <is>
          <t>PO-2023-3862</t>
        </is>
      </c>
      <c r="B3864" s="26" t="n">
        <v>45055</v>
      </c>
      <c r="C3864" s="12" t="inlineStr">
        <is>
          <t>VS06</t>
        </is>
      </c>
      <c r="D3864" s="12" t="inlineStr">
        <is>
          <t>MS Sheets</t>
        </is>
      </c>
      <c r="E3864" s="12" t="inlineStr">
        <is>
          <t>N</t>
        </is>
      </c>
      <c r="F3864" s="12" t="n">
        <v>48.33</v>
      </c>
      <c r="G3864" s="17" t="n">
        <v>55995.96</v>
      </c>
      <c r="H3864" s="26" t="n">
        <v>45063</v>
      </c>
      <c r="I3864" s="26" t="n">
        <v>45066</v>
      </c>
      <c r="J3864" s="12" t="n">
        <v>48.29</v>
      </c>
      <c r="K3864" s="17" t="n">
        <v>2706284.75</v>
      </c>
      <c r="L3864" s="12" t="n">
        <v>0</v>
      </c>
      <c r="M3864" s="12" t="n">
        <v>24</v>
      </c>
      <c r="N3864" s="27">
        <f>F3864-J3864</f>
        <v/>
      </c>
      <c r="O3864" s="16">
        <f>I3864-H3864</f>
        <v/>
      </c>
      <c r="P3864" s="14">
        <f>F3864*G3864</f>
        <v/>
      </c>
      <c r="Q3864" s="14">
        <f>J3864*G3864</f>
        <v/>
      </c>
      <c r="R3864" s="14">
        <f>K3864-Q3864</f>
        <v/>
      </c>
      <c r="S3864" s="3">
        <f>P3864*Assumptions!$B$3/100</f>
        <v/>
      </c>
      <c r="T3864" s="14">
        <f>R3864-S3864</f>
        <v/>
      </c>
      <c r="U3864" s="14">
        <f>L3864*G3864</f>
        <v/>
      </c>
    </row>
    <row r="3865">
      <c r="A3865" s="12" t="inlineStr">
        <is>
          <t>PO-2023-3863</t>
        </is>
      </c>
      <c r="B3865" s="26" t="n">
        <v>44342</v>
      </c>
      <c r="C3865" s="12" t="inlineStr">
        <is>
          <t>VS13</t>
        </is>
      </c>
      <c r="D3865" s="12" t="inlineStr">
        <is>
          <t>Hex Bars</t>
        </is>
      </c>
      <c r="E3865" s="12" t="inlineStr">
        <is>
          <t>N</t>
        </is>
      </c>
      <c r="F3865" s="12" t="n">
        <v>24.73</v>
      </c>
      <c r="G3865" s="17" t="n">
        <v>60747.54</v>
      </c>
      <c r="H3865" s="26" t="n">
        <v>44345</v>
      </c>
      <c r="I3865" s="26" t="n">
        <v>44348</v>
      </c>
      <c r="J3865" s="12" t="n">
        <v>24.62</v>
      </c>
      <c r="K3865" s="17" t="n">
        <v>1502286.66</v>
      </c>
      <c r="L3865" s="12" t="n">
        <v>0</v>
      </c>
      <c r="M3865" s="12" t="n">
        <v>11</v>
      </c>
      <c r="N3865" s="27">
        <f>F3865-J3865</f>
        <v/>
      </c>
      <c r="O3865" s="16">
        <f>I3865-H3865</f>
        <v/>
      </c>
      <c r="P3865" s="14">
        <f>F3865*G3865</f>
        <v/>
      </c>
      <c r="Q3865" s="14">
        <f>J3865*G3865</f>
        <v/>
      </c>
      <c r="R3865" s="14">
        <f>K3865-Q3865</f>
        <v/>
      </c>
      <c r="S3865" s="3">
        <f>P3865*Assumptions!$B$3/100</f>
        <v/>
      </c>
      <c r="T3865" s="14">
        <f>R3865-S3865</f>
        <v/>
      </c>
      <c r="U3865" s="14">
        <f>L3865*G3865</f>
        <v/>
      </c>
    </row>
    <row r="3866">
      <c r="A3866" s="12" t="inlineStr">
        <is>
          <t>PO-2023-3864</t>
        </is>
      </c>
      <c r="B3866" s="26" t="n">
        <v>44585</v>
      </c>
      <c r="C3866" s="12" t="inlineStr">
        <is>
          <t>VS20</t>
        </is>
      </c>
      <c r="D3866" s="12" t="inlineStr">
        <is>
          <t>MS Sheets</t>
        </is>
      </c>
      <c r="E3866" s="12" t="inlineStr">
        <is>
          <t>Y</t>
        </is>
      </c>
      <c r="F3866" s="12" t="n">
        <v>40.71</v>
      </c>
      <c r="G3866" s="17" t="n">
        <v>108883.81</v>
      </c>
      <c r="H3866" s="26" t="n">
        <v>44592</v>
      </c>
      <c r="I3866" s="26" t="n">
        <v>44594</v>
      </c>
      <c r="J3866" s="12" t="n">
        <v>40.56</v>
      </c>
      <c r="K3866" s="17" t="n">
        <v>4432659.91</v>
      </c>
      <c r="L3866" s="12" t="n">
        <v>0</v>
      </c>
      <c r="M3866" s="12" t="n">
        <v>16</v>
      </c>
      <c r="N3866" s="27">
        <f>F3866-J3866</f>
        <v/>
      </c>
      <c r="O3866" s="16">
        <f>I3866-H3866</f>
        <v/>
      </c>
      <c r="P3866" s="14">
        <f>F3866*G3866</f>
        <v/>
      </c>
      <c r="Q3866" s="14">
        <f>J3866*G3866</f>
        <v/>
      </c>
      <c r="R3866" s="14">
        <f>K3866-Q3866</f>
        <v/>
      </c>
      <c r="S3866" s="3">
        <f>P3866*Assumptions!$B$3/100</f>
        <v/>
      </c>
      <c r="T3866" s="14">
        <f>R3866-S3866</f>
        <v/>
      </c>
      <c r="U3866" s="14">
        <f>L3866*G3866</f>
        <v/>
      </c>
    </row>
    <row r="3867">
      <c r="A3867" s="12" t="inlineStr">
        <is>
          <t>PO-2023-3865</t>
        </is>
      </c>
      <c r="B3867" s="26" t="n">
        <v>44760</v>
      </c>
      <c r="C3867" s="12" t="inlineStr">
        <is>
          <t>VS29</t>
        </is>
      </c>
      <c r="D3867" s="12" t="inlineStr">
        <is>
          <t>SS Sheets</t>
        </is>
      </c>
      <c r="E3867" s="12" t="inlineStr">
        <is>
          <t>N</t>
        </is>
      </c>
      <c r="F3867" s="12" t="n">
        <v>27.95</v>
      </c>
      <c r="G3867" s="17" t="n">
        <v>45006.41</v>
      </c>
      <c r="H3867" s="26" t="n">
        <v>44767</v>
      </c>
      <c r="I3867" s="26" t="n">
        <v>44768</v>
      </c>
      <c r="J3867" s="12" t="n">
        <v>27.89</v>
      </c>
      <c r="K3867" s="17" t="n">
        <v>1257929.16</v>
      </c>
      <c r="L3867" s="12" t="n">
        <v>0</v>
      </c>
      <c r="M3867" s="12" t="n">
        <v>12</v>
      </c>
      <c r="N3867" s="27">
        <f>F3867-J3867</f>
        <v/>
      </c>
      <c r="O3867" s="16">
        <f>I3867-H3867</f>
        <v/>
      </c>
      <c r="P3867" s="14">
        <f>F3867*G3867</f>
        <v/>
      </c>
      <c r="Q3867" s="14">
        <f>J3867*G3867</f>
        <v/>
      </c>
      <c r="R3867" s="14">
        <f>K3867-Q3867</f>
        <v/>
      </c>
      <c r="S3867" s="3">
        <f>P3867*Assumptions!$B$3/100</f>
        <v/>
      </c>
      <c r="T3867" s="14">
        <f>R3867-S3867</f>
        <v/>
      </c>
      <c r="U3867" s="14">
        <f>L3867*G3867</f>
        <v/>
      </c>
    </row>
    <row r="3868">
      <c r="A3868" s="12" t="inlineStr">
        <is>
          <t>PO-2023-3866</t>
        </is>
      </c>
      <c r="B3868" s="26" t="n">
        <v>45207</v>
      </c>
      <c r="C3868" s="12" t="inlineStr">
        <is>
          <t>VS28</t>
        </is>
      </c>
      <c r="D3868" s="12" t="inlineStr">
        <is>
          <t>MS Pipes</t>
        </is>
      </c>
      <c r="E3868" s="12" t="inlineStr">
        <is>
          <t>Y</t>
        </is>
      </c>
      <c r="F3868" s="12" t="n">
        <v>22.75</v>
      </c>
      <c r="G3868" s="17" t="n">
        <v>116907.67</v>
      </c>
      <c r="H3868" s="26" t="n">
        <v>45216</v>
      </c>
      <c r="I3868" s="26" t="n">
        <v>45217</v>
      </c>
      <c r="J3868" s="12" t="n">
        <v>22.63</v>
      </c>
      <c r="K3868" s="17" t="n">
        <v>2659649.49</v>
      </c>
      <c r="L3868" s="12" t="n">
        <v>0</v>
      </c>
      <c r="M3868" s="12" t="n">
        <v>15</v>
      </c>
      <c r="N3868" s="27">
        <f>F3868-J3868</f>
        <v/>
      </c>
      <c r="O3868" s="16">
        <f>I3868-H3868</f>
        <v/>
      </c>
      <c r="P3868" s="14">
        <f>F3868*G3868</f>
        <v/>
      </c>
      <c r="Q3868" s="14">
        <f>J3868*G3868</f>
        <v/>
      </c>
      <c r="R3868" s="14">
        <f>K3868-Q3868</f>
        <v/>
      </c>
      <c r="S3868" s="3">
        <f>P3868*Assumptions!$B$3/100</f>
        <v/>
      </c>
      <c r="T3868" s="14">
        <f>R3868-S3868</f>
        <v/>
      </c>
      <c r="U3868" s="14">
        <f>L3868*G3868</f>
        <v/>
      </c>
    </row>
    <row r="3869">
      <c r="A3869" s="12" t="inlineStr">
        <is>
          <t>PO-2023-3867</t>
        </is>
      </c>
      <c r="B3869" s="26" t="n">
        <v>44460</v>
      </c>
      <c r="C3869" s="12" t="inlineStr">
        <is>
          <t>VS15</t>
        </is>
      </c>
      <c r="D3869" s="12" t="inlineStr">
        <is>
          <t>MS Flats</t>
        </is>
      </c>
      <c r="E3869" s="12" t="inlineStr">
        <is>
          <t>N</t>
        </is>
      </c>
      <c r="F3869" s="12" t="n">
        <v>49.34</v>
      </c>
      <c r="G3869" s="17" t="n">
        <v>114225.37</v>
      </c>
      <c r="H3869" s="26" t="n">
        <v>44463</v>
      </c>
      <c r="I3869" s="26" t="n">
        <v>44464</v>
      </c>
      <c r="J3869" s="12" t="n">
        <v>48.87</v>
      </c>
      <c r="K3869" s="17" t="n">
        <v>5635879.76</v>
      </c>
      <c r="L3869" s="12" t="n">
        <v>0</v>
      </c>
      <c r="M3869" s="12" t="n">
        <v>13</v>
      </c>
      <c r="N3869" s="27">
        <f>F3869-J3869</f>
        <v/>
      </c>
      <c r="O3869" s="16">
        <f>I3869-H3869</f>
        <v/>
      </c>
      <c r="P3869" s="14">
        <f>F3869*G3869</f>
        <v/>
      </c>
      <c r="Q3869" s="14">
        <f>J3869*G3869</f>
        <v/>
      </c>
      <c r="R3869" s="14">
        <f>K3869-Q3869</f>
        <v/>
      </c>
      <c r="S3869" s="3">
        <f>P3869*Assumptions!$B$3/100</f>
        <v/>
      </c>
      <c r="T3869" s="14">
        <f>R3869-S3869</f>
        <v/>
      </c>
      <c r="U3869" s="14">
        <f>L3869*G3869</f>
        <v/>
      </c>
    </row>
    <row r="3870">
      <c r="A3870" s="12" t="inlineStr">
        <is>
          <t>PO-2023-3868</t>
        </is>
      </c>
      <c r="B3870" s="26" t="n">
        <v>45160</v>
      </c>
      <c r="C3870" s="12" t="inlineStr">
        <is>
          <t>VS27</t>
        </is>
      </c>
      <c r="D3870" s="12" t="inlineStr">
        <is>
          <t>MS Flats</t>
        </is>
      </c>
      <c r="E3870" s="12" t="inlineStr">
        <is>
          <t>N</t>
        </is>
      </c>
      <c r="F3870" s="12" t="n">
        <v>4.73</v>
      </c>
      <c r="G3870" s="17" t="n">
        <v>101779.17</v>
      </c>
      <c r="H3870" s="26" t="n">
        <v>45164</v>
      </c>
      <c r="I3870" s="26" t="n">
        <v>45167</v>
      </c>
      <c r="J3870" s="12" t="n">
        <v>4.69</v>
      </c>
      <c r="K3870" s="17" t="n">
        <v>481415.47</v>
      </c>
      <c r="L3870" s="12" t="n">
        <v>0</v>
      </c>
      <c r="M3870" s="12" t="n">
        <v>6</v>
      </c>
      <c r="N3870" s="27">
        <f>F3870-J3870</f>
        <v/>
      </c>
      <c r="O3870" s="16">
        <f>I3870-H3870</f>
        <v/>
      </c>
      <c r="P3870" s="14">
        <f>F3870*G3870</f>
        <v/>
      </c>
      <c r="Q3870" s="14">
        <f>J3870*G3870</f>
        <v/>
      </c>
      <c r="R3870" s="14">
        <f>K3870-Q3870</f>
        <v/>
      </c>
      <c r="S3870" s="3">
        <f>P3870*Assumptions!$B$3/100</f>
        <v/>
      </c>
      <c r="T3870" s="14">
        <f>R3870-S3870</f>
        <v/>
      </c>
      <c r="U3870" s="14">
        <f>L3870*G3870</f>
        <v/>
      </c>
    </row>
    <row r="3871">
      <c r="A3871" s="12" t="inlineStr">
        <is>
          <t>PO-2023-3869</t>
        </is>
      </c>
      <c r="B3871" s="26" t="n">
        <v>45162</v>
      </c>
      <c r="C3871" s="12" t="inlineStr">
        <is>
          <t>VS03</t>
        </is>
      </c>
      <c r="D3871" s="12" t="inlineStr">
        <is>
          <t>Spring Steel</t>
        </is>
      </c>
      <c r="E3871" s="12" t="inlineStr">
        <is>
          <t>N</t>
        </is>
      </c>
      <c r="F3871" s="12" t="n">
        <v>42.81</v>
      </c>
      <c r="G3871" s="17" t="n">
        <v>122849.08</v>
      </c>
      <c r="H3871" s="26" t="n">
        <v>45166</v>
      </c>
      <c r="I3871" s="26" t="n">
        <v>45174</v>
      </c>
      <c r="J3871" s="12" t="n">
        <v>41.23</v>
      </c>
      <c r="K3871" s="17" t="n">
        <v>5259169.11</v>
      </c>
      <c r="L3871" s="12" t="n">
        <v>0.79</v>
      </c>
      <c r="M3871" s="12" t="n">
        <v>0</v>
      </c>
      <c r="N3871" s="27">
        <f>F3871-J3871</f>
        <v/>
      </c>
      <c r="O3871" s="16">
        <f>I3871-H3871</f>
        <v/>
      </c>
      <c r="P3871" s="14">
        <f>F3871*G3871</f>
        <v/>
      </c>
      <c r="Q3871" s="14">
        <f>J3871*G3871</f>
        <v/>
      </c>
      <c r="R3871" s="14">
        <f>K3871-Q3871</f>
        <v/>
      </c>
      <c r="S3871" s="3">
        <f>P3871*Assumptions!$B$3/100</f>
        <v/>
      </c>
      <c r="T3871" s="14">
        <f>R3871-S3871</f>
        <v/>
      </c>
      <c r="U3871" s="14">
        <f>L3871*G3871</f>
        <v/>
      </c>
    </row>
    <row r="3872">
      <c r="A3872" s="12" t="inlineStr">
        <is>
          <t>PO-2023-3870</t>
        </is>
      </c>
      <c r="B3872" s="26" t="n">
        <v>45186</v>
      </c>
      <c r="C3872" s="12" t="inlineStr">
        <is>
          <t>VS16</t>
        </is>
      </c>
      <c r="D3872" s="12" t="inlineStr">
        <is>
          <t>MS Sheets</t>
        </is>
      </c>
      <c r="E3872" s="12" t="inlineStr">
        <is>
          <t>N</t>
        </is>
      </c>
      <c r="F3872" s="12" t="n">
        <v>43.33</v>
      </c>
      <c r="G3872" s="17" t="n">
        <v>89481.71000000001</v>
      </c>
      <c r="H3872" s="26" t="n">
        <v>45190</v>
      </c>
      <c r="I3872" s="26" t="n">
        <v>45193</v>
      </c>
      <c r="J3872" s="12" t="n">
        <v>43.18</v>
      </c>
      <c r="K3872" s="17" t="n">
        <v>3877242.49</v>
      </c>
      <c r="L3872" s="12" t="n">
        <v>0</v>
      </c>
      <c r="M3872" s="12" t="n">
        <v>0</v>
      </c>
      <c r="N3872" s="27">
        <f>F3872-J3872</f>
        <v/>
      </c>
      <c r="O3872" s="16">
        <f>I3872-H3872</f>
        <v/>
      </c>
      <c r="P3872" s="14">
        <f>F3872*G3872</f>
        <v/>
      </c>
      <c r="Q3872" s="14">
        <f>J3872*G3872</f>
        <v/>
      </c>
      <c r="R3872" s="14">
        <f>K3872-Q3872</f>
        <v/>
      </c>
      <c r="S3872" s="3">
        <f>P3872*Assumptions!$B$3/100</f>
        <v/>
      </c>
      <c r="T3872" s="14">
        <f>R3872-S3872</f>
        <v/>
      </c>
      <c r="U3872" s="14">
        <f>L3872*G3872</f>
        <v/>
      </c>
    </row>
    <row r="3873">
      <c r="A3873" s="12" t="inlineStr">
        <is>
          <t>PO-2023-3871</t>
        </is>
      </c>
      <c r="B3873" s="26" t="n">
        <v>44745</v>
      </c>
      <c r="C3873" s="12" t="inlineStr">
        <is>
          <t>VS23</t>
        </is>
      </c>
      <c r="D3873" s="12" t="inlineStr">
        <is>
          <t>MS Rods</t>
        </is>
      </c>
      <c r="E3873" s="12" t="inlineStr">
        <is>
          <t>N</t>
        </is>
      </c>
      <c r="F3873" s="12" t="n">
        <v>10.44</v>
      </c>
      <c r="G3873" s="17" t="n">
        <v>64184.49</v>
      </c>
      <c r="H3873" s="26" t="n">
        <v>44757</v>
      </c>
      <c r="I3873" s="26" t="n">
        <v>44759</v>
      </c>
      <c r="J3873" s="12" t="n">
        <v>10.43</v>
      </c>
      <c r="K3873" s="17" t="n">
        <v>670086.08</v>
      </c>
      <c r="L3873" s="12" t="n">
        <v>0</v>
      </c>
      <c r="M3873" s="12" t="n">
        <v>24</v>
      </c>
      <c r="N3873" s="27">
        <f>F3873-J3873</f>
        <v/>
      </c>
      <c r="O3873" s="16">
        <f>I3873-H3873</f>
        <v/>
      </c>
      <c r="P3873" s="14">
        <f>F3873*G3873</f>
        <v/>
      </c>
      <c r="Q3873" s="14">
        <f>J3873*G3873</f>
        <v/>
      </c>
      <c r="R3873" s="14">
        <f>K3873-Q3873</f>
        <v/>
      </c>
      <c r="S3873" s="3">
        <f>P3873*Assumptions!$B$3/100</f>
        <v/>
      </c>
      <c r="T3873" s="14">
        <f>R3873-S3873</f>
        <v/>
      </c>
      <c r="U3873" s="14">
        <f>L3873*G3873</f>
        <v/>
      </c>
    </row>
    <row r="3874">
      <c r="A3874" s="12" t="inlineStr">
        <is>
          <t>PO-2023-3872</t>
        </is>
      </c>
      <c r="B3874" s="26" t="n">
        <v>44347</v>
      </c>
      <c r="C3874" s="12" t="inlineStr">
        <is>
          <t>VS23</t>
        </is>
      </c>
      <c r="D3874" s="12" t="inlineStr">
        <is>
          <t>Hex Bars</t>
        </is>
      </c>
      <c r="E3874" s="12" t="inlineStr">
        <is>
          <t>N</t>
        </is>
      </c>
      <c r="F3874" s="12" t="n">
        <v>1.07</v>
      </c>
      <c r="G3874" s="17" t="n">
        <v>70973.75</v>
      </c>
      <c r="H3874" s="26" t="n">
        <v>44361</v>
      </c>
      <c r="I3874" s="26" t="n">
        <v>44361</v>
      </c>
      <c r="J3874" s="12" t="n">
        <v>1.07</v>
      </c>
      <c r="K3874" s="17" t="n">
        <v>75941.91</v>
      </c>
      <c r="L3874" s="12" t="n">
        <v>0</v>
      </c>
      <c r="M3874" s="12" t="n">
        <v>0</v>
      </c>
      <c r="N3874" s="27">
        <f>F3874-J3874</f>
        <v/>
      </c>
      <c r="O3874" s="16">
        <f>I3874-H3874</f>
        <v/>
      </c>
      <c r="P3874" s="14">
        <f>F3874*G3874</f>
        <v/>
      </c>
      <c r="Q3874" s="14">
        <f>J3874*G3874</f>
        <v/>
      </c>
      <c r="R3874" s="14">
        <f>K3874-Q3874</f>
        <v/>
      </c>
      <c r="S3874" s="3">
        <f>P3874*Assumptions!$B$3/100</f>
        <v/>
      </c>
      <c r="T3874" s="14">
        <f>R3874-S3874</f>
        <v/>
      </c>
      <c r="U3874" s="14">
        <f>L3874*G3874</f>
        <v/>
      </c>
    </row>
    <row r="3875">
      <c r="A3875" s="12" t="inlineStr">
        <is>
          <t>PO-2023-3873</t>
        </is>
      </c>
      <c r="B3875" s="26" t="n">
        <v>44358</v>
      </c>
      <c r="C3875" s="12" t="inlineStr">
        <is>
          <t>VS07</t>
        </is>
      </c>
      <c r="D3875" s="12" t="inlineStr">
        <is>
          <t>MS Flats</t>
        </is>
      </c>
      <c r="E3875" s="12" t="inlineStr">
        <is>
          <t>N</t>
        </is>
      </c>
      <c r="F3875" s="12" t="n">
        <v>44.86</v>
      </c>
      <c r="G3875" s="17" t="n">
        <v>78891.88</v>
      </c>
      <c r="H3875" s="26" t="n">
        <v>44365</v>
      </c>
      <c r="I3875" s="26" t="n">
        <v>44367</v>
      </c>
      <c r="J3875" s="12" t="n">
        <v>44.86</v>
      </c>
      <c r="K3875" s="17" t="n">
        <v>3539089.74</v>
      </c>
      <c r="L3875" s="12" t="n">
        <v>0</v>
      </c>
      <c r="M3875" s="12" t="n">
        <v>5</v>
      </c>
      <c r="N3875" s="27">
        <f>F3875-J3875</f>
        <v/>
      </c>
      <c r="O3875" s="16">
        <f>I3875-H3875</f>
        <v/>
      </c>
      <c r="P3875" s="14">
        <f>F3875*G3875</f>
        <v/>
      </c>
      <c r="Q3875" s="14">
        <f>J3875*G3875</f>
        <v/>
      </c>
      <c r="R3875" s="14">
        <f>K3875-Q3875</f>
        <v/>
      </c>
      <c r="S3875" s="3">
        <f>P3875*Assumptions!$B$3/100</f>
        <v/>
      </c>
      <c r="T3875" s="14">
        <f>R3875-S3875</f>
        <v/>
      </c>
      <c r="U3875" s="14">
        <f>L3875*G3875</f>
        <v/>
      </c>
    </row>
    <row r="3876">
      <c r="A3876" s="12" t="inlineStr">
        <is>
          <t>PO-2023-3874</t>
        </is>
      </c>
      <c r="B3876" s="26" t="n">
        <v>45000</v>
      </c>
      <c r="C3876" s="12" t="inlineStr">
        <is>
          <t>VS24</t>
        </is>
      </c>
      <c r="D3876" s="12" t="inlineStr">
        <is>
          <t>HR Coils</t>
        </is>
      </c>
      <c r="E3876" s="12" t="inlineStr">
        <is>
          <t>N</t>
        </is>
      </c>
      <c r="F3876" s="12" t="n">
        <v>30.51</v>
      </c>
      <c r="G3876" s="17" t="n">
        <v>53772.99</v>
      </c>
      <c r="H3876" s="26" t="n">
        <v>45009</v>
      </c>
      <c r="I3876" s="26" t="n">
        <v>45009</v>
      </c>
      <c r="J3876" s="12" t="n">
        <v>30.34</v>
      </c>
      <c r="K3876" s="17" t="n">
        <v>1640613.92</v>
      </c>
      <c r="L3876" s="12" t="n">
        <v>0</v>
      </c>
      <c r="M3876" s="12" t="n">
        <v>0</v>
      </c>
      <c r="N3876" s="27">
        <f>F3876-J3876</f>
        <v/>
      </c>
      <c r="O3876" s="16">
        <f>I3876-H3876</f>
        <v/>
      </c>
      <c r="P3876" s="14">
        <f>F3876*G3876</f>
        <v/>
      </c>
      <c r="Q3876" s="14">
        <f>J3876*G3876</f>
        <v/>
      </c>
      <c r="R3876" s="14">
        <f>K3876-Q3876</f>
        <v/>
      </c>
      <c r="S3876" s="3">
        <f>P3876*Assumptions!$B$3/100</f>
        <v/>
      </c>
      <c r="T3876" s="14">
        <f>R3876-S3876</f>
        <v/>
      </c>
      <c r="U3876" s="14">
        <f>L3876*G3876</f>
        <v/>
      </c>
    </row>
    <row r="3877">
      <c r="A3877" s="12" t="inlineStr">
        <is>
          <t>PO-2023-3875</t>
        </is>
      </c>
      <c r="B3877" s="26" t="n">
        <v>44293</v>
      </c>
      <c r="C3877" s="12" t="inlineStr">
        <is>
          <t>VS32</t>
        </is>
      </c>
      <c r="D3877" s="12" t="inlineStr">
        <is>
          <t>Structural Steel</t>
        </is>
      </c>
      <c r="E3877" s="12" t="inlineStr">
        <is>
          <t>N</t>
        </is>
      </c>
      <c r="F3877" s="12" t="n">
        <v>1.13</v>
      </c>
      <c r="G3877" s="17" t="n">
        <v>66379.23</v>
      </c>
      <c r="H3877" s="26" t="n">
        <v>44305</v>
      </c>
      <c r="I3877" s="26" t="n">
        <v>44308</v>
      </c>
      <c r="J3877" s="12" t="n">
        <v>1.12</v>
      </c>
      <c r="K3877" s="17" t="n">
        <v>75008.53</v>
      </c>
      <c r="L3877" s="12" t="n">
        <v>0</v>
      </c>
      <c r="M3877" s="12" t="n">
        <v>19</v>
      </c>
      <c r="N3877" s="27">
        <f>F3877-J3877</f>
        <v/>
      </c>
      <c r="O3877" s="16">
        <f>I3877-H3877</f>
        <v/>
      </c>
      <c r="P3877" s="14">
        <f>F3877*G3877</f>
        <v/>
      </c>
      <c r="Q3877" s="14">
        <f>J3877*G3877</f>
        <v/>
      </c>
      <c r="R3877" s="14">
        <f>K3877-Q3877</f>
        <v/>
      </c>
      <c r="S3877" s="3">
        <f>P3877*Assumptions!$B$3/100</f>
        <v/>
      </c>
      <c r="T3877" s="14">
        <f>R3877-S3877</f>
        <v/>
      </c>
      <c r="U3877" s="14">
        <f>L3877*G3877</f>
        <v/>
      </c>
    </row>
    <row r="3878">
      <c r="A3878" s="12" t="inlineStr">
        <is>
          <t>PO-2023-3876</t>
        </is>
      </c>
      <c r="B3878" s="26" t="n">
        <v>44700</v>
      </c>
      <c r="C3878" s="12" t="inlineStr">
        <is>
          <t>VS01</t>
        </is>
      </c>
      <c r="D3878" s="12" t="inlineStr">
        <is>
          <t>SS Sheets</t>
        </is>
      </c>
      <c r="E3878" s="12" t="inlineStr">
        <is>
          <t>N</t>
        </is>
      </c>
      <c r="F3878" s="12" t="n">
        <v>16.63</v>
      </c>
      <c r="G3878" s="17" t="n">
        <v>68381.87</v>
      </c>
      <c r="H3878" s="26" t="n">
        <v>44711</v>
      </c>
      <c r="I3878" s="26" t="n">
        <v>44711</v>
      </c>
      <c r="J3878" s="12" t="n">
        <v>16.58</v>
      </c>
      <c r="K3878" s="17" t="n">
        <v>1137190.5</v>
      </c>
      <c r="L3878" s="12" t="n">
        <v>0</v>
      </c>
      <c r="M3878" s="12" t="n">
        <v>0</v>
      </c>
      <c r="N3878" s="27">
        <f>F3878-J3878</f>
        <v/>
      </c>
      <c r="O3878" s="16">
        <f>I3878-H3878</f>
        <v/>
      </c>
      <c r="P3878" s="14">
        <f>F3878*G3878</f>
        <v/>
      </c>
      <c r="Q3878" s="14">
        <f>J3878*G3878</f>
        <v/>
      </c>
      <c r="R3878" s="14">
        <f>K3878-Q3878</f>
        <v/>
      </c>
      <c r="S3878" s="3">
        <f>P3878*Assumptions!$B$3/100</f>
        <v/>
      </c>
      <c r="T3878" s="14">
        <f>R3878-S3878</f>
        <v/>
      </c>
      <c r="U3878" s="14">
        <f>L3878*G3878</f>
        <v/>
      </c>
    </row>
    <row r="3879">
      <c r="A3879" s="12" t="inlineStr">
        <is>
          <t>PO-2023-3877</t>
        </is>
      </c>
      <c r="B3879" s="26" t="n">
        <v>44762</v>
      </c>
      <c r="C3879" s="12" t="inlineStr">
        <is>
          <t>VS02</t>
        </is>
      </c>
      <c r="D3879" s="12" t="inlineStr">
        <is>
          <t>HR Coils</t>
        </is>
      </c>
      <c r="E3879" s="12" t="inlineStr">
        <is>
          <t>N</t>
        </is>
      </c>
      <c r="F3879" s="12" t="n">
        <v>30.61</v>
      </c>
      <c r="G3879" s="17" t="n">
        <v>104134.66</v>
      </c>
      <c r="H3879" s="26" t="n">
        <v>44773</v>
      </c>
      <c r="I3879" s="26" t="n">
        <v>44776</v>
      </c>
      <c r="J3879" s="12" t="n">
        <v>30.49</v>
      </c>
      <c r="K3879" s="17" t="n">
        <v>3187561.94</v>
      </c>
      <c r="L3879" s="12" t="n">
        <v>0</v>
      </c>
      <c r="M3879" s="12" t="n">
        <v>0</v>
      </c>
      <c r="N3879" s="27">
        <f>F3879-J3879</f>
        <v/>
      </c>
      <c r="O3879" s="16">
        <f>I3879-H3879</f>
        <v/>
      </c>
      <c r="P3879" s="14">
        <f>F3879*G3879</f>
        <v/>
      </c>
      <c r="Q3879" s="14">
        <f>J3879*G3879</f>
        <v/>
      </c>
      <c r="R3879" s="14">
        <f>K3879-Q3879</f>
        <v/>
      </c>
      <c r="S3879" s="3">
        <f>P3879*Assumptions!$B$3/100</f>
        <v/>
      </c>
      <c r="T3879" s="14">
        <f>R3879-S3879</f>
        <v/>
      </c>
      <c r="U3879" s="14">
        <f>L3879*G3879</f>
        <v/>
      </c>
    </row>
    <row r="3880">
      <c r="A3880" s="12" t="inlineStr">
        <is>
          <t>PO-2023-3878</t>
        </is>
      </c>
      <c r="B3880" s="26" t="n">
        <v>44503</v>
      </c>
      <c r="C3880" s="12" t="inlineStr">
        <is>
          <t>VS12</t>
        </is>
      </c>
      <c r="D3880" s="12" t="inlineStr">
        <is>
          <t>SS Pipes</t>
        </is>
      </c>
      <c r="E3880" s="12" t="inlineStr">
        <is>
          <t>N</t>
        </is>
      </c>
      <c r="F3880" s="12" t="n">
        <v>40.41</v>
      </c>
      <c r="G3880" s="17" t="n">
        <v>48682.42</v>
      </c>
      <c r="H3880" s="26" t="n">
        <v>44509</v>
      </c>
      <c r="I3880" s="26" t="n">
        <v>44516</v>
      </c>
      <c r="J3880" s="12" t="n">
        <v>39.54</v>
      </c>
      <c r="K3880" s="17" t="n">
        <v>1967256.59</v>
      </c>
      <c r="L3880" s="12" t="n">
        <v>0.8</v>
      </c>
      <c r="M3880" s="12" t="n">
        <v>0</v>
      </c>
      <c r="N3880" s="27">
        <f>F3880-J3880</f>
        <v/>
      </c>
      <c r="O3880" s="16">
        <f>I3880-H3880</f>
        <v/>
      </c>
      <c r="P3880" s="14">
        <f>F3880*G3880</f>
        <v/>
      </c>
      <c r="Q3880" s="14">
        <f>J3880*G3880</f>
        <v/>
      </c>
      <c r="R3880" s="14">
        <f>K3880-Q3880</f>
        <v/>
      </c>
      <c r="S3880" s="3">
        <f>P3880*Assumptions!$B$3/100</f>
        <v/>
      </c>
      <c r="T3880" s="14">
        <f>R3880-S3880</f>
        <v/>
      </c>
      <c r="U3880" s="14">
        <f>L3880*G3880</f>
        <v/>
      </c>
    </row>
    <row r="3881">
      <c r="A3881" s="12" t="inlineStr">
        <is>
          <t>PO-2023-3879</t>
        </is>
      </c>
      <c r="B3881" s="26" t="n">
        <v>44980</v>
      </c>
      <c r="C3881" s="12" t="inlineStr">
        <is>
          <t>VS26</t>
        </is>
      </c>
      <c r="D3881" s="12" t="inlineStr">
        <is>
          <t>MS Sheets</t>
        </is>
      </c>
      <c r="E3881" s="12" t="inlineStr">
        <is>
          <t>N</t>
        </is>
      </c>
      <c r="F3881" s="12" t="n">
        <v>38.59</v>
      </c>
      <c r="G3881" s="17" t="n">
        <v>100381.17</v>
      </c>
      <c r="H3881" s="26" t="n">
        <v>44983</v>
      </c>
      <c r="I3881" s="26" t="n">
        <v>44986</v>
      </c>
      <c r="J3881" s="12" t="n">
        <v>38.4</v>
      </c>
      <c r="K3881" s="17" t="n">
        <v>3873709.35</v>
      </c>
      <c r="L3881" s="12" t="n">
        <v>0</v>
      </c>
      <c r="M3881" s="12" t="n">
        <v>0</v>
      </c>
      <c r="N3881" s="27">
        <f>F3881-J3881</f>
        <v/>
      </c>
      <c r="O3881" s="16">
        <f>I3881-H3881</f>
        <v/>
      </c>
      <c r="P3881" s="14">
        <f>F3881*G3881</f>
        <v/>
      </c>
      <c r="Q3881" s="14">
        <f>J3881*G3881</f>
        <v/>
      </c>
      <c r="R3881" s="14">
        <f>K3881-Q3881</f>
        <v/>
      </c>
      <c r="S3881" s="3">
        <f>P3881*Assumptions!$B$3/100</f>
        <v/>
      </c>
      <c r="T3881" s="14">
        <f>R3881-S3881</f>
        <v/>
      </c>
      <c r="U3881" s="14">
        <f>L3881*G3881</f>
        <v/>
      </c>
    </row>
    <row r="3882">
      <c r="A3882" s="12" t="inlineStr">
        <is>
          <t>PO-2023-3880</t>
        </is>
      </c>
      <c r="B3882" s="26" t="n">
        <v>44685</v>
      </c>
      <c r="C3882" s="12" t="inlineStr">
        <is>
          <t>VS33</t>
        </is>
      </c>
      <c r="D3882" s="12" t="inlineStr">
        <is>
          <t>Angles &amp; Channels</t>
        </is>
      </c>
      <c r="E3882" s="12" t="inlineStr">
        <is>
          <t>N</t>
        </is>
      </c>
      <c r="F3882" s="12" t="n">
        <v>45.85</v>
      </c>
      <c r="G3882" s="17" t="n">
        <v>85799.11</v>
      </c>
      <c r="H3882" s="26" t="n">
        <v>44694</v>
      </c>
      <c r="I3882" s="26" t="n">
        <v>44696</v>
      </c>
      <c r="J3882" s="12" t="n">
        <v>45.57</v>
      </c>
      <c r="K3882" s="17" t="n">
        <v>3933889.19</v>
      </c>
      <c r="L3882" s="12" t="n">
        <v>0</v>
      </c>
      <c r="M3882" s="12" t="n">
        <v>0</v>
      </c>
      <c r="N3882" s="27">
        <f>F3882-J3882</f>
        <v/>
      </c>
      <c r="O3882" s="16">
        <f>I3882-H3882</f>
        <v/>
      </c>
      <c r="P3882" s="14">
        <f>F3882*G3882</f>
        <v/>
      </c>
      <c r="Q3882" s="14">
        <f>J3882*G3882</f>
        <v/>
      </c>
      <c r="R3882" s="14">
        <f>K3882-Q3882</f>
        <v/>
      </c>
      <c r="S3882" s="3">
        <f>P3882*Assumptions!$B$3/100</f>
        <v/>
      </c>
      <c r="T3882" s="14">
        <f>R3882-S3882</f>
        <v/>
      </c>
      <c r="U3882" s="14">
        <f>L3882*G3882</f>
        <v/>
      </c>
    </row>
    <row r="3883">
      <c r="A3883" s="12" t="inlineStr">
        <is>
          <t>PO-2023-3881</t>
        </is>
      </c>
      <c r="B3883" s="26" t="n">
        <v>44767</v>
      </c>
      <c r="C3883" s="12" t="inlineStr">
        <is>
          <t>VS02</t>
        </is>
      </c>
      <c r="D3883" s="12" t="inlineStr">
        <is>
          <t>Fasteners &amp; Fittings</t>
        </is>
      </c>
      <c r="E3883" s="12" t="inlineStr">
        <is>
          <t>N</t>
        </is>
      </c>
      <c r="F3883" s="12" t="n">
        <v>27.17</v>
      </c>
      <c r="G3883" s="17" t="n">
        <v>45933.57</v>
      </c>
      <c r="H3883" s="26" t="n">
        <v>44776</v>
      </c>
      <c r="I3883" s="26" t="n">
        <v>44778</v>
      </c>
      <c r="J3883" s="12" t="n">
        <v>27.07</v>
      </c>
      <c r="K3883" s="17" t="n">
        <v>1248015.1</v>
      </c>
      <c r="L3883" s="12" t="n">
        <v>0</v>
      </c>
      <c r="M3883" s="12" t="n">
        <v>0</v>
      </c>
      <c r="N3883" s="27">
        <f>F3883-J3883</f>
        <v/>
      </c>
      <c r="O3883" s="16">
        <f>I3883-H3883</f>
        <v/>
      </c>
      <c r="P3883" s="14">
        <f>F3883*G3883</f>
        <v/>
      </c>
      <c r="Q3883" s="14">
        <f>J3883*G3883</f>
        <v/>
      </c>
      <c r="R3883" s="14">
        <f>K3883-Q3883</f>
        <v/>
      </c>
      <c r="S3883" s="3">
        <f>P3883*Assumptions!$B$3/100</f>
        <v/>
      </c>
      <c r="T3883" s="14">
        <f>R3883-S3883</f>
        <v/>
      </c>
      <c r="U3883" s="14">
        <f>L3883*G3883</f>
        <v/>
      </c>
    </row>
    <row r="3884">
      <c r="A3884" s="12" t="inlineStr">
        <is>
          <t>PO-2023-3882</t>
        </is>
      </c>
      <c r="B3884" s="26" t="n">
        <v>44855</v>
      </c>
      <c r="C3884" s="12" t="inlineStr">
        <is>
          <t>VS11</t>
        </is>
      </c>
      <c r="D3884" s="12" t="inlineStr">
        <is>
          <t>MS Flats</t>
        </is>
      </c>
      <c r="E3884" s="12" t="inlineStr">
        <is>
          <t>N</t>
        </is>
      </c>
      <c r="F3884" s="12" t="n">
        <v>5.44</v>
      </c>
      <c r="G3884" s="17" t="n">
        <v>112597.16</v>
      </c>
      <c r="H3884" s="26" t="n">
        <v>44862</v>
      </c>
      <c r="I3884" s="26" t="n">
        <v>44862</v>
      </c>
      <c r="J3884" s="12" t="n">
        <v>5.43</v>
      </c>
      <c r="K3884" s="17" t="n">
        <v>612528.55</v>
      </c>
      <c r="L3884" s="12" t="n">
        <v>0</v>
      </c>
      <c r="M3884" s="12" t="n">
        <v>20</v>
      </c>
      <c r="N3884" s="27">
        <f>F3884-J3884</f>
        <v/>
      </c>
      <c r="O3884" s="16">
        <f>I3884-H3884</f>
        <v/>
      </c>
      <c r="P3884" s="14">
        <f>F3884*G3884</f>
        <v/>
      </c>
      <c r="Q3884" s="14">
        <f>J3884*G3884</f>
        <v/>
      </c>
      <c r="R3884" s="14">
        <f>K3884-Q3884</f>
        <v/>
      </c>
      <c r="S3884" s="3">
        <f>P3884*Assumptions!$B$3/100</f>
        <v/>
      </c>
      <c r="T3884" s="14">
        <f>R3884-S3884</f>
        <v/>
      </c>
      <c r="U3884" s="14">
        <f>L3884*G3884</f>
        <v/>
      </c>
    </row>
    <row r="3885">
      <c r="A3885" s="12" t="inlineStr">
        <is>
          <t>PO-2023-3883</t>
        </is>
      </c>
      <c r="B3885" s="26" t="n">
        <v>45092</v>
      </c>
      <c r="C3885" s="12" t="inlineStr">
        <is>
          <t>VS14</t>
        </is>
      </c>
      <c r="D3885" s="12" t="inlineStr">
        <is>
          <t>GI Sheets</t>
        </is>
      </c>
      <c r="E3885" s="12" t="inlineStr">
        <is>
          <t>N</t>
        </is>
      </c>
      <c r="F3885" s="12" t="n">
        <v>36.4</v>
      </c>
      <c r="G3885" s="17" t="n">
        <v>70690.92999999999</v>
      </c>
      <c r="H3885" s="26" t="n">
        <v>45101</v>
      </c>
      <c r="I3885" s="26" t="n">
        <v>45104</v>
      </c>
      <c r="J3885" s="12" t="n">
        <v>36.08</v>
      </c>
      <c r="K3885" s="17" t="n">
        <v>2573149.85</v>
      </c>
      <c r="L3885" s="12" t="n">
        <v>0</v>
      </c>
      <c r="M3885" s="12" t="n">
        <v>2</v>
      </c>
      <c r="N3885" s="27">
        <f>F3885-J3885</f>
        <v/>
      </c>
      <c r="O3885" s="16">
        <f>I3885-H3885</f>
        <v/>
      </c>
      <c r="P3885" s="14">
        <f>F3885*G3885</f>
        <v/>
      </c>
      <c r="Q3885" s="14">
        <f>J3885*G3885</f>
        <v/>
      </c>
      <c r="R3885" s="14">
        <f>K3885-Q3885</f>
        <v/>
      </c>
      <c r="S3885" s="3">
        <f>P3885*Assumptions!$B$3/100</f>
        <v/>
      </c>
      <c r="T3885" s="14">
        <f>R3885-S3885</f>
        <v/>
      </c>
      <c r="U3885" s="14">
        <f>L3885*G3885</f>
        <v/>
      </c>
    </row>
    <row r="3886">
      <c r="A3886" s="12" t="inlineStr">
        <is>
          <t>PO-2023-3884</t>
        </is>
      </c>
      <c r="B3886" s="26" t="n">
        <v>44467</v>
      </c>
      <c r="C3886" s="12" t="inlineStr">
        <is>
          <t>VS13</t>
        </is>
      </c>
      <c r="D3886" s="12" t="inlineStr">
        <is>
          <t>GI Pipes</t>
        </is>
      </c>
      <c r="E3886" s="12" t="inlineStr">
        <is>
          <t>N</t>
        </is>
      </c>
      <c r="F3886" s="12" t="n">
        <v>46.69</v>
      </c>
      <c r="G3886" s="17" t="n">
        <v>90367.61</v>
      </c>
      <c r="H3886" s="26" t="n">
        <v>44477</v>
      </c>
      <c r="I3886" s="26" t="n">
        <v>44480</v>
      </c>
      <c r="J3886" s="12" t="n">
        <v>46.37</v>
      </c>
      <c r="K3886" s="17" t="n">
        <v>4219263.71</v>
      </c>
      <c r="L3886" s="12" t="n">
        <v>0</v>
      </c>
      <c r="M3886" s="12" t="n">
        <v>0</v>
      </c>
      <c r="N3886" s="27">
        <f>F3886-J3886</f>
        <v/>
      </c>
      <c r="O3886" s="16">
        <f>I3886-H3886</f>
        <v/>
      </c>
      <c r="P3886" s="14">
        <f>F3886*G3886</f>
        <v/>
      </c>
      <c r="Q3886" s="14">
        <f>J3886*G3886</f>
        <v/>
      </c>
      <c r="R3886" s="14">
        <f>K3886-Q3886</f>
        <v/>
      </c>
      <c r="S3886" s="3">
        <f>P3886*Assumptions!$B$3/100</f>
        <v/>
      </c>
      <c r="T3886" s="14">
        <f>R3886-S3886</f>
        <v/>
      </c>
      <c r="U3886" s="14">
        <f>L3886*G3886</f>
        <v/>
      </c>
    </row>
    <row r="3887">
      <c r="A3887" s="12" t="inlineStr">
        <is>
          <t>PO-2023-3885</t>
        </is>
      </c>
      <c r="B3887" s="26" t="n">
        <v>44811</v>
      </c>
      <c r="C3887" s="12" t="inlineStr">
        <is>
          <t>VS17</t>
        </is>
      </c>
      <c r="D3887" s="12" t="inlineStr">
        <is>
          <t>MS Pipes</t>
        </is>
      </c>
      <c r="E3887" s="12" t="inlineStr">
        <is>
          <t>N</t>
        </is>
      </c>
      <c r="F3887" s="12" t="n">
        <v>25.65</v>
      </c>
      <c r="G3887" s="17" t="n">
        <v>83042.16</v>
      </c>
      <c r="H3887" s="26" t="n">
        <v>44814</v>
      </c>
      <c r="I3887" s="26" t="n">
        <v>44817</v>
      </c>
      <c r="J3887" s="12" t="n">
        <v>25.44</v>
      </c>
      <c r="K3887" s="17" t="n">
        <v>2130031.4</v>
      </c>
      <c r="L3887" s="12" t="n">
        <v>0</v>
      </c>
      <c r="M3887" s="12" t="n">
        <v>0</v>
      </c>
      <c r="N3887" s="27">
        <f>F3887-J3887</f>
        <v/>
      </c>
      <c r="O3887" s="16">
        <f>I3887-H3887</f>
        <v/>
      </c>
      <c r="P3887" s="14">
        <f>F3887*G3887</f>
        <v/>
      </c>
      <c r="Q3887" s="14">
        <f>J3887*G3887</f>
        <v/>
      </c>
      <c r="R3887" s="14">
        <f>K3887-Q3887</f>
        <v/>
      </c>
      <c r="S3887" s="3">
        <f>P3887*Assumptions!$B$3/100</f>
        <v/>
      </c>
      <c r="T3887" s="14">
        <f>R3887-S3887</f>
        <v/>
      </c>
      <c r="U3887" s="14">
        <f>L3887*G3887</f>
        <v/>
      </c>
    </row>
    <row r="3888">
      <c r="A3888" s="12" t="inlineStr">
        <is>
          <t>PO-2023-3886</t>
        </is>
      </c>
      <c r="B3888" s="26" t="n">
        <v>45081</v>
      </c>
      <c r="C3888" s="12" t="inlineStr">
        <is>
          <t>VS32</t>
        </is>
      </c>
      <c r="D3888" s="12" t="inlineStr">
        <is>
          <t>GI Pipes</t>
        </is>
      </c>
      <c r="E3888" s="12" t="inlineStr">
        <is>
          <t>Y</t>
        </is>
      </c>
      <c r="F3888" s="12" t="n">
        <v>25.77</v>
      </c>
      <c r="G3888" s="17" t="n">
        <v>117371.59</v>
      </c>
      <c r="H3888" s="26" t="n">
        <v>45092</v>
      </c>
      <c r="I3888" s="26" t="n">
        <v>45094</v>
      </c>
      <c r="J3888" s="12" t="n">
        <v>25.65</v>
      </c>
      <c r="K3888" s="17" t="n">
        <v>3024665.87</v>
      </c>
      <c r="L3888" s="12" t="n">
        <v>0</v>
      </c>
      <c r="M3888" s="12" t="n">
        <v>0</v>
      </c>
      <c r="N3888" s="27">
        <f>F3888-J3888</f>
        <v/>
      </c>
      <c r="O3888" s="16">
        <f>I3888-H3888</f>
        <v/>
      </c>
      <c r="P3888" s="14">
        <f>F3888*G3888</f>
        <v/>
      </c>
      <c r="Q3888" s="14">
        <f>J3888*G3888</f>
        <v/>
      </c>
      <c r="R3888" s="14">
        <f>K3888-Q3888</f>
        <v/>
      </c>
      <c r="S3888" s="3">
        <f>P3888*Assumptions!$B$3/100</f>
        <v/>
      </c>
      <c r="T3888" s="14">
        <f>R3888-S3888</f>
        <v/>
      </c>
      <c r="U3888" s="14">
        <f>L3888*G3888</f>
        <v/>
      </c>
    </row>
    <row r="3889">
      <c r="A3889" s="12" t="inlineStr">
        <is>
          <t>PO-2023-3887</t>
        </is>
      </c>
      <c r="B3889" s="26" t="n">
        <v>45186</v>
      </c>
      <c r="C3889" s="12" t="inlineStr">
        <is>
          <t>VS03</t>
        </is>
      </c>
      <c r="D3889" s="12" t="inlineStr">
        <is>
          <t>MS Sheets</t>
        </is>
      </c>
      <c r="E3889" s="12" t="inlineStr">
        <is>
          <t>N</t>
        </is>
      </c>
      <c r="F3889" s="12" t="n">
        <v>3.01</v>
      </c>
      <c r="G3889" s="17" t="n">
        <v>99800.91</v>
      </c>
      <c r="H3889" s="26" t="n">
        <v>45190</v>
      </c>
      <c r="I3889" s="26" t="n">
        <v>45197</v>
      </c>
      <c r="J3889" s="12" t="n">
        <v>2.86</v>
      </c>
      <c r="K3889" s="17" t="n">
        <v>300400.74</v>
      </c>
      <c r="L3889" s="12" t="n">
        <v>0.07000000000000001</v>
      </c>
      <c r="M3889" s="12" t="n">
        <v>4</v>
      </c>
      <c r="N3889" s="27">
        <f>F3889-J3889</f>
        <v/>
      </c>
      <c r="O3889" s="16">
        <f>I3889-H3889</f>
        <v/>
      </c>
      <c r="P3889" s="14">
        <f>F3889*G3889</f>
        <v/>
      </c>
      <c r="Q3889" s="14">
        <f>J3889*G3889</f>
        <v/>
      </c>
      <c r="R3889" s="14">
        <f>K3889-Q3889</f>
        <v/>
      </c>
      <c r="S3889" s="3">
        <f>P3889*Assumptions!$B$3/100</f>
        <v/>
      </c>
      <c r="T3889" s="14">
        <f>R3889-S3889</f>
        <v/>
      </c>
      <c r="U3889" s="14">
        <f>L3889*G3889</f>
        <v/>
      </c>
    </row>
    <row r="3890">
      <c r="A3890" s="12" t="inlineStr">
        <is>
          <t>PO-2023-3888</t>
        </is>
      </c>
      <c r="B3890" s="26" t="n">
        <v>44386</v>
      </c>
      <c r="C3890" s="12" t="inlineStr">
        <is>
          <t>VS19</t>
        </is>
      </c>
      <c r="D3890" s="12" t="inlineStr">
        <is>
          <t>HR Coils</t>
        </is>
      </c>
      <c r="E3890" s="12" t="inlineStr">
        <is>
          <t>N</t>
        </is>
      </c>
      <c r="F3890" s="12" t="n">
        <v>4.86</v>
      </c>
      <c r="G3890" s="17" t="n">
        <v>62375.99</v>
      </c>
      <c r="H3890" s="26" t="n">
        <v>44391</v>
      </c>
      <c r="I3890" s="26" t="n">
        <v>44393</v>
      </c>
      <c r="J3890" s="12" t="n">
        <v>4.69</v>
      </c>
      <c r="K3890" s="17" t="n">
        <v>303147.31</v>
      </c>
      <c r="L3890" s="12" t="n">
        <v>0.17</v>
      </c>
      <c r="M3890" s="12" t="n">
        <v>9</v>
      </c>
      <c r="N3890" s="27">
        <f>F3890-J3890</f>
        <v/>
      </c>
      <c r="O3890" s="16">
        <f>I3890-H3890</f>
        <v/>
      </c>
      <c r="P3890" s="14">
        <f>F3890*G3890</f>
        <v/>
      </c>
      <c r="Q3890" s="14">
        <f>J3890*G3890</f>
        <v/>
      </c>
      <c r="R3890" s="14">
        <f>K3890-Q3890</f>
        <v/>
      </c>
      <c r="S3890" s="3">
        <f>P3890*Assumptions!$B$3/100</f>
        <v/>
      </c>
      <c r="T3890" s="14">
        <f>R3890-S3890</f>
        <v/>
      </c>
      <c r="U3890" s="14">
        <f>L3890*G3890</f>
        <v/>
      </c>
    </row>
    <row r="3891">
      <c r="A3891" s="12" t="inlineStr">
        <is>
          <t>PO-2023-3889</t>
        </is>
      </c>
      <c r="B3891" s="26" t="n">
        <v>44995</v>
      </c>
      <c r="C3891" s="12" t="inlineStr">
        <is>
          <t>VS25</t>
        </is>
      </c>
      <c r="D3891" s="12" t="inlineStr">
        <is>
          <t>ERW Pipes</t>
        </is>
      </c>
      <c r="E3891" s="12" t="inlineStr">
        <is>
          <t>N</t>
        </is>
      </c>
      <c r="F3891" s="12" t="n">
        <v>5.72</v>
      </c>
      <c r="G3891" s="17" t="n">
        <v>85283.53999999999</v>
      </c>
      <c r="H3891" s="26" t="n">
        <v>45006</v>
      </c>
      <c r="I3891" s="26" t="n">
        <v>45006</v>
      </c>
      <c r="J3891" s="12" t="n">
        <v>5.68</v>
      </c>
      <c r="K3891" s="17" t="n">
        <v>487821.85</v>
      </c>
      <c r="L3891" s="12" t="n">
        <v>0</v>
      </c>
      <c r="M3891" s="12" t="n">
        <v>0</v>
      </c>
      <c r="N3891" s="27">
        <f>F3891-J3891</f>
        <v/>
      </c>
      <c r="O3891" s="16">
        <f>I3891-H3891</f>
        <v/>
      </c>
      <c r="P3891" s="14">
        <f>F3891*G3891</f>
        <v/>
      </c>
      <c r="Q3891" s="14">
        <f>J3891*G3891</f>
        <v/>
      </c>
      <c r="R3891" s="14">
        <f>K3891-Q3891</f>
        <v/>
      </c>
      <c r="S3891" s="3">
        <f>P3891*Assumptions!$B$3/100</f>
        <v/>
      </c>
      <c r="T3891" s="14">
        <f>R3891-S3891</f>
        <v/>
      </c>
      <c r="U3891" s="14">
        <f>L3891*G3891</f>
        <v/>
      </c>
    </row>
    <row r="3892">
      <c r="A3892" s="12" t="inlineStr">
        <is>
          <t>PO-2023-3890</t>
        </is>
      </c>
      <c r="B3892" s="26" t="n">
        <v>44890</v>
      </c>
      <c r="C3892" s="12" t="inlineStr">
        <is>
          <t>VS04</t>
        </is>
      </c>
      <c r="D3892" s="12" t="inlineStr">
        <is>
          <t>MS Flats</t>
        </is>
      </c>
      <c r="E3892" s="12" t="inlineStr">
        <is>
          <t>N</t>
        </is>
      </c>
      <c r="F3892" s="12" t="n">
        <v>8.99</v>
      </c>
      <c r="G3892" s="17" t="n">
        <v>74950.55</v>
      </c>
      <c r="H3892" s="26" t="n">
        <v>44895</v>
      </c>
      <c r="I3892" s="26" t="n">
        <v>44898</v>
      </c>
      <c r="J3892" s="12" t="n">
        <v>8.93</v>
      </c>
      <c r="K3892" s="17" t="n">
        <v>673805.4399999999</v>
      </c>
      <c r="L3892" s="12" t="n">
        <v>0</v>
      </c>
      <c r="M3892" s="12" t="n">
        <v>23</v>
      </c>
      <c r="N3892" s="27">
        <f>F3892-J3892</f>
        <v/>
      </c>
      <c r="O3892" s="16">
        <f>I3892-H3892</f>
        <v/>
      </c>
      <c r="P3892" s="14">
        <f>F3892*G3892</f>
        <v/>
      </c>
      <c r="Q3892" s="14">
        <f>J3892*G3892</f>
        <v/>
      </c>
      <c r="R3892" s="14">
        <f>K3892-Q3892</f>
        <v/>
      </c>
      <c r="S3892" s="3">
        <f>P3892*Assumptions!$B$3/100</f>
        <v/>
      </c>
      <c r="T3892" s="14">
        <f>R3892-S3892</f>
        <v/>
      </c>
      <c r="U3892" s="14">
        <f>L3892*G3892</f>
        <v/>
      </c>
    </row>
    <row r="3893">
      <c r="A3893" s="12" t="inlineStr">
        <is>
          <t>PO-2023-3891</t>
        </is>
      </c>
      <c r="B3893" s="26" t="n">
        <v>44441</v>
      </c>
      <c r="C3893" s="12" t="inlineStr">
        <is>
          <t>VS08</t>
        </is>
      </c>
      <c r="D3893" s="12" t="inlineStr">
        <is>
          <t>MS Rods</t>
        </is>
      </c>
      <c r="E3893" s="12" t="inlineStr">
        <is>
          <t>N</t>
        </is>
      </c>
      <c r="F3893" s="12" t="n">
        <v>2.59</v>
      </c>
      <c r="G3893" s="17" t="n">
        <v>119564.62</v>
      </c>
      <c r="H3893" s="26" t="n">
        <v>44456</v>
      </c>
      <c r="I3893" s="26" t="n">
        <v>44459</v>
      </c>
      <c r="J3893" s="12" t="n">
        <v>2.57</v>
      </c>
      <c r="K3893" s="17" t="n">
        <v>309672.37</v>
      </c>
      <c r="L3893" s="12" t="n">
        <v>0</v>
      </c>
      <c r="M3893" s="12" t="n">
        <v>21</v>
      </c>
      <c r="N3893" s="27">
        <f>F3893-J3893</f>
        <v/>
      </c>
      <c r="O3893" s="16">
        <f>I3893-H3893</f>
        <v/>
      </c>
      <c r="P3893" s="14">
        <f>F3893*G3893</f>
        <v/>
      </c>
      <c r="Q3893" s="14">
        <f>J3893*G3893</f>
        <v/>
      </c>
      <c r="R3893" s="14">
        <f>K3893-Q3893</f>
        <v/>
      </c>
      <c r="S3893" s="3">
        <f>P3893*Assumptions!$B$3/100</f>
        <v/>
      </c>
      <c r="T3893" s="14">
        <f>R3893-S3893</f>
        <v/>
      </c>
      <c r="U3893" s="14">
        <f>L3893*G3893</f>
        <v/>
      </c>
    </row>
    <row r="3894">
      <c r="A3894" s="12" t="inlineStr">
        <is>
          <t>PO-2023-3892</t>
        </is>
      </c>
      <c r="B3894" s="26" t="n">
        <v>44522</v>
      </c>
      <c r="C3894" s="12" t="inlineStr">
        <is>
          <t>VS10</t>
        </is>
      </c>
      <c r="D3894" s="12" t="inlineStr">
        <is>
          <t>MS Pipes</t>
        </is>
      </c>
      <c r="E3894" s="12" t="inlineStr">
        <is>
          <t>N</t>
        </is>
      </c>
      <c r="F3894" s="12" t="n">
        <v>16.36</v>
      </c>
      <c r="G3894" s="17" t="n">
        <v>90046.48</v>
      </c>
      <c r="H3894" s="26" t="n">
        <v>44532</v>
      </c>
      <c r="I3894" s="26" t="n">
        <v>44533</v>
      </c>
      <c r="J3894" s="12" t="n">
        <v>16.34</v>
      </c>
      <c r="K3894" s="17" t="n">
        <v>1473160.41</v>
      </c>
      <c r="L3894" s="12" t="n">
        <v>0</v>
      </c>
      <c r="M3894" s="12" t="n">
        <v>22</v>
      </c>
      <c r="N3894" s="27">
        <f>F3894-J3894</f>
        <v/>
      </c>
      <c r="O3894" s="16">
        <f>I3894-H3894</f>
        <v/>
      </c>
      <c r="P3894" s="14">
        <f>F3894*G3894</f>
        <v/>
      </c>
      <c r="Q3894" s="14">
        <f>J3894*G3894</f>
        <v/>
      </c>
      <c r="R3894" s="14">
        <f>K3894-Q3894</f>
        <v/>
      </c>
      <c r="S3894" s="3">
        <f>P3894*Assumptions!$B$3/100</f>
        <v/>
      </c>
      <c r="T3894" s="14">
        <f>R3894-S3894</f>
        <v/>
      </c>
      <c r="U3894" s="14">
        <f>L3894*G3894</f>
        <v/>
      </c>
    </row>
    <row r="3895">
      <c r="A3895" s="12" t="inlineStr">
        <is>
          <t>PO-2023-3893</t>
        </is>
      </c>
      <c r="B3895" s="26" t="n">
        <v>44211</v>
      </c>
      <c r="C3895" s="12" t="inlineStr">
        <is>
          <t>VS31</t>
        </is>
      </c>
      <c r="D3895" s="12" t="inlineStr">
        <is>
          <t>Structural Steel</t>
        </is>
      </c>
      <c r="E3895" s="12" t="inlineStr">
        <is>
          <t>N</t>
        </is>
      </c>
      <c r="F3895" s="12" t="n">
        <v>47.65</v>
      </c>
      <c r="G3895" s="17" t="n">
        <v>72251.88</v>
      </c>
      <c r="H3895" s="26" t="n">
        <v>44218</v>
      </c>
      <c r="I3895" s="26" t="n">
        <v>44218</v>
      </c>
      <c r="J3895" s="12" t="n">
        <v>47.54</v>
      </c>
      <c r="K3895" s="17" t="n">
        <v>3442802.08</v>
      </c>
      <c r="L3895" s="12" t="n">
        <v>0</v>
      </c>
      <c r="M3895" s="12" t="n">
        <v>0</v>
      </c>
      <c r="N3895" s="27">
        <f>F3895-J3895</f>
        <v/>
      </c>
      <c r="O3895" s="16">
        <f>I3895-H3895</f>
        <v/>
      </c>
      <c r="P3895" s="14">
        <f>F3895*G3895</f>
        <v/>
      </c>
      <c r="Q3895" s="14">
        <f>J3895*G3895</f>
        <v/>
      </c>
      <c r="R3895" s="14">
        <f>K3895-Q3895</f>
        <v/>
      </c>
      <c r="S3895" s="3">
        <f>P3895*Assumptions!$B$3/100</f>
        <v/>
      </c>
      <c r="T3895" s="14">
        <f>R3895-S3895</f>
        <v/>
      </c>
      <c r="U3895" s="14">
        <f>L3895*G3895</f>
        <v/>
      </c>
    </row>
    <row r="3896">
      <c r="A3896" s="12" t="inlineStr">
        <is>
          <t>PO-2023-3894</t>
        </is>
      </c>
      <c r="B3896" s="26" t="n">
        <v>44803</v>
      </c>
      <c r="C3896" s="12" t="inlineStr">
        <is>
          <t>VS31</t>
        </is>
      </c>
      <c r="D3896" s="12" t="inlineStr">
        <is>
          <t>GI Pipes</t>
        </is>
      </c>
      <c r="E3896" s="12" t="inlineStr">
        <is>
          <t>N</t>
        </is>
      </c>
      <c r="F3896" s="12" t="n">
        <v>43.31</v>
      </c>
      <c r="G3896" s="17" t="n">
        <v>95917.21000000001</v>
      </c>
      <c r="H3896" s="26" t="n">
        <v>44816</v>
      </c>
      <c r="I3896" s="26" t="n">
        <v>44816</v>
      </c>
      <c r="J3896" s="12" t="n">
        <v>43.03</v>
      </c>
      <c r="K3896" s="17" t="n">
        <v>4154174.37</v>
      </c>
      <c r="L3896" s="12" t="n">
        <v>0</v>
      </c>
      <c r="M3896" s="12" t="n">
        <v>23</v>
      </c>
      <c r="N3896" s="27">
        <f>F3896-J3896</f>
        <v/>
      </c>
      <c r="O3896" s="16">
        <f>I3896-H3896</f>
        <v/>
      </c>
      <c r="P3896" s="14">
        <f>F3896*G3896</f>
        <v/>
      </c>
      <c r="Q3896" s="14">
        <f>J3896*G3896</f>
        <v/>
      </c>
      <c r="R3896" s="14">
        <f>K3896-Q3896</f>
        <v/>
      </c>
      <c r="S3896" s="3">
        <f>P3896*Assumptions!$B$3/100</f>
        <v/>
      </c>
      <c r="T3896" s="14">
        <f>R3896-S3896</f>
        <v/>
      </c>
      <c r="U3896" s="14">
        <f>L3896*G3896</f>
        <v/>
      </c>
    </row>
    <row r="3897">
      <c r="A3897" s="12" t="inlineStr">
        <is>
          <t>PO-2023-3895</t>
        </is>
      </c>
      <c r="B3897" s="26" t="n">
        <v>44478</v>
      </c>
      <c r="C3897" s="12" t="inlineStr">
        <is>
          <t>VS13</t>
        </is>
      </c>
      <c r="D3897" s="12" t="inlineStr">
        <is>
          <t>SS Pipes</t>
        </is>
      </c>
      <c r="E3897" s="12" t="inlineStr">
        <is>
          <t>N</t>
        </is>
      </c>
      <c r="F3897" s="12" t="n">
        <v>22.75</v>
      </c>
      <c r="G3897" s="17" t="n">
        <v>49764.26</v>
      </c>
      <c r="H3897" s="26" t="n">
        <v>44487</v>
      </c>
      <c r="I3897" s="26" t="n">
        <v>44487</v>
      </c>
      <c r="J3897" s="12" t="n">
        <v>22.62</v>
      </c>
      <c r="K3897" s="17" t="n">
        <v>1132136.92</v>
      </c>
      <c r="L3897" s="12" t="n">
        <v>0</v>
      </c>
      <c r="M3897" s="12" t="n">
        <v>22</v>
      </c>
      <c r="N3897" s="27">
        <f>F3897-J3897</f>
        <v/>
      </c>
      <c r="O3897" s="16">
        <f>I3897-H3897</f>
        <v/>
      </c>
      <c r="P3897" s="14">
        <f>F3897*G3897</f>
        <v/>
      </c>
      <c r="Q3897" s="14">
        <f>J3897*G3897</f>
        <v/>
      </c>
      <c r="R3897" s="14">
        <f>K3897-Q3897</f>
        <v/>
      </c>
      <c r="S3897" s="3">
        <f>P3897*Assumptions!$B$3/100</f>
        <v/>
      </c>
      <c r="T3897" s="14">
        <f>R3897-S3897</f>
        <v/>
      </c>
      <c r="U3897" s="14">
        <f>L3897*G3897</f>
        <v/>
      </c>
    </row>
    <row r="3898">
      <c r="A3898" s="12" t="inlineStr">
        <is>
          <t>PO-2023-3896</t>
        </is>
      </c>
      <c r="B3898" s="26" t="n">
        <v>44347</v>
      </c>
      <c r="C3898" s="12" t="inlineStr">
        <is>
          <t>VS22</t>
        </is>
      </c>
      <c r="D3898" s="12" t="inlineStr">
        <is>
          <t>HR Coils</t>
        </is>
      </c>
      <c r="E3898" s="12" t="inlineStr">
        <is>
          <t>N</t>
        </is>
      </c>
      <c r="F3898" s="12" t="n">
        <v>29.25</v>
      </c>
      <c r="G3898" s="17" t="n">
        <v>76591.84</v>
      </c>
      <c r="H3898" s="26" t="n">
        <v>44362</v>
      </c>
      <c r="I3898" s="26" t="n">
        <v>44365</v>
      </c>
      <c r="J3898" s="12" t="n">
        <v>29.01</v>
      </c>
      <c r="K3898" s="17" t="n">
        <v>2240311.32</v>
      </c>
      <c r="L3898" s="12" t="n">
        <v>0</v>
      </c>
      <c r="M3898" s="12" t="n">
        <v>21</v>
      </c>
      <c r="N3898" s="27">
        <f>F3898-J3898</f>
        <v/>
      </c>
      <c r="O3898" s="16">
        <f>I3898-H3898</f>
        <v/>
      </c>
      <c r="P3898" s="14">
        <f>F3898*G3898</f>
        <v/>
      </c>
      <c r="Q3898" s="14">
        <f>J3898*G3898</f>
        <v/>
      </c>
      <c r="R3898" s="14">
        <f>K3898-Q3898</f>
        <v/>
      </c>
      <c r="S3898" s="3">
        <f>P3898*Assumptions!$B$3/100</f>
        <v/>
      </c>
      <c r="T3898" s="14">
        <f>R3898-S3898</f>
        <v/>
      </c>
      <c r="U3898" s="14">
        <f>L3898*G3898</f>
        <v/>
      </c>
    </row>
    <row r="3899">
      <c r="A3899" s="12" t="inlineStr">
        <is>
          <t>PO-2023-3897</t>
        </is>
      </c>
      <c r="B3899" s="26" t="n">
        <v>45192</v>
      </c>
      <c r="C3899" s="12" t="inlineStr">
        <is>
          <t>VS25</t>
        </is>
      </c>
      <c r="D3899" s="12" t="inlineStr">
        <is>
          <t>GI Wire</t>
        </is>
      </c>
      <c r="E3899" s="12" t="inlineStr">
        <is>
          <t>Y</t>
        </is>
      </c>
      <c r="F3899" s="12" t="n">
        <v>7.48</v>
      </c>
      <c r="G3899" s="17" t="n">
        <v>75558.39</v>
      </c>
      <c r="H3899" s="26" t="n">
        <v>45198</v>
      </c>
      <c r="I3899" s="26" t="n">
        <v>45198</v>
      </c>
      <c r="J3899" s="12" t="n">
        <v>7.43</v>
      </c>
      <c r="K3899" s="17" t="n">
        <v>565176.76</v>
      </c>
      <c r="L3899" s="12" t="n">
        <v>0</v>
      </c>
      <c r="M3899" s="12" t="n">
        <v>25</v>
      </c>
      <c r="N3899" s="27">
        <f>F3899-J3899</f>
        <v/>
      </c>
      <c r="O3899" s="16">
        <f>I3899-H3899</f>
        <v/>
      </c>
      <c r="P3899" s="14">
        <f>F3899*G3899</f>
        <v/>
      </c>
      <c r="Q3899" s="14">
        <f>J3899*G3899</f>
        <v/>
      </c>
      <c r="R3899" s="14">
        <f>K3899-Q3899</f>
        <v/>
      </c>
      <c r="S3899" s="3">
        <f>P3899*Assumptions!$B$3/100</f>
        <v/>
      </c>
      <c r="T3899" s="14">
        <f>R3899-S3899</f>
        <v/>
      </c>
      <c r="U3899" s="14">
        <f>L3899*G3899</f>
        <v/>
      </c>
    </row>
    <row r="3900">
      <c r="A3900" s="12" t="inlineStr">
        <is>
          <t>PO-2023-3898</t>
        </is>
      </c>
      <c r="B3900" s="26" t="n">
        <v>44866</v>
      </c>
      <c r="C3900" s="12" t="inlineStr">
        <is>
          <t>VS25</t>
        </is>
      </c>
      <c r="D3900" s="12" t="inlineStr">
        <is>
          <t>MS Pipes</t>
        </is>
      </c>
      <c r="E3900" s="12" t="inlineStr">
        <is>
          <t>N</t>
        </is>
      </c>
      <c r="F3900" s="12" t="n">
        <v>18.8</v>
      </c>
      <c r="G3900" s="17" t="n">
        <v>118216.73</v>
      </c>
      <c r="H3900" s="26" t="n">
        <v>44871</v>
      </c>
      <c r="I3900" s="26" t="n">
        <v>44872</v>
      </c>
      <c r="J3900" s="12" t="n">
        <v>18.72</v>
      </c>
      <c r="K3900" s="17" t="n">
        <v>2222474.52</v>
      </c>
      <c r="L3900" s="12" t="n">
        <v>0</v>
      </c>
      <c r="M3900" s="12" t="n">
        <v>0</v>
      </c>
      <c r="N3900" s="27">
        <f>F3900-J3900</f>
        <v/>
      </c>
      <c r="O3900" s="16">
        <f>I3900-H3900</f>
        <v/>
      </c>
      <c r="P3900" s="14">
        <f>F3900*G3900</f>
        <v/>
      </c>
      <c r="Q3900" s="14">
        <f>J3900*G3900</f>
        <v/>
      </c>
      <c r="R3900" s="14">
        <f>K3900-Q3900</f>
        <v/>
      </c>
      <c r="S3900" s="3">
        <f>P3900*Assumptions!$B$3/100</f>
        <v/>
      </c>
      <c r="T3900" s="14">
        <f>R3900-S3900</f>
        <v/>
      </c>
      <c r="U3900" s="14">
        <f>L3900*G3900</f>
        <v/>
      </c>
    </row>
    <row r="3901">
      <c r="A3901" s="12" t="inlineStr">
        <is>
          <t>PO-2023-3899</t>
        </is>
      </c>
      <c r="B3901" s="26" t="n">
        <v>44984</v>
      </c>
      <c r="C3901" s="12" t="inlineStr">
        <is>
          <t>VS05</t>
        </is>
      </c>
      <c r="D3901" s="12" t="inlineStr">
        <is>
          <t>Spring Steel</t>
        </is>
      </c>
      <c r="E3901" s="12" t="inlineStr">
        <is>
          <t>N</t>
        </is>
      </c>
      <c r="F3901" s="12" t="n">
        <v>15.76</v>
      </c>
      <c r="G3901" s="17" t="n">
        <v>54730.49</v>
      </c>
      <c r="H3901" s="26" t="n">
        <v>44994</v>
      </c>
      <c r="I3901" s="26" t="n">
        <v>44995</v>
      </c>
      <c r="J3901" s="12" t="n">
        <v>15.68</v>
      </c>
      <c r="K3901" s="17" t="n">
        <v>862552.52</v>
      </c>
      <c r="L3901" s="12" t="n">
        <v>0</v>
      </c>
      <c r="M3901" s="12" t="n">
        <v>0</v>
      </c>
      <c r="N3901" s="27">
        <f>F3901-J3901</f>
        <v/>
      </c>
      <c r="O3901" s="16">
        <f>I3901-H3901</f>
        <v/>
      </c>
      <c r="P3901" s="14">
        <f>F3901*G3901</f>
        <v/>
      </c>
      <c r="Q3901" s="14">
        <f>J3901*G3901</f>
        <v/>
      </c>
      <c r="R3901" s="14">
        <f>K3901-Q3901</f>
        <v/>
      </c>
      <c r="S3901" s="3">
        <f>P3901*Assumptions!$B$3/100</f>
        <v/>
      </c>
      <c r="T3901" s="14">
        <f>R3901-S3901</f>
        <v/>
      </c>
      <c r="U3901" s="14">
        <f>L3901*G3901</f>
        <v/>
      </c>
    </row>
    <row r="3902">
      <c r="A3902" s="12" t="inlineStr">
        <is>
          <t>PO-2023-3900</t>
        </is>
      </c>
      <c r="B3902" s="26" t="n">
        <v>45115</v>
      </c>
      <c r="C3902" s="12" t="inlineStr">
        <is>
          <t>VS01</t>
        </is>
      </c>
      <c r="D3902" s="12" t="inlineStr">
        <is>
          <t>GI Sheets</t>
        </is>
      </c>
      <c r="E3902" s="12" t="inlineStr">
        <is>
          <t>N</t>
        </is>
      </c>
      <c r="F3902" s="12" t="n">
        <v>45.44</v>
      </c>
      <c r="G3902" s="17" t="n">
        <v>83770.24000000001</v>
      </c>
      <c r="H3902" s="26" t="n">
        <v>45118</v>
      </c>
      <c r="I3902" s="26" t="n">
        <v>45120</v>
      </c>
      <c r="J3902" s="12" t="n">
        <v>45.09</v>
      </c>
      <c r="K3902" s="17" t="n">
        <v>3806519.71</v>
      </c>
      <c r="L3902" s="12" t="n">
        <v>0</v>
      </c>
      <c r="M3902" s="12" t="n">
        <v>14</v>
      </c>
      <c r="N3902" s="27">
        <f>F3902-J3902</f>
        <v/>
      </c>
      <c r="O3902" s="16">
        <f>I3902-H3902</f>
        <v/>
      </c>
      <c r="P3902" s="14">
        <f>F3902*G3902</f>
        <v/>
      </c>
      <c r="Q3902" s="14">
        <f>J3902*G3902</f>
        <v/>
      </c>
      <c r="R3902" s="14">
        <f>K3902-Q3902</f>
        <v/>
      </c>
      <c r="S3902" s="3">
        <f>P3902*Assumptions!$B$3/100</f>
        <v/>
      </c>
      <c r="T3902" s="14">
        <f>R3902-S3902</f>
        <v/>
      </c>
      <c r="U3902" s="14">
        <f>L3902*G3902</f>
        <v/>
      </c>
    </row>
    <row r="3903">
      <c r="A3903" s="12" t="inlineStr">
        <is>
          <t>PO-2023-3901</t>
        </is>
      </c>
      <c r="B3903" s="26" t="n">
        <v>44874</v>
      </c>
      <c r="C3903" s="12" t="inlineStr">
        <is>
          <t>VS04</t>
        </is>
      </c>
      <c r="D3903" s="12" t="inlineStr">
        <is>
          <t>MS Rods</t>
        </is>
      </c>
      <c r="E3903" s="12" t="inlineStr">
        <is>
          <t>N</t>
        </is>
      </c>
      <c r="F3903" s="12" t="n">
        <v>12.59</v>
      </c>
      <c r="G3903" s="17" t="n">
        <v>74717</v>
      </c>
      <c r="H3903" s="26" t="n">
        <v>44880</v>
      </c>
      <c r="I3903" s="26" t="n">
        <v>44881</v>
      </c>
      <c r="J3903" s="12" t="n">
        <v>12.48</v>
      </c>
      <c r="K3903" s="17" t="n">
        <v>940687.03</v>
      </c>
      <c r="L3903" s="12" t="n">
        <v>0</v>
      </c>
      <c r="M3903" s="12" t="n">
        <v>0</v>
      </c>
      <c r="N3903" s="27">
        <f>F3903-J3903</f>
        <v/>
      </c>
      <c r="O3903" s="16">
        <f>I3903-H3903</f>
        <v/>
      </c>
      <c r="P3903" s="14">
        <f>F3903*G3903</f>
        <v/>
      </c>
      <c r="Q3903" s="14">
        <f>J3903*G3903</f>
        <v/>
      </c>
      <c r="R3903" s="14">
        <f>K3903-Q3903</f>
        <v/>
      </c>
      <c r="S3903" s="3">
        <f>P3903*Assumptions!$B$3/100</f>
        <v/>
      </c>
      <c r="T3903" s="14">
        <f>R3903-S3903</f>
        <v/>
      </c>
      <c r="U3903" s="14">
        <f>L3903*G3903</f>
        <v/>
      </c>
    </row>
    <row r="3904">
      <c r="A3904" s="12" t="inlineStr">
        <is>
          <t>PO-2023-3902</t>
        </is>
      </c>
      <c r="B3904" s="26" t="n">
        <v>45085</v>
      </c>
      <c r="C3904" s="12" t="inlineStr">
        <is>
          <t>VS01</t>
        </is>
      </c>
      <c r="D3904" s="12" t="inlineStr">
        <is>
          <t>Angles &amp; Channels</t>
        </is>
      </c>
      <c r="E3904" s="12" t="inlineStr">
        <is>
          <t>N</t>
        </is>
      </c>
      <c r="F3904" s="12" t="n">
        <v>3.16</v>
      </c>
      <c r="G3904" s="17" t="n">
        <v>99820.05</v>
      </c>
      <c r="H3904" s="26" t="n">
        <v>45098</v>
      </c>
      <c r="I3904" s="26" t="n">
        <v>45099</v>
      </c>
      <c r="J3904" s="12" t="n">
        <v>3.14</v>
      </c>
      <c r="K3904" s="17" t="n">
        <v>315431.36</v>
      </c>
      <c r="L3904" s="12" t="n">
        <v>0</v>
      </c>
      <c r="M3904" s="12" t="n">
        <v>0</v>
      </c>
      <c r="N3904" s="27">
        <f>F3904-J3904</f>
        <v/>
      </c>
      <c r="O3904" s="16">
        <f>I3904-H3904</f>
        <v/>
      </c>
      <c r="P3904" s="14">
        <f>F3904*G3904</f>
        <v/>
      </c>
      <c r="Q3904" s="14">
        <f>J3904*G3904</f>
        <v/>
      </c>
      <c r="R3904" s="14">
        <f>K3904-Q3904</f>
        <v/>
      </c>
      <c r="S3904" s="3">
        <f>P3904*Assumptions!$B$3/100</f>
        <v/>
      </c>
      <c r="T3904" s="14">
        <f>R3904-S3904</f>
        <v/>
      </c>
      <c r="U3904" s="14">
        <f>L3904*G3904</f>
        <v/>
      </c>
    </row>
    <row r="3905">
      <c r="A3905" s="12" t="inlineStr">
        <is>
          <t>PO-2023-3903</t>
        </is>
      </c>
      <c r="B3905" s="26" t="n">
        <v>44376</v>
      </c>
      <c r="C3905" s="12" t="inlineStr">
        <is>
          <t>VS28</t>
        </is>
      </c>
      <c r="D3905" s="12" t="inlineStr">
        <is>
          <t>CR Sheets</t>
        </is>
      </c>
      <c r="E3905" s="12" t="inlineStr">
        <is>
          <t>N</t>
        </is>
      </c>
      <c r="F3905" s="12" t="n">
        <v>42.03</v>
      </c>
      <c r="G3905" s="17" t="n">
        <v>91788.32000000001</v>
      </c>
      <c r="H3905" s="26" t="n">
        <v>44388</v>
      </c>
      <c r="I3905" s="26" t="n">
        <v>44391</v>
      </c>
      <c r="J3905" s="12" t="n">
        <v>41.65</v>
      </c>
      <c r="K3905" s="17" t="n">
        <v>3857863.09</v>
      </c>
      <c r="L3905" s="12" t="n">
        <v>0</v>
      </c>
      <c r="M3905" s="12" t="n">
        <v>0</v>
      </c>
      <c r="N3905" s="27">
        <f>F3905-J3905</f>
        <v/>
      </c>
      <c r="O3905" s="16">
        <f>I3905-H3905</f>
        <v/>
      </c>
      <c r="P3905" s="14">
        <f>F3905*G3905</f>
        <v/>
      </c>
      <c r="Q3905" s="14">
        <f>J3905*G3905</f>
        <v/>
      </c>
      <c r="R3905" s="14">
        <f>K3905-Q3905</f>
        <v/>
      </c>
      <c r="S3905" s="3">
        <f>P3905*Assumptions!$B$3/100</f>
        <v/>
      </c>
      <c r="T3905" s="14">
        <f>R3905-S3905</f>
        <v/>
      </c>
      <c r="U3905" s="14">
        <f>L3905*G3905</f>
        <v/>
      </c>
    </row>
    <row r="3906">
      <c r="A3906" s="12" t="inlineStr">
        <is>
          <t>PO-2023-3904</t>
        </is>
      </c>
      <c r="B3906" s="26" t="n">
        <v>44444</v>
      </c>
      <c r="C3906" s="12" t="inlineStr">
        <is>
          <t>VS01</t>
        </is>
      </c>
      <c r="D3906" s="12" t="inlineStr">
        <is>
          <t>GI Sheets</t>
        </is>
      </c>
      <c r="E3906" s="12" t="inlineStr">
        <is>
          <t>N</t>
        </is>
      </c>
      <c r="F3906" s="12" t="n">
        <v>29.75</v>
      </c>
      <c r="G3906" s="17" t="n">
        <v>89427.39</v>
      </c>
      <c r="H3906" s="26" t="n">
        <v>44449</v>
      </c>
      <c r="I3906" s="26" t="n">
        <v>44449</v>
      </c>
      <c r="J3906" s="12" t="n">
        <v>29.71</v>
      </c>
      <c r="K3906" s="17" t="n">
        <v>2660464.85</v>
      </c>
      <c r="L3906" s="12" t="n">
        <v>0</v>
      </c>
      <c r="M3906" s="12" t="n">
        <v>0</v>
      </c>
      <c r="N3906" s="27">
        <f>F3906-J3906</f>
        <v/>
      </c>
      <c r="O3906" s="16">
        <f>I3906-H3906</f>
        <v/>
      </c>
      <c r="P3906" s="14">
        <f>F3906*G3906</f>
        <v/>
      </c>
      <c r="Q3906" s="14">
        <f>J3906*G3906</f>
        <v/>
      </c>
      <c r="R3906" s="14">
        <f>K3906-Q3906</f>
        <v/>
      </c>
      <c r="S3906" s="3">
        <f>P3906*Assumptions!$B$3/100</f>
        <v/>
      </c>
      <c r="T3906" s="14">
        <f>R3906-S3906</f>
        <v/>
      </c>
      <c r="U3906" s="14">
        <f>L3906*G3906</f>
        <v/>
      </c>
    </row>
    <row r="3907">
      <c r="A3907" s="12" t="inlineStr">
        <is>
          <t>PO-2023-3905</t>
        </is>
      </c>
      <c r="B3907" s="26" t="n">
        <v>44317</v>
      </c>
      <c r="C3907" s="12" t="inlineStr">
        <is>
          <t>VS16</t>
        </is>
      </c>
      <c r="D3907" s="12" t="inlineStr">
        <is>
          <t>MS Pipes</t>
        </is>
      </c>
      <c r="E3907" s="12" t="inlineStr">
        <is>
          <t>N</t>
        </is>
      </c>
      <c r="F3907" s="12" t="n">
        <v>8.01</v>
      </c>
      <c r="G3907" s="17" t="n">
        <v>55144.17</v>
      </c>
      <c r="H3907" s="26" t="n">
        <v>44329</v>
      </c>
      <c r="I3907" s="26" t="n">
        <v>44330</v>
      </c>
      <c r="J3907" s="12" t="n">
        <v>7.98</v>
      </c>
      <c r="K3907" s="17" t="n">
        <v>441704.8</v>
      </c>
      <c r="L3907" s="12" t="n">
        <v>0</v>
      </c>
      <c r="M3907" s="12" t="n">
        <v>12</v>
      </c>
      <c r="N3907" s="27">
        <f>F3907-J3907</f>
        <v/>
      </c>
      <c r="O3907" s="16">
        <f>I3907-H3907</f>
        <v/>
      </c>
      <c r="P3907" s="14">
        <f>F3907*G3907</f>
        <v/>
      </c>
      <c r="Q3907" s="14">
        <f>J3907*G3907</f>
        <v/>
      </c>
      <c r="R3907" s="14">
        <f>K3907-Q3907</f>
        <v/>
      </c>
      <c r="S3907" s="3">
        <f>P3907*Assumptions!$B$3/100</f>
        <v/>
      </c>
      <c r="T3907" s="14">
        <f>R3907-S3907</f>
        <v/>
      </c>
      <c r="U3907" s="14">
        <f>L3907*G3907</f>
        <v/>
      </c>
    </row>
    <row r="3908">
      <c r="A3908" s="12" t="inlineStr">
        <is>
          <t>PO-2023-3906</t>
        </is>
      </c>
      <c r="B3908" s="26" t="n">
        <v>44734</v>
      </c>
      <c r="C3908" s="12" t="inlineStr">
        <is>
          <t>VS22</t>
        </is>
      </c>
      <c r="D3908" s="12" t="inlineStr">
        <is>
          <t>MS Sheets</t>
        </is>
      </c>
      <c r="E3908" s="12" t="inlineStr">
        <is>
          <t>N</t>
        </is>
      </c>
      <c r="F3908" s="12" t="n">
        <v>34.74</v>
      </c>
      <c r="G3908" s="17" t="n">
        <v>102554.44</v>
      </c>
      <c r="H3908" s="26" t="n">
        <v>44744</v>
      </c>
      <c r="I3908" s="26" t="n">
        <v>44746</v>
      </c>
      <c r="J3908" s="12" t="n">
        <v>34.58</v>
      </c>
      <c r="K3908" s="17" t="n">
        <v>3562741.25</v>
      </c>
      <c r="L3908" s="12" t="n">
        <v>0</v>
      </c>
      <c r="M3908" s="12" t="n">
        <v>0</v>
      </c>
      <c r="N3908" s="27">
        <f>F3908-J3908</f>
        <v/>
      </c>
      <c r="O3908" s="16">
        <f>I3908-H3908</f>
        <v/>
      </c>
      <c r="P3908" s="14">
        <f>F3908*G3908</f>
        <v/>
      </c>
      <c r="Q3908" s="14">
        <f>J3908*G3908</f>
        <v/>
      </c>
      <c r="R3908" s="14">
        <f>K3908-Q3908</f>
        <v/>
      </c>
      <c r="S3908" s="3">
        <f>P3908*Assumptions!$B$3/100</f>
        <v/>
      </c>
      <c r="T3908" s="14">
        <f>R3908-S3908</f>
        <v/>
      </c>
      <c r="U3908" s="14">
        <f>L3908*G3908</f>
        <v/>
      </c>
    </row>
    <row r="3909">
      <c r="A3909" s="12" t="inlineStr">
        <is>
          <t>PO-2023-3907</t>
        </is>
      </c>
      <c r="B3909" s="26" t="n">
        <v>44956</v>
      </c>
      <c r="C3909" s="12" t="inlineStr">
        <is>
          <t>VS30</t>
        </is>
      </c>
      <c r="D3909" s="12" t="inlineStr">
        <is>
          <t>Angles &amp; Channels</t>
        </is>
      </c>
      <c r="E3909" s="12" t="inlineStr">
        <is>
          <t>N</t>
        </is>
      </c>
      <c r="F3909" s="12" t="n">
        <v>12.33</v>
      </c>
      <c r="G3909" s="17" t="n">
        <v>53408.54</v>
      </c>
      <c r="H3909" s="26" t="n">
        <v>44969</v>
      </c>
      <c r="I3909" s="26" t="n">
        <v>44972</v>
      </c>
      <c r="J3909" s="12" t="n">
        <v>12.28</v>
      </c>
      <c r="K3909" s="17" t="n">
        <v>658527.3</v>
      </c>
      <c r="L3909" s="12" t="n">
        <v>0</v>
      </c>
      <c r="M3909" s="12" t="n">
        <v>23</v>
      </c>
      <c r="N3909" s="27">
        <f>F3909-J3909</f>
        <v/>
      </c>
      <c r="O3909" s="16">
        <f>I3909-H3909</f>
        <v/>
      </c>
      <c r="P3909" s="14">
        <f>F3909*G3909</f>
        <v/>
      </c>
      <c r="Q3909" s="14">
        <f>J3909*G3909</f>
        <v/>
      </c>
      <c r="R3909" s="14">
        <f>K3909-Q3909</f>
        <v/>
      </c>
      <c r="S3909" s="3">
        <f>P3909*Assumptions!$B$3/100</f>
        <v/>
      </c>
      <c r="T3909" s="14">
        <f>R3909-S3909</f>
        <v/>
      </c>
      <c r="U3909" s="14">
        <f>L3909*G3909</f>
        <v/>
      </c>
    </row>
    <row r="3910">
      <c r="A3910" s="12" t="inlineStr">
        <is>
          <t>PO-2023-3908</t>
        </is>
      </c>
      <c r="B3910" s="26" t="n">
        <v>44579</v>
      </c>
      <c r="C3910" s="12" t="inlineStr">
        <is>
          <t>VS26</t>
        </is>
      </c>
      <c r="D3910" s="12" t="inlineStr">
        <is>
          <t>GI Pipes</t>
        </is>
      </c>
      <c r="E3910" s="12" t="inlineStr">
        <is>
          <t>N</t>
        </is>
      </c>
      <c r="F3910" s="12" t="n">
        <v>3.43</v>
      </c>
      <c r="G3910" s="17" t="n">
        <v>98745.59</v>
      </c>
      <c r="H3910" s="26" t="n">
        <v>44588</v>
      </c>
      <c r="I3910" s="26" t="n">
        <v>44589</v>
      </c>
      <c r="J3910" s="12" t="n">
        <v>3.43</v>
      </c>
      <c r="K3910" s="17" t="n">
        <v>338697.37</v>
      </c>
      <c r="L3910" s="12" t="n">
        <v>0</v>
      </c>
      <c r="M3910" s="12" t="n">
        <v>0</v>
      </c>
      <c r="N3910" s="27">
        <f>F3910-J3910</f>
        <v/>
      </c>
      <c r="O3910" s="16">
        <f>I3910-H3910</f>
        <v/>
      </c>
      <c r="P3910" s="14">
        <f>F3910*G3910</f>
        <v/>
      </c>
      <c r="Q3910" s="14">
        <f>J3910*G3910</f>
        <v/>
      </c>
      <c r="R3910" s="14">
        <f>K3910-Q3910</f>
        <v/>
      </c>
      <c r="S3910" s="3">
        <f>P3910*Assumptions!$B$3/100</f>
        <v/>
      </c>
      <c r="T3910" s="14">
        <f>R3910-S3910</f>
        <v/>
      </c>
      <c r="U3910" s="14">
        <f>L3910*G3910</f>
        <v/>
      </c>
    </row>
    <row r="3911">
      <c r="A3911" s="12" t="inlineStr">
        <is>
          <t>PO-2023-3909</t>
        </is>
      </c>
      <c r="B3911" s="26" t="n">
        <v>44285</v>
      </c>
      <c r="C3911" s="12" t="inlineStr">
        <is>
          <t>VS09</t>
        </is>
      </c>
      <c r="D3911" s="12" t="inlineStr">
        <is>
          <t>Fasteners &amp; Fittings</t>
        </is>
      </c>
      <c r="E3911" s="12" t="inlineStr">
        <is>
          <t>N</t>
        </is>
      </c>
      <c r="F3911" s="12" t="n">
        <v>18.09</v>
      </c>
      <c r="G3911" s="17" t="n">
        <v>106104.57</v>
      </c>
      <c r="H3911" s="26" t="n">
        <v>44295</v>
      </c>
      <c r="I3911" s="26" t="n">
        <v>44295</v>
      </c>
      <c r="J3911" s="12" t="n">
        <v>17.99</v>
      </c>
      <c r="K3911" s="17" t="n">
        <v>1919431.67</v>
      </c>
      <c r="L3911" s="12" t="n">
        <v>0</v>
      </c>
      <c r="M3911" s="12" t="n">
        <v>5</v>
      </c>
      <c r="N3911" s="27">
        <f>F3911-J3911</f>
        <v/>
      </c>
      <c r="O3911" s="16">
        <f>I3911-H3911</f>
        <v/>
      </c>
      <c r="P3911" s="14">
        <f>F3911*G3911</f>
        <v/>
      </c>
      <c r="Q3911" s="14">
        <f>J3911*G3911</f>
        <v/>
      </c>
      <c r="R3911" s="14">
        <f>K3911-Q3911</f>
        <v/>
      </c>
      <c r="S3911" s="3">
        <f>P3911*Assumptions!$B$3/100</f>
        <v/>
      </c>
      <c r="T3911" s="14">
        <f>R3911-S3911</f>
        <v/>
      </c>
      <c r="U3911" s="14">
        <f>L3911*G3911</f>
        <v/>
      </c>
    </row>
    <row r="3912">
      <c r="A3912" s="12" t="inlineStr">
        <is>
          <t>PO-2023-3910</t>
        </is>
      </c>
      <c r="B3912" s="26" t="n">
        <v>44801</v>
      </c>
      <c r="C3912" s="12" t="inlineStr">
        <is>
          <t>VS21</t>
        </is>
      </c>
      <c r="D3912" s="12" t="inlineStr">
        <is>
          <t>CR Sheets</t>
        </is>
      </c>
      <c r="E3912" s="12" t="inlineStr">
        <is>
          <t>N</t>
        </is>
      </c>
      <c r="F3912" s="12" t="n">
        <v>40.75</v>
      </c>
      <c r="G3912" s="17" t="n">
        <v>118611.18</v>
      </c>
      <c r="H3912" s="26" t="n">
        <v>44813</v>
      </c>
      <c r="I3912" s="26" t="n">
        <v>44814</v>
      </c>
      <c r="J3912" s="12" t="n">
        <v>40.56</v>
      </c>
      <c r="K3912" s="17" t="n">
        <v>4833405.58</v>
      </c>
      <c r="L3912" s="12" t="n">
        <v>0</v>
      </c>
      <c r="M3912" s="12" t="n">
        <v>18</v>
      </c>
      <c r="N3912" s="27">
        <f>F3912-J3912</f>
        <v/>
      </c>
      <c r="O3912" s="16">
        <f>I3912-H3912</f>
        <v/>
      </c>
      <c r="P3912" s="14">
        <f>F3912*G3912</f>
        <v/>
      </c>
      <c r="Q3912" s="14">
        <f>J3912*G3912</f>
        <v/>
      </c>
      <c r="R3912" s="14">
        <f>K3912-Q3912</f>
        <v/>
      </c>
      <c r="S3912" s="3">
        <f>P3912*Assumptions!$B$3/100</f>
        <v/>
      </c>
      <c r="T3912" s="14">
        <f>R3912-S3912</f>
        <v/>
      </c>
      <c r="U3912" s="14">
        <f>L3912*G3912</f>
        <v/>
      </c>
    </row>
    <row r="3913">
      <c r="A3913" s="12" t="inlineStr">
        <is>
          <t>PO-2023-3911</t>
        </is>
      </c>
      <c r="B3913" s="26" t="n">
        <v>44477</v>
      </c>
      <c r="C3913" s="12" t="inlineStr">
        <is>
          <t>VS03</t>
        </is>
      </c>
      <c r="D3913" s="12" t="inlineStr">
        <is>
          <t>MS Flats</t>
        </is>
      </c>
      <c r="E3913" s="12" t="inlineStr">
        <is>
          <t>N</t>
        </is>
      </c>
      <c r="F3913" s="12" t="n">
        <v>15.01</v>
      </c>
      <c r="G3913" s="17" t="n">
        <v>90233.27</v>
      </c>
      <c r="H3913" s="26" t="n">
        <v>44489</v>
      </c>
      <c r="I3913" s="26" t="n">
        <v>44496</v>
      </c>
      <c r="J3913" s="12" t="n">
        <v>14.45</v>
      </c>
      <c r="K3913" s="17" t="n">
        <v>1354401.38</v>
      </c>
      <c r="L3913" s="12" t="n">
        <v>0.68</v>
      </c>
      <c r="M3913" s="12" t="n">
        <v>16</v>
      </c>
      <c r="N3913" s="27">
        <f>F3913-J3913</f>
        <v/>
      </c>
      <c r="O3913" s="16">
        <f>I3913-H3913</f>
        <v/>
      </c>
      <c r="P3913" s="14">
        <f>F3913*G3913</f>
        <v/>
      </c>
      <c r="Q3913" s="14">
        <f>J3913*G3913</f>
        <v/>
      </c>
      <c r="R3913" s="14">
        <f>K3913-Q3913</f>
        <v/>
      </c>
      <c r="S3913" s="3">
        <f>P3913*Assumptions!$B$3/100</f>
        <v/>
      </c>
      <c r="T3913" s="14">
        <f>R3913-S3913</f>
        <v/>
      </c>
      <c r="U3913" s="14">
        <f>L3913*G3913</f>
        <v/>
      </c>
    </row>
    <row r="3914">
      <c r="A3914" s="12" t="inlineStr">
        <is>
          <t>PO-2023-3912</t>
        </is>
      </c>
      <c r="B3914" s="26" t="n">
        <v>44773</v>
      </c>
      <c r="C3914" s="12" t="inlineStr">
        <is>
          <t>VS19</t>
        </is>
      </c>
      <c r="D3914" s="12" t="inlineStr">
        <is>
          <t>MS Flats</t>
        </is>
      </c>
      <c r="E3914" s="12" t="inlineStr">
        <is>
          <t>N</t>
        </is>
      </c>
      <c r="F3914" s="12" t="n">
        <v>12.03</v>
      </c>
      <c r="G3914" s="17" t="n">
        <v>53863.91</v>
      </c>
      <c r="H3914" s="26" t="n">
        <v>44784</v>
      </c>
      <c r="I3914" s="26" t="n">
        <v>44788</v>
      </c>
      <c r="J3914" s="12" t="n">
        <v>11.79</v>
      </c>
      <c r="K3914" s="17" t="n">
        <v>647982.84</v>
      </c>
      <c r="L3914" s="12" t="n">
        <v>0.21</v>
      </c>
      <c r="M3914" s="12" t="n">
        <v>2</v>
      </c>
      <c r="N3914" s="27">
        <f>F3914-J3914</f>
        <v/>
      </c>
      <c r="O3914" s="16">
        <f>I3914-H3914</f>
        <v/>
      </c>
      <c r="P3914" s="14">
        <f>F3914*G3914</f>
        <v/>
      </c>
      <c r="Q3914" s="14">
        <f>J3914*G3914</f>
        <v/>
      </c>
      <c r="R3914" s="14">
        <f>K3914-Q3914</f>
        <v/>
      </c>
      <c r="S3914" s="3">
        <f>P3914*Assumptions!$B$3/100</f>
        <v/>
      </c>
      <c r="T3914" s="14">
        <f>R3914-S3914</f>
        <v/>
      </c>
      <c r="U3914" s="14">
        <f>L3914*G3914</f>
        <v/>
      </c>
    </row>
    <row r="3915">
      <c r="A3915" s="12" t="inlineStr">
        <is>
          <t>PO-2023-3913</t>
        </is>
      </c>
      <c r="B3915" s="26" t="n">
        <v>44230</v>
      </c>
      <c r="C3915" s="12" t="inlineStr">
        <is>
          <t>VS08</t>
        </is>
      </c>
      <c r="D3915" s="12" t="inlineStr">
        <is>
          <t>Spring Steel</t>
        </is>
      </c>
      <c r="E3915" s="12" t="inlineStr">
        <is>
          <t>N</t>
        </is>
      </c>
      <c r="F3915" s="12" t="n">
        <v>30.17</v>
      </c>
      <c r="G3915" s="17" t="n">
        <v>71089.56</v>
      </c>
      <c r="H3915" s="26" t="n">
        <v>44238</v>
      </c>
      <c r="I3915" s="26" t="n">
        <v>44241</v>
      </c>
      <c r="J3915" s="12" t="n">
        <v>30.11</v>
      </c>
      <c r="K3915" s="17" t="n">
        <v>2144772.03</v>
      </c>
      <c r="L3915" s="12" t="n">
        <v>0</v>
      </c>
      <c r="M3915" s="12" t="n">
        <v>0</v>
      </c>
      <c r="N3915" s="27">
        <f>F3915-J3915</f>
        <v/>
      </c>
      <c r="O3915" s="16">
        <f>I3915-H3915</f>
        <v/>
      </c>
      <c r="P3915" s="14">
        <f>F3915*G3915</f>
        <v/>
      </c>
      <c r="Q3915" s="14">
        <f>J3915*G3915</f>
        <v/>
      </c>
      <c r="R3915" s="14">
        <f>K3915-Q3915</f>
        <v/>
      </c>
      <c r="S3915" s="3">
        <f>P3915*Assumptions!$B$3/100</f>
        <v/>
      </c>
      <c r="T3915" s="14">
        <f>R3915-S3915</f>
        <v/>
      </c>
      <c r="U3915" s="14">
        <f>L3915*G3915</f>
        <v/>
      </c>
    </row>
    <row r="3916">
      <c r="A3916" s="12" t="inlineStr">
        <is>
          <t>PO-2023-3914</t>
        </is>
      </c>
      <c r="B3916" s="26" t="n">
        <v>45281</v>
      </c>
      <c r="C3916" s="12" t="inlineStr">
        <is>
          <t>VS14</t>
        </is>
      </c>
      <c r="D3916" s="12" t="inlineStr">
        <is>
          <t>SS Sheets</t>
        </is>
      </c>
      <c r="E3916" s="12" t="inlineStr">
        <is>
          <t>N</t>
        </is>
      </c>
      <c r="F3916" s="12" t="n">
        <v>44.43</v>
      </c>
      <c r="G3916" s="17" t="n">
        <v>108395.12</v>
      </c>
      <c r="H3916" s="26" t="n">
        <v>45296</v>
      </c>
      <c r="I3916" s="26" t="n">
        <v>45298</v>
      </c>
      <c r="J3916" s="12" t="n">
        <v>44.11</v>
      </c>
      <c r="K3916" s="17" t="n">
        <v>4815995.18</v>
      </c>
      <c r="L3916" s="12" t="n">
        <v>0</v>
      </c>
      <c r="M3916" s="12" t="n">
        <v>0</v>
      </c>
      <c r="N3916" s="27">
        <f>F3916-J3916</f>
        <v/>
      </c>
      <c r="O3916" s="16">
        <f>I3916-H3916</f>
        <v/>
      </c>
      <c r="P3916" s="14">
        <f>F3916*G3916</f>
        <v/>
      </c>
      <c r="Q3916" s="14">
        <f>J3916*G3916</f>
        <v/>
      </c>
      <c r="R3916" s="14">
        <f>K3916-Q3916</f>
        <v/>
      </c>
      <c r="S3916" s="3">
        <f>P3916*Assumptions!$B$3/100</f>
        <v/>
      </c>
      <c r="T3916" s="14">
        <f>R3916-S3916</f>
        <v/>
      </c>
      <c r="U3916" s="14">
        <f>L3916*G3916</f>
        <v/>
      </c>
    </row>
    <row r="3917">
      <c r="A3917" s="12" t="inlineStr">
        <is>
          <t>PO-2023-3915</t>
        </is>
      </c>
      <c r="B3917" s="26" t="n">
        <v>44873</v>
      </c>
      <c r="C3917" s="12" t="inlineStr">
        <is>
          <t>VS26</t>
        </is>
      </c>
      <c r="D3917" s="12" t="inlineStr">
        <is>
          <t>MS Rods</t>
        </is>
      </c>
      <c r="E3917" s="12" t="inlineStr">
        <is>
          <t>N</t>
        </is>
      </c>
      <c r="F3917" s="12" t="n">
        <v>8.69</v>
      </c>
      <c r="G3917" s="17" t="n">
        <v>57590.55</v>
      </c>
      <c r="H3917" s="26" t="n">
        <v>44888</v>
      </c>
      <c r="I3917" s="26" t="n">
        <v>44890</v>
      </c>
      <c r="J3917" s="12" t="n">
        <v>8.69</v>
      </c>
      <c r="K3917" s="17" t="n">
        <v>500461.88</v>
      </c>
      <c r="L3917" s="12" t="n">
        <v>0</v>
      </c>
      <c r="M3917" s="12" t="n">
        <v>16</v>
      </c>
      <c r="N3917" s="27">
        <f>F3917-J3917</f>
        <v/>
      </c>
      <c r="O3917" s="16">
        <f>I3917-H3917</f>
        <v/>
      </c>
      <c r="P3917" s="14">
        <f>F3917*G3917</f>
        <v/>
      </c>
      <c r="Q3917" s="14">
        <f>J3917*G3917</f>
        <v/>
      </c>
      <c r="R3917" s="14">
        <f>K3917-Q3917</f>
        <v/>
      </c>
      <c r="S3917" s="3">
        <f>P3917*Assumptions!$B$3/100</f>
        <v/>
      </c>
      <c r="T3917" s="14">
        <f>R3917-S3917</f>
        <v/>
      </c>
      <c r="U3917" s="14">
        <f>L3917*G3917</f>
        <v/>
      </c>
    </row>
    <row r="3918">
      <c r="A3918" s="12" t="inlineStr">
        <is>
          <t>PO-2023-3916</t>
        </is>
      </c>
      <c r="B3918" s="26" t="n">
        <v>44956</v>
      </c>
      <c r="C3918" s="12" t="inlineStr">
        <is>
          <t>VS10</t>
        </is>
      </c>
      <c r="D3918" s="12" t="inlineStr">
        <is>
          <t>ERW Pipes</t>
        </is>
      </c>
      <c r="E3918" s="12" t="inlineStr">
        <is>
          <t>N</t>
        </is>
      </c>
      <c r="F3918" s="12" t="n">
        <v>25.17</v>
      </c>
      <c r="G3918" s="17" t="n">
        <v>82128.12</v>
      </c>
      <c r="H3918" s="26" t="n">
        <v>44964</v>
      </c>
      <c r="I3918" s="26" t="n">
        <v>44967</v>
      </c>
      <c r="J3918" s="12" t="n">
        <v>25.04</v>
      </c>
      <c r="K3918" s="17" t="n">
        <v>2067164.78</v>
      </c>
      <c r="L3918" s="12" t="n">
        <v>0</v>
      </c>
      <c r="M3918" s="12" t="n">
        <v>24</v>
      </c>
      <c r="N3918" s="27">
        <f>F3918-J3918</f>
        <v/>
      </c>
      <c r="O3918" s="16">
        <f>I3918-H3918</f>
        <v/>
      </c>
      <c r="P3918" s="14">
        <f>F3918*G3918</f>
        <v/>
      </c>
      <c r="Q3918" s="14">
        <f>J3918*G3918</f>
        <v/>
      </c>
      <c r="R3918" s="14">
        <f>K3918-Q3918</f>
        <v/>
      </c>
      <c r="S3918" s="3">
        <f>P3918*Assumptions!$B$3/100</f>
        <v/>
      </c>
      <c r="T3918" s="14">
        <f>R3918-S3918</f>
        <v/>
      </c>
      <c r="U3918" s="14">
        <f>L3918*G3918</f>
        <v/>
      </c>
    </row>
    <row r="3919">
      <c r="A3919" s="12" t="inlineStr">
        <is>
          <t>PO-2023-3917</t>
        </is>
      </c>
      <c r="B3919" s="26" t="n">
        <v>45031</v>
      </c>
      <c r="C3919" s="12" t="inlineStr">
        <is>
          <t>VS25</t>
        </is>
      </c>
      <c r="D3919" s="12" t="inlineStr">
        <is>
          <t>MS Pipes</t>
        </is>
      </c>
      <c r="E3919" s="12" t="inlineStr">
        <is>
          <t>N</t>
        </is>
      </c>
      <c r="F3919" s="12" t="n">
        <v>12.5</v>
      </c>
      <c r="G3919" s="17" t="n">
        <v>105871.32</v>
      </c>
      <c r="H3919" s="26" t="n">
        <v>45035</v>
      </c>
      <c r="I3919" s="26" t="n">
        <v>45036</v>
      </c>
      <c r="J3919" s="12" t="n">
        <v>12.42</v>
      </c>
      <c r="K3919" s="17" t="n">
        <v>1323391.5</v>
      </c>
      <c r="L3919" s="12" t="n">
        <v>0</v>
      </c>
      <c r="M3919" s="12" t="n">
        <v>0</v>
      </c>
      <c r="N3919" s="27">
        <f>F3919-J3919</f>
        <v/>
      </c>
      <c r="O3919" s="16">
        <f>I3919-H3919</f>
        <v/>
      </c>
      <c r="P3919" s="14">
        <f>F3919*G3919</f>
        <v/>
      </c>
      <c r="Q3919" s="14">
        <f>J3919*G3919</f>
        <v/>
      </c>
      <c r="R3919" s="14">
        <f>K3919-Q3919</f>
        <v/>
      </c>
      <c r="S3919" s="3">
        <f>P3919*Assumptions!$B$3/100</f>
        <v/>
      </c>
      <c r="T3919" s="14">
        <f>R3919-S3919</f>
        <v/>
      </c>
      <c r="U3919" s="14">
        <f>L3919*G3919</f>
        <v/>
      </c>
    </row>
    <row r="3920">
      <c r="A3920" s="12" t="inlineStr">
        <is>
          <t>PO-2023-3918</t>
        </is>
      </c>
      <c r="B3920" s="26" t="n">
        <v>45057</v>
      </c>
      <c r="C3920" s="12" t="inlineStr">
        <is>
          <t>VS09</t>
        </is>
      </c>
      <c r="D3920" s="12" t="inlineStr">
        <is>
          <t>SS Sheets</t>
        </is>
      </c>
      <c r="E3920" s="12" t="inlineStr">
        <is>
          <t>N</t>
        </is>
      </c>
      <c r="F3920" s="12" t="n">
        <v>27.55</v>
      </c>
      <c r="G3920" s="17" t="n">
        <v>47286.25</v>
      </c>
      <c r="H3920" s="26" t="n">
        <v>45060</v>
      </c>
      <c r="I3920" s="26" t="n">
        <v>45062</v>
      </c>
      <c r="J3920" s="12" t="n">
        <v>27.29</v>
      </c>
      <c r="K3920" s="17" t="n">
        <v>1302736.19</v>
      </c>
      <c r="L3920" s="12" t="n">
        <v>0</v>
      </c>
      <c r="M3920" s="12" t="n">
        <v>0</v>
      </c>
      <c r="N3920" s="27">
        <f>F3920-J3920</f>
        <v/>
      </c>
      <c r="O3920" s="16">
        <f>I3920-H3920</f>
        <v/>
      </c>
      <c r="P3920" s="14">
        <f>F3920*G3920</f>
        <v/>
      </c>
      <c r="Q3920" s="14">
        <f>J3920*G3920</f>
        <v/>
      </c>
      <c r="R3920" s="14">
        <f>K3920-Q3920</f>
        <v/>
      </c>
      <c r="S3920" s="3">
        <f>P3920*Assumptions!$B$3/100</f>
        <v/>
      </c>
      <c r="T3920" s="14">
        <f>R3920-S3920</f>
        <v/>
      </c>
      <c r="U3920" s="14">
        <f>L3920*G3920</f>
        <v/>
      </c>
    </row>
    <row r="3921">
      <c r="A3921" s="12" t="inlineStr">
        <is>
          <t>PO-2023-3919</t>
        </is>
      </c>
      <c r="B3921" s="26" t="n">
        <v>44803</v>
      </c>
      <c r="C3921" s="12" t="inlineStr">
        <is>
          <t>VS29</t>
        </is>
      </c>
      <c r="D3921" s="12" t="inlineStr">
        <is>
          <t>Square/Rect Tubes</t>
        </is>
      </c>
      <c r="E3921" s="12" t="inlineStr">
        <is>
          <t>N</t>
        </is>
      </c>
      <c r="F3921" s="12" t="n">
        <v>38.13</v>
      </c>
      <c r="G3921" s="17" t="n">
        <v>112634.82</v>
      </c>
      <c r="H3921" s="26" t="n">
        <v>44812</v>
      </c>
      <c r="I3921" s="26" t="n">
        <v>44812</v>
      </c>
      <c r="J3921" s="12" t="n">
        <v>37.76</v>
      </c>
      <c r="K3921" s="17" t="n">
        <v>4294765.69</v>
      </c>
      <c r="L3921" s="12" t="n">
        <v>0</v>
      </c>
      <c r="M3921" s="12" t="n">
        <v>8</v>
      </c>
      <c r="N3921" s="27">
        <f>F3921-J3921</f>
        <v/>
      </c>
      <c r="O3921" s="16">
        <f>I3921-H3921</f>
        <v/>
      </c>
      <c r="P3921" s="14">
        <f>F3921*G3921</f>
        <v/>
      </c>
      <c r="Q3921" s="14">
        <f>J3921*G3921</f>
        <v/>
      </c>
      <c r="R3921" s="14">
        <f>K3921-Q3921</f>
        <v/>
      </c>
      <c r="S3921" s="3">
        <f>P3921*Assumptions!$B$3/100</f>
        <v/>
      </c>
      <c r="T3921" s="14">
        <f>R3921-S3921</f>
        <v/>
      </c>
      <c r="U3921" s="14">
        <f>L3921*G3921</f>
        <v/>
      </c>
    </row>
    <row r="3922">
      <c r="A3922" s="12" t="inlineStr">
        <is>
          <t>PO-2023-3920</t>
        </is>
      </c>
      <c r="B3922" s="26" t="n">
        <v>44229</v>
      </c>
      <c r="C3922" s="12" t="inlineStr">
        <is>
          <t>VS09</t>
        </is>
      </c>
      <c r="D3922" s="12" t="inlineStr">
        <is>
          <t>GI Sheets</t>
        </is>
      </c>
      <c r="E3922" s="12" t="inlineStr">
        <is>
          <t>N</t>
        </is>
      </c>
      <c r="F3922" s="12" t="n">
        <v>18.31</v>
      </c>
      <c r="G3922" s="17" t="n">
        <v>119572.89</v>
      </c>
      <c r="H3922" s="26" t="n">
        <v>44237</v>
      </c>
      <c r="I3922" s="26" t="n">
        <v>44239</v>
      </c>
      <c r="J3922" s="12" t="n">
        <v>18.27</v>
      </c>
      <c r="K3922" s="17" t="n">
        <v>2189379.62</v>
      </c>
      <c r="L3922" s="12" t="n">
        <v>0</v>
      </c>
      <c r="M3922" s="12" t="n">
        <v>15</v>
      </c>
      <c r="N3922" s="27">
        <f>F3922-J3922</f>
        <v/>
      </c>
      <c r="O3922" s="16">
        <f>I3922-H3922</f>
        <v/>
      </c>
      <c r="P3922" s="14">
        <f>F3922*G3922</f>
        <v/>
      </c>
      <c r="Q3922" s="14">
        <f>J3922*G3922</f>
        <v/>
      </c>
      <c r="R3922" s="14">
        <f>K3922-Q3922</f>
        <v/>
      </c>
      <c r="S3922" s="3">
        <f>P3922*Assumptions!$B$3/100</f>
        <v/>
      </c>
      <c r="T3922" s="14">
        <f>R3922-S3922</f>
        <v/>
      </c>
      <c r="U3922" s="14">
        <f>L3922*G3922</f>
        <v/>
      </c>
    </row>
    <row r="3923">
      <c r="A3923" s="12" t="inlineStr">
        <is>
          <t>PO-2023-3921</t>
        </is>
      </c>
      <c r="B3923" s="26" t="n">
        <v>45229</v>
      </c>
      <c r="C3923" s="12" t="inlineStr">
        <is>
          <t>VS24</t>
        </is>
      </c>
      <c r="D3923" s="12" t="inlineStr">
        <is>
          <t>MS Pipes</t>
        </is>
      </c>
      <c r="E3923" s="12" t="inlineStr">
        <is>
          <t>N</t>
        </is>
      </c>
      <c r="F3923" s="12" t="n">
        <v>4.48</v>
      </c>
      <c r="G3923" s="17" t="n">
        <v>116616.96</v>
      </c>
      <c r="H3923" s="26" t="n">
        <v>45242</v>
      </c>
      <c r="I3923" s="26" t="n">
        <v>45245</v>
      </c>
      <c r="J3923" s="12" t="n">
        <v>4.44</v>
      </c>
      <c r="K3923" s="17" t="n">
        <v>522443.98</v>
      </c>
      <c r="L3923" s="12" t="n">
        <v>0</v>
      </c>
      <c r="M3923" s="12" t="n">
        <v>14</v>
      </c>
      <c r="N3923" s="27">
        <f>F3923-J3923</f>
        <v/>
      </c>
      <c r="O3923" s="16">
        <f>I3923-H3923</f>
        <v/>
      </c>
      <c r="P3923" s="14">
        <f>F3923*G3923</f>
        <v/>
      </c>
      <c r="Q3923" s="14">
        <f>J3923*G3923</f>
        <v/>
      </c>
      <c r="R3923" s="14">
        <f>K3923-Q3923</f>
        <v/>
      </c>
      <c r="S3923" s="3">
        <f>P3923*Assumptions!$B$3/100</f>
        <v/>
      </c>
      <c r="T3923" s="14">
        <f>R3923-S3923</f>
        <v/>
      </c>
      <c r="U3923" s="14">
        <f>L3923*G3923</f>
        <v/>
      </c>
    </row>
    <row r="3924">
      <c r="A3924" s="12" t="inlineStr">
        <is>
          <t>PO-2023-3922</t>
        </is>
      </c>
      <c r="B3924" s="26" t="n">
        <v>44205</v>
      </c>
      <c r="C3924" s="12" t="inlineStr">
        <is>
          <t>VS05</t>
        </is>
      </c>
      <c r="D3924" s="12" t="inlineStr">
        <is>
          <t>Fasteners &amp; Fittings</t>
        </is>
      </c>
      <c r="E3924" s="12" t="inlineStr">
        <is>
          <t>N</t>
        </is>
      </c>
      <c r="F3924" s="12" t="n">
        <v>12.29</v>
      </c>
      <c r="G3924" s="17" t="n">
        <v>99437.67999999999</v>
      </c>
      <c r="H3924" s="26" t="n">
        <v>44209</v>
      </c>
      <c r="I3924" s="26" t="n">
        <v>44212</v>
      </c>
      <c r="J3924" s="12" t="n">
        <v>12.23</v>
      </c>
      <c r="K3924" s="17" t="n">
        <v>1222089.09</v>
      </c>
      <c r="L3924" s="12" t="n">
        <v>0</v>
      </c>
      <c r="M3924" s="12" t="n">
        <v>0</v>
      </c>
      <c r="N3924" s="27">
        <f>F3924-J3924</f>
        <v/>
      </c>
      <c r="O3924" s="16">
        <f>I3924-H3924</f>
        <v/>
      </c>
      <c r="P3924" s="14">
        <f>F3924*G3924</f>
        <v/>
      </c>
      <c r="Q3924" s="14">
        <f>J3924*G3924</f>
        <v/>
      </c>
      <c r="R3924" s="14">
        <f>K3924-Q3924</f>
        <v/>
      </c>
      <c r="S3924" s="3">
        <f>P3924*Assumptions!$B$3/100</f>
        <v/>
      </c>
      <c r="T3924" s="14">
        <f>R3924-S3924</f>
        <v/>
      </c>
      <c r="U3924" s="14">
        <f>L3924*G3924</f>
        <v/>
      </c>
    </row>
    <row r="3925">
      <c r="A3925" s="12" t="inlineStr">
        <is>
          <t>PO-2023-3923</t>
        </is>
      </c>
      <c r="B3925" s="26" t="n">
        <v>45063</v>
      </c>
      <c r="C3925" s="12" t="inlineStr">
        <is>
          <t>VS32</t>
        </is>
      </c>
      <c r="D3925" s="12" t="inlineStr">
        <is>
          <t>ERW Pipes</t>
        </is>
      </c>
      <c r="E3925" s="12" t="inlineStr">
        <is>
          <t>N</t>
        </is>
      </c>
      <c r="F3925" s="12" t="n">
        <v>16.49</v>
      </c>
      <c r="G3925" s="17" t="n">
        <v>49047.64</v>
      </c>
      <c r="H3925" s="26" t="n">
        <v>45074</v>
      </c>
      <c r="I3925" s="26" t="n">
        <v>45077</v>
      </c>
      <c r="J3925" s="12" t="n">
        <v>16.43</v>
      </c>
      <c r="K3925" s="17" t="n">
        <v>808795.58</v>
      </c>
      <c r="L3925" s="12" t="n">
        <v>0</v>
      </c>
      <c r="M3925" s="12" t="n">
        <v>3</v>
      </c>
      <c r="N3925" s="27">
        <f>F3925-J3925</f>
        <v/>
      </c>
      <c r="O3925" s="16">
        <f>I3925-H3925</f>
        <v/>
      </c>
      <c r="P3925" s="14">
        <f>F3925*G3925</f>
        <v/>
      </c>
      <c r="Q3925" s="14">
        <f>J3925*G3925</f>
        <v/>
      </c>
      <c r="R3925" s="14">
        <f>K3925-Q3925</f>
        <v/>
      </c>
      <c r="S3925" s="3">
        <f>P3925*Assumptions!$B$3/100</f>
        <v/>
      </c>
      <c r="T3925" s="14">
        <f>R3925-S3925</f>
        <v/>
      </c>
      <c r="U3925" s="14">
        <f>L3925*G3925</f>
        <v/>
      </c>
    </row>
    <row r="3926">
      <c r="A3926" s="12" t="inlineStr">
        <is>
          <t>PO-2023-3924</t>
        </is>
      </c>
      <c r="B3926" s="26" t="n">
        <v>45098</v>
      </c>
      <c r="C3926" s="12" t="inlineStr">
        <is>
          <t>VS04</t>
        </is>
      </c>
      <c r="D3926" s="12" t="inlineStr">
        <is>
          <t>Angles &amp; Channels</t>
        </is>
      </c>
      <c r="E3926" s="12" t="inlineStr">
        <is>
          <t>N</t>
        </is>
      </c>
      <c r="F3926" s="12" t="n">
        <v>7.32</v>
      </c>
      <c r="G3926" s="17" t="n">
        <v>64174.5</v>
      </c>
      <c r="H3926" s="26" t="n">
        <v>45102</v>
      </c>
      <c r="I3926" s="26" t="n">
        <v>45102</v>
      </c>
      <c r="J3926" s="12" t="n">
        <v>7.26</v>
      </c>
      <c r="K3926" s="17" t="n">
        <v>469757.34</v>
      </c>
      <c r="L3926" s="12" t="n">
        <v>0</v>
      </c>
      <c r="M3926" s="12" t="n">
        <v>0</v>
      </c>
      <c r="N3926" s="27">
        <f>F3926-J3926</f>
        <v/>
      </c>
      <c r="O3926" s="16">
        <f>I3926-H3926</f>
        <v/>
      </c>
      <c r="P3926" s="14">
        <f>F3926*G3926</f>
        <v/>
      </c>
      <c r="Q3926" s="14">
        <f>J3926*G3926</f>
        <v/>
      </c>
      <c r="R3926" s="14">
        <f>K3926-Q3926</f>
        <v/>
      </c>
      <c r="S3926" s="3">
        <f>P3926*Assumptions!$B$3/100</f>
        <v/>
      </c>
      <c r="T3926" s="14">
        <f>R3926-S3926</f>
        <v/>
      </c>
      <c r="U3926" s="14">
        <f>L3926*G3926</f>
        <v/>
      </c>
    </row>
    <row r="3927">
      <c r="A3927" s="12" t="inlineStr">
        <is>
          <t>PO-2023-3925</t>
        </is>
      </c>
      <c r="B3927" s="26" t="n">
        <v>44625</v>
      </c>
      <c r="C3927" s="12" t="inlineStr">
        <is>
          <t>VS16</t>
        </is>
      </c>
      <c r="D3927" s="12" t="inlineStr">
        <is>
          <t>MS Flats</t>
        </is>
      </c>
      <c r="E3927" s="12" t="inlineStr">
        <is>
          <t>N</t>
        </is>
      </c>
      <c r="F3927" s="12" t="n">
        <v>16.07</v>
      </c>
      <c r="G3927" s="17" t="n">
        <v>87537.57000000001</v>
      </c>
      <c r="H3927" s="26" t="n">
        <v>44628</v>
      </c>
      <c r="I3927" s="26" t="n">
        <v>44628</v>
      </c>
      <c r="J3927" s="12" t="n">
        <v>16.04</v>
      </c>
      <c r="K3927" s="17" t="n">
        <v>1406728.75</v>
      </c>
      <c r="L3927" s="12" t="n">
        <v>0</v>
      </c>
      <c r="M3927" s="12" t="n">
        <v>5</v>
      </c>
      <c r="N3927" s="27">
        <f>F3927-J3927</f>
        <v/>
      </c>
      <c r="O3927" s="16">
        <f>I3927-H3927</f>
        <v/>
      </c>
      <c r="P3927" s="14">
        <f>F3927*G3927</f>
        <v/>
      </c>
      <c r="Q3927" s="14">
        <f>J3927*G3927</f>
        <v/>
      </c>
      <c r="R3927" s="14">
        <f>K3927-Q3927</f>
        <v/>
      </c>
      <c r="S3927" s="3">
        <f>P3927*Assumptions!$B$3/100</f>
        <v/>
      </c>
      <c r="T3927" s="14">
        <f>R3927-S3927</f>
        <v/>
      </c>
      <c r="U3927" s="14">
        <f>L3927*G3927</f>
        <v/>
      </c>
    </row>
    <row r="3928">
      <c r="A3928" s="12" t="inlineStr">
        <is>
          <t>PO-2023-3926</t>
        </is>
      </c>
      <c r="B3928" s="26" t="n">
        <v>44965</v>
      </c>
      <c r="C3928" s="12" t="inlineStr">
        <is>
          <t>VS17</t>
        </is>
      </c>
      <c r="D3928" s="12" t="inlineStr">
        <is>
          <t>Angles &amp; Channels</t>
        </is>
      </c>
      <c r="E3928" s="12" t="inlineStr">
        <is>
          <t>N</t>
        </is>
      </c>
      <c r="F3928" s="12" t="n">
        <v>11.48</v>
      </c>
      <c r="G3928" s="17" t="n">
        <v>96000.71000000001</v>
      </c>
      <c r="H3928" s="26" t="n">
        <v>44973</v>
      </c>
      <c r="I3928" s="26" t="n">
        <v>44975</v>
      </c>
      <c r="J3928" s="12" t="n">
        <v>11.37</v>
      </c>
      <c r="K3928" s="17" t="n">
        <v>1102088.15</v>
      </c>
      <c r="L3928" s="12" t="n">
        <v>0</v>
      </c>
      <c r="M3928" s="12" t="n">
        <v>12</v>
      </c>
      <c r="N3928" s="27">
        <f>F3928-J3928</f>
        <v/>
      </c>
      <c r="O3928" s="16">
        <f>I3928-H3928</f>
        <v/>
      </c>
      <c r="P3928" s="14">
        <f>F3928*G3928</f>
        <v/>
      </c>
      <c r="Q3928" s="14">
        <f>J3928*G3928</f>
        <v/>
      </c>
      <c r="R3928" s="14">
        <f>K3928-Q3928</f>
        <v/>
      </c>
      <c r="S3928" s="3">
        <f>P3928*Assumptions!$B$3/100</f>
        <v/>
      </c>
      <c r="T3928" s="14">
        <f>R3928-S3928</f>
        <v/>
      </c>
      <c r="U3928" s="14">
        <f>L3928*G3928</f>
        <v/>
      </c>
    </row>
    <row r="3929">
      <c r="A3929" s="12" t="inlineStr">
        <is>
          <t>PO-2023-3927</t>
        </is>
      </c>
      <c r="B3929" s="26" t="n">
        <v>45154</v>
      </c>
      <c r="C3929" s="12" t="inlineStr">
        <is>
          <t>VS04</t>
        </is>
      </c>
      <c r="D3929" s="12" t="inlineStr">
        <is>
          <t>MS Flats</t>
        </is>
      </c>
      <c r="E3929" s="12" t="inlineStr">
        <is>
          <t>N</t>
        </is>
      </c>
      <c r="F3929" s="12" t="n">
        <v>36.41</v>
      </c>
      <c r="G3929" s="17" t="n">
        <v>54233.12</v>
      </c>
      <c r="H3929" s="26" t="n">
        <v>45168</v>
      </c>
      <c r="I3929" s="26" t="n">
        <v>45170</v>
      </c>
      <c r="J3929" s="12" t="n">
        <v>36.26</v>
      </c>
      <c r="K3929" s="17" t="n">
        <v>1974627.9</v>
      </c>
      <c r="L3929" s="12" t="n">
        <v>0</v>
      </c>
      <c r="M3929" s="12" t="n">
        <v>8</v>
      </c>
      <c r="N3929" s="27">
        <f>F3929-J3929</f>
        <v/>
      </c>
      <c r="O3929" s="16">
        <f>I3929-H3929</f>
        <v/>
      </c>
      <c r="P3929" s="14">
        <f>F3929*G3929</f>
        <v/>
      </c>
      <c r="Q3929" s="14">
        <f>J3929*G3929</f>
        <v/>
      </c>
      <c r="R3929" s="14">
        <f>K3929-Q3929</f>
        <v/>
      </c>
      <c r="S3929" s="3">
        <f>P3929*Assumptions!$B$3/100</f>
        <v/>
      </c>
      <c r="T3929" s="14">
        <f>R3929-S3929</f>
        <v/>
      </c>
      <c r="U3929" s="14">
        <f>L3929*G3929</f>
        <v/>
      </c>
    </row>
    <row r="3930">
      <c r="A3930" s="12" t="inlineStr">
        <is>
          <t>PO-2023-3928</t>
        </is>
      </c>
      <c r="B3930" s="26" t="n">
        <v>44360</v>
      </c>
      <c r="C3930" s="12" t="inlineStr">
        <is>
          <t>VS34</t>
        </is>
      </c>
      <c r="D3930" s="12" t="inlineStr">
        <is>
          <t>Spring Steel</t>
        </is>
      </c>
      <c r="E3930" s="12" t="inlineStr">
        <is>
          <t>N</t>
        </is>
      </c>
      <c r="F3930" s="12" t="n">
        <v>20.5</v>
      </c>
      <c r="G3930" s="17" t="n">
        <v>117331.79</v>
      </c>
      <c r="H3930" s="26" t="n">
        <v>44367</v>
      </c>
      <c r="I3930" s="26" t="n">
        <v>44370</v>
      </c>
      <c r="J3930" s="12" t="n">
        <v>20.37</v>
      </c>
      <c r="K3930" s="17" t="n">
        <v>2405301.69</v>
      </c>
      <c r="L3930" s="12" t="n">
        <v>0</v>
      </c>
      <c r="M3930" s="12" t="n">
        <v>8</v>
      </c>
      <c r="N3930" s="27">
        <f>F3930-J3930</f>
        <v/>
      </c>
      <c r="O3930" s="16">
        <f>I3930-H3930</f>
        <v/>
      </c>
      <c r="P3930" s="14">
        <f>F3930*G3930</f>
        <v/>
      </c>
      <c r="Q3930" s="14">
        <f>J3930*G3930</f>
        <v/>
      </c>
      <c r="R3930" s="14">
        <f>K3930-Q3930</f>
        <v/>
      </c>
      <c r="S3930" s="3">
        <f>P3930*Assumptions!$B$3/100</f>
        <v/>
      </c>
      <c r="T3930" s="14">
        <f>R3930-S3930</f>
        <v/>
      </c>
      <c r="U3930" s="14">
        <f>L3930*G3930</f>
        <v/>
      </c>
    </row>
    <row r="3931">
      <c r="A3931" s="12" t="inlineStr">
        <is>
          <t>PO-2023-3929</t>
        </is>
      </c>
      <c r="B3931" s="26" t="n">
        <v>45025</v>
      </c>
      <c r="C3931" s="12" t="inlineStr">
        <is>
          <t>VS14</t>
        </is>
      </c>
      <c r="D3931" s="12" t="inlineStr">
        <is>
          <t>GI Wire</t>
        </is>
      </c>
      <c r="E3931" s="12" t="inlineStr">
        <is>
          <t>N</t>
        </is>
      </c>
      <c r="F3931" s="12" t="n">
        <v>17.17</v>
      </c>
      <c r="G3931" s="17" t="n">
        <v>111388.1</v>
      </c>
      <c r="H3931" s="26" t="n">
        <v>45036</v>
      </c>
      <c r="I3931" s="26" t="n">
        <v>45036</v>
      </c>
      <c r="J3931" s="12" t="n">
        <v>17.07</v>
      </c>
      <c r="K3931" s="17" t="n">
        <v>1912533.68</v>
      </c>
      <c r="L3931" s="12" t="n">
        <v>0</v>
      </c>
      <c r="M3931" s="12" t="n">
        <v>0</v>
      </c>
      <c r="N3931" s="27">
        <f>F3931-J3931</f>
        <v/>
      </c>
      <c r="O3931" s="16">
        <f>I3931-H3931</f>
        <v/>
      </c>
      <c r="P3931" s="14">
        <f>F3931*G3931</f>
        <v/>
      </c>
      <c r="Q3931" s="14">
        <f>J3931*G3931</f>
        <v/>
      </c>
      <c r="R3931" s="14">
        <f>K3931-Q3931</f>
        <v/>
      </c>
      <c r="S3931" s="3">
        <f>P3931*Assumptions!$B$3/100</f>
        <v/>
      </c>
      <c r="T3931" s="14">
        <f>R3931-S3931</f>
        <v/>
      </c>
      <c r="U3931" s="14">
        <f>L3931*G3931</f>
        <v/>
      </c>
    </row>
    <row r="3932">
      <c r="A3932" s="12" t="inlineStr">
        <is>
          <t>PO-2023-3930</t>
        </is>
      </c>
      <c r="B3932" s="26" t="n">
        <v>44678</v>
      </c>
      <c r="C3932" s="12" t="inlineStr">
        <is>
          <t>VS13</t>
        </is>
      </c>
      <c r="D3932" s="12" t="inlineStr">
        <is>
          <t>MS Flats</t>
        </is>
      </c>
      <c r="E3932" s="12" t="inlineStr">
        <is>
          <t>N</t>
        </is>
      </c>
      <c r="F3932" s="12" t="n">
        <v>35.96</v>
      </c>
      <c r="G3932" s="17" t="n">
        <v>82117.21000000001</v>
      </c>
      <c r="H3932" s="26" t="n">
        <v>44691</v>
      </c>
      <c r="I3932" s="26" t="n">
        <v>44691</v>
      </c>
      <c r="J3932" s="12" t="n">
        <v>35.63</v>
      </c>
      <c r="K3932" s="17" t="n">
        <v>2952934.87</v>
      </c>
      <c r="L3932" s="12" t="n">
        <v>0</v>
      </c>
      <c r="M3932" s="12" t="n">
        <v>22</v>
      </c>
      <c r="N3932" s="27">
        <f>F3932-J3932</f>
        <v/>
      </c>
      <c r="O3932" s="16">
        <f>I3932-H3932</f>
        <v/>
      </c>
      <c r="P3932" s="14">
        <f>F3932*G3932</f>
        <v/>
      </c>
      <c r="Q3932" s="14">
        <f>J3932*G3932</f>
        <v/>
      </c>
      <c r="R3932" s="14">
        <f>K3932-Q3932</f>
        <v/>
      </c>
      <c r="S3932" s="3">
        <f>P3932*Assumptions!$B$3/100</f>
        <v/>
      </c>
      <c r="T3932" s="14">
        <f>R3932-S3932</f>
        <v/>
      </c>
      <c r="U3932" s="14">
        <f>L3932*G3932</f>
        <v/>
      </c>
    </row>
    <row r="3933">
      <c r="A3933" s="12" t="inlineStr">
        <is>
          <t>PO-2023-3931</t>
        </is>
      </c>
      <c r="B3933" s="26" t="n">
        <v>45139</v>
      </c>
      <c r="C3933" s="12" t="inlineStr">
        <is>
          <t>VS26</t>
        </is>
      </c>
      <c r="D3933" s="12" t="inlineStr">
        <is>
          <t>Spring Steel</t>
        </is>
      </c>
      <c r="E3933" s="12" t="inlineStr">
        <is>
          <t>N</t>
        </is>
      </c>
      <c r="F3933" s="12" t="n">
        <v>47.79</v>
      </c>
      <c r="G3933" s="17" t="n">
        <v>73069.14999999999</v>
      </c>
      <c r="H3933" s="26" t="n">
        <v>45149</v>
      </c>
      <c r="I3933" s="26" t="n">
        <v>45151</v>
      </c>
      <c r="J3933" s="12" t="n">
        <v>47.61</v>
      </c>
      <c r="K3933" s="17" t="n">
        <v>3491974.68</v>
      </c>
      <c r="L3933" s="12" t="n">
        <v>0</v>
      </c>
      <c r="M3933" s="12" t="n">
        <v>0</v>
      </c>
      <c r="N3933" s="27">
        <f>F3933-J3933</f>
        <v/>
      </c>
      <c r="O3933" s="16">
        <f>I3933-H3933</f>
        <v/>
      </c>
      <c r="P3933" s="14">
        <f>F3933*G3933</f>
        <v/>
      </c>
      <c r="Q3933" s="14">
        <f>J3933*G3933</f>
        <v/>
      </c>
      <c r="R3933" s="14">
        <f>K3933-Q3933</f>
        <v/>
      </c>
      <c r="S3933" s="3">
        <f>P3933*Assumptions!$B$3/100</f>
        <v/>
      </c>
      <c r="T3933" s="14">
        <f>R3933-S3933</f>
        <v/>
      </c>
      <c r="U3933" s="14">
        <f>L3933*G3933</f>
        <v/>
      </c>
    </row>
    <row r="3934">
      <c r="A3934" s="12" t="inlineStr">
        <is>
          <t>PO-2023-3932</t>
        </is>
      </c>
      <c r="B3934" s="26" t="n">
        <v>44297</v>
      </c>
      <c r="C3934" s="12" t="inlineStr">
        <is>
          <t>VS12</t>
        </is>
      </c>
      <c r="D3934" s="12" t="inlineStr">
        <is>
          <t>HR Coils</t>
        </is>
      </c>
      <c r="E3934" s="12" t="inlineStr">
        <is>
          <t>Y</t>
        </is>
      </c>
      <c r="F3934" s="12" t="n">
        <v>49.7</v>
      </c>
      <c r="G3934" s="17" t="n">
        <v>100937.07</v>
      </c>
      <c r="H3934" s="26" t="n">
        <v>44307</v>
      </c>
      <c r="I3934" s="26" t="n">
        <v>44310</v>
      </c>
      <c r="J3934" s="12" t="n">
        <v>48.18</v>
      </c>
      <c r="K3934" s="17" t="n">
        <v>5016572.38</v>
      </c>
      <c r="L3934" s="12" t="n">
        <v>0.04</v>
      </c>
      <c r="M3934" s="12" t="n">
        <v>17</v>
      </c>
      <c r="N3934" s="27">
        <f>F3934-J3934</f>
        <v/>
      </c>
      <c r="O3934" s="16">
        <f>I3934-H3934</f>
        <v/>
      </c>
      <c r="P3934" s="14">
        <f>F3934*G3934</f>
        <v/>
      </c>
      <c r="Q3934" s="14">
        <f>J3934*G3934</f>
        <v/>
      </c>
      <c r="R3934" s="14">
        <f>K3934-Q3934</f>
        <v/>
      </c>
      <c r="S3934" s="3">
        <f>P3934*Assumptions!$B$3/100</f>
        <v/>
      </c>
      <c r="T3934" s="14">
        <f>R3934-S3934</f>
        <v/>
      </c>
      <c r="U3934" s="14">
        <f>L3934*G3934</f>
        <v/>
      </c>
    </row>
    <row r="3935">
      <c r="A3935" s="12" t="inlineStr">
        <is>
          <t>PO-2023-3933</t>
        </is>
      </c>
      <c r="B3935" s="26" t="n">
        <v>44378</v>
      </c>
      <c r="C3935" s="12" t="inlineStr">
        <is>
          <t>VS17</t>
        </is>
      </c>
      <c r="D3935" s="12" t="inlineStr">
        <is>
          <t>HR Coils</t>
        </is>
      </c>
      <c r="E3935" s="12" t="inlineStr">
        <is>
          <t>N</t>
        </is>
      </c>
      <c r="F3935" s="12" t="n">
        <v>42.92</v>
      </c>
      <c r="G3935" s="17" t="n">
        <v>105428.3</v>
      </c>
      <c r="H3935" s="26" t="n">
        <v>44382</v>
      </c>
      <c r="I3935" s="26" t="n">
        <v>44385</v>
      </c>
      <c r="J3935" s="12" t="n">
        <v>42.78</v>
      </c>
      <c r="K3935" s="17" t="n">
        <v>4524982.64</v>
      </c>
      <c r="L3935" s="12" t="n">
        <v>0</v>
      </c>
      <c r="M3935" s="12" t="n">
        <v>9</v>
      </c>
      <c r="N3935" s="27">
        <f>F3935-J3935</f>
        <v/>
      </c>
      <c r="O3935" s="16">
        <f>I3935-H3935</f>
        <v/>
      </c>
      <c r="P3935" s="14">
        <f>F3935*G3935</f>
        <v/>
      </c>
      <c r="Q3935" s="14">
        <f>J3935*G3935</f>
        <v/>
      </c>
      <c r="R3935" s="14">
        <f>K3935-Q3935</f>
        <v/>
      </c>
      <c r="S3935" s="3">
        <f>P3935*Assumptions!$B$3/100</f>
        <v/>
      </c>
      <c r="T3935" s="14">
        <f>R3935-S3935</f>
        <v/>
      </c>
      <c r="U3935" s="14">
        <f>L3935*G3935</f>
        <v/>
      </c>
    </row>
    <row r="3936">
      <c r="A3936" s="12" t="inlineStr">
        <is>
          <t>PO-2023-3934</t>
        </is>
      </c>
      <c r="B3936" s="26" t="n">
        <v>44577</v>
      </c>
      <c r="C3936" s="12" t="inlineStr">
        <is>
          <t>VS11</t>
        </is>
      </c>
      <c r="D3936" s="12" t="inlineStr">
        <is>
          <t>MS Pipes</t>
        </is>
      </c>
      <c r="E3936" s="12" t="inlineStr">
        <is>
          <t>N</t>
        </is>
      </c>
      <c r="F3936" s="12" t="n">
        <v>30.57</v>
      </c>
      <c r="G3936" s="17" t="n">
        <v>77436.5</v>
      </c>
      <c r="H3936" s="26" t="n">
        <v>44583</v>
      </c>
      <c r="I3936" s="26" t="n">
        <v>44583</v>
      </c>
      <c r="J3936" s="12" t="n">
        <v>30.28</v>
      </c>
      <c r="K3936" s="17" t="n">
        <v>2367233.81</v>
      </c>
      <c r="L3936" s="12" t="n">
        <v>0</v>
      </c>
      <c r="M3936" s="12" t="n">
        <v>0</v>
      </c>
      <c r="N3936" s="27">
        <f>F3936-J3936</f>
        <v/>
      </c>
      <c r="O3936" s="16">
        <f>I3936-H3936</f>
        <v/>
      </c>
      <c r="P3936" s="14">
        <f>F3936*G3936</f>
        <v/>
      </c>
      <c r="Q3936" s="14">
        <f>J3936*G3936</f>
        <v/>
      </c>
      <c r="R3936" s="14">
        <f>K3936-Q3936</f>
        <v/>
      </c>
      <c r="S3936" s="3">
        <f>P3936*Assumptions!$B$3/100</f>
        <v/>
      </c>
      <c r="T3936" s="14">
        <f>R3936-S3936</f>
        <v/>
      </c>
      <c r="U3936" s="14">
        <f>L3936*G3936</f>
        <v/>
      </c>
    </row>
    <row r="3937">
      <c r="A3937" s="12" t="inlineStr">
        <is>
          <t>PO-2023-3935</t>
        </is>
      </c>
      <c r="B3937" s="26" t="n">
        <v>44641</v>
      </c>
      <c r="C3937" s="12" t="inlineStr">
        <is>
          <t>VS13</t>
        </is>
      </c>
      <c r="D3937" s="12" t="inlineStr">
        <is>
          <t>Square/Rect Tubes</t>
        </is>
      </c>
      <c r="E3937" s="12" t="inlineStr">
        <is>
          <t>N</t>
        </is>
      </c>
      <c r="F3937" s="12" t="n">
        <v>34.82</v>
      </c>
      <c r="G3937" s="17" t="n">
        <v>90277.83</v>
      </c>
      <c r="H3937" s="26" t="n">
        <v>44651</v>
      </c>
      <c r="I3937" s="26" t="n">
        <v>44653</v>
      </c>
      <c r="J3937" s="12" t="n">
        <v>34.66</v>
      </c>
      <c r="K3937" s="17" t="n">
        <v>3143474.04</v>
      </c>
      <c r="L3937" s="12" t="n">
        <v>0</v>
      </c>
      <c r="M3937" s="12" t="n">
        <v>9</v>
      </c>
      <c r="N3937" s="27">
        <f>F3937-J3937</f>
        <v/>
      </c>
      <c r="O3937" s="16">
        <f>I3937-H3937</f>
        <v/>
      </c>
      <c r="P3937" s="14">
        <f>F3937*G3937</f>
        <v/>
      </c>
      <c r="Q3937" s="14">
        <f>J3937*G3937</f>
        <v/>
      </c>
      <c r="R3937" s="14">
        <f>K3937-Q3937</f>
        <v/>
      </c>
      <c r="S3937" s="3">
        <f>P3937*Assumptions!$B$3/100</f>
        <v/>
      </c>
      <c r="T3937" s="14">
        <f>R3937-S3937</f>
        <v/>
      </c>
      <c r="U3937" s="14">
        <f>L3937*G3937</f>
        <v/>
      </c>
    </row>
    <row r="3938">
      <c r="A3938" s="12" t="inlineStr">
        <is>
          <t>PO-2023-3936</t>
        </is>
      </c>
      <c r="B3938" s="26" t="n">
        <v>44632</v>
      </c>
      <c r="C3938" s="12" t="inlineStr">
        <is>
          <t>VS09</t>
        </is>
      </c>
      <c r="D3938" s="12" t="inlineStr">
        <is>
          <t>GI Sheets</t>
        </is>
      </c>
      <c r="E3938" s="12" t="inlineStr">
        <is>
          <t>N</t>
        </is>
      </c>
      <c r="F3938" s="12" t="n">
        <v>28.71</v>
      </c>
      <c r="G3938" s="17" t="n">
        <v>109545.82</v>
      </c>
      <c r="H3938" s="26" t="n">
        <v>44639</v>
      </c>
      <c r="I3938" s="26" t="n">
        <v>44640</v>
      </c>
      <c r="J3938" s="12" t="n">
        <v>28.46</v>
      </c>
      <c r="K3938" s="17" t="n">
        <v>3145060.49</v>
      </c>
      <c r="L3938" s="12" t="n">
        <v>0</v>
      </c>
      <c r="M3938" s="12" t="n">
        <v>0</v>
      </c>
      <c r="N3938" s="27">
        <f>F3938-J3938</f>
        <v/>
      </c>
      <c r="O3938" s="16">
        <f>I3938-H3938</f>
        <v/>
      </c>
      <c r="P3938" s="14">
        <f>F3938*G3938</f>
        <v/>
      </c>
      <c r="Q3938" s="14">
        <f>J3938*G3938</f>
        <v/>
      </c>
      <c r="R3938" s="14">
        <f>K3938-Q3938</f>
        <v/>
      </c>
      <c r="S3938" s="3">
        <f>P3938*Assumptions!$B$3/100</f>
        <v/>
      </c>
      <c r="T3938" s="14">
        <f>R3938-S3938</f>
        <v/>
      </c>
      <c r="U3938" s="14">
        <f>L3938*G3938</f>
        <v/>
      </c>
    </row>
    <row r="3939">
      <c r="A3939" s="12" t="inlineStr">
        <is>
          <t>PO-2023-3937</t>
        </is>
      </c>
      <c r="B3939" s="26" t="n">
        <v>44727</v>
      </c>
      <c r="C3939" s="12" t="inlineStr">
        <is>
          <t>VS03</t>
        </is>
      </c>
      <c r="D3939" s="12" t="inlineStr">
        <is>
          <t>MS Sheets</t>
        </is>
      </c>
      <c r="E3939" s="12" t="inlineStr">
        <is>
          <t>N</t>
        </is>
      </c>
      <c r="F3939" s="12" t="n">
        <v>43.56</v>
      </c>
      <c r="G3939" s="17" t="n">
        <v>118681.63</v>
      </c>
      <c r="H3939" s="26" t="n">
        <v>44735</v>
      </c>
      <c r="I3939" s="26" t="n">
        <v>44740</v>
      </c>
      <c r="J3939" s="12" t="n">
        <v>42.52</v>
      </c>
      <c r="K3939" s="17" t="n">
        <v>5169771.8</v>
      </c>
      <c r="L3939" s="12" t="n">
        <v>1.21</v>
      </c>
      <c r="M3939" s="12" t="n">
        <v>0</v>
      </c>
      <c r="N3939" s="27">
        <f>F3939-J3939</f>
        <v/>
      </c>
      <c r="O3939" s="16">
        <f>I3939-H3939</f>
        <v/>
      </c>
      <c r="P3939" s="14">
        <f>F3939*G3939</f>
        <v/>
      </c>
      <c r="Q3939" s="14">
        <f>J3939*G3939</f>
        <v/>
      </c>
      <c r="R3939" s="14">
        <f>K3939-Q3939</f>
        <v/>
      </c>
      <c r="S3939" s="3">
        <f>P3939*Assumptions!$B$3/100</f>
        <v/>
      </c>
      <c r="T3939" s="14">
        <f>R3939-S3939</f>
        <v/>
      </c>
      <c r="U3939" s="14">
        <f>L3939*G3939</f>
        <v/>
      </c>
    </row>
    <row r="3940">
      <c r="A3940" s="12" t="inlineStr">
        <is>
          <t>PO-2023-3938</t>
        </is>
      </c>
      <c r="B3940" s="26" t="n">
        <v>44688</v>
      </c>
      <c r="C3940" s="12" t="inlineStr">
        <is>
          <t>VS11</t>
        </is>
      </c>
      <c r="D3940" s="12" t="inlineStr">
        <is>
          <t>MS Rods</t>
        </is>
      </c>
      <c r="E3940" s="12" t="inlineStr">
        <is>
          <t>N</t>
        </is>
      </c>
      <c r="F3940" s="12" t="n">
        <v>46.8</v>
      </c>
      <c r="G3940" s="17" t="n">
        <v>112182.71</v>
      </c>
      <c r="H3940" s="26" t="n">
        <v>44698</v>
      </c>
      <c r="I3940" s="26" t="n">
        <v>44698</v>
      </c>
      <c r="J3940" s="12" t="n">
        <v>46.77</v>
      </c>
      <c r="K3940" s="17" t="n">
        <v>5250150.83</v>
      </c>
      <c r="L3940" s="12" t="n">
        <v>0</v>
      </c>
      <c r="M3940" s="12" t="n">
        <v>25</v>
      </c>
      <c r="N3940" s="27">
        <f>F3940-J3940</f>
        <v/>
      </c>
      <c r="O3940" s="16">
        <f>I3940-H3940</f>
        <v/>
      </c>
      <c r="P3940" s="14">
        <f>F3940*G3940</f>
        <v/>
      </c>
      <c r="Q3940" s="14">
        <f>J3940*G3940</f>
        <v/>
      </c>
      <c r="R3940" s="14">
        <f>K3940-Q3940</f>
        <v/>
      </c>
      <c r="S3940" s="3">
        <f>P3940*Assumptions!$B$3/100</f>
        <v/>
      </c>
      <c r="T3940" s="14">
        <f>R3940-S3940</f>
        <v/>
      </c>
      <c r="U3940" s="14">
        <f>L3940*G3940</f>
        <v/>
      </c>
    </row>
    <row r="3941">
      <c r="A3941" s="12" t="inlineStr">
        <is>
          <t>PO-2023-3939</t>
        </is>
      </c>
      <c r="B3941" s="26" t="n">
        <v>44967</v>
      </c>
      <c r="C3941" s="12" t="inlineStr">
        <is>
          <t>VS12</t>
        </is>
      </c>
      <c r="D3941" s="12" t="inlineStr">
        <is>
          <t>CR Sheets</t>
        </is>
      </c>
      <c r="E3941" s="12" t="inlineStr">
        <is>
          <t>N</t>
        </is>
      </c>
      <c r="F3941" s="12" t="n">
        <v>9.1</v>
      </c>
      <c r="G3941" s="17" t="n">
        <v>83725.03</v>
      </c>
      <c r="H3941" s="26" t="n">
        <v>44973</v>
      </c>
      <c r="I3941" s="26" t="n">
        <v>44979</v>
      </c>
      <c r="J3941" s="12" t="n">
        <v>8.859999999999999</v>
      </c>
      <c r="K3941" s="17" t="n">
        <v>761897.77</v>
      </c>
      <c r="L3941" s="12" t="n">
        <v>0.28</v>
      </c>
      <c r="M3941" s="12" t="n">
        <v>0</v>
      </c>
      <c r="N3941" s="27">
        <f>F3941-J3941</f>
        <v/>
      </c>
      <c r="O3941" s="16">
        <f>I3941-H3941</f>
        <v/>
      </c>
      <c r="P3941" s="14">
        <f>F3941*G3941</f>
        <v/>
      </c>
      <c r="Q3941" s="14">
        <f>J3941*G3941</f>
        <v/>
      </c>
      <c r="R3941" s="14">
        <f>K3941-Q3941</f>
        <v/>
      </c>
      <c r="S3941" s="3">
        <f>P3941*Assumptions!$B$3/100</f>
        <v/>
      </c>
      <c r="T3941" s="14">
        <f>R3941-S3941</f>
        <v/>
      </c>
      <c r="U3941" s="14">
        <f>L3941*G3941</f>
        <v/>
      </c>
    </row>
    <row r="3942">
      <c r="A3942" s="12" t="inlineStr">
        <is>
          <t>PO-2023-3940</t>
        </is>
      </c>
      <c r="B3942" s="26" t="n">
        <v>44523</v>
      </c>
      <c r="C3942" s="12" t="inlineStr">
        <is>
          <t>VS15</t>
        </is>
      </c>
      <c r="D3942" s="12" t="inlineStr">
        <is>
          <t>Spring Steel</t>
        </is>
      </c>
      <c r="E3942" s="12" t="inlineStr">
        <is>
          <t>N</t>
        </is>
      </c>
      <c r="F3942" s="12" t="n">
        <v>43.51</v>
      </c>
      <c r="G3942" s="17" t="n">
        <v>93877.92</v>
      </c>
      <c r="H3942" s="26" t="n">
        <v>44526</v>
      </c>
      <c r="I3942" s="26" t="n">
        <v>44529</v>
      </c>
      <c r="J3942" s="12" t="n">
        <v>43.36</v>
      </c>
      <c r="K3942" s="17" t="n">
        <v>4084628.3</v>
      </c>
      <c r="L3942" s="12" t="n">
        <v>0</v>
      </c>
      <c r="M3942" s="12" t="n">
        <v>22</v>
      </c>
      <c r="N3942" s="27">
        <f>F3942-J3942</f>
        <v/>
      </c>
      <c r="O3942" s="16">
        <f>I3942-H3942</f>
        <v/>
      </c>
      <c r="P3942" s="14">
        <f>F3942*G3942</f>
        <v/>
      </c>
      <c r="Q3942" s="14">
        <f>J3942*G3942</f>
        <v/>
      </c>
      <c r="R3942" s="14">
        <f>K3942-Q3942</f>
        <v/>
      </c>
      <c r="S3942" s="3">
        <f>P3942*Assumptions!$B$3/100</f>
        <v/>
      </c>
      <c r="T3942" s="14">
        <f>R3942-S3942</f>
        <v/>
      </c>
      <c r="U3942" s="14">
        <f>L3942*G3942</f>
        <v/>
      </c>
    </row>
    <row r="3943">
      <c r="A3943" s="12" t="inlineStr">
        <is>
          <t>PO-2023-3941</t>
        </is>
      </c>
      <c r="B3943" s="26" t="n">
        <v>44476</v>
      </c>
      <c r="C3943" s="12" t="inlineStr">
        <is>
          <t>VS16</t>
        </is>
      </c>
      <c r="D3943" s="12" t="inlineStr">
        <is>
          <t>MS Sheets</t>
        </is>
      </c>
      <c r="E3943" s="12" t="inlineStr">
        <is>
          <t>N</t>
        </is>
      </c>
      <c r="F3943" s="12" t="n">
        <v>2.06</v>
      </c>
      <c r="G3943" s="17" t="n">
        <v>52044.05</v>
      </c>
      <c r="H3943" s="26" t="n">
        <v>44490</v>
      </c>
      <c r="I3943" s="26" t="n">
        <v>44490</v>
      </c>
      <c r="J3943" s="12" t="n">
        <v>2.06</v>
      </c>
      <c r="K3943" s="17" t="n">
        <v>107210.74</v>
      </c>
      <c r="L3943" s="12" t="n">
        <v>0</v>
      </c>
      <c r="M3943" s="12" t="n">
        <v>0</v>
      </c>
      <c r="N3943" s="27">
        <f>F3943-J3943</f>
        <v/>
      </c>
      <c r="O3943" s="16">
        <f>I3943-H3943</f>
        <v/>
      </c>
      <c r="P3943" s="14">
        <f>F3943*G3943</f>
        <v/>
      </c>
      <c r="Q3943" s="14">
        <f>J3943*G3943</f>
        <v/>
      </c>
      <c r="R3943" s="14">
        <f>K3943-Q3943</f>
        <v/>
      </c>
      <c r="S3943" s="3">
        <f>P3943*Assumptions!$B$3/100</f>
        <v/>
      </c>
      <c r="T3943" s="14">
        <f>R3943-S3943</f>
        <v/>
      </c>
      <c r="U3943" s="14">
        <f>L3943*G3943</f>
        <v/>
      </c>
    </row>
    <row r="3944">
      <c r="A3944" s="12" t="inlineStr">
        <is>
          <t>PO-2023-3942</t>
        </is>
      </c>
      <c r="B3944" s="26" t="n">
        <v>44197</v>
      </c>
      <c r="C3944" s="12" t="inlineStr">
        <is>
          <t>VS05</t>
        </is>
      </c>
      <c r="D3944" s="12" t="inlineStr">
        <is>
          <t>GI Wire</t>
        </is>
      </c>
      <c r="E3944" s="12" t="inlineStr">
        <is>
          <t>Y</t>
        </is>
      </c>
      <c r="F3944" s="12" t="n">
        <v>31.23</v>
      </c>
      <c r="G3944" s="17" t="n">
        <v>62096.49</v>
      </c>
      <c r="H3944" s="26" t="n">
        <v>44212</v>
      </c>
      <c r="I3944" s="26" t="n">
        <v>44215</v>
      </c>
      <c r="J3944" s="12" t="n">
        <v>30.98</v>
      </c>
      <c r="K3944" s="17" t="n">
        <v>1939273.38</v>
      </c>
      <c r="L3944" s="12" t="n">
        <v>0</v>
      </c>
      <c r="M3944" s="12" t="n">
        <v>18</v>
      </c>
      <c r="N3944" s="27">
        <f>F3944-J3944</f>
        <v/>
      </c>
      <c r="O3944" s="16">
        <f>I3944-H3944</f>
        <v/>
      </c>
      <c r="P3944" s="14">
        <f>F3944*G3944</f>
        <v/>
      </c>
      <c r="Q3944" s="14">
        <f>J3944*G3944</f>
        <v/>
      </c>
      <c r="R3944" s="14">
        <f>K3944-Q3944</f>
        <v/>
      </c>
      <c r="S3944" s="3">
        <f>P3944*Assumptions!$B$3/100</f>
        <v/>
      </c>
      <c r="T3944" s="14">
        <f>R3944-S3944</f>
        <v/>
      </c>
      <c r="U3944" s="14">
        <f>L3944*G3944</f>
        <v/>
      </c>
    </row>
    <row r="3945">
      <c r="A3945" s="12" t="inlineStr">
        <is>
          <t>PO-2023-3943</t>
        </is>
      </c>
      <c r="B3945" s="26" t="n">
        <v>44555</v>
      </c>
      <c r="C3945" s="12" t="inlineStr">
        <is>
          <t>VS34</t>
        </is>
      </c>
      <c r="D3945" s="12" t="inlineStr">
        <is>
          <t>CR Sheets</t>
        </is>
      </c>
      <c r="E3945" s="12" t="inlineStr">
        <is>
          <t>N</t>
        </is>
      </c>
      <c r="F3945" s="12" t="n">
        <v>15.37</v>
      </c>
      <c r="G3945" s="17" t="n">
        <v>60931.34</v>
      </c>
      <c r="H3945" s="26" t="n">
        <v>44562</v>
      </c>
      <c r="I3945" s="26" t="n">
        <v>44565</v>
      </c>
      <c r="J3945" s="12" t="n">
        <v>15.26</v>
      </c>
      <c r="K3945" s="17" t="n">
        <v>936514.7</v>
      </c>
      <c r="L3945" s="12" t="n">
        <v>0</v>
      </c>
      <c r="M3945" s="12" t="n">
        <v>0</v>
      </c>
      <c r="N3945" s="27">
        <f>F3945-J3945</f>
        <v/>
      </c>
      <c r="O3945" s="16">
        <f>I3945-H3945</f>
        <v/>
      </c>
      <c r="P3945" s="14">
        <f>F3945*G3945</f>
        <v/>
      </c>
      <c r="Q3945" s="14">
        <f>J3945*G3945</f>
        <v/>
      </c>
      <c r="R3945" s="14">
        <f>K3945-Q3945</f>
        <v/>
      </c>
      <c r="S3945" s="3">
        <f>P3945*Assumptions!$B$3/100</f>
        <v/>
      </c>
      <c r="T3945" s="14">
        <f>R3945-S3945</f>
        <v/>
      </c>
      <c r="U3945" s="14">
        <f>L3945*G3945</f>
        <v/>
      </c>
    </row>
    <row r="3946">
      <c r="A3946" s="12" t="inlineStr">
        <is>
          <t>PO-2023-3944</t>
        </is>
      </c>
      <c r="B3946" s="26" t="n">
        <v>45210</v>
      </c>
      <c r="C3946" s="12" t="inlineStr">
        <is>
          <t>VS05</t>
        </is>
      </c>
      <c r="D3946" s="12" t="inlineStr">
        <is>
          <t>Hex Bars</t>
        </is>
      </c>
      <c r="E3946" s="12" t="inlineStr">
        <is>
          <t>N</t>
        </is>
      </c>
      <c r="F3946" s="12" t="n">
        <v>8.32</v>
      </c>
      <c r="G3946" s="17" t="n">
        <v>90608.09</v>
      </c>
      <c r="H3946" s="26" t="n">
        <v>45225</v>
      </c>
      <c r="I3946" s="26" t="n">
        <v>45226</v>
      </c>
      <c r="J3946" s="12" t="n">
        <v>8.26</v>
      </c>
      <c r="K3946" s="17" t="n">
        <v>753859.3100000001</v>
      </c>
      <c r="L3946" s="12" t="n">
        <v>0</v>
      </c>
      <c r="M3946" s="12" t="n">
        <v>19</v>
      </c>
      <c r="N3946" s="27">
        <f>F3946-J3946</f>
        <v/>
      </c>
      <c r="O3946" s="16">
        <f>I3946-H3946</f>
        <v/>
      </c>
      <c r="P3946" s="14">
        <f>F3946*G3946</f>
        <v/>
      </c>
      <c r="Q3946" s="14">
        <f>J3946*G3946</f>
        <v/>
      </c>
      <c r="R3946" s="14">
        <f>K3946-Q3946</f>
        <v/>
      </c>
      <c r="S3946" s="3">
        <f>P3946*Assumptions!$B$3/100</f>
        <v/>
      </c>
      <c r="T3946" s="14">
        <f>R3946-S3946</f>
        <v/>
      </c>
      <c r="U3946" s="14">
        <f>L3946*G3946</f>
        <v/>
      </c>
    </row>
    <row r="3947">
      <c r="A3947" s="12" t="inlineStr">
        <is>
          <t>PO-2023-3945</t>
        </is>
      </c>
      <c r="B3947" s="26" t="n">
        <v>45186</v>
      </c>
      <c r="C3947" s="12" t="inlineStr">
        <is>
          <t>VS22</t>
        </is>
      </c>
      <c r="D3947" s="12" t="inlineStr">
        <is>
          <t>MS Flats</t>
        </is>
      </c>
      <c r="E3947" s="12" t="inlineStr">
        <is>
          <t>Y</t>
        </is>
      </c>
      <c r="F3947" s="12" t="n">
        <v>43.24</v>
      </c>
      <c r="G3947" s="17" t="n">
        <v>69619.17999999999</v>
      </c>
      <c r="H3947" s="26" t="n">
        <v>45193</v>
      </c>
      <c r="I3947" s="26" t="n">
        <v>45193</v>
      </c>
      <c r="J3947" s="12" t="n">
        <v>43.02</v>
      </c>
      <c r="K3947" s="17" t="n">
        <v>3010333.34</v>
      </c>
      <c r="L3947" s="12" t="n">
        <v>0</v>
      </c>
      <c r="M3947" s="12" t="n">
        <v>15</v>
      </c>
      <c r="N3947" s="27">
        <f>F3947-J3947</f>
        <v/>
      </c>
      <c r="O3947" s="16">
        <f>I3947-H3947</f>
        <v/>
      </c>
      <c r="P3947" s="14">
        <f>F3947*G3947</f>
        <v/>
      </c>
      <c r="Q3947" s="14">
        <f>J3947*G3947</f>
        <v/>
      </c>
      <c r="R3947" s="14">
        <f>K3947-Q3947</f>
        <v/>
      </c>
      <c r="S3947" s="3">
        <f>P3947*Assumptions!$B$3/100</f>
        <v/>
      </c>
      <c r="T3947" s="14">
        <f>R3947-S3947</f>
        <v/>
      </c>
      <c r="U3947" s="14">
        <f>L3947*G3947</f>
        <v/>
      </c>
    </row>
    <row r="3948">
      <c r="A3948" s="12" t="inlineStr">
        <is>
          <t>PO-2023-3946</t>
        </is>
      </c>
      <c r="B3948" s="26" t="n">
        <v>44897</v>
      </c>
      <c r="C3948" s="12" t="inlineStr">
        <is>
          <t>VS09</t>
        </is>
      </c>
      <c r="D3948" s="12" t="inlineStr">
        <is>
          <t>MS Rods</t>
        </is>
      </c>
      <c r="E3948" s="12" t="inlineStr">
        <is>
          <t>N</t>
        </is>
      </c>
      <c r="F3948" s="12" t="n">
        <v>3.82</v>
      </c>
      <c r="G3948" s="17" t="n">
        <v>114448.57</v>
      </c>
      <c r="H3948" s="26" t="n">
        <v>44905</v>
      </c>
      <c r="I3948" s="26" t="n">
        <v>44906</v>
      </c>
      <c r="J3948" s="12" t="n">
        <v>3.79</v>
      </c>
      <c r="K3948" s="17" t="n">
        <v>437193.54</v>
      </c>
      <c r="L3948" s="12" t="n">
        <v>0</v>
      </c>
      <c r="M3948" s="12" t="n">
        <v>0</v>
      </c>
      <c r="N3948" s="27">
        <f>F3948-J3948</f>
        <v/>
      </c>
      <c r="O3948" s="16">
        <f>I3948-H3948</f>
        <v/>
      </c>
      <c r="P3948" s="14">
        <f>F3948*G3948</f>
        <v/>
      </c>
      <c r="Q3948" s="14">
        <f>J3948*G3948</f>
        <v/>
      </c>
      <c r="R3948" s="14">
        <f>K3948-Q3948</f>
        <v/>
      </c>
      <c r="S3948" s="3">
        <f>P3948*Assumptions!$B$3/100</f>
        <v/>
      </c>
      <c r="T3948" s="14">
        <f>R3948-S3948</f>
        <v/>
      </c>
      <c r="U3948" s="14">
        <f>L3948*G3948</f>
        <v/>
      </c>
    </row>
    <row r="3949">
      <c r="A3949" s="12" t="inlineStr">
        <is>
          <t>PO-2023-3947</t>
        </is>
      </c>
      <c r="B3949" s="26" t="n">
        <v>45090</v>
      </c>
      <c r="C3949" s="12" t="inlineStr">
        <is>
          <t>VS05</t>
        </is>
      </c>
      <c r="D3949" s="12" t="inlineStr">
        <is>
          <t>GI Sheets</t>
        </is>
      </c>
      <c r="E3949" s="12" t="inlineStr">
        <is>
          <t>N</t>
        </is>
      </c>
      <c r="F3949" s="12" t="n">
        <v>28</v>
      </c>
      <c r="G3949" s="17" t="n">
        <v>61585.29</v>
      </c>
      <c r="H3949" s="26" t="n">
        <v>45093</v>
      </c>
      <c r="I3949" s="26" t="n">
        <v>45095</v>
      </c>
      <c r="J3949" s="12" t="n">
        <v>27.96</v>
      </c>
      <c r="K3949" s="17" t="n">
        <v>1724388.12</v>
      </c>
      <c r="L3949" s="12" t="n">
        <v>0</v>
      </c>
      <c r="M3949" s="12" t="n">
        <v>0</v>
      </c>
      <c r="N3949" s="27">
        <f>F3949-J3949</f>
        <v/>
      </c>
      <c r="O3949" s="16">
        <f>I3949-H3949</f>
        <v/>
      </c>
      <c r="P3949" s="14">
        <f>F3949*G3949</f>
        <v/>
      </c>
      <c r="Q3949" s="14">
        <f>J3949*G3949</f>
        <v/>
      </c>
      <c r="R3949" s="14">
        <f>K3949-Q3949</f>
        <v/>
      </c>
      <c r="S3949" s="3">
        <f>P3949*Assumptions!$B$3/100</f>
        <v/>
      </c>
      <c r="T3949" s="14">
        <f>R3949-S3949</f>
        <v/>
      </c>
      <c r="U3949" s="14">
        <f>L3949*G3949</f>
        <v/>
      </c>
    </row>
    <row r="3950">
      <c r="A3950" s="12" t="inlineStr">
        <is>
          <t>PO-2023-3948</t>
        </is>
      </c>
      <c r="B3950" s="26" t="n">
        <v>44204</v>
      </c>
      <c r="C3950" s="12" t="inlineStr">
        <is>
          <t>VS26</t>
        </is>
      </c>
      <c r="D3950" s="12" t="inlineStr">
        <is>
          <t>SS Sheets</t>
        </is>
      </c>
      <c r="E3950" s="12" t="inlineStr">
        <is>
          <t>N</t>
        </is>
      </c>
      <c r="F3950" s="12" t="n">
        <v>49.25</v>
      </c>
      <c r="G3950" s="17" t="n">
        <v>61008.31</v>
      </c>
      <c r="H3950" s="26" t="n">
        <v>44209</v>
      </c>
      <c r="I3950" s="26" t="n">
        <v>44210</v>
      </c>
      <c r="J3950" s="12" t="n">
        <v>48.89</v>
      </c>
      <c r="K3950" s="17" t="n">
        <v>3004659.27</v>
      </c>
      <c r="L3950" s="12" t="n">
        <v>0</v>
      </c>
      <c r="M3950" s="12" t="n">
        <v>13</v>
      </c>
      <c r="N3950" s="27">
        <f>F3950-J3950</f>
        <v/>
      </c>
      <c r="O3950" s="16">
        <f>I3950-H3950</f>
        <v/>
      </c>
      <c r="P3950" s="14">
        <f>F3950*G3950</f>
        <v/>
      </c>
      <c r="Q3950" s="14">
        <f>J3950*G3950</f>
        <v/>
      </c>
      <c r="R3950" s="14">
        <f>K3950-Q3950</f>
        <v/>
      </c>
      <c r="S3950" s="3">
        <f>P3950*Assumptions!$B$3/100</f>
        <v/>
      </c>
      <c r="T3950" s="14">
        <f>R3950-S3950</f>
        <v/>
      </c>
      <c r="U3950" s="14">
        <f>L3950*G3950</f>
        <v/>
      </c>
    </row>
    <row r="3951">
      <c r="A3951" s="12" t="inlineStr">
        <is>
          <t>PO-2023-3949</t>
        </is>
      </c>
      <c r="B3951" s="26" t="n">
        <v>44574</v>
      </c>
      <c r="C3951" s="12" t="inlineStr">
        <is>
          <t>VS28</t>
        </is>
      </c>
      <c r="D3951" s="12" t="inlineStr">
        <is>
          <t>Square/Rect Tubes</t>
        </is>
      </c>
      <c r="E3951" s="12" t="inlineStr">
        <is>
          <t>N</t>
        </is>
      </c>
      <c r="F3951" s="12" t="n">
        <v>45.77</v>
      </c>
      <c r="G3951" s="17" t="n">
        <v>81957.24000000001</v>
      </c>
      <c r="H3951" s="26" t="n">
        <v>44584</v>
      </c>
      <c r="I3951" s="26" t="n">
        <v>44587</v>
      </c>
      <c r="J3951" s="12" t="n">
        <v>45.5</v>
      </c>
      <c r="K3951" s="17" t="n">
        <v>3751182.87</v>
      </c>
      <c r="L3951" s="12" t="n">
        <v>0</v>
      </c>
      <c r="M3951" s="12" t="n">
        <v>19</v>
      </c>
      <c r="N3951" s="27">
        <f>F3951-J3951</f>
        <v/>
      </c>
      <c r="O3951" s="16">
        <f>I3951-H3951</f>
        <v/>
      </c>
      <c r="P3951" s="14">
        <f>F3951*G3951</f>
        <v/>
      </c>
      <c r="Q3951" s="14">
        <f>J3951*G3951</f>
        <v/>
      </c>
      <c r="R3951" s="14">
        <f>K3951-Q3951</f>
        <v/>
      </c>
      <c r="S3951" s="3">
        <f>P3951*Assumptions!$B$3/100</f>
        <v/>
      </c>
      <c r="T3951" s="14">
        <f>R3951-S3951</f>
        <v/>
      </c>
      <c r="U3951" s="14">
        <f>L3951*G3951</f>
        <v/>
      </c>
    </row>
    <row r="3952">
      <c r="A3952" s="12" t="inlineStr">
        <is>
          <t>PO-2023-3950</t>
        </is>
      </c>
      <c r="B3952" s="26" t="n">
        <v>45153</v>
      </c>
      <c r="C3952" s="12" t="inlineStr">
        <is>
          <t>VS14</t>
        </is>
      </c>
      <c r="D3952" s="12" t="inlineStr">
        <is>
          <t>GI Sheets</t>
        </is>
      </c>
      <c r="E3952" s="12" t="inlineStr">
        <is>
          <t>N</t>
        </is>
      </c>
      <c r="F3952" s="12" t="n">
        <v>47.02</v>
      </c>
      <c r="G3952" s="17" t="n">
        <v>76062.56</v>
      </c>
      <c r="H3952" s="26" t="n">
        <v>45167</v>
      </c>
      <c r="I3952" s="26" t="n">
        <v>45167</v>
      </c>
      <c r="J3952" s="12" t="n">
        <v>46.91</v>
      </c>
      <c r="K3952" s="17" t="n">
        <v>3576461.57</v>
      </c>
      <c r="L3952" s="12" t="n">
        <v>0</v>
      </c>
      <c r="M3952" s="12" t="n">
        <v>0</v>
      </c>
      <c r="N3952" s="27">
        <f>F3952-J3952</f>
        <v/>
      </c>
      <c r="O3952" s="16">
        <f>I3952-H3952</f>
        <v/>
      </c>
      <c r="P3952" s="14">
        <f>F3952*G3952</f>
        <v/>
      </c>
      <c r="Q3952" s="14">
        <f>J3952*G3952</f>
        <v/>
      </c>
      <c r="R3952" s="14">
        <f>K3952-Q3952</f>
        <v/>
      </c>
      <c r="S3952" s="3">
        <f>P3952*Assumptions!$B$3/100</f>
        <v/>
      </c>
      <c r="T3952" s="14">
        <f>R3952-S3952</f>
        <v/>
      </c>
      <c r="U3952" s="14">
        <f>L3952*G3952</f>
        <v/>
      </c>
    </row>
    <row r="3953">
      <c r="A3953" s="12" t="inlineStr">
        <is>
          <t>PO-2023-3951</t>
        </is>
      </c>
      <c r="B3953" s="26" t="n">
        <v>45233</v>
      </c>
      <c r="C3953" s="12" t="inlineStr">
        <is>
          <t>VS03</t>
        </is>
      </c>
      <c r="D3953" s="12" t="inlineStr">
        <is>
          <t>MS Rods</t>
        </is>
      </c>
      <c r="E3953" s="12" t="inlineStr">
        <is>
          <t>N</t>
        </is>
      </c>
      <c r="F3953" s="12" t="n">
        <v>20.69</v>
      </c>
      <c r="G3953" s="17" t="n">
        <v>70101.53999999999</v>
      </c>
      <c r="H3953" s="26" t="n">
        <v>45243</v>
      </c>
      <c r="I3953" s="26" t="n">
        <v>45247</v>
      </c>
      <c r="J3953" s="12" t="n">
        <v>19.88</v>
      </c>
      <c r="K3953" s="17" t="n">
        <v>1450400.86</v>
      </c>
      <c r="L3953" s="12" t="n">
        <v>0.59</v>
      </c>
      <c r="M3953" s="12" t="n">
        <v>0</v>
      </c>
      <c r="N3953" s="27">
        <f>F3953-J3953</f>
        <v/>
      </c>
      <c r="O3953" s="16">
        <f>I3953-H3953</f>
        <v/>
      </c>
      <c r="P3953" s="14">
        <f>F3953*G3953</f>
        <v/>
      </c>
      <c r="Q3953" s="14">
        <f>J3953*G3953</f>
        <v/>
      </c>
      <c r="R3953" s="14">
        <f>K3953-Q3953</f>
        <v/>
      </c>
      <c r="S3953" s="3">
        <f>P3953*Assumptions!$B$3/100</f>
        <v/>
      </c>
      <c r="T3953" s="14">
        <f>R3953-S3953</f>
        <v/>
      </c>
      <c r="U3953" s="14">
        <f>L3953*G3953</f>
        <v/>
      </c>
    </row>
    <row r="3954">
      <c r="A3954" s="12" t="inlineStr">
        <is>
          <t>PO-2023-3952</t>
        </is>
      </c>
      <c r="B3954" s="26" t="n">
        <v>44254</v>
      </c>
      <c r="C3954" s="12" t="inlineStr">
        <is>
          <t>VS29</t>
        </is>
      </c>
      <c r="D3954" s="12" t="inlineStr">
        <is>
          <t>MS Pipes</t>
        </is>
      </c>
      <c r="E3954" s="12" t="inlineStr">
        <is>
          <t>N</t>
        </is>
      </c>
      <c r="F3954" s="12" t="n">
        <v>11.16</v>
      </c>
      <c r="G3954" s="17" t="n">
        <v>72112.97</v>
      </c>
      <c r="H3954" s="26" t="n">
        <v>44260</v>
      </c>
      <c r="I3954" s="26" t="n">
        <v>44260</v>
      </c>
      <c r="J3954" s="12" t="n">
        <v>11.08</v>
      </c>
      <c r="K3954" s="17" t="n">
        <v>804780.75</v>
      </c>
      <c r="L3954" s="12" t="n">
        <v>0</v>
      </c>
      <c r="M3954" s="12" t="n">
        <v>9</v>
      </c>
      <c r="N3954" s="27">
        <f>F3954-J3954</f>
        <v/>
      </c>
      <c r="O3954" s="16">
        <f>I3954-H3954</f>
        <v/>
      </c>
      <c r="P3954" s="14">
        <f>F3954*G3954</f>
        <v/>
      </c>
      <c r="Q3954" s="14">
        <f>J3954*G3954</f>
        <v/>
      </c>
      <c r="R3954" s="14">
        <f>K3954-Q3954</f>
        <v/>
      </c>
      <c r="S3954" s="3">
        <f>P3954*Assumptions!$B$3/100</f>
        <v/>
      </c>
      <c r="T3954" s="14">
        <f>R3954-S3954</f>
        <v/>
      </c>
      <c r="U3954" s="14">
        <f>L3954*G3954</f>
        <v/>
      </c>
    </row>
    <row r="3955">
      <c r="A3955" s="12" t="inlineStr">
        <is>
          <t>PO-2023-3953</t>
        </is>
      </c>
      <c r="B3955" s="26" t="n">
        <v>44972</v>
      </c>
      <c r="C3955" s="12" t="inlineStr">
        <is>
          <t>VS03</t>
        </is>
      </c>
      <c r="D3955" s="12" t="inlineStr">
        <is>
          <t>MS Flats</t>
        </is>
      </c>
      <c r="E3955" s="12" t="inlineStr">
        <is>
          <t>N</t>
        </is>
      </c>
      <c r="F3955" s="12" t="n">
        <v>31.1</v>
      </c>
      <c r="G3955" s="17" t="n">
        <v>60018.33</v>
      </c>
      <c r="H3955" s="26" t="n">
        <v>44983</v>
      </c>
      <c r="I3955" s="26" t="n">
        <v>44988</v>
      </c>
      <c r="J3955" s="12" t="n">
        <v>30.13</v>
      </c>
      <c r="K3955" s="17" t="n">
        <v>1866570.06</v>
      </c>
      <c r="L3955" s="12" t="n">
        <v>1.27</v>
      </c>
      <c r="M3955" s="12" t="n">
        <v>22</v>
      </c>
      <c r="N3955" s="27">
        <f>F3955-J3955</f>
        <v/>
      </c>
      <c r="O3955" s="16">
        <f>I3955-H3955</f>
        <v/>
      </c>
      <c r="P3955" s="14">
        <f>F3955*G3955</f>
        <v/>
      </c>
      <c r="Q3955" s="14">
        <f>J3955*G3955</f>
        <v/>
      </c>
      <c r="R3955" s="14">
        <f>K3955-Q3955</f>
        <v/>
      </c>
      <c r="S3955" s="3">
        <f>P3955*Assumptions!$B$3/100</f>
        <v/>
      </c>
      <c r="T3955" s="14">
        <f>R3955-S3955</f>
        <v/>
      </c>
      <c r="U3955" s="14">
        <f>L3955*G3955</f>
        <v/>
      </c>
    </row>
    <row r="3956">
      <c r="A3956" s="12" t="inlineStr">
        <is>
          <t>PO-2023-3954</t>
        </is>
      </c>
      <c r="B3956" s="26" t="n">
        <v>44820</v>
      </c>
      <c r="C3956" s="12" t="inlineStr">
        <is>
          <t>VS09</t>
        </is>
      </c>
      <c r="D3956" s="12" t="inlineStr">
        <is>
          <t>SS Sheets</t>
        </is>
      </c>
      <c r="E3956" s="12" t="inlineStr">
        <is>
          <t>N</t>
        </is>
      </c>
      <c r="F3956" s="12" t="n">
        <v>5.16</v>
      </c>
      <c r="G3956" s="17" t="n">
        <v>106806.87</v>
      </c>
      <c r="H3956" s="26" t="n">
        <v>44833</v>
      </c>
      <c r="I3956" s="26" t="n">
        <v>44835</v>
      </c>
      <c r="J3956" s="12" t="n">
        <v>5.11</v>
      </c>
      <c r="K3956" s="17" t="n">
        <v>551123.45</v>
      </c>
      <c r="L3956" s="12" t="n">
        <v>0</v>
      </c>
      <c r="M3956" s="12" t="n">
        <v>0</v>
      </c>
      <c r="N3956" s="27">
        <f>F3956-J3956</f>
        <v/>
      </c>
      <c r="O3956" s="16">
        <f>I3956-H3956</f>
        <v/>
      </c>
      <c r="P3956" s="14">
        <f>F3956*G3956</f>
        <v/>
      </c>
      <c r="Q3956" s="14">
        <f>J3956*G3956</f>
        <v/>
      </c>
      <c r="R3956" s="14">
        <f>K3956-Q3956</f>
        <v/>
      </c>
      <c r="S3956" s="3">
        <f>P3956*Assumptions!$B$3/100</f>
        <v/>
      </c>
      <c r="T3956" s="14">
        <f>R3956-S3956</f>
        <v/>
      </c>
      <c r="U3956" s="14">
        <f>L3956*G3956</f>
        <v/>
      </c>
    </row>
    <row r="3957">
      <c r="A3957" s="12" t="inlineStr">
        <is>
          <t>PO-2023-3955</t>
        </is>
      </c>
      <c r="B3957" s="26" t="n">
        <v>45165</v>
      </c>
      <c r="C3957" s="12" t="inlineStr">
        <is>
          <t>VS20</t>
        </is>
      </c>
      <c r="D3957" s="12" t="inlineStr">
        <is>
          <t>GI Pipes</t>
        </is>
      </c>
      <c r="E3957" s="12" t="inlineStr">
        <is>
          <t>N</t>
        </is>
      </c>
      <c r="F3957" s="12" t="n">
        <v>7.48</v>
      </c>
      <c r="G3957" s="17" t="n">
        <v>82204.42</v>
      </c>
      <c r="H3957" s="26" t="n">
        <v>45168</v>
      </c>
      <c r="I3957" s="26" t="n">
        <v>45171</v>
      </c>
      <c r="J3957" s="12" t="n">
        <v>7.41</v>
      </c>
      <c r="K3957" s="17" t="n">
        <v>614889.0600000001</v>
      </c>
      <c r="L3957" s="12" t="n">
        <v>0</v>
      </c>
      <c r="M3957" s="12" t="n">
        <v>0</v>
      </c>
      <c r="N3957" s="27">
        <f>F3957-J3957</f>
        <v/>
      </c>
      <c r="O3957" s="16">
        <f>I3957-H3957</f>
        <v/>
      </c>
      <c r="P3957" s="14">
        <f>F3957*G3957</f>
        <v/>
      </c>
      <c r="Q3957" s="14">
        <f>J3957*G3957</f>
        <v/>
      </c>
      <c r="R3957" s="14">
        <f>K3957-Q3957</f>
        <v/>
      </c>
      <c r="S3957" s="3">
        <f>P3957*Assumptions!$B$3/100</f>
        <v/>
      </c>
      <c r="T3957" s="14">
        <f>R3957-S3957</f>
        <v/>
      </c>
      <c r="U3957" s="14">
        <f>L3957*G3957</f>
        <v/>
      </c>
    </row>
    <row r="3958">
      <c r="A3958" s="12" t="inlineStr">
        <is>
          <t>PO-2023-3956</t>
        </is>
      </c>
      <c r="B3958" s="26" t="n">
        <v>45086</v>
      </c>
      <c r="C3958" s="12" t="inlineStr">
        <is>
          <t>VS31</t>
        </is>
      </c>
      <c r="D3958" s="12" t="inlineStr">
        <is>
          <t>Angles &amp; Channels</t>
        </is>
      </c>
      <c r="E3958" s="12" t="inlineStr">
        <is>
          <t>N</t>
        </is>
      </c>
      <c r="F3958" s="12" t="n">
        <v>25.81</v>
      </c>
      <c r="G3958" s="17" t="n">
        <v>77102.07000000001</v>
      </c>
      <c r="H3958" s="26" t="n">
        <v>45095</v>
      </c>
      <c r="I3958" s="26" t="n">
        <v>45095</v>
      </c>
      <c r="J3958" s="12" t="n">
        <v>25.7</v>
      </c>
      <c r="K3958" s="17" t="n">
        <v>1990004.43</v>
      </c>
      <c r="L3958" s="12" t="n">
        <v>0</v>
      </c>
      <c r="M3958" s="12" t="n">
        <v>0</v>
      </c>
      <c r="N3958" s="27">
        <f>F3958-J3958</f>
        <v/>
      </c>
      <c r="O3958" s="16">
        <f>I3958-H3958</f>
        <v/>
      </c>
      <c r="P3958" s="14">
        <f>F3958*G3958</f>
        <v/>
      </c>
      <c r="Q3958" s="14">
        <f>J3958*G3958</f>
        <v/>
      </c>
      <c r="R3958" s="14">
        <f>K3958-Q3958</f>
        <v/>
      </c>
      <c r="S3958" s="3">
        <f>P3958*Assumptions!$B$3/100</f>
        <v/>
      </c>
      <c r="T3958" s="14">
        <f>R3958-S3958</f>
        <v/>
      </c>
      <c r="U3958" s="14">
        <f>L3958*G3958</f>
        <v/>
      </c>
    </row>
    <row r="3959">
      <c r="A3959" s="12" t="inlineStr">
        <is>
          <t>PO-2023-3957</t>
        </is>
      </c>
      <c r="B3959" s="26" t="n">
        <v>44479</v>
      </c>
      <c r="C3959" s="12" t="inlineStr">
        <is>
          <t>VS24</t>
        </is>
      </c>
      <c r="D3959" s="12" t="inlineStr">
        <is>
          <t>MS Pipes</t>
        </is>
      </c>
      <c r="E3959" s="12" t="inlineStr">
        <is>
          <t>N</t>
        </is>
      </c>
      <c r="F3959" s="12" t="n">
        <v>42.25</v>
      </c>
      <c r="G3959" s="17" t="n">
        <v>77227.49000000001</v>
      </c>
      <c r="H3959" s="26" t="n">
        <v>44484</v>
      </c>
      <c r="I3959" s="26" t="n">
        <v>44487</v>
      </c>
      <c r="J3959" s="12" t="n">
        <v>41.92</v>
      </c>
      <c r="K3959" s="17" t="n">
        <v>3262861.45</v>
      </c>
      <c r="L3959" s="12" t="n">
        <v>0</v>
      </c>
      <c r="M3959" s="12" t="n">
        <v>0</v>
      </c>
      <c r="N3959" s="27">
        <f>F3959-J3959</f>
        <v/>
      </c>
      <c r="O3959" s="16">
        <f>I3959-H3959</f>
        <v/>
      </c>
      <c r="P3959" s="14">
        <f>F3959*G3959</f>
        <v/>
      </c>
      <c r="Q3959" s="14">
        <f>J3959*G3959</f>
        <v/>
      </c>
      <c r="R3959" s="14">
        <f>K3959-Q3959</f>
        <v/>
      </c>
      <c r="S3959" s="3">
        <f>P3959*Assumptions!$B$3/100</f>
        <v/>
      </c>
      <c r="T3959" s="14">
        <f>R3959-S3959</f>
        <v/>
      </c>
      <c r="U3959" s="14">
        <f>L3959*G3959</f>
        <v/>
      </c>
    </row>
    <row r="3960">
      <c r="A3960" s="12" t="inlineStr">
        <is>
          <t>PO-2023-3958</t>
        </is>
      </c>
      <c r="B3960" s="26" t="n">
        <v>44225</v>
      </c>
      <c r="C3960" s="12" t="inlineStr">
        <is>
          <t>VS03</t>
        </is>
      </c>
      <c r="D3960" s="12" t="inlineStr">
        <is>
          <t>HR Coils</t>
        </is>
      </c>
      <c r="E3960" s="12" t="inlineStr">
        <is>
          <t>N</t>
        </is>
      </c>
      <c r="F3960" s="12" t="n">
        <v>35.62</v>
      </c>
      <c r="G3960" s="17" t="n">
        <v>61691</v>
      </c>
      <c r="H3960" s="26" t="n">
        <v>44236</v>
      </c>
      <c r="I3960" s="26" t="n">
        <v>44242</v>
      </c>
      <c r="J3960" s="12" t="n">
        <v>34.37</v>
      </c>
      <c r="K3960" s="17" t="n">
        <v>2197433.42</v>
      </c>
      <c r="L3960" s="12" t="n">
        <v>0.2</v>
      </c>
      <c r="M3960" s="12" t="n">
        <v>11</v>
      </c>
      <c r="N3960" s="27">
        <f>F3960-J3960</f>
        <v/>
      </c>
      <c r="O3960" s="16">
        <f>I3960-H3960</f>
        <v/>
      </c>
      <c r="P3960" s="14">
        <f>F3960*G3960</f>
        <v/>
      </c>
      <c r="Q3960" s="14">
        <f>J3960*G3960</f>
        <v/>
      </c>
      <c r="R3960" s="14">
        <f>K3960-Q3960</f>
        <v/>
      </c>
      <c r="S3960" s="3">
        <f>P3960*Assumptions!$B$3/100</f>
        <v/>
      </c>
      <c r="T3960" s="14">
        <f>R3960-S3960</f>
        <v/>
      </c>
      <c r="U3960" s="14">
        <f>L3960*G3960</f>
        <v/>
      </c>
    </row>
    <row r="3961">
      <c r="A3961" s="12" t="inlineStr">
        <is>
          <t>PO-2023-3959</t>
        </is>
      </c>
      <c r="B3961" s="26" t="n">
        <v>44927</v>
      </c>
      <c r="C3961" s="12" t="inlineStr">
        <is>
          <t>VS26</t>
        </is>
      </c>
      <c r="D3961" s="12" t="inlineStr">
        <is>
          <t>CR Sheets</t>
        </is>
      </c>
      <c r="E3961" s="12" t="inlineStr">
        <is>
          <t>N</t>
        </is>
      </c>
      <c r="F3961" s="12" t="n">
        <v>47.35</v>
      </c>
      <c r="G3961" s="17" t="n">
        <v>99669.64</v>
      </c>
      <c r="H3961" s="26" t="n">
        <v>44934</v>
      </c>
      <c r="I3961" s="26" t="n">
        <v>44937</v>
      </c>
      <c r="J3961" s="12" t="n">
        <v>47.33</v>
      </c>
      <c r="K3961" s="17" t="n">
        <v>4719357.45</v>
      </c>
      <c r="L3961" s="12" t="n">
        <v>0</v>
      </c>
      <c r="M3961" s="12" t="n">
        <v>0</v>
      </c>
      <c r="N3961" s="27">
        <f>F3961-J3961</f>
        <v/>
      </c>
      <c r="O3961" s="16">
        <f>I3961-H3961</f>
        <v/>
      </c>
      <c r="P3961" s="14">
        <f>F3961*G3961</f>
        <v/>
      </c>
      <c r="Q3961" s="14">
        <f>J3961*G3961</f>
        <v/>
      </c>
      <c r="R3961" s="14">
        <f>K3961-Q3961</f>
        <v/>
      </c>
      <c r="S3961" s="3">
        <f>P3961*Assumptions!$B$3/100</f>
        <v/>
      </c>
      <c r="T3961" s="14">
        <f>R3961-S3961</f>
        <v/>
      </c>
      <c r="U3961" s="14">
        <f>L3961*G3961</f>
        <v/>
      </c>
    </row>
    <row r="3962">
      <c r="A3962" s="12" t="inlineStr">
        <is>
          <t>PO-2023-3960</t>
        </is>
      </c>
      <c r="B3962" s="26" t="n">
        <v>45114</v>
      </c>
      <c r="C3962" s="12" t="inlineStr">
        <is>
          <t>VS18</t>
        </is>
      </c>
      <c r="D3962" s="12" t="inlineStr">
        <is>
          <t>MS Flats</t>
        </is>
      </c>
      <c r="E3962" s="12" t="inlineStr">
        <is>
          <t>N</t>
        </is>
      </c>
      <c r="F3962" s="12" t="n">
        <v>30.16</v>
      </c>
      <c r="G3962" s="17" t="n">
        <v>93426.67</v>
      </c>
      <c r="H3962" s="26" t="n">
        <v>45120</v>
      </c>
      <c r="I3962" s="26" t="n">
        <v>45120</v>
      </c>
      <c r="J3962" s="12" t="n">
        <v>29.93</v>
      </c>
      <c r="K3962" s="17" t="n">
        <v>2817748.37</v>
      </c>
      <c r="L3962" s="12" t="n">
        <v>0</v>
      </c>
      <c r="M3962" s="12" t="n">
        <v>20</v>
      </c>
      <c r="N3962" s="27">
        <f>F3962-J3962</f>
        <v/>
      </c>
      <c r="O3962" s="16">
        <f>I3962-H3962</f>
        <v/>
      </c>
      <c r="P3962" s="14">
        <f>F3962*G3962</f>
        <v/>
      </c>
      <c r="Q3962" s="14">
        <f>J3962*G3962</f>
        <v/>
      </c>
      <c r="R3962" s="14">
        <f>K3962-Q3962</f>
        <v/>
      </c>
      <c r="S3962" s="3">
        <f>P3962*Assumptions!$B$3/100</f>
        <v/>
      </c>
      <c r="T3962" s="14">
        <f>R3962-S3962</f>
        <v/>
      </c>
      <c r="U3962" s="14">
        <f>L3962*G3962</f>
        <v/>
      </c>
    </row>
    <row r="3963">
      <c r="A3963" s="12" t="inlineStr">
        <is>
          <t>PO-2023-3961</t>
        </is>
      </c>
      <c r="B3963" s="26" t="n">
        <v>44410</v>
      </c>
      <c r="C3963" s="12" t="inlineStr">
        <is>
          <t>VS34</t>
        </is>
      </c>
      <c r="D3963" s="12" t="inlineStr">
        <is>
          <t>GI Sheets</t>
        </is>
      </c>
      <c r="E3963" s="12" t="inlineStr">
        <is>
          <t>N</t>
        </is>
      </c>
      <c r="F3963" s="12" t="n">
        <v>49.07</v>
      </c>
      <c r="G3963" s="17" t="n">
        <v>97423.71000000001</v>
      </c>
      <c r="H3963" s="26" t="n">
        <v>44422</v>
      </c>
      <c r="I3963" s="26" t="n">
        <v>44423</v>
      </c>
      <c r="J3963" s="12" t="n">
        <v>49</v>
      </c>
      <c r="K3963" s="17" t="n">
        <v>4780581.45</v>
      </c>
      <c r="L3963" s="12" t="n">
        <v>0</v>
      </c>
      <c r="M3963" s="12" t="n">
        <v>8</v>
      </c>
      <c r="N3963" s="27">
        <f>F3963-J3963</f>
        <v/>
      </c>
      <c r="O3963" s="16">
        <f>I3963-H3963</f>
        <v/>
      </c>
      <c r="P3963" s="14">
        <f>F3963*G3963</f>
        <v/>
      </c>
      <c r="Q3963" s="14">
        <f>J3963*G3963</f>
        <v/>
      </c>
      <c r="R3963" s="14">
        <f>K3963-Q3963</f>
        <v/>
      </c>
      <c r="S3963" s="3">
        <f>P3963*Assumptions!$B$3/100</f>
        <v/>
      </c>
      <c r="T3963" s="14">
        <f>R3963-S3963</f>
        <v/>
      </c>
      <c r="U3963" s="14">
        <f>L3963*G3963</f>
        <v/>
      </c>
    </row>
    <row r="3964">
      <c r="A3964" s="12" t="inlineStr">
        <is>
          <t>PO-2023-3962</t>
        </is>
      </c>
      <c r="B3964" s="26" t="n">
        <v>45189</v>
      </c>
      <c r="C3964" s="12" t="inlineStr">
        <is>
          <t>VS18</t>
        </is>
      </c>
      <c r="D3964" s="12" t="inlineStr">
        <is>
          <t>SS Pipes</t>
        </is>
      </c>
      <c r="E3964" s="12" t="inlineStr">
        <is>
          <t>Y</t>
        </is>
      </c>
      <c r="F3964" s="12" t="n">
        <v>13.63</v>
      </c>
      <c r="G3964" s="17" t="n">
        <v>113542.11</v>
      </c>
      <c r="H3964" s="26" t="n">
        <v>45200</v>
      </c>
      <c r="I3964" s="26" t="n">
        <v>45202</v>
      </c>
      <c r="J3964" s="12" t="n">
        <v>13.55</v>
      </c>
      <c r="K3964" s="17" t="n">
        <v>1547578.96</v>
      </c>
      <c r="L3964" s="12" t="n">
        <v>0</v>
      </c>
      <c r="M3964" s="12" t="n">
        <v>5</v>
      </c>
      <c r="N3964" s="27">
        <f>F3964-J3964</f>
        <v/>
      </c>
      <c r="O3964" s="16">
        <f>I3964-H3964</f>
        <v/>
      </c>
      <c r="P3964" s="14">
        <f>F3964*G3964</f>
        <v/>
      </c>
      <c r="Q3964" s="14">
        <f>J3964*G3964</f>
        <v/>
      </c>
      <c r="R3964" s="14">
        <f>K3964-Q3964</f>
        <v/>
      </c>
      <c r="S3964" s="3">
        <f>P3964*Assumptions!$B$3/100</f>
        <v/>
      </c>
      <c r="T3964" s="14">
        <f>R3964-S3964</f>
        <v/>
      </c>
      <c r="U3964" s="14">
        <f>L3964*G3964</f>
        <v/>
      </c>
    </row>
    <row r="3965">
      <c r="A3965" s="12" t="inlineStr">
        <is>
          <t>PO-2023-3963</t>
        </is>
      </c>
      <c r="B3965" s="26" t="n">
        <v>45072</v>
      </c>
      <c r="C3965" s="12" t="inlineStr">
        <is>
          <t>VS03</t>
        </is>
      </c>
      <c r="D3965" s="12" t="inlineStr">
        <is>
          <t>MS Flats</t>
        </is>
      </c>
      <c r="E3965" s="12" t="inlineStr">
        <is>
          <t>N</t>
        </is>
      </c>
      <c r="F3965" s="12" t="n">
        <v>40.88</v>
      </c>
      <c r="G3965" s="17" t="n">
        <v>47908.07</v>
      </c>
      <c r="H3965" s="26" t="n">
        <v>45079</v>
      </c>
      <c r="I3965" s="26" t="n">
        <v>45085</v>
      </c>
      <c r="J3965" s="12" t="n">
        <v>38.95</v>
      </c>
      <c r="K3965" s="17" t="n">
        <v>1958481.9</v>
      </c>
      <c r="L3965" s="12" t="n">
        <v>0.11</v>
      </c>
      <c r="M3965" s="12" t="n">
        <v>4</v>
      </c>
      <c r="N3965" s="27">
        <f>F3965-J3965</f>
        <v/>
      </c>
      <c r="O3965" s="16">
        <f>I3965-H3965</f>
        <v/>
      </c>
      <c r="P3965" s="14">
        <f>F3965*G3965</f>
        <v/>
      </c>
      <c r="Q3965" s="14">
        <f>J3965*G3965</f>
        <v/>
      </c>
      <c r="R3965" s="14">
        <f>K3965-Q3965</f>
        <v/>
      </c>
      <c r="S3965" s="3">
        <f>P3965*Assumptions!$B$3/100</f>
        <v/>
      </c>
      <c r="T3965" s="14">
        <f>R3965-S3965</f>
        <v/>
      </c>
      <c r="U3965" s="14">
        <f>L3965*G3965</f>
        <v/>
      </c>
    </row>
    <row r="3966">
      <c r="A3966" s="12" t="inlineStr">
        <is>
          <t>PO-2023-3964</t>
        </is>
      </c>
      <c r="B3966" s="26" t="n">
        <v>44622</v>
      </c>
      <c r="C3966" s="12" t="inlineStr">
        <is>
          <t>VS10</t>
        </is>
      </c>
      <c r="D3966" s="12" t="inlineStr">
        <is>
          <t>GI Wire</t>
        </is>
      </c>
      <c r="E3966" s="12" t="inlineStr">
        <is>
          <t>N</t>
        </is>
      </c>
      <c r="F3966" s="12" t="n">
        <v>38.98</v>
      </c>
      <c r="G3966" s="17" t="n">
        <v>77738.89999999999</v>
      </c>
      <c r="H3966" s="26" t="n">
        <v>44628</v>
      </c>
      <c r="I3966" s="26" t="n">
        <v>44630</v>
      </c>
      <c r="J3966" s="12" t="n">
        <v>38.72</v>
      </c>
      <c r="K3966" s="17" t="n">
        <v>3030262.32</v>
      </c>
      <c r="L3966" s="12" t="n">
        <v>0</v>
      </c>
      <c r="M3966" s="12" t="n">
        <v>0</v>
      </c>
      <c r="N3966" s="27">
        <f>F3966-J3966</f>
        <v/>
      </c>
      <c r="O3966" s="16">
        <f>I3966-H3966</f>
        <v/>
      </c>
      <c r="P3966" s="14">
        <f>F3966*G3966</f>
        <v/>
      </c>
      <c r="Q3966" s="14">
        <f>J3966*G3966</f>
        <v/>
      </c>
      <c r="R3966" s="14">
        <f>K3966-Q3966</f>
        <v/>
      </c>
      <c r="S3966" s="3">
        <f>P3966*Assumptions!$B$3/100</f>
        <v/>
      </c>
      <c r="T3966" s="14">
        <f>R3966-S3966</f>
        <v/>
      </c>
      <c r="U3966" s="14">
        <f>L3966*G3966</f>
        <v/>
      </c>
    </row>
    <row r="3967">
      <c r="A3967" s="12" t="inlineStr">
        <is>
          <t>PO-2023-3965</t>
        </is>
      </c>
      <c r="B3967" s="26" t="n">
        <v>44458</v>
      </c>
      <c r="C3967" s="12" t="inlineStr">
        <is>
          <t>VS09</t>
        </is>
      </c>
      <c r="D3967" s="12" t="inlineStr">
        <is>
          <t>HR Coils</t>
        </is>
      </c>
      <c r="E3967" s="12" t="inlineStr">
        <is>
          <t>Y</t>
        </is>
      </c>
      <c r="F3967" s="12" t="n">
        <v>48.79</v>
      </c>
      <c r="G3967" s="17" t="n">
        <v>64294.49</v>
      </c>
      <c r="H3967" s="26" t="n">
        <v>44467</v>
      </c>
      <c r="I3967" s="26" t="n">
        <v>44470</v>
      </c>
      <c r="J3967" s="12" t="n">
        <v>48.79</v>
      </c>
      <c r="K3967" s="17" t="n">
        <v>3136928.17</v>
      </c>
      <c r="L3967" s="12" t="n">
        <v>0</v>
      </c>
      <c r="M3967" s="12" t="n">
        <v>22</v>
      </c>
      <c r="N3967" s="27">
        <f>F3967-J3967</f>
        <v/>
      </c>
      <c r="O3967" s="16">
        <f>I3967-H3967</f>
        <v/>
      </c>
      <c r="P3967" s="14">
        <f>F3967*G3967</f>
        <v/>
      </c>
      <c r="Q3967" s="14">
        <f>J3967*G3967</f>
        <v/>
      </c>
      <c r="R3967" s="14">
        <f>K3967-Q3967</f>
        <v/>
      </c>
      <c r="S3967" s="3">
        <f>P3967*Assumptions!$B$3/100</f>
        <v/>
      </c>
      <c r="T3967" s="14">
        <f>R3967-S3967</f>
        <v/>
      </c>
      <c r="U3967" s="14">
        <f>L3967*G3967</f>
        <v/>
      </c>
    </row>
    <row r="3968">
      <c r="A3968" s="12" t="inlineStr">
        <is>
          <t>PO-2023-3966</t>
        </is>
      </c>
      <c r="B3968" s="26" t="n">
        <v>44404</v>
      </c>
      <c r="C3968" s="12" t="inlineStr">
        <is>
          <t>VS09</t>
        </is>
      </c>
      <c r="D3968" s="12" t="inlineStr">
        <is>
          <t>ERW Pipes</t>
        </is>
      </c>
      <c r="E3968" s="12" t="inlineStr">
        <is>
          <t>N</t>
        </is>
      </c>
      <c r="F3968" s="12" t="n">
        <v>8.69</v>
      </c>
      <c r="G3968" s="17" t="n">
        <v>86103.95</v>
      </c>
      <c r="H3968" s="26" t="n">
        <v>44418</v>
      </c>
      <c r="I3968" s="26" t="n">
        <v>44421</v>
      </c>
      <c r="J3968" s="12" t="n">
        <v>8.619999999999999</v>
      </c>
      <c r="K3968" s="17" t="n">
        <v>748243.33</v>
      </c>
      <c r="L3968" s="12" t="n">
        <v>0</v>
      </c>
      <c r="M3968" s="12" t="n">
        <v>12</v>
      </c>
      <c r="N3968" s="27">
        <f>F3968-J3968</f>
        <v/>
      </c>
      <c r="O3968" s="16">
        <f>I3968-H3968</f>
        <v/>
      </c>
      <c r="P3968" s="14">
        <f>F3968*G3968</f>
        <v/>
      </c>
      <c r="Q3968" s="14">
        <f>J3968*G3968</f>
        <v/>
      </c>
      <c r="R3968" s="14">
        <f>K3968-Q3968</f>
        <v/>
      </c>
      <c r="S3968" s="3">
        <f>P3968*Assumptions!$B$3/100</f>
        <v/>
      </c>
      <c r="T3968" s="14">
        <f>R3968-S3968</f>
        <v/>
      </c>
      <c r="U3968" s="14">
        <f>L3968*G3968</f>
        <v/>
      </c>
    </row>
    <row r="3969">
      <c r="A3969" s="12" t="inlineStr">
        <is>
          <t>PO-2023-3967</t>
        </is>
      </c>
      <c r="B3969" s="26" t="n">
        <v>45289</v>
      </c>
      <c r="C3969" s="12" t="inlineStr">
        <is>
          <t>VS05</t>
        </is>
      </c>
      <c r="D3969" s="12" t="inlineStr">
        <is>
          <t>ERW Pipes</t>
        </is>
      </c>
      <c r="E3969" s="12" t="inlineStr">
        <is>
          <t>N</t>
        </is>
      </c>
      <c r="F3969" s="12" t="n">
        <v>17.15</v>
      </c>
      <c r="G3969" s="17" t="n">
        <v>66623.75</v>
      </c>
      <c r="H3969" s="26" t="n">
        <v>45297</v>
      </c>
      <c r="I3969" s="26" t="n">
        <v>45299</v>
      </c>
      <c r="J3969" s="12" t="n">
        <v>17.02</v>
      </c>
      <c r="K3969" s="17" t="n">
        <v>1142597.31</v>
      </c>
      <c r="L3969" s="12" t="n">
        <v>0</v>
      </c>
      <c r="M3969" s="12" t="n">
        <v>21</v>
      </c>
      <c r="N3969" s="27">
        <f>F3969-J3969</f>
        <v/>
      </c>
      <c r="O3969" s="16">
        <f>I3969-H3969</f>
        <v/>
      </c>
      <c r="P3969" s="14">
        <f>F3969*G3969</f>
        <v/>
      </c>
      <c r="Q3969" s="14">
        <f>J3969*G3969</f>
        <v/>
      </c>
      <c r="R3969" s="14">
        <f>K3969-Q3969</f>
        <v/>
      </c>
      <c r="S3969" s="3">
        <f>P3969*Assumptions!$B$3/100</f>
        <v/>
      </c>
      <c r="T3969" s="14">
        <f>R3969-S3969</f>
        <v/>
      </c>
      <c r="U3969" s="14">
        <f>L3969*G3969</f>
        <v/>
      </c>
    </row>
    <row r="3970">
      <c r="A3970" s="12" t="inlineStr">
        <is>
          <t>PO-2023-3968</t>
        </is>
      </c>
      <c r="B3970" s="26" t="n">
        <v>44663</v>
      </c>
      <c r="C3970" s="12" t="inlineStr">
        <is>
          <t>VS17</t>
        </is>
      </c>
      <c r="D3970" s="12" t="inlineStr">
        <is>
          <t>MS Pipes</t>
        </is>
      </c>
      <c r="E3970" s="12" t="inlineStr">
        <is>
          <t>N</t>
        </is>
      </c>
      <c r="F3970" s="12" t="n">
        <v>1.2</v>
      </c>
      <c r="G3970" s="17" t="n">
        <v>50492.57</v>
      </c>
      <c r="H3970" s="26" t="n">
        <v>44676</v>
      </c>
      <c r="I3970" s="26" t="n">
        <v>44677</v>
      </c>
      <c r="J3970" s="12" t="n">
        <v>1.19</v>
      </c>
      <c r="K3970" s="17" t="n">
        <v>60591.08</v>
      </c>
      <c r="L3970" s="12" t="n">
        <v>0</v>
      </c>
      <c r="M3970" s="12" t="n">
        <v>14</v>
      </c>
      <c r="N3970" s="27">
        <f>F3970-J3970</f>
        <v/>
      </c>
      <c r="O3970" s="16">
        <f>I3970-H3970</f>
        <v/>
      </c>
      <c r="P3970" s="14">
        <f>F3970*G3970</f>
        <v/>
      </c>
      <c r="Q3970" s="14">
        <f>J3970*G3970</f>
        <v/>
      </c>
      <c r="R3970" s="14">
        <f>K3970-Q3970</f>
        <v/>
      </c>
      <c r="S3970" s="3">
        <f>P3970*Assumptions!$B$3/100</f>
        <v/>
      </c>
      <c r="T3970" s="14">
        <f>R3970-S3970</f>
        <v/>
      </c>
      <c r="U3970" s="14">
        <f>L3970*G3970</f>
        <v/>
      </c>
    </row>
    <row r="3971">
      <c r="A3971" s="12" t="inlineStr">
        <is>
          <t>PO-2023-3969</t>
        </is>
      </c>
      <c r="B3971" s="26" t="n">
        <v>45119</v>
      </c>
      <c r="C3971" s="12" t="inlineStr">
        <is>
          <t>VS28</t>
        </is>
      </c>
      <c r="D3971" s="12" t="inlineStr">
        <is>
          <t>MS Sheets</t>
        </is>
      </c>
      <c r="E3971" s="12" t="inlineStr">
        <is>
          <t>N</t>
        </is>
      </c>
      <c r="F3971" s="12" t="n">
        <v>7.74</v>
      </c>
      <c r="G3971" s="17" t="n">
        <v>59483.14</v>
      </c>
      <c r="H3971" s="26" t="n">
        <v>45131</v>
      </c>
      <c r="I3971" s="26" t="n">
        <v>45134</v>
      </c>
      <c r="J3971" s="12" t="n">
        <v>7.69</v>
      </c>
      <c r="K3971" s="17" t="n">
        <v>460399.5</v>
      </c>
      <c r="L3971" s="12" t="n">
        <v>0</v>
      </c>
      <c r="M3971" s="12" t="n">
        <v>10</v>
      </c>
      <c r="N3971" s="27">
        <f>F3971-J3971</f>
        <v/>
      </c>
      <c r="O3971" s="16">
        <f>I3971-H3971</f>
        <v/>
      </c>
      <c r="P3971" s="14">
        <f>F3971*G3971</f>
        <v/>
      </c>
      <c r="Q3971" s="14">
        <f>J3971*G3971</f>
        <v/>
      </c>
      <c r="R3971" s="14">
        <f>K3971-Q3971</f>
        <v/>
      </c>
      <c r="S3971" s="3">
        <f>P3971*Assumptions!$B$3/100</f>
        <v/>
      </c>
      <c r="T3971" s="14">
        <f>R3971-S3971</f>
        <v/>
      </c>
      <c r="U3971" s="14">
        <f>L3971*G3971</f>
        <v/>
      </c>
    </row>
    <row r="3972">
      <c r="A3972" s="12" t="inlineStr">
        <is>
          <t>PO-2023-3970</t>
        </is>
      </c>
      <c r="B3972" s="26" t="n">
        <v>45284</v>
      </c>
      <c r="C3972" s="12" t="inlineStr">
        <is>
          <t>VS20</t>
        </is>
      </c>
      <c r="D3972" s="12" t="inlineStr">
        <is>
          <t>Structural Steel</t>
        </is>
      </c>
      <c r="E3972" s="12" t="inlineStr">
        <is>
          <t>N</t>
        </is>
      </c>
      <c r="F3972" s="12" t="n">
        <v>15.71</v>
      </c>
      <c r="G3972" s="17" t="n">
        <v>107003.32</v>
      </c>
      <c r="H3972" s="26" t="n">
        <v>45297</v>
      </c>
      <c r="I3972" s="26" t="n">
        <v>45299</v>
      </c>
      <c r="J3972" s="12" t="n">
        <v>15.7</v>
      </c>
      <c r="K3972" s="17" t="n">
        <v>1681022.16</v>
      </c>
      <c r="L3972" s="12" t="n">
        <v>0</v>
      </c>
      <c r="M3972" s="12" t="n">
        <v>14</v>
      </c>
      <c r="N3972" s="27">
        <f>F3972-J3972</f>
        <v/>
      </c>
      <c r="O3972" s="16">
        <f>I3972-H3972</f>
        <v/>
      </c>
      <c r="P3972" s="14">
        <f>F3972*G3972</f>
        <v/>
      </c>
      <c r="Q3972" s="14">
        <f>J3972*G3972</f>
        <v/>
      </c>
      <c r="R3972" s="14">
        <f>K3972-Q3972</f>
        <v/>
      </c>
      <c r="S3972" s="3">
        <f>P3972*Assumptions!$B$3/100</f>
        <v/>
      </c>
      <c r="T3972" s="14">
        <f>R3972-S3972</f>
        <v/>
      </c>
      <c r="U3972" s="14">
        <f>L3972*G3972</f>
        <v/>
      </c>
    </row>
    <row r="3973">
      <c r="A3973" s="12" t="inlineStr">
        <is>
          <t>PO-2023-3971</t>
        </is>
      </c>
      <c r="B3973" s="26" t="n">
        <v>44527</v>
      </c>
      <c r="C3973" s="12" t="inlineStr">
        <is>
          <t>VS22</t>
        </is>
      </c>
      <c r="D3973" s="12" t="inlineStr">
        <is>
          <t>MS Rods</t>
        </is>
      </c>
      <c r="E3973" s="12" t="inlineStr">
        <is>
          <t>N</t>
        </is>
      </c>
      <c r="F3973" s="12" t="n">
        <v>36.04</v>
      </c>
      <c r="G3973" s="17" t="n">
        <v>100989.24</v>
      </c>
      <c r="H3973" s="26" t="n">
        <v>44541</v>
      </c>
      <c r="I3973" s="26" t="n">
        <v>44543</v>
      </c>
      <c r="J3973" s="12" t="n">
        <v>35.86</v>
      </c>
      <c r="K3973" s="17" t="n">
        <v>3639652.21</v>
      </c>
      <c r="L3973" s="12" t="n">
        <v>0</v>
      </c>
      <c r="M3973" s="12" t="n">
        <v>17</v>
      </c>
      <c r="N3973" s="27">
        <f>F3973-J3973</f>
        <v/>
      </c>
      <c r="O3973" s="16">
        <f>I3973-H3973</f>
        <v/>
      </c>
      <c r="P3973" s="14">
        <f>F3973*G3973</f>
        <v/>
      </c>
      <c r="Q3973" s="14">
        <f>J3973*G3973</f>
        <v/>
      </c>
      <c r="R3973" s="14">
        <f>K3973-Q3973</f>
        <v/>
      </c>
      <c r="S3973" s="3">
        <f>P3973*Assumptions!$B$3/100</f>
        <v/>
      </c>
      <c r="T3973" s="14">
        <f>R3973-S3973</f>
        <v/>
      </c>
      <c r="U3973" s="14">
        <f>L3973*G3973</f>
        <v/>
      </c>
    </row>
    <row r="3974">
      <c r="A3974" s="12" t="inlineStr">
        <is>
          <t>PO-2023-3972</t>
        </is>
      </c>
      <c r="B3974" s="26" t="n">
        <v>45203</v>
      </c>
      <c r="C3974" s="12" t="inlineStr">
        <is>
          <t>VS05</t>
        </is>
      </c>
      <c r="D3974" s="12" t="inlineStr">
        <is>
          <t>Hex Bars</t>
        </is>
      </c>
      <c r="E3974" s="12" t="inlineStr">
        <is>
          <t>N</t>
        </is>
      </c>
      <c r="F3974" s="12" t="n">
        <v>38.94</v>
      </c>
      <c r="G3974" s="17" t="n">
        <v>84476.66</v>
      </c>
      <c r="H3974" s="26" t="n">
        <v>45208</v>
      </c>
      <c r="I3974" s="26" t="n">
        <v>45208</v>
      </c>
      <c r="J3974" s="12" t="n">
        <v>38.77</v>
      </c>
      <c r="K3974" s="17" t="n">
        <v>3289521.14</v>
      </c>
      <c r="L3974" s="12" t="n">
        <v>0</v>
      </c>
      <c r="M3974" s="12" t="n">
        <v>0</v>
      </c>
      <c r="N3974" s="27">
        <f>F3974-J3974</f>
        <v/>
      </c>
      <c r="O3974" s="16">
        <f>I3974-H3974</f>
        <v/>
      </c>
      <c r="P3974" s="14">
        <f>F3974*G3974</f>
        <v/>
      </c>
      <c r="Q3974" s="14">
        <f>J3974*G3974</f>
        <v/>
      </c>
      <c r="R3974" s="14">
        <f>K3974-Q3974</f>
        <v/>
      </c>
      <c r="S3974" s="3">
        <f>P3974*Assumptions!$B$3/100</f>
        <v/>
      </c>
      <c r="T3974" s="14">
        <f>R3974-S3974</f>
        <v/>
      </c>
      <c r="U3974" s="14">
        <f>L3974*G3974</f>
        <v/>
      </c>
    </row>
    <row r="3975">
      <c r="A3975" s="12" t="inlineStr">
        <is>
          <t>PO-2023-3973</t>
        </is>
      </c>
      <c r="B3975" s="26" t="n">
        <v>44616</v>
      </c>
      <c r="C3975" s="12" t="inlineStr">
        <is>
          <t>VS29</t>
        </is>
      </c>
      <c r="D3975" s="12" t="inlineStr">
        <is>
          <t>Hex Bars</t>
        </is>
      </c>
      <c r="E3975" s="12" t="inlineStr">
        <is>
          <t>N</t>
        </is>
      </c>
      <c r="F3975" s="12" t="n">
        <v>32.51</v>
      </c>
      <c r="G3975" s="17" t="n">
        <v>93669.87</v>
      </c>
      <c r="H3975" s="26" t="n">
        <v>44619</v>
      </c>
      <c r="I3975" s="26" t="n">
        <v>44622</v>
      </c>
      <c r="J3975" s="12" t="n">
        <v>32.22</v>
      </c>
      <c r="K3975" s="17" t="n">
        <v>3045207.47</v>
      </c>
      <c r="L3975" s="12" t="n">
        <v>0</v>
      </c>
      <c r="M3975" s="12" t="n">
        <v>0</v>
      </c>
      <c r="N3975" s="27">
        <f>F3975-J3975</f>
        <v/>
      </c>
      <c r="O3975" s="16">
        <f>I3975-H3975</f>
        <v/>
      </c>
      <c r="P3975" s="14">
        <f>F3975*G3975</f>
        <v/>
      </c>
      <c r="Q3975" s="14">
        <f>J3975*G3975</f>
        <v/>
      </c>
      <c r="R3975" s="14">
        <f>K3975-Q3975</f>
        <v/>
      </c>
      <c r="S3975" s="3">
        <f>P3975*Assumptions!$B$3/100</f>
        <v/>
      </c>
      <c r="T3975" s="14">
        <f>R3975-S3975</f>
        <v/>
      </c>
      <c r="U3975" s="14">
        <f>L3975*G3975</f>
        <v/>
      </c>
    </row>
    <row r="3976">
      <c r="A3976" s="12" t="inlineStr">
        <is>
          <t>PO-2023-3974</t>
        </is>
      </c>
      <c r="B3976" s="26" t="n">
        <v>44872</v>
      </c>
      <c r="C3976" s="12" t="inlineStr">
        <is>
          <t>VS19</t>
        </is>
      </c>
      <c r="D3976" s="12" t="inlineStr">
        <is>
          <t>SS Pipes</t>
        </is>
      </c>
      <c r="E3976" s="12" t="inlineStr">
        <is>
          <t>N</t>
        </is>
      </c>
      <c r="F3976" s="12" t="n">
        <v>20.01</v>
      </c>
      <c r="G3976" s="17" t="n">
        <v>50659.12</v>
      </c>
      <c r="H3976" s="26" t="n">
        <v>44886</v>
      </c>
      <c r="I3976" s="26" t="n">
        <v>44888</v>
      </c>
      <c r="J3976" s="12" t="n">
        <v>19.46</v>
      </c>
      <c r="K3976" s="17" t="n">
        <v>1013688.99</v>
      </c>
      <c r="L3976" s="12" t="n">
        <v>0.75</v>
      </c>
      <c r="M3976" s="12" t="n">
        <v>0</v>
      </c>
      <c r="N3976" s="27">
        <f>F3976-J3976</f>
        <v/>
      </c>
      <c r="O3976" s="16">
        <f>I3976-H3976</f>
        <v/>
      </c>
      <c r="P3976" s="14">
        <f>F3976*G3976</f>
        <v/>
      </c>
      <c r="Q3976" s="14">
        <f>J3976*G3976</f>
        <v/>
      </c>
      <c r="R3976" s="14">
        <f>K3976-Q3976</f>
        <v/>
      </c>
      <c r="S3976" s="3">
        <f>P3976*Assumptions!$B$3/100</f>
        <v/>
      </c>
      <c r="T3976" s="14">
        <f>R3976-S3976</f>
        <v/>
      </c>
      <c r="U3976" s="14">
        <f>L3976*G3976</f>
        <v/>
      </c>
    </row>
    <row r="3977">
      <c r="A3977" s="12" t="inlineStr">
        <is>
          <t>PO-2023-3975</t>
        </is>
      </c>
      <c r="B3977" s="26" t="n">
        <v>44354</v>
      </c>
      <c r="C3977" s="12" t="inlineStr">
        <is>
          <t>VS13</t>
        </is>
      </c>
      <c r="D3977" s="12" t="inlineStr">
        <is>
          <t>CR Sheets</t>
        </is>
      </c>
      <c r="E3977" s="12" t="inlineStr">
        <is>
          <t>Y</t>
        </is>
      </c>
      <c r="F3977" s="12" t="n">
        <v>29.2</v>
      </c>
      <c r="G3977" s="17" t="n">
        <v>72755.84</v>
      </c>
      <c r="H3977" s="26" t="n">
        <v>44361</v>
      </c>
      <c r="I3977" s="26" t="n">
        <v>44364</v>
      </c>
      <c r="J3977" s="12" t="n">
        <v>28.92</v>
      </c>
      <c r="K3977" s="17" t="n">
        <v>2124470.53</v>
      </c>
      <c r="L3977" s="12" t="n">
        <v>0</v>
      </c>
      <c r="M3977" s="12" t="n">
        <v>22</v>
      </c>
      <c r="N3977" s="27">
        <f>F3977-J3977</f>
        <v/>
      </c>
      <c r="O3977" s="16">
        <f>I3977-H3977</f>
        <v/>
      </c>
      <c r="P3977" s="14">
        <f>F3977*G3977</f>
        <v/>
      </c>
      <c r="Q3977" s="14">
        <f>J3977*G3977</f>
        <v/>
      </c>
      <c r="R3977" s="14">
        <f>K3977-Q3977</f>
        <v/>
      </c>
      <c r="S3977" s="3">
        <f>P3977*Assumptions!$B$3/100</f>
        <v/>
      </c>
      <c r="T3977" s="14">
        <f>R3977-S3977</f>
        <v/>
      </c>
      <c r="U3977" s="14">
        <f>L3977*G3977</f>
        <v/>
      </c>
    </row>
    <row r="3978">
      <c r="A3978" s="12" t="inlineStr">
        <is>
          <t>PO-2023-3976</t>
        </is>
      </c>
      <c r="B3978" s="26" t="n">
        <v>45154</v>
      </c>
      <c r="C3978" s="12" t="inlineStr">
        <is>
          <t>VS18</t>
        </is>
      </c>
      <c r="D3978" s="12" t="inlineStr">
        <is>
          <t>MS Rods</t>
        </is>
      </c>
      <c r="E3978" s="12" t="inlineStr">
        <is>
          <t>Y</t>
        </is>
      </c>
      <c r="F3978" s="12" t="n">
        <v>2.2</v>
      </c>
      <c r="G3978" s="17" t="n">
        <v>95958.61</v>
      </c>
      <c r="H3978" s="26" t="n">
        <v>45165</v>
      </c>
      <c r="I3978" s="26" t="n">
        <v>45166</v>
      </c>
      <c r="J3978" s="12" t="n">
        <v>2.19</v>
      </c>
      <c r="K3978" s="17" t="n">
        <v>211108.94</v>
      </c>
      <c r="L3978" s="12" t="n">
        <v>0</v>
      </c>
      <c r="M3978" s="12" t="n">
        <v>11</v>
      </c>
      <c r="N3978" s="27">
        <f>F3978-J3978</f>
        <v/>
      </c>
      <c r="O3978" s="16">
        <f>I3978-H3978</f>
        <v/>
      </c>
      <c r="P3978" s="14">
        <f>F3978*G3978</f>
        <v/>
      </c>
      <c r="Q3978" s="14">
        <f>J3978*G3978</f>
        <v/>
      </c>
      <c r="R3978" s="14">
        <f>K3978-Q3978</f>
        <v/>
      </c>
      <c r="S3978" s="3">
        <f>P3978*Assumptions!$B$3/100</f>
        <v/>
      </c>
      <c r="T3978" s="14">
        <f>R3978-S3978</f>
        <v/>
      </c>
      <c r="U3978" s="14">
        <f>L3978*G3978</f>
        <v/>
      </c>
    </row>
    <row r="3979">
      <c r="A3979" s="12" t="inlineStr">
        <is>
          <t>PO-2023-3977</t>
        </is>
      </c>
      <c r="B3979" s="26" t="n">
        <v>45074</v>
      </c>
      <c r="C3979" s="12" t="inlineStr">
        <is>
          <t>VS29</t>
        </is>
      </c>
      <c r="D3979" s="12" t="inlineStr">
        <is>
          <t>CR Sheets</t>
        </is>
      </c>
      <c r="E3979" s="12" t="inlineStr">
        <is>
          <t>N</t>
        </is>
      </c>
      <c r="F3979" s="12" t="n">
        <v>28.8</v>
      </c>
      <c r="G3979" s="17" t="n">
        <v>104758.48</v>
      </c>
      <c r="H3979" s="26" t="n">
        <v>45080</v>
      </c>
      <c r="I3979" s="26" t="n">
        <v>45082</v>
      </c>
      <c r="J3979" s="12" t="n">
        <v>28.75</v>
      </c>
      <c r="K3979" s="17" t="n">
        <v>3017044.22</v>
      </c>
      <c r="L3979" s="12" t="n">
        <v>0</v>
      </c>
      <c r="M3979" s="12" t="n">
        <v>15</v>
      </c>
      <c r="N3979" s="27">
        <f>F3979-J3979</f>
        <v/>
      </c>
      <c r="O3979" s="16">
        <f>I3979-H3979</f>
        <v/>
      </c>
      <c r="P3979" s="14">
        <f>F3979*G3979</f>
        <v/>
      </c>
      <c r="Q3979" s="14">
        <f>J3979*G3979</f>
        <v/>
      </c>
      <c r="R3979" s="14">
        <f>K3979-Q3979</f>
        <v/>
      </c>
      <c r="S3979" s="3">
        <f>P3979*Assumptions!$B$3/100</f>
        <v/>
      </c>
      <c r="T3979" s="14">
        <f>R3979-S3979</f>
        <v/>
      </c>
      <c r="U3979" s="14">
        <f>L3979*G3979</f>
        <v/>
      </c>
    </row>
    <row r="3980">
      <c r="A3980" s="12" t="inlineStr">
        <is>
          <t>PO-2023-3978</t>
        </is>
      </c>
      <c r="B3980" s="26" t="n">
        <v>44691</v>
      </c>
      <c r="C3980" s="12" t="inlineStr">
        <is>
          <t>VS01</t>
        </is>
      </c>
      <c r="D3980" s="12" t="inlineStr">
        <is>
          <t>Fasteners &amp; Fittings</t>
        </is>
      </c>
      <c r="E3980" s="12" t="inlineStr">
        <is>
          <t>N</t>
        </is>
      </c>
      <c r="F3980" s="12" t="n">
        <v>8.550000000000001</v>
      </c>
      <c r="G3980" s="17" t="n">
        <v>74622.86</v>
      </c>
      <c r="H3980" s="26" t="n">
        <v>44695</v>
      </c>
      <c r="I3980" s="26" t="n">
        <v>44698</v>
      </c>
      <c r="J3980" s="12" t="n">
        <v>8.470000000000001</v>
      </c>
      <c r="K3980" s="17" t="n">
        <v>638025.45</v>
      </c>
      <c r="L3980" s="12" t="n">
        <v>0</v>
      </c>
      <c r="M3980" s="12" t="n">
        <v>10</v>
      </c>
      <c r="N3980" s="27">
        <f>F3980-J3980</f>
        <v/>
      </c>
      <c r="O3980" s="16">
        <f>I3980-H3980</f>
        <v/>
      </c>
      <c r="P3980" s="14">
        <f>F3980*G3980</f>
        <v/>
      </c>
      <c r="Q3980" s="14">
        <f>J3980*G3980</f>
        <v/>
      </c>
      <c r="R3980" s="14">
        <f>K3980-Q3980</f>
        <v/>
      </c>
      <c r="S3980" s="3">
        <f>P3980*Assumptions!$B$3/100</f>
        <v/>
      </c>
      <c r="T3980" s="14">
        <f>R3980-S3980</f>
        <v/>
      </c>
      <c r="U3980" s="14">
        <f>L3980*G3980</f>
        <v/>
      </c>
    </row>
    <row r="3981">
      <c r="A3981" s="12" t="inlineStr">
        <is>
          <t>PO-2023-3979</t>
        </is>
      </c>
      <c r="B3981" s="26" t="n">
        <v>44300</v>
      </c>
      <c r="C3981" s="12" t="inlineStr">
        <is>
          <t>VS04</t>
        </is>
      </c>
      <c r="D3981" s="12" t="inlineStr">
        <is>
          <t>Square/Rect Tubes</t>
        </is>
      </c>
      <c r="E3981" s="12" t="inlineStr">
        <is>
          <t>N</t>
        </is>
      </c>
      <c r="F3981" s="12" t="n">
        <v>21.44</v>
      </c>
      <c r="G3981" s="17" t="n">
        <v>73814.33</v>
      </c>
      <c r="H3981" s="26" t="n">
        <v>44305</v>
      </c>
      <c r="I3981" s="26" t="n">
        <v>44307</v>
      </c>
      <c r="J3981" s="12" t="n">
        <v>21.23</v>
      </c>
      <c r="K3981" s="17" t="n">
        <v>1582579.24</v>
      </c>
      <c r="L3981" s="12" t="n">
        <v>0</v>
      </c>
      <c r="M3981" s="12" t="n">
        <v>18</v>
      </c>
      <c r="N3981" s="27">
        <f>F3981-J3981</f>
        <v/>
      </c>
      <c r="O3981" s="16">
        <f>I3981-H3981</f>
        <v/>
      </c>
      <c r="P3981" s="14">
        <f>F3981*G3981</f>
        <v/>
      </c>
      <c r="Q3981" s="14">
        <f>J3981*G3981</f>
        <v/>
      </c>
      <c r="R3981" s="14">
        <f>K3981-Q3981</f>
        <v/>
      </c>
      <c r="S3981" s="3">
        <f>P3981*Assumptions!$B$3/100</f>
        <v/>
      </c>
      <c r="T3981" s="14">
        <f>R3981-S3981</f>
        <v/>
      </c>
      <c r="U3981" s="14">
        <f>L3981*G3981</f>
        <v/>
      </c>
    </row>
    <row r="3982">
      <c r="A3982" s="12" t="inlineStr">
        <is>
          <t>PO-2023-3980</t>
        </is>
      </c>
      <c r="B3982" s="26" t="n">
        <v>44212</v>
      </c>
      <c r="C3982" s="12" t="inlineStr">
        <is>
          <t>VS07</t>
        </is>
      </c>
      <c r="D3982" s="12" t="inlineStr">
        <is>
          <t>GI Wire</t>
        </is>
      </c>
      <c r="E3982" s="12" t="inlineStr">
        <is>
          <t>N</t>
        </is>
      </c>
      <c r="F3982" s="12" t="n">
        <v>16.81</v>
      </c>
      <c r="G3982" s="17" t="n">
        <v>112565.13</v>
      </c>
      <c r="H3982" s="26" t="n">
        <v>44226</v>
      </c>
      <c r="I3982" s="26" t="n">
        <v>44228</v>
      </c>
      <c r="J3982" s="12" t="n">
        <v>16.77</v>
      </c>
      <c r="K3982" s="17" t="n">
        <v>1892219.84</v>
      </c>
      <c r="L3982" s="12" t="n">
        <v>0</v>
      </c>
      <c r="M3982" s="12" t="n">
        <v>12</v>
      </c>
      <c r="N3982" s="27">
        <f>F3982-J3982</f>
        <v/>
      </c>
      <c r="O3982" s="16">
        <f>I3982-H3982</f>
        <v/>
      </c>
      <c r="P3982" s="14">
        <f>F3982*G3982</f>
        <v/>
      </c>
      <c r="Q3982" s="14">
        <f>J3982*G3982</f>
        <v/>
      </c>
      <c r="R3982" s="14">
        <f>K3982-Q3982</f>
        <v/>
      </c>
      <c r="S3982" s="3">
        <f>P3982*Assumptions!$B$3/100</f>
        <v/>
      </c>
      <c r="T3982" s="14">
        <f>R3982-S3982</f>
        <v/>
      </c>
      <c r="U3982" s="14">
        <f>L3982*G3982</f>
        <v/>
      </c>
    </row>
    <row r="3983">
      <c r="A3983" s="12" t="inlineStr">
        <is>
          <t>PO-2023-3981</t>
        </is>
      </c>
      <c r="B3983" s="26" t="n">
        <v>45117</v>
      </c>
      <c r="C3983" s="12" t="inlineStr">
        <is>
          <t>VS33</t>
        </is>
      </c>
      <c r="D3983" s="12" t="inlineStr">
        <is>
          <t>GI Wire</t>
        </is>
      </c>
      <c r="E3983" s="12" t="inlineStr">
        <is>
          <t>N</t>
        </is>
      </c>
      <c r="F3983" s="12" t="n">
        <v>47.6</v>
      </c>
      <c r="G3983" s="17" t="n">
        <v>69790.8</v>
      </c>
      <c r="H3983" s="26" t="n">
        <v>45130</v>
      </c>
      <c r="I3983" s="26" t="n">
        <v>45131</v>
      </c>
      <c r="J3983" s="12" t="n">
        <v>47.33</v>
      </c>
      <c r="K3983" s="17" t="n">
        <v>3322042.08</v>
      </c>
      <c r="L3983" s="12" t="n">
        <v>0</v>
      </c>
      <c r="M3983" s="12" t="n">
        <v>22</v>
      </c>
      <c r="N3983" s="27">
        <f>F3983-J3983</f>
        <v/>
      </c>
      <c r="O3983" s="16">
        <f>I3983-H3983</f>
        <v/>
      </c>
      <c r="P3983" s="14">
        <f>F3983*G3983</f>
        <v/>
      </c>
      <c r="Q3983" s="14">
        <f>J3983*G3983</f>
        <v/>
      </c>
      <c r="R3983" s="14">
        <f>K3983-Q3983</f>
        <v/>
      </c>
      <c r="S3983" s="3">
        <f>P3983*Assumptions!$B$3/100</f>
        <v/>
      </c>
      <c r="T3983" s="14">
        <f>R3983-S3983</f>
        <v/>
      </c>
      <c r="U3983" s="14">
        <f>L3983*G3983</f>
        <v/>
      </c>
    </row>
    <row r="3984">
      <c r="A3984" s="12" t="inlineStr">
        <is>
          <t>PO-2023-3982</t>
        </is>
      </c>
      <c r="B3984" s="26" t="n">
        <v>45267</v>
      </c>
      <c r="C3984" s="12" t="inlineStr">
        <is>
          <t>VS26</t>
        </is>
      </c>
      <c r="D3984" s="12" t="inlineStr">
        <is>
          <t>MS Flats</t>
        </is>
      </c>
      <c r="E3984" s="12" t="inlineStr">
        <is>
          <t>N</t>
        </is>
      </c>
      <c r="F3984" s="12" t="n">
        <v>17.06</v>
      </c>
      <c r="G3984" s="17" t="n">
        <v>101898.68</v>
      </c>
      <c r="H3984" s="26" t="n">
        <v>45277</v>
      </c>
      <c r="I3984" s="26" t="n">
        <v>45279</v>
      </c>
      <c r="J3984" s="12" t="n">
        <v>17.01</v>
      </c>
      <c r="K3984" s="17" t="n">
        <v>1738391.48</v>
      </c>
      <c r="L3984" s="12" t="n">
        <v>0</v>
      </c>
      <c r="M3984" s="12" t="n">
        <v>0</v>
      </c>
      <c r="N3984" s="27">
        <f>F3984-J3984</f>
        <v/>
      </c>
      <c r="O3984" s="16">
        <f>I3984-H3984</f>
        <v/>
      </c>
      <c r="P3984" s="14">
        <f>F3984*G3984</f>
        <v/>
      </c>
      <c r="Q3984" s="14">
        <f>J3984*G3984</f>
        <v/>
      </c>
      <c r="R3984" s="14">
        <f>K3984-Q3984</f>
        <v/>
      </c>
      <c r="S3984" s="3">
        <f>P3984*Assumptions!$B$3/100</f>
        <v/>
      </c>
      <c r="T3984" s="14">
        <f>R3984-S3984</f>
        <v/>
      </c>
      <c r="U3984" s="14">
        <f>L3984*G3984</f>
        <v/>
      </c>
    </row>
    <row r="3985">
      <c r="A3985" s="12" t="inlineStr">
        <is>
          <t>PO-2023-3983</t>
        </is>
      </c>
      <c r="B3985" s="26" t="n">
        <v>44918</v>
      </c>
      <c r="C3985" s="12" t="inlineStr">
        <is>
          <t>VS07</t>
        </is>
      </c>
      <c r="D3985" s="12" t="inlineStr">
        <is>
          <t>MS Sheets</t>
        </is>
      </c>
      <c r="E3985" s="12" t="inlineStr">
        <is>
          <t>N</t>
        </is>
      </c>
      <c r="F3985" s="12" t="n">
        <v>13.48</v>
      </c>
      <c r="G3985" s="17" t="n">
        <v>77321.5</v>
      </c>
      <c r="H3985" s="26" t="n">
        <v>44921</v>
      </c>
      <c r="I3985" s="26" t="n">
        <v>44922</v>
      </c>
      <c r="J3985" s="12" t="n">
        <v>13.43</v>
      </c>
      <c r="K3985" s="17" t="n">
        <v>1042293.82</v>
      </c>
      <c r="L3985" s="12" t="n">
        <v>0</v>
      </c>
      <c r="M3985" s="12" t="n">
        <v>17</v>
      </c>
      <c r="N3985" s="27">
        <f>F3985-J3985</f>
        <v/>
      </c>
      <c r="O3985" s="16">
        <f>I3985-H3985</f>
        <v/>
      </c>
      <c r="P3985" s="14">
        <f>F3985*G3985</f>
        <v/>
      </c>
      <c r="Q3985" s="14">
        <f>J3985*G3985</f>
        <v/>
      </c>
      <c r="R3985" s="14">
        <f>K3985-Q3985</f>
        <v/>
      </c>
      <c r="S3985" s="3">
        <f>P3985*Assumptions!$B$3/100</f>
        <v/>
      </c>
      <c r="T3985" s="14">
        <f>R3985-S3985</f>
        <v/>
      </c>
      <c r="U3985" s="14">
        <f>L3985*G3985</f>
        <v/>
      </c>
    </row>
    <row r="3986">
      <c r="A3986" s="12" t="inlineStr">
        <is>
          <t>PO-2023-3984</t>
        </is>
      </c>
      <c r="B3986" s="26" t="n">
        <v>44211</v>
      </c>
      <c r="C3986" s="12" t="inlineStr">
        <is>
          <t>VS04</t>
        </is>
      </c>
      <c r="D3986" s="12" t="inlineStr">
        <is>
          <t>MS Rods</t>
        </is>
      </c>
      <c r="E3986" s="12" t="inlineStr">
        <is>
          <t>N</t>
        </is>
      </c>
      <c r="F3986" s="12" t="n">
        <v>26.66</v>
      </c>
      <c r="G3986" s="17" t="n">
        <v>70318.39</v>
      </c>
      <c r="H3986" s="26" t="n">
        <v>44226</v>
      </c>
      <c r="I3986" s="26" t="n">
        <v>44228</v>
      </c>
      <c r="J3986" s="12" t="n">
        <v>26.59</v>
      </c>
      <c r="K3986" s="17" t="n">
        <v>1874688.28</v>
      </c>
      <c r="L3986" s="12" t="n">
        <v>0</v>
      </c>
      <c r="M3986" s="12" t="n">
        <v>23</v>
      </c>
      <c r="N3986" s="27">
        <f>F3986-J3986</f>
        <v/>
      </c>
      <c r="O3986" s="16">
        <f>I3986-H3986</f>
        <v/>
      </c>
      <c r="P3986" s="14">
        <f>F3986*G3986</f>
        <v/>
      </c>
      <c r="Q3986" s="14">
        <f>J3986*G3986</f>
        <v/>
      </c>
      <c r="R3986" s="14">
        <f>K3986-Q3986</f>
        <v/>
      </c>
      <c r="S3986" s="3">
        <f>P3986*Assumptions!$B$3/100</f>
        <v/>
      </c>
      <c r="T3986" s="14">
        <f>R3986-S3986</f>
        <v/>
      </c>
      <c r="U3986" s="14">
        <f>L3986*G3986</f>
        <v/>
      </c>
    </row>
    <row r="3987">
      <c r="A3987" s="12" t="inlineStr">
        <is>
          <t>PO-2023-3985</t>
        </is>
      </c>
      <c r="B3987" s="26" t="n">
        <v>45046</v>
      </c>
      <c r="C3987" s="12" t="inlineStr">
        <is>
          <t>VS34</t>
        </is>
      </c>
      <c r="D3987" s="12" t="inlineStr">
        <is>
          <t>Square/Rect Tubes</t>
        </is>
      </c>
      <c r="E3987" s="12" t="inlineStr">
        <is>
          <t>N</t>
        </is>
      </c>
      <c r="F3987" s="12" t="n">
        <v>15.27</v>
      </c>
      <c r="G3987" s="17" t="n">
        <v>49311.74</v>
      </c>
      <c r="H3987" s="26" t="n">
        <v>45050</v>
      </c>
      <c r="I3987" s="26" t="n">
        <v>45052</v>
      </c>
      <c r="J3987" s="12" t="n">
        <v>15.13</v>
      </c>
      <c r="K3987" s="17" t="n">
        <v>752990.27</v>
      </c>
      <c r="L3987" s="12" t="n">
        <v>0</v>
      </c>
      <c r="M3987" s="12" t="n">
        <v>0</v>
      </c>
      <c r="N3987" s="27">
        <f>F3987-J3987</f>
        <v/>
      </c>
      <c r="O3987" s="16">
        <f>I3987-H3987</f>
        <v/>
      </c>
      <c r="P3987" s="14">
        <f>F3987*G3987</f>
        <v/>
      </c>
      <c r="Q3987" s="14">
        <f>J3987*G3987</f>
        <v/>
      </c>
      <c r="R3987" s="14">
        <f>K3987-Q3987</f>
        <v/>
      </c>
      <c r="S3987" s="3">
        <f>P3987*Assumptions!$B$3/100</f>
        <v/>
      </c>
      <c r="T3987" s="14">
        <f>R3987-S3987</f>
        <v/>
      </c>
      <c r="U3987" s="14">
        <f>L3987*G3987</f>
        <v/>
      </c>
    </row>
    <row r="3988">
      <c r="A3988" s="12" t="inlineStr">
        <is>
          <t>PO-2023-3986</t>
        </is>
      </c>
      <c r="B3988" s="26" t="n">
        <v>45046</v>
      </c>
      <c r="C3988" s="12" t="inlineStr">
        <is>
          <t>VS25</t>
        </is>
      </c>
      <c r="D3988" s="12" t="inlineStr">
        <is>
          <t>Angles &amp; Channels</t>
        </is>
      </c>
      <c r="E3988" s="12" t="inlineStr">
        <is>
          <t>N</t>
        </is>
      </c>
      <c r="F3988" s="12" t="n">
        <v>13.51</v>
      </c>
      <c r="G3988" s="17" t="n">
        <v>52988.35</v>
      </c>
      <c r="H3988" s="26" t="n">
        <v>45051</v>
      </c>
      <c r="I3988" s="26" t="n">
        <v>45051</v>
      </c>
      <c r="J3988" s="12" t="n">
        <v>13.49</v>
      </c>
      <c r="K3988" s="17" t="n">
        <v>715872.61</v>
      </c>
      <c r="L3988" s="12" t="n">
        <v>0</v>
      </c>
      <c r="M3988" s="12" t="n">
        <v>3</v>
      </c>
      <c r="N3988" s="27">
        <f>F3988-J3988</f>
        <v/>
      </c>
      <c r="O3988" s="16">
        <f>I3988-H3988</f>
        <v/>
      </c>
      <c r="P3988" s="14">
        <f>F3988*G3988</f>
        <v/>
      </c>
      <c r="Q3988" s="14">
        <f>J3988*G3988</f>
        <v/>
      </c>
      <c r="R3988" s="14">
        <f>K3988-Q3988</f>
        <v/>
      </c>
      <c r="S3988" s="3">
        <f>P3988*Assumptions!$B$3/100</f>
        <v/>
      </c>
      <c r="T3988" s="14">
        <f>R3988-S3988</f>
        <v/>
      </c>
      <c r="U3988" s="14">
        <f>L3988*G3988</f>
        <v/>
      </c>
    </row>
    <row r="3989">
      <c r="A3989" s="12" t="inlineStr">
        <is>
          <t>PO-2023-3987</t>
        </is>
      </c>
      <c r="B3989" s="26" t="n">
        <v>44722</v>
      </c>
      <c r="C3989" s="12" t="inlineStr">
        <is>
          <t>VS20</t>
        </is>
      </c>
      <c r="D3989" s="12" t="inlineStr">
        <is>
          <t>CR Sheets</t>
        </is>
      </c>
      <c r="E3989" s="12" t="inlineStr">
        <is>
          <t>N</t>
        </is>
      </c>
      <c r="F3989" s="12" t="n">
        <v>4.37</v>
      </c>
      <c r="G3989" s="17" t="n">
        <v>83421.91</v>
      </c>
      <c r="H3989" s="26" t="n">
        <v>44734</v>
      </c>
      <c r="I3989" s="26" t="n">
        <v>44737</v>
      </c>
      <c r="J3989" s="12" t="n">
        <v>4.35</v>
      </c>
      <c r="K3989" s="17" t="n">
        <v>364553.75</v>
      </c>
      <c r="L3989" s="12" t="n">
        <v>0</v>
      </c>
      <c r="M3989" s="12" t="n">
        <v>8</v>
      </c>
      <c r="N3989" s="27">
        <f>F3989-J3989</f>
        <v/>
      </c>
      <c r="O3989" s="16">
        <f>I3989-H3989</f>
        <v/>
      </c>
      <c r="P3989" s="14">
        <f>F3989*G3989</f>
        <v/>
      </c>
      <c r="Q3989" s="14">
        <f>J3989*G3989</f>
        <v/>
      </c>
      <c r="R3989" s="14">
        <f>K3989-Q3989</f>
        <v/>
      </c>
      <c r="S3989" s="3">
        <f>P3989*Assumptions!$B$3/100</f>
        <v/>
      </c>
      <c r="T3989" s="14">
        <f>R3989-S3989</f>
        <v/>
      </c>
      <c r="U3989" s="14">
        <f>L3989*G3989</f>
        <v/>
      </c>
    </row>
    <row r="3990">
      <c r="A3990" s="12" t="inlineStr">
        <is>
          <t>PO-2023-3988</t>
        </is>
      </c>
      <c r="B3990" s="26" t="n">
        <v>45164</v>
      </c>
      <c r="C3990" s="12" t="inlineStr">
        <is>
          <t>VS19</t>
        </is>
      </c>
      <c r="D3990" s="12" t="inlineStr">
        <is>
          <t>MS Pipes</t>
        </is>
      </c>
      <c r="E3990" s="12" t="inlineStr">
        <is>
          <t>Y</t>
        </is>
      </c>
      <c r="F3990" s="12" t="n">
        <v>8.039999999999999</v>
      </c>
      <c r="G3990" s="17" t="n">
        <v>112946.35</v>
      </c>
      <c r="H3990" s="26" t="n">
        <v>45170</v>
      </c>
      <c r="I3990" s="26" t="n">
        <v>45178</v>
      </c>
      <c r="J3990" s="12" t="n">
        <v>7.74</v>
      </c>
      <c r="K3990" s="17" t="n">
        <v>908088.65</v>
      </c>
      <c r="L3990" s="12" t="n">
        <v>0.01</v>
      </c>
      <c r="M3990" s="12" t="n">
        <v>0</v>
      </c>
      <c r="N3990" s="27">
        <f>F3990-J3990</f>
        <v/>
      </c>
      <c r="O3990" s="16">
        <f>I3990-H3990</f>
        <v/>
      </c>
      <c r="P3990" s="14">
        <f>F3990*G3990</f>
        <v/>
      </c>
      <c r="Q3990" s="14">
        <f>J3990*G3990</f>
        <v/>
      </c>
      <c r="R3990" s="14">
        <f>K3990-Q3990</f>
        <v/>
      </c>
      <c r="S3990" s="3">
        <f>P3990*Assumptions!$B$3/100</f>
        <v/>
      </c>
      <c r="T3990" s="14">
        <f>R3990-S3990</f>
        <v/>
      </c>
      <c r="U3990" s="14">
        <f>L3990*G3990</f>
        <v/>
      </c>
    </row>
    <row r="3991">
      <c r="A3991" s="12" t="inlineStr">
        <is>
          <t>PO-2023-3989</t>
        </is>
      </c>
      <c r="B3991" s="26" t="n">
        <v>44609</v>
      </c>
      <c r="C3991" s="12" t="inlineStr">
        <is>
          <t>VS34</t>
        </is>
      </c>
      <c r="D3991" s="12" t="inlineStr">
        <is>
          <t>GI Wire</t>
        </is>
      </c>
      <c r="E3991" s="12" t="inlineStr">
        <is>
          <t>Y</t>
        </is>
      </c>
      <c r="F3991" s="12" t="n">
        <v>45.7</v>
      </c>
      <c r="G3991" s="17" t="n">
        <v>119858.37</v>
      </c>
      <c r="H3991" s="26" t="n">
        <v>44612</v>
      </c>
      <c r="I3991" s="26" t="n">
        <v>44613</v>
      </c>
      <c r="J3991" s="12" t="n">
        <v>45.45</v>
      </c>
      <c r="K3991" s="17" t="n">
        <v>5477527.51</v>
      </c>
      <c r="L3991" s="12" t="n">
        <v>0</v>
      </c>
      <c r="M3991" s="12" t="n">
        <v>0</v>
      </c>
      <c r="N3991" s="27">
        <f>F3991-J3991</f>
        <v/>
      </c>
      <c r="O3991" s="16">
        <f>I3991-H3991</f>
        <v/>
      </c>
      <c r="P3991" s="14">
        <f>F3991*G3991</f>
        <v/>
      </c>
      <c r="Q3991" s="14">
        <f>J3991*G3991</f>
        <v/>
      </c>
      <c r="R3991" s="14">
        <f>K3991-Q3991</f>
        <v/>
      </c>
      <c r="S3991" s="3">
        <f>P3991*Assumptions!$B$3/100</f>
        <v/>
      </c>
      <c r="T3991" s="14">
        <f>R3991-S3991</f>
        <v/>
      </c>
      <c r="U3991" s="14">
        <f>L3991*G3991</f>
        <v/>
      </c>
    </row>
    <row r="3992">
      <c r="A3992" s="12" t="inlineStr">
        <is>
          <t>PO-2023-3990</t>
        </is>
      </c>
      <c r="B3992" s="26" t="n">
        <v>45246</v>
      </c>
      <c r="C3992" s="12" t="inlineStr">
        <is>
          <t>VS15</t>
        </is>
      </c>
      <c r="D3992" s="12" t="inlineStr">
        <is>
          <t>MS Flats</t>
        </is>
      </c>
      <c r="E3992" s="12" t="inlineStr">
        <is>
          <t>N</t>
        </is>
      </c>
      <c r="F3992" s="12" t="n">
        <v>41.21</v>
      </c>
      <c r="G3992" s="17" t="n">
        <v>110044.72</v>
      </c>
      <c r="H3992" s="26" t="n">
        <v>45260</v>
      </c>
      <c r="I3992" s="26" t="n">
        <v>45263</v>
      </c>
      <c r="J3992" s="12" t="n">
        <v>41.18</v>
      </c>
      <c r="K3992" s="17" t="n">
        <v>4534942.91</v>
      </c>
      <c r="L3992" s="12" t="n">
        <v>0</v>
      </c>
      <c r="M3992" s="12" t="n">
        <v>2</v>
      </c>
      <c r="N3992" s="27">
        <f>F3992-J3992</f>
        <v/>
      </c>
      <c r="O3992" s="16">
        <f>I3992-H3992</f>
        <v/>
      </c>
      <c r="P3992" s="14">
        <f>F3992*G3992</f>
        <v/>
      </c>
      <c r="Q3992" s="14">
        <f>J3992*G3992</f>
        <v/>
      </c>
      <c r="R3992" s="14">
        <f>K3992-Q3992</f>
        <v/>
      </c>
      <c r="S3992" s="3">
        <f>P3992*Assumptions!$B$3/100</f>
        <v/>
      </c>
      <c r="T3992" s="14">
        <f>R3992-S3992</f>
        <v/>
      </c>
      <c r="U3992" s="14">
        <f>L3992*G3992</f>
        <v/>
      </c>
    </row>
    <row r="3993">
      <c r="A3993" s="12" t="inlineStr">
        <is>
          <t>PO-2023-3991</t>
        </is>
      </c>
      <c r="B3993" s="26" t="n">
        <v>44327</v>
      </c>
      <c r="C3993" s="12" t="inlineStr">
        <is>
          <t>VS29</t>
        </is>
      </c>
      <c r="D3993" s="12" t="inlineStr">
        <is>
          <t>MS Pipes</t>
        </is>
      </c>
      <c r="E3993" s="12" t="inlineStr">
        <is>
          <t>N</t>
        </is>
      </c>
      <c r="F3993" s="12" t="n">
        <v>47.96</v>
      </c>
      <c r="G3993" s="17" t="n">
        <v>75615.69</v>
      </c>
      <c r="H3993" s="26" t="n">
        <v>44330</v>
      </c>
      <c r="I3993" s="26" t="n">
        <v>44331</v>
      </c>
      <c r="J3993" s="12" t="n">
        <v>47.63</v>
      </c>
      <c r="K3993" s="17" t="n">
        <v>3626528.49</v>
      </c>
      <c r="L3993" s="12" t="n">
        <v>0</v>
      </c>
      <c r="M3993" s="12" t="n">
        <v>0</v>
      </c>
      <c r="N3993" s="27">
        <f>F3993-J3993</f>
        <v/>
      </c>
      <c r="O3993" s="16">
        <f>I3993-H3993</f>
        <v/>
      </c>
      <c r="P3993" s="14">
        <f>F3993*G3993</f>
        <v/>
      </c>
      <c r="Q3993" s="14">
        <f>J3993*G3993</f>
        <v/>
      </c>
      <c r="R3993" s="14">
        <f>K3993-Q3993</f>
        <v/>
      </c>
      <c r="S3993" s="3">
        <f>P3993*Assumptions!$B$3/100</f>
        <v/>
      </c>
      <c r="T3993" s="14">
        <f>R3993-S3993</f>
        <v/>
      </c>
      <c r="U3993" s="14">
        <f>L3993*G3993</f>
        <v/>
      </c>
    </row>
    <row r="3994">
      <c r="A3994" s="12" t="inlineStr">
        <is>
          <t>PO-2023-3992</t>
        </is>
      </c>
      <c r="B3994" s="26" t="n">
        <v>44807</v>
      </c>
      <c r="C3994" s="12" t="inlineStr">
        <is>
          <t>VS18</t>
        </is>
      </c>
      <c r="D3994" s="12" t="inlineStr">
        <is>
          <t>Square/Rect Tubes</t>
        </is>
      </c>
      <c r="E3994" s="12" t="inlineStr">
        <is>
          <t>N</t>
        </is>
      </c>
      <c r="F3994" s="12" t="n">
        <v>45.9</v>
      </c>
      <c r="G3994" s="17" t="n">
        <v>83452.09</v>
      </c>
      <c r="H3994" s="26" t="n">
        <v>44816</v>
      </c>
      <c r="I3994" s="26" t="n">
        <v>44819</v>
      </c>
      <c r="J3994" s="12" t="n">
        <v>45.75</v>
      </c>
      <c r="K3994" s="17" t="n">
        <v>3830450.93</v>
      </c>
      <c r="L3994" s="12" t="n">
        <v>0</v>
      </c>
      <c r="M3994" s="12" t="n">
        <v>0</v>
      </c>
      <c r="N3994" s="27">
        <f>F3994-J3994</f>
        <v/>
      </c>
      <c r="O3994" s="16">
        <f>I3994-H3994</f>
        <v/>
      </c>
      <c r="P3994" s="14">
        <f>F3994*G3994</f>
        <v/>
      </c>
      <c r="Q3994" s="14">
        <f>J3994*G3994</f>
        <v/>
      </c>
      <c r="R3994" s="14">
        <f>K3994-Q3994</f>
        <v/>
      </c>
      <c r="S3994" s="3">
        <f>P3994*Assumptions!$B$3/100</f>
        <v/>
      </c>
      <c r="T3994" s="14">
        <f>R3994-S3994</f>
        <v/>
      </c>
      <c r="U3994" s="14">
        <f>L3994*G3994</f>
        <v/>
      </c>
    </row>
    <row r="3995">
      <c r="A3995" s="12" t="inlineStr">
        <is>
          <t>PO-2023-3993</t>
        </is>
      </c>
      <c r="B3995" s="26" t="n">
        <v>44321</v>
      </c>
      <c r="C3995" s="12" t="inlineStr">
        <is>
          <t>VS12</t>
        </is>
      </c>
      <c r="D3995" s="12" t="inlineStr">
        <is>
          <t>GI Pipes</t>
        </is>
      </c>
      <c r="E3995" s="12" t="inlineStr">
        <is>
          <t>N</t>
        </is>
      </c>
      <c r="F3995" s="12" t="n">
        <v>40.07</v>
      </c>
      <c r="G3995" s="17" t="n">
        <v>72757.19</v>
      </c>
      <c r="H3995" s="26" t="n">
        <v>44324</v>
      </c>
      <c r="I3995" s="26" t="n">
        <v>44328</v>
      </c>
      <c r="J3995" s="12" t="n">
        <v>38.86</v>
      </c>
      <c r="K3995" s="17" t="n">
        <v>2915380.6</v>
      </c>
      <c r="L3995" s="12" t="n">
        <v>0.24</v>
      </c>
      <c r="M3995" s="12" t="n">
        <v>6</v>
      </c>
      <c r="N3995" s="27">
        <f>F3995-J3995</f>
        <v/>
      </c>
      <c r="O3995" s="16">
        <f>I3995-H3995</f>
        <v/>
      </c>
      <c r="P3995" s="14">
        <f>F3995*G3995</f>
        <v/>
      </c>
      <c r="Q3995" s="14">
        <f>J3995*G3995</f>
        <v/>
      </c>
      <c r="R3995" s="14">
        <f>K3995-Q3995</f>
        <v/>
      </c>
      <c r="S3995" s="3">
        <f>P3995*Assumptions!$B$3/100</f>
        <v/>
      </c>
      <c r="T3995" s="14">
        <f>R3995-S3995</f>
        <v/>
      </c>
      <c r="U3995" s="14">
        <f>L3995*G3995</f>
        <v/>
      </c>
    </row>
    <row r="3996">
      <c r="A3996" s="12" t="inlineStr">
        <is>
          <t>PO-2023-3994</t>
        </is>
      </c>
      <c r="B3996" s="26" t="n">
        <v>45292</v>
      </c>
      <c r="C3996" s="12" t="inlineStr">
        <is>
          <t>VS15</t>
        </is>
      </c>
      <c r="D3996" s="12" t="inlineStr">
        <is>
          <t>MS Pipes</t>
        </is>
      </c>
      <c r="E3996" s="12" t="inlineStr">
        <is>
          <t>N</t>
        </is>
      </c>
      <c r="F3996" s="12" t="n">
        <v>49.17</v>
      </c>
      <c r="G3996" s="17" t="n">
        <v>103264.43</v>
      </c>
      <c r="H3996" s="26" t="n">
        <v>45299</v>
      </c>
      <c r="I3996" s="26" t="n">
        <v>45301</v>
      </c>
      <c r="J3996" s="12" t="n">
        <v>49.09</v>
      </c>
      <c r="K3996" s="17" t="n">
        <v>5077512.02</v>
      </c>
      <c r="L3996" s="12" t="n">
        <v>0</v>
      </c>
      <c r="M3996" s="12" t="n">
        <v>0</v>
      </c>
      <c r="N3996" s="27">
        <f>F3996-J3996</f>
        <v/>
      </c>
      <c r="O3996" s="16">
        <f>I3996-H3996</f>
        <v/>
      </c>
      <c r="P3996" s="14">
        <f>F3996*G3996</f>
        <v/>
      </c>
      <c r="Q3996" s="14">
        <f>J3996*G3996</f>
        <v/>
      </c>
      <c r="R3996" s="14">
        <f>K3996-Q3996</f>
        <v/>
      </c>
      <c r="S3996" s="3">
        <f>P3996*Assumptions!$B$3/100</f>
        <v/>
      </c>
      <c r="T3996" s="14">
        <f>R3996-S3996</f>
        <v/>
      </c>
      <c r="U3996" s="14">
        <f>L3996*G3996</f>
        <v/>
      </c>
    </row>
    <row r="3997">
      <c r="A3997" s="12" t="inlineStr">
        <is>
          <t>PO-2023-3995</t>
        </is>
      </c>
      <c r="B3997" s="26" t="n">
        <v>44338</v>
      </c>
      <c r="C3997" s="12" t="inlineStr">
        <is>
          <t>VS14</t>
        </is>
      </c>
      <c r="D3997" s="12" t="inlineStr">
        <is>
          <t>CR Sheets</t>
        </is>
      </c>
      <c r="E3997" s="12" t="inlineStr">
        <is>
          <t>N</t>
        </is>
      </c>
      <c r="F3997" s="12" t="n">
        <v>33.73</v>
      </c>
      <c r="G3997" s="17" t="n">
        <v>45908.7</v>
      </c>
      <c r="H3997" s="26" t="n">
        <v>44353</v>
      </c>
      <c r="I3997" s="26" t="n">
        <v>44353</v>
      </c>
      <c r="J3997" s="12" t="n">
        <v>33.66</v>
      </c>
      <c r="K3997" s="17" t="n">
        <v>1548500.45</v>
      </c>
      <c r="L3997" s="12" t="n">
        <v>0</v>
      </c>
      <c r="M3997" s="12" t="n">
        <v>0</v>
      </c>
      <c r="N3997" s="27">
        <f>F3997-J3997</f>
        <v/>
      </c>
      <c r="O3997" s="16">
        <f>I3997-H3997</f>
        <v/>
      </c>
      <c r="P3997" s="14">
        <f>F3997*G3997</f>
        <v/>
      </c>
      <c r="Q3997" s="14">
        <f>J3997*G3997</f>
        <v/>
      </c>
      <c r="R3997" s="14">
        <f>K3997-Q3997</f>
        <v/>
      </c>
      <c r="S3997" s="3">
        <f>P3997*Assumptions!$B$3/100</f>
        <v/>
      </c>
      <c r="T3997" s="14">
        <f>R3997-S3997</f>
        <v/>
      </c>
      <c r="U3997" s="14">
        <f>L3997*G3997</f>
        <v/>
      </c>
    </row>
    <row r="3998">
      <c r="A3998" s="12" t="inlineStr">
        <is>
          <t>PO-2023-3996</t>
        </is>
      </c>
      <c r="B3998" s="26" t="n">
        <v>45084</v>
      </c>
      <c r="C3998" s="12" t="inlineStr">
        <is>
          <t>VS05</t>
        </is>
      </c>
      <c r="D3998" s="12" t="inlineStr">
        <is>
          <t>Structural Steel</t>
        </is>
      </c>
      <c r="E3998" s="12" t="inlineStr">
        <is>
          <t>N</t>
        </is>
      </c>
      <c r="F3998" s="12" t="n">
        <v>30.22</v>
      </c>
      <c r="G3998" s="17" t="n">
        <v>110100.49</v>
      </c>
      <c r="H3998" s="26" t="n">
        <v>45096</v>
      </c>
      <c r="I3998" s="26" t="n">
        <v>45096</v>
      </c>
      <c r="J3998" s="12" t="n">
        <v>29.98</v>
      </c>
      <c r="K3998" s="17" t="n">
        <v>3327236.81</v>
      </c>
      <c r="L3998" s="12" t="n">
        <v>0</v>
      </c>
      <c r="M3998" s="12" t="n">
        <v>0</v>
      </c>
      <c r="N3998" s="27">
        <f>F3998-J3998</f>
        <v/>
      </c>
      <c r="O3998" s="16">
        <f>I3998-H3998</f>
        <v/>
      </c>
      <c r="P3998" s="14">
        <f>F3998*G3998</f>
        <v/>
      </c>
      <c r="Q3998" s="14">
        <f>J3998*G3998</f>
        <v/>
      </c>
      <c r="R3998" s="14">
        <f>K3998-Q3998</f>
        <v/>
      </c>
      <c r="S3998" s="3">
        <f>P3998*Assumptions!$B$3/100</f>
        <v/>
      </c>
      <c r="T3998" s="14">
        <f>R3998-S3998</f>
        <v/>
      </c>
      <c r="U3998" s="14">
        <f>L3998*G3998</f>
        <v/>
      </c>
    </row>
    <row r="3999">
      <c r="A3999" s="12" t="inlineStr">
        <is>
          <t>PO-2023-3997</t>
        </is>
      </c>
      <c r="B3999" s="26" t="n">
        <v>45194</v>
      </c>
      <c r="C3999" s="12" t="inlineStr">
        <is>
          <t>VS09</t>
        </is>
      </c>
      <c r="D3999" s="12" t="inlineStr">
        <is>
          <t>CR Sheets</t>
        </is>
      </c>
      <c r="E3999" s="12" t="inlineStr">
        <is>
          <t>N</t>
        </is>
      </c>
      <c r="F3999" s="12" t="n">
        <v>17.5</v>
      </c>
      <c r="G3999" s="17" t="n">
        <v>56464.24</v>
      </c>
      <c r="H3999" s="26" t="n">
        <v>45201</v>
      </c>
      <c r="I3999" s="26" t="n">
        <v>45203</v>
      </c>
      <c r="J3999" s="12" t="n">
        <v>17.35</v>
      </c>
      <c r="K3999" s="17" t="n">
        <v>988124.2</v>
      </c>
      <c r="L3999" s="12" t="n">
        <v>0</v>
      </c>
      <c r="M3999" s="12" t="n">
        <v>19</v>
      </c>
      <c r="N3999" s="27">
        <f>F3999-J3999</f>
        <v/>
      </c>
      <c r="O3999" s="16">
        <f>I3999-H3999</f>
        <v/>
      </c>
      <c r="P3999" s="14">
        <f>F3999*G3999</f>
        <v/>
      </c>
      <c r="Q3999" s="14">
        <f>J3999*G3999</f>
        <v/>
      </c>
      <c r="R3999" s="14">
        <f>K3999-Q3999</f>
        <v/>
      </c>
      <c r="S3999" s="3">
        <f>P3999*Assumptions!$B$3/100</f>
        <v/>
      </c>
      <c r="T3999" s="14">
        <f>R3999-S3999</f>
        <v/>
      </c>
      <c r="U3999" s="14">
        <f>L3999*G3999</f>
        <v/>
      </c>
    </row>
    <row r="4000">
      <c r="A4000" s="12" t="inlineStr">
        <is>
          <t>PO-2023-3998</t>
        </is>
      </c>
      <c r="B4000" s="26" t="n">
        <v>44421</v>
      </c>
      <c r="C4000" s="12" t="inlineStr">
        <is>
          <t>VS14</t>
        </is>
      </c>
      <c r="D4000" s="12" t="inlineStr">
        <is>
          <t>Angles &amp; Channels</t>
        </is>
      </c>
      <c r="E4000" s="12" t="inlineStr">
        <is>
          <t>N</t>
        </is>
      </c>
      <c r="F4000" s="12" t="n">
        <v>20.07</v>
      </c>
      <c r="G4000" s="17" t="n">
        <v>65272.64</v>
      </c>
      <c r="H4000" s="26" t="n">
        <v>44424</v>
      </c>
      <c r="I4000" s="26" t="n">
        <v>44426</v>
      </c>
      <c r="J4000" s="12" t="n">
        <v>19.95</v>
      </c>
      <c r="K4000" s="17" t="n">
        <v>1310021.88</v>
      </c>
      <c r="L4000" s="12" t="n">
        <v>0</v>
      </c>
      <c r="M4000" s="12" t="n">
        <v>0</v>
      </c>
      <c r="N4000" s="27">
        <f>F4000-J4000</f>
        <v/>
      </c>
      <c r="O4000" s="16">
        <f>I4000-H4000</f>
        <v/>
      </c>
      <c r="P4000" s="14">
        <f>F4000*G4000</f>
        <v/>
      </c>
      <c r="Q4000" s="14">
        <f>J4000*G4000</f>
        <v/>
      </c>
      <c r="R4000" s="14">
        <f>K4000-Q4000</f>
        <v/>
      </c>
      <c r="S4000" s="3">
        <f>P4000*Assumptions!$B$3/100</f>
        <v/>
      </c>
      <c r="T4000" s="14">
        <f>R4000-S4000</f>
        <v/>
      </c>
      <c r="U4000" s="14">
        <f>L4000*G4000</f>
        <v/>
      </c>
    </row>
    <row r="4001">
      <c r="A4001" s="12" t="inlineStr">
        <is>
          <t>PO-2023-3999</t>
        </is>
      </c>
      <c r="B4001" s="26" t="n">
        <v>44808</v>
      </c>
      <c r="C4001" s="12" t="inlineStr">
        <is>
          <t>VS21</t>
        </is>
      </c>
      <c r="D4001" s="12" t="inlineStr">
        <is>
          <t>GI Pipes</t>
        </is>
      </c>
      <c r="E4001" s="12" t="inlineStr">
        <is>
          <t>N</t>
        </is>
      </c>
      <c r="F4001" s="12" t="n">
        <v>23.74</v>
      </c>
      <c r="G4001" s="17" t="n">
        <v>71545.31</v>
      </c>
      <c r="H4001" s="26" t="n">
        <v>44823</v>
      </c>
      <c r="I4001" s="26" t="n">
        <v>44824</v>
      </c>
      <c r="J4001" s="12" t="n">
        <v>23.54</v>
      </c>
      <c r="K4001" s="17" t="n">
        <v>1698485.66</v>
      </c>
      <c r="L4001" s="12" t="n">
        <v>0</v>
      </c>
      <c r="M4001" s="12" t="n">
        <v>18</v>
      </c>
      <c r="N4001" s="27">
        <f>F4001-J4001</f>
        <v/>
      </c>
      <c r="O4001" s="16">
        <f>I4001-H4001</f>
        <v/>
      </c>
      <c r="P4001" s="14">
        <f>F4001*G4001</f>
        <v/>
      </c>
      <c r="Q4001" s="14">
        <f>J4001*G4001</f>
        <v/>
      </c>
      <c r="R4001" s="14">
        <f>K4001-Q4001</f>
        <v/>
      </c>
      <c r="S4001" s="3">
        <f>P4001*Assumptions!$B$3/100</f>
        <v/>
      </c>
      <c r="T4001" s="14">
        <f>R4001-S4001</f>
        <v/>
      </c>
      <c r="U4001" s="14">
        <f>L4001*G4001</f>
        <v/>
      </c>
    </row>
    <row r="4002">
      <c r="A4002" s="12" t="inlineStr">
        <is>
          <t>PO-2023-4000</t>
        </is>
      </c>
      <c r="B4002" s="26" t="n">
        <v>44970</v>
      </c>
      <c r="C4002" s="12" t="inlineStr">
        <is>
          <t>VS32</t>
        </is>
      </c>
      <c r="D4002" s="12" t="inlineStr">
        <is>
          <t>SS Sheets</t>
        </is>
      </c>
      <c r="E4002" s="12" t="inlineStr">
        <is>
          <t>N</t>
        </is>
      </c>
      <c r="F4002" s="12" t="n">
        <v>49.4</v>
      </c>
      <c r="G4002" s="17" t="n">
        <v>118026.2</v>
      </c>
      <c r="H4002" s="26" t="n">
        <v>44973</v>
      </c>
      <c r="I4002" s="26" t="n">
        <v>44974</v>
      </c>
      <c r="J4002" s="12" t="n">
        <v>49.32</v>
      </c>
      <c r="K4002" s="17" t="n">
        <v>5830494.28</v>
      </c>
      <c r="L4002" s="12" t="n">
        <v>0</v>
      </c>
      <c r="M4002" s="12" t="n">
        <v>13</v>
      </c>
      <c r="N4002" s="27">
        <f>F4002-J4002</f>
        <v/>
      </c>
      <c r="O4002" s="16">
        <f>I4002-H4002</f>
        <v/>
      </c>
      <c r="P4002" s="14">
        <f>F4002*G4002</f>
        <v/>
      </c>
      <c r="Q4002" s="14">
        <f>J4002*G4002</f>
        <v/>
      </c>
      <c r="R4002" s="14">
        <f>K4002-Q4002</f>
        <v/>
      </c>
      <c r="S4002" s="3">
        <f>P4002*Assumptions!$B$3/100</f>
        <v/>
      </c>
      <c r="T4002" s="14">
        <f>R4002-S4002</f>
        <v/>
      </c>
      <c r="U4002" s="14">
        <f>L4002*G4002</f>
        <v/>
      </c>
    </row>
    <row r="4003">
      <c r="A4003" s="12" t="inlineStr">
        <is>
          <t>PO-2023-4001</t>
        </is>
      </c>
      <c r="B4003" s="26" t="n">
        <v>44856</v>
      </c>
      <c r="C4003" s="12" t="inlineStr">
        <is>
          <t>VS32</t>
        </is>
      </c>
      <c r="D4003" s="12" t="inlineStr">
        <is>
          <t>HR Coils</t>
        </is>
      </c>
      <c r="E4003" s="12" t="inlineStr">
        <is>
          <t>N</t>
        </is>
      </c>
      <c r="F4003" s="12" t="n">
        <v>29.08</v>
      </c>
      <c r="G4003" s="17" t="n">
        <v>95762.28999999999</v>
      </c>
      <c r="H4003" s="26" t="n">
        <v>44864</v>
      </c>
      <c r="I4003" s="26" t="n">
        <v>44866</v>
      </c>
      <c r="J4003" s="12" t="n">
        <v>29.06</v>
      </c>
      <c r="K4003" s="17" t="n">
        <v>2784767.39</v>
      </c>
      <c r="L4003" s="12" t="n">
        <v>0</v>
      </c>
      <c r="M4003" s="12" t="n">
        <v>0</v>
      </c>
      <c r="N4003" s="27">
        <f>F4003-J4003</f>
        <v/>
      </c>
      <c r="O4003" s="16">
        <f>I4003-H4003</f>
        <v/>
      </c>
      <c r="P4003" s="14">
        <f>F4003*G4003</f>
        <v/>
      </c>
      <c r="Q4003" s="14">
        <f>J4003*G4003</f>
        <v/>
      </c>
      <c r="R4003" s="14">
        <f>K4003-Q4003</f>
        <v/>
      </c>
      <c r="S4003" s="3">
        <f>P4003*Assumptions!$B$3/100</f>
        <v/>
      </c>
      <c r="T4003" s="14">
        <f>R4003-S4003</f>
        <v/>
      </c>
      <c r="U4003" s="14">
        <f>L4003*G4003</f>
        <v/>
      </c>
    </row>
    <row r="4004">
      <c r="A4004" s="12" t="inlineStr">
        <is>
          <t>PO-2023-4002</t>
        </is>
      </c>
      <c r="B4004" s="26" t="n">
        <v>44289</v>
      </c>
      <c r="C4004" s="12" t="inlineStr">
        <is>
          <t>VS09</t>
        </is>
      </c>
      <c r="D4004" s="12" t="inlineStr">
        <is>
          <t>GI Wire</t>
        </is>
      </c>
      <c r="E4004" s="12" t="inlineStr">
        <is>
          <t>N</t>
        </is>
      </c>
      <c r="F4004" s="12" t="n">
        <v>1.05</v>
      </c>
      <c r="G4004" s="17" t="n">
        <v>98792.03</v>
      </c>
      <c r="H4004" s="26" t="n">
        <v>44296</v>
      </c>
      <c r="I4004" s="26" t="n">
        <v>44298</v>
      </c>
      <c r="J4004" s="12" t="n">
        <v>1.04</v>
      </c>
      <c r="K4004" s="17" t="n">
        <v>103731.63</v>
      </c>
      <c r="L4004" s="12" t="n">
        <v>0</v>
      </c>
      <c r="M4004" s="12" t="n">
        <v>6</v>
      </c>
      <c r="N4004" s="27">
        <f>F4004-J4004</f>
        <v/>
      </c>
      <c r="O4004" s="16">
        <f>I4004-H4004</f>
        <v/>
      </c>
      <c r="P4004" s="14">
        <f>F4004*G4004</f>
        <v/>
      </c>
      <c r="Q4004" s="14">
        <f>J4004*G4004</f>
        <v/>
      </c>
      <c r="R4004" s="14">
        <f>K4004-Q4004</f>
        <v/>
      </c>
      <c r="S4004" s="3">
        <f>P4004*Assumptions!$B$3/100</f>
        <v/>
      </c>
      <c r="T4004" s="14">
        <f>R4004-S4004</f>
        <v/>
      </c>
      <c r="U4004" s="14">
        <f>L4004*G4004</f>
        <v/>
      </c>
    </row>
    <row r="4005">
      <c r="A4005" s="12" t="inlineStr">
        <is>
          <t>PO-2023-4003</t>
        </is>
      </c>
      <c r="B4005" s="26" t="n">
        <v>44750</v>
      </c>
      <c r="C4005" s="12" t="inlineStr">
        <is>
          <t>VS10</t>
        </is>
      </c>
      <c r="D4005" s="12" t="inlineStr">
        <is>
          <t>GI Pipes</t>
        </is>
      </c>
      <c r="E4005" s="12" t="inlineStr">
        <is>
          <t>N</t>
        </is>
      </c>
      <c r="F4005" s="12" t="n">
        <v>40.27</v>
      </c>
      <c r="G4005" s="17" t="n">
        <v>117708.52</v>
      </c>
      <c r="H4005" s="26" t="n">
        <v>44758</v>
      </c>
      <c r="I4005" s="26" t="n">
        <v>44760</v>
      </c>
      <c r="J4005" s="12" t="n">
        <v>39.98</v>
      </c>
      <c r="K4005" s="17" t="n">
        <v>4740122.1</v>
      </c>
      <c r="L4005" s="12" t="n">
        <v>0</v>
      </c>
      <c r="M4005" s="12" t="n">
        <v>15</v>
      </c>
      <c r="N4005" s="27">
        <f>F4005-J4005</f>
        <v/>
      </c>
      <c r="O4005" s="16">
        <f>I4005-H4005</f>
        <v/>
      </c>
      <c r="P4005" s="14">
        <f>F4005*G4005</f>
        <v/>
      </c>
      <c r="Q4005" s="14">
        <f>J4005*G4005</f>
        <v/>
      </c>
      <c r="R4005" s="14">
        <f>K4005-Q4005</f>
        <v/>
      </c>
      <c r="S4005" s="3">
        <f>P4005*Assumptions!$B$3/100</f>
        <v/>
      </c>
      <c r="T4005" s="14">
        <f>R4005-S4005</f>
        <v/>
      </c>
      <c r="U4005" s="14">
        <f>L4005*G4005</f>
        <v/>
      </c>
    </row>
    <row r="4006">
      <c r="A4006" s="12" t="inlineStr">
        <is>
          <t>PO-2023-4004</t>
        </is>
      </c>
      <c r="B4006" s="26" t="n">
        <v>45283</v>
      </c>
      <c r="C4006" s="12" t="inlineStr">
        <is>
          <t>VS09</t>
        </is>
      </c>
      <c r="D4006" s="12" t="inlineStr">
        <is>
          <t>MS Flats</t>
        </is>
      </c>
      <c r="E4006" s="12" t="inlineStr">
        <is>
          <t>N</t>
        </is>
      </c>
      <c r="F4006" s="12" t="n">
        <v>26.51</v>
      </c>
      <c r="G4006" s="17" t="n">
        <v>90789.31</v>
      </c>
      <c r="H4006" s="26" t="n">
        <v>45286</v>
      </c>
      <c r="I4006" s="26" t="n">
        <v>45288</v>
      </c>
      <c r="J4006" s="12" t="n">
        <v>26.45</v>
      </c>
      <c r="K4006" s="17" t="n">
        <v>2406824.61</v>
      </c>
      <c r="L4006" s="12" t="n">
        <v>0</v>
      </c>
      <c r="M4006" s="12" t="n">
        <v>2</v>
      </c>
      <c r="N4006" s="27">
        <f>F4006-J4006</f>
        <v/>
      </c>
      <c r="O4006" s="16">
        <f>I4006-H4006</f>
        <v/>
      </c>
      <c r="P4006" s="14">
        <f>F4006*G4006</f>
        <v/>
      </c>
      <c r="Q4006" s="14">
        <f>J4006*G4006</f>
        <v/>
      </c>
      <c r="R4006" s="14">
        <f>K4006-Q4006</f>
        <v/>
      </c>
      <c r="S4006" s="3">
        <f>P4006*Assumptions!$B$3/100</f>
        <v/>
      </c>
      <c r="T4006" s="14">
        <f>R4006-S4006</f>
        <v/>
      </c>
      <c r="U4006" s="14">
        <f>L4006*G4006</f>
        <v/>
      </c>
    </row>
    <row r="4007">
      <c r="A4007" s="12" t="inlineStr">
        <is>
          <t>PO-2023-4005</t>
        </is>
      </c>
      <c r="B4007" s="26" t="n">
        <v>45156</v>
      </c>
      <c r="C4007" s="12" t="inlineStr">
        <is>
          <t>VS13</t>
        </is>
      </c>
      <c r="D4007" s="12" t="inlineStr">
        <is>
          <t>SS Sheets</t>
        </is>
      </c>
      <c r="E4007" s="12" t="inlineStr">
        <is>
          <t>N</t>
        </is>
      </c>
      <c r="F4007" s="12" t="n">
        <v>8.52</v>
      </c>
      <c r="G4007" s="17" t="n">
        <v>62051.83</v>
      </c>
      <c r="H4007" s="26" t="n">
        <v>45168</v>
      </c>
      <c r="I4007" s="26" t="n">
        <v>45170</v>
      </c>
      <c r="J4007" s="12" t="n">
        <v>8.44</v>
      </c>
      <c r="K4007" s="17" t="n">
        <v>528681.59</v>
      </c>
      <c r="L4007" s="12" t="n">
        <v>0</v>
      </c>
      <c r="M4007" s="12" t="n">
        <v>0</v>
      </c>
      <c r="N4007" s="27">
        <f>F4007-J4007</f>
        <v/>
      </c>
      <c r="O4007" s="16">
        <f>I4007-H4007</f>
        <v/>
      </c>
      <c r="P4007" s="14">
        <f>F4007*G4007</f>
        <v/>
      </c>
      <c r="Q4007" s="14">
        <f>J4007*G4007</f>
        <v/>
      </c>
      <c r="R4007" s="14">
        <f>K4007-Q4007</f>
        <v/>
      </c>
      <c r="S4007" s="3">
        <f>P4007*Assumptions!$B$3/100</f>
        <v/>
      </c>
      <c r="T4007" s="14">
        <f>R4007-S4007</f>
        <v/>
      </c>
      <c r="U4007" s="14">
        <f>L4007*G4007</f>
        <v/>
      </c>
    </row>
    <row r="4008">
      <c r="A4008" s="12" t="inlineStr">
        <is>
          <t>PO-2023-4006</t>
        </is>
      </c>
      <c r="B4008" s="26" t="n">
        <v>45098</v>
      </c>
      <c r="C4008" s="12" t="inlineStr">
        <is>
          <t>VS30</t>
        </is>
      </c>
      <c r="D4008" s="12" t="inlineStr">
        <is>
          <t>Structural Steel</t>
        </is>
      </c>
      <c r="E4008" s="12" t="inlineStr">
        <is>
          <t>Y</t>
        </is>
      </c>
      <c r="F4008" s="12" t="n">
        <v>15</v>
      </c>
      <c r="G4008" s="17" t="n">
        <v>77758.98</v>
      </c>
      <c r="H4008" s="26" t="n">
        <v>45106</v>
      </c>
      <c r="I4008" s="26" t="n">
        <v>45106</v>
      </c>
      <c r="J4008" s="12" t="n">
        <v>14.93</v>
      </c>
      <c r="K4008" s="17" t="n">
        <v>1166384.7</v>
      </c>
      <c r="L4008" s="12" t="n">
        <v>0</v>
      </c>
      <c r="M4008" s="12" t="n">
        <v>0</v>
      </c>
      <c r="N4008" s="27">
        <f>F4008-J4008</f>
        <v/>
      </c>
      <c r="O4008" s="16">
        <f>I4008-H4008</f>
        <v/>
      </c>
      <c r="P4008" s="14">
        <f>F4008*G4008</f>
        <v/>
      </c>
      <c r="Q4008" s="14">
        <f>J4008*G4008</f>
        <v/>
      </c>
      <c r="R4008" s="14">
        <f>K4008-Q4008</f>
        <v/>
      </c>
      <c r="S4008" s="3">
        <f>P4008*Assumptions!$B$3/100</f>
        <v/>
      </c>
      <c r="T4008" s="14">
        <f>R4008-S4008</f>
        <v/>
      </c>
      <c r="U4008" s="14">
        <f>L4008*G4008</f>
        <v/>
      </c>
    </row>
    <row r="4009">
      <c r="A4009" s="12" t="inlineStr">
        <is>
          <t>PO-2023-4007</t>
        </is>
      </c>
      <c r="B4009" s="26" t="n">
        <v>44945</v>
      </c>
      <c r="C4009" s="12" t="inlineStr">
        <is>
          <t>VS08</t>
        </is>
      </c>
      <c r="D4009" s="12" t="inlineStr">
        <is>
          <t>SS Sheets</t>
        </is>
      </c>
      <c r="E4009" s="12" t="inlineStr">
        <is>
          <t>Y</t>
        </is>
      </c>
      <c r="F4009" s="12" t="n">
        <v>4.27</v>
      </c>
      <c r="G4009" s="17" t="n">
        <v>112451.55</v>
      </c>
      <c r="H4009" s="26" t="n">
        <v>44959</v>
      </c>
      <c r="I4009" s="26" t="n">
        <v>44960</v>
      </c>
      <c r="J4009" s="12" t="n">
        <v>4.26</v>
      </c>
      <c r="K4009" s="17" t="n">
        <v>480168.12</v>
      </c>
      <c r="L4009" s="12" t="n">
        <v>0</v>
      </c>
      <c r="M4009" s="12" t="n">
        <v>8</v>
      </c>
      <c r="N4009" s="27">
        <f>F4009-J4009</f>
        <v/>
      </c>
      <c r="O4009" s="16">
        <f>I4009-H4009</f>
        <v/>
      </c>
      <c r="P4009" s="14">
        <f>F4009*G4009</f>
        <v/>
      </c>
      <c r="Q4009" s="14">
        <f>J4009*G4009</f>
        <v/>
      </c>
      <c r="R4009" s="14">
        <f>K4009-Q4009</f>
        <v/>
      </c>
      <c r="S4009" s="3">
        <f>P4009*Assumptions!$B$3/100</f>
        <v/>
      </c>
      <c r="T4009" s="14">
        <f>R4009-S4009</f>
        <v/>
      </c>
      <c r="U4009" s="14">
        <f>L4009*G4009</f>
        <v/>
      </c>
    </row>
    <row r="4010">
      <c r="A4010" s="12" t="inlineStr">
        <is>
          <t>PO-2023-4008</t>
        </is>
      </c>
      <c r="B4010" s="26" t="n">
        <v>44744</v>
      </c>
      <c r="C4010" s="12" t="inlineStr">
        <is>
          <t>VS34</t>
        </is>
      </c>
      <c r="D4010" s="12" t="inlineStr">
        <is>
          <t>MS Sheets</t>
        </is>
      </c>
      <c r="E4010" s="12" t="inlineStr">
        <is>
          <t>N</t>
        </is>
      </c>
      <c r="F4010" s="12" t="n">
        <v>10.87</v>
      </c>
      <c r="G4010" s="17" t="n">
        <v>82564.52</v>
      </c>
      <c r="H4010" s="26" t="n">
        <v>44759</v>
      </c>
      <c r="I4010" s="26" t="n">
        <v>44760</v>
      </c>
      <c r="J4010" s="12" t="n">
        <v>10.81</v>
      </c>
      <c r="K4010" s="17" t="n">
        <v>897476.33</v>
      </c>
      <c r="L4010" s="12" t="n">
        <v>0</v>
      </c>
      <c r="M4010" s="12" t="n">
        <v>0</v>
      </c>
      <c r="N4010" s="27">
        <f>F4010-J4010</f>
        <v/>
      </c>
      <c r="O4010" s="16">
        <f>I4010-H4010</f>
        <v/>
      </c>
      <c r="P4010" s="14">
        <f>F4010*G4010</f>
        <v/>
      </c>
      <c r="Q4010" s="14">
        <f>J4010*G4010</f>
        <v/>
      </c>
      <c r="R4010" s="14">
        <f>K4010-Q4010</f>
        <v/>
      </c>
      <c r="S4010" s="3">
        <f>P4010*Assumptions!$B$3/100</f>
        <v/>
      </c>
      <c r="T4010" s="14">
        <f>R4010-S4010</f>
        <v/>
      </c>
      <c r="U4010" s="14">
        <f>L4010*G4010</f>
        <v/>
      </c>
    </row>
    <row r="4011">
      <c r="A4011" s="12" t="inlineStr">
        <is>
          <t>PO-2023-4009</t>
        </is>
      </c>
      <c r="B4011" s="26" t="n">
        <v>44461</v>
      </c>
      <c r="C4011" s="12" t="inlineStr">
        <is>
          <t>VS21</t>
        </is>
      </c>
      <c r="D4011" s="12" t="inlineStr">
        <is>
          <t>Hex Bars</t>
        </is>
      </c>
      <c r="E4011" s="12" t="inlineStr">
        <is>
          <t>N</t>
        </is>
      </c>
      <c r="F4011" s="12" t="n">
        <v>43.82</v>
      </c>
      <c r="G4011" s="17" t="n">
        <v>97224.85000000001</v>
      </c>
      <c r="H4011" s="26" t="n">
        <v>44476</v>
      </c>
      <c r="I4011" s="26" t="n">
        <v>44479</v>
      </c>
      <c r="J4011" s="12" t="n">
        <v>43.46</v>
      </c>
      <c r="K4011" s="17" t="n">
        <v>4260392.93</v>
      </c>
      <c r="L4011" s="12" t="n">
        <v>0</v>
      </c>
      <c r="M4011" s="12" t="n">
        <v>3</v>
      </c>
      <c r="N4011" s="27">
        <f>F4011-J4011</f>
        <v/>
      </c>
      <c r="O4011" s="16">
        <f>I4011-H4011</f>
        <v/>
      </c>
      <c r="P4011" s="14">
        <f>F4011*G4011</f>
        <v/>
      </c>
      <c r="Q4011" s="14">
        <f>J4011*G4011</f>
        <v/>
      </c>
      <c r="R4011" s="14">
        <f>K4011-Q4011</f>
        <v/>
      </c>
      <c r="S4011" s="3">
        <f>P4011*Assumptions!$B$3/100</f>
        <v/>
      </c>
      <c r="T4011" s="14">
        <f>R4011-S4011</f>
        <v/>
      </c>
      <c r="U4011" s="14">
        <f>L4011*G4011</f>
        <v/>
      </c>
    </row>
    <row r="4012">
      <c r="A4012" s="12" t="inlineStr">
        <is>
          <t>PO-2023-4010</t>
        </is>
      </c>
      <c r="B4012" s="26" t="n">
        <v>44763</v>
      </c>
      <c r="C4012" s="12" t="inlineStr">
        <is>
          <t>VS07</t>
        </is>
      </c>
      <c r="D4012" s="12" t="inlineStr">
        <is>
          <t>GI Wire</t>
        </is>
      </c>
      <c r="E4012" s="12" t="inlineStr">
        <is>
          <t>N</t>
        </is>
      </c>
      <c r="F4012" s="12" t="n">
        <v>8.800000000000001</v>
      </c>
      <c r="G4012" s="17" t="n">
        <v>93502.71000000001</v>
      </c>
      <c r="H4012" s="26" t="n">
        <v>44769</v>
      </c>
      <c r="I4012" s="26" t="n">
        <v>44769</v>
      </c>
      <c r="J4012" s="12" t="n">
        <v>8.77</v>
      </c>
      <c r="K4012" s="17" t="n">
        <v>822823.85</v>
      </c>
      <c r="L4012" s="12" t="n">
        <v>0</v>
      </c>
      <c r="M4012" s="12" t="n">
        <v>8</v>
      </c>
      <c r="N4012" s="27">
        <f>F4012-J4012</f>
        <v/>
      </c>
      <c r="O4012" s="16">
        <f>I4012-H4012</f>
        <v/>
      </c>
      <c r="P4012" s="14">
        <f>F4012*G4012</f>
        <v/>
      </c>
      <c r="Q4012" s="14">
        <f>J4012*G4012</f>
        <v/>
      </c>
      <c r="R4012" s="14">
        <f>K4012-Q4012</f>
        <v/>
      </c>
      <c r="S4012" s="3">
        <f>P4012*Assumptions!$B$3/100</f>
        <v/>
      </c>
      <c r="T4012" s="14">
        <f>R4012-S4012</f>
        <v/>
      </c>
      <c r="U4012" s="14">
        <f>L4012*G4012</f>
        <v/>
      </c>
    </row>
    <row r="4013">
      <c r="A4013" s="12" t="inlineStr">
        <is>
          <t>PO-2023-4011</t>
        </is>
      </c>
      <c r="B4013" s="26" t="n">
        <v>44541</v>
      </c>
      <c r="C4013" s="12" t="inlineStr">
        <is>
          <t>VS28</t>
        </is>
      </c>
      <c r="D4013" s="12" t="inlineStr">
        <is>
          <t>MS Pipes</t>
        </is>
      </c>
      <c r="E4013" s="12" t="inlineStr">
        <is>
          <t>Y</t>
        </is>
      </c>
      <c r="F4013" s="12" t="n">
        <v>37.1</v>
      </c>
      <c r="G4013" s="17" t="n">
        <v>72044.59</v>
      </c>
      <c r="H4013" s="26" t="n">
        <v>44552</v>
      </c>
      <c r="I4013" s="26" t="n">
        <v>44553</v>
      </c>
      <c r="J4013" s="12" t="n">
        <v>36.91</v>
      </c>
      <c r="K4013" s="17" t="n">
        <v>2672854.29</v>
      </c>
      <c r="L4013" s="12" t="n">
        <v>0</v>
      </c>
      <c r="M4013" s="12" t="n">
        <v>0</v>
      </c>
      <c r="N4013" s="27">
        <f>F4013-J4013</f>
        <v/>
      </c>
      <c r="O4013" s="16">
        <f>I4013-H4013</f>
        <v/>
      </c>
      <c r="P4013" s="14">
        <f>F4013*G4013</f>
        <v/>
      </c>
      <c r="Q4013" s="14">
        <f>J4013*G4013</f>
        <v/>
      </c>
      <c r="R4013" s="14">
        <f>K4013-Q4013</f>
        <v/>
      </c>
      <c r="S4013" s="3">
        <f>P4013*Assumptions!$B$3/100</f>
        <v/>
      </c>
      <c r="T4013" s="14">
        <f>R4013-S4013</f>
        <v/>
      </c>
      <c r="U4013" s="14">
        <f>L4013*G4013</f>
        <v/>
      </c>
    </row>
    <row r="4014">
      <c r="A4014" s="12" t="inlineStr">
        <is>
          <t>PO-2023-4012</t>
        </is>
      </c>
      <c r="B4014" s="26" t="n">
        <v>44968</v>
      </c>
      <c r="C4014" s="12" t="inlineStr">
        <is>
          <t>VS18</t>
        </is>
      </c>
      <c r="D4014" s="12" t="inlineStr">
        <is>
          <t>MS Sheets</t>
        </is>
      </c>
      <c r="E4014" s="12" t="inlineStr">
        <is>
          <t>N</t>
        </is>
      </c>
      <c r="F4014" s="12" t="n">
        <v>23.5</v>
      </c>
      <c r="G4014" s="17" t="n">
        <v>107898.27</v>
      </c>
      <c r="H4014" s="26" t="n">
        <v>44975</v>
      </c>
      <c r="I4014" s="26" t="n">
        <v>44976</v>
      </c>
      <c r="J4014" s="12" t="n">
        <v>23.3</v>
      </c>
      <c r="K4014" s="17" t="n">
        <v>2535609.35</v>
      </c>
      <c r="L4014" s="12" t="n">
        <v>0</v>
      </c>
      <c r="M4014" s="12" t="n">
        <v>0</v>
      </c>
      <c r="N4014" s="27">
        <f>F4014-J4014</f>
        <v/>
      </c>
      <c r="O4014" s="16">
        <f>I4014-H4014</f>
        <v/>
      </c>
      <c r="P4014" s="14">
        <f>F4014*G4014</f>
        <v/>
      </c>
      <c r="Q4014" s="14">
        <f>J4014*G4014</f>
        <v/>
      </c>
      <c r="R4014" s="14">
        <f>K4014-Q4014</f>
        <v/>
      </c>
      <c r="S4014" s="3">
        <f>P4014*Assumptions!$B$3/100</f>
        <v/>
      </c>
      <c r="T4014" s="14">
        <f>R4014-S4014</f>
        <v/>
      </c>
      <c r="U4014" s="14">
        <f>L4014*G4014</f>
        <v/>
      </c>
    </row>
    <row r="4015">
      <c r="A4015" s="12" t="inlineStr">
        <is>
          <t>PO-2023-4013</t>
        </is>
      </c>
      <c r="B4015" s="26" t="n">
        <v>45254</v>
      </c>
      <c r="C4015" s="12" t="inlineStr">
        <is>
          <t>VS14</t>
        </is>
      </c>
      <c r="D4015" s="12" t="inlineStr">
        <is>
          <t>ERW Pipes</t>
        </is>
      </c>
      <c r="E4015" s="12" t="inlineStr">
        <is>
          <t>N</t>
        </is>
      </c>
      <c r="F4015" s="12" t="n">
        <v>42.62</v>
      </c>
      <c r="G4015" s="17" t="n">
        <v>78258.94</v>
      </c>
      <c r="H4015" s="26" t="n">
        <v>45268</v>
      </c>
      <c r="I4015" s="26" t="n">
        <v>45269</v>
      </c>
      <c r="J4015" s="12" t="n">
        <v>42.39</v>
      </c>
      <c r="K4015" s="17" t="n">
        <v>3335396.02</v>
      </c>
      <c r="L4015" s="12" t="n">
        <v>0</v>
      </c>
      <c r="M4015" s="12" t="n">
        <v>25</v>
      </c>
      <c r="N4015" s="27">
        <f>F4015-J4015</f>
        <v/>
      </c>
      <c r="O4015" s="16">
        <f>I4015-H4015</f>
        <v/>
      </c>
      <c r="P4015" s="14">
        <f>F4015*G4015</f>
        <v/>
      </c>
      <c r="Q4015" s="14">
        <f>J4015*G4015</f>
        <v/>
      </c>
      <c r="R4015" s="14">
        <f>K4015-Q4015</f>
        <v/>
      </c>
      <c r="S4015" s="3">
        <f>P4015*Assumptions!$B$3/100</f>
        <v/>
      </c>
      <c r="T4015" s="14">
        <f>R4015-S4015</f>
        <v/>
      </c>
      <c r="U4015" s="14">
        <f>L4015*G4015</f>
        <v/>
      </c>
    </row>
    <row r="4016">
      <c r="A4016" s="12" t="inlineStr">
        <is>
          <t>PO-2023-4014</t>
        </is>
      </c>
      <c r="B4016" s="26" t="n">
        <v>44202</v>
      </c>
      <c r="C4016" s="12" t="inlineStr">
        <is>
          <t>VS25</t>
        </is>
      </c>
      <c r="D4016" s="12" t="inlineStr">
        <is>
          <t>MS Rods</t>
        </is>
      </c>
      <c r="E4016" s="12" t="inlineStr">
        <is>
          <t>N</t>
        </is>
      </c>
      <c r="F4016" s="12" t="n">
        <v>9.91</v>
      </c>
      <c r="G4016" s="17" t="n">
        <v>89276.66</v>
      </c>
      <c r="H4016" s="26" t="n">
        <v>44215</v>
      </c>
      <c r="I4016" s="26" t="n">
        <v>44216</v>
      </c>
      <c r="J4016" s="12" t="n">
        <v>9.9</v>
      </c>
      <c r="K4016" s="17" t="n">
        <v>884731.7</v>
      </c>
      <c r="L4016" s="12" t="n">
        <v>0</v>
      </c>
      <c r="M4016" s="12" t="n">
        <v>10</v>
      </c>
      <c r="N4016" s="27">
        <f>F4016-J4016</f>
        <v/>
      </c>
      <c r="O4016" s="16">
        <f>I4016-H4016</f>
        <v/>
      </c>
      <c r="P4016" s="14">
        <f>F4016*G4016</f>
        <v/>
      </c>
      <c r="Q4016" s="14">
        <f>J4016*G4016</f>
        <v/>
      </c>
      <c r="R4016" s="14">
        <f>K4016-Q4016</f>
        <v/>
      </c>
      <c r="S4016" s="3">
        <f>P4016*Assumptions!$B$3/100</f>
        <v/>
      </c>
      <c r="T4016" s="14">
        <f>R4016-S4016</f>
        <v/>
      </c>
      <c r="U4016" s="14">
        <f>L4016*G4016</f>
        <v/>
      </c>
    </row>
    <row r="4017">
      <c r="A4017" s="12" t="inlineStr">
        <is>
          <t>PO-2023-4015</t>
        </is>
      </c>
      <c r="B4017" s="26" t="n">
        <v>44374</v>
      </c>
      <c r="C4017" s="12" t="inlineStr">
        <is>
          <t>VS24</t>
        </is>
      </c>
      <c r="D4017" s="12" t="inlineStr">
        <is>
          <t>SS Pipes</t>
        </is>
      </c>
      <c r="E4017" s="12" t="inlineStr">
        <is>
          <t>N</t>
        </is>
      </c>
      <c r="F4017" s="12" t="n">
        <v>49.1</v>
      </c>
      <c r="G4017" s="17" t="n">
        <v>84722.33</v>
      </c>
      <c r="H4017" s="26" t="n">
        <v>44389</v>
      </c>
      <c r="I4017" s="26" t="n">
        <v>44392</v>
      </c>
      <c r="J4017" s="12" t="n">
        <v>48.83</v>
      </c>
      <c r="K4017" s="17" t="n">
        <v>4159866.4</v>
      </c>
      <c r="L4017" s="12" t="n">
        <v>0</v>
      </c>
      <c r="M4017" s="12" t="n">
        <v>0</v>
      </c>
      <c r="N4017" s="27">
        <f>F4017-J4017</f>
        <v/>
      </c>
      <c r="O4017" s="16">
        <f>I4017-H4017</f>
        <v/>
      </c>
      <c r="P4017" s="14">
        <f>F4017*G4017</f>
        <v/>
      </c>
      <c r="Q4017" s="14">
        <f>J4017*G4017</f>
        <v/>
      </c>
      <c r="R4017" s="14">
        <f>K4017-Q4017</f>
        <v/>
      </c>
      <c r="S4017" s="3">
        <f>P4017*Assumptions!$B$3/100</f>
        <v/>
      </c>
      <c r="T4017" s="14">
        <f>R4017-S4017</f>
        <v/>
      </c>
      <c r="U4017" s="14">
        <f>L4017*G4017</f>
        <v/>
      </c>
    </row>
    <row r="4018">
      <c r="A4018" s="12" t="inlineStr">
        <is>
          <t>PO-2023-4016</t>
        </is>
      </c>
      <c r="B4018" s="26" t="n">
        <v>44381</v>
      </c>
      <c r="C4018" s="12" t="inlineStr">
        <is>
          <t>VS30</t>
        </is>
      </c>
      <c r="D4018" s="12" t="inlineStr">
        <is>
          <t>Spring Steel</t>
        </is>
      </c>
      <c r="E4018" s="12" t="inlineStr">
        <is>
          <t>N</t>
        </is>
      </c>
      <c r="F4018" s="12" t="n">
        <v>25.53</v>
      </c>
      <c r="G4018" s="17" t="n">
        <v>67117.58</v>
      </c>
      <c r="H4018" s="26" t="n">
        <v>44386</v>
      </c>
      <c r="I4018" s="26" t="n">
        <v>44389</v>
      </c>
      <c r="J4018" s="12" t="n">
        <v>25.39</v>
      </c>
      <c r="K4018" s="17" t="n">
        <v>1713511.82</v>
      </c>
      <c r="L4018" s="12" t="n">
        <v>0</v>
      </c>
      <c r="M4018" s="12" t="n">
        <v>0</v>
      </c>
      <c r="N4018" s="27">
        <f>F4018-J4018</f>
        <v/>
      </c>
      <c r="O4018" s="16">
        <f>I4018-H4018</f>
        <v/>
      </c>
      <c r="P4018" s="14">
        <f>F4018*G4018</f>
        <v/>
      </c>
      <c r="Q4018" s="14">
        <f>J4018*G4018</f>
        <v/>
      </c>
      <c r="R4018" s="14">
        <f>K4018-Q4018</f>
        <v/>
      </c>
      <c r="S4018" s="3">
        <f>P4018*Assumptions!$B$3/100</f>
        <v/>
      </c>
      <c r="T4018" s="14">
        <f>R4018-S4018</f>
        <v/>
      </c>
      <c r="U4018" s="14">
        <f>L4018*G4018</f>
        <v/>
      </c>
    </row>
    <row r="4019">
      <c r="A4019" s="12" t="inlineStr">
        <is>
          <t>PO-2023-4017</t>
        </is>
      </c>
      <c r="B4019" s="26" t="n">
        <v>44978</v>
      </c>
      <c r="C4019" s="12" t="inlineStr">
        <is>
          <t>VS24</t>
        </is>
      </c>
      <c r="D4019" s="12" t="inlineStr">
        <is>
          <t>MS Flats</t>
        </is>
      </c>
      <c r="E4019" s="12" t="inlineStr">
        <is>
          <t>N</t>
        </is>
      </c>
      <c r="F4019" s="12" t="n">
        <v>28.59</v>
      </c>
      <c r="G4019" s="17" t="n">
        <v>76073.96000000001</v>
      </c>
      <c r="H4019" s="26" t="n">
        <v>44989</v>
      </c>
      <c r="I4019" s="26" t="n">
        <v>44991</v>
      </c>
      <c r="J4019" s="12" t="n">
        <v>28.56</v>
      </c>
      <c r="K4019" s="17" t="n">
        <v>2174954.52</v>
      </c>
      <c r="L4019" s="12" t="n">
        <v>0</v>
      </c>
      <c r="M4019" s="12" t="n">
        <v>0</v>
      </c>
      <c r="N4019" s="27">
        <f>F4019-J4019</f>
        <v/>
      </c>
      <c r="O4019" s="16">
        <f>I4019-H4019</f>
        <v/>
      </c>
      <c r="P4019" s="14">
        <f>F4019*G4019</f>
        <v/>
      </c>
      <c r="Q4019" s="14">
        <f>J4019*G4019</f>
        <v/>
      </c>
      <c r="R4019" s="14">
        <f>K4019-Q4019</f>
        <v/>
      </c>
      <c r="S4019" s="3">
        <f>P4019*Assumptions!$B$3/100</f>
        <v/>
      </c>
      <c r="T4019" s="14">
        <f>R4019-S4019</f>
        <v/>
      </c>
      <c r="U4019" s="14">
        <f>L4019*G4019</f>
        <v/>
      </c>
    </row>
    <row r="4020">
      <c r="A4020" s="12" t="inlineStr">
        <is>
          <t>PO-2023-4018</t>
        </is>
      </c>
      <c r="B4020" s="26" t="n">
        <v>44244</v>
      </c>
      <c r="C4020" s="12" t="inlineStr">
        <is>
          <t>VS27</t>
        </is>
      </c>
      <c r="D4020" s="12" t="inlineStr">
        <is>
          <t>Square/Rect Tubes</t>
        </is>
      </c>
      <c r="E4020" s="12" t="inlineStr">
        <is>
          <t>N</t>
        </is>
      </c>
      <c r="F4020" s="12" t="n">
        <v>12.54</v>
      </c>
      <c r="G4020" s="17" t="n">
        <v>79512.62</v>
      </c>
      <c r="H4020" s="26" t="n">
        <v>44249</v>
      </c>
      <c r="I4020" s="26" t="n">
        <v>44249</v>
      </c>
      <c r="J4020" s="12" t="n">
        <v>12.49</v>
      </c>
      <c r="K4020" s="17" t="n">
        <v>997088.25</v>
      </c>
      <c r="L4020" s="12" t="n">
        <v>0</v>
      </c>
      <c r="M4020" s="12" t="n">
        <v>22</v>
      </c>
      <c r="N4020" s="27">
        <f>F4020-J4020</f>
        <v/>
      </c>
      <c r="O4020" s="16">
        <f>I4020-H4020</f>
        <v/>
      </c>
      <c r="P4020" s="14">
        <f>F4020*G4020</f>
        <v/>
      </c>
      <c r="Q4020" s="14">
        <f>J4020*G4020</f>
        <v/>
      </c>
      <c r="R4020" s="14">
        <f>K4020-Q4020</f>
        <v/>
      </c>
      <c r="S4020" s="3">
        <f>P4020*Assumptions!$B$3/100</f>
        <v/>
      </c>
      <c r="T4020" s="14">
        <f>R4020-S4020</f>
        <v/>
      </c>
      <c r="U4020" s="14">
        <f>L4020*G4020</f>
        <v/>
      </c>
    </row>
    <row r="4021">
      <c r="A4021" s="12" t="inlineStr">
        <is>
          <t>PO-2023-4019</t>
        </is>
      </c>
      <c r="B4021" s="26" t="n">
        <v>44647</v>
      </c>
      <c r="C4021" s="12" t="inlineStr">
        <is>
          <t>VS31</t>
        </is>
      </c>
      <c r="D4021" s="12" t="inlineStr">
        <is>
          <t>ERW Pipes</t>
        </is>
      </c>
      <c r="E4021" s="12" t="inlineStr">
        <is>
          <t>Y</t>
        </is>
      </c>
      <c r="F4021" s="12" t="n">
        <v>23.07</v>
      </c>
      <c r="G4021" s="17" t="n">
        <v>82694.02</v>
      </c>
      <c r="H4021" s="26" t="n">
        <v>44659</v>
      </c>
      <c r="I4021" s="26" t="n">
        <v>44662</v>
      </c>
      <c r="J4021" s="12" t="n">
        <v>22.96</v>
      </c>
      <c r="K4021" s="17" t="n">
        <v>1907751.04</v>
      </c>
      <c r="L4021" s="12" t="n">
        <v>0</v>
      </c>
      <c r="M4021" s="12" t="n">
        <v>16</v>
      </c>
      <c r="N4021" s="27">
        <f>F4021-J4021</f>
        <v/>
      </c>
      <c r="O4021" s="16">
        <f>I4021-H4021</f>
        <v/>
      </c>
      <c r="P4021" s="14">
        <f>F4021*G4021</f>
        <v/>
      </c>
      <c r="Q4021" s="14">
        <f>J4021*G4021</f>
        <v/>
      </c>
      <c r="R4021" s="14">
        <f>K4021-Q4021</f>
        <v/>
      </c>
      <c r="S4021" s="3">
        <f>P4021*Assumptions!$B$3/100</f>
        <v/>
      </c>
      <c r="T4021" s="14">
        <f>R4021-S4021</f>
        <v/>
      </c>
      <c r="U4021" s="14">
        <f>L4021*G4021</f>
        <v/>
      </c>
    </row>
    <row r="4022">
      <c r="A4022" s="12" t="inlineStr">
        <is>
          <t>PO-2023-4020</t>
        </is>
      </c>
      <c r="B4022" s="26" t="n">
        <v>44252</v>
      </c>
      <c r="C4022" s="12" t="inlineStr">
        <is>
          <t>VS10</t>
        </is>
      </c>
      <c r="D4022" s="12" t="inlineStr">
        <is>
          <t>MS Sheets</t>
        </is>
      </c>
      <c r="E4022" s="12" t="inlineStr">
        <is>
          <t>Y</t>
        </is>
      </c>
      <c r="F4022" s="12" t="n">
        <v>12.17</v>
      </c>
      <c r="G4022" s="17" t="n">
        <v>95948.22</v>
      </c>
      <c r="H4022" s="26" t="n">
        <v>44264</v>
      </c>
      <c r="I4022" s="26" t="n">
        <v>44267</v>
      </c>
      <c r="J4022" s="12" t="n">
        <v>12.14</v>
      </c>
      <c r="K4022" s="17" t="n">
        <v>1167689.84</v>
      </c>
      <c r="L4022" s="12" t="n">
        <v>0</v>
      </c>
      <c r="M4022" s="12" t="n">
        <v>3</v>
      </c>
      <c r="N4022" s="27">
        <f>F4022-J4022</f>
        <v/>
      </c>
      <c r="O4022" s="16">
        <f>I4022-H4022</f>
        <v/>
      </c>
      <c r="P4022" s="14">
        <f>F4022*G4022</f>
        <v/>
      </c>
      <c r="Q4022" s="14">
        <f>J4022*G4022</f>
        <v/>
      </c>
      <c r="R4022" s="14">
        <f>K4022-Q4022</f>
        <v/>
      </c>
      <c r="S4022" s="3">
        <f>P4022*Assumptions!$B$3/100</f>
        <v/>
      </c>
      <c r="T4022" s="14">
        <f>R4022-S4022</f>
        <v/>
      </c>
      <c r="U4022" s="14">
        <f>L4022*G4022</f>
        <v/>
      </c>
    </row>
    <row r="4023">
      <c r="A4023" s="12" t="inlineStr">
        <is>
          <t>PO-2023-4021</t>
        </is>
      </c>
      <c r="B4023" s="26" t="n">
        <v>44312</v>
      </c>
      <c r="C4023" s="12" t="inlineStr">
        <is>
          <t>VS03</t>
        </is>
      </c>
      <c r="D4023" s="12" t="inlineStr">
        <is>
          <t>GI Wire</t>
        </is>
      </c>
      <c r="E4023" s="12" t="inlineStr">
        <is>
          <t>N</t>
        </is>
      </c>
      <c r="F4023" s="12" t="n">
        <v>16.5</v>
      </c>
      <c r="G4023" s="17" t="n">
        <v>68073.14999999999</v>
      </c>
      <c r="H4023" s="26" t="n">
        <v>44327</v>
      </c>
      <c r="I4023" s="26" t="n">
        <v>44333</v>
      </c>
      <c r="J4023" s="12" t="n">
        <v>15.82</v>
      </c>
      <c r="K4023" s="17" t="n">
        <v>1123206.97</v>
      </c>
      <c r="L4023" s="12" t="n">
        <v>0.48</v>
      </c>
      <c r="M4023" s="12" t="n">
        <v>0</v>
      </c>
      <c r="N4023" s="27">
        <f>F4023-J4023</f>
        <v/>
      </c>
      <c r="O4023" s="16">
        <f>I4023-H4023</f>
        <v/>
      </c>
      <c r="P4023" s="14">
        <f>F4023*G4023</f>
        <v/>
      </c>
      <c r="Q4023" s="14">
        <f>J4023*G4023</f>
        <v/>
      </c>
      <c r="R4023" s="14">
        <f>K4023-Q4023</f>
        <v/>
      </c>
      <c r="S4023" s="3">
        <f>P4023*Assumptions!$B$3/100</f>
        <v/>
      </c>
      <c r="T4023" s="14">
        <f>R4023-S4023</f>
        <v/>
      </c>
      <c r="U4023" s="14">
        <f>L4023*G4023</f>
        <v/>
      </c>
    </row>
    <row r="4024">
      <c r="A4024" s="12" t="inlineStr">
        <is>
          <t>PO-2023-4022</t>
        </is>
      </c>
      <c r="B4024" s="26" t="n">
        <v>45114</v>
      </c>
      <c r="C4024" s="12" t="inlineStr">
        <is>
          <t>VS04</t>
        </is>
      </c>
      <c r="D4024" s="12" t="inlineStr">
        <is>
          <t>Spring Steel</t>
        </is>
      </c>
      <c r="E4024" s="12" t="inlineStr">
        <is>
          <t>Y</t>
        </is>
      </c>
      <c r="F4024" s="12" t="n">
        <v>14.75</v>
      </c>
      <c r="G4024" s="17" t="n">
        <v>79951.16</v>
      </c>
      <c r="H4024" s="26" t="n">
        <v>45124</v>
      </c>
      <c r="I4024" s="26" t="n">
        <v>45124</v>
      </c>
      <c r="J4024" s="12" t="n">
        <v>14.63</v>
      </c>
      <c r="K4024" s="17" t="n">
        <v>1179279.61</v>
      </c>
      <c r="L4024" s="12" t="n">
        <v>0</v>
      </c>
      <c r="M4024" s="12" t="n">
        <v>13</v>
      </c>
      <c r="N4024" s="27">
        <f>F4024-J4024</f>
        <v/>
      </c>
      <c r="O4024" s="16">
        <f>I4024-H4024</f>
        <v/>
      </c>
      <c r="P4024" s="14">
        <f>F4024*G4024</f>
        <v/>
      </c>
      <c r="Q4024" s="14">
        <f>J4024*G4024</f>
        <v/>
      </c>
      <c r="R4024" s="14">
        <f>K4024-Q4024</f>
        <v/>
      </c>
      <c r="S4024" s="3">
        <f>P4024*Assumptions!$B$3/100</f>
        <v/>
      </c>
      <c r="T4024" s="14">
        <f>R4024-S4024</f>
        <v/>
      </c>
      <c r="U4024" s="14">
        <f>L4024*G4024</f>
        <v/>
      </c>
    </row>
    <row r="4025">
      <c r="A4025" s="12" t="inlineStr">
        <is>
          <t>PO-2023-4023</t>
        </is>
      </c>
      <c r="B4025" s="26" t="n">
        <v>44858</v>
      </c>
      <c r="C4025" s="12" t="inlineStr">
        <is>
          <t>VS17</t>
        </is>
      </c>
      <c r="D4025" s="12" t="inlineStr">
        <is>
          <t>SS Pipes</t>
        </is>
      </c>
      <c r="E4025" s="12" t="inlineStr">
        <is>
          <t>N</t>
        </is>
      </c>
      <c r="F4025" s="12" t="n">
        <v>31.73</v>
      </c>
      <c r="G4025" s="17" t="n">
        <v>78387.75</v>
      </c>
      <c r="H4025" s="26" t="n">
        <v>44868</v>
      </c>
      <c r="I4025" s="26" t="n">
        <v>44870</v>
      </c>
      <c r="J4025" s="12" t="n">
        <v>31.61</v>
      </c>
      <c r="K4025" s="17" t="n">
        <v>2487243.31</v>
      </c>
      <c r="L4025" s="12" t="n">
        <v>0</v>
      </c>
      <c r="M4025" s="12" t="n">
        <v>0</v>
      </c>
      <c r="N4025" s="27">
        <f>F4025-J4025</f>
        <v/>
      </c>
      <c r="O4025" s="16">
        <f>I4025-H4025</f>
        <v/>
      </c>
      <c r="P4025" s="14">
        <f>F4025*G4025</f>
        <v/>
      </c>
      <c r="Q4025" s="14">
        <f>J4025*G4025</f>
        <v/>
      </c>
      <c r="R4025" s="14">
        <f>K4025-Q4025</f>
        <v/>
      </c>
      <c r="S4025" s="3">
        <f>P4025*Assumptions!$B$3/100</f>
        <v/>
      </c>
      <c r="T4025" s="14">
        <f>R4025-S4025</f>
        <v/>
      </c>
      <c r="U4025" s="14">
        <f>L4025*G4025</f>
        <v/>
      </c>
    </row>
    <row r="4026">
      <c r="A4026" s="12" t="inlineStr">
        <is>
          <t>PO-2023-4024</t>
        </is>
      </c>
      <c r="B4026" s="26" t="n">
        <v>44839</v>
      </c>
      <c r="C4026" s="12" t="inlineStr">
        <is>
          <t>VS21</t>
        </is>
      </c>
      <c r="D4026" s="12" t="inlineStr">
        <is>
          <t>GI Sheets</t>
        </is>
      </c>
      <c r="E4026" s="12" t="inlineStr">
        <is>
          <t>Y</t>
        </is>
      </c>
      <c r="F4026" s="12" t="n">
        <v>30.07</v>
      </c>
      <c r="G4026" s="17" t="n">
        <v>50804.54</v>
      </c>
      <c r="H4026" s="26" t="n">
        <v>44850</v>
      </c>
      <c r="I4026" s="26" t="n">
        <v>44851</v>
      </c>
      <c r="J4026" s="12" t="n">
        <v>30.07</v>
      </c>
      <c r="K4026" s="17" t="n">
        <v>1527692.52</v>
      </c>
      <c r="L4026" s="12" t="n">
        <v>0</v>
      </c>
      <c r="M4026" s="12" t="n">
        <v>7</v>
      </c>
      <c r="N4026" s="27">
        <f>F4026-J4026</f>
        <v/>
      </c>
      <c r="O4026" s="16">
        <f>I4026-H4026</f>
        <v/>
      </c>
      <c r="P4026" s="14">
        <f>F4026*G4026</f>
        <v/>
      </c>
      <c r="Q4026" s="14">
        <f>J4026*G4026</f>
        <v/>
      </c>
      <c r="R4026" s="14">
        <f>K4026-Q4026</f>
        <v/>
      </c>
      <c r="S4026" s="3">
        <f>P4026*Assumptions!$B$3/100</f>
        <v/>
      </c>
      <c r="T4026" s="14">
        <f>R4026-S4026</f>
        <v/>
      </c>
      <c r="U4026" s="14">
        <f>L4026*G4026</f>
        <v/>
      </c>
    </row>
    <row r="4027">
      <c r="A4027" s="12" t="inlineStr">
        <is>
          <t>PO-2023-4025</t>
        </is>
      </c>
      <c r="B4027" s="26" t="n">
        <v>44278</v>
      </c>
      <c r="C4027" s="12" t="inlineStr">
        <is>
          <t>VS29</t>
        </is>
      </c>
      <c r="D4027" s="12" t="inlineStr">
        <is>
          <t>GI Sheets</t>
        </is>
      </c>
      <c r="E4027" s="12" t="inlineStr">
        <is>
          <t>N</t>
        </is>
      </c>
      <c r="F4027" s="12" t="n">
        <v>23.68</v>
      </c>
      <c r="G4027" s="17" t="n">
        <v>49973.17</v>
      </c>
      <c r="H4027" s="26" t="n">
        <v>44290</v>
      </c>
      <c r="I4027" s="26" t="n">
        <v>44293</v>
      </c>
      <c r="J4027" s="12" t="n">
        <v>23.54</v>
      </c>
      <c r="K4027" s="17" t="n">
        <v>1183364.67</v>
      </c>
      <c r="L4027" s="12" t="n">
        <v>0</v>
      </c>
      <c r="M4027" s="12" t="n">
        <v>14</v>
      </c>
      <c r="N4027" s="27">
        <f>F4027-J4027</f>
        <v/>
      </c>
      <c r="O4027" s="16">
        <f>I4027-H4027</f>
        <v/>
      </c>
      <c r="P4027" s="14">
        <f>F4027*G4027</f>
        <v/>
      </c>
      <c r="Q4027" s="14">
        <f>J4027*G4027</f>
        <v/>
      </c>
      <c r="R4027" s="14">
        <f>K4027-Q4027</f>
        <v/>
      </c>
      <c r="S4027" s="3">
        <f>P4027*Assumptions!$B$3/100</f>
        <v/>
      </c>
      <c r="T4027" s="14">
        <f>R4027-S4027</f>
        <v/>
      </c>
      <c r="U4027" s="14">
        <f>L4027*G4027</f>
        <v/>
      </c>
    </row>
    <row r="4028">
      <c r="A4028" s="12" t="inlineStr">
        <is>
          <t>PO-2023-4026</t>
        </is>
      </c>
      <c r="B4028" s="26" t="n">
        <v>44329</v>
      </c>
      <c r="C4028" s="12" t="inlineStr">
        <is>
          <t>VS21</t>
        </is>
      </c>
      <c r="D4028" s="12" t="inlineStr">
        <is>
          <t>Structural Steel</t>
        </is>
      </c>
      <c r="E4028" s="12" t="inlineStr">
        <is>
          <t>N</t>
        </is>
      </c>
      <c r="F4028" s="12" t="n">
        <v>30.52</v>
      </c>
      <c r="G4028" s="17" t="n">
        <v>86836.98</v>
      </c>
      <c r="H4028" s="26" t="n">
        <v>44336</v>
      </c>
      <c r="I4028" s="26" t="n">
        <v>44336</v>
      </c>
      <c r="J4028" s="12" t="n">
        <v>30.49</v>
      </c>
      <c r="K4028" s="17" t="n">
        <v>2650264.63</v>
      </c>
      <c r="L4028" s="12" t="n">
        <v>0</v>
      </c>
      <c r="M4028" s="12" t="n">
        <v>0</v>
      </c>
      <c r="N4028" s="27">
        <f>F4028-J4028</f>
        <v/>
      </c>
      <c r="O4028" s="16">
        <f>I4028-H4028</f>
        <v/>
      </c>
      <c r="P4028" s="14">
        <f>F4028*G4028</f>
        <v/>
      </c>
      <c r="Q4028" s="14">
        <f>J4028*G4028</f>
        <v/>
      </c>
      <c r="R4028" s="14">
        <f>K4028-Q4028</f>
        <v/>
      </c>
      <c r="S4028" s="3">
        <f>P4028*Assumptions!$B$3/100</f>
        <v/>
      </c>
      <c r="T4028" s="14">
        <f>R4028-S4028</f>
        <v/>
      </c>
      <c r="U4028" s="14">
        <f>L4028*G4028</f>
        <v/>
      </c>
    </row>
    <row r="4029">
      <c r="A4029" s="12" t="inlineStr">
        <is>
          <t>PO-2023-4027</t>
        </is>
      </c>
      <c r="B4029" s="26" t="n">
        <v>44953</v>
      </c>
      <c r="C4029" s="12" t="inlineStr">
        <is>
          <t>VS33</t>
        </is>
      </c>
      <c r="D4029" s="12" t="inlineStr">
        <is>
          <t>MS Rods</t>
        </is>
      </c>
      <c r="E4029" s="12" t="inlineStr">
        <is>
          <t>N</t>
        </is>
      </c>
      <c r="F4029" s="12" t="n">
        <v>9.210000000000001</v>
      </c>
      <c r="G4029" s="17" t="n">
        <v>107008.07</v>
      </c>
      <c r="H4029" s="26" t="n">
        <v>44959</v>
      </c>
      <c r="I4029" s="26" t="n">
        <v>44960</v>
      </c>
      <c r="J4029" s="12" t="n">
        <v>9.16</v>
      </c>
      <c r="K4029" s="17" t="n">
        <v>985544.3199999999</v>
      </c>
      <c r="L4029" s="12" t="n">
        <v>0</v>
      </c>
      <c r="M4029" s="12" t="n">
        <v>20</v>
      </c>
      <c r="N4029" s="27">
        <f>F4029-J4029</f>
        <v/>
      </c>
      <c r="O4029" s="16">
        <f>I4029-H4029</f>
        <v/>
      </c>
      <c r="P4029" s="14">
        <f>F4029*G4029</f>
        <v/>
      </c>
      <c r="Q4029" s="14">
        <f>J4029*G4029</f>
        <v/>
      </c>
      <c r="R4029" s="14">
        <f>K4029-Q4029</f>
        <v/>
      </c>
      <c r="S4029" s="3">
        <f>P4029*Assumptions!$B$3/100</f>
        <v/>
      </c>
      <c r="T4029" s="14">
        <f>R4029-S4029</f>
        <v/>
      </c>
      <c r="U4029" s="14">
        <f>L4029*G4029</f>
        <v/>
      </c>
    </row>
    <row r="4030">
      <c r="A4030" s="12" t="inlineStr">
        <is>
          <t>PO-2023-4028</t>
        </is>
      </c>
      <c r="B4030" s="26" t="n">
        <v>45232</v>
      </c>
      <c r="C4030" s="12" t="inlineStr">
        <is>
          <t>VS17</t>
        </is>
      </c>
      <c r="D4030" s="12" t="inlineStr">
        <is>
          <t>Spring Steel</t>
        </is>
      </c>
      <c r="E4030" s="12" t="inlineStr">
        <is>
          <t>N</t>
        </is>
      </c>
      <c r="F4030" s="12" t="n">
        <v>26.07</v>
      </c>
      <c r="G4030" s="17" t="n">
        <v>75826.87</v>
      </c>
      <c r="H4030" s="26" t="n">
        <v>45243</v>
      </c>
      <c r="I4030" s="26" t="n">
        <v>45246</v>
      </c>
      <c r="J4030" s="12" t="n">
        <v>25.98</v>
      </c>
      <c r="K4030" s="17" t="n">
        <v>1976806.5</v>
      </c>
      <c r="L4030" s="12" t="n">
        <v>0</v>
      </c>
      <c r="M4030" s="12" t="n">
        <v>2</v>
      </c>
      <c r="N4030" s="27">
        <f>F4030-J4030</f>
        <v/>
      </c>
      <c r="O4030" s="16">
        <f>I4030-H4030</f>
        <v/>
      </c>
      <c r="P4030" s="14">
        <f>F4030*G4030</f>
        <v/>
      </c>
      <c r="Q4030" s="14">
        <f>J4030*G4030</f>
        <v/>
      </c>
      <c r="R4030" s="14">
        <f>K4030-Q4030</f>
        <v/>
      </c>
      <c r="S4030" s="3">
        <f>P4030*Assumptions!$B$3/100</f>
        <v/>
      </c>
      <c r="T4030" s="14">
        <f>R4030-S4030</f>
        <v/>
      </c>
      <c r="U4030" s="14">
        <f>L4030*G4030</f>
        <v/>
      </c>
    </row>
    <row r="4031">
      <c r="A4031" s="12" t="inlineStr">
        <is>
          <t>PO-2023-4029</t>
        </is>
      </c>
      <c r="B4031" s="26" t="n">
        <v>44243</v>
      </c>
      <c r="C4031" s="12" t="inlineStr">
        <is>
          <t>VS10</t>
        </is>
      </c>
      <c r="D4031" s="12" t="inlineStr">
        <is>
          <t>MS Pipes</t>
        </is>
      </c>
      <c r="E4031" s="12" t="inlineStr">
        <is>
          <t>N</t>
        </is>
      </c>
      <c r="F4031" s="12" t="n">
        <v>34.58</v>
      </c>
      <c r="G4031" s="17" t="n">
        <v>74894.53</v>
      </c>
      <c r="H4031" s="26" t="n">
        <v>44248</v>
      </c>
      <c r="I4031" s="26" t="n">
        <v>44249</v>
      </c>
      <c r="J4031" s="12" t="n">
        <v>34.25</v>
      </c>
      <c r="K4031" s="17" t="n">
        <v>2589852.85</v>
      </c>
      <c r="L4031" s="12" t="n">
        <v>0</v>
      </c>
      <c r="M4031" s="12" t="n">
        <v>14</v>
      </c>
      <c r="N4031" s="27">
        <f>F4031-J4031</f>
        <v/>
      </c>
      <c r="O4031" s="16">
        <f>I4031-H4031</f>
        <v/>
      </c>
      <c r="P4031" s="14">
        <f>F4031*G4031</f>
        <v/>
      </c>
      <c r="Q4031" s="14">
        <f>J4031*G4031</f>
        <v/>
      </c>
      <c r="R4031" s="14">
        <f>K4031-Q4031</f>
        <v/>
      </c>
      <c r="S4031" s="3">
        <f>P4031*Assumptions!$B$3/100</f>
        <v/>
      </c>
      <c r="T4031" s="14">
        <f>R4031-S4031</f>
        <v/>
      </c>
      <c r="U4031" s="14">
        <f>L4031*G4031</f>
        <v/>
      </c>
    </row>
    <row r="4032">
      <c r="A4032" s="12" t="inlineStr">
        <is>
          <t>PO-2023-4030</t>
        </is>
      </c>
      <c r="B4032" s="26" t="n">
        <v>44684</v>
      </c>
      <c r="C4032" s="12" t="inlineStr">
        <is>
          <t>VS26</t>
        </is>
      </c>
      <c r="D4032" s="12" t="inlineStr">
        <is>
          <t>ERW Pipes</t>
        </is>
      </c>
      <c r="E4032" s="12" t="inlineStr">
        <is>
          <t>N</t>
        </is>
      </c>
      <c r="F4032" s="12" t="n">
        <v>9.84</v>
      </c>
      <c r="G4032" s="17" t="n">
        <v>115174.06</v>
      </c>
      <c r="H4032" s="26" t="n">
        <v>44699</v>
      </c>
      <c r="I4032" s="26" t="n">
        <v>44702</v>
      </c>
      <c r="J4032" s="12" t="n">
        <v>9.75</v>
      </c>
      <c r="K4032" s="17" t="n">
        <v>1133312.75</v>
      </c>
      <c r="L4032" s="12" t="n">
        <v>0</v>
      </c>
      <c r="M4032" s="12" t="n">
        <v>2</v>
      </c>
      <c r="N4032" s="27">
        <f>F4032-J4032</f>
        <v/>
      </c>
      <c r="O4032" s="16">
        <f>I4032-H4032</f>
        <v/>
      </c>
      <c r="P4032" s="14">
        <f>F4032*G4032</f>
        <v/>
      </c>
      <c r="Q4032" s="14">
        <f>J4032*G4032</f>
        <v/>
      </c>
      <c r="R4032" s="14">
        <f>K4032-Q4032</f>
        <v/>
      </c>
      <c r="S4032" s="3">
        <f>P4032*Assumptions!$B$3/100</f>
        <v/>
      </c>
      <c r="T4032" s="14">
        <f>R4032-S4032</f>
        <v/>
      </c>
      <c r="U4032" s="14">
        <f>L4032*G4032</f>
        <v/>
      </c>
    </row>
    <row r="4033">
      <c r="A4033" s="12" t="inlineStr">
        <is>
          <t>PO-2023-4031</t>
        </is>
      </c>
      <c r="B4033" s="26" t="n">
        <v>44254</v>
      </c>
      <c r="C4033" s="12" t="inlineStr">
        <is>
          <t>VS22</t>
        </is>
      </c>
      <c r="D4033" s="12" t="inlineStr">
        <is>
          <t>SS Pipes</t>
        </is>
      </c>
      <c r="E4033" s="12" t="inlineStr">
        <is>
          <t>N</t>
        </is>
      </c>
      <c r="F4033" s="12" t="n">
        <v>27.81</v>
      </c>
      <c r="G4033" s="17" t="n">
        <v>105546.01</v>
      </c>
      <c r="H4033" s="26" t="n">
        <v>44258</v>
      </c>
      <c r="I4033" s="26" t="n">
        <v>44259</v>
      </c>
      <c r="J4033" s="12" t="n">
        <v>27.78</v>
      </c>
      <c r="K4033" s="17" t="n">
        <v>2935234.54</v>
      </c>
      <c r="L4033" s="12" t="n">
        <v>0</v>
      </c>
      <c r="M4033" s="12" t="n">
        <v>18</v>
      </c>
      <c r="N4033" s="27">
        <f>F4033-J4033</f>
        <v/>
      </c>
      <c r="O4033" s="16">
        <f>I4033-H4033</f>
        <v/>
      </c>
      <c r="P4033" s="14">
        <f>F4033*G4033</f>
        <v/>
      </c>
      <c r="Q4033" s="14">
        <f>J4033*G4033</f>
        <v/>
      </c>
      <c r="R4033" s="14">
        <f>K4033-Q4033</f>
        <v/>
      </c>
      <c r="S4033" s="3">
        <f>P4033*Assumptions!$B$3/100</f>
        <v/>
      </c>
      <c r="T4033" s="14">
        <f>R4033-S4033</f>
        <v/>
      </c>
      <c r="U4033" s="14">
        <f>L4033*G4033</f>
        <v/>
      </c>
    </row>
    <row r="4034">
      <c r="A4034" s="12" t="inlineStr">
        <is>
          <t>PO-2023-4032</t>
        </is>
      </c>
      <c r="B4034" s="26" t="n">
        <v>44513</v>
      </c>
      <c r="C4034" s="12" t="inlineStr">
        <is>
          <t>VS34</t>
        </is>
      </c>
      <c r="D4034" s="12" t="inlineStr">
        <is>
          <t>MS Rods</t>
        </is>
      </c>
      <c r="E4034" s="12" t="inlineStr">
        <is>
          <t>N</t>
        </is>
      </c>
      <c r="F4034" s="12" t="n">
        <v>42.52</v>
      </c>
      <c r="G4034" s="17" t="n">
        <v>103810.35</v>
      </c>
      <c r="H4034" s="26" t="n">
        <v>44517</v>
      </c>
      <c r="I4034" s="26" t="n">
        <v>44520</v>
      </c>
      <c r="J4034" s="12" t="n">
        <v>42.35</v>
      </c>
      <c r="K4034" s="17" t="n">
        <v>4414016.08</v>
      </c>
      <c r="L4034" s="12" t="n">
        <v>0</v>
      </c>
      <c r="M4034" s="12" t="n">
        <v>0</v>
      </c>
      <c r="N4034" s="27">
        <f>F4034-J4034</f>
        <v/>
      </c>
      <c r="O4034" s="16">
        <f>I4034-H4034</f>
        <v/>
      </c>
      <c r="P4034" s="14">
        <f>F4034*G4034</f>
        <v/>
      </c>
      <c r="Q4034" s="14">
        <f>J4034*G4034</f>
        <v/>
      </c>
      <c r="R4034" s="14">
        <f>K4034-Q4034</f>
        <v/>
      </c>
      <c r="S4034" s="3">
        <f>P4034*Assumptions!$B$3/100</f>
        <v/>
      </c>
      <c r="T4034" s="14">
        <f>R4034-S4034</f>
        <v/>
      </c>
      <c r="U4034" s="14">
        <f>L4034*G4034</f>
        <v/>
      </c>
    </row>
    <row r="4035">
      <c r="A4035" s="12" t="inlineStr">
        <is>
          <t>PO-2023-4033</t>
        </is>
      </c>
      <c r="B4035" s="26" t="n">
        <v>45243</v>
      </c>
      <c r="C4035" s="12" t="inlineStr">
        <is>
          <t>VS09</t>
        </is>
      </c>
      <c r="D4035" s="12" t="inlineStr">
        <is>
          <t>MS Pipes</t>
        </is>
      </c>
      <c r="E4035" s="12" t="inlineStr">
        <is>
          <t>N</t>
        </is>
      </c>
      <c r="F4035" s="12" t="n">
        <v>32.79</v>
      </c>
      <c r="G4035" s="17" t="n">
        <v>81634.07000000001</v>
      </c>
      <c r="H4035" s="26" t="n">
        <v>45252</v>
      </c>
      <c r="I4035" s="26" t="n">
        <v>45253</v>
      </c>
      <c r="J4035" s="12" t="n">
        <v>32.56</v>
      </c>
      <c r="K4035" s="17" t="n">
        <v>2676781.16</v>
      </c>
      <c r="L4035" s="12" t="n">
        <v>0</v>
      </c>
      <c r="M4035" s="12" t="n">
        <v>8</v>
      </c>
      <c r="N4035" s="27">
        <f>F4035-J4035</f>
        <v/>
      </c>
      <c r="O4035" s="16">
        <f>I4035-H4035</f>
        <v/>
      </c>
      <c r="P4035" s="14">
        <f>F4035*G4035</f>
        <v/>
      </c>
      <c r="Q4035" s="14">
        <f>J4035*G4035</f>
        <v/>
      </c>
      <c r="R4035" s="14">
        <f>K4035-Q4035</f>
        <v/>
      </c>
      <c r="S4035" s="3">
        <f>P4035*Assumptions!$B$3/100</f>
        <v/>
      </c>
      <c r="T4035" s="14">
        <f>R4035-S4035</f>
        <v/>
      </c>
      <c r="U4035" s="14">
        <f>L4035*G4035</f>
        <v/>
      </c>
    </row>
    <row r="4036">
      <c r="A4036" s="12" t="inlineStr">
        <is>
          <t>PO-2023-4034</t>
        </is>
      </c>
      <c r="B4036" s="26" t="n">
        <v>44991</v>
      </c>
      <c r="C4036" s="12" t="inlineStr">
        <is>
          <t>VS03</t>
        </is>
      </c>
      <c r="D4036" s="12" t="inlineStr">
        <is>
          <t>ERW Pipes</t>
        </is>
      </c>
      <c r="E4036" s="12" t="inlineStr">
        <is>
          <t>N</t>
        </is>
      </c>
      <c r="F4036" s="12" t="n">
        <v>3.31</v>
      </c>
      <c r="G4036" s="17" t="n">
        <v>92518.64</v>
      </c>
      <c r="H4036" s="26" t="n">
        <v>44997</v>
      </c>
      <c r="I4036" s="26" t="n">
        <v>45000</v>
      </c>
      <c r="J4036" s="12" t="n">
        <v>3.16</v>
      </c>
      <c r="K4036" s="17" t="n">
        <v>306236.7</v>
      </c>
      <c r="L4036" s="12" t="n">
        <v>0.1</v>
      </c>
      <c r="M4036" s="12" t="n">
        <v>1</v>
      </c>
      <c r="N4036" s="27">
        <f>F4036-J4036</f>
        <v/>
      </c>
      <c r="O4036" s="16">
        <f>I4036-H4036</f>
        <v/>
      </c>
      <c r="P4036" s="14">
        <f>F4036*G4036</f>
        <v/>
      </c>
      <c r="Q4036" s="14">
        <f>J4036*G4036</f>
        <v/>
      </c>
      <c r="R4036" s="14">
        <f>K4036-Q4036</f>
        <v/>
      </c>
      <c r="S4036" s="3">
        <f>P4036*Assumptions!$B$3/100</f>
        <v/>
      </c>
      <c r="T4036" s="14">
        <f>R4036-S4036</f>
        <v/>
      </c>
      <c r="U4036" s="14">
        <f>L4036*G4036</f>
        <v/>
      </c>
    </row>
    <row r="4037">
      <c r="A4037" s="12" t="inlineStr">
        <is>
          <t>PO-2023-4035</t>
        </is>
      </c>
      <c r="B4037" s="26" t="n">
        <v>45182</v>
      </c>
      <c r="C4037" s="12" t="inlineStr">
        <is>
          <t>VS10</t>
        </is>
      </c>
      <c r="D4037" s="12" t="inlineStr">
        <is>
          <t>Spring Steel</t>
        </is>
      </c>
      <c r="E4037" s="12" t="inlineStr">
        <is>
          <t>N</t>
        </is>
      </c>
      <c r="F4037" s="12" t="n">
        <v>8.050000000000001</v>
      </c>
      <c r="G4037" s="17" t="n">
        <v>86495.94</v>
      </c>
      <c r="H4037" s="26" t="n">
        <v>45188</v>
      </c>
      <c r="I4037" s="26" t="n">
        <v>45188</v>
      </c>
      <c r="J4037" s="12" t="n">
        <v>8.01</v>
      </c>
      <c r="K4037" s="17" t="n">
        <v>696292.3199999999</v>
      </c>
      <c r="L4037" s="12" t="n">
        <v>0</v>
      </c>
      <c r="M4037" s="12" t="n">
        <v>20</v>
      </c>
      <c r="N4037" s="27">
        <f>F4037-J4037</f>
        <v/>
      </c>
      <c r="O4037" s="16">
        <f>I4037-H4037</f>
        <v/>
      </c>
      <c r="P4037" s="14">
        <f>F4037*G4037</f>
        <v/>
      </c>
      <c r="Q4037" s="14">
        <f>J4037*G4037</f>
        <v/>
      </c>
      <c r="R4037" s="14">
        <f>K4037-Q4037</f>
        <v/>
      </c>
      <c r="S4037" s="3">
        <f>P4037*Assumptions!$B$3/100</f>
        <v/>
      </c>
      <c r="T4037" s="14">
        <f>R4037-S4037</f>
        <v/>
      </c>
      <c r="U4037" s="14">
        <f>L4037*G4037</f>
        <v/>
      </c>
    </row>
    <row r="4038">
      <c r="A4038" s="12" t="inlineStr">
        <is>
          <t>PO-2023-4036</t>
        </is>
      </c>
      <c r="B4038" s="26" t="n">
        <v>44655</v>
      </c>
      <c r="C4038" s="12" t="inlineStr">
        <is>
          <t>VS18</t>
        </is>
      </c>
      <c r="D4038" s="12" t="inlineStr">
        <is>
          <t>Hex Bars</t>
        </is>
      </c>
      <c r="E4038" s="12" t="inlineStr">
        <is>
          <t>Y</t>
        </is>
      </c>
      <c r="F4038" s="12" t="n">
        <v>33.47</v>
      </c>
      <c r="G4038" s="17" t="n">
        <v>108715.3</v>
      </c>
      <c r="H4038" s="26" t="n">
        <v>44668</v>
      </c>
      <c r="I4038" s="26" t="n">
        <v>44671</v>
      </c>
      <c r="J4038" s="12" t="n">
        <v>33.27</v>
      </c>
      <c r="K4038" s="17" t="n">
        <v>3638701.09</v>
      </c>
      <c r="L4038" s="12" t="n">
        <v>0</v>
      </c>
      <c r="M4038" s="12" t="n">
        <v>13</v>
      </c>
      <c r="N4038" s="27">
        <f>F4038-J4038</f>
        <v/>
      </c>
      <c r="O4038" s="16">
        <f>I4038-H4038</f>
        <v/>
      </c>
      <c r="P4038" s="14">
        <f>F4038*G4038</f>
        <v/>
      </c>
      <c r="Q4038" s="14">
        <f>J4038*G4038</f>
        <v/>
      </c>
      <c r="R4038" s="14">
        <f>K4038-Q4038</f>
        <v/>
      </c>
      <c r="S4038" s="3">
        <f>P4038*Assumptions!$B$3/100</f>
        <v/>
      </c>
      <c r="T4038" s="14">
        <f>R4038-S4038</f>
        <v/>
      </c>
      <c r="U4038" s="14">
        <f>L4038*G4038</f>
        <v/>
      </c>
    </row>
    <row r="4039">
      <c r="A4039" s="12" t="inlineStr">
        <is>
          <t>PO-2023-4037</t>
        </is>
      </c>
      <c r="B4039" s="26" t="n">
        <v>44819</v>
      </c>
      <c r="C4039" s="12" t="inlineStr">
        <is>
          <t>VS30</t>
        </is>
      </c>
      <c r="D4039" s="12" t="inlineStr">
        <is>
          <t>GI Pipes</t>
        </is>
      </c>
      <c r="E4039" s="12" t="inlineStr">
        <is>
          <t>N</t>
        </is>
      </c>
      <c r="F4039" s="12" t="n">
        <v>12.89</v>
      </c>
      <c r="G4039" s="17" t="n">
        <v>68713.71000000001</v>
      </c>
      <c r="H4039" s="26" t="n">
        <v>44828</v>
      </c>
      <c r="I4039" s="26" t="n">
        <v>44828</v>
      </c>
      <c r="J4039" s="12" t="n">
        <v>12.78</v>
      </c>
      <c r="K4039" s="17" t="n">
        <v>885719.72</v>
      </c>
      <c r="L4039" s="12" t="n">
        <v>0</v>
      </c>
      <c r="M4039" s="12" t="n">
        <v>0</v>
      </c>
      <c r="N4039" s="27">
        <f>F4039-J4039</f>
        <v/>
      </c>
      <c r="O4039" s="16">
        <f>I4039-H4039</f>
        <v/>
      </c>
      <c r="P4039" s="14">
        <f>F4039*G4039</f>
        <v/>
      </c>
      <c r="Q4039" s="14">
        <f>J4039*G4039</f>
        <v/>
      </c>
      <c r="R4039" s="14">
        <f>K4039-Q4039</f>
        <v/>
      </c>
      <c r="S4039" s="3">
        <f>P4039*Assumptions!$B$3/100</f>
        <v/>
      </c>
      <c r="T4039" s="14">
        <f>R4039-S4039</f>
        <v/>
      </c>
      <c r="U4039" s="14">
        <f>L4039*G4039</f>
        <v/>
      </c>
    </row>
    <row r="4040">
      <c r="A4040" s="12" t="inlineStr">
        <is>
          <t>PO-2023-4038</t>
        </is>
      </c>
      <c r="B4040" s="26" t="n">
        <v>45202</v>
      </c>
      <c r="C4040" s="12" t="inlineStr">
        <is>
          <t>VS21</t>
        </is>
      </c>
      <c r="D4040" s="12" t="inlineStr">
        <is>
          <t>Fasteners &amp; Fittings</t>
        </is>
      </c>
      <c r="E4040" s="12" t="inlineStr">
        <is>
          <t>N</t>
        </is>
      </c>
      <c r="F4040" s="12" t="n">
        <v>26.04</v>
      </c>
      <c r="G4040" s="17" t="n">
        <v>76032.42999999999</v>
      </c>
      <c r="H4040" s="26" t="n">
        <v>45213</v>
      </c>
      <c r="I4040" s="26" t="n">
        <v>45214</v>
      </c>
      <c r="J4040" s="12" t="n">
        <v>25.92</v>
      </c>
      <c r="K4040" s="17" t="n">
        <v>1979884.48</v>
      </c>
      <c r="L4040" s="12" t="n">
        <v>0</v>
      </c>
      <c r="M4040" s="12" t="n">
        <v>0</v>
      </c>
      <c r="N4040" s="27">
        <f>F4040-J4040</f>
        <v/>
      </c>
      <c r="O4040" s="16">
        <f>I4040-H4040</f>
        <v/>
      </c>
      <c r="P4040" s="14">
        <f>F4040*G4040</f>
        <v/>
      </c>
      <c r="Q4040" s="14">
        <f>J4040*G4040</f>
        <v/>
      </c>
      <c r="R4040" s="14">
        <f>K4040-Q4040</f>
        <v/>
      </c>
      <c r="S4040" s="3">
        <f>P4040*Assumptions!$B$3/100</f>
        <v/>
      </c>
      <c r="T4040" s="14">
        <f>R4040-S4040</f>
        <v/>
      </c>
      <c r="U4040" s="14">
        <f>L4040*G4040</f>
        <v/>
      </c>
    </row>
    <row r="4041">
      <c r="A4041" s="12" t="inlineStr">
        <is>
          <t>PO-2023-4039</t>
        </is>
      </c>
      <c r="B4041" s="26" t="n">
        <v>44658</v>
      </c>
      <c r="C4041" s="12" t="inlineStr">
        <is>
          <t>VS13</t>
        </is>
      </c>
      <c r="D4041" s="12" t="inlineStr">
        <is>
          <t>MS Flats</t>
        </is>
      </c>
      <c r="E4041" s="12" t="inlineStr">
        <is>
          <t>N</t>
        </is>
      </c>
      <c r="F4041" s="12" t="n">
        <v>18.36</v>
      </c>
      <c r="G4041" s="17" t="n">
        <v>78456.83</v>
      </c>
      <c r="H4041" s="26" t="n">
        <v>44673</v>
      </c>
      <c r="I4041" s="26" t="n">
        <v>44674</v>
      </c>
      <c r="J4041" s="12" t="n">
        <v>18.27</v>
      </c>
      <c r="K4041" s="17" t="n">
        <v>1440467.4</v>
      </c>
      <c r="L4041" s="12" t="n">
        <v>0</v>
      </c>
      <c r="M4041" s="12" t="n">
        <v>1</v>
      </c>
      <c r="N4041" s="27">
        <f>F4041-J4041</f>
        <v/>
      </c>
      <c r="O4041" s="16">
        <f>I4041-H4041</f>
        <v/>
      </c>
      <c r="P4041" s="14">
        <f>F4041*G4041</f>
        <v/>
      </c>
      <c r="Q4041" s="14">
        <f>J4041*G4041</f>
        <v/>
      </c>
      <c r="R4041" s="14">
        <f>K4041-Q4041</f>
        <v/>
      </c>
      <c r="S4041" s="3">
        <f>P4041*Assumptions!$B$3/100</f>
        <v/>
      </c>
      <c r="T4041" s="14">
        <f>R4041-S4041</f>
        <v/>
      </c>
      <c r="U4041" s="14">
        <f>L4041*G4041</f>
        <v/>
      </c>
    </row>
    <row r="4042">
      <c r="A4042" s="12" t="inlineStr">
        <is>
          <t>PO-2023-4040</t>
        </is>
      </c>
      <c r="B4042" s="26" t="n">
        <v>45194</v>
      </c>
      <c r="C4042" s="12" t="inlineStr">
        <is>
          <t>VS29</t>
        </is>
      </c>
      <c r="D4042" s="12" t="inlineStr">
        <is>
          <t>HR Coils</t>
        </is>
      </c>
      <c r="E4042" s="12" t="inlineStr">
        <is>
          <t>N</t>
        </is>
      </c>
      <c r="F4042" s="12" t="n">
        <v>37.25</v>
      </c>
      <c r="G4042" s="17" t="n">
        <v>102445.66</v>
      </c>
      <c r="H4042" s="26" t="n">
        <v>45209</v>
      </c>
      <c r="I4042" s="26" t="n">
        <v>45211</v>
      </c>
      <c r="J4042" s="12" t="n">
        <v>37.23</v>
      </c>
      <c r="K4042" s="17" t="n">
        <v>3816100.83</v>
      </c>
      <c r="L4042" s="12" t="n">
        <v>0</v>
      </c>
      <c r="M4042" s="12" t="n">
        <v>18</v>
      </c>
      <c r="N4042" s="27">
        <f>F4042-J4042</f>
        <v/>
      </c>
      <c r="O4042" s="16">
        <f>I4042-H4042</f>
        <v/>
      </c>
      <c r="P4042" s="14">
        <f>F4042*G4042</f>
        <v/>
      </c>
      <c r="Q4042" s="14">
        <f>J4042*G4042</f>
        <v/>
      </c>
      <c r="R4042" s="14">
        <f>K4042-Q4042</f>
        <v/>
      </c>
      <c r="S4042" s="3">
        <f>P4042*Assumptions!$B$3/100</f>
        <v/>
      </c>
      <c r="T4042" s="14">
        <f>R4042-S4042</f>
        <v/>
      </c>
      <c r="U4042" s="14">
        <f>L4042*G4042</f>
        <v/>
      </c>
    </row>
    <row r="4043">
      <c r="A4043" s="12" t="inlineStr">
        <is>
          <t>PO-2023-4041</t>
        </is>
      </c>
      <c r="B4043" s="26" t="n">
        <v>44643</v>
      </c>
      <c r="C4043" s="12" t="inlineStr">
        <is>
          <t>VS07</t>
        </is>
      </c>
      <c r="D4043" s="12" t="inlineStr">
        <is>
          <t>MS Flats</t>
        </is>
      </c>
      <c r="E4043" s="12" t="inlineStr">
        <is>
          <t>N</t>
        </is>
      </c>
      <c r="F4043" s="12" t="n">
        <v>17.13</v>
      </c>
      <c r="G4043" s="17" t="n">
        <v>92409.42</v>
      </c>
      <c r="H4043" s="26" t="n">
        <v>44656</v>
      </c>
      <c r="I4043" s="26" t="n">
        <v>44656</v>
      </c>
      <c r="J4043" s="12" t="n">
        <v>17.02</v>
      </c>
      <c r="K4043" s="17" t="n">
        <v>1582973.36</v>
      </c>
      <c r="L4043" s="12" t="n">
        <v>0</v>
      </c>
      <c r="M4043" s="12" t="n">
        <v>12</v>
      </c>
      <c r="N4043" s="27">
        <f>F4043-J4043</f>
        <v/>
      </c>
      <c r="O4043" s="16">
        <f>I4043-H4043</f>
        <v/>
      </c>
      <c r="P4043" s="14">
        <f>F4043*G4043</f>
        <v/>
      </c>
      <c r="Q4043" s="14">
        <f>J4043*G4043</f>
        <v/>
      </c>
      <c r="R4043" s="14">
        <f>K4043-Q4043</f>
        <v/>
      </c>
      <c r="S4043" s="3">
        <f>P4043*Assumptions!$B$3/100</f>
        <v/>
      </c>
      <c r="T4043" s="14">
        <f>R4043-S4043</f>
        <v/>
      </c>
      <c r="U4043" s="14">
        <f>L4043*G4043</f>
        <v/>
      </c>
    </row>
    <row r="4044">
      <c r="A4044" s="12" t="inlineStr">
        <is>
          <t>PO-2023-4042</t>
        </is>
      </c>
      <c r="B4044" s="26" t="n">
        <v>44848</v>
      </c>
      <c r="C4044" s="12" t="inlineStr">
        <is>
          <t>VS29</t>
        </is>
      </c>
      <c r="D4044" s="12" t="inlineStr">
        <is>
          <t>GI Pipes</t>
        </is>
      </c>
      <c r="E4044" s="12" t="inlineStr">
        <is>
          <t>N</t>
        </is>
      </c>
      <c r="F4044" s="12" t="n">
        <v>18.52</v>
      </c>
      <c r="G4044" s="17" t="n">
        <v>93278.06</v>
      </c>
      <c r="H4044" s="26" t="n">
        <v>44859</v>
      </c>
      <c r="I4044" s="26" t="n">
        <v>44860</v>
      </c>
      <c r="J4044" s="12" t="n">
        <v>18.44</v>
      </c>
      <c r="K4044" s="17" t="n">
        <v>1727509.67</v>
      </c>
      <c r="L4044" s="12" t="n">
        <v>0</v>
      </c>
      <c r="M4044" s="12" t="n">
        <v>0</v>
      </c>
      <c r="N4044" s="27">
        <f>F4044-J4044</f>
        <v/>
      </c>
      <c r="O4044" s="16">
        <f>I4044-H4044</f>
        <v/>
      </c>
      <c r="P4044" s="14">
        <f>F4044*G4044</f>
        <v/>
      </c>
      <c r="Q4044" s="14">
        <f>J4044*G4044</f>
        <v/>
      </c>
      <c r="R4044" s="14">
        <f>K4044-Q4044</f>
        <v/>
      </c>
      <c r="S4044" s="3">
        <f>P4044*Assumptions!$B$3/100</f>
        <v/>
      </c>
      <c r="T4044" s="14">
        <f>R4044-S4044</f>
        <v/>
      </c>
      <c r="U4044" s="14">
        <f>L4044*G4044</f>
        <v/>
      </c>
    </row>
    <row r="4045">
      <c r="A4045" s="12" t="inlineStr">
        <is>
          <t>PO-2023-4043</t>
        </is>
      </c>
      <c r="B4045" s="26" t="n">
        <v>45176</v>
      </c>
      <c r="C4045" s="12" t="inlineStr">
        <is>
          <t>VS15</t>
        </is>
      </c>
      <c r="D4045" s="12" t="inlineStr">
        <is>
          <t>Hex Bars</t>
        </is>
      </c>
      <c r="E4045" s="12" t="inlineStr">
        <is>
          <t>N</t>
        </is>
      </c>
      <c r="F4045" s="12" t="n">
        <v>14.42</v>
      </c>
      <c r="G4045" s="17" t="n">
        <v>106662.6</v>
      </c>
      <c r="H4045" s="26" t="n">
        <v>45183</v>
      </c>
      <c r="I4045" s="26" t="n">
        <v>45183</v>
      </c>
      <c r="J4045" s="12" t="n">
        <v>14.33</v>
      </c>
      <c r="K4045" s="17" t="n">
        <v>1538074.69</v>
      </c>
      <c r="L4045" s="12" t="n">
        <v>0</v>
      </c>
      <c r="M4045" s="12" t="n">
        <v>6</v>
      </c>
      <c r="N4045" s="27">
        <f>F4045-J4045</f>
        <v/>
      </c>
      <c r="O4045" s="16">
        <f>I4045-H4045</f>
        <v/>
      </c>
      <c r="P4045" s="14">
        <f>F4045*G4045</f>
        <v/>
      </c>
      <c r="Q4045" s="14">
        <f>J4045*G4045</f>
        <v/>
      </c>
      <c r="R4045" s="14">
        <f>K4045-Q4045</f>
        <v/>
      </c>
      <c r="S4045" s="3">
        <f>P4045*Assumptions!$B$3/100</f>
        <v/>
      </c>
      <c r="T4045" s="14">
        <f>R4045-S4045</f>
        <v/>
      </c>
      <c r="U4045" s="14">
        <f>L4045*G4045</f>
        <v/>
      </c>
    </row>
    <row r="4046">
      <c r="A4046" s="12" t="inlineStr">
        <is>
          <t>PO-2023-4044</t>
        </is>
      </c>
      <c r="B4046" s="26" t="n">
        <v>44288</v>
      </c>
      <c r="C4046" s="12" t="inlineStr">
        <is>
          <t>VS20</t>
        </is>
      </c>
      <c r="D4046" s="12" t="inlineStr">
        <is>
          <t>Angles &amp; Channels</t>
        </is>
      </c>
      <c r="E4046" s="12" t="inlineStr">
        <is>
          <t>N</t>
        </is>
      </c>
      <c r="F4046" s="12" t="n">
        <v>49.11</v>
      </c>
      <c r="G4046" s="17" t="n">
        <v>85304.62</v>
      </c>
      <c r="H4046" s="26" t="n">
        <v>44292</v>
      </c>
      <c r="I4046" s="26" t="n">
        <v>44294</v>
      </c>
      <c r="J4046" s="12" t="n">
        <v>49.02</v>
      </c>
      <c r="K4046" s="17" t="n">
        <v>4189309.89</v>
      </c>
      <c r="L4046" s="12" t="n">
        <v>0</v>
      </c>
      <c r="M4046" s="12" t="n">
        <v>0</v>
      </c>
      <c r="N4046" s="27">
        <f>F4046-J4046</f>
        <v/>
      </c>
      <c r="O4046" s="16">
        <f>I4046-H4046</f>
        <v/>
      </c>
      <c r="P4046" s="14">
        <f>F4046*G4046</f>
        <v/>
      </c>
      <c r="Q4046" s="14">
        <f>J4046*G4046</f>
        <v/>
      </c>
      <c r="R4046" s="14">
        <f>K4046-Q4046</f>
        <v/>
      </c>
      <c r="S4046" s="3">
        <f>P4046*Assumptions!$B$3/100</f>
        <v/>
      </c>
      <c r="T4046" s="14">
        <f>R4046-S4046</f>
        <v/>
      </c>
      <c r="U4046" s="14">
        <f>L4046*G4046</f>
        <v/>
      </c>
    </row>
    <row r="4047">
      <c r="A4047" s="12" t="inlineStr">
        <is>
          <t>PO-2023-4045</t>
        </is>
      </c>
      <c r="B4047" s="26" t="n">
        <v>44353</v>
      </c>
      <c r="C4047" s="12" t="inlineStr">
        <is>
          <t>VS20</t>
        </is>
      </c>
      <c r="D4047" s="12" t="inlineStr">
        <is>
          <t>SS Pipes</t>
        </is>
      </c>
      <c r="E4047" s="12" t="inlineStr">
        <is>
          <t>N</t>
        </is>
      </c>
      <c r="F4047" s="12" t="n">
        <v>16.12</v>
      </c>
      <c r="G4047" s="17" t="n">
        <v>81254.8</v>
      </c>
      <c r="H4047" s="26" t="n">
        <v>44356</v>
      </c>
      <c r="I4047" s="26" t="n">
        <v>44356</v>
      </c>
      <c r="J4047" s="12" t="n">
        <v>15.96</v>
      </c>
      <c r="K4047" s="17" t="n">
        <v>1309827.38</v>
      </c>
      <c r="L4047" s="12" t="n">
        <v>0</v>
      </c>
      <c r="M4047" s="12" t="n">
        <v>0</v>
      </c>
      <c r="N4047" s="27">
        <f>F4047-J4047</f>
        <v/>
      </c>
      <c r="O4047" s="16">
        <f>I4047-H4047</f>
        <v/>
      </c>
      <c r="P4047" s="14">
        <f>F4047*G4047</f>
        <v/>
      </c>
      <c r="Q4047" s="14">
        <f>J4047*G4047</f>
        <v/>
      </c>
      <c r="R4047" s="14">
        <f>K4047-Q4047</f>
        <v/>
      </c>
      <c r="S4047" s="3">
        <f>P4047*Assumptions!$B$3/100</f>
        <v/>
      </c>
      <c r="T4047" s="14">
        <f>R4047-S4047</f>
        <v/>
      </c>
      <c r="U4047" s="14">
        <f>L4047*G4047</f>
        <v/>
      </c>
    </row>
    <row r="4048">
      <c r="A4048" s="12" t="inlineStr">
        <is>
          <t>PO-2023-4046</t>
        </is>
      </c>
      <c r="B4048" s="26" t="n">
        <v>44406</v>
      </c>
      <c r="C4048" s="12" t="inlineStr">
        <is>
          <t>VS10</t>
        </is>
      </c>
      <c r="D4048" s="12" t="inlineStr">
        <is>
          <t>HR Coils</t>
        </is>
      </c>
      <c r="E4048" s="12" t="inlineStr">
        <is>
          <t>N</t>
        </is>
      </c>
      <c r="F4048" s="12" t="n">
        <v>48.91</v>
      </c>
      <c r="G4048" s="17" t="n">
        <v>104495.91</v>
      </c>
      <c r="H4048" s="26" t="n">
        <v>44409</v>
      </c>
      <c r="I4048" s="26" t="n">
        <v>44412</v>
      </c>
      <c r="J4048" s="12" t="n">
        <v>48.43</v>
      </c>
      <c r="K4048" s="17" t="n">
        <v>5110894.96</v>
      </c>
      <c r="L4048" s="12" t="n">
        <v>0</v>
      </c>
      <c r="M4048" s="12" t="n">
        <v>10</v>
      </c>
      <c r="N4048" s="27">
        <f>F4048-J4048</f>
        <v/>
      </c>
      <c r="O4048" s="16">
        <f>I4048-H4048</f>
        <v/>
      </c>
      <c r="P4048" s="14">
        <f>F4048*G4048</f>
        <v/>
      </c>
      <c r="Q4048" s="14">
        <f>J4048*G4048</f>
        <v/>
      </c>
      <c r="R4048" s="14">
        <f>K4048-Q4048</f>
        <v/>
      </c>
      <c r="S4048" s="3">
        <f>P4048*Assumptions!$B$3/100</f>
        <v/>
      </c>
      <c r="T4048" s="14">
        <f>R4048-S4048</f>
        <v/>
      </c>
      <c r="U4048" s="14">
        <f>L4048*G4048</f>
        <v/>
      </c>
    </row>
    <row r="4049">
      <c r="A4049" s="12" t="inlineStr">
        <is>
          <t>PO-2023-4047</t>
        </is>
      </c>
      <c r="B4049" s="26" t="n">
        <v>44603</v>
      </c>
      <c r="C4049" s="12" t="inlineStr">
        <is>
          <t>VS26</t>
        </is>
      </c>
      <c r="D4049" s="12" t="inlineStr">
        <is>
          <t>Spring Steel</t>
        </is>
      </c>
      <c r="E4049" s="12" t="inlineStr">
        <is>
          <t>N</t>
        </is>
      </c>
      <c r="F4049" s="12" t="n">
        <v>49.53</v>
      </c>
      <c r="G4049" s="17" t="n">
        <v>53537.31</v>
      </c>
      <c r="H4049" s="26" t="n">
        <v>44616</v>
      </c>
      <c r="I4049" s="26" t="n">
        <v>44617</v>
      </c>
      <c r="J4049" s="12" t="n">
        <v>49.15</v>
      </c>
      <c r="K4049" s="17" t="n">
        <v>2651702.96</v>
      </c>
      <c r="L4049" s="12" t="n">
        <v>0</v>
      </c>
      <c r="M4049" s="12" t="n">
        <v>15</v>
      </c>
      <c r="N4049" s="27">
        <f>F4049-J4049</f>
        <v/>
      </c>
      <c r="O4049" s="16">
        <f>I4049-H4049</f>
        <v/>
      </c>
      <c r="P4049" s="14">
        <f>F4049*G4049</f>
        <v/>
      </c>
      <c r="Q4049" s="14">
        <f>J4049*G4049</f>
        <v/>
      </c>
      <c r="R4049" s="14">
        <f>K4049-Q4049</f>
        <v/>
      </c>
      <c r="S4049" s="3">
        <f>P4049*Assumptions!$B$3/100</f>
        <v/>
      </c>
      <c r="T4049" s="14">
        <f>R4049-S4049</f>
        <v/>
      </c>
      <c r="U4049" s="14">
        <f>L4049*G4049</f>
        <v/>
      </c>
    </row>
    <row r="4050">
      <c r="A4050" s="12" t="inlineStr">
        <is>
          <t>PO-2023-4048</t>
        </is>
      </c>
      <c r="B4050" s="26" t="n">
        <v>45002</v>
      </c>
      <c r="C4050" s="12" t="inlineStr">
        <is>
          <t>VS05</t>
        </is>
      </c>
      <c r="D4050" s="12" t="inlineStr">
        <is>
          <t>GI Pipes</t>
        </is>
      </c>
      <c r="E4050" s="12" t="inlineStr">
        <is>
          <t>N</t>
        </is>
      </c>
      <c r="F4050" s="12" t="n">
        <v>29.56</v>
      </c>
      <c r="G4050" s="17" t="n">
        <v>77843.28999999999</v>
      </c>
      <c r="H4050" s="26" t="n">
        <v>45012</v>
      </c>
      <c r="I4050" s="26" t="n">
        <v>45014</v>
      </c>
      <c r="J4050" s="12" t="n">
        <v>29.28</v>
      </c>
      <c r="K4050" s="17" t="n">
        <v>2301047.65</v>
      </c>
      <c r="L4050" s="12" t="n">
        <v>0</v>
      </c>
      <c r="M4050" s="12" t="n">
        <v>17</v>
      </c>
      <c r="N4050" s="27">
        <f>F4050-J4050</f>
        <v/>
      </c>
      <c r="O4050" s="16">
        <f>I4050-H4050</f>
        <v/>
      </c>
      <c r="P4050" s="14">
        <f>F4050*G4050</f>
        <v/>
      </c>
      <c r="Q4050" s="14">
        <f>J4050*G4050</f>
        <v/>
      </c>
      <c r="R4050" s="14">
        <f>K4050-Q4050</f>
        <v/>
      </c>
      <c r="S4050" s="3">
        <f>P4050*Assumptions!$B$3/100</f>
        <v/>
      </c>
      <c r="T4050" s="14">
        <f>R4050-S4050</f>
        <v/>
      </c>
      <c r="U4050" s="14">
        <f>L4050*G4050</f>
        <v/>
      </c>
    </row>
    <row r="4051">
      <c r="A4051" s="12" t="inlineStr">
        <is>
          <t>PO-2023-4049</t>
        </is>
      </c>
      <c r="B4051" s="26" t="n">
        <v>45111</v>
      </c>
      <c r="C4051" s="12" t="inlineStr">
        <is>
          <t>VS04</t>
        </is>
      </c>
      <c r="D4051" s="12" t="inlineStr">
        <is>
          <t>Square/Rect Tubes</t>
        </is>
      </c>
      <c r="E4051" s="12" t="inlineStr">
        <is>
          <t>N</t>
        </is>
      </c>
      <c r="F4051" s="12" t="n">
        <v>12.37</v>
      </c>
      <c r="G4051" s="17" t="n">
        <v>118014.2</v>
      </c>
      <c r="H4051" s="26" t="n">
        <v>45126</v>
      </c>
      <c r="I4051" s="26" t="n">
        <v>45126</v>
      </c>
      <c r="J4051" s="12" t="n">
        <v>12.36</v>
      </c>
      <c r="K4051" s="17" t="n">
        <v>1459835.65</v>
      </c>
      <c r="L4051" s="12" t="n">
        <v>0</v>
      </c>
      <c r="M4051" s="12" t="n">
        <v>2</v>
      </c>
      <c r="N4051" s="27">
        <f>F4051-J4051</f>
        <v/>
      </c>
      <c r="O4051" s="16">
        <f>I4051-H4051</f>
        <v/>
      </c>
      <c r="P4051" s="14">
        <f>F4051*G4051</f>
        <v/>
      </c>
      <c r="Q4051" s="14">
        <f>J4051*G4051</f>
        <v/>
      </c>
      <c r="R4051" s="14">
        <f>K4051-Q4051</f>
        <v/>
      </c>
      <c r="S4051" s="3">
        <f>P4051*Assumptions!$B$3/100</f>
        <v/>
      </c>
      <c r="T4051" s="14">
        <f>R4051-S4051</f>
        <v/>
      </c>
      <c r="U4051" s="14">
        <f>L4051*G4051</f>
        <v/>
      </c>
    </row>
    <row r="4052">
      <c r="A4052" s="12" t="inlineStr">
        <is>
          <t>PO-2023-4050</t>
        </is>
      </c>
      <c r="B4052" s="26" t="n">
        <v>44743</v>
      </c>
      <c r="C4052" s="12" t="inlineStr">
        <is>
          <t>VS23</t>
        </is>
      </c>
      <c r="D4052" s="12" t="inlineStr">
        <is>
          <t>GI Wire</t>
        </is>
      </c>
      <c r="E4052" s="12" t="inlineStr">
        <is>
          <t>N</t>
        </is>
      </c>
      <c r="F4052" s="12" t="n">
        <v>26.11</v>
      </c>
      <c r="G4052" s="17" t="n">
        <v>64755.34</v>
      </c>
      <c r="H4052" s="26" t="n">
        <v>44753</v>
      </c>
      <c r="I4052" s="26" t="n">
        <v>44754</v>
      </c>
      <c r="J4052" s="12" t="n">
        <v>26.06</v>
      </c>
      <c r="K4052" s="17" t="n">
        <v>1690761.93</v>
      </c>
      <c r="L4052" s="12" t="n">
        <v>0</v>
      </c>
      <c r="M4052" s="12" t="n">
        <v>10</v>
      </c>
      <c r="N4052" s="27">
        <f>F4052-J4052</f>
        <v/>
      </c>
      <c r="O4052" s="16">
        <f>I4052-H4052</f>
        <v/>
      </c>
      <c r="P4052" s="14">
        <f>F4052*G4052</f>
        <v/>
      </c>
      <c r="Q4052" s="14">
        <f>J4052*G4052</f>
        <v/>
      </c>
      <c r="R4052" s="14">
        <f>K4052-Q4052</f>
        <v/>
      </c>
      <c r="S4052" s="3">
        <f>P4052*Assumptions!$B$3/100</f>
        <v/>
      </c>
      <c r="T4052" s="14">
        <f>R4052-S4052</f>
        <v/>
      </c>
      <c r="U4052" s="14">
        <f>L4052*G4052</f>
        <v/>
      </c>
    </row>
    <row r="4053">
      <c r="A4053" s="12" t="inlineStr">
        <is>
          <t>PO-2023-4051</t>
        </is>
      </c>
      <c r="B4053" s="26" t="n">
        <v>44797</v>
      </c>
      <c r="C4053" s="12" t="inlineStr">
        <is>
          <t>VS02</t>
        </is>
      </c>
      <c r="D4053" s="12" t="inlineStr">
        <is>
          <t>HR Coils</t>
        </is>
      </c>
      <c r="E4053" s="12" t="inlineStr">
        <is>
          <t>N</t>
        </is>
      </c>
      <c r="F4053" s="12" t="n">
        <v>41.15</v>
      </c>
      <c r="G4053" s="17" t="n">
        <v>76744.38</v>
      </c>
      <c r="H4053" s="26" t="n">
        <v>44806</v>
      </c>
      <c r="I4053" s="26" t="n">
        <v>44809</v>
      </c>
      <c r="J4053" s="12" t="n">
        <v>40.97</v>
      </c>
      <c r="K4053" s="17" t="n">
        <v>3158031.24</v>
      </c>
      <c r="L4053" s="12" t="n">
        <v>0</v>
      </c>
      <c r="M4053" s="12" t="n">
        <v>0</v>
      </c>
      <c r="N4053" s="27">
        <f>F4053-J4053</f>
        <v/>
      </c>
      <c r="O4053" s="16">
        <f>I4053-H4053</f>
        <v/>
      </c>
      <c r="P4053" s="14">
        <f>F4053*G4053</f>
        <v/>
      </c>
      <c r="Q4053" s="14">
        <f>J4053*G4053</f>
        <v/>
      </c>
      <c r="R4053" s="14">
        <f>K4053-Q4053</f>
        <v/>
      </c>
      <c r="S4053" s="3">
        <f>P4053*Assumptions!$B$3/100</f>
        <v/>
      </c>
      <c r="T4053" s="14">
        <f>R4053-S4053</f>
        <v/>
      </c>
      <c r="U4053" s="14">
        <f>L4053*G4053</f>
        <v/>
      </c>
    </row>
    <row r="4054">
      <c r="A4054" s="12" t="inlineStr">
        <is>
          <t>PO-2023-4052</t>
        </is>
      </c>
      <c r="B4054" s="26" t="n">
        <v>44807</v>
      </c>
      <c r="C4054" s="12" t="inlineStr">
        <is>
          <t>VS02</t>
        </is>
      </c>
      <c r="D4054" s="12" t="inlineStr">
        <is>
          <t>SS Pipes</t>
        </is>
      </c>
      <c r="E4054" s="12" t="inlineStr">
        <is>
          <t>Y</t>
        </is>
      </c>
      <c r="F4054" s="12" t="n">
        <v>22.17</v>
      </c>
      <c r="G4054" s="17" t="n">
        <v>115322.38</v>
      </c>
      <c r="H4054" s="26" t="n">
        <v>44819</v>
      </c>
      <c r="I4054" s="26" t="n">
        <v>44820</v>
      </c>
      <c r="J4054" s="12" t="n">
        <v>21.98</v>
      </c>
      <c r="K4054" s="17" t="n">
        <v>2556697.16</v>
      </c>
      <c r="L4054" s="12" t="n">
        <v>0</v>
      </c>
      <c r="M4054" s="12" t="n">
        <v>0</v>
      </c>
      <c r="N4054" s="27">
        <f>F4054-J4054</f>
        <v/>
      </c>
      <c r="O4054" s="16">
        <f>I4054-H4054</f>
        <v/>
      </c>
      <c r="P4054" s="14">
        <f>F4054*G4054</f>
        <v/>
      </c>
      <c r="Q4054" s="14">
        <f>J4054*G4054</f>
        <v/>
      </c>
      <c r="R4054" s="14">
        <f>K4054-Q4054</f>
        <v/>
      </c>
      <c r="S4054" s="3">
        <f>P4054*Assumptions!$B$3/100</f>
        <v/>
      </c>
      <c r="T4054" s="14">
        <f>R4054-S4054</f>
        <v/>
      </c>
      <c r="U4054" s="14">
        <f>L4054*G4054</f>
        <v/>
      </c>
    </row>
    <row r="4055">
      <c r="A4055" s="12" t="inlineStr">
        <is>
          <t>PO-2023-4053</t>
        </is>
      </c>
      <c r="B4055" s="26" t="n">
        <v>44850</v>
      </c>
      <c r="C4055" s="12" t="inlineStr">
        <is>
          <t>VS31</t>
        </is>
      </c>
      <c r="D4055" s="12" t="inlineStr">
        <is>
          <t>GI Sheets</t>
        </is>
      </c>
      <c r="E4055" s="12" t="inlineStr">
        <is>
          <t>Y</t>
        </is>
      </c>
      <c r="F4055" s="12" t="n">
        <v>38.16</v>
      </c>
      <c r="G4055" s="17" t="n">
        <v>82952.39</v>
      </c>
      <c r="H4055" s="26" t="n">
        <v>44856</v>
      </c>
      <c r="I4055" s="26" t="n">
        <v>44856</v>
      </c>
      <c r="J4055" s="12" t="n">
        <v>38.02</v>
      </c>
      <c r="K4055" s="17" t="n">
        <v>3165463.2</v>
      </c>
      <c r="L4055" s="12" t="n">
        <v>0</v>
      </c>
      <c r="M4055" s="12" t="n">
        <v>0</v>
      </c>
      <c r="N4055" s="27">
        <f>F4055-J4055</f>
        <v/>
      </c>
      <c r="O4055" s="16">
        <f>I4055-H4055</f>
        <v/>
      </c>
      <c r="P4055" s="14">
        <f>F4055*G4055</f>
        <v/>
      </c>
      <c r="Q4055" s="14">
        <f>J4055*G4055</f>
        <v/>
      </c>
      <c r="R4055" s="14">
        <f>K4055-Q4055</f>
        <v/>
      </c>
      <c r="S4055" s="3">
        <f>P4055*Assumptions!$B$3/100</f>
        <v/>
      </c>
      <c r="T4055" s="14">
        <f>R4055-S4055</f>
        <v/>
      </c>
      <c r="U4055" s="14">
        <f>L4055*G4055</f>
        <v/>
      </c>
    </row>
    <row r="4056">
      <c r="A4056" s="12" t="inlineStr">
        <is>
          <t>PO-2023-4054</t>
        </is>
      </c>
      <c r="B4056" s="26" t="n">
        <v>44440</v>
      </c>
      <c r="C4056" s="12" t="inlineStr">
        <is>
          <t>VS23</t>
        </is>
      </c>
      <c r="D4056" s="12" t="inlineStr">
        <is>
          <t>Structural Steel</t>
        </is>
      </c>
      <c r="E4056" s="12" t="inlineStr">
        <is>
          <t>N</t>
        </is>
      </c>
      <c r="F4056" s="12" t="n">
        <v>18.94</v>
      </c>
      <c r="G4056" s="17" t="n">
        <v>97981.39</v>
      </c>
      <c r="H4056" s="26" t="n">
        <v>44445</v>
      </c>
      <c r="I4056" s="26" t="n">
        <v>44446</v>
      </c>
      <c r="J4056" s="12" t="n">
        <v>18.92</v>
      </c>
      <c r="K4056" s="17" t="n">
        <v>1855767.53</v>
      </c>
      <c r="L4056" s="12" t="n">
        <v>0</v>
      </c>
      <c r="M4056" s="12" t="n">
        <v>0</v>
      </c>
      <c r="N4056" s="27">
        <f>F4056-J4056</f>
        <v/>
      </c>
      <c r="O4056" s="16">
        <f>I4056-H4056</f>
        <v/>
      </c>
      <c r="P4056" s="14">
        <f>F4056*G4056</f>
        <v/>
      </c>
      <c r="Q4056" s="14">
        <f>J4056*G4056</f>
        <v/>
      </c>
      <c r="R4056" s="14">
        <f>K4056-Q4056</f>
        <v/>
      </c>
      <c r="S4056" s="3">
        <f>P4056*Assumptions!$B$3/100</f>
        <v/>
      </c>
      <c r="T4056" s="14">
        <f>R4056-S4056</f>
        <v/>
      </c>
      <c r="U4056" s="14">
        <f>L4056*G4056</f>
        <v/>
      </c>
    </row>
    <row r="4057">
      <c r="A4057" s="12" t="inlineStr">
        <is>
          <t>PO-2023-4055</t>
        </is>
      </c>
      <c r="B4057" s="26" t="n">
        <v>44498</v>
      </c>
      <c r="C4057" s="12" t="inlineStr">
        <is>
          <t>VS29</t>
        </is>
      </c>
      <c r="D4057" s="12" t="inlineStr">
        <is>
          <t>HR Coils</t>
        </is>
      </c>
      <c r="E4057" s="12" t="inlineStr">
        <is>
          <t>N</t>
        </is>
      </c>
      <c r="F4057" s="12" t="n">
        <v>6.12</v>
      </c>
      <c r="G4057" s="17" t="n">
        <v>74512.71000000001</v>
      </c>
      <c r="H4057" s="26" t="n">
        <v>44509</v>
      </c>
      <c r="I4057" s="26" t="n">
        <v>44509</v>
      </c>
      <c r="J4057" s="12" t="n">
        <v>6.12</v>
      </c>
      <c r="K4057" s="17" t="n">
        <v>456017.79</v>
      </c>
      <c r="L4057" s="12" t="n">
        <v>0</v>
      </c>
      <c r="M4057" s="12" t="n">
        <v>11</v>
      </c>
      <c r="N4057" s="27">
        <f>F4057-J4057</f>
        <v/>
      </c>
      <c r="O4057" s="16">
        <f>I4057-H4057</f>
        <v/>
      </c>
      <c r="P4057" s="14">
        <f>F4057*G4057</f>
        <v/>
      </c>
      <c r="Q4057" s="14">
        <f>J4057*G4057</f>
        <v/>
      </c>
      <c r="R4057" s="14">
        <f>K4057-Q4057</f>
        <v/>
      </c>
      <c r="S4057" s="3">
        <f>P4057*Assumptions!$B$3/100</f>
        <v/>
      </c>
      <c r="T4057" s="14">
        <f>R4057-S4057</f>
        <v/>
      </c>
      <c r="U4057" s="14">
        <f>L4057*G4057</f>
        <v/>
      </c>
    </row>
    <row r="4058">
      <c r="A4058" s="12" t="inlineStr">
        <is>
          <t>PO-2023-4056</t>
        </is>
      </c>
      <c r="B4058" s="26" t="n">
        <v>44623</v>
      </c>
      <c r="C4058" s="12" t="inlineStr">
        <is>
          <t>VS03</t>
        </is>
      </c>
      <c r="D4058" s="12" t="inlineStr">
        <is>
          <t>Square/Rect Tubes</t>
        </is>
      </c>
      <c r="E4058" s="12" t="inlineStr">
        <is>
          <t>N</t>
        </is>
      </c>
      <c r="F4058" s="12" t="n">
        <v>28.68</v>
      </c>
      <c r="G4058" s="17" t="n">
        <v>53720.8</v>
      </c>
      <c r="H4058" s="26" t="n">
        <v>44634</v>
      </c>
      <c r="I4058" s="26" t="n">
        <v>44636</v>
      </c>
      <c r="J4058" s="12" t="n">
        <v>28.07</v>
      </c>
      <c r="K4058" s="17" t="n">
        <v>1540712.54</v>
      </c>
      <c r="L4058" s="12" t="n">
        <v>0.18</v>
      </c>
      <c r="M4058" s="12" t="n">
        <v>0</v>
      </c>
      <c r="N4058" s="27">
        <f>F4058-J4058</f>
        <v/>
      </c>
      <c r="O4058" s="16">
        <f>I4058-H4058</f>
        <v/>
      </c>
      <c r="P4058" s="14">
        <f>F4058*G4058</f>
        <v/>
      </c>
      <c r="Q4058" s="14">
        <f>J4058*G4058</f>
        <v/>
      </c>
      <c r="R4058" s="14">
        <f>K4058-Q4058</f>
        <v/>
      </c>
      <c r="S4058" s="3">
        <f>P4058*Assumptions!$B$3/100</f>
        <v/>
      </c>
      <c r="T4058" s="14">
        <f>R4058-S4058</f>
        <v/>
      </c>
      <c r="U4058" s="14">
        <f>L4058*G4058</f>
        <v/>
      </c>
    </row>
    <row r="4059">
      <c r="A4059" s="12" t="inlineStr">
        <is>
          <t>PO-2023-4057</t>
        </is>
      </c>
      <c r="B4059" s="26" t="n">
        <v>44951</v>
      </c>
      <c r="C4059" s="12" t="inlineStr">
        <is>
          <t>VS20</t>
        </is>
      </c>
      <c r="D4059" s="12" t="inlineStr">
        <is>
          <t>MS Sheets</t>
        </is>
      </c>
      <c r="E4059" s="12" t="inlineStr">
        <is>
          <t>Y</t>
        </is>
      </c>
      <c r="F4059" s="12" t="n">
        <v>49.8</v>
      </c>
      <c r="G4059" s="17" t="n">
        <v>62007.65</v>
      </c>
      <c r="H4059" s="26" t="n">
        <v>44956</v>
      </c>
      <c r="I4059" s="26" t="n">
        <v>44958</v>
      </c>
      <c r="J4059" s="12" t="n">
        <v>49.32</v>
      </c>
      <c r="K4059" s="17" t="n">
        <v>3087980.97</v>
      </c>
      <c r="L4059" s="12" t="n">
        <v>0</v>
      </c>
      <c r="M4059" s="12" t="n">
        <v>7</v>
      </c>
      <c r="N4059" s="27">
        <f>F4059-J4059</f>
        <v/>
      </c>
      <c r="O4059" s="16">
        <f>I4059-H4059</f>
        <v/>
      </c>
      <c r="P4059" s="14">
        <f>F4059*G4059</f>
        <v/>
      </c>
      <c r="Q4059" s="14">
        <f>J4059*G4059</f>
        <v/>
      </c>
      <c r="R4059" s="14">
        <f>K4059-Q4059</f>
        <v/>
      </c>
      <c r="S4059" s="3">
        <f>P4059*Assumptions!$B$3/100</f>
        <v/>
      </c>
      <c r="T4059" s="14">
        <f>R4059-S4059</f>
        <v/>
      </c>
      <c r="U4059" s="14">
        <f>L4059*G4059</f>
        <v/>
      </c>
    </row>
    <row r="4060">
      <c r="A4060" s="12" t="inlineStr">
        <is>
          <t>PO-2023-4058</t>
        </is>
      </c>
      <c r="B4060" s="26" t="n">
        <v>44811</v>
      </c>
      <c r="C4060" s="12" t="inlineStr">
        <is>
          <t>VS06</t>
        </is>
      </c>
      <c r="D4060" s="12" t="inlineStr">
        <is>
          <t>MS Rods</t>
        </is>
      </c>
      <c r="E4060" s="12" t="inlineStr">
        <is>
          <t>Y</t>
        </is>
      </c>
      <c r="F4060" s="12" t="n">
        <v>42.87</v>
      </c>
      <c r="G4060" s="17" t="n">
        <v>100229.1</v>
      </c>
      <c r="H4060" s="26" t="n">
        <v>44815</v>
      </c>
      <c r="I4060" s="26" t="n">
        <v>44818</v>
      </c>
      <c r="J4060" s="12" t="n">
        <v>42.8</v>
      </c>
      <c r="K4060" s="17" t="n">
        <v>4296821.52</v>
      </c>
      <c r="L4060" s="12" t="n">
        <v>0</v>
      </c>
      <c r="M4060" s="12" t="n">
        <v>0</v>
      </c>
      <c r="N4060" s="27">
        <f>F4060-J4060</f>
        <v/>
      </c>
      <c r="O4060" s="16">
        <f>I4060-H4060</f>
        <v/>
      </c>
      <c r="P4060" s="14">
        <f>F4060*G4060</f>
        <v/>
      </c>
      <c r="Q4060" s="14">
        <f>J4060*G4060</f>
        <v/>
      </c>
      <c r="R4060" s="14">
        <f>K4060-Q4060</f>
        <v/>
      </c>
      <c r="S4060" s="3">
        <f>P4060*Assumptions!$B$3/100</f>
        <v/>
      </c>
      <c r="T4060" s="14">
        <f>R4060-S4060</f>
        <v/>
      </c>
      <c r="U4060" s="14">
        <f>L4060*G4060</f>
        <v/>
      </c>
    </row>
    <row r="4061">
      <c r="A4061" s="12" t="inlineStr">
        <is>
          <t>PO-2023-4059</t>
        </is>
      </c>
      <c r="B4061" s="26" t="n">
        <v>44907</v>
      </c>
      <c r="C4061" s="12" t="inlineStr">
        <is>
          <t>VS17</t>
        </is>
      </c>
      <c r="D4061" s="12" t="inlineStr">
        <is>
          <t>Spring Steel</t>
        </is>
      </c>
      <c r="E4061" s="12" t="inlineStr">
        <is>
          <t>N</t>
        </is>
      </c>
      <c r="F4061" s="12" t="n">
        <v>13.12</v>
      </c>
      <c r="G4061" s="17" t="n">
        <v>77464.53</v>
      </c>
      <c r="H4061" s="26" t="n">
        <v>44916</v>
      </c>
      <c r="I4061" s="26" t="n">
        <v>44919</v>
      </c>
      <c r="J4061" s="12" t="n">
        <v>13.11</v>
      </c>
      <c r="K4061" s="17" t="n">
        <v>1016334.63</v>
      </c>
      <c r="L4061" s="12" t="n">
        <v>0</v>
      </c>
      <c r="M4061" s="12" t="n">
        <v>0</v>
      </c>
      <c r="N4061" s="27">
        <f>F4061-J4061</f>
        <v/>
      </c>
      <c r="O4061" s="16">
        <f>I4061-H4061</f>
        <v/>
      </c>
      <c r="P4061" s="14">
        <f>F4061*G4061</f>
        <v/>
      </c>
      <c r="Q4061" s="14">
        <f>J4061*G4061</f>
        <v/>
      </c>
      <c r="R4061" s="14">
        <f>K4061-Q4061</f>
        <v/>
      </c>
      <c r="S4061" s="3">
        <f>P4061*Assumptions!$B$3/100</f>
        <v/>
      </c>
      <c r="T4061" s="14">
        <f>R4061-S4061</f>
        <v/>
      </c>
      <c r="U4061" s="14">
        <f>L4061*G4061</f>
        <v/>
      </c>
    </row>
    <row r="4062">
      <c r="A4062" s="12" t="inlineStr">
        <is>
          <t>PO-2023-4060</t>
        </is>
      </c>
      <c r="B4062" s="26" t="n">
        <v>44246</v>
      </c>
      <c r="C4062" s="12" t="inlineStr">
        <is>
          <t>VS30</t>
        </is>
      </c>
      <c r="D4062" s="12" t="inlineStr">
        <is>
          <t>GI Sheets</t>
        </is>
      </c>
      <c r="E4062" s="12" t="inlineStr">
        <is>
          <t>Y</t>
        </is>
      </c>
      <c r="F4062" s="12" t="n">
        <v>15.69</v>
      </c>
      <c r="G4062" s="17" t="n">
        <v>104603.19</v>
      </c>
      <c r="H4062" s="26" t="n">
        <v>44256</v>
      </c>
      <c r="I4062" s="26" t="n">
        <v>44259</v>
      </c>
      <c r="J4062" s="12" t="n">
        <v>15.55</v>
      </c>
      <c r="K4062" s="17" t="n">
        <v>1641224.05</v>
      </c>
      <c r="L4062" s="12" t="n">
        <v>0</v>
      </c>
      <c r="M4062" s="12" t="n">
        <v>0</v>
      </c>
      <c r="N4062" s="27">
        <f>F4062-J4062</f>
        <v/>
      </c>
      <c r="O4062" s="16">
        <f>I4062-H4062</f>
        <v/>
      </c>
      <c r="P4062" s="14">
        <f>F4062*G4062</f>
        <v/>
      </c>
      <c r="Q4062" s="14">
        <f>J4062*G4062</f>
        <v/>
      </c>
      <c r="R4062" s="14">
        <f>K4062-Q4062</f>
        <v/>
      </c>
      <c r="S4062" s="3">
        <f>P4062*Assumptions!$B$3/100</f>
        <v/>
      </c>
      <c r="T4062" s="14">
        <f>R4062-S4062</f>
        <v/>
      </c>
      <c r="U4062" s="14">
        <f>L4062*G4062</f>
        <v/>
      </c>
    </row>
    <row r="4063">
      <c r="A4063" s="12" t="inlineStr">
        <is>
          <t>PO-2023-4061</t>
        </is>
      </c>
      <c r="B4063" s="26" t="n">
        <v>44718</v>
      </c>
      <c r="C4063" s="12" t="inlineStr">
        <is>
          <t>VS25</t>
        </is>
      </c>
      <c r="D4063" s="12" t="inlineStr">
        <is>
          <t>MS Sheets</t>
        </is>
      </c>
      <c r="E4063" s="12" t="inlineStr">
        <is>
          <t>Y</t>
        </is>
      </c>
      <c r="F4063" s="12" t="n">
        <v>36.63</v>
      </c>
      <c r="G4063" s="17" t="n">
        <v>70903.27</v>
      </c>
      <c r="H4063" s="26" t="n">
        <v>44731</v>
      </c>
      <c r="I4063" s="26" t="n">
        <v>44731</v>
      </c>
      <c r="J4063" s="12" t="n">
        <v>36.28</v>
      </c>
      <c r="K4063" s="17" t="n">
        <v>2597186.78</v>
      </c>
      <c r="L4063" s="12" t="n">
        <v>0</v>
      </c>
      <c r="M4063" s="12" t="n">
        <v>0</v>
      </c>
      <c r="N4063" s="27">
        <f>F4063-J4063</f>
        <v/>
      </c>
      <c r="O4063" s="16">
        <f>I4063-H4063</f>
        <v/>
      </c>
      <c r="P4063" s="14">
        <f>F4063*G4063</f>
        <v/>
      </c>
      <c r="Q4063" s="14">
        <f>J4063*G4063</f>
        <v/>
      </c>
      <c r="R4063" s="14">
        <f>K4063-Q4063</f>
        <v/>
      </c>
      <c r="S4063" s="3">
        <f>P4063*Assumptions!$B$3/100</f>
        <v/>
      </c>
      <c r="T4063" s="14">
        <f>R4063-S4063</f>
        <v/>
      </c>
      <c r="U4063" s="14">
        <f>L4063*G4063</f>
        <v/>
      </c>
    </row>
    <row r="4064">
      <c r="A4064" s="12" t="inlineStr">
        <is>
          <t>PO-2023-4062</t>
        </is>
      </c>
      <c r="B4064" s="26" t="n">
        <v>44927</v>
      </c>
      <c r="C4064" s="12" t="inlineStr">
        <is>
          <t>VS19</t>
        </is>
      </c>
      <c r="D4064" s="12" t="inlineStr">
        <is>
          <t>SS Pipes</t>
        </is>
      </c>
      <c r="E4064" s="12" t="inlineStr">
        <is>
          <t>N</t>
        </is>
      </c>
      <c r="F4064" s="12" t="n">
        <v>46.16</v>
      </c>
      <c r="G4064" s="17" t="n">
        <v>84790.38</v>
      </c>
      <c r="H4064" s="26" t="n">
        <v>44941</v>
      </c>
      <c r="I4064" s="26" t="n">
        <v>44948</v>
      </c>
      <c r="J4064" s="12" t="n">
        <v>44.34</v>
      </c>
      <c r="K4064" s="17" t="n">
        <v>3913923.94</v>
      </c>
      <c r="L4064" s="12" t="n">
        <v>1.92</v>
      </c>
      <c r="M4064" s="12" t="n">
        <v>21</v>
      </c>
      <c r="N4064" s="27">
        <f>F4064-J4064</f>
        <v/>
      </c>
      <c r="O4064" s="16">
        <f>I4064-H4064</f>
        <v/>
      </c>
      <c r="P4064" s="14">
        <f>F4064*G4064</f>
        <v/>
      </c>
      <c r="Q4064" s="14">
        <f>J4064*G4064</f>
        <v/>
      </c>
      <c r="R4064" s="14">
        <f>K4064-Q4064</f>
        <v/>
      </c>
      <c r="S4064" s="3">
        <f>P4064*Assumptions!$B$3/100</f>
        <v/>
      </c>
      <c r="T4064" s="14">
        <f>R4064-S4064</f>
        <v/>
      </c>
      <c r="U4064" s="14">
        <f>L4064*G4064</f>
        <v/>
      </c>
    </row>
    <row r="4065">
      <c r="A4065" s="12" t="inlineStr">
        <is>
          <t>PO-2023-4063</t>
        </is>
      </c>
      <c r="B4065" s="26" t="n">
        <v>44432</v>
      </c>
      <c r="C4065" s="12" t="inlineStr">
        <is>
          <t>VS28</t>
        </is>
      </c>
      <c r="D4065" s="12" t="inlineStr">
        <is>
          <t>SS Pipes</t>
        </is>
      </c>
      <c r="E4065" s="12" t="inlineStr">
        <is>
          <t>Y</t>
        </is>
      </c>
      <c r="F4065" s="12" t="n">
        <v>22.66</v>
      </c>
      <c r="G4065" s="17" t="n">
        <v>70250.25999999999</v>
      </c>
      <c r="H4065" s="26" t="n">
        <v>44437</v>
      </c>
      <c r="I4065" s="26" t="n">
        <v>44440</v>
      </c>
      <c r="J4065" s="12" t="n">
        <v>22.53</v>
      </c>
      <c r="K4065" s="17" t="n">
        <v>1591870.89</v>
      </c>
      <c r="L4065" s="12" t="n">
        <v>0</v>
      </c>
      <c r="M4065" s="12" t="n">
        <v>18</v>
      </c>
      <c r="N4065" s="27">
        <f>F4065-J4065</f>
        <v/>
      </c>
      <c r="O4065" s="16">
        <f>I4065-H4065</f>
        <v/>
      </c>
      <c r="P4065" s="14">
        <f>F4065*G4065</f>
        <v/>
      </c>
      <c r="Q4065" s="14">
        <f>J4065*G4065</f>
        <v/>
      </c>
      <c r="R4065" s="14">
        <f>K4065-Q4065</f>
        <v/>
      </c>
      <c r="S4065" s="3">
        <f>P4065*Assumptions!$B$3/100</f>
        <v/>
      </c>
      <c r="T4065" s="14">
        <f>R4065-S4065</f>
        <v/>
      </c>
      <c r="U4065" s="14">
        <f>L4065*G4065</f>
        <v/>
      </c>
    </row>
    <row r="4066">
      <c r="A4066" s="12" t="inlineStr">
        <is>
          <t>PO-2023-4064</t>
        </is>
      </c>
      <c r="B4066" s="26" t="n">
        <v>44536</v>
      </c>
      <c r="C4066" s="12" t="inlineStr">
        <is>
          <t>VS05</t>
        </is>
      </c>
      <c r="D4066" s="12" t="inlineStr">
        <is>
          <t>Hex Bars</t>
        </is>
      </c>
      <c r="E4066" s="12" t="inlineStr">
        <is>
          <t>N</t>
        </is>
      </c>
      <c r="F4066" s="12" t="n">
        <v>33.56</v>
      </c>
      <c r="G4066" s="17" t="n">
        <v>75336.71000000001</v>
      </c>
      <c r="H4066" s="26" t="n">
        <v>44547</v>
      </c>
      <c r="I4066" s="26" t="n">
        <v>44547</v>
      </c>
      <c r="J4066" s="12" t="n">
        <v>33.55</v>
      </c>
      <c r="K4066" s="17" t="n">
        <v>2528299.99</v>
      </c>
      <c r="L4066" s="12" t="n">
        <v>0</v>
      </c>
      <c r="M4066" s="12" t="n">
        <v>12</v>
      </c>
      <c r="N4066" s="27">
        <f>F4066-J4066</f>
        <v/>
      </c>
      <c r="O4066" s="16">
        <f>I4066-H4066</f>
        <v/>
      </c>
      <c r="P4066" s="14">
        <f>F4066*G4066</f>
        <v/>
      </c>
      <c r="Q4066" s="14">
        <f>J4066*G4066</f>
        <v/>
      </c>
      <c r="R4066" s="14">
        <f>K4066-Q4066</f>
        <v/>
      </c>
      <c r="S4066" s="3">
        <f>P4066*Assumptions!$B$3/100</f>
        <v/>
      </c>
      <c r="T4066" s="14">
        <f>R4066-S4066</f>
        <v/>
      </c>
      <c r="U4066" s="14">
        <f>L4066*G4066</f>
        <v/>
      </c>
    </row>
    <row r="4067">
      <c r="A4067" s="12" t="inlineStr">
        <is>
          <t>PO-2023-4065</t>
        </is>
      </c>
      <c r="B4067" s="26" t="n">
        <v>44344</v>
      </c>
      <c r="C4067" s="12" t="inlineStr">
        <is>
          <t>VS19</t>
        </is>
      </c>
      <c r="D4067" s="12" t="inlineStr">
        <is>
          <t>ERW Pipes</t>
        </is>
      </c>
      <c r="E4067" s="12" t="inlineStr">
        <is>
          <t>Y</t>
        </is>
      </c>
      <c r="F4067" s="12" t="n">
        <v>12.17</v>
      </c>
      <c r="G4067" s="17" t="n">
        <v>106330.24</v>
      </c>
      <c r="H4067" s="26" t="n">
        <v>44351</v>
      </c>
      <c r="I4067" s="26" t="n">
        <v>44357</v>
      </c>
      <c r="J4067" s="12" t="n">
        <v>11.6</v>
      </c>
      <c r="K4067" s="17" t="n">
        <v>1294039.02</v>
      </c>
      <c r="L4067" s="12" t="n">
        <v>0.23</v>
      </c>
      <c r="M4067" s="12" t="n">
        <v>0</v>
      </c>
      <c r="N4067" s="27">
        <f>F4067-J4067</f>
        <v/>
      </c>
      <c r="O4067" s="16">
        <f>I4067-H4067</f>
        <v/>
      </c>
      <c r="P4067" s="14">
        <f>F4067*G4067</f>
        <v/>
      </c>
      <c r="Q4067" s="14">
        <f>J4067*G4067</f>
        <v/>
      </c>
      <c r="R4067" s="14">
        <f>K4067-Q4067</f>
        <v/>
      </c>
      <c r="S4067" s="3">
        <f>P4067*Assumptions!$B$3/100</f>
        <v/>
      </c>
      <c r="T4067" s="14">
        <f>R4067-S4067</f>
        <v/>
      </c>
      <c r="U4067" s="14">
        <f>L4067*G4067</f>
        <v/>
      </c>
    </row>
    <row r="4068">
      <c r="A4068" s="12" t="inlineStr">
        <is>
          <t>PO-2023-4066</t>
        </is>
      </c>
      <c r="B4068" s="26" t="n">
        <v>45179</v>
      </c>
      <c r="C4068" s="12" t="inlineStr">
        <is>
          <t>VS25</t>
        </is>
      </c>
      <c r="D4068" s="12" t="inlineStr">
        <is>
          <t>GI Pipes</t>
        </is>
      </c>
      <c r="E4068" s="12" t="inlineStr">
        <is>
          <t>N</t>
        </is>
      </c>
      <c r="F4068" s="12" t="n">
        <v>35.56</v>
      </c>
      <c r="G4068" s="17" t="n">
        <v>64135.92</v>
      </c>
      <c r="H4068" s="26" t="n">
        <v>45190</v>
      </c>
      <c r="I4068" s="26" t="n">
        <v>45191</v>
      </c>
      <c r="J4068" s="12" t="n">
        <v>35.24</v>
      </c>
      <c r="K4068" s="17" t="n">
        <v>2280673.32</v>
      </c>
      <c r="L4068" s="12" t="n">
        <v>0</v>
      </c>
      <c r="M4068" s="12" t="n">
        <v>0</v>
      </c>
      <c r="N4068" s="27">
        <f>F4068-J4068</f>
        <v/>
      </c>
      <c r="O4068" s="16">
        <f>I4068-H4068</f>
        <v/>
      </c>
      <c r="P4068" s="14">
        <f>F4068*G4068</f>
        <v/>
      </c>
      <c r="Q4068" s="14">
        <f>J4068*G4068</f>
        <v/>
      </c>
      <c r="R4068" s="14">
        <f>K4068-Q4068</f>
        <v/>
      </c>
      <c r="S4068" s="3">
        <f>P4068*Assumptions!$B$3/100</f>
        <v/>
      </c>
      <c r="T4068" s="14">
        <f>R4068-S4068</f>
        <v/>
      </c>
      <c r="U4068" s="14">
        <f>L4068*G4068</f>
        <v/>
      </c>
    </row>
    <row r="4069">
      <c r="A4069" s="12" t="inlineStr">
        <is>
          <t>PO-2023-4067</t>
        </is>
      </c>
      <c r="B4069" s="26" t="n">
        <v>44613</v>
      </c>
      <c r="C4069" s="12" t="inlineStr">
        <is>
          <t>VS32</t>
        </is>
      </c>
      <c r="D4069" s="12" t="inlineStr">
        <is>
          <t>Fasteners &amp; Fittings</t>
        </is>
      </c>
      <c r="E4069" s="12" t="inlineStr">
        <is>
          <t>Y</t>
        </is>
      </c>
      <c r="F4069" s="12" t="n">
        <v>15.1</v>
      </c>
      <c r="G4069" s="17" t="n">
        <v>100195.8</v>
      </c>
      <c r="H4069" s="26" t="n">
        <v>44618</v>
      </c>
      <c r="I4069" s="26" t="n">
        <v>44621</v>
      </c>
      <c r="J4069" s="12" t="n">
        <v>15.09</v>
      </c>
      <c r="K4069" s="17" t="n">
        <v>1512956.58</v>
      </c>
      <c r="L4069" s="12" t="n">
        <v>0</v>
      </c>
      <c r="M4069" s="12" t="n">
        <v>15</v>
      </c>
      <c r="N4069" s="27">
        <f>F4069-J4069</f>
        <v/>
      </c>
      <c r="O4069" s="16">
        <f>I4069-H4069</f>
        <v/>
      </c>
      <c r="P4069" s="14">
        <f>F4069*G4069</f>
        <v/>
      </c>
      <c r="Q4069" s="14">
        <f>J4069*G4069</f>
        <v/>
      </c>
      <c r="R4069" s="14">
        <f>K4069-Q4069</f>
        <v/>
      </c>
      <c r="S4069" s="3">
        <f>P4069*Assumptions!$B$3/100</f>
        <v/>
      </c>
      <c r="T4069" s="14">
        <f>R4069-S4069</f>
        <v/>
      </c>
      <c r="U4069" s="14">
        <f>L4069*G4069</f>
        <v/>
      </c>
    </row>
    <row r="4070">
      <c r="A4070" s="12" t="inlineStr">
        <is>
          <t>PO-2023-4068</t>
        </is>
      </c>
      <c r="B4070" s="26" t="n">
        <v>44453</v>
      </c>
      <c r="C4070" s="12" t="inlineStr">
        <is>
          <t>VS26</t>
        </is>
      </c>
      <c r="D4070" s="12" t="inlineStr">
        <is>
          <t>SS Sheets</t>
        </is>
      </c>
      <c r="E4070" s="12" t="inlineStr">
        <is>
          <t>N</t>
        </is>
      </c>
      <c r="F4070" s="12" t="n">
        <v>33.56</v>
      </c>
      <c r="G4070" s="17" t="n">
        <v>119769.05</v>
      </c>
      <c r="H4070" s="26" t="n">
        <v>44459</v>
      </c>
      <c r="I4070" s="26" t="n">
        <v>44460</v>
      </c>
      <c r="J4070" s="12" t="n">
        <v>33.24</v>
      </c>
      <c r="K4070" s="17" t="n">
        <v>4019449.32</v>
      </c>
      <c r="L4070" s="12" t="n">
        <v>0</v>
      </c>
      <c r="M4070" s="12" t="n">
        <v>12</v>
      </c>
      <c r="N4070" s="27">
        <f>F4070-J4070</f>
        <v/>
      </c>
      <c r="O4070" s="16">
        <f>I4070-H4070</f>
        <v/>
      </c>
      <c r="P4070" s="14">
        <f>F4070*G4070</f>
        <v/>
      </c>
      <c r="Q4070" s="14">
        <f>J4070*G4070</f>
        <v/>
      </c>
      <c r="R4070" s="14">
        <f>K4070-Q4070</f>
        <v/>
      </c>
      <c r="S4070" s="3">
        <f>P4070*Assumptions!$B$3/100</f>
        <v/>
      </c>
      <c r="T4070" s="14">
        <f>R4070-S4070</f>
        <v/>
      </c>
      <c r="U4070" s="14">
        <f>L4070*G4070</f>
        <v/>
      </c>
    </row>
    <row r="4071">
      <c r="A4071" s="12" t="inlineStr">
        <is>
          <t>PO-2023-4069</t>
        </is>
      </c>
      <c r="B4071" s="26" t="n">
        <v>44255</v>
      </c>
      <c r="C4071" s="12" t="inlineStr">
        <is>
          <t>VS10</t>
        </is>
      </c>
      <c r="D4071" s="12" t="inlineStr">
        <is>
          <t>GI Wire</t>
        </is>
      </c>
      <c r="E4071" s="12" t="inlineStr">
        <is>
          <t>N</t>
        </is>
      </c>
      <c r="F4071" s="12" t="n">
        <v>48.13</v>
      </c>
      <c r="G4071" s="17" t="n">
        <v>92581.12</v>
      </c>
      <c r="H4071" s="26" t="n">
        <v>44269</v>
      </c>
      <c r="I4071" s="26" t="n">
        <v>44272</v>
      </c>
      <c r="J4071" s="12" t="n">
        <v>47.69</v>
      </c>
      <c r="K4071" s="17" t="n">
        <v>4455929.31</v>
      </c>
      <c r="L4071" s="12" t="n">
        <v>0</v>
      </c>
      <c r="M4071" s="12" t="n">
        <v>0</v>
      </c>
      <c r="N4071" s="27">
        <f>F4071-J4071</f>
        <v/>
      </c>
      <c r="O4071" s="16">
        <f>I4071-H4071</f>
        <v/>
      </c>
      <c r="P4071" s="14">
        <f>F4071*G4071</f>
        <v/>
      </c>
      <c r="Q4071" s="14">
        <f>J4071*G4071</f>
        <v/>
      </c>
      <c r="R4071" s="14">
        <f>K4071-Q4071</f>
        <v/>
      </c>
      <c r="S4071" s="3">
        <f>P4071*Assumptions!$B$3/100</f>
        <v/>
      </c>
      <c r="T4071" s="14">
        <f>R4071-S4071</f>
        <v/>
      </c>
      <c r="U4071" s="14">
        <f>L4071*G4071</f>
        <v/>
      </c>
    </row>
    <row r="4072">
      <c r="A4072" s="12" t="inlineStr">
        <is>
          <t>PO-2023-4070</t>
        </is>
      </c>
      <c r="B4072" s="26" t="n">
        <v>44257</v>
      </c>
      <c r="C4072" s="12" t="inlineStr">
        <is>
          <t>VS25</t>
        </is>
      </c>
      <c r="D4072" s="12" t="inlineStr">
        <is>
          <t>MS Sheets</t>
        </is>
      </c>
      <c r="E4072" s="12" t="inlineStr">
        <is>
          <t>Y</t>
        </is>
      </c>
      <c r="F4072" s="12" t="n">
        <v>6.71</v>
      </c>
      <c r="G4072" s="17" t="n">
        <v>111801.88</v>
      </c>
      <c r="H4072" s="26" t="n">
        <v>44266</v>
      </c>
      <c r="I4072" s="26" t="n">
        <v>44267</v>
      </c>
      <c r="J4072" s="12" t="n">
        <v>6.68</v>
      </c>
      <c r="K4072" s="17" t="n">
        <v>750190.61</v>
      </c>
      <c r="L4072" s="12" t="n">
        <v>0</v>
      </c>
      <c r="M4072" s="12" t="n">
        <v>0</v>
      </c>
      <c r="N4072" s="27">
        <f>F4072-J4072</f>
        <v/>
      </c>
      <c r="O4072" s="16">
        <f>I4072-H4072</f>
        <v/>
      </c>
      <c r="P4072" s="14">
        <f>F4072*G4072</f>
        <v/>
      </c>
      <c r="Q4072" s="14">
        <f>J4072*G4072</f>
        <v/>
      </c>
      <c r="R4072" s="14">
        <f>K4072-Q4072</f>
        <v/>
      </c>
      <c r="S4072" s="3">
        <f>P4072*Assumptions!$B$3/100</f>
        <v/>
      </c>
      <c r="T4072" s="14">
        <f>R4072-S4072</f>
        <v/>
      </c>
      <c r="U4072" s="14">
        <f>L4072*G4072</f>
        <v/>
      </c>
    </row>
    <row r="4073">
      <c r="A4073" s="12" t="inlineStr">
        <is>
          <t>PO-2023-4071</t>
        </is>
      </c>
      <c r="B4073" s="26" t="n">
        <v>44969</v>
      </c>
      <c r="C4073" s="12" t="inlineStr">
        <is>
          <t>VS29</t>
        </is>
      </c>
      <c r="D4073" s="12" t="inlineStr">
        <is>
          <t>Fasteners &amp; Fittings</t>
        </is>
      </c>
      <c r="E4073" s="12" t="inlineStr">
        <is>
          <t>N</t>
        </is>
      </c>
      <c r="F4073" s="12" t="n">
        <v>7.03</v>
      </c>
      <c r="G4073" s="17" t="n">
        <v>100969.12</v>
      </c>
      <c r="H4073" s="26" t="n">
        <v>44978</v>
      </c>
      <c r="I4073" s="26" t="n">
        <v>44978</v>
      </c>
      <c r="J4073" s="12" t="n">
        <v>7</v>
      </c>
      <c r="K4073" s="17" t="n">
        <v>709812.91</v>
      </c>
      <c r="L4073" s="12" t="n">
        <v>0</v>
      </c>
      <c r="M4073" s="12" t="n">
        <v>9</v>
      </c>
      <c r="N4073" s="27">
        <f>F4073-J4073</f>
        <v/>
      </c>
      <c r="O4073" s="16">
        <f>I4073-H4073</f>
        <v/>
      </c>
      <c r="P4073" s="14">
        <f>F4073*G4073</f>
        <v/>
      </c>
      <c r="Q4073" s="14">
        <f>J4073*G4073</f>
        <v/>
      </c>
      <c r="R4073" s="14">
        <f>K4073-Q4073</f>
        <v/>
      </c>
      <c r="S4073" s="3">
        <f>P4073*Assumptions!$B$3/100</f>
        <v/>
      </c>
      <c r="T4073" s="14">
        <f>R4073-S4073</f>
        <v/>
      </c>
      <c r="U4073" s="14">
        <f>L4073*G4073</f>
        <v/>
      </c>
    </row>
    <row r="4074">
      <c r="A4074" s="12" t="inlineStr">
        <is>
          <t>PO-2023-4072</t>
        </is>
      </c>
      <c r="B4074" s="26" t="n">
        <v>45044</v>
      </c>
      <c r="C4074" s="12" t="inlineStr">
        <is>
          <t>VS28</t>
        </is>
      </c>
      <c r="D4074" s="12" t="inlineStr">
        <is>
          <t>SS Pipes</t>
        </is>
      </c>
      <c r="E4074" s="12" t="inlineStr">
        <is>
          <t>Y</t>
        </is>
      </c>
      <c r="F4074" s="12" t="n">
        <v>1.07</v>
      </c>
      <c r="G4074" s="17" t="n">
        <v>119803.64</v>
      </c>
      <c r="H4074" s="26" t="n">
        <v>45058</v>
      </c>
      <c r="I4074" s="26" t="n">
        <v>45058</v>
      </c>
      <c r="J4074" s="12" t="n">
        <v>1.07</v>
      </c>
      <c r="K4074" s="17" t="n">
        <v>128189.89</v>
      </c>
      <c r="L4074" s="12" t="n">
        <v>0</v>
      </c>
      <c r="M4074" s="12" t="n">
        <v>9</v>
      </c>
      <c r="N4074" s="27">
        <f>F4074-J4074</f>
        <v/>
      </c>
      <c r="O4074" s="16">
        <f>I4074-H4074</f>
        <v/>
      </c>
      <c r="P4074" s="14">
        <f>F4074*G4074</f>
        <v/>
      </c>
      <c r="Q4074" s="14">
        <f>J4074*G4074</f>
        <v/>
      </c>
      <c r="R4074" s="14">
        <f>K4074-Q4074</f>
        <v/>
      </c>
      <c r="S4074" s="3">
        <f>P4074*Assumptions!$B$3/100</f>
        <v/>
      </c>
      <c r="T4074" s="14">
        <f>R4074-S4074</f>
        <v/>
      </c>
      <c r="U4074" s="14">
        <f>L4074*G4074</f>
        <v/>
      </c>
    </row>
    <row r="4075">
      <c r="A4075" s="12" t="inlineStr">
        <is>
          <t>PO-2023-4073</t>
        </is>
      </c>
      <c r="B4075" s="26" t="n">
        <v>45004</v>
      </c>
      <c r="C4075" s="12" t="inlineStr">
        <is>
          <t>VS16</t>
        </is>
      </c>
      <c r="D4075" s="12" t="inlineStr">
        <is>
          <t>CR Sheets</t>
        </is>
      </c>
      <c r="E4075" s="12" t="inlineStr">
        <is>
          <t>N</t>
        </is>
      </c>
      <c r="F4075" s="12" t="n">
        <v>9.52</v>
      </c>
      <c r="G4075" s="17" t="n">
        <v>116259.74</v>
      </c>
      <c r="H4075" s="26" t="n">
        <v>45007</v>
      </c>
      <c r="I4075" s="26" t="n">
        <v>45010</v>
      </c>
      <c r="J4075" s="12" t="n">
        <v>9.44</v>
      </c>
      <c r="K4075" s="17" t="n">
        <v>1106792.72</v>
      </c>
      <c r="L4075" s="12" t="n">
        <v>0</v>
      </c>
      <c r="M4075" s="12" t="n">
        <v>12</v>
      </c>
      <c r="N4075" s="27">
        <f>F4075-J4075</f>
        <v/>
      </c>
      <c r="O4075" s="16">
        <f>I4075-H4075</f>
        <v/>
      </c>
      <c r="P4075" s="14">
        <f>F4075*G4075</f>
        <v/>
      </c>
      <c r="Q4075" s="14">
        <f>J4075*G4075</f>
        <v/>
      </c>
      <c r="R4075" s="14">
        <f>K4075-Q4075</f>
        <v/>
      </c>
      <c r="S4075" s="3">
        <f>P4075*Assumptions!$B$3/100</f>
        <v/>
      </c>
      <c r="T4075" s="14">
        <f>R4075-S4075</f>
        <v/>
      </c>
      <c r="U4075" s="14">
        <f>L4075*G4075</f>
        <v/>
      </c>
    </row>
    <row r="4076">
      <c r="A4076" s="12" t="inlineStr">
        <is>
          <t>PO-2023-4074</t>
        </is>
      </c>
      <c r="B4076" s="26" t="n">
        <v>44472</v>
      </c>
      <c r="C4076" s="12" t="inlineStr">
        <is>
          <t>VS09</t>
        </is>
      </c>
      <c r="D4076" s="12" t="inlineStr">
        <is>
          <t>Square/Rect Tubes</t>
        </is>
      </c>
      <c r="E4076" s="12" t="inlineStr">
        <is>
          <t>N</t>
        </is>
      </c>
      <c r="F4076" s="12" t="n">
        <v>34.32</v>
      </c>
      <c r="G4076" s="17" t="n">
        <v>118413.63</v>
      </c>
      <c r="H4076" s="26" t="n">
        <v>44479</v>
      </c>
      <c r="I4076" s="26" t="n">
        <v>44482</v>
      </c>
      <c r="J4076" s="12" t="n">
        <v>33.98</v>
      </c>
      <c r="K4076" s="17" t="n">
        <v>4063955.78</v>
      </c>
      <c r="L4076" s="12" t="n">
        <v>0</v>
      </c>
      <c r="M4076" s="12" t="n">
        <v>25</v>
      </c>
      <c r="N4076" s="27">
        <f>F4076-J4076</f>
        <v/>
      </c>
      <c r="O4076" s="16">
        <f>I4076-H4076</f>
        <v/>
      </c>
      <c r="P4076" s="14">
        <f>F4076*G4076</f>
        <v/>
      </c>
      <c r="Q4076" s="14">
        <f>J4076*G4076</f>
        <v/>
      </c>
      <c r="R4076" s="14">
        <f>K4076-Q4076</f>
        <v/>
      </c>
      <c r="S4076" s="3">
        <f>P4076*Assumptions!$B$3/100</f>
        <v/>
      </c>
      <c r="T4076" s="14">
        <f>R4076-S4076</f>
        <v/>
      </c>
      <c r="U4076" s="14">
        <f>L4076*G4076</f>
        <v/>
      </c>
    </row>
    <row r="4077">
      <c r="A4077" s="12" t="inlineStr">
        <is>
          <t>PO-2023-4075</t>
        </is>
      </c>
      <c r="B4077" s="26" t="n">
        <v>44278</v>
      </c>
      <c r="C4077" s="12" t="inlineStr">
        <is>
          <t>VS05</t>
        </is>
      </c>
      <c r="D4077" s="12" t="inlineStr">
        <is>
          <t>GI Sheets</t>
        </is>
      </c>
      <c r="E4077" s="12" t="inlineStr">
        <is>
          <t>N</t>
        </is>
      </c>
      <c r="F4077" s="12" t="n">
        <v>36.53</v>
      </c>
      <c r="G4077" s="17" t="n">
        <v>117896.2</v>
      </c>
      <c r="H4077" s="26" t="n">
        <v>44289</v>
      </c>
      <c r="I4077" s="26" t="n">
        <v>44291</v>
      </c>
      <c r="J4077" s="12" t="n">
        <v>36.34</v>
      </c>
      <c r="K4077" s="17" t="n">
        <v>4306748.19</v>
      </c>
      <c r="L4077" s="12" t="n">
        <v>0</v>
      </c>
      <c r="M4077" s="12" t="n">
        <v>17</v>
      </c>
      <c r="N4077" s="27">
        <f>F4077-J4077</f>
        <v/>
      </c>
      <c r="O4077" s="16">
        <f>I4077-H4077</f>
        <v/>
      </c>
      <c r="P4077" s="14">
        <f>F4077*G4077</f>
        <v/>
      </c>
      <c r="Q4077" s="14">
        <f>J4077*G4077</f>
        <v/>
      </c>
      <c r="R4077" s="14">
        <f>K4077-Q4077</f>
        <v/>
      </c>
      <c r="S4077" s="3">
        <f>P4077*Assumptions!$B$3/100</f>
        <v/>
      </c>
      <c r="T4077" s="14">
        <f>R4077-S4077</f>
        <v/>
      </c>
      <c r="U4077" s="14">
        <f>L4077*G4077</f>
        <v/>
      </c>
    </row>
    <row r="4078">
      <c r="A4078" s="12" t="inlineStr">
        <is>
          <t>PO-2023-4076</t>
        </is>
      </c>
      <c r="B4078" s="26" t="n">
        <v>44649</v>
      </c>
      <c r="C4078" s="12" t="inlineStr">
        <is>
          <t>VS27</t>
        </is>
      </c>
      <c r="D4078" s="12" t="inlineStr">
        <is>
          <t>Structural Steel</t>
        </is>
      </c>
      <c r="E4078" s="12" t="inlineStr">
        <is>
          <t>N</t>
        </is>
      </c>
      <c r="F4078" s="12" t="n">
        <v>18.55</v>
      </c>
      <c r="G4078" s="17" t="n">
        <v>100527.7</v>
      </c>
      <c r="H4078" s="26" t="n">
        <v>44653</v>
      </c>
      <c r="I4078" s="26" t="n">
        <v>44655</v>
      </c>
      <c r="J4078" s="12" t="n">
        <v>18.53</v>
      </c>
      <c r="K4078" s="17" t="n">
        <v>1864788.83</v>
      </c>
      <c r="L4078" s="12" t="n">
        <v>0</v>
      </c>
      <c r="M4078" s="12" t="n">
        <v>0</v>
      </c>
      <c r="N4078" s="27">
        <f>F4078-J4078</f>
        <v/>
      </c>
      <c r="O4078" s="16">
        <f>I4078-H4078</f>
        <v/>
      </c>
      <c r="P4078" s="14">
        <f>F4078*G4078</f>
        <v/>
      </c>
      <c r="Q4078" s="14">
        <f>J4078*G4078</f>
        <v/>
      </c>
      <c r="R4078" s="14">
        <f>K4078-Q4078</f>
        <v/>
      </c>
      <c r="S4078" s="3">
        <f>P4078*Assumptions!$B$3/100</f>
        <v/>
      </c>
      <c r="T4078" s="14">
        <f>R4078-S4078</f>
        <v/>
      </c>
      <c r="U4078" s="14">
        <f>L4078*G4078</f>
        <v/>
      </c>
    </row>
    <row r="4079">
      <c r="A4079" s="12" t="inlineStr">
        <is>
          <t>PO-2023-4077</t>
        </is>
      </c>
      <c r="B4079" s="26" t="n">
        <v>45168</v>
      </c>
      <c r="C4079" s="12" t="inlineStr">
        <is>
          <t>VS29</t>
        </is>
      </c>
      <c r="D4079" s="12" t="inlineStr">
        <is>
          <t>SS Pipes</t>
        </is>
      </c>
      <c r="E4079" s="12" t="inlineStr">
        <is>
          <t>N</t>
        </is>
      </c>
      <c r="F4079" s="12" t="n">
        <v>17.04</v>
      </c>
      <c r="G4079" s="17" t="n">
        <v>92674.85000000001</v>
      </c>
      <c r="H4079" s="26" t="n">
        <v>45175</v>
      </c>
      <c r="I4079" s="26" t="n">
        <v>45176</v>
      </c>
      <c r="J4079" s="12" t="n">
        <v>16.88</v>
      </c>
      <c r="K4079" s="17" t="n">
        <v>1579179.44</v>
      </c>
      <c r="L4079" s="12" t="n">
        <v>0</v>
      </c>
      <c r="M4079" s="12" t="n">
        <v>0</v>
      </c>
      <c r="N4079" s="27">
        <f>F4079-J4079</f>
        <v/>
      </c>
      <c r="O4079" s="16">
        <f>I4079-H4079</f>
        <v/>
      </c>
      <c r="P4079" s="14">
        <f>F4079*G4079</f>
        <v/>
      </c>
      <c r="Q4079" s="14">
        <f>J4079*G4079</f>
        <v/>
      </c>
      <c r="R4079" s="14">
        <f>K4079-Q4079</f>
        <v/>
      </c>
      <c r="S4079" s="3">
        <f>P4079*Assumptions!$B$3/100</f>
        <v/>
      </c>
      <c r="T4079" s="14">
        <f>R4079-S4079</f>
        <v/>
      </c>
      <c r="U4079" s="14">
        <f>L4079*G4079</f>
        <v/>
      </c>
    </row>
    <row r="4080">
      <c r="A4080" s="12" t="inlineStr">
        <is>
          <t>PO-2023-4078</t>
        </is>
      </c>
      <c r="B4080" s="26" t="n">
        <v>45023</v>
      </c>
      <c r="C4080" s="12" t="inlineStr">
        <is>
          <t>VS08</t>
        </is>
      </c>
      <c r="D4080" s="12" t="inlineStr">
        <is>
          <t>CR Sheets</t>
        </is>
      </c>
      <c r="E4080" s="12" t="inlineStr">
        <is>
          <t>N</t>
        </is>
      </c>
      <c r="F4080" s="12" t="n">
        <v>15.39</v>
      </c>
      <c r="G4080" s="17" t="n">
        <v>91258.60000000001</v>
      </c>
      <c r="H4080" s="26" t="n">
        <v>45029</v>
      </c>
      <c r="I4080" s="26" t="n">
        <v>45032</v>
      </c>
      <c r="J4080" s="12" t="n">
        <v>15.27</v>
      </c>
      <c r="K4080" s="17" t="n">
        <v>1404469.85</v>
      </c>
      <c r="L4080" s="12" t="n">
        <v>0</v>
      </c>
      <c r="M4080" s="12" t="n">
        <v>0</v>
      </c>
      <c r="N4080" s="27">
        <f>F4080-J4080</f>
        <v/>
      </c>
      <c r="O4080" s="16">
        <f>I4080-H4080</f>
        <v/>
      </c>
      <c r="P4080" s="14">
        <f>F4080*G4080</f>
        <v/>
      </c>
      <c r="Q4080" s="14">
        <f>J4080*G4080</f>
        <v/>
      </c>
      <c r="R4080" s="14">
        <f>K4080-Q4080</f>
        <v/>
      </c>
      <c r="S4080" s="3">
        <f>P4080*Assumptions!$B$3/100</f>
        <v/>
      </c>
      <c r="T4080" s="14">
        <f>R4080-S4080</f>
        <v/>
      </c>
      <c r="U4080" s="14">
        <f>L4080*G4080</f>
        <v/>
      </c>
    </row>
    <row r="4081">
      <c r="A4081" s="12" t="inlineStr">
        <is>
          <t>PO-2023-4079</t>
        </is>
      </c>
      <c r="B4081" s="26" t="n">
        <v>44699</v>
      </c>
      <c r="C4081" s="12" t="inlineStr">
        <is>
          <t>VS23</t>
        </is>
      </c>
      <c r="D4081" s="12" t="inlineStr">
        <is>
          <t>SS Pipes</t>
        </is>
      </c>
      <c r="E4081" s="12" t="inlineStr">
        <is>
          <t>N</t>
        </is>
      </c>
      <c r="F4081" s="12" t="n">
        <v>23.44</v>
      </c>
      <c r="G4081" s="17" t="n">
        <v>108859.96</v>
      </c>
      <c r="H4081" s="26" t="n">
        <v>44707</v>
      </c>
      <c r="I4081" s="26" t="n">
        <v>44709</v>
      </c>
      <c r="J4081" s="12" t="n">
        <v>23.43</v>
      </c>
      <c r="K4081" s="17" t="n">
        <v>2551677.46</v>
      </c>
      <c r="L4081" s="12" t="n">
        <v>0</v>
      </c>
      <c r="M4081" s="12" t="n">
        <v>0</v>
      </c>
      <c r="N4081" s="27">
        <f>F4081-J4081</f>
        <v/>
      </c>
      <c r="O4081" s="16">
        <f>I4081-H4081</f>
        <v/>
      </c>
      <c r="P4081" s="14">
        <f>F4081*G4081</f>
        <v/>
      </c>
      <c r="Q4081" s="14">
        <f>J4081*G4081</f>
        <v/>
      </c>
      <c r="R4081" s="14">
        <f>K4081-Q4081</f>
        <v/>
      </c>
      <c r="S4081" s="3">
        <f>P4081*Assumptions!$B$3/100</f>
        <v/>
      </c>
      <c r="T4081" s="14">
        <f>R4081-S4081</f>
        <v/>
      </c>
      <c r="U4081" s="14">
        <f>L4081*G4081</f>
        <v/>
      </c>
    </row>
    <row r="4082">
      <c r="A4082" s="12" t="inlineStr">
        <is>
          <t>PO-2023-4080</t>
        </is>
      </c>
      <c r="B4082" s="26" t="n">
        <v>45086</v>
      </c>
      <c r="C4082" s="12" t="inlineStr">
        <is>
          <t>VS20</t>
        </is>
      </c>
      <c r="D4082" s="12" t="inlineStr">
        <is>
          <t>Square/Rect Tubes</t>
        </is>
      </c>
      <c r="E4082" s="12" t="inlineStr">
        <is>
          <t>N</t>
        </is>
      </c>
      <c r="F4082" s="12" t="n">
        <v>43.56</v>
      </c>
      <c r="G4082" s="17" t="n">
        <v>73267.06</v>
      </c>
      <c r="H4082" s="26" t="n">
        <v>45089</v>
      </c>
      <c r="I4082" s="26" t="n">
        <v>45090</v>
      </c>
      <c r="J4082" s="12" t="n">
        <v>43.2</v>
      </c>
      <c r="K4082" s="17" t="n">
        <v>3191513.13</v>
      </c>
      <c r="L4082" s="12" t="n">
        <v>0</v>
      </c>
      <c r="M4082" s="12" t="n">
        <v>13</v>
      </c>
      <c r="N4082" s="27">
        <f>F4082-J4082</f>
        <v/>
      </c>
      <c r="O4082" s="16">
        <f>I4082-H4082</f>
        <v/>
      </c>
      <c r="P4082" s="14">
        <f>F4082*G4082</f>
        <v/>
      </c>
      <c r="Q4082" s="14">
        <f>J4082*G4082</f>
        <v/>
      </c>
      <c r="R4082" s="14">
        <f>K4082-Q4082</f>
        <v/>
      </c>
      <c r="S4082" s="3">
        <f>P4082*Assumptions!$B$3/100</f>
        <v/>
      </c>
      <c r="T4082" s="14">
        <f>R4082-S4082</f>
        <v/>
      </c>
      <c r="U4082" s="14">
        <f>L4082*G4082</f>
        <v/>
      </c>
    </row>
    <row r="4083">
      <c r="A4083" s="12" t="inlineStr">
        <is>
          <t>PO-2023-4081</t>
        </is>
      </c>
      <c r="B4083" s="26" t="n">
        <v>44422</v>
      </c>
      <c r="C4083" s="12" t="inlineStr">
        <is>
          <t>VS25</t>
        </is>
      </c>
      <c r="D4083" s="12" t="inlineStr">
        <is>
          <t>HR Coils</t>
        </is>
      </c>
      <c r="E4083" s="12" t="inlineStr">
        <is>
          <t>N</t>
        </is>
      </c>
      <c r="F4083" s="12" t="n">
        <v>24.99</v>
      </c>
      <c r="G4083" s="17" t="n">
        <v>54618.05</v>
      </c>
      <c r="H4083" s="26" t="n">
        <v>44428</v>
      </c>
      <c r="I4083" s="26" t="n">
        <v>44431</v>
      </c>
      <c r="J4083" s="12" t="n">
        <v>24.91</v>
      </c>
      <c r="K4083" s="17" t="n">
        <v>1364905.07</v>
      </c>
      <c r="L4083" s="12" t="n">
        <v>0</v>
      </c>
      <c r="M4083" s="12" t="n">
        <v>24</v>
      </c>
      <c r="N4083" s="27">
        <f>F4083-J4083</f>
        <v/>
      </c>
      <c r="O4083" s="16">
        <f>I4083-H4083</f>
        <v/>
      </c>
      <c r="P4083" s="14">
        <f>F4083*G4083</f>
        <v/>
      </c>
      <c r="Q4083" s="14">
        <f>J4083*G4083</f>
        <v/>
      </c>
      <c r="R4083" s="14">
        <f>K4083-Q4083</f>
        <v/>
      </c>
      <c r="S4083" s="3">
        <f>P4083*Assumptions!$B$3/100</f>
        <v/>
      </c>
      <c r="T4083" s="14">
        <f>R4083-S4083</f>
        <v/>
      </c>
      <c r="U4083" s="14">
        <f>L4083*G4083</f>
        <v/>
      </c>
    </row>
    <row r="4084">
      <c r="A4084" s="12" t="inlineStr">
        <is>
          <t>PO-2023-4082</t>
        </is>
      </c>
      <c r="B4084" s="26" t="n">
        <v>44333</v>
      </c>
      <c r="C4084" s="12" t="inlineStr">
        <is>
          <t>VS23</t>
        </is>
      </c>
      <c r="D4084" s="12" t="inlineStr">
        <is>
          <t>MS Rods</t>
        </is>
      </c>
      <c r="E4084" s="12" t="inlineStr">
        <is>
          <t>N</t>
        </is>
      </c>
      <c r="F4084" s="12" t="n">
        <v>44.79</v>
      </c>
      <c r="G4084" s="17" t="n">
        <v>92527.92999999999</v>
      </c>
      <c r="H4084" s="26" t="n">
        <v>44341</v>
      </c>
      <c r="I4084" s="26" t="n">
        <v>44343</v>
      </c>
      <c r="J4084" s="12" t="n">
        <v>44.46</v>
      </c>
      <c r="K4084" s="17" t="n">
        <v>4144325.98</v>
      </c>
      <c r="L4084" s="12" t="n">
        <v>0</v>
      </c>
      <c r="M4084" s="12" t="n">
        <v>25</v>
      </c>
      <c r="N4084" s="27">
        <f>F4084-J4084</f>
        <v/>
      </c>
      <c r="O4084" s="16">
        <f>I4084-H4084</f>
        <v/>
      </c>
      <c r="P4084" s="14">
        <f>F4084*G4084</f>
        <v/>
      </c>
      <c r="Q4084" s="14">
        <f>J4084*G4084</f>
        <v/>
      </c>
      <c r="R4084" s="14">
        <f>K4084-Q4084</f>
        <v/>
      </c>
      <c r="S4084" s="3">
        <f>P4084*Assumptions!$B$3/100</f>
        <v/>
      </c>
      <c r="T4084" s="14">
        <f>R4084-S4084</f>
        <v/>
      </c>
      <c r="U4084" s="14">
        <f>L4084*G4084</f>
        <v/>
      </c>
    </row>
    <row r="4085">
      <c r="A4085" s="12" t="inlineStr">
        <is>
          <t>PO-2023-4083</t>
        </is>
      </c>
      <c r="B4085" s="26" t="n">
        <v>44520</v>
      </c>
      <c r="C4085" s="12" t="inlineStr">
        <is>
          <t>VS12</t>
        </is>
      </c>
      <c r="D4085" s="12" t="inlineStr">
        <is>
          <t>Structural Steel</t>
        </is>
      </c>
      <c r="E4085" s="12" t="inlineStr">
        <is>
          <t>N</t>
        </is>
      </c>
      <c r="F4085" s="12" t="n">
        <v>34.58</v>
      </c>
      <c r="G4085" s="17" t="n">
        <v>76099.07000000001</v>
      </c>
      <c r="H4085" s="26" t="n">
        <v>44527</v>
      </c>
      <c r="I4085" s="26" t="n">
        <v>44533</v>
      </c>
      <c r="J4085" s="12" t="n">
        <v>33.55</v>
      </c>
      <c r="K4085" s="17" t="n">
        <v>2631505.84</v>
      </c>
      <c r="L4085" s="12" t="n">
        <v>1.13</v>
      </c>
      <c r="M4085" s="12" t="n">
        <v>23</v>
      </c>
      <c r="N4085" s="27">
        <f>F4085-J4085</f>
        <v/>
      </c>
      <c r="O4085" s="16">
        <f>I4085-H4085</f>
        <v/>
      </c>
      <c r="P4085" s="14">
        <f>F4085*G4085</f>
        <v/>
      </c>
      <c r="Q4085" s="14">
        <f>J4085*G4085</f>
        <v/>
      </c>
      <c r="R4085" s="14">
        <f>K4085-Q4085</f>
        <v/>
      </c>
      <c r="S4085" s="3">
        <f>P4085*Assumptions!$B$3/100</f>
        <v/>
      </c>
      <c r="T4085" s="14">
        <f>R4085-S4085</f>
        <v/>
      </c>
      <c r="U4085" s="14">
        <f>L4085*G4085</f>
        <v/>
      </c>
    </row>
    <row r="4086">
      <c r="A4086" s="12" t="inlineStr">
        <is>
          <t>PO-2023-4084</t>
        </is>
      </c>
      <c r="B4086" s="26" t="n">
        <v>44386</v>
      </c>
      <c r="C4086" s="12" t="inlineStr">
        <is>
          <t>VS20</t>
        </is>
      </c>
      <c r="D4086" s="12" t="inlineStr">
        <is>
          <t>GI Pipes</t>
        </is>
      </c>
      <c r="E4086" s="12" t="inlineStr">
        <is>
          <t>N</t>
        </is>
      </c>
      <c r="F4086" s="12" t="n">
        <v>2.29</v>
      </c>
      <c r="G4086" s="17" t="n">
        <v>114547.05</v>
      </c>
      <c r="H4086" s="26" t="n">
        <v>44401</v>
      </c>
      <c r="I4086" s="26" t="n">
        <v>44403</v>
      </c>
      <c r="J4086" s="12" t="n">
        <v>2.28</v>
      </c>
      <c r="K4086" s="17" t="n">
        <v>262312.74</v>
      </c>
      <c r="L4086" s="12" t="n">
        <v>0</v>
      </c>
      <c r="M4086" s="12" t="n">
        <v>1</v>
      </c>
      <c r="N4086" s="27">
        <f>F4086-J4086</f>
        <v/>
      </c>
      <c r="O4086" s="16">
        <f>I4086-H4086</f>
        <v/>
      </c>
      <c r="P4086" s="14">
        <f>F4086*G4086</f>
        <v/>
      </c>
      <c r="Q4086" s="14">
        <f>J4086*G4086</f>
        <v/>
      </c>
      <c r="R4086" s="14">
        <f>K4086-Q4086</f>
        <v/>
      </c>
      <c r="S4086" s="3">
        <f>P4086*Assumptions!$B$3/100</f>
        <v/>
      </c>
      <c r="T4086" s="14">
        <f>R4086-S4086</f>
        <v/>
      </c>
      <c r="U4086" s="14">
        <f>L4086*G4086</f>
        <v/>
      </c>
    </row>
    <row r="4087">
      <c r="A4087" s="12" t="inlineStr">
        <is>
          <t>PO-2023-4085</t>
        </is>
      </c>
      <c r="B4087" s="26" t="n">
        <v>44859</v>
      </c>
      <c r="C4087" s="12" t="inlineStr">
        <is>
          <t>VS01</t>
        </is>
      </c>
      <c r="D4087" s="12" t="inlineStr">
        <is>
          <t>MS Sheets</t>
        </is>
      </c>
      <c r="E4087" s="12" t="inlineStr">
        <is>
          <t>N</t>
        </is>
      </c>
      <c r="F4087" s="12" t="n">
        <v>37.4</v>
      </c>
      <c r="G4087" s="17" t="n">
        <v>70089.19</v>
      </c>
      <c r="H4087" s="26" t="n">
        <v>44863</v>
      </c>
      <c r="I4087" s="26" t="n">
        <v>44865</v>
      </c>
      <c r="J4087" s="12" t="n">
        <v>37.11</v>
      </c>
      <c r="K4087" s="17" t="n">
        <v>2621335.71</v>
      </c>
      <c r="L4087" s="12" t="n">
        <v>0</v>
      </c>
      <c r="M4087" s="12" t="n">
        <v>0</v>
      </c>
      <c r="N4087" s="27">
        <f>F4087-J4087</f>
        <v/>
      </c>
      <c r="O4087" s="16">
        <f>I4087-H4087</f>
        <v/>
      </c>
      <c r="P4087" s="14">
        <f>F4087*G4087</f>
        <v/>
      </c>
      <c r="Q4087" s="14">
        <f>J4087*G4087</f>
        <v/>
      </c>
      <c r="R4087" s="14">
        <f>K4087-Q4087</f>
        <v/>
      </c>
      <c r="S4087" s="3">
        <f>P4087*Assumptions!$B$3/100</f>
        <v/>
      </c>
      <c r="T4087" s="14">
        <f>R4087-S4087</f>
        <v/>
      </c>
      <c r="U4087" s="14">
        <f>L4087*G4087</f>
        <v/>
      </c>
    </row>
    <row r="4088">
      <c r="A4088" s="12" t="inlineStr">
        <is>
          <t>PO-2023-4086</t>
        </is>
      </c>
      <c r="B4088" s="26" t="n">
        <v>44623</v>
      </c>
      <c r="C4088" s="12" t="inlineStr">
        <is>
          <t>VS18</t>
        </is>
      </c>
      <c r="D4088" s="12" t="inlineStr">
        <is>
          <t>SS Sheets</t>
        </is>
      </c>
      <c r="E4088" s="12" t="inlineStr">
        <is>
          <t>N</t>
        </is>
      </c>
      <c r="F4088" s="12" t="n">
        <v>46.34</v>
      </c>
      <c r="G4088" s="17" t="n">
        <v>64186.35</v>
      </c>
      <c r="H4088" s="26" t="n">
        <v>44634</v>
      </c>
      <c r="I4088" s="26" t="n">
        <v>44637</v>
      </c>
      <c r="J4088" s="12" t="n">
        <v>46.24</v>
      </c>
      <c r="K4088" s="17" t="n">
        <v>2974395.46</v>
      </c>
      <c r="L4088" s="12" t="n">
        <v>0</v>
      </c>
      <c r="M4088" s="12" t="n">
        <v>0</v>
      </c>
      <c r="N4088" s="27">
        <f>F4088-J4088</f>
        <v/>
      </c>
      <c r="O4088" s="16">
        <f>I4088-H4088</f>
        <v/>
      </c>
      <c r="P4088" s="14">
        <f>F4088*G4088</f>
        <v/>
      </c>
      <c r="Q4088" s="14">
        <f>J4088*G4088</f>
        <v/>
      </c>
      <c r="R4088" s="14">
        <f>K4088-Q4088</f>
        <v/>
      </c>
      <c r="S4088" s="3">
        <f>P4088*Assumptions!$B$3/100</f>
        <v/>
      </c>
      <c r="T4088" s="14">
        <f>R4088-S4088</f>
        <v/>
      </c>
      <c r="U4088" s="14">
        <f>L4088*G4088</f>
        <v/>
      </c>
    </row>
    <row r="4089">
      <c r="A4089" s="12" t="inlineStr">
        <is>
          <t>PO-2023-4087</t>
        </is>
      </c>
      <c r="B4089" s="26" t="n">
        <v>45014</v>
      </c>
      <c r="C4089" s="12" t="inlineStr">
        <is>
          <t>VS31</t>
        </is>
      </c>
      <c r="D4089" s="12" t="inlineStr">
        <is>
          <t>Square/Rect Tubes</t>
        </is>
      </c>
      <c r="E4089" s="12" t="inlineStr">
        <is>
          <t>N</t>
        </is>
      </c>
      <c r="F4089" s="12" t="n">
        <v>9.85</v>
      </c>
      <c r="G4089" s="17" t="n">
        <v>113295.37</v>
      </c>
      <c r="H4089" s="26" t="n">
        <v>45020</v>
      </c>
      <c r="I4089" s="26" t="n">
        <v>45022</v>
      </c>
      <c r="J4089" s="12" t="n">
        <v>9.800000000000001</v>
      </c>
      <c r="K4089" s="17" t="n">
        <v>1115959.39</v>
      </c>
      <c r="L4089" s="12" t="n">
        <v>0</v>
      </c>
      <c r="M4089" s="12" t="n">
        <v>0</v>
      </c>
      <c r="N4089" s="27">
        <f>F4089-J4089</f>
        <v/>
      </c>
      <c r="O4089" s="16">
        <f>I4089-H4089</f>
        <v/>
      </c>
      <c r="P4089" s="14">
        <f>F4089*G4089</f>
        <v/>
      </c>
      <c r="Q4089" s="14">
        <f>J4089*G4089</f>
        <v/>
      </c>
      <c r="R4089" s="14">
        <f>K4089-Q4089</f>
        <v/>
      </c>
      <c r="S4089" s="3">
        <f>P4089*Assumptions!$B$3/100</f>
        <v/>
      </c>
      <c r="T4089" s="14">
        <f>R4089-S4089</f>
        <v/>
      </c>
      <c r="U4089" s="14">
        <f>L4089*G4089</f>
        <v/>
      </c>
    </row>
    <row r="4090">
      <c r="A4090" s="12" t="inlineStr">
        <is>
          <t>PO-2023-4088</t>
        </is>
      </c>
      <c r="B4090" s="26" t="n">
        <v>44198</v>
      </c>
      <c r="C4090" s="12" t="inlineStr">
        <is>
          <t>VS20</t>
        </is>
      </c>
      <c r="D4090" s="12" t="inlineStr">
        <is>
          <t>Structural Steel</t>
        </is>
      </c>
      <c r="E4090" s="12" t="inlineStr">
        <is>
          <t>N</t>
        </is>
      </c>
      <c r="F4090" s="12" t="n">
        <v>38</v>
      </c>
      <c r="G4090" s="17" t="n">
        <v>116752.66</v>
      </c>
      <c r="H4090" s="26" t="n">
        <v>44202</v>
      </c>
      <c r="I4090" s="26" t="n">
        <v>44202</v>
      </c>
      <c r="J4090" s="12" t="n">
        <v>37.8</v>
      </c>
      <c r="K4090" s="17" t="n">
        <v>4436601.08</v>
      </c>
      <c r="L4090" s="12" t="n">
        <v>0</v>
      </c>
      <c r="M4090" s="12" t="n">
        <v>0</v>
      </c>
      <c r="N4090" s="27">
        <f>F4090-J4090</f>
        <v/>
      </c>
      <c r="O4090" s="16">
        <f>I4090-H4090</f>
        <v/>
      </c>
      <c r="P4090" s="14">
        <f>F4090*G4090</f>
        <v/>
      </c>
      <c r="Q4090" s="14">
        <f>J4090*G4090</f>
        <v/>
      </c>
      <c r="R4090" s="14">
        <f>K4090-Q4090</f>
        <v/>
      </c>
      <c r="S4090" s="3">
        <f>P4090*Assumptions!$B$3/100</f>
        <v/>
      </c>
      <c r="T4090" s="14">
        <f>R4090-S4090</f>
        <v/>
      </c>
      <c r="U4090" s="14">
        <f>L4090*G4090</f>
        <v/>
      </c>
    </row>
    <row r="4091">
      <c r="A4091" s="12" t="inlineStr">
        <is>
          <t>PO-2023-4089</t>
        </is>
      </c>
      <c r="B4091" s="26" t="n">
        <v>44714</v>
      </c>
      <c r="C4091" s="12" t="inlineStr">
        <is>
          <t>VS24</t>
        </is>
      </c>
      <c r="D4091" s="12" t="inlineStr">
        <is>
          <t>CR Sheets</t>
        </is>
      </c>
      <c r="E4091" s="12" t="inlineStr">
        <is>
          <t>N</t>
        </is>
      </c>
      <c r="F4091" s="12" t="n">
        <v>19.52</v>
      </c>
      <c r="G4091" s="17" t="n">
        <v>100420.28</v>
      </c>
      <c r="H4091" s="26" t="n">
        <v>44718</v>
      </c>
      <c r="I4091" s="26" t="n">
        <v>44719</v>
      </c>
      <c r="J4091" s="12" t="n">
        <v>19.47</v>
      </c>
      <c r="K4091" s="17" t="n">
        <v>1960203.87</v>
      </c>
      <c r="L4091" s="12" t="n">
        <v>0</v>
      </c>
      <c r="M4091" s="12" t="n">
        <v>0</v>
      </c>
      <c r="N4091" s="27">
        <f>F4091-J4091</f>
        <v/>
      </c>
      <c r="O4091" s="16">
        <f>I4091-H4091</f>
        <v/>
      </c>
      <c r="P4091" s="14">
        <f>F4091*G4091</f>
        <v/>
      </c>
      <c r="Q4091" s="14">
        <f>J4091*G4091</f>
        <v/>
      </c>
      <c r="R4091" s="14">
        <f>K4091-Q4091</f>
        <v/>
      </c>
      <c r="S4091" s="3">
        <f>P4091*Assumptions!$B$3/100</f>
        <v/>
      </c>
      <c r="T4091" s="14">
        <f>R4091-S4091</f>
        <v/>
      </c>
      <c r="U4091" s="14">
        <f>L4091*G4091</f>
        <v/>
      </c>
    </row>
    <row r="4092">
      <c r="A4092" s="12" t="inlineStr">
        <is>
          <t>PO-2023-4090</t>
        </is>
      </c>
      <c r="B4092" s="26" t="n">
        <v>44962</v>
      </c>
      <c r="C4092" s="12" t="inlineStr">
        <is>
          <t>VS31</t>
        </is>
      </c>
      <c r="D4092" s="12" t="inlineStr">
        <is>
          <t>SS Sheets</t>
        </is>
      </c>
      <c r="E4092" s="12" t="inlineStr">
        <is>
          <t>N</t>
        </is>
      </c>
      <c r="F4092" s="12" t="n">
        <v>29.43</v>
      </c>
      <c r="G4092" s="17" t="n">
        <v>59847.98</v>
      </c>
      <c r="H4092" s="26" t="n">
        <v>44970</v>
      </c>
      <c r="I4092" s="26" t="n">
        <v>44973</v>
      </c>
      <c r="J4092" s="12" t="n">
        <v>29.2</v>
      </c>
      <c r="K4092" s="17" t="n">
        <v>1761326.05</v>
      </c>
      <c r="L4092" s="12" t="n">
        <v>0</v>
      </c>
      <c r="M4092" s="12" t="n">
        <v>0</v>
      </c>
      <c r="N4092" s="27">
        <f>F4092-J4092</f>
        <v/>
      </c>
      <c r="O4092" s="16">
        <f>I4092-H4092</f>
        <v/>
      </c>
      <c r="P4092" s="14">
        <f>F4092*G4092</f>
        <v/>
      </c>
      <c r="Q4092" s="14">
        <f>J4092*G4092</f>
        <v/>
      </c>
      <c r="R4092" s="14">
        <f>K4092-Q4092</f>
        <v/>
      </c>
      <c r="S4092" s="3">
        <f>P4092*Assumptions!$B$3/100</f>
        <v/>
      </c>
      <c r="T4092" s="14">
        <f>R4092-S4092</f>
        <v/>
      </c>
      <c r="U4092" s="14">
        <f>L4092*G4092</f>
        <v/>
      </c>
    </row>
    <row r="4093">
      <c r="A4093" s="12" t="inlineStr">
        <is>
          <t>PO-2023-4091</t>
        </is>
      </c>
      <c r="B4093" s="26" t="n">
        <v>44387</v>
      </c>
      <c r="C4093" s="12" t="inlineStr">
        <is>
          <t>VS08</t>
        </is>
      </c>
      <c r="D4093" s="12" t="inlineStr">
        <is>
          <t>CR Sheets</t>
        </is>
      </c>
      <c r="E4093" s="12" t="inlineStr">
        <is>
          <t>N</t>
        </is>
      </c>
      <c r="F4093" s="12" t="n">
        <v>35.14</v>
      </c>
      <c r="G4093" s="17" t="n">
        <v>89127.02</v>
      </c>
      <c r="H4093" s="26" t="n">
        <v>44398</v>
      </c>
      <c r="I4093" s="26" t="n">
        <v>44399</v>
      </c>
      <c r="J4093" s="12" t="n">
        <v>34.96</v>
      </c>
      <c r="K4093" s="17" t="n">
        <v>3131923.48</v>
      </c>
      <c r="L4093" s="12" t="n">
        <v>0</v>
      </c>
      <c r="M4093" s="12" t="n">
        <v>2</v>
      </c>
      <c r="N4093" s="27">
        <f>F4093-J4093</f>
        <v/>
      </c>
      <c r="O4093" s="16">
        <f>I4093-H4093</f>
        <v/>
      </c>
      <c r="P4093" s="14">
        <f>F4093*G4093</f>
        <v/>
      </c>
      <c r="Q4093" s="14">
        <f>J4093*G4093</f>
        <v/>
      </c>
      <c r="R4093" s="14">
        <f>K4093-Q4093</f>
        <v/>
      </c>
      <c r="S4093" s="3">
        <f>P4093*Assumptions!$B$3/100</f>
        <v/>
      </c>
      <c r="T4093" s="14">
        <f>R4093-S4093</f>
        <v/>
      </c>
      <c r="U4093" s="14">
        <f>L4093*G4093</f>
        <v/>
      </c>
    </row>
    <row r="4094">
      <c r="A4094" s="12" t="inlineStr">
        <is>
          <t>PO-2023-4092</t>
        </is>
      </c>
      <c r="B4094" s="26" t="n">
        <v>45255</v>
      </c>
      <c r="C4094" s="12" t="inlineStr">
        <is>
          <t>VS30</t>
        </is>
      </c>
      <c r="D4094" s="12" t="inlineStr">
        <is>
          <t>MS Flats</t>
        </is>
      </c>
      <c r="E4094" s="12" t="inlineStr">
        <is>
          <t>N</t>
        </is>
      </c>
      <c r="F4094" s="12" t="n">
        <v>11.47</v>
      </c>
      <c r="G4094" s="17" t="n">
        <v>55050.98</v>
      </c>
      <c r="H4094" s="26" t="n">
        <v>45269</v>
      </c>
      <c r="I4094" s="26" t="n">
        <v>45271</v>
      </c>
      <c r="J4094" s="12" t="n">
        <v>11.47</v>
      </c>
      <c r="K4094" s="17" t="n">
        <v>631434.74</v>
      </c>
      <c r="L4094" s="12" t="n">
        <v>0</v>
      </c>
      <c r="M4094" s="12" t="n">
        <v>0</v>
      </c>
      <c r="N4094" s="27">
        <f>F4094-J4094</f>
        <v/>
      </c>
      <c r="O4094" s="16">
        <f>I4094-H4094</f>
        <v/>
      </c>
      <c r="P4094" s="14">
        <f>F4094*G4094</f>
        <v/>
      </c>
      <c r="Q4094" s="14">
        <f>J4094*G4094</f>
        <v/>
      </c>
      <c r="R4094" s="14">
        <f>K4094-Q4094</f>
        <v/>
      </c>
      <c r="S4094" s="3">
        <f>P4094*Assumptions!$B$3/100</f>
        <v/>
      </c>
      <c r="T4094" s="14">
        <f>R4094-S4094</f>
        <v/>
      </c>
      <c r="U4094" s="14">
        <f>L4094*G4094</f>
        <v/>
      </c>
    </row>
    <row r="4095">
      <c r="A4095" s="12" t="inlineStr">
        <is>
          <t>PO-2023-4093</t>
        </is>
      </c>
      <c r="B4095" s="26" t="n">
        <v>44213</v>
      </c>
      <c r="C4095" s="12" t="inlineStr">
        <is>
          <t>VS19</t>
        </is>
      </c>
      <c r="D4095" s="12" t="inlineStr">
        <is>
          <t>MS Pipes</t>
        </is>
      </c>
      <c r="E4095" s="12" t="inlineStr">
        <is>
          <t>Y</t>
        </is>
      </c>
      <c r="F4095" s="12" t="n">
        <v>29.57</v>
      </c>
      <c r="G4095" s="17" t="n">
        <v>69062.36</v>
      </c>
      <c r="H4095" s="26" t="n">
        <v>44223</v>
      </c>
      <c r="I4095" s="26" t="n">
        <v>44230</v>
      </c>
      <c r="J4095" s="12" t="n">
        <v>28.11</v>
      </c>
      <c r="K4095" s="17" t="n">
        <v>2042173.99</v>
      </c>
      <c r="L4095" s="12" t="n">
        <v>1.17</v>
      </c>
      <c r="M4095" s="12" t="n">
        <v>17</v>
      </c>
      <c r="N4095" s="27">
        <f>F4095-J4095</f>
        <v/>
      </c>
      <c r="O4095" s="16">
        <f>I4095-H4095</f>
        <v/>
      </c>
      <c r="P4095" s="14">
        <f>F4095*G4095</f>
        <v/>
      </c>
      <c r="Q4095" s="14">
        <f>J4095*G4095</f>
        <v/>
      </c>
      <c r="R4095" s="14">
        <f>K4095-Q4095</f>
        <v/>
      </c>
      <c r="S4095" s="3">
        <f>P4095*Assumptions!$B$3/100</f>
        <v/>
      </c>
      <c r="T4095" s="14">
        <f>R4095-S4095</f>
        <v/>
      </c>
      <c r="U4095" s="14">
        <f>L4095*G4095</f>
        <v/>
      </c>
    </row>
    <row r="4096">
      <c r="A4096" s="12" t="inlineStr">
        <is>
          <t>PO-2023-4094</t>
        </is>
      </c>
      <c r="B4096" s="26" t="n">
        <v>45211</v>
      </c>
      <c r="C4096" s="12" t="inlineStr">
        <is>
          <t>VS28</t>
        </is>
      </c>
      <c r="D4096" s="12" t="inlineStr">
        <is>
          <t>GI Wire</t>
        </is>
      </c>
      <c r="E4096" s="12" t="inlineStr">
        <is>
          <t>N</t>
        </is>
      </c>
      <c r="F4096" s="12" t="n">
        <v>5.64</v>
      </c>
      <c r="G4096" s="17" t="n">
        <v>59573.94</v>
      </c>
      <c r="H4096" s="26" t="n">
        <v>45225</v>
      </c>
      <c r="I4096" s="26" t="n">
        <v>45226</v>
      </c>
      <c r="J4096" s="12" t="n">
        <v>5.61</v>
      </c>
      <c r="K4096" s="17" t="n">
        <v>335997.02</v>
      </c>
      <c r="L4096" s="12" t="n">
        <v>0</v>
      </c>
      <c r="M4096" s="12" t="n">
        <v>1</v>
      </c>
      <c r="N4096" s="27">
        <f>F4096-J4096</f>
        <v/>
      </c>
      <c r="O4096" s="16">
        <f>I4096-H4096</f>
        <v/>
      </c>
      <c r="P4096" s="14">
        <f>F4096*G4096</f>
        <v/>
      </c>
      <c r="Q4096" s="14">
        <f>J4096*G4096</f>
        <v/>
      </c>
      <c r="R4096" s="14">
        <f>K4096-Q4096</f>
        <v/>
      </c>
      <c r="S4096" s="3">
        <f>P4096*Assumptions!$B$3/100</f>
        <v/>
      </c>
      <c r="T4096" s="14">
        <f>R4096-S4096</f>
        <v/>
      </c>
      <c r="U4096" s="14">
        <f>L4096*G4096</f>
        <v/>
      </c>
    </row>
    <row r="4097">
      <c r="A4097" s="12" t="inlineStr">
        <is>
          <t>PO-2023-4095</t>
        </is>
      </c>
      <c r="B4097" s="26" t="n">
        <v>45279</v>
      </c>
      <c r="C4097" s="12" t="inlineStr">
        <is>
          <t>VS24</t>
        </is>
      </c>
      <c r="D4097" s="12" t="inlineStr">
        <is>
          <t>Hex Bars</t>
        </is>
      </c>
      <c r="E4097" s="12" t="inlineStr">
        <is>
          <t>N</t>
        </is>
      </c>
      <c r="F4097" s="12" t="n">
        <v>3.53</v>
      </c>
      <c r="G4097" s="17" t="n">
        <v>52492.9</v>
      </c>
      <c r="H4097" s="26" t="n">
        <v>45293</v>
      </c>
      <c r="I4097" s="26" t="n">
        <v>45293</v>
      </c>
      <c r="J4097" s="12" t="n">
        <v>3.5</v>
      </c>
      <c r="K4097" s="17" t="n">
        <v>185299.94</v>
      </c>
      <c r="L4097" s="12" t="n">
        <v>0</v>
      </c>
      <c r="M4097" s="12" t="n">
        <v>0</v>
      </c>
      <c r="N4097" s="27">
        <f>F4097-J4097</f>
        <v/>
      </c>
      <c r="O4097" s="16">
        <f>I4097-H4097</f>
        <v/>
      </c>
      <c r="P4097" s="14">
        <f>F4097*G4097</f>
        <v/>
      </c>
      <c r="Q4097" s="14">
        <f>J4097*G4097</f>
        <v/>
      </c>
      <c r="R4097" s="14">
        <f>K4097-Q4097</f>
        <v/>
      </c>
      <c r="S4097" s="3">
        <f>P4097*Assumptions!$B$3/100</f>
        <v/>
      </c>
      <c r="T4097" s="14">
        <f>R4097-S4097</f>
        <v/>
      </c>
      <c r="U4097" s="14">
        <f>L4097*G4097</f>
        <v/>
      </c>
    </row>
    <row r="4098">
      <c r="A4098" s="12" t="inlineStr">
        <is>
          <t>PO-2023-4096</t>
        </is>
      </c>
      <c r="B4098" s="26" t="n">
        <v>45180</v>
      </c>
      <c r="C4098" s="12" t="inlineStr">
        <is>
          <t>VS16</t>
        </is>
      </c>
      <c r="D4098" s="12" t="inlineStr">
        <is>
          <t>SS Pipes</t>
        </is>
      </c>
      <c r="E4098" s="12" t="inlineStr">
        <is>
          <t>N</t>
        </is>
      </c>
      <c r="F4098" s="12" t="n">
        <v>16.29</v>
      </c>
      <c r="G4098" s="17" t="n">
        <v>88672.28</v>
      </c>
      <c r="H4098" s="26" t="n">
        <v>45188</v>
      </c>
      <c r="I4098" s="26" t="n">
        <v>45191</v>
      </c>
      <c r="J4098" s="12" t="n">
        <v>16.25</v>
      </c>
      <c r="K4098" s="17" t="n">
        <v>1444471.44</v>
      </c>
      <c r="L4098" s="12" t="n">
        <v>0</v>
      </c>
      <c r="M4098" s="12" t="n">
        <v>3</v>
      </c>
      <c r="N4098" s="27">
        <f>F4098-J4098</f>
        <v/>
      </c>
      <c r="O4098" s="16">
        <f>I4098-H4098</f>
        <v/>
      </c>
      <c r="P4098" s="14">
        <f>F4098*G4098</f>
        <v/>
      </c>
      <c r="Q4098" s="14">
        <f>J4098*G4098</f>
        <v/>
      </c>
      <c r="R4098" s="14">
        <f>K4098-Q4098</f>
        <v/>
      </c>
      <c r="S4098" s="3">
        <f>P4098*Assumptions!$B$3/100</f>
        <v/>
      </c>
      <c r="T4098" s="14">
        <f>R4098-S4098</f>
        <v/>
      </c>
      <c r="U4098" s="14">
        <f>L4098*G4098</f>
        <v/>
      </c>
    </row>
    <row r="4099">
      <c r="A4099" s="12" t="inlineStr">
        <is>
          <t>PO-2023-4097</t>
        </is>
      </c>
      <c r="B4099" s="26" t="n">
        <v>44385</v>
      </c>
      <c r="C4099" s="12" t="inlineStr">
        <is>
          <t>VS05</t>
        </is>
      </c>
      <c r="D4099" s="12" t="inlineStr">
        <is>
          <t>CR Sheets</t>
        </is>
      </c>
      <c r="E4099" s="12" t="inlineStr">
        <is>
          <t>Y</t>
        </is>
      </c>
      <c r="F4099" s="12" t="n">
        <v>12.21</v>
      </c>
      <c r="G4099" s="17" t="n">
        <v>81103.58</v>
      </c>
      <c r="H4099" s="26" t="n">
        <v>44394</v>
      </c>
      <c r="I4099" s="26" t="n">
        <v>44394</v>
      </c>
      <c r="J4099" s="12" t="n">
        <v>12.18</v>
      </c>
      <c r="K4099" s="17" t="n">
        <v>990274.71</v>
      </c>
      <c r="L4099" s="12" t="n">
        <v>0</v>
      </c>
      <c r="M4099" s="12" t="n">
        <v>0</v>
      </c>
      <c r="N4099" s="27">
        <f>F4099-J4099</f>
        <v/>
      </c>
      <c r="O4099" s="16">
        <f>I4099-H4099</f>
        <v/>
      </c>
      <c r="P4099" s="14">
        <f>F4099*G4099</f>
        <v/>
      </c>
      <c r="Q4099" s="14">
        <f>J4099*G4099</f>
        <v/>
      </c>
      <c r="R4099" s="14">
        <f>K4099-Q4099</f>
        <v/>
      </c>
      <c r="S4099" s="3">
        <f>P4099*Assumptions!$B$3/100</f>
        <v/>
      </c>
      <c r="T4099" s="14">
        <f>R4099-S4099</f>
        <v/>
      </c>
      <c r="U4099" s="14">
        <f>L4099*G4099</f>
        <v/>
      </c>
    </row>
    <row r="4100">
      <c r="A4100" s="12" t="inlineStr">
        <is>
          <t>PO-2023-4098</t>
        </is>
      </c>
      <c r="B4100" s="26" t="n">
        <v>44546</v>
      </c>
      <c r="C4100" s="12" t="inlineStr">
        <is>
          <t>VS07</t>
        </is>
      </c>
      <c r="D4100" s="12" t="inlineStr">
        <is>
          <t>MS Pipes</t>
        </is>
      </c>
      <c r="E4100" s="12" t="inlineStr">
        <is>
          <t>N</t>
        </is>
      </c>
      <c r="F4100" s="12" t="n">
        <v>24.81</v>
      </c>
      <c r="G4100" s="17" t="n">
        <v>86137.75</v>
      </c>
      <c r="H4100" s="26" t="n">
        <v>44557</v>
      </c>
      <c r="I4100" s="26" t="n">
        <v>44560</v>
      </c>
      <c r="J4100" s="12" t="n">
        <v>24.76</v>
      </c>
      <c r="K4100" s="17" t="n">
        <v>2137077.58</v>
      </c>
      <c r="L4100" s="12" t="n">
        <v>0</v>
      </c>
      <c r="M4100" s="12" t="n">
        <v>21</v>
      </c>
      <c r="N4100" s="27">
        <f>F4100-J4100</f>
        <v/>
      </c>
      <c r="O4100" s="16">
        <f>I4100-H4100</f>
        <v/>
      </c>
      <c r="P4100" s="14">
        <f>F4100*G4100</f>
        <v/>
      </c>
      <c r="Q4100" s="14">
        <f>J4100*G4100</f>
        <v/>
      </c>
      <c r="R4100" s="14">
        <f>K4100-Q4100</f>
        <v/>
      </c>
      <c r="S4100" s="3">
        <f>P4100*Assumptions!$B$3/100</f>
        <v/>
      </c>
      <c r="T4100" s="14">
        <f>R4100-S4100</f>
        <v/>
      </c>
      <c r="U4100" s="14">
        <f>L4100*G4100</f>
        <v/>
      </c>
    </row>
    <row r="4101">
      <c r="A4101" s="12" t="inlineStr">
        <is>
          <t>PO-2023-4099</t>
        </is>
      </c>
      <c r="B4101" s="26" t="n">
        <v>45131</v>
      </c>
      <c r="C4101" s="12" t="inlineStr">
        <is>
          <t>VS07</t>
        </is>
      </c>
      <c r="D4101" s="12" t="inlineStr">
        <is>
          <t>GI Pipes</t>
        </is>
      </c>
      <c r="E4101" s="12" t="inlineStr">
        <is>
          <t>N</t>
        </is>
      </c>
      <c r="F4101" s="12" t="n">
        <v>31.14</v>
      </c>
      <c r="G4101" s="17" t="n">
        <v>75404.19</v>
      </c>
      <c r="H4101" s="26" t="n">
        <v>45142</v>
      </c>
      <c r="I4101" s="26" t="n">
        <v>45142</v>
      </c>
      <c r="J4101" s="12" t="n">
        <v>31.08</v>
      </c>
      <c r="K4101" s="17" t="n">
        <v>2348086.48</v>
      </c>
      <c r="L4101" s="12" t="n">
        <v>0</v>
      </c>
      <c r="M4101" s="12" t="n">
        <v>7</v>
      </c>
      <c r="N4101" s="27">
        <f>F4101-J4101</f>
        <v/>
      </c>
      <c r="O4101" s="16">
        <f>I4101-H4101</f>
        <v/>
      </c>
      <c r="P4101" s="14">
        <f>F4101*G4101</f>
        <v/>
      </c>
      <c r="Q4101" s="14">
        <f>J4101*G4101</f>
        <v/>
      </c>
      <c r="R4101" s="14">
        <f>K4101-Q4101</f>
        <v/>
      </c>
      <c r="S4101" s="3">
        <f>P4101*Assumptions!$B$3/100</f>
        <v/>
      </c>
      <c r="T4101" s="14">
        <f>R4101-S4101</f>
        <v/>
      </c>
      <c r="U4101" s="14">
        <f>L4101*G4101</f>
        <v/>
      </c>
    </row>
    <row r="4102">
      <c r="A4102" s="12" t="inlineStr">
        <is>
          <t>PO-2023-4100</t>
        </is>
      </c>
      <c r="B4102" s="26" t="n">
        <v>44852</v>
      </c>
      <c r="C4102" s="12" t="inlineStr">
        <is>
          <t>VS28</t>
        </is>
      </c>
      <c r="D4102" s="12" t="inlineStr">
        <is>
          <t>SS Sheets</t>
        </is>
      </c>
      <c r="E4102" s="12" t="inlineStr">
        <is>
          <t>N</t>
        </is>
      </c>
      <c r="F4102" s="12" t="n">
        <v>7.31</v>
      </c>
      <c r="G4102" s="17" t="n">
        <v>102073.96</v>
      </c>
      <c r="H4102" s="26" t="n">
        <v>44855</v>
      </c>
      <c r="I4102" s="26" t="n">
        <v>44855</v>
      </c>
      <c r="J4102" s="12" t="n">
        <v>7.26</v>
      </c>
      <c r="K4102" s="17" t="n">
        <v>746160.65</v>
      </c>
      <c r="L4102" s="12" t="n">
        <v>0</v>
      </c>
      <c r="M4102" s="12" t="n">
        <v>0</v>
      </c>
      <c r="N4102" s="27">
        <f>F4102-J4102</f>
        <v/>
      </c>
      <c r="O4102" s="16">
        <f>I4102-H4102</f>
        <v/>
      </c>
      <c r="P4102" s="14">
        <f>F4102*G4102</f>
        <v/>
      </c>
      <c r="Q4102" s="14">
        <f>J4102*G4102</f>
        <v/>
      </c>
      <c r="R4102" s="14">
        <f>K4102-Q4102</f>
        <v/>
      </c>
      <c r="S4102" s="3">
        <f>P4102*Assumptions!$B$3/100</f>
        <v/>
      </c>
      <c r="T4102" s="14">
        <f>R4102-S4102</f>
        <v/>
      </c>
      <c r="U4102" s="14">
        <f>L4102*G4102</f>
        <v/>
      </c>
    </row>
    <row r="4103">
      <c r="A4103" s="12" t="inlineStr">
        <is>
          <t>PO-2023-4101</t>
        </is>
      </c>
      <c r="B4103" s="26" t="n">
        <v>45029</v>
      </c>
      <c r="C4103" s="12" t="inlineStr">
        <is>
          <t>VS01</t>
        </is>
      </c>
      <c r="D4103" s="12" t="inlineStr">
        <is>
          <t>Square/Rect Tubes</t>
        </is>
      </c>
      <c r="E4103" s="12" t="inlineStr">
        <is>
          <t>N</t>
        </is>
      </c>
      <c r="F4103" s="12" t="n">
        <v>43.32</v>
      </c>
      <c r="G4103" s="17" t="n">
        <v>106647.61</v>
      </c>
      <c r="H4103" s="26" t="n">
        <v>45042</v>
      </c>
      <c r="I4103" s="26" t="n">
        <v>45043</v>
      </c>
      <c r="J4103" s="12" t="n">
        <v>42.93</v>
      </c>
      <c r="K4103" s="17" t="n">
        <v>4619974.47</v>
      </c>
      <c r="L4103" s="12" t="n">
        <v>0</v>
      </c>
      <c r="M4103" s="12" t="n">
        <v>0</v>
      </c>
      <c r="N4103" s="27">
        <f>F4103-J4103</f>
        <v/>
      </c>
      <c r="O4103" s="16">
        <f>I4103-H4103</f>
        <v/>
      </c>
      <c r="P4103" s="14">
        <f>F4103*G4103</f>
        <v/>
      </c>
      <c r="Q4103" s="14">
        <f>J4103*G4103</f>
        <v/>
      </c>
      <c r="R4103" s="14">
        <f>K4103-Q4103</f>
        <v/>
      </c>
      <c r="S4103" s="3">
        <f>P4103*Assumptions!$B$3/100</f>
        <v/>
      </c>
      <c r="T4103" s="14">
        <f>R4103-S4103</f>
        <v/>
      </c>
      <c r="U4103" s="14">
        <f>L4103*G4103</f>
        <v/>
      </c>
    </row>
    <row r="4104">
      <c r="A4104" s="12" t="inlineStr">
        <is>
          <t>PO-2023-4102</t>
        </is>
      </c>
      <c r="B4104" s="26" t="n">
        <v>44602</v>
      </c>
      <c r="C4104" s="12" t="inlineStr">
        <is>
          <t>VS16</t>
        </is>
      </c>
      <c r="D4104" s="12" t="inlineStr">
        <is>
          <t>SS Pipes</t>
        </is>
      </c>
      <c r="E4104" s="12" t="inlineStr">
        <is>
          <t>N</t>
        </is>
      </c>
      <c r="F4104" s="12" t="n">
        <v>19.24</v>
      </c>
      <c r="G4104" s="17" t="n">
        <v>64745.85</v>
      </c>
      <c r="H4104" s="26" t="n">
        <v>44616</v>
      </c>
      <c r="I4104" s="26" t="n">
        <v>44619</v>
      </c>
      <c r="J4104" s="12" t="n">
        <v>19.16</v>
      </c>
      <c r="K4104" s="17" t="n">
        <v>1245710.15</v>
      </c>
      <c r="L4104" s="12" t="n">
        <v>0</v>
      </c>
      <c r="M4104" s="12" t="n">
        <v>7</v>
      </c>
      <c r="N4104" s="27">
        <f>F4104-J4104</f>
        <v/>
      </c>
      <c r="O4104" s="16">
        <f>I4104-H4104</f>
        <v/>
      </c>
      <c r="P4104" s="14">
        <f>F4104*G4104</f>
        <v/>
      </c>
      <c r="Q4104" s="14">
        <f>J4104*G4104</f>
        <v/>
      </c>
      <c r="R4104" s="14">
        <f>K4104-Q4104</f>
        <v/>
      </c>
      <c r="S4104" s="3">
        <f>P4104*Assumptions!$B$3/100</f>
        <v/>
      </c>
      <c r="T4104" s="14">
        <f>R4104-S4104</f>
        <v/>
      </c>
      <c r="U4104" s="14">
        <f>L4104*G4104</f>
        <v/>
      </c>
    </row>
    <row r="4105">
      <c r="A4105" s="12" t="inlineStr">
        <is>
          <t>PO-2023-4103</t>
        </is>
      </c>
      <c r="B4105" s="26" t="n">
        <v>44598</v>
      </c>
      <c r="C4105" s="12" t="inlineStr">
        <is>
          <t>VS01</t>
        </is>
      </c>
      <c r="D4105" s="12" t="inlineStr">
        <is>
          <t>MS Rods</t>
        </is>
      </c>
      <c r="E4105" s="12" t="inlineStr">
        <is>
          <t>N</t>
        </is>
      </c>
      <c r="F4105" s="12" t="n">
        <v>2.63</v>
      </c>
      <c r="G4105" s="17" t="n">
        <v>58851.46</v>
      </c>
      <c r="H4105" s="26" t="n">
        <v>44601</v>
      </c>
      <c r="I4105" s="26" t="n">
        <v>44601</v>
      </c>
      <c r="J4105" s="12" t="n">
        <v>2.61</v>
      </c>
      <c r="K4105" s="17" t="n">
        <v>154779.34</v>
      </c>
      <c r="L4105" s="12" t="n">
        <v>0</v>
      </c>
      <c r="M4105" s="12" t="n">
        <v>0</v>
      </c>
      <c r="N4105" s="27">
        <f>F4105-J4105</f>
        <v/>
      </c>
      <c r="O4105" s="16">
        <f>I4105-H4105</f>
        <v/>
      </c>
      <c r="P4105" s="14">
        <f>F4105*G4105</f>
        <v/>
      </c>
      <c r="Q4105" s="14">
        <f>J4105*G4105</f>
        <v/>
      </c>
      <c r="R4105" s="14">
        <f>K4105-Q4105</f>
        <v/>
      </c>
      <c r="S4105" s="3">
        <f>P4105*Assumptions!$B$3/100</f>
        <v/>
      </c>
      <c r="T4105" s="14">
        <f>R4105-S4105</f>
        <v/>
      </c>
      <c r="U4105" s="14">
        <f>L4105*G4105</f>
        <v/>
      </c>
    </row>
    <row r="4106">
      <c r="A4106" s="12" t="inlineStr">
        <is>
          <t>PO-2023-4104</t>
        </is>
      </c>
      <c r="B4106" s="26" t="n">
        <v>44575</v>
      </c>
      <c r="C4106" s="12" t="inlineStr">
        <is>
          <t>VS33</t>
        </is>
      </c>
      <c r="D4106" s="12" t="inlineStr">
        <is>
          <t>GI Wire</t>
        </is>
      </c>
      <c r="E4106" s="12" t="inlineStr">
        <is>
          <t>N</t>
        </is>
      </c>
      <c r="F4106" s="12" t="n">
        <v>43.84</v>
      </c>
      <c r="G4106" s="17" t="n">
        <v>118260.51</v>
      </c>
      <c r="H4106" s="26" t="n">
        <v>44589</v>
      </c>
      <c r="I4106" s="26" t="n">
        <v>44591</v>
      </c>
      <c r="J4106" s="12" t="n">
        <v>43.58</v>
      </c>
      <c r="K4106" s="17" t="n">
        <v>5184540.76</v>
      </c>
      <c r="L4106" s="12" t="n">
        <v>0</v>
      </c>
      <c r="M4106" s="12" t="n">
        <v>10</v>
      </c>
      <c r="N4106" s="27">
        <f>F4106-J4106</f>
        <v/>
      </c>
      <c r="O4106" s="16">
        <f>I4106-H4106</f>
        <v/>
      </c>
      <c r="P4106" s="14">
        <f>F4106*G4106</f>
        <v/>
      </c>
      <c r="Q4106" s="14">
        <f>J4106*G4106</f>
        <v/>
      </c>
      <c r="R4106" s="14">
        <f>K4106-Q4106</f>
        <v/>
      </c>
      <c r="S4106" s="3">
        <f>P4106*Assumptions!$B$3/100</f>
        <v/>
      </c>
      <c r="T4106" s="14">
        <f>R4106-S4106</f>
        <v/>
      </c>
      <c r="U4106" s="14">
        <f>L4106*G4106</f>
        <v/>
      </c>
    </row>
    <row r="4107">
      <c r="A4107" s="12" t="inlineStr">
        <is>
          <t>PO-2023-4105</t>
        </is>
      </c>
      <c r="B4107" s="26" t="n">
        <v>44883</v>
      </c>
      <c r="C4107" s="12" t="inlineStr">
        <is>
          <t>VS02</t>
        </is>
      </c>
      <c r="D4107" s="12" t="inlineStr">
        <is>
          <t>MS Flats</t>
        </is>
      </c>
      <c r="E4107" s="12" t="inlineStr">
        <is>
          <t>N</t>
        </is>
      </c>
      <c r="F4107" s="12" t="n">
        <v>45.86</v>
      </c>
      <c r="G4107" s="17" t="n">
        <v>55357.91</v>
      </c>
      <c r="H4107" s="26" t="n">
        <v>44890</v>
      </c>
      <c r="I4107" s="26" t="n">
        <v>44891</v>
      </c>
      <c r="J4107" s="12" t="n">
        <v>45.85</v>
      </c>
      <c r="K4107" s="17" t="n">
        <v>2538713.75</v>
      </c>
      <c r="L4107" s="12" t="n">
        <v>0</v>
      </c>
      <c r="M4107" s="12" t="n">
        <v>0</v>
      </c>
      <c r="N4107" s="27">
        <f>F4107-J4107</f>
        <v/>
      </c>
      <c r="O4107" s="16">
        <f>I4107-H4107</f>
        <v/>
      </c>
      <c r="P4107" s="14">
        <f>F4107*G4107</f>
        <v/>
      </c>
      <c r="Q4107" s="14">
        <f>J4107*G4107</f>
        <v/>
      </c>
      <c r="R4107" s="14">
        <f>K4107-Q4107</f>
        <v/>
      </c>
      <c r="S4107" s="3">
        <f>P4107*Assumptions!$B$3/100</f>
        <v/>
      </c>
      <c r="T4107" s="14">
        <f>R4107-S4107</f>
        <v/>
      </c>
      <c r="U4107" s="14">
        <f>L4107*G4107</f>
        <v/>
      </c>
    </row>
    <row r="4108">
      <c r="A4108" s="12" t="inlineStr">
        <is>
          <t>PO-2023-4106</t>
        </is>
      </c>
      <c r="B4108" s="26" t="n">
        <v>44392</v>
      </c>
      <c r="C4108" s="12" t="inlineStr">
        <is>
          <t>VS07</t>
        </is>
      </c>
      <c r="D4108" s="12" t="inlineStr">
        <is>
          <t>SS Sheets</t>
        </is>
      </c>
      <c r="E4108" s="12" t="inlineStr">
        <is>
          <t>N</t>
        </is>
      </c>
      <c r="F4108" s="12" t="n">
        <v>39.62</v>
      </c>
      <c r="G4108" s="17" t="n">
        <v>47048.14</v>
      </c>
      <c r="H4108" s="26" t="n">
        <v>44401</v>
      </c>
      <c r="I4108" s="26" t="n">
        <v>44403</v>
      </c>
      <c r="J4108" s="12" t="n">
        <v>39.3</v>
      </c>
      <c r="K4108" s="17" t="n">
        <v>1864047.31</v>
      </c>
      <c r="L4108" s="12" t="n">
        <v>0</v>
      </c>
      <c r="M4108" s="12" t="n">
        <v>22</v>
      </c>
      <c r="N4108" s="27">
        <f>F4108-J4108</f>
        <v/>
      </c>
      <c r="O4108" s="16">
        <f>I4108-H4108</f>
        <v/>
      </c>
      <c r="P4108" s="14">
        <f>F4108*G4108</f>
        <v/>
      </c>
      <c r="Q4108" s="14">
        <f>J4108*G4108</f>
        <v/>
      </c>
      <c r="R4108" s="14">
        <f>K4108-Q4108</f>
        <v/>
      </c>
      <c r="S4108" s="3">
        <f>P4108*Assumptions!$B$3/100</f>
        <v/>
      </c>
      <c r="T4108" s="14">
        <f>R4108-S4108</f>
        <v/>
      </c>
      <c r="U4108" s="14">
        <f>L4108*G4108</f>
        <v/>
      </c>
    </row>
    <row r="4109">
      <c r="A4109" s="12" t="inlineStr">
        <is>
          <t>PO-2023-4107</t>
        </is>
      </c>
      <c r="B4109" s="26" t="n">
        <v>45180</v>
      </c>
      <c r="C4109" s="12" t="inlineStr">
        <is>
          <t>VS03</t>
        </is>
      </c>
      <c r="D4109" s="12" t="inlineStr">
        <is>
          <t>ERW Pipes</t>
        </is>
      </c>
      <c r="E4109" s="12" t="inlineStr">
        <is>
          <t>N</t>
        </is>
      </c>
      <c r="F4109" s="12" t="n">
        <v>16.44</v>
      </c>
      <c r="G4109" s="17" t="n">
        <v>66775.38</v>
      </c>
      <c r="H4109" s="26" t="n">
        <v>45194</v>
      </c>
      <c r="I4109" s="26" t="n">
        <v>45197</v>
      </c>
      <c r="J4109" s="12" t="n">
        <v>16.02</v>
      </c>
      <c r="K4109" s="17" t="n">
        <v>1097787.25</v>
      </c>
      <c r="L4109" s="12" t="n">
        <v>0.31</v>
      </c>
      <c r="M4109" s="12" t="n">
        <v>0</v>
      </c>
      <c r="N4109" s="27">
        <f>F4109-J4109</f>
        <v/>
      </c>
      <c r="O4109" s="16">
        <f>I4109-H4109</f>
        <v/>
      </c>
      <c r="P4109" s="14">
        <f>F4109*G4109</f>
        <v/>
      </c>
      <c r="Q4109" s="14">
        <f>J4109*G4109</f>
        <v/>
      </c>
      <c r="R4109" s="14">
        <f>K4109-Q4109</f>
        <v/>
      </c>
      <c r="S4109" s="3">
        <f>P4109*Assumptions!$B$3/100</f>
        <v/>
      </c>
      <c r="T4109" s="14">
        <f>R4109-S4109</f>
        <v/>
      </c>
      <c r="U4109" s="14">
        <f>L4109*G4109</f>
        <v/>
      </c>
    </row>
    <row r="4110">
      <c r="A4110" s="12" t="inlineStr">
        <is>
          <t>PO-2023-4108</t>
        </is>
      </c>
      <c r="B4110" s="26" t="n">
        <v>44487</v>
      </c>
      <c r="C4110" s="12" t="inlineStr">
        <is>
          <t>VS02</t>
        </is>
      </c>
      <c r="D4110" s="12" t="inlineStr">
        <is>
          <t>ERW Pipes</t>
        </is>
      </c>
      <c r="E4110" s="12" t="inlineStr">
        <is>
          <t>N</t>
        </is>
      </c>
      <c r="F4110" s="12" t="n">
        <v>49.17</v>
      </c>
      <c r="G4110" s="17" t="n">
        <v>75134.64999999999</v>
      </c>
      <c r="H4110" s="26" t="n">
        <v>44493</v>
      </c>
      <c r="I4110" s="26" t="n">
        <v>44494</v>
      </c>
      <c r="J4110" s="12" t="n">
        <v>48.72</v>
      </c>
      <c r="K4110" s="17" t="n">
        <v>3694370.74</v>
      </c>
      <c r="L4110" s="12" t="n">
        <v>0</v>
      </c>
      <c r="M4110" s="12" t="n">
        <v>10</v>
      </c>
      <c r="N4110" s="27">
        <f>F4110-J4110</f>
        <v/>
      </c>
      <c r="O4110" s="16">
        <f>I4110-H4110</f>
        <v/>
      </c>
      <c r="P4110" s="14">
        <f>F4110*G4110</f>
        <v/>
      </c>
      <c r="Q4110" s="14">
        <f>J4110*G4110</f>
        <v/>
      </c>
      <c r="R4110" s="14">
        <f>K4110-Q4110</f>
        <v/>
      </c>
      <c r="S4110" s="3">
        <f>P4110*Assumptions!$B$3/100</f>
        <v/>
      </c>
      <c r="T4110" s="14">
        <f>R4110-S4110</f>
        <v/>
      </c>
      <c r="U4110" s="14">
        <f>L4110*G4110</f>
        <v/>
      </c>
    </row>
    <row r="4111">
      <c r="A4111" s="12" t="inlineStr">
        <is>
          <t>PO-2023-4109</t>
        </is>
      </c>
      <c r="B4111" s="26" t="n">
        <v>44618</v>
      </c>
      <c r="C4111" s="12" t="inlineStr">
        <is>
          <t>VS34</t>
        </is>
      </c>
      <c r="D4111" s="12" t="inlineStr">
        <is>
          <t>Square/Rect Tubes</t>
        </is>
      </c>
      <c r="E4111" s="12" t="inlineStr">
        <is>
          <t>N</t>
        </is>
      </c>
      <c r="F4111" s="12" t="n">
        <v>7.31</v>
      </c>
      <c r="G4111" s="17" t="n">
        <v>108966.04</v>
      </c>
      <c r="H4111" s="26" t="n">
        <v>44625</v>
      </c>
      <c r="I4111" s="26" t="n">
        <v>44627</v>
      </c>
      <c r="J4111" s="12" t="n">
        <v>7.25</v>
      </c>
      <c r="K4111" s="17" t="n">
        <v>796541.75</v>
      </c>
      <c r="L4111" s="12" t="n">
        <v>0</v>
      </c>
      <c r="M4111" s="12" t="n">
        <v>20</v>
      </c>
      <c r="N4111" s="27">
        <f>F4111-J4111</f>
        <v/>
      </c>
      <c r="O4111" s="16">
        <f>I4111-H4111</f>
        <v/>
      </c>
      <c r="P4111" s="14">
        <f>F4111*G4111</f>
        <v/>
      </c>
      <c r="Q4111" s="14">
        <f>J4111*G4111</f>
        <v/>
      </c>
      <c r="R4111" s="14">
        <f>K4111-Q4111</f>
        <v/>
      </c>
      <c r="S4111" s="3">
        <f>P4111*Assumptions!$B$3/100</f>
        <v/>
      </c>
      <c r="T4111" s="14">
        <f>R4111-S4111</f>
        <v/>
      </c>
      <c r="U4111" s="14">
        <f>L4111*G4111</f>
        <v/>
      </c>
    </row>
    <row r="4112">
      <c r="A4112" s="12" t="inlineStr">
        <is>
          <t>PO-2023-4110</t>
        </is>
      </c>
      <c r="B4112" s="26" t="n">
        <v>44273</v>
      </c>
      <c r="C4112" s="12" t="inlineStr">
        <is>
          <t>VS03</t>
        </is>
      </c>
      <c r="D4112" s="12" t="inlineStr">
        <is>
          <t>MS Flats</t>
        </is>
      </c>
      <c r="E4112" s="12" t="inlineStr">
        <is>
          <t>N</t>
        </is>
      </c>
      <c r="F4112" s="12" t="n">
        <v>12.37</v>
      </c>
      <c r="G4112" s="17" t="n">
        <v>123030.57</v>
      </c>
      <c r="H4112" s="26" t="n">
        <v>44278</v>
      </c>
      <c r="I4112" s="26" t="n">
        <v>44286</v>
      </c>
      <c r="J4112" s="12" t="n">
        <v>12.1</v>
      </c>
      <c r="K4112" s="17" t="n">
        <v>1521888.15</v>
      </c>
      <c r="L4112" s="12" t="n">
        <v>0.14</v>
      </c>
      <c r="M4112" s="12" t="n">
        <v>17</v>
      </c>
      <c r="N4112" s="27">
        <f>F4112-J4112</f>
        <v/>
      </c>
      <c r="O4112" s="16">
        <f>I4112-H4112</f>
        <v/>
      </c>
      <c r="P4112" s="14">
        <f>F4112*G4112</f>
        <v/>
      </c>
      <c r="Q4112" s="14">
        <f>J4112*G4112</f>
        <v/>
      </c>
      <c r="R4112" s="14">
        <f>K4112-Q4112</f>
        <v/>
      </c>
      <c r="S4112" s="3">
        <f>P4112*Assumptions!$B$3/100</f>
        <v/>
      </c>
      <c r="T4112" s="14">
        <f>R4112-S4112</f>
        <v/>
      </c>
      <c r="U4112" s="14">
        <f>L4112*G4112</f>
        <v/>
      </c>
    </row>
    <row r="4113">
      <c r="A4113" s="12" t="inlineStr">
        <is>
          <t>PO-2023-4111</t>
        </is>
      </c>
      <c r="B4113" s="26" t="n">
        <v>44574</v>
      </c>
      <c r="C4113" s="12" t="inlineStr">
        <is>
          <t>VS12</t>
        </is>
      </c>
      <c r="D4113" s="12" t="inlineStr">
        <is>
          <t>GI Pipes</t>
        </is>
      </c>
      <c r="E4113" s="12" t="inlineStr">
        <is>
          <t>N</t>
        </is>
      </c>
      <c r="F4113" s="12" t="n">
        <v>19.25</v>
      </c>
      <c r="G4113" s="17" t="n">
        <v>57707.38</v>
      </c>
      <c r="H4113" s="26" t="n">
        <v>44577</v>
      </c>
      <c r="I4113" s="26" t="n">
        <v>44581</v>
      </c>
      <c r="J4113" s="12" t="n">
        <v>18.32</v>
      </c>
      <c r="K4113" s="17" t="n">
        <v>1110867.06</v>
      </c>
      <c r="L4113" s="12" t="n">
        <v>0.5</v>
      </c>
      <c r="M4113" s="12" t="n">
        <v>0</v>
      </c>
      <c r="N4113" s="27">
        <f>F4113-J4113</f>
        <v/>
      </c>
      <c r="O4113" s="16">
        <f>I4113-H4113</f>
        <v/>
      </c>
      <c r="P4113" s="14">
        <f>F4113*G4113</f>
        <v/>
      </c>
      <c r="Q4113" s="14">
        <f>J4113*G4113</f>
        <v/>
      </c>
      <c r="R4113" s="14">
        <f>K4113-Q4113</f>
        <v/>
      </c>
      <c r="S4113" s="3">
        <f>P4113*Assumptions!$B$3/100</f>
        <v/>
      </c>
      <c r="T4113" s="14">
        <f>R4113-S4113</f>
        <v/>
      </c>
      <c r="U4113" s="14">
        <f>L4113*G4113</f>
        <v/>
      </c>
    </row>
    <row r="4114">
      <c r="A4114" s="12" t="inlineStr">
        <is>
          <t>PO-2023-4112</t>
        </is>
      </c>
      <c r="B4114" s="26" t="n">
        <v>44392</v>
      </c>
      <c r="C4114" s="12" t="inlineStr">
        <is>
          <t>VS03</t>
        </is>
      </c>
      <c r="D4114" s="12" t="inlineStr">
        <is>
          <t>SS Pipes</t>
        </is>
      </c>
      <c r="E4114" s="12" t="inlineStr">
        <is>
          <t>N</t>
        </is>
      </c>
      <c r="F4114" s="12" t="n">
        <v>6.58</v>
      </c>
      <c r="G4114" s="17" t="n">
        <v>63003.29</v>
      </c>
      <c r="H4114" s="26" t="n">
        <v>44403</v>
      </c>
      <c r="I4114" s="26" t="n">
        <v>44405</v>
      </c>
      <c r="J4114" s="12" t="n">
        <v>6.25</v>
      </c>
      <c r="K4114" s="17" t="n">
        <v>414561.65</v>
      </c>
      <c r="L4114" s="12" t="n">
        <v>0.15</v>
      </c>
      <c r="M4114" s="12" t="n">
        <v>0</v>
      </c>
      <c r="N4114" s="27">
        <f>F4114-J4114</f>
        <v/>
      </c>
      <c r="O4114" s="16">
        <f>I4114-H4114</f>
        <v/>
      </c>
      <c r="P4114" s="14">
        <f>F4114*G4114</f>
        <v/>
      </c>
      <c r="Q4114" s="14">
        <f>J4114*G4114</f>
        <v/>
      </c>
      <c r="R4114" s="14">
        <f>K4114-Q4114</f>
        <v/>
      </c>
      <c r="S4114" s="3">
        <f>P4114*Assumptions!$B$3/100</f>
        <v/>
      </c>
      <c r="T4114" s="14">
        <f>R4114-S4114</f>
        <v/>
      </c>
      <c r="U4114" s="14">
        <f>L4114*G4114</f>
        <v/>
      </c>
    </row>
    <row r="4115">
      <c r="A4115" s="12" t="inlineStr">
        <is>
          <t>PO-2023-4113</t>
        </is>
      </c>
      <c r="B4115" s="26" t="n">
        <v>44825</v>
      </c>
      <c r="C4115" s="12" t="inlineStr">
        <is>
          <t>VS14</t>
        </is>
      </c>
      <c r="D4115" s="12" t="inlineStr">
        <is>
          <t>HR Coils</t>
        </is>
      </c>
      <c r="E4115" s="12" t="inlineStr">
        <is>
          <t>N</t>
        </is>
      </c>
      <c r="F4115" s="12" t="n">
        <v>29.22</v>
      </c>
      <c r="G4115" s="17" t="n">
        <v>59433.23</v>
      </c>
      <c r="H4115" s="26" t="n">
        <v>44838</v>
      </c>
      <c r="I4115" s="26" t="n">
        <v>44841</v>
      </c>
      <c r="J4115" s="12" t="n">
        <v>28.96</v>
      </c>
      <c r="K4115" s="17" t="n">
        <v>1736638.98</v>
      </c>
      <c r="L4115" s="12" t="n">
        <v>0</v>
      </c>
      <c r="M4115" s="12" t="n">
        <v>0</v>
      </c>
      <c r="N4115" s="27">
        <f>F4115-J4115</f>
        <v/>
      </c>
      <c r="O4115" s="16">
        <f>I4115-H4115</f>
        <v/>
      </c>
      <c r="P4115" s="14">
        <f>F4115*G4115</f>
        <v/>
      </c>
      <c r="Q4115" s="14">
        <f>J4115*G4115</f>
        <v/>
      </c>
      <c r="R4115" s="14">
        <f>K4115-Q4115</f>
        <v/>
      </c>
      <c r="S4115" s="3">
        <f>P4115*Assumptions!$B$3/100</f>
        <v/>
      </c>
      <c r="T4115" s="14">
        <f>R4115-S4115</f>
        <v/>
      </c>
      <c r="U4115" s="14">
        <f>L4115*G4115</f>
        <v/>
      </c>
    </row>
    <row r="4116">
      <c r="A4116" s="12" t="inlineStr">
        <is>
          <t>PO-2023-4114</t>
        </is>
      </c>
      <c r="B4116" s="26" t="n">
        <v>44553</v>
      </c>
      <c r="C4116" s="12" t="inlineStr">
        <is>
          <t>VS24</t>
        </is>
      </c>
      <c r="D4116" s="12" t="inlineStr">
        <is>
          <t>MS Sheets</t>
        </is>
      </c>
      <c r="E4116" s="12" t="inlineStr">
        <is>
          <t>N</t>
        </is>
      </c>
      <c r="F4116" s="12" t="n">
        <v>26.33</v>
      </c>
      <c r="G4116" s="17" t="n">
        <v>116651.76</v>
      </c>
      <c r="H4116" s="26" t="n">
        <v>44557</v>
      </c>
      <c r="I4116" s="26" t="n">
        <v>44559</v>
      </c>
      <c r="J4116" s="12" t="n">
        <v>26.15</v>
      </c>
      <c r="K4116" s="17" t="n">
        <v>3071440.84</v>
      </c>
      <c r="L4116" s="12" t="n">
        <v>0</v>
      </c>
      <c r="M4116" s="12" t="n">
        <v>17</v>
      </c>
      <c r="N4116" s="27">
        <f>F4116-J4116</f>
        <v/>
      </c>
      <c r="O4116" s="16">
        <f>I4116-H4116</f>
        <v/>
      </c>
      <c r="P4116" s="14">
        <f>F4116*G4116</f>
        <v/>
      </c>
      <c r="Q4116" s="14">
        <f>J4116*G4116</f>
        <v/>
      </c>
      <c r="R4116" s="14">
        <f>K4116-Q4116</f>
        <v/>
      </c>
      <c r="S4116" s="3">
        <f>P4116*Assumptions!$B$3/100</f>
        <v/>
      </c>
      <c r="T4116" s="14">
        <f>R4116-S4116</f>
        <v/>
      </c>
      <c r="U4116" s="14">
        <f>L4116*G4116</f>
        <v/>
      </c>
    </row>
    <row r="4117">
      <c r="A4117" s="12" t="inlineStr">
        <is>
          <t>PO-2023-4115</t>
        </is>
      </c>
      <c r="B4117" s="26" t="n">
        <v>44636</v>
      </c>
      <c r="C4117" s="12" t="inlineStr">
        <is>
          <t>VS11</t>
        </is>
      </c>
      <c r="D4117" s="12" t="inlineStr">
        <is>
          <t>HR Coils</t>
        </is>
      </c>
      <c r="E4117" s="12" t="inlineStr">
        <is>
          <t>Y</t>
        </is>
      </c>
      <c r="F4117" s="12" t="n">
        <v>36.91</v>
      </c>
      <c r="G4117" s="17" t="n">
        <v>64062.22</v>
      </c>
      <c r="H4117" s="26" t="n">
        <v>44645</v>
      </c>
      <c r="I4117" s="26" t="n">
        <v>44647</v>
      </c>
      <c r="J4117" s="12" t="n">
        <v>36.56</v>
      </c>
      <c r="K4117" s="17" t="n">
        <v>2364536.54</v>
      </c>
      <c r="L4117" s="12" t="n">
        <v>0</v>
      </c>
      <c r="M4117" s="12" t="n">
        <v>0</v>
      </c>
      <c r="N4117" s="27">
        <f>F4117-J4117</f>
        <v/>
      </c>
      <c r="O4117" s="16">
        <f>I4117-H4117</f>
        <v/>
      </c>
      <c r="P4117" s="14">
        <f>F4117*G4117</f>
        <v/>
      </c>
      <c r="Q4117" s="14">
        <f>J4117*G4117</f>
        <v/>
      </c>
      <c r="R4117" s="14">
        <f>K4117-Q4117</f>
        <v/>
      </c>
      <c r="S4117" s="3">
        <f>P4117*Assumptions!$B$3/100</f>
        <v/>
      </c>
      <c r="T4117" s="14">
        <f>R4117-S4117</f>
        <v/>
      </c>
      <c r="U4117" s="14">
        <f>L4117*G4117</f>
        <v/>
      </c>
    </row>
    <row r="4118">
      <c r="A4118" s="12" t="inlineStr">
        <is>
          <t>PO-2023-4116</t>
        </is>
      </c>
      <c r="B4118" s="26" t="n">
        <v>44777</v>
      </c>
      <c r="C4118" s="12" t="inlineStr">
        <is>
          <t>VS22</t>
        </is>
      </c>
      <c r="D4118" s="12" t="inlineStr">
        <is>
          <t>Square/Rect Tubes</t>
        </is>
      </c>
      <c r="E4118" s="12" t="inlineStr">
        <is>
          <t>N</t>
        </is>
      </c>
      <c r="F4118" s="12" t="n">
        <v>11.61</v>
      </c>
      <c r="G4118" s="17" t="n">
        <v>58925.29</v>
      </c>
      <c r="H4118" s="26" t="n">
        <v>44786</v>
      </c>
      <c r="I4118" s="26" t="n">
        <v>44788</v>
      </c>
      <c r="J4118" s="12" t="n">
        <v>11.5</v>
      </c>
      <c r="K4118" s="17" t="n">
        <v>684122.62</v>
      </c>
      <c r="L4118" s="12" t="n">
        <v>0</v>
      </c>
      <c r="M4118" s="12" t="n">
        <v>0</v>
      </c>
      <c r="N4118" s="27">
        <f>F4118-J4118</f>
        <v/>
      </c>
      <c r="O4118" s="16">
        <f>I4118-H4118</f>
        <v/>
      </c>
      <c r="P4118" s="14">
        <f>F4118*G4118</f>
        <v/>
      </c>
      <c r="Q4118" s="14">
        <f>J4118*G4118</f>
        <v/>
      </c>
      <c r="R4118" s="14">
        <f>K4118-Q4118</f>
        <v/>
      </c>
      <c r="S4118" s="3">
        <f>P4118*Assumptions!$B$3/100</f>
        <v/>
      </c>
      <c r="T4118" s="14">
        <f>R4118-S4118</f>
        <v/>
      </c>
      <c r="U4118" s="14">
        <f>L4118*G4118</f>
        <v/>
      </c>
    </row>
    <row r="4119">
      <c r="A4119" s="12" t="inlineStr">
        <is>
          <t>PO-2023-4117</t>
        </is>
      </c>
      <c r="B4119" s="26" t="n">
        <v>44808</v>
      </c>
      <c r="C4119" s="12" t="inlineStr">
        <is>
          <t>VS20</t>
        </is>
      </c>
      <c r="D4119" s="12" t="inlineStr">
        <is>
          <t>Fasteners &amp; Fittings</t>
        </is>
      </c>
      <c r="E4119" s="12" t="inlineStr">
        <is>
          <t>Y</t>
        </is>
      </c>
      <c r="F4119" s="12" t="n">
        <v>21.98</v>
      </c>
      <c r="G4119" s="17" t="n">
        <v>45373.24</v>
      </c>
      <c r="H4119" s="26" t="n">
        <v>44815</v>
      </c>
      <c r="I4119" s="26" t="n">
        <v>44815</v>
      </c>
      <c r="J4119" s="12" t="n">
        <v>21.76</v>
      </c>
      <c r="K4119" s="17" t="n">
        <v>997303.8199999999</v>
      </c>
      <c r="L4119" s="12" t="n">
        <v>0</v>
      </c>
      <c r="M4119" s="12" t="n">
        <v>17</v>
      </c>
      <c r="N4119" s="27">
        <f>F4119-J4119</f>
        <v/>
      </c>
      <c r="O4119" s="16">
        <f>I4119-H4119</f>
        <v/>
      </c>
      <c r="P4119" s="14">
        <f>F4119*G4119</f>
        <v/>
      </c>
      <c r="Q4119" s="14">
        <f>J4119*G4119</f>
        <v/>
      </c>
      <c r="R4119" s="14">
        <f>K4119-Q4119</f>
        <v/>
      </c>
      <c r="S4119" s="3">
        <f>P4119*Assumptions!$B$3/100</f>
        <v/>
      </c>
      <c r="T4119" s="14">
        <f>R4119-S4119</f>
        <v/>
      </c>
      <c r="U4119" s="14">
        <f>L4119*G4119</f>
        <v/>
      </c>
    </row>
    <row r="4120">
      <c r="A4120" s="12" t="inlineStr">
        <is>
          <t>PO-2023-4118</t>
        </is>
      </c>
      <c r="B4120" s="26" t="n">
        <v>45245</v>
      </c>
      <c r="C4120" s="12" t="inlineStr">
        <is>
          <t>VS28</t>
        </is>
      </c>
      <c r="D4120" s="12" t="inlineStr">
        <is>
          <t>GI Wire</t>
        </is>
      </c>
      <c r="E4120" s="12" t="inlineStr">
        <is>
          <t>N</t>
        </is>
      </c>
      <c r="F4120" s="12" t="n">
        <v>10.47</v>
      </c>
      <c r="G4120" s="17" t="n">
        <v>58040.07</v>
      </c>
      <c r="H4120" s="26" t="n">
        <v>45248</v>
      </c>
      <c r="I4120" s="26" t="n">
        <v>45251</v>
      </c>
      <c r="J4120" s="12" t="n">
        <v>10.45</v>
      </c>
      <c r="K4120" s="17" t="n">
        <v>607679.53</v>
      </c>
      <c r="L4120" s="12" t="n">
        <v>0</v>
      </c>
      <c r="M4120" s="12" t="n">
        <v>19</v>
      </c>
      <c r="N4120" s="27">
        <f>F4120-J4120</f>
        <v/>
      </c>
      <c r="O4120" s="16">
        <f>I4120-H4120</f>
        <v/>
      </c>
      <c r="P4120" s="14">
        <f>F4120*G4120</f>
        <v/>
      </c>
      <c r="Q4120" s="14">
        <f>J4120*G4120</f>
        <v/>
      </c>
      <c r="R4120" s="14">
        <f>K4120-Q4120</f>
        <v/>
      </c>
      <c r="S4120" s="3">
        <f>P4120*Assumptions!$B$3/100</f>
        <v/>
      </c>
      <c r="T4120" s="14">
        <f>R4120-S4120</f>
        <v/>
      </c>
      <c r="U4120" s="14">
        <f>L4120*G4120</f>
        <v/>
      </c>
    </row>
    <row r="4121">
      <c r="A4121" s="12" t="inlineStr">
        <is>
          <t>PO-2023-4119</t>
        </is>
      </c>
      <c r="B4121" s="26" t="n">
        <v>44927</v>
      </c>
      <c r="C4121" s="12" t="inlineStr">
        <is>
          <t>VS16</t>
        </is>
      </c>
      <c r="D4121" s="12" t="inlineStr">
        <is>
          <t>GI Wire</t>
        </is>
      </c>
      <c r="E4121" s="12" t="inlineStr">
        <is>
          <t>N</t>
        </is>
      </c>
      <c r="F4121" s="12" t="n">
        <v>37.77</v>
      </c>
      <c r="G4121" s="17" t="n">
        <v>92749.3</v>
      </c>
      <c r="H4121" s="26" t="n">
        <v>44937</v>
      </c>
      <c r="I4121" s="26" t="n">
        <v>44939</v>
      </c>
      <c r="J4121" s="12" t="n">
        <v>37.45</v>
      </c>
      <c r="K4121" s="17" t="n">
        <v>3503141.06</v>
      </c>
      <c r="L4121" s="12" t="n">
        <v>0</v>
      </c>
      <c r="M4121" s="12" t="n">
        <v>0</v>
      </c>
      <c r="N4121" s="27">
        <f>F4121-J4121</f>
        <v/>
      </c>
      <c r="O4121" s="16">
        <f>I4121-H4121</f>
        <v/>
      </c>
      <c r="P4121" s="14">
        <f>F4121*G4121</f>
        <v/>
      </c>
      <c r="Q4121" s="14">
        <f>J4121*G4121</f>
        <v/>
      </c>
      <c r="R4121" s="14">
        <f>K4121-Q4121</f>
        <v/>
      </c>
      <c r="S4121" s="3">
        <f>P4121*Assumptions!$B$3/100</f>
        <v/>
      </c>
      <c r="T4121" s="14">
        <f>R4121-S4121</f>
        <v/>
      </c>
      <c r="U4121" s="14">
        <f>L4121*G4121</f>
        <v/>
      </c>
    </row>
    <row r="4122">
      <c r="A4122" s="12" t="inlineStr">
        <is>
          <t>PO-2023-4120</t>
        </is>
      </c>
      <c r="B4122" s="26" t="n">
        <v>44693</v>
      </c>
      <c r="C4122" s="12" t="inlineStr">
        <is>
          <t>VS18</t>
        </is>
      </c>
      <c r="D4122" s="12" t="inlineStr">
        <is>
          <t>Spring Steel</t>
        </is>
      </c>
      <c r="E4122" s="12" t="inlineStr">
        <is>
          <t>N</t>
        </is>
      </c>
      <c r="F4122" s="12" t="n">
        <v>32.21</v>
      </c>
      <c r="G4122" s="17" t="n">
        <v>72039.24000000001</v>
      </c>
      <c r="H4122" s="26" t="n">
        <v>44705</v>
      </c>
      <c r="I4122" s="26" t="n">
        <v>44706</v>
      </c>
      <c r="J4122" s="12" t="n">
        <v>32.01</v>
      </c>
      <c r="K4122" s="17" t="n">
        <v>2320383.92</v>
      </c>
      <c r="L4122" s="12" t="n">
        <v>0</v>
      </c>
      <c r="M4122" s="12" t="n">
        <v>0</v>
      </c>
      <c r="N4122" s="27">
        <f>F4122-J4122</f>
        <v/>
      </c>
      <c r="O4122" s="16">
        <f>I4122-H4122</f>
        <v/>
      </c>
      <c r="P4122" s="14">
        <f>F4122*G4122</f>
        <v/>
      </c>
      <c r="Q4122" s="14">
        <f>J4122*G4122</f>
        <v/>
      </c>
      <c r="R4122" s="14">
        <f>K4122-Q4122</f>
        <v/>
      </c>
      <c r="S4122" s="3">
        <f>P4122*Assumptions!$B$3/100</f>
        <v/>
      </c>
      <c r="T4122" s="14">
        <f>R4122-S4122</f>
        <v/>
      </c>
      <c r="U4122" s="14">
        <f>L4122*G4122</f>
        <v/>
      </c>
    </row>
    <row r="4123">
      <c r="A4123" s="12" t="inlineStr">
        <is>
          <t>PO-2023-4121</t>
        </is>
      </c>
      <c r="B4123" s="26" t="n">
        <v>45163</v>
      </c>
      <c r="C4123" s="12" t="inlineStr">
        <is>
          <t>VS15</t>
        </is>
      </c>
      <c r="D4123" s="12" t="inlineStr">
        <is>
          <t>Angles &amp; Channels</t>
        </is>
      </c>
      <c r="E4123" s="12" t="inlineStr">
        <is>
          <t>N</t>
        </is>
      </c>
      <c r="F4123" s="12" t="n">
        <v>20.83</v>
      </c>
      <c r="G4123" s="17" t="n">
        <v>103079.78</v>
      </c>
      <c r="H4123" s="26" t="n">
        <v>45171</v>
      </c>
      <c r="I4123" s="26" t="n">
        <v>45171</v>
      </c>
      <c r="J4123" s="12" t="n">
        <v>20.72</v>
      </c>
      <c r="K4123" s="17" t="n">
        <v>2147151.82</v>
      </c>
      <c r="L4123" s="12" t="n">
        <v>0</v>
      </c>
      <c r="M4123" s="12" t="n">
        <v>13</v>
      </c>
      <c r="N4123" s="27">
        <f>F4123-J4123</f>
        <v/>
      </c>
      <c r="O4123" s="16">
        <f>I4123-H4123</f>
        <v/>
      </c>
      <c r="P4123" s="14">
        <f>F4123*G4123</f>
        <v/>
      </c>
      <c r="Q4123" s="14">
        <f>J4123*G4123</f>
        <v/>
      </c>
      <c r="R4123" s="14">
        <f>K4123-Q4123</f>
        <v/>
      </c>
      <c r="S4123" s="3">
        <f>P4123*Assumptions!$B$3/100</f>
        <v/>
      </c>
      <c r="T4123" s="14">
        <f>R4123-S4123</f>
        <v/>
      </c>
      <c r="U4123" s="14">
        <f>L4123*G4123</f>
        <v/>
      </c>
    </row>
    <row r="4124">
      <c r="A4124" s="12" t="inlineStr">
        <is>
          <t>PO-2023-4122</t>
        </is>
      </c>
      <c r="B4124" s="26" t="n">
        <v>44560</v>
      </c>
      <c r="C4124" s="12" t="inlineStr">
        <is>
          <t>VS25</t>
        </is>
      </c>
      <c r="D4124" s="12" t="inlineStr">
        <is>
          <t>MS Rods</t>
        </is>
      </c>
      <c r="E4124" s="12" t="inlineStr">
        <is>
          <t>N</t>
        </is>
      </c>
      <c r="F4124" s="12" t="n">
        <v>19.18</v>
      </c>
      <c r="G4124" s="17" t="n">
        <v>69938.67</v>
      </c>
      <c r="H4124" s="26" t="n">
        <v>44564</v>
      </c>
      <c r="I4124" s="26" t="n">
        <v>44565</v>
      </c>
      <c r="J4124" s="12" t="n">
        <v>19.06</v>
      </c>
      <c r="K4124" s="17" t="n">
        <v>1341423.69</v>
      </c>
      <c r="L4124" s="12" t="n">
        <v>0</v>
      </c>
      <c r="M4124" s="12" t="n">
        <v>8</v>
      </c>
      <c r="N4124" s="27">
        <f>F4124-J4124</f>
        <v/>
      </c>
      <c r="O4124" s="16">
        <f>I4124-H4124</f>
        <v/>
      </c>
      <c r="P4124" s="14">
        <f>F4124*G4124</f>
        <v/>
      </c>
      <c r="Q4124" s="14">
        <f>J4124*G4124</f>
        <v/>
      </c>
      <c r="R4124" s="14">
        <f>K4124-Q4124</f>
        <v/>
      </c>
      <c r="S4124" s="3">
        <f>P4124*Assumptions!$B$3/100</f>
        <v/>
      </c>
      <c r="T4124" s="14">
        <f>R4124-S4124</f>
        <v/>
      </c>
      <c r="U4124" s="14">
        <f>L4124*G4124</f>
        <v/>
      </c>
    </row>
    <row r="4125">
      <c r="A4125" s="12" t="inlineStr">
        <is>
          <t>PO-2023-4123</t>
        </is>
      </c>
      <c r="B4125" s="26" t="n">
        <v>44744</v>
      </c>
      <c r="C4125" s="12" t="inlineStr">
        <is>
          <t>VS32</t>
        </is>
      </c>
      <c r="D4125" s="12" t="inlineStr">
        <is>
          <t>MS Rods</t>
        </is>
      </c>
      <c r="E4125" s="12" t="inlineStr">
        <is>
          <t>N</t>
        </is>
      </c>
      <c r="F4125" s="12" t="n">
        <v>48.06</v>
      </c>
      <c r="G4125" s="17" t="n">
        <v>72729.89999999999</v>
      </c>
      <c r="H4125" s="26" t="n">
        <v>44750</v>
      </c>
      <c r="I4125" s="26" t="n">
        <v>44750</v>
      </c>
      <c r="J4125" s="12" t="n">
        <v>47.69</v>
      </c>
      <c r="K4125" s="17" t="n">
        <v>3495398.99</v>
      </c>
      <c r="L4125" s="12" t="n">
        <v>0</v>
      </c>
      <c r="M4125" s="12" t="n">
        <v>16</v>
      </c>
      <c r="N4125" s="27">
        <f>F4125-J4125</f>
        <v/>
      </c>
      <c r="O4125" s="16">
        <f>I4125-H4125</f>
        <v/>
      </c>
      <c r="P4125" s="14">
        <f>F4125*G4125</f>
        <v/>
      </c>
      <c r="Q4125" s="14">
        <f>J4125*G4125</f>
        <v/>
      </c>
      <c r="R4125" s="14">
        <f>K4125-Q4125</f>
        <v/>
      </c>
      <c r="S4125" s="3">
        <f>P4125*Assumptions!$B$3/100</f>
        <v/>
      </c>
      <c r="T4125" s="14">
        <f>R4125-S4125</f>
        <v/>
      </c>
      <c r="U4125" s="14">
        <f>L4125*G4125</f>
        <v/>
      </c>
    </row>
    <row r="4126">
      <c r="A4126" s="12" t="inlineStr">
        <is>
          <t>PO-2023-4124</t>
        </is>
      </c>
      <c r="B4126" s="26" t="n">
        <v>45243</v>
      </c>
      <c r="C4126" s="12" t="inlineStr">
        <is>
          <t>VS04</t>
        </is>
      </c>
      <c r="D4126" s="12" t="inlineStr">
        <is>
          <t>GI Wire</t>
        </is>
      </c>
      <c r="E4126" s="12" t="inlineStr">
        <is>
          <t>Y</t>
        </is>
      </c>
      <c r="F4126" s="12" t="n">
        <v>21.41</v>
      </c>
      <c r="G4126" s="17" t="n">
        <v>52891.98</v>
      </c>
      <c r="H4126" s="26" t="n">
        <v>45253</v>
      </c>
      <c r="I4126" s="26" t="n">
        <v>45254</v>
      </c>
      <c r="J4126" s="12" t="n">
        <v>21.35</v>
      </c>
      <c r="K4126" s="17" t="n">
        <v>1132417.29</v>
      </c>
      <c r="L4126" s="12" t="n">
        <v>0</v>
      </c>
      <c r="M4126" s="12" t="n">
        <v>13</v>
      </c>
      <c r="N4126" s="27">
        <f>F4126-J4126</f>
        <v/>
      </c>
      <c r="O4126" s="16">
        <f>I4126-H4126</f>
        <v/>
      </c>
      <c r="P4126" s="14">
        <f>F4126*G4126</f>
        <v/>
      </c>
      <c r="Q4126" s="14">
        <f>J4126*G4126</f>
        <v/>
      </c>
      <c r="R4126" s="14">
        <f>K4126-Q4126</f>
        <v/>
      </c>
      <c r="S4126" s="3">
        <f>P4126*Assumptions!$B$3/100</f>
        <v/>
      </c>
      <c r="T4126" s="14">
        <f>R4126-S4126</f>
        <v/>
      </c>
      <c r="U4126" s="14">
        <f>L4126*G4126</f>
        <v/>
      </c>
    </row>
    <row r="4127">
      <c r="A4127" s="12" t="inlineStr">
        <is>
          <t>PO-2023-4125</t>
        </is>
      </c>
      <c r="B4127" s="26" t="n">
        <v>44953</v>
      </c>
      <c r="C4127" s="12" t="inlineStr">
        <is>
          <t>VS15</t>
        </is>
      </c>
      <c r="D4127" s="12" t="inlineStr">
        <is>
          <t>HR Coils</t>
        </is>
      </c>
      <c r="E4127" s="12" t="inlineStr">
        <is>
          <t>Y</t>
        </is>
      </c>
      <c r="F4127" s="12" t="n">
        <v>20.81</v>
      </c>
      <c r="G4127" s="17" t="n">
        <v>88620.37</v>
      </c>
      <c r="H4127" s="26" t="n">
        <v>44961</v>
      </c>
      <c r="I4127" s="26" t="n">
        <v>44964</v>
      </c>
      <c r="J4127" s="12" t="n">
        <v>20.7</v>
      </c>
      <c r="K4127" s="17" t="n">
        <v>1844189.9</v>
      </c>
      <c r="L4127" s="12" t="n">
        <v>0</v>
      </c>
      <c r="M4127" s="12" t="n">
        <v>0</v>
      </c>
      <c r="N4127" s="27">
        <f>F4127-J4127</f>
        <v/>
      </c>
      <c r="O4127" s="16">
        <f>I4127-H4127</f>
        <v/>
      </c>
      <c r="P4127" s="14">
        <f>F4127*G4127</f>
        <v/>
      </c>
      <c r="Q4127" s="14">
        <f>J4127*G4127</f>
        <v/>
      </c>
      <c r="R4127" s="14">
        <f>K4127-Q4127</f>
        <v/>
      </c>
      <c r="S4127" s="3">
        <f>P4127*Assumptions!$B$3/100</f>
        <v/>
      </c>
      <c r="T4127" s="14">
        <f>R4127-S4127</f>
        <v/>
      </c>
      <c r="U4127" s="14">
        <f>L4127*G4127</f>
        <v/>
      </c>
    </row>
    <row r="4128">
      <c r="A4128" s="12" t="inlineStr">
        <is>
          <t>PO-2023-4126</t>
        </is>
      </c>
      <c r="B4128" s="26" t="n">
        <v>44523</v>
      </c>
      <c r="C4128" s="12" t="inlineStr">
        <is>
          <t>VS19</t>
        </is>
      </c>
      <c r="D4128" s="12" t="inlineStr">
        <is>
          <t>Fasteners &amp; Fittings</t>
        </is>
      </c>
      <c r="E4128" s="12" t="inlineStr">
        <is>
          <t>N</t>
        </is>
      </c>
      <c r="F4128" s="12" t="n">
        <v>39.1</v>
      </c>
      <c r="G4128" s="17" t="n">
        <v>120819.83</v>
      </c>
      <c r="H4128" s="26" t="n">
        <v>44538</v>
      </c>
      <c r="I4128" s="26" t="n">
        <v>44543</v>
      </c>
      <c r="J4128" s="12" t="n">
        <v>37.63</v>
      </c>
      <c r="K4128" s="17" t="n">
        <v>4724055.35</v>
      </c>
      <c r="L4128" s="12" t="n">
        <v>1.4</v>
      </c>
      <c r="M4128" s="12" t="n">
        <v>3</v>
      </c>
      <c r="N4128" s="27">
        <f>F4128-J4128</f>
        <v/>
      </c>
      <c r="O4128" s="16">
        <f>I4128-H4128</f>
        <v/>
      </c>
      <c r="P4128" s="14">
        <f>F4128*G4128</f>
        <v/>
      </c>
      <c r="Q4128" s="14">
        <f>J4128*G4128</f>
        <v/>
      </c>
      <c r="R4128" s="14">
        <f>K4128-Q4128</f>
        <v/>
      </c>
      <c r="S4128" s="3">
        <f>P4128*Assumptions!$B$3/100</f>
        <v/>
      </c>
      <c r="T4128" s="14">
        <f>R4128-S4128</f>
        <v/>
      </c>
      <c r="U4128" s="14">
        <f>L4128*G4128</f>
        <v/>
      </c>
    </row>
    <row r="4129">
      <c r="A4129" s="12" t="inlineStr">
        <is>
          <t>PO-2023-4127</t>
        </is>
      </c>
      <c r="B4129" s="26" t="n">
        <v>45003</v>
      </c>
      <c r="C4129" s="12" t="inlineStr">
        <is>
          <t>VS28</t>
        </is>
      </c>
      <c r="D4129" s="12" t="inlineStr">
        <is>
          <t>MS Flats</t>
        </is>
      </c>
      <c r="E4129" s="12" t="inlineStr">
        <is>
          <t>N</t>
        </is>
      </c>
      <c r="F4129" s="12" t="n">
        <v>33.68</v>
      </c>
      <c r="G4129" s="17" t="n">
        <v>70354.78999999999</v>
      </c>
      <c r="H4129" s="26" t="n">
        <v>45014</v>
      </c>
      <c r="I4129" s="26" t="n">
        <v>45015</v>
      </c>
      <c r="J4129" s="12" t="n">
        <v>33.44</v>
      </c>
      <c r="K4129" s="17" t="n">
        <v>2369549.33</v>
      </c>
      <c r="L4129" s="12" t="n">
        <v>0</v>
      </c>
      <c r="M4129" s="12" t="n">
        <v>23</v>
      </c>
      <c r="N4129" s="27">
        <f>F4129-J4129</f>
        <v/>
      </c>
      <c r="O4129" s="16">
        <f>I4129-H4129</f>
        <v/>
      </c>
      <c r="P4129" s="14">
        <f>F4129*G4129</f>
        <v/>
      </c>
      <c r="Q4129" s="14">
        <f>J4129*G4129</f>
        <v/>
      </c>
      <c r="R4129" s="14">
        <f>K4129-Q4129</f>
        <v/>
      </c>
      <c r="S4129" s="3">
        <f>P4129*Assumptions!$B$3/100</f>
        <v/>
      </c>
      <c r="T4129" s="14">
        <f>R4129-S4129</f>
        <v/>
      </c>
      <c r="U4129" s="14">
        <f>L4129*G4129</f>
        <v/>
      </c>
    </row>
    <row r="4130">
      <c r="A4130" s="12" t="inlineStr">
        <is>
          <t>PO-2023-4128</t>
        </is>
      </c>
      <c r="B4130" s="26" t="n">
        <v>45032</v>
      </c>
      <c r="C4130" s="12" t="inlineStr">
        <is>
          <t>VS09</t>
        </is>
      </c>
      <c r="D4130" s="12" t="inlineStr">
        <is>
          <t>Spring Steel</t>
        </is>
      </c>
      <c r="E4130" s="12" t="inlineStr">
        <is>
          <t>N</t>
        </is>
      </c>
      <c r="F4130" s="12" t="n">
        <v>44.52</v>
      </c>
      <c r="G4130" s="17" t="n">
        <v>101095.32</v>
      </c>
      <c r="H4130" s="26" t="n">
        <v>45037</v>
      </c>
      <c r="I4130" s="26" t="n">
        <v>45038</v>
      </c>
      <c r="J4130" s="12" t="n">
        <v>44.24</v>
      </c>
      <c r="K4130" s="17" t="n">
        <v>4500763.65</v>
      </c>
      <c r="L4130" s="12" t="n">
        <v>0</v>
      </c>
      <c r="M4130" s="12" t="n">
        <v>17</v>
      </c>
      <c r="N4130" s="27">
        <f>F4130-J4130</f>
        <v/>
      </c>
      <c r="O4130" s="16">
        <f>I4130-H4130</f>
        <v/>
      </c>
      <c r="P4130" s="14">
        <f>F4130*G4130</f>
        <v/>
      </c>
      <c r="Q4130" s="14">
        <f>J4130*G4130</f>
        <v/>
      </c>
      <c r="R4130" s="14">
        <f>K4130-Q4130</f>
        <v/>
      </c>
      <c r="S4130" s="3">
        <f>P4130*Assumptions!$B$3/100</f>
        <v/>
      </c>
      <c r="T4130" s="14">
        <f>R4130-S4130</f>
        <v/>
      </c>
      <c r="U4130" s="14">
        <f>L4130*G4130</f>
        <v/>
      </c>
    </row>
    <row r="4131">
      <c r="A4131" s="12" t="inlineStr">
        <is>
          <t>PO-2023-4129</t>
        </is>
      </c>
      <c r="B4131" s="26" t="n">
        <v>44790</v>
      </c>
      <c r="C4131" s="12" t="inlineStr">
        <is>
          <t>VS13</t>
        </is>
      </c>
      <c r="D4131" s="12" t="inlineStr">
        <is>
          <t>MS Rods</t>
        </is>
      </c>
      <c r="E4131" s="12" t="inlineStr">
        <is>
          <t>Y</t>
        </is>
      </c>
      <c r="F4131" s="12" t="n">
        <v>25.2</v>
      </c>
      <c r="G4131" s="17" t="n">
        <v>89429.27</v>
      </c>
      <c r="H4131" s="26" t="n">
        <v>44797</v>
      </c>
      <c r="I4131" s="26" t="n">
        <v>44800</v>
      </c>
      <c r="J4131" s="12" t="n">
        <v>25.06</v>
      </c>
      <c r="K4131" s="17" t="n">
        <v>2253617.6</v>
      </c>
      <c r="L4131" s="12" t="n">
        <v>0</v>
      </c>
      <c r="M4131" s="12" t="n">
        <v>0</v>
      </c>
      <c r="N4131" s="27">
        <f>F4131-J4131</f>
        <v/>
      </c>
      <c r="O4131" s="16">
        <f>I4131-H4131</f>
        <v/>
      </c>
      <c r="P4131" s="14">
        <f>F4131*G4131</f>
        <v/>
      </c>
      <c r="Q4131" s="14">
        <f>J4131*G4131</f>
        <v/>
      </c>
      <c r="R4131" s="14">
        <f>K4131-Q4131</f>
        <v/>
      </c>
      <c r="S4131" s="3">
        <f>P4131*Assumptions!$B$3/100</f>
        <v/>
      </c>
      <c r="T4131" s="14">
        <f>R4131-S4131</f>
        <v/>
      </c>
      <c r="U4131" s="14">
        <f>L4131*G4131</f>
        <v/>
      </c>
    </row>
    <row r="4132">
      <c r="A4132" s="12" t="inlineStr">
        <is>
          <t>PO-2023-4130</t>
        </is>
      </c>
      <c r="B4132" s="26" t="n">
        <v>44408</v>
      </c>
      <c r="C4132" s="12" t="inlineStr">
        <is>
          <t>VS22</t>
        </is>
      </c>
      <c r="D4132" s="12" t="inlineStr">
        <is>
          <t>Structural Steel</t>
        </is>
      </c>
      <c r="E4132" s="12" t="inlineStr">
        <is>
          <t>Y</t>
        </is>
      </c>
      <c r="F4132" s="12" t="n">
        <v>5.01</v>
      </c>
      <c r="G4132" s="17" t="n">
        <v>93071.52</v>
      </c>
      <c r="H4132" s="26" t="n">
        <v>44421</v>
      </c>
      <c r="I4132" s="26" t="n">
        <v>44423</v>
      </c>
      <c r="J4132" s="12" t="n">
        <v>4.99</v>
      </c>
      <c r="K4132" s="17" t="n">
        <v>466288.32</v>
      </c>
      <c r="L4132" s="12" t="n">
        <v>0</v>
      </c>
      <c r="M4132" s="12" t="n">
        <v>22</v>
      </c>
      <c r="N4132" s="27">
        <f>F4132-J4132</f>
        <v/>
      </c>
      <c r="O4132" s="16">
        <f>I4132-H4132</f>
        <v/>
      </c>
      <c r="P4132" s="14">
        <f>F4132*G4132</f>
        <v/>
      </c>
      <c r="Q4132" s="14">
        <f>J4132*G4132</f>
        <v/>
      </c>
      <c r="R4132" s="14">
        <f>K4132-Q4132</f>
        <v/>
      </c>
      <c r="S4132" s="3">
        <f>P4132*Assumptions!$B$3/100</f>
        <v/>
      </c>
      <c r="T4132" s="14">
        <f>R4132-S4132</f>
        <v/>
      </c>
      <c r="U4132" s="14">
        <f>L4132*G4132</f>
        <v/>
      </c>
    </row>
    <row r="4133">
      <c r="A4133" s="12" t="inlineStr">
        <is>
          <t>PO-2023-4131</t>
        </is>
      </c>
      <c r="B4133" s="26" t="n">
        <v>45053</v>
      </c>
      <c r="C4133" s="12" t="inlineStr">
        <is>
          <t>VS13</t>
        </is>
      </c>
      <c r="D4133" s="12" t="inlineStr">
        <is>
          <t>Spring Steel</t>
        </is>
      </c>
      <c r="E4133" s="12" t="inlineStr">
        <is>
          <t>N</t>
        </is>
      </c>
      <c r="F4133" s="12" t="n">
        <v>46.63</v>
      </c>
      <c r="G4133" s="17" t="n">
        <v>69298.62</v>
      </c>
      <c r="H4133" s="26" t="n">
        <v>45059</v>
      </c>
      <c r="I4133" s="26" t="n">
        <v>45062</v>
      </c>
      <c r="J4133" s="12" t="n">
        <v>46.2</v>
      </c>
      <c r="K4133" s="17" t="n">
        <v>3231394.65</v>
      </c>
      <c r="L4133" s="12" t="n">
        <v>0</v>
      </c>
      <c r="M4133" s="12" t="n">
        <v>0</v>
      </c>
      <c r="N4133" s="27">
        <f>F4133-J4133</f>
        <v/>
      </c>
      <c r="O4133" s="16">
        <f>I4133-H4133</f>
        <v/>
      </c>
      <c r="P4133" s="14">
        <f>F4133*G4133</f>
        <v/>
      </c>
      <c r="Q4133" s="14">
        <f>J4133*G4133</f>
        <v/>
      </c>
      <c r="R4133" s="14">
        <f>K4133-Q4133</f>
        <v/>
      </c>
      <c r="S4133" s="3">
        <f>P4133*Assumptions!$B$3/100</f>
        <v/>
      </c>
      <c r="T4133" s="14">
        <f>R4133-S4133</f>
        <v/>
      </c>
      <c r="U4133" s="14">
        <f>L4133*G4133</f>
        <v/>
      </c>
    </row>
    <row r="4134">
      <c r="A4134" s="12" t="inlineStr">
        <is>
          <t>PO-2023-4132</t>
        </is>
      </c>
      <c r="B4134" s="26" t="n">
        <v>44783</v>
      </c>
      <c r="C4134" s="12" t="inlineStr">
        <is>
          <t>VS27</t>
        </is>
      </c>
      <c r="D4134" s="12" t="inlineStr">
        <is>
          <t>Spring Steel</t>
        </is>
      </c>
      <c r="E4134" s="12" t="inlineStr">
        <is>
          <t>N</t>
        </is>
      </c>
      <c r="F4134" s="12" t="n">
        <v>17.1</v>
      </c>
      <c r="G4134" s="17" t="n">
        <v>101181.22</v>
      </c>
      <c r="H4134" s="26" t="n">
        <v>44789</v>
      </c>
      <c r="I4134" s="26" t="n">
        <v>44790</v>
      </c>
      <c r="J4134" s="12" t="n">
        <v>16.95</v>
      </c>
      <c r="K4134" s="17" t="n">
        <v>1730198.86</v>
      </c>
      <c r="L4134" s="12" t="n">
        <v>0</v>
      </c>
      <c r="M4134" s="12" t="n">
        <v>0</v>
      </c>
      <c r="N4134" s="27">
        <f>F4134-J4134</f>
        <v/>
      </c>
      <c r="O4134" s="16">
        <f>I4134-H4134</f>
        <v/>
      </c>
      <c r="P4134" s="14">
        <f>F4134*G4134</f>
        <v/>
      </c>
      <c r="Q4134" s="14">
        <f>J4134*G4134</f>
        <v/>
      </c>
      <c r="R4134" s="14">
        <f>K4134-Q4134</f>
        <v/>
      </c>
      <c r="S4134" s="3">
        <f>P4134*Assumptions!$B$3/100</f>
        <v/>
      </c>
      <c r="T4134" s="14">
        <f>R4134-S4134</f>
        <v/>
      </c>
      <c r="U4134" s="14">
        <f>L4134*G4134</f>
        <v/>
      </c>
    </row>
    <row r="4135">
      <c r="A4135" s="12" t="inlineStr">
        <is>
          <t>PO-2023-4133</t>
        </is>
      </c>
      <c r="B4135" s="26" t="n">
        <v>44250</v>
      </c>
      <c r="C4135" s="12" t="inlineStr">
        <is>
          <t>VS27</t>
        </is>
      </c>
      <c r="D4135" s="12" t="inlineStr">
        <is>
          <t>ERW Pipes</t>
        </is>
      </c>
      <c r="E4135" s="12" t="inlineStr">
        <is>
          <t>N</t>
        </is>
      </c>
      <c r="F4135" s="12" t="n">
        <v>20.27</v>
      </c>
      <c r="G4135" s="17" t="n">
        <v>85379.99000000001</v>
      </c>
      <c r="H4135" s="26" t="n">
        <v>44257</v>
      </c>
      <c r="I4135" s="26" t="n">
        <v>44260</v>
      </c>
      <c r="J4135" s="12" t="n">
        <v>20.24</v>
      </c>
      <c r="K4135" s="17" t="n">
        <v>1730652.4</v>
      </c>
      <c r="L4135" s="12" t="n">
        <v>0</v>
      </c>
      <c r="M4135" s="12" t="n">
        <v>9</v>
      </c>
      <c r="N4135" s="27">
        <f>F4135-J4135</f>
        <v/>
      </c>
      <c r="O4135" s="16">
        <f>I4135-H4135</f>
        <v/>
      </c>
      <c r="P4135" s="14">
        <f>F4135*G4135</f>
        <v/>
      </c>
      <c r="Q4135" s="14">
        <f>J4135*G4135</f>
        <v/>
      </c>
      <c r="R4135" s="14">
        <f>K4135-Q4135</f>
        <v/>
      </c>
      <c r="S4135" s="3">
        <f>P4135*Assumptions!$B$3/100</f>
        <v/>
      </c>
      <c r="T4135" s="14">
        <f>R4135-S4135</f>
        <v/>
      </c>
      <c r="U4135" s="14">
        <f>L4135*G4135</f>
        <v/>
      </c>
    </row>
    <row r="4136">
      <c r="A4136" s="12" t="inlineStr">
        <is>
          <t>PO-2023-4134</t>
        </is>
      </c>
      <c r="B4136" s="26" t="n">
        <v>45160</v>
      </c>
      <c r="C4136" s="12" t="inlineStr">
        <is>
          <t>VS16</t>
        </is>
      </c>
      <c r="D4136" s="12" t="inlineStr">
        <is>
          <t>Spring Steel</t>
        </is>
      </c>
      <c r="E4136" s="12" t="inlineStr">
        <is>
          <t>N</t>
        </is>
      </c>
      <c r="F4136" s="12" t="n">
        <v>39.58</v>
      </c>
      <c r="G4136" s="17" t="n">
        <v>50787.3</v>
      </c>
      <c r="H4136" s="26" t="n">
        <v>45164</v>
      </c>
      <c r="I4136" s="26" t="n">
        <v>45167</v>
      </c>
      <c r="J4136" s="12" t="n">
        <v>39.46</v>
      </c>
      <c r="K4136" s="17" t="n">
        <v>2010161.33</v>
      </c>
      <c r="L4136" s="12" t="n">
        <v>0</v>
      </c>
      <c r="M4136" s="12" t="n">
        <v>6</v>
      </c>
      <c r="N4136" s="27">
        <f>F4136-J4136</f>
        <v/>
      </c>
      <c r="O4136" s="16">
        <f>I4136-H4136</f>
        <v/>
      </c>
      <c r="P4136" s="14">
        <f>F4136*G4136</f>
        <v/>
      </c>
      <c r="Q4136" s="14">
        <f>J4136*G4136</f>
        <v/>
      </c>
      <c r="R4136" s="14">
        <f>K4136-Q4136</f>
        <v/>
      </c>
      <c r="S4136" s="3">
        <f>P4136*Assumptions!$B$3/100</f>
        <v/>
      </c>
      <c r="T4136" s="14">
        <f>R4136-S4136</f>
        <v/>
      </c>
      <c r="U4136" s="14">
        <f>L4136*G4136</f>
        <v/>
      </c>
    </row>
    <row r="4137">
      <c r="A4137" s="12" t="inlineStr">
        <is>
          <t>PO-2023-4135</t>
        </is>
      </c>
      <c r="B4137" s="26" t="n">
        <v>44922</v>
      </c>
      <c r="C4137" s="12" t="inlineStr">
        <is>
          <t>VS15</t>
        </is>
      </c>
      <c r="D4137" s="12" t="inlineStr">
        <is>
          <t>Hex Bars</t>
        </is>
      </c>
      <c r="E4137" s="12" t="inlineStr">
        <is>
          <t>N</t>
        </is>
      </c>
      <c r="F4137" s="12" t="n">
        <v>5.08</v>
      </c>
      <c r="G4137" s="17" t="n">
        <v>74523.86</v>
      </c>
      <c r="H4137" s="26" t="n">
        <v>44937</v>
      </c>
      <c r="I4137" s="26" t="n">
        <v>44939</v>
      </c>
      <c r="J4137" s="12" t="n">
        <v>5.04</v>
      </c>
      <c r="K4137" s="17" t="n">
        <v>378581.21</v>
      </c>
      <c r="L4137" s="12" t="n">
        <v>0</v>
      </c>
      <c r="M4137" s="12" t="n">
        <v>10</v>
      </c>
      <c r="N4137" s="27">
        <f>F4137-J4137</f>
        <v/>
      </c>
      <c r="O4137" s="16">
        <f>I4137-H4137</f>
        <v/>
      </c>
      <c r="P4137" s="14">
        <f>F4137*G4137</f>
        <v/>
      </c>
      <c r="Q4137" s="14">
        <f>J4137*G4137</f>
        <v/>
      </c>
      <c r="R4137" s="14">
        <f>K4137-Q4137</f>
        <v/>
      </c>
      <c r="S4137" s="3">
        <f>P4137*Assumptions!$B$3/100</f>
        <v/>
      </c>
      <c r="T4137" s="14">
        <f>R4137-S4137</f>
        <v/>
      </c>
      <c r="U4137" s="14">
        <f>L4137*G4137</f>
        <v/>
      </c>
    </row>
    <row r="4138">
      <c r="A4138" s="12" t="inlineStr">
        <is>
          <t>PO-2023-4136</t>
        </is>
      </c>
      <c r="B4138" s="26" t="n">
        <v>45252</v>
      </c>
      <c r="C4138" s="12" t="inlineStr">
        <is>
          <t>VS13</t>
        </is>
      </c>
      <c r="D4138" s="12" t="inlineStr">
        <is>
          <t>Fasteners &amp; Fittings</t>
        </is>
      </c>
      <c r="E4138" s="12" t="inlineStr">
        <is>
          <t>N</t>
        </is>
      </c>
      <c r="F4138" s="12" t="n">
        <v>5.33</v>
      </c>
      <c r="G4138" s="17" t="n">
        <v>63363.23</v>
      </c>
      <c r="H4138" s="26" t="n">
        <v>45262</v>
      </c>
      <c r="I4138" s="26" t="n">
        <v>45264</v>
      </c>
      <c r="J4138" s="12" t="n">
        <v>5.3</v>
      </c>
      <c r="K4138" s="17" t="n">
        <v>337726.02</v>
      </c>
      <c r="L4138" s="12" t="n">
        <v>0</v>
      </c>
      <c r="M4138" s="12" t="n">
        <v>2</v>
      </c>
      <c r="N4138" s="27">
        <f>F4138-J4138</f>
        <v/>
      </c>
      <c r="O4138" s="16">
        <f>I4138-H4138</f>
        <v/>
      </c>
      <c r="P4138" s="14">
        <f>F4138*G4138</f>
        <v/>
      </c>
      <c r="Q4138" s="14">
        <f>J4138*G4138</f>
        <v/>
      </c>
      <c r="R4138" s="14">
        <f>K4138-Q4138</f>
        <v/>
      </c>
      <c r="S4138" s="3">
        <f>P4138*Assumptions!$B$3/100</f>
        <v/>
      </c>
      <c r="T4138" s="14">
        <f>R4138-S4138</f>
        <v/>
      </c>
      <c r="U4138" s="14">
        <f>L4138*G4138</f>
        <v/>
      </c>
    </row>
    <row r="4139">
      <c r="A4139" s="12" t="inlineStr">
        <is>
          <t>PO-2023-4137</t>
        </is>
      </c>
      <c r="B4139" s="26" t="n">
        <v>44623</v>
      </c>
      <c r="C4139" s="12" t="inlineStr">
        <is>
          <t>VS31</t>
        </is>
      </c>
      <c r="D4139" s="12" t="inlineStr">
        <is>
          <t>Square/Rect Tubes</t>
        </is>
      </c>
      <c r="E4139" s="12" t="inlineStr">
        <is>
          <t>N</t>
        </is>
      </c>
      <c r="F4139" s="12" t="n">
        <v>19.6</v>
      </c>
      <c r="G4139" s="17" t="n">
        <v>80364.78</v>
      </c>
      <c r="H4139" s="26" t="n">
        <v>44628</v>
      </c>
      <c r="I4139" s="26" t="n">
        <v>44628</v>
      </c>
      <c r="J4139" s="12" t="n">
        <v>19.48</v>
      </c>
      <c r="K4139" s="17" t="n">
        <v>1575149.69</v>
      </c>
      <c r="L4139" s="12" t="n">
        <v>0</v>
      </c>
      <c r="M4139" s="12" t="n">
        <v>25</v>
      </c>
      <c r="N4139" s="27">
        <f>F4139-J4139</f>
        <v/>
      </c>
      <c r="O4139" s="16">
        <f>I4139-H4139</f>
        <v/>
      </c>
      <c r="P4139" s="14">
        <f>F4139*G4139</f>
        <v/>
      </c>
      <c r="Q4139" s="14">
        <f>J4139*G4139</f>
        <v/>
      </c>
      <c r="R4139" s="14">
        <f>K4139-Q4139</f>
        <v/>
      </c>
      <c r="S4139" s="3">
        <f>P4139*Assumptions!$B$3/100</f>
        <v/>
      </c>
      <c r="T4139" s="14">
        <f>R4139-S4139</f>
        <v/>
      </c>
      <c r="U4139" s="14">
        <f>L4139*G4139</f>
        <v/>
      </c>
    </row>
    <row r="4140">
      <c r="A4140" s="12" t="inlineStr">
        <is>
          <t>PO-2023-4138</t>
        </is>
      </c>
      <c r="B4140" s="26" t="n">
        <v>44205</v>
      </c>
      <c r="C4140" s="12" t="inlineStr">
        <is>
          <t>VS07</t>
        </is>
      </c>
      <c r="D4140" s="12" t="inlineStr">
        <is>
          <t>CR Sheets</t>
        </is>
      </c>
      <c r="E4140" s="12" t="inlineStr">
        <is>
          <t>N</t>
        </is>
      </c>
      <c r="F4140" s="12" t="n">
        <v>27.28</v>
      </c>
      <c r="G4140" s="17" t="n">
        <v>76770.92</v>
      </c>
      <c r="H4140" s="26" t="n">
        <v>44215</v>
      </c>
      <c r="I4140" s="26" t="n">
        <v>44216</v>
      </c>
      <c r="J4140" s="12" t="n">
        <v>27.03</v>
      </c>
      <c r="K4140" s="17" t="n">
        <v>2094310.7</v>
      </c>
      <c r="L4140" s="12" t="n">
        <v>0</v>
      </c>
      <c r="M4140" s="12" t="n">
        <v>2</v>
      </c>
      <c r="N4140" s="27">
        <f>F4140-J4140</f>
        <v/>
      </c>
      <c r="O4140" s="16">
        <f>I4140-H4140</f>
        <v/>
      </c>
      <c r="P4140" s="14">
        <f>F4140*G4140</f>
        <v/>
      </c>
      <c r="Q4140" s="14">
        <f>J4140*G4140</f>
        <v/>
      </c>
      <c r="R4140" s="14">
        <f>K4140-Q4140</f>
        <v/>
      </c>
      <c r="S4140" s="3">
        <f>P4140*Assumptions!$B$3/100</f>
        <v/>
      </c>
      <c r="T4140" s="14">
        <f>R4140-S4140</f>
        <v/>
      </c>
      <c r="U4140" s="14">
        <f>L4140*G4140</f>
        <v/>
      </c>
    </row>
    <row r="4141">
      <c r="A4141" s="12" t="inlineStr">
        <is>
          <t>PO-2023-4139</t>
        </is>
      </c>
      <c r="B4141" s="26" t="n">
        <v>44236</v>
      </c>
      <c r="C4141" s="12" t="inlineStr">
        <is>
          <t>VS09</t>
        </is>
      </c>
      <c r="D4141" s="12" t="inlineStr">
        <is>
          <t>MS Rods</t>
        </is>
      </c>
      <c r="E4141" s="12" t="inlineStr">
        <is>
          <t>N</t>
        </is>
      </c>
      <c r="F4141" s="12" t="n">
        <v>36.86</v>
      </c>
      <c r="G4141" s="17" t="n">
        <v>88038.06</v>
      </c>
      <c r="H4141" s="26" t="n">
        <v>44240</v>
      </c>
      <c r="I4141" s="26" t="n">
        <v>44242</v>
      </c>
      <c r="J4141" s="12" t="n">
        <v>36.81</v>
      </c>
      <c r="K4141" s="17" t="n">
        <v>3245082.89</v>
      </c>
      <c r="L4141" s="12" t="n">
        <v>0</v>
      </c>
      <c r="M4141" s="12" t="n">
        <v>21</v>
      </c>
      <c r="N4141" s="27">
        <f>F4141-J4141</f>
        <v/>
      </c>
      <c r="O4141" s="16">
        <f>I4141-H4141</f>
        <v/>
      </c>
      <c r="P4141" s="14">
        <f>F4141*G4141</f>
        <v/>
      </c>
      <c r="Q4141" s="14">
        <f>J4141*G4141</f>
        <v/>
      </c>
      <c r="R4141" s="14">
        <f>K4141-Q4141</f>
        <v/>
      </c>
      <c r="S4141" s="3">
        <f>P4141*Assumptions!$B$3/100</f>
        <v/>
      </c>
      <c r="T4141" s="14">
        <f>R4141-S4141</f>
        <v/>
      </c>
      <c r="U4141" s="14">
        <f>L4141*G4141</f>
        <v/>
      </c>
    </row>
    <row r="4142">
      <c r="A4142" s="12" t="inlineStr">
        <is>
          <t>PO-2023-4140</t>
        </is>
      </c>
      <c r="B4142" s="26" t="n">
        <v>44466</v>
      </c>
      <c r="C4142" s="12" t="inlineStr">
        <is>
          <t>VS08</t>
        </is>
      </c>
      <c r="D4142" s="12" t="inlineStr">
        <is>
          <t>SS Sheets</t>
        </is>
      </c>
      <c r="E4142" s="12" t="inlineStr">
        <is>
          <t>Y</t>
        </is>
      </c>
      <c r="F4142" s="12" t="n">
        <v>20.51</v>
      </c>
      <c r="G4142" s="17" t="n">
        <v>59734.45</v>
      </c>
      <c r="H4142" s="26" t="n">
        <v>44481</v>
      </c>
      <c r="I4142" s="26" t="n">
        <v>44481</v>
      </c>
      <c r="J4142" s="12" t="n">
        <v>20.32</v>
      </c>
      <c r="K4142" s="17" t="n">
        <v>1225153.57</v>
      </c>
      <c r="L4142" s="12" t="n">
        <v>0</v>
      </c>
      <c r="M4142" s="12" t="n">
        <v>0</v>
      </c>
      <c r="N4142" s="27">
        <f>F4142-J4142</f>
        <v/>
      </c>
      <c r="O4142" s="16">
        <f>I4142-H4142</f>
        <v/>
      </c>
      <c r="P4142" s="14">
        <f>F4142*G4142</f>
        <v/>
      </c>
      <c r="Q4142" s="14">
        <f>J4142*G4142</f>
        <v/>
      </c>
      <c r="R4142" s="14">
        <f>K4142-Q4142</f>
        <v/>
      </c>
      <c r="S4142" s="3">
        <f>P4142*Assumptions!$B$3/100</f>
        <v/>
      </c>
      <c r="T4142" s="14">
        <f>R4142-S4142</f>
        <v/>
      </c>
      <c r="U4142" s="14">
        <f>L4142*G4142</f>
        <v/>
      </c>
    </row>
    <row r="4143">
      <c r="A4143" s="12" t="inlineStr">
        <is>
          <t>PO-2023-4141</t>
        </is>
      </c>
      <c r="B4143" s="26" t="n">
        <v>44806</v>
      </c>
      <c r="C4143" s="12" t="inlineStr">
        <is>
          <t>VS29</t>
        </is>
      </c>
      <c r="D4143" s="12" t="inlineStr">
        <is>
          <t>MS Rods</t>
        </is>
      </c>
      <c r="E4143" s="12" t="inlineStr">
        <is>
          <t>N</t>
        </is>
      </c>
      <c r="F4143" s="12" t="n">
        <v>10.01</v>
      </c>
      <c r="G4143" s="17" t="n">
        <v>93183.32000000001</v>
      </c>
      <c r="H4143" s="26" t="n">
        <v>44811</v>
      </c>
      <c r="I4143" s="26" t="n">
        <v>44813</v>
      </c>
      <c r="J4143" s="12" t="n">
        <v>9.92</v>
      </c>
      <c r="K4143" s="17" t="n">
        <v>932765.03</v>
      </c>
      <c r="L4143" s="12" t="n">
        <v>0</v>
      </c>
      <c r="M4143" s="12" t="n">
        <v>0</v>
      </c>
      <c r="N4143" s="27">
        <f>F4143-J4143</f>
        <v/>
      </c>
      <c r="O4143" s="16">
        <f>I4143-H4143</f>
        <v/>
      </c>
      <c r="P4143" s="14">
        <f>F4143*G4143</f>
        <v/>
      </c>
      <c r="Q4143" s="14">
        <f>J4143*G4143</f>
        <v/>
      </c>
      <c r="R4143" s="14">
        <f>K4143-Q4143</f>
        <v/>
      </c>
      <c r="S4143" s="3">
        <f>P4143*Assumptions!$B$3/100</f>
        <v/>
      </c>
      <c r="T4143" s="14">
        <f>R4143-S4143</f>
        <v/>
      </c>
      <c r="U4143" s="14">
        <f>L4143*G4143</f>
        <v/>
      </c>
    </row>
    <row r="4144">
      <c r="A4144" s="12" t="inlineStr">
        <is>
          <t>PO-2023-4142</t>
        </is>
      </c>
      <c r="B4144" s="26" t="n">
        <v>44533</v>
      </c>
      <c r="C4144" s="12" t="inlineStr">
        <is>
          <t>VS25</t>
        </is>
      </c>
      <c r="D4144" s="12" t="inlineStr">
        <is>
          <t>SS Sheets</t>
        </is>
      </c>
      <c r="E4144" s="12" t="inlineStr">
        <is>
          <t>N</t>
        </is>
      </c>
      <c r="F4144" s="12" t="n">
        <v>17.88</v>
      </c>
      <c r="G4144" s="17" t="n">
        <v>75409.46000000001</v>
      </c>
      <c r="H4144" s="26" t="n">
        <v>44539</v>
      </c>
      <c r="I4144" s="26" t="n">
        <v>44541</v>
      </c>
      <c r="J4144" s="12" t="n">
        <v>17.88</v>
      </c>
      <c r="K4144" s="17" t="n">
        <v>1348321.14</v>
      </c>
      <c r="L4144" s="12" t="n">
        <v>0</v>
      </c>
      <c r="M4144" s="12" t="n">
        <v>10</v>
      </c>
      <c r="N4144" s="27">
        <f>F4144-J4144</f>
        <v/>
      </c>
      <c r="O4144" s="16">
        <f>I4144-H4144</f>
        <v/>
      </c>
      <c r="P4144" s="14">
        <f>F4144*G4144</f>
        <v/>
      </c>
      <c r="Q4144" s="14">
        <f>J4144*G4144</f>
        <v/>
      </c>
      <c r="R4144" s="14">
        <f>K4144-Q4144</f>
        <v/>
      </c>
      <c r="S4144" s="3">
        <f>P4144*Assumptions!$B$3/100</f>
        <v/>
      </c>
      <c r="T4144" s="14">
        <f>R4144-S4144</f>
        <v/>
      </c>
      <c r="U4144" s="14">
        <f>L4144*G4144</f>
        <v/>
      </c>
    </row>
    <row r="4145">
      <c r="A4145" s="12" t="inlineStr">
        <is>
          <t>PO-2023-4143</t>
        </is>
      </c>
      <c r="B4145" s="26" t="n">
        <v>44419</v>
      </c>
      <c r="C4145" s="12" t="inlineStr">
        <is>
          <t>VS30</t>
        </is>
      </c>
      <c r="D4145" s="12" t="inlineStr">
        <is>
          <t>Square/Rect Tubes</t>
        </is>
      </c>
      <c r="E4145" s="12" t="inlineStr">
        <is>
          <t>Y</t>
        </is>
      </c>
      <c r="F4145" s="12" t="n">
        <v>37.65</v>
      </c>
      <c r="G4145" s="17" t="n">
        <v>88880.95</v>
      </c>
      <c r="H4145" s="26" t="n">
        <v>44434</v>
      </c>
      <c r="I4145" s="26" t="n">
        <v>44437</v>
      </c>
      <c r="J4145" s="12" t="n">
        <v>37.44</v>
      </c>
      <c r="K4145" s="17" t="n">
        <v>3346367.77</v>
      </c>
      <c r="L4145" s="12" t="n">
        <v>0</v>
      </c>
      <c r="M4145" s="12" t="n">
        <v>24</v>
      </c>
      <c r="N4145" s="27">
        <f>F4145-J4145</f>
        <v/>
      </c>
      <c r="O4145" s="16">
        <f>I4145-H4145</f>
        <v/>
      </c>
      <c r="P4145" s="14">
        <f>F4145*G4145</f>
        <v/>
      </c>
      <c r="Q4145" s="14">
        <f>J4145*G4145</f>
        <v/>
      </c>
      <c r="R4145" s="14">
        <f>K4145-Q4145</f>
        <v/>
      </c>
      <c r="S4145" s="3">
        <f>P4145*Assumptions!$B$3/100</f>
        <v/>
      </c>
      <c r="T4145" s="14">
        <f>R4145-S4145</f>
        <v/>
      </c>
      <c r="U4145" s="14">
        <f>L4145*G4145</f>
        <v/>
      </c>
    </row>
    <row r="4146">
      <c r="A4146" s="12" t="inlineStr">
        <is>
          <t>PO-2023-4144</t>
        </is>
      </c>
      <c r="B4146" s="26" t="n">
        <v>44812</v>
      </c>
      <c r="C4146" s="12" t="inlineStr">
        <is>
          <t>VS01</t>
        </is>
      </c>
      <c r="D4146" s="12" t="inlineStr">
        <is>
          <t>GI Sheets</t>
        </is>
      </c>
      <c r="E4146" s="12" t="inlineStr">
        <is>
          <t>N</t>
        </is>
      </c>
      <c r="F4146" s="12" t="n">
        <v>20.38</v>
      </c>
      <c r="G4146" s="17" t="n">
        <v>87949.31</v>
      </c>
      <c r="H4146" s="26" t="n">
        <v>44823</v>
      </c>
      <c r="I4146" s="26" t="n">
        <v>44824</v>
      </c>
      <c r="J4146" s="12" t="n">
        <v>20.27</v>
      </c>
      <c r="K4146" s="17" t="n">
        <v>1792406.94</v>
      </c>
      <c r="L4146" s="12" t="n">
        <v>0</v>
      </c>
      <c r="M4146" s="12" t="n">
        <v>15</v>
      </c>
      <c r="N4146" s="27">
        <f>F4146-J4146</f>
        <v/>
      </c>
      <c r="O4146" s="16">
        <f>I4146-H4146</f>
        <v/>
      </c>
      <c r="P4146" s="14">
        <f>F4146*G4146</f>
        <v/>
      </c>
      <c r="Q4146" s="14">
        <f>J4146*G4146</f>
        <v/>
      </c>
      <c r="R4146" s="14">
        <f>K4146-Q4146</f>
        <v/>
      </c>
      <c r="S4146" s="3">
        <f>P4146*Assumptions!$B$3/100</f>
        <v/>
      </c>
      <c r="T4146" s="14">
        <f>R4146-S4146</f>
        <v/>
      </c>
      <c r="U4146" s="14">
        <f>L4146*G4146</f>
        <v/>
      </c>
    </row>
    <row r="4147">
      <c r="A4147" s="12" t="inlineStr">
        <is>
          <t>PO-2023-4145</t>
        </is>
      </c>
      <c r="B4147" s="26" t="n">
        <v>44360</v>
      </c>
      <c r="C4147" s="12" t="inlineStr">
        <is>
          <t>VS08</t>
        </is>
      </c>
      <c r="D4147" s="12" t="inlineStr">
        <is>
          <t>MS Sheets</t>
        </is>
      </c>
      <c r="E4147" s="12" t="inlineStr">
        <is>
          <t>N</t>
        </is>
      </c>
      <c r="F4147" s="12" t="n">
        <v>32.46</v>
      </c>
      <c r="G4147" s="17" t="n">
        <v>97688.69</v>
      </c>
      <c r="H4147" s="26" t="n">
        <v>44369</v>
      </c>
      <c r="I4147" s="26" t="n">
        <v>44372</v>
      </c>
      <c r="J4147" s="12" t="n">
        <v>32.43</v>
      </c>
      <c r="K4147" s="17" t="n">
        <v>3170974.88</v>
      </c>
      <c r="L4147" s="12" t="n">
        <v>0</v>
      </c>
      <c r="M4147" s="12" t="n">
        <v>0</v>
      </c>
      <c r="N4147" s="27">
        <f>F4147-J4147</f>
        <v/>
      </c>
      <c r="O4147" s="16">
        <f>I4147-H4147</f>
        <v/>
      </c>
      <c r="P4147" s="14">
        <f>F4147*G4147</f>
        <v/>
      </c>
      <c r="Q4147" s="14">
        <f>J4147*G4147</f>
        <v/>
      </c>
      <c r="R4147" s="14">
        <f>K4147-Q4147</f>
        <v/>
      </c>
      <c r="S4147" s="3">
        <f>P4147*Assumptions!$B$3/100</f>
        <v/>
      </c>
      <c r="T4147" s="14">
        <f>R4147-S4147</f>
        <v/>
      </c>
      <c r="U4147" s="14">
        <f>L4147*G4147</f>
        <v/>
      </c>
    </row>
    <row r="4148">
      <c r="A4148" s="12" t="inlineStr">
        <is>
          <t>PO-2023-4146</t>
        </is>
      </c>
      <c r="B4148" s="26" t="n">
        <v>44795</v>
      </c>
      <c r="C4148" s="12" t="inlineStr">
        <is>
          <t>VS30</t>
        </is>
      </c>
      <c r="D4148" s="12" t="inlineStr">
        <is>
          <t>SS Pipes</t>
        </is>
      </c>
      <c r="E4148" s="12" t="inlineStr">
        <is>
          <t>N</t>
        </is>
      </c>
      <c r="F4148" s="12" t="n">
        <v>31.4</v>
      </c>
      <c r="G4148" s="17" t="n">
        <v>78862.34</v>
      </c>
      <c r="H4148" s="26" t="n">
        <v>44808</v>
      </c>
      <c r="I4148" s="26" t="n">
        <v>44810</v>
      </c>
      <c r="J4148" s="12" t="n">
        <v>31.12</v>
      </c>
      <c r="K4148" s="17" t="n">
        <v>2476277.48</v>
      </c>
      <c r="L4148" s="12" t="n">
        <v>0</v>
      </c>
      <c r="M4148" s="12" t="n">
        <v>0</v>
      </c>
      <c r="N4148" s="27">
        <f>F4148-J4148</f>
        <v/>
      </c>
      <c r="O4148" s="16">
        <f>I4148-H4148</f>
        <v/>
      </c>
      <c r="P4148" s="14">
        <f>F4148*G4148</f>
        <v/>
      </c>
      <c r="Q4148" s="14">
        <f>J4148*G4148</f>
        <v/>
      </c>
      <c r="R4148" s="14">
        <f>K4148-Q4148</f>
        <v/>
      </c>
      <c r="S4148" s="3">
        <f>P4148*Assumptions!$B$3/100</f>
        <v/>
      </c>
      <c r="T4148" s="14">
        <f>R4148-S4148</f>
        <v/>
      </c>
      <c r="U4148" s="14">
        <f>L4148*G4148</f>
        <v/>
      </c>
    </row>
    <row r="4149">
      <c r="A4149" s="12" t="inlineStr">
        <is>
          <t>PO-2023-4147</t>
        </is>
      </c>
      <c r="B4149" s="26" t="n">
        <v>44249</v>
      </c>
      <c r="C4149" s="12" t="inlineStr">
        <is>
          <t>VS27</t>
        </is>
      </c>
      <c r="D4149" s="12" t="inlineStr">
        <is>
          <t>Spring Steel</t>
        </is>
      </c>
      <c r="E4149" s="12" t="inlineStr">
        <is>
          <t>N</t>
        </is>
      </c>
      <c r="F4149" s="12" t="n">
        <v>11.99</v>
      </c>
      <c r="G4149" s="17" t="n">
        <v>69647.74000000001</v>
      </c>
      <c r="H4149" s="26" t="n">
        <v>44261</v>
      </c>
      <c r="I4149" s="26" t="n">
        <v>44264</v>
      </c>
      <c r="J4149" s="12" t="n">
        <v>11.92</v>
      </c>
      <c r="K4149" s="17" t="n">
        <v>835076.4</v>
      </c>
      <c r="L4149" s="12" t="n">
        <v>0</v>
      </c>
      <c r="M4149" s="12" t="n">
        <v>0</v>
      </c>
      <c r="N4149" s="27">
        <f>F4149-J4149</f>
        <v/>
      </c>
      <c r="O4149" s="16">
        <f>I4149-H4149</f>
        <v/>
      </c>
      <c r="P4149" s="14">
        <f>F4149*G4149</f>
        <v/>
      </c>
      <c r="Q4149" s="14">
        <f>J4149*G4149</f>
        <v/>
      </c>
      <c r="R4149" s="14">
        <f>K4149-Q4149</f>
        <v/>
      </c>
      <c r="S4149" s="3">
        <f>P4149*Assumptions!$B$3/100</f>
        <v/>
      </c>
      <c r="T4149" s="14">
        <f>R4149-S4149</f>
        <v/>
      </c>
      <c r="U4149" s="14">
        <f>L4149*G4149</f>
        <v/>
      </c>
    </row>
    <row r="4150">
      <c r="A4150" s="12" t="inlineStr">
        <is>
          <t>PO-2023-4148</t>
        </is>
      </c>
      <c r="B4150" s="26" t="n">
        <v>44424</v>
      </c>
      <c r="C4150" s="12" t="inlineStr">
        <is>
          <t>VS03</t>
        </is>
      </c>
      <c r="D4150" s="12" t="inlineStr">
        <is>
          <t>ERW Pipes</t>
        </is>
      </c>
      <c r="E4150" s="12" t="inlineStr">
        <is>
          <t>N</t>
        </is>
      </c>
      <c r="F4150" s="12" t="n">
        <v>47.84</v>
      </c>
      <c r="G4150" s="17" t="n">
        <v>55180.02</v>
      </c>
      <c r="H4150" s="26" t="n">
        <v>44432</v>
      </c>
      <c r="I4150" s="26" t="n">
        <v>44436</v>
      </c>
      <c r="J4150" s="12" t="n">
        <v>46.39</v>
      </c>
      <c r="K4150" s="17" t="n">
        <v>2639812.16</v>
      </c>
      <c r="L4150" s="12" t="n">
        <v>1.26</v>
      </c>
      <c r="M4150" s="12" t="n">
        <v>22</v>
      </c>
      <c r="N4150" s="27">
        <f>F4150-J4150</f>
        <v/>
      </c>
      <c r="O4150" s="16">
        <f>I4150-H4150</f>
        <v/>
      </c>
      <c r="P4150" s="14">
        <f>F4150*G4150</f>
        <v/>
      </c>
      <c r="Q4150" s="14">
        <f>J4150*G4150</f>
        <v/>
      </c>
      <c r="R4150" s="14">
        <f>K4150-Q4150</f>
        <v/>
      </c>
      <c r="S4150" s="3">
        <f>P4150*Assumptions!$B$3/100</f>
        <v/>
      </c>
      <c r="T4150" s="14">
        <f>R4150-S4150</f>
        <v/>
      </c>
      <c r="U4150" s="14">
        <f>L4150*G4150</f>
        <v/>
      </c>
    </row>
    <row r="4151">
      <c r="A4151" s="12" t="inlineStr">
        <is>
          <t>PO-2023-4149</t>
        </is>
      </c>
      <c r="B4151" s="26" t="n">
        <v>44253</v>
      </c>
      <c r="C4151" s="12" t="inlineStr">
        <is>
          <t>VS08</t>
        </is>
      </c>
      <c r="D4151" s="12" t="inlineStr">
        <is>
          <t>MS Rods</t>
        </is>
      </c>
      <c r="E4151" s="12" t="inlineStr">
        <is>
          <t>N</t>
        </is>
      </c>
      <c r="F4151" s="12" t="n">
        <v>39.03</v>
      </c>
      <c r="G4151" s="17" t="n">
        <v>63517.39</v>
      </c>
      <c r="H4151" s="26" t="n">
        <v>44265</v>
      </c>
      <c r="I4151" s="26" t="n">
        <v>44265</v>
      </c>
      <c r="J4151" s="12" t="n">
        <v>38.71</v>
      </c>
      <c r="K4151" s="17" t="n">
        <v>2479083.73</v>
      </c>
      <c r="L4151" s="12" t="n">
        <v>0</v>
      </c>
      <c r="M4151" s="12" t="n">
        <v>18</v>
      </c>
      <c r="N4151" s="27">
        <f>F4151-J4151</f>
        <v/>
      </c>
      <c r="O4151" s="16">
        <f>I4151-H4151</f>
        <v/>
      </c>
      <c r="P4151" s="14">
        <f>F4151*G4151</f>
        <v/>
      </c>
      <c r="Q4151" s="14">
        <f>J4151*G4151</f>
        <v/>
      </c>
      <c r="R4151" s="14">
        <f>K4151-Q4151</f>
        <v/>
      </c>
      <c r="S4151" s="3">
        <f>P4151*Assumptions!$B$3/100</f>
        <v/>
      </c>
      <c r="T4151" s="14">
        <f>R4151-S4151</f>
        <v/>
      </c>
      <c r="U4151" s="14">
        <f>L4151*G4151</f>
        <v/>
      </c>
    </row>
    <row r="4152">
      <c r="A4152" s="12" t="inlineStr">
        <is>
          <t>PO-2023-4150</t>
        </is>
      </c>
      <c r="B4152" s="26" t="n">
        <v>44754</v>
      </c>
      <c r="C4152" s="12" t="inlineStr">
        <is>
          <t>VS03</t>
        </is>
      </c>
      <c r="D4152" s="12" t="inlineStr">
        <is>
          <t>SS Pipes</t>
        </is>
      </c>
      <c r="E4152" s="12" t="inlineStr">
        <is>
          <t>N</t>
        </is>
      </c>
      <c r="F4152" s="12" t="n">
        <v>10.54</v>
      </c>
      <c r="G4152" s="17" t="n">
        <v>64866.66</v>
      </c>
      <c r="H4152" s="26" t="n">
        <v>44761</v>
      </c>
      <c r="I4152" s="26" t="n">
        <v>44768</v>
      </c>
      <c r="J4152" s="12" t="n">
        <v>10.32</v>
      </c>
      <c r="K4152" s="17" t="n">
        <v>683694.6</v>
      </c>
      <c r="L4152" s="12" t="n">
        <v>0.05</v>
      </c>
      <c r="M4152" s="12" t="n">
        <v>19</v>
      </c>
      <c r="N4152" s="27">
        <f>F4152-J4152</f>
        <v/>
      </c>
      <c r="O4152" s="16">
        <f>I4152-H4152</f>
        <v/>
      </c>
      <c r="P4152" s="14">
        <f>F4152*G4152</f>
        <v/>
      </c>
      <c r="Q4152" s="14">
        <f>J4152*G4152</f>
        <v/>
      </c>
      <c r="R4152" s="14">
        <f>K4152-Q4152</f>
        <v/>
      </c>
      <c r="S4152" s="3">
        <f>P4152*Assumptions!$B$3/100</f>
        <v/>
      </c>
      <c r="T4152" s="14">
        <f>R4152-S4152</f>
        <v/>
      </c>
      <c r="U4152" s="14">
        <f>L4152*G4152</f>
        <v/>
      </c>
    </row>
    <row r="4153">
      <c r="A4153" s="12" t="inlineStr">
        <is>
          <t>PO-2023-4151</t>
        </is>
      </c>
      <c r="B4153" s="26" t="n">
        <v>44638</v>
      </c>
      <c r="C4153" s="12" t="inlineStr">
        <is>
          <t>VS31</t>
        </is>
      </c>
      <c r="D4153" s="12" t="inlineStr">
        <is>
          <t>GI Wire</t>
        </is>
      </c>
      <c r="E4153" s="12" t="inlineStr">
        <is>
          <t>N</t>
        </is>
      </c>
      <c r="F4153" s="12" t="n">
        <v>41.83</v>
      </c>
      <c r="G4153" s="17" t="n">
        <v>94259.36</v>
      </c>
      <c r="H4153" s="26" t="n">
        <v>44644</v>
      </c>
      <c r="I4153" s="26" t="n">
        <v>44647</v>
      </c>
      <c r="J4153" s="12" t="n">
        <v>41.78</v>
      </c>
      <c r="K4153" s="17" t="n">
        <v>3942869.03</v>
      </c>
      <c r="L4153" s="12" t="n">
        <v>0</v>
      </c>
      <c r="M4153" s="12" t="n">
        <v>24</v>
      </c>
      <c r="N4153" s="27">
        <f>F4153-J4153</f>
        <v/>
      </c>
      <c r="O4153" s="16">
        <f>I4153-H4153</f>
        <v/>
      </c>
      <c r="P4153" s="14">
        <f>F4153*G4153</f>
        <v/>
      </c>
      <c r="Q4153" s="14">
        <f>J4153*G4153</f>
        <v/>
      </c>
      <c r="R4153" s="14">
        <f>K4153-Q4153</f>
        <v/>
      </c>
      <c r="S4153" s="3">
        <f>P4153*Assumptions!$B$3/100</f>
        <v/>
      </c>
      <c r="T4153" s="14">
        <f>R4153-S4153</f>
        <v/>
      </c>
      <c r="U4153" s="14">
        <f>L4153*G4153</f>
        <v/>
      </c>
    </row>
    <row r="4154">
      <c r="A4154" s="12" t="inlineStr">
        <is>
          <t>PO-2023-4152</t>
        </is>
      </c>
      <c r="B4154" s="26" t="n">
        <v>44757</v>
      </c>
      <c r="C4154" s="12" t="inlineStr">
        <is>
          <t>VS07</t>
        </is>
      </c>
      <c r="D4154" s="12" t="inlineStr">
        <is>
          <t>SS Sheets</t>
        </is>
      </c>
      <c r="E4154" s="12" t="inlineStr">
        <is>
          <t>N</t>
        </is>
      </c>
      <c r="F4154" s="12" t="n">
        <v>3.23</v>
      </c>
      <c r="G4154" s="17" t="n">
        <v>87251.38</v>
      </c>
      <c r="H4154" s="26" t="n">
        <v>44772</v>
      </c>
      <c r="I4154" s="26" t="n">
        <v>44775</v>
      </c>
      <c r="J4154" s="12" t="n">
        <v>3.2</v>
      </c>
      <c r="K4154" s="17" t="n">
        <v>281821.96</v>
      </c>
      <c r="L4154" s="12" t="n">
        <v>0</v>
      </c>
      <c r="M4154" s="12" t="n">
        <v>0</v>
      </c>
      <c r="N4154" s="27">
        <f>F4154-J4154</f>
        <v/>
      </c>
      <c r="O4154" s="16">
        <f>I4154-H4154</f>
        <v/>
      </c>
      <c r="P4154" s="14">
        <f>F4154*G4154</f>
        <v/>
      </c>
      <c r="Q4154" s="14">
        <f>J4154*G4154</f>
        <v/>
      </c>
      <c r="R4154" s="14">
        <f>K4154-Q4154</f>
        <v/>
      </c>
      <c r="S4154" s="3">
        <f>P4154*Assumptions!$B$3/100</f>
        <v/>
      </c>
      <c r="T4154" s="14">
        <f>R4154-S4154</f>
        <v/>
      </c>
      <c r="U4154" s="14">
        <f>L4154*G4154</f>
        <v/>
      </c>
    </row>
    <row r="4155">
      <c r="A4155" s="12" t="inlineStr">
        <is>
          <t>PO-2023-4153</t>
        </is>
      </c>
      <c r="B4155" s="26" t="n">
        <v>44740</v>
      </c>
      <c r="C4155" s="12" t="inlineStr">
        <is>
          <t>VS06</t>
        </is>
      </c>
      <c r="D4155" s="12" t="inlineStr">
        <is>
          <t>GI Pipes</t>
        </is>
      </c>
      <c r="E4155" s="12" t="inlineStr">
        <is>
          <t>N</t>
        </is>
      </c>
      <c r="F4155" s="12" t="n">
        <v>47.8</v>
      </c>
      <c r="G4155" s="17" t="n">
        <v>109873.14</v>
      </c>
      <c r="H4155" s="26" t="n">
        <v>44750</v>
      </c>
      <c r="I4155" s="26" t="n">
        <v>44751</v>
      </c>
      <c r="J4155" s="12" t="n">
        <v>47.63</v>
      </c>
      <c r="K4155" s="17" t="n">
        <v>5251936.09</v>
      </c>
      <c r="L4155" s="12" t="n">
        <v>0</v>
      </c>
      <c r="M4155" s="12" t="n">
        <v>0</v>
      </c>
      <c r="N4155" s="27">
        <f>F4155-J4155</f>
        <v/>
      </c>
      <c r="O4155" s="16">
        <f>I4155-H4155</f>
        <v/>
      </c>
      <c r="P4155" s="14">
        <f>F4155*G4155</f>
        <v/>
      </c>
      <c r="Q4155" s="14">
        <f>J4155*G4155</f>
        <v/>
      </c>
      <c r="R4155" s="14">
        <f>K4155-Q4155</f>
        <v/>
      </c>
      <c r="S4155" s="3">
        <f>P4155*Assumptions!$B$3/100</f>
        <v/>
      </c>
      <c r="T4155" s="14">
        <f>R4155-S4155</f>
        <v/>
      </c>
      <c r="U4155" s="14">
        <f>L4155*G4155</f>
        <v/>
      </c>
    </row>
    <row r="4156">
      <c r="A4156" s="12" t="inlineStr">
        <is>
          <t>PO-2023-4154</t>
        </is>
      </c>
      <c r="B4156" s="26" t="n">
        <v>44640</v>
      </c>
      <c r="C4156" s="12" t="inlineStr">
        <is>
          <t>VS03</t>
        </is>
      </c>
      <c r="D4156" s="12" t="inlineStr">
        <is>
          <t>SS Pipes</t>
        </is>
      </c>
      <c r="E4156" s="12" t="inlineStr">
        <is>
          <t>N</t>
        </is>
      </c>
      <c r="F4156" s="12" t="n">
        <v>49.7</v>
      </c>
      <c r="G4156" s="17" t="n">
        <v>117679.36</v>
      </c>
      <c r="H4156" s="26" t="n">
        <v>44644</v>
      </c>
      <c r="I4156" s="26" t="n">
        <v>44646</v>
      </c>
      <c r="J4156" s="12" t="n">
        <v>48.22</v>
      </c>
      <c r="K4156" s="17" t="n">
        <v>5848664.19</v>
      </c>
      <c r="L4156" s="12" t="n">
        <v>1.09</v>
      </c>
      <c r="M4156" s="12" t="n">
        <v>0</v>
      </c>
      <c r="N4156" s="27">
        <f>F4156-J4156</f>
        <v/>
      </c>
      <c r="O4156" s="16">
        <f>I4156-H4156</f>
        <v/>
      </c>
      <c r="P4156" s="14">
        <f>F4156*G4156</f>
        <v/>
      </c>
      <c r="Q4156" s="14">
        <f>J4156*G4156</f>
        <v/>
      </c>
      <c r="R4156" s="14">
        <f>K4156-Q4156</f>
        <v/>
      </c>
      <c r="S4156" s="3">
        <f>P4156*Assumptions!$B$3/100</f>
        <v/>
      </c>
      <c r="T4156" s="14">
        <f>R4156-S4156</f>
        <v/>
      </c>
      <c r="U4156" s="14">
        <f>L4156*G4156</f>
        <v/>
      </c>
    </row>
    <row r="4157">
      <c r="A4157" s="12" t="inlineStr">
        <is>
          <t>PO-2023-4155</t>
        </is>
      </c>
      <c r="B4157" s="26" t="n">
        <v>44409</v>
      </c>
      <c r="C4157" s="12" t="inlineStr">
        <is>
          <t>VS26</t>
        </is>
      </c>
      <c r="D4157" s="12" t="inlineStr">
        <is>
          <t>MS Pipes</t>
        </is>
      </c>
      <c r="E4157" s="12" t="inlineStr">
        <is>
          <t>N</t>
        </is>
      </c>
      <c r="F4157" s="12" t="n">
        <v>48.79</v>
      </c>
      <c r="G4157" s="17" t="n">
        <v>88375.64</v>
      </c>
      <c r="H4157" s="26" t="n">
        <v>44423</v>
      </c>
      <c r="I4157" s="26" t="n">
        <v>44424</v>
      </c>
      <c r="J4157" s="12" t="n">
        <v>48.72</v>
      </c>
      <c r="K4157" s="17" t="n">
        <v>4311847.48</v>
      </c>
      <c r="L4157" s="12" t="n">
        <v>0</v>
      </c>
      <c r="M4157" s="12" t="n">
        <v>0</v>
      </c>
      <c r="N4157" s="27">
        <f>F4157-J4157</f>
        <v/>
      </c>
      <c r="O4157" s="16">
        <f>I4157-H4157</f>
        <v/>
      </c>
      <c r="P4157" s="14">
        <f>F4157*G4157</f>
        <v/>
      </c>
      <c r="Q4157" s="14">
        <f>J4157*G4157</f>
        <v/>
      </c>
      <c r="R4157" s="14">
        <f>K4157-Q4157</f>
        <v/>
      </c>
      <c r="S4157" s="3">
        <f>P4157*Assumptions!$B$3/100</f>
        <v/>
      </c>
      <c r="T4157" s="14">
        <f>R4157-S4157</f>
        <v/>
      </c>
      <c r="U4157" s="14">
        <f>L4157*G4157</f>
        <v/>
      </c>
    </row>
    <row r="4158">
      <c r="A4158" s="12" t="inlineStr">
        <is>
          <t>PO-2023-4156</t>
        </is>
      </c>
      <c r="B4158" s="26" t="n">
        <v>44367</v>
      </c>
      <c r="C4158" s="12" t="inlineStr">
        <is>
          <t>VS02</t>
        </is>
      </c>
      <c r="D4158" s="12" t="inlineStr">
        <is>
          <t>GI Pipes</t>
        </is>
      </c>
      <c r="E4158" s="12" t="inlineStr">
        <is>
          <t>N</t>
        </is>
      </c>
      <c r="F4158" s="12" t="n">
        <v>42.57</v>
      </c>
      <c r="G4158" s="17" t="n">
        <v>94211.78999999999</v>
      </c>
      <c r="H4158" s="26" t="n">
        <v>44372</v>
      </c>
      <c r="I4158" s="26" t="n">
        <v>44372</v>
      </c>
      <c r="J4158" s="12" t="n">
        <v>42.34</v>
      </c>
      <c r="K4158" s="17" t="n">
        <v>4010595.9</v>
      </c>
      <c r="L4158" s="12" t="n">
        <v>0</v>
      </c>
      <c r="M4158" s="12" t="n">
        <v>6</v>
      </c>
      <c r="N4158" s="27">
        <f>F4158-J4158</f>
        <v/>
      </c>
      <c r="O4158" s="16">
        <f>I4158-H4158</f>
        <v/>
      </c>
      <c r="P4158" s="14">
        <f>F4158*G4158</f>
        <v/>
      </c>
      <c r="Q4158" s="14">
        <f>J4158*G4158</f>
        <v/>
      </c>
      <c r="R4158" s="14">
        <f>K4158-Q4158</f>
        <v/>
      </c>
      <c r="S4158" s="3">
        <f>P4158*Assumptions!$B$3/100</f>
        <v/>
      </c>
      <c r="T4158" s="14">
        <f>R4158-S4158</f>
        <v/>
      </c>
      <c r="U4158" s="14">
        <f>L4158*G4158</f>
        <v/>
      </c>
    </row>
    <row r="4159">
      <c r="A4159" s="12" t="inlineStr">
        <is>
          <t>PO-2023-4157</t>
        </is>
      </c>
      <c r="B4159" s="26" t="n">
        <v>44276</v>
      </c>
      <c r="C4159" s="12" t="inlineStr">
        <is>
          <t>VS10</t>
        </is>
      </c>
      <c r="D4159" s="12" t="inlineStr">
        <is>
          <t>Hex Bars</t>
        </is>
      </c>
      <c r="E4159" s="12" t="inlineStr">
        <is>
          <t>N</t>
        </is>
      </c>
      <c r="F4159" s="12" t="n">
        <v>28.53</v>
      </c>
      <c r="G4159" s="17" t="n">
        <v>111127.52</v>
      </c>
      <c r="H4159" s="26" t="n">
        <v>44285</v>
      </c>
      <c r="I4159" s="26" t="n">
        <v>44286</v>
      </c>
      <c r="J4159" s="12" t="n">
        <v>28.52</v>
      </c>
      <c r="K4159" s="17" t="n">
        <v>3170468.15</v>
      </c>
      <c r="L4159" s="12" t="n">
        <v>0</v>
      </c>
      <c r="M4159" s="12" t="n">
        <v>22</v>
      </c>
      <c r="N4159" s="27">
        <f>F4159-J4159</f>
        <v/>
      </c>
      <c r="O4159" s="16">
        <f>I4159-H4159</f>
        <v/>
      </c>
      <c r="P4159" s="14">
        <f>F4159*G4159</f>
        <v/>
      </c>
      <c r="Q4159" s="14">
        <f>J4159*G4159</f>
        <v/>
      </c>
      <c r="R4159" s="14">
        <f>K4159-Q4159</f>
        <v/>
      </c>
      <c r="S4159" s="3">
        <f>P4159*Assumptions!$B$3/100</f>
        <v/>
      </c>
      <c r="T4159" s="14">
        <f>R4159-S4159</f>
        <v/>
      </c>
      <c r="U4159" s="14">
        <f>L4159*G4159</f>
        <v/>
      </c>
    </row>
    <row r="4160">
      <c r="A4160" s="12" t="inlineStr">
        <is>
          <t>PO-2023-4158</t>
        </is>
      </c>
      <c r="B4160" s="26" t="n">
        <v>44440</v>
      </c>
      <c r="C4160" s="12" t="inlineStr">
        <is>
          <t>VS26</t>
        </is>
      </c>
      <c r="D4160" s="12" t="inlineStr">
        <is>
          <t>Spring Steel</t>
        </is>
      </c>
      <c r="E4160" s="12" t="inlineStr">
        <is>
          <t>N</t>
        </is>
      </c>
      <c r="F4160" s="12" t="n">
        <v>49.96</v>
      </c>
      <c r="G4160" s="17" t="n">
        <v>101099.23</v>
      </c>
      <c r="H4160" s="26" t="n">
        <v>44444</v>
      </c>
      <c r="I4160" s="26" t="n">
        <v>44447</v>
      </c>
      <c r="J4160" s="12" t="n">
        <v>49.64</v>
      </c>
      <c r="K4160" s="17" t="n">
        <v>5050917.53</v>
      </c>
      <c r="L4160" s="12" t="n">
        <v>0</v>
      </c>
      <c r="M4160" s="12" t="n">
        <v>21</v>
      </c>
      <c r="N4160" s="27">
        <f>F4160-J4160</f>
        <v/>
      </c>
      <c r="O4160" s="16">
        <f>I4160-H4160</f>
        <v/>
      </c>
      <c r="P4160" s="14">
        <f>F4160*G4160</f>
        <v/>
      </c>
      <c r="Q4160" s="14">
        <f>J4160*G4160</f>
        <v/>
      </c>
      <c r="R4160" s="14">
        <f>K4160-Q4160</f>
        <v/>
      </c>
      <c r="S4160" s="3">
        <f>P4160*Assumptions!$B$3/100</f>
        <v/>
      </c>
      <c r="T4160" s="14">
        <f>R4160-S4160</f>
        <v/>
      </c>
      <c r="U4160" s="14">
        <f>L4160*G4160</f>
        <v/>
      </c>
    </row>
    <row r="4161">
      <c r="A4161" s="12" t="inlineStr">
        <is>
          <t>PO-2023-4159</t>
        </is>
      </c>
      <c r="B4161" s="26" t="n">
        <v>44278</v>
      </c>
      <c r="C4161" s="12" t="inlineStr">
        <is>
          <t>VS16</t>
        </is>
      </c>
      <c r="D4161" s="12" t="inlineStr">
        <is>
          <t>SS Sheets</t>
        </is>
      </c>
      <c r="E4161" s="12" t="inlineStr">
        <is>
          <t>N</t>
        </is>
      </c>
      <c r="F4161" s="12" t="n">
        <v>8.07</v>
      </c>
      <c r="G4161" s="17" t="n">
        <v>116607.98</v>
      </c>
      <c r="H4161" s="26" t="n">
        <v>44293</v>
      </c>
      <c r="I4161" s="26" t="n">
        <v>44295</v>
      </c>
      <c r="J4161" s="12" t="n">
        <v>7.99</v>
      </c>
      <c r="K4161" s="17" t="n">
        <v>941026.4</v>
      </c>
      <c r="L4161" s="12" t="n">
        <v>0</v>
      </c>
      <c r="M4161" s="12" t="n">
        <v>22</v>
      </c>
      <c r="N4161" s="27">
        <f>F4161-J4161</f>
        <v/>
      </c>
      <c r="O4161" s="16">
        <f>I4161-H4161</f>
        <v/>
      </c>
      <c r="P4161" s="14">
        <f>F4161*G4161</f>
        <v/>
      </c>
      <c r="Q4161" s="14">
        <f>J4161*G4161</f>
        <v/>
      </c>
      <c r="R4161" s="14">
        <f>K4161-Q4161</f>
        <v/>
      </c>
      <c r="S4161" s="3">
        <f>P4161*Assumptions!$B$3/100</f>
        <v/>
      </c>
      <c r="T4161" s="14">
        <f>R4161-S4161</f>
        <v/>
      </c>
      <c r="U4161" s="14">
        <f>L4161*G4161</f>
        <v/>
      </c>
    </row>
    <row r="4162">
      <c r="A4162" s="12" t="inlineStr">
        <is>
          <t>PO-2023-4160</t>
        </is>
      </c>
      <c r="B4162" s="26" t="n">
        <v>44607</v>
      </c>
      <c r="C4162" s="12" t="inlineStr">
        <is>
          <t>VS17</t>
        </is>
      </c>
      <c r="D4162" s="12" t="inlineStr">
        <is>
          <t>Hex Bars</t>
        </is>
      </c>
      <c r="E4162" s="12" t="inlineStr">
        <is>
          <t>N</t>
        </is>
      </c>
      <c r="F4162" s="12" t="n">
        <v>44.87</v>
      </c>
      <c r="G4162" s="17" t="n">
        <v>115090.12</v>
      </c>
      <c r="H4162" s="26" t="n">
        <v>44614</v>
      </c>
      <c r="I4162" s="26" t="n">
        <v>44614</v>
      </c>
      <c r="J4162" s="12" t="n">
        <v>44.72</v>
      </c>
      <c r="K4162" s="17" t="n">
        <v>5164093.68</v>
      </c>
      <c r="L4162" s="12" t="n">
        <v>0</v>
      </c>
      <c r="M4162" s="12" t="n">
        <v>14</v>
      </c>
      <c r="N4162" s="27">
        <f>F4162-J4162</f>
        <v/>
      </c>
      <c r="O4162" s="16">
        <f>I4162-H4162</f>
        <v/>
      </c>
      <c r="P4162" s="14">
        <f>F4162*G4162</f>
        <v/>
      </c>
      <c r="Q4162" s="14">
        <f>J4162*G4162</f>
        <v/>
      </c>
      <c r="R4162" s="14">
        <f>K4162-Q4162</f>
        <v/>
      </c>
      <c r="S4162" s="3">
        <f>P4162*Assumptions!$B$3/100</f>
        <v/>
      </c>
      <c r="T4162" s="14">
        <f>R4162-S4162</f>
        <v/>
      </c>
      <c r="U4162" s="14">
        <f>L4162*G4162</f>
        <v/>
      </c>
    </row>
    <row r="4163">
      <c r="A4163" s="12" t="inlineStr">
        <is>
          <t>PO-2023-4161</t>
        </is>
      </c>
      <c r="B4163" s="26" t="n">
        <v>44731</v>
      </c>
      <c r="C4163" s="12" t="inlineStr">
        <is>
          <t>VS10</t>
        </is>
      </c>
      <c r="D4163" s="12" t="inlineStr">
        <is>
          <t>GI Pipes</t>
        </is>
      </c>
      <c r="E4163" s="12" t="inlineStr">
        <is>
          <t>N</t>
        </is>
      </c>
      <c r="F4163" s="12" t="n">
        <v>11.27</v>
      </c>
      <c r="G4163" s="17" t="n">
        <v>59811.13</v>
      </c>
      <c r="H4163" s="26" t="n">
        <v>44740</v>
      </c>
      <c r="I4163" s="26" t="n">
        <v>44742</v>
      </c>
      <c r="J4163" s="12" t="n">
        <v>11.19</v>
      </c>
      <c r="K4163" s="17" t="n">
        <v>674071.4399999999</v>
      </c>
      <c r="L4163" s="12" t="n">
        <v>0</v>
      </c>
      <c r="M4163" s="12" t="n">
        <v>23</v>
      </c>
      <c r="N4163" s="27">
        <f>F4163-J4163</f>
        <v/>
      </c>
      <c r="O4163" s="16">
        <f>I4163-H4163</f>
        <v/>
      </c>
      <c r="P4163" s="14">
        <f>F4163*G4163</f>
        <v/>
      </c>
      <c r="Q4163" s="14">
        <f>J4163*G4163</f>
        <v/>
      </c>
      <c r="R4163" s="14">
        <f>K4163-Q4163</f>
        <v/>
      </c>
      <c r="S4163" s="3">
        <f>P4163*Assumptions!$B$3/100</f>
        <v/>
      </c>
      <c r="T4163" s="14">
        <f>R4163-S4163</f>
        <v/>
      </c>
      <c r="U4163" s="14">
        <f>L4163*G4163</f>
        <v/>
      </c>
    </row>
    <row r="4164">
      <c r="A4164" s="12" t="inlineStr">
        <is>
          <t>PO-2023-4162</t>
        </is>
      </c>
      <c r="B4164" s="26" t="n">
        <v>44322</v>
      </c>
      <c r="C4164" s="12" t="inlineStr">
        <is>
          <t>VS31</t>
        </is>
      </c>
      <c r="D4164" s="12" t="inlineStr">
        <is>
          <t>ERW Pipes</t>
        </is>
      </c>
      <c r="E4164" s="12" t="inlineStr">
        <is>
          <t>Y</t>
        </is>
      </c>
      <c r="F4164" s="12" t="n">
        <v>24.8</v>
      </c>
      <c r="G4164" s="17" t="n">
        <v>115440.86</v>
      </c>
      <c r="H4164" s="26" t="n">
        <v>44334</v>
      </c>
      <c r="I4164" s="26" t="n">
        <v>44337</v>
      </c>
      <c r="J4164" s="12" t="n">
        <v>24.73</v>
      </c>
      <c r="K4164" s="17" t="n">
        <v>2862933.33</v>
      </c>
      <c r="L4164" s="12" t="n">
        <v>0</v>
      </c>
      <c r="M4164" s="12" t="n">
        <v>17</v>
      </c>
      <c r="N4164" s="27">
        <f>F4164-J4164</f>
        <v/>
      </c>
      <c r="O4164" s="16">
        <f>I4164-H4164</f>
        <v/>
      </c>
      <c r="P4164" s="14">
        <f>F4164*G4164</f>
        <v/>
      </c>
      <c r="Q4164" s="14">
        <f>J4164*G4164</f>
        <v/>
      </c>
      <c r="R4164" s="14">
        <f>K4164-Q4164</f>
        <v/>
      </c>
      <c r="S4164" s="3">
        <f>P4164*Assumptions!$B$3/100</f>
        <v/>
      </c>
      <c r="T4164" s="14">
        <f>R4164-S4164</f>
        <v/>
      </c>
      <c r="U4164" s="14">
        <f>L4164*G4164</f>
        <v/>
      </c>
    </row>
    <row r="4165">
      <c r="A4165" s="12" t="inlineStr">
        <is>
          <t>PO-2023-4163</t>
        </is>
      </c>
      <c r="B4165" s="26" t="n">
        <v>44401</v>
      </c>
      <c r="C4165" s="12" t="inlineStr">
        <is>
          <t>VS14</t>
        </is>
      </c>
      <c r="D4165" s="12" t="inlineStr">
        <is>
          <t>Spring Steel</t>
        </is>
      </c>
      <c r="E4165" s="12" t="inlineStr">
        <is>
          <t>N</t>
        </is>
      </c>
      <c r="F4165" s="12" t="n">
        <v>19.73</v>
      </c>
      <c r="G4165" s="17" t="n">
        <v>50987.81</v>
      </c>
      <c r="H4165" s="26" t="n">
        <v>44416</v>
      </c>
      <c r="I4165" s="26" t="n">
        <v>44419</v>
      </c>
      <c r="J4165" s="12" t="n">
        <v>19.64</v>
      </c>
      <c r="K4165" s="17" t="n">
        <v>1005989.49</v>
      </c>
      <c r="L4165" s="12" t="n">
        <v>0</v>
      </c>
      <c r="M4165" s="12" t="n">
        <v>22</v>
      </c>
      <c r="N4165" s="27">
        <f>F4165-J4165</f>
        <v/>
      </c>
      <c r="O4165" s="16">
        <f>I4165-H4165</f>
        <v/>
      </c>
      <c r="P4165" s="14">
        <f>F4165*G4165</f>
        <v/>
      </c>
      <c r="Q4165" s="14">
        <f>J4165*G4165</f>
        <v/>
      </c>
      <c r="R4165" s="14">
        <f>K4165-Q4165</f>
        <v/>
      </c>
      <c r="S4165" s="3">
        <f>P4165*Assumptions!$B$3/100</f>
        <v/>
      </c>
      <c r="T4165" s="14">
        <f>R4165-S4165</f>
        <v/>
      </c>
      <c r="U4165" s="14">
        <f>L4165*G4165</f>
        <v/>
      </c>
    </row>
    <row r="4166">
      <c r="A4166" s="12" t="inlineStr">
        <is>
          <t>PO-2023-4164</t>
        </is>
      </c>
      <c r="B4166" s="26" t="n">
        <v>45181</v>
      </c>
      <c r="C4166" s="12" t="inlineStr">
        <is>
          <t>VS07</t>
        </is>
      </c>
      <c r="D4166" s="12" t="inlineStr">
        <is>
          <t>SS Pipes</t>
        </is>
      </c>
      <c r="E4166" s="12" t="inlineStr">
        <is>
          <t>N</t>
        </is>
      </c>
      <c r="F4166" s="12" t="n">
        <v>39.75</v>
      </c>
      <c r="G4166" s="17" t="n">
        <v>53700.46</v>
      </c>
      <c r="H4166" s="26" t="n">
        <v>45186</v>
      </c>
      <c r="I4166" s="26" t="n">
        <v>45188</v>
      </c>
      <c r="J4166" s="12" t="n">
        <v>39.38</v>
      </c>
      <c r="K4166" s="17" t="n">
        <v>2134593.29</v>
      </c>
      <c r="L4166" s="12" t="n">
        <v>0</v>
      </c>
      <c r="M4166" s="12" t="n">
        <v>0</v>
      </c>
      <c r="N4166" s="27">
        <f>F4166-J4166</f>
        <v/>
      </c>
      <c r="O4166" s="16">
        <f>I4166-H4166</f>
        <v/>
      </c>
      <c r="P4166" s="14">
        <f>F4166*G4166</f>
        <v/>
      </c>
      <c r="Q4166" s="14">
        <f>J4166*G4166</f>
        <v/>
      </c>
      <c r="R4166" s="14">
        <f>K4166-Q4166</f>
        <v/>
      </c>
      <c r="S4166" s="3">
        <f>P4166*Assumptions!$B$3/100</f>
        <v/>
      </c>
      <c r="T4166" s="14">
        <f>R4166-S4166</f>
        <v/>
      </c>
      <c r="U4166" s="14">
        <f>L4166*G4166</f>
        <v/>
      </c>
    </row>
    <row r="4167">
      <c r="A4167" s="12" t="inlineStr">
        <is>
          <t>PO-2023-4165</t>
        </is>
      </c>
      <c r="B4167" s="26" t="n">
        <v>44397</v>
      </c>
      <c r="C4167" s="12" t="inlineStr">
        <is>
          <t>VS20</t>
        </is>
      </c>
      <c r="D4167" s="12" t="inlineStr">
        <is>
          <t>MS Pipes</t>
        </is>
      </c>
      <c r="E4167" s="12" t="inlineStr">
        <is>
          <t>N</t>
        </is>
      </c>
      <c r="F4167" s="12" t="n">
        <v>49.82</v>
      </c>
      <c r="G4167" s="17" t="n">
        <v>67759.13</v>
      </c>
      <c r="H4167" s="26" t="n">
        <v>44407</v>
      </c>
      <c r="I4167" s="26" t="n">
        <v>44409</v>
      </c>
      <c r="J4167" s="12" t="n">
        <v>49.42</v>
      </c>
      <c r="K4167" s="17" t="n">
        <v>3375759.86</v>
      </c>
      <c r="L4167" s="12" t="n">
        <v>0</v>
      </c>
      <c r="M4167" s="12" t="n">
        <v>0</v>
      </c>
      <c r="N4167" s="27">
        <f>F4167-J4167</f>
        <v/>
      </c>
      <c r="O4167" s="16">
        <f>I4167-H4167</f>
        <v/>
      </c>
      <c r="P4167" s="14">
        <f>F4167*G4167</f>
        <v/>
      </c>
      <c r="Q4167" s="14">
        <f>J4167*G4167</f>
        <v/>
      </c>
      <c r="R4167" s="14">
        <f>K4167-Q4167</f>
        <v/>
      </c>
      <c r="S4167" s="3">
        <f>P4167*Assumptions!$B$3/100</f>
        <v/>
      </c>
      <c r="T4167" s="14">
        <f>R4167-S4167</f>
        <v/>
      </c>
      <c r="U4167" s="14">
        <f>L4167*G4167</f>
        <v/>
      </c>
    </row>
    <row r="4168">
      <c r="A4168" s="12" t="inlineStr">
        <is>
          <t>PO-2023-4166</t>
        </is>
      </c>
      <c r="B4168" s="26" t="n">
        <v>44205</v>
      </c>
      <c r="C4168" s="12" t="inlineStr">
        <is>
          <t>VS11</t>
        </is>
      </c>
      <c r="D4168" s="12" t="inlineStr">
        <is>
          <t>Hex Bars</t>
        </is>
      </c>
      <c r="E4168" s="12" t="inlineStr">
        <is>
          <t>N</t>
        </is>
      </c>
      <c r="F4168" s="12" t="n">
        <v>28.23</v>
      </c>
      <c r="G4168" s="17" t="n">
        <v>94140.34</v>
      </c>
      <c r="H4168" s="26" t="n">
        <v>44212</v>
      </c>
      <c r="I4168" s="26" t="n">
        <v>44213</v>
      </c>
      <c r="J4168" s="12" t="n">
        <v>28.03</v>
      </c>
      <c r="K4168" s="17" t="n">
        <v>2657581.8</v>
      </c>
      <c r="L4168" s="12" t="n">
        <v>0</v>
      </c>
      <c r="M4168" s="12" t="n">
        <v>0</v>
      </c>
      <c r="N4168" s="27">
        <f>F4168-J4168</f>
        <v/>
      </c>
      <c r="O4168" s="16">
        <f>I4168-H4168</f>
        <v/>
      </c>
      <c r="P4168" s="14">
        <f>F4168*G4168</f>
        <v/>
      </c>
      <c r="Q4168" s="14">
        <f>J4168*G4168</f>
        <v/>
      </c>
      <c r="R4168" s="14">
        <f>K4168-Q4168</f>
        <v/>
      </c>
      <c r="S4168" s="3">
        <f>P4168*Assumptions!$B$3/100</f>
        <v/>
      </c>
      <c r="T4168" s="14">
        <f>R4168-S4168</f>
        <v/>
      </c>
      <c r="U4168" s="14">
        <f>L4168*G4168</f>
        <v/>
      </c>
    </row>
    <row r="4169">
      <c r="A4169" s="12" t="inlineStr">
        <is>
          <t>PO-2023-4167</t>
        </is>
      </c>
      <c r="B4169" s="26" t="n">
        <v>44385</v>
      </c>
      <c r="C4169" s="12" t="inlineStr">
        <is>
          <t>VS08</t>
        </is>
      </c>
      <c r="D4169" s="12" t="inlineStr">
        <is>
          <t>Square/Rect Tubes</t>
        </is>
      </c>
      <c r="E4169" s="12" t="inlineStr">
        <is>
          <t>N</t>
        </is>
      </c>
      <c r="F4169" s="12" t="n">
        <v>42.18</v>
      </c>
      <c r="G4169" s="17" t="n">
        <v>79453.24000000001</v>
      </c>
      <c r="H4169" s="26" t="n">
        <v>44398</v>
      </c>
      <c r="I4169" s="26" t="n">
        <v>44398</v>
      </c>
      <c r="J4169" s="12" t="n">
        <v>42.11</v>
      </c>
      <c r="K4169" s="17" t="n">
        <v>3351337.66</v>
      </c>
      <c r="L4169" s="12" t="n">
        <v>0</v>
      </c>
      <c r="M4169" s="12" t="n">
        <v>0</v>
      </c>
      <c r="N4169" s="27">
        <f>F4169-J4169</f>
        <v/>
      </c>
      <c r="O4169" s="16">
        <f>I4169-H4169</f>
        <v/>
      </c>
      <c r="P4169" s="14">
        <f>F4169*G4169</f>
        <v/>
      </c>
      <c r="Q4169" s="14">
        <f>J4169*G4169</f>
        <v/>
      </c>
      <c r="R4169" s="14">
        <f>K4169-Q4169</f>
        <v/>
      </c>
      <c r="S4169" s="3">
        <f>P4169*Assumptions!$B$3/100</f>
        <v/>
      </c>
      <c r="T4169" s="14">
        <f>R4169-S4169</f>
        <v/>
      </c>
      <c r="U4169" s="14">
        <f>L4169*G4169</f>
        <v/>
      </c>
    </row>
    <row r="4170">
      <c r="A4170" s="12" t="inlineStr">
        <is>
          <t>PO-2023-4168</t>
        </is>
      </c>
      <c r="B4170" s="26" t="n">
        <v>44809</v>
      </c>
      <c r="C4170" s="12" t="inlineStr">
        <is>
          <t>VS21</t>
        </is>
      </c>
      <c r="D4170" s="12" t="inlineStr">
        <is>
          <t>Square/Rect Tubes</t>
        </is>
      </c>
      <c r="E4170" s="12" t="inlineStr">
        <is>
          <t>N</t>
        </is>
      </c>
      <c r="F4170" s="12" t="n">
        <v>45.52</v>
      </c>
      <c r="G4170" s="17" t="n">
        <v>115041.5</v>
      </c>
      <c r="H4170" s="26" t="n">
        <v>44813</v>
      </c>
      <c r="I4170" s="26" t="n">
        <v>44816</v>
      </c>
      <c r="J4170" s="12" t="n">
        <v>45.21</v>
      </c>
      <c r="K4170" s="17" t="n">
        <v>5236689.08</v>
      </c>
      <c r="L4170" s="12" t="n">
        <v>0</v>
      </c>
      <c r="M4170" s="12" t="n">
        <v>15</v>
      </c>
      <c r="N4170" s="27">
        <f>F4170-J4170</f>
        <v/>
      </c>
      <c r="O4170" s="16">
        <f>I4170-H4170</f>
        <v/>
      </c>
      <c r="P4170" s="14">
        <f>F4170*G4170</f>
        <v/>
      </c>
      <c r="Q4170" s="14">
        <f>J4170*G4170</f>
        <v/>
      </c>
      <c r="R4170" s="14">
        <f>K4170-Q4170</f>
        <v/>
      </c>
      <c r="S4170" s="3">
        <f>P4170*Assumptions!$B$3/100</f>
        <v/>
      </c>
      <c r="T4170" s="14">
        <f>R4170-S4170</f>
        <v/>
      </c>
      <c r="U4170" s="14">
        <f>L4170*G4170</f>
        <v/>
      </c>
    </row>
    <row r="4171">
      <c r="A4171" s="12" t="inlineStr">
        <is>
          <t>PO-2023-4169</t>
        </is>
      </c>
      <c r="B4171" s="26" t="n">
        <v>44633</v>
      </c>
      <c r="C4171" s="12" t="inlineStr">
        <is>
          <t>VS28</t>
        </is>
      </c>
      <c r="D4171" s="12" t="inlineStr">
        <is>
          <t>Structural Steel</t>
        </is>
      </c>
      <c r="E4171" s="12" t="inlineStr">
        <is>
          <t>N</t>
        </is>
      </c>
      <c r="F4171" s="12" t="n">
        <v>42.61</v>
      </c>
      <c r="G4171" s="17" t="n">
        <v>72637.67999999999</v>
      </c>
      <c r="H4171" s="26" t="n">
        <v>44642</v>
      </c>
      <c r="I4171" s="26" t="n">
        <v>44645</v>
      </c>
      <c r="J4171" s="12" t="n">
        <v>42.59</v>
      </c>
      <c r="K4171" s="17" t="n">
        <v>3095091.54</v>
      </c>
      <c r="L4171" s="12" t="n">
        <v>0</v>
      </c>
      <c r="M4171" s="12" t="n">
        <v>0</v>
      </c>
      <c r="N4171" s="27">
        <f>F4171-J4171</f>
        <v/>
      </c>
      <c r="O4171" s="16">
        <f>I4171-H4171</f>
        <v/>
      </c>
      <c r="P4171" s="14">
        <f>F4171*G4171</f>
        <v/>
      </c>
      <c r="Q4171" s="14">
        <f>J4171*G4171</f>
        <v/>
      </c>
      <c r="R4171" s="14">
        <f>K4171-Q4171</f>
        <v/>
      </c>
      <c r="S4171" s="3">
        <f>P4171*Assumptions!$B$3/100</f>
        <v/>
      </c>
      <c r="T4171" s="14">
        <f>R4171-S4171</f>
        <v/>
      </c>
      <c r="U4171" s="14">
        <f>L4171*G4171</f>
        <v/>
      </c>
    </row>
    <row r="4172">
      <c r="A4172" s="12" t="inlineStr">
        <is>
          <t>PO-2023-4170</t>
        </is>
      </c>
      <c r="B4172" s="26" t="n">
        <v>44800</v>
      </c>
      <c r="C4172" s="12" t="inlineStr">
        <is>
          <t>VS28</t>
        </is>
      </c>
      <c r="D4172" s="12" t="inlineStr">
        <is>
          <t>GI Sheets</t>
        </is>
      </c>
      <c r="E4172" s="12" t="inlineStr">
        <is>
          <t>N</t>
        </is>
      </c>
      <c r="F4172" s="12" t="n">
        <v>30.65</v>
      </c>
      <c r="G4172" s="17" t="n">
        <v>62913.16</v>
      </c>
      <c r="H4172" s="26" t="n">
        <v>44815</v>
      </c>
      <c r="I4172" s="26" t="n">
        <v>44817</v>
      </c>
      <c r="J4172" s="12" t="n">
        <v>30.62</v>
      </c>
      <c r="K4172" s="17" t="n">
        <v>1928288.35</v>
      </c>
      <c r="L4172" s="12" t="n">
        <v>0</v>
      </c>
      <c r="M4172" s="12" t="n">
        <v>0</v>
      </c>
      <c r="N4172" s="27">
        <f>F4172-J4172</f>
        <v/>
      </c>
      <c r="O4172" s="16">
        <f>I4172-H4172</f>
        <v/>
      </c>
      <c r="P4172" s="14">
        <f>F4172*G4172</f>
        <v/>
      </c>
      <c r="Q4172" s="14">
        <f>J4172*G4172</f>
        <v/>
      </c>
      <c r="R4172" s="14">
        <f>K4172-Q4172</f>
        <v/>
      </c>
      <c r="S4172" s="3">
        <f>P4172*Assumptions!$B$3/100</f>
        <v/>
      </c>
      <c r="T4172" s="14">
        <f>R4172-S4172</f>
        <v/>
      </c>
      <c r="U4172" s="14">
        <f>L4172*G4172</f>
        <v/>
      </c>
    </row>
    <row r="4173">
      <c r="A4173" s="12" t="inlineStr">
        <is>
          <t>PO-2023-4171</t>
        </is>
      </c>
      <c r="B4173" s="26" t="n">
        <v>44360</v>
      </c>
      <c r="C4173" s="12" t="inlineStr">
        <is>
          <t>VS03</t>
        </is>
      </c>
      <c r="D4173" s="12" t="inlineStr">
        <is>
          <t>Structural Steel</t>
        </is>
      </c>
      <c r="E4173" s="12" t="inlineStr">
        <is>
          <t>N</t>
        </is>
      </c>
      <c r="F4173" s="12" t="n">
        <v>15.78</v>
      </c>
      <c r="G4173" s="17" t="n">
        <v>122508.81</v>
      </c>
      <c r="H4173" s="26" t="n">
        <v>44373</v>
      </c>
      <c r="I4173" s="26" t="n">
        <v>44376</v>
      </c>
      <c r="J4173" s="12" t="n">
        <v>15.1</v>
      </c>
      <c r="K4173" s="17" t="n">
        <v>1933189.02</v>
      </c>
      <c r="L4173" s="12" t="n">
        <v>0.64</v>
      </c>
      <c r="M4173" s="12" t="n">
        <v>23</v>
      </c>
      <c r="N4173" s="27">
        <f>F4173-J4173</f>
        <v/>
      </c>
      <c r="O4173" s="16">
        <f>I4173-H4173</f>
        <v/>
      </c>
      <c r="P4173" s="14">
        <f>F4173*G4173</f>
        <v/>
      </c>
      <c r="Q4173" s="14">
        <f>J4173*G4173</f>
        <v/>
      </c>
      <c r="R4173" s="14">
        <f>K4173-Q4173</f>
        <v/>
      </c>
      <c r="S4173" s="3">
        <f>P4173*Assumptions!$B$3/100</f>
        <v/>
      </c>
      <c r="T4173" s="14">
        <f>R4173-S4173</f>
        <v/>
      </c>
      <c r="U4173" s="14">
        <f>L4173*G4173</f>
        <v/>
      </c>
    </row>
    <row r="4174">
      <c r="A4174" s="12" t="inlineStr">
        <is>
          <t>PO-2023-4172</t>
        </is>
      </c>
      <c r="B4174" s="26" t="n">
        <v>44973</v>
      </c>
      <c r="C4174" s="12" t="inlineStr">
        <is>
          <t>VS08</t>
        </is>
      </c>
      <c r="D4174" s="12" t="inlineStr">
        <is>
          <t>SS Sheets</t>
        </is>
      </c>
      <c r="E4174" s="12" t="inlineStr">
        <is>
          <t>Y</t>
        </is>
      </c>
      <c r="F4174" s="12" t="n">
        <v>9.300000000000001</v>
      </c>
      <c r="G4174" s="17" t="n">
        <v>93106.16</v>
      </c>
      <c r="H4174" s="26" t="n">
        <v>44977</v>
      </c>
      <c r="I4174" s="26" t="n">
        <v>44980</v>
      </c>
      <c r="J4174" s="12" t="n">
        <v>9.289999999999999</v>
      </c>
      <c r="K4174" s="17" t="n">
        <v>865887.29</v>
      </c>
      <c r="L4174" s="12" t="n">
        <v>0</v>
      </c>
      <c r="M4174" s="12" t="n">
        <v>0</v>
      </c>
      <c r="N4174" s="27">
        <f>F4174-J4174</f>
        <v/>
      </c>
      <c r="O4174" s="16">
        <f>I4174-H4174</f>
        <v/>
      </c>
      <c r="P4174" s="14">
        <f>F4174*G4174</f>
        <v/>
      </c>
      <c r="Q4174" s="14">
        <f>J4174*G4174</f>
        <v/>
      </c>
      <c r="R4174" s="14">
        <f>K4174-Q4174</f>
        <v/>
      </c>
      <c r="S4174" s="3">
        <f>P4174*Assumptions!$B$3/100</f>
        <v/>
      </c>
      <c r="T4174" s="14">
        <f>R4174-S4174</f>
        <v/>
      </c>
      <c r="U4174" s="14">
        <f>L4174*G4174</f>
        <v/>
      </c>
    </row>
    <row r="4175">
      <c r="A4175" s="12" t="inlineStr">
        <is>
          <t>PO-2023-4173</t>
        </is>
      </c>
      <c r="B4175" s="26" t="n">
        <v>44910</v>
      </c>
      <c r="C4175" s="12" t="inlineStr">
        <is>
          <t>VS19</t>
        </is>
      </c>
      <c r="D4175" s="12" t="inlineStr">
        <is>
          <t>GI Pipes</t>
        </is>
      </c>
      <c r="E4175" s="12" t="inlineStr">
        <is>
          <t>N</t>
        </is>
      </c>
      <c r="F4175" s="12" t="n">
        <v>4.73</v>
      </c>
      <c r="G4175" s="17" t="n">
        <v>65322.55</v>
      </c>
      <c r="H4175" s="26" t="n">
        <v>44918</v>
      </c>
      <c r="I4175" s="26" t="n">
        <v>44925</v>
      </c>
      <c r="J4175" s="12" t="n">
        <v>4.5</v>
      </c>
      <c r="K4175" s="17" t="n">
        <v>308975.66</v>
      </c>
      <c r="L4175" s="12" t="n">
        <v>0.02</v>
      </c>
      <c r="M4175" s="12" t="n">
        <v>23</v>
      </c>
      <c r="N4175" s="27">
        <f>F4175-J4175</f>
        <v/>
      </c>
      <c r="O4175" s="16">
        <f>I4175-H4175</f>
        <v/>
      </c>
      <c r="P4175" s="14">
        <f>F4175*G4175</f>
        <v/>
      </c>
      <c r="Q4175" s="14">
        <f>J4175*G4175</f>
        <v/>
      </c>
      <c r="R4175" s="14">
        <f>K4175-Q4175</f>
        <v/>
      </c>
      <c r="S4175" s="3">
        <f>P4175*Assumptions!$B$3/100</f>
        <v/>
      </c>
      <c r="T4175" s="14">
        <f>R4175-S4175</f>
        <v/>
      </c>
      <c r="U4175" s="14">
        <f>L4175*G4175</f>
        <v/>
      </c>
    </row>
    <row r="4176">
      <c r="A4176" s="12" t="inlineStr">
        <is>
          <t>PO-2023-4174</t>
        </is>
      </c>
      <c r="B4176" s="26" t="n">
        <v>44643</v>
      </c>
      <c r="C4176" s="12" t="inlineStr">
        <is>
          <t>VS22</t>
        </is>
      </c>
      <c r="D4176" s="12" t="inlineStr">
        <is>
          <t>GI Pipes</t>
        </is>
      </c>
      <c r="E4176" s="12" t="inlineStr">
        <is>
          <t>N</t>
        </is>
      </c>
      <c r="F4176" s="12" t="n">
        <v>21.14</v>
      </c>
      <c r="G4176" s="17" t="n">
        <v>94759.46000000001</v>
      </c>
      <c r="H4176" s="26" t="n">
        <v>44656</v>
      </c>
      <c r="I4176" s="26" t="n">
        <v>44658</v>
      </c>
      <c r="J4176" s="12" t="n">
        <v>21.01</v>
      </c>
      <c r="K4176" s="17" t="n">
        <v>2003214.98</v>
      </c>
      <c r="L4176" s="12" t="n">
        <v>0</v>
      </c>
      <c r="M4176" s="12" t="n">
        <v>0</v>
      </c>
      <c r="N4176" s="27">
        <f>F4176-J4176</f>
        <v/>
      </c>
      <c r="O4176" s="16">
        <f>I4176-H4176</f>
        <v/>
      </c>
      <c r="P4176" s="14">
        <f>F4176*G4176</f>
        <v/>
      </c>
      <c r="Q4176" s="14">
        <f>J4176*G4176</f>
        <v/>
      </c>
      <c r="R4176" s="14">
        <f>K4176-Q4176</f>
        <v/>
      </c>
      <c r="S4176" s="3">
        <f>P4176*Assumptions!$B$3/100</f>
        <v/>
      </c>
      <c r="T4176" s="14">
        <f>R4176-S4176</f>
        <v/>
      </c>
      <c r="U4176" s="14">
        <f>L4176*G4176</f>
        <v/>
      </c>
    </row>
    <row r="4177">
      <c r="A4177" s="12" t="inlineStr">
        <is>
          <t>PO-2023-4175</t>
        </is>
      </c>
      <c r="B4177" s="26" t="n">
        <v>44576</v>
      </c>
      <c r="C4177" s="12" t="inlineStr">
        <is>
          <t>VS25</t>
        </is>
      </c>
      <c r="D4177" s="12" t="inlineStr">
        <is>
          <t>SS Pipes</t>
        </is>
      </c>
      <c r="E4177" s="12" t="inlineStr">
        <is>
          <t>N</t>
        </is>
      </c>
      <c r="F4177" s="12" t="n">
        <v>20.92</v>
      </c>
      <c r="G4177" s="17" t="n">
        <v>63995.32</v>
      </c>
      <c r="H4177" s="26" t="n">
        <v>44584</v>
      </c>
      <c r="I4177" s="26" t="n">
        <v>44586</v>
      </c>
      <c r="J4177" s="12" t="n">
        <v>20.73</v>
      </c>
      <c r="K4177" s="17" t="n">
        <v>1338782.09</v>
      </c>
      <c r="L4177" s="12" t="n">
        <v>0</v>
      </c>
      <c r="M4177" s="12" t="n">
        <v>0</v>
      </c>
      <c r="N4177" s="27">
        <f>F4177-J4177</f>
        <v/>
      </c>
      <c r="O4177" s="16">
        <f>I4177-H4177</f>
        <v/>
      </c>
      <c r="P4177" s="14">
        <f>F4177*G4177</f>
        <v/>
      </c>
      <c r="Q4177" s="14">
        <f>J4177*G4177</f>
        <v/>
      </c>
      <c r="R4177" s="14">
        <f>K4177-Q4177</f>
        <v/>
      </c>
      <c r="S4177" s="3">
        <f>P4177*Assumptions!$B$3/100</f>
        <v/>
      </c>
      <c r="T4177" s="14">
        <f>R4177-S4177</f>
        <v/>
      </c>
      <c r="U4177" s="14">
        <f>L4177*G4177</f>
        <v/>
      </c>
    </row>
    <row r="4178">
      <c r="A4178" s="12" t="inlineStr">
        <is>
          <t>PO-2023-4176</t>
        </is>
      </c>
      <c r="B4178" s="26" t="n">
        <v>44887</v>
      </c>
      <c r="C4178" s="12" t="inlineStr">
        <is>
          <t>VS11</t>
        </is>
      </c>
      <c r="D4178" s="12" t="inlineStr">
        <is>
          <t>MS Flats</t>
        </is>
      </c>
      <c r="E4178" s="12" t="inlineStr">
        <is>
          <t>N</t>
        </is>
      </c>
      <c r="F4178" s="12" t="n">
        <v>9.6</v>
      </c>
      <c r="G4178" s="17" t="n">
        <v>94199.10000000001</v>
      </c>
      <c r="H4178" s="26" t="n">
        <v>44901</v>
      </c>
      <c r="I4178" s="26" t="n">
        <v>44903</v>
      </c>
      <c r="J4178" s="12" t="n">
        <v>9.56</v>
      </c>
      <c r="K4178" s="17" t="n">
        <v>904311.36</v>
      </c>
      <c r="L4178" s="12" t="n">
        <v>0</v>
      </c>
      <c r="M4178" s="12" t="n">
        <v>0</v>
      </c>
      <c r="N4178" s="27">
        <f>F4178-J4178</f>
        <v/>
      </c>
      <c r="O4178" s="16">
        <f>I4178-H4178</f>
        <v/>
      </c>
      <c r="P4178" s="14">
        <f>F4178*G4178</f>
        <v/>
      </c>
      <c r="Q4178" s="14">
        <f>J4178*G4178</f>
        <v/>
      </c>
      <c r="R4178" s="14">
        <f>K4178-Q4178</f>
        <v/>
      </c>
      <c r="S4178" s="3">
        <f>P4178*Assumptions!$B$3/100</f>
        <v/>
      </c>
      <c r="T4178" s="14">
        <f>R4178-S4178</f>
        <v/>
      </c>
      <c r="U4178" s="14">
        <f>L4178*G4178</f>
        <v/>
      </c>
    </row>
    <row r="4179">
      <c r="A4179" s="12" t="inlineStr">
        <is>
          <t>PO-2023-4177</t>
        </is>
      </c>
      <c r="B4179" s="26" t="n">
        <v>44835</v>
      </c>
      <c r="C4179" s="12" t="inlineStr">
        <is>
          <t>VS05</t>
        </is>
      </c>
      <c r="D4179" s="12" t="inlineStr">
        <is>
          <t>MS Pipes</t>
        </is>
      </c>
      <c r="E4179" s="12" t="inlineStr">
        <is>
          <t>N</t>
        </is>
      </c>
      <c r="F4179" s="12" t="n">
        <v>7.81</v>
      </c>
      <c r="G4179" s="17" t="n">
        <v>72246.31</v>
      </c>
      <c r="H4179" s="26" t="n">
        <v>44845</v>
      </c>
      <c r="I4179" s="26" t="n">
        <v>44847</v>
      </c>
      <c r="J4179" s="12" t="n">
        <v>7.8</v>
      </c>
      <c r="K4179" s="17" t="n">
        <v>564243.6800000001</v>
      </c>
      <c r="L4179" s="12" t="n">
        <v>0</v>
      </c>
      <c r="M4179" s="12" t="n">
        <v>22</v>
      </c>
      <c r="N4179" s="27">
        <f>F4179-J4179</f>
        <v/>
      </c>
      <c r="O4179" s="16">
        <f>I4179-H4179</f>
        <v/>
      </c>
      <c r="P4179" s="14">
        <f>F4179*G4179</f>
        <v/>
      </c>
      <c r="Q4179" s="14">
        <f>J4179*G4179</f>
        <v/>
      </c>
      <c r="R4179" s="14">
        <f>K4179-Q4179</f>
        <v/>
      </c>
      <c r="S4179" s="3">
        <f>P4179*Assumptions!$B$3/100</f>
        <v/>
      </c>
      <c r="T4179" s="14">
        <f>R4179-S4179</f>
        <v/>
      </c>
      <c r="U4179" s="14">
        <f>L4179*G4179</f>
        <v/>
      </c>
    </row>
    <row r="4180">
      <c r="A4180" s="12" t="inlineStr">
        <is>
          <t>PO-2023-4178</t>
        </is>
      </c>
      <c r="B4180" s="26" t="n">
        <v>44330</v>
      </c>
      <c r="C4180" s="12" t="inlineStr">
        <is>
          <t>VS30</t>
        </is>
      </c>
      <c r="D4180" s="12" t="inlineStr">
        <is>
          <t>Spring Steel</t>
        </is>
      </c>
      <c r="E4180" s="12" t="inlineStr">
        <is>
          <t>N</t>
        </is>
      </c>
      <c r="F4180" s="12" t="n">
        <v>30.26</v>
      </c>
      <c r="G4180" s="17" t="n">
        <v>91018.63</v>
      </c>
      <c r="H4180" s="26" t="n">
        <v>44341</v>
      </c>
      <c r="I4180" s="26" t="n">
        <v>44344</v>
      </c>
      <c r="J4180" s="12" t="n">
        <v>30.05</v>
      </c>
      <c r="K4180" s="17" t="n">
        <v>2754223.74</v>
      </c>
      <c r="L4180" s="12" t="n">
        <v>0</v>
      </c>
      <c r="M4180" s="12" t="n">
        <v>14</v>
      </c>
      <c r="N4180" s="27">
        <f>F4180-J4180</f>
        <v/>
      </c>
      <c r="O4180" s="16">
        <f>I4180-H4180</f>
        <v/>
      </c>
      <c r="P4180" s="14">
        <f>F4180*G4180</f>
        <v/>
      </c>
      <c r="Q4180" s="14">
        <f>J4180*G4180</f>
        <v/>
      </c>
      <c r="R4180" s="14">
        <f>K4180-Q4180</f>
        <v/>
      </c>
      <c r="S4180" s="3">
        <f>P4180*Assumptions!$B$3/100</f>
        <v/>
      </c>
      <c r="T4180" s="14">
        <f>R4180-S4180</f>
        <v/>
      </c>
      <c r="U4180" s="14">
        <f>L4180*G4180</f>
        <v/>
      </c>
    </row>
    <row r="4181">
      <c r="A4181" s="12" t="inlineStr">
        <is>
          <t>PO-2023-4179</t>
        </is>
      </c>
      <c r="B4181" s="26" t="n">
        <v>45273</v>
      </c>
      <c r="C4181" s="12" t="inlineStr">
        <is>
          <t>VS23</t>
        </is>
      </c>
      <c r="D4181" s="12" t="inlineStr">
        <is>
          <t>GI Wire</t>
        </is>
      </c>
      <c r="E4181" s="12" t="inlineStr">
        <is>
          <t>N</t>
        </is>
      </c>
      <c r="F4181" s="12" t="n">
        <v>20.13</v>
      </c>
      <c r="G4181" s="17" t="n">
        <v>66174.49000000001</v>
      </c>
      <c r="H4181" s="26" t="n">
        <v>45285</v>
      </c>
      <c r="I4181" s="26" t="n">
        <v>45288</v>
      </c>
      <c r="J4181" s="12" t="n">
        <v>19.99</v>
      </c>
      <c r="K4181" s="17" t="n">
        <v>1332092.48</v>
      </c>
      <c r="L4181" s="12" t="n">
        <v>0</v>
      </c>
      <c r="M4181" s="12" t="n">
        <v>25</v>
      </c>
      <c r="N4181" s="27">
        <f>F4181-J4181</f>
        <v/>
      </c>
      <c r="O4181" s="16">
        <f>I4181-H4181</f>
        <v/>
      </c>
      <c r="P4181" s="14">
        <f>F4181*G4181</f>
        <v/>
      </c>
      <c r="Q4181" s="14">
        <f>J4181*G4181</f>
        <v/>
      </c>
      <c r="R4181" s="14">
        <f>K4181-Q4181</f>
        <v/>
      </c>
      <c r="S4181" s="3">
        <f>P4181*Assumptions!$B$3/100</f>
        <v/>
      </c>
      <c r="T4181" s="14">
        <f>R4181-S4181</f>
        <v/>
      </c>
      <c r="U4181" s="14">
        <f>L4181*G4181</f>
        <v/>
      </c>
    </row>
    <row r="4182">
      <c r="A4182" s="12" t="inlineStr">
        <is>
          <t>PO-2023-4180</t>
        </is>
      </c>
      <c r="B4182" s="26" t="n">
        <v>44649</v>
      </c>
      <c r="C4182" s="12" t="inlineStr">
        <is>
          <t>VS04</t>
        </is>
      </c>
      <c r="D4182" s="12" t="inlineStr">
        <is>
          <t>MS Pipes</t>
        </is>
      </c>
      <c r="E4182" s="12" t="inlineStr">
        <is>
          <t>N</t>
        </is>
      </c>
      <c r="F4182" s="12" t="n">
        <v>19.09</v>
      </c>
      <c r="G4182" s="17" t="n">
        <v>89313.53</v>
      </c>
      <c r="H4182" s="26" t="n">
        <v>44662</v>
      </c>
      <c r="I4182" s="26" t="n">
        <v>44664</v>
      </c>
      <c r="J4182" s="12" t="n">
        <v>18.94</v>
      </c>
      <c r="K4182" s="17" t="n">
        <v>1704995.29</v>
      </c>
      <c r="L4182" s="12" t="n">
        <v>0</v>
      </c>
      <c r="M4182" s="12" t="n">
        <v>11</v>
      </c>
      <c r="N4182" s="27">
        <f>F4182-J4182</f>
        <v/>
      </c>
      <c r="O4182" s="16">
        <f>I4182-H4182</f>
        <v/>
      </c>
      <c r="P4182" s="14">
        <f>F4182*G4182</f>
        <v/>
      </c>
      <c r="Q4182" s="14">
        <f>J4182*G4182</f>
        <v/>
      </c>
      <c r="R4182" s="14">
        <f>K4182-Q4182</f>
        <v/>
      </c>
      <c r="S4182" s="3">
        <f>P4182*Assumptions!$B$3/100</f>
        <v/>
      </c>
      <c r="T4182" s="14">
        <f>R4182-S4182</f>
        <v/>
      </c>
      <c r="U4182" s="14">
        <f>L4182*G4182</f>
        <v/>
      </c>
    </row>
    <row r="4183">
      <c r="A4183" s="12" t="inlineStr">
        <is>
          <t>PO-2023-4181</t>
        </is>
      </c>
      <c r="B4183" s="26" t="n">
        <v>44894</v>
      </c>
      <c r="C4183" s="12" t="inlineStr">
        <is>
          <t>VS28</t>
        </is>
      </c>
      <c r="D4183" s="12" t="inlineStr">
        <is>
          <t>Fasteners &amp; Fittings</t>
        </is>
      </c>
      <c r="E4183" s="12" t="inlineStr">
        <is>
          <t>N</t>
        </is>
      </c>
      <c r="F4183" s="12" t="n">
        <v>18.05</v>
      </c>
      <c r="G4183" s="17" t="n">
        <v>94755.60000000001</v>
      </c>
      <c r="H4183" s="26" t="n">
        <v>44903</v>
      </c>
      <c r="I4183" s="26" t="n">
        <v>44903</v>
      </c>
      <c r="J4183" s="12" t="n">
        <v>18.04</v>
      </c>
      <c r="K4183" s="17" t="n">
        <v>1710338.58</v>
      </c>
      <c r="L4183" s="12" t="n">
        <v>0</v>
      </c>
      <c r="M4183" s="12" t="n">
        <v>6</v>
      </c>
      <c r="N4183" s="27">
        <f>F4183-J4183</f>
        <v/>
      </c>
      <c r="O4183" s="16">
        <f>I4183-H4183</f>
        <v/>
      </c>
      <c r="P4183" s="14">
        <f>F4183*G4183</f>
        <v/>
      </c>
      <c r="Q4183" s="14">
        <f>J4183*G4183</f>
        <v/>
      </c>
      <c r="R4183" s="14">
        <f>K4183-Q4183</f>
        <v/>
      </c>
      <c r="S4183" s="3">
        <f>P4183*Assumptions!$B$3/100</f>
        <v/>
      </c>
      <c r="T4183" s="14">
        <f>R4183-S4183</f>
        <v/>
      </c>
      <c r="U4183" s="14">
        <f>L4183*G4183</f>
        <v/>
      </c>
    </row>
    <row r="4184">
      <c r="A4184" s="12" t="inlineStr">
        <is>
          <t>PO-2023-4182</t>
        </is>
      </c>
      <c r="B4184" s="26" t="n">
        <v>44623</v>
      </c>
      <c r="C4184" s="12" t="inlineStr">
        <is>
          <t>VS24</t>
        </is>
      </c>
      <c r="D4184" s="12" t="inlineStr">
        <is>
          <t>Angles &amp; Channels</t>
        </is>
      </c>
      <c r="E4184" s="12" t="inlineStr">
        <is>
          <t>N</t>
        </is>
      </c>
      <c r="F4184" s="12" t="n">
        <v>39.14</v>
      </c>
      <c r="G4184" s="17" t="n">
        <v>67218.28</v>
      </c>
      <c r="H4184" s="26" t="n">
        <v>44628</v>
      </c>
      <c r="I4184" s="26" t="n">
        <v>44630</v>
      </c>
      <c r="J4184" s="12" t="n">
        <v>38.75</v>
      </c>
      <c r="K4184" s="17" t="n">
        <v>2630923.48</v>
      </c>
      <c r="L4184" s="12" t="n">
        <v>0</v>
      </c>
      <c r="M4184" s="12" t="n">
        <v>2</v>
      </c>
      <c r="N4184" s="27">
        <f>F4184-J4184</f>
        <v/>
      </c>
      <c r="O4184" s="16">
        <f>I4184-H4184</f>
        <v/>
      </c>
      <c r="P4184" s="14">
        <f>F4184*G4184</f>
        <v/>
      </c>
      <c r="Q4184" s="14">
        <f>J4184*G4184</f>
        <v/>
      </c>
      <c r="R4184" s="14">
        <f>K4184-Q4184</f>
        <v/>
      </c>
      <c r="S4184" s="3">
        <f>P4184*Assumptions!$B$3/100</f>
        <v/>
      </c>
      <c r="T4184" s="14">
        <f>R4184-S4184</f>
        <v/>
      </c>
      <c r="U4184" s="14">
        <f>L4184*G4184</f>
        <v/>
      </c>
    </row>
    <row r="4185">
      <c r="A4185" s="12" t="inlineStr">
        <is>
          <t>PO-2023-4183</t>
        </is>
      </c>
      <c r="B4185" s="26" t="n">
        <v>44574</v>
      </c>
      <c r="C4185" s="12" t="inlineStr">
        <is>
          <t>VS29</t>
        </is>
      </c>
      <c r="D4185" s="12" t="inlineStr">
        <is>
          <t>SS Pipes</t>
        </is>
      </c>
      <c r="E4185" s="12" t="inlineStr">
        <is>
          <t>N</t>
        </is>
      </c>
      <c r="F4185" s="12" t="n">
        <v>23.33</v>
      </c>
      <c r="G4185" s="17" t="n">
        <v>74228.72</v>
      </c>
      <c r="H4185" s="26" t="n">
        <v>44579</v>
      </c>
      <c r="I4185" s="26" t="n">
        <v>44581</v>
      </c>
      <c r="J4185" s="12" t="n">
        <v>23.25</v>
      </c>
      <c r="K4185" s="17" t="n">
        <v>1731756.04</v>
      </c>
      <c r="L4185" s="12" t="n">
        <v>0</v>
      </c>
      <c r="M4185" s="12" t="n">
        <v>23</v>
      </c>
      <c r="N4185" s="27">
        <f>F4185-J4185</f>
        <v/>
      </c>
      <c r="O4185" s="16">
        <f>I4185-H4185</f>
        <v/>
      </c>
      <c r="P4185" s="14">
        <f>F4185*G4185</f>
        <v/>
      </c>
      <c r="Q4185" s="14">
        <f>J4185*G4185</f>
        <v/>
      </c>
      <c r="R4185" s="14">
        <f>K4185-Q4185</f>
        <v/>
      </c>
      <c r="S4185" s="3">
        <f>P4185*Assumptions!$B$3/100</f>
        <v/>
      </c>
      <c r="T4185" s="14">
        <f>R4185-S4185</f>
        <v/>
      </c>
      <c r="U4185" s="14">
        <f>L4185*G4185</f>
        <v/>
      </c>
    </row>
    <row r="4186">
      <c r="A4186" s="12" t="inlineStr">
        <is>
          <t>PO-2023-4184</t>
        </is>
      </c>
      <c r="B4186" s="26" t="n">
        <v>44937</v>
      </c>
      <c r="C4186" s="12" t="inlineStr">
        <is>
          <t>VS26</t>
        </is>
      </c>
      <c r="D4186" s="12" t="inlineStr">
        <is>
          <t>Angles &amp; Channels</t>
        </is>
      </c>
      <c r="E4186" s="12" t="inlineStr">
        <is>
          <t>Y</t>
        </is>
      </c>
      <c r="F4186" s="12" t="n">
        <v>2.27</v>
      </c>
      <c r="G4186" s="17" t="n">
        <v>73708.62</v>
      </c>
      <c r="H4186" s="26" t="n">
        <v>44940</v>
      </c>
      <c r="I4186" s="26" t="n">
        <v>44940</v>
      </c>
      <c r="J4186" s="12" t="n">
        <v>2.25</v>
      </c>
      <c r="K4186" s="17" t="n">
        <v>167318.57</v>
      </c>
      <c r="L4186" s="12" t="n">
        <v>0</v>
      </c>
      <c r="M4186" s="12" t="n">
        <v>22</v>
      </c>
      <c r="N4186" s="27">
        <f>F4186-J4186</f>
        <v/>
      </c>
      <c r="O4186" s="16">
        <f>I4186-H4186</f>
        <v/>
      </c>
      <c r="P4186" s="14">
        <f>F4186*G4186</f>
        <v/>
      </c>
      <c r="Q4186" s="14">
        <f>J4186*G4186</f>
        <v/>
      </c>
      <c r="R4186" s="14">
        <f>K4186-Q4186</f>
        <v/>
      </c>
      <c r="S4186" s="3">
        <f>P4186*Assumptions!$B$3/100</f>
        <v/>
      </c>
      <c r="T4186" s="14">
        <f>R4186-S4186</f>
        <v/>
      </c>
      <c r="U4186" s="14">
        <f>L4186*G4186</f>
        <v/>
      </c>
    </row>
    <row r="4187">
      <c r="A4187" s="12" t="inlineStr">
        <is>
          <t>PO-2023-4185</t>
        </is>
      </c>
      <c r="B4187" s="26" t="n">
        <v>45172</v>
      </c>
      <c r="C4187" s="12" t="inlineStr">
        <is>
          <t>VS02</t>
        </is>
      </c>
      <c r="D4187" s="12" t="inlineStr">
        <is>
          <t>GI Pipes</t>
        </is>
      </c>
      <c r="E4187" s="12" t="inlineStr">
        <is>
          <t>N</t>
        </is>
      </c>
      <c r="F4187" s="12" t="n">
        <v>5.07</v>
      </c>
      <c r="G4187" s="17" t="n">
        <v>109426.61</v>
      </c>
      <c r="H4187" s="26" t="n">
        <v>45185</v>
      </c>
      <c r="I4187" s="26" t="n">
        <v>45188</v>
      </c>
      <c r="J4187" s="12" t="n">
        <v>5.07</v>
      </c>
      <c r="K4187" s="17" t="n">
        <v>554792.91</v>
      </c>
      <c r="L4187" s="12" t="n">
        <v>0</v>
      </c>
      <c r="M4187" s="12" t="n">
        <v>0</v>
      </c>
      <c r="N4187" s="27">
        <f>F4187-J4187</f>
        <v/>
      </c>
      <c r="O4187" s="16">
        <f>I4187-H4187</f>
        <v/>
      </c>
      <c r="P4187" s="14">
        <f>F4187*G4187</f>
        <v/>
      </c>
      <c r="Q4187" s="14">
        <f>J4187*G4187</f>
        <v/>
      </c>
      <c r="R4187" s="14">
        <f>K4187-Q4187</f>
        <v/>
      </c>
      <c r="S4187" s="3">
        <f>P4187*Assumptions!$B$3/100</f>
        <v/>
      </c>
      <c r="T4187" s="14">
        <f>R4187-S4187</f>
        <v/>
      </c>
      <c r="U4187" s="14">
        <f>L4187*G4187</f>
        <v/>
      </c>
    </row>
    <row r="4188">
      <c r="A4188" s="12" t="inlineStr">
        <is>
          <t>PO-2023-4186</t>
        </is>
      </c>
      <c r="B4188" s="26" t="n">
        <v>44759</v>
      </c>
      <c r="C4188" s="12" t="inlineStr">
        <is>
          <t>VS08</t>
        </is>
      </c>
      <c r="D4188" s="12" t="inlineStr">
        <is>
          <t>HR Coils</t>
        </is>
      </c>
      <c r="E4188" s="12" t="inlineStr">
        <is>
          <t>N</t>
        </is>
      </c>
      <c r="F4188" s="12" t="n">
        <v>1.25</v>
      </c>
      <c r="G4188" s="17" t="n">
        <v>106380.88</v>
      </c>
      <c r="H4188" s="26" t="n">
        <v>44770</v>
      </c>
      <c r="I4188" s="26" t="n">
        <v>44770</v>
      </c>
      <c r="J4188" s="12" t="n">
        <v>1.25</v>
      </c>
      <c r="K4188" s="17" t="n">
        <v>132976.1</v>
      </c>
      <c r="L4188" s="12" t="n">
        <v>0</v>
      </c>
      <c r="M4188" s="12" t="n">
        <v>0</v>
      </c>
      <c r="N4188" s="27">
        <f>F4188-J4188</f>
        <v/>
      </c>
      <c r="O4188" s="16">
        <f>I4188-H4188</f>
        <v/>
      </c>
      <c r="P4188" s="14">
        <f>F4188*G4188</f>
        <v/>
      </c>
      <c r="Q4188" s="14">
        <f>J4188*G4188</f>
        <v/>
      </c>
      <c r="R4188" s="14">
        <f>K4188-Q4188</f>
        <v/>
      </c>
      <c r="S4188" s="3">
        <f>P4188*Assumptions!$B$3/100</f>
        <v/>
      </c>
      <c r="T4188" s="14">
        <f>R4188-S4188</f>
        <v/>
      </c>
      <c r="U4188" s="14">
        <f>L4188*G4188</f>
        <v/>
      </c>
    </row>
    <row r="4189">
      <c r="A4189" s="12" t="inlineStr">
        <is>
          <t>PO-2023-4187</t>
        </is>
      </c>
      <c r="B4189" s="26" t="n">
        <v>45059</v>
      </c>
      <c r="C4189" s="12" t="inlineStr">
        <is>
          <t>VS12</t>
        </is>
      </c>
      <c r="D4189" s="12" t="inlineStr">
        <is>
          <t>CR Sheets</t>
        </is>
      </c>
      <c r="E4189" s="12" t="inlineStr">
        <is>
          <t>N</t>
        </is>
      </c>
      <c r="F4189" s="12" t="n">
        <v>2.99</v>
      </c>
      <c r="G4189" s="17" t="n">
        <v>101433.83</v>
      </c>
      <c r="H4189" s="26" t="n">
        <v>45069</v>
      </c>
      <c r="I4189" s="26" t="n">
        <v>45076</v>
      </c>
      <c r="J4189" s="12" t="n">
        <v>2.88</v>
      </c>
      <c r="K4189" s="17" t="n">
        <v>303287.15</v>
      </c>
      <c r="L4189" s="12" t="n">
        <v>0.13</v>
      </c>
      <c r="M4189" s="12" t="n">
        <v>25</v>
      </c>
      <c r="N4189" s="27">
        <f>F4189-J4189</f>
        <v/>
      </c>
      <c r="O4189" s="16">
        <f>I4189-H4189</f>
        <v/>
      </c>
      <c r="P4189" s="14">
        <f>F4189*G4189</f>
        <v/>
      </c>
      <c r="Q4189" s="14">
        <f>J4189*G4189</f>
        <v/>
      </c>
      <c r="R4189" s="14">
        <f>K4189-Q4189</f>
        <v/>
      </c>
      <c r="S4189" s="3">
        <f>P4189*Assumptions!$B$3/100</f>
        <v/>
      </c>
      <c r="T4189" s="14">
        <f>R4189-S4189</f>
        <v/>
      </c>
      <c r="U4189" s="14">
        <f>L4189*G4189</f>
        <v/>
      </c>
    </row>
    <row r="4190">
      <c r="A4190" s="12" t="inlineStr">
        <is>
          <t>PO-2023-4188</t>
        </is>
      </c>
      <c r="B4190" s="26" t="n">
        <v>44407</v>
      </c>
      <c r="C4190" s="12" t="inlineStr">
        <is>
          <t>VS01</t>
        </is>
      </c>
      <c r="D4190" s="12" t="inlineStr">
        <is>
          <t>MS Pipes</t>
        </is>
      </c>
      <c r="E4190" s="12" t="inlineStr">
        <is>
          <t>Y</t>
        </is>
      </c>
      <c r="F4190" s="12" t="n">
        <v>48.45</v>
      </c>
      <c r="G4190" s="17" t="n">
        <v>118534.91</v>
      </c>
      <c r="H4190" s="26" t="n">
        <v>44416</v>
      </c>
      <c r="I4190" s="26" t="n">
        <v>44416</v>
      </c>
      <c r="J4190" s="12" t="n">
        <v>48.33</v>
      </c>
      <c r="K4190" s="17" t="n">
        <v>5743016.39</v>
      </c>
      <c r="L4190" s="12" t="n">
        <v>0</v>
      </c>
      <c r="M4190" s="12" t="n">
        <v>0</v>
      </c>
      <c r="N4190" s="27">
        <f>F4190-J4190</f>
        <v/>
      </c>
      <c r="O4190" s="16">
        <f>I4190-H4190</f>
        <v/>
      </c>
      <c r="P4190" s="14">
        <f>F4190*G4190</f>
        <v/>
      </c>
      <c r="Q4190" s="14">
        <f>J4190*G4190</f>
        <v/>
      </c>
      <c r="R4190" s="14">
        <f>K4190-Q4190</f>
        <v/>
      </c>
      <c r="S4190" s="3">
        <f>P4190*Assumptions!$B$3/100</f>
        <v/>
      </c>
      <c r="T4190" s="14">
        <f>R4190-S4190</f>
        <v/>
      </c>
      <c r="U4190" s="14">
        <f>L4190*G4190</f>
        <v/>
      </c>
    </row>
    <row r="4191">
      <c r="A4191" s="12" t="inlineStr">
        <is>
          <t>PO-2023-4189</t>
        </is>
      </c>
      <c r="B4191" s="26" t="n">
        <v>45034</v>
      </c>
      <c r="C4191" s="12" t="inlineStr">
        <is>
          <t>VS04</t>
        </is>
      </c>
      <c r="D4191" s="12" t="inlineStr">
        <is>
          <t>CR Sheets</t>
        </is>
      </c>
      <c r="E4191" s="12" t="inlineStr">
        <is>
          <t>N</t>
        </is>
      </c>
      <c r="F4191" s="12" t="n">
        <v>49.43</v>
      </c>
      <c r="G4191" s="17" t="n">
        <v>105315.52</v>
      </c>
      <c r="H4191" s="26" t="n">
        <v>45038</v>
      </c>
      <c r="I4191" s="26" t="n">
        <v>45041</v>
      </c>
      <c r="J4191" s="12" t="n">
        <v>49.2</v>
      </c>
      <c r="K4191" s="17" t="n">
        <v>5205746.15</v>
      </c>
      <c r="L4191" s="12" t="n">
        <v>0</v>
      </c>
      <c r="M4191" s="12" t="n">
        <v>0</v>
      </c>
      <c r="N4191" s="27">
        <f>F4191-J4191</f>
        <v/>
      </c>
      <c r="O4191" s="16">
        <f>I4191-H4191</f>
        <v/>
      </c>
      <c r="P4191" s="14">
        <f>F4191*G4191</f>
        <v/>
      </c>
      <c r="Q4191" s="14">
        <f>J4191*G4191</f>
        <v/>
      </c>
      <c r="R4191" s="14">
        <f>K4191-Q4191</f>
        <v/>
      </c>
      <c r="S4191" s="3">
        <f>P4191*Assumptions!$B$3/100</f>
        <v/>
      </c>
      <c r="T4191" s="14">
        <f>R4191-S4191</f>
        <v/>
      </c>
      <c r="U4191" s="14">
        <f>L4191*G4191</f>
        <v/>
      </c>
    </row>
    <row r="4192">
      <c r="A4192" s="12" t="inlineStr">
        <is>
          <t>PO-2023-4190</t>
        </is>
      </c>
      <c r="B4192" s="26" t="n">
        <v>45192</v>
      </c>
      <c r="C4192" s="12" t="inlineStr">
        <is>
          <t>VS09</t>
        </is>
      </c>
      <c r="D4192" s="12" t="inlineStr">
        <is>
          <t>Spring Steel</t>
        </is>
      </c>
      <c r="E4192" s="12" t="inlineStr">
        <is>
          <t>N</t>
        </is>
      </c>
      <c r="F4192" s="12" t="n">
        <v>7.9</v>
      </c>
      <c r="G4192" s="17" t="n">
        <v>80378.42999999999</v>
      </c>
      <c r="H4192" s="26" t="n">
        <v>45197</v>
      </c>
      <c r="I4192" s="26" t="n">
        <v>45197</v>
      </c>
      <c r="J4192" s="12" t="n">
        <v>7.87</v>
      </c>
      <c r="K4192" s="17" t="n">
        <v>634989.6</v>
      </c>
      <c r="L4192" s="12" t="n">
        <v>0</v>
      </c>
      <c r="M4192" s="12" t="n">
        <v>0</v>
      </c>
      <c r="N4192" s="27">
        <f>F4192-J4192</f>
        <v/>
      </c>
      <c r="O4192" s="16">
        <f>I4192-H4192</f>
        <v/>
      </c>
      <c r="P4192" s="14">
        <f>F4192*G4192</f>
        <v/>
      </c>
      <c r="Q4192" s="14">
        <f>J4192*G4192</f>
        <v/>
      </c>
      <c r="R4192" s="14">
        <f>K4192-Q4192</f>
        <v/>
      </c>
      <c r="S4192" s="3">
        <f>P4192*Assumptions!$B$3/100</f>
        <v/>
      </c>
      <c r="T4192" s="14">
        <f>R4192-S4192</f>
        <v/>
      </c>
      <c r="U4192" s="14">
        <f>L4192*G4192</f>
        <v/>
      </c>
    </row>
    <row r="4193">
      <c r="A4193" s="12" t="inlineStr">
        <is>
          <t>PO-2023-4191</t>
        </is>
      </c>
      <c r="B4193" s="26" t="n">
        <v>44590</v>
      </c>
      <c r="C4193" s="12" t="inlineStr">
        <is>
          <t>VS33</t>
        </is>
      </c>
      <c r="D4193" s="12" t="inlineStr">
        <is>
          <t>ERW Pipes</t>
        </is>
      </c>
      <c r="E4193" s="12" t="inlineStr">
        <is>
          <t>Y</t>
        </is>
      </c>
      <c r="F4193" s="12" t="n">
        <v>6.96</v>
      </c>
      <c r="G4193" s="17" t="n">
        <v>110263.62</v>
      </c>
      <c r="H4193" s="26" t="n">
        <v>44603</v>
      </c>
      <c r="I4193" s="26" t="n">
        <v>44606</v>
      </c>
      <c r="J4193" s="12" t="n">
        <v>6.93</v>
      </c>
      <c r="K4193" s="17" t="n">
        <v>767434.8</v>
      </c>
      <c r="L4193" s="12" t="n">
        <v>0</v>
      </c>
      <c r="M4193" s="12" t="n">
        <v>12</v>
      </c>
      <c r="N4193" s="27">
        <f>F4193-J4193</f>
        <v/>
      </c>
      <c r="O4193" s="16">
        <f>I4193-H4193</f>
        <v/>
      </c>
      <c r="P4193" s="14">
        <f>F4193*G4193</f>
        <v/>
      </c>
      <c r="Q4193" s="14">
        <f>J4193*G4193</f>
        <v/>
      </c>
      <c r="R4193" s="14">
        <f>K4193-Q4193</f>
        <v/>
      </c>
      <c r="S4193" s="3">
        <f>P4193*Assumptions!$B$3/100</f>
        <v/>
      </c>
      <c r="T4193" s="14">
        <f>R4193-S4193</f>
        <v/>
      </c>
      <c r="U4193" s="14">
        <f>L4193*G4193</f>
        <v/>
      </c>
    </row>
    <row r="4194">
      <c r="A4194" s="12" t="inlineStr">
        <is>
          <t>PO-2023-4192</t>
        </is>
      </c>
      <c r="B4194" s="26" t="n">
        <v>44527</v>
      </c>
      <c r="C4194" s="12" t="inlineStr">
        <is>
          <t>VS09</t>
        </is>
      </c>
      <c r="D4194" s="12" t="inlineStr">
        <is>
          <t>HR Coils</t>
        </is>
      </c>
      <c r="E4194" s="12" t="inlineStr">
        <is>
          <t>Y</t>
        </is>
      </c>
      <c r="F4194" s="12" t="n">
        <v>8</v>
      </c>
      <c r="G4194" s="17" t="n">
        <v>56106.24</v>
      </c>
      <c r="H4194" s="26" t="n">
        <v>44532</v>
      </c>
      <c r="I4194" s="26" t="n">
        <v>44534</v>
      </c>
      <c r="J4194" s="12" t="n">
        <v>7.96</v>
      </c>
      <c r="K4194" s="17" t="n">
        <v>448849.92</v>
      </c>
      <c r="L4194" s="12" t="n">
        <v>0</v>
      </c>
      <c r="M4194" s="12" t="n">
        <v>4</v>
      </c>
      <c r="N4194" s="27">
        <f>F4194-J4194</f>
        <v/>
      </c>
      <c r="O4194" s="16">
        <f>I4194-H4194</f>
        <v/>
      </c>
      <c r="P4194" s="14">
        <f>F4194*G4194</f>
        <v/>
      </c>
      <c r="Q4194" s="14">
        <f>J4194*G4194</f>
        <v/>
      </c>
      <c r="R4194" s="14">
        <f>K4194-Q4194</f>
        <v/>
      </c>
      <c r="S4194" s="3">
        <f>P4194*Assumptions!$B$3/100</f>
        <v/>
      </c>
      <c r="T4194" s="14">
        <f>R4194-S4194</f>
        <v/>
      </c>
      <c r="U4194" s="14">
        <f>L4194*G4194</f>
        <v/>
      </c>
    </row>
    <row r="4195">
      <c r="A4195" s="12" t="inlineStr">
        <is>
          <t>PO-2023-4193</t>
        </is>
      </c>
      <c r="B4195" s="26" t="n">
        <v>44514</v>
      </c>
      <c r="C4195" s="12" t="inlineStr">
        <is>
          <t>VS19</t>
        </is>
      </c>
      <c r="D4195" s="12" t="inlineStr">
        <is>
          <t>MS Pipes</t>
        </is>
      </c>
      <c r="E4195" s="12" t="inlineStr">
        <is>
          <t>Y</t>
        </is>
      </c>
      <c r="F4195" s="12" t="n">
        <v>27.27</v>
      </c>
      <c r="G4195" s="17" t="n">
        <v>83541.31</v>
      </c>
      <c r="H4195" s="26" t="n">
        <v>44519</v>
      </c>
      <c r="I4195" s="26" t="n">
        <v>44521</v>
      </c>
      <c r="J4195" s="12" t="n">
        <v>26.36</v>
      </c>
      <c r="K4195" s="17" t="n">
        <v>2278171.52</v>
      </c>
      <c r="L4195" s="12" t="n">
        <v>1.01</v>
      </c>
      <c r="M4195" s="12" t="n">
        <v>0</v>
      </c>
      <c r="N4195" s="27">
        <f>F4195-J4195</f>
        <v/>
      </c>
      <c r="O4195" s="16">
        <f>I4195-H4195</f>
        <v/>
      </c>
      <c r="P4195" s="14">
        <f>F4195*G4195</f>
        <v/>
      </c>
      <c r="Q4195" s="14">
        <f>J4195*G4195</f>
        <v/>
      </c>
      <c r="R4195" s="14">
        <f>K4195-Q4195</f>
        <v/>
      </c>
      <c r="S4195" s="3">
        <f>P4195*Assumptions!$B$3/100</f>
        <v/>
      </c>
      <c r="T4195" s="14">
        <f>R4195-S4195</f>
        <v/>
      </c>
      <c r="U4195" s="14">
        <f>L4195*G4195</f>
        <v/>
      </c>
    </row>
    <row r="4196">
      <c r="A4196" s="12" t="inlineStr">
        <is>
          <t>PO-2023-4194</t>
        </is>
      </c>
      <c r="B4196" s="26" t="n">
        <v>45274</v>
      </c>
      <c r="C4196" s="12" t="inlineStr">
        <is>
          <t>VS13</t>
        </is>
      </c>
      <c r="D4196" s="12" t="inlineStr">
        <is>
          <t>Angles &amp; Channels</t>
        </is>
      </c>
      <c r="E4196" s="12" t="inlineStr">
        <is>
          <t>N</t>
        </is>
      </c>
      <c r="F4196" s="12" t="n">
        <v>50</v>
      </c>
      <c r="G4196" s="17" t="n">
        <v>89329.14999999999</v>
      </c>
      <c r="H4196" s="26" t="n">
        <v>45281</v>
      </c>
      <c r="I4196" s="26" t="n">
        <v>45281</v>
      </c>
      <c r="J4196" s="12" t="n">
        <v>49.64</v>
      </c>
      <c r="K4196" s="17" t="n">
        <v>4466457.5</v>
      </c>
      <c r="L4196" s="12" t="n">
        <v>0</v>
      </c>
      <c r="M4196" s="12" t="n">
        <v>0</v>
      </c>
      <c r="N4196" s="27">
        <f>F4196-J4196</f>
        <v/>
      </c>
      <c r="O4196" s="16">
        <f>I4196-H4196</f>
        <v/>
      </c>
      <c r="P4196" s="14">
        <f>F4196*G4196</f>
        <v/>
      </c>
      <c r="Q4196" s="14">
        <f>J4196*G4196</f>
        <v/>
      </c>
      <c r="R4196" s="14">
        <f>K4196-Q4196</f>
        <v/>
      </c>
      <c r="S4196" s="3">
        <f>P4196*Assumptions!$B$3/100</f>
        <v/>
      </c>
      <c r="T4196" s="14">
        <f>R4196-S4196</f>
        <v/>
      </c>
      <c r="U4196" s="14">
        <f>L4196*G4196</f>
        <v/>
      </c>
    </row>
    <row r="4197">
      <c r="A4197" s="12" t="inlineStr">
        <is>
          <t>PO-2023-4195</t>
        </is>
      </c>
      <c r="B4197" s="26" t="n">
        <v>44262</v>
      </c>
      <c r="C4197" s="12" t="inlineStr">
        <is>
          <t>VS01</t>
        </is>
      </c>
      <c r="D4197" s="12" t="inlineStr">
        <is>
          <t>CR Sheets</t>
        </is>
      </c>
      <c r="E4197" s="12" t="inlineStr">
        <is>
          <t>Y</t>
        </is>
      </c>
      <c r="F4197" s="12" t="n">
        <v>5.52</v>
      </c>
      <c r="G4197" s="17" t="n">
        <v>99471.74000000001</v>
      </c>
      <c r="H4197" s="26" t="n">
        <v>44273</v>
      </c>
      <c r="I4197" s="26" t="n">
        <v>44275</v>
      </c>
      <c r="J4197" s="12" t="n">
        <v>5.5</v>
      </c>
      <c r="K4197" s="17" t="n">
        <v>549084</v>
      </c>
      <c r="L4197" s="12" t="n">
        <v>0</v>
      </c>
      <c r="M4197" s="12" t="n">
        <v>19</v>
      </c>
      <c r="N4197" s="27">
        <f>F4197-J4197</f>
        <v/>
      </c>
      <c r="O4197" s="16">
        <f>I4197-H4197</f>
        <v/>
      </c>
      <c r="P4197" s="14">
        <f>F4197*G4197</f>
        <v/>
      </c>
      <c r="Q4197" s="14">
        <f>J4197*G4197</f>
        <v/>
      </c>
      <c r="R4197" s="14">
        <f>K4197-Q4197</f>
        <v/>
      </c>
      <c r="S4197" s="3">
        <f>P4197*Assumptions!$B$3/100</f>
        <v/>
      </c>
      <c r="T4197" s="14">
        <f>R4197-S4197</f>
        <v/>
      </c>
      <c r="U4197" s="14">
        <f>L4197*G4197</f>
        <v/>
      </c>
    </row>
    <row r="4198">
      <c r="A4198" s="12" t="inlineStr">
        <is>
          <t>PO-2023-4196</t>
        </is>
      </c>
      <c r="B4198" s="26" t="n">
        <v>44745</v>
      </c>
      <c r="C4198" s="12" t="inlineStr">
        <is>
          <t>VS29</t>
        </is>
      </c>
      <c r="D4198" s="12" t="inlineStr">
        <is>
          <t>ERW Pipes</t>
        </is>
      </c>
      <c r="E4198" s="12" t="inlineStr">
        <is>
          <t>N</t>
        </is>
      </c>
      <c r="F4198" s="12" t="n">
        <v>12.18</v>
      </c>
      <c r="G4198" s="17" t="n">
        <v>111743.01</v>
      </c>
      <c r="H4198" s="26" t="n">
        <v>44749</v>
      </c>
      <c r="I4198" s="26" t="n">
        <v>44751</v>
      </c>
      <c r="J4198" s="12" t="n">
        <v>12.12</v>
      </c>
      <c r="K4198" s="17" t="n">
        <v>1361029.86</v>
      </c>
      <c r="L4198" s="12" t="n">
        <v>0</v>
      </c>
      <c r="M4198" s="12" t="n">
        <v>6</v>
      </c>
      <c r="N4198" s="27">
        <f>F4198-J4198</f>
        <v/>
      </c>
      <c r="O4198" s="16">
        <f>I4198-H4198</f>
        <v/>
      </c>
      <c r="P4198" s="14">
        <f>F4198*G4198</f>
        <v/>
      </c>
      <c r="Q4198" s="14">
        <f>J4198*G4198</f>
        <v/>
      </c>
      <c r="R4198" s="14">
        <f>K4198-Q4198</f>
        <v/>
      </c>
      <c r="S4198" s="3">
        <f>P4198*Assumptions!$B$3/100</f>
        <v/>
      </c>
      <c r="T4198" s="14">
        <f>R4198-S4198</f>
        <v/>
      </c>
      <c r="U4198" s="14">
        <f>L4198*G4198</f>
        <v/>
      </c>
    </row>
    <row r="4199">
      <c r="A4199" s="12" t="inlineStr">
        <is>
          <t>PO-2023-4197</t>
        </is>
      </c>
      <c r="B4199" s="26" t="n">
        <v>44433</v>
      </c>
      <c r="C4199" s="12" t="inlineStr">
        <is>
          <t>VS16</t>
        </is>
      </c>
      <c r="D4199" s="12" t="inlineStr">
        <is>
          <t>Angles &amp; Channels</t>
        </is>
      </c>
      <c r="E4199" s="12" t="inlineStr">
        <is>
          <t>Y</t>
        </is>
      </c>
      <c r="F4199" s="12" t="n">
        <v>33.68</v>
      </c>
      <c r="G4199" s="17" t="n">
        <v>106953.2</v>
      </c>
      <c r="H4199" s="26" t="n">
        <v>44448</v>
      </c>
      <c r="I4199" s="26" t="n">
        <v>44449</v>
      </c>
      <c r="J4199" s="12" t="n">
        <v>33.42</v>
      </c>
      <c r="K4199" s="17" t="n">
        <v>3602183.78</v>
      </c>
      <c r="L4199" s="12" t="n">
        <v>0</v>
      </c>
      <c r="M4199" s="12" t="n">
        <v>24</v>
      </c>
      <c r="N4199" s="27">
        <f>F4199-J4199</f>
        <v/>
      </c>
      <c r="O4199" s="16">
        <f>I4199-H4199</f>
        <v/>
      </c>
      <c r="P4199" s="14">
        <f>F4199*G4199</f>
        <v/>
      </c>
      <c r="Q4199" s="14">
        <f>J4199*G4199</f>
        <v/>
      </c>
      <c r="R4199" s="14">
        <f>K4199-Q4199</f>
        <v/>
      </c>
      <c r="S4199" s="3">
        <f>P4199*Assumptions!$B$3/100</f>
        <v/>
      </c>
      <c r="T4199" s="14">
        <f>R4199-S4199</f>
        <v/>
      </c>
      <c r="U4199" s="14">
        <f>L4199*G4199</f>
        <v/>
      </c>
    </row>
    <row r="4200">
      <c r="A4200" s="12" t="inlineStr">
        <is>
          <t>PO-2023-4198</t>
        </is>
      </c>
      <c r="B4200" s="26" t="n">
        <v>44840</v>
      </c>
      <c r="C4200" s="12" t="inlineStr">
        <is>
          <t>VS13</t>
        </is>
      </c>
      <c r="D4200" s="12" t="inlineStr">
        <is>
          <t>MS Flats</t>
        </is>
      </c>
      <c r="E4200" s="12" t="inlineStr">
        <is>
          <t>N</t>
        </is>
      </c>
      <c r="F4200" s="12" t="n">
        <v>48.39</v>
      </c>
      <c r="G4200" s="17" t="n">
        <v>115775.93</v>
      </c>
      <c r="H4200" s="26" t="n">
        <v>44845</v>
      </c>
      <c r="I4200" s="26" t="n">
        <v>44846</v>
      </c>
      <c r="J4200" s="12" t="n">
        <v>48.09</v>
      </c>
      <c r="K4200" s="17" t="n">
        <v>5602397.25</v>
      </c>
      <c r="L4200" s="12" t="n">
        <v>0</v>
      </c>
      <c r="M4200" s="12" t="n">
        <v>13</v>
      </c>
      <c r="N4200" s="27">
        <f>F4200-J4200</f>
        <v/>
      </c>
      <c r="O4200" s="16">
        <f>I4200-H4200</f>
        <v/>
      </c>
      <c r="P4200" s="14">
        <f>F4200*G4200</f>
        <v/>
      </c>
      <c r="Q4200" s="14">
        <f>J4200*G4200</f>
        <v/>
      </c>
      <c r="R4200" s="14">
        <f>K4200-Q4200</f>
        <v/>
      </c>
      <c r="S4200" s="3">
        <f>P4200*Assumptions!$B$3/100</f>
        <v/>
      </c>
      <c r="T4200" s="14">
        <f>R4200-S4200</f>
        <v/>
      </c>
      <c r="U4200" s="14">
        <f>L4200*G4200</f>
        <v/>
      </c>
    </row>
    <row r="4201">
      <c r="A4201" s="12" t="inlineStr">
        <is>
          <t>PO-2023-4199</t>
        </is>
      </c>
      <c r="B4201" s="26" t="n">
        <v>44534</v>
      </c>
      <c r="C4201" s="12" t="inlineStr">
        <is>
          <t>VS34</t>
        </is>
      </c>
      <c r="D4201" s="12" t="inlineStr">
        <is>
          <t>Square/Rect Tubes</t>
        </is>
      </c>
      <c r="E4201" s="12" t="inlineStr">
        <is>
          <t>N</t>
        </is>
      </c>
      <c r="F4201" s="12" t="n">
        <v>46.25</v>
      </c>
      <c r="G4201" s="17" t="n">
        <v>45574.18</v>
      </c>
      <c r="H4201" s="26" t="n">
        <v>44543</v>
      </c>
      <c r="I4201" s="26" t="n">
        <v>44546</v>
      </c>
      <c r="J4201" s="12" t="n">
        <v>45.9</v>
      </c>
      <c r="K4201" s="17" t="n">
        <v>2107805.83</v>
      </c>
      <c r="L4201" s="12" t="n">
        <v>0</v>
      </c>
      <c r="M4201" s="12" t="n">
        <v>1</v>
      </c>
      <c r="N4201" s="27">
        <f>F4201-J4201</f>
        <v/>
      </c>
      <c r="O4201" s="16">
        <f>I4201-H4201</f>
        <v/>
      </c>
      <c r="P4201" s="14">
        <f>F4201*G4201</f>
        <v/>
      </c>
      <c r="Q4201" s="14">
        <f>J4201*G4201</f>
        <v/>
      </c>
      <c r="R4201" s="14">
        <f>K4201-Q4201</f>
        <v/>
      </c>
      <c r="S4201" s="3">
        <f>P4201*Assumptions!$B$3/100</f>
        <v/>
      </c>
      <c r="T4201" s="14">
        <f>R4201-S4201</f>
        <v/>
      </c>
      <c r="U4201" s="14">
        <f>L4201*G4201</f>
        <v/>
      </c>
    </row>
    <row r="4202">
      <c r="A4202" s="12" t="inlineStr">
        <is>
          <t>PO-2023-4200</t>
        </is>
      </c>
      <c r="B4202" s="26" t="n">
        <v>44789</v>
      </c>
      <c r="C4202" s="12" t="inlineStr">
        <is>
          <t>VS08</t>
        </is>
      </c>
      <c r="D4202" s="12" t="inlineStr">
        <is>
          <t>Angles &amp; Channels</t>
        </is>
      </c>
      <c r="E4202" s="12" t="inlineStr">
        <is>
          <t>Y</t>
        </is>
      </c>
      <c r="F4202" s="12" t="n">
        <v>47.87</v>
      </c>
      <c r="G4202" s="17" t="n">
        <v>86739.34</v>
      </c>
      <c r="H4202" s="26" t="n">
        <v>44792</v>
      </c>
      <c r="I4202" s="26" t="n">
        <v>44795</v>
      </c>
      <c r="J4202" s="12" t="n">
        <v>47.41</v>
      </c>
      <c r="K4202" s="17" t="n">
        <v>4152212.21</v>
      </c>
      <c r="L4202" s="12" t="n">
        <v>0</v>
      </c>
      <c r="M4202" s="12" t="n">
        <v>2</v>
      </c>
      <c r="N4202" s="27">
        <f>F4202-J4202</f>
        <v/>
      </c>
      <c r="O4202" s="16">
        <f>I4202-H4202</f>
        <v/>
      </c>
      <c r="P4202" s="14">
        <f>F4202*G4202</f>
        <v/>
      </c>
      <c r="Q4202" s="14">
        <f>J4202*G4202</f>
        <v/>
      </c>
      <c r="R4202" s="14">
        <f>K4202-Q4202</f>
        <v/>
      </c>
      <c r="S4202" s="3">
        <f>P4202*Assumptions!$B$3/100</f>
        <v/>
      </c>
      <c r="T4202" s="14">
        <f>R4202-S4202</f>
        <v/>
      </c>
      <c r="U4202" s="14">
        <f>L4202*G4202</f>
        <v/>
      </c>
    </row>
    <row r="4203">
      <c r="A4203" s="12" t="inlineStr">
        <is>
          <t>PO-2023-4201</t>
        </is>
      </c>
      <c r="B4203" s="26" t="n">
        <v>45148</v>
      </c>
      <c r="C4203" s="12" t="inlineStr">
        <is>
          <t>VS34</t>
        </is>
      </c>
      <c r="D4203" s="12" t="inlineStr">
        <is>
          <t>HR Coils</t>
        </is>
      </c>
      <c r="E4203" s="12" t="inlineStr">
        <is>
          <t>N</t>
        </is>
      </c>
      <c r="F4203" s="12" t="n">
        <v>2.43</v>
      </c>
      <c r="G4203" s="17" t="n">
        <v>114497.57</v>
      </c>
      <c r="H4203" s="26" t="n">
        <v>45151</v>
      </c>
      <c r="I4203" s="26" t="n">
        <v>45154</v>
      </c>
      <c r="J4203" s="12" t="n">
        <v>2.42</v>
      </c>
      <c r="K4203" s="17" t="n">
        <v>278229.1</v>
      </c>
      <c r="L4203" s="12" t="n">
        <v>0</v>
      </c>
      <c r="M4203" s="12" t="n">
        <v>5</v>
      </c>
      <c r="N4203" s="27">
        <f>F4203-J4203</f>
        <v/>
      </c>
      <c r="O4203" s="16">
        <f>I4203-H4203</f>
        <v/>
      </c>
      <c r="P4203" s="14">
        <f>F4203*G4203</f>
        <v/>
      </c>
      <c r="Q4203" s="14">
        <f>J4203*G4203</f>
        <v/>
      </c>
      <c r="R4203" s="14">
        <f>K4203-Q4203</f>
        <v/>
      </c>
      <c r="S4203" s="3">
        <f>P4203*Assumptions!$B$3/100</f>
        <v/>
      </c>
      <c r="T4203" s="14">
        <f>R4203-S4203</f>
        <v/>
      </c>
      <c r="U4203" s="14">
        <f>L4203*G4203</f>
        <v/>
      </c>
    </row>
    <row r="4204">
      <c r="A4204" s="12" t="inlineStr">
        <is>
          <t>PO-2023-4202</t>
        </is>
      </c>
      <c r="B4204" s="26" t="n">
        <v>44346</v>
      </c>
      <c r="C4204" s="12" t="inlineStr">
        <is>
          <t>VS02</t>
        </is>
      </c>
      <c r="D4204" s="12" t="inlineStr">
        <is>
          <t>SS Sheets</t>
        </is>
      </c>
      <c r="E4204" s="12" t="inlineStr">
        <is>
          <t>N</t>
        </is>
      </c>
      <c r="F4204" s="12" t="n">
        <v>6.01</v>
      </c>
      <c r="G4204" s="17" t="n">
        <v>66577.38</v>
      </c>
      <c r="H4204" s="26" t="n">
        <v>44360</v>
      </c>
      <c r="I4204" s="26" t="n">
        <v>44361</v>
      </c>
      <c r="J4204" s="12" t="n">
        <v>6</v>
      </c>
      <c r="K4204" s="17" t="n">
        <v>400130.05</v>
      </c>
      <c r="L4204" s="12" t="n">
        <v>0</v>
      </c>
      <c r="M4204" s="12" t="n">
        <v>5</v>
      </c>
      <c r="N4204" s="27">
        <f>F4204-J4204</f>
        <v/>
      </c>
      <c r="O4204" s="16">
        <f>I4204-H4204</f>
        <v/>
      </c>
      <c r="P4204" s="14">
        <f>F4204*G4204</f>
        <v/>
      </c>
      <c r="Q4204" s="14">
        <f>J4204*G4204</f>
        <v/>
      </c>
      <c r="R4204" s="14">
        <f>K4204-Q4204</f>
        <v/>
      </c>
      <c r="S4204" s="3">
        <f>P4204*Assumptions!$B$3/100</f>
        <v/>
      </c>
      <c r="T4204" s="14">
        <f>R4204-S4204</f>
        <v/>
      </c>
      <c r="U4204" s="14">
        <f>L4204*G4204</f>
        <v/>
      </c>
    </row>
    <row r="4205">
      <c r="A4205" s="12" t="inlineStr">
        <is>
          <t>PO-2023-4203</t>
        </is>
      </c>
      <c r="B4205" s="26" t="n">
        <v>44871</v>
      </c>
      <c r="C4205" s="12" t="inlineStr">
        <is>
          <t>VS16</t>
        </is>
      </c>
      <c r="D4205" s="12" t="inlineStr">
        <is>
          <t>SS Sheets</t>
        </is>
      </c>
      <c r="E4205" s="12" t="inlineStr">
        <is>
          <t>N</t>
        </is>
      </c>
      <c r="F4205" s="12" t="n">
        <v>4.78</v>
      </c>
      <c r="G4205" s="17" t="n">
        <v>69968.73</v>
      </c>
      <c r="H4205" s="26" t="n">
        <v>44886</v>
      </c>
      <c r="I4205" s="26" t="n">
        <v>44887</v>
      </c>
      <c r="J4205" s="12" t="n">
        <v>4.74</v>
      </c>
      <c r="K4205" s="17" t="n">
        <v>334450.53</v>
      </c>
      <c r="L4205" s="12" t="n">
        <v>0</v>
      </c>
      <c r="M4205" s="12" t="n">
        <v>0</v>
      </c>
      <c r="N4205" s="27">
        <f>F4205-J4205</f>
        <v/>
      </c>
      <c r="O4205" s="16">
        <f>I4205-H4205</f>
        <v/>
      </c>
      <c r="P4205" s="14">
        <f>F4205*G4205</f>
        <v/>
      </c>
      <c r="Q4205" s="14">
        <f>J4205*G4205</f>
        <v/>
      </c>
      <c r="R4205" s="14">
        <f>K4205-Q4205</f>
        <v/>
      </c>
      <c r="S4205" s="3">
        <f>P4205*Assumptions!$B$3/100</f>
        <v/>
      </c>
      <c r="T4205" s="14">
        <f>R4205-S4205</f>
        <v/>
      </c>
      <c r="U4205" s="14">
        <f>L4205*G4205</f>
        <v/>
      </c>
    </row>
    <row r="4206">
      <c r="A4206" s="12" t="inlineStr">
        <is>
          <t>PO-2023-4204</t>
        </is>
      </c>
      <c r="B4206" s="26" t="n">
        <v>44455</v>
      </c>
      <c r="C4206" s="12" t="inlineStr">
        <is>
          <t>VS33</t>
        </is>
      </c>
      <c r="D4206" s="12" t="inlineStr">
        <is>
          <t>ERW Pipes</t>
        </is>
      </c>
      <c r="E4206" s="12" t="inlineStr">
        <is>
          <t>Y</t>
        </is>
      </c>
      <c r="F4206" s="12" t="n">
        <v>46.56</v>
      </c>
      <c r="G4206" s="17" t="n">
        <v>64697.78</v>
      </c>
      <c r="H4206" s="26" t="n">
        <v>44465</v>
      </c>
      <c r="I4206" s="26" t="n">
        <v>44468</v>
      </c>
      <c r="J4206" s="12" t="n">
        <v>46.47</v>
      </c>
      <c r="K4206" s="17" t="n">
        <v>3012328.64</v>
      </c>
      <c r="L4206" s="12" t="n">
        <v>0</v>
      </c>
      <c r="M4206" s="12" t="n">
        <v>6</v>
      </c>
      <c r="N4206" s="27">
        <f>F4206-J4206</f>
        <v/>
      </c>
      <c r="O4206" s="16">
        <f>I4206-H4206</f>
        <v/>
      </c>
      <c r="P4206" s="14">
        <f>F4206*G4206</f>
        <v/>
      </c>
      <c r="Q4206" s="14">
        <f>J4206*G4206</f>
        <v/>
      </c>
      <c r="R4206" s="14">
        <f>K4206-Q4206</f>
        <v/>
      </c>
      <c r="S4206" s="3">
        <f>P4206*Assumptions!$B$3/100</f>
        <v/>
      </c>
      <c r="T4206" s="14">
        <f>R4206-S4206</f>
        <v/>
      </c>
      <c r="U4206" s="14">
        <f>L4206*G4206</f>
        <v/>
      </c>
    </row>
    <row r="4207">
      <c r="A4207" s="12" t="inlineStr">
        <is>
          <t>PO-2023-4205</t>
        </is>
      </c>
      <c r="B4207" s="26" t="n">
        <v>45036</v>
      </c>
      <c r="C4207" s="12" t="inlineStr">
        <is>
          <t>VS30</t>
        </is>
      </c>
      <c r="D4207" s="12" t="inlineStr">
        <is>
          <t>SS Sheets</t>
        </is>
      </c>
      <c r="E4207" s="12" t="inlineStr">
        <is>
          <t>N</t>
        </is>
      </c>
      <c r="F4207" s="12" t="n">
        <v>36.91</v>
      </c>
      <c r="G4207" s="17" t="n">
        <v>92160.60000000001</v>
      </c>
      <c r="H4207" s="26" t="n">
        <v>45047</v>
      </c>
      <c r="I4207" s="26" t="n">
        <v>45047</v>
      </c>
      <c r="J4207" s="12" t="n">
        <v>36.63</v>
      </c>
      <c r="K4207" s="17" t="n">
        <v>3401647.75</v>
      </c>
      <c r="L4207" s="12" t="n">
        <v>0</v>
      </c>
      <c r="M4207" s="12" t="n">
        <v>16</v>
      </c>
      <c r="N4207" s="27">
        <f>F4207-J4207</f>
        <v/>
      </c>
      <c r="O4207" s="16">
        <f>I4207-H4207</f>
        <v/>
      </c>
      <c r="P4207" s="14">
        <f>F4207*G4207</f>
        <v/>
      </c>
      <c r="Q4207" s="14">
        <f>J4207*G4207</f>
        <v/>
      </c>
      <c r="R4207" s="14">
        <f>K4207-Q4207</f>
        <v/>
      </c>
      <c r="S4207" s="3">
        <f>P4207*Assumptions!$B$3/100</f>
        <v/>
      </c>
      <c r="T4207" s="14">
        <f>R4207-S4207</f>
        <v/>
      </c>
      <c r="U4207" s="14">
        <f>L4207*G4207</f>
        <v/>
      </c>
    </row>
    <row r="4208">
      <c r="A4208" s="12" t="inlineStr">
        <is>
          <t>PO-2023-4206</t>
        </is>
      </c>
      <c r="B4208" s="26" t="n">
        <v>44271</v>
      </c>
      <c r="C4208" s="12" t="inlineStr">
        <is>
          <t>VS12</t>
        </is>
      </c>
      <c r="D4208" s="12" t="inlineStr">
        <is>
          <t>SS Pipes</t>
        </is>
      </c>
      <c r="E4208" s="12" t="inlineStr">
        <is>
          <t>N</t>
        </is>
      </c>
      <c r="F4208" s="12" t="n">
        <v>32.44</v>
      </c>
      <c r="G4208" s="17" t="n">
        <v>99382.5</v>
      </c>
      <c r="H4208" s="26" t="n">
        <v>44283</v>
      </c>
      <c r="I4208" s="26" t="n">
        <v>44288</v>
      </c>
      <c r="J4208" s="12" t="n">
        <v>30.84</v>
      </c>
      <c r="K4208" s="17" t="n">
        <v>3223968.3</v>
      </c>
      <c r="L4208" s="12" t="n">
        <v>1.41</v>
      </c>
      <c r="M4208" s="12" t="n">
        <v>14</v>
      </c>
      <c r="N4208" s="27">
        <f>F4208-J4208</f>
        <v/>
      </c>
      <c r="O4208" s="16">
        <f>I4208-H4208</f>
        <v/>
      </c>
      <c r="P4208" s="14">
        <f>F4208*G4208</f>
        <v/>
      </c>
      <c r="Q4208" s="14">
        <f>J4208*G4208</f>
        <v/>
      </c>
      <c r="R4208" s="14">
        <f>K4208-Q4208</f>
        <v/>
      </c>
      <c r="S4208" s="3">
        <f>P4208*Assumptions!$B$3/100</f>
        <v/>
      </c>
      <c r="T4208" s="14">
        <f>R4208-S4208</f>
        <v/>
      </c>
      <c r="U4208" s="14">
        <f>L4208*G4208</f>
        <v/>
      </c>
    </row>
    <row r="4209">
      <c r="A4209" s="12" t="inlineStr">
        <is>
          <t>PO-2023-4207</t>
        </is>
      </c>
      <c r="B4209" s="26" t="n">
        <v>44654</v>
      </c>
      <c r="C4209" s="12" t="inlineStr">
        <is>
          <t>VS02</t>
        </is>
      </c>
      <c r="D4209" s="12" t="inlineStr">
        <is>
          <t>MS Rods</t>
        </is>
      </c>
      <c r="E4209" s="12" t="inlineStr">
        <is>
          <t>N</t>
        </is>
      </c>
      <c r="F4209" s="12" t="n">
        <v>11.88</v>
      </c>
      <c r="G4209" s="17" t="n">
        <v>70826.47</v>
      </c>
      <c r="H4209" s="26" t="n">
        <v>44665</v>
      </c>
      <c r="I4209" s="26" t="n">
        <v>44667</v>
      </c>
      <c r="J4209" s="12" t="n">
        <v>11.84</v>
      </c>
      <c r="K4209" s="17" t="n">
        <v>841418.46</v>
      </c>
      <c r="L4209" s="12" t="n">
        <v>0</v>
      </c>
      <c r="M4209" s="12" t="n">
        <v>0</v>
      </c>
      <c r="N4209" s="27">
        <f>F4209-J4209</f>
        <v/>
      </c>
      <c r="O4209" s="16">
        <f>I4209-H4209</f>
        <v/>
      </c>
      <c r="P4209" s="14">
        <f>F4209*G4209</f>
        <v/>
      </c>
      <c r="Q4209" s="14">
        <f>J4209*G4209</f>
        <v/>
      </c>
      <c r="R4209" s="14">
        <f>K4209-Q4209</f>
        <v/>
      </c>
      <c r="S4209" s="3">
        <f>P4209*Assumptions!$B$3/100</f>
        <v/>
      </c>
      <c r="T4209" s="14">
        <f>R4209-S4209</f>
        <v/>
      </c>
      <c r="U4209" s="14">
        <f>L4209*G4209</f>
        <v/>
      </c>
    </row>
    <row r="4210">
      <c r="A4210" s="12" t="inlineStr">
        <is>
          <t>PO-2023-4208</t>
        </is>
      </c>
      <c r="B4210" s="26" t="n">
        <v>44248</v>
      </c>
      <c r="C4210" s="12" t="inlineStr">
        <is>
          <t>VS15</t>
        </is>
      </c>
      <c r="D4210" s="12" t="inlineStr">
        <is>
          <t>Fasteners &amp; Fittings</t>
        </is>
      </c>
      <c r="E4210" s="12" t="inlineStr">
        <is>
          <t>N</t>
        </is>
      </c>
      <c r="F4210" s="12" t="n">
        <v>28.36</v>
      </c>
      <c r="G4210" s="17" t="n">
        <v>102983.17</v>
      </c>
      <c r="H4210" s="26" t="n">
        <v>44261</v>
      </c>
      <c r="I4210" s="26" t="n">
        <v>44264</v>
      </c>
      <c r="J4210" s="12" t="n">
        <v>28.15</v>
      </c>
      <c r="K4210" s="17" t="n">
        <v>2920602.7</v>
      </c>
      <c r="L4210" s="12" t="n">
        <v>0</v>
      </c>
      <c r="M4210" s="12" t="n">
        <v>0</v>
      </c>
      <c r="N4210" s="27">
        <f>F4210-J4210</f>
        <v/>
      </c>
      <c r="O4210" s="16">
        <f>I4210-H4210</f>
        <v/>
      </c>
      <c r="P4210" s="14">
        <f>F4210*G4210</f>
        <v/>
      </c>
      <c r="Q4210" s="14">
        <f>J4210*G4210</f>
        <v/>
      </c>
      <c r="R4210" s="14">
        <f>K4210-Q4210</f>
        <v/>
      </c>
      <c r="S4210" s="3">
        <f>P4210*Assumptions!$B$3/100</f>
        <v/>
      </c>
      <c r="T4210" s="14">
        <f>R4210-S4210</f>
        <v/>
      </c>
      <c r="U4210" s="14">
        <f>L4210*G4210</f>
        <v/>
      </c>
    </row>
    <row r="4211">
      <c r="A4211" s="12" t="inlineStr">
        <is>
          <t>PO-2023-4209</t>
        </is>
      </c>
      <c r="B4211" s="26" t="n">
        <v>44495</v>
      </c>
      <c r="C4211" s="12" t="inlineStr">
        <is>
          <t>VS07</t>
        </is>
      </c>
      <c r="D4211" s="12" t="inlineStr">
        <is>
          <t>HR Coils</t>
        </is>
      </c>
      <c r="E4211" s="12" t="inlineStr">
        <is>
          <t>N</t>
        </is>
      </c>
      <c r="F4211" s="12" t="n">
        <v>41.37</v>
      </c>
      <c r="G4211" s="17" t="n">
        <v>91542.38</v>
      </c>
      <c r="H4211" s="26" t="n">
        <v>44509</v>
      </c>
      <c r="I4211" s="26" t="n">
        <v>44511</v>
      </c>
      <c r="J4211" s="12" t="n">
        <v>41.03</v>
      </c>
      <c r="K4211" s="17" t="n">
        <v>3787108.26</v>
      </c>
      <c r="L4211" s="12" t="n">
        <v>0</v>
      </c>
      <c r="M4211" s="12" t="n">
        <v>21</v>
      </c>
      <c r="N4211" s="27">
        <f>F4211-J4211</f>
        <v/>
      </c>
      <c r="O4211" s="16">
        <f>I4211-H4211</f>
        <v/>
      </c>
      <c r="P4211" s="14">
        <f>F4211*G4211</f>
        <v/>
      </c>
      <c r="Q4211" s="14">
        <f>J4211*G4211</f>
        <v/>
      </c>
      <c r="R4211" s="14">
        <f>K4211-Q4211</f>
        <v/>
      </c>
      <c r="S4211" s="3">
        <f>P4211*Assumptions!$B$3/100</f>
        <v/>
      </c>
      <c r="T4211" s="14">
        <f>R4211-S4211</f>
        <v/>
      </c>
      <c r="U4211" s="14">
        <f>L4211*G4211</f>
        <v/>
      </c>
    </row>
    <row r="4212">
      <c r="A4212" s="12" t="inlineStr">
        <is>
          <t>PO-2023-4210</t>
        </is>
      </c>
      <c r="B4212" s="26" t="n">
        <v>45107</v>
      </c>
      <c r="C4212" s="12" t="inlineStr">
        <is>
          <t>VS17</t>
        </is>
      </c>
      <c r="D4212" s="12" t="inlineStr">
        <is>
          <t>HR Coils</t>
        </is>
      </c>
      <c r="E4212" s="12" t="inlineStr">
        <is>
          <t>N</t>
        </is>
      </c>
      <c r="F4212" s="12" t="n">
        <v>41.28</v>
      </c>
      <c r="G4212" s="17" t="n">
        <v>75187.31</v>
      </c>
      <c r="H4212" s="26" t="n">
        <v>45119</v>
      </c>
      <c r="I4212" s="26" t="n">
        <v>45121</v>
      </c>
      <c r="J4212" s="12" t="n">
        <v>41.17</v>
      </c>
      <c r="K4212" s="17" t="n">
        <v>3103732.16</v>
      </c>
      <c r="L4212" s="12" t="n">
        <v>0</v>
      </c>
      <c r="M4212" s="12" t="n">
        <v>0</v>
      </c>
      <c r="N4212" s="27">
        <f>F4212-J4212</f>
        <v/>
      </c>
      <c r="O4212" s="16">
        <f>I4212-H4212</f>
        <v/>
      </c>
      <c r="P4212" s="14">
        <f>F4212*G4212</f>
        <v/>
      </c>
      <c r="Q4212" s="14">
        <f>J4212*G4212</f>
        <v/>
      </c>
      <c r="R4212" s="14">
        <f>K4212-Q4212</f>
        <v/>
      </c>
      <c r="S4212" s="3">
        <f>P4212*Assumptions!$B$3/100</f>
        <v/>
      </c>
      <c r="T4212" s="14">
        <f>R4212-S4212</f>
        <v/>
      </c>
      <c r="U4212" s="14">
        <f>L4212*G4212</f>
        <v/>
      </c>
    </row>
    <row r="4213">
      <c r="A4213" s="12" t="inlineStr">
        <is>
          <t>PO-2023-4211</t>
        </is>
      </c>
      <c r="B4213" s="26" t="n">
        <v>44225</v>
      </c>
      <c r="C4213" s="12" t="inlineStr">
        <is>
          <t>VS21</t>
        </is>
      </c>
      <c r="D4213" s="12" t="inlineStr">
        <is>
          <t>MS Flats</t>
        </is>
      </c>
      <c r="E4213" s="12" t="inlineStr">
        <is>
          <t>N</t>
        </is>
      </c>
      <c r="F4213" s="12" t="n">
        <v>28.07</v>
      </c>
      <c r="G4213" s="17" t="n">
        <v>116836.62</v>
      </c>
      <c r="H4213" s="26" t="n">
        <v>44235</v>
      </c>
      <c r="I4213" s="26" t="n">
        <v>44237</v>
      </c>
      <c r="J4213" s="12" t="n">
        <v>27.8</v>
      </c>
      <c r="K4213" s="17" t="n">
        <v>3279603.92</v>
      </c>
      <c r="L4213" s="12" t="n">
        <v>0</v>
      </c>
      <c r="M4213" s="12" t="n">
        <v>15</v>
      </c>
      <c r="N4213" s="27">
        <f>F4213-J4213</f>
        <v/>
      </c>
      <c r="O4213" s="16">
        <f>I4213-H4213</f>
        <v/>
      </c>
      <c r="P4213" s="14">
        <f>F4213*G4213</f>
        <v/>
      </c>
      <c r="Q4213" s="14">
        <f>J4213*G4213</f>
        <v/>
      </c>
      <c r="R4213" s="14">
        <f>K4213-Q4213</f>
        <v/>
      </c>
      <c r="S4213" s="3">
        <f>P4213*Assumptions!$B$3/100</f>
        <v/>
      </c>
      <c r="T4213" s="14">
        <f>R4213-S4213</f>
        <v/>
      </c>
      <c r="U4213" s="14">
        <f>L4213*G4213</f>
        <v/>
      </c>
    </row>
    <row r="4214">
      <c r="A4214" s="12" t="inlineStr">
        <is>
          <t>PO-2023-4212</t>
        </is>
      </c>
      <c r="B4214" s="26" t="n">
        <v>44959</v>
      </c>
      <c r="C4214" s="12" t="inlineStr">
        <is>
          <t>VS20</t>
        </is>
      </c>
      <c r="D4214" s="12" t="inlineStr">
        <is>
          <t>MS Pipes</t>
        </is>
      </c>
      <c r="E4214" s="12" t="inlineStr">
        <is>
          <t>N</t>
        </is>
      </c>
      <c r="F4214" s="12" t="n">
        <v>27.69</v>
      </c>
      <c r="G4214" s="17" t="n">
        <v>65869.3</v>
      </c>
      <c r="H4214" s="26" t="n">
        <v>44971</v>
      </c>
      <c r="I4214" s="26" t="n">
        <v>44974</v>
      </c>
      <c r="J4214" s="12" t="n">
        <v>27.67</v>
      </c>
      <c r="K4214" s="17" t="n">
        <v>1823920.92</v>
      </c>
      <c r="L4214" s="12" t="n">
        <v>0</v>
      </c>
      <c r="M4214" s="12" t="n">
        <v>20</v>
      </c>
      <c r="N4214" s="27">
        <f>F4214-J4214</f>
        <v/>
      </c>
      <c r="O4214" s="16">
        <f>I4214-H4214</f>
        <v/>
      </c>
      <c r="P4214" s="14">
        <f>F4214*G4214</f>
        <v/>
      </c>
      <c r="Q4214" s="14">
        <f>J4214*G4214</f>
        <v/>
      </c>
      <c r="R4214" s="14">
        <f>K4214-Q4214</f>
        <v/>
      </c>
      <c r="S4214" s="3">
        <f>P4214*Assumptions!$B$3/100</f>
        <v/>
      </c>
      <c r="T4214" s="14">
        <f>R4214-S4214</f>
        <v/>
      </c>
      <c r="U4214" s="14">
        <f>L4214*G4214</f>
        <v/>
      </c>
    </row>
    <row r="4215">
      <c r="A4215" s="12" t="inlineStr">
        <is>
          <t>PO-2023-4213</t>
        </is>
      </c>
      <c r="B4215" s="26" t="n">
        <v>44198</v>
      </c>
      <c r="C4215" s="12" t="inlineStr">
        <is>
          <t>VS27</t>
        </is>
      </c>
      <c r="D4215" s="12" t="inlineStr">
        <is>
          <t>GI Wire</t>
        </is>
      </c>
      <c r="E4215" s="12" t="inlineStr">
        <is>
          <t>N</t>
        </is>
      </c>
      <c r="F4215" s="12" t="n">
        <v>28.76</v>
      </c>
      <c r="G4215" s="17" t="n">
        <v>48662.92</v>
      </c>
      <c r="H4215" s="26" t="n">
        <v>44205</v>
      </c>
      <c r="I4215" s="26" t="n">
        <v>44205</v>
      </c>
      <c r="J4215" s="12" t="n">
        <v>28.63</v>
      </c>
      <c r="K4215" s="17" t="n">
        <v>1399545.58</v>
      </c>
      <c r="L4215" s="12" t="n">
        <v>0</v>
      </c>
      <c r="M4215" s="12" t="n">
        <v>0</v>
      </c>
      <c r="N4215" s="27">
        <f>F4215-J4215</f>
        <v/>
      </c>
      <c r="O4215" s="16">
        <f>I4215-H4215</f>
        <v/>
      </c>
      <c r="P4215" s="14">
        <f>F4215*G4215</f>
        <v/>
      </c>
      <c r="Q4215" s="14">
        <f>J4215*G4215</f>
        <v/>
      </c>
      <c r="R4215" s="14">
        <f>K4215-Q4215</f>
        <v/>
      </c>
      <c r="S4215" s="3">
        <f>P4215*Assumptions!$B$3/100</f>
        <v/>
      </c>
      <c r="T4215" s="14">
        <f>R4215-S4215</f>
        <v/>
      </c>
      <c r="U4215" s="14">
        <f>L4215*G4215</f>
        <v/>
      </c>
    </row>
    <row r="4216">
      <c r="A4216" s="12" t="inlineStr">
        <is>
          <t>PO-2023-4214</t>
        </is>
      </c>
      <c r="B4216" s="26" t="n">
        <v>44932</v>
      </c>
      <c r="C4216" s="12" t="inlineStr">
        <is>
          <t>VS10</t>
        </is>
      </c>
      <c r="D4216" s="12" t="inlineStr">
        <is>
          <t>Hex Bars</t>
        </is>
      </c>
      <c r="E4216" s="12" t="inlineStr">
        <is>
          <t>N</t>
        </is>
      </c>
      <c r="F4216" s="12" t="n">
        <v>30.78</v>
      </c>
      <c r="G4216" s="17" t="n">
        <v>85741.64</v>
      </c>
      <c r="H4216" s="26" t="n">
        <v>44935</v>
      </c>
      <c r="I4216" s="26" t="n">
        <v>44936</v>
      </c>
      <c r="J4216" s="12" t="n">
        <v>30.59</v>
      </c>
      <c r="K4216" s="17" t="n">
        <v>2639127.68</v>
      </c>
      <c r="L4216" s="12" t="n">
        <v>0</v>
      </c>
      <c r="M4216" s="12" t="n">
        <v>4</v>
      </c>
      <c r="N4216" s="27">
        <f>F4216-J4216</f>
        <v/>
      </c>
      <c r="O4216" s="16">
        <f>I4216-H4216</f>
        <v/>
      </c>
      <c r="P4216" s="14">
        <f>F4216*G4216</f>
        <v/>
      </c>
      <c r="Q4216" s="14">
        <f>J4216*G4216</f>
        <v/>
      </c>
      <c r="R4216" s="14">
        <f>K4216-Q4216</f>
        <v/>
      </c>
      <c r="S4216" s="3">
        <f>P4216*Assumptions!$B$3/100</f>
        <v/>
      </c>
      <c r="T4216" s="14">
        <f>R4216-S4216</f>
        <v/>
      </c>
      <c r="U4216" s="14">
        <f>L4216*G4216</f>
        <v/>
      </c>
    </row>
    <row r="4217">
      <c r="A4217" s="12" t="inlineStr">
        <is>
          <t>PO-2023-4215</t>
        </is>
      </c>
      <c r="B4217" s="26" t="n">
        <v>44969</v>
      </c>
      <c r="C4217" s="12" t="inlineStr">
        <is>
          <t>VS05</t>
        </is>
      </c>
      <c r="D4217" s="12" t="inlineStr">
        <is>
          <t>GI Pipes</t>
        </is>
      </c>
      <c r="E4217" s="12" t="inlineStr">
        <is>
          <t>N</t>
        </is>
      </c>
      <c r="F4217" s="12" t="n">
        <v>20.04</v>
      </c>
      <c r="G4217" s="17" t="n">
        <v>76528.39999999999</v>
      </c>
      <c r="H4217" s="26" t="n">
        <v>44975</v>
      </c>
      <c r="I4217" s="26" t="n">
        <v>44975</v>
      </c>
      <c r="J4217" s="12" t="n">
        <v>19.92</v>
      </c>
      <c r="K4217" s="17" t="n">
        <v>1533629.14</v>
      </c>
      <c r="L4217" s="12" t="n">
        <v>0</v>
      </c>
      <c r="M4217" s="12" t="n">
        <v>0</v>
      </c>
      <c r="N4217" s="27">
        <f>F4217-J4217</f>
        <v/>
      </c>
      <c r="O4217" s="16">
        <f>I4217-H4217</f>
        <v/>
      </c>
      <c r="P4217" s="14">
        <f>F4217*G4217</f>
        <v/>
      </c>
      <c r="Q4217" s="14">
        <f>J4217*G4217</f>
        <v/>
      </c>
      <c r="R4217" s="14">
        <f>K4217-Q4217</f>
        <v/>
      </c>
      <c r="S4217" s="3">
        <f>P4217*Assumptions!$B$3/100</f>
        <v/>
      </c>
      <c r="T4217" s="14">
        <f>R4217-S4217</f>
        <v/>
      </c>
      <c r="U4217" s="14">
        <f>L4217*G4217</f>
        <v/>
      </c>
    </row>
    <row r="4218">
      <c r="A4218" s="12" t="inlineStr">
        <is>
          <t>PO-2023-4216</t>
        </is>
      </c>
      <c r="B4218" s="26" t="n">
        <v>44675</v>
      </c>
      <c r="C4218" s="12" t="inlineStr">
        <is>
          <t>VS29</t>
        </is>
      </c>
      <c r="D4218" s="12" t="inlineStr">
        <is>
          <t>CR Sheets</t>
        </is>
      </c>
      <c r="E4218" s="12" t="inlineStr">
        <is>
          <t>N</t>
        </is>
      </c>
      <c r="F4218" s="12" t="n">
        <v>19.19</v>
      </c>
      <c r="G4218" s="17" t="n">
        <v>112025.99</v>
      </c>
      <c r="H4218" s="26" t="n">
        <v>44679</v>
      </c>
      <c r="I4218" s="26" t="n">
        <v>44680</v>
      </c>
      <c r="J4218" s="12" t="n">
        <v>19.05</v>
      </c>
      <c r="K4218" s="17" t="n">
        <v>2149778.75</v>
      </c>
      <c r="L4218" s="12" t="n">
        <v>0</v>
      </c>
      <c r="M4218" s="12" t="n">
        <v>15</v>
      </c>
      <c r="N4218" s="27">
        <f>F4218-J4218</f>
        <v/>
      </c>
      <c r="O4218" s="16">
        <f>I4218-H4218</f>
        <v/>
      </c>
      <c r="P4218" s="14">
        <f>F4218*G4218</f>
        <v/>
      </c>
      <c r="Q4218" s="14">
        <f>J4218*G4218</f>
        <v/>
      </c>
      <c r="R4218" s="14">
        <f>K4218-Q4218</f>
        <v/>
      </c>
      <c r="S4218" s="3">
        <f>P4218*Assumptions!$B$3/100</f>
        <v/>
      </c>
      <c r="T4218" s="14">
        <f>R4218-S4218</f>
        <v/>
      </c>
      <c r="U4218" s="14">
        <f>L4218*G4218</f>
        <v/>
      </c>
    </row>
    <row r="4219">
      <c r="A4219" s="12" t="inlineStr">
        <is>
          <t>PO-2023-4217</t>
        </is>
      </c>
      <c r="B4219" s="26" t="n">
        <v>45014</v>
      </c>
      <c r="C4219" s="12" t="inlineStr">
        <is>
          <t>VS21</t>
        </is>
      </c>
      <c r="D4219" s="12" t="inlineStr">
        <is>
          <t>Square/Rect Tubes</t>
        </is>
      </c>
      <c r="E4219" s="12" t="inlineStr">
        <is>
          <t>N</t>
        </is>
      </c>
      <c r="F4219" s="12" t="n">
        <v>22.76</v>
      </c>
      <c r="G4219" s="17" t="n">
        <v>51992.51</v>
      </c>
      <c r="H4219" s="26" t="n">
        <v>45020</v>
      </c>
      <c r="I4219" s="26" t="n">
        <v>45020</v>
      </c>
      <c r="J4219" s="12" t="n">
        <v>22.55</v>
      </c>
      <c r="K4219" s="17" t="n">
        <v>1183349.53</v>
      </c>
      <c r="L4219" s="12" t="n">
        <v>0</v>
      </c>
      <c r="M4219" s="12" t="n">
        <v>0</v>
      </c>
      <c r="N4219" s="27">
        <f>F4219-J4219</f>
        <v/>
      </c>
      <c r="O4219" s="16">
        <f>I4219-H4219</f>
        <v/>
      </c>
      <c r="P4219" s="14">
        <f>F4219*G4219</f>
        <v/>
      </c>
      <c r="Q4219" s="14">
        <f>J4219*G4219</f>
        <v/>
      </c>
      <c r="R4219" s="14">
        <f>K4219-Q4219</f>
        <v/>
      </c>
      <c r="S4219" s="3">
        <f>P4219*Assumptions!$B$3/100</f>
        <v/>
      </c>
      <c r="T4219" s="14">
        <f>R4219-S4219</f>
        <v/>
      </c>
      <c r="U4219" s="14">
        <f>L4219*G4219</f>
        <v/>
      </c>
    </row>
    <row r="4220">
      <c r="A4220" s="12" t="inlineStr">
        <is>
          <t>PO-2023-4218</t>
        </is>
      </c>
      <c r="B4220" s="26" t="n">
        <v>45053</v>
      </c>
      <c r="C4220" s="12" t="inlineStr">
        <is>
          <t>VS05</t>
        </is>
      </c>
      <c r="D4220" s="12" t="inlineStr">
        <is>
          <t>SS Sheets</t>
        </is>
      </c>
      <c r="E4220" s="12" t="inlineStr">
        <is>
          <t>N</t>
        </is>
      </c>
      <c r="F4220" s="12" t="n">
        <v>29.8</v>
      </c>
      <c r="G4220" s="17" t="n">
        <v>86387.78</v>
      </c>
      <c r="H4220" s="26" t="n">
        <v>45058</v>
      </c>
      <c r="I4220" s="26" t="n">
        <v>45060</v>
      </c>
      <c r="J4220" s="12" t="n">
        <v>29.51</v>
      </c>
      <c r="K4220" s="17" t="n">
        <v>2574355.84</v>
      </c>
      <c r="L4220" s="12" t="n">
        <v>0</v>
      </c>
      <c r="M4220" s="12" t="n">
        <v>1</v>
      </c>
      <c r="N4220" s="27">
        <f>F4220-J4220</f>
        <v/>
      </c>
      <c r="O4220" s="16">
        <f>I4220-H4220</f>
        <v/>
      </c>
      <c r="P4220" s="14">
        <f>F4220*G4220</f>
        <v/>
      </c>
      <c r="Q4220" s="14">
        <f>J4220*G4220</f>
        <v/>
      </c>
      <c r="R4220" s="14">
        <f>K4220-Q4220</f>
        <v/>
      </c>
      <c r="S4220" s="3">
        <f>P4220*Assumptions!$B$3/100</f>
        <v/>
      </c>
      <c r="T4220" s="14">
        <f>R4220-S4220</f>
        <v/>
      </c>
      <c r="U4220" s="14">
        <f>L4220*G4220</f>
        <v/>
      </c>
    </row>
    <row r="4221">
      <c r="A4221" s="12" t="inlineStr">
        <is>
          <t>PO-2023-4219</t>
        </is>
      </c>
      <c r="B4221" s="26" t="n">
        <v>44929</v>
      </c>
      <c r="C4221" s="12" t="inlineStr">
        <is>
          <t>VS15</t>
        </is>
      </c>
      <c r="D4221" s="12" t="inlineStr">
        <is>
          <t>MS Pipes</t>
        </is>
      </c>
      <c r="E4221" s="12" t="inlineStr">
        <is>
          <t>N</t>
        </is>
      </c>
      <c r="F4221" s="12" t="n">
        <v>26.09</v>
      </c>
      <c r="G4221" s="17" t="n">
        <v>59583.85</v>
      </c>
      <c r="H4221" s="26" t="n">
        <v>44943</v>
      </c>
      <c r="I4221" s="26" t="n">
        <v>44946</v>
      </c>
      <c r="J4221" s="12" t="n">
        <v>25.88</v>
      </c>
      <c r="K4221" s="17" t="n">
        <v>1554542.65</v>
      </c>
      <c r="L4221" s="12" t="n">
        <v>0</v>
      </c>
      <c r="M4221" s="12" t="n">
        <v>16</v>
      </c>
      <c r="N4221" s="27">
        <f>F4221-J4221</f>
        <v/>
      </c>
      <c r="O4221" s="16">
        <f>I4221-H4221</f>
        <v/>
      </c>
      <c r="P4221" s="14">
        <f>F4221*G4221</f>
        <v/>
      </c>
      <c r="Q4221" s="14">
        <f>J4221*G4221</f>
        <v/>
      </c>
      <c r="R4221" s="14">
        <f>K4221-Q4221</f>
        <v/>
      </c>
      <c r="S4221" s="3">
        <f>P4221*Assumptions!$B$3/100</f>
        <v/>
      </c>
      <c r="T4221" s="14">
        <f>R4221-S4221</f>
        <v/>
      </c>
      <c r="U4221" s="14">
        <f>L4221*G4221</f>
        <v/>
      </c>
    </row>
    <row r="4222">
      <c r="A4222" s="12" t="inlineStr">
        <is>
          <t>PO-2023-4220</t>
        </is>
      </c>
      <c r="B4222" s="26" t="n">
        <v>45013</v>
      </c>
      <c r="C4222" s="12" t="inlineStr">
        <is>
          <t>VS11</t>
        </is>
      </c>
      <c r="D4222" s="12" t="inlineStr">
        <is>
          <t>MS Rods</t>
        </is>
      </c>
      <c r="E4222" s="12" t="inlineStr">
        <is>
          <t>N</t>
        </is>
      </c>
      <c r="F4222" s="12" t="n">
        <v>15.49</v>
      </c>
      <c r="G4222" s="17" t="n">
        <v>67597.05</v>
      </c>
      <c r="H4222" s="26" t="n">
        <v>45028</v>
      </c>
      <c r="I4222" s="26" t="n">
        <v>45028</v>
      </c>
      <c r="J4222" s="12" t="n">
        <v>15.41</v>
      </c>
      <c r="K4222" s="17" t="n">
        <v>1047078.3</v>
      </c>
      <c r="L4222" s="12" t="n">
        <v>0</v>
      </c>
      <c r="M4222" s="12" t="n">
        <v>20</v>
      </c>
      <c r="N4222" s="27">
        <f>F4222-J4222</f>
        <v/>
      </c>
      <c r="O4222" s="16">
        <f>I4222-H4222</f>
        <v/>
      </c>
      <c r="P4222" s="14">
        <f>F4222*G4222</f>
        <v/>
      </c>
      <c r="Q4222" s="14">
        <f>J4222*G4222</f>
        <v/>
      </c>
      <c r="R4222" s="14">
        <f>K4222-Q4222</f>
        <v/>
      </c>
      <c r="S4222" s="3">
        <f>P4222*Assumptions!$B$3/100</f>
        <v/>
      </c>
      <c r="T4222" s="14">
        <f>R4222-S4222</f>
        <v/>
      </c>
      <c r="U4222" s="14">
        <f>L4222*G4222</f>
        <v/>
      </c>
    </row>
    <row r="4223">
      <c r="A4223" s="12" t="inlineStr">
        <is>
          <t>PO-2023-4221</t>
        </is>
      </c>
      <c r="B4223" s="26" t="n">
        <v>45218</v>
      </c>
      <c r="C4223" s="12" t="inlineStr">
        <is>
          <t>VS12</t>
        </is>
      </c>
      <c r="D4223" s="12" t="inlineStr">
        <is>
          <t>MS Flats</t>
        </is>
      </c>
      <c r="E4223" s="12" t="inlineStr">
        <is>
          <t>Y</t>
        </is>
      </c>
      <c r="F4223" s="12" t="n">
        <v>40.33</v>
      </c>
      <c r="G4223" s="17" t="n">
        <v>110104.18</v>
      </c>
      <c r="H4223" s="26" t="n">
        <v>45229</v>
      </c>
      <c r="I4223" s="26" t="n">
        <v>45234</v>
      </c>
      <c r="J4223" s="12" t="n">
        <v>38.92</v>
      </c>
      <c r="K4223" s="17" t="n">
        <v>4440501.58</v>
      </c>
      <c r="L4223" s="12" t="n">
        <v>0.39</v>
      </c>
      <c r="M4223" s="12" t="n">
        <v>21</v>
      </c>
      <c r="N4223" s="27">
        <f>F4223-J4223</f>
        <v/>
      </c>
      <c r="O4223" s="16">
        <f>I4223-H4223</f>
        <v/>
      </c>
      <c r="P4223" s="14">
        <f>F4223*G4223</f>
        <v/>
      </c>
      <c r="Q4223" s="14">
        <f>J4223*G4223</f>
        <v/>
      </c>
      <c r="R4223" s="14">
        <f>K4223-Q4223</f>
        <v/>
      </c>
      <c r="S4223" s="3">
        <f>P4223*Assumptions!$B$3/100</f>
        <v/>
      </c>
      <c r="T4223" s="14">
        <f>R4223-S4223</f>
        <v/>
      </c>
      <c r="U4223" s="14">
        <f>L4223*G4223</f>
        <v/>
      </c>
    </row>
    <row r="4224">
      <c r="A4224" s="12" t="inlineStr">
        <is>
          <t>PO-2023-4222</t>
        </is>
      </c>
      <c r="B4224" s="26" t="n">
        <v>44774</v>
      </c>
      <c r="C4224" s="12" t="inlineStr">
        <is>
          <t>VS12</t>
        </is>
      </c>
      <c r="D4224" s="12" t="inlineStr">
        <is>
          <t>HR Coils</t>
        </is>
      </c>
      <c r="E4224" s="12" t="inlineStr">
        <is>
          <t>Y</t>
        </is>
      </c>
      <c r="F4224" s="12" t="n">
        <v>37.45</v>
      </c>
      <c r="G4224" s="17" t="n">
        <v>117074.42</v>
      </c>
      <c r="H4224" s="26" t="n">
        <v>44779</v>
      </c>
      <c r="I4224" s="26" t="n">
        <v>44786</v>
      </c>
      <c r="J4224" s="12" t="n">
        <v>36.5</v>
      </c>
      <c r="K4224" s="17" t="n">
        <v>4384437.03</v>
      </c>
      <c r="L4224" s="12" t="n">
        <v>0.84</v>
      </c>
      <c r="M4224" s="12" t="n">
        <v>0</v>
      </c>
      <c r="N4224" s="27">
        <f>F4224-J4224</f>
        <v/>
      </c>
      <c r="O4224" s="16">
        <f>I4224-H4224</f>
        <v/>
      </c>
      <c r="P4224" s="14">
        <f>F4224*G4224</f>
        <v/>
      </c>
      <c r="Q4224" s="14">
        <f>J4224*G4224</f>
        <v/>
      </c>
      <c r="R4224" s="14">
        <f>K4224-Q4224</f>
        <v/>
      </c>
      <c r="S4224" s="3">
        <f>P4224*Assumptions!$B$3/100</f>
        <v/>
      </c>
      <c r="T4224" s="14">
        <f>R4224-S4224</f>
        <v/>
      </c>
      <c r="U4224" s="14">
        <f>L4224*G4224</f>
        <v/>
      </c>
    </row>
    <row r="4225">
      <c r="A4225" s="12" t="inlineStr">
        <is>
          <t>PO-2023-4223</t>
        </is>
      </c>
      <c r="B4225" s="26" t="n">
        <v>44632</v>
      </c>
      <c r="C4225" s="12" t="inlineStr">
        <is>
          <t>VS20</t>
        </is>
      </c>
      <c r="D4225" s="12" t="inlineStr">
        <is>
          <t>Hex Bars</t>
        </is>
      </c>
      <c r="E4225" s="12" t="inlineStr">
        <is>
          <t>N</t>
        </is>
      </c>
      <c r="F4225" s="12" t="n">
        <v>1.23</v>
      </c>
      <c r="G4225" s="17" t="n">
        <v>47393.23</v>
      </c>
      <c r="H4225" s="26" t="n">
        <v>44636</v>
      </c>
      <c r="I4225" s="26" t="n">
        <v>44638</v>
      </c>
      <c r="J4225" s="12" t="n">
        <v>1.23</v>
      </c>
      <c r="K4225" s="17" t="n">
        <v>58293.67</v>
      </c>
      <c r="L4225" s="12" t="n">
        <v>0</v>
      </c>
      <c r="M4225" s="12" t="n">
        <v>0</v>
      </c>
      <c r="N4225" s="27">
        <f>F4225-J4225</f>
        <v/>
      </c>
      <c r="O4225" s="16">
        <f>I4225-H4225</f>
        <v/>
      </c>
      <c r="P4225" s="14">
        <f>F4225*G4225</f>
        <v/>
      </c>
      <c r="Q4225" s="14">
        <f>J4225*G4225</f>
        <v/>
      </c>
      <c r="R4225" s="14">
        <f>K4225-Q4225</f>
        <v/>
      </c>
      <c r="S4225" s="3">
        <f>P4225*Assumptions!$B$3/100</f>
        <v/>
      </c>
      <c r="T4225" s="14">
        <f>R4225-S4225</f>
        <v/>
      </c>
      <c r="U4225" s="14">
        <f>L4225*G4225</f>
        <v/>
      </c>
    </row>
    <row r="4226">
      <c r="A4226" s="12" t="inlineStr">
        <is>
          <t>PO-2023-4224</t>
        </is>
      </c>
      <c r="B4226" s="26" t="n">
        <v>45127</v>
      </c>
      <c r="C4226" s="12" t="inlineStr">
        <is>
          <t>VS09</t>
        </is>
      </c>
      <c r="D4226" s="12" t="inlineStr">
        <is>
          <t>SS Sheets</t>
        </is>
      </c>
      <c r="E4226" s="12" t="inlineStr">
        <is>
          <t>N</t>
        </is>
      </c>
      <c r="F4226" s="12" t="n">
        <v>6.42</v>
      </c>
      <c r="G4226" s="17" t="n">
        <v>69824.55</v>
      </c>
      <c r="H4226" s="26" t="n">
        <v>45133</v>
      </c>
      <c r="I4226" s="26" t="n">
        <v>45134</v>
      </c>
      <c r="J4226" s="12" t="n">
        <v>6.41</v>
      </c>
      <c r="K4226" s="17" t="n">
        <v>448273.61</v>
      </c>
      <c r="L4226" s="12" t="n">
        <v>0</v>
      </c>
      <c r="M4226" s="12" t="n">
        <v>0</v>
      </c>
      <c r="N4226" s="27">
        <f>F4226-J4226</f>
        <v/>
      </c>
      <c r="O4226" s="16">
        <f>I4226-H4226</f>
        <v/>
      </c>
      <c r="P4226" s="14">
        <f>F4226*G4226</f>
        <v/>
      </c>
      <c r="Q4226" s="14">
        <f>J4226*G4226</f>
        <v/>
      </c>
      <c r="R4226" s="14">
        <f>K4226-Q4226</f>
        <v/>
      </c>
      <c r="S4226" s="3">
        <f>P4226*Assumptions!$B$3/100</f>
        <v/>
      </c>
      <c r="T4226" s="14">
        <f>R4226-S4226</f>
        <v/>
      </c>
      <c r="U4226" s="14">
        <f>L4226*G4226</f>
        <v/>
      </c>
    </row>
    <row r="4227">
      <c r="A4227" s="12" t="inlineStr">
        <is>
          <t>PO-2023-4225</t>
        </is>
      </c>
      <c r="B4227" s="26" t="n">
        <v>45012</v>
      </c>
      <c r="C4227" s="12" t="inlineStr">
        <is>
          <t>VS07</t>
        </is>
      </c>
      <c r="D4227" s="12" t="inlineStr">
        <is>
          <t>MS Flats</t>
        </is>
      </c>
      <c r="E4227" s="12" t="inlineStr">
        <is>
          <t>N</t>
        </is>
      </c>
      <c r="F4227" s="12" t="n">
        <v>27.19</v>
      </c>
      <c r="G4227" s="17" t="n">
        <v>68649.39999999999</v>
      </c>
      <c r="H4227" s="26" t="n">
        <v>45019</v>
      </c>
      <c r="I4227" s="26" t="n">
        <v>45020</v>
      </c>
      <c r="J4227" s="12" t="n">
        <v>26.98</v>
      </c>
      <c r="K4227" s="17" t="n">
        <v>1866577.19</v>
      </c>
      <c r="L4227" s="12" t="n">
        <v>0</v>
      </c>
      <c r="M4227" s="12" t="n">
        <v>20</v>
      </c>
      <c r="N4227" s="27">
        <f>F4227-J4227</f>
        <v/>
      </c>
      <c r="O4227" s="16">
        <f>I4227-H4227</f>
        <v/>
      </c>
      <c r="P4227" s="14">
        <f>F4227*G4227</f>
        <v/>
      </c>
      <c r="Q4227" s="14">
        <f>J4227*G4227</f>
        <v/>
      </c>
      <c r="R4227" s="14">
        <f>K4227-Q4227</f>
        <v/>
      </c>
      <c r="S4227" s="3">
        <f>P4227*Assumptions!$B$3/100</f>
        <v/>
      </c>
      <c r="T4227" s="14">
        <f>R4227-S4227</f>
        <v/>
      </c>
      <c r="U4227" s="14">
        <f>L4227*G4227</f>
        <v/>
      </c>
    </row>
    <row r="4228">
      <c r="A4228" s="12" t="inlineStr">
        <is>
          <t>PO-2023-4226</t>
        </is>
      </c>
      <c r="B4228" s="26" t="n">
        <v>44255</v>
      </c>
      <c r="C4228" s="12" t="inlineStr">
        <is>
          <t>VS25</t>
        </is>
      </c>
      <c r="D4228" s="12" t="inlineStr">
        <is>
          <t>MS Sheets</t>
        </is>
      </c>
      <c r="E4228" s="12" t="inlineStr">
        <is>
          <t>Y</t>
        </is>
      </c>
      <c r="F4228" s="12" t="n">
        <v>41.87</v>
      </c>
      <c r="G4228" s="17" t="n">
        <v>87232.47</v>
      </c>
      <c r="H4228" s="26" t="n">
        <v>44264</v>
      </c>
      <c r="I4228" s="26" t="n">
        <v>44265</v>
      </c>
      <c r="J4228" s="12" t="n">
        <v>41.59</v>
      </c>
      <c r="K4228" s="17" t="n">
        <v>3652423.52</v>
      </c>
      <c r="L4228" s="12" t="n">
        <v>0</v>
      </c>
      <c r="M4228" s="12" t="n">
        <v>14</v>
      </c>
      <c r="N4228" s="27">
        <f>F4228-J4228</f>
        <v/>
      </c>
      <c r="O4228" s="16">
        <f>I4228-H4228</f>
        <v/>
      </c>
      <c r="P4228" s="14">
        <f>F4228*G4228</f>
        <v/>
      </c>
      <c r="Q4228" s="14">
        <f>J4228*G4228</f>
        <v/>
      </c>
      <c r="R4228" s="14">
        <f>K4228-Q4228</f>
        <v/>
      </c>
      <c r="S4228" s="3">
        <f>P4228*Assumptions!$B$3/100</f>
        <v/>
      </c>
      <c r="T4228" s="14">
        <f>R4228-S4228</f>
        <v/>
      </c>
      <c r="U4228" s="14">
        <f>L4228*G4228</f>
        <v/>
      </c>
    </row>
    <row r="4229">
      <c r="A4229" s="12" t="inlineStr">
        <is>
          <t>PO-2023-4227</t>
        </is>
      </c>
      <c r="B4229" s="26" t="n">
        <v>44227</v>
      </c>
      <c r="C4229" s="12" t="inlineStr">
        <is>
          <t>VS11</t>
        </is>
      </c>
      <c r="D4229" s="12" t="inlineStr">
        <is>
          <t>CR Sheets</t>
        </is>
      </c>
      <c r="E4229" s="12" t="inlineStr">
        <is>
          <t>N</t>
        </is>
      </c>
      <c r="F4229" s="12" t="n">
        <v>9.06</v>
      </c>
      <c r="G4229" s="17" t="n">
        <v>78913.38</v>
      </c>
      <c r="H4229" s="26" t="n">
        <v>44233</v>
      </c>
      <c r="I4229" s="26" t="n">
        <v>44236</v>
      </c>
      <c r="J4229" s="12" t="n">
        <v>8.98</v>
      </c>
      <c r="K4229" s="17" t="n">
        <v>714955.22</v>
      </c>
      <c r="L4229" s="12" t="n">
        <v>0</v>
      </c>
      <c r="M4229" s="12" t="n">
        <v>23</v>
      </c>
      <c r="N4229" s="27">
        <f>F4229-J4229</f>
        <v/>
      </c>
      <c r="O4229" s="16">
        <f>I4229-H4229</f>
        <v/>
      </c>
      <c r="P4229" s="14">
        <f>F4229*G4229</f>
        <v/>
      </c>
      <c r="Q4229" s="14">
        <f>J4229*G4229</f>
        <v/>
      </c>
      <c r="R4229" s="14">
        <f>K4229-Q4229</f>
        <v/>
      </c>
      <c r="S4229" s="3">
        <f>P4229*Assumptions!$B$3/100</f>
        <v/>
      </c>
      <c r="T4229" s="14">
        <f>R4229-S4229</f>
        <v/>
      </c>
      <c r="U4229" s="14">
        <f>L4229*G4229</f>
        <v/>
      </c>
    </row>
    <row r="4230">
      <c r="A4230" s="12" t="inlineStr">
        <is>
          <t>PO-2023-4228</t>
        </is>
      </c>
      <c r="B4230" s="26" t="n">
        <v>44633</v>
      </c>
      <c r="C4230" s="12" t="inlineStr">
        <is>
          <t>VS15</t>
        </is>
      </c>
      <c r="D4230" s="12" t="inlineStr">
        <is>
          <t>Square/Rect Tubes</t>
        </is>
      </c>
      <c r="E4230" s="12" t="inlineStr">
        <is>
          <t>N</t>
        </is>
      </c>
      <c r="F4230" s="12" t="n">
        <v>31.41</v>
      </c>
      <c r="G4230" s="17" t="n">
        <v>70345.28</v>
      </c>
      <c r="H4230" s="26" t="n">
        <v>44645</v>
      </c>
      <c r="I4230" s="26" t="n">
        <v>44646</v>
      </c>
      <c r="J4230" s="12" t="n">
        <v>31.26</v>
      </c>
      <c r="K4230" s="17" t="n">
        <v>2209545.24</v>
      </c>
      <c r="L4230" s="12" t="n">
        <v>0</v>
      </c>
      <c r="M4230" s="12" t="n">
        <v>0</v>
      </c>
      <c r="N4230" s="27">
        <f>F4230-J4230</f>
        <v/>
      </c>
      <c r="O4230" s="16">
        <f>I4230-H4230</f>
        <v/>
      </c>
      <c r="P4230" s="14">
        <f>F4230*G4230</f>
        <v/>
      </c>
      <c r="Q4230" s="14">
        <f>J4230*G4230</f>
        <v/>
      </c>
      <c r="R4230" s="14">
        <f>K4230-Q4230</f>
        <v/>
      </c>
      <c r="S4230" s="3">
        <f>P4230*Assumptions!$B$3/100</f>
        <v/>
      </c>
      <c r="T4230" s="14">
        <f>R4230-S4230</f>
        <v/>
      </c>
      <c r="U4230" s="14">
        <f>L4230*G4230</f>
        <v/>
      </c>
    </row>
    <row r="4231">
      <c r="A4231" s="12" t="inlineStr">
        <is>
          <t>PO-2023-4229</t>
        </is>
      </c>
      <c r="B4231" s="26" t="n">
        <v>44793</v>
      </c>
      <c r="C4231" s="12" t="inlineStr">
        <is>
          <t>VS23</t>
        </is>
      </c>
      <c r="D4231" s="12" t="inlineStr">
        <is>
          <t>MS Sheets</t>
        </is>
      </c>
      <c r="E4231" s="12" t="inlineStr">
        <is>
          <t>N</t>
        </is>
      </c>
      <c r="F4231" s="12" t="n">
        <v>46.61</v>
      </c>
      <c r="G4231" s="17" t="n">
        <v>108624.26</v>
      </c>
      <c r="H4231" s="26" t="n">
        <v>44801</v>
      </c>
      <c r="I4231" s="26" t="n">
        <v>44804</v>
      </c>
      <c r="J4231" s="12" t="n">
        <v>46.2</v>
      </c>
      <c r="K4231" s="17" t="n">
        <v>5062976.76</v>
      </c>
      <c r="L4231" s="12" t="n">
        <v>0</v>
      </c>
      <c r="M4231" s="12" t="n">
        <v>25</v>
      </c>
      <c r="N4231" s="27">
        <f>F4231-J4231</f>
        <v/>
      </c>
      <c r="O4231" s="16">
        <f>I4231-H4231</f>
        <v/>
      </c>
      <c r="P4231" s="14">
        <f>F4231*G4231</f>
        <v/>
      </c>
      <c r="Q4231" s="14">
        <f>J4231*G4231</f>
        <v/>
      </c>
      <c r="R4231" s="14">
        <f>K4231-Q4231</f>
        <v/>
      </c>
      <c r="S4231" s="3">
        <f>P4231*Assumptions!$B$3/100</f>
        <v/>
      </c>
      <c r="T4231" s="14">
        <f>R4231-S4231</f>
        <v/>
      </c>
      <c r="U4231" s="14">
        <f>L4231*G4231</f>
        <v/>
      </c>
    </row>
    <row r="4232">
      <c r="A4232" s="12" t="inlineStr">
        <is>
          <t>PO-2023-4230</t>
        </is>
      </c>
      <c r="B4232" s="26" t="n">
        <v>44482</v>
      </c>
      <c r="C4232" s="12" t="inlineStr">
        <is>
          <t>VS34</t>
        </is>
      </c>
      <c r="D4232" s="12" t="inlineStr">
        <is>
          <t>MS Rods</t>
        </is>
      </c>
      <c r="E4232" s="12" t="inlineStr">
        <is>
          <t>N</t>
        </is>
      </c>
      <c r="F4232" s="12" t="n">
        <v>12.09</v>
      </c>
      <c r="G4232" s="17" t="n">
        <v>65965.06</v>
      </c>
      <c r="H4232" s="26" t="n">
        <v>44487</v>
      </c>
      <c r="I4232" s="26" t="n">
        <v>44490</v>
      </c>
      <c r="J4232" s="12" t="n">
        <v>12.05</v>
      </c>
      <c r="K4232" s="17" t="n">
        <v>797517.58</v>
      </c>
      <c r="L4232" s="12" t="n">
        <v>0</v>
      </c>
      <c r="M4232" s="12" t="n">
        <v>0</v>
      </c>
      <c r="N4232" s="27">
        <f>F4232-J4232</f>
        <v/>
      </c>
      <c r="O4232" s="16">
        <f>I4232-H4232</f>
        <v/>
      </c>
      <c r="P4232" s="14">
        <f>F4232*G4232</f>
        <v/>
      </c>
      <c r="Q4232" s="14">
        <f>J4232*G4232</f>
        <v/>
      </c>
      <c r="R4232" s="14">
        <f>K4232-Q4232</f>
        <v/>
      </c>
      <c r="S4232" s="3">
        <f>P4232*Assumptions!$B$3/100</f>
        <v/>
      </c>
      <c r="T4232" s="14">
        <f>R4232-S4232</f>
        <v/>
      </c>
      <c r="U4232" s="14">
        <f>L4232*G4232</f>
        <v/>
      </c>
    </row>
    <row r="4233">
      <c r="A4233" s="12" t="inlineStr">
        <is>
          <t>PO-2023-4231</t>
        </is>
      </c>
      <c r="B4233" s="26" t="n">
        <v>45088</v>
      </c>
      <c r="C4233" s="12" t="inlineStr">
        <is>
          <t>VS26</t>
        </is>
      </c>
      <c r="D4233" s="12" t="inlineStr">
        <is>
          <t>MS Sheets</t>
        </is>
      </c>
      <c r="E4233" s="12" t="inlineStr">
        <is>
          <t>N</t>
        </is>
      </c>
      <c r="F4233" s="12" t="n">
        <v>45.34</v>
      </c>
      <c r="G4233" s="17" t="n">
        <v>96761.89</v>
      </c>
      <c r="H4233" s="26" t="n">
        <v>45100</v>
      </c>
      <c r="I4233" s="26" t="n">
        <v>45100</v>
      </c>
      <c r="J4233" s="12" t="n">
        <v>44.97</v>
      </c>
      <c r="K4233" s="17" t="n">
        <v>4387184.09</v>
      </c>
      <c r="L4233" s="12" t="n">
        <v>0</v>
      </c>
      <c r="M4233" s="12" t="n">
        <v>0</v>
      </c>
      <c r="N4233" s="27">
        <f>F4233-J4233</f>
        <v/>
      </c>
      <c r="O4233" s="16">
        <f>I4233-H4233</f>
        <v/>
      </c>
      <c r="P4233" s="14">
        <f>F4233*G4233</f>
        <v/>
      </c>
      <c r="Q4233" s="14">
        <f>J4233*G4233</f>
        <v/>
      </c>
      <c r="R4233" s="14">
        <f>K4233-Q4233</f>
        <v/>
      </c>
      <c r="S4233" s="3">
        <f>P4233*Assumptions!$B$3/100</f>
        <v/>
      </c>
      <c r="T4233" s="14">
        <f>R4233-S4233</f>
        <v/>
      </c>
      <c r="U4233" s="14">
        <f>L4233*G4233</f>
        <v/>
      </c>
    </row>
    <row r="4234">
      <c r="A4234" s="12" t="inlineStr">
        <is>
          <t>PO-2023-4232</t>
        </is>
      </c>
      <c r="B4234" s="26" t="n">
        <v>44382</v>
      </c>
      <c r="C4234" s="12" t="inlineStr">
        <is>
          <t>VS29</t>
        </is>
      </c>
      <c r="D4234" s="12" t="inlineStr">
        <is>
          <t>MS Sheets</t>
        </is>
      </c>
      <c r="E4234" s="12" t="inlineStr">
        <is>
          <t>N</t>
        </is>
      </c>
      <c r="F4234" s="12" t="n">
        <v>5.86</v>
      </c>
      <c r="G4234" s="17" t="n">
        <v>67161.81</v>
      </c>
      <c r="H4234" s="26" t="n">
        <v>44387</v>
      </c>
      <c r="I4234" s="26" t="n">
        <v>44390</v>
      </c>
      <c r="J4234" s="12" t="n">
        <v>5.84</v>
      </c>
      <c r="K4234" s="17" t="n">
        <v>393568.21</v>
      </c>
      <c r="L4234" s="12" t="n">
        <v>0</v>
      </c>
      <c r="M4234" s="12" t="n">
        <v>0</v>
      </c>
      <c r="N4234" s="27">
        <f>F4234-J4234</f>
        <v/>
      </c>
      <c r="O4234" s="16">
        <f>I4234-H4234</f>
        <v/>
      </c>
      <c r="P4234" s="14">
        <f>F4234*G4234</f>
        <v/>
      </c>
      <c r="Q4234" s="14">
        <f>J4234*G4234</f>
        <v/>
      </c>
      <c r="R4234" s="14">
        <f>K4234-Q4234</f>
        <v/>
      </c>
      <c r="S4234" s="3">
        <f>P4234*Assumptions!$B$3/100</f>
        <v/>
      </c>
      <c r="T4234" s="14">
        <f>R4234-S4234</f>
        <v/>
      </c>
      <c r="U4234" s="14">
        <f>L4234*G4234</f>
        <v/>
      </c>
    </row>
    <row r="4235">
      <c r="A4235" s="12" t="inlineStr">
        <is>
          <t>PO-2023-4233</t>
        </is>
      </c>
      <c r="B4235" s="26" t="n">
        <v>44481</v>
      </c>
      <c r="C4235" s="12" t="inlineStr">
        <is>
          <t>VS09</t>
        </is>
      </c>
      <c r="D4235" s="12" t="inlineStr">
        <is>
          <t>MS Pipes</t>
        </is>
      </c>
      <c r="E4235" s="12" t="inlineStr">
        <is>
          <t>N</t>
        </is>
      </c>
      <c r="F4235" s="12" t="n">
        <v>15.8</v>
      </c>
      <c r="G4235" s="17" t="n">
        <v>75545.32000000001</v>
      </c>
      <c r="H4235" s="26" t="n">
        <v>44492</v>
      </c>
      <c r="I4235" s="26" t="n">
        <v>44493</v>
      </c>
      <c r="J4235" s="12" t="n">
        <v>15.66</v>
      </c>
      <c r="K4235" s="17" t="n">
        <v>1193616.06</v>
      </c>
      <c r="L4235" s="12" t="n">
        <v>0</v>
      </c>
      <c r="M4235" s="12" t="n">
        <v>0</v>
      </c>
      <c r="N4235" s="27">
        <f>F4235-J4235</f>
        <v/>
      </c>
      <c r="O4235" s="16">
        <f>I4235-H4235</f>
        <v/>
      </c>
      <c r="P4235" s="14">
        <f>F4235*G4235</f>
        <v/>
      </c>
      <c r="Q4235" s="14">
        <f>J4235*G4235</f>
        <v/>
      </c>
      <c r="R4235" s="14">
        <f>K4235-Q4235</f>
        <v/>
      </c>
      <c r="S4235" s="3">
        <f>P4235*Assumptions!$B$3/100</f>
        <v/>
      </c>
      <c r="T4235" s="14">
        <f>R4235-S4235</f>
        <v/>
      </c>
      <c r="U4235" s="14">
        <f>L4235*G4235</f>
        <v/>
      </c>
    </row>
    <row r="4236">
      <c r="A4236" s="12" t="inlineStr">
        <is>
          <t>PO-2023-4234</t>
        </is>
      </c>
      <c r="B4236" s="26" t="n">
        <v>44559</v>
      </c>
      <c r="C4236" s="12" t="inlineStr">
        <is>
          <t>VS08</t>
        </is>
      </c>
      <c r="D4236" s="12" t="inlineStr">
        <is>
          <t>Angles &amp; Channels</t>
        </is>
      </c>
      <c r="E4236" s="12" t="inlineStr">
        <is>
          <t>Y</t>
        </is>
      </c>
      <c r="F4236" s="12" t="n">
        <v>34.54</v>
      </c>
      <c r="G4236" s="17" t="n">
        <v>89275.52</v>
      </c>
      <c r="H4236" s="26" t="n">
        <v>44568</v>
      </c>
      <c r="I4236" s="26" t="n">
        <v>44571</v>
      </c>
      <c r="J4236" s="12" t="n">
        <v>34.27</v>
      </c>
      <c r="K4236" s="17" t="n">
        <v>3083576.46</v>
      </c>
      <c r="L4236" s="12" t="n">
        <v>0</v>
      </c>
      <c r="M4236" s="12" t="n">
        <v>0</v>
      </c>
      <c r="N4236" s="27">
        <f>F4236-J4236</f>
        <v/>
      </c>
      <c r="O4236" s="16">
        <f>I4236-H4236</f>
        <v/>
      </c>
      <c r="P4236" s="14">
        <f>F4236*G4236</f>
        <v/>
      </c>
      <c r="Q4236" s="14">
        <f>J4236*G4236</f>
        <v/>
      </c>
      <c r="R4236" s="14">
        <f>K4236-Q4236</f>
        <v/>
      </c>
      <c r="S4236" s="3">
        <f>P4236*Assumptions!$B$3/100</f>
        <v/>
      </c>
      <c r="T4236" s="14">
        <f>R4236-S4236</f>
        <v/>
      </c>
      <c r="U4236" s="14">
        <f>L4236*G4236</f>
        <v/>
      </c>
    </row>
    <row r="4237">
      <c r="A4237" s="12" t="inlineStr">
        <is>
          <t>PO-2023-4235</t>
        </is>
      </c>
      <c r="B4237" s="26" t="n">
        <v>44980</v>
      </c>
      <c r="C4237" s="12" t="inlineStr">
        <is>
          <t>VS14</t>
        </is>
      </c>
      <c r="D4237" s="12" t="inlineStr">
        <is>
          <t>Structural Steel</t>
        </is>
      </c>
      <c r="E4237" s="12" t="inlineStr">
        <is>
          <t>Y</t>
        </is>
      </c>
      <c r="F4237" s="12" t="n">
        <v>43.06</v>
      </c>
      <c r="G4237" s="17" t="n">
        <v>107565.96</v>
      </c>
      <c r="H4237" s="26" t="n">
        <v>44989</v>
      </c>
      <c r="I4237" s="26" t="n">
        <v>44991</v>
      </c>
      <c r="J4237" s="12" t="n">
        <v>42.71</v>
      </c>
      <c r="K4237" s="17" t="n">
        <v>4631790.24</v>
      </c>
      <c r="L4237" s="12" t="n">
        <v>0</v>
      </c>
      <c r="M4237" s="12" t="n">
        <v>22</v>
      </c>
      <c r="N4237" s="27">
        <f>F4237-J4237</f>
        <v/>
      </c>
      <c r="O4237" s="16">
        <f>I4237-H4237</f>
        <v/>
      </c>
      <c r="P4237" s="14">
        <f>F4237*G4237</f>
        <v/>
      </c>
      <c r="Q4237" s="14">
        <f>J4237*G4237</f>
        <v/>
      </c>
      <c r="R4237" s="14">
        <f>K4237-Q4237</f>
        <v/>
      </c>
      <c r="S4237" s="3">
        <f>P4237*Assumptions!$B$3/100</f>
        <v/>
      </c>
      <c r="T4237" s="14">
        <f>R4237-S4237</f>
        <v/>
      </c>
      <c r="U4237" s="14">
        <f>L4237*G4237</f>
        <v/>
      </c>
    </row>
    <row r="4238">
      <c r="A4238" s="12" t="inlineStr">
        <is>
          <t>PO-2023-4236</t>
        </is>
      </c>
      <c r="B4238" s="26" t="n">
        <v>44650</v>
      </c>
      <c r="C4238" s="12" t="inlineStr">
        <is>
          <t>VS09</t>
        </is>
      </c>
      <c r="D4238" s="12" t="inlineStr">
        <is>
          <t>Angles &amp; Channels</t>
        </is>
      </c>
      <c r="E4238" s="12" t="inlineStr">
        <is>
          <t>N</t>
        </is>
      </c>
      <c r="F4238" s="12" t="n">
        <v>37.82</v>
      </c>
      <c r="G4238" s="17" t="n">
        <v>117838.24</v>
      </c>
      <c r="H4238" s="26" t="n">
        <v>44654</v>
      </c>
      <c r="I4238" s="26" t="n">
        <v>44656</v>
      </c>
      <c r="J4238" s="12" t="n">
        <v>37.72</v>
      </c>
      <c r="K4238" s="17" t="n">
        <v>4456642.24</v>
      </c>
      <c r="L4238" s="12" t="n">
        <v>0</v>
      </c>
      <c r="M4238" s="12" t="n">
        <v>0</v>
      </c>
      <c r="N4238" s="27">
        <f>F4238-J4238</f>
        <v/>
      </c>
      <c r="O4238" s="16">
        <f>I4238-H4238</f>
        <v/>
      </c>
      <c r="P4238" s="14">
        <f>F4238*G4238</f>
        <v/>
      </c>
      <c r="Q4238" s="14">
        <f>J4238*G4238</f>
        <v/>
      </c>
      <c r="R4238" s="14">
        <f>K4238-Q4238</f>
        <v/>
      </c>
      <c r="S4238" s="3">
        <f>P4238*Assumptions!$B$3/100</f>
        <v/>
      </c>
      <c r="T4238" s="14">
        <f>R4238-S4238</f>
        <v/>
      </c>
      <c r="U4238" s="14">
        <f>L4238*G4238</f>
        <v/>
      </c>
    </row>
    <row r="4239">
      <c r="A4239" s="12" t="inlineStr">
        <is>
          <t>PO-2023-4237</t>
        </is>
      </c>
      <c r="B4239" s="26" t="n">
        <v>44669</v>
      </c>
      <c r="C4239" s="12" t="inlineStr">
        <is>
          <t>VS11</t>
        </is>
      </c>
      <c r="D4239" s="12" t="inlineStr">
        <is>
          <t>Hex Bars</t>
        </is>
      </c>
      <c r="E4239" s="12" t="inlineStr">
        <is>
          <t>N</t>
        </is>
      </c>
      <c r="F4239" s="12" t="n">
        <v>3.21</v>
      </c>
      <c r="G4239" s="17" t="n">
        <v>84872.91</v>
      </c>
      <c r="H4239" s="26" t="n">
        <v>44677</v>
      </c>
      <c r="I4239" s="26" t="n">
        <v>44679</v>
      </c>
      <c r="J4239" s="12" t="n">
        <v>3.18</v>
      </c>
      <c r="K4239" s="17" t="n">
        <v>272442.04</v>
      </c>
      <c r="L4239" s="12" t="n">
        <v>0</v>
      </c>
      <c r="M4239" s="12" t="n">
        <v>18</v>
      </c>
      <c r="N4239" s="27">
        <f>F4239-J4239</f>
        <v/>
      </c>
      <c r="O4239" s="16">
        <f>I4239-H4239</f>
        <v/>
      </c>
      <c r="P4239" s="14">
        <f>F4239*G4239</f>
        <v/>
      </c>
      <c r="Q4239" s="14">
        <f>J4239*G4239</f>
        <v/>
      </c>
      <c r="R4239" s="14">
        <f>K4239-Q4239</f>
        <v/>
      </c>
      <c r="S4239" s="3">
        <f>P4239*Assumptions!$B$3/100</f>
        <v/>
      </c>
      <c r="T4239" s="14">
        <f>R4239-S4239</f>
        <v/>
      </c>
      <c r="U4239" s="14">
        <f>L4239*G4239</f>
        <v/>
      </c>
    </row>
    <row r="4240">
      <c r="A4240" s="12" t="inlineStr">
        <is>
          <t>PO-2023-4238</t>
        </is>
      </c>
      <c r="B4240" s="26" t="n">
        <v>44212</v>
      </c>
      <c r="C4240" s="12" t="inlineStr">
        <is>
          <t>VS12</t>
        </is>
      </c>
      <c r="D4240" s="12" t="inlineStr">
        <is>
          <t>Square/Rect Tubes</t>
        </is>
      </c>
      <c r="E4240" s="12" t="inlineStr">
        <is>
          <t>N</t>
        </is>
      </c>
      <c r="F4240" s="12" t="n">
        <v>3.21</v>
      </c>
      <c r="G4240" s="17" t="n">
        <v>54227.13</v>
      </c>
      <c r="H4240" s="26" t="n">
        <v>44224</v>
      </c>
      <c r="I4240" s="26" t="n">
        <v>44229</v>
      </c>
      <c r="J4240" s="12" t="n">
        <v>3.07</v>
      </c>
      <c r="K4240" s="17" t="n">
        <v>174069.09</v>
      </c>
      <c r="L4240" s="12" t="n">
        <v>0.06</v>
      </c>
      <c r="M4240" s="12" t="n">
        <v>0</v>
      </c>
      <c r="N4240" s="27">
        <f>F4240-J4240</f>
        <v/>
      </c>
      <c r="O4240" s="16">
        <f>I4240-H4240</f>
        <v/>
      </c>
      <c r="P4240" s="14">
        <f>F4240*G4240</f>
        <v/>
      </c>
      <c r="Q4240" s="14">
        <f>J4240*G4240</f>
        <v/>
      </c>
      <c r="R4240" s="14">
        <f>K4240-Q4240</f>
        <v/>
      </c>
      <c r="S4240" s="3">
        <f>P4240*Assumptions!$B$3/100</f>
        <v/>
      </c>
      <c r="T4240" s="14">
        <f>R4240-S4240</f>
        <v/>
      </c>
      <c r="U4240" s="14">
        <f>L4240*G4240</f>
        <v/>
      </c>
    </row>
    <row r="4241">
      <c r="A4241" s="12" t="inlineStr">
        <is>
          <t>PO-2023-4239</t>
        </is>
      </c>
      <c r="B4241" s="26" t="n">
        <v>44296</v>
      </c>
      <c r="C4241" s="12" t="inlineStr">
        <is>
          <t>VS07</t>
        </is>
      </c>
      <c r="D4241" s="12" t="inlineStr">
        <is>
          <t>HR Coils</t>
        </is>
      </c>
      <c r="E4241" s="12" t="inlineStr">
        <is>
          <t>N</t>
        </is>
      </c>
      <c r="F4241" s="12" t="n">
        <v>32.51</v>
      </c>
      <c r="G4241" s="17" t="n">
        <v>60873.48</v>
      </c>
      <c r="H4241" s="26" t="n">
        <v>44308</v>
      </c>
      <c r="I4241" s="26" t="n">
        <v>44311</v>
      </c>
      <c r="J4241" s="12" t="n">
        <v>32.21</v>
      </c>
      <c r="K4241" s="17" t="n">
        <v>1978996.83</v>
      </c>
      <c r="L4241" s="12" t="n">
        <v>0</v>
      </c>
      <c r="M4241" s="12" t="n">
        <v>0</v>
      </c>
      <c r="N4241" s="27">
        <f>F4241-J4241</f>
        <v/>
      </c>
      <c r="O4241" s="16">
        <f>I4241-H4241</f>
        <v/>
      </c>
      <c r="P4241" s="14">
        <f>F4241*G4241</f>
        <v/>
      </c>
      <c r="Q4241" s="14">
        <f>J4241*G4241</f>
        <v/>
      </c>
      <c r="R4241" s="14">
        <f>K4241-Q4241</f>
        <v/>
      </c>
      <c r="S4241" s="3">
        <f>P4241*Assumptions!$B$3/100</f>
        <v/>
      </c>
      <c r="T4241" s="14">
        <f>R4241-S4241</f>
        <v/>
      </c>
      <c r="U4241" s="14">
        <f>L4241*G4241</f>
        <v/>
      </c>
    </row>
    <row r="4242">
      <c r="A4242" s="12" t="inlineStr">
        <is>
          <t>PO-2023-4240</t>
        </is>
      </c>
      <c r="B4242" s="26" t="n">
        <v>44659</v>
      </c>
      <c r="C4242" s="12" t="inlineStr">
        <is>
          <t>VS32</t>
        </is>
      </c>
      <c r="D4242" s="12" t="inlineStr">
        <is>
          <t>Structural Steel</t>
        </is>
      </c>
      <c r="E4242" s="12" t="inlineStr">
        <is>
          <t>N</t>
        </is>
      </c>
      <c r="F4242" s="12" t="n">
        <v>5.15</v>
      </c>
      <c r="G4242" s="17" t="n">
        <v>49634.56</v>
      </c>
      <c r="H4242" s="26" t="n">
        <v>44662</v>
      </c>
      <c r="I4242" s="26" t="n">
        <v>44664</v>
      </c>
      <c r="J4242" s="12" t="n">
        <v>5.11</v>
      </c>
      <c r="K4242" s="17" t="n">
        <v>255617.98</v>
      </c>
      <c r="L4242" s="12" t="n">
        <v>0</v>
      </c>
      <c r="M4242" s="12" t="n">
        <v>0</v>
      </c>
      <c r="N4242" s="27">
        <f>F4242-J4242</f>
        <v/>
      </c>
      <c r="O4242" s="16">
        <f>I4242-H4242</f>
        <v/>
      </c>
      <c r="P4242" s="14">
        <f>F4242*G4242</f>
        <v/>
      </c>
      <c r="Q4242" s="14">
        <f>J4242*G4242</f>
        <v/>
      </c>
      <c r="R4242" s="14">
        <f>K4242-Q4242</f>
        <v/>
      </c>
      <c r="S4242" s="3">
        <f>P4242*Assumptions!$B$3/100</f>
        <v/>
      </c>
      <c r="T4242" s="14">
        <f>R4242-S4242</f>
        <v/>
      </c>
      <c r="U4242" s="14">
        <f>L4242*G4242</f>
        <v/>
      </c>
    </row>
    <row r="4243">
      <c r="A4243" s="12" t="inlineStr">
        <is>
          <t>PO-2023-4241</t>
        </is>
      </c>
      <c r="B4243" s="26" t="n">
        <v>44241</v>
      </c>
      <c r="C4243" s="12" t="inlineStr">
        <is>
          <t>VS12</t>
        </is>
      </c>
      <c r="D4243" s="12" t="inlineStr">
        <is>
          <t>MS Flats</t>
        </is>
      </c>
      <c r="E4243" s="12" t="inlineStr">
        <is>
          <t>Y</t>
        </is>
      </c>
      <c r="F4243" s="12" t="n">
        <v>22.08</v>
      </c>
      <c r="G4243" s="17" t="n">
        <v>76189.06</v>
      </c>
      <c r="H4243" s="26" t="n">
        <v>44246</v>
      </c>
      <c r="I4243" s="26" t="n">
        <v>44252</v>
      </c>
      <c r="J4243" s="12" t="n">
        <v>21.07</v>
      </c>
      <c r="K4243" s="17" t="n">
        <v>1682254.44</v>
      </c>
      <c r="L4243" s="12" t="n">
        <v>1.01</v>
      </c>
      <c r="M4243" s="12" t="n">
        <v>0</v>
      </c>
      <c r="N4243" s="27">
        <f>F4243-J4243</f>
        <v/>
      </c>
      <c r="O4243" s="16">
        <f>I4243-H4243</f>
        <v/>
      </c>
      <c r="P4243" s="14">
        <f>F4243*G4243</f>
        <v/>
      </c>
      <c r="Q4243" s="14">
        <f>J4243*G4243</f>
        <v/>
      </c>
      <c r="R4243" s="14">
        <f>K4243-Q4243</f>
        <v/>
      </c>
      <c r="S4243" s="3">
        <f>P4243*Assumptions!$B$3/100</f>
        <v/>
      </c>
      <c r="T4243" s="14">
        <f>R4243-S4243</f>
        <v/>
      </c>
      <c r="U4243" s="14">
        <f>L4243*G4243</f>
        <v/>
      </c>
    </row>
    <row r="4244">
      <c r="A4244" s="12" t="inlineStr">
        <is>
          <t>PO-2023-4242</t>
        </is>
      </c>
      <c r="B4244" s="26" t="n">
        <v>44894</v>
      </c>
      <c r="C4244" s="12" t="inlineStr">
        <is>
          <t>VS25</t>
        </is>
      </c>
      <c r="D4244" s="12" t="inlineStr">
        <is>
          <t>CR Sheets</t>
        </is>
      </c>
      <c r="E4244" s="12" t="inlineStr">
        <is>
          <t>Y</t>
        </is>
      </c>
      <c r="F4244" s="12" t="n">
        <v>35.3</v>
      </c>
      <c r="G4244" s="17" t="n">
        <v>49799.28</v>
      </c>
      <c r="H4244" s="26" t="n">
        <v>44908</v>
      </c>
      <c r="I4244" s="26" t="n">
        <v>44909</v>
      </c>
      <c r="J4244" s="12" t="n">
        <v>35.28</v>
      </c>
      <c r="K4244" s="17" t="n">
        <v>1757914.58</v>
      </c>
      <c r="L4244" s="12" t="n">
        <v>0</v>
      </c>
      <c r="M4244" s="12" t="n">
        <v>6</v>
      </c>
      <c r="N4244" s="27">
        <f>F4244-J4244</f>
        <v/>
      </c>
      <c r="O4244" s="16">
        <f>I4244-H4244</f>
        <v/>
      </c>
      <c r="P4244" s="14">
        <f>F4244*G4244</f>
        <v/>
      </c>
      <c r="Q4244" s="14">
        <f>J4244*G4244</f>
        <v/>
      </c>
      <c r="R4244" s="14">
        <f>K4244-Q4244</f>
        <v/>
      </c>
      <c r="S4244" s="3">
        <f>P4244*Assumptions!$B$3/100</f>
        <v/>
      </c>
      <c r="T4244" s="14">
        <f>R4244-S4244</f>
        <v/>
      </c>
      <c r="U4244" s="14">
        <f>L4244*G4244</f>
        <v/>
      </c>
    </row>
    <row r="4245">
      <c r="A4245" s="12" t="inlineStr">
        <is>
          <t>PO-2023-4243</t>
        </is>
      </c>
      <c r="B4245" s="26" t="n">
        <v>44951</v>
      </c>
      <c r="C4245" s="12" t="inlineStr">
        <is>
          <t>VS23</t>
        </is>
      </c>
      <c r="D4245" s="12" t="inlineStr">
        <is>
          <t>SS Sheets</t>
        </is>
      </c>
      <c r="E4245" s="12" t="inlineStr">
        <is>
          <t>N</t>
        </is>
      </c>
      <c r="F4245" s="12" t="n">
        <v>1.12</v>
      </c>
      <c r="G4245" s="17" t="n">
        <v>78712.28</v>
      </c>
      <c r="H4245" s="26" t="n">
        <v>44963</v>
      </c>
      <c r="I4245" s="26" t="n">
        <v>44963</v>
      </c>
      <c r="J4245" s="12" t="n">
        <v>1.12</v>
      </c>
      <c r="K4245" s="17" t="n">
        <v>88157.75</v>
      </c>
      <c r="L4245" s="12" t="n">
        <v>0</v>
      </c>
      <c r="M4245" s="12" t="n">
        <v>11</v>
      </c>
      <c r="N4245" s="27">
        <f>F4245-J4245</f>
        <v/>
      </c>
      <c r="O4245" s="16">
        <f>I4245-H4245</f>
        <v/>
      </c>
      <c r="P4245" s="14">
        <f>F4245*G4245</f>
        <v/>
      </c>
      <c r="Q4245" s="14">
        <f>J4245*G4245</f>
        <v/>
      </c>
      <c r="R4245" s="14">
        <f>K4245-Q4245</f>
        <v/>
      </c>
      <c r="S4245" s="3">
        <f>P4245*Assumptions!$B$3/100</f>
        <v/>
      </c>
      <c r="T4245" s="14">
        <f>R4245-S4245</f>
        <v/>
      </c>
      <c r="U4245" s="14">
        <f>L4245*G4245</f>
        <v/>
      </c>
    </row>
    <row r="4246">
      <c r="A4246" s="12" t="inlineStr">
        <is>
          <t>PO-2023-4244</t>
        </is>
      </c>
      <c r="B4246" s="26" t="n">
        <v>44489</v>
      </c>
      <c r="C4246" s="12" t="inlineStr">
        <is>
          <t>VS15</t>
        </is>
      </c>
      <c r="D4246" s="12" t="inlineStr">
        <is>
          <t>MS Pipes</t>
        </is>
      </c>
      <c r="E4246" s="12" t="inlineStr">
        <is>
          <t>N</t>
        </is>
      </c>
      <c r="F4246" s="12" t="n">
        <v>15</v>
      </c>
      <c r="G4246" s="17" t="n">
        <v>103472.7</v>
      </c>
      <c r="H4246" s="26" t="n">
        <v>44503</v>
      </c>
      <c r="I4246" s="26" t="n">
        <v>44505</v>
      </c>
      <c r="J4246" s="12" t="n">
        <v>14.9</v>
      </c>
      <c r="K4246" s="17" t="n">
        <v>1552090.5</v>
      </c>
      <c r="L4246" s="12" t="n">
        <v>0</v>
      </c>
      <c r="M4246" s="12" t="n">
        <v>5</v>
      </c>
      <c r="N4246" s="27">
        <f>F4246-J4246</f>
        <v/>
      </c>
      <c r="O4246" s="16">
        <f>I4246-H4246</f>
        <v/>
      </c>
      <c r="P4246" s="14">
        <f>F4246*G4246</f>
        <v/>
      </c>
      <c r="Q4246" s="14">
        <f>J4246*G4246</f>
        <v/>
      </c>
      <c r="R4246" s="14">
        <f>K4246-Q4246</f>
        <v/>
      </c>
      <c r="S4246" s="3">
        <f>P4246*Assumptions!$B$3/100</f>
        <v/>
      </c>
      <c r="T4246" s="14">
        <f>R4246-S4246</f>
        <v/>
      </c>
      <c r="U4246" s="14">
        <f>L4246*G4246</f>
        <v/>
      </c>
    </row>
    <row r="4247">
      <c r="A4247" s="12" t="inlineStr">
        <is>
          <t>PO-2023-4245</t>
        </is>
      </c>
      <c r="B4247" s="26" t="n">
        <v>44641</v>
      </c>
      <c r="C4247" s="12" t="inlineStr">
        <is>
          <t>VS09</t>
        </is>
      </c>
      <c r="D4247" s="12" t="inlineStr">
        <is>
          <t>HR Coils</t>
        </is>
      </c>
      <c r="E4247" s="12" t="inlineStr">
        <is>
          <t>Y</t>
        </is>
      </c>
      <c r="F4247" s="12" t="n">
        <v>5.06</v>
      </c>
      <c r="G4247" s="17" t="n">
        <v>73880.31</v>
      </c>
      <c r="H4247" s="26" t="n">
        <v>44654</v>
      </c>
      <c r="I4247" s="26" t="n">
        <v>44657</v>
      </c>
      <c r="J4247" s="12" t="n">
        <v>5.03</v>
      </c>
      <c r="K4247" s="17" t="n">
        <v>373834.37</v>
      </c>
      <c r="L4247" s="12" t="n">
        <v>0</v>
      </c>
      <c r="M4247" s="12" t="n">
        <v>0</v>
      </c>
      <c r="N4247" s="27">
        <f>F4247-J4247</f>
        <v/>
      </c>
      <c r="O4247" s="16">
        <f>I4247-H4247</f>
        <v/>
      </c>
      <c r="P4247" s="14">
        <f>F4247*G4247</f>
        <v/>
      </c>
      <c r="Q4247" s="14">
        <f>J4247*G4247</f>
        <v/>
      </c>
      <c r="R4247" s="14">
        <f>K4247-Q4247</f>
        <v/>
      </c>
      <c r="S4247" s="3">
        <f>P4247*Assumptions!$B$3/100</f>
        <v/>
      </c>
      <c r="T4247" s="14">
        <f>R4247-S4247</f>
        <v/>
      </c>
      <c r="U4247" s="14">
        <f>L4247*G4247</f>
        <v/>
      </c>
    </row>
    <row r="4248">
      <c r="A4248" s="12" t="inlineStr">
        <is>
          <t>PO-2023-4246</t>
        </is>
      </c>
      <c r="B4248" s="26" t="n">
        <v>45156</v>
      </c>
      <c r="C4248" s="12" t="inlineStr">
        <is>
          <t>VS30</t>
        </is>
      </c>
      <c r="D4248" s="12" t="inlineStr">
        <is>
          <t>Spring Steel</t>
        </is>
      </c>
      <c r="E4248" s="12" t="inlineStr">
        <is>
          <t>N</t>
        </is>
      </c>
      <c r="F4248" s="12" t="n">
        <v>38.65</v>
      </c>
      <c r="G4248" s="17" t="n">
        <v>66364.78999999999</v>
      </c>
      <c r="H4248" s="26" t="n">
        <v>45165</v>
      </c>
      <c r="I4248" s="26" t="n">
        <v>45166</v>
      </c>
      <c r="J4248" s="12" t="n">
        <v>38.42</v>
      </c>
      <c r="K4248" s="17" t="n">
        <v>2564999.13</v>
      </c>
      <c r="L4248" s="12" t="n">
        <v>0</v>
      </c>
      <c r="M4248" s="12" t="n">
        <v>0</v>
      </c>
      <c r="N4248" s="27">
        <f>F4248-J4248</f>
        <v/>
      </c>
      <c r="O4248" s="16">
        <f>I4248-H4248</f>
        <v/>
      </c>
      <c r="P4248" s="14">
        <f>F4248*G4248</f>
        <v/>
      </c>
      <c r="Q4248" s="14">
        <f>J4248*G4248</f>
        <v/>
      </c>
      <c r="R4248" s="14">
        <f>K4248-Q4248</f>
        <v/>
      </c>
      <c r="S4248" s="3">
        <f>P4248*Assumptions!$B$3/100</f>
        <v/>
      </c>
      <c r="T4248" s="14">
        <f>R4248-S4248</f>
        <v/>
      </c>
      <c r="U4248" s="14">
        <f>L4248*G4248</f>
        <v/>
      </c>
    </row>
    <row r="4249">
      <c r="A4249" s="12" t="inlineStr">
        <is>
          <t>PO-2023-4247</t>
        </is>
      </c>
      <c r="B4249" s="26" t="n">
        <v>44790</v>
      </c>
      <c r="C4249" s="12" t="inlineStr">
        <is>
          <t>VS29</t>
        </is>
      </c>
      <c r="D4249" s="12" t="inlineStr">
        <is>
          <t>SS Sheets</t>
        </is>
      </c>
      <c r="E4249" s="12" t="inlineStr">
        <is>
          <t>N</t>
        </is>
      </c>
      <c r="F4249" s="12" t="n">
        <v>42.06</v>
      </c>
      <c r="G4249" s="17" t="n">
        <v>78295.34</v>
      </c>
      <c r="H4249" s="26" t="n">
        <v>44805</v>
      </c>
      <c r="I4249" s="26" t="n">
        <v>44806</v>
      </c>
      <c r="J4249" s="12" t="n">
        <v>41.84</v>
      </c>
      <c r="K4249" s="17" t="n">
        <v>3293102</v>
      </c>
      <c r="L4249" s="12" t="n">
        <v>0</v>
      </c>
      <c r="M4249" s="12" t="n">
        <v>3</v>
      </c>
      <c r="N4249" s="27">
        <f>F4249-J4249</f>
        <v/>
      </c>
      <c r="O4249" s="16">
        <f>I4249-H4249</f>
        <v/>
      </c>
      <c r="P4249" s="14">
        <f>F4249*G4249</f>
        <v/>
      </c>
      <c r="Q4249" s="14">
        <f>J4249*G4249</f>
        <v/>
      </c>
      <c r="R4249" s="14">
        <f>K4249-Q4249</f>
        <v/>
      </c>
      <c r="S4249" s="3">
        <f>P4249*Assumptions!$B$3/100</f>
        <v/>
      </c>
      <c r="T4249" s="14">
        <f>R4249-S4249</f>
        <v/>
      </c>
      <c r="U4249" s="14">
        <f>L4249*G4249</f>
        <v/>
      </c>
    </row>
    <row r="4250">
      <c r="A4250" s="12" t="inlineStr">
        <is>
          <t>PO-2023-4248</t>
        </is>
      </c>
      <c r="B4250" s="26" t="n">
        <v>44439</v>
      </c>
      <c r="C4250" s="12" t="inlineStr">
        <is>
          <t>VS19</t>
        </is>
      </c>
      <c r="D4250" s="12" t="inlineStr">
        <is>
          <t>Angles &amp; Channels</t>
        </is>
      </c>
      <c r="E4250" s="12" t="inlineStr">
        <is>
          <t>N</t>
        </is>
      </c>
      <c r="F4250" s="12" t="n">
        <v>10.59</v>
      </c>
      <c r="G4250" s="17" t="n">
        <v>94713.75</v>
      </c>
      <c r="H4250" s="26" t="n">
        <v>44443</v>
      </c>
      <c r="I4250" s="26" t="n">
        <v>44448</v>
      </c>
      <c r="J4250" s="12" t="n">
        <v>10.11</v>
      </c>
      <c r="K4250" s="17" t="n">
        <v>1003018.61</v>
      </c>
      <c r="L4250" s="12" t="n">
        <v>0.26</v>
      </c>
      <c r="M4250" s="12" t="n">
        <v>0</v>
      </c>
      <c r="N4250" s="27">
        <f>F4250-J4250</f>
        <v/>
      </c>
      <c r="O4250" s="16">
        <f>I4250-H4250</f>
        <v/>
      </c>
      <c r="P4250" s="14">
        <f>F4250*G4250</f>
        <v/>
      </c>
      <c r="Q4250" s="14">
        <f>J4250*G4250</f>
        <v/>
      </c>
      <c r="R4250" s="14">
        <f>K4250-Q4250</f>
        <v/>
      </c>
      <c r="S4250" s="3">
        <f>P4250*Assumptions!$B$3/100</f>
        <v/>
      </c>
      <c r="T4250" s="14">
        <f>R4250-S4250</f>
        <v/>
      </c>
      <c r="U4250" s="14">
        <f>L4250*G4250</f>
        <v/>
      </c>
    </row>
    <row r="4251">
      <c r="A4251" s="12" t="inlineStr">
        <is>
          <t>PO-2023-4249</t>
        </is>
      </c>
      <c r="B4251" s="26" t="n">
        <v>44361</v>
      </c>
      <c r="C4251" s="12" t="inlineStr">
        <is>
          <t>VS29</t>
        </is>
      </c>
      <c r="D4251" s="12" t="inlineStr">
        <is>
          <t>Structural Steel</t>
        </is>
      </c>
      <c r="E4251" s="12" t="inlineStr">
        <is>
          <t>N</t>
        </is>
      </c>
      <c r="F4251" s="12" t="n">
        <v>21.97</v>
      </c>
      <c r="G4251" s="17" t="n">
        <v>76554.00999999999</v>
      </c>
      <c r="H4251" s="26" t="n">
        <v>44370</v>
      </c>
      <c r="I4251" s="26" t="n">
        <v>44370</v>
      </c>
      <c r="J4251" s="12" t="n">
        <v>21.84</v>
      </c>
      <c r="K4251" s="17" t="n">
        <v>1681891.6</v>
      </c>
      <c r="L4251" s="12" t="n">
        <v>0</v>
      </c>
      <c r="M4251" s="12" t="n">
        <v>0</v>
      </c>
      <c r="N4251" s="27">
        <f>F4251-J4251</f>
        <v/>
      </c>
      <c r="O4251" s="16">
        <f>I4251-H4251</f>
        <v/>
      </c>
      <c r="P4251" s="14">
        <f>F4251*G4251</f>
        <v/>
      </c>
      <c r="Q4251" s="14">
        <f>J4251*G4251</f>
        <v/>
      </c>
      <c r="R4251" s="14">
        <f>K4251-Q4251</f>
        <v/>
      </c>
      <c r="S4251" s="3">
        <f>P4251*Assumptions!$B$3/100</f>
        <v/>
      </c>
      <c r="T4251" s="14">
        <f>R4251-S4251</f>
        <v/>
      </c>
      <c r="U4251" s="14">
        <f>L4251*G4251</f>
        <v/>
      </c>
    </row>
    <row r="4252">
      <c r="A4252" s="12" t="inlineStr">
        <is>
          <t>PO-2023-4250</t>
        </is>
      </c>
      <c r="B4252" s="26" t="n">
        <v>44893</v>
      </c>
      <c r="C4252" s="12" t="inlineStr">
        <is>
          <t>VS04</t>
        </is>
      </c>
      <c r="D4252" s="12" t="inlineStr">
        <is>
          <t>Angles &amp; Channels</t>
        </is>
      </c>
      <c r="E4252" s="12" t="inlineStr">
        <is>
          <t>N</t>
        </is>
      </c>
      <c r="F4252" s="12" t="n">
        <v>9.66</v>
      </c>
      <c r="G4252" s="17" t="n">
        <v>80319.86</v>
      </c>
      <c r="H4252" s="26" t="n">
        <v>44908</v>
      </c>
      <c r="I4252" s="26" t="n">
        <v>44908</v>
      </c>
      <c r="J4252" s="12" t="n">
        <v>9.58</v>
      </c>
      <c r="K4252" s="17" t="n">
        <v>775889.85</v>
      </c>
      <c r="L4252" s="12" t="n">
        <v>0</v>
      </c>
      <c r="M4252" s="12" t="n">
        <v>12</v>
      </c>
      <c r="N4252" s="27">
        <f>F4252-J4252</f>
        <v/>
      </c>
      <c r="O4252" s="16">
        <f>I4252-H4252</f>
        <v/>
      </c>
      <c r="P4252" s="14">
        <f>F4252*G4252</f>
        <v/>
      </c>
      <c r="Q4252" s="14">
        <f>J4252*G4252</f>
        <v/>
      </c>
      <c r="R4252" s="14">
        <f>K4252-Q4252</f>
        <v/>
      </c>
      <c r="S4252" s="3">
        <f>P4252*Assumptions!$B$3/100</f>
        <v/>
      </c>
      <c r="T4252" s="14">
        <f>R4252-S4252</f>
        <v/>
      </c>
      <c r="U4252" s="14">
        <f>L4252*G4252</f>
        <v/>
      </c>
    </row>
    <row r="4253">
      <c r="A4253" s="12" t="inlineStr">
        <is>
          <t>PO-2023-4251</t>
        </is>
      </c>
      <c r="B4253" s="26" t="n">
        <v>45053</v>
      </c>
      <c r="C4253" s="12" t="inlineStr">
        <is>
          <t>VS05</t>
        </is>
      </c>
      <c r="D4253" s="12" t="inlineStr">
        <is>
          <t>Square/Rect Tubes</t>
        </is>
      </c>
      <c r="E4253" s="12" t="inlineStr">
        <is>
          <t>N</t>
        </is>
      </c>
      <c r="F4253" s="12" t="n">
        <v>2.3</v>
      </c>
      <c r="G4253" s="17" t="n">
        <v>88162.39999999999</v>
      </c>
      <c r="H4253" s="26" t="n">
        <v>45064</v>
      </c>
      <c r="I4253" s="26" t="n">
        <v>45064</v>
      </c>
      <c r="J4253" s="12" t="n">
        <v>2.28</v>
      </c>
      <c r="K4253" s="17" t="n">
        <v>202773.52</v>
      </c>
      <c r="L4253" s="12" t="n">
        <v>0</v>
      </c>
      <c r="M4253" s="12" t="n">
        <v>21</v>
      </c>
      <c r="N4253" s="27">
        <f>F4253-J4253</f>
        <v/>
      </c>
      <c r="O4253" s="16">
        <f>I4253-H4253</f>
        <v/>
      </c>
      <c r="P4253" s="14">
        <f>F4253*G4253</f>
        <v/>
      </c>
      <c r="Q4253" s="14">
        <f>J4253*G4253</f>
        <v/>
      </c>
      <c r="R4253" s="14">
        <f>K4253-Q4253</f>
        <v/>
      </c>
      <c r="S4253" s="3">
        <f>P4253*Assumptions!$B$3/100</f>
        <v/>
      </c>
      <c r="T4253" s="14">
        <f>R4253-S4253</f>
        <v/>
      </c>
      <c r="U4253" s="14">
        <f>L4253*G4253</f>
        <v/>
      </c>
    </row>
    <row r="4254">
      <c r="A4254" s="12" t="inlineStr">
        <is>
          <t>PO-2023-4252</t>
        </is>
      </c>
      <c r="B4254" s="26" t="n">
        <v>44374</v>
      </c>
      <c r="C4254" s="12" t="inlineStr">
        <is>
          <t>VS21</t>
        </is>
      </c>
      <c r="D4254" s="12" t="inlineStr">
        <is>
          <t>Structural Steel</t>
        </is>
      </c>
      <c r="E4254" s="12" t="inlineStr">
        <is>
          <t>N</t>
        </is>
      </c>
      <c r="F4254" s="12" t="n">
        <v>27.82</v>
      </c>
      <c r="G4254" s="17" t="n">
        <v>75508.46000000001</v>
      </c>
      <c r="H4254" s="26" t="n">
        <v>44378</v>
      </c>
      <c r="I4254" s="26" t="n">
        <v>44378</v>
      </c>
      <c r="J4254" s="12" t="n">
        <v>27.73</v>
      </c>
      <c r="K4254" s="17" t="n">
        <v>2100645.36</v>
      </c>
      <c r="L4254" s="12" t="n">
        <v>0</v>
      </c>
      <c r="M4254" s="12" t="n">
        <v>4</v>
      </c>
      <c r="N4254" s="27">
        <f>F4254-J4254</f>
        <v/>
      </c>
      <c r="O4254" s="16">
        <f>I4254-H4254</f>
        <v/>
      </c>
      <c r="P4254" s="14">
        <f>F4254*G4254</f>
        <v/>
      </c>
      <c r="Q4254" s="14">
        <f>J4254*G4254</f>
        <v/>
      </c>
      <c r="R4254" s="14">
        <f>K4254-Q4254</f>
        <v/>
      </c>
      <c r="S4254" s="3">
        <f>P4254*Assumptions!$B$3/100</f>
        <v/>
      </c>
      <c r="T4254" s="14">
        <f>R4254-S4254</f>
        <v/>
      </c>
      <c r="U4254" s="14">
        <f>L4254*G4254</f>
        <v/>
      </c>
    </row>
    <row r="4255">
      <c r="A4255" s="12" t="inlineStr">
        <is>
          <t>PO-2023-4253</t>
        </is>
      </c>
      <c r="B4255" s="26" t="n">
        <v>44319</v>
      </c>
      <c r="C4255" s="12" t="inlineStr">
        <is>
          <t>VS10</t>
        </is>
      </c>
      <c r="D4255" s="12" t="inlineStr">
        <is>
          <t>Square/Rect Tubes</t>
        </is>
      </c>
      <c r="E4255" s="12" t="inlineStr">
        <is>
          <t>N</t>
        </is>
      </c>
      <c r="F4255" s="12" t="n">
        <v>13.05</v>
      </c>
      <c r="G4255" s="17" t="n">
        <v>95637.92999999999</v>
      </c>
      <c r="H4255" s="26" t="n">
        <v>44328</v>
      </c>
      <c r="I4255" s="26" t="n">
        <v>44328</v>
      </c>
      <c r="J4255" s="12" t="n">
        <v>12.95</v>
      </c>
      <c r="K4255" s="17" t="n">
        <v>1248074.99</v>
      </c>
      <c r="L4255" s="12" t="n">
        <v>0</v>
      </c>
      <c r="M4255" s="12" t="n">
        <v>14</v>
      </c>
      <c r="N4255" s="27">
        <f>F4255-J4255</f>
        <v/>
      </c>
      <c r="O4255" s="16">
        <f>I4255-H4255</f>
        <v/>
      </c>
      <c r="P4255" s="14">
        <f>F4255*G4255</f>
        <v/>
      </c>
      <c r="Q4255" s="14">
        <f>J4255*G4255</f>
        <v/>
      </c>
      <c r="R4255" s="14">
        <f>K4255-Q4255</f>
        <v/>
      </c>
      <c r="S4255" s="3">
        <f>P4255*Assumptions!$B$3/100</f>
        <v/>
      </c>
      <c r="T4255" s="14">
        <f>R4255-S4255</f>
        <v/>
      </c>
      <c r="U4255" s="14">
        <f>L4255*G4255</f>
        <v/>
      </c>
    </row>
    <row r="4256">
      <c r="A4256" s="12" t="inlineStr">
        <is>
          <t>PO-2023-4254</t>
        </is>
      </c>
      <c r="B4256" s="26" t="n">
        <v>45176</v>
      </c>
      <c r="C4256" s="12" t="inlineStr">
        <is>
          <t>VS29</t>
        </is>
      </c>
      <c r="D4256" s="12" t="inlineStr">
        <is>
          <t>MS Pipes</t>
        </is>
      </c>
      <c r="E4256" s="12" t="inlineStr">
        <is>
          <t>N</t>
        </is>
      </c>
      <c r="F4256" s="12" t="n">
        <v>19.93</v>
      </c>
      <c r="G4256" s="17" t="n">
        <v>106942.92</v>
      </c>
      <c r="H4256" s="26" t="n">
        <v>45189</v>
      </c>
      <c r="I4256" s="26" t="n">
        <v>45189</v>
      </c>
      <c r="J4256" s="12" t="n">
        <v>19.75</v>
      </c>
      <c r="K4256" s="17" t="n">
        <v>2131372.4</v>
      </c>
      <c r="L4256" s="12" t="n">
        <v>0</v>
      </c>
      <c r="M4256" s="12" t="n">
        <v>23</v>
      </c>
      <c r="N4256" s="27">
        <f>F4256-J4256</f>
        <v/>
      </c>
      <c r="O4256" s="16">
        <f>I4256-H4256</f>
        <v/>
      </c>
      <c r="P4256" s="14">
        <f>F4256*G4256</f>
        <v/>
      </c>
      <c r="Q4256" s="14">
        <f>J4256*G4256</f>
        <v/>
      </c>
      <c r="R4256" s="14">
        <f>K4256-Q4256</f>
        <v/>
      </c>
      <c r="S4256" s="3">
        <f>P4256*Assumptions!$B$3/100</f>
        <v/>
      </c>
      <c r="T4256" s="14">
        <f>R4256-S4256</f>
        <v/>
      </c>
      <c r="U4256" s="14">
        <f>L4256*G4256</f>
        <v/>
      </c>
    </row>
    <row r="4257">
      <c r="A4257" s="12" t="inlineStr">
        <is>
          <t>PO-2023-4255</t>
        </is>
      </c>
      <c r="B4257" s="26" t="n">
        <v>45072</v>
      </c>
      <c r="C4257" s="12" t="inlineStr">
        <is>
          <t>VS14</t>
        </is>
      </c>
      <c r="D4257" s="12" t="inlineStr">
        <is>
          <t>MS Flats</t>
        </is>
      </c>
      <c r="E4257" s="12" t="inlineStr">
        <is>
          <t>N</t>
        </is>
      </c>
      <c r="F4257" s="12" t="n">
        <v>13.06</v>
      </c>
      <c r="G4257" s="17" t="n">
        <v>56337.65</v>
      </c>
      <c r="H4257" s="26" t="n">
        <v>45085</v>
      </c>
      <c r="I4257" s="26" t="n">
        <v>45087</v>
      </c>
      <c r="J4257" s="12" t="n">
        <v>12.95</v>
      </c>
      <c r="K4257" s="17" t="n">
        <v>735769.71</v>
      </c>
      <c r="L4257" s="12" t="n">
        <v>0</v>
      </c>
      <c r="M4257" s="12" t="n">
        <v>22</v>
      </c>
      <c r="N4257" s="27">
        <f>F4257-J4257</f>
        <v/>
      </c>
      <c r="O4257" s="16">
        <f>I4257-H4257</f>
        <v/>
      </c>
      <c r="P4257" s="14">
        <f>F4257*G4257</f>
        <v/>
      </c>
      <c r="Q4257" s="14">
        <f>J4257*G4257</f>
        <v/>
      </c>
      <c r="R4257" s="14">
        <f>K4257-Q4257</f>
        <v/>
      </c>
      <c r="S4257" s="3">
        <f>P4257*Assumptions!$B$3/100</f>
        <v/>
      </c>
      <c r="T4257" s="14">
        <f>R4257-S4257</f>
        <v/>
      </c>
      <c r="U4257" s="14">
        <f>L4257*G4257</f>
        <v/>
      </c>
    </row>
    <row r="4258">
      <c r="A4258" s="12" t="inlineStr">
        <is>
          <t>PO-2023-4256</t>
        </is>
      </c>
      <c r="B4258" s="26" t="n">
        <v>45192</v>
      </c>
      <c r="C4258" s="12" t="inlineStr">
        <is>
          <t>VS08</t>
        </is>
      </c>
      <c r="D4258" s="12" t="inlineStr">
        <is>
          <t>Spring Steel</t>
        </is>
      </c>
      <c r="E4258" s="12" t="inlineStr">
        <is>
          <t>N</t>
        </is>
      </c>
      <c r="F4258" s="12" t="n">
        <v>18.43</v>
      </c>
      <c r="G4258" s="17" t="n">
        <v>56648.43</v>
      </c>
      <c r="H4258" s="26" t="n">
        <v>45197</v>
      </c>
      <c r="I4258" s="26" t="n">
        <v>45197</v>
      </c>
      <c r="J4258" s="12" t="n">
        <v>18.28</v>
      </c>
      <c r="K4258" s="17" t="n">
        <v>1044030.56</v>
      </c>
      <c r="L4258" s="12" t="n">
        <v>0</v>
      </c>
      <c r="M4258" s="12" t="n">
        <v>16</v>
      </c>
      <c r="N4258" s="27">
        <f>F4258-J4258</f>
        <v/>
      </c>
      <c r="O4258" s="16">
        <f>I4258-H4258</f>
        <v/>
      </c>
      <c r="P4258" s="14">
        <f>F4258*G4258</f>
        <v/>
      </c>
      <c r="Q4258" s="14">
        <f>J4258*G4258</f>
        <v/>
      </c>
      <c r="R4258" s="14">
        <f>K4258-Q4258</f>
        <v/>
      </c>
      <c r="S4258" s="3">
        <f>P4258*Assumptions!$B$3/100</f>
        <v/>
      </c>
      <c r="T4258" s="14">
        <f>R4258-S4258</f>
        <v/>
      </c>
      <c r="U4258" s="14">
        <f>L4258*G4258</f>
        <v/>
      </c>
    </row>
    <row r="4259">
      <c r="A4259" s="12" t="inlineStr">
        <is>
          <t>PO-2023-4257</t>
        </is>
      </c>
      <c r="B4259" s="26" t="n">
        <v>44972</v>
      </c>
      <c r="C4259" s="12" t="inlineStr">
        <is>
          <t>VS34</t>
        </is>
      </c>
      <c r="D4259" s="12" t="inlineStr">
        <is>
          <t>SS Sheets</t>
        </is>
      </c>
      <c r="E4259" s="12" t="inlineStr">
        <is>
          <t>N</t>
        </is>
      </c>
      <c r="F4259" s="12" t="n">
        <v>32.71</v>
      </c>
      <c r="G4259" s="17" t="n">
        <v>72572.57000000001</v>
      </c>
      <c r="H4259" s="26" t="n">
        <v>44978</v>
      </c>
      <c r="I4259" s="26" t="n">
        <v>44981</v>
      </c>
      <c r="J4259" s="12" t="n">
        <v>32.7</v>
      </c>
      <c r="K4259" s="17" t="n">
        <v>2373848.76</v>
      </c>
      <c r="L4259" s="12" t="n">
        <v>0</v>
      </c>
      <c r="M4259" s="12" t="n">
        <v>3</v>
      </c>
      <c r="N4259" s="27">
        <f>F4259-J4259</f>
        <v/>
      </c>
      <c r="O4259" s="16">
        <f>I4259-H4259</f>
        <v/>
      </c>
      <c r="P4259" s="14">
        <f>F4259*G4259</f>
        <v/>
      </c>
      <c r="Q4259" s="14">
        <f>J4259*G4259</f>
        <v/>
      </c>
      <c r="R4259" s="14">
        <f>K4259-Q4259</f>
        <v/>
      </c>
      <c r="S4259" s="3">
        <f>P4259*Assumptions!$B$3/100</f>
        <v/>
      </c>
      <c r="T4259" s="14">
        <f>R4259-S4259</f>
        <v/>
      </c>
      <c r="U4259" s="14">
        <f>L4259*G4259</f>
        <v/>
      </c>
    </row>
    <row r="4260">
      <c r="A4260" s="12" t="inlineStr">
        <is>
          <t>PO-2023-4258</t>
        </is>
      </c>
      <c r="B4260" s="26" t="n">
        <v>45216</v>
      </c>
      <c r="C4260" s="12" t="inlineStr">
        <is>
          <t>VS06</t>
        </is>
      </c>
      <c r="D4260" s="12" t="inlineStr">
        <is>
          <t>SS Pipes</t>
        </is>
      </c>
      <c r="E4260" s="12" t="inlineStr">
        <is>
          <t>N</t>
        </is>
      </c>
      <c r="F4260" s="12" t="n">
        <v>15.02</v>
      </c>
      <c r="G4260" s="17" t="n">
        <v>56416.64</v>
      </c>
      <c r="H4260" s="26" t="n">
        <v>45223</v>
      </c>
      <c r="I4260" s="26" t="n">
        <v>45225</v>
      </c>
      <c r="J4260" s="12" t="n">
        <v>14.98</v>
      </c>
      <c r="K4260" s="17" t="n">
        <v>847377.9300000001</v>
      </c>
      <c r="L4260" s="12" t="n">
        <v>0</v>
      </c>
      <c r="M4260" s="12" t="n">
        <v>4</v>
      </c>
      <c r="N4260" s="27">
        <f>F4260-J4260</f>
        <v/>
      </c>
      <c r="O4260" s="16">
        <f>I4260-H4260</f>
        <v/>
      </c>
      <c r="P4260" s="14">
        <f>F4260*G4260</f>
        <v/>
      </c>
      <c r="Q4260" s="14">
        <f>J4260*G4260</f>
        <v/>
      </c>
      <c r="R4260" s="14">
        <f>K4260-Q4260</f>
        <v/>
      </c>
      <c r="S4260" s="3">
        <f>P4260*Assumptions!$B$3/100</f>
        <v/>
      </c>
      <c r="T4260" s="14">
        <f>R4260-S4260</f>
        <v/>
      </c>
      <c r="U4260" s="14">
        <f>L4260*G4260</f>
        <v/>
      </c>
    </row>
    <row r="4261">
      <c r="A4261" s="12" t="inlineStr">
        <is>
          <t>PO-2023-4259</t>
        </is>
      </c>
      <c r="B4261" s="26" t="n">
        <v>44591</v>
      </c>
      <c r="C4261" s="12" t="inlineStr">
        <is>
          <t>VS02</t>
        </is>
      </c>
      <c r="D4261" s="12" t="inlineStr">
        <is>
          <t>GI Pipes</t>
        </is>
      </c>
      <c r="E4261" s="12" t="inlineStr">
        <is>
          <t>N</t>
        </is>
      </c>
      <c r="F4261" s="12" t="n">
        <v>2.42</v>
      </c>
      <c r="G4261" s="17" t="n">
        <v>100984.32</v>
      </c>
      <c r="H4261" s="26" t="n">
        <v>44601</v>
      </c>
      <c r="I4261" s="26" t="n">
        <v>44602</v>
      </c>
      <c r="J4261" s="12" t="n">
        <v>2.4</v>
      </c>
      <c r="K4261" s="17" t="n">
        <v>244382.05</v>
      </c>
      <c r="L4261" s="12" t="n">
        <v>0</v>
      </c>
      <c r="M4261" s="12" t="n">
        <v>0</v>
      </c>
      <c r="N4261" s="27">
        <f>F4261-J4261</f>
        <v/>
      </c>
      <c r="O4261" s="16">
        <f>I4261-H4261</f>
        <v/>
      </c>
      <c r="P4261" s="14">
        <f>F4261*G4261</f>
        <v/>
      </c>
      <c r="Q4261" s="14">
        <f>J4261*G4261</f>
        <v/>
      </c>
      <c r="R4261" s="14">
        <f>K4261-Q4261</f>
        <v/>
      </c>
      <c r="S4261" s="3">
        <f>P4261*Assumptions!$B$3/100</f>
        <v/>
      </c>
      <c r="T4261" s="14">
        <f>R4261-S4261</f>
        <v/>
      </c>
      <c r="U4261" s="14">
        <f>L4261*G4261</f>
        <v/>
      </c>
    </row>
    <row r="4262">
      <c r="A4262" s="12" t="inlineStr">
        <is>
          <t>PO-2023-4260</t>
        </is>
      </c>
      <c r="B4262" s="26" t="n">
        <v>44886</v>
      </c>
      <c r="C4262" s="12" t="inlineStr">
        <is>
          <t>VS16</t>
        </is>
      </c>
      <c r="D4262" s="12" t="inlineStr">
        <is>
          <t>Spring Steel</t>
        </is>
      </c>
      <c r="E4262" s="12" t="inlineStr">
        <is>
          <t>N</t>
        </is>
      </c>
      <c r="F4262" s="12" t="n">
        <v>28.67</v>
      </c>
      <c r="G4262" s="17" t="n">
        <v>97266.78999999999</v>
      </c>
      <c r="H4262" s="26" t="n">
        <v>44892</v>
      </c>
      <c r="I4262" s="26" t="n">
        <v>44893</v>
      </c>
      <c r="J4262" s="12" t="n">
        <v>28.44</v>
      </c>
      <c r="K4262" s="17" t="n">
        <v>2788638.87</v>
      </c>
      <c r="L4262" s="12" t="n">
        <v>0</v>
      </c>
      <c r="M4262" s="12" t="n">
        <v>7</v>
      </c>
      <c r="N4262" s="27">
        <f>F4262-J4262</f>
        <v/>
      </c>
      <c r="O4262" s="16">
        <f>I4262-H4262</f>
        <v/>
      </c>
      <c r="P4262" s="14">
        <f>F4262*G4262</f>
        <v/>
      </c>
      <c r="Q4262" s="14">
        <f>J4262*G4262</f>
        <v/>
      </c>
      <c r="R4262" s="14">
        <f>K4262-Q4262</f>
        <v/>
      </c>
      <c r="S4262" s="3">
        <f>P4262*Assumptions!$B$3/100</f>
        <v/>
      </c>
      <c r="T4262" s="14">
        <f>R4262-S4262</f>
        <v/>
      </c>
      <c r="U4262" s="14">
        <f>L4262*G4262</f>
        <v/>
      </c>
    </row>
    <row r="4263">
      <c r="A4263" s="12" t="inlineStr">
        <is>
          <t>PO-2023-4261</t>
        </is>
      </c>
      <c r="B4263" s="26" t="n">
        <v>44346</v>
      </c>
      <c r="C4263" s="12" t="inlineStr">
        <is>
          <t>VS14</t>
        </is>
      </c>
      <c r="D4263" s="12" t="inlineStr">
        <is>
          <t>Square/Rect Tubes</t>
        </is>
      </c>
      <c r="E4263" s="12" t="inlineStr">
        <is>
          <t>N</t>
        </is>
      </c>
      <c r="F4263" s="12" t="n">
        <v>13.72</v>
      </c>
      <c r="G4263" s="17" t="n">
        <v>70843.47</v>
      </c>
      <c r="H4263" s="26" t="n">
        <v>44359</v>
      </c>
      <c r="I4263" s="26" t="n">
        <v>44359</v>
      </c>
      <c r="J4263" s="12" t="n">
        <v>13.66</v>
      </c>
      <c r="K4263" s="17" t="n">
        <v>971972.41</v>
      </c>
      <c r="L4263" s="12" t="n">
        <v>0</v>
      </c>
      <c r="M4263" s="12" t="n">
        <v>0</v>
      </c>
      <c r="N4263" s="27">
        <f>F4263-J4263</f>
        <v/>
      </c>
      <c r="O4263" s="16">
        <f>I4263-H4263</f>
        <v/>
      </c>
      <c r="P4263" s="14">
        <f>F4263*G4263</f>
        <v/>
      </c>
      <c r="Q4263" s="14">
        <f>J4263*G4263</f>
        <v/>
      </c>
      <c r="R4263" s="14">
        <f>K4263-Q4263</f>
        <v/>
      </c>
      <c r="S4263" s="3">
        <f>P4263*Assumptions!$B$3/100</f>
        <v/>
      </c>
      <c r="T4263" s="14">
        <f>R4263-S4263</f>
        <v/>
      </c>
      <c r="U4263" s="14">
        <f>L4263*G4263</f>
        <v/>
      </c>
    </row>
    <row r="4264">
      <c r="A4264" s="12" t="inlineStr">
        <is>
          <t>PO-2023-4262</t>
        </is>
      </c>
      <c r="B4264" s="26" t="n">
        <v>45225</v>
      </c>
      <c r="C4264" s="12" t="inlineStr">
        <is>
          <t>VS25</t>
        </is>
      </c>
      <c r="D4264" s="12" t="inlineStr">
        <is>
          <t>MS Rods</t>
        </is>
      </c>
      <c r="E4264" s="12" t="inlineStr">
        <is>
          <t>N</t>
        </is>
      </c>
      <c r="F4264" s="12" t="n">
        <v>31.02</v>
      </c>
      <c r="G4264" s="17" t="n">
        <v>54510.75</v>
      </c>
      <c r="H4264" s="26" t="n">
        <v>45235</v>
      </c>
      <c r="I4264" s="26" t="n">
        <v>45237</v>
      </c>
      <c r="J4264" s="12" t="n">
        <v>30.98</v>
      </c>
      <c r="K4264" s="17" t="n">
        <v>1690923.47</v>
      </c>
      <c r="L4264" s="12" t="n">
        <v>0</v>
      </c>
      <c r="M4264" s="12" t="n">
        <v>0</v>
      </c>
      <c r="N4264" s="27">
        <f>F4264-J4264</f>
        <v/>
      </c>
      <c r="O4264" s="16">
        <f>I4264-H4264</f>
        <v/>
      </c>
      <c r="P4264" s="14">
        <f>F4264*G4264</f>
        <v/>
      </c>
      <c r="Q4264" s="14">
        <f>J4264*G4264</f>
        <v/>
      </c>
      <c r="R4264" s="14">
        <f>K4264-Q4264</f>
        <v/>
      </c>
      <c r="S4264" s="3">
        <f>P4264*Assumptions!$B$3/100</f>
        <v/>
      </c>
      <c r="T4264" s="14">
        <f>R4264-S4264</f>
        <v/>
      </c>
      <c r="U4264" s="14">
        <f>L4264*G4264</f>
        <v/>
      </c>
    </row>
    <row r="4265">
      <c r="A4265" s="12" t="inlineStr">
        <is>
          <t>PO-2023-4263</t>
        </is>
      </c>
      <c r="B4265" s="26" t="n">
        <v>44725</v>
      </c>
      <c r="C4265" s="12" t="inlineStr">
        <is>
          <t>VS07</t>
        </is>
      </c>
      <c r="D4265" s="12" t="inlineStr">
        <is>
          <t>Structural Steel</t>
        </is>
      </c>
      <c r="E4265" s="12" t="inlineStr">
        <is>
          <t>N</t>
        </is>
      </c>
      <c r="F4265" s="12" t="n">
        <v>33.3</v>
      </c>
      <c r="G4265" s="17" t="n">
        <v>60127.91</v>
      </c>
      <c r="H4265" s="26" t="n">
        <v>44738</v>
      </c>
      <c r="I4265" s="26" t="n">
        <v>44738</v>
      </c>
      <c r="J4265" s="12" t="n">
        <v>33.28</v>
      </c>
      <c r="K4265" s="17" t="n">
        <v>2002259.4</v>
      </c>
      <c r="L4265" s="12" t="n">
        <v>0</v>
      </c>
      <c r="M4265" s="12" t="n">
        <v>18</v>
      </c>
      <c r="N4265" s="27">
        <f>F4265-J4265</f>
        <v/>
      </c>
      <c r="O4265" s="16">
        <f>I4265-H4265</f>
        <v/>
      </c>
      <c r="P4265" s="14">
        <f>F4265*G4265</f>
        <v/>
      </c>
      <c r="Q4265" s="14">
        <f>J4265*G4265</f>
        <v/>
      </c>
      <c r="R4265" s="14">
        <f>K4265-Q4265</f>
        <v/>
      </c>
      <c r="S4265" s="3">
        <f>P4265*Assumptions!$B$3/100</f>
        <v/>
      </c>
      <c r="T4265" s="14">
        <f>R4265-S4265</f>
        <v/>
      </c>
      <c r="U4265" s="14">
        <f>L4265*G4265</f>
        <v/>
      </c>
    </row>
    <row r="4266">
      <c r="A4266" s="12" t="inlineStr">
        <is>
          <t>PO-2023-4264</t>
        </is>
      </c>
      <c r="B4266" s="26" t="n">
        <v>45214</v>
      </c>
      <c r="C4266" s="12" t="inlineStr">
        <is>
          <t>VS27</t>
        </is>
      </c>
      <c r="D4266" s="12" t="inlineStr">
        <is>
          <t>MS Flats</t>
        </is>
      </c>
      <c r="E4266" s="12" t="inlineStr">
        <is>
          <t>N</t>
        </is>
      </c>
      <c r="F4266" s="12" t="n">
        <v>28.94</v>
      </c>
      <c r="G4266" s="17" t="n">
        <v>111178.85</v>
      </c>
      <c r="H4266" s="26" t="n">
        <v>45222</v>
      </c>
      <c r="I4266" s="26" t="n">
        <v>45224</v>
      </c>
      <c r="J4266" s="12" t="n">
        <v>28.71</v>
      </c>
      <c r="K4266" s="17" t="n">
        <v>3217515.92</v>
      </c>
      <c r="L4266" s="12" t="n">
        <v>0</v>
      </c>
      <c r="M4266" s="12" t="n">
        <v>0</v>
      </c>
      <c r="N4266" s="27">
        <f>F4266-J4266</f>
        <v/>
      </c>
      <c r="O4266" s="16">
        <f>I4266-H4266</f>
        <v/>
      </c>
      <c r="P4266" s="14">
        <f>F4266*G4266</f>
        <v/>
      </c>
      <c r="Q4266" s="14">
        <f>J4266*G4266</f>
        <v/>
      </c>
      <c r="R4266" s="14">
        <f>K4266-Q4266</f>
        <v/>
      </c>
      <c r="S4266" s="3">
        <f>P4266*Assumptions!$B$3/100</f>
        <v/>
      </c>
      <c r="T4266" s="14">
        <f>R4266-S4266</f>
        <v/>
      </c>
      <c r="U4266" s="14">
        <f>L4266*G4266</f>
        <v/>
      </c>
    </row>
    <row r="4267">
      <c r="A4267" s="12" t="inlineStr">
        <is>
          <t>PO-2023-4265</t>
        </is>
      </c>
      <c r="B4267" s="26" t="n">
        <v>44627</v>
      </c>
      <c r="C4267" s="12" t="inlineStr">
        <is>
          <t>VS34</t>
        </is>
      </c>
      <c r="D4267" s="12" t="inlineStr">
        <is>
          <t>Square/Rect Tubes</t>
        </is>
      </c>
      <c r="E4267" s="12" t="inlineStr">
        <is>
          <t>N</t>
        </is>
      </c>
      <c r="F4267" s="12" t="n">
        <v>3.02</v>
      </c>
      <c r="G4267" s="17" t="n">
        <v>52377.14</v>
      </c>
      <c r="H4267" s="26" t="n">
        <v>44634</v>
      </c>
      <c r="I4267" s="26" t="n">
        <v>44635</v>
      </c>
      <c r="J4267" s="12" t="n">
        <v>3</v>
      </c>
      <c r="K4267" s="17" t="n">
        <v>158178.96</v>
      </c>
      <c r="L4267" s="12" t="n">
        <v>0</v>
      </c>
      <c r="M4267" s="12" t="n">
        <v>0</v>
      </c>
      <c r="N4267" s="27">
        <f>F4267-J4267</f>
        <v/>
      </c>
      <c r="O4267" s="16">
        <f>I4267-H4267</f>
        <v/>
      </c>
      <c r="P4267" s="14">
        <f>F4267*G4267</f>
        <v/>
      </c>
      <c r="Q4267" s="14">
        <f>J4267*G4267</f>
        <v/>
      </c>
      <c r="R4267" s="14">
        <f>K4267-Q4267</f>
        <v/>
      </c>
      <c r="S4267" s="3">
        <f>P4267*Assumptions!$B$3/100</f>
        <v/>
      </c>
      <c r="T4267" s="14">
        <f>R4267-S4267</f>
        <v/>
      </c>
      <c r="U4267" s="14">
        <f>L4267*G4267</f>
        <v/>
      </c>
    </row>
    <row r="4268">
      <c r="A4268" s="12" t="inlineStr">
        <is>
          <t>PO-2023-4266</t>
        </is>
      </c>
      <c r="B4268" s="26" t="n">
        <v>44259</v>
      </c>
      <c r="C4268" s="12" t="inlineStr">
        <is>
          <t>VS25</t>
        </is>
      </c>
      <c r="D4268" s="12" t="inlineStr">
        <is>
          <t>Angles &amp; Channels</t>
        </is>
      </c>
      <c r="E4268" s="12" t="inlineStr">
        <is>
          <t>N</t>
        </is>
      </c>
      <c r="F4268" s="12" t="n">
        <v>9.02</v>
      </c>
      <c r="G4268" s="17" t="n">
        <v>77097.77</v>
      </c>
      <c r="H4268" s="26" t="n">
        <v>44266</v>
      </c>
      <c r="I4268" s="26" t="n">
        <v>44268</v>
      </c>
      <c r="J4268" s="12" t="n">
        <v>8.98</v>
      </c>
      <c r="K4268" s="17" t="n">
        <v>695421.89</v>
      </c>
      <c r="L4268" s="12" t="n">
        <v>0</v>
      </c>
      <c r="M4268" s="12" t="n">
        <v>4</v>
      </c>
      <c r="N4268" s="27">
        <f>F4268-J4268</f>
        <v/>
      </c>
      <c r="O4268" s="16">
        <f>I4268-H4268</f>
        <v/>
      </c>
      <c r="P4268" s="14">
        <f>F4268*G4268</f>
        <v/>
      </c>
      <c r="Q4268" s="14">
        <f>J4268*G4268</f>
        <v/>
      </c>
      <c r="R4268" s="14">
        <f>K4268-Q4268</f>
        <v/>
      </c>
      <c r="S4268" s="3">
        <f>P4268*Assumptions!$B$3/100</f>
        <v/>
      </c>
      <c r="T4268" s="14">
        <f>R4268-S4268</f>
        <v/>
      </c>
      <c r="U4268" s="14">
        <f>L4268*G4268</f>
        <v/>
      </c>
    </row>
    <row r="4269">
      <c r="A4269" s="12" t="inlineStr">
        <is>
          <t>PO-2023-4267</t>
        </is>
      </c>
      <c r="B4269" s="26" t="n">
        <v>44573</v>
      </c>
      <c r="C4269" s="12" t="inlineStr">
        <is>
          <t>VS28</t>
        </is>
      </c>
      <c r="D4269" s="12" t="inlineStr">
        <is>
          <t>Fasteners &amp; Fittings</t>
        </is>
      </c>
      <c r="E4269" s="12" t="inlineStr">
        <is>
          <t>N</t>
        </is>
      </c>
      <c r="F4269" s="12" t="n">
        <v>43.42</v>
      </c>
      <c r="G4269" s="17" t="n">
        <v>110761.83</v>
      </c>
      <c r="H4269" s="26" t="n">
        <v>44581</v>
      </c>
      <c r="I4269" s="26" t="n">
        <v>44582</v>
      </c>
      <c r="J4269" s="12" t="n">
        <v>43.19</v>
      </c>
      <c r="K4269" s="17" t="n">
        <v>4809278.66</v>
      </c>
      <c r="L4269" s="12" t="n">
        <v>0</v>
      </c>
      <c r="M4269" s="12" t="n">
        <v>0</v>
      </c>
      <c r="N4269" s="27">
        <f>F4269-J4269</f>
        <v/>
      </c>
      <c r="O4269" s="16">
        <f>I4269-H4269</f>
        <v/>
      </c>
      <c r="P4269" s="14">
        <f>F4269*G4269</f>
        <v/>
      </c>
      <c r="Q4269" s="14">
        <f>J4269*G4269</f>
        <v/>
      </c>
      <c r="R4269" s="14">
        <f>K4269-Q4269</f>
        <v/>
      </c>
      <c r="S4269" s="3">
        <f>P4269*Assumptions!$B$3/100</f>
        <v/>
      </c>
      <c r="T4269" s="14">
        <f>R4269-S4269</f>
        <v/>
      </c>
      <c r="U4269" s="14">
        <f>L4269*G4269</f>
        <v/>
      </c>
    </row>
    <row r="4270">
      <c r="A4270" s="12" t="inlineStr">
        <is>
          <t>PO-2023-4268</t>
        </is>
      </c>
      <c r="B4270" s="26" t="n">
        <v>44327</v>
      </c>
      <c r="C4270" s="12" t="inlineStr">
        <is>
          <t>VS10</t>
        </is>
      </c>
      <c r="D4270" s="12" t="inlineStr">
        <is>
          <t>Structural Steel</t>
        </is>
      </c>
      <c r="E4270" s="12" t="inlineStr">
        <is>
          <t>N</t>
        </is>
      </c>
      <c r="F4270" s="12" t="n">
        <v>9.970000000000001</v>
      </c>
      <c r="G4270" s="17" t="n">
        <v>65973.74000000001</v>
      </c>
      <c r="H4270" s="26" t="n">
        <v>44335</v>
      </c>
      <c r="I4270" s="26" t="n">
        <v>44335</v>
      </c>
      <c r="J4270" s="12" t="n">
        <v>9.890000000000001</v>
      </c>
      <c r="K4270" s="17" t="n">
        <v>657758.1899999999</v>
      </c>
      <c r="L4270" s="12" t="n">
        <v>0</v>
      </c>
      <c r="M4270" s="12" t="n">
        <v>0</v>
      </c>
      <c r="N4270" s="27">
        <f>F4270-J4270</f>
        <v/>
      </c>
      <c r="O4270" s="16">
        <f>I4270-H4270</f>
        <v/>
      </c>
      <c r="P4270" s="14">
        <f>F4270*G4270</f>
        <v/>
      </c>
      <c r="Q4270" s="14">
        <f>J4270*G4270</f>
        <v/>
      </c>
      <c r="R4270" s="14">
        <f>K4270-Q4270</f>
        <v/>
      </c>
      <c r="S4270" s="3">
        <f>P4270*Assumptions!$B$3/100</f>
        <v/>
      </c>
      <c r="T4270" s="14">
        <f>R4270-S4270</f>
        <v/>
      </c>
      <c r="U4270" s="14">
        <f>L4270*G4270</f>
        <v/>
      </c>
    </row>
    <row r="4271">
      <c r="A4271" s="12" t="inlineStr">
        <is>
          <t>PO-2023-4269</t>
        </is>
      </c>
      <c r="B4271" s="26" t="n">
        <v>44648</v>
      </c>
      <c r="C4271" s="12" t="inlineStr">
        <is>
          <t>VS16</t>
        </is>
      </c>
      <c r="D4271" s="12" t="inlineStr">
        <is>
          <t>Structural Steel</t>
        </is>
      </c>
      <c r="E4271" s="12" t="inlineStr">
        <is>
          <t>N</t>
        </is>
      </c>
      <c r="F4271" s="12" t="n">
        <v>47.56</v>
      </c>
      <c r="G4271" s="17" t="n">
        <v>72407.36</v>
      </c>
      <c r="H4271" s="26" t="n">
        <v>44657</v>
      </c>
      <c r="I4271" s="26" t="n">
        <v>44660</v>
      </c>
      <c r="J4271" s="12" t="n">
        <v>47.47</v>
      </c>
      <c r="K4271" s="17" t="n">
        <v>3443694.04</v>
      </c>
      <c r="L4271" s="12" t="n">
        <v>0</v>
      </c>
      <c r="M4271" s="12" t="n">
        <v>22</v>
      </c>
      <c r="N4271" s="27">
        <f>F4271-J4271</f>
        <v/>
      </c>
      <c r="O4271" s="16">
        <f>I4271-H4271</f>
        <v/>
      </c>
      <c r="P4271" s="14">
        <f>F4271*G4271</f>
        <v/>
      </c>
      <c r="Q4271" s="14">
        <f>J4271*G4271</f>
        <v/>
      </c>
      <c r="R4271" s="14">
        <f>K4271-Q4271</f>
        <v/>
      </c>
      <c r="S4271" s="3">
        <f>P4271*Assumptions!$B$3/100</f>
        <v/>
      </c>
      <c r="T4271" s="14">
        <f>R4271-S4271</f>
        <v/>
      </c>
      <c r="U4271" s="14">
        <f>L4271*G4271</f>
        <v/>
      </c>
    </row>
    <row r="4272">
      <c r="A4272" s="12" t="inlineStr">
        <is>
          <t>PO-2023-4270</t>
        </is>
      </c>
      <c r="B4272" s="26" t="n">
        <v>44840</v>
      </c>
      <c r="C4272" s="12" t="inlineStr">
        <is>
          <t>VS25</t>
        </is>
      </c>
      <c r="D4272" s="12" t="inlineStr">
        <is>
          <t>Structural Steel</t>
        </is>
      </c>
      <c r="E4272" s="12" t="inlineStr">
        <is>
          <t>N</t>
        </is>
      </c>
      <c r="F4272" s="12" t="n">
        <v>48.89</v>
      </c>
      <c r="G4272" s="17" t="n">
        <v>64513.33</v>
      </c>
      <c r="H4272" s="26" t="n">
        <v>44850</v>
      </c>
      <c r="I4272" s="26" t="n">
        <v>44851</v>
      </c>
      <c r="J4272" s="12" t="n">
        <v>48.47</v>
      </c>
      <c r="K4272" s="17" t="n">
        <v>3154056.7</v>
      </c>
      <c r="L4272" s="12" t="n">
        <v>0</v>
      </c>
      <c r="M4272" s="12" t="n">
        <v>0</v>
      </c>
      <c r="N4272" s="27">
        <f>F4272-J4272</f>
        <v/>
      </c>
      <c r="O4272" s="16">
        <f>I4272-H4272</f>
        <v/>
      </c>
      <c r="P4272" s="14">
        <f>F4272*G4272</f>
        <v/>
      </c>
      <c r="Q4272" s="14">
        <f>J4272*G4272</f>
        <v/>
      </c>
      <c r="R4272" s="14">
        <f>K4272-Q4272</f>
        <v/>
      </c>
      <c r="S4272" s="3">
        <f>P4272*Assumptions!$B$3/100</f>
        <v/>
      </c>
      <c r="T4272" s="14">
        <f>R4272-S4272</f>
        <v/>
      </c>
      <c r="U4272" s="14">
        <f>L4272*G4272</f>
        <v/>
      </c>
    </row>
    <row r="4273">
      <c r="A4273" s="12" t="inlineStr">
        <is>
          <t>PO-2023-4271</t>
        </is>
      </c>
      <c r="B4273" s="26" t="n">
        <v>45244</v>
      </c>
      <c r="C4273" s="12" t="inlineStr">
        <is>
          <t>VS19</t>
        </is>
      </c>
      <c r="D4273" s="12" t="inlineStr">
        <is>
          <t>GI Wire</t>
        </is>
      </c>
      <c r="E4273" s="12" t="inlineStr">
        <is>
          <t>N</t>
        </is>
      </c>
      <c r="F4273" s="12" t="n">
        <v>8.83</v>
      </c>
      <c r="G4273" s="17" t="n">
        <v>68537.2</v>
      </c>
      <c r="H4273" s="26" t="n">
        <v>45259</v>
      </c>
      <c r="I4273" s="26" t="n">
        <v>45265</v>
      </c>
      <c r="J4273" s="12" t="n">
        <v>8.390000000000001</v>
      </c>
      <c r="K4273" s="17" t="n">
        <v>605183.48</v>
      </c>
      <c r="L4273" s="12" t="n">
        <v>0.42</v>
      </c>
      <c r="M4273" s="12" t="n">
        <v>24</v>
      </c>
      <c r="N4273" s="27">
        <f>F4273-J4273</f>
        <v/>
      </c>
      <c r="O4273" s="16">
        <f>I4273-H4273</f>
        <v/>
      </c>
      <c r="P4273" s="14">
        <f>F4273*G4273</f>
        <v/>
      </c>
      <c r="Q4273" s="14">
        <f>J4273*G4273</f>
        <v/>
      </c>
      <c r="R4273" s="14">
        <f>K4273-Q4273</f>
        <v/>
      </c>
      <c r="S4273" s="3">
        <f>P4273*Assumptions!$B$3/100</f>
        <v/>
      </c>
      <c r="T4273" s="14">
        <f>R4273-S4273</f>
        <v/>
      </c>
      <c r="U4273" s="14">
        <f>L4273*G4273</f>
        <v/>
      </c>
    </row>
    <row r="4274">
      <c r="A4274" s="12" t="inlineStr">
        <is>
          <t>PO-2023-4272</t>
        </is>
      </c>
      <c r="B4274" s="26" t="n">
        <v>44786</v>
      </c>
      <c r="C4274" s="12" t="inlineStr">
        <is>
          <t>VS24</t>
        </is>
      </c>
      <c r="D4274" s="12" t="inlineStr">
        <is>
          <t>ERW Pipes</t>
        </is>
      </c>
      <c r="E4274" s="12" t="inlineStr">
        <is>
          <t>N</t>
        </is>
      </c>
      <c r="F4274" s="12" t="n">
        <v>2.06</v>
      </c>
      <c r="G4274" s="17" t="n">
        <v>75509.7</v>
      </c>
      <c r="H4274" s="26" t="n">
        <v>44791</v>
      </c>
      <c r="I4274" s="26" t="n">
        <v>44792</v>
      </c>
      <c r="J4274" s="12" t="n">
        <v>2.05</v>
      </c>
      <c r="K4274" s="17" t="n">
        <v>155549.98</v>
      </c>
      <c r="L4274" s="12" t="n">
        <v>0</v>
      </c>
      <c r="M4274" s="12" t="n">
        <v>19</v>
      </c>
      <c r="N4274" s="27">
        <f>F4274-J4274</f>
        <v/>
      </c>
      <c r="O4274" s="16">
        <f>I4274-H4274</f>
        <v/>
      </c>
      <c r="P4274" s="14">
        <f>F4274*G4274</f>
        <v/>
      </c>
      <c r="Q4274" s="14">
        <f>J4274*G4274</f>
        <v/>
      </c>
      <c r="R4274" s="14">
        <f>K4274-Q4274</f>
        <v/>
      </c>
      <c r="S4274" s="3">
        <f>P4274*Assumptions!$B$3/100</f>
        <v/>
      </c>
      <c r="T4274" s="14">
        <f>R4274-S4274</f>
        <v/>
      </c>
      <c r="U4274" s="14">
        <f>L4274*G4274</f>
        <v/>
      </c>
    </row>
    <row r="4275">
      <c r="A4275" s="12" t="inlineStr">
        <is>
          <t>PO-2023-4273</t>
        </is>
      </c>
      <c r="B4275" s="26" t="n">
        <v>44841</v>
      </c>
      <c r="C4275" s="12" t="inlineStr">
        <is>
          <t>VS01</t>
        </is>
      </c>
      <c r="D4275" s="12" t="inlineStr">
        <is>
          <t>GI Wire</t>
        </is>
      </c>
      <c r="E4275" s="12" t="inlineStr">
        <is>
          <t>N</t>
        </is>
      </c>
      <c r="F4275" s="12" t="n">
        <v>29.35</v>
      </c>
      <c r="G4275" s="17" t="n">
        <v>117802.1</v>
      </c>
      <c r="H4275" s="26" t="n">
        <v>44850</v>
      </c>
      <c r="I4275" s="26" t="n">
        <v>44850</v>
      </c>
      <c r="J4275" s="12" t="n">
        <v>29.24</v>
      </c>
      <c r="K4275" s="17" t="n">
        <v>3457491.64</v>
      </c>
      <c r="L4275" s="12" t="n">
        <v>0</v>
      </c>
      <c r="M4275" s="12" t="n">
        <v>24</v>
      </c>
      <c r="N4275" s="27">
        <f>F4275-J4275</f>
        <v/>
      </c>
      <c r="O4275" s="16">
        <f>I4275-H4275</f>
        <v/>
      </c>
      <c r="P4275" s="14">
        <f>F4275*G4275</f>
        <v/>
      </c>
      <c r="Q4275" s="14">
        <f>J4275*G4275</f>
        <v/>
      </c>
      <c r="R4275" s="14">
        <f>K4275-Q4275</f>
        <v/>
      </c>
      <c r="S4275" s="3">
        <f>P4275*Assumptions!$B$3/100</f>
        <v/>
      </c>
      <c r="T4275" s="14">
        <f>R4275-S4275</f>
        <v/>
      </c>
      <c r="U4275" s="14">
        <f>L4275*G4275</f>
        <v/>
      </c>
    </row>
    <row r="4276">
      <c r="A4276" s="12" t="inlineStr">
        <is>
          <t>PO-2023-4274</t>
        </is>
      </c>
      <c r="B4276" s="26" t="n">
        <v>44866</v>
      </c>
      <c r="C4276" s="12" t="inlineStr">
        <is>
          <t>VS25</t>
        </is>
      </c>
      <c r="D4276" s="12" t="inlineStr">
        <is>
          <t>Spring Steel</t>
        </is>
      </c>
      <c r="E4276" s="12" t="inlineStr">
        <is>
          <t>N</t>
        </is>
      </c>
      <c r="F4276" s="12" t="n">
        <v>46.51</v>
      </c>
      <c r="G4276" s="17" t="n">
        <v>109406.12</v>
      </c>
      <c r="H4276" s="26" t="n">
        <v>44871</v>
      </c>
      <c r="I4276" s="26" t="n">
        <v>44874</v>
      </c>
      <c r="J4276" s="12" t="n">
        <v>46.44</v>
      </c>
      <c r="K4276" s="17" t="n">
        <v>5088478.64</v>
      </c>
      <c r="L4276" s="12" t="n">
        <v>0</v>
      </c>
      <c r="M4276" s="12" t="n">
        <v>8</v>
      </c>
      <c r="N4276" s="27">
        <f>F4276-J4276</f>
        <v/>
      </c>
      <c r="O4276" s="16">
        <f>I4276-H4276</f>
        <v/>
      </c>
      <c r="P4276" s="14">
        <f>F4276*G4276</f>
        <v/>
      </c>
      <c r="Q4276" s="14">
        <f>J4276*G4276</f>
        <v/>
      </c>
      <c r="R4276" s="14">
        <f>K4276-Q4276</f>
        <v/>
      </c>
      <c r="S4276" s="3">
        <f>P4276*Assumptions!$B$3/100</f>
        <v/>
      </c>
      <c r="T4276" s="14">
        <f>R4276-S4276</f>
        <v/>
      </c>
      <c r="U4276" s="14">
        <f>L4276*G4276</f>
        <v/>
      </c>
    </row>
    <row r="4277">
      <c r="A4277" s="12" t="inlineStr">
        <is>
          <t>PO-2023-4275</t>
        </is>
      </c>
      <c r="B4277" s="26" t="n">
        <v>44308</v>
      </c>
      <c r="C4277" s="12" t="inlineStr">
        <is>
          <t>VS27</t>
        </is>
      </c>
      <c r="D4277" s="12" t="inlineStr">
        <is>
          <t>Square/Rect Tubes</t>
        </is>
      </c>
      <c r="E4277" s="12" t="inlineStr">
        <is>
          <t>N</t>
        </is>
      </c>
      <c r="F4277" s="12" t="n">
        <v>37.78</v>
      </c>
      <c r="G4277" s="17" t="n">
        <v>110686.2</v>
      </c>
      <c r="H4277" s="26" t="n">
        <v>44322</v>
      </c>
      <c r="I4277" s="26" t="n">
        <v>44324</v>
      </c>
      <c r="J4277" s="12" t="n">
        <v>37.67</v>
      </c>
      <c r="K4277" s="17" t="n">
        <v>4181724.64</v>
      </c>
      <c r="L4277" s="12" t="n">
        <v>0</v>
      </c>
      <c r="M4277" s="12" t="n">
        <v>6</v>
      </c>
      <c r="N4277" s="27">
        <f>F4277-J4277</f>
        <v/>
      </c>
      <c r="O4277" s="16">
        <f>I4277-H4277</f>
        <v/>
      </c>
      <c r="P4277" s="14">
        <f>F4277*G4277</f>
        <v/>
      </c>
      <c r="Q4277" s="14">
        <f>J4277*G4277</f>
        <v/>
      </c>
      <c r="R4277" s="14">
        <f>K4277-Q4277</f>
        <v/>
      </c>
      <c r="S4277" s="3">
        <f>P4277*Assumptions!$B$3/100</f>
        <v/>
      </c>
      <c r="T4277" s="14">
        <f>R4277-S4277</f>
        <v/>
      </c>
      <c r="U4277" s="14">
        <f>L4277*G4277</f>
        <v/>
      </c>
    </row>
    <row r="4278">
      <c r="A4278" s="12" t="inlineStr">
        <is>
          <t>PO-2023-4276</t>
        </is>
      </c>
      <c r="B4278" s="26" t="n">
        <v>45205</v>
      </c>
      <c r="C4278" s="12" t="inlineStr">
        <is>
          <t>VS12</t>
        </is>
      </c>
      <c r="D4278" s="12" t="inlineStr">
        <is>
          <t>HR Coils</t>
        </is>
      </c>
      <c r="E4278" s="12" t="inlineStr">
        <is>
          <t>Y</t>
        </is>
      </c>
      <c r="F4278" s="12" t="n">
        <v>37.25</v>
      </c>
      <c r="G4278" s="17" t="n">
        <v>101567.96</v>
      </c>
      <c r="H4278" s="26" t="n">
        <v>45217</v>
      </c>
      <c r="I4278" s="26" t="n">
        <v>45223</v>
      </c>
      <c r="J4278" s="12" t="n">
        <v>35.39</v>
      </c>
      <c r="K4278" s="17" t="n">
        <v>3783406.51</v>
      </c>
      <c r="L4278" s="12" t="n">
        <v>0.79</v>
      </c>
      <c r="M4278" s="12" t="n">
        <v>8</v>
      </c>
      <c r="N4278" s="27">
        <f>F4278-J4278</f>
        <v/>
      </c>
      <c r="O4278" s="16">
        <f>I4278-H4278</f>
        <v/>
      </c>
      <c r="P4278" s="14">
        <f>F4278*G4278</f>
        <v/>
      </c>
      <c r="Q4278" s="14">
        <f>J4278*G4278</f>
        <v/>
      </c>
      <c r="R4278" s="14">
        <f>K4278-Q4278</f>
        <v/>
      </c>
      <c r="S4278" s="3">
        <f>P4278*Assumptions!$B$3/100</f>
        <v/>
      </c>
      <c r="T4278" s="14">
        <f>R4278-S4278</f>
        <v/>
      </c>
      <c r="U4278" s="14">
        <f>L4278*G4278</f>
        <v/>
      </c>
    </row>
    <row r="4279">
      <c r="A4279" s="12" t="inlineStr">
        <is>
          <t>PO-2023-4277</t>
        </is>
      </c>
      <c r="B4279" s="26" t="n">
        <v>45099</v>
      </c>
      <c r="C4279" s="12" t="inlineStr">
        <is>
          <t>VS14</t>
        </is>
      </c>
      <c r="D4279" s="12" t="inlineStr">
        <is>
          <t>CR Sheets</t>
        </is>
      </c>
      <c r="E4279" s="12" t="inlineStr">
        <is>
          <t>N</t>
        </is>
      </c>
      <c r="F4279" s="12" t="n">
        <v>34.56</v>
      </c>
      <c r="G4279" s="17" t="n">
        <v>65196.82</v>
      </c>
      <c r="H4279" s="26" t="n">
        <v>45104</v>
      </c>
      <c r="I4279" s="26" t="n">
        <v>45107</v>
      </c>
      <c r="J4279" s="12" t="n">
        <v>34.52</v>
      </c>
      <c r="K4279" s="17" t="n">
        <v>2253202.1</v>
      </c>
      <c r="L4279" s="12" t="n">
        <v>0</v>
      </c>
      <c r="M4279" s="12" t="n">
        <v>22</v>
      </c>
      <c r="N4279" s="27">
        <f>F4279-J4279</f>
        <v/>
      </c>
      <c r="O4279" s="16">
        <f>I4279-H4279</f>
        <v/>
      </c>
      <c r="P4279" s="14">
        <f>F4279*G4279</f>
        <v/>
      </c>
      <c r="Q4279" s="14">
        <f>J4279*G4279</f>
        <v/>
      </c>
      <c r="R4279" s="14">
        <f>K4279-Q4279</f>
        <v/>
      </c>
      <c r="S4279" s="3">
        <f>P4279*Assumptions!$B$3/100</f>
        <v/>
      </c>
      <c r="T4279" s="14">
        <f>R4279-S4279</f>
        <v/>
      </c>
      <c r="U4279" s="14">
        <f>L4279*G4279</f>
        <v/>
      </c>
    </row>
    <row r="4280">
      <c r="A4280" s="12" t="inlineStr">
        <is>
          <t>PO-2023-4278</t>
        </is>
      </c>
      <c r="B4280" s="26" t="n">
        <v>44346</v>
      </c>
      <c r="C4280" s="12" t="inlineStr">
        <is>
          <t>VS09</t>
        </is>
      </c>
      <c r="D4280" s="12" t="inlineStr">
        <is>
          <t>ERW Pipes</t>
        </is>
      </c>
      <c r="E4280" s="12" t="inlineStr">
        <is>
          <t>N</t>
        </is>
      </c>
      <c r="F4280" s="12" t="n">
        <v>15.76</v>
      </c>
      <c r="G4280" s="17" t="n">
        <v>110150.74</v>
      </c>
      <c r="H4280" s="26" t="n">
        <v>44359</v>
      </c>
      <c r="I4280" s="26" t="n">
        <v>44359</v>
      </c>
      <c r="J4280" s="12" t="n">
        <v>15.62</v>
      </c>
      <c r="K4280" s="17" t="n">
        <v>1735975.66</v>
      </c>
      <c r="L4280" s="12" t="n">
        <v>0</v>
      </c>
      <c r="M4280" s="12" t="n">
        <v>6</v>
      </c>
      <c r="N4280" s="27">
        <f>F4280-J4280</f>
        <v/>
      </c>
      <c r="O4280" s="16">
        <f>I4280-H4280</f>
        <v/>
      </c>
      <c r="P4280" s="14">
        <f>F4280*G4280</f>
        <v/>
      </c>
      <c r="Q4280" s="14">
        <f>J4280*G4280</f>
        <v/>
      </c>
      <c r="R4280" s="14">
        <f>K4280-Q4280</f>
        <v/>
      </c>
      <c r="S4280" s="3">
        <f>P4280*Assumptions!$B$3/100</f>
        <v/>
      </c>
      <c r="T4280" s="14">
        <f>R4280-S4280</f>
        <v/>
      </c>
      <c r="U4280" s="14">
        <f>L4280*G4280</f>
        <v/>
      </c>
    </row>
    <row r="4281">
      <c r="A4281" s="12" t="inlineStr">
        <is>
          <t>PO-2023-4279</t>
        </is>
      </c>
      <c r="B4281" s="26" t="n">
        <v>44957</v>
      </c>
      <c r="C4281" s="12" t="inlineStr">
        <is>
          <t>VS01</t>
        </is>
      </c>
      <c r="D4281" s="12" t="inlineStr">
        <is>
          <t>MS Sheets</t>
        </is>
      </c>
      <c r="E4281" s="12" t="inlineStr">
        <is>
          <t>N</t>
        </is>
      </c>
      <c r="F4281" s="12" t="n">
        <v>8.220000000000001</v>
      </c>
      <c r="G4281" s="17" t="n">
        <v>59691.27</v>
      </c>
      <c r="H4281" s="26" t="n">
        <v>44967</v>
      </c>
      <c r="I4281" s="26" t="n">
        <v>44970</v>
      </c>
      <c r="J4281" s="12" t="n">
        <v>8.140000000000001</v>
      </c>
      <c r="K4281" s="17" t="n">
        <v>490662.24</v>
      </c>
      <c r="L4281" s="12" t="n">
        <v>0</v>
      </c>
      <c r="M4281" s="12" t="n">
        <v>0</v>
      </c>
      <c r="N4281" s="27">
        <f>F4281-J4281</f>
        <v/>
      </c>
      <c r="O4281" s="16">
        <f>I4281-H4281</f>
        <v/>
      </c>
      <c r="P4281" s="14">
        <f>F4281*G4281</f>
        <v/>
      </c>
      <c r="Q4281" s="14">
        <f>J4281*G4281</f>
        <v/>
      </c>
      <c r="R4281" s="14">
        <f>K4281-Q4281</f>
        <v/>
      </c>
      <c r="S4281" s="3">
        <f>P4281*Assumptions!$B$3/100</f>
        <v/>
      </c>
      <c r="T4281" s="14">
        <f>R4281-S4281</f>
        <v/>
      </c>
      <c r="U4281" s="14">
        <f>L4281*G4281</f>
        <v/>
      </c>
    </row>
    <row r="4282">
      <c r="A4282" s="12" t="inlineStr">
        <is>
          <t>PO-2023-4280</t>
        </is>
      </c>
      <c r="B4282" s="26" t="n">
        <v>45142</v>
      </c>
      <c r="C4282" s="12" t="inlineStr">
        <is>
          <t>VS01</t>
        </is>
      </c>
      <c r="D4282" s="12" t="inlineStr">
        <is>
          <t>SS Sheets</t>
        </is>
      </c>
      <c r="E4282" s="12" t="inlineStr">
        <is>
          <t>N</t>
        </is>
      </c>
      <c r="F4282" s="12" t="n">
        <v>45.62</v>
      </c>
      <c r="G4282" s="17" t="n">
        <v>117934.93</v>
      </c>
      <c r="H4282" s="26" t="n">
        <v>45156</v>
      </c>
      <c r="I4282" s="26" t="n">
        <v>45158</v>
      </c>
      <c r="J4282" s="12" t="n">
        <v>45.34</v>
      </c>
      <c r="K4282" s="17" t="n">
        <v>5380191.51</v>
      </c>
      <c r="L4282" s="12" t="n">
        <v>0</v>
      </c>
      <c r="M4282" s="12" t="n">
        <v>0</v>
      </c>
      <c r="N4282" s="27">
        <f>F4282-J4282</f>
        <v/>
      </c>
      <c r="O4282" s="16">
        <f>I4282-H4282</f>
        <v/>
      </c>
      <c r="P4282" s="14">
        <f>F4282*G4282</f>
        <v/>
      </c>
      <c r="Q4282" s="14">
        <f>J4282*G4282</f>
        <v/>
      </c>
      <c r="R4282" s="14">
        <f>K4282-Q4282</f>
        <v/>
      </c>
      <c r="S4282" s="3">
        <f>P4282*Assumptions!$B$3/100</f>
        <v/>
      </c>
      <c r="T4282" s="14">
        <f>R4282-S4282</f>
        <v/>
      </c>
      <c r="U4282" s="14">
        <f>L4282*G4282</f>
        <v/>
      </c>
    </row>
    <row r="4283">
      <c r="A4283" s="12" t="inlineStr">
        <is>
          <t>PO-2023-4281</t>
        </is>
      </c>
      <c r="B4283" s="26" t="n">
        <v>45146</v>
      </c>
      <c r="C4283" s="12" t="inlineStr">
        <is>
          <t>VS09</t>
        </is>
      </c>
      <c r="D4283" s="12" t="inlineStr">
        <is>
          <t>Angles &amp; Channels</t>
        </is>
      </c>
      <c r="E4283" s="12" t="inlineStr">
        <is>
          <t>N</t>
        </is>
      </c>
      <c r="F4283" s="12" t="n">
        <v>6.69</v>
      </c>
      <c r="G4283" s="17" t="n">
        <v>83981.42999999999</v>
      </c>
      <c r="H4283" s="26" t="n">
        <v>45160</v>
      </c>
      <c r="I4283" s="26" t="n">
        <v>45162</v>
      </c>
      <c r="J4283" s="12" t="n">
        <v>6.64</v>
      </c>
      <c r="K4283" s="17" t="n">
        <v>561835.77</v>
      </c>
      <c r="L4283" s="12" t="n">
        <v>0</v>
      </c>
      <c r="M4283" s="12" t="n">
        <v>22</v>
      </c>
      <c r="N4283" s="27">
        <f>F4283-J4283</f>
        <v/>
      </c>
      <c r="O4283" s="16">
        <f>I4283-H4283</f>
        <v/>
      </c>
      <c r="P4283" s="14">
        <f>F4283*G4283</f>
        <v/>
      </c>
      <c r="Q4283" s="14">
        <f>J4283*G4283</f>
        <v/>
      </c>
      <c r="R4283" s="14">
        <f>K4283-Q4283</f>
        <v/>
      </c>
      <c r="S4283" s="3">
        <f>P4283*Assumptions!$B$3/100</f>
        <v/>
      </c>
      <c r="T4283" s="14">
        <f>R4283-S4283</f>
        <v/>
      </c>
      <c r="U4283" s="14">
        <f>L4283*G4283</f>
        <v/>
      </c>
    </row>
    <row r="4284">
      <c r="A4284" s="12" t="inlineStr">
        <is>
          <t>PO-2023-4282</t>
        </is>
      </c>
      <c r="B4284" s="26" t="n">
        <v>44303</v>
      </c>
      <c r="C4284" s="12" t="inlineStr">
        <is>
          <t>VS30</t>
        </is>
      </c>
      <c r="D4284" s="12" t="inlineStr">
        <is>
          <t>MS Pipes</t>
        </is>
      </c>
      <c r="E4284" s="12" t="inlineStr">
        <is>
          <t>N</t>
        </is>
      </c>
      <c r="F4284" s="12" t="n">
        <v>10.98</v>
      </c>
      <c r="G4284" s="17" t="n">
        <v>93729.75</v>
      </c>
      <c r="H4284" s="26" t="n">
        <v>44314</v>
      </c>
      <c r="I4284" s="26" t="n">
        <v>44317</v>
      </c>
      <c r="J4284" s="12" t="n">
        <v>10.96</v>
      </c>
      <c r="K4284" s="17" t="n">
        <v>1029152.66</v>
      </c>
      <c r="L4284" s="12" t="n">
        <v>0</v>
      </c>
      <c r="M4284" s="12" t="n">
        <v>6</v>
      </c>
      <c r="N4284" s="27">
        <f>F4284-J4284</f>
        <v/>
      </c>
      <c r="O4284" s="16">
        <f>I4284-H4284</f>
        <v/>
      </c>
      <c r="P4284" s="14">
        <f>F4284*G4284</f>
        <v/>
      </c>
      <c r="Q4284" s="14">
        <f>J4284*G4284</f>
        <v/>
      </c>
      <c r="R4284" s="14">
        <f>K4284-Q4284</f>
        <v/>
      </c>
      <c r="S4284" s="3">
        <f>P4284*Assumptions!$B$3/100</f>
        <v/>
      </c>
      <c r="T4284" s="14">
        <f>R4284-S4284</f>
        <v/>
      </c>
      <c r="U4284" s="14">
        <f>L4284*G4284</f>
        <v/>
      </c>
    </row>
    <row r="4285">
      <c r="A4285" s="12" t="inlineStr">
        <is>
          <t>PO-2023-4283</t>
        </is>
      </c>
      <c r="B4285" s="26" t="n">
        <v>44471</v>
      </c>
      <c r="C4285" s="12" t="inlineStr">
        <is>
          <t>VS06</t>
        </is>
      </c>
      <c r="D4285" s="12" t="inlineStr">
        <is>
          <t>SS Sheets</t>
        </is>
      </c>
      <c r="E4285" s="12" t="inlineStr">
        <is>
          <t>N</t>
        </is>
      </c>
      <c r="F4285" s="12" t="n">
        <v>23.19</v>
      </c>
      <c r="G4285" s="17" t="n">
        <v>96047.57000000001</v>
      </c>
      <c r="H4285" s="26" t="n">
        <v>44476</v>
      </c>
      <c r="I4285" s="26" t="n">
        <v>44476</v>
      </c>
      <c r="J4285" s="12" t="n">
        <v>23.03</v>
      </c>
      <c r="K4285" s="17" t="n">
        <v>2227343.15</v>
      </c>
      <c r="L4285" s="12" t="n">
        <v>0</v>
      </c>
      <c r="M4285" s="12" t="n">
        <v>8</v>
      </c>
      <c r="N4285" s="27">
        <f>F4285-J4285</f>
        <v/>
      </c>
      <c r="O4285" s="16">
        <f>I4285-H4285</f>
        <v/>
      </c>
      <c r="P4285" s="14">
        <f>F4285*G4285</f>
        <v/>
      </c>
      <c r="Q4285" s="14">
        <f>J4285*G4285</f>
        <v/>
      </c>
      <c r="R4285" s="14">
        <f>K4285-Q4285</f>
        <v/>
      </c>
      <c r="S4285" s="3">
        <f>P4285*Assumptions!$B$3/100</f>
        <v/>
      </c>
      <c r="T4285" s="14">
        <f>R4285-S4285</f>
        <v/>
      </c>
      <c r="U4285" s="14">
        <f>L4285*G4285</f>
        <v/>
      </c>
    </row>
    <row r="4286">
      <c r="A4286" s="12" t="inlineStr">
        <is>
          <t>PO-2023-4284</t>
        </is>
      </c>
      <c r="B4286" s="26" t="n">
        <v>44694</v>
      </c>
      <c r="C4286" s="12" t="inlineStr">
        <is>
          <t>VS13</t>
        </is>
      </c>
      <c r="D4286" s="12" t="inlineStr">
        <is>
          <t>Fasteners &amp; Fittings</t>
        </is>
      </c>
      <c r="E4286" s="12" t="inlineStr">
        <is>
          <t>N</t>
        </is>
      </c>
      <c r="F4286" s="12" t="n">
        <v>32.61</v>
      </c>
      <c r="G4286" s="17" t="n">
        <v>111062.32</v>
      </c>
      <c r="H4286" s="26" t="n">
        <v>44708</v>
      </c>
      <c r="I4286" s="26" t="n">
        <v>44710</v>
      </c>
      <c r="J4286" s="12" t="n">
        <v>32.39</v>
      </c>
      <c r="K4286" s="17" t="n">
        <v>3621742.26</v>
      </c>
      <c r="L4286" s="12" t="n">
        <v>0</v>
      </c>
      <c r="M4286" s="12" t="n">
        <v>12</v>
      </c>
      <c r="N4286" s="27">
        <f>F4286-J4286</f>
        <v/>
      </c>
      <c r="O4286" s="16">
        <f>I4286-H4286</f>
        <v/>
      </c>
      <c r="P4286" s="14">
        <f>F4286*G4286</f>
        <v/>
      </c>
      <c r="Q4286" s="14">
        <f>J4286*G4286</f>
        <v/>
      </c>
      <c r="R4286" s="14">
        <f>K4286-Q4286</f>
        <v/>
      </c>
      <c r="S4286" s="3">
        <f>P4286*Assumptions!$B$3/100</f>
        <v/>
      </c>
      <c r="T4286" s="14">
        <f>R4286-S4286</f>
        <v/>
      </c>
      <c r="U4286" s="14">
        <f>L4286*G4286</f>
        <v/>
      </c>
    </row>
    <row r="4287">
      <c r="A4287" s="12" t="inlineStr">
        <is>
          <t>PO-2023-4285</t>
        </is>
      </c>
      <c r="B4287" s="26" t="n">
        <v>44311</v>
      </c>
      <c r="C4287" s="12" t="inlineStr">
        <is>
          <t>VS18</t>
        </is>
      </c>
      <c r="D4287" s="12" t="inlineStr">
        <is>
          <t>MS Flats</t>
        </is>
      </c>
      <c r="E4287" s="12" t="inlineStr">
        <is>
          <t>N</t>
        </is>
      </c>
      <c r="F4287" s="12" t="n">
        <v>4.14</v>
      </c>
      <c r="G4287" s="17" t="n">
        <v>114189.67</v>
      </c>
      <c r="H4287" s="26" t="n">
        <v>44321</v>
      </c>
      <c r="I4287" s="26" t="n">
        <v>44322</v>
      </c>
      <c r="J4287" s="12" t="n">
        <v>4.13</v>
      </c>
      <c r="K4287" s="17" t="n">
        <v>472745.23</v>
      </c>
      <c r="L4287" s="12" t="n">
        <v>0</v>
      </c>
      <c r="M4287" s="12" t="n">
        <v>1</v>
      </c>
      <c r="N4287" s="27">
        <f>F4287-J4287</f>
        <v/>
      </c>
      <c r="O4287" s="16">
        <f>I4287-H4287</f>
        <v/>
      </c>
      <c r="P4287" s="14">
        <f>F4287*G4287</f>
        <v/>
      </c>
      <c r="Q4287" s="14">
        <f>J4287*G4287</f>
        <v/>
      </c>
      <c r="R4287" s="14">
        <f>K4287-Q4287</f>
        <v/>
      </c>
      <c r="S4287" s="3">
        <f>P4287*Assumptions!$B$3/100</f>
        <v/>
      </c>
      <c r="T4287" s="14">
        <f>R4287-S4287</f>
        <v/>
      </c>
      <c r="U4287" s="14">
        <f>L4287*G4287</f>
        <v/>
      </c>
    </row>
    <row r="4288">
      <c r="A4288" s="12" t="inlineStr">
        <is>
          <t>PO-2023-4286</t>
        </is>
      </c>
      <c r="B4288" s="26" t="n">
        <v>45016</v>
      </c>
      <c r="C4288" s="12" t="inlineStr">
        <is>
          <t>VS29</t>
        </is>
      </c>
      <c r="D4288" s="12" t="inlineStr">
        <is>
          <t>MS Pipes</t>
        </is>
      </c>
      <c r="E4288" s="12" t="inlineStr">
        <is>
          <t>N</t>
        </is>
      </c>
      <c r="F4288" s="12" t="n">
        <v>20.38</v>
      </c>
      <c r="G4288" s="17" t="n">
        <v>75524.71000000001</v>
      </c>
      <c r="H4288" s="26" t="n">
        <v>45022</v>
      </c>
      <c r="I4288" s="26" t="n">
        <v>45022</v>
      </c>
      <c r="J4288" s="12" t="n">
        <v>20.31</v>
      </c>
      <c r="K4288" s="17" t="n">
        <v>1539193.59</v>
      </c>
      <c r="L4288" s="12" t="n">
        <v>0</v>
      </c>
      <c r="M4288" s="12" t="n">
        <v>10</v>
      </c>
      <c r="N4288" s="27">
        <f>F4288-J4288</f>
        <v/>
      </c>
      <c r="O4288" s="16">
        <f>I4288-H4288</f>
        <v/>
      </c>
      <c r="P4288" s="14">
        <f>F4288*G4288</f>
        <v/>
      </c>
      <c r="Q4288" s="14">
        <f>J4288*G4288</f>
        <v/>
      </c>
      <c r="R4288" s="14">
        <f>K4288-Q4288</f>
        <v/>
      </c>
      <c r="S4288" s="3">
        <f>P4288*Assumptions!$B$3/100</f>
        <v/>
      </c>
      <c r="T4288" s="14">
        <f>R4288-S4288</f>
        <v/>
      </c>
      <c r="U4288" s="14">
        <f>L4288*G4288</f>
        <v/>
      </c>
    </row>
    <row r="4289">
      <c r="A4289" s="12" t="inlineStr">
        <is>
          <t>PO-2023-4287</t>
        </is>
      </c>
      <c r="B4289" s="26" t="n">
        <v>44484</v>
      </c>
      <c r="C4289" s="12" t="inlineStr">
        <is>
          <t>VS34</t>
        </is>
      </c>
      <c r="D4289" s="12" t="inlineStr">
        <is>
          <t>GI Wire</t>
        </is>
      </c>
      <c r="E4289" s="12" t="inlineStr">
        <is>
          <t>Y</t>
        </is>
      </c>
      <c r="F4289" s="12" t="n">
        <v>10.82</v>
      </c>
      <c r="G4289" s="17" t="n">
        <v>53461.78</v>
      </c>
      <c r="H4289" s="26" t="n">
        <v>44489</v>
      </c>
      <c r="I4289" s="26" t="n">
        <v>44489</v>
      </c>
      <c r="J4289" s="12" t="n">
        <v>10.78</v>
      </c>
      <c r="K4289" s="17" t="n">
        <v>578456.46</v>
      </c>
      <c r="L4289" s="12" t="n">
        <v>0</v>
      </c>
      <c r="M4289" s="12" t="n">
        <v>25</v>
      </c>
      <c r="N4289" s="27">
        <f>F4289-J4289</f>
        <v/>
      </c>
      <c r="O4289" s="16">
        <f>I4289-H4289</f>
        <v/>
      </c>
      <c r="P4289" s="14">
        <f>F4289*G4289</f>
        <v/>
      </c>
      <c r="Q4289" s="14">
        <f>J4289*G4289</f>
        <v/>
      </c>
      <c r="R4289" s="14">
        <f>K4289-Q4289</f>
        <v/>
      </c>
      <c r="S4289" s="3">
        <f>P4289*Assumptions!$B$3/100</f>
        <v/>
      </c>
      <c r="T4289" s="14">
        <f>R4289-S4289</f>
        <v/>
      </c>
      <c r="U4289" s="14">
        <f>L4289*G4289</f>
        <v/>
      </c>
    </row>
    <row r="4290">
      <c r="A4290" s="12" t="inlineStr">
        <is>
          <t>PO-2023-4288</t>
        </is>
      </c>
      <c r="B4290" s="26" t="n">
        <v>44507</v>
      </c>
      <c r="C4290" s="12" t="inlineStr">
        <is>
          <t>VS02</t>
        </is>
      </c>
      <c r="D4290" s="12" t="inlineStr">
        <is>
          <t>GI Pipes</t>
        </is>
      </c>
      <c r="E4290" s="12" t="inlineStr">
        <is>
          <t>N</t>
        </is>
      </c>
      <c r="F4290" s="12" t="n">
        <v>44.68</v>
      </c>
      <c r="G4290" s="17" t="n">
        <v>99003.11</v>
      </c>
      <c r="H4290" s="26" t="n">
        <v>44518</v>
      </c>
      <c r="I4290" s="26" t="n">
        <v>44519</v>
      </c>
      <c r="J4290" s="12" t="n">
        <v>44.46</v>
      </c>
      <c r="K4290" s="17" t="n">
        <v>4423458.95</v>
      </c>
      <c r="L4290" s="12" t="n">
        <v>0</v>
      </c>
      <c r="M4290" s="12" t="n">
        <v>0</v>
      </c>
      <c r="N4290" s="27">
        <f>F4290-J4290</f>
        <v/>
      </c>
      <c r="O4290" s="16">
        <f>I4290-H4290</f>
        <v/>
      </c>
      <c r="P4290" s="14">
        <f>F4290*G4290</f>
        <v/>
      </c>
      <c r="Q4290" s="14">
        <f>J4290*G4290</f>
        <v/>
      </c>
      <c r="R4290" s="14">
        <f>K4290-Q4290</f>
        <v/>
      </c>
      <c r="S4290" s="3">
        <f>P4290*Assumptions!$B$3/100</f>
        <v/>
      </c>
      <c r="T4290" s="14">
        <f>R4290-S4290</f>
        <v/>
      </c>
      <c r="U4290" s="14">
        <f>L4290*G4290</f>
        <v/>
      </c>
    </row>
    <row r="4291">
      <c r="A4291" s="12" t="inlineStr">
        <is>
          <t>PO-2023-4289</t>
        </is>
      </c>
      <c r="B4291" s="26" t="n">
        <v>44795</v>
      </c>
      <c r="C4291" s="12" t="inlineStr">
        <is>
          <t>VS33</t>
        </is>
      </c>
      <c r="D4291" s="12" t="inlineStr">
        <is>
          <t>CR Sheets</t>
        </is>
      </c>
      <c r="E4291" s="12" t="inlineStr">
        <is>
          <t>N</t>
        </is>
      </c>
      <c r="F4291" s="12" t="n">
        <v>7.2</v>
      </c>
      <c r="G4291" s="17" t="n">
        <v>106283.01</v>
      </c>
      <c r="H4291" s="26" t="n">
        <v>44810</v>
      </c>
      <c r="I4291" s="26" t="n">
        <v>44810</v>
      </c>
      <c r="J4291" s="12" t="n">
        <v>7.19</v>
      </c>
      <c r="K4291" s="17" t="n">
        <v>765237.67</v>
      </c>
      <c r="L4291" s="12" t="n">
        <v>0</v>
      </c>
      <c r="M4291" s="12" t="n">
        <v>0</v>
      </c>
      <c r="N4291" s="27">
        <f>F4291-J4291</f>
        <v/>
      </c>
      <c r="O4291" s="16">
        <f>I4291-H4291</f>
        <v/>
      </c>
      <c r="P4291" s="14">
        <f>F4291*G4291</f>
        <v/>
      </c>
      <c r="Q4291" s="14">
        <f>J4291*G4291</f>
        <v/>
      </c>
      <c r="R4291" s="14">
        <f>K4291-Q4291</f>
        <v/>
      </c>
      <c r="S4291" s="3">
        <f>P4291*Assumptions!$B$3/100</f>
        <v/>
      </c>
      <c r="T4291" s="14">
        <f>R4291-S4291</f>
        <v/>
      </c>
      <c r="U4291" s="14">
        <f>L4291*G4291</f>
        <v/>
      </c>
    </row>
    <row r="4292">
      <c r="A4292" s="12" t="inlineStr">
        <is>
          <t>PO-2023-4290</t>
        </is>
      </c>
      <c r="B4292" s="26" t="n">
        <v>44613</v>
      </c>
      <c r="C4292" s="12" t="inlineStr">
        <is>
          <t>VS14</t>
        </is>
      </c>
      <c r="D4292" s="12" t="inlineStr">
        <is>
          <t>GI Sheets</t>
        </is>
      </c>
      <c r="E4292" s="12" t="inlineStr">
        <is>
          <t>N</t>
        </is>
      </c>
      <c r="F4292" s="12" t="n">
        <v>21.72</v>
      </c>
      <c r="G4292" s="17" t="n">
        <v>78851.91</v>
      </c>
      <c r="H4292" s="26" t="n">
        <v>44625</v>
      </c>
      <c r="I4292" s="26" t="n">
        <v>44627</v>
      </c>
      <c r="J4292" s="12" t="n">
        <v>21.61</v>
      </c>
      <c r="K4292" s="17" t="n">
        <v>1712663.49</v>
      </c>
      <c r="L4292" s="12" t="n">
        <v>0</v>
      </c>
      <c r="M4292" s="12" t="n">
        <v>10</v>
      </c>
      <c r="N4292" s="27">
        <f>F4292-J4292</f>
        <v/>
      </c>
      <c r="O4292" s="16">
        <f>I4292-H4292</f>
        <v/>
      </c>
      <c r="P4292" s="14">
        <f>F4292*G4292</f>
        <v/>
      </c>
      <c r="Q4292" s="14">
        <f>J4292*G4292</f>
        <v/>
      </c>
      <c r="R4292" s="14">
        <f>K4292-Q4292</f>
        <v/>
      </c>
      <c r="S4292" s="3">
        <f>P4292*Assumptions!$B$3/100</f>
        <v/>
      </c>
      <c r="T4292" s="14">
        <f>R4292-S4292</f>
        <v/>
      </c>
      <c r="U4292" s="14">
        <f>L4292*G4292</f>
        <v/>
      </c>
    </row>
    <row r="4293">
      <c r="A4293" s="12" t="inlineStr">
        <is>
          <t>PO-2023-4291</t>
        </is>
      </c>
      <c r="B4293" s="26" t="n">
        <v>44977</v>
      </c>
      <c r="C4293" s="12" t="inlineStr">
        <is>
          <t>VS02</t>
        </is>
      </c>
      <c r="D4293" s="12" t="inlineStr">
        <is>
          <t>Hex Bars</t>
        </is>
      </c>
      <c r="E4293" s="12" t="inlineStr">
        <is>
          <t>N</t>
        </is>
      </c>
      <c r="F4293" s="12" t="n">
        <v>9.15</v>
      </c>
      <c r="G4293" s="17" t="n">
        <v>118298.5</v>
      </c>
      <c r="H4293" s="26" t="n">
        <v>44988</v>
      </c>
      <c r="I4293" s="26" t="n">
        <v>44989</v>
      </c>
      <c r="J4293" s="12" t="n">
        <v>9.15</v>
      </c>
      <c r="K4293" s="17" t="n">
        <v>1082431.28</v>
      </c>
      <c r="L4293" s="12" t="n">
        <v>0</v>
      </c>
      <c r="M4293" s="12" t="n">
        <v>0</v>
      </c>
      <c r="N4293" s="27">
        <f>F4293-J4293</f>
        <v/>
      </c>
      <c r="O4293" s="16">
        <f>I4293-H4293</f>
        <v/>
      </c>
      <c r="P4293" s="14">
        <f>F4293*G4293</f>
        <v/>
      </c>
      <c r="Q4293" s="14">
        <f>J4293*G4293</f>
        <v/>
      </c>
      <c r="R4293" s="14">
        <f>K4293-Q4293</f>
        <v/>
      </c>
      <c r="S4293" s="3">
        <f>P4293*Assumptions!$B$3/100</f>
        <v/>
      </c>
      <c r="T4293" s="14">
        <f>R4293-S4293</f>
        <v/>
      </c>
      <c r="U4293" s="14">
        <f>L4293*G4293</f>
        <v/>
      </c>
    </row>
    <row r="4294">
      <c r="A4294" s="12" t="inlineStr">
        <is>
          <t>PO-2023-4292</t>
        </is>
      </c>
      <c r="B4294" s="26" t="n">
        <v>45027</v>
      </c>
      <c r="C4294" s="12" t="inlineStr">
        <is>
          <t>VS32</t>
        </is>
      </c>
      <c r="D4294" s="12" t="inlineStr">
        <is>
          <t>SS Pipes</t>
        </is>
      </c>
      <c r="E4294" s="12" t="inlineStr">
        <is>
          <t>N</t>
        </is>
      </c>
      <c r="F4294" s="12" t="n">
        <v>35.17</v>
      </c>
      <c r="G4294" s="17" t="n">
        <v>73589.28999999999</v>
      </c>
      <c r="H4294" s="26" t="n">
        <v>45035</v>
      </c>
      <c r="I4294" s="26" t="n">
        <v>45038</v>
      </c>
      <c r="J4294" s="12" t="n">
        <v>35.08</v>
      </c>
      <c r="K4294" s="17" t="n">
        <v>2588135.33</v>
      </c>
      <c r="L4294" s="12" t="n">
        <v>0</v>
      </c>
      <c r="M4294" s="12" t="n">
        <v>23</v>
      </c>
      <c r="N4294" s="27">
        <f>F4294-J4294</f>
        <v/>
      </c>
      <c r="O4294" s="16">
        <f>I4294-H4294</f>
        <v/>
      </c>
      <c r="P4294" s="14">
        <f>F4294*G4294</f>
        <v/>
      </c>
      <c r="Q4294" s="14">
        <f>J4294*G4294</f>
        <v/>
      </c>
      <c r="R4294" s="14">
        <f>K4294-Q4294</f>
        <v/>
      </c>
      <c r="S4294" s="3">
        <f>P4294*Assumptions!$B$3/100</f>
        <v/>
      </c>
      <c r="T4294" s="14">
        <f>R4294-S4294</f>
        <v/>
      </c>
      <c r="U4294" s="14">
        <f>L4294*G4294</f>
        <v/>
      </c>
    </row>
    <row r="4295">
      <c r="A4295" s="12" t="inlineStr">
        <is>
          <t>PO-2023-4293</t>
        </is>
      </c>
      <c r="B4295" s="26" t="n">
        <v>44715</v>
      </c>
      <c r="C4295" s="12" t="inlineStr">
        <is>
          <t>VS19</t>
        </is>
      </c>
      <c r="D4295" s="12" t="inlineStr">
        <is>
          <t>GI Wire</t>
        </is>
      </c>
      <c r="E4295" s="12" t="inlineStr">
        <is>
          <t>N</t>
        </is>
      </c>
      <c r="F4295" s="12" t="n">
        <v>43.96</v>
      </c>
      <c r="G4295" s="17" t="n">
        <v>93552.73</v>
      </c>
      <c r="H4295" s="26" t="n">
        <v>44718</v>
      </c>
      <c r="I4295" s="26" t="n">
        <v>44720</v>
      </c>
      <c r="J4295" s="12" t="n">
        <v>43.07</v>
      </c>
      <c r="K4295" s="17" t="n">
        <v>4112578.01</v>
      </c>
      <c r="L4295" s="12" t="n">
        <v>0.92</v>
      </c>
      <c r="M4295" s="12" t="n">
        <v>13</v>
      </c>
      <c r="N4295" s="27">
        <f>F4295-J4295</f>
        <v/>
      </c>
      <c r="O4295" s="16">
        <f>I4295-H4295</f>
        <v/>
      </c>
      <c r="P4295" s="14">
        <f>F4295*G4295</f>
        <v/>
      </c>
      <c r="Q4295" s="14">
        <f>J4295*G4295</f>
        <v/>
      </c>
      <c r="R4295" s="14">
        <f>K4295-Q4295</f>
        <v/>
      </c>
      <c r="S4295" s="3">
        <f>P4295*Assumptions!$B$3/100</f>
        <v/>
      </c>
      <c r="T4295" s="14">
        <f>R4295-S4295</f>
        <v/>
      </c>
      <c r="U4295" s="14">
        <f>L4295*G4295</f>
        <v/>
      </c>
    </row>
    <row r="4296">
      <c r="A4296" s="12" t="inlineStr">
        <is>
          <t>PO-2023-4294</t>
        </is>
      </c>
      <c r="B4296" s="26" t="n">
        <v>44955</v>
      </c>
      <c r="C4296" s="12" t="inlineStr">
        <is>
          <t>VS27</t>
        </is>
      </c>
      <c r="D4296" s="12" t="inlineStr">
        <is>
          <t>CR Sheets</t>
        </is>
      </c>
      <c r="E4296" s="12" t="inlineStr">
        <is>
          <t>N</t>
        </is>
      </c>
      <c r="F4296" s="12" t="n">
        <v>28.84</v>
      </c>
      <c r="G4296" s="17" t="n">
        <v>107545.76</v>
      </c>
      <c r="H4296" s="26" t="n">
        <v>44959</v>
      </c>
      <c r="I4296" s="26" t="n">
        <v>44959</v>
      </c>
      <c r="J4296" s="12" t="n">
        <v>28.64</v>
      </c>
      <c r="K4296" s="17" t="n">
        <v>3101619.72</v>
      </c>
      <c r="L4296" s="12" t="n">
        <v>0</v>
      </c>
      <c r="M4296" s="12" t="n">
        <v>0</v>
      </c>
      <c r="N4296" s="27">
        <f>F4296-J4296</f>
        <v/>
      </c>
      <c r="O4296" s="16">
        <f>I4296-H4296</f>
        <v/>
      </c>
      <c r="P4296" s="14">
        <f>F4296*G4296</f>
        <v/>
      </c>
      <c r="Q4296" s="14">
        <f>J4296*G4296</f>
        <v/>
      </c>
      <c r="R4296" s="14">
        <f>K4296-Q4296</f>
        <v/>
      </c>
      <c r="S4296" s="3">
        <f>P4296*Assumptions!$B$3/100</f>
        <v/>
      </c>
      <c r="T4296" s="14">
        <f>R4296-S4296</f>
        <v/>
      </c>
      <c r="U4296" s="14">
        <f>L4296*G4296</f>
        <v/>
      </c>
    </row>
    <row r="4297">
      <c r="A4297" s="12" t="inlineStr">
        <is>
          <t>PO-2023-4295</t>
        </is>
      </c>
      <c r="B4297" s="26" t="n">
        <v>44581</v>
      </c>
      <c r="C4297" s="12" t="inlineStr">
        <is>
          <t>VS10</t>
        </is>
      </c>
      <c r="D4297" s="12" t="inlineStr">
        <is>
          <t>CR Sheets</t>
        </is>
      </c>
      <c r="E4297" s="12" t="inlineStr">
        <is>
          <t>N</t>
        </is>
      </c>
      <c r="F4297" s="12" t="n">
        <v>31.46</v>
      </c>
      <c r="G4297" s="17" t="n">
        <v>102269.83</v>
      </c>
      <c r="H4297" s="26" t="n">
        <v>44585</v>
      </c>
      <c r="I4297" s="26" t="n">
        <v>44586</v>
      </c>
      <c r="J4297" s="12" t="n">
        <v>31.38</v>
      </c>
      <c r="K4297" s="17" t="n">
        <v>3217408.85</v>
      </c>
      <c r="L4297" s="12" t="n">
        <v>0</v>
      </c>
      <c r="M4297" s="12" t="n">
        <v>0</v>
      </c>
      <c r="N4297" s="27">
        <f>F4297-J4297</f>
        <v/>
      </c>
      <c r="O4297" s="16">
        <f>I4297-H4297</f>
        <v/>
      </c>
      <c r="P4297" s="14">
        <f>F4297*G4297</f>
        <v/>
      </c>
      <c r="Q4297" s="14">
        <f>J4297*G4297</f>
        <v/>
      </c>
      <c r="R4297" s="14">
        <f>K4297-Q4297</f>
        <v/>
      </c>
      <c r="S4297" s="3">
        <f>P4297*Assumptions!$B$3/100</f>
        <v/>
      </c>
      <c r="T4297" s="14">
        <f>R4297-S4297</f>
        <v/>
      </c>
      <c r="U4297" s="14">
        <f>L4297*G4297</f>
        <v/>
      </c>
    </row>
    <row r="4298">
      <c r="A4298" s="12" t="inlineStr">
        <is>
          <t>PO-2023-4296</t>
        </is>
      </c>
      <c r="B4298" s="26" t="n">
        <v>44637</v>
      </c>
      <c r="C4298" s="12" t="inlineStr">
        <is>
          <t>VS24</t>
        </is>
      </c>
      <c r="D4298" s="12" t="inlineStr">
        <is>
          <t>GI Pipes</t>
        </is>
      </c>
      <c r="E4298" s="12" t="inlineStr">
        <is>
          <t>N</t>
        </is>
      </c>
      <c r="F4298" s="12" t="n">
        <v>41.42</v>
      </c>
      <c r="G4298" s="17" t="n">
        <v>117684.25</v>
      </c>
      <c r="H4298" s="26" t="n">
        <v>44640</v>
      </c>
      <c r="I4298" s="26" t="n">
        <v>44640</v>
      </c>
      <c r="J4298" s="12" t="n">
        <v>41.16</v>
      </c>
      <c r="K4298" s="17" t="n">
        <v>4874481.63</v>
      </c>
      <c r="L4298" s="12" t="n">
        <v>0</v>
      </c>
      <c r="M4298" s="12" t="n">
        <v>0</v>
      </c>
      <c r="N4298" s="27">
        <f>F4298-J4298</f>
        <v/>
      </c>
      <c r="O4298" s="16">
        <f>I4298-H4298</f>
        <v/>
      </c>
      <c r="P4298" s="14">
        <f>F4298*G4298</f>
        <v/>
      </c>
      <c r="Q4298" s="14">
        <f>J4298*G4298</f>
        <v/>
      </c>
      <c r="R4298" s="14">
        <f>K4298-Q4298</f>
        <v/>
      </c>
      <c r="S4298" s="3">
        <f>P4298*Assumptions!$B$3/100</f>
        <v/>
      </c>
      <c r="T4298" s="14">
        <f>R4298-S4298</f>
        <v/>
      </c>
      <c r="U4298" s="14">
        <f>L4298*G4298</f>
        <v/>
      </c>
    </row>
    <row r="4299">
      <c r="A4299" s="12" t="inlineStr">
        <is>
          <t>PO-2023-4297</t>
        </is>
      </c>
      <c r="B4299" s="26" t="n">
        <v>44355</v>
      </c>
      <c r="C4299" s="12" t="inlineStr">
        <is>
          <t>VS07</t>
        </is>
      </c>
      <c r="D4299" s="12" t="inlineStr">
        <is>
          <t>MS Flats</t>
        </is>
      </c>
      <c r="E4299" s="12" t="inlineStr">
        <is>
          <t>N</t>
        </is>
      </c>
      <c r="F4299" s="12" t="n">
        <v>15.3</v>
      </c>
      <c r="G4299" s="17" t="n">
        <v>53229.33</v>
      </c>
      <c r="H4299" s="26" t="n">
        <v>44363</v>
      </c>
      <c r="I4299" s="26" t="n">
        <v>44366</v>
      </c>
      <c r="J4299" s="12" t="n">
        <v>15.16</v>
      </c>
      <c r="K4299" s="17" t="n">
        <v>814408.75</v>
      </c>
      <c r="L4299" s="12" t="n">
        <v>0</v>
      </c>
      <c r="M4299" s="12" t="n">
        <v>19</v>
      </c>
      <c r="N4299" s="27">
        <f>F4299-J4299</f>
        <v/>
      </c>
      <c r="O4299" s="16">
        <f>I4299-H4299</f>
        <v/>
      </c>
      <c r="P4299" s="14">
        <f>F4299*G4299</f>
        <v/>
      </c>
      <c r="Q4299" s="14">
        <f>J4299*G4299</f>
        <v/>
      </c>
      <c r="R4299" s="14">
        <f>K4299-Q4299</f>
        <v/>
      </c>
      <c r="S4299" s="3">
        <f>P4299*Assumptions!$B$3/100</f>
        <v/>
      </c>
      <c r="T4299" s="14">
        <f>R4299-S4299</f>
        <v/>
      </c>
      <c r="U4299" s="14">
        <f>L4299*G4299</f>
        <v/>
      </c>
    </row>
    <row r="4300">
      <c r="A4300" s="12" t="inlineStr">
        <is>
          <t>PO-2023-4298</t>
        </is>
      </c>
      <c r="B4300" s="26" t="n">
        <v>45283</v>
      </c>
      <c r="C4300" s="12" t="inlineStr">
        <is>
          <t>VS04</t>
        </is>
      </c>
      <c r="D4300" s="12" t="inlineStr">
        <is>
          <t>Spring Steel</t>
        </is>
      </c>
      <c r="E4300" s="12" t="inlineStr">
        <is>
          <t>Y</t>
        </is>
      </c>
      <c r="F4300" s="12" t="n">
        <v>44.01</v>
      </c>
      <c r="G4300" s="17" t="n">
        <v>61255.29</v>
      </c>
      <c r="H4300" s="26" t="n">
        <v>45294</v>
      </c>
      <c r="I4300" s="26" t="n">
        <v>45297</v>
      </c>
      <c r="J4300" s="12" t="n">
        <v>43.66</v>
      </c>
      <c r="K4300" s="17" t="n">
        <v>2695845.31</v>
      </c>
      <c r="L4300" s="12" t="n">
        <v>0</v>
      </c>
      <c r="M4300" s="12" t="n">
        <v>18</v>
      </c>
      <c r="N4300" s="27">
        <f>F4300-J4300</f>
        <v/>
      </c>
      <c r="O4300" s="16">
        <f>I4300-H4300</f>
        <v/>
      </c>
      <c r="P4300" s="14">
        <f>F4300*G4300</f>
        <v/>
      </c>
      <c r="Q4300" s="14">
        <f>J4300*G4300</f>
        <v/>
      </c>
      <c r="R4300" s="14">
        <f>K4300-Q4300</f>
        <v/>
      </c>
      <c r="S4300" s="3">
        <f>P4300*Assumptions!$B$3/100</f>
        <v/>
      </c>
      <c r="T4300" s="14">
        <f>R4300-S4300</f>
        <v/>
      </c>
      <c r="U4300" s="14">
        <f>L4300*G4300</f>
        <v/>
      </c>
    </row>
    <row r="4301">
      <c r="A4301" s="12" t="inlineStr">
        <is>
          <t>PO-2023-4299</t>
        </is>
      </c>
      <c r="B4301" s="26" t="n">
        <v>45240</v>
      </c>
      <c r="C4301" s="12" t="inlineStr">
        <is>
          <t>VS03</t>
        </is>
      </c>
      <c r="D4301" s="12" t="inlineStr">
        <is>
          <t>SS Sheets</t>
        </is>
      </c>
      <c r="E4301" s="12" t="inlineStr">
        <is>
          <t>N</t>
        </is>
      </c>
      <c r="F4301" s="12" t="n">
        <v>13.51</v>
      </c>
      <c r="G4301" s="17" t="n">
        <v>52114.74</v>
      </c>
      <c r="H4301" s="26" t="n">
        <v>45247</v>
      </c>
      <c r="I4301" s="26" t="n">
        <v>45249</v>
      </c>
      <c r="J4301" s="12" t="n">
        <v>13.07</v>
      </c>
      <c r="K4301" s="17" t="n">
        <v>704070.14</v>
      </c>
      <c r="L4301" s="12" t="n">
        <v>0.64</v>
      </c>
      <c r="M4301" s="12" t="n">
        <v>7</v>
      </c>
      <c r="N4301" s="27">
        <f>F4301-J4301</f>
        <v/>
      </c>
      <c r="O4301" s="16">
        <f>I4301-H4301</f>
        <v/>
      </c>
      <c r="P4301" s="14">
        <f>F4301*G4301</f>
        <v/>
      </c>
      <c r="Q4301" s="14">
        <f>J4301*G4301</f>
        <v/>
      </c>
      <c r="R4301" s="14">
        <f>K4301-Q4301</f>
        <v/>
      </c>
      <c r="S4301" s="3">
        <f>P4301*Assumptions!$B$3/100</f>
        <v/>
      </c>
      <c r="T4301" s="14">
        <f>R4301-S4301</f>
        <v/>
      </c>
      <c r="U4301" s="14">
        <f>L4301*G4301</f>
        <v/>
      </c>
    </row>
    <row r="4302">
      <c r="A4302" s="12" t="inlineStr">
        <is>
          <t>PO-2023-4300</t>
        </is>
      </c>
      <c r="B4302" s="26" t="n">
        <v>44322</v>
      </c>
      <c r="C4302" s="12" t="inlineStr">
        <is>
          <t>VS18</t>
        </is>
      </c>
      <c r="D4302" s="12" t="inlineStr">
        <is>
          <t>HR Coils</t>
        </is>
      </c>
      <c r="E4302" s="12" t="inlineStr">
        <is>
          <t>N</t>
        </is>
      </c>
      <c r="F4302" s="12" t="n">
        <v>4.13</v>
      </c>
      <c r="G4302" s="17" t="n">
        <v>75425.02</v>
      </c>
      <c r="H4302" s="26" t="n">
        <v>44333</v>
      </c>
      <c r="I4302" s="26" t="n">
        <v>44336</v>
      </c>
      <c r="J4302" s="12" t="n">
        <v>4.12</v>
      </c>
      <c r="K4302" s="17" t="n">
        <v>311505.33</v>
      </c>
      <c r="L4302" s="12" t="n">
        <v>0</v>
      </c>
      <c r="M4302" s="12" t="n">
        <v>0</v>
      </c>
      <c r="N4302" s="27">
        <f>F4302-J4302</f>
        <v/>
      </c>
      <c r="O4302" s="16">
        <f>I4302-H4302</f>
        <v/>
      </c>
      <c r="P4302" s="14">
        <f>F4302*G4302</f>
        <v/>
      </c>
      <c r="Q4302" s="14">
        <f>J4302*G4302</f>
        <v/>
      </c>
      <c r="R4302" s="14">
        <f>K4302-Q4302</f>
        <v/>
      </c>
      <c r="S4302" s="3">
        <f>P4302*Assumptions!$B$3/100</f>
        <v/>
      </c>
      <c r="T4302" s="14">
        <f>R4302-S4302</f>
        <v/>
      </c>
      <c r="U4302" s="14">
        <f>L4302*G4302</f>
        <v/>
      </c>
    </row>
    <row r="4303">
      <c r="A4303" s="12" t="inlineStr">
        <is>
          <t>PO-2023-4301</t>
        </is>
      </c>
      <c r="B4303" s="26" t="n">
        <v>44893</v>
      </c>
      <c r="C4303" s="12" t="inlineStr">
        <is>
          <t>VS05</t>
        </is>
      </c>
      <c r="D4303" s="12" t="inlineStr">
        <is>
          <t>GI Sheets</t>
        </is>
      </c>
      <c r="E4303" s="12" t="inlineStr">
        <is>
          <t>N</t>
        </is>
      </c>
      <c r="F4303" s="12" t="n">
        <v>41.85</v>
      </c>
      <c r="G4303" s="17" t="n">
        <v>59319.91</v>
      </c>
      <c r="H4303" s="26" t="n">
        <v>44906</v>
      </c>
      <c r="I4303" s="26" t="n">
        <v>44908</v>
      </c>
      <c r="J4303" s="12" t="n">
        <v>41.57</v>
      </c>
      <c r="K4303" s="17" t="n">
        <v>2482538.23</v>
      </c>
      <c r="L4303" s="12" t="n">
        <v>0</v>
      </c>
      <c r="M4303" s="12" t="n">
        <v>0</v>
      </c>
      <c r="N4303" s="27">
        <f>F4303-J4303</f>
        <v/>
      </c>
      <c r="O4303" s="16">
        <f>I4303-H4303</f>
        <v/>
      </c>
      <c r="P4303" s="14">
        <f>F4303*G4303</f>
        <v/>
      </c>
      <c r="Q4303" s="14">
        <f>J4303*G4303</f>
        <v/>
      </c>
      <c r="R4303" s="14">
        <f>K4303-Q4303</f>
        <v/>
      </c>
      <c r="S4303" s="3">
        <f>P4303*Assumptions!$B$3/100</f>
        <v/>
      </c>
      <c r="T4303" s="14">
        <f>R4303-S4303</f>
        <v/>
      </c>
      <c r="U4303" s="14">
        <f>L4303*G4303</f>
        <v/>
      </c>
    </row>
    <row r="4304">
      <c r="A4304" s="12" t="inlineStr">
        <is>
          <t>PO-2023-4302</t>
        </is>
      </c>
      <c r="B4304" s="26" t="n">
        <v>44408</v>
      </c>
      <c r="C4304" s="12" t="inlineStr">
        <is>
          <t>VS18</t>
        </is>
      </c>
      <c r="D4304" s="12" t="inlineStr">
        <is>
          <t>Hex Bars</t>
        </is>
      </c>
      <c r="E4304" s="12" t="inlineStr">
        <is>
          <t>Y</t>
        </is>
      </c>
      <c r="F4304" s="12" t="n">
        <v>32.64</v>
      </c>
      <c r="G4304" s="17" t="n">
        <v>80798.39</v>
      </c>
      <c r="H4304" s="26" t="n">
        <v>44418</v>
      </c>
      <c r="I4304" s="26" t="n">
        <v>44418</v>
      </c>
      <c r="J4304" s="12" t="n">
        <v>32.51</v>
      </c>
      <c r="K4304" s="17" t="n">
        <v>2637259.45</v>
      </c>
      <c r="L4304" s="12" t="n">
        <v>0</v>
      </c>
      <c r="M4304" s="12" t="n">
        <v>0</v>
      </c>
      <c r="N4304" s="27">
        <f>F4304-J4304</f>
        <v/>
      </c>
      <c r="O4304" s="16">
        <f>I4304-H4304</f>
        <v/>
      </c>
      <c r="P4304" s="14">
        <f>F4304*G4304</f>
        <v/>
      </c>
      <c r="Q4304" s="14">
        <f>J4304*G4304</f>
        <v/>
      </c>
      <c r="R4304" s="14">
        <f>K4304-Q4304</f>
        <v/>
      </c>
      <c r="S4304" s="3">
        <f>P4304*Assumptions!$B$3/100</f>
        <v/>
      </c>
      <c r="T4304" s="14">
        <f>R4304-S4304</f>
        <v/>
      </c>
      <c r="U4304" s="14">
        <f>L4304*G4304</f>
        <v/>
      </c>
    </row>
    <row r="4305">
      <c r="A4305" s="12" t="inlineStr">
        <is>
          <t>PO-2023-4303</t>
        </is>
      </c>
      <c r="B4305" s="26" t="n">
        <v>44851</v>
      </c>
      <c r="C4305" s="12" t="inlineStr">
        <is>
          <t>VS23</t>
        </is>
      </c>
      <c r="D4305" s="12" t="inlineStr">
        <is>
          <t>Hex Bars</t>
        </is>
      </c>
      <c r="E4305" s="12" t="inlineStr">
        <is>
          <t>N</t>
        </is>
      </c>
      <c r="F4305" s="12" t="n">
        <v>3.45</v>
      </c>
      <c r="G4305" s="17" t="n">
        <v>48154.71</v>
      </c>
      <c r="H4305" s="26" t="n">
        <v>44864</v>
      </c>
      <c r="I4305" s="26" t="n">
        <v>44865</v>
      </c>
      <c r="J4305" s="12" t="n">
        <v>3.44</v>
      </c>
      <c r="K4305" s="17" t="n">
        <v>166133.75</v>
      </c>
      <c r="L4305" s="12" t="n">
        <v>0</v>
      </c>
      <c r="M4305" s="12" t="n">
        <v>20</v>
      </c>
      <c r="N4305" s="27">
        <f>F4305-J4305</f>
        <v/>
      </c>
      <c r="O4305" s="16">
        <f>I4305-H4305</f>
        <v/>
      </c>
      <c r="P4305" s="14">
        <f>F4305*G4305</f>
        <v/>
      </c>
      <c r="Q4305" s="14">
        <f>J4305*G4305</f>
        <v/>
      </c>
      <c r="R4305" s="14">
        <f>K4305-Q4305</f>
        <v/>
      </c>
      <c r="S4305" s="3">
        <f>P4305*Assumptions!$B$3/100</f>
        <v/>
      </c>
      <c r="T4305" s="14">
        <f>R4305-S4305</f>
        <v/>
      </c>
      <c r="U4305" s="14">
        <f>L4305*G4305</f>
        <v/>
      </c>
    </row>
    <row r="4306">
      <c r="A4306" s="12" t="inlineStr">
        <is>
          <t>PO-2023-4304</t>
        </is>
      </c>
      <c r="B4306" s="26" t="n">
        <v>44221</v>
      </c>
      <c r="C4306" s="12" t="inlineStr">
        <is>
          <t>VS07</t>
        </is>
      </c>
      <c r="D4306" s="12" t="inlineStr">
        <is>
          <t>MS Rods</t>
        </is>
      </c>
      <c r="E4306" s="12" t="inlineStr">
        <is>
          <t>N</t>
        </is>
      </c>
      <c r="F4306" s="12" t="n">
        <v>26.3</v>
      </c>
      <c r="G4306" s="17" t="n">
        <v>68832.09</v>
      </c>
      <c r="H4306" s="26" t="n">
        <v>44228</v>
      </c>
      <c r="I4306" s="26" t="n">
        <v>44230</v>
      </c>
      <c r="J4306" s="12" t="n">
        <v>26.22</v>
      </c>
      <c r="K4306" s="17" t="n">
        <v>1810283.97</v>
      </c>
      <c r="L4306" s="12" t="n">
        <v>0</v>
      </c>
      <c r="M4306" s="12" t="n">
        <v>0</v>
      </c>
      <c r="N4306" s="27">
        <f>F4306-J4306</f>
        <v/>
      </c>
      <c r="O4306" s="16">
        <f>I4306-H4306</f>
        <v/>
      </c>
      <c r="P4306" s="14">
        <f>F4306*G4306</f>
        <v/>
      </c>
      <c r="Q4306" s="14">
        <f>J4306*G4306</f>
        <v/>
      </c>
      <c r="R4306" s="14">
        <f>K4306-Q4306</f>
        <v/>
      </c>
      <c r="S4306" s="3">
        <f>P4306*Assumptions!$B$3/100</f>
        <v/>
      </c>
      <c r="T4306" s="14">
        <f>R4306-S4306</f>
        <v/>
      </c>
      <c r="U4306" s="14">
        <f>L4306*G4306</f>
        <v/>
      </c>
    </row>
    <row r="4307">
      <c r="A4307" s="12" t="inlineStr">
        <is>
          <t>PO-2023-4305</t>
        </is>
      </c>
      <c r="B4307" s="26" t="n">
        <v>45113</v>
      </c>
      <c r="C4307" s="12" t="inlineStr">
        <is>
          <t>VS08</t>
        </is>
      </c>
      <c r="D4307" s="12" t="inlineStr">
        <is>
          <t>Structural Steel</t>
        </is>
      </c>
      <c r="E4307" s="12" t="inlineStr">
        <is>
          <t>N</t>
        </is>
      </c>
      <c r="F4307" s="12" t="n">
        <v>42.2</v>
      </c>
      <c r="G4307" s="17" t="n">
        <v>78810.22</v>
      </c>
      <c r="H4307" s="26" t="n">
        <v>45120</v>
      </c>
      <c r="I4307" s="26" t="n">
        <v>45123</v>
      </c>
      <c r="J4307" s="12" t="n">
        <v>41.99</v>
      </c>
      <c r="K4307" s="17" t="n">
        <v>3325791.28</v>
      </c>
      <c r="L4307" s="12" t="n">
        <v>0</v>
      </c>
      <c r="M4307" s="12" t="n">
        <v>0</v>
      </c>
      <c r="N4307" s="27">
        <f>F4307-J4307</f>
        <v/>
      </c>
      <c r="O4307" s="16">
        <f>I4307-H4307</f>
        <v/>
      </c>
      <c r="P4307" s="14">
        <f>F4307*G4307</f>
        <v/>
      </c>
      <c r="Q4307" s="14">
        <f>J4307*G4307</f>
        <v/>
      </c>
      <c r="R4307" s="14">
        <f>K4307-Q4307</f>
        <v/>
      </c>
      <c r="S4307" s="3">
        <f>P4307*Assumptions!$B$3/100</f>
        <v/>
      </c>
      <c r="T4307" s="14">
        <f>R4307-S4307</f>
        <v/>
      </c>
      <c r="U4307" s="14">
        <f>L4307*G4307</f>
        <v/>
      </c>
    </row>
    <row r="4308">
      <c r="A4308" s="12" t="inlineStr">
        <is>
          <t>PO-2023-4306</t>
        </is>
      </c>
      <c r="B4308" s="26" t="n">
        <v>44270</v>
      </c>
      <c r="C4308" s="12" t="inlineStr">
        <is>
          <t>VS06</t>
        </is>
      </c>
      <c r="D4308" s="12" t="inlineStr">
        <is>
          <t>GI Pipes</t>
        </is>
      </c>
      <c r="E4308" s="12" t="inlineStr">
        <is>
          <t>N</t>
        </is>
      </c>
      <c r="F4308" s="12" t="n">
        <v>8.58</v>
      </c>
      <c r="G4308" s="17" t="n">
        <v>79694.23</v>
      </c>
      <c r="H4308" s="26" t="n">
        <v>44283</v>
      </c>
      <c r="I4308" s="26" t="n">
        <v>44286</v>
      </c>
      <c r="J4308" s="12" t="n">
        <v>8.49</v>
      </c>
      <c r="K4308" s="17" t="n">
        <v>683776.49</v>
      </c>
      <c r="L4308" s="12" t="n">
        <v>0</v>
      </c>
      <c r="M4308" s="12" t="n">
        <v>22</v>
      </c>
      <c r="N4308" s="27">
        <f>F4308-J4308</f>
        <v/>
      </c>
      <c r="O4308" s="16">
        <f>I4308-H4308</f>
        <v/>
      </c>
      <c r="P4308" s="14">
        <f>F4308*G4308</f>
        <v/>
      </c>
      <c r="Q4308" s="14">
        <f>J4308*G4308</f>
        <v/>
      </c>
      <c r="R4308" s="14">
        <f>K4308-Q4308</f>
        <v/>
      </c>
      <c r="S4308" s="3">
        <f>P4308*Assumptions!$B$3/100</f>
        <v/>
      </c>
      <c r="T4308" s="14">
        <f>R4308-S4308</f>
        <v/>
      </c>
      <c r="U4308" s="14">
        <f>L4308*G4308</f>
        <v/>
      </c>
    </row>
    <row r="4309">
      <c r="A4309" s="12" t="inlineStr">
        <is>
          <t>PO-2023-4307</t>
        </is>
      </c>
      <c r="B4309" s="26" t="n">
        <v>44407</v>
      </c>
      <c r="C4309" s="12" t="inlineStr">
        <is>
          <t>VS26</t>
        </is>
      </c>
      <c r="D4309" s="12" t="inlineStr">
        <is>
          <t>Hex Bars</t>
        </is>
      </c>
      <c r="E4309" s="12" t="inlineStr">
        <is>
          <t>N</t>
        </is>
      </c>
      <c r="F4309" s="12" t="n">
        <v>35</v>
      </c>
      <c r="G4309" s="17" t="n">
        <v>93437.85000000001</v>
      </c>
      <c r="H4309" s="26" t="n">
        <v>44413</v>
      </c>
      <c r="I4309" s="26" t="n">
        <v>44416</v>
      </c>
      <c r="J4309" s="12" t="n">
        <v>34.85</v>
      </c>
      <c r="K4309" s="17" t="n">
        <v>3270324.75</v>
      </c>
      <c r="L4309" s="12" t="n">
        <v>0</v>
      </c>
      <c r="M4309" s="12" t="n">
        <v>3</v>
      </c>
      <c r="N4309" s="27">
        <f>F4309-J4309</f>
        <v/>
      </c>
      <c r="O4309" s="16">
        <f>I4309-H4309</f>
        <v/>
      </c>
      <c r="P4309" s="14">
        <f>F4309*G4309</f>
        <v/>
      </c>
      <c r="Q4309" s="14">
        <f>J4309*G4309</f>
        <v/>
      </c>
      <c r="R4309" s="14">
        <f>K4309-Q4309</f>
        <v/>
      </c>
      <c r="S4309" s="3">
        <f>P4309*Assumptions!$B$3/100</f>
        <v/>
      </c>
      <c r="T4309" s="14">
        <f>R4309-S4309</f>
        <v/>
      </c>
      <c r="U4309" s="14">
        <f>L4309*G4309</f>
        <v/>
      </c>
    </row>
    <row r="4310">
      <c r="A4310" s="12" t="inlineStr">
        <is>
          <t>PO-2023-4308</t>
        </is>
      </c>
      <c r="B4310" s="26" t="n">
        <v>45187</v>
      </c>
      <c r="C4310" s="12" t="inlineStr">
        <is>
          <t>VS07</t>
        </is>
      </c>
      <c r="D4310" s="12" t="inlineStr">
        <is>
          <t>GI Wire</t>
        </is>
      </c>
      <c r="E4310" s="12" t="inlineStr">
        <is>
          <t>N</t>
        </is>
      </c>
      <c r="F4310" s="12" t="n">
        <v>5.58</v>
      </c>
      <c r="G4310" s="17" t="n">
        <v>72436.02</v>
      </c>
      <c r="H4310" s="26" t="n">
        <v>45196</v>
      </c>
      <c r="I4310" s="26" t="n">
        <v>45197</v>
      </c>
      <c r="J4310" s="12" t="n">
        <v>5.53</v>
      </c>
      <c r="K4310" s="17" t="n">
        <v>404192.99</v>
      </c>
      <c r="L4310" s="12" t="n">
        <v>0</v>
      </c>
      <c r="M4310" s="12" t="n">
        <v>2</v>
      </c>
      <c r="N4310" s="27">
        <f>F4310-J4310</f>
        <v/>
      </c>
      <c r="O4310" s="16">
        <f>I4310-H4310</f>
        <v/>
      </c>
      <c r="P4310" s="14">
        <f>F4310*G4310</f>
        <v/>
      </c>
      <c r="Q4310" s="14">
        <f>J4310*G4310</f>
        <v/>
      </c>
      <c r="R4310" s="14">
        <f>K4310-Q4310</f>
        <v/>
      </c>
      <c r="S4310" s="3">
        <f>P4310*Assumptions!$B$3/100</f>
        <v/>
      </c>
      <c r="T4310" s="14">
        <f>R4310-S4310</f>
        <v/>
      </c>
      <c r="U4310" s="14">
        <f>L4310*G4310</f>
        <v/>
      </c>
    </row>
    <row r="4311">
      <c r="A4311" s="12" t="inlineStr">
        <is>
          <t>PO-2023-4309</t>
        </is>
      </c>
      <c r="B4311" s="26" t="n">
        <v>45065</v>
      </c>
      <c r="C4311" s="12" t="inlineStr">
        <is>
          <t>VS34</t>
        </is>
      </c>
      <c r="D4311" s="12" t="inlineStr">
        <is>
          <t>GI Wire</t>
        </is>
      </c>
      <c r="E4311" s="12" t="inlineStr">
        <is>
          <t>Y</t>
        </is>
      </c>
      <c r="F4311" s="12" t="n">
        <v>6.53</v>
      </c>
      <c r="G4311" s="17" t="n">
        <v>87656.27</v>
      </c>
      <c r="H4311" s="26" t="n">
        <v>45075</v>
      </c>
      <c r="I4311" s="26" t="n">
        <v>45076</v>
      </c>
      <c r="J4311" s="12" t="n">
        <v>6.52</v>
      </c>
      <c r="K4311" s="17" t="n">
        <v>572395.4399999999</v>
      </c>
      <c r="L4311" s="12" t="n">
        <v>0</v>
      </c>
      <c r="M4311" s="12" t="n">
        <v>0</v>
      </c>
      <c r="N4311" s="27">
        <f>F4311-J4311</f>
        <v/>
      </c>
      <c r="O4311" s="16">
        <f>I4311-H4311</f>
        <v/>
      </c>
      <c r="P4311" s="14">
        <f>F4311*G4311</f>
        <v/>
      </c>
      <c r="Q4311" s="14">
        <f>J4311*G4311</f>
        <v/>
      </c>
      <c r="R4311" s="14">
        <f>K4311-Q4311</f>
        <v/>
      </c>
      <c r="S4311" s="3">
        <f>P4311*Assumptions!$B$3/100</f>
        <v/>
      </c>
      <c r="T4311" s="14">
        <f>R4311-S4311</f>
        <v/>
      </c>
      <c r="U4311" s="14">
        <f>L4311*G4311</f>
        <v/>
      </c>
    </row>
    <row r="4312">
      <c r="A4312" s="12" t="inlineStr">
        <is>
          <t>PO-2023-4310</t>
        </is>
      </c>
      <c r="B4312" s="26" t="n">
        <v>44986</v>
      </c>
      <c r="C4312" s="12" t="inlineStr">
        <is>
          <t>VS29</t>
        </is>
      </c>
      <c r="D4312" s="12" t="inlineStr">
        <is>
          <t>Angles &amp; Channels</t>
        </is>
      </c>
      <c r="E4312" s="12" t="inlineStr">
        <is>
          <t>N</t>
        </is>
      </c>
      <c r="F4312" s="12" t="n">
        <v>29.38</v>
      </c>
      <c r="G4312" s="17" t="n">
        <v>98460.50999999999</v>
      </c>
      <c r="H4312" s="26" t="n">
        <v>44992</v>
      </c>
      <c r="I4312" s="26" t="n">
        <v>44994</v>
      </c>
      <c r="J4312" s="12" t="n">
        <v>29.38</v>
      </c>
      <c r="K4312" s="17" t="n">
        <v>2892769.78</v>
      </c>
      <c r="L4312" s="12" t="n">
        <v>0</v>
      </c>
      <c r="M4312" s="12" t="n">
        <v>0</v>
      </c>
      <c r="N4312" s="27">
        <f>F4312-J4312</f>
        <v/>
      </c>
      <c r="O4312" s="16">
        <f>I4312-H4312</f>
        <v/>
      </c>
      <c r="P4312" s="14">
        <f>F4312*G4312</f>
        <v/>
      </c>
      <c r="Q4312" s="14">
        <f>J4312*G4312</f>
        <v/>
      </c>
      <c r="R4312" s="14">
        <f>K4312-Q4312</f>
        <v/>
      </c>
      <c r="S4312" s="3">
        <f>P4312*Assumptions!$B$3/100</f>
        <v/>
      </c>
      <c r="T4312" s="14">
        <f>R4312-S4312</f>
        <v/>
      </c>
      <c r="U4312" s="14">
        <f>L4312*G4312</f>
        <v/>
      </c>
    </row>
    <row r="4313">
      <c r="A4313" s="12" t="inlineStr">
        <is>
          <t>PO-2023-4311</t>
        </is>
      </c>
      <c r="B4313" s="26" t="n">
        <v>44604</v>
      </c>
      <c r="C4313" s="12" t="inlineStr">
        <is>
          <t>VS11</t>
        </is>
      </c>
      <c r="D4313" s="12" t="inlineStr">
        <is>
          <t>GI Wire</t>
        </is>
      </c>
      <c r="E4313" s="12" t="inlineStr">
        <is>
          <t>N</t>
        </is>
      </c>
      <c r="F4313" s="12" t="n">
        <v>4.22</v>
      </c>
      <c r="G4313" s="17" t="n">
        <v>110233.88</v>
      </c>
      <c r="H4313" s="26" t="n">
        <v>44618</v>
      </c>
      <c r="I4313" s="26" t="n">
        <v>44619</v>
      </c>
      <c r="J4313" s="12" t="n">
        <v>4.18</v>
      </c>
      <c r="K4313" s="17" t="n">
        <v>465186.97</v>
      </c>
      <c r="L4313" s="12" t="n">
        <v>0</v>
      </c>
      <c r="M4313" s="12" t="n">
        <v>13</v>
      </c>
      <c r="N4313" s="27">
        <f>F4313-J4313</f>
        <v/>
      </c>
      <c r="O4313" s="16">
        <f>I4313-H4313</f>
        <v/>
      </c>
      <c r="P4313" s="14">
        <f>F4313*G4313</f>
        <v/>
      </c>
      <c r="Q4313" s="14">
        <f>J4313*G4313</f>
        <v/>
      </c>
      <c r="R4313" s="14">
        <f>K4313-Q4313</f>
        <v/>
      </c>
      <c r="S4313" s="3">
        <f>P4313*Assumptions!$B$3/100</f>
        <v/>
      </c>
      <c r="T4313" s="14">
        <f>R4313-S4313</f>
        <v/>
      </c>
      <c r="U4313" s="14">
        <f>L4313*G4313</f>
        <v/>
      </c>
    </row>
    <row r="4314">
      <c r="A4314" s="12" t="inlineStr">
        <is>
          <t>PO-2023-4312</t>
        </is>
      </c>
      <c r="B4314" s="26" t="n">
        <v>44854</v>
      </c>
      <c r="C4314" s="12" t="inlineStr">
        <is>
          <t>VS02</t>
        </is>
      </c>
      <c r="D4314" s="12" t="inlineStr">
        <is>
          <t>MS Flats</t>
        </is>
      </c>
      <c r="E4314" s="12" t="inlineStr">
        <is>
          <t>N</t>
        </is>
      </c>
      <c r="F4314" s="12" t="n">
        <v>48.51</v>
      </c>
      <c r="G4314" s="17" t="n">
        <v>85223.23</v>
      </c>
      <c r="H4314" s="26" t="n">
        <v>44862</v>
      </c>
      <c r="I4314" s="26" t="n">
        <v>44862</v>
      </c>
      <c r="J4314" s="12" t="n">
        <v>48.21</v>
      </c>
      <c r="K4314" s="17" t="n">
        <v>4134178.89</v>
      </c>
      <c r="L4314" s="12" t="n">
        <v>0</v>
      </c>
      <c r="M4314" s="12" t="n">
        <v>0</v>
      </c>
      <c r="N4314" s="27">
        <f>F4314-J4314</f>
        <v/>
      </c>
      <c r="O4314" s="16">
        <f>I4314-H4314</f>
        <v/>
      </c>
      <c r="P4314" s="14">
        <f>F4314*G4314</f>
        <v/>
      </c>
      <c r="Q4314" s="14">
        <f>J4314*G4314</f>
        <v/>
      </c>
      <c r="R4314" s="14">
        <f>K4314-Q4314</f>
        <v/>
      </c>
      <c r="S4314" s="3">
        <f>P4314*Assumptions!$B$3/100</f>
        <v/>
      </c>
      <c r="T4314" s="14">
        <f>R4314-S4314</f>
        <v/>
      </c>
      <c r="U4314" s="14">
        <f>L4314*G4314</f>
        <v/>
      </c>
    </row>
    <row r="4315">
      <c r="A4315" s="12" t="inlineStr">
        <is>
          <t>PO-2023-4313</t>
        </is>
      </c>
      <c r="B4315" s="26" t="n">
        <v>44585</v>
      </c>
      <c r="C4315" s="12" t="inlineStr">
        <is>
          <t>VS17</t>
        </is>
      </c>
      <c r="D4315" s="12" t="inlineStr">
        <is>
          <t>Angles &amp; Channels</t>
        </is>
      </c>
      <c r="E4315" s="12" t="inlineStr">
        <is>
          <t>N</t>
        </is>
      </c>
      <c r="F4315" s="12" t="n">
        <v>32.54</v>
      </c>
      <c r="G4315" s="17" t="n">
        <v>50023.04</v>
      </c>
      <c r="H4315" s="26" t="n">
        <v>44593</v>
      </c>
      <c r="I4315" s="26" t="n">
        <v>44596</v>
      </c>
      <c r="J4315" s="12" t="n">
        <v>32.53</v>
      </c>
      <c r="K4315" s="17" t="n">
        <v>1627749.72</v>
      </c>
      <c r="L4315" s="12" t="n">
        <v>0</v>
      </c>
      <c r="M4315" s="12" t="n">
        <v>8</v>
      </c>
      <c r="N4315" s="27">
        <f>F4315-J4315</f>
        <v/>
      </c>
      <c r="O4315" s="16">
        <f>I4315-H4315</f>
        <v/>
      </c>
      <c r="P4315" s="14">
        <f>F4315*G4315</f>
        <v/>
      </c>
      <c r="Q4315" s="14">
        <f>J4315*G4315</f>
        <v/>
      </c>
      <c r="R4315" s="14">
        <f>K4315-Q4315</f>
        <v/>
      </c>
      <c r="S4315" s="3">
        <f>P4315*Assumptions!$B$3/100</f>
        <v/>
      </c>
      <c r="T4315" s="14">
        <f>R4315-S4315</f>
        <v/>
      </c>
      <c r="U4315" s="14">
        <f>L4315*G4315</f>
        <v/>
      </c>
    </row>
    <row r="4316">
      <c r="A4316" s="12" t="inlineStr">
        <is>
          <t>PO-2023-4314</t>
        </is>
      </c>
      <c r="B4316" s="26" t="n">
        <v>45061</v>
      </c>
      <c r="C4316" s="12" t="inlineStr">
        <is>
          <t>VS21</t>
        </is>
      </c>
      <c r="D4316" s="12" t="inlineStr">
        <is>
          <t>Fasteners &amp; Fittings</t>
        </is>
      </c>
      <c r="E4316" s="12" t="inlineStr">
        <is>
          <t>N</t>
        </is>
      </c>
      <c r="F4316" s="12" t="n">
        <v>35.57</v>
      </c>
      <c r="G4316" s="17" t="n">
        <v>85907.42</v>
      </c>
      <c r="H4316" s="26" t="n">
        <v>45067</v>
      </c>
      <c r="I4316" s="26" t="n">
        <v>45068</v>
      </c>
      <c r="J4316" s="12" t="n">
        <v>35.32</v>
      </c>
      <c r="K4316" s="17" t="n">
        <v>3055726.93</v>
      </c>
      <c r="L4316" s="12" t="n">
        <v>0</v>
      </c>
      <c r="M4316" s="12" t="n">
        <v>0</v>
      </c>
      <c r="N4316" s="27">
        <f>F4316-J4316</f>
        <v/>
      </c>
      <c r="O4316" s="16">
        <f>I4316-H4316</f>
        <v/>
      </c>
      <c r="P4316" s="14">
        <f>F4316*G4316</f>
        <v/>
      </c>
      <c r="Q4316" s="14">
        <f>J4316*G4316</f>
        <v/>
      </c>
      <c r="R4316" s="14">
        <f>K4316-Q4316</f>
        <v/>
      </c>
      <c r="S4316" s="3">
        <f>P4316*Assumptions!$B$3/100</f>
        <v/>
      </c>
      <c r="T4316" s="14">
        <f>R4316-S4316</f>
        <v/>
      </c>
      <c r="U4316" s="14">
        <f>L4316*G4316</f>
        <v/>
      </c>
    </row>
    <row r="4317">
      <c r="A4317" s="12" t="inlineStr">
        <is>
          <t>PO-2023-4315</t>
        </is>
      </c>
      <c r="B4317" s="26" t="n">
        <v>44943</v>
      </c>
      <c r="C4317" s="12" t="inlineStr">
        <is>
          <t>VS16</t>
        </is>
      </c>
      <c r="D4317" s="12" t="inlineStr">
        <is>
          <t>HR Coils</t>
        </is>
      </c>
      <c r="E4317" s="12" t="inlineStr">
        <is>
          <t>Y</t>
        </is>
      </c>
      <c r="F4317" s="12" t="n">
        <v>29.35</v>
      </c>
      <c r="G4317" s="17" t="n">
        <v>89495.03</v>
      </c>
      <c r="H4317" s="26" t="n">
        <v>44958</v>
      </c>
      <c r="I4317" s="26" t="n">
        <v>44960</v>
      </c>
      <c r="J4317" s="12" t="n">
        <v>29.33</v>
      </c>
      <c r="K4317" s="17" t="n">
        <v>2626679.13</v>
      </c>
      <c r="L4317" s="12" t="n">
        <v>0</v>
      </c>
      <c r="M4317" s="12" t="n">
        <v>0</v>
      </c>
      <c r="N4317" s="27">
        <f>F4317-J4317</f>
        <v/>
      </c>
      <c r="O4317" s="16">
        <f>I4317-H4317</f>
        <v/>
      </c>
      <c r="P4317" s="14">
        <f>F4317*G4317</f>
        <v/>
      </c>
      <c r="Q4317" s="14">
        <f>J4317*G4317</f>
        <v/>
      </c>
      <c r="R4317" s="14">
        <f>K4317-Q4317</f>
        <v/>
      </c>
      <c r="S4317" s="3">
        <f>P4317*Assumptions!$B$3/100</f>
        <v/>
      </c>
      <c r="T4317" s="14">
        <f>R4317-S4317</f>
        <v/>
      </c>
      <c r="U4317" s="14">
        <f>L4317*G4317</f>
        <v/>
      </c>
    </row>
    <row r="4318">
      <c r="A4318" s="12" t="inlineStr">
        <is>
          <t>PO-2023-4316</t>
        </is>
      </c>
      <c r="B4318" s="26" t="n">
        <v>45239</v>
      </c>
      <c r="C4318" s="12" t="inlineStr">
        <is>
          <t>VS11</t>
        </is>
      </c>
      <c r="D4318" s="12" t="inlineStr">
        <is>
          <t>SS Sheets</t>
        </is>
      </c>
      <c r="E4318" s="12" t="inlineStr">
        <is>
          <t>N</t>
        </is>
      </c>
      <c r="F4318" s="12" t="n">
        <v>8.800000000000001</v>
      </c>
      <c r="G4318" s="17" t="n">
        <v>75013.48</v>
      </c>
      <c r="H4318" s="26" t="n">
        <v>45244</v>
      </c>
      <c r="I4318" s="26" t="n">
        <v>45245</v>
      </c>
      <c r="J4318" s="12" t="n">
        <v>8.74</v>
      </c>
      <c r="K4318" s="17" t="n">
        <v>660118.62</v>
      </c>
      <c r="L4318" s="12" t="n">
        <v>0</v>
      </c>
      <c r="M4318" s="12" t="n">
        <v>15</v>
      </c>
      <c r="N4318" s="27">
        <f>F4318-J4318</f>
        <v/>
      </c>
      <c r="O4318" s="16">
        <f>I4318-H4318</f>
        <v/>
      </c>
      <c r="P4318" s="14">
        <f>F4318*G4318</f>
        <v/>
      </c>
      <c r="Q4318" s="14">
        <f>J4318*G4318</f>
        <v/>
      </c>
      <c r="R4318" s="14">
        <f>K4318-Q4318</f>
        <v/>
      </c>
      <c r="S4318" s="3">
        <f>P4318*Assumptions!$B$3/100</f>
        <v/>
      </c>
      <c r="T4318" s="14">
        <f>R4318-S4318</f>
        <v/>
      </c>
      <c r="U4318" s="14">
        <f>L4318*G4318</f>
        <v/>
      </c>
    </row>
    <row r="4319">
      <c r="A4319" s="12" t="inlineStr">
        <is>
          <t>PO-2023-4317</t>
        </is>
      </c>
      <c r="B4319" s="26" t="n">
        <v>44390</v>
      </c>
      <c r="C4319" s="12" t="inlineStr">
        <is>
          <t>VS30</t>
        </is>
      </c>
      <c r="D4319" s="12" t="inlineStr">
        <is>
          <t>Structural Steel</t>
        </is>
      </c>
      <c r="E4319" s="12" t="inlineStr">
        <is>
          <t>Y</t>
        </is>
      </c>
      <c r="F4319" s="12" t="n">
        <v>17.42</v>
      </c>
      <c r="G4319" s="17" t="n">
        <v>48248.58</v>
      </c>
      <c r="H4319" s="26" t="n">
        <v>44403</v>
      </c>
      <c r="I4319" s="26" t="n">
        <v>44403</v>
      </c>
      <c r="J4319" s="12" t="n">
        <v>17.38</v>
      </c>
      <c r="K4319" s="17" t="n">
        <v>840490.26</v>
      </c>
      <c r="L4319" s="12" t="n">
        <v>0</v>
      </c>
      <c r="M4319" s="12" t="n">
        <v>0</v>
      </c>
      <c r="N4319" s="27">
        <f>F4319-J4319</f>
        <v/>
      </c>
      <c r="O4319" s="16">
        <f>I4319-H4319</f>
        <v/>
      </c>
      <c r="P4319" s="14">
        <f>F4319*G4319</f>
        <v/>
      </c>
      <c r="Q4319" s="14">
        <f>J4319*G4319</f>
        <v/>
      </c>
      <c r="R4319" s="14">
        <f>K4319-Q4319</f>
        <v/>
      </c>
      <c r="S4319" s="3">
        <f>P4319*Assumptions!$B$3/100</f>
        <v/>
      </c>
      <c r="T4319" s="14">
        <f>R4319-S4319</f>
        <v/>
      </c>
      <c r="U4319" s="14">
        <f>L4319*G4319</f>
        <v/>
      </c>
    </row>
    <row r="4320">
      <c r="A4320" s="12" t="inlineStr">
        <is>
          <t>PO-2023-4318</t>
        </is>
      </c>
      <c r="B4320" s="26" t="n">
        <v>44873</v>
      </c>
      <c r="C4320" s="12" t="inlineStr">
        <is>
          <t>VS18</t>
        </is>
      </c>
      <c r="D4320" s="12" t="inlineStr">
        <is>
          <t>GI Wire</t>
        </is>
      </c>
      <c r="E4320" s="12" t="inlineStr">
        <is>
          <t>N</t>
        </is>
      </c>
      <c r="F4320" s="12" t="n">
        <v>21.96</v>
      </c>
      <c r="G4320" s="17" t="n">
        <v>81365.81</v>
      </c>
      <c r="H4320" s="26" t="n">
        <v>44879</v>
      </c>
      <c r="I4320" s="26" t="n">
        <v>44880</v>
      </c>
      <c r="J4320" s="12" t="n">
        <v>21.87</v>
      </c>
      <c r="K4320" s="17" t="n">
        <v>1786793.19</v>
      </c>
      <c r="L4320" s="12" t="n">
        <v>0</v>
      </c>
      <c r="M4320" s="12" t="n">
        <v>25</v>
      </c>
      <c r="N4320" s="27">
        <f>F4320-J4320</f>
        <v/>
      </c>
      <c r="O4320" s="16">
        <f>I4320-H4320</f>
        <v/>
      </c>
      <c r="P4320" s="14">
        <f>F4320*G4320</f>
        <v/>
      </c>
      <c r="Q4320" s="14">
        <f>J4320*G4320</f>
        <v/>
      </c>
      <c r="R4320" s="14">
        <f>K4320-Q4320</f>
        <v/>
      </c>
      <c r="S4320" s="3">
        <f>P4320*Assumptions!$B$3/100</f>
        <v/>
      </c>
      <c r="T4320" s="14">
        <f>R4320-S4320</f>
        <v/>
      </c>
      <c r="U4320" s="14">
        <f>L4320*G4320</f>
        <v/>
      </c>
    </row>
    <row r="4321">
      <c r="A4321" s="12" t="inlineStr">
        <is>
          <t>PO-2023-4319</t>
        </is>
      </c>
      <c r="B4321" s="26" t="n">
        <v>44205</v>
      </c>
      <c r="C4321" s="12" t="inlineStr">
        <is>
          <t>VS13</t>
        </is>
      </c>
      <c r="D4321" s="12" t="inlineStr">
        <is>
          <t>MS Pipes</t>
        </is>
      </c>
      <c r="E4321" s="12" t="inlineStr">
        <is>
          <t>N</t>
        </is>
      </c>
      <c r="F4321" s="12" t="n">
        <v>8.43</v>
      </c>
      <c r="G4321" s="17" t="n">
        <v>83657.88</v>
      </c>
      <c r="H4321" s="26" t="n">
        <v>44211</v>
      </c>
      <c r="I4321" s="26" t="n">
        <v>44211</v>
      </c>
      <c r="J4321" s="12" t="n">
        <v>8.369999999999999</v>
      </c>
      <c r="K4321" s="17" t="n">
        <v>705235.9300000001</v>
      </c>
      <c r="L4321" s="12" t="n">
        <v>0</v>
      </c>
      <c r="M4321" s="12" t="n">
        <v>2</v>
      </c>
      <c r="N4321" s="27">
        <f>F4321-J4321</f>
        <v/>
      </c>
      <c r="O4321" s="16">
        <f>I4321-H4321</f>
        <v/>
      </c>
      <c r="P4321" s="14">
        <f>F4321*G4321</f>
        <v/>
      </c>
      <c r="Q4321" s="14">
        <f>J4321*G4321</f>
        <v/>
      </c>
      <c r="R4321" s="14">
        <f>K4321-Q4321</f>
        <v/>
      </c>
      <c r="S4321" s="3">
        <f>P4321*Assumptions!$B$3/100</f>
        <v/>
      </c>
      <c r="T4321" s="14">
        <f>R4321-S4321</f>
        <v/>
      </c>
      <c r="U4321" s="14">
        <f>L4321*G4321</f>
        <v/>
      </c>
    </row>
    <row r="4322">
      <c r="A4322" s="12" t="inlineStr">
        <is>
          <t>PO-2023-4320</t>
        </is>
      </c>
      <c r="B4322" s="26" t="n">
        <v>44519</v>
      </c>
      <c r="C4322" s="12" t="inlineStr">
        <is>
          <t>VS30</t>
        </is>
      </c>
      <c r="D4322" s="12" t="inlineStr">
        <is>
          <t>MS Sheets</t>
        </is>
      </c>
      <c r="E4322" s="12" t="inlineStr">
        <is>
          <t>N</t>
        </is>
      </c>
      <c r="F4322" s="12" t="n">
        <v>24.47</v>
      </c>
      <c r="G4322" s="17" t="n">
        <v>73818.64999999999</v>
      </c>
      <c r="H4322" s="26" t="n">
        <v>44531</v>
      </c>
      <c r="I4322" s="26" t="n">
        <v>44534</v>
      </c>
      <c r="J4322" s="12" t="n">
        <v>24.42</v>
      </c>
      <c r="K4322" s="17" t="n">
        <v>1806342.37</v>
      </c>
      <c r="L4322" s="12" t="n">
        <v>0</v>
      </c>
      <c r="M4322" s="12" t="n">
        <v>0</v>
      </c>
      <c r="N4322" s="27">
        <f>F4322-J4322</f>
        <v/>
      </c>
      <c r="O4322" s="16">
        <f>I4322-H4322</f>
        <v/>
      </c>
      <c r="P4322" s="14">
        <f>F4322*G4322</f>
        <v/>
      </c>
      <c r="Q4322" s="14">
        <f>J4322*G4322</f>
        <v/>
      </c>
      <c r="R4322" s="14">
        <f>K4322-Q4322</f>
        <v/>
      </c>
      <c r="S4322" s="3">
        <f>P4322*Assumptions!$B$3/100</f>
        <v/>
      </c>
      <c r="T4322" s="14">
        <f>R4322-S4322</f>
        <v/>
      </c>
      <c r="U4322" s="14">
        <f>L4322*G4322</f>
        <v/>
      </c>
    </row>
    <row r="4323">
      <c r="A4323" s="12" t="inlineStr">
        <is>
          <t>PO-2023-4321</t>
        </is>
      </c>
      <c r="B4323" s="26" t="n">
        <v>44651</v>
      </c>
      <c r="C4323" s="12" t="inlineStr">
        <is>
          <t>VS17</t>
        </is>
      </c>
      <c r="D4323" s="12" t="inlineStr">
        <is>
          <t>MS Flats</t>
        </is>
      </c>
      <c r="E4323" s="12" t="inlineStr">
        <is>
          <t>N</t>
        </is>
      </c>
      <c r="F4323" s="12" t="n">
        <v>4.41</v>
      </c>
      <c r="G4323" s="17" t="n">
        <v>72823.14999999999</v>
      </c>
      <c r="H4323" s="26" t="n">
        <v>44665</v>
      </c>
      <c r="I4323" s="26" t="n">
        <v>44665</v>
      </c>
      <c r="J4323" s="12" t="n">
        <v>4.37</v>
      </c>
      <c r="K4323" s="17" t="n">
        <v>321150.09</v>
      </c>
      <c r="L4323" s="12" t="n">
        <v>0</v>
      </c>
      <c r="M4323" s="12" t="n">
        <v>12</v>
      </c>
      <c r="N4323" s="27">
        <f>F4323-J4323</f>
        <v/>
      </c>
      <c r="O4323" s="16">
        <f>I4323-H4323</f>
        <v/>
      </c>
      <c r="P4323" s="14">
        <f>F4323*G4323</f>
        <v/>
      </c>
      <c r="Q4323" s="14">
        <f>J4323*G4323</f>
        <v/>
      </c>
      <c r="R4323" s="14">
        <f>K4323-Q4323</f>
        <v/>
      </c>
      <c r="S4323" s="3">
        <f>P4323*Assumptions!$B$3/100</f>
        <v/>
      </c>
      <c r="T4323" s="14">
        <f>R4323-S4323</f>
        <v/>
      </c>
      <c r="U4323" s="14">
        <f>L4323*G4323</f>
        <v/>
      </c>
    </row>
    <row r="4324">
      <c r="A4324" s="12" t="inlineStr">
        <is>
          <t>PO-2023-4322</t>
        </is>
      </c>
      <c r="B4324" s="26" t="n">
        <v>44322</v>
      </c>
      <c r="C4324" s="12" t="inlineStr">
        <is>
          <t>VS11</t>
        </is>
      </c>
      <c r="D4324" s="12" t="inlineStr">
        <is>
          <t>MS Flats</t>
        </is>
      </c>
      <c r="E4324" s="12" t="inlineStr">
        <is>
          <t>N</t>
        </is>
      </c>
      <c r="F4324" s="12" t="n">
        <v>7.16</v>
      </c>
      <c r="G4324" s="17" t="n">
        <v>83839.42</v>
      </c>
      <c r="H4324" s="26" t="n">
        <v>44329</v>
      </c>
      <c r="I4324" s="26" t="n">
        <v>44330</v>
      </c>
      <c r="J4324" s="12" t="n">
        <v>7.15</v>
      </c>
      <c r="K4324" s="17" t="n">
        <v>600290.25</v>
      </c>
      <c r="L4324" s="12" t="n">
        <v>0</v>
      </c>
      <c r="M4324" s="12" t="n">
        <v>0</v>
      </c>
      <c r="N4324" s="27">
        <f>F4324-J4324</f>
        <v/>
      </c>
      <c r="O4324" s="16">
        <f>I4324-H4324</f>
        <v/>
      </c>
      <c r="P4324" s="14">
        <f>F4324*G4324</f>
        <v/>
      </c>
      <c r="Q4324" s="14">
        <f>J4324*G4324</f>
        <v/>
      </c>
      <c r="R4324" s="14">
        <f>K4324-Q4324</f>
        <v/>
      </c>
      <c r="S4324" s="3">
        <f>P4324*Assumptions!$B$3/100</f>
        <v/>
      </c>
      <c r="T4324" s="14">
        <f>R4324-S4324</f>
        <v/>
      </c>
      <c r="U4324" s="14">
        <f>L4324*G4324</f>
        <v/>
      </c>
    </row>
    <row r="4325">
      <c r="A4325" s="12" t="inlineStr">
        <is>
          <t>PO-2023-4323</t>
        </is>
      </c>
      <c r="B4325" s="26" t="n">
        <v>45070</v>
      </c>
      <c r="C4325" s="12" t="inlineStr">
        <is>
          <t>VS07</t>
        </is>
      </c>
      <c r="D4325" s="12" t="inlineStr">
        <is>
          <t>HR Coils</t>
        </is>
      </c>
      <c r="E4325" s="12" t="inlineStr">
        <is>
          <t>N</t>
        </is>
      </c>
      <c r="F4325" s="12" t="n">
        <v>1.22</v>
      </c>
      <c r="G4325" s="17" t="n">
        <v>85827.64</v>
      </c>
      <c r="H4325" s="26" t="n">
        <v>45076</v>
      </c>
      <c r="I4325" s="26" t="n">
        <v>45076</v>
      </c>
      <c r="J4325" s="12" t="n">
        <v>1.22</v>
      </c>
      <c r="K4325" s="17" t="n">
        <v>104709.72</v>
      </c>
      <c r="L4325" s="12" t="n">
        <v>0</v>
      </c>
      <c r="M4325" s="12" t="n">
        <v>6</v>
      </c>
      <c r="N4325" s="27">
        <f>F4325-J4325</f>
        <v/>
      </c>
      <c r="O4325" s="16">
        <f>I4325-H4325</f>
        <v/>
      </c>
      <c r="P4325" s="14">
        <f>F4325*G4325</f>
        <v/>
      </c>
      <c r="Q4325" s="14">
        <f>J4325*G4325</f>
        <v/>
      </c>
      <c r="R4325" s="14">
        <f>K4325-Q4325</f>
        <v/>
      </c>
      <c r="S4325" s="3">
        <f>P4325*Assumptions!$B$3/100</f>
        <v/>
      </c>
      <c r="T4325" s="14">
        <f>R4325-S4325</f>
        <v/>
      </c>
      <c r="U4325" s="14">
        <f>L4325*G4325</f>
        <v/>
      </c>
    </row>
    <row r="4326">
      <c r="A4326" s="12" t="inlineStr">
        <is>
          <t>PO-2023-4324</t>
        </is>
      </c>
      <c r="B4326" s="26" t="n">
        <v>44212</v>
      </c>
      <c r="C4326" s="12" t="inlineStr">
        <is>
          <t>VS31</t>
        </is>
      </c>
      <c r="D4326" s="12" t="inlineStr">
        <is>
          <t>Square/Rect Tubes</t>
        </is>
      </c>
      <c r="E4326" s="12" t="inlineStr">
        <is>
          <t>N</t>
        </is>
      </c>
      <c r="F4326" s="12" t="n">
        <v>44.41</v>
      </c>
      <c r="G4326" s="17" t="n">
        <v>108177.76</v>
      </c>
      <c r="H4326" s="26" t="n">
        <v>44225</v>
      </c>
      <c r="I4326" s="26" t="n">
        <v>44225</v>
      </c>
      <c r="J4326" s="12" t="n">
        <v>44.34</v>
      </c>
      <c r="K4326" s="17" t="n">
        <v>4804174.32</v>
      </c>
      <c r="L4326" s="12" t="n">
        <v>0</v>
      </c>
      <c r="M4326" s="12" t="n">
        <v>2</v>
      </c>
      <c r="N4326" s="27">
        <f>F4326-J4326</f>
        <v/>
      </c>
      <c r="O4326" s="16">
        <f>I4326-H4326</f>
        <v/>
      </c>
      <c r="P4326" s="14">
        <f>F4326*G4326</f>
        <v/>
      </c>
      <c r="Q4326" s="14">
        <f>J4326*G4326</f>
        <v/>
      </c>
      <c r="R4326" s="14">
        <f>K4326-Q4326</f>
        <v/>
      </c>
      <c r="S4326" s="3">
        <f>P4326*Assumptions!$B$3/100</f>
        <v/>
      </c>
      <c r="T4326" s="14">
        <f>R4326-S4326</f>
        <v/>
      </c>
      <c r="U4326" s="14">
        <f>L4326*G4326</f>
        <v/>
      </c>
    </row>
    <row r="4327">
      <c r="A4327" s="12" t="inlineStr">
        <is>
          <t>PO-2023-4325</t>
        </is>
      </c>
      <c r="B4327" s="26" t="n">
        <v>45132</v>
      </c>
      <c r="C4327" s="12" t="inlineStr">
        <is>
          <t>VS15</t>
        </is>
      </c>
      <c r="D4327" s="12" t="inlineStr">
        <is>
          <t>Spring Steel</t>
        </is>
      </c>
      <c r="E4327" s="12" t="inlineStr">
        <is>
          <t>N</t>
        </is>
      </c>
      <c r="F4327" s="12" t="n">
        <v>43.39</v>
      </c>
      <c r="G4327" s="17" t="n">
        <v>108345.83</v>
      </c>
      <c r="H4327" s="26" t="n">
        <v>45142</v>
      </c>
      <c r="I4327" s="26" t="n">
        <v>45144</v>
      </c>
      <c r="J4327" s="12" t="n">
        <v>42.96</v>
      </c>
      <c r="K4327" s="17" t="n">
        <v>4701125.56</v>
      </c>
      <c r="L4327" s="12" t="n">
        <v>0</v>
      </c>
      <c r="M4327" s="12" t="n">
        <v>24</v>
      </c>
      <c r="N4327" s="27">
        <f>F4327-J4327</f>
        <v/>
      </c>
      <c r="O4327" s="16">
        <f>I4327-H4327</f>
        <v/>
      </c>
      <c r="P4327" s="14">
        <f>F4327*G4327</f>
        <v/>
      </c>
      <c r="Q4327" s="14">
        <f>J4327*G4327</f>
        <v/>
      </c>
      <c r="R4327" s="14">
        <f>K4327-Q4327</f>
        <v/>
      </c>
      <c r="S4327" s="3">
        <f>P4327*Assumptions!$B$3/100</f>
        <v/>
      </c>
      <c r="T4327" s="14">
        <f>R4327-S4327</f>
        <v/>
      </c>
      <c r="U4327" s="14">
        <f>L4327*G4327</f>
        <v/>
      </c>
    </row>
    <row r="4328">
      <c r="A4328" s="12" t="inlineStr">
        <is>
          <t>PO-2023-4326</t>
        </is>
      </c>
      <c r="B4328" s="26" t="n">
        <v>45170</v>
      </c>
      <c r="C4328" s="12" t="inlineStr">
        <is>
          <t>VS31</t>
        </is>
      </c>
      <c r="D4328" s="12" t="inlineStr">
        <is>
          <t>Fasteners &amp; Fittings</t>
        </is>
      </c>
      <c r="E4328" s="12" t="inlineStr">
        <is>
          <t>N</t>
        </is>
      </c>
      <c r="F4328" s="12" t="n">
        <v>46.07</v>
      </c>
      <c r="G4328" s="17" t="n">
        <v>116259.48</v>
      </c>
      <c r="H4328" s="26" t="n">
        <v>45174</v>
      </c>
      <c r="I4328" s="26" t="n">
        <v>45174</v>
      </c>
      <c r="J4328" s="12" t="n">
        <v>45.87</v>
      </c>
      <c r="K4328" s="17" t="n">
        <v>5356074.24</v>
      </c>
      <c r="L4328" s="12" t="n">
        <v>0</v>
      </c>
      <c r="M4328" s="12" t="n">
        <v>0</v>
      </c>
      <c r="N4328" s="27">
        <f>F4328-J4328</f>
        <v/>
      </c>
      <c r="O4328" s="16">
        <f>I4328-H4328</f>
        <v/>
      </c>
      <c r="P4328" s="14">
        <f>F4328*G4328</f>
        <v/>
      </c>
      <c r="Q4328" s="14">
        <f>J4328*G4328</f>
        <v/>
      </c>
      <c r="R4328" s="14">
        <f>K4328-Q4328</f>
        <v/>
      </c>
      <c r="S4328" s="3">
        <f>P4328*Assumptions!$B$3/100</f>
        <v/>
      </c>
      <c r="T4328" s="14">
        <f>R4328-S4328</f>
        <v/>
      </c>
      <c r="U4328" s="14">
        <f>L4328*G4328</f>
        <v/>
      </c>
    </row>
    <row r="4329">
      <c r="A4329" s="12" t="inlineStr">
        <is>
          <t>PO-2023-4327</t>
        </is>
      </c>
      <c r="B4329" s="26" t="n">
        <v>44444</v>
      </c>
      <c r="C4329" s="12" t="inlineStr">
        <is>
          <t>VS33</t>
        </is>
      </c>
      <c r="D4329" s="12" t="inlineStr">
        <is>
          <t>SS Sheets</t>
        </is>
      </c>
      <c r="E4329" s="12" t="inlineStr">
        <is>
          <t>N</t>
        </is>
      </c>
      <c r="F4329" s="12" t="n">
        <v>7.87</v>
      </c>
      <c r="G4329" s="17" t="n">
        <v>54620.38</v>
      </c>
      <c r="H4329" s="26" t="n">
        <v>44458</v>
      </c>
      <c r="I4329" s="26" t="n">
        <v>44460</v>
      </c>
      <c r="J4329" s="12" t="n">
        <v>7.81</v>
      </c>
      <c r="K4329" s="17" t="n">
        <v>429862.39</v>
      </c>
      <c r="L4329" s="12" t="n">
        <v>0</v>
      </c>
      <c r="M4329" s="12" t="n">
        <v>0</v>
      </c>
      <c r="N4329" s="27">
        <f>F4329-J4329</f>
        <v/>
      </c>
      <c r="O4329" s="16">
        <f>I4329-H4329</f>
        <v/>
      </c>
      <c r="P4329" s="14">
        <f>F4329*G4329</f>
        <v/>
      </c>
      <c r="Q4329" s="14">
        <f>J4329*G4329</f>
        <v/>
      </c>
      <c r="R4329" s="14">
        <f>K4329-Q4329</f>
        <v/>
      </c>
      <c r="S4329" s="3">
        <f>P4329*Assumptions!$B$3/100</f>
        <v/>
      </c>
      <c r="T4329" s="14">
        <f>R4329-S4329</f>
        <v/>
      </c>
      <c r="U4329" s="14">
        <f>L4329*G4329</f>
        <v/>
      </c>
    </row>
    <row r="4330">
      <c r="A4330" s="12" t="inlineStr">
        <is>
          <t>PO-2023-4328</t>
        </is>
      </c>
      <c r="B4330" s="26" t="n">
        <v>45181</v>
      </c>
      <c r="C4330" s="12" t="inlineStr">
        <is>
          <t>VS33</t>
        </is>
      </c>
      <c r="D4330" s="12" t="inlineStr">
        <is>
          <t>MS Rods</t>
        </is>
      </c>
      <c r="E4330" s="12" t="inlineStr">
        <is>
          <t>N</t>
        </is>
      </c>
      <c r="F4330" s="12" t="n">
        <v>10.72</v>
      </c>
      <c r="G4330" s="17" t="n">
        <v>103517.46</v>
      </c>
      <c r="H4330" s="26" t="n">
        <v>45184</v>
      </c>
      <c r="I4330" s="26" t="n">
        <v>45186</v>
      </c>
      <c r="J4330" s="12" t="n">
        <v>10.71</v>
      </c>
      <c r="K4330" s="17" t="n">
        <v>1109707.17</v>
      </c>
      <c r="L4330" s="12" t="n">
        <v>0</v>
      </c>
      <c r="M4330" s="12" t="n">
        <v>20</v>
      </c>
      <c r="N4330" s="27">
        <f>F4330-J4330</f>
        <v/>
      </c>
      <c r="O4330" s="16">
        <f>I4330-H4330</f>
        <v/>
      </c>
      <c r="P4330" s="14">
        <f>F4330*G4330</f>
        <v/>
      </c>
      <c r="Q4330" s="14">
        <f>J4330*G4330</f>
        <v/>
      </c>
      <c r="R4330" s="14">
        <f>K4330-Q4330</f>
        <v/>
      </c>
      <c r="S4330" s="3">
        <f>P4330*Assumptions!$B$3/100</f>
        <v/>
      </c>
      <c r="T4330" s="14">
        <f>R4330-S4330</f>
        <v/>
      </c>
      <c r="U4330" s="14">
        <f>L4330*G4330</f>
        <v/>
      </c>
    </row>
    <row r="4331">
      <c r="A4331" s="12" t="inlineStr">
        <is>
          <t>PO-2023-4329</t>
        </is>
      </c>
      <c r="B4331" s="26" t="n">
        <v>44214</v>
      </c>
      <c r="C4331" s="12" t="inlineStr">
        <is>
          <t>VS29</t>
        </is>
      </c>
      <c r="D4331" s="12" t="inlineStr">
        <is>
          <t>SS Pipes</t>
        </is>
      </c>
      <c r="E4331" s="12" t="inlineStr">
        <is>
          <t>N</t>
        </is>
      </c>
      <c r="F4331" s="12" t="n">
        <v>8.17</v>
      </c>
      <c r="G4331" s="17" t="n">
        <v>48603.75</v>
      </c>
      <c r="H4331" s="26" t="n">
        <v>44219</v>
      </c>
      <c r="I4331" s="26" t="n">
        <v>44219</v>
      </c>
      <c r="J4331" s="12" t="n">
        <v>8.16</v>
      </c>
      <c r="K4331" s="17" t="n">
        <v>397092.64</v>
      </c>
      <c r="L4331" s="12" t="n">
        <v>0</v>
      </c>
      <c r="M4331" s="12" t="n">
        <v>0</v>
      </c>
      <c r="N4331" s="27">
        <f>F4331-J4331</f>
        <v/>
      </c>
      <c r="O4331" s="16">
        <f>I4331-H4331</f>
        <v/>
      </c>
      <c r="P4331" s="14">
        <f>F4331*G4331</f>
        <v/>
      </c>
      <c r="Q4331" s="14">
        <f>J4331*G4331</f>
        <v/>
      </c>
      <c r="R4331" s="14">
        <f>K4331-Q4331</f>
        <v/>
      </c>
      <c r="S4331" s="3">
        <f>P4331*Assumptions!$B$3/100</f>
        <v/>
      </c>
      <c r="T4331" s="14">
        <f>R4331-S4331</f>
        <v/>
      </c>
      <c r="U4331" s="14">
        <f>L4331*G4331</f>
        <v/>
      </c>
    </row>
    <row r="4332">
      <c r="A4332" s="12" t="inlineStr">
        <is>
          <t>PO-2023-4330</t>
        </is>
      </c>
      <c r="B4332" s="26" t="n">
        <v>44767</v>
      </c>
      <c r="C4332" s="12" t="inlineStr">
        <is>
          <t>VS10</t>
        </is>
      </c>
      <c r="D4332" s="12" t="inlineStr">
        <is>
          <t>GI Sheets</t>
        </is>
      </c>
      <c r="E4332" s="12" t="inlineStr">
        <is>
          <t>N</t>
        </is>
      </c>
      <c r="F4332" s="12" t="n">
        <v>15.46</v>
      </c>
      <c r="G4332" s="17" t="n">
        <v>66770.05</v>
      </c>
      <c r="H4332" s="26" t="n">
        <v>44773</v>
      </c>
      <c r="I4332" s="26" t="n">
        <v>44775</v>
      </c>
      <c r="J4332" s="12" t="n">
        <v>15.35</v>
      </c>
      <c r="K4332" s="17" t="n">
        <v>1032264.97</v>
      </c>
      <c r="L4332" s="12" t="n">
        <v>0</v>
      </c>
      <c r="M4332" s="12" t="n">
        <v>11</v>
      </c>
      <c r="N4332" s="27">
        <f>F4332-J4332</f>
        <v/>
      </c>
      <c r="O4332" s="16">
        <f>I4332-H4332</f>
        <v/>
      </c>
      <c r="P4332" s="14">
        <f>F4332*G4332</f>
        <v/>
      </c>
      <c r="Q4332" s="14">
        <f>J4332*G4332</f>
        <v/>
      </c>
      <c r="R4332" s="14">
        <f>K4332-Q4332</f>
        <v/>
      </c>
      <c r="S4332" s="3">
        <f>P4332*Assumptions!$B$3/100</f>
        <v/>
      </c>
      <c r="T4332" s="14">
        <f>R4332-S4332</f>
        <v/>
      </c>
      <c r="U4332" s="14">
        <f>L4332*G4332</f>
        <v/>
      </c>
    </row>
    <row r="4333">
      <c r="A4333" s="12" t="inlineStr">
        <is>
          <t>PO-2023-4331</t>
        </is>
      </c>
      <c r="B4333" s="26" t="n">
        <v>44303</v>
      </c>
      <c r="C4333" s="12" t="inlineStr">
        <is>
          <t>VS23</t>
        </is>
      </c>
      <c r="D4333" s="12" t="inlineStr">
        <is>
          <t>Structural Steel</t>
        </is>
      </c>
      <c r="E4333" s="12" t="inlineStr">
        <is>
          <t>N</t>
        </is>
      </c>
      <c r="F4333" s="12" t="n">
        <v>42.59</v>
      </c>
      <c r="G4333" s="17" t="n">
        <v>96880.47</v>
      </c>
      <c r="H4333" s="26" t="n">
        <v>44313</v>
      </c>
      <c r="I4333" s="26" t="n">
        <v>44313</v>
      </c>
      <c r="J4333" s="12" t="n">
        <v>42.58</v>
      </c>
      <c r="K4333" s="17" t="n">
        <v>4126139.22</v>
      </c>
      <c r="L4333" s="12" t="n">
        <v>0</v>
      </c>
      <c r="M4333" s="12" t="n">
        <v>15</v>
      </c>
      <c r="N4333" s="27">
        <f>F4333-J4333</f>
        <v/>
      </c>
      <c r="O4333" s="16">
        <f>I4333-H4333</f>
        <v/>
      </c>
      <c r="P4333" s="14">
        <f>F4333*G4333</f>
        <v/>
      </c>
      <c r="Q4333" s="14">
        <f>J4333*G4333</f>
        <v/>
      </c>
      <c r="R4333" s="14">
        <f>K4333-Q4333</f>
        <v/>
      </c>
      <c r="S4333" s="3">
        <f>P4333*Assumptions!$B$3/100</f>
        <v/>
      </c>
      <c r="T4333" s="14">
        <f>R4333-S4333</f>
        <v/>
      </c>
      <c r="U4333" s="14">
        <f>L4333*G4333</f>
        <v/>
      </c>
    </row>
    <row r="4334">
      <c r="A4334" s="12" t="inlineStr">
        <is>
          <t>PO-2023-4332</t>
        </is>
      </c>
      <c r="B4334" s="26" t="n">
        <v>45158</v>
      </c>
      <c r="C4334" s="12" t="inlineStr">
        <is>
          <t>VS07</t>
        </is>
      </c>
      <c r="D4334" s="12" t="inlineStr">
        <is>
          <t>GI Wire</t>
        </is>
      </c>
      <c r="E4334" s="12" t="inlineStr">
        <is>
          <t>N</t>
        </is>
      </c>
      <c r="F4334" s="12" t="n">
        <v>46.8</v>
      </c>
      <c r="G4334" s="17" t="n">
        <v>95839.17999999999</v>
      </c>
      <c r="H4334" s="26" t="n">
        <v>45170</v>
      </c>
      <c r="I4334" s="26" t="n">
        <v>45170</v>
      </c>
      <c r="J4334" s="12" t="n">
        <v>46.77</v>
      </c>
      <c r="K4334" s="17" t="n">
        <v>4485273.62</v>
      </c>
      <c r="L4334" s="12" t="n">
        <v>0</v>
      </c>
      <c r="M4334" s="12" t="n">
        <v>0</v>
      </c>
      <c r="N4334" s="27">
        <f>F4334-J4334</f>
        <v/>
      </c>
      <c r="O4334" s="16">
        <f>I4334-H4334</f>
        <v/>
      </c>
      <c r="P4334" s="14">
        <f>F4334*G4334</f>
        <v/>
      </c>
      <c r="Q4334" s="14">
        <f>J4334*G4334</f>
        <v/>
      </c>
      <c r="R4334" s="14">
        <f>K4334-Q4334</f>
        <v/>
      </c>
      <c r="S4334" s="3">
        <f>P4334*Assumptions!$B$3/100</f>
        <v/>
      </c>
      <c r="T4334" s="14">
        <f>R4334-S4334</f>
        <v/>
      </c>
      <c r="U4334" s="14">
        <f>L4334*G4334</f>
        <v/>
      </c>
    </row>
    <row r="4335">
      <c r="A4335" s="12" t="inlineStr">
        <is>
          <t>PO-2023-4333</t>
        </is>
      </c>
      <c r="B4335" s="26" t="n">
        <v>45169</v>
      </c>
      <c r="C4335" s="12" t="inlineStr">
        <is>
          <t>VS07</t>
        </is>
      </c>
      <c r="D4335" s="12" t="inlineStr">
        <is>
          <t>MS Rods</t>
        </is>
      </c>
      <c r="E4335" s="12" t="inlineStr">
        <is>
          <t>N</t>
        </is>
      </c>
      <c r="F4335" s="12" t="n">
        <v>18.87</v>
      </c>
      <c r="G4335" s="17" t="n">
        <v>90743.53999999999</v>
      </c>
      <c r="H4335" s="26" t="n">
        <v>45177</v>
      </c>
      <c r="I4335" s="26" t="n">
        <v>45179</v>
      </c>
      <c r="J4335" s="12" t="n">
        <v>18.85</v>
      </c>
      <c r="K4335" s="17" t="n">
        <v>1712330.6</v>
      </c>
      <c r="L4335" s="12" t="n">
        <v>0</v>
      </c>
      <c r="M4335" s="12" t="n">
        <v>5</v>
      </c>
      <c r="N4335" s="27">
        <f>F4335-J4335</f>
        <v/>
      </c>
      <c r="O4335" s="16">
        <f>I4335-H4335</f>
        <v/>
      </c>
      <c r="P4335" s="14">
        <f>F4335*G4335</f>
        <v/>
      </c>
      <c r="Q4335" s="14">
        <f>J4335*G4335</f>
        <v/>
      </c>
      <c r="R4335" s="14">
        <f>K4335-Q4335</f>
        <v/>
      </c>
      <c r="S4335" s="3">
        <f>P4335*Assumptions!$B$3/100</f>
        <v/>
      </c>
      <c r="T4335" s="14">
        <f>R4335-S4335</f>
        <v/>
      </c>
      <c r="U4335" s="14">
        <f>L4335*G4335</f>
        <v/>
      </c>
    </row>
    <row r="4336">
      <c r="A4336" s="12" t="inlineStr">
        <is>
          <t>PO-2023-4334</t>
        </is>
      </c>
      <c r="B4336" s="26" t="n">
        <v>45013</v>
      </c>
      <c r="C4336" s="12" t="inlineStr">
        <is>
          <t>VS26</t>
        </is>
      </c>
      <c r="D4336" s="12" t="inlineStr">
        <is>
          <t>Fasteners &amp; Fittings</t>
        </is>
      </c>
      <c r="E4336" s="12" t="inlineStr">
        <is>
          <t>Y</t>
        </is>
      </c>
      <c r="F4336" s="12" t="n">
        <v>20.93</v>
      </c>
      <c r="G4336" s="17" t="n">
        <v>48051.89</v>
      </c>
      <c r="H4336" s="26" t="n">
        <v>45025</v>
      </c>
      <c r="I4336" s="26" t="n">
        <v>45027</v>
      </c>
      <c r="J4336" s="12" t="n">
        <v>20.81</v>
      </c>
      <c r="K4336" s="17" t="n">
        <v>1005726.06</v>
      </c>
      <c r="L4336" s="12" t="n">
        <v>0</v>
      </c>
      <c r="M4336" s="12" t="n">
        <v>23</v>
      </c>
      <c r="N4336" s="27">
        <f>F4336-J4336</f>
        <v/>
      </c>
      <c r="O4336" s="16">
        <f>I4336-H4336</f>
        <v/>
      </c>
      <c r="P4336" s="14">
        <f>F4336*G4336</f>
        <v/>
      </c>
      <c r="Q4336" s="14">
        <f>J4336*G4336</f>
        <v/>
      </c>
      <c r="R4336" s="14">
        <f>K4336-Q4336</f>
        <v/>
      </c>
      <c r="S4336" s="3">
        <f>P4336*Assumptions!$B$3/100</f>
        <v/>
      </c>
      <c r="T4336" s="14">
        <f>R4336-S4336</f>
        <v/>
      </c>
      <c r="U4336" s="14">
        <f>L4336*G4336</f>
        <v/>
      </c>
    </row>
    <row r="4337">
      <c r="A4337" s="12" t="inlineStr">
        <is>
          <t>PO-2023-4335</t>
        </is>
      </c>
      <c r="B4337" s="26" t="n">
        <v>44970</v>
      </c>
      <c r="C4337" s="12" t="inlineStr">
        <is>
          <t>VS34</t>
        </is>
      </c>
      <c r="D4337" s="12" t="inlineStr">
        <is>
          <t>HR Coils</t>
        </is>
      </c>
      <c r="E4337" s="12" t="inlineStr">
        <is>
          <t>N</t>
        </is>
      </c>
      <c r="F4337" s="12" t="n">
        <v>10.54</v>
      </c>
      <c r="G4337" s="17" t="n">
        <v>103423.4</v>
      </c>
      <c r="H4337" s="26" t="n">
        <v>44973</v>
      </c>
      <c r="I4337" s="26" t="n">
        <v>44973</v>
      </c>
      <c r="J4337" s="12" t="n">
        <v>10.49</v>
      </c>
      <c r="K4337" s="17" t="n">
        <v>1090082.64</v>
      </c>
      <c r="L4337" s="12" t="n">
        <v>0</v>
      </c>
      <c r="M4337" s="12" t="n">
        <v>7</v>
      </c>
      <c r="N4337" s="27">
        <f>F4337-J4337</f>
        <v/>
      </c>
      <c r="O4337" s="16">
        <f>I4337-H4337</f>
        <v/>
      </c>
      <c r="P4337" s="14">
        <f>F4337*G4337</f>
        <v/>
      </c>
      <c r="Q4337" s="14">
        <f>J4337*G4337</f>
        <v/>
      </c>
      <c r="R4337" s="14">
        <f>K4337-Q4337</f>
        <v/>
      </c>
      <c r="S4337" s="3">
        <f>P4337*Assumptions!$B$3/100</f>
        <v/>
      </c>
      <c r="T4337" s="14">
        <f>R4337-S4337</f>
        <v/>
      </c>
      <c r="U4337" s="14">
        <f>L4337*G4337</f>
        <v/>
      </c>
    </row>
    <row r="4338">
      <c r="A4338" s="12" t="inlineStr">
        <is>
          <t>PO-2023-4336</t>
        </is>
      </c>
      <c r="B4338" s="26" t="n">
        <v>44232</v>
      </c>
      <c r="C4338" s="12" t="inlineStr">
        <is>
          <t>VS24</t>
        </is>
      </c>
      <c r="D4338" s="12" t="inlineStr">
        <is>
          <t>Square/Rect Tubes</t>
        </is>
      </c>
      <c r="E4338" s="12" t="inlineStr">
        <is>
          <t>N</t>
        </is>
      </c>
      <c r="F4338" s="12" t="n">
        <v>8.91</v>
      </c>
      <c r="G4338" s="17" t="n">
        <v>106809</v>
      </c>
      <c r="H4338" s="26" t="n">
        <v>44239</v>
      </c>
      <c r="I4338" s="26" t="n">
        <v>44239</v>
      </c>
      <c r="J4338" s="12" t="n">
        <v>8.83</v>
      </c>
      <c r="K4338" s="17" t="n">
        <v>951668.1899999999</v>
      </c>
      <c r="L4338" s="12" t="n">
        <v>0</v>
      </c>
      <c r="M4338" s="12" t="n">
        <v>12</v>
      </c>
      <c r="N4338" s="27">
        <f>F4338-J4338</f>
        <v/>
      </c>
      <c r="O4338" s="16">
        <f>I4338-H4338</f>
        <v/>
      </c>
      <c r="P4338" s="14">
        <f>F4338*G4338</f>
        <v/>
      </c>
      <c r="Q4338" s="14">
        <f>J4338*G4338</f>
        <v/>
      </c>
      <c r="R4338" s="14">
        <f>K4338-Q4338</f>
        <v/>
      </c>
      <c r="S4338" s="3">
        <f>P4338*Assumptions!$B$3/100</f>
        <v/>
      </c>
      <c r="T4338" s="14">
        <f>R4338-S4338</f>
        <v/>
      </c>
      <c r="U4338" s="14">
        <f>L4338*G4338</f>
        <v/>
      </c>
    </row>
    <row r="4339">
      <c r="A4339" s="12" t="inlineStr">
        <is>
          <t>PO-2023-4337</t>
        </is>
      </c>
      <c r="B4339" s="26" t="n">
        <v>44480</v>
      </c>
      <c r="C4339" s="12" t="inlineStr">
        <is>
          <t>VS25</t>
        </is>
      </c>
      <c r="D4339" s="12" t="inlineStr">
        <is>
          <t>Angles &amp; Channels</t>
        </is>
      </c>
      <c r="E4339" s="12" t="inlineStr">
        <is>
          <t>N</t>
        </is>
      </c>
      <c r="F4339" s="12" t="n">
        <v>10.62</v>
      </c>
      <c r="G4339" s="17" t="n">
        <v>79416.98</v>
      </c>
      <c r="H4339" s="26" t="n">
        <v>44486</v>
      </c>
      <c r="I4339" s="26" t="n">
        <v>44489</v>
      </c>
      <c r="J4339" s="12" t="n">
        <v>10.6</v>
      </c>
      <c r="K4339" s="17" t="n">
        <v>843408.33</v>
      </c>
      <c r="L4339" s="12" t="n">
        <v>0</v>
      </c>
      <c r="M4339" s="12" t="n">
        <v>0</v>
      </c>
      <c r="N4339" s="27">
        <f>F4339-J4339</f>
        <v/>
      </c>
      <c r="O4339" s="16">
        <f>I4339-H4339</f>
        <v/>
      </c>
      <c r="P4339" s="14">
        <f>F4339*G4339</f>
        <v/>
      </c>
      <c r="Q4339" s="14">
        <f>J4339*G4339</f>
        <v/>
      </c>
      <c r="R4339" s="14">
        <f>K4339-Q4339</f>
        <v/>
      </c>
      <c r="S4339" s="3">
        <f>P4339*Assumptions!$B$3/100</f>
        <v/>
      </c>
      <c r="T4339" s="14">
        <f>R4339-S4339</f>
        <v/>
      </c>
      <c r="U4339" s="14">
        <f>L4339*G4339</f>
        <v/>
      </c>
    </row>
    <row r="4340">
      <c r="A4340" s="12" t="inlineStr">
        <is>
          <t>PO-2023-4338</t>
        </is>
      </c>
      <c r="B4340" s="26" t="n">
        <v>44570</v>
      </c>
      <c r="C4340" s="12" t="inlineStr">
        <is>
          <t>VS09</t>
        </is>
      </c>
      <c r="D4340" s="12" t="inlineStr">
        <is>
          <t>SS Pipes</t>
        </is>
      </c>
      <c r="E4340" s="12" t="inlineStr">
        <is>
          <t>Y</t>
        </is>
      </c>
      <c r="F4340" s="12" t="n">
        <v>29.39</v>
      </c>
      <c r="G4340" s="17" t="n">
        <v>102017.93</v>
      </c>
      <c r="H4340" s="26" t="n">
        <v>44576</v>
      </c>
      <c r="I4340" s="26" t="n">
        <v>44577</v>
      </c>
      <c r="J4340" s="12" t="n">
        <v>29.11</v>
      </c>
      <c r="K4340" s="17" t="n">
        <v>2998306.96</v>
      </c>
      <c r="L4340" s="12" t="n">
        <v>0</v>
      </c>
      <c r="M4340" s="12" t="n">
        <v>5</v>
      </c>
      <c r="N4340" s="27">
        <f>F4340-J4340</f>
        <v/>
      </c>
      <c r="O4340" s="16">
        <f>I4340-H4340</f>
        <v/>
      </c>
      <c r="P4340" s="14">
        <f>F4340*G4340</f>
        <v/>
      </c>
      <c r="Q4340" s="14">
        <f>J4340*G4340</f>
        <v/>
      </c>
      <c r="R4340" s="14">
        <f>K4340-Q4340</f>
        <v/>
      </c>
      <c r="S4340" s="3">
        <f>P4340*Assumptions!$B$3/100</f>
        <v/>
      </c>
      <c r="T4340" s="14">
        <f>R4340-S4340</f>
        <v/>
      </c>
      <c r="U4340" s="14">
        <f>L4340*G4340</f>
        <v/>
      </c>
    </row>
    <row r="4341">
      <c r="A4341" s="12" t="inlineStr">
        <is>
          <t>PO-2023-4339</t>
        </is>
      </c>
      <c r="B4341" s="26" t="n">
        <v>44224</v>
      </c>
      <c r="C4341" s="12" t="inlineStr">
        <is>
          <t>VS30</t>
        </is>
      </c>
      <c r="D4341" s="12" t="inlineStr">
        <is>
          <t>MS Pipes</t>
        </is>
      </c>
      <c r="E4341" s="12" t="inlineStr">
        <is>
          <t>N</t>
        </is>
      </c>
      <c r="F4341" s="12" t="n">
        <v>18.73</v>
      </c>
      <c r="G4341" s="17" t="n">
        <v>66338.53999999999</v>
      </c>
      <c r="H4341" s="26" t="n">
        <v>44237</v>
      </c>
      <c r="I4341" s="26" t="n">
        <v>44237</v>
      </c>
      <c r="J4341" s="12" t="n">
        <v>18.58</v>
      </c>
      <c r="K4341" s="17" t="n">
        <v>1242520.85</v>
      </c>
      <c r="L4341" s="12" t="n">
        <v>0</v>
      </c>
      <c r="M4341" s="12" t="n">
        <v>0</v>
      </c>
      <c r="N4341" s="27">
        <f>F4341-J4341</f>
        <v/>
      </c>
      <c r="O4341" s="16">
        <f>I4341-H4341</f>
        <v/>
      </c>
      <c r="P4341" s="14">
        <f>F4341*G4341</f>
        <v/>
      </c>
      <c r="Q4341" s="14">
        <f>J4341*G4341</f>
        <v/>
      </c>
      <c r="R4341" s="14">
        <f>K4341-Q4341</f>
        <v/>
      </c>
      <c r="S4341" s="3">
        <f>P4341*Assumptions!$B$3/100</f>
        <v/>
      </c>
      <c r="T4341" s="14">
        <f>R4341-S4341</f>
        <v/>
      </c>
      <c r="U4341" s="14">
        <f>L4341*G4341</f>
        <v/>
      </c>
    </row>
    <row r="4342">
      <c r="A4342" s="12" t="inlineStr">
        <is>
          <t>PO-2023-4340</t>
        </is>
      </c>
      <c r="B4342" s="26" t="n">
        <v>44695</v>
      </c>
      <c r="C4342" s="12" t="inlineStr">
        <is>
          <t>VS27</t>
        </is>
      </c>
      <c r="D4342" s="12" t="inlineStr">
        <is>
          <t>GI Pipes</t>
        </is>
      </c>
      <c r="E4342" s="12" t="inlineStr">
        <is>
          <t>N</t>
        </is>
      </c>
      <c r="F4342" s="12" t="n">
        <v>38.35</v>
      </c>
      <c r="G4342" s="17" t="n">
        <v>70093.12</v>
      </c>
      <c r="H4342" s="26" t="n">
        <v>44710</v>
      </c>
      <c r="I4342" s="26" t="n">
        <v>44710</v>
      </c>
      <c r="J4342" s="12" t="n">
        <v>38.08</v>
      </c>
      <c r="K4342" s="17" t="n">
        <v>2688071.15</v>
      </c>
      <c r="L4342" s="12" t="n">
        <v>0</v>
      </c>
      <c r="M4342" s="12" t="n">
        <v>0</v>
      </c>
      <c r="N4342" s="27">
        <f>F4342-J4342</f>
        <v/>
      </c>
      <c r="O4342" s="16">
        <f>I4342-H4342</f>
        <v/>
      </c>
      <c r="P4342" s="14">
        <f>F4342*G4342</f>
        <v/>
      </c>
      <c r="Q4342" s="14">
        <f>J4342*G4342</f>
        <v/>
      </c>
      <c r="R4342" s="14">
        <f>K4342-Q4342</f>
        <v/>
      </c>
      <c r="S4342" s="3">
        <f>P4342*Assumptions!$B$3/100</f>
        <v/>
      </c>
      <c r="T4342" s="14">
        <f>R4342-S4342</f>
        <v/>
      </c>
      <c r="U4342" s="14">
        <f>L4342*G4342</f>
        <v/>
      </c>
    </row>
    <row r="4343">
      <c r="A4343" s="12" t="inlineStr">
        <is>
          <t>PO-2023-4341</t>
        </is>
      </c>
      <c r="B4343" s="26" t="n">
        <v>44431</v>
      </c>
      <c r="C4343" s="12" t="inlineStr">
        <is>
          <t>VS06</t>
        </is>
      </c>
      <c r="D4343" s="12" t="inlineStr">
        <is>
          <t>MS Flats</t>
        </is>
      </c>
      <c r="E4343" s="12" t="inlineStr">
        <is>
          <t>N</t>
        </is>
      </c>
      <c r="F4343" s="12" t="n">
        <v>2.82</v>
      </c>
      <c r="G4343" s="17" t="n">
        <v>97657.42999999999</v>
      </c>
      <c r="H4343" s="26" t="n">
        <v>44434</v>
      </c>
      <c r="I4343" s="26" t="n">
        <v>44436</v>
      </c>
      <c r="J4343" s="12" t="n">
        <v>2.81</v>
      </c>
      <c r="K4343" s="17" t="n">
        <v>275393.95</v>
      </c>
      <c r="L4343" s="12" t="n">
        <v>0</v>
      </c>
      <c r="M4343" s="12" t="n">
        <v>24</v>
      </c>
      <c r="N4343" s="27">
        <f>F4343-J4343</f>
        <v/>
      </c>
      <c r="O4343" s="16">
        <f>I4343-H4343</f>
        <v/>
      </c>
      <c r="P4343" s="14">
        <f>F4343*G4343</f>
        <v/>
      </c>
      <c r="Q4343" s="14">
        <f>J4343*G4343</f>
        <v/>
      </c>
      <c r="R4343" s="14">
        <f>K4343-Q4343</f>
        <v/>
      </c>
      <c r="S4343" s="3">
        <f>P4343*Assumptions!$B$3/100</f>
        <v/>
      </c>
      <c r="T4343" s="14">
        <f>R4343-S4343</f>
        <v/>
      </c>
      <c r="U4343" s="14">
        <f>L4343*G4343</f>
        <v/>
      </c>
    </row>
    <row r="4344">
      <c r="A4344" s="12" t="inlineStr">
        <is>
          <t>PO-2023-4342</t>
        </is>
      </c>
      <c r="B4344" s="26" t="n">
        <v>44338</v>
      </c>
      <c r="C4344" s="12" t="inlineStr">
        <is>
          <t>VS26</t>
        </is>
      </c>
      <c r="D4344" s="12" t="inlineStr">
        <is>
          <t>Square/Rect Tubes</t>
        </is>
      </c>
      <c r="E4344" s="12" t="inlineStr">
        <is>
          <t>N</t>
        </is>
      </c>
      <c r="F4344" s="12" t="n">
        <v>21.53</v>
      </c>
      <c r="G4344" s="17" t="n">
        <v>47304.75</v>
      </c>
      <c r="H4344" s="26" t="n">
        <v>44341</v>
      </c>
      <c r="I4344" s="26" t="n">
        <v>44341</v>
      </c>
      <c r="J4344" s="12" t="n">
        <v>21.4</v>
      </c>
      <c r="K4344" s="17" t="n">
        <v>1018471.27</v>
      </c>
      <c r="L4344" s="12" t="n">
        <v>0</v>
      </c>
      <c r="M4344" s="12" t="n">
        <v>16</v>
      </c>
      <c r="N4344" s="27">
        <f>F4344-J4344</f>
        <v/>
      </c>
      <c r="O4344" s="16">
        <f>I4344-H4344</f>
        <v/>
      </c>
      <c r="P4344" s="14">
        <f>F4344*G4344</f>
        <v/>
      </c>
      <c r="Q4344" s="14">
        <f>J4344*G4344</f>
        <v/>
      </c>
      <c r="R4344" s="14">
        <f>K4344-Q4344</f>
        <v/>
      </c>
      <c r="S4344" s="3">
        <f>P4344*Assumptions!$B$3/100</f>
        <v/>
      </c>
      <c r="T4344" s="14">
        <f>R4344-S4344</f>
        <v/>
      </c>
      <c r="U4344" s="14">
        <f>L4344*G4344</f>
        <v/>
      </c>
    </row>
    <row r="4345">
      <c r="A4345" s="12" t="inlineStr">
        <is>
          <t>PO-2023-4343</t>
        </is>
      </c>
      <c r="B4345" s="26" t="n">
        <v>44472</v>
      </c>
      <c r="C4345" s="12" t="inlineStr">
        <is>
          <t>VS26</t>
        </is>
      </c>
      <c r="D4345" s="12" t="inlineStr">
        <is>
          <t>Angles &amp; Channels</t>
        </is>
      </c>
      <c r="E4345" s="12" t="inlineStr">
        <is>
          <t>Y</t>
        </is>
      </c>
      <c r="F4345" s="12" t="n">
        <v>28.47</v>
      </c>
      <c r="G4345" s="17" t="n">
        <v>98832.59</v>
      </c>
      <c r="H4345" s="26" t="n">
        <v>44485</v>
      </c>
      <c r="I4345" s="26" t="n">
        <v>44485</v>
      </c>
      <c r="J4345" s="12" t="n">
        <v>28.35</v>
      </c>
      <c r="K4345" s="17" t="n">
        <v>2813763.84</v>
      </c>
      <c r="L4345" s="12" t="n">
        <v>0</v>
      </c>
      <c r="M4345" s="12" t="n">
        <v>23</v>
      </c>
      <c r="N4345" s="27">
        <f>F4345-J4345</f>
        <v/>
      </c>
      <c r="O4345" s="16">
        <f>I4345-H4345</f>
        <v/>
      </c>
      <c r="P4345" s="14">
        <f>F4345*G4345</f>
        <v/>
      </c>
      <c r="Q4345" s="14">
        <f>J4345*G4345</f>
        <v/>
      </c>
      <c r="R4345" s="14">
        <f>K4345-Q4345</f>
        <v/>
      </c>
      <c r="S4345" s="3">
        <f>P4345*Assumptions!$B$3/100</f>
        <v/>
      </c>
      <c r="T4345" s="14">
        <f>R4345-S4345</f>
        <v/>
      </c>
      <c r="U4345" s="14">
        <f>L4345*G4345</f>
        <v/>
      </c>
    </row>
    <row r="4346">
      <c r="A4346" s="12" t="inlineStr">
        <is>
          <t>PO-2023-4344</t>
        </is>
      </c>
      <c r="B4346" s="26" t="n">
        <v>44732</v>
      </c>
      <c r="C4346" s="12" t="inlineStr">
        <is>
          <t>VS30</t>
        </is>
      </c>
      <c r="D4346" s="12" t="inlineStr">
        <is>
          <t>MS Flats</t>
        </is>
      </c>
      <c r="E4346" s="12" t="inlineStr">
        <is>
          <t>N</t>
        </is>
      </c>
      <c r="F4346" s="12" t="n">
        <v>30.3</v>
      </c>
      <c r="G4346" s="17" t="n">
        <v>109763.78</v>
      </c>
      <c r="H4346" s="26" t="n">
        <v>44738</v>
      </c>
      <c r="I4346" s="26" t="n">
        <v>44740</v>
      </c>
      <c r="J4346" s="12" t="n">
        <v>30.29</v>
      </c>
      <c r="K4346" s="17" t="n">
        <v>3325842.53</v>
      </c>
      <c r="L4346" s="12" t="n">
        <v>0</v>
      </c>
      <c r="M4346" s="12" t="n">
        <v>1</v>
      </c>
      <c r="N4346" s="27">
        <f>F4346-J4346</f>
        <v/>
      </c>
      <c r="O4346" s="16">
        <f>I4346-H4346</f>
        <v/>
      </c>
      <c r="P4346" s="14">
        <f>F4346*G4346</f>
        <v/>
      </c>
      <c r="Q4346" s="14">
        <f>J4346*G4346</f>
        <v/>
      </c>
      <c r="R4346" s="14">
        <f>K4346-Q4346</f>
        <v/>
      </c>
      <c r="S4346" s="3">
        <f>P4346*Assumptions!$B$3/100</f>
        <v/>
      </c>
      <c r="T4346" s="14">
        <f>R4346-S4346</f>
        <v/>
      </c>
      <c r="U4346" s="14">
        <f>L4346*G4346</f>
        <v/>
      </c>
    </row>
    <row r="4347">
      <c r="A4347" s="12" t="inlineStr">
        <is>
          <t>PO-2023-4345</t>
        </is>
      </c>
      <c r="B4347" s="26" t="n">
        <v>44648</v>
      </c>
      <c r="C4347" s="12" t="inlineStr">
        <is>
          <t>VS21</t>
        </is>
      </c>
      <c r="D4347" s="12" t="inlineStr">
        <is>
          <t>SS Sheets</t>
        </is>
      </c>
      <c r="E4347" s="12" t="inlineStr">
        <is>
          <t>Y</t>
        </is>
      </c>
      <c r="F4347" s="12" t="n">
        <v>25.87</v>
      </c>
      <c r="G4347" s="17" t="n">
        <v>98529.75</v>
      </c>
      <c r="H4347" s="26" t="n">
        <v>44656</v>
      </c>
      <c r="I4347" s="26" t="n">
        <v>44658</v>
      </c>
      <c r="J4347" s="12" t="n">
        <v>25.75</v>
      </c>
      <c r="K4347" s="17" t="n">
        <v>2548964.63</v>
      </c>
      <c r="L4347" s="12" t="n">
        <v>0</v>
      </c>
      <c r="M4347" s="12" t="n">
        <v>5</v>
      </c>
      <c r="N4347" s="27">
        <f>F4347-J4347</f>
        <v/>
      </c>
      <c r="O4347" s="16">
        <f>I4347-H4347</f>
        <v/>
      </c>
      <c r="P4347" s="14">
        <f>F4347*G4347</f>
        <v/>
      </c>
      <c r="Q4347" s="14">
        <f>J4347*G4347</f>
        <v/>
      </c>
      <c r="R4347" s="14">
        <f>K4347-Q4347</f>
        <v/>
      </c>
      <c r="S4347" s="3">
        <f>P4347*Assumptions!$B$3/100</f>
        <v/>
      </c>
      <c r="T4347" s="14">
        <f>R4347-S4347</f>
        <v/>
      </c>
      <c r="U4347" s="14">
        <f>L4347*G4347</f>
        <v/>
      </c>
    </row>
    <row r="4348">
      <c r="A4348" s="12" t="inlineStr">
        <is>
          <t>PO-2023-4346</t>
        </is>
      </c>
      <c r="B4348" s="26" t="n">
        <v>45204</v>
      </c>
      <c r="C4348" s="12" t="inlineStr">
        <is>
          <t>VS06</t>
        </is>
      </c>
      <c r="D4348" s="12" t="inlineStr">
        <is>
          <t>MS Sheets</t>
        </is>
      </c>
      <c r="E4348" s="12" t="inlineStr">
        <is>
          <t>N</t>
        </is>
      </c>
      <c r="F4348" s="12" t="n">
        <v>6.28</v>
      </c>
      <c r="G4348" s="17" t="n">
        <v>87784.13</v>
      </c>
      <c r="H4348" s="26" t="n">
        <v>45214</v>
      </c>
      <c r="I4348" s="26" t="n">
        <v>45214</v>
      </c>
      <c r="J4348" s="12" t="n">
        <v>6.22</v>
      </c>
      <c r="K4348" s="17" t="n">
        <v>551284.34</v>
      </c>
      <c r="L4348" s="12" t="n">
        <v>0</v>
      </c>
      <c r="M4348" s="12" t="n">
        <v>6</v>
      </c>
      <c r="N4348" s="27">
        <f>F4348-J4348</f>
        <v/>
      </c>
      <c r="O4348" s="16">
        <f>I4348-H4348</f>
        <v/>
      </c>
      <c r="P4348" s="14">
        <f>F4348*G4348</f>
        <v/>
      </c>
      <c r="Q4348" s="14">
        <f>J4348*G4348</f>
        <v/>
      </c>
      <c r="R4348" s="14">
        <f>K4348-Q4348</f>
        <v/>
      </c>
      <c r="S4348" s="3">
        <f>P4348*Assumptions!$B$3/100</f>
        <v/>
      </c>
      <c r="T4348" s="14">
        <f>R4348-S4348</f>
        <v/>
      </c>
      <c r="U4348" s="14">
        <f>L4348*G4348</f>
        <v/>
      </c>
    </row>
    <row r="4349">
      <c r="A4349" s="12" t="inlineStr">
        <is>
          <t>PO-2023-4347</t>
        </is>
      </c>
      <c r="B4349" s="26" t="n">
        <v>44383</v>
      </c>
      <c r="C4349" s="12" t="inlineStr">
        <is>
          <t>VS17</t>
        </is>
      </c>
      <c r="D4349" s="12" t="inlineStr">
        <is>
          <t>MS Rods</t>
        </is>
      </c>
      <c r="E4349" s="12" t="inlineStr">
        <is>
          <t>N</t>
        </is>
      </c>
      <c r="F4349" s="12" t="n">
        <v>12.88</v>
      </c>
      <c r="G4349" s="17" t="n">
        <v>112218.49</v>
      </c>
      <c r="H4349" s="26" t="n">
        <v>44394</v>
      </c>
      <c r="I4349" s="26" t="n">
        <v>44394</v>
      </c>
      <c r="J4349" s="12" t="n">
        <v>12.75</v>
      </c>
      <c r="K4349" s="17" t="n">
        <v>1445374.15</v>
      </c>
      <c r="L4349" s="12" t="n">
        <v>0</v>
      </c>
      <c r="M4349" s="12" t="n">
        <v>0</v>
      </c>
      <c r="N4349" s="27">
        <f>F4349-J4349</f>
        <v/>
      </c>
      <c r="O4349" s="16">
        <f>I4349-H4349</f>
        <v/>
      </c>
      <c r="P4349" s="14">
        <f>F4349*G4349</f>
        <v/>
      </c>
      <c r="Q4349" s="14">
        <f>J4349*G4349</f>
        <v/>
      </c>
      <c r="R4349" s="14">
        <f>K4349-Q4349</f>
        <v/>
      </c>
      <c r="S4349" s="3">
        <f>P4349*Assumptions!$B$3/100</f>
        <v/>
      </c>
      <c r="T4349" s="14">
        <f>R4349-S4349</f>
        <v/>
      </c>
      <c r="U4349" s="14">
        <f>L4349*G4349</f>
        <v/>
      </c>
    </row>
    <row r="4350">
      <c r="A4350" s="12" t="inlineStr">
        <is>
          <t>PO-2023-4348</t>
        </is>
      </c>
      <c r="B4350" s="26" t="n">
        <v>45043</v>
      </c>
      <c r="C4350" s="12" t="inlineStr">
        <is>
          <t>VS25</t>
        </is>
      </c>
      <c r="D4350" s="12" t="inlineStr">
        <is>
          <t>SS Sheets</t>
        </is>
      </c>
      <c r="E4350" s="12" t="inlineStr">
        <is>
          <t>N</t>
        </is>
      </c>
      <c r="F4350" s="12" t="n">
        <v>34.26</v>
      </c>
      <c r="G4350" s="17" t="n">
        <v>63004.89</v>
      </c>
      <c r="H4350" s="26" t="n">
        <v>45048</v>
      </c>
      <c r="I4350" s="26" t="n">
        <v>45051</v>
      </c>
      <c r="J4350" s="12" t="n">
        <v>34</v>
      </c>
      <c r="K4350" s="17" t="n">
        <v>2158547.53</v>
      </c>
      <c r="L4350" s="12" t="n">
        <v>0</v>
      </c>
      <c r="M4350" s="12" t="n">
        <v>22</v>
      </c>
      <c r="N4350" s="27">
        <f>F4350-J4350</f>
        <v/>
      </c>
      <c r="O4350" s="16">
        <f>I4350-H4350</f>
        <v/>
      </c>
      <c r="P4350" s="14">
        <f>F4350*G4350</f>
        <v/>
      </c>
      <c r="Q4350" s="14">
        <f>J4350*G4350</f>
        <v/>
      </c>
      <c r="R4350" s="14">
        <f>K4350-Q4350</f>
        <v/>
      </c>
      <c r="S4350" s="3">
        <f>P4350*Assumptions!$B$3/100</f>
        <v/>
      </c>
      <c r="T4350" s="14">
        <f>R4350-S4350</f>
        <v/>
      </c>
      <c r="U4350" s="14">
        <f>L4350*G4350</f>
        <v/>
      </c>
    </row>
    <row r="4351">
      <c r="A4351" s="12" t="inlineStr">
        <is>
          <t>PO-2023-4349</t>
        </is>
      </c>
      <c r="B4351" s="26" t="n">
        <v>44243</v>
      </c>
      <c r="C4351" s="12" t="inlineStr">
        <is>
          <t>VS14</t>
        </is>
      </c>
      <c r="D4351" s="12" t="inlineStr">
        <is>
          <t>SS Pipes</t>
        </is>
      </c>
      <c r="E4351" s="12" t="inlineStr">
        <is>
          <t>N</t>
        </is>
      </c>
      <c r="F4351" s="12" t="n">
        <v>47.18</v>
      </c>
      <c r="G4351" s="17" t="n">
        <v>116228.14</v>
      </c>
      <c r="H4351" s="26" t="n">
        <v>44257</v>
      </c>
      <c r="I4351" s="26" t="n">
        <v>44259</v>
      </c>
      <c r="J4351" s="12" t="n">
        <v>47</v>
      </c>
      <c r="K4351" s="17" t="n">
        <v>5483643.65</v>
      </c>
      <c r="L4351" s="12" t="n">
        <v>0</v>
      </c>
      <c r="M4351" s="12" t="n">
        <v>2</v>
      </c>
      <c r="N4351" s="27">
        <f>F4351-J4351</f>
        <v/>
      </c>
      <c r="O4351" s="16">
        <f>I4351-H4351</f>
        <v/>
      </c>
      <c r="P4351" s="14">
        <f>F4351*G4351</f>
        <v/>
      </c>
      <c r="Q4351" s="14">
        <f>J4351*G4351</f>
        <v/>
      </c>
      <c r="R4351" s="14">
        <f>K4351-Q4351</f>
        <v/>
      </c>
      <c r="S4351" s="3">
        <f>P4351*Assumptions!$B$3/100</f>
        <v/>
      </c>
      <c r="T4351" s="14">
        <f>R4351-S4351</f>
        <v/>
      </c>
      <c r="U4351" s="14">
        <f>L4351*G4351</f>
        <v/>
      </c>
    </row>
    <row r="4352">
      <c r="A4352" s="12" t="inlineStr">
        <is>
          <t>PO-2023-4350</t>
        </is>
      </c>
      <c r="B4352" s="26" t="n">
        <v>44481</v>
      </c>
      <c r="C4352" s="12" t="inlineStr">
        <is>
          <t>VS27</t>
        </is>
      </c>
      <c r="D4352" s="12" t="inlineStr">
        <is>
          <t>GI Wire</t>
        </is>
      </c>
      <c r="E4352" s="12" t="inlineStr">
        <is>
          <t>N</t>
        </is>
      </c>
      <c r="F4352" s="12" t="n">
        <v>18.88</v>
      </c>
      <c r="G4352" s="17" t="n">
        <v>103401.01</v>
      </c>
      <c r="H4352" s="26" t="n">
        <v>44486</v>
      </c>
      <c r="I4352" s="26" t="n">
        <v>44487</v>
      </c>
      <c r="J4352" s="12" t="n">
        <v>18.75</v>
      </c>
      <c r="K4352" s="17" t="n">
        <v>1952211.07</v>
      </c>
      <c r="L4352" s="12" t="n">
        <v>0</v>
      </c>
      <c r="M4352" s="12" t="n">
        <v>17</v>
      </c>
      <c r="N4352" s="27">
        <f>F4352-J4352</f>
        <v/>
      </c>
      <c r="O4352" s="16">
        <f>I4352-H4352</f>
        <v/>
      </c>
      <c r="P4352" s="14">
        <f>F4352*G4352</f>
        <v/>
      </c>
      <c r="Q4352" s="14">
        <f>J4352*G4352</f>
        <v/>
      </c>
      <c r="R4352" s="14">
        <f>K4352-Q4352</f>
        <v/>
      </c>
      <c r="S4352" s="3">
        <f>P4352*Assumptions!$B$3/100</f>
        <v/>
      </c>
      <c r="T4352" s="14">
        <f>R4352-S4352</f>
        <v/>
      </c>
      <c r="U4352" s="14">
        <f>L4352*G4352</f>
        <v/>
      </c>
    </row>
    <row r="4353">
      <c r="A4353" s="12" t="inlineStr">
        <is>
          <t>PO-2023-4351</t>
        </is>
      </c>
      <c r="B4353" s="26" t="n">
        <v>44832</v>
      </c>
      <c r="C4353" s="12" t="inlineStr">
        <is>
          <t>VS26</t>
        </is>
      </c>
      <c r="D4353" s="12" t="inlineStr">
        <is>
          <t>Spring Steel</t>
        </is>
      </c>
      <c r="E4353" s="12" t="inlineStr">
        <is>
          <t>N</t>
        </is>
      </c>
      <c r="F4353" s="12" t="n">
        <v>17.32</v>
      </c>
      <c r="G4353" s="17" t="n">
        <v>109373.36</v>
      </c>
      <c r="H4353" s="26" t="n">
        <v>44844</v>
      </c>
      <c r="I4353" s="26" t="n">
        <v>44847</v>
      </c>
      <c r="J4353" s="12" t="n">
        <v>17.21</v>
      </c>
      <c r="K4353" s="17" t="n">
        <v>1894346.6</v>
      </c>
      <c r="L4353" s="12" t="n">
        <v>0</v>
      </c>
      <c r="M4353" s="12" t="n">
        <v>5</v>
      </c>
      <c r="N4353" s="27">
        <f>F4353-J4353</f>
        <v/>
      </c>
      <c r="O4353" s="16">
        <f>I4353-H4353</f>
        <v/>
      </c>
      <c r="P4353" s="14">
        <f>F4353*G4353</f>
        <v/>
      </c>
      <c r="Q4353" s="14">
        <f>J4353*G4353</f>
        <v/>
      </c>
      <c r="R4353" s="14">
        <f>K4353-Q4353</f>
        <v/>
      </c>
      <c r="S4353" s="3">
        <f>P4353*Assumptions!$B$3/100</f>
        <v/>
      </c>
      <c r="T4353" s="14">
        <f>R4353-S4353</f>
        <v/>
      </c>
      <c r="U4353" s="14">
        <f>L4353*G4353</f>
        <v/>
      </c>
    </row>
    <row r="4354">
      <c r="A4354" s="12" t="inlineStr">
        <is>
          <t>PO-2023-4352</t>
        </is>
      </c>
      <c r="B4354" s="26" t="n">
        <v>44537</v>
      </c>
      <c r="C4354" s="12" t="inlineStr">
        <is>
          <t>VS32</t>
        </is>
      </c>
      <c r="D4354" s="12" t="inlineStr">
        <is>
          <t>Square/Rect Tubes</t>
        </is>
      </c>
      <c r="E4354" s="12" t="inlineStr">
        <is>
          <t>N</t>
        </is>
      </c>
      <c r="F4354" s="12" t="n">
        <v>15.21</v>
      </c>
      <c r="G4354" s="17" t="n">
        <v>47954.83</v>
      </c>
      <c r="H4354" s="26" t="n">
        <v>44540</v>
      </c>
      <c r="I4354" s="26" t="n">
        <v>44543</v>
      </c>
      <c r="J4354" s="12" t="n">
        <v>15.06</v>
      </c>
      <c r="K4354" s="17" t="n">
        <v>729392.96</v>
      </c>
      <c r="L4354" s="12" t="n">
        <v>0</v>
      </c>
      <c r="M4354" s="12" t="n">
        <v>0</v>
      </c>
      <c r="N4354" s="27">
        <f>F4354-J4354</f>
        <v/>
      </c>
      <c r="O4354" s="16">
        <f>I4354-H4354</f>
        <v/>
      </c>
      <c r="P4354" s="14">
        <f>F4354*G4354</f>
        <v/>
      </c>
      <c r="Q4354" s="14">
        <f>J4354*G4354</f>
        <v/>
      </c>
      <c r="R4354" s="14">
        <f>K4354-Q4354</f>
        <v/>
      </c>
      <c r="S4354" s="3">
        <f>P4354*Assumptions!$B$3/100</f>
        <v/>
      </c>
      <c r="T4354" s="14">
        <f>R4354-S4354</f>
        <v/>
      </c>
      <c r="U4354" s="14">
        <f>L4354*G4354</f>
        <v/>
      </c>
    </row>
    <row r="4355">
      <c r="A4355" s="12" t="inlineStr">
        <is>
          <t>PO-2023-4353</t>
        </is>
      </c>
      <c r="B4355" s="26" t="n">
        <v>44486</v>
      </c>
      <c r="C4355" s="12" t="inlineStr">
        <is>
          <t>VS02</t>
        </is>
      </c>
      <c r="D4355" s="12" t="inlineStr">
        <is>
          <t>Spring Steel</t>
        </is>
      </c>
      <c r="E4355" s="12" t="inlineStr">
        <is>
          <t>Y</t>
        </is>
      </c>
      <c r="F4355" s="12" t="n">
        <v>20.17</v>
      </c>
      <c r="G4355" s="17" t="n">
        <v>48722.21</v>
      </c>
      <c r="H4355" s="26" t="n">
        <v>44493</v>
      </c>
      <c r="I4355" s="26" t="n">
        <v>44494</v>
      </c>
      <c r="J4355" s="12" t="n">
        <v>20.14</v>
      </c>
      <c r="K4355" s="17" t="n">
        <v>982726.98</v>
      </c>
      <c r="L4355" s="12" t="n">
        <v>0</v>
      </c>
      <c r="M4355" s="12" t="n">
        <v>0</v>
      </c>
      <c r="N4355" s="27">
        <f>F4355-J4355</f>
        <v/>
      </c>
      <c r="O4355" s="16">
        <f>I4355-H4355</f>
        <v/>
      </c>
      <c r="P4355" s="14">
        <f>F4355*G4355</f>
        <v/>
      </c>
      <c r="Q4355" s="14">
        <f>J4355*G4355</f>
        <v/>
      </c>
      <c r="R4355" s="14">
        <f>K4355-Q4355</f>
        <v/>
      </c>
      <c r="S4355" s="3">
        <f>P4355*Assumptions!$B$3/100</f>
        <v/>
      </c>
      <c r="T4355" s="14">
        <f>R4355-S4355</f>
        <v/>
      </c>
      <c r="U4355" s="14">
        <f>L4355*G4355</f>
        <v/>
      </c>
    </row>
    <row r="4356">
      <c r="A4356" s="12" t="inlineStr">
        <is>
          <t>PO-2023-4354</t>
        </is>
      </c>
      <c r="B4356" s="26" t="n">
        <v>44969</v>
      </c>
      <c r="C4356" s="12" t="inlineStr">
        <is>
          <t>VS02</t>
        </is>
      </c>
      <c r="D4356" s="12" t="inlineStr">
        <is>
          <t>MS Flats</t>
        </is>
      </c>
      <c r="E4356" s="12" t="inlineStr">
        <is>
          <t>N</t>
        </is>
      </c>
      <c r="F4356" s="12" t="n">
        <v>5.21</v>
      </c>
      <c r="G4356" s="17" t="n">
        <v>46806.58</v>
      </c>
      <c r="H4356" s="26" t="n">
        <v>44984</v>
      </c>
      <c r="I4356" s="26" t="n">
        <v>44987</v>
      </c>
      <c r="J4356" s="12" t="n">
        <v>5.16</v>
      </c>
      <c r="K4356" s="17" t="n">
        <v>243862.28</v>
      </c>
      <c r="L4356" s="12" t="n">
        <v>0</v>
      </c>
      <c r="M4356" s="12" t="n">
        <v>9</v>
      </c>
      <c r="N4356" s="27">
        <f>F4356-J4356</f>
        <v/>
      </c>
      <c r="O4356" s="16">
        <f>I4356-H4356</f>
        <v/>
      </c>
      <c r="P4356" s="14">
        <f>F4356*G4356</f>
        <v/>
      </c>
      <c r="Q4356" s="14">
        <f>J4356*G4356</f>
        <v/>
      </c>
      <c r="R4356" s="14">
        <f>K4356-Q4356</f>
        <v/>
      </c>
      <c r="S4356" s="3">
        <f>P4356*Assumptions!$B$3/100</f>
        <v/>
      </c>
      <c r="T4356" s="14">
        <f>R4356-S4356</f>
        <v/>
      </c>
      <c r="U4356" s="14">
        <f>L4356*G4356</f>
        <v/>
      </c>
    </row>
    <row r="4357">
      <c r="A4357" s="12" t="inlineStr">
        <is>
          <t>PO-2023-4355</t>
        </is>
      </c>
      <c r="B4357" s="26" t="n">
        <v>44889</v>
      </c>
      <c r="C4357" s="12" t="inlineStr">
        <is>
          <t>VS18</t>
        </is>
      </c>
      <c r="D4357" s="12" t="inlineStr">
        <is>
          <t>GI Sheets</t>
        </is>
      </c>
      <c r="E4357" s="12" t="inlineStr">
        <is>
          <t>N</t>
        </is>
      </c>
      <c r="F4357" s="12" t="n">
        <v>41.37</v>
      </c>
      <c r="G4357" s="17" t="n">
        <v>82163.05</v>
      </c>
      <c r="H4357" s="26" t="n">
        <v>44893</v>
      </c>
      <c r="I4357" s="26" t="n">
        <v>44896</v>
      </c>
      <c r="J4357" s="12" t="n">
        <v>40.98</v>
      </c>
      <c r="K4357" s="17" t="n">
        <v>3399085.38</v>
      </c>
      <c r="L4357" s="12" t="n">
        <v>0</v>
      </c>
      <c r="M4357" s="12" t="n">
        <v>24</v>
      </c>
      <c r="N4357" s="27">
        <f>F4357-J4357</f>
        <v/>
      </c>
      <c r="O4357" s="16">
        <f>I4357-H4357</f>
        <v/>
      </c>
      <c r="P4357" s="14">
        <f>F4357*G4357</f>
        <v/>
      </c>
      <c r="Q4357" s="14">
        <f>J4357*G4357</f>
        <v/>
      </c>
      <c r="R4357" s="14">
        <f>K4357-Q4357</f>
        <v/>
      </c>
      <c r="S4357" s="3">
        <f>P4357*Assumptions!$B$3/100</f>
        <v/>
      </c>
      <c r="T4357" s="14">
        <f>R4357-S4357</f>
        <v/>
      </c>
      <c r="U4357" s="14">
        <f>L4357*G4357</f>
        <v/>
      </c>
    </row>
    <row r="4358">
      <c r="A4358" s="12" t="inlineStr">
        <is>
          <t>PO-2023-4356</t>
        </is>
      </c>
      <c r="B4358" s="26" t="n">
        <v>45017</v>
      </c>
      <c r="C4358" s="12" t="inlineStr">
        <is>
          <t>VS13</t>
        </is>
      </c>
      <c r="D4358" s="12" t="inlineStr">
        <is>
          <t>GI Pipes</t>
        </is>
      </c>
      <c r="E4358" s="12" t="inlineStr">
        <is>
          <t>N</t>
        </is>
      </c>
      <c r="F4358" s="12" t="n">
        <v>44.08</v>
      </c>
      <c r="G4358" s="17" t="n">
        <v>97205.55</v>
      </c>
      <c r="H4358" s="26" t="n">
        <v>45023</v>
      </c>
      <c r="I4358" s="26" t="n">
        <v>45023</v>
      </c>
      <c r="J4358" s="12" t="n">
        <v>43.95</v>
      </c>
      <c r="K4358" s="17" t="n">
        <v>4284820.64</v>
      </c>
      <c r="L4358" s="12" t="n">
        <v>0</v>
      </c>
      <c r="M4358" s="12" t="n">
        <v>3</v>
      </c>
      <c r="N4358" s="27">
        <f>F4358-J4358</f>
        <v/>
      </c>
      <c r="O4358" s="16">
        <f>I4358-H4358</f>
        <v/>
      </c>
      <c r="P4358" s="14">
        <f>F4358*G4358</f>
        <v/>
      </c>
      <c r="Q4358" s="14">
        <f>J4358*G4358</f>
        <v/>
      </c>
      <c r="R4358" s="14">
        <f>K4358-Q4358</f>
        <v/>
      </c>
      <c r="S4358" s="3">
        <f>P4358*Assumptions!$B$3/100</f>
        <v/>
      </c>
      <c r="T4358" s="14">
        <f>R4358-S4358</f>
        <v/>
      </c>
      <c r="U4358" s="14">
        <f>L4358*G4358</f>
        <v/>
      </c>
    </row>
    <row r="4359">
      <c r="A4359" s="12" t="inlineStr">
        <is>
          <t>PO-2023-4357</t>
        </is>
      </c>
      <c r="B4359" s="26" t="n">
        <v>44677</v>
      </c>
      <c r="C4359" s="12" t="inlineStr">
        <is>
          <t>VS21</t>
        </is>
      </c>
      <c r="D4359" s="12" t="inlineStr">
        <is>
          <t>GI Wire</t>
        </is>
      </c>
      <c r="E4359" s="12" t="inlineStr">
        <is>
          <t>N</t>
        </is>
      </c>
      <c r="F4359" s="12" t="n">
        <v>42.41</v>
      </c>
      <c r="G4359" s="17" t="n">
        <v>113218.22</v>
      </c>
      <c r="H4359" s="26" t="n">
        <v>44686</v>
      </c>
      <c r="I4359" s="26" t="n">
        <v>44688</v>
      </c>
      <c r="J4359" s="12" t="n">
        <v>42.3</v>
      </c>
      <c r="K4359" s="17" t="n">
        <v>4801584.71</v>
      </c>
      <c r="L4359" s="12" t="n">
        <v>0</v>
      </c>
      <c r="M4359" s="12" t="n">
        <v>18</v>
      </c>
      <c r="N4359" s="27">
        <f>F4359-J4359</f>
        <v/>
      </c>
      <c r="O4359" s="16">
        <f>I4359-H4359</f>
        <v/>
      </c>
      <c r="P4359" s="14">
        <f>F4359*G4359</f>
        <v/>
      </c>
      <c r="Q4359" s="14">
        <f>J4359*G4359</f>
        <v/>
      </c>
      <c r="R4359" s="14">
        <f>K4359-Q4359</f>
        <v/>
      </c>
      <c r="S4359" s="3">
        <f>P4359*Assumptions!$B$3/100</f>
        <v/>
      </c>
      <c r="T4359" s="14">
        <f>R4359-S4359</f>
        <v/>
      </c>
      <c r="U4359" s="14">
        <f>L4359*G4359</f>
        <v/>
      </c>
    </row>
    <row r="4360">
      <c r="A4360" s="12" t="inlineStr">
        <is>
          <t>PO-2023-4358</t>
        </is>
      </c>
      <c r="B4360" s="26" t="n">
        <v>44608</v>
      </c>
      <c r="C4360" s="12" t="inlineStr">
        <is>
          <t>VS01</t>
        </is>
      </c>
      <c r="D4360" s="12" t="inlineStr">
        <is>
          <t>SS Pipes</t>
        </is>
      </c>
      <c r="E4360" s="12" t="inlineStr">
        <is>
          <t>N</t>
        </is>
      </c>
      <c r="F4360" s="12" t="n">
        <v>45.45</v>
      </c>
      <c r="G4360" s="17" t="n">
        <v>49264.83</v>
      </c>
      <c r="H4360" s="26" t="n">
        <v>44611</v>
      </c>
      <c r="I4360" s="26" t="n">
        <v>44611</v>
      </c>
      <c r="J4360" s="12" t="n">
        <v>45.07</v>
      </c>
      <c r="K4360" s="17" t="n">
        <v>2239086.52</v>
      </c>
      <c r="L4360" s="12" t="n">
        <v>0</v>
      </c>
      <c r="M4360" s="12" t="n">
        <v>20</v>
      </c>
      <c r="N4360" s="27">
        <f>F4360-J4360</f>
        <v/>
      </c>
      <c r="O4360" s="16">
        <f>I4360-H4360</f>
        <v/>
      </c>
      <c r="P4360" s="14">
        <f>F4360*G4360</f>
        <v/>
      </c>
      <c r="Q4360" s="14">
        <f>J4360*G4360</f>
        <v/>
      </c>
      <c r="R4360" s="14">
        <f>K4360-Q4360</f>
        <v/>
      </c>
      <c r="S4360" s="3">
        <f>P4360*Assumptions!$B$3/100</f>
        <v/>
      </c>
      <c r="T4360" s="14">
        <f>R4360-S4360</f>
        <v/>
      </c>
      <c r="U4360" s="14">
        <f>L4360*G4360</f>
        <v/>
      </c>
    </row>
    <row r="4361">
      <c r="A4361" s="12" t="inlineStr">
        <is>
          <t>PO-2023-4359</t>
        </is>
      </c>
      <c r="B4361" s="26" t="n">
        <v>44304</v>
      </c>
      <c r="C4361" s="12" t="inlineStr">
        <is>
          <t>VS34</t>
        </is>
      </c>
      <c r="D4361" s="12" t="inlineStr">
        <is>
          <t>HR Coils</t>
        </is>
      </c>
      <c r="E4361" s="12" t="inlineStr">
        <is>
          <t>N</t>
        </is>
      </c>
      <c r="F4361" s="12" t="n">
        <v>4.23</v>
      </c>
      <c r="G4361" s="17" t="n">
        <v>78252.55</v>
      </c>
      <c r="H4361" s="26" t="n">
        <v>44308</v>
      </c>
      <c r="I4361" s="26" t="n">
        <v>44311</v>
      </c>
      <c r="J4361" s="12" t="n">
        <v>4.2</v>
      </c>
      <c r="K4361" s="17" t="n">
        <v>331008.29</v>
      </c>
      <c r="L4361" s="12" t="n">
        <v>0</v>
      </c>
      <c r="M4361" s="12" t="n">
        <v>0</v>
      </c>
      <c r="N4361" s="27">
        <f>F4361-J4361</f>
        <v/>
      </c>
      <c r="O4361" s="16">
        <f>I4361-H4361</f>
        <v/>
      </c>
      <c r="P4361" s="14">
        <f>F4361*G4361</f>
        <v/>
      </c>
      <c r="Q4361" s="14">
        <f>J4361*G4361</f>
        <v/>
      </c>
      <c r="R4361" s="14">
        <f>K4361-Q4361</f>
        <v/>
      </c>
      <c r="S4361" s="3">
        <f>P4361*Assumptions!$B$3/100</f>
        <v/>
      </c>
      <c r="T4361" s="14">
        <f>R4361-S4361</f>
        <v/>
      </c>
      <c r="U4361" s="14">
        <f>L4361*G4361</f>
        <v/>
      </c>
    </row>
    <row r="4362">
      <c r="A4362" s="12" t="inlineStr">
        <is>
          <t>PO-2023-4360</t>
        </is>
      </c>
      <c r="B4362" s="26" t="n">
        <v>44204</v>
      </c>
      <c r="C4362" s="12" t="inlineStr">
        <is>
          <t>VS20</t>
        </is>
      </c>
      <c r="D4362" s="12" t="inlineStr">
        <is>
          <t>Spring Steel</t>
        </is>
      </c>
      <c r="E4362" s="12" t="inlineStr">
        <is>
          <t>N</t>
        </is>
      </c>
      <c r="F4362" s="12" t="n">
        <v>48.39</v>
      </c>
      <c r="G4362" s="17" t="n">
        <v>58011.76</v>
      </c>
      <c r="H4362" s="26" t="n">
        <v>44217</v>
      </c>
      <c r="I4362" s="26" t="n">
        <v>44219</v>
      </c>
      <c r="J4362" s="12" t="n">
        <v>47.94</v>
      </c>
      <c r="K4362" s="17" t="n">
        <v>2807189.07</v>
      </c>
      <c r="L4362" s="12" t="n">
        <v>0</v>
      </c>
      <c r="M4362" s="12" t="n">
        <v>11</v>
      </c>
      <c r="N4362" s="27">
        <f>F4362-J4362</f>
        <v/>
      </c>
      <c r="O4362" s="16">
        <f>I4362-H4362</f>
        <v/>
      </c>
      <c r="P4362" s="14">
        <f>F4362*G4362</f>
        <v/>
      </c>
      <c r="Q4362" s="14">
        <f>J4362*G4362</f>
        <v/>
      </c>
      <c r="R4362" s="14">
        <f>K4362-Q4362</f>
        <v/>
      </c>
      <c r="S4362" s="3">
        <f>P4362*Assumptions!$B$3/100</f>
        <v/>
      </c>
      <c r="T4362" s="14">
        <f>R4362-S4362</f>
        <v/>
      </c>
      <c r="U4362" s="14">
        <f>L4362*G4362</f>
        <v/>
      </c>
    </row>
    <row r="4363">
      <c r="A4363" s="12" t="inlineStr">
        <is>
          <t>PO-2023-4361</t>
        </is>
      </c>
      <c r="B4363" s="26" t="n">
        <v>44669</v>
      </c>
      <c r="C4363" s="12" t="inlineStr">
        <is>
          <t>VS22</t>
        </is>
      </c>
      <c r="D4363" s="12" t="inlineStr">
        <is>
          <t>CR Sheets</t>
        </is>
      </c>
      <c r="E4363" s="12" t="inlineStr">
        <is>
          <t>N</t>
        </is>
      </c>
      <c r="F4363" s="12" t="n">
        <v>4.16</v>
      </c>
      <c r="G4363" s="17" t="n">
        <v>85781.64</v>
      </c>
      <c r="H4363" s="26" t="n">
        <v>44681</v>
      </c>
      <c r="I4363" s="26" t="n">
        <v>44681</v>
      </c>
      <c r="J4363" s="12" t="n">
        <v>4.13</v>
      </c>
      <c r="K4363" s="17" t="n">
        <v>356851.62</v>
      </c>
      <c r="L4363" s="12" t="n">
        <v>0</v>
      </c>
      <c r="M4363" s="12" t="n">
        <v>0</v>
      </c>
      <c r="N4363" s="27">
        <f>F4363-J4363</f>
        <v/>
      </c>
      <c r="O4363" s="16">
        <f>I4363-H4363</f>
        <v/>
      </c>
      <c r="P4363" s="14">
        <f>F4363*G4363</f>
        <v/>
      </c>
      <c r="Q4363" s="14">
        <f>J4363*G4363</f>
        <v/>
      </c>
      <c r="R4363" s="14">
        <f>K4363-Q4363</f>
        <v/>
      </c>
      <c r="S4363" s="3">
        <f>P4363*Assumptions!$B$3/100</f>
        <v/>
      </c>
      <c r="T4363" s="14">
        <f>R4363-S4363</f>
        <v/>
      </c>
      <c r="U4363" s="14">
        <f>L4363*G4363</f>
        <v/>
      </c>
    </row>
    <row r="4364">
      <c r="A4364" s="12" t="inlineStr">
        <is>
          <t>PO-2023-4362</t>
        </is>
      </c>
      <c r="B4364" s="26" t="n">
        <v>44565</v>
      </c>
      <c r="C4364" s="12" t="inlineStr">
        <is>
          <t>VS04</t>
        </is>
      </c>
      <c r="D4364" s="12" t="inlineStr">
        <is>
          <t>HR Coils</t>
        </is>
      </c>
      <c r="E4364" s="12" t="inlineStr">
        <is>
          <t>Y</t>
        </is>
      </c>
      <c r="F4364" s="12" t="n">
        <v>3.42</v>
      </c>
      <c r="G4364" s="17" t="n">
        <v>64688.41</v>
      </c>
      <c r="H4364" s="26" t="n">
        <v>44571</v>
      </c>
      <c r="I4364" s="26" t="n">
        <v>44571</v>
      </c>
      <c r="J4364" s="12" t="n">
        <v>3.4</v>
      </c>
      <c r="K4364" s="17" t="n">
        <v>221234.36</v>
      </c>
      <c r="L4364" s="12" t="n">
        <v>0</v>
      </c>
      <c r="M4364" s="12" t="n">
        <v>19</v>
      </c>
      <c r="N4364" s="27">
        <f>F4364-J4364</f>
        <v/>
      </c>
      <c r="O4364" s="16">
        <f>I4364-H4364</f>
        <v/>
      </c>
      <c r="P4364" s="14">
        <f>F4364*G4364</f>
        <v/>
      </c>
      <c r="Q4364" s="14">
        <f>J4364*G4364</f>
        <v/>
      </c>
      <c r="R4364" s="14">
        <f>K4364-Q4364</f>
        <v/>
      </c>
      <c r="S4364" s="3">
        <f>P4364*Assumptions!$B$3/100</f>
        <v/>
      </c>
      <c r="T4364" s="14">
        <f>R4364-S4364</f>
        <v/>
      </c>
      <c r="U4364" s="14">
        <f>L4364*G4364</f>
        <v/>
      </c>
    </row>
    <row r="4365">
      <c r="A4365" s="12" t="inlineStr">
        <is>
          <t>PO-2023-4363</t>
        </is>
      </c>
      <c r="B4365" s="26" t="n">
        <v>45105</v>
      </c>
      <c r="C4365" s="12" t="inlineStr">
        <is>
          <t>VS27</t>
        </is>
      </c>
      <c r="D4365" s="12" t="inlineStr">
        <is>
          <t>GI Wire</t>
        </is>
      </c>
      <c r="E4365" s="12" t="inlineStr">
        <is>
          <t>N</t>
        </is>
      </c>
      <c r="F4365" s="12" t="n">
        <v>5.34</v>
      </c>
      <c r="G4365" s="17" t="n">
        <v>102773.58</v>
      </c>
      <c r="H4365" s="26" t="n">
        <v>45114</v>
      </c>
      <c r="I4365" s="26" t="n">
        <v>45116</v>
      </c>
      <c r="J4365" s="12" t="n">
        <v>5.34</v>
      </c>
      <c r="K4365" s="17" t="n">
        <v>548810.92</v>
      </c>
      <c r="L4365" s="12" t="n">
        <v>0</v>
      </c>
      <c r="M4365" s="12" t="n">
        <v>20</v>
      </c>
      <c r="N4365" s="27">
        <f>F4365-J4365</f>
        <v/>
      </c>
      <c r="O4365" s="16">
        <f>I4365-H4365</f>
        <v/>
      </c>
      <c r="P4365" s="14">
        <f>F4365*G4365</f>
        <v/>
      </c>
      <c r="Q4365" s="14">
        <f>J4365*G4365</f>
        <v/>
      </c>
      <c r="R4365" s="14">
        <f>K4365-Q4365</f>
        <v/>
      </c>
      <c r="S4365" s="3">
        <f>P4365*Assumptions!$B$3/100</f>
        <v/>
      </c>
      <c r="T4365" s="14">
        <f>R4365-S4365</f>
        <v/>
      </c>
      <c r="U4365" s="14">
        <f>L4365*G4365</f>
        <v/>
      </c>
    </row>
    <row r="4366">
      <c r="A4366" s="12" t="inlineStr">
        <is>
          <t>PO-2023-4364</t>
        </is>
      </c>
      <c r="B4366" s="26" t="n">
        <v>44545</v>
      </c>
      <c r="C4366" s="12" t="inlineStr">
        <is>
          <t>VS02</t>
        </is>
      </c>
      <c r="D4366" s="12" t="inlineStr">
        <is>
          <t>Hex Bars</t>
        </is>
      </c>
      <c r="E4366" s="12" t="inlineStr">
        <is>
          <t>N</t>
        </is>
      </c>
      <c r="F4366" s="12" t="n">
        <v>39.65</v>
      </c>
      <c r="G4366" s="17" t="n">
        <v>51176.06</v>
      </c>
      <c r="H4366" s="26" t="n">
        <v>44550</v>
      </c>
      <c r="I4366" s="26" t="n">
        <v>44550</v>
      </c>
      <c r="J4366" s="12" t="n">
        <v>39.56</v>
      </c>
      <c r="K4366" s="17" t="n">
        <v>2029130.78</v>
      </c>
      <c r="L4366" s="12" t="n">
        <v>0</v>
      </c>
      <c r="M4366" s="12" t="n">
        <v>25</v>
      </c>
      <c r="N4366" s="27">
        <f>F4366-J4366</f>
        <v/>
      </c>
      <c r="O4366" s="16">
        <f>I4366-H4366</f>
        <v/>
      </c>
      <c r="P4366" s="14">
        <f>F4366*G4366</f>
        <v/>
      </c>
      <c r="Q4366" s="14">
        <f>J4366*G4366</f>
        <v/>
      </c>
      <c r="R4366" s="14">
        <f>K4366-Q4366</f>
        <v/>
      </c>
      <c r="S4366" s="3">
        <f>P4366*Assumptions!$B$3/100</f>
        <v/>
      </c>
      <c r="T4366" s="14">
        <f>R4366-S4366</f>
        <v/>
      </c>
      <c r="U4366" s="14">
        <f>L4366*G4366</f>
        <v/>
      </c>
    </row>
    <row r="4367">
      <c r="A4367" s="12" t="inlineStr">
        <is>
          <t>PO-2023-4365</t>
        </is>
      </c>
      <c r="B4367" s="26" t="n">
        <v>45075</v>
      </c>
      <c r="C4367" s="12" t="inlineStr">
        <is>
          <t>VS34</t>
        </is>
      </c>
      <c r="D4367" s="12" t="inlineStr">
        <is>
          <t>SS Pipes</t>
        </is>
      </c>
      <c r="E4367" s="12" t="inlineStr">
        <is>
          <t>N</t>
        </is>
      </c>
      <c r="F4367" s="12" t="n">
        <v>18.09</v>
      </c>
      <c r="G4367" s="17" t="n">
        <v>118810.66</v>
      </c>
      <c r="H4367" s="26" t="n">
        <v>45090</v>
      </c>
      <c r="I4367" s="26" t="n">
        <v>45090</v>
      </c>
      <c r="J4367" s="12" t="n">
        <v>18.02</v>
      </c>
      <c r="K4367" s="17" t="n">
        <v>2149284.84</v>
      </c>
      <c r="L4367" s="12" t="n">
        <v>0</v>
      </c>
      <c r="M4367" s="12" t="n">
        <v>0</v>
      </c>
      <c r="N4367" s="27">
        <f>F4367-J4367</f>
        <v/>
      </c>
      <c r="O4367" s="16">
        <f>I4367-H4367</f>
        <v/>
      </c>
      <c r="P4367" s="14">
        <f>F4367*G4367</f>
        <v/>
      </c>
      <c r="Q4367" s="14">
        <f>J4367*G4367</f>
        <v/>
      </c>
      <c r="R4367" s="14">
        <f>K4367-Q4367</f>
        <v/>
      </c>
      <c r="S4367" s="3">
        <f>P4367*Assumptions!$B$3/100</f>
        <v/>
      </c>
      <c r="T4367" s="14">
        <f>R4367-S4367</f>
        <v/>
      </c>
      <c r="U4367" s="14">
        <f>L4367*G4367</f>
        <v/>
      </c>
    </row>
    <row r="4368">
      <c r="A4368" s="12" t="inlineStr">
        <is>
          <t>PO-2023-4366</t>
        </is>
      </c>
      <c r="B4368" s="26" t="n">
        <v>44817</v>
      </c>
      <c r="C4368" s="12" t="inlineStr">
        <is>
          <t>VS30</t>
        </is>
      </c>
      <c r="D4368" s="12" t="inlineStr">
        <is>
          <t>CR Sheets</t>
        </is>
      </c>
      <c r="E4368" s="12" t="inlineStr">
        <is>
          <t>N</t>
        </is>
      </c>
      <c r="F4368" s="12" t="n">
        <v>38.69</v>
      </c>
      <c r="G4368" s="17" t="n">
        <v>108510.31</v>
      </c>
      <c r="H4368" s="26" t="n">
        <v>44825</v>
      </c>
      <c r="I4368" s="26" t="n">
        <v>44827</v>
      </c>
      <c r="J4368" s="12" t="n">
        <v>38.49</v>
      </c>
      <c r="K4368" s="17" t="n">
        <v>4198263.89</v>
      </c>
      <c r="L4368" s="12" t="n">
        <v>0</v>
      </c>
      <c r="M4368" s="12" t="n">
        <v>0</v>
      </c>
      <c r="N4368" s="27">
        <f>F4368-J4368</f>
        <v/>
      </c>
      <c r="O4368" s="16">
        <f>I4368-H4368</f>
        <v/>
      </c>
      <c r="P4368" s="14">
        <f>F4368*G4368</f>
        <v/>
      </c>
      <c r="Q4368" s="14">
        <f>J4368*G4368</f>
        <v/>
      </c>
      <c r="R4368" s="14">
        <f>K4368-Q4368</f>
        <v/>
      </c>
      <c r="S4368" s="3">
        <f>P4368*Assumptions!$B$3/100</f>
        <v/>
      </c>
      <c r="T4368" s="14">
        <f>R4368-S4368</f>
        <v/>
      </c>
      <c r="U4368" s="14">
        <f>L4368*G4368</f>
        <v/>
      </c>
    </row>
    <row r="4369">
      <c r="A4369" s="12" t="inlineStr">
        <is>
          <t>PO-2023-4367</t>
        </is>
      </c>
      <c r="B4369" s="26" t="n">
        <v>44648</v>
      </c>
      <c r="C4369" s="12" t="inlineStr">
        <is>
          <t>VS05</t>
        </is>
      </c>
      <c r="D4369" s="12" t="inlineStr">
        <is>
          <t>SS Pipes</t>
        </is>
      </c>
      <c r="E4369" s="12" t="inlineStr">
        <is>
          <t>N</t>
        </is>
      </c>
      <c r="F4369" s="12" t="n">
        <v>2.78</v>
      </c>
      <c r="G4369" s="17" t="n">
        <v>71163.86</v>
      </c>
      <c r="H4369" s="26" t="n">
        <v>44659</v>
      </c>
      <c r="I4369" s="26" t="n">
        <v>44662</v>
      </c>
      <c r="J4369" s="12" t="n">
        <v>2.78</v>
      </c>
      <c r="K4369" s="17" t="n">
        <v>197835.53</v>
      </c>
      <c r="L4369" s="12" t="n">
        <v>0</v>
      </c>
      <c r="M4369" s="12" t="n">
        <v>16</v>
      </c>
      <c r="N4369" s="27">
        <f>F4369-J4369</f>
        <v/>
      </c>
      <c r="O4369" s="16">
        <f>I4369-H4369</f>
        <v/>
      </c>
      <c r="P4369" s="14">
        <f>F4369*G4369</f>
        <v/>
      </c>
      <c r="Q4369" s="14">
        <f>J4369*G4369</f>
        <v/>
      </c>
      <c r="R4369" s="14">
        <f>K4369-Q4369</f>
        <v/>
      </c>
      <c r="S4369" s="3">
        <f>P4369*Assumptions!$B$3/100</f>
        <v/>
      </c>
      <c r="T4369" s="14">
        <f>R4369-S4369</f>
        <v/>
      </c>
      <c r="U4369" s="14">
        <f>L4369*G4369</f>
        <v/>
      </c>
    </row>
    <row r="4370">
      <c r="A4370" s="12" t="inlineStr">
        <is>
          <t>PO-2023-4368</t>
        </is>
      </c>
      <c r="B4370" s="26" t="n">
        <v>44631</v>
      </c>
      <c r="C4370" s="12" t="inlineStr">
        <is>
          <t>VS16</t>
        </is>
      </c>
      <c r="D4370" s="12" t="inlineStr">
        <is>
          <t>MS Pipes</t>
        </is>
      </c>
      <c r="E4370" s="12" t="inlineStr">
        <is>
          <t>N</t>
        </is>
      </c>
      <c r="F4370" s="12" t="n">
        <v>43.24</v>
      </c>
      <c r="G4370" s="17" t="n">
        <v>77448.78</v>
      </c>
      <c r="H4370" s="26" t="n">
        <v>44637</v>
      </c>
      <c r="I4370" s="26" t="n">
        <v>44637</v>
      </c>
      <c r="J4370" s="12" t="n">
        <v>43.11</v>
      </c>
      <c r="K4370" s="17" t="n">
        <v>3348885.25</v>
      </c>
      <c r="L4370" s="12" t="n">
        <v>0</v>
      </c>
      <c r="M4370" s="12" t="n">
        <v>3</v>
      </c>
      <c r="N4370" s="27">
        <f>F4370-J4370</f>
        <v/>
      </c>
      <c r="O4370" s="16">
        <f>I4370-H4370</f>
        <v/>
      </c>
      <c r="P4370" s="14">
        <f>F4370*G4370</f>
        <v/>
      </c>
      <c r="Q4370" s="14">
        <f>J4370*G4370</f>
        <v/>
      </c>
      <c r="R4370" s="14">
        <f>K4370-Q4370</f>
        <v/>
      </c>
      <c r="S4370" s="3">
        <f>P4370*Assumptions!$B$3/100</f>
        <v/>
      </c>
      <c r="T4370" s="14">
        <f>R4370-S4370</f>
        <v/>
      </c>
      <c r="U4370" s="14">
        <f>L4370*G4370</f>
        <v/>
      </c>
    </row>
    <row r="4371">
      <c r="A4371" s="12" t="inlineStr">
        <is>
          <t>PO-2023-4369</t>
        </is>
      </c>
      <c r="B4371" s="26" t="n">
        <v>45114</v>
      </c>
      <c r="C4371" s="12" t="inlineStr">
        <is>
          <t>VS33</t>
        </is>
      </c>
      <c r="D4371" s="12" t="inlineStr">
        <is>
          <t>SS Sheets</t>
        </is>
      </c>
      <c r="E4371" s="12" t="inlineStr">
        <is>
          <t>N</t>
        </is>
      </c>
      <c r="F4371" s="12" t="n">
        <v>48.96</v>
      </c>
      <c r="G4371" s="17" t="n">
        <v>52099.84</v>
      </c>
      <c r="H4371" s="26" t="n">
        <v>45126</v>
      </c>
      <c r="I4371" s="26" t="n">
        <v>45127</v>
      </c>
      <c r="J4371" s="12" t="n">
        <v>48.81</v>
      </c>
      <c r="K4371" s="17" t="n">
        <v>2550808.17</v>
      </c>
      <c r="L4371" s="12" t="n">
        <v>0</v>
      </c>
      <c r="M4371" s="12" t="n">
        <v>0</v>
      </c>
      <c r="N4371" s="27">
        <f>F4371-J4371</f>
        <v/>
      </c>
      <c r="O4371" s="16">
        <f>I4371-H4371</f>
        <v/>
      </c>
      <c r="P4371" s="14">
        <f>F4371*G4371</f>
        <v/>
      </c>
      <c r="Q4371" s="14">
        <f>J4371*G4371</f>
        <v/>
      </c>
      <c r="R4371" s="14">
        <f>K4371-Q4371</f>
        <v/>
      </c>
      <c r="S4371" s="3">
        <f>P4371*Assumptions!$B$3/100</f>
        <v/>
      </c>
      <c r="T4371" s="14">
        <f>R4371-S4371</f>
        <v/>
      </c>
      <c r="U4371" s="14">
        <f>L4371*G4371</f>
        <v/>
      </c>
    </row>
    <row r="4372">
      <c r="A4372" s="12" t="inlineStr">
        <is>
          <t>PO-2023-4370</t>
        </is>
      </c>
      <c r="B4372" s="26" t="n">
        <v>44452</v>
      </c>
      <c r="C4372" s="12" t="inlineStr">
        <is>
          <t>VS20</t>
        </is>
      </c>
      <c r="D4372" s="12" t="inlineStr">
        <is>
          <t>Square/Rect Tubes</t>
        </is>
      </c>
      <c r="E4372" s="12" t="inlineStr">
        <is>
          <t>N</t>
        </is>
      </c>
      <c r="F4372" s="12" t="n">
        <v>33.7</v>
      </c>
      <c r="G4372" s="17" t="n">
        <v>90480.31</v>
      </c>
      <c r="H4372" s="26" t="n">
        <v>44462</v>
      </c>
      <c r="I4372" s="26" t="n">
        <v>44465</v>
      </c>
      <c r="J4372" s="12" t="n">
        <v>33.5</v>
      </c>
      <c r="K4372" s="17" t="n">
        <v>3049186.45</v>
      </c>
      <c r="L4372" s="12" t="n">
        <v>0</v>
      </c>
      <c r="M4372" s="12" t="n">
        <v>0</v>
      </c>
      <c r="N4372" s="27">
        <f>F4372-J4372</f>
        <v/>
      </c>
      <c r="O4372" s="16">
        <f>I4372-H4372</f>
        <v/>
      </c>
      <c r="P4372" s="14">
        <f>F4372*G4372</f>
        <v/>
      </c>
      <c r="Q4372" s="14">
        <f>J4372*G4372</f>
        <v/>
      </c>
      <c r="R4372" s="14">
        <f>K4372-Q4372</f>
        <v/>
      </c>
      <c r="S4372" s="3">
        <f>P4372*Assumptions!$B$3/100</f>
        <v/>
      </c>
      <c r="T4372" s="14">
        <f>R4372-S4372</f>
        <v/>
      </c>
      <c r="U4372" s="14">
        <f>L4372*G4372</f>
        <v/>
      </c>
    </row>
    <row r="4373">
      <c r="A4373" s="12" t="inlineStr">
        <is>
          <t>PO-2023-4371</t>
        </is>
      </c>
      <c r="B4373" s="26" t="n">
        <v>45032</v>
      </c>
      <c r="C4373" s="12" t="inlineStr">
        <is>
          <t>VS23</t>
        </is>
      </c>
      <c r="D4373" s="12" t="inlineStr">
        <is>
          <t>MS Pipes</t>
        </is>
      </c>
      <c r="E4373" s="12" t="inlineStr">
        <is>
          <t>N</t>
        </is>
      </c>
      <c r="F4373" s="12" t="n">
        <v>38.12</v>
      </c>
      <c r="G4373" s="17" t="n">
        <v>52788.44</v>
      </c>
      <c r="H4373" s="26" t="n">
        <v>45047</v>
      </c>
      <c r="I4373" s="26" t="n">
        <v>45048</v>
      </c>
      <c r="J4373" s="12" t="n">
        <v>37.88</v>
      </c>
      <c r="K4373" s="17" t="n">
        <v>2012295.33</v>
      </c>
      <c r="L4373" s="12" t="n">
        <v>0</v>
      </c>
      <c r="M4373" s="12" t="n">
        <v>0</v>
      </c>
      <c r="N4373" s="27">
        <f>F4373-J4373</f>
        <v/>
      </c>
      <c r="O4373" s="16">
        <f>I4373-H4373</f>
        <v/>
      </c>
      <c r="P4373" s="14">
        <f>F4373*G4373</f>
        <v/>
      </c>
      <c r="Q4373" s="14">
        <f>J4373*G4373</f>
        <v/>
      </c>
      <c r="R4373" s="14">
        <f>K4373-Q4373</f>
        <v/>
      </c>
      <c r="S4373" s="3">
        <f>P4373*Assumptions!$B$3/100</f>
        <v/>
      </c>
      <c r="T4373" s="14">
        <f>R4373-S4373</f>
        <v/>
      </c>
      <c r="U4373" s="14">
        <f>L4373*G4373</f>
        <v/>
      </c>
    </row>
    <row r="4374">
      <c r="A4374" s="12" t="inlineStr">
        <is>
          <t>PO-2023-4372</t>
        </is>
      </c>
      <c r="B4374" s="26" t="n">
        <v>45191</v>
      </c>
      <c r="C4374" s="12" t="inlineStr">
        <is>
          <t>VS28</t>
        </is>
      </c>
      <c r="D4374" s="12" t="inlineStr">
        <is>
          <t>Structural Steel</t>
        </is>
      </c>
      <c r="E4374" s="12" t="inlineStr">
        <is>
          <t>N</t>
        </is>
      </c>
      <c r="F4374" s="12" t="n">
        <v>34.81</v>
      </c>
      <c r="G4374" s="17" t="n">
        <v>52372.02</v>
      </c>
      <c r="H4374" s="26" t="n">
        <v>45201</v>
      </c>
      <c r="I4374" s="26" t="n">
        <v>45201</v>
      </c>
      <c r="J4374" s="12" t="n">
        <v>34.61</v>
      </c>
      <c r="K4374" s="17" t="n">
        <v>1823070.02</v>
      </c>
      <c r="L4374" s="12" t="n">
        <v>0</v>
      </c>
      <c r="M4374" s="12" t="n">
        <v>24</v>
      </c>
      <c r="N4374" s="27">
        <f>F4374-J4374</f>
        <v/>
      </c>
      <c r="O4374" s="16">
        <f>I4374-H4374</f>
        <v/>
      </c>
      <c r="P4374" s="14">
        <f>F4374*G4374</f>
        <v/>
      </c>
      <c r="Q4374" s="14">
        <f>J4374*G4374</f>
        <v/>
      </c>
      <c r="R4374" s="14">
        <f>K4374-Q4374</f>
        <v/>
      </c>
      <c r="S4374" s="3">
        <f>P4374*Assumptions!$B$3/100</f>
        <v/>
      </c>
      <c r="T4374" s="14">
        <f>R4374-S4374</f>
        <v/>
      </c>
      <c r="U4374" s="14">
        <f>L4374*G4374</f>
        <v/>
      </c>
    </row>
    <row r="4375">
      <c r="A4375" s="12" t="inlineStr">
        <is>
          <t>PO-2023-4373</t>
        </is>
      </c>
      <c r="B4375" s="26" t="n">
        <v>45177</v>
      </c>
      <c r="C4375" s="12" t="inlineStr">
        <is>
          <t>VS26</t>
        </is>
      </c>
      <c r="D4375" s="12" t="inlineStr">
        <is>
          <t>Square/Rect Tubes</t>
        </is>
      </c>
      <c r="E4375" s="12" t="inlineStr">
        <is>
          <t>N</t>
        </is>
      </c>
      <c r="F4375" s="12" t="n">
        <v>33.25</v>
      </c>
      <c r="G4375" s="17" t="n">
        <v>85701.96000000001</v>
      </c>
      <c r="H4375" s="26" t="n">
        <v>45183</v>
      </c>
      <c r="I4375" s="26" t="n">
        <v>45185</v>
      </c>
      <c r="J4375" s="12" t="n">
        <v>33.01</v>
      </c>
      <c r="K4375" s="17" t="n">
        <v>2849590.17</v>
      </c>
      <c r="L4375" s="12" t="n">
        <v>0</v>
      </c>
      <c r="M4375" s="12" t="n">
        <v>21</v>
      </c>
      <c r="N4375" s="27">
        <f>F4375-J4375</f>
        <v/>
      </c>
      <c r="O4375" s="16">
        <f>I4375-H4375</f>
        <v/>
      </c>
      <c r="P4375" s="14">
        <f>F4375*G4375</f>
        <v/>
      </c>
      <c r="Q4375" s="14">
        <f>J4375*G4375</f>
        <v/>
      </c>
      <c r="R4375" s="14">
        <f>K4375-Q4375</f>
        <v/>
      </c>
      <c r="S4375" s="3">
        <f>P4375*Assumptions!$B$3/100</f>
        <v/>
      </c>
      <c r="T4375" s="14">
        <f>R4375-S4375</f>
        <v/>
      </c>
      <c r="U4375" s="14">
        <f>L4375*G4375</f>
        <v/>
      </c>
    </row>
    <row r="4376">
      <c r="A4376" s="12" t="inlineStr">
        <is>
          <t>PO-2023-4374</t>
        </is>
      </c>
      <c r="B4376" s="26" t="n">
        <v>45034</v>
      </c>
      <c r="C4376" s="12" t="inlineStr">
        <is>
          <t>VS16</t>
        </is>
      </c>
      <c r="D4376" s="12" t="inlineStr">
        <is>
          <t>GI Wire</t>
        </is>
      </c>
      <c r="E4376" s="12" t="inlineStr">
        <is>
          <t>N</t>
        </is>
      </c>
      <c r="F4376" s="12" t="n">
        <v>27.69</v>
      </c>
      <c r="G4376" s="17" t="n">
        <v>112953.9</v>
      </c>
      <c r="H4376" s="26" t="n">
        <v>45047</v>
      </c>
      <c r="I4376" s="26" t="n">
        <v>45050</v>
      </c>
      <c r="J4376" s="12" t="n">
        <v>27.49</v>
      </c>
      <c r="K4376" s="17" t="n">
        <v>3127693.49</v>
      </c>
      <c r="L4376" s="12" t="n">
        <v>0</v>
      </c>
      <c r="M4376" s="12" t="n">
        <v>0</v>
      </c>
      <c r="N4376" s="27">
        <f>F4376-J4376</f>
        <v/>
      </c>
      <c r="O4376" s="16">
        <f>I4376-H4376</f>
        <v/>
      </c>
      <c r="P4376" s="14">
        <f>F4376*G4376</f>
        <v/>
      </c>
      <c r="Q4376" s="14">
        <f>J4376*G4376</f>
        <v/>
      </c>
      <c r="R4376" s="14">
        <f>K4376-Q4376</f>
        <v/>
      </c>
      <c r="S4376" s="3">
        <f>P4376*Assumptions!$B$3/100</f>
        <v/>
      </c>
      <c r="T4376" s="14">
        <f>R4376-S4376</f>
        <v/>
      </c>
      <c r="U4376" s="14">
        <f>L4376*G4376</f>
        <v/>
      </c>
    </row>
    <row r="4377">
      <c r="A4377" s="12" t="inlineStr">
        <is>
          <t>PO-2023-4375</t>
        </is>
      </c>
      <c r="B4377" s="26" t="n">
        <v>44929</v>
      </c>
      <c r="C4377" s="12" t="inlineStr">
        <is>
          <t>VS02</t>
        </is>
      </c>
      <c r="D4377" s="12" t="inlineStr">
        <is>
          <t>SS Pipes</t>
        </is>
      </c>
      <c r="E4377" s="12" t="inlineStr">
        <is>
          <t>Y</t>
        </is>
      </c>
      <c r="F4377" s="12" t="n">
        <v>36.71</v>
      </c>
      <c r="G4377" s="17" t="n">
        <v>74738.42</v>
      </c>
      <c r="H4377" s="26" t="n">
        <v>44944</v>
      </c>
      <c r="I4377" s="26" t="n">
        <v>44945</v>
      </c>
      <c r="J4377" s="12" t="n">
        <v>36.44</v>
      </c>
      <c r="K4377" s="17" t="n">
        <v>2743647.4</v>
      </c>
      <c r="L4377" s="12" t="n">
        <v>0</v>
      </c>
      <c r="M4377" s="12" t="n">
        <v>8</v>
      </c>
      <c r="N4377" s="27">
        <f>F4377-J4377</f>
        <v/>
      </c>
      <c r="O4377" s="16">
        <f>I4377-H4377</f>
        <v/>
      </c>
      <c r="P4377" s="14">
        <f>F4377*G4377</f>
        <v/>
      </c>
      <c r="Q4377" s="14">
        <f>J4377*G4377</f>
        <v/>
      </c>
      <c r="R4377" s="14">
        <f>K4377-Q4377</f>
        <v/>
      </c>
      <c r="S4377" s="3">
        <f>P4377*Assumptions!$B$3/100</f>
        <v/>
      </c>
      <c r="T4377" s="14">
        <f>R4377-S4377</f>
        <v/>
      </c>
      <c r="U4377" s="14">
        <f>L4377*G4377</f>
        <v/>
      </c>
    </row>
    <row r="4378">
      <c r="A4378" s="12" t="inlineStr">
        <is>
          <t>PO-2023-4376</t>
        </is>
      </c>
      <c r="B4378" s="26" t="n">
        <v>44527</v>
      </c>
      <c r="C4378" s="12" t="inlineStr">
        <is>
          <t>VS30</t>
        </is>
      </c>
      <c r="D4378" s="12" t="inlineStr">
        <is>
          <t>MS Rods</t>
        </is>
      </c>
      <c r="E4378" s="12" t="inlineStr">
        <is>
          <t>N</t>
        </is>
      </c>
      <c r="F4378" s="12" t="n">
        <v>9.42</v>
      </c>
      <c r="G4378" s="17" t="n">
        <v>56918.65</v>
      </c>
      <c r="H4378" s="26" t="n">
        <v>44536</v>
      </c>
      <c r="I4378" s="26" t="n">
        <v>44536</v>
      </c>
      <c r="J4378" s="12" t="n">
        <v>9.41</v>
      </c>
      <c r="K4378" s="17" t="n">
        <v>536173.6800000001</v>
      </c>
      <c r="L4378" s="12" t="n">
        <v>0</v>
      </c>
      <c r="M4378" s="12" t="n">
        <v>6</v>
      </c>
      <c r="N4378" s="27">
        <f>F4378-J4378</f>
        <v/>
      </c>
      <c r="O4378" s="16">
        <f>I4378-H4378</f>
        <v/>
      </c>
      <c r="P4378" s="14">
        <f>F4378*G4378</f>
        <v/>
      </c>
      <c r="Q4378" s="14">
        <f>J4378*G4378</f>
        <v/>
      </c>
      <c r="R4378" s="14">
        <f>K4378-Q4378</f>
        <v/>
      </c>
      <c r="S4378" s="3">
        <f>P4378*Assumptions!$B$3/100</f>
        <v/>
      </c>
      <c r="T4378" s="14">
        <f>R4378-S4378</f>
        <v/>
      </c>
      <c r="U4378" s="14">
        <f>L4378*G4378</f>
        <v/>
      </c>
    </row>
    <row r="4379">
      <c r="A4379" s="12" t="inlineStr">
        <is>
          <t>PO-2023-4377</t>
        </is>
      </c>
      <c r="B4379" s="26" t="n">
        <v>45082</v>
      </c>
      <c r="C4379" s="12" t="inlineStr">
        <is>
          <t>VS28</t>
        </is>
      </c>
      <c r="D4379" s="12" t="inlineStr">
        <is>
          <t>Fasteners &amp; Fittings</t>
        </is>
      </c>
      <c r="E4379" s="12" t="inlineStr">
        <is>
          <t>N</t>
        </is>
      </c>
      <c r="F4379" s="12" t="n">
        <v>26.22</v>
      </c>
      <c r="G4379" s="17" t="n">
        <v>96834.74000000001</v>
      </c>
      <c r="H4379" s="26" t="n">
        <v>45085</v>
      </c>
      <c r="I4379" s="26" t="n">
        <v>45086</v>
      </c>
      <c r="J4379" s="12" t="n">
        <v>26.01</v>
      </c>
      <c r="K4379" s="17" t="n">
        <v>2539006.88</v>
      </c>
      <c r="L4379" s="12" t="n">
        <v>0</v>
      </c>
      <c r="M4379" s="12" t="n">
        <v>0</v>
      </c>
      <c r="N4379" s="27">
        <f>F4379-J4379</f>
        <v/>
      </c>
      <c r="O4379" s="16">
        <f>I4379-H4379</f>
        <v/>
      </c>
      <c r="P4379" s="14">
        <f>F4379*G4379</f>
        <v/>
      </c>
      <c r="Q4379" s="14">
        <f>J4379*G4379</f>
        <v/>
      </c>
      <c r="R4379" s="14">
        <f>K4379-Q4379</f>
        <v/>
      </c>
      <c r="S4379" s="3">
        <f>P4379*Assumptions!$B$3/100</f>
        <v/>
      </c>
      <c r="T4379" s="14">
        <f>R4379-S4379</f>
        <v/>
      </c>
      <c r="U4379" s="14">
        <f>L4379*G4379</f>
        <v/>
      </c>
    </row>
    <row r="4380">
      <c r="A4380" s="12" t="inlineStr">
        <is>
          <t>PO-2023-4378</t>
        </is>
      </c>
      <c r="B4380" s="26" t="n">
        <v>44595</v>
      </c>
      <c r="C4380" s="12" t="inlineStr">
        <is>
          <t>VS29</t>
        </is>
      </c>
      <c r="D4380" s="12" t="inlineStr">
        <is>
          <t>MS Rods</t>
        </is>
      </c>
      <c r="E4380" s="12" t="inlineStr">
        <is>
          <t>N</t>
        </is>
      </c>
      <c r="F4380" s="12" t="n">
        <v>5.2</v>
      </c>
      <c r="G4380" s="17" t="n">
        <v>74638.00999999999</v>
      </c>
      <c r="H4380" s="26" t="n">
        <v>44603</v>
      </c>
      <c r="I4380" s="26" t="n">
        <v>44603</v>
      </c>
      <c r="J4380" s="12" t="n">
        <v>5.19</v>
      </c>
      <c r="K4380" s="17" t="n">
        <v>388117.65</v>
      </c>
      <c r="L4380" s="12" t="n">
        <v>0</v>
      </c>
      <c r="M4380" s="12" t="n">
        <v>16</v>
      </c>
      <c r="N4380" s="27">
        <f>F4380-J4380</f>
        <v/>
      </c>
      <c r="O4380" s="16">
        <f>I4380-H4380</f>
        <v/>
      </c>
      <c r="P4380" s="14">
        <f>F4380*G4380</f>
        <v/>
      </c>
      <c r="Q4380" s="14">
        <f>J4380*G4380</f>
        <v/>
      </c>
      <c r="R4380" s="14">
        <f>K4380-Q4380</f>
        <v/>
      </c>
      <c r="S4380" s="3">
        <f>P4380*Assumptions!$B$3/100</f>
        <v/>
      </c>
      <c r="T4380" s="14">
        <f>R4380-S4380</f>
        <v/>
      </c>
      <c r="U4380" s="14">
        <f>L4380*G4380</f>
        <v/>
      </c>
    </row>
    <row r="4381">
      <c r="A4381" s="12" t="inlineStr">
        <is>
          <t>PO-2023-4379</t>
        </is>
      </c>
      <c r="B4381" s="26" t="n">
        <v>44543</v>
      </c>
      <c r="C4381" s="12" t="inlineStr">
        <is>
          <t>VS12</t>
        </is>
      </c>
      <c r="D4381" s="12" t="inlineStr">
        <is>
          <t>Spring Steel</t>
        </is>
      </c>
      <c r="E4381" s="12" t="inlineStr">
        <is>
          <t>Y</t>
        </is>
      </c>
      <c r="F4381" s="12" t="n">
        <v>45.92</v>
      </c>
      <c r="G4381" s="17" t="n">
        <v>93773.66</v>
      </c>
      <c r="H4381" s="26" t="n">
        <v>44557</v>
      </c>
      <c r="I4381" s="26" t="n">
        <v>44564</v>
      </c>
      <c r="J4381" s="12" t="n">
        <v>43.8</v>
      </c>
      <c r="K4381" s="17" t="n">
        <v>4306086.47</v>
      </c>
      <c r="L4381" s="12" t="n">
        <v>2.06</v>
      </c>
      <c r="M4381" s="12" t="n">
        <v>19</v>
      </c>
      <c r="N4381" s="27">
        <f>F4381-J4381</f>
        <v/>
      </c>
      <c r="O4381" s="16">
        <f>I4381-H4381</f>
        <v/>
      </c>
      <c r="P4381" s="14">
        <f>F4381*G4381</f>
        <v/>
      </c>
      <c r="Q4381" s="14">
        <f>J4381*G4381</f>
        <v/>
      </c>
      <c r="R4381" s="14">
        <f>K4381-Q4381</f>
        <v/>
      </c>
      <c r="S4381" s="3">
        <f>P4381*Assumptions!$B$3/100</f>
        <v/>
      </c>
      <c r="T4381" s="14">
        <f>R4381-S4381</f>
        <v/>
      </c>
      <c r="U4381" s="14">
        <f>L4381*G4381</f>
        <v/>
      </c>
    </row>
    <row r="4382">
      <c r="A4382" s="12" t="inlineStr">
        <is>
          <t>PO-2023-4380</t>
        </is>
      </c>
      <c r="B4382" s="26" t="n">
        <v>44198</v>
      </c>
      <c r="C4382" s="12" t="inlineStr">
        <is>
          <t>VS30</t>
        </is>
      </c>
      <c r="D4382" s="12" t="inlineStr">
        <is>
          <t>SS Sheets</t>
        </is>
      </c>
      <c r="E4382" s="12" t="inlineStr">
        <is>
          <t>N</t>
        </is>
      </c>
      <c r="F4382" s="12" t="n">
        <v>29.46</v>
      </c>
      <c r="G4382" s="17" t="n">
        <v>63137.81</v>
      </c>
      <c r="H4382" s="26" t="n">
        <v>44206</v>
      </c>
      <c r="I4382" s="26" t="n">
        <v>44208</v>
      </c>
      <c r="J4382" s="12" t="n">
        <v>29.39</v>
      </c>
      <c r="K4382" s="17" t="n">
        <v>1860039.88</v>
      </c>
      <c r="L4382" s="12" t="n">
        <v>0</v>
      </c>
      <c r="M4382" s="12" t="n">
        <v>16</v>
      </c>
      <c r="N4382" s="27">
        <f>F4382-J4382</f>
        <v/>
      </c>
      <c r="O4382" s="16">
        <f>I4382-H4382</f>
        <v/>
      </c>
      <c r="P4382" s="14">
        <f>F4382*G4382</f>
        <v/>
      </c>
      <c r="Q4382" s="14">
        <f>J4382*G4382</f>
        <v/>
      </c>
      <c r="R4382" s="14">
        <f>K4382-Q4382</f>
        <v/>
      </c>
      <c r="S4382" s="3">
        <f>P4382*Assumptions!$B$3/100</f>
        <v/>
      </c>
      <c r="T4382" s="14">
        <f>R4382-S4382</f>
        <v/>
      </c>
      <c r="U4382" s="14">
        <f>L4382*G4382</f>
        <v/>
      </c>
    </row>
    <row r="4383">
      <c r="A4383" s="12" t="inlineStr">
        <is>
          <t>PO-2023-4381</t>
        </is>
      </c>
      <c r="B4383" s="26" t="n">
        <v>44414</v>
      </c>
      <c r="C4383" s="12" t="inlineStr">
        <is>
          <t>VS09</t>
        </is>
      </c>
      <c r="D4383" s="12" t="inlineStr">
        <is>
          <t>MS Flats</t>
        </is>
      </c>
      <c r="E4383" s="12" t="inlineStr">
        <is>
          <t>N</t>
        </is>
      </c>
      <c r="F4383" s="12" t="n">
        <v>17.73</v>
      </c>
      <c r="G4383" s="17" t="n">
        <v>80746.59</v>
      </c>
      <c r="H4383" s="26" t="n">
        <v>44424</v>
      </c>
      <c r="I4383" s="26" t="n">
        <v>44425</v>
      </c>
      <c r="J4383" s="12" t="n">
        <v>17.69</v>
      </c>
      <c r="K4383" s="17" t="n">
        <v>1431637.04</v>
      </c>
      <c r="L4383" s="12" t="n">
        <v>0</v>
      </c>
      <c r="M4383" s="12" t="n">
        <v>10</v>
      </c>
      <c r="N4383" s="27">
        <f>F4383-J4383</f>
        <v/>
      </c>
      <c r="O4383" s="16">
        <f>I4383-H4383</f>
        <v/>
      </c>
      <c r="P4383" s="14">
        <f>F4383*G4383</f>
        <v/>
      </c>
      <c r="Q4383" s="14">
        <f>J4383*G4383</f>
        <v/>
      </c>
      <c r="R4383" s="14">
        <f>K4383-Q4383</f>
        <v/>
      </c>
      <c r="S4383" s="3">
        <f>P4383*Assumptions!$B$3/100</f>
        <v/>
      </c>
      <c r="T4383" s="14">
        <f>R4383-S4383</f>
        <v/>
      </c>
      <c r="U4383" s="14">
        <f>L4383*G4383</f>
        <v/>
      </c>
    </row>
    <row r="4384">
      <c r="A4384" s="12" t="inlineStr">
        <is>
          <t>PO-2023-4382</t>
        </is>
      </c>
      <c r="B4384" s="26" t="n">
        <v>44508</v>
      </c>
      <c r="C4384" s="12" t="inlineStr">
        <is>
          <t>VS28</t>
        </is>
      </c>
      <c r="D4384" s="12" t="inlineStr">
        <is>
          <t>MS Flats</t>
        </is>
      </c>
      <c r="E4384" s="12" t="inlineStr">
        <is>
          <t>N</t>
        </is>
      </c>
      <c r="F4384" s="12" t="n">
        <v>48.75</v>
      </c>
      <c r="G4384" s="17" t="n">
        <v>107695.94</v>
      </c>
      <c r="H4384" s="26" t="n">
        <v>44517</v>
      </c>
      <c r="I4384" s="26" t="n">
        <v>44519</v>
      </c>
      <c r="J4384" s="12" t="n">
        <v>48.74</v>
      </c>
      <c r="K4384" s="17" t="n">
        <v>5250177.08</v>
      </c>
      <c r="L4384" s="12" t="n">
        <v>0</v>
      </c>
      <c r="M4384" s="12" t="n">
        <v>10</v>
      </c>
      <c r="N4384" s="27">
        <f>F4384-J4384</f>
        <v/>
      </c>
      <c r="O4384" s="16">
        <f>I4384-H4384</f>
        <v/>
      </c>
      <c r="P4384" s="14">
        <f>F4384*G4384</f>
        <v/>
      </c>
      <c r="Q4384" s="14">
        <f>J4384*G4384</f>
        <v/>
      </c>
      <c r="R4384" s="14">
        <f>K4384-Q4384</f>
        <v/>
      </c>
      <c r="S4384" s="3">
        <f>P4384*Assumptions!$B$3/100</f>
        <v/>
      </c>
      <c r="T4384" s="14">
        <f>R4384-S4384</f>
        <v/>
      </c>
      <c r="U4384" s="14">
        <f>L4384*G4384</f>
        <v/>
      </c>
    </row>
    <row r="4385">
      <c r="A4385" s="12" t="inlineStr">
        <is>
          <t>PO-2023-4383</t>
        </is>
      </c>
      <c r="B4385" s="26" t="n">
        <v>44803</v>
      </c>
      <c r="C4385" s="12" t="inlineStr">
        <is>
          <t>VS02</t>
        </is>
      </c>
      <c r="D4385" s="12" t="inlineStr">
        <is>
          <t>Spring Steel</t>
        </is>
      </c>
      <c r="E4385" s="12" t="inlineStr">
        <is>
          <t>Y</t>
        </is>
      </c>
      <c r="F4385" s="12" t="n">
        <v>42.09</v>
      </c>
      <c r="G4385" s="17" t="n">
        <v>113410.12</v>
      </c>
      <c r="H4385" s="26" t="n">
        <v>44811</v>
      </c>
      <c r="I4385" s="26" t="n">
        <v>44813</v>
      </c>
      <c r="J4385" s="12" t="n">
        <v>42.05</v>
      </c>
      <c r="K4385" s="17" t="n">
        <v>4773431.95</v>
      </c>
      <c r="L4385" s="12" t="n">
        <v>0</v>
      </c>
      <c r="M4385" s="12" t="n">
        <v>6</v>
      </c>
      <c r="N4385" s="27">
        <f>F4385-J4385</f>
        <v/>
      </c>
      <c r="O4385" s="16">
        <f>I4385-H4385</f>
        <v/>
      </c>
      <c r="P4385" s="14">
        <f>F4385*G4385</f>
        <v/>
      </c>
      <c r="Q4385" s="14">
        <f>J4385*G4385</f>
        <v/>
      </c>
      <c r="R4385" s="14">
        <f>K4385-Q4385</f>
        <v/>
      </c>
      <c r="S4385" s="3">
        <f>P4385*Assumptions!$B$3/100</f>
        <v/>
      </c>
      <c r="T4385" s="14">
        <f>R4385-S4385</f>
        <v/>
      </c>
      <c r="U4385" s="14">
        <f>L4385*G4385</f>
        <v/>
      </c>
    </row>
    <row r="4386">
      <c r="A4386" s="12" t="inlineStr">
        <is>
          <t>PO-2023-4384</t>
        </is>
      </c>
      <c r="B4386" s="26" t="n">
        <v>45286</v>
      </c>
      <c r="C4386" s="12" t="inlineStr">
        <is>
          <t>VS02</t>
        </is>
      </c>
      <c r="D4386" s="12" t="inlineStr">
        <is>
          <t>MS Flats</t>
        </is>
      </c>
      <c r="E4386" s="12" t="inlineStr">
        <is>
          <t>N</t>
        </is>
      </c>
      <c r="F4386" s="12" t="n">
        <v>2.44</v>
      </c>
      <c r="G4386" s="17" t="n">
        <v>50432.99</v>
      </c>
      <c r="H4386" s="26" t="n">
        <v>45300</v>
      </c>
      <c r="I4386" s="26" t="n">
        <v>45302</v>
      </c>
      <c r="J4386" s="12" t="n">
        <v>2.42</v>
      </c>
      <c r="K4386" s="17" t="n">
        <v>123056.5</v>
      </c>
      <c r="L4386" s="12" t="n">
        <v>0</v>
      </c>
      <c r="M4386" s="12" t="n">
        <v>23</v>
      </c>
      <c r="N4386" s="27">
        <f>F4386-J4386</f>
        <v/>
      </c>
      <c r="O4386" s="16">
        <f>I4386-H4386</f>
        <v/>
      </c>
      <c r="P4386" s="14">
        <f>F4386*G4386</f>
        <v/>
      </c>
      <c r="Q4386" s="14">
        <f>J4386*G4386</f>
        <v/>
      </c>
      <c r="R4386" s="14">
        <f>K4386-Q4386</f>
        <v/>
      </c>
      <c r="S4386" s="3">
        <f>P4386*Assumptions!$B$3/100</f>
        <v/>
      </c>
      <c r="T4386" s="14">
        <f>R4386-S4386</f>
        <v/>
      </c>
      <c r="U4386" s="14">
        <f>L4386*G4386</f>
        <v/>
      </c>
    </row>
    <row r="4387">
      <c r="A4387" s="12" t="inlineStr">
        <is>
          <t>PO-2023-4385</t>
        </is>
      </c>
      <c r="B4387" s="26" t="n">
        <v>44792</v>
      </c>
      <c r="C4387" s="12" t="inlineStr">
        <is>
          <t>VS08</t>
        </is>
      </c>
      <c r="D4387" s="12" t="inlineStr">
        <is>
          <t>Fasteners &amp; Fittings</t>
        </is>
      </c>
      <c r="E4387" s="12" t="inlineStr">
        <is>
          <t>N</t>
        </is>
      </c>
      <c r="F4387" s="12" t="n">
        <v>6.36</v>
      </c>
      <c r="G4387" s="17" t="n">
        <v>116041.84</v>
      </c>
      <c r="H4387" s="26" t="n">
        <v>44801</v>
      </c>
      <c r="I4387" s="26" t="n">
        <v>44803</v>
      </c>
      <c r="J4387" s="12" t="n">
        <v>6.32</v>
      </c>
      <c r="K4387" s="17" t="n">
        <v>738026.1</v>
      </c>
      <c r="L4387" s="12" t="n">
        <v>0</v>
      </c>
      <c r="M4387" s="12" t="n">
        <v>14</v>
      </c>
      <c r="N4387" s="27">
        <f>F4387-J4387</f>
        <v/>
      </c>
      <c r="O4387" s="16">
        <f>I4387-H4387</f>
        <v/>
      </c>
      <c r="P4387" s="14">
        <f>F4387*G4387</f>
        <v/>
      </c>
      <c r="Q4387" s="14">
        <f>J4387*G4387</f>
        <v/>
      </c>
      <c r="R4387" s="14">
        <f>K4387-Q4387</f>
        <v/>
      </c>
      <c r="S4387" s="3">
        <f>P4387*Assumptions!$B$3/100</f>
        <v/>
      </c>
      <c r="T4387" s="14">
        <f>R4387-S4387</f>
        <v/>
      </c>
      <c r="U4387" s="14">
        <f>L4387*G4387</f>
        <v/>
      </c>
    </row>
    <row r="4388">
      <c r="A4388" s="12" t="inlineStr">
        <is>
          <t>PO-2023-4386</t>
        </is>
      </c>
      <c r="B4388" s="26" t="n">
        <v>44872</v>
      </c>
      <c r="C4388" s="12" t="inlineStr">
        <is>
          <t>VS31</t>
        </is>
      </c>
      <c r="D4388" s="12" t="inlineStr">
        <is>
          <t>Spring Steel</t>
        </is>
      </c>
      <c r="E4388" s="12" t="inlineStr">
        <is>
          <t>N</t>
        </is>
      </c>
      <c r="F4388" s="12" t="n">
        <v>29.55</v>
      </c>
      <c r="G4388" s="17" t="n">
        <v>87874.28999999999</v>
      </c>
      <c r="H4388" s="26" t="n">
        <v>44877</v>
      </c>
      <c r="I4388" s="26" t="n">
        <v>44879</v>
      </c>
      <c r="J4388" s="12" t="n">
        <v>29.52</v>
      </c>
      <c r="K4388" s="17" t="n">
        <v>2596685.27</v>
      </c>
      <c r="L4388" s="12" t="n">
        <v>0</v>
      </c>
      <c r="M4388" s="12" t="n">
        <v>0</v>
      </c>
      <c r="N4388" s="27">
        <f>F4388-J4388</f>
        <v/>
      </c>
      <c r="O4388" s="16">
        <f>I4388-H4388</f>
        <v/>
      </c>
      <c r="P4388" s="14">
        <f>F4388*G4388</f>
        <v/>
      </c>
      <c r="Q4388" s="14">
        <f>J4388*G4388</f>
        <v/>
      </c>
      <c r="R4388" s="14">
        <f>K4388-Q4388</f>
        <v/>
      </c>
      <c r="S4388" s="3">
        <f>P4388*Assumptions!$B$3/100</f>
        <v/>
      </c>
      <c r="T4388" s="14">
        <f>R4388-S4388</f>
        <v/>
      </c>
      <c r="U4388" s="14">
        <f>L4388*G4388</f>
        <v/>
      </c>
    </row>
    <row r="4389">
      <c r="A4389" s="12" t="inlineStr">
        <is>
          <t>PO-2023-4387</t>
        </is>
      </c>
      <c r="B4389" s="26" t="n">
        <v>44918</v>
      </c>
      <c r="C4389" s="12" t="inlineStr">
        <is>
          <t>VS26</t>
        </is>
      </c>
      <c r="D4389" s="12" t="inlineStr">
        <is>
          <t>Angles &amp; Channels</t>
        </is>
      </c>
      <c r="E4389" s="12" t="inlineStr">
        <is>
          <t>Y</t>
        </is>
      </c>
      <c r="F4389" s="12" t="n">
        <v>40.27</v>
      </c>
      <c r="G4389" s="17" t="n">
        <v>85078.74000000001</v>
      </c>
      <c r="H4389" s="26" t="n">
        <v>44928</v>
      </c>
      <c r="I4389" s="26" t="n">
        <v>44929</v>
      </c>
      <c r="J4389" s="12" t="n">
        <v>40.13</v>
      </c>
      <c r="K4389" s="17" t="n">
        <v>3426120.86</v>
      </c>
      <c r="L4389" s="12" t="n">
        <v>0</v>
      </c>
      <c r="M4389" s="12" t="n">
        <v>3</v>
      </c>
      <c r="N4389" s="27">
        <f>F4389-J4389</f>
        <v/>
      </c>
      <c r="O4389" s="16">
        <f>I4389-H4389</f>
        <v/>
      </c>
      <c r="P4389" s="14">
        <f>F4389*G4389</f>
        <v/>
      </c>
      <c r="Q4389" s="14">
        <f>J4389*G4389</f>
        <v/>
      </c>
      <c r="R4389" s="14">
        <f>K4389-Q4389</f>
        <v/>
      </c>
      <c r="S4389" s="3">
        <f>P4389*Assumptions!$B$3/100</f>
        <v/>
      </c>
      <c r="T4389" s="14">
        <f>R4389-S4389</f>
        <v/>
      </c>
      <c r="U4389" s="14">
        <f>L4389*G4389</f>
        <v/>
      </c>
    </row>
    <row r="4390">
      <c r="A4390" s="12" t="inlineStr">
        <is>
          <t>PO-2023-4388</t>
        </is>
      </c>
      <c r="B4390" s="26" t="n">
        <v>44361</v>
      </c>
      <c r="C4390" s="12" t="inlineStr">
        <is>
          <t>VS08</t>
        </is>
      </c>
      <c r="D4390" s="12" t="inlineStr">
        <is>
          <t>SS Sheets</t>
        </is>
      </c>
      <c r="E4390" s="12" t="inlineStr">
        <is>
          <t>Y</t>
        </is>
      </c>
      <c r="F4390" s="12" t="n">
        <v>26.75</v>
      </c>
      <c r="G4390" s="17" t="n">
        <v>47953.34</v>
      </c>
      <c r="H4390" s="26" t="n">
        <v>44374</v>
      </c>
      <c r="I4390" s="26" t="n">
        <v>44377</v>
      </c>
      <c r="J4390" s="12" t="n">
        <v>26.63</v>
      </c>
      <c r="K4390" s="17" t="n">
        <v>1282751.84</v>
      </c>
      <c r="L4390" s="12" t="n">
        <v>0</v>
      </c>
      <c r="M4390" s="12" t="n">
        <v>0</v>
      </c>
      <c r="N4390" s="27">
        <f>F4390-J4390</f>
        <v/>
      </c>
      <c r="O4390" s="16">
        <f>I4390-H4390</f>
        <v/>
      </c>
      <c r="P4390" s="14">
        <f>F4390*G4390</f>
        <v/>
      </c>
      <c r="Q4390" s="14">
        <f>J4390*G4390</f>
        <v/>
      </c>
      <c r="R4390" s="14">
        <f>K4390-Q4390</f>
        <v/>
      </c>
      <c r="S4390" s="3">
        <f>P4390*Assumptions!$B$3/100</f>
        <v/>
      </c>
      <c r="T4390" s="14">
        <f>R4390-S4390</f>
        <v/>
      </c>
      <c r="U4390" s="14">
        <f>L4390*G4390</f>
        <v/>
      </c>
    </row>
    <row r="4391">
      <c r="A4391" s="12" t="inlineStr">
        <is>
          <t>PO-2023-4389</t>
        </is>
      </c>
      <c r="B4391" s="26" t="n">
        <v>44936</v>
      </c>
      <c r="C4391" s="12" t="inlineStr">
        <is>
          <t>VS03</t>
        </is>
      </c>
      <c r="D4391" s="12" t="inlineStr">
        <is>
          <t>MS Pipes</t>
        </is>
      </c>
      <c r="E4391" s="12" t="inlineStr">
        <is>
          <t>N</t>
        </is>
      </c>
      <c r="F4391" s="12" t="n">
        <v>36.2</v>
      </c>
      <c r="G4391" s="17" t="n">
        <v>61123.58</v>
      </c>
      <c r="H4391" s="26" t="n">
        <v>44943</v>
      </c>
      <c r="I4391" s="26" t="n">
        <v>44951</v>
      </c>
      <c r="J4391" s="12" t="n">
        <v>34.65</v>
      </c>
      <c r="K4391" s="17" t="n">
        <v>2212673.6</v>
      </c>
      <c r="L4391" s="12" t="n">
        <v>0.6899999999999999</v>
      </c>
      <c r="M4391" s="12" t="n">
        <v>0</v>
      </c>
      <c r="N4391" s="27">
        <f>F4391-J4391</f>
        <v/>
      </c>
      <c r="O4391" s="16">
        <f>I4391-H4391</f>
        <v/>
      </c>
      <c r="P4391" s="14">
        <f>F4391*G4391</f>
        <v/>
      </c>
      <c r="Q4391" s="14">
        <f>J4391*G4391</f>
        <v/>
      </c>
      <c r="R4391" s="14">
        <f>K4391-Q4391</f>
        <v/>
      </c>
      <c r="S4391" s="3">
        <f>P4391*Assumptions!$B$3/100</f>
        <v/>
      </c>
      <c r="T4391" s="14">
        <f>R4391-S4391</f>
        <v/>
      </c>
      <c r="U4391" s="14">
        <f>L4391*G4391</f>
        <v/>
      </c>
    </row>
    <row r="4392">
      <c r="A4392" s="12" t="inlineStr">
        <is>
          <t>PO-2023-4390</t>
        </is>
      </c>
      <c r="B4392" s="26" t="n">
        <v>44567</v>
      </c>
      <c r="C4392" s="12" t="inlineStr">
        <is>
          <t>VS34</t>
        </is>
      </c>
      <c r="D4392" s="12" t="inlineStr">
        <is>
          <t>Fasteners &amp; Fittings</t>
        </is>
      </c>
      <c r="E4392" s="12" t="inlineStr">
        <is>
          <t>N</t>
        </is>
      </c>
      <c r="F4392" s="12" t="n">
        <v>28.5</v>
      </c>
      <c r="G4392" s="17" t="n">
        <v>111674.52</v>
      </c>
      <c r="H4392" s="26" t="n">
        <v>44575</v>
      </c>
      <c r="I4392" s="26" t="n">
        <v>44578</v>
      </c>
      <c r="J4392" s="12" t="n">
        <v>28.33</v>
      </c>
      <c r="K4392" s="17" t="n">
        <v>3182723.82</v>
      </c>
      <c r="L4392" s="12" t="n">
        <v>0</v>
      </c>
      <c r="M4392" s="12" t="n">
        <v>0</v>
      </c>
      <c r="N4392" s="27">
        <f>F4392-J4392</f>
        <v/>
      </c>
      <c r="O4392" s="16">
        <f>I4392-H4392</f>
        <v/>
      </c>
      <c r="P4392" s="14">
        <f>F4392*G4392</f>
        <v/>
      </c>
      <c r="Q4392" s="14">
        <f>J4392*G4392</f>
        <v/>
      </c>
      <c r="R4392" s="14">
        <f>K4392-Q4392</f>
        <v/>
      </c>
      <c r="S4392" s="3">
        <f>P4392*Assumptions!$B$3/100</f>
        <v/>
      </c>
      <c r="T4392" s="14">
        <f>R4392-S4392</f>
        <v/>
      </c>
      <c r="U4392" s="14">
        <f>L4392*G4392</f>
        <v/>
      </c>
    </row>
    <row r="4393">
      <c r="A4393" s="12" t="inlineStr">
        <is>
          <t>PO-2023-4391</t>
        </is>
      </c>
      <c r="B4393" s="26" t="n">
        <v>45145</v>
      </c>
      <c r="C4393" s="12" t="inlineStr">
        <is>
          <t>VS04</t>
        </is>
      </c>
      <c r="D4393" s="12" t="inlineStr">
        <is>
          <t>HR Coils</t>
        </is>
      </c>
      <c r="E4393" s="12" t="inlineStr">
        <is>
          <t>Y</t>
        </is>
      </c>
      <c r="F4393" s="12" t="n">
        <v>32.49</v>
      </c>
      <c r="G4393" s="17" t="n">
        <v>103045.61</v>
      </c>
      <c r="H4393" s="26" t="n">
        <v>45157</v>
      </c>
      <c r="I4393" s="26" t="n">
        <v>45160</v>
      </c>
      <c r="J4393" s="12" t="n">
        <v>32.47</v>
      </c>
      <c r="K4393" s="17" t="n">
        <v>3347951.87</v>
      </c>
      <c r="L4393" s="12" t="n">
        <v>0</v>
      </c>
      <c r="M4393" s="12" t="n">
        <v>0</v>
      </c>
      <c r="N4393" s="27">
        <f>F4393-J4393</f>
        <v/>
      </c>
      <c r="O4393" s="16">
        <f>I4393-H4393</f>
        <v/>
      </c>
      <c r="P4393" s="14">
        <f>F4393*G4393</f>
        <v/>
      </c>
      <c r="Q4393" s="14">
        <f>J4393*G4393</f>
        <v/>
      </c>
      <c r="R4393" s="14">
        <f>K4393-Q4393</f>
        <v/>
      </c>
      <c r="S4393" s="3">
        <f>P4393*Assumptions!$B$3/100</f>
        <v/>
      </c>
      <c r="T4393" s="14">
        <f>R4393-S4393</f>
        <v/>
      </c>
      <c r="U4393" s="14">
        <f>L4393*G4393</f>
        <v/>
      </c>
    </row>
    <row r="4394">
      <c r="A4394" s="12" t="inlineStr">
        <is>
          <t>PO-2023-4392</t>
        </is>
      </c>
      <c r="B4394" s="26" t="n">
        <v>44598</v>
      </c>
      <c r="C4394" s="12" t="inlineStr">
        <is>
          <t>VS02</t>
        </is>
      </c>
      <c r="D4394" s="12" t="inlineStr">
        <is>
          <t>ERW Pipes</t>
        </is>
      </c>
      <c r="E4394" s="12" t="inlineStr">
        <is>
          <t>N</t>
        </is>
      </c>
      <c r="F4394" s="12" t="n">
        <v>5.98</v>
      </c>
      <c r="G4394" s="17" t="n">
        <v>110789.14</v>
      </c>
      <c r="H4394" s="26" t="n">
        <v>44606</v>
      </c>
      <c r="I4394" s="26" t="n">
        <v>44606</v>
      </c>
      <c r="J4394" s="12" t="n">
        <v>5.94</v>
      </c>
      <c r="K4394" s="17" t="n">
        <v>662519.0600000001</v>
      </c>
      <c r="L4394" s="12" t="n">
        <v>0</v>
      </c>
      <c r="M4394" s="12" t="n">
        <v>0</v>
      </c>
      <c r="N4394" s="27">
        <f>F4394-J4394</f>
        <v/>
      </c>
      <c r="O4394" s="16">
        <f>I4394-H4394</f>
        <v/>
      </c>
      <c r="P4394" s="14">
        <f>F4394*G4394</f>
        <v/>
      </c>
      <c r="Q4394" s="14">
        <f>J4394*G4394</f>
        <v/>
      </c>
      <c r="R4394" s="14">
        <f>K4394-Q4394</f>
        <v/>
      </c>
      <c r="S4394" s="3">
        <f>P4394*Assumptions!$B$3/100</f>
        <v/>
      </c>
      <c r="T4394" s="14">
        <f>R4394-S4394</f>
        <v/>
      </c>
      <c r="U4394" s="14">
        <f>L4394*G4394</f>
        <v/>
      </c>
    </row>
    <row r="4395">
      <c r="A4395" s="12" t="inlineStr">
        <is>
          <t>PO-2023-4393</t>
        </is>
      </c>
      <c r="B4395" s="26" t="n">
        <v>44224</v>
      </c>
      <c r="C4395" s="12" t="inlineStr">
        <is>
          <t>VS05</t>
        </is>
      </c>
      <c r="D4395" s="12" t="inlineStr">
        <is>
          <t>Hex Bars</t>
        </is>
      </c>
      <c r="E4395" s="12" t="inlineStr">
        <is>
          <t>N</t>
        </is>
      </c>
      <c r="F4395" s="12" t="n">
        <v>20.18</v>
      </c>
      <c r="G4395" s="17" t="n">
        <v>91917.3</v>
      </c>
      <c r="H4395" s="26" t="n">
        <v>44234</v>
      </c>
      <c r="I4395" s="26" t="n">
        <v>44235</v>
      </c>
      <c r="J4395" s="12" t="n">
        <v>20.05</v>
      </c>
      <c r="K4395" s="17" t="n">
        <v>1854891.11</v>
      </c>
      <c r="L4395" s="12" t="n">
        <v>0</v>
      </c>
      <c r="M4395" s="12" t="n">
        <v>0</v>
      </c>
      <c r="N4395" s="27">
        <f>F4395-J4395</f>
        <v/>
      </c>
      <c r="O4395" s="16">
        <f>I4395-H4395</f>
        <v/>
      </c>
      <c r="P4395" s="14">
        <f>F4395*G4395</f>
        <v/>
      </c>
      <c r="Q4395" s="14">
        <f>J4395*G4395</f>
        <v/>
      </c>
      <c r="R4395" s="14">
        <f>K4395-Q4395</f>
        <v/>
      </c>
      <c r="S4395" s="3">
        <f>P4395*Assumptions!$B$3/100</f>
        <v/>
      </c>
      <c r="T4395" s="14">
        <f>R4395-S4395</f>
        <v/>
      </c>
      <c r="U4395" s="14">
        <f>L4395*G4395</f>
        <v/>
      </c>
    </row>
    <row r="4396">
      <c r="A4396" s="12" t="inlineStr">
        <is>
          <t>PO-2023-4394</t>
        </is>
      </c>
      <c r="B4396" s="26" t="n">
        <v>44760</v>
      </c>
      <c r="C4396" s="12" t="inlineStr">
        <is>
          <t>VS11</t>
        </is>
      </c>
      <c r="D4396" s="12" t="inlineStr">
        <is>
          <t>MS Pipes</t>
        </is>
      </c>
      <c r="E4396" s="12" t="inlineStr">
        <is>
          <t>N</t>
        </is>
      </c>
      <c r="F4396" s="12" t="n">
        <v>20.67</v>
      </c>
      <c r="G4396" s="17" t="n">
        <v>93234.60000000001</v>
      </c>
      <c r="H4396" s="26" t="n">
        <v>44768</v>
      </c>
      <c r="I4396" s="26" t="n">
        <v>44768</v>
      </c>
      <c r="J4396" s="12" t="n">
        <v>20.64</v>
      </c>
      <c r="K4396" s="17" t="n">
        <v>1927159.18</v>
      </c>
      <c r="L4396" s="12" t="n">
        <v>0</v>
      </c>
      <c r="M4396" s="12" t="n">
        <v>3</v>
      </c>
      <c r="N4396" s="27">
        <f>F4396-J4396</f>
        <v/>
      </c>
      <c r="O4396" s="16">
        <f>I4396-H4396</f>
        <v/>
      </c>
      <c r="P4396" s="14">
        <f>F4396*G4396</f>
        <v/>
      </c>
      <c r="Q4396" s="14">
        <f>J4396*G4396</f>
        <v/>
      </c>
      <c r="R4396" s="14">
        <f>K4396-Q4396</f>
        <v/>
      </c>
      <c r="S4396" s="3">
        <f>P4396*Assumptions!$B$3/100</f>
        <v/>
      </c>
      <c r="T4396" s="14">
        <f>R4396-S4396</f>
        <v/>
      </c>
      <c r="U4396" s="14">
        <f>L4396*G4396</f>
        <v/>
      </c>
    </row>
    <row r="4397">
      <c r="A4397" s="12" t="inlineStr">
        <is>
          <t>PO-2023-4395</t>
        </is>
      </c>
      <c r="B4397" s="26" t="n">
        <v>44502</v>
      </c>
      <c r="C4397" s="12" t="inlineStr">
        <is>
          <t>VS12</t>
        </is>
      </c>
      <c r="D4397" s="12" t="inlineStr">
        <is>
          <t>MS Sheets</t>
        </is>
      </c>
      <c r="E4397" s="12" t="inlineStr">
        <is>
          <t>N</t>
        </is>
      </c>
      <c r="F4397" s="12" t="n">
        <v>12.13</v>
      </c>
      <c r="G4397" s="17" t="n">
        <v>61544.54</v>
      </c>
      <c r="H4397" s="26" t="n">
        <v>44514</v>
      </c>
      <c r="I4397" s="26" t="n">
        <v>44519</v>
      </c>
      <c r="J4397" s="12" t="n">
        <v>11.57</v>
      </c>
      <c r="K4397" s="17" t="n">
        <v>746535.27</v>
      </c>
      <c r="L4397" s="12" t="n">
        <v>0.31</v>
      </c>
      <c r="M4397" s="12" t="n">
        <v>4</v>
      </c>
      <c r="N4397" s="27">
        <f>F4397-J4397</f>
        <v/>
      </c>
      <c r="O4397" s="16">
        <f>I4397-H4397</f>
        <v/>
      </c>
      <c r="P4397" s="14">
        <f>F4397*G4397</f>
        <v/>
      </c>
      <c r="Q4397" s="14">
        <f>J4397*G4397</f>
        <v/>
      </c>
      <c r="R4397" s="14">
        <f>K4397-Q4397</f>
        <v/>
      </c>
      <c r="S4397" s="3">
        <f>P4397*Assumptions!$B$3/100</f>
        <v/>
      </c>
      <c r="T4397" s="14">
        <f>R4397-S4397</f>
        <v/>
      </c>
      <c r="U4397" s="14">
        <f>L4397*G4397</f>
        <v/>
      </c>
    </row>
    <row r="4398">
      <c r="A4398" s="12" t="inlineStr">
        <is>
          <t>PO-2023-4396</t>
        </is>
      </c>
      <c r="B4398" s="26" t="n">
        <v>44628</v>
      </c>
      <c r="C4398" s="12" t="inlineStr">
        <is>
          <t>VS08</t>
        </is>
      </c>
      <c r="D4398" s="12" t="inlineStr">
        <is>
          <t>Spring Steel</t>
        </is>
      </c>
      <c r="E4398" s="12" t="inlineStr">
        <is>
          <t>N</t>
        </is>
      </c>
      <c r="F4398" s="12" t="n">
        <v>1.77</v>
      </c>
      <c r="G4398" s="17" t="n">
        <v>57611.11</v>
      </c>
      <c r="H4398" s="26" t="n">
        <v>44631</v>
      </c>
      <c r="I4398" s="26" t="n">
        <v>44633</v>
      </c>
      <c r="J4398" s="12" t="n">
        <v>1.76</v>
      </c>
      <c r="K4398" s="17" t="n">
        <v>101971.66</v>
      </c>
      <c r="L4398" s="12" t="n">
        <v>0</v>
      </c>
      <c r="M4398" s="12" t="n">
        <v>0</v>
      </c>
      <c r="N4398" s="27">
        <f>F4398-J4398</f>
        <v/>
      </c>
      <c r="O4398" s="16">
        <f>I4398-H4398</f>
        <v/>
      </c>
      <c r="P4398" s="14">
        <f>F4398*G4398</f>
        <v/>
      </c>
      <c r="Q4398" s="14">
        <f>J4398*G4398</f>
        <v/>
      </c>
      <c r="R4398" s="14">
        <f>K4398-Q4398</f>
        <v/>
      </c>
      <c r="S4398" s="3">
        <f>P4398*Assumptions!$B$3/100</f>
        <v/>
      </c>
      <c r="T4398" s="14">
        <f>R4398-S4398</f>
        <v/>
      </c>
      <c r="U4398" s="14">
        <f>L4398*G4398</f>
        <v/>
      </c>
    </row>
    <row r="4399">
      <c r="A4399" s="12" t="inlineStr">
        <is>
          <t>PO-2023-4397</t>
        </is>
      </c>
      <c r="B4399" s="26" t="n">
        <v>44224</v>
      </c>
      <c r="C4399" s="12" t="inlineStr">
        <is>
          <t>VS32</t>
        </is>
      </c>
      <c r="D4399" s="12" t="inlineStr">
        <is>
          <t>GI Sheets</t>
        </is>
      </c>
      <c r="E4399" s="12" t="inlineStr">
        <is>
          <t>N</t>
        </is>
      </c>
      <c r="F4399" s="12" t="n">
        <v>1.97</v>
      </c>
      <c r="G4399" s="17" t="n">
        <v>55207.61</v>
      </c>
      <c r="H4399" s="26" t="n">
        <v>44231</v>
      </c>
      <c r="I4399" s="26" t="n">
        <v>44234</v>
      </c>
      <c r="J4399" s="12" t="n">
        <v>1.96</v>
      </c>
      <c r="K4399" s="17" t="n">
        <v>108758.99</v>
      </c>
      <c r="L4399" s="12" t="n">
        <v>0</v>
      </c>
      <c r="M4399" s="12" t="n">
        <v>7</v>
      </c>
      <c r="N4399" s="27">
        <f>F4399-J4399</f>
        <v/>
      </c>
      <c r="O4399" s="16">
        <f>I4399-H4399</f>
        <v/>
      </c>
      <c r="P4399" s="14">
        <f>F4399*G4399</f>
        <v/>
      </c>
      <c r="Q4399" s="14">
        <f>J4399*G4399</f>
        <v/>
      </c>
      <c r="R4399" s="14">
        <f>K4399-Q4399</f>
        <v/>
      </c>
      <c r="S4399" s="3">
        <f>P4399*Assumptions!$B$3/100</f>
        <v/>
      </c>
      <c r="T4399" s="14">
        <f>R4399-S4399</f>
        <v/>
      </c>
      <c r="U4399" s="14">
        <f>L4399*G4399</f>
        <v/>
      </c>
    </row>
    <row r="4400">
      <c r="A4400" s="12" t="inlineStr">
        <is>
          <t>PO-2023-4398</t>
        </is>
      </c>
      <c r="B4400" s="26" t="n">
        <v>44550</v>
      </c>
      <c r="C4400" s="12" t="inlineStr">
        <is>
          <t>VS25</t>
        </is>
      </c>
      <c r="D4400" s="12" t="inlineStr">
        <is>
          <t>GI Wire</t>
        </is>
      </c>
      <c r="E4400" s="12" t="inlineStr">
        <is>
          <t>Y</t>
        </is>
      </c>
      <c r="F4400" s="12" t="n">
        <v>7.81</v>
      </c>
      <c r="G4400" s="17" t="n">
        <v>97631.17999999999</v>
      </c>
      <c r="H4400" s="26" t="n">
        <v>44562</v>
      </c>
      <c r="I4400" s="26" t="n">
        <v>44562</v>
      </c>
      <c r="J4400" s="12" t="n">
        <v>7.79</v>
      </c>
      <c r="K4400" s="17" t="n">
        <v>762499.52</v>
      </c>
      <c r="L4400" s="12" t="n">
        <v>0</v>
      </c>
      <c r="M4400" s="12" t="n">
        <v>0</v>
      </c>
      <c r="N4400" s="27">
        <f>F4400-J4400</f>
        <v/>
      </c>
      <c r="O4400" s="16">
        <f>I4400-H4400</f>
        <v/>
      </c>
      <c r="P4400" s="14">
        <f>F4400*G4400</f>
        <v/>
      </c>
      <c r="Q4400" s="14">
        <f>J4400*G4400</f>
        <v/>
      </c>
      <c r="R4400" s="14">
        <f>K4400-Q4400</f>
        <v/>
      </c>
      <c r="S4400" s="3">
        <f>P4400*Assumptions!$B$3/100</f>
        <v/>
      </c>
      <c r="T4400" s="14">
        <f>R4400-S4400</f>
        <v/>
      </c>
      <c r="U4400" s="14">
        <f>L4400*G4400</f>
        <v/>
      </c>
    </row>
    <row r="4401">
      <c r="A4401" s="12" t="inlineStr">
        <is>
          <t>PO-2023-4399</t>
        </is>
      </c>
      <c r="B4401" s="26" t="n">
        <v>45121</v>
      </c>
      <c r="C4401" s="12" t="inlineStr">
        <is>
          <t>VS24</t>
        </is>
      </c>
      <c r="D4401" s="12" t="inlineStr">
        <is>
          <t>HR Coils</t>
        </is>
      </c>
      <c r="E4401" s="12" t="inlineStr">
        <is>
          <t>N</t>
        </is>
      </c>
      <c r="F4401" s="12" t="n">
        <v>24.01</v>
      </c>
      <c r="G4401" s="17" t="n">
        <v>104445.38</v>
      </c>
      <c r="H4401" s="26" t="n">
        <v>45134</v>
      </c>
      <c r="I4401" s="26" t="n">
        <v>45134</v>
      </c>
      <c r="J4401" s="12" t="n">
        <v>23.91</v>
      </c>
      <c r="K4401" s="17" t="n">
        <v>2507733.57</v>
      </c>
      <c r="L4401" s="12" t="n">
        <v>0</v>
      </c>
      <c r="M4401" s="12" t="n">
        <v>0</v>
      </c>
      <c r="N4401" s="27">
        <f>F4401-J4401</f>
        <v/>
      </c>
      <c r="O4401" s="16">
        <f>I4401-H4401</f>
        <v/>
      </c>
      <c r="P4401" s="14">
        <f>F4401*G4401</f>
        <v/>
      </c>
      <c r="Q4401" s="14">
        <f>J4401*G4401</f>
        <v/>
      </c>
      <c r="R4401" s="14">
        <f>K4401-Q4401</f>
        <v/>
      </c>
      <c r="S4401" s="3">
        <f>P4401*Assumptions!$B$3/100</f>
        <v/>
      </c>
      <c r="T4401" s="14">
        <f>R4401-S4401</f>
        <v/>
      </c>
      <c r="U4401" s="14">
        <f>L4401*G4401</f>
        <v/>
      </c>
    </row>
    <row r="4402">
      <c r="A4402" s="12" t="inlineStr">
        <is>
          <t>PO-2023-4400</t>
        </is>
      </c>
      <c r="B4402" s="26" t="n">
        <v>44787</v>
      </c>
      <c r="C4402" s="12" t="inlineStr">
        <is>
          <t>VS02</t>
        </is>
      </c>
      <c r="D4402" s="12" t="inlineStr">
        <is>
          <t>MS Flats</t>
        </is>
      </c>
      <c r="E4402" s="12" t="inlineStr">
        <is>
          <t>N</t>
        </is>
      </c>
      <c r="F4402" s="12" t="n">
        <v>25.25</v>
      </c>
      <c r="G4402" s="17" t="n">
        <v>103642.1</v>
      </c>
      <c r="H4402" s="26" t="n">
        <v>44791</v>
      </c>
      <c r="I4402" s="26" t="n">
        <v>44792</v>
      </c>
      <c r="J4402" s="12" t="n">
        <v>25.09</v>
      </c>
      <c r="K4402" s="17" t="n">
        <v>2616963.03</v>
      </c>
      <c r="L4402" s="12" t="n">
        <v>0</v>
      </c>
      <c r="M4402" s="12" t="n">
        <v>2</v>
      </c>
      <c r="N4402" s="27">
        <f>F4402-J4402</f>
        <v/>
      </c>
      <c r="O4402" s="16">
        <f>I4402-H4402</f>
        <v/>
      </c>
      <c r="P4402" s="14">
        <f>F4402*G4402</f>
        <v/>
      </c>
      <c r="Q4402" s="14">
        <f>J4402*G4402</f>
        <v/>
      </c>
      <c r="R4402" s="14">
        <f>K4402-Q4402</f>
        <v/>
      </c>
      <c r="S4402" s="3">
        <f>P4402*Assumptions!$B$3/100</f>
        <v/>
      </c>
      <c r="T4402" s="14">
        <f>R4402-S4402</f>
        <v/>
      </c>
      <c r="U4402" s="14">
        <f>L4402*G4402</f>
        <v/>
      </c>
    </row>
    <row r="4403">
      <c r="A4403" s="12" t="inlineStr">
        <is>
          <t>PO-2023-4401</t>
        </is>
      </c>
      <c r="B4403" s="26" t="n">
        <v>44764</v>
      </c>
      <c r="C4403" s="12" t="inlineStr">
        <is>
          <t>VS20</t>
        </is>
      </c>
      <c r="D4403" s="12" t="inlineStr">
        <is>
          <t>MS Rods</t>
        </is>
      </c>
      <c r="E4403" s="12" t="inlineStr">
        <is>
          <t>N</t>
        </is>
      </c>
      <c r="F4403" s="12" t="n">
        <v>47.36</v>
      </c>
      <c r="G4403" s="17" t="n">
        <v>117077.33</v>
      </c>
      <c r="H4403" s="26" t="n">
        <v>44772</v>
      </c>
      <c r="I4403" s="26" t="n">
        <v>44773</v>
      </c>
      <c r="J4403" s="12" t="n">
        <v>47.05</v>
      </c>
      <c r="K4403" s="17" t="n">
        <v>5544782.35</v>
      </c>
      <c r="L4403" s="12" t="n">
        <v>0</v>
      </c>
      <c r="M4403" s="12" t="n">
        <v>17</v>
      </c>
      <c r="N4403" s="27">
        <f>F4403-J4403</f>
        <v/>
      </c>
      <c r="O4403" s="16">
        <f>I4403-H4403</f>
        <v/>
      </c>
      <c r="P4403" s="14">
        <f>F4403*G4403</f>
        <v/>
      </c>
      <c r="Q4403" s="14">
        <f>J4403*G4403</f>
        <v/>
      </c>
      <c r="R4403" s="14">
        <f>K4403-Q4403</f>
        <v/>
      </c>
      <c r="S4403" s="3">
        <f>P4403*Assumptions!$B$3/100</f>
        <v/>
      </c>
      <c r="T4403" s="14">
        <f>R4403-S4403</f>
        <v/>
      </c>
      <c r="U4403" s="14">
        <f>L4403*G4403</f>
        <v/>
      </c>
    </row>
    <row r="4404">
      <c r="A4404" s="12" t="inlineStr">
        <is>
          <t>PO-2023-4402</t>
        </is>
      </c>
      <c r="B4404" s="26" t="n">
        <v>45032</v>
      </c>
      <c r="C4404" s="12" t="inlineStr">
        <is>
          <t>VS32</t>
        </is>
      </c>
      <c r="D4404" s="12" t="inlineStr">
        <is>
          <t>CR Sheets</t>
        </is>
      </c>
      <c r="E4404" s="12" t="inlineStr">
        <is>
          <t>N</t>
        </is>
      </c>
      <c r="F4404" s="12" t="n">
        <v>3.44</v>
      </c>
      <c r="G4404" s="17" t="n">
        <v>73532.21000000001</v>
      </c>
      <c r="H4404" s="26" t="n">
        <v>45042</v>
      </c>
      <c r="I4404" s="26" t="n">
        <v>45043</v>
      </c>
      <c r="J4404" s="12" t="n">
        <v>3.41</v>
      </c>
      <c r="K4404" s="17" t="n">
        <v>252950.8</v>
      </c>
      <c r="L4404" s="12" t="n">
        <v>0</v>
      </c>
      <c r="M4404" s="12" t="n">
        <v>25</v>
      </c>
      <c r="N4404" s="27">
        <f>F4404-J4404</f>
        <v/>
      </c>
      <c r="O4404" s="16">
        <f>I4404-H4404</f>
        <v/>
      </c>
      <c r="P4404" s="14">
        <f>F4404*G4404</f>
        <v/>
      </c>
      <c r="Q4404" s="14">
        <f>J4404*G4404</f>
        <v/>
      </c>
      <c r="R4404" s="14">
        <f>K4404-Q4404</f>
        <v/>
      </c>
      <c r="S4404" s="3">
        <f>P4404*Assumptions!$B$3/100</f>
        <v/>
      </c>
      <c r="T4404" s="14">
        <f>R4404-S4404</f>
        <v/>
      </c>
      <c r="U4404" s="14">
        <f>L4404*G4404</f>
        <v/>
      </c>
    </row>
    <row r="4405">
      <c r="A4405" s="12" t="inlineStr">
        <is>
          <t>PO-2023-4403</t>
        </is>
      </c>
      <c r="B4405" s="26" t="n">
        <v>44623</v>
      </c>
      <c r="C4405" s="12" t="inlineStr">
        <is>
          <t>VS24</t>
        </is>
      </c>
      <c r="D4405" s="12" t="inlineStr">
        <is>
          <t>SS Sheets</t>
        </is>
      </c>
      <c r="E4405" s="12" t="inlineStr">
        <is>
          <t>N</t>
        </is>
      </c>
      <c r="F4405" s="12" t="n">
        <v>13.4</v>
      </c>
      <c r="G4405" s="17" t="n">
        <v>72950.83</v>
      </c>
      <c r="H4405" s="26" t="n">
        <v>44630</v>
      </c>
      <c r="I4405" s="26" t="n">
        <v>44633</v>
      </c>
      <c r="J4405" s="12" t="n">
        <v>13.38</v>
      </c>
      <c r="K4405" s="17" t="n">
        <v>977541.12</v>
      </c>
      <c r="L4405" s="12" t="n">
        <v>0</v>
      </c>
      <c r="M4405" s="12" t="n">
        <v>0</v>
      </c>
      <c r="N4405" s="27">
        <f>F4405-J4405</f>
        <v/>
      </c>
      <c r="O4405" s="16">
        <f>I4405-H4405</f>
        <v/>
      </c>
      <c r="P4405" s="14">
        <f>F4405*G4405</f>
        <v/>
      </c>
      <c r="Q4405" s="14">
        <f>J4405*G4405</f>
        <v/>
      </c>
      <c r="R4405" s="14">
        <f>K4405-Q4405</f>
        <v/>
      </c>
      <c r="S4405" s="3">
        <f>P4405*Assumptions!$B$3/100</f>
        <v/>
      </c>
      <c r="T4405" s="14">
        <f>R4405-S4405</f>
        <v/>
      </c>
      <c r="U4405" s="14">
        <f>L4405*G4405</f>
        <v/>
      </c>
    </row>
    <row r="4406">
      <c r="A4406" s="12" t="inlineStr">
        <is>
          <t>PO-2023-4404</t>
        </is>
      </c>
      <c r="B4406" s="26" t="n">
        <v>44873</v>
      </c>
      <c r="C4406" s="12" t="inlineStr">
        <is>
          <t>VS05</t>
        </is>
      </c>
      <c r="D4406" s="12" t="inlineStr">
        <is>
          <t>CR Sheets</t>
        </is>
      </c>
      <c r="E4406" s="12" t="inlineStr">
        <is>
          <t>Y</t>
        </is>
      </c>
      <c r="F4406" s="12" t="n">
        <v>19.66</v>
      </c>
      <c r="G4406" s="17" t="n">
        <v>77185.3</v>
      </c>
      <c r="H4406" s="26" t="n">
        <v>44884</v>
      </c>
      <c r="I4406" s="26" t="n">
        <v>44886</v>
      </c>
      <c r="J4406" s="12" t="n">
        <v>19.55</v>
      </c>
      <c r="K4406" s="17" t="n">
        <v>1517463</v>
      </c>
      <c r="L4406" s="12" t="n">
        <v>0</v>
      </c>
      <c r="M4406" s="12" t="n">
        <v>1</v>
      </c>
      <c r="N4406" s="27">
        <f>F4406-J4406</f>
        <v/>
      </c>
      <c r="O4406" s="16">
        <f>I4406-H4406</f>
        <v/>
      </c>
      <c r="P4406" s="14">
        <f>F4406*G4406</f>
        <v/>
      </c>
      <c r="Q4406" s="14">
        <f>J4406*G4406</f>
        <v/>
      </c>
      <c r="R4406" s="14">
        <f>K4406-Q4406</f>
        <v/>
      </c>
      <c r="S4406" s="3">
        <f>P4406*Assumptions!$B$3/100</f>
        <v/>
      </c>
      <c r="T4406" s="14">
        <f>R4406-S4406</f>
        <v/>
      </c>
      <c r="U4406" s="14">
        <f>L4406*G4406</f>
        <v/>
      </c>
    </row>
    <row r="4407">
      <c r="A4407" s="12" t="inlineStr">
        <is>
          <t>PO-2023-4405</t>
        </is>
      </c>
      <c r="B4407" s="26" t="n">
        <v>45054</v>
      </c>
      <c r="C4407" s="12" t="inlineStr">
        <is>
          <t>VS23</t>
        </is>
      </c>
      <c r="D4407" s="12" t="inlineStr">
        <is>
          <t>Hex Bars</t>
        </is>
      </c>
      <c r="E4407" s="12" t="inlineStr">
        <is>
          <t>N</t>
        </is>
      </c>
      <c r="F4407" s="12" t="n">
        <v>10.73</v>
      </c>
      <c r="G4407" s="17" t="n">
        <v>101065.37</v>
      </c>
      <c r="H4407" s="26" t="n">
        <v>45061</v>
      </c>
      <c r="I4407" s="26" t="n">
        <v>45063</v>
      </c>
      <c r="J4407" s="12" t="n">
        <v>10.68</v>
      </c>
      <c r="K4407" s="17" t="n">
        <v>1084431.42</v>
      </c>
      <c r="L4407" s="12" t="n">
        <v>0</v>
      </c>
      <c r="M4407" s="12" t="n">
        <v>0</v>
      </c>
      <c r="N4407" s="27">
        <f>F4407-J4407</f>
        <v/>
      </c>
      <c r="O4407" s="16">
        <f>I4407-H4407</f>
        <v/>
      </c>
      <c r="P4407" s="14">
        <f>F4407*G4407</f>
        <v/>
      </c>
      <c r="Q4407" s="14">
        <f>J4407*G4407</f>
        <v/>
      </c>
      <c r="R4407" s="14">
        <f>K4407-Q4407</f>
        <v/>
      </c>
      <c r="S4407" s="3">
        <f>P4407*Assumptions!$B$3/100</f>
        <v/>
      </c>
      <c r="T4407" s="14">
        <f>R4407-S4407</f>
        <v/>
      </c>
      <c r="U4407" s="14">
        <f>L4407*G4407</f>
        <v/>
      </c>
    </row>
    <row r="4408">
      <c r="A4408" s="12" t="inlineStr">
        <is>
          <t>PO-2023-4406</t>
        </is>
      </c>
      <c r="B4408" s="26" t="n">
        <v>45234</v>
      </c>
      <c r="C4408" s="12" t="inlineStr">
        <is>
          <t>VS13</t>
        </is>
      </c>
      <c r="D4408" s="12" t="inlineStr">
        <is>
          <t>SS Sheets</t>
        </is>
      </c>
      <c r="E4408" s="12" t="inlineStr">
        <is>
          <t>N</t>
        </is>
      </c>
      <c r="F4408" s="12" t="n">
        <v>28.52</v>
      </c>
      <c r="G4408" s="17" t="n">
        <v>109211.22</v>
      </c>
      <c r="H4408" s="26" t="n">
        <v>45247</v>
      </c>
      <c r="I4408" s="26" t="n">
        <v>45249</v>
      </c>
      <c r="J4408" s="12" t="n">
        <v>28.48</v>
      </c>
      <c r="K4408" s="17" t="n">
        <v>3114703.99</v>
      </c>
      <c r="L4408" s="12" t="n">
        <v>0</v>
      </c>
      <c r="M4408" s="12" t="n">
        <v>0</v>
      </c>
      <c r="N4408" s="27">
        <f>F4408-J4408</f>
        <v/>
      </c>
      <c r="O4408" s="16">
        <f>I4408-H4408</f>
        <v/>
      </c>
      <c r="P4408" s="14">
        <f>F4408*G4408</f>
        <v/>
      </c>
      <c r="Q4408" s="14">
        <f>J4408*G4408</f>
        <v/>
      </c>
      <c r="R4408" s="14">
        <f>K4408-Q4408</f>
        <v/>
      </c>
      <c r="S4408" s="3">
        <f>P4408*Assumptions!$B$3/100</f>
        <v/>
      </c>
      <c r="T4408" s="14">
        <f>R4408-S4408</f>
        <v/>
      </c>
      <c r="U4408" s="14">
        <f>L4408*G4408</f>
        <v/>
      </c>
    </row>
    <row r="4409">
      <c r="A4409" s="12" t="inlineStr">
        <is>
          <t>PO-2023-4407</t>
        </is>
      </c>
      <c r="B4409" s="26" t="n">
        <v>44920</v>
      </c>
      <c r="C4409" s="12" t="inlineStr">
        <is>
          <t>VS28</t>
        </is>
      </c>
      <c r="D4409" s="12" t="inlineStr">
        <is>
          <t>MS Sheets</t>
        </is>
      </c>
      <c r="E4409" s="12" t="inlineStr">
        <is>
          <t>N</t>
        </is>
      </c>
      <c r="F4409" s="12" t="n">
        <v>42.88</v>
      </c>
      <c r="G4409" s="17" t="n">
        <v>107409.37</v>
      </c>
      <c r="H4409" s="26" t="n">
        <v>44926</v>
      </c>
      <c r="I4409" s="26" t="n">
        <v>44927</v>
      </c>
      <c r="J4409" s="12" t="n">
        <v>42.79</v>
      </c>
      <c r="K4409" s="17" t="n">
        <v>4605713.79</v>
      </c>
      <c r="L4409" s="12" t="n">
        <v>0</v>
      </c>
      <c r="M4409" s="12" t="n">
        <v>0</v>
      </c>
      <c r="N4409" s="27">
        <f>F4409-J4409</f>
        <v/>
      </c>
      <c r="O4409" s="16">
        <f>I4409-H4409</f>
        <v/>
      </c>
      <c r="P4409" s="14">
        <f>F4409*G4409</f>
        <v/>
      </c>
      <c r="Q4409" s="14">
        <f>J4409*G4409</f>
        <v/>
      </c>
      <c r="R4409" s="14">
        <f>K4409-Q4409</f>
        <v/>
      </c>
      <c r="S4409" s="3">
        <f>P4409*Assumptions!$B$3/100</f>
        <v/>
      </c>
      <c r="T4409" s="14">
        <f>R4409-S4409</f>
        <v/>
      </c>
      <c r="U4409" s="14">
        <f>L4409*G4409</f>
        <v/>
      </c>
    </row>
    <row r="4410">
      <c r="A4410" s="12" t="inlineStr">
        <is>
          <t>PO-2023-4408</t>
        </is>
      </c>
      <c r="B4410" s="26" t="n">
        <v>45086</v>
      </c>
      <c r="C4410" s="12" t="inlineStr">
        <is>
          <t>VS26</t>
        </is>
      </c>
      <c r="D4410" s="12" t="inlineStr">
        <is>
          <t>SS Sheets</t>
        </is>
      </c>
      <c r="E4410" s="12" t="inlineStr">
        <is>
          <t>N</t>
        </is>
      </c>
      <c r="F4410" s="12" t="n">
        <v>26.36</v>
      </c>
      <c r="G4410" s="17" t="n">
        <v>63025.32</v>
      </c>
      <c r="H4410" s="26" t="n">
        <v>45089</v>
      </c>
      <c r="I4410" s="26" t="n">
        <v>45092</v>
      </c>
      <c r="J4410" s="12" t="n">
        <v>26.22</v>
      </c>
      <c r="K4410" s="17" t="n">
        <v>1661347.44</v>
      </c>
      <c r="L4410" s="12" t="n">
        <v>0</v>
      </c>
      <c r="M4410" s="12" t="n">
        <v>1</v>
      </c>
      <c r="N4410" s="27">
        <f>F4410-J4410</f>
        <v/>
      </c>
      <c r="O4410" s="16">
        <f>I4410-H4410</f>
        <v/>
      </c>
      <c r="P4410" s="14">
        <f>F4410*G4410</f>
        <v/>
      </c>
      <c r="Q4410" s="14">
        <f>J4410*G4410</f>
        <v/>
      </c>
      <c r="R4410" s="14">
        <f>K4410-Q4410</f>
        <v/>
      </c>
      <c r="S4410" s="3">
        <f>P4410*Assumptions!$B$3/100</f>
        <v/>
      </c>
      <c r="T4410" s="14">
        <f>R4410-S4410</f>
        <v/>
      </c>
      <c r="U4410" s="14">
        <f>L4410*G4410</f>
        <v/>
      </c>
    </row>
    <row r="4411">
      <c r="A4411" s="12" t="inlineStr">
        <is>
          <t>PO-2023-4409</t>
        </is>
      </c>
      <c r="B4411" s="26" t="n">
        <v>45140</v>
      </c>
      <c r="C4411" s="12" t="inlineStr">
        <is>
          <t>VS31</t>
        </is>
      </c>
      <c r="D4411" s="12" t="inlineStr">
        <is>
          <t>Angles &amp; Channels</t>
        </is>
      </c>
      <c r="E4411" s="12" t="inlineStr">
        <is>
          <t>N</t>
        </is>
      </c>
      <c r="F4411" s="12" t="n">
        <v>26.7</v>
      </c>
      <c r="G4411" s="17" t="n">
        <v>45343.16</v>
      </c>
      <c r="H4411" s="26" t="n">
        <v>45151</v>
      </c>
      <c r="I4411" s="26" t="n">
        <v>45153</v>
      </c>
      <c r="J4411" s="12" t="n">
        <v>26.66</v>
      </c>
      <c r="K4411" s="17" t="n">
        <v>1210662.37</v>
      </c>
      <c r="L4411" s="12" t="n">
        <v>0</v>
      </c>
      <c r="M4411" s="12" t="n">
        <v>0</v>
      </c>
      <c r="N4411" s="27">
        <f>F4411-J4411</f>
        <v/>
      </c>
      <c r="O4411" s="16">
        <f>I4411-H4411</f>
        <v/>
      </c>
      <c r="P4411" s="14">
        <f>F4411*G4411</f>
        <v/>
      </c>
      <c r="Q4411" s="14">
        <f>J4411*G4411</f>
        <v/>
      </c>
      <c r="R4411" s="14">
        <f>K4411-Q4411</f>
        <v/>
      </c>
      <c r="S4411" s="3">
        <f>P4411*Assumptions!$B$3/100</f>
        <v/>
      </c>
      <c r="T4411" s="14">
        <f>R4411-S4411</f>
        <v/>
      </c>
      <c r="U4411" s="14">
        <f>L4411*G4411</f>
        <v/>
      </c>
    </row>
    <row r="4412">
      <c r="A4412" s="12" t="inlineStr">
        <is>
          <t>PO-2023-4410</t>
        </is>
      </c>
      <c r="B4412" s="26" t="n">
        <v>44792</v>
      </c>
      <c r="C4412" s="12" t="inlineStr">
        <is>
          <t>VS16</t>
        </is>
      </c>
      <c r="D4412" s="12" t="inlineStr">
        <is>
          <t>MS Sheets</t>
        </is>
      </c>
      <c r="E4412" s="12" t="inlineStr">
        <is>
          <t>N</t>
        </is>
      </c>
      <c r="F4412" s="12" t="n">
        <v>38.88</v>
      </c>
      <c r="G4412" s="17" t="n">
        <v>93783.33</v>
      </c>
      <c r="H4412" s="26" t="n">
        <v>44807</v>
      </c>
      <c r="I4412" s="26" t="n">
        <v>44810</v>
      </c>
      <c r="J4412" s="12" t="n">
        <v>38.87</v>
      </c>
      <c r="K4412" s="17" t="n">
        <v>3646295.87</v>
      </c>
      <c r="L4412" s="12" t="n">
        <v>0</v>
      </c>
      <c r="M4412" s="12" t="n">
        <v>25</v>
      </c>
      <c r="N4412" s="27">
        <f>F4412-J4412</f>
        <v/>
      </c>
      <c r="O4412" s="16">
        <f>I4412-H4412</f>
        <v/>
      </c>
      <c r="P4412" s="14">
        <f>F4412*G4412</f>
        <v/>
      </c>
      <c r="Q4412" s="14">
        <f>J4412*G4412</f>
        <v/>
      </c>
      <c r="R4412" s="14">
        <f>K4412-Q4412</f>
        <v/>
      </c>
      <c r="S4412" s="3">
        <f>P4412*Assumptions!$B$3/100</f>
        <v/>
      </c>
      <c r="T4412" s="14">
        <f>R4412-S4412</f>
        <v/>
      </c>
      <c r="U4412" s="14">
        <f>L4412*G4412</f>
        <v/>
      </c>
    </row>
    <row r="4413">
      <c r="A4413" s="12" t="inlineStr">
        <is>
          <t>PO-2023-4411</t>
        </is>
      </c>
      <c r="B4413" s="26" t="n">
        <v>44644</v>
      </c>
      <c r="C4413" s="12" t="inlineStr">
        <is>
          <t>VS17</t>
        </is>
      </c>
      <c r="D4413" s="12" t="inlineStr">
        <is>
          <t>SS Sheets</t>
        </is>
      </c>
      <c r="E4413" s="12" t="inlineStr">
        <is>
          <t>N</t>
        </is>
      </c>
      <c r="F4413" s="12" t="n">
        <v>12.95</v>
      </c>
      <c r="G4413" s="17" t="n">
        <v>118154.76</v>
      </c>
      <c r="H4413" s="26" t="n">
        <v>44653</v>
      </c>
      <c r="I4413" s="26" t="n">
        <v>44655</v>
      </c>
      <c r="J4413" s="12" t="n">
        <v>12.82</v>
      </c>
      <c r="K4413" s="17" t="n">
        <v>1530104.14</v>
      </c>
      <c r="L4413" s="12" t="n">
        <v>0</v>
      </c>
      <c r="M4413" s="12" t="n">
        <v>0</v>
      </c>
      <c r="N4413" s="27">
        <f>F4413-J4413</f>
        <v/>
      </c>
      <c r="O4413" s="16">
        <f>I4413-H4413</f>
        <v/>
      </c>
      <c r="P4413" s="14">
        <f>F4413*G4413</f>
        <v/>
      </c>
      <c r="Q4413" s="14">
        <f>J4413*G4413</f>
        <v/>
      </c>
      <c r="R4413" s="14">
        <f>K4413-Q4413</f>
        <v/>
      </c>
      <c r="S4413" s="3">
        <f>P4413*Assumptions!$B$3/100</f>
        <v/>
      </c>
      <c r="T4413" s="14">
        <f>R4413-S4413</f>
        <v/>
      </c>
      <c r="U4413" s="14">
        <f>L4413*G4413</f>
        <v/>
      </c>
    </row>
    <row r="4414">
      <c r="A4414" s="12" t="inlineStr">
        <is>
          <t>PO-2023-4412</t>
        </is>
      </c>
      <c r="B4414" s="26" t="n">
        <v>44887</v>
      </c>
      <c r="C4414" s="12" t="inlineStr">
        <is>
          <t>VS03</t>
        </is>
      </c>
      <c r="D4414" s="12" t="inlineStr">
        <is>
          <t>Angles &amp; Channels</t>
        </is>
      </c>
      <c r="E4414" s="12" t="inlineStr">
        <is>
          <t>N</t>
        </is>
      </c>
      <c r="F4414" s="12" t="n">
        <v>2.17</v>
      </c>
      <c r="G4414" s="17" t="n">
        <v>103276.66</v>
      </c>
      <c r="H4414" s="26" t="n">
        <v>44894</v>
      </c>
      <c r="I4414" s="26" t="n">
        <v>44896</v>
      </c>
      <c r="J4414" s="12" t="n">
        <v>2.07</v>
      </c>
      <c r="K4414" s="17" t="n">
        <v>224110.35</v>
      </c>
      <c r="L4414" s="12" t="n">
        <v>0.04</v>
      </c>
      <c r="M4414" s="12" t="n">
        <v>0</v>
      </c>
      <c r="N4414" s="27">
        <f>F4414-J4414</f>
        <v/>
      </c>
      <c r="O4414" s="16">
        <f>I4414-H4414</f>
        <v/>
      </c>
      <c r="P4414" s="14">
        <f>F4414*G4414</f>
        <v/>
      </c>
      <c r="Q4414" s="14">
        <f>J4414*G4414</f>
        <v/>
      </c>
      <c r="R4414" s="14">
        <f>K4414-Q4414</f>
        <v/>
      </c>
      <c r="S4414" s="3">
        <f>P4414*Assumptions!$B$3/100</f>
        <v/>
      </c>
      <c r="T4414" s="14">
        <f>R4414-S4414</f>
        <v/>
      </c>
      <c r="U4414" s="14">
        <f>L4414*G4414</f>
        <v/>
      </c>
    </row>
    <row r="4415">
      <c r="A4415" s="12" t="inlineStr">
        <is>
          <t>PO-2023-4413</t>
        </is>
      </c>
      <c r="B4415" s="26" t="n">
        <v>44850</v>
      </c>
      <c r="C4415" s="12" t="inlineStr">
        <is>
          <t>VS04</t>
        </is>
      </c>
      <c r="D4415" s="12" t="inlineStr">
        <is>
          <t>Angles &amp; Channels</t>
        </is>
      </c>
      <c r="E4415" s="12" t="inlineStr">
        <is>
          <t>N</t>
        </is>
      </c>
      <c r="F4415" s="12" t="n">
        <v>49.73</v>
      </c>
      <c r="G4415" s="17" t="n">
        <v>47391.08</v>
      </c>
      <c r="H4415" s="26" t="n">
        <v>44855</v>
      </c>
      <c r="I4415" s="26" t="n">
        <v>44855</v>
      </c>
      <c r="J4415" s="12" t="n">
        <v>49.58</v>
      </c>
      <c r="K4415" s="17" t="n">
        <v>2356758.41</v>
      </c>
      <c r="L4415" s="12" t="n">
        <v>0</v>
      </c>
      <c r="M4415" s="12" t="n">
        <v>10</v>
      </c>
      <c r="N4415" s="27">
        <f>F4415-J4415</f>
        <v/>
      </c>
      <c r="O4415" s="16">
        <f>I4415-H4415</f>
        <v/>
      </c>
      <c r="P4415" s="14">
        <f>F4415*G4415</f>
        <v/>
      </c>
      <c r="Q4415" s="14">
        <f>J4415*G4415</f>
        <v/>
      </c>
      <c r="R4415" s="14">
        <f>K4415-Q4415</f>
        <v/>
      </c>
      <c r="S4415" s="3">
        <f>P4415*Assumptions!$B$3/100</f>
        <v/>
      </c>
      <c r="T4415" s="14">
        <f>R4415-S4415</f>
        <v/>
      </c>
      <c r="U4415" s="14">
        <f>L4415*G4415</f>
        <v/>
      </c>
    </row>
    <row r="4416">
      <c r="A4416" s="12" t="inlineStr">
        <is>
          <t>PO-2023-4414</t>
        </is>
      </c>
      <c r="B4416" s="26" t="n">
        <v>45286</v>
      </c>
      <c r="C4416" s="12" t="inlineStr">
        <is>
          <t>VS18</t>
        </is>
      </c>
      <c r="D4416" s="12" t="inlineStr">
        <is>
          <t>MS Rods</t>
        </is>
      </c>
      <c r="E4416" s="12" t="inlineStr">
        <is>
          <t>Y</t>
        </is>
      </c>
      <c r="F4416" s="12" t="n">
        <v>23.71</v>
      </c>
      <c r="G4416" s="17" t="n">
        <v>99961.23</v>
      </c>
      <c r="H4416" s="26" t="n">
        <v>45289</v>
      </c>
      <c r="I4416" s="26" t="n">
        <v>45291</v>
      </c>
      <c r="J4416" s="12" t="n">
        <v>23.7</v>
      </c>
      <c r="K4416" s="17" t="n">
        <v>2370080.76</v>
      </c>
      <c r="L4416" s="12" t="n">
        <v>0</v>
      </c>
      <c r="M4416" s="12" t="n">
        <v>0</v>
      </c>
      <c r="N4416" s="27">
        <f>F4416-J4416</f>
        <v/>
      </c>
      <c r="O4416" s="16">
        <f>I4416-H4416</f>
        <v/>
      </c>
      <c r="P4416" s="14">
        <f>F4416*G4416</f>
        <v/>
      </c>
      <c r="Q4416" s="14">
        <f>J4416*G4416</f>
        <v/>
      </c>
      <c r="R4416" s="14">
        <f>K4416-Q4416</f>
        <v/>
      </c>
      <c r="S4416" s="3">
        <f>P4416*Assumptions!$B$3/100</f>
        <v/>
      </c>
      <c r="T4416" s="14">
        <f>R4416-S4416</f>
        <v/>
      </c>
      <c r="U4416" s="14">
        <f>L4416*G4416</f>
        <v/>
      </c>
    </row>
    <row r="4417">
      <c r="A4417" s="12" t="inlineStr">
        <is>
          <t>PO-2023-4415</t>
        </is>
      </c>
      <c r="B4417" s="26" t="n">
        <v>44301</v>
      </c>
      <c r="C4417" s="12" t="inlineStr">
        <is>
          <t>VS30</t>
        </is>
      </c>
      <c r="D4417" s="12" t="inlineStr">
        <is>
          <t>GI Sheets</t>
        </is>
      </c>
      <c r="E4417" s="12" t="inlineStr">
        <is>
          <t>Y</t>
        </is>
      </c>
      <c r="F4417" s="12" t="n">
        <v>14.74</v>
      </c>
      <c r="G4417" s="17" t="n">
        <v>113832.45</v>
      </c>
      <c r="H4417" s="26" t="n">
        <v>44316</v>
      </c>
      <c r="I4417" s="26" t="n">
        <v>44318</v>
      </c>
      <c r="J4417" s="12" t="n">
        <v>14.6</v>
      </c>
      <c r="K4417" s="17" t="n">
        <v>1677890.31</v>
      </c>
      <c r="L4417" s="12" t="n">
        <v>0</v>
      </c>
      <c r="M4417" s="12" t="n">
        <v>21</v>
      </c>
      <c r="N4417" s="27">
        <f>F4417-J4417</f>
        <v/>
      </c>
      <c r="O4417" s="16">
        <f>I4417-H4417</f>
        <v/>
      </c>
      <c r="P4417" s="14">
        <f>F4417*G4417</f>
        <v/>
      </c>
      <c r="Q4417" s="14">
        <f>J4417*G4417</f>
        <v/>
      </c>
      <c r="R4417" s="14">
        <f>K4417-Q4417</f>
        <v/>
      </c>
      <c r="S4417" s="3">
        <f>P4417*Assumptions!$B$3/100</f>
        <v/>
      </c>
      <c r="T4417" s="14">
        <f>R4417-S4417</f>
        <v/>
      </c>
      <c r="U4417" s="14">
        <f>L4417*G4417</f>
        <v/>
      </c>
    </row>
    <row r="4418">
      <c r="A4418" s="12" t="inlineStr">
        <is>
          <t>PO-2023-4416</t>
        </is>
      </c>
      <c r="B4418" s="26" t="n">
        <v>44598</v>
      </c>
      <c r="C4418" s="12" t="inlineStr">
        <is>
          <t>VS03</t>
        </is>
      </c>
      <c r="D4418" s="12" t="inlineStr">
        <is>
          <t>Fasteners &amp; Fittings</t>
        </is>
      </c>
      <c r="E4418" s="12" t="inlineStr">
        <is>
          <t>N</t>
        </is>
      </c>
      <c r="F4418" s="12" t="n">
        <v>22.89</v>
      </c>
      <c r="G4418" s="17" t="n">
        <v>118144.91</v>
      </c>
      <c r="H4418" s="26" t="n">
        <v>44608</v>
      </c>
      <c r="I4418" s="26" t="n">
        <v>44613</v>
      </c>
      <c r="J4418" s="12" t="n">
        <v>22.3</v>
      </c>
      <c r="K4418" s="17" t="n">
        <v>2704336.99</v>
      </c>
      <c r="L4418" s="12" t="n">
        <v>0.15</v>
      </c>
      <c r="M4418" s="12" t="n">
        <v>1</v>
      </c>
      <c r="N4418" s="27">
        <f>F4418-J4418</f>
        <v/>
      </c>
      <c r="O4418" s="16">
        <f>I4418-H4418</f>
        <v/>
      </c>
      <c r="P4418" s="14">
        <f>F4418*G4418</f>
        <v/>
      </c>
      <c r="Q4418" s="14">
        <f>J4418*G4418</f>
        <v/>
      </c>
      <c r="R4418" s="14">
        <f>K4418-Q4418</f>
        <v/>
      </c>
      <c r="S4418" s="3">
        <f>P4418*Assumptions!$B$3/100</f>
        <v/>
      </c>
      <c r="T4418" s="14">
        <f>R4418-S4418</f>
        <v/>
      </c>
      <c r="U4418" s="14">
        <f>L4418*G4418</f>
        <v/>
      </c>
    </row>
    <row r="4419">
      <c r="A4419" s="12" t="inlineStr">
        <is>
          <t>PO-2023-4417</t>
        </is>
      </c>
      <c r="B4419" s="26" t="n">
        <v>44487</v>
      </c>
      <c r="C4419" s="12" t="inlineStr">
        <is>
          <t>VS21</t>
        </is>
      </c>
      <c r="D4419" s="12" t="inlineStr">
        <is>
          <t>CR Sheets</t>
        </is>
      </c>
      <c r="E4419" s="12" t="inlineStr">
        <is>
          <t>N</t>
        </is>
      </c>
      <c r="F4419" s="12" t="n">
        <v>32.11</v>
      </c>
      <c r="G4419" s="17" t="n">
        <v>114156.44</v>
      </c>
      <c r="H4419" s="26" t="n">
        <v>44500</v>
      </c>
      <c r="I4419" s="26" t="n">
        <v>44501</v>
      </c>
      <c r="J4419" s="12" t="n">
        <v>31.95</v>
      </c>
      <c r="K4419" s="17" t="n">
        <v>3665563.29</v>
      </c>
      <c r="L4419" s="12" t="n">
        <v>0</v>
      </c>
      <c r="M4419" s="12" t="n">
        <v>18</v>
      </c>
      <c r="N4419" s="27">
        <f>F4419-J4419</f>
        <v/>
      </c>
      <c r="O4419" s="16">
        <f>I4419-H4419</f>
        <v/>
      </c>
      <c r="P4419" s="14">
        <f>F4419*G4419</f>
        <v/>
      </c>
      <c r="Q4419" s="14">
        <f>J4419*G4419</f>
        <v/>
      </c>
      <c r="R4419" s="14">
        <f>K4419-Q4419</f>
        <v/>
      </c>
      <c r="S4419" s="3">
        <f>P4419*Assumptions!$B$3/100</f>
        <v/>
      </c>
      <c r="T4419" s="14">
        <f>R4419-S4419</f>
        <v/>
      </c>
      <c r="U4419" s="14">
        <f>L4419*G4419</f>
        <v/>
      </c>
    </row>
    <row r="4420">
      <c r="A4420" s="12" t="inlineStr">
        <is>
          <t>PO-2023-4418</t>
        </is>
      </c>
      <c r="B4420" s="26" t="n">
        <v>44206</v>
      </c>
      <c r="C4420" s="12" t="inlineStr">
        <is>
          <t>VS16</t>
        </is>
      </c>
      <c r="D4420" s="12" t="inlineStr">
        <is>
          <t>Spring Steel</t>
        </is>
      </c>
      <c r="E4420" s="12" t="inlineStr">
        <is>
          <t>N</t>
        </is>
      </c>
      <c r="F4420" s="12" t="n">
        <v>46.34</v>
      </c>
      <c r="G4420" s="17" t="n">
        <v>49757.67</v>
      </c>
      <c r="H4420" s="26" t="n">
        <v>44211</v>
      </c>
      <c r="I4420" s="26" t="n">
        <v>44213</v>
      </c>
      <c r="J4420" s="12" t="n">
        <v>46.04</v>
      </c>
      <c r="K4420" s="17" t="n">
        <v>2305770.43</v>
      </c>
      <c r="L4420" s="12" t="n">
        <v>0</v>
      </c>
      <c r="M4420" s="12" t="n">
        <v>0</v>
      </c>
      <c r="N4420" s="27">
        <f>F4420-J4420</f>
        <v/>
      </c>
      <c r="O4420" s="16">
        <f>I4420-H4420</f>
        <v/>
      </c>
      <c r="P4420" s="14">
        <f>F4420*G4420</f>
        <v/>
      </c>
      <c r="Q4420" s="14">
        <f>J4420*G4420</f>
        <v/>
      </c>
      <c r="R4420" s="14">
        <f>K4420-Q4420</f>
        <v/>
      </c>
      <c r="S4420" s="3">
        <f>P4420*Assumptions!$B$3/100</f>
        <v/>
      </c>
      <c r="T4420" s="14">
        <f>R4420-S4420</f>
        <v/>
      </c>
      <c r="U4420" s="14">
        <f>L4420*G4420</f>
        <v/>
      </c>
    </row>
    <row r="4421">
      <c r="A4421" s="12" t="inlineStr">
        <is>
          <t>PO-2023-4419</t>
        </is>
      </c>
      <c r="B4421" s="26" t="n">
        <v>44883</v>
      </c>
      <c r="C4421" s="12" t="inlineStr">
        <is>
          <t>VS23</t>
        </is>
      </c>
      <c r="D4421" s="12" t="inlineStr">
        <is>
          <t>ERW Pipes</t>
        </is>
      </c>
      <c r="E4421" s="12" t="inlineStr">
        <is>
          <t>N</t>
        </is>
      </c>
      <c r="F4421" s="12" t="n">
        <v>18.36</v>
      </c>
      <c r="G4421" s="17" t="n">
        <v>95743.8</v>
      </c>
      <c r="H4421" s="26" t="n">
        <v>44897</v>
      </c>
      <c r="I4421" s="26" t="n">
        <v>44899</v>
      </c>
      <c r="J4421" s="12" t="n">
        <v>18.31</v>
      </c>
      <c r="K4421" s="17" t="n">
        <v>1757856.17</v>
      </c>
      <c r="L4421" s="12" t="n">
        <v>0</v>
      </c>
      <c r="M4421" s="12" t="n">
        <v>23</v>
      </c>
      <c r="N4421" s="27">
        <f>F4421-J4421</f>
        <v/>
      </c>
      <c r="O4421" s="16">
        <f>I4421-H4421</f>
        <v/>
      </c>
      <c r="P4421" s="14">
        <f>F4421*G4421</f>
        <v/>
      </c>
      <c r="Q4421" s="14">
        <f>J4421*G4421</f>
        <v/>
      </c>
      <c r="R4421" s="14">
        <f>K4421-Q4421</f>
        <v/>
      </c>
      <c r="S4421" s="3">
        <f>P4421*Assumptions!$B$3/100</f>
        <v/>
      </c>
      <c r="T4421" s="14">
        <f>R4421-S4421</f>
        <v/>
      </c>
      <c r="U4421" s="14">
        <f>L4421*G4421</f>
        <v/>
      </c>
    </row>
    <row r="4422">
      <c r="A4422" s="12" t="inlineStr">
        <is>
          <t>PO-2023-4420</t>
        </is>
      </c>
      <c r="B4422" s="26" t="n">
        <v>44206</v>
      </c>
      <c r="C4422" s="12" t="inlineStr">
        <is>
          <t>VS20</t>
        </is>
      </c>
      <c r="D4422" s="12" t="inlineStr">
        <is>
          <t>MS Flats</t>
        </is>
      </c>
      <c r="E4422" s="12" t="inlineStr">
        <is>
          <t>N</t>
        </is>
      </c>
      <c r="F4422" s="12" t="n">
        <v>2.13</v>
      </c>
      <c r="G4422" s="17" t="n">
        <v>58874.36</v>
      </c>
      <c r="H4422" s="26" t="n">
        <v>44217</v>
      </c>
      <c r="I4422" s="26" t="n">
        <v>44220</v>
      </c>
      <c r="J4422" s="12" t="n">
        <v>2.12</v>
      </c>
      <c r="K4422" s="17" t="n">
        <v>125402.39</v>
      </c>
      <c r="L4422" s="12" t="n">
        <v>0</v>
      </c>
      <c r="M4422" s="12" t="n">
        <v>0</v>
      </c>
      <c r="N4422" s="27">
        <f>F4422-J4422</f>
        <v/>
      </c>
      <c r="O4422" s="16">
        <f>I4422-H4422</f>
        <v/>
      </c>
      <c r="P4422" s="14">
        <f>F4422*G4422</f>
        <v/>
      </c>
      <c r="Q4422" s="14">
        <f>J4422*G4422</f>
        <v/>
      </c>
      <c r="R4422" s="14">
        <f>K4422-Q4422</f>
        <v/>
      </c>
      <c r="S4422" s="3">
        <f>P4422*Assumptions!$B$3/100</f>
        <v/>
      </c>
      <c r="T4422" s="14">
        <f>R4422-S4422</f>
        <v/>
      </c>
      <c r="U4422" s="14">
        <f>L4422*G4422</f>
        <v/>
      </c>
    </row>
    <row r="4423">
      <c r="A4423" s="12" t="inlineStr">
        <is>
          <t>PO-2023-4421</t>
        </is>
      </c>
      <c r="B4423" s="26" t="n">
        <v>44389</v>
      </c>
      <c r="C4423" s="12" t="inlineStr">
        <is>
          <t>VS20</t>
        </is>
      </c>
      <c r="D4423" s="12" t="inlineStr">
        <is>
          <t>GI Sheets</t>
        </is>
      </c>
      <c r="E4423" s="12" t="inlineStr">
        <is>
          <t>N</t>
        </is>
      </c>
      <c r="F4423" s="12" t="n">
        <v>17.83</v>
      </c>
      <c r="G4423" s="17" t="n">
        <v>111353.88</v>
      </c>
      <c r="H4423" s="26" t="n">
        <v>44394</v>
      </c>
      <c r="I4423" s="26" t="n">
        <v>44397</v>
      </c>
      <c r="J4423" s="12" t="n">
        <v>17.69</v>
      </c>
      <c r="K4423" s="17" t="n">
        <v>1985439.68</v>
      </c>
      <c r="L4423" s="12" t="n">
        <v>0</v>
      </c>
      <c r="M4423" s="12" t="n">
        <v>7</v>
      </c>
      <c r="N4423" s="27">
        <f>F4423-J4423</f>
        <v/>
      </c>
      <c r="O4423" s="16">
        <f>I4423-H4423</f>
        <v/>
      </c>
      <c r="P4423" s="14">
        <f>F4423*G4423</f>
        <v/>
      </c>
      <c r="Q4423" s="14">
        <f>J4423*G4423</f>
        <v/>
      </c>
      <c r="R4423" s="14">
        <f>K4423-Q4423</f>
        <v/>
      </c>
      <c r="S4423" s="3">
        <f>P4423*Assumptions!$B$3/100</f>
        <v/>
      </c>
      <c r="T4423" s="14">
        <f>R4423-S4423</f>
        <v/>
      </c>
      <c r="U4423" s="14">
        <f>L4423*G4423</f>
        <v/>
      </c>
    </row>
    <row r="4424">
      <c r="A4424" s="12" t="inlineStr">
        <is>
          <t>PO-2023-4422</t>
        </is>
      </c>
      <c r="B4424" s="26" t="n">
        <v>45147</v>
      </c>
      <c r="C4424" s="12" t="inlineStr">
        <is>
          <t>VS17</t>
        </is>
      </c>
      <c r="D4424" s="12" t="inlineStr">
        <is>
          <t>HR Coils</t>
        </is>
      </c>
      <c r="E4424" s="12" t="inlineStr">
        <is>
          <t>N</t>
        </is>
      </c>
      <c r="F4424" s="12" t="n">
        <v>41.39</v>
      </c>
      <c r="G4424" s="17" t="n">
        <v>101294.76</v>
      </c>
      <c r="H4424" s="26" t="n">
        <v>45159</v>
      </c>
      <c r="I4424" s="26" t="n">
        <v>45161</v>
      </c>
      <c r="J4424" s="12" t="n">
        <v>41.38</v>
      </c>
      <c r="K4424" s="17" t="n">
        <v>4192590.12</v>
      </c>
      <c r="L4424" s="12" t="n">
        <v>0</v>
      </c>
      <c r="M4424" s="12" t="n">
        <v>0</v>
      </c>
      <c r="N4424" s="27">
        <f>F4424-J4424</f>
        <v/>
      </c>
      <c r="O4424" s="16">
        <f>I4424-H4424</f>
        <v/>
      </c>
      <c r="P4424" s="14">
        <f>F4424*G4424</f>
        <v/>
      </c>
      <c r="Q4424" s="14">
        <f>J4424*G4424</f>
        <v/>
      </c>
      <c r="R4424" s="14">
        <f>K4424-Q4424</f>
        <v/>
      </c>
      <c r="S4424" s="3">
        <f>P4424*Assumptions!$B$3/100</f>
        <v/>
      </c>
      <c r="T4424" s="14">
        <f>R4424-S4424</f>
        <v/>
      </c>
      <c r="U4424" s="14">
        <f>L4424*G4424</f>
        <v/>
      </c>
    </row>
    <row r="4425">
      <c r="A4425" s="12" t="inlineStr">
        <is>
          <t>PO-2023-4423</t>
        </is>
      </c>
      <c r="B4425" s="26" t="n">
        <v>44874</v>
      </c>
      <c r="C4425" s="12" t="inlineStr">
        <is>
          <t>VS13</t>
        </is>
      </c>
      <c r="D4425" s="12" t="inlineStr">
        <is>
          <t>SS Pipes</t>
        </is>
      </c>
      <c r="E4425" s="12" t="inlineStr">
        <is>
          <t>N</t>
        </is>
      </c>
      <c r="F4425" s="12" t="n">
        <v>40.08</v>
      </c>
      <c r="G4425" s="17" t="n">
        <v>99366.25999999999</v>
      </c>
      <c r="H4425" s="26" t="n">
        <v>44878</v>
      </c>
      <c r="I4425" s="26" t="n">
        <v>44880</v>
      </c>
      <c r="J4425" s="12" t="n">
        <v>39.69</v>
      </c>
      <c r="K4425" s="17" t="n">
        <v>3982599.7</v>
      </c>
      <c r="L4425" s="12" t="n">
        <v>0</v>
      </c>
      <c r="M4425" s="12" t="n">
        <v>22</v>
      </c>
      <c r="N4425" s="27">
        <f>F4425-J4425</f>
        <v/>
      </c>
      <c r="O4425" s="16">
        <f>I4425-H4425</f>
        <v/>
      </c>
      <c r="P4425" s="14">
        <f>F4425*G4425</f>
        <v/>
      </c>
      <c r="Q4425" s="14">
        <f>J4425*G4425</f>
        <v/>
      </c>
      <c r="R4425" s="14">
        <f>K4425-Q4425</f>
        <v/>
      </c>
      <c r="S4425" s="3">
        <f>P4425*Assumptions!$B$3/100</f>
        <v/>
      </c>
      <c r="T4425" s="14">
        <f>R4425-S4425</f>
        <v/>
      </c>
      <c r="U4425" s="14">
        <f>L4425*G4425</f>
        <v/>
      </c>
    </row>
    <row r="4426">
      <c r="A4426" s="12" t="inlineStr">
        <is>
          <t>PO-2023-4424</t>
        </is>
      </c>
      <c r="B4426" s="26" t="n">
        <v>44425</v>
      </c>
      <c r="C4426" s="12" t="inlineStr">
        <is>
          <t>VS10</t>
        </is>
      </c>
      <c r="D4426" s="12" t="inlineStr">
        <is>
          <t>HR Coils</t>
        </is>
      </c>
      <c r="E4426" s="12" t="inlineStr">
        <is>
          <t>N</t>
        </is>
      </c>
      <c r="F4426" s="12" t="n">
        <v>33.18</v>
      </c>
      <c r="G4426" s="17" t="n">
        <v>88207.83</v>
      </c>
      <c r="H4426" s="26" t="n">
        <v>44432</v>
      </c>
      <c r="I4426" s="26" t="n">
        <v>44434</v>
      </c>
      <c r="J4426" s="12" t="n">
        <v>33.16</v>
      </c>
      <c r="K4426" s="17" t="n">
        <v>2926735.8</v>
      </c>
      <c r="L4426" s="12" t="n">
        <v>0</v>
      </c>
      <c r="M4426" s="12" t="n">
        <v>0</v>
      </c>
      <c r="N4426" s="27">
        <f>F4426-J4426</f>
        <v/>
      </c>
      <c r="O4426" s="16">
        <f>I4426-H4426</f>
        <v/>
      </c>
      <c r="P4426" s="14">
        <f>F4426*G4426</f>
        <v/>
      </c>
      <c r="Q4426" s="14">
        <f>J4426*G4426</f>
        <v/>
      </c>
      <c r="R4426" s="14">
        <f>K4426-Q4426</f>
        <v/>
      </c>
      <c r="S4426" s="3">
        <f>P4426*Assumptions!$B$3/100</f>
        <v/>
      </c>
      <c r="T4426" s="14">
        <f>R4426-S4426</f>
        <v/>
      </c>
      <c r="U4426" s="14">
        <f>L4426*G4426</f>
        <v/>
      </c>
    </row>
    <row r="4427">
      <c r="A4427" s="12" t="inlineStr">
        <is>
          <t>PO-2023-4425</t>
        </is>
      </c>
      <c r="B4427" s="26" t="n">
        <v>44538</v>
      </c>
      <c r="C4427" s="12" t="inlineStr">
        <is>
          <t>VS26</t>
        </is>
      </c>
      <c r="D4427" s="12" t="inlineStr">
        <is>
          <t>Angles &amp; Channels</t>
        </is>
      </c>
      <c r="E4427" s="12" t="inlineStr">
        <is>
          <t>Y</t>
        </is>
      </c>
      <c r="F4427" s="12" t="n">
        <v>10.05</v>
      </c>
      <c r="G4427" s="17" t="n">
        <v>79553.92999999999</v>
      </c>
      <c r="H4427" s="26" t="n">
        <v>44545</v>
      </c>
      <c r="I4427" s="26" t="n">
        <v>44548</v>
      </c>
      <c r="J4427" s="12" t="n">
        <v>9.970000000000001</v>
      </c>
      <c r="K4427" s="17" t="n">
        <v>799517</v>
      </c>
      <c r="L4427" s="12" t="n">
        <v>0</v>
      </c>
      <c r="M4427" s="12" t="n">
        <v>6</v>
      </c>
      <c r="N4427" s="27">
        <f>F4427-J4427</f>
        <v/>
      </c>
      <c r="O4427" s="16">
        <f>I4427-H4427</f>
        <v/>
      </c>
      <c r="P4427" s="14">
        <f>F4427*G4427</f>
        <v/>
      </c>
      <c r="Q4427" s="14">
        <f>J4427*G4427</f>
        <v/>
      </c>
      <c r="R4427" s="14">
        <f>K4427-Q4427</f>
        <v/>
      </c>
      <c r="S4427" s="3">
        <f>P4427*Assumptions!$B$3/100</f>
        <v/>
      </c>
      <c r="T4427" s="14">
        <f>R4427-S4427</f>
        <v/>
      </c>
      <c r="U4427" s="14">
        <f>L4427*G4427</f>
        <v/>
      </c>
    </row>
    <row r="4428">
      <c r="A4428" s="12" t="inlineStr">
        <is>
          <t>PO-2023-4426</t>
        </is>
      </c>
      <c r="B4428" s="26" t="n">
        <v>44502</v>
      </c>
      <c r="C4428" s="12" t="inlineStr">
        <is>
          <t>VS28</t>
        </is>
      </c>
      <c r="D4428" s="12" t="inlineStr">
        <is>
          <t>MS Rods</t>
        </is>
      </c>
      <c r="E4428" s="12" t="inlineStr">
        <is>
          <t>N</t>
        </is>
      </c>
      <c r="F4428" s="12" t="n">
        <v>45.4</v>
      </c>
      <c r="G4428" s="17" t="n">
        <v>105459.33</v>
      </c>
      <c r="H4428" s="26" t="n">
        <v>44510</v>
      </c>
      <c r="I4428" s="26" t="n">
        <v>44513</v>
      </c>
      <c r="J4428" s="12" t="n">
        <v>45.01</v>
      </c>
      <c r="K4428" s="17" t="n">
        <v>4787853.58</v>
      </c>
      <c r="L4428" s="12" t="n">
        <v>0</v>
      </c>
      <c r="M4428" s="12" t="n">
        <v>5</v>
      </c>
      <c r="N4428" s="27">
        <f>F4428-J4428</f>
        <v/>
      </c>
      <c r="O4428" s="16">
        <f>I4428-H4428</f>
        <v/>
      </c>
      <c r="P4428" s="14">
        <f>F4428*G4428</f>
        <v/>
      </c>
      <c r="Q4428" s="14">
        <f>J4428*G4428</f>
        <v/>
      </c>
      <c r="R4428" s="14">
        <f>K4428-Q4428</f>
        <v/>
      </c>
      <c r="S4428" s="3">
        <f>P4428*Assumptions!$B$3/100</f>
        <v/>
      </c>
      <c r="T4428" s="14">
        <f>R4428-S4428</f>
        <v/>
      </c>
      <c r="U4428" s="14">
        <f>L4428*G4428</f>
        <v/>
      </c>
    </row>
    <row r="4429">
      <c r="A4429" s="12" t="inlineStr">
        <is>
          <t>PO-2023-4427</t>
        </is>
      </c>
      <c r="B4429" s="26" t="n">
        <v>44424</v>
      </c>
      <c r="C4429" s="12" t="inlineStr">
        <is>
          <t>VS04</t>
        </is>
      </c>
      <c r="D4429" s="12" t="inlineStr">
        <is>
          <t>Hex Bars</t>
        </is>
      </c>
      <c r="E4429" s="12" t="inlineStr">
        <is>
          <t>N</t>
        </is>
      </c>
      <c r="F4429" s="12" t="n">
        <v>18.81</v>
      </c>
      <c r="G4429" s="17" t="n">
        <v>61758.33</v>
      </c>
      <c r="H4429" s="26" t="n">
        <v>44430</v>
      </c>
      <c r="I4429" s="26" t="n">
        <v>44431</v>
      </c>
      <c r="J4429" s="12" t="n">
        <v>18.71</v>
      </c>
      <c r="K4429" s="17" t="n">
        <v>1161674.19</v>
      </c>
      <c r="L4429" s="12" t="n">
        <v>0</v>
      </c>
      <c r="M4429" s="12" t="n">
        <v>11</v>
      </c>
      <c r="N4429" s="27">
        <f>F4429-J4429</f>
        <v/>
      </c>
      <c r="O4429" s="16">
        <f>I4429-H4429</f>
        <v/>
      </c>
      <c r="P4429" s="14">
        <f>F4429*G4429</f>
        <v/>
      </c>
      <c r="Q4429" s="14">
        <f>J4429*G4429</f>
        <v/>
      </c>
      <c r="R4429" s="14">
        <f>K4429-Q4429</f>
        <v/>
      </c>
      <c r="S4429" s="3">
        <f>P4429*Assumptions!$B$3/100</f>
        <v/>
      </c>
      <c r="T4429" s="14">
        <f>R4429-S4429</f>
        <v/>
      </c>
      <c r="U4429" s="14">
        <f>L4429*G4429</f>
        <v/>
      </c>
    </row>
    <row r="4430">
      <c r="A4430" s="12" t="inlineStr">
        <is>
          <t>PO-2023-4428</t>
        </is>
      </c>
      <c r="B4430" s="26" t="n">
        <v>44913</v>
      </c>
      <c r="C4430" s="12" t="inlineStr">
        <is>
          <t>VS23</t>
        </is>
      </c>
      <c r="D4430" s="12" t="inlineStr">
        <is>
          <t>SS Sheets</t>
        </is>
      </c>
      <c r="E4430" s="12" t="inlineStr">
        <is>
          <t>N</t>
        </is>
      </c>
      <c r="F4430" s="12" t="n">
        <v>17.77</v>
      </c>
      <c r="G4430" s="17" t="n">
        <v>51018.53</v>
      </c>
      <c r="H4430" s="26" t="n">
        <v>44926</v>
      </c>
      <c r="I4430" s="26" t="n">
        <v>44928</v>
      </c>
      <c r="J4430" s="12" t="n">
        <v>17.71</v>
      </c>
      <c r="K4430" s="17" t="n">
        <v>906599.28</v>
      </c>
      <c r="L4430" s="12" t="n">
        <v>0</v>
      </c>
      <c r="M4430" s="12" t="n">
        <v>24</v>
      </c>
      <c r="N4430" s="27">
        <f>F4430-J4430</f>
        <v/>
      </c>
      <c r="O4430" s="16">
        <f>I4430-H4430</f>
        <v/>
      </c>
      <c r="P4430" s="14">
        <f>F4430*G4430</f>
        <v/>
      </c>
      <c r="Q4430" s="14">
        <f>J4430*G4430</f>
        <v/>
      </c>
      <c r="R4430" s="14">
        <f>K4430-Q4430</f>
        <v/>
      </c>
      <c r="S4430" s="3">
        <f>P4430*Assumptions!$B$3/100</f>
        <v/>
      </c>
      <c r="T4430" s="14">
        <f>R4430-S4430</f>
        <v/>
      </c>
      <c r="U4430" s="14">
        <f>L4430*G4430</f>
        <v/>
      </c>
    </row>
    <row r="4431">
      <c r="A4431" s="12" t="inlineStr">
        <is>
          <t>PO-2023-4429</t>
        </is>
      </c>
      <c r="B4431" s="26" t="n">
        <v>45080</v>
      </c>
      <c r="C4431" s="12" t="inlineStr">
        <is>
          <t>VS03</t>
        </is>
      </c>
      <c r="D4431" s="12" t="inlineStr">
        <is>
          <t>SS Pipes</t>
        </is>
      </c>
      <c r="E4431" s="12" t="inlineStr">
        <is>
          <t>N</t>
        </is>
      </c>
      <c r="F4431" s="12" t="n">
        <v>29.65</v>
      </c>
      <c r="G4431" s="17" t="n">
        <v>72085.96000000001</v>
      </c>
      <c r="H4431" s="26" t="n">
        <v>45084</v>
      </c>
      <c r="I4431" s="26" t="n">
        <v>45086</v>
      </c>
      <c r="J4431" s="12" t="n">
        <v>29.01</v>
      </c>
      <c r="K4431" s="17" t="n">
        <v>2137348.71</v>
      </c>
      <c r="L4431" s="12" t="n">
        <v>0.8100000000000001</v>
      </c>
      <c r="M4431" s="12" t="n">
        <v>16</v>
      </c>
      <c r="N4431" s="27">
        <f>F4431-J4431</f>
        <v/>
      </c>
      <c r="O4431" s="16">
        <f>I4431-H4431</f>
        <v/>
      </c>
      <c r="P4431" s="14">
        <f>F4431*G4431</f>
        <v/>
      </c>
      <c r="Q4431" s="14">
        <f>J4431*G4431</f>
        <v/>
      </c>
      <c r="R4431" s="14">
        <f>K4431-Q4431</f>
        <v/>
      </c>
      <c r="S4431" s="3">
        <f>P4431*Assumptions!$B$3/100</f>
        <v/>
      </c>
      <c r="T4431" s="14">
        <f>R4431-S4431</f>
        <v/>
      </c>
      <c r="U4431" s="14">
        <f>L4431*G4431</f>
        <v/>
      </c>
    </row>
    <row r="4432">
      <c r="A4432" s="12" t="inlineStr">
        <is>
          <t>PO-2023-4430</t>
        </is>
      </c>
      <c r="B4432" s="26" t="n">
        <v>45173</v>
      </c>
      <c r="C4432" s="12" t="inlineStr">
        <is>
          <t>VS20</t>
        </is>
      </c>
      <c r="D4432" s="12" t="inlineStr">
        <is>
          <t>Angles &amp; Channels</t>
        </is>
      </c>
      <c r="E4432" s="12" t="inlineStr">
        <is>
          <t>N</t>
        </is>
      </c>
      <c r="F4432" s="12" t="n">
        <v>41.61</v>
      </c>
      <c r="G4432" s="17" t="n">
        <v>68449.84</v>
      </c>
      <c r="H4432" s="26" t="n">
        <v>45186</v>
      </c>
      <c r="I4432" s="26" t="n">
        <v>45187</v>
      </c>
      <c r="J4432" s="12" t="n">
        <v>41.5</v>
      </c>
      <c r="K4432" s="17" t="n">
        <v>2848197.84</v>
      </c>
      <c r="L4432" s="12" t="n">
        <v>0</v>
      </c>
      <c r="M4432" s="12" t="n">
        <v>0</v>
      </c>
      <c r="N4432" s="27">
        <f>F4432-J4432</f>
        <v/>
      </c>
      <c r="O4432" s="16">
        <f>I4432-H4432</f>
        <v/>
      </c>
      <c r="P4432" s="14">
        <f>F4432*G4432</f>
        <v/>
      </c>
      <c r="Q4432" s="14">
        <f>J4432*G4432</f>
        <v/>
      </c>
      <c r="R4432" s="14">
        <f>K4432-Q4432</f>
        <v/>
      </c>
      <c r="S4432" s="3">
        <f>P4432*Assumptions!$B$3/100</f>
        <v/>
      </c>
      <c r="T4432" s="14">
        <f>R4432-S4432</f>
        <v/>
      </c>
      <c r="U4432" s="14">
        <f>L4432*G4432</f>
        <v/>
      </c>
    </row>
    <row r="4433">
      <c r="A4433" s="12" t="inlineStr">
        <is>
          <t>PO-2023-4431</t>
        </is>
      </c>
      <c r="B4433" s="26" t="n">
        <v>44647</v>
      </c>
      <c r="C4433" s="12" t="inlineStr">
        <is>
          <t>VS30</t>
        </is>
      </c>
      <c r="D4433" s="12" t="inlineStr">
        <is>
          <t>GI Pipes</t>
        </is>
      </c>
      <c r="E4433" s="12" t="inlineStr">
        <is>
          <t>N</t>
        </is>
      </c>
      <c r="F4433" s="12" t="n">
        <v>46.27</v>
      </c>
      <c r="G4433" s="17" t="n">
        <v>76340.92999999999</v>
      </c>
      <c r="H4433" s="26" t="n">
        <v>44657</v>
      </c>
      <c r="I4433" s="26" t="n">
        <v>44660</v>
      </c>
      <c r="J4433" s="12" t="n">
        <v>46.19</v>
      </c>
      <c r="K4433" s="17" t="n">
        <v>3532294.83</v>
      </c>
      <c r="L4433" s="12" t="n">
        <v>0</v>
      </c>
      <c r="M4433" s="12" t="n">
        <v>0</v>
      </c>
      <c r="N4433" s="27">
        <f>F4433-J4433</f>
        <v/>
      </c>
      <c r="O4433" s="16">
        <f>I4433-H4433</f>
        <v/>
      </c>
      <c r="P4433" s="14">
        <f>F4433*G4433</f>
        <v/>
      </c>
      <c r="Q4433" s="14">
        <f>J4433*G4433</f>
        <v/>
      </c>
      <c r="R4433" s="14">
        <f>K4433-Q4433</f>
        <v/>
      </c>
      <c r="S4433" s="3">
        <f>P4433*Assumptions!$B$3/100</f>
        <v/>
      </c>
      <c r="T4433" s="14">
        <f>R4433-S4433</f>
        <v/>
      </c>
      <c r="U4433" s="14">
        <f>L4433*G4433</f>
        <v/>
      </c>
    </row>
    <row r="4434">
      <c r="A4434" s="12" t="inlineStr">
        <is>
          <t>PO-2023-4432</t>
        </is>
      </c>
      <c r="B4434" s="26" t="n">
        <v>44578</v>
      </c>
      <c r="C4434" s="12" t="inlineStr">
        <is>
          <t>VS07</t>
        </is>
      </c>
      <c r="D4434" s="12" t="inlineStr">
        <is>
          <t>GI Wire</t>
        </is>
      </c>
      <c r="E4434" s="12" t="inlineStr">
        <is>
          <t>N</t>
        </is>
      </c>
      <c r="F4434" s="12" t="n">
        <v>23.33</v>
      </c>
      <c r="G4434" s="17" t="n">
        <v>63558.81</v>
      </c>
      <c r="H4434" s="26" t="n">
        <v>44585</v>
      </c>
      <c r="I4434" s="26" t="n">
        <v>44586</v>
      </c>
      <c r="J4434" s="12" t="n">
        <v>23.19</v>
      </c>
      <c r="K4434" s="17" t="n">
        <v>1482827.04</v>
      </c>
      <c r="L4434" s="12" t="n">
        <v>0</v>
      </c>
      <c r="M4434" s="12" t="n">
        <v>5</v>
      </c>
      <c r="N4434" s="27">
        <f>F4434-J4434</f>
        <v/>
      </c>
      <c r="O4434" s="16">
        <f>I4434-H4434</f>
        <v/>
      </c>
      <c r="P4434" s="14">
        <f>F4434*G4434</f>
        <v/>
      </c>
      <c r="Q4434" s="14">
        <f>J4434*G4434</f>
        <v/>
      </c>
      <c r="R4434" s="14">
        <f>K4434-Q4434</f>
        <v/>
      </c>
      <c r="S4434" s="3">
        <f>P4434*Assumptions!$B$3/100</f>
        <v/>
      </c>
      <c r="T4434" s="14">
        <f>R4434-S4434</f>
        <v/>
      </c>
      <c r="U4434" s="14">
        <f>L4434*G4434</f>
        <v/>
      </c>
    </row>
    <row r="4435">
      <c r="A4435" s="12" t="inlineStr">
        <is>
          <t>PO-2023-4433</t>
        </is>
      </c>
      <c r="B4435" s="26" t="n">
        <v>44986</v>
      </c>
      <c r="C4435" s="12" t="inlineStr">
        <is>
          <t>VS07</t>
        </is>
      </c>
      <c r="D4435" s="12" t="inlineStr">
        <is>
          <t>Square/Rect Tubes</t>
        </is>
      </c>
      <c r="E4435" s="12" t="inlineStr">
        <is>
          <t>N</t>
        </is>
      </c>
      <c r="F4435" s="12" t="n">
        <v>42.45</v>
      </c>
      <c r="G4435" s="17" t="n">
        <v>95085.06</v>
      </c>
      <c r="H4435" s="26" t="n">
        <v>44996</v>
      </c>
      <c r="I4435" s="26" t="n">
        <v>44996</v>
      </c>
      <c r="J4435" s="12" t="n">
        <v>42.36</v>
      </c>
      <c r="K4435" s="17" t="n">
        <v>4036360.8</v>
      </c>
      <c r="L4435" s="12" t="n">
        <v>0</v>
      </c>
      <c r="M4435" s="12" t="n">
        <v>16</v>
      </c>
      <c r="N4435" s="27">
        <f>F4435-J4435</f>
        <v/>
      </c>
      <c r="O4435" s="16">
        <f>I4435-H4435</f>
        <v/>
      </c>
      <c r="P4435" s="14">
        <f>F4435*G4435</f>
        <v/>
      </c>
      <c r="Q4435" s="14">
        <f>J4435*G4435</f>
        <v/>
      </c>
      <c r="R4435" s="14">
        <f>K4435-Q4435</f>
        <v/>
      </c>
      <c r="S4435" s="3">
        <f>P4435*Assumptions!$B$3/100</f>
        <v/>
      </c>
      <c r="T4435" s="14">
        <f>R4435-S4435</f>
        <v/>
      </c>
      <c r="U4435" s="14">
        <f>L4435*G4435</f>
        <v/>
      </c>
    </row>
    <row r="4436">
      <c r="A4436" s="12" t="inlineStr">
        <is>
          <t>PO-2023-4434</t>
        </is>
      </c>
      <c r="B4436" s="26" t="n">
        <v>44964</v>
      </c>
      <c r="C4436" s="12" t="inlineStr">
        <is>
          <t>VS28</t>
        </is>
      </c>
      <c r="D4436" s="12" t="inlineStr">
        <is>
          <t>MS Sheets</t>
        </is>
      </c>
      <c r="E4436" s="12" t="inlineStr">
        <is>
          <t>N</t>
        </is>
      </c>
      <c r="F4436" s="12" t="n">
        <v>38.29</v>
      </c>
      <c r="G4436" s="17" t="n">
        <v>64299.61</v>
      </c>
      <c r="H4436" s="26" t="n">
        <v>44968</v>
      </c>
      <c r="I4436" s="26" t="n">
        <v>44971</v>
      </c>
      <c r="J4436" s="12" t="n">
        <v>38.07</v>
      </c>
      <c r="K4436" s="17" t="n">
        <v>2462032.07</v>
      </c>
      <c r="L4436" s="12" t="n">
        <v>0</v>
      </c>
      <c r="M4436" s="12" t="n">
        <v>0</v>
      </c>
      <c r="N4436" s="27">
        <f>F4436-J4436</f>
        <v/>
      </c>
      <c r="O4436" s="16">
        <f>I4436-H4436</f>
        <v/>
      </c>
      <c r="P4436" s="14">
        <f>F4436*G4436</f>
        <v/>
      </c>
      <c r="Q4436" s="14">
        <f>J4436*G4436</f>
        <v/>
      </c>
      <c r="R4436" s="14">
        <f>K4436-Q4436</f>
        <v/>
      </c>
      <c r="S4436" s="3">
        <f>P4436*Assumptions!$B$3/100</f>
        <v/>
      </c>
      <c r="T4436" s="14">
        <f>R4436-S4436</f>
        <v/>
      </c>
      <c r="U4436" s="14">
        <f>L4436*G4436</f>
        <v/>
      </c>
    </row>
    <row r="4437">
      <c r="A4437" s="12" t="inlineStr">
        <is>
          <t>PO-2023-4435</t>
        </is>
      </c>
      <c r="B4437" s="26" t="n">
        <v>44552</v>
      </c>
      <c r="C4437" s="12" t="inlineStr">
        <is>
          <t>VS28</t>
        </is>
      </c>
      <c r="D4437" s="12" t="inlineStr">
        <is>
          <t>MS Pipes</t>
        </is>
      </c>
      <c r="E4437" s="12" t="inlineStr">
        <is>
          <t>Y</t>
        </is>
      </c>
      <c r="F4437" s="12" t="n">
        <v>26.17</v>
      </c>
      <c r="G4437" s="17" t="n">
        <v>84428.92999999999</v>
      </c>
      <c r="H4437" s="26" t="n">
        <v>44563</v>
      </c>
      <c r="I4437" s="26" t="n">
        <v>44565</v>
      </c>
      <c r="J4437" s="12" t="n">
        <v>26.05</v>
      </c>
      <c r="K4437" s="17" t="n">
        <v>2209505.1</v>
      </c>
      <c r="L4437" s="12" t="n">
        <v>0</v>
      </c>
      <c r="M4437" s="12" t="n">
        <v>4</v>
      </c>
      <c r="N4437" s="27">
        <f>F4437-J4437</f>
        <v/>
      </c>
      <c r="O4437" s="16">
        <f>I4437-H4437</f>
        <v/>
      </c>
      <c r="P4437" s="14">
        <f>F4437*G4437</f>
        <v/>
      </c>
      <c r="Q4437" s="14">
        <f>J4437*G4437</f>
        <v/>
      </c>
      <c r="R4437" s="14">
        <f>K4437-Q4437</f>
        <v/>
      </c>
      <c r="S4437" s="3">
        <f>P4437*Assumptions!$B$3/100</f>
        <v/>
      </c>
      <c r="T4437" s="14">
        <f>R4437-S4437</f>
        <v/>
      </c>
      <c r="U4437" s="14">
        <f>L4437*G4437</f>
        <v/>
      </c>
    </row>
    <row r="4438">
      <c r="A4438" s="12" t="inlineStr">
        <is>
          <t>PO-2023-4436</t>
        </is>
      </c>
      <c r="B4438" s="26" t="n">
        <v>45102</v>
      </c>
      <c r="C4438" s="12" t="inlineStr">
        <is>
          <t>VS26</t>
        </is>
      </c>
      <c r="D4438" s="12" t="inlineStr">
        <is>
          <t>MS Sheets</t>
        </is>
      </c>
      <c r="E4438" s="12" t="inlineStr">
        <is>
          <t>N</t>
        </is>
      </c>
      <c r="F4438" s="12" t="n">
        <v>1.69</v>
      </c>
      <c r="G4438" s="17" t="n">
        <v>91607.72</v>
      </c>
      <c r="H4438" s="26" t="n">
        <v>45105</v>
      </c>
      <c r="I4438" s="26" t="n">
        <v>45107</v>
      </c>
      <c r="J4438" s="12" t="n">
        <v>1.68</v>
      </c>
      <c r="K4438" s="17" t="n">
        <v>154817.05</v>
      </c>
      <c r="L4438" s="12" t="n">
        <v>0</v>
      </c>
      <c r="M4438" s="12" t="n">
        <v>0</v>
      </c>
      <c r="N4438" s="27">
        <f>F4438-J4438</f>
        <v/>
      </c>
      <c r="O4438" s="16">
        <f>I4438-H4438</f>
        <v/>
      </c>
      <c r="P4438" s="14">
        <f>F4438*G4438</f>
        <v/>
      </c>
      <c r="Q4438" s="14">
        <f>J4438*G4438</f>
        <v/>
      </c>
      <c r="R4438" s="14">
        <f>K4438-Q4438</f>
        <v/>
      </c>
      <c r="S4438" s="3">
        <f>P4438*Assumptions!$B$3/100</f>
        <v/>
      </c>
      <c r="T4438" s="14">
        <f>R4438-S4438</f>
        <v/>
      </c>
      <c r="U4438" s="14">
        <f>L4438*G4438</f>
        <v/>
      </c>
    </row>
    <row r="4439">
      <c r="A4439" s="12" t="inlineStr">
        <is>
          <t>PO-2023-4437</t>
        </is>
      </c>
      <c r="B4439" s="26" t="n">
        <v>45065</v>
      </c>
      <c r="C4439" s="12" t="inlineStr">
        <is>
          <t>VS15</t>
        </is>
      </c>
      <c r="D4439" s="12" t="inlineStr">
        <is>
          <t>SS Pipes</t>
        </is>
      </c>
      <c r="E4439" s="12" t="inlineStr">
        <is>
          <t>N</t>
        </is>
      </c>
      <c r="F4439" s="12" t="n">
        <v>30.57</v>
      </c>
      <c r="G4439" s="17" t="n">
        <v>77361.55</v>
      </c>
      <c r="H4439" s="26" t="n">
        <v>45068</v>
      </c>
      <c r="I4439" s="26" t="n">
        <v>45068</v>
      </c>
      <c r="J4439" s="12" t="n">
        <v>30.28</v>
      </c>
      <c r="K4439" s="17" t="n">
        <v>2364942.58</v>
      </c>
      <c r="L4439" s="12" t="n">
        <v>0</v>
      </c>
      <c r="M4439" s="12" t="n">
        <v>1</v>
      </c>
      <c r="N4439" s="27">
        <f>F4439-J4439</f>
        <v/>
      </c>
      <c r="O4439" s="16">
        <f>I4439-H4439</f>
        <v/>
      </c>
      <c r="P4439" s="14">
        <f>F4439*G4439</f>
        <v/>
      </c>
      <c r="Q4439" s="14">
        <f>J4439*G4439</f>
        <v/>
      </c>
      <c r="R4439" s="14">
        <f>K4439-Q4439</f>
        <v/>
      </c>
      <c r="S4439" s="3">
        <f>P4439*Assumptions!$B$3/100</f>
        <v/>
      </c>
      <c r="T4439" s="14">
        <f>R4439-S4439</f>
        <v/>
      </c>
      <c r="U4439" s="14">
        <f>L4439*G4439</f>
        <v/>
      </c>
    </row>
    <row r="4440">
      <c r="A4440" s="12" t="inlineStr">
        <is>
          <t>PO-2023-4438</t>
        </is>
      </c>
      <c r="B4440" s="26" t="n">
        <v>44678</v>
      </c>
      <c r="C4440" s="12" t="inlineStr">
        <is>
          <t>VS22</t>
        </is>
      </c>
      <c r="D4440" s="12" t="inlineStr">
        <is>
          <t>SS Pipes</t>
        </is>
      </c>
      <c r="E4440" s="12" t="inlineStr">
        <is>
          <t>N</t>
        </is>
      </c>
      <c r="F4440" s="12" t="n">
        <v>22.36</v>
      </c>
      <c r="G4440" s="17" t="n">
        <v>82055.39</v>
      </c>
      <c r="H4440" s="26" t="n">
        <v>44681</v>
      </c>
      <c r="I4440" s="26" t="n">
        <v>44684</v>
      </c>
      <c r="J4440" s="12" t="n">
        <v>22.32</v>
      </c>
      <c r="K4440" s="17" t="n">
        <v>1834758.52</v>
      </c>
      <c r="L4440" s="12" t="n">
        <v>0</v>
      </c>
      <c r="M4440" s="12" t="n">
        <v>0</v>
      </c>
      <c r="N4440" s="27">
        <f>F4440-J4440</f>
        <v/>
      </c>
      <c r="O4440" s="16">
        <f>I4440-H4440</f>
        <v/>
      </c>
      <c r="P4440" s="14">
        <f>F4440*G4440</f>
        <v/>
      </c>
      <c r="Q4440" s="14">
        <f>J4440*G4440</f>
        <v/>
      </c>
      <c r="R4440" s="14">
        <f>K4440-Q4440</f>
        <v/>
      </c>
      <c r="S4440" s="3">
        <f>P4440*Assumptions!$B$3/100</f>
        <v/>
      </c>
      <c r="T4440" s="14">
        <f>R4440-S4440</f>
        <v/>
      </c>
      <c r="U4440" s="14">
        <f>L4440*G4440</f>
        <v/>
      </c>
    </row>
    <row r="4441">
      <c r="A4441" s="12" t="inlineStr">
        <is>
          <t>PO-2023-4439</t>
        </is>
      </c>
      <c r="B4441" s="26" t="n">
        <v>44833</v>
      </c>
      <c r="C4441" s="12" t="inlineStr">
        <is>
          <t>VS22</t>
        </is>
      </c>
      <c r="D4441" s="12" t="inlineStr">
        <is>
          <t>GI Pipes</t>
        </is>
      </c>
      <c r="E4441" s="12" t="inlineStr">
        <is>
          <t>N</t>
        </is>
      </c>
      <c r="F4441" s="12" t="n">
        <v>35.9</v>
      </c>
      <c r="G4441" s="17" t="n">
        <v>99082.77</v>
      </c>
      <c r="H4441" s="26" t="n">
        <v>44845</v>
      </c>
      <c r="I4441" s="26" t="n">
        <v>44847</v>
      </c>
      <c r="J4441" s="12" t="n">
        <v>35.62</v>
      </c>
      <c r="K4441" s="17" t="n">
        <v>3557071.44</v>
      </c>
      <c r="L4441" s="12" t="n">
        <v>0</v>
      </c>
      <c r="M4441" s="12" t="n">
        <v>8</v>
      </c>
      <c r="N4441" s="27">
        <f>F4441-J4441</f>
        <v/>
      </c>
      <c r="O4441" s="16">
        <f>I4441-H4441</f>
        <v/>
      </c>
      <c r="P4441" s="14">
        <f>F4441*G4441</f>
        <v/>
      </c>
      <c r="Q4441" s="14">
        <f>J4441*G4441</f>
        <v/>
      </c>
      <c r="R4441" s="14">
        <f>K4441-Q4441</f>
        <v/>
      </c>
      <c r="S4441" s="3">
        <f>P4441*Assumptions!$B$3/100</f>
        <v/>
      </c>
      <c r="T4441" s="14">
        <f>R4441-S4441</f>
        <v/>
      </c>
      <c r="U4441" s="14">
        <f>L4441*G4441</f>
        <v/>
      </c>
    </row>
    <row r="4442">
      <c r="A4442" s="12" t="inlineStr">
        <is>
          <t>PO-2023-4440</t>
        </is>
      </c>
      <c r="B4442" s="26" t="n">
        <v>44489</v>
      </c>
      <c r="C4442" s="12" t="inlineStr">
        <is>
          <t>VS09</t>
        </is>
      </c>
      <c r="D4442" s="12" t="inlineStr">
        <is>
          <t>GI Wire</t>
        </is>
      </c>
      <c r="E4442" s="12" t="inlineStr">
        <is>
          <t>N</t>
        </is>
      </c>
      <c r="F4442" s="12" t="n">
        <v>22.59</v>
      </c>
      <c r="G4442" s="17" t="n">
        <v>95752.41</v>
      </c>
      <c r="H4442" s="26" t="n">
        <v>44493</v>
      </c>
      <c r="I4442" s="26" t="n">
        <v>44496</v>
      </c>
      <c r="J4442" s="12" t="n">
        <v>22.52</v>
      </c>
      <c r="K4442" s="17" t="n">
        <v>2163046.94</v>
      </c>
      <c r="L4442" s="12" t="n">
        <v>0</v>
      </c>
      <c r="M4442" s="12" t="n">
        <v>0</v>
      </c>
      <c r="N4442" s="27">
        <f>F4442-J4442</f>
        <v/>
      </c>
      <c r="O4442" s="16">
        <f>I4442-H4442</f>
        <v/>
      </c>
      <c r="P4442" s="14">
        <f>F4442*G4442</f>
        <v/>
      </c>
      <c r="Q4442" s="14">
        <f>J4442*G4442</f>
        <v/>
      </c>
      <c r="R4442" s="14">
        <f>K4442-Q4442</f>
        <v/>
      </c>
      <c r="S4442" s="3">
        <f>P4442*Assumptions!$B$3/100</f>
        <v/>
      </c>
      <c r="T4442" s="14">
        <f>R4442-S4442</f>
        <v/>
      </c>
      <c r="U4442" s="14">
        <f>L4442*G4442</f>
        <v/>
      </c>
    </row>
    <row r="4443">
      <c r="A4443" s="12" t="inlineStr">
        <is>
          <t>PO-2023-4441</t>
        </is>
      </c>
      <c r="B4443" s="26" t="n">
        <v>44551</v>
      </c>
      <c r="C4443" s="12" t="inlineStr">
        <is>
          <t>VS14</t>
        </is>
      </c>
      <c r="D4443" s="12" t="inlineStr">
        <is>
          <t>CR Sheets</t>
        </is>
      </c>
      <c r="E4443" s="12" t="inlineStr">
        <is>
          <t>N</t>
        </is>
      </c>
      <c r="F4443" s="12" t="n">
        <v>39.3</v>
      </c>
      <c r="G4443" s="17" t="n">
        <v>107083.85</v>
      </c>
      <c r="H4443" s="26" t="n">
        <v>44562</v>
      </c>
      <c r="I4443" s="26" t="n">
        <v>44563</v>
      </c>
      <c r="J4443" s="12" t="n">
        <v>39.02</v>
      </c>
      <c r="K4443" s="17" t="n">
        <v>4208395.3</v>
      </c>
      <c r="L4443" s="12" t="n">
        <v>0</v>
      </c>
      <c r="M4443" s="12" t="n">
        <v>8</v>
      </c>
      <c r="N4443" s="27">
        <f>F4443-J4443</f>
        <v/>
      </c>
      <c r="O4443" s="16">
        <f>I4443-H4443</f>
        <v/>
      </c>
      <c r="P4443" s="14">
        <f>F4443*G4443</f>
        <v/>
      </c>
      <c r="Q4443" s="14">
        <f>J4443*G4443</f>
        <v/>
      </c>
      <c r="R4443" s="14">
        <f>K4443-Q4443</f>
        <v/>
      </c>
      <c r="S4443" s="3">
        <f>P4443*Assumptions!$B$3/100</f>
        <v/>
      </c>
      <c r="T4443" s="14">
        <f>R4443-S4443</f>
        <v/>
      </c>
      <c r="U4443" s="14">
        <f>L4443*G4443</f>
        <v/>
      </c>
    </row>
    <row r="4444">
      <c r="A4444" s="12" t="inlineStr">
        <is>
          <t>PO-2023-4442</t>
        </is>
      </c>
      <c r="B4444" s="26" t="n">
        <v>45283</v>
      </c>
      <c r="C4444" s="12" t="inlineStr">
        <is>
          <t>VS03</t>
        </is>
      </c>
      <c r="D4444" s="12" t="inlineStr">
        <is>
          <t>SS Sheets</t>
        </is>
      </c>
      <c r="E4444" s="12" t="inlineStr">
        <is>
          <t>N</t>
        </is>
      </c>
      <c r="F4444" s="12" t="n">
        <v>25.6</v>
      </c>
      <c r="G4444" s="17" t="n">
        <v>113116.31</v>
      </c>
      <c r="H4444" s="26" t="n">
        <v>45287</v>
      </c>
      <c r="I4444" s="26" t="n">
        <v>45291</v>
      </c>
      <c r="J4444" s="12" t="n">
        <v>24.75</v>
      </c>
      <c r="K4444" s="17" t="n">
        <v>2895777.54</v>
      </c>
      <c r="L4444" s="12" t="n">
        <v>0.08</v>
      </c>
      <c r="M4444" s="12" t="n">
        <v>10</v>
      </c>
      <c r="N4444" s="27">
        <f>F4444-J4444</f>
        <v/>
      </c>
      <c r="O4444" s="16">
        <f>I4444-H4444</f>
        <v/>
      </c>
      <c r="P4444" s="14">
        <f>F4444*G4444</f>
        <v/>
      </c>
      <c r="Q4444" s="14">
        <f>J4444*G4444</f>
        <v/>
      </c>
      <c r="R4444" s="14">
        <f>K4444-Q4444</f>
        <v/>
      </c>
      <c r="S4444" s="3">
        <f>P4444*Assumptions!$B$3/100</f>
        <v/>
      </c>
      <c r="T4444" s="14">
        <f>R4444-S4444</f>
        <v/>
      </c>
      <c r="U4444" s="14">
        <f>L4444*G4444</f>
        <v/>
      </c>
    </row>
    <row r="4445">
      <c r="A4445" s="12" t="inlineStr">
        <is>
          <t>PO-2023-4443</t>
        </is>
      </c>
      <c r="B4445" s="26" t="n">
        <v>44794</v>
      </c>
      <c r="C4445" s="12" t="inlineStr">
        <is>
          <t>VS10</t>
        </is>
      </c>
      <c r="D4445" s="12" t="inlineStr">
        <is>
          <t>GI Pipes</t>
        </is>
      </c>
      <c r="E4445" s="12" t="inlineStr">
        <is>
          <t>N</t>
        </is>
      </c>
      <c r="F4445" s="12" t="n">
        <v>8.119999999999999</v>
      </c>
      <c r="G4445" s="17" t="n">
        <v>90585.5</v>
      </c>
      <c r="H4445" s="26" t="n">
        <v>44800</v>
      </c>
      <c r="I4445" s="26" t="n">
        <v>44803</v>
      </c>
      <c r="J4445" s="12" t="n">
        <v>8.050000000000001</v>
      </c>
      <c r="K4445" s="17" t="n">
        <v>735554.26</v>
      </c>
      <c r="L4445" s="12" t="n">
        <v>0</v>
      </c>
      <c r="M4445" s="12" t="n">
        <v>20</v>
      </c>
      <c r="N4445" s="27">
        <f>F4445-J4445</f>
        <v/>
      </c>
      <c r="O4445" s="16">
        <f>I4445-H4445</f>
        <v/>
      </c>
      <c r="P4445" s="14">
        <f>F4445*G4445</f>
        <v/>
      </c>
      <c r="Q4445" s="14">
        <f>J4445*G4445</f>
        <v/>
      </c>
      <c r="R4445" s="14">
        <f>K4445-Q4445</f>
        <v/>
      </c>
      <c r="S4445" s="3">
        <f>P4445*Assumptions!$B$3/100</f>
        <v/>
      </c>
      <c r="T4445" s="14">
        <f>R4445-S4445</f>
        <v/>
      </c>
      <c r="U4445" s="14">
        <f>L4445*G4445</f>
        <v/>
      </c>
    </row>
    <row r="4446">
      <c r="A4446" s="12" t="inlineStr">
        <is>
          <t>PO-2023-4444</t>
        </is>
      </c>
      <c r="B4446" s="26" t="n">
        <v>45017</v>
      </c>
      <c r="C4446" s="12" t="inlineStr">
        <is>
          <t>VS20</t>
        </is>
      </c>
      <c r="D4446" s="12" t="inlineStr">
        <is>
          <t>Angles &amp; Channels</t>
        </is>
      </c>
      <c r="E4446" s="12" t="inlineStr">
        <is>
          <t>N</t>
        </is>
      </c>
      <c r="F4446" s="12" t="n">
        <v>3.26</v>
      </c>
      <c r="G4446" s="17" t="n">
        <v>95964.14</v>
      </c>
      <c r="H4446" s="26" t="n">
        <v>45028</v>
      </c>
      <c r="I4446" s="26" t="n">
        <v>45031</v>
      </c>
      <c r="J4446" s="12" t="n">
        <v>3.25</v>
      </c>
      <c r="K4446" s="17" t="n">
        <v>312843.1</v>
      </c>
      <c r="L4446" s="12" t="n">
        <v>0</v>
      </c>
      <c r="M4446" s="12" t="n">
        <v>7</v>
      </c>
      <c r="N4446" s="27">
        <f>F4446-J4446</f>
        <v/>
      </c>
      <c r="O4446" s="16">
        <f>I4446-H4446</f>
        <v/>
      </c>
      <c r="P4446" s="14">
        <f>F4446*G4446</f>
        <v/>
      </c>
      <c r="Q4446" s="14">
        <f>J4446*G4446</f>
        <v/>
      </c>
      <c r="R4446" s="14">
        <f>K4446-Q4446</f>
        <v/>
      </c>
      <c r="S4446" s="3">
        <f>P4446*Assumptions!$B$3/100</f>
        <v/>
      </c>
      <c r="T4446" s="14">
        <f>R4446-S4446</f>
        <v/>
      </c>
      <c r="U4446" s="14">
        <f>L4446*G4446</f>
        <v/>
      </c>
    </row>
    <row r="4447">
      <c r="A4447" s="12" t="inlineStr">
        <is>
          <t>PO-2023-4445</t>
        </is>
      </c>
      <c r="B4447" s="26" t="n">
        <v>44556</v>
      </c>
      <c r="C4447" s="12" t="inlineStr">
        <is>
          <t>VS16</t>
        </is>
      </c>
      <c r="D4447" s="12" t="inlineStr">
        <is>
          <t>ERW Pipes</t>
        </is>
      </c>
      <c r="E4447" s="12" t="inlineStr">
        <is>
          <t>N</t>
        </is>
      </c>
      <c r="F4447" s="12" t="n">
        <v>13.07</v>
      </c>
      <c r="G4447" s="17" t="n">
        <v>54938.6</v>
      </c>
      <c r="H4447" s="26" t="n">
        <v>44564</v>
      </c>
      <c r="I4447" s="26" t="n">
        <v>44567</v>
      </c>
      <c r="J4447" s="12" t="n">
        <v>13.04</v>
      </c>
      <c r="K4447" s="17" t="n">
        <v>718047.5</v>
      </c>
      <c r="L4447" s="12" t="n">
        <v>0</v>
      </c>
      <c r="M4447" s="12" t="n">
        <v>0</v>
      </c>
      <c r="N4447" s="27">
        <f>F4447-J4447</f>
        <v/>
      </c>
      <c r="O4447" s="16">
        <f>I4447-H4447</f>
        <v/>
      </c>
      <c r="P4447" s="14">
        <f>F4447*G4447</f>
        <v/>
      </c>
      <c r="Q4447" s="14">
        <f>J4447*G4447</f>
        <v/>
      </c>
      <c r="R4447" s="14">
        <f>K4447-Q4447</f>
        <v/>
      </c>
      <c r="S4447" s="3">
        <f>P4447*Assumptions!$B$3/100</f>
        <v/>
      </c>
      <c r="T4447" s="14">
        <f>R4447-S4447</f>
        <v/>
      </c>
      <c r="U4447" s="14">
        <f>L4447*G4447</f>
        <v/>
      </c>
    </row>
    <row r="4448">
      <c r="A4448" s="12" t="inlineStr">
        <is>
          <t>PO-2023-4446</t>
        </is>
      </c>
      <c r="B4448" s="26" t="n">
        <v>44956</v>
      </c>
      <c r="C4448" s="12" t="inlineStr">
        <is>
          <t>VS29</t>
        </is>
      </c>
      <c r="D4448" s="12" t="inlineStr">
        <is>
          <t>MS Rods</t>
        </is>
      </c>
      <c r="E4448" s="12" t="inlineStr">
        <is>
          <t>N</t>
        </is>
      </c>
      <c r="F4448" s="12" t="n">
        <v>23.86</v>
      </c>
      <c r="G4448" s="17" t="n">
        <v>90478.39</v>
      </c>
      <c r="H4448" s="26" t="n">
        <v>44960</v>
      </c>
      <c r="I4448" s="26" t="n">
        <v>44961</v>
      </c>
      <c r="J4448" s="12" t="n">
        <v>23.7</v>
      </c>
      <c r="K4448" s="17" t="n">
        <v>2158814.39</v>
      </c>
      <c r="L4448" s="12" t="n">
        <v>0</v>
      </c>
      <c r="M4448" s="12" t="n">
        <v>18</v>
      </c>
      <c r="N4448" s="27">
        <f>F4448-J4448</f>
        <v/>
      </c>
      <c r="O4448" s="16">
        <f>I4448-H4448</f>
        <v/>
      </c>
      <c r="P4448" s="14">
        <f>F4448*G4448</f>
        <v/>
      </c>
      <c r="Q4448" s="14">
        <f>J4448*G4448</f>
        <v/>
      </c>
      <c r="R4448" s="14">
        <f>K4448-Q4448</f>
        <v/>
      </c>
      <c r="S4448" s="3">
        <f>P4448*Assumptions!$B$3/100</f>
        <v/>
      </c>
      <c r="T4448" s="14">
        <f>R4448-S4448</f>
        <v/>
      </c>
      <c r="U4448" s="14">
        <f>L4448*G4448</f>
        <v/>
      </c>
    </row>
    <row r="4449">
      <c r="A4449" s="12" t="inlineStr">
        <is>
          <t>PO-2023-4447</t>
        </is>
      </c>
      <c r="B4449" s="26" t="n">
        <v>44422</v>
      </c>
      <c r="C4449" s="12" t="inlineStr">
        <is>
          <t>VS22</t>
        </is>
      </c>
      <c r="D4449" s="12" t="inlineStr">
        <is>
          <t>SS Sheets</t>
        </is>
      </c>
      <c r="E4449" s="12" t="inlineStr">
        <is>
          <t>N</t>
        </is>
      </c>
      <c r="F4449" s="12" t="n">
        <v>29.93</v>
      </c>
      <c r="G4449" s="17" t="n">
        <v>101136.52</v>
      </c>
      <c r="H4449" s="26" t="n">
        <v>44435</v>
      </c>
      <c r="I4449" s="26" t="n">
        <v>44438</v>
      </c>
      <c r="J4449" s="12" t="n">
        <v>29.81</v>
      </c>
      <c r="K4449" s="17" t="n">
        <v>3027016.04</v>
      </c>
      <c r="L4449" s="12" t="n">
        <v>0</v>
      </c>
      <c r="M4449" s="12" t="n">
        <v>0</v>
      </c>
      <c r="N4449" s="27">
        <f>F4449-J4449</f>
        <v/>
      </c>
      <c r="O4449" s="16">
        <f>I4449-H4449</f>
        <v/>
      </c>
      <c r="P4449" s="14">
        <f>F4449*G4449</f>
        <v/>
      </c>
      <c r="Q4449" s="14">
        <f>J4449*G4449</f>
        <v/>
      </c>
      <c r="R4449" s="14">
        <f>K4449-Q4449</f>
        <v/>
      </c>
      <c r="S4449" s="3">
        <f>P4449*Assumptions!$B$3/100</f>
        <v/>
      </c>
      <c r="T4449" s="14">
        <f>R4449-S4449</f>
        <v/>
      </c>
      <c r="U4449" s="14">
        <f>L4449*G4449</f>
        <v/>
      </c>
    </row>
    <row r="4450">
      <c r="A4450" s="12" t="inlineStr">
        <is>
          <t>PO-2023-4448</t>
        </is>
      </c>
      <c r="B4450" s="26" t="n">
        <v>44726</v>
      </c>
      <c r="C4450" s="12" t="inlineStr">
        <is>
          <t>VS13</t>
        </is>
      </c>
      <c r="D4450" s="12" t="inlineStr">
        <is>
          <t>SS Pipes</t>
        </is>
      </c>
      <c r="E4450" s="12" t="inlineStr">
        <is>
          <t>N</t>
        </is>
      </c>
      <c r="F4450" s="12" t="n">
        <v>26.55</v>
      </c>
      <c r="G4450" s="17" t="n">
        <v>98043.60000000001</v>
      </c>
      <c r="H4450" s="26" t="n">
        <v>44739</v>
      </c>
      <c r="I4450" s="26" t="n">
        <v>44742</v>
      </c>
      <c r="J4450" s="12" t="n">
        <v>26.45</v>
      </c>
      <c r="K4450" s="17" t="n">
        <v>2603057.58</v>
      </c>
      <c r="L4450" s="12" t="n">
        <v>0</v>
      </c>
      <c r="M4450" s="12" t="n">
        <v>0</v>
      </c>
      <c r="N4450" s="27">
        <f>F4450-J4450</f>
        <v/>
      </c>
      <c r="O4450" s="16">
        <f>I4450-H4450</f>
        <v/>
      </c>
      <c r="P4450" s="14">
        <f>F4450*G4450</f>
        <v/>
      </c>
      <c r="Q4450" s="14">
        <f>J4450*G4450</f>
        <v/>
      </c>
      <c r="R4450" s="14">
        <f>K4450-Q4450</f>
        <v/>
      </c>
      <c r="S4450" s="3">
        <f>P4450*Assumptions!$B$3/100</f>
        <v/>
      </c>
      <c r="T4450" s="14">
        <f>R4450-S4450</f>
        <v/>
      </c>
      <c r="U4450" s="14">
        <f>L4450*G4450</f>
        <v/>
      </c>
    </row>
    <row r="4451">
      <c r="A4451" s="12" t="inlineStr">
        <is>
          <t>PO-2023-4449</t>
        </is>
      </c>
      <c r="B4451" s="26" t="n">
        <v>44809</v>
      </c>
      <c r="C4451" s="12" t="inlineStr">
        <is>
          <t>VS16</t>
        </is>
      </c>
      <c r="D4451" s="12" t="inlineStr">
        <is>
          <t>GI Wire</t>
        </is>
      </c>
      <c r="E4451" s="12" t="inlineStr">
        <is>
          <t>N</t>
        </is>
      </c>
      <c r="F4451" s="12" t="n">
        <v>44.26</v>
      </c>
      <c r="G4451" s="17" t="n">
        <v>72938.41</v>
      </c>
      <c r="H4451" s="26" t="n">
        <v>44824</v>
      </c>
      <c r="I4451" s="26" t="n">
        <v>44824</v>
      </c>
      <c r="J4451" s="12" t="n">
        <v>44.03</v>
      </c>
      <c r="K4451" s="17" t="n">
        <v>3228254.03</v>
      </c>
      <c r="L4451" s="12" t="n">
        <v>0</v>
      </c>
      <c r="M4451" s="12" t="n">
        <v>0</v>
      </c>
      <c r="N4451" s="27">
        <f>F4451-J4451</f>
        <v/>
      </c>
      <c r="O4451" s="16">
        <f>I4451-H4451</f>
        <v/>
      </c>
      <c r="P4451" s="14">
        <f>F4451*G4451</f>
        <v/>
      </c>
      <c r="Q4451" s="14">
        <f>J4451*G4451</f>
        <v/>
      </c>
      <c r="R4451" s="14">
        <f>K4451-Q4451</f>
        <v/>
      </c>
      <c r="S4451" s="3">
        <f>P4451*Assumptions!$B$3/100</f>
        <v/>
      </c>
      <c r="T4451" s="14">
        <f>R4451-S4451</f>
        <v/>
      </c>
      <c r="U4451" s="14">
        <f>L4451*G4451</f>
        <v/>
      </c>
    </row>
    <row r="4452">
      <c r="A4452" s="12" t="inlineStr">
        <is>
          <t>PO-2023-4450</t>
        </is>
      </c>
      <c r="B4452" s="26" t="n">
        <v>44370</v>
      </c>
      <c r="C4452" s="12" t="inlineStr">
        <is>
          <t>VS03</t>
        </is>
      </c>
      <c r="D4452" s="12" t="inlineStr">
        <is>
          <t>MS Sheets</t>
        </is>
      </c>
      <c r="E4452" s="12" t="inlineStr">
        <is>
          <t>N</t>
        </is>
      </c>
      <c r="F4452" s="12" t="n">
        <v>33.56</v>
      </c>
      <c r="G4452" s="17" t="n">
        <v>92449.95</v>
      </c>
      <c r="H4452" s="26" t="n">
        <v>44380</v>
      </c>
      <c r="I4452" s="26" t="n">
        <v>44383</v>
      </c>
      <c r="J4452" s="12" t="n">
        <v>31.94</v>
      </c>
      <c r="K4452" s="17" t="n">
        <v>3102620.32</v>
      </c>
      <c r="L4452" s="12" t="n">
        <v>1.07</v>
      </c>
      <c r="M4452" s="12" t="n">
        <v>14</v>
      </c>
      <c r="N4452" s="27">
        <f>F4452-J4452</f>
        <v/>
      </c>
      <c r="O4452" s="16">
        <f>I4452-H4452</f>
        <v/>
      </c>
      <c r="P4452" s="14">
        <f>F4452*G4452</f>
        <v/>
      </c>
      <c r="Q4452" s="14">
        <f>J4452*G4452</f>
        <v/>
      </c>
      <c r="R4452" s="14">
        <f>K4452-Q4452</f>
        <v/>
      </c>
      <c r="S4452" s="3">
        <f>P4452*Assumptions!$B$3/100</f>
        <v/>
      </c>
      <c r="T4452" s="14">
        <f>R4452-S4452</f>
        <v/>
      </c>
      <c r="U4452" s="14">
        <f>L4452*G4452</f>
        <v/>
      </c>
    </row>
    <row r="4453">
      <c r="A4453" s="12" t="inlineStr">
        <is>
          <t>PO-2023-4451</t>
        </is>
      </c>
      <c r="B4453" s="26" t="n">
        <v>44440</v>
      </c>
      <c r="C4453" s="12" t="inlineStr">
        <is>
          <t>VS07</t>
        </is>
      </c>
      <c r="D4453" s="12" t="inlineStr">
        <is>
          <t>MS Flats</t>
        </is>
      </c>
      <c r="E4453" s="12" t="inlineStr">
        <is>
          <t>N</t>
        </is>
      </c>
      <c r="F4453" s="12" t="n">
        <v>1.77</v>
      </c>
      <c r="G4453" s="17" t="n">
        <v>56030.8</v>
      </c>
      <c r="H4453" s="26" t="n">
        <v>44452</v>
      </c>
      <c r="I4453" s="26" t="n">
        <v>44452</v>
      </c>
      <c r="J4453" s="12" t="n">
        <v>1.76</v>
      </c>
      <c r="K4453" s="17" t="n">
        <v>99174.52</v>
      </c>
      <c r="L4453" s="12" t="n">
        <v>0</v>
      </c>
      <c r="M4453" s="12" t="n">
        <v>5</v>
      </c>
      <c r="N4453" s="27">
        <f>F4453-J4453</f>
        <v/>
      </c>
      <c r="O4453" s="16">
        <f>I4453-H4453</f>
        <v/>
      </c>
      <c r="P4453" s="14">
        <f>F4453*G4453</f>
        <v/>
      </c>
      <c r="Q4453" s="14">
        <f>J4453*G4453</f>
        <v/>
      </c>
      <c r="R4453" s="14">
        <f>K4453-Q4453</f>
        <v/>
      </c>
      <c r="S4453" s="3">
        <f>P4453*Assumptions!$B$3/100</f>
        <v/>
      </c>
      <c r="T4453" s="14">
        <f>R4453-S4453</f>
        <v/>
      </c>
      <c r="U4453" s="14">
        <f>L4453*G4453</f>
        <v/>
      </c>
    </row>
    <row r="4454">
      <c r="A4454" s="12" t="inlineStr">
        <is>
          <t>PO-2023-4452</t>
        </is>
      </c>
      <c r="B4454" s="26" t="n">
        <v>44431</v>
      </c>
      <c r="C4454" s="12" t="inlineStr">
        <is>
          <t>VS30</t>
        </is>
      </c>
      <c r="D4454" s="12" t="inlineStr">
        <is>
          <t>Square/Rect Tubes</t>
        </is>
      </c>
      <c r="E4454" s="12" t="inlineStr">
        <is>
          <t>Y</t>
        </is>
      </c>
      <c r="F4454" s="12" t="n">
        <v>20.1</v>
      </c>
      <c r="G4454" s="17" t="n">
        <v>103669.44</v>
      </c>
      <c r="H4454" s="26" t="n">
        <v>44439</v>
      </c>
      <c r="I4454" s="26" t="n">
        <v>44441</v>
      </c>
      <c r="J4454" s="12" t="n">
        <v>20.06</v>
      </c>
      <c r="K4454" s="17" t="n">
        <v>2083755.74</v>
      </c>
      <c r="L4454" s="12" t="n">
        <v>0</v>
      </c>
      <c r="M4454" s="12" t="n">
        <v>13</v>
      </c>
      <c r="N4454" s="27">
        <f>F4454-J4454</f>
        <v/>
      </c>
      <c r="O4454" s="16">
        <f>I4454-H4454</f>
        <v/>
      </c>
      <c r="P4454" s="14">
        <f>F4454*G4454</f>
        <v/>
      </c>
      <c r="Q4454" s="14">
        <f>J4454*G4454</f>
        <v/>
      </c>
      <c r="R4454" s="14">
        <f>K4454-Q4454</f>
        <v/>
      </c>
      <c r="S4454" s="3">
        <f>P4454*Assumptions!$B$3/100</f>
        <v/>
      </c>
      <c r="T4454" s="14">
        <f>R4454-S4454</f>
        <v/>
      </c>
      <c r="U4454" s="14">
        <f>L4454*G4454</f>
        <v/>
      </c>
    </row>
    <row r="4455">
      <c r="A4455" s="12" t="inlineStr">
        <is>
          <t>PO-2023-4453</t>
        </is>
      </c>
      <c r="B4455" s="26" t="n">
        <v>44328</v>
      </c>
      <c r="C4455" s="12" t="inlineStr">
        <is>
          <t>VS29</t>
        </is>
      </c>
      <c r="D4455" s="12" t="inlineStr">
        <is>
          <t>GI Sheets</t>
        </is>
      </c>
      <c r="E4455" s="12" t="inlineStr">
        <is>
          <t>N</t>
        </is>
      </c>
      <c r="F4455" s="12" t="n">
        <v>43</v>
      </c>
      <c r="G4455" s="17" t="n">
        <v>83192.52</v>
      </c>
      <c r="H4455" s="26" t="n">
        <v>44337</v>
      </c>
      <c r="I4455" s="26" t="n">
        <v>44337</v>
      </c>
      <c r="J4455" s="12" t="n">
        <v>42.63</v>
      </c>
      <c r="K4455" s="17" t="n">
        <v>3577278.36</v>
      </c>
      <c r="L4455" s="12" t="n">
        <v>0</v>
      </c>
      <c r="M4455" s="12" t="n">
        <v>16</v>
      </c>
      <c r="N4455" s="27">
        <f>F4455-J4455</f>
        <v/>
      </c>
      <c r="O4455" s="16">
        <f>I4455-H4455</f>
        <v/>
      </c>
      <c r="P4455" s="14">
        <f>F4455*G4455</f>
        <v/>
      </c>
      <c r="Q4455" s="14">
        <f>J4455*G4455</f>
        <v/>
      </c>
      <c r="R4455" s="14">
        <f>K4455-Q4455</f>
        <v/>
      </c>
      <c r="S4455" s="3">
        <f>P4455*Assumptions!$B$3/100</f>
        <v/>
      </c>
      <c r="T4455" s="14">
        <f>R4455-S4455</f>
        <v/>
      </c>
      <c r="U4455" s="14">
        <f>L4455*G4455</f>
        <v/>
      </c>
    </row>
    <row r="4456">
      <c r="A4456" s="12" t="inlineStr">
        <is>
          <t>PO-2023-4454</t>
        </is>
      </c>
      <c r="B4456" s="26" t="n">
        <v>44486</v>
      </c>
      <c r="C4456" s="12" t="inlineStr">
        <is>
          <t>VS06</t>
        </is>
      </c>
      <c r="D4456" s="12" t="inlineStr">
        <is>
          <t>GI Pipes</t>
        </is>
      </c>
      <c r="E4456" s="12" t="inlineStr">
        <is>
          <t>N</t>
        </is>
      </c>
      <c r="F4456" s="12" t="n">
        <v>36.83</v>
      </c>
      <c r="G4456" s="17" t="n">
        <v>81687.88</v>
      </c>
      <c r="H4456" s="26" t="n">
        <v>44498</v>
      </c>
      <c r="I4456" s="26" t="n">
        <v>44500</v>
      </c>
      <c r="J4456" s="12" t="n">
        <v>36.55</v>
      </c>
      <c r="K4456" s="17" t="n">
        <v>3008564.62</v>
      </c>
      <c r="L4456" s="12" t="n">
        <v>0</v>
      </c>
      <c r="M4456" s="12" t="n">
        <v>0</v>
      </c>
      <c r="N4456" s="27">
        <f>F4456-J4456</f>
        <v/>
      </c>
      <c r="O4456" s="16">
        <f>I4456-H4456</f>
        <v/>
      </c>
      <c r="P4456" s="14">
        <f>F4456*G4456</f>
        <v/>
      </c>
      <c r="Q4456" s="14">
        <f>J4456*G4456</f>
        <v/>
      </c>
      <c r="R4456" s="14">
        <f>K4456-Q4456</f>
        <v/>
      </c>
      <c r="S4456" s="3">
        <f>P4456*Assumptions!$B$3/100</f>
        <v/>
      </c>
      <c r="T4456" s="14">
        <f>R4456-S4456</f>
        <v/>
      </c>
      <c r="U4456" s="14">
        <f>L4456*G4456</f>
        <v/>
      </c>
    </row>
    <row r="4457">
      <c r="A4457" s="12" t="inlineStr">
        <is>
          <t>PO-2023-4455</t>
        </is>
      </c>
      <c r="B4457" s="26" t="n">
        <v>44515</v>
      </c>
      <c r="C4457" s="12" t="inlineStr">
        <is>
          <t>VS11</t>
        </is>
      </c>
      <c r="D4457" s="12" t="inlineStr">
        <is>
          <t>ERW Pipes</t>
        </is>
      </c>
      <c r="E4457" s="12" t="inlineStr">
        <is>
          <t>N</t>
        </is>
      </c>
      <c r="F4457" s="12" t="n">
        <v>30.09</v>
      </c>
      <c r="G4457" s="17" t="n">
        <v>63463.92</v>
      </c>
      <c r="H4457" s="26" t="n">
        <v>44527</v>
      </c>
      <c r="I4457" s="26" t="n">
        <v>44528</v>
      </c>
      <c r="J4457" s="12" t="n">
        <v>30.02</v>
      </c>
      <c r="K4457" s="17" t="n">
        <v>1909629.35</v>
      </c>
      <c r="L4457" s="12" t="n">
        <v>0</v>
      </c>
      <c r="M4457" s="12" t="n">
        <v>0</v>
      </c>
      <c r="N4457" s="27">
        <f>F4457-J4457</f>
        <v/>
      </c>
      <c r="O4457" s="16">
        <f>I4457-H4457</f>
        <v/>
      </c>
      <c r="P4457" s="14">
        <f>F4457*G4457</f>
        <v/>
      </c>
      <c r="Q4457" s="14">
        <f>J4457*G4457</f>
        <v/>
      </c>
      <c r="R4457" s="14">
        <f>K4457-Q4457</f>
        <v/>
      </c>
      <c r="S4457" s="3">
        <f>P4457*Assumptions!$B$3/100</f>
        <v/>
      </c>
      <c r="T4457" s="14">
        <f>R4457-S4457</f>
        <v/>
      </c>
      <c r="U4457" s="14">
        <f>L4457*G4457</f>
        <v/>
      </c>
    </row>
    <row r="4458">
      <c r="A4458" s="12" t="inlineStr">
        <is>
          <t>PO-2023-4456</t>
        </is>
      </c>
      <c r="B4458" s="26" t="n">
        <v>44351</v>
      </c>
      <c r="C4458" s="12" t="inlineStr">
        <is>
          <t>VS21</t>
        </is>
      </c>
      <c r="D4458" s="12" t="inlineStr">
        <is>
          <t>Fasteners &amp; Fittings</t>
        </is>
      </c>
      <c r="E4458" s="12" t="inlineStr">
        <is>
          <t>N</t>
        </is>
      </c>
      <c r="F4458" s="12" t="n">
        <v>11.67</v>
      </c>
      <c r="G4458" s="17" t="n">
        <v>79538.21000000001</v>
      </c>
      <c r="H4458" s="26" t="n">
        <v>44366</v>
      </c>
      <c r="I4458" s="26" t="n">
        <v>44368</v>
      </c>
      <c r="J4458" s="12" t="n">
        <v>11.56</v>
      </c>
      <c r="K4458" s="17" t="n">
        <v>928210.91</v>
      </c>
      <c r="L4458" s="12" t="n">
        <v>0</v>
      </c>
      <c r="M4458" s="12" t="n">
        <v>11</v>
      </c>
      <c r="N4458" s="27">
        <f>F4458-J4458</f>
        <v/>
      </c>
      <c r="O4458" s="16">
        <f>I4458-H4458</f>
        <v/>
      </c>
      <c r="P4458" s="14">
        <f>F4458*G4458</f>
        <v/>
      </c>
      <c r="Q4458" s="14">
        <f>J4458*G4458</f>
        <v/>
      </c>
      <c r="R4458" s="14">
        <f>K4458-Q4458</f>
        <v/>
      </c>
      <c r="S4458" s="3">
        <f>P4458*Assumptions!$B$3/100</f>
        <v/>
      </c>
      <c r="T4458" s="14">
        <f>R4458-S4458</f>
        <v/>
      </c>
      <c r="U4458" s="14">
        <f>L4458*G4458</f>
        <v/>
      </c>
    </row>
    <row r="4459">
      <c r="A4459" s="12" t="inlineStr">
        <is>
          <t>PO-2023-4457</t>
        </is>
      </c>
      <c r="B4459" s="26" t="n">
        <v>45188</v>
      </c>
      <c r="C4459" s="12" t="inlineStr">
        <is>
          <t>VS08</t>
        </is>
      </c>
      <c r="D4459" s="12" t="inlineStr">
        <is>
          <t>MS Pipes</t>
        </is>
      </c>
      <c r="E4459" s="12" t="inlineStr">
        <is>
          <t>N</t>
        </is>
      </c>
      <c r="F4459" s="12" t="n">
        <v>18.59</v>
      </c>
      <c r="G4459" s="17" t="n">
        <v>87366</v>
      </c>
      <c r="H4459" s="26" t="n">
        <v>45201</v>
      </c>
      <c r="I4459" s="26" t="n">
        <v>45201</v>
      </c>
      <c r="J4459" s="12" t="n">
        <v>18.53</v>
      </c>
      <c r="K4459" s="17" t="n">
        <v>1624133.94</v>
      </c>
      <c r="L4459" s="12" t="n">
        <v>0</v>
      </c>
      <c r="M4459" s="12" t="n">
        <v>2</v>
      </c>
      <c r="N4459" s="27">
        <f>F4459-J4459</f>
        <v/>
      </c>
      <c r="O4459" s="16">
        <f>I4459-H4459</f>
        <v/>
      </c>
      <c r="P4459" s="14">
        <f>F4459*G4459</f>
        <v/>
      </c>
      <c r="Q4459" s="14">
        <f>J4459*G4459</f>
        <v/>
      </c>
      <c r="R4459" s="14">
        <f>K4459-Q4459</f>
        <v/>
      </c>
      <c r="S4459" s="3">
        <f>P4459*Assumptions!$B$3/100</f>
        <v/>
      </c>
      <c r="T4459" s="14">
        <f>R4459-S4459</f>
        <v/>
      </c>
      <c r="U4459" s="14">
        <f>L4459*G4459</f>
        <v/>
      </c>
    </row>
    <row r="4460">
      <c r="A4460" s="12" t="inlineStr">
        <is>
          <t>PO-2023-4458</t>
        </is>
      </c>
      <c r="B4460" s="26" t="n">
        <v>45121</v>
      </c>
      <c r="C4460" s="12" t="inlineStr">
        <is>
          <t>VS32</t>
        </is>
      </c>
      <c r="D4460" s="12" t="inlineStr">
        <is>
          <t>MS Pipes</t>
        </is>
      </c>
      <c r="E4460" s="12" t="inlineStr">
        <is>
          <t>N</t>
        </is>
      </c>
      <c r="F4460" s="12" t="n">
        <v>22.66</v>
      </c>
      <c r="G4460" s="17" t="n">
        <v>66901.31</v>
      </c>
      <c r="H4460" s="26" t="n">
        <v>45133</v>
      </c>
      <c r="I4460" s="26" t="n">
        <v>45135</v>
      </c>
      <c r="J4460" s="12" t="n">
        <v>22.64</v>
      </c>
      <c r="K4460" s="17" t="n">
        <v>1515983.68</v>
      </c>
      <c r="L4460" s="12" t="n">
        <v>0</v>
      </c>
      <c r="M4460" s="12" t="n">
        <v>3</v>
      </c>
      <c r="N4460" s="27">
        <f>F4460-J4460</f>
        <v/>
      </c>
      <c r="O4460" s="16">
        <f>I4460-H4460</f>
        <v/>
      </c>
      <c r="P4460" s="14">
        <f>F4460*G4460</f>
        <v/>
      </c>
      <c r="Q4460" s="14">
        <f>J4460*G4460</f>
        <v/>
      </c>
      <c r="R4460" s="14">
        <f>K4460-Q4460</f>
        <v/>
      </c>
      <c r="S4460" s="3">
        <f>P4460*Assumptions!$B$3/100</f>
        <v/>
      </c>
      <c r="T4460" s="14">
        <f>R4460-S4460</f>
        <v/>
      </c>
      <c r="U4460" s="14">
        <f>L4460*G4460</f>
        <v/>
      </c>
    </row>
    <row r="4461">
      <c r="A4461" s="12" t="inlineStr">
        <is>
          <t>PO-2023-4459</t>
        </is>
      </c>
      <c r="B4461" s="26" t="n">
        <v>44362</v>
      </c>
      <c r="C4461" s="12" t="inlineStr">
        <is>
          <t>VS24</t>
        </is>
      </c>
      <c r="D4461" s="12" t="inlineStr">
        <is>
          <t>GI Sheets</t>
        </is>
      </c>
      <c r="E4461" s="12" t="inlineStr">
        <is>
          <t>N</t>
        </is>
      </c>
      <c r="F4461" s="12" t="n">
        <v>3.77</v>
      </c>
      <c r="G4461" s="17" t="n">
        <v>65562.3</v>
      </c>
      <c r="H4461" s="26" t="n">
        <v>44365</v>
      </c>
      <c r="I4461" s="26" t="n">
        <v>44365</v>
      </c>
      <c r="J4461" s="12" t="n">
        <v>3.74</v>
      </c>
      <c r="K4461" s="17" t="n">
        <v>247169.87</v>
      </c>
      <c r="L4461" s="12" t="n">
        <v>0</v>
      </c>
      <c r="M4461" s="12" t="n">
        <v>0</v>
      </c>
      <c r="N4461" s="27">
        <f>F4461-J4461</f>
        <v/>
      </c>
      <c r="O4461" s="16">
        <f>I4461-H4461</f>
        <v/>
      </c>
      <c r="P4461" s="14">
        <f>F4461*G4461</f>
        <v/>
      </c>
      <c r="Q4461" s="14">
        <f>J4461*G4461</f>
        <v/>
      </c>
      <c r="R4461" s="14">
        <f>K4461-Q4461</f>
        <v/>
      </c>
      <c r="S4461" s="3">
        <f>P4461*Assumptions!$B$3/100</f>
        <v/>
      </c>
      <c r="T4461" s="14">
        <f>R4461-S4461</f>
        <v/>
      </c>
      <c r="U4461" s="14">
        <f>L4461*G4461</f>
        <v/>
      </c>
    </row>
    <row r="4462">
      <c r="A4462" s="12" t="inlineStr">
        <is>
          <t>PO-2023-4460</t>
        </is>
      </c>
      <c r="B4462" s="26" t="n">
        <v>44218</v>
      </c>
      <c r="C4462" s="12" t="inlineStr">
        <is>
          <t>VS12</t>
        </is>
      </c>
      <c r="D4462" s="12" t="inlineStr">
        <is>
          <t>MS Pipes</t>
        </is>
      </c>
      <c r="E4462" s="12" t="inlineStr">
        <is>
          <t>N</t>
        </is>
      </c>
      <c r="F4462" s="12" t="n">
        <v>7.42</v>
      </c>
      <c r="G4462" s="17" t="n">
        <v>97203.75</v>
      </c>
      <c r="H4462" s="26" t="n">
        <v>44232</v>
      </c>
      <c r="I4462" s="26" t="n">
        <v>44238</v>
      </c>
      <c r="J4462" s="12" t="n">
        <v>7.24</v>
      </c>
      <c r="K4462" s="17" t="n">
        <v>721251.8199999999</v>
      </c>
      <c r="L4462" s="12" t="n">
        <v>0.15</v>
      </c>
      <c r="M4462" s="12" t="n">
        <v>22</v>
      </c>
      <c r="N4462" s="27">
        <f>F4462-J4462</f>
        <v/>
      </c>
      <c r="O4462" s="16">
        <f>I4462-H4462</f>
        <v/>
      </c>
      <c r="P4462" s="14">
        <f>F4462*G4462</f>
        <v/>
      </c>
      <c r="Q4462" s="14">
        <f>J4462*G4462</f>
        <v/>
      </c>
      <c r="R4462" s="14">
        <f>K4462-Q4462</f>
        <v/>
      </c>
      <c r="S4462" s="3">
        <f>P4462*Assumptions!$B$3/100</f>
        <v/>
      </c>
      <c r="T4462" s="14">
        <f>R4462-S4462</f>
        <v/>
      </c>
      <c r="U4462" s="14">
        <f>L4462*G4462</f>
        <v/>
      </c>
    </row>
    <row r="4463">
      <c r="A4463" s="12" t="inlineStr">
        <is>
          <t>PO-2023-4461</t>
        </is>
      </c>
      <c r="B4463" s="26" t="n">
        <v>45263</v>
      </c>
      <c r="C4463" s="12" t="inlineStr">
        <is>
          <t>VS16</t>
        </is>
      </c>
      <c r="D4463" s="12" t="inlineStr">
        <is>
          <t>Spring Steel</t>
        </is>
      </c>
      <c r="E4463" s="12" t="inlineStr">
        <is>
          <t>N</t>
        </is>
      </c>
      <c r="F4463" s="12" t="n">
        <v>25.22</v>
      </c>
      <c r="G4463" s="17" t="n">
        <v>90968.84</v>
      </c>
      <c r="H4463" s="26" t="n">
        <v>45269</v>
      </c>
      <c r="I4463" s="26" t="n">
        <v>45269</v>
      </c>
      <c r="J4463" s="12" t="n">
        <v>25.03</v>
      </c>
      <c r="K4463" s="17" t="n">
        <v>2294234.14</v>
      </c>
      <c r="L4463" s="12" t="n">
        <v>0</v>
      </c>
      <c r="M4463" s="12" t="n">
        <v>16</v>
      </c>
      <c r="N4463" s="27">
        <f>F4463-J4463</f>
        <v/>
      </c>
      <c r="O4463" s="16">
        <f>I4463-H4463</f>
        <v/>
      </c>
      <c r="P4463" s="14">
        <f>F4463*G4463</f>
        <v/>
      </c>
      <c r="Q4463" s="14">
        <f>J4463*G4463</f>
        <v/>
      </c>
      <c r="R4463" s="14">
        <f>K4463-Q4463</f>
        <v/>
      </c>
      <c r="S4463" s="3">
        <f>P4463*Assumptions!$B$3/100</f>
        <v/>
      </c>
      <c r="T4463" s="14">
        <f>R4463-S4463</f>
        <v/>
      </c>
      <c r="U4463" s="14">
        <f>L4463*G4463</f>
        <v/>
      </c>
    </row>
    <row r="4464">
      <c r="A4464" s="12" t="inlineStr">
        <is>
          <t>PO-2023-4462</t>
        </is>
      </c>
      <c r="B4464" s="26" t="n">
        <v>44831</v>
      </c>
      <c r="C4464" s="12" t="inlineStr">
        <is>
          <t>VS23</t>
        </is>
      </c>
      <c r="D4464" s="12" t="inlineStr">
        <is>
          <t>GI Pipes</t>
        </is>
      </c>
      <c r="E4464" s="12" t="inlineStr">
        <is>
          <t>N</t>
        </is>
      </c>
      <c r="F4464" s="12" t="n">
        <v>9.33</v>
      </c>
      <c r="G4464" s="17" t="n">
        <v>68715.63</v>
      </c>
      <c r="H4464" s="26" t="n">
        <v>44840</v>
      </c>
      <c r="I4464" s="26" t="n">
        <v>44841</v>
      </c>
      <c r="J4464" s="12" t="n">
        <v>9.289999999999999</v>
      </c>
      <c r="K4464" s="17" t="n">
        <v>641116.83</v>
      </c>
      <c r="L4464" s="12" t="n">
        <v>0</v>
      </c>
      <c r="M4464" s="12" t="n">
        <v>23</v>
      </c>
      <c r="N4464" s="27">
        <f>F4464-J4464</f>
        <v/>
      </c>
      <c r="O4464" s="16">
        <f>I4464-H4464</f>
        <v/>
      </c>
      <c r="P4464" s="14">
        <f>F4464*G4464</f>
        <v/>
      </c>
      <c r="Q4464" s="14">
        <f>J4464*G4464</f>
        <v/>
      </c>
      <c r="R4464" s="14">
        <f>K4464-Q4464</f>
        <v/>
      </c>
      <c r="S4464" s="3">
        <f>P4464*Assumptions!$B$3/100</f>
        <v/>
      </c>
      <c r="T4464" s="14">
        <f>R4464-S4464</f>
        <v/>
      </c>
      <c r="U4464" s="14">
        <f>L4464*G4464</f>
        <v/>
      </c>
    </row>
    <row r="4465">
      <c r="A4465" s="12" t="inlineStr">
        <is>
          <t>PO-2023-4463</t>
        </is>
      </c>
      <c r="B4465" s="26" t="n">
        <v>45123</v>
      </c>
      <c r="C4465" s="12" t="inlineStr">
        <is>
          <t>VS26</t>
        </is>
      </c>
      <c r="D4465" s="12" t="inlineStr">
        <is>
          <t>GI Pipes</t>
        </is>
      </c>
      <c r="E4465" s="12" t="inlineStr">
        <is>
          <t>N</t>
        </is>
      </c>
      <c r="F4465" s="12" t="n">
        <v>12.65</v>
      </c>
      <c r="G4465" s="17" t="n">
        <v>103433.36</v>
      </c>
      <c r="H4465" s="26" t="n">
        <v>45130</v>
      </c>
      <c r="I4465" s="26" t="n">
        <v>45130</v>
      </c>
      <c r="J4465" s="12" t="n">
        <v>12.56</v>
      </c>
      <c r="K4465" s="17" t="n">
        <v>1308432</v>
      </c>
      <c r="L4465" s="12" t="n">
        <v>0</v>
      </c>
      <c r="M4465" s="12" t="n">
        <v>16</v>
      </c>
      <c r="N4465" s="27">
        <f>F4465-J4465</f>
        <v/>
      </c>
      <c r="O4465" s="16">
        <f>I4465-H4465</f>
        <v/>
      </c>
      <c r="P4465" s="14">
        <f>F4465*G4465</f>
        <v/>
      </c>
      <c r="Q4465" s="14">
        <f>J4465*G4465</f>
        <v/>
      </c>
      <c r="R4465" s="14">
        <f>K4465-Q4465</f>
        <v/>
      </c>
      <c r="S4465" s="3">
        <f>P4465*Assumptions!$B$3/100</f>
        <v/>
      </c>
      <c r="T4465" s="14">
        <f>R4465-S4465</f>
        <v/>
      </c>
      <c r="U4465" s="14">
        <f>L4465*G4465</f>
        <v/>
      </c>
    </row>
    <row r="4466">
      <c r="A4466" s="12" t="inlineStr">
        <is>
          <t>PO-2023-4464</t>
        </is>
      </c>
      <c r="B4466" s="26" t="n">
        <v>44214</v>
      </c>
      <c r="C4466" s="12" t="inlineStr">
        <is>
          <t>VS14</t>
        </is>
      </c>
      <c r="D4466" s="12" t="inlineStr">
        <is>
          <t>CR Sheets</t>
        </is>
      </c>
      <c r="E4466" s="12" t="inlineStr">
        <is>
          <t>N</t>
        </is>
      </c>
      <c r="F4466" s="12" t="n">
        <v>21</v>
      </c>
      <c r="G4466" s="17" t="n">
        <v>96733.03</v>
      </c>
      <c r="H4466" s="26" t="n">
        <v>44227</v>
      </c>
      <c r="I4466" s="26" t="n">
        <v>44229</v>
      </c>
      <c r="J4466" s="12" t="n">
        <v>20.81</v>
      </c>
      <c r="K4466" s="17" t="n">
        <v>2031393.63</v>
      </c>
      <c r="L4466" s="12" t="n">
        <v>0</v>
      </c>
      <c r="M4466" s="12" t="n">
        <v>14</v>
      </c>
      <c r="N4466" s="27">
        <f>F4466-J4466</f>
        <v/>
      </c>
      <c r="O4466" s="16">
        <f>I4466-H4466</f>
        <v/>
      </c>
      <c r="P4466" s="14">
        <f>F4466*G4466</f>
        <v/>
      </c>
      <c r="Q4466" s="14">
        <f>J4466*G4466</f>
        <v/>
      </c>
      <c r="R4466" s="14">
        <f>K4466-Q4466</f>
        <v/>
      </c>
      <c r="S4466" s="3">
        <f>P4466*Assumptions!$B$3/100</f>
        <v/>
      </c>
      <c r="T4466" s="14">
        <f>R4466-S4466</f>
        <v/>
      </c>
      <c r="U4466" s="14">
        <f>L4466*G4466</f>
        <v/>
      </c>
    </row>
    <row r="4467">
      <c r="A4467" s="12" t="inlineStr">
        <is>
          <t>PO-2023-4465</t>
        </is>
      </c>
      <c r="B4467" s="26" t="n">
        <v>44909</v>
      </c>
      <c r="C4467" s="12" t="inlineStr">
        <is>
          <t>VS20</t>
        </is>
      </c>
      <c r="D4467" s="12" t="inlineStr">
        <is>
          <t>SS Pipes</t>
        </is>
      </c>
      <c r="E4467" s="12" t="inlineStr">
        <is>
          <t>N</t>
        </is>
      </c>
      <c r="F4467" s="12" t="n">
        <v>27.29</v>
      </c>
      <c r="G4467" s="17" t="n">
        <v>99270.10000000001</v>
      </c>
      <c r="H4467" s="26" t="n">
        <v>44915</v>
      </c>
      <c r="I4467" s="26" t="n">
        <v>44916</v>
      </c>
      <c r="J4467" s="12" t="n">
        <v>27.02</v>
      </c>
      <c r="K4467" s="17" t="n">
        <v>2709081.03</v>
      </c>
      <c r="L4467" s="12" t="n">
        <v>0</v>
      </c>
      <c r="M4467" s="12" t="n">
        <v>4</v>
      </c>
      <c r="N4467" s="27">
        <f>F4467-J4467</f>
        <v/>
      </c>
      <c r="O4467" s="16">
        <f>I4467-H4467</f>
        <v/>
      </c>
      <c r="P4467" s="14">
        <f>F4467*G4467</f>
        <v/>
      </c>
      <c r="Q4467" s="14">
        <f>J4467*G4467</f>
        <v/>
      </c>
      <c r="R4467" s="14">
        <f>K4467-Q4467</f>
        <v/>
      </c>
      <c r="S4467" s="3">
        <f>P4467*Assumptions!$B$3/100</f>
        <v/>
      </c>
      <c r="T4467" s="14">
        <f>R4467-S4467</f>
        <v/>
      </c>
      <c r="U4467" s="14">
        <f>L4467*G4467</f>
        <v/>
      </c>
    </row>
    <row r="4468">
      <c r="A4468" s="12" t="inlineStr">
        <is>
          <t>PO-2023-4466</t>
        </is>
      </c>
      <c r="B4468" s="26" t="n">
        <v>45065</v>
      </c>
      <c r="C4468" s="12" t="inlineStr">
        <is>
          <t>VS33</t>
        </is>
      </c>
      <c r="D4468" s="12" t="inlineStr">
        <is>
          <t>ERW Pipes</t>
        </is>
      </c>
      <c r="E4468" s="12" t="inlineStr">
        <is>
          <t>Y</t>
        </is>
      </c>
      <c r="F4468" s="12" t="n">
        <v>3.19</v>
      </c>
      <c r="G4468" s="17" t="n">
        <v>111649.94</v>
      </c>
      <c r="H4468" s="26" t="n">
        <v>45076</v>
      </c>
      <c r="I4468" s="26" t="n">
        <v>45077</v>
      </c>
      <c r="J4468" s="12" t="n">
        <v>3.18</v>
      </c>
      <c r="K4468" s="17" t="n">
        <v>356163.31</v>
      </c>
      <c r="L4468" s="12" t="n">
        <v>0</v>
      </c>
      <c r="M4468" s="12" t="n">
        <v>1</v>
      </c>
      <c r="N4468" s="27">
        <f>F4468-J4468</f>
        <v/>
      </c>
      <c r="O4468" s="16">
        <f>I4468-H4468</f>
        <v/>
      </c>
      <c r="P4468" s="14">
        <f>F4468*G4468</f>
        <v/>
      </c>
      <c r="Q4468" s="14">
        <f>J4468*G4468</f>
        <v/>
      </c>
      <c r="R4468" s="14">
        <f>K4468-Q4468</f>
        <v/>
      </c>
      <c r="S4468" s="3">
        <f>P4468*Assumptions!$B$3/100</f>
        <v/>
      </c>
      <c r="T4468" s="14">
        <f>R4468-S4468</f>
        <v/>
      </c>
      <c r="U4468" s="14">
        <f>L4468*G4468</f>
        <v/>
      </c>
    </row>
    <row r="4469">
      <c r="A4469" s="12" t="inlineStr">
        <is>
          <t>PO-2023-4467</t>
        </is>
      </c>
      <c r="B4469" s="26" t="n">
        <v>44467</v>
      </c>
      <c r="C4469" s="12" t="inlineStr">
        <is>
          <t>VS29</t>
        </is>
      </c>
      <c r="D4469" s="12" t="inlineStr">
        <is>
          <t>MS Sheets</t>
        </is>
      </c>
      <c r="E4469" s="12" t="inlineStr">
        <is>
          <t>N</t>
        </is>
      </c>
      <c r="F4469" s="12" t="n">
        <v>4.51</v>
      </c>
      <c r="G4469" s="17" t="n">
        <v>110351.07</v>
      </c>
      <c r="H4469" s="26" t="n">
        <v>44475</v>
      </c>
      <c r="I4469" s="26" t="n">
        <v>44475</v>
      </c>
      <c r="J4469" s="12" t="n">
        <v>4.51</v>
      </c>
      <c r="K4469" s="17" t="n">
        <v>497683.33</v>
      </c>
      <c r="L4469" s="12" t="n">
        <v>0</v>
      </c>
      <c r="M4469" s="12" t="n">
        <v>10</v>
      </c>
      <c r="N4469" s="27">
        <f>F4469-J4469</f>
        <v/>
      </c>
      <c r="O4469" s="16">
        <f>I4469-H4469</f>
        <v/>
      </c>
      <c r="P4469" s="14">
        <f>F4469*G4469</f>
        <v/>
      </c>
      <c r="Q4469" s="14">
        <f>J4469*G4469</f>
        <v/>
      </c>
      <c r="R4469" s="14">
        <f>K4469-Q4469</f>
        <v/>
      </c>
      <c r="S4469" s="3">
        <f>P4469*Assumptions!$B$3/100</f>
        <v/>
      </c>
      <c r="T4469" s="14">
        <f>R4469-S4469</f>
        <v/>
      </c>
      <c r="U4469" s="14">
        <f>L4469*G4469</f>
        <v/>
      </c>
    </row>
    <row r="4470">
      <c r="A4470" s="12" t="inlineStr">
        <is>
          <t>PO-2023-4468</t>
        </is>
      </c>
      <c r="B4470" s="26" t="n">
        <v>44402</v>
      </c>
      <c r="C4470" s="12" t="inlineStr">
        <is>
          <t>VS16</t>
        </is>
      </c>
      <c r="D4470" s="12" t="inlineStr">
        <is>
          <t>HR Coils</t>
        </is>
      </c>
      <c r="E4470" s="12" t="inlineStr">
        <is>
          <t>Y</t>
        </is>
      </c>
      <c r="F4470" s="12" t="n">
        <v>14.76</v>
      </c>
      <c r="G4470" s="17" t="n">
        <v>49507.98</v>
      </c>
      <c r="H4470" s="26" t="n">
        <v>44413</v>
      </c>
      <c r="I4470" s="26" t="n">
        <v>44416</v>
      </c>
      <c r="J4470" s="12" t="n">
        <v>14.76</v>
      </c>
      <c r="K4470" s="17" t="n">
        <v>730737.78</v>
      </c>
      <c r="L4470" s="12" t="n">
        <v>0</v>
      </c>
      <c r="M4470" s="12" t="n">
        <v>6</v>
      </c>
      <c r="N4470" s="27">
        <f>F4470-J4470</f>
        <v/>
      </c>
      <c r="O4470" s="16">
        <f>I4470-H4470</f>
        <v/>
      </c>
      <c r="P4470" s="14">
        <f>F4470*G4470</f>
        <v/>
      </c>
      <c r="Q4470" s="14">
        <f>J4470*G4470</f>
        <v/>
      </c>
      <c r="R4470" s="14">
        <f>K4470-Q4470</f>
        <v/>
      </c>
      <c r="S4470" s="3">
        <f>P4470*Assumptions!$B$3/100</f>
        <v/>
      </c>
      <c r="T4470" s="14">
        <f>R4470-S4470</f>
        <v/>
      </c>
      <c r="U4470" s="14">
        <f>L4470*G4470</f>
        <v/>
      </c>
    </row>
    <row r="4471">
      <c r="A4471" s="12" t="inlineStr">
        <is>
          <t>PO-2023-4469</t>
        </is>
      </c>
      <c r="B4471" s="26" t="n">
        <v>44832</v>
      </c>
      <c r="C4471" s="12" t="inlineStr">
        <is>
          <t>VS11</t>
        </is>
      </c>
      <c r="D4471" s="12" t="inlineStr">
        <is>
          <t>Square/Rect Tubes</t>
        </is>
      </c>
      <c r="E4471" s="12" t="inlineStr">
        <is>
          <t>N</t>
        </is>
      </c>
      <c r="F4471" s="12" t="n">
        <v>1.14</v>
      </c>
      <c r="G4471" s="17" t="n">
        <v>62626.61</v>
      </c>
      <c r="H4471" s="26" t="n">
        <v>44845</v>
      </c>
      <c r="I4471" s="26" t="n">
        <v>44848</v>
      </c>
      <c r="J4471" s="12" t="n">
        <v>1.14</v>
      </c>
      <c r="K4471" s="17" t="n">
        <v>71394.34</v>
      </c>
      <c r="L4471" s="12" t="n">
        <v>0</v>
      </c>
      <c r="M4471" s="12" t="n">
        <v>0</v>
      </c>
      <c r="N4471" s="27">
        <f>F4471-J4471</f>
        <v/>
      </c>
      <c r="O4471" s="16">
        <f>I4471-H4471</f>
        <v/>
      </c>
      <c r="P4471" s="14">
        <f>F4471*G4471</f>
        <v/>
      </c>
      <c r="Q4471" s="14">
        <f>J4471*G4471</f>
        <v/>
      </c>
      <c r="R4471" s="14">
        <f>K4471-Q4471</f>
        <v/>
      </c>
      <c r="S4471" s="3">
        <f>P4471*Assumptions!$B$3/100</f>
        <v/>
      </c>
      <c r="T4471" s="14">
        <f>R4471-S4471</f>
        <v/>
      </c>
      <c r="U4471" s="14">
        <f>L4471*G4471</f>
        <v/>
      </c>
    </row>
    <row r="4472">
      <c r="A4472" s="12" t="inlineStr">
        <is>
          <t>PO-2023-4470</t>
        </is>
      </c>
      <c r="B4472" s="26" t="n">
        <v>44543</v>
      </c>
      <c r="C4472" s="12" t="inlineStr">
        <is>
          <t>VS24</t>
        </is>
      </c>
      <c r="D4472" s="12" t="inlineStr">
        <is>
          <t>HR Coils</t>
        </is>
      </c>
      <c r="E4472" s="12" t="inlineStr">
        <is>
          <t>N</t>
        </is>
      </c>
      <c r="F4472" s="12" t="n">
        <v>9.52</v>
      </c>
      <c r="G4472" s="17" t="n">
        <v>102821.12</v>
      </c>
      <c r="H4472" s="26" t="n">
        <v>44557</v>
      </c>
      <c r="I4472" s="26" t="n">
        <v>44558</v>
      </c>
      <c r="J4472" s="12" t="n">
        <v>9.449999999999999</v>
      </c>
      <c r="K4472" s="17" t="n">
        <v>978857.0600000001</v>
      </c>
      <c r="L4472" s="12" t="n">
        <v>0</v>
      </c>
      <c r="M4472" s="12" t="n">
        <v>0</v>
      </c>
      <c r="N4472" s="27">
        <f>F4472-J4472</f>
        <v/>
      </c>
      <c r="O4472" s="16">
        <f>I4472-H4472</f>
        <v/>
      </c>
      <c r="P4472" s="14">
        <f>F4472*G4472</f>
        <v/>
      </c>
      <c r="Q4472" s="14">
        <f>J4472*G4472</f>
        <v/>
      </c>
      <c r="R4472" s="14">
        <f>K4472-Q4472</f>
        <v/>
      </c>
      <c r="S4472" s="3">
        <f>P4472*Assumptions!$B$3/100</f>
        <v/>
      </c>
      <c r="T4472" s="14">
        <f>R4472-S4472</f>
        <v/>
      </c>
      <c r="U4472" s="14">
        <f>L4472*G4472</f>
        <v/>
      </c>
    </row>
    <row r="4473">
      <c r="A4473" s="12" t="inlineStr">
        <is>
          <t>PO-2023-4471</t>
        </is>
      </c>
      <c r="B4473" s="26" t="n">
        <v>44600</v>
      </c>
      <c r="C4473" s="12" t="inlineStr">
        <is>
          <t>VS05</t>
        </is>
      </c>
      <c r="D4473" s="12" t="inlineStr">
        <is>
          <t>MS Rods</t>
        </is>
      </c>
      <c r="E4473" s="12" t="inlineStr">
        <is>
          <t>N</t>
        </is>
      </c>
      <c r="F4473" s="12" t="n">
        <v>26.63</v>
      </c>
      <c r="G4473" s="17" t="n">
        <v>99274.86</v>
      </c>
      <c r="H4473" s="26" t="n">
        <v>44613</v>
      </c>
      <c r="I4473" s="26" t="n">
        <v>44614</v>
      </c>
      <c r="J4473" s="12" t="n">
        <v>26.51</v>
      </c>
      <c r="K4473" s="17" t="n">
        <v>2643689.52</v>
      </c>
      <c r="L4473" s="12" t="n">
        <v>0</v>
      </c>
      <c r="M4473" s="12" t="n">
        <v>14</v>
      </c>
      <c r="N4473" s="27">
        <f>F4473-J4473</f>
        <v/>
      </c>
      <c r="O4473" s="16">
        <f>I4473-H4473</f>
        <v/>
      </c>
      <c r="P4473" s="14">
        <f>F4473*G4473</f>
        <v/>
      </c>
      <c r="Q4473" s="14">
        <f>J4473*G4473</f>
        <v/>
      </c>
      <c r="R4473" s="14">
        <f>K4473-Q4473</f>
        <v/>
      </c>
      <c r="S4473" s="3">
        <f>P4473*Assumptions!$B$3/100</f>
        <v/>
      </c>
      <c r="T4473" s="14">
        <f>R4473-S4473</f>
        <v/>
      </c>
      <c r="U4473" s="14">
        <f>L4473*G4473</f>
        <v/>
      </c>
    </row>
    <row r="4474">
      <c r="A4474" s="12" t="inlineStr">
        <is>
          <t>PO-2023-4472</t>
        </is>
      </c>
      <c r="B4474" s="26" t="n">
        <v>45038</v>
      </c>
      <c r="C4474" s="12" t="inlineStr">
        <is>
          <t>VS15</t>
        </is>
      </c>
      <c r="D4474" s="12" t="inlineStr">
        <is>
          <t>GI Wire</t>
        </is>
      </c>
      <c r="E4474" s="12" t="inlineStr">
        <is>
          <t>N</t>
        </is>
      </c>
      <c r="F4474" s="12" t="n">
        <v>42.21</v>
      </c>
      <c r="G4474" s="17" t="n">
        <v>62816.93</v>
      </c>
      <c r="H4474" s="26" t="n">
        <v>45050</v>
      </c>
      <c r="I4474" s="26" t="n">
        <v>45053</v>
      </c>
      <c r="J4474" s="12" t="n">
        <v>41.94</v>
      </c>
      <c r="K4474" s="17" t="n">
        <v>2651502.62</v>
      </c>
      <c r="L4474" s="12" t="n">
        <v>0</v>
      </c>
      <c r="M4474" s="12" t="n">
        <v>0</v>
      </c>
      <c r="N4474" s="27">
        <f>F4474-J4474</f>
        <v/>
      </c>
      <c r="O4474" s="16">
        <f>I4474-H4474</f>
        <v/>
      </c>
      <c r="P4474" s="14">
        <f>F4474*G4474</f>
        <v/>
      </c>
      <c r="Q4474" s="14">
        <f>J4474*G4474</f>
        <v/>
      </c>
      <c r="R4474" s="14">
        <f>K4474-Q4474</f>
        <v/>
      </c>
      <c r="S4474" s="3">
        <f>P4474*Assumptions!$B$3/100</f>
        <v/>
      </c>
      <c r="T4474" s="14">
        <f>R4474-S4474</f>
        <v/>
      </c>
      <c r="U4474" s="14">
        <f>L4474*G4474</f>
        <v/>
      </c>
    </row>
    <row r="4475">
      <c r="A4475" s="12" t="inlineStr">
        <is>
          <t>PO-2023-4473</t>
        </is>
      </c>
      <c r="B4475" s="26" t="n">
        <v>44373</v>
      </c>
      <c r="C4475" s="12" t="inlineStr">
        <is>
          <t>VS31</t>
        </is>
      </c>
      <c r="D4475" s="12" t="inlineStr">
        <is>
          <t>HR Coils</t>
        </is>
      </c>
      <c r="E4475" s="12" t="inlineStr">
        <is>
          <t>N</t>
        </is>
      </c>
      <c r="F4475" s="12" t="n">
        <v>37.18</v>
      </c>
      <c r="G4475" s="17" t="n">
        <v>90017.45</v>
      </c>
      <c r="H4475" s="26" t="n">
        <v>44383</v>
      </c>
      <c r="I4475" s="26" t="n">
        <v>44385</v>
      </c>
      <c r="J4475" s="12" t="n">
        <v>37.14</v>
      </c>
      <c r="K4475" s="17" t="n">
        <v>3346848.79</v>
      </c>
      <c r="L4475" s="12" t="n">
        <v>0</v>
      </c>
      <c r="M4475" s="12" t="n">
        <v>16</v>
      </c>
      <c r="N4475" s="27">
        <f>F4475-J4475</f>
        <v/>
      </c>
      <c r="O4475" s="16">
        <f>I4475-H4475</f>
        <v/>
      </c>
      <c r="P4475" s="14">
        <f>F4475*G4475</f>
        <v/>
      </c>
      <c r="Q4475" s="14">
        <f>J4475*G4475</f>
        <v/>
      </c>
      <c r="R4475" s="14">
        <f>K4475-Q4475</f>
        <v/>
      </c>
      <c r="S4475" s="3">
        <f>P4475*Assumptions!$B$3/100</f>
        <v/>
      </c>
      <c r="T4475" s="14">
        <f>R4475-S4475</f>
        <v/>
      </c>
      <c r="U4475" s="14">
        <f>L4475*G4475</f>
        <v/>
      </c>
    </row>
    <row r="4476">
      <c r="A4476" s="12" t="inlineStr">
        <is>
          <t>PO-2023-4474</t>
        </is>
      </c>
      <c r="B4476" s="26" t="n">
        <v>45242</v>
      </c>
      <c r="C4476" s="12" t="inlineStr">
        <is>
          <t>VS20</t>
        </is>
      </c>
      <c r="D4476" s="12" t="inlineStr">
        <is>
          <t>Structural Steel</t>
        </is>
      </c>
      <c r="E4476" s="12" t="inlineStr">
        <is>
          <t>N</t>
        </is>
      </c>
      <c r="F4476" s="12" t="n">
        <v>21.99</v>
      </c>
      <c r="G4476" s="17" t="n">
        <v>58814.04</v>
      </c>
      <c r="H4476" s="26" t="n">
        <v>45245</v>
      </c>
      <c r="I4476" s="26" t="n">
        <v>45247</v>
      </c>
      <c r="J4476" s="12" t="n">
        <v>21.85</v>
      </c>
      <c r="K4476" s="17" t="n">
        <v>1293320.74</v>
      </c>
      <c r="L4476" s="12" t="n">
        <v>0</v>
      </c>
      <c r="M4476" s="12" t="n">
        <v>0</v>
      </c>
      <c r="N4476" s="27">
        <f>F4476-J4476</f>
        <v/>
      </c>
      <c r="O4476" s="16">
        <f>I4476-H4476</f>
        <v/>
      </c>
      <c r="P4476" s="14">
        <f>F4476*G4476</f>
        <v/>
      </c>
      <c r="Q4476" s="14">
        <f>J4476*G4476</f>
        <v/>
      </c>
      <c r="R4476" s="14">
        <f>K4476-Q4476</f>
        <v/>
      </c>
      <c r="S4476" s="3">
        <f>P4476*Assumptions!$B$3/100</f>
        <v/>
      </c>
      <c r="T4476" s="14">
        <f>R4476-S4476</f>
        <v/>
      </c>
      <c r="U4476" s="14">
        <f>L4476*G4476</f>
        <v/>
      </c>
    </row>
    <row r="4477">
      <c r="A4477" s="12" t="inlineStr">
        <is>
          <t>PO-2023-4475</t>
        </is>
      </c>
      <c r="B4477" s="26" t="n">
        <v>44244</v>
      </c>
      <c r="C4477" s="12" t="inlineStr">
        <is>
          <t>VS23</t>
        </is>
      </c>
      <c r="D4477" s="12" t="inlineStr">
        <is>
          <t>Square/Rect Tubes</t>
        </is>
      </c>
      <c r="E4477" s="12" t="inlineStr">
        <is>
          <t>N</t>
        </is>
      </c>
      <c r="F4477" s="12" t="n">
        <v>4.96</v>
      </c>
      <c r="G4477" s="17" t="n">
        <v>97406.2</v>
      </c>
      <c r="H4477" s="26" t="n">
        <v>44248</v>
      </c>
      <c r="I4477" s="26" t="n">
        <v>44251</v>
      </c>
      <c r="J4477" s="12" t="n">
        <v>4.92</v>
      </c>
      <c r="K4477" s="17" t="n">
        <v>483134.75</v>
      </c>
      <c r="L4477" s="12" t="n">
        <v>0</v>
      </c>
      <c r="M4477" s="12" t="n">
        <v>4</v>
      </c>
      <c r="N4477" s="27">
        <f>F4477-J4477</f>
        <v/>
      </c>
      <c r="O4477" s="16">
        <f>I4477-H4477</f>
        <v/>
      </c>
      <c r="P4477" s="14">
        <f>F4477*G4477</f>
        <v/>
      </c>
      <c r="Q4477" s="14">
        <f>J4477*G4477</f>
        <v/>
      </c>
      <c r="R4477" s="14">
        <f>K4477-Q4477</f>
        <v/>
      </c>
      <c r="S4477" s="3">
        <f>P4477*Assumptions!$B$3/100</f>
        <v/>
      </c>
      <c r="T4477" s="14">
        <f>R4477-S4477</f>
        <v/>
      </c>
      <c r="U4477" s="14">
        <f>L4477*G4477</f>
        <v/>
      </c>
    </row>
    <row r="4478">
      <c r="A4478" s="12" t="inlineStr">
        <is>
          <t>PO-2023-4476</t>
        </is>
      </c>
      <c r="B4478" s="26" t="n">
        <v>44300</v>
      </c>
      <c r="C4478" s="12" t="inlineStr">
        <is>
          <t>VS31</t>
        </is>
      </c>
      <c r="D4478" s="12" t="inlineStr">
        <is>
          <t>MS Pipes</t>
        </is>
      </c>
      <c r="E4478" s="12" t="inlineStr">
        <is>
          <t>N</t>
        </is>
      </c>
      <c r="F4478" s="12" t="n">
        <v>23.38</v>
      </c>
      <c r="G4478" s="17" t="n">
        <v>77527.62</v>
      </c>
      <c r="H4478" s="26" t="n">
        <v>44307</v>
      </c>
      <c r="I4478" s="26" t="n">
        <v>44309</v>
      </c>
      <c r="J4478" s="12" t="n">
        <v>23.16</v>
      </c>
      <c r="K4478" s="17" t="n">
        <v>1812595.76</v>
      </c>
      <c r="L4478" s="12" t="n">
        <v>0</v>
      </c>
      <c r="M4478" s="12" t="n">
        <v>6</v>
      </c>
      <c r="N4478" s="27">
        <f>F4478-J4478</f>
        <v/>
      </c>
      <c r="O4478" s="16">
        <f>I4478-H4478</f>
        <v/>
      </c>
      <c r="P4478" s="14">
        <f>F4478*G4478</f>
        <v/>
      </c>
      <c r="Q4478" s="14">
        <f>J4478*G4478</f>
        <v/>
      </c>
      <c r="R4478" s="14">
        <f>K4478-Q4478</f>
        <v/>
      </c>
      <c r="S4478" s="3">
        <f>P4478*Assumptions!$B$3/100</f>
        <v/>
      </c>
      <c r="T4478" s="14">
        <f>R4478-S4478</f>
        <v/>
      </c>
      <c r="U4478" s="14">
        <f>L4478*G4478</f>
        <v/>
      </c>
    </row>
    <row r="4479">
      <c r="A4479" s="12" t="inlineStr">
        <is>
          <t>PO-2023-4477</t>
        </is>
      </c>
      <c r="B4479" s="26" t="n">
        <v>44944</v>
      </c>
      <c r="C4479" s="12" t="inlineStr">
        <is>
          <t>VS02</t>
        </is>
      </c>
      <c r="D4479" s="12" t="inlineStr">
        <is>
          <t>Spring Steel</t>
        </is>
      </c>
      <c r="E4479" s="12" t="inlineStr">
        <is>
          <t>Y</t>
        </is>
      </c>
      <c r="F4479" s="12" t="n">
        <v>42.06</v>
      </c>
      <c r="G4479" s="17" t="n">
        <v>69048.08</v>
      </c>
      <c r="H4479" s="26" t="n">
        <v>44949</v>
      </c>
      <c r="I4479" s="26" t="n">
        <v>44949</v>
      </c>
      <c r="J4479" s="12" t="n">
        <v>41.98</v>
      </c>
      <c r="K4479" s="17" t="n">
        <v>2904162.24</v>
      </c>
      <c r="L4479" s="12" t="n">
        <v>0</v>
      </c>
      <c r="M4479" s="12" t="n">
        <v>2</v>
      </c>
      <c r="N4479" s="27">
        <f>F4479-J4479</f>
        <v/>
      </c>
      <c r="O4479" s="16">
        <f>I4479-H4479</f>
        <v/>
      </c>
      <c r="P4479" s="14">
        <f>F4479*G4479</f>
        <v/>
      </c>
      <c r="Q4479" s="14">
        <f>J4479*G4479</f>
        <v/>
      </c>
      <c r="R4479" s="14">
        <f>K4479-Q4479</f>
        <v/>
      </c>
      <c r="S4479" s="3">
        <f>P4479*Assumptions!$B$3/100</f>
        <v/>
      </c>
      <c r="T4479" s="14">
        <f>R4479-S4479</f>
        <v/>
      </c>
      <c r="U4479" s="14">
        <f>L4479*G4479</f>
        <v/>
      </c>
    </row>
    <row r="4480">
      <c r="A4480" s="12" t="inlineStr">
        <is>
          <t>PO-2023-4478</t>
        </is>
      </c>
      <c r="B4480" s="26" t="n">
        <v>44640</v>
      </c>
      <c r="C4480" s="12" t="inlineStr">
        <is>
          <t>VS30</t>
        </is>
      </c>
      <c r="D4480" s="12" t="inlineStr">
        <is>
          <t>MS Pipes</t>
        </is>
      </c>
      <c r="E4480" s="12" t="inlineStr">
        <is>
          <t>N</t>
        </is>
      </c>
      <c r="F4480" s="12" t="n">
        <v>26.93</v>
      </c>
      <c r="G4480" s="17" t="n">
        <v>51069.52</v>
      </c>
      <c r="H4480" s="26" t="n">
        <v>44644</v>
      </c>
      <c r="I4480" s="26" t="n">
        <v>44645</v>
      </c>
      <c r="J4480" s="12" t="n">
        <v>26.9</v>
      </c>
      <c r="K4480" s="17" t="n">
        <v>1375302.17</v>
      </c>
      <c r="L4480" s="12" t="n">
        <v>0</v>
      </c>
      <c r="M4480" s="12" t="n">
        <v>0</v>
      </c>
      <c r="N4480" s="27">
        <f>F4480-J4480</f>
        <v/>
      </c>
      <c r="O4480" s="16">
        <f>I4480-H4480</f>
        <v/>
      </c>
      <c r="P4480" s="14">
        <f>F4480*G4480</f>
        <v/>
      </c>
      <c r="Q4480" s="14">
        <f>J4480*G4480</f>
        <v/>
      </c>
      <c r="R4480" s="14">
        <f>K4480-Q4480</f>
        <v/>
      </c>
      <c r="S4480" s="3">
        <f>P4480*Assumptions!$B$3/100</f>
        <v/>
      </c>
      <c r="T4480" s="14">
        <f>R4480-S4480</f>
        <v/>
      </c>
      <c r="U4480" s="14">
        <f>L4480*G4480</f>
        <v/>
      </c>
    </row>
    <row r="4481">
      <c r="A4481" s="12" t="inlineStr">
        <is>
          <t>PO-2023-4479</t>
        </is>
      </c>
      <c r="B4481" s="26" t="n">
        <v>44361</v>
      </c>
      <c r="C4481" s="12" t="inlineStr">
        <is>
          <t>VS17</t>
        </is>
      </c>
      <c r="D4481" s="12" t="inlineStr">
        <is>
          <t>SS Sheets</t>
        </is>
      </c>
      <c r="E4481" s="12" t="inlineStr">
        <is>
          <t>N</t>
        </is>
      </c>
      <c r="F4481" s="12" t="n">
        <v>18.73</v>
      </c>
      <c r="G4481" s="17" t="n">
        <v>115105.51</v>
      </c>
      <c r="H4481" s="26" t="n">
        <v>44370</v>
      </c>
      <c r="I4481" s="26" t="n">
        <v>44371</v>
      </c>
      <c r="J4481" s="12" t="n">
        <v>18.67</v>
      </c>
      <c r="K4481" s="17" t="n">
        <v>2155926.2</v>
      </c>
      <c r="L4481" s="12" t="n">
        <v>0</v>
      </c>
      <c r="M4481" s="12" t="n">
        <v>11</v>
      </c>
      <c r="N4481" s="27">
        <f>F4481-J4481</f>
        <v/>
      </c>
      <c r="O4481" s="16">
        <f>I4481-H4481</f>
        <v/>
      </c>
      <c r="P4481" s="14">
        <f>F4481*G4481</f>
        <v/>
      </c>
      <c r="Q4481" s="14">
        <f>J4481*G4481</f>
        <v/>
      </c>
      <c r="R4481" s="14">
        <f>K4481-Q4481</f>
        <v/>
      </c>
      <c r="S4481" s="3">
        <f>P4481*Assumptions!$B$3/100</f>
        <v/>
      </c>
      <c r="T4481" s="14">
        <f>R4481-S4481</f>
        <v/>
      </c>
      <c r="U4481" s="14">
        <f>L4481*G4481</f>
        <v/>
      </c>
    </row>
    <row r="4482">
      <c r="A4482" s="12" t="inlineStr">
        <is>
          <t>PO-2023-4480</t>
        </is>
      </c>
      <c r="B4482" s="26" t="n">
        <v>45164</v>
      </c>
      <c r="C4482" s="12" t="inlineStr">
        <is>
          <t>VS10</t>
        </is>
      </c>
      <c r="D4482" s="12" t="inlineStr">
        <is>
          <t>MS Rods</t>
        </is>
      </c>
      <c r="E4482" s="12" t="inlineStr">
        <is>
          <t>N</t>
        </is>
      </c>
      <c r="F4482" s="12" t="n">
        <v>17.86</v>
      </c>
      <c r="G4482" s="17" t="n">
        <v>74211.39999999999</v>
      </c>
      <c r="H4482" s="26" t="n">
        <v>45168</v>
      </c>
      <c r="I4482" s="26" t="n">
        <v>45171</v>
      </c>
      <c r="J4482" s="12" t="n">
        <v>17.78</v>
      </c>
      <c r="K4482" s="17" t="n">
        <v>1325415.6</v>
      </c>
      <c r="L4482" s="12" t="n">
        <v>0</v>
      </c>
      <c r="M4482" s="12" t="n">
        <v>0</v>
      </c>
      <c r="N4482" s="27">
        <f>F4482-J4482</f>
        <v/>
      </c>
      <c r="O4482" s="16">
        <f>I4482-H4482</f>
        <v/>
      </c>
      <c r="P4482" s="14">
        <f>F4482*G4482</f>
        <v/>
      </c>
      <c r="Q4482" s="14">
        <f>J4482*G4482</f>
        <v/>
      </c>
      <c r="R4482" s="14">
        <f>K4482-Q4482</f>
        <v/>
      </c>
      <c r="S4482" s="3">
        <f>P4482*Assumptions!$B$3/100</f>
        <v/>
      </c>
      <c r="T4482" s="14">
        <f>R4482-S4482</f>
        <v/>
      </c>
      <c r="U4482" s="14">
        <f>L4482*G4482</f>
        <v/>
      </c>
    </row>
    <row r="4483">
      <c r="A4483" s="12" t="inlineStr">
        <is>
          <t>PO-2023-4481</t>
        </is>
      </c>
      <c r="B4483" s="26" t="n">
        <v>44578</v>
      </c>
      <c r="C4483" s="12" t="inlineStr">
        <is>
          <t>VS30</t>
        </is>
      </c>
      <c r="D4483" s="12" t="inlineStr">
        <is>
          <t>GI Wire</t>
        </is>
      </c>
      <c r="E4483" s="12" t="inlineStr">
        <is>
          <t>N</t>
        </is>
      </c>
      <c r="F4483" s="12" t="n">
        <v>25.43</v>
      </c>
      <c r="G4483" s="17" t="n">
        <v>62724.55</v>
      </c>
      <c r="H4483" s="26" t="n">
        <v>44588</v>
      </c>
      <c r="I4483" s="26" t="n">
        <v>44591</v>
      </c>
      <c r="J4483" s="12" t="n">
        <v>25.22</v>
      </c>
      <c r="K4483" s="17" t="n">
        <v>1595085.31</v>
      </c>
      <c r="L4483" s="12" t="n">
        <v>0</v>
      </c>
      <c r="M4483" s="12" t="n">
        <v>0</v>
      </c>
      <c r="N4483" s="27">
        <f>F4483-J4483</f>
        <v/>
      </c>
      <c r="O4483" s="16">
        <f>I4483-H4483</f>
        <v/>
      </c>
      <c r="P4483" s="14">
        <f>F4483*G4483</f>
        <v/>
      </c>
      <c r="Q4483" s="14">
        <f>J4483*G4483</f>
        <v/>
      </c>
      <c r="R4483" s="14">
        <f>K4483-Q4483</f>
        <v/>
      </c>
      <c r="S4483" s="3">
        <f>P4483*Assumptions!$B$3/100</f>
        <v/>
      </c>
      <c r="T4483" s="14">
        <f>R4483-S4483</f>
        <v/>
      </c>
      <c r="U4483" s="14">
        <f>L4483*G4483</f>
        <v/>
      </c>
    </row>
    <row r="4484">
      <c r="A4484" s="12" t="inlineStr">
        <is>
          <t>PO-2023-4482</t>
        </is>
      </c>
      <c r="B4484" s="26" t="n">
        <v>44435</v>
      </c>
      <c r="C4484" s="12" t="inlineStr">
        <is>
          <t>VS33</t>
        </is>
      </c>
      <c r="D4484" s="12" t="inlineStr">
        <is>
          <t>Hex Bars</t>
        </is>
      </c>
      <c r="E4484" s="12" t="inlineStr">
        <is>
          <t>N</t>
        </is>
      </c>
      <c r="F4484" s="12" t="n">
        <v>21.35</v>
      </c>
      <c r="G4484" s="17" t="n">
        <v>55602.48</v>
      </c>
      <c r="H4484" s="26" t="n">
        <v>44444</v>
      </c>
      <c r="I4484" s="26" t="n">
        <v>44446</v>
      </c>
      <c r="J4484" s="12" t="n">
        <v>21.21</v>
      </c>
      <c r="K4484" s="17" t="n">
        <v>1187112.95</v>
      </c>
      <c r="L4484" s="12" t="n">
        <v>0</v>
      </c>
      <c r="M4484" s="12" t="n">
        <v>0</v>
      </c>
      <c r="N4484" s="27">
        <f>F4484-J4484</f>
        <v/>
      </c>
      <c r="O4484" s="16">
        <f>I4484-H4484</f>
        <v/>
      </c>
      <c r="P4484" s="14">
        <f>F4484*G4484</f>
        <v/>
      </c>
      <c r="Q4484" s="14">
        <f>J4484*G4484</f>
        <v/>
      </c>
      <c r="R4484" s="14">
        <f>K4484-Q4484</f>
        <v/>
      </c>
      <c r="S4484" s="3">
        <f>P4484*Assumptions!$B$3/100</f>
        <v/>
      </c>
      <c r="T4484" s="14">
        <f>R4484-S4484</f>
        <v/>
      </c>
      <c r="U4484" s="14">
        <f>L4484*G4484</f>
        <v/>
      </c>
    </row>
    <row r="4485">
      <c r="A4485" s="12" t="inlineStr">
        <is>
          <t>PO-2023-4483</t>
        </is>
      </c>
      <c r="B4485" s="26" t="n">
        <v>44689</v>
      </c>
      <c r="C4485" s="12" t="inlineStr">
        <is>
          <t>VS23</t>
        </is>
      </c>
      <c r="D4485" s="12" t="inlineStr">
        <is>
          <t>MS Rods</t>
        </is>
      </c>
      <c r="E4485" s="12" t="inlineStr">
        <is>
          <t>N</t>
        </is>
      </c>
      <c r="F4485" s="12" t="n">
        <v>6.22</v>
      </c>
      <c r="G4485" s="17" t="n">
        <v>100663.89</v>
      </c>
      <c r="H4485" s="26" t="n">
        <v>44704</v>
      </c>
      <c r="I4485" s="26" t="n">
        <v>44707</v>
      </c>
      <c r="J4485" s="12" t="n">
        <v>6.19</v>
      </c>
      <c r="K4485" s="17" t="n">
        <v>626129.4</v>
      </c>
      <c r="L4485" s="12" t="n">
        <v>0</v>
      </c>
      <c r="M4485" s="12" t="n">
        <v>0</v>
      </c>
      <c r="N4485" s="27">
        <f>F4485-J4485</f>
        <v/>
      </c>
      <c r="O4485" s="16">
        <f>I4485-H4485</f>
        <v/>
      </c>
      <c r="P4485" s="14">
        <f>F4485*G4485</f>
        <v/>
      </c>
      <c r="Q4485" s="14">
        <f>J4485*G4485</f>
        <v/>
      </c>
      <c r="R4485" s="14">
        <f>K4485-Q4485</f>
        <v/>
      </c>
      <c r="S4485" s="3">
        <f>P4485*Assumptions!$B$3/100</f>
        <v/>
      </c>
      <c r="T4485" s="14">
        <f>R4485-S4485</f>
        <v/>
      </c>
      <c r="U4485" s="14">
        <f>L4485*G4485</f>
        <v/>
      </c>
    </row>
    <row r="4486">
      <c r="A4486" s="12" t="inlineStr">
        <is>
          <t>PO-2023-4484</t>
        </is>
      </c>
      <c r="B4486" s="26" t="n">
        <v>44978</v>
      </c>
      <c r="C4486" s="12" t="inlineStr">
        <is>
          <t>VS29</t>
        </is>
      </c>
      <c r="D4486" s="12" t="inlineStr">
        <is>
          <t>Spring Steel</t>
        </is>
      </c>
      <c r="E4486" s="12" t="inlineStr">
        <is>
          <t>N</t>
        </is>
      </c>
      <c r="F4486" s="12" t="n">
        <v>11.72</v>
      </c>
      <c r="G4486" s="17" t="n">
        <v>46894.46</v>
      </c>
      <c r="H4486" s="26" t="n">
        <v>44986</v>
      </c>
      <c r="I4486" s="26" t="n">
        <v>44987</v>
      </c>
      <c r="J4486" s="12" t="n">
        <v>11.64</v>
      </c>
      <c r="K4486" s="17" t="n">
        <v>549603.0699999999</v>
      </c>
      <c r="L4486" s="12" t="n">
        <v>0</v>
      </c>
      <c r="M4486" s="12" t="n">
        <v>0</v>
      </c>
      <c r="N4486" s="27">
        <f>F4486-J4486</f>
        <v/>
      </c>
      <c r="O4486" s="16">
        <f>I4486-H4486</f>
        <v/>
      </c>
      <c r="P4486" s="14">
        <f>F4486*G4486</f>
        <v/>
      </c>
      <c r="Q4486" s="14">
        <f>J4486*G4486</f>
        <v/>
      </c>
      <c r="R4486" s="14">
        <f>K4486-Q4486</f>
        <v/>
      </c>
      <c r="S4486" s="3">
        <f>P4486*Assumptions!$B$3/100</f>
        <v/>
      </c>
      <c r="T4486" s="14">
        <f>R4486-S4486</f>
        <v/>
      </c>
      <c r="U4486" s="14">
        <f>L4486*G4486</f>
        <v/>
      </c>
    </row>
    <row r="4487">
      <c r="A4487" s="12" t="inlineStr">
        <is>
          <t>PO-2023-4485</t>
        </is>
      </c>
      <c r="B4487" s="26" t="n">
        <v>45209</v>
      </c>
      <c r="C4487" s="12" t="inlineStr">
        <is>
          <t>VS14</t>
        </is>
      </c>
      <c r="D4487" s="12" t="inlineStr">
        <is>
          <t>Fasteners &amp; Fittings</t>
        </is>
      </c>
      <c r="E4487" s="12" t="inlineStr">
        <is>
          <t>N</t>
        </is>
      </c>
      <c r="F4487" s="12" t="n">
        <v>5.82</v>
      </c>
      <c r="G4487" s="17" t="n">
        <v>85835.3</v>
      </c>
      <c r="H4487" s="26" t="n">
        <v>45220</v>
      </c>
      <c r="I4487" s="26" t="n">
        <v>45222</v>
      </c>
      <c r="J4487" s="12" t="n">
        <v>5.8</v>
      </c>
      <c r="K4487" s="17" t="n">
        <v>499561.45</v>
      </c>
      <c r="L4487" s="12" t="n">
        <v>0</v>
      </c>
      <c r="M4487" s="12" t="n">
        <v>0</v>
      </c>
      <c r="N4487" s="27">
        <f>F4487-J4487</f>
        <v/>
      </c>
      <c r="O4487" s="16">
        <f>I4487-H4487</f>
        <v/>
      </c>
      <c r="P4487" s="14">
        <f>F4487*G4487</f>
        <v/>
      </c>
      <c r="Q4487" s="14">
        <f>J4487*G4487</f>
        <v/>
      </c>
      <c r="R4487" s="14">
        <f>K4487-Q4487</f>
        <v/>
      </c>
      <c r="S4487" s="3">
        <f>P4487*Assumptions!$B$3/100</f>
        <v/>
      </c>
      <c r="T4487" s="14">
        <f>R4487-S4487</f>
        <v/>
      </c>
      <c r="U4487" s="14">
        <f>L4487*G4487</f>
        <v/>
      </c>
    </row>
    <row r="4488">
      <c r="A4488" s="12" t="inlineStr">
        <is>
          <t>PO-2023-4486</t>
        </is>
      </c>
      <c r="B4488" s="26" t="n">
        <v>45175</v>
      </c>
      <c r="C4488" s="12" t="inlineStr">
        <is>
          <t>VS19</t>
        </is>
      </c>
      <c r="D4488" s="12" t="inlineStr">
        <is>
          <t>GI Pipes</t>
        </is>
      </c>
      <c r="E4488" s="12" t="inlineStr">
        <is>
          <t>N</t>
        </is>
      </c>
      <c r="F4488" s="12" t="n">
        <v>9.130000000000001</v>
      </c>
      <c r="G4488" s="17" t="n">
        <v>57703.61</v>
      </c>
      <c r="H4488" s="26" t="n">
        <v>45188</v>
      </c>
      <c r="I4488" s="26" t="n">
        <v>45195</v>
      </c>
      <c r="J4488" s="12" t="n">
        <v>8.800000000000001</v>
      </c>
      <c r="K4488" s="17" t="n">
        <v>526833.96</v>
      </c>
      <c r="L4488" s="12" t="n">
        <v>0.17</v>
      </c>
      <c r="M4488" s="12" t="n">
        <v>0</v>
      </c>
      <c r="N4488" s="27">
        <f>F4488-J4488</f>
        <v/>
      </c>
      <c r="O4488" s="16">
        <f>I4488-H4488</f>
        <v/>
      </c>
      <c r="P4488" s="14">
        <f>F4488*G4488</f>
        <v/>
      </c>
      <c r="Q4488" s="14">
        <f>J4488*G4488</f>
        <v/>
      </c>
      <c r="R4488" s="14">
        <f>K4488-Q4488</f>
        <v/>
      </c>
      <c r="S4488" s="3">
        <f>P4488*Assumptions!$B$3/100</f>
        <v/>
      </c>
      <c r="T4488" s="14">
        <f>R4488-S4488</f>
        <v/>
      </c>
      <c r="U4488" s="14">
        <f>L4488*G4488</f>
        <v/>
      </c>
    </row>
    <row r="4489">
      <c r="A4489" s="12" t="inlineStr">
        <is>
          <t>PO-2023-4487</t>
        </is>
      </c>
      <c r="B4489" s="26" t="n">
        <v>44788</v>
      </c>
      <c r="C4489" s="12" t="inlineStr">
        <is>
          <t>VS25</t>
        </is>
      </c>
      <c r="D4489" s="12" t="inlineStr">
        <is>
          <t>SS Pipes</t>
        </is>
      </c>
      <c r="E4489" s="12" t="inlineStr">
        <is>
          <t>N</t>
        </is>
      </c>
      <c r="F4489" s="12" t="n">
        <v>15.79</v>
      </c>
      <c r="G4489" s="17" t="n">
        <v>104059.42</v>
      </c>
      <c r="H4489" s="26" t="n">
        <v>44797</v>
      </c>
      <c r="I4489" s="26" t="n">
        <v>44800</v>
      </c>
      <c r="J4489" s="12" t="n">
        <v>15.75</v>
      </c>
      <c r="K4489" s="17" t="n">
        <v>1643098.24</v>
      </c>
      <c r="L4489" s="12" t="n">
        <v>0</v>
      </c>
      <c r="M4489" s="12" t="n">
        <v>0</v>
      </c>
      <c r="N4489" s="27">
        <f>F4489-J4489</f>
        <v/>
      </c>
      <c r="O4489" s="16">
        <f>I4489-H4489</f>
        <v/>
      </c>
      <c r="P4489" s="14">
        <f>F4489*G4489</f>
        <v/>
      </c>
      <c r="Q4489" s="14">
        <f>J4489*G4489</f>
        <v/>
      </c>
      <c r="R4489" s="14">
        <f>K4489-Q4489</f>
        <v/>
      </c>
      <c r="S4489" s="3">
        <f>P4489*Assumptions!$B$3/100</f>
        <v/>
      </c>
      <c r="T4489" s="14">
        <f>R4489-S4489</f>
        <v/>
      </c>
      <c r="U4489" s="14">
        <f>L4489*G4489</f>
        <v/>
      </c>
    </row>
    <row r="4490">
      <c r="A4490" s="12" t="inlineStr">
        <is>
          <t>PO-2023-4488</t>
        </is>
      </c>
      <c r="B4490" s="26" t="n">
        <v>44557</v>
      </c>
      <c r="C4490" s="12" t="inlineStr">
        <is>
          <t>VS32</t>
        </is>
      </c>
      <c r="D4490" s="12" t="inlineStr">
        <is>
          <t>GI Wire</t>
        </is>
      </c>
      <c r="E4490" s="12" t="inlineStr">
        <is>
          <t>N</t>
        </is>
      </c>
      <c r="F4490" s="12" t="n">
        <v>11.03</v>
      </c>
      <c r="G4490" s="17" t="n">
        <v>61380.93</v>
      </c>
      <c r="H4490" s="26" t="n">
        <v>44564</v>
      </c>
      <c r="I4490" s="26" t="n">
        <v>44565</v>
      </c>
      <c r="J4490" s="12" t="n">
        <v>11</v>
      </c>
      <c r="K4490" s="17" t="n">
        <v>677031.66</v>
      </c>
      <c r="L4490" s="12" t="n">
        <v>0</v>
      </c>
      <c r="M4490" s="12" t="n">
        <v>15</v>
      </c>
      <c r="N4490" s="27">
        <f>F4490-J4490</f>
        <v/>
      </c>
      <c r="O4490" s="16">
        <f>I4490-H4490</f>
        <v/>
      </c>
      <c r="P4490" s="14">
        <f>F4490*G4490</f>
        <v/>
      </c>
      <c r="Q4490" s="14">
        <f>J4490*G4490</f>
        <v/>
      </c>
      <c r="R4490" s="14">
        <f>K4490-Q4490</f>
        <v/>
      </c>
      <c r="S4490" s="3">
        <f>P4490*Assumptions!$B$3/100</f>
        <v/>
      </c>
      <c r="T4490" s="14">
        <f>R4490-S4490</f>
        <v/>
      </c>
      <c r="U4490" s="14">
        <f>L4490*G4490</f>
        <v/>
      </c>
    </row>
    <row r="4491">
      <c r="A4491" s="12" t="inlineStr">
        <is>
          <t>PO-2023-4489</t>
        </is>
      </c>
      <c r="B4491" s="26" t="n">
        <v>44423</v>
      </c>
      <c r="C4491" s="12" t="inlineStr">
        <is>
          <t>VS05</t>
        </is>
      </c>
      <c r="D4491" s="12" t="inlineStr">
        <is>
          <t>Fasteners &amp; Fittings</t>
        </is>
      </c>
      <c r="E4491" s="12" t="inlineStr">
        <is>
          <t>N</t>
        </is>
      </c>
      <c r="F4491" s="12" t="n">
        <v>21.39</v>
      </c>
      <c r="G4491" s="17" t="n">
        <v>52257.17</v>
      </c>
      <c r="H4491" s="26" t="n">
        <v>44430</v>
      </c>
      <c r="I4491" s="26" t="n">
        <v>44432</v>
      </c>
      <c r="J4491" s="12" t="n">
        <v>21.36</v>
      </c>
      <c r="K4491" s="17" t="n">
        <v>1117780.87</v>
      </c>
      <c r="L4491" s="12" t="n">
        <v>0</v>
      </c>
      <c r="M4491" s="12" t="n">
        <v>0</v>
      </c>
      <c r="N4491" s="27">
        <f>F4491-J4491</f>
        <v/>
      </c>
      <c r="O4491" s="16">
        <f>I4491-H4491</f>
        <v/>
      </c>
      <c r="P4491" s="14">
        <f>F4491*G4491</f>
        <v/>
      </c>
      <c r="Q4491" s="14">
        <f>J4491*G4491</f>
        <v/>
      </c>
      <c r="R4491" s="14">
        <f>K4491-Q4491</f>
        <v/>
      </c>
      <c r="S4491" s="3">
        <f>P4491*Assumptions!$B$3/100</f>
        <v/>
      </c>
      <c r="T4491" s="14">
        <f>R4491-S4491</f>
        <v/>
      </c>
      <c r="U4491" s="14">
        <f>L4491*G4491</f>
        <v/>
      </c>
    </row>
    <row r="4492">
      <c r="A4492" s="12" t="inlineStr">
        <is>
          <t>PO-2023-4490</t>
        </is>
      </c>
      <c r="B4492" s="26" t="n">
        <v>44553</v>
      </c>
      <c r="C4492" s="12" t="inlineStr">
        <is>
          <t>VS07</t>
        </is>
      </c>
      <c r="D4492" s="12" t="inlineStr">
        <is>
          <t>Angles &amp; Channels</t>
        </is>
      </c>
      <c r="E4492" s="12" t="inlineStr">
        <is>
          <t>N</t>
        </is>
      </c>
      <c r="F4492" s="12" t="n">
        <v>10.09</v>
      </c>
      <c r="G4492" s="17" t="n">
        <v>83351.89999999999</v>
      </c>
      <c r="H4492" s="26" t="n">
        <v>44557</v>
      </c>
      <c r="I4492" s="26" t="n">
        <v>44558</v>
      </c>
      <c r="J4492" s="12" t="n">
        <v>10.08</v>
      </c>
      <c r="K4492" s="17" t="n">
        <v>841020.67</v>
      </c>
      <c r="L4492" s="12" t="n">
        <v>0</v>
      </c>
      <c r="M4492" s="12" t="n">
        <v>23</v>
      </c>
      <c r="N4492" s="27">
        <f>F4492-J4492</f>
        <v/>
      </c>
      <c r="O4492" s="16">
        <f>I4492-H4492</f>
        <v/>
      </c>
      <c r="P4492" s="14">
        <f>F4492*G4492</f>
        <v/>
      </c>
      <c r="Q4492" s="14">
        <f>J4492*G4492</f>
        <v/>
      </c>
      <c r="R4492" s="14">
        <f>K4492-Q4492</f>
        <v/>
      </c>
      <c r="S4492" s="3">
        <f>P4492*Assumptions!$B$3/100</f>
        <v/>
      </c>
      <c r="T4492" s="14">
        <f>R4492-S4492</f>
        <v/>
      </c>
      <c r="U4492" s="14">
        <f>L4492*G4492</f>
        <v/>
      </c>
    </row>
    <row r="4493">
      <c r="A4493" s="12" t="inlineStr">
        <is>
          <t>PO-2023-4491</t>
        </is>
      </c>
      <c r="B4493" s="26" t="n">
        <v>45009</v>
      </c>
      <c r="C4493" s="12" t="inlineStr">
        <is>
          <t>VS27</t>
        </is>
      </c>
      <c r="D4493" s="12" t="inlineStr">
        <is>
          <t>GI Sheets</t>
        </is>
      </c>
      <c r="E4493" s="12" t="inlineStr">
        <is>
          <t>N</t>
        </is>
      </c>
      <c r="F4493" s="12" t="n">
        <v>44.47</v>
      </c>
      <c r="G4493" s="17" t="n">
        <v>76174.36</v>
      </c>
      <c r="H4493" s="26" t="n">
        <v>45019</v>
      </c>
      <c r="I4493" s="26" t="n">
        <v>45022</v>
      </c>
      <c r="J4493" s="12" t="n">
        <v>44.1</v>
      </c>
      <c r="K4493" s="17" t="n">
        <v>3387473.79</v>
      </c>
      <c r="L4493" s="12" t="n">
        <v>0</v>
      </c>
      <c r="M4493" s="12" t="n">
        <v>4</v>
      </c>
      <c r="N4493" s="27">
        <f>F4493-J4493</f>
        <v/>
      </c>
      <c r="O4493" s="16">
        <f>I4493-H4493</f>
        <v/>
      </c>
      <c r="P4493" s="14">
        <f>F4493*G4493</f>
        <v/>
      </c>
      <c r="Q4493" s="14">
        <f>J4493*G4493</f>
        <v/>
      </c>
      <c r="R4493" s="14">
        <f>K4493-Q4493</f>
        <v/>
      </c>
      <c r="S4493" s="3">
        <f>P4493*Assumptions!$B$3/100</f>
        <v/>
      </c>
      <c r="T4493" s="14">
        <f>R4493-S4493</f>
        <v/>
      </c>
      <c r="U4493" s="14">
        <f>L4493*G4493</f>
        <v/>
      </c>
    </row>
    <row r="4494">
      <c r="A4494" s="12" t="inlineStr">
        <is>
          <t>PO-2023-4492</t>
        </is>
      </c>
      <c r="B4494" s="26" t="n">
        <v>44252</v>
      </c>
      <c r="C4494" s="12" t="inlineStr">
        <is>
          <t>VS17</t>
        </is>
      </c>
      <c r="D4494" s="12" t="inlineStr">
        <is>
          <t>MS Rods</t>
        </is>
      </c>
      <c r="E4494" s="12" t="inlineStr">
        <is>
          <t>N</t>
        </is>
      </c>
      <c r="F4494" s="12" t="n">
        <v>16.35</v>
      </c>
      <c r="G4494" s="17" t="n">
        <v>85398.59</v>
      </c>
      <c r="H4494" s="26" t="n">
        <v>44264</v>
      </c>
      <c r="I4494" s="26" t="n">
        <v>44267</v>
      </c>
      <c r="J4494" s="12" t="n">
        <v>16.23</v>
      </c>
      <c r="K4494" s="17" t="n">
        <v>1396266.95</v>
      </c>
      <c r="L4494" s="12" t="n">
        <v>0</v>
      </c>
      <c r="M4494" s="12" t="n">
        <v>0</v>
      </c>
      <c r="N4494" s="27">
        <f>F4494-J4494</f>
        <v/>
      </c>
      <c r="O4494" s="16">
        <f>I4494-H4494</f>
        <v/>
      </c>
      <c r="P4494" s="14">
        <f>F4494*G4494</f>
        <v/>
      </c>
      <c r="Q4494" s="14">
        <f>J4494*G4494</f>
        <v/>
      </c>
      <c r="R4494" s="14">
        <f>K4494-Q4494</f>
        <v/>
      </c>
      <c r="S4494" s="3">
        <f>P4494*Assumptions!$B$3/100</f>
        <v/>
      </c>
      <c r="T4494" s="14">
        <f>R4494-S4494</f>
        <v/>
      </c>
      <c r="U4494" s="14">
        <f>L4494*G4494</f>
        <v/>
      </c>
    </row>
    <row r="4495">
      <c r="A4495" s="12" t="inlineStr">
        <is>
          <t>PO-2023-4493</t>
        </is>
      </c>
      <c r="B4495" s="26" t="n">
        <v>44990</v>
      </c>
      <c r="C4495" s="12" t="inlineStr">
        <is>
          <t>VS33</t>
        </is>
      </c>
      <c r="D4495" s="12" t="inlineStr">
        <is>
          <t>Structural Steel</t>
        </is>
      </c>
      <c r="E4495" s="12" t="inlineStr">
        <is>
          <t>N</t>
        </is>
      </c>
      <c r="F4495" s="12" t="n">
        <v>46.42</v>
      </c>
      <c r="G4495" s="17" t="n">
        <v>61233.8</v>
      </c>
      <c r="H4495" s="26" t="n">
        <v>45001</v>
      </c>
      <c r="I4495" s="26" t="n">
        <v>45004</v>
      </c>
      <c r="J4495" s="12" t="n">
        <v>46.38</v>
      </c>
      <c r="K4495" s="17" t="n">
        <v>2842473</v>
      </c>
      <c r="L4495" s="12" t="n">
        <v>0</v>
      </c>
      <c r="M4495" s="12" t="n">
        <v>0</v>
      </c>
      <c r="N4495" s="27">
        <f>F4495-J4495</f>
        <v/>
      </c>
      <c r="O4495" s="16">
        <f>I4495-H4495</f>
        <v/>
      </c>
      <c r="P4495" s="14">
        <f>F4495*G4495</f>
        <v/>
      </c>
      <c r="Q4495" s="14">
        <f>J4495*G4495</f>
        <v/>
      </c>
      <c r="R4495" s="14">
        <f>K4495-Q4495</f>
        <v/>
      </c>
      <c r="S4495" s="3">
        <f>P4495*Assumptions!$B$3/100</f>
        <v/>
      </c>
      <c r="T4495" s="14">
        <f>R4495-S4495</f>
        <v/>
      </c>
      <c r="U4495" s="14">
        <f>L4495*G4495</f>
        <v/>
      </c>
    </row>
    <row r="4496">
      <c r="A4496" s="12" t="inlineStr">
        <is>
          <t>PO-2023-4494</t>
        </is>
      </c>
      <c r="B4496" s="26" t="n">
        <v>44670</v>
      </c>
      <c r="C4496" s="12" t="inlineStr">
        <is>
          <t>VS01</t>
        </is>
      </c>
      <c r="D4496" s="12" t="inlineStr">
        <is>
          <t>MS Pipes</t>
        </is>
      </c>
      <c r="E4496" s="12" t="inlineStr">
        <is>
          <t>Y</t>
        </is>
      </c>
      <c r="F4496" s="12" t="n">
        <v>14.64</v>
      </c>
      <c r="G4496" s="17" t="n">
        <v>61491.7</v>
      </c>
      <c r="H4496" s="26" t="n">
        <v>44683</v>
      </c>
      <c r="I4496" s="26" t="n">
        <v>44683</v>
      </c>
      <c r="J4496" s="12" t="n">
        <v>14.54</v>
      </c>
      <c r="K4496" s="17" t="n">
        <v>900238.49</v>
      </c>
      <c r="L4496" s="12" t="n">
        <v>0</v>
      </c>
      <c r="M4496" s="12" t="n">
        <v>15</v>
      </c>
      <c r="N4496" s="27">
        <f>F4496-J4496</f>
        <v/>
      </c>
      <c r="O4496" s="16">
        <f>I4496-H4496</f>
        <v/>
      </c>
      <c r="P4496" s="14">
        <f>F4496*G4496</f>
        <v/>
      </c>
      <c r="Q4496" s="14">
        <f>J4496*G4496</f>
        <v/>
      </c>
      <c r="R4496" s="14">
        <f>K4496-Q4496</f>
        <v/>
      </c>
      <c r="S4496" s="3">
        <f>P4496*Assumptions!$B$3/100</f>
        <v/>
      </c>
      <c r="T4496" s="14">
        <f>R4496-S4496</f>
        <v/>
      </c>
      <c r="U4496" s="14">
        <f>L4496*G4496</f>
        <v/>
      </c>
    </row>
    <row r="4497">
      <c r="A4497" s="12" t="inlineStr">
        <is>
          <t>PO-2023-4495</t>
        </is>
      </c>
      <c r="B4497" s="26" t="n">
        <v>44663</v>
      </c>
      <c r="C4497" s="12" t="inlineStr">
        <is>
          <t>VS26</t>
        </is>
      </c>
      <c r="D4497" s="12" t="inlineStr">
        <is>
          <t>HR Coils</t>
        </is>
      </c>
      <c r="E4497" s="12" t="inlineStr">
        <is>
          <t>N</t>
        </is>
      </c>
      <c r="F4497" s="12" t="n">
        <v>34.81</v>
      </c>
      <c r="G4497" s="17" t="n">
        <v>50906.84</v>
      </c>
      <c r="H4497" s="26" t="n">
        <v>44671</v>
      </c>
      <c r="I4497" s="26" t="n">
        <v>44674</v>
      </c>
      <c r="J4497" s="12" t="n">
        <v>34.71</v>
      </c>
      <c r="K4497" s="17" t="n">
        <v>1772067.1</v>
      </c>
      <c r="L4497" s="12" t="n">
        <v>0</v>
      </c>
      <c r="M4497" s="12" t="n">
        <v>12</v>
      </c>
      <c r="N4497" s="27">
        <f>F4497-J4497</f>
        <v/>
      </c>
      <c r="O4497" s="16">
        <f>I4497-H4497</f>
        <v/>
      </c>
      <c r="P4497" s="14">
        <f>F4497*G4497</f>
        <v/>
      </c>
      <c r="Q4497" s="14">
        <f>J4497*G4497</f>
        <v/>
      </c>
      <c r="R4497" s="14">
        <f>K4497-Q4497</f>
        <v/>
      </c>
      <c r="S4497" s="3">
        <f>P4497*Assumptions!$B$3/100</f>
        <v/>
      </c>
      <c r="T4497" s="14">
        <f>R4497-S4497</f>
        <v/>
      </c>
      <c r="U4497" s="14">
        <f>L4497*G4497</f>
        <v/>
      </c>
    </row>
    <row r="4498">
      <c r="A4498" s="12" t="inlineStr">
        <is>
          <t>PO-2023-4496</t>
        </is>
      </c>
      <c r="B4498" s="26" t="n">
        <v>44567</v>
      </c>
      <c r="C4498" s="12" t="inlineStr">
        <is>
          <t>VS10</t>
        </is>
      </c>
      <c r="D4498" s="12" t="inlineStr">
        <is>
          <t>ERW Pipes</t>
        </is>
      </c>
      <c r="E4498" s="12" t="inlineStr">
        <is>
          <t>N</t>
        </is>
      </c>
      <c r="F4498" s="12" t="n">
        <v>33.4</v>
      </c>
      <c r="G4498" s="17" t="n">
        <v>57575.04</v>
      </c>
      <c r="H4498" s="26" t="n">
        <v>44570</v>
      </c>
      <c r="I4498" s="26" t="n">
        <v>44573</v>
      </c>
      <c r="J4498" s="12" t="n">
        <v>33.36</v>
      </c>
      <c r="K4498" s="17" t="n">
        <v>1923006.34</v>
      </c>
      <c r="L4498" s="12" t="n">
        <v>0</v>
      </c>
      <c r="M4498" s="12" t="n">
        <v>12</v>
      </c>
      <c r="N4498" s="27">
        <f>F4498-J4498</f>
        <v/>
      </c>
      <c r="O4498" s="16">
        <f>I4498-H4498</f>
        <v/>
      </c>
      <c r="P4498" s="14">
        <f>F4498*G4498</f>
        <v/>
      </c>
      <c r="Q4498" s="14">
        <f>J4498*G4498</f>
        <v/>
      </c>
      <c r="R4498" s="14">
        <f>K4498-Q4498</f>
        <v/>
      </c>
      <c r="S4498" s="3">
        <f>P4498*Assumptions!$B$3/100</f>
        <v/>
      </c>
      <c r="T4498" s="14">
        <f>R4498-S4498</f>
        <v/>
      </c>
      <c r="U4498" s="14">
        <f>L4498*G4498</f>
        <v/>
      </c>
    </row>
    <row r="4499">
      <c r="A4499" s="12" t="inlineStr">
        <is>
          <t>PO-2023-4497</t>
        </is>
      </c>
      <c r="B4499" s="26" t="n">
        <v>44982</v>
      </c>
      <c r="C4499" s="12" t="inlineStr">
        <is>
          <t>VS22</t>
        </is>
      </c>
      <c r="D4499" s="12" t="inlineStr">
        <is>
          <t>HR Coils</t>
        </is>
      </c>
      <c r="E4499" s="12" t="inlineStr">
        <is>
          <t>N</t>
        </is>
      </c>
      <c r="F4499" s="12" t="n">
        <v>14.73</v>
      </c>
      <c r="G4499" s="17" t="n">
        <v>48276.08</v>
      </c>
      <c r="H4499" s="26" t="n">
        <v>44989</v>
      </c>
      <c r="I4499" s="26" t="n">
        <v>44991</v>
      </c>
      <c r="J4499" s="12" t="n">
        <v>14.61</v>
      </c>
      <c r="K4499" s="17" t="n">
        <v>711106.66</v>
      </c>
      <c r="L4499" s="12" t="n">
        <v>0</v>
      </c>
      <c r="M4499" s="12" t="n">
        <v>1</v>
      </c>
      <c r="N4499" s="27">
        <f>F4499-J4499</f>
        <v/>
      </c>
      <c r="O4499" s="16">
        <f>I4499-H4499</f>
        <v/>
      </c>
      <c r="P4499" s="14">
        <f>F4499*G4499</f>
        <v/>
      </c>
      <c r="Q4499" s="14">
        <f>J4499*G4499</f>
        <v/>
      </c>
      <c r="R4499" s="14">
        <f>K4499-Q4499</f>
        <v/>
      </c>
      <c r="S4499" s="3">
        <f>P4499*Assumptions!$B$3/100</f>
        <v/>
      </c>
      <c r="T4499" s="14">
        <f>R4499-S4499</f>
        <v/>
      </c>
      <c r="U4499" s="14">
        <f>L4499*G4499</f>
        <v/>
      </c>
    </row>
    <row r="4500">
      <c r="A4500" s="12" t="inlineStr">
        <is>
          <t>PO-2023-4498</t>
        </is>
      </c>
      <c r="B4500" s="26" t="n">
        <v>44299</v>
      </c>
      <c r="C4500" s="12" t="inlineStr">
        <is>
          <t>VS25</t>
        </is>
      </c>
      <c r="D4500" s="12" t="inlineStr">
        <is>
          <t>Square/Rect Tubes</t>
        </is>
      </c>
      <c r="E4500" s="12" t="inlineStr">
        <is>
          <t>N</t>
        </is>
      </c>
      <c r="F4500" s="12" t="n">
        <v>29.37</v>
      </c>
      <c r="G4500" s="17" t="n">
        <v>51146.7</v>
      </c>
      <c r="H4500" s="26" t="n">
        <v>44309</v>
      </c>
      <c r="I4500" s="26" t="n">
        <v>44311</v>
      </c>
      <c r="J4500" s="12" t="n">
        <v>29.11</v>
      </c>
      <c r="K4500" s="17" t="n">
        <v>1502178.58</v>
      </c>
      <c r="L4500" s="12" t="n">
        <v>0</v>
      </c>
      <c r="M4500" s="12" t="n">
        <v>0</v>
      </c>
      <c r="N4500" s="27">
        <f>F4500-J4500</f>
        <v/>
      </c>
      <c r="O4500" s="16">
        <f>I4500-H4500</f>
        <v/>
      </c>
      <c r="P4500" s="14">
        <f>F4500*G4500</f>
        <v/>
      </c>
      <c r="Q4500" s="14">
        <f>J4500*G4500</f>
        <v/>
      </c>
      <c r="R4500" s="14">
        <f>K4500-Q4500</f>
        <v/>
      </c>
      <c r="S4500" s="3">
        <f>P4500*Assumptions!$B$3/100</f>
        <v/>
      </c>
      <c r="T4500" s="14">
        <f>R4500-S4500</f>
        <v/>
      </c>
      <c r="U4500" s="14">
        <f>L4500*G4500</f>
        <v/>
      </c>
    </row>
    <row r="4501">
      <c r="A4501" s="12" t="inlineStr">
        <is>
          <t>PO-2023-4499</t>
        </is>
      </c>
      <c r="B4501" s="26" t="n">
        <v>44545</v>
      </c>
      <c r="C4501" s="12" t="inlineStr">
        <is>
          <t>VS09</t>
        </is>
      </c>
      <c r="D4501" s="12" t="inlineStr">
        <is>
          <t>Hex Bars</t>
        </is>
      </c>
      <c r="E4501" s="12" t="inlineStr">
        <is>
          <t>N</t>
        </is>
      </c>
      <c r="F4501" s="12" t="n">
        <v>8.69</v>
      </c>
      <c r="G4501" s="17" t="n">
        <v>80986.07000000001</v>
      </c>
      <c r="H4501" s="26" t="n">
        <v>44556</v>
      </c>
      <c r="I4501" s="26" t="n">
        <v>44559</v>
      </c>
      <c r="J4501" s="12" t="n">
        <v>8.619999999999999</v>
      </c>
      <c r="K4501" s="17" t="n">
        <v>703768.95</v>
      </c>
      <c r="L4501" s="12" t="n">
        <v>0</v>
      </c>
      <c r="M4501" s="12" t="n">
        <v>9</v>
      </c>
      <c r="N4501" s="27">
        <f>F4501-J4501</f>
        <v/>
      </c>
      <c r="O4501" s="16">
        <f>I4501-H4501</f>
        <v/>
      </c>
      <c r="P4501" s="14">
        <f>F4501*G4501</f>
        <v/>
      </c>
      <c r="Q4501" s="14">
        <f>J4501*G4501</f>
        <v/>
      </c>
      <c r="R4501" s="14">
        <f>K4501-Q4501</f>
        <v/>
      </c>
      <c r="S4501" s="3">
        <f>P4501*Assumptions!$B$3/100</f>
        <v/>
      </c>
      <c r="T4501" s="14">
        <f>R4501-S4501</f>
        <v/>
      </c>
      <c r="U4501" s="14">
        <f>L4501*G4501</f>
        <v/>
      </c>
    </row>
    <row r="4502">
      <c r="A4502" s="12" t="inlineStr">
        <is>
          <t>PO-2023-4500</t>
        </is>
      </c>
      <c r="B4502" s="26" t="n">
        <v>44591</v>
      </c>
      <c r="C4502" s="12" t="inlineStr">
        <is>
          <t>VS02</t>
        </is>
      </c>
      <c r="D4502" s="12" t="inlineStr">
        <is>
          <t>SS Pipes</t>
        </is>
      </c>
      <c r="E4502" s="12" t="inlineStr">
        <is>
          <t>Y</t>
        </is>
      </c>
      <c r="F4502" s="12" t="n">
        <v>27.29</v>
      </c>
      <c r="G4502" s="17" t="n">
        <v>78476.25</v>
      </c>
      <c r="H4502" s="26" t="n">
        <v>44603</v>
      </c>
      <c r="I4502" s="26" t="n">
        <v>44603</v>
      </c>
      <c r="J4502" s="12" t="n">
        <v>27.06</v>
      </c>
      <c r="K4502" s="17" t="n">
        <v>2141616.86</v>
      </c>
      <c r="L4502" s="12" t="n">
        <v>0</v>
      </c>
      <c r="M4502" s="12" t="n">
        <v>0</v>
      </c>
      <c r="N4502" s="27">
        <f>F4502-J4502</f>
        <v/>
      </c>
      <c r="O4502" s="16">
        <f>I4502-H4502</f>
        <v/>
      </c>
      <c r="P4502" s="14">
        <f>F4502*G4502</f>
        <v/>
      </c>
      <c r="Q4502" s="14">
        <f>J4502*G4502</f>
        <v/>
      </c>
      <c r="R4502" s="14">
        <f>K4502-Q4502</f>
        <v/>
      </c>
      <c r="S4502" s="3">
        <f>P4502*Assumptions!$B$3/100</f>
        <v/>
      </c>
      <c r="T4502" s="14">
        <f>R4502-S4502</f>
        <v/>
      </c>
      <c r="U4502" s="14">
        <f>L4502*G4502</f>
        <v/>
      </c>
    </row>
    <row r="4503">
      <c r="A4503" s="12" t="inlineStr">
        <is>
          <t>PO-2023-4501</t>
        </is>
      </c>
      <c r="B4503" s="26" t="n">
        <v>45017</v>
      </c>
      <c r="C4503" s="12" t="inlineStr">
        <is>
          <t>VS04</t>
        </is>
      </c>
      <c r="D4503" s="12" t="inlineStr">
        <is>
          <t>Structural Steel</t>
        </is>
      </c>
      <c r="E4503" s="12" t="inlineStr">
        <is>
          <t>N</t>
        </is>
      </c>
      <c r="F4503" s="12" t="n">
        <v>17.4</v>
      </c>
      <c r="G4503" s="17" t="n">
        <v>78614.97</v>
      </c>
      <c r="H4503" s="26" t="n">
        <v>45029</v>
      </c>
      <c r="I4503" s="26" t="n">
        <v>45029</v>
      </c>
      <c r="J4503" s="12" t="n">
        <v>17.27</v>
      </c>
      <c r="K4503" s="17" t="n">
        <v>1367900.48</v>
      </c>
      <c r="L4503" s="12" t="n">
        <v>0</v>
      </c>
      <c r="M4503" s="12" t="n">
        <v>18</v>
      </c>
      <c r="N4503" s="27">
        <f>F4503-J4503</f>
        <v/>
      </c>
      <c r="O4503" s="16">
        <f>I4503-H4503</f>
        <v/>
      </c>
      <c r="P4503" s="14">
        <f>F4503*G4503</f>
        <v/>
      </c>
      <c r="Q4503" s="14">
        <f>J4503*G4503</f>
        <v/>
      </c>
      <c r="R4503" s="14">
        <f>K4503-Q4503</f>
        <v/>
      </c>
      <c r="S4503" s="3">
        <f>P4503*Assumptions!$B$3/100</f>
        <v/>
      </c>
      <c r="T4503" s="14">
        <f>R4503-S4503</f>
        <v/>
      </c>
      <c r="U4503" s="14">
        <f>L4503*G4503</f>
        <v/>
      </c>
    </row>
    <row r="4504">
      <c r="A4504" s="12" t="inlineStr">
        <is>
          <t>PO-2023-4502</t>
        </is>
      </c>
      <c r="B4504" s="26" t="n">
        <v>45263</v>
      </c>
      <c r="C4504" s="12" t="inlineStr">
        <is>
          <t>VS17</t>
        </is>
      </c>
      <c r="D4504" s="12" t="inlineStr">
        <is>
          <t>Structural Steel</t>
        </is>
      </c>
      <c r="E4504" s="12" t="inlineStr">
        <is>
          <t>N</t>
        </is>
      </c>
      <c r="F4504" s="12" t="n">
        <v>44.83</v>
      </c>
      <c r="G4504" s="17" t="n">
        <v>88622.64999999999</v>
      </c>
      <c r="H4504" s="26" t="n">
        <v>45273</v>
      </c>
      <c r="I4504" s="26" t="n">
        <v>45273</v>
      </c>
      <c r="J4504" s="12" t="n">
        <v>44.59</v>
      </c>
      <c r="K4504" s="17" t="n">
        <v>3972953.4</v>
      </c>
      <c r="L4504" s="12" t="n">
        <v>0</v>
      </c>
      <c r="M4504" s="12" t="n">
        <v>0</v>
      </c>
      <c r="N4504" s="27">
        <f>F4504-J4504</f>
        <v/>
      </c>
      <c r="O4504" s="16">
        <f>I4504-H4504</f>
        <v/>
      </c>
      <c r="P4504" s="14">
        <f>F4504*G4504</f>
        <v/>
      </c>
      <c r="Q4504" s="14">
        <f>J4504*G4504</f>
        <v/>
      </c>
      <c r="R4504" s="14">
        <f>K4504-Q4504</f>
        <v/>
      </c>
      <c r="S4504" s="3">
        <f>P4504*Assumptions!$B$3/100</f>
        <v/>
      </c>
      <c r="T4504" s="14">
        <f>R4504-S4504</f>
        <v/>
      </c>
      <c r="U4504" s="14">
        <f>L4504*G4504</f>
        <v/>
      </c>
    </row>
    <row r="4505">
      <c r="A4505" s="12" t="inlineStr">
        <is>
          <t>PO-2023-4503</t>
        </is>
      </c>
      <c r="B4505" s="26" t="n">
        <v>44313</v>
      </c>
      <c r="C4505" s="12" t="inlineStr">
        <is>
          <t>VS21</t>
        </is>
      </c>
      <c r="D4505" s="12" t="inlineStr">
        <is>
          <t>MS Sheets</t>
        </is>
      </c>
      <c r="E4505" s="12" t="inlineStr">
        <is>
          <t>N</t>
        </is>
      </c>
      <c r="F4505" s="12" t="n">
        <v>46.56</v>
      </c>
      <c r="G4505" s="17" t="n">
        <v>55111.64</v>
      </c>
      <c r="H4505" s="26" t="n">
        <v>44323</v>
      </c>
      <c r="I4505" s="26" t="n">
        <v>44323</v>
      </c>
      <c r="J4505" s="12" t="n">
        <v>46.16</v>
      </c>
      <c r="K4505" s="17" t="n">
        <v>2565997.96</v>
      </c>
      <c r="L4505" s="12" t="n">
        <v>0</v>
      </c>
      <c r="M4505" s="12" t="n">
        <v>0</v>
      </c>
      <c r="N4505" s="27">
        <f>F4505-J4505</f>
        <v/>
      </c>
      <c r="O4505" s="16">
        <f>I4505-H4505</f>
        <v/>
      </c>
      <c r="P4505" s="14">
        <f>F4505*G4505</f>
        <v/>
      </c>
      <c r="Q4505" s="14">
        <f>J4505*G4505</f>
        <v/>
      </c>
      <c r="R4505" s="14">
        <f>K4505-Q4505</f>
        <v/>
      </c>
      <c r="S4505" s="3">
        <f>P4505*Assumptions!$B$3/100</f>
        <v/>
      </c>
      <c r="T4505" s="14">
        <f>R4505-S4505</f>
        <v/>
      </c>
      <c r="U4505" s="14">
        <f>L4505*G4505</f>
        <v/>
      </c>
    </row>
    <row r="4506">
      <c r="A4506" s="12" t="inlineStr">
        <is>
          <t>PO-2023-4504</t>
        </is>
      </c>
      <c r="B4506" s="26" t="n">
        <v>44451</v>
      </c>
      <c r="C4506" s="12" t="inlineStr">
        <is>
          <t>VS08</t>
        </is>
      </c>
      <c r="D4506" s="12" t="inlineStr">
        <is>
          <t>CR Sheets</t>
        </is>
      </c>
      <c r="E4506" s="12" t="inlineStr">
        <is>
          <t>N</t>
        </is>
      </c>
      <c r="F4506" s="12" t="n">
        <v>27.77</v>
      </c>
      <c r="G4506" s="17" t="n">
        <v>75691.42</v>
      </c>
      <c r="H4506" s="26" t="n">
        <v>44459</v>
      </c>
      <c r="I4506" s="26" t="n">
        <v>44460</v>
      </c>
      <c r="J4506" s="12" t="n">
        <v>27.71</v>
      </c>
      <c r="K4506" s="17" t="n">
        <v>2101950.73</v>
      </c>
      <c r="L4506" s="12" t="n">
        <v>0</v>
      </c>
      <c r="M4506" s="12" t="n">
        <v>2</v>
      </c>
      <c r="N4506" s="27">
        <f>F4506-J4506</f>
        <v/>
      </c>
      <c r="O4506" s="16">
        <f>I4506-H4506</f>
        <v/>
      </c>
      <c r="P4506" s="14">
        <f>F4506*G4506</f>
        <v/>
      </c>
      <c r="Q4506" s="14">
        <f>J4506*G4506</f>
        <v/>
      </c>
      <c r="R4506" s="14">
        <f>K4506-Q4506</f>
        <v/>
      </c>
      <c r="S4506" s="3">
        <f>P4506*Assumptions!$B$3/100</f>
        <v/>
      </c>
      <c r="T4506" s="14">
        <f>R4506-S4506</f>
        <v/>
      </c>
      <c r="U4506" s="14">
        <f>L4506*G4506</f>
        <v/>
      </c>
    </row>
    <row r="4507">
      <c r="A4507" s="12" t="inlineStr">
        <is>
          <t>PO-2023-4505</t>
        </is>
      </c>
      <c r="B4507" s="26" t="n">
        <v>45052</v>
      </c>
      <c r="C4507" s="12" t="inlineStr">
        <is>
          <t>VS23</t>
        </is>
      </c>
      <c r="D4507" s="12" t="inlineStr">
        <is>
          <t>Hex Bars</t>
        </is>
      </c>
      <c r="E4507" s="12" t="inlineStr">
        <is>
          <t>N</t>
        </is>
      </c>
      <c r="F4507" s="12" t="n">
        <v>37.15</v>
      </c>
      <c r="G4507" s="17" t="n">
        <v>86466.89999999999</v>
      </c>
      <c r="H4507" s="26" t="n">
        <v>45063</v>
      </c>
      <c r="I4507" s="26" t="n">
        <v>45066</v>
      </c>
      <c r="J4507" s="12" t="n">
        <v>36.8</v>
      </c>
      <c r="K4507" s="17" t="n">
        <v>3212245.33</v>
      </c>
      <c r="L4507" s="12" t="n">
        <v>0</v>
      </c>
      <c r="M4507" s="12" t="n">
        <v>11</v>
      </c>
      <c r="N4507" s="27">
        <f>F4507-J4507</f>
        <v/>
      </c>
      <c r="O4507" s="16">
        <f>I4507-H4507</f>
        <v/>
      </c>
      <c r="P4507" s="14">
        <f>F4507*G4507</f>
        <v/>
      </c>
      <c r="Q4507" s="14">
        <f>J4507*G4507</f>
        <v/>
      </c>
      <c r="R4507" s="14">
        <f>K4507-Q4507</f>
        <v/>
      </c>
      <c r="S4507" s="3">
        <f>P4507*Assumptions!$B$3/100</f>
        <v/>
      </c>
      <c r="T4507" s="14">
        <f>R4507-S4507</f>
        <v/>
      </c>
      <c r="U4507" s="14">
        <f>L4507*G4507</f>
        <v/>
      </c>
    </row>
    <row r="4508">
      <c r="A4508" s="12" t="inlineStr">
        <is>
          <t>PO-2023-4506</t>
        </is>
      </c>
      <c r="B4508" s="26" t="n">
        <v>44405</v>
      </c>
      <c r="C4508" s="12" t="inlineStr">
        <is>
          <t>VS01</t>
        </is>
      </c>
      <c r="D4508" s="12" t="inlineStr">
        <is>
          <t>GI Wire</t>
        </is>
      </c>
      <c r="E4508" s="12" t="inlineStr">
        <is>
          <t>N</t>
        </is>
      </c>
      <c r="F4508" s="12" t="n">
        <v>4.77</v>
      </c>
      <c r="G4508" s="17" t="n">
        <v>60844.45</v>
      </c>
      <c r="H4508" s="26" t="n">
        <v>44420</v>
      </c>
      <c r="I4508" s="26" t="n">
        <v>44423</v>
      </c>
      <c r="J4508" s="12" t="n">
        <v>4.74</v>
      </c>
      <c r="K4508" s="17" t="n">
        <v>290228.03</v>
      </c>
      <c r="L4508" s="12" t="n">
        <v>0</v>
      </c>
      <c r="M4508" s="12" t="n">
        <v>7</v>
      </c>
      <c r="N4508" s="27">
        <f>F4508-J4508</f>
        <v/>
      </c>
      <c r="O4508" s="16">
        <f>I4508-H4508</f>
        <v/>
      </c>
      <c r="P4508" s="14">
        <f>F4508*G4508</f>
        <v/>
      </c>
      <c r="Q4508" s="14">
        <f>J4508*G4508</f>
        <v/>
      </c>
      <c r="R4508" s="14">
        <f>K4508-Q4508</f>
        <v/>
      </c>
      <c r="S4508" s="3">
        <f>P4508*Assumptions!$B$3/100</f>
        <v/>
      </c>
      <c r="T4508" s="14">
        <f>R4508-S4508</f>
        <v/>
      </c>
      <c r="U4508" s="14">
        <f>L4508*G4508</f>
        <v/>
      </c>
    </row>
    <row r="4509">
      <c r="A4509" s="12" t="inlineStr">
        <is>
          <t>PO-2023-4507</t>
        </is>
      </c>
      <c r="B4509" s="26" t="n">
        <v>44838</v>
      </c>
      <c r="C4509" s="12" t="inlineStr">
        <is>
          <t>VS27</t>
        </is>
      </c>
      <c r="D4509" s="12" t="inlineStr">
        <is>
          <t>HR Coils</t>
        </is>
      </c>
      <c r="E4509" s="12" t="inlineStr">
        <is>
          <t>N</t>
        </is>
      </c>
      <c r="F4509" s="12" t="n">
        <v>5.64</v>
      </c>
      <c r="G4509" s="17" t="n">
        <v>75595.10000000001</v>
      </c>
      <c r="H4509" s="26" t="n">
        <v>44842</v>
      </c>
      <c r="I4509" s="26" t="n">
        <v>44842</v>
      </c>
      <c r="J4509" s="12" t="n">
        <v>5.6</v>
      </c>
      <c r="K4509" s="17" t="n">
        <v>426356.36</v>
      </c>
      <c r="L4509" s="12" t="n">
        <v>0</v>
      </c>
      <c r="M4509" s="12" t="n">
        <v>4</v>
      </c>
      <c r="N4509" s="27">
        <f>F4509-J4509</f>
        <v/>
      </c>
      <c r="O4509" s="16">
        <f>I4509-H4509</f>
        <v/>
      </c>
      <c r="P4509" s="14">
        <f>F4509*G4509</f>
        <v/>
      </c>
      <c r="Q4509" s="14">
        <f>J4509*G4509</f>
        <v/>
      </c>
      <c r="R4509" s="14">
        <f>K4509-Q4509</f>
        <v/>
      </c>
      <c r="S4509" s="3">
        <f>P4509*Assumptions!$B$3/100</f>
        <v/>
      </c>
      <c r="T4509" s="14">
        <f>R4509-S4509</f>
        <v/>
      </c>
      <c r="U4509" s="14">
        <f>L4509*G4509</f>
        <v/>
      </c>
    </row>
    <row r="4510">
      <c r="A4510" s="12" t="inlineStr">
        <is>
          <t>PO-2023-4508</t>
        </is>
      </c>
      <c r="B4510" s="26" t="n">
        <v>44541</v>
      </c>
      <c r="C4510" s="12" t="inlineStr">
        <is>
          <t>VS30</t>
        </is>
      </c>
      <c r="D4510" s="12" t="inlineStr">
        <is>
          <t>Angles &amp; Channels</t>
        </is>
      </c>
      <c r="E4510" s="12" t="inlineStr">
        <is>
          <t>N</t>
        </is>
      </c>
      <c r="F4510" s="12" t="n">
        <v>41.81</v>
      </c>
      <c r="G4510" s="17" t="n">
        <v>78647.35000000001</v>
      </c>
      <c r="H4510" s="26" t="n">
        <v>44546</v>
      </c>
      <c r="I4510" s="26" t="n">
        <v>44547</v>
      </c>
      <c r="J4510" s="12" t="n">
        <v>41.73</v>
      </c>
      <c r="K4510" s="17" t="n">
        <v>3288245.7</v>
      </c>
      <c r="L4510" s="12" t="n">
        <v>0</v>
      </c>
      <c r="M4510" s="12" t="n">
        <v>22</v>
      </c>
      <c r="N4510" s="27">
        <f>F4510-J4510</f>
        <v/>
      </c>
      <c r="O4510" s="16">
        <f>I4510-H4510</f>
        <v/>
      </c>
      <c r="P4510" s="14">
        <f>F4510*G4510</f>
        <v/>
      </c>
      <c r="Q4510" s="14">
        <f>J4510*G4510</f>
        <v/>
      </c>
      <c r="R4510" s="14">
        <f>K4510-Q4510</f>
        <v/>
      </c>
      <c r="S4510" s="3">
        <f>P4510*Assumptions!$B$3/100</f>
        <v/>
      </c>
      <c r="T4510" s="14">
        <f>R4510-S4510</f>
        <v/>
      </c>
      <c r="U4510" s="14">
        <f>L4510*G4510</f>
        <v/>
      </c>
    </row>
    <row r="4511">
      <c r="A4511" s="12" t="inlineStr">
        <is>
          <t>PO-2023-4509</t>
        </is>
      </c>
      <c r="B4511" s="26" t="n">
        <v>45045</v>
      </c>
      <c r="C4511" s="12" t="inlineStr">
        <is>
          <t>VS07</t>
        </is>
      </c>
      <c r="D4511" s="12" t="inlineStr">
        <is>
          <t>GI Wire</t>
        </is>
      </c>
      <c r="E4511" s="12" t="inlineStr">
        <is>
          <t>N</t>
        </is>
      </c>
      <c r="F4511" s="12" t="n">
        <v>30.24</v>
      </c>
      <c r="G4511" s="17" t="n">
        <v>90660.17999999999</v>
      </c>
      <c r="H4511" s="26" t="n">
        <v>45051</v>
      </c>
      <c r="I4511" s="26" t="n">
        <v>45051</v>
      </c>
      <c r="J4511" s="12" t="n">
        <v>29.96</v>
      </c>
      <c r="K4511" s="17" t="n">
        <v>2741563.84</v>
      </c>
      <c r="L4511" s="12" t="n">
        <v>0</v>
      </c>
      <c r="M4511" s="12" t="n">
        <v>0</v>
      </c>
      <c r="N4511" s="27">
        <f>F4511-J4511</f>
        <v/>
      </c>
      <c r="O4511" s="16">
        <f>I4511-H4511</f>
        <v/>
      </c>
      <c r="P4511" s="14">
        <f>F4511*G4511</f>
        <v/>
      </c>
      <c r="Q4511" s="14">
        <f>J4511*G4511</f>
        <v/>
      </c>
      <c r="R4511" s="14">
        <f>K4511-Q4511</f>
        <v/>
      </c>
      <c r="S4511" s="3">
        <f>P4511*Assumptions!$B$3/100</f>
        <v/>
      </c>
      <c r="T4511" s="14">
        <f>R4511-S4511</f>
        <v/>
      </c>
      <c r="U4511" s="14">
        <f>L4511*G4511</f>
        <v/>
      </c>
    </row>
    <row r="4512">
      <c r="A4512" s="12" t="inlineStr">
        <is>
          <t>PO-2023-4510</t>
        </is>
      </c>
      <c r="B4512" s="26" t="n">
        <v>45196</v>
      </c>
      <c r="C4512" s="12" t="inlineStr">
        <is>
          <t>VS33</t>
        </is>
      </c>
      <c r="D4512" s="12" t="inlineStr">
        <is>
          <t>SS Pipes</t>
        </is>
      </c>
      <c r="E4512" s="12" t="inlineStr">
        <is>
          <t>N</t>
        </is>
      </c>
      <c r="F4512" s="12" t="n">
        <v>5.35</v>
      </c>
      <c r="G4512" s="17" t="n">
        <v>107938.52</v>
      </c>
      <c r="H4512" s="26" t="n">
        <v>45202</v>
      </c>
      <c r="I4512" s="26" t="n">
        <v>45204</v>
      </c>
      <c r="J4512" s="12" t="n">
        <v>5.31</v>
      </c>
      <c r="K4512" s="17" t="n">
        <v>577471.08</v>
      </c>
      <c r="L4512" s="12" t="n">
        <v>0</v>
      </c>
      <c r="M4512" s="12" t="n">
        <v>15</v>
      </c>
      <c r="N4512" s="27">
        <f>F4512-J4512</f>
        <v/>
      </c>
      <c r="O4512" s="16">
        <f>I4512-H4512</f>
        <v/>
      </c>
      <c r="P4512" s="14">
        <f>F4512*G4512</f>
        <v/>
      </c>
      <c r="Q4512" s="14">
        <f>J4512*G4512</f>
        <v/>
      </c>
      <c r="R4512" s="14">
        <f>K4512-Q4512</f>
        <v/>
      </c>
      <c r="S4512" s="3">
        <f>P4512*Assumptions!$B$3/100</f>
        <v/>
      </c>
      <c r="T4512" s="14">
        <f>R4512-S4512</f>
        <v/>
      </c>
      <c r="U4512" s="14">
        <f>L4512*G4512</f>
        <v/>
      </c>
    </row>
    <row r="4513">
      <c r="A4513" s="12" t="inlineStr">
        <is>
          <t>PO-2023-4511</t>
        </is>
      </c>
      <c r="B4513" s="26" t="n">
        <v>45273</v>
      </c>
      <c r="C4513" s="12" t="inlineStr">
        <is>
          <t>VS04</t>
        </is>
      </c>
      <c r="D4513" s="12" t="inlineStr">
        <is>
          <t>MS Rods</t>
        </is>
      </c>
      <c r="E4513" s="12" t="inlineStr">
        <is>
          <t>N</t>
        </is>
      </c>
      <c r="F4513" s="12" t="n">
        <v>26.99</v>
      </c>
      <c r="G4513" s="17" t="n">
        <v>116081.97</v>
      </c>
      <c r="H4513" s="26" t="n">
        <v>45287</v>
      </c>
      <c r="I4513" s="26" t="n">
        <v>45287</v>
      </c>
      <c r="J4513" s="12" t="n">
        <v>26.73</v>
      </c>
      <c r="K4513" s="17" t="n">
        <v>3133052.37</v>
      </c>
      <c r="L4513" s="12" t="n">
        <v>0</v>
      </c>
      <c r="M4513" s="12" t="n">
        <v>21</v>
      </c>
      <c r="N4513" s="27">
        <f>F4513-J4513</f>
        <v/>
      </c>
      <c r="O4513" s="16">
        <f>I4513-H4513</f>
        <v/>
      </c>
      <c r="P4513" s="14">
        <f>F4513*G4513</f>
        <v/>
      </c>
      <c r="Q4513" s="14">
        <f>J4513*G4513</f>
        <v/>
      </c>
      <c r="R4513" s="14">
        <f>K4513-Q4513</f>
        <v/>
      </c>
      <c r="S4513" s="3">
        <f>P4513*Assumptions!$B$3/100</f>
        <v/>
      </c>
      <c r="T4513" s="14">
        <f>R4513-S4513</f>
        <v/>
      </c>
      <c r="U4513" s="14">
        <f>L4513*G4513</f>
        <v/>
      </c>
    </row>
    <row r="4514">
      <c r="A4514" s="12" t="inlineStr">
        <is>
          <t>PO-2023-4512</t>
        </is>
      </c>
      <c r="B4514" s="26" t="n">
        <v>44293</v>
      </c>
      <c r="C4514" s="12" t="inlineStr">
        <is>
          <t>VS08</t>
        </is>
      </c>
      <c r="D4514" s="12" t="inlineStr">
        <is>
          <t>GI Sheets</t>
        </is>
      </c>
      <c r="E4514" s="12" t="inlineStr">
        <is>
          <t>Y</t>
        </is>
      </c>
      <c r="F4514" s="12" t="n">
        <v>32.51</v>
      </c>
      <c r="G4514" s="17" t="n">
        <v>45972.6</v>
      </c>
      <c r="H4514" s="26" t="n">
        <v>44297</v>
      </c>
      <c r="I4514" s="26" t="n">
        <v>44299</v>
      </c>
      <c r="J4514" s="12" t="n">
        <v>32.35</v>
      </c>
      <c r="K4514" s="17" t="n">
        <v>1494569.23</v>
      </c>
      <c r="L4514" s="12" t="n">
        <v>0</v>
      </c>
      <c r="M4514" s="12" t="n">
        <v>0</v>
      </c>
      <c r="N4514" s="27">
        <f>F4514-J4514</f>
        <v/>
      </c>
      <c r="O4514" s="16">
        <f>I4514-H4514</f>
        <v/>
      </c>
      <c r="P4514" s="14">
        <f>F4514*G4514</f>
        <v/>
      </c>
      <c r="Q4514" s="14">
        <f>J4514*G4514</f>
        <v/>
      </c>
      <c r="R4514" s="14">
        <f>K4514-Q4514</f>
        <v/>
      </c>
      <c r="S4514" s="3">
        <f>P4514*Assumptions!$B$3/100</f>
        <v/>
      </c>
      <c r="T4514" s="14">
        <f>R4514-S4514</f>
        <v/>
      </c>
      <c r="U4514" s="14">
        <f>L4514*G4514</f>
        <v/>
      </c>
    </row>
    <row r="4515">
      <c r="A4515" s="12" t="inlineStr">
        <is>
          <t>PO-2023-4513</t>
        </is>
      </c>
      <c r="B4515" s="26" t="n">
        <v>45069</v>
      </c>
      <c r="C4515" s="12" t="inlineStr">
        <is>
          <t>VS32</t>
        </is>
      </c>
      <c r="D4515" s="12" t="inlineStr">
        <is>
          <t>Angles &amp; Channels</t>
        </is>
      </c>
      <c r="E4515" s="12" t="inlineStr">
        <is>
          <t>N</t>
        </is>
      </c>
      <c r="F4515" s="12" t="n">
        <v>10.24</v>
      </c>
      <c r="G4515" s="17" t="n">
        <v>96245.08</v>
      </c>
      <c r="H4515" s="26" t="n">
        <v>45074</v>
      </c>
      <c r="I4515" s="26" t="n">
        <v>45077</v>
      </c>
      <c r="J4515" s="12" t="n">
        <v>10.18</v>
      </c>
      <c r="K4515" s="17" t="n">
        <v>985549.62</v>
      </c>
      <c r="L4515" s="12" t="n">
        <v>0</v>
      </c>
      <c r="M4515" s="12" t="n">
        <v>0</v>
      </c>
      <c r="N4515" s="27">
        <f>F4515-J4515</f>
        <v/>
      </c>
      <c r="O4515" s="16">
        <f>I4515-H4515</f>
        <v/>
      </c>
      <c r="P4515" s="14">
        <f>F4515*G4515</f>
        <v/>
      </c>
      <c r="Q4515" s="14">
        <f>J4515*G4515</f>
        <v/>
      </c>
      <c r="R4515" s="14">
        <f>K4515-Q4515</f>
        <v/>
      </c>
      <c r="S4515" s="3">
        <f>P4515*Assumptions!$B$3/100</f>
        <v/>
      </c>
      <c r="T4515" s="14">
        <f>R4515-S4515</f>
        <v/>
      </c>
      <c r="U4515" s="14">
        <f>L4515*G4515</f>
        <v/>
      </c>
    </row>
    <row r="4516">
      <c r="A4516" s="12" t="inlineStr">
        <is>
          <t>PO-2023-4514</t>
        </is>
      </c>
      <c r="B4516" s="26" t="n">
        <v>44432</v>
      </c>
      <c r="C4516" s="12" t="inlineStr">
        <is>
          <t>VS25</t>
        </is>
      </c>
      <c r="D4516" s="12" t="inlineStr">
        <is>
          <t>HR Coils</t>
        </is>
      </c>
      <c r="E4516" s="12" t="inlineStr">
        <is>
          <t>N</t>
        </is>
      </c>
      <c r="F4516" s="12" t="n">
        <v>40.32</v>
      </c>
      <c r="G4516" s="17" t="n">
        <v>96828.98</v>
      </c>
      <c r="H4516" s="26" t="n">
        <v>44441</v>
      </c>
      <c r="I4516" s="26" t="n">
        <v>44441</v>
      </c>
      <c r="J4516" s="12" t="n">
        <v>40.24</v>
      </c>
      <c r="K4516" s="17" t="n">
        <v>3904144.47</v>
      </c>
      <c r="L4516" s="12" t="n">
        <v>0</v>
      </c>
      <c r="M4516" s="12" t="n">
        <v>18</v>
      </c>
      <c r="N4516" s="27">
        <f>F4516-J4516</f>
        <v/>
      </c>
      <c r="O4516" s="16">
        <f>I4516-H4516</f>
        <v/>
      </c>
      <c r="P4516" s="14">
        <f>F4516*G4516</f>
        <v/>
      </c>
      <c r="Q4516" s="14">
        <f>J4516*G4516</f>
        <v/>
      </c>
      <c r="R4516" s="14">
        <f>K4516-Q4516</f>
        <v/>
      </c>
      <c r="S4516" s="3">
        <f>P4516*Assumptions!$B$3/100</f>
        <v/>
      </c>
      <c r="T4516" s="14">
        <f>R4516-S4516</f>
        <v/>
      </c>
      <c r="U4516" s="14">
        <f>L4516*G4516</f>
        <v/>
      </c>
    </row>
    <row r="4517">
      <c r="A4517" s="12" t="inlineStr">
        <is>
          <t>PO-2023-4515</t>
        </is>
      </c>
      <c r="B4517" s="26" t="n">
        <v>44443</v>
      </c>
      <c r="C4517" s="12" t="inlineStr">
        <is>
          <t>VS16</t>
        </is>
      </c>
      <c r="D4517" s="12" t="inlineStr">
        <is>
          <t>SS Pipes</t>
        </is>
      </c>
      <c r="E4517" s="12" t="inlineStr">
        <is>
          <t>N</t>
        </is>
      </c>
      <c r="F4517" s="12" t="n">
        <v>24.04</v>
      </c>
      <c r="G4517" s="17" t="n">
        <v>109573.71</v>
      </c>
      <c r="H4517" s="26" t="n">
        <v>44451</v>
      </c>
      <c r="I4517" s="26" t="n">
        <v>44451</v>
      </c>
      <c r="J4517" s="12" t="n">
        <v>23.97</v>
      </c>
      <c r="K4517" s="17" t="n">
        <v>2634151.99</v>
      </c>
      <c r="L4517" s="12" t="n">
        <v>0</v>
      </c>
      <c r="M4517" s="12" t="n">
        <v>3</v>
      </c>
      <c r="N4517" s="27">
        <f>F4517-J4517</f>
        <v/>
      </c>
      <c r="O4517" s="16">
        <f>I4517-H4517</f>
        <v/>
      </c>
      <c r="P4517" s="14">
        <f>F4517*G4517</f>
        <v/>
      </c>
      <c r="Q4517" s="14">
        <f>J4517*G4517</f>
        <v/>
      </c>
      <c r="R4517" s="14">
        <f>K4517-Q4517</f>
        <v/>
      </c>
      <c r="S4517" s="3">
        <f>P4517*Assumptions!$B$3/100</f>
        <v/>
      </c>
      <c r="T4517" s="14">
        <f>R4517-S4517</f>
        <v/>
      </c>
      <c r="U4517" s="14">
        <f>L4517*G4517</f>
        <v/>
      </c>
    </row>
    <row r="4518">
      <c r="A4518" s="12" t="inlineStr">
        <is>
          <t>PO-2023-4516</t>
        </is>
      </c>
      <c r="B4518" s="26" t="n">
        <v>44745</v>
      </c>
      <c r="C4518" s="12" t="inlineStr">
        <is>
          <t>VS03</t>
        </is>
      </c>
      <c r="D4518" s="12" t="inlineStr">
        <is>
          <t>GI Pipes</t>
        </is>
      </c>
      <c r="E4518" s="12" t="inlineStr">
        <is>
          <t>N</t>
        </is>
      </c>
      <c r="F4518" s="12" t="n">
        <v>16.21</v>
      </c>
      <c r="G4518" s="17" t="n">
        <v>93760</v>
      </c>
      <c r="H4518" s="26" t="n">
        <v>44748</v>
      </c>
      <c r="I4518" s="26" t="n">
        <v>44755</v>
      </c>
      <c r="J4518" s="12" t="n">
        <v>15.74</v>
      </c>
      <c r="K4518" s="17" t="n">
        <v>1519849.6</v>
      </c>
      <c r="L4518" s="12" t="n">
        <v>0.22</v>
      </c>
      <c r="M4518" s="12" t="n">
        <v>0</v>
      </c>
      <c r="N4518" s="27">
        <f>F4518-J4518</f>
        <v/>
      </c>
      <c r="O4518" s="16">
        <f>I4518-H4518</f>
        <v/>
      </c>
      <c r="P4518" s="14">
        <f>F4518*G4518</f>
        <v/>
      </c>
      <c r="Q4518" s="14">
        <f>J4518*G4518</f>
        <v/>
      </c>
      <c r="R4518" s="14">
        <f>K4518-Q4518</f>
        <v/>
      </c>
      <c r="S4518" s="3">
        <f>P4518*Assumptions!$B$3/100</f>
        <v/>
      </c>
      <c r="T4518" s="14">
        <f>R4518-S4518</f>
        <v/>
      </c>
      <c r="U4518" s="14">
        <f>L4518*G4518</f>
        <v/>
      </c>
    </row>
    <row r="4519">
      <c r="A4519" s="12" t="inlineStr">
        <is>
          <t>PO-2023-4517</t>
        </is>
      </c>
      <c r="B4519" s="26" t="n">
        <v>44693</v>
      </c>
      <c r="C4519" s="12" t="inlineStr">
        <is>
          <t>VS31</t>
        </is>
      </c>
      <c r="D4519" s="12" t="inlineStr">
        <is>
          <t>MS Sheets</t>
        </is>
      </c>
      <c r="E4519" s="12" t="inlineStr">
        <is>
          <t>N</t>
        </is>
      </c>
      <c r="F4519" s="12" t="n">
        <v>30.47</v>
      </c>
      <c r="G4519" s="17" t="n">
        <v>101230.13</v>
      </c>
      <c r="H4519" s="26" t="n">
        <v>44701</v>
      </c>
      <c r="I4519" s="26" t="n">
        <v>44701</v>
      </c>
      <c r="J4519" s="12" t="n">
        <v>30.44</v>
      </c>
      <c r="K4519" s="17" t="n">
        <v>3084482.06</v>
      </c>
      <c r="L4519" s="12" t="n">
        <v>0</v>
      </c>
      <c r="M4519" s="12" t="n">
        <v>0</v>
      </c>
      <c r="N4519" s="27">
        <f>F4519-J4519</f>
        <v/>
      </c>
      <c r="O4519" s="16">
        <f>I4519-H4519</f>
        <v/>
      </c>
      <c r="P4519" s="14">
        <f>F4519*G4519</f>
        <v/>
      </c>
      <c r="Q4519" s="14">
        <f>J4519*G4519</f>
        <v/>
      </c>
      <c r="R4519" s="14">
        <f>K4519-Q4519</f>
        <v/>
      </c>
      <c r="S4519" s="3">
        <f>P4519*Assumptions!$B$3/100</f>
        <v/>
      </c>
      <c r="T4519" s="14">
        <f>R4519-S4519</f>
        <v/>
      </c>
      <c r="U4519" s="14">
        <f>L4519*G4519</f>
        <v/>
      </c>
    </row>
    <row r="4520">
      <c r="A4520" s="12" t="inlineStr">
        <is>
          <t>PO-2023-4518</t>
        </is>
      </c>
      <c r="B4520" s="26" t="n">
        <v>45253</v>
      </c>
      <c r="C4520" s="12" t="inlineStr">
        <is>
          <t>VS22</t>
        </is>
      </c>
      <c r="D4520" s="12" t="inlineStr">
        <is>
          <t>Hex Bars</t>
        </is>
      </c>
      <c r="E4520" s="12" t="inlineStr">
        <is>
          <t>N</t>
        </is>
      </c>
      <c r="F4520" s="12" t="n">
        <v>12.02</v>
      </c>
      <c r="G4520" s="17" t="n">
        <v>97113.34</v>
      </c>
      <c r="H4520" s="26" t="n">
        <v>45259</v>
      </c>
      <c r="I4520" s="26" t="n">
        <v>45261</v>
      </c>
      <c r="J4520" s="12" t="n">
        <v>11.95</v>
      </c>
      <c r="K4520" s="17" t="n">
        <v>1167302.35</v>
      </c>
      <c r="L4520" s="12" t="n">
        <v>0</v>
      </c>
      <c r="M4520" s="12" t="n">
        <v>0</v>
      </c>
      <c r="N4520" s="27">
        <f>F4520-J4520</f>
        <v/>
      </c>
      <c r="O4520" s="16">
        <f>I4520-H4520</f>
        <v/>
      </c>
      <c r="P4520" s="14">
        <f>F4520*G4520</f>
        <v/>
      </c>
      <c r="Q4520" s="14">
        <f>J4520*G4520</f>
        <v/>
      </c>
      <c r="R4520" s="14">
        <f>K4520-Q4520</f>
        <v/>
      </c>
      <c r="S4520" s="3">
        <f>P4520*Assumptions!$B$3/100</f>
        <v/>
      </c>
      <c r="T4520" s="14">
        <f>R4520-S4520</f>
        <v/>
      </c>
      <c r="U4520" s="14">
        <f>L4520*G4520</f>
        <v/>
      </c>
    </row>
    <row r="4521">
      <c r="A4521" s="12" t="inlineStr">
        <is>
          <t>PO-2023-4519</t>
        </is>
      </c>
      <c r="B4521" s="26" t="n">
        <v>44450</v>
      </c>
      <c r="C4521" s="12" t="inlineStr">
        <is>
          <t>VS10</t>
        </is>
      </c>
      <c r="D4521" s="12" t="inlineStr">
        <is>
          <t>Structural Steel</t>
        </is>
      </c>
      <c r="E4521" s="12" t="inlineStr">
        <is>
          <t>N</t>
        </is>
      </c>
      <c r="F4521" s="12" t="n">
        <v>42.68</v>
      </c>
      <c r="G4521" s="17" t="n">
        <v>119939.29</v>
      </c>
      <c r="H4521" s="26" t="n">
        <v>44456</v>
      </c>
      <c r="I4521" s="26" t="n">
        <v>44459</v>
      </c>
      <c r="J4521" s="12" t="n">
        <v>42.68</v>
      </c>
      <c r="K4521" s="17" t="n">
        <v>5119008.9</v>
      </c>
      <c r="L4521" s="12" t="n">
        <v>0</v>
      </c>
      <c r="M4521" s="12" t="n">
        <v>0</v>
      </c>
      <c r="N4521" s="27">
        <f>F4521-J4521</f>
        <v/>
      </c>
      <c r="O4521" s="16">
        <f>I4521-H4521</f>
        <v/>
      </c>
      <c r="P4521" s="14">
        <f>F4521*G4521</f>
        <v/>
      </c>
      <c r="Q4521" s="14">
        <f>J4521*G4521</f>
        <v/>
      </c>
      <c r="R4521" s="14">
        <f>K4521-Q4521</f>
        <v/>
      </c>
      <c r="S4521" s="3">
        <f>P4521*Assumptions!$B$3/100</f>
        <v/>
      </c>
      <c r="T4521" s="14">
        <f>R4521-S4521</f>
        <v/>
      </c>
      <c r="U4521" s="14">
        <f>L4521*G4521</f>
        <v/>
      </c>
    </row>
    <row r="4522">
      <c r="A4522" s="12" t="inlineStr">
        <is>
          <t>PO-2023-4520</t>
        </is>
      </c>
      <c r="B4522" s="26" t="n">
        <v>44512</v>
      </c>
      <c r="C4522" s="12" t="inlineStr">
        <is>
          <t>VS10</t>
        </is>
      </c>
      <c r="D4522" s="12" t="inlineStr">
        <is>
          <t>MS Flats</t>
        </is>
      </c>
      <c r="E4522" s="12" t="inlineStr">
        <is>
          <t>N</t>
        </is>
      </c>
      <c r="F4522" s="12" t="n">
        <v>39.08</v>
      </c>
      <c r="G4522" s="17" t="n">
        <v>111898.21</v>
      </c>
      <c r="H4522" s="26" t="n">
        <v>44516</v>
      </c>
      <c r="I4522" s="26" t="n">
        <v>44517</v>
      </c>
      <c r="J4522" s="12" t="n">
        <v>39.06</v>
      </c>
      <c r="K4522" s="17" t="n">
        <v>4372982.05</v>
      </c>
      <c r="L4522" s="12" t="n">
        <v>0</v>
      </c>
      <c r="M4522" s="12" t="n">
        <v>3</v>
      </c>
      <c r="N4522" s="27">
        <f>F4522-J4522</f>
        <v/>
      </c>
      <c r="O4522" s="16">
        <f>I4522-H4522</f>
        <v/>
      </c>
      <c r="P4522" s="14">
        <f>F4522*G4522</f>
        <v/>
      </c>
      <c r="Q4522" s="14">
        <f>J4522*G4522</f>
        <v/>
      </c>
      <c r="R4522" s="14">
        <f>K4522-Q4522</f>
        <v/>
      </c>
      <c r="S4522" s="3">
        <f>P4522*Assumptions!$B$3/100</f>
        <v/>
      </c>
      <c r="T4522" s="14">
        <f>R4522-S4522</f>
        <v/>
      </c>
      <c r="U4522" s="14">
        <f>L4522*G4522</f>
        <v/>
      </c>
    </row>
    <row r="4523">
      <c r="A4523" s="12" t="inlineStr">
        <is>
          <t>PO-2023-4521</t>
        </is>
      </c>
      <c r="B4523" s="26" t="n">
        <v>45093</v>
      </c>
      <c r="C4523" s="12" t="inlineStr">
        <is>
          <t>VS18</t>
        </is>
      </c>
      <c r="D4523" s="12" t="inlineStr">
        <is>
          <t>SS Pipes</t>
        </is>
      </c>
      <c r="E4523" s="12" t="inlineStr">
        <is>
          <t>Y</t>
        </is>
      </c>
      <c r="F4523" s="12" t="n">
        <v>41.85</v>
      </c>
      <c r="G4523" s="17" t="n">
        <v>97542.28999999999</v>
      </c>
      <c r="H4523" s="26" t="n">
        <v>45098</v>
      </c>
      <c r="I4523" s="26" t="n">
        <v>45101</v>
      </c>
      <c r="J4523" s="12" t="n">
        <v>41.52</v>
      </c>
      <c r="K4523" s="17" t="n">
        <v>4082144.84</v>
      </c>
      <c r="L4523" s="12" t="n">
        <v>0</v>
      </c>
      <c r="M4523" s="12" t="n">
        <v>18</v>
      </c>
      <c r="N4523" s="27">
        <f>F4523-J4523</f>
        <v/>
      </c>
      <c r="O4523" s="16">
        <f>I4523-H4523</f>
        <v/>
      </c>
      <c r="P4523" s="14">
        <f>F4523*G4523</f>
        <v/>
      </c>
      <c r="Q4523" s="14">
        <f>J4523*G4523</f>
        <v/>
      </c>
      <c r="R4523" s="14">
        <f>K4523-Q4523</f>
        <v/>
      </c>
      <c r="S4523" s="3">
        <f>P4523*Assumptions!$B$3/100</f>
        <v/>
      </c>
      <c r="T4523" s="14">
        <f>R4523-S4523</f>
        <v/>
      </c>
      <c r="U4523" s="14">
        <f>L4523*G4523</f>
        <v/>
      </c>
    </row>
    <row r="4524">
      <c r="A4524" s="12" t="inlineStr">
        <is>
          <t>PO-2023-4522</t>
        </is>
      </c>
      <c r="B4524" s="26" t="n">
        <v>44857</v>
      </c>
      <c r="C4524" s="12" t="inlineStr">
        <is>
          <t>VS05</t>
        </is>
      </c>
      <c r="D4524" s="12" t="inlineStr">
        <is>
          <t>CR Sheets</t>
        </is>
      </c>
      <c r="E4524" s="12" t="inlineStr">
        <is>
          <t>Y</t>
        </is>
      </c>
      <c r="F4524" s="12" t="n">
        <v>41.77</v>
      </c>
      <c r="G4524" s="17" t="n">
        <v>110073.47</v>
      </c>
      <c r="H4524" s="26" t="n">
        <v>44862</v>
      </c>
      <c r="I4524" s="26" t="n">
        <v>44863</v>
      </c>
      <c r="J4524" s="12" t="n">
        <v>41.7</v>
      </c>
      <c r="K4524" s="17" t="n">
        <v>4597768.84</v>
      </c>
      <c r="L4524" s="12" t="n">
        <v>0</v>
      </c>
      <c r="M4524" s="12" t="n">
        <v>0</v>
      </c>
      <c r="N4524" s="27">
        <f>F4524-J4524</f>
        <v/>
      </c>
      <c r="O4524" s="16">
        <f>I4524-H4524</f>
        <v/>
      </c>
      <c r="P4524" s="14">
        <f>F4524*G4524</f>
        <v/>
      </c>
      <c r="Q4524" s="14">
        <f>J4524*G4524</f>
        <v/>
      </c>
      <c r="R4524" s="14">
        <f>K4524-Q4524</f>
        <v/>
      </c>
      <c r="S4524" s="3">
        <f>P4524*Assumptions!$B$3/100</f>
        <v/>
      </c>
      <c r="T4524" s="14">
        <f>R4524-S4524</f>
        <v/>
      </c>
      <c r="U4524" s="14">
        <f>L4524*G4524</f>
        <v/>
      </c>
    </row>
    <row r="4525">
      <c r="A4525" s="12" t="inlineStr">
        <is>
          <t>PO-2023-4523</t>
        </is>
      </c>
      <c r="B4525" s="26" t="n">
        <v>44414</v>
      </c>
      <c r="C4525" s="12" t="inlineStr">
        <is>
          <t>VS12</t>
        </is>
      </c>
      <c r="D4525" s="12" t="inlineStr">
        <is>
          <t>GI Sheets</t>
        </is>
      </c>
      <c r="E4525" s="12" t="inlineStr">
        <is>
          <t>N</t>
        </is>
      </c>
      <c r="F4525" s="12" t="n">
        <v>20.88</v>
      </c>
      <c r="G4525" s="17" t="n">
        <v>49711.17</v>
      </c>
      <c r="H4525" s="26" t="n">
        <v>44428</v>
      </c>
      <c r="I4525" s="26" t="n">
        <v>44430</v>
      </c>
      <c r="J4525" s="12" t="n">
        <v>20.36</v>
      </c>
      <c r="K4525" s="17" t="n">
        <v>1037969.23</v>
      </c>
      <c r="L4525" s="12" t="n">
        <v>0.89</v>
      </c>
      <c r="M4525" s="12" t="n">
        <v>0</v>
      </c>
      <c r="N4525" s="27">
        <f>F4525-J4525</f>
        <v/>
      </c>
      <c r="O4525" s="16">
        <f>I4525-H4525</f>
        <v/>
      </c>
      <c r="P4525" s="14">
        <f>F4525*G4525</f>
        <v/>
      </c>
      <c r="Q4525" s="14">
        <f>J4525*G4525</f>
        <v/>
      </c>
      <c r="R4525" s="14">
        <f>K4525-Q4525</f>
        <v/>
      </c>
      <c r="S4525" s="3">
        <f>P4525*Assumptions!$B$3/100</f>
        <v/>
      </c>
      <c r="T4525" s="14">
        <f>R4525-S4525</f>
        <v/>
      </c>
      <c r="U4525" s="14">
        <f>L4525*G4525</f>
        <v/>
      </c>
    </row>
    <row r="4526">
      <c r="A4526" s="12" t="inlineStr">
        <is>
          <t>PO-2023-4524</t>
        </is>
      </c>
      <c r="B4526" s="26" t="n">
        <v>45006</v>
      </c>
      <c r="C4526" s="12" t="inlineStr">
        <is>
          <t>VS15</t>
        </is>
      </c>
      <c r="D4526" s="12" t="inlineStr">
        <is>
          <t>CR Sheets</t>
        </is>
      </c>
      <c r="E4526" s="12" t="inlineStr">
        <is>
          <t>N</t>
        </is>
      </c>
      <c r="F4526" s="12" t="n">
        <v>18.54</v>
      </c>
      <c r="G4526" s="17" t="n">
        <v>52325.09</v>
      </c>
      <c r="H4526" s="26" t="n">
        <v>45012</v>
      </c>
      <c r="I4526" s="26" t="n">
        <v>45014</v>
      </c>
      <c r="J4526" s="12" t="n">
        <v>18.46</v>
      </c>
      <c r="K4526" s="17" t="n">
        <v>970107.17</v>
      </c>
      <c r="L4526" s="12" t="n">
        <v>0</v>
      </c>
      <c r="M4526" s="12" t="n">
        <v>21</v>
      </c>
      <c r="N4526" s="27">
        <f>F4526-J4526</f>
        <v/>
      </c>
      <c r="O4526" s="16">
        <f>I4526-H4526</f>
        <v/>
      </c>
      <c r="P4526" s="14">
        <f>F4526*G4526</f>
        <v/>
      </c>
      <c r="Q4526" s="14">
        <f>J4526*G4526</f>
        <v/>
      </c>
      <c r="R4526" s="14">
        <f>K4526-Q4526</f>
        <v/>
      </c>
      <c r="S4526" s="3">
        <f>P4526*Assumptions!$B$3/100</f>
        <v/>
      </c>
      <c r="T4526" s="14">
        <f>R4526-S4526</f>
        <v/>
      </c>
      <c r="U4526" s="14">
        <f>L4526*G4526</f>
        <v/>
      </c>
    </row>
    <row r="4527">
      <c r="A4527" s="12" t="inlineStr">
        <is>
          <t>PO-2023-4525</t>
        </is>
      </c>
      <c r="B4527" s="26" t="n">
        <v>44712</v>
      </c>
      <c r="C4527" s="12" t="inlineStr">
        <is>
          <t>VS21</t>
        </is>
      </c>
      <c r="D4527" s="12" t="inlineStr">
        <is>
          <t>HR Coils</t>
        </is>
      </c>
      <c r="E4527" s="12" t="inlineStr">
        <is>
          <t>N</t>
        </is>
      </c>
      <c r="F4527" s="12" t="n">
        <v>5.6</v>
      </c>
      <c r="G4527" s="17" t="n">
        <v>74220.88</v>
      </c>
      <c r="H4527" s="26" t="n">
        <v>44727</v>
      </c>
      <c r="I4527" s="26" t="n">
        <v>44728</v>
      </c>
      <c r="J4527" s="12" t="n">
        <v>5.55</v>
      </c>
      <c r="K4527" s="17" t="n">
        <v>415636.93</v>
      </c>
      <c r="L4527" s="12" t="n">
        <v>0</v>
      </c>
      <c r="M4527" s="12" t="n">
        <v>2</v>
      </c>
      <c r="N4527" s="27">
        <f>F4527-J4527</f>
        <v/>
      </c>
      <c r="O4527" s="16">
        <f>I4527-H4527</f>
        <v/>
      </c>
      <c r="P4527" s="14">
        <f>F4527*G4527</f>
        <v/>
      </c>
      <c r="Q4527" s="14">
        <f>J4527*G4527</f>
        <v/>
      </c>
      <c r="R4527" s="14">
        <f>K4527-Q4527</f>
        <v/>
      </c>
      <c r="S4527" s="3">
        <f>P4527*Assumptions!$B$3/100</f>
        <v/>
      </c>
      <c r="T4527" s="14">
        <f>R4527-S4527</f>
        <v/>
      </c>
      <c r="U4527" s="14">
        <f>L4527*G4527</f>
        <v/>
      </c>
    </row>
    <row r="4528">
      <c r="A4528" s="12" t="inlineStr">
        <is>
          <t>PO-2023-4526</t>
        </is>
      </c>
      <c r="B4528" s="26" t="n">
        <v>44304</v>
      </c>
      <c r="C4528" s="12" t="inlineStr">
        <is>
          <t>VS16</t>
        </is>
      </c>
      <c r="D4528" s="12" t="inlineStr">
        <is>
          <t>MS Pipes</t>
        </is>
      </c>
      <c r="E4528" s="12" t="inlineStr">
        <is>
          <t>N</t>
        </is>
      </c>
      <c r="F4528" s="12" t="n">
        <v>44.84</v>
      </c>
      <c r="G4528" s="17" t="n">
        <v>105073.48</v>
      </c>
      <c r="H4528" s="26" t="n">
        <v>44316</v>
      </c>
      <c r="I4528" s="26" t="n">
        <v>44317</v>
      </c>
      <c r="J4528" s="12" t="n">
        <v>44.8</v>
      </c>
      <c r="K4528" s="17" t="n">
        <v>4711494.84</v>
      </c>
      <c r="L4528" s="12" t="n">
        <v>0</v>
      </c>
      <c r="M4528" s="12" t="n">
        <v>0</v>
      </c>
      <c r="N4528" s="27">
        <f>F4528-J4528</f>
        <v/>
      </c>
      <c r="O4528" s="16">
        <f>I4528-H4528</f>
        <v/>
      </c>
      <c r="P4528" s="14">
        <f>F4528*G4528</f>
        <v/>
      </c>
      <c r="Q4528" s="14">
        <f>J4528*G4528</f>
        <v/>
      </c>
      <c r="R4528" s="14">
        <f>K4528-Q4528</f>
        <v/>
      </c>
      <c r="S4528" s="3">
        <f>P4528*Assumptions!$B$3/100</f>
        <v/>
      </c>
      <c r="T4528" s="14">
        <f>R4528-S4528</f>
        <v/>
      </c>
      <c r="U4528" s="14">
        <f>L4528*G4528</f>
        <v/>
      </c>
    </row>
    <row r="4529">
      <c r="A4529" s="12" t="inlineStr">
        <is>
          <t>PO-2023-4527</t>
        </is>
      </c>
      <c r="B4529" s="26" t="n">
        <v>45016</v>
      </c>
      <c r="C4529" s="12" t="inlineStr">
        <is>
          <t>VS34</t>
        </is>
      </c>
      <c r="D4529" s="12" t="inlineStr">
        <is>
          <t>MS Flats</t>
        </is>
      </c>
      <c r="E4529" s="12" t="inlineStr">
        <is>
          <t>N</t>
        </is>
      </c>
      <c r="F4529" s="12" t="n">
        <v>38.98</v>
      </c>
      <c r="G4529" s="17" t="n">
        <v>91632.17999999999</v>
      </c>
      <c r="H4529" s="26" t="n">
        <v>45029</v>
      </c>
      <c r="I4529" s="26" t="n">
        <v>45031</v>
      </c>
      <c r="J4529" s="12" t="n">
        <v>38.6</v>
      </c>
      <c r="K4529" s="17" t="n">
        <v>3571822.38</v>
      </c>
      <c r="L4529" s="12" t="n">
        <v>0</v>
      </c>
      <c r="M4529" s="12" t="n">
        <v>0</v>
      </c>
      <c r="N4529" s="27">
        <f>F4529-J4529</f>
        <v/>
      </c>
      <c r="O4529" s="16">
        <f>I4529-H4529</f>
        <v/>
      </c>
      <c r="P4529" s="14">
        <f>F4529*G4529</f>
        <v/>
      </c>
      <c r="Q4529" s="14">
        <f>J4529*G4529</f>
        <v/>
      </c>
      <c r="R4529" s="14">
        <f>K4529-Q4529</f>
        <v/>
      </c>
      <c r="S4529" s="3">
        <f>P4529*Assumptions!$B$3/100</f>
        <v/>
      </c>
      <c r="T4529" s="14">
        <f>R4529-S4529</f>
        <v/>
      </c>
      <c r="U4529" s="14">
        <f>L4529*G4529</f>
        <v/>
      </c>
    </row>
    <row r="4530">
      <c r="A4530" s="12" t="inlineStr">
        <is>
          <t>PO-2023-4528</t>
        </is>
      </c>
      <c r="B4530" s="26" t="n">
        <v>45074</v>
      </c>
      <c r="C4530" s="12" t="inlineStr">
        <is>
          <t>VS20</t>
        </is>
      </c>
      <c r="D4530" s="12" t="inlineStr">
        <is>
          <t>Angles &amp; Channels</t>
        </is>
      </c>
      <c r="E4530" s="12" t="inlineStr">
        <is>
          <t>N</t>
        </is>
      </c>
      <c r="F4530" s="12" t="n">
        <v>44.21</v>
      </c>
      <c r="G4530" s="17" t="n">
        <v>88447.11</v>
      </c>
      <c r="H4530" s="26" t="n">
        <v>45084</v>
      </c>
      <c r="I4530" s="26" t="n">
        <v>45087</v>
      </c>
      <c r="J4530" s="12" t="n">
        <v>43.8</v>
      </c>
      <c r="K4530" s="17" t="n">
        <v>3910246.73</v>
      </c>
      <c r="L4530" s="12" t="n">
        <v>0</v>
      </c>
      <c r="M4530" s="12" t="n">
        <v>21</v>
      </c>
      <c r="N4530" s="27">
        <f>F4530-J4530</f>
        <v/>
      </c>
      <c r="O4530" s="16">
        <f>I4530-H4530</f>
        <v/>
      </c>
      <c r="P4530" s="14">
        <f>F4530*G4530</f>
        <v/>
      </c>
      <c r="Q4530" s="14">
        <f>J4530*G4530</f>
        <v/>
      </c>
      <c r="R4530" s="14">
        <f>K4530-Q4530</f>
        <v/>
      </c>
      <c r="S4530" s="3">
        <f>P4530*Assumptions!$B$3/100</f>
        <v/>
      </c>
      <c r="T4530" s="14">
        <f>R4530-S4530</f>
        <v/>
      </c>
      <c r="U4530" s="14">
        <f>L4530*G4530</f>
        <v/>
      </c>
    </row>
    <row r="4531">
      <c r="A4531" s="12" t="inlineStr">
        <is>
          <t>PO-2023-4529</t>
        </is>
      </c>
      <c r="B4531" s="26" t="n">
        <v>44474</v>
      </c>
      <c r="C4531" s="12" t="inlineStr">
        <is>
          <t>VS18</t>
        </is>
      </c>
      <c r="D4531" s="12" t="inlineStr">
        <is>
          <t>GI Pipes</t>
        </is>
      </c>
      <c r="E4531" s="12" t="inlineStr">
        <is>
          <t>N</t>
        </is>
      </c>
      <c r="F4531" s="12" t="n">
        <v>28.56</v>
      </c>
      <c r="G4531" s="17" t="n">
        <v>101194.37</v>
      </c>
      <c r="H4531" s="26" t="n">
        <v>44486</v>
      </c>
      <c r="I4531" s="26" t="n">
        <v>44489</v>
      </c>
      <c r="J4531" s="12" t="n">
        <v>28.37</v>
      </c>
      <c r="K4531" s="17" t="n">
        <v>2890111.21</v>
      </c>
      <c r="L4531" s="12" t="n">
        <v>0</v>
      </c>
      <c r="M4531" s="12" t="n">
        <v>17</v>
      </c>
      <c r="N4531" s="27">
        <f>F4531-J4531</f>
        <v/>
      </c>
      <c r="O4531" s="16">
        <f>I4531-H4531</f>
        <v/>
      </c>
      <c r="P4531" s="14">
        <f>F4531*G4531</f>
        <v/>
      </c>
      <c r="Q4531" s="14">
        <f>J4531*G4531</f>
        <v/>
      </c>
      <c r="R4531" s="14">
        <f>K4531-Q4531</f>
        <v/>
      </c>
      <c r="S4531" s="3">
        <f>P4531*Assumptions!$B$3/100</f>
        <v/>
      </c>
      <c r="T4531" s="14">
        <f>R4531-S4531</f>
        <v/>
      </c>
      <c r="U4531" s="14">
        <f>L4531*G4531</f>
        <v/>
      </c>
    </row>
    <row r="4532">
      <c r="A4532" s="12" t="inlineStr">
        <is>
          <t>PO-2023-4530</t>
        </is>
      </c>
      <c r="B4532" s="26" t="n">
        <v>44557</v>
      </c>
      <c r="C4532" s="12" t="inlineStr">
        <is>
          <t>VS07</t>
        </is>
      </c>
      <c r="D4532" s="12" t="inlineStr">
        <is>
          <t>Fasteners &amp; Fittings</t>
        </is>
      </c>
      <c r="E4532" s="12" t="inlineStr">
        <is>
          <t>Y</t>
        </is>
      </c>
      <c r="F4532" s="12" t="n">
        <v>24.69</v>
      </c>
      <c r="G4532" s="17" t="n">
        <v>103229.99</v>
      </c>
      <c r="H4532" s="26" t="n">
        <v>44563</v>
      </c>
      <c r="I4532" s="26" t="n">
        <v>44566</v>
      </c>
      <c r="J4532" s="12" t="n">
        <v>24.67</v>
      </c>
      <c r="K4532" s="17" t="n">
        <v>2548748.45</v>
      </c>
      <c r="L4532" s="12" t="n">
        <v>0</v>
      </c>
      <c r="M4532" s="12" t="n">
        <v>20</v>
      </c>
      <c r="N4532" s="27">
        <f>F4532-J4532</f>
        <v/>
      </c>
      <c r="O4532" s="16">
        <f>I4532-H4532</f>
        <v/>
      </c>
      <c r="P4532" s="14">
        <f>F4532*G4532</f>
        <v/>
      </c>
      <c r="Q4532" s="14">
        <f>J4532*G4532</f>
        <v/>
      </c>
      <c r="R4532" s="14">
        <f>K4532-Q4532</f>
        <v/>
      </c>
      <c r="S4532" s="3">
        <f>P4532*Assumptions!$B$3/100</f>
        <v/>
      </c>
      <c r="T4532" s="14">
        <f>R4532-S4532</f>
        <v/>
      </c>
      <c r="U4532" s="14">
        <f>L4532*G4532</f>
        <v/>
      </c>
    </row>
    <row r="4533">
      <c r="A4533" s="12" t="inlineStr">
        <is>
          <t>PO-2023-4531</t>
        </is>
      </c>
      <c r="B4533" s="26" t="n">
        <v>44870</v>
      </c>
      <c r="C4533" s="12" t="inlineStr">
        <is>
          <t>VS06</t>
        </is>
      </c>
      <c r="D4533" s="12" t="inlineStr">
        <is>
          <t>GI Wire</t>
        </is>
      </c>
      <c r="E4533" s="12" t="inlineStr">
        <is>
          <t>N</t>
        </is>
      </c>
      <c r="F4533" s="12" t="n">
        <v>20.62</v>
      </c>
      <c r="G4533" s="17" t="n">
        <v>49827.89</v>
      </c>
      <c r="H4533" s="26" t="n">
        <v>44876</v>
      </c>
      <c r="I4533" s="26" t="n">
        <v>44877</v>
      </c>
      <c r="J4533" s="12" t="n">
        <v>20.6</v>
      </c>
      <c r="K4533" s="17" t="n">
        <v>1027451.09</v>
      </c>
      <c r="L4533" s="12" t="n">
        <v>0</v>
      </c>
      <c r="M4533" s="12" t="n">
        <v>0</v>
      </c>
      <c r="N4533" s="27">
        <f>F4533-J4533</f>
        <v/>
      </c>
      <c r="O4533" s="16">
        <f>I4533-H4533</f>
        <v/>
      </c>
      <c r="P4533" s="14">
        <f>F4533*G4533</f>
        <v/>
      </c>
      <c r="Q4533" s="14">
        <f>J4533*G4533</f>
        <v/>
      </c>
      <c r="R4533" s="14">
        <f>K4533-Q4533</f>
        <v/>
      </c>
      <c r="S4533" s="3">
        <f>P4533*Assumptions!$B$3/100</f>
        <v/>
      </c>
      <c r="T4533" s="14">
        <f>R4533-S4533</f>
        <v/>
      </c>
      <c r="U4533" s="14">
        <f>L4533*G4533</f>
        <v/>
      </c>
    </row>
    <row r="4534">
      <c r="A4534" s="12" t="inlineStr">
        <is>
          <t>PO-2023-4532</t>
        </is>
      </c>
      <c r="B4534" s="26" t="n">
        <v>44638</v>
      </c>
      <c r="C4534" s="12" t="inlineStr">
        <is>
          <t>VS31</t>
        </is>
      </c>
      <c r="D4534" s="12" t="inlineStr">
        <is>
          <t>GI Sheets</t>
        </is>
      </c>
      <c r="E4534" s="12" t="inlineStr">
        <is>
          <t>Y</t>
        </is>
      </c>
      <c r="F4534" s="12" t="n">
        <v>46.78</v>
      </c>
      <c r="G4534" s="17" t="n">
        <v>78961.59</v>
      </c>
      <c r="H4534" s="26" t="n">
        <v>44648</v>
      </c>
      <c r="I4534" s="26" t="n">
        <v>44648</v>
      </c>
      <c r="J4534" s="12" t="n">
        <v>46.77</v>
      </c>
      <c r="K4534" s="17" t="n">
        <v>3693823.18</v>
      </c>
      <c r="L4534" s="12" t="n">
        <v>0</v>
      </c>
      <c r="M4534" s="12" t="n">
        <v>0</v>
      </c>
      <c r="N4534" s="27">
        <f>F4534-J4534</f>
        <v/>
      </c>
      <c r="O4534" s="16">
        <f>I4534-H4534</f>
        <v/>
      </c>
      <c r="P4534" s="14">
        <f>F4534*G4534</f>
        <v/>
      </c>
      <c r="Q4534" s="14">
        <f>J4534*G4534</f>
        <v/>
      </c>
      <c r="R4534" s="14">
        <f>K4534-Q4534</f>
        <v/>
      </c>
      <c r="S4534" s="3">
        <f>P4534*Assumptions!$B$3/100</f>
        <v/>
      </c>
      <c r="T4534" s="14">
        <f>R4534-S4534</f>
        <v/>
      </c>
      <c r="U4534" s="14">
        <f>L4534*G4534</f>
        <v/>
      </c>
    </row>
    <row r="4535">
      <c r="A4535" s="12" t="inlineStr">
        <is>
          <t>PO-2023-4533</t>
        </is>
      </c>
      <c r="B4535" s="26" t="n">
        <v>44475</v>
      </c>
      <c r="C4535" s="12" t="inlineStr">
        <is>
          <t>VS08</t>
        </is>
      </c>
      <c r="D4535" s="12" t="inlineStr">
        <is>
          <t>Structural Steel</t>
        </is>
      </c>
      <c r="E4535" s="12" t="inlineStr">
        <is>
          <t>N</t>
        </is>
      </c>
      <c r="F4535" s="12" t="n">
        <v>33.19</v>
      </c>
      <c r="G4535" s="17" t="n">
        <v>97995.92999999999</v>
      </c>
      <c r="H4535" s="26" t="n">
        <v>44478</v>
      </c>
      <c r="I4535" s="26" t="n">
        <v>44479</v>
      </c>
      <c r="J4535" s="12" t="n">
        <v>32.97</v>
      </c>
      <c r="K4535" s="17" t="n">
        <v>3252484.92</v>
      </c>
      <c r="L4535" s="12" t="n">
        <v>0</v>
      </c>
      <c r="M4535" s="12" t="n">
        <v>2</v>
      </c>
      <c r="N4535" s="27">
        <f>F4535-J4535</f>
        <v/>
      </c>
      <c r="O4535" s="16">
        <f>I4535-H4535</f>
        <v/>
      </c>
      <c r="P4535" s="14">
        <f>F4535*G4535</f>
        <v/>
      </c>
      <c r="Q4535" s="14">
        <f>J4535*G4535</f>
        <v/>
      </c>
      <c r="R4535" s="14">
        <f>K4535-Q4535</f>
        <v/>
      </c>
      <c r="S4535" s="3">
        <f>P4535*Assumptions!$B$3/100</f>
        <v/>
      </c>
      <c r="T4535" s="14">
        <f>R4535-S4535</f>
        <v/>
      </c>
      <c r="U4535" s="14">
        <f>L4535*G4535</f>
        <v/>
      </c>
    </row>
    <row r="4536">
      <c r="A4536" s="12" t="inlineStr">
        <is>
          <t>PO-2023-4534</t>
        </is>
      </c>
      <c r="B4536" s="26" t="n">
        <v>44566</v>
      </c>
      <c r="C4536" s="12" t="inlineStr">
        <is>
          <t>VS20</t>
        </is>
      </c>
      <c r="D4536" s="12" t="inlineStr">
        <is>
          <t>Square/Rect Tubes</t>
        </is>
      </c>
      <c r="E4536" s="12" t="inlineStr">
        <is>
          <t>N</t>
        </is>
      </c>
      <c r="F4536" s="12" t="n">
        <v>32.87</v>
      </c>
      <c r="G4536" s="17" t="n">
        <v>93475.45</v>
      </c>
      <c r="H4536" s="26" t="n">
        <v>44580</v>
      </c>
      <c r="I4536" s="26" t="n">
        <v>44580</v>
      </c>
      <c r="J4536" s="12" t="n">
        <v>32.82</v>
      </c>
      <c r="K4536" s="17" t="n">
        <v>3072538.04</v>
      </c>
      <c r="L4536" s="12" t="n">
        <v>0</v>
      </c>
      <c r="M4536" s="12" t="n">
        <v>14</v>
      </c>
      <c r="N4536" s="27">
        <f>F4536-J4536</f>
        <v/>
      </c>
      <c r="O4536" s="16">
        <f>I4536-H4536</f>
        <v/>
      </c>
      <c r="P4536" s="14">
        <f>F4536*G4536</f>
        <v/>
      </c>
      <c r="Q4536" s="14">
        <f>J4536*G4536</f>
        <v/>
      </c>
      <c r="R4536" s="14">
        <f>K4536-Q4536</f>
        <v/>
      </c>
      <c r="S4536" s="3">
        <f>P4536*Assumptions!$B$3/100</f>
        <v/>
      </c>
      <c r="T4536" s="14">
        <f>R4536-S4536</f>
        <v/>
      </c>
      <c r="U4536" s="14">
        <f>L4536*G4536</f>
        <v/>
      </c>
    </row>
    <row r="4537">
      <c r="A4537" s="12" t="inlineStr">
        <is>
          <t>PO-2023-4535</t>
        </is>
      </c>
      <c r="B4537" s="26" t="n">
        <v>44750</v>
      </c>
      <c r="C4537" s="12" t="inlineStr">
        <is>
          <t>VS07</t>
        </is>
      </c>
      <c r="D4537" s="12" t="inlineStr">
        <is>
          <t>Hex Bars</t>
        </is>
      </c>
      <c r="E4537" s="12" t="inlineStr">
        <is>
          <t>N</t>
        </is>
      </c>
      <c r="F4537" s="12" t="n">
        <v>44.1</v>
      </c>
      <c r="G4537" s="17" t="n">
        <v>107961.44</v>
      </c>
      <c r="H4537" s="26" t="n">
        <v>44756</v>
      </c>
      <c r="I4537" s="26" t="n">
        <v>44756</v>
      </c>
      <c r="J4537" s="12" t="n">
        <v>43.69</v>
      </c>
      <c r="K4537" s="17" t="n">
        <v>4761099.5</v>
      </c>
      <c r="L4537" s="12" t="n">
        <v>0</v>
      </c>
      <c r="M4537" s="12" t="n">
        <v>0</v>
      </c>
      <c r="N4537" s="27">
        <f>F4537-J4537</f>
        <v/>
      </c>
      <c r="O4537" s="16">
        <f>I4537-H4537</f>
        <v/>
      </c>
      <c r="P4537" s="14">
        <f>F4537*G4537</f>
        <v/>
      </c>
      <c r="Q4537" s="14">
        <f>J4537*G4537</f>
        <v/>
      </c>
      <c r="R4537" s="14">
        <f>K4537-Q4537</f>
        <v/>
      </c>
      <c r="S4537" s="3">
        <f>P4537*Assumptions!$B$3/100</f>
        <v/>
      </c>
      <c r="T4537" s="14">
        <f>R4537-S4537</f>
        <v/>
      </c>
      <c r="U4537" s="14">
        <f>L4537*G4537</f>
        <v/>
      </c>
    </row>
    <row r="4538">
      <c r="A4538" s="12" t="inlineStr">
        <is>
          <t>PO-2023-4536</t>
        </is>
      </c>
      <c r="B4538" s="26" t="n">
        <v>44322</v>
      </c>
      <c r="C4538" s="12" t="inlineStr">
        <is>
          <t>VS27</t>
        </is>
      </c>
      <c r="D4538" s="12" t="inlineStr">
        <is>
          <t>HR Coils</t>
        </is>
      </c>
      <c r="E4538" s="12" t="inlineStr">
        <is>
          <t>N</t>
        </is>
      </c>
      <c r="F4538" s="12" t="n">
        <v>10.06</v>
      </c>
      <c r="G4538" s="17" t="n">
        <v>62601.64</v>
      </c>
      <c r="H4538" s="26" t="n">
        <v>44330</v>
      </c>
      <c r="I4538" s="26" t="n">
        <v>44330</v>
      </c>
      <c r="J4538" s="12" t="n">
        <v>10.06</v>
      </c>
      <c r="K4538" s="17" t="n">
        <v>629772.5</v>
      </c>
      <c r="L4538" s="12" t="n">
        <v>0</v>
      </c>
      <c r="M4538" s="12" t="n">
        <v>0</v>
      </c>
      <c r="N4538" s="27">
        <f>F4538-J4538</f>
        <v/>
      </c>
      <c r="O4538" s="16">
        <f>I4538-H4538</f>
        <v/>
      </c>
      <c r="P4538" s="14">
        <f>F4538*G4538</f>
        <v/>
      </c>
      <c r="Q4538" s="14">
        <f>J4538*G4538</f>
        <v/>
      </c>
      <c r="R4538" s="14">
        <f>K4538-Q4538</f>
        <v/>
      </c>
      <c r="S4538" s="3">
        <f>P4538*Assumptions!$B$3/100</f>
        <v/>
      </c>
      <c r="T4538" s="14">
        <f>R4538-S4538</f>
        <v/>
      </c>
      <c r="U4538" s="14">
        <f>L4538*G4538</f>
        <v/>
      </c>
    </row>
    <row r="4539">
      <c r="A4539" s="12" t="inlineStr">
        <is>
          <t>PO-2023-4537</t>
        </is>
      </c>
      <c r="B4539" s="26" t="n">
        <v>44828</v>
      </c>
      <c r="C4539" s="12" t="inlineStr">
        <is>
          <t>VS01</t>
        </is>
      </c>
      <c r="D4539" s="12" t="inlineStr">
        <is>
          <t>ERW Pipes</t>
        </is>
      </c>
      <c r="E4539" s="12" t="inlineStr">
        <is>
          <t>Y</t>
        </is>
      </c>
      <c r="F4539" s="12" t="n">
        <v>44.69</v>
      </c>
      <c r="G4539" s="17" t="n">
        <v>52490.85</v>
      </c>
      <c r="H4539" s="26" t="n">
        <v>44843</v>
      </c>
      <c r="I4539" s="26" t="n">
        <v>44845</v>
      </c>
      <c r="J4539" s="12" t="n">
        <v>44.39</v>
      </c>
      <c r="K4539" s="17" t="n">
        <v>2345816.09</v>
      </c>
      <c r="L4539" s="12" t="n">
        <v>0</v>
      </c>
      <c r="M4539" s="12" t="n">
        <v>0</v>
      </c>
      <c r="N4539" s="27">
        <f>F4539-J4539</f>
        <v/>
      </c>
      <c r="O4539" s="16">
        <f>I4539-H4539</f>
        <v/>
      </c>
      <c r="P4539" s="14">
        <f>F4539*G4539</f>
        <v/>
      </c>
      <c r="Q4539" s="14">
        <f>J4539*G4539</f>
        <v/>
      </c>
      <c r="R4539" s="14">
        <f>K4539-Q4539</f>
        <v/>
      </c>
      <c r="S4539" s="3">
        <f>P4539*Assumptions!$B$3/100</f>
        <v/>
      </c>
      <c r="T4539" s="14">
        <f>R4539-S4539</f>
        <v/>
      </c>
      <c r="U4539" s="14">
        <f>L4539*G4539</f>
        <v/>
      </c>
    </row>
    <row r="4540">
      <c r="A4540" s="12" t="inlineStr">
        <is>
          <t>PO-2023-4538</t>
        </is>
      </c>
      <c r="B4540" s="26" t="n">
        <v>44831</v>
      </c>
      <c r="C4540" s="12" t="inlineStr">
        <is>
          <t>VS19</t>
        </is>
      </c>
      <c r="D4540" s="12" t="inlineStr">
        <is>
          <t>CR Sheets</t>
        </is>
      </c>
      <c r="E4540" s="12" t="inlineStr">
        <is>
          <t>Y</t>
        </is>
      </c>
      <c r="F4540" s="12" t="n">
        <v>9.24</v>
      </c>
      <c r="G4540" s="17" t="n">
        <v>106140.78</v>
      </c>
      <c r="H4540" s="26" t="n">
        <v>44842</v>
      </c>
      <c r="I4540" s="26" t="n">
        <v>44849</v>
      </c>
      <c r="J4540" s="12" t="n">
        <v>8.85</v>
      </c>
      <c r="K4540" s="17" t="n">
        <v>980740.8100000001</v>
      </c>
      <c r="L4540" s="12" t="n">
        <v>0.03</v>
      </c>
      <c r="M4540" s="12" t="n">
        <v>7</v>
      </c>
      <c r="N4540" s="27">
        <f>F4540-J4540</f>
        <v/>
      </c>
      <c r="O4540" s="16">
        <f>I4540-H4540</f>
        <v/>
      </c>
      <c r="P4540" s="14">
        <f>F4540*G4540</f>
        <v/>
      </c>
      <c r="Q4540" s="14">
        <f>J4540*G4540</f>
        <v/>
      </c>
      <c r="R4540" s="14">
        <f>K4540-Q4540</f>
        <v/>
      </c>
      <c r="S4540" s="3">
        <f>P4540*Assumptions!$B$3/100</f>
        <v/>
      </c>
      <c r="T4540" s="14">
        <f>R4540-S4540</f>
        <v/>
      </c>
      <c r="U4540" s="14">
        <f>L4540*G4540</f>
        <v/>
      </c>
    </row>
    <row r="4541">
      <c r="A4541" s="12" t="inlineStr">
        <is>
          <t>PO-2023-4539</t>
        </is>
      </c>
      <c r="B4541" s="26" t="n">
        <v>44751</v>
      </c>
      <c r="C4541" s="12" t="inlineStr">
        <is>
          <t>VS10</t>
        </is>
      </c>
      <c r="D4541" s="12" t="inlineStr">
        <is>
          <t>MS Pipes</t>
        </is>
      </c>
      <c r="E4541" s="12" t="inlineStr">
        <is>
          <t>N</t>
        </is>
      </c>
      <c r="F4541" s="12" t="n">
        <v>8.710000000000001</v>
      </c>
      <c r="G4541" s="17" t="n">
        <v>65963.28999999999</v>
      </c>
      <c r="H4541" s="26" t="n">
        <v>44766</v>
      </c>
      <c r="I4541" s="26" t="n">
        <v>44768</v>
      </c>
      <c r="J4541" s="12" t="n">
        <v>8.68</v>
      </c>
      <c r="K4541" s="17" t="n">
        <v>574540.26</v>
      </c>
      <c r="L4541" s="12" t="n">
        <v>0</v>
      </c>
      <c r="M4541" s="12" t="n">
        <v>5</v>
      </c>
      <c r="N4541" s="27">
        <f>F4541-J4541</f>
        <v/>
      </c>
      <c r="O4541" s="16">
        <f>I4541-H4541</f>
        <v/>
      </c>
      <c r="P4541" s="14">
        <f>F4541*G4541</f>
        <v/>
      </c>
      <c r="Q4541" s="14">
        <f>J4541*G4541</f>
        <v/>
      </c>
      <c r="R4541" s="14">
        <f>K4541-Q4541</f>
        <v/>
      </c>
      <c r="S4541" s="3">
        <f>P4541*Assumptions!$B$3/100</f>
        <v/>
      </c>
      <c r="T4541" s="14">
        <f>R4541-S4541</f>
        <v/>
      </c>
      <c r="U4541" s="14">
        <f>L4541*G4541</f>
        <v/>
      </c>
    </row>
    <row r="4542">
      <c r="A4542" s="12" t="inlineStr">
        <is>
          <t>PO-2023-4540</t>
        </is>
      </c>
      <c r="B4542" s="26" t="n">
        <v>44950</v>
      </c>
      <c r="C4542" s="12" t="inlineStr">
        <is>
          <t>VS01</t>
        </is>
      </c>
      <c r="D4542" s="12" t="inlineStr">
        <is>
          <t>SS Sheets</t>
        </is>
      </c>
      <c r="E4542" s="12" t="inlineStr">
        <is>
          <t>N</t>
        </is>
      </c>
      <c r="F4542" s="12" t="n">
        <v>22.52</v>
      </c>
      <c r="G4542" s="17" t="n">
        <v>71327.8</v>
      </c>
      <c r="H4542" s="26" t="n">
        <v>44954</v>
      </c>
      <c r="I4542" s="26" t="n">
        <v>44957</v>
      </c>
      <c r="J4542" s="12" t="n">
        <v>22.31</v>
      </c>
      <c r="K4542" s="17" t="n">
        <v>1606302.06</v>
      </c>
      <c r="L4542" s="12" t="n">
        <v>0</v>
      </c>
      <c r="M4542" s="12" t="n">
        <v>3</v>
      </c>
      <c r="N4542" s="27">
        <f>F4542-J4542</f>
        <v/>
      </c>
      <c r="O4542" s="16">
        <f>I4542-H4542</f>
        <v/>
      </c>
      <c r="P4542" s="14">
        <f>F4542*G4542</f>
        <v/>
      </c>
      <c r="Q4542" s="14">
        <f>J4542*G4542</f>
        <v/>
      </c>
      <c r="R4542" s="14">
        <f>K4542-Q4542</f>
        <v/>
      </c>
      <c r="S4542" s="3">
        <f>P4542*Assumptions!$B$3/100</f>
        <v/>
      </c>
      <c r="T4542" s="14">
        <f>R4542-S4542</f>
        <v/>
      </c>
      <c r="U4542" s="14">
        <f>L4542*G4542</f>
        <v/>
      </c>
    </row>
    <row r="4543">
      <c r="A4543" s="12" t="inlineStr">
        <is>
          <t>PO-2023-4541</t>
        </is>
      </c>
      <c r="B4543" s="26" t="n">
        <v>44438</v>
      </c>
      <c r="C4543" s="12" t="inlineStr">
        <is>
          <t>VS33</t>
        </is>
      </c>
      <c r="D4543" s="12" t="inlineStr">
        <is>
          <t>GI Wire</t>
        </is>
      </c>
      <c r="E4543" s="12" t="inlineStr">
        <is>
          <t>N</t>
        </is>
      </c>
      <c r="F4543" s="12" t="n">
        <v>33.21</v>
      </c>
      <c r="G4543" s="17" t="n">
        <v>118490.6</v>
      </c>
      <c r="H4543" s="26" t="n">
        <v>44447</v>
      </c>
      <c r="I4543" s="26" t="n">
        <v>44450</v>
      </c>
      <c r="J4543" s="12" t="n">
        <v>33.01</v>
      </c>
      <c r="K4543" s="17" t="n">
        <v>3935072.83</v>
      </c>
      <c r="L4543" s="12" t="n">
        <v>0</v>
      </c>
      <c r="M4543" s="12" t="n">
        <v>6</v>
      </c>
      <c r="N4543" s="27">
        <f>F4543-J4543</f>
        <v/>
      </c>
      <c r="O4543" s="16">
        <f>I4543-H4543</f>
        <v/>
      </c>
      <c r="P4543" s="14">
        <f>F4543*G4543</f>
        <v/>
      </c>
      <c r="Q4543" s="14">
        <f>J4543*G4543</f>
        <v/>
      </c>
      <c r="R4543" s="14">
        <f>K4543-Q4543</f>
        <v/>
      </c>
      <c r="S4543" s="3">
        <f>P4543*Assumptions!$B$3/100</f>
        <v/>
      </c>
      <c r="T4543" s="14">
        <f>R4543-S4543</f>
        <v/>
      </c>
      <c r="U4543" s="14">
        <f>L4543*G4543</f>
        <v/>
      </c>
    </row>
    <row r="4544">
      <c r="A4544" s="12" t="inlineStr">
        <is>
          <t>PO-2023-4542</t>
        </is>
      </c>
      <c r="B4544" s="26" t="n">
        <v>44758</v>
      </c>
      <c r="C4544" s="12" t="inlineStr">
        <is>
          <t>VS01</t>
        </is>
      </c>
      <c r="D4544" s="12" t="inlineStr">
        <is>
          <t>SS Sheets</t>
        </is>
      </c>
      <c r="E4544" s="12" t="inlineStr">
        <is>
          <t>N</t>
        </is>
      </c>
      <c r="F4544" s="12" t="n">
        <v>6.05</v>
      </c>
      <c r="G4544" s="17" t="n">
        <v>82124.46000000001</v>
      </c>
      <c r="H4544" s="26" t="n">
        <v>44764</v>
      </c>
      <c r="I4544" s="26" t="n">
        <v>44766</v>
      </c>
      <c r="J4544" s="12" t="n">
        <v>6.04</v>
      </c>
      <c r="K4544" s="17" t="n">
        <v>496852.98</v>
      </c>
      <c r="L4544" s="12" t="n">
        <v>0</v>
      </c>
      <c r="M4544" s="12" t="n">
        <v>0</v>
      </c>
      <c r="N4544" s="27">
        <f>F4544-J4544</f>
        <v/>
      </c>
      <c r="O4544" s="16">
        <f>I4544-H4544</f>
        <v/>
      </c>
      <c r="P4544" s="14">
        <f>F4544*G4544</f>
        <v/>
      </c>
      <c r="Q4544" s="14">
        <f>J4544*G4544</f>
        <v/>
      </c>
      <c r="R4544" s="14">
        <f>K4544-Q4544</f>
        <v/>
      </c>
      <c r="S4544" s="3">
        <f>P4544*Assumptions!$B$3/100</f>
        <v/>
      </c>
      <c r="T4544" s="14">
        <f>R4544-S4544</f>
        <v/>
      </c>
      <c r="U4544" s="14">
        <f>L4544*G4544</f>
        <v/>
      </c>
    </row>
    <row r="4545">
      <c r="A4545" s="12" t="inlineStr">
        <is>
          <t>PO-2023-4543</t>
        </is>
      </c>
      <c r="B4545" s="26" t="n">
        <v>44330</v>
      </c>
      <c r="C4545" s="12" t="inlineStr">
        <is>
          <t>VS13</t>
        </is>
      </c>
      <c r="D4545" s="12" t="inlineStr">
        <is>
          <t>Fasteners &amp; Fittings</t>
        </is>
      </c>
      <c r="E4545" s="12" t="inlineStr">
        <is>
          <t>N</t>
        </is>
      </c>
      <c r="F4545" s="12" t="n">
        <v>2.91</v>
      </c>
      <c r="G4545" s="17" t="n">
        <v>68328.46000000001</v>
      </c>
      <c r="H4545" s="26" t="n">
        <v>44343</v>
      </c>
      <c r="I4545" s="26" t="n">
        <v>44346</v>
      </c>
      <c r="J4545" s="12" t="n">
        <v>2.9</v>
      </c>
      <c r="K4545" s="17" t="n">
        <v>198835.82</v>
      </c>
      <c r="L4545" s="12" t="n">
        <v>0</v>
      </c>
      <c r="M4545" s="12" t="n">
        <v>0</v>
      </c>
      <c r="N4545" s="27">
        <f>F4545-J4545</f>
        <v/>
      </c>
      <c r="O4545" s="16">
        <f>I4545-H4545</f>
        <v/>
      </c>
      <c r="P4545" s="14">
        <f>F4545*G4545</f>
        <v/>
      </c>
      <c r="Q4545" s="14">
        <f>J4545*G4545</f>
        <v/>
      </c>
      <c r="R4545" s="14">
        <f>K4545-Q4545</f>
        <v/>
      </c>
      <c r="S4545" s="3">
        <f>P4545*Assumptions!$B$3/100</f>
        <v/>
      </c>
      <c r="T4545" s="14">
        <f>R4545-S4545</f>
        <v/>
      </c>
      <c r="U4545" s="14">
        <f>L4545*G4545</f>
        <v/>
      </c>
    </row>
    <row r="4546">
      <c r="A4546" s="12" t="inlineStr">
        <is>
          <t>PO-2023-4544</t>
        </is>
      </c>
      <c r="B4546" s="26" t="n">
        <v>44471</v>
      </c>
      <c r="C4546" s="12" t="inlineStr">
        <is>
          <t>VS20</t>
        </is>
      </c>
      <c r="D4546" s="12" t="inlineStr">
        <is>
          <t>MS Flats</t>
        </is>
      </c>
      <c r="E4546" s="12" t="inlineStr">
        <is>
          <t>N</t>
        </is>
      </c>
      <c r="F4546" s="12" t="n">
        <v>49.52</v>
      </c>
      <c r="G4546" s="17" t="n">
        <v>96328.28999999999</v>
      </c>
      <c r="H4546" s="26" t="n">
        <v>44483</v>
      </c>
      <c r="I4546" s="26" t="n">
        <v>44483</v>
      </c>
      <c r="J4546" s="12" t="n">
        <v>49.44</v>
      </c>
      <c r="K4546" s="17" t="n">
        <v>4770176.92</v>
      </c>
      <c r="L4546" s="12" t="n">
        <v>0</v>
      </c>
      <c r="M4546" s="12" t="n">
        <v>21</v>
      </c>
      <c r="N4546" s="27">
        <f>F4546-J4546</f>
        <v/>
      </c>
      <c r="O4546" s="16">
        <f>I4546-H4546</f>
        <v/>
      </c>
      <c r="P4546" s="14">
        <f>F4546*G4546</f>
        <v/>
      </c>
      <c r="Q4546" s="14">
        <f>J4546*G4546</f>
        <v/>
      </c>
      <c r="R4546" s="14">
        <f>K4546-Q4546</f>
        <v/>
      </c>
      <c r="S4546" s="3">
        <f>P4546*Assumptions!$B$3/100</f>
        <v/>
      </c>
      <c r="T4546" s="14">
        <f>R4546-S4546</f>
        <v/>
      </c>
      <c r="U4546" s="14">
        <f>L4546*G4546</f>
        <v/>
      </c>
    </row>
    <row r="4547">
      <c r="A4547" s="12" t="inlineStr">
        <is>
          <t>PO-2023-4545</t>
        </is>
      </c>
      <c r="B4547" s="26" t="n">
        <v>44311</v>
      </c>
      <c r="C4547" s="12" t="inlineStr">
        <is>
          <t>VS33</t>
        </is>
      </c>
      <c r="D4547" s="12" t="inlineStr">
        <is>
          <t>MS Sheets</t>
        </is>
      </c>
      <c r="E4547" s="12" t="inlineStr">
        <is>
          <t>N</t>
        </is>
      </c>
      <c r="F4547" s="12" t="n">
        <v>19.89</v>
      </c>
      <c r="G4547" s="17" t="n">
        <v>50707</v>
      </c>
      <c r="H4547" s="26" t="n">
        <v>44326</v>
      </c>
      <c r="I4547" s="26" t="n">
        <v>44328</v>
      </c>
      <c r="J4547" s="12" t="n">
        <v>19.77</v>
      </c>
      <c r="K4547" s="17" t="n">
        <v>1008562.23</v>
      </c>
      <c r="L4547" s="12" t="n">
        <v>0</v>
      </c>
      <c r="M4547" s="12" t="n">
        <v>6</v>
      </c>
      <c r="N4547" s="27">
        <f>F4547-J4547</f>
        <v/>
      </c>
      <c r="O4547" s="16">
        <f>I4547-H4547</f>
        <v/>
      </c>
      <c r="P4547" s="14">
        <f>F4547*G4547</f>
        <v/>
      </c>
      <c r="Q4547" s="14">
        <f>J4547*G4547</f>
        <v/>
      </c>
      <c r="R4547" s="14">
        <f>K4547-Q4547</f>
        <v/>
      </c>
      <c r="S4547" s="3">
        <f>P4547*Assumptions!$B$3/100</f>
        <v/>
      </c>
      <c r="T4547" s="14">
        <f>R4547-S4547</f>
        <v/>
      </c>
      <c r="U4547" s="14">
        <f>L4547*G4547</f>
        <v/>
      </c>
    </row>
    <row r="4548">
      <c r="A4548" s="12" t="inlineStr">
        <is>
          <t>PO-2023-4546</t>
        </is>
      </c>
      <c r="B4548" s="26" t="n">
        <v>44341</v>
      </c>
      <c r="C4548" s="12" t="inlineStr">
        <is>
          <t>VS02</t>
        </is>
      </c>
      <c r="D4548" s="12" t="inlineStr">
        <is>
          <t>GI Sheets</t>
        </is>
      </c>
      <c r="E4548" s="12" t="inlineStr">
        <is>
          <t>N</t>
        </is>
      </c>
      <c r="F4548" s="12" t="n">
        <v>16.6</v>
      </c>
      <c r="G4548" s="17" t="n">
        <v>68964.37</v>
      </c>
      <c r="H4548" s="26" t="n">
        <v>44348</v>
      </c>
      <c r="I4548" s="26" t="n">
        <v>44351</v>
      </c>
      <c r="J4548" s="12" t="n">
        <v>16.49</v>
      </c>
      <c r="K4548" s="17" t="n">
        <v>1144808.54</v>
      </c>
      <c r="L4548" s="12" t="n">
        <v>0</v>
      </c>
      <c r="M4548" s="12" t="n">
        <v>0</v>
      </c>
      <c r="N4548" s="27">
        <f>F4548-J4548</f>
        <v/>
      </c>
      <c r="O4548" s="16">
        <f>I4548-H4548</f>
        <v/>
      </c>
      <c r="P4548" s="14">
        <f>F4548*G4548</f>
        <v/>
      </c>
      <c r="Q4548" s="14">
        <f>J4548*G4548</f>
        <v/>
      </c>
      <c r="R4548" s="14">
        <f>K4548-Q4548</f>
        <v/>
      </c>
      <c r="S4548" s="3">
        <f>P4548*Assumptions!$B$3/100</f>
        <v/>
      </c>
      <c r="T4548" s="14">
        <f>R4548-S4548</f>
        <v/>
      </c>
      <c r="U4548" s="14">
        <f>L4548*G4548</f>
        <v/>
      </c>
    </row>
    <row r="4549">
      <c r="A4549" s="12" t="inlineStr">
        <is>
          <t>PO-2023-4547</t>
        </is>
      </c>
      <c r="B4549" s="26" t="n">
        <v>44568</v>
      </c>
      <c r="C4549" s="12" t="inlineStr">
        <is>
          <t>VS12</t>
        </is>
      </c>
      <c r="D4549" s="12" t="inlineStr">
        <is>
          <t>GI Pipes</t>
        </is>
      </c>
      <c r="E4549" s="12" t="inlineStr">
        <is>
          <t>N</t>
        </is>
      </c>
      <c r="F4549" s="12" t="n">
        <v>32.07</v>
      </c>
      <c r="G4549" s="17" t="n">
        <v>60410.96</v>
      </c>
      <c r="H4549" s="26" t="n">
        <v>44578</v>
      </c>
      <c r="I4549" s="26" t="n">
        <v>44581</v>
      </c>
      <c r="J4549" s="12" t="n">
        <v>30.76</v>
      </c>
      <c r="K4549" s="17" t="n">
        <v>1937379.49</v>
      </c>
      <c r="L4549" s="12" t="n">
        <v>1.33</v>
      </c>
      <c r="M4549" s="12" t="n">
        <v>0</v>
      </c>
      <c r="N4549" s="27">
        <f>F4549-J4549</f>
        <v/>
      </c>
      <c r="O4549" s="16">
        <f>I4549-H4549</f>
        <v/>
      </c>
      <c r="P4549" s="14">
        <f>F4549*G4549</f>
        <v/>
      </c>
      <c r="Q4549" s="14">
        <f>J4549*G4549</f>
        <v/>
      </c>
      <c r="R4549" s="14">
        <f>K4549-Q4549</f>
        <v/>
      </c>
      <c r="S4549" s="3">
        <f>P4549*Assumptions!$B$3/100</f>
        <v/>
      </c>
      <c r="T4549" s="14">
        <f>R4549-S4549</f>
        <v/>
      </c>
      <c r="U4549" s="14">
        <f>L4549*G4549</f>
        <v/>
      </c>
    </row>
    <row r="4550">
      <c r="A4550" s="12" t="inlineStr">
        <is>
          <t>PO-2023-4548</t>
        </is>
      </c>
      <c r="B4550" s="26" t="n">
        <v>44979</v>
      </c>
      <c r="C4550" s="12" t="inlineStr">
        <is>
          <t>VS25</t>
        </is>
      </c>
      <c r="D4550" s="12" t="inlineStr">
        <is>
          <t>GI Wire</t>
        </is>
      </c>
      <c r="E4550" s="12" t="inlineStr">
        <is>
          <t>Y</t>
        </is>
      </c>
      <c r="F4550" s="12" t="n">
        <v>29.57</v>
      </c>
      <c r="G4550" s="17" t="n">
        <v>115240.61</v>
      </c>
      <c r="H4550" s="26" t="n">
        <v>44988</v>
      </c>
      <c r="I4550" s="26" t="n">
        <v>44991</v>
      </c>
      <c r="J4550" s="12" t="n">
        <v>29.45</v>
      </c>
      <c r="K4550" s="17" t="n">
        <v>3407664.84</v>
      </c>
      <c r="L4550" s="12" t="n">
        <v>0</v>
      </c>
      <c r="M4550" s="12" t="n">
        <v>21</v>
      </c>
      <c r="N4550" s="27">
        <f>F4550-J4550</f>
        <v/>
      </c>
      <c r="O4550" s="16">
        <f>I4550-H4550</f>
        <v/>
      </c>
      <c r="P4550" s="14">
        <f>F4550*G4550</f>
        <v/>
      </c>
      <c r="Q4550" s="14">
        <f>J4550*G4550</f>
        <v/>
      </c>
      <c r="R4550" s="14">
        <f>K4550-Q4550</f>
        <v/>
      </c>
      <c r="S4550" s="3">
        <f>P4550*Assumptions!$B$3/100</f>
        <v/>
      </c>
      <c r="T4550" s="14">
        <f>R4550-S4550</f>
        <v/>
      </c>
      <c r="U4550" s="14">
        <f>L4550*G4550</f>
        <v/>
      </c>
    </row>
    <row r="4551">
      <c r="A4551" s="12" t="inlineStr">
        <is>
          <t>PO-2023-4549</t>
        </is>
      </c>
      <c r="B4551" s="26" t="n">
        <v>44551</v>
      </c>
      <c r="C4551" s="12" t="inlineStr">
        <is>
          <t>VS11</t>
        </is>
      </c>
      <c r="D4551" s="12" t="inlineStr">
        <is>
          <t>Angles &amp; Channels</t>
        </is>
      </c>
      <c r="E4551" s="12" t="inlineStr">
        <is>
          <t>N</t>
        </is>
      </c>
      <c r="F4551" s="12" t="n">
        <v>12.45</v>
      </c>
      <c r="G4551" s="17" t="n">
        <v>85294.46000000001</v>
      </c>
      <c r="H4551" s="26" t="n">
        <v>44555</v>
      </c>
      <c r="I4551" s="26" t="n">
        <v>44558</v>
      </c>
      <c r="J4551" s="12" t="n">
        <v>12.42</v>
      </c>
      <c r="K4551" s="17" t="n">
        <v>1061916.03</v>
      </c>
      <c r="L4551" s="12" t="n">
        <v>0</v>
      </c>
      <c r="M4551" s="12" t="n">
        <v>22</v>
      </c>
      <c r="N4551" s="27">
        <f>F4551-J4551</f>
        <v/>
      </c>
      <c r="O4551" s="16">
        <f>I4551-H4551</f>
        <v/>
      </c>
      <c r="P4551" s="14">
        <f>F4551*G4551</f>
        <v/>
      </c>
      <c r="Q4551" s="14">
        <f>J4551*G4551</f>
        <v/>
      </c>
      <c r="R4551" s="14">
        <f>K4551-Q4551</f>
        <v/>
      </c>
      <c r="S4551" s="3">
        <f>P4551*Assumptions!$B$3/100</f>
        <v/>
      </c>
      <c r="T4551" s="14">
        <f>R4551-S4551</f>
        <v/>
      </c>
      <c r="U4551" s="14">
        <f>L4551*G4551</f>
        <v/>
      </c>
    </row>
    <row r="4552">
      <c r="A4552" s="12" t="inlineStr">
        <is>
          <t>PO-2023-4550</t>
        </is>
      </c>
      <c r="B4552" s="26" t="n">
        <v>44709</v>
      </c>
      <c r="C4552" s="12" t="inlineStr">
        <is>
          <t>VS06</t>
        </is>
      </c>
      <c r="D4552" s="12" t="inlineStr">
        <is>
          <t>SS Pipes</t>
        </is>
      </c>
      <c r="E4552" s="12" t="inlineStr">
        <is>
          <t>N</t>
        </is>
      </c>
      <c r="F4552" s="12" t="n">
        <v>31.63</v>
      </c>
      <c r="G4552" s="17" t="n">
        <v>85632.45</v>
      </c>
      <c r="H4552" s="26" t="n">
        <v>44724</v>
      </c>
      <c r="I4552" s="26" t="n">
        <v>44727</v>
      </c>
      <c r="J4552" s="12" t="n">
        <v>31.42</v>
      </c>
      <c r="K4552" s="17" t="n">
        <v>2708554.39</v>
      </c>
      <c r="L4552" s="12" t="n">
        <v>0</v>
      </c>
      <c r="M4552" s="12" t="n">
        <v>0</v>
      </c>
      <c r="N4552" s="27">
        <f>F4552-J4552</f>
        <v/>
      </c>
      <c r="O4552" s="16">
        <f>I4552-H4552</f>
        <v/>
      </c>
      <c r="P4552" s="14">
        <f>F4552*G4552</f>
        <v/>
      </c>
      <c r="Q4552" s="14">
        <f>J4552*G4552</f>
        <v/>
      </c>
      <c r="R4552" s="14">
        <f>K4552-Q4552</f>
        <v/>
      </c>
      <c r="S4552" s="3">
        <f>P4552*Assumptions!$B$3/100</f>
        <v/>
      </c>
      <c r="T4552" s="14">
        <f>R4552-S4552</f>
        <v/>
      </c>
      <c r="U4552" s="14">
        <f>L4552*G4552</f>
        <v/>
      </c>
    </row>
    <row r="4553">
      <c r="A4553" s="12" t="inlineStr">
        <is>
          <t>PO-2023-4551</t>
        </is>
      </c>
      <c r="B4553" s="26" t="n">
        <v>44589</v>
      </c>
      <c r="C4553" s="12" t="inlineStr">
        <is>
          <t>VS02</t>
        </is>
      </c>
      <c r="D4553" s="12" t="inlineStr">
        <is>
          <t>HR Coils</t>
        </is>
      </c>
      <c r="E4553" s="12" t="inlineStr">
        <is>
          <t>N</t>
        </is>
      </c>
      <c r="F4553" s="12" t="n">
        <v>39.39</v>
      </c>
      <c r="G4553" s="17" t="n">
        <v>67915.78</v>
      </c>
      <c r="H4553" s="26" t="n">
        <v>44596</v>
      </c>
      <c r="I4553" s="26" t="n">
        <v>44596</v>
      </c>
      <c r="J4553" s="12" t="n">
        <v>39.29</v>
      </c>
      <c r="K4553" s="17" t="n">
        <v>2675202.57</v>
      </c>
      <c r="L4553" s="12" t="n">
        <v>0</v>
      </c>
      <c r="M4553" s="12" t="n">
        <v>9</v>
      </c>
      <c r="N4553" s="27">
        <f>F4553-J4553</f>
        <v/>
      </c>
      <c r="O4553" s="16">
        <f>I4553-H4553</f>
        <v/>
      </c>
      <c r="P4553" s="14">
        <f>F4553*G4553</f>
        <v/>
      </c>
      <c r="Q4553" s="14">
        <f>J4553*G4553</f>
        <v/>
      </c>
      <c r="R4553" s="14">
        <f>K4553-Q4553</f>
        <v/>
      </c>
      <c r="S4553" s="3">
        <f>P4553*Assumptions!$B$3/100</f>
        <v/>
      </c>
      <c r="T4553" s="14">
        <f>R4553-S4553</f>
        <v/>
      </c>
      <c r="U4553" s="14">
        <f>L4553*G4553</f>
        <v/>
      </c>
    </row>
    <row r="4554">
      <c r="A4554" s="12" t="inlineStr">
        <is>
          <t>PO-2023-4552</t>
        </is>
      </c>
      <c r="B4554" s="26" t="n">
        <v>44501</v>
      </c>
      <c r="C4554" s="12" t="inlineStr">
        <is>
          <t>VS19</t>
        </is>
      </c>
      <c r="D4554" s="12" t="inlineStr">
        <is>
          <t>MS Pipes</t>
        </is>
      </c>
      <c r="E4554" s="12" t="inlineStr">
        <is>
          <t>Y</t>
        </is>
      </c>
      <c r="F4554" s="12" t="n">
        <v>19.55</v>
      </c>
      <c r="G4554" s="17" t="n">
        <v>99321.11</v>
      </c>
      <c r="H4554" s="26" t="n">
        <v>44512</v>
      </c>
      <c r="I4554" s="26" t="n">
        <v>44520</v>
      </c>
      <c r="J4554" s="12" t="n">
        <v>18.87</v>
      </c>
      <c r="K4554" s="17" t="n">
        <v>1941727.7</v>
      </c>
      <c r="L4554" s="12" t="n">
        <v>0.75</v>
      </c>
      <c r="M4554" s="12" t="n">
        <v>19</v>
      </c>
      <c r="N4554" s="27">
        <f>F4554-J4554</f>
        <v/>
      </c>
      <c r="O4554" s="16">
        <f>I4554-H4554</f>
        <v/>
      </c>
      <c r="P4554" s="14">
        <f>F4554*G4554</f>
        <v/>
      </c>
      <c r="Q4554" s="14">
        <f>J4554*G4554</f>
        <v/>
      </c>
      <c r="R4554" s="14">
        <f>K4554-Q4554</f>
        <v/>
      </c>
      <c r="S4554" s="3">
        <f>P4554*Assumptions!$B$3/100</f>
        <v/>
      </c>
      <c r="T4554" s="14">
        <f>R4554-S4554</f>
        <v/>
      </c>
      <c r="U4554" s="14">
        <f>L4554*G4554</f>
        <v/>
      </c>
    </row>
    <row r="4555">
      <c r="A4555" s="12" t="inlineStr">
        <is>
          <t>PO-2023-4553</t>
        </is>
      </c>
      <c r="B4555" s="26" t="n">
        <v>44581</v>
      </c>
      <c r="C4555" s="12" t="inlineStr">
        <is>
          <t>VS18</t>
        </is>
      </c>
      <c r="D4555" s="12" t="inlineStr">
        <is>
          <t>GI Wire</t>
        </is>
      </c>
      <c r="E4555" s="12" t="inlineStr">
        <is>
          <t>N</t>
        </is>
      </c>
      <c r="F4555" s="12" t="n">
        <v>10.37</v>
      </c>
      <c r="G4555" s="17" t="n">
        <v>105446.51</v>
      </c>
      <c r="H4555" s="26" t="n">
        <v>44594</v>
      </c>
      <c r="I4555" s="26" t="n">
        <v>44594</v>
      </c>
      <c r="J4555" s="12" t="n">
        <v>10.31</v>
      </c>
      <c r="K4555" s="17" t="n">
        <v>1093480.31</v>
      </c>
      <c r="L4555" s="12" t="n">
        <v>0</v>
      </c>
      <c r="M4555" s="12" t="n">
        <v>6</v>
      </c>
      <c r="N4555" s="27">
        <f>F4555-J4555</f>
        <v/>
      </c>
      <c r="O4555" s="16">
        <f>I4555-H4555</f>
        <v/>
      </c>
      <c r="P4555" s="14">
        <f>F4555*G4555</f>
        <v/>
      </c>
      <c r="Q4555" s="14">
        <f>J4555*G4555</f>
        <v/>
      </c>
      <c r="R4555" s="14">
        <f>K4555-Q4555</f>
        <v/>
      </c>
      <c r="S4555" s="3">
        <f>P4555*Assumptions!$B$3/100</f>
        <v/>
      </c>
      <c r="T4555" s="14">
        <f>R4555-S4555</f>
        <v/>
      </c>
      <c r="U4555" s="14">
        <f>L4555*G4555</f>
        <v/>
      </c>
    </row>
    <row r="4556">
      <c r="A4556" s="12" t="inlineStr">
        <is>
          <t>PO-2023-4554</t>
        </is>
      </c>
      <c r="B4556" s="26" t="n">
        <v>45256</v>
      </c>
      <c r="C4556" s="12" t="inlineStr">
        <is>
          <t>VS15</t>
        </is>
      </c>
      <c r="D4556" s="12" t="inlineStr">
        <is>
          <t>HR Coils</t>
        </is>
      </c>
      <c r="E4556" s="12" t="inlineStr">
        <is>
          <t>Y</t>
        </is>
      </c>
      <c r="F4556" s="12" t="n">
        <v>13.61</v>
      </c>
      <c r="G4556" s="17" t="n">
        <v>80447.99000000001</v>
      </c>
      <c r="H4556" s="26" t="n">
        <v>45260</v>
      </c>
      <c r="I4556" s="26" t="n">
        <v>45260</v>
      </c>
      <c r="J4556" s="12" t="n">
        <v>13.6</v>
      </c>
      <c r="K4556" s="17" t="n">
        <v>1094897.14</v>
      </c>
      <c r="L4556" s="12" t="n">
        <v>0</v>
      </c>
      <c r="M4556" s="12" t="n">
        <v>0</v>
      </c>
      <c r="N4556" s="27">
        <f>F4556-J4556</f>
        <v/>
      </c>
      <c r="O4556" s="16">
        <f>I4556-H4556</f>
        <v/>
      </c>
      <c r="P4556" s="14">
        <f>F4556*G4556</f>
        <v/>
      </c>
      <c r="Q4556" s="14">
        <f>J4556*G4556</f>
        <v/>
      </c>
      <c r="R4556" s="14">
        <f>K4556-Q4556</f>
        <v/>
      </c>
      <c r="S4556" s="3">
        <f>P4556*Assumptions!$B$3/100</f>
        <v/>
      </c>
      <c r="T4556" s="14">
        <f>R4556-S4556</f>
        <v/>
      </c>
      <c r="U4556" s="14">
        <f>L4556*G4556</f>
        <v/>
      </c>
    </row>
    <row r="4557">
      <c r="A4557" s="12" t="inlineStr">
        <is>
          <t>PO-2023-4555</t>
        </is>
      </c>
      <c r="B4557" s="26" t="n">
        <v>45275</v>
      </c>
      <c r="C4557" s="12" t="inlineStr">
        <is>
          <t>VS25</t>
        </is>
      </c>
      <c r="D4557" s="12" t="inlineStr">
        <is>
          <t>GI Wire</t>
        </is>
      </c>
      <c r="E4557" s="12" t="inlineStr">
        <is>
          <t>Y</t>
        </is>
      </c>
      <c r="F4557" s="12" t="n">
        <v>45.22</v>
      </c>
      <c r="G4557" s="17" t="n">
        <v>64080.14</v>
      </c>
      <c r="H4557" s="26" t="n">
        <v>45278</v>
      </c>
      <c r="I4557" s="26" t="n">
        <v>45281</v>
      </c>
      <c r="J4557" s="12" t="n">
        <v>45.07</v>
      </c>
      <c r="K4557" s="17" t="n">
        <v>2897703.93</v>
      </c>
      <c r="L4557" s="12" t="n">
        <v>0</v>
      </c>
      <c r="M4557" s="12" t="n">
        <v>6</v>
      </c>
      <c r="N4557" s="27">
        <f>F4557-J4557</f>
        <v/>
      </c>
      <c r="O4557" s="16">
        <f>I4557-H4557</f>
        <v/>
      </c>
      <c r="P4557" s="14">
        <f>F4557*G4557</f>
        <v/>
      </c>
      <c r="Q4557" s="14">
        <f>J4557*G4557</f>
        <v/>
      </c>
      <c r="R4557" s="14">
        <f>K4557-Q4557</f>
        <v/>
      </c>
      <c r="S4557" s="3">
        <f>P4557*Assumptions!$B$3/100</f>
        <v/>
      </c>
      <c r="T4557" s="14">
        <f>R4557-S4557</f>
        <v/>
      </c>
      <c r="U4557" s="14">
        <f>L4557*G4557</f>
        <v/>
      </c>
    </row>
    <row r="4558">
      <c r="A4558" s="12" t="inlineStr">
        <is>
          <t>PO-2023-4556</t>
        </is>
      </c>
      <c r="B4558" s="26" t="n">
        <v>45236</v>
      </c>
      <c r="C4558" s="12" t="inlineStr">
        <is>
          <t>VS28</t>
        </is>
      </c>
      <c r="D4558" s="12" t="inlineStr">
        <is>
          <t>Angles &amp; Channels</t>
        </is>
      </c>
      <c r="E4558" s="12" t="inlineStr">
        <is>
          <t>N</t>
        </is>
      </c>
      <c r="F4558" s="12" t="n">
        <v>40.78</v>
      </c>
      <c r="G4558" s="17" t="n">
        <v>58179.59</v>
      </c>
      <c r="H4558" s="26" t="n">
        <v>45242</v>
      </c>
      <c r="I4558" s="26" t="n">
        <v>45244</v>
      </c>
      <c r="J4558" s="12" t="n">
        <v>40.74</v>
      </c>
      <c r="K4558" s="17" t="n">
        <v>2372563.68</v>
      </c>
      <c r="L4558" s="12" t="n">
        <v>0</v>
      </c>
      <c r="M4558" s="12" t="n">
        <v>13</v>
      </c>
      <c r="N4558" s="27">
        <f>F4558-J4558</f>
        <v/>
      </c>
      <c r="O4558" s="16">
        <f>I4558-H4558</f>
        <v/>
      </c>
      <c r="P4558" s="14">
        <f>F4558*G4558</f>
        <v/>
      </c>
      <c r="Q4558" s="14">
        <f>J4558*G4558</f>
        <v/>
      </c>
      <c r="R4558" s="14">
        <f>K4558-Q4558</f>
        <v/>
      </c>
      <c r="S4558" s="3">
        <f>P4558*Assumptions!$B$3/100</f>
        <v/>
      </c>
      <c r="T4558" s="14">
        <f>R4558-S4558</f>
        <v/>
      </c>
      <c r="U4558" s="14">
        <f>L4558*G4558</f>
        <v/>
      </c>
    </row>
    <row r="4559">
      <c r="A4559" s="12" t="inlineStr">
        <is>
          <t>PO-2023-4557</t>
        </is>
      </c>
      <c r="B4559" s="26" t="n">
        <v>44558</v>
      </c>
      <c r="C4559" s="12" t="inlineStr">
        <is>
          <t>VS25</t>
        </is>
      </c>
      <c r="D4559" s="12" t="inlineStr">
        <is>
          <t>Square/Rect Tubes</t>
        </is>
      </c>
      <c r="E4559" s="12" t="inlineStr">
        <is>
          <t>N</t>
        </is>
      </c>
      <c r="F4559" s="12" t="n">
        <v>28.17</v>
      </c>
      <c r="G4559" s="17" t="n">
        <v>70764.41</v>
      </c>
      <c r="H4559" s="26" t="n">
        <v>44568</v>
      </c>
      <c r="I4559" s="26" t="n">
        <v>44569</v>
      </c>
      <c r="J4559" s="12" t="n">
        <v>28</v>
      </c>
      <c r="K4559" s="17" t="n">
        <v>1993433.43</v>
      </c>
      <c r="L4559" s="12" t="n">
        <v>0</v>
      </c>
      <c r="M4559" s="12" t="n">
        <v>0</v>
      </c>
      <c r="N4559" s="27">
        <f>F4559-J4559</f>
        <v/>
      </c>
      <c r="O4559" s="16">
        <f>I4559-H4559</f>
        <v/>
      </c>
      <c r="P4559" s="14">
        <f>F4559*G4559</f>
        <v/>
      </c>
      <c r="Q4559" s="14">
        <f>J4559*G4559</f>
        <v/>
      </c>
      <c r="R4559" s="14">
        <f>K4559-Q4559</f>
        <v/>
      </c>
      <c r="S4559" s="3">
        <f>P4559*Assumptions!$B$3/100</f>
        <v/>
      </c>
      <c r="T4559" s="14">
        <f>R4559-S4559</f>
        <v/>
      </c>
      <c r="U4559" s="14">
        <f>L4559*G4559</f>
        <v/>
      </c>
    </row>
    <row r="4560">
      <c r="A4560" s="12" t="inlineStr">
        <is>
          <t>PO-2023-4558</t>
        </is>
      </c>
      <c r="B4560" s="26" t="n">
        <v>44747</v>
      </c>
      <c r="C4560" s="12" t="inlineStr">
        <is>
          <t>VS14</t>
        </is>
      </c>
      <c r="D4560" s="12" t="inlineStr">
        <is>
          <t>MS Flats</t>
        </is>
      </c>
      <c r="E4560" s="12" t="inlineStr">
        <is>
          <t>N</t>
        </is>
      </c>
      <c r="F4560" s="12" t="n">
        <v>41.24</v>
      </c>
      <c r="G4560" s="17" t="n">
        <v>46628.17</v>
      </c>
      <c r="H4560" s="26" t="n">
        <v>44755</v>
      </c>
      <c r="I4560" s="26" t="n">
        <v>44758</v>
      </c>
      <c r="J4560" s="12" t="n">
        <v>41.18</v>
      </c>
      <c r="K4560" s="17" t="n">
        <v>1922945.73</v>
      </c>
      <c r="L4560" s="12" t="n">
        <v>0</v>
      </c>
      <c r="M4560" s="12" t="n">
        <v>15</v>
      </c>
      <c r="N4560" s="27">
        <f>F4560-J4560</f>
        <v/>
      </c>
      <c r="O4560" s="16">
        <f>I4560-H4560</f>
        <v/>
      </c>
      <c r="P4560" s="14">
        <f>F4560*G4560</f>
        <v/>
      </c>
      <c r="Q4560" s="14">
        <f>J4560*G4560</f>
        <v/>
      </c>
      <c r="R4560" s="14">
        <f>K4560-Q4560</f>
        <v/>
      </c>
      <c r="S4560" s="3">
        <f>P4560*Assumptions!$B$3/100</f>
        <v/>
      </c>
      <c r="T4560" s="14">
        <f>R4560-S4560</f>
        <v/>
      </c>
      <c r="U4560" s="14">
        <f>L4560*G4560</f>
        <v/>
      </c>
    </row>
    <row r="4561">
      <c r="A4561" s="12" t="inlineStr">
        <is>
          <t>PO-2023-4559</t>
        </is>
      </c>
      <c r="B4561" s="26" t="n">
        <v>44531</v>
      </c>
      <c r="C4561" s="12" t="inlineStr">
        <is>
          <t>VS34</t>
        </is>
      </c>
      <c r="D4561" s="12" t="inlineStr">
        <is>
          <t>Angles &amp; Channels</t>
        </is>
      </c>
      <c r="E4561" s="12" t="inlineStr">
        <is>
          <t>N</t>
        </is>
      </c>
      <c r="F4561" s="12" t="n">
        <v>30.83</v>
      </c>
      <c r="G4561" s="17" t="n">
        <v>110935.35</v>
      </c>
      <c r="H4561" s="26" t="n">
        <v>44541</v>
      </c>
      <c r="I4561" s="26" t="n">
        <v>44541</v>
      </c>
      <c r="J4561" s="12" t="n">
        <v>30.6</v>
      </c>
      <c r="K4561" s="17" t="n">
        <v>3420136.84</v>
      </c>
      <c r="L4561" s="12" t="n">
        <v>0</v>
      </c>
      <c r="M4561" s="12" t="n">
        <v>0</v>
      </c>
      <c r="N4561" s="27">
        <f>F4561-J4561</f>
        <v/>
      </c>
      <c r="O4561" s="16">
        <f>I4561-H4561</f>
        <v/>
      </c>
      <c r="P4561" s="14">
        <f>F4561*G4561</f>
        <v/>
      </c>
      <c r="Q4561" s="14">
        <f>J4561*G4561</f>
        <v/>
      </c>
      <c r="R4561" s="14">
        <f>K4561-Q4561</f>
        <v/>
      </c>
      <c r="S4561" s="3">
        <f>P4561*Assumptions!$B$3/100</f>
        <v/>
      </c>
      <c r="T4561" s="14">
        <f>R4561-S4561</f>
        <v/>
      </c>
      <c r="U4561" s="14">
        <f>L4561*G4561</f>
        <v/>
      </c>
    </row>
    <row r="4562">
      <c r="A4562" s="12" t="inlineStr">
        <is>
          <t>PO-2023-4560</t>
        </is>
      </c>
      <c r="B4562" s="26" t="n">
        <v>44213</v>
      </c>
      <c r="C4562" s="12" t="inlineStr">
        <is>
          <t>VS16</t>
        </is>
      </c>
      <c r="D4562" s="12" t="inlineStr">
        <is>
          <t>GI Wire</t>
        </is>
      </c>
      <c r="E4562" s="12" t="inlineStr">
        <is>
          <t>N</t>
        </is>
      </c>
      <c r="F4562" s="12" t="n">
        <v>40.53</v>
      </c>
      <c r="G4562" s="17" t="n">
        <v>90378.69</v>
      </c>
      <c r="H4562" s="26" t="n">
        <v>44222</v>
      </c>
      <c r="I4562" s="26" t="n">
        <v>44224</v>
      </c>
      <c r="J4562" s="12" t="n">
        <v>40.16</v>
      </c>
      <c r="K4562" s="17" t="n">
        <v>3663048.31</v>
      </c>
      <c r="L4562" s="12" t="n">
        <v>0</v>
      </c>
      <c r="M4562" s="12" t="n">
        <v>14</v>
      </c>
      <c r="N4562" s="27">
        <f>F4562-J4562</f>
        <v/>
      </c>
      <c r="O4562" s="16">
        <f>I4562-H4562</f>
        <v/>
      </c>
      <c r="P4562" s="14">
        <f>F4562*G4562</f>
        <v/>
      </c>
      <c r="Q4562" s="14">
        <f>J4562*G4562</f>
        <v/>
      </c>
      <c r="R4562" s="14">
        <f>K4562-Q4562</f>
        <v/>
      </c>
      <c r="S4562" s="3">
        <f>P4562*Assumptions!$B$3/100</f>
        <v/>
      </c>
      <c r="T4562" s="14">
        <f>R4562-S4562</f>
        <v/>
      </c>
      <c r="U4562" s="14">
        <f>L4562*G4562</f>
        <v/>
      </c>
    </row>
    <row r="4563">
      <c r="A4563" s="12" t="inlineStr">
        <is>
          <t>PO-2023-4561</t>
        </is>
      </c>
      <c r="B4563" s="26" t="n">
        <v>44777</v>
      </c>
      <c r="C4563" s="12" t="inlineStr">
        <is>
          <t>VS21</t>
        </is>
      </c>
      <c r="D4563" s="12" t="inlineStr">
        <is>
          <t>GI Sheets</t>
        </is>
      </c>
      <c r="E4563" s="12" t="inlineStr">
        <is>
          <t>Y</t>
        </is>
      </c>
      <c r="F4563" s="12" t="n">
        <v>16.81</v>
      </c>
      <c r="G4563" s="17" t="n">
        <v>52209.46</v>
      </c>
      <c r="H4563" s="26" t="n">
        <v>44787</v>
      </c>
      <c r="I4563" s="26" t="n">
        <v>44789</v>
      </c>
      <c r="J4563" s="12" t="n">
        <v>16.77</v>
      </c>
      <c r="K4563" s="17" t="n">
        <v>877641.02</v>
      </c>
      <c r="L4563" s="12" t="n">
        <v>0</v>
      </c>
      <c r="M4563" s="12" t="n">
        <v>17</v>
      </c>
      <c r="N4563" s="27">
        <f>F4563-J4563</f>
        <v/>
      </c>
      <c r="O4563" s="16">
        <f>I4563-H4563</f>
        <v/>
      </c>
      <c r="P4563" s="14">
        <f>F4563*G4563</f>
        <v/>
      </c>
      <c r="Q4563" s="14">
        <f>J4563*G4563</f>
        <v/>
      </c>
      <c r="R4563" s="14">
        <f>K4563-Q4563</f>
        <v/>
      </c>
      <c r="S4563" s="3">
        <f>P4563*Assumptions!$B$3/100</f>
        <v/>
      </c>
      <c r="T4563" s="14">
        <f>R4563-S4563</f>
        <v/>
      </c>
      <c r="U4563" s="14">
        <f>L4563*G4563</f>
        <v/>
      </c>
    </row>
    <row r="4564">
      <c r="A4564" s="12" t="inlineStr">
        <is>
          <t>PO-2023-4562</t>
        </is>
      </c>
      <c r="B4564" s="26" t="n">
        <v>45026</v>
      </c>
      <c r="C4564" s="12" t="inlineStr">
        <is>
          <t>VS22</t>
        </is>
      </c>
      <c r="D4564" s="12" t="inlineStr">
        <is>
          <t>GI Pipes</t>
        </is>
      </c>
      <c r="E4564" s="12" t="inlineStr">
        <is>
          <t>N</t>
        </is>
      </c>
      <c r="F4564" s="12" t="n">
        <v>13.67</v>
      </c>
      <c r="G4564" s="17" t="n">
        <v>54345.06</v>
      </c>
      <c r="H4564" s="26" t="n">
        <v>45037</v>
      </c>
      <c r="I4564" s="26" t="n">
        <v>45039</v>
      </c>
      <c r="J4564" s="12" t="n">
        <v>13.64</v>
      </c>
      <c r="K4564" s="17" t="n">
        <v>742896.97</v>
      </c>
      <c r="L4564" s="12" t="n">
        <v>0</v>
      </c>
      <c r="M4564" s="12" t="n">
        <v>9</v>
      </c>
      <c r="N4564" s="27">
        <f>F4564-J4564</f>
        <v/>
      </c>
      <c r="O4564" s="16">
        <f>I4564-H4564</f>
        <v/>
      </c>
      <c r="P4564" s="14">
        <f>F4564*G4564</f>
        <v/>
      </c>
      <c r="Q4564" s="14">
        <f>J4564*G4564</f>
        <v/>
      </c>
      <c r="R4564" s="14">
        <f>K4564-Q4564</f>
        <v/>
      </c>
      <c r="S4564" s="3">
        <f>P4564*Assumptions!$B$3/100</f>
        <v/>
      </c>
      <c r="T4564" s="14">
        <f>R4564-S4564</f>
        <v/>
      </c>
      <c r="U4564" s="14">
        <f>L4564*G4564</f>
        <v/>
      </c>
    </row>
    <row r="4565">
      <c r="A4565" s="12" t="inlineStr">
        <is>
          <t>PO-2023-4563</t>
        </is>
      </c>
      <c r="B4565" s="26" t="n">
        <v>45268</v>
      </c>
      <c r="C4565" s="12" t="inlineStr">
        <is>
          <t>VS13</t>
        </is>
      </c>
      <c r="D4565" s="12" t="inlineStr">
        <is>
          <t>MS Pipes</t>
        </is>
      </c>
      <c r="E4565" s="12" t="inlineStr">
        <is>
          <t>N</t>
        </is>
      </c>
      <c r="F4565" s="12" t="n">
        <v>2.84</v>
      </c>
      <c r="G4565" s="17" t="n">
        <v>89393.84</v>
      </c>
      <c r="H4565" s="26" t="n">
        <v>45280</v>
      </c>
      <c r="I4565" s="26" t="n">
        <v>45283</v>
      </c>
      <c r="J4565" s="12" t="n">
        <v>2.83</v>
      </c>
      <c r="K4565" s="17" t="n">
        <v>253878.51</v>
      </c>
      <c r="L4565" s="12" t="n">
        <v>0</v>
      </c>
      <c r="M4565" s="12" t="n">
        <v>0</v>
      </c>
      <c r="N4565" s="27">
        <f>F4565-J4565</f>
        <v/>
      </c>
      <c r="O4565" s="16">
        <f>I4565-H4565</f>
        <v/>
      </c>
      <c r="P4565" s="14">
        <f>F4565*G4565</f>
        <v/>
      </c>
      <c r="Q4565" s="14">
        <f>J4565*G4565</f>
        <v/>
      </c>
      <c r="R4565" s="14">
        <f>K4565-Q4565</f>
        <v/>
      </c>
      <c r="S4565" s="3">
        <f>P4565*Assumptions!$B$3/100</f>
        <v/>
      </c>
      <c r="T4565" s="14">
        <f>R4565-S4565</f>
        <v/>
      </c>
      <c r="U4565" s="14">
        <f>L4565*G4565</f>
        <v/>
      </c>
    </row>
    <row r="4566">
      <c r="A4566" s="12" t="inlineStr">
        <is>
          <t>PO-2023-4564</t>
        </is>
      </c>
      <c r="B4566" s="26" t="n">
        <v>44893</v>
      </c>
      <c r="C4566" s="12" t="inlineStr">
        <is>
          <t>VS18</t>
        </is>
      </c>
      <c r="D4566" s="12" t="inlineStr">
        <is>
          <t>Square/Rect Tubes</t>
        </is>
      </c>
      <c r="E4566" s="12" t="inlineStr">
        <is>
          <t>N</t>
        </is>
      </c>
      <c r="F4566" s="12" t="n">
        <v>27.97</v>
      </c>
      <c r="G4566" s="17" t="n">
        <v>116215.5</v>
      </c>
      <c r="H4566" s="26" t="n">
        <v>44899</v>
      </c>
      <c r="I4566" s="26" t="n">
        <v>44899</v>
      </c>
      <c r="J4566" s="12" t="n">
        <v>27.84</v>
      </c>
      <c r="K4566" s="17" t="n">
        <v>3250547.53</v>
      </c>
      <c r="L4566" s="12" t="n">
        <v>0</v>
      </c>
      <c r="M4566" s="12" t="n">
        <v>0</v>
      </c>
      <c r="N4566" s="27">
        <f>F4566-J4566</f>
        <v/>
      </c>
      <c r="O4566" s="16">
        <f>I4566-H4566</f>
        <v/>
      </c>
      <c r="P4566" s="14">
        <f>F4566*G4566</f>
        <v/>
      </c>
      <c r="Q4566" s="14">
        <f>J4566*G4566</f>
        <v/>
      </c>
      <c r="R4566" s="14">
        <f>K4566-Q4566</f>
        <v/>
      </c>
      <c r="S4566" s="3">
        <f>P4566*Assumptions!$B$3/100</f>
        <v/>
      </c>
      <c r="T4566" s="14">
        <f>R4566-S4566</f>
        <v/>
      </c>
      <c r="U4566" s="14">
        <f>L4566*G4566</f>
        <v/>
      </c>
    </row>
    <row r="4567">
      <c r="A4567" s="12" t="inlineStr">
        <is>
          <t>PO-2023-4565</t>
        </is>
      </c>
      <c r="B4567" s="26" t="n">
        <v>44759</v>
      </c>
      <c r="C4567" s="12" t="inlineStr">
        <is>
          <t>VS19</t>
        </is>
      </c>
      <c r="D4567" s="12" t="inlineStr">
        <is>
          <t>MS Rods</t>
        </is>
      </c>
      <c r="E4567" s="12" t="inlineStr">
        <is>
          <t>N</t>
        </is>
      </c>
      <c r="F4567" s="12" t="n">
        <v>33.68</v>
      </c>
      <c r="G4567" s="17" t="n">
        <v>87074.89999999999</v>
      </c>
      <c r="H4567" s="26" t="n">
        <v>44768</v>
      </c>
      <c r="I4567" s="26" t="n">
        <v>44776</v>
      </c>
      <c r="J4567" s="12" t="n">
        <v>32.04</v>
      </c>
      <c r="K4567" s="17" t="n">
        <v>2932682.63</v>
      </c>
      <c r="L4567" s="12" t="n">
        <v>0.53</v>
      </c>
      <c r="M4567" s="12" t="n">
        <v>3</v>
      </c>
      <c r="N4567" s="27">
        <f>F4567-J4567</f>
        <v/>
      </c>
      <c r="O4567" s="16">
        <f>I4567-H4567</f>
        <v/>
      </c>
      <c r="P4567" s="14">
        <f>F4567*G4567</f>
        <v/>
      </c>
      <c r="Q4567" s="14">
        <f>J4567*G4567</f>
        <v/>
      </c>
      <c r="R4567" s="14">
        <f>K4567-Q4567</f>
        <v/>
      </c>
      <c r="S4567" s="3">
        <f>P4567*Assumptions!$B$3/100</f>
        <v/>
      </c>
      <c r="T4567" s="14">
        <f>R4567-S4567</f>
        <v/>
      </c>
      <c r="U4567" s="14">
        <f>L4567*G4567</f>
        <v/>
      </c>
    </row>
    <row r="4568">
      <c r="A4568" s="12" t="inlineStr">
        <is>
          <t>PO-2023-4566</t>
        </is>
      </c>
      <c r="B4568" s="26" t="n">
        <v>45077</v>
      </c>
      <c r="C4568" s="12" t="inlineStr">
        <is>
          <t>VS29</t>
        </is>
      </c>
      <c r="D4568" s="12" t="inlineStr">
        <is>
          <t>Spring Steel</t>
        </is>
      </c>
      <c r="E4568" s="12" t="inlineStr">
        <is>
          <t>N</t>
        </is>
      </c>
      <c r="F4568" s="12" t="n">
        <v>30.95</v>
      </c>
      <c r="G4568" s="17" t="n">
        <v>64366.06</v>
      </c>
      <c r="H4568" s="26" t="n">
        <v>45080</v>
      </c>
      <c r="I4568" s="26" t="n">
        <v>45081</v>
      </c>
      <c r="J4568" s="12" t="n">
        <v>30.78</v>
      </c>
      <c r="K4568" s="17" t="n">
        <v>1992129.56</v>
      </c>
      <c r="L4568" s="12" t="n">
        <v>0</v>
      </c>
      <c r="M4568" s="12" t="n">
        <v>2</v>
      </c>
      <c r="N4568" s="27">
        <f>F4568-J4568</f>
        <v/>
      </c>
      <c r="O4568" s="16">
        <f>I4568-H4568</f>
        <v/>
      </c>
      <c r="P4568" s="14">
        <f>F4568*G4568</f>
        <v/>
      </c>
      <c r="Q4568" s="14">
        <f>J4568*G4568</f>
        <v/>
      </c>
      <c r="R4568" s="14">
        <f>K4568-Q4568</f>
        <v/>
      </c>
      <c r="S4568" s="3">
        <f>P4568*Assumptions!$B$3/100</f>
        <v/>
      </c>
      <c r="T4568" s="14">
        <f>R4568-S4568</f>
        <v/>
      </c>
      <c r="U4568" s="14">
        <f>L4568*G4568</f>
        <v/>
      </c>
    </row>
    <row r="4569">
      <c r="A4569" s="12" t="inlineStr">
        <is>
          <t>PO-2023-4567</t>
        </is>
      </c>
      <c r="B4569" s="26" t="n">
        <v>45033</v>
      </c>
      <c r="C4569" s="12" t="inlineStr">
        <is>
          <t>VS07</t>
        </is>
      </c>
      <c r="D4569" s="12" t="inlineStr">
        <is>
          <t>Fasteners &amp; Fittings</t>
        </is>
      </c>
      <c r="E4569" s="12" t="inlineStr">
        <is>
          <t>Y</t>
        </is>
      </c>
      <c r="F4569" s="12" t="n">
        <v>35.31</v>
      </c>
      <c r="G4569" s="17" t="n">
        <v>109135.26</v>
      </c>
      <c r="H4569" s="26" t="n">
        <v>45036</v>
      </c>
      <c r="I4569" s="26" t="n">
        <v>45039</v>
      </c>
      <c r="J4569" s="12" t="n">
        <v>35.3</v>
      </c>
      <c r="K4569" s="17" t="n">
        <v>3853566.03</v>
      </c>
      <c r="L4569" s="12" t="n">
        <v>0</v>
      </c>
      <c r="M4569" s="12" t="n">
        <v>0</v>
      </c>
      <c r="N4569" s="27">
        <f>F4569-J4569</f>
        <v/>
      </c>
      <c r="O4569" s="16">
        <f>I4569-H4569</f>
        <v/>
      </c>
      <c r="P4569" s="14">
        <f>F4569*G4569</f>
        <v/>
      </c>
      <c r="Q4569" s="14">
        <f>J4569*G4569</f>
        <v/>
      </c>
      <c r="R4569" s="14">
        <f>K4569-Q4569</f>
        <v/>
      </c>
      <c r="S4569" s="3">
        <f>P4569*Assumptions!$B$3/100</f>
        <v/>
      </c>
      <c r="T4569" s="14">
        <f>R4569-S4569</f>
        <v/>
      </c>
      <c r="U4569" s="14">
        <f>L4569*G4569</f>
        <v/>
      </c>
    </row>
    <row r="4570">
      <c r="A4570" s="12" t="inlineStr">
        <is>
          <t>PO-2023-4568</t>
        </is>
      </c>
      <c r="B4570" s="26" t="n">
        <v>45084</v>
      </c>
      <c r="C4570" s="12" t="inlineStr">
        <is>
          <t>VS04</t>
        </is>
      </c>
      <c r="D4570" s="12" t="inlineStr">
        <is>
          <t>SS Pipes</t>
        </is>
      </c>
      <c r="E4570" s="12" t="inlineStr">
        <is>
          <t>N</t>
        </is>
      </c>
      <c r="F4570" s="12" t="n">
        <v>42.47</v>
      </c>
      <c r="G4570" s="17" t="n">
        <v>91591.91</v>
      </c>
      <c r="H4570" s="26" t="n">
        <v>45088</v>
      </c>
      <c r="I4570" s="26" t="n">
        <v>45091</v>
      </c>
      <c r="J4570" s="12" t="n">
        <v>42.26</v>
      </c>
      <c r="K4570" s="17" t="n">
        <v>3889908.42</v>
      </c>
      <c r="L4570" s="12" t="n">
        <v>0</v>
      </c>
      <c r="M4570" s="12" t="n">
        <v>4</v>
      </c>
      <c r="N4570" s="27">
        <f>F4570-J4570</f>
        <v/>
      </c>
      <c r="O4570" s="16">
        <f>I4570-H4570</f>
        <v/>
      </c>
      <c r="P4570" s="14">
        <f>F4570*G4570</f>
        <v/>
      </c>
      <c r="Q4570" s="14">
        <f>J4570*G4570</f>
        <v/>
      </c>
      <c r="R4570" s="14">
        <f>K4570-Q4570</f>
        <v/>
      </c>
      <c r="S4570" s="3">
        <f>P4570*Assumptions!$B$3/100</f>
        <v/>
      </c>
      <c r="T4570" s="14">
        <f>R4570-S4570</f>
        <v/>
      </c>
      <c r="U4570" s="14">
        <f>L4570*G4570</f>
        <v/>
      </c>
    </row>
    <row r="4571">
      <c r="A4571" s="12" t="inlineStr">
        <is>
          <t>PO-2023-4569</t>
        </is>
      </c>
      <c r="B4571" s="26" t="n">
        <v>44362</v>
      </c>
      <c r="C4571" s="12" t="inlineStr">
        <is>
          <t>VS02</t>
        </is>
      </c>
      <c r="D4571" s="12" t="inlineStr">
        <is>
          <t>GI Sheets</t>
        </is>
      </c>
      <c r="E4571" s="12" t="inlineStr">
        <is>
          <t>N</t>
        </is>
      </c>
      <c r="F4571" s="12" t="n">
        <v>40.12</v>
      </c>
      <c r="G4571" s="17" t="n">
        <v>64553.25</v>
      </c>
      <c r="H4571" s="26" t="n">
        <v>44376</v>
      </c>
      <c r="I4571" s="26" t="n">
        <v>44379</v>
      </c>
      <c r="J4571" s="12" t="n">
        <v>39.74</v>
      </c>
      <c r="K4571" s="17" t="n">
        <v>2589876.39</v>
      </c>
      <c r="L4571" s="12" t="n">
        <v>0</v>
      </c>
      <c r="M4571" s="12" t="n">
        <v>0</v>
      </c>
      <c r="N4571" s="27">
        <f>F4571-J4571</f>
        <v/>
      </c>
      <c r="O4571" s="16">
        <f>I4571-H4571</f>
        <v/>
      </c>
      <c r="P4571" s="14">
        <f>F4571*G4571</f>
        <v/>
      </c>
      <c r="Q4571" s="14">
        <f>J4571*G4571</f>
        <v/>
      </c>
      <c r="R4571" s="14">
        <f>K4571-Q4571</f>
        <v/>
      </c>
      <c r="S4571" s="3">
        <f>P4571*Assumptions!$B$3/100</f>
        <v/>
      </c>
      <c r="T4571" s="14">
        <f>R4571-S4571</f>
        <v/>
      </c>
      <c r="U4571" s="14">
        <f>L4571*G4571</f>
        <v/>
      </c>
    </row>
    <row r="4572">
      <c r="A4572" s="12" t="inlineStr">
        <is>
          <t>PO-2023-4570</t>
        </is>
      </c>
      <c r="B4572" s="26" t="n">
        <v>45114</v>
      </c>
      <c r="C4572" s="12" t="inlineStr">
        <is>
          <t>VS07</t>
        </is>
      </c>
      <c r="D4572" s="12" t="inlineStr">
        <is>
          <t>MS Flats</t>
        </is>
      </c>
      <c r="E4572" s="12" t="inlineStr">
        <is>
          <t>N</t>
        </is>
      </c>
      <c r="F4572" s="12" t="n">
        <v>20.22</v>
      </c>
      <c r="G4572" s="17" t="n">
        <v>107195.2</v>
      </c>
      <c r="H4572" s="26" t="n">
        <v>45123</v>
      </c>
      <c r="I4572" s="26" t="n">
        <v>45125</v>
      </c>
      <c r="J4572" s="12" t="n">
        <v>20.03</v>
      </c>
      <c r="K4572" s="17" t="n">
        <v>2167486.94</v>
      </c>
      <c r="L4572" s="12" t="n">
        <v>0</v>
      </c>
      <c r="M4572" s="12" t="n">
        <v>0</v>
      </c>
      <c r="N4572" s="27">
        <f>F4572-J4572</f>
        <v/>
      </c>
      <c r="O4572" s="16">
        <f>I4572-H4572</f>
        <v/>
      </c>
      <c r="P4572" s="14">
        <f>F4572*G4572</f>
        <v/>
      </c>
      <c r="Q4572" s="14">
        <f>J4572*G4572</f>
        <v/>
      </c>
      <c r="R4572" s="14">
        <f>K4572-Q4572</f>
        <v/>
      </c>
      <c r="S4572" s="3">
        <f>P4572*Assumptions!$B$3/100</f>
        <v/>
      </c>
      <c r="T4572" s="14">
        <f>R4572-S4572</f>
        <v/>
      </c>
      <c r="U4572" s="14">
        <f>L4572*G4572</f>
        <v/>
      </c>
    </row>
    <row r="4573">
      <c r="A4573" s="12" t="inlineStr">
        <is>
          <t>PO-2023-4571</t>
        </is>
      </c>
      <c r="B4573" s="26" t="n">
        <v>45082</v>
      </c>
      <c r="C4573" s="12" t="inlineStr">
        <is>
          <t>VS21</t>
        </is>
      </c>
      <c r="D4573" s="12" t="inlineStr">
        <is>
          <t>MS Pipes</t>
        </is>
      </c>
      <c r="E4573" s="12" t="inlineStr">
        <is>
          <t>N</t>
        </is>
      </c>
      <c r="F4573" s="12" t="n">
        <v>32.98</v>
      </c>
      <c r="G4573" s="17" t="n">
        <v>50743.02</v>
      </c>
      <c r="H4573" s="26" t="n">
        <v>45096</v>
      </c>
      <c r="I4573" s="26" t="n">
        <v>45096</v>
      </c>
      <c r="J4573" s="12" t="n">
        <v>32.75</v>
      </c>
      <c r="K4573" s="17" t="n">
        <v>1673504.8</v>
      </c>
      <c r="L4573" s="12" t="n">
        <v>0</v>
      </c>
      <c r="M4573" s="12" t="n">
        <v>0</v>
      </c>
      <c r="N4573" s="27">
        <f>F4573-J4573</f>
        <v/>
      </c>
      <c r="O4573" s="16">
        <f>I4573-H4573</f>
        <v/>
      </c>
      <c r="P4573" s="14">
        <f>F4573*G4573</f>
        <v/>
      </c>
      <c r="Q4573" s="14">
        <f>J4573*G4573</f>
        <v/>
      </c>
      <c r="R4573" s="14">
        <f>K4573-Q4573</f>
        <v/>
      </c>
      <c r="S4573" s="3">
        <f>P4573*Assumptions!$B$3/100</f>
        <v/>
      </c>
      <c r="T4573" s="14">
        <f>R4573-S4573</f>
        <v/>
      </c>
      <c r="U4573" s="14">
        <f>L4573*G4573</f>
        <v/>
      </c>
    </row>
    <row r="4574">
      <c r="A4574" s="12" t="inlineStr">
        <is>
          <t>PO-2023-4572</t>
        </is>
      </c>
      <c r="B4574" s="26" t="n">
        <v>45231</v>
      </c>
      <c r="C4574" s="12" t="inlineStr">
        <is>
          <t>VS28</t>
        </is>
      </c>
      <c r="D4574" s="12" t="inlineStr">
        <is>
          <t>MS Pipes</t>
        </is>
      </c>
      <c r="E4574" s="12" t="inlineStr">
        <is>
          <t>Y</t>
        </is>
      </c>
      <c r="F4574" s="12" t="n">
        <v>34.63</v>
      </c>
      <c r="G4574" s="17" t="n">
        <v>73826.96000000001</v>
      </c>
      <c r="H4574" s="26" t="n">
        <v>45244</v>
      </c>
      <c r="I4574" s="26" t="n">
        <v>45247</v>
      </c>
      <c r="J4574" s="12" t="n">
        <v>34.62</v>
      </c>
      <c r="K4574" s="17" t="n">
        <v>2556627.62</v>
      </c>
      <c r="L4574" s="12" t="n">
        <v>0</v>
      </c>
      <c r="M4574" s="12" t="n">
        <v>8</v>
      </c>
      <c r="N4574" s="27">
        <f>F4574-J4574</f>
        <v/>
      </c>
      <c r="O4574" s="16">
        <f>I4574-H4574</f>
        <v/>
      </c>
      <c r="P4574" s="14">
        <f>F4574*G4574</f>
        <v/>
      </c>
      <c r="Q4574" s="14">
        <f>J4574*G4574</f>
        <v/>
      </c>
      <c r="R4574" s="14">
        <f>K4574-Q4574</f>
        <v/>
      </c>
      <c r="S4574" s="3">
        <f>P4574*Assumptions!$B$3/100</f>
        <v/>
      </c>
      <c r="T4574" s="14">
        <f>R4574-S4574</f>
        <v/>
      </c>
      <c r="U4574" s="14">
        <f>L4574*G4574</f>
        <v/>
      </c>
    </row>
    <row r="4575">
      <c r="A4575" s="12" t="inlineStr">
        <is>
          <t>PO-2023-4573</t>
        </is>
      </c>
      <c r="B4575" s="26" t="n">
        <v>44796</v>
      </c>
      <c r="C4575" s="12" t="inlineStr">
        <is>
          <t>VS17</t>
        </is>
      </c>
      <c r="D4575" s="12" t="inlineStr">
        <is>
          <t>MS Sheets</t>
        </is>
      </c>
      <c r="E4575" s="12" t="inlineStr">
        <is>
          <t>N</t>
        </is>
      </c>
      <c r="F4575" s="12" t="n">
        <v>11.02</v>
      </c>
      <c r="G4575" s="17" t="n">
        <v>97072.07000000001</v>
      </c>
      <c r="H4575" s="26" t="n">
        <v>44804</v>
      </c>
      <c r="I4575" s="26" t="n">
        <v>44804</v>
      </c>
      <c r="J4575" s="12" t="n">
        <v>10.96</v>
      </c>
      <c r="K4575" s="17" t="n">
        <v>1069734.21</v>
      </c>
      <c r="L4575" s="12" t="n">
        <v>0</v>
      </c>
      <c r="M4575" s="12" t="n">
        <v>4</v>
      </c>
      <c r="N4575" s="27">
        <f>F4575-J4575</f>
        <v/>
      </c>
      <c r="O4575" s="16">
        <f>I4575-H4575</f>
        <v/>
      </c>
      <c r="P4575" s="14">
        <f>F4575*G4575</f>
        <v/>
      </c>
      <c r="Q4575" s="14">
        <f>J4575*G4575</f>
        <v/>
      </c>
      <c r="R4575" s="14">
        <f>K4575-Q4575</f>
        <v/>
      </c>
      <c r="S4575" s="3">
        <f>P4575*Assumptions!$B$3/100</f>
        <v/>
      </c>
      <c r="T4575" s="14">
        <f>R4575-S4575</f>
        <v/>
      </c>
      <c r="U4575" s="14">
        <f>L4575*G4575</f>
        <v/>
      </c>
    </row>
    <row r="4576">
      <c r="A4576" s="12" t="inlineStr">
        <is>
          <t>PO-2023-4574</t>
        </is>
      </c>
      <c r="B4576" s="26" t="n">
        <v>45087</v>
      </c>
      <c r="C4576" s="12" t="inlineStr">
        <is>
          <t>VS34</t>
        </is>
      </c>
      <c r="D4576" s="12" t="inlineStr">
        <is>
          <t>MS Flats</t>
        </is>
      </c>
      <c r="E4576" s="12" t="inlineStr">
        <is>
          <t>N</t>
        </is>
      </c>
      <c r="F4576" s="12" t="n">
        <v>1.91</v>
      </c>
      <c r="G4576" s="17" t="n">
        <v>118230.37</v>
      </c>
      <c r="H4576" s="26" t="n">
        <v>45094</v>
      </c>
      <c r="I4576" s="26" t="n">
        <v>45094</v>
      </c>
      <c r="J4576" s="12" t="n">
        <v>1.9</v>
      </c>
      <c r="K4576" s="17" t="n">
        <v>225820.01</v>
      </c>
      <c r="L4576" s="12" t="n">
        <v>0</v>
      </c>
      <c r="M4576" s="12" t="n">
        <v>15</v>
      </c>
      <c r="N4576" s="27">
        <f>F4576-J4576</f>
        <v/>
      </c>
      <c r="O4576" s="16">
        <f>I4576-H4576</f>
        <v/>
      </c>
      <c r="P4576" s="14">
        <f>F4576*G4576</f>
        <v/>
      </c>
      <c r="Q4576" s="14">
        <f>J4576*G4576</f>
        <v/>
      </c>
      <c r="R4576" s="14">
        <f>K4576-Q4576</f>
        <v/>
      </c>
      <c r="S4576" s="3">
        <f>P4576*Assumptions!$B$3/100</f>
        <v/>
      </c>
      <c r="T4576" s="14">
        <f>R4576-S4576</f>
        <v/>
      </c>
      <c r="U4576" s="14">
        <f>L4576*G4576</f>
        <v/>
      </c>
    </row>
    <row r="4577">
      <c r="A4577" s="12" t="inlineStr">
        <is>
          <t>PO-2023-4575</t>
        </is>
      </c>
      <c r="B4577" s="26" t="n">
        <v>44860</v>
      </c>
      <c r="C4577" s="12" t="inlineStr">
        <is>
          <t>VS02</t>
        </is>
      </c>
      <c r="D4577" s="12" t="inlineStr">
        <is>
          <t>MS Flats</t>
        </is>
      </c>
      <c r="E4577" s="12" t="inlineStr">
        <is>
          <t>N</t>
        </is>
      </c>
      <c r="F4577" s="12" t="n">
        <v>39.3</v>
      </c>
      <c r="G4577" s="17" t="n">
        <v>75639.64</v>
      </c>
      <c r="H4577" s="26" t="n">
        <v>44874</v>
      </c>
      <c r="I4577" s="26" t="n">
        <v>44876</v>
      </c>
      <c r="J4577" s="12" t="n">
        <v>38.99</v>
      </c>
      <c r="K4577" s="17" t="n">
        <v>2972637.85</v>
      </c>
      <c r="L4577" s="12" t="n">
        <v>0</v>
      </c>
      <c r="M4577" s="12" t="n">
        <v>0</v>
      </c>
      <c r="N4577" s="27">
        <f>F4577-J4577</f>
        <v/>
      </c>
      <c r="O4577" s="16">
        <f>I4577-H4577</f>
        <v/>
      </c>
      <c r="P4577" s="14">
        <f>F4577*G4577</f>
        <v/>
      </c>
      <c r="Q4577" s="14">
        <f>J4577*G4577</f>
        <v/>
      </c>
      <c r="R4577" s="14">
        <f>K4577-Q4577</f>
        <v/>
      </c>
      <c r="S4577" s="3">
        <f>P4577*Assumptions!$B$3/100</f>
        <v/>
      </c>
      <c r="T4577" s="14">
        <f>R4577-S4577</f>
        <v/>
      </c>
      <c r="U4577" s="14">
        <f>L4577*G4577</f>
        <v/>
      </c>
    </row>
    <row r="4578">
      <c r="A4578" s="12" t="inlineStr">
        <is>
          <t>PO-2023-4576</t>
        </is>
      </c>
      <c r="B4578" s="26" t="n">
        <v>44666</v>
      </c>
      <c r="C4578" s="12" t="inlineStr">
        <is>
          <t>VS32</t>
        </is>
      </c>
      <c r="D4578" s="12" t="inlineStr">
        <is>
          <t>MS Flats</t>
        </is>
      </c>
      <c r="E4578" s="12" t="inlineStr">
        <is>
          <t>N</t>
        </is>
      </c>
      <c r="F4578" s="12" t="n">
        <v>16.23</v>
      </c>
      <c r="G4578" s="17" t="n">
        <v>55178.58</v>
      </c>
      <c r="H4578" s="26" t="n">
        <v>44680</v>
      </c>
      <c r="I4578" s="26" t="n">
        <v>44683</v>
      </c>
      <c r="J4578" s="12" t="n">
        <v>16.09</v>
      </c>
      <c r="K4578" s="17" t="n">
        <v>895548.35</v>
      </c>
      <c r="L4578" s="12" t="n">
        <v>0</v>
      </c>
      <c r="M4578" s="12" t="n">
        <v>24</v>
      </c>
      <c r="N4578" s="27">
        <f>F4578-J4578</f>
        <v/>
      </c>
      <c r="O4578" s="16">
        <f>I4578-H4578</f>
        <v/>
      </c>
      <c r="P4578" s="14">
        <f>F4578*G4578</f>
        <v/>
      </c>
      <c r="Q4578" s="14">
        <f>J4578*G4578</f>
        <v/>
      </c>
      <c r="R4578" s="14">
        <f>K4578-Q4578</f>
        <v/>
      </c>
      <c r="S4578" s="3">
        <f>P4578*Assumptions!$B$3/100</f>
        <v/>
      </c>
      <c r="T4578" s="14">
        <f>R4578-S4578</f>
        <v/>
      </c>
      <c r="U4578" s="14">
        <f>L4578*G4578</f>
        <v/>
      </c>
    </row>
    <row r="4579">
      <c r="A4579" s="12" t="inlineStr">
        <is>
          <t>PO-2023-4577</t>
        </is>
      </c>
      <c r="B4579" s="26" t="n">
        <v>44738</v>
      </c>
      <c r="C4579" s="12" t="inlineStr">
        <is>
          <t>VS12</t>
        </is>
      </c>
      <c r="D4579" s="12" t="inlineStr">
        <is>
          <t>Spring Steel</t>
        </is>
      </c>
      <c r="E4579" s="12" t="inlineStr">
        <is>
          <t>Y</t>
        </is>
      </c>
      <c r="F4579" s="12" t="n">
        <v>22.3</v>
      </c>
      <c r="G4579" s="17" t="n">
        <v>83587.05</v>
      </c>
      <c r="H4579" s="26" t="n">
        <v>44752</v>
      </c>
      <c r="I4579" s="26" t="n">
        <v>44757</v>
      </c>
      <c r="J4579" s="12" t="n">
        <v>21.46</v>
      </c>
      <c r="K4579" s="17" t="n">
        <v>1863991.22</v>
      </c>
      <c r="L4579" s="12" t="n">
        <v>0.11</v>
      </c>
      <c r="M4579" s="12" t="n">
        <v>0</v>
      </c>
      <c r="N4579" s="27">
        <f>F4579-J4579</f>
        <v/>
      </c>
      <c r="O4579" s="16">
        <f>I4579-H4579</f>
        <v/>
      </c>
      <c r="P4579" s="14">
        <f>F4579*G4579</f>
        <v/>
      </c>
      <c r="Q4579" s="14">
        <f>J4579*G4579</f>
        <v/>
      </c>
      <c r="R4579" s="14">
        <f>K4579-Q4579</f>
        <v/>
      </c>
      <c r="S4579" s="3">
        <f>P4579*Assumptions!$B$3/100</f>
        <v/>
      </c>
      <c r="T4579" s="14">
        <f>R4579-S4579</f>
        <v/>
      </c>
      <c r="U4579" s="14">
        <f>L4579*G4579</f>
        <v/>
      </c>
    </row>
    <row r="4580">
      <c r="A4580" s="12" t="inlineStr">
        <is>
          <t>PO-2023-4578</t>
        </is>
      </c>
      <c r="B4580" s="26" t="n">
        <v>44540</v>
      </c>
      <c r="C4580" s="12" t="inlineStr">
        <is>
          <t>VS22</t>
        </is>
      </c>
      <c r="D4580" s="12" t="inlineStr">
        <is>
          <t>Fasteners &amp; Fittings</t>
        </is>
      </c>
      <c r="E4580" s="12" t="inlineStr">
        <is>
          <t>N</t>
        </is>
      </c>
      <c r="F4580" s="12" t="n">
        <v>7.09</v>
      </c>
      <c r="G4580" s="17" t="n">
        <v>116922.45</v>
      </c>
      <c r="H4580" s="26" t="n">
        <v>44545</v>
      </c>
      <c r="I4580" s="26" t="n">
        <v>44547</v>
      </c>
      <c r="J4580" s="12" t="n">
        <v>7.04</v>
      </c>
      <c r="K4580" s="17" t="n">
        <v>828980.17</v>
      </c>
      <c r="L4580" s="12" t="n">
        <v>0</v>
      </c>
      <c r="M4580" s="12" t="n">
        <v>8</v>
      </c>
      <c r="N4580" s="27">
        <f>F4580-J4580</f>
        <v/>
      </c>
      <c r="O4580" s="16">
        <f>I4580-H4580</f>
        <v/>
      </c>
      <c r="P4580" s="14">
        <f>F4580*G4580</f>
        <v/>
      </c>
      <c r="Q4580" s="14">
        <f>J4580*G4580</f>
        <v/>
      </c>
      <c r="R4580" s="14">
        <f>K4580-Q4580</f>
        <v/>
      </c>
      <c r="S4580" s="3">
        <f>P4580*Assumptions!$B$3/100</f>
        <v/>
      </c>
      <c r="T4580" s="14">
        <f>R4580-S4580</f>
        <v/>
      </c>
      <c r="U4580" s="14">
        <f>L4580*G4580</f>
        <v/>
      </c>
    </row>
    <row r="4581">
      <c r="A4581" s="12" t="inlineStr">
        <is>
          <t>PO-2023-4579</t>
        </is>
      </c>
      <c r="B4581" s="26" t="n">
        <v>44873</v>
      </c>
      <c r="C4581" s="12" t="inlineStr">
        <is>
          <t>VS04</t>
        </is>
      </c>
      <c r="D4581" s="12" t="inlineStr">
        <is>
          <t>HR Coils</t>
        </is>
      </c>
      <c r="E4581" s="12" t="inlineStr">
        <is>
          <t>Y</t>
        </is>
      </c>
      <c r="F4581" s="12" t="n">
        <v>27.41</v>
      </c>
      <c r="G4581" s="17" t="n">
        <v>110347</v>
      </c>
      <c r="H4581" s="26" t="n">
        <v>44883</v>
      </c>
      <c r="I4581" s="26" t="n">
        <v>44883</v>
      </c>
      <c r="J4581" s="12" t="n">
        <v>27.22</v>
      </c>
      <c r="K4581" s="17" t="n">
        <v>3024611.27</v>
      </c>
      <c r="L4581" s="12" t="n">
        <v>0</v>
      </c>
      <c r="M4581" s="12" t="n">
        <v>0</v>
      </c>
      <c r="N4581" s="27">
        <f>F4581-J4581</f>
        <v/>
      </c>
      <c r="O4581" s="16">
        <f>I4581-H4581</f>
        <v/>
      </c>
      <c r="P4581" s="14">
        <f>F4581*G4581</f>
        <v/>
      </c>
      <c r="Q4581" s="14">
        <f>J4581*G4581</f>
        <v/>
      </c>
      <c r="R4581" s="14">
        <f>K4581-Q4581</f>
        <v/>
      </c>
      <c r="S4581" s="3">
        <f>P4581*Assumptions!$B$3/100</f>
        <v/>
      </c>
      <c r="T4581" s="14">
        <f>R4581-S4581</f>
        <v/>
      </c>
      <c r="U4581" s="14">
        <f>L4581*G4581</f>
        <v/>
      </c>
    </row>
    <row r="4582">
      <c r="A4582" s="12" t="inlineStr">
        <is>
          <t>PO-2023-4580</t>
        </is>
      </c>
      <c r="B4582" s="26" t="n">
        <v>45073</v>
      </c>
      <c r="C4582" s="12" t="inlineStr">
        <is>
          <t>VS12</t>
        </is>
      </c>
      <c r="D4582" s="12" t="inlineStr">
        <is>
          <t>MS Rods</t>
        </is>
      </c>
      <c r="E4582" s="12" t="inlineStr">
        <is>
          <t>N</t>
        </is>
      </c>
      <c r="F4582" s="12" t="n">
        <v>43.85</v>
      </c>
      <c r="G4582" s="17" t="n">
        <v>70266.64999999999</v>
      </c>
      <c r="H4582" s="26" t="n">
        <v>45088</v>
      </c>
      <c r="I4582" s="26" t="n">
        <v>45093</v>
      </c>
      <c r="J4582" s="12" t="n">
        <v>41.68</v>
      </c>
      <c r="K4582" s="17" t="n">
        <v>3081192.6</v>
      </c>
      <c r="L4582" s="12" t="n">
        <v>1.43</v>
      </c>
      <c r="M4582" s="12" t="n">
        <v>12</v>
      </c>
      <c r="N4582" s="27">
        <f>F4582-J4582</f>
        <v/>
      </c>
      <c r="O4582" s="16">
        <f>I4582-H4582</f>
        <v/>
      </c>
      <c r="P4582" s="14">
        <f>F4582*G4582</f>
        <v/>
      </c>
      <c r="Q4582" s="14">
        <f>J4582*G4582</f>
        <v/>
      </c>
      <c r="R4582" s="14">
        <f>K4582-Q4582</f>
        <v/>
      </c>
      <c r="S4582" s="3">
        <f>P4582*Assumptions!$B$3/100</f>
        <v/>
      </c>
      <c r="T4582" s="14">
        <f>R4582-S4582</f>
        <v/>
      </c>
      <c r="U4582" s="14">
        <f>L4582*G4582</f>
        <v/>
      </c>
    </row>
    <row r="4583">
      <c r="A4583" s="12" t="inlineStr">
        <is>
          <t>PO-2023-4581</t>
        </is>
      </c>
      <c r="B4583" s="26" t="n">
        <v>44343</v>
      </c>
      <c r="C4583" s="12" t="inlineStr">
        <is>
          <t>VS27</t>
        </is>
      </c>
      <c r="D4583" s="12" t="inlineStr">
        <is>
          <t>HR Coils</t>
        </is>
      </c>
      <c r="E4583" s="12" t="inlineStr">
        <is>
          <t>N</t>
        </is>
      </c>
      <c r="F4583" s="12" t="n">
        <v>26.35</v>
      </c>
      <c r="G4583" s="17" t="n">
        <v>66564.16</v>
      </c>
      <c r="H4583" s="26" t="n">
        <v>44349</v>
      </c>
      <c r="I4583" s="26" t="n">
        <v>44351</v>
      </c>
      <c r="J4583" s="12" t="n">
        <v>26.29</v>
      </c>
      <c r="K4583" s="17" t="n">
        <v>1753965.62</v>
      </c>
      <c r="L4583" s="12" t="n">
        <v>0</v>
      </c>
      <c r="M4583" s="12" t="n">
        <v>13</v>
      </c>
      <c r="N4583" s="27">
        <f>F4583-J4583</f>
        <v/>
      </c>
      <c r="O4583" s="16">
        <f>I4583-H4583</f>
        <v/>
      </c>
      <c r="P4583" s="14">
        <f>F4583*G4583</f>
        <v/>
      </c>
      <c r="Q4583" s="14">
        <f>J4583*G4583</f>
        <v/>
      </c>
      <c r="R4583" s="14">
        <f>K4583-Q4583</f>
        <v/>
      </c>
      <c r="S4583" s="3">
        <f>P4583*Assumptions!$B$3/100</f>
        <v/>
      </c>
      <c r="T4583" s="14">
        <f>R4583-S4583</f>
        <v/>
      </c>
      <c r="U4583" s="14">
        <f>L4583*G4583</f>
        <v/>
      </c>
    </row>
    <row r="4584">
      <c r="A4584" s="12" t="inlineStr">
        <is>
          <t>PO-2023-4582</t>
        </is>
      </c>
      <c r="B4584" s="26" t="n">
        <v>45030</v>
      </c>
      <c r="C4584" s="12" t="inlineStr">
        <is>
          <t>VS04</t>
        </is>
      </c>
      <c r="D4584" s="12" t="inlineStr">
        <is>
          <t>MS Rods</t>
        </is>
      </c>
      <c r="E4584" s="12" t="inlineStr">
        <is>
          <t>N</t>
        </is>
      </c>
      <c r="F4584" s="12" t="n">
        <v>10.6</v>
      </c>
      <c r="G4584" s="17" t="n">
        <v>83411.17</v>
      </c>
      <c r="H4584" s="26" t="n">
        <v>45036</v>
      </c>
      <c r="I4584" s="26" t="n">
        <v>45036</v>
      </c>
      <c r="J4584" s="12" t="n">
        <v>10.49</v>
      </c>
      <c r="K4584" s="17" t="n">
        <v>884158.4</v>
      </c>
      <c r="L4584" s="12" t="n">
        <v>0</v>
      </c>
      <c r="M4584" s="12" t="n">
        <v>0</v>
      </c>
      <c r="N4584" s="27">
        <f>F4584-J4584</f>
        <v/>
      </c>
      <c r="O4584" s="16">
        <f>I4584-H4584</f>
        <v/>
      </c>
      <c r="P4584" s="14">
        <f>F4584*G4584</f>
        <v/>
      </c>
      <c r="Q4584" s="14">
        <f>J4584*G4584</f>
        <v/>
      </c>
      <c r="R4584" s="14">
        <f>K4584-Q4584</f>
        <v/>
      </c>
      <c r="S4584" s="3">
        <f>P4584*Assumptions!$B$3/100</f>
        <v/>
      </c>
      <c r="T4584" s="14">
        <f>R4584-S4584</f>
        <v/>
      </c>
      <c r="U4584" s="14">
        <f>L4584*G4584</f>
        <v/>
      </c>
    </row>
    <row r="4585">
      <c r="A4585" s="12" t="inlineStr">
        <is>
          <t>PO-2023-4583</t>
        </is>
      </c>
      <c r="B4585" s="26" t="n">
        <v>44235</v>
      </c>
      <c r="C4585" s="12" t="inlineStr">
        <is>
          <t>VS06</t>
        </is>
      </c>
      <c r="D4585" s="12" t="inlineStr">
        <is>
          <t>MS Pipes</t>
        </is>
      </c>
      <c r="E4585" s="12" t="inlineStr">
        <is>
          <t>N</t>
        </is>
      </c>
      <c r="F4585" s="12" t="n">
        <v>38.72</v>
      </c>
      <c r="G4585" s="17" t="n">
        <v>108761.54</v>
      </c>
      <c r="H4585" s="26" t="n">
        <v>44240</v>
      </c>
      <c r="I4585" s="26" t="n">
        <v>44243</v>
      </c>
      <c r="J4585" s="12" t="n">
        <v>38.55</v>
      </c>
      <c r="K4585" s="17" t="n">
        <v>4211246.83</v>
      </c>
      <c r="L4585" s="12" t="n">
        <v>0</v>
      </c>
      <c r="M4585" s="12" t="n">
        <v>0</v>
      </c>
      <c r="N4585" s="27">
        <f>F4585-J4585</f>
        <v/>
      </c>
      <c r="O4585" s="16">
        <f>I4585-H4585</f>
        <v/>
      </c>
      <c r="P4585" s="14">
        <f>F4585*G4585</f>
        <v/>
      </c>
      <c r="Q4585" s="14">
        <f>J4585*G4585</f>
        <v/>
      </c>
      <c r="R4585" s="14">
        <f>K4585-Q4585</f>
        <v/>
      </c>
      <c r="S4585" s="3">
        <f>P4585*Assumptions!$B$3/100</f>
        <v/>
      </c>
      <c r="T4585" s="14">
        <f>R4585-S4585</f>
        <v/>
      </c>
      <c r="U4585" s="14">
        <f>L4585*G4585</f>
        <v/>
      </c>
    </row>
    <row r="4586">
      <c r="A4586" s="12" t="inlineStr">
        <is>
          <t>PO-2023-4584</t>
        </is>
      </c>
      <c r="B4586" s="26" t="n">
        <v>45096</v>
      </c>
      <c r="C4586" s="12" t="inlineStr">
        <is>
          <t>VS25</t>
        </is>
      </c>
      <c r="D4586" s="12" t="inlineStr">
        <is>
          <t>MS Flats</t>
        </is>
      </c>
      <c r="E4586" s="12" t="inlineStr">
        <is>
          <t>N</t>
        </is>
      </c>
      <c r="F4586" s="12" t="n">
        <v>5.12</v>
      </c>
      <c r="G4586" s="17" t="n">
        <v>105488.44</v>
      </c>
      <c r="H4586" s="26" t="n">
        <v>45109</v>
      </c>
      <c r="I4586" s="26" t="n">
        <v>45111</v>
      </c>
      <c r="J4586" s="12" t="n">
        <v>5.12</v>
      </c>
      <c r="K4586" s="17" t="n">
        <v>540100.8100000001</v>
      </c>
      <c r="L4586" s="12" t="n">
        <v>0</v>
      </c>
      <c r="M4586" s="12" t="n">
        <v>0</v>
      </c>
      <c r="N4586" s="27">
        <f>F4586-J4586</f>
        <v/>
      </c>
      <c r="O4586" s="16">
        <f>I4586-H4586</f>
        <v/>
      </c>
      <c r="P4586" s="14">
        <f>F4586*G4586</f>
        <v/>
      </c>
      <c r="Q4586" s="14">
        <f>J4586*G4586</f>
        <v/>
      </c>
      <c r="R4586" s="14">
        <f>K4586-Q4586</f>
        <v/>
      </c>
      <c r="S4586" s="3">
        <f>P4586*Assumptions!$B$3/100</f>
        <v/>
      </c>
      <c r="T4586" s="14">
        <f>R4586-S4586</f>
        <v/>
      </c>
      <c r="U4586" s="14">
        <f>L4586*G4586</f>
        <v/>
      </c>
    </row>
    <row r="4587">
      <c r="A4587" s="12" t="inlineStr">
        <is>
          <t>PO-2023-4585</t>
        </is>
      </c>
      <c r="B4587" s="26" t="n">
        <v>44623</v>
      </c>
      <c r="C4587" s="12" t="inlineStr">
        <is>
          <t>VS01</t>
        </is>
      </c>
      <c r="D4587" s="12" t="inlineStr">
        <is>
          <t>SS Sheets</t>
        </is>
      </c>
      <c r="E4587" s="12" t="inlineStr">
        <is>
          <t>N</t>
        </is>
      </c>
      <c r="F4587" s="12" t="n">
        <v>32.49</v>
      </c>
      <c r="G4587" s="17" t="n">
        <v>82778.63</v>
      </c>
      <c r="H4587" s="26" t="n">
        <v>44631</v>
      </c>
      <c r="I4587" s="26" t="n">
        <v>44634</v>
      </c>
      <c r="J4587" s="12" t="n">
        <v>32.31</v>
      </c>
      <c r="K4587" s="17" t="n">
        <v>2689477.69</v>
      </c>
      <c r="L4587" s="12" t="n">
        <v>0</v>
      </c>
      <c r="M4587" s="12" t="n">
        <v>9</v>
      </c>
      <c r="N4587" s="27">
        <f>F4587-J4587</f>
        <v/>
      </c>
      <c r="O4587" s="16">
        <f>I4587-H4587</f>
        <v/>
      </c>
      <c r="P4587" s="14">
        <f>F4587*G4587</f>
        <v/>
      </c>
      <c r="Q4587" s="14">
        <f>J4587*G4587</f>
        <v/>
      </c>
      <c r="R4587" s="14">
        <f>K4587-Q4587</f>
        <v/>
      </c>
      <c r="S4587" s="3">
        <f>P4587*Assumptions!$B$3/100</f>
        <v/>
      </c>
      <c r="T4587" s="14">
        <f>R4587-S4587</f>
        <v/>
      </c>
      <c r="U4587" s="14">
        <f>L4587*G4587</f>
        <v/>
      </c>
    </row>
    <row r="4588">
      <c r="A4588" s="12" t="inlineStr">
        <is>
          <t>PO-2023-4586</t>
        </is>
      </c>
      <c r="B4588" s="26" t="n">
        <v>44498</v>
      </c>
      <c r="C4588" s="12" t="inlineStr">
        <is>
          <t>VS32</t>
        </is>
      </c>
      <c r="D4588" s="12" t="inlineStr">
        <is>
          <t>Fasteners &amp; Fittings</t>
        </is>
      </c>
      <c r="E4588" s="12" t="inlineStr">
        <is>
          <t>Y</t>
        </is>
      </c>
      <c r="F4588" s="12" t="n">
        <v>18.16</v>
      </c>
      <c r="G4588" s="17" t="n">
        <v>73203.59</v>
      </c>
      <c r="H4588" s="26" t="n">
        <v>44508</v>
      </c>
      <c r="I4588" s="26" t="n">
        <v>44511</v>
      </c>
      <c r="J4588" s="12" t="n">
        <v>18.15</v>
      </c>
      <c r="K4588" s="17" t="n">
        <v>1329377.19</v>
      </c>
      <c r="L4588" s="12" t="n">
        <v>0</v>
      </c>
      <c r="M4588" s="12" t="n">
        <v>14</v>
      </c>
      <c r="N4588" s="27">
        <f>F4588-J4588</f>
        <v/>
      </c>
      <c r="O4588" s="16">
        <f>I4588-H4588</f>
        <v/>
      </c>
      <c r="P4588" s="14">
        <f>F4588*G4588</f>
        <v/>
      </c>
      <c r="Q4588" s="14">
        <f>J4588*G4588</f>
        <v/>
      </c>
      <c r="R4588" s="14">
        <f>K4588-Q4588</f>
        <v/>
      </c>
      <c r="S4588" s="3">
        <f>P4588*Assumptions!$B$3/100</f>
        <v/>
      </c>
      <c r="T4588" s="14">
        <f>R4588-S4588</f>
        <v/>
      </c>
      <c r="U4588" s="14">
        <f>L4588*G4588</f>
        <v/>
      </c>
    </row>
    <row r="4589">
      <c r="A4589" s="12" t="inlineStr">
        <is>
          <t>PO-2023-4587</t>
        </is>
      </c>
      <c r="B4589" s="26" t="n">
        <v>44296</v>
      </c>
      <c r="C4589" s="12" t="inlineStr">
        <is>
          <t>VS14</t>
        </is>
      </c>
      <c r="D4589" s="12" t="inlineStr">
        <is>
          <t>MS Rods</t>
        </is>
      </c>
      <c r="E4589" s="12" t="inlineStr">
        <is>
          <t>N</t>
        </is>
      </c>
      <c r="F4589" s="12" t="n">
        <v>17.05</v>
      </c>
      <c r="G4589" s="17" t="n">
        <v>56001.07</v>
      </c>
      <c r="H4589" s="26" t="n">
        <v>44302</v>
      </c>
      <c r="I4589" s="26" t="n">
        <v>44302</v>
      </c>
      <c r="J4589" s="12" t="n">
        <v>16.95</v>
      </c>
      <c r="K4589" s="17" t="n">
        <v>954818.24</v>
      </c>
      <c r="L4589" s="12" t="n">
        <v>0</v>
      </c>
      <c r="M4589" s="12" t="n">
        <v>0</v>
      </c>
      <c r="N4589" s="27">
        <f>F4589-J4589</f>
        <v/>
      </c>
      <c r="O4589" s="16">
        <f>I4589-H4589</f>
        <v/>
      </c>
      <c r="P4589" s="14">
        <f>F4589*G4589</f>
        <v/>
      </c>
      <c r="Q4589" s="14">
        <f>J4589*G4589</f>
        <v/>
      </c>
      <c r="R4589" s="14">
        <f>K4589-Q4589</f>
        <v/>
      </c>
      <c r="S4589" s="3">
        <f>P4589*Assumptions!$B$3/100</f>
        <v/>
      </c>
      <c r="T4589" s="14">
        <f>R4589-S4589</f>
        <v/>
      </c>
      <c r="U4589" s="14">
        <f>L4589*G4589</f>
        <v/>
      </c>
    </row>
    <row r="4590">
      <c r="A4590" s="12" t="inlineStr">
        <is>
          <t>PO-2023-4588</t>
        </is>
      </c>
      <c r="B4590" s="26" t="n">
        <v>45062</v>
      </c>
      <c r="C4590" s="12" t="inlineStr">
        <is>
          <t>VS14</t>
        </is>
      </c>
      <c r="D4590" s="12" t="inlineStr">
        <is>
          <t>CR Sheets</t>
        </is>
      </c>
      <c r="E4590" s="12" t="inlineStr">
        <is>
          <t>N</t>
        </is>
      </c>
      <c r="F4590" s="12" t="n">
        <v>15.9</v>
      </c>
      <c r="G4590" s="17" t="n">
        <v>66094.42</v>
      </c>
      <c r="H4590" s="26" t="n">
        <v>45075</v>
      </c>
      <c r="I4590" s="26" t="n">
        <v>45076</v>
      </c>
      <c r="J4590" s="12" t="n">
        <v>15.85</v>
      </c>
      <c r="K4590" s="17" t="n">
        <v>1050901.28</v>
      </c>
      <c r="L4590" s="12" t="n">
        <v>0</v>
      </c>
      <c r="M4590" s="12" t="n">
        <v>5</v>
      </c>
      <c r="N4590" s="27">
        <f>F4590-J4590</f>
        <v/>
      </c>
      <c r="O4590" s="16">
        <f>I4590-H4590</f>
        <v/>
      </c>
      <c r="P4590" s="14">
        <f>F4590*G4590</f>
        <v/>
      </c>
      <c r="Q4590" s="14">
        <f>J4590*G4590</f>
        <v/>
      </c>
      <c r="R4590" s="14">
        <f>K4590-Q4590</f>
        <v/>
      </c>
      <c r="S4590" s="3">
        <f>P4590*Assumptions!$B$3/100</f>
        <v/>
      </c>
      <c r="T4590" s="14">
        <f>R4590-S4590</f>
        <v/>
      </c>
      <c r="U4590" s="14">
        <f>L4590*G4590</f>
        <v/>
      </c>
    </row>
    <row r="4591">
      <c r="A4591" s="12" t="inlineStr">
        <is>
          <t>PO-2023-4589</t>
        </is>
      </c>
      <c r="B4591" s="26" t="n">
        <v>44725</v>
      </c>
      <c r="C4591" s="12" t="inlineStr">
        <is>
          <t>VS26</t>
        </is>
      </c>
      <c r="D4591" s="12" t="inlineStr">
        <is>
          <t>Hex Bars</t>
        </is>
      </c>
      <c r="E4591" s="12" t="inlineStr">
        <is>
          <t>N</t>
        </is>
      </c>
      <c r="F4591" s="12" t="n">
        <v>39.26</v>
      </c>
      <c r="G4591" s="17" t="n">
        <v>73314</v>
      </c>
      <c r="H4591" s="26" t="n">
        <v>44739</v>
      </c>
      <c r="I4591" s="26" t="n">
        <v>44740</v>
      </c>
      <c r="J4591" s="12" t="n">
        <v>39.18</v>
      </c>
      <c r="K4591" s="17" t="n">
        <v>2878307.64</v>
      </c>
      <c r="L4591" s="12" t="n">
        <v>0</v>
      </c>
      <c r="M4591" s="12" t="n">
        <v>4</v>
      </c>
      <c r="N4591" s="27">
        <f>F4591-J4591</f>
        <v/>
      </c>
      <c r="O4591" s="16">
        <f>I4591-H4591</f>
        <v/>
      </c>
      <c r="P4591" s="14">
        <f>F4591*G4591</f>
        <v/>
      </c>
      <c r="Q4591" s="14">
        <f>J4591*G4591</f>
        <v/>
      </c>
      <c r="R4591" s="14">
        <f>K4591-Q4591</f>
        <v/>
      </c>
      <c r="S4591" s="3">
        <f>P4591*Assumptions!$B$3/100</f>
        <v/>
      </c>
      <c r="T4591" s="14">
        <f>R4591-S4591</f>
        <v/>
      </c>
      <c r="U4591" s="14">
        <f>L4591*G4591</f>
        <v/>
      </c>
    </row>
    <row r="4592">
      <c r="A4592" s="12" t="inlineStr">
        <is>
          <t>PO-2023-4590</t>
        </is>
      </c>
      <c r="B4592" s="26" t="n">
        <v>44697</v>
      </c>
      <c r="C4592" s="12" t="inlineStr">
        <is>
          <t>VS15</t>
        </is>
      </c>
      <c r="D4592" s="12" t="inlineStr">
        <is>
          <t>ERW Pipes</t>
        </is>
      </c>
      <c r="E4592" s="12" t="inlineStr">
        <is>
          <t>N</t>
        </is>
      </c>
      <c r="F4592" s="12" t="n">
        <v>27.32</v>
      </c>
      <c r="G4592" s="17" t="n">
        <v>95569.89</v>
      </c>
      <c r="H4592" s="26" t="n">
        <v>44702</v>
      </c>
      <c r="I4592" s="26" t="n">
        <v>44703</v>
      </c>
      <c r="J4592" s="12" t="n">
        <v>27.13</v>
      </c>
      <c r="K4592" s="17" t="n">
        <v>2610969.39</v>
      </c>
      <c r="L4592" s="12" t="n">
        <v>0</v>
      </c>
      <c r="M4592" s="12" t="n">
        <v>23</v>
      </c>
      <c r="N4592" s="27">
        <f>F4592-J4592</f>
        <v/>
      </c>
      <c r="O4592" s="16">
        <f>I4592-H4592</f>
        <v/>
      </c>
      <c r="P4592" s="14">
        <f>F4592*G4592</f>
        <v/>
      </c>
      <c r="Q4592" s="14">
        <f>J4592*G4592</f>
        <v/>
      </c>
      <c r="R4592" s="14">
        <f>K4592-Q4592</f>
        <v/>
      </c>
      <c r="S4592" s="3">
        <f>P4592*Assumptions!$B$3/100</f>
        <v/>
      </c>
      <c r="T4592" s="14">
        <f>R4592-S4592</f>
        <v/>
      </c>
      <c r="U4592" s="14">
        <f>L4592*G4592</f>
        <v/>
      </c>
    </row>
    <row r="4593">
      <c r="A4593" s="12" t="inlineStr">
        <is>
          <t>PO-2023-4591</t>
        </is>
      </c>
      <c r="B4593" s="26" t="n">
        <v>44598</v>
      </c>
      <c r="C4593" s="12" t="inlineStr">
        <is>
          <t>VS15</t>
        </is>
      </c>
      <c r="D4593" s="12" t="inlineStr">
        <is>
          <t>Angles &amp; Channels</t>
        </is>
      </c>
      <c r="E4593" s="12" t="inlineStr">
        <is>
          <t>N</t>
        </is>
      </c>
      <c r="F4593" s="12" t="n">
        <v>22.55</v>
      </c>
      <c r="G4593" s="17" t="n">
        <v>76625.92</v>
      </c>
      <c r="H4593" s="26" t="n">
        <v>44608</v>
      </c>
      <c r="I4593" s="26" t="n">
        <v>44610</v>
      </c>
      <c r="J4593" s="12" t="n">
        <v>22.37</v>
      </c>
      <c r="K4593" s="17" t="n">
        <v>1727914.5</v>
      </c>
      <c r="L4593" s="12" t="n">
        <v>0</v>
      </c>
      <c r="M4593" s="12" t="n">
        <v>0</v>
      </c>
      <c r="N4593" s="27">
        <f>F4593-J4593</f>
        <v/>
      </c>
      <c r="O4593" s="16">
        <f>I4593-H4593</f>
        <v/>
      </c>
      <c r="P4593" s="14">
        <f>F4593*G4593</f>
        <v/>
      </c>
      <c r="Q4593" s="14">
        <f>J4593*G4593</f>
        <v/>
      </c>
      <c r="R4593" s="14">
        <f>K4593-Q4593</f>
        <v/>
      </c>
      <c r="S4593" s="3">
        <f>P4593*Assumptions!$B$3/100</f>
        <v/>
      </c>
      <c r="T4593" s="14">
        <f>R4593-S4593</f>
        <v/>
      </c>
      <c r="U4593" s="14">
        <f>L4593*G4593</f>
        <v/>
      </c>
    </row>
    <row r="4594">
      <c r="A4594" s="12" t="inlineStr">
        <is>
          <t>PO-2023-4592</t>
        </is>
      </c>
      <c r="B4594" s="26" t="n">
        <v>44294</v>
      </c>
      <c r="C4594" s="12" t="inlineStr">
        <is>
          <t>VS29</t>
        </is>
      </c>
      <c r="D4594" s="12" t="inlineStr">
        <is>
          <t>HR Coils</t>
        </is>
      </c>
      <c r="E4594" s="12" t="inlineStr">
        <is>
          <t>N</t>
        </is>
      </c>
      <c r="F4594" s="12" t="n">
        <v>42.07</v>
      </c>
      <c r="G4594" s="17" t="n">
        <v>111443.16</v>
      </c>
      <c r="H4594" s="26" t="n">
        <v>44301</v>
      </c>
      <c r="I4594" s="26" t="n">
        <v>44302</v>
      </c>
      <c r="J4594" s="12" t="n">
        <v>41.7</v>
      </c>
      <c r="K4594" s="17" t="n">
        <v>4688413.74</v>
      </c>
      <c r="L4594" s="12" t="n">
        <v>0</v>
      </c>
      <c r="M4594" s="12" t="n">
        <v>0</v>
      </c>
      <c r="N4594" s="27">
        <f>F4594-J4594</f>
        <v/>
      </c>
      <c r="O4594" s="16">
        <f>I4594-H4594</f>
        <v/>
      </c>
      <c r="P4594" s="14">
        <f>F4594*G4594</f>
        <v/>
      </c>
      <c r="Q4594" s="14">
        <f>J4594*G4594</f>
        <v/>
      </c>
      <c r="R4594" s="14">
        <f>K4594-Q4594</f>
        <v/>
      </c>
      <c r="S4594" s="3">
        <f>P4594*Assumptions!$B$3/100</f>
        <v/>
      </c>
      <c r="T4594" s="14">
        <f>R4594-S4594</f>
        <v/>
      </c>
      <c r="U4594" s="14">
        <f>L4594*G4594</f>
        <v/>
      </c>
    </row>
    <row r="4595">
      <c r="A4595" s="12" t="inlineStr">
        <is>
          <t>PO-2023-4593</t>
        </is>
      </c>
      <c r="B4595" s="26" t="n">
        <v>44770</v>
      </c>
      <c r="C4595" s="12" t="inlineStr">
        <is>
          <t>VS23</t>
        </is>
      </c>
      <c r="D4595" s="12" t="inlineStr">
        <is>
          <t>Fasteners &amp; Fittings</t>
        </is>
      </c>
      <c r="E4595" s="12" t="inlineStr">
        <is>
          <t>N</t>
        </is>
      </c>
      <c r="F4595" s="12" t="n">
        <v>23.62</v>
      </c>
      <c r="G4595" s="17" t="n">
        <v>77100.57000000001</v>
      </c>
      <c r="H4595" s="26" t="n">
        <v>44783</v>
      </c>
      <c r="I4595" s="26" t="n">
        <v>44786</v>
      </c>
      <c r="J4595" s="12" t="n">
        <v>23.61</v>
      </c>
      <c r="K4595" s="17" t="n">
        <v>1821115.46</v>
      </c>
      <c r="L4595" s="12" t="n">
        <v>0</v>
      </c>
      <c r="M4595" s="12" t="n">
        <v>0</v>
      </c>
      <c r="N4595" s="27">
        <f>F4595-J4595</f>
        <v/>
      </c>
      <c r="O4595" s="16">
        <f>I4595-H4595</f>
        <v/>
      </c>
      <c r="P4595" s="14">
        <f>F4595*G4595</f>
        <v/>
      </c>
      <c r="Q4595" s="14">
        <f>J4595*G4595</f>
        <v/>
      </c>
      <c r="R4595" s="14">
        <f>K4595-Q4595</f>
        <v/>
      </c>
      <c r="S4595" s="3">
        <f>P4595*Assumptions!$B$3/100</f>
        <v/>
      </c>
      <c r="T4595" s="14">
        <f>R4595-S4595</f>
        <v/>
      </c>
      <c r="U4595" s="14">
        <f>L4595*G4595</f>
        <v/>
      </c>
    </row>
    <row r="4596">
      <c r="A4596" s="12" t="inlineStr">
        <is>
          <t>PO-2023-4594</t>
        </is>
      </c>
      <c r="B4596" s="26" t="n">
        <v>45043</v>
      </c>
      <c r="C4596" s="12" t="inlineStr">
        <is>
          <t>VS09</t>
        </is>
      </c>
      <c r="D4596" s="12" t="inlineStr">
        <is>
          <t>MS Rods</t>
        </is>
      </c>
      <c r="E4596" s="12" t="inlineStr">
        <is>
          <t>N</t>
        </is>
      </c>
      <c r="F4596" s="12" t="n">
        <v>13.01</v>
      </c>
      <c r="G4596" s="17" t="n">
        <v>74431</v>
      </c>
      <c r="H4596" s="26" t="n">
        <v>45054</v>
      </c>
      <c r="I4596" s="26" t="n">
        <v>45056</v>
      </c>
      <c r="J4596" s="12" t="n">
        <v>12.96</v>
      </c>
      <c r="K4596" s="17" t="n">
        <v>968347.3100000001</v>
      </c>
      <c r="L4596" s="12" t="n">
        <v>0</v>
      </c>
      <c r="M4596" s="12" t="n">
        <v>22</v>
      </c>
      <c r="N4596" s="27">
        <f>F4596-J4596</f>
        <v/>
      </c>
      <c r="O4596" s="16">
        <f>I4596-H4596</f>
        <v/>
      </c>
      <c r="P4596" s="14">
        <f>F4596*G4596</f>
        <v/>
      </c>
      <c r="Q4596" s="14">
        <f>J4596*G4596</f>
        <v/>
      </c>
      <c r="R4596" s="14">
        <f>K4596-Q4596</f>
        <v/>
      </c>
      <c r="S4596" s="3">
        <f>P4596*Assumptions!$B$3/100</f>
        <v/>
      </c>
      <c r="T4596" s="14">
        <f>R4596-S4596</f>
        <v/>
      </c>
      <c r="U4596" s="14">
        <f>L4596*G4596</f>
        <v/>
      </c>
    </row>
    <row r="4597">
      <c r="A4597" s="12" t="inlineStr">
        <is>
          <t>PO-2023-4595</t>
        </is>
      </c>
      <c r="B4597" s="26" t="n">
        <v>44838</v>
      </c>
      <c r="C4597" s="12" t="inlineStr">
        <is>
          <t>VS03</t>
        </is>
      </c>
      <c r="D4597" s="12" t="inlineStr">
        <is>
          <t>Hex Bars</t>
        </is>
      </c>
      <c r="E4597" s="12" t="inlineStr">
        <is>
          <t>Y</t>
        </is>
      </c>
      <c r="F4597" s="12" t="n">
        <v>31.1</v>
      </c>
      <c r="G4597" s="17" t="n">
        <v>117740.2</v>
      </c>
      <c r="H4597" s="26" t="n">
        <v>44850</v>
      </c>
      <c r="I4597" s="26" t="n">
        <v>44853</v>
      </c>
      <c r="J4597" s="12" t="n">
        <v>29.94</v>
      </c>
      <c r="K4597" s="17" t="n">
        <v>3661720.22</v>
      </c>
      <c r="L4597" s="12" t="n">
        <v>1.24</v>
      </c>
      <c r="M4597" s="12" t="n">
        <v>0</v>
      </c>
      <c r="N4597" s="27">
        <f>F4597-J4597</f>
        <v/>
      </c>
      <c r="O4597" s="16">
        <f>I4597-H4597</f>
        <v/>
      </c>
      <c r="P4597" s="14">
        <f>F4597*G4597</f>
        <v/>
      </c>
      <c r="Q4597" s="14">
        <f>J4597*G4597</f>
        <v/>
      </c>
      <c r="R4597" s="14">
        <f>K4597-Q4597</f>
        <v/>
      </c>
      <c r="S4597" s="3">
        <f>P4597*Assumptions!$B$3/100</f>
        <v/>
      </c>
      <c r="T4597" s="14">
        <f>R4597-S4597</f>
        <v/>
      </c>
      <c r="U4597" s="14">
        <f>L4597*G4597</f>
        <v/>
      </c>
    </row>
    <row r="4598">
      <c r="A4598" s="12" t="inlineStr">
        <is>
          <t>PO-2023-4596</t>
        </is>
      </c>
      <c r="B4598" s="26" t="n">
        <v>45197</v>
      </c>
      <c r="C4598" s="12" t="inlineStr">
        <is>
          <t>VS32</t>
        </is>
      </c>
      <c r="D4598" s="12" t="inlineStr">
        <is>
          <t>CR Sheets</t>
        </is>
      </c>
      <c r="E4598" s="12" t="inlineStr">
        <is>
          <t>N</t>
        </is>
      </c>
      <c r="F4598" s="12" t="n">
        <v>39.39</v>
      </c>
      <c r="G4598" s="17" t="n">
        <v>117464.14</v>
      </c>
      <c r="H4598" s="26" t="n">
        <v>45205</v>
      </c>
      <c r="I4598" s="26" t="n">
        <v>45205</v>
      </c>
      <c r="J4598" s="12" t="n">
        <v>39.35</v>
      </c>
      <c r="K4598" s="17" t="n">
        <v>4626912.47</v>
      </c>
      <c r="L4598" s="12" t="n">
        <v>0</v>
      </c>
      <c r="M4598" s="12" t="n">
        <v>14</v>
      </c>
      <c r="N4598" s="27">
        <f>F4598-J4598</f>
        <v/>
      </c>
      <c r="O4598" s="16">
        <f>I4598-H4598</f>
        <v/>
      </c>
      <c r="P4598" s="14">
        <f>F4598*G4598</f>
        <v/>
      </c>
      <c r="Q4598" s="14">
        <f>J4598*G4598</f>
        <v/>
      </c>
      <c r="R4598" s="14">
        <f>K4598-Q4598</f>
        <v/>
      </c>
      <c r="S4598" s="3">
        <f>P4598*Assumptions!$B$3/100</f>
        <v/>
      </c>
      <c r="T4598" s="14">
        <f>R4598-S4598</f>
        <v/>
      </c>
      <c r="U4598" s="14">
        <f>L4598*G4598</f>
        <v/>
      </c>
    </row>
    <row r="4599">
      <c r="A4599" s="12" t="inlineStr">
        <is>
          <t>PO-2023-4597</t>
        </is>
      </c>
      <c r="B4599" s="26" t="n">
        <v>44755</v>
      </c>
      <c r="C4599" s="12" t="inlineStr">
        <is>
          <t>VS19</t>
        </is>
      </c>
      <c r="D4599" s="12" t="inlineStr">
        <is>
          <t>HR Coils</t>
        </is>
      </c>
      <c r="E4599" s="12" t="inlineStr">
        <is>
          <t>N</t>
        </is>
      </c>
      <c r="F4599" s="12" t="n">
        <v>47.11</v>
      </c>
      <c r="G4599" s="17" t="n">
        <v>112266.24</v>
      </c>
      <c r="H4599" s="26" t="n">
        <v>44769</v>
      </c>
      <c r="I4599" s="26" t="n">
        <v>44772</v>
      </c>
      <c r="J4599" s="12" t="n">
        <v>45.73</v>
      </c>
      <c r="K4599" s="17" t="n">
        <v>5288862.57</v>
      </c>
      <c r="L4599" s="12" t="n">
        <v>0.1</v>
      </c>
      <c r="M4599" s="12" t="n">
        <v>6</v>
      </c>
      <c r="N4599" s="27">
        <f>F4599-J4599</f>
        <v/>
      </c>
      <c r="O4599" s="16">
        <f>I4599-H4599</f>
        <v/>
      </c>
      <c r="P4599" s="14">
        <f>F4599*G4599</f>
        <v/>
      </c>
      <c r="Q4599" s="14">
        <f>J4599*G4599</f>
        <v/>
      </c>
      <c r="R4599" s="14">
        <f>K4599-Q4599</f>
        <v/>
      </c>
      <c r="S4599" s="3">
        <f>P4599*Assumptions!$B$3/100</f>
        <v/>
      </c>
      <c r="T4599" s="14">
        <f>R4599-S4599</f>
        <v/>
      </c>
      <c r="U4599" s="14">
        <f>L4599*G4599</f>
        <v/>
      </c>
    </row>
    <row r="4600">
      <c r="A4600" s="12" t="inlineStr">
        <is>
          <t>PO-2023-4598</t>
        </is>
      </c>
      <c r="B4600" s="26" t="n">
        <v>44881</v>
      </c>
      <c r="C4600" s="12" t="inlineStr">
        <is>
          <t>VS09</t>
        </is>
      </c>
      <c r="D4600" s="12" t="inlineStr">
        <is>
          <t>Angles &amp; Channels</t>
        </is>
      </c>
      <c r="E4600" s="12" t="inlineStr">
        <is>
          <t>N</t>
        </is>
      </c>
      <c r="F4600" s="12" t="n">
        <v>42.57</v>
      </c>
      <c r="G4600" s="17" t="n">
        <v>78459.38</v>
      </c>
      <c r="H4600" s="26" t="n">
        <v>44891</v>
      </c>
      <c r="I4600" s="26" t="n">
        <v>44893</v>
      </c>
      <c r="J4600" s="12" t="n">
        <v>42.49</v>
      </c>
      <c r="K4600" s="17" t="n">
        <v>3340015.81</v>
      </c>
      <c r="L4600" s="12" t="n">
        <v>0</v>
      </c>
      <c r="M4600" s="12" t="n">
        <v>5</v>
      </c>
      <c r="N4600" s="27">
        <f>F4600-J4600</f>
        <v/>
      </c>
      <c r="O4600" s="16">
        <f>I4600-H4600</f>
        <v/>
      </c>
      <c r="P4600" s="14">
        <f>F4600*G4600</f>
        <v/>
      </c>
      <c r="Q4600" s="14">
        <f>J4600*G4600</f>
        <v/>
      </c>
      <c r="R4600" s="14">
        <f>K4600-Q4600</f>
        <v/>
      </c>
      <c r="S4600" s="3">
        <f>P4600*Assumptions!$B$3/100</f>
        <v/>
      </c>
      <c r="T4600" s="14">
        <f>R4600-S4600</f>
        <v/>
      </c>
      <c r="U4600" s="14">
        <f>L4600*G4600</f>
        <v/>
      </c>
    </row>
    <row r="4601">
      <c r="A4601" s="12" t="inlineStr">
        <is>
          <t>PO-2023-4599</t>
        </is>
      </c>
      <c r="B4601" s="26" t="n">
        <v>44716</v>
      </c>
      <c r="C4601" s="12" t="inlineStr">
        <is>
          <t>VS02</t>
        </is>
      </c>
      <c r="D4601" s="12" t="inlineStr">
        <is>
          <t>HR Coils</t>
        </is>
      </c>
      <c r="E4601" s="12" t="inlineStr">
        <is>
          <t>N</t>
        </is>
      </c>
      <c r="F4601" s="12" t="n">
        <v>24.33</v>
      </c>
      <c r="G4601" s="17" t="n">
        <v>79929.82000000001</v>
      </c>
      <c r="H4601" s="26" t="n">
        <v>44727</v>
      </c>
      <c r="I4601" s="26" t="n">
        <v>44730</v>
      </c>
      <c r="J4601" s="12" t="n">
        <v>24.24</v>
      </c>
      <c r="K4601" s="17" t="n">
        <v>1944692.52</v>
      </c>
      <c r="L4601" s="12" t="n">
        <v>0</v>
      </c>
      <c r="M4601" s="12" t="n">
        <v>0</v>
      </c>
      <c r="N4601" s="27">
        <f>F4601-J4601</f>
        <v/>
      </c>
      <c r="O4601" s="16">
        <f>I4601-H4601</f>
        <v/>
      </c>
      <c r="P4601" s="14">
        <f>F4601*G4601</f>
        <v/>
      </c>
      <c r="Q4601" s="14">
        <f>J4601*G4601</f>
        <v/>
      </c>
      <c r="R4601" s="14">
        <f>K4601-Q4601</f>
        <v/>
      </c>
      <c r="S4601" s="3">
        <f>P4601*Assumptions!$B$3/100</f>
        <v/>
      </c>
      <c r="T4601" s="14">
        <f>R4601-S4601</f>
        <v/>
      </c>
      <c r="U4601" s="14">
        <f>L4601*G4601</f>
        <v/>
      </c>
    </row>
    <row r="4602">
      <c r="A4602" s="12" t="inlineStr">
        <is>
          <t>PO-2023-4600</t>
        </is>
      </c>
      <c r="B4602" s="26" t="n">
        <v>45170</v>
      </c>
      <c r="C4602" s="12" t="inlineStr">
        <is>
          <t>VS19</t>
        </is>
      </c>
      <c r="D4602" s="12" t="inlineStr">
        <is>
          <t>MS Pipes</t>
        </is>
      </c>
      <c r="E4602" s="12" t="inlineStr">
        <is>
          <t>Y</t>
        </is>
      </c>
      <c r="F4602" s="12" t="n">
        <v>13.99</v>
      </c>
      <c r="G4602" s="17" t="n">
        <v>58523.22</v>
      </c>
      <c r="H4602" s="26" t="n">
        <v>45180</v>
      </c>
      <c r="I4602" s="26" t="n">
        <v>45182</v>
      </c>
      <c r="J4602" s="12" t="n">
        <v>13.36</v>
      </c>
      <c r="K4602" s="17" t="n">
        <v>818739.85</v>
      </c>
      <c r="L4602" s="12" t="n">
        <v>0.52</v>
      </c>
      <c r="M4602" s="12" t="n">
        <v>19</v>
      </c>
      <c r="N4602" s="27">
        <f>F4602-J4602</f>
        <v/>
      </c>
      <c r="O4602" s="16">
        <f>I4602-H4602</f>
        <v/>
      </c>
      <c r="P4602" s="14">
        <f>F4602*G4602</f>
        <v/>
      </c>
      <c r="Q4602" s="14">
        <f>J4602*G4602</f>
        <v/>
      </c>
      <c r="R4602" s="14">
        <f>K4602-Q4602</f>
        <v/>
      </c>
      <c r="S4602" s="3">
        <f>P4602*Assumptions!$B$3/100</f>
        <v/>
      </c>
      <c r="T4602" s="14">
        <f>R4602-S4602</f>
        <v/>
      </c>
      <c r="U4602" s="14">
        <f>L4602*G4602</f>
        <v/>
      </c>
    </row>
    <row r="4603">
      <c r="A4603" s="12" t="inlineStr">
        <is>
          <t>PO-2023-4601</t>
        </is>
      </c>
      <c r="B4603" s="26" t="n">
        <v>45059</v>
      </c>
      <c r="C4603" s="12" t="inlineStr">
        <is>
          <t>VS30</t>
        </is>
      </c>
      <c r="D4603" s="12" t="inlineStr">
        <is>
          <t>Angles &amp; Channels</t>
        </is>
      </c>
      <c r="E4603" s="12" t="inlineStr">
        <is>
          <t>N</t>
        </is>
      </c>
      <c r="F4603" s="12" t="n">
        <v>4.95</v>
      </c>
      <c r="G4603" s="17" t="n">
        <v>89757.96000000001</v>
      </c>
      <c r="H4603" s="26" t="n">
        <v>45067</v>
      </c>
      <c r="I4603" s="26" t="n">
        <v>45070</v>
      </c>
      <c r="J4603" s="12" t="n">
        <v>4.94</v>
      </c>
      <c r="K4603" s="17" t="n">
        <v>444301.9</v>
      </c>
      <c r="L4603" s="12" t="n">
        <v>0</v>
      </c>
      <c r="M4603" s="12" t="n">
        <v>16</v>
      </c>
      <c r="N4603" s="27">
        <f>F4603-J4603</f>
        <v/>
      </c>
      <c r="O4603" s="16">
        <f>I4603-H4603</f>
        <v/>
      </c>
      <c r="P4603" s="14">
        <f>F4603*G4603</f>
        <v/>
      </c>
      <c r="Q4603" s="14">
        <f>J4603*G4603</f>
        <v/>
      </c>
      <c r="R4603" s="14">
        <f>K4603-Q4603</f>
        <v/>
      </c>
      <c r="S4603" s="3">
        <f>P4603*Assumptions!$B$3/100</f>
        <v/>
      </c>
      <c r="T4603" s="14">
        <f>R4603-S4603</f>
        <v/>
      </c>
      <c r="U4603" s="14">
        <f>L4603*G4603</f>
        <v/>
      </c>
    </row>
    <row r="4604">
      <c r="A4604" s="12" t="inlineStr">
        <is>
          <t>PO-2023-4602</t>
        </is>
      </c>
      <c r="B4604" s="26" t="n">
        <v>44606</v>
      </c>
      <c r="C4604" s="12" t="inlineStr">
        <is>
          <t>VS20</t>
        </is>
      </c>
      <c r="D4604" s="12" t="inlineStr">
        <is>
          <t>SS Pipes</t>
        </is>
      </c>
      <c r="E4604" s="12" t="inlineStr">
        <is>
          <t>N</t>
        </is>
      </c>
      <c r="F4604" s="12" t="n">
        <v>4.73</v>
      </c>
      <c r="G4604" s="17" t="n">
        <v>101578.58</v>
      </c>
      <c r="H4604" s="26" t="n">
        <v>44621</v>
      </c>
      <c r="I4604" s="26" t="n">
        <v>44622</v>
      </c>
      <c r="J4604" s="12" t="n">
        <v>4.7</v>
      </c>
      <c r="K4604" s="17" t="n">
        <v>480466.68</v>
      </c>
      <c r="L4604" s="12" t="n">
        <v>0</v>
      </c>
      <c r="M4604" s="12" t="n">
        <v>16</v>
      </c>
      <c r="N4604" s="27">
        <f>F4604-J4604</f>
        <v/>
      </c>
      <c r="O4604" s="16">
        <f>I4604-H4604</f>
        <v/>
      </c>
      <c r="P4604" s="14">
        <f>F4604*G4604</f>
        <v/>
      </c>
      <c r="Q4604" s="14">
        <f>J4604*G4604</f>
        <v/>
      </c>
      <c r="R4604" s="14">
        <f>K4604-Q4604</f>
        <v/>
      </c>
      <c r="S4604" s="3">
        <f>P4604*Assumptions!$B$3/100</f>
        <v/>
      </c>
      <c r="T4604" s="14">
        <f>R4604-S4604</f>
        <v/>
      </c>
      <c r="U4604" s="14">
        <f>L4604*G4604</f>
        <v/>
      </c>
    </row>
    <row r="4605">
      <c r="A4605" s="12" t="inlineStr">
        <is>
          <t>PO-2023-4603</t>
        </is>
      </c>
      <c r="B4605" s="26" t="n">
        <v>44622</v>
      </c>
      <c r="C4605" s="12" t="inlineStr">
        <is>
          <t>VS14</t>
        </is>
      </c>
      <c r="D4605" s="12" t="inlineStr">
        <is>
          <t>GI Pipes</t>
        </is>
      </c>
      <c r="E4605" s="12" t="inlineStr">
        <is>
          <t>N</t>
        </is>
      </c>
      <c r="F4605" s="12" t="n">
        <v>31.48</v>
      </c>
      <c r="G4605" s="17" t="n">
        <v>49364.16</v>
      </c>
      <c r="H4605" s="26" t="n">
        <v>44625</v>
      </c>
      <c r="I4605" s="26" t="n">
        <v>44625</v>
      </c>
      <c r="J4605" s="12" t="n">
        <v>31.44</v>
      </c>
      <c r="K4605" s="17" t="n">
        <v>1553983.76</v>
      </c>
      <c r="L4605" s="12" t="n">
        <v>0</v>
      </c>
      <c r="M4605" s="12" t="n">
        <v>8</v>
      </c>
      <c r="N4605" s="27">
        <f>F4605-J4605</f>
        <v/>
      </c>
      <c r="O4605" s="16">
        <f>I4605-H4605</f>
        <v/>
      </c>
      <c r="P4605" s="14">
        <f>F4605*G4605</f>
        <v/>
      </c>
      <c r="Q4605" s="14">
        <f>J4605*G4605</f>
        <v/>
      </c>
      <c r="R4605" s="14">
        <f>K4605-Q4605</f>
        <v/>
      </c>
      <c r="S4605" s="3">
        <f>P4605*Assumptions!$B$3/100</f>
        <v/>
      </c>
      <c r="T4605" s="14">
        <f>R4605-S4605</f>
        <v/>
      </c>
      <c r="U4605" s="14">
        <f>L4605*G4605</f>
        <v/>
      </c>
    </row>
    <row r="4606">
      <c r="A4606" s="12" t="inlineStr">
        <is>
          <t>PO-2023-4604</t>
        </is>
      </c>
      <c r="B4606" s="26" t="n">
        <v>44292</v>
      </c>
      <c r="C4606" s="12" t="inlineStr">
        <is>
          <t>VS18</t>
        </is>
      </c>
      <c r="D4606" s="12" t="inlineStr">
        <is>
          <t>GI Pipes</t>
        </is>
      </c>
      <c r="E4606" s="12" t="inlineStr">
        <is>
          <t>N</t>
        </is>
      </c>
      <c r="F4606" s="12" t="n">
        <v>40.02</v>
      </c>
      <c r="G4606" s="17" t="n">
        <v>72945.05</v>
      </c>
      <c r="H4606" s="26" t="n">
        <v>44300</v>
      </c>
      <c r="I4606" s="26" t="n">
        <v>44300</v>
      </c>
      <c r="J4606" s="12" t="n">
        <v>39.68</v>
      </c>
      <c r="K4606" s="17" t="n">
        <v>2919260.9</v>
      </c>
      <c r="L4606" s="12" t="n">
        <v>0</v>
      </c>
      <c r="M4606" s="12" t="n">
        <v>0</v>
      </c>
      <c r="N4606" s="27">
        <f>F4606-J4606</f>
        <v/>
      </c>
      <c r="O4606" s="16">
        <f>I4606-H4606</f>
        <v/>
      </c>
      <c r="P4606" s="14">
        <f>F4606*G4606</f>
        <v/>
      </c>
      <c r="Q4606" s="14">
        <f>J4606*G4606</f>
        <v/>
      </c>
      <c r="R4606" s="14">
        <f>K4606-Q4606</f>
        <v/>
      </c>
      <c r="S4606" s="3">
        <f>P4606*Assumptions!$B$3/100</f>
        <v/>
      </c>
      <c r="T4606" s="14">
        <f>R4606-S4606</f>
        <v/>
      </c>
      <c r="U4606" s="14">
        <f>L4606*G4606</f>
        <v/>
      </c>
    </row>
    <row r="4607">
      <c r="A4607" s="12" t="inlineStr">
        <is>
          <t>PO-2023-4605</t>
        </is>
      </c>
      <c r="B4607" s="26" t="n">
        <v>45233</v>
      </c>
      <c r="C4607" s="12" t="inlineStr">
        <is>
          <t>VS10</t>
        </is>
      </c>
      <c r="D4607" s="12" t="inlineStr">
        <is>
          <t>HR Coils</t>
        </is>
      </c>
      <c r="E4607" s="12" t="inlineStr">
        <is>
          <t>N</t>
        </is>
      </c>
      <c r="F4607" s="12" t="n">
        <v>37.5</v>
      </c>
      <c r="G4607" s="17" t="n">
        <v>99176.36</v>
      </c>
      <c r="H4607" s="26" t="n">
        <v>45241</v>
      </c>
      <c r="I4607" s="26" t="n">
        <v>45241</v>
      </c>
      <c r="J4607" s="12" t="n">
        <v>37.42</v>
      </c>
      <c r="K4607" s="17" t="n">
        <v>3719113.5</v>
      </c>
      <c r="L4607" s="12" t="n">
        <v>0</v>
      </c>
      <c r="M4607" s="12" t="n">
        <v>0</v>
      </c>
      <c r="N4607" s="27">
        <f>F4607-J4607</f>
        <v/>
      </c>
      <c r="O4607" s="16">
        <f>I4607-H4607</f>
        <v/>
      </c>
      <c r="P4607" s="14">
        <f>F4607*G4607</f>
        <v/>
      </c>
      <c r="Q4607" s="14">
        <f>J4607*G4607</f>
        <v/>
      </c>
      <c r="R4607" s="14">
        <f>K4607-Q4607</f>
        <v/>
      </c>
      <c r="S4607" s="3">
        <f>P4607*Assumptions!$B$3/100</f>
        <v/>
      </c>
      <c r="T4607" s="14">
        <f>R4607-S4607</f>
        <v/>
      </c>
      <c r="U4607" s="14">
        <f>L4607*G4607</f>
        <v/>
      </c>
    </row>
    <row r="4608">
      <c r="A4608" s="12" t="inlineStr">
        <is>
          <t>PO-2023-4606</t>
        </is>
      </c>
      <c r="B4608" s="26" t="n">
        <v>44697</v>
      </c>
      <c r="C4608" s="12" t="inlineStr">
        <is>
          <t>VS34</t>
        </is>
      </c>
      <c r="D4608" s="12" t="inlineStr">
        <is>
          <t>MS Flats</t>
        </is>
      </c>
      <c r="E4608" s="12" t="inlineStr">
        <is>
          <t>N</t>
        </is>
      </c>
      <c r="F4608" s="12" t="n">
        <v>33.08</v>
      </c>
      <c r="G4608" s="17" t="n">
        <v>76699.98</v>
      </c>
      <c r="H4608" s="26" t="n">
        <v>44703</v>
      </c>
      <c r="I4608" s="26" t="n">
        <v>44704</v>
      </c>
      <c r="J4608" s="12" t="n">
        <v>32.99</v>
      </c>
      <c r="K4608" s="17" t="n">
        <v>2537235.34</v>
      </c>
      <c r="L4608" s="12" t="n">
        <v>0</v>
      </c>
      <c r="M4608" s="12" t="n">
        <v>8</v>
      </c>
      <c r="N4608" s="27">
        <f>F4608-J4608</f>
        <v/>
      </c>
      <c r="O4608" s="16">
        <f>I4608-H4608</f>
        <v/>
      </c>
      <c r="P4608" s="14">
        <f>F4608*G4608</f>
        <v/>
      </c>
      <c r="Q4608" s="14">
        <f>J4608*G4608</f>
        <v/>
      </c>
      <c r="R4608" s="14">
        <f>K4608-Q4608</f>
        <v/>
      </c>
      <c r="S4608" s="3">
        <f>P4608*Assumptions!$B$3/100</f>
        <v/>
      </c>
      <c r="T4608" s="14">
        <f>R4608-S4608</f>
        <v/>
      </c>
      <c r="U4608" s="14">
        <f>L4608*G4608</f>
        <v/>
      </c>
    </row>
    <row r="4609">
      <c r="A4609" s="12" t="inlineStr">
        <is>
          <t>PO-2023-4607</t>
        </is>
      </c>
      <c r="B4609" s="26" t="n">
        <v>44897</v>
      </c>
      <c r="C4609" s="12" t="inlineStr">
        <is>
          <t>VS12</t>
        </is>
      </c>
      <c r="D4609" s="12" t="inlineStr">
        <is>
          <t>GI Sheets</t>
        </is>
      </c>
      <c r="E4609" s="12" t="inlineStr">
        <is>
          <t>N</t>
        </is>
      </c>
      <c r="F4609" s="12" t="n">
        <v>43.38</v>
      </c>
      <c r="G4609" s="17" t="n">
        <v>56950.43</v>
      </c>
      <c r="H4609" s="26" t="n">
        <v>44906</v>
      </c>
      <c r="I4609" s="26" t="n">
        <v>44913</v>
      </c>
      <c r="J4609" s="12" t="n">
        <v>41.52</v>
      </c>
      <c r="K4609" s="17" t="n">
        <v>2470509.65</v>
      </c>
      <c r="L4609" s="12" t="n">
        <v>0.13</v>
      </c>
      <c r="M4609" s="12" t="n">
        <v>9</v>
      </c>
      <c r="N4609" s="27">
        <f>F4609-J4609</f>
        <v/>
      </c>
      <c r="O4609" s="16">
        <f>I4609-H4609</f>
        <v/>
      </c>
      <c r="P4609" s="14">
        <f>F4609*G4609</f>
        <v/>
      </c>
      <c r="Q4609" s="14">
        <f>J4609*G4609</f>
        <v/>
      </c>
      <c r="R4609" s="14">
        <f>K4609-Q4609</f>
        <v/>
      </c>
      <c r="S4609" s="3">
        <f>P4609*Assumptions!$B$3/100</f>
        <v/>
      </c>
      <c r="T4609" s="14">
        <f>R4609-S4609</f>
        <v/>
      </c>
      <c r="U4609" s="14">
        <f>L4609*G4609</f>
        <v/>
      </c>
    </row>
    <row r="4610">
      <c r="A4610" s="12" t="inlineStr">
        <is>
          <t>PO-2023-4608</t>
        </is>
      </c>
      <c r="B4610" s="26" t="n">
        <v>45077</v>
      </c>
      <c r="C4610" s="12" t="inlineStr">
        <is>
          <t>VS03</t>
        </is>
      </c>
      <c r="D4610" s="12" t="inlineStr">
        <is>
          <t>MS Pipes</t>
        </is>
      </c>
      <c r="E4610" s="12" t="inlineStr">
        <is>
          <t>N</t>
        </is>
      </c>
      <c r="F4610" s="12" t="n">
        <v>43.22</v>
      </c>
      <c r="G4610" s="17" t="n">
        <v>49671.89</v>
      </c>
      <c r="H4610" s="26" t="n">
        <v>45087</v>
      </c>
      <c r="I4610" s="26" t="n">
        <v>45093</v>
      </c>
      <c r="J4610" s="12" t="n">
        <v>41.52</v>
      </c>
      <c r="K4610" s="17" t="n">
        <v>2146819.09</v>
      </c>
      <c r="L4610" s="12" t="n">
        <v>1.83</v>
      </c>
      <c r="M4610" s="12" t="n">
        <v>0</v>
      </c>
      <c r="N4610" s="27">
        <f>F4610-J4610</f>
        <v/>
      </c>
      <c r="O4610" s="16">
        <f>I4610-H4610</f>
        <v/>
      </c>
      <c r="P4610" s="14">
        <f>F4610*G4610</f>
        <v/>
      </c>
      <c r="Q4610" s="14">
        <f>J4610*G4610</f>
        <v/>
      </c>
      <c r="R4610" s="14">
        <f>K4610-Q4610</f>
        <v/>
      </c>
      <c r="S4610" s="3">
        <f>P4610*Assumptions!$B$3/100</f>
        <v/>
      </c>
      <c r="T4610" s="14">
        <f>R4610-S4610</f>
        <v/>
      </c>
      <c r="U4610" s="14">
        <f>L4610*G4610</f>
        <v/>
      </c>
    </row>
    <row r="4611">
      <c r="A4611" s="12" t="inlineStr">
        <is>
          <t>PO-2023-4609</t>
        </is>
      </c>
      <c r="B4611" s="26" t="n">
        <v>44256</v>
      </c>
      <c r="C4611" s="12" t="inlineStr">
        <is>
          <t>VS06</t>
        </is>
      </c>
      <c r="D4611" s="12" t="inlineStr">
        <is>
          <t>SS Pipes</t>
        </is>
      </c>
      <c r="E4611" s="12" t="inlineStr">
        <is>
          <t>N</t>
        </is>
      </c>
      <c r="F4611" s="12" t="n">
        <v>3.94</v>
      </c>
      <c r="G4611" s="17" t="n">
        <v>63413.61</v>
      </c>
      <c r="H4611" s="26" t="n">
        <v>44263</v>
      </c>
      <c r="I4611" s="26" t="n">
        <v>44265</v>
      </c>
      <c r="J4611" s="12" t="n">
        <v>3.91</v>
      </c>
      <c r="K4611" s="17" t="n">
        <v>249849.62</v>
      </c>
      <c r="L4611" s="12" t="n">
        <v>0</v>
      </c>
      <c r="M4611" s="12" t="n">
        <v>0</v>
      </c>
      <c r="N4611" s="27">
        <f>F4611-J4611</f>
        <v/>
      </c>
      <c r="O4611" s="16">
        <f>I4611-H4611</f>
        <v/>
      </c>
      <c r="P4611" s="14">
        <f>F4611*G4611</f>
        <v/>
      </c>
      <c r="Q4611" s="14">
        <f>J4611*G4611</f>
        <v/>
      </c>
      <c r="R4611" s="14">
        <f>K4611-Q4611</f>
        <v/>
      </c>
      <c r="S4611" s="3">
        <f>P4611*Assumptions!$B$3/100</f>
        <v/>
      </c>
      <c r="T4611" s="14">
        <f>R4611-S4611</f>
        <v/>
      </c>
      <c r="U4611" s="14">
        <f>L4611*G4611</f>
        <v/>
      </c>
    </row>
    <row r="4612">
      <c r="A4612" s="12" t="inlineStr">
        <is>
          <t>PO-2023-4610</t>
        </is>
      </c>
      <c r="B4612" s="26" t="n">
        <v>44937</v>
      </c>
      <c r="C4612" s="12" t="inlineStr">
        <is>
          <t>VS27</t>
        </is>
      </c>
      <c r="D4612" s="12" t="inlineStr">
        <is>
          <t>SS Pipes</t>
        </is>
      </c>
      <c r="E4612" s="12" t="inlineStr">
        <is>
          <t>Y</t>
        </is>
      </c>
      <c r="F4612" s="12" t="n">
        <v>4.85</v>
      </c>
      <c r="G4612" s="17" t="n">
        <v>96707.62</v>
      </c>
      <c r="H4612" s="26" t="n">
        <v>44949</v>
      </c>
      <c r="I4612" s="26" t="n">
        <v>44952</v>
      </c>
      <c r="J4612" s="12" t="n">
        <v>4.84</v>
      </c>
      <c r="K4612" s="17" t="n">
        <v>469031.96</v>
      </c>
      <c r="L4612" s="12" t="n">
        <v>0</v>
      </c>
      <c r="M4612" s="12" t="n">
        <v>0</v>
      </c>
      <c r="N4612" s="27">
        <f>F4612-J4612</f>
        <v/>
      </c>
      <c r="O4612" s="16">
        <f>I4612-H4612</f>
        <v/>
      </c>
      <c r="P4612" s="14">
        <f>F4612*G4612</f>
        <v/>
      </c>
      <c r="Q4612" s="14">
        <f>J4612*G4612</f>
        <v/>
      </c>
      <c r="R4612" s="14">
        <f>K4612-Q4612</f>
        <v/>
      </c>
      <c r="S4612" s="3">
        <f>P4612*Assumptions!$B$3/100</f>
        <v/>
      </c>
      <c r="T4612" s="14">
        <f>R4612-S4612</f>
        <v/>
      </c>
      <c r="U4612" s="14">
        <f>L4612*G4612</f>
        <v/>
      </c>
    </row>
    <row r="4613">
      <c r="A4613" s="12" t="inlineStr">
        <is>
          <t>PO-2023-4611</t>
        </is>
      </c>
      <c r="B4613" s="26" t="n">
        <v>45224</v>
      </c>
      <c r="C4613" s="12" t="inlineStr">
        <is>
          <t>VS26</t>
        </is>
      </c>
      <c r="D4613" s="12" t="inlineStr">
        <is>
          <t>MS Flats</t>
        </is>
      </c>
      <c r="E4613" s="12" t="inlineStr">
        <is>
          <t>N</t>
        </is>
      </c>
      <c r="F4613" s="12" t="n">
        <v>49.69</v>
      </c>
      <c r="G4613" s="17" t="n">
        <v>51507.27</v>
      </c>
      <c r="H4613" s="26" t="n">
        <v>45228</v>
      </c>
      <c r="I4613" s="26" t="n">
        <v>45231</v>
      </c>
      <c r="J4613" s="12" t="n">
        <v>49.27</v>
      </c>
      <c r="K4613" s="17" t="n">
        <v>2559396.25</v>
      </c>
      <c r="L4613" s="12" t="n">
        <v>0</v>
      </c>
      <c r="M4613" s="12" t="n">
        <v>0</v>
      </c>
      <c r="N4613" s="27">
        <f>F4613-J4613</f>
        <v/>
      </c>
      <c r="O4613" s="16">
        <f>I4613-H4613</f>
        <v/>
      </c>
      <c r="P4613" s="14">
        <f>F4613*G4613</f>
        <v/>
      </c>
      <c r="Q4613" s="14">
        <f>J4613*G4613</f>
        <v/>
      </c>
      <c r="R4613" s="14">
        <f>K4613-Q4613</f>
        <v/>
      </c>
      <c r="S4613" s="3">
        <f>P4613*Assumptions!$B$3/100</f>
        <v/>
      </c>
      <c r="T4613" s="14">
        <f>R4613-S4613</f>
        <v/>
      </c>
      <c r="U4613" s="14">
        <f>L4613*G4613</f>
        <v/>
      </c>
    </row>
    <row r="4614">
      <c r="A4614" s="12" t="inlineStr">
        <is>
          <t>PO-2023-4612</t>
        </is>
      </c>
      <c r="B4614" s="26" t="n">
        <v>44848</v>
      </c>
      <c r="C4614" s="12" t="inlineStr">
        <is>
          <t>VS33</t>
        </is>
      </c>
      <c r="D4614" s="12" t="inlineStr">
        <is>
          <t>GI Sheets</t>
        </is>
      </c>
      <c r="E4614" s="12" t="inlineStr">
        <is>
          <t>N</t>
        </is>
      </c>
      <c r="F4614" s="12" t="n">
        <v>37.69</v>
      </c>
      <c r="G4614" s="17" t="n">
        <v>78586.64999999999</v>
      </c>
      <c r="H4614" s="26" t="n">
        <v>44855</v>
      </c>
      <c r="I4614" s="26" t="n">
        <v>44858</v>
      </c>
      <c r="J4614" s="12" t="n">
        <v>37.64</v>
      </c>
      <c r="K4614" s="17" t="n">
        <v>2961930.84</v>
      </c>
      <c r="L4614" s="12" t="n">
        <v>0</v>
      </c>
      <c r="M4614" s="12" t="n">
        <v>2</v>
      </c>
      <c r="N4614" s="27">
        <f>F4614-J4614</f>
        <v/>
      </c>
      <c r="O4614" s="16">
        <f>I4614-H4614</f>
        <v/>
      </c>
      <c r="P4614" s="14">
        <f>F4614*G4614</f>
        <v/>
      </c>
      <c r="Q4614" s="14">
        <f>J4614*G4614</f>
        <v/>
      </c>
      <c r="R4614" s="14">
        <f>K4614-Q4614</f>
        <v/>
      </c>
      <c r="S4614" s="3">
        <f>P4614*Assumptions!$B$3/100</f>
        <v/>
      </c>
      <c r="T4614" s="14">
        <f>R4614-S4614</f>
        <v/>
      </c>
      <c r="U4614" s="14">
        <f>L4614*G4614</f>
        <v/>
      </c>
    </row>
    <row r="4615">
      <c r="A4615" s="12" t="inlineStr">
        <is>
          <t>PO-2023-4613</t>
        </is>
      </c>
      <c r="B4615" s="26" t="n">
        <v>45019</v>
      </c>
      <c r="C4615" s="12" t="inlineStr">
        <is>
          <t>VS28</t>
        </is>
      </c>
      <c r="D4615" s="12" t="inlineStr">
        <is>
          <t>SS Pipes</t>
        </is>
      </c>
      <c r="E4615" s="12" t="inlineStr">
        <is>
          <t>Y</t>
        </is>
      </c>
      <c r="F4615" s="12" t="n">
        <v>16.29</v>
      </c>
      <c r="G4615" s="17" t="n">
        <v>67980.95</v>
      </c>
      <c r="H4615" s="26" t="n">
        <v>45029</v>
      </c>
      <c r="I4615" s="26" t="n">
        <v>45032</v>
      </c>
      <c r="J4615" s="12" t="n">
        <v>16.28</v>
      </c>
      <c r="K4615" s="17" t="n">
        <v>1107409.68</v>
      </c>
      <c r="L4615" s="12" t="n">
        <v>0</v>
      </c>
      <c r="M4615" s="12" t="n">
        <v>0</v>
      </c>
      <c r="N4615" s="27">
        <f>F4615-J4615</f>
        <v/>
      </c>
      <c r="O4615" s="16">
        <f>I4615-H4615</f>
        <v/>
      </c>
      <c r="P4615" s="14">
        <f>F4615*G4615</f>
        <v/>
      </c>
      <c r="Q4615" s="14">
        <f>J4615*G4615</f>
        <v/>
      </c>
      <c r="R4615" s="14">
        <f>K4615-Q4615</f>
        <v/>
      </c>
      <c r="S4615" s="3">
        <f>P4615*Assumptions!$B$3/100</f>
        <v/>
      </c>
      <c r="T4615" s="14">
        <f>R4615-S4615</f>
        <v/>
      </c>
      <c r="U4615" s="14">
        <f>L4615*G4615</f>
        <v/>
      </c>
    </row>
    <row r="4616">
      <c r="A4616" s="12" t="inlineStr">
        <is>
          <t>PO-2023-4614</t>
        </is>
      </c>
      <c r="B4616" s="26" t="n">
        <v>45067</v>
      </c>
      <c r="C4616" s="12" t="inlineStr">
        <is>
          <t>VS06</t>
        </is>
      </c>
      <c r="D4616" s="12" t="inlineStr">
        <is>
          <t>Hex Bars</t>
        </is>
      </c>
      <c r="E4616" s="12" t="inlineStr">
        <is>
          <t>N</t>
        </is>
      </c>
      <c r="F4616" s="12" t="n">
        <v>32.5</v>
      </c>
      <c r="G4616" s="17" t="n">
        <v>93593.23</v>
      </c>
      <c r="H4616" s="26" t="n">
        <v>45078</v>
      </c>
      <c r="I4616" s="26" t="n">
        <v>45079</v>
      </c>
      <c r="J4616" s="12" t="n">
        <v>32.3</v>
      </c>
      <c r="K4616" s="17" t="n">
        <v>3041779.98</v>
      </c>
      <c r="L4616" s="12" t="n">
        <v>0</v>
      </c>
      <c r="M4616" s="12" t="n">
        <v>17</v>
      </c>
      <c r="N4616" s="27">
        <f>F4616-J4616</f>
        <v/>
      </c>
      <c r="O4616" s="16">
        <f>I4616-H4616</f>
        <v/>
      </c>
      <c r="P4616" s="14">
        <f>F4616*G4616</f>
        <v/>
      </c>
      <c r="Q4616" s="14">
        <f>J4616*G4616</f>
        <v/>
      </c>
      <c r="R4616" s="14">
        <f>K4616-Q4616</f>
        <v/>
      </c>
      <c r="S4616" s="3">
        <f>P4616*Assumptions!$B$3/100</f>
        <v/>
      </c>
      <c r="T4616" s="14">
        <f>R4616-S4616</f>
        <v/>
      </c>
      <c r="U4616" s="14">
        <f>L4616*G4616</f>
        <v/>
      </c>
    </row>
    <row r="4617">
      <c r="A4617" s="12" t="inlineStr">
        <is>
          <t>PO-2023-4615</t>
        </is>
      </c>
      <c r="B4617" s="26" t="n">
        <v>45194</v>
      </c>
      <c r="C4617" s="12" t="inlineStr">
        <is>
          <t>VS01</t>
        </is>
      </c>
      <c r="D4617" s="12" t="inlineStr">
        <is>
          <t>CR Sheets</t>
        </is>
      </c>
      <c r="E4617" s="12" t="inlineStr">
        <is>
          <t>Y</t>
        </is>
      </c>
      <c r="F4617" s="12" t="n">
        <v>36.31</v>
      </c>
      <c r="G4617" s="17" t="n">
        <v>99980.82000000001</v>
      </c>
      <c r="H4617" s="26" t="n">
        <v>45203</v>
      </c>
      <c r="I4617" s="26" t="n">
        <v>45204</v>
      </c>
      <c r="J4617" s="12" t="n">
        <v>36.23</v>
      </c>
      <c r="K4617" s="17" t="n">
        <v>3630303.57</v>
      </c>
      <c r="L4617" s="12" t="n">
        <v>0</v>
      </c>
      <c r="M4617" s="12" t="n">
        <v>10</v>
      </c>
      <c r="N4617" s="27">
        <f>F4617-J4617</f>
        <v/>
      </c>
      <c r="O4617" s="16">
        <f>I4617-H4617</f>
        <v/>
      </c>
      <c r="P4617" s="14">
        <f>F4617*G4617</f>
        <v/>
      </c>
      <c r="Q4617" s="14">
        <f>J4617*G4617</f>
        <v/>
      </c>
      <c r="R4617" s="14">
        <f>K4617-Q4617</f>
        <v/>
      </c>
      <c r="S4617" s="3">
        <f>P4617*Assumptions!$B$3/100</f>
        <v/>
      </c>
      <c r="T4617" s="14">
        <f>R4617-S4617</f>
        <v/>
      </c>
      <c r="U4617" s="14">
        <f>L4617*G4617</f>
        <v/>
      </c>
    </row>
    <row r="4618">
      <c r="A4618" s="12" t="inlineStr">
        <is>
          <t>PO-2023-4616</t>
        </is>
      </c>
      <c r="B4618" s="26" t="n">
        <v>45015</v>
      </c>
      <c r="C4618" s="12" t="inlineStr">
        <is>
          <t>VS25</t>
        </is>
      </c>
      <c r="D4618" s="12" t="inlineStr">
        <is>
          <t>Spring Steel</t>
        </is>
      </c>
      <c r="E4618" s="12" t="inlineStr">
        <is>
          <t>N</t>
        </is>
      </c>
      <c r="F4618" s="12" t="n">
        <v>44.39</v>
      </c>
      <c r="G4618" s="17" t="n">
        <v>98112.73</v>
      </c>
      <c r="H4618" s="26" t="n">
        <v>45018</v>
      </c>
      <c r="I4618" s="26" t="n">
        <v>45021</v>
      </c>
      <c r="J4618" s="12" t="n">
        <v>44.17</v>
      </c>
      <c r="K4618" s="17" t="n">
        <v>4355224.08</v>
      </c>
      <c r="L4618" s="12" t="n">
        <v>0</v>
      </c>
      <c r="M4618" s="12" t="n">
        <v>1</v>
      </c>
      <c r="N4618" s="27">
        <f>F4618-J4618</f>
        <v/>
      </c>
      <c r="O4618" s="16">
        <f>I4618-H4618</f>
        <v/>
      </c>
      <c r="P4618" s="14">
        <f>F4618*G4618</f>
        <v/>
      </c>
      <c r="Q4618" s="14">
        <f>J4618*G4618</f>
        <v/>
      </c>
      <c r="R4618" s="14">
        <f>K4618-Q4618</f>
        <v/>
      </c>
      <c r="S4618" s="3">
        <f>P4618*Assumptions!$B$3/100</f>
        <v/>
      </c>
      <c r="T4618" s="14">
        <f>R4618-S4618</f>
        <v/>
      </c>
      <c r="U4618" s="14">
        <f>L4618*G4618</f>
        <v/>
      </c>
    </row>
    <row r="4619">
      <c r="A4619" s="12" t="inlineStr">
        <is>
          <t>PO-2023-4617</t>
        </is>
      </c>
      <c r="B4619" s="26" t="n">
        <v>44960</v>
      </c>
      <c r="C4619" s="12" t="inlineStr">
        <is>
          <t>VS09</t>
        </is>
      </c>
      <c r="D4619" s="12" t="inlineStr">
        <is>
          <t>Angles &amp; Channels</t>
        </is>
      </c>
      <c r="E4619" s="12" t="inlineStr">
        <is>
          <t>N</t>
        </is>
      </c>
      <c r="F4619" s="12" t="n">
        <v>20.8</v>
      </c>
      <c r="G4619" s="17" t="n">
        <v>118346.31</v>
      </c>
      <c r="H4619" s="26" t="n">
        <v>44972</v>
      </c>
      <c r="I4619" s="26" t="n">
        <v>44973</v>
      </c>
      <c r="J4619" s="12" t="n">
        <v>20.76</v>
      </c>
      <c r="K4619" s="17" t="n">
        <v>2461603.25</v>
      </c>
      <c r="L4619" s="12" t="n">
        <v>0</v>
      </c>
      <c r="M4619" s="12" t="n">
        <v>16</v>
      </c>
      <c r="N4619" s="27">
        <f>F4619-J4619</f>
        <v/>
      </c>
      <c r="O4619" s="16">
        <f>I4619-H4619</f>
        <v/>
      </c>
      <c r="P4619" s="14">
        <f>F4619*G4619</f>
        <v/>
      </c>
      <c r="Q4619" s="14">
        <f>J4619*G4619</f>
        <v/>
      </c>
      <c r="R4619" s="14">
        <f>K4619-Q4619</f>
        <v/>
      </c>
      <c r="S4619" s="3">
        <f>P4619*Assumptions!$B$3/100</f>
        <v/>
      </c>
      <c r="T4619" s="14">
        <f>R4619-S4619</f>
        <v/>
      </c>
      <c r="U4619" s="14">
        <f>L4619*G4619</f>
        <v/>
      </c>
    </row>
    <row r="4620">
      <c r="A4620" s="12" t="inlineStr">
        <is>
          <t>PO-2023-4618</t>
        </is>
      </c>
      <c r="B4620" s="26" t="n">
        <v>44964</v>
      </c>
      <c r="C4620" s="12" t="inlineStr">
        <is>
          <t>VS02</t>
        </is>
      </c>
      <c r="D4620" s="12" t="inlineStr">
        <is>
          <t>Hex Bars</t>
        </is>
      </c>
      <c r="E4620" s="12" t="inlineStr">
        <is>
          <t>N</t>
        </is>
      </c>
      <c r="F4620" s="12" t="n">
        <v>32.45</v>
      </c>
      <c r="G4620" s="17" t="n">
        <v>50084.96</v>
      </c>
      <c r="H4620" s="26" t="n">
        <v>44978</v>
      </c>
      <c r="I4620" s="26" t="n">
        <v>44979</v>
      </c>
      <c r="J4620" s="12" t="n">
        <v>32.18</v>
      </c>
      <c r="K4620" s="17" t="n">
        <v>1625256.95</v>
      </c>
      <c r="L4620" s="12" t="n">
        <v>0</v>
      </c>
      <c r="M4620" s="12" t="n">
        <v>0</v>
      </c>
      <c r="N4620" s="27">
        <f>F4620-J4620</f>
        <v/>
      </c>
      <c r="O4620" s="16">
        <f>I4620-H4620</f>
        <v/>
      </c>
      <c r="P4620" s="14">
        <f>F4620*G4620</f>
        <v/>
      </c>
      <c r="Q4620" s="14">
        <f>J4620*G4620</f>
        <v/>
      </c>
      <c r="R4620" s="14">
        <f>K4620-Q4620</f>
        <v/>
      </c>
      <c r="S4620" s="3">
        <f>P4620*Assumptions!$B$3/100</f>
        <v/>
      </c>
      <c r="T4620" s="14">
        <f>R4620-S4620</f>
        <v/>
      </c>
      <c r="U4620" s="14">
        <f>L4620*G4620</f>
        <v/>
      </c>
    </row>
    <row r="4621">
      <c r="A4621" s="12" t="inlineStr">
        <is>
          <t>PO-2023-4619</t>
        </is>
      </c>
      <c r="B4621" s="26" t="n">
        <v>44533</v>
      </c>
      <c r="C4621" s="12" t="inlineStr">
        <is>
          <t>VS15</t>
        </is>
      </c>
      <c r="D4621" s="12" t="inlineStr">
        <is>
          <t>HR Coils</t>
        </is>
      </c>
      <c r="E4621" s="12" t="inlineStr">
        <is>
          <t>Y</t>
        </is>
      </c>
      <c r="F4621" s="12" t="n">
        <v>1.18</v>
      </c>
      <c r="G4621" s="17" t="n">
        <v>58536.05</v>
      </c>
      <c r="H4621" s="26" t="n">
        <v>44547</v>
      </c>
      <c r="I4621" s="26" t="n">
        <v>44549</v>
      </c>
      <c r="J4621" s="12" t="n">
        <v>1.17</v>
      </c>
      <c r="K4621" s="17" t="n">
        <v>69072.53999999999</v>
      </c>
      <c r="L4621" s="12" t="n">
        <v>0</v>
      </c>
      <c r="M4621" s="12" t="n">
        <v>0</v>
      </c>
      <c r="N4621" s="27">
        <f>F4621-J4621</f>
        <v/>
      </c>
      <c r="O4621" s="16">
        <f>I4621-H4621</f>
        <v/>
      </c>
      <c r="P4621" s="14">
        <f>F4621*G4621</f>
        <v/>
      </c>
      <c r="Q4621" s="14">
        <f>J4621*G4621</f>
        <v/>
      </c>
      <c r="R4621" s="14">
        <f>K4621-Q4621</f>
        <v/>
      </c>
      <c r="S4621" s="3">
        <f>P4621*Assumptions!$B$3/100</f>
        <v/>
      </c>
      <c r="T4621" s="14">
        <f>R4621-S4621</f>
        <v/>
      </c>
      <c r="U4621" s="14">
        <f>L4621*G4621</f>
        <v/>
      </c>
    </row>
    <row r="4622">
      <c r="A4622" s="12" t="inlineStr">
        <is>
          <t>PO-2023-4620</t>
        </is>
      </c>
      <c r="B4622" s="26" t="n">
        <v>44577</v>
      </c>
      <c r="C4622" s="12" t="inlineStr">
        <is>
          <t>VS32</t>
        </is>
      </c>
      <c r="D4622" s="12" t="inlineStr">
        <is>
          <t>GI Wire</t>
        </is>
      </c>
      <c r="E4622" s="12" t="inlineStr">
        <is>
          <t>N</t>
        </is>
      </c>
      <c r="F4622" s="12" t="n">
        <v>45.51</v>
      </c>
      <c r="G4622" s="17" t="n">
        <v>109152.41</v>
      </c>
      <c r="H4622" s="26" t="n">
        <v>44585</v>
      </c>
      <c r="I4622" s="26" t="n">
        <v>44585</v>
      </c>
      <c r="J4622" s="12" t="n">
        <v>45.23</v>
      </c>
      <c r="K4622" s="17" t="n">
        <v>4967526.18</v>
      </c>
      <c r="L4622" s="12" t="n">
        <v>0</v>
      </c>
      <c r="M4622" s="12" t="n">
        <v>0</v>
      </c>
      <c r="N4622" s="27">
        <f>F4622-J4622</f>
        <v/>
      </c>
      <c r="O4622" s="16">
        <f>I4622-H4622</f>
        <v/>
      </c>
      <c r="P4622" s="14">
        <f>F4622*G4622</f>
        <v/>
      </c>
      <c r="Q4622" s="14">
        <f>J4622*G4622</f>
        <v/>
      </c>
      <c r="R4622" s="14">
        <f>K4622-Q4622</f>
        <v/>
      </c>
      <c r="S4622" s="3">
        <f>P4622*Assumptions!$B$3/100</f>
        <v/>
      </c>
      <c r="T4622" s="14">
        <f>R4622-S4622</f>
        <v/>
      </c>
      <c r="U4622" s="14">
        <f>L4622*G4622</f>
        <v/>
      </c>
    </row>
    <row r="4623">
      <c r="A4623" s="12" t="inlineStr">
        <is>
          <t>PO-2023-4621</t>
        </is>
      </c>
      <c r="B4623" s="26" t="n">
        <v>44766</v>
      </c>
      <c r="C4623" s="12" t="inlineStr">
        <is>
          <t>VS31</t>
        </is>
      </c>
      <c r="D4623" s="12" t="inlineStr">
        <is>
          <t>HR Coils</t>
        </is>
      </c>
      <c r="E4623" s="12" t="inlineStr">
        <is>
          <t>N</t>
        </is>
      </c>
      <c r="F4623" s="12" t="n">
        <v>31.53</v>
      </c>
      <c r="G4623" s="17" t="n">
        <v>76674.83</v>
      </c>
      <c r="H4623" s="26" t="n">
        <v>44771</v>
      </c>
      <c r="I4623" s="26" t="n">
        <v>44771</v>
      </c>
      <c r="J4623" s="12" t="n">
        <v>31.41</v>
      </c>
      <c r="K4623" s="17" t="n">
        <v>2417557.39</v>
      </c>
      <c r="L4623" s="12" t="n">
        <v>0</v>
      </c>
      <c r="M4623" s="12" t="n">
        <v>21</v>
      </c>
      <c r="N4623" s="27">
        <f>F4623-J4623</f>
        <v/>
      </c>
      <c r="O4623" s="16">
        <f>I4623-H4623</f>
        <v/>
      </c>
      <c r="P4623" s="14">
        <f>F4623*G4623</f>
        <v/>
      </c>
      <c r="Q4623" s="14">
        <f>J4623*G4623</f>
        <v/>
      </c>
      <c r="R4623" s="14">
        <f>K4623-Q4623</f>
        <v/>
      </c>
      <c r="S4623" s="3">
        <f>P4623*Assumptions!$B$3/100</f>
        <v/>
      </c>
      <c r="T4623" s="14">
        <f>R4623-S4623</f>
        <v/>
      </c>
      <c r="U4623" s="14">
        <f>L4623*G4623</f>
        <v/>
      </c>
    </row>
    <row r="4624">
      <c r="A4624" s="12" t="inlineStr">
        <is>
          <t>PO-2023-4622</t>
        </is>
      </c>
      <c r="B4624" s="26" t="n">
        <v>44334</v>
      </c>
      <c r="C4624" s="12" t="inlineStr">
        <is>
          <t>VS17</t>
        </is>
      </c>
      <c r="D4624" s="12" t="inlineStr">
        <is>
          <t>GI Pipes</t>
        </is>
      </c>
      <c r="E4624" s="12" t="inlineStr">
        <is>
          <t>N</t>
        </is>
      </c>
      <c r="F4624" s="12" t="n">
        <v>18.37</v>
      </c>
      <c r="G4624" s="17" t="n">
        <v>61221.11</v>
      </c>
      <c r="H4624" s="26" t="n">
        <v>44338</v>
      </c>
      <c r="I4624" s="26" t="n">
        <v>44341</v>
      </c>
      <c r="J4624" s="12" t="n">
        <v>18.34</v>
      </c>
      <c r="K4624" s="17" t="n">
        <v>1124631.79</v>
      </c>
      <c r="L4624" s="12" t="n">
        <v>0</v>
      </c>
      <c r="M4624" s="12" t="n">
        <v>4</v>
      </c>
      <c r="N4624" s="27">
        <f>F4624-J4624</f>
        <v/>
      </c>
      <c r="O4624" s="16">
        <f>I4624-H4624</f>
        <v/>
      </c>
      <c r="P4624" s="14">
        <f>F4624*G4624</f>
        <v/>
      </c>
      <c r="Q4624" s="14">
        <f>J4624*G4624</f>
        <v/>
      </c>
      <c r="R4624" s="14">
        <f>K4624-Q4624</f>
        <v/>
      </c>
      <c r="S4624" s="3">
        <f>P4624*Assumptions!$B$3/100</f>
        <v/>
      </c>
      <c r="T4624" s="14">
        <f>R4624-S4624</f>
        <v/>
      </c>
      <c r="U4624" s="14">
        <f>L4624*G4624</f>
        <v/>
      </c>
    </row>
    <row r="4625">
      <c r="A4625" s="12" t="inlineStr">
        <is>
          <t>PO-2023-4623</t>
        </is>
      </c>
      <c r="B4625" s="26" t="n">
        <v>45286</v>
      </c>
      <c r="C4625" s="12" t="inlineStr">
        <is>
          <t>VS25</t>
        </is>
      </c>
      <c r="D4625" s="12" t="inlineStr">
        <is>
          <t>MS Rods</t>
        </is>
      </c>
      <c r="E4625" s="12" t="inlineStr">
        <is>
          <t>N</t>
        </is>
      </c>
      <c r="F4625" s="12" t="n">
        <v>2.58</v>
      </c>
      <c r="G4625" s="17" t="n">
        <v>81341.50999999999</v>
      </c>
      <c r="H4625" s="26" t="n">
        <v>45296</v>
      </c>
      <c r="I4625" s="26" t="n">
        <v>45299</v>
      </c>
      <c r="J4625" s="12" t="n">
        <v>2.58</v>
      </c>
      <c r="K4625" s="17" t="n">
        <v>209861.1</v>
      </c>
      <c r="L4625" s="12" t="n">
        <v>0</v>
      </c>
      <c r="M4625" s="12" t="n">
        <v>19</v>
      </c>
      <c r="N4625" s="27">
        <f>F4625-J4625</f>
        <v/>
      </c>
      <c r="O4625" s="16">
        <f>I4625-H4625</f>
        <v/>
      </c>
      <c r="P4625" s="14">
        <f>F4625*G4625</f>
        <v/>
      </c>
      <c r="Q4625" s="14">
        <f>J4625*G4625</f>
        <v/>
      </c>
      <c r="R4625" s="14">
        <f>K4625-Q4625</f>
        <v/>
      </c>
      <c r="S4625" s="3">
        <f>P4625*Assumptions!$B$3/100</f>
        <v/>
      </c>
      <c r="T4625" s="14">
        <f>R4625-S4625</f>
        <v/>
      </c>
      <c r="U4625" s="14">
        <f>L4625*G4625</f>
        <v/>
      </c>
    </row>
    <row r="4626">
      <c r="A4626" s="12" t="inlineStr">
        <is>
          <t>PO-2023-4624</t>
        </is>
      </c>
      <c r="B4626" s="26" t="n">
        <v>44695</v>
      </c>
      <c r="C4626" s="12" t="inlineStr">
        <is>
          <t>VS14</t>
        </is>
      </c>
      <c r="D4626" s="12" t="inlineStr">
        <is>
          <t>Spring Steel</t>
        </is>
      </c>
      <c r="E4626" s="12" t="inlineStr">
        <is>
          <t>N</t>
        </is>
      </c>
      <c r="F4626" s="12" t="n">
        <v>29.95</v>
      </c>
      <c r="G4626" s="17" t="n">
        <v>51771.65</v>
      </c>
      <c r="H4626" s="26" t="n">
        <v>44705</v>
      </c>
      <c r="I4626" s="26" t="n">
        <v>44706</v>
      </c>
      <c r="J4626" s="12" t="n">
        <v>29.84</v>
      </c>
      <c r="K4626" s="17" t="n">
        <v>1550560.92</v>
      </c>
      <c r="L4626" s="12" t="n">
        <v>0</v>
      </c>
      <c r="M4626" s="12" t="n">
        <v>20</v>
      </c>
      <c r="N4626" s="27">
        <f>F4626-J4626</f>
        <v/>
      </c>
      <c r="O4626" s="16">
        <f>I4626-H4626</f>
        <v/>
      </c>
      <c r="P4626" s="14">
        <f>F4626*G4626</f>
        <v/>
      </c>
      <c r="Q4626" s="14">
        <f>J4626*G4626</f>
        <v/>
      </c>
      <c r="R4626" s="14">
        <f>K4626-Q4626</f>
        <v/>
      </c>
      <c r="S4626" s="3">
        <f>P4626*Assumptions!$B$3/100</f>
        <v/>
      </c>
      <c r="T4626" s="14">
        <f>R4626-S4626</f>
        <v/>
      </c>
      <c r="U4626" s="14">
        <f>L4626*G4626</f>
        <v/>
      </c>
    </row>
    <row r="4627">
      <c r="A4627" s="12" t="inlineStr">
        <is>
          <t>PO-2023-4625</t>
        </is>
      </c>
      <c r="B4627" s="26" t="n">
        <v>45221</v>
      </c>
      <c r="C4627" s="12" t="inlineStr">
        <is>
          <t>VS22</t>
        </is>
      </c>
      <c r="D4627" s="12" t="inlineStr">
        <is>
          <t>MS Sheets</t>
        </is>
      </c>
      <c r="E4627" s="12" t="inlineStr">
        <is>
          <t>N</t>
        </is>
      </c>
      <c r="F4627" s="12" t="n">
        <v>13.8</v>
      </c>
      <c r="G4627" s="17" t="n">
        <v>67442.42</v>
      </c>
      <c r="H4627" s="26" t="n">
        <v>45228</v>
      </c>
      <c r="I4627" s="26" t="n">
        <v>45228</v>
      </c>
      <c r="J4627" s="12" t="n">
        <v>13.77</v>
      </c>
      <c r="K4627" s="17" t="n">
        <v>930705.4</v>
      </c>
      <c r="L4627" s="12" t="n">
        <v>0</v>
      </c>
      <c r="M4627" s="12" t="n">
        <v>13</v>
      </c>
      <c r="N4627" s="27">
        <f>F4627-J4627</f>
        <v/>
      </c>
      <c r="O4627" s="16">
        <f>I4627-H4627</f>
        <v/>
      </c>
      <c r="P4627" s="14">
        <f>F4627*G4627</f>
        <v/>
      </c>
      <c r="Q4627" s="14">
        <f>J4627*G4627</f>
        <v/>
      </c>
      <c r="R4627" s="14">
        <f>K4627-Q4627</f>
        <v/>
      </c>
      <c r="S4627" s="3">
        <f>P4627*Assumptions!$B$3/100</f>
        <v/>
      </c>
      <c r="T4627" s="14">
        <f>R4627-S4627</f>
        <v/>
      </c>
      <c r="U4627" s="14">
        <f>L4627*G4627</f>
        <v/>
      </c>
    </row>
    <row r="4628">
      <c r="A4628" s="12" t="inlineStr">
        <is>
          <t>PO-2023-4626</t>
        </is>
      </c>
      <c r="B4628" s="26" t="n">
        <v>44459</v>
      </c>
      <c r="C4628" s="12" t="inlineStr">
        <is>
          <t>VS01</t>
        </is>
      </c>
      <c r="D4628" s="12" t="inlineStr">
        <is>
          <t>GI Sheets</t>
        </is>
      </c>
      <c r="E4628" s="12" t="inlineStr">
        <is>
          <t>N</t>
        </is>
      </c>
      <c r="F4628" s="12" t="n">
        <v>17.04</v>
      </c>
      <c r="G4628" s="17" t="n">
        <v>64684.17</v>
      </c>
      <c r="H4628" s="26" t="n">
        <v>44463</v>
      </c>
      <c r="I4628" s="26" t="n">
        <v>44463</v>
      </c>
      <c r="J4628" s="12" t="n">
        <v>16.94</v>
      </c>
      <c r="K4628" s="17" t="n">
        <v>1102218.26</v>
      </c>
      <c r="L4628" s="12" t="n">
        <v>0</v>
      </c>
      <c r="M4628" s="12" t="n">
        <v>17</v>
      </c>
      <c r="N4628" s="27">
        <f>F4628-J4628</f>
        <v/>
      </c>
      <c r="O4628" s="16">
        <f>I4628-H4628</f>
        <v/>
      </c>
      <c r="P4628" s="14">
        <f>F4628*G4628</f>
        <v/>
      </c>
      <c r="Q4628" s="14">
        <f>J4628*G4628</f>
        <v/>
      </c>
      <c r="R4628" s="14">
        <f>K4628-Q4628</f>
        <v/>
      </c>
      <c r="S4628" s="3">
        <f>P4628*Assumptions!$B$3/100</f>
        <v/>
      </c>
      <c r="T4628" s="14">
        <f>R4628-S4628</f>
        <v/>
      </c>
      <c r="U4628" s="14">
        <f>L4628*G4628</f>
        <v/>
      </c>
    </row>
    <row r="4629">
      <c r="A4629" s="12" t="inlineStr">
        <is>
          <t>PO-2023-4627</t>
        </is>
      </c>
      <c r="B4629" s="26" t="n">
        <v>44231</v>
      </c>
      <c r="C4629" s="12" t="inlineStr">
        <is>
          <t>VS11</t>
        </is>
      </c>
      <c r="D4629" s="12" t="inlineStr">
        <is>
          <t>HR Coils</t>
        </is>
      </c>
      <c r="E4629" s="12" t="inlineStr">
        <is>
          <t>Y</t>
        </is>
      </c>
      <c r="F4629" s="12" t="n">
        <v>39.37</v>
      </c>
      <c r="G4629" s="17" t="n">
        <v>81063.81</v>
      </c>
      <c r="H4629" s="26" t="n">
        <v>44237</v>
      </c>
      <c r="I4629" s="26" t="n">
        <v>44239</v>
      </c>
      <c r="J4629" s="12" t="n">
        <v>39.18</v>
      </c>
      <c r="K4629" s="17" t="n">
        <v>3191482.2</v>
      </c>
      <c r="L4629" s="12" t="n">
        <v>0</v>
      </c>
      <c r="M4629" s="12" t="n">
        <v>14</v>
      </c>
      <c r="N4629" s="27">
        <f>F4629-J4629</f>
        <v/>
      </c>
      <c r="O4629" s="16">
        <f>I4629-H4629</f>
        <v/>
      </c>
      <c r="P4629" s="14">
        <f>F4629*G4629</f>
        <v/>
      </c>
      <c r="Q4629" s="14">
        <f>J4629*G4629</f>
        <v/>
      </c>
      <c r="R4629" s="14">
        <f>K4629-Q4629</f>
        <v/>
      </c>
      <c r="S4629" s="3">
        <f>P4629*Assumptions!$B$3/100</f>
        <v/>
      </c>
      <c r="T4629" s="14">
        <f>R4629-S4629</f>
        <v/>
      </c>
      <c r="U4629" s="14">
        <f>L4629*G4629</f>
        <v/>
      </c>
    </row>
    <row r="4630">
      <c r="A4630" s="12" t="inlineStr">
        <is>
          <t>PO-2023-4628</t>
        </is>
      </c>
      <c r="B4630" s="26" t="n">
        <v>44928</v>
      </c>
      <c r="C4630" s="12" t="inlineStr">
        <is>
          <t>VS06</t>
        </is>
      </c>
      <c r="D4630" s="12" t="inlineStr">
        <is>
          <t>Spring Steel</t>
        </is>
      </c>
      <c r="E4630" s="12" t="inlineStr">
        <is>
          <t>N</t>
        </is>
      </c>
      <c r="F4630" s="12" t="n">
        <v>45.87</v>
      </c>
      <c r="G4630" s="17" t="n">
        <v>96146.89</v>
      </c>
      <c r="H4630" s="26" t="n">
        <v>44943</v>
      </c>
      <c r="I4630" s="26" t="n">
        <v>44944</v>
      </c>
      <c r="J4630" s="12" t="n">
        <v>45.85</v>
      </c>
      <c r="K4630" s="17" t="n">
        <v>4410257.84</v>
      </c>
      <c r="L4630" s="12" t="n">
        <v>0</v>
      </c>
      <c r="M4630" s="12" t="n">
        <v>11</v>
      </c>
      <c r="N4630" s="27">
        <f>F4630-J4630</f>
        <v/>
      </c>
      <c r="O4630" s="16">
        <f>I4630-H4630</f>
        <v/>
      </c>
      <c r="P4630" s="14">
        <f>F4630*G4630</f>
        <v/>
      </c>
      <c r="Q4630" s="14">
        <f>J4630*G4630</f>
        <v/>
      </c>
      <c r="R4630" s="14">
        <f>K4630-Q4630</f>
        <v/>
      </c>
      <c r="S4630" s="3">
        <f>P4630*Assumptions!$B$3/100</f>
        <v/>
      </c>
      <c r="T4630" s="14">
        <f>R4630-S4630</f>
        <v/>
      </c>
      <c r="U4630" s="14">
        <f>L4630*G4630</f>
        <v/>
      </c>
    </row>
    <row r="4631">
      <c r="A4631" s="12" t="inlineStr">
        <is>
          <t>PO-2023-4629</t>
        </is>
      </c>
      <c r="B4631" s="26" t="n">
        <v>45029</v>
      </c>
      <c r="C4631" s="12" t="inlineStr">
        <is>
          <t>VS27</t>
        </is>
      </c>
      <c r="D4631" s="12" t="inlineStr">
        <is>
          <t>SS Sheets</t>
        </is>
      </c>
      <c r="E4631" s="12" t="inlineStr">
        <is>
          <t>N</t>
        </is>
      </c>
      <c r="F4631" s="12" t="n">
        <v>46.36</v>
      </c>
      <c r="G4631" s="17" t="n">
        <v>109839.57</v>
      </c>
      <c r="H4631" s="26" t="n">
        <v>45039</v>
      </c>
      <c r="I4631" s="26" t="n">
        <v>45041</v>
      </c>
      <c r="J4631" s="12" t="n">
        <v>46.1</v>
      </c>
      <c r="K4631" s="17" t="n">
        <v>5092162.47</v>
      </c>
      <c r="L4631" s="12" t="n">
        <v>0</v>
      </c>
      <c r="M4631" s="12" t="n">
        <v>12</v>
      </c>
      <c r="N4631" s="27">
        <f>F4631-J4631</f>
        <v/>
      </c>
      <c r="O4631" s="16">
        <f>I4631-H4631</f>
        <v/>
      </c>
      <c r="P4631" s="14">
        <f>F4631*G4631</f>
        <v/>
      </c>
      <c r="Q4631" s="14">
        <f>J4631*G4631</f>
        <v/>
      </c>
      <c r="R4631" s="14">
        <f>K4631-Q4631</f>
        <v/>
      </c>
      <c r="S4631" s="3">
        <f>P4631*Assumptions!$B$3/100</f>
        <v/>
      </c>
      <c r="T4631" s="14">
        <f>R4631-S4631</f>
        <v/>
      </c>
      <c r="U4631" s="14">
        <f>L4631*G4631</f>
        <v/>
      </c>
    </row>
    <row r="4632">
      <c r="A4632" s="12" t="inlineStr">
        <is>
          <t>PO-2023-4630</t>
        </is>
      </c>
      <c r="B4632" s="26" t="n">
        <v>44816</v>
      </c>
      <c r="C4632" s="12" t="inlineStr">
        <is>
          <t>VS07</t>
        </is>
      </c>
      <c r="D4632" s="12" t="inlineStr">
        <is>
          <t>GI Sheets</t>
        </is>
      </c>
      <c r="E4632" s="12" t="inlineStr">
        <is>
          <t>N</t>
        </is>
      </c>
      <c r="F4632" s="12" t="n">
        <v>5.42</v>
      </c>
      <c r="G4632" s="17" t="n">
        <v>60266.68</v>
      </c>
      <c r="H4632" s="26" t="n">
        <v>44824</v>
      </c>
      <c r="I4632" s="26" t="n">
        <v>44826</v>
      </c>
      <c r="J4632" s="12" t="n">
        <v>5.41</v>
      </c>
      <c r="K4632" s="17" t="n">
        <v>326645.41</v>
      </c>
      <c r="L4632" s="12" t="n">
        <v>0</v>
      </c>
      <c r="M4632" s="12" t="n">
        <v>6</v>
      </c>
      <c r="N4632" s="27">
        <f>F4632-J4632</f>
        <v/>
      </c>
      <c r="O4632" s="16">
        <f>I4632-H4632</f>
        <v/>
      </c>
      <c r="P4632" s="14">
        <f>F4632*G4632</f>
        <v/>
      </c>
      <c r="Q4632" s="14">
        <f>J4632*G4632</f>
        <v/>
      </c>
      <c r="R4632" s="14">
        <f>K4632-Q4632</f>
        <v/>
      </c>
      <c r="S4632" s="3">
        <f>P4632*Assumptions!$B$3/100</f>
        <v/>
      </c>
      <c r="T4632" s="14">
        <f>R4632-S4632</f>
        <v/>
      </c>
      <c r="U4632" s="14">
        <f>L4632*G4632</f>
        <v/>
      </c>
    </row>
    <row r="4633">
      <c r="A4633" s="12" t="inlineStr">
        <is>
          <t>PO-2023-4631</t>
        </is>
      </c>
      <c r="B4633" s="26" t="n">
        <v>44353</v>
      </c>
      <c r="C4633" s="12" t="inlineStr">
        <is>
          <t>VS33</t>
        </is>
      </c>
      <c r="D4633" s="12" t="inlineStr">
        <is>
          <t>GI Sheets</t>
        </is>
      </c>
      <c r="E4633" s="12" t="inlineStr">
        <is>
          <t>N</t>
        </is>
      </c>
      <c r="F4633" s="12" t="n">
        <v>1.42</v>
      </c>
      <c r="G4633" s="17" t="n">
        <v>71650.61</v>
      </c>
      <c r="H4633" s="26" t="n">
        <v>44361</v>
      </c>
      <c r="I4633" s="26" t="n">
        <v>44364</v>
      </c>
      <c r="J4633" s="12" t="n">
        <v>1.41</v>
      </c>
      <c r="K4633" s="17" t="n">
        <v>101743.87</v>
      </c>
      <c r="L4633" s="12" t="n">
        <v>0</v>
      </c>
      <c r="M4633" s="12" t="n">
        <v>0</v>
      </c>
      <c r="N4633" s="27">
        <f>F4633-J4633</f>
        <v/>
      </c>
      <c r="O4633" s="16">
        <f>I4633-H4633</f>
        <v/>
      </c>
      <c r="P4633" s="14">
        <f>F4633*G4633</f>
        <v/>
      </c>
      <c r="Q4633" s="14">
        <f>J4633*G4633</f>
        <v/>
      </c>
      <c r="R4633" s="14">
        <f>K4633-Q4633</f>
        <v/>
      </c>
      <c r="S4633" s="3">
        <f>P4633*Assumptions!$B$3/100</f>
        <v/>
      </c>
      <c r="T4633" s="14">
        <f>R4633-S4633</f>
        <v/>
      </c>
      <c r="U4633" s="14">
        <f>L4633*G4633</f>
        <v/>
      </c>
    </row>
    <row r="4634">
      <c r="A4634" s="12" t="inlineStr">
        <is>
          <t>PO-2023-4632</t>
        </is>
      </c>
      <c r="B4634" s="26" t="n">
        <v>44597</v>
      </c>
      <c r="C4634" s="12" t="inlineStr">
        <is>
          <t>VS18</t>
        </is>
      </c>
      <c r="D4634" s="12" t="inlineStr">
        <is>
          <t>GI Wire</t>
        </is>
      </c>
      <c r="E4634" s="12" t="inlineStr">
        <is>
          <t>N</t>
        </is>
      </c>
      <c r="F4634" s="12" t="n">
        <v>38.85</v>
      </c>
      <c r="G4634" s="17" t="n">
        <v>85088.38</v>
      </c>
      <c r="H4634" s="26" t="n">
        <v>44601</v>
      </c>
      <c r="I4634" s="26" t="n">
        <v>44604</v>
      </c>
      <c r="J4634" s="12" t="n">
        <v>38.81</v>
      </c>
      <c r="K4634" s="17" t="n">
        <v>3305683.56</v>
      </c>
      <c r="L4634" s="12" t="n">
        <v>0</v>
      </c>
      <c r="M4634" s="12" t="n">
        <v>1</v>
      </c>
      <c r="N4634" s="27">
        <f>F4634-J4634</f>
        <v/>
      </c>
      <c r="O4634" s="16">
        <f>I4634-H4634</f>
        <v/>
      </c>
      <c r="P4634" s="14">
        <f>F4634*G4634</f>
        <v/>
      </c>
      <c r="Q4634" s="14">
        <f>J4634*G4634</f>
        <v/>
      </c>
      <c r="R4634" s="14">
        <f>K4634-Q4634</f>
        <v/>
      </c>
      <c r="S4634" s="3">
        <f>P4634*Assumptions!$B$3/100</f>
        <v/>
      </c>
      <c r="T4634" s="14">
        <f>R4634-S4634</f>
        <v/>
      </c>
      <c r="U4634" s="14">
        <f>L4634*G4634</f>
        <v/>
      </c>
    </row>
    <row r="4635">
      <c r="A4635" s="12" t="inlineStr">
        <is>
          <t>PO-2023-4633</t>
        </is>
      </c>
      <c r="B4635" s="26" t="n">
        <v>44912</v>
      </c>
      <c r="C4635" s="12" t="inlineStr">
        <is>
          <t>VS14</t>
        </is>
      </c>
      <c r="D4635" s="12" t="inlineStr">
        <is>
          <t>Hex Bars</t>
        </is>
      </c>
      <c r="E4635" s="12" t="inlineStr">
        <is>
          <t>N</t>
        </is>
      </c>
      <c r="F4635" s="12" t="n">
        <v>39.02</v>
      </c>
      <c r="G4635" s="17" t="n">
        <v>72350.99000000001</v>
      </c>
      <c r="H4635" s="26" t="n">
        <v>44917</v>
      </c>
      <c r="I4635" s="26" t="n">
        <v>44919</v>
      </c>
      <c r="J4635" s="12" t="n">
        <v>38.85</v>
      </c>
      <c r="K4635" s="17" t="n">
        <v>2823135.63</v>
      </c>
      <c r="L4635" s="12" t="n">
        <v>0</v>
      </c>
      <c r="M4635" s="12" t="n">
        <v>0</v>
      </c>
      <c r="N4635" s="27">
        <f>F4635-J4635</f>
        <v/>
      </c>
      <c r="O4635" s="16">
        <f>I4635-H4635</f>
        <v/>
      </c>
      <c r="P4635" s="14">
        <f>F4635*G4635</f>
        <v/>
      </c>
      <c r="Q4635" s="14">
        <f>J4635*G4635</f>
        <v/>
      </c>
      <c r="R4635" s="14">
        <f>K4635-Q4635</f>
        <v/>
      </c>
      <c r="S4635" s="3">
        <f>P4635*Assumptions!$B$3/100</f>
        <v/>
      </c>
      <c r="T4635" s="14">
        <f>R4635-S4635</f>
        <v/>
      </c>
      <c r="U4635" s="14">
        <f>L4635*G4635</f>
        <v/>
      </c>
    </row>
    <row r="4636">
      <c r="A4636" s="12" t="inlineStr">
        <is>
          <t>PO-2023-4634</t>
        </is>
      </c>
      <c r="B4636" s="26" t="n">
        <v>44440</v>
      </c>
      <c r="C4636" s="12" t="inlineStr">
        <is>
          <t>VS32</t>
        </is>
      </c>
      <c r="D4636" s="12" t="inlineStr">
        <is>
          <t>Spring Steel</t>
        </is>
      </c>
      <c r="E4636" s="12" t="inlineStr">
        <is>
          <t>N</t>
        </is>
      </c>
      <c r="F4636" s="12" t="n">
        <v>30.51</v>
      </c>
      <c r="G4636" s="17" t="n">
        <v>70779.53999999999</v>
      </c>
      <c r="H4636" s="26" t="n">
        <v>44452</v>
      </c>
      <c r="I4636" s="26" t="n">
        <v>44453</v>
      </c>
      <c r="J4636" s="12" t="n">
        <v>30.35</v>
      </c>
      <c r="K4636" s="17" t="n">
        <v>2159483.77</v>
      </c>
      <c r="L4636" s="12" t="n">
        <v>0</v>
      </c>
      <c r="M4636" s="12" t="n">
        <v>25</v>
      </c>
      <c r="N4636" s="27">
        <f>F4636-J4636</f>
        <v/>
      </c>
      <c r="O4636" s="16">
        <f>I4636-H4636</f>
        <v/>
      </c>
      <c r="P4636" s="14">
        <f>F4636*G4636</f>
        <v/>
      </c>
      <c r="Q4636" s="14">
        <f>J4636*G4636</f>
        <v/>
      </c>
      <c r="R4636" s="14">
        <f>K4636-Q4636</f>
        <v/>
      </c>
      <c r="S4636" s="3">
        <f>P4636*Assumptions!$B$3/100</f>
        <v/>
      </c>
      <c r="T4636" s="14">
        <f>R4636-S4636</f>
        <v/>
      </c>
      <c r="U4636" s="14">
        <f>L4636*G4636</f>
        <v/>
      </c>
    </row>
    <row r="4637">
      <c r="A4637" s="12" t="inlineStr">
        <is>
          <t>PO-2023-4635</t>
        </is>
      </c>
      <c r="B4637" s="26" t="n">
        <v>44315</v>
      </c>
      <c r="C4637" s="12" t="inlineStr">
        <is>
          <t>VS34</t>
        </is>
      </c>
      <c r="D4637" s="12" t="inlineStr">
        <is>
          <t>SS Sheets</t>
        </is>
      </c>
      <c r="E4637" s="12" t="inlineStr">
        <is>
          <t>N</t>
        </is>
      </c>
      <c r="F4637" s="12" t="n">
        <v>35.59</v>
      </c>
      <c r="G4637" s="17" t="n">
        <v>95806.25</v>
      </c>
      <c r="H4637" s="26" t="n">
        <v>44319</v>
      </c>
      <c r="I4637" s="26" t="n">
        <v>44319</v>
      </c>
      <c r="J4637" s="12" t="n">
        <v>35.34</v>
      </c>
      <c r="K4637" s="17" t="n">
        <v>3409744.44</v>
      </c>
      <c r="L4637" s="12" t="n">
        <v>0</v>
      </c>
      <c r="M4637" s="12" t="n">
        <v>2</v>
      </c>
      <c r="N4637" s="27">
        <f>F4637-J4637</f>
        <v/>
      </c>
      <c r="O4637" s="16">
        <f>I4637-H4637</f>
        <v/>
      </c>
      <c r="P4637" s="14">
        <f>F4637*G4637</f>
        <v/>
      </c>
      <c r="Q4637" s="14">
        <f>J4637*G4637</f>
        <v/>
      </c>
      <c r="R4637" s="14">
        <f>K4637-Q4637</f>
        <v/>
      </c>
      <c r="S4637" s="3">
        <f>P4637*Assumptions!$B$3/100</f>
        <v/>
      </c>
      <c r="T4637" s="14">
        <f>R4637-S4637</f>
        <v/>
      </c>
      <c r="U4637" s="14">
        <f>L4637*G4637</f>
        <v/>
      </c>
    </row>
    <row r="4638">
      <c r="A4638" s="12" t="inlineStr">
        <is>
          <t>PO-2023-4636</t>
        </is>
      </c>
      <c r="B4638" s="26" t="n">
        <v>44546</v>
      </c>
      <c r="C4638" s="12" t="inlineStr">
        <is>
          <t>VS25</t>
        </is>
      </c>
      <c r="D4638" s="12" t="inlineStr">
        <is>
          <t>MS Flats</t>
        </is>
      </c>
      <c r="E4638" s="12" t="inlineStr">
        <is>
          <t>N</t>
        </is>
      </c>
      <c r="F4638" s="12" t="n">
        <v>18.69</v>
      </c>
      <c r="G4638" s="17" t="n">
        <v>83912.19</v>
      </c>
      <c r="H4638" s="26" t="n">
        <v>44550</v>
      </c>
      <c r="I4638" s="26" t="n">
        <v>44550</v>
      </c>
      <c r="J4638" s="12" t="n">
        <v>18.62</v>
      </c>
      <c r="K4638" s="17" t="n">
        <v>1568318.83</v>
      </c>
      <c r="L4638" s="12" t="n">
        <v>0</v>
      </c>
      <c r="M4638" s="12" t="n">
        <v>5</v>
      </c>
      <c r="N4638" s="27">
        <f>F4638-J4638</f>
        <v/>
      </c>
      <c r="O4638" s="16">
        <f>I4638-H4638</f>
        <v/>
      </c>
      <c r="P4638" s="14">
        <f>F4638*G4638</f>
        <v/>
      </c>
      <c r="Q4638" s="14">
        <f>J4638*G4638</f>
        <v/>
      </c>
      <c r="R4638" s="14">
        <f>K4638-Q4638</f>
        <v/>
      </c>
      <c r="S4638" s="3">
        <f>P4638*Assumptions!$B$3/100</f>
        <v/>
      </c>
      <c r="T4638" s="14">
        <f>R4638-S4638</f>
        <v/>
      </c>
      <c r="U4638" s="14">
        <f>L4638*G4638</f>
        <v/>
      </c>
    </row>
    <row r="4639">
      <c r="A4639" s="12" t="inlineStr">
        <is>
          <t>PO-2023-4637</t>
        </is>
      </c>
      <c r="B4639" s="26" t="n">
        <v>44968</v>
      </c>
      <c r="C4639" s="12" t="inlineStr">
        <is>
          <t>VS30</t>
        </is>
      </c>
      <c r="D4639" s="12" t="inlineStr">
        <is>
          <t>Angles &amp; Channels</t>
        </is>
      </c>
      <c r="E4639" s="12" t="inlineStr">
        <is>
          <t>N</t>
        </is>
      </c>
      <c r="F4639" s="12" t="n">
        <v>38.14</v>
      </c>
      <c r="G4639" s="17" t="n">
        <v>58336.09</v>
      </c>
      <c r="H4639" s="26" t="n">
        <v>44979</v>
      </c>
      <c r="I4639" s="26" t="n">
        <v>44980</v>
      </c>
      <c r="J4639" s="12" t="n">
        <v>37.78</v>
      </c>
      <c r="K4639" s="17" t="n">
        <v>2224938.47</v>
      </c>
      <c r="L4639" s="12" t="n">
        <v>0</v>
      </c>
      <c r="M4639" s="12" t="n">
        <v>0</v>
      </c>
      <c r="N4639" s="27">
        <f>F4639-J4639</f>
        <v/>
      </c>
      <c r="O4639" s="16">
        <f>I4639-H4639</f>
        <v/>
      </c>
      <c r="P4639" s="14">
        <f>F4639*G4639</f>
        <v/>
      </c>
      <c r="Q4639" s="14">
        <f>J4639*G4639</f>
        <v/>
      </c>
      <c r="R4639" s="14">
        <f>K4639-Q4639</f>
        <v/>
      </c>
      <c r="S4639" s="3">
        <f>P4639*Assumptions!$B$3/100</f>
        <v/>
      </c>
      <c r="T4639" s="14">
        <f>R4639-S4639</f>
        <v/>
      </c>
      <c r="U4639" s="14">
        <f>L4639*G4639</f>
        <v/>
      </c>
    </row>
    <row r="4640">
      <c r="A4640" s="12" t="inlineStr">
        <is>
          <t>PO-2023-4638</t>
        </is>
      </c>
      <c r="B4640" s="26" t="n">
        <v>44617</v>
      </c>
      <c r="C4640" s="12" t="inlineStr">
        <is>
          <t>VS07</t>
        </is>
      </c>
      <c r="D4640" s="12" t="inlineStr">
        <is>
          <t>HR Coils</t>
        </is>
      </c>
      <c r="E4640" s="12" t="inlineStr">
        <is>
          <t>N</t>
        </is>
      </c>
      <c r="F4640" s="12" t="n">
        <v>16.24</v>
      </c>
      <c r="G4640" s="17" t="n">
        <v>102165.35</v>
      </c>
      <c r="H4640" s="26" t="n">
        <v>44629</v>
      </c>
      <c r="I4640" s="26" t="n">
        <v>44629</v>
      </c>
      <c r="J4640" s="12" t="n">
        <v>16.1</v>
      </c>
      <c r="K4640" s="17" t="n">
        <v>1659165.28</v>
      </c>
      <c r="L4640" s="12" t="n">
        <v>0</v>
      </c>
      <c r="M4640" s="12" t="n">
        <v>0</v>
      </c>
      <c r="N4640" s="27">
        <f>F4640-J4640</f>
        <v/>
      </c>
      <c r="O4640" s="16">
        <f>I4640-H4640</f>
        <v/>
      </c>
      <c r="P4640" s="14">
        <f>F4640*G4640</f>
        <v/>
      </c>
      <c r="Q4640" s="14">
        <f>J4640*G4640</f>
        <v/>
      </c>
      <c r="R4640" s="14">
        <f>K4640-Q4640</f>
        <v/>
      </c>
      <c r="S4640" s="3">
        <f>P4640*Assumptions!$B$3/100</f>
        <v/>
      </c>
      <c r="T4640" s="14">
        <f>R4640-S4640</f>
        <v/>
      </c>
      <c r="U4640" s="14">
        <f>L4640*G4640</f>
        <v/>
      </c>
    </row>
    <row r="4641">
      <c r="A4641" s="12" t="inlineStr">
        <is>
          <t>PO-2023-4639</t>
        </is>
      </c>
      <c r="B4641" s="26" t="n">
        <v>44384</v>
      </c>
      <c r="C4641" s="12" t="inlineStr">
        <is>
          <t>VS03</t>
        </is>
      </c>
      <c r="D4641" s="12" t="inlineStr">
        <is>
          <t>GI Pipes</t>
        </is>
      </c>
      <c r="E4641" s="12" t="inlineStr">
        <is>
          <t>N</t>
        </is>
      </c>
      <c r="F4641" s="12" t="n">
        <v>49.64</v>
      </c>
      <c r="G4641" s="17" t="n">
        <v>121720.35</v>
      </c>
      <c r="H4641" s="26" t="n">
        <v>44388</v>
      </c>
      <c r="I4641" s="26" t="n">
        <v>44391</v>
      </c>
      <c r="J4641" s="12" t="n">
        <v>48.42</v>
      </c>
      <c r="K4641" s="17" t="n">
        <v>6042198.17</v>
      </c>
      <c r="L4641" s="12" t="n">
        <v>1.03</v>
      </c>
      <c r="M4641" s="12" t="n">
        <v>0</v>
      </c>
      <c r="N4641" s="27">
        <f>F4641-J4641</f>
        <v/>
      </c>
      <c r="O4641" s="16">
        <f>I4641-H4641</f>
        <v/>
      </c>
      <c r="P4641" s="14">
        <f>F4641*G4641</f>
        <v/>
      </c>
      <c r="Q4641" s="14">
        <f>J4641*G4641</f>
        <v/>
      </c>
      <c r="R4641" s="14">
        <f>K4641-Q4641</f>
        <v/>
      </c>
      <c r="S4641" s="3">
        <f>P4641*Assumptions!$B$3/100</f>
        <v/>
      </c>
      <c r="T4641" s="14">
        <f>R4641-S4641</f>
        <v/>
      </c>
      <c r="U4641" s="14">
        <f>L4641*G4641</f>
        <v/>
      </c>
    </row>
    <row r="4642">
      <c r="A4642" s="12" t="inlineStr">
        <is>
          <t>PO-2023-4640</t>
        </is>
      </c>
      <c r="B4642" s="26" t="n">
        <v>44725</v>
      </c>
      <c r="C4642" s="12" t="inlineStr">
        <is>
          <t>VS25</t>
        </is>
      </c>
      <c r="D4642" s="12" t="inlineStr">
        <is>
          <t>GI Sheets</t>
        </is>
      </c>
      <c r="E4642" s="12" t="inlineStr">
        <is>
          <t>N</t>
        </is>
      </c>
      <c r="F4642" s="12" t="n">
        <v>13.7</v>
      </c>
      <c r="G4642" s="17" t="n">
        <v>97768.31</v>
      </c>
      <c r="H4642" s="26" t="n">
        <v>44730</v>
      </c>
      <c r="I4642" s="26" t="n">
        <v>44730</v>
      </c>
      <c r="J4642" s="12" t="n">
        <v>13.7</v>
      </c>
      <c r="K4642" s="17" t="n">
        <v>1339425.85</v>
      </c>
      <c r="L4642" s="12" t="n">
        <v>0</v>
      </c>
      <c r="M4642" s="12" t="n">
        <v>0</v>
      </c>
      <c r="N4642" s="27">
        <f>F4642-J4642</f>
        <v/>
      </c>
      <c r="O4642" s="16">
        <f>I4642-H4642</f>
        <v/>
      </c>
      <c r="P4642" s="14">
        <f>F4642*G4642</f>
        <v/>
      </c>
      <c r="Q4642" s="14">
        <f>J4642*G4642</f>
        <v/>
      </c>
      <c r="R4642" s="14">
        <f>K4642-Q4642</f>
        <v/>
      </c>
      <c r="S4642" s="3">
        <f>P4642*Assumptions!$B$3/100</f>
        <v/>
      </c>
      <c r="T4642" s="14">
        <f>R4642-S4642</f>
        <v/>
      </c>
      <c r="U4642" s="14">
        <f>L4642*G4642</f>
        <v/>
      </c>
    </row>
    <row r="4643">
      <c r="A4643" s="12" t="inlineStr">
        <is>
          <t>PO-2023-4641</t>
        </is>
      </c>
      <c r="B4643" s="26" t="n">
        <v>44835</v>
      </c>
      <c r="C4643" s="12" t="inlineStr">
        <is>
          <t>VS11</t>
        </is>
      </c>
      <c r="D4643" s="12" t="inlineStr">
        <is>
          <t>ERW Pipes</t>
        </is>
      </c>
      <c r="E4643" s="12" t="inlineStr">
        <is>
          <t>N</t>
        </is>
      </c>
      <c r="F4643" s="12" t="n">
        <v>34.77</v>
      </c>
      <c r="G4643" s="17" t="n">
        <v>110722.62</v>
      </c>
      <c r="H4643" s="26" t="n">
        <v>44847</v>
      </c>
      <c r="I4643" s="26" t="n">
        <v>44847</v>
      </c>
      <c r="J4643" s="12" t="n">
        <v>34.53</v>
      </c>
      <c r="K4643" s="17" t="n">
        <v>3849825.5</v>
      </c>
      <c r="L4643" s="12" t="n">
        <v>0</v>
      </c>
      <c r="M4643" s="12" t="n">
        <v>20</v>
      </c>
      <c r="N4643" s="27">
        <f>F4643-J4643</f>
        <v/>
      </c>
      <c r="O4643" s="16">
        <f>I4643-H4643</f>
        <v/>
      </c>
      <c r="P4643" s="14">
        <f>F4643*G4643</f>
        <v/>
      </c>
      <c r="Q4643" s="14">
        <f>J4643*G4643</f>
        <v/>
      </c>
      <c r="R4643" s="14">
        <f>K4643-Q4643</f>
        <v/>
      </c>
      <c r="S4643" s="3">
        <f>P4643*Assumptions!$B$3/100</f>
        <v/>
      </c>
      <c r="T4643" s="14">
        <f>R4643-S4643</f>
        <v/>
      </c>
      <c r="U4643" s="14">
        <f>L4643*G4643</f>
        <v/>
      </c>
    </row>
    <row r="4644">
      <c r="A4644" s="12" t="inlineStr">
        <is>
          <t>PO-2023-4642</t>
        </is>
      </c>
      <c r="B4644" s="26" t="n">
        <v>45145</v>
      </c>
      <c r="C4644" s="12" t="inlineStr">
        <is>
          <t>VS16</t>
        </is>
      </c>
      <c r="D4644" s="12" t="inlineStr">
        <is>
          <t>GI Pipes</t>
        </is>
      </c>
      <c r="E4644" s="12" t="inlineStr">
        <is>
          <t>N</t>
        </is>
      </c>
      <c r="F4644" s="12" t="n">
        <v>42.18</v>
      </c>
      <c r="G4644" s="17" t="n">
        <v>100162.91</v>
      </c>
      <c r="H4644" s="26" t="n">
        <v>45149</v>
      </c>
      <c r="I4644" s="26" t="n">
        <v>45149</v>
      </c>
      <c r="J4644" s="12" t="n">
        <v>42.14</v>
      </c>
      <c r="K4644" s="17" t="n">
        <v>4224871.54</v>
      </c>
      <c r="L4644" s="12" t="n">
        <v>0</v>
      </c>
      <c r="M4644" s="12" t="n">
        <v>25</v>
      </c>
      <c r="N4644" s="27">
        <f>F4644-J4644</f>
        <v/>
      </c>
      <c r="O4644" s="16">
        <f>I4644-H4644</f>
        <v/>
      </c>
      <c r="P4644" s="14">
        <f>F4644*G4644</f>
        <v/>
      </c>
      <c r="Q4644" s="14">
        <f>J4644*G4644</f>
        <v/>
      </c>
      <c r="R4644" s="14">
        <f>K4644-Q4644</f>
        <v/>
      </c>
      <c r="S4644" s="3">
        <f>P4644*Assumptions!$B$3/100</f>
        <v/>
      </c>
      <c r="T4644" s="14">
        <f>R4644-S4644</f>
        <v/>
      </c>
      <c r="U4644" s="14">
        <f>L4644*G4644</f>
        <v/>
      </c>
    </row>
    <row r="4645">
      <c r="A4645" s="12" t="inlineStr">
        <is>
          <t>PO-2023-4643</t>
        </is>
      </c>
      <c r="B4645" s="26" t="n">
        <v>44552</v>
      </c>
      <c r="C4645" s="12" t="inlineStr">
        <is>
          <t>VS05</t>
        </is>
      </c>
      <c r="D4645" s="12" t="inlineStr">
        <is>
          <t>Hex Bars</t>
        </is>
      </c>
      <c r="E4645" s="12" t="inlineStr">
        <is>
          <t>N</t>
        </is>
      </c>
      <c r="F4645" s="12" t="n">
        <v>16.41</v>
      </c>
      <c r="G4645" s="17" t="n">
        <v>80413.64</v>
      </c>
      <c r="H4645" s="26" t="n">
        <v>44558</v>
      </c>
      <c r="I4645" s="26" t="n">
        <v>44560</v>
      </c>
      <c r="J4645" s="12" t="n">
        <v>16.4</v>
      </c>
      <c r="K4645" s="17" t="n">
        <v>1319587.83</v>
      </c>
      <c r="L4645" s="12" t="n">
        <v>0</v>
      </c>
      <c r="M4645" s="12" t="n">
        <v>25</v>
      </c>
      <c r="N4645" s="27">
        <f>F4645-J4645</f>
        <v/>
      </c>
      <c r="O4645" s="16">
        <f>I4645-H4645</f>
        <v/>
      </c>
      <c r="P4645" s="14">
        <f>F4645*G4645</f>
        <v/>
      </c>
      <c r="Q4645" s="14">
        <f>J4645*G4645</f>
        <v/>
      </c>
      <c r="R4645" s="14">
        <f>K4645-Q4645</f>
        <v/>
      </c>
      <c r="S4645" s="3">
        <f>P4645*Assumptions!$B$3/100</f>
        <v/>
      </c>
      <c r="T4645" s="14">
        <f>R4645-S4645</f>
        <v/>
      </c>
      <c r="U4645" s="14">
        <f>L4645*G4645</f>
        <v/>
      </c>
    </row>
    <row r="4646">
      <c r="A4646" s="12" t="inlineStr">
        <is>
          <t>PO-2023-4644</t>
        </is>
      </c>
      <c r="B4646" s="26" t="n">
        <v>44801</v>
      </c>
      <c r="C4646" s="12" t="inlineStr">
        <is>
          <t>VS06</t>
        </is>
      </c>
      <c r="D4646" s="12" t="inlineStr">
        <is>
          <t>SS Pipes</t>
        </is>
      </c>
      <c r="E4646" s="12" t="inlineStr">
        <is>
          <t>N</t>
        </is>
      </c>
      <c r="F4646" s="12" t="n">
        <v>15.49</v>
      </c>
      <c r="G4646" s="17" t="n">
        <v>75118.31</v>
      </c>
      <c r="H4646" s="26" t="n">
        <v>44807</v>
      </c>
      <c r="I4646" s="26" t="n">
        <v>44809</v>
      </c>
      <c r="J4646" s="12" t="n">
        <v>15.41</v>
      </c>
      <c r="K4646" s="17" t="n">
        <v>1163582.62</v>
      </c>
      <c r="L4646" s="12" t="n">
        <v>0</v>
      </c>
      <c r="M4646" s="12" t="n">
        <v>25</v>
      </c>
      <c r="N4646" s="27">
        <f>F4646-J4646</f>
        <v/>
      </c>
      <c r="O4646" s="16">
        <f>I4646-H4646</f>
        <v/>
      </c>
      <c r="P4646" s="14">
        <f>F4646*G4646</f>
        <v/>
      </c>
      <c r="Q4646" s="14">
        <f>J4646*G4646</f>
        <v/>
      </c>
      <c r="R4646" s="14">
        <f>K4646-Q4646</f>
        <v/>
      </c>
      <c r="S4646" s="3">
        <f>P4646*Assumptions!$B$3/100</f>
        <v/>
      </c>
      <c r="T4646" s="14">
        <f>R4646-S4646</f>
        <v/>
      </c>
      <c r="U4646" s="14">
        <f>L4646*G4646</f>
        <v/>
      </c>
    </row>
    <row r="4647">
      <c r="A4647" s="12" t="inlineStr">
        <is>
          <t>PO-2023-4645</t>
        </is>
      </c>
      <c r="B4647" s="26" t="n">
        <v>44707</v>
      </c>
      <c r="C4647" s="12" t="inlineStr">
        <is>
          <t>VS06</t>
        </is>
      </c>
      <c r="D4647" s="12" t="inlineStr">
        <is>
          <t>MS Flats</t>
        </is>
      </c>
      <c r="E4647" s="12" t="inlineStr">
        <is>
          <t>N</t>
        </is>
      </c>
      <c r="F4647" s="12" t="n">
        <v>44.25</v>
      </c>
      <c r="G4647" s="17" t="n">
        <v>71726.88</v>
      </c>
      <c r="H4647" s="26" t="n">
        <v>44713</v>
      </c>
      <c r="I4647" s="26" t="n">
        <v>44713</v>
      </c>
      <c r="J4647" s="12" t="n">
        <v>44.05</v>
      </c>
      <c r="K4647" s="17" t="n">
        <v>3173914.44</v>
      </c>
      <c r="L4647" s="12" t="n">
        <v>0</v>
      </c>
      <c r="M4647" s="12" t="n">
        <v>13</v>
      </c>
      <c r="N4647" s="27">
        <f>F4647-J4647</f>
        <v/>
      </c>
      <c r="O4647" s="16">
        <f>I4647-H4647</f>
        <v/>
      </c>
      <c r="P4647" s="14">
        <f>F4647*G4647</f>
        <v/>
      </c>
      <c r="Q4647" s="14">
        <f>J4647*G4647</f>
        <v/>
      </c>
      <c r="R4647" s="14">
        <f>K4647-Q4647</f>
        <v/>
      </c>
      <c r="S4647" s="3">
        <f>P4647*Assumptions!$B$3/100</f>
        <v/>
      </c>
      <c r="T4647" s="14">
        <f>R4647-S4647</f>
        <v/>
      </c>
      <c r="U4647" s="14">
        <f>L4647*G4647</f>
        <v/>
      </c>
    </row>
    <row r="4648">
      <c r="A4648" s="12" t="inlineStr">
        <is>
          <t>PO-2023-4646</t>
        </is>
      </c>
      <c r="B4648" s="26" t="n">
        <v>44307</v>
      </c>
      <c r="C4648" s="12" t="inlineStr">
        <is>
          <t>VS05</t>
        </is>
      </c>
      <c r="D4648" s="12" t="inlineStr">
        <is>
          <t>MS Flats</t>
        </is>
      </c>
      <c r="E4648" s="12" t="inlineStr">
        <is>
          <t>Y</t>
        </is>
      </c>
      <c r="F4648" s="12" t="n">
        <v>11.95</v>
      </c>
      <c r="G4648" s="17" t="n">
        <v>59235.7</v>
      </c>
      <c r="H4648" s="26" t="n">
        <v>44322</v>
      </c>
      <c r="I4648" s="26" t="n">
        <v>44325</v>
      </c>
      <c r="J4648" s="12" t="n">
        <v>11.87</v>
      </c>
      <c r="K4648" s="17" t="n">
        <v>707866.61</v>
      </c>
      <c r="L4648" s="12" t="n">
        <v>0</v>
      </c>
      <c r="M4648" s="12" t="n">
        <v>20</v>
      </c>
      <c r="N4648" s="27">
        <f>F4648-J4648</f>
        <v/>
      </c>
      <c r="O4648" s="16">
        <f>I4648-H4648</f>
        <v/>
      </c>
      <c r="P4648" s="14">
        <f>F4648*G4648</f>
        <v/>
      </c>
      <c r="Q4648" s="14">
        <f>J4648*G4648</f>
        <v/>
      </c>
      <c r="R4648" s="14">
        <f>K4648-Q4648</f>
        <v/>
      </c>
      <c r="S4648" s="3">
        <f>P4648*Assumptions!$B$3/100</f>
        <v/>
      </c>
      <c r="T4648" s="14">
        <f>R4648-S4648</f>
        <v/>
      </c>
      <c r="U4648" s="14">
        <f>L4648*G4648</f>
        <v/>
      </c>
    </row>
    <row r="4649">
      <c r="A4649" s="12" t="inlineStr">
        <is>
          <t>PO-2023-4647</t>
        </is>
      </c>
      <c r="B4649" s="26" t="n">
        <v>44826</v>
      </c>
      <c r="C4649" s="12" t="inlineStr">
        <is>
          <t>VS19</t>
        </is>
      </c>
      <c r="D4649" s="12" t="inlineStr">
        <is>
          <t>MS Pipes</t>
        </is>
      </c>
      <c r="E4649" s="12" t="inlineStr">
        <is>
          <t>Y</t>
        </is>
      </c>
      <c r="F4649" s="12" t="n">
        <v>23.04</v>
      </c>
      <c r="G4649" s="17" t="n">
        <v>88360.27</v>
      </c>
      <c r="H4649" s="26" t="n">
        <v>44839</v>
      </c>
      <c r="I4649" s="26" t="n">
        <v>44845</v>
      </c>
      <c r="J4649" s="12" t="n">
        <v>22</v>
      </c>
      <c r="K4649" s="17" t="n">
        <v>2035820.62</v>
      </c>
      <c r="L4649" s="12" t="n">
        <v>0.36</v>
      </c>
      <c r="M4649" s="12" t="n">
        <v>0</v>
      </c>
      <c r="N4649" s="27">
        <f>F4649-J4649</f>
        <v/>
      </c>
      <c r="O4649" s="16">
        <f>I4649-H4649</f>
        <v/>
      </c>
      <c r="P4649" s="14">
        <f>F4649*G4649</f>
        <v/>
      </c>
      <c r="Q4649" s="14">
        <f>J4649*G4649</f>
        <v/>
      </c>
      <c r="R4649" s="14">
        <f>K4649-Q4649</f>
        <v/>
      </c>
      <c r="S4649" s="3">
        <f>P4649*Assumptions!$B$3/100</f>
        <v/>
      </c>
      <c r="T4649" s="14">
        <f>R4649-S4649</f>
        <v/>
      </c>
      <c r="U4649" s="14">
        <f>L4649*G4649</f>
        <v/>
      </c>
    </row>
    <row r="4650">
      <c r="A4650" s="12" t="inlineStr">
        <is>
          <t>PO-2023-4648</t>
        </is>
      </c>
      <c r="B4650" s="26" t="n">
        <v>44401</v>
      </c>
      <c r="C4650" s="12" t="inlineStr">
        <is>
          <t>VS04</t>
        </is>
      </c>
      <c r="D4650" s="12" t="inlineStr">
        <is>
          <t>GI Wire</t>
        </is>
      </c>
      <c r="E4650" s="12" t="inlineStr">
        <is>
          <t>Y</t>
        </is>
      </c>
      <c r="F4650" s="12" t="n">
        <v>18.67</v>
      </c>
      <c r="G4650" s="17" t="n">
        <v>86177.22</v>
      </c>
      <c r="H4650" s="26" t="n">
        <v>44414</v>
      </c>
      <c r="I4650" s="26" t="n">
        <v>44417</v>
      </c>
      <c r="J4650" s="12" t="n">
        <v>18.51</v>
      </c>
      <c r="K4650" s="17" t="n">
        <v>1608928.7</v>
      </c>
      <c r="L4650" s="12" t="n">
        <v>0</v>
      </c>
      <c r="M4650" s="12" t="n">
        <v>3</v>
      </c>
      <c r="N4650" s="27">
        <f>F4650-J4650</f>
        <v/>
      </c>
      <c r="O4650" s="16">
        <f>I4650-H4650</f>
        <v/>
      </c>
      <c r="P4650" s="14">
        <f>F4650*G4650</f>
        <v/>
      </c>
      <c r="Q4650" s="14">
        <f>J4650*G4650</f>
        <v/>
      </c>
      <c r="R4650" s="14">
        <f>K4650-Q4650</f>
        <v/>
      </c>
      <c r="S4650" s="3">
        <f>P4650*Assumptions!$B$3/100</f>
        <v/>
      </c>
      <c r="T4650" s="14">
        <f>R4650-S4650</f>
        <v/>
      </c>
      <c r="U4650" s="14">
        <f>L4650*G4650</f>
        <v/>
      </c>
    </row>
    <row r="4651">
      <c r="A4651" s="12" t="inlineStr">
        <is>
          <t>PO-2023-4649</t>
        </is>
      </c>
      <c r="B4651" s="26" t="n">
        <v>44837</v>
      </c>
      <c r="C4651" s="12" t="inlineStr">
        <is>
          <t>VS21</t>
        </is>
      </c>
      <c r="D4651" s="12" t="inlineStr">
        <is>
          <t>Fasteners &amp; Fittings</t>
        </is>
      </c>
      <c r="E4651" s="12" t="inlineStr">
        <is>
          <t>N</t>
        </is>
      </c>
      <c r="F4651" s="12" t="n">
        <v>20.93</v>
      </c>
      <c r="G4651" s="17" t="n">
        <v>107955.77</v>
      </c>
      <c r="H4651" s="26" t="n">
        <v>44846</v>
      </c>
      <c r="I4651" s="26" t="n">
        <v>44847</v>
      </c>
      <c r="J4651" s="12" t="n">
        <v>20.76</v>
      </c>
      <c r="K4651" s="17" t="n">
        <v>2259514.27</v>
      </c>
      <c r="L4651" s="12" t="n">
        <v>0</v>
      </c>
      <c r="M4651" s="12" t="n">
        <v>25</v>
      </c>
      <c r="N4651" s="27">
        <f>F4651-J4651</f>
        <v/>
      </c>
      <c r="O4651" s="16">
        <f>I4651-H4651</f>
        <v/>
      </c>
      <c r="P4651" s="14">
        <f>F4651*G4651</f>
        <v/>
      </c>
      <c r="Q4651" s="14">
        <f>J4651*G4651</f>
        <v/>
      </c>
      <c r="R4651" s="14">
        <f>K4651-Q4651</f>
        <v/>
      </c>
      <c r="S4651" s="3">
        <f>P4651*Assumptions!$B$3/100</f>
        <v/>
      </c>
      <c r="T4651" s="14">
        <f>R4651-S4651</f>
        <v/>
      </c>
      <c r="U4651" s="14">
        <f>L4651*G4651</f>
        <v/>
      </c>
    </row>
    <row r="4652">
      <c r="A4652" s="12" t="inlineStr">
        <is>
          <t>PO-2023-4650</t>
        </is>
      </c>
      <c r="B4652" s="26" t="n">
        <v>44683</v>
      </c>
      <c r="C4652" s="12" t="inlineStr">
        <is>
          <t>VS20</t>
        </is>
      </c>
      <c r="D4652" s="12" t="inlineStr">
        <is>
          <t>MS Flats</t>
        </is>
      </c>
      <c r="E4652" s="12" t="inlineStr">
        <is>
          <t>N</t>
        </is>
      </c>
      <c r="F4652" s="12" t="n">
        <v>49.41</v>
      </c>
      <c r="G4652" s="17" t="n">
        <v>67768.19</v>
      </c>
      <c r="H4652" s="26" t="n">
        <v>44698</v>
      </c>
      <c r="I4652" s="26" t="n">
        <v>44699</v>
      </c>
      <c r="J4652" s="12" t="n">
        <v>49.39</v>
      </c>
      <c r="K4652" s="17" t="n">
        <v>3348426.27</v>
      </c>
      <c r="L4652" s="12" t="n">
        <v>0</v>
      </c>
      <c r="M4652" s="12" t="n">
        <v>19</v>
      </c>
      <c r="N4652" s="27">
        <f>F4652-J4652</f>
        <v/>
      </c>
      <c r="O4652" s="16">
        <f>I4652-H4652</f>
        <v/>
      </c>
      <c r="P4652" s="14">
        <f>F4652*G4652</f>
        <v/>
      </c>
      <c r="Q4652" s="14">
        <f>J4652*G4652</f>
        <v/>
      </c>
      <c r="R4652" s="14">
        <f>K4652-Q4652</f>
        <v/>
      </c>
      <c r="S4652" s="3">
        <f>P4652*Assumptions!$B$3/100</f>
        <v/>
      </c>
      <c r="T4652" s="14">
        <f>R4652-S4652</f>
        <v/>
      </c>
      <c r="U4652" s="14">
        <f>L4652*G4652</f>
        <v/>
      </c>
    </row>
    <row r="4653">
      <c r="A4653" s="12" t="inlineStr">
        <is>
          <t>PO-2023-4651</t>
        </is>
      </c>
      <c r="B4653" s="26" t="n">
        <v>44573</v>
      </c>
      <c r="C4653" s="12" t="inlineStr">
        <is>
          <t>VS07</t>
        </is>
      </c>
      <c r="D4653" s="12" t="inlineStr">
        <is>
          <t>Square/Rect Tubes</t>
        </is>
      </c>
      <c r="E4653" s="12" t="inlineStr">
        <is>
          <t>N</t>
        </is>
      </c>
      <c r="F4653" s="12" t="n">
        <v>20.92</v>
      </c>
      <c r="G4653" s="17" t="n">
        <v>91040.60000000001</v>
      </c>
      <c r="H4653" s="26" t="n">
        <v>44585</v>
      </c>
      <c r="I4653" s="26" t="n">
        <v>44585</v>
      </c>
      <c r="J4653" s="12" t="n">
        <v>20.78</v>
      </c>
      <c r="K4653" s="17" t="n">
        <v>1904569.35</v>
      </c>
      <c r="L4653" s="12" t="n">
        <v>0</v>
      </c>
      <c r="M4653" s="12" t="n">
        <v>23</v>
      </c>
      <c r="N4653" s="27">
        <f>F4653-J4653</f>
        <v/>
      </c>
      <c r="O4653" s="16">
        <f>I4653-H4653</f>
        <v/>
      </c>
      <c r="P4653" s="14">
        <f>F4653*G4653</f>
        <v/>
      </c>
      <c r="Q4653" s="14">
        <f>J4653*G4653</f>
        <v/>
      </c>
      <c r="R4653" s="14">
        <f>K4653-Q4653</f>
        <v/>
      </c>
      <c r="S4653" s="3">
        <f>P4653*Assumptions!$B$3/100</f>
        <v/>
      </c>
      <c r="T4653" s="14">
        <f>R4653-S4653</f>
        <v/>
      </c>
      <c r="U4653" s="14">
        <f>L4653*G4653</f>
        <v/>
      </c>
    </row>
    <row r="4654">
      <c r="A4654" s="12" t="inlineStr">
        <is>
          <t>PO-2023-4652</t>
        </is>
      </c>
      <c r="B4654" s="26" t="n">
        <v>44743</v>
      </c>
      <c r="C4654" s="12" t="inlineStr">
        <is>
          <t>VS22</t>
        </is>
      </c>
      <c r="D4654" s="12" t="inlineStr">
        <is>
          <t>Square/Rect Tubes</t>
        </is>
      </c>
      <c r="E4654" s="12" t="inlineStr">
        <is>
          <t>N</t>
        </is>
      </c>
      <c r="F4654" s="12" t="n">
        <v>3.7</v>
      </c>
      <c r="G4654" s="17" t="n">
        <v>68008.95</v>
      </c>
      <c r="H4654" s="26" t="n">
        <v>44747</v>
      </c>
      <c r="I4654" s="26" t="n">
        <v>44747</v>
      </c>
      <c r="J4654" s="12" t="n">
        <v>3.67</v>
      </c>
      <c r="K4654" s="17" t="n">
        <v>251633.11</v>
      </c>
      <c r="L4654" s="12" t="n">
        <v>0</v>
      </c>
      <c r="M4654" s="12" t="n">
        <v>0</v>
      </c>
      <c r="N4654" s="27">
        <f>F4654-J4654</f>
        <v/>
      </c>
      <c r="O4654" s="16">
        <f>I4654-H4654</f>
        <v/>
      </c>
      <c r="P4654" s="14">
        <f>F4654*G4654</f>
        <v/>
      </c>
      <c r="Q4654" s="14">
        <f>J4654*G4654</f>
        <v/>
      </c>
      <c r="R4654" s="14">
        <f>K4654-Q4654</f>
        <v/>
      </c>
      <c r="S4654" s="3">
        <f>P4654*Assumptions!$B$3/100</f>
        <v/>
      </c>
      <c r="T4654" s="14">
        <f>R4654-S4654</f>
        <v/>
      </c>
      <c r="U4654" s="14">
        <f>L4654*G4654</f>
        <v/>
      </c>
    </row>
    <row r="4655">
      <c r="A4655" s="12" t="inlineStr">
        <is>
          <t>PO-2023-4653</t>
        </is>
      </c>
      <c r="B4655" s="26" t="n">
        <v>44407</v>
      </c>
      <c r="C4655" s="12" t="inlineStr">
        <is>
          <t>VS02</t>
        </is>
      </c>
      <c r="D4655" s="12" t="inlineStr">
        <is>
          <t>GI Wire</t>
        </is>
      </c>
      <c r="E4655" s="12" t="inlineStr">
        <is>
          <t>Y</t>
        </is>
      </c>
      <c r="F4655" s="12" t="n">
        <v>48.61</v>
      </c>
      <c r="G4655" s="17" t="n">
        <v>113828.85</v>
      </c>
      <c r="H4655" s="26" t="n">
        <v>44421</v>
      </c>
      <c r="I4655" s="26" t="n">
        <v>44422</v>
      </c>
      <c r="J4655" s="12" t="n">
        <v>48.25</v>
      </c>
      <c r="K4655" s="17" t="n">
        <v>5533220.4</v>
      </c>
      <c r="L4655" s="12" t="n">
        <v>0</v>
      </c>
      <c r="M4655" s="12" t="n">
        <v>16</v>
      </c>
      <c r="N4655" s="27">
        <f>F4655-J4655</f>
        <v/>
      </c>
      <c r="O4655" s="16">
        <f>I4655-H4655</f>
        <v/>
      </c>
      <c r="P4655" s="14">
        <f>F4655*G4655</f>
        <v/>
      </c>
      <c r="Q4655" s="14">
        <f>J4655*G4655</f>
        <v/>
      </c>
      <c r="R4655" s="14">
        <f>K4655-Q4655</f>
        <v/>
      </c>
      <c r="S4655" s="3">
        <f>P4655*Assumptions!$B$3/100</f>
        <v/>
      </c>
      <c r="T4655" s="14">
        <f>R4655-S4655</f>
        <v/>
      </c>
      <c r="U4655" s="14">
        <f>L4655*G4655</f>
        <v/>
      </c>
    </row>
    <row r="4656">
      <c r="A4656" s="12" t="inlineStr">
        <is>
          <t>PO-2023-4654</t>
        </is>
      </c>
      <c r="B4656" s="26" t="n">
        <v>44980</v>
      </c>
      <c r="C4656" s="12" t="inlineStr">
        <is>
          <t>VS25</t>
        </is>
      </c>
      <c r="D4656" s="12" t="inlineStr">
        <is>
          <t>SS Pipes</t>
        </is>
      </c>
      <c r="E4656" s="12" t="inlineStr">
        <is>
          <t>N</t>
        </is>
      </c>
      <c r="F4656" s="12" t="n">
        <v>1.85</v>
      </c>
      <c r="G4656" s="17" t="n">
        <v>112137.87</v>
      </c>
      <c r="H4656" s="26" t="n">
        <v>44994</v>
      </c>
      <c r="I4656" s="26" t="n">
        <v>44994</v>
      </c>
      <c r="J4656" s="12" t="n">
        <v>1.85</v>
      </c>
      <c r="K4656" s="17" t="n">
        <v>207455.06</v>
      </c>
      <c r="L4656" s="12" t="n">
        <v>0</v>
      </c>
      <c r="M4656" s="12" t="n">
        <v>0</v>
      </c>
      <c r="N4656" s="27">
        <f>F4656-J4656</f>
        <v/>
      </c>
      <c r="O4656" s="16">
        <f>I4656-H4656</f>
        <v/>
      </c>
      <c r="P4656" s="14">
        <f>F4656*G4656</f>
        <v/>
      </c>
      <c r="Q4656" s="14">
        <f>J4656*G4656</f>
        <v/>
      </c>
      <c r="R4656" s="14">
        <f>K4656-Q4656</f>
        <v/>
      </c>
      <c r="S4656" s="3">
        <f>P4656*Assumptions!$B$3/100</f>
        <v/>
      </c>
      <c r="T4656" s="14">
        <f>R4656-S4656</f>
        <v/>
      </c>
      <c r="U4656" s="14">
        <f>L4656*G4656</f>
        <v/>
      </c>
    </row>
    <row r="4657">
      <c r="A4657" s="12" t="inlineStr">
        <is>
          <t>PO-2023-4655</t>
        </is>
      </c>
      <c r="B4657" s="26" t="n">
        <v>45275</v>
      </c>
      <c r="C4657" s="12" t="inlineStr">
        <is>
          <t>VS09</t>
        </is>
      </c>
      <c r="D4657" s="12" t="inlineStr">
        <is>
          <t>MS Sheets</t>
        </is>
      </c>
      <c r="E4657" s="12" t="inlineStr">
        <is>
          <t>N</t>
        </is>
      </c>
      <c r="F4657" s="12" t="n">
        <v>33.54</v>
      </c>
      <c r="G4657" s="17" t="n">
        <v>55049.82</v>
      </c>
      <c r="H4657" s="26" t="n">
        <v>45289</v>
      </c>
      <c r="I4657" s="26" t="n">
        <v>45292</v>
      </c>
      <c r="J4657" s="12" t="n">
        <v>33.43</v>
      </c>
      <c r="K4657" s="17" t="n">
        <v>1846370.96</v>
      </c>
      <c r="L4657" s="12" t="n">
        <v>0</v>
      </c>
      <c r="M4657" s="12" t="n">
        <v>21</v>
      </c>
      <c r="N4657" s="27">
        <f>F4657-J4657</f>
        <v/>
      </c>
      <c r="O4657" s="16">
        <f>I4657-H4657</f>
        <v/>
      </c>
      <c r="P4657" s="14">
        <f>F4657*G4657</f>
        <v/>
      </c>
      <c r="Q4657" s="14">
        <f>J4657*G4657</f>
        <v/>
      </c>
      <c r="R4657" s="14">
        <f>K4657-Q4657</f>
        <v/>
      </c>
      <c r="S4657" s="3">
        <f>P4657*Assumptions!$B$3/100</f>
        <v/>
      </c>
      <c r="T4657" s="14">
        <f>R4657-S4657</f>
        <v/>
      </c>
      <c r="U4657" s="14">
        <f>L4657*G4657</f>
        <v/>
      </c>
    </row>
    <row r="4658">
      <c r="A4658" s="12" t="inlineStr">
        <is>
          <t>PO-2023-4656</t>
        </is>
      </c>
      <c r="B4658" s="26" t="n">
        <v>44449</v>
      </c>
      <c r="C4658" s="12" t="inlineStr">
        <is>
          <t>VS26</t>
        </is>
      </c>
      <c r="D4658" s="12" t="inlineStr">
        <is>
          <t>Spring Steel</t>
        </is>
      </c>
      <c r="E4658" s="12" t="inlineStr">
        <is>
          <t>N</t>
        </is>
      </c>
      <c r="F4658" s="12" t="n">
        <v>7.93</v>
      </c>
      <c r="G4658" s="17" t="n">
        <v>106817.01</v>
      </c>
      <c r="H4658" s="26" t="n">
        <v>44454</v>
      </c>
      <c r="I4658" s="26" t="n">
        <v>44454</v>
      </c>
      <c r="J4658" s="12" t="n">
        <v>7.91</v>
      </c>
      <c r="K4658" s="17" t="n">
        <v>847058.89</v>
      </c>
      <c r="L4658" s="12" t="n">
        <v>0</v>
      </c>
      <c r="M4658" s="12" t="n">
        <v>0</v>
      </c>
      <c r="N4658" s="27">
        <f>F4658-J4658</f>
        <v/>
      </c>
      <c r="O4658" s="16">
        <f>I4658-H4658</f>
        <v/>
      </c>
      <c r="P4658" s="14">
        <f>F4658*G4658</f>
        <v/>
      </c>
      <c r="Q4658" s="14">
        <f>J4658*G4658</f>
        <v/>
      </c>
      <c r="R4658" s="14">
        <f>K4658-Q4658</f>
        <v/>
      </c>
      <c r="S4658" s="3">
        <f>P4658*Assumptions!$B$3/100</f>
        <v/>
      </c>
      <c r="T4658" s="14">
        <f>R4658-S4658</f>
        <v/>
      </c>
      <c r="U4658" s="14">
        <f>L4658*G4658</f>
        <v/>
      </c>
    </row>
    <row r="4659">
      <c r="A4659" s="12" t="inlineStr">
        <is>
          <t>PO-2023-4657</t>
        </is>
      </c>
      <c r="B4659" s="26" t="n">
        <v>44508</v>
      </c>
      <c r="C4659" s="12" t="inlineStr">
        <is>
          <t>VS06</t>
        </is>
      </c>
      <c r="D4659" s="12" t="inlineStr">
        <is>
          <t>Structural Steel</t>
        </is>
      </c>
      <c r="E4659" s="12" t="inlineStr">
        <is>
          <t>N</t>
        </is>
      </c>
      <c r="F4659" s="12" t="n">
        <v>18.44</v>
      </c>
      <c r="G4659" s="17" t="n">
        <v>92852.74000000001</v>
      </c>
      <c r="H4659" s="26" t="n">
        <v>44513</v>
      </c>
      <c r="I4659" s="26" t="n">
        <v>44514</v>
      </c>
      <c r="J4659" s="12" t="n">
        <v>18.44</v>
      </c>
      <c r="K4659" s="17" t="n">
        <v>1712204.53</v>
      </c>
      <c r="L4659" s="12" t="n">
        <v>0</v>
      </c>
      <c r="M4659" s="12" t="n">
        <v>0</v>
      </c>
      <c r="N4659" s="27">
        <f>F4659-J4659</f>
        <v/>
      </c>
      <c r="O4659" s="16">
        <f>I4659-H4659</f>
        <v/>
      </c>
      <c r="P4659" s="14">
        <f>F4659*G4659</f>
        <v/>
      </c>
      <c r="Q4659" s="14">
        <f>J4659*G4659</f>
        <v/>
      </c>
      <c r="R4659" s="14">
        <f>K4659-Q4659</f>
        <v/>
      </c>
      <c r="S4659" s="3">
        <f>P4659*Assumptions!$B$3/100</f>
        <v/>
      </c>
      <c r="T4659" s="14">
        <f>R4659-S4659</f>
        <v/>
      </c>
      <c r="U4659" s="14">
        <f>L4659*G4659</f>
        <v/>
      </c>
    </row>
    <row r="4660">
      <c r="A4660" s="12" t="inlineStr">
        <is>
          <t>PO-2023-4658</t>
        </is>
      </c>
      <c r="B4660" s="26" t="n">
        <v>44977</v>
      </c>
      <c r="C4660" s="12" t="inlineStr">
        <is>
          <t>VS25</t>
        </is>
      </c>
      <c r="D4660" s="12" t="inlineStr">
        <is>
          <t>Square/Rect Tubes</t>
        </is>
      </c>
      <c r="E4660" s="12" t="inlineStr">
        <is>
          <t>N</t>
        </is>
      </c>
      <c r="F4660" s="12" t="n">
        <v>2.49</v>
      </c>
      <c r="G4660" s="17" t="n">
        <v>59516.46</v>
      </c>
      <c r="H4660" s="26" t="n">
        <v>44984</v>
      </c>
      <c r="I4660" s="26" t="n">
        <v>44984</v>
      </c>
      <c r="J4660" s="12" t="n">
        <v>2.49</v>
      </c>
      <c r="K4660" s="17" t="n">
        <v>148195.99</v>
      </c>
      <c r="L4660" s="12" t="n">
        <v>0</v>
      </c>
      <c r="M4660" s="12" t="n">
        <v>0</v>
      </c>
      <c r="N4660" s="27">
        <f>F4660-J4660</f>
        <v/>
      </c>
      <c r="O4660" s="16">
        <f>I4660-H4660</f>
        <v/>
      </c>
      <c r="P4660" s="14">
        <f>F4660*G4660</f>
        <v/>
      </c>
      <c r="Q4660" s="14">
        <f>J4660*G4660</f>
        <v/>
      </c>
      <c r="R4660" s="14">
        <f>K4660-Q4660</f>
        <v/>
      </c>
      <c r="S4660" s="3">
        <f>P4660*Assumptions!$B$3/100</f>
        <v/>
      </c>
      <c r="T4660" s="14">
        <f>R4660-S4660</f>
        <v/>
      </c>
      <c r="U4660" s="14">
        <f>L4660*G4660</f>
        <v/>
      </c>
    </row>
    <row r="4661">
      <c r="A4661" s="12" t="inlineStr">
        <is>
          <t>PO-2023-4659</t>
        </is>
      </c>
      <c r="B4661" s="26" t="n">
        <v>45213</v>
      </c>
      <c r="C4661" s="12" t="inlineStr">
        <is>
          <t>VS06</t>
        </is>
      </c>
      <c r="D4661" s="12" t="inlineStr">
        <is>
          <t>MS Pipes</t>
        </is>
      </c>
      <c r="E4661" s="12" t="inlineStr">
        <is>
          <t>N</t>
        </is>
      </c>
      <c r="F4661" s="12" t="n">
        <v>1.54</v>
      </c>
      <c r="G4661" s="17" t="n">
        <v>87652.73</v>
      </c>
      <c r="H4661" s="26" t="n">
        <v>45218</v>
      </c>
      <c r="I4661" s="26" t="n">
        <v>45220</v>
      </c>
      <c r="J4661" s="12" t="n">
        <v>1.53</v>
      </c>
      <c r="K4661" s="17" t="n">
        <v>134985.2</v>
      </c>
      <c r="L4661" s="12" t="n">
        <v>0</v>
      </c>
      <c r="M4661" s="12" t="n">
        <v>0</v>
      </c>
      <c r="N4661" s="27">
        <f>F4661-J4661</f>
        <v/>
      </c>
      <c r="O4661" s="16">
        <f>I4661-H4661</f>
        <v/>
      </c>
      <c r="P4661" s="14">
        <f>F4661*G4661</f>
        <v/>
      </c>
      <c r="Q4661" s="14">
        <f>J4661*G4661</f>
        <v/>
      </c>
      <c r="R4661" s="14">
        <f>K4661-Q4661</f>
        <v/>
      </c>
      <c r="S4661" s="3">
        <f>P4661*Assumptions!$B$3/100</f>
        <v/>
      </c>
      <c r="T4661" s="14">
        <f>R4661-S4661</f>
        <v/>
      </c>
      <c r="U4661" s="14">
        <f>L4661*G4661</f>
        <v/>
      </c>
    </row>
    <row r="4662">
      <c r="A4662" s="12" t="inlineStr">
        <is>
          <t>PO-2023-4660</t>
        </is>
      </c>
      <c r="B4662" s="26" t="n">
        <v>44917</v>
      </c>
      <c r="C4662" s="12" t="inlineStr">
        <is>
          <t>VS32</t>
        </is>
      </c>
      <c r="D4662" s="12" t="inlineStr">
        <is>
          <t>Square/Rect Tubes</t>
        </is>
      </c>
      <c r="E4662" s="12" t="inlineStr">
        <is>
          <t>N</t>
        </is>
      </c>
      <c r="F4662" s="12" t="n">
        <v>38.24</v>
      </c>
      <c r="G4662" s="17" t="n">
        <v>86345.12</v>
      </c>
      <c r="H4662" s="26" t="n">
        <v>44927</v>
      </c>
      <c r="I4662" s="26" t="n">
        <v>44929</v>
      </c>
      <c r="J4662" s="12" t="n">
        <v>38.14</v>
      </c>
      <c r="K4662" s="17" t="n">
        <v>3301837.39</v>
      </c>
      <c r="L4662" s="12" t="n">
        <v>0</v>
      </c>
      <c r="M4662" s="12" t="n">
        <v>25</v>
      </c>
      <c r="N4662" s="27">
        <f>F4662-J4662</f>
        <v/>
      </c>
      <c r="O4662" s="16">
        <f>I4662-H4662</f>
        <v/>
      </c>
      <c r="P4662" s="14">
        <f>F4662*G4662</f>
        <v/>
      </c>
      <c r="Q4662" s="14">
        <f>J4662*G4662</f>
        <v/>
      </c>
      <c r="R4662" s="14">
        <f>K4662-Q4662</f>
        <v/>
      </c>
      <c r="S4662" s="3">
        <f>P4662*Assumptions!$B$3/100</f>
        <v/>
      </c>
      <c r="T4662" s="14">
        <f>R4662-S4662</f>
        <v/>
      </c>
      <c r="U4662" s="14">
        <f>L4662*G4662</f>
        <v/>
      </c>
    </row>
    <row r="4663">
      <c r="A4663" s="12" t="inlineStr">
        <is>
          <t>PO-2023-4661</t>
        </is>
      </c>
      <c r="B4663" s="26" t="n">
        <v>44297</v>
      </c>
      <c r="C4663" s="12" t="inlineStr">
        <is>
          <t>VS13</t>
        </is>
      </c>
      <c r="D4663" s="12" t="inlineStr">
        <is>
          <t>MS Sheets</t>
        </is>
      </c>
      <c r="E4663" s="12" t="inlineStr">
        <is>
          <t>N</t>
        </is>
      </c>
      <c r="F4663" s="12" t="n">
        <v>8.140000000000001</v>
      </c>
      <c r="G4663" s="17" t="n">
        <v>48496.98</v>
      </c>
      <c r="H4663" s="26" t="n">
        <v>44310</v>
      </c>
      <c r="I4663" s="26" t="n">
        <v>44310</v>
      </c>
      <c r="J4663" s="12" t="n">
        <v>8.07</v>
      </c>
      <c r="K4663" s="17" t="n">
        <v>394765.42</v>
      </c>
      <c r="L4663" s="12" t="n">
        <v>0</v>
      </c>
      <c r="M4663" s="12" t="n">
        <v>0</v>
      </c>
      <c r="N4663" s="27">
        <f>F4663-J4663</f>
        <v/>
      </c>
      <c r="O4663" s="16">
        <f>I4663-H4663</f>
        <v/>
      </c>
      <c r="P4663" s="14">
        <f>F4663*G4663</f>
        <v/>
      </c>
      <c r="Q4663" s="14">
        <f>J4663*G4663</f>
        <v/>
      </c>
      <c r="R4663" s="14">
        <f>K4663-Q4663</f>
        <v/>
      </c>
      <c r="S4663" s="3">
        <f>P4663*Assumptions!$B$3/100</f>
        <v/>
      </c>
      <c r="T4663" s="14">
        <f>R4663-S4663</f>
        <v/>
      </c>
      <c r="U4663" s="14">
        <f>L4663*G4663</f>
        <v/>
      </c>
    </row>
    <row r="4664">
      <c r="A4664" s="12" t="inlineStr">
        <is>
          <t>PO-2023-4662</t>
        </is>
      </c>
      <c r="B4664" s="26" t="n">
        <v>45145</v>
      </c>
      <c r="C4664" s="12" t="inlineStr">
        <is>
          <t>VS18</t>
        </is>
      </c>
      <c r="D4664" s="12" t="inlineStr">
        <is>
          <t>Spring Steel</t>
        </is>
      </c>
      <c r="E4664" s="12" t="inlineStr">
        <is>
          <t>N</t>
        </is>
      </c>
      <c r="F4664" s="12" t="n">
        <v>17.64</v>
      </c>
      <c r="G4664" s="17" t="n">
        <v>82000.92999999999</v>
      </c>
      <c r="H4664" s="26" t="n">
        <v>45150</v>
      </c>
      <c r="I4664" s="26" t="n">
        <v>45150</v>
      </c>
      <c r="J4664" s="12" t="n">
        <v>17.55</v>
      </c>
      <c r="K4664" s="17" t="n">
        <v>1446496.41</v>
      </c>
      <c r="L4664" s="12" t="n">
        <v>0</v>
      </c>
      <c r="M4664" s="12" t="n">
        <v>0</v>
      </c>
      <c r="N4664" s="27">
        <f>F4664-J4664</f>
        <v/>
      </c>
      <c r="O4664" s="16">
        <f>I4664-H4664</f>
        <v/>
      </c>
      <c r="P4664" s="14">
        <f>F4664*G4664</f>
        <v/>
      </c>
      <c r="Q4664" s="14">
        <f>J4664*G4664</f>
        <v/>
      </c>
      <c r="R4664" s="14">
        <f>K4664-Q4664</f>
        <v/>
      </c>
      <c r="S4664" s="3">
        <f>P4664*Assumptions!$B$3/100</f>
        <v/>
      </c>
      <c r="T4664" s="14">
        <f>R4664-S4664</f>
        <v/>
      </c>
      <c r="U4664" s="14">
        <f>L4664*G4664</f>
        <v/>
      </c>
    </row>
    <row r="4665">
      <c r="A4665" s="12" t="inlineStr">
        <is>
          <t>PO-2023-4663</t>
        </is>
      </c>
      <c r="B4665" s="26" t="n">
        <v>44717</v>
      </c>
      <c r="C4665" s="12" t="inlineStr">
        <is>
          <t>VS13</t>
        </is>
      </c>
      <c r="D4665" s="12" t="inlineStr">
        <is>
          <t>Spring Steel</t>
        </is>
      </c>
      <c r="E4665" s="12" t="inlineStr">
        <is>
          <t>N</t>
        </is>
      </c>
      <c r="F4665" s="12" t="n">
        <v>23.69</v>
      </c>
      <c r="G4665" s="17" t="n">
        <v>54157.25</v>
      </c>
      <c r="H4665" s="26" t="n">
        <v>44729</v>
      </c>
      <c r="I4665" s="26" t="n">
        <v>44729</v>
      </c>
      <c r="J4665" s="12" t="n">
        <v>23.68</v>
      </c>
      <c r="K4665" s="17" t="n">
        <v>1282985.25</v>
      </c>
      <c r="L4665" s="12" t="n">
        <v>0</v>
      </c>
      <c r="M4665" s="12" t="n">
        <v>14</v>
      </c>
      <c r="N4665" s="27">
        <f>F4665-J4665</f>
        <v/>
      </c>
      <c r="O4665" s="16">
        <f>I4665-H4665</f>
        <v/>
      </c>
      <c r="P4665" s="14">
        <f>F4665*G4665</f>
        <v/>
      </c>
      <c r="Q4665" s="14">
        <f>J4665*G4665</f>
        <v/>
      </c>
      <c r="R4665" s="14">
        <f>K4665-Q4665</f>
        <v/>
      </c>
      <c r="S4665" s="3">
        <f>P4665*Assumptions!$B$3/100</f>
        <v/>
      </c>
      <c r="T4665" s="14">
        <f>R4665-S4665</f>
        <v/>
      </c>
      <c r="U4665" s="14">
        <f>L4665*G4665</f>
        <v/>
      </c>
    </row>
    <row r="4666">
      <c r="A4666" s="12" t="inlineStr">
        <is>
          <t>PO-2023-4664</t>
        </is>
      </c>
      <c r="B4666" s="26" t="n">
        <v>44913</v>
      </c>
      <c r="C4666" s="12" t="inlineStr">
        <is>
          <t>VS06</t>
        </is>
      </c>
      <c r="D4666" s="12" t="inlineStr">
        <is>
          <t>SS Sheets</t>
        </is>
      </c>
      <c r="E4666" s="12" t="inlineStr">
        <is>
          <t>N</t>
        </is>
      </c>
      <c r="F4666" s="12" t="n">
        <v>17.4</v>
      </c>
      <c r="G4666" s="17" t="n">
        <v>112572.57</v>
      </c>
      <c r="H4666" s="26" t="n">
        <v>44928</v>
      </c>
      <c r="I4666" s="26" t="n">
        <v>44930</v>
      </c>
      <c r="J4666" s="12" t="n">
        <v>17.24</v>
      </c>
      <c r="K4666" s="17" t="n">
        <v>1958762.72</v>
      </c>
      <c r="L4666" s="12" t="n">
        <v>0</v>
      </c>
      <c r="M4666" s="12" t="n">
        <v>0</v>
      </c>
      <c r="N4666" s="27">
        <f>F4666-J4666</f>
        <v/>
      </c>
      <c r="O4666" s="16">
        <f>I4666-H4666</f>
        <v/>
      </c>
      <c r="P4666" s="14">
        <f>F4666*G4666</f>
        <v/>
      </c>
      <c r="Q4666" s="14">
        <f>J4666*G4666</f>
        <v/>
      </c>
      <c r="R4666" s="14">
        <f>K4666-Q4666</f>
        <v/>
      </c>
      <c r="S4666" s="3">
        <f>P4666*Assumptions!$B$3/100</f>
        <v/>
      </c>
      <c r="T4666" s="14">
        <f>R4666-S4666</f>
        <v/>
      </c>
      <c r="U4666" s="14">
        <f>L4666*G4666</f>
        <v/>
      </c>
    </row>
    <row r="4667">
      <c r="A4667" s="12" t="inlineStr">
        <is>
          <t>PO-2023-4665</t>
        </is>
      </c>
      <c r="B4667" s="26" t="n">
        <v>44288</v>
      </c>
      <c r="C4667" s="12" t="inlineStr">
        <is>
          <t>VS22</t>
        </is>
      </c>
      <c r="D4667" s="12" t="inlineStr">
        <is>
          <t>Hex Bars</t>
        </is>
      </c>
      <c r="E4667" s="12" t="inlineStr">
        <is>
          <t>N</t>
        </is>
      </c>
      <c r="F4667" s="12" t="n">
        <v>44.34</v>
      </c>
      <c r="G4667" s="17" t="n">
        <v>105213.13</v>
      </c>
      <c r="H4667" s="26" t="n">
        <v>44291</v>
      </c>
      <c r="I4667" s="26" t="n">
        <v>44292</v>
      </c>
      <c r="J4667" s="12" t="n">
        <v>43.99</v>
      </c>
      <c r="K4667" s="17" t="n">
        <v>4665150.18</v>
      </c>
      <c r="L4667" s="12" t="n">
        <v>0</v>
      </c>
      <c r="M4667" s="12" t="n">
        <v>0</v>
      </c>
      <c r="N4667" s="27">
        <f>F4667-J4667</f>
        <v/>
      </c>
      <c r="O4667" s="16">
        <f>I4667-H4667</f>
        <v/>
      </c>
      <c r="P4667" s="14">
        <f>F4667*G4667</f>
        <v/>
      </c>
      <c r="Q4667" s="14">
        <f>J4667*G4667</f>
        <v/>
      </c>
      <c r="R4667" s="14">
        <f>K4667-Q4667</f>
        <v/>
      </c>
      <c r="S4667" s="3">
        <f>P4667*Assumptions!$B$3/100</f>
        <v/>
      </c>
      <c r="T4667" s="14">
        <f>R4667-S4667</f>
        <v/>
      </c>
      <c r="U4667" s="14">
        <f>L4667*G4667</f>
        <v/>
      </c>
    </row>
    <row r="4668">
      <c r="A4668" s="12" t="inlineStr">
        <is>
          <t>PO-2023-4666</t>
        </is>
      </c>
      <c r="B4668" s="26" t="n">
        <v>44498</v>
      </c>
      <c r="C4668" s="12" t="inlineStr">
        <is>
          <t>VS34</t>
        </is>
      </c>
      <c r="D4668" s="12" t="inlineStr">
        <is>
          <t>MS Rods</t>
        </is>
      </c>
      <c r="E4668" s="12" t="inlineStr">
        <is>
          <t>N</t>
        </is>
      </c>
      <c r="F4668" s="12" t="n">
        <v>1.78</v>
      </c>
      <c r="G4668" s="17" t="n">
        <v>73507.75</v>
      </c>
      <c r="H4668" s="26" t="n">
        <v>44505</v>
      </c>
      <c r="I4668" s="26" t="n">
        <v>44508</v>
      </c>
      <c r="J4668" s="12" t="n">
        <v>1.77</v>
      </c>
      <c r="K4668" s="17" t="n">
        <v>130843.79</v>
      </c>
      <c r="L4668" s="12" t="n">
        <v>0</v>
      </c>
      <c r="M4668" s="12" t="n">
        <v>24</v>
      </c>
      <c r="N4668" s="27">
        <f>F4668-J4668</f>
        <v/>
      </c>
      <c r="O4668" s="16">
        <f>I4668-H4668</f>
        <v/>
      </c>
      <c r="P4668" s="14">
        <f>F4668*G4668</f>
        <v/>
      </c>
      <c r="Q4668" s="14">
        <f>J4668*G4668</f>
        <v/>
      </c>
      <c r="R4668" s="14">
        <f>K4668-Q4668</f>
        <v/>
      </c>
      <c r="S4668" s="3">
        <f>P4668*Assumptions!$B$3/100</f>
        <v/>
      </c>
      <c r="T4668" s="14">
        <f>R4668-S4668</f>
        <v/>
      </c>
      <c r="U4668" s="14">
        <f>L4668*G4668</f>
        <v/>
      </c>
    </row>
    <row r="4669">
      <c r="A4669" s="12" t="inlineStr">
        <is>
          <t>PO-2023-4667</t>
        </is>
      </c>
      <c r="B4669" s="26" t="n">
        <v>44255</v>
      </c>
      <c r="C4669" s="12" t="inlineStr">
        <is>
          <t>VS12</t>
        </is>
      </c>
      <c r="D4669" s="12" t="inlineStr">
        <is>
          <t>MS Sheets</t>
        </is>
      </c>
      <c r="E4669" s="12" t="inlineStr">
        <is>
          <t>N</t>
        </is>
      </c>
      <c r="F4669" s="12" t="n">
        <v>13.85</v>
      </c>
      <c r="G4669" s="17" t="n">
        <v>79443.7</v>
      </c>
      <c r="H4669" s="26" t="n">
        <v>44263</v>
      </c>
      <c r="I4669" s="26" t="n">
        <v>44271</v>
      </c>
      <c r="J4669" s="12" t="n">
        <v>13.48</v>
      </c>
      <c r="K4669" s="17" t="n">
        <v>1100295.24</v>
      </c>
      <c r="L4669" s="12" t="n">
        <v>0.38</v>
      </c>
      <c r="M4669" s="12" t="n">
        <v>0</v>
      </c>
      <c r="N4669" s="27">
        <f>F4669-J4669</f>
        <v/>
      </c>
      <c r="O4669" s="16">
        <f>I4669-H4669</f>
        <v/>
      </c>
      <c r="P4669" s="14">
        <f>F4669*G4669</f>
        <v/>
      </c>
      <c r="Q4669" s="14">
        <f>J4669*G4669</f>
        <v/>
      </c>
      <c r="R4669" s="14">
        <f>K4669-Q4669</f>
        <v/>
      </c>
      <c r="S4669" s="3">
        <f>P4669*Assumptions!$B$3/100</f>
        <v/>
      </c>
      <c r="T4669" s="14">
        <f>R4669-S4669</f>
        <v/>
      </c>
      <c r="U4669" s="14">
        <f>L4669*G4669</f>
        <v/>
      </c>
    </row>
    <row r="4670">
      <c r="A4670" s="12" t="inlineStr">
        <is>
          <t>PO-2023-4668</t>
        </is>
      </c>
      <c r="B4670" s="26" t="n">
        <v>44812</v>
      </c>
      <c r="C4670" s="12" t="inlineStr">
        <is>
          <t>VS31</t>
        </is>
      </c>
      <c r="D4670" s="12" t="inlineStr">
        <is>
          <t>CR Sheets</t>
        </is>
      </c>
      <c r="E4670" s="12" t="inlineStr">
        <is>
          <t>N</t>
        </is>
      </c>
      <c r="F4670" s="12" t="n">
        <v>23.11</v>
      </c>
      <c r="G4670" s="17" t="n">
        <v>105348.27</v>
      </c>
      <c r="H4670" s="26" t="n">
        <v>44826</v>
      </c>
      <c r="I4670" s="26" t="n">
        <v>44828</v>
      </c>
      <c r="J4670" s="12" t="n">
        <v>22.98</v>
      </c>
      <c r="K4670" s="17" t="n">
        <v>2434598.52</v>
      </c>
      <c r="L4670" s="12" t="n">
        <v>0</v>
      </c>
      <c r="M4670" s="12" t="n">
        <v>0</v>
      </c>
      <c r="N4670" s="27">
        <f>F4670-J4670</f>
        <v/>
      </c>
      <c r="O4670" s="16">
        <f>I4670-H4670</f>
        <v/>
      </c>
      <c r="P4670" s="14">
        <f>F4670*G4670</f>
        <v/>
      </c>
      <c r="Q4670" s="14">
        <f>J4670*G4670</f>
        <v/>
      </c>
      <c r="R4670" s="14">
        <f>K4670-Q4670</f>
        <v/>
      </c>
      <c r="S4670" s="3">
        <f>P4670*Assumptions!$B$3/100</f>
        <v/>
      </c>
      <c r="T4670" s="14">
        <f>R4670-S4670</f>
        <v/>
      </c>
      <c r="U4670" s="14">
        <f>L4670*G4670</f>
        <v/>
      </c>
    </row>
    <row r="4671">
      <c r="A4671" s="12" t="inlineStr">
        <is>
          <t>PO-2023-4669</t>
        </is>
      </c>
      <c r="B4671" s="26" t="n">
        <v>44895</v>
      </c>
      <c r="C4671" s="12" t="inlineStr">
        <is>
          <t>VS03</t>
        </is>
      </c>
      <c r="D4671" s="12" t="inlineStr">
        <is>
          <t>MS Pipes</t>
        </is>
      </c>
      <c r="E4671" s="12" t="inlineStr">
        <is>
          <t>N</t>
        </is>
      </c>
      <c r="F4671" s="12" t="n">
        <v>13.6</v>
      </c>
      <c r="G4671" s="17" t="n">
        <v>53307.66</v>
      </c>
      <c r="H4671" s="26" t="n">
        <v>44906</v>
      </c>
      <c r="I4671" s="26" t="n">
        <v>44914</v>
      </c>
      <c r="J4671" s="12" t="n">
        <v>13.17</v>
      </c>
      <c r="K4671" s="17" t="n">
        <v>724984.1800000001</v>
      </c>
      <c r="L4671" s="12" t="n">
        <v>0.03</v>
      </c>
      <c r="M4671" s="12" t="n">
        <v>0</v>
      </c>
      <c r="N4671" s="27">
        <f>F4671-J4671</f>
        <v/>
      </c>
      <c r="O4671" s="16">
        <f>I4671-H4671</f>
        <v/>
      </c>
      <c r="P4671" s="14">
        <f>F4671*G4671</f>
        <v/>
      </c>
      <c r="Q4671" s="14">
        <f>J4671*G4671</f>
        <v/>
      </c>
      <c r="R4671" s="14">
        <f>K4671-Q4671</f>
        <v/>
      </c>
      <c r="S4671" s="3">
        <f>P4671*Assumptions!$B$3/100</f>
        <v/>
      </c>
      <c r="T4671" s="14">
        <f>R4671-S4671</f>
        <v/>
      </c>
      <c r="U4671" s="14">
        <f>L4671*G4671</f>
        <v/>
      </c>
    </row>
    <row r="4672">
      <c r="A4672" s="12" t="inlineStr">
        <is>
          <t>PO-2023-4670</t>
        </is>
      </c>
      <c r="B4672" s="26" t="n">
        <v>45231</v>
      </c>
      <c r="C4672" s="12" t="inlineStr">
        <is>
          <t>VS22</t>
        </is>
      </c>
      <c r="D4672" s="12" t="inlineStr">
        <is>
          <t>GI Wire</t>
        </is>
      </c>
      <c r="E4672" s="12" t="inlineStr">
        <is>
          <t>N</t>
        </is>
      </c>
      <c r="F4672" s="12" t="n">
        <v>20.21</v>
      </c>
      <c r="G4672" s="17" t="n">
        <v>96585.8</v>
      </c>
      <c r="H4672" s="26" t="n">
        <v>45237</v>
      </c>
      <c r="I4672" s="26" t="n">
        <v>45239</v>
      </c>
      <c r="J4672" s="12" t="n">
        <v>20.04</v>
      </c>
      <c r="K4672" s="17" t="n">
        <v>1951999.02</v>
      </c>
      <c r="L4672" s="12" t="n">
        <v>0</v>
      </c>
      <c r="M4672" s="12" t="n">
        <v>0</v>
      </c>
      <c r="N4672" s="27">
        <f>F4672-J4672</f>
        <v/>
      </c>
      <c r="O4672" s="16">
        <f>I4672-H4672</f>
        <v/>
      </c>
      <c r="P4672" s="14">
        <f>F4672*G4672</f>
        <v/>
      </c>
      <c r="Q4672" s="14">
        <f>J4672*G4672</f>
        <v/>
      </c>
      <c r="R4672" s="14">
        <f>K4672-Q4672</f>
        <v/>
      </c>
      <c r="S4672" s="3">
        <f>P4672*Assumptions!$B$3/100</f>
        <v/>
      </c>
      <c r="T4672" s="14">
        <f>R4672-S4672</f>
        <v/>
      </c>
      <c r="U4672" s="14">
        <f>L4672*G4672</f>
        <v/>
      </c>
    </row>
    <row r="4673">
      <c r="A4673" s="12" t="inlineStr">
        <is>
          <t>PO-2023-4671</t>
        </is>
      </c>
      <c r="B4673" s="26" t="n">
        <v>44269</v>
      </c>
      <c r="C4673" s="12" t="inlineStr">
        <is>
          <t>VS07</t>
        </is>
      </c>
      <c r="D4673" s="12" t="inlineStr">
        <is>
          <t>MS Rods</t>
        </is>
      </c>
      <c r="E4673" s="12" t="inlineStr">
        <is>
          <t>N</t>
        </is>
      </c>
      <c r="F4673" s="12" t="n">
        <v>17.13</v>
      </c>
      <c r="G4673" s="17" t="n">
        <v>108074.82</v>
      </c>
      <c r="H4673" s="26" t="n">
        <v>44278</v>
      </c>
      <c r="I4673" s="26" t="n">
        <v>44278</v>
      </c>
      <c r="J4673" s="12" t="n">
        <v>17.02</v>
      </c>
      <c r="K4673" s="17" t="n">
        <v>1851321.67</v>
      </c>
      <c r="L4673" s="12" t="n">
        <v>0</v>
      </c>
      <c r="M4673" s="12" t="n">
        <v>15</v>
      </c>
      <c r="N4673" s="27">
        <f>F4673-J4673</f>
        <v/>
      </c>
      <c r="O4673" s="16">
        <f>I4673-H4673</f>
        <v/>
      </c>
      <c r="P4673" s="14">
        <f>F4673*G4673</f>
        <v/>
      </c>
      <c r="Q4673" s="14">
        <f>J4673*G4673</f>
        <v/>
      </c>
      <c r="R4673" s="14">
        <f>K4673-Q4673</f>
        <v/>
      </c>
      <c r="S4673" s="3">
        <f>P4673*Assumptions!$B$3/100</f>
        <v/>
      </c>
      <c r="T4673" s="14">
        <f>R4673-S4673</f>
        <v/>
      </c>
      <c r="U4673" s="14">
        <f>L4673*G4673</f>
        <v/>
      </c>
    </row>
    <row r="4674">
      <c r="A4674" s="12" t="inlineStr">
        <is>
          <t>PO-2023-4672</t>
        </is>
      </c>
      <c r="B4674" s="26" t="n">
        <v>44472</v>
      </c>
      <c r="C4674" s="12" t="inlineStr">
        <is>
          <t>VS15</t>
        </is>
      </c>
      <c r="D4674" s="12" t="inlineStr">
        <is>
          <t>Hex Bars</t>
        </is>
      </c>
      <c r="E4674" s="12" t="inlineStr">
        <is>
          <t>N</t>
        </is>
      </c>
      <c r="F4674" s="12" t="n">
        <v>28.38</v>
      </c>
      <c r="G4674" s="17" t="n">
        <v>84813.23</v>
      </c>
      <c r="H4674" s="26" t="n">
        <v>44483</v>
      </c>
      <c r="I4674" s="26" t="n">
        <v>44485</v>
      </c>
      <c r="J4674" s="12" t="n">
        <v>28.21</v>
      </c>
      <c r="K4674" s="17" t="n">
        <v>2406999.47</v>
      </c>
      <c r="L4674" s="12" t="n">
        <v>0</v>
      </c>
      <c r="M4674" s="12" t="n">
        <v>0</v>
      </c>
      <c r="N4674" s="27">
        <f>F4674-J4674</f>
        <v/>
      </c>
      <c r="O4674" s="16">
        <f>I4674-H4674</f>
        <v/>
      </c>
      <c r="P4674" s="14">
        <f>F4674*G4674</f>
        <v/>
      </c>
      <c r="Q4674" s="14">
        <f>J4674*G4674</f>
        <v/>
      </c>
      <c r="R4674" s="14">
        <f>K4674-Q4674</f>
        <v/>
      </c>
      <c r="S4674" s="3">
        <f>P4674*Assumptions!$B$3/100</f>
        <v/>
      </c>
      <c r="T4674" s="14">
        <f>R4674-S4674</f>
        <v/>
      </c>
      <c r="U4674" s="14">
        <f>L4674*G4674</f>
        <v/>
      </c>
    </row>
    <row r="4675">
      <c r="A4675" s="12" t="inlineStr">
        <is>
          <t>PO-2023-4673</t>
        </is>
      </c>
      <c r="B4675" s="26" t="n">
        <v>45103</v>
      </c>
      <c r="C4675" s="12" t="inlineStr">
        <is>
          <t>VS25</t>
        </is>
      </c>
      <c r="D4675" s="12" t="inlineStr">
        <is>
          <t>Angles &amp; Channels</t>
        </is>
      </c>
      <c r="E4675" s="12" t="inlineStr">
        <is>
          <t>N</t>
        </is>
      </c>
      <c r="F4675" s="12" t="n">
        <v>21.85</v>
      </c>
      <c r="G4675" s="17" t="n">
        <v>118690.21</v>
      </c>
      <c r="H4675" s="26" t="n">
        <v>45115</v>
      </c>
      <c r="I4675" s="26" t="n">
        <v>45115</v>
      </c>
      <c r="J4675" s="12" t="n">
        <v>21.73</v>
      </c>
      <c r="K4675" s="17" t="n">
        <v>2593381.09</v>
      </c>
      <c r="L4675" s="12" t="n">
        <v>0</v>
      </c>
      <c r="M4675" s="12" t="n">
        <v>18</v>
      </c>
      <c r="N4675" s="27">
        <f>F4675-J4675</f>
        <v/>
      </c>
      <c r="O4675" s="16">
        <f>I4675-H4675</f>
        <v/>
      </c>
      <c r="P4675" s="14">
        <f>F4675*G4675</f>
        <v/>
      </c>
      <c r="Q4675" s="14">
        <f>J4675*G4675</f>
        <v/>
      </c>
      <c r="R4675" s="14">
        <f>K4675-Q4675</f>
        <v/>
      </c>
      <c r="S4675" s="3">
        <f>P4675*Assumptions!$B$3/100</f>
        <v/>
      </c>
      <c r="T4675" s="14">
        <f>R4675-S4675</f>
        <v/>
      </c>
      <c r="U4675" s="14">
        <f>L4675*G4675</f>
        <v/>
      </c>
    </row>
    <row r="4676">
      <c r="A4676" s="12" t="inlineStr">
        <is>
          <t>PO-2023-4674</t>
        </is>
      </c>
      <c r="B4676" s="26" t="n">
        <v>44683</v>
      </c>
      <c r="C4676" s="12" t="inlineStr">
        <is>
          <t>VS05</t>
        </is>
      </c>
      <c r="D4676" s="12" t="inlineStr">
        <is>
          <t>GI Sheets</t>
        </is>
      </c>
      <c r="E4676" s="12" t="inlineStr">
        <is>
          <t>N</t>
        </is>
      </c>
      <c r="F4676" s="12" t="n">
        <v>20.08</v>
      </c>
      <c r="G4676" s="17" t="n">
        <v>116923.62</v>
      </c>
      <c r="H4676" s="26" t="n">
        <v>44692</v>
      </c>
      <c r="I4676" s="26" t="n">
        <v>44694</v>
      </c>
      <c r="J4676" s="12" t="n">
        <v>20.05</v>
      </c>
      <c r="K4676" s="17" t="n">
        <v>2347826.29</v>
      </c>
      <c r="L4676" s="12" t="n">
        <v>0</v>
      </c>
      <c r="M4676" s="12" t="n">
        <v>0</v>
      </c>
      <c r="N4676" s="27">
        <f>F4676-J4676</f>
        <v/>
      </c>
      <c r="O4676" s="16">
        <f>I4676-H4676</f>
        <v/>
      </c>
      <c r="P4676" s="14">
        <f>F4676*G4676</f>
        <v/>
      </c>
      <c r="Q4676" s="14">
        <f>J4676*G4676</f>
        <v/>
      </c>
      <c r="R4676" s="14">
        <f>K4676-Q4676</f>
        <v/>
      </c>
      <c r="S4676" s="3">
        <f>P4676*Assumptions!$B$3/100</f>
        <v/>
      </c>
      <c r="T4676" s="14">
        <f>R4676-S4676</f>
        <v/>
      </c>
      <c r="U4676" s="14">
        <f>L4676*G4676</f>
        <v/>
      </c>
    </row>
    <row r="4677">
      <c r="A4677" s="12" t="inlineStr">
        <is>
          <t>PO-2023-4675</t>
        </is>
      </c>
      <c r="B4677" s="26" t="n">
        <v>44459</v>
      </c>
      <c r="C4677" s="12" t="inlineStr">
        <is>
          <t>VS09</t>
        </is>
      </c>
      <c r="D4677" s="12" t="inlineStr">
        <is>
          <t>MS Pipes</t>
        </is>
      </c>
      <c r="E4677" s="12" t="inlineStr">
        <is>
          <t>N</t>
        </is>
      </c>
      <c r="F4677" s="12" t="n">
        <v>44.35</v>
      </c>
      <c r="G4677" s="17" t="n">
        <v>119421.76</v>
      </c>
      <c r="H4677" s="26" t="n">
        <v>44474</v>
      </c>
      <c r="I4677" s="26" t="n">
        <v>44475</v>
      </c>
      <c r="J4677" s="12" t="n">
        <v>44.12</v>
      </c>
      <c r="K4677" s="17" t="n">
        <v>5296355.06</v>
      </c>
      <c r="L4677" s="12" t="n">
        <v>0</v>
      </c>
      <c r="M4677" s="12" t="n">
        <v>0</v>
      </c>
      <c r="N4677" s="27">
        <f>F4677-J4677</f>
        <v/>
      </c>
      <c r="O4677" s="16">
        <f>I4677-H4677</f>
        <v/>
      </c>
      <c r="P4677" s="14">
        <f>F4677*G4677</f>
        <v/>
      </c>
      <c r="Q4677" s="14">
        <f>J4677*G4677</f>
        <v/>
      </c>
      <c r="R4677" s="14">
        <f>K4677-Q4677</f>
        <v/>
      </c>
      <c r="S4677" s="3">
        <f>P4677*Assumptions!$B$3/100</f>
        <v/>
      </c>
      <c r="T4677" s="14">
        <f>R4677-S4677</f>
        <v/>
      </c>
      <c r="U4677" s="14">
        <f>L4677*G4677</f>
        <v/>
      </c>
    </row>
    <row r="4678">
      <c r="A4678" s="12" t="inlineStr">
        <is>
          <t>PO-2023-4676</t>
        </is>
      </c>
      <c r="B4678" s="26" t="n">
        <v>44593</v>
      </c>
      <c r="C4678" s="12" t="inlineStr">
        <is>
          <t>VS25</t>
        </is>
      </c>
      <c r="D4678" s="12" t="inlineStr">
        <is>
          <t>MS Pipes</t>
        </is>
      </c>
      <c r="E4678" s="12" t="inlineStr">
        <is>
          <t>N</t>
        </is>
      </c>
      <c r="F4678" s="12" t="n">
        <v>46.18</v>
      </c>
      <c r="G4678" s="17" t="n">
        <v>81149.58</v>
      </c>
      <c r="H4678" s="26" t="n">
        <v>44605</v>
      </c>
      <c r="I4678" s="26" t="n">
        <v>44607</v>
      </c>
      <c r="J4678" s="12" t="n">
        <v>46</v>
      </c>
      <c r="K4678" s="17" t="n">
        <v>3747487.6</v>
      </c>
      <c r="L4678" s="12" t="n">
        <v>0</v>
      </c>
      <c r="M4678" s="12" t="n">
        <v>24</v>
      </c>
      <c r="N4678" s="27">
        <f>F4678-J4678</f>
        <v/>
      </c>
      <c r="O4678" s="16">
        <f>I4678-H4678</f>
        <v/>
      </c>
      <c r="P4678" s="14">
        <f>F4678*G4678</f>
        <v/>
      </c>
      <c r="Q4678" s="14">
        <f>J4678*G4678</f>
        <v/>
      </c>
      <c r="R4678" s="14">
        <f>K4678-Q4678</f>
        <v/>
      </c>
      <c r="S4678" s="3">
        <f>P4678*Assumptions!$B$3/100</f>
        <v/>
      </c>
      <c r="T4678" s="14">
        <f>R4678-S4678</f>
        <v/>
      </c>
      <c r="U4678" s="14">
        <f>L4678*G4678</f>
        <v/>
      </c>
    </row>
    <row r="4679">
      <c r="A4679" s="12" t="inlineStr">
        <is>
          <t>PO-2023-4677</t>
        </is>
      </c>
      <c r="B4679" s="26" t="n">
        <v>44764</v>
      </c>
      <c r="C4679" s="12" t="inlineStr">
        <is>
          <t>VS29</t>
        </is>
      </c>
      <c r="D4679" s="12" t="inlineStr">
        <is>
          <t>SS Pipes</t>
        </is>
      </c>
      <c r="E4679" s="12" t="inlineStr">
        <is>
          <t>N</t>
        </is>
      </c>
      <c r="F4679" s="12" t="n">
        <v>37.93</v>
      </c>
      <c r="G4679" s="17" t="n">
        <v>91154.89999999999</v>
      </c>
      <c r="H4679" s="26" t="n">
        <v>44770</v>
      </c>
      <c r="I4679" s="26" t="n">
        <v>44772</v>
      </c>
      <c r="J4679" s="12" t="n">
        <v>37.75</v>
      </c>
      <c r="K4679" s="17" t="n">
        <v>3457505.36</v>
      </c>
      <c r="L4679" s="12" t="n">
        <v>0</v>
      </c>
      <c r="M4679" s="12" t="n">
        <v>5</v>
      </c>
      <c r="N4679" s="27">
        <f>F4679-J4679</f>
        <v/>
      </c>
      <c r="O4679" s="16">
        <f>I4679-H4679</f>
        <v/>
      </c>
      <c r="P4679" s="14">
        <f>F4679*G4679</f>
        <v/>
      </c>
      <c r="Q4679" s="14">
        <f>J4679*G4679</f>
        <v/>
      </c>
      <c r="R4679" s="14">
        <f>K4679-Q4679</f>
        <v/>
      </c>
      <c r="S4679" s="3">
        <f>P4679*Assumptions!$B$3/100</f>
        <v/>
      </c>
      <c r="T4679" s="14">
        <f>R4679-S4679</f>
        <v/>
      </c>
      <c r="U4679" s="14">
        <f>L4679*G4679</f>
        <v/>
      </c>
    </row>
    <row r="4680">
      <c r="A4680" s="12" t="inlineStr">
        <is>
          <t>PO-2023-4678</t>
        </is>
      </c>
      <c r="B4680" s="26" t="n">
        <v>45239</v>
      </c>
      <c r="C4680" s="12" t="inlineStr">
        <is>
          <t>VS02</t>
        </is>
      </c>
      <c r="D4680" s="12" t="inlineStr">
        <is>
          <t>GI Sheets</t>
        </is>
      </c>
      <c r="E4680" s="12" t="inlineStr">
        <is>
          <t>N</t>
        </is>
      </c>
      <c r="F4680" s="12" t="n">
        <v>17.13</v>
      </c>
      <c r="G4680" s="17" t="n">
        <v>101994.6</v>
      </c>
      <c r="H4680" s="26" t="n">
        <v>45253</v>
      </c>
      <c r="I4680" s="26" t="n">
        <v>45254</v>
      </c>
      <c r="J4680" s="12" t="n">
        <v>17.11</v>
      </c>
      <c r="K4680" s="17" t="n">
        <v>1747167.5</v>
      </c>
      <c r="L4680" s="12" t="n">
        <v>0</v>
      </c>
      <c r="M4680" s="12" t="n">
        <v>3</v>
      </c>
      <c r="N4680" s="27">
        <f>F4680-J4680</f>
        <v/>
      </c>
      <c r="O4680" s="16">
        <f>I4680-H4680</f>
        <v/>
      </c>
      <c r="P4680" s="14">
        <f>F4680*G4680</f>
        <v/>
      </c>
      <c r="Q4680" s="14">
        <f>J4680*G4680</f>
        <v/>
      </c>
      <c r="R4680" s="14">
        <f>K4680-Q4680</f>
        <v/>
      </c>
      <c r="S4680" s="3">
        <f>P4680*Assumptions!$B$3/100</f>
        <v/>
      </c>
      <c r="T4680" s="14">
        <f>R4680-S4680</f>
        <v/>
      </c>
      <c r="U4680" s="14">
        <f>L4680*G4680</f>
        <v/>
      </c>
    </row>
    <row r="4681">
      <c r="A4681" s="12" t="inlineStr">
        <is>
          <t>PO-2023-4679</t>
        </is>
      </c>
      <c r="B4681" s="26" t="n">
        <v>44722</v>
      </c>
      <c r="C4681" s="12" t="inlineStr">
        <is>
          <t>VS34</t>
        </is>
      </c>
      <c r="D4681" s="12" t="inlineStr">
        <is>
          <t>MS Flats</t>
        </is>
      </c>
      <c r="E4681" s="12" t="inlineStr">
        <is>
          <t>N</t>
        </is>
      </c>
      <c r="F4681" s="12" t="n">
        <v>36.76</v>
      </c>
      <c r="G4681" s="17" t="n">
        <v>87008.96000000001</v>
      </c>
      <c r="H4681" s="26" t="n">
        <v>44736</v>
      </c>
      <c r="I4681" s="26" t="n">
        <v>44738</v>
      </c>
      <c r="J4681" s="12" t="n">
        <v>36.71</v>
      </c>
      <c r="K4681" s="17" t="n">
        <v>3198449.37</v>
      </c>
      <c r="L4681" s="12" t="n">
        <v>0</v>
      </c>
      <c r="M4681" s="12" t="n">
        <v>21</v>
      </c>
      <c r="N4681" s="27">
        <f>F4681-J4681</f>
        <v/>
      </c>
      <c r="O4681" s="16">
        <f>I4681-H4681</f>
        <v/>
      </c>
      <c r="P4681" s="14">
        <f>F4681*G4681</f>
        <v/>
      </c>
      <c r="Q4681" s="14">
        <f>J4681*G4681</f>
        <v/>
      </c>
      <c r="R4681" s="14">
        <f>K4681-Q4681</f>
        <v/>
      </c>
      <c r="S4681" s="3">
        <f>P4681*Assumptions!$B$3/100</f>
        <v/>
      </c>
      <c r="T4681" s="14">
        <f>R4681-S4681</f>
        <v/>
      </c>
      <c r="U4681" s="14">
        <f>L4681*G4681</f>
        <v/>
      </c>
    </row>
    <row r="4682">
      <c r="A4682" s="12" t="inlineStr">
        <is>
          <t>PO-2023-4680</t>
        </is>
      </c>
      <c r="B4682" s="26" t="n">
        <v>44790</v>
      </c>
      <c r="C4682" s="12" t="inlineStr">
        <is>
          <t>VS20</t>
        </is>
      </c>
      <c r="D4682" s="12" t="inlineStr">
        <is>
          <t>SS Pipes</t>
        </is>
      </c>
      <c r="E4682" s="12" t="inlineStr">
        <is>
          <t>N</t>
        </is>
      </c>
      <c r="F4682" s="12" t="n">
        <v>29.87</v>
      </c>
      <c r="G4682" s="17" t="n">
        <v>101511.42</v>
      </c>
      <c r="H4682" s="26" t="n">
        <v>44797</v>
      </c>
      <c r="I4682" s="26" t="n">
        <v>44799</v>
      </c>
      <c r="J4682" s="12" t="n">
        <v>29.63</v>
      </c>
      <c r="K4682" s="17" t="n">
        <v>3032146.12</v>
      </c>
      <c r="L4682" s="12" t="n">
        <v>0</v>
      </c>
      <c r="M4682" s="12" t="n">
        <v>10</v>
      </c>
      <c r="N4682" s="27">
        <f>F4682-J4682</f>
        <v/>
      </c>
      <c r="O4682" s="16">
        <f>I4682-H4682</f>
        <v/>
      </c>
      <c r="P4682" s="14">
        <f>F4682*G4682</f>
        <v/>
      </c>
      <c r="Q4682" s="14">
        <f>J4682*G4682</f>
        <v/>
      </c>
      <c r="R4682" s="14">
        <f>K4682-Q4682</f>
        <v/>
      </c>
      <c r="S4682" s="3">
        <f>P4682*Assumptions!$B$3/100</f>
        <v/>
      </c>
      <c r="T4682" s="14">
        <f>R4682-S4682</f>
        <v/>
      </c>
      <c r="U4682" s="14">
        <f>L4682*G4682</f>
        <v/>
      </c>
    </row>
    <row r="4683">
      <c r="A4683" s="12" t="inlineStr">
        <is>
          <t>PO-2023-4681</t>
        </is>
      </c>
      <c r="B4683" s="26" t="n">
        <v>45138</v>
      </c>
      <c r="C4683" s="12" t="inlineStr">
        <is>
          <t>VS04</t>
        </is>
      </c>
      <c r="D4683" s="12" t="inlineStr">
        <is>
          <t>Angles &amp; Channels</t>
        </is>
      </c>
      <c r="E4683" s="12" t="inlineStr">
        <is>
          <t>N</t>
        </is>
      </c>
      <c r="F4683" s="12" t="n">
        <v>12.43</v>
      </c>
      <c r="G4683" s="17" t="n">
        <v>78037.48</v>
      </c>
      <c r="H4683" s="26" t="n">
        <v>45149</v>
      </c>
      <c r="I4683" s="26" t="n">
        <v>45151</v>
      </c>
      <c r="J4683" s="12" t="n">
        <v>12.39</v>
      </c>
      <c r="K4683" s="17" t="n">
        <v>970005.88</v>
      </c>
      <c r="L4683" s="12" t="n">
        <v>0</v>
      </c>
      <c r="M4683" s="12" t="n">
        <v>9</v>
      </c>
      <c r="N4683" s="27">
        <f>F4683-J4683</f>
        <v/>
      </c>
      <c r="O4683" s="16">
        <f>I4683-H4683</f>
        <v/>
      </c>
      <c r="P4683" s="14">
        <f>F4683*G4683</f>
        <v/>
      </c>
      <c r="Q4683" s="14">
        <f>J4683*G4683</f>
        <v/>
      </c>
      <c r="R4683" s="14">
        <f>K4683-Q4683</f>
        <v/>
      </c>
      <c r="S4683" s="3">
        <f>P4683*Assumptions!$B$3/100</f>
        <v/>
      </c>
      <c r="T4683" s="14">
        <f>R4683-S4683</f>
        <v/>
      </c>
      <c r="U4683" s="14">
        <f>L4683*G4683</f>
        <v/>
      </c>
    </row>
    <row r="4684">
      <c r="A4684" s="12" t="inlineStr">
        <is>
          <t>PO-2023-4682</t>
        </is>
      </c>
      <c r="B4684" s="26" t="n">
        <v>44687</v>
      </c>
      <c r="C4684" s="12" t="inlineStr">
        <is>
          <t>VS23</t>
        </is>
      </c>
      <c r="D4684" s="12" t="inlineStr">
        <is>
          <t>SS Pipes</t>
        </is>
      </c>
      <c r="E4684" s="12" t="inlineStr">
        <is>
          <t>N</t>
        </is>
      </c>
      <c r="F4684" s="12" t="n">
        <v>47.91</v>
      </c>
      <c r="G4684" s="17" t="n">
        <v>75662.95</v>
      </c>
      <c r="H4684" s="26" t="n">
        <v>44693</v>
      </c>
      <c r="I4684" s="26" t="n">
        <v>44693</v>
      </c>
      <c r="J4684" s="12" t="n">
        <v>47.75</v>
      </c>
      <c r="K4684" s="17" t="n">
        <v>3625011.93</v>
      </c>
      <c r="L4684" s="12" t="n">
        <v>0</v>
      </c>
      <c r="M4684" s="12" t="n">
        <v>11</v>
      </c>
      <c r="N4684" s="27">
        <f>F4684-J4684</f>
        <v/>
      </c>
      <c r="O4684" s="16">
        <f>I4684-H4684</f>
        <v/>
      </c>
      <c r="P4684" s="14">
        <f>F4684*G4684</f>
        <v/>
      </c>
      <c r="Q4684" s="14">
        <f>J4684*G4684</f>
        <v/>
      </c>
      <c r="R4684" s="14">
        <f>K4684-Q4684</f>
        <v/>
      </c>
      <c r="S4684" s="3">
        <f>P4684*Assumptions!$B$3/100</f>
        <v/>
      </c>
      <c r="T4684" s="14">
        <f>R4684-S4684</f>
        <v/>
      </c>
      <c r="U4684" s="14">
        <f>L4684*G4684</f>
        <v/>
      </c>
    </row>
    <row r="4685">
      <c r="A4685" s="12" t="inlineStr">
        <is>
          <t>PO-2023-4683</t>
        </is>
      </c>
      <c r="B4685" s="26" t="n">
        <v>44312</v>
      </c>
      <c r="C4685" s="12" t="inlineStr">
        <is>
          <t>VS22</t>
        </is>
      </c>
      <c r="D4685" s="12" t="inlineStr">
        <is>
          <t>HR Coils</t>
        </is>
      </c>
      <c r="E4685" s="12" t="inlineStr">
        <is>
          <t>N</t>
        </is>
      </c>
      <c r="F4685" s="12" t="n">
        <v>7.18</v>
      </c>
      <c r="G4685" s="17" t="n">
        <v>99761.53</v>
      </c>
      <c r="H4685" s="26" t="n">
        <v>44322</v>
      </c>
      <c r="I4685" s="26" t="n">
        <v>44324</v>
      </c>
      <c r="J4685" s="12" t="n">
        <v>7.16</v>
      </c>
      <c r="K4685" s="17" t="n">
        <v>716287.79</v>
      </c>
      <c r="L4685" s="12" t="n">
        <v>0</v>
      </c>
      <c r="M4685" s="12" t="n">
        <v>19</v>
      </c>
      <c r="N4685" s="27">
        <f>F4685-J4685</f>
        <v/>
      </c>
      <c r="O4685" s="16">
        <f>I4685-H4685</f>
        <v/>
      </c>
      <c r="P4685" s="14">
        <f>F4685*G4685</f>
        <v/>
      </c>
      <c r="Q4685" s="14">
        <f>J4685*G4685</f>
        <v/>
      </c>
      <c r="R4685" s="14">
        <f>K4685-Q4685</f>
        <v/>
      </c>
      <c r="S4685" s="3">
        <f>P4685*Assumptions!$B$3/100</f>
        <v/>
      </c>
      <c r="T4685" s="14">
        <f>R4685-S4685</f>
        <v/>
      </c>
      <c r="U4685" s="14">
        <f>L4685*G4685</f>
        <v/>
      </c>
    </row>
    <row r="4686">
      <c r="A4686" s="12" t="inlineStr">
        <is>
          <t>PO-2023-4684</t>
        </is>
      </c>
      <c r="B4686" s="26" t="n">
        <v>44213</v>
      </c>
      <c r="C4686" s="12" t="inlineStr">
        <is>
          <t>VS17</t>
        </is>
      </c>
      <c r="D4686" s="12" t="inlineStr">
        <is>
          <t>Hex Bars</t>
        </is>
      </c>
      <c r="E4686" s="12" t="inlineStr">
        <is>
          <t>N</t>
        </is>
      </c>
      <c r="F4686" s="12" t="n">
        <v>38.2</v>
      </c>
      <c r="G4686" s="17" t="n">
        <v>75300.91</v>
      </c>
      <c r="H4686" s="26" t="n">
        <v>44226</v>
      </c>
      <c r="I4686" s="26" t="n">
        <v>44228</v>
      </c>
      <c r="J4686" s="12" t="n">
        <v>37.96</v>
      </c>
      <c r="K4686" s="17" t="n">
        <v>2876494.76</v>
      </c>
      <c r="L4686" s="12" t="n">
        <v>0</v>
      </c>
      <c r="M4686" s="12" t="n">
        <v>0</v>
      </c>
      <c r="N4686" s="27">
        <f>F4686-J4686</f>
        <v/>
      </c>
      <c r="O4686" s="16">
        <f>I4686-H4686</f>
        <v/>
      </c>
      <c r="P4686" s="14">
        <f>F4686*G4686</f>
        <v/>
      </c>
      <c r="Q4686" s="14">
        <f>J4686*G4686</f>
        <v/>
      </c>
      <c r="R4686" s="14">
        <f>K4686-Q4686</f>
        <v/>
      </c>
      <c r="S4686" s="3">
        <f>P4686*Assumptions!$B$3/100</f>
        <v/>
      </c>
      <c r="T4686" s="14">
        <f>R4686-S4686</f>
        <v/>
      </c>
      <c r="U4686" s="14">
        <f>L4686*G4686</f>
        <v/>
      </c>
    </row>
    <row r="4687">
      <c r="A4687" s="12" t="inlineStr">
        <is>
          <t>PO-2023-4685</t>
        </is>
      </c>
      <c r="B4687" s="26" t="n">
        <v>45279</v>
      </c>
      <c r="C4687" s="12" t="inlineStr">
        <is>
          <t>VS27</t>
        </is>
      </c>
      <c r="D4687" s="12" t="inlineStr">
        <is>
          <t>MS Flats</t>
        </is>
      </c>
      <c r="E4687" s="12" t="inlineStr">
        <is>
          <t>N</t>
        </is>
      </c>
      <c r="F4687" s="12" t="n">
        <v>19.62</v>
      </c>
      <c r="G4687" s="17" t="n">
        <v>94562.21000000001</v>
      </c>
      <c r="H4687" s="26" t="n">
        <v>45291</v>
      </c>
      <c r="I4687" s="26" t="n">
        <v>45291</v>
      </c>
      <c r="J4687" s="12" t="n">
        <v>19.5</v>
      </c>
      <c r="K4687" s="17" t="n">
        <v>1855310.56</v>
      </c>
      <c r="L4687" s="12" t="n">
        <v>0</v>
      </c>
      <c r="M4687" s="12" t="n">
        <v>15</v>
      </c>
      <c r="N4687" s="27">
        <f>F4687-J4687</f>
        <v/>
      </c>
      <c r="O4687" s="16">
        <f>I4687-H4687</f>
        <v/>
      </c>
      <c r="P4687" s="14">
        <f>F4687*G4687</f>
        <v/>
      </c>
      <c r="Q4687" s="14">
        <f>J4687*G4687</f>
        <v/>
      </c>
      <c r="R4687" s="14">
        <f>K4687-Q4687</f>
        <v/>
      </c>
      <c r="S4687" s="3">
        <f>P4687*Assumptions!$B$3/100</f>
        <v/>
      </c>
      <c r="T4687" s="14">
        <f>R4687-S4687</f>
        <v/>
      </c>
      <c r="U4687" s="14">
        <f>L4687*G4687</f>
        <v/>
      </c>
    </row>
    <row r="4688">
      <c r="A4688" s="12" t="inlineStr">
        <is>
          <t>PO-2023-4686</t>
        </is>
      </c>
      <c r="B4688" s="26" t="n">
        <v>44538</v>
      </c>
      <c r="C4688" s="12" t="inlineStr">
        <is>
          <t>VS24</t>
        </is>
      </c>
      <c r="D4688" s="12" t="inlineStr">
        <is>
          <t>Spring Steel</t>
        </is>
      </c>
      <c r="E4688" s="12" t="inlineStr">
        <is>
          <t>Y</t>
        </is>
      </c>
      <c r="F4688" s="12" t="n">
        <v>33.51</v>
      </c>
      <c r="G4688" s="17" t="n">
        <v>110447.82</v>
      </c>
      <c r="H4688" s="26" t="n">
        <v>44543</v>
      </c>
      <c r="I4688" s="26" t="n">
        <v>44545</v>
      </c>
      <c r="J4688" s="12" t="n">
        <v>33.51</v>
      </c>
      <c r="K4688" s="17" t="n">
        <v>3701106.45</v>
      </c>
      <c r="L4688" s="12" t="n">
        <v>0</v>
      </c>
      <c r="M4688" s="12" t="n">
        <v>14</v>
      </c>
      <c r="N4688" s="27">
        <f>F4688-J4688</f>
        <v/>
      </c>
      <c r="O4688" s="16">
        <f>I4688-H4688</f>
        <v/>
      </c>
      <c r="P4688" s="14">
        <f>F4688*G4688</f>
        <v/>
      </c>
      <c r="Q4688" s="14">
        <f>J4688*G4688</f>
        <v/>
      </c>
      <c r="R4688" s="14">
        <f>K4688-Q4688</f>
        <v/>
      </c>
      <c r="S4688" s="3">
        <f>P4688*Assumptions!$B$3/100</f>
        <v/>
      </c>
      <c r="T4688" s="14">
        <f>R4688-S4688</f>
        <v/>
      </c>
      <c r="U4688" s="14">
        <f>L4688*G4688</f>
        <v/>
      </c>
    </row>
    <row r="4689">
      <c r="A4689" s="12" t="inlineStr">
        <is>
          <t>PO-2023-4687</t>
        </is>
      </c>
      <c r="B4689" s="26" t="n">
        <v>45273</v>
      </c>
      <c r="C4689" s="12" t="inlineStr">
        <is>
          <t>VS11</t>
        </is>
      </c>
      <c r="D4689" s="12" t="inlineStr">
        <is>
          <t>Spring Steel</t>
        </is>
      </c>
      <c r="E4689" s="12" t="inlineStr">
        <is>
          <t>N</t>
        </is>
      </c>
      <c r="F4689" s="12" t="n">
        <v>45.15</v>
      </c>
      <c r="G4689" s="17" t="n">
        <v>102010.24</v>
      </c>
      <c r="H4689" s="26" t="n">
        <v>45277</v>
      </c>
      <c r="I4689" s="26" t="n">
        <v>45280</v>
      </c>
      <c r="J4689" s="12" t="n">
        <v>45.02</v>
      </c>
      <c r="K4689" s="17" t="n">
        <v>4605762.34</v>
      </c>
      <c r="L4689" s="12" t="n">
        <v>0</v>
      </c>
      <c r="M4689" s="12" t="n">
        <v>0</v>
      </c>
      <c r="N4689" s="27">
        <f>F4689-J4689</f>
        <v/>
      </c>
      <c r="O4689" s="16">
        <f>I4689-H4689</f>
        <v/>
      </c>
      <c r="P4689" s="14">
        <f>F4689*G4689</f>
        <v/>
      </c>
      <c r="Q4689" s="14">
        <f>J4689*G4689</f>
        <v/>
      </c>
      <c r="R4689" s="14">
        <f>K4689-Q4689</f>
        <v/>
      </c>
      <c r="S4689" s="3">
        <f>P4689*Assumptions!$B$3/100</f>
        <v/>
      </c>
      <c r="T4689" s="14">
        <f>R4689-S4689</f>
        <v/>
      </c>
      <c r="U4689" s="14">
        <f>L4689*G4689</f>
        <v/>
      </c>
    </row>
    <row r="4690">
      <c r="A4690" s="12" t="inlineStr">
        <is>
          <t>PO-2023-4688</t>
        </is>
      </c>
      <c r="B4690" s="26" t="n">
        <v>45276</v>
      </c>
      <c r="C4690" s="12" t="inlineStr">
        <is>
          <t>VS14</t>
        </is>
      </c>
      <c r="D4690" s="12" t="inlineStr">
        <is>
          <t>Square/Rect Tubes</t>
        </is>
      </c>
      <c r="E4690" s="12" t="inlineStr">
        <is>
          <t>N</t>
        </is>
      </c>
      <c r="F4690" s="12" t="n">
        <v>13.03</v>
      </c>
      <c r="G4690" s="17" t="n">
        <v>60725.14</v>
      </c>
      <c r="H4690" s="26" t="n">
        <v>45285</v>
      </c>
      <c r="I4690" s="26" t="n">
        <v>45285</v>
      </c>
      <c r="J4690" s="12" t="n">
        <v>12.97</v>
      </c>
      <c r="K4690" s="17" t="n">
        <v>791248.5699999999</v>
      </c>
      <c r="L4690" s="12" t="n">
        <v>0</v>
      </c>
      <c r="M4690" s="12" t="n">
        <v>0</v>
      </c>
      <c r="N4690" s="27">
        <f>F4690-J4690</f>
        <v/>
      </c>
      <c r="O4690" s="16">
        <f>I4690-H4690</f>
        <v/>
      </c>
      <c r="P4690" s="14">
        <f>F4690*G4690</f>
        <v/>
      </c>
      <c r="Q4690" s="14">
        <f>J4690*G4690</f>
        <v/>
      </c>
      <c r="R4690" s="14">
        <f>K4690-Q4690</f>
        <v/>
      </c>
      <c r="S4690" s="3">
        <f>P4690*Assumptions!$B$3/100</f>
        <v/>
      </c>
      <c r="T4690" s="14">
        <f>R4690-S4690</f>
        <v/>
      </c>
      <c r="U4690" s="14">
        <f>L4690*G4690</f>
        <v/>
      </c>
    </row>
    <row r="4691">
      <c r="A4691" s="12" t="inlineStr">
        <is>
          <t>PO-2023-4689</t>
        </is>
      </c>
      <c r="B4691" s="26" t="n">
        <v>45241</v>
      </c>
      <c r="C4691" s="12" t="inlineStr">
        <is>
          <t>VS33</t>
        </is>
      </c>
      <c r="D4691" s="12" t="inlineStr">
        <is>
          <t>MS Flats</t>
        </is>
      </c>
      <c r="E4691" s="12" t="inlineStr">
        <is>
          <t>Y</t>
        </is>
      </c>
      <c r="F4691" s="12" t="n">
        <v>21.93</v>
      </c>
      <c r="G4691" s="17" t="n">
        <v>99561.98</v>
      </c>
      <c r="H4691" s="26" t="n">
        <v>45254</v>
      </c>
      <c r="I4691" s="26" t="n">
        <v>45257</v>
      </c>
      <c r="J4691" s="12" t="n">
        <v>21.9</v>
      </c>
      <c r="K4691" s="17" t="n">
        <v>2183394.22</v>
      </c>
      <c r="L4691" s="12" t="n">
        <v>0</v>
      </c>
      <c r="M4691" s="12" t="n">
        <v>0</v>
      </c>
      <c r="N4691" s="27">
        <f>F4691-J4691</f>
        <v/>
      </c>
      <c r="O4691" s="16">
        <f>I4691-H4691</f>
        <v/>
      </c>
      <c r="P4691" s="14">
        <f>F4691*G4691</f>
        <v/>
      </c>
      <c r="Q4691" s="14">
        <f>J4691*G4691</f>
        <v/>
      </c>
      <c r="R4691" s="14">
        <f>K4691-Q4691</f>
        <v/>
      </c>
      <c r="S4691" s="3">
        <f>P4691*Assumptions!$B$3/100</f>
        <v/>
      </c>
      <c r="T4691" s="14">
        <f>R4691-S4691</f>
        <v/>
      </c>
      <c r="U4691" s="14">
        <f>L4691*G4691</f>
        <v/>
      </c>
    </row>
    <row r="4692">
      <c r="A4692" s="12" t="inlineStr">
        <is>
          <t>PO-2023-4690</t>
        </is>
      </c>
      <c r="B4692" s="26" t="n">
        <v>45062</v>
      </c>
      <c r="C4692" s="12" t="inlineStr">
        <is>
          <t>VS32</t>
        </is>
      </c>
      <c r="D4692" s="12" t="inlineStr">
        <is>
          <t>GI Wire</t>
        </is>
      </c>
      <c r="E4692" s="12" t="inlineStr">
        <is>
          <t>N</t>
        </is>
      </c>
      <c r="F4692" s="12" t="n">
        <v>32.32</v>
      </c>
      <c r="G4692" s="17" t="n">
        <v>82678.64</v>
      </c>
      <c r="H4692" s="26" t="n">
        <v>45074</v>
      </c>
      <c r="I4692" s="26" t="n">
        <v>45075</v>
      </c>
      <c r="J4692" s="12" t="n">
        <v>32.31</v>
      </c>
      <c r="K4692" s="17" t="n">
        <v>2672173.64</v>
      </c>
      <c r="L4692" s="12" t="n">
        <v>0</v>
      </c>
      <c r="M4692" s="12" t="n">
        <v>0</v>
      </c>
      <c r="N4692" s="27">
        <f>F4692-J4692</f>
        <v/>
      </c>
      <c r="O4692" s="16">
        <f>I4692-H4692</f>
        <v/>
      </c>
      <c r="P4692" s="14">
        <f>F4692*G4692</f>
        <v/>
      </c>
      <c r="Q4692" s="14">
        <f>J4692*G4692</f>
        <v/>
      </c>
      <c r="R4692" s="14">
        <f>K4692-Q4692</f>
        <v/>
      </c>
      <c r="S4692" s="3">
        <f>P4692*Assumptions!$B$3/100</f>
        <v/>
      </c>
      <c r="T4692" s="14">
        <f>R4692-S4692</f>
        <v/>
      </c>
      <c r="U4692" s="14">
        <f>L4692*G4692</f>
        <v/>
      </c>
    </row>
    <row r="4693">
      <c r="A4693" s="12" t="inlineStr">
        <is>
          <t>PO-2023-4691</t>
        </is>
      </c>
      <c r="B4693" s="26" t="n">
        <v>45014</v>
      </c>
      <c r="C4693" s="12" t="inlineStr">
        <is>
          <t>VS18</t>
        </is>
      </c>
      <c r="D4693" s="12" t="inlineStr">
        <is>
          <t>MS Flats</t>
        </is>
      </c>
      <c r="E4693" s="12" t="inlineStr">
        <is>
          <t>N</t>
        </is>
      </c>
      <c r="F4693" s="12" t="n">
        <v>40.28</v>
      </c>
      <c r="G4693" s="17" t="n">
        <v>61410.82</v>
      </c>
      <c r="H4693" s="26" t="n">
        <v>45021</v>
      </c>
      <c r="I4693" s="26" t="n">
        <v>45022</v>
      </c>
      <c r="J4693" s="12" t="n">
        <v>39.96</v>
      </c>
      <c r="K4693" s="17" t="n">
        <v>2473627.83</v>
      </c>
      <c r="L4693" s="12" t="n">
        <v>0</v>
      </c>
      <c r="M4693" s="12" t="n">
        <v>0</v>
      </c>
      <c r="N4693" s="27">
        <f>F4693-J4693</f>
        <v/>
      </c>
      <c r="O4693" s="16">
        <f>I4693-H4693</f>
        <v/>
      </c>
      <c r="P4693" s="14">
        <f>F4693*G4693</f>
        <v/>
      </c>
      <c r="Q4693" s="14">
        <f>J4693*G4693</f>
        <v/>
      </c>
      <c r="R4693" s="14">
        <f>K4693-Q4693</f>
        <v/>
      </c>
      <c r="S4693" s="3">
        <f>P4693*Assumptions!$B$3/100</f>
        <v/>
      </c>
      <c r="T4693" s="14">
        <f>R4693-S4693</f>
        <v/>
      </c>
      <c r="U4693" s="14">
        <f>L4693*G4693</f>
        <v/>
      </c>
    </row>
    <row r="4694">
      <c r="A4694" s="12" t="inlineStr">
        <is>
          <t>PO-2023-4692</t>
        </is>
      </c>
      <c r="B4694" s="26" t="n">
        <v>44771</v>
      </c>
      <c r="C4694" s="12" t="inlineStr">
        <is>
          <t>VS21</t>
        </is>
      </c>
      <c r="D4694" s="12" t="inlineStr">
        <is>
          <t>Structural Steel</t>
        </is>
      </c>
      <c r="E4694" s="12" t="inlineStr">
        <is>
          <t>N</t>
        </is>
      </c>
      <c r="F4694" s="12" t="n">
        <v>17.4</v>
      </c>
      <c r="G4694" s="17" t="n">
        <v>50951.21</v>
      </c>
      <c r="H4694" s="26" t="n">
        <v>44779</v>
      </c>
      <c r="I4694" s="26" t="n">
        <v>44780</v>
      </c>
      <c r="J4694" s="12" t="n">
        <v>17.37</v>
      </c>
      <c r="K4694" s="17" t="n">
        <v>886551.05</v>
      </c>
      <c r="L4694" s="12" t="n">
        <v>0</v>
      </c>
      <c r="M4694" s="12" t="n">
        <v>1</v>
      </c>
      <c r="N4694" s="27">
        <f>F4694-J4694</f>
        <v/>
      </c>
      <c r="O4694" s="16">
        <f>I4694-H4694</f>
        <v/>
      </c>
      <c r="P4694" s="14">
        <f>F4694*G4694</f>
        <v/>
      </c>
      <c r="Q4694" s="14">
        <f>J4694*G4694</f>
        <v/>
      </c>
      <c r="R4694" s="14">
        <f>K4694-Q4694</f>
        <v/>
      </c>
      <c r="S4694" s="3">
        <f>P4694*Assumptions!$B$3/100</f>
        <v/>
      </c>
      <c r="T4694" s="14">
        <f>R4694-S4694</f>
        <v/>
      </c>
      <c r="U4694" s="14">
        <f>L4694*G4694</f>
        <v/>
      </c>
    </row>
    <row r="4695">
      <c r="A4695" s="12" t="inlineStr">
        <is>
          <t>PO-2023-4693</t>
        </is>
      </c>
      <c r="B4695" s="26" t="n">
        <v>44607</v>
      </c>
      <c r="C4695" s="12" t="inlineStr">
        <is>
          <t>VS06</t>
        </is>
      </c>
      <c r="D4695" s="12" t="inlineStr">
        <is>
          <t>Structural Steel</t>
        </is>
      </c>
      <c r="E4695" s="12" t="inlineStr">
        <is>
          <t>N</t>
        </is>
      </c>
      <c r="F4695" s="12" t="n">
        <v>16.8</v>
      </c>
      <c r="G4695" s="17" t="n">
        <v>70845.97</v>
      </c>
      <c r="H4695" s="26" t="n">
        <v>44622</v>
      </c>
      <c r="I4695" s="26" t="n">
        <v>44623</v>
      </c>
      <c r="J4695" s="12" t="n">
        <v>16.77</v>
      </c>
      <c r="K4695" s="17" t="n">
        <v>1190212.3</v>
      </c>
      <c r="L4695" s="12" t="n">
        <v>0</v>
      </c>
      <c r="M4695" s="12" t="n">
        <v>20</v>
      </c>
      <c r="N4695" s="27">
        <f>F4695-J4695</f>
        <v/>
      </c>
      <c r="O4695" s="16">
        <f>I4695-H4695</f>
        <v/>
      </c>
      <c r="P4695" s="14">
        <f>F4695*G4695</f>
        <v/>
      </c>
      <c r="Q4695" s="14">
        <f>J4695*G4695</f>
        <v/>
      </c>
      <c r="R4695" s="14">
        <f>K4695-Q4695</f>
        <v/>
      </c>
      <c r="S4695" s="3">
        <f>P4695*Assumptions!$B$3/100</f>
        <v/>
      </c>
      <c r="T4695" s="14">
        <f>R4695-S4695</f>
        <v/>
      </c>
      <c r="U4695" s="14">
        <f>L4695*G4695</f>
        <v/>
      </c>
    </row>
    <row r="4696">
      <c r="A4696" s="12" t="inlineStr">
        <is>
          <t>PO-2023-4694</t>
        </is>
      </c>
      <c r="B4696" s="26" t="n">
        <v>44872</v>
      </c>
      <c r="C4696" s="12" t="inlineStr">
        <is>
          <t>VS11</t>
        </is>
      </c>
      <c r="D4696" s="12" t="inlineStr">
        <is>
          <t>Hex Bars</t>
        </is>
      </c>
      <c r="E4696" s="12" t="inlineStr">
        <is>
          <t>N</t>
        </is>
      </c>
      <c r="F4696" s="12" t="n">
        <v>35.3</v>
      </c>
      <c r="G4696" s="17" t="n">
        <v>81640.85000000001</v>
      </c>
      <c r="H4696" s="26" t="n">
        <v>44883</v>
      </c>
      <c r="I4696" s="26" t="n">
        <v>44884</v>
      </c>
      <c r="J4696" s="12" t="n">
        <v>34.98</v>
      </c>
      <c r="K4696" s="17" t="n">
        <v>2881922</v>
      </c>
      <c r="L4696" s="12" t="n">
        <v>0</v>
      </c>
      <c r="M4696" s="12" t="n">
        <v>0</v>
      </c>
      <c r="N4696" s="27">
        <f>F4696-J4696</f>
        <v/>
      </c>
      <c r="O4696" s="16">
        <f>I4696-H4696</f>
        <v/>
      </c>
      <c r="P4696" s="14">
        <f>F4696*G4696</f>
        <v/>
      </c>
      <c r="Q4696" s="14">
        <f>J4696*G4696</f>
        <v/>
      </c>
      <c r="R4696" s="14">
        <f>K4696-Q4696</f>
        <v/>
      </c>
      <c r="S4696" s="3">
        <f>P4696*Assumptions!$B$3/100</f>
        <v/>
      </c>
      <c r="T4696" s="14">
        <f>R4696-S4696</f>
        <v/>
      </c>
      <c r="U4696" s="14">
        <f>L4696*G4696</f>
        <v/>
      </c>
    </row>
    <row r="4697">
      <c r="A4697" s="12" t="inlineStr">
        <is>
          <t>PO-2023-4695</t>
        </is>
      </c>
      <c r="B4697" s="26" t="n">
        <v>45133</v>
      </c>
      <c r="C4697" s="12" t="inlineStr">
        <is>
          <t>VS18</t>
        </is>
      </c>
      <c r="D4697" s="12" t="inlineStr">
        <is>
          <t>SS Pipes</t>
        </is>
      </c>
      <c r="E4697" s="12" t="inlineStr">
        <is>
          <t>Y</t>
        </is>
      </c>
      <c r="F4697" s="12" t="n">
        <v>48.38</v>
      </c>
      <c r="G4697" s="17" t="n">
        <v>49827.75</v>
      </c>
      <c r="H4697" s="26" t="n">
        <v>45146</v>
      </c>
      <c r="I4697" s="26" t="n">
        <v>45149</v>
      </c>
      <c r="J4697" s="12" t="n">
        <v>47.9</v>
      </c>
      <c r="K4697" s="17" t="n">
        <v>2410666.54</v>
      </c>
      <c r="L4697" s="12" t="n">
        <v>0</v>
      </c>
      <c r="M4697" s="12" t="n">
        <v>0</v>
      </c>
      <c r="N4697" s="27">
        <f>F4697-J4697</f>
        <v/>
      </c>
      <c r="O4697" s="16">
        <f>I4697-H4697</f>
        <v/>
      </c>
      <c r="P4697" s="14">
        <f>F4697*G4697</f>
        <v/>
      </c>
      <c r="Q4697" s="14">
        <f>J4697*G4697</f>
        <v/>
      </c>
      <c r="R4697" s="14">
        <f>K4697-Q4697</f>
        <v/>
      </c>
      <c r="S4697" s="3">
        <f>P4697*Assumptions!$B$3/100</f>
        <v/>
      </c>
      <c r="T4697" s="14">
        <f>R4697-S4697</f>
        <v/>
      </c>
      <c r="U4697" s="14">
        <f>L4697*G4697</f>
        <v/>
      </c>
    </row>
    <row r="4698">
      <c r="A4698" s="12" t="inlineStr">
        <is>
          <t>PO-2023-4696</t>
        </is>
      </c>
      <c r="B4698" s="26" t="n">
        <v>44793</v>
      </c>
      <c r="C4698" s="12" t="inlineStr">
        <is>
          <t>VS34</t>
        </is>
      </c>
      <c r="D4698" s="12" t="inlineStr">
        <is>
          <t>MS Rods</t>
        </is>
      </c>
      <c r="E4698" s="12" t="inlineStr">
        <is>
          <t>N</t>
        </is>
      </c>
      <c r="F4698" s="12" t="n">
        <v>34.51</v>
      </c>
      <c r="G4698" s="17" t="n">
        <v>118707.02</v>
      </c>
      <c r="H4698" s="26" t="n">
        <v>44798</v>
      </c>
      <c r="I4698" s="26" t="n">
        <v>44800</v>
      </c>
      <c r="J4698" s="12" t="n">
        <v>34.17</v>
      </c>
      <c r="K4698" s="17" t="n">
        <v>4096579.26</v>
      </c>
      <c r="L4698" s="12" t="n">
        <v>0</v>
      </c>
      <c r="M4698" s="12" t="n">
        <v>0</v>
      </c>
      <c r="N4698" s="27">
        <f>F4698-J4698</f>
        <v/>
      </c>
      <c r="O4698" s="16">
        <f>I4698-H4698</f>
        <v/>
      </c>
      <c r="P4698" s="14">
        <f>F4698*G4698</f>
        <v/>
      </c>
      <c r="Q4698" s="14">
        <f>J4698*G4698</f>
        <v/>
      </c>
      <c r="R4698" s="14">
        <f>K4698-Q4698</f>
        <v/>
      </c>
      <c r="S4698" s="3">
        <f>P4698*Assumptions!$B$3/100</f>
        <v/>
      </c>
      <c r="T4698" s="14">
        <f>R4698-S4698</f>
        <v/>
      </c>
      <c r="U4698" s="14">
        <f>L4698*G4698</f>
        <v/>
      </c>
    </row>
    <row r="4699">
      <c r="A4699" s="12" t="inlineStr">
        <is>
          <t>PO-2023-4697</t>
        </is>
      </c>
      <c r="B4699" s="26" t="n">
        <v>45074</v>
      </c>
      <c r="C4699" s="12" t="inlineStr">
        <is>
          <t>VS29</t>
        </is>
      </c>
      <c r="D4699" s="12" t="inlineStr">
        <is>
          <t>MS Flats</t>
        </is>
      </c>
      <c r="E4699" s="12" t="inlineStr">
        <is>
          <t>Y</t>
        </is>
      </c>
      <c r="F4699" s="12" t="n">
        <v>38.27</v>
      </c>
      <c r="G4699" s="17" t="n">
        <v>107927.28</v>
      </c>
      <c r="H4699" s="26" t="n">
        <v>45087</v>
      </c>
      <c r="I4699" s="26" t="n">
        <v>45088</v>
      </c>
      <c r="J4699" s="12" t="n">
        <v>38.08</v>
      </c>
      <c r="K4699" s="17" t="n">
        <v>4130377.01</v>
      </c>
      <c r="L4699" s="12" t="n">
        <v>0</v>
      </c>
      <c r="M4699" s="12" t="n">
        <v>21</v>
      </c>
      <c r="N4699" s="27">
        <f>F4699-J4699</f>
        <v/>
      </c>
      <c r="O4699" s="16">
        <f>I4699-H4699</f>
        <v/>
      </c>
      <c r="P4699" s="14">
        <f>F4699*G4699</f>
        <v/>
      </c>
      <c r="Q4699" s="14">
        <f>J4699*G4699</f>
        <v/>
      </c>
      <c r="R4699" s="14">
        <f>K4699-Q4699</f>
        <v/>
      </c>
      <c r="S4699" s="3">
        <f>P4699*Assumptions!$B$3/100</f>
        <v/>
      </c>
      <c r="T4699" s="14">
        <f>R4699-S4699</f>
        <v/>
      </c>
      <c r="U4699" s="14">
        <f>L4699*G4699</f>
        <v/>
      </c>
    </row>
    <row r="4700">
      <c r="A4700" s="12" t="inlineStr">
        <is>
          <t>PO-2023-4698</t>
        </is>
      </c>
      <c r="B4700" s="26" t="n">
        <v>44438</v>
      </c>
      <c r="C4700" s="12" t="inlineStr">
        <is>
          <t>VS32</t>
        </is>
      </c>
      <c r="D4700" s="12" t="inlineStr">
        <is>
          <t>GI Wire</t>
        </is>
      </c>
      <c r="E4700" s="12" t="inlineStr">
        <is>
          <t>N</t>
        </is>
      </c>
      <c r="F4700" s="12" t="n">
        <v>13.6</v>
      </c>
      <c r="G4700" s="17" t="n">
        <v>61801.48</v>
      </c>
      <c r="H4700" s="26" t="n">
        <v>44450</v>
      </c>
      <c r="I4700" s="26" t="n">
        <v>44450</v>
      </c>
      <c r="J4700" s="12" t="n">
        <v>13.47</v>
      </c>
      <c r="K4700" s="17" t="n">
        <v>840500.13</v>
      </c>
      <c r="L4700" s="12" t="n">
        <v>0</v>
      </c>
      <c r="M4700" s="12" t="n">
        <v>17</v>
      </c>
      <c r="N4700" s="27">
        <f>F4700-J4700</f>
        <v/>
      </c>
      <c r="O4700" s="16">
        <f>I4700-H4700</f>
        <v/>
      </c>
      <c r="P4700" s="14">
        <f>F4700*G4700</f>
        <v/>
      </c>
      <c r="Q4700" s="14">
        <f>J4700*G4700</f>
        <v/>
      </c>
      <c r="R4700" s="14">
        <f>K4700-Q4700</f>
        <v/>
      </c>
      <c r="S4700" s="3">
        <f>P4700*Assumptions!$B$3/100</f>
        <v/>
      </c>
      <c r="T4700" s="14">
        <f>R4700-S4700</f>
        <v/>
      </c>
      <c r="U4700" s="14">
        <f>L4700*G4700</f>
        <v/>
      </c>
    </row>
    <row r="4701">
      <c r="A4701" s="12" t="inlineStr">
        <is>
          <t>PO-2023-4699</t>
        </is>
      </c>
      <c r="B4701" s="26" t="n">
        <v>45029</v>
      </c>
      <c r="C4701" s="12" t="inlineStr">
        <is>
          <t>VS23</t>
        </is>
      </c>
      <c r="D4701" s="12" t="inlineStr">
        <is>
          <t>MS Flats</t>
        </is>
      </c>
      <c r="E4701" s="12" t="inlineStr">
        <is>
          <t>N</t>
        </is>
      </c>
      <c r="F4701" s="12" t="n">
        <v>4.53</v>
      </c>
      <c r="G4701" s="17" t="n">
        <v>71864.28</v>
      </c>
      <c r="H4701" s="26" t="n">
        <v>45042</v>
      </c>
      <c r="I4701" s="26" t="n">
        <v>45043</v>
      </c>
      <c r="J4701" s="12" t="n">
        <v>4.52</v>
      </c>
      <c r="K4701" s="17" t="n">
        <v>325545.19</v>
      </c>
      <c r="L4701" s="12" t="n">
        <v>0</v>
      </c>
      <c r="M4701" s="12" t="n">
        <v>0</v>
      </c>
      <c r="N4701" s="27">
        <f>F4701-J4701</f>
        <v/>
      </c>
      <c r="O4701" s="16">
        <f>I4701-H4701</f>
        <v/>
      </c>
      <c r="P4701" s="14">
        <f>F4701*G4701</f>
        <v/>
      </c>
      <c r="Q4701" s="14">
        <f>J4701*G4701</f>
        <v/>
      </c>
      <c r="R4701" s="14">
        <f>K4701-Q4701</f>
        <v/>
      </c>
      <c r="S4701" s="3">
        <f>P4701*Assumptions!$B$3/100</f>
        <v/>
      </c>
      <c r="T4701" s="14">
        <f>R4701-S4701</f>
        <v/>
      </c>
      <c r="U4701" s="14">
        <f>L4701*G4701</f>
        <v/>
      </c>
    </row>
    <row r="4702">
      <c r="A4702" s="12" t="inlineStr">
        <is>
          <t>PO-2023-4700</t>
        </is>
      </c>
      <c r="B4702" s="26" t="n">
        <v>45089</v>
      </c>
      <c r="C4702" s="12" t="inlineStr">
        <is>
          <t>VS20</t>
        </is>
      </c>
      <c r="D4702" s="12" t="inlineStr">
        <is>
          <t>ERW Pipes</t>
        </is>
      </c>
      <c r="E4702" s="12" t="inlineStr">
        <is>
          <t>N</t>
        </is>
      </c>
      <c r="F4702" s="12" t="n">
        <v>30.96</v>
      </c>
      <c r="G4702" s="17" t="n">
        <v>78044.98</v>
      </c>
      <c r="H4702" s="26" t="n">
        <v>45101</v>
      </c>
      <c r="I4702" s="26" t="n">
        <v>45104</v>
      </c>
      <c r="J4702" s="12" t="n">
        <v>30.94</v>
      </c>
      <c r="K4702" s="17" t="n">
        <v>2416272.58</v>
      </c>
      <c r="L4702" s="12" t="n">
        <v>0</v>
      </c>
      <c r="M4702" s="12" t="n">
        <v>0</v>
      </c>
      <c r="N4702" s="27">
        <f>F4702-J4702</f>
        <v/>
      </c>
      <c r="O4702" s="16">
        <f>I4702-H4702</f>
        <v/>
      </c>
      <c r="P4702" s="14">
        <f>F4702*G4702</f>
        <v/>
      </c>
      <c r="Q4702" s="14">
        <f>J4702*G4702</f>
        <v/>
      </c>
      <c r="R4702" s="14">
        <f>K4702-Q4702</f>
        <v/>
      </c>
      <c r="S4702" s="3">
        <f>P4702*Assumptions!$B$3/100</f>
        <v/>
      </c>
      <c r="T4702" s="14">
        <f>R4702-S4702</f>
        <v/>
      </c>
      <c r="U4702" s="14">
        <f>L4702*G4702</f>
        <v/>
      </c>
    </row>
    <row r="4703">
      <c r="A4703" s="12" t="inlineStr">
        <is>
          <t>PO-2023-4701</t>
        </is>
      </c>
      <c r="B4703" s="26" t="n">
        <v>45071</v>
      </c>
      <c r="C4703" s="12" t="inlineStr">
        <is>
          <t>VS16</t>
        </is>
      </c>
      <c r="D4703" s="12" t="inlineStr">
        <is>
          <t>MS Pipes</t>
        </is>
      </c>
      <c r="E4703" s="12" t="inlineStr">
        <is>
          <t>N</t>
        </is>
      </c>
      <c r="F4703" s="12" t="n">
        <v>45.76</v>
      </c>
      <c r="G4703" s="17" t="n">
        <v>48736.53</v>
      </c>
      <c r="H4703" s="26" t="n">
        <v>45077</v>
      </c>
      <c r="I4703" s="26" t="n">
        <v>45079</v>
      </c>
      <c r="J4703" s="12" t="n">
        <v>45.52</v>
      </c>
      <c r="K4703" s="17" t="n">
        <v>2230183.61</v>
      </c>
      <c r="L4703" s="12" t="n">
        <v>0</v>
      </c>
      <c r="M4703" s="12" t="n">
        <v>5</v>
      </c>
      <c r="N4703" s="27">
        <f>F4703-J4703</f>
        <v/>
      </c>
      <c r="O4703" s="16">
        <f>I4703-H4703</f>
        <v/>
      </c>
      <c r="P4703" s="14">
        <f>F4703*G4703</f>
        <v/>
      </c>
      <c r="Q4703" s="14">
        <f>J4703*G4703</f>
        <v/>
      </c>
      <c r="R4703" s="14">
        <f>K4703-Q4703</f>
        <v/>
      </c>
      <c r="S4703" s="3">
        <f>P4703*Assumptions!$B$3/100</f>
        <v/>
      </c>
      <c r="T4703" s="14">
        <f>R4703-S4703</f>
        <v/>
      </c>
      <c r="U4703" s="14">
        <f>L4703*G4703</f>
        <v/>
      </c>
    </row>
    <row r="4704">
      <c r="A4704" s="12" t="inlineStr">
        <is>
          <t>PO-2023-4702</t>
        </is>
      </c>
      <c r="B4704" s="26" t="n">
        <v>44915</v>
      </c>
      <c r="C4704" s="12" t="inlineStr">
        <is>
          <t>VS33</t>
        </is>
      </c>
      <c r="D4704" s="12" t="inlineStr">
        <is>
          <t>MS Sheets</t>
        </is>
      </c>
      <c r="E4704" s="12" t="inlineStr">
        <is>
          <t>N</t>
        </is>
      </c>
      <c r="F4704" s="12" t="n">
        <v>3.99</v>
      </c>
      <c r="G4704" s="17" t="n">
        <v>53269.3</v>
      </c>
      <c r="H4704" s="26" t="n">
        <v>44930</v>
      </c>
      <c r="I4704" s="26" t="n">
        <v>44931</v>
      </c>
      <c r="J4704" s="12" t="n">
        <v>3.97</v>
      </c>
      <c r="K4704" s="17" t="n">
        <v>212544.51</v>
      </c>
      <c r="L4704" s="12" t="n">
        <v>0</v>
      </c>
      <c r="M4704" s="12" t="n">
        <v>13</v>
      </c>
      <c r="N4704" s="27">
        <f>F4704-J4704</f>
        <v/>
      </c>
      <c r="O4704" s="16">
        <f>I4704-H4704</f>
        <v/>
      </c>
      <c r="P4704" s="14">
        <f>F4704*G4704</f>
        <v/>
      </c>
      <c r="Q4704" s="14">
        <f>J4704*G4704</f>
        <v/>
      </c>
      <c r="R4704" s="14">
        <f>K4704-Q4704</f>
        <v/>
      </c>
      <c r="S4704" s="3">
        <f>P4704*Assumptions!$B$3/100</f>
        <v/>
      </c>
      <c r="T4704" s="14">
        <f>R4704-S4704</f>
        <v/>
      </c>
      <c r="U4704" s="14">
        <f>L4704*G4704</f>
        <v/>
      </c>
    </row>
    <row r="4705">
      <c r="A4705" s="12" t="inlineStr">
        <is>
          <t>PO-2023-4703</t>
        </is>
      </c>
      <c r="B4705" s="26" t="n">
        <v>44589</v>
      </c>
      <c r="C4705" s="12" t="inlineStr">
        <is>
          <t>VS03</t>
        </is>
      </c>
      <c r="D4705" s="12" t="inlineStr">
        <is>
          <t>SS Pipes</t>
        </is>
      </c>
      <c r="E4705" s="12" t="inlineStr">
        <is>
          <t>N</t>
        </is>
      </c>
      <c r="F4705" s="12" t="n">
        <v>38.17</v>
      </c>
      <c r="G4705" s="17" t="n">
        <v>72327.92</v>
      </c>
      <c r="H4705" s="26" t="n">
        <v>44599</v>
      </c>
      <c r="I4705" s="26" t="n">
        <v>44604</v>
      </c>
      <c r="J4705" s="12" t="n">
        <v>36.62</v>
      </c>
      <c r="K4705" s="17" t="n">
        <v>2760756.71</v>
      </c>
      <c r="L4705" s="12" t="n">
        <v>1.34</v>
      </c>
      <c r="M4705" s="12" t="n">
        <v>0</v>
      </c>
      <c r="N4705" s="27">
        <f>F4705-J4705</f>
        <v/>
      </c>
      <c r="O4705" s="16">
        <f>I4705-H4705</f>
        <v/>
      </c>
      <c r="P4705" s="14">
        <f>F4705*G4705</f>
        <v/>
      </c>
      <c r="Q4705" s="14">
        <f>J4705*G4705</f>
        <v/>
      </c>
      <c r="R4705" s="14">
        <f>K4705-Q4705</f>
        <v/>
      </c>
      <c r="S4705" s="3">
        <f>P4705*Assumptions!$B$3/100</f>
        <v/>
      </c>
      <c r="T4705" s="14">
        <f>R4705-S4705</f>
        <v/>
      </c>
      <c r="U4705" s="14">
        <f>L4705*G4705</f>
        <v/>
      </c>
    </row>
    <row r="4706">
      <c r="A4706" s="12" t="inlineStr">
        <is>
          <t>PO-2023-4704</t>
        </is>
      </c>
      <c r="B4706" s="26" t="n">
        <v>44514</v>
      </c>
      <c r="C4706" s="12" t="inlineStr">
        <is>
          <t>VS12</t>
        </is>
      </c>
      <c r="D4706" s="12" t="inlineStr">
        <is>
          <t>CR Sheets</t>
        </is>
      </c>
      <c r="E4706" s="12" t="inlineStr">
        <is>
          <t>N</t>
        </is>
      </c>
      <c r="F4706" s="12" t="n">
        <v>8.08</v>
      </c>
      <c r="G4706" s="17" t="n">
        <v>87697.39</v>
      </c>
      <c r="H4706" s="26" t="n">
        <v>44529</v>
      </c>
      <c r="I4706" s="26" t="n">
        <v>44534</v>
      </c>
      <c r="J4706" s="12" t="n">
        <v>7.73</v>
      </c>
      <c r="K4706" s="17" t="n">
        <v>708594.91</v>
      </c>
      <c r="L4706" s="12" t="n">
        <v>0.19</v>
      </c>
      <c r="M4706" s="12" t="n">
        <v>0</v>
      </c>
      <c r="N4706" s="27">
        <f>F4706-J4706</f>
        <v/>
      </c>
      <c r="O4706" s="16">
        <f>I4706-H4706</f>
        <v/>
      </c>
      <c r="P4706" s="14">
        <f>F4706*G4706</f>
        <v/>
      </c>
      <c r="Q4706" s="14">
        <f>J4706*G4706</f>
        <v/>
      </c>
      <c r="R4706" s="14">
        <f>K4706-Q4706</f>
        <v/>
      </c>
      <c r="S4706" s="3">
        <f>P4706*Assumptions!$B$3/100</f>
        <v/>
      </c>
      <c r="T4706" s="14">
        <f>R4706-S4706</f>
        <v/>
      </c>
      <c r="U4706" s="14">
        <f>L4706*G4706</f>
        <v/>
      </c>
    </row>
    <row r="4707">
      <c r="A4707" s="12" t="inlineStr">
        <is>
          <t>PO-2023-4705</t>
        </is>
      </c>
      <c r="B4707" s="26" t="n">
        <v>44637</v>
      </c>
      <c r="C4707" s="12" t="inlineStr">
        <is>
          <t>VS20</t>
        </is>
      </c>
      <c r="D4707" s="12" t="inlineStr">
        <is>
          <t>MS Sheets</t>
        </is>
      </c>
      <c r="E4707" s="12" t="inlineStr">
        <is>
          <t>Y</t>
        </is>
      </c>
      <c r="F4707" s="12" t="n">
        <v>24.5</v>
      </c>
      <c r="G4707" s="17" t="n">
        <v>75765.74000000001</v>
      </c>
      <c r="H4707" s="26" t="n">
        <v>44640</v>
      </c>
      <c r="I4707" s="26" t="n">
        <v>44641</v>
      </c>
      <c r="J4707" s="12" t="n">
        <v>24.49</v>
      </c>
      <c r="K4707" s="17" t="n">
        <v>1856260.63</v>
      </c>
      <c r="L4707" s="12" t="n">
        <v>0</v>
      </c>
      <c r="M4707" s="12" t="n">
        <v>6</v>
      </c>
      <c r="N4707" s="27">
        <f>F4707-J4707</f>
        <v/>
      </c>
      <c r="O4707" s="16">
        <f>I4707-H4707</f>
        <v/>
      </c>
      <c r="P4707" s="14">
        <f>F4707*G4707</f>
        <v/>
      </c>
      <c r="Q4707" s="14">
        <f>J4707*G4707</f>
        <v/>
      </c>
      <c r="R4707" s="14">
        <f>K4707-Q4707</f>
        <v/>
      </c>
      <c r="S4707" s="3">
        <f>P4707*Assumptions!$B$3/100</f>
        <v/>
      </c>
      <c r="T4707" s="14">
        <f>R4707-S4707</f>
        <v/>
      </c>
      <c r="U4707" s="14">
        <f>L4707*G4707</f>
        <v/>
      </c>
    </row>
    <row r="4708">
      <c r="A4708" s="12" t="inlineStr">
        <is>
          <t>PO-2023-4706</t>
        </is>
      </c>
      <c r="B4708" s="26" t="n">
        <v>45261</v>
      </c>
      <c r="C4708" s="12" t="inlineStr">
        <is>
          <t>VS17</t>
        </is>
      </c>
      <c r="D4708" s="12" t="inlineStr">
        <is>
          <t>GI Wire</t>
        </is>
      </c>
      <c r="E4708" s="12" t="inlineStr">
        <is>
          <t>N</t>
        </is>
      </c>
      <c r="F4708" s="12" t="n">
        <v>33.09</v>
      </c>
      <c r="G4708" s="17" t="n">
        <v>48698.6</v>
      </c>
      <c r="H4708" s="26" t="n">
        <v>45265</v>
      </c>
      <c r="I4708" s="26" t="n">
        <v>45266</v>
      </c>
      <c r="J4708" s="12" t="n">
        <v>32.93</v>
      </c>
      <c r="K4708" s="17" t="n">
        <v>1611436.67</v>
      </c>
      <c r="L4708" s="12" t="n">
        <v>0</v>
      </c>
      <c r="M4708" s="12" t="n">
        <v>0</v>
      </c>
      <c r="N4708" s="27">
        <f>F4708-J4708</f>
        <v/>
      </c>
      <c r="O4708" s="16">
        <f>I4708-H4708</f>
        <v/>
      </c>
      <c r="P4708" s="14">
        <f>F4708*G4708</f>
        <v/>
      </c>
      <c r="Q4708" s="14">
        <f>J4708*G4708</f>
        <v/>
      </c>
      <c r="R4708" s="14">
        <f>K4708-Q4708</f>
        <v/>
      </c>
      <c r="S4708" s="3">
        <f>P4708*Assumptions!$B$3/100</f>
        <v/>
      </c>
      <c r="T4708" s="14">
        <f>R4708-S4708</f>
        <v/>
      </c>
      <c r="U4708" s="14">
        <f>L4708*G4708</f>
        <v/>
      </c>
    </row>
    <row r="4709">
      <c r="A4709" s="12" t="inlineStr">
        <is>
          <t>PO-2023-4707</t>
        </is>
      </c>
      <c r="B4709" s="26" t="n">
        <v>45233</v>
      </c>
      <c r="C4709" s="12" t="inlineStr">
        <is>
          <t>VS03</t>
        </is>
      </c>
      <c r="D4709" s="12" t="inlineStr">
        <is>
          <t>CR Sheets</t>
        </is>
      </c>
      <c r="E4709" s="12" t="inlineStr">
        <is>
          <t>N</t>
        </is>
      </c>
      <c r="F4709" s="12" t="n">
        <v>1.4</v>
      </c>
      <c r="G4709" s="17" t="n">
        <v>62710.54</v>
      </c>
      <c r="H4709" s="26" t="n">
        <v>45240</v>
      </c>
      <c r="I4709" s="26" t="n">
        <v>45243</v>
      </c>
      <c r="J4709" s="12" t="n">
        <v>1.34</v>
      </c>
      <c r="K4709" s="17" t="n">
        <v>87794.75999999999</v>
      </c>
      <c r="L4709" s="12" t="n">
        <v>0.06</v>
      </c>
      <c r="M4709" s="12" t="n">
        <v>9</v>
      </c>
      <c r="N4709" s="27">
        <f>F4709-J4709</f>
        <v/>
      </c>
      <c r="O4709" s="16">
        <f>I4709-H4709</f>
        <v/>
      </c>
      <c r="P4709" s="14">
        <f>F4709*G4709</f>
        <v/>
      </c>
      <c r="Q4709" s="14">
        <f>J4709*G4709</f>
        <v/>
      </c>
      <c r="R4709" s="14">
        <f>K4709-Q4709</f>
        <v/>
      </c>
      <c r="S4709" s="3">
        <f>P4709*Assumptions!$B$3/100</f>
        <v/>
      </c>
      <c r="T4709" s="14">
        <f>R4709-S4709</f>
        <v/>
      </c>
      <c r="U4709" s="14">
        <f>L4709*G4709</f>
        <v/>
      </c>
    </row>
    <row r="4710">
      <c r="A4710" s="12" t="inlineStr">
        <is>
          <t>PO-2023-4708</t>
        </is>
      </c>
      <c r="B4710" s="26" t="n">
        <v>44207</v>
      </c>
      <c r="C4710" s="12" t="inlineStr">
        <is>
          <t>VS05</t>
        </is>
      </c>
      <c r="D4710" s="12" t="inlineStr">
        <is>
          <t>MS Flats</t>
        </is>
      </c>
      <c r="E4710" s="12" t="inlineStr">
        <is>
          <t>Y</t>
        </is>
      </c>
      <c r="F4710" s="12" t="n">
        <v>43.65</v>
      </c>
      <c r="G4710" s="17" t="n">
        <v>77897.52</v>
      </c>
      <c r="H4710" s="26" t="n">
        <v>44213</v>
      </c>
      <c r="I4710" s="26" t="n">
        <v>44216</v>
      </c>
      <c r="J4710" s="12" t="n">
        <v>43.23</v>
      </c>
      <c r="K4710" s="17" t="n">
        <v>3400226.75</v>
      </c>
      <c r="L4710" s="12" t="n">
        <v>0</v>
      </c>
      <c r="M4710" s="12" t="n">
        <v>25</v>
      </c>
      <c r="N4710" s="27">
        <f>F4710-J4710</f>
        <v/>
      </c>
      <c r="O4710" s="16">
        <f>I4710-H4710</f>
        <v/>
      </c>
      <c r="P4710" s="14">
        <f>F4710*G4710</f>
        <v/>
      </c>
      <c r="Q4710" s="14">
        <f>J4710*G4710</f>
        <v/>
      </c>
      <c r="R4710" s="14">
        <f>K4710-Q4710</f>
        <v/>
      </c>
      <c r="S4710" s="3">
        <f>P4710*Assumptions!$B$3/100</f>
        <v/>
      </c>
      <c r="T4710" s="14">
        <f>R4710-S4710</f>
        <v/>
      </c>
      <c r="U4710" s="14">
        <f>L4710*G4710</f>
        <v/>
      </c>
    </row>
    <row r="4711">
      <c r="A4711" s="12" t="inlineStr">
        <is>
          <t>PO-2023-4709</t>
        </is>
      </c>
      <c r="B4711" s="26" t="n">
        <v>44964</v>
      </c>
      <c r="C4711" s="12" t="inlineStr">
        <is>
          <t>VS34</t>
        </is>
      </c>
      <c r="D4711" s="12" t="inlineStr">
        <is>
          <t>MS Rods</t>
        </is>
      </c>
      <c r="E4711" s="12" t="inlineStr">
        <is>
          <t>N</t>
        </is>
      </c>
      <c r="F4711" s="12" t="n">
        <v>20.61</v>
      </c>
      <c r="G4711" s="17" t="n">
        <v>101015.31</v>
      </c>
      <c r="H4711" s="26" t="n">
        <v>44968</v>
      </c>
      <c r="I4711" s="26" t="n">
        <v>44969</v>
      </c>
      <c r="J4711" s="12" t="n">
        <v>20.46</v>
      </c>
      <c r="K4711" s="17" t="n">
        <v>2081925.54</v>
      </c>
      <c r="L4711" s="12" t="n">
        <v>0</v>
      </c>
      <c r="M4711" s="12" t="n">
        <v>10</v>
      </c>
      <c r="N4711" s="27">
        <f>F4711-J4711</f>
        <v/>
      </c>
      <c r="O4711" s="16">
        <f>I4711-H4711</f>
        <v/>
      </c>
      <c r="P4711" s="14">
        <f>F4711*G4711</f>
        <v/>
      </c>
      <c r="Q4711" s="14">
        <f>J4711*G4711</f>
        <v/>
      </c>
      <c r="R4711" s="14">
        <f>K4711-Q4711</f>
        <v/>
      </c>
      <c r="S4711" s="3">
        <f>P4711*Assumptions!$B$3/100</f>
        <v/>
      </c>
      <c r="T4711" s="14">
        <f>R4711-S4711</f>
        <v/>
      </c>
      <c r="U4711" s="14">
        <f>L4711*G4711</f>
        <v/>
      </c>
    </row>
    <row r="4712">
      <c r="A4712" s="12" t="inlineStr">
        <is>
          <t>PO-2023-4710</t>
        </is>
      </c>
      <c r="B4712" s="26" t="n">
        <v>44905</v>
      </c>
      <c r="C4712" s="12" t="inlineStr">
        <is>
          <t>VS21</t>
        </is>
      </c>
      <c r="D4712" s="12" t="inlineStr">
        <is>
          <t>CR Sheets</t>
        </is>
      </c>
      <c r="E4712" s="12" t="inlineStr">
        <is>
          <t>N</t>
        </is>
      </c>
      <c r="F4712" s="12" t="n">
        <v>14.36</v>
      </c>
      <c r="G4712" s="17" t="n">
        <v>111056.34</v>
      </c>
      <c r="H4712" s="26" t="n">
        <v>44913</v>
      </c>
      <c r="I4712" s="26" t="n">
        <v>44913</v>
      </c>
      <c r="J4712" s="12" t="n">
        <v>14.31</v>
      </c>
      <c r="K4712" s="17" t="n">
        <v>1594769.04</v>
      </c>
      <c r="L4712" s="12" t="n">
        <v>0</v>
      </c>
      <c r="M4712" s="12" t="n">
        <v>19</v>
      </c>
      <c r="N4712" s="27">
        <f>F4712-J4712</f>
        <v/>
      </c>
      <c r="O4712" s="16">
        <f>I4712-H4712</f>
        <v/>
      </c>
      <c r="P4712" s="14">
        <f>F4712*G4712</f>
        <v/>
      </c>
      <c r="Q4712" s="14">
        <f>J4712*G4712</f>
        <v/>
      </c>
      <c r="R4712" s="14">
        <f>K4712-Q4712</f>
        <v/>
      </c>
      <c r="S4712" s="3">
        <f>P4712*Assumptions!$B$3/100</f>
        <v/>
      </c>
      <c r="T4712" s="14">
        <f>R4712-S4712</f>
        <v/>
      </c>
      <c r="U4712" s="14">
        <f>L4712*G4712</f>
        <v/>
      </c>
    </row>
    <row r="4713">
      <c r="A4713" s="12" t="inlineStr">
        <is>
          <t>PO-2023-4711</t>
        </is>
      </c>
      <c r="B4713" s="26" t="n">
        <v>44698</v>
      </c>
      <c r="C4713" s="12" t="inlineStr">
        <is>
          <t>VS10</t>
        </is>
      </c>
      <c r="D4713" s="12" t="inlineStr">
        <is>
          <t>MS Rods</t>
        </is>
      </c>
      <c r="E4713" s="12" t="inlineStr">
        <is>
          <t>N</t>
        </is>
      </c>
      <c r="F4713" s="12" t="n">
        <v>3</v>
      </c>
      <c r="G4713" s="17" t="n">
        <v>111789.82</v>
      </c>
      <c r="H4713" s="26" t="n">
        <v>44708</v>
      </c>
      <c r="I4713" s="26" t="n">
        <v>44710</v>
      </c>
      <c r="J4713" s="12" t="n">
        <v>2.97</v>
      </c>
      <c r="K4713" s="17" t="n">
        <v>335369.46</v>
      </c>
      <c r="L4713" s="12" t="n">
        <v>0</v>
      </c>
      <c r="M4713" s="12" t="n">
        <v>0</v>
      </c>
      <c r="N4713" s="27">
        <f>F4713-J4713</f>
        <v/>
      </c>
      <c r="O4713" s="16">
        <f>I4713-H4713</f>
        <v/>
      </c>
      <c r="P4713" s="14">
        <f>F4713*G4713</f>
        <v/>
      </c>
      <c r="Q4713" s="14">
        <f>J4713*G4713</f>
        <v/>
      </c>
      <c r="R4713" s="14">
        <f>K4713-Q4713</f>
        <v/>
      </c>
      <c r="S4713" s="3">
        <f>P4713*Assumptions!$B$3/100</f>
        <v/>
      </c>
      <c r="T4713" s="14">
        <f>R4713-S4713</f>
        <v/>
      </c>
      <c r="U4713" s="14">
        <f>L4713*G4713</f>
        <v/>
      </c>
    </row>
    <row r="4714">
      <c r="A4714" s="12" t="inlineStr">
        <is>
          <t>PO-2023-4712</t>
        </is>
      </c>
      <c r="B4714" s="26" t="n">
        <v>44744</v>
      </c>
      <c r="C4714" s="12" t="inlineStr">
        <is>
          <t>VS26</t>
        </is>
      </c>
      <c r="D4714" s="12" t="inlineStr">
        <is>
          <t>Square/Rect Tubes</t>
        </is>
      </c>
      <c r="E4714" s="12" t="inlineStr">
        <is>
          <t>N</t>
        </is>
      </c>
      <c r="F4714" s="12" t="n">
        <v>25.29</v>
      </c>
      <c r="G4714" s="17" t="n">
        <v>48605.84</v>
      </c>
      <c r="H4714" s="26" t="n">
        <v>44752</v>
      </c>
      <c r="I4714" s="26" t="n">
        <v>44755</v>
      </c>
      <c r="J4714" s="12" t="n">
        <v>25.07</v>
      </c>
      <c r="K4714" s="17" t="n">
        <v>1229241.69</v>
      </c>
      <c r="L4714" s="12" t="n">
        <v>0</v>
      </c>
      <c r="M4714" s="12" t="n">
        <v>23</v>
      </c>
      <c r="N4714" s="27">
        <f>F4714-J4714</f>
        <v/>
      </c>
      <c r="O4714" s="16">
        <f>I4714-H4714</f>
        <v/>
      </c>
      <c r="P4714" s="14">
        <f>F4714*G4714</f>
        <v/>
      </c>
      <c r="Q4714" s="14">
        <f>J4714*G4714</f>
        <v/>
      </c>
      <c r="R4714" s="14">
        <f>K4714-Q4714</f>
        <v/>
      </c>
      <c r="S4714" s="3">
        <f>P4714*Assumptions!$B$3/100</f>
        <v/>
      </c>
      <c r="T4714" s="14">
        <f>R4714-S4714</f>
        <v/>
      </c>
      <c r="U4714" s="14">
        <f>L4714*G4714</f>
        <v/>
      </c>
    </row>
    <row r="4715">
      <c r="A4715" s="12" t="inlineStr">
        <is>
          <t>PO-2023-4713</t>
        </is>
      </c>
      <c r="B4715" s="26" t="n">
        <v>44619</v>
      </c>
      <c r="C4715" s="12" t="inlineStr">
        <is>
          <t>VS26</t>
        </is>
      </c>
      <c r="D4715" s="12" t="inlineStr">
        <is>
          <t>SS Sheets</t>
        </is>
      </c>
      <c r="E4715" s="12" t="inlineStr">
        <is>
          <t>N</t>
        </is>
      </c>
      <c r="F4715" s="12" t="n">
        <v>31.58</v>
      </c>
      <c r="G4715" s="17" t="n">
        <v>49722.49</v>
      </c>
      <c r="H4715" s="26" t="n">
        <v>44631</v>
      </c>
      <c r="I4715" s="26" t="n">
        <v>44634</v>
      </c>
      <c r="J4715" s="12" t="n">
        <v>31.53</v>
      </c>
      <c r="K4715" s="17" t="n">
        <v>1570236.23</v>
      </c>
      <c r="L4715" s="12" t="n">
        <v>0</v>
      </c>
      <c r="M4715" s="12" t="n">
        <v>0</v>
      </c>
      <c r="N4715" s="27">
        <f>F4715-J4715</f>
        <v/>
      </c>
      <c r="O4715" s="16">
        <f>I4715-H4715</f>
        <v/>
      </c>
      <c r="P4715" s="14">
        <f>F4715*G4715</f>
        <v/>
      </c>
      <c r="Q4715" s="14">
        <f>J4715*G4715</f>
        <v/>
      </c>
      <c r="R4715" s="14">
        <f>K4715-Q4715</f>
        <v/>
      </c>
      <c r="S4715" s="3">
        <f>P4715*Assumptions!$B$3/100</f>
        <v/>
      </c>
      <c r="T4715" s="14">
        <f>R4715-S4715</f>
        <v/>
      </c>
      <c r="U4715" s="14">
        <f>L4715*G4715</f>
        <v/>
      </c>
    </row>
    <row r="4716">
      <c r="A4716" s="12" t="inlineStr">
        <is>
          <t>PO-2023-4714</t>
        </is>
      </c>
      <c r="B4716" s="26" t="n">
        <v>44510</v>
      </c>
      <c r="C4716" s="12" t="inlineStr">
        <is>
          <t>VS34</t>
        </is>
      </c>
      <c r="D4716" s="12" t="inlineStr">
        <is>
          <t>Angles &amp; Channels</t>
        </is>
      </c>
      <c r="E4716" s="12" t="inlineStr">
        <is>
          <t>N</t>
        </is>
      </c>
      <c r="F4716" s="12" t="n">
        <v>21.03</v>
      </c>
      <c r="G4716" s="17" t="n">
        <v>100416.44</v>
      </c>
      <c r="H4716" s="26" t="n">
        <v>44523</v>
      </c>
      <c r="I4716" s="26" t="n">
        <v>44526</v>
      </c>
      <c r="J4716" s="12" t="n">
        <v>20.93</v>
      </c>
      <c r="K4716" s="17" t="n">
        <v>2111757.73</v>
      </c>
      <c r="L4716" s="12" t="n">
        <v>0</v>
      </c>
      <c r="M4716" s="12" t="n">
        <v>0</v>
      </c>
      <c r="N4716" s="27">
        <f>F4716-J4716</f>
        <v/>
      </c>
      <c r="O4716" s="16">
        <f>I4716-H4716</f>
        <v/>
      </c>
      <c r="P4716" s="14">
        <f>F4716*G4716</f>
        <v/>
      </c>
      <c r="Q4716" s="14">
        <f>J4716*G4716</f>
        <v/>
      </c>
      <c r="R4716" s="14">
        <f>K4716-Q4716</f>
        <v/>
      </c>
      <c r="S4716" s="3">
        <f>P4716*Assumptions!$B$3/100</f>
        <v/>
      </c>
      <c r="T4716" s="14">
        <f>R4716-S4716</f>
        <v/>
      </c>
      <c r="U4716" s="14">
        <f>L4716*G4716</f>
        <v/>
      </c>
    </row>
    <row r="4717">
      <c r="A4717" s="12" t="inlineStr">
        <is>
          <t>PO-2023-4715</t>
        </is>
      </c>
      <c r="B4717" s="26" t="n">
        <v>44511</v>
      </c>
      <c r="C4717" s="12" t="inlineStr">
        <is>
          <t>VS33</t>
        </is>
      </c>
      <c r="D4717" s="12" t="inlineStr">
        <is>
          <t>Angles &amp; Channels</t>
        </is>
      </c>
      <c r="E4717" s="12" t="inlineStr">
        <is>
          <t>N</t>
        </is>
      </c>
      <c r="F4717" s="12" t="n">
        <v>37.16</v>
      </c>
      <c r="G4717" s="17" t="n">
        <v>57803.44</v>
      </c>
      <c r="H4717" s="26" t="n">
        <v>44515</v>
      </c>
      <c r="I4717" s="26" t="n">
        <v>44516</v>
      </c>
      <c r="J4717" s="12" t="n">
        <v>36.98</v>
      </c>
      <c r="K4717" s="17" t="n">
        <v>2147975.83</v>
      </c>
      <c r="L4717" s="12" t="n">
        <v>0</v>
      </c>
      <c r="M4717" s="12" t="n">
        <v>0</v>
      </c>
      <c r="N4717" s="27">
        <f>F4717-J4717</f>
        <v/>
      </c>
      <c r="O4717" s="16">
        <f>I4717-H4717</f>
        <v/>
      </c>
      <c r="P4717" s="14">
        <f>F4717*G4717</f>
        <v/>
      </c>
      <c r="Q4717" s="14">
        <f>J4717*G4717</f>
        <v/>
      </c>
      <c r="R4717" s="14">
        <f>K4717-Q4717</f>
        <v/>
      </c>
      <c r="S4717" s="3">
        <f>P4717*Assumptions!$B$3/100</f>
        <v/>
      </c>
      <c r="T4717" s="14">
        <f>R4717-S4717</f>
        <v/>
      </c>
      <c r="U4717" s="14">
        <f>L4717*G4717</f>
        <v/>
      </c>
    </row>
    <row r="4718">
      <c r="A4718" s="12" t="inlineStr">
        <is>
          <t>PO-2023-4716</t>
        </is>
      </c>
      <c r="B4718" s="26" t="n">
        <v>44928</v>
      </c>
      <c r="C4718" s="12" t="inlineStr">
        <is>
          <t>VS21</t>
        </is>
      </c>
      <c r="D4718" s="12" t="inlineStr">
        <is>
          <t>GI Sheets</t>
        </is>
      </c>
      <c r="E4718" s="12" t="inlineStr">
        <is>
          <t>Y</t>
        </is>
      </c>
      <c r="F4718" s="12" t="n">
        <v>28.3</v>
      </c>
      <c r="G4718" s="17" t="n">
        <v>109567.15</v>
      </c>
      <c r="H4718" s="26" t="n">
        <v>44941</v>
      </c>
      <c r="I4718" s="26" t="n">
        <v>44941</v>
      </c>
      <c r="J4718" s="12" t="n">
        <v>28.27</v>
      </c>
      <c r="K4718" s="17" t="n">
        <v>3100750.34</v>
      </c>
      <c r="L4718" s="12" t="n">
        <v>0</v>
      </c>
      <c r="M4718" s="12" t="n">
        <v>13</v>
      </c>
      <c r="N4718" s="27">
        <f>F4718-J4718</f>
        <v/>
      </c>
      <c r="O4718" s="16">
        <f>I4718-H4718</f>
        <v/>
      </c>
      <c r="P4718" s="14">
        <f>F4718*G4718</f>
        <v/>
      </c>
      <c r="Q4718" s="14">
        <f>J4718*G4718</f>
        <v/>
      </c>
      <c r="R4718" s="14">
        <f>K4718-Q4718</f>
        <v/>
      </c>
      <c r="S4718" s="3">
        <f>P4718*Assumptions!$B$3/100</f>
        <v/>
      </c>
      <c r="T4718" s="14">
        <f>R4718-S4718</f>
        <v/>
      </c>
      <c r="U4718" s="14">
        <f>L4718*G4718</f>
        <v/>
      </c>
    </row>
    <row r="4719">
      <c r="A4719" s="12" t="inlineStr">
        <is>
          <t>PO-2023-4717</t>
        </is>
      </c>
      <c r="B4719" s="26" t="n">
        <v>45215</v>
      </c>
      <c r="C4719" s="12" t="inlineStr">
        <is>
          <t>VS30</t>
        </is>
      </c>
      <c r="D4719" s="12" t="inlineStr">
        <is>
          <t>MS Flats</t>
        </is>
      </c>
      <c r="E4719" s="12" t="inlineStr">
        <is>
          <t>N</t>
        </is>
      </c>
      <c r="F4719" s="12" t="n">
        <v>43.86</v>
      </c>
      <c r="G4719" s="17" t="n">
        <v>86176.69</v>
      </c>
      <c r="H4719" s="26" t="n">
        <v>45219</v>
      </c>
      <c r="I4719" s="26" t="n">
        <v>45222</v>
      </c>
      <c r="J4719" s="12" t="n">
        <v>43.43</v>
      </c>
      <c r="K4719" s="17" t="n">
        <v>3779709.62</v>
      </c>
      <c r="L4719" s="12" t="n">
        <v>0</v>
      </c>
      <c r="M4719" s="12" t="n">
        <v>0</v>
      </c>
      <c r="N4719" s="27">
        <f>F4719-J4719</f>
        <v/>
      </c>
      <c r="O4719" s="16">
        <f>I4719-H4719</f>
        <v/>
      </c>
      <c r="P4719" s="14">
        <f>F4719*G4719</f>
        <v/>
      </c>
      <c r="Q4719" s="14">
        <f>J4719*G4719</f>
        <v/>
      </c>
      <c r="R4719" s="14">
        <f>K4719-Q4719</f>
        <v/>
      </c>
      <c r="S4719" s="3">
        <f>P4719*Assumptions!$B$3/100</f>
        <v/>
      </c>
      <c r="T4719" s="14">
        <f>R4719-S4719</f>
        <v/>
      </c>
      <c r="U4719" s="14">
        <f>L4719*G4719</f>
        <v/>
      </c>
    </row>
    <row r="4720">
      <c r="A4720" s="12" t="inlineStr">
        <is>
          <t>PO-2023-4718</t>
        </is>
      </c>
      <c r="B4720" s="26" t="n">
        <v>44522</v>
      </c>
      <c r="C4720" s="12" t="inlineStr">
        <is>
          <t>VS25</t>
        </is>
      </c>
      <c r="D4720" s="12" t="inlineStr">
        <is>
          <t>MS Sheets</t>
        </is>
      </c>
      <c r="E4720" s="12" t="inlineStr">
        <is>
          <t>Y</t>
        </is>
      </c>
      <c r="F4720" s="12" t="n">
        <v>21.42</v>
      </c>
      <c r="G4720" s="17" t="n">
        <v>61315.81</v>
      </c>
      <c r="H4720" s="26" t="n">
        <v>44534</v>
      </c>
      <c r="I4720" s="26" t="n">
        <v>44537</v>
      </c>
      <c r="J4720" s="12" t="n">
        <v>21.39</v>
      </c>
      <c r="K4720" s="17" t="n">
        <v>1313384.65</v>
      </c>
      <c r="L4720" s="12" t="n">
        <v>0</v>
      </c>
      <c r="M4720" s="12" t="n">
        <v>19</v>
      </c>
      <c r="N4720" s="27">
        <f>F4720-J4720</f>
        <v/>
      </c>
      <c r="O4720" s="16">
        <f>I4720-H4720</f>
        <v/>
      </c>
      <c r="P4720" s="14">
        <f>F4720*G4720</f>
        <v/>
      </c>
      <c r="Q4720" s="14">
        <f>J4720*G4720</f>
        <v/>
      </c>
      <c r="R4720" s="14">
        <f>K4720-Q4720</f>
        <v/>
      </c>
      <c r="S4720" s="3">
        <f>P4720*Assumptions!$B$3/100</f>
        <v/>
      </c>
      <c r="T4720" s="14">
        <f>R4720-S4720</f>
        <v/>
      </c>
      <c r="U4720" s="14">
        <f>L4720*G4720</f>
        <v/>
      </c>
    </row>
    <row r="4721">
      <c r="A4721" s="12" t="inlineStr">
        <is>
          <t>PO-2023-4719</t>
        </is>
      </c>
      <c r="B4721" s="26" t="n">
        <v>44956</v>
      </c>
      <c r="C4721" s="12" t="inlineStr">
        <is>
          <t>VS26</t>
        </is>
      </c>
      <c r="D4721" s="12" t="inlineStr">
        <is>
          <t>Structural Steel</t>
        </is>
      </c>
      <c r="E4721" s="12" t="inlineStr">
        <is>
          <t>N</t>
        </is>
      </c>
      <c r="F4721" s="12" t="n">
        <v>32.43</v>
      </c>
      <c r="G4721" s="17" t="n">
        <v>65024.62</v>
      </c>
      <c r="H4721" s="26" t="n">
        <v>44970</v>
      </c>
      <c r="I4721" s="26" t="n">
        <v>44970</v>
      </c>
      <c r="J4721" s="12" t="n">
        <v>32.39</v>
      </c>
      <c r="K4721" s="17" t="n">
        <v>2108748.43</v>
      </c>
      <c r="L4721" s="12" t="n">
        <v>0</v>
      </c>
      <c r="M4721" s="12" t="n">
        <v>8</v>
      </c>
      <c r="N4721" s="27">
        <f>F4721-J4721</f>
        <v/>
      </c>
      <c r="O4721" s="16">
        <f>I4721-H4721</f>
        <v/>
      </c>
      <c r="P4721" s="14">
        <f>F4721*G4721</f>
        <v/>
      </c>
      <c r="Q4721" s="14">
        <f>J4721*G4721</f>
        <v/>
      </c>
      <c r="R4721" s="14">
        <f>K4721-Q4721</f>
        <v/>
      </c>
      <c r="S4721" s="3">
        <f>P4721*Assumptions!$B$3/100</f>
        <v/>
      </c>
      <c r="T4721" s="14">
        <f>R4721-S4721</f>
        <v/>
      </c>
      <c r="U4721" s="14">
        <f>L4721*G4721</f>
        <v/>
      </c>
    </row>
    <row r="4722">
      <c r="A4722" s="12" t="inlineStr">
        <is>
          <t>PO-2023-4720</t>
        </is>
      </c>
      <c r="B4722" s="26" t="n">
        <v>45006</v>
      </c>
      <c r="C4722" s="12" t="inlineStr">
        <is>
          <t>VS01</t>
        </is>
      </c>
      <c r="D4722" s="12" t="inlineStr">
        <is>
          <t>Fasteners &amp; Fittings</t>
        </is>
      </c>
      <c r="E4722" s="12" t="inlineStr">
        <is>
          <t>N</t>
        </is>
      </c>
      <c r="F4722" s="12" t="n">
        <v>28.5</v>
      </c>
      <c r="G4722" s="17" t="n">
        <v>103257.11</v>
      </c>
      <c r="H4722" s="26" t="n">
        <v>45009</v>
      </c>
      <c r="I4722" s="26" t="n">
        <v>45012</v>
      </c>
      <c r="J4722" s="12" t="n">
        <v>28.38</v>
      </c>
      <c r="K4722" s="17" t="n">
        <v>2942827.64</v>
      </c>
      <c r="L4722" s="12" t="n">
        <v>0</v>
      </c>
      <c r="M4722" s="12" t="n">
        <v>0</v>
      </c>
      <c r="N4722" s="27">
        <f>F4722-J4722</f>
        <v/>
      </c>
      <c r="O4722" s="16">
        <f>I4722-H4722</f>
        <v/>
      </c>
      <c r="P4722" s="14">
        <f>F4722*G4722</f>
        <v/>
      </c>
      <c r="Q4722" s="14">
        <f>J4722*G4722</f>
        <v/>
      </c>
      <c r="R4722" s="14">
        <f>K4722-Q4722</f>
        <v/>
      </c>
      <c r="S4722" s="3">
        <f>P4722*Assumptions!$B$3/100</f>
        <v/>
      </c>
      <c r="T4722" s="14">
        <f>R4722-S4722</f>
        <v/>
      </c>
      <c r="U4722" s="14">
        <f>L4722*G4722</f>
        <v/>
      </c>
    </row>
    <row r="4723">
      <c r="A4723" s="12" t="inlineStr">
        <is>
          <t>PO-2023-4721</t>
        </is>
      </c>
      <c r="B4723" s="26" t="n">
        <v>45181</v>
      </c>
      <c r="C4723" s="12" t="inlineStr">
        <is>
          <t>VS22</t>
        </is>
      </c>
      <c r="D4723" s="12" t="inlineStr">
        <is>
          <t>SS Pipes</t>
        </is>
      </c>
      <c r="E4723" s="12" t="inlineStr">
        <is>
          <t>N</t>
        </is>
      </c>
      <c r="F4723" s="12" t="n">
        <v>33.65</v>
      </c>
      <c r="G4723" s="17" t="n">
        <v>112028.3</v>
      </c>
      <c r="H4723" s="26" t="n">
        <v>45195</v>
      </c>
      <c r="I4723" s="26" t="n">
        <v>45196</v>
      </c>
      <c r="J4723" s="12" t="n">
        <v>33.44</v>
      </c>
      <c r="K4723" s="17" t="n">
        <v>3769752.29</v>
      </c>
      <c r="L4723" s="12" t="n">
        <v>0</v>
      </c>
      <c r="M4723" s="12" t="n">
        <v>6</v>
      </c>
      <c r="N4723" s="27">
        <f>F4723-J4723</f>
        <v/>
      </c>
      <c r="O4723" s="16">
        <f>I4723-H4723</f>
        <v/>
      </c>
      <c r="P4723" s="14">
        <f>F4723*G4723</f>
        <v/>
      </c>
      <c r="Q4723" s="14">
        <f>J4723*G4723</f>
        <v/>
      </c>
      <c r="R4723" s="14">
        <f>K4723-Q4723</f>
        <v/>
      </c>
      <c r="S4723" s="3">
        <f>P4723*Assumptions!$B$3/100</f>
        <v/>
      </c>
      <c r="T4723" s="14">
        <f>R4723-S4723</f>
        <v/>
      </c>
      <c r="U4723" s="14">
        <f>L4723*G4723</f>
        <v/>
      </c>
    </row>
    <row r="4724">
      <c r="A4724" s="12" t="inlineStr">
        <is>
          <t>PO-2023-4722</t>
        </is>
      </c>
      <c r="B4724" s="26" t="n">
        <v>44401</v>
      </c>
      <c r="C4724" s="12" t="inlineStr">
        <is>
          <t>VS33</t>
        </is>
      </c>
      <c r="D4724" s="12" t="inlineStr">
        <is>
          <t>SS Pipes</t>
        </is>
      </c>
      <c r="E4724" s="12" t="inlineStr">
        <is>
          <t>N</t>
        </is>
      </c>
      <c r="F4724" s="12" t="n">
        <v>23.35</v>
      </c>
      <c r="G4724" s="17" t="n">
        <v>73098.32000000001</v>
      </c>
      <c r="H4724" s="26" t="n">
        <v>44405</v>
      </c>
      <c r="I4724" s="26" t="n">
        <v>44407</v>
      </c>
      <c r="J4724" s="12" t="n">
        <v>23.2</v>
      </c>
      <c r="K4724" s="17" t="n">
        <v>1706845.77</v>
      </c>
      <c r="L4724" s="12" t="n">
        <v>0</v>
      </c>
      <c r="M4724" s="12" t="n">
        <v>0</v>
      </c>
      <c r="N4724" s="27">
        <f>F4724-J4724</f>
        <v/>
      </c>
      <c r="O4724" s="16">
        <f>I4724-H4724</f>
        <v/>
      </c>
      <c r="P4724" s="14">
        <f>F4724*G4724</f>
        <v/>
      </c>
      <c r="Q4724" s="14">
        <f>J4724*G4724</f>
        <v/>
      </c>
      <c r="R4724" s="14">
        <f>K4724-Q4724</f>
        <v/>
      </c>
      <c r="S4724" s="3">
        <f>P4724*Assumptions!$B$3/100</f>
        <v/>
      </c>
      <c r="T4724" s="14">
        <f>R4724-S4724</f>
        <v/>
      </c>
      <c r="U4724" s="14">
        <f>L4724*G4724</f>
        <v/>
      </c>
    </row>
    <row r="4725">
      <c r="A4725" s="12" t="inlineStr">
        <is>
          <t>PO-2023-4723</t>
        </is>
      </c>
      <c r="B4725" s="26" t="n">
        <v>44510</v>
      </c>
      <c r="C4725" s="12" t="inlineStr">
        <is>
          <t>VS18</t>
        </is>
      </c>
      <c r="D4725" s="12" t="inlineStr">
        <is>
          <t>SS Sheets</t>
        </is>
      </c>
      <c r="E4725" s="12" t="inlineStr">
        <is>
          <t>N</t>
        </is>
      </c>
      <c r="F4725" s="12" t="n">
        <v>5.7</v>
      </c>
      <c r="G4725" s="17" t="n">
        <v>68011.42</v>
      </c>
      <c r="H4725" s="26" t="n">
        <v>44525</v>
      </c>
      <c r="I4725" s="26" t="n">
        <v>44525</v>
      </c>
      <c r="J4725" s="12" t="n">
        <v>5.67</v>
      </c>
      <c r="K4725" s="17" t="n">
        <v>387665.09</v>
      </c>
      <c r="L4725" s="12" t="n">
        <v>0</v>
      </c>
      <c r="M4725" s="12" t="n">
        <v>8</v>
      </c>
      <c r="N4725" s="27">
        <f>F4725-J4725</f>
        <v/>
      </c>
      <c r="O4725" s="16">
        <f>I4725-H4725</f>
        <v/>
      </c>
      <c r="P4725" s="14">
        <f>F4725*G4725</f>
        <v/>
      </c>
      <c r="Q4725" s="14">
        <f>J4725*G4725</f>
        <v/>
      </c>
      <c r="R4725" s="14">
        <f>K4725-Q4725</f>
        <v/>
      </c>
      <c r="S4725" s="3">
        <f>P4725*Assumptions!$B$3/100</f>
        <v/>
      </c>
      <c r="T4725" s="14">
        <f>R4725-S4725</f>
        <v/>
      </c>
      <c r="U4725" s="14">
        <f>L4725*G4725</f>
        <v/>
      </c>
    </row>
    <row r="4726">
      <c r="A4726" s="12" t="inlineStr">
        <is>
          <t>PO-2023-4724</t>
        </is>
      </c>
      <c r="B4726" s="26" t="n">
        <v>44535</v>
      </c>
      <c r="C4726" s="12" t="inlineStr">
        <is>
          <t>VS22</t>
        </is>
      </c>
      <c r="D4726" s="12" t="inlineStr">
        <is>
          <t>GI Sheets</t>
        </is>
      </c>
      <c r="E4726" s="12" t="inlineStr">
        <is>
          <t>N</t>
        </is>
      </c>
      <c r="F4726" s="12" t="n">
        <v>33.94</v>
      </c>
      <c r="G4726" s="17" t="n">
        <v>77208.3</v>
      </c>
      <c r="H4726" s="26" t="n">
        <v>44542</v>
      </c>
      <c r="I4726" s="26" t="n">
        <v>44545</v>
      </c>
      <c r="J4726" s="12" t="n">
        <v>33.8</v>
      </c>
      <c r="K4726" s="17" t="n">
        <v>2620449.7</v>
      </c>
      <c r="L4726" s="12" t="n">
        <v>0</v>
      </c>
      <c r="M4726" s="12" t="n">
        <v>13</v>
      </c>
      <c r="N4726" s="27">
        <f>F4726-J4726</f>
        <v/>
      </c>
      <c r="O4726" s="16">
        <f>I4726-H4726</f>
        <v/>
      </c>
      <c r="P4726" s="14">
        <f>F4726*G4726</f>
        <v/>
      </c>
      <c r="Q4726" s="14">
        <f>J4726*G4726</f>
        <v/>
      </c>
      <c r="R4726" s="14">
        <f>K4726-Q4726</f>
        <v/>
      </c>
      <c r="S4726" s="3">
        <f>P4726*Assumptions!$B$3/100</f>
        <v/>
      </c>
      <c r="T4726" s="14">
        <f>R4726-S4726</f>
        <v/>
      </c>
      <c r="U4726" s="14">
        <f>L4726*G4726</f>
        <v/>
      </c>
    </row>
    <row r="4727">
      <c r="A4727" s="12" t="inlineStr">
        <is>
          <t>PO-2023-4725</t>
        </is>
      </c>
      <c r="B4727" s="26" t="n">
        <v>44561</v>
      </c>
      <c r="C4727" s="12" t="inlineStr">
        <is>
          <t>VS34</t>
        </is>
      </c>
      <c r="D4727" s="12" t="inlineStr">
        <is>
          <t>HR Coils</t>
        </is>
      </c>
      <c r="E4727" s="12" t="inlineStr">
        <is>
          <t>N</t>
        </is>
      </c>
      <c r="F4727" s="12" t="n">
        <v>26.35</v>
      </c>
      <c r="G4727" s="17" t="n">
        <v>93306.96000000001</v>
      </c>
      <c r="H4727" s="26" t="n">
        <v>44574</v>
      </c>
      <c r="I4727" s="26" t="n">
        <v>44576</v>
      </c>
      <c r="J4727" s="12" t="n">
        <v>26.11</v>
      </c>
      <c r="K4727" s="17" t="n">
        <v>2458638.4</v>
      </c>
      <c r="L4727" s="12" t="n">
        <v>0</v>
      </c>
      <c r="M4727" s="12" t="n">
        <v>13</v>
      </c>
      <c r="N4727" s="27">
        <f>F4727-J4727</f>
        <v/>
      </c>
      <c r="O4727" s="16">
        <f>I4727-H4727</f>
        <v/>
      </c>
      <c r="P4727" s="14">
        <f>F4727*G4727</f>
        <v/>
      </c>
      <c r="Q4727" s="14">
        <f>J4727*G4727</f>
        <v/>
      </c>
      <c r="R4727" s="14">
        <f>K4727-Q4727</f>
        <v/>
      </c>
      <c r="S4727" s="3">
        <f>P4727*Assumptions!$B$3/100</f>
        <v/>
      </c>
      <c r="T4727" s="14">
        <f>R4727-S4727</f>
        <v/>
      </c>
      <c r="U4727" s="14">
        <f>L4727*G4727</f>
        <v/>
      </c>
    </row>
    <row r="4728">
      <c r="A4728" s="12" t="inlineStr">
        <is>
          <t>PO-2023-4726</t>
        </is>
      </c>
      <c r="B4728" s="26" t="n">
        <v>45171</v>
      </c>
      <c r="C4728" s="12" t="inlineStr">
        <is>
          <t>VS18</t>
        </is>
      </c>
      <c r="D4728" s="12" t="inlineStr">
        <is>
          <t>Fasteners &amp; Fittings</t>
        </is>
      </c>
      <c r="E4728" s="12" t="inlineStr">
        <is>
          <t>N</t>
        </is>
      </c>
      <c r="F4728" s="12" t="n">
        <v>22.8</v>
      </c>
      <c r="G4728" s="17" t="n">
        <v>71287.87</v>
      </c>
      <c r="H4728" s="26" t="n">
        <v>45186</v>
      </c>
      <c r="I4728" s="26" t="n">
        <v>45189</v>
      </c>
      <c r="J4728" s="12" t="n">
        <v>22.8</v>
      </c>
      <c r="K4728" s="17" t="n">
        <v>1625363.44</v>
      </c>
      <c r="L4728" s="12" t="n">
        <v>0</v>
      </c>
      <c r="M4728" s="12" t="n">
        <v>13</v>
      </c>
      <c r="N4728" s="27">
        <f>F4728-J4728</f>
        <v/>
      </c>
      <c r="O4728" s="16">
        <f>I4728-H4728</f>
        <v/>
      </c>
      <c r="P4728" s="14">
        <f>F4728*G4728</f>
        <v/>
      </c>
      <c r="Q4728" s="14">
        <f>J4728*G4728</f>
        <v/>
      </c>
      <c r="R4728" s="14">
        <f>K4728-Q4728</f>
        <v/>
      </c>
      <c r="S4728" s="3">
        <f>P4728*Assumptions!$B$3/100</f>
        <v/>
      </c>
      <c r="T4728" s="14">
        <f>R4728-S4728</f>
        <v/>
      </c>
      <c r="U4728" s="14">
        <f>L4728*G4728</f>
        <v/>
      </c>
    </row>
    <row r="4729">
      <c r="A4729" s="12" t="inlineStr">
        <is>
          <t>PO-2023-4727</t>
        </is>
      </c>
      <c r="B4729" s="26" t="n">
        <v>44850</v>
      </c>
      <c r="C4729" s="12" t="inlineStr">
        <is>
          <t>VS03</t>
        </is>
      </c>
      <c r="D4729" s="12" t="inlineStr">
        <is>
          <t>Structural Steel</t>
        </is>
      </c>
      <c r="E4729" s="12" t="inlineStr">
        <is>
          <t>N</t>
        </is>
      </c>
      <c r="F4729" s="12" t="n">
        <v>1.92</v>
      </c>
      <c r="G4729" s="17" t="n">
        <v>72239.2</v>
      </c>
      <c r="H4729" s="26" t="n">
        <v>44864</v>
      </c>
      <c r="I4729" s="26" t="n">
        <v>44867</v>
      </c>
      <c r="J4729" s="12" t="n">
        <v>1.83</v>
      </c>
      <c r="K4729" s="17" t="n">
        <v>138699.26</v>
      </c>
      <c r="L4729" s="12" t="n">
        <v>0.05</v>
      </c>
      <c r="M4729" s="12" t="n">
        <v>0</v>
      </c>
      <c r="N4729" s="27">
        <f>F4729-J4729</f>
        <v/>
      </c>
      <c r="O4729" s="16">
        <f>I4729-H4729</f>
        <v/>
      </c>
      <c r="P4729" s="14">
        <f>F4729*G4729</f>
        <v/>
      </c>
      <c r="Q4729" s="14">
        <f>J4729*G4729</f>
        <v/>
      </c>
      <c r="R4729" s="14">
        <f>K4729-Q4729</f>
        <v/>
      </c>
      <c r="S4729" s="3">
        <f>P4729*Assumptions!$B$3/100</f>
        <v/>
      </c>
      <c r="T4729" s="14">
        <f>R4729-S4729</f>
        <v/>
      </c>
      <c r="U4729" s="14">
        <f>L4729*G4729</f>
        <v/>
      </c>
    </row>
    <row r="4730">
      <c r="A4730" s="12" t="inlineStr">
        <is>
          <t>PO-2023-4728</t>
        </is>
      </c>
      <c r="B4730" s="26" t="n">
        <v>44736</v>
      </c>
      <c r="C4730" s="12" t="inlineStr">
        <is>
          <t>VS14</t>
        </is>
      </c>
      <c r="D4730" s="12" t="inlineStr">
        <is>
          <t>SS Sheets</t>
        </is>
      </c>
      <c r="E4730" s="12" t="inlineStr">
        <is>
          <t>N</t>
        </is>
      </c>
      <c r="F4730" s="12" t="n">
        <v>11.91</v>
      </c>
      <c r="G4730" s="17" t="n">
        <v>102437.63</v>
      </c>
      <c r="H4730" s="26" t="n">
        <v>44747</v>
      </c>
      <c r="I4730" s="26" t="n">
        <v>44748</v>
      </c>
      <c r="J4730" s="12" t="n">
        <v>11.82</v>
      </c>
      <c r="K4730" s="17" t="n">
        <v>1220032.17</v>
      </c>
      <c r="L4730" s="12" t="n">
        <v>0</v>
      </c>
      <c r="M4730" s="12" t="n">
        <v>0</v>
      </c>
      <c r="N4730" s="27">
        <f>F4730-J4730</f>
        <v/>
      </c>
      <c r="O4730" s="16">
        <f>I4730-H4730</f>
        <v/>
      </c>
      <c r="P4730" s="14">
        <f>F4730*G4730</f>
        <v/>
      </c>
      <c r="Q4730" s="14">
        <f>J4730*G4730</f>
        <v/>
      </c>
      <c r="R4730" s="14">
        <f>K4730-Q4730</f>
        <v/>
      </c>
      <c r="S4730" s="3">
        <f>P4730*Assumptions!$B$3/100</f>
        <v/>
      </c>
      <c r="T4730" s="14">
        <f>R4730-S4730</f>
        <v/>
      </c>
      <c r="U4730" s="14">
        <f>L4730*G4730</f>
        <v/>
      </c>
    </row>
    <row r="4731">
      <c r="A4731" s="12" t="inlineStr">
        <is>
          <t>PO-2023-4729</t>
        </is>
      </c>
      <c r="B4731" s="26" t="n">
        <v>45161</v>
      </c>
      <c r="C4731" s="12" t="inlineStr">
        <is>
          <t>VS32</t>
        </is>
      </c>
      <c r="D4731" s="12" t="inlineStr">
        <is>
          <t>ERW Pipes</t>
        </is>
      </c>
      <c r="E4731" s="12" t="inlineStr">
        <is>
          <t>N</t>
        </is>
      </c>
      <c r="F4731" s="12" t="n">
        <v>17.48</v>
      </c>
      <c r="G4731" s="17" t="n">
        <v>75789.53999999999</v>
      </c>
      <c r="H4731" s="26" t="n">
        <v>45173</v>
      </c>
      <c r="I4731" s="26" t="n">
        <v>45173</v>
      </c>
      <c r="J4731" s="12" t="n">
        <v>17.41</v>
      </c>
      <c r="K4731" s="17" t="n">
        <v>1324801.16</v>
      </c>
      <c r="L4731" s="12" t="n">
        <v>0</v>
      </c>
      <c r="M4731" s="12" t="n">
        <v>15</v>
      </c>
      <c r="N4731" s="27">
        <f>F4731-J4731</f>
        <v/>
      </c>
      <c r="O4731" s="16">
        <f>I4731-H4731</f>
        <v/>
      </c>
      <c r="P4731" s="14">
        <f>F4731*G4731</f>
        <v/>
      </c>
      <c r="Q4731" s="14">
        <f>J4731*G4731</f>
        <v/>
      </c>
      <c r="R4731" s="14">
        <f>K4731-Q4731</f>
        <v/>
      </c>
      <c r="S4731" s="3">
        <f>P4731*Assumptions!$B$3/100</f>
        <v/>
      </c>
      <c r="T4731" s="14">
        <f>R4731-S4731</f>
        <v/>
      </c>
      <c r="U4731" s="14">
        <f>L4731*G4731</f>
        <v/>
      </c>
    </row>
    <row r="4732">
      <c r="A4732" s="12" t="inlineStr">
        <is>
          <t>PO-2023-4730</t>
        </is>
      </c>
      <c r="B4732" s="26" t="n">
        <v>44554</v>
      </c>
      <c r="C4732" s="12" t="inlineStr">
        <is>
          <t>VS10</t>
        </is>
      </c>
      <c r="D4732" s="12" t="inlineStr">
        <is>
          <t>MS Pipes</t>
        </is>
      </c>
      <c r="E4732" s="12" t="inlineStr">
        <is>
          <t>N</t>
        </is>
      </c>
      <c r="F4732" s="12" t="n">
        <v>41.67</v>
      </c>
      <c r="G4732" s="17" t="n">
        <v>64922.36</v>
      </c>
      <c r="H4732" s="26" t="n">
        <v>44566</v>
      </c>
      <c r="I4732" s="26" t="n">
        <v>44568</v>
      </c>
      <c r="J4732" s="12" t="n">
        <v>41.36</v>
      </c>
      <c r="K4732" s="17" t="n">
        <v>2705314.74</v>
      </c>
      <c r="L4732" s="12" t="n">
        <v>0</v>
      </c>
      <c r="M4732" s="12" t="n">
        <v>0</v>
      </c>
      <c r="N4732" s="27">
        <f>F4732-J4732</f>
        <v/>
      </c>
      <c r="O4732" s="16">
        <f>I4732-H4732</f>
        <v/>
      </c>
      <c r="P4732" s="14">
        <f>F4732*G4732</f>
        <v/>
      </c>
      <c r="Q4732" s="14">
        <f>J4732*G4732</f>
        <v/>
      </c>
      <c r="R4732" s="14">
        <f>K4732-Q4732</f>
        <v/>
      </c>
      <c r="S4732" s="3">
        <f>P4732*Assumptions!$B$3/100</f>
        <v/>
      </c>
      <c r="T4732" s="14">
        <f>R4732-S4732</f>
        <v/>
      </c>
      <c r="U4732" s="14">
        <f>L4732*G4732</f>
        <v/>
      </c>
    </row>
    <row r="4733">
      <c r="A4733" s="12" t="inlineStr">
        <is>
          <t>PO-2023-4731</t>
        </is>
      </c>
      <c r="B4733" s="26" t="n">
        <v>44307</v>
      </c>
      <c r="C4733" s="12" t="inlineStr">
        <is>
          <t>VS32</t>
        </is>
      </c>
      <c r="D4733" s="12" t="inlineStr">
        <is>
          <t>MS Rods</t>
        </is>
      </c>
      <c r="E4733" s="12" t="inlineStr">
        <is>
          <t>N</t>
        </is>
      </c>
      <c r="F4733" s="12" t="n">
        <v>47.38</v>
      </c>
      <c r="G4733" s="17" t="n">
        <v>97045.02</v>
      </c>
      <c r="H4733" s="26" t="n">
        <v>44314</v>
      </c>
      <c r="I4733" s="26" t="n">
        <v>44317</v>
      </c>
      <c r="J4733" s="12" t="n">
        <v>47.17</v>
      </c>
      <c r="K4733" s="17" t="n">
        <v>4597993.05</v>
      </c>
      <c r="L4733" s="12" t="n">
        <v>0</v>
      </c>
      <c r="M4733" s="12" t="n">
        <v>13</v>
      </c>
      <c r="N4733" s="27">
        <f>F4733-J4733</f>
        <v/>
      </c>
      <c r="O4733" s="16">
        <f>I4733-H4733</f>
        <v/>
      </c>
      <c r="P4733" s="14">
        <f>F4733*G4733</f>
        <v/>
      </c>
      <c r="Q4733" s="14">
        <f>J4733*G4733</f>
        <v/>
      </c>
      <c r="R4733" s="14">
        <f>K4733-Q4733</f>
        <v/>
      </c>
      <c r="S4733" s="3">
        <f>P4733*Assumptions!$B$3/100</f>
        <v/>
      </c>
      <c r="T4733" s="14">
        <f>R4733-S4733</f>
        <v/>
      </c>
      <c r="U4733" s="14">
        <f>L4733*G4733</f>
        <v/>
      </c>
    </row>
    <row r="4734">
      <c r="A4734" s="12" t="inlineStr">
        <is>
          <t>PO-2023-4732</t>
        </is>
      </c>
      <c r="B4734" s="26" t="n">
        <v>44427</v>
      </c>
      <c r="C4734" s="12" t="inlineStr">
        <is>
          <t>VS23</t>
        </is>
      </c>
      <c r="D4734" s="12" t="inlineStr">
        <is>
          <t>GI Sheets</t>
        </is>
      </c>
      <c r="E4734" s="12" t="inlineStr">
        <is>
          <t>N</t>
        </is>
      </c>
      <c r="F4734" s="12" t="n">
        <v>18.64</v>
      </c>
      <c r="G4734" s="17" t="n">
        <v>79785.97</v>
      </c>
      <c r="H4734" s="26" t="n">
        <v>44431</v>
      </c>
      <c r="I4734" s="26" t="n">
        <v>44433</v>
      </c>
      <c r="J4734" s="12" t="n">
        <v>18.62</v>
      </c>
      <c r="K4734" s="17" t="n">
        <v>1487210.48</v>
      </c>
      <c r="L4734" s="12" t="n">
        <v>0</v>
      </c>
      <c r="M4734" s="12" t="n">
        <v>0</v>
      </c>
      <c r="N4734" s="27">
        <f>F4734-J4734</f>
        <v/>
      </c>
      <c r="O4734" s="16">
        <f>I4734-H4734</f>
        <v/>
      </c>
      <c r="P4734" s="14">
        <f>F4734*G4734</f>
        <v/>
      </c>
      <c r="Q4734" s="14">
        <f>J4734*G4734</f>
        <v/>
      </c>
      <c r="R4734" s="14">
        <f>K4734-Q4734</f>
        <v/>
      </c>
      <c r="S4734" s="3">
        <f>P4734*Assumptions!$B$3/100</f>
        <v/>
      </c>
      <c r="T4734" s="14">
        <f>R4734-S4734</f>
        <v/>
      </c>
      <c r="U4734" s="14">
        <f>L4734*G4734</f>
        <v/>
      </c>
    </row>
    <row r="4735">
      <c r="A4735" s="12" t="inlineStr">
        <is>
          <t>PO-2023-4733</t>
        </is>
      </c>
      <c r="B4735" s="26" t="n">
        <v>44301</v>
      </c>
      <c r="C4735" s="12" t="inlineStr">
        <is>
          <t>VS04</t>
        </is>
      </c>
      <c r="D4735" s="12" t="inlineStr">
        <is>
          <t>ERW Pipes</t>
        </is>
      </c>
      <c r="E4735" s="12" t="inlineStr">
        <is>
          <t>N</t>
        </is>
      </c>
      <c r="F4735" s="12" t="n">
        <v>7.03</v>
      </c>
      <c r="G4735" s="17" t="n">
        <v>69976.94</v>
      </c>
      <c r="H4735" s="26" t="n">
        <v>44308</v>
      </c>
      <c r="I4735" s="26" t="n">
        <v>44309</v>
      </c>
      <c r="J4735" s="12" t="n">
        <v>6.97</v>
      </c>
      <c r="K4735" s="17" t="n">
        <v>491937.89</v>
      </c>
      <c r="L4735" s="12" t="n">
        <v>0</v>
      </c>
      <c r="M4735" s="12" t="n">
        <v>24</v>
      </c>
      <c r="N4735" s="27">
        <f>F4735-J4735</f>
        <v/>
      </c>
      <c r="O4735" s="16">
        <f>I4735-H4735</f>
        <v/>
      </c>
      <c r="P4735" s="14">
        <f>F4735*G4735</f>
        <v/>
      </c>
      <c r="Q4735" s="14">
        <f>J4735*G4735</f>
        <v/>
      </c>
      <c r="R4735" s="14">
        <f>K4735-Q4735</f>
        <v/>
      </c>
      <c r="S4735" s="3">
        <f>P4735*Assumptions!$B$3/100</f>
        <v/>
      </c>
      <c r="T4735" s="14">
        <f>R4735-S4735</f>
        <v/>
      </c>
      <c r="U4735" s="14">
        <f>L4735*G4735</f>
        <v/>
      </c>
    </row>
    <row r="4736">
      <c r="A4736" s="12" t="inlineStr">
        <is>
          <t>PO-2023-4734</t>
        </is>
      </c>
      <c r="B4736" s="26" t="n">
        <v>45143</v>
      </c>
      <c r="C4736" s="12" t="inlineStr">
        <is>
          <t>VS30</t>
        </is>
      </c>
      <c r="D4736" s="12" t="inlineStr">
        <is>
          <t>HR Coils</t>
        </is>
      </c>
      <c r="E4736" s="12" t="inlineStr">
        <is>
          <t>N</t>
        </is>
      </c>
      <c r="F4736" s="12" t="n">
        <v>38.56</v>
      </c>
      <c r="G4736" s="17" t="n">
        <v>91092.12</v>
      </c>
      <c r="H4736" s="26" t="n">
        <v>45150</v>
      </c>
      <c r="I4736" s="26" t="n">
        <v>45152</v>
      </c>
      <c r="J4736" s="12" t="n">
        <v>38.38</v>
      </c>
      <c r="K4736" s="17" t="n">
        <v>3512512.15</v>
      </c>
      <c r="L4736" s="12" t="n">
        <v>0</v>
      </c>
      <c r="M4736" s="12" t="n">
        <v>3</v>
      </c>
      <c r="N4736" s="27">
        <f>F4736-J4736</f>
        <v/>
      </c>
      <c r="O4736" s="16">
        <f>I4736-H4736</f>
        <v/>
      </c>
      <c r="P4736" s="14">
        <f>F4736*G4736</f>
        <v/>
      </c>
      <c r="Q4736" s="14">
        <f>J4736*G4736</f>
        <v/>
      </c>
      <c r="R4736" s="14">
        <f>K4736-Q4736</f>
        <v/>
      </c>
      <c r="S4736" s="3">
        <f>P4736*Assumptions!$B$3/100</f>
        <v/>
      </c>
      <c r="T4736" s="14">
        <f>R4736-S4736</f>
        <v/>
      </c>
      <c r="U4736" s="14">
        <f>L4736*G4736</f>
        <v/>
      </c>
    </row>
    <row r="4737">
      <c r="A4737" s="12" t="inlineStr">
        <is>
          <t>PO-2023-4735</t>
        </is>
      </c>
      <c r="B4737" s="26" t="n">
        <v>44689</v>
      </c>
      <c r="C4737" s="12" t="inlineStr">
        <is>
          <t>VS05</t>
        </is>
      </c>
      <c r="D4737" s="12" t="inlineStr">
        <is>
          <t>CR Sheets</t>
        </is>
      </c>
      <c r="E4737" s="12" t="inlineStr">
        <is>
          <t>Y</t>
        </is>
      </c>
      <c r="F4737" s="12" t="n">
        <v>35.02</v>
      </c>
      <c r="G4737" s="17" t="n">
        <v>81281.75</v>
      </c>
      <c r="H4737" s="26" t="n">
        <v>44694</v>
      </c>
      <c r="I4737" s="26" t="n">
        <v>44697</v>
      </c>
      <c r="J4737" s="12" t="n">
        <v>34.99</v>
      </c>
      <c r="K4737" s="17" t="n">
        <v>2846486.89</v>
      </c>
      <c r="L4737" s="12" t="n">
        <v>0</v>
      </c>
      <c r="M4737" s="12" t="n">
        <v>0</v>
      </c>
      <c r="N4737" s="27">
        <f>F4737-J4737</f>
        <v/>
      </c>
      <c r="O4737" s="16">
        <f>I4737-H4737</f>
        <v/>
      </c>
      <c r="P4737" s="14">
        <f>F4737*G4737</f>
        <v/>
      </c>
      <c r="Q4737" s="14">
        <f>J4737*G4737</f>
        <v/>
      </c>
      <c r="R4737" s="14">
        <f>K4737-Q4737</f>
        <v/>
      </c>
      <c r="S4737" s="3">
        <f>P4737*Assumptions!$B$3/100</f>
        <v/>
      </c>
      <c r="T4737" s="14">
        <f>R4737-S4737</f>
        <v/>
      </c>
      <c r="U4737" s="14">
        <f>L4737*G4737</f>
        <v/>
      </c>
    </row>
    <row r="4738">
      <c r="A4738" s="12" t="inlineStr">
        <is>
          <t>PO-2023-4736</t>
        </is>
      </c>
      <c r="B4738" s="26" t="n">
        <v>44918</v>
      </c>
      <c r="C4738" s="12" t="inlineStr">
        <is>
          <t>VS24</t>
        </is>
      </c>
      <c r="D4738" s="12" t="inlineStr">
        <is>
          <t>Fasteners &amp; Fittings</t>
        </is>
      </c>
      <c r="E4738" s="12" t="inlineStr">
        <is>
          <t>N</t>
        </is>
      </c>
      <c r="F4738" s="12" t="n">
        <v>48.13</v>
      </c>
      <c r="G4738" s="17" t="n">
        <v>70257.49000000001</v>
      </c>
      <c r="H4738" s="26" t="n">
        <v>44925</v>
      </c>
      <c r="I4738" s="26" t="n">
        <v>44926</v>
      </c>
      <c r="J4738" s="12" t="n">
        <v>47.83</v>
      </c>
      <c r="K4738" s="17" t="n">
        <v>3381492.99</v>
      </c>
      <c r="L4738" s="12" t="n">
        <v>0</v>
      </c>
      <c r="M4738" s="12" t="n">
        <v>0</v>
      </c>
      <c r="N4738" s="27">
        <f>F4738-J4738</f>
        <v/>
      </c>
      <c r="O4738" s="16">
        <f>I4738-H4738</f>
        <v/>
      </c>
      <c r="P4738" s="14">
        <f>F4738*G4738</f>
        <v/>
      </c>
      <c r="Q4738" s="14">
        <f>J4738*G4738</f>
        <v/>
      </c>
      <c r="R4738" s="14">
        <f>K4738-Q4738</f>
        <v/>
      </c>
      <c r="S4738" s="3">
        <f>P4738*Assumptions!$B$3/100</f>
        <v/>
      </c>
      <c r="T4738" s="14">
        <f>R4738-S4738</f>
        <v/>
      </c>
      <c r="U4738" s="14">
        <f>L4738*G4738</f>
        <v/>
      </c>
    </row>
    <row r="4739">
      <c r="A4739" s="12" t="inlineStr">
        <is>
          <t>PO-2023-4737</t>
        </is>
      </c>
      <c r="B4739" s="26" t="n">
        <v>44409</v>
      </c>
      <c r="C4739" s="12" t="inlineStr">
        <is>
          <t>VS15</t>
        </is>
      </c>
      <c r="D4739" s="12" t="inlineStr">
        <is>
          <t>MS Flats</t>
        </is>
      </c>
      <c r="E4739" s="12" t="inlineStr">
        <is>
          <t>N</t>
        </is>
      </c>
      <c r="F4739" s="12" t="n">
        <v>14.25</v>
      </c>
      <c r="G4739" s="17" t="n">
        <v>117480.29</v>
      </c>
      <c r="H4739" s="26" t="n">
        <v>44422</v>
      </c>
      <c r="I4739" s="26" t="n">
        <v>44422</v>
      </c>
      <c r="J4739" s="12" t="n">
        <v>14.14</v>
      </c>
      <c r="K4739" s="17" t="n">
        <v>1674094.13</v>
      </c>
      <c r="L4739" s="12" t="n">
        <v>0</v>
      </c>
      <c r="M4739" s="12" t="n">
        <v>14</v>
      </c>
      <c r="N4739" s="27">
        <f>F4739-J4739</f>
        <v/>
      </c>
      <c r="O4739" s="16">
        <f>I4739-H4739</f>
        <v/>
      </c>
      <c r="P4739" s="14">
        <f>F4739*G4739</f>
        <v/>
      </c>
      <c r="Q4739" s="14">
        <f>J4739*G4739</f>
        <v/>
      </c>
      <c r="R4739" s="14">
        <f>K4739-Q4739</f>
        <v/>
      </c>
      <c r="S4739" s="3">
        <f>P4739*Assumptions!$B$3/100</f>
        <v/>
      </c>
      <c r="T4739" s="14">
        <f>R4739-S4739</f>
        <v/>
      </c>
      <c r="U4739" s="14">
        <f>L4739*G4739</f>
        <v/>
      </c>
    </row>
    <row r="4740">
      <c r="A4740" s="12" t="inlineStr">
        <is>
          <t>PO-2023-4738</t>
        </is>
      </c>
      <c r="B4740" s="26" t="n">
        <v>45196</v>
      </c>
      <c r="C4740" s="12" t="inlineStr">
        <is>
          <t>VS20</t>
        </is>
      </c>
      <c r="D4740" s="12" t="inlineStr">
        <is>
          <t>ERW Pipes</t>
        </is>
      </c>
      <c r="E4740" s="12" t="inlineStr">
        <is>
          <t>N</t>
        </is>
      </c>
      <c r="F4740" s="12" t="n">
        <v>20.28</v>
      </c>
      <c r="G4740" s="17" t="n">
        <v>69659.92999999999</v>
      </c>
      <c r="H4740" s="26" t="n">
        <v>45209</v>
      </c>
      <c r="I4740" s="26" t="n">
        <v>45209</v>
      </c>
      <c r="J4740" s="12" t="n">
        <v>20.16</v>
      </c>
      <c r="K4740" s="17" t="n">
        <v>1412703.38</v>
      </c>
      <c r="L4740" s="12" t="n">
        <v>0</v>
      </c>
      <c r="M4740" s="12" t="n">
        <v>0</v>
      </c>
      <c r="N4740" s="27">
        <f>F4740-J4740</f>
        <v/>
      </c>
      <c r="O4740" s="16">
        <f>I4740-H4740</f>
        <v/>
      </c>
      <c r="P4740" s="14">
        <f>F4740*G4740</f>
        <v/>
      </c>
      <c r="Q4740" s="14">
        <f>J4740*G4740</f>
        <v/>
      </c>
      <c r="R4740" s="14">
        <f>K4740-Q4740</f>
        <v/>
      </c>
      <c r="S4740" s="3">
        <f>P4740*Assumptions!$B$3/100</f>
        <v/>
      </c>
      <c r="T4740" s="14">
        <f>R4740-S4740</f>
        <v/>
      </c>
      <c r="U4740" s="14">
        <f>L4740*G4740</f>
        <v/>
      </c>
    </row>
    <row r="4741">
      <c r="A4741" s="12" t="inlineStr">
        <is>
          <t>PO-2023-4739</t>
        </is>
      </c>
      <c r="B4741" s="26" t="n">
        <v>44963</v>
      </c>
      <c r="C4741" s="12" t="inlineStr">
        <is>
          <t>VS30</t>
        </is>
      </c>
      <c r="D4741" s="12" t="inlineStr">
        <is>
          <t>GI Sheets</t>
        </is>
      </c>
      <c r="E4741" s="12" t="inlineStr">
        <is>
          <t>Y</t>
        </is>
      </c>
      <c r="F4741" s="12" t="n">
        <v>31.36</v>
      </c>
      <c r="G4741" s="17" t="n">
        <v>68555.53999999999</v>
      </c>
      <c r="H4741" s="26" t="n">
        <v>44969</v>
      </c>
      <c r="I4741" s="26" t="n">
        <v>44972</v>
      </c>
      <c r="J4741" s="12" t="n">
        <v>31.14</v>
      </c>
      <c r="K4741" s="17" t="n">
        <v>2149901.73</v>
      </c>
      <c r="L4741" s="12" t="n">
        <v>0</v>
      </c>
      <c r="M4741" s="12" t="n">
        <v>0</v>
      </c>
      <c r="N4741" s="27">
        <f>F4741-J4741</f>
        <v/>
      </c>
      <c r="O4741" s="16">
        <f>I4741-H4741</f>
        <v/>
      </c>
      <c r="P4741" s="14">
        <f>F4741*G4741</f>
        <v/>
      </c>
      <c r="Q4741" s="14">
        <f>J4741*G4741</f>
        <v/>
      </c>
      <c r="R4741" s="14">
        <f>K4741-Q4741</f>
        <v/>
      </c>
      <c r="S4741" s="3">
        <f>P4741*Assumptions!$B$3/100</f>
        <v/>
      </c>
      <c r="T4741" s="14">
        <f>R4741-S4741</f>
        <v/>
      </c>
      <c r="U4741" s="14">
        <f>L4741*G4741</f>
        <v/>
      </c>
    </row>
    <row r="4742">
      <c r="A4742" s="12" t="inlineStr">
        <is>
          <t>PO-2023-4740</t>
        </is>
      </c>
      <c r="B4742" s="26" t="n">
        <v>44493</v>
      </c>
      <c r="C4742" s="12" t="inlineStr">
        <is>
          <t>VS24</t>
        </is>
      </c>
      <c r="D4742" s="12" t="inlineStr">
        <is>
          <t>Angles &amp; Channels</t>
        </is>
      </c>
      <c r="E4742" s="12" t="inlineStr">
        <is>
          <t>N</t>
        </is>
      </c>
      <c r="F4742" s="12" t="n">
        <v>18.13</v>
      </c>
      <c r="G4742" s="17" t="n">
        <v>46323.97</v>
      </c>
      <c r="H4742" s="26" t="n">
        <v>44508</v>
      </c>
      <c r="I4742" s="26" t="n">
        <v>44511</v>
      </c>
      <c r="J4742" s="12" t="n">
        <v>18.06</v>
      </c>
      <c r="K4742" s="17" t="n">
        <v>839853.58</v>
      </c>
      <c r="L4742" s="12" t="n">
        <v>0</v>
      </c>
      <c r="M4742" s="12" t="n">
        <v>0</v>
      </c>
      <c r="N4742" s="27">
        <f>F4742-J4742</f>
        <v/>
      </c>
      <c r="O4742" s="16">
        <f>I4742-H4742</f>
        <v/>
      </c>
      <c r="P4742" s="14">
        <f>F4742*G4742</f>
        <v/>
      </c>
      <c r="Q4742" s="14">
        <f>J4742*G4742</f>
        <v/>
      </c>
      <c r="R4742" s="14">
        <f>K4742-Q4742</f>
        <v/>
      </c>
      <c r="S4742" s="3">
        <f>P4742*Assumptions!$B$3/100</f>
        <v/>
      </c>
      <c r="T4742" s="14">
        <f>R4742-S4742</f>
        <v/>
      </c>
      <c r="U4742" s="14">
        <f>L4742*G4742</f>
        <v/>
      </c>
    </row>
    <row r="4743">
      <c r="A4743" s="12" t="inlineStr">
        <is>
          <t>PO-2023-4741</t>
        </is>
      </c>
      <c r="B4743" s="26" t="n">
        <v>44901</v>
      </c>
      <c r="C4743" s="12" t="inlineStr">
        <is>
          <t>VS32</t>
        </is>
      </c>
      <c r="D4743" s="12" t="inlineStr">
        <is>
          <t>SS Sheets</t>
        </is>
      </c>
      <c r="E4743" s="12" t="inlineStr">
        <is>
          <t>N</t>
        </is>
      </c>
      <c r="F4743" s="12" t="n">
        <v>41.81</v>
      </c>
      <c r="G4743" s="17" t="n">
        <v>72159.39999999999</v>
      </c>
      <c r="H4743" s="26" t="n">
        <v>44912</v>
      </c>
      <c r="I4743" s="26" t="n">
        <v>44913</v>
      </c>
      <c r="J4743" s="12" t="n">
        <v>41.66</v>
      </c>
      <c r="K4743" s="17" t="n">
        <v>3016984.51</v>
      </c>
      <c r="L4743" s="12" t="n">
        <v>0</v>
      </c>
      <c r="M4743" s="12" t="n">
        <v>0</v>
      </c>
      <c r="N4743" s="27">
        <f>F4743-J4743</f>
        <v/>
      </c>
      <c r="O4743" s="16">
        <f>I4743-H4743</f>
        <v/>
      </c>
      <c r="P4743" s="14">
        <f>F4743*G4743</f>
        <v/>
      </c>
      <c r="Q4743" s="14">
        <f>J4743*G4743</f>
        <v/>
      </c>
      <c r="R4743" s="14">
        <f>K4743-Q4743</f>
        <v/>
      </c>
      <c r="S4743" s="3">
        <f>P4743*Assumptions!$B$3/100</f>
        <v/>
      </c>
      <c r="T4743" s="14">
        <f>R4743-S4743</f>
        <v/>
      </c>
      <c r="U4743" s="14">
        <f>L4743*G4743</f>
        <v/>
      </c>
    </row>
    <row r="4744">
      <c r="A4744" s="12" t="inlineStr">
        <is>
          <t>PO-2023-4742</t>
        </is>
      </c>
      <c r="B4744" s="26" t="n">
        <v>44397</v>
      </c>
      <c r="C4744" s="12" t="inlineStr">
        <is>
          <t>VS27</t>
        </is>
      </c>
      <c r="D4744" s="12" t="inlineStr">
        <is>
          <t>MS Rods</t>
        </is>
      </c>
      <c r="E4744" s="12" t="inlineStr">
        <is>
          <t>N</t>
        </is>
      </c>
      <c r="F4744" s="12" t="n">
        <v>3.17</v>
      </c>
      <c r="G4744" s="17" t="n">
        <v>104056.11</v>
      </c>
      <c r="H4744" s="26" t="n">
        <v>44408</v>
      </c>
      <c r="I4744" s="26" t="n">
        <v>44411</v>
      </c>
      <c r="J4744" s="12" t="n">
        <v>3.16</v>
      </c>
      <c r="K4744" s="17" t="n">
        <v>329857.87</v>
      </c>
      <c r="L4744" s="12" t="n">
        <v>0</v>
      </c>
      <c r="M4744" s="12" t="n">
        <v>24</v>
      </c>
      <c r="N4744" s="27">
        <f>F4744-J4744</f>
        <v/>
      </c>
      <c r="O4744" s="16">
        <f>I4744-H4744</f>
        <v/>
      </c>
      <c r="P4744" s="14">
        <f>F4744*G4744</f>
        <v/>
      </c>
      <c r="Q4744" s="14">
        <f>J4744*G4744</f>
        <v/>
      </c>
      <c r="R4744" s="14">
        <f>K4744-Q4744</f>
        <v/>
      </c>
      <c r="S4744" s="3">
        <f>P4744*Assumptions!$B$3/100</f>
        <v/>
      </c>
      <c r="T4744" s="14">
        <f>R4744-S4744</f>
        <v/>
      </c>
      <c r="U4744" s="14">
        <f>L4744*G4744</f>
        <v/>
      </c>
    </row>
    <row r="4745">
      <c r="A4745" s="12" t="inlineStr">
        <is>
          <t>PO-2023-4743</t>
        </is>
      </c>
      <c r="B4745" s="26" t="n">
        <v>44734</v>
      </c>
      <c r="C4745" s="12" t="inlineStr">
        <is>
          <t>VS08</t>
        </is>
      </c>
      <c r="D4745" s="12" t="inlineStr">
        <is>
          <t>GI Sheets</t>
        </is>
      </c>
      <c r="E4745" s="12" t="inlineStr">
        <is>
          <t>Y</t>
        </is>
      </c>
      <c r="F4745" s="12" t="n">
        <v>21.12</v>
      </c>
      <c r="G4745" s="17" t="n">
        <v>62875.21</v>
      </c>
      <c r="H4745" s="26" t="n">
        <v>44748</v>
      </c>
      <c r="I4745" s="26" t="n">
        <v>44749</v>
      </c>
      <c r="J4745" s="12" t="n">
        <v>21</v>
      </c>
      <c r="K4745" s="17" t="n">
        <v>1327924.44</v>
      </c>
      <c r="L4745" s="12" t="n">
        <v>0</v>
      </c>
      <c r="M4745" s="12" t="n">
        <v>19</v>
      </c>
      <c r="N4745" s="27">
        <f>F4745-J4745</f>
        <v/>
      </c>
      <c r="O4745" s="16">
        <f>I4745-H4745</f>
        <v/>
      </c>
      <c r="P4745" s="14">
        <f>F4745*G4745</f>
        <v/>
      </c>
      <c r="Q4745" s="14">
        <f>J4745*G4745</f>
        <v/>
      </c>
      <c r="R4745" s="14">
        <f>K4745-Q4745</f>
        <v/>
      </c>
      <c r="S4745" s="3">
        <f>P4745*Assumptions!$B$3/100</f>
        <v/>
      </c>
      <c r="T4745" s="14">
        <f>R4745-S4745</f>
        <v/>
      </c>
      <c r="U4745" s="14">
        <f>L4745*G4745</f>
        <v/>
      </c>
    </row>
    <row r="4746">
      <c r="A4746" s="12" t="inlineStr">
        <is>
          <t>PO-2023-4744</t>
        </is>
      </c>
      <c r="B4746" s="26" t="n">
        <v>44815</v>
      </c>
      <c r="C4746" s="12" t="inlineStr">
        <is>
          <t>VS29</t>
        </is>
      </c>
      <c r="D4746" s="12" t="inlineStr">
        <is>
          <t>MS Pipes</t>
        </is>
      </c>
      <c r="E4746" s="12" t="inlineStr">
        <is>
          <t>N</t>
        </is>
      </c>
      <c r="F4746" s="12" t="n">
        <v>15.73</v>
      </c>
      <c r="G4746" s="17" t="n">
        <v>79876.05</v>
      </c>
      <c r="H4746" s="26" t="n">
        <v>44822</v>
      </c>
      <c r="I4746" s="26" t="n">
        <v>44824</v>
      </c>
      <c r="J4746" s="12" t="n">
        <v>15.68</v>
      </c>
      <c r="K4746" s="17" t="n">
        <v>1256450.27</v>
      </c>
      <c r="L4746" s="12" t="n">
        <v>0</v>
      </c>
      <c r="M4746" s="12" t="n">
        <v>1</v>
      </c>
      <c r="N4746" s="27">
        <f>F4746-J4746</f>
        <v/>
      </c>
      <c r="O4746" s="16">
        <f>I4746-H4746</f>
        <v/>
      </c>
      <c r="P4746" s="14">
        <f>F4746*G4746</f>
        <v/>
      </c>
      <c r="Q4746" s="14">
        <f>J4746*G4746</f>
        <v/>
      </c>
      <c r="R4746" s="14">
        <f>K4746-Q4746</f>
        <v/>
      </c>
      <c r="S4746" s="3">
        <f>P4746*Assumptions!$B$3/100</f>
        <v/>
      </c>
      <c r="T4746" s="14">
        <f>R4746-S4746</f>
        <v/>
      </c>
      <c r="U4746" s="14">
        <f>L4746*G4746</f>
        <v/>
      </c>
    </row>
    <row r="4747">
      <c r="A4747" s="12" t="inlineStr">
        <is>
          <t>PO-2023-4745</t>
        </is>
      </c>
      <c r="B4747" s="26" t="n">
        <v>45017</v>
      </c>
      <c r="C4747" s="12" t="inlineStr">
        <is>
          <t>VS29</t>
        </is>
      </c>
      <c r="D4747" s="12" t="inlineStr">
        <is>
          <t>ERW Pipes</t>
        </is>
      </c>
      <c r="E4747" s="12" t="inlineStr">
        <is>
          <t>N</t>
        </is>
      </c>
      <c r="F4747" s="12" t="n">
        <v>13.47</v>
      </c>
      <c r="G4747" s="17" t="n">
        <v>118430.44</v>
      </c>
      <c r="H4747" s="26" t="n">
        <v>45030</v>
      </c>
      <c r="I4747" s="26" t="n">
        <v>45033</v>
      </c>
      <c r="J4747" s="12" t="n">
        <v>13.35</v>
      </c>
      <c r="K4747" s="17" t="n">
        <v>1595258.03</v>
      </c>
      <c r="L4747" s="12" t="n">
        <v>0</v>
      </c>
      <c r="M4747" s="12" t="n">
        <v>24</v>
      </c>
      <c r="N4747" s="27">
        <f>F4747-J4747</f>
        <v/>
      </c>
      <c r="O4747" s="16">
        <f>I4747-H4747</f>
        <v/>
      </c>
      <c r="P4747" s="14">
        <f>F4747*G4747</f>
        <v/>
      </c>
      <c r="Q4747" s="14">
        <f>J4747*G4747</f>
        <v/>
      </c>
      <c r="R4747" s="14">
        <f>K4747-Q4747</f>
        <v/>
      </c>
      <c r="S4747" s="3">
        <f>P4747*Assumptions!$B$3/100</f>
        <v/>
      </c>
      <c r="T4747" s="14">
        <f>R4747-S4747</f>
        <v/>
      </c>
      <c r="U4747" s="14">
        <f>L4747*G4747</f>
        <v/>
      </c>
    </row>
    <row r="4748">
      <c r="A4748" s="12" t="inlineStr">
        <is>
          <t>PO-2023-4746</t>
        </is>
      </c>
      <c r="B4748" s="26" t="n">
        <v>45198</v>
      </c>
      <c r="C4748" s="12" t="inlineStr">
        <is>
          <t>VS16</t>
        </is>
      </c>
      <c r="D4748" s="12" t="inlineStr">
        <is>
          <t>SS Sheets</t>
        </is>
      </c>
      <c r="E4748" s="12" t="inlineStr">
        <is>
          <t>N</t>
        </is>
      </c>
      <c r="F4748" s="12" t="n">
        <v>7.1</v>
      </c>
      <c r="G4748" s="17" t="n">
        <v>71197.46000000001</v>
      </c>
      <c r="H4748" s="26" t="n">
        <v>45206</v>
      </c>
      <c r="I4748" s="26" t="n">
        <v>45209</v>
      </c>
      <c r="J4748" s="12" t="n">
        <v>7.03</v>
      </c>
      <c r="K4748" s="17" t="n">
        <v>505501.97</v>
      </c>
      <c r="L4748" s="12" t="n">
        <v>0</v>
      </c>
      <c r="M4748" s="12" t="n">
        <v>5</v>
      </c>
      <c r="N4748" s="27">
        <f>F4748-J4748</f>
        <v/>
      </c>
      <c r="O4748" s="16">
        <f>I4748-H4748</f>
        <v/>
      </c>
      <c r="P4748" s="14">
        <f>F4748*G4748</f>
        <v/>
      </c>
      <c r="Q4748" s="14">
        <f>J4748*G4748</f>
        <v/>
      </c>
      <c r="R4748" s="14">
        <f>K4748-Q4748</f>
        <v/>
      </c>
      <c r="S4748" s="3">
        <f>P4748*Assumptions!$B$3/100</f>
        <v/>
      </c>
      <c r="T4748" s="14">
        <f>R4748-S4748</f>
        <v/>
      </c>
      <c r="U4748" s="14">
        <f>L4748*G4748</f>
        <v/>
      </c>
    </row>
    <row r="4749">
      <c r="A4749" s="12" t="inlineStr">
        <is>
          <t>PO-2023-4747</t>
        </is>
      </c>
      <c r="B4749" s="26" t="n">
        <v>44893</v>
      </c>
      <c r="C4749" s="12" t="inlineStr">
        <is>
          <t>VS03</t>
        </is>
      </c>
      <c r="D4749" s="12" t="inlineStr">
        <is>
          <t>Hex Bars</t>
        </is>
      </c>
      <c r="E4749" s="12" t="inlineStr">
        <is>
          <t>Y</t>
        </is>
      </c>
      <c r="F4749" s="12" t="n">
        <v>35.93</v>
      </c>
      <c r="G4749" s="17" t="n">
        <v>85746.47</v>
      </c>
      <c r="H4749" s="26" t="n">
        <v>44900</v>
      </c>
      <c r="I4749" s="26" t="n">
        <v>44908</v>
      </c>
      <c r="J4749" s="12" t="n">
        <v>35.16</v>
      </c>
      <c r="K4749" s="17" t="n">
        <v>3080870.67</v>
      </c>
      <c r="L4749" s="12" t="n">
        <v>0.86</v>
      </c>
      <c r="M4749" s="12" t="n">
        <v>0</v>
      </c>
      <c r="N4749" s="27">
        <f>F4749-J4749</f>
        <v/>
      </c>
      <c r="O4749" s="16">
        <f>I4749-H4749</f>
        <v/>
      </c>
      <c r="P4749" s="14">
        <f>F4749*G4749</f>
        <v/>
      </c>
      <c r="Q4749" s="14">
        <f>J4749*G4749</f>
        <v/>
      </c>
      <c r="R4749" s="14">
        <f>K4749-Q4749</f>
        <v/>
      </c>
      <c r="S4749" s="3">
        <f>P4749*Assumptions!$B$3/100</f>
        <v/>
      </c>
      <c r="T4749" s="14">
        <f>R4749-S4749</f>
        <v/>
      </c>
      <c r="U4749" s="14">
        <f>L4749*G4749</f>
        <v/>
      </c>
    </row>
    <row r="4750">
      <c r="A4750" s="12" t="inlineStr">
        <is>
          <t>PO-2023-4748</t>
        </is>
      </c>
      <c r="B4750" s="26" t="n">
        <v>44960</v>
      </c>
      <c r="C4750" s="12" t="inlineStr">
        <is>
          <t>VS26</t>
        </is>
      </c>
      <c r="D4750" s="12" t="inlineStr">
        <is>
          <t>GI Pipes</t>
        </is>
      </c>
      <c r="E4750" s="12" t="inlineStr">
        <is>
          <t>N</t>
        </is>
      </c>
      <c r="F4750" s="12" t="n">
        <v>7.01</v>
      </c>
      <c r="G4750" s="17" t="n">
        <v>46904.87</v>
      </c>
      <c r="H4750" s="26" t="n">
        <v>44972</v>
      </c>
      <c r="I4750" s="26" t="n">
        <v>44972</v>
      </c>
      <c r="J4750" s="12" t="n">
        <v>6.96</v>
      </c>
      <c r="K4750" s="17" t="n">
        <v>328803.14</v>
      </c>
      <c r="L4750" s="12" t="n">
        <v>0</v>
      </c>
      <c r="M4750" s="12" t="n">
        <v>0</v>
      </c>
      <c r="N4750" s="27">
        <f>F4750-J4750</f>
        <v/>
      </c>
      <c r="O4750" s="16">
        <f>I4750-H4750</f>
        <v/>
      </c>
      <c r="P4750" s="14">
        <f>F4750*G4750</f>
        <v/>
      </c>
      <c r="Q4750" s="14">
        <f>J4750*G4750</f>
        <v/>
      </c>
      <c r="R4750" s="14">
        <f>K4750-Q4750</f>
        <v/>
      </c>
      <c r="S4750" s="3">
        <f>P4750*Assumptions!$B$3/100</f>
        <v/>
      </c>
      <c r="T4750" s="14">
        <f>R4750-S4750</f>
        <v/>
      </c>
      <c r="U4750" s="14">
        <f>L4750*G4750</f>
        <v/>
      </c>
    </row>
    <row r="4751">
      <c r="A4751" s="12" t="inlineStr">
        <is>
          <t>PO-2023-4749</t>
        </is>
      </c>
      <c r="B4751" s="26" t="n">
        <v>44992</v>
      </c>
      <c r="C4751" s="12" t="inlineStr">
        <is>
          <t>VS07</t>
        </is>
      </c>
      <c r="D4751" s="12" t="inlineStr">
        <is>
          <t>MS Pipes</t>
        </is>
      </c>
      <c r="E4751" s="12" t="inlineStr">
        <is>
          <t>N</t>
        </is>
      </c>
      <c r="F4751" s="12" t="n">
        <v>4.81</v>
      </c>
      <c r="G4751" s="17" t="n">
        <v>71095.10000000001</v>
      </c>
      <c r="H4751" s="26" t="n">
        <v>45005</v>
      </c>
      <c r="I4751" s="26" t="n">
        <v>45008</v>
      </c>
      <c r="J4751" s="12" t="n">
        <v>4.77</v>
      </c>
      <c r="K4751" s="17" t="n">
        <v>341967.43</v>
      </c>
      <c r="L4751" s="12" t="n">
        <v>0</v>
      </c>
      <c r="M4751" s="12" t="n">
        <v>0</v>
      </c>
      <c r="N4751" s="27">
        <f>F4751-J4751</f>
        <v/>
      </c>
      <c r="O4751" s="16">
        <f>I4751-H4751</f>
        <v/>
      </c>
      <c r="P4751" s="14">
        <f>F4751*G4751</f>
        <v/>
      </c>
      <c r="Q4751" s="14">
        <f>J4751*G4751</f>
        <v/>
      </c>
      <c r="R4751" s="14">
        <f>K4751-Q4751</f>
        <v/>
      </c>
      <c r="S4751" s="3">
        <f>P4751*Assumptions!$B$3/100</f>
        <v/>
      </c>
      <c r="T4751" s="14">
        <f>R4751-S4751</f>
        <v/>
      </c>
      <c r="U4751" s="14">
        <f>L4751*G4751</f>
        <v/>
      </c>
    </row>
    <row r="4752">
      <c r="A4752" s="12" t="inlineStr">
        <is>
          <t>PO-2023-4750</t>
        </is>
      </c>
      <c r="B4752" s="26" t="n">
        <v>44260</v>
      </c>
      <c r="C4752" s="12" t="inlineStr">
        <is>
          <t>VS03</t>
        </is>
      </c>
      <c r="D4752" s="12" t="inlineStr">
        <is>
          <t>ERW Pipes</t>
        </is>
      </c>
      <c r="E4752" s="12" t="inlineStr">
        <is>
          <t>N</t>
        </is>
      </c>
      <c r="F4752" s="12" t="n">
        <v>22.48</v>
      </c>
      <c r="G4752" s="17" t="n">
        <v>49550.74</v>
      </c>
      <c r="H4752" s="26" t="n">
        <v>44269</v>
      </c>
      <c r="I4752" s="26" t="n">
        <v>44277</v>
      </c>
      <c r="J4752" s="12" t="n">
        <v>21.47</v>
      </c>
      <c r="K4752" s="17" t="n">
        <v>1113900.64</v>
      </c>
      <c r="L4752" s="12" t="n">
        <v>1.04</v>
      </c>
      <c r="M4752" s="12" t="n">
        <v>21</v>
      </c>
      <c r="N4752" s="27">
        <f>F4752-J4752</f>
        <v/>
      </c>
      <c r="O4752" s="16">
        <f>I4752-H4752</f>
        <v/>
      </c>
      <c r="P4752" s="14">
        <f>F4752*G4752</f>
        <v/>
      </c>
      <c r="Q4752" s="14">
        <f>J4752*G4752</f>
        <v/>
      </c>
      <c r="R4752" s="14">
        <f>K4752-Q4752</f>
        <v/>
      </c>
      <c r="S4752" s="3">
        <f>P4752*Assumptions!$B$3/100</f>
        <v/>
      </c>
      <c r="T4752" s="14">
        <f>R4752-S4752</f>
        <v/>
      </c>
      <c r="U4752" s="14">
        <f>L4752*G4752</f>
        <v/>
      </c>
    </row>
    <row r="4753">
      <c r="A4753" s="12" t="inlineStr">
        <is>
          <t>PO-2023-4751</t>
        </is>
      </c>
      <c r="B4753" s="26" t="n">
        <v>45139</v>
      </c>
      <c r="C4753" s="12" t="inlineStr">
        <is>
          <t>VS18</t>
        </is>
      </c>
      <c r="D4753" s="12" t="inlineStr">
        <is>
          <t>GI Pipes</t>
        </is>
      </c>
      <c r="E4753" s="12" t="inlineStr">
        <is>
          <t>N</t>
        </is>
      </c>
      <c r="F4753" s="12" t="n">
        <v>24.96</v>
      </c>
      <c r="G4753" s="17" t="n">
        <v>77435.71000000001</v>
      </c>
      <c r="H4753" s="26" t="n">
        <v>45151</v>
      </c>
      <c r="I4753" s="26" t="n">
        <v>45153</v>
      </c>
      <c r="J4753" s="12" t="n">
        <v>24.81</v>
      </c>
      <c r="K4753" s="17" t="n">
        <v>1932795.32</v>
      </c>
      <c r="L4753" s="12" t="n">
        <v>0</v>
      </c>
      <c r="M4753" s="12" t="n">
        <v>7</v>
      </c>
      <c r="N4753" s="27">
        <f>F4753-J4753</f>
        <v/>
      </c>
      <c r="O4753" s="16">
        <f>I4753-H4753</f>
        <v/>
      </c>
      <c r="P4753" s="14">
        <f>F4753*G4753</f>
        <v/>
      </c>
      <c r="Q4753" s="14">
        <f>J4753*G4753</f>
        <v/>
      </c>
      <c r="R4753" s="14">
        <f>K4753-Q4753</f>
        <v/>
      </c>
      <c r="S4753" s="3">
        <f>P4753*Assumptions!$B$3/100</f>
        <v/>
      </c>
      <c r="T4753" s="14">
        <f>R4753-S4753</f>
        <v/>
      </c>
      <c r="U4753" s="14">
        <f>L4753*G4753</f>
        <v/>
      </c>
    </row>
    <row r="4754">
      <c r="A4754" s="12" t="inlineStr">
        <is>
          <t>PO-2023-4752</t>
        </is>
      </c>
      <c r="B4754" s="26" t="n">
        <v>44561</v>
      </c>
      <c r="C4754" s="12" t="inlineStr">
        <is>
          <t>VS34</t>
        </is>
      </c>
      <c r="D4754" s="12" t="inlineStr">
        <is>
          <t>MS Flats</t>
        </is>
      </c>
      <c r="E4754" s="12" t="inlineStr">
        <is>
          <t>N</t>
        </is>
      </c>
      <c r="F4754" s="12" t="n">
        <v>16.38</v>
      </c>
      <c r="G4754" s="17" t="n">
        <v>52340.01</v>
      </c>
      <c r="H4754" s="26" t="n">
        <v>44575</v>
      </c>
      <c r="I4754" s="26" t="n">
        <v>44577</v>
      </c>
      <c r="J4754" s="12" t="n">
        <v>16.29</v>
      </c>
      <c r="K4754" s="17" t="n">
        <v>857329.36</v>
      </c>
      <c r="L4754" s="12" t="n">
        <v>0</v>
      </c>
      <c r="M4754" s="12" t="n">
        <v>8</v>
      </c>
      <c r="N4754" s="27">
        <f>F4754-J4754</f>
        <v/>
      </c>
      <c r="O4754" s="16">
        <f>I4754-H4754</f>
        <v/>
      </c>
      <c r="P4754" s="14">
        <f>F4754*G4754</f>
        <v/>
      </c>
      <c r="Q4754" s="14">
        <f>J4754*G4754</f>
        <v/>
      </c>
      <c r="R4754" s="14">
        <f>K4754-Q4754</f>
        <v/>
      </c>
      <c r="S4754" s="3">
        <f>P4754*Assumptions!$B$3/100</f>
        <v/>
      </c>
      <c r="T4754" s="14">
        <f>R4754-S4754</f>
        <v/>
      </c>
      <c r="U4754" s="14">
        <f>L4754*G4754</f>
        <v/>
      </c>
    </row>
    <row r="4755">
      <c r="A4755" s="12" t="inlineStr">
        <is>
          <t>PO-2023-4753</t>
        </is>
      </c>
      <c r="B4755" s="26" t="n">
        <v>44516</v>
      </c>
      <c r="C4755" s="12" t="inlineStr">
        <is>
          <t>VS08</t>
        </is>
      </c>
      <c r="D4755" s="12" t="inlineStr">
        <is>
          <t>Angles &amp; Channels</t>
        </is>
      </c>
      <c r="E4755" s="12" t="inlineStr">
        <is>
          <t>Y</t>
        </is>
      </c>
      <c r="F4755" s="12" t="n">
        <v>29.34</v>
      </c>
      <c r="G4755" s="17" t="n">
        <v>103544.51</v>
      </c>
      <c r="H4755" s="26" t="n">
        <v>44529</v>
      </c>
      <c r="I4755" s="26" t="n">
        <v>44531</v>
      </c>
      <c r="J4755" s="12" t="n">
        <v>29.33</v>
      </c>
      <c r="K4755" s="17" t="n">
        <v>3037995.92</v>
      </c>
      <c r="L4755" s="12" t="n">
        <v>0</v>
      </c>
      <c r="M4755" s="12" t="n">
        <v>20</v>
      </c>
      <c r="N4755" s="27">
        <f>F4755-J4755</f>
        <v/>
      </c>
      <c r="O4755" s="16">
        <f>I4755-H4755</f>
        <v/>
      </c>
      <c r="P4755" s="14">
        <f>F4755*G4755</f>
        <v/>
      </c>
      <c r="Q4755" s="14">
        <f>J4755*G4755</f>
        <v/>
      </c>
      <c r="R4755" s="14">
        <f>K4755-Q4755</f>
        <v/>
      </c>
      <c r="S4755" s="3">
        <f>P4755*Assumptions!$B$3/100</f>
        <v/>
      </c>
      <c r="T4755" s="14">
        <f>R4755-S4755</f>
        <v/>
      </c>
      <c r="U4755" s="14">
        <f>L4755*G4755</f>
        <v/>
      </c>
    </row>
    <row r="4756">
      <c r="A4756" s="12" t="inlineStr">
        <is>
          <t>PO-2023-4754</t>
        </is>
      </c>
      <c r="B4756" s="26" t="n">
        <v>45065</v>
      </c>
      <c r="C4756" s="12" t="inlineStr">
        <is>
          <t>VS29</t>
        </is>
      </c>
      <c r="D4756" s="12" t="inlineStr">
        <is>
          <t>MS Rods</t>
        </is>
      </c>
      <c r="E4756" s="12" t="inlineStr">
        <is>
          <t>N</t>
        </is>
      </c>
      <c r="F4756" s="12" t="n">
        <v>34.17</v>
      </c>
      <c r="G4756" s="17" t="n">
        <v>71470.53999999999</v>
      </c>
      <c r="H4756" s="26" t="n">
        <v>45071</v>
      </c>
      <c r="I4756" s="26" t="n">
        <v>45072</v>
      </c>
      <c r="J4756" s="12" t="n">
        <v>33.9</v>
      </c>
      <c r="K4756" s="17" t="n">
        <v>2442148.35</v>
      </c>
      <c r="L4756" s="12" t="n">
        <v>0</v>
      </c>
      <c r="M4756" s="12" t="n">
        <v>12</v>
      </c>
      <c r="N4756" s="27">
        <f>F4756-J4756</f>
        <v/>
      </c>
      <c r="O4756" s="16">
        <f>I4756-H4756</f>
        <v/>
      </c>
      <c r="P4756" s="14">
        <f>F4756*G4756</f>
        <v/>
      </c>
      <c r="Q4756" s="14">
        <f>J4756*G4756</f>
        <v/>
      </c>
      <c r="R4756" s="14">
        <f>K4756-Q4756</f>
        <v/>
      </c>
      <c r="S4756" s="3">
        <f>P4756*Assumptions!$B$3/100</f>
        <v/>
      </c>
      <c r="T4756" s="14">
        <f>R4756-S4756</f>
        <v/>
      </c>
      <c r="U4756" s="14">
        <f>L4756*G4756</f>
        <v/>
      </c>
    </row>
    <row r="4757">
      <c r="A4757" s="12" t="inlineStr">
        <is>
          <t>PO-2023-4755</t>
        </is>
      </c>
      <c r="B4757" s="26" t="n">
        <v>45074</v>
      </c>
      <c r="C4757" s="12" t="inlineStr">
        <is>
          <t>VS32</t>
        </is>
      </c>
      <c r="D4757" s="12" t="inlineStr">
        <is>
          <t>HR Coils</t>
        </is>
      </c>
      <c r="E4757" s="12" t="inlineStr">
        <is>
          <t>N</t>
        </is>
      </c>
      <c r="F4757" s="12" t="n">
        <v>19.03</v>
      </c>
      <c r="G4757" s="17" t="n">
        <v>95535.5</v>
      </c>
      <c r="H4757" s="26" t="n">
        <v>45082</v>
      </c>
      <c r="I4757" s="26" t="n">
        <v>45085</v>
      </c>
      <c r="J4757" s="12" t="n">
        <v>19.03</v>
      </c>
      <c r="K4757" s="17" t="n">
        <v>1818040.57</v>
      </c>
      <c r="L4757" s="12" t="n">
        <v>0</v>
      </c>
      <c r="M4757" s="12" t="n">
        <v>12</v>
      </c>
      <c r="N4757" s="27">
        <f>F4757-J4757</f>
        <v/>
      </c>
      <c r="O4757" s="16">
        <f>I4757-H4757</f>
        <v/>
      </c>
      <c r="P4757" s="14">
        <f>F4757*G4757</f>
        <v/>
      </c>
      <c r="Q4757" s="14">
        <f>J4757*G4757</f>
        <v/>
      </c>
      <c r="R4757" s="14">
        <f>K4757-Q4757</f>
        <v/>
      </c>
      <c r="S4757" s="3">
        <f>P4757*Assumptions!$B$3/100</f>
        <v/>
      </c>
      <c r="T4757" s="14">
        <f>R4757-S4757</f>
        <v/>
      </c>
      <c r="U4757" s="14">
        <f>L4757*G4757</f>
        <v/>
      </c>
    </row>
    <row r="4758">
      <c r="A4758" s="12" t="inlineStr">
        <is>
          <t>PO-2023-4756</t>
        </is>
      </c>
      <c r="B4758" s="26" t="n">
        <v>45276</v>
      </c>
      <c r="C4758" s="12" t="inlineStr">
        <is>
          <t>VS27</t>
        </is>
      </c>
      <c r="D4758" s="12" t="inlineStr">
        <is>
          <t>GI Pipes</t>
        </is>
      </c>
      <c r="E4758" s="12" t="inlineStr">
        <is>
          <t>N</t>
        </is>
      </c>
      <c r="F4758" s="12" t="n">
        <v>24.96</v>
      </c>
      <c r="G4758" s="17" t="n">
        <v>79084.09</v>
      </c>
      <c r="H4758" s="26" t="n">
        <v>45281</v>
      </c>
      <c r="I4758" s="26" t="n">
        <v>45284</v>
      </c>
      <c r="J4758" s="12" t="n">
        <v>24.77</v>
      </c>
      <c r="K4758" s="17" t="n">
        <v>1973938.89</v>
      </c>
      <c r="L4758" s="12" t="n">
        <v>0</v>
      </c>
      <c r="M4758" s="12" t="n">
        <v>3</v>
      </c>
      <c r="N4758" s="27">
        <f>F4758-J4758</f>
        <v/>
      </c>
      <c r="O4758" s="16">
        <f>I4758-H4758</f>
        <v/>
      </c>
      <c r="P4758" s="14">
        <f>F4758*G4758</f>
        <v/>
      </c>
      <c r="Q4758" s="14">
        <f>J4758*G4758</f>
        <v/>
      </c>
      <c r="R4758" s="14">
        <f>K4758-Q4758</f>
        <v/>
      </c>
      <c r="S4758" s="3">
        <f>P4758*Assumptions!$B$3/100</f>
        <v/>
      </c>
      <c r="T4758" s="14">
        <f>R4758-S4758</f>
        <v/>
      </c>
      <c r="U4758" s="14">
        <f>L4758*G4758</f>
        <v/>
      </c>
    </row>
    <row r="4759">
      <c r="A4759" s="12" t="inlineStr">
        <is>
          <t>PO-2023-4757</t>
        </is>
      </c>
      <c r="B4759" s="26" t="n">
        <v>45290</v>
      </c>
      <c r="C4759" s="12" t="inlineStr">
        <is>
          <t>VS14</t>
        </is>
      </c>
      <c r="D4759" s="12" t="inlineStr">
        <is>
          <t>CR Sheets</t>
        </is>
      </c>
      <c r="E4759" s="12" t="inlineStr">
        <is>
          <t>N</t>
        </is>
      </c>
      <c r="F4759" s="12" t="n">
        <v>39.18</v>
      </c>
      <c r="G4759" s="17" t="n">
        <v>117527.9</v>
      </c>
      <c r="H4759" s="26" t="n">
        <v>45296</v>
      </c>
      <c r="I4759" s="26" t="n">
        <v>45298</v>
      </c>
      <c r="J4759" s="12" t="n">
        <v>39.04</v>
      </c>
      <c r="K4759" s="17" t="n">
        <v>4604743.12</v>
      </c>
      <c r="L4759" s="12" t="n">
        <v>0</v>
      </c>
      <c r="M4759" s="12" t="n">
        <v>0</v>
      </c>
      <c r="N4759" s="27">
        <f>F4759-J4759</f>
        <v/>
      </c>
      <c r="O4759" s="16">
        <f>I4759-H4759</f>
        <v/>
      </c>
      <c r="P4759" s="14">
        <f>F4759*G4759</f>
        <v/>
      </c>
      <c r="Q4759" s="14">
        <f>J4759*G4759</f>
        <v/>
      </c>
      <c r="R4759" s="14">
        <f>K4759-Q4759</f>
        <v/>
      </c>
      <c r="S4759" s="3">
        <f>P4759*Assumptions!$B$3/100</f>
        <v/>
      </c>
      <c r="T4759" s="14">
        <f>R4759-S4759</f>
        <v/>
      </c>
      <c r="U4759" s="14">
        <f>L4759*G4759</f>
        <v/>
      </c>
    </row>
    <row r="4760">
      <c r="A4760" s="12" t="inlineStr">
        <is>
          <t>PO-2023-4758</t>
        </is>
      </c>
      <c r="B4760" s="26" t="n">
        <v>44904</v>
      </c>
      <c r="C4760" s="12" t="inlineStr">
        <is>
          <t>VS07</t>
        </is>
      </c>
      <c r="D4760" s="12" t="inlineStr">
        <is>
          <t>GI Sheets</t>
        </is>
      </c>
      <c r="E4760" s="12" t="inlineStr">
        <is>
          <t>N</t>
        </is>
      </c>
      <c r="F4760" s="12" t="n">
        <v>30.99</v>
      </c>
      <c r="G4760" s="17" t="n">
        <v>50580.8</v>
      </c>
      <c r="H4760" s="26" t="n">
        <v>44910</v>
      </c>
      <c r="I4760" s="26" t="n">
        <v>44913</v>
      </c>
      <c r="J4760" s="12" t="n">
        <v>30.81</v>
      </c>
      <c r="K4760" s="17" t="n">
        <v>1567498.99</v>
      </c>
      <c r="L4760" s="12" t="n">
        <v>0</v>
      </c>
      <c r="M4760" s="12" t="n">
        <v>0</v>
      </c>
      <c r="N4760" s="27">
        <f>F4760-J4760</f>
        <v/>
      </c>
      <c r="O4760" s="16">
        <f>I4760-H4760</f>
        <v/>
      </c>
      <c r="P4760" s="14">
        <f>F4760*G4760</f>
        <v/>
      </c>
      <c r="Q4760" s="14">
        <f>J4760*G4760</f>
        <v/>
      </c>
      <c r="R4760" s="14">
        <f>K4760-Q4760</f>
        <v/>
      </c>
      <c r="S4760" s="3">
        <f>P4760*Assumptions!$B$3/100</f>
        <v/>
      </c>
      <c r="T4760" s="14">
        <f>R4760-S4760</f>
        <v/>
      </c>
      <c r="U4760" s="14">
        <f>L4760*G4760</f>
        <v/>
      </c>
    </row>
    <row r="4761">
      <c r="A4761" s="12" t="inlineStr">
        <is>
          <t>PO-2023-4759</t>
        </is>
      </c>
      <c r="B4761" s="26" t="n">
        <v>44293</v>
      </c>
      <c r="C4761" s="12" t="inlineStr">
        <is>
          <t>VS30</t>
        </is>
      </c>
      <c r="D4761" s="12" t="inlineStr">
        <is>
          <t>SS Sheets</t>
        </is>
      </c>
      <c r="E4761" s="12" t="inlineStr">
        <is>
          <t>N</t>
        </is>
      </c>
      <c r="F4761" s="12" t="n">
        <v>9.08</v>
      </c>
      <c r="G4761" s="17" t="n">
        <v>92643.97</v>
      </c>
      <c r="H4761" s="26" t="n">
        <v>44305</v>
      </c>
      <c r="I4761" s="26" t="n">
        <v>44305</v>
      </c>
      <c r="J4761" s="12" t="n">
        <v>9.039999999999999</v>
      </c>
      <c r="K4761" s="17" t="n">
        <v>841207.25</v>
      </c>
      <c r="L4761" s="12" t="n">
        <v>0</v>
      </c>
      <c r="M4761" s="12" t="n">
        <v>0</v>
      </c>
      <c r="N4761" s="27">
        <f>F4761-J4761</f>
        <v/>
      </c>
      <c r="O4761" s="16">
        <f>I4761-H4761</f>
        <v/>
      </c>
      <c r="P4761" s="14">
        <f>F4761*G4761</f>
        <v/>
      </c>
      <c r="Q4761" s="14">
        <f>J4761*G4761</f>
        <v/>
      </c>
      <c r="R4761" s="14">
        <f>K4761-Q4761</f>
        <v/>
      </c>
      <c r="S4761" s="3">
        <f>P4761*Assumptions!$B$3/100</f>
        <v/>
      </c>
      <c r="T4761" s="14">
        <f>R4761-S4761</f>
        <v/>
      </c>
      <c r="U4761" s="14">
        <f>L4761*G4761</f>
        <v/>
      </c>
    </row>
    <row r="4762">
      <c r="A4762" s="12" t="inlineStr">
        <is>
          <t>PO-2023-4760</t>
        </is>
      </c>
      <c r="B4762" s="26" t="n">
        <v>44661</v>
      </c>
      <c r="C4762" s="12" t="inlineStr">
        <is>
          <t>VS28</t>
        </is>
      </c>
      <c r="D4762" s="12" t="inlineStr">
        <is>
          <t>MS Rods</t>
        </is>
      </c>
      <c r="E4762" s="12" t="inlineStr">
        <is>
          <t>N</t>
        </is>
      </c>
      <c r="F4762" s="12" t="n">
        <v>42.7</v>
      </c>
      <c r="G4762" s="17" t="n">
        <v>114216.31</v>
      </c>
      <c r="H4762" s="26" t="n">
        <v>44669</v>
      </c>
      <c r="I4762" s="26" t="n">
        <v>44672</v>
      </c>
      <c r="J4762" s="12" t="n">
        <v>42.5</v>
      </c>
      <c r="K4762" s="17" t="n">
        <v>4877036.44</v>
      </c>
      <c r="L4762" s="12" t="n">
        <v>0</v>
      </c>
      <c r="M4762" s="12" t="n">
        <v>0</v>
      </c>
      <c r="N4762" s="27">
        <f>F4762-J4762</f>
        <v/>
      </c>
      <c r="O4762" s="16">
        <f>I4762-H4762</f>
        <v/>
      </c>
      <c r="P4762" s="14">
        <f>F4762*G4762</f>
        <v/>
      </c>
      <c r="Q4762" s="14">
        <f>J4762*G4762</f>
        <v/>
      </c>
      <c r="R4762" s="14">
        <f>K4762-Q4762</f>
        <v/>
      </c>
      <c r="S4762" s="3">
        <f>P4762*Assumptions!$B$3/100</f>
        <v/>
      </c>
      <c r="T4762" s="14">
        <f>R4762-S4762</f>
        <v/>
      </c>
      <c r="U4762" s="14">
        <f>L4762*G4762</f>
        <v/>
      </c>
    </row>
    <row r="4763">
      <c r="A4763" s="12" t="inlineStr">
        <is>
          <t>PO-2023-4761</t>
        </is>
      </c>
      <c r="B4763" s="26" t="n">
        <v>45179</v>
      </c>
      <c r="C4763" s="12" t="inlineStr">
        <is>
          <t>VS27</t>
        </is>
      </c>
      <c r="D4763" s="12" t="inlineStr">
        <is>
          <t>Fasteners &amp; Fittings</t>
        </is>
      </c>
      <c r="E4763" s="12" t="inlineStr">
        <is>
          <t>N</t>
        </is>
      </c>
      <c r="F4763" s="12" t="n">
        <v>38.66</v>
      </c>
      <c r="G4763" s="17" t="n">
        <v>111332.92</v>
      </c>
      <c r="H4763" s="26" t="n">
        <v>45193</v>
      </c>
      <c r="I4763" s="26" t="n">
        <v>45196</v>
      </c>
      <c r="J4763" s="12" t="n">
        <v>38.37</v>
      </c>
      <c r="K4763" s="17" t="n">
        <v>4304130.69</v>
      </c>
      <c r="L4763" s="12" t="n">
        <v>0</v>
      </c>
      <c r="M4763" s="12" t="n">
        <v>17</v>
      </c>
      <c r="N4763" s="27">
        <f>F4763-J4763</f>
        <v/>
      </c>
      <c r="O4763" s="16">
        <f>I4763-H4763</f>
        <v/>
      </c>
      <c r="P4763" s="14">
        <f>F4763*G4763</f>
        <v/>
      </c>
      <c r="Q4763" s="14">
        <f>J4763*G4763</f>
        <v/>
      </c>
      <c r="R4763" s="14">
        <f>K4763-Q4763</f>
        <v/>
      </c>
      <c r="S4763" s="3">
        <f>P4763*Assumptions!$B$3/100</f>
        <v/>
      </c>
      <c r="T4763" s="14">
        <f>R4763-S4763</f>
        <v/>
      </c>
      <c r="U4763" s="14">
        <f>L4763*G4763</f>
        <v/>
      </c>
    </row>
    <row r="4764">
      <c r="A4764" s="12" t="inlineStr">
        <is>
          <t>PO-2023-4762</t>
        </is>
      </c>
      <c r="B4764" s="26" t="n">
        <v>44745</v>
      </c>
      <c r="C4764" s="12" t="inlineStr">
        <is>
          <t>VS34</t>
        </is>
      </c>
      <c r="D4764" s="12" t="inlineStr">
        <is>
          <t>MS Pipes</t>
        </is>
      </c>
      <c r="E4764" s="12" t="inlineStr">
        <is>
          <t>N</t>
        </is>
      </c>
      <c r="F4764" s="12" t="n">
        <v>10.6</v>
      </c>
      <c r="G4764" s="17" t="n">
        <v>102573.29</v>
      </c>
      <c r="H4764" s="26" t="n">
        <v>44758</v>
      </c>
      <c r="I4764" s="26" t="n">
        <v>44758</v>
      </c>
      <c r="J4764" s="12" t="n">
        <v>10.53</v>
      </c>
      <c r="K4764" s="17" t="n">
        <v>1087276.87</v>
      </c>
      <c r="L4764" s="12" t="n">
        <v>0</v>
      </c>
      <c r="M4764" s="12" t="n">
        <v>22</v>
      </c>
      <c r="N4764" s="27">
        <f>F4764-J4764</f>
        <v/>
      </c>
      <c r="O4764" s="16">
        <f>I4764-H4764</f>
        <v/>
      </c>
      <c r="P4764" s="14">
        <f>F4764*G4764</f>
        <v/>
      </c>
      <c r="Q4764" s="14">
        <f>J4764*G4764</f>
        <v/>
      </c>
      <c r="R4764" s="14">
        <f>K4764-Q4764</f>
        <v/>
      </c>
      <c r="S4764" s="3">
        <f>P4764*Assumptions!$B$3/100</f>
        <v/>
      </c>
      <c r="T4764" s="14">
        <f>R4764-S4764</f>
        <v/>
      </c>
      <c r="U4764" s="14">
        <f>L4764*G4764</f>
        <v/>
      </c>
    </row>
    <row r="4765">
      <c r="A4765" s="12" t="inlineStr">
        <is>
          <t>PO-2023-4763</t>
        </is>
      </c>
      <c r="B4765" s="26" t="n">
        <v>44219</v>
      </c>
      <c r="C4765" s="12" t="inlineStr">
        <is>
          <t>VS04</t>
        </is>
      </c>
      <c r="D4765" s="12" t="inlineStr">
        <is>
          <t>Fasteners &amp; Fittings</t>
        </is>
      </c>
      <c r="E4765" s="12" t="inlineStr">
        <is>
          <t>N</t>
        </is>
      </c>
      <c r="F4765" s="12" t="n">
        <v>34</v>
      </c>
      <c r="G4765" s="17" t="n">
        <v>62124.55</v>
      </c>
      <c r="H4765" s="26" t="n">
        <v>44227</v>
      </c>
      <c r="I4765" s="26" t="n">
        <v>44229</v>
      </c>
      <c r="J4765" s="12" t="n">
        <v>33.8</v>
      </c>
      <c r="K4765" s="17" t="n">
        <v>2112234.7</v>
      </c>
      <c r="L4765" s="12" t="n">
        <v>0</v>
      </c>
      <c r="M4765" s="12" t="n">
        <v>0</v>
      </c>
      <c r="N4765" s="27">
        <f>F4765-J4765</f>
        <v/>
      </c>
      <c r="O4765" s="16">
        <f>I4765-H4765</f>
        <v/>
      </c>
      <c r="P4765" s="14">
        <f>F4765*G4765</f>
        <v/>
      </c>
      <c r="Q4765" s="14">
        <f>J4765*G4765</f>
        <v/>
      </c>
      <c r="R4765" s="14">
        <f>K4765-Q4765</f>
        <v/>
      </c>
      <c r="S4765" s="3">
        <f>P4765*Assumptions!$B$3/100</f>
        <v/>
      </c>
      <c r="T4765" s="14">
        <f>R4765-S4765</f>
        <v/>
      </c>
      <c r="U4765" s="14">
        <f>L4765*G4765</f>
        <v/>
      </c>
    </row>
    <row r="4766">
      <c r="A4766" s="12" t="inlineStr">
        <is>
          <t>PO-2023-4764</t>
        </is>
      </c>
      <c r="B4766" s="26" t="n">
        <v>45091</v>
      </c>
      <c r="C4766" s="12" t="inlineStr">
        <is>
          <t>VS24</t>
        </is>
      </c>
      <c r="D4766" s="12" t="inlineStr">
        <is>
          <t>Spring Steel</t>
        </is>
      </c>
      <c r="E4766" s="12" t="inlineStr">
        <is>
          <t>Y</t>
        </is>
      </c>
      <c r="F4766" s="12" t="n">
        <v>40.87</v>
      </c>
      <c r="G4766" s="17" t="n">
        <v>74237.39</v>
      </c>
      <c r="H4766" s="26" t="n">
        <v>45094</v>
      </c>
      <c r="I4766" s="26" t="n">
        <v>45095</v>
      </c>
      <c r="J4766" s="12" t="n">
        <v>40.51</v>
      </c>
      <c r="K4766" s="17" t="n">
        <v>3034082.13</v>
      </c>
      <c r="L4766" s="12" t="n">
        <v>0</v>
      </c>
      <c r="M4766" s="12" t="n">
        <v>14</v>
      </c>
      <c r="N4766" s="27">
        <f>F4766-J4766</f>
        <v/>
      </c>
      <c r="O4766" s="16">
        <f>I4766-H4766</f>
        <v/>
      </c>
      <c r="P4766" s="14">
        <f>F4766*G4766</f>
        <v/>
      </c>
      <c r="Q4766" s="14">
        <f>J4766*G4766</f>
        <v/>
      </c>
      <c r="R4766" s="14">
        <f>K4766-Q4766</f>
        <v/>
      </c>
      <c r="S4766" s="3">
        <f>P4766*Assumptions!$B$3/100</f>
        <v/>
      </c>
      <c r="T4766" s="14">
        <f>R4766-S4766</f>
        <v/>
      </c>
      <c r="U4766" s="14">
        <f>L4766*G4766</f>
        <v/>
      </c>
    </row>
    <row r="4767">
      <c r="A4767" s="12" t="inlineStr">
        <is>
          <t>PO-2023-4765</t>
        </is>
      </c>
      <c r="B4767" s="26" t="n">
        <v>45248</v>
      </c>
      <c r="C4767" s="12" t="inlineStr">
        <is>
          <t>VS12</t>
        </is>
      </c>
      <c r="D4767" s="12" t="inlineStr">
        <is>
          <t>MS Flats</t>
        </is>
      </c>
      <c r="E4767" s="12" t="inlineStr">
        <is>
          <t>Y</t>
        </is>
      </c>
      <c r="F4767" s="12" t="n">
        <v>9.890000000000001</v>
      </c>
      <c r="G4767" s="17" t="n">
        <v>124149.68</v>
      </c>
      <c r="H4767" s="26" t="n">
        <v>45257</v>
      </c>
      <c r="I4767" s="26" t="n">
        <v>45263</v>
      </c>
      <c r="J4767" s="12" t="n">
        <v>9.59</v>
      </c>
      <c r="K4767" s="17" t="n">
        <v>1227840.34</v>
      </c>
      <c r="L4767" s="12" t="n">
        <v>0.4</v>
      </c>
      <c r="M4767" s="12" t="n">
        <v>0</v>
      </c>
      <c r="N4767" s="27">
        <f>F4767-J4767</f>
        <v/>
      </c>
      <c r="O4767" s="16">
        <f>I4767-H4767</f>
        <v/>
      </c>
      <c r="P4767" s="14">
        <f>F4767*G4767</f>
        <v/>
      </c>
      <c r="Q4767" s="14">
        <f>J4767*G4767</f>
        <v/>
      </c>
      <c r="R4767" s="14">
        <f>K4767-Q4767</f>
        <v/>
      </c>
      <c r="S4767" s="3">
        <f>P4767*Assumptions!$B$3/100</f>
        <v/>
      </c>
      <c r="T4767" s="14">
        <f>R4767-S4767</f>
        <v/>
      </c>
      <c r="U4767" s="14">
        <f>L4767*G4767</f>
        <v/>
      </c>
    </row>
    <row r="4768">
      <c r="A4768" s="12" t="inlineStr">
        <is>
          <t>PO-2023-4766</t>
        </is>
      </c>
      <c r="B4768" s="26" t="n">
        <v>44682</v>
      </c>
      <c r="C4768" s="12" t="inlineStr">
        <is>
          <t>VS31</t>
        </is>
      </c>
      <c r="D4768" s="12" t="inlineStr">
        <is>
          <t>CR Sheets</t>
        </is>
      </c>
      <c r="E4768" s="12" t="inlineStr">
        <is>
          <t>N</t>
        </is>
      </c>
      <c r="F4768" s="12" t="n">
        <v>35.67</v>
      </c>
      <c r="G4768" s="17" t="n">
        <v>104993.95</v>
      </c>
      <c r="H4768" s="26" t="n">
        <v>44687</v>
      </c>
      <c r="I4768" s="26" t="n">
        <v>44688</v>
      </c>
      <c r="J4768" s="12" t="n">
        <v>35.43</v>
      </c>
      <c r="K4768" s="17" t="n">
        <v>3745134.2</v>
      </c>
      <c r="L4768" s="12" t="n">
        <v>0</v>
      </c>
      <c r="M4768" s="12" t="n">
        <v>20</v>
      </c>
      <c r="N4768" s="27">
        <f>F4768-J4768</f>
        <v/>
      </c>
      <c r="O4768" s="16">
        <f>I4768-H4768</f>
        <v/>
      </c>
      <c r="P4768" s="14">
        <f>F4768*G4768</f>
        <v/>
      </c>
      <c r="Q4768" s="14">
        <f>J4768*G4768</f>
        <v/>
      </c>
      <c r="R4768" s="14">
        <f>K4768-Q4768</f>
        <v/>
      </c>
      <c r="S4768" s="3">
        <f>P4768*Assumptions!$B$3/100</f>
        <v/>
      </c>
      <c r="T4768" s="14">
        <f>R4768-S4768</f>
        <v/>
      </c>
      <c r="U4768" s="14">
        <f>L4768*G4768</f>
        <v/>
      </c>
    </row>
    <row r="4769">
      <c r="A4769" s="12" t="inlineStr">
        <is>
          <t>PO-2023-4767</t>
        </is>
      </c>
      <c r="B4769" s="26" t="n">
        <v>45234</v>
      </c>
      <c r="C4769" s="12" t="inlineStr">
        <is>
          <t>VS34</t>
        </is>
      </c>
      <c r="D4769" s="12" t="inlineStr">
        <is>
          <t>MS Rods</t>
        </is>
      </c>
      <c r="E4769" s="12" t="inlineStr">
        <is>
          <t>N</t>
        </is>
      </c>
      <c r="F4769" s="12" t="n">
        <v>22.03</v>
      </c>
      <c r="G4769" s="17" t="n">
        <v>88745.55</v>
      </c>
      <c r="H4769" s="26" t="n">
        <v>45238</v>
      </c>
      <c r="I4769" s="26" t="n">
        <v>45240</v>
      </c>
      <c r="J4769" s="12" t="n">
        <v>21.84</v>
      </c>
      <c r="K4769" s="17" t="n">
        <v>1955064.47</v>
      </c>
      <c r="L4769" s="12" t="n">
        <v>0</v>
      </c>
      <c r="M4769" s="12" t="n">
        <v>7</v>
      </c>
      <c r="N4769" s="27">
        <f>F4769-J4769</f>
        <v/>
      </c>
      <c r="O4769" s="16">
        <f>I4769-H4769</f>
        <v/>
      </c>
      <c r="P4769" s="14">
        <f>F4769*G4769</f>
        <v/>
      </c>
      <c r="Q4769" s="14">
        <f>J4769*G4769</f>
        <v/>
      </c>
      <c r="R4769" s="14">
        <f>K4769-Q4769</f>
        <v/>
      </c>
      <c r="S4769" s="3">
        <f>P4769*Assumptions!$B$3/100</f>
        <v/>
      </c>
      <c r="T4769" s="14">
        <f>R4769-S4769</f>
        <v/>
      </c>
      <c r="U4769" s="14">
        <f>L4769*G4769</f>
        <v/>
      </c>
    </row>
    <row r="4770">
      <c r="A4770" s="12" t="inlineStr">
        <is>
          <t>PO-2023-4768</t>
        </is>
      </c>
      <c r="B4770" s="26" t="n">
        <v>44455</v>
      </c>
      <c r="C4770" s="12" t="inlineStr">
        <is>
          <t>VS09</t>
        </is>
      </c>
      <c r="D4770" s="12" t="inlineStr">
        <is>
          <t>GI Sheets</t>
        </is>
      </c>
      <c r="E4770" s="12" t="inlineStr">
        <is>
          <t>N</t>
        </is>
      </c>
      <c r="F4770" s="12" t="n">
        <v>40.04</v>
      </c>
      <c r="G4770" s="17" t="n">
        <v>57468.52</v>
      </c>
      <c r="H4770" s="26" t="n">
        <v>44462</v>
      </c>
      <c r="I4770" s="26" t="n">
        <v>44465</v>
      </c>
      <c r="J4770" s="12" t="n">
        <v>39.8</v>
      </c>
      <c r="K4770" s="17" t="n">
        <v>2301039.54</v>
      </c>
      <c r="L4770" s="12" t="n">
        <v>0</v>
      </c>
      <c r="M4770" s="12" t="n">
        <v>16</v>
      </c>
      <c r="N4770" s="27">
        <f>F4770-J4770</f>
        <v/>
      </c>
      <c r="O4770" s="16">
        <f>I4770-H4770</f>
        <v/>
      </c>
      <c r="P4770" s="14">
        <f>F4770*G4770</f>
        <v/>
      </c>
      <c r="Q4770" s="14">
        <f>J4770*G4770</f>
        <v/>
      </c>
      <c r="R4770" s="14">
        <f>K4770-Q4770</f>
        <v/>
      </c>
      <c r="S4770" s="3">
        <f>P4770*Assumptions!$B$3/100</f>
        <v/>
      </c>
      <c r="T4770" s="14">
        <f>R4770-S4770</f>
        <v/>
      </c>
      <c r="U4770" s="14">
        <f>L4770*G4770</f>
        <v/>
      </c>
    </row>
    <row r="4771">
      <c r="A4771" s="12" t="inlineStr">
        <is>
          <t>PO-2023-4769</t>
        </is>
      </c>
      <c r="B4771" s="26" t="n">
        <v>44537</v>
      </c>
      <c r="C4771" s="12" t="inlineStr">
        <is>
          <t>VS21</t>
        </is>
      </c>
      <c r="D4771" s="12" t="inlineStr">
        <is>
          <t>MS Sheets</t>
        </is>
      </c>
      <c r="E4771" s="12" t="inlineStr">
        <is>
          <t>N</t>
        </is>
      </c>
      <c r="F4771" s="12" t="n">
        <v>40.45</v>
      </c>
      <c r="G4771" s="17" t="n">
        <v>51195.63</v>
      </c>
      <c r="H4771" s="26" t="n">
        <v>44541</v>
      </c>
      <c r="I4771" s="26" t="n">
        <v>44542</v>
      </c>
      <c r="J4771" s="12" t="n">
        <v>40.28</v>
      </c>
      <c r="K4771" s="17" t="n">
        <v>2070863.23</v>
      </c>
      <c r="L4771" s="12" t="n">
        <v>0</v>
      </c>
      <c r="M4771" s="12" t="n">
        <v>18</v>
      </c>
      <c r="N4771" s="27">
        <f>F4771-J4771</f>
        <v/>
      </c>
      <c r="O4771" s="16">
        <f>I4771-H4771</f>
        <v/>
      </c>
      <c r="P4771" s="14">
        <f>F4771*G4771</f>
        <v/>
      </c>
      <c r="Q4771" s="14">
        <f>J4771*G4771</f>
        <v/>
      </c>
      <c r="R4771" s="14">
        <f>K4771-Q4771</f>
        <v/>
      </c>
      <c r="S4771" s="3">
        <f>P4771*Assumptions!$B$3/100</f>
        <v/>
      </c>
      <c r="T4771" s="14">
        <f>R4771-S4771</f>
        <v/>
      </c>
      <c r="U4771" s="14">
        <f>L4771*G4771</f>
        <v/>
      </c>
    </row>
    <row r="4772">
      <c r="A4772" s="12" t="inlineStr">
        <is>
          <t>PO-2023-4770</t>
        </is>
      </c>
      <c r="B4772" s="26" t="n">
        <v>45198</v>
      </c>
      <c r="C4772" s="12" t="inlineStr">
        <is>
          <t>VS10</t>
        </is>
      </c>
      <c r="D4772" s="12" t="inlineStr">
        <is>
          <t>MS Flats</t>
        </is>
      </c>
      <c r="E4772" s="12" t="inlineStr">
        <is>
          <t>N</t>
        </is>
      </c>
      <c r="F4772" s="12" t="n">
        <v>40.69</v>
      </c>
      <c r="G4772" s="17" t="n">
        <v>109886.01</v>
      </c>
      <c r="H4772" s="26" t="n">
        <v>45207</v>
      </c>
      <c r="I4772" s="26" t="n">
        <v>45210</v>
      </c>
      <c r="J4772" s="12" t="n">
        <v>40.35</v>
      </c>
      <c r="K4772" s="17" t="n">
        <v>4471261.75</v>
      </c>
      <c r="L4772" s="12" t="n">
        <v>0</v>
      </c>
      <c r="M4772" s="12" t="n">
        <v>0</v>
      </c>
      <c r="N4772" s="27">
        <f>F4772-J4772</f>
        <v/>
      </c>
      <c r="O4772" s="16">
        <f>I4772-H4772</f>
        <v/>
      </c>
      <c r="P4772" s="14">
        <f>F4772*G4772</f>
        <v/>
      </c>
      <c r="Q4772" s="14">
        <f>J4772*G4772</f>
        <v/>
      </c>
      <c r="R4772" s="14">
        <f>K4772-Q4772</f>
        <v/>
      </c>
      <c r="S4772" s="3">
        <f>P4772*Assumptions!$B$3/100</f>
        <v/>
      </c>
      <c r="T4772" s="14">
        <f>R4772-S4772</f>
        <v/>
      </c>
      <c r="U4772" s="14">
        <f>L4772*G4772</f>
        <v/>
      </c>
    </row>
    <row r="4773">
      <c r="A4773" s="12" t="inlineStr">
        <is>
          <t>PO-2023-4771</t>
        </is>
      </c>
      <c r="B4773" s="26" t="n">
        <v>44849</v>
      </c>
      <c r="C4773" s="12" t="inlineStr">
        <is>
          <t>VS29</t>
        </is>
      </c>
      <c r="D4773" s="12" t="inlineStr">
        <is>
          <t>CR Sheets</t>
        </is>
      </c>
      <c r="E4773" s="12" t="inlineStr">
        <is>
          <t>N</t>
        </is>
      </c>
      <c r="F4773" s="12" t="n">
        <v>31.83</v>
      </c>
      <c r="G4773" s="17" t="n">
        <v>65463.63</v>
      </c>
      <c r="H4773" s="26" t="n">
        <v>44857</v>
      </c>
      <c r="I4773" s="26" t="n">
        <v>44860</v>
      </c>
      <c r="J4773" s="12" t="n">
        <v>31.66</v>
      </c>
      <c r="K4773" s="17" t="n">
        <v>2083707.34</v>
      </c>
      <c r="L4773" s="12" t="n">
        <v>0</v>
      </c>
      <c r="M4773" s="12" t="n">
        <v>0</v>
      </c>
      <c r="N4773" s="27">
        <f>F4773-J4773</f>
        <v/>
      </c>
      <c r="O4773" s="16">
        <f>I4773-H4773</f>
        <v/>
      </c>
      <c r="P4773" s="14">
        <f>F4773*G4773</f>
        <v/>
      </c>
      <c r="Q4773" s="14">
        <f>J4773*G4773</f>
        <v/>
      </c>
      <c r="R4773" s="14">
        <f>K4773-Q4773</f>
        <v/>
      </c>
      <c r="S4773" s="3">
        <f>P4773*Assumptions!$B$3/100</f>
        <v/>
      </c>
      <c r="T4773" s="14">
        <f>R4773-S4773</f>
        <v/>
      </c>
      <c r="U4773" s="14">
        <f>L4773*G4773</f>
        <v/>
      </c>
    </row>
    <row r="4774">
      <c r="A4774" s="12" t="inlineStr">
        <is>
          <t>PO-2023-4772</t>
        </is>
      </c>
      <c r="B4774" s="26" t="n">
        <v>44636</v>
      </c>
      <c r="C4774" s="12" t="inlineStr">
        <is>
          <t>VS12</t>
        </is>
      </c>
      <c r="D4774" s="12" t="inlineStr">
        <is>
          <t>Angles &amp; Channels</t>
        </is>
      </c>
      <c r="E4774" s="12" t="inlineStr">
        <is>
          <t>N</t>
        </is>
      </c>
      <c r="F4774" s="12" t="n">
        <v>34.64</v>
      </c>
      <c r="G4774" s="17" t="n">
        <v>71528</v>
      </c>
      <c r="H4774" s="26" t="n">
        <v>44643</v>
      </c>
      <c r="I4774" s="26" t="n">
        <v>44648</v>
      </c>
      <c r="J4774" s="12" t="n">
        <v>33.6</v>
      </c>
      <c r="K4774" s="17" t="n">
        <v>2477729.92</v>
      </c>
      <c r="L4774" s="12" t="n">
        <v>0.17</v>
      </c>
      <c r="M4774" s="12" t="n">
        <v>10</v>
      </c>
      <c r="N4774" s="27">
        <f>F4774-J4774</f>
        <v/>
      </c>
      <c r="O4774" s="16">
        <f>I4774-H4774</f>
        <v/>
      </c>
      <c r="P4774" s="14">
        <f>F4774*G4774</f>
        <v/>
      </c>
      <c r="Q4774" s="14">
        <f>J4774*G4774</f>
        <v/>
      </c>
      <c r="R4774" s="14">
        <f>K4774-Q4774</f>
        <v/>
      </c>
      <c r="S4774" s="3">
        <f>P4774*Assumptions!$B$3/100</f>
        <v/>
      </c>
      <c r="T4774" s="14">
        <f>R4774-S4774</f>
        <v/>
      </c>
      <c r="U4774" s="14">
        <f>L4774*G4774</f>
        <v/>
      </c>
    </row>
    <row r="4775">
      <c r="A4775" s="12" t="inlineStr">
        <is>
          <t>PO-2023-4773</t>
        </is>
      </c>
      <c r="B4775" s="26" t="n">
        <v>44353</v>
      </c>
      <c r="C4775" s="12" t="inlineStr">
        <is>
          <t>VS08</t>
        </is>
      </c>
      <c r="D4775" s="12" t="inlineStr">
        <is>
          <t>Hex Bars</t>
        </is>
      </c>
      <c r="E4775" s="12" t="inlineStr">
        <is>
          <t>N</t>
        </is>
      </c>
      <c r="F4775" s="12" t="n">
        <v>5.78</v>
      </c>
      <c r="G4775" s="17" t="n">
        <v>102934.9</v>
      </c>
      <c r="H4775" s="26" t="n">
        <v>44364</v>
      </c>
      <c r="I4775" s="26" t="n">
        <v>44364</v>
      </c>
      <c r="J4775" s="12" t="n">
        <v>5.74</v>
      </c>
      <c r="K4775" s="17" t="n">
        <v>594963.72</v>
      </c>
      <c r="L4775" s="12" t="n">
        <v>0</v>
      </c>
      <c r="M4775" s="12" t="n">
        <v>0</v>
      </c>
      <c r="N4775" s="27">
        <f>F4775-J4775</f>
        <v/>
      </c>
      <c r="O4775" s="16">
        <f>I4775-H4775</f>
        <v/>
      </c>
      <c r="P4775" s="14">
        <f>F4775*G4775</f>
        <v/>
      </c>
      <c r="Q4775" s="14">
        <f>J4775*G4775</f>
        <v/>
      </c>
      <c r="R4775" s="14">
        <f>K4775-Q4775</f>
        <v/>
      </c>
      <c r="S4775" s="3">
        <f>P4775*Assumptions!$B$3/100</f>
        <v/>
      </c>
      <c r="T4775" s="14">
        <f>R4775-S4775</f>
        <v/>
      </c>
      <c r="U4775" s="14">
        <f>L4775*G4775</f>
        <v/>
      </c>
    </row>
    <row r="4776">
      <c r="A4776" s="12" t="inlineStr">
        <is>
          <t>PO-2023-4774</t>
        </is>
      </c>
      <c r="B4776" s="26" t="n">
        <v>44898</v>
      </c>
      <c r="C4776" s="12" t="inlineStr">
        <is>
          <t>VS06</t>
        </is>
      </c>
      <c r="D4776" s="12" t="inlineStr">
        <is>
          <t>GI Sheets</t>
        </is>
      </c>
      <c r="E4776" s="12" t="inlineStr">
        <is>
          <t>N</t>
        </is>
      </c>
      <c r="F4776" s="12" t="n">
        <v>19.72</v>
      </c>
      <c r="G4776" s="17" t="n">
        <v>78760.91</v>
      </c>
      <c r="H4776" s="26" t="n">
        <v>44909</v>
      </c>
      <c r="I4776" s="26" t="n">
        <v>44912</v>
      </c>
      <c r="J4776" s="12" t="n">
        <v>19.66</v>
      </c>
      <c r="K4776" s="17" t="n">
        <v>1553165.15</v>
      </c>
      <c r="L4776" s="12" t="n">
        <v>0</v>
      </c>
      <c r="M4776" s="12" t="n">
        <v>0</v>
      </c>
      <c r="N4776" s="27">
        <f>F4776-J4776</f>
        <v/>
      </c>
      <c r="O4776" s="16">
        <f>I4776-H4776</f>
        <v/>
      </c>
      <c r="P4776" s="14">
        <f>F4776*G4776</f>
        <v/>
      </c>
      <c r="Q4776" s="14">
        <f>J4776*G4776</f>
        <v/>
      </c>
      <c r="R4776" s="14">
        <f>K4776-Q4776</f>
        <v/>
      </c>
      <c r="S4776" s="3">
        <f>P4776*Assumptions!$B$3/100</f>
        <v/>
      </c>
      <c r="T4776" s="14">
        <f>R4776-S4776</f>
        <v/>
      </c>
      <c r="U4776" s="14">
        <f>L4776*G4776</f>
        <v/>
      </c>
    </row>
    <row r="4777">
      <c r="A4777" s="12" t="inlineStr">
        <is>
          <t>PO-2023-4775</t>
        </is>
      </c>
      <c r="B4777" s="26" t="n">
        <v>44234</v>
      </c>
      <c r="C4777" s="12" t="inlineStr">
        <is>
          <t>VS22</t>
        </is>
      </c>
      <c r="D4777" s="12" t="inlineStr">
        <is>
          <t>Square/Rect Tubes</t>
        </is>
      </c>
      <c r="E4777" s="12" t="inlineStr">
        <is>
          <t>N</t>
        </is>
      </c>
      <c r="F4777" s="12" t="n">
        <v>3.84</v>
      </c>
      <c r="G4777" s="17" t="n">
        <v>86446.27</v>
      </c>
      <c r="H4777" s="26" t="n">
        <v>44247</v>
      </c>
      <c r="I4777" s="26" t="n">
        <v>44250</v>
      </c>
      <c r="J4777" s="12" t="n">
        <v>3.83</v>
      </c>
      <c r="K4777" s="17" t="n">
        <v>331953.68</v>
      </c>
      <c r="L4777" s="12" t="n">
        <v>0</v>
      </c>
      <c r="M4777" s="12" t="n">
        <v>0</v>
      </c>
      <c r="N4777" s="27">
        <f>F4777-J4777</f>
        <v/>
      </c>
      <c r="O4777" s="16">
        <f>I4777-H4777</f>
        <v/>
      </c>
      <c r="P4777" s="14">
        <f>F4777*G4777</f>
        <v/>
      </c>
      <c r="Q4777" s="14">
        <f>J4777*G4777</f>
        <v/>
      </c>
      <c r="R4777" s="14">
        <f>K4777-Q4777</f>
        <v/>
      </c>
      <c r="S4777" s="3">
        <f>P4777*Assumptions!$B$3/100</f>
        <v/>
      </c>
      <c r="T4777" s="14">
        <f>R4777-S4777</f>
        <v/>
      </c>
      <c r="U4777" s="14">
        <f>L4777*G4777</f>
        <v/>
      </c>
    </row>
    <row r="4778">
      <c r="A4778" s="12" t="inlineStr">
        <is>
          <t>PO-2023-4776</t>
        </is>
      </c>
      <c r="B4778" s="26" t="n">
        <v>44402</v>
      </c>
      <c r="C4778" s="12" t="inlineStr">
        <is>
          <t>VS14</t>
        </is>
      </c>
      <c r="D4778" s="12" t="inlineStr">
        <is>
          <t>Fasteners &amp; Fittings</t>
        </is>
      </c>
      <c r="E4778" s="12" t="inlineStr">
        <is>
          <t>N</t>
        </is>
      </c>
      <c r="F4778" s="12" t="n">
        <v>42.04</v>
      </c>
      <c r="G4778" s="17" t="n">
        <v>99170.78</v>
      </c>
      <c r="H4778" s="26" t="n">
        <v>44413</v>
      </c>
      <c r="I4778" s="26" t="n">
        <v>44414</v>
      </c>
      <c r="J4778" s="12" t="n">
        <v>42.04</v>
      </c>
      <c r="K4778" s="17" t="n">
        <v>4169139.59</v>
      </c>
      <c r="L4778" s="12" t="n">
        <v>0</v>
      </c>
      <c r="M4778" s="12" t="n">
        <v>0</v>
      </c>
      <c r="N4778" s="27">
        <f>F4778-J4778</f>
        <v/>
      </c>
      <c r="O4778" s="16">
        <f>I4778-H4778</f>
        <v/>
      </c>
      <c r="P4778" s="14">
        <f>F4778*G4778</f>
        <v/>
      </c>
      <c r="Q4778" s="14">
        <f>J4778*G4778</f>
        <v/>
      </c>
      <c r="R4778" s="14">
        <f>K4778-Q4778</f>
        <v/>
      </c>
      <c r="S4778" s="3">
        <f>P4778*Assumptions!$B$3/100</f>
        <v/>
      </c>
      <c r="T4778" s="14">
        <f>R4778-S4778</f>
        <v/>
      </c>
      <c r="U4778" s="14">
        <f>L4778*G4778</f>
        <v/>
      </c>
    </row>
    <row r="4779">
      <c r="A4779" s="12" t="inlineStr">
        <is>
          <t>PO-2023-4777</t>
        </is>
      </c>
      <c r="B4779" s="26" t="n">
        <v>44813</v>
      </c>
      <c r="C4779" s="12" t="inlineStr">
        <is>
          <t>VS07</t>
        </is>
      </c>
      <c r="D4779" s="12" t="inlineStr">
        <is>
          <t>Spring Steel</t>
        </is>
      </c>
      <c r="E4779" s="12" t="inlineStr">
        <is>
          <t>N</t>
        </is>
      </c>
      <c r="F4779" s="12" t="n">
        <v>39.15</v>
      </c>
      <c r="G4779" s="17" t="n">
        <v>65959.37</v>
      </c>
      <c r="H4779" s="26" t="n">
        <v>44823</v>
      </c>
      <c r="I4779" s="26" t="n">
        <v>44824</v>
      </c>
      <c r="J4779" s="12" t="n">
        <v>39.07</v>
      </c>
      <c r="K4779" s="17" t="n">
        <v>2582309.34</v>
      </c>
      <c r="L4779" s="12" t="n">
        <v>0</v>
      </c>
      <c r="M4779" s="12" t="n">
        <v>0</v>
      </c>
      <c r="N4779" s="27">
        <f>F4779-J4779</f>
        <v/>
      </c>
      <c r="O4779" s="16">
        <f>I4779-H4779</f>
        <v/>
      </c>
      <c r="P4779" s="14">
        <f>F4779*G4779</f>
        <v/>
      </c>
      <c r="Q4779" s="14">
        <f>J4779*G4779</f>
        <v/>
      </c>
      <c r="R4779" s="14">
        <f>K4779-Q4779</f>
        <v/>
      </c>
      <c r="S4779" s="3">
        <f>P4779*Assumptions!$B$3/100</f>
        <v/>
      </c>
      <c r="T4779" s="14">
        <f>R4779-S4779</f>
        <v/>
      </c>
      <c r="U4779" s="14">
        <f>L4779*G4779</f>
        <v/>
      </c>
    </row>
    <row r="4780">
      <c r="A4780" s="12" t="inlineStr">
        <is>
          <t>PO-2023-4778</t>
        </is>
      </c>
      <c r="B4780" s="26" t="n">
        <v>44361</v>
      </c>
      <c r="C4780" s="12" t="inlineStr">
        <is>
          <t>VS17</t>
        </is>
      </c>
      <c r="D4780" s="12" t="inlineStr">
        <is>
          <t>MS Rods</t>
        </is>
      </c>
      <c r="E4780" s="12" t="inlineStr">
        <is>
          <t>N</t>
        </is>
      </c>
      <c r="F4780" s="12" t="n">
        <v>33.87</v>
      </c>
      <c r="G4780" s="17" t="n">
        <v>57435.94</v>
      </c>
      <c r="H4780" s="26" t="n">
        <v>44365</v>
      </c>
      <c r="I4780" s="26" t="n">
        <v>44368</v>
      </c>
      <c r="J4780" s="12" t="n">
        <v>33.58</v>
      </c>
      <c r="K4780" s="17" t="n">
        <v>1945355.29</v>
      </c>
      <c r="L4780" s="12" t="n">
        <v>0</v>
      </c>
      <c r="M4780" s="12" t="n">
        <v>13</v>
      </c>
      <c r="N4780" s="27">
        <f>F4780-J4780</f>
        <v/>
      </c>
      <c r="O4780" s="16">
        <f>I4780-H4780</f>
        <v/>
      </c>
      <c r="P4780" s="14">
        <f>F4780*G4780</f>
        <v/>
      </c>
      <c r="Q4780" s="14">
        <f>J4780*G4780</f>
        <v/>
      </c>
      <c r="R4780" s="14">
        <f>K4780-Q4780</f>
        <v/>
      </c>
      <c r="S4780" s="3">
        <f>P4780*Assumptions!$B$3/100</f>
        <v/>
      </c>
      <c r="T4780" s="14">
        <f>R4780-S4780</f>
        <v/>
      </c>
      <c r="U4780" s="14">
        <f>L4780*G4780</f>
        <v/>
      </c>
    </row>
    <row r="4781">
      <c r="A4781" s="12" t="inlineStr">
        <is>
          <t>PO-2023-4779</t>
        </is>
      </c>
      <c r="B4781" s="26" t="n">
        <v>44731</v>
      </c>
      <c r="C4781" s="12" t="inlineStr">
        <is>
          <t>VS34</t>
        </is>
      </c>
      <c r="D4781" s="12" t="inlineStr">
        <is>
          <t>HR Coils</t>
        </is>
      </c>
      <c r="E4781" s="12" t="inlineStr">
        <is>
          <t>N</t>
        </is>
      </c>
      <c r="F4781" s="12" t="n">
        <v>10.72</v>
      </c>
      <c r="G4781" s="17" t="n">
        <v>69273.24000000001</v>
      </c>
      <c r="H4781" s="26" t="n">
        <v>44734</v>
      </c>
      <c r="I4781" s="26" t="n">
        <v>44736</v>
      </c>
      <c r="J4781" s="12" t="n">
        <v>10.66</v>
      </c>
      <c r="K4781" s="17" t="n">
        <v>742609.13</v>
      </c>
      <c r="L4781" s="12" t="n">
        <v>0</v>
      </c>
      <c r="M4781" s="12" t="n">
        <v>12</v>
      </c>
      <c r="N4781" s="27">
        <f>F4781-J4781</f>
        <v/>
      </c>
      <c r="O4781" s="16">
        <f>I4781-H4781</f>
        <v/>
      </c>
      <c r="P4781" s="14">
        <f>F4781*G4781</f>
        <v/>
      </c>
      <c r="Q4781" s="14">
        <f>J4781*G4781</f>
        <v/>
      </c>
      <c r="R4781" s="14">
        <f>K4781-Q4781</f>
        <v/>
      </c>
      <c r="S4781" s="3">
        <f>P4781*Assumptions!$B$3/100</f>
        <v/>
      </c>
      <c r="T4781" s="14">
        <f>R4781-S4781</f>
        <v/>
      </c>
      <c r="U4781" s="14">
        <f>L4781*G4781</f>
        <v/>
      </c>
    </row>
    <row r="4782">
      <c r="A4782" s="12" t="inlineStr">
        <is>
          <t>PO-2023-4780</t>
        </is>
      </c>
      <c r="B4782" s="26" t="n">
        <v>44396</v>
      </c>
      <c r="C4782" s="12" t="inlineStr">
        <is>
          <t>VS08</t>
        </is>
      </c>
      <c r="D4782" s="12" t="inlineStr">
        <is>
          <t>MS Sheets</t>
        </is>
      </c>
      <c r="E4782" s="12" t="inlineStr">
        <is>
          <t>N</t>
        </is>
      </c>
      <c r="F4782" s="12" t="n">
        <v>22.7</v>
      </c>
      <c r="G4782" s="17" t="n">
        <v>85627.7</v>
      </c>
      <c r="H4782" s="26" t="n">
        <v>44405</v>
      </c>
      <c r="I4782" s="26" t="n">
        <v>44408</v>
      </c>
      <c r="J4782" s="12" t="n">
        <v>22.52</v>
      </c>
      <c r="K4782" s="17" t="n">
        <v>1943748.79</v>
      </c>
      <c r="L4782" s="12" t="n">
        <v>0</v>
      </c>
      <c r="M4782" s="12" t="n">
        <v>12</v>
      </c>
      <c r="N4782" s="27">
        <f>F4782-J4782</f>
        <v/>
      </c>
      <c r="O4782" s="16">
        <f>I4782-H4782</f>
        <v/>
      </c>
      <c r="P4782" s="14">
        <f>F4782*G4782</f>
        <v/>
      </c>
      <c r="Q4782" s="14">
        <f>J4782*G4782</f>
        <v/>
      </c>
      <c r="R4782" s="14">
        <f>K4782-Q4782</f>
        <v/>
      </c>
      <c r="S4782" s="3">
        <f>P4782*Assumptions!$B$3/100</f>
        <v/>
      </c>
      <c r="T4782" s="14">
        <f>R4782-S4782</f>
        <v/>
      </c>
      <c r="U4782" s="14">
        <f>L4782*G4782</f>
        <v/>
      </c>
    </row>
    <row r="4783">
      <c r="A4783" s="12" t="inlineStr">
        <is>
          <t>PO-2023-4781</t>
        </is>
      </c>
      <c r="B4783" s="26" t="n">
        <v>44220</v>
      </c>
      <c r="C4783" s="12" t="inlineStr">
        <is>
          <t>VS13</t>
        </is>
      </c>
      <c r="D4783" s="12" t="inlineStr">
        <is>
          <t>MS Pipes</t>
        </is>
      </c>
      <c r="E4783" s="12" t="inlineStr">
        <is>
          <t>N</t>
        </is>
      </c>
      <c r="F4783" s="12" t="n">
        <v>25.9</v>
      </c>
      <c r="G4783" s="17" t="n">
        <v>110883.73</v>
      </c>
      <c r="H4783" s="26" t="n">
        <v>44229</v>
      </c>
      <c r="I4783" s="26" t="n">
        <v>44232</v>
      </c>
      <c r="J4783" s="12" t="n">
        <v>25.9</v>
      </c>
      <c r="K4783" s="17" t="n">
        <v>2871888.61</v>
      </c>
      <c r="L4783" s="12" t="n">
        <v>0</v>
      </c>
      <c r="M4783" s="12" t="n">
        <v>19</v>
      </c>
      <c r="N4783" s="27">
        <f>F4783-J4783</f>
        <v/>
      </c>
      <c r="O4783" s="16">
        <f>I4783-H4783</f>
        <v/>
      </c>
      <c r="P4783" s="14">
        <f>F4783*G4783</f>
        <v/>
      </c>
      <c r="Q4783" s="14">
        <f>J4783*G4783</f>
        <v/>
      </c>
      <c r="R4783" s="14">
        <f>K4783-Q4783</f>
        <v/>
      </c>
      <c r="S4783" s="3">
        <f>P4783*Assumptions!$B$3/100</f>
        <v/>
      </c>
      <c r="T4783" s="14">
        <f>R4783-S4783</f>
        <v/>
      </c>
      <c r="U4783" s="14">
        <f>L4783*G4783</f>
        <v/>
      </c>
    </row>
    <row r="4784">
      <c r="A4784" s="12" t="inlineStr">
        <is>
          <t>PO-2023-4782</t>
        </is>
      </c>
      <c r="B4784" s="26" t="n">
        <v>44793</v>
      </c>
      <c r="C4784" s="12" t="inlineStr">
        <is>
          <t>VS30</t>
        </is>
      </c>
      <c r="D4784" s="12" t="inlineStr">
        <is>
          <t>Structural Steel</t>
        </is>
      </c>
      <c r="E4784" s="12" t="inlineStr">
        <is>
          <t>Y</t>
        </is>
      </c>
      <c r="F4784" s="12" t="n">
        <v>3.26</v>
      </c>
      <c r="G4784" s="17" t="n">
        <v>87975.75</v>
      </c>
      <c r="H4784" s="26" t="n">
        <v>44802</v>
      </c>
      <c r="I4784" s="26" t="n">
        <v>44803</v>
      </c>
      <c r="J4784" s="12" t="n">
        <v>3.24</v>
      </c>
      <c r="K4784" s="17" t="n">
        <v>286800.95</v>
      </c>
      <c r="L4784" s="12" t="n">
        <v>0</v>
      </c>
      <c r="M4784" s="12" t="n">
        <v>7</v>
      </c>
      <c r="N4784" s="27">
        <f>F4784-J4784</f>
        <v/>
      </c>
      <c r="O4784" s="16">
        <f>I4784-H4784</f>
        <v/>
      </c>
      <c r="P4784" s="14">
        <f>F4784*G4784</f>
        <v/>
      </c>
      <c r="Q4784" s="14">
        <f>J4784*G4784</f>
        <v/>
      </c>
      <c r="R4784" s="14">
        <f>K4784-Q4784</f>
        <v/>
      </c>
      <c r="S4784" s="3">
        <f>P4784*Assumptions!$B$3/100</f>
        <v/>
      </c>
      <c r="T4784" s="14">
        <f>R4784-S4784</f>
        <v/>
      </c>
      <c r="U4784" s="14">
        <f>L4784*G4784</f>
        <v/>
      </c>
    </row>
    <row r="4785">
      <c r="A4785" s="12" t="inlineStr">
        <is>
          <t>PO-2023-4783</t>
        </is>
      </c>
      <c r="B4785" s="26" t="n">
        <v>45186</v>
      </c>
      <c r="C4785" s="12" t="inlineStr">
        <is>
          <t>VS28</t>
        </is>
      </c>
      <c r="D4785" s="12" t="inlineStr">
        <is>
          <t>ERW Pipes</t>
        </is>
      </c>
      <c r="E4785" s="12" t="inlineStr">
        <is>
          <t>N</t>
        </is>
      </c>
      <c r="F4785" s="12" t="n">
        <v>48.59</v>
      </c>
      <c r="G4785" s="17" t="n">
        <v>62792.87</v>
      </c>
      <c r="H4785" s="26" t="n">
        <v>45196</v>
      </c>
      <c r="I4785" s="26" t="n">
        <v>45199</v>
      </c>
      <c r="J4785" s="12" t="n">
        <v>48.23</v>
      </c>
      <c r="K4785" s="17" t="n">
        <v>3051105.55</v>
      </c>
      <c r="L4785" s="12" t="n">
        <v>0</v>
      </c>
      <c r="M4785" s="12" t="n">
        <v>14</v>
      </c>
      <c r="N4785" s="27">
        <f>F4785-J4785</f>
        <v/>
      </c>
      <c r="O4785" s="16">
        <f>I4785-H4785</f>
        <v/>
      </c>
      <c r="P4785" s="14">
        <f>F4785*G4785</f>
        <v/>
      </c>
      <c r="Q4785" s="14">
        <f>J4785*G4785</f>
        <v/>
      </c>
      <c r="R4785" s="14">
        <f>K4785-Q4785</f>
        <v/>
      </c>
      <c r="S4785" s="3">
        <f>P4785*Assumptions!$B$3/100</f>
        <v/>
      </c>
      <c r="T4785" s="14">
        <f>R4785-S4785</f>
        <v/>
      </c>
      <c r="U4785" s="14">
        <f>L4785*G4785</f>
        <v/>
      </c>
    </row>
    <row r="4786">
      <c r="A4786" s="12" t="inlineStr">
        <is>
          <t>PO-2023-4784</t>
        </is>
      </c>
      <c r="B4786" s="26" t="n">
        <v>44969</v>
      </c>
      <c r="C4786" s="12" t="inlineStr">
        <is>
          <t>VS10</t>
        </is>
      </c>
      <c r="D4786" s="12" t="inlineStr">
        <is>
          <t>Angles &amp; Channels</t>
        </is>
      </c>
      <c r="E4786" s="12" t="inlineStr">
        <is>
          <t>Y</t>
        </is>
      </c>
      <c r="F4786" s="12" t="n">
        <v>1.13</v>
      </c>
      <c r="G4786" s="17" t="n">
        <v>76580.08</v>
      </c>
      <c r="H4786" s="26" t="n">
        <v>44979</v>
      </c>
      <c r="I4786" s="26" t="n">
        <v>44979</v>
      </c>
      <c r="J4786" s="12" t="n">
        <v>1.13</v>
      </c>
      <c r="K4786" s="17" t="n">
        <v>86535.49000000001</v>
      </c>
      <c r="L4786" s="12" t="n">
        <v>0</v>
      </c>
      <c r="M4786" s="12" t="n">
        <v>0</v>
      </c>
      <c r="N4786" s="27">
        <f>F4786-J4786</f>
        <v/>
      </c>
      <c r="O4786" s="16">
        <f>I4786-H4786</f>
        <v/>
      </c>
      <c r="P4786" s="14">
        <f>F4786*G4786</f>
        <v/>
      </c>
      <c r="Q4786" s="14">
        <f>J4786*G4786</f>
        <v/>
      </c>
      <c r="R4786" s="14">
        <f>K4786-Q4786</f>
        <v/>
      </c>
      <c r="S4786" s="3">
        <f>P4786*Assumptions!$B$3/100</f>
        <v/>
      </c>
      <c r="T4786" s="14">
        <f>R4786-S4786</f>
        <v/>
      </c>
      <c r="U4786" s="14">
        <f>L4786*G4786</f>
        <v/>
      </c>
    </row>
    <row r="4787">
      <c r="A4787" s="12" t="inlineStr">
        <is>
          <t>PO-2023-4785</t>
        </is>
      </c>
      <c r="B4787" s="26" t="n">
        <v>44331</v>
      </c>
      <c r="C4787" s="12" t="inlineStr">
        <is>
          <t>VS27</t>
        </is>
      </c>
      <c r="D4787" s="12" t="inlineStr">
        <is>
          <t>MS Sheets</t>
        </is>
      </c>
      <c r="E4787" s="12" t="inlineStr">
        <is>
          <t>N</t>
        </is>
      </c>
      <c r="F4787" s="12" t="n">
        <v>47.96</v>
      </c>
      <c r="G4787" s="17" t="n">
        <v>82424.07000000001</v>
      </c>
      <c r="H4787" s="26" t="n">
        <v>44334</v>
      </c>
      <c r="I4787" s="26" t="n">
        <v>44335</v>
      </c>
      <c r="J4787" s="12" t="n">
        <v>47.72</v>
      </c>
      <c r="K4787" s="17" t="n">
        <v>3953058.4</v>
      </c>
      <c r="L4787" s="12" t="n">
        <v>0</v>
      </c>
      <c r="M4787" s="12" t="n">
        <v>11</v>
      </c>
      <c r="N4787" s="27">
        <f>F4787-J4787</f>
        <v/>
      </c>
      <c r="O4787" s="16">
        <f>I4787-H4787</f>
        <v/>
      </c>
      <c r="P4787" s="14">
        <f>F4787*G4787</f>
        <v/>
      </c>
      <c r="Q4787" s="14">
        <f>J4787*G4787</f>
        <v/>
      </c>
      <c r="R4787" s="14">
        <f>K4787-Q4787</f>
        <v/>
      </c>
      <c r="S4787" s="3">
        <f>P4787*Assumptions!$B$3/100</f>
        <v/>
      </c>
      <c r="T4787" s="14">
        <f>R4787-S4787</f>
        <v/>
      </c>
      <c r="U4787" s="14">
        <f>L4787*G4787</f>
        <v/>
      </c>
    </row>
    <row r="4788">
      <c r="A4788" s="12" t="inlineStr">
        <is>
          <t>PO-2023-4786</t>
        </is>
      </c>
      <c r="B4788" s="26" t="n">
        <v>44774</v>
      </c>
      <c r="C4788" s="12" t="inlineStr">
        <is>
          <t>VS34</t>
        </is>
      </c>
      <c r="D4788" s="12" t="inlineStr">
        <is>
          <t>Hex Bars</t>
        </is>
      </c>
      <c r="E4788" s="12" t="inlineStr">
        <is>
          <t>N</t>
        </is>
      </c>
      <c r="F4788" s="12" t="n">
        <v>20.34</v>
      </c>
      <c r="G4788" s="17" t="n">
        <v>48699.43</v>
      </c>
      <c r="H4788" s="26" t="n">
        <v>44781</v>
      </c>
      <c r="I4788" s="26" t="n">
        <v>44783</v>
      </c>
      <c r="J4788" s="12" t="n">
        <v>20.31</v>
      </c>
      <c r="K4788" s="17" t="n">
        <v>990546.41</v>
      </c>
      <c r="L4788" s="12" t="n">
        <v>0</v>
      </c>
      <c r="M4788" s="12" t="n">
        <v>0</v>
      </c>
      <c r="N4788" s="27">
        <f>F4788-J4788</f>
        <v/>
      </c>
      <c r="O4788" s="16">
        <f>I4788-H4788</f>
        <v/>
      </c>
      <c r="P4788" s="14">
        <f>F4788*G4788</f>
        <v/>
      </c>
      <c r="Q4788" s="14">
        <f>J4788*G4788</f>
        <v/>
      </c>
      <c r="R4788" s="14">
        <f>K4788-Q4788</f>
        <v/>
      </c>
      <c r="S4788" s="3">
        <f>P4788*Assumptions!$B$3/100</f>
        <v/>
      </c>
      <c r="T4788" s="14">
        <f>R4788-S4788</f>
        <v/>
      </c>
      <c r="U4788" s="14">
        <f>L4788*G4788</f>
        <v/>
      </c>
    </row>
    <row r="4789">
      <c r="A4789" s="12" t="inlineStr">
        <is>
          <t>PO-2023-4787</t>
        </is>
      </c>
      <c r="B4789" s="26" t="n">
        <v>44407</v>
      </c>
      <c r="C4789" s="12" t="inlineStr">
        <is>
          <t>VS33</t>
        </is>
      </c>
      <c r="D4789" s="12" t="inlineStr">
        <is>
          <t>MS Rods</t>
        </is>
      </c>
      <c r="E4789" s="12" t="inlineStr">
        <is>
          <t>N</t>
        </is>
      </c>
      <c r="F4789" s="12" t="n">
        <v>40.88</v>
      </c>
      <c r="G4789" s="17" t="n">
        <v>61677.78</v>
      </c>
      <c r="H4789" s="26" t="n">
        <v>44413</v>
      </c>
      <c r="I4789" s="26" t="n">
        <v>44414</v>
      </c>
      <c r="J4789" s="12" t="n">
        <v>40.64</v>
      </c>
      <c r="K4789" s="17" t="n">
        <v>2521387.65</v>
      </c>
      <c r="L4789" s="12" t="n">
        <v>0</v>
      </c>
      <c r="M4789" s="12" t="n">
        <v>0</v>
      </c>
      <c r="N4789" s="27">
        <f>F4789-J4789</f>
        <v/>
      </c>
      <c r="O4789" s="16">
        <f>I4789-H4789</f>
        <v/>
      </c>
      <c r="P4789" s="14">
        <f>F4789*G4789</f>
        <v/>
      </c>
      <c r="Q4789" s="14">
        <f>J4789*G4789</f>
        <v/>
      </c>
      <c r="R4789" s="14">
        <f>K4789-Q4789</f>
        <v/>
      </c>
      <c r="S4789" s="3">
        <f>P4789*Assumptions!$B$3/100</f>
        <v/>
      </c>
      <c r="T4789" s="14">
        <f>R4789-S4789</f>
        <v/>
      </c>
      <c r="U4789" s="14">
        <f>L4789*G4789</f>
        <v/>
      </c>
    </row>
    <row r="4790">
      <c r="A4790" s="12" t="inlineStr">
        <is>
          <t>PO-2023-4788</t>
        </is>
      </c>
      <c r="B4790" s="26" t="n">
        <v>44528</v>
      </c>
      <c r="C4790" s="12" t="inlineStr">
        <is>
          <t>VS25</t>
        </is>
      </c>
      <c r="D4790" s="12" t="inlineStr">
        <is>
          <t>SS Sheets</t>
        </is>
      </c>
      <c r="E4790" s="12" t="inlineStr">
        <is>
          <t>N</t>
        </is>
      </c>
      <c r="F4790" s="12" t="n">
        <v>33.06</v>
      </c>
      <c r="G4790" s="17" t="n">
        <v>104688.4</v>
      </c>
      <c r="H4790" s="26" t="n">
        <v>44535</v>
      </c>
      <c r="I4790" s="26" t="n">
        <v>44536</v>
      </c>
      <c r="J4790" s="12" t="n">
        <v>32.94</v>
      </c>
      <c r="K4790" s="17" t="n">
        <v>3460998.5</v>
      </c>
      <c r="L4790" s="12" t="n">
        <v>0</v>
      </c>
      <c r="M4790" s="12" t="n">
        <v>0</v>
      </c>
      <c r="N4790" s="27">
        <f>F4790-J4790</f>
        <v/>
      </c>
      <c r="O4790" s="16">
        <f>I4790-H4790</f>
        <v/>
      </c>
      <c r="P4790" s="14">
        <f>F4790*G4790</f>
        <v/>
      </c>
      <c r="Q4790" s="14">
        <f>J4790*G4790</f>
        <v/>
      </c>
      <c r="R4790" s="14">
        <f>K4790-Q4790</f>
        <v/>
      </c>
      <c r="S4790" s="3">
        <f>P4790*Assumptions!$B$3/100</f>
        <v/>
      </c>
      <c r="T4790" s="14">
        <f>R4790-S4790</f>
        <v/>
      </c>
      <c r="U4790" s="14">
        <f>L4790*G4790</f>
        <v/>
      </c>
    </row>
    <row r="4791">
      <c r="A4791" s="12" t="inlineStr">
        <is>
          <t>PO-2023-4789</t>
        </is>
      </c>
      <c r="B4791" s="26" t="n">
        <v>45076</v>
      </c>
      <c r="C4791" s="12" t="inlineStr">
        <is>
          <t>VS30</t>
        </is>
      </c>
      <c r="D4791" s="12" t="inlineStr">
        <is>
          <t>SS Sheets</t>
        </is>
      </c>
      <c r="E4791" s="12" t="inlineStr">
        <is>
          <t>N</t>
        </is>
      </c>
      <c r="F4791" s="12" t="n">
        <v>6.35</v>
      </c>
      <c r="G4791" s="17" t="n">
        <v>90965.58</v>
      </c>
      <c r="H4791" s="26" t="n">
        <v>45085</v>
      </c>
      <c r="I4791" s="26" t="n">
        <v>45088</v>
      </c>
      <c r="J4791" s="12" t="n">
        <v>6.29</v>
      </c>
      <c r="K4791" s="17" t="n">
        <v>577631.4300000001</v>
      </c>
      <c r="L4791" s="12" t="n">
        <v>0</v>
      </c>
      <c r="M4791" s="12" t="n">
        <v>0</v>
      </c>
      <c r="N4791" s="27">
        <f>F4791-J4791</f>
        <v/>
      </c>
      <c r="O4791" s="16">
        <f>I4791-H4791</f>
        <v/>
      </c>
      <c r="P4791" s="14">
        <f>F4791*G4791</f>
        <v/>
      </c>
      <c r="Q4791" s="14">
        <f>J4791*G4791</f>
        <v/>
      </c>
      <c r="R4791" s="14">
        <f>K4791-Q4791</f>
        <v/>
      </c>
      <c r="S4791" s="3">
        <f>P4791*Assumptions!$B$3/100</f>
        <v/>
      </c>
      <c r="T4791" s="14">
        <f>R4791-S4791</f>
        <v/>
      </c>
      <c r="U4791" s="14">
        <f>L4791*G4791</f>
        <v/>
      </c>
    </row>
    <row r="4792">
      <c r="A4792" s="12" t="inlineStr">
        <is>
          <t>PO-2023-4790</t>
        </is>
      </c>
      <c r="B4792" s="26" t="n">
        <v>44272</v>
      </c>
      <c r="C4792" s="12" t="inlineStr">
        <is>
          <t>VS21</t>
        </is>
      </c>
      <c r="D4792" s="12" t="inlineStr">
        <is>
          <t>HR Coils</t>
        </is>
      </c>
      <c r="E4792" s="12" t="inlineStr">
        <is>
          <t>N</t>
        </is>
      </c>
      <c r="F4792" s="12" t="n">
        <v>30.85</v>
      </c>
      <c r="G4792" s="17" t="n">
        <v>46532.49</v>
      </c>
      <c r="H4792" s="26" t="n">
        <v>44287</v>
      </c>
      <c r="I4792" s="26" t="n">
        <v>44287</v>
      </c>
      <c r="J4792" s="12" t="n">
        <v>30.59</v>
      </c>
      <c r="K4792" s="17" t="n">
        <v>1435527.32</v>
      </c>
      <c r="L4792" s="12" t="n">
        <v>0</v>
      </c>
      <c r="M4792" s="12" t="n">
        <v>19</v>
      </c>
      <c r="N4792" s="27">
        <f>F4792-J4792</f>
        <v/>
      </c>
      <c r="O4792" s="16">
        <f>I4792-H4792</f>
        <v/>
      </c>
      <c r="P4792" s="14">
        <f>F4792*G4792</f>
        <v/>
      </c>
      <c r="Q4792" s="14">
        <f>J4792*G4792</f>
        <v/>
      </c>
      <c r="R4792" s="14">
        <f>K4792-Q4792</f>
        <v/>
      </c>
      <c r="S4792" s="3">
        <f>P4792*Assumptions!$B$3/100</f>
        <v/>
      </c>
      <c r="T4792" s="14">
        <f>R4792-S4792</f>
        <v/>
      </c>
      <c r="U4792" s="14">
        <f>L4792*G4792</f>
        <v/>
      </c>
    </row>
    <row r="4793">
      <c r="A4793" s="12" t="inlineStr">
        <is>
          <t>PO-2023-4791</t>
        </is>
      </c>
      <c r="B4793" s="26" t="n">
        <v>44709</v>
      </c>
      <c r="C4793" s="12" t="inlineStr">
        <is>
          <t>VS03</t>
        </is>
      </c>
      <c r="D4793" s="12" t="inlineStr">
        <is>
          <t>Structural Steel</t>
        </is>
      </c>
      <c r="E4793" s="12" t="inlineStr">
        <is>
          <t>N</t>
        </is>
      </c>
      <c r="F4793" s="12" t="n">
        <v>32.61</v>
      </c>
      <c r="G4793" s="17" t="n">
        <v>64698.51</v>
      </c>
      <c r="H4793" s="26" t="n">
        <v>44714</v>
      </c>
      <c r="I4793" s="26" t="n">
        <v>44722</v>
      </c>
      <c r="J4793" s="12" t="n">
        <v>31.26</v>
      </c>
      <c r="K4793" s="17" t="n">
        <v>2109818.41</v>
      </c>
      <c r="L4793" s="12" t="n">
        <v>0.61</v>
      </c>
      <c r="M4793" s="12" t="n">
        <v>18</v>
      </c>
      <c r="N4793" s="27">
        <f>F4793-J4793</f>
        <v/>
      </c>
      <c r="O4793" s="16">
        <f>I4793-H4793</f>
        <v/>
      </c>
      <c r="P4793" s="14">
        <f>F4793*G4793</f>
        <v/>
      </c>
      <c r="Q4793" s="14">
        <f>J4793*G4793</f>
        <v/>
      </c>
      <c r="R4793" s="14">
        <f>K4793-Q4793</f>
        <v/>
      </c>
      <c r="S4793" s="3">
        <f>P4793*Assumptions!$B$3/100</f>
        <v/>
      </c>
      <c r="T4793" s="14">
        <f>R4793-S4793</f>
        <v/>
      </c>
      <c r="U4793" s="14">
        <f>L4793*G4793</f>
        <v/>
      </c>
    </row>
    <row r="4794">
      <c r="A4794" s="12" t="inlineStr">
        <is>
          <t>PO-2023-4792</t>
        </is>
      </c>
      <c r="B4794" s="26" t="n">
        <v>44885</v>
      </c>
      <c r="C4794" s="12" t="inlineStr">
        <is>
          <t>VS08</t>
        </is>
      </c>
      <c r="D4794" s="12" t="inlineStr">
        <is>
          <t>Fasteners &amp; Fittings</t>
        </is>
      </c>
      <c r="E4794" s="12" t="inlineStr">
        <is>
          <t>N</t>
        </is>
      </c>
      <c r="F4794" s="12" t="n">
        <v>34.45</v>
      </c>
      <c r="G4794" s="17" t="n">
        <v>54253.71</v>
      </c>
      <c r="H4794" s="26" t="n">
        <v>44889</v>
      </c>
      <c r="I4794" s="26" t="n">
        <v>44892</v>
      </c>
      <c r="J4794" s="12" t="n">
        <v>34.13</v>
      </c>
      <c r="K4794" s="17" t="n">
        <v>1869040.31</v>
      </c>
      <c r="L4794" s="12" t="n">
        <v>0</v>
      </c>
      <c r="M4794" s="12" t="n">
        <v>0</v>
      </c>
      <c r="N4794" s="27">
        <f>F4794-J4794</f>
        <v/>
      </c>
      <c r="O4794" s="16">
        <f>I4794-H4794</f>
        <v/>
      </c>
      <c r="P4794" s="14">
        <f>F4794*G4794</f>
        <v/>
      </c>
      <c r="Q4794" s="14">
        <f>J4794*G4794</f>
        <v/>
      </c>
      <c r="R4794" s="14">
        <f>K4794-Q4794</f>
        <v/>
      </c>
      <c r="S4794" s="3">
        <f>P4794*Assumptions!$B$3/100</f>
        <v/>
      </c>
      <c r="T4794" s="14">
        <f>R4794-S4794</f>
        <v/>
      </c>
      <c r="U4794" s="14">
        <f>L4794*G4794</f>
        <v/>
      </c>
    </row>
    <row r="4795">
      <c r="A4795" s="12" t="inlineStr">
        <is>
          <t>PO-2023-4793</t>
        </is>
      </c>
      <c r="B4795" s="26" t="n">
        <v>44962</v>
      </c>
      <c r="C4795" s="12" t="inlineStr">
        <is>
          <t>VS07</t>
        </is>
      </c>
      <c r="D4795" s="12" t="inlineStr">
        <is>
          <t>GI Sheets</t>
        </is>
      </c>
      <c r="E4795" s="12" t="inlineStr">
        <is>
          <t>N</t>
        </is>
      </c>
      <c r="F4795" s="12" t="n">
        <v>20.46</v>
      </c>
      <c r="G4795" s="17" t="n">
        <v>85862.19</v>
      </c>
      <c r="H4795" s="26" t="n">
        <v>44974</v>
      </c>
      <c r="I4795" s="26" t="n">
        <v>44974</v>
      </c>
      <c r="J4795" s="12" t="n">
        <v>20.37</v>
      </c>
      <c r="K4795" s="17" t="n">
        <v>1756740.41</v>
      </c>
      <c r="L4795" s="12" t="n">
        <v>0</v>
      </c>
      <c r="M4795" s="12" t="n">
        <v>22</v>
      </c>
      <c r="N4795" s="27">
        <f>F4795-J4795</f>
        <v/>
      </c>
      <c r="O4795" s="16">
        <f>I4795-H4795</f>
        <v/>
      </c>
      <c r="P4795" s="14">
        <f>F4795*G4795</f>
        <v/>
      </c>
      <c r="Q4795" s="14">
        <f>J4795*G4795</f>
        <v/>
      </c>
      <c r="R4795" s="14">
        <f>K4795-Q4795</f>
        <v/>
      </c>
      <c r="S4795" s="3">
        <f>P4795*Assumptions!$B$3/100</f>
        <v/>
      </c>
      <c r="T4795" s="14">
        <f>R4795-S4795</f>
        <v/>
      </c>
      <c r="U4795" s="14">
        <f>L4795*G4795</f>
        <v/>
      </c>
    </row>
    <row r="4796">
      <c r="A4796" s="12" t="inlineStr">
        <is>
          <t>PO-2023-4794</t>
        </is>
      </c>
      <c r="B4796" s="26" t="n">
        <v>44998</v>
      </c>
      <c r="C4796" s="12" t="inlineStr">
        <is>
          <t>VS30</t>
        </is>
      </c>
      <c r="D4796" s="12" t="inlineStr">
        <is>
          <t>MS Pipes</t>
        </is>
      </c>
      <c r="E4796" s="12" t="inlineStr">
        <is>
          <t>N</t>
        </is>
      </c>
      <c r="F4796" s="12" t="n">
        <v>23.66</v>
      </c>
      <c r="G4796" s="17" t="n">
        <v>58136.36</v>
      </c>
      <c r="H4796" s="26" t="n">
        <v>45006</v>
      </c>
      <c r="I4796" s="26" t="n">
        <v>45006</v>
      </c>
      <c r="J4796" s="12" t="n">
        <v>23.43</v>
      </c>
      <c r="K4796" s="17" t="n">
        <v>1375506.28</v>
      </c>
      <c r="L4796" s="12" t="n">
        <v>0</v>
      </c>
      <c r="M4796" s="12" t="n">
        <v>12</v>
      </c>
      <c r="N4796" s="27">
        <f>F4796-J4796</f>
        <v/>
      </c>
      <c r="O4796" s="16">
        <f>I4796-H4796</f>
        <v/>
      </c>
      <c r="P4796" s="14">
        <f>F4796*G4796</f>
        <v/>
      </c>
      <c r="Q4796" s="14">
        <f>J4796*G4796</f>
        <v/>
      </c>
      <c r="R4796" s="14">
        <f>K4796-Q4796</f>
        <v/>
      </c>
      <c r="S4796" s="3">
        <f>P4796*Assumptions!$B$3/100</f>
        <v/>
      </c>
      <c r="T4796" s="14">
        <f>R4796-S4796</f>
        <v/>
      </c>
      <c r="U4796" s="14">
        <f>L4796*G4796</f>
        <v/>
      </c>
    </row>
    <row r="4797">
      <c r="A4797" s="12" t="inlineStr">
        <is>
          <t>PO-2023-4795</t>
        </is>
      </c>
      <c r="B4797" s="26" t="n">
        <v>44702</v>
      </c>
      <c r="C4797" s="12" t="inlineStr">
        <is>
          <t>VS05</t>
        </is>
      </c>
      <c r="D4797" s="12" t="inlineStr">
        <is>
          <t>HR Coils</t>
        </is>
      </c>
      <c r="E4797" s="12" t="inlineStr">
        <is>
          <t>N</t>
        </is>
      </c>
      <c r="F4797" s="12" t="n">
        <v>32.24</v>
      </c>
      <c r="G4797" s="17" t="n">
        <v>74847.99000000001</v>
      </c>
      <c r="H4797" s="26" t="n">
        <v>44707</v>
      </c>
      <c r="I4797" s="26" t="n">
        <v>44710</v>
      </c>
      <c r="J4797" s="12" t="n">
        <v>32.04</v>
      </c>
      <c r="K4797" s="17" t="n">
        <v>2413099.2</v>
      </c>
      <c r="L4797" s="12" t="n">
        <v>0</v>
      </c>
      <c r="M4797" s="12" t="n">
        <v>8</v>
      </c>
      <c r="N4797" s="27">
        <f>F4797-J4797</f>
        <v/>
      </c>
      <c r="O4797" s="16">
        <f>I4797-H4797</f>
        <v/>
      </c>
      <c r="P4797" s="14">
        <f>F4797*G4797</f>
        <v/>
      </c>
      <c r="Q4797" s="14">
        <f>J4797*G4797</f>
        <v/>
      </c>
      <c r="R4797" s="14">
        <f>K4797-Q4797</f>
        <v/>
      </c>
      <c r="S4797" s="3">
        <f>P4797*Assumptions!$B$3/100</f>
        <v/>
      </c>
      <c r="T4797" s="14">
        <f>R4797-S4797</f>
        <v/>
      </c>
      <c r="U4797" s="14">
        <f>L4797*G4797</f>
        <v/>
      </c>
    </row>
    <row r="4798">
      <c r="A4798" s="12" t="inlineStr">
        <is>
          <t>PO-2023-4796</t>
        </is>
      </c>
      <c r="B4798" s="26" t="n">
        <v>44895</v>
      </c>
      <c r="C4798" s="12" t="inlineStr">
        <is>
          <t>VS11</t>
        </is>
      </c>
      <c r="D4798" s="12" t="inlineStr">
        <is>
          <t>MS Rods</t>
        </is>
      </c>
      <c r="E4798" s="12" t="inlineStr">
        <is>
          <t>N</t>
        </is>
      </c>
      <c r="F4798" s="12" t="n">
        <v>40</v>
      </c>
      <c r="G4798" s="17" t="n">
        <v>55544.68</v>
      </c>
      <c r="H4798" s="26" t="n">
        <v>44899</v>
      </c>
      <c r="I4798" s="26" t="n">
        <v>44901</v>
      </c>
      <c r="J4798" s="12" t="n">
        <v>39.72</v>
      </c>
      <c r="K4798" s="17" t="n">
        <v>2221787.2</v>
      </c>
      <c r="L4798" s="12" t="n">
        <v>0</v>
      </c>
      <c r="M4798" s="12" t="n">
        <v>0</v>
      </c>
      <c r="N4798" s="27">
        <f>F4798-J4798</f>
        <v/>
      </c>
      <c r="O4798" s="16">
        <f>I4798-H4798</f>
        <v/>
      </c>
      <c r="P4798" s="14">
        <f>F4798*G4798</f>
        <v/>
      </c>
      <c r="Q4798" s="14">
        <f>J4798*G4798</f>
        <v/>
      </c>
      <c r="R4798" s="14">
        <f>K4798-Q4798</f>
        <v/>
      </c>
      <c r="S4798" s="3">
        <f>P4798*Assumptions!$B$3/100</f>
        <v/>
      </c>
      <c r="T4798" s="14">
        <f>R4798-S4798</f>
        <v/>
      </c>
      <c r="U4798" s="14">
        <f>L4798*G4798</f>
        <v/>
      </c>
    </row>
    <row r="4799">
      <c r="A4799" s="12" t="inlineStr">
        <is>
          <t>PO-2023-4797</t>
        </is>
      </c>
      <c r="B4799" s="26" t="n">
        <v>45064</v>
      </c>
      <c r="C4799" s="12" t="inlineStr">
        <is>
          <t>VS02</t>
        </is>
      </c>
      <c r="D4799" s="12" t="inlineStr">
        <is>
          <t>Spring Steel</t>
        </is>
      </c>
      <c r="E4799" s="12" t="inlineStr">
        <is>
          <t>Y</t>
        </is>
      </c>
      <c r="F4799" s="12" t="n">
        <v>35.68</v>
      </c>
      <c r="G4799" s="17" t="n">
        <v>79162.17</v>
      </c>
      <c r="H4799" s="26" t="n">
        <v>45079</v>
      </c>
      <c r="I4799" s="26" t="n">
        <v>45080</v>
      </c>
      <c r="J4799" s="12" t="n">
        <v>35.34</v>
      </c>
      <c r="K4799" s="17" t="n">
        <v>2824506.23</v>
      </c>
      <c r="L4799" s="12" t="n">
        <v>0</v>
      </c>
      <c r="M4799" s="12" t="n">
        <v>0</v>
      </c>
      <c r="N4799" s="27">
        <f>F4799-J4799</f>
        <v/>
      </c>
      <c r="O4799" s="16">
        <f>I4799-H4799</f>
        <v/>
      </c>
      <c r="P4799" s="14">
        <f>F4799*G4799</f>
        <v/>
      </c>
      <c r="Q4799" s="14">
        <f>J4799*G4799</f>
        <v/>
      </c>
      <c r="R4799" s="14">
        <f>K4799-Q4799</f>
        <v/>
      </c>
      <c r="S4799" s="3">
        <f>P4799*Assumptions!$B$3/100</f>
        <v/>
      </c>
      <c r="T4799" s="14">
        <f>R4799-S4799</f>
        <v/>
      </c>
      <c r="U4799" s="14">
        <f>L4799*G4799</f>
        <v/>
      </c>
    </row>
    <row r="4800">
      <c r="A4800" s="12" t="inlineStr">
        <is>
          <t>PO-2023-4798</t>
        </is>
      </c>
      <c r="B4800" s="26" t="n">
        <v>44762</v>
      </c>
      <c r="C4800" s="12" t="inlineStr">
        <is>
          <t>VS33</t>
        </is>
      </c>
      <c r="D4800" s="12" t="inlineStr">
        <is>
          <t>MS Pipes</t>
        </is>
      </c>
      <c r="E4800" s="12" t="inlineStr">
        <is>
          <t>N</t>
        </is>
      </c>
      <c r="F4800" s="12" t="n">
        <v>7.94</v>
      </c>
      <c r="G4800" s="17" t="n">
        <v>108228.18</v>
      </c>
      <c r="H4800" s="26" t="n">
        <v>44774</v>
      </c>
      <c r="I4800" s="26" t="n">
        <v>44777</v>
      </c>
      <c r="J4800" s="12" t="n">
        <v>7.93</v>
      </c>
      <c r="K4800" s="17" t="n">
        <v>859331.75</v>
      </c>
      <c r="L4800" s="12" t="n">
        <v>0</v>
      </c>
      <c r="M4800" s="12" t="n">
        <v>23</v>
      </c>
      <c r="N4800" s="27">
        <f>F4800-J4800</f>
        <v/>
      </c>
      <c r="O4800" s="16">
        <f>I4800-H4800</f>
        <v/>
      </c>
      <c r="P4800" s="14">
        <f>F4800*G4800</f>
        <v/>
      </c>
      <c r="Q4800" s="14">
        <f>J4800*G4800</f>
        <v/>
      </c>
      <c r="R4800" s="14">
        <f>K4800-Q4800</f>
        <v/>
      </c>
      <c r="S4800" s="3">
        <f>P4800*Assumptions!$B$3/100</f>
        <v/>
      </c>
      <c r="T4800" s="14">
        <f>R4800-S4800</f>
        <v/>
      </c>
      <c r="U4800" s="14">
        <f>L4800*G4800</f>
        <v/>
      </c>
    </row>
    <row r="4801">
      <c r="A4801" s="12" t="inlineStr">
        <is>
          <t>PO-2023-4799</t>
        </is>
      </c>
      <c r="B4801" s="26" t="n">
        <v>44671</v>
      </c>
      <c r="C4801" s="12" t="inlineStr">
        <is>
          <t>VS13</t>
        </is>
      </c>
      <c r="D4801" s="12" t="inlineStr">
        <is>
          <t>Angles &amp; Channels</t>
        </is>
      </c>
      <c r="E4801" s="12" t="inlineStr">
        <is>
          <t>N</t>
        </is>
      </c>
      <c r="F4801" s="12" t="n">
        <v>27.72</v>
      </c>
      <c r="G4801" s="17" t="n">
        <v>101700.4</v>
      </c>
      <c r="H4801" s="26" t="n">
        <v>44678</v>
      </c>
      <c r="I4801" s="26" t="n">
        <v>44681</v>
      </c>
      <c r="J4801" s="12" t="n">
        <v>27.48</v>
      </c>
      <c r="K4801" s="17" t="n">
        <v>2819135.09</v>
      </c>
      <c r="L4801" s="12" t="n">
        <v>0</v>
      </c>
      <c r="M4801" s="12" t="n">
        <v>12</v>
      </c>
      <c r="N4801" s="27">
        <f>F4801-J4801</f>
        <v/>
      </c>
      <c r="O4801" s="16">
        <f>I4801-H4801</f>
        <v/>
      </c>
      <c r="P4801" s="14">
        <f>F4801*G4801</f>
        <v/>
      </c>
      <c r="Q4801" s="14">
        <f>J4801*G4801</f>
        <v/>
      </c>
      <c r="R4801" s="14">
        <f>K4801-Q4801</f>
        <v/>
      </c>
      <c r="S4801" s="3">
        <f>P4801*Assumptions!$B$3/100</f>
        <v/>
      </c>
      <c r="T4801" s="14">
        <f>R4801-S4801</f>
        <v/>
      </c>
      <c r="U4801" s="14">
        <f>L4801*G4801</f>
        <v/>
      </c>
    </row>
  </sheetData>
  <autoFilter ref="A1:U48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0" customWidth="1" min="5" max="5"/>
    <col width="18" customWidth="1" min="6" max="6"/>
    <col width="10" customWidth="1" min="7" max="7"/>
    <col width="14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32" customHeight="1">
      <c r="A1" s="11" t="inlineStr">
        <is>
          <t>return_id</t>
        </is>
      </c>
      <c r="B1" s="11" t="inlineStr">
        <is>
          <t>return_date</t>
        </is>
      </c>
      <c r="C1" s="11" t="inlineStr">
        <is>
          <t>client_id</t>
        </is>
      </c>
      <c r="D1" s="11" t="inlineStr">
        <is>
          <t>material_id</t>
        </is>
      </c>
      <c r="E1" s="11" t="inlineStr">
        <is>
          <t>qty_returned_MT</t>
        </is>
      </c>
      <c r="F1" s="11" t="inlineStr">
        <is>
          <t>reason</t>
        </is>
      </c>
      <c r="G1" s="11" t="inlineStr">
        <is>
          <t>supplier (as traced)</t>
        </is>
      </c>
      <c r="H1" s="11" t="inlineStr">
        <is>
          <t>matched_po (batch)</t>
        </is>
      </c>
      <c r="I1" s="11" t="inlineStr">
        <is>
          <t>qty_counted_MT (capped)</t>
        </is>
      </c>
      <c r="J1" s="11" t="inlineStr">
        <is>
          <t>batch_price</t>
        </is>
      </c>
      <c r="K1" s="11" t="inlineStr">
        <is>
          <t>VALUE (qty counted x price)</t>
        </is>
      </c>
      <c r="L1" s="11" t="inlineStr">
        <is>
          <t>batch received on/before return?</t>
        </is>
      </c>
    </row>
    <row r="2">
      <c r="A2" s="12" t="inlineStr">
        <is>
          <t>RET-0002</t>
        </is>
      </c>
      <c r="B2" s="26" t="n">
        <v>44633</v>
      </c>
      <c r="C2" s="12" t="inlineStr">
        <is>
          <t>Client-047</t>
        </is>
      </c>
      <c r="D2" s="12" t="inlineStr">
        <is>
          <t>MS Sheets</t>
        </is>
      </c>
      <c r="E2" s="12" t="n">
        <v>4.12</v>
      </c>
      <c r="F2" s="12" t="inlineStr">
        <is>
          <t>Bend/warp</t>
        </is>
      </c>
      <c r="G2" s="12" t="inlineStr">
        <is>
          <t>VS12</t>
        </is>
      </c>
      <c r="H2" s="12" t="inlineStr">
        <is>
          <t>PO-2023-3731</t>
        </is>
      </c>
      <c r="I2" s="12" t="n">
        <v>4.12</v>
      </c>
      <c r="J2" s="17" t="n">
        <v>47472.58</v>
      </c>
      <c r="K2" s="14">
        <f>I2*J2</f>
        <v/>
      </c>
      <c r="L2" s="23">
        <f>IF(INDEX(PO_Facts!$I$2:$I$4801,MATCH(H2,PO_Facts!$A$2:$A$4801,0))&lt;=B2,"yes","FALLBACK: no earlier batch")</f>
        <v/>
      </c>
    </row>
    <row r="3">
      <c r="A3" s="12" t="inlineStr">
        <is>
          <t>RET-0003</t>
        </is>
      </c>
      <c r="B3" s="26" t="n">
        <v>44444</v>
      </c>
      <c r="C3" s="12" t="inlineStr">
        <is>
          <t>Client-068</t>
        </is>
      </c>
      <c r="D3" s="12" t="inlineStr">
        <is>
          <t>GI Pipes</t>
        </is>
      </c>
      <c r="E3" s="12" t="n">
        <v>3.43</v>
      </c>
      <c r="F3" s="12" t="inlineStr">
        <is>
          <t>Bend/warp</t>
        </is>
      </c>
      <c r="G3" s="12" t="inlineStr">
        <is>
          <t>VS04</t>
        </is>
      </c>
      <c r="H3" s="12" t="inlineStr">
        <is>
          <t>PO-2023-3204</t>
        </is>
      </c>
      <c r="I3" s="12" t="n">
        <v>3.43</v>
      </c>
      <c r="J3" s="17" t="n">
        <v>92197.48</v>
      </c>
      <c r="K3" s="14">
        <f>I3*J3</f>
        <v/>
      </c>
      <c r="L3" s="23">
        <f>IF(INDEX(PO_Facts!$I$2:$I$4801,MATCH(H3,PO_Facts!$A$2:$A$4801,0))&lt;=B3,"yes","FALLBACK: no earlier batch")</f>
        <v/>
      </c>
    </row>
    <row r="4">
      <c r="A4" s="12" t="inlineStr">
        <is>
          <t>RET-0005</t>
        </is>
      </c>
      <c r="B4" s="26" t="n">
        <v>44527</v>
      </c>
      <c r="C4" s="12" t="inlineStr">
        <is>
          <t>Client-052</t>
        </is>
      </c>
      <c r="D4" s="12" t="inlineStr">
        <is>
          <t>Angles &amp; Channels</t>
        </is>
      </c>
      <c r="E4" s="12" t="n">
        <v>1.42</v>
      </c>
      <c r="F4" s="12" t="inlineStr">
        <is>
          <t>Wrong dimensions</t>
        </is>
      </c>
      <c r="G4" s="12" t="inlineStr">
        <is>
          <t>VS03</t>
        </is>
      </c>
      <c r="H4" s="12" t="inlineStr">
        <is>
          <t>PO-2022-2449</t>
        </is>
      </c>
      <c r="I4" s="12" t="n">
        <v>1.42</v>
      </c>
      <c r="J4" s="17" t="n">
        <v>68705.00999999999</v>
      </c>
      <c r="K4" s="14">
        <f>I4*J4</f>
        <v/>
      </c>
      <c r="L4" s="23">
        <f>IF(INDEX(PO_Facts!$I$2:$I$4801,MATCH(H4,PO_Facts!$A$2:$A$4801,0))&lt;=B4,"yes","FALLBACK: no earlier batch")</f>
        <v/>
      </c>
    </row>
    <row r="5">
      <c r="A5" s="12" t="inlineStr">
        <is>
          <t>RET-0007</t>
        </is>
      </c>
      <c r="B5" s="26" t="n">
        <v>45109</v>
      </c>
      <c r="C5" s="12" t="inlineStr">
        <is>
          <t>Client-024</t>
        </is>
      </c>
      <c r="D5" s="12" t="inlineStr">
        <is>
          <t>Angles &amp; Channels</t>
        </is>
      </c>
      <c r="E5" s="12" t="n">
        <v>1.49</v>
      </c>
      <c r="F5" s="12" t="inlineStr">
        <is>
          <t>Bend/warp</t>
        </is>
      </c>
      <c r="G5" s="12" t="inlineStr">
        <is>
          <t>VS12</t>
        </is>
      </c>
      <c r="H5" s="12" t="inlineStr">
        <is>
          <t>PO-2023-4772</t>
        </is>
      </c>
      <c r="I5" s="12" t="n">
        <v>1.49</v>
      </c>
      <c r="J5" s="17" t="n">
        <v>71528</v>
      </c>
      <c r="K5" s="14">
        <f>I5*J5</f>
        <v/>
      </c>
      <c r="L5" s="23">
        <f>IF(INDEX(PO_Facts!$I$2:$I$4801,MATCH(H5,PO_Facts!$A$2:$A$4801,0))&lt;=B5,"yes","FALLBACK: no earlier batch")</f>
        <v/>
      </c>
    </row>
    <row r="6">
      <c r="A6" s="12" t="inlineStr">
        <is>
          <t>RET-0008</t>
        </is>
      </c>
      <c r="B6" s="26" t="n">
        <v>44766</v>
      </c>
      <c r="C6" s="12" t="inlineStr">
        <is>
          <t>Client-001</t>
        </is>
      </c>
      <c r="D6" s="12" t="inlineStr">
        <is>
          <t>SS Pipes</t>
        </is>
      </c>
      <c r="E6" s="12" t="n">
        <v>0.87</v>
      </c>
      <c r="F6" s="12" t="inlineStr">
        <is>
          <t>Weight short</t>
        </is>
      </c>
      <c r="G6" s="12" t="inlineStr">
        <is>
          <t>VS12</t>
        </is>
      </c>
      <c r="H6" s="12" t="inlineStr">
        <is>
          <t>PO-2022-1642</t>
        </is>
      </c>
      <c r="I6" s="12" t="n">
        <v>0.87</v>
      </c>
      <c r="J6" s="17" t="n">
        <v>68164.61</v>
      </c>
      <c r="K6" s="14">
        <f>I6*J6</f>
        <v/>
      </c>
      <c r="L6" s="23">
        <f>IF(INDEX(PO_Facts!$I$2:$I$4801,MATCH(H6,PO_Facts!$A$2:$A$4801,0))&lt;=B6,"yes","FALLBACK: no earlier batch")</f>
        <v/>
      </c>
    </row>
    <row r="7">
      <c r="A7" s="12" t="inlineStr">
        <is>
          <t>RET-0009</t>
        </is>
      </c>
      <c r="B7" s="26" t="n">
        <v>44948</v>
      </c>
      <c r="C7" s="12" t="inlineStr">
        <is>
          <t>Client-043</t>
        </is>
      </c>
      <c r="D7" s="12" t="inlineStr">
        <is>
          <t>GI Sheets</t>
        </is>
      </c>
      <c r="E7" s="12" t="n">
        <v>1.86</v>
      </c>
      <c r="F7" s="12" t="inlineStr">
        <is>
          <t>Edge damage</t>
        </is>
      </c>
      <c r="G7" s="12" t="inlineStr">
        <is>
          <t>VS32</t>
        </is>
      </c>
      <c r="H7" s="12" t="inlineStr">
        <is>
          <t>PO-2021-1297</t>
        </is>
      </c>
      <c r="I7" s="12" t="n">
        <v>1.34</v>
      </c>
      <c r="J7" s="17" t="n">
        <v>118819.77</v>
      </c>
      <c r="K7" s="14">
        <f>I7*J7</f>
        <v/>
      </c>
      <c r="L7" s="23">
        <f>IF(INDEX(PO_Facts!$I$2:$I$4801,MATCH(H7,PO_Facts!$A$2:$A$4801,0))&lt;=B7,"yes","FALLBACK: no earlier batch")</f>
        <v/>
      </c>
    </row>
    <row r="8">
      <c r="A8" s="12" t="inlineStr">
        <is>
          <t>RET-0010</t>
        </is>
      </c>
      <c r="B8" s="26" t="n">
        <v>45237</v>
      </c>
      <c r="C8" s="12" t="inlineStr">
        <is>
          <t>Client-007</t>
        </is>
      </c>
      <c r="D8" s="12" t="inlineStr">
        <is>
          <t>MS Flats</t>
        </is>
      </c>
      <c r="E8" s="12" t="n">
        <v>1.38</v>
      </c>
      <c r="F8" s="12" t="inlineStr">
        <is>
          <t>Surface rust</t>
        </is>
      </c>
      <c r="G8" s="12" t="inlineStr">
        <is>
          <t>VS12</t>
        </is>
      </c>
      <c r="H8" s="12" t="inlineStr">
        <is>
          <t>PO-2023-4221</t>
        </is>
      </c>
      <c r="I8" s="12" t="n">
        <v>1.38</v>
      </c>
      <c r="J8" s="17" t="n">
        <v>110104.18</v>
      </c>
      <c r="K8" s="14">
        <f>I8*J8</f>
        <v/>
      </c>
      <c r="L8" s="23">
        <f>IF(INDEX(PO_Facts!$I$2:$I$4801,MATCH(H8,PO_Facts!$A$2:$A$4801,0))&lt;=B8,"yes","FALLBACK: no earlier batch")</f>
        <v/>
      </c>
    </row>
    <row r="9">
      <c r="A9" s="12" t="inlineStr">
        <is>
          <t>RET-0011</t>
        </is>
      </c>
      <c r="B9" s="26" t="n">
        <v>44888</v>
      </c>
      <c r="C9" s="12" t="inlineStr">
        <is>
          <t>Client-021</t>
        </is>
      </c>
      <c r="D9" s="12" t="inlineStr">
        <is>
          <t>MS Sheets</t>
        </is>
      </c>
      <c r="E9" s="12" t="n">
        <v>3.84</v>
      </c>
      <c r="F9" s="12" t="inlineStr">
        <is>
          <t>Surface rust</t>
        </is>
      </c>
      <c r="G9" s="12" t="inlineStr">
        <is>
          <t>VS34</t>
        </is>
      </c>
      <c r="H9" s="12" t="inlineStr">
        <is>
          <t>PO-2023-4008</t>
        </is>
      </c>
      <c r="I9" s="12" t="n">
        <v>3.84</v>
      </c>
      <c r="J9" s="17" t="n">
        <v>82564.52</v>
      </c>
      <c r="K9" s="14">
        <f>I9*J9</f>
        <v/>
      </c>
      <c r="L9" s="23">
        <f>IF(INDEX(PO_Facts!$I$2:$I$4801,MATCH(H9,PO_Facts!$A$2:$A$4801,0))&lt;=B9,"yes","FALLBACK: no earlier batch")</f>
        <v/>
      </c>
    </row>
    <row r="10">
      <c r="A10" s="12" t="inlineStr">
        <is>
          <t>RET-0014</t>
        </is>
      </c>
      <c r="B10" s="26" t="n">
        <v>44524</v>
      </c>
      <c r="C10" s="12" t="inlineStr">
        <is>
          <t>Client-067</t>
        </is>
      </c>
      <c r="D10" s="12" t="inlineStr">
        <is>
          <t>SS Sheets</t>
        </is>
      </c>
      <c r="E10" s="12" t="n">
        <v>2.2</v>
      </c>
      <c r="F10" s="12" t="inlineStr">
        <is>
          <t>Bend/warp</t>
        </is>
      </c>
      <c r="G10" s="12" t="inlineStr">
        <is>
          <t>VS12</t>
        </is>
      </c>
      <c r="H10" s="12" t="inlineStr">
        <is>
          <t>PO-2022-2491</t>
        </is>
      </c>
      <c r="I10" s="12" t="n">
        <v>2.2</v>
      </c>
      <c r="J10" s="17" t="n">
        <v>120277.26</v>
      </c>
      <c r="K10" s="14">
        <f>I10*J10</f>
        <v/>
      </c>
      <c r="L10" s="23">
        <f>IF(INDEX(PO_Facts!$I$2:$I$4801,MATCH(H10,PO_Facts!$A$2:$A$4801,0))&lt;=B10,"yes","FALLBACK: no earlier batch")</f>
        <v/>
      </c>
    </row>
    <row r="11">
      <c r="A11" s="12" t="inlineStr">
        <is>
          <t>RET-0015</t>
        </is>
      </c>
      <c r="B11" s="26" t="n">
        <v>44805</v>
      </c>
      <c r="C11" s="12" t="inlineStr">
        <is>
          <t>Client-058</t>
        </is>
      </c>
      <c r="D11" s="12" t="inlineStr">
        <is>
          <t>GI Pipes</t>
        </is>
      </c>
      <c r="E11" s="12" t="n">
        <v>0.73</v>
      </c>
      <c r="F11" s="12" t="inlineStr">
        <is>
          <t>Edge damage</t>
        </is>
      </c>
      <c r="G11" s="12" t="inlineStr">
        <is>
          <t>VS12</t>
        </is>
      </c>
      <c r="H11" s="12" t="inlineStr">
        <is>
          <t>PO-2021-1132</t>
        </is>
      </c>
      <c r="I11" s="12" t="n">
        <v>0.73</v>
      </c>
      <c r="J11" s="17" t="n">
        <v>84695.67</v>
      </c>
      <c r="K11" s="14">
        <f>I11*J11</f>
        <v/>
      </c>
      <c r="L11" s="23">
        <f>IF(INDEX(PO_Facts!$I$2:$I$4801,MATCH(H11,PO_Facts!$A$2:$A$4801,0))&lt;=B11,"yes","FALLBACK: no earlier batch")</f>
        <v/>
      </c>
    </row>
    <row r="12">
      <c r="A12" s="12" t="inlineStr">
        <is>
          <t>RET-0016</t>
        </is>
      </c>
      <c r="B12" s="26" t="n">
        <v>45032</v>
      </c>
      <c r="C12" s="12" t="inlineStr">
        <is>
          <t>Client-019</t>
        </is>
      </c>
      <c r="D12" s="12" t="inlineStr">
        <is>
          <t>CR Sheets</t>
        </is>
      </c>
      <c r="E12" s="12" t="n">
        <v>3.96</v>
      </c>
      <c r="F12" s="12" t="inlineStr">
        <is>
          <t>Edge damage</t>
        </is>
      </c>
      <c r="G12" s="12" t="inlineStr">
        <is>
          <t>VS31</t>
        </is>
      </c>
      <c r="H12" s="12" t="inlineStr">
        <is>
          <t>PO-2022-2525</t>
        </is>
      </c>
      <c r="I12" s="12" t="n">
        <v>3.96</v>
      </c>
      <c r="J12" s="17" t="n">
        <v>86094.39999999999</v>
      </c>
      <c r="K12" s="14">
        <f>I12*J12</f>
        <v/>
      </c>
      <c r="L12" s="23">
        <f>IF(INDEX(PO_Facts!$I$2:$I$4801,MATCH(H12,PO_Facts!$A$2:$A$4801,0))&lt;=B12,"yes","FALLBACK: no earlier batch")</f>
        <v/>
      </c>
    </row>
    <row r="13">
      <c r="A13" s="12" t="inlineStr">
        <is>
          <t>RET-0017</t>
        </is>
      </c>
      <c r="B13" s="26" t="n">
        <v>44659</v>
      </c>
      <c r="C13" s="12" t="inlineStr">
        <is>
          <t>Client-052</t>
        </is>
      </c>
      <c r="D13" s="12" t="inlineStr">
        <is>
          <t>SS Sheets</t>
        </is>
      </c>
      <c r="E13" s="12" t="n">
        <v>2.31</v>
      </c>
      <c r="F13" s="12" t="inlineStr">
        <is>
          <t>Edge damage</t>
        </is>
      </c>
      <c r="G13" s="12" t="inlineStr">
        <is>
          <t>VS03</t>
        </is>
      </c>
      <c r="H13" s="12" t="inlineStr">
        <is>
          <t>PO-2022-2884</t>
        </is>
      </c>
      <c r="I13" s="12" t="n">
        <v>2.31</v>
      </c>
      <c r="J13" s="17" t="n">
        <v>80452.99000000001</v>
      </c>
      <c r="K13" s="14">
        <f>I13*J13</f>
        <v/>
      </c>
      <c r="L13" s="23">
        <f>IF(INDEX(PO_Facts!$I$2:$I$4801,MATCH(H13,PO_Facts!$A$2:$A$4801,0))&lt;=B13,"yes","FALLBACK: no earlier batch")</f>
        <v/>
      </c>
    </row>
    <row r="14">
      <c r="A14" s="12" t="inlineStr">
        <is>
          <t>RET-0018</t>
        </is>
      </c>
      <c r="B14" s="26" t="n">
        <v>44271</v>
      </c>
      <c r="C14" s="12" t="inlineStr">
        <is>
          <t>Client-071</t>
        </is>
      </c>
      <c r="D14" s="12" t="inlineStr">
        <is>
          <t>GI Pipes</t>
        </is>
      </c>
      <c r="E14" s="12" t="n">
        <v>1.53</v>
      </c>
      <c r="F14" s="12" t="inlineStr">
        <is>
          <t>Wrong dimensions</t>
        </is>
      </c>
      <c r="G14" s="12" t="inlineStr">
        <is>
          <t>VS29</t>
        </is>
      </c>
      <c r="H14" s="12" t="inlineStr">
        <is>
          <t>PO-2021-1282</t>
        </is>
      </c>
      <c r="I14" s="12" t="n">
        <v>1.04</v>
      </c>
      <c r="J14" s="17" t="n">
        <v>79848.89999999999</v>
      </c>
      <c r="K14" s="14">
        <f>I14*J14</f>
        <v/>
      </c>
      <c r="L14" s="23">
        <f>IF(INDEX(PO_Facts!$I$2:$I$4801,MATCH(H14,PO_Facts!$A$2:$A$4801,0))&lt;=B14,"yes","FALLBACK: no earlier batch")</f>
        <v/>
      </c>
    </row>
    <row r="15">
      <c r="A15" s="12" t="inlineStr">
        <is>
          <t>RET-0019</t>
        </is>
      </c>
      <c r="B15" s="26" t="n">
        <v>44565</v>
      </c>
      <c r="C15" s="12" t="inlineStr">
        <is>
          <t>Client-033</t>
        </is>
      </c>
      <c r="D15" s="12" t="inlineStr">
        <is>
          <t>HR Coils</t>
        </is>
      </c>
      <c r="E15" s="12" t="n">
        <v>0.74</v>
      </c>
      <c r="F15" s="12" t="inlineStr">
        <is>
          <t>Wrong dimensions</t>
        </is>
      </c>
      <c r="G15" s="12" t="inlineStr">
        <is>
          <t>VS19</t>
        </is>
      </c>
      <c r="H15" s="12" t="inlineStr">
        <is>
          <t>PO-2021-0903</t>
        </is>
      </c>
      <c r="I15" s="12" t="n">
        <v>0.74</v>
      </c>
      <c r="J15" s="17" t="n">
        <v>71087.45</v>
      </c>
      <c r="K15" s="14">
        <f>I15*J15</f>
        <v/>
      </c>
      <c r="L15" s="23">
        <f>IF(INDEX(PO_Facts!$I$2:$I$4801,MATCH(H15,PO_Facts!$A$2:$A$4801,0))&lt;=B15,"yes","FALLBACK: no earlier batch")</f>
        <v/>
      </c>
    </row>
    <row r="16">
      <c r="A16" s="12" t="inlineStr">
        <is>
          <t>RET-0022</t>
        </is>
      </c>
      <c r="B16" s="26" t="n">
        <v>44761</v>
      </c>
      <c r="C16" s="12" t="inlineStr">
        <is>
          <t>Client-048</t>
        </is>
      </c>
      <c r="D16" s="12" t="inlineStr">
        <is>
          <t>HR Coils</t>
        </is>
      </c>
      <c r="E16" s="12" t="n">
        <v>1.82</v>
      </c>
      <c r="F16" s="12" t="inlineStr">
        <is>
          <t>Surface rust</t>
        </is>
      </c>
      <c r="G16" s="12" t="inlineStr">
        <is>
          <t>VS12</t>
        </is>
      </c>
      <c r="H16" s="12" t="inlineStr">
        <is>
          <t>PO-2022-2784</t>
        </is>
      </c>
      <c r="I16" s="12" t="n">
        <v>1.82</v>
      </c>
      <c r="J16" s="17" t="n">
        <v>72375.47</v>
      </c>
      <c r="K16" s="14">
        <f>I16*J16</f>
        <v/>
      </c>
      <c r="L16" s="23">
        <f>IF(INDEX(PO_Facts!$I$2:$I$4801,MATCH(H16,PO_Facts!$A$2:$A$4801,0))&lt;=B16,"yes","FALLBACK: no earlier batch")</f>
        <v/>
      </c>
    </row>
    <row r="17">
      <c r="A17" s="12" t="inlineStr">
        <is>
          <t>RET-0023</t>
        </is>
      </c>
      <c r="B17" s="26" t="n">
        <v>44683</v>
      </c>
      <c r="C17" s="12" t="inlineStr">
        <is>
          <t>Client-035</t>
        </is>
      </c>
      <c r="D17" s="12" t="inlineStr">
        <is>
          <t>SS Sheets</t>
        </is>
      </c>
      <c r="E17" s="12" t="n">
        <v>0.37</v>
      </c>
      <c r="F17" s="12" t="inlineStr">
        <is>
          <t>Bend/warp</t>
        </is>
      </c>
      <c r="G17" s="12" t="inlineStr">
        <is>
          <t>VS12</t>
        </is>
      </c>
      <c r="H17" s="12" t="inlineStr">
        <is>
          <t>PO-2021-0746</t>
        </is>
      </c>
      <c r="I17" s="12" t="n">
        <v>0.37</v>
      </c>
      <c r="J17" s="17" t="n">
        <v>99309.03999999999</v>
      </c>
      <c r="K17" s="14">
        <f>I17*J17</f>
        <v/>
      </c>
      <c r="L17" s="23">
        <f>IF(INDEX(PO_Facts!$I$2:$I$4801,MATCH(H17,PO_Facts!$A$2:$A$4801,0))&lt;=B17,"yes","FALLBACK: no earlier batch")</f>
        <v/>
      </c>
    </row>
    <row r="18">
      <c r="A18" s="12" t="inlineStr">
        <is>
          <t>RET-0025</t>
        </is>
      </c>
      <c r="B18" s="26" t="n">
        <v>44900</v>
      </c>
      <c r="C18" s="12" t="inlineStr">
        <is>
          <t>Client-069</t>
        </is>
      </c>
      <c r="D18" s="12" t="inlineStr">
        <is>
          <t>SS Sheets</t>
        </is>
      </c>
      <c r="E18" s="12" t="n">
        <v>3.77</v>
      </c>
      <c r="F18" s="12" t="inlineStr">
        <is>
          <t>Edge damage</t>
        </is>
      </c>
      <c r="G18" s="12" t="inlineStr">
        <is>
          <t>VS12</t>
        </is>
      </c>
      <c r="H18" s="12" t="inlineStr">
        <is>
          <t>PO-2021-0746</t>
        </is>
      </c>
      <c r="I18" s="12" t="n">
        <v>3.77</v>
      </c>
      <c r="J18" s="17" t="n">
        <v>99309.03999999999</v>
      </c>
      <c r="K18" s="14">
        <f>I18*J18</f>
        <v/>
      </c>
      <c r="L18" s="23">
        <f>IF(INDEX(PO_Facts!$I$2:$I$4801,MATCH(H18,PO_Facts!$A$2:$A$4801,0))&lt;=B18,"yes","FALLBACK: no earlier batch")</f>
        <v/>
      </c>
    </row>
    <row r="19">
      <c r="A19" s="12" t="inlineStr">
        <is>
          <t>RET-0027</t>
        </is>
      </c>
      <c r="B19" s="26" t="n">
        <v>44433</v>
      </c>
      <c r="C19" s="12" t="inlineStr">
        <is>
          <t>Client-019</t>
        </is>
      </c>
      <c r="D19" s="12" t="inlineStr">
        <is>
          <t>SS Pipes</t>
        </is>
      </c>
      <c r="E19" s="12" t="n">
        <v>0.5600000000000001</v>
      </c>
      <c r="F19" s="12" t="inlineStr">
        <is>
          <t>Edge damage</t>
        </is>
      </c>
      <c r="G19" s="12" t="inlineStr">
        <is>
          <t>VS12</t>
        </is>
      </c>
      <c r="H19" s="12" t="inlineStr">
        <is>
          <t>PO-2021-0670</t>
        </is>
      </c>
      <c r="I19" s="12" t="n">
        <v>0.5600000000000001</v>
      </c>
      <c r="J19" s="17" t="n">
        <v>113779.67</v>
      </c>
      <c r="K19" s="14">
        <f>I19*J19</f>
        <v/>
      </c>
      <c r="L19" s="23">
        <f>IF(INDEX(PO_Facts!$I$2:$I$4801,MATCH(H19,PO_Facts!$A$2:$A$4801,0))&lt;=B19,"yes","FALLBACK: no earlier batch")</f>
        <v/>
      </c>
    </row>
    <row r="20">
      <c r="A20" s="12" t="inlineStr">
        <is>
          <t>RET-0028</t>
        </is>
      </c>
      <c r="B20" s="26" t="n">
        <v>44881</v>
      </c>
      <c r="C20" s="12" t="inlineStr">
        <is>
          <t>Client-070</t>
        </is>
      </c>
      <c r="D20" s="12" t="inlineStr">
        <is>
          <t>CR Sheets</t>
        </is>
      </c>
      <c r="E20" s="12" t="n">
        <v>2.58</v>
      </c>
      <c r="F20" s="12" t="inlineStr">
        <is>
          <t>Wrong dimensions</t>
        </is>
      </c>
      <c r="G20" s="12" t="inlineStr">
        <is>
          <t>VS12</t>
        </is>
      </c>
      <c r="H20" s="12" t="inlineStr">
        <is>
          <t>PO-2021-0487</t>
        </is>
      </c>
      <c r="I20" s="12" t="n">
        <v>2.58</v>
      </c>
      <c r="J20" s="17" t="n">
        <v>115707.06</v>
      </c>
      <c r="K20" s="14">
        <f>I20*J20</f>
        <v/>
      </c>
      <c r="L20" s="23">
        <f>IF(INDEX(PO_Facts!$I$2:$I$4801,MATCH(H20,PO_Facts!$A$2:$A$4801,0))&lt;=B20,"yes","FALLBACK: no earlier batch")</f>
        <v/>
      </c>
    </row>
    <row r="21">
      <c r="A21" s="12" t="inlineStr">
        <is>
          <t>RET-0029</t>
        </is>
      </c>
      <c r="B21" s="26" t="n">
        <v>45160</v>
      </c>
      <c r="C21" s="12" t="inlineStr">
        <is>
          <t>Client-003</t>
        </is>
      </c>
      <c r="D21" s="12" t="inlineStr">
        <is>
          <t>GI Pipes</t>
        </is>
      </c>
      <c r="E21" s="12" t="n">
        <v>2.28</v>
      </c>
      <c r="F21" s="12" t="inlineStr">
        <is>
          <t>Grade mismatch</t>
        </is>
      </c>
      <c r="G21" s="12" t="inlineStr">
        <is>
          <t>VS12</t>
        </is>
      </c>
      <c r="H21" s="12" t="inlineStr">
        <is>
          <t>PO-2023-3239</t>
        </is>
      </c>
      <c r="I21" s="12" t="n">
        <v>2.28</v>
      </c>
      <c r="J21" s="17" t="n">
        <v>46841.18</v>
      </c>
      <c r="K21" s="14">
        <f>I21*J21</f>
        <v/>
      </c>
      <c r="L21" s="23">
        <f>IF(INDEX(PO_Facts!$I$2:$I$4801,MATCH(H21,PO_Facts!$A$2:$A$4801,0))&lt;=B21,"yes","FALLBACK: no earlier batch")</f>
        <v/>
      </c>
    </row>
    <row r="22">
      <c r="A22" s="12" t="inlineStr">
        <is>
          <t>RET-0031</t>
        </is>
      </c>
      <c r="B22" s="26" t="n">
        <v>44749</v>
      </c>
      <c r="C22" s="12" t="inlineStr">
        <is>
          <t>Client-057</t>
        </is>
      </c>
      <c r="D22" s="12" t="inlineStr">
        <is>
          <t>GI Sheets</t>
        </is>
      </c>
      <c r="E22" s="12" t="n">
        <v>0.85</v>
      </c>
      <c r="F22" s="12" t="inlineStr">
        <is>
          <t>Bend/warp</t>
        </is>
      </c>
      <c r="G22" s="12" t="inlineStr">
        <is>
          <t>VS12</t>
        </is>
      </c>
      <c r="H22" s="12" t="inlineStr">
        <is>
          <t>PO-2022-1686</t>
        </is>
      </c>
      <c r="I22" s="12" t="n">
        <v>0.85</v>
      </c>
      <c r="J22" s="17" t="n">
        <v>116010.56</v>
      </c>
      <c r="K22" s="14">
        <f>I22*J22</f>
        <v/>
      </c>
      <c r="L22" s="23">
        <f>IF(INDEX(PO_Facts!$I$2:$I$4801,MATCH(H22,PO_Facts!$A$2:$A$4801,0))&lt;=B22,"yes","FALLBACK: no earlier batch")</f>
        <v/>
      </c>
    </row>
    <row r="23">
      <c r="A23" s="12" t="inlineStr">
        <is>
          <t>RET-0032</t>
        </is>
      </c>
      <c r="B23" s="26" t="n">
        <v>44334</v>
      </c>
      <c r="C23" s="12" t="inlineStr">
        <is>
          <t>Client-061</t>
        </is>
      </c>
      <c r="D23" s="12" t="inlineStr">
        <is>
          <t>CR Sheets</t>
        </is>
      </c>
      <c r="E23" s="12" t="n">
        <v>2.62</v>
      </c>
      <c r="F23" s="12" t="inlineStr">
        <is>
          <t>Edge damage</t>
        </is>
      </c>
      <c r="G23" s="12" t="inlineStr">
        <is>
          <t>VS03</t>
        </is>
      </c>
      <c r="H23" s="12" t="inlineStr">
        <is>
          <t>PO-2023-4707</t>
        </is>
      </c>
      <c r="I23" s="12" t="n">
        <v>1.28</v>
      </c>
      <c r="J23" s="17" t="n">
        <v>62710.54</v>
      </c>
      <c r="K23" s="14">
        <f>I23*J23</f>
        <v/>
      </c>
      <c r="L23" s="23">
        <f>IF(INDEX(PO_Facts!$I$2:$I$4801,MATCH(H23,PO_Facts!$A$2:$A$4801,0))&lt;=B23,"yes","FALLBACK: no earlier batch")</f>
        <v/>
      </c>
    </row>
    <row r="24">
      <c r="A24" s="12" t="inlineStr">
        <is>
          <t>RET-0034</t>
        </is>
      </c>
      <c r="B24" s="26" t="n">
        <v>44617</v>
      </c>
      <c r="C24" s="12" t="inlineStr">
        <is>
          <t>Client-049</t>
        </is>
      </c>
      <c r="D24" s="12" t="inlineStr">
        <is>
          <t>GI Wire</t>
        </is>
      </c>
      <c r="E24" s="12" t="n">
        <v>2.87</v>
      </c>
      <c r="F24" s="12" t="inlineStr">
        <is>
          <t>Surface rust</t>
        </is>
      </c>
      <c r="G24" s="12" t="inlineStr">
        <is>
          <t>VS13</t>
        </is>
      </c>
      <c r="H24" s="12" t="inlineStr">
        <is>
          <t>PO-2022-2521</t>
        </is>
      </c>
      <c r="I24" s="12" t="n">
        <v>2.87</v>
      </c>
      <c r="J24" s="17" t="n">
        <v>76319.17999999999</v>
      </c>
      <c r="K24" s="14">
        <f>I24*J24</f>
        <v/>
      </c>
      <c r="L24" s="23">
        <f>IF(INDEX(PO_Facts!$I$2:$I$4801,MATCH(H24,PO_Facts!$A$2:$A$4801,0))&lt;=B24,"yes","FALLBACK: no earlier batch")</f>
        <v/>
      </c>
    </row>
    <row r="25">
      <c r="A25" s="12" t="inlineStr">
        <is>
          <t>RET-0035</t>
        </is>
      </c>
      <c r="B25" s="26" t="n">
        <v>44842</v>
      </c>
      <c r="C25" s="12" t="inlineStr">
        <is>
          <t>Client-075</t>
        </is>
      </c>
      <c r="D25" s="12" t="inlineStr">
        <is>
          <t>Angles &amp; Channels</t>
        </is>
      </c>
      <c r="E25" s="12" t="n">
        <v>2.77</v>
      </c>
      <c r="F25" s="12" t="inlineStr">
        <is>
          <t>Wrong dimensions</t>
        </is>
      </c>
      <c r="G25" s="12" t="inlineStr">
        <is>
          <t>VS03</t>
        </is>
      </c>
      <c r="H25" s="12" t="inlineStr">
        <is>
          <t>PO-2023-3826</t>
        </is>
      </c>
      <c r="I25" s="12" t="n">
        <v>2.77</v>
      </c>
      <c r="J25" s="17" t="n">
        <v>101275.29</v>
      </c>
      <c r="K25" s="14">
        <f>I25*J25</f>
        <v/>
      </c>
      <c r="L25" s="23">
        <f>IF(INDEX(PO_Facts!$I$2:$I$4801,MATCH(H25,PO_Facts!$A$2:$A$4801,0))&lt;=B25,"yes","FALLBACK: no earlier batch")</f>
        <v/>
      </c>
    </row>
    <row r="26">
      <c r="A26" s="12" t="inlineStr">
        <is>
          <t>RET-0036</t>
        </is>
      </c>
      <c r="B26" s="26" t="n">
        <v>44969</v>
      </c>
      <c r="C26" s="12" t="inlineStr">
        <is>
          <t>Client-067</t>
        </is>
      </c>
      <c r="D26" s="12" t="inlineStr">
        <is>
          <t>Fasteners &amp; Fittings</t>
        </is>
      </c>
      <c r="E26" s="12" t="n">
        <v>0.91</v>
      </c>
      <c r="F26" s="12" t="inlineStr">
        <is>
          <t>Wrong dimensions</t>
        </is>
      </c>
      <c r="G26" s="12" t="inlineStr">
        <is>
          <t>VS10</t>
        </is>
      </c>
      <c r="H26" s="12" t="inlineStr">
        <is>
          <t>PO-2023-3577</t>
        </is>
      </c>
      <c r="I26" s="12" t="n">
        <v>0.91</v>
      </c>
      <c r="J26" s="17" t="n">
        <v>61407.23</v>
      </c>
      <c r="K26" s="14">
        <f>I26*J26</f>
        <v/>
      </c>
      <c r="L26" s="23">
        <f>IF(INDEX(PO_Facts!$I$2:$I$4801,MATCH(H26,PO_Facts!$A$2:$A$4801,0))&lt;=B26,"yes","FALLBACK: no earlier batch")</f>
        <v/>
      </c>
    </row>
    <row r="27">
      <c r="A27" s="12" t="inlineStr">
        <is>
          <t>RET-0037</t>
        </is>
      </c>
      <c r="B27" s="26" t="n">
        <v>44263</v>
      </c>
      <c r="C27" s="12" t="inlineStr">
        <is>
          <t>Client-013</t>
        </is>
      </c>
      <c r="D27" s="12" t="inlineStr">
        <is>
          <t>ERW Pipes</t>
        </is>
      </c>
      <c r="E27" s="12" t="n">
        <v>1.65</v>
      </c>
      <c r="F27" s="12" t="inlineStr">
        <is>
          <t>Edge damage</t>
        </is>
      </c>
      <c r="G27" s="12" t="inlineStr">
        <is>
          <t>VS12</t>
        </is>
      </c>
      <c r="H27" s="12" t="inlineStr">
        <is>
          <t>PO-2021-0769</t>
        </is>
      </c>
      <c r="I27" s="12" t="n">
        <v>1.65</v>
      </c>
      <c r="J27" s="17" t="n">
        <v>56553.06</v>
      </c>
      <c r="K27" s="14">
        <f>I27*J27</f>
        <v/>
      </c>
      <c r="L27" s="23">
        <f>IF(INDEX(PO_Facts!$I$2:$I$4801,MATCH(H27,PO_Facts!$A$2:$A$4801,0))&lt;=B27,"yes","FALLBACK: no earlier batch")</f>
        <v/>
      </c>
    </row>
    <row r="28">
      <c r="A28" s="12" t="inlineStr">
        <is>
          <t>RET-0038</t>
        </is>
      </c>
      <c r="B28" s="26" t="n">
        <v>44566</v>
      </c>
      <c r="C28" s="12" t="inlineStr">
        <is>
          <t>Client-069</t>
        </is>
      </c>
      <c r="D28" s="12" t="inlineStr">
        <is>
          <t>Structural Steel</t>
        </is>
      </c>
      <c r="E28" s="12" t="n">
        <v>4.17</v>
      </c>
      <c r="F28" s="12" t="inlineStr">
        <is>
          <t>Bend/warp</t>
        </is>
      </c>
      <c r="G28" s="12" t="inlineStr">
        <is>
          <t>VS29</t>
        </is>
      </c>
      <c r="H28" s="12" t="inlineStr">
        <is>
          <t>PO-2021-1015</t>
        </is>
      </c>
      <c r="I28" s="12" t="n">
        <v>4.17</v>
      </c>
      <c r="J28" s="17" t="n">
        <v>86886.52</v>
      </c>
      <c r="K28" s="14">
        <f>I28*J28</f>
        <v/>
      </c>
      <c r="L28" s="23">
        <f>IF(INDEX(PO_Facts!$I$2:$I$4801,MATCH(H28,PO_Facts!$A$2:$A$4801,0))&lt;=B28,"yes","FALLBACK: no earlier batch")</f>
        <v/>
      </c>
    </row>
    <row r="29">
      <c r="A29" s="12" t="inlineStr">
        <is>
          <t>RET-0039</t>
        </is>
      </c>
      <c r="B29" s="26" t="n">
        <v>44966</v>
      </c>
      <c r="C29" s="12" t="inlineStr">
        <is>
          <t>Client-026</t>
        </is>
      </c>
      <c r="D29" s="12" t="inlineStr">
        <is>
          <t>MS Flats</t>
        </is>
      </c>
      <c r="E29" s="12" t="n">
        <v>0.45</v>
      </c>
      <c r="F29" s="12" t="inlineStr">
        <is>
          <t>Edge damage</t>
        </is>
      </c>
      <c r="G29" s="12" t="inlineStr">
        <is>
          <t>VS13</t>
        </is>
      </c>
      <c r="H29" s="12" t="inlineStr">
        <is>
          <t>PO-2023-4198</t>
        </is>
      </c>
      <c r="I29" s="12" t="n">
        <v>0.45</v>
      </c>
      <c r="J29" s="17" t="n">
        <v>115775.93</v>
      </c>
      <c r="K29" s="14">
        <f>I29*J29</f>
        <v/>
      </c>
      <c r="L29" s="23">
        <f>IF(INDEX(PO_Facts!$I$2:$I$4801,MATCH(H29,PO_Facts!$A$2:$A$4801,0))&lt;=B29,"yes","FALLBACK: no earlier batch")</f>
        <v/>
      </c>
    </row>
    <row r="30">
      <c r="A30" s="12" t="inlineStr">
        <is>
          <t>RET-0040</t>
        </is>
      </c>
      <c r="B30" s="26" t="n">
        <v>44693</v>
      </c>
      <c r="C30" s="12" t="inlineStr">
        <is>
          <t>Client-038</t>
        </is>
      </c>
      <c r="D30" s="12" t="inlineStr">
        <is>
          <t>SS Pipes</t>
        </is>
      </c>
      <c r="E30" s="12" t="n">
        <v>4.1</v>
      </c>
      <c r="F30" s="12" t="inlineStr">
        <is>
          <t>Weight short</t>
        </is>
      </c>
      <c r="G30" s="12" t="inlineStr">
        <is>
          <t>VS14</t>
        </is>
      </c>
      <c r="H30" s="12" t="inlineStr">
        <is>
          <t>PO-2022-2597</t>
        </is>
      </c>
      <c r="I30" s="12" t="n">
        <v>4.1</v>
      </c>
      <c r="J30" s="17" t="n">
        <v>65738.62</v>
      </c>
      <c r="K30" s="14">
        <f>I30*J30</f>
        <v/>
      </c>
      <c r="L30" s="23">
        <f>IF(INDEX(PO_Facts!$I$2:$I$4801,MATCH(H30,PO_Facts!$A$2:$A$4801,0))&lt;=B30,"yes","FALLBACK: no earlier batch")</f>
        <v/>
      </c>
    </row>
    <row r="31">
      <c r="A31" s="12" t="inlineStr">
        <is>
          <t>RET-0042</t>
        </is>
      </c>
      <c r="B31" s="26" t="n">
        <v>44268</v>
      </c>
      <c r="C31" s="12" t="inlineStr">
        <is>
          <t>Client-063</t>
        </is>
      </c>
      <c r="D31" s="12" t="inlineStr">
        <is>
          <t>MS Pipes</t>
        </is>
      </c>
      <c r="E31" s="12" t="n">
        <v>2.69</v>
      </c>
      <c r="F31" s="12" t="inlineStr">
        <is>
          <t>Weight short</t>
        </is>
      </c>
      <c r="G31" s="12" t="inlineStr">
        <is>
          <t>VS11</t>
        </is>
      </c>
      <c r="H31" s="12" t="inlineStr">
        <is>
          <t>PO-2021-0239</t>
        </is>
      </c>
      <c r="I31" s="12" t="n">
        <v>2.69</v>
      </c>
      <c r="J31" s="17" t="n">
        <v>90567.97</v>
      </c>
      <c r="K31" s="14">
        <f>I31*J31</f>
        <v/>
      </c>
      <c r="L31" s="23">
        <f>IF(INDEX(PO_Facts!$I$2:$I$4801,MATCH(H31,PO_Facts!$A$2:$A$4801,0))&lt;=B31,"yes","FALLBACK: no earlier batch")</f>
        <v/>
      </c>
    </row>
    <row r="32">
      <c r="A32" s="12" t="inlineStr">
        <is>
          <t>RET-0046</t>
        </is>
      </c>
      <c r="B32" s="26" t="n">
        <v>45184</v>
      </c>
      <c r="C32" s="12" t="inlineStr">
        <is>
          <t>Client-036</t>
        </is>
      </c>
      <c r="D32" s="12" t="inlineStr">
        <is>
          <t>MS Sheets</t>
        </is>
      </c>
      <c r="E32" s="12" t="n">
        <v>3.41</v>
      </c>
      <c r="F32" s="12" t="inlineStr">
        <is>
          <t>Bend/warp</t>
        </is>
      </c>
      <c r="G32" s="12" t="inlineStr">
        <is>
          <t>VS32</t>
        </is>
      </c>
      <c r="H32" s="12" t="inlineStr">
        <is>
          <t>PO-2023-3419</t>
        </is>
      </c>
      <c r="I32" s="12" t="n">
        <v>3.41</v>
      </c>
      <c r="J32" s="17" t="n">
        <v>65302.5</v>
      </c>
      <c r="K32" s="14">
        <f>I32*J32</f>
        <v/>
      </c>
      <c r="L32" s="23">
        <f>IF(INDEX(PO_Facts!$I$2:$I$4801,MATCH(H32,PO_Facts!$A$2:$A$4801,0))&lt;=B32,"yes","FALLBACK: no earlier batch")</f>
        <v/>
      </c>
    </row>
    <row r="33">
      <c r="A33" s="12" t="inlineStr">
        <is>
          <t>RET-0047</t>
        </is>
      </c>
      <c r="B33" s="26" t="n">
        <v>44593</v>
      </c>
      <c r="C33" s="12" t="inlineStr">
        <is>
          <t>Client-040</t>
        </is>
      </c>
      <c r="D33" s="12" t="inlineStr">
        <is>
          <t>MS Rods</t>
        </is>
      </c>
      <c r="E33" s="12" t="n">
        <v>1.05</v>
      </c>
      <c r="F33" s="12" t="inlineStr">
        <is>
          <t>Surface rust</t>
        </is>
      </c>
      <c r="G33" s="12" t="inlineStr">
        <is>
          <t>VS31</t>
        </is>
      </c>
      <c r="H33" s="12" t="inlineStr">
        <is>
          <t>PO-2022-2053</t>
        </is>
      </c>
      <c r="I33" s="12" t="n">
        <v>1.05</v>
      </c>
      <c r="J33" s="17" t="n">
        <v>76281.72</v>
      </c>
      <c r="K33" s="14">
        <f>I33*J33</f>
        <v/>
      </c>
      <c r="L33" s="23">
        <f>IF(INDEX(PO_Facts!$I$2:$I$4801,MATCH(H33,PO_Facts!$A$2:$A$4801,0))&lt;=B33,"yes","FALLBACK: no earlier batch")</f>
        <v/>
      </c>
    </row>
    <row r="34">
      <c r="A34" s="12" t="inlineStr">
        <is>
          <t>RET-0050</t>
        </is>
      </c>
      <c r="B34" s="26" t="n">
        <v>44775</v>
      </c>
      <c r="C34" s="12" t="inlineStr">
        <is>
          <t>Client-034</t>
        </is>
      </c>
      <c r="D34" s="12" t="inlineStr">
        <is>
          <t>ERW Pipes</t>
        </is>
      </c>
      <c r="E34" s="12" t="n">
        <v>1.65</v>
      </c>
      <c r="F34" s="12" t="inlineStr">
        <is>
          <t>Edge damage</t>
        </is>
      </c>
      <c r="G34" s="12" t="inlineStr">
        <is>
          <t>VS25</t>
        </is>
      </c>
      <c r="H34" s="12" t="inlineStr">
        <is>
          <t>PO-2021-0735</t>
        </is>
      </c>
      <c r="I34" s="12" t="n">
        <v>1.65</v>
      </c>
      <c r="J34" s="17" t="n">
        <v>90958.36</v>
      </c>
      <c r="K34" s="14">
        <f>I34*J34</f>
        <v/>
      </c>
      <c r="L34" s="23">
        <f>IF(INDEX(PO_Facts!$I$2:$I$4801,MATCH(H34,PO_Facts!$A$2:$A$4801,0))&lt;=B34,"yes","FALLBACK: no earlier batch")</f>
        <v/>
      </c>
    </row>
    <row r="35">
      <c r="A35" s="12" t="inlineStr">
        <is>
          <t>RET-0051</t>
        </is>
      </c>
      <c r="B35" s="26" t="n">
        <v>45014</v>
      </c>
      <c r="C35" s="12" t="inlineStr">
        <is>
          <t>Client-070</t>
        </is>
      </c>
      <c r="D35" s="12" t="inlineStr">
        <is>
          <t>MS Sheets</t>
        </is>
      </c>
      <c r="E35" s="12" t="n">
        <v>1.46</v>
      </c>
      <c r="F35" s="12" t="inlineStr">
        <is>
          <t>Grade mismatch</t>
        </is>
      </c>
      <c r="G35" s="12" t="inlineStr">
        <is>
          <t>VS13</t>
        </is>
      </c>
      <c r="H35" s="12" t="inlineStr">
        <is>
          <t>PO-2022-1906</t>
        </is>
      </c>
      <c r="I35" s="12" t="n">
        <v>1.46</v>
      </c>
      <c r="J35" s="17" t="n">
        <v>74664.47</v>
      </c>
      <c r="K35" s="14">
        <f>I35*J35</f>
        <v/>
      </c>
      <c r="L35" s="23">
        <f>IF(INDEX(PO_Facts!$I$2:$I$4801,MATCH(H35,PO_Facts!$A$2:$A$4801,0))&lt;=B35,"yes","FALLBACK: no earlier batch")</f>
        <v/>
      </c>
    </row>
    <row r="36">
      <c r="A36" s="12" t="inlineStr">
        <is>
          <t>RET-0052</t>
        </is>
      </c>
      <c r="B36" s="26" t="n">
        <v>44515</v>
      </c>
      <c r="C36" s="12" t="inlineStr">
        <is>
          <t>Client-009</t>
        </is>
      </c>
      <c r="D36" s="12" t="inlineStr">
        <is>
          <t>Structural Steel</t>
        </is>
      </c>
      <c r="E36" s="12" t="n">
        <v>4.23</v>
      </c>
      <c r="F36" s="12" t="inlineStr">
        <is>
          <t>Bend/warp</t>
        </is>
      </c>
      <c r="G36" s="12" t="inlineStr">
        <is>
          <t>VS19</t>
        </is>
      </c>
      <c r="H36" s="12" t="inlineStr">
        <is>
          <t>PO-2021-0083</t>
        </is>
      </c>
      <c r="I36" s="12" t="n">
        <v>4.23</v>
      </c>
      <c r="J36" s="17" t="n">
        <v>73375.06</v>
      </c>
      <c r="K36" s="14">
        <f>I36*J36</f>
        <v/>
      </c>
      <c r="L36" s="23">
        <f>IF(INDEX(PO_Facts!$I$2:$I$4801,MATCH(H36,PO_Facts!$A$2:$A$4801,0))&lt;=B36,"yes","FALLBACK: no earlier batch")</f>
        <v/>
      </c>
    </row>
    <row r="37">
      <c r="A37" s="12" t="inlineStr">
        <is>
          <t>RET-0054</t>
        </is>
      </c>
      <c r="B37" s="26" t="n">
        <v>44546</v>
      </c>
      <c r="C37" s="12" t="inlineStr">
        <is>
          <t>Client-003</t>
        </is>
      </c>
      <c r="D37" s="12" t="inlineStr">
        <is>
          <t>Angles &amp; Channels</t>
        </is>
      </c>
      <c r="E37" s="12" t="n">
        <v>4.69</v>
      </c>
      <c r="F37" s="12" t="inlineStr">
        <is>
          <t>Surface rust</t>
        </is>
      </c>
      <c r="G37" s="12" t="inlineStr">
        <is>
          <t>VS03</t>
        </is>
      </c>
      <c r="H37" s="12" t="inlineStr">
        <is>
          <t>PO-2022-2449</t>
        </is>
      </c>
      <c r="I37" s="12" t="n">
        <v>4.69</v>
      </c>
      <c r="J37" s="17" t="n">
        <v>68705.00999999999</v>
      </c>
      <c r="K37" s="14">
        <f>I37*J37</f>
        <v/>
      </c>
      <c r="L37" s="23">
        <f>IF(INDEX(PO_Facts!$I$2:$I$4801,MATCH(H37,PO_Facts!$A$2:$A$4801,0))&lt;=B37,"yes","FALLBACK: no earlier batch")</f>
        <v/>
      </c>
    </row>
    <row r="38">
      <c r="A38" s="12" t="inlineStr">
        <is>
          <t>RET-0056</t>
        </is>
      </c>
      <c r="B38" s="26" t="n">
        <v>44991</v>
      </c>
      <c r="C38" s="12" t="inlineStr">
        <is>
          <t>Client-079</t>
        </is>
      </c>
      <c r="D38" s="12" t="inlineStr">
        <is>
          <t>GI Wire</t>
        </is>
      </c>
      <c r="E38" s="12" t="n">
        <v>2.1</v>
      </c>
      <c r="F38" s="12" t="inlineStr">
        <is>
          <t>Bend/warp</t>
        </is>
      </c>
      <c r="G38" s="12" t="inlineStr">
        <is>
          <t>VS03</t>
        </is>
      </c>
      <c r="H38" s="12" t="inlineStr">
        <is>
          <t>PO-2021-0031</t>
        </is>
      </c>
      <c r="I38" s="12" t="n">
        <v>1</v>
      </c>
      <c r="J38" s="17" t="n">
        <v>118994.86</v>
      </c>
      <c r="K38" s="14">
        <f>I38*J38</f>
        <v/>
      </c>
      <c r="L38" s="23">
        <f>IF(INDEX(PO_Facts!$I$2:$I$4801,MATCH(H38,PO_Facts!$A$2:$A$4801,0))&lt;=B38,"yes","FALLBACK: no earlier batch")</f>
        <v/>
      </c>
    </row>
    <row r="39">
      <c r="A39" s="12" t="inlineStr">
        <is>
          <t>RET-0058</t>
        </is>
      </c>
      <c r="B39" s="26" t="n">
        <v>44230</v>
      </c>
      <c r="C39" s="12" t="inlineStr">
        <is>
          <t>Client-050</t>
        </is>
      </c>
      <c r="D39" s="12" t="inlineStr">
        <is>
          <t>SS Pipes</t>
        </is>
      </c>
      <c r="E39" s="12" t="n">
        <v>3.3</v>
      </c>
      <c r="F39" s="12" t="inlineStr">
        <is>
          <t>Weight short</t>
        </is>
      </c>
      <c r="G39" s="12" t="inlineStr">
        <is>
          <t>VS03</t>
        </is>
      </c>
      <c r="H39" s="12" t="inlineStr">
        <is>
          <t>PO-2023-4429</t>
        </is>
      </c>
      <c r="I39" s="12" t="n">
        <v>3.3</v>
      </c>
      <c r="J39" s="17" t="n">
        <v>72085.96000000001</v>
      </c>
      <c r="K39" s="14">
        <f>I39*J39</f>
        <v/>
      </c>
      <c r="L39" s="23">
        <f>IF(INDEX(PO_Facts!$I$2:$I$4801,MATCH(H39,PO_Facts!$A$2:$A$4801,0))&lt;=B39,"yes","FALLBACK: no earlier batch")</f>
        <v/>
      </c>
    </row>
    <row r="40">
      <c r="A40" s="12" t="inlineStr">
        <is>
          <t>RET-0059</t>
        </is>
      </c>
      <c r="B40" s="26" t="n">
        <v>44849</v>
      </c>
      <c r="C40" s="12" t="inlineStr">
        <is>
          <t>Client-050</t>
        </is>
      </c>
      <c r="D40" s="12" t="inlineStr">
        <is>
          <t>Fasteners &amp; Fittings</t>
        </is>
      </c>
      <c r="E40" s="12" t="n">
        <v>1.88</v>
      </c>
      <c r="F40" s="12" t="inlineStr">
        <is>
          <t>Bend/warp</t>
        </is>
      </c>
      <c r="G40" s="12" t="inlineStr">
        <is>
          <t>VS19</t>
        </is>
      </c>
      <c r="H40" s="12" t="inlineStr">
        <is>
          <t>PO-2023-3252</t>
        </is>
      </c>
      <c r="I40" s="12" t="n">
        <v>1.88</v>
      </c>
      <c r="J40" s="17" t="n">
        <v>68959.21000000001</v>
      </c>
      <c r="K40" s="14">
        <f>I40*J40</f>
        <v/>
      </c>
      <c r="L40" s="23">
        <f>IF(INDEX(PO_Facts!$I$2:$I$4801,MATCH(H40,PO_Facts!$A$2:$A$4801,0))&lt;=B40,"yes","FALLBACK: no earlier batch")</f>
        <v/>
      </c>
    </row>
    <row r="41">
      <c r="A41" s="12" t="inlineStr">
        <is>
          <t>RET-0061</t>
        </is>
      </c>
      <c r="B41" s="26" t="n">
        <v>45291</v>
      </c>
      <c r="C41" s="12" t="inlineStr">
        <is>
          <t>Client-030</t>
        </is>
      </c>
      <c r="D41" s="12" t="inlineStr">
        <is>
          <t>MS Flats</t>
        </is>
      </c>
      <c r="E41" s="12" t="n">
        <v>1.29</v>
      </c>
      <c r="F41" s="12" t="inlineStr">
        <is>
          <t>Grade mismatch</t>
        </is>
      </c>
      <c r="G41" s="12" t="inlineStr">
        <is>
          <t>VS10</t>
        </is>
      </c>
      <c r="H41" s="12" t="inlineStr">
        <is>
          <t>PO-2023-4770</t>
        </is>
      </c>
      <c r="I41" s="12" t="n">
        <v>1.29</v>
      </c>
      <c r="J41" s="17" t="n">
        <v>109886.01</v>
      </c>
      <c r="K41" s="14">
        <f>I41*J41</f>
        <v/>
      </c>
      <c r="L41" s="23">
        <f>IF(INDEX(PO_Facts!$I$2:$I$4801,MATCH(H41,PO_Facts!$A$2:$A$4801,0))&lt;=B41,"yes","FALLBACK: no earlier batch")</f>
        <v/>
      </c>
    </row>
    <row r="42">
      <c r="A42" s="12" t="inlineStr">
        <is>
          <t>RET-0062</t>
        </is>
      </c>
      <c r="B42" s="26" t="n">
        <v>45099</v>
      </c>
      <c r="C42" s="12" t="inlineStr">
        <is>
          <t>Client-062</t>
        </is>
      </c>
      <c r="D42" s="12" t="inlineStr">
        <is>
          <t>MS Sheets</t>
        </is>
      </c>
      <c r="E42" s="12" t="n">
        <v>3.22</v>
      </c>
      <c r="F42" s="12" t="inlineStr">
        <is>
          <t>Bend/warp</t>
        </is>
      </c>
      <c r="G42" s="12" t="inlineStr">
        <is>
          <t>VS19</t>
        </is>
      </c>
      <c r="H42" s="12" t="inlineStr">
        <is>
          <t>PO-2021-0941</t>
        </is>
      </c>
      <c r="I42" s="12" t="n">
        <v>2.55</v>
      </c>
      <c r="J42" s="17" t="n">
        <v>118783.43</v>
      </c>
      <c r="K42" s="14">
        <f>I42*J42</f>
        <v/>
      </c>
      <c r="L42" s="23">
        <f>IF(INDEX(PO_Facts!$I$2:$I$4801,MATCH(H42,PO_Facts!$A$2:$A$4801,0))&lt;=B42,"yes","FALLBACK: no earlier batch")</f>
        <v/>
      </c>
    </row>
    <row r="43">
      <c r="A43" s="12" t="inlineStr">
        <is>
          <t>RET-0064</t>
        </is>
      </c>
      <c r="B43" s="26" t="n">
        <v>44833</v>
      </c>
      <c r="C43" s="12" t="inlineStr">
        <is>
          <t>Client-062</t>
        </is>
      </c>
      <c r="D43" s="12" t="inlineStr">
        <is>
          <t>MS Sheets</t>
        </is>
      </c>
      <c r="E43" s="12" t="n">
        <v>3.58</v>
      </c>
      <c r="F43" s="12" t="inlineStr">
        <is>
          <t>Surface rust</t>
        </is>
      </c>
      <c r="G43" s="12" t="inlineStr">
        <is>
          <t>VS01</t>
        </is>
      </c>
      <c r="H43" s="12" t="inlineStr">
        <is>
          <t>PO-2021-1431</t>
        </is>
      </c>
      <c r="I43" s="12" t="n">
        <v>3.58</v>
      </c>
      <c r="J43" s="17" t="n">
        <v>45118.39</v>
      </c>
      <c r="K43" s="14">
        <f>I43*J43</f>
        <v/>
      </c>
      <c r="L43" s="23">
        <f>IF(INDEX(PO_Facts!$I$2:$I$4801,MATCH(H43,PO_Facts!$A$2:$A$4801,0))&lt;=B43,"yes","FALLBACK: no earlier batch")</f>
        <v/>
      </c>
    </row>
    <row r="44">
      <c r="A44" s="12" t="inlineStr">
        <is>
          <t>RET-0066</t>
        </is>
      </c>
      <c r="B44" s="26" t="n">
        <v>44342</v>
      </c>
      <c r="C44" s="12" t="inlineStr">
        <is>
          <t>Client-055</t>
        </is>
      </c>
      <c r="D44" s="12" t="inlineStr">
        <is>
          <t>Structural Steel</t>
        </is>
      </c>
      <c r="E44" s="12" t="n">
        <v>2.05</v>
      </c>
      <c r="F44" s="12" t="inlineStr">
        <is>
          <t>Bend/warp</t>
        </is>
      </c>
      <c r="G44" s="12" t="inlineStr">
        <is>
          <t>VS03</t>
        </is>
      </c>
      <c r="H44" s="12" t="inlineStr">
        <is>
          <t>PO-2021-0730</t>
        </is>
      </c>
      <c r="I44" s="12" t="n">
        <v>2.05</v>
      </c>
      <c r="J44" s="17" t="n">
        <v>71402.52</v>
      </c>
      <c r="K44" s="14">
        <f>I44*J44</f>
        <v/>
      </c>
      <c r="L44" s="23">
        <f>IF(INDEX(PO_Facts!$I$2:$I$4801,MATCH(H44,PO_Facts!$A$2:$A$4801,0))&lt;=B44,"yes","FALLBACK: no earlier batch")</f>
        <v/>
      </c>
    </row>
    <row r="45">
      <c r="A45" s="12" t="inlineStr">
        <is>
          <t>RET-0069</t>
        </is>
      </c>
      <c r="B45" s="26" t="n">
        <v>44810</v>
      </c>
      <c r="C45" s="12" t="inlineStr">
        <is>
          <t>Client-079</t>
        </is>
      </c>
      <c r="D45" s="12" t="inlineStr">
        <is>
          <t>GI Wire</t>
        </is>
      </c>
      <c r="E45" s="12" t="n">
        <v>2</v>
      </c>
      <c r="F45" s="12" t="inlineStr">
        <is>
          <t>Surface rust</t>
        </is>
      </c>
      <c r="G45" s="12" t="inlineStr">
        <is>
          <t>VS19</t>
        </is>
      </c>
      <c r="H45" s="12" t="inlineStr">
        <is>
          <t>PO-2022-2469</t>
        </is>
      </c>
      <c r="I45" s="12" t="n">
        <v>2</v>
      </c>
      <c r="J45" s="17" t="n">
        <v>63994.13</v>
      </c>
      <c r="K45" s="14">
        <f>I45*J45</f>
        <v/>
      </c>
      <c r="L45" s="23">
        <f>IF(INDEX(PO_Facts!$I$2:$I$4801,MATCH(H45,PO_Facts!$A$2:$A$4801,0))&lt;=B45,"yes","FALLBACK: no earlier batch")</f>
        <v/>
      </c>
    </row>
    <row r="46">
      <c r="A46" s="12" t="inlineStr">
        <is>
          <t>RET-0071</t>
        </is>
      </c>
      <c r="B46" s="26" t="n">
        <v>45277</v>
      </c>
      <c r="C46" s="12" t="inlineStr">
        <is>
          <t>Client-060</t>
        </is>
      </c>
      <c r="D46" s="12" t="inlineStr">
        <is>
          <t>Structural Steel</t>
        </is>
      </c>
      <c r="E46" s="12" t="n">
        <v>2.32</v>
      </c>
      <c r="F46" s="12" t="inlineStr">
        <is>
          <t>Grade mismatch</t>
        </is>
      </c>
      <c r="G46" s="12" t="inlineStr">
        <is>
          <t>VS20</t>
        </is>
      </c>
      <c r="H46" s="12" t="inlineStr">
        <is>
          <t>PO-2023-4474</t>
        </is>
      </c>
      <c r="I46" s="12" t="n">
        <v>2.32</v>
      </c>
      <c r="J46" s="17" t="n">
        <v>58814.04</v>
      </c>
      <c r="K46" s="14">
        <f>I46*J46</f>
        <v/>
      </c>
      <c r="L46" s="23">
        <f>IF(INDEX(PO_Facts!$I$2:$I$4801,MATCH(H46,PO_Facts!$A$2:$A$4801,0))&lt;=B46,"yes","FALLBACK: no earlier batch")</f>
        <v/>
      </c>
    </row>
    <row r="47">
      <c r="A47" s="12" t="inlineStr">
        <is>
          <t>RET-0072</t>
        </is>
      </c>
      <c r="B47" s="26" t="n">
        <v>45260</v>
      </c>
      <c r="C47" s="12" t="inlineStr">
        <is>
          <t>Client-058</t>
        </is>
      </c>
      <c r="D47" s="12" t="inlineStr">
        <is>
          <t>Square/Rect Tubes</t>
        </is>
      </c>
      <c r="E47" s="12" t="n">
        <v>1.81</v>
      </c>
      <c r="F47" s="12" t="inlineStr">
        <is>
          <t>Bend/warp</t>
        </is>
      </c>
      <c r="G47" s="12" t="inlineStr">
        <is>
          <t>VS03</t>
        </is>
      </c>
      <c r="H47" s="12" t="inlineStr">
        <is>
          <t>PO-2021-0689</t>
        </is>
      </c>
      <c r="I47" s="12" t="n">
        <v>1.81</v>
      </c>
      <c r="J47" s="17" t="n">
        <v>66944.25</v>
      </c>
      <c r="K47" s="14">
        <f>I47*J47</f>
        <v/>
      </c>
      <c r="L47" s="23">
        <f>IF(INDEX(PO_Facts!$I$2:$I$4801,MATCH(H47,PO_Facts!$A$2:$A$4801,0))&lt;=B47,"yes","FALLBACK: no earlier batch")</f>
        <v/>
      </c>
    </row>
    <row r="48">
      <c r="A48" s="12" t="inlineStr">
        <is>
          <t>RET-0074</t>
        </is>
      </c>
      <c r="B48" s="26" t="n">
        <v>44706</v>
      </c>
      <c r="C48" s="12" t="inlineStr">
        <is>
          <t>Client-072</t>
        </is>
      </c>
      <c r="D48" s="12" t="inlineStr">
        <is>
          <t>MS Pipes</t>
        </is>
      </c>
      <c r="E48" s="12" t="n">
        <v>3.59</v>
      </c>
      <c r="F48" s="12" t="inlineStr">
        <is>
          <t>Surface rust</t>
        </is>
      </c>
      <c r="G48" s="12" t="inlineStr">
        <is>
          <t>VS03</t>
        </is>
      </c>
      <c r="H48" s="12" t="inlineStr">
        <is>
          <t>PO-2022-2664</t>
        </is>
      </c>
      <c r="I48" s="12" t="n">
        <v>3.59</v>
      </c>
      <c r="J48" s="17" t="n">
        <v>107273.73</v>
      </c>
      <c r="K48" s="14">
        <f>I48*J48</f>
        <v/>
      </c>
      <c r="L48" s="23">
        <f>IF(INDEX(PO_Facts!$I$2:$I$4801,MATCH(H48,PO_Facts!$A$2:$A$4801,0))&lt;=B48,"yes","FALLBACK: no earlier batch")</f>
        <v/>
      </c>
    </row>
    <row r="49">
      <c r="A49" s="12" t="inlineStr">
        <is>
          <t>RET-0075</t>
        </is>
      </c>
      <c r="B49" s="26" t="n">
        <v>44754</v>
      </c>
      <c r="C49" s="12" t="inlineStr">
        <is>
          <t>Client-002</t>
        </is>
      </c>
      <c r="D49" s="12" t="inlineStr">
        <is>
          <t>Structural Steel</t>
        </is>
      </c>
      <c r="E49" s="12" t="n">
        <v>0.67</v>
      </c>
      <c r="F49" s="12" t="inlineStr">
        <is>
          <t>Wrong dimensions</t>
        </is>
      </c>
      <c r="G49" s="12" t="inlineStr">
        <is>
          <t>VS23</t>
        </is>
      </c>
      <c r="H49" s="12" t="inlineStr">
        <is>
          <t>PO-2022-1893</t>
        </is>
      </c>
      <c r="I49" s="12" t="n">
        <v>0.67</v>
      </c>
      <c r="J49" s="17" t="n">
        <v>116575.14</v>
      </c>
      <c r="K49" s="14">
        <f>I49*J49</f>
        <v/>
      </c>
      <c r="L49" s="23">
        <f>IF(INDEX(PO_Facts!$I$2:$I$4801,MATCH(H49,PO_Facts!$A$2:$A$4801,0))&lt;=B49,"yes","FALLBACK: no earlier batch")</f>
        <v/>
      </c>
    </row>
    <row r="50">
      <c r="A50" s="12" t="inlineStr">
        <is>
          <t>RET-0076</t>
        </is>
      </c>
      <c r="B50" s="26" t="n">
        <v>44669</v>
      </c>
      <c r="C50" s="12" t="inlineStr">
        <is>
          <t>Client-011</t>
        </is>
      </c>
      <c r="D50" s="12" t="inlineStr">
        <is>
          <t>MS Rods</t>
        </is>
      </c>
      <c r="E50" s="12" t="n">
        <v>0.42</v>
      </c>
      <c r="F50" s="12" t="inlineStr">
        <is>
          <t>Weight short</t>
        </is>
      </c>
      <c r="G50" s="12" t="inlineStr">
        <is>
          <t>VS03</t>
        </is>
      </c>
      <c r="H50" s="12" t="inlineStr">
        <is>
          <t>PO-2023-3681</t>
        </is>
      </c>
      <c r="I50" s="12" t="n">
        <v>0.42</v>
      </c>
      <c r="J50" s="17" t="n">
        <v>72157.52</v>
      </c>
      <c r="K50" s="14">
        <f>I50*J50</f>
        <v/>
      </c>
      <c r="L50" s="23">
        <f>IF(INDEX(PO_Facts!$I$2:$I$4801,MATCH(H50,PO_Facts!$A$2:$A$4801,0))&lt;=B50,"yes","FALLBACK: no earlier batch")</f>
        <v/>
      </c>
    </row>
    <row r="51">
      <c r="A51" s="12" t="inlineStr">
        <is>
          <t>RET-0077</t>
        </is>
      </c>
      <c r="B51" s="26" t="n">
        <v>44362</v>
      </c>
      <c r="C51" s="12" t="inlineStr">
        <is>
          <t>Client-068</t>
        </is>
      </c>
      <c r="D51" s="12" t="inlineStr">
        <is>
          <t>CR Sheets</t>
        </is>
      </c>
      <c r="E51" s="12" t="n">
        <v>0.99</v>
      </c>
      <c r="F51" s="12" t="inlineStr">
        <is>
          <t>Weight short</t>
        </is>
      </c>
      <c r="G51" s="12" t="inlineStr">
        <is>
          <t>VS03</t>
        </is>
      </c>
      <c r="H51" s="12" t="inlineStr">
        <is>
          <t>PO-2023-4707</t>
        </is>
      </c>
      <c r="I51" s="12" t="n">
        <v>0</v>
      </c>
      <c r="J51" s="17" t="n">
        <v>62710.54</v>
      </c>
      <c r="K51" s="14">
        <f>I51*J51</f>
        <v/>
      </c>
      <c r="L51" s="23">
        <f>IF(INDEX(PO_Facts!$I$2:$I$4801,MATCH(H51,PO_Facts!$A$2:$A$4801,0))&lt;=B51,"yes","FALLBACK: no earlier batch")</f>
        <v/>
      </c>
    </row>
    <row r="52">
      <c r="A52" s="12" t="inlineStr">
        <is>
          <t>RET-0078</t>
        </is>
      </c>
      <c r="B52" s="26" t="n">
        <v>45057</v>
      </c>
      <c r="C52" s="12" t="inlineStr">
        <is>
          <t>Client-030</t>
        </is>
      </c>
      <c r="D52" s="12" t="inlineStr">
        <is>
          <t>SS Sheets</t>
        </is>
      </c>
      <c r="E52" s="12" t="n">
        <v>2.3</v>
      </c>
      <c r="F52" s="12" t="inlineStr">
        <is>
          <t>Bend/warp</t>
        </is>
      </c>
      <c r="G52" s="12" t="inlineStr">
        <is>
          <t>VS08</t>
        </is>
      </c>
      <c r="H52" s="12" t="inlineStr">
        <is>
          <t>PO-2022-3193</t>
        </is>
      </c>
      <c r="I52" s="12" t="n">
        <v>2.3</v>
      </c>
      <c r="J52" s="17" t="n">
        <v>111459.82</v>
      </c>
      <c r="K52" s="14">
        <f>I52*J52</f>
        <v/>
      </c>
      <c r="L52" s="23">
        <f>IF(INDEX(PO_Facts!$I$2:$I$4801,MATCH(H52,PO_Facts!$A$2:$A$4801,0))&lt;=B52,"yes","FALLBACK: no earlier batch")</f>
        <v/>
      </c>
    </row>
    <row r="53">
      <c r="A53" s="12" t="inlineStr">
        <is>
          <t>RET-0079</t>
        </is>
      </c>
      <c r="B53" s="26" t="n">
        <v>44341</v>
      </c>
      <c r="C53" s="12" t="inlineStr">
        <is>
          <t>Client-027</t>
        </is>
      </c>
      <c r="D53" s="12" t="inlineStr">
        <is>
          <t>CR Sheets</t>
        </is>
      </c>
      <c r="E53" s="12" t="n">
        <v>3.34</v>
      </c>
      <c r="F53" s="12" t="inlineStr">
        <is>
          <t>Weight short</t>
        </is>
      </c>
      <c r="G53" s="12" t="inlineStr">
        <is>
          <t>VS11</t>
        </is>
      </c>
      <c r="H53" s="12" t="inlineStr">
        <is>
          <t>PO-2021-1557</t>
        </is>
      </c>
      <c r="I53" s="12" t="n">
        <v>3.34</v>
      </c>
      <c r="J53" s="17" t="n">
        <v>54670.07</v>
      </c>
      <c r="K53" s="14">
        <f>I53*J53</f>
        <v/>
      </c>
      <c r="L53" s="23">
        <f>IF(INDEX(PO_Facts!$I$2:$I$4801,MATCH(H53,PO_Facts!$A$2:$A$4801,0))&lt;=B53,"yes","FALLBACK: no earlier batch")</f>
        <v/>
      </c>
    </row>
    <row r="54">
      <c r="A54" s="12" t="inlineStr">
        <is>
          <t>RET-0080</t>
        </is>
      </c>
      <c r="B54" s="26" t="n">
        <v>45063</v>
      </c>
      <c r="C54" s="12" t="inlineStr">
        <is>
          <t>Client-010</t>
        </is>
      </c>
      <c r="D54" s="12" t="inlineStr">
        <is>
          <t>HR Coils</t>
        </is>
      </c>
      <c r="E54" s="12" t="n">
        <v>4</v>
      </c>
      <c r="F54" s="12" t="inlineStr">
        <is>
          <t>Surface rust</t>
        </is>
      </c>
      <c r="G54" s="12" t="inlineStr">
        <is>
          <t>VS19</t>
        </is>
      </c>
      <c r="H54" s="12" t="inlineStr">
        <is>
          <t>PO-2023-3475</t>
        </is>
      </c>
      <c r="I54" s="12" t="n">
        <v>4</v>
      </c>
      <c r="J54" s="17" t="n">
        <v>99749.73</v>
      </c>
      <c r="K54" s="14">
        <f>I54*J54</f>
        <v/>
      </c>
      <c r="L54" s="23">
        <f>IF(INDEX(PO_Facts!$I$2:$I$4801,MATCH(H54,PO_Facts!$A$2:$A$4801,0))&lt;=B54,"yes","FALLBACK: no earlier batch")</f>
        <v/>
      </c>
    </row>
    <row r="55">
      <c r="A55" s="12" t="inlineStr">
        <is>
          <t>RET-0081</t>
        </is>
      </c>
      <c r="B55" s="26" t="n">
        <v>44355</v>
      </c>
      <c r="C55" s="12" t="inlineStr">
        <is>
          <t>Client-009</t>
        </is>
      </c>
      <c r="D55" s="12" t="inlineStr">
        <is>
          <t>Angles &amp; Channels</t>
        </is>
      </c>
      <c r="E55" s="12" t="n">
        <v>3.57</v>
      </c>
      <c r="F55" s="12" t="inlineStr">
        <is>
          <t>Bend/warp</t>
        </is>
      </c>
      <c r="G55" s="12" t="inlineStr">
        <is>
          <t>VS19</t>
        </is>
      </c>
      <c r="H55" s="12" t="inlineStr">
        <is>
          <t>PO-2023-3215</t>
        </is>
      </c>
      <c r="I55" s="12" t="n">
        <v>3.57</v>
      </c>
      <c r="J55" s="17" t="n">
        <v>100712.81</v>
      </c>
      <c r="K55" s="14">
        <f>I55*J55</f>
        <v/>
      </c>
      <c r="L55" s="23">
        <f>IF(INDEX(PO_Facts!$I$2:$I$4801,MATCH(H55,PO_Facts!$A$2:$A$4801,0))&lt;=B55,"yes","FALLBACK: no earlier batch")</f>
        <v/>
      </c>
    </row>
    <row r="56">
      <c r="A56" s="12" t="inlineStr">
        <is>
          <t>RET-0082</t>
        </is>
      </c>
      <c r="B56" s="26" t="n">
        <v>44274</v>
      </c>
      <c r="C56" s="12" t="inlineStr">
        <is>
          <t>Client-076</t>
        </is>
      </c>
      <c r="D56" s="12" t="inlineStr">
        <is>
          <t>MS Pipes</t>
        </is>
      </c>
      <c r="E56" s="12" t="n">
        <v>0.34</v>
      </c>
      <c r="F56" s="12" t="inlineStr">
        <is>
          <t>Bend/warp</t>
        </is>
      </c>
      <c r="G56" s="12" t="inlineStr">
        <is>
          <t>VS12</t>
        </is>
      </c>
      <c r="H56" s="12" t="inlineStr">
        <is>
          <t>PO-2023-4460</t>
        </is>
      </c>
      <c r="I56" s="12" t="n">
        <v>0.34</v>
      </c>
      <c r="J56" s="17" t="n">
        <v>97203.75</v>
      </c>
      <c r="K56" s="14">
        <f>I56*J56</f>
        <v/>
      </c>
      <c r="L56" s="23">
        <f>IF(INDEX(PO_Facts!$I$2:$I$4801,MATCH(H56,PO_Facts!$A$2:$A$4801,0))&lt;=B56,"yes","FALLBACK: no earlier batch")</f>
        <v/>
      </c>
    </row>
    <row r="57">
      <c r="A57" s="12" t="inlineStr">
        <is>
          <t>RET-0083</t>
        </is>
      </c>
      <c r="B57" s="26" t="n">
        <v>44803</v>
      </c>
      <c r="C57" s="12" t="inlineStr">
        <is>
          <t>Client-069</t>
        </is>
      </c>
      <c r="D57" s="12" t="inlineStr">
        <is>
          <t>CR Sheets</t>
        </is>
      </c>
      <c r="E57" s="12" t="n">
        <v>0.42</v>
      </c>
      <c r="F57" s="12" t="inlineStr">
        <is>
          <t>Surface rust</t>
        </is>
      </c>
      <c r="G57" s="12" t="inlineStr">
        <is>
          <t>VS12</t>
        </is>
      </c>
      <c r="H57" s="12" t="inlineStr">
        <is>
          <t>PO-2021-0487</t>
        </is>
      </c>
      <c r="I57" s="12" t="n">
        <v>0.42</v>
      </c>
      <c r="J57" s="17" t="n">
        <v>115707.06</v>
      </c>
      <c r="K57" s="14">
        <f>I57*J57</f>
        <v/>
      </c>
      <c r="L57" s="23">
        <f>IF(INDEX(PO_Facts!$I$2:$I$4801,MATCH(H57,PO_Facts!$A$2:$A$4801,0))&lt;=B57,"yes","FALLBACK: no earlier batch")</f>
        <v/>
      </c>
    </row>
    <row r="58">
      <c r="A58" s="12" t="inlineStr">
        <is>
          <t>RET-0084</t>
        </is>
      </c>
      <c r="B58" s="26" t="n">
        <v>44683</v>
      </c>
      <c r="C58" s="12" t="inlineStr">
        <is>
          <t>Client-071</t>
        </is>
      </c>
      <c r="D58" s="12" t="inlineStr">
        <is>
          <t>CR Sheets</t>
        </is>
      </c>
      <c r="E58" s="12" t="n">
        <v>2.87</v>
      </c>
      <c r="F58" s="12" t="inlineStr">
        <is>
          <t>Surface rust</t>
        </is>
      </c>
      <c r="G58" s="12" t="inlineStr">
        <is>
          <t>VS32</t>
        </is>
      </c>
      <c r="H58" s="12" t="inlineStr">
        <is>
          <t>PO-2021-1224</t>
        </is>
      </c>
      <c r="I58" s="12" t="n">
        <v>2.87</v>
      </c>
      <c r="J58" s="17" t="n">
        <v>103866.44</v>
      </c>
      <c r="K58" s="14">
        <f>I58*J58</f>
        <v/>
      </c>
      <c r="L58" s="23">
        <f>IF(INDEX(PO_Facts!$I$2:$I$4801,MATCH(H58,PO_Facts!$A$2:$A$4801,0))&lt;=B58,"yes","FALLBACK: no earlier batch")</f>
        <v/>
      </c>
    </row>
    <row r="59">
      <c r="A59" s="12" t="inlineStr">
        <is>
          <t>RET-0085</t>
        </is>
      </c>
      <c r="B59" s="26" t="n">
        <v>44375</v>
      </c>
      <c r="C59" s="12" t="inlineStr">
        <is>
          <t>Client-076</t>
        </is>
      </c>
      <c r="D59" s="12" t="inlineStr">
        <is>
          <t>MS Sheets</t>
        </is>
      </c>
      <c r="E59" s="12" t="n">
        <v>0.37</v>
      </c>
      <c r="F59" s="12" t="inlineStr">
        <is>
          <t>Grade mismatch</t>
        </is>
      </c>
      <c r="G59" s="12" t="inlineStr">
        <is>
          <t>VS19</t>
        </is>
      </c>
      <c r="H59" s="12" t="inlineStr">
        <is>
          <t>PO-2022-1620</t>
        </is>
      </c>
      <c r="I59" s="12" t="n">
        <v>0.37</v>
      </c>
      <c r="J59" s="17" t="n">
        <v>82922.28999999999</v>
      </c>
      <c r="K59" s="14">
        <f>I59*J59</f>
        <v/>
      </c>
      <c r="L59" s="23">
        <f>IF(INDEX(PO_Facts!$I$2:$I$4801,MATCH(H59,PO_Facts!$A$2:$A$4801,0))&lt;=B59,"yes","FALLBACK: no earlier batch")</f>
        <v/>
      </c>
    </row>
    <row r="60">
      <c r="A60" s="12" t="inlineStr">
        <is>
          <t>RET-0087</t>
        </is>
      </c>
      <c r="B60" s="26" t="n">
        <v>44392</v>
      </c>
      <c r="C60" s="12" t="inlineStr">
        <is>
          <t>Client-049</t>
        </is>
      </c>
      <c r="D60" s="12" t="inlineStr">
        <is>
          <t>GI Wire</t>
        </is>
      </c>
      <c r="E60" s="12" t="n">
        <v>0.57</v>
      </c>
      <c r="F60" s="12" t="inlineStr">
        <is>
          <t>Bend/warp</t>
        </is>
      </c>
      <c r="G60" s="12" t="inlineStr">
        <is>
          <t>VS28</t>
        </is>
      </c>
      <c r="H60" s="12" t="inlineStr">
        <is>
          <t>PO-2022-3044</t>
        </is>
      </c>
      <c r="I60" s="12" t="n">
        <v>0.57</v>
      </c>
      <c r="J60" s="17" t="n">
        <v>95133.14999999999</v>
      </c>
      <c r="K60" s="14">
        <f>I60*J60</f>
        <v/>
      </c>
      <c r="L60" s="23">
        <f>IF(INDEX(PO_Facts!$I$2:$I$4801,MATCH(H60,PO_Facts!$A$2:$A$4801,0))&lt;=B60,"yes","FALLBACK: no earlier batch")</f>
        <v/>
      </c>
    </row>
    <row r="61">
      <c r="A61" s="12" t="inlineStr">
        <is>
          <t>RET-0091</t>
        </is>
      </c>
      <c r="B61" s="26" t="n">
        <v>44347</v>
      </c>
      <c r="C61" s="12" t="inlineStr">
        <is>
          <t>Client-066</t>
        </is>
      </c>
      <c r="D61" s="12" t="inlineStr">
        <is>
          <t>GI Sheets</t>
        </is>
      </c>
      <c r="E61" s="12" t="n">
        <v>4.34</v>
      </c>
      <c r="F61" s="12" t="inlineStr">
        <is>
          <t>Surface rust</t>
        </is>
      </c>
      <c r="G61" s="12" t="inlineStr">
        <is>
          <t>VS03</t>
        </is>
      </c>
      <c r="H61" s="12" t="inlineStr">
        <is>
          <t>PO-2023-3508</t>
        </is>
      </c>
      <c r="I61" s="12" t="n">
        <v>4.34</v>
      </c>
      <c r="J61" s="17" t="n">
        <v>87815.56</v>
      </c>
      <c r="K61" s="14">
        <f>I61*J61</f>
        <v/>
      </c>
      <c r="L61" s="23">
        <f>IF(INDEX(PO_Facts!$I$2:$I$4801,MATCH(H61,PO_Facts!$A$2:$A$4801,0))&lt;=B61,"yes","FALLBACK: no earlier batch")</f>
        <v/>
      </c>
    </row>
    <row r="62">
      <c r="A62" s="12" t="inlineStr">
        <is>
          <t>RET-0092</t>
        </is>
      </c>
      <c r="B62" s="26" t="n">
        <v>45118</v>
      </c>
      <c r="C62" s="12" t="inlineStr">
        <is>
          <t>Client-078</t>
        </is>
      </c>
      <c r="D62" s="12" t="inlineStr">
        <is>
          <t>MS Sheets</t>
        </is>
      </c>
      <c r="E62" s="12" t="n">
        <v>1.59</v>
      </c>
      <c r="F62" s="12" t="inlineStr">
        <is>
          <t>Bend/warp</t>
        </is>
      </c>
      <c r="G62" s="12" t="inlineStr">
        <is>
          <t>VS20</t>
        </is>
      </c>
      <c r="H62" s="12" t="inlineStr">
        <is>
          <t>PO-2022-2490</t>
        </is>
      </c>
      <c r="I62" s="12" t="n">
        <v>1.59</v>
      </c>
      <c r="J62" s="17" t="n">
        <v>62386.17</v>
      </c>
      <c r="K62" s="14">
        <f>I62*J62</f>
        <v/>
      </c>
      <c r="L62" s="23">
        <f>IF(INDEX(PO_Facts!$I$2:$I$4801,MATCH(H62,PO_Facts!$A$2:$A$4801,0))&lt;=B62,"yes","FALLBACK: no earlier batch")</f>
        <v/>
      </c>
    </row>
    <row r="63">
      <c r="A63" s="12" t="inlineStr">
        <is>
          <t>RET-0093</t>
        </is>
      </c>
      <c r="B63" s="26" t="n">
        <v>44432</v>
      </c>
      <c r="C63" s="12" t="inlineStr">
        <is>
          <t>Client-064</t>
        </is>
      </c>
      <c r="D63" s="12" t="inlineStr">
        <is>
          <t>CR Sheets</t>
        </is>
      </c>
      <c r="E63" s="12" t="n">
        <v>4.67</v>
      </c>
      <c r="F63" s="12" t="inlineStr">
        <is>
          <t>Wrong dimensions</t>
        </is>
      </c>
      <c r="G63" s="12" t="inlineStr">
        <is>
          <t>VS23</t>
        </is>
      </c>
      <c r="H63" s="12" t="inlineStr">
        <is>
          <t>PO-2022-1722</t>
        </is>
      </c>
      <c r="I63" s="12" t="n">
        <v>4.67</v>
      </c>
      <c r="J63" s="17" t="n">
        <v>86272.82000000001</v>
      </c>
      <c r="K63" s="14">
        <f>I63*J63</f>
        <v/>
      </c>
      <c r="L63" s="23">
        <f>IF(INDEX(PO_Facts!$I$2:$I$4801,MATCH(H63,PO_Facts!$A$2:$A$4801,0))&lt;=B63,"yes","FALLBACK: no earlier batch")</f>
        <v/>
      </c>
    </row>
    <row r="64">
      <c r="A64" s="12" t="inlineStr">
        <is>
          <t>RET-0094</t>
        </is>
      </c>
      <c r="B64" s="26" t="n">
        <v>44381</v>
      </c>
      <c r="C64" s="12" t="inlineStr">
        <is>
          <t>Client-051</t>
        </is>
      </c>
      <c r="D64" s="12" t="inlineStr">
        <is>
          <t>GI Pipes</t>
        </is>
      </c>
      <c r="E64" s="12" t="n">
        <v>1.24</v>
      </c>
      <c r="F64" s="12" t="inlineStr">
        <is>
          <t>Weight short</t>
        </is>
      </c>
      <c r="G64" s="12" t="inlineStr">
        <is>
          <t>VS03</t>
        </is>
      </c>
      <c r="H64" s="12" t="inlineStr">
        <is>
          <t>PO-2021-0276</t>
        </is>
      </c>
      <c r="I64" s="12" t="n">
        <v>1.24</v>
      </c>
      <c r="J64" s="17" t="n">
        <v>72777.17999999999</v>
      </c>
      <c r="K64" s="14">
        <f>I64*J64</f>
        <v/>
      </c>
      <c r="L64" s="23">
        <f>IF(INDEX(PO_Facts!$I$2:$I$4801,MATCH(H64,PO_Facts!$A$2:$A$4801,0))&lt;=B64,"yes","FALLBACK: no earlier batch")</f>
        <v/>
      </c>
    </row>
    <row r="65">
      <c r="A65" s="12" t="inlineStr">
        <is>
          <t>RET-0095</t>
        </is>
      </c>
      <c r="B65" s="26" t="n">
        <v>44501</v>
      </c>
      <c r="C65" s="12" t="inlineStr">
        <is>
          <t>Client-060</t>
        </is>
      </c>
      <c r="D65" s="12" t="inlineStr">
        <is>
          <t>Square/Rect Tubes</t>
        </is>
      </c>
      <c r="E65" s="12" t="n">
        <v>0.37</v>
      </c>
      <c r="F65" s="12" t="inlineStr">
        <is>
          <t>Weight short</t>
        </is>
      </c>
      <c r="G65" s="12" t="inlineStr">
        <is>
          <t>VS12</t>
        </is>
      </c>
      <c r="H65" s="12" t="inlineStr">
        <is>
          <t>PO-2021-0254</t>
        </is>
      </c>
      <c r="I65" s="12" t="n">
        <v>0.37</v>
      </c>
      <c r="J65" s="17" t="n">
        <v>117835.56</v>
      </c>
      <c r="K65" s="14">
        <f>I65*J65</f>
        <v/>
      </c>
      <c r="L65" s="23">
        <f>IF(INDEX(PO_Facts!$I$2:$I$4801,MATCH(H65,PO_Facts!$A$2:$A$4801,0))&lt;=B65,"yes","FALLBACK: no earlier batch")</f>
        <v/>
      </c>
    </row>
    <row r="66">
      <c r="A66" s="12" t="inlineStr">
        <is>
          <t>RET-0096</t>
        </is>
      </c>
      <c r="B66" s="26" t="n">
        <v>44565</v>
      </c>
      <c r="C66" s="12" t="inlineStr">
        <is>
          <t>Client-078</t>
        </is>
      </c>
      <c r="D66" s="12" t="inlineStr">
        <is>
          <t>GI Wire</t>
        </is>
      </c>
      <c r="E66" s="12" t="n">
        <v>3.33</v>
      </c>
      <c r="F66" s="12" t="inlineStr">
        <is>
          <t>Weight short</t>
        </is>
      </c>
      <c r="G66" s="12" t="inlineStr">
        <is>
          <t>VS16</t>
        </is>
      </c>
      <c r="H66" s="12" t="inlineStr">
        <is>
          <t>PO-2022-1861</t>
        </is>
      </c>
      <c r="I66" s="12" t="n">
        <v>3.33</v>
      </c>
      <c r="J66" s="17" t="n">
        <v>94942.7</v>
      </c>
      <c r="K66" s="14">
        <f>I66*J66</f>
        <v/>
      </c>
      <c r="L66" s="23">
        <f>IF(INDEX(PO_Facts!$I$2:$I$4801,MATCH(H66,PO_Facts!$A$2:$A$4801,0))&lt;=B66,"yes","FALLBACK: no earlier batch")</f>
        <v/>
      </c>
    </row>
    <row r="67">
      <c r="A67" s="12" t="inlineStr">
        <is>
          <t>RET-0099</t>
        </is>
      </c>
      <c r="B67" s="26" t="n">
        <v>44431</v>
      </c>
      <c r="C67" s="12" t="inlineStr">
        <is>
          <t>Client-026</t>
        </is>
      </c>
      <c r="D67" s="12" t="inlineStr">
        <is>
          <t>Angles &amp; Channels</t>
        </is>
      </c>
      <c r="E67" s="12" t="n">
        <v>3.15</v>
      </c>
      <c r="F67" s="12" t="inlineStr">
        <is>
          <t>Weight short</t>
        </is>
      </c>
      <c r="G67" s="12" t="inlineStr">
        <is>
          <t>VS07</t>
        </is>
      </c>
      <c r="H67" s="12" t="inlineStr">
        <is>
          <t>PO-2022-1955</t>
        </is>
      </c>
      <c r="I67" s="12" t="n">
        <v>3.15</v>
      </c>
      <c r="J67" s="17" t="n">
        <v>82709.5</v>
      </c>
      <c r="K67" s="14">
        <f>I67*J67</f>
        <v/>
      </c>
      <c r="L67" s="23">
        <f>IF(INDEX(PO_Facts!$I$2:$I$4801,MATCH(H67,PO_Facts!$A$2:$A$4801,0))&lt;=B67,"yes","FALLBACK: no earlier batch")</f>
        <v/>
      </c>
    </row>
    <row r="68">
      <c r="A68" s="12" t="inlineStr">
        <is>
          <t>RET-0100</t>
        </is>
      </c>
      <c r="B68" s="26" t="n">
        <v>44735</v>
      </c>
      <c r="C68" s="12" t="inlineStr">
        <is>
          <t>Client-060</t>
        </is>
      </c>
      <c r="D68" s="12" t="inlineStr">
        <is>
          <t>MS Sheets</t>
        </is>
      </c>
      <c r="E68" s="12" t="n">
        <v>1.87</v>
      </c>
      <c r="F68" s="12" t="inlineStr">
        <is>
          <t>Grade mismatch</t>
        </is>
      </c>
      <c r="G68" s="12" t="inlineStr">
        <is>
          <t>VS14</t>
        </is>
      </c>
      <c r="H68" s="12" t="inlineStr">
        <is>
          <t>PO-2021-1201</t>
        </is>
      </c>
      <c r="I68" s="12" t="n">
        <v>1.87</v>
      </c>
      <c r="J68" s="17" t="n">
        <v>118663.96</v>
      </c>
      <c r="K68" s="14">
        <f>I68*J68</f>
        <v/>
      </c>
      <c r="L68" s="23">
        <f>IF(INDEX(PO_Facts!$I$2:$I$4801,MATCH(H68,PO_Facts!$A$2:$A$4801,0))&lt;=B68,"yes","FALLBACK: no earlier batch")</f>
        <v/>
      </c>
    </row>
    <row r="69">
      <c r="A69" s="12" t="inlineStr">
        <is>
          <t>RET-0101</t>
        </is>
      </c>
      <c r="B69" s="26" t="n">
        <v>45240</v>
      </c>
      <c r="C69" s="12" t="inlineStr">
        <is>
          <t>Client-021</t>
        </is>
      </c>
      <c r="D69" s="12" t="inlineStr">
        <is>
          <t>HR Coils</t>
        </is>
      </c>
      <c r="E69" s="12" t="n">
        <v>4.1</v>
      </c>
      <c r="F69" s="12" t="inlineStr">
        <is>
          <t>Wrong dimensions</t>
        </is>
      </c>
      <c r="G69" s="12" t="inlineStr">
        <is>
          <t>VS12</t>
        </is>
      </c>
      <c r="H69" s="12" t="inlineStr">
        <is>
          <t>PO-2023-4276</t>
        </is>
      </c>
      <c r="I69" s="12" t="n">
        <v>4.1</v>
      </c>
      <c r="J69" s="17" t="n">
        <v>101567.96</v>
      </c>
      <c r="K69" s="14">
        <f>I69*J69</f>
        <v/>
      </c>
      <c r="L69" s="23">
        <f>IF(INDEX(PO_Facts!$I$2:$I$4801,MATCH(H69,PO_Facts!$A$2:$A$4801,0))&lt;=B69,"yes","FALLBACK: no earlier batch")</f>
        <v/>
      </c>
    </row>
    <row r="70">
      <c r="A70" s="12" t="inlineStr">
        <is>
          <t>RET-0102</t>
        </is>
      </c>
      <c r="B70" s="26" t="n">
        <v>44678</v>
      </c>
      <c r="C70" s="12" t="inlineStr">
        <is>
          <t>Client-018</t>
        </is>
      </c>
      <c r="D70" s="12" t="inlineStr">
        <is>
          <t>Square/Rect Tubes</t>
        </is>
      </c>
      <c r="E70" s="12" t="n">
        <v>0.57</v>
      </c>
      <c r="F70" s="12" t="inlineStr">
        <is>
          <t>Wrong dimensions</t>
        </is>
      </c>
      <c r="G70" s="12" t="inlineStr">
        <is>
          <t>VS12</t>
        </is>
      </c>
      <c r="H70" s="12" t="inlineStr">
        <is>
          <t>PO-2023-3667</t>
        </is>
      </c>
      <c r="I70" s="12" t="n">
        <v>0.57</v>
      </c>
      <c r="J70" s="17" t="n">
        <v>55100.51</v>
      </c>
      <c r="K70" s="14">
        <f>I70*J70</f>
        <v/>
      </c>
      <c r="L70" s="23">
        <f>IF(INDEX(PO_Facts!$I$2:$I$4801,MATCH(H70,PO_Facts!$A$2:$A$4801,0))&lt;=B70,"yes","FALLBACK: no earlier batch")</f>
        <v/>
      </c>
    </row>
    <row r="71">
      <c r="A71" s="12" t="inlineStr">
        <is>
          <t>RET-0104</t>
        </is>
      </c>
      <c r="B71" s="26" t="n">
        <v>44683</v>
      </c>
      <c r="C71" s="12" t="inlineStr">
        <is>
          <t>Client-033</t>
        </is>
      </c>
      <c r="D71" s="12" t="inlineStr">
        <is>
          <t>Angles &amp; Channels</t>
        </is>
      </c>
      <c r="E71" s="12" t="n">
        <v>4.3</v>
      </c>
      <c r="F71" s="12" t="inlineStr">
        <is>
          <t>Weight short</t>
        </is>
      </c>
      <c r="G71" s="12" t="inlineStr">
        <is>
          <t>VS12</t>
        </is>
      </c>
      <c r="H71" s="12" t="inlineStr">
        <is>
          <t>PO-2023-4772</t>
        </is>
      </c>
      <c r="I71" s="12" t="n">
        <v>4.3</v>
      </c>
      <c r="J71" s="17" t="n">
        <v>71528</v>
      </c>
      <c r="K71" s="14">
        <f>I71*J71</f>
        <v/>
      </c>
      <c r="L71" s="23">
        <f>IF(INDEX(PO_Facts!$I$2:$I$4801,MATCH(H71,PO_Facts!$A$2:$A$4801,0))&lt;=B71,"yes","FALLBACK: no earlier batch")</f>
        <v/>
      </c>
    </row>
    <row r="72">
      <c r="A72" s="12" t="inlineStr">
        <is>
          <t>RET-0105</t>
        </is>
      </c>
      <c r="B72" s="26" t="n">
        <v>44317</v>
      </c>
      <c r="C72" s="12" t="inlineStr">
        <is>
          <t>Client-078</t>
        </is>
      </c>
      <c r="D72" s="12" t="inlineStr">
        <is>
          <t>SS Sheets</t>
        </is>
      </c>
      <c r="E72" s="12" t="n">
        <v>4.47</v>
      </c>
      <c r="F72" s="12" t="inlineStr">
        <is>
          <t>Surface rust</t>
        </is>
      </c>
      <c r="G72" s="12" t="inlineStr">
        <is>
          <t>VS11</t>
        </is>
      </c>
      <c r="H72" s="12" t="inlineStr">
        <is>
          <t>PO-2023-4316</t>
        </is>
      </c>
      <c r="I72" s="12" t="n">
        <v>4.47</v>
      </c>
      <c r="J72" s="17" t="n">
        <v>75013.48</v>
      </c>
      <c r="K72" s="14">
        <f>I72*J72</f>
        <v/>
      </c>
      <c r="L72" s="23">
        <f>IF(INDEX(PO_Facts!$I$2:$I$4801,MATCH(H72,PO_Facts!$A$2:$A$4801,0))&lt;=B72,"yes","FALLBACK: no earlier batch")</f>
        <v/>
      </c>
    </row>
    <row r="73">
      <c r="A73" s="12" t="inlineStr">
        <is>
          <t>RET-0107</t>
        </is>
      </c>
      <c r="B73" s="26" t="n">
        <v>44614</v>
      </c>
      <c r="C73" s="12" t="inlineStr">
        <is>
          <t>Client-020</t>
        </is>
      </c>
      <c r="D73" s="12" t="inlineStr">
        <is>
          <t>Fasteners &amp; Fittings</t>
        </is>
      </c>
      <c r="E73" s="12" t="n">
        <v>3.19</v>
      </c>
      <c r="F73" s="12" t="inlineStr">
        <is>
          <t>Weight short</t>
        </is>
      </c>
      <c r="G73" s="12" t="inlineStr">
        <is>
          <t>VS12</t>
        </is>
      </c>
      <c r="H73" s="12" t="inlineStr">
        <is>
          <t>PO-2023-3259</t>
        </is>
      </c>
      <c r="I73" s="12" t="n">
        <v>3.19</v>
      </c>
      <c r="J73" s="17" t="n">
        <v>55372.98</v>
      </c>
      <c r="K73" s="14">
        <f>I73*J73</f>
        <v/>
      </c>
      <c r="L73" s="23">
        <f>IF(INDEX(PO_Facts!$I$2:$I$4801,MATCH(H73,PO_Facts!$A$2:$A$4801,0))&lt;=B73,"yes","FALLBACK: no earlier batch")</f>
        <v/>
      </c>
    </row>
    <row r="74">
      <c r="A74" s="12" t="inlineStr">
        <is>
          <t>RET-0109</t>
        </is>
      </c>
      <c r="B74" s="26" t="n">
        <v>44505</v>
      </c>
      <c r="C74" s="12" t="inlineStr">
        <is>
          <t>Client-010</t>
        </is>
      </c>
      <c r="D74" s="12" t="inlineStr">
        <is>
          <t>GI Wire</t>
        </is>
      </c>
      <c r="E74" s="12" t="n">
        <v>4.86</v>
      </c>
      <c r="F74" s="12" t="inlineStr">
        <is>
          <t>Bend/warp</t>
        </is>
      </c>
      <c r="G74" s="12" t="inlineStr">
        <is>
          <t>VS03</t>
        </is>
      </c>
      <c r="H74" s="12" t="inlineStr">
        <is>
          <t>PO-2021-0326</t>
        </is>
      </c>
      <c r="I74" s="12" t="n">
        <v>4.86</v>
      </c>
      <c r="J74" s="17" t="n">
        <v>119826.56</v>
      </c>
      <c r="K74" s="14">
        <f>I74*J74</f>
        <v/>
      </c>
      <c r="L74" s="23">
        <f>IF(INDEX(PO_Facts!$I$2:$I$4801,MATCH(H74,PO_Facts!$A$2:$A$4801,0))&lt;=B74,"yes","FALLBACK: no earlier batch")</f>
        <v/>
      </c>
    </row>
    <row r="75">
      <c r="A75" s="12" t="inlineStr">
        <is>
          <t>RET-0110</t>
        </is>
      </c>
      <c r="B75" s="26" t="n">
        <v>44268</v>
      </c>
      <c r="C75" s="12" t="inlineStr">
        <is>
          <t>Client-017</t>
        </is>
      </c>
      <c r="D75" s="12" t="inlineStr">
        <is>
          <t>SS Pipes</t>
        </is>
      </c>
      <c r="E75" s="12" t="n">
        <v>3.22</v>
      </c>
      <c r="F75" s="12" t="inlineStr">
        <is>
          <t>Bend/warp</t>
        </is>
      </c>
      <c r="G75" s="12" t="inlineStr">
        <is>
          <t>VS03</t>
        </is>
      </c>
      <c r="H75" s="12" t="inlineStr">
        <is>
          <t>PO-2023-4429</t>
        </is>
      </c>
      <c r="I75" s="12" t="n">
        <v>3.22</v>
      </c>
      <c r="J75" s="17" t="n">
        <v>72085.96000000001</v>
      </c>
      <c r="K75" s="14">
        <f>I75*J75</f>
        <v/>
      </c>
      <c r="L75" s="23">
        <f>IF(INDEX(PO_Facts!$I$2:$I$4801,MATCH(H75,PO_Facts!$A$2:$A$4801,0))&lt;=B75,"yes","FALLBACK: no earlier batch")</f>
        <v/>
      </c>
    </row>
    <row r="76">
      <c r="A76" s="12" t="inlineStr">
        <is>
          <t>RET-0111</t>
        </is>
      </c>
      <c r="B76" s="26" t="n">
        <v>44667</v>
      </c>
      <c r="C76" s="12" t="inlineStr">
        <is>
          <t>Client-056</t>
        </is>
      </c>
      <c r="D76" s="12" t="inlineStr">
        <is>
          <t>SS Sheets</t>
        </is>
      </c>
      <c r="E76" s="12" t="n">
        <v>2.44</v>
      </c>
      <c r="F76" s="12" t="inlineStr">
        <is>
          <t>Weight short</t>
        </is>
      </c>
      <c r="G76" s="12" t="inlineStr">
        <is>
          <t>VS19</t>
        </is>
      </c>
      <c r="H76" s="12" t="inlineStr">
        <is>
          <t>PO-2023-3811</t>
        </is>
      </c>
      <c r="I76" s="12" t="n">
        <v>2.44</v>
      </c>
      <c r="J76" s="17" t="n">
        <v>72247.42</v>
      </c>
      <c r="K76" s="14">
        <f>I76*J76</f>
        <v/>
      </c>
      <c r="L76" s="23">
        <f>IF(INDEX(PO_Facts!$I$2:$I$4801,MATCH(H76,PO_Facts!$A$2:$A$4801,0))&lt;=B76,"yes","FALLBACK: no earlier batch")</f>
        <v/>
      </c>
    </row>
    <row r="77">
      <c r="A77" s="12" t="inlineStr">
        <is>
          <t>RET-0112</t>
        </is>
      </c>
      <c r="B77" s="26" t="n">
        <v>45270</v>
      </c>
      <c r="C77" s="12" t="inlineStr">
        <is>
          <t>Client-011</t>
        </is>
      </c>
      <c r="D77" s="12" t="inlineStr">
        <is>
          <t>GI Wire</t>
        </is>
      </c>
      <c r="E77" s="12" t="n">
        <v>1.26</v>
      </c>
      <c r="F77" s="12" t="inlineStr">
        <is>
          <t>Bend/warp</t>
        </is>
      </c>
      <c r="G77" s="12" t="inlineStr">
        <is>
          <t>VS12</t>
        </is>
      </c>
      <c r="H77" s="12" t="inlineStr">
        <is>
          <t>PO-2022-1830</t>
        </is>
      </c>
      <c r="I77" s="12" t="n">
        <v>1.26</v>
      </c>
      <c r="J77" s="17" t="n">
        <v>98311.39</v>
      </c>
      <c r="K77" s="14">
        <f>I77*J77</f>
        <v/>
      </c>
      <c r="L77" s="23">
        <f>IF(INDEX(PO_Facts!$I$2:$I$4801,MATCH(H77,PO_Facts!$A$2:$A$4801,0))&lt;=B77,"yes","FALLBACK: no earlier batch")</f>
        <v/>
      </c>
    </row>
    <row r="78">
      <c r="A78" s="12" t="inlineStr">
        <is>
          <t>RET-0113</t>
        </is>
      </c>
      <c r="B78" s="26" t="n">
        <v>45194</v>
      </c>
      <c r="C78" s="12" t="inlineStr">
        <is>
          <t>Client-031</t>
        </is>
      </c>
      <c r="D78" s="12" t="inlineStr">
        <is>
          <t>MS Pipes</t>
        </is>
      </c>
      <c r="E78" s="12" t="n">
        <v>2.58</v>
      </c>
      <c r="F78" s="12" t="inlineStr">
        <is>
          <t>Grade mismatch</t>
        </is>
      </c>
      <c r="G78" s="12" t="inlineStr">
        <is>
          <t>VS22</t>
        </is>
      </c>
      <c r="H78" s="12" t="inlineStr">
        <is>
          <t>PO-2022-1734</t>
        </is>
      </c>
      <c r="I78" s="12" t="n">
        <v>2.58</v>
      </c>
      <c r="J78" s="17" t="n">
        <v>64787.41</v>
      </c>
      <c r="K78" s="14">
        <f>I78*J78</f>
        <v/>
      </c>
      <c r="L78" s="23">
        <f>IF(INDEX(PO_Facts!$I$2:$I$4801,MATCH(H78,PO_Facts!$A$2:$A$4801,0))&lt;=B78,"yes","FALLBACK: no earlier batch")</f>
        <v/>
      </c>
    </row>
    <row r="79">
      <c r="A79" s="12" t="inlineStr">
        <is>
          <t>RET-0114</t>
        </is>
      </c>
      <c r="B79" s="26" t="n">
        <v>44381</v>
      </c>
      <c r="C79" s="12" t="inlineStr">
        <is>
          <t>Client-078</t>
        </is>
      </c>
      <c r="D79" s="12" t="inlineStr">
        <is>
          <t>MS Sheets</t>
        </is>
      </c>
      <c r="E79" s="12" t="n">
        <v>2.01</v>
      </c>
      <c r="F79" s="12" t="inlineStr">
        <is>
          <t>Weight short</t>
        </is>
      </c>
      <c r="G79" s="12" t="inlineStr">
        <is>
          <t>VS15</t>
        </is>
      </c>
      <c r="H79" s="12" t="inlineStr">
        <is>
          <t>PO-2023-3342</t>
        </is>
      </c>
      <c r="I79" s="12" t="n">
        <v>2.01</v>
      </c>
      <c r="J79" s="17" t="n">
        <v>93177.47</v>
      </c>
      <c r="K79" s="14">
        <f>I79*J79</f>
        <v/>
      </c>
      <c r="L79" s="23">
        <f>IF(INDEX(PO_Facts!$I$2:$I$4801,MATCH(H79,PO_Facts!$A$2:$A$4801,0))&lt;=B79,"yes","FALLBACK: no earlier batch")</f>
        <v/>
      </c>
    </row>
    <row r="80">
      <c r="A80" s="12" t="inlineStr">
        <is>
          <t>RET-0116</t>
        </is>
      </c>
      <c r="B80" s="26" t="n">
        <v>44551</v>
      </c>
      <c r="C80" s="12" t="inlineStr">
        <is>
          <t>Client-021</t>
        </is>
      </c>
      <c r="D80" s="12" t="inlineStr">
        <is>
          <t>MS Flats</t>
        </is>
      </c>
      <c r="E80" s="12" t="n">
        <v>0.85</v>
      </c>
      <c r="F80" s="12" t="inlineStr">
        <is>
          <t>Grade mismatch</t>
        </is>
      </c>
      <c r="G80" s="12" t="inlineStr">
        <is>
          <t>VS10</t>
        </is>
      </c>
      <c r="H80" s="12" t="inlineStr">
        <is>
          <t>PO-2023-4520</t>
        </is>
      </c>
      <c r="I80" s="12" t="n">
        <v>0.85</v>
      </c>
      <c r="J80" s="17" t="n">
        <v>111898.21</v>
      </c>
      <c r="K80" s="14">
        <f>I80*J80</f>
        <v/>
      </c>
      <c r="L80" s="23">
        <f>IF(INDEX(PO_Facts!$I$2:$I$4801,MATCH(H80,PO_Facts!$A$2:$A$4801,0))&lt;=B80,"yes","FALLBACK: no earlier batch")</f>
        <v/>
      </c>
    </row>
    <row r="81">
      <c r="A81" s="12" t="inlineStr">
        <is>
          <t>RET-0117</t>
        </is>
      </c>
      <c r="B81" s="26" t="n">
        <v>44647</v>
      </c>
      <c r="C81" s="12" t="inlineStr">
        <is>
          <t>Client-034</t>
        </is>
      </c>
      <c r="D81" s="12" t="inlineStr">
        <is>
          <t>CR Sheets</t>
        </is>
      </c>
      <c r="E81" s="12" t="n">
        <v>4.02</v>
      </c>
      <c r="F81" s="12" t="inlineStr">
        <is>
          <t>Wrong dimensions</t>
        </is>
      </c>
      <c r="G81" s="12" t="inlineStr">
        <is>
          <t>VS17</t>
        </is>
      </c>
      <c r="H81" s="12" t="inlineStr">
        <is>
          <t>PO-2021-1495</t>
        </is>
      </c>
      <c r="I81" s="12" t="n">
        <v>4.02</v>
      </c>
      <c r="J81" s="17" t="n">
        <v>112774.5</v>
      </c>
      <c r="K81" s="14">
        <f>I81*J81</f>
        <v/>
      </c>
      <c r="L81" s="23">
        <f>IF(INDEX(PO_Facts!$I$2:$I$4801,MATCH(H81,PO_Facts!$A$2:$A$4801,0))&lt;=B81,"yes","FALLBACK: no earlier batch")</f>
        <v/>
      </c>
    </row>
    <row r="82">
      <c r="A82" s="12" t="inlineStr">
        <is>
          <t>RET-0118</t>
        </is>
      </c>
      <c r="B82" s="26" t="n">
        <v>45018</v>
      </c>
      <c r="C82" s="12" t="inlineStr">
        <is>
          <t>Client-057</t>
        </is>
      </c>
      <c r="D82" s="12" t="inlineStr">
        <is>
          <t>ERW Pipes</t>
        </is>
      </c>
      <c r="E82" s="12" t="n">
        <v>0.47</v>
      </c>
      <c r="F82" s="12" t="inlineStr">
        <is>
          <t>Edge damage</t>
        </is>
      </c>
      <c r="G82" s="12" t="inlineStr">
        <is>
          <t>VS03</t>
        </is>
      </c>
      <c r="H82" s="12" t="inlineStr">
        <is>
          <t>PO-2023-4034</t>
        </is>
      </c>
      <c r="I82" s="12" t="n">
        <v>0.47</v>
      </c>
      <c r="J82" s="17" t="n">
        <v>92518.64</v>
      </c>
      <c r="K82" s="14">
        <f>I82*J82</f>
        <v/>
      </c>
      <c r="L82" s="23">
        <f>IF(INDEX(PO_Facts!$I$2:$I$4801,MATCH(H82,PO_Facts!$A$2:$A$4801,0))&lt;=B82,"yes","FALLBACK: no earlier batch")</f>
        <v/>
      </c>
    </row>
    <row r="83">
      <c r="A83" s="12" t="inlineStr">
        <is>
          <t>RET-0122</t>
        </is>
      </c>
      <c r="B83" s="26" t="n">
        <v>44606</v>
      </c>
      <c r="C83" s="12" t="inlineStr">
        <is>
          <t>Client-013</t>
        </is>
      </c>
      <c r="D83" s="12" t="inlineStr">
        <is>
          <t>Structural Steel</t>
        </is>
      </c>
      <c r="E83" s="12" t="n">
        <v>3.78</v>
      </c>
      <c r="F83" s="12" t="inlineStr">
        <is>
          <t>Wrong dimensions</t>
        </is>
      </c>
      <c r="G83" s="12" t="inlineStr">
        <is>
          <t>VS32</t>
        </is>
      </c>
      <c r="H83" s="12" t="inlineStr">
        <is>
          <t>PO-2022-2724</t>
        </is>
      </c>
      <c r="I83" s="12" t="n">
        <v>3.78</v>
      </c>
      <c r="J83" s="17" t="n">
        <v>87102.81</v>
      </c>
      <c r="K83" s="14">
        <f>I83*J83</f>
        <v/>
      </c>
      <c r="L83" s="23">
        <f>IF(INDEX(PO_Facts!$I$2:$I$4801,MATCH(H83,PO_Facts!$A$2:$A$4801,0))&lt;=B83,"yes","FALLBACK: no earlier batch")</f>
        <v/>
      </c>
    </row>
    <row r="84">
      <c r="A84" s="12" t="inlineStr">
        <is>
          <t>RET-0123</t>
        </is>
      </c>
      <c r="B84" s="26" t="n">
        <v>44617</v>
      </c>
      <c r="C84" s="12" t="inlineStr">
        <is>
          <t>Client-042</t>
        </is>
      </c>
      <c r="D84" s="12" t="inlineStr">
        <is>
          <t>MS Pipes</t>
        </is>
      </c>
      <c r="E84" s="12" t="n">
        <v>3.29</v>
      </c>
      <c r="F84" s="12" t="inlineStr">
        <is>
          <t>Edge damage</t>
        </is>
      </c>
      <c r="G84" s="12" t="inlineStr">
        <is>
          <t>VS19</t>
        </is>
      </c>
      <c r="H84" s="12" t="inlineStr">
        <is>
          <t>PO-2023-4193</t>
        </is>
      </c>
      <c r="I84" s="12" t="n">
        <v>3.29</v>
      </c>
      <c r="J84" s="17" t="n">
        <v>83541.31</v>
      </c>
      <c r="K84" s="14">
        <f>I84*J84</f>
        <v/>
      </c>
      <c r="L84" s="23">
        <f>IF(INDEX(PO_Facts!$I$2:$I$4801,MATCH(H84,PO_Facts!$A$2:$A$4801,0))&lt;=B84,"yes","FALLBACK: no earlier batch")</f>
        <v/>
      </c>
    </row>
    <row r="85">
      <c r="A85" s="12" t="inlineStr">
        <is>
          <t>RET-0125</t>
        </is>
      </c>
      <c r="B85" s="26" t="n">
        <v>44571</v>
      </c>
      <c r="C85" s="12" t="inlineStr">
        <is>
          <t>Client-070</t>
        </is>
      </c>
      <c r="D85" s="12" t="inlineStr">
        <is>
          <t>Spring Steel</t>
        </is>
      </c>
      <c r="E85" s="12" t="n">
        <v>4.46</v>
      </c>
      <c r="F85" s="12" t="inlineStr">
        <is>
          <t>Grade mismatch</t>
        </is>
      </c>
      <c r="G85" s="12" t="inlineStr">
        <is>
          <t>VS01</t>
        </is>
      </c>
      <c r="H85" s="12" t="inlineStr">
        <is>
          <t>PO-2021-0925</t>
        </is>
      </c>
      <c r="I85" s="12" t="n">
        <v>4.46</v>
      </c>
      <c r="J85" s="17" t="n">
        <v>71943.35000000001</v>
      </c>
      <c r="K85" s="14">
        <f>I85*J85</f>
        <v/>
      </c>
      <c r="L85" s="23">
        <f>IF(INDEX(PO_Facts!$I$2:$I$4801,MATCH(H85,PO_Facts!$A$2:$A$4801,0))&lt;=B85,"yes","FALLBACK: no earlier batch")</f>
        <v/>
      </c>
    </row>
    <row r="86">
      <c r="A86" s="12" t="inlineStr">
        <is>
          <t>RET-0126</t>
        </is>
      </c>
      <c r="B86" s="26" t="n">
        <v>44290</v>
      </c>
      <c r="C86" s="12" t="inlineStr">
        <is>
          <t>Client-058</t>
        </is>
      </c>
      <c r="D86" s="12" t="inlineStr">
        <is>
          <t>Hex Bars</t>
        </is>
      </c>
      <c r="E86" s="12" t="n">
        <v>0.59</v>
      </c>
      <c r="F86" s="12" t="inlineStr">
        <is>
          <t>Grade mismatch</t>
        </is>
      </c>
      <c r="G86" s="12" t="inlineStr">
        <is>
          <t>VS03</t>
        </is>
      </c>
      <c r="H86" s="12" t="inlineStr">
        <is>
          <t>PO-2021-0853</t>
        </is>
      </c>
      <c r="I86" s="12" t="n">
        <v>0.59</v>
      </c>
      <c r="J86" s="17" t="n">
        <v>82438.23</v>
      </c>
      <c r="K86" s="14">
        <f>I86*J86</f>
        <v/>
      </c>
      <c r="L86" s="23">
        <f>IF(INDEX(PO_Facts!$I$2:$I$4801,MATCH(H86,PO_Facts!$A$2:$A$4801,0))&lt;=B86,"yes","FALLBACK: no earlier batch")</f>
        <v/>
      </c>
    </row>
    <row r="87">
      <c r="A87" s="12" t="inlineStr">
        <is>
          <t>RET-0132</t>
        </is>
      </c>
      <c r="B87" s="26" t="n">
        <v>44996</v>
      </c>
      <c r="C87" s="12" t="inlineStr">
        <is>
          <t>Client-022</t>
        </is>
      </c>
      <c r="D87" s="12" t="inlineStr">
        <is>
          <t>Hex Bars</t>
        </is>
      </c>
      <c r="E87" s="12" t="n">
        <v>0.67</v>
      </c>
      <c r="F87" s="12" t="inlineStr">
        <is>
          <t>Surface rust</t>
        </is>
      </c>
      <c r="G87" s="12" t="inlineStr">
        <is>
          <t>VS17</t>
        </is>
      </c>
      <c r="H87" s="12" t="inlineStr">
        <is>
          <t>PO-2023-4160</t>
        </is>
      </c>
      <c r="I87" s="12" t="n">
        <v>0.67</v>
      </c>
      <c r="J87" s="17" t="n">
        <v>115090.12</v>
      </c>
      <c r="K87" s="14">
        <f>I87*J87</f>
        <v/>
      </c>
      <c r="L87" s="23">
        <f>IF(INDEX(PO_Facts!$I$2:$I$4801,MATCH(H87,PO_Facts!$A$2:$A$4801,0))&lt;=B87,"yes","FALLBACK: no earlier batch")</f>
        <v/>
      </c>
    </row>
    <row r="88">
      <c r="A88" s="12" t="inlineStr">
        <is>
          <t>RET-0135</t>
        </is>
      </c>
      <c r="B88" s="26" t="n">
        <v>44242</v>
      </c>
      <c r="C88" s="12" t="inlineStr">
        <is>
          <t>Client-027</t>
        </is>
      </c>
      <c r="D88" s="12" t="inlineStr">
        <is>
          <t>GI Sheets</t>
        </is>
      </c>
      <c r="E88" s="12" t="n">
        <v>0.62</v>
      </c>
      <c r="F88" s="12" t="inlineStr">
        <is>
          <t>Surface rust</t>
        </is>
      </c>
      <c r="G88" s="12" t="inlineStr">
        <is>
          <t>VS19</t>
        </is>
      </c>
      <c r="H88" s="12" t="inlineStr">
        <is>
          <t>PO-2021-1242</t>
        </is>
      </c>
      <c r="I88" s="12" t="n">
        <v>0.62</v>
      </c>
      <c r="J88" s="17" t="n">
        <v>89839.3</v>
      </c>
      <c r="K88" s="14">
        <f>I88*J88</f>
        <v/>
      </c>
      <c r="L88" s="23">
        <f>IF(INDEX(PO_Facts!$I$2:$I$4801,MATCH(H88,PO_Facts!$A$2:$A$4801,0))&lt;=B88,"yes","FALLBACK: no earlier batch")</f>
        <v/>
      </c>
    </row>
    <row r="89">
      <c r="A89" s="12" t="inlineStr">
        <is>
          <t>RET-0136</t>
        </is>
      </c>
      <c r="B89" s="26" t="n">
        <v>44459</v>
      </c>
      <c r="C89" s="12" t="inlineStr">
        <is>
          <t>Client-039</t>
        </is>
      </c>
      <c r="D89" s="12" t="inlineStr">
        <is>
          <t>Fasteners &amp; Fittings</t>
        </is>
      </c>
      <c r="E89" s="12" t="n">
        <v>0.97</v>
      </c>
      <c r="F89" s="12" t="inlineStr">
        <is>
          <t>Wrong dimensions</t>
        </is>
      </c>
      <c r="G89" s="12" t="inlineStr">
        <is>
          <t>VS02</t>
        </is>
      </c>
      <c r="H89" s="12" t="inlineStr">
        <is>
          <t>PO-2022-2054</t>
        </is>
      </c>
      <c r="I89" s="12" t="n">
        <v>0.97</v>
      </c>
      <c r="J89" s="17" t="n">
        <v>99452.38</v>
      </c>
      <c r="K89" s="14">
        <f>I89*J89</f>
        <v/>
      </c>
      <c r="L89" s="23">
        <f>IF(INDEX(PO_Facts!$I$2:$I$4801,MATCH(H89,PO_Facts!$A$2:$A$4801,0))&lt;=B89,"yes","FALLBACK: no earlier batch")</f>
        <v/>
      </c>
    </row>
    <row r="90">
      <c r="A90" s="12" t="inlineStr">
        <is>
          <t>RET-0137</t>
        </is>
      </c>
      <c r="B90" s="26" t="n">
        <v>45238</v>
      </c>
      <c r="C90" s="12" t="inlineStr">
        <is>
          <t>Client-010</t>
        </is>
      </c>
      <c r="D90" s="12" t="inlineStr">
        <is>
          <t>MS Flats</t>
        </is>
      </c>
      <c r="E90" s="12" t="n">
        <v>2.71</v>
      </c>
      <c r="F90" s="12" t="inlineStr">
        <is>
          <t>Grade mismatch</t>
        </is>
      </c>
      <c r="G90" s="12" t="inlineStr">
        <is>
          <t>VS06</t>
        </is>
      </c>
      <c r="H90" s="12" t="inlineStr">
        <is>
          <t>PO-2022-2305</t>
        </is>
      </c>
      <c r="I90" s="12" t="n">
        <v>2.71</v>
      </c>
      <c r="J90" s="17" t="n">
        <v>54798.74</v>
      </c>
      <c r="K90" s="14">
        <f>I90*J90</f>
        <v/>
      </c>
      <c r="L90" s="23">
        <f>IF(INDEX(PO_Facts!$I$2:$I$4801,MATCH(H90,PO_Facts!$A$2:$A$4801,0))&lt;=B90,"yes","FALLBACK: no earlier batch")</f>
        <v/>
      </c>
    </row>
    <row r="91">
      <c r="A91" s="12" t="inlineStr">
        <is>
          <t>RET-0138</t>
        </is>
      </c>
      <c r="B91" s="26" t="n">
        <v>44276</v>
      </c>
      <c r="C91" s="12" t="inlineStr">
        <is>
          <t>Client-014</t>
        </is>
      </c>
      <c r="D91" s="12" t="inlineStr">
        <is>
          <t>GI Wire</t>
        </is>
      </c>
      <c r="E91" s="12" t="n">
        <v>1.97</v>
      </c>
      <c r="F91" s="12" t="inlineStr">
        <is>
          <t>Wrong dimensions</t>
        </is>
      </c>
      <c r="G91" s="12" t="inlineStr">
        <is>
          <t>VS12</t>
        </is>
      </c>
      <c r="H91" s="12" t="inlineStr">
        <is>
          <t>PO-2022-2649</t>
        </is>
      </c>
      <c r="I91" s="12" t="n">
        <v>1.97</v>
      </c>
      <c r="J91" s="17" t="n">
        <v>106424.57</v>
      </c>
      <c r="K91" s="14">
        <f>I91*J91</f>
        <v/>
      </c>
      <c r="L91" s="23">
        <f>IF(INDEX(PO_Facts!$I$2:$I$4801,MATCH(H91,PO_Facts!$A$2:$A$4801,0))&lt;=B91,"yes","FALLBACK: no earlier batch")</f>
        <v/>
      </c>
    </row>
    <row r="92">
      <c r="A92" s="12" t="inlineStr">
        <is>
          <t>RET-0140</t>
        </is>
      </c>
      <c r="B92" s="26" t="n">
        <v>44314</v>
      </c>
      <c r="C92" s="12" t="inlineStr">
        <is>
          <t>Client-058</t>
        </is>
      </c>
      <c r="D92" s="12" t="inlineStr">
        <is>
          <t>MS Pipes</t>
        </is>
      </c>
      <c r="E92" s="12" t="n">
        <v>3.05</v>
      </c>
      <c r="F92" s="12" t="inlineStr">
        <is>
          <t>Wrong dimensions</t>
        </is>
      </c>
      <c r="G92" s="12" t="inlineStr">
        <is>
          <t>VS05</t>
        </is>
      </c>
      <c r="H92" s="12" t="inlineStr">
        <is>
          <t>PO-2021-0930</t>
        </is>
      </c>
      <c r="I92" s="12" t="n">
        <v>3.05</v>
      </c>
      <c r="J92" s="17" t="n">
        <v>111366.65</v>
      </c>
      <c r="K92" s="14">
        <f>I92*J92</f>
        <v/>
      </c>
      <c r="L92" s="23">
        <f>IF(INDEX(PO_Facts!$I$2:$I$4801,MATCH(H92,PO_Facts!$A$2:$A$4801,0))&lt;=B92,"yes","FALLBACK: no earlier batch")</f>
        <v/>
      </c>
    </row>
    <row r="93">
      <c r="A93" s="12" t="inlineStr">
        <is>
          <t>RET-0141</t>
        </is>
      </c>
      <c r="B93" s="26" t="n">
        <v>44358</v>
      </c>
      <c r="C93" s="12" t="inlineStr">
        <is>
          <t>Client-021</t>
        </is>
      </c>
      <c r="D93" s="12" t="inlineStr">
        <is>
          <t>HR Coils</t>
        </is>
      </c>
      <c r="E93" s="12" t="n">
        <v>0.86</v>
      </c>
      <c r="F93" s="12" t="inlineStr">
        <is>
          <t>Grade mismatch</t>
        </is>
      </c>
      <c r="G93" s="12" t="inlineStr">
        <is>
          <t>VS19</t>
        </is>
      </c>
      <c r="H93" s="12" t="inlineStr">
        <is>
          <t>PO-2022-2205</t>
        </is>
      </c>
      <c r="I93" s="12" t="n">
        <v>0.86</v>
      </c>
      <c r="J93" s="17" t="n">
        <v>113687.44</v>
      </c>
      <c r="K93" s="14">
        <f>I93*J93</f>
        <v/>
      </c>
      <c r="L93" s="23">
        <f>IF(INDEX(PO_Facts!$I$2:$I$4801,MATCH(H93,PO_Facts!$A$2:$A$4801,0))&lt;=B93,"yes","FALLBACK: no earlier batch")</f>
        <v/>
      </c>
    </row>
    <row r="94">
      <c r="A94" s="12" t="inlineStr">
        <is>
          <t>RET-0142</t>
        </is>
      </c>
      <c r="B94" s="26" t="n">
        <v>44380</v>
      </c>
      <c r="C94" s="12" t="inlineStr">
        <is>
          <t>Client-022</t>
        </is>
      </c>
      <c r="D94" s="12" t="inlineStr">
        <is>
          <t>GI Sheets</t>
        </is>
      </c>
      <c r="E94" s="12" t="n">
        <v>0.25</v>
      </c>
      <c r="F94" s="12" t="inlineStr">
        <is>
          <t>Grade mismatch</t>
        </is>
      </c>
      <c r="G94" s="12" t="inlineStr">
        <is>
          <t>VS03</t>
        </is>
      </c>
      <c r="H94" s="12" t="inlineStr">
        <is>
          <t>PO-2023-3508</t>
        </is>
      </c>
      <c r="I94" s="12" t="n">
        <v>0.25</v>
      </c>
      <c r="J94" s="17" t="n">
        <v>87815.56</v>
      </c>
      <c r="K94" s="14">
        <f>I94*J94</f>
        <v/>
      </c>
      <c r="L94" s="23">
        <f>IF(INDEX(PO_Facts!$I$2:$I$4801,MATCH(H94,PO_Facts!$A$2:$A$4801,0))&lt;=B94,"yes","FALLBACK: no earlier batch")</f>
        <v/>
      </c>
    </row>
    <row r="95">
      <c r="A95" s="12" t="inlineStr">
        <is>
          <t>RET-0143</t>
        </is>
      </c>
      <c r="B95" s="26" t="n">
        <v>44413</v>
      </c>
      <c r="C95" s="12" t="inlineStr">
        <is>
          <t>Client-049</t>
        </is>
      </c>
      <c r="D95" s="12" t="inlineStr">
        <is>
          <t>SS Sheets</t>
        </is>
      </c>
      <c r="E95" s="12" t="n">
        <v>3.12</v>
      </c>
      <c r="F95" s="12" t="inlineStr">
        <is>
          <t>Surface rust</t>
        </is>
      </c>
      <c r="G95" s="12" t="inlineStr">
        <is>
          <t>VS12</t>
        </is>
      </c>
      <c r="H95" s="12" t="inlineStr">
        <is>
          <t>PO-2022-2491</t>
        </is>
      </c>
      <c r="I95" s="12" t="n">
        <v>3.12</v>
      </c>
      <c r="J95" s="17" t="n">
        <v>120277.26</v>
      </c>
      <c r="K95" s="14">
        <f>I95*J95</f>
        <v/>
      </c>
      <c r="L95" s="23">
        <f>IF(INDEX(PO_Facts!$I$2:$I$4801,MATCH(H95,PO_Facts!$A$2:$A$4801,0))&lt;=B95,"yes","FALLBACK: no earlier batch")</f>
        <v/>
      </c>
    </row>
    <row r="96">
      <c r="A96" s="12" t="inlineStr">
        <is>
          <t>RET-0145</t>
        </is>
      </c>
      <c r="B96" s="26" t="n">
        <v>44805</v>
      </c>
      <c r="C96" s="12" t="inlineStr">
        <is>
          <t>Client-073</t>
        </is>
      </c>
      <c r="D96" s="12" t="inlineStr">
        <is>
          <t>Angles &amp; Channels</t>
        </is>
      </c>
      <c r="E96" s="12" t="n">
        <v>4.78</v>
      </c>
      <c r="F96" s="12" t="inlineStr">
        <is>
          <t>Surface rust</t>
        </is>
      </c>
      <c r="G96" s="12" t="inlineStr">
        <is>
          <t>VS19</t>
        </is>
      </c>
      <c r="H96" s="12" t="inlineStr">
        <is>
          <t>PO-2022-2097</t>
        </is>
      </c>
      <c r="I96" s="12" t="n">
        <v>2.01</v>
      </c>
      <c r="J96" s="17" t="n">
        <v>80144.87</v>
      </c>
      <c r="K96" s="14">
        <f>I96*J96</f>
        <v/>
      </c>
      <c r="L96" s="23">
        <f>IF(INDEX(PO_Facts!$I$2:$I$4801,MATCH(H96,PO_Facts!$A$2:$A$4801,0))&lt;=B96,"yes","FALLBACK: no earlier batch")</f>
        <v/>
      </c>
    </row>
    <row r="97">
      <c r="A97" s="12" t="inlineStr">
        <is>
          <t>RET-0146</t>
        </is>
      </c>
      <c r="B97" s="26" t="n">
        <v>44646</v>
      </c>
      <c r="C97" s="12" t="inlineStr">
        <is>
          <t>Client-046</t>
        </is>
      </c>
      <c r="D97" s="12" t="inlineStr">
        <is>
          <t>Angles &amp; Channels</t>
        </is>
      </c>
      <c r="E97" s="12" t="n">
        <v>0.23</v>
      </c>
      <c r="F97" s="12" t="inlineStr">
        <is>
          <t>Bend/warp</t>
        </is>
      </c>
      <c r="G97" s="12" t="inlineStr">
        <is>
          <t>VS03</t>
        </is>
      </c>
      <c r="H97" s="12" t="inlineStr">
        <is>
          <t>PO-2022-2449</t>
        </is>
      </c>
      <c r="I97" s="12" t="n">
        <v>0.23</v>
      </c>
      <c r="J97" s="17" t="n">
        <v>68705.00999999999</v>
      </c>
      <c r="K97" s="14">
        <f>I97*J97</f>
        <v/>
      </c>
      <c r="L97" s="23">
        <f>IF(INDEX(PO_Facts!$I$2:$I$4801,MATCH(H97,PO_Facts!$A$2:$A$4801,0))&lt;=B97,"yes","FALLBACK: no earlier batch")</f>
        <v/>
      </c>
    </row>
    <row r="98">
      <c r="A98" s="12" t="inlineStr">
        <is>
          <t>RET-0149</t>
        </is>
      </c>
      <c r="B98" s="26" t="n">
        <v>44680</v>
      </c>
      <c r="C98" s="12" t="inlineStr">
        <is>
          <t>Client-056</t>
        </is>
      </c>
      <c r="D98" s="12" t="inlineStr">
        <is>
          <t>Square/Rect Tubes</t>
        </is>
      </c>
      <c r="E98" s="12" t="n">
        <v>1.09</v>
      </c>
      <c r="F98" s="12" t="inlineStr">
        <is>
          <t>Grade mismatch</t>
        </is>
      </c>
      <c r="G98" s="12" t="inlineStr">
        <is>
          <t>VS12</t>
        </is>
      </c>
      <c r="H98" s="12" t="inlineStr">
        <is>
          <t>PO-2023-3667</t>
        </is>
      </c>
      <c r="I98" s="12" t="n">
        <v>1.09</v>
      </c>
      <c r="J98" s="17" t="n">
        <v>55100.51</v>
      </c>
      <c r="K98" s="14">
        <f>I98*J98</f>
        <v/>
      </c>
      <c r="L98" s="23">
        <f>IF(INDEX(PO_Facts!$I$2:$I$4801,MATCH(H98,PO_Facts!$A$2:$A$4801,0))&lt;=B98,"yes","FALLBACK: no earlier batch")</f>
        <v/>
      </c>
    </row>
    <row r="99">
      <c r="A99" s="12" t="inlineStr">
        <is>
          <t>RET-0154</t>
        </is>
      </c>
      <c r="B99" s="26" t="n">
        <v>44999</v>
      </c>
      <c r="C99" s="12" t="inlineStr">
        <is>
          <t>Client-039</t>
        </is>
      </c>
      <c r="D99" s="12" t="inlineStr">
        <is>
          <t>Structural Steel</t>
        </is>
      </c>
      <c r="E99" s="12" t="n">
        <v>2.21</v>
      </c>
      <c r="F99" s="12" t="inlineStr">
        <is>
          <t>Wrong dimensions</t>
        </is>
      </c>
      <c r="G99" s="12" t="inlineStr">
        <is>
          <t>VS03</t>
        </is>
      </c>
      <c r="H99" s="12" t="inlineStr">
        <is>
          <t>PO-2023-4727</t>
        </is>
      </c>
      <c r="I99" s="12" t="n">
        <v>1.78</v>
      </c>
      <c r="J99" s="17" t="n">
        <v>72239.2</v>
      </c>
      <c r="K99" s="14">
        <f>I99*J99</f>
        <v/>
      </c>
      <c r="L99" s="23">
        <f>IF(INDEX(PO_Facts!$I$2:$I$4801,MATCH(H99,PO_Facts!$A$2:$A$4801,0))&lt;=B99,"yes","FALLBACK: no earlier batch")</f>
        <v/>
      </c>
    </row>
    <row r="100">
      <c r="A100" s="12" t="inlineStr">
        <is>
          <t>RET-0155</t>
        </is>
      </c>
      <c r="B100" s="26" t="n">
        <v>44775</v>
      </c>
      <c r="C100" s="12" t="inlineStr">
        <is>
          <t>Client-028</t>
        </is>
      </c>
      <c r="D100" s="12" t="inlineStr">
        <is>
          <t>MS Rods</t>
        </is>
      </c>
      <c r="E100" s="12" t="n">
        <v>2.93</v>
      </c>
      <c r="F100" s="12" t="inlineStr">
        <is>
          <t>Edge damage</t>
        </is>
      </c>
      <c r="G100" s="12" t="inlineStr">
        <is>
          <t>VS03</t>
        </is>
      </c>
      <c r="H100" s="12" t="inlineStr">
        <is>
          <t>PO-2023-3681</t>
        </is>
      </c>
      <c r="I100" s="12" t="n">
        <v>2.93</v>
      </c>
      <c r="J100" s="17" t="n">
        <v>72157.52</v>
      </c>
      <c r="K100" s="14">
        <f>I100*J100</f>
        <v/>
      </c>
      <c r="L100" s="23">
        <f>IF(INDEX(PO_Facts!$I$2:$I$4801,MATCH(H100,PO_Facts!$A$2:$A$4801,0))&lt;=B100,"yes","FALLBACK: no earlier batch")</f>
        <v/>
      </c>
    </row>
    <row r="101">
      <c r="A101" s="12" t="inlineStr">
        <is>
          <t>RET-0156</t>
        </is>
      </c>
      <c r="B101" s="26" t="n">
        <v>44985</v>
      </c>
      <c r="C101" s="12" t="inlineStr">
        <is>
          <t>Client-049</t>
        </is>
      </c>
      <c r="D101" s="12" t="inlineStr">
        <is>
          <t>Angles &amp; Channels</t>
        </is>
      </c>
      <c r="E101" s="12" t="n">
        <v>4.32</v>
      </c>
      <c r="F101" s="12" t="inlineStr">
        <is>
          <t>Weight short</t>
        </is>
      </c>
      <c r="G101" s="12" t="inlineStr">
        <is>
          <t>VS19</t>
        </is>
      </c>
      <c r="H101" s="12" t="inlineStr">
        <is>
          <t>PO-2022-2516</t>
        </is>
      </c>
      <c r="I101" s="12" t="n">
        <v>3.37</v>
      </c>
      <c r="J101" s="17" t="n">
        <v>87125.81</v>
      </c>
      <c r="K101" s="14">
        <f>I101*J101</f>
        <v/>
      </c>
      <c r="L101" s="23">
        <f>IF(INDEX(PO_Facts!$I$2:$I$4801,MATCH(H101,PO_Facts!$A$2:$A$4801,0))&lt;=B101,"yes","FALLBACK: no earlier batch")</f>
        <v/>
      </c>
    </row>
    <row r="102">
      <c r="A102" s="12" t="inlineStr">
        <is>
          <t>RET-0159</t>
        </is>
      </c>
      <c r="B102" s="26" t="n">
        <v>45223</v>
      </c>
      <c r="C102" s="12" t="inlineStr">
        <is>
          <t>Client-015</t>
        </is>
      </c>
      <c r="D102" s="12" t="inlineStr">
        <is>
          <t>Angles &amp; Channels</t>
        </is>
      </c>
      <c r="E102" s="12" t="n">
        <v>4.6</v>
      </c>
      <c r="F102" s="12" t="inlineStr">
        <is>
          <t>Edge damage</t>
        </is>
      </c>
      <c r="G102" s="12" t="inlineStr">
        <is>
          <t>VS12</t>
        </is>
      </c>
      <c r="H102" s="12" t="inlineStr">
        <is>
          <t>PO-2023-3474</t>
        </is>
      </c>
      <c r="I102" s="12" t="n">
        <v>4.6</v>
      </c>
      <c r="J102" s="17" t="n">
        <v>115223.22</v>
      </c>
      <c r="K102" s="14">
        <f>I102*J102</f>
        <v/>
      </c>
      <c r="L102" s="23">
        <f>IF(INDEX(PO_Facts!$I$2:$I$4801,MATCH(H102,PO_Facts!$A$2:$A$4801,0))&lt;=B102,"yes","FALLBACK: no earlier batch")</f>
        <v/>
      </c>
    </row>
    <row r="103">
      <c r="A103" s="12" t="inlineStr">
        <is>
          <t>RET-0161</t>
        </is>
      </c>
      <c r="B103" s="26" t="n">
        <v>44419</v>
      </c>
      <c r="C103" s="12" t="inlineStr">
        <is>
          <t>Client-065</t>
        </is>
      </c>
      <c r="D103" s="12" t="inlineStr">
        <is>
          <t>MS Rods</t>
        </is>
      </c>
      <c r="E103" s="12" t="n">
        <v>3.17</v>
      </c>
      <c r="F103" s="12" t="inlineStr">
        <is>
          <t>Weight short</t>
        </is>
      </c>
      <c r="G103" s="12" t="inlineStr">
        <is>
          <t>VS10</t>
        </is>
      </c>
      <c r="H103" s="12" t="inlineStr">
        <is>
          <t>PO-2022-2685</t>
        </is>
      </c>
      <c r="I103" s="12" t="n">
        <v>3.17</v>
      </c>
      <c r="J103" s="17" t="n">
        <v>67136.33</v>
      </c>
      <c r="K103" s="14">
        <f>I103*J103</f>
        <v/>
      </c>
      <c r="L103" s="23">
        <f>IF(INDEX(PO_Facts!$I$2:$I$4801,MATCH(H103,PO_Facts!$A$2:$A$4801,0))&lt;=B103,"yes","FALLBACK: no earlier batch")</f>
        <v/>
      </c>
    </row>
    <row r="104">
      <c r="A104" s="12" t="inlineStr">
        <is>
          <t>RET-0162</t>
        </is>
      </c>
      <c r="B104" s="26" t="n">
        <v>45110</v>
      </c>
      <c r="C104" s="12" t="inlineStr">
        <is>
          <t>Client-071</t>
        </is>
      </c>
      <c r="D104" s="12" t="inlineStr">
        <is>
          <t>Angles &amp; Channels</t>
        </is>
      </c>
      <c r="E104" s="12" t="n">
        <v>4.17</v>
      </c>
      <c r="F104" s="12" t="inlineStr">
        <is>
          <t>Edge damage</t>
        </is>
      </c>
      <c r="G104" s="12" t="inlineStr">
        <is>
          <t>VS19</t>
        </is>
      </c>
      <c r="H104" s="12" t="inlineStr">
        <is>
          <t>PO-2022-2516</t>
        </is>
      </c>
      <c r="I104" s="12" t="n">
        <v>0</v>
      </c>
      <c r="J104" s="17" t="n">
        <v>87125.81</v>
      </c>
      <c r="K104" s="14">
        <f>I104*J104</f>
        <v/>
      </c>
      <c r="L104" s="23">
        <f>IF(INDEX(PO_Facts!$I$2:$I$4801,MATCH(H104,PO_Facts!$A$2:$A$4801,0))&lt;=B104,"yes","FALLBACK: no earlier batch")</f>
        <v/>
      </c>
    </row>
    <row r="105">
      <c r="A105" s="12" t="inlineStr">
        <is>
          <t>RET-0163</t>
        </is>
      </c>
      <c r="B105" s="26" t="n">
        <v>44564</v>
      </c>
      <c r="C105" s="12" t="inlineStr">
        <is>
          <t>Client-032</t>
        </is>
      </c>
      <c r="D105" s="12" t="inlineStr">
        <is>
          <t>MS Pipes</t>
        </is>
      </c>
      <c r="E105" s="12" t="n">
        <v>4.24</v>
      </c>
      <c r="F105" s="12" t="inlineStr">
        <is>
          <t>Grade mismatch</t>
        </is>
      </c>
      <c r="G105" s="12" t="inlineStr">
        <is>
          <t>VS03</t>
        </is>
      </c>
      <c r="H105" s="12" t="inlineStr">
        <is>
          <t>PO-2022-2664</t>
        </is>
      </c>
      <c r="I105" s="12" t="n">
        <v>4.24</v>
      </c>
      <c r="J105" s="17" t="n">
        <v>107273.73</v>
      </c>
      <c r="K105" s="14">
        <f>I105*J105</f>
        <v/>
      </c>
      <c r="L105" s="23">
        <f>IF(INDEX(PO_Facts!$I$2:$I$4801,MATCH(H105,PO_Facts!$A$2:$A$4801,0))&lt;=B105,"yes","FALLBACK: no earlier batch")</f>
        <v/>
      </c>
    </row>
    <row r="106">
      <c r="A106" s="12" t="inlineStr">
        <is>
          <t>RET-0164</t>
        </is>
      </c>
      <c r="B106" s="26" t="n">
        <v>44391</v>
      </c>
      <c r="C106" s="12" t="inlineStr">
        <is>
          <t>Client-043</t>
        </is>
      </c>
      <c r="D106" s="12" t="inlineStr">
        <is>
          <t>MS Pipes</t>
        </is>
      </c>
      <c r="E106" s="12" t="n">
        <v>1.21</v>
      </c>
      <c r="F106" s="12" t="inlineStr">
        <is>
          <t>Bend/warp</t>
        </is>
      </c>
      <c r="G106" s="12" t="inlineStr">
        <is>
          <t>VS25</t>
        </is>
      </c>
      <c r="H106" s="12" t="inlineStr">
        <is>
          <t>PO-2023-3551</t>
        </is>
      </c>
      <c r="I106" s="12" t="n">
        <v>1.21</v>
      </c>
      <c r="J106" s="17" t="n">
        <v>99979.14</v>
      </c>
      <c r="K106" s="14">
        <f>I106*J106</f>
        <v/>
      </c>
      <c r="L106" s="23">
        <f>IF(INDEX(PO_Facts!$I$2:$I$4801,MATCH(H106,PO_Facts!$A$2:$A$4801,0))&lt;=B106,"yes","FALLBACK: no earlier batch")</f>
        <v/>
      </c>
    </row>
    <row r="107">
      <c r="A107" s="12" t="inlineStr">
        <is>
          <t>RET-0165</t>
        </is>
      </c>
      <c r="B107" s="26" t="n">
        <v>44831</v>
      </c>
      <c r="C107" s="12" t="inlineStr">
        <is>
          <t>Client-060</t>
        </is>
      </c>
      <c r="D107" s="12" t="inlineStr">
        <is>
          <t>SS Pipes</t>
        </is>
      </c>
      <c r="E107" s="12" t="n">
        <v>0.66</v>
      </c>
      <c r="F107" s="12" t="inlineStr">
        <is>
          <t>Grade mismatch</t>
        </is>
      </c>
      <c r="G107" s="12" t="inlineStr">
        <is>
          <t>VS03</t>
        </is>
      </c>
      <c r="H107" s="12" t="inlineStr">
        <is>
          <t>PO-2023-4150</t>
        </is>
      </c>
      <c r="I107" s="12" t="n">
        <v>0.66</v>
      </c>
      <c r="J107" s="17" t="n">
        <v>64866.66</v>
      </c>
      <c r="K107" s="14">
        <f>I107*J107</f>
        <v/>
      </c>
      <c r="L107" s="23">
        <f>IF(INDEX(PO_Facts!$I$2:$I$4801,MATCH(H107,PO_Facts!$A$2:$A$4801,0))&lt;=B107,"yes","FALLBACK: no earlier batch")</f>
        <v/>
      </c>
    </row>
    <row r="108">
      <c r="A108" s="12" t="inlineStr">
        <is>
          <t>RET-0167</t>
        </is>
      </c>
      <c r="B108" s="26" t="n">
        <v>44331</v>
      </c>
      <c r="C108" s="12" t="inlineStr">
        <is>
          <t>Client-002</t>
        </is>
      </c>
      <c r="D108" s="12" t="inlineStr">
        <is>
          <t>GI Pipes</t>
        </is>
      </c>
      <c r="E108" s="12" t="n">
        <v>4.9</v>
      </c>
      <c r="F108" s="12" t="inlineStr">
        <is>
          <t>Edge damage</t>
        </is>
      </c>
      <c r="G108" s="12" t="inlineStr">
        <is>
          <t>VS19</t>
        </is>
      </c>
      <c r="H108" s="12" t="inlineStr">
        <is>
          <t>PO-2021-0711</t>
        </is>
      </c>
      <c r="I108" s="12" t="n">
        <v>4.9</v>
      </c>
      <c r="J108" s="17" t="n">
        <v>110777.84</v>
      </c>
      <c r="K108" s="14">
        <f>I108*J108</f>
        <v/>
      </c>
      <c r="L108" s="23">
        <f>IF(INDEX(PO_Facts!$I$2:$I$4801,MATCH(H108,PO_Facts!$A$2:$A$4801,0))&lt;=B108,"yes","FALLBACK: no earlier batch")</f>
        <v/>
      </c>
    </row>
    <row r="109">
      <c r="A109" s="12" t="inlineStr">
        <is>
          <t>RET-0169</t>
        </is>
      </c>
      <c r="B109" s="26" t="n">
        <v>45146</v>
      </c>
      <c r="C109" s="12" t="inlineStr">
        <is>
          <t>Client-052</t>
        </is>
      </c>
      <c r="D109" s="12" t="inlineStr">
        <is>
          <t>Square/Rect Tubes</t>
        </is>
      </c>
      <c r="E109" s="12" t="n">
        <v>3.18</v>
      </c>
      <c r="F109" s="12" t="inlineStr">
        <is>
          <t>Surface rust</t>
        </is>
      </c>
      <c r="G109" s="12" t="inlineStr">
        <is>
          <t>VS14</t>
        </is>
      </c>
      <c r="H109" s="12" t="inlineStr">
        <is>
          <t>PO-2022-1723</t>
        </is>
      </c>
      <c r="I109" s="12" t="n">
        <v>3.18</v>
      </c>
      <c r="J109" s="17" t="n">
        <v>77313.63</v>
      </c>
      <c r="K109" s="14">
        <f>I109*J109</f>
        <v/>
      </c>
      <c r="L109" s="23">
        <f>IF(INDEX(PO_Facts!$I$2:$I$4801,MATCH(H109,PO_Facts!$A$2:$A$4801,0))&lt;=B109,"yes","FALLBACK: no earlier batch")</f>
        <v/>
      </c>
    </row>
    <row r="110">
      <c r="A110" s="12" t="inlineStr">
        <is>
          <t>RET-0173</t>
        </is>
      </c>
      <c r="B110" s="26" t="n">
        <v>44641</v>
      </c>
      <c r="C110" s="12" t="inlineStr">
        <is>
          <t>Client-011</t>
        </is>
      </c>
      <c r="D110" s="12" t="inlineStr">
        <is>
          <t>SS Pipes</t>
        </is>
      </c>
      <c r="E110" s="12" t="n">
        <v>2.31</v>
      </c>
      <c r="F110" s="12" t="inlineStr">
        <is>
          <t>Wrong dimensions</t>
        </is>
      </c>
      <c r="G110" s="12" t="inlineStr">
        <is>
          <t>VS19</t>
        </is>
      </c>
      <c r="H110" s="12" t="inlineStr">
        <is>
          <t>PO-2021-1219</t>
        </is>
      </c>
      <c r="I110" s="12" t="n">
        <v>2.31</v>
      </c>
      <c r="J110" s="17" t="n">
        <v>56869.53</v>
      </c>
      <c r="K110" s="14">
        <f>I110*J110</f>
        <v/>
      </c>
      <c r="L110" s="23">
        <f>IF(INDEX(PO_Facts!$I$2:$I$4801,MATCH(H110,PO_Facts!$A$2:$A$4801,0))&lt;=B110,"yes","FALLBACK: no earlier batch")</f>
        <v/>
      </c>
    </row>
    <row r="111">
      <c r="A111" s="12" t="inlineStr">
        <is>
          <t>RET-0176</t>
        </is>
      </c>
      <c r="B111" s="26" t="n">
        <v>44564</v>
      </c>
      <c r="C111" s="12" t="inlineStr">
        <is>
          <t>Client-078</t>
        </is>
      </c>
      <c r="D111" s="12" t="inlineStr">
        <is>
          <t>Spring Steel</t>
        </is>
      </c>
      <c r="E111" s="12" t="n">
        <v>1.1</v>
      </c>
      <c r="F111" s="12" t="inlineStr">
        <is>
          <t>Grade mismatch</t>
        </is>
      </c>
      <c r="G111" s="12" t="inlineStr">
        <is>
          <t>VS03</t>
        </is>
      </c>
      <c r="H111" s="12" t="inlineStr">
        <is>
          <t>PO-2021-0777</t>
        </is>
      </c>
      <c r="I111" s="12" t="n">
        <v>1.1</v>
      </c>
      <c r="J111" s="17" t="n">
        <v>66558.39</v>
      </c>
      <c r="K111" s="14">
        <f>I111*J111</f>
        <v/>
      </c>
      <c r="L111" s="23">
        <f>IF(INDEX(PO_Facts!$I$2:$I$4801,MATCH(H111,PO_Facts!$A$2:$A$4801,0))&lt;=B111,"yes","FALLBACK: no earlier batch")</f>
        <v/>
      </c>
    </row>
    <row r="112">
      <c r="A112" s="12" t="inlineStr">
        <is>
          <t>RET-0177</t>
        </is>
      </c>
      <c r="B112" s="26" t="n">
        <v>44438</v>
      </c>
      <c r="C112" s="12" t="inlineStr">
        <is>
          <t>Client-074</t>
        </is>
      </c>
      <c r="D112" s="12" t="inlineStr">
        <is>
          <t>MS Pipes</t>
        </is>
      </c>
      <c r="E112" s="12" t="n">
        <v>2.17</v>
      </c>
      <c r="F112" s="12" t="inlineStr">
        <is>
          <t>Edge damage</t>
        </is>
      </c>
      <c r="G112" s="12" t="inlineStr">
        <is>
          <t>VS11</t>
        </is>
      </c>
      <c r="H112" s="12" t="inlineStr">
        <is>
          <t>PO-2021-0090</t>
        </is>
      </c>
      <c r="I112" s="12" t="n">
        <v>2.17</v>
      </c>
      <c r="J112" s="17" t="n">
        <v>96702.84</v>
      </c>
      <c r="K112" s="14">
        <f>I112*J112</f>
        <v/>
      </c>
      <c r="L112" s="23">
        <f>IF(INDEX(PO_Facts!$I$2:$I$4801,MATCH(H112,PO_Facts!$A$2:$A$4801,0))&lt;=B112,"yes","FALLBACK: no earlier batch")</f>
        <v/>
      </c>
    </row>
    <row r="113">
      <c r="A113" s="12" t="inlineStr">
        <is>
          <t>RET-0178</t>
        </is>
      </c>
      <c r="B113" s="26" t="n">
        <v>45115</v>
      </c>
      <c r="C113" s="12" t="inlineStr">
        <is>
          <t>Client-048</t>
        </is>
      </c>
      <c r="D113" s="12" t="inlineStr">
        <is>
          <t>ERW Pipes</t>
        </is>
      </c>
      <c r="E113" s="12" t="n">
        <v>1.5</v>
      </c>
      <c r="F113" s="12" t="inlineStr">
        <is>
          <t>Weight short</t>
        </is>
      </c>
      <c r="G113" s="12" t="inlineStr">
        <is>
          <t>VS03</t>
        </is>
      </c>
      <c r="H113" s="12" t="inlineStr">
        <is>
          <t>PO-2021-1421</t>
        </is>
      </c>
      <c r="I113" s="12" t="n">
        <v>1.5</v>
      </c>
      <c r="J113" s="17" t="n">
        <v>90917.47</v>
      </c>
      <c r="K113" s="14">
        <f>I113*J113</f>
        <v/>
      </c>
      <c r="L113" s="23">
        <f>IF(INDEX(PO_Facts!$I$2:$I$4801,MATCH(H113,PO_Facts!$A$2:$A$4801,0))&lt;=B113,"yes","FALLBACK: no earlier batch")</f>
        <v/>
      </c>
    </row>
    <row r="114">
      <c r="A114" s="12" t="inlineStr">
        <is>
          <t>RET-0179</t>
        </is>
      </c>
      <c r="B114" s="26" t="n">
        <v>45209</v>
      </c>
      <c r="C114" s="12" t="inlineStr">
        <is>
          <t>Client-045</t>
        </is>
      </c>
      <c r="D114" s="12" t="inlineStr">
        <is>
          <t>MS Rods</t>
        </is>
      </c>
      <c r="E114" s="12" t="n">
        <v>1.97</v>
      </c>
      <c r="F114" s="12" t="inlineStr">
        <is>
          <t>Weight short</t>
        </is>
      </c>
      <c r="G114" s="12" t="inlineStr">
        <is>
          <t>VS19</t>
        </is>
      </c>
      <c r="H114" s="12" t="inlineStr">
        <is>
          <t>PO-2021-0211</t>
        </is>
      </c>
      <c r="I114" s="12" t="n">
        <v>1.97</v>
      </c>
      <c r="J114" s="17" t="n">
        <v>79455.53999999999</v>
      </c>
      <c r="K114" s="14">
        <f>I114*J114</f>
        <v/>
      </c>
      <c r="L114" s="23">
        <f>IF(INDEX(PO_Facts!$I$2:$I$4801,MATCH(H114,PO_Facts!$A$2:$A$4801,0))&lt;=B114,"yes","FALLBACK: no earlier batch")</f>
        <v/>
      </c>
    </row>
    <row r="115">
      <c r="A115" s="12" t="inlineStr">
        <is>
          <t>RET-0181</t>
        </is>
      </c>
      <c r="B115" s="26" t="n">
        <v>44544</v>
      </c>
      <c r="C115" s="12" t="inlineStr">
        <is>
          <t>Client-074</t>
        </is>
      </c>
      <c r="D115" s="12" t="inlineStr">
        <is>
          <t>Angles &amp; Channels</t>
        </is>
      </c>
      <c r="E115" s="12" t="n">
        <v>2.94</v>
      </c>
      <c r="F115" s="12" t="inlineStr">
        <is>
          <t>Wrong dimensions</t>
        </is>
      </c>
      <c r="G115" s="12" t="inlineStr">
        <is>
          <t>VS03</t>
        </is>
      </c>
      <c r="H115" s="12" t="inlineStr">
        <is>
          <t>PO-2022-2449</t>
        </is>
      </c>
      <c r="I115" s="12" t="n">
        <v>2.94</v>
      </c>
      <c r="J115" s="17" t="n">
        <v>68705.00999999999</v>
      </c>
      <c r="K115" s="14">
        <f>I115*J115</f>
        <v/>
      </c>
      <c r="L115" s="23">
        <f>IF(INDEX(PO_Facts!$I$2:$I$4801,MATCH(H115,PO_Facts!$A$2:$A$4801,0))&lt;=B115,"yes","FALLBACK: no earlier batch")</f>
        <v/>
      </c>
    </row>
    <row r="116">
      <c r="A116" s="12" t="inlineStr">
        <is>
          <t>RET-0183</t>
        </is>
      </c>
      <c r="B116" s="26" t="n">
        <v>44540</v>
      </c>
      <c r="C116" s="12" t="inlineStr">
        <is>
          <t>Client-001</t>
        </is>
      </c>
      <c r="D116" s="12" t="inlineStr">
        <is>
          <t>MS Flats</t>
        </is>
      </c>
      <c r="E116" s="12" t="n">
        <v>1.31</v>
      </c>
      <c r="F116" s="12" t="inlineStr">
        <is>
          <t>Edge damage</t>
        </is>
      </c>
      <c r="G116" s="12" t="inlineStr">
        <is>
          <t>VS10</t>
        </is>
      </c>
      <c r="H116" s="12" t="inlineStr">
        <is>
          <t>PO-2023-4520</t>
        </is>
      </c>
      <c r="I116" s="12" t="n">
        <v>1.31</v>
      </c>
      <c r="J116" s="17" t="n">
        <v>111898.21</v>
      </c>
      <c r="K116" s="14">
        <f>I116*J116</f>
        <v/>
      </c>
      <c r="L116" s="23">
        <f>IF(INDEX(PO_Facts!$I$2:$I$4801,MATCH(H116,PO_Facts!$A$2:$A$4801,0))&lt;=B116,"yes","FALLBACK: no earlier batch")</f>
        <v/>
      </c>
    </row>
    <row r="117">
      <c r="A117" s="12" t="inlineStr">
        <is>
          <t>RET-0184</t>
        </is>
      </c>
      <c r="B117" s="26" t="n">
        <v>45065</v>
      </c>
      <c r="C117" s="12" t="inlineStr">
        <is>
          <t>Client-068</t>
        </is>
      </c>
      <c r="D117" s="12" t="inlineStr">
        <is>
          <t>MS Flats</t>
        </is>
      </c>
      <c r="E117" s="12" t="n">
        <v>3.84</v>
      </c>
      <c r="F117" s="12" t="inlineStr">
        <is>
          <t>Surface rust</t>
        </is>
      </c>
      <c r="G117" s="12" t="inlineStr">
        <is>
          <t>VS08</t>
        </is>
      </c>
      <c r="H117" s="12" t="inlineStr">
        <is>
          <t>PO-2022-1868</t>
        </is>
      </c>
      <c r="I117" s="12" t="n">
        <v>3.84</v>
      </c>
      <c r="J117" s="17" t="n">
        <v>112376.54</v>
      </c>
      <c r="K117" s="14">
        <f>I117*J117</f>
        <v/>
      </c>
      <c r="L117" s="23">
        <f>IF(INDEX(PO_Facts!$I$2:$I$4801,MATCH(H117,PO_Facts!$A$2:$A$4801,0))&lt;=B117,"yes","FALLBACK: no earlier batch")</f>
        <v/>
      </c>
    </row>
    <row r="118">
      <c r="A118" s="12" t="inlineStr">
        <is>
          <t>RET-0185</t>
        </is>
      </c>
      <c r="B118" s="26" t="n">
        <v>44299</v>
      </c>
      <c r="C118" s="12" t="inlineStr">
        <is>
          <t>Client-077</t>
        </is>
      </c>
      <c r="D118" s="12" t="inlineStr">
        <is>
          <t>Angles &amp; Channels</t>
        </is>
      </c>
      <c r="E118" s="12" t="n">
        <v>3.88</v>
      </c>
      <c r="F118" s="12" t="inlineStr">
        <is>
          <t>Surface rust</t>
        </is>
      </c>
      <c r="G118" s="12" t="inlineStr">
        <is>
          <t>VS03</t>
        </is>
      </c>
      <c r="H118" s="12" t="inlineStr">
        <is>
          <t>PO-2021-1424</t>
        </is>
      </c>
      <c r="I118" s="12" t="n">
        <v>3.88</v>
      </c>
      <c r="J118" s="17" t="n">
        <v>99561.2</v>
      </c>
      <c r="K118" s="14">
        <f>I118*J118</f>
        <v/>
      </c>
      <c r="L118" s="23">
        <f>IF(INDEX(PO_Facts!$I$2:$I$4801,MATCH(H118,PO_Facts!$A$2:$A$4801,0))&lt;=B118,"yes","FALLBACK: no earlier batch")</f>
        <v/>
      </c>
    </row>
    <row r="119">
      <c r="A119" s="12" t="inlineStr">
        <is>
          <t>RET-0186</t>
        </is>
      </c>
      <c r="B119" s="26" t="n">
        <v>44920</v>
      </c>
      <c r="C119" s="12" t="inlineStr">
        <is>
          <t>Client-062</t>
        </is>
      </c>
      <c r="D119" s="12" t="inlineStr">
        <is>
          <t>GI Sheets</t>
        </is>
      </c>
      <c r="E119" s="12" t="n">
        <v>1.17</v>
      </c>
      <c r="F119" s="12" t="inlineStr">
        <is>
          <t>Surface rust</t>
        </is>
      </c>
      <c r="G119" s="12" t="inlineStr">
        <is>
          <t>VS12</t>
        </is>
      </c>
      <c r="H119" s="12" t="inlineStr">
        <is>
          <t>PO-2023-4607</t>
        </is>
      </c>
      <c r="I119" s="12" t="n">
        <v>1.17</v>
      </c>
      <c r="J119" s="17" t="n">
        <v>56950.43</v>
      </c>
      <c r="K119" s="14">
        <f>I119*J119</f>
        <v/>
      </c>
      <c r="L119" s="23">
        <f>IF(INDEX(PO_Facts!$I$2:$I$4801,MATCH(H119,PO_Facts!$A$2:$A$4801,0))&lt;=B119,"yes","FALLBACK: no earlier batch")</f>
        <v/>
      </c>
    </row>
    <row r="120">
      <c r="A120" s="12" t="inlineStr">
        <is>
          <t>RET-0187</t>
        </is>
      </c>
      <c r="B120" s="26" t="n">
        <v>44687</v>
      </c>
      <c r="C120" s="12" t="inlineStr">
        <is>
          <t>Client-037</t>
        </is>
      </c>
      <c r="D120" s="12" t="inlineStr">
        <is>
          <t>GI Pipes</t>
        </is>
      </c>
      <c r="E120" s="12" t="n">
        <v>0.19</v>
      </c>
      <c r="F120" s="12" t="inlineStr">
        <is>
          <t>Edge damage</t>
        </is>
      </c>
      <c r="G120" s="12" t="inlineStr">
        <is>
          <t>VS19</t>
        </is>
      </c>
      <c r="H120" s="12" t="inlineStr">
        <is>
          <t>PO-2023-3306</t>
        </is>
      </c>
      <c r="I120" s="12" t="n">
        <v>0.19</v>
      </c>
      <c r="J120" s="17" t="n">
        <v>51362.2</v>
      </c>
      <c r="K120" s="14">
        <f>I120*J120</f>
        <v/>
      </c>
      <c r="L120" s="23">
        <f>IF(INDEX(PO_Facts!$I$2:$I$4801,MATCH(H120,PO_Facts!$A$2:$A$4801,0))&lt;=B120,"yes","FALLBACK: no earlier batch")</f>
        <v/>
      </c>
    </row>
    <row r="121">
      <c r="A121" s="12" t="inlineStr">
        <is>
          <t>RET-0189</t>
        </is>
      </c>
      <c r="B121" s="26" t="n">
        <v>44262</v>
      </c>
      <c r="C121" s="12" t="inlineStr">
        <is>
          <t>Client-012</t>
        </is>
      </c>
      <c r="D121" s="12" t="inlineStr">
        <is>
          <t>MS Flats</t>
        </is>
      </c>
      <c r="E121" s="12" t="n">
        <v>2.94</v>
      </c>
      <c r="F121" s="12" t="inlineStr">
        <is>
          <t>Surface rust</t>
        </is>
      </c>
      <c r="G121" s="12" t="inlineStr">
        <is>
          <t>VS12</t>
        </is>
      </c>
      <c r="H121" s="12" t="inlineStr">
        <is>
          <t>PO-2023-4241</t>
        </is>
      </c>
      <c r="I121" s="12" t="n">
        <v>2.94</v>
      </c>
      <c r="J121" s="17" t="n">
        <v>76189.06</v>
      </c>
      <c r="K121" s="14">
        <f>I121*J121</f>
        <v/>
      </c>
      <c r="L121" s="23">
        <f>IF(INDEX(PO_Facts!$I$2:$I$4801,MATCH(H121,PO_Facts!$A$2:$A$4801,0))&lt;=B121,"yes","FALLBACK: no earlier batch")</f>
        <v/>
      </c>
    </row>
    <row r="122">
      <c r="A122" s="12" t="inlineStr">
        <is>
          <t>RET-0191</t>
        </is>
      </c>
      <c r="B122" s="26" t="n">
        <v>45120</v>
      </c>
      <c r="C122" s="12" t="inlineStr">
        <is>
          <t>Client-065</t>
        </is>
      </c>
      <c r="D122" s="12" t="inlineStr">
        <is>
          <t>ERW Pipes</t>
        </is>
      </c>
      <c r="E122" s="12" t="n">
        <v>2.33</v>
      </c>
      <c r="F122" s="12" t="inlineStr">
        <is>
          <t>Bend/warp</t>
        </is>
      </c>
      <c r="G122" s="12" t="inlineStr">
        <is>
          <t>VS16</t>
        </is>
      </c>
      <c r="H122" s="12" t="inlineStr">
        <is>
          <t>PO-2021-1309</t>
        </is>
      </c>
      <c r="I122" s="12" t="n">
        <v>2.33</v>
      </c>
      <c r="J122" s="17" t="n">
        <v>116910.2</v>
      </c>
      <c r="K122" s="14">
        <f>I122*J122</f>
        <v/>
      </c>
      <c r="L122" s="23">
        <f>IF(INDEX(PO_Facts!$I$2:$I$4801,MATCH(H122,PO_Facts!$A$2:$A$4801,0))&lt;=B122,"yes","FALLBACK: no earlier batch")</f>
        <v/>
      </c>
    </row>
    <row r="123">
      <c r="A123" s="12" t="inlineStr">
        <is>
          <t>RET-0192</t>
        </is>
      </c>
      <c r="B123" s="26" t="n">
        <v>44852</v>
      </c>
      <c r="C123" s="12" t="inlineStr">
        <is>
          <t>Client-040</t>
        </is>
      </c>
      <c r="D123" s="12" t="inlineStr">
        <is>
          <t>HR Coils</t>
        </is>
      </c>
      <c r="E123" s="12" t="n">
        <v>3.75</v>
      </c>
      <c r="F123" s="12" t="inlineStr">
        <is>
          <t>Weight short</t>
        </is>
      </c>
      <c r="G123" s="12" t="inlineStr">
        <is>
          <t>VS19</t>
        </is>
      </c>
      <c r="H123" s="12" t="inlineStr">
        <is>
          <t>PO-2023-4597</t>
        </is>
      </c>
      <c r="I123" s="12" t="n">
        <v>3.75</v>
      </c>
      <c r="J123" s="17" t="n">
        <v>112266.24</v>
      </c>
      <c r="K123" s="14">
        <f>I123*J123</f>
        <v/>
      </c>
      <c r="L123" s="23">
        <f>IF(INDEX(PO_Facts!$I$2:$I$4801,MATCH(H123,PO_Facts!$A$2:$A$4801,0))&lt;=B123,"yes","FALLBACK: no earlier batch")</f>
        <v/>
      </c>
    </row>
    <row r="124">
      <c r="A124" s="12" t="inlineStr">
        <is>
          <t>RET-0194</t>
        </is>
      </c>
      <c r="B124" s="26" t="n">
        <v>45064</v>
      </c>
      <c r="C124" s="12" t="inlineStr">
        <is>
          <t>Client-027</t>
        </is>
      </c>
      <c r="D124" s="12" t="inlineStr">
        <is>
          <t>HR Coils</t>
        </is>
      </c>
      <c r="E124" s="12" t="n">
        <v>0.92</v>
      </c>
      <c r="F124" s="12" t="inlineStr">
        <is>
          <t>Weight short</t>
        </is>
      </c>
      <c r="G124" s="12" t="inlineStr">
        <is>
          <t>VS12</t>
        </is>
      </c>
      <c r="H124" s="12" t="inlineStr">
        <is>
          <t>PO-2022-2964</t>
        </is>
      </c>
      <c r="I124" s="12" t="n">
        <v>0.92</v>
      </c>
      <c r="J124" s="17" t="n">
        <v>66651.98</v>
      </c>
      <c r="K124" s="14">
        <f>I124*J124</f>
        <v/>
      </c>
      <c r="L124" s="23">
        <f>IF(INDEX(PO_Facts!$I$2:$I$4801,MATCH(H124,PO_Facts!$A$2:$A$4801,0))&lt;=B124,"yes","FALLBACK: no earlier batch")</f>
        <v/>
      </c>
    </row>
    <row r="125">
      <c r="A125" s="12" t="inlineStr">
        <is>
          <t>RET-0195</t>
        </is>
      </c>
      <c r="B125" s="26" t="n">
        <v>45228</v>
      </c>
      <c r="C125" s="12" t="inlineStr">
        <is>
          <t>Client-078</t>
        </is>
      </c>
      <c r="D125" s="12" t="inlineStr">
        <is>
          <t>GI Pipes</t>
        </is>
      </c>
      <c r="E125" s="12" t="n">
        <v>0.49</v>
      </c>
      <c r="F125" s="12" t="inlineStr">
        <is>
          <t>Edge damage</t>
        </is>
      </c>
      <c r="G125" s="12" t="inlineStr">
        <is>
          <t>VS19</t>
        </is>
      </c>
      <c r="H125" s="12" t="inlineStr">
        <is>
          <t>PO-2023-4486</t>
        </is>
      </c>
      <c r="I125" s="12" t="n">
        <v>0.49</v>
      </c>
      <c r="J125" s="17" t="n">
        <v>57703.61</v>
      </c>
      <c r="K125" s="14">
        <f>I125*J125</f>
        <v/>
      </c>
      <c r="L125" s="23">
        <f>IF(INDEX(PO_Facts!$I$2:$I$4801,MATCH(H125,PO_Facts!$A$2:$A$4801,0))&lt;=B125,"yes","FALLBACK: no earlier batch")</f>
        <v/>
      </c>
    </row>
    <row r="126">
      <c r="A126" s="12" t="inlineStr">
        <is>
          <t>RET-0198</t>
        </is>
      </c>
      <c r="B126" s="26" t="n">
        <v>45265</v>
      </c>
      <c r="C126" s="12" t="inlineStr">
        <is>
          <t>Client-070</t>
        </is>
      </c>
      <c r="D126" s="12" t="inlineStr">
        <is>
          <t>Fasteners &amp; Fittings</t>
        </is>
      </c>
      <c r="E126" s="12" t="n">
        <v>0.52</v>
      </c>
      <c r="F126" s="12" t="inlineStr">
        <is>
          <t>Edge damage</t>
        </is>
      </c>
      <c r="G126" s="12" t="inlineStr">
        <is>
          <t>VS19</t>
        </is>
      </c>
      <c r="H126" s="12" t="inlineStr">
        <is>
          <t>PO-2021-0209</t>
        </is>
      </c>
      <c r="I126" s="12" t="n">
        <v>0.52</v>
      </c>
      <c r="J126" s="17" t="n">
        <v>65455.14</v>
      </c>
      <c r="K126" s="14">
        <f>I126*J126</f>
        <v/>
      </c>
      <c r="L126" s="23">
        <f>IF(INDEX(PO_Facts!$I$2:$I$4801,MATCH(H126,PO_Facts!$A$2:$A$4801,0))&lt;=B126,"yes","FALLBACK: no earlier batch")</f>
        <v/>
      </c>
    </row>
    <row r="127">
      <c r="A127" s="12" t="inlineStr">
        <is>
          <t>RET-0200</t>
        </is>
      </c>
      <c r="B127" s="26" t="n">
        <v>44775</v>
      </c>
      <c r="C127" s="12" t="inlineStr">
        <is>
          <t>Client-030</t>
        </is>
      </c>
      <c r="D127" s="12" t="inlineStr">
        <is>
          <t>MS Sheets</t>
        </is>
      </c>
      <c r="E127" s="12" t="n">
        <v>2.26</v>
      </c>
      <c r="F127" s="12" t="inlineStr">
        <is>
          <t>Edge damage</t>
        </is>
      </c>
      <c r="G127" s="12" t="inlineStr">
        <is>
          <t>VS28</t>
        </is>
      </c>
      <c r="H127" s="12" t="inlineStr">
        <is>
          <t>PO-2022-3138</t>
        </is>
      </c>
      <c r="I127" s="12" t="n">
        <v>2.26</v>
      </c>
      <c r="J127" s="17" t="n">
        <v>104644.63</v>
      </c>
      <c r="K127" s="14">
        <f>I127*J127</f>
        <v/>
      </c>
      <c r="L127" s="23">
        <f>IF(INDEX(PO_Facts!$I$2:$I$4801,MATCH(H127,PO_Facts!$A$2:$A$4801,0))&lt;=B127,"yes","FALLBACK: no earlier batch")</f>
        <v/>
      </c>
    </row>
    <row r="128">
      <c r="A128" s="12" t="inlineStr">
        <is>
          <t>RET-0201</t>
        </is>
      </c>
      <c r="B128" s="26" t="n">
        <v>45174</v>
      </c>
      <c r="C128" s="12" t="inlineStr">
        <is>
          <t>Client-027</t>
        </is>
      </c>
      <c r="D128" s="12" t="inlineStr">
        <is>
          <t>HR Coils</t>
        </is>
      </c>
      <c r="E128" s="12" t="n">
        <v>4.85</v>
      </c>
      <c r="F128" s="12" t="inlineStr">
        <is>
          <t>Grade mismatch</t>
        </is>
      </c>
      <c r="G128" s="12" t="inlineStr">
        <is>
          <t>VS05</t>
        </is>
      </c>
      <c r="H128" s="12" t="inlineStr">
        <is>
          <t>PO-2022-2000</t>
        </is>
      </c>
      <c r="I128" s="12" t="n">
        <v>4.85</v>
      </c>
      <c r="J128" s="17" t="n">
        <v>59097.79</v>
      </c>
      <c r="K128" s="14">
        <f>I128*J128</f>
        <v/>
      </c>
      <c r="L128" s="23">
        <f>IF(INDEX(PO_Facts!$I$2:$I$4801,MATCH(H128,PO_Facts!$A$2:$A$4801,0))&lt;=B128,"yes","FALLBACK: no earlier batch")</f>
        <v/>
      </c>
    </row>
    <row r="129">
      <c r="A129" s="12" t="inlineStr">
        <is>
          <t>RET-0202</t>
        </is>
      </c>
      <c r="B129" s="26" t="n">
        <v>44621</v>
      </c>
      <c r="C129" s="12" t="inlineStr">
        <is>
          <t>Client-061</t>
        </is>
      </c>
      <c r="D129" s="12" t="inlineStr">
        <is>
          <t>SS Sheets</t>
        </is>
      </c>
      <c r="E129" s="12" t="n">
        <v>3.61</v>
      </c>
      <c r="F129" s="12" t="inlineStr">
        <is>
          <t>Bend/warp</t>
        </is>
      </c>
      <c r="G129" s="12" t="inlineStr">
        <is>
          <t>VS12</t>
        </is>
      </c>
      <c r="H129" s="12" t="inlineStr">
        <is>
          <t>PO-2021-0746</t>
        </is>
      </c>
      <c r="I129" s="12" t="n">
        <v>3.61</v>
      </c>
      <c r="J129" s="17" t="n">
        <v>99309.03999999999</v>
      </c>
      <c r="K129" s="14">
        <f>I129*J129</f>
        <v/>
      </c>
      <c r="L129" s="23">
        <f>IF(INDEX(PO_Facts!$I$2:$I$4801,MATCH(H129,PO_Facts!$A$2:$A$4801,0))&lt;=B129,"yes","FALLBACK: no earlier batch")</f>
        <v/>
      </c>
    </row>
    <row r="130">
      <c r="A130" s="12" t="inlineStr">
        <is>
          <t>RET-0208</t>
        </is>
      </c>
      <c r="B130" s="26" t="n">
        <v>44482</v>
      </c>
      <c r="C130" s="12" t="inlineStr">
        <is>
          <t>Client-060</t>
        </is>
      </c>
      <c r="D130" s="12" t="inlineStr">
        <is>
          <t>SS Sheets</t>
        </is>
      </c>
      <c r="E130" s="12" t="n">
        <v>2.58</v>
      </c>
      <c r="F130" s="12" t="inlineStr">
        <is>
          <t>Surface rust</t>
        </is>
      </c>
      <c r="G130" s="12" t="inlineStr">
        <is>
          <t>VS24</t>
        </is>
      </c>
      <c r="H130" s="12" t="inlineStr">
        <is>
          <t>PO-2023-3773</t>
        </is>
      </c>
      <c r="I130" s="12" t="n">
        <v>2.58</v>
      </c>
      <c r="J130" s="17" t="n">
        <v>51534.59</v>
      </c>
      <c r="K130" s="14">
        <f>I130*J130</f>
        <v/>
      </c>
      <c r="L130" s="23">
        <f>IF(INDEX(PO_Facts!$I$2:$I$4801,MATCH(H130,PO_Facts!$A$2:$A$4801,0))&lt;=B130,"yes","FALLBACK: no earlier batch")</f>
        <v/>
      </c>
    </row>
    <row r="131">
      <c r="A131" s="12" t="inlineStr">
        <is>
          <t>RET-0209</t>
        </is>
      </c>
      <c r="B131" s="26" t="n">
        <v>45114</v>
      </c>
      <c r="C131" s="12" t="inlineStr">
        <is>
          <t>Client-033</t>
        </is>
      </c>
      <c r="D131" s="12" t="inlineStr">
        <is>
          <t>MS Pipes</t>
        </is>
      </c>
      <c r="E131" s="12" t="n">
        <v>4.5</v>
      </c>
      <c r="F131" s="12" t="inlineStr">
        <is>
          <t>Grade mismatch</t>
        </is>
      </c>
      <c r="G131" s="12" t="inlineStr">
        <is>
          <t>VS04</t>
        </is>
      </c>
      <c r="H131" s="12" t="inlineStr">
        <is>
          <t>PO-2022-2667</t>
        </is>
      </c>
      <c r="I131" s="12" t="n">
        <v>4.5</v>
      </c>
      <c r="J131" s="17" t="n">
        <v>119130.22</v>
      </c>
      <c r="K131" s="14">
        <f>I131*J131</f>
        <v/>
      </c>
      <c r="L131" s="23">
        <f>IF(INDEX(PO_Facts!$I$2:$I$4801,MATCH(H131,PO_Facts!$A$2:$A$4801,0))&lt;=B131,"yes","FALLBACK: no earlier batch")</f>
        <v/>
      </c>
    </row>
    <row r="132">
      <c r="A132" s="12" t="inlineStr">
        <is>
          <t>RET-0210</t>
        </is>
      </c>
      <c r="B132" s="26" t="n">
        <v>44304</v>
      </c>
      <c r="C132" s="12" t="inlineStr">
        <is>
          <t>Client-023</t>
        </is>
      </c>
      <c r="D132" s="12" t="inlineStr">
        <is>
          <t>Square/Rect Tubes</t>
        </is>
      </c>
      <c r="E132" s="12" t="n">
        <v>2.82</v>
      </c>
      <c r="F132" s="12" t="inlineStr">
        <is>
          <t>Wrong dimensions</t>
        </is>
      </c>
      <c r="G132" s="12" t="inlineStr">
        <is>
          <t>VS12</t>
        </is>
      </c>
      <c r="H132" s="12" t="inlineStr">
        <is>
          <t>PO-2023-4238</t>
        </is>
      </c>
      <c r="I132" s="12" t="n">
        <v>2.82</v>
      </c>
      <c r="J132" s="17" t="n">
        <v>54227.13</v>
      </c>
      <c r="K132" s="14">
        <f>I132*J132</f>
        <v/>
      </c>
      <c r="L132" s="23">
        <f>IF(INDEX(PO_Facts!$I$2:$I$4801,MATCH(H132,PO_Facts!$A$2:$A$4801,0))&lt;=B132,"yes","FALLBACK: no earlier batch")</f>
        <v/>
      </c>
    </row>
    <row r="133">
      <c r="A133" s="12" t="inlineStr">
        <is>
          <t>RET-0211</t>
        </is>
      </c>
      <c r="B133" s="26" t="n">
        <v>45184</v>
      </c>
      <c r="C133" s="12" t="inlineStr">
        <is>
          <t>Client-004</t>
        </is>
      </c>
      <c r="D133" s="12" t="inlineStr">
        <is>
          <t>GI Sheets</t>
        </is>
      </c>
      <c r="E133" s="12" t="n">
        <v>4.64</v>
      </c>
      <c r="F133" s="12" t="inlineStr">
        <is>
          <t>Grade mismatch</t>
        </is>
      </c>
      <c r="G133" s="12" t="inlineStr">
        <is>
          <t>VS12</t>
        </is>
      </c>
      <c r="H133" s="12" t="inlineStr">
        <is>
          <t>PO-2023-3763</t>
        </is>
      </c>
      <c r="I133" s="12" t="n">
        <v>4.64</v>
      </c>
      <c r="J133" s="17" t="n">
        <v>104047.49</v>
      </c>
      <c r="K133" s="14">
        <f>I133*J133</f>
        <v/>
      </c>
      <c r="L133" s="23">
        <f>IF(INDEX(PO_Facts!$I$2:$I$4801,MATCH(H133,PO_Facts!$A$2:$A$4801,0))&lt;=B133,"yes","FALLBACK: no earlier batch")</f>
        <v/>
      </c>
    </row>
    <row r="134">
      <c r="A134" s="12" t="inlineStr">
        <is>
          <t>RET-0215</t>
        </is>
      </c>
      <c r="B134" s="26" t="n">
        <v>44456</v>
      </c>
      <c r="C134" s="12" t="inlineStr">
        <is>
          <t>Client-052</t>
        </is>
      </c>
      <c r="D134" s="12" t="inlineStr">
        <is>
          <t>SS Pipes</t>
        </is>
      </c>
      <c r="E134" s="12" t="n">
        <v>1.35</v>
      </c>
      <c r="F134" s="12" t="inlineStr">
        <is>
          <t>Wrong dimensions</t>
        </is>
      </c>
      <c r="G134" s="12" t="inlineStr">
        <is>
          <t>VS12</t>
        </is>
      </c>
      <c r="H134" s="12" t="inlineStr">
        <is>
          <t>PO-2021-0670</t>
        </is>
      </c>
      <c r="I134" s="12" t="n">
        <v>1.35</v>
      </c>
      <c r="J134" s="17" t="n">
        <v>113779.67</v>
      </c>
      <c r="K134" s="14">
        <f>I134*J134</f>
        <v/>
      </c>
      <c r="L134" s="23">
        <f>IF(INDEX(PO_Facts!$I$2:$I$4801,MATCH(H134,PO_Facts!$A$2:$A$4801,0))&lt;=B134,"yes","FALLBACK: no earlier batch")</f>
        <v/>
      </c>
    </row>
    <row r="135">
      <c r="A135" s="12" t="inlineStr">
        <is>
          <t>RET-0216</t>
        </is>
      </c>
      <c r="B135" s="26" t="n">
        <v>44631</v>
      </c>
      <c r="C135" s="12" t="inlineStr">
        <is>
          <t>Client-071</t>
        </is>
      </c>
      <c r="D135" s="12" t="inlineStr">
        <is>
          <t>Spring Steel</t>
        </is>
      </c>
      <c r="E135" s="12" t="n">
        <v>4.07</v>
      </c>
      <c r="F135" s="12" t="inlineStr">
        <is>
          <t>Wrong dimensions</t>
        </is>
      </c>
      <c r="G135" s="12" t="inlineStr">
        <is>
          <t>VS27</t>
        </is>
      </c>
      <c r="H135" s="12" t="inlineStr">
        <is>
          <t>PO-2023-4147</t>
        </is>
      </c>
      <c r="I135" s="12" t="n">
        <v>4.07</v>
      </c>
      <c r="J135" s="17" t="n">
        <v>69647.74000000001</v>
      </c>
      <c r="K135" s="14">
        <f>I135*J135</f>
        <v/>
      </c>
      <c r="L135" s="23">
        <f>IF(INDEX(PO_Facts!$I$2:$I$4801,MATCH(H135,PO_Facts!$A$2:$A$4801,0))&lt;=B135,"yes","FALLBACK: no earlier batch")</f>
        <v/>
      </c>
    </row>
    <row r="136">
      <c r="A136" s="12" t="inlineStr">
        <is>
          <t>RET-0218</t>
        </is>
      </c>
      <c r="B136" s="26" t="n">
        <v>44380</v>
      </c>
      <c r="C136" s="12" t="inlineStr">
        <is>
          <t>Client-074</t>
        </is>
      </c>
      <c r="D136" s="12" t="inlineStr">
        <is>
          <t>Angles &amp; Channels</t>
        </is>
      </c>
      <c r="E136" s="12" t="n">
        <v>1.01</v>
      </c>
      <c r="F136" s="12" t="inlineStr">
        <is>
          <t>Edge damage</t>
        </is>
      </c>
      <c r="G136" s="12" t="inlineStr">
        <is>
          <t>VS03</t>
        </is>
      </c>
      <c r="H136" s="12" t="inlineStr">
        <is>
          <t>PO-2021-1424</t>
        </is>
      </c>
      <c r="I136" s="12" t="n">
        <v>1.01</v>
      </c>
      <c r="J136" s="17" t="n">
        <v>99561.2</v>
      </c>
      <c r="K136" s="14">
        <f>I136*J136</f>
        <v/>
      </c>
      <c r="L136" s="23">
        <f>IF(INDEX(PO_Facts!$I$2:$I$4801,MATCH(H136,PO_Facts!$A$2:$A$4801,0))&lt;=B136,"yes","FALLBACK: no earlier batch")</f>
        <v/>
      </c>
    </row>
    <row r="137">
      <c r="A137" s="12" t="inlineStr">
        <is>
          <t>RET-0219</t>
        </is>
      </c>
      <c r="B137" s="26" t="n">
        <v>44737</v>
      </c>
      <c r="C137" s="12" t="inlineStr">
        <is>
          <t>Client-025</t>
        </is>
      </c>
      <c r="D137" s="12" t="inlineStr">
        <is>
          <t>GI Pipes</t>
        </is>
      </c>
      <c r="E137" s="12" t="n">
        <v>2.05</v>
      </c>
      <c r="F137" s="12" t="inlineStr">
        <is>
          <t>Surface rust</t>
        </is>
      </c>
      <c r="G137" s="12" t="inlineStr">
        <is>
          <t>VS06</t>
        </is>
      </c>
      <c r="H137" s="12" t="inlineStr">
        <is>
          <t>PO-2023-3499</t>
        </is>
      </c>
      <c r="I137" s="12" t="n">
        <v>2.05</v>
      </c>
      <c r="J137" s="17" t="n">
        <v>71707.46000000001</v>
      </c>
      <c r="K137" s="14">
        <f>I137*J137</f>
        <v/>
      </c>
      <c r="L137" s="23">
        <f>IF(INDEX(PO_Facts!$I$2:$I$4801,MATCH(H137,PO_Facts!$A$2:$A$4801,0))&lt;=B137,"yes","FALLBACK: no earlier batch")</f>
        <v/>
      </c>
    </row>
    <row r="138">
      <c r="A138" s="12" t="inlineStr">
        <is>
          <t>RET-0220</t>
        </is>
      </c>
      <c r="B138" s="26" t="n">
        <v>44715</v>
      </c>
      <c r="C138" s="12" t="inlineStr">
        <is>
          <t>Client-060</t>
        </is>
      </c>
      <c r="D138" s="12" t="inlineStr">
        <is>
          <t>HR Coils</t>
        </is>
      </c>
      <c r="E138" s="12" t="n">
        <v>3.82</v>
      </c>
      <c r="F138" s="12" t="inlineStr">
        <is>
          <t>Bend/warp</t>
        </is>
      </c>
      <c r="G138" s="12" t="inlineStr">
        <is>
          <t>VS05</t>
        </is>
      </c>
      <c r="H138" s="12" t="inlineStr">
        <is>
          <t>PO-2023-4795</t>
        </is>
      </c>
      <c r="I138" s="12" t="n">
        <v>3.82</v>
      </c>
      <c r="J138" s="17" t="n">
        <v>74847.99000000001</v>
      </c>
      <c r="K138" s="14">
        <f>I138*J138</f>
        <v/>
      </c>
      <c r="L138" s="23">
        <f>IF(INDEX(PO_Facts!$I$2:$I$4801,MATCH(H138,PO_Facts!$A$2:$A$4801,0))&lt;=B138,"yes","FALLBACK: no earlier batch")</f>
        <v/>
      </c>
    </row>
    <row r="139">
      <c r="A139" s="12" t="inlineStr">
        <is>
          <t>RET-0221</t>
        </is>
      </c>
      <c r="B139" s="26" t="n">
        <v>44543</v>
      </c>
      <c r="C139" s="12" t="inlineStr">
        <is>
          <t>Client-001</t>
        </is>
      </c>
      <c r="D139" s="12" t="inlineStr">
        <is>
          <t>Hex Bars</t>
        </is>
      </c>
      <c r="E139" s="12" t="n">
        <v>2.41</v>
      </c>
      <c r="F139" s="12" t="inlineStr">
        <is>
          <t>Bend/warp</t>
        </is>
      </c>
      <c r="G139" s="12" t="inlineStr">
        <is>
          <t>VS19</t>
        </is>
      </c>
      <c r="H139" s="12" t="inlineStr">
        <is>
          <t>PO-2022-3018</t>
        </is>
      </c>
      <c r="I139" s="12" t="n">
        <v>2.41</v>
      </c>
      <c r="J139" s="17" t="n">
        <v>112519.69</v>
      </c>
      <c r="K139" s="14">
        <f>I139*J139</f>
        <v/>
      </c>
      <c r="L139" s="23">
        <f>IF(INDEX(PO_Facts!$I$2:$I$4801,MATCH(H139,PO_Facts!$A$2:$A$4801,0))&lt;=B139,"yes","FALLBACK: no earlier batch")</f>
        <v/>
      </c>
    </row>
    <row r="140">
      <c r="A140" s="12" t="inlineStr">
        <is>
          <t>RET-0222</t>
        </is>
      </c>
      <c r="B140" s="26" t="n">
        <v>44740</v>
      </c>
      <c r="C140" s="12" t="inlineStr">
        <is>
          <t>Client-043</t>
        </is>
      </c>
      <c r="D140" s="12" t="inlineStr">
        <is>
          <t>Hex Bars</t>
        </is>
      </c>
      <c r="E140" s="12" t="n">
        <v>3.5</v>
      </c>
      <c r="F140" s="12" t="inlineStr">
        <is>
          <t>Wrong dimensions</t>
        </is>
      </c>
      <c r="G140" s="12" t="inlineStr">
        <is>
          <t>VS01</t>
        </is>
      </c>
      <c r="H140" s="12" t="inlineStr">
        <is>
          <t>PO-2021-1561</t>
        </is>
      </c>
      <c r="I140" s="12" t="n">
        <v>3.5</v>
      </c>
      <c r="J140" s="17" t="n">
        <v>98081.55</v>
      </c>
      <c r="K140" s="14">
        <f>I140*J140</f>
        <v/>
      </c>
      <c r="L140" s="23">
        <f>IF(INDEX(PO_Facts!$I$2:$I$4801,MATCH(H140,PO_Facts!$A$2:$A$4801,0))&lt;=B140,"yes","FALLBACK: no earlier batch")</f>
        <v/>
      </c>
    </row>
    <row r="141">
      <c r="A141" s="12" t="inlineStr">
        <is>
          <t>RET-0223</t>
        </is>
      </c>
      <c r="B141" s="26" t="n">
        <v>45081</v>
      </c>
      <c r="C141" s="12" t="inlineStr">
        <is>
          <t>Client-067</t>
        </is>
      </c>
      <c r="D141" s="12" t="inlineStr">
        <is>
          <t>Structural Steel</t>
        </is>
      </c>
      <c r="E141" s="12" t="n">
        <v>2.6</v>
      </c>
      <c r="F141" s="12" t="inlineStr">
        <is>
          <t>Wrong dimensions</t>
        </is>
      </c>
      <c r="G141" s="12" t="inlineStr">
        <is>
          <t>VS12</t>
        </is>
      </c>
      <c r="H141" s="12" t="inlineStr">
        <is>
          <t>PO-2021-0966</t>
        </is>
      </c>
      <c r="I141" s="12" t="n">
        <v>2.6</v>
      </c>
      <c r="J141" s="17" t="n">
        <v>88969.31</v>
      </c>
      <c r="K141" s="14">
        <f>I141*J141</f>
        <v/>
      </c>
      <c r="L141" s="23">
        <f>IF(INDEX(PO_Facts!$I$2:$I$4801,MATCH(H141,PO_Facts!$A$2:$A$4801,0))&lt;=B141,"yes","FALLBACK: no earlier batch")</f>
        <v/>
      </c>
    </row>
    <row r="142">
      <c r="A142" s="12" t="inlineStr">
        <is>
          <t>RET-0224</t>
        </is>
      </c>
      <c r="B142" s="26" t="n">
        <v>44680</v>
      </c>
      <c r="C142" s="12" t="inlineStr">
        <is>
          <t>Client-072</t>
        </is>
      </c>
      <c r="D142" s="12" t="inlineStr">
        <is>
          <t>Spring Steel</t>
        </is>
      </c>
      <c r="E142" s="12" t="n">
        <v>1.19</v>
      </c>
      <c r="F142" s="12" t="inlineStr">
        <is>
          <t>Surface rust</t>
        </is>
      </c>
      <c r="G142" s="12" t="inlineStr">
        <is>
          <t>VS19</t>
        </is>
      </c>
      <c r="H142" s="12" t="inlineStr">
        <is>
          <t>PO-2022-2268</t>
        </is>
      </c>
      <c r="I142" s="12" t="n">
        <v>1.19</v>
      </c>
      <c r="J142" s="17" t="n">
        <v>89475.62</v>
      </c>
      <c r="K142" s="14">
        <f>I142*J142</f>
        <v/>
      </c>
      <c r="L142" s="23">
        <f>IF(INDEX(PO_Facts!$I$2:$I$4801,MATCH(H142,PO_Facts!$A$2:$A$4801,0))&lt;=B142,"yes","FALLBACK: no earlier batch")</f>
        <v/>
      </c>
    </row>
    <row r="143">
      <c r="A143" s="12" t="inlineStr">
        <is>
          <t>RET-0228</t>
        </is>
      </c>
      <c r="B143" s="26" t="n">
        <v>44402</v>
      </c>
      <c r="C143" s="12" t="inlineStr">
        <is>
          <t>Client-020</t>
        </is>
      </c>
      <c r="D143" s="12" t="inlineStr">
        <is>
          <t>MS Flats</t>
        </is>
      </c>
      <c r="E143" s="12" t="n">
        <v>1.23</v>
      </c>
      <c r="F143" s="12" t="inlineStr">
        <is>
          <t>Surface rust</t>
        </is>
      </c>
      <c r="G143" s="12" t="inlineStr">
        <is>
          <t>VS19</t>
        </is>
      </c>
      <c r="H143" s="12" t="inlineStr">
        <is>
          <t>PO-2022-2361</t>
        </is>
      </c>
      <c r="I143" s="12" t="n">
        <v>1.23</v>
      </c>
      <c r="J143" s="17" t="n">
        <v>91145.31</v>
      </c>
      <c r="K143" s="14">
        <f>I143*J143</f>
        <v/>
      </c>
      <c r="L143" s="23">
        <f>IF(INDEX(PO_Facts!$I$2:$I$4801,MATCH(H143,PO_Facts!$A$2:$A$4801,0))&lt;=B143,"yes","FALLBACK: no earlier batch")</f>
        <v/>
      </c>
    </row>
    <row r="144">
      <c r="A144" s="12" t="inlineStr">
        <is>
          <t>RET-0231</t>
        </is>
      </c>
      <c r="B144" s="26" t="n">
        <v>45123</v>
      </c>
      <c r="C144" s="12" t="inlineStr">
        <is>
          <t>Client-004</t>
        </is>
      </c>
      <c r="D144" s="12" t="inlineStr">
        <is>
          <t>ERW Pipes</t>
        </is>
      </c>
      <c r="E144" s="12" t="n">
        <v>4.94</v>
      </c>
      <c r="F144" s="12" t="inlineStr">
        <is>
          <t>Wrong dimensions</t>
        </is>
      </c>
      <c r="G144" s="12" t="inlineStr">
        <is>
          <t>VS11</t>
        </is>
      </c>
      <c r="H144" s="12" t="inlineStr">
        <is>
          <t>PO-2021-0598</t>
        </is>
      </c>
      <c r="I144" s="12" t="n">
        <v>4.94</v>
      </c>
      <c r="J144" s="17" t="n">
        <v>99480.83</v>
      </c>
      <c r="K144" s="14">
        <f>I144*J144</f>
        <v/>
      </c>
      <c r="L144" s="23">
        <f>IF(INDEX(PO_Facts!$I$2:$I$4801,MATCH(H144,PO_Facts!$A$2:$A$4801,0))&lt;=B144,"yes","FALLBACK: no earlier batch")</f>
        <v/>
      </c>
    </row>
    <row r="145">
      <c r="A145" s="12" t="inlineStr">
        <is>
          <t>RET-0233</t>
        </is>
      </c>
      <c r="B145" s="26" t="n">
        <v>45145</v>
      </c>
      <c r="C145" s="12" t="inlineStr">
        <is>
          <t>Client-008</t>
        </is>
      </c>
      <c r="D145" s="12" t="inlineStr">
        <is>
          <t>Spring Steel</t>
        </is>
      </c>
      <c r="E145" s="12" t="n">
        <v>2.45</v>
      </c>
      <c r="F145" s="12" t="inlineStr">
        <is>
          <t>Wrong dimensions</t>
        </is>
      </c>
      <c r="G145" s="12" t="inlineStr">
        <is>
          <t>VS28</t>
        </is>
      </c>
      <c r="H145" s="12" t="inlineStr">
        <is>
          <t>PO-2021-1122</t>
        </is>
      </c>
      <c r="I145" s="12" t="n">
        <v>2.45</v>
      </c>
      <c r="J145" s="17" t="n">
        <v>76073.57000000001</v>
      </c>
      <c r="K145" s="14">
        <f>I145*J145</f>
        <v/>
      </c>
      <c r="L145" s="23">
        <f>IF(INDEX(PO_Facts!$I$2:$I$4801,MATCH(H145,PO_Facts!$A$2:$A$4801,0))&lt;=B145,"yes","FALLBACK: no earlier batch")</f>
        <v/>
      </c>
    </row>
    <row r="146">
      <c r="A146" s="12" t="inlineStr">
        <is>
          <t>RET-0234</t>
        </is>
      </c>
      <c r="B146" s="26" t="n">
        <v>44493</v>
      </c>
      <c r="C146" s="12" t="inlineStr">
        <is>
          <t>Client-003</t>
        </is>
      </c>
      <c r="D146" s="12" t="inlineStr">
        <is>
          <t>Fasteners &amp; Fittings</t>
        </is>
      </c>
      <c r="E146" s="12" t="n">
        <v>3.55</v>
      </c>
      <c r="F146" s="12" t="inlineStr">
        <is>
          <t>Wrong dimensions</t>
        </is>
      </c>
      <c r="G146" s="12" t="inlineStr">
        <is>
          <t>VS12</t>
        </is>
      </c>
      <c r="H146" s="12" t="inlineStr">
        <is>
          <t>PO-2023-3259</t>
        </is>
      </c>
      <c r="I146" s="12" t="n">
        <v>3.55</v>
      </c>
      <c r="J146" s="17" t="n">
        <v>55372.98</v>
      </c>
      <c r="K146" s="14">
        <f>I146*J146</f>
        <v/>
      </c>
      <c r="L146" s="23">
        <f>IF(INDEX(PO_Facts!$I$2:$I$4801,MATCH(H146,PO_Facts!$A$2:$A$4801,0))&lt;=B146,"yes","FALLBACK: no earlier batch")</f>
        <v/>
      </c>
    </row>
    <row r="147">
      <c r="A147" s="12" t="inlineStr">
        <is>
          <t>RET-0236</t>
        </is>
      </c>
      <c r="B147" s="26" t="n">
        <v>44963</v>
      </c>
      <c r="C147" s="12" t="inlineStr">
        <is>
          <t>Client-052</t>
        </is>
      </c>
      <c r="D147" s="12" t="inlineStr">
        <is>
          <t>Structural Steel</t>
        </is>
      </c>
      <c r="E147" s="12" t="n">
        <v>3.01</v>
      </c>
      <c r="F147" s="12" t="inlineStr">
        <is>
          <t>Weight short</t>
        </is>
      </c>
      <c r="G147" s="12" t="inlineStr">
        <is>
          <t>VS19</t>
        </is>
      </c>
      <c r="H147" s="12" t="inlineStr">
        <is>
          <t>PO-2021-1160</t>
        </is>
      </c>
      <c r="I147" s="12" t="n">
        <v>3.01</v>
      </c>
      <c r="J147" s="17" t="n">
        <v>80442.07000000001</v>
      </c>
      <c r="K147" s="14">
        <f>I147*J147</f>
        <v/>
      </c>
      <c r="L147" s="23">
        <f>IF(INDEX(PO_Facts!$I$2:$I$4801,MATCH(H147,PO_Facts!$A$2:$A$4801,0))&lt;=B147,"yes","FALLBACK: no earlier batch")</f>
        <v/>
      </c>
    </row>
    <row r="148">
      <c r="A148" s="12" t="inlineStr">
        <is>
          <t>RET-0237</t>
        </is>
      </c>
      <c r="B148" s="26" t="n">
        <v>45077</v>
      </c>
      <c r="C148" s="12" t="inlineStr">
        <is>
          <t>Client-031</t>
        </is>
      </c>
      <c r="D148" s="12" t="inlineStr">
        <is>
          <t>MS Rods</t>
        </is>
      </c>
      <c r="E148" s="12" t="n">
        <v>2.43</v>
      </c>
      <c r="F148" s="12" t="inlineStr">
        <is>
          <t>Weight short</t>
        </is>
      </c>
      <c r="G148" s="12" t="inlineStr">
        <is>
          <t>VS16</t>
        </is>
      </c>
      <c r="H148" s="12" t="inlineStr">
        <is>
          <t>PO-2022-2973</t>
        </is>
      </c>
      <c r="I148" s="12" t="n">
        <v>2.43</v>
      </c>
      <c r="J148" s="17" t="n">
        <v>86216.41</v>
      </c>
      <c r="K148" s="14">
        <f>I148*J148</f>
        <v/>
      </c>
      <c r="L148" s="23">
        <f>IF(INDEX(PO_Facts!$I$2:$I$4801,MATCH(H148,PO_Facts!$A$2:$A$4801,0))&lt;=B148,"yes","FALLBACK: no earlier batch")</f>
        <v/>
      </c>
    </row>
    <row r="149">
      <c r="A149" s="12" t="inlineStr">
        <is>
          <t>RET-0238</t>
        </is>
      </c>
      <c r="B149" s="26" t="n">
        <v>44402</v>
      </c>
      <c r="C149" s="12" t="inlineStr">
        <is>
          <t>Client-043</t>
        </is>
      </c>
      <c r="D149" s="12" t="inlineStr">
        <is>
          <t>Hex Bars</t>
        </is>
      </c>
      <c r="E149" s="12" t="n">
        <v>2.46</v>
      </c>
      <c r="F149" s="12" t="inlineStr">
        <is>
          <t>Bend/warp</t>
        </is>
      </c>
      <c r="G149" s="12" t="inlineStr">
        <is>
          <t>VS03</t>
        </is>
      </c>
      <c r="H149" s="12" t="inlineStr">
        <is>
          <t>PO-2021-0853</t>
        </is>
      </c>
      <c r="I149" s="12" t="n">
        <v>2.46</v>
      </c>
      <c r="J149" s="17" t="n">
        <v>82438.23</v>
      </c>
      <c r="K149" s="14">
        <f>I149*J149</f>
        <v/>
      </c>
      <c r="L149" s="23">
        <f>IF(INDEX(PO_Facts!$I$2:$I$4801,MATCH(H149,PO_Facts!$A$2:$A$4801,0))&lt;=B149,"yes","FALLBACK: no earlier batch")</f>
        <v/>
      </c>
    </row>
    <row r="150">
      <c r="A150" s="12" t="inlineStr">
        <is>
          <t>RET-0241</t>
        </is>
      </c>
      <c r="B150" s="26" t="n">
        <v>44999</v>
      </c>
      <c r="C150" s="12" t="inlineStr">
        <is>
          <t>Client-034</t>
        </is>
      </c>
      <c r="D150" s="12" t="inlineStr">
        <is>
          <t>GI Pipes</t>
        </is>
      </c>
      <c r="E150" s="12" t="n">
        <v>1.69</v>
      </c>
      <c r="F150" s="12" t="inlineStr">
        <is>
          <t>Wrong dimensions</t>
        </is>
      </c>
      <c r="G150" s="12" t="inlineStr">
        <is>
          <t>VS12</t>
        </is>
      </c>
      <c r="H150" s="12" t="inlineStr">
        <is>
          <t>PO-2023-3239</t>
        </is>
      </c>
      <c r="I150" s="12" t="n">
        <v>1.69</v>
      </c>
      <c r="J150" s="17" t="n">
        <v>46841.18</v>
      </c>
      <c r="K150" s="14">
        <f>I150*J150</f>
        <v/>
      </c>
      <c r="L150" s="23">
        <f>IF(INDEX(PO_Facts!$I$2:$I$4801,MATCH(H150,PO_Facts!$A$2:$A$4801,0))&lt;=B150,"yes","FALLBACK: no earlier batch")</f>
        <v/>
      </c>
    </row>
    <row r="151">
      <c r="A151" s="12" t="inlineStr">
        <is>
          <t>RET-0245</t>
        </is>
      </c>
      <c r="B151" s="26" t="n">
        <v>45267</v>
      </c>
      <c r="C151" s="12" t="inlineStr">
        <is>
          <t>Client-032</t>
        </is>
      </c>
      <c r="D151" s="12" t="inlineStr">
        <is>
          <t>MS Pipes</t>
        </is>
      </c>
      <c r="E151" s="12" t="n">
        <v>0.54</v>
      </c>
      <c r="F151" s="12" t="inlineStr">
        <is>
          <t>Wrong dimensions</t>
        </is>
      </c>
      <c r="G151" s="12" t="inlineStr">
        <is>
          <t>VS12</t>
        </is>
      </c>
      <c r="H151" s="12" t="inlineStr">
        <is>
          <t>PO-2022-3134</t>
        </is>
      </c>
      <c r="I151" s="12" t="n">
        <v>0.54</v>
      </c>
      <c r="J151" s="17" t="n">
        <v>57834.29</v>
      </c>
      <c r="K151" s="14">
        <f>I151*J151</f>
        <v/>
      </c>
      <c r="L151" s="23">
        <f>IF(INDEX(PO_Facts!$I$2:$I$4801,MATCH(H151,PO_Facts!$A$2:$A$4801,0))&lt;=B151,"yes","FALLBACK: no earlier batch")</f>
        <v/>
      </c>
    </row>
    <row r="152">
      <c r="A152" s="12" t="inlineStr">
        <is>
          <t>RET-0246</t>
        </is>
      </c>
      <c r="B152" s="26" t="n">
        <v>44246</v>
      </c>
      <c r="C152" s="12" t="inlineStr">
        <is>
          <t>Client-040</t>
        </is>
      </c>
      <c r="D152" s="12" t="inlineStr">
        <is>
          <t>Hex Bars</t>
        </is>
      </c>
      <c r="E152" s="12" t="n">
        <v>4.31</v>
      </c>
      <c r="F152" s="12" t="inlineStr">
        <is>
          <t>Surface rust</t>
        </is>
      </c>
      <c r="G152" s="12" t="inlineStr">
        <is>
          <t>VS21</t>
        </is>
      </c>
      <c r="H152" s="12" t="inlineStr">
        <is>
          <t>PO-2022-2800</t>
        </is>
      </c>
      <c r="I152" s="12" t="n">
        <v>1.02</v>
      </c>
      <c r="J152" s="17" t="n">
        <v>93266.21000000001</v>
      </c>
      <c r="K152" s="14">
        <f>I152*J152</f>
        <v/>
      </c>
      <c r="L152" s="23">
        <f>IF(INDEX(PO_Facts!$I$2:$I$4801,MATCH(H152,PO_Facts!$A$2:$A$4801,0))&lt;=B152,"yes","FALLBACK: no earlier batch")</f>
        <v/>
      </c>
    </row>
    <row r="153">
      <c r="A153" s="12" t="inlineStr">
        <is>
          <t>RET-0247</t>
        </is>
      </c>
      <c r="B153" s="26" t="n">
        <v>44435</v>
      </c>
      <c r="C153" s="12" t="inlineStr">
        <is>
          <t>Client-063</t>
        </is>
      </c>
      <c r="D153" s="12" t="inlineStr">
        <is>
          <t>Fasteners &amp; Fittings</t>
        </is>
      </c>
      <c r="E153" s="12" t="n">
        <v>4.26</v>
      </c>
      <c r="F153" s="12" t="inlineStr">
        <is>
          <t>Edge damage</t>
        </is>
      </c>
      <c r="G153" s="12" t="inlineStr">
        <is>
          <t>VS01</t>
        </is>
      </c>
      <c r="H153" s="12" t="inlineStr">
        <is>
          <t>PO-2021-1443</t>
        </is>
      </c>
      <c r="I153" s="12" t="n">
        <v>4.26</v>
      </c>
      <c r="J153" s="17" t="n">
        <v>75135.63</v>
      </c>
      <c r="K153" s="14">
        <f>I153*J153</f>
        <v/>
      </c>
      <c r="L153" s="23">
        <f>IF(INDEX(PO_Facts!$I$2:$I$4801,MATCH(H153,PO_Facts!$A$2:$A$4801,0))&lt;=B153,"yes","FALLBACK: no earlier batch")</f>
        <v/>
      </c>
    </row>
    <row r="154">
      <c r="A154" s="12" t="inlineStr">
        <is>
          <t>RET-0248</t>
        </is>
      </c>
      <c r="B154" s="26" t="n">
        <v>44650</v>
      </c>
      <c r="C154" s="12" t="inlineStr">
        <is>
          <t>Client-038</t>
        </is>
      </c>
      <c r="D154" s="12" t="inlineStr">
        <is>
          <t>SS Pipes</t>
        </is>
      </c>
      <c r="E154" s="12" t="n">
        <v>0.26</v>
      </c>
      <c r="F154" s="12" t="inlineStr">
        <is>
          <t>Edge damage</t>
        </is>
      </c>
      <c r="G154" s="12" t="inlineStr">
        <is>
          <t>VS19</t>
        </is>
      </c>
      <c r="H154" s="12" t="inlineStr">
        <is>
          <t>PO-2021-1219</t>
        </is>
      </c>
      <c r="I154" s="12" t="n">
        <v>0.26</v>
      </c>
      <c r="J154" s="17" t="n">
        <v>56869.53</v>
      </c>
      <c r="K154" s="14">
        <f>I154*J154</f>
        <v/>
      </c>
      <c r="L154" s="23">
        <f>IF(INDEX(PO_Facts!$I$2:$I$4801,MATCH(H154,PO_Facts!$A$2:$A$4801,0))&lt;=B154,"yes","FALLBACK: no earlier batch")</f>
        <v/>
      </c>
    </row>
    <row r="155">
      <c r="A155" s="12" t="inlineStr">
        <is>
          <t>RET-0249</t>
        </is>
      </c>
      <c r="B155" s="26" t="n">
        <v>44978</v>
      </c>
      <c r="C155" s="12" t="inlineStr">
        <is>
          <t>Client-008</t>
        </is>
      </c>
      <c r="D155" s="12" t="inlineStr">
        <is>
          <t>SS Sheets</t>
        </is>
      </c>
      <c r="E155" s="12" t="n">
        <v>4.45</v>
      </c>
      <c r="F155" s="12" t="inlineStr">
        <is>
          <t>Bend/warp</t>
        </is>
      </c>
      <c r="G155" s="12" t="inlineStr">
        <is>
          <t>VS03</t>
        </is>
      </c>
      <c r="H155" s="12" t="inlineStr">
        <is>
          <t>PO-2023-3846</t>
        </is>
      </c>
      <c r="I155" s="12" t="n">
        <v>4.45</v>
      </c>
      <c r="J155" s="17" t="n">
        <v>90793.78999999999</v>
      </c>
      <c r="K155" s="14">
        <f>I155*J155</f>
        <v/>
      </c>
      <c r="L155" s="23">
        <f>IF(INDEX(PO_Facts!$I$2:$I$4801,MATCH(H155,PO_Facts!$A$2:$A$4801,0))&lt;=B155,"yes","FALLBACK: no earlier batch")</f>
        <v/>
      </c>
    </row>
    <row r="156">
      <c r="A156" s="12" t="inlineStr">
        <is>
          <t>RET-0252</t>
        </is>
      </c>
      <c r="B156" s="26" t="n">
        <v>44917</v>
      </c>
      <c r="C156" s="12" t="inlineStr">
        <is>
          <t>Client-036</t>
        </is>
      </c>
      <c r="D156" s="12" t="inlineStr">
        <is>
          <t>MS Flats</t>
        </is>
      </c>
      <c r="E156" s="12" t="n">
        <v>0.67</v>
      </c>
      <c r="F156" s="12" t="inlineStr">
        <is>
          <t>Grade mismatch</t>
        </is>
      </c>
      <c r="G156" s="12" t="inlineStr">
        <is>
          <t>VS19</t>
        </is>
      </c>
      <c r="H156" s="12" t="inlineStr">
        <is>
          <t>PO-2023-3413</t>
        </is>
      </c>
      <c r="I156" s="12" t="n">
        <v>0.67</v>
      </c>
      <c r="J156" s="17" t="n">
        <v>64181.31</v>
      </c>
      <c r="K156" s="14">
        <f>I156*J156</f>
        <v/>
      </c>
      <c r="L156" s="23">
        <f>IF(INDEX(PO_Facts!$I$2:$I$4801,MATCH(H156,PO_Facts!$A$2:$A$4801,0))&lt;=B156,"yes","FALLBACK: no earlier batch")</f>
        <v/>
      </c>
    </row>
    <row r="157">
      <c r="A157" s="12" t="inlineStr">
        <is>
          <t>RET-0253</t>
        </is>
      </c>
      <c r="B157" s="26" t="n">
        <v>44285</v>
      </c>
      <c r="C157" s="12" t="inlineStr">
        <is>
          <t>Client-052</t>
        </is>
      </c>
      <c r="D157" s="12" t="inlineStr">
        <is>
          <t>GI Wire</t>
        </is>
      </c>
      <c r="E157" s="12" t="n">
        <v>4.41</v>
      </c>
      <c r="F157" s="12" t="inlineStr">
        <is>
          <t>Edge damage</t>
        </is>
      </c>
      <c r="G157" s="12" t="inlineStr">
        <is>
          <t>VS08</t>
        </is>
      </c>
      <c r="H157" s="12" t="inlineStr">
        <is>
          <t>PO-2021-1072</t>
        </is>
      </c>
      <c r="I157" s="12" t="n">
        <v>4.41</v>
      </c>
      <c r="J157" s="17" t="n">
        <v>50730.02</v>
      </c>
      <c r="K157" s="14">
        <f>I157*J157</f>
        <v/>
      </c>
      <c r="L157" s="23">
        <f>IF(INDEX(PO_Facts!$I$2:$I$4801,MATCH(H157,PO_Facts!$A$2:$A$4801,0))&lt;=B157,"yes","FALLBACK: no earlier batch")</f>
        <v/>
      </c>
    </row>
    <row r="158">
      <c r="A158" s="12" t="inlineStr">
        <is>
          <t>RET-0264</t>
        </is>
      </c>
      <c r="B158" s="26" t="n">
        <v>45127</v>
      </c>
      <c r="C158" s="12" t="inlineStr">
        <is>
          <t>Client-023</t>
        </is>
      </c>
      <c r="D158" s="12" t="inlineStr">
        <is>
          <t>MS Pipes</t>
        </is>
      </c>
      <c r="E158" s="12" t="n">
        <v>1.78</v>
      </c>
      <c r="F158" s="12" t="inlineStr">
        <is>
          <t>Bend/warp</t>
        </is>
      </c>
      <c r="G158" s="12" t="inlineStr">
        <is>
          <t>VS31</t>
        </is>
      </c>
      <c r="H158" s="12" t="inlineStr">
        <is>
          <t>PO-2022-2534</t>
        </is>
      </c>
      <c r="I158" s="12" t="n">
        <v>1.78</v>
      </c>
      <c r="J158" s="17" t="n">
        <v>72778.50999999999</v>
      </c>
      <c r="K158" s="14">
        <f>I158*J158</f>
        <v/>
      </c>
      <c r="L158" s="23">
        <f>IF(INDEX(PO_Facts!$I$2:$I$4801,MATCH(H158,PO_Facts!$A$2:$A$4801,0))&lt;=B158,"yes","FALLBACK: no earlier batch")</f>
        <v/>
      </c>
    </row>
    <row r="159">
      <c r="A159" s="12" t="inlineStr">
        <is>
          <t>RET-0267</t>
        </is>
      </c>
      <c r="B159" s="26" t="n">
        <v>44710</v>
      </c>
      <c r="C159" s="12" t="inlineStr">
        <is>
          <t>Client-048</t>
        </is>
      </c>
      <c r="D159" s="12" t="inlineStr">
        <is>
          <t>MS Rods</t>
        </is>
      </c>
      <c r="E159" s="12" t="n">
        <v>4.98</v>
      </c>
      <c r="F159" s="12" t="inlineStr">
        <is>
          <t>Grade mismatch</t>
        </is>
      </c>
      <c r="G159" s="12" t="inlineStr">
        <is>
          <t>VS12</t>
        </is>
      </c>
      <c r="H159" s="12" t="inlineStr">
        <is>
          <t>PO-2021-1057</t>
        </is>
      </c>
      <c r="I159" s="12" t="n">
        <v>4.98</v>
      </c>
      <c r="J159" s="17" t="n">
        <v>85065.67999999999</v>
      </c>
      <c r="K159" s="14">
        <f>I159*J159</f>
        <v/>
      </c>
      <c r="L159" s="23">
        <f>IF(INDEX(PO_Facts!$I$2:$I$4801,MATCH(H159,PO_Facts!$A$2:$A$4801,0))&lt;=B159,"yes","FALLBACK: no earlier batch")</f>
        <v/>
      </c>
    </row>
    <row r="160">
      <c r="A160" s="12" t="inlineStr">
        <is>
          <t>RET-0268</t>
        </is>
      </c>
      <c r="B160" s="26" t="n">
        <v>44640</v>
      </c>
      <c r="C160" s="12" t="inlineStr">
        <is>
          <t>Client-034</t>
        </is>
      </c>
      <c r="D160" s="12" t="inlineStr">
        <is>
          <t>Square/Rect Tubes</t>
        </is>
      </c>
      <c r="E160" s="12" t="n">
        <v>4.36</v>
      </c>
      <c r="F160" s="12" t="inlineStr">
        <is>
          <t>Bend/warp</t>
        </is>
      </c>
      <c r="G160" s="12" t="inlineStr">
        <is>
          <t>VS09</t>
        </is>
      </c>
      <c r="H160" s="12" t="inlineStr">
        <is>
          <t>PO-2023-4074</t>
        </is>
      </c>
      <c r="I160" s="12" t="n">
        <v>4.36</v>
      </c>
      <c r="J160" s="17" t="n">
        <v>118413.63</v>
      </c>
      <c r="K160" s="14">
        <f>I160*J160</f>
        <v/>
      </c>
      <c r="L160" s="23">
        <f>IF(INDEX(PO_Facts!$I$2:$I$4801,MATCH(H160,PO_Facts!$A$2:$A$4801,0))&lt;=B160,"yes","FALLBACK: no earlier batch")</f>
        <v/>
      </c>
    </row>
    <row r="161">
      <c r="A161" s="12" t="inlineStr">
        <is>
          <t>RET-0269</t>
        </is>
      </c>
      <c r="B161" s="26" t="n">
        <v>45185</v>
      </c>
      <c r="C161" s="12" t="inlineStr">
        <is>
          <t>Client-040</t>
        </is>
      </c>
      <c r="D161" s="12" t="inlineStr">
        <is>
          <t>SS Pipes</t>
        </is>
      </c>
      <c r="E161" s="12" t="n">
        <v>1.71</v>
      </c>
      <c r="F161" s="12" t="inlineStr">
        <is>
          <t>Bend/warp</t>
        </is>
      </c>
      <c r="G161" s="12" t="inlineStr">
        <is>
          <t>VS31</t>
        </is>
      </c>
      <c r="H161" s="12" t="inlineStr">
        <is>
          <t>PO-2022-2969</t>
        </is>
      </c>
      <c r="I161" s="12" t="n">
        <v>1.71</v>
      </c>
      <c r="J161" s="17" t="n">
        <v>54508.3</v>
      </c>
      <c r="K161" s="14">
        <f>I161*J161</f>
        <v/>
      </c>
      <c r="L161" s="23">
        <f>IF(INDEX(PO_Facts!$I$2:$I$4801,MATCH(H161,PO_Facts!$A$2:$A$4801,0))&lt;=B161,"yes","FALLBACK: no earlier batch")</f>
        <v/>
      </c>
    </row>
    <row r="162">
      <c r="A162" s="12" t="inlineStr">
        <is>
          <t>RET-0271</t>
        </is>
      </c>
      <c r="B162" s="26" t="n">
        <v>44561</v>
      </c>
      <c r="C162" s="12" t="inlineStr">
        <is>
          <t>Client-038</t>
        </is>
      </c>
      <c r="D162" s="12" t="inlineStr">
        <is>
          <t>Spring Steel</t>
        </is>
      </c>
      <c r="E162" s="12" t="n">
        <v>1.1</v>
      </c>
      <c r="F162" s="12" t="inlineStr">
        <is>
          <t>Edge damage</t>
        </is>
      </c>
      <c r="G162" s="12" t="inlineStr">
        <is>
          <t>VS18</t>
        </is>
      </c>
      <c r="H162" s="12" t="inlineStr">
        <is>
          <t>PO-2021-1377</t>
        </is>
      </c>
      <c r="I162" s="12" t="n">
        <v>1.1</v>
      </c>
      <c r="J162" s="17" t="n">
        <v>113722.23</v>
      </c>
      <c r="K162" s="14">
        <f>I162*J162</f>
        <v/>
      </c>
      <c r="L162" s="23">
        <f>IF(INDEX(PO_Facts!$I$2:$I$4801,MATCH(H162,PO_Facts!$A$2:$A$4801,0))&lt;=B162,"yes","FALLBACK: no earlier batch")</f>
        <v/>
      </c>
    </row>
    <row r="163">
      <c r="A163" s="12" t="inlineStr">
        <is>
          <t>RET-0272</t>
        </is>
      </c>
      <c r="B163" s="26" t="n">
        <v>44999</v>
      </c>
      <c r="C163" s="12" t="inlineStr">
        <is>
          <t>Client-015</t>
        </is>
      </c>
      <c r="D163" s="12" t="inlineStr">
        <is>
          <t>Fasteners &amp; Fittings</t>
        </is>
      </c>
      <c r="E163" s="12" t="n">
        <v>1.25</v>
      </c>
      <c r="F163" s="12" t="inlineStr">
        <is>
          <t>Bend/warp</t>
        </is>
      </c>
      <c r="G163" s="12" t="inlineStr">
        <is>
          <t>VS12</t>
        </is>
      </c>
      <c r="H163" s="12" t="inlineStr">
        <is>
          <t>PO-2022-2231</t>
        </is>
      </c>
      <c r="I163" s="12" t="n">
        <v>1.25</v>
      </c>
      <c r="J163" s="17" t="n">
        <v>115414.41</v>
      </c>
      <c r="K163" s="14">
        <f>I163*J163</f>
        <v/>
      </c>
      <c r="L163" s="23">
        <f>IF(INDEX(PO_Facts!$I$2:$I$4801,MATCH(H163,PO_Facts!$A$2:$A$4801,0))&lt;=B163,"yes","FALLBACK: no earlier batch")</f>
        <v/>
      </c>
    </row>
    <row r="164">
      <c r="A164" s="12" t="inlineStr">
        <is>
          <t>RET-0273</t>
        </is>
      </c>
      <c r="B164" s="26" t="n">
        <v>44779</v>
      </c>
      <c r="C164" s="12" t="inlineStr">
        <is>
          <t>Client-077</t>
        </is>
      </c>
      <c r="D164" s="12" t="inlineStr">
        <is>
          <t>Spring Steel</t>
        </is>
      </c>
      <c r="E164" s="12" t="n">
        <v>4.95</v>
      </c>
      <c r="F164" s="12" t="inlineStr">
        <is>
          <t>Bend/warp</t>
        </is>
      </c>
      <c r="G164" s="12" t="inlineStr">
        <is>
          <t>VS33</t>
        </is>
      </c>
      <c r="H164" s="12" t="inlineStr">
        <is>
          <t>PO-2021-0808</t>
        </is>
      </c>
      <c r="I164" s="12" t="n">
        <v>4.95</v>
      </c>
      <c r="J164" s="17" t="n">
        <v>87870.89</v>
      </c>
      <c r="K164" s="14">
        <f>I164*J164</f>
        <v/>
      </c>
      <c r="L164" s="23">
        <f>IF(INDEX(PO_Facts!$I$2:$I$4801,MATCH(H164,PO_Facts!$A$2:$A$4801,0))&lt;=B164,"yes","FALLBACK: no earlier batch")</f>
        <v/>
      </c>
    </row>
    <row r="165">
      <c r="A165" s="12" t="inlineStr">
        <is>
          <t>RET-0274</t>
        </is>
      </c>
      <c r="B165" s="26" t="n">
        <v>44243</v>
      </c>
      <c r="C165" s="12" t="inlineStr">
        <is>
          <t>Client-054</t>
        </is>
      </c>
      <c r="D165" s="12" t="inlineStr">
        <is>
          <t>Hex Bars</t>
        </is>
      </c>
      <c r="E165" s="12" t="n">
        <v>1.24</v>
      </c>
      <c r="F165" s="12" t="inlineStr">
        <is>
          <t>Surface rust</t>
        </is>
      </c>
      <c r="G165" s="12" t="inlineStr">
        <is>
          <t>VS34</t>
        </is>
      </c>
      <c r="H165" s="12" t="inlineStr">
        <is>
          <t>PO-2022-1874</t>
        </is>
      </c>
      <c r="I165" s="12" t="n">
        <v>1.24</v>
      </c>
      <c r="J165" s="17" t="n">
        <v>77001.71000000001</v>
      </c>
      <c r="K165" s="14">
        <f>I165*J165</f>
        <v/>
      </c>
      <c r="L165" s="23">
        <f>IF(INDEX(PO_Facts!$I$2:$I$4801,MATCH(H165,PO_Facts!$A$2:$A$4801,0))&lt;=B165,"yes","FALLBACK: no earlier batch")</f>
        <v/>
      </c>
    </row>
    <row r="166">
      <c r="A166" s="12" t="inlineStr">
        <is>
          <t>RET-0275</t>
        </is>
      </c>
      <c r="B166" s="26" t="n">
        <v>44835</v>
      </c>
      <c r="C166" s="12" t="inlineStr">
        <is>
          <t>Client-041</t>
        </is>
      </c>
      <c r="D166" s="12" t="inlineStr">
        <is>
          <t>ERW Pipes</t>
        </is>
      </c>
      <c r="E166" s="12" t="n">
        <v>2.96</v>
      </c>
      <c r="F166" s="12" t="inlineStr">
        <is>
          <t>Edge damage</t>
        </is>
      </c>
      <c r="G166" s="12" t="inlineStr">
        <is>
          <t>VS16</t>
        </is>
      </c>
      <c r="H166" s="12" t="inlineStr">
        <is>
          <t>PO-2021-1309</t>
        </is>
      </c>
      <c r="I166" s="12" t="n">
        <v>2.96</v>
      </c>
      <c r="J166" s="17" t="n">
        <v>116910.2</v>
      </c>
      <c r="K166" s="14">
        <f>I166*J166</f>
        <v/>
      </c>
      <c r="L166" s="23">
        <f>IF(INDEX(PO_Facts!$I$2:$I$4801,MATCH(H166,PO_Facts!$A$2:$A$4801,0))&lt;=B166,"yes","FALLBACK: no earlier batch")</f>
        <v/>
      </c>
    </row>
    <row r="167">
      <c r="A167" s="12" t="inlineStr">
        <is>
          <t>RET-0276</t>
        </is>
      </c>
      <c r="B167" s="26" t="n">
        <v>44811</v>
      </c>
      <c r="C167" s="12" t="inlineStr">
        <is>
          <t>Client-033</t>
        </is>
      </c>
      <c r="D167" s="12" t="inlineStr">
        <is>
          <t>GI Pipes</t>
        </is>
      </c>
      <c r="E167" s="12" t="n">
        <v>2.39</v>
      </c>
      <c r="F167" s="12" t="inlineStr">
        <is>
          <t>Wrong dimensions</t>
        </is>
      </c>
      <c r="G167" s="12" t="inlineStr">
        <is>
          <t>VS19</t>
        </is>
      </c>
      <c r="H167" s="12" t="inlineStr">
        <is>
          <t>PO-2023-3306</t>
        </is>
      </c>
      <c r="I167" s="12" t="n">
        <v>2.39</v>
      </c>
      <c r="J167" s="17" t="n">
        <v>51362.2</v>
      </c>
      <c r="K167" s="14">
        <f>I167*J167</f>
        <v/>
      </c>
      <c r="L167" s="23">
        <f>IF(INDEX(PO_Facts!$I$2:$I$4801,MATCH(H167,PO_Facts!$A$2:$A$4801,0))&lt;=B167,"yes","FALLBACK: no earlier batch")</f>
        <v/>
      </c>
    </row>
    <row r="168">
      <c r="A168" s="12" t="inlineStr">
        <is>
          <t>RET-0277</t>
        </is>
      </c>
      <c r="B168" s="26" t="n">
        <v>45154</v>
      </c>
      <c r="C168" s="12" t="inlineStr">
        <is>
          <t>Client-043</t>
        </is>
      </c>
      <c r="D168" s="12" t="inlineStr">
        <is>
          <t>Square/Rect Tubes</t>
        </is>
      </c>
      <c r="E168" s="12" t="n">
        <v>3.66</v>
      </c>
      <c r="F168" s="12" t="inlineStr">
        <is>
          <t>Bend/warp</t>
        </is>
      </c>
      <c r="G168" s="12" t="inlineStr">
        <is>
          <t>VS12</t>
        </is>
      </c>
      <c r="H168" s="12" t="inlineStr">
        <is>
          <t>PO-2022-1936</t>
        </is>
      </c>
      <c r="I168" s="12" t="n">
        <v>3.66</v>
      </c>
      <c r="J168" s="17" t="n">
        <v>124278.2</v>
      </c>
      <c r="K168" s="14">
        <f>I168*J168</f>
        <v/>
      </c>
      <c r="L168" s="23">
        <f>IF(INDEX(PO_Facts!$I$2:$I$4801,MATCH(H168,PO_Facts!$A$2:$A$4801,0))&lt;=B168,"yes","FALLBACK: no earlier batch")</f>
        <v/>
      </c>
    </row>
    <row r="169">
      <c r="A169" s="12" t="inlineStr">
        <is>
          <t>RET-0278</t>
        </is>
      </c>
      <c r="B169" s="26" t="n">
        <v>44357</v>
      </c>
      <c r="C169" s="12" t="inlineStr">
        <is>
          <t>Client-058</t>
        </is>
      </c>
      <c r="D169" s="12" t="inlineStr">
        <is>
          <t>GI Pipes</t>
        </is>
      </c>
      <c r="E169" s="12" t="n">
        <v>4.15</v>
      </c>
      <c r="F169" s="12" t="inlineStr">
        <is>
          <t>Wrong dimensions</t>
        </is>
      </c>
      <c r="G169" s="12" t="inlineStr">
        <is>
          <t>VS17</t>
        </is>
      </c>
      <c r="H169" s="12" t="inlineStr">
        <is>
          <t>PO-2023-4622</t>
        </is>
      </c>
      <c r="I169" s="12" t="n">
        <v>4.15</v>
      </c>
      <c r="J169" s="17" t="n">
        <v>61221.11</v>
      </c>
      <c r="K169" s="14">
        <f>I169*J169</f>
        <v/>
      </c>
      <c r="L169" s="23">
        <f>IF(INDEX(PO_Facts!$I$2:$I$4801,MATCH(H169,PO_Facts!$A$2:$A$4801,0))&lt;=B169,"yes","FALLBACK: no earlier batch")</f>
        <v/>
      </c>
    </row>
    <row r="170">
      <c r="A170" s="12" t="inlineStr">
        <is>
          <t>RET-0279</t>
        </is>
      </c>
      <c r="B170" s="26" t="n">
        <v>44794</v>
      </c>
      <c r="C170" s="12" t="inlineStr">
        <is>
          <t>Client-078</t>
        </is>
      </c>
      <c r="D170" s="12" t="inlineStr">
        <is>
          <t>GI Pipes</t>
        </is>
      </c>
      <c r="E170" s="12" t="n">
        <v>1.3</v>
      </c>
      <c r="F170" s="12" t="inlineStr">
        <is>
          <t>Surface rust</t>
        </is>
      </c>
      <c r="G170" s="12" t="inlineStr">
        <is>
          <t>VS03</t>
        </is>
      </c>
      <c r="H170" s="12" t="inlineStr">
        <is>
          <t>PO-2023-4516</t>
        </is>
      </c>
      <c r="I170" s="12" t="n">
        <v>1.3</v>
      </c>
      <c r="J170" s="17" t="n">
        <v>93760</v>
      </c>
      <c r="K170" s="14">
        <f>I170*J170</f>
        <v/>
      </c>
      <c r="L170" s="23">
        <f>IF(INDEX(PO_Facts!$I$2:$I$4801,MATCH(H170,PO_Facts!$A$2:$A$4801,0))&lt;=B170,"yes","FALLBACK: no earlier batch")</f>
        <v/>
      </c>
    </row>
    <row r="171">
      <c r="A171" s="12" t="inlineStr">
        <is>
          <t>RET-0281</t>
        </is>
      </c>
      <c r="B171" s="26" t="n">
        <v>45074</v>
      </c>
      <c r="C171" s="12" t="inlineStr">
        <is>
          <t>Client-002</t>
        </is>
      </c>
      <c r="D171" s="12" t="inlineStr">
        <is>
          <t>Hex Bars</t>
        </is>
      </c>
      <c r="E171" s="12" t="n">
        <v>2.84</v>
      </c>
      <c r="F171" s="12" t="inlineStr">
        <is>
          <t>Edge damage</t>
        </is>
      </c>
      <c r="G171" s="12" t="inlineStr">
        <is>
          <t>VS08</t>
        </is>
      </c>
      <c r="H171" s="12" t="inlineStr">
        <is>
          <t>PO-2022-2668</t>
        </is>
      </c>
      <c r="I171" s="12" t="n">
        <v>2.84</v>
      </c>
      <c r="J171" s="17" t="n">
        <v>101439.7</v>
      </c>
      <c r="K171" s="14">
        <f>I171*J171</f>
        <v/>
      </c>
      <c r="L171" s="23">
        <f>IF(INDEX(PO_Facts!$I$2:$I$4801,MATCH(H171,PO_Facts!$A$2:$A$4801,0))&lt;=B171,"yes","FALLBACK: no earlier batch")</f>
        <v/>
      </c>
    </row>
    <row r="172">
      <c r="A172" s="12" t="inlineStr">
        <is>
          <t>RET-0283</t>
        </is>
      </c>
      <c r="B172" s="26" t="n">
        <v>44668</v>
      </c>
      <c r="C172" s="12" t="inlineStr">
        <is>
          <t>Client-057</t>
        </is>
      </c>
      <c r="D172" s="12" t="inlineStr">
        <is>
          <t>MS Sheets</t>
        </is>
      </c>
      <c r="E172" s="12" t="n">
        <v>4.2</v>
      </c>
      <c r="F172" s="12" t="inlineStr">
        <is>
          <t>Bend/warp</t>
        </is>
      </c>
      <c r="G172" s="12" t="inlineStr">
        <is>
          <t>VS26</t>
        </is>
      </c>
      <c r="H172" s="12" t="inlineStr">
        <is>
          <t>PO-2022-2917</t>
        </is>
      </c>
      <c r="I172" s="12" t="n">
        <v>4.2</v>
      </c>
      <c r="J172" s="17" t="n">
        <v>113959.22</v>
      </c>
      <c r="K172" s="14">
        <f>I172*J172</f>
        <v/>
      </c>
      <c r="L172" s="23">
        <f>IF(INDEX(PO_Facts!$I$2:$I$4801,MATCH(H172,PO_Facts!$A$2:$A$4801,0))&lt;=B172,"yes","FALLBACK: no earlier batch")</f>
        <v/>
      </c>
    </row>
    <row r="173">
      <c r="A173" s="12" t="inlineStr">
        <is>
          <t>RET-0284</t>
        </is>
      </c>
      <c r="B173" s="26" t="n">
        <v>44850</v>
      </c>
      <c r="C173" s="12" t="inlineStr">
        <is>
          <t>Client-061</t>
        </is>
      </c>
      <c r="D173" s="12" t="inlineStr">
        <is>
          <t>MS Rods</t>
        </is>
      </c>
      <c r="E173" s="12" t="n">
        <v>3.91</v>
      </c>
      <c r="F173" s="12" t="inlineStr">
        <is>
          <t>Surface rust</t>
        </is>
      </c>
      <c r="G173" s="12" t="inlineStr">
        <is>
          <t>VS06</t>
        </is>
      </c>
      <c r="H173" s="12" t="inlineStr">
        <is>
          <t>PO-2023-4058</t>
        </is>
      </c>
      <c r="I173" s="12" t="n">
        <v>3.91</v>
      </c>
      <c r="J173" s="17" t="n">
        <v>100229.1</v>
      </c>
      <c r="K173" s="14">
        <f>I173*J173</f>
        <v/>
      </c>
      <c r="L173" s="23">
        <f>IF(INDEX(PO_Facts!$I$2:$I$4801,MATCH(H173,PO_Facts!$A$2:$A$4801,0))&lt;=B173,"yes","FALLBACK: no earlier batch")</f>
        <v/>
      </c>
    </row>
    <row r="174">
      <c r="A174" s="12" t="inlineStr">
        <is>
          <t>RET-0285</t>
        </is>
      </c>
      <c r="B174" s="26" t="n">
        <v>44598</v>
      </c>
      <c r="C174" s="12" t="inlineStr">
        <is>
          <t>Client-067</t>
        </is>
      </c>
      <c r="D174" s="12" t="inlineStr">
        <is>
          <t>GI Wire</t>
        </is>
      </c>
      <c r="E174" s="12" t="n">
        <v>2.11</v>
      </c>
      <c r="F174" s="12" t="inlineStr">
        <is>
          <t>Bend/warp</t>
        </is>
      </c>
      <c r="G174" s="12" t="inlineStr">
        <is>
          <t>VS12</t>
        </is>
      </c>
      <c r="H174" s="12" t="inlineStr">
        <is>
          <t>PO-2022-2649</t>
        </is>
      </c>
      <c r="I174" s="12" t="n">
        <v>2.11</v>
      </c>
      <c r="J174" s="17" t="n">
        <v>106424.57</v>
      </c>
      <c r="K174" s="14">
        <f>I174*J174</f>
        <v/>
      </c>
      <c r="L174" s="23">
        <f>IF(INDEX(PO_Facts!$I$2:$I$4801,MATCH(H174,PO_Facts!$A$2:$A$4801,0))&lt;=B174,"yes","FALLBACK: no earlier batch")</f>
        <v/>
      </c>
    </row>
    <row r="175">
      <c r="A175" s="12" t="inlineStr">
        <is>
          <t>RET-0287</t>
        </is>
      </c>
      <c r="B175" s="26" t="n">
        <v>45066</v>
      </c>
      <c r="C175" s="12" t="inlineStr">
        <is>
          <t>Client-066</t>
        </is>
      </c>
      <c r="D175" s="12" t="inlineStr">
        <is>
          <t>Square/Rect Tubes</t>
        </is>
      </c>
      <c r="E175" s="12" t="n">
        <v>2.16</v>
      </c>
      <c r="F175" s="12" t="inlineStr">
        <is>
          <t>Surface rust</t>
        </is>
      </c>
      <c r="G175" s="12" t="inlineStr">
        <is>
          <t>VS19</t>
        </is>
      </c>
      <c r="H175" s="12" t="inlineStr">
        <is>
          <t>PO-2021-1188</t>
        </is>
      </c>
      <c r="I175" s="12" t="n">
        <v>2.16</v>
      </c>
      <c r="J175" s="17" t="n">
        <v>85085.92</v>
      </c>
      <c r="K175" s="14">
        <f>I175*J175</f>
        <v/>
      </c>
      <c r="L175" s="23">
        <f>IF(INDEX(PO_Facts!$I$2:$I$4801,MATCH(H175,PO_Facts!$A$2:$A$4801,0))&lt;=B175,"yes","FALLBACK: no earlier batch")</f>
        <v/>
      </c>
    </row>
    <row r="176">
      <c r="A176" s="12" t="inlineStr">
        <is>
          <t>RET-0288</t>
        </is>
      </c>
      <c r="B176" s="26" t="n">
        <v>45051</v>
      </c>
      <c r="C176" s="12" t="inlineStr">
        <is>
          <t>Client-072</t>
        </is>
      </c>
      <c r="D176" s="12" t="inlineStr">
        <is>
          <t>MS Rods</t>
        </is>
      </c>
      <c r="E176" s="12" t="n">
        <v>2.48</v>
      </c>
      <c r="F176" s="12" t="inlineStr">
        <is>
          <t>Surface rust</t>
        </is>
      </c>
      <c r="G176" s="12" t="inlineStr">
        <is>
          <t>VS12</t>
        </is>
      </c>
      <c r="H176" s="12" t="inlineStr">
        <is>
          <t>PO-2021-0848</t>
        </is>
      </c>
      <c r="I176" s="12" t="n">
        <v>2.48</v>
      </c>
      <c r="J176" s="17" t="n">
        <v>57525.99</v>
      </c>
      <c r="K176" s="14">
        <f>I176*J176</f>
        <v/>
      </c>
      <c r="L176" s="23">
        <f>IF(INDEX(PO_Facts!$I$2:$I$4801,MATCH(H176,PO_Facts!$A$2:$A$4801,0))&lt;=B176,"yes","FALLBACK: no earlier batch")</f>
        <v/>
      </c>
    </row>
    <row r="177">
      <c r="A177" s="12" t="inlineStr">
        <is>
          <t>RET-0290</t>
        </is>
      </c>
      <c r="B177" s="26" t="n">
        <v>44438</v>
      </c>
      <c r="C177" s="12" t="inlineStr">
        <is>
          <t>Client-048</t>
        </is>
      </c>
      <c r="D177" s="12" t="inlineStr">
        <is>
          <t>Square/Rect Tubes</t>
        </is>
      </c>
      <c r="E177" s="12" t="n">
        <v>0.93</v>
      </c>
      <c r="F177" s="12" t="inlineStr">
        <is>
          <t>Grade mismatch</t>
        </is>
      </c>
      <c r="G177" s="12" t="inlineStr">
        <is>
          <t>VS12</t>
        </is>
      </c>
      <c r="H177" s="12" t="inlineStr">
        <is>
          <t>PO-2023-4238</t>
        </is>
      </c>
      <c r="I177" s="12" t="n">
        <v>0.1899999999999999</v>
      </c>
      <c r="J177" s="17" t="n">
        <v>54227.13</v>
      </c>
      <c r="K177" s="14">
        <f>I177*J177</f>
        <v/>
      </c>
      <c r="L177" s="23">
        <f>IF(INDEX(PO_Facts!$I$2:$I$4801,MATCH(H177,PO_Facts!$A$2:$A$4801,0))&lt;=B177,"yes","FALLBACK: no earlier batch")</f>
        <v/>
      </c>
    </row>
    <row r="178">
      <c r="A178" s="12" t="inlineStr">
        <is>
          <t>RET-0291</t>
        </is>
      </c>
      <c r="B178" s="26" t="n">
        <v>44383</v>
      </c>
      <c r="C178" s="12" t="inlineStr">
        <is>
          <t>Client-032</t>
        </is>
      </c>
      <c r="D178" s="12" t="inlineStr">
        <is>
          <t>MS Sheets</t>
        </is>
      </c>
      <c r="E178" s="12" t="n">
        <v>4.6</v>
      </c>
      <c r="F178" s="12" t="inlineStr">
        <is>
          <t>Wrong dimensions</t>
        </is>
      </c>
      <c r="G178" s="12" t="inlineStr">
        <is>
          <t>VS16</t>
        </is>
      </c>
      <c r="H178" s="12" t="inlineStr">
        <is>
          <t>PO-2023-3870</t>
        </is>
      </c>
      <c r="I178" s="12" t="n">
        <v>4.6</v>
      </c>
      <c r="J178" s="17" t="n">
        <v>89481.71000000001</v>
      </c>
      <c r="K178" s="14">
        <f>I178*J178</f>
        <v/>
      </c>
      <c r="L178" s="23">
        <f>IF(INDEX(PO_Facts!$I$2:$I$4801,MATCH(H178,PO_Facts!$A$2:$A$4801,0))&lt;=B178,"yes","FALLBACK: no earlier batch")</f>
        <v/>
      </c>
    </row>
    <row r="179">
      <c r="A179" s="12" t="inlineStr">
        <is>
          <t>RET-0293</t>
        </is>
      </c>
      <c r="B179" s="26" t="n">
        <v>44953</v>
      </c>
      <c r="C179" s="12" t="inlineStr">
        <is>
          <t>Client-076</t>
        </is>
      </c>
      <c r="D179" s="12" t="inlineStr">
        <is>
          <t>MS Rods</t>
        </is>
      </c>
      <c r="E179" s="12" t="n">
        <v>0.29</v>
      </c>
      <c r="F179" s="12" t="inlineStr">
        <is>
          <t>Surface rust</t>
        </is>
      </c>
      <c r="G179" s="12" t="inlineStr">
        <is>
          <t>VS27</t>
        </is>
      </c>
      <c r="H179" s="12" t="inlineStr">
        <is>
          <t>PO-2021-0562</t>
        </is>
      </c>
      <c r="I179" s="12" t="n">
        <v>0.29</v>
      </c>
      <c r="J179" s="17" t="n">
        <v>47648.93</v>
      </c>
      <c r="K179" s="14">
        <f>I179*J179</f>
        <v/>
      </c>
      <c r="L179" s="23">
        <f>IF(INDEX(PO_Facts!$I$2:$I$4801,MATCH(H179,PO_Facts!$A$2:$A$4801,0))&lt;=B179,"yes","FALLBACK: no earlier batch")</f>
        <v/>
      </c>
    </row>
    <row r="180">
      <c r="A180" s="12" t="inlineStr">
        <is>
          <t>RET-0294</t>
        </is>
      </c>
      <c r="B180" s="26" t="n">
        <v>44674</v>
      </c>
      <c r="C180" s="12" t="inlineStr">
        <is>
          <t>Client-017</t>
        </is>
      </c>
      <c r="D180" s="12" t="inlineStr">
        <is>
          <t>GI Sheets</t>
        </is>
      </c>
      <c r="E180" s="12" t="n">
        <v>4.05</v>
      </c>
      <c r="F180" s="12" t="inlineStr">
        <is>
          <t>Surface rust</t>
        </is>
      </c>
      <c r="G180" s="12" t="inlineStr">
        <is>
          <t>VS12</t>
        </is>
      </c>
      <c r="H180" s="12" t="inlineStr">
        <is>
          <t>PO-2023-4523</t>
        </is>
      </c>
      <c r="I180" s="12" t="n">
        <v>4.05</v>
      </c>
      <c r="J180" s="17" t="n">
        <v>49711.17</v>
      </c>
      <c r="K180" s="14">
        <f>I180*J180</f>
        <v/>
      </c>
      <c r="L180" s="23">
        <f>IF(INDEX(PO_Facts!$I$2:$I$4801,MATCH(H180,PO_Facts!$A$2:$A$4801,0))&lt;=B180,"yes","FALLBACK: no earlier batch")</f>
        <v/>
      </c>
    </row>
    <row r="181">
      <c r="A181" s="12" t="inlineStr">
        <is>
          <t>RET-0295</t>
        </is>
      </c>
      <c r="B181" s="26" t="n">
        <v>44478</v>
      </c>
      <c r="C181" s="12" t="inlineStr">
        <is>
          <t>Client-065</t>
        </is>
      </c>
      <c r="D181" s="12" t="inlineStr">
        <is>
          <t>MS Flats</t>
        </is>
      </c>
      <c r="E181" s="12" t="n">
        <v>3.48</v>
      </c>
      <c r="F181" s="12" t="inlineStr">
        <is>
          <t>Edge damage</t>
        </is>
      </c>
      <c r="G181" s="12" t="inlineStr">
        <is>
          <t>VS21</t>
        </is>
      </c>
      <c r="H181" s="12" t="inlineStr">
        <is>
          <t>PO-2023-4211</t>
        </is>
      </c>
      <c r="I181" s="12" t="n">
        <v>3.48</v>
      </c>
      <c r="J181" s="17" t="n">
        <v>116836.62</v>
      </c>
      <c r="K181" s="14">
        <f>I181*J181</f>
        <v/>
      </c>
      <c r="L181" s="23">
        <f>IF(INDEX(PO_Facts!$I$2:$I$4801,MATCH(H181,PO_Facts!$A$2:$A$4801,0))&lt;=B181,"yes","FALLBACK: no earlier batch")</f>
        <v/>
      </c>
    </row>
    <row r="182">
      <c r="A182" s="12" t="inlineStr">
        <is>
          <t>RET-0296</t>
        </is>
      </c>
      <c r="B182" s="26" t="n">
        <v>45173</v>
      </c>
      <c r="C182" s="12" t="inlineStr">
        <is>
          <t>Client-022</t>
        </is>
      </c>
      <c r="D182" s="12" t="inlineStr">
        <is>
          <t>GI Wire</t>
        </is>
      </c>
      <c r="E182" s="12" t="n">
        <v>2.45</v>
      </c>
      <c r="F182" s="12" t="inlineStr">
        <is>
          <t>Edge damage</t>
        </is>
      </c>
      <c r="G182" s="12" t="inlineStr">
        <is>
          <t>VS06</t>
        </is>
      </c>
      <c r="H182" s="12" t="inlineStr">
        <is>
          <t>PO-2021-1191</t>
        </is>
      </c>
      <c r="I182" s="12" t="n">
        <v>2.45</v>
      </c>
      <c r="J182" s="17" t="n">
        <v>91040.08</v>
      </c>
      <c r="K182" s="14">
        <f>I182*J182</f>
        <v/>
      </c>
      <c r="L182" s="23">
        <f>IF(INDEX(PO_Facts!$I$2:$I$4801,MATCH(H182,PO_Facts!$A$2:$A$4801,0))&lt;=B182,"yes","FALLBACK: no earlier batch")</f>
        <v/>
      </c>
    </row>
    <row r="183">
      <c r="A183" s="12" t="inlineStr">
        <is>
          <t>RET-0298</t>
        </is>
      </c>
      <c r="B183" s="26" t="n">
        <v>44543</v>
      </c>
      <c r="C183" s="12" t="inlineStr">
        <is>
          <t>Client-032</t>
        </is>
      </c>
      <c r="D183" s="12" t="inlineStr">
        <is>
          <t>MS Pipes</t>
        </is>
      </c>
      <c r="E183" s="12" t="n">
        <v>4</v>
      </c>
      <c r="F183" s="12" t="inlineStr">
        <is>
          <t>Bend/warp</t>
        </is>
      </c>
      <c r="G183" s="12" t="inlineStr">
        <is>
          <t>VS12</t>
        </is>
      </c>
      <c r="H183" s="12" t="inlineStr">
        <is>
          <t>PO-2021-0506</t>
        </is>
      </c>
      <c r="I183" s="12" t="n">
        <v>4</v>
      </c>
      <c r="J183" s="17" t="n">
        <v>120798.46</v>
      </c>
      <c r="K183" s="14">
        <f>I183*J183</f>
        <v/>
      </c>
      <c r="L183" s="23">
        <f>IF(INDEX(PO_Facts!$I$2:$I$4801,MATCH(H183,PO_Facts!$A$2:$A$4801,0))&lt;=B183,"yes","FALLBACK: no earlier batch")</f>
        <v/>
      </c>
    </row>
    <row r="184">
      <c r="A184" s="12" t="inlineStr">
        <is>
          <t>RET-0299</t>
        </is>
      </c>
      <c r="B184" s="26" t="n">
        <v>45001</v>
      </c>
      <c r="C184" s="12" t="inlineStr">
        <is>
          <t>Client-022</t>
        </is>
      </c>
      <c r="D184" s="12" t="inlineStr">
        <is>
          <t>SS Pipes</t>
        </is>
      </c>
      <c r="E184" s="12" t="n">
        <v>4.43</v>
      </c>
      <c r="F184" s="12" t="inlineStr">
        <is>
          <t>Edge damage</t>
        </is>
      </c>
      <c r="G184" s="12" t="inlineStr">
        <is>
          <t>VS19</t>
        </is>
      </c>
      <c r="H184" s="12" t="inlineStr">
        <is>
          <t>PO-2023-4062</t>
        </is>
      </c>
      <c r="I184" s="12" t="n">
        <v>4.43</v>
      </c>
      <c r="J184" s="17" t="n">
        <v>84790.38</v>
      </c>
      <c r="K184" s="14">
        <f>I184*J184</f>
        <v/>
      </c>
      <c r="L184" s="23">
        <f>IF(INDEX(PO_Facts!$I$2:$I$4801,MATCH(H184,PO_Facts!$A$2:$A$4801,0))&lt;=B184,"yes","FALLBACK: no earlier batch")</f>
        <v/>
      </c>
    </row>
    <row r="185">
      <c r="A185" s="12" t="inlineStr">
        <is>
          <t>RET-0303</t>
        </is>
      </c>
      <c r="B185" s="26" t="n">
        <v>44353</v>
      </c>
      <c r="C185" s="12" t="inlineStr">
        <is>
          <t>Client-052</t>
        </is>
      </c>
      <c r="D185" s="12" t="inlineStr">
        <is>
          <t>HR Coils</t>
        </is>
      </c>
      <c r="E185" s="12" t="n">
        <v>2.33</v>
      </c>
      <c r="F185" s="12" t="inlineStr">
        <is>
          <t>Wrong dimensions</t>
        </is>
      </c>
      <c r="G185" s="12" t="inlineStr">
        <is>
          <t>VS18</t>
        </is>
      </c>
      <c r="H185" s="12" t="inlineStr">
        <is>
          <t>PO-2023-4300</t>
        </is>
      </c>
      <c r="I185" s="12" t="n">
        <v>2.33</v>
      </c>
      <c r="J185" s="17" t="n">
        <v>75425.02</v>
      </c>
      <c r="K185" s="14">
        <f>I185*J185</f>
        <v/>
      </c>
      <c r="L185" s="23">
        <f>IF(INDEX(PO_Facts!$I$2:$I$4801,MATCH(H185,PO_Facts!$A$2:$A$4801,0))&lt;=B185,"yes","FALLBACK: no earlier batch")</f>
        <v/>
      </c>
    </row>
    <row r="186">
      <c r="A186" s="12" t="inlineStr">
        <is>
          <t>RET-0304</t>
        </is>
      </c>
      <c r="B186" s="26" t="n">
        <v>44846</v>
      </c>
      <c r="C186" s="12" t="inlineStr">
        <is>
          <t>Client-065</t>
        </is>
      </c>
      <c r="D186" s="12" t="inlineStr">
        <is>
          <t>GI Pipes</t>
        </is>
      </c>
      <c r="E186" s="12" t="n">
        <v>3.13</v>
      </c>
      <c r="F186" s="12" t="inlineStr">
        <is>
          <t>Edge damage</t>
        </is>
      </c>
      <c r="G186" s="12" t="inlineStr">
        <is>
          <t>VS19</t>
        </is>
      </c>
      <c r="H186" s="12" t="inlineStr">
        <is>
          <t>PO-2023-3306</t>
        </is>
      </c>
      <c r="I186" s="12" t="n">
        <v>3.13</v>
      </c>
      <c r="J186" s="17" t="n">
        <v>51362.2</v>
      </c>
      <c r="K186" s="14">
        <f>I186*J186</f>
        <v/>
      </c>
      <c r="L186" s="23">
        <f>IF(INDEX(PO_Facts!$I$2:$I$4801,MATCH(H186,PO_Facts!$A$2:$A$4801,0))&lt;=B186,"yes","FALLBACK: no earlier batch")</f>
        <v/>
      </c>
    </row>
    <row r="187">
      <c r="A187" s="12" t="inlineStr">
        <is>
          <t>RET-0306</t>
        </is>
      </c>
      <c r="B187" s="26" t="n">
        <v>44595</v>
      </c>
      <c r="C187" s="12" t="inlineStr">
        <is>
          <t>Client-016</t>
        </is>
      </c>
      <c r="D187" s="12" t="inlineStr">
        <is>
          <t>MS Flats</t>
        </is>
      </c>
      <c r="E187" s="12" t="n">
        <v>4.16</v>
      </c>
      <c r="F187" s="12" t="inlineStr">
        <is>
          <t>Grade mismatch</t>
        </is>
      </c>
      <c r="G187" s="12" t="inlineStr">
        <is>
          <t>VS28</t>
        </is>
      </c>
      <c r="H187" s="12" t="inlineStr">
        <is>
          <t>PO-2023-4382</t>
        </is>
      </c>
      <c r="I187" s="12" t="n">
        <v>4.16</v>
      </c>
      <c r="J187" s="17" t="n">
        <v>107695.94</v>
      </c>
      <c r="K187" s="14">
        <f>I187*J187</f>
        <v/>
      </c>
      <c r="L187" s="23">
        <f>IF(INDEX(PO_Facts!$I$2:$I$4801,MATCH(H187,PO_Facts!$A$2:$A$4801,0))&lt;=B187,"yes","FALLBACK: no earlier batch")</f>
        <v/>
      </c>
    </row>
    <row r="188">
      <c r="A188" s="12" t="inlineStr">
        <is>
          <t>RET-0307</t>
        </is>
      </c>
      <c r="B188" s="26" t="n">
        <v>45092</v>
      </c>
      <c r="C188" s="12" t="inlineStr">
        <is>
          <t>Client-010</t>
        </is>
      </c>
      <c r="D188" s="12" t="inlineStr">
        <is>
          <t>MS Pipes</t>
        </is>
      </c>
      <c r="E188" s="12" t="n">
        <v>4.19</v>
      </c>
      <c r="F188" s="12" t="inlineStr">
        <is>
          <t>Wrong dimensions</t>
        </is>
      </c>
      <c r="G188" s="12" t="inlineStr">
        <is>
          <t>VS19</t>
        </is>
      </c>
      <c r="H188" s="12" t="inlineStr">
        <is>
          <t>PO-2023-4647</t>
        </is>
      </c>
      <c r="I188" s="12" t="n">
        <v>4.19</v>
      </c>
      <c r="J188" s="17" t="n">
        <v>88360.27</v>
      </c>
      <c r="K188" s="14">
        <f>I188*J188</f>
        <v/>
      </c>
      <c r="L188" s="23">
        <f>IF(INDEX(PO_Facts!$I$2:$I$4801,MATCH(H188,PO_Facts!$A$2:$A$4801,0))&lt;=B188,"yes","FALLBACK: no earlier batch")</f>
        <v/>
      </c>
    </row>
    <row r="189">
      <c r="A189" s="12" t="inlineStr">
        <is>
          <t>RET-0308</t>
        </is>
      </c>
      <c r="B189" s="26" t="n">
        <v>45264</v>
      </c>
      <c r="C189" s="12" t="inlineStr">
        <is>
          <t>Client-042</t>
        </is>
      </c>
      <c r="D189" s="12" t="inlineStr">
        <is>
          <t>SS Sheets</t>
        </is>
      </c>
      <c r="E189" s="12" t="n">
        <v>4.25</v>
      </c>
      <c r="F189" s="12" t="inlineStr">
        <is>
          <t>Wrong dimensions</t>
        </is>
      </c>
      <c r="G189" s="12" t="inlineStr">
        <is>
          <t>VS30</t>
        </is>
      </c>
      <c r="H189" s="12" t="inlineStr">
        <is>
          <t>PO-2023-4789</t>
        </is>
      </c>
      <c r="I189" s="12" t="n">
        <v>4.25</v>
      </c>
      <c r="J189" s="17" t="n">
        <v>90965.58</v>
      </c>
      <c r="K189" s="14">
        <f>I189*J189</f>
        <v/>
      </c>
      <c r="L189" s="23">
        <f>IF(INDEX(PO_Facts!$I$2:$I$4801,MATCH(H189,PO_Facts!$A$2:$A$4801,0))&lt;=B189,"yes","FALLBACK: no earlier batch")</f>
        <v/>
      </c>
    </row>
    <row r="190">
      <c r="A190" s="12" t="inlineStr">
        <is>
          <t>RET-0310</t>
        </is>
      </c>
      <c r="B190" s="26" t="n">
        <v>44993</v>
      </c>
      <c r="C190" s="12" t="inlineStr">
        <is>
          <t>Client-033</t>
        </is>
      </c>
      <c r="D190" s="12" t="inlineStr">
        <is>
          <t>Spring Steel</t>
        </is>
      </c>
      <c r="E190" s="12" t="n">
        <v>0.35</v>
      </c>
      <c r="F190" s="12" t="inlineStr">
        <is>
          <t>Weight short</t>
        </is>
      </c>
      <c r="G190" s="12" t="inlineStr">
        <is>
          <t>VS09</t>
        </is>
      </c>
      <c r="H190" s="12" t="inlineStr">
        <is>
          <t>PO-2021-0164</t>
        </is>
      </c>
      <c r="I190" s="12" t="n">
        <v>0.35</v>
      </c>
      <c r="J190" s="17" t="n">
        <v>116746.85</v>
      </c>
      <c r="K190" s="14">
        <f>I190*J190</f>
        <v/>
      </c>
      <c r="L190" s="23">
        <f>IF(INDEX(PO_Facts!$I$2:$I$4801,MATCH(H190,PO_Facts!$A$2:$A$4801,0))&lt;=B190,"yes","FALLBACK: no earlier batch")</f>
        <v/>
      </c>
    </row>
    <row r="191">
      <c r="A191" s="12" t="inlineStr">
        <is>
          <t>RET-0311</t>
        </is>
      </c>
      <c r="B191" s="26" t="n">
        <v>44872</v>
      </c>
      <c r="C191" s="12" t="inlineStr">
        <is>
          <t>Client-009</t>
        </is>
      </c>
      <c r="D191" s="12" t="inlineStr">
        <is>
          <t>CR Sheets</t>
        </is>
      </c>
      <c r="E191" s="12" t="n">
        <v>0.74</v>
      </c>
      <c r="F191" s="12" t="inlineStr">
        <is>
          <t>Bend/warp</t>
        </is>
      </c>
      <c r="G191" s="12" t="inlineStr">
        <is>
          <t>VS12</t>
        </is>
      </c>
      <c r="H191" s="12" t="inlineStr">
        <is>
          <t>PO-2021-0487</t>
        </is>
      </c>
      <c r="I191" s="12" t="n">
        <v>0.74</v>
      </c>
      <c r="J191" s="17" t="n">
        <v>115707.06</v>
      </c>
      <c r="K191" s="14">
        <f>I191*J191</f>
        <v/>
      </c>
      <c r="L191" s="23">
        <f>IF(INDEX(PO_Facts!$I$2:$I$4801,MATCH(H191,PO_Facts!$A$2:$A$4801,0))&lt;=B191,"yes","FALLBACK: no earlier batch")</f>
        <v/>
      </c>
    </row>
    <row r="192">
      <c r="A192" s="12" t="inlineStr">
        <is>
          <t>RET-0314</t>
        </is>
      </c>
      <c r="B192" s="26" t="n">
        <v>44860</v>
      </c>
      <c r="C192" s="12" t="inlineStr">
        <is>
          <t>Client-034</t>
        </is>
      </c>
      <c r="D192" s="12" t="inlineStr">
        <is>
          <t>HR Coils</t>
        </is>
      </c>
      <c r="E192" s="12" t="n">
        <v>4.47</v>
      </c>
      <c r="F192" s="12" t="inlineStr">
        <is>
          <t>Wrong dimensions</t>
        </is>
      </c>
      <c r="G192" s="12" t="inlineStr">
        <is>
          <t>VS17</t>
        </is>
      </c>
      <c r="H192" s="12" t="inlineStr">
        <is>
          <t>PO-2021-0736</t>
        </is>
      </c>
      <c r="I192" s="12" t="n">
        <v>4.47</v>
      </c>
      <c r="J192" s="17" t="n">
        <v>116889.51</v>
      </c>
      <c r="K192" s="14">
        <f>I192*J192</f>
        <v/>
      </c>
      <c r="L192" s="23">
        <f>IF(INDEX(PO_Facts!$I$2:$I$4801,MATCH(H192,PO_Facts!$A$2:$A$4801,0))&lt;=B192,"yes","FALLBACK: no earlier batch")</f>
        <v/>
      </c>
    </row>
    <row r="193">
      <c r="A193" s="12" t="inlineStr">
        <is>
          <t>RET-0315</t>
        </is>
      </c>
      <c r="B193" s="26" t="n">
        <v>44883</v>
      </c>
      <c r="C193" s="12" t="inlineStr">
        <is>
          <t>Client-074</t>
        </is>
      </c>
      <c r="D193" s="12" t="inlineStr">
        <is>
          <t>CR Sheets</t>
        </is>
      </c>
      <c r="E193" s="12" t="n">
        <v>4.95</v>
      </c>
      <c r="F193" s="12" t="inlineStr">
        <is>
          <t>Edge damage</t>
        </is>
      </c>
      <c r="G193" s="12" t="inlineStr">
        <is>
          <t>VS04</t>
        </is>
      </c>
      <c r="H193" s="12" t="inlineStr">
        <is>
          <t>PO-2021-1304</t>
        </is>
      </c>
      <c r="I193" s="12" t="n">
        <v>4.95</v>
      </c>
      <c r="J193" s="17" t="n">
        <v>84930.77</v>
      </c>
      <c r="K193" s="14">
        <f>I193*J193</f>
        <v/>
      </c>
      <c r="L193" s="23">
        <f>IF(INDEX(PO_Facts!$I$2:$I$4801,MATCH(H193,PO_Facts!$A$2:$A$4801,0))&lt;=B193,"yes","FALLBACK: no earlier batch")</f>
        <v/>
      </c>
    </row>
    <row r="194">
      <c r="A194" s="12" t="inlineStr">
        <is>
          <t>RET-0317</t>
        </is>
      </c>
      <c r="B194" s="26" t="n">
        <v>44927</v>
      </c>
      <c r="C194" s="12" t="inlineStr">
        <is>
          <t>Client-030</t>
        </is>
      </c>
      <c r="D194" s="12" t="inlineStr">
        <is>
          <t>GI Sheets</t>
        </is>
      </c>
      <c r="E194" s="12" t="n">
        <v>3.82</v>
      </c>
      <c r="F194" s="12" t="inlineStr">
        <is>
          <t>Edge damage</t>
        </is>
      </c>
      <c r="G194" s="12" t="inlineStr">
        <is>
          <t>VS03</t>
        </is>
      </c>
      <c r="H194" s="12" t="inlineStr">
        <is>
          <t>PO-2021-0478</t>
        </is>
      </c>
      <c r="I194" s="12" t="n">
        <v>3.82</v>
      </c>
      <c r="J194" s="17" t="n">
        <v>72367.91</v>
      </c>
      <c r="K194" s="14">
        <f>I194*J194</f>
        <v/>
      </c>
      <c r="L194" s="23">
        <f>IF(INDEX(PO_Facts!$I$2:$I$4801,MATCH(H194,PO_Facts!$A$2:$A$4801,0))&lt;=B194,"yes","FALLBACK: no earlier batch")</f>
        <v/>
      </c>
    </row>
    <row r="195">
      <c r="A195" s="12" t="inlineStr">
        <is>
          <t>RET-0318</t>
        </is>
      </c>
      <c r="B195" s="26" t="n">
        <v>44655</v>
      </c>
      <c r="C195" s="12" t="inlineStr">
        <is>
          <t>Client-049</t>
        </is>
      </c>
      <c r="D195" s="12" t="inlineStr">
        <is>
          <t>MS Sheets</t>
        </is>
      </c>
      <c r="E195" s="12" t="n">
        <v>0.8</v>
      </c>
      <c r="F195" s="12" t="inlineStr">
        <is>
          <t>Weight short</t>
        </is>
      </c>
      <c r="G195" s="12" t="inlineStr">
        <is>
          <t>VS11</t>
        </is>
      </c>
      <c r="H195" s="12" t="inlineStr">
        <is>
          <t>PO-2022-2141</t>
        </is>
      </c>
      <c r="I195" s="12" t="n">
        <v>0.8</v>
      </c>
      <c r="J195" s="17" t="n">
        <v>71149.98</v>
      </c>
      <c r="K195" s="14">
        <f>I195*J195</f>
        <v/>
      </c>
      <c r="L195" s="23">
        <f>IF(INDEX(PO_Facts!$I$2:$I$4801,MATCH(H195,PO_Facts!$A$2:$A$4801,0))&lt;=B195,"yes","FALLBACK: no earlier batch")</f>
        <v/>
      </c>
    </row>
    <row r="196">
      <c r="A196" s="12" t="inlineStr">
        <is>
          <t>RET-0319</t>
        </is>
      </c>
      <c r="B196" s="26" t="n">
        <v>44980</v>
      </c>
      <c r="C196" s="12" t="inlineStr">
        <is>
          <t>Client-018</t>
        </is>
      </c>
      <c r="D196" s="12" t="inlineStr">
        <is>
          <t>Angles &amp; Channels</t>
        </is>
      </c>
      <c r="E196" s="12" t="n">
        <v>4.45</v>
      </c>
      <c r="F196" s="12" t="inlineStr">
        <is>
          <t>Weight short</t>
        </is>
      </c>
      <c r="G196" s="12" t="inlineStr">
        <is>
          <t>VS25</t>
        </is>
      </c>
      <c r="H196" s="12" t="inlineStr">
        <is>
          <t>PO-2021-1051</t>
        </is>
      </c>
      <c r="I196" s="12" t="n">
        <v>1.59</v>
      </c>
      <c r="J196" s="17" t="n">
        <v>70869.02</v>
      </c>
      <c r="K196" s="14">
        <f>I196*J196</f>
        <v/>
      </c>
      <c r="L196" s="23">
        <f>IF(INDEX(PO_Facts!$I$2:$I$4801,MATCH(H196,PO_Facts!$A$2:$A$4801,0))&lt;=B196,"yes","FALLBACK: no earlier batch")</f>
        <v/>
      </c>
    </row>
    <row r="197">
      <c r="A197" s="12" t="inlineStr">
        <is>
          <t>RET-0320</t>
        </is>
      </c>
      <c r="B197" s="26" t="n">
        <v>44987</v>
      </c>
      <c r="C197" s="12" t="inlineStr">
        <is>
          <t>Client-069</t>
        </is>
      </c>
      <c r="D197" s="12" t="inlineStr">
        <is>
          <t>MS Rods</t>
        </is>
      </c>
      <c r="E197" s="12" t="n">
        <v>3.49</v>
      </c>
      <c r="F197" s="12" t="inlineStr">
        <is>
          <t>Wrong dimensions</t>
        </is>
      </c>
      <c r="G197" s="12" t="inlineStr">
        <is>
          <t>VS29</t>
        </is>
      </c>
      <c r="H197" s="12" t="inlineStr">
        <is>
          <t>PO-2023-4446</t>
        </is>
      </c>
      <c r="I197" s="12" t="n">
        <v>3.49</v>
      </c>
      <c r="J197" s="17" t="n">
        <v>90478.39</v>
      </c>
      <c r="K197" s="14">
        <f>I197*J197</f>
        <v/>
      </c>
      <c r="L197" s="23">
        <f>IF(INDEX(PO_Facts!$I$2:$I$4801,MATCH(H197,PO_Facts!$A$2:$A$4801,0))&lt;=B197,"yes","FALLBACK: no earlier batch")</f>
        <v/>
      </c>
    </row>
    <row r="198">
      <c r="A198" s="12" t="inlineStr">
        <is>
          <t>RET-0321</t>
        </is>
      </c>
      <c r="B198" s="26" t="n">
        <v>44819</v>
      </c>
      <c r="C198" s="12" t="inlineStr">
        <is>
          <t>Client-044</t>
        </is>
      </c>
      <c r="D198" s="12" t="inlineStr">
        <is>
          <t>GI Sheets</t>
        </is>
      </c>
      <c r="E198" s="12" t="n">
        <v>0.49</v>
      </c>
      <c r="F198" s="12" t="inlineStr">
        <is>
          <t>Grade mismatch</t>
        </is>
      </c>
      <c r="G198" s="12" t="inlineStr">
        <is>
          <t>VS19</t>
        </is>
      </c>
      <c r="H198" s="12" t="inlineStr">
        <is>
          <t>PO-2021-1161</t>
        </is>
      </c>
      <c r="I198" s="12" t="n">
        <v>0.49</v>
      </c>
      <c r="J198" s="17" t="n">
        <v>78664.88</v>
      </c>
      <c r="K198" s="14">
        <f>I198*J198</f>
        <v/>
      </c>
      <c r="L198" s="23">
        <f>IF(INDEX(PO_Facts!$I$2:$I$4801,MATCH(H198,PO_Facts!$A$2:$A$4801,0))&lt;=B198,"yes","FALLBACK: no earlier batch")</f>
        <v/>
      </c>
    </row>
    <row r="199">
      <c r="A199" s="12" t="inlineStr">
        <is>
          <t>RET-0322</t>
        </is>
      </c>
      <c r="B199" s="26" t="n">
        <v>44950</v>
      </c>
      <c r="C199" s="12" t="inlineStr">
        <is>
          <t>Client-023</t>
        </is>
      </c>
      <c r="D199" s="12" t="inlineStr">
        <is>
          <t>Fasteners &amp; Fittings</t>
        </is>
      </c>
      <c r="E199" s="12" t="n">
        <v>3.95</v>
      </c>
      <c r="F199" s="12" t="inlineStr">
        <is>
          <t>Grade mismatch</t>
        </is>
      </c>
      <c r="G199" s="12" t="inlineStr">
        <is>
          <t>VS34</t>
        </is>
      </c>
      <c r="H199" s="12" t="inlineStr">
        <is>
          <t>PO-2022-1975</t>
        </is>
      </c>
      <c r="I199" s="12" t="n">
        <v>3.95</v>
      </c>
      <c r="J199" s="17" t="n">
        <v>96527.99000000001</v>
      </c>
      <c r="K199" s="14">
        <f>I199*J199</f>
        <v/>
      </c>
      <c r="L199" s="23">
        <f>IF(INDEX(PO_Facts!$I$2:$I$4801,MATCH(H199,PO_Facts!$A$2:$A$4801,0))&lt;=B199,"yes","FALLBACK: no earlier batch")</f>
        <v/>
      </c>
    </row>
    <row r="200">
      <c r="A200" s="12" t="inlineStr">
        <is>
          <t>RET-0323</t>
        </is>
      </c>
      <c r="B200" s="26" t="n">
        <v>44257</v>
      </c>
      <c r="C200" s="12" t="inlineStr">
        <is>
          <t>Client-065</t>
        </is>
      </c>
      <c r="D200" s="12" t="inlineStr">
        <is>
          <t>MS Flats</t>
        </is>
      </c>
      <c r="E200" s="12" t="n">
        <v>1.29</v>
      </c>
      <c r="F200" s="12" t="inlineStr">
        <is>
          <t>Bend/warp</t>
        </is>
      </c>
      <c r="G200" s="12" t="inlineStr">
        <is>
          <t>VS19</t>
        </is>
      </c>
      <c r="H200" s="12" t="inlineStr">
        <is>
          <t>PO-2022-3131</t>
        </is>
      </c>
      <c r="I200" s="12" t="n">
        <v>1.29</v>
      </c>
      <c r="J200" s="17" t="n">
        <v>118835.31</v>
      </c>
      <c r="K200" s="14">
        <f>I200*J200</f>
        <v/>
      </c>
      <c r="L200" s="23">
        <f>IF(INDEX(PO_Facts!$I$2:$I$4801,MATCH(H200,PO_Facts!$A$2:$A$4801,0))&lt;=B200,"yes","FALLBACK: no earlier batch")</f>
        <v/>
      </c>
    </row>
    <row r="201">
      <c r="A201" s="12" t="inlineStr">
        <is>
          <t>RET-0324</t>
        </is>
      </c>
      <c r="B201" s="26" t="n">
        <v>44251</v>
      </c>
      <c r="C201" s="12" t="inlineStr">
        <is>
          <t>Client-046</t>
        </is>
      </c>
      <c r="D201" s="12" t="inlineStr">
        <is>
          <t>SS Pipes</t>
        </is>
      </c>
      <c r="E201" s="12" t="n">
        <v>3.19</v>
      </c>
      <c r="F201" s="12" t="inlineStr">
        <is>
          <t>Grade mismatch</t>
        </is>
      </c>
      <c r="G201" s="12" t="inlineStr">
        <is>
          <t>VS28</t>
        </is>
      </c>
      <c r="H201" s="12" t="inlineStr">
        <is>
          <t>PO-2022-2432</t>
        </is>
      </c>
      <c r="I201" s="12" t="n">
        <v>3.19</v>
      </c>
      <c r="J201" s="17" t="n">
        <v>64708.17</v>
      </c>
      <c r="K201" s="14">
        <f>I201*J201</f>
        <v/>
      </c>
      <c r="L201" s="23">
        <f>IF(INDEX(PO_Facts!$I$2:$I$4801,MATCH(H201,PO_Facts!$A$2:$A$4801,0))&lt;=B201,"yes","FALLBACK: no earlier batch")</f>
        <v/>
      </c>
    </row>
    <row r="202">
      <c r="A202" s="12" t="inlineStr">
        <is>
          <t>RET-0325</t>
        </is>
      </c>
      <c r="B202" s="26" t="n">
        <v>44825</v>
      </c>
      <c r="C202" s="12" t="inlineStr">
        <is>
          <t>Client-057</t>
        </is>
      </c>
      <c r="D202" s="12" t="inlineStr">
        <is>
          <t>MS Rods</t>
        </is>
      </c>
      <c r="E202" s="12" t="n">
        <v>3.79</v>
      </c>
      <c r="F202" s="12" t="inlineStr">
        <is>
          <t>Weight short</t>
        </is>
      </c>
      <c r="G202" s="12" t="inlineStr">
        <is>
          <t>VS02</t>
        </is>
      </c>
      <c r="H202" s="12" t="inlineStr">
        <is>
          <t>PO-2021-0130</t>
        </is>
      </c>
      <c r="I202" s="12" t="n">
        <v>3.79</v>
      </c>
      <c r="J202" s="17" t="n">
        <v>87444.67999999999</v>
      </c>
      <c r="K202" s="14">
        <f>I202*J202</f>
        <v/>
      </c>
      <c r="L202" s="23">
        <f>IF(INDEX(PO_Facts!$I$2:$I$4801,MATCH(H202,PO_Facts!$A$2:$A$4801,0))&lt;=B202,"yes","FALLBACK: no earlier batch")</f>
        <v/>
      </c>
    </row>
    <row r="203">
      <c r="A203" s="12" t="inlineStr">
        <is>
          <t>RET-0326</t>
        </is>
      </c>
      <c r="B203" s="26" t="n">
        <v>44549</v>
      </c>
      <c r="C203" s="12" t="inlineStr">
        <is>
          <t>Client-059</t>
        </is>
      </c>
      <c r="D203" s="12" t="inlineStr">
        <is>
          <t>MS Flats</t>
        </is>
      </c>
      <c r="E203" s="12" t="n">
        <v>0.12</v>
      </c>
      <c r="F203" s="12" t="inlineStr">
        <is>
          <t>Wrong dimensions</t>
        </is>
      </c>
      <c r="G203" s="12" t="inlineStr">
        <is>
          <t>VS25</t>
        </is>
      </c>
      <c r="H203" s="12" t="inlineStr">
        <is>
          <t>PO-2021-0621</t>
        </is>
      </c>
      <c r="I203" s="12" t="n">
        <v>0.12</v>
      </c>
      <c r="J203" s="17" t="n">
        <v>73849.7</v>
      </c>
      <c r="K203" s="14">
        <f>I203*J203</f>
        <v/>
      </c>
      <c r="L203" s="23">
        <f>IF(INDEX(PO_Facts!$I$2:$I$4801,MATCH(H203,PO_Facts!$A$2:$A$4801,0))&lt;=B203,"yes","FALLBACK: no earlier batch")</f>
        <v/>
      </c>
    </row>
    <row r="204">
      <c r="A204" s="12" t="inlineStr">
        <is>
          <t>RET-0327</t>
        </is>
      </c>
      <c r="B204" s="26" t="n">
        <v>45143</v>
      </c>
      <c r="C204" s="12" t="inlineStr">
        <is>
          <t>Client-057</t>
        </is>
      </c>
      <c r="D204" s="12" t="inlineStr">
        <is>
          <t>ERW Pipes</t>
        </is>
      </c>
      <c r="E204" s="12" t="n">
        <v>1.85</v>
      </c>
      <c r="F204" s="12" t="inlineStr">
        <is>
          <t>Bend/warp</t>
        </is>
      </c>
      <c r="G204" s="12" t="inlineStr">
        <is>
          <t>VS33</t>
        </is>
      </c>
      <c r="H204" s="12" t="inlineStr">
        <is>
          <t>PO-2023-4466</t>
        </is>
      </c>
      <c r="I204" s="12" t="n">
        <v>1.85</v>
      </c>
      <c r="J204" s="17" t="n">
        <v>111649.94</v>
      </c>
      <c r="K204" s="14">
        <f>I204*J204</f>
        <v/>
      </c>
      <c r="L204" s="23">
        <f>IF(INDEX(PO_Facts!$I$2:$I$4801,MATCH(H204,PO_Facts!$A$2:$A$4801,0))&lt;=B204,"yes","FALLBACK: no earlier batch")</f>
        <v/>
      </c>
    </row>
    <row r="205">
      <c r="A205" s="12" t="inlineStr">
        <is>
          <t>RET-0328</t>
        </is>
      </c>
      <c r="B205" s="26" t="n">
        <v>44336</v>
      </c>
      <c r="C205" s="12" t="inlineStr">
        <is>
          <t>Client-004</t>
        </is>
      </c>
      <c r="D205" s="12" t="inlineStr">
        <is>
          <t>Spring Steel</t>
        </is>
      </c>
      <c r="E205" s="12" t="n">
        <v>2.48</v>
      </c>
      <c r="F205" s="12" t="inlineStr">
        <is>
          <t>Edge damage</t>
        </is>
      </c>
      <c r="G205" s="12" t="inlineStr">
        <is>
          <t>VS09</t>
        </is>
      </c>
      <c r="H205" s="12" t="inlineStr">
        <is>
          <t>PO-2023-3562</t>
        </is>
      </c>
      <c r="I205" s="12" t="n">
        <v>2.48</v>
      </c>
      <c r="J205" s="17" t="n">
        <v>96653.87</v>
      </c>
      <c r="K205" s="14">
        <f>I205*J205</f>
        <v/>
      </c>
      <c r="L205" s="23">
        <f>IF(INDEX(PO_Facts!$I$2:$I$4801,MATCH(H205,PO_Facts!$A$2:$A$4801,0))&lt;=B205,"yes","FALLBACK: no earlier batch")</f>
        <v/>
      </c>
    </row>
    <row r="206">
      <c r="A206" s="12" t="inlineStr">
        <is>
          <t>RET-0330</t>
        </is>
      </c>
      <c r="B206" s="26" t="n">
        <v>44269</v>
      </c>
      <c r="C206" s="12" t="inlineStr">
        <is>
          <t>Client-061</t>
        </is>
      </c>
      <c r="D206" s="12" t="inlineStr">
        <is>
          <t>MS Rods</t>
        </is>
      </c>
      <c r="E206" s="12" t="n">
        <v>4.98</v>
      </c>
      <c r="F206" s="12" t="inlineStr">
        <is>
          <t>Wrong dimensions</t>
        </is>
      </c>
      <c r="G206" s="12" t="inlineStr">
        <is>
          <t>VS17</t>
        </is>
      </c>
      <c r="H206" s="12" t="inlineStr">
        <is>
          <t>PO-2023-4492</t>
        </is>
      </c>
      <c r="I206" s="12" t="n">
        <v>4.98</v>
      </c>
      <c r="J206" s="17" t="n">
        <v>85398.59</v>
      </c>
      <c r="K206" s="14">
        <f>I206*J206</f>
        <v/>
      </c>
      <c r="L206" s="23">
        <f>IF(INDEX(PO_Facts!$I$2:$I$4801,MATCH(H206,PO_Facts!$A$2:$A$4801,0))&lt;=B206,"yes","FALLBACK: no earlier batch")</f>
        <v/>
      </c>
    </row>
    <row r="207">
      <c r="A207" s="12" t="inlineStr">
        <is>
          <t>RET-0333</t>
        </is>
      </c>
      <c r="B207" s="26" t="n">
        <v>44597</v>
      </c>
      <c r="C207" s="12" t="inlineStr">
        <is>
          <t>Client-062</t>
        </is>
      </c>
      <c r="D207" s="12" t="inlineStr">
        <is>
          <t>GI Pipes</t>
        </is>
      </c>
      <c r="E207" s="12" t="n">
        <v>4.56</v>
      </c>
      <c r="F207" s="12" t="inlineStr">
        <is>
          <t>Grade mismatch</t>
        </is>
      </c>
      <c r="G207" s="12" t="inlineStr">
        <is>
          <t>VS26</t>
        </is>
      </c>
      <c r="H207" s="12" t="inlineStr">
        <is>
          <t>PO-2022-2237</t>
        </is>
      </c>
      <c r="I207" s="12" t="n">
        <v>4.56</v>
      </c>
      <c r="J207" s="17" t="n">
        <v>113745.79</v>
      </c>
      <c r="K207" s="14">
        <f>I207*J207</f>
        <v/>
      </c>
      <c r="L207" s="23">
        <f>IF(INDEX(PO_Facts!$I$2:$I$4801,MATCH(H207,PO_Facts!$A$2:$A$4801,0))&lt;=B207,"yes","FALLBACK: no earlier batch")</f>
        <v/>
      </c>
    </row>
    <row r="208">
      <c r="A208" s="12" t="inlineStr">
        <is>
          <t>RET-0334</t>
        </is>
      </c>
      <c r="B208" s="26" t="n">
        <v>44374</v>
      </c>
      <c r="C208" s="12" t="inlineStr">
        <is>
          <t>Client-016</t>
        </is>
      </c>
      <c r="D208" s="12" t="inlineStr">
        <is>
          <t>MS Rods</t>
        </is>
      </c>
      <c r="E208" s="12" t="n">
        <v>4.48</v>
      </c>
      <c r="F208" s="12" t="inlineStr">
        <is>
          <t>Surface rust</t>
        </is>
      </c>
      <c r="G208" s="12" t="inlineStr">
        <is>
          <t>VS17</t>
        </is>
      </c>
      <c r="H208" s="12" t="inlineStr">
        <is>
          <t>PO-2023-4778</t>
        </is>
      </c>
      <c r="I208" s="12" t="n">
        <v>4.48</v>
      </c>
      <c r="J208" s="17" t="n">
        <v>57435.94</v>
      </c>
      <c r="K208" s="14">
        <f>I208*J208</f>
        <v/>
      </c>
      <c r="L208" s="23">
        <f>IF(INDEX(PO_Facts!$I$2:$I$4801,MATCH(H208,PO_Facts!$A$2:$A$4801,0))&lt;=B208,"yes","FALLBACK: no earlier batch")</f>
        <v/>
      </c>
    </row>
    <row r="209">
      <c r="A209" s="12" t="inlineStr">
        <is>
          <t>RET-0335</t>
        </is>
      </c>
      <c r="B209" s="26" t="n">
        <v>45030</v>
      </c>
      <c r="C209" s="12" t="inlineStr">
        <is>
          <t>Client-061</t>
        </is>
      </c>
      <c r="D209" s="12" t="inlineStr">
        <is>
          <t>GI Wire</t>
        </is>
      </c>
      <c r="E209" s="12" t="n">
        <v>0.42</v>
      </c>
      <c r="F209" s="12" t="inlineStr">
        <is>
          <t>Surface rust</t>
        </is>
      </c>
      <c r="G209" s="12" t="inlineStr">
        <is>
          <t>VS18</t>
        </is>
      </c>
      <c r="H209" s="12" t="inlineStr">
        <is>
          <t>PO-2023-4318</t>
        </is>
      </c>
      <c r="I209" s="12" t="n">
        <v>0.42</v>
      </c>
      <c r="J209" s="17" t="n">
        <v>81365.81</v>
      </c>
      <c r="K209" s="14">
        <f>I209*J209</f>
        <v/>
      </c>
      <c r="L209" s="23">
        <f>IF(INDEX(PO_Facts!$I$2:$I$4801,MATCH(H209,PO_Facts!$A$2:$A$4801,0))&lt;=B209,"yes","FALLBACK: no earlier batch")</f>
        <v/>
      </c>
    </row>
    <row r="210">
      <c r="A210" s="12" t="inlineStr">
        <is>
          <t>RET-0336</t>
        </is>
      </c>
      <c r="B210" s="26" t="n">
        <v>44677</v>
      </c>
      <c r="C210" s="12" t="inlineStr">
        <is>
          <t>Client-053</t>
        </is>
      </c>
      <c r="D210" s="12" t="inlineStr">
        <is>
          <t>Angles &amp; Channels</t>
        </is>
      </c>
      <c r="E210" s="12" t="n">
        <v>1.9</v>
      </c>
      <c r="F210" s="12" t="inlineStr">
        <is>
          <t>Edge damage</t>
        </is>
      </c>
      <c r="G210" s="12" t="inlineStr">
        <is>
          <t>VS12</t>
        </is>
      </c>
      <c r="H210" s="12" t="inlineStr">
        <is>
          <t>PO-2023-4772</t>
        </is>
      </c>
      <c r="I210" s="12" t="n">
        <v>1.9</v>
      </c>
      <c r="J210" s="17" t="n">
        <v>71528</v>
      </c>
      <c r="K210" s="14">
        <f>I210*J210</f>
        <v/>
      </c>
      <c r="L210" s="23">
        <f>IF(INDEX(PO_Facts!$I$2:$I$4801,MATCH(H210,PO_Facts!$A$2:$A$4801,0))&lt;=B210,"yes","FALLBACK: no earlier batch")</f>
        <v/>
      </c>
    </row>
    <row r="211">
      <c r="A211" s="12" t="inlineStr">
        <is>
          <t>RET-0337</t>
        </is>
      </c>
      <c r="B211" s="26" t="n">
        <v>44734</v>
      </c>
      <c r="C211" s="12" t="inlineStr">
        <is>
          <t>Client-001</t>
        </is>
      </c>
      <c r="D211" s="12" t="inlineStr">
        <is>
          <t>ERW Pipes</t>
        </is>
      </c>
      <c r="E211" s="12" t="n">
        <v>3.29</v>
      </c>
      <c r="F211" s="12" t="inlineStr">
        <is>
          <t>Surface rust</t>
        </is>
      </c>
      <c r="G211" s="12" t="inlineStr">
        <is>
          <t>VS13</t>
        </is>
      </c>
      <c r="H211" s="12" t="inlineStr">
        <is>
          <t>PO-2022-2352</t>
        </is>
      </c>
      <c r="I211" s="12" t="n">
        <v>3.29</v>
      </c>
      <c r="J211" s="17" t="n">
        <v>49542.22</v>
      </c>
      <c r="K211" s="14">
        <f>I211*J211</f>
        <v/>
      </c>
      <c r="L211" s="23">
        <f>IF(INDEX(PO_Facts!$I$2:$I$4801,MATCH(H211,PO_Facts!$A$2:$A$4801,0))&lt;=B211,"yes","FALLBACK: no earlier batch")</f>
        <v/>
      </c>
    </row>
    <row r="212">
      <c r="A212" s="12" t="inlineStr">
        <is>
          <t>RET-0338</t>
        </is>
      </c>
      <c r="B212" s="26" t="n">
        <v>44390</v>
      </c>
      <c r="C212" s="12" t="inlineStr">
        <is>
          <t>Client-042</t>
        </is>
      </c>
      <c r="D212" s="12" t="inlineStr">
        <is>
          <t>Hex Bars</t>
        </is>
      </c>
      <c r="E212" s="12" t="n">
        <v>0.88</v>
      </c>
      <c r="F212" s="12" t="inlineStr">
        <is>
          <t>Grade mismatch</t>
        </is>
      </c>
      <c r="G212" s="12" t="inlineStr">
        <is>
          <t>VS03</t>
        </is>
      </c>
      <c r="H212" s="12" t="inlineStr">
        <is>
          <t>PO-2021-0853</t>
        </is>
      </c>
      <c r="I212" s="12" t="n">
        <v>0.88</v>
      </c>
      <c r="J212" s="17" t="n">
        <v>82438.23</v>
      </c>
      <c r="K212" s="14">
        <f>I212*J212</f>
        <v/>
      </c>
      <c r="L212" s="23">
        <f>IF(INDEX(PO_Facts!$I$2:$I$4801,MATCH(H212,PO_Facts!$A$2:$A$4801,0))&lt;=B212,"yes","FALLBACK: no earlier batch")</f>
        <v/>
      </c>
    </row>
    <row r="213">
      <c r="A213" s="12" t="inlineStr">
        <is>
          <t>RET-0339</t>
        </is>
      </c>
      <c r="B213" s="26" t="n">
        <v>44348</v>
      </c>
      <c r="C213" s="12" t="inlineStr">
        <is>
          <t>Client-049</t>
        </is>
      </c>
      <c r="D213" s="12" t="inlineStr">
        <is>
          <t>Structural Steel</t>
        </is>
      </c>
      <c r="E213" s="12" t="n">
        <v>4.39</v>
      </c>
      <c r="F213" s="12" t="inlineStr">
        <is>
          <t>Edge damage</t>
        </is>
      </c>
      <c r="G213" s="12" t="inlineStr">
        <is>
          <t>VS19</t>
        </is>
      </c>
      <c r="H213" s="12" t="inlineStr">
        <is>
          <t>PO-2021-0083</t>
        </is>
      </c>
      <c r="I213" s="12" t="n">
        <v>4.39</v>
      </c>
      <c r="J213" s="17" t="n">
        <v>73375.06</v>
      </c>
      <c r="K213" s="14">
        <f>I213*J213</f>
        <v/>
      </c>
      <c r="L213" s="23">
        <f>IF(INDEX(PO_Facts!$I$2:$I$4801,MATCH(H213,PO_Facts!$A$2:$A$4801,0))&lt;=B213,"yes","FALLBACK: no earlier batch")</f>
        <v/>
      </c>
    </row>
    <row r="214">
      <c r="A214" s="12" t="inlineStr">
        <is>
          <t>RET-0342</t>
        </is>
      </c>
      <c r="B214" s="26" t="n">
        <v>44802</v>
      </c>
      <c r="C214" s="12" t="inlineStr">
        <is>
          <t>Client-006</t>
        </is>
      </c>
      <c r="D214" s="12" t="inlineStr">
        <is>
          <t>Structural Steel</t>
        </is>
      </c>
      <c r="E214" s="12" t="n">
        <v>3.97</v>
      </c>
      <c r="F214" s="12" t="inlineStr">
        <is>
          <t>Surface rust</t>
        </is>
      </c>
      <c r="G214" s="12" t="inlineStr">
        <is>
          <t>VS12</t>
        </is>
      </c>
      <c r="H214" s="12" t="inlineStr">
        <is>
          <t>PO-2022-2048</t>
        </is>
      </c>
      <c r="I214" s="12" t="n">
        <v>3.97</v>
      </c>
      <c r="J214" s="17" t="n">
        <v>118668.08</v>
      </c>
      <c r="K214" s="14">
        <f>I214*J214</f>
        <v/>
      </c>
      <c r="L214" s="23">
        <f>IF(INDEX(PO_Facts!$I$2:$I$4801,MATCH(H214,PO_Facts!$A$2:$A$4801,0))&lt;=B214,"yes","FALLBACK: no earlier batch")</f>
        <v/>
      </c>
    </row>
    <row r="215">
      <c r="A215" s="12" t="inlineStr">
        <is>
          <t>RET-0346</t>
        </is>
      </c>
      <c r="B215" s="26" t="n">
        <v>44933</v>
      </c>
      <c r="C215" s="12" t="inlineStr">
        <is>
          <t>Client-054</t>
        </is>
      </c>
      <c r="D215" s="12" t="inlineStr">
        <is>
          <t>MS Rods</t>
        </is>
      </c>
      <c r="E215" s="12" t="n">
        <v>3.73</v>
      </c>
      <c r="F215" s="12" t="inlineStr">
        <is>
          <t>Grade mismatch</t>
        </is>
      </c>
      <c r="G215" s="12" t="inlineStr">
        <is>
          <t>VS19</t>
        </is>
      </c>
      <c r="H215" s="12" t="inlineStr">
        <is>
          <t>PO-2023-4565</t>
        </is>
      </c>
      <c r="I215" s="12" t="n">
        <v>3.73</v>
      </c>
      <c r="J215" s="17" t="n">
        <v>87074.89999999999</v>
      </c>
      <c r="K215" s="14">
        <f>I215*J215</f>
        <v/>
      </c>
      <c r="L215" s="23">
        <f>IF(INDEX(PO_Facts!$I$2:$I$4801,MATCH(H215,PO_Facts!$A$2:$A$4801,0))&lt;=B215,"yes","FALLBACK: no earlier batch")</f>
        <v/>
      </c>
    </row>
    <row r="216">
      <c r="A216" s="12" t="inlineStr">
        <is>
          <t>RET-0347</t>
        </is>
      </c>
      <c r="B216" s="26" t="n">
        <v>45157</v>
      </c>
      <c r="C216" s="12" t="inlineStr">
        <is>
          <t>Client-028</t>
        </is>
      </c>
      <c r="D216" s="12" t="inlineStr">
        <is>
          <t>Angles &amp; Channels</t>
        </is>
      </c>
      <c r="E216" s="12" t="n">
        <v>4.05</v>
      </c>
      <c r="F216" s="12" t="inlineStr">
        <is>
          <t>Wrong dimensions</t>
        </is>
      </c>
      <c r="G216" s="12" t="inlineStr">
        <is>
          <t>VS03</t>
        </is>
      </c>
      <c r="H216" s="12" t="inlineStr">
        <is>
          <t>PO-2022-1781</t>
        </is>
      </c>
      <c r="I216" s="12" t="n">
        <v>4.05</v>
      </c>
      <c r="J216" s="17" t="n">
        <v>83296.75</v>
      </c>
      <c r="K216" s="14">
        <f>I216*J216</f>
        <v/>
      </c>
      <c r="L216" s="23">
        <f>IF(INDEX(PO_Facts!$I$2:$I$4801,MATCH(H216,PO_Facts!$A$2:$A$4801,0))&lt;=B216,"yes","FALLBACK: no earlier batch")</f>
        <v/>
      </c>
    </row>
    <row r="217">
      <c r="A217" s="12" t="inlineStr">
        <is>
          <t>RET-0348</t>
        </is>
      </c>
      <c r="B217" s="26" t="n">
        <v>45171</v>
      </c>
      <c r="C217" s="12" t="inlineStr">
        <is>
          <t>Client-062</t>
        </is>
      </c>
      <c r="D217" s="12" t="inlineStr">
        <is>
          <t>MS Flats</t>
        </is>
      </c>
      <c r="E217" s="12" t="n">
        <v>4.67</v>
      </c>
      <c r="F217" s="12" t="inlineStr">
        <is>
          <t>Surface rust</t>
        </is>
      </c>
      <c r="G217" s="12" t="inlineStr">
        <is>
          <t>VS18</t>
        </is>
      </c>
      <c r="H217" s="12" t="inlineStr">
        <is>
          <t>PO-2023-3960</t>
        </is>
      </c>
      <c r="I217" s="12" t="n">
        <v>4.67</v>
      </c>
      <c r="J217" s="17" t="n">
        <v>93426.67</v>
      </c>
      <c r="K217" s="14">
        <f>I217*J217</f>
        <v/>
      </c>
      <c r="L217" s="23">
        <f>IF(INDEX(PO_Facts!$I$2:$I$4801,MATCH(H217,PO_Facts!$A$2:$A$4801,0))&lt;=B217,"yes","FALLBACK: no earlier batch")</f>
        <v/>
      </c>
    </row>
    <row r="218">
      <c r="A218" s="12" t="inlineStr">
        <is>
          <t>RET-0349</t>
        </is>
      </c>
      <c r="B218" s="26" t="n">
        <v>44269</v>
      </c>
      <c r="C218" s="12" t="inlineStr">
        <is>
          <t>Client-067</t>
        </is>
      </c>
      <c r="D218" s="12" t="inlineStr">
        <is>
          <t>GI Sheets</t>
        </is>
      </c>
      <c r="E218" s="12" t="n">
        <v>1.48</v>
      </c>
      <c r="F218" s="12" t="inlineStr">
        <is>
          <t>Edge damage</t>
        </is>
      </c>
      <c r="G218" s="12" t="inlineStr">
        <is>
          <t>VS31</t>
        </is>
      </c>
      <c r="H218" s="12" t="inlineStr">
        <is>
          <t>PO-2023-3791</t>
        </is>
      </c>
      <c r="I218" s="12" t="n">
        <v>1.48</v>
      </c>
      <c r="J218" s="17" t="n">
        <v>88516.24000000001</v>
      </c>
      <c r="K218" s="14">
        <f>I218*J218</f>
        <v/>
      </c>
      <c r="L218" s="23">
        <f>IF(INDEX(PO_Facts!$I$2:$I$4801,MATCH(H218,PO_Facts!$A$2:$A$4801,0))&lt;=B218,"yes","FALLBACK: no earlier batch")</f>
        <v/>
      </c>
    </row>
    <row r="219">
      <c r="A219" s="12" t="inlineStr">
        <is>
          <t>RET-0350</t>
        </is>
      </c>
      <c r="B219" s="26" t="n">
        <v>44871</v>
      </c>
      <c r="C219" s="12" t="inlineStr">
        <is>
          <t>Client-068</t>
        </is>
      </c>
      <c r="D219" s="12" t="inlineStr">
        <is>
          <t>MS Sheets</t>
        </is>
      </c>
      <c r="E219" s="12" t="n">
        <v>0.12</v>
      </c>
      <c r="F219" s="12" t="inlineStr">
        <is>
          <t>Weight short</t>
        </is>
      </c>
      <c r="G219" s="12" t="inlineStr">
        <is>
          <t>VS03</t>
        </is>
      </c>
      <c r="H219" s="12" t="inlineStr">
        <is>
          <t>PO-2021-1285</t>
        </is>
      </c>
      <c r="I219" s="12" t="n">
        <v>0.12</v>
      </c>
      <c r="J219" s="17" t="n">
        <v>90720.36</v>
      </c>
      <c r="K219" s="14">
        <f>I219*J219</f>
        <v/>
      </c>
      <c r="L219" s="23">
        <f>IF(INDEX(PO_Facts!$I$2:$I$4801,MATCH(H219,PO_Facts!$A$2:$A$4801,0))&lt;=B219,"yes","FALLBACK: no earlier batch")</f>
        <v/>
      </c>
    </row>
    <row r="220">
      <c r="A220" s="12" t="inlineStr">
        <is>
          <t>RET-0353</t>
        </is>
      </c>
      <c r="B220" s="26" t="n">
        <v>44763</v>
      </c>
      <c r="C220" s="12" t="inlineStr">
        <is>
          <t>Client-078</t>
        </is>
      </c>
      <c r="D220" s="12" t="inlineStr">
        <is>
          <t>Fasteners &amp; Fittings</t>
        </is>
      </c>
      <c r="E220" s="12" t="n">
        <v>2.23</v>
      </c>
      <c r="F220" s="12" t="inlineStr">
        <is>
          <t>Weight short</t>
        </is>
      </c>
      <c r="G220" s="12" t="inlineStr">
        <is>
          <t>VS19</t>
        </is>
      </c>
      <c r="H220" s="12" t="inlineStr">
        <is>
          <t>PO-2023-4126</t>
        </is>
      </c>
      <c r="I220" s="12" t="n">
        <v>2.23</v>
      </c>
      <c r="J220" s="17" t="n">
        <v>120819.83</v>
      </c>
      <c r="K220" s="14">
        <f>I220*J220</f>
        <v/>
      </c>
      <c r="L220" s="23">
        <f>IF(INDEX(PO_Facts!$I$2:$I$4801,MATCH(H220,PO_Facts!$A$2:$A$4801,0))&lt;=B220,"yes","FALLBACK: no earlier batch")</f>
        <v/>
      </c>
    </row>
    <row r="221">
      <c r="A221" s="12" t="inlineStr">
        <is>
          <t>RET-0354</t>
        </is>
      </c>
      <c r="B221" s="26" t="n">
        <v>44410</v>
      </c>
      <c r="C221" s="12" t="inlineStr">
        <is>
          <t>Client-043</t>
        </is>
      </c>
      <c r="D221" s="12" t="inlineStr">
        <is>
          <t>GI Wire</t>
        </is>
      </c>
      <c r="E221" s="12" t="n">
        <v>0.5</v>
      </c>
      <c r="F221" s="12" t="inlineStr">
        <is>
          <t>Bend/warp</t>
        </is>
      </c>
      <c r="G221" s="12" t="inlineStr">
        <is>
          <t>VS03</t>
        </is>
      </c>
      <c r="H221" s="12" t="inlineStr">
        <is>
          <t>PO-2023-4021</t>
        </is>
      </c>
      <c r="I221" s="12" t="n">
        <v>0.5</v>
      </c>
      <c r="J221" s="17" t="n">
        <v>68073.14999999999</v>
      </c>
      <c r="K221" s="14">
        <f>I221*J221</f>
        <v/>
      </c>
      <c r="L221" s="23">
        <f>IF(INDEX(PO_Facts!$I$2:$I$4801,MATCH(H221,PO_Facts!$A$2:$A$4801,0))&lt;=B221,"yes","FALLBACK: no earlier batch")</f>
        <v/>
      </c>
    </row>
    <row r="222">
      <c r="A222" s="12" t="inlineStr">
        <is>
          <t>RET-0355</t>
        </is>
      </c>
      <c r="B222" s="26" t="n">
        <v>44515</v>
      </c>
      <c r="C222" s="12" t="inlineStr">
        <is>
          <t>Client-064</t>
        </is>
      </c>
      <c r="D222" s="12" t="inlineStr">
        <is>
          <t>GI Sheets</t>
        </is>
      </c>
      <c r="E222" s="12" t="n">
        <v>0.9</v>
      </c>
      <c r="F222" s="12" t="inlineStr">
        <is>
          <t>Bend/warp</t>
        </is>
      </c>
      <c r="G222" s="12" t="inlineStr">
        <is>
          <t>VS12</t>
        </is>
      </c>
      <c r="H222" s="12" t="inlineStr">
        <is>
          <t>PO-2023-4523</t>
        </is>
      </c>
      <c r="I222" s="12" t="n">
        <v>0.9</v>
      </c>
      <c r="J222" s="17" t="n">
        <v>49711.17</v>
      </c>
      <c r="K222" s="14">
        <f>I222*J222</f>
        <v/>
      </c>
      <c r="L222" s="23">
        <f>IF(INDEX(PO_Facts!$I$2:$I$4801,MATCH(H222,PO_Facts!$A$2:$A$4801,0))&lt;=B222,"yes","FALLBACK: no earlier batch")</f>
        <v/>
      </c>
    </row>
    <row r="223">
      <c r="A223" s="12" t="inlineStr">
        <is>
          <t>RET-0356</t>
        </is>
      </c>
      <c r="B223" s="26" t="n">
        <v>44585</v>
      </c>
      <c r="C223" s="12" t="inlineStr">
        <is>
          <t>Client-003</t>
        </is>
      </c>
      <c r="D223" s="12" t="inlineStr">
        <is>
          <t>MS Rods</t>
        </is>
      </c>
      <c r="E223" s="12" t="n">
        <v>2.77</v>
      </c>
      <c r="F223" s="12" t="inlineStr">
        <is>
          <t>Surface rust</t>
        </is>
      </c>
      <c r="G223" s="12" t="inlineStr">
        <is>
          <t>VS16</t>
        </is>
      </c>
      <c r="H223" s="12" t="inlineStr">
        <is>
          <t>PO-2021-0129</t>
        </is>
      </c>
      <c r="I223" s="12" t="n">
        <v>2.77</v>
      </c>
      <c r="J223" s="17" t="n">
        <v>88110.89</v>
      </c>
      <c r="K223" s="14">
        <f>I223*J223</f>
        <v/>
      </c>
      <c r="L223" s="23">
        <f>IF(INDEX(PO_Facts!$I$2:$I$4801,MATCH(H223,PO_Facts!$A$2:$A$4801,0))&lt;=B223,"yes","FALLBACK: no earlier batch")</f>
        <v/>
      </c>
    </row>
    <row r="224">
      <c r="A224" s="12" t="inlineStr">
        <is>
          <t>RET-0357</t>
        </is>
      </c>
      <c r="B224" s="26" t="n">
        <v>44755</v>
      </c>
      <c r="C224" s="12" t="inlineStr">
        <is>
          <t>Client-068</t>
        </is>
      </c>
      <c r="D224" s="12" t="inlineStr">
        <is>
          <t>Spring Steel</t>
        </is>
      </c>
      <c r="E224" s="12" t="n">
        <v>4.46</v>
      </c>
      <c r="F224" s="12" t="inlineStr">
        <is>
          <t>Grade mismatch</t>
        </is>
      </c>
      <c r="G224" s="12" t="inlineStr">
        <is>
          <t>VS01</t>
        </is>
      </c>
      <c r="H224" s="12" t="inlineStr">
        <is>
          <t>PO-2021-0763</t>
        </is>
      </c>
      <c r="I224" s="12" t="n">
        <v>4.46</v>
      </c>
      <c r="J224" s="17" t="n">
        <v>75880.19</v>
      </c>
      <c r="K224" s="14">
        <f>I224*J224</f>
        <v/>
      </c>
      <c r="L224" s="23">
        <f>IF(INDEX(PO_Facts!$I$2:$I$4801,MATCH(H224,PO_Facts!$A$2:$A$4801,0))&lt;=B224,"yes","FALLBACK: no earlier batch")</f>
        <v/>
      </c>
    </row>
    <row r="225">
      <c r="A225" s="12" t="inlineStr">
        <is>
          <t>RET-0358</t>
        </is>
      </c>
      <c r="B225" s="26" t="n">
        <v>44388</v>
      </c>
      <c r="C225" s="12" t="inlineStr">
        <is>
          <t>Client-064</t>
        </is>
      </c>
      <c r="D225" s="12" t="inlineStr">
        <is>
          <t>ERW Pipes</t>
        </is>
      </c>
      <c r="E225" s="12" t="n">
        <v>0.2</v>
      </c>
      <c r="F225" s="12" t="inlineStr">
        <is>
          <t>Weight short</t>
        </is>
      </c>
      <c r="G225" s="12" t="inlineStr">
        <is>
          <t>VS12</t>
        </is>
      </c>
      <c r="H225" s="12" t="inlineStr">
        <is>
          <t>PO-2023-3314</t>
        </is>
      </c>
      <c r="I225" s="12" t="n">
        <v>0.2</v>
      </c>
      <c r="J225" s="17" t="n">
        <v>53504.31</v>
      </c>
      <c r="K225" s="14">
        <f>I225*J225</f>
        <v/>
      </c>
      <c r="L225" s="23">
        <f>IF(INDEX(PO_Facts!$I$2:$I$4801,MATCH(H225,PO_Facts!$A$2:$A$4801,0))&lt;=B225,"yes","FALLBACK: no earlier batch")</f>
        <v/>
      </c>
    </row>
    <row r="226">
      <c r="A226" s="12" t="inlineStr">
        <is>
          <t>RET-0360</t>
        </is>
      </c>
      <c r="B226" s="26" t="n">
        <v>44500</v>
      </c>
      <c r="C226" s="12" t="inlineStr">
        <is>
          <t>Client-066</t>
        </is>
      </c>
      <c r="D226" s="12" t="inlineStr">
        <is>
          <t>Fasteners &amp; Fittings</t>
        </is>
      </c>
      <c r="E226" s="12" t="n">
        <v>0.62</v>
      </c>
      <c r="F226" s="12" t="inlineStr">
        <is>
          <t>Grade mismatch</t>
        </is>
      </c>
      <c r="G226" s="12" t="inlineStr">
        <is>
          <t>VS12</t>
        </is>
      </c>
      <c r="H226" s="12" t="inlineStr">
        <is>
          <t>PO-2023-3259</t>
        </is>
      </c>
      <c r="I226" s="12" t="n">
        <v>0.62</v>
      </c>
      <c r="J226" s="17" t="n">
        <v>55372.98</v>
      </c>
      <c r="K226" s="14">
        <f>I226*J226</f>
        <v/>
      </c>
      <c r="L226" s="23">
        <f>IF(INDEX(PO_Facts!$I$2:$I$4801,MATCH(H226,PO_Facts!$A$2:$A$4801,0))&lt;=B226,"yes","FALLBACK: no earlier batch")</f>
        <v/>
      </c>
    </row>
    <row r="227">
      <c r="A227" s="12" t="inlineStr">
        <is>
          <t>RET-0362</t>
        </is>
      </c>
      <c r="B227" s="26" t="n">
        <v>44538</v>
      </c>
      <c r="C227" s="12" t="inlineStr">
        <is>
          <t>Client-057</t>
        </is>
      </c>
      <c r="D227" s="12" t="inlineStr">
        <is>
          <t>GI Wire</t>
        </is>
      </c>
      <c r="E227" s="12" t="n">
        <v>0.66</v>
      </c>
      <c r="F227" s="12" t="inlineStr">
        <is>
          <t>Surface rust</t>
        </is>
      </c>
      <c r="G227" s="12" t="inlineStr">
        <is>
          <t>VS19</t>
        </is>
      </c>
      <c r="H227" s="12" t="inlineStr">
        <is>
          <t>PO-2022-2189</t>
        </is>
      </c>
      <c r="I227" s="12" t="n">
        <v>0.66</v>
      </c>
      <c r="J227" s="17" t="n">
        <v>103666.47</v>
      </c>
      <c r="K227" s="14">
        <f>I227*J227</f>
        <v/>
      </c>
      <c r="L227" s="23">
        <f>IF(INDEX(PO_Facts!$I$2:$I$4801,MATCH(H227,PO_Facts!$A$2:$A$4801,0))&lt;=B227,"yes","FALLBACK: no earlier batch")</f>
        <v/>
      </c>
    </row>
    <row r="228">
      <c r="A228" s="12" t="inlineStr">
        <is>
          <t>RET-0363</t>
        </is>
      </c>
      <c r="B228" s="26" t="n">
        <v>44240</v>
      </c>
      <c r="C228" s="12" t="inlineStr">
        <is>
          <t>Client-055</t>
        </is>
      </c>
      <c r="D228" s="12" t="inlineStr">
        <is>
          <t>MS Rods</t>
        </is>
      </c>
      <c r="E228" s="12" t="n">
        <v>1.44</v>
      </c>
      <c r="F228" s="12" t="inlineStr">
        <is>
          <t>Edge damage</t>
        </is>
      </c>
      <c r="G228" s="12" t="inlineStr">
        <is>
          <t>VS34</t>
        </is>
      </c>
      <c r="H228" s="12" t="inlineStr">
        <is>
          <t>PO-2022-2239</t>
        </is>
      </c>
      <c r="I228" s="12" t="n">
        <v>1.44</v>
      </c>
      <c r="J228" s="17" t="n">
        <v>93239.89</v>
      </c>
      <c r="K228" s="14">
        <f>I228*J228</f>
        <v/>
      </c>
      <c r="L228" s="23">
        <f>IF(INDEX(PO_Facts!$I$2:$I$4801,MATCH(H228,PO_Facts!$A$2:$A$4801,0))&lt;=B228,"yes","FALLBACK: no earlier batch")</f>
        <v/>
      </c>
    </row>
    <row r="229">
      <c r="A229" s="12" t="inlineStr">
        <is>
          <t>RET-0364</t>
        </is>
      </c>
      <c r="B229" s="26" t="n">
        <v>44433</v>
      </c>
      <c r="C229" s="12" t="inlineStr">
        <is>
          <t>Client-044</t>
        </is>
      </c>
      <c r="D229" s="12" t="inlineStr">
        <is>
          <t>SS Sheets</t>
        </is>
      </c>
      <c r="E229" s="12" t="n">
        <v>4.39</v>
      </c>
      <c r="F229" s="12" t="inlineStr">
        <is>
          <t>Weight short</t>
        </is>
      </c>
      <c r="G229" s="12" t="inlineStr">
        <is>
          <t>VS03</t>
        </is>
      </c>
      <c r="H229" s="12" t="inlineStr">
        <is>
          <t>PO-2021-0806</t>
        </is>
      </c>
      <c r="I229" s="12" t="n">
        <v>4.39</v>
      </c>
      <c r="J229" s="17" t="n">
        <v>87173.53</v>
      </c>
      <c r="K229" s="14">
        <f>I229*J229</f>
        <v/>
      </c>
      <c r="L229" s="23">
        <f>IF(INDEX(PO_Facts!$I$2:$I$4801,MATCH(H229,PO_Facts!$A$2:$A$4801,0))&lt;=B229,"yes","FALLBACK: no earlier batch")</f>
        <v/>
      </c>
    </row>
    <row r="230">
      <c r="A230" s="12" t="inlineStr">
        <is>
          <t>RET-0365</t>
        </is>
      </c>
      <c r="B230" s="26" t="n">
        <v>44914</v>
      </c>
      <c r="C230" s="12" t="inlineStr">
        <is>
          <t>Client-023</t>
        </is>
      </c>
      <c r="D230" s="12" t="inlineStr">
        <is>
          <t>GI Sheets</t>
        </is>
      </c>
      <c r="E230" s="12" t="n">
        <v>1.78</v>
      </c>
      <c r="F230" s="12" t="inlineStr">
        <is>
          <t>Weight short</t>
        </is>
      </c>
      <c r="G230" s="12" t="inlineStr">
        <is>
          <t>VS19</t>
        </is>
      </c>
      <c r="H230" s="12" t="inlineStr">
        <is>
          <t>PO-2021-1161</t>
        </is>
      </c>
      <c r="I230" s="12" t="n">
        <v>1.78</v>
      </c>
      <c r="J230" s="17" t="n">
        <v>78664.88</v>
      </c>
      <c r="K230" s="14">
        <f>I230*J230</f>
        <v/>
      </c>
      <c r="L230" s="23">
        <f>IF(INDEX(PO_Facts!$I$2:$I$4801,MATCH(H230,PO_Facts!$A$2:$A$4801,0))&lt;=B230,"yes","FALLBACK: no earlier batch")</f>
        <v/>
      </c>
    </row>
    <row r="231">
      <c r="A231" s="12" t="inlineStr">
        <is>
          <t>RET-0366</t>
        </is>
      </c>
      <c r="B231" s="26" t="n">
        <v>45004</v>
      </c>
      <c r="C231" s="12" t="inlineStr">
        <is>
          <t>Client-061</t>
        </is>
      </c>
      <c r="D231" s="12" t="inlineStr">
        <is>
          <t>Spring Steel</t>
        </is>
      </c>
      <c r="E231" s="12" t="n">
        <v>4.08</v>
      </c>
      <c r="F231" s="12" t="inlineStr">
        <is>
          <t>Wrong dimensions</t>
        </is>
      </c>
      <c r="G231" s="12" t="inlineStr">
        <is>
          <t>VS32</t>
        </is>
      </c>
      <c r="H231" s="12" t="inlineStr">
        <is>
          <t>PO-2021-1058</t>
        </is>
      </c>
      <c r="I231" s="12" t="n">
        <v>4.08</v>
      </c>
      <c r="J231" s="17" t="n">
        <v>61839.02</v>
      </c>
      <c r="K231" s="14">
        <f>I231*J231</f>
        <v/>
      </c>
      <c r="L231" s="23">
        <f>IF(INDEX(PO_Facts!$I$2:$I$4801,MATCH(H231,PO_Facts!$A$2:$A$4801,0))&lt;=B231,"yes","FALLBACK: no earlier batch")</f>
        <v/>
      </c>
    </row>
    <row r="232">
      <c r="A232" s="12" t="inlineStr">
        <is>
          <t>RET-0367</t>
        </is>
      </c>
      <c r="B232" s="26" t="n">
        <v>44992</v>
      </c>
      <c r="C232" s="12" t="inlineStr">
        <is>
          <t>Client-004</t>
        </is>
      </c>
      <c r="D232" s="12" t="inlineStr">
        <is>
          <t>SS Pipes</t>
        </is>
      </c>
      <c r="E232" s="12" t="n">
        <v>1.2</v>
      </c>
      <c r="F232" s="12" t="inlineStr">
        <is>
          <t>Wrong dimensions</t>
        </is>
      </c>
      <c r="G232" s="12" t="inlineStr">
        <is>
          <t>VS12</t>
        </is>
      </c>
      <c r="H232" s="12" t="inlineStr">
        <is>
          <t>PO-2022-1642</t>
        </is>
      </c>
      <c r="I232" s="12" t="n">
        <v>1.2</v>
      </c>
      <c r="J232" s="17" t="n">
        <v>68164.61</v>
      </c>
      <c r="K232" s="14">
        <f>I232*J232</f>
        <v/>
      </c>
      <c r="L232" s="23">
        <f>IF(INDEX(PO_Facts!$I$2:$I$4801,MATCH(H232,PO_Facts!$A$2:$A$4801,0))&lt;=B232,"yes","FALLBACK: no earlier batch")</f>
        <v/>
      </c>
    </row>
    <row r="233">
      <c r="A233" s="12" t="inlineStr">
        <is>
          <t>RET-0369</t>
        </is>
      </c>
      <c r="B233" s="26" t="n">
        <v>44949</v>
      </c>
      <c r="C233" s="12" t="inlineStr">
        <is>
          <t>Client-044</t>
        </is>
      </c>
      <c r="D233" s="12" t="inlineStr">
        <is>
          <t>GI Pipes</t>
        </is>
      </c>
      <c r="E233" s="12" t="n">
        <v>3.26</v>
      </c>
      <c r="F233" s="12" t="inlineStr">
        <is>
          <t>Surface rust</t>
        </is>
      </c>
      <c r="G233" s="12" t="inlineStr">
        <is>
          <t>VS05</t>
        </is>
      </c>
      <c r="H233" s="12" t="inlineStr">
        <is>
          <t>PO-2023-3353</t>
        </is>
      </c>
      <c r="I233" s="12" t="n">
        <v>3.26</v>
      </c>
      <c r="J233" s="17" t="n">
        <v>90880.07000000001</v>
      </c>
      <c r="K233" s="14">
        <f>I233*J233</f>
        <v/>
      </c>
      <c r="L233" s="23">
        <f>IF(INDEX(PO_Facts!$I$2:$I$4801,MATCH(H233,PO_Facts!$A$2:$A$4801,0))&lt;=B233,"yes","FALLBACK: no earlier batch")</f>
        <v/>
      </c>
    </row>
    <row r="234">
      <c r="A234" s="12" t="inlineStr">
        <is>
          <t>RET-0371</t>
        </is>
      </c>
      <c r="B234" s="26" t="n">
        <v>45084</v>
      </c>
      <c r="C234" s="12" t="inlineStr">
        <is>
          <t>Client-077</t>
        </is>
      </c>
      <c r="D234" s="12" t="inlineStr">
        <is>
          <t>SS Pipes</t>
        </is>
      </c>
      <c r="E234" s="12" t="n">
        <v>4.89</v>
      </c>
      <c r="F234" s="12" t="inlineStr">
        <is>
          <t>Weight short</t>
        </is>
      </c>
      <c r="G234" s="12" t="inlineStr">
        <is>
          <t>VS24</t>
        </is>
      </c>
      <c r="H234" s="12" t="inlineStr">
        <is>
          <t>PO-2023-3730</t>
        </is>
      </c>
      <c r="I234" s="12" t="n">
        <v>4.89</v>
      </c>
      <c r="J234" s="17" t="n">
        <v>74384.25999999999</v>
      </c>
      <c r="K234" s="14">
        <f>I234*J234</f>
        <v/>
      </c>
      <c r="L234" s="23">
        <f>IF(INDEX(PO_Facts!$I$2:$I$4801,MATCH(H234,PO_Facts!$A$2:$A$4801,0))&lt;=B234,"yes","FALLBACK: no earlier batch")</f>
        <v/>
      </c>
    </row>
    <row r="235">
      <c r="A235" s="12" t="inlineStr">
        <is>
          <t>RET-0372</t>
        </is>
      </c>
      <c r="B235" s="26" t="n">
        <v>44697</v>
      </c>
      <c r="C235" s="12" t="inlineStr">
        <is>
          <t>Client-037</t>
        </is>
      </c>
      <c r="D235" s="12" t="inlineStr">
        <is>
          <t>HR Coils</t>
        </is>
      </c>
      <c r="E235" s="12" t="n">
        <v>0.55</v>
      </c>
      <c r="F235" s="12" t="inlineStr">
        <is>
          <t>Wrong dimensions</t>
        </is>
      </c>
      <c r="G235" s="12" t="inlineStr">
        <is>
          <t>VS33</t>
        </is>
      </c>
      <c r="H235" s="12" t="inlineStr">
        <is>
          <t>PO-2021-1071</t>
        </is>
      </c>
      <c r="I235" s="12" t="n">
        <v>0.55</v>
      </c>
      <c r="J235" s="17" t="n">
        <v>104633.01</v>
      </c>
      <c r="K235" s="14">
        <f>I235*J235</f>
        <v/>
      </c>
      <c r="L235" s="23">
        <f>IF(INDEX(PO_Facts!$I$2:$I$4801,MATCH(H235,PO_Facts!$A$2:$A$4801,0))&lt;=B235,"yes","FALLBACK: no earlier batch")</f>
        <v/>
      </c>
    </row>
    <row r="236">
      <c r="A236" s="12" t="inlineStr">
        <is>
          <t>RET-0373</t>
        </is>
      </c>
      <c r="B236" s="26" t="n">
        <v>44262</v>
      </c>
      <c r="C236" s="12" t="inlineStr">
        <is>
          <t>Client-065</t>
        </is>
      </c>
      <c r="D236" s="12" t="inlineStr">
        <is>
          <t>GI Wire</t>
        </is>
      </c>
      <c r="E236" s="12" t="n">
        <v>0.53</v>
      </c>
      <c r="F236" s="12" t="inlineStr">
        <is>
          <t>Edge damage</t>
        </is>
      </c>
      <c r="G236" s="12" t="inlineStr">
        <is>
          <t>VS19</t>
        </is>
      </c>
      <c r="H236" s="12" t="inlineStr">
        <is>
          <t>PO-2023-4271</t>
        </is>
      </c>
      <c r="I236" s="12" t="n">
        <v>0.53</v>
      </c>
      <c r="J236" s="17" t="n">
        <v>68537.2</v>
      </c>
      <c r="K236" s="14">
        <f>I236*J236</f>
        <v/>
      </c>
      <c r="L236" s="23">
        <f>IF(INDEX(PO_Facts!$I$2:$I$4801,MATCH(H236,PO_Facts!$A$2:$A$4801,0))&lt;=B236,"yes","FALLBACK: no earlier batch")</f>
        <v/>
      </c>
    </row>
    <row r="237">
      <c r="A237" s="12" t="inlineStr">
        <is>
          <t>RET-0374</t>
        </is>
      </c>
      <c r="B237" s="26" t="n">
        <v>45063</v>
      </c>
      <c r="C237" s="12" t="inlineStr">
        <is>
          <t>Client-003</t>
        </is>
      </c>
      <c r="D237" s="12" t="inlineStr">
        <is>
          <t>MS Rods</t>
        </is>
      </c>
      <c r="E237" s="12" t="n">
        <v>4.85</v>
      </c>
      <c r="F237" s="12" t="inlineStr">
        <is>
          <t>Grade mismatch</t>
        </is>
      </c>
      <c r="G237" s="12" t="inlineStr">
        <is>
          <t>VS03</t>
        </is>
      </c>
      <c r="H237" s="12" t="inlineStr">
        <is>
          <t>PO-2021-0539</t>
        </is>
      </c>
      <c r="I237" s="12" t="n">
        <v>4.85</v>
      </c>
      <c r="J237" s="17" t="n">
        <v>72656.53999999999</v>
      </c>
      <c r="K237" s="14">
        <f>I237*J237</f>
        <v/>
      </c>
      <c r="L237" s="23">
        <f>IF(INDEX(PO_Facts!$I$2:$I$4801,MATCH(H237,PO_Facts!$A$2:$A$4801,0))&lt;=B237,"yes","FALLBACK: no earlier batch")</f>
        <v/>
      </c>
    </row>
    <row r="238">
      <c r="A238" s="12" t="inlineStr">
        <is>
          <t>RET-0375</t>
        </is>
      </c>
      <c r="B238" s="26" t="n">
        <v>44946</v>
      </c>
      <c r="C238" s="12" t="inlineStr">
        <is>
          <t>Client-033</t>
        </is>
      </c>
      <c r="D238" s="12" t="inlineStr">
        <is>
          <t>SS Pipes</t>
        </is>
      </c>
      <c r="E238" s="12" t="n">
        <v>4.66</v>
      </c>
      <c r="F238" s="12" t="inlineStr">
        <is>
          <t>Weight short</t>
        </is>
      </c>
      <c r="G238" s="12" t="inlineStr">
        <is>
          <t>VS14</t>
        </is>
      </c>
      <c r="H238" s="12" t="inlineStr">
        <is>
          <t>PO-2021-1021</t>
        </is>
      </c>
      <c r="I238" s="12" t="n">
        <v>4.66</v>
      </c>
      <c r="J238" s="17" t="n">
        <v>70177.10000000001</v>
      </c>
      <c r="K238" s="14">
        <f>I238*J238</f>
        <v/>
      </c>
      <c r="L238" s="23">
        <f>IF(INDEX(PO_Facts!$I$2:$I$4801,MATCH(H238,PO_Facts!$A$2:$A$4801,0))&lt;=B238,"yes","FALLBACK: no earlier batch")</f>
        <v/>
      </c>
    </row>
    <row r="239">
      <c r="A239" s="12" t="inlineStr">
        <is>
          <t>RET-0376</t>
        </is>
      </c>
      <c r="B239" s="26" t="n">
        <v>44646</v>
      </c>
      <c r="C239" s="12" t="inlineStr">
        <is>
          <t>Client-067</t>
        </is>
      </c>
      <c r="D239" s="12" t="inlineStr">
        <is>
          <t>GI Wire</t>
        </is>
      </c>
      <c r="E239" s="12" t="n">
        <v>0.4</v>
      </c>
      <c r="F239" s="12" t="inlineStr">
        <is>
          <t>Grade mismatch</t>
        </is>
      </c>
      <c r="G239" s="12" t="inlineStr">
        <is>
          <t>VS12</t>
        </is>
      </c>
      <c r="H239" s="12" t="inlineStr">
        <is>
          <t>PO-2023-3678</t>
        </is>
      </c>
      <c r="I239" s="12" t="n">
        <v>0.4</v>
      </c>
      <c r="J239" s="17" t="n">
        <v>61116.11</v>
      </c>
      <c r="K239" s="14">
        <f>I239*J239</f>
        <v/>
      </c>
      <c r="L239" s="23">
        <f>IF(INDEX(PO_Facts!$I$2:$I$4801,MATCH(H239,PO_Facts!$A$2:$A$4801,0))&lt;=B239,"yes","FALLBACK: no earlier batch")</f>
        <v/>
      </c>
    </row>
    <row r="240">
      <c r="A240" s="12" t="inlineStr">
        <is>
          <t>RET-0377</t>
        </is>
      </c>
      <c r="B240" s="26" t="n">
        <v>44736</v>
      </c>
      <c r="C240" s="12" t="inlineStr">
        <is>
          <t>Client-033</t>
        </is>
      </c>
      <c r="D240" s="12" t="inlineStr">
        <is>
          <t>SS Sheets</t>
        </is>
      </c>
      <c r="E240" s="12" t="n">
        <v>0.5600000000000001</v>
      </c>
      <c r="F240" s="12" t="inlineStr">
        <is>
          <t>Bend/warp</t>
        </is>
      </c>
      <c r="G240" s="12" t="inlineStr">
        <is>
          <t>VS12</t>
        </is>
      </c>
      <c r="H240" s="12" t="inlineStr">
        <is>
          <t>PO-2021-0746</t>
        </is>
      </c>
      <c r="I240" s="12" t="n">
        <v>0.5600000000000001</v>
      </c>
      <c r="J240" s="17" t="n">
        <v>99309.03999999999</v>
      </c>
      <c r="K240" s="14">
        <f>I240*J240</f>
        <v/>
      </c>
      <c r="L240" s="23">
        <f>IF(INDEX(PO_Facts!$I$2:$I$4801,MATCH(H240,PO_Facts!$A$2:$A$4801,0))&lt;=B240,"yes","FALLBACK: no earlier batch")</f>
        <v/>
      </c>
    </row>
    <row r="241">
      <c r="A241" s="12" t="inlineStr">
        <is>
          <t>RET-0378</t>
        </is>
      </c>
      <c r="B241" s="26" t="n">
        <v>44522</v>
      </c>
      <c r="C241" s="12" t="inlineStr">
        <is>
          <t>Client-037</t>
        </is>
      </c>
      <c r="D241" s="12" t="inlineStr">
        <is>
          <t>ERW Pipes</t>
        </is>
      </c>
      <c r="E241" s="12" t="n">
        <v>1.28</v>
      </c>
      <c r="F241" s="12" t="inlineStr">
        <is>
          <t>Grade mismatch</t>
        </is>
      </c>
      <c r="G241" s="12" t="inlineStr">
        <is>
          <t>VS32</t>
        </is>
      </c>
      <c r="H241" s="12" t="inlineStr">
        <is>
          <t>PO-2022-1625</t>
        </is>
      </c>
      <c r="I241" s="12" t="n">
        <v>1.28</v>
      </c>
      <c r="J241" s="17" t="n">
        <v>55696.69</v>
      </c>
      <c r="K241" s="14">
        <f>I241*J241</f>
        <v/>
      </c>
      <c r="L241" s="23">
        <f>IF(INDEX(PO_Facts!$I$2:$I$4801,MATCH(H241,PO_Facts!$A$2:$A$4801,0))&lt;=B241,"yes","FALLBACK: no earlier batch")</f>
        <v/>
      </c>
    </row>
    <row r="243">
      <c r="A243" s="4" t="inlineStr">
        <is>
          <t>Cap rule: a batch cannot return more than (received - rejected) MT in total, so a return is never counted twice against rejection. FALLBACK rows price the return from the supplier's earliest batch of that material because no earlier batch exists.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 ht="32" customHeight="1">
      <c r="A1" s="11" t="inlineStr">
        <is>
          <t>return_id</t>
        </is>
      </c>
      <c r="B1" s="11" t="inlineStr">
        <is>
          <t>candidate supplier</t>
        </is>
      </c>
      <c r="C1" s="11" t="inlineStr">
        <is>
          <t>probability</t>
        </is>
      </c>
      <c r="D1" s="11" t="inlineStr">
        <is>
          <t>matched_po (batch)</t>
        </is>
      </c>
      <c r="E1" s="11" t="inlineStr">
        <is>
          <t>qty_if_true_MT</t>
        </is>
      </c>
      <c r="F1" s="11" t="inlineStr">
        <is>
          <t>batch_price</t>
        </is>
      </c>
      <c r="G1" s="11" t="inlineStr">
        <is>
          <t>value if true</t>
        </is>
      </c>
      <c r="H1" s="11" t="inlineStr">
        <is>
          <t>EXPECTED VALUE (prob x value)</t>
        </is>
      </c>
    </row>
    <row r="2">
      <c r="A2" s="12" t="inlineStr">
        <is>
          <t>RET-0000</t>
        </is>
      </c>
      <c r="B2" s="12" t="inlineStr">
        <is>
          <t>VS01</t>
        </is>
      </c>
      <c r="C2" s="28" t="n">
        <v>0.0198</v>
      </c>
      <c r="D2" s="12" t="inlineStr">
        <is>
          <t>PO-2023-4280</t>
        </is>
      </c>
      <c r="E2" s="12" t="n">
        <v>4.57</v>
      </c>
      <c r="F2" s="17" t="n">
        <v>117934.93</v>
      </c>
      <c r="G2" s="14">
        <f>E2*F2</f>
        <v/>
      </c>
      <c r="H2" s="14">
        <f>C2*G2</f>
        <v/>
      </c>
    </row>
    <row r="3">
      <c r="A3" s="12" t="inlineStr">
        <is>
          <t>RET-0000</t>
        </is>
      </c>
      <c r="B3" s="12" t="inlineStr">
        <is>
          <t>VS02</t>
        </is>
      </c>
      <c r="C3" s="28" t="n">
        <v>0.008999999999999999</v>
      </c>
      <c r="D3" s="12" t="inlineStr">
        <is>
          <t>PO-2023-3787</t>
        </is>
      </c>
      <c r="E3" s="12" t="n">
        <v>4.57</v>
      </c>
      <c r="F3" s="17" t="n">
        <v>55424.92</v>
      </c>
      <c r="G3" s="14">
        <f>E3*F3</f>
        <v/>
      </c>
      <c r="H3" s="14">
        <f>C3*G3</f>
        <v/>
      </c>
    </row>
    <row r="4">
      <c r="A4" s="12" t="inlineStr">
        <is>
          <t>RET-0000</t>
        </is>
      </c>
      <c r="B4" s="12" t="inlineStr">
        <is>
          <t>VS03</t>
        </is>
      </c>
      <c r="C4" s="28" t="n">
        <v>0.1644</v>
      </c>
      <c r="D4" s="12" t="inlineStr">
        <is>
          <t>PO-2021-0229</t>
        </is>
      </c>
      <c r="E4" s="12" t="n">
        <v>4.57</v>
      </c>
      <c r="F4" s="17" t="n">
        <v>108506.52</v>
      </c>
      <c r="G4" s="14">
        <f>E4*F4</f>
        <v/>
      </c>
      <c r="H4" s="14">
        <f>C4*G4</f>
        <v/>
      </c>
    </row>
    <row r="5">
      <c r="A5" s="12" t="inlineStr">
        <is>
          <t>RET-0000</t>
        </is>
      </c>
      <c r="B5" s="12" t="inlineStr">
        <is>
          <t>VS04</t>
        </is>
      </c>
      <c r="C5" s="28" t="n">
        <v>0.0124</v>
      </c>
      <c r="D5" s="12" t="inlineStr">
        <is>
          <t>PO-2021-0166</t>
        </is>
      </c>
      <c r="E5" s="12" t="n">
        <v>4.57</v>
      </c>
      <c r="F5" s="17" t="n">
        <v>71373.46000000001</v>
      </c>
      <c r="G5" s="14">
        <f>E5*F5</f>
        <v/>
      </c>
      <c r="H5" s="14">
        <f>C5*G5</f>
        <v/>
      </c>
    </row>
    <row r="6">
      <c r="A6" s="12" t="inlineStr">
        <is>
          <t>RET-0000</t>
        </is>
      </c>
      <c r="B6" s="12" t="inlineStr">
        <is>
          <t>VS05</t>
        </is>
      </c>
      <c r="C6" s="28" t="n">
        <v>0.0161</v>
      </c>
      <c r="D6" s="12" t="inlineStr">
        <is>
          <t>PO-2022-2511</t>
        </is>
      </c>
      <c r="E6" s="12" t="n">
        <v>4.57</v>
      </c>
      <c r="F6" s="17" t="n">
        <v>83442.11</v>
      </c>
      <c r="G6" s="14">
        <f>E6*F6</f>
        <v/>
      </c>
      <c r="H6" s="14">
        <f>C6*G6</f>
        <v/>
      </c>
    </row>
    <row r="7">
      <c r="A7" s="12" t="inlineStr">
        <is>
          <t>RET-0000</t>
        </is>
      </c>
      <c r="B7" s="12" t="inlineStr">
        <is>
          <t>VS06</t>
        </is>
      </c>
      <c r="C7" s="28" t="n">
        <v>0.0162</v>
      </c>
      <c r="D7" s="12" t="inlineStr">
        <is>
          <t>PO-2021-0994</t>
        </is>
      </c>
      <c r="E7" s="12" t="n">
        <v>4.57</v>
      </c>
      <c r="F7" s="17" t="n">
        <v>45342.75</v>
      </c>
      <c r="G7" s="14">
        <f>E7*F7</f>
        <v/>
      </c>
      <c r="H7" s="14">
        <f>C7*G7</f>
        <v/>
      </c>
    </row>
    <row r="8">
      <c r="A8" s="12" t="inlineStr">
        <is>
          <t>RET-0000</t>
        </is>
      </c>
      <c r="B8" s="12" t="inlineStr">
        <is>
          <t>VS07</t>
        </is>
      </c>
      <c r="C8" s="28" t="n">
        <v>0.0054</v>
      </c>
      <c r="D8" s="12" t="inlineStr">
        <is>
          <t>PO-2022-2089</t>
        </is>
      </c>
      <c r="E8" s="12" t="n">
        <v>4.57</v>
      </c>
      <c r="F8" s="17" t="n">
        <v>60771.89</v>
      </c>
      <c r="G8" s="14">
        <f>E8*F8</f>
        <v/>
      </c>
      <c r="H8" s="14">
        <f>C8*G8</f>
        <v/>
      </c>
    </row>
    <row r="9">
      <c r="A9" s="12" t="inlineStr">
        <is>
          <t>RET-0000</t>
        </is>
      </c>
      <c r="B9" s="12" t="inlineStr">
        <is>
          <t>VS08</t>
        </is>
      </c>
      <c r="C9" s="28" t="n">
        <v>0.0164</v>
      </c>
      <c r="D9" s="12" t="inlineStr">
        <is>
          <t>PO-2021-1060</t>
        </is>
      </c>
      <c r="E9" s="12" t="n">
        <v>4.57</v>
      </c>
      <c r="F9" s="17" t="n">
        <v>81891.49000000001</v>
      </c>
      <c r="G9" s="14">
        <f>E9*F9</f>
        <v/>
      </c>
      <c r="H9" s="14">
        <f>C9*G9</f>
        <v/>
      </c>
    </row>
    <row r="10">
      <c r="A10" s="12" t="inlineStr">
        <is>
          <t>RET-0000</t>
        </is>
      </c>
      <c r="B10" s="12" t="inlineStr">
        <is>
          <t>VS09</t>
        </is>
      </c>
      <c r="C10" s="28" t="n">
        <v>0.0126</v>
      </c>
      <c r="D10" s="12" t="inlineStr">
        <is>
          <t>PO-2023-4224</t>
        </is>
      </c>
      <c r="E10" s="12" t="n">
        <v>4.57</v>
      </c>
      <c r="F10" s="17" t="n">
        <v>69824.55</v>
      </c>
      <c r="G10" s="14">
        <f>E10*F10</f>
        <v/>
      </c>
      <c r="H10" s="14">
        <f>C10*G10</f>
        <v/>
      </c>
    </row>
    <row r="11">
      <c r="A11" s="12" t="inlineStr">
        <is>
          <t>RET-0000</t>
        </is>
      </c>
      <c r="B11" s="12" t="inlineStr">
        <is>
          <t>VS10</t>
        </is>
      </c>
      <c r="C11" s="28" t="n">
        <v>0.0197</v>
      </c>
      <c r="D11" s="12" t="inlineStr">
        <is>
          <t>PO-2023-3857</t>
        </is>
      </c>
      <c r="E11" s="12" t="n">
        <v>4.57</v>
      </c>
      <c r="F11" s="17" t="n">
        <v>45504.57</v>
      </c>
      <c r="G11" s="14">
        <f>E11*F11</f>
        <v/>
      </c>
      <c r="H11" s="14">
        <f>C11*G11</f>
        <v/>
      </c>
    </row>
    <row r="12">
      <c r="A12" s="12" t="inlineStr">
        <is>
          <t>RET-0000</t>
        </is>
      </c>
      <c r="B12" s="12" t="inlineStr">
        <is>
          <t>VS11</t>
        </is>
      </c>
      <c r="C12" s="28" t="n">
        <v>0.0231</v>
      </c>
      <c r="D12" s="12" t="inlineStr">
        <is>
          <t>PO-2021-1370</t>
        </is>
      </c>
      <c r="E12" s="12" t="n">
        <v>4.57</v>
      </c>
      <c r="F12" s="17" t="n">
        <v>82685.63</v>
      </c>
      <c r="G12" s="14">
        <f>E12*F12</f>
        <v/>
      </c>
      <c r="H12" s="14">
        <f>C12*G12</f>
        <v/>
      </c>
    </row>
    <row r="13">
      <c r="A13" s="12" t="inlineStr">
        <is>
          <t>RET-0000</t>
        </is>
      </c>
      <c r="B13" s="12" t="inlineStr">
        <is>
          <t>VS12</t>
        </is>
      </c>
      <c r="C13" s="28" t="n">
        <v>0.2284</v>
      </c>
      <c r="D13" s="12" t="inlineStr">
        <is>
          <t>PO-2022-1818</t>
        </is>
      </c>
      <c r="E13" s="12" t="n">
        <v>2.284</v>
      </c>
      <c r="F13" s="17" t="n">
        <v>74074.06</v>
      </c>
      <c r="G13" s="14">
        <f>E13*F13</f>
        <v/>
      </c>
      <c r="H13" s="14">
        <f>C13*G13</f>
        <v/>
      </c>
    </row>
    <row r="14">
      <c r="A14" s="12" t="inlineStr">
        <is>
          <t>RET-0000</t>
        </is>
      </c>
      <c r="B14" s="12" t="inlineStr">
        <is>
          <t>VS13</t>
        </is>
      </c>
      <c r="C14" s="28" t="n">
        <v>0.0159</v>
      </c>
      <c r="D14" s="12" t="inlineStr">
        <is>
          <t>PO-2023-4005</t>
        </is>
      </c>
      <c r="E14" s="12" t="n">
        <v>4.57</v>
      </c>
      <c r="F14" s="17" t="n">
        <v>62051.83</v>
      </c>
      <c r="G14" s="14">
        <f>E14*F14</f>
        <v/>
      </c>
      <c r="H14" s="14">
        <f>C14*G14</f>
        <v/>
      </c>
    </row>
    <row r="15">
      <c r="A15" s="12" t="inlineStr">
        <is>
          <t>RET-0000</t>
        </is>
      </c>
      <c r="B15" s="12" t="inlineStr">
        <is>
          <t>VS14</t>
        </is>
      </c>
      <c r="C15" s="28" t="n">
        <v>0.0161</v>
      </c>
      <c r="D15" s="12" t="inlineStr">
        <is>
          <t>PO-2021-1522</t>
        </is>
      </c>
      <c r="E15" s="12" t="n">
        <v>4.57</v>
      </c>
      <c r="F15" s="17" t="n">
        <v>116935.12</v>
      </c>
      <c r="G15" s="14">
        <f>E15*F15</f>
        <v/>
      </c>
      <c r="H15" s="14">
        <f>C15*G15</f>
        <v/>
      </c>
    </row>
    <row r="16">
      <c r="A16" s="12" t="inlineStr">
        <is>
          <t>RET-0000</t>
        </is>
      </c>
      <c r="B16" s="12" t="inlineStr">
        <is>
          <t>VS15</t>
        </is>
      </c>
      <c r="C16" s="28" t="n">
        <v>0.0054</v>
      </c>
      <c r="D16" s="12" t="inlineStr">
        <is>
          <t>PO-2023-3635</t>
        </is>
      </c>
      <c r="E16" s="12" t="n">
        <v>4.57</v>
      </c>
      <c r="F16" s="17" t="n">
        <v>52010.43</v>
      </c>
      <c r="G16" s="14">
        <f>E16*F16</f>
        <v/>
      </c>
      <c r="H16" s="14">
        <f>C16*G16</f>
        <v/>
      </c>
    </row>
    <row r="17">
      <c r="A17" s="12" t="inlineStr">
        <is>
          <t>RET-0000</t>
        </is>
      </c>
      <c r="B17" s="12" t="inlineStr">
        <is>
          <t>VS16</t>
        </is>
      </c>
      <c r="C17" s="28" t="n">
        <v>0.0232</v>
      </c>
      <c r="D17" s="12" t="inlineStr">
        <is>
          <t>PO-2023-4746</t>
        </is>
      </c>
      <c r="E17" s="12" t="n">
        <v>4.57</v>
      </c>
      <c r="F17" s="17" t="n">
        <v>71197.46000000001</v>
      </c>
      <c r="G17" s="14">
        <f>E17*F17</f>
        <v/>
      </c>
      <c r="H17" s="14">
        <f>C17*G17</f>
        <v/>
      </c>
    </row>
    <row r="18">
      <c r="A18" s="12" t="inlineStr">
        <is>
          <t>RET-0000</t>
        </is>
      </c>
      <c r="B18" s="12" t="inlineStr">
        <is>
          <t>VS17</t>
        </is>
      </c>
      <c r="C18" s="28" t="n">
        <v>0.0231</v>
      </c>
      <c r="D18" s="12" t="inlineStr">
        <is>
          <t>PO-2022-2708</t>
        </is>
      </c>
      <c r="E18" s="12" t="n">
        <v>4.57</v>
      </c>
      <c r="F18" s="17" t="n">
        <v>89705.41</v>
      </c>
      <c r="G18" s="14">
        <f>E18*F18</f>
        <v/>
      </c>
      <c r="H18" s="14">
        <f>C18*G18</f>
        <v/>
      </c>
    </row>
    <row r="19">
      <c r="A19" s="12" t="inlineStr">
        <is>
          <t>RET-0000</t>
        </is>
      </c>
      <c r="B19" s="12" t="inlineStr">
        <is>
          <t>VS18</t>
        </is>
      </c>
      <c r="C19" s="28" t="n">
        <v>0.0161</v>
      </c>
      <c r="D19" s="12" t="inlineStr">
        <is>
          <t>PO-2023-4086</t>
        </is>
      </c>
      <c r="E19" s="12" t="n">
        <v>4.57</v>
      </c>
      <c r="F19" s="17" t="n">
        <v>64186.35</v>
      </c>
      <c r="G19" s="14">
        <f>E19*F19</f>
        <v/>
      </c>
      <c r="H19" s="14">
        <f>C19*G19</f>
        <v/>
      </c>
    </row>
    <row r="20">
      <c r="A20" s="12" t="inlineStr">
        <is>
          <t>RET-0000</t>
        </is>
      </c>
      <c r="B20" s="12" t="inlineStr">
        <is>
          <t>VS19</t>
        </is>
      </c>
      <c r="C20" s="28" t="n">
        <v>0.1723</v>
      </c>
      <c r="D20" s="12" t="inlineStr">
        <is>
          <t>PO-2022-1777</t>
        </is>
      </c>
      <c r="E20" s="12" t="n">
        <v>4.57</v>
      </c>
      <c r="F20" s="17" t="n">
        <v>121609.13</v>
      </c>
      <c r="G20" s="14">
        <f>E20*F20</f>
        <v/>
      </c>
      <c r="H20" s="14">
        <f>C20*G20</f>
        <v/>
      </c>
    </row>
    <row r="21">
      <c r="A21" s="12" t="inlineStr">
        <is>
          <t>RET-0000</t>
        </is>
      </c>
      <c r="B21" s="12" t="inlineStr">
        <is>
          <t>VS20</t>
        </is>
      </c>
      <c r="C21" s="28" t="n">
        <v>0.008999999999999999</v>
      </c>
      <c r="D21" s="12" t="inlineStr">
        <is>
          <t>PO-2022-2233</t>
        </is>
      </c>
      <c r="E21" s="12" t="n">
        <v>4.57</v>
      </c>
      <c r="F21" s="17" t="n">
        <v>96227.39999999999</v>
      </c>
      <c r="G21" s="14">
        <f>E21*F21</f>
        <v/>
      </c>
      <c r="H21" s="14">
        <f>C21*G21</f>
        <v/>
      </c>
    </row>
    <row r="22">
      <c r="A22" s="12" t="inlineStr">
        <is>
          <t>RET-0000</t>
        </is>
      </c>
      <c r="B22" s="12" t="inlineStr">
        <is>
          <t>VS21</t>
        </is>
      </c>
      <c r="C22" s="28" t="n">
        <v>0.008999999999999999</v>
      </c>
      <c r="D22" s="12" t="inlineStr">
        <is>
          <t>PO-2023-3648</t>
        </is>
      </c>
      <c r="E22" s="12" t="n">
        <v>4.57</v>
      </c>
      <c r="F22" s="17" t="n">
        <v>84755.72</v>
      </c>
      <c r="G22" s="14">
        <f>E22*F22</f>
        <v/>
      </c>
      <c r="H22" s="14">
        <f>C22*G22</f>
        <v/>
      </c>
    </row>
    <row r="23">
      <c r="A23" s="12" t="inlineStr">
        <is>
          <t>RET-0000</t>
        </is>
      </c>
      <c r="B23" s="12" t="inlineStr">
        <is>
          <t>VS22</t>
        </is>
      </c>
      <c r="C23" s="28" t="n">
        <v>0.0053</v>
      </c>
      <c r="D23" s="12" t="inlineStr">
        <is>
          <t>PO-2022-2014</t>
        </is>
      </c>
      <c r="E23" s="12" t="n">
        <v>4.57</v>
      </c>
      <c r="F23" s="17" t="n">
        <v>46764.78</v>
      </c>
      <c r="G23" s="14">
        <f>E23*F23</f>
        <v/>
      </c>
      <c r="H23" s="14">
        <f>C23*G23</f>
        <v/>
      </c>
    </row>
    <row r="24">
      <c r="A24" s="12" t="inlineStr">
        <is>
          <t>RET-0000</t>
        </is>
      </c>
      <c r="B24" s="12" t="inlineStr">
        <is>
          <t>VS23</t>
        </is>
      </c>
      <c r="C24" s="28" t="n">
        <v>0.008800000000000001</v>
      </c>
      <c r="D24" s="12" t="inlineStr">
        <is>
          <t>PO-2022-2399</t>
        </is>
      </c>
      <c r="E24" s="12" t="n">
        <v>4.57</v>
      </c>
      <c r="F24" s="17" t="n">
        <v>95449.35000000001</v>
      </c>
      <c r="G24" s="14">
        <f>E24*F24</f>
        <v/>
      </c>
      <c r="H24" s="14">
        <f>C24*G24</f>
        <v/>
      </c>
    </row>
    <row r="25">
      <c r="A25" s="12" t="inlineStr">
        <is>
          <t>RET-0000</t>
        </is>
      </c>
      <c r="B25" s="12" t="inlineStr">
        <is>
          <t>VS24</t>
        </is>
      </c>
      <c r="C25" s="28" t="n">
        <v>0.0089</v>
      </c>
      <c r="D25" s="12" t="inlineStr">
        <is>
          <t>PO-2022-2131</t>
        </is>
      </c>
      <c r="E25" s="12" t="n">
        <v>4.57</v>
      </c>
      <c r="F25" s="17" t="n">
        <v>77561.17</v>
      </c>
      <c r="G25" s="14">
        <f>E25*F25</f>
        <v/>
      </c>
      <c r="H25" s="14">
        <f>C25*G25</f>
        <v/>
      </c>
    </row>
    <row r="26">
      <c r="A26" s="12" t="inlineStr">
        <is>
          <t>RET-0000</t>
        </is>
      </c>
      <c r="B26" s="12" t="inlineStr">
        <is>
          <t>VS25</t>
        </is>
      </c>
      <c r="C26" s="28" t="n">
        <v>0.0162</v>
      </c>
      <c r="D26" s="12" t="inlineStr">
        <is>
          <t>PO-2022-2273</t>
        </is>
      </c>
      <c r="E26" s="12" t="n">
        <v>4.57</v>
      </c>
      <c r="F26" s="17" t="n">
        <v>74007.53999999999</v>
      </c>
      <c r="G26" s="14">
        <f>E26*F26</f>
        <v/>
      </c>
      <c r="H26" s="14">
        <f>C26*G26</f>
        <v/>
      </c>
    </row>
    <row r="27">
      <c r="A27" s="12" t="inlineStr">
        <is>
          <t>RET-0000</t>
        </is>
      </c>
      <c r="B27" s="12" t="inlineStr">
        <is>
          <t>VS26</t>
        </is>
      </c>
      <c r="C27" s="28" t="n">
        <v>0.008999999999999999</v>
      </c>
      <c r="D27" s="12" t="inlineStr">
        <is>
          <t>PO-2022-1986</t>
        </is>
      </c>
      <c r="E27" s="12" t="n">
        <v>2.923</v>
      </c>
      <c r="F27" s="17" t="n">
        <v>114674.22</v>
      </c>
      <c r="G27" s="14">
        <f>E27*F27</f>
        <v/>
      </c>
      <c r="H27" s="14">
        <f>C27*G27</f>
        <v/>
      </c>
    </row>
    <row r="28">
      <c r="A28" s="12" t="inlineStr">
        <is>
          <t>RET-0000</t>
        </is>
      </c>
      <c r="B28" s="12" t="inlineStr">
        <is>
          <t>VS27</t>
        </is>
      </c>
      <c r="C28" s="28" t="n">
        <v>0.008800000000000001</v>
      </c>
      <c r="D28" s="12" t="inlineStr">
        <is>
          <t>PO-2023-4629</t>
        </is>
      </c>
      <c r="E28" s="12" t="n">
        <v>4.57</v>
      </c>
      <c r="F28" s="17" t="n">
        <v>109839.57</v>
      </c>
      <c r="G28" s="14">
        <f>E28*F28</f>
        <v/>
      </c>
      <c r="H28" s="14">
        <f>C28*G28</f>
        <v/>
      </c>
    </row>
    <row r="29">
      <c r="A29" s="12" t="inlineStr">
        <is>
          <t>RET-0000</t>
        </is>
      </c>
      <c r="B29" s="12" t="inlineStr">
        <is>
          <t>VS28</t>
        </is>
      </c>
      <c r="C29" s="28" t="n">
        <v>0.0197</v>
      </c>
      <c r="D29" s="12" t="inlineStr">
        <is>
          <t>PO-2023-3384</t>
        </is>
      </c>
      <c r="E29" s="12" t="n">
        <v>3.946</v>
      </c>
      <c r="F29" s="17" t="n">
        <v>77840.46000000001</v>
      </c>
      <c r="G29" s="14">
        <f>E29*F29</f>
        <v/>
      </c>
      <c r="H29" s="14">
        <f>C29*G29</f>
        <v/>
      </c>
    </row>
    <row r="30">
      <c r="A30" s="12" t="inlineStr">
        <is>
          <t>RET-0000</t>
        </is>
      </c>
      <c r="B30" s="12" t="inlineStr">
        <is>
          <t>VS29</t>
        </is>
      </c>
      <c r="C30" s="28" t="n">
        <v>0.0125</v>
      </c>
      <c r="D30" s="12" t="inlineStr">
        <is>
          <t>PO-2021-0892</t>
        </is>
      </c>
      <c r="E30" s="12" t="n">
        <v>4.57</v>
      </c>
      <c r="F30" s="17" t="n">
        <v>67673.87</v>
      </c>
      <c r="G30" s="14">
        <f>E30*F30</f>
        <v/>
      </c>
      <c r="H30" s="14">
        <f>C30*G30</f>
        <v/>
      </c>
    </row>
    <row r="31">
      <c r="A31" s="12" t="inlineStr">
        <is>
          <t>RET-0000</t>
        </is>
      </c>
      <c r="B31" s="12" t="inlineStr">
        <is>
          <t>VS30</t>
        </is>
      </c>
      <c r="C31" s="28" t="n">
        <v>0.0054</v>
      </c>
      <c r="D31" s="12" t="inlineStr">
        <is>
          <t>PO-2023-4789</t>
        </is>
      </c>
      <c r="E31" s="12" t="n">
        <v>2.02</v>
      </c>
      <c r="F31" s="17" t="n">
        <v>90965.58</v>
      </c>
      <c r="G31" s="14">
        <f>E31*F31</f>
        <v/>
      </c>
      <c r="H31" s="14">
        <f>C31*G31</f>
        <v/>
      </c>
    </row>
    <row r="32">
      <c r="A32" s="12" t="inlineStr">
        <is>
          <t>RET-0000</t>
        </is>
      </c>
      <c r="B32" s="12" t="inlineStr">
        <is>
          <t>VS31</t>
        </is>
      </c>
      <c r="C32" s="28" t="n">
        <v>0.0197</v>
      </c>
      <c r="D32" s="12" t="inlineStr">
        <is>
          <t>PO-2021-1261</t>
        </is>
      </c>
      <c r="E32" s="12" t="n">
        <v>4.57</v>
      </c>
      <c r="F32" s="17" t="n">
        <v>112521.55</v>
      </c>
      <c r="G32" s="14">
        <f>E32*F32</f>
        <v/>
      </c>
      <c r="H32" s="14">
        <f>C32*G32</f>
        <v/>
      </c>
    </row>
    <row r="33">
      <c r="A33" s="12" t="inlineStr">
        <is>
          <t>RET-0000</t>
        </is>
      </c>
      <c r="B33" s="12" t="inlineStr">
        <is>
          <t>VS32</t>
        </is>
      </c>
      <c r="C33" s="28" t="n">
        <v>0.0234</v>
      </c>
      <c r="D33" s="12" t="inlineStr">
        <is>
          <t>PO-2023-4000</t>
        </is>
      </c>
      <c r="E33" s="12" t="n">
        <v>4.57</v>
      </c>
      <c r="F33" s="17" t="n">
        <v>118026.2</v>
      </c>
      <c r="G33" s="14">
        <f>E33*F33</f>
        <v/>
      </c>
      <c r="H33" s="14">
        <f>C33*G33</f>
        <v/>
      </c>
    </row>
    <row r="34">
      <c r="A34" s="12" t="inlineStr">
        <is>
          <t>RET-0000</t>
        </is>
      </c>
      <c r="B34" s="12" t="inlineStr">
        <is>
          <t>VS33</t>
        </is>
      </c>
      <c r="C34" s="28" t="n">
        <v>0.0125</v>
      </c>
      <c r="D34" s="12" t="inlineStr">
        <is>
          <t>PO-2021-1510</t>
        </is>
      </c>
      <c r="E34" s="12" t="n">
        <v>4.57</v>
      </c>
      <c r="F34" s="17" t="n">
        <v>77082.38</v>
      </c>
      <c r="G34" s="14">
        <f>E34*F34</f>
        <v/>
      </c>
      <c r="H34" s="14">
        <f>C34*G34</f>
        <v/>
      </c>
    </row>
    <row r="35">
      <c r="A35" s="12" t="inlineStr">
        <is>
          <t>RET-0000</t>
        </is>
      </c>
      <c r="B35" s="12" t="inlineStr">
        <is>
          <t>VS34</t>
        </is>
      </c>
      <c r="C35" s="28" t="n">
        <v>0.0161</v>
      </c>
      <c r="D35" s="12" t="inlineStr">
        <is>
          <t>PO-2021-0569</t>
        </is>
      </c>
      <c r="E35" s="12" t="n">
        <v>4.57</v>
      </c>
      <c r="F35" s="17" t="n">
        <v>110313.69</v>
      </c>
      <c r="G35" s="14">
        <f>E35*F35</f>
        <v/>
      </c>
      <c r="H35" s="14">
        <f>C35*G35</f>
        <v/>
      </c>
    </row>
    <row r="36">
      <c r="A36" s="12" t="inlineStr">
        <is>
          <t>RET-0001</t>
        </is>
      </c>
      <c r="B36" s="12" t="inlineStr">
        <is>
          <t>VS01</t>
        </is>
      </c>
      <c r="C36" s="28" t="n">
        <v>0.0342</v>
      </c>
      <c r="D36" s="12" t="inlineStr">
        <is>
          <t>PO-2022-3022</t>
        </is>
      </c>
      <c r="E36" s="12" t="n">
        <v>3.46</v>
      </c>
      <c r="F36" s="17" t="n">
        <v>89681.73</v>
      </c>
      <c r="G36" s="14">
        <f>E36*F36</f>
        <v/>
      </c>
      <c r="H36" s="14">
        <f>C36*G36</f>
        <v/>
      </c>
    </row>
    <row r="37">
      <c r="A37" s="12" t="inlineStr">
        <is>
          <t>RET-0001</t>
        </is>
      </c>
      <c r="B37" s="12" t="inlineStr">
        <is>
          <t>VS02</t>
        </is>
      </c>
      <c r="C37" s="28" t="n">
        <v>0.0156</v>
      </c>
      <c r="D37" s="12" t="inlineStr">
        <is>
          <t>PO-2021-0456</t>
        </is>
      </c>
      <c r="E37" s="12" t="n">
        <v>3.46</v>
      </c>
      <c r="F37" s="17" t="n">
        <v>65398.54</v>
      </c>
      <c r="G37" s="14">
        <f>E37*F37</f>
        <v/>
      </c>
      <c r="H37" s="14">
        <f>C37*G37</f>
        <v/>
      </c>
    </row>
    <row r="38">
      <c r="A38" s="12" t="inlineStr">
        <is>
          <t>RET-0001</t>
        </is>
      </c>
      <c r="B38" s="12" t="inlineStr">
        <is>
          <t>VS03</t>
        </is>
      </c>
      <c r="C38" s="28" t="n">
        <v>0.0722</v>
      </c>
      <c r="D38" s="12" t="inlineStr">
        <is>
          <t>PO-2023-4110</t>
        </is>
      </c>
      <c r="E38" s="12" t="n">
        <v>3.46</v>
      </c>
      <c r="F38" s="17" t="n">
        <v>123030.57</v>
      </c>
      <c r="G38" s="14">
        <f>E38*F38</f>
        <v/>
      </c>
      <c r="H38" s="14">
        <f>C38*G38</f>
        <v/>
      </c>
    </row>
    <row r="39">
      <c r="A39" s="12" t="inlineStr">
        <is>
          <t>RET-0001</t>
        </is>
      </c>
      <c r="B39" s="12" t="inlineStr">
        <is>
          <t>VS04</t>
        </is>
      </c>
      <c r="C39" s="28" t="n">
        <v>0.0214</v>
      </c>
      <c r="D39" s="12" t="inlineStr">
        <is>
          <t>PO-2023-3927</t>
        </is>
      </c>
      <c r="E39" s="12" t="n">
        <v>3.46</v>
      </c>
      <c r="F39" s="17" t="n">
        <v>54233.12</v>
      </c>
      <c r="G39" s="14">
        <f>E39*F39</f>
        <v/>
      </c>
      <c r="H39" s="14">
        <f>C39*G39</f>
        <v/>
      </c>
    </row>
    <row r="40">
      <c r="A40" s="12" t="inlineStr">
        <is>
          <t>RET-0001</t>
        </is>
      </c>
      <c r="B40" s="12" t="inlineStr">
        <is>
          <t>VS05</t>
        </is>
      </c>
      <c r="C40" s="28" t="n">
        <v>0.0278</v>
      </c>
      <c r="D40" s="12" t="inlineStr">
        <is>
          <t>PO-2022-2337</t>
        </is>
      </c>
      <c r="E40" s="12" t="n">
        <v>3.46</v>
      </c>
      <c r="F40" s="17" t="n">
        <v>90586.32000000001</v>
      </c>
      <c r="G40" s="14">
        <f>E40*F40</f>
        <v/>
      </c>
      <c r="H40" s="14">
        <f>C40*G40</f>
        <v/>
      </c>
    </row>
    <row r="41">
      <c r="A41" s="12" t="inlineStr">
        <is>
          <t>RET-0001</t>
        </is>
      </c>
      <c r="B41" s="12" t="inlineStr">
        <is>
          <t>VS06</t>
        </is>
      </c>
      <c r="C41" s="28" t="n">
        <v>0.0281</v>
      </c>
      <c r="D41" s="12" t="inlineStr">
        <is>
          <t>PO-2021-1169</t>
        </is>
      </c>
      <c r="E41" s="12" t="n">
        <v>3.46</v>
      </c>
      <c r="F41" s="17" t="n">
        <v>77469.72</v>
      </c>
      <c r="G41" s="14">
        <f>E41*F41</f>
        <v/>
      </c>
      <c r="H41" s="14">
        <f>C41*G41</f>
        <v/>
      </c>
    </row>
    <row r="42">
      <c r="A42" s="12" t="inlineStr">
        <is>
          <t>RET-0001</t>
        </is>
      </c>
      <c r="B42" s="12" t="inlineStr">
        <is>
          <t>VS07</t>
        </is>
      </c>
      <c r="C42" s="28" t="n">
        <v>0.0094</v>
      </c>
      <c r="D42" s="12" t="inlineStr">
        <is>
          <t>PO-2023-4451</t>
        </is>
      </c>
      <c r="E42" s="12" t="n">
        <v>1.743</v>
      </c>
      <c r="F42" s="17" t="n">
        <v>56030.8</v>
      </c>
      <c r="G42" s="14">
        <f>E42*F42</f>
        <v/>
      </c>
      <c r="H42" s="14">
        <f>C42*G42</f>
        <v/>
      </c>
    </row>
    <row r="43">
      <c r="A43" s="12" t="inlineStr">
        <is>
          <t>RET-0001</t>
        </is>
      </c>
      <c r="B43" s="12" t="inlineStr">
        <is>
          <t>VS08</t>
        </is>
      </c>
      <c r="C43" s="28" t="n">
        <v>0.0283</v>
      </c>
      <c r="D43" s="12" t="inlineStr">
        <is>
          <t>PO-2023-3409</t>
        </is>
      </c>
      <c r="E43" s="12" t="n">
        <v>3.46</v>
      </c>
      <c r="F43" s="17" t="n">
        <v>90846.14</v>
      </c>
      <c r="G43" s="14">
        <f>E43*F43</f>
        <v/>
      </c>
      <c r="H43" s="14">
        <f>C43*G43</f>
        <v/>
      </c>
    </row>
    <row r="44">
      <c r="A44" s="12" t="inlineStr">
        <is>
          <t>RET-0001</t>
        </is>
      </c>
      <c r="B44" s="12" t="inlineStr">
        <is>
          <t>VS09</t>
        </is>
      </c>
      <c r="C44" s="28" t="n">
        <v>0.0217</v>
      </c>
      <c r="D44" s="12" t="inlineStr">
        <is>
          <t>PO-2023-4381</t>
        </is>
      </c>
      <c r="E44" s="12" t="n">
        <v>3.46</v>
      </c>
      <c r="F44" s="17" t="n">
        <v>80746.59</v>
      </c>
      <c r="G44" s="14">
        <f>E44*F44</f>
        <v/>
      </c>
      <c r="H44" s="14">
        <f>C44*G44</f>
        <v/>
      </c>
    </row>
    <row r="45">
      <c r="A45" s="12" t="inlineStr">
        <is>
          <t>RET-0001</t>
        </is>
      </c>
      <c r="B45" s="12" t="inlineStr">
        <is>
          <t>VS10</t>
        </is>
      </c>
      <c r="C45" s="28" t="n">
        <v>0.0341</v>
      </c>
      <c r="D45" s="12" t="inlineStr">
        <is>
          <t>PO-2023-4770</t>
        </is>
      </c>
      <c r="E45" s="12" t="n">
        <v>3.46</v>
      </c>
      <c r="F45" s="17" t="n">
        <v>109886.01</v>
      </c>
      <c r="G45" s="14">
        <f>E45*F45</f>
        <v/>
      </c>
      <c r="H45" s="14">
        <f>C45*G45</f>
        <v/>
      </c>
    </row>
    <row r="46">
      <c r="A46" s="12" t="inlineStr">
        <is>
          <t>RET-0001</t>
        </is>
      </c>
      <c r="B46" s="12" t="inlineStr">
        <is>
          <t>VS11</t>
        </is>
      </c>
      <c r="C46" s="28" t="n">
        <v>0.04</v>
      </c>
      <c r="D46" s="12" t="inlineStr">
        <is>
          <t>PO-2021-0749</t>
        </is>
      </c>
      <c r="E46" s="12" t="n">
        <v>3.46</v>
      </c>
      <c r="F46" s="17" t="n">
        <v>68765.87</v>
      </c>
      <c r="G46" s="14">
        <f>E46*F46</f>
        <v/>
      </c>
      <c r="H46" s="14">
        <f>C46*G46</f>
        <v/>
      </c>
    </row>
    <row r="47">
      <c r="A47" s="12" t="inlineStr">
        <is>
          <t>RET-0001</t>
        </is>
      </c>
      <c r="B47" s="12" t="inlineStr">
        <is>
          <t>VS12</t>
        </is>
      </c>
      <c r="C47" s="28" t="n">
        <v>0.1004</v>
      </c>
      <c r="D47" s="12" t="inlineStr">
        <is>
          <t>PO-2021-0843</t>
        </is>
      </c>
      <c r="E47" s="12" t="n">
        <v>3.46</v>
      </c>
      <c r="F47" s="17" t="n">
        <v>58150.78</v>
      </c>
      <c r="G47" s="14">
        <f>E47*F47</f>
        <v/>
      </c>
      <c r="H47" s="14">
        <f>C47*G47</f>
        <v/>
      </c>
    </row>
    <row r="48">
      <c r="A48" s="12" t="inlineStr">
        <is>
          <t>RET-0001</t>
        </is>
      </c>
      <c r="B48" s="12" t="inlineStr">
        <is>
          <t>VS13</t>
        </is>
      </c>
      <c r="C48" s="28" t="n">
        <v>0.0275</v>
      </c>
      <c r="D48" s="12" t="inlineStr">
        <is>
          <t>PO-2021-0570</t>
        </is>
      </c>
      <c r="E48" s="12" t="n">
        <v>3.46</v>
      </c>
      <c r="F48" s="17" t="n">
        <v>87705.27</v>
      </c>
      <c r="G48" s="14">
        <f>E48*F48</f>
        <v/>
      </c>
      <c r="H48" s="14">
        <f>C48*G48</f>
        <v/>
      </c>
    </row>
    <row r="49">
      <c r="A49" s="12" t="inlineStr">
        <is>
          <t>RET-0001</t>
        </is>
      </c>
      <c r="B49" s="12" t="inlineStr">
        <is>
          <t>VS14</t>
        </is>
      </c>
      <c r="C49" s="28" t="n">
        <v>0.0278</v>
      </c>
      <c r="D49" s="12" t="inlineStr">
        <is>
          <t>PO-2021-1116</t>
        </is>
      </c>
      <c r="E49" s="12" t="n">
        <v>3.46</v>
      </c>
      <c r="F49" s="17" t="n">
        <v>105859.29</v>
      </c>
      <c r="G49" s="14">
        <f>E49*F49</f>
        <v/>
      </c>
      <c r="H49" s="14">
        <f>C49*G49</f>
        <v/>
      </c>
    </row>
    <row r="50">
      <c r="A50" s="12" t="inlineStr">
        <is>
          <t>RET-0001</t>
        </is>
      </c>
      <c r="B50" s="12" t="inlineStr">
        <is>
          <t>VS15</t>
        </is>
      </c>
      <c r="C50" s="28" t="n">
        <v>0.009299999999999999</v>
      </c>
      <c r="D50" s="12" t="inlineStr">
        <is>
          <t>PO-2023-3867</t>
        </is>
      </c>
      <c r="E50" s="12" t="n">
        <v>3.46</v>
      </c>
      <c r="F50" s="17" t="n">
        <v>114225.37</v>
      </c>
      <c r="G50" s="14">
        <f>E50*F50</f>
        <v/>
      </c>
      <c r="H50" s="14">
        <f>C50*G50</f>
        <v/>
      </c>
    </row>
    <row r="51">
      <c r="A51" s="12" t="inlineStr">
        <is>
          <t>RET-0001</t>
        </is>
      </c>
      <c r="B51" s="12" t="inlineStr">
        <is>
          <t>VS16</t>
        </is>
      </c>
      <c r="C51" s="28" t="n">
        <v>0.0401</v>
      </c>
      <c r="D51" s="12" t="inlineStr">
        <is>
          <t>PO-2023-3589</t>
        </is>
      </c>
      <c r="E51" s="12" t="n">
        <v>3.46</v>
      </c>
      <c r="F51" s="17" t="n">
        <v>105877.13</v>
      </c>
      <c r="G51" s="14">
        <f>E51*F51</f>
        <v/>
      </c>
      <c r="H51" s="14">
        <f>C51*G51</f>
        <v/>
      </c>
    </row>
    <row r="52">
      <c r="A52" s="12" t="inlineStr">
        <is>
          <t>RET-0001</t>
        </is>
      </c>
      <c r="B52" s="12" t="inlineStr">
        <is>
          <t>VS17</t>
        </is>
      </c>
      <c r="C52" s="28" t="n">
        <v>0.0399</v>
      </c>
      <c r="D52" s="12" t="inlineStr">
        <is>
          <t>PO-2022-2327</t>
        </is>
      </c>
      <c r="E52" s="12" t="n">
        <v>3.46</v>
      </c>
      <c r="F52" s="17" t="n">
        <v>100664.45</v>
      </c>
      <c r="G52" s="14">
        <f>E52*F52</f>
        <v/>
      </c>
      <c r="H52" s="14">
        <f>C52*G52</f>
        <v/>
      </c>
    </row>
    <row r="53">
      <c r="A53" s="12" t="inlineStr">
        <is>
          <t>RET-0001</t>
        </is>
      </c>
      <c r="B53" s="12" t="inlineStr">
        <is>
          <t>VS18</t>
        </is>
      </c>
      <c r="C53" s="28" t="n">
        <v>0.0278</v>
      </c>
      <c r="D53" s="12" t="inlineStr">
        <is>
          <t>PO-2023-3457</t>
        </is>
      </c>
      <c r="E53" s="12" t="n">
        <v>3.46</v>
      </c>
      <c r="F53" s="17" t="n">
        <v>111563.1</v>
      </c>
      <c r="G53" s="14">
        <f>E53*F53</f>
        <v/>
      </c>
      <c r="H53" s="14">
        <f>C53*G53</f>
        <v/>
      </c>
    </row>
    <row r="54">
      <c r="A54" s="12" t="inlineStr">
        <is>
          <t>RET-0001</t>
        </is>
      </c>
      <c r="B54" s="12" t="inlineStr">
        <is>
          <t>VS19</t>
        </is>
      </c>
      <c r="C54" s="28" t="n">
        <v>0.0757</v>
      </c>
      <c r="D54" s="12" t="inlineStr">
        <is>
          <t>PO-2022-2361</t>
        </is>
      </c>
      <c r="E54" s="12" t="n">
        <v>3.46</v>
      </c>
      <c r="F54" s="17" t="n">
        <v>91145.31</v>
      </c>
      <c r="G54" s="14">
        <f>E54*F54</f>
        <v/>
      </c>
      <c r="H54" s="14">
        <f>C54*G54</f>
        <v/>
      </c>
    </row>
    <row r="55">
      <c r="A55" s="12" t="inlineStr">
        <is>
          <t>RET-0001</t>
        </is>
      </c>
      <c r="B55" s="12" t="inlineStr">
        <is>
          <t>VS20</t>
        </is>
      </c>
      <c r="C55" s="28" t="n">
        <v>0.0155</v>
      </c>
      <c r="D55" s="12" t="inlineStr">
        <is>
          <t>PO-2023-4544</t>
        </is>
      </c>
      <c r="E55" s="12" t="n">
        <v>3.46</v>
      </c>
      <c r="F55" s="17" t="n">
        <v>96328.28999999999</v>
      </c>
      <c r="G55" s="14">
        <f>E55*F55</f>
        <v/>
      </c>
      <c r="H55" s="14">
        <f>C55*G55</f>
        <v/>
      </c>
    </row>
    <row r="56">
      <c r="A56" s="12" t="inlineStr">
        <is>
          <t>RET-0001</t>
        </is>
      </c>
      <c r="B56" s="12" t="inlineStr">
        <is>
          <t>VS21</t>
        </is>
      </c>
      <c r="C56" s="28" t="n">
        <v>0.0155</v>
      </c>
      <c r="D56" s="12" t="inlineStr">
        <is>
          <t>PO-2023-4211</t>
        </is>
      </c>
      <c r="E56" s="12" t="n">
        <v>3.46</v>
      </c>
      <c r="F56" s="17" t="n">
        <v>116836.62</v>
      </c>
      <c r="G56" s="14">
        <f>E56*F56</f>
        <v/>
      </c>
      <c r="H56" s="14">
        <f>C56*G56</f>
        <v/>
      </c>
    </row>
    <row r="57">
      <c r="A57" s="12" t="inlineStr">
        <is>
          <t>RET-0001</t>
        </is>
      </c>
      <c r="B57" s="12" t="inlineStr">
        <is>
          <t>VS22</t>
        </is>
      </c>
      <c r="C57" s="28" t="n">
        <v>0.0092</v>
      </c>
      <c r="D57" s="12" t="inlineStr">
        <is>
          <t>PO-2023-3237</t>
        </is>
      </c>
      <c r="E57" s="12" t="n">
        <v>3.46</v>
      </c>
      <c r="F57" s="17" t="n">
        <v>46268.02</v>
      </c>
      <c r="G57" s="14">
        <f>E57*F57</f>
        <v/>
      </c>
      <c r="H57" s="14">
        <f>C57*G57</f>
        <v/>
      </c>
    </row>
    <row r="58">
      <c r="A58" s="12" t="inlineStr">
        <is>
          <t>RET-0001</t>
        </is>
      </c>
      <c r="B58" s="12" t="inlineStr">
        <is>
          <t>VS23</t>
        </is>
      </c>
      <c r="C58" s="28" t="n">
        <v>0.0153</v>
      </c>
      <c r="D58" s="12" t="inlineStr">
        <is>
          <t>PO-2021-0803</t>
        </is>
      </c>
      <c r="E58" s="12" t="n">
        <v>3.46</v>
      </c>
      <c r="F58" s="17" t="n">
        <v>119763.77</v>
      </c>
      <c r="G58" s="14">
        <f>E58*F58</f>
        <v/>
      </c>
      <c r="H58" s="14">
        <f>C58*G58</f>
        <v/>
      </c>
    </row>
    <row r="59">
      <c r="A59" s="12" t="inlineStr">
        <is>
          <t>RET-0001</t>
        </is>
      </c>
      <c r="B59" s="12" t="inlineStr">
        <is>
          <t>VS24</t>
        </is>
      </c>
      <c r="C59" s="28" t="n">
        <v>0.0154</v>
      </c>
      <c r="D59" s="12" t="inlineStr">
        <is>
          <t>PO-2022-2615</t>
        </is>
      </c>
      <c r="E59" s="12" t="n">
        <v>3.46</v>
      </c>
      <c r="F59" s="17" t="n">
        <v>73404.35000000001</v>
      </c>
      <c r="G59" s="14">
        <f>E59*F59</f>
        <v/>
      </c>
      <c r="H59" s="14">
        <f>C59*G59</f>
        <v/>
      </c>
    </row>
    <row r="60">
      <c r="A60" s="12" t="inlineStr">
        <is>
          <t>RET-0001</t>
        </is>
      </c>
      <c r="B60" s="12" t="inlineStr">
        <is>
          <t>VS25</t>
        </is>
      </c>
      <c r="C60" s="28" t="n">
        <v>0.028</v>
      </c>
      <c r="D60" s="12" t="inlineStr">
        <is>
          <t>PO-2021-0621</t>
        </is>
      </c>
      <c r="E60" s="12" t="n">
        <v>3.46</v>
      </c>
      <c r="F60" s="17" t="n">
        <v>73849.7</v>
      </c>
      <c r="G60" s="14">
        <f>E60*F60</f>
        <v/>
      </c>
      <c r="H60" s="14">
        <f>C60*G60</f>
        <v/>
      </c>
    </row>
    <row r="61">
      <c r="A61" s="12" t="inlineStr">
        <is>
          <t>RET-0001</t>
        </is>
      </c>
      <c r="B61" s="12" t="inlineStr">
        <is>
          <t>VS26</t>
        </is>
      </c>
      <c r="C61" s="28" t="n">
        <v>0.0156</v>
      </c>
      <c r="D61" s="12" t="inlineStr">
        <is>
          <t>PO-2022-2195</t>
        </is>
      </c>
      <c r="E61" s="12" t="n">
        <v>3.46</v>
      </c>
      <c r="F61" s="17" t="n">
        <v>92960.63</v>
      </c>
      <c r="G61" s="14">
        <f>E61*F61</f>
        <v/>
      </c>
      <c r="H61" s="14">
        <f>C61*G61</f>
        <v/>
      </c>
    </row>
    <row r="62">
      <c r="A62" s="12" t="inlineStr">
        <is>
          <t>RET-0001</t>
        </is>
      </c>
      <c r="B62" s="12" t="inlineStr">
        <is>
          <t>VS27</t>
        </is>
      </c>
      <c r="C62" s="28" t="n">
        <v>0.0153</v>
      </c>
      <c r="D62" s="12" t="inlineStr">
        <is>
          <t>PO-2021-1152</t>
        </is>
      </c>
      <c r="E62" s="12" t="n">
        <v>3.46</v>
      </c>
      <c r="F62" s="17" t="n">
        <v>110512.94</v>
      </c>
      <c r="G62" s="14">
        <f>E62*F62</f>
        <v/>
      </c>
      <c r="H62" s="14">
        <f>C62*G62</f>
        <v/>
      </c>
    </row>
    <row r="63">
      <c r="A63" s="12" t="inlineStr">
        <is>
          <t>RET-0001</t>
        </is>
      </c>
      <c r="B63" s="12" t="inlineStr">
        <is>
          <t>VS28</t>
        </is>
      </c>
      <c r="C63" s="28" t="n">
        <v>0.0341</v>
      </c>
      <c r="D63" s="12" t="inlineStr">
        <is>
          <t>PO-2022-2833</t>
        </is>
      </c>
      <c r="E63" s="12" t="n">
        <v>2.144</v>
      </c>
      <c r="F63" s="17" t="n">
        <v>114943.09</v>
      </c>
      <c r="G63" s="14">
        <f>E63*F63</f>
        <v/>
      </c>
      <c r="H63" s="14">
        <f>C63*G63</f>
        <v/>
      </c>
    </row>
    <row r="64">
      <c r="A64" s="12" t="inlineStr">
        <is>
          <t>RET-0001</t>
        </is>
      </c>
      <c r="B64" s="12" t="inlineStr">
        <is>
          <t>VS29</t>
        </is>
      </c>
      <c r="C64" s="28" t="n">
        <v>0.0217</v>
      </c>
      <c r="D64" s="12" t="inlineStr">
        <is>
          <t>PO-2021-0744</t>
        </is>
      </c>
      <c r="E64" s="12" t="n">
        <v>3.46</v>
      </c>
      <c r="F64" s="17" t="n">
        <v>72022.99000000001</v>
      </c>
      <c r="G64" s="14">
        <f>E64*F64</f>
        <v/>
      </c>
      <c r="H64" s="14">
        <f>C64*G64</f>
        <v/>
      </c>
    </row>
    <row r="65">
      <c r="A65" s="12" t="inlineStr">
        <is>
          <t>RET-0001</t>
        </is>
      </c>
      <c r="B65" s="12" t="inlineStr">
        <is>
          <t>VS30</t>
        </is>
      </c>
      <c r="C65" s="28" t="n">
        <v>0.009299999999999999</v>
      </c>
      <c r="D65" s="12" t="inlineStr">
        <is>
          <t>PO-2023-3246</t>
        </is>
      </c>
      <c r="E65" s="12" t="n">
        <v>3.46</v>
      </c>
      <c r="F65" s="17" t="n">
        <v>117287.6</v>
      </c>
      <c r="G65" s="14">
        <f>E65*F65</f>
        <v/>
      </c>
      <c r="H65" s="14">
        <f>C65*G65</f>
        <v/>
      </c>
    </row>
    <row r="66">
      <c r="A66" s="12" t="inlineStr">
        <is>
          <t>RET-0001</t>
        </is>
      </c>
      <c r="B66" s="12" t="inlineStr">
        <is>
          <t>VS31</t>
        </is>
      </c>
      <c r="C66" s="28" t="n">
        <v>0.034</v>
      </c>
      <c r="D66" s="12" t="inlineStr">
        <is>
          <t>PO-2022-2452</t>
        </is>
      </c>
      <c r="E66" s="12" t="n">
        <v>3.46</v>
      </c>
      <c r="F66" s="17" t="n">
        <v>81725.67</v>
      </c>
      <c r="G66" s="14">
        <f>E66*F66</f>
        <v/>
      </c>
      <c r="H66" s="14">
        <f>C66*G66</f>
        <v/>
      </c>
    </row>
    <row r="67">
      <c r="A67" s="12" t="inlineStr">
        <is>
          <t>RET-0001</t>
        </is>
      </c>
      <c r="B67" s="12" t="inlineStr">
        <is>
          <t>VS32</t>
        </is>
      </c>
      <c r="C67" s="28" t="n">
        <v>0.0404</v>
      </c>
      <c r="D67" s="12" t="inlineStr">
        <is>
          <t>PO-2022-2288</t>
        </is>
      </c>
      <c r="E67" s="12" t="n">
        <v>3.46</v>
      </c>
      <c r="F67" s="17" t="n">
        <v>102254.45</v>
      </c>
      <c r="G67" s="14">
        <f>E67*F67</f>
        <v/>
      </c>
      <c r="H67" s="14">
        <f>C67*G67</f>
        <v/>
      </c>
    </row>
    <row r="68">
      <c r="A68" s="12" t="inlineStr">
        <is>
          <t>RET-0001</t>
        </is>
      </c>
      <c r="B68" s="12" t="inlineStr">
        <is>
          <t>VS33</t>
        </is>
      </c>
      <c r="C68" s="28" t="n">
        <v>0.0216</v>
      </c>
      <c r="D68" s="12" t="inlineStr">
        <is>
          <t>PO-2022-1716</t>
        </is>
      </c>
      <c r="E68" s="12" t="n">
        <v>3.46</v>
      </c>
      <c r="F68" s="17" t="n">
        <v>68386.91</v>
      </c>
      <c r="G68" s="14">
        <f>E68*F68</f>
        <v/>
      </c>
      <c r="H68" s="14">
        <f>C68*G68</f>
        <v/>
      </c>
    </row>
    <row r="69">
      <c r="A69" s="12" t="inlineStr">
        <is>
          <t>RET-0001</t>
        </is>
      </c>
      <c r="B69" s="12" t="inlineStr">
        <is>
          <t>VS34</t>
        </is>
      </c>
      <c r="C69" s="28" t="n">
        <v>0.0279</v>
      </c>
      <c r="D69" s="12" t="inlineStr">
        <is>
          <t>PO-2023-3346</t>
        </is>
      </c>
      <c r="E69" s="12" t="n">
        <v>3.46</v>
      </c>
      <c r="F69" s="17" t="n">
        <v>85292.53</v>
      </c>
      <c r="G69" s="14">
        <f>E69*F69</f>
        <v/>
      </c>
      <c r="H69" s="14">
        <f>C69*G69</f>
        <v/>
      </c>
    </row>
    <row r="70">
      <c r="A70" s="12" t="inlineStr">
        <is>
          <t>RET-0004</t>
        </is>
      </c>
      <c r="B70" s="12" t="inlineStr">
        <is>
          <t>VS01</t>
        </is>
      </c>
      <c r="C70" s="28" t="n">
        <v>0.033</v>
      </c>
      <c r="D70" s="12" t="inlineStr">
        <is>
          <t>PO-2021-1578</t>
        </is>
      </c>
      <c r="E70" s="12" t="n">
        <v>3.38</v>
      </c>
      <c r="F70" s="17" t="n">
        <v>106369.15</v>
      </c>
      <c r="G70" s="14">
        <f>E70*F70</f>
        <v/>
      </c>
      <c r="H70" s="14">
        <f>C70*G70</f>
        <v/>
      </c>
    </row>
    <row r="71">
      <c r="A71" s="12" t="inlineStr">
        <is>
          <t>RET-0004</t>
        </is>
      </c>
      <c r="B71" s="12" t="inlineStr">
        <is>
          <t>VS02</t>
        </is>
      </c>
      <c r="C71" s="28" t="n">
        <v>0.015</v>
      </c>
      <c r="D71" s="12" t="inlineStr">
        <is>
          <t>PO-2022-2803</t>
        </is>
      </c>
      <c r="E71" s="12" t="n">
        <v>3.38</v>
      </c>
      <c r="F71" s="17" t="n">
        <v>112482.51</v>
      </c>
      <c r="G71" s="14">
        <f>E71*F71</f>
        <v/>
      </c>
      <c r="H71" s="14">
        <f>C71*G71</f>
        <v/>
      </c>
    </row>
    <row r="72">
      <c r="A72" s="12" t="inlineStr">
        <is>
          <t>RET-0004</t>
        </is>
      </c>
      <c r="B72" s="12" t="inlineStr">
        <is>
          <t>VS03</t>
        </is>
      </c>
      <c r="C72" s="28" t="n">
        <v>0.0799</v>
      </c>
      <c r="D72" s="12" t="inlineStr">
        <is>
          <t>PO-2023-4750</t>
        </is>
      </c>
      <c r="E72" s="12" t="n">
        <v>3.38</v>
      </c>
      <c r="F72" s="17" t="n">
        <v>49550.74</v>
      </c>
      <c r="G72" s="14">
        <f>E72*F72</f>
        <v/>
      </c>
      <c r="H72" s="14">
        <f>C72*G72</f>
        <v/>
      </c>
    </row>
    <row r="73">
      <c r="A73" s="12" t="inlineStr">
        <is>
          <t>RET-0004</t>
        </is>
      </c>
      <c r="B73" s="12" t="inlineStr">
        <is>
          <t>VS04</t>
        </is>
      </c>
      <c r="C73" s="28" t="n">
        <v>0.0207</v>
      </c>
      <c r="D73" s="12" t="inlineStr">
        <is>
          <t>PO-2023-4733</t>
        </is>
      </c>
      <c r="E73" s="12" t="n">
        <v>3.38</v>
      </c>
      <c r="F73" s="17" t="n">
        <v>69976.94</v>
      </c>
      <c r="G73" s="14">
        <f>E73*F73</f>
        <v/>
      </c>
      <c r="H73" s="14">
        <f>C73*G73</f>
        <v/>
      </c>
    </row>
    <row r="74">
      <c r="A74" s="12" t="inlineStr">
        <is>
          <t>RET-0004</t>
        </is>
      </c>
      <c r="B74" s="12" t="inlineStr">
        <is>
          <t>VS05</t>
        </is>
      </c>
      <c r="C74" s="28" t="n">
        <v>0.0268</v>
      </c>
      <c r="D74" s="12" t="inlineStr">
        <is>
          <t>PO-2023-3967</t>
        </is>
      </c>
      <c r="E74" s="12" t="n">
        <v>3.38</v>
      </c>
      <c r="F74" s="17" t="n">
        <v>66623.75</v>
      </c>
      <c r="G74" s="14">
        <f>E74*F74</f>
        <v/>
      </c>
      <c r="H74" s="14">
        <f>C74*G74</f>
        <v/>
      </c>
    </row>
    <row r="75">
      <c r="A75" s="12" t="inlineStr">
        <is>
          <t>RET-0004</t>
        </is>
      </c>
      <c r="B75" s="12" t="inlineStr">
        <is>
          <t>VS06</t>
        </is>
      </c>
      <c r="C75" s="28" t="n">
        <v>0.0271</v>
      </c>
      <c r="D75" s="12" t="inlineStr">
        <is>
          <t>PO-2022-3075</t>
        </is>
      </c>
      <c r="E75" s="12" t="n">
        <v>3.38</v>
      </c>
      <c r="F75" s="17" t="n">
        <v>118104.34</v>
      </c>
      <c r="G75" s="14">
        <f>E75*F75</f>
        <v/>
      </c>
      <c r="H75" s="14">
        <f>C75*G75</f>
        <v/>
      </c>
    </row>
    <row r="76">
      <c r="A76" s="12" t="inlineStr">
        <is>
          <t>RET-0004</t>
        </is>
      </c>
      <c r="B76" s="12" t="inlineStr">
        <is>
          <t>VS07</t>
        </is>
      </c>
      <c r="C76" s="28" t="n">
        <v>0.008999999999999999</v>
      </c>
      <c r="D76" s="12" t="inlineStr">
        <is>
          <t>PO-2022-1675</t>
        </is>
      </c>
      <c r="E76" s="12" t="n">
        <v>3.38</v>
      </c>
      <c r="F76" s="17" t="n">
        <v>89692.08</v>
      </c>
      <c r="G76" s="14">
        <f>E76*F76</f>
        <v/>
      </c>
      <c r="H76" s="14">
        <f>C76*G76</f>
        <v/>
      </c>
    </row>
    <row r="77">
      <c r="A77" s="12" t="inlineStr">
        <is>
          <t>RET-0004</t>
        </is>
      </c>
      <c r="B77" s="12" t="inlineStr">
        <is>
          <t>VS08</t>
        </is>
      </c>
      <c r="C77" s="28" t="n">
        <v>0.0273</v>
      </c>
      <c r="D77" s="12" t="inlineStr">
        <is>
          <t>PO-2021-1480</t>
        </is>
      </c>
      <c r="E77" s="12" t="n">
        <v>3.38</v>
      </c>
      <c r="F77" s="17" t="n">
        <v>81691.38</v>
      </c>
      <c r="G77" s="14">
        <f>E77*F77</f>
        <v/>
      </c>
      <c r="H77" s="14">
        <f>C77*G77</f>
        <v/>
      </c>
    </row>
    <row r="78">
      <c r="A78" s="12" t="inlineStr">
        <is>
          <t>RET-0004</t>
        </is>
      </c>
      <c r="B78" s="12" t="inlineStr">
        <is>
          <t>VS09</t>
        </is>
      </c>
      <c r="C78" s="28" t="n">
        <v>0.0209</v>
      </c>
      <c r="D78" s="12" t="inlineStr">
        <is>
          <t>PO-2023-4278</t>
        </is>
      </c>
      <c r="E78" s="12" t="n">
        <v>3.38</v>
      </c>
      <c r="F78" s="17" t="n">
        <v>110150.74</v>
      </c>
      <c r="G78" s="14">
        <f>E78*F78</f>
        <v/>
      </c>
      <c r="H78" s="14">
        <f>C78*G78</f>
        <v/>
      </c>
    </row>
    <row r="79">
      <c r="A79" s="12" t="inlineStr">
        <is>
          <t>RET-0004</t>
        </is>
      </c>
      <c r="B79" s="12" t="inlineStr">
        <is>
          <t>VS10</t>
        </is>
      </c>
      <c r="C79" s="28" t="n">
        <v>0.0329</v>
      </c>
      <c r="D79" s="12" t="inlineStr">
        <is>
          <t>PO-2021-1257</t>
        </is>
      </c>
      <c r="E79" s="12" t="n">
        <v>3.38</v>
      </c>
      <c r="F79" s="17" t="n">
        <v>119326.51</v>
      </c>
      <c r="G79" s="14">
        <f>E79*F79</f>
        <v/>
      </c>
      <c r="H79" s="14">
        <f>C79*G79</f>
        <v/>
      </c>
    </row>
    <row r="80">
      <c r="A80" s="12" t="inlineStr">
        <is>
          <t>RET-0004</t>
        </is>
      </c>
      <c r="B80" s="12" t="inlineStr">
        <is>
          <t>VS11</t>
        </is>
      </c>
      <c r="C80" s="28" t="n">
        <v>0.0386</v>
      </c>
      <c r="D80" s="12" t="inlineStr">
        <is>
          <t>PO-2023-3612</t>
        </is>
      </c>
      <c r="E80" s="12" t="n">
        <v>1.98</v>
      </c>
      <c r="F80" s="17" t="n">
        <v>114196.8</v>
      </c>
      <c r="G80" s="14">
        <f>E80*F80</f>
        <v/>
      </c>
      <c r="H80" s="14">
        <f>C80*G80</f>
        <v/>
      </c>
    </row>
    <row r="81">
      <c r="A81" s="12" t="inlineStr">
        <is>
          <t>RET-0004</t>
        </is>
      </c>
      <c r="B81" s="12" t="inlineStr">
        <is>
          <t>VS12</t>
        </is>
      </c>
      <c r="C81" s="28" t="n">
        <v>0.111</v>
      </c>
      <c r="D81" s="12" t="inlineStr">
        <is>
          <t>PO-2023-3314</t>
        </is>
      </c>
      <c r="E81" s="12" t="n">
        <v>3.38</v>
      </c>
      <c r="F81" s="17" t="n">
        <v>53504.31</v>
      </c>
      <c r="G81" s="14">
        <f>E81*F81</f>
        <v/>
      </c>
      <c r="H81" s="14">
        <f>C81*G81</f>
        <v/>
      </c>
    </row>
    <row r="82">
      <c r="A82" s="12" t="inlineStr">
        <is>
          <t>RET-0004</t>
        </is>
      </c>
      <c r="B82" s="12" t="inlineStr">
        <is>
          <t>VS13</t>
        </is>
      </c>
      <c r="C82" s="28" t="n">
        <v>0.0266</v>
      </c>
      <c r="D82" s="12" t="inlineStr">
        <is>
          <t>PO-2023-3604</t>
        </is>
      </c>
      <c r="E82" s="12" t="n">
        <v>3.38</v>
      </c>
      <c r="F82" s="17" t="n">
        <v>86306.91</v>
      </c>
      <c r="G82" s="14">
        <f>E82*F82</f>
        <v/>
      </c>
      <c r="H82" s="14">
        <f>C82*G82</f>
        <v/>
      </c>
    </row>
    <row r="83">
      <c r="A83" s="12" t="inlineStr">
        <is>
          <t>RET-0004</t>
        </is>
      </c>
      <c r="B83" s="12" t="inlineStr">
        <is>
          <t>VS14</t>
        </is>
      </c>
      <c r="C83" s="28" t="n">
        <v>0.0268</v>
      </c>
      <c r="D83" s="12" t="inlineStr">
        <is>
          <t>PO-2022-2247</t>
        </is>
      </c>
      <c r="E83" s="12" t="n">
        <v>3.38</v>
      </c>
      <c r="F83" s="17" t="n">
        <v>58927.9</v>
      </c>
      <c r="G83" s="14">
        <f>E83*F83</f>
        <v/>
      </c>
      <c r="H83" s="14">
        <f>C83*G83</f>
        <v/>
      </c>
    </row>
    <row r="84">
      <c r="A84" s="12" t="inlineStr">
        <is>
          <t>RET-0004</t>
        </is>
      </c>
      <c r="B84" s="12" t="inlineStr">
        <is>
          <t>VS15</t>
        </is>
      </c>
      <c r="C84" s="28" t="n">
        <v>0.008999999999999999</v>
      </c>
      <c r="D84" s="12" t="inlineStr">
        <is>
          <t>PO-2022-1844</t>
        </is>
      </c>
      <c r="E84" s="12" t="n">
        <v>3.38</v>
      </c>
      <c r="F84" s="17" t="n">
        <v>58819.16</v>
      </c>
      <c r="G84" s="14">
        <f>E84*F84</f>
        <v/>
      </c>
      <c r="H84" s="14">
        <f>C84*G84</f>
        <v/>
      </c>
    </row>
    <row r="85">
      <c r="A85" s="12" t="inlineStr">
        <is>
          <t>RET-0004</t>
        </is>
      </c>
      <c r="B85" s="12" t="inlineStr">
        <is>
          <t>VS16</t>
        </is>
      </c>
      <c r="C85" s="28" t="n">
        <v>0.0387</v>
      </c>
      <c r="D85" s="12" t="inlineStr">
        <is>
          <t>PO-2023-3816</t>
        </is>
      </c>
      <c r="E85" s="12" t="n">
        <v>3.38</v>
      </c>
      <c r="F85" s="17" t="n">
        <v>92670.2</v>
      </c>
      <c r="G85" s="14">
        <f>E85*F85</f>
        <v/>
      </c>
      <c r="H85" s="14">
        <f>C85*G85</f>
        <v/>
      </c>
    </row>
    <row r="86">
      <c r="A86" s="12" t="inlineStr">
        <is>
          <t>RET-0004</t>
        </is>
      </c>
      <c r="B86" s="12" t="inlineStr">
        <is>
          <t>VS17</t>
        </is>
      </c>
      <c r="C86" s="28" t="n">
        <v>0.0385</v>
      </c>
      <c r="D86" s="12" t="inlineStr">
        <is>
          <t>PO-2021-0664</t>
        </is>
      </c>
      <c r="E86" s="12" t="n">
        <v>3.38</v>
      </c>
      <c r="F86" s="17" t="n">
        <v>88544.67</v>
      </c>
      <c r="G86" s="14">
        <f>E86*F86</f>
        <v/>
      </c>
      <c r="H86" s="14">
        <f>C86*G86</f>
        <v/>
      </c>
    </row>
    <row r="87">
      <c r="A87" s="12" t="inlineStr">
        <is>
          <t>RET-0004</t>
        </is>
      </c>
      <c r="B87" s="12" t="inlineStr">
        <is>
          <t>VS18</t>
        </is>
      </c>
      <c r="C87" s="28" t="n">
        <v>0.0268</v>
      </c>
      <c r="D87" s="12" t="inlineStr">
        <is>
          <t>PO-2023-3272</t>
        </is>
      </c>
      <c r="E87" s="12" t="n">
        <v>3.38</v>
      </c>
      <c r="F87" s="17" t="n">
        <v>52770.85</v>
      </c>
      <c r="G87" s="14">
        <f>E87*F87</f>
        <v/>
      </c>
      <c r="H87" s="14">
        <f>C87*G87</f>
        <v/>
      </c>
    </row>
    <row r="88">
      <c r="A88" s="12" t="inlineStr">
        <is>
          <t>RET-0004</t>
        </is>
      </c>
      <c r="B88" s="12" t="inlineStr">
        <is>
          <t>VS19</t>
        </is>
      </c>
      <c r="C88" s="28" t="n">
        <v>0.0837</v>
      </c>
      <c r="D88" s="12" t="inlineStr">
        <is>
          <t>PO-2023-4065</t>
        </is>
      </c>
      <c r="E88" s="12" t="n">
        <v>3.38</v>
      </c>
      <c r="F88" s="17" t="n">
        <v>106330.24</v>
      </c>
      <c r="G88" s="14">
        <f>E88*F88</f>
        <v/>
      </c>
      <c r="H88" s="14">
        <f>C88*G88</f>
        <v/>
      </c>
    </row>
    <row r="89">
      <c r="A89" s="12" t="inlineStr">
        <is>
          <t>RET-0004</t>
        </is>
      </c>
      <c r="B89" s="12" t="inlineStr">
        <is>
          <t>VS20</t>
        </is>
      </c>
      <c r="C89" s="28" t="n">
        <v>0.015</v>
      </c>
      <c r="D89" s="12" t="inlineStr">
        <is>
          <t>PO-2021-1544</t>
        </is>
      </c>
      <c r="E89" s="12" t="n">
        <v>3.38</v>
      </c>
      <c r="F89" s="17" t="n">
        <v>66041.7</v>
      </c>
      <c r="G89" s="14">
        <f>E89*F89</f>
        <v/>
      </c>
      <c r="H89" s="14">
        <f>C89*G89</f>
        <v/>
      </c>
    </row>
    <row r="90">
      <c r="A90" s="12" t="inlineStr">
        <is>
          <t>RET-0004</t>
        </is>
      </c>
      <c r="B90" s="12" t="inlineStr">
        <is>
          <t>VS21</t>
        </is>
      </c>
      <c r="C90" s="28" t="n">
        <v>0.015</v>
      </c>
      <c r="D90" s="12" t="inlineStr">
        <is>
          <t>PO-2022-1981</t>
        </is>
      </c>
      <c r="E90" s="12" t="n">
        <v>3.38</v>
      </c>
      <c r="F90" s="17" t="n">
        <v>110199.68</v>
      </c>
      <c r="G90" s="14">
        <f>E90*F90</f>
        <v/>
      </c>
      <c r="H90" s="14">
        <f>C90*G90</f>
        <v/>
      </c>
    </row>
    <row r="91">
      <c r="A91" s="12" t="inlineStr">
        <is>
          <t>RET-0004</t>
        </is>
      </c>
      <c r="B91" s="12" t="inlineStr">
        <is>
          <t>VS22</t>
        </is>
      </c>
      <c r="C91" s="28" t="n">
        <v>0.0089</v>
      </c>
      <c r="D91" s="12" t="inlineStr">
        <is>
          <t>PO-2021-0137</t>
        </is>
      </c>
      <c r="E91" s="12" t="n">
        <v>3.38</v>
      </c>
      <c r="F91" s="17" t="n">
        <v>50647.45</v>
      </c>
      <c r="G91" s="14">
        <f>E91*F91</f>
        <v/>
      </c>
      <c r="H91" s="14">
        <f>C91*G91</f>
        <v/>
      </c>
    </row>
    <row r="92">
      <c r="A92" s="12" t="inlineStr">
        <is>
          <t>RET-0004</t>
        </is>
      </c>
      <c r="B92" s="12" t="inlineStr">
        <is>
          <t>VS23</t>
        </is>
      </c>
      <c r="C92" s="28" t="n">
        <v>0.0147</v>
      </c>
      <c r="D92" s="12" t="inlineStr">
        <is>
          <t>PO-2023-3723</t>
        </is>
      </c>
      <c r="E92" s="12" t="n">
        <v>3.38</v>
      </c>
      <c r="F92" s="17" t="n">
        <v>91313.34</v>
      </c>
      <c r="G92" s="14">
        <f>E92*F92</f>
        <v/>
      </c>
      <c r="H92" s="14">
        <f>C92*G92</f>
        <v/>
      </c>
    </row>
    <row r="93">
      <c r="A93" s="12" t="inlineStr">
        <is>
          <t>RET-0004</t>
        </is>
      </c>
      <c r="B93" s="12" t="inlineStr">
        <is>
          <t>VS24</t>
        </is>
      </c>
      <c r="C93" s="28" t="n">
        <v>0.0149</v>
      </c>
      <c r="D93" s="12" t="inlineStr">
        <is>
          <t>PO-2021-1474</t>
        </is>
      </c>
      <c r="E93" s="12" t="n">
        <v>3.38</v>
      </c>
      <c r="F93" s="17" t="n">
        <v>119136.31</v>
      </c>
      <c r="G93" s="14">
        <f>E93*F93</f>
        <v/>
      </c>
      <c r="H93" s="14">
        <f>C93*G93</f>
        <v/>
      </c>
    </row>
    <row r="94">
      <c r="A94" s="12" t="inlineStr">
        <is>
          <t>RET-0004</t>
        </is>
      </c>
      <c r="B94" s="12" t="inlineStr">
        <is>
          <t>VS25</t>
        </is>
      </c>
      <c r="C94" s="28" t="n">
        <v>0.027</v>
      </c>
      <c r="D94" s="12" t="inlineStr">
        <is>
          <t>PO-2021-0443</t>
        </is>
      </c>
      <c r="E94" s="12" t="n">
        <v>3.38</v>
      </c>
      <c r="F94" s="17" t="n">
        <v>92856.17</v>
      </c>
      <c r="G94" s="14">
        <f>E94*F94</f>
        <v/>
      </c>
      <c r="H94" s="14">
        <f>C94*G94</f>
        <v/>
      </c>
    </row>
    <row r="95">
      <c r="A95" s="12" t="inlineStr">
        <is>
          <t>RET-0004</t>
        </is>
      </c>
      <c r="B95" s="12" t="inlineStr">
        <is>
          <t>VS26</t>
        </is>
      </c>
      <c r="C95" s="28" t="n">
        <v>0.015</v>
      </c>
      <c r="D95" s="12" t="inlineStr">
        <is>
          <t>PO-2021-0980</t>
        </is>
      </c>
      <c r="E95" s="12" t="n">
        <v>3.38</v>
      </c>
      <c r="F95" s="17" t="n">
        <v>94038.75</v>
      </c>
      <c r="G95" s="14">
        <f>E95*F95</f>
        <v/>
      </c>
      <c r="H95" s="14">
        <f>C95*G95</f>
        <v/>
      </c>
    </row>
    <row r="96">
      <c r="A96" s="12" t="inlineStr">
        <is>
          <t>RET-0004</t>
        </is>
      </c>
      <c r="B96" s="12" t="inlineStr">
        <is>
          <t>VS27</t>
        </is>
      </c>
      <c r="C96" s="28" t="n">
        <v>0.0147</v>
      </c>
      <c r="D96" s="12" t="inlineStr">
        <is>
          <t>PO-2023-4133</t>
        </is>
      </c>
      <c r="E96" s="12" t="n">
        <v>3.38</v>
      </c>
      <c r="F96" s="17" t="n">
        <v>85379.99000000001</v>
      </c>
      <c r="G96" s="14">
        <f>E96*F96</f>
        <v/>
      </c>
      <c r="H96" s="14">
        <f>C96*G96</f>
        <v/>
      </c>
    </row>
    <row r="97">
      <c r="A97" s="12" t="inlineStr">
        <is>
          <t>RET-0004</t>
        </is>
      </c>
      <c r="B97" s="12" t="inlineStr">
        <is>
          <t>VS28</t>
        </is>
      </c>
      <c r="C97" s="28" t="n">
        <v>0.0329</v>
      </c>
      <c r="D97" s="12" t="inlineStr">
        <is>
          <t>PO-2023-3712</t>
        </is>
      </c>
      <c r="E97" s="12" t="n">
        <v>3.38</v>
      </c>
      <c r="F97" s="17" t="n">
        <v>102483.94</v>
      </c>
      <c r="G97" s="14">
        <f>E97*F97</f>
        <v/>
      </c>
      <c r="H97" s="14">
        <f>C97*G97</f>
        <v/>
      </c>
    </row>
    <row r="98">
      <c r="A98" s="12" t="inlineStr">
        <is>
          <t>RET-0004</t>
        </is>
      </c>
      <c r="B98" s="12" t="inlineStr">
        <is>
          <t>VS29</t>
        </is>
      </c>
      <c r="C98" s="28" t="n">
        <v>0.0209</v>
      </c>
      <c r="D98" s="12" t="inlineStr">
        <is>
          <t>PO-2021-0195</t>
        </is>
      </c>
      <c r="E98" s="12" t="n">
        <v>3.38</v>
      </c>
      <c r="F98" s="17" t="n">
        <v>107803.29</v>
      </c>
      <c r="G98" s="14">
        <f>E98*F98</f>
        <v/>
      </c>
      <c r="H98" s="14">
        <f>C98*G98</f>
        <v/>
      </c>
    </row>
    <row r="99">
      <c r="A99" s="12" t="inlineStr">
        <is>
          <t>RET-0004</t>
        </is>
      </c>
      <c r="B99" s="12" t="inlineStr">
        <is>
          <t>VS30</t>
        </is>
      </c>
      <c r="C99" s="28" t="n">
        <v>0.008999999999999999</v>
      </c>
      <c r="D99" s="12" t="inlineStr">
        <is>
          <t>PO-2022-1636</t>
        </is>
      </c>
      <c r="E99" s="12" t="n">
        <v>3.38</v>
      </c>
      <c r="F99" s="17" t="n">
        <v>99883.36</v>
      </c>
      <c r="G99" s="14">
        <f>E99*F99</f>
        <v/>
      </c>
      <c r="H99" s="14">
        <f>C99*G99</f>
        <v/>
      </c>
    </row>
    <row r="100">
      <c r="A100" s="12" t="inlineStr">
        <is>
          <t>RET-0004</t>
        </is>
      </c>
      <c r="B100" s="12" t="inlineStr">
        <is>
          <t>VS31</t>
        </is>
      </c>
      <c r="C100" s="28" t="n">
        <v>0.0328</v>
      </c>
      <c r="D100" s="12" t="inlineStr">
        <is>
          <t>PO-2023-4162</t>
        </is>
      </c>
      <c r="E100" s="12" t="n">
        <v>3.38</v>
      </c>
      <c r="F100" s="17" t="n">
        <v>115440.86</v>
      </c>
      <c r="G100" s="14">
        <f>E100*F100</f>
        <v/>
      </c>
      <c r="H100" s="14">
        <f>C100*G100</f>
        <v/>
      </c>
    </row>
    <row r="101">
      <c r="A101" s="12" t="inlineStr">
        <is>
          <t>RET-0004</t>
        </is>
      </c>
      <c r="B101" s="12" t="inlineStr">
        <is>
          <t>VS32</t>
        </is>
      </c>
      <c r="C101" s="28" t="n">
        <v>0.039</v>
      </c>
      <c r="D101" s="12" t="inlineStr">
        <is>
          <t>PO-2023-3241</t>
        </is>
      </c>
      <c r="E101" s="12" t="n">
        <v>3.38</v>
      </c>
      <c r="F101" s="17" t="n">
        <v>94622.42999999999</v>
      </c>
      <c r="G101" s="14">
        <f>E101*F101</f>
        <v/>
      </c>
      <c r="H101" s="14">
        <f>C101*G101</f>
        <v/>
      </c>
    </row>
    <row r="102">
      <c r="A102" s="12" t="inlineStr">
        <is>
          <t>RET-0004</t>
        </is>
      </c>
      <c r="B102" s="12" t="inlineStr">
        <is>
          <t>VS33</t>
        </is>
      </c>
      <c r="C102" s="28" t="n">
        <v>0.0208</v>
      </c>
      <c r="D102" s="12" t="inlineStr">
        <is>
          <t>PO-2023-3641</t>
        </is>
      </c>
      <c r="E102" s="12" t="n">
        <v>3.38</v>
      </c>
      <c r="F102" s="17" t="n">
        <v>64469.8</v>
      </c>
      <c r="G102" s="14">
        <f>E102*F102</f>
        <v/>
      </c>
      <c r="H102" s="14">
        <f>C102*G102</f>
        <v/>
      </c>
    </row>
    <row r="103">
      <c r="A103" s="12" t="inlineStr">
        <is>
          <t>RET-0004</t>
        </is>
      </c>
      <c r="B103" s="12" t="inlineStr">
        <is>
          <t>VS34</t>
        </is>
      </c>
      <c r="C103" s="28" t="n">
        <v>0.0269</v>
      </c>
      <c r="D103" s="12" t="inlineStr">
        <is>
          <t>PO-2021-1388</t>
        </is>
      </c>
      <c r="E103" s="12" t="n">
        <v>3.38</v>
      </c>
      <c r="F103" s="17" t="n">
        <v>68124.32000000001</v>
      </c>
      <c r="G103" s="14">
        <f>E103*F103</f>
        <v/>
      </c>
      <c r="H103" s="14">
        <f>C103*G103</f>
        <v/>
      </c>
    </row>
    <row r="104">
      <c r="A104" s="12" t="inlineStr">
        <is>
          <t>RET-0006</t>
        </is>
      </c>
      <c r="B104" s="12" t="inlineStr">
        <is>
          <t>VS01</t>
        </is>
      </c>
      <c r="C104" s="28" t="n">
        <v>0.0299</v>
      </c>
      <c r="D104" s="12" t="inlineStr">
        <is>
          <t>PO-2022-1925</t>
        </is>
      </c>
      <c r="E104" s="12" t="n">
        <v>3.84</v>
      </c>
      <c r="F104" s="17" t="n">
        <v>101627.84</v>
      </c>
      <c r="G104" s="14">
        <f>E104*F104</f>
        <v/>
      </c>
      <c r="H104" s="14">
        <f>C104*G104</f>
        <v/>
      </c>
    </row>
    <row r="105">
      <c r="A105" s="12" t="inlineStr">
        <is>
          <t>RET-0006</t>
        </is>
      </c>
      <c r="B105" s="12" t="inlineStr">
        <is>
          <t>VS02</t>
        </is>
      </c>
      <c r="C105" s="28" t="n">
        <v>0.0136</v>
      </c>
      <c r="D105" s="12" t="inlineStr">
        <is>
          <t>PO-2022-2954</t>
        </is>
      </c>
      <c r="E105" s="12" t="n">
        <v>3.84</v>
      </c>
      <c r="F105" s="17" t="n">
        <v>68429.53</v>
      </c>
      <c r="G105" s="14">
        <f>E105*F105</f>
        <v/>
      </c>
      <c r="H105" s="14">
        <f>C105*G105</f>
        <v/>
      </c>
    </row>
    <row r="106">
      <c r="A106" s="12" t="inlineStr">
        <is>
          <t>RET-0006</t>
        </is>
      </c>
      <c r="B106" s="12" t="inlineStr">
        <is>
          <t>VS03</t>
        </is>
      </c>
      <c r="C106" s="28" t="n">
        <v>0.0994</v>
      </c>
      <c r="D106" s="12" t="inlineStr">
        <is>
          <t>PO-2022-2307</t>
        </is>
      </c>
      <c r="E106" s="12" t="n">
        <v>3.84</v>
      </c>
      <c r="F106" s="17" t="n">
        <v>72979.52</v>
      </c>
      <c r="G106" s="14">
        <f>E106*F106</f>
        <v/>
      </c>
      <c r="H106" s="14">
        <f>C106*G106</f>
        <v/>
      </c>
    </row>
    <row r="107">
      <c r="A107" s="12" t="inlineStr">
        <is>
          <t>RET-0006</t>
        </is>
      </c>
      <c r="B107" s="12" t="inlineStr">
        <is>
          <t>VS04</t>
        </is>
      </c>
      <c r="C107" s="28" t="n">
        <v>0.0188</v>
      </c>
      <c r="D107" s="12" t="inlineStr">
        <is>
          <t>PO-2023-4189</t>
        </is>
      </c>
      <c r="E107" s="12" t="n">
        <v>3.84</v>
      </c>
      <c r="F107" s="17" t="n">
        <v>105315.52</v>
      </c>
      <c r="G107" s="14">
        <f>E107*F107</f>
        <v/>
      </c>
      <c r="H107" s="14">
        <f>C107*G107</f>
        <v/>
      </c>
    </row>
    <row r="108">
      <c r="A108" s="12" t="inlineStr">
        <is>
          <t>RET-0006</t>
        </is>
      </c>
      <c r="B108" s="12" t="inlineStr">
        <is>
          <t>VS05</t>
        </is>
      </c>
      <c r="C108" s="28" t="n">
        <v>0.0244</v>
      </c>
      <c r="D108" s="12" t="inlineStr">
        <is>
          <t>PO-2022-2386</t>
        </is>
      </c>
      <c r="E108" s="12" t="n">
        <v>3.84</v>
      </c>
      <c r="F108" s="17" t="n">
        <v>46679.59</v>
      </c>
      <c r="G108" s="14">
        <f>E108*F108</f>
        <v/>
      </c>
      <c r="H108" s="14">
        <f>C108*G108</f>
        <v/>
      </c>
    </row>
    <row r="109">
      <c r="A109" s="12" t="inlineStr">
        <is>
          <t>RET-0006</t>
        </is>
      </c>
      <c r="B109" s="12" t="inlineStr">
        <is>
          <t>VS06</t>
        </is>
      </c>
      <c r="C109" s="28" t="n">
        <v>0.0246</v>
      </c>
      <c r="D109" s="12" t="inlineStr">
        <is>
          <t>PO-2022-1754</t>
        </is>
      </c>
      <c r="E109" s="12" t="n">
        <v>3.84</v>
      </c>
      <c r="F109" s="17" t="n">
        <v>99978.99000000001</v>
      </c>
      <c r="G109" s="14">
        <f>E109*F109</f>
        <v/>
      </c>
      <c r="H109" s="14">
        <f>C109*G109</f>
        <v/>
      </c>
    </row>
    <row r="110">
      <c r="A110" s="12" t="inlineStr">
        <is>
          <t>RET-0006</t>
        </is>
      </c>
      <c r="B110" s="12" t="inlineStr">
        <is>
          <t>VS07</t>
        </is>
      </c>
      <c r="C110" s="28" t="n">
        <v>0.008200000000000001</v>
      </c>
      <c r="D110" s="12" t="inlineStr">
        <is>
          <t>PO-2021-0616</t>
        </is>
      </c>
      <c r="E110" s="12" t="n">
        <v>3.84</v>
      </c>
      <c r="F110" s="17" t="n">
        <v>59065.76</v>
      </c>
      <c r="G110" s="14">
        <f>E110*F110</f>
        <v/>
      </c>
      <c r="H110" s="14">
        <f>C110*G110</f>
        <v/>
      </c>
    </row>
    <row r="111">
      <c r="A111" s="12" t="inlineStr">
        <is>
          <t>RET-0006</t>
        </is>
      </c>
      <c r="B111" s="12" t="inlineStr">
        <is>
          <t>VS08</t>
        </is>
      </c>
      <c r="C111" s="28" t="n">
        <v>0.0248</v>
      </c>
      <c r="D111" s="12" t="inlineStr">
        <is>
          <t>PO-2023-4078</t>
        </is>
      </c>
      <c r="E111" s="12" t="n">
        <v>3.84</v>
      </c>
      <c r="F111" s="17" t="n">
        <v>91258.60000000001</v>
      </c>
      <c r="G111" s="14">
        <f>E111*F111</f>
        <v/>
      </c>
      <c r="H111" s="14">
        <f>C111*G111</f>
        <v/>
      </c>
    </row>
    <row r="112">
      <c r="A112" s="12" t="inlineStr">
        <is>
          <t>RET-0006</t>
        </is>
      </c>
      <c r="B112" s="12" t="inlineStr">
        <is>
          <t>VS09</t>
        </is>
      </c>
      <c r="C112" s="28" t="n">
        <v>0.019</v>
      </c>
      <c r="D112" s="12" t="inlineStr">
        <is>
          <t>PO-2022-2026</t>
        </is>
      </c>
      <c r="E112" s="12" t="n">
        <v>3.84</v>
      </c>
      <c r="F112" s="17" t="n">
        <v>89930.96000000001</v>
      </c>
      <c r="G112" s="14">
        <f>E112*F112</f>
        <v/>
      </c>
      <c r="H112" s="14">
        <f>C112*G112</f>
        <v/>
      </c>
    </row>
    <row r="113">
      <c r="A113" s="12" t="inlineStr">
        <is>
          <t>RET-0006</t>
        </is>
      </c>
      <c r="B113" s="12" t="inlineStr">
        <is>
          <t>VS10</t>
        </is>
      </c>
      <c r="C113" s="28" t="n">
        <v>0.0299</v>
      </c>
      <c r="D113" s="12" t="inlineStr">
        <is>
          <t>PO-2021-1430</t>
        </is>
      </c>
      <c r="E113" s="12" t="n">
        <v>3.84</v>
      </c>
      <c r="F113" s="17" t="n">
        <v>114751.26</v>
      </c>
      <c r="G113" s="14">
        <f>E113*F113</f>
        <v/>
      </c>
      <c r="H113" s="14">
        <f>C113*G113</f>
        <v/>
      </c>
    </row>
    <row r="114">
      <c r="A114" s="12" t="inlineStr">
        <is>
          <t>RET-0006</t>
        </is>
      </c>
      <c r="B114" s="12" t="inlineStr">
        <is>
          <t>VS11</t>
        </is>
      </c>
      <c r="C114" s="28" t="n">
        <v>0.035</v>
      </c>
      <c r="D114" s="12" t="inlineStr">
        <is>
          <t>PO-2022-2257</t>
        </is>
      </c>
      <c r="E114" s="12" t="n">
        <v>3.84</v>
      </c>
      <c r="F114" s="17" t="n">
        <v>98626.75</v>
      </c>
      <c r="G114" s="14">
        <f>E114*F114</f>
        <v/>
      </c>
      <c r="H114" s="14">
        <f>C114*G114</f>
        <v/>
      </c>
    </row>
    <row r="115">
      <c r="A115" s="12" t="inlineStr">
        <is>
          <t>RET-0006</t>
        </is>
      </c>
      <c r="B115" s="12" t="inlineStr">
        <is>
          <t>VS12</t>
        </is>
      </c>
      <c r="C115" s="28" t="n">
        <v>0.1382</v>
      </c>
      <c r="D115" s="12" t="inlineStr">
        <is>
          <t>PO-2023-4187</t>
        </is>
      </c>
      <c r="E115" s="12" t="n">
        <v>2.75</v>
      </c>
      <c r="F115" s="17" t="n">
        <v>101433.83</v>
      </c>
      <c r="G115" s="14">
        <f>E115*F115</f>
        <v/>
      </c>
      <c r="H115" s="14">
        <f>C115*G115</f>
        <v/>
      </c>
    </row>
    <row r="116">
      <c r="A116" s="12" t="inlineStr">
        <is>
          <t>RET-0006</t>
        </is>
      </c>
      <c r="B116" s="12" t="inlineStr">
        <is>
          <t>VS13</t>
        </is>
      </c>
      <c r="C116" s="28" t="n">
        <v>0.0241</v>
      </c>
      <c r="D116" s="12" t="inlineStr">
        <is>
          <t>PO-2022-2464</t>
        </is>
      </c>
      <c r="E116" s="12" t="n">
        <v>3.49</v>
      </c>
      <c r="F116" s="17" t="n">
        <v>77078.05</v>
      </c>
      <c r="G116" s="14">
        <f>E116*F116</f>
        <v/>
      </c>
      <c r="H116" s="14">
        <f>C116*G116</f>
        <v/>
      </c>
    </row>
    <row r="117">
      <c r="A117" s="12" t="inlineStr">
        <is>
          <t>RET-0006</t>
        </is>
      </c>
      <c r="B117" s="12" t="inlineStr">
        <is>
          <t>VS14</t>
        </is>
      </c>
      <c r="C117" s="28" t="n">
        <v>0.0243</v>
      </c>
      <c r="D117" s="12" t="inlineStr">
        <is>
          <t>PO-2023-4588</t>
        </is>
      </c>
      <c r="E117" s="12" t="n">
        <v>3.84</v>
      </c>
      <c r="F117" s="17" t="n">
        <v>66094.42</v>
      </c>
      <c r="G117" s="14">
        <f>E117*F117</f>
        <v/>
      </c>
      <c r="H117" s="14">
        <f>C117*G117</f>
        <v/>
      </c>
    </row>
    <row r="118">
      <c r="A118" s="12" t="inlineStr">
        <is>
          <t>RET-0006</t>
        </is>
      </c>
      <c r="B118" s="12" t="inlineStr">
        <is>
          <t>VS15</t>
        </is>
      </c>
      <c r="C118" s="28" t="n">
        <v>0.0081</v>
      </c>
      <c r="D118" s="12" t="inlineStr">
        <is>
          <t>PO-2023-4524</t>
        </is>
      </c>
      <c r="E118" s="12" t="n">
        <v>3.84</v>
      </c>
      <c r="F118" s="17" t="n">
        <v>52325.09</v>
      </c>
      <c r="G118" s="14">
        <f>E118*F118</f>
        <v/>
      </c>
      <c r="H118" s="14">
        <f>C118*G118</f>
        <v/>
      </c>
    </row>
    <row r="119">
      <c r="A119" s="12" t="inlineStr">
        <is>
          <t>RET-0006</t>
        </is>
      </c>
      <c r="B119" s="12" t="inlineStr">
        <is>
          <t>VS16</t>
        </is>
      </c>
      <c r="C119" s="28" t="n">
        <v>0.0351</v>
      </c>
      <c r="D119" s="12" t="inlineStr">
        <is>
          <t>PO-2021-0024</t>
        </is>
      </c>
      <c r="E119" s="12" t="n">
        <v>3.84</v>
      </c>
      <c r="F119" s="17" t="n">
        <v>97595.86</v>
      </c>
      <c r="G119" s="14">
        <f>E119*F119</f>
        <v/>
      </c>
      <c r="H119" s="14">
        <f>C119*G119</f>
        <v/>
      </c>
    </row>
    <row r="120">
      <c r="A120" s="12" t="inlineStr">
        <is>
          <t>RET-0006</t>
        </is>
      </c>
      <c r="B120" s="12" t="inlineStr">
        <is>
          <t>VS17</t>
        </is>
      </c>
      <c r="C120" s="28" t="n">
        <v>0.035</v>
      </c>
      <c r="D120" s="12" t="inlineStr">
        <is>
          <t>PO-2021-1495</t>
        </is>
      </c>
      <c r="E120" s="12" t="n">
        <v>3.84</v>
      </c>
      <c r="F120" s="17" t="n">
        <v>112774.5</v>
      </c>
      <c r="G120" s="14">
        <f>E120*F120</f>
        <v/>
      </c>
      <c r="H120" s="14">
        <f>C120*G120</f>
        <v/>
      </c>
    </row>
    <row r="121">
      <c r="A121" s="12" t="inlineStr">
        <is>
          <t>RET-0006</t>
        </is>
      </c>
      <c r="B121" s="12" t="inlineStr">
        <is>
          <t>VS18</t>
        </is>
      </c>
      <c r="C121" s="28" t="n">
        <v>0.0244</v>
      </c>
      <c r="D121" s="12" t="inlineStr">
        <is>
          <t>PO-2022-2456</t>
        </is>
      </c>
      <c r="E121" s="12" t="n">
        <v>3.84</v>
      </c>
      <c r="F121" s="17" t="n">
        <v>95226.35000000001</v>
      </c>
      <c r="G121" s="14">
        <f>E121*F121</f>
        <v/>
      </c>
      <c r="H121" s="14">
        <f>C121*G121</f>
        <v/>
      </c>
    </row>
    <row r="122">
      <c r="A122" s="12" t="inlineStr">
        <is>
          <t>RET-0006</t>
        </is>
      </c>
      <c r="B122" s="12" t="inlineStr">
        <is>
          <t>VS19</t>
        </is>
      </c>
      <c r="C122" s="28" t="n">
        <v>0.1042</v>
      </c>
      <c r="D122" s="12" t="inlineStr">
        <is>
          <t>PO-2022-2608</t>
        </is>
      </c>
      <c r="E122" s="12" t="n">
        <v>3.84</v>
      </c>
      <c r="F122" s="17" t="n">
        <v>113578.92</v>
      </c>
      <c r="G122" s="14">
        <f>E122*F122</f>
        <v/>
      </c>
      <c r="H122" s="14">
        <f>C122*G122</f>
        <v/>
      </c>
    </row>
    <row r="123">
      <c r="A123" s="12" t="inlineStr">
        <is>
          <t>RET-0006</t>
        </is>
      </c>
      <c r="B123" s="12" t="inlineStr">
        <is>
          <t>VS20</t>
        </is>
      </c>
      <c r="C123" s="28" t="n">
        <v>0.0136</v>
      </c>
      <c r="D123" s="12" t="inlineStr">
        <is>
          <t>PO-2021-1068</t>
        </is>
      </c>
      <c r="E123" s="12" t="n">
        <v>3.84</v>
      </c>
      <c r="F123" s="17" t="n">
        <v>96626</v>
      </c>
      <c r="G123" s="14">
        <f>E123*F123</f>
        <v/>
      </c>
      <c r="H123" s="14">
        <f>C123*G123</f>
        <v/>
      </c>
    </row>
    <row r="124">
      <c r="A124" s="12" t="inlineStr">
        <is>
          <t>RET-0006</t>
        </is>
      </c>
      <c r="B124" s="12" t="inlineStr">
        <is>
          <t>VS21</t>
        </is>
      </c>
      <c r="C124" s="28" t="n">
        <v>0.0136</v>
      </c>
      <c r="D124" s="12" t="inlineStr">
        <is>
          <t>PO-2023-3323</t>
        </is>
      </c>
      <c r="E124" s="12" t="n">
        <v>3.84</v>
      </c>
      <c r="F124" s="17" t="n">
        <v>93453.67</v>
      </c>
      <c r="G124" s="14">
        <f>E124*F124</f>
        <v/>
      </c>
      <c r="H124" s="14">
        <f>C124*G124</f>
        <v/>
      </c>
    </row>
    <row r="125">
      <c r="A125" s="12" t="inlineStr">
        <is>
          <t>RET-0006</t>
        </is>
      </c>
      <c r="B125" s="12" t="inlineStr">
        <is>
          <t>VS22</t>
        </is>
      </c>
      <c r="C125" s="28" t="n">
        <v>0.0081</v>
      </c>
      <c r="D125" s="12" t="inlineStr">
        <is>
          <t>PO-2022-1943</t>
        </is>
      </c>
      <c r="E125" s="12" t="n">
        <v>3.84</v>
      </c>
      <c r="F125" s="17" t="n">
        <v>100294.91</v>
      </c>
      <c r="G125" s="14">
        <f>E125*F125</f>
        <v/>
      </c>
      <c r="H125" s="14">
        <f>C125*G125</f>
        <v/>
      </c>
    </row>
    <row r="126">
      <c r="A126" s="12" t="inlineStr">
        <is>
          <t>RET-0006</t>
        </is>
      </c>
      <c r="B126" s="12" t="inlineStr">
        <is>
          <t>VS23</t>
        </is>
      </c>
      <c r="C126" s="28" t="n">
        <v>0.0134</v>
      </c>
      <c r="D126" s="12" t="inlineStr">
        <is>
          <t>PO-2021-0288</t>
        </is>
      </c>
      <c r="E126" s="12" t="n">
        <v>3.84</v>
      </c>
      <c r="F126" s="17" t="n">
        <v>59419.81</v>
      </c>
      <c r="G126" s="14">
        <f>E126*F126</f>
        <v/>
      </c>
      <c r="H126" s="14">
        <f>C126*G126</f>
        <v/>
      </c>
    </row>
    <row r="127">
      <c r="A127" s="12" t="inlineStr">
        <is>
          <t>RET-0006</t>
        </is>
      </c>
      <c r="B127" s="12" t="inlineStr">
        <is>
          <t>VS24</t>
        </is>
      </c>
      <c r="C127" s="28" t="n">
        <v>0.0135</v>
      </c>
      <c r="D127" s="12" t="inlineStr">
        <is>
          <t>PO-2022-2804</t>
        </is>
      </c>
      <c r="E127" s="12" t="n">
        <v>3.84</v>
      </c>
      <c r="F127" s="17" t="n">
        <v>115067.31</v>
      </c>
      <c r="G127" s="14">
        <f>E127*F127</f>
        <v/>
      </c>
      <c r="H127" s="14">
        <f>C127*G127</f>
        <v/>
      </c>
    </row>
    <row r="128">
      <c r="A128" s="12" t="inlineStr">
        <is>
          <t>RET-0006</t>
        </is>
      </c>
      <c r="B128" s="12" t="inlineStr">
        <is>
          <t>VS25</t>
        </is>
      </c>
      <c r="C128" s="28" t="n">
        <v>0.0245</v>
      </c>
      <c r="D128" s="12" t="inlineStr">
        <is>
          <t>PO-2023-3804</t>
        </is>
      </c>
      <c r="E128" s="12" t="n">
        <v>3.84</v>
      </c>
      <c r="F128" s="17" t="n">
        <v>95835.06</v>
      </c>
      <c r="G128" s="14">
        <f>E128*F128</f>
        <v/>
      </c>
      <c r="H128" s="14">
        <f>C128*G128</f>
        <v/>
      </c>
    </row>
    <row r="129">
      <c r="A129" s="12" t="inlineStr">
        <is>
          <t>RET-0006</t>
        </is>
      </c>
      <c r="B129" s="12" t="inlineStr">
        <is>
          <t>VS26</t>
        </is>
      </c>
      <c r="C129" s="28" t="n">
        <v>0.0136</v>
      </c>
      <c r="D129" s="12" t="inlineStr">
        <is>
          <t>PO-2021-1560</t>
        </is>
      </c>
      <c r="E129" s="12" t="n">
        <v>3.84</v>
      </c>
      <c r="F129" s="17" t="n">
        <v>45270.04</v>
      </c>
      <c r="G129" s="14">
        <f>E129*F129</f>
        <v/>
      </c>
      <c r="H129" s="14">
        <f>C129*G129</f>
        <v/>
      </c>
    </row>
    <row r="130">
      <c r="A130" s="12" t="inlineStr">
        <is>
          <t>RET-0006</t>
        </is>
      </c>
      <c r="B130" s="12" t="inlineStr">
        <is>
          <t>VS27</t>
        </is>
      </c>
      <c r="C130" s="28" t="n">
        <v>0.0134</v>
      </c>
      <c r="D130" s="12" t="inlineStr">
        <is>
          <t>PO-2022-1746</t>
        </is>
      </c>
      <c r="E130" s="12" t="n">
        <v>3.84</v>
      </c>
      <c r="F130" s="17" t="n">
        <v>48082.5</v>
      </c>
      <c r="G130" s="14">
        <f>E130*F130</f>
        <v/>
      </c>
      <c r="H130" s="14">
        <f>C130*G130</f>
        <v/>
      </c>
    </row>
    <row r="131">
      <c r="A131" s="12" t="inlineStr">
        <is>
          <t>RET-0006</t>
        </is>
      </c>
      <c r="B131" s="12" t="inlineStr">
        <is>
          <t>VS28</t>
        </is>
      </c>
      <c r="C131" s="28" t="n">
        <v>0.0299</v>
      </c>
      <c r="D131" s="12" t="inlineStr">
        <is>
          <t>PO-2023-3441</t>
        </is>
      </c>
      <c r="E131" s="12" t="n">
        <v>3.84</v>
      </c>
      <c r="F131" s="17" t="n">
        <v>70609.13</v>
      </c>
      <c r="G131" s="14">
        <f>E131*F131</f>
        <v/>
      </c>
      <c r="H131" s="14">
        <f>C131*G131</f>
        <v/>
      </c>
    </row>
    <row r="132">
      <c r="A132" s="12" t="inlineStr">
        <is>
          <t>RET-0006</t>
        </is>
      </c>
      <c r="B132" s="12" t="inlineStr">
        <is>
          <t>VS29</t>
        </is>
      </c>
      <c r="C132" s="28" t="n">
        <v>0.019</v>
      </c>
      <c r="D132" s="12" t="inlineStr">
        <is>
          <t>PO-2023-3977</t>
        </is>
      </c>
      <c r="E132" s="12" t="n">
        <v>3.84</v>
      </c>
      <c r="F132" s="17" t="n">
        <v>104758.48</v>
      </c>
      <c r="G132" s="14">
        <f>E132*F132</f>
        <v/>
      </c>
      <c r="H132" s="14">
        <f>C132*G132</f>
        <v/>
      </c>
    </row>
    <row r="133">
      <c r="A133" s="12" t="inlineStr">
        <is>
          <t>RET-0006</t>
        </is>
      </c>
      <c r="B133" s="12" t="inlineStr">
        <is>
          <t>VS30</t>
        </is>
      </c>
      <c r="C133" s="28" t="n">
        <v>0.008200000000000001</v>
      </c>
      <c r="D133" s="12" t="inlineStr">
        <is>
          <t>PO-2021-0477</t>
        </is>
      </c>
      <c r="E133" s="12" t="n">
        <v>3.84</v>
      </c>
      <c r="F133" s="17" t="n">
        <v>51781.57</v>
      </c>
      <c r="G133" s="14">
        <f>E133*F133</f>
        <v/>
      </c>
      <c r="H133" s="14">
        <f>C133*G133</f>
        <v/>
      </c>
    </row>
    <row r="134">
      <c r="A134" s="12" t="inlineStr">
        <is>
          <t>RET-0006</t>
        </is>
      </c>
      <c r="B134" s="12" t="inlineStr">
        <is>
          <t>VS31</t>
        </is>
      </c>
      <c r="C134" s="28" t="n">
        <v>0.0297</v>
      </c>
      <c r="D134" s="12" t="inlineStr">
        <is>
          <t>PO-2022-2525</t>
        </is>
      </c>
      <c r="E134" s="12" t="n">
        <v>3.84</v>
      </c>
      <c r="F134" s="17" t="n">
        <v>86094.39999999999</v>
      </c>
      <c r="G134" s="14">
        <f>E134*F134</f>
        <v/>
      </c>
      <c r="H134" s="14">
        <f>C134*G134</f>
        <v/>
      </c>
    </row>
    <row r="135">
      <c r="A135" s="12" t="inlineStr">
        <is>
          <t>RET-0006</t>
        </is>
      </c>
      <c r="B135" s="12" t="inlineStr">
        <is>
          <t>VS32</t>
        </is>
      </c>
      <c r="C135" s="28" t="n">
        <v>0.0354</v>
      </c>
      <c r="D135" s="12" t="inlineStr">
        <is>
          <t>PO-2023-4402</t>
        </is>
      </c>
      <c r="E135" s="12" t="n">
        <v>3.41</v>
      </c>
      <c r="F135" s="17" t="n">
        <v>73532.21000000001</v>
      </c>
      <c r="G135" s="14">
        <f>E135*F135</f>
        <v/>
      </c>
      <c r="H135" s="14">
        <f>C135*G135</f>
        <v/>
      </c>
    </row>
    <row r="136">
      <c r="A136" s="12" t="inlineStr">
        <is>
          <t>RET-0006</t>
        </is>
      </c>
      <c r="B136" s="12" t="inlineStr">
        <is>
          <t>VS33</t>
        </is>
      </c>
      <c r="C136" s="28" t="n">
        <v>0.0189</v>
      </c>
      <c r="D136" s="12" t="inlineStr">
        <is>
          <t>PO-2022-3129</t>
        </is>
      </c>
      <c r="E136" s="12" t="n">
        <v>3.84</v>
      </c>
      <c r="F136" s="17" t="n">
        <v>56360.01</v>
      </c>
      <c r="G136" s="14">
        <f>E136*F136</f>
        <v/>
      </c>
      <c r="H136" s="14">
        <f>C136*G136</f>
        <v/>
      </c>
    </row>
    <row r="137">
      <c r="A137" s="12" t="inlineStr">
        <is>
          <t>RET-0006</t>
        </is>
      </c>
      <c r="B137" s="12" t="inlineStr">
        <is>
          <t>VS34</t>
        </is>
      </c>
      <c r="C137" s="28" t="n">
        <v>0.0244</v>
      </c>
      <c r="D137" s="12" t="inlineStr">
        <is>
          <t>PO-2022-1934</t>
        </is>
      </c>
      <c r="E137" s="12" t="n">
        <v>3.84</v>
      </c>
      <c r="F137" s="17" t="n">
        <v>60796.28</v>
      </c>
      <c r="G137" s="14">
        <f>E137*F137</f>
        <v/>
      </c>
      <c r="H137" s="14">
        <f>C137*G137</f>
        <v/>
      </c>
    </row>
    <row r="138">
      <c r="A138" s="12" t="inlineStr">
        <is>
          <t>RET-0012</t>
        </is>
      </c>
      <c r="B138" s="12" t="inlineStr">
        <is>
          <t>VS01</t>
        </is>
      </c>
      <c r="C138" s="28" t="n">
        <v>0.0188</v>
      </c>
      <c r="D138" s="12" t="inlineStr">
        <is>
          <t>PO-2022-2970</t>
        </is>
      </c>
      <c r="E138" s="12" t="n">
        <v>0.2</v>
      </c>
      <c r="F138" s="17" t="n">
        <v>86336.47</v>
      </c>
      <c r="G138" s="14">
        <f>E138*F138</f>
        <v/>
      </c>
      <c r="H138" s="14">
        <f>C138*G138</f>
        <v/>
      </c>
    </row>
    <row r="139">
      <c r="A139" s="12" t="inlineStr">
        <is>
          <t>RET-0012</t>
        </is>
      </c>
      <c r="B139" s="12" t="inlineStr">
        <is>
          <t>VS02</t>
        </is>
      </c>
      <c r="C139" s="28" t="n">
        <v>0.0086</v>
      </c>
      <c r="D139" s="12" t="inlineStr">
        <is>
          <t>PO-2022-3117</t>
        </is>
      </c>
      <c r="E139" s="12" t="n">
        <v>0.2</v>
      </c>
      <c r="F139" s="17" t="n">
        <v>115717.84</v>
      </c>
      <c r="G139" s="14">
        <f>E139*F139</f>
        <v/>
      </c>
      <c r="H139" s="14">
        <f>C139*G139</f>
        <v/>
      </c>
    </row>
    <row r="140">
      <c r="A140" s="12" t="inlineStr">
        <is>
          <t>RET-0012</t>
        </is>
      </c>
      <c r="B140" s="12" t="inlineStr">
        <is>
          <t>VS03</t>
        </is>
      </c>
      <c r="C140" s="28" t="n">
        <v>0.1706</v>
      </c>
      <c r="D140" s="12" t="inlineStr">
        <is>
          <t>PO-2021-0710</t>
        </is>
      </c>
      <c r="E140" s="12" t="n">
        <v>0.2</v>
      </c>
      <c r="F140" s="17" t="n">
        <v>78050.3</v>
      </c>
      <c r="G140" s="14">
        <f>E140*F140</f>
        <v/>
      </c>
      <c r="H140" s="14">
        <f>C140*G140</f>
        <v/>
      </c>
    </row>
    <row r="141">
      <c r="A141" s="12" t="inlineStr">
        <is>
          <t>RET-0012</t>
        </is>
      </c>
      <c r="B141" s="12" t="inlineStr">
        <is>
          <t>VS04</t>
        </is>
      </c>
      <c r="C141" s="28" t="n">
        <v>0.0118</v>
      </c>
      <c r="D141" s="12" t="inlineStr">
        <is>
          <t>PO-2023-3984</t>
        </is>
      </c>
      <c r="E141" s="12" t="n">
        <v>0.2</v>
      </c>
      <c r="F141" s="17" t="n">
        <v>70318.39</v>
      </c>
      <c r="G141" s="14">
        <f>E141*F141</f>
        <v/>
      </c>
      <c r="H141" s="14">
        <f>C141*G141</f>
        <v/>
      </c>
    </row>
    <row r="142">
      <c r="A142" s="12" t="inlineStr">
        <is>
          <t>RET-0012</t>
        </is>
      </c>
      <c r="B142" s="12" t="inlineStr">
        <is>
          <t>VS05</t>
        </is>
      </c>
      <c r="C142" s="28" t="n">
        <v>0.0153</v>
      </c>
      <c r="D142" s="12" t="inlineStr">
        <is>
          <t>PO-2023-3790</t>
        </is>
      </c>
      <c r="E142" s="12" t="n">
        <v>0.2</v>
      </c>
      <c r="F142" s="17" t="n">
        <v>88341.03</v>
      </c>
      <c r="G142" s="14">
        <f>E142*F142</f>
        <v/>
      </c>
      <c r="H142" s="14">
        <f>C142*G142</f>
        <v/>
      </c>
    </row>
    <row r="143">
      <c r="A143" s="12" t="inlineStr">
        <is>
          <t>RET-0012</t>
        </is>
      </c>
      <c r="B143" s="12" t="inlineStr">
        <is>
          <t>VS06</t>
        </is>
      </c>
      <c r="C143" s="28" t="n">
        <v>0.0154</v>
      </c>
      <c r="D143" s="12" t="inlineStr">
        <is>
          <t>PO-2021-0533</t>
        </is>
      </c>
      <c r="E143" s="12" t="n">
        <v>0.2</v>
      </c>
      <c r="F143" s="17" t="n">
        <v>86404.06</v>
      </c>
      <c r="G143" s="14">
        <f>E143*F143</f>
        <v/>
      </c>
      <c r="H143" s="14">
        <f>C143*G143</f>
        <v/>
      </c>
    </row>
    <row r="144">
      <c r="A144" s="12" t="inlineStr">
        <is>
          <t>RET-0012</t>
        </is>
      </c>
      <c r="B144" s="12" t="inlineStr">
        <is>
          <t>VS07</t>
        </is>
      </c>
      <c r="C144" s="28" t="n">
        <v>0.0052</v>
      </c>
      <c r="D144" s="12" t="inlineStr">
        <is>
          <t>PO-2022-2147</t>
        </is>
      </c>
      <c r="E144" s="12" t="n">
        <v>0.2</v>
      </c>
      <c r="F144" s="17" t="n">
        <v>91126.09</v>
      </c>
      <c r="G144" s="14">
        <f>E144*F144</f>
        <v/>
      </c>
      <c r="H144" s="14">
        <f>C144*G144</f>
        <v/>
      </c>
    </row>
    <row r="145">
      <c r="A145" s="12" t="inlineStr">
        <is>
          <t>RET-0012</t>
        </is>
      </c>
      <c r="B145" s="12" t="inlineStr">
        <is>
          <t>VS08</t>
        </is>
      </c>
      <c r="C145" s="28" t="n">
        <v>0.0155</v>
      </c>
      <c r="D145" s="12" t="inlineStr">
        <is>
          <t>PO-2022-2259</t>
        </is>
      </c>
      <c r="E145" s="12" t="n">
        <v>0.2</v>
      </c>
      <c r="F145" s="17" t="n">
        <v>111301.99</v>
      </c>
      <c r="G145" s="14">
        <f>E145*F145</f>
        <v/>
      </c>
      <c r="H145" s="14">
        <f>C145*G145</f>
        <v/>
      </c>
    </row>
    <row r="146">
      <c r="A146" s="12" t="inlineStr">
        <is>
          <t>RET-0012</t>
        </is>
      </c>
      <c r="B146" s="12" t="inlineStr">
        <is>
          <t>VS09</t>
        </is>
      </c>
      <c r="C146" s="28" t="n">
        <v>0.0119</v>
      </c>
      <c r="D146" s="12" t="inlineStr">
        <is>
          <t>PO-2021-1334</t>
        </is>
      </c>
      <c r="E146" s="12" t="n">
        <v>0.2</v>
      </c>
      <c r="F146" s="17" t="n">
        <v>111375.86</v>
      </c>
      <c r="G146" s="14">
        <f>E146*F146</f>
        <v/>
      </c>
      <c r="H146" s="14">
        <f>C146*G146</f>
        <v/>
      </c>
    </row>
    <row r="147">
      <c r="A147" s="12" t="inlineStr">
        <is>
          <t>RET-0012</t>
        </is>
      </c>
      <c r="B147" s="12" t="inlineStr">
        <is>
          <t>VS10</t>
        </is>
      </c>
      <c r="C147" s="28" t="n">
        <v>0.0188</v>
      </c>
      <c r="D147" s="12" t="inlineStr">
        <is>
          <t>PO-2022-2685</t>
        </is>
      </c>
      <c r="E147" s="12" t="n">
        <v>0.2</v>
      </c>
      <c r="F147" s="17" t="n">
        <v>67136.33</v>
      </c>
      <c r="G147" s="14">
        <f>E147*F147</f>
        <v/>
      </c>
      <c r="H147" s="14">
        <f>C147*G147</f>
        <v/>
      </c>
    </row>
    <row r="148">
      <c r="A148" s="12" t="inlineStr">
        <is>
          <t>RET-0012</t>
        </is>
      </c>
      <c r="B148" s="12" t="inlineStr">
        <is>
          <t>VS11</t>
        </is>
      </c>
      <c r="C148" s="28" t="n">
        <v>0.022</v>
      </c>
      <c r="D148" s="12" t="inlineStr">
        <is>
          <t>PO-2021-0708</t>
        </is>
      </c>
      <c r="E148" s="12" t="n">
        <v>0.2</v>
      </c>
      <c r="F148" s="17" t="n">
        <v>45396.8</v>
      </c>
      <c r="G148" s="14">
        <f>E148*F148</f>
        <v/>
      </c>
      <c r="H148" s="14">
        <f>C148*G148</f>
        <v/>
      </c>
    </row>
    <row r="149">
      <c r="A149" s="12" t="inlineStr">
        <is>
          <t>RET-0012</t>
        </is>
      </c>
      <c r="B149" s="12" t="inlineStr">
        <is>
          <t>VS12</t>
        </is>
      </c>
      <c r="C149" s="28" t="n">
        <v>0.2372</v>
      </c>
      <c r="D149" s="12" t="inlineStr">
        <is>
          <t>PO-2022-2690</t>
        </is>
      </c>
      <c r="E149" s="12" t="n">
        <v>0.2</v>
      </c>
      <c r="F149" s="17" t="n">
        <v>103047.68</v>
      </c>
      <c r="G149" s="14">
        <f>E149*F149</f>
        <v/>
      </c>
      <c r="H149" s="14">
        <f>C149*G149</f>
        <v/>
      </c>
    </row>
    <row r="150">
      <c r="A150" s="12" t="inlineStr">
        <is>
          <t>RET-0012</t>
        </is>
      </c>
      <c r="B150" s="12" t="inlineStr">
        <is>
          <t>VS13</t>
        </is>
      </c>
      <c r="C150" s="28" t="n">
        <v>0.0151</v>
      </c>
      <c r="D150" s="12" t="inlineStr">
        <is>
          <t>PO-2021-1558</t>
        </is>
      </c>
      <c r="E150" s="12" t="n">
        <v>0.2</v>
      </c>
      <c r="F150" s="17" t="n">
        <v>84935.24000000001</v>
      </c>
      <c r="G150" s="14">
        <f>E150*F150</f>
        <v/>
      </c>
      <c r="H150" s="14">
        <f>C150*G150</f>
        <v/>
      </c>
    </row>
    <row r="151">
      <c r="A151" s="12" t="inlineStr">
        <is>
          <t>RET-0012</t>
        </is>
      </c>
      <c r="B151" s="12" t="inlineStr">
        <is>
          <t>VS14</t>
        </is>
      </c>
      <c r="C151" s="28" t="n">
        <v>0.0153</v>
      </c>
      <c r="D151" s="12" t="inlineStr">
        <is>
          <t>PO-2023-4587</t>
        </is>
      </c>
      <c r="E151" s="12" t="n">
        <v>0.2</v>
      </c>
      <c r="F151" s="17" t="n">
        <v>56001.07</v>
      </c>
      <c r="G151" s="14">
        <f>E151*F151</f>
        <v/>
      </c>
      <c r="H151" s="14">
        <f>C151*G151</f>
        <v/>
      </c>
    </row>
    <row r="152">
      <c r="A152" s="12" t="inlineStr">
        <is>
          <t>RET-0012</t>
        </is>
      </c>
      <c r="B152" s="12" t="inlineStr">
        <is>
          <t>VS15</t>
        </is>
      </c>
      <c r="C152" s="28" t="n">
        <v>0.0051</v>
      </c>
      <c r="D152" s="12" t="inlineStr">
        <is>
          <t>PO-2023-3232</t>
        </is>
      </c>
      <c r="E152" s="12" t="n">
        <v>0.2</v>
      </c>
      <c r="F152" s="17" t="n">
        <v>94582.38</v>
      </c>
      <c r="G152" s="14">
        <f>E152*F152</f>
        <v/>
      </c>
      <c r="H152" s="14">
        <f>C152*G152</f>
        <v/>
      </c>
    </row>
    <row r="153">
      <c r="A153" s="12" t="inlineStr">
        <is>
          <t>RET-0012</t>
        </is>
      </c>
      <c r="B153" s="12" t="inlineStr">
        <is>
          <t>VS16</t>
        </is>
      </c>
      <c r="C153" s="28" t="n">
        <v>0.0221</v>
      </c>
      <c r="D153" s="12" t="inlineStr">
        <is>
          <t>PO-2021-0007</t>
        </is>
      </c>
      <c r="E153" s="12" t="n">
        <v>0.2</v>
      </c>
      <c r="F153" s="17" t="n">
        <v>111771.55</v>
      </c>
      <c r="G153" s="14">
        <f>E153*F153</f>
        <v/>
      </c>
      <c r="H153" s="14">
        <f>C153*G153</f>
        <v/>
      </c>
    </row>
    <row r="154">
      <c r="A154" s="12" t="inlineStr">
        <is>
          <t>RET-0012</t>
        </is>
      </c>
      <c r="B154" s="12" t="inlineStr">
        <is>
          <t>VS17</t>
        </is>
      </c>
      <c r="C154" s="28" t="n">
        <v>0.022</v>
      </c>
      <c r="D154" s="12" t="inlineStr">
        <is>
          <t>PO-2022-2786</t>
        </is>
      </c>
      <c r="E154" s="12" t="n">
        <v>0.2</v>
      </c>
      <c r="F154" s="17" t="n">
        <v>99936.72</v>
      </c>
      <c r="G154" s="14">
        <f>E154*F154</f>
        <v/>
      </c>
      <c r="H154" s="14">
        <f>C154*G154</f>
        <v/>
      </c>
    </row>
    <row r="155">
      <c r="A155" s="12" t="inlineStr">
        <is>
          <t>RET-0012</t>
        </is>
      </c>
      <c r="B155" s="12" t="inlineStr">
        <is>
          <t>VS18</t>
        </is>
      </c>
      <c r="C155" s="28" t="n">
        <v>0.0153</v>
      </c>
      <c r="D155" s="12" t="inlineStr">
        <is>
          <t>PO-2021-0489</t>
        </is>
      </c>
      <c r="E155" s="12" t="n">
        <v>0.2</v>
      </c>
      <c r="F155" s="17" t="n">
        <v>59959.34</v>
      </c>
      <c r="G155" s="14">
        <f>E155*F155</f>
        <v/>
      </c>
      <c r="H155" s="14">
        <f>C155*G155</f>
        <v/>
      </c>
    </row>
    <row r="156">
      <c r="A156" s="12" t="inlineStr">
        <is>
          <t>RET-0012</t>
        </is>
      </c>
      <c r="B156" s="12" t="inlineStr">
        <is>
          <t>VS19</t>
        </is>
      </c>
      <c r="C156" s="28" t="n">
        <v>0.1789</v>
      </c>
      <c r="D156" s="12" t="inlineStr">
        <is>
          <t>PO-2022-1634</t>
        </is>
      </c>
      <c r="E156" s="12" t="n">
        <v>0.2</v>
      </c>
      <c r="F156" s="17" t="n">
        <v>77943.87</v>
      </c>
      <c r="G156" s="14">
        <f>E156*F156</f>
        <v/>
      </c>
      <c r="H156" s="14">
        <f>C156*G156</f>
        <v/>
      </c>
    </row>
    <row r="157">
      <c r="A157" s="12" t="inlineStr">
        <is>
          <t>RET-0012</t>
        </is>
      </c>
      <c r="B157" s="12" t="inlineStr">
        <is>
          <t>VS20</t>
        </is>
      </c>
      <c r="C157" s="28" t="n">
        <v>0.008500000000000001</v>
      </c>
      <c r="D157" s="12" t="inlineStr">
        <is>
          <t>PO-2022-2626</t>
        </is>
      </c>
      <c r="E157" s="12" t="n">
        <v>0.2</v>
      </c>
      <c r="F157" s="17" t="n">
        <v>87536.69</v>
      </c>
      <c r="G157" s="14">
        <f>E157*F157</f>
        <v/>
      </c>
      <c r="H157" s="14">
        <f>C157*G157</f>
        <v/>
      </c>
    </row>
    <row r="158">
      <c r="A158" s="12" t="inlineStr">
        <is>
          <t>RET-0012</t>
        </is>
      </c>
      <c r="B158" s="12" t="inlineStr">
        <is>
          <t>VS21</t>
        </is>
      </c>
      <c r="C158" s="28" t="n">
        <v>0.008500000000000001</v>
      </c>
      <c r="D158" s="12" t="inlineStr">
        <is>
          <t>PO-2021-0374</t>
        </is>
      </c>
      <c r="E158" s="12" t="n">
        <v>0.2</v>
      </c>
      <c r="F158" s="17" t="n">
        <v>76035.75999999999</v>
      </c>
      <c r="G158" s="14">
        <f>E158*F158</f>
        <v/>
      </c>
      <c r="H158" s="14">
        <f>C158*G158</f>
        <v/>
      </c>
    </row>
    <row r="159">
      <c r="A159" s="12" t="inlineStr">
        <is>
          <t>RET-0012</t>
        </is>
      </c>
      <c r="B159" s="12" t="inlineStr">
        <is>
          <t>VS22</t>
        </is>
      </c>
      <c r="C159" s="28" t="n">
        <v>0.0051</v>
      </c>
      <c r="D159" s="12" t="inlineStr">
        <is>
          <t>PO-2022-2808</t>
        </is>
      </c>
      <c r="E159" s="12" t="n">
        <v>0.2</v>
      </c>
      <c r="F159" s="17" t="n">
        <v>50970.52</v>
      </c>
      <c r="G159" s="14">
        <f>E159*F159</f>
        <v/>
      </c>
      <c r="H159" s="14">
        <f>C159*G159</f>
        <v/>
      </c>
    </row>
    <row r="160">
      <c r="A160" s="12" t="inlineStr">
        <is>
          <t>RET-0012</t>
        </is>
      </c>
      <c r="B160" s="12" t="inlineStr">
        <is>
          <t>VS23</t>
        </is>
      </c>
      <c r="C160" s="28" t="n">
        <v>0.008399999999999999</v>
      </c>
      <c r="D160" s="12" t="inlineStr">
        <is>
          <t>PO-2023-4082</t>
        </is>
      </c>
      <c r="E160" s="12" t="n">
        <v>0.2</v>
      </c>
      <c r="F160" s="17" t="n">
        <v>92527.92999999999</v>
      </c>
      <c r="G160" s="14">
        <f>E160*F160</f>
        <v/>
      </c>
      <c r="H160" s="14">
        <f>C160*G160</f>
        <v/>
      </c>
    </row>
    <row r="161">
      <c r="A161" s="12" t="inlineStr">
        <is>
          <t>RET-0012</t>
        </is>
      </c>
      <c r="B161" s="12" t="inlineStr">
        <is>
          <t>VS24</t>
        </is>
      </c>
      <c r="C161" s="28" t="n">
        <v>0.008500000000000001</v>
      </c>
      <c r="D161" s="12" t="inlineStr">
        <is>
          <t>PO-2021-0357</t>
        </is>
      </c>
      <c r="E161" s="12" t="n">
        <v>0.2</v>
      </c>
      <c r="F161" s="17" t="n">
        <v>63240.59</v>
      </c>
      <c r="G161" s="14">
        <f>E161*F161</f>
        <v/>
      </c>
      <c r="H161" s="14">
        <f>C161*G161</f>
        <v/>
      </c>
    </row>
    <row r="162">
      <c r="A162" s="12" t="inlineStr">
        <is>
          <t>RET-0012</t>
        </is>
      </c>
      <c r="B162" s="12" t="inlineStr">
        <is>
          <t>VS25</t>
        </is>
      </c>
      <c r="C162" s="28" t="n">
        <v>0.0154</v>
      </c>
      <c r="D162" s="12" t="inlineStr">
        <is>
          <t>PO-2022-3130</t>
        </is>
      </c>
      <c r="E162" s="12" t="n">
        <v>0.2</v>
      </c>
      <c r="F162" s="17" t="n">
        <v>104593.37</v>
      </c>
      <c r="G162" s="14">
        <f>E162*F162</f>
        <v/>
      </c>
      <c r="H162" s="14">
        <f>C162*G162</f>
        <v/>
      </c>
    </row>
    <row r="163">
      <c r="A163" s="12" t="inlineStr">
        <is>
          <t>RET-0012</t>
        </is>
      </c>
      <c r="B163" s="12" t="inlineStr">
        <is>
          <t>VS26</t>
        </is>
      </c>
      <c r="C163" s="28" t="n">
        <v>0.0086</v>
      </c>
      <c r="D163" s="12" t="inlineStr">
        <is>
          <t>PO-2022-2752</t>
        </is>
      </c>
      <c r="E163" s="12" t="n">
        <v>0.2</v>
      </c>
      <c r="F163" s="17" t="n">
        <v>49136.32</v>
      </c>
      <c r="G163" s="14">
        <f>E163*F163</f>
        <v/>
      </c>
      <c r="H163" s="14">
        <f>C163*G163</f>
        <v/>
      </c>
    </row>
    <row r="164">
      <c r="A164" s="12" t="inlineStr">
        <is>
          <t>RET-0012</t>
        </is>
      </c>
      <c r="B164" s="12" t="inlineStr">
        <is>
          <t>VS27</t>
        </is>
      </c>
      <c r="C164" s="28" t="n">
        <v>0.008399999999999999</v>
      </c>
      <c r="D164" s="12" t="inlineStr">
        <is>
          <t>PO-2022-2929</t>
        </is>
      </c>
      <c r="E164" s="12" t="n">
        <v>0.2</v>
      </c>
      <c r="F164" s="17" t="n">
        <v>56132.99</v>
      </c>
      <c r="G164" s="14">
        <f>E164*F164</f>
        <v/>
      </c>
      <c r="H164" s="14">
        <f>C164*G164</f>
        <v/>
      </c>
    </row>
    <row r="165">
      <c r="A165" s="12" t="inlineStr">
        <is>
          <t>RET-0012</t>
        </is>
      </c>
      <c r="B165" s="12" t="inlineStr">
        <is>
          <t>VS28</t>
        </is>
      </c>
      <c r="C165" s="28" t="n">
        <v>0.0188</v>
      </c>
      <c r="D165" s="12" t="inlineStr">
        <is>
          <t>PO-2022-3035</t>
        </is>
      </c>
      <c r="E165" s="12" t="n">
        <v>0.2</v>
      </c>
      <c r="F165" s="17" t="n">
        <v>113253.06</v>
      </c>
      <c r="G165" s="14">
        <f>E165*F165</f>
        <v/>
      </c>
      <c r="H165" s="14">
        <f>C165*G165</f>
        <v/>
      </c>
    </row>
    <row r="166">
      <c r="A166" s="12" t="inlineStr">
        <is>
          <t>RET-0012</t>
        </is>
      </c>
      <c r="B166" s="12" t="inlineStr">
        <is>
          <t>VS29</t>
        </is>
      </c>
      <c r="C166" s="28" t="n">
        <v>0.0119</v>
      </c>
      <c r="D166" s="12" t="inlineStr">
        <is>
          <t>PO-2023-4754</t>
        </is>
      </c>
      <c r="E166" s="12" t="n">
        <v>0.2</v>
      </c>
      <c r="F166" s="17" t="n">
        <v>71470.53999999999</v>
      </c>
      <c r="G166" s="14">
        <f>E166*F166</f>
        <v/>
      </c>
      <c r="H166" s="14">
        <f>C166*G166</f>
        <v/>
      </c>
    </row>
    <row r="167">
      <c r="A167" s="12" t="inlineStr">
        <is>
          <t>RET-0012</t>
        </is>
      </c>
      <c r="B167" s="12" t="inlineStr">
        <is>
          <t>VS30</t>
        </is>
      </c>
      <c r="C167" s="28" t="n">
        <v>0.0051</v>
      </c>
      <c r="D167" s="12" t="inlineStr">
        <is>
          <t>PO-2022-2419</t>
        </is>
      </c>
      <c r="E167" s="12" t="n">
        <v>0.2</v>
      </c>
      <c r="F167" s="17" t="n">
        <v>63103.4</v>
      </c>
      <c r="G167" s="14">
        <f>E167*F167</f>
        <v/>
      </c>
      <c r="H167" s="14">
        <f>C167*G167</f>
        <v/>
      </c>
    </row>
    <row r="168">
      <c r="A168" s="12" t="inlineStr">
        <is>
          <t>RET-0012</t>
        </is>
      </c>
      <c r="B168" s="12" t="inlineStr">
        <is>
          <t>VS31</t>
        </is>
      </c>
      <c r="C168" s="28" t="n">
        <v>0.0187</v>
      </c>
      <c r="D168" s="12" t="inlineStr">
        <is>
          <t>PO-2022-2053</t>
        </is>
      </c>
      <c r="E168" s="12" t="n">
        <v>0.2</v>
      </c>
      <c r="F168" s="17" t="n">
        <v>76281.72</v>
      </c>
      <c r="G168" s="14">
        <f>E168*F168</f>
        <v/>
      </c>
      <c r="H168" s="14">
        <f>C168*G168</f>
        <v/>
      </c>
    </row>
    <row r="169">
      <c r="A169" s="12" t="inlineStr">
        <is>
          <t>RET-0012</t>
        </is>
      </c>
      <c r="B169" s="12" t="inlineStr">
        <is>
          <t>VS32</t>
        </is>
      </c>
      <c r="C169" s="28" t="n">
        <v>0.0222</v>
      </c>
      <c r="D169" s="12" t="inlineStr">
        <is>
          <t>PO-2023-4731</t>
        </is>
      </c>
      <c r="E169" s="12" t="n">
        <v>0.2</v>
      </c>
      <c r="F169" s="17" t="n">
        <v>97045.02</v>
      </c>
      <c r="G169" s="14">
        <f>E169*F169</f>
        <v/>
      </c>
      <c r="H169" s="14">
        <f>C169*G169</f>
        <v/>
      </c>
    </row>
    <row r="170">
      <c r="A170" s="12" t="inlineStr">
        <is>
          <t>RET-0012</t>
        </is>
      </c>
      <c r="B170" s="12" t="inlineStr">
        <is>
          <t>VS33</t>
        </is>
      </c>
      <c r="C170" s="28" t="n">
        <v>0.0119</v>
      </c>
      <c r="D170" s="12" t="inlineStr">
        <is>
          <t>PO-2022-2583</t>
        </is>
      </c>
      <c r="E170" s="12" t="n">
        <v>0.2</v>
      </c>
      <c r="F170" s="17" t="n">
        <v>59260.78</v>
      </c>
      <c r="G170" s="14">
        <f>E170*F170</f>
        <v/>
      </c>
      <c r="H170" s="14">
        <f>C170*G170</f>
        <v/>
      </c>
    </row>
    <row r="171">
      <c r="A171" s="12" t="inlineStr">
        <is>
          <t>RET-0012</t>
        </is>
      </c>
      <c r="B171" s="12" t="inlineStr">
        <is>
          <t>VS34</t>
        </is>
      </c>
      <c r="C171" s="28" t="n">
        <v>0.0153</v>
      </c>
      <c r="D171" s="12" t="inlineStr">
        <is>
          <t>PO-2021-0862</t>
        </is>
      </c>
      <c r="E171" s="12" t="n">
        <v>0.2</v>
      </c>
      <c r="F171" s="17" t="n">
        <v>118139.36</v>
      </c>
      <c r="G171" s="14">
        <f>E171*F171</f>
        <v/>
      </c>
      <c r="H171" s="14">
        <f>C171*G171</f>
        <v/>
      </c>
    </row>
    <row r="172">
      <c r="A172" s="12" t="inlineStr">
        <is>
          <t>RET-0013</t>
        </is>
      </c>
      <c r="B172" s="12" t="inlineStr">
        <is>
          <t>VS01</t>
        </is>
      </c>
      <c r="C172" s="28" t="n">
        <v>0.0231</v>
      </c>
      <c r="D172" s="12" t="inlineStr">
        <is>
          <t>PO-2021-1290</t>
        </is>
      </c>
      <c r="E172" s="12" t="n">
        <v>1.2</v>
      </c>
      <c r="F172" s="17" t="n">
        <v>45718.4</v>
      </c>
      <c r="G172" s="14">
        <f>E172*F172</f>
        <v/>
      </c>
      <c r="H172" s="14">
        <f>C172*G172</f>
        <v/>
      </c>
    </row>
    <row r="173">
      <c r="A173" s="12" t="inlineStr">
        <is>
          <t>RET-0013</t>
        </is>
      </c>
      <c r="B173" s="12" t="inlineStr">
        <is>
          <t>VS02</t>
        </is>
      </c>
      <c r="C173" s="28" t="n">
        <v>0.0105</v>
      </c>
      <c r="D173" s="12" t="inlineStr">
        <is>
          <t>PO-2022-1827</t>
        </is>
      </c>
      <c r="E173" s="12" t="n">
        <v>3.25</v>
      </c>
      <c r="F173" s="17" t="n">
        <v>65272.39</v>
      </c>
      <c r="G173" s="14">
        <f>E173*F173</f>
        <v/>
      </c>
      <c r="H173" s="14">
        <f>C173*G173</f>
        <v/>
      </c>
    </row>
    <row r="174">
      <c r="A174" s="12" t="inlineStr">
        <is>
          <t>RET-0013</t>
        </is>
      </c>
      <c r="B174" s="12" t="inlineStr">
        <is>
          <t>VS03</t>
        </is>
      </c>
      <c r="C174" s="28" t="n">
        <v>0.1431</v>
      </c>
      <c r="D174" s="12" t="inlineStr">
        <is>
          <t>PO-2023-4171</t>
        </is>
      </c>
      <c r="E174" s="12" t="n">
        <v>3.25</v>
      </c>
      <c r="F174" s="17" t="n">
        <v>122508.81</v>
      </c>
      <c r="G174" s="14">
        <f>E174*F174</f>
        <v/>
      </c>
      <c r="H174" s="14">
        <f>C174*G174</f>
        <v/>
      </c>
    </row>
    <row r="175">
      <c r="A175" s="12" t="inlineStr">
        <is>
          <t>RET-0013</t>
        </is>
      </c>
      <c r="B175" s="12" t="inlineStr">
        <is>
          <t>VS04</t>
        </is>
      </c>
      <c r="C175" s="28" t="n">
        <v>0.0145</v>
      </c>
      <c r="D175" s="12" t="inlineStr">
        <is>
          <t>PO-2022-3039</t>
        </is>
      </c>
      <c r="E175" s="12" t="n">
        <v>3.25</v>
      </c>
      <c r="F175" s="17" t="n">
        <v>103727.88</v>
      </c>
      <c r="G175" s="14">
        <f>E175*F175</f>
        <v/>
      </c>
      <c r="H175" s="14">
        <f>C175*G175</f>
        <v/>
      </c>
    </row>
    <row r="176">
      <c r="A176" s="12" t="inlineStr">
        <is>
          <t>RET-0013</t>
        </is>
      </c>
      <c r="B176" s="12" t="inlineStr">
        <is>
          <t>VS05</t>
        </is>
      </c>
      <c r="C176" s="28" t="n">
        <v>0.0188</v>
      </c>
      <c r="D176" s="12" t="inlineStr">
        <is>
          <t>PO-2022-1601</t>
        </is>
      </c>
      <c r="E176" s="12" t="n">
        <v>3.25</v>
      </c>
      <c r="F176" s="17" t="n">
        <v>110285.77</v>
      </c>
      <c r="G176" s="14">
        <f>E176*F176</f>
        <v/>
      </c>
      <c r="H176" s="14">
        <f>C176*G176</f>
        <v/>
      </c>
    </row>
    <row r="177">
      <c r="A177" s="12" t="inlineStr">
        <is>
          <t>RET-0013</t>
        </is>
      </c>
      <c r="B177" s="12" t="inlineStr">
        <is>
          <t>VS06</t>
        </is>
      </c>
      <c r="C177" s="28" t="n">
        <v>0.019</v>
      </c>
      <c r="D177" s="12" t="inlineStr">
        <is>
          <t>PO-2023-3355</t>
        </is>
      </c>
      <c r="E177" s="12" t="n">
        <v>3.25</v>
      </c>
      <c r="F177" s="17" t="n">
        <v>78488.50999999999</v>
      </c>
      <c r="G177" s="14">
        <f>E177*F177</f>
        <v/>
      </c>
      <c r="H177" s="14">
        <f>C177*G177</f>
        <v/>
      </c>
    </row>
    <row r="178">
      <c r="A178" s="12" t="inlineStr">
        <is>
          <t>RET-0013</t>
        </is>
      </c>
      <c r="B178" s="12" t="inlineStr">
        <is>
          <t>VS07</t>
        </is>
      </c>
      <c r="C178" s="28" t="n">
        <v>0.0063</v>
      </c>
      <c r="D178" s="12" t="inlineStr">
        <is>
          <t>PO-2023-3594</t>
        </is>
      </c>
      <c r="E178" s="12" t="n">
        <v>3.25</v>
      </c>
      <c r="F178" s="17" t="n">
        <v>86002.64999999999</v>
      </c>
      <c r="G178" s="14">
        <f>E178*F178</f>
        <v/>
      </c>
      <c r="H178" s="14">
        <f>C178*G178</f>
        <v/>
      </c>
    </row>
    <row r="179">
      <c r="A179" s="12" t="inlineStr">
        <is>
          <t>RET-0013</t>
        </is>
      </c>
      <c r="B179" s="12" t="inlineStr">
        <is>
          <t>VS08</t>
        </is>
      </c>
      <c r="C179" s="28" t="n">
        <v>0.0191</v>
      </c>
      <c r="D179" s="12" t="inlineStr">
        <is>
          <t>PO-2023-4533</t>
        </is>
      </c>
      <c r="E179" s="12" t="n">
        <v>3.25</v>
      </c>
      <c r="F179" s="17" t="n">
        <v>97995.92999999999</v>
      </c>
      <c r="G179" s="14">
        <f>E179*F179</f>
        <v/>
      </c>
      <c r="H179" s="14">
        <f>C179*G179</f>
        <v/>
      </c>
    </row>
    <row r="180">
      <c r="A180" s="12" t="inlineStr">
        <is>
          <t>RET-0013</t>
        </is>
      </c>
      <c r="B180" s="12" t="inlineStr">
        <is>
          <t>VS09</t>
        </is>
      </c>
      <c r="C180" s="28" t="n">
        <v>0.0147</v>
      </c>
      <c r="D180" s="12" t="inlineStr">
        <is>
          <t>PO-2021-0819</t>
        </is>
      </c>
      <c r="E180" s="12" t="n">
        <v>3.25</v>
      </c>
      <c r="F180" s="17" t="n">
        <v>81589.58</v>
      </c>
      <c r="G180" s="14">
        <f>E180*F180</f>
        <v/>
      </c>
      <c r="H180" s="14">
        <f>C180*G180</f>
        <v/>
      </c>
    </row>
    <row r="181">
      <c r="A181" s="12" t="inlineStr">
        <is>
          <t>RET-0013</t>
        </is>
      </c>
      <c r="B181" s="12" t="inlineStr">
        <is>
          <t>VS10</t>
        </is>
      </c>
      <c r="C181" s="28" t="n">
        <v>0.0231</v>
      </c>
      <c r="D181" s="12" t="inlineStr">
        <is>
          <t>PO-2023-4519</t>
        </is>
      </c>
      <c r="E181" s="12" t="n">
        <v>3.25</v>
      </c>
      <c r="F181" s="17" t="n">
        <v>119939.29</v>
      </c>
      <c r="G181" s="14">
        <f>E181*F181</f>
        <v/>
      </c>
      <c r="H181" s="14">
        <f>C181*G181</f>
        <v/>
      </c>
    </row>
    <row r="182">
      <c r="A182" s="12" t="inlineStr">
        <is>
          <t>RET-0013</t>
        </is>
      </c>
      <c r="B182" s="12" t="inlineStr">
        <is>
          <t>VS11</t>
        </is>
      </c>
      <c r="C182" s="28" t="n">
        <v>0.027</v>
      </c>
      <c r="D182" s="12" t="inlineStr">
        <is>
          <t>PO-2022-2648</t>
        </is>
      </c>
      <c r="E182" s="12" t="n">
        <v>3.25</v>
      </c>
      <c r="F182" s="17" t="n">
        <v>57853.14</v>
      </c>
      <c r="G182" s="14">
        <f>E182*F182</f>
        <v/>
      </c>
      <c r="H182" s="14">
        <f>C182*G182</f>
        <v/>
      </c>
    </row>
    <row r="183">
      <c r="A183" s="12" t="inlineStr">
        <is>
          <t>RET-0013</t>
        </is>
      </c>
      <c r="B183" s="12" t="inlineStr">
        <is>
          <t>VS12</t>
        </is>
      </c>
      <c r="C183" s="28" t="n">
        <v>0.199</v>
      </c>
      <c r="D183" s="12" t="inlineStr">
        <is>
          <t>PO-2021-1468</t>
        </is>
      </c>
      <c r="E183" s="12" t="n">
        <v>3.25</v>
      </c>
      <c r="F183" s="17" t="n">
        <v>70129.94</v>
      </c>
      <c r="G183" s="14">
        <f>E183*F183</f>
        <v/>
      </c>
      <c r="H183" s="14">
        <f>C183*G183</f>
        <v/>
      </c>
    </row>
    <row r="184">
      <c r="A184" s="12" t="inlineStr">
        <is>
          <t>RET-0013</t>
        </is>
      </c>
      <c r="B184" s="12" t="inlineStr">
        <is>
          <t>VS13</t>
        </is>
      </c>
      <c r="C184" s="28" t="n">
        <v>0.0186</v>
      </c>
      <c r="D184" s="12" t="inlineStr">
        <is>
          <t>PO-2023-3859</t>
        </is>
      </c>
      <c r="E184" s="12" t="n">
        <v>3.25</v>
      </c>
      <c r="F184" s="17" t="n">
        <v>68681.14</v>
      </c>
      <c r="G184" s="14">
        <f>E184*F184</f>
        <v/>
      </c>
      <c r="H184" s="14">
        <f>C184*G184</f>
        <v/>
      </c>
    </row>
    <row r="185">
      <c r="A185" s="12" t="inlineStr">
        <is>
          <t>RET-0013</t>
        </is>
      </c>
      <c r="B185" s="12" t="inlineStr">
        <is>
          <t>VS14</t>
        </is>
      </c>
      <c r="C185" s="28" t="n">
        <v>0.0188</v>
      </c>
      <c r="D185" s="12" t="inlineStr">
        <is>
          <t>PO-2022-2079</t>
        </is>
      </c>
      <c r="E185" s="12" t="n">
        <v>3.25</v>
      </c>
      <c r="F185" s="17" t="n">
        <v>45720.19</v>
      </c>
      <c r="G185" s="14">
        <f>E185*F185</f>
        <v/>
      </c>
      <c r="H185" s="14">
        <f>C185*G185</f>
        <v/>
      </c>
    </row>
    <row r="186">
      <c r="A186" s="12" t="inlineStr">
        <is>
          <t>RET-0013</t>
        </is>
      </c>
      <c r="B186" s="12" t="inlineStr">
        <is>
          <t>VS15</t>
        </is>
      </c>
      <c r="C186" s="28" t="n">
        <v>0.0063</v>
      </c>
      <c r="D186" s="12" t="inlineStr">
        <is>
          <t>PO-2023-3647</t>
        </is>
      </c>
      <c r="E186" s="12" t="n">
        <v>3.25</v>
      </c>
      <c r="F186" s="17" t="n">
        <v>49590.11</v>
      </c>
      <c r="G186" s="14">
        <f>E186*F186</f>
        <v/>
      </c>
      <c r="H186" s="14">
        <f>C186*G186</f>
        <v/>
      </c>
    </row>
    <row r="187">
      <c r="A187" s="12" t="inlineStr">
        <is>
          <t>RET-0013</t>
        </is>
      </c>
      <c r="B187" s="12" t="inlineStr">
        <is>
          <t>VS16</t>
        </is>
      </c>
      <c r="C187" s="28" t="n">
        <v>0.0271</v>
      </c>
      <c r="D187" s="12" t="inlineStr">
        <is>
          <t>PO-2021-0250</t>
        </is>
      </c>
      <c r="E187" s="12" t="n">
        <v>2.28</v>
      </c>
      <c r="F187" s="17" t="n">
        <v>86551.61</v>
      </c>
      <c r="G187" s="14">
        <f>E187*F187</f>
        <v/>
      </c>
      <c r="H187" s="14">
        <f>C187*G187</f>
        <v/>
      </c>
    </row>
    <row r="188">
      <c r="A188" s="12" t="inlineStr">
        <is>
          <t>RET-0013</t>
        </is>
      </c>
      <c r="B188" s="12" t="inlineStr">
        <is>
          <t>VS17</t>
        </is>
      </c>
      <c r="C188" s="28" t="n">
        <v>0.027</v>
      </c>
      <c r="D188" s="12" t="inlineStr">
        <is>
          <t>PO-2021-0402</t>
        </is>
      </c>
      <c r="E188" s="12" t="n">
        <v>3.25</v>
      </c>
      <c r="F188" s="17" t="n">
        <v>92933.14</v>
      </c>
      <c r="G188" s="14">
        <f>E188*F188</f>
        <v/>
      </c>
      <c r="H188" s="14">
        <f>C188*G188</f>
        <v/>
      </c>
    </row>
    <row r="189">
      <c r="A189" s="12" t="inlineStr">
        <is>
          <t>RET-0013</t>
        </is>
      </c>
      <c r="B189" s="12" t="inlineStr">
        <is>
          <t>VS18</t>
        </is>
      </c>
      <c r="C189" s="28" t="n">
        <v>0.0188</v>
      </c>
      <c r="D189" s="12" t="inlineStr">
        <is>
          <t>PO-2022-2472</t>
        </is>
      </c>
      <c r="E189" s="12" t="n">
        <v>3.25</v>
      </c>
      <c r="F189" s="17" t="n">
        <v>63464.47</v>
      </c>
      <c r="G189" s="14">
        <f>E189*F189</f>
        <v/>
      </c>
      <c r="H189" s="14">
        <f>C189*G189</f>
        <v/>
      </c>
    </row>
    <row r="190">
      <c r="A190" s="12" t="inlineStr">
        <is>
          <t>RET-0013</t>
        </is>
      </c>
      <c r="B190" s="12" t="inlineStr">
        <is>
          <t>VS19</t>
        </is>
      </c>
      <c r="C190" s="28" t="n">
        <v>0.1501</v>
      </c>
      <c r="D190" s="12" t="inlineStr">
        <is>
          <t>PO-2021-0083</t>
        </is>
      </c>
      <c r="E190" s="12" t="n">
        <v>3.25</v>
      </c>
      <c r="F190" s="17" t="n">
        <v>73375.06</v>
      </c>
      <c r="G190" s="14">
        <f>E190*F190</f>
        <v/>
      </c>
      <c r="H190" s="14">
        <f>C190*G190</f>
        <v/>
      </c>
    </row>
    <row r="191">
      <c r="A191" s="12" t="inlineStr">
        <is>
          <t>RET-0013</t>
        </is>
      </c>
      <c r="B191" s="12" t="inlineStr">
        <is>
          <t>VS20</t>
        </is>
      </c>
      <c r="C191" s="28" t="n">
        <v>0.0105</v>
      </c>
      <c r="D191" s="12" t="inlineStr">
        <is>
          <t>PO-2022-2926</t>
        </is>
      </c>
      <c r="E191" s="12" t="n">
        <v>3.25</v>
      </c>
      <c r="F191" s="17" t="n">
        <v>74625.02</v>
      </c>
      <c r="G191" s="14">
        <f>E191*F191</f>
        <v/>
      </c>
      <c r="H191" s="14">
        <f>C191*G191</f>
        <v/>
      </c>
    </row>
    <row r="192">
      <c r="A192" s="12" t="inlineStr">
        <is>
          <t>RET-0013</t>
        </is>
      </c>
      <c r="B192" s="12" t="inlineStr">
        <is>
          <t>VS21</t>
        </is>
      </c>
      <c r="C192" s="28" t="n">
        <v>0.0105</v>
      </c>
      <c r="D192" s="12" t="inlineStr">
        <is>
          <t>PO-2023-3638</t>
        </is>
      </c>
      <c r="E192" s="12" t="n">
        <v>3.25</v>
      </c>
      <c r="F192" s="17" t="n">
        <v>70272</v>
      </c>
      <c r="G192" s="14">
        <f>E192*F192</f>
        <v/>
      </c>
      <c r="H192" s="14">
        <f>C192*G192</f>
        <v/>
      </c>
    </row>
    <row r="193">
      <c r="A193" s="12" t="inlineStr">
        <is>
          <t>RET-0013</t>
        </is>
      </c>
      <c r="B193" s="12" t="inlineStr">
        <is>
          <t>VS22</t>
        </is>
      </c>
      <c r="C193" s="28" t="n">
        <v>0.0062</v>
      </c>
      <c r="D193" s="12" t="inlineStr">
        <is>
          <t>PO-2023-4130</t>
        </is>
      </c>
      <c r="E193" s="12" t="n">
        <v>3.25</v>
      </c>
      <c r="F193" s="17" t="n">
        <v>93071.52</v>
      </c>
      <c r="G193" s="14">
        <f>E193*F193</f>
        <v/>
      </c>
      <c r="H193" s="14">
        <f>C193*G193</f>
        <v/>
      </c>
    </row>
    <row r="194">
      <c r="A194" s="12" t="inlineStr">
        <is>
          <t>RET-0013</t>
        </is>
      </c>
      <c r="B194" s="12" t="inlineStr">
        <is>
          <t>VS23</t>
        </is>
      </c>
      <c r="C194" s="28" t="n">
        <v>0.0103</v>
      </c>
      <c r="D194" s="12" t="inlineStr">
        <is>
          <t>PO-2023-4054</t>
        </is>
      </c>
      <c r="E194" s="12" t="n">
        <v>3.25</v>
      </c>
      <c r="F194" s="17" t="n">
        <v>97981.39</v>
      </c>
      <c r="G194" s="14">
        <f>E194*F194</f>
        <v/>
      </c>
      <c r="H194" s="14">
        <f>C194*G194</f>
        <v/>
      </c>
    </row>
    <row r="195">
      <c r="A195" s="12" t="inlineStr">
        <is>
          <t>RET-0013</t>
        </is>
      </c>
      <c r="B195" s="12" t="inlineStr">
        <is>
          <t>VS24</t>
        </is>
      </c>
      <c r="C195" s="28" t="n">
        <v>0.0104</v>
      </c>
      <c r="D195" s="12" t="inlineStr">
        <is>
          <t>PO-2021-1141</t>
        </is>
      </c>
      <c r="E195" s="12" t="n">
        <v>3.25</v>
      </c>
      <c r="F195" s="17" t="n">
        <v>106602.4</v>
      </c>
      <c r="G195" s="14">
        <f>E195*F195</f>
        <v/>
      </c>
      <c r="H195" s="14">
        <f>C195*G195</f>
        <v/>
      </c>
    </row>
    <row r="196">
      <c r="A196" s="12" t="inlineStr">
        <is>
          <t>RET-0013</t>
        </is>
      </c>
      <c r="B196" s="12" t="inlineStr">
        <is>
          <t>VS25</t>
        </is>
      </c>
      <c r="C196" s="28" t="n">
        <v>0.0189</v>
      </c>
      <c r="D196" s="12" t="inlineStr">
        <is>
          <t>PO-2022-2296</t>
        </is>
      </c>
      <c r="E196" s="12" t="n">
        <v>3.25</v>
      </c>
      <c r="F196" s="17" t="n">
        <v>57784.35</v>
      </c>
      <c r="G196" s="14">
        <f>E196*F196</f>
        <v/>
      </c>
      <c r="H196" s="14">
        <f>C196*G196</f>
        <v/>
      </c>
    </row>
    <row r="197">
      <c r="A197" s="12" t="inlineStr">
        <is>
          <t>RET-0013</t>
        </is>
      </c>
      <c r="B197" s="12" t="inlineStr">
        <is>
          <t>VS26</t>
        </is>
      </c>
      <c r="C197" s="28" t="n">
        <v>0.0105</v>
      </c>
      <c r="D197" s="12" t="inlineStr">
        <is>
          <t>PO-2023-3372</t>
        </is>
      </c>
      <c r="E197" s="12" t="n">
        <v>3.25</v>
      </c>
      <c r="F197" s="17" t="n">
        <v>52122.89</v>
      </c>
      <c r="G197" s="14">
        <f>E197*F197</f>
        <v/>
      </c>
      <c r="H197" s="14">
        <f>C197*G197</f>
        <v/>
      </c>
    </row>
    <row r="198">
      <c r="A198" s="12" t="inlineStr">
        <is>
          <t>RET-0013</t>
        </is>
      </c>
      <c r="B198" s="12" t="inlineStr">
        <is>
          <t>VS27</t>
        </is>
      </c>
      <c r="C198" s="28" t="n">
        <v>0.0103</v>
      </c>
      <c r="D198" s="12" t="inlineStr">
        <is>
          <t>PO-2021-0599</t>
        </is>
      </c>
      <c r="E198" s="12" t="n">
        <v>3.25</v>
      </c>
      <c r="F198" s="17" t="n">
        <v>95879.49000000001</v>
      </c>
      <c r="G198" s="14">
        <f>E198*F198</f>
        <v/>
      </c>
      <c r="H198" s="14">
        <f>C198*G198</f>
        <v/>
      </c>
    </row>
    <row r="199">
      <c r="A199" s="12" t="inlineStr">
        <is>
          <t>RET-0013</t>
        </is>
      </c>
      <c r="B199" s="12" t="inlineStr">
        <is>
          <t>VS28</t>
        </is>
      </c>
      <c r="C199" s="28" t="n">
        <v>0.0231</v>
      </c>
      <c r="D199" s="12" t="inlineStr">
        <is>
          <t>PO-2023-3552</t>
        </is>
      </c>
      <c r="E199" s="12" t="n">
        <v>3.25</v>
      </c>
      <c r="F199" s="17" t="n">
        <v>74138.09</v>
      </c>
      <c r="G199" s="14">
        <f>E199*F199</f>
        <v/>
      </c>
      <c r="H199" s="14">
        <f>C199*G199</f>
        <v/>
      </c>
    </row>
    <row r="200">
      <c r="A200" s="12" t="inlineStr">
        <is>
          <t>RET-0013</t>
        </is>
      </c>
      <c r="B200" s="12" t="inlineStr">
        <is>
          <t>VS29</t>
        </is>
      </c>
      <c r="C200" s="28" t="n">
        <v>0.0146</v>
      </c>
      <c r="D200" s="12" t="inlineStr">
        <is>
          <t>PO-2021-1015</t>
        </is>
      </c>
      <c r="E200" s="12" t="n">
        <v>3.25</v>
      </c>
      <c r="F200" s="17" t="n">
        <v>86886.52</v>
      </c>
      <c r="G200" s="14">
        <f>E200*F200</f>
        <v/>
      </c>
      <c r="H200" s="14">
        <f>C200*G200</f>
        <v/>
      </c>
    </row>
    <row r="201">
      <c r="A201" s="12" t="inlineStr">
        <is>
          <t>RET-0013</t>
        </is>
      </c>
      <c r="B201" s="12" t="inlineStr">
        <is>
          <t>VS30</t>
        </is>
      </c>
      <c r="C201" s="28" t="n">
        <v>0.0063</v>
      </c>
      <c r="D201" s="12" t="inlineStr">
        <is>
          <t>PO-2022-2781</t>
        </is>
      </c>
      <c r="E201" s="12" t="n">
        <v>3.25</v>
      </c>
      <c r="F201" s="17" t="n">
        <v>75199.45</v>
      </c>
      <c r="G201" s="14">
        <f>E201*F201</f>
        <v/>
      </c>
      <c r="H201" s="14">
        <f>C201*G201</f>
        <v/>
      </c>
    </row>
    <row r="202">
      <c r="A202" s="12" t="inlineStr">
        <is>
          <t>RET-0013</t>
        </is>
      </c>
      <c r="B202" s="12" t="inlineStr">
        <is>
          <t>VS31</t>
        </is>
      </c>
      <c r="C202" s="28" t="n">
        <v>0.0229</v>
      </c>
      <c r="D202" s="12" t="inlineStr">
        <is>
          <t>PO-2021-0601</t>
        </is>
      </c>
      <c r="E202" s="12" t="n">
        <v>3.25</v>
      </c>
      <c r="F202" s="17" t="n">
        <v>75846.32000000001</v>
      </c>
      <c r="G202" s="14">
        <f>E202*F202</f>
        <v/>
      </c>
      <c r="H202" s="14">
        <f>C202*G202</f>
        <v/>
      </c>
    </row>
    <row r="203">
      <c r="A203" s="12" t="inlineStr">
        <is>
          <t>RET-0013</t>
        </is>
      </c>
      <c r="B203" s="12" t="inlineStr">
        <is>
          <t>VS32</t>
        </is>
      </c>
      <c r="C203" s="28" t="n">
        <v>0.0273</v>
      </c>
      <c r="D203" s="12" t="inlineStr">
        <is>
          <t>PO-2022-2724</t>
        </is>
      </c>
      <c r="E203" s="12" t="n">
        <v>3.25</v>
      </c>
      <c r="F203" s="17" t="n">
        <v>87102.81</v>
      </c>
      <c r="G203" s="14">
        <f>E203*F203</f>
        <v/>
      </c>
      <c r="H203" s="14">
        <f>C203*G203</f>
        <v/>
      </c>
    </row>
    <row r="204">
      <c r="A204" s="12" t="inlineStr">
        <is>
          <t>RET-0013</t>
        </is>
      </c>
      <c r="B204" s="12" t="inlineStr">
        <is>
          <t>VS33</t>
        </is>
      </c>
      <c r="C204" s="28" t="n">
        <v>0.0146</v>
      </c>
      <c r="D204" s="12" t="inlineStr">
        <is>
          <t>PO-2021-1340</t>
        </is>
      </c>
      <c r="E204" s="12" t="n">
        <v>3.25</v>
      </c>
      <c r="F204" s="17" t="n">
        <v>51105.58</v>
      </c>
      <c r="G204" s="14">
        <f>E204*F204</f>
        <v/>
      </c>
      <c r="H204" s="14">
        <f>C204*G204</f>
        <v/>
      </c>
    </row>
    <row r="205">
      <c r="A205" s="12" t="inlineStr">
        <is>
          <t>RET-0013</t>
        </is>
      </c>
      <c r="B205" s="12" t="inlineStr">
        <is>
          <t>VS34</t>
        </is>
      </c>
      <c r="C205" s="28" t="n">
        <v>0.0188</v>
      </c>
      <c r="D205" s="12" t="inlineStr">
        <is>
          <t>PO-2021-1101</t>
        </is>
      </c>
      <c r="E205" s="12" t="n">
        <v>3.25</v>
      </c>
      <c r="F205" s="17" t="n">
        <v>60144.88</v>
      </c>
      <c r="G205" s="14">
        <f>E205*F205</f>
        <v/>
      </c>
      <c r="H205" s="14">
        <f>C205*G205</f>
        <v/>
      </c>
    </row>
    <row r="206">
      <c r="A206" s="12" t="inlineStr">
        <is>
          <t>RET-0020</t>
        </is>
      </c>
      <c r="B206" s="12" t="inlineStr">
        <is>
          <t>VS01</t>
        </is>
      </c>
      <c r="C206" s="28" t="n">
        <v>0.0105</v>
      </c>
      <c r="D206" s="12" t="inlineStr">
        <is>
          <t>PO-2022-2743</t>
        </is>
      </c>
      <c r="E206" s="12" t="n">
        <v>4.84</v>
      </c>
      <c r="F206" s="17" t="n">
        <v>111546.2</v>
      </c>
      <c r="G206" s="14">
        <f>E206*F206</f>
        <v/>
      </c>
      <c r="H206" s="14">
        <f>C206*G206</f>
        <v/>
      </c>
    </row>
    <row r="207">
      <c r="A207" s="12" t="inlineStr">
        <is>
          <t>RET-0020</t>
        </is>
      </c>
      <c r="B207" s="12" t="inlineStr">
        <is>
          <t>VS02</t>
        </is>
      </c>
      <c r="C207" s="28" t="n">
        <v>0.0048</v>
      </c>
      <c r="D207" s="12" t="inlineStr">
        <is>
          <t>PO-2021-0497</t>
        </is>
      </c>
      <c r="E207" s="12" t="n">
        <v>4.84</v>
      </c>
      <c r="F207" s="17" t="n">
        <v>87270.49000000001</v>
      </c>
      <c r="G207" s="14">
        <f>E207*F207</f>
        <v/>
      </c>
      <c r="H207" s="14">
        <f>C207*G207</f>
        <v/>
      </c>
    </row>
    <row r="208">
      <c r="A208" s="12" t="inlineStr">
        <is>
          <t>RET-0020</t>
        </is>
      </c>
      <c r="B208" s="12" t="inlineStr">
        <is>
          <t>VS03</t>
        </is>
      </c>
      <c r="C208" s="28" t="n">
        <v>0.2239</v>
      </c>
      <c r="D208" s="12" t="inlineStr">
        <is>
          <t>PO-2022-2055</t>
        </is>
      </c>
      <c r="E208" s="12" t="n">
        <v>4.84</v>
      </c>
      <c r="F208" s="17" t="n">
        <v>119136.41</v>
      </c>
      <c r="G208" s="14">
        <f>E208*F208</f>
        <v/>
      </c>
      <c r="H208" s="14">
        <f>C208*G208</f>
        <v/>
      </c>
    </row>
    <row r="209">
      <c r="A209" s="12" t="inlineStr">
        <is>
          <t>RET-0020</t>
        </is>
      </c>
      <c r="B209" s="12" t="inlineStr">
        <is>
          <t>VS04</t>
        </is>
      </c>
      <c r="C209" s="28" t="n">
        <v>0.0066</v>
      </c>
      <c r="D209" s="12" t="inlineStr">
        <is>
          <t>PO-2022-1640</t>
        </is>
      </c>
      <c r="E209" s="12" t="n">
        <v>4.84</v>
      </c>
      <c r="F209" s="17" t="n">
        <v>118392.06</v>
      </c>
      <c r="G209" s="14">
        <f>E209*F209</f>
        <v/>
      </c>
      <c r="H209" s="14">
        <f>C209*G209</f>
        <v/>
      </c>
    </row>
    <row r="210">
      <c r="A210" s="12" t="inlineStr">
        <is>
          <t>RET-0020</t>
        </is>
      </c>
      <c r="B210" s="12" t="inlineStr">
        <is>
          <t>VS05</t>
        </is>
      </c>
      <c r="C210" s="28" t="n">
        <v>0.008500000000000001</v>
      </c>
      <c r="D210" s="12" t="inlineStr">
        <is>
          <t>PO-2023-3574</t>
        </is>
      </c>
      <c r="E210" s="12" t="n">
        <v>4.84</v>
      </c>
      <c r="F210" s="17" t="n">
        <v>47202.38</v>
      </c>
      <c r="G210" s="14">
        <f>E210*F210</f>
        <v/>
      </c>
      <c r="H210" s="14">
        <f>C210*G210</f>
        <v/>
      </c>
    </row>
    <row r="211">
      <c r="A211" s="12" t="inlineStr">
        <is>
          <t>RET-0020</t>
        </is>
      </c>
      <c r="B211" s="12" t="inlineStr">
        <is>
          <t>VS06</t>
        </is>
      </c>
      <c r="C211" s="28" t="n">
        <v>0.0086</v>
      </c>
      <c r="D211" s="12" t="inlineStr">
        <is>
          <t>PO-2023-3472</t>
        </is>
      </c>
      <c r="E211" s="12" t="n">
        <v>4.84</v>
      </c>
      <c r="F211" s="17" t="n">
        <v>66892.41</v>
      </c>
      <c r="G211" s="14">
        <f>E211*F211</f>
        <v/>
      </c>
      <c r="H211" s="14">
        <f>C211*G211</f>
        <v/>
      </c>
    </row>
    <row r="212">
      <c r="A212" s="12" t="inlineStr">
        <is>
          <t>RET-0020</t>
        </is>
      </c>
      <c r="B212" s="12" t="inlineStr">
        <is>
          <t>VS07</t>
        </is>
      </c>
      <c r="C212" s="28" t="n">
        <v>0.0029</v>
      </c>
      <c r="D212" s="12" t="inlineStr">
        <is>
          <t>PO-2022-1955</t>
        </is>
      </c>
      <c r="E212" s="12" t="n">
        <v>4.84</v>
      </c>
      <c r="F212" s="17" t="n">
        <v>82709.5</v>
      </c>
      <c r="G212" s="14">
        <f>E212*F212</f>
        <v/>
      </c>
      <c r="H212" s="14">
        <f>C212*G212</f>
        <v/>
      </c>
    </row>
    <row r="213">
      <c r="A213" s="12" t="inlineStr">
        <is>
          <t>RET-0020</t>
        </is>
      </c>
      <c r="B213" s="12" t="inlineStr">
        <is>
          <t>VS08</t>
        </is>
      </c>
      <c r="C213" s="28" t="n">
        <v>0.0086</v>
      </c>
      <c r="D213" s="12" t="inlineStr">
        <is>
          <t>PO-2023-4200</t>
        </is>
      </c>
      <c r="E213" s="12" t="n">
        <v>4.84</v>
      </c>
      <c r="F213" s="17" t="n">
        <v>86739.34</v>
      </c>
      <c r="G213" s="14">
        <f>E213*F213</f>
        <v/>
      </c>
      <c r="H213" s="14">
        <f>C213*G213</f>
        <v/>
      </c>
    </row>
    <row r="214">
      <c r="A214" s="12" t="inlineStr">
        <is>
          <t>RET-0020</t>
        </is>
      </c>
      <c r="B214" s="12" t="inlineStr">
        <is>
          <t>VS09</t>
        </is>
      </c>
      <c r="C214" s="28" t="n">
        <v>0.0066</v>
      </c>
      <c r="D214" s="12" t="inlineStr">
        <is>
          <t>PO-2023-4617</t>
        </is>
      </c>
      <c r="E214" s="12" t="n">
        <v>4.84</v>
      </c>
      <c r="F214" s="17" t="n">
        <v>118346.31</v>
      </c>
      <c r="G214" s="14">
        <f>E214*F214</f>
        <v/>
      </c>
      <c r="H214" s="14">
        <f>C214*G214</f>
        <v/>
      </c>
    </row>
    <row r="215">
      <c r="A215" s="12" t="inlineStr">
        <is>
          <t>RET-0020</t>
        </is>
      </c>
      <c r="B215" s="12" t="inlineStr">
        <is>
          <t>VS10</t>
        </is>
      </c>
      <c r="C215" s="28" t="n">
        <v>0.0104</v>
      </c>
      <c r="D215" s="12" t="inlineStr">
        <is>
          <t>PO-2023-4784</t>
        </is>
      </c>
      <c r="E215" s="12" t="n">
        <v>1.13</v>
      </c>
      <c r="F215" s="17" t="n">
        <v>76580.08</v>
      </c>
      <c r="G215" s="14">
        <f>E215*F215</f>
        <v/>
      </c>
      <c r="H215" s="14">
        <f>C215*G215</f>
        <v/>
      </c>
    </row>
    <row r="216">
      <c r="A216" s="12" t="inlineStr">
        <is>
          <t>RET-0020</t>
        </is>
      </c>
      <c r="B216" s="12" t="inlineStr">
        <is>
          <t>VS11</t>
        </is>
      </c>
      <c r="C216" s="28" t="n">
        <v>0.0122</v>
      </c>
      <c r="D216" s="12" t="inlineStr">
        <is>
          <t>PO-2022-2689</t>
        </is>
      </c>
      <c r="E216" s="12" t="n">
        <v>4.84</v>
      </c>
      <c r="F216" s="17" t="n">
        <v>73024.87</v>
      </c>
      <c r="G216" s="14">
        <f>E216*F216</f>
        <v/>
      </c>
      <c r="H216" s="14">
        <f>C216*G216</f>
        <v/>
      </c>
    </row>
    <row r="217">
      <c r="A217" s="12" t="inlineStr">
        <is>
          <t>RET-0020</t>
        </is>
      </c>
      <c r="B217" s="12" t="inlineStr">
        <is>
          <t>VS12</t>
        </is>
      </c>
      <c r="C217" s="28" t="n">
        <v>0.3112</v>
      </c>
      <c r="D217" s="12" t="inlineStr">
        <is>
          <t>PO-2023-4772</t>
        </is>
      </c>
      <c r="E217" s="12" t="n">
        <v>4.84</v>
      </c>
      <c r="F217" s="17" t="n">
        <v>71528</v>
      </c>
      <c r="G217" s="14">
        <f>E217*F217</f>
        <v/>
      </c>
      <c r="H217" s="14">
        <f>C217*G217</f>
        <v/>
      </c>
    </row>
    <row r="218">
      <c r="A218" s="12" t="inlineStr">
        <is>
          <t>RET-0020</t>
        </is>
      </c>
      <c r="B218" s="12" t="inlineStr">
        <is>
          <t>VS13</t>
        </is>
      </c>
      <c r="C218" s="28" t="n">
        <v>0.008399999999999999</v>
      </c>
      <c r="D218" s="12" t="inlineStr">
        <is>
          <t>PO-2021-0778</t>
        </is>
      </c>
      <c r="E218" s="12" t="n">
        <v>4.84</v>
      </c>
      <c r="F218" s="17" t="n">
        <v>109774.32</v>
      </c>
      <c r="G218" s="14">
        <f>E218*F218</f>
        <v/>
      </c>
      <c r="H218" s="14">
        <f>C218*G218</f>
        <v/>
      </c>
    </row>
    <row r="219">
      <c r="A219" s="12" t="inlineStr">
        <is>
          <t>RET-0020</t>
        </is>
      </c>
      <c r="B219" s="12" t="inlineStr">
        <is>
          <t>VS14</t>
        </is>
      </c>
      <c r="C219" s="28" t="n">
        <v>0.008500000000000001</v>
      </c>
      <c r="D219" s="12" t="inlineStr">
        <is>
          <t>PO-2023-3426</t>
        </is>
      </c>
      <c r="E219" s="12" t="n">
        <v>4.84</v>
      </c>
      <c r="F219" s="17" t="n">
        <v>67317.23</v>
      </c>
      <c r="G219" s="14">
        <f>E219*F219</f>
        <v/>
      </c>
      <c r="H219" s="14">
        <f>C219*G219</f>
        <v/>
      </c>
    </row>
    <row r="220">
      <c r="A220" s="12" t="inlineStr">
        <is>
          <t>RET-0020</t>
        </is>
      </c>
      <c r="B220" s="12" t="inlineStr">
        <is>
          <t>VS15</t>
        </is>
      </c>
      <c r="C220" s="28" t="n">
        <v>0.0028</v>
      </c>
      <c r="D220" s="12" t="inlineStr">
        <is>
          <t>PO-2021-1247</t>
        </is>
      </c>
      <c r="E220" s="12" t="n">
        <v>4.84</v>
      </c>
      <c r="F220" s="17" t="n">
        <v>95019.17999999999</v>
      </c>
      <c r="G220" s="14">
        <f>E220*F220</f>
        <v/>
      </c>
      <c r="H220" s="14">
        <f>C220*G220</f>
        <v/>
      </c>
    </row>
    <row r="221">
      <c r="A221" s="12" t="inlineStr">
        <is>
          <t>RET-0020</t>
        </is>
      </c>
      <c r="B221" s="12" t="inlineStr">
        <is>
          <t>VS16</t>
        </is>
      </c>
      <c r="C221" s="28" t="n">
        <v>0.0123</v>
      </c>
      <c r="D221" s="12" t="inlineStr">
        <is>
          <t>PO-2023-4197</t>
        </is>
      </c>
      <c r="E221" s="12" t="n">
        <v>4.84</v>
      </c>
      <c r="F221" s="17" t="n">
        <v>106953.2</v>
      </c>
      <c r="G221" s="14">
        <f>E221*F221</f>
        <v/>
      </c>
      <c r="H221" s="14">
        <f>C221*G221</f>
        <v/>
      </c>
    </row>
    <row r="222">
      <c r="A222" s="12" t="inlineStr">
        <is>
          <t>RET-0020</t>
        </is>
      </c>
      <c r="B222" s="12" t="inlineStr">
        <is>
          <t>VS17</t>
        </is>
      </c>
      <c r="C222" s="28" t="n">
        <v>0.0122</v>
      </c>
      <c r="D222" s="12" t="inlineStr">
        <is>
          <t>PO-2023-3926</t>
        </is>
      </c>
      <c r="E222" s="12" t="n">
        <v>4.84</v>
      </c>
      <c r="F222" s="17" t="n">
        <v>96000.71000000001</v>
      </c>
      <c r="G222" s="14">
        <f>E222*F222</f>
        <v/>
      </c>
      <c r="H222" s="14">
        <f>C222*G222</f>
        <v/>
      </c>
    </row>
    <row r="223">
      <c r="A223" s="12" t="inlineStr">
        <is>
          <t>RET-0020</t>
        </is>
      </c>
      <c r="B223" s="12" t="inlineStr">
        <is>
          <t>VS18</t>
        </is>
      </c>
      <c r="C223" s="28" t="n">
        <v>0.008500000000000001</v>
      </c>
      <c r="D223" s="12" t="inlineStr">
        <is>
          <t>PO-2023-3529</t>
        </is>
      </c>
      <c r="E223" s="12" t="n">
        <v>4.84</v>
      </c>
      <c r="F223" s="17" t="n">
        <v>71931.77</v>
      </c>
      <c r="G223" s="14">
        <f>E223*F223</f>
        <v/>
      </c>
      <c r="H223" s="14">
        <f>C223*G223</f>
        <v/>
      </c>
    </row>
    <row r="224">
      <c r="A224" s="12" t="inlineStr">
        <is>
          <t>RET-0020</t>
        </is>
      </c>
      <c r="B224" s="12" t="inlineStr">
        <is>
          <t>VS19</t>
        </is>
      </c>
      <c r="C224" s="28" t="n">
        <v>0.2348</v>
      </c>
      <c r="D224" s="12" t="inlineStr">
        <is>
          <t>PO-2022-2516</t>
        </is>
      </c>
      <c r="E224" s="12" t="n">
        <v>0</v>
      </c>
      <c r="F224" s="17" t="n">
        <v>87125.81</v>
      </c>
      <c r="G224" s="14">
        <f>E224*F224</f>
        <v/>
      </c>
      <c r="H224" s="14">
        <f>C224*G224</f>
        <v/>
      </c>
    </row>
    <row r="225">
      <c r="A225" s="12" t="inlineStr">
        <is>
          <t>RET-0020</t>
        </is>
      </c>
      <c r="B225" s="12" t="inlineStr">
        <is>
          <t>VS20</t>
        </is>
      </c>
      <c r="C225" s="28" t="n">
        <v>0.0047</v>
      </c>
      <c r="D225" s="12" t="inlineStr">
        <is>
          <t>PO-2023-4528</t>
        </is>
      </c>
      <c r="E225" s="12" t="n">
        <v>4.84</v>
      </c>
      <c r="F225" s="17" t="n">
        <v>88447.11</v>
      </c>
      <c r="G225" s="14">
        <f>E225*F225</f>
        <v/>
      </c>
      <c r="H225" s="14">
        <f>C225*G225</f>
        <v/>
      </c>
    </row>
    <row r="226">
      <c r="A226" s="12" t="inlineStr">
        <is>
          <t>RET-0020</t>
        </is>
      </c>
      <c r="B226" s="12" t="inlineStr">
        <is>
          <t>VS21</t>
        </is>
      </c>
      <c r="C226" s="28" t="n">
        <v>0.0047</v>
      </c>
      <c r="D226" s="12" t="inlineStr">
        <is>
          <t>PO-2021-1461</t>
        </is>
      </c>
      <c r="E226" s="12" t="n">
        <v>4.84</v>
      </c>
      <c r="F226" s="17" t="n">
        <v>115044.39</v>
      </c>
      <c r="G226" s="14">
        <f>E226*F226</f>
        <v/>
      </c>
      <c r="H226" s="14">
        <f>C226*G226</f>
        <v/>
      </c>
    </row>
    <row r="227">
      <c r="A227" s="12" t="inlineStr">
        <is>
          <t>RET-0020</t>
        </is>
      </c>
      <c r="B227" s="12" t="inlineStr">
        <is>
          <t>VS22</t>
        </is>
      </c>
      <c r="C227" s="28" t="n">
        <v>0.0028</v>
      </c>
      <c r="D227" s="12" t="inlineStr">
        <is>
          <t>PO-2021-0567</t>
        </is>
      </c>
      <c r="E227" s="12" t="n">
        <v>4.84</v>
      </c>
      <c r="F227" s="17" t="n">
        <v>67053.83</v>
      </c>
      <c r="G227" s="14">
        <f>E227*F227</f>
        <v/>
      </c>
      <c r="H227" s="14">
        <f>C227*G227</f>
        <v/>
      </c>
    </row>
    <row r="228">
      <c r="A228" s="12" t="inlineStr">
        <is>
          <t>RET-0020</t>
        </is>
      </c>
      <c r="B228" s="12" t="inlineStr">
        <is>
          <t>VS23</t>
        </is>
      </c>
      <c r="C228" s="28" t="n">
        <v>0.0047</v>
      </c>
      <c r="D228" s="12" t="inlineStr">
        <is>
          <t>PO-2021-0683</t>
        </is>
      </c>
      <c r="E228" s="12" t="n">
        <v>4.84</v>
      </c>
      <c r="F228" s="17" t="n">
        <v>81158.25999999999</v>
      </c>
      <c r="G228" s="14">
        <f>E228*F228</f>
        <v/>
      </c>
      <c r="H228" s="14">
        <f>C228*G228</f>
        <v/>
      </c>
    </row>
    <row r="229">
      <c r="A229" s="12" t="inlineStr">
        <is>
          <t>RET-0020</t>
        </is>
      </c>
      <c r="B229" s="12" t="inlineStr">
        <is>
          <t>VS24</t>
        </is>
      </c>
      <c r="C229" s="28" t="n">
        <v>0.0047</v>
      </c>
      <c r="D229" s="12" t="inlineStr">
        <is>
          <t>PO-2023-4182</t>
        </is>
      </c>
      <c r="E229" s="12" t="n">
        <v>4.84</v>
      </c>
      <c r="F229" s="17" t="n">
        <v>67218.28</v>
      </c>
      <c r="G229" s="14">
        <f>E229*F229</f>
        <v/>
      </c>
      <c r="H229" s="14">
        <f>C229*G229</f>
        <v/>
      </c>
    </row>
    <row r="230">
      <c r="A230" s="12" t="inlineStr">
        <is>
          <t>RET-0020</t>
        </is>
      </c>
      <c r="B230" s="12" t="inlineStr">
        <is>
          <t>VS25</t>
        </is>
      </c>
      <c r="C230" s="28" t="n">
        <v>0.0086</v>
      </c>
      <c r="D230" s="12" t="inlineStr">
        <is>
          <t>PO-2023-3986</t>
        </is>
      </c>
      <c r="E230" s="12" t="n">
        <v>4.84</v>
      </c>
      <c r="F230" s="17" t="n">
        <v>52988.35</v>
      </c>
      <c r="G230" s="14">
        <f>E230*F230</f>
        <v/>
      </c>
      <c r="H230" s="14">
        <f>C230*G230</f>
        <v/>
      </c>
    </row>
    <row r="231">
      <c r="A231" s="12" t="inlineStr">
        <is>
          <t>RET-0020</t>
        </is>
      </c>
      <c r="B231" s="12" t="inlineStr">
        <is>
          <t>VS26</t>
        </is>
      </c>
      <c r="C231" s="28" t="n">
        <v>0.0048</v>
      </c>
      <c r="D231" s="12" t="inlineStr">
        <is>
          <t>PO-2023-4184</t>
        </is>
      </c>
      <c r="E231" s="12" t="n">
        <v>2.244</v>
      </c>
      <c r="F231" s="17" t="n">
        <v>73708.62</v>
      </c>
      <c r="G231" s="14">
        <f>E231*F231</f>
        <v/>
      </c>
      <c r="H231" s="14">
        <f>C231*G231</f>
        <v/>
      </c>
    </row>
    <row r="232">
      <c r="A232" s="12" t="inlineStr">
        <is>
          <t>RET-0020</t>
        </is>
      </c>
      <c r="B232" s="12" t="inlineStr">
        <is>
          <t>VS27</t>
        </is>
      </c>
      <c r="C232" s="28" t="n">
        <v>0.0047</v>
      </c>
      <c r="D232" s="12" t="inlineStr">
        <is>
          <t>PO-2022-2443</t>
        </is>
      </c>
      <c r="E232" s="12" t="n">
        <v>4.84</v>
      </c>
      <c r="F232" s="17" t="n">
        <v>107098.17</v>
      </c>
      <c r="G232" s="14">
        <f>E232*F232</f>
        <v/>
      </c>
      <c r="H232" s="14">
        <f>C232*G232</f>
        <v/>
      </c>
    </row>
    <row r="233">
      <c r="A233" s="12" t="inlineStr">
        <is>
          <t>RET-0020</t>
        </is>
      </c>
      <c r="B233" s="12" t="inlineStr">
        <is>
          <t>VS28</t>
        </is>
      </c>
      <c r="C233" s="28" t="n">
        <v>0.0104</v>
      </c>
      <c r="D233" s="12" t="inlineStr">
        <is>
          <t>PO-2022-2831</t>
        </is>
      </c>
      <c r="E233" s="12" t="n">
        <v>4.84</v>
      </c>
      <c r="F233" s="17" t="n">
        <v>68799.55</v>
      </c>
      <c r="G233" s="14">
        <f>E233*F233</f>
        <v/>
      </c>
      <c r="H233" s="14">
        <f>C233*G233</f>
        <v/>
      </c>
    </row>
    <row r="234">
      <c r="A234" s="12" t="inlineStr">
        <is>
          <t>RET-0020</t>
        </is>
      </c>
      <c r="B234" s="12" t="inlineStr">
        <is>
          <t>VS29</t>
        </is>
      </c>
      <c r="C234" s="28" t="n">
        <v>0.0066</v>
      </c>
      <c r="D234" s="12" t="inlineStr">
        <is>
          <t>PO-2023-4310</t>
        </is>
      </c>
      <c r="E234" s="12" t="n">
        <v>4.84</v>
      </c>
      <c r="F234" s="17" t="n">
        <v>98460.50999999999</v>
      </c>
      <c r="G234" s="14">
        <f>E234*F234</f>
        <v/>
      </c>
      <c r="H234" s="14">
        <f>C234*G234</f>
        <v/>
      </c>
    </row>
    <row r="235">
      <c r="A235" s="12" t="inlineStr">
        <is>
          <t>RET-0020</t>
        </is>
      </c>
      <c r="B235" s="12" t="inlineStr">
        <is>
          <t>VS30</t>
        </is>
      </c>
      <c r="C235" s="28" t="n">
        <v>0.0029</v>
      </c>
      <c r="D235" s="12" t="inlineStr">
        <is>
          <t>PO-2023-4601</t>
        </is>
      </c>
      <c r="E235" s="12" t="n">
        <v>4.84</v>
      </c>
      <c r="F235" s="17" t="n">
        <v>89757.96000000001</v>
      </c>
      <c r="G235" s="14">
        <f>E235*F235</f>
        <v/>
      </c>
      <c r="H235" s="14">
        <f>C235*G235</f>
        <v/>
      </c>
    </row>
    <row r="236">
      <c r="A236" s="12" t="inlineStr">
        <is>
          <t>RET-0020</t>
        </is>
      </c>
      <c r="B236" s="12" t="inlineStr">
        <is>
          <t>VS31</t>
        </is>
      </c>
      <c r="C236" s="28" t="n">
        <v>0.0104</v>
      </c>
      <c r="D236" s="12" t="inlineStr">
        <is>
          <t>PO-2022-2359</t>
        </is>
      </c>
      <c r="E236" s="12" t="n">
        <v>4.84</v>
      </c>
      <c r="F236" s="17" t="n">
        <v>107385.33</v>
      </c>
      <c r="G236" s="14">
        <f>E236*F236</f>
        <v/>
      </c>
      <c r="H236" s="14">
        <f>C236*G236</f>
        <v/>
      </c>
    </row>
    <row r="237">
      <c r="A237" s="12" t="inlineStr">
        <is>
          <t>RET-0020</t>
        </is>
      </c>
      <c r="B237" s="12" t="inlineStr">
        <is>
          <t>VS32</t>
        </is>
      </c>
      <c r="C237" s="28" t="n">
        <v>0.0124</v>
      </c>
      <c r="D237" s="12" t="inlineStr">
        <is>
          <t>PO-2023-4513</t>
        </is>
      </c>
      <c r="E237" s="12" t="n">
        <v>4.84</v>
      </c>
      <c r="F237" s="17" t="n">
        <v>96245.08</v>
      </c>
      <c r="G237" s="14">
        <f>E237*F237</f>
        <v/>
      </c>
      <c r="H237" s="14">
        <f>C237*G237</f>
        <v/>
      </c>
    </row>
    <row r="238">
      <c r="A238" s="12" t="inlineStr">
        <is>
          <t>RET-0020</t>
        </is>
      </c>
      <c r="B238" s="12" t="inlineStr">
        <is>
          <t>VS33</t>
        </is>
      </c>
      <c r="C238" s="28" t="n">
        <v>0.0066</v>
      </c>
      <c r="D238" s="12" t="inlineStr">
        <is>
          <t>PO-2023-3328</t>
        </is>
      </c>
      <c r="E238" s="12" t="n">
        <v>4.5</v>
      </c>
      <c r="F238" s="17" t="n">
        <v>102456.65</v>
      </c>
      <c r="G238" s="14">
        <f>E238*F238</f>
        <v/>
      </c>
      <c r="H238" s="14">
        <f>C238*G238</f>
        <v/>
      </c>
    </row>
    <row r="239">
      <c r="A239" s="12" t="inlineStr">
        <is>
          <t>RET-0020</t>
        </is>
      </c>
      <c r="B239" s="12" t="inlineStr">
        <is>
          <t>VS34</t>
        </is>
      </c>
      <c r="C239" s="28" t="n">
        <v>0.008500000000000001</v>
      </c>
      <c r="D239" s="12" t="inlineStr">
        <is>
          <t>PO-2023-4559</t>
        </is>
      </c>
      <c r="E239" s="12" t="n">
        <v>4.84</v>
      </c>
      <c r="F239" s="17" t="n">
        <v>110935.35</v>
      </c>
      <c r="G239" s="14">
        <f>E239*F239</f>
        <v/>
      </c>
      <c r="H239" s="14">
        <f>C239*G239</f>
        <v/>
      </c>
    </row>
    <row r="240">
      <c r="A240" s="12" t="inlineStr">
        <is>
          <t>RET-0021</t>
        </is>
      </c>
      <c r="B240" s="12" t="inlineStr">
        <is>
          <t>VS01</t>
        </is>
      </c>
      <c r="C240" s="28" t="n">
        <v>0.0249</v>
      </c>
      <c r="D240" s="12" t="inlineStr">
        <is>
          <t>PO-2023-3764</t>
        </is>
      </c>
      <c r="E240" s="12" t="n">
        <v>2.86</v>
      </c>
      <c r="F240" s="17" t="n">
        <v>62035.24</v>
      </c>
      <c r="G240" s="14">
        <f>E240*F240</f>
        <v/>
      </c>
      <c r="H240" s="14">
        <f>C240*G240</f>
        <v/>
      </c>
    </row>
    <row r="241">
      <c r="A241" s="12" t="inlineStr">
        <is>
          <t>RET-0021</t>
        </is>
      </c>
      <c r="B241" s="12" t="inlineStr">
        <is>
          <t>VS02</t>
        </is>
      </c>
      <c r="C241" s="28" t="n">
        <v>0.0113</v>
      </c>
      <c r="D241" s="12" t="inlineStr">
        <is>
          <t>PO-2021-0553</t>
        </is>
      </c>
      <c r="E241" s="12" t="n">
        <v>2.86</v>
      </c>
      <c r="F241" s="17" t="n">
        <v>54923.56</v>
      </c>
      <c r="G241" s="14">
        <f>E241*F241</f>
        <v/>
      </c>
      <c r="H241" s="14">
        <f>C241*G241</f>
        <v/>
      </c>
    </row>
    <row r="242">
      <c r="A242" s="12" t="inlineStr">
        <is>
          <t>RET-0021</t>
        </is>
      </c>
      <c r="B242" s="12" t="inlineStr">
        <is>
          <t>VS03</t>
        </is>
      </c>
      <c r="C242" s="28" t="n">
        <v>0.1316</v>
      </c>
      <c r="D242" s="12" t="inlineStr">
        <is>
          <t>PO-2022-2664</t>
        </is>
      </c>
      <c r="E242" s="12" t="n">
        <v>2.86</v>
      </c>
      <c r="F242" s="17" t="n">
        <v>107273.73</v>
      </c>
      <c r="G242" s="14">
        <f>E242*F242</f>
        <v/>
      </c>
      <c r="H242" s="14">
        <f>C242*G242</f>
        <v/>
      </c>
    </row>
    <row r="243">
      <c r="A243" s="12" t="inlineStr">
        <is>
          <t>RET-0021</t>
        </is>
      </c>
      <c r="B243" s="12" t="inlineStr">
        <is>
          <t>VS04</t>
        </is>
      </c>
      <c r="C243" s="28" t="n">
        <v>0.0156</v>
      </c>
      <c r="D243" s="12" t="inlineStr">
        <is>
          <t>PO-2022-2468</t>
        </is>
      </c>
      <c r="E243" s="12" t="n">
        <v>2.86</v>
      </c>
      <c r="F243" s="17" t="n">
        <v>118262.72</v>
      </c>
      <c r="G243" s="14">
        <f>E243*F243</f>
        <v/>
      </c>
      <c r="H243" s="14">
        <f>C243*G243</f>
        <v/>
      </c>
    </row>
    <row r="244">
      <c r="A244" s="12" t="inlineStr">
        <is>
          <t>RET-0021</t>
        </is>
      </c>
      <c r="B244" s="12" t="inlineStr">
        <is>
          <t>VS05</t>
        </is>
      </c>
      <c r="C244" s="28" t="n">
        <v>0.0203</v>
      </c>
      <c r="D244" s="12" t="inlineStr">
        <is>
          <t>PO-2021-0930</t>
        </is>
      </c>
      <c r="E244" s="12" t="n">
        <v>2.86</v>
      </c>
      <c r="F244" s="17" t="n">
        <v>111366.65</v>
      </c>
      <c r="G244" s="14">
        <f>E244*F244</f>
        <v/>
      </c>
      <c r="H244" s="14">
        <f>C244*G244</f>
        <v/>
      </c>
    </row>
    <row r="245">
      <c r="A245" s="12" t="inlineStr">
        <is>
          <t>RET-0021</t>
        </is>
      </c>
      <c r="B245" s="12" t="inlineStr">
        <is>
          <t>VS06</t>
        </is>
      </c>
      <c r="C245" s="28" t="n">
        <v>0.0205</v>
      </c>
      <c r="D245" s="12" t="inlineStr">
        <is>
          <t>PO-2022-2538</t>
        </is>
      </c>
      <c r="E245" s="12" t="n">
        <v>2.86</v>
      </c>
      <c r="F245" s="17" t="n">
        <v>77140.7</v>
      </c>
      <c r="G245" s="14">
        <f>E245*F245</f>
        <v/>
      </c>
      <c r="H245" s="14">
        <f>C245*G245</f>
        <v/>
      </c>
    </row>
    <row r="246">
      <c r="A246" s="12" t="inlineStr">
        <is>
          <t>RET-0021</t>
        </is>
      </c>
      <c r="B246" s="12" t="inlineStr">
        <is>
          <t>VS07</t>
        </is>
      </c>
      <c r="C246" s="28" t="n">
        <v>0.0068</v>
      </c>
      <c r="D246" s="12" t="inlineStr">
        <is>
          <t>PO-2021-0584</t>
        </is>
      </c>
      <c r="E246" s="12" t="n">
        <v>2.86</v>
      </c>
      <c r="F246" s="17" t="n">
        <v>53684.24</v>
      </c>
      <c r="G246" s="14">
        <f>E246*F246</f>
        <v/>
      </c>
      <c r="H246" s="14">
        <f>C246*G246</f>
        <v/>
      </c>
    </row>
    <row r="247">
      <c r="A247" s="12" t="inlineStr">
        <is>
          <t>RET-0021</t>
        </is>
      </c>
      <c r="B247" s="12" t="inlineStr">
        <is>
          <t>VS08</t>
        </is>
      </c>
      <c r="C247" s="28" t="n">
        <v>0.0206</v>
      </c>
      <c r="D247" s="12" t="inlineStr">
        <is>
          <t>PO-2023-4457</t>
        </is>
      </c>
      <c r="E247" s="12" t="n">
        <v>2.86</v>
      </c>
      <c r="F247" s="17" t="n">
        <v>87366</v>
      </c>
      <c r="G247" s="14">
        <f>E247*F247</f>
        <v/>
      </c>
      <c r="H247" s="14">
        <f>C247*G247</f>
        <v/>
      </c>
    </row>
    <row r="248">
      <c r="A248" s="12" t="inlineStr">
        <is>
          <t>RET-0021</t>
        </is>
      </c>
      <c r="B248" s="12" t="inlineStr">
        <is>
          <t>VS09</t>
        </is>
      </c>
      <c r="C248" s="28" t="n">
        <v>0.0158</v>
      </c>
      <c r="D248" s="12" t="inlineStr">
        <is>
          <t>PO-2022-3136</t>
        </is>
      </c>
      <c r="E248" s="12" t="n">
        <v>2.86</v>
      </c>
      <c r="F248" s="17" t="n">
        <v>53590.08</v>
      </c>
      <c r="G248" s="14">
        <f>E248*F248</f>
        <v/>
      </c>
      <c r="H248" s="14">
        <f>C248*G248</f>
        <v/>
      </c>
    </row>
    <row r="249">
      <c r="A249" s="12" t="inlineStr">
        <is>
          <t>RET-0021</t>
        </is>
      </c>
      <c r="B249" s="12" t="inlineStr">
        <is>
          <t>VS10</t>
        </is>
      </c>
      <c r="C249" s="28" t="n">
        <v>0.0249</v>
      </c>
      <c r="D249" s="12" t="inlineStr">
        <is>
          <t>PO-2023-4029</t>
        </is>
      </c>
      <c r="E249" s="12" t="n">
        <v>2.86</v>
      </c>
      <c r="F249" s="17" t="n">
        <v>74894.53</v>
      </c>
      <c r="G249" s="14">
        <f>E249*F249</f>
        <v/>
      </c>
      <c r="H249" s="14">
        <f>C249*G249</f>
        <v/>
      </c>
    </row>
    <row r="250">
      <c r="A250" s="12" t="inlineStr">
        <is>
          <t>RET-0021</t>
        </is>
      </c>
      <c r="B250" s="12" t="inlineStr">
        <is>
          <t>VS11</t>
        </is>
      </c>
      <c r="C250" s="28" t="n">
        <v>0.0291</v>
      </c>
      <c r="D250" s="12" t="inlineStr">
        <is>
          <t>PO-2021-0090</t>
        </is>
      </c>
      <c r="E250" s="12" t="n">
        <v>2.86</v>
      </c>
      <c r="F250" s="17" t="n">
        <v>96702.84</v>
      </c>
      <c r="G250" s="14">
        <f>E250*F250</f>
        <v/>
      </c>
      <c r="H250" s="14">
        <f>C250*G250</f>
        <v/>
      </c>
    </row>
    <row r="251">
      <c r="A251" s="12" t="inlineStr">
        <is>
          <t>RET-0021</t>
        </is>
      </c>
      <c r="B251" s="12" t="inlineStr">
        <is>
          <t>VS12</t>
        </is>
      </c>
      <c r="C251" s="28" t="n">
        <v>0.1829</v>
      </c>
      <c r="D251" s="12" t="inlineStr">
        <is>
          <t>PO-2023-4460</t>
        </is>
      </c>
      <c r="E251" s="12" t="n">
        <v>2.86</v>
      </c>
      <c r="F251" s="17" t="n">
        <v>97203.75</v>
      </c>
      <c r="G251" s="14">
        <f>E251*F251</f>
        <v/>
      </c>
      <c r="H251" s="14">
        <f>C251*G251</f>
        <v/>
      </c>
    </row>
    <row r="252">
      <c r="A252" s="12" t="inlineStr">
        <is>
          <t>RET-0021</t>
        </is>
      </c>
      <c r="B252" s="12" t="inlineStr">
        <is>
          <t>VS13</t>
        </is>
      </c>
      <c r="C252" s="28" t="n">
        <v>0.0201</v>
      </c>
      <c r="D252" s="12" t="inlineStr">
        <is>
          <t>PO-2022-2872</t>
        </is>
      </c>
      <c r="E252" s="12" t="n">
        <v>2.86</v>
      </c>
      <c r="F252" s="17" t="n">
        <v>67657.75999999999</v>
      </c>
      <c r="G252" s="14">
        <f>E252*F252</f>
        <v/>
      </c>
      <c r="H252" s="14">
        <f>C252*G252</f>
        <v/>
      </c>
    </row>
    <row r="253">
      <c r="A253" s="12" t="inlineStr">
        <is>
          <t>RET-0021</t>
        </is>
      </c>
      <c r="B253" s="12" t="inlineStr">
        <is>
          <t>VS14</t>
        </is>
      </c>
      <c r="C253" s="28" t="n">
        <v>0.0203</v>
      </c>
      <c r="D253" s="12" t="inlineStr">
        <is>
          <t>PO-2022-2747</t>
        </is>
      </c>
      <c r="E253" s="12" t="n">
        <v>2.86</v>
      </c>
      <c r="F253" s="17" t="n">
        <v>105655.66</v>
      </c>
      <c r="G253" s="14">
        <f>E253*F253</f>
        <v/>
      </c>
      <c r="H253" s="14">
        <f>C253*G253</f>
        <v/>
      </c>
    </row>
    <row r="254">
      <c r="A254" s="12" t="inlineStr">
        <is>
          <t>RET-0021</t>
        </is>
      </c>
      <c r="B254" s="12" t="inlineStr">
        <is>
          <t>VS15</t>
        </is>
      </c>
      <c r="C254" s="28" t="n">
        <v>0.0068</v>
      </c>
      <c r="D254" s="12" t="inlineStr">
        <is>
          <t>PO-2021-0971</t>
        </is>
      </c>
      <c r="E254" s="12" t="n">
        <v>2.86</v>
      </c>
      <c r="F254" s="17" t="n">
        <v>96694.60000000001</v>
      </c>
      <c r="G254" s="14">
        <f>E254*F254</f>
        <v/>
      </c>
      <c r="H254" s="14">
        <f>C254*G254</f>
        <v/>
      </c>
    </row>
    <row r="255">
      <c r="A255" s="12" t="inlineStr">
        <is>
          <t>RET-0021</t>
        </is>
      </c>
      <c r="B255" s="12" t="inlineStr">
        <is>
          <t>VS16</t>
        </is>
      </c>
      <c r="C255" s="28" t="n">
        <v>0.0292</v>
      </c>
      <c r="D255" s="12" t="inlineStr">
        <is>
          <t>PO-2023-3905</t>
        </is>
      </c>
      <c r="E255" s="12" t="n">
        <v>2.86</v>
      </c>
      <c r="F255" s="17" t="n">
        <v>55144.17</v>
      </c>
      <c r="G255" s="14">
        <f>E255*F255</f>
        <v/>
      </c>
      <c r="H255" s="14">
        <f>C255*G255</f>
        <v/>
      </c>
    </row>
    <row r="256">
      <c r="A256" s="12" t="inlineStr">
        <is>
          <t>RET-0021</t>
        </is>
      </c>
      <c r="B256" s="12" t="inlineStr">
        <is>
          <t>VS17</t>
        </is>
      </c>
      <c r="C256" s="28" t="n">
        <v>0.0291</v>
      </c>
      <c r="D256" s="12" t="inlineStr">
        <is>
          <t>PO-2022-2618</t>
        </is>
      </c>
      <c r="E256" s="12" t="n">
        <v>2.86</v>
      </c>
      <c r="F256" s="17" t="n">
        <v>56895.38</v>
      </c>
      <c r="G256" s="14">
        <f>E256*F256</f>
        <v/>
      </c>
      <c r="H256" s="14">
        <f>C256*G256</f>
        <v/>
      </c>
    </row>
    <row r="257">
      <c r="A257" s="12" t="inlineStr">
        <is>
          <t>RET-0021</t>
        </is>
      </c>
      <c r="B257" s="12" t="inlineStr">
        <is>
          <t>VS18</t>
        </is>
      </c>
      <c r="C257" s="28" t="n">
        <v>0.0203</v>
      </c>
      <c r="D257" s="12" t="inlineStr">
        <is>
          <t>PO-2022-2924</t>
        </is>
      </c>
      <c r="E257" s="12" t="n">
        <v>2.86</v>
      </c>
      <c r="F257" s="17" t="n">
        <v>95078.23</v>
      </c>
      <c r="G257" s="14">
        <f>E257*F257</f>
        <v/>
      </c>
      <c r="H257" s="14">
        <f>C257*G257</f>
        <v/>
      </c>
    </row>
    <row r="258">
      <c r="A258" s="12" t="inlineStr">
        <is>
          <t>RET-0021</t>
        </is>
      </c>
      <c r="B258" s="12" t="inlineStr">
        <is>
          <t>VS19</t>
        </is>
      </c>
      <c r="C258" s="28" t="n">
        <v>0.1379</v>
      </c>
      <c r="D258" s="12" t="inlineStr">
        <is>
          <t>PO-2021-0943</t>
        </is>
      </c>
      <c r="E258" s="12" t="n">
        <v>2.86</v>
      </c>
      <c r="F258" s="17" t="n">
        <v>53235.79</v>
      </c>
      <c r="G258" s="14">
        <f>E258*F258</f>
        <v/>
      </c>
      <c r="H258" s="14">
        <f>C258*G258</f>
        <v/>
      </c>
    </row>
    <row r="259">
      <c r="A259" s="12" t="inlineStr">
        <is>
          <t>RET-0021</t>
        </is>
      </c>
      <c r="B259" s="12" t="inlineStr">
        <is>
          <t>VS20</t>
        </is>
      </c>
      <c r="C259" s="28" t="n">
        <v>0.0113</v>
      </c>
      <c r="D259" s="12" t="inlineStr">
        <is>
          <t>PO-2022-1752</t>
        </is>
      </c>
      <c r="E259" s="12" t="n">
        <v>2.86</v>
      </c>
      <c r="F259" s="17" t="n">
        <v>94519</v>
      </c>
      <c r="G259" s="14">
        <f>E259*F259</f>
        <v/>
      </c>
      <c r="H259" s="14">
        <f>C259*G259</f>
        <v/>
      </c>
    </row>
    <row r="260">
      <c r="A260" s="12" t="inlineStr">
        <is>
          <t>RET-0021</t>
        </is>
      </c>
      <c r="B260" s="12" t="inlineStr">
        <is>
          <t>VS21</t>
        </is>
      </c>
      <c r="C260" s="28" t="n">
        <v>0.0113</v>
      </c>
      <c r="D260" s="12" t="inlineStr">
        <is>
          <t>PO-2021-0424</t>
        </is>
      </c>
      <c r="E260" s="12" t="n">
        <v>2.86</v>
      </c>
      <c r="F260" s="17" t="n">
        <v>108537.55</v>
      </c>
      <c r="G260" s="14">
        <f>E260*F260</f>
        <v/>
      </c>
      <c r="H260" s="14">
        <f>C260*G260</f>
        <v/>
      </c>
    </row>
    <row r="261">
      <c r="A261" s="12" t="inlineStr">
        <is>
          <t>RET-0021</t>
        </is>
      </c>
      <c r="B261" s="12" t="inlineStr">
        <is>
          <t>VS22</t>
        </is>
      </c>
      <c r="C261" s="28" t="n">
        <v>0.0067</v>
      </c>
      <c r="D261" s="12" t="inlineStr">
        <is>
          <t>PO-2022-1802</t>
        </is>
      </c>
      <c r="E261" s="12" t="n">
        <v>2.86</v>
      </c>
      <c r="F261" s="17" t="n">
        <v>115546.31</v>
      </c>
      <c r="G261" s="14">
        <f>E261*F261</f>
        <v/>
      </c>
      <c r="H261" s="14">
        <f>C261*G261</f>
        <v/>
      </c>
    </row>
    <row r="262">
      <c r="A262" s="12" t="inlineStr">
        <is>
          <t>RET-0021</t>
        </is>
      </c>
      <c r="B262" s="12" t="inlineStr">
        <is>
          <t>VS23</t>
        </is>
      </c>
      <c r="C262" s="28" t="n">
        <v>0.0111</v>
      </c>
      <c r="D262" s="12" t="inlineStr">
        <is>
          <t>PO-2023-3251</t>
        </is>
      </c>
      <c r="E262" s="12" t="n">
        <v>2.86</v>
      </c>
      <c r="F262" s="17" t="n">
        <v>81471.75</v>
      </c>
      <c r="G262" s="14">
        <f>E262*F262</f>
        <v/>
      </c>
      <c r="H262" s="14">
        <f>C262*G262</f>
        <v/>
      </c>
    </row>
    <row r="263">
      <c r="A263" s="12" t="inlineStr">
        <is>
          <t>RET-0021</t>
        </is>
      </c>
      <c r="B263" s="12" t="inlineStr">
        <is>
          <t>VS24</t>
        </is>
      </c>
      <c r="C263" s="28" t="n">
        <v>0.0112</v>
      </c>
      <c r="D263" s="12" t="inlineStr">
        <is>
          <t>PO-2022-3053</t>
        </is>
      </c>
      <c r="E263" s="12" t="n">
        <v>2.86</v>
      </c>
      <c r="F263" s="17" t="n">
        <v>89352.14</v>
      </c>
      <c r="G263" s="14">
        <f>E263*F263</f>
        <v/>
      </c>
      <c r="H263" s="14">
        <f>C263*G263</f>
        <v/>
      </c>
    </row>
    <row r="264">
      <c r="A264" s="12" t="inlineStr">
        <is>
          <t>RET-0021</t>
        </is>
      </c>
      <c r="B264" s="12" t="inlineStr">
        <is>
          <t>VS25</t>
        </is>
      </c>
      <c r="C264" s="28" t="n">
        <v>0.0204</v>
      </c>
      <c r="D264" s="12" t="inlineStr">
        <is>
          <t>PO-2023-3551</t>
        </is>
      </c>
      <c r="E264" s="12" t="n">
        <v>2.86</v>
      </c>
      <c r="F264" s="17" t="n">
        <v>99979.14</v>
      </c>
      <c r="G264" s="14">
        <f>E264*F264</f>
        <v/>
      </c>
      <c r="H264" s="14">
        <f>C264*G264</f>
        <v/>
      </c>
    </row>
    <row r="265">
      <c r="A265" s="12" t="inlineStr">
        <is>
          <t>RET-0021</t>
        </is>
      </c>
      <c r="B265" s="12" t="inlineStr">
        <is>
          <t>VS26</t>
        </is>
      </c>
      <c r="C265" s="28" t="n">
        <v>0.0113</v>
      </c>
      <c r="D265" s="12" t="inlineStr">
        <is>
          <t>PO-2021-0690</t>
        </is>
      </c>
      <c r="E265" s="12" t="n">
        <v>2.86</v>
      </c>
      <c r="F265" s="17" t="n">
        <v>99598.07000000001</v>
      </c>
      <c r="G265" s="14">
        <f>E265*F265</f>
        <v/>
      </c>
      <c r="H265" s="14">
        <f>C265*G265</f>
        <v/>
      </c>
    </row>
    <row r="266">
      <c r="A266" s="12" t="inlineStr">
        <is>
          <t>RET-0021</t>
        </is>
      </c>
      <c r="B266" s="12" t="inlineStr">
        <is>
          <t>VS27</t>
        </is>
      </c>
      <c r="C266" s="28" t="n">
        <v>0.0111</v>
      </c>
      <c r="D266" s="12" t="inlineStr">
        <is>
          <t>PO-2022-2035</t>
        </is>
      </c>
      <c r="E266" s="12" t="n">
        <v>2.86</v>
      </c>
      <c r="F266" s="17" t="n">
        <v>66291.58</v>
      </c>
      <c r="G266" s="14">
        <f>E266*F266</f>
        <v/>
      </c>
      <c r="H266" s="14">
        <f>C266*G266</f>
        <v/>
      </c>
    </row>
    <row r="267">
      <c r="A267" s="12" t="inlineStr">
        <is>
          <t>RET-0021</t>
        </is>
      </c>
      <c r="B267" s="12" t="inlineStr">
        <is>
          <t>VS28</t>
        </is>
      </c>
      <c r="C267" s="28" t="n">
        <v>0.0249</v>
      </c>
      <c r="D267" s="12" t="inlineStr">
        <is>
          <t>PO-2022-2116</t>
        </is>
      </c>
      <c r="E267" s="12" t="n">
        <v>2.86</v>
      </c>
      <c r="F267" s="17" t="n">
        <v>67036.03</v>
      </c>
      <c r="G267" s="14">
        <f>E267*F267</f>
        <v/>
      </c>
      <c r="H267" s="14">
        <f>C267*G267</f>
        <v/>
      </c>
    </row>
    <row r="268">
      <c r="A268" s="12" t="inlineStr">
        <is>
          <t>RET-0021</t>
        </is>
      </c>
      <c r="B268" s="12" t="inlineStr">
        <is>
          <t>VS29</t>
        </is>
      </c>
      <c r="C268" s="28" t="n">
        <v>0.0158</v>
      </c>
      <c r="D268" s="12" t="inlineStr">
        <is>
          <t>PO-2023-3991</t>
        </is>
      </c>
      <c r="E268" s="12" t="n">
        <v>2.86</v>
      </c>
      <c r="F268" s="17" t="n">
        <v>75615.69</v>
      </c>
      <c r="G268" s="14">
        <f>E268*F268</f>
        <v/>
      </c>
      <c r="H268" s="14">
        <f>C268*G268</f>
        <v/>
      </c>
    </row>
    <row r="269">
      <c r="A269" s="12" t="inlineStr">
        <is>
          <t>RET-0021</t>
        </is>
      </c>
      <c r="B269" s="12" t="inlineStr">
        <is>
          <t>VS30</t>
        </is>
      </c>
      <c r="C269" s="28" t="n">
        <v>0.0068</v>
      </c>
      <c r="D269" s="12" t="inlineStr">
        <is>
          <t>PO-2022-2766</t>
        </is>
      </c>
      <c r="E269" s="12" t="n">
        <v>2.86</v>
      </c>
      <c r="F269" s="17" t="n">
        <v>119708.31</v>
      </c>
      <c r="G269" s="14">
        <f>E269*F269</f>
        <v/>
      </c>
      <c r="H269" s="14">
        <f>C269*G269</f>
        <v/>
      </c>
    </row>
    <row r="270">
      <c r="A270" s="12" t="inlineStr">
        <is>
          <t>RET-0021</t>
        </is>
      </c>
      <c r="B270" s="12" t="inlineStr">
        <is>
          <t>VS31</t>
        </is>
      </c>
      <c r="C270" s="28" t="n">
        <v>0.0247</v>
      </c>
      <c r="D270" s="12" t="inlineStr">
        <is>
          <t>PO-2023-4476</t>
        </is>
      </c>
      <c r="E270" s="12" t="n">
        <v>2.86</v>
      </c>
      <c r="F270" s="17" t="n">
        <v>77527.62</v>
      </c>
      <c r="G270" s="14">
        <f>E270*F270</f>
        <v/>
      </c>
      <c r="H270" s="14">
        <f>C270*G270</f>
        <v/>
      </c>
    </row>
    <row r="271">
      <c r="A271" s="12" t="inlineStr">
        <is>
          <t>RET-0021</t>
        </is>
      </c>
      <c r="B271" s="12" t="inlineStr">
        <is>
          <t>VS32</t>
        </is>
      </c>
      <c r="C271" s="28" t="n">
        <v>0.0294</v>
      </c>
      <c r="D271" s="12" t="inlineStr">
        <is>
          <t>PO-2022-3140</t>
        </is>
      </c>
      <c r="E271" s="12" t="n">
        <v>2.86</v>
      </c>
      <c r="F271" s="17" t="n">
        <v>87415.75</v>
      </c>
      <c r="G271" s="14">
        <f>E271*F271</f>
        <v/>
      </c>
      <c r="H271" s="14">
        <f>C271*G271</f>
        <v/>
      </c>
    </row>
    <row r="272">
      <c r="A272" s="12" t="inlineStr">
        <is>
          <t>RET-0021</t>
        </is>
      </c>
      <c r="B272" s="12" t="inlineStr">
        <is>
          <t>VS33</t>
        </is>
      </c>
      <c r="C272" s="28" t="n">
        <v>0.0157</v>
      </c>
      <c r="D272" s="12" t="inlineStr">
        <is>
          <t>PO-2021-0103</t>
        </is>
      </c>
      <c r="E272" s="12" t="n">
        <v>2.86</v>
      </c>
      <c r="F272" s="17" t="n">
        <v>85694.52</v>
      </c>
      <c r="G272" s="14">
        <f>E272*F272</f>
        <v/>
      </c>
      <c r="H272" s="14">
        <f>C272*G272</f>
        <v/>
      </c>
    </row>
    <row r="273">
      <c r="A273" s="12" t="inlineStr">
        <is>
          <t>RET-0021</t>
        </is>
      </c>
      <c r="B273" s="12" t="inlineStr">
        <is>
          <t>VS34</t>
        </is>
      </c>
      <c r="C273" s="28" t="n">
        <v>0.0203</v>
      </c>
      <c r="D273" s="12" t="inlineStr">
        <is>
          <t>PO-2022-2705</t>
        </is>
      </c>
      <c r="E273" s="12" t="n">
        <v>1.45</v>
      </c>
      <c r="F273" s="17" t="n">
        <v>58862.16</v>
      </c>
      <c r="G273" s="14">
        <f>E273*F273</f>
        <v/>
      </c>
      <c r="H273" s="14">
        <f>C273*G273</f>
        <v/>
      </c>
    </row>
    <row r="274">
      <c r="A274" s="12" t="inlineStr">
        <is>
          <t>RET-0024</t>
        </is>
      </c>
      <c r="B274" s="12" t="inlineStr">
        <is>
          <t>VS01</t>
        </is>
      </c>
      <c r="C274" s="28" t="n">
        <v>0.0145</v>
      </c>
      <c r="D274" s="12" t="inlineStr">
        <is>
          <t>PO-2022-3067</t>
        </is>
      </c>
      <c r="E274" s="12" t="n">
        <v>0.45</v>
      </c>
      <c r="F274" s="17" t="n">
        <v>48733.58</v>
      </c>
      <c r="G274" s="14">
        <f>E274*F274</f>
        <v/>
      </c>
      <c r="H274" s="14">
        <f>C274*G274</f>
        <v/>
      </c>
    </row>
    <row r="275">
      <c r="A275" s="12" t="inlineStr">
        <is>
          <t>RET-0024</t>
        </is>
      </c>
      <c r="B275" s="12" t="inlineStr">
        <is>
          <t>VS02</t>
        </is>
      </c>
      <c r="C275" s="28" t="n">
        <v>0.0066</v>
      </c>
      <c r="D275" s="12" t="inlineStr">
        <is>
          <t>PO-2021-0553</t>
        </is>
      </c>
      <c r="E275" s="12" t="n">
        <v>0.45</v>
      </c>
      <c r="F275" s="17" t="n">
        <v>54923.56</v>
      </c>
      <c r="G275" s="14">
        <f>E275*F275</f>
        <v/>
      </c>
      <c r="H275" s="14">
        <f>C275*G275</f>
        <v/>
      </c>
    </row>
    <row r="276">
      <c r="A276" s="12" t="inlineStr">
        <is>
          <t>RET-0024</t>
        </is>
      </c>
      <c r="B276" s="12" t="inlineStr">
        <is>
          <t>VS03</t>
        </is>
      </c>
      <c r="C276" s="28" t="n">
        <v>0.1979</v>
      </c>
      <c r="D276" s="12" t="inlineStr">
        <is>
          <t>PO-2023-4608</t>
        </is>
      </c>
      <c r="E276" s="12" t="n">
        <v>0.45</v>
      </c>
      <c r="F276" s="17" t="n">
        <v>49671.89</v>
      </c>
      <c r="G276" s="14">
        <f>E276*F276</f>
        <v/>
      </c>
      <c r="H276" s="14">
        <f>C276*G276</f>
        <v/>
      </c>
    </row>
    <row r="277">
      <c r="A277" s="12" t="inlineStr">
        <is>
          <t>RET-0024</t>
        </is>
      </c>
      <c r="B277" s="12" t="inlineStr">
        <is>
          <t>VS04</t>
        </is>
      </c>
      <c r="C277" s="28" t="n">
        <v>0.0091</v>
      </c>
      <c r="D277" s="12" t="inlineStr">
        <is>
          <t>PO-2022-2667</t>
        </is>
      </c>
      <c r="E277" s="12" t="n">
        <v>0.45</v>
      </c>
      <c r="F277" s="17" t="n">
        <v>119130.22</v>
      </c>
      <c r="G277" s="14">
        <f>E277*F277</f>
        <v/>
      </c>
      <c r="H277" s="14">
        <f>C277*G277</f>
        <v/>
      </c>
    </row>
    <row r="278">
      <c r="A278" s="12" t="inlineStr">
        <is>
          <t>RET-0024</t>
        </is>
      </c>
      <c r="B278" s="12" t="inlineStr">
        <is>
          <t>VS05</t>
        </is>
      </c>
      <c r="C278" s="28" t="n">
        <v>0.0118</v>
      </c>
      <c r="D278" s="12" t="inlineStr">
        <is>
          <t>PO-2022-2052</t>
        </is>
      </c>
      <c r="E278" s="12" t="n">
        <v>0.45</v>
      </c>
      <c r="F278" s="17" t="n">
        <v>96151.77</v>
      </c>
      <c r="G278" s="14">
        <f>E278*F278</f>
        <v/>
      </c>
      <c r="H278" s="14">
        <f>C278*G278</f>
        <v/>
      </c>
    </row>
    <row r="279">
      <c r="A279" s="12" t="inlineStr">
        <is>
          <t>RET-0024</t>
        </is>
      </c>
      <c r="B279" s="12" t="inlineStr">
        <is>
          <t>VS06</t>
        </is>
      </c>
      <c r="C279" s="28" t="n">
        <v>0.0119</v>
      </c>
      <c r="D279" s="12" t="inlineStr">
        <is>
          <t>PO-2023-4659</t>
        </is>
      </c>
      <c r="E279" s="12" t="n">
        <v>0.45</v>
      </c>
      <c r="F279" s="17" t="n">
        <v>87652.73</v>
      </c>
      <c r="G279" s="14">
        <f>E279*F279</f>
        <v/>
      </c>
      <c r="H279" s="14">
        <f>C279*G279</f>
        <v/>
      </c>
    </row>
    <row r="280">
      <c r="A280" s="12" t="inlineStr">
        <is>
          <t>RET-0024</t>
        </is>
      </c>
      <c r="B280" s="12" t="inlineStr">
        <is>
          <t>VS07</t>
        </is>
      </c>
      <c r="C280" s="28" t="n">
        <v>0.004</v>
      </c>
      <c r="D280" s="12" t="inlineStr">
        <is>
          <t>PO-2023-3645</t>
        </is>
      </c>
      <c r="E280" s="12" t="n">
        <v>0.45</v>
      </c>
      <c r="F280" s="17" t="n">
        <v>49585.96</v>
      </c>
      <c r="G280" s="14">
        <f>E280*F280</f>
        <v/>
      </c>
      <c r="H280" s="14">
        <f>C280*G280</f>
        <v/>
      </c>
    </row>
    <row r="281">
      <c r="A281" s="12" t="inlineStr">
        <is>
          <t>RET-0024</t>
        </is>
      </c>
      <c r="B281" s="12" t="inlineStr">
        <is>
          <t>VS08</t>
        </is>
      </c>
      <c r="C281" s="28" t="n">
        <v>0.012</v>
      </c>
      <c r="D281" s="12" t="inlineStr">
        <is>
          <t>PO-2023-4457</t>
        </is>
      </c>
      <c r="E281" s="12" t="n">
        <v>0.45</v>
      </c>
      <c r="F281" s="17" t="n">
        <v>87366</v>
      </c>
      <c r="G281" s="14">
        <f>E281*F281</f>
        <v/>
      </c>
      <c r="H281" s="14">
        <f>C281*G281</f>
        <v/>
      </c>
    </row>
    <row r="282">
      <c r="A282" s="12" t="inlineStr">
        <is>
          <t>RET-0024</t>
        </is>
      </c>
      <c r="B282" s="12" t="inlineStr">
        <is>
          <t>VS09</t>
        </is>
      </c>
      <c r="C282" s="28" t="n">
        <v>0.0092</v>
      </c>
      <c r="D282" s="12" t="inlineStr">
        <is>
          <t>PO-2023-4033</t>
        </is>
      </c>
      <c r="E282" s="12" t="n">
        <v>0.45</v>
      </c>
      <c r="F282" s="17" t="n">
        <v>81634.07000000001</v>
      </c>
      <c r="G282" s="14">
        <f>E282*F282</f>
        <v/>
      </c>
      <c r="H282" s="14">
        <f>C282*G282</f>
        <v/>
      </c>
    </row>
    <row r="283">
      <c r="A283" s="12" t="inlineStr">
        <is>
          <t>RET-0024</t>
        </is>
      </c>
      <c r="B283" s="12" t="inlineStr">
        <is>
          <t>VS10</t>
        </is>
      </c>
      <c r="C283" s="28" t="n">
        <v>0.0145</v>
      </c>
      <c r="D283" s="12" t="inlineStr">
        <is>
          <t>PO-2023-3544</t>
        </is>
      </c>
      <c r="E283" s="12" t="n">
        <v>0.45</v>
      </c>
      <c r="F283" s="17" t="n">
        <v>69664.00999999999</v>
      </c>
      <c r="G283" s="14">
        <f>E283*F283</f>
        <v/>
      </c>
      <c r="H283" s="14">
        <f>C283*G283</f>
        <v/>
      </c>
    </row>
    <row r="284">
      <c r="A284" s="12" t="inlineStr">
        <is>
          <t>RET-0024</t>
        </is>
      </c>
      <c r="B284" s="12" t="inlineStr">
        <is>
          <t>VS11</t>
        </is>
      </c>
      <c r="C284" s="28" t="n">
        <v>0.017</v>
      </c>
      <c r="D284" s="12" t="inlineStr">
        <is>
          <t>PO-2021-0239</t>
        </is>
      </c>
      <c r="E284" s="12" t="n">
        <v>0.45</v>
      </c>
      <c r="F284" s="17" t="n">
        <v>90567.97</v>
      </c>
      <c r="G284" s="14">
        <f>E284*F284</f>
        <v/>
      </c>
      <c r="H284" s="14">
        <f>C284*G284</f>
        <v/>
      </c>
    </row>
    <row r="285">
      <c r="A285" s="12" t="inlineStr">
        <is>
          <t>RET-0024</t>
        </is>
      </c>
      <c r="B285" s="12" t="inlineStr">
        <is>
          <t>VS12</t>
        </is>
      </c>
      <c r="C285" s="28" t="n">
        <v>0.275</v>
      </c>
      <c r="D285" s="12" t="inlineStr">
        <is>
          <t>PO-2022-3134</t>
        </is>
      </c>
      <c r="E285" s="12" t="n">
        <v>0.45</v>
      </c>
      <c r="F285" s="17" t="n">
        <v>57834.29</v>
      </c>
      <c r="G285" s="14">
        <f>E285*F285</f>
        <v/>
      </c>
      <c r="H285" s="14">
        <f>C285*G285</f>
        <v/>
      </c>
    </row>
    <row r="286">
      <c r="A286" s="12" t="inlineStr">
        <is>
          <t>RET-0024</t>
        </is>
      </c>
      <c r="B286" s="12" t="inlineStr">
        <is>
          <t>VS13</t>
        </is>
      </c>
      <c r="C286" s="28" t="n">
        <v>0.0117</v>
      </c>
      <c r="D286" s="12" t="inlineStr">
        <is>
          <t>PO-2022-2505</t>
        </is>
      </c>
      <c r="E286" s="12" t="n">
        <v>0.45</v>
      </c>
      <c r="F286" s="17" t="n">
        <v>103130.4</v>
      </c>
      <c r="G286" s="14">
        <f>E286*F286</f>
        <v/>
      </c>
      <c r="H286" s="14">
        <f>C286*G286</f>
        <v/>
      </c>
    </row>
    <row r="287">
      <c r="A287" s="12" t="inlineStr">
        <is>
          <t>RET-0024</t>
        </is>
      </c>
      <c r="B287" s="12" t="inlineStr">
        <is>
          <t>VS14</t>
        </is>
      </c>
      <c r="C287" s="28" t="n">
        <v>0.0118</v>
      </c>
      <c r="D287" s="12" t="inlineStr">
        <is>
          <t>PO-2023-3401</t>
        </is>
      </c>
      <c r="E287" s="12" t="n">
        <v>0.45</v>
      </c>
      <c r="F287" s="17" t="n">
        <v>116273.67</v>
      </c>
      <c r="G287" s="14">
        <f>E287*F287</f>
        <v/>
      </c>
      <c r="H287" s="14">
        <f>C287*G287</f>
        <v/>
      </c>
    </row>
    <row r="288">
      <c r="A288" s="12" t="inlineStr">
        <is>
          <t>RET-0024</t>
        </is>
      </c>
      <c r="B288" s="12" t="inlineStr">
        <is>
          <t>VS15</t>
        </is>
      </c>
      <c r="C288" s="28" t="n">
        <v>0.004</v>
      </c>
      <c r="D288" s="12" t="inlineStr">
        <is>
          <t>PO-2021-1481</t>
        </is>
      </c>
      <c r="E288" s="12" t="n">
        <v>0.45</v>
      </c>
      <c r="F288" s="17" t="n">
        <v>119051.2</v>
      </c>
      <c r="G288" s="14">
        <f>E288*F288</f>
        <v/>
      </c>
      <c r="H288" s="14">
        <f>C288*G288</f>
        <v/>
      </c>
    </row>
    <row r="289">
      <c r="A289" s="12" t="inlineStr">
        <is>
          <t>RET-0024</t>
        </is>
      </c>
      <c r="B289" s="12" t="inlineStr">
        <is>
          <t>VS16</t>
        </is>
      </c>
      <c r="C289" s="28" t="n">
        <v>0.0171</v>
      </c>
      <c r="D289" s="12" t="inlineStr">
        <is>
          <t>PO-2023-4701</t>
        </is>
      </c>
      <c r="E289" s="12" t="n">
        <v>0.45</v>
      </c>
      <c r="F289" s="17" t="n">
        <v>48736.53</v>
      </c>
      <c r="G289" s="14">
        <f>E289*F289</f>
        <v/>
      </c>
      <c r="H289" s="14">
        <f>C289*G289</f>
        <v/>
      </c>
    </row>
    <row r="290">
      <c r="A290" s="12" t="inlineStr">
        <is>
          <t>RET-0024</t>
        </is>
      </c>
      <c r="B290" s="12" t="inlineStr">
        <is>
          <t>VS17</t>
        </is>
      </c>
      <c r="C290" s="28" t="n">
        <v>0.017</v>
      </c>
      <c r="D290" s="12" t="inlineStr">
        <is>
          <t>PO-2023-3269</t>
        </is>
      </c>
      <c r="E290" s="12" t="n">
        <v>0.45</v>
      </c>
      <c r="F290" s="17" t="n">
        <v>95701.62</v>
      </c>
      <c r="G290" s="14">
        <f>E290*F290</f>
        <v/>
      </c>
      <c r="H290" s="14">
        <f>C290*G290</f>
        <v/>
      </c>
    </row>
    <row r="291">
      <c r="A291" s="12" t="inlineStr">
        <is>
          <t>RET-0024</t>
        </is>
      </c>
      <c r="B291" s="12" t="inlineStr">
        <is>
          <t>VS18</t>
        </is>
      </c>
      <c r="C291" s="28" t="n">
        <v>0.0118</v>
      </c>
      <c r="D291" s="12" t="inlineStr">
        <is>
          <t>PO-2022-1782</t>
        </is>
      </c>
      <c r="E291" s="12" t="n">
        <v>0.45</v>
      </c>
      <c r="F291" s="17" t="n">
        <v>71831.07000000001</v>
      </c>
      <c r="G291" s="14">
        <f>E291*F291</f>
        <v/>
      </c>
      <c r="H291" s="14">
        <f>C291*G291</f>
        <v/>
      </c>
    </row>
    <row r="292">
      <c r="A292" s="12" t="inlineStr">
        <is>
          <t>RET-0024</t>
        </is>
      </c>
      <c r="B292" s="12" t="inlineStr">
        <is>
          <t>VS19</t>
        </is>
      </c>
      <c r="C292" s="28" t="n">
        <v>0.2075</v>
      </c>
      <c r="D292" s="12" t="inlineStr">
        <is>
          <t>PO-2023-4600</t>
        </is>
      </c>
      <c r="E292" s="12" t="n">
        <v>0.45</v>
      </c>
      <c r="F292" s="17" t="n">
        <v>58523.22</v>
      </c>
      <c r="G292" s="14">
        <f>E292*F292</f>
        <v/>
      </c>
      <c r="H292" s="14">
        <f>C292*G292</f>
        <v/>
      </c>
    </row>
    <row r="293">
      <c r="A293" s="12" t="inlineStr">
        <is>
          <t>RET-0024</t>
        </is>
      </c>
      <c r="B293" s="12" t="inlineStr">
        <is>
          <t>VS20</t>
        </is>
      </c>
      <c r="C293" s="28" t="n">
        <v>0.0066</v>
      </c>
      <c r="D293" s="12" t="inlineStr">
        <is>
          <t>PO-2022-1752</t>
        </is>
      </c>
      <c r="E293" s="12" t="n">
        <v>0.45</v>
      </c>
      <c r="F293" s="17" t="n">
        <v>94519</v>
      </c>
      <c r="G293" s="14">
        <f>E293*F293</f>
        <v/>
      </c>
      <c r="H293" s="14">
        <f>C293*G293</f>
        <v/>
      </c>
    </row>
    <row r="294">
      <c r="A294" s="12" t="inlineStr">
        <is>
          <t>RET-0024</t>
        </is>
      </c>
      <c r="B294" s="12" t="inlineStr">
        <is>
          <t>VS21</t>
        </is>
      </c>
      <c r="C294" s="28" t="n">
        <v>0.0066</v>
      </c>
      <c r="D294" s="12" t="inlineStr">
        <is>
          <t>PO-2021-0424</t>
        </is>
      </c>
      <c r="E294" s="12" t="n">
        <v>0.45</v>
      </c>
      <c r="F294" s="17" t="n">
        <v>108537.55</v>
      </c>
      <c r="G294" s="14">
        <f>E294*F294</f>
        <v/>
      </c>
      <c r="H294" s="14">
        <f>C294*G294</f>
        <v/>
      </c>
    </row>
    <row r="295">
      <c r="A295" s="12" t="inlineStr">
        <is>
          <t>RET-0024</t>
        </is>
      </c>
      <c r="B295" s="12" t="inlineStr">
        <is>
          <t>VS22</t>
        </is>
      </c>
      <c r="C295" s="28" t="n">
        <v>0.0039</v>
      </c>
      <c r="D295" s="12" t="inlineStr">
        <is>
          <t>PO-2022-1734</t>
        </is>
      </c>
      <c r="E295" s="12" t="n">
        <v>0.45</v>
      </c>
      <c r="F295" s="17" t="n">
        <v>64787.41</v>
      </c>
      <c r="G295" s="14">
        <f>E295*F295</f>
        <v/>
      </c>
      <c r="H295" s="14">
        <f>C295*G295</f>
        <v/>
      </c>
    </row>
    <row r="296">
      <c r="A296" s="12" t="inlineStr">
        <is>
          <t>RET-0024</t>
        </is>
      </c>
      <c r="B296" s="12" t="inlineStr">
        <is>
          <t>VS23</t>
        </is>
      </c>
      <c r="C296" s="28" t="n">
        <v>0.0065</v>
      </c>
      <c r="D296" s="12" t="inlineStr">
        <is>
          <t>PO-2022-2847</t>
        </is>
      </c>
      <c r="E296" s="12" t="n">
        <v>0.45</v>
      </c>
      <c r="F296" s="17" t="n">
        <v>102520.13</v>
      </c>
      <c r="G296" s="14">
        <f>E296*F296</f>
        <v/>
      </c>
      <c r="H296" s="14">
        <f>C296*G296</f>
        <v/>
      </c>
    </row>
    <row r="297">
      <c r="A297" s="12" t="inlineStr">
        <is>
          <t>RET-0024</t>
        </is>
      </c>
      <c r="B297" s="12" t="inlineStr">
        <is>
          <t>VS24</t>
        </is>
      </c>
      <c r="C297" s="28" t="n">
        <v>0.0066</v>
      </c>
      <c r="D297" s="12" t="inlineStr">
        <is>
          <t>PO-2023-3921</t>
        </is>
      </c>
      <c r="E297" s="12" t="n">
        <v>0.45</v>
      </c>
      <c r="F297" s="17" t="n">
        <v>116616.96</v>
      </c>
      <c r="G297" s="14">
        <f>E297*F297</f>
        <v/>
      </c>
      <c r="H297" s="14">
        <f>C297*G297</f>
        <v/>
      </c>
    </row>
    <row r="298">
      <c r="A298" s="12" t="inlineStr">
        <is>
          <t>RET-0024</t>
        </is>
      </c>
      <c r="B298" s="12" t="inlineStr">
        <is>
          <t>VS25</t>
        </is>
      </c>
      <c r="C298" s="28" t="n">
        <v>0.0119</v>
      </c>
      <c r="D298" s="12" t="inlineStr">
        <is>
          <t>PO-2023-3776</t>
        </is>
      </c>
      <c r="E298" s="12" t="n">
        <v>0.45</v>
      </c>
      <c r="F298" s="17" t="n">
        <v>62714.09</v>
      </c>
      <c r="G298" s="14">
        <f>E298*F298</f>
        <v/>
      </c>
      <c r="H298" s="14">
        <f>C298*G298</f>
        <v/>
      </c>
    </row>
    <row r="299">
      <c r="A299" s="12" t="inlineStr">
        <is>
          <t>RET-0024</t>
        </is>
      </c>
      <c r="B299" s="12" t="inlineStr">
        <is>
          <t>VS26</t>
        </is>
      </c>
      <c r="C299" s="28" t="n">
        <v>0.0066</v>
      </c>
      <c r="D299" s="12" t="inlineStr">
        <is>
          <t>PO-2021-0690</t>
        </is>
      </c>
      <c r="E299" s="12" t="n">
        <v>0.45</v>
      </c>
      <c r="F299" s="17" t="n">
        <v>99598.07000000001</v>
      </c>
      <c r="G299" s="14">
        <f>E299*F299</f>
        <v/>
      </c>
      <c r="H299" s="14">
        <f>C299*G299</f>
        <v/>
      </c>
    </row>
    <row r="300">
      <c r="A300" s="12" t="inlineStr">
        <is>
          <t>RET-0024</t>
        </is>
      </c>
      <c r="B300" s="12" t="inlineStr">
        <is>
          <t>VS27</t>
        </is>
      </c>
      <c r="C300" s="28" t="n">
        <v>0.0065</v>
      </c>
      <c r="D300" s="12" t="inlineStr">
        <is>
          <t>PO-2022-2035</t>
        </is>
      </c>
      <c r="E300" s="12" t="n">
        <v>0.45</v>
      </c>
      <c r="F300" s="17" t="n">
        <v>66291.58</v>
      </c>
      <c r="G300" s="14">
        <f>E300*F300</f>
        <v/>
      </c>
      <c r="H300" s="14">
        <f>C300*G300</f>
        <v/>
      </c>
    </row>
    <row r="301">
      <c r="A301" s="12" t="inlineStr">
        <is>
          <t>RET-0024</t>
        </is>
      </c>
      <c r="B301" s="12" t="inlineStr">
        <is>
          <t>VS28</t>
        </is>
      </c>
      <c r="C301" s="28" t="n">
        <v>0.0145</v>
      </c>
      <c r="D301" s="12" t="inlineStr">
        <is>
          <t>PO-2023-4572</t>
        </is>
      </c>
      <c r="E301" s="12" t="n">
        <v>0.45</v>
      </c>
      <c r="F301" s="17" t="n">
        <v>73826.96000000001</v>
      </c>
      <c r="G301" s="14">
        <f>E301*F301</f>
        <v/>
      </c>
      <c r="H301" s="14">
        <f>C301*G301</f>
        <v/>
      </c>
    </row>
    <row r="302">
      <c r="A302" s="12" t="inlineStr">
        <is>
          <t>RET-0024</t>
        </is>
      </c>
      <c r="B302" s="12" t="inlineStr">
        <is>
          <t>VS29</t>
        </is>
      </c>
      <c r="C302" s="28" t="n">
        <v>0.0092</v>
      </c>
      <c r="D302" s="12" t="inlineStr">
        <is>
          <t>PO-2021-0979</t>
        </is>
      </c>
      <c r="E302" s="12" t="n">
        <v>0.45</v>
      </c>
      <c r="F302" s="17" t="n">
        <v>49204.08</v>
      </c>
      <c r="G302" s="14">
        <f>E302*F302</f>
        <v/>
      </c>
      <c r="H302" s="14">
        <f>C302*G302</f>
        <v/>
      </c>
    </row>
    <row r="303">
      <c r="A303" s="12" t="inlineStr">
        <is>
          <t>RET-0024</t>
        </is>
      </c>
      <c r="B303" s="12" t="inlineStr">
        <is>
          <t>VS30</t>
        </is>
      </c>
      <c r="C303" s="28" t="n">
        <v>0.004</v>
      </c>
      <c r="D303" s="12" t="inlineStr">
        <is>
          <t>PO-2021-0534</t>
        </is>
      </c>
      <c r="E303" s="12" t="n">
        <v>0.45</v>
      </c>
      <c r="F303" s="17" t="n">
        <v>91729.34</v>
      </c>
      <c r="G303" s="14">
        <f>E303*F303</f>
        <v/>
      </c>
      <c r="H303" s="14">
        <f>C303*G303</f>
        <v/>
      </c>
    </row>
    <row r="304">
      <c r="A304" s="12" t="inlineStr">
        <is>
          <t>RET-0024</t>
        </is>
      </c>
      <c r="B304" s="12" t="inlineStr">
        <is>
          <t>VS31</t>
        </is>
      </c>
      <c r="C304" s="28" t="n">
        <v>0.0144</v>
      </c>
      <c r="D304" s="12" t="inlineStr">
        <is>
          <t>PO-2022-2534</t>
        </is>
      </c>
      <c r="E304" s="12" t="n">
        <v>0.45</v>
      </c>
      <c r="F304" s="17" t="n">
        <v>72778.50999999999</v>
      </c>
      <c r="G304" s="14">
        <f>E304*F304</f>
        <v/>
      </c>
      <c r="H304" s="14">
        <f>C304*G304</f>
        <v/>
      </c>
    </row>
    <row r="305">
      <c r="A305" s="12" t="inlineStr">
        <is>
          <t>RET-0024</t>
        </is>
      </c>
      <c r="B305" s="12" t="inlineStr">
        <is>
          <t>VS32</t>
        </is>
      </c>
      <c r="C305" s="28" t="n">
        <v>0.0172</v>
      </c>
      <c r="D305" s="12" t="inlineStr">
        <is>
          <t>PO-2022-3140</t>
        </is>
      </c>
      <c r="E305" s="12" t="n">
        <v>0.45</v>
      </c>
      <c r="F305" s="17" t="n">
        <v>87415.75</v>
      </c>
      <c r="G305" s="14">
        <f>E305*F305</f>
        <v/>
      </c>
      <c r="H305" s="14">
        <f>C305*G305</f>
        <v/>
      </c>
    </row>
    <row r="306">
      <c r="A306" s="12" t="inlineStr">
        <is>
          <t>RET-0024</t>
        </is>
      </c>
      <c r="B306" s="12" t="inlineStr">
        <is>
          <t>VS33</t>
        </is>
      </c>
      <c r="C306" s="28" t="n">
        <v>0.0092</v>
      </c>
      <c r="D306" s="12" t="inlineStr">
        <is>
          <t>PO-2021-0103</t>
        </is>
      </c>
      <c r="E306" s="12" t="n">
        <v>0.45</v>
      </c>
      <c r="F306" s="17" t="n">
        <v>85694.52</v>
      </c>
      <c r="G306" s="14">
        <f>E306*F306</f>
        <v/>
      </c>
      <c r="H306" s="14">
        <f>C306*G306</f>
        <v/>
      </c>
    </row>
    <row r="307">
      <c r="A307" s="12" t="inlineStr">
        <is>
          <t>RET-0024</t>
        </is>
      </c>
      <c r="B307" s="12" t="inlineStr">
        <is>
          <t>VS34</t>
        </is>
      </c>
      <c r="C307" s="28" t="n">
        <v>0.0119</v>
      </c>
      <c r="D307" s="12" t="inlineStr">
        <is>
          <t>PO-2022-2705</t>
        </is>
      </c>
      <c r="E307" s="12" t="n">
        <v>0.45</v>
      </c>
      <c r="F307" s="17" t="n">
        <v>58862.16</v>
      </c>
      <c r="G307" s="14">
        <f>E307*F307</f>
        <v/>
      </c>
      <c r="H307" s="14">
        <f>C307*G307</f>
        <v/>
      </c>
    </row>
    <row r="308">
      <c r="A308" s="12" t="inlineStr">
        <is>
          <t>RET-0026</t>
        </is>
      </c>
      <c r="B308" s="12" t="inlineStr">
        <is>
          <t>VS01</t>
        </is>
      </c>
      <c r="C308" s="28" t="n">
        <v>0.0145</v>
      </c>
      <c r="D308" s="12" t="inlineStr">
        <is>
          <t>PO-2023-4494</t>
        </is>
      </c>
      <c r="E308" s="12" t="n">
        <v>0.86</v>
      </c>
      <c r="F308" s="17" t="n">
        <v>61491.7</v>
      </c>
      <c r="G308" s="14">
        <f>E308*F308</f>
        <v/>
      </c>
      <c r="H308" s="14">
        <f>C308*G308</f>
        <v/>
      </c>
    </row>
    <row r="309">
      <c r="A309" s="12" t="inlineStr">
        <is>
          <t>RET-0026</t>
        </is>
      </c>
      <c r="B309" s="12" t="inlineStr">
        <is>
          <t>VS02</t>
        </is>
      </c>
      <c r="C309" s="28" t="n">
        <v>0.0066</v>
      </c>
      <c r="D309" s="12" t="inlineStr">
        <is>
          <t>PO-2022-3121</t>
        </is>
      </c>
      <c r="E309" s="12" t="n">
        <v>0.86</v>
      </c>
      <c r="F309" s="17" t="n">
        <v>79385.72</v>
      </c>
      <c r="G309" s="14">
        <f>E309*F309</f>
        <v/>
      </c>
      <c r="H309" s="14">
        <f>C309*G309</f>
        <v/>
      </c>
    </row>
    <row r="310">
      <c r="A310" s="12" t="inlineStr">
        <is>
          <t>RET-0026</t>
        </is>
      </c>
      <c r="B310" s="12" t="inlineStr">
        <is>
          <t>VS03</t>
        </is>
      </c>
      <c r="C310" s="28" t="n">
        <v>0.1979</v>
      </c>
      <c r="D310" s="12" t="inlineStr">
        <is>
          <t>PO-2022-2264</t>
        </is>
      </c>
      <c r="E310" s="12" t="n">
        <v>0.86</v>
      </c>
      <c r="F310" s="17" t="n">
        <v>73425.10000000001</v>
      </c>
      <c r="G310" s="14">
        <f>E310*F310</f>
        <v/>
      </c>
      <c r="H310" s="14">
        <f>C310*G310</f>
        <v/>
      </c>
    </row>
    <row r="311">
      <c r="A311" s="12" t="inlineStr">
        <is>
          <t>RET-0026</t>
        </is>
      </c>
      <c r="B311" s="12" t="inlineStr">
        <is>
          <t>VS04</t>
        </is>
      </c>
      <c r="C311" s="28" t="n">
        <v>0.0091</v>
      </c>
      <c r="D311" s="12" t="inlineStr">
        <is>
          <t>PO-2021-1109</t>
        </is>
      </c>
      <c r="E311" s="12" t="n">
        <v>0.86</v>
      </c>
      <c r="F311" s="17" t="n">
        <v>54614.85</v>
      </c>
      <c r="G311" s="14">
        <f>E311*F311</f>
        <v/>
      </c>
      <c r="H311" s="14">
        <f>C311*G311</f>
        <v/>
      </c>
    </row>
    <row r="312">
      <c r="A312" s="12" t="inlineStr">
        <is>
          <t>RET-0026</t>
        </is>
      </c>
      <c r="B312" s="12" t="inlineStr">
        <is>
          <t>VS05</t>
        </is>
      </c>
      <c r="C312" s="28" t="n">
        <v>0.0118</v>
      </c>
      <c r="D312" s="12" t="inlineStr">
        <is>
          <t>PO-2023-4177</t>
        </is>
      </c>
      <c r="E312" s="12" t="n">
        <v>0.86</v>
      </c>
      <c r="F312" s="17" t="n">
        <v>72246.31</v>
      </c>
      <c r="G312" s="14">
        <f>E312*F312</f>
        <v/>
      </c>
      <c r="H312" s="14">
        <f>C312*G312</f>
        <v/>
      </c>
    </row>
    <row r="313">
      <c r="A313" s="12" t="inlineStr">
        <is>
          <t>RET-0026</t>
        </is>
      </c>
      <c r="B313" s="12" t="inlineStr">
        <is>
          <t>VS06</t>
        </is>
      </c>
      <c r="C313" s="28" t="n">
        <v>0.0119</v>
      </c>
      <c r="D313" s="12" t="inlineStr">
        <is>
          <t>PO-2022-2874</t>
        </is>
      </c>
      <c r="E313" s="12" t="n">
        <v>0.86</v>
      </c>
      <c r="F313" s="17" t="n">
        <v>93218.38</v>
      </c>
      <c r="G313" s="14">
        <f>E313*F313</f>
        <v/>
      </c>
      <c r="H313" s="14">
        <f>C313*G313</f>
        <v/>
      </c>
    </row>
    <row r="314">
      <c r="A314" s="12" t="inlineStr">
        <is>
          <t>RET-0026</t>
        </is>
      </c>
      <c r="B314" s="12" t="inlineStr">
        <is>
          <t>VS07</t>
        </is>
      </c>
      <c r="C314" s="28" t="n">
        <v>0.004</v>
      </c>
      <c r="D314" s="12" t="inlineStr">
        <is>
          <t>PO-2023-3368</t>
        </is>
      </c>
      <c r="E314" s="12" t="n">
        <v>0.86</v>
      </c>
      <c r="F314" s="17" t="n">
        <v>59240.39</v>
      </c>
      <c r="G314" s="14">
        <f>E314*F314</f>
        <v/>
      </c>
      <c r="H314" s="14">
        <f>C314*G314</f>
        <v/>
      </c>
    </row>
    <row r="315">
      <c r="A315" s="12" t="inlineStr">
        <is>
          <t>RET-0026</t>
        </is>
      </c>
      <c r="B315" s="12" t="inlineStr">
        <is>
          <t>VS08</t>
        </is>
      </c>
      <c r="C315" s="28" t="n">
        <v>0.012</v>
      </c>
      <c r="D315" s="12" t="inlineStr">
        <is>
          <t>PO-2021-0179</t>
        </is>
      </c>
      <c r="E315" s="12" t="n">
        <v>0.86</v>
      </c>
      <c r="F315" s="17" t="n">
        <v>77299.13</v>
      </c>
      <c r="G315" s="14">
        <f>E315*F315</f>
        <v/>
      </c>
      <c r="H315" s="14">
        <f>C315*G315</f>
        <v/>
      </c>
    </row>
    <row r="316">
      <c r="A316" s="12" t="inlineStr">
        <is>
          <t>RET-0026</t>
        </is>
      </c>
      <c r="B316" s="12" t="inlineStr">
        <is>
          <t>VS09</t>
        </is>
      </c>
      <c r="C316" s="28" t="n">
        <v>0.0092</v>
      </c>
      <c r="D316" s="12" t="inlineStr">
        <is>
          <t>PO-2022-3055</t>
        </is>
      </c>
      <c r="E316" s="12" t="n">
        <v>0.86</v>
      </c>
      <c r="F316" s="17" t="n">
        <v>54952.58</v>
      </c>
      <c r="G316" s="14">
        <f>E316*F316</f>
        <v/>
      </c>
      <c r="H316" s="14">
        <f>C316*G316</f>
        <v/>
      </c>
    </row>
    <row r="317">
      <c r="A317" s="12" t="inlineStr">
        <is>
          <t>RET-0026</t>
        </is>
      </c>
      <c r="B317" s="12" t="inlineStr">
        <is>
          <t>VS10</t>
        </is>
      </c>
      <c r="C317" s="28" t="n">
        <v>0.0145</v>
      </c>
      <c r="D317" s="12" t="inlineStr">
        <is>
          <t>PO-2021-0151</t>
        </is>
      </c>
      <c r="E317" s="12" t="n">
        <v>0.86</v>
      </c>
      <c r="F317" s="17" t="n">
        <v>118802.11</v>
      </c>
      <c r="G317" s="14">
        <f>E317*F317</f>
        <v/>
      </c>
      <c r="H317" s="14">
        <f>C317*G317</f>
        <v/>
      </c>
    </row>
    <row r="318">
      <c r="A318" s="12" t="inlineStr">
        <is>
          <t>RET-0026</t>
        </is>
      </c>
      <c r="B318" s="12" t="inlineStr">
        <is>
          <t>VS11</t>
        </is>
      </c>
      <c r="C318" s="28" t="n">
        <v>0.017</v>
      </c>
      <c r="D318" s="12" t="inlineStr">
        <is>
          <t>PO-2023-3796</t>
        </is>
      </c>
      <c r="E318" s="12" t="n">
        <v>0.86</v>
      </c>
      <c r="F318" s="17" t="n">
        <v>97159.2</v>
      </c>
      <c r="G318" s="14">
        <f>E318*F318</f>
        <v/>
      </c>
      <c r="H318" s="14">
        <f>C318*G318</f>
        <v/>
      </c>
    </row>
    <row r="319">
      <c r="A319" s="12" t="inlineStr">
        <is>
          <t>RET-0026</t>
        </is>
      </c>
      <c r="B319" s="12" t="inlineStr">
        <is>
          <t>VS12</t>
        </is>
      </c>
      <c r="C319" s="28" t="n">
        <v>0.275</v>
      </c>
      <c r="D319" s="12" t="inlineStr">
        <is>
          <t>PO-2023-3734</t>
        </is>
      </c>
      <c r="E319" s="12" t="n">
        <v>0.86</v>
      </c>
      <c r="F319" s="17" t="n">
        <v>120569.59</v>
      </c>
      <c r="G319" s="14">
        <f>E319*F319</f>
        <v/>
      </c>
      <c r="H319" s="14">
        <f>C319*G319</f>
        <v/>
      </c>
    </row>
    <row r="320">
      <c r="A320" s="12" t="inlineStr">
        <is>
          <t>RET-0026</t>
        </is>
      </c>
      <c r="B320" s="12" t="inlineStr">
        <is>
          <t>VS13</t>
        </is>
      </c>
      <c r="C320" s="28" t="n">
        <v>0.0117</v>
      </c>
      <c r="D320" s="12" t="inlineStr">
        <is>
          <t>PO-2022-2411</t>
        </is>
      </c>
      <c r="E320" s="12" t="n">
        <v>0.86</v>
      </c>
      <c r="F320" s="17" t="n">
        <v>67183.81</v>
      </c>
      <c r="G320" s="14">
        <f>E320*F320</f>
        <v/>
      </c>
      <c r="H320" s="14">
        <f>C320*G320</f>
        <v/>
      </c>
    </row>
    <row r="321">
      <c r="A321" s="12" t="inlineStr">
        <is>
          <t>RET-0026</t>
        </is>
      </c>
      <c r="B321" s="12" t="inlineStr">
        <is>
          <t>VS14</t>
        </is>
      </c>
      <c r="C321" s="28" t="n">
        <v>0.0118</v>
      </c>
      <c r="D321" s="12" t="inlineStr">
        <is>
          <t>PO-2022-1683</t>
        </is>
      </c>
      <c r="E321" s="12" t="n">
        <v>0.86</v>
      </c>
      <c r="F321" s="17" t="n">
        <v>61482.08</v>
      </c>
      <c r="G321" s="14">
        <f>E321*F321</f>
        <v/>
      </c>
      <c r="H321" s="14">
        <f>C321*G321</f>
        <v/>
      </c>
    </row>
    <row r="322">
      <c r="A322" s="12" t="inlineStr">
        <is>
          <t>RET-0026</t>
        </is>
      </c>
      <c r="B322" s="12" t="inlineStr">
        <is>
          <t>VS15</t>
        </is>
      </c>
      <c r="C322" s="28" t="n">
        <v>0.004</v>
      </c>
      <c r="D322" s="12" t="inlineStr">
        <is>
          <t>PO-2022-2815</t>
        </is>
      </c>
      <c r="E322" s="12" t="n">
        <v>0.86</v>
      </c>
      <c r="F322" s="17" t="n">
        <v>92109.58</v>
      </c>
      <c r="G322" s="14">
        <f>E322*F322</f>
        <v/>
      </c>
      <c r="H322" s="14">
        <f>C322*G322</f>
        <v/>
      </c>
    </row>
    <row r="323">
      <c r="A323" s="12" t="inlineStr">
        <is>
          <t>RET-0026</t>
        </is>
      </c>
      <c r="B323" s="12" t="inlineStr">
        <is>
          <t>VS16</t>
        </is>
      </c>
      <c r="C323" s="28" t="n">
        <v>0.0171</v>
      </c>
      <c r="D323" s="12" t="inlineStr">
        <is>
          <t>PO-2023-4368</t>
        </is>
      </c>
      <c r="E323" s="12" t="n">
        <v>0.86</v>
      </c>
      <c r="F323" s="17" t="n">
        <v>77448.78</v>
      </c>
      <c r="G323" s="14">
        <f>E323*F323</f>
        <v/>
      </c>
      <c r="H323" s="14">
        <f>C323*G323</f>
        <v/>
      </c>
    </row>
    <row r="324">
      <c r="A324" s="12" t="inlineStr">
        <is>
          <t>RET-0026</t>
        </is>
      </c>
      <c r="B324" s="12" t="inlineStr">
        <is>
          <t>VS17</t>
        </is>
      </c>
      <c r="C324" s="28" t="n">
        <v>0.017</v>
      </c>
      <c r="D324" s="12" t="inlineStr">
        <is>
          <t>PO-2023-3885</t>
        </is>
      </c>
      <c r="E324" s="12" t="n">
        <v>0.86</v>
      </c>
      <c r="F324" s="17" t="n">
        <v>83042.16</v>
      </c>
      <c r="G324" s="14">
        <f>E324*F324</f>
        <v/>
      </c>
      <c r="H324" s="14">
        <f>C324*G324</f>
        <v/>
      </c>
    </row>
    <row r="325">
      <c r="A325" s="12" t="inlineStr">
        <is>
          <t>RET-0026</t>
        </is>
      </c>
      <c r="B325" s="12" t="inlineStr">
        <is>
          <t>VS18</t>
        </is>
      </c>
      <c r="C325" s="28" t="n">
        <v>0.0118</v>
      </c>
      <c r="D325" s="12" t="inlineStr">
        <is>
          <t>PO-2022-2968</t>
        </is>
      </c>
      <c r="E325" s="12" t="n">
        <v>0.86</v>
      </c>
      <c r="F325" s="17" t="n">
        <v>76229.32000000001</v>
      </c>
      <c r="G325" s="14">
        <f>E325*F325</f>
        <v/>
      </c>
      <c r="H325" s="14">
        <f>C325*G325</f>
        <v/>
      </c>
    </row>
    <row r="326">
      <c r="A326" s="12" t="inlineStr">
        <is>
          <t>RET-0026</t>
        </is>
      </c>
      <c r="B326" s="12" t="inlineStr">
        <is>
          <t>VS19</t>
        </is>
      </c>
      <c r="C326" s="28" t="n">
        <v>0.2075</v>
      </c>
      <c r="D326" s="12" t="inlineStr">
        <is>
          <t>PO-2023-4647</t>
        </is>
      </c>
      <c r="E326" s="12" t="n">
        <v>0.86</v>
      </c>
      <c r="F326" s="17" t="n">
        <v>88360.27</v>
      </c>
      <c r="G326" s="14">
        <f>E326*F326</f>
        <v/>
      </c>
      <c r="H326" s="14">
        <f>C326*G326</f>
        <v/>
      </c>
    </row>
    <row r="327">
      <c r="A327" s="12" t="inlineStr">
        <is>
          <t>RET-0026</t>
        </is>
      </c>
      <c r="B327" s="12" t="inlineStr">
        <is>
          <t>VS20</t>
        </is>
      </c>
      <c r="C327" s="28" t="n">
        <v>0.0066</v>
      </c>
      <c r="D327" s="12" t="inlineStr">
        <is>
          <t>PO-2022-3016</t>
        </is>
      </c>
      <c r="E327" s="12" t="n">
        <v>0.86</v>
      </c>
      <c r="F327" s="17" t="n">
        <v>114062.44</v>
      </c>
      <c r="G327" s="14">
        <f>E327*F327</f>
        <v/>
      </c>
      <c r="H327" s="14">
        <f>C327*G327</f>
        <v/>
      </c>
    </row>
    <row r="328">
      <c r="A328" s="12" t="inlineStr">
        <is>
          <t>RET-0026</t>
        </is>
      </c>
      <c r="B328" s="12" t="inlineStr">
        <is>
          <t>VS21</t>
        </is>
      </c>
      <c r="C328" s="28" t="n">
        <v>0.0066</v>
      </c>
      <c r="D328" s="12" t="inlineStr">
        <is>
          <t>PO-2021-1361</t>
        </is>
      </c>
      <c r="E328" s="12" t="n">
        <v>0.86</v>
      </c>
      <c r="F328" s="17" t="n">
        <v>47415.67</v>
      </c>
      <c r="G328" s="14">
        <f>E328*F328</f>
        <v/>
      </c>
      <c r="H328" s="14">
        <f>C328*G328</f>
        <v/>
      </c>
    </row>
    <row r="329">
      <c r="A329" s="12" t="inlineStr">
        <is>
          <t>RET-0026</t>
        </is>
      </c>
      <c r="B329" s="12" t="inlineStr">
        <is>
          <t>VS22</t>
        </is>
      </c>
      <c r="C329" s="28" t="n">
        <v>0.0039</v>
      </c>
      <c r="D329" s="12" t="inlineStr">
        <is>
          <t>PO-2021-1317</t>
        </is>
      </c>
      <c r="E329" s="12" t="n">
        <v>0.86</v>
      </c>
      <c r="F329" s="17" t="n">
        <v>69614.53</v>
      </c>
      <c r="G329" s="14">
        <f>E329*F329</f>
        <v/>
      </c>
      <c r="H329" s="14">
        <f>C329*G329</f>
        <v/>
      </c>
    </row>
    <row r="330">
      <c r="A330" s="12" t="inlineStr">
        <is>
          <t>RET-0026</t>
        </is>
      </c>
      <c r="B330" s="12" t="inlineStr">
        <is>
          <t>VS23</t>
        </is>
      </c>
      <c r="C330" s="28" t="n">
        <v>0.0065</v>
      </c>
      <c r="D330" s="12" t="inlineStr">
        <is>
          <t>PO-2021-0745</t>
        </is>
      </c>
      <c r="E330" s="12" t="n">
        <v>0.86</v>
      </c>
      <c r="F330" s="17" t="n">
        <v>71331.78999999999</v>
      </c>
      <c r="G330" s="14">
        <f>E330*F330</f>
        <v/>
      </c>
      <c r="H330" s="14">
        <f>C330*G330</f>
        <v/>
      </c>
    </row>
    <row r="331">
      <c r="A331" s="12" t="inlineStr">
        <is>
          <t>RET-0026</t>
        </is>
      </c>
      <c r="B331" s="12" t="inlineStr">
        <is>
          <t>VS24</t>
        </is>
      </c>
      <c r="C331" s="28" t="n">
        <v>0.0066</v>
      </c>
      <c r="D331" s="12" t="inlineStr">
        <is>
          <t>PO-2023-3957</t>
        </is>
      </c>
      <c r="E331" s="12" t="n">
        <v>0.86</v>
      </c>
      <c r="F331" s="17" t="n">
        <v>77227.49000000001</v>
      </c>
      <c r="G331" s="14">
        <f>E331*F331</f>
        <v/>
      </c>
      <c r="H331" s="14">
        <f>C331*G331</f>
        <v/>
      </c>
    </row>
    <row r="332">
      <c r="A332" s="12" t="inlineStr">
        <is>
          <t>RET-0026</t>
        </is>
      </c>
      <c r="B332" s="12" t="inlineStr">
        <is>
          <t>VS25</t>
        </is>
      </c>
      <c r="C332" s="28" t="n">
        <v>0.0119</v>
      </c>
      <c r="D332" s="12" t="inlineStr">
        <is>
          <t>PO-2023-3898</t>
        </is>
      </c>
      <c r="E332" s="12" t="n">
        <v>0.86</v>
      </c>
      <c r="F332" s="17" t="n">
        <v>118216.73</v>
      </c>
      <c r="G332" s="14">
        <f>E332*F332</f>
        <v/>
      </c>
      <c r="H332" s="14">
        <f>C332*G332</f>
        <v/>
      </c>
    </row>
    <row r="333">
      <c r="A333" s="12" t="inlineStr">
        <is>
          <t>RET-0026</t>
        </is>
      </c>
      <c r="B333" s="12" t="inlineStr">
        <is>
          <t>VS26</t>
        </is>
      </c>
      <c r="C333" s="28" t="n">
        <v>0.0066</v>
      </c>
      <c r="D333" s="12" t="inlineStr">
        <is>
          <t>PO-2021-1484</t>
        </is>
      </c>
      <c r="E333" s="12" t="n">
        <v>0.86</v>
      </c>
      <c r="F333" s="17" t="n">
        <v>106309.71</v>
      </c>
      <c r="G333" s="14">
        <f>E333*F333</f>
        <v/>
      </c>
      <c r="H333" s="14">
        <f>C333*G333</f>
        <v/>
      </c>
    </row>
    <row r="334">
      <c r="A334" s="12" t="inlineStr">
        <is>
          <t>RET-0026</t>
        </is>
      </c>
      <c r="B334" s="12" t="inlineStr">
        <is>
          <t>VS27</t>
        </is>
      </c>
      <c r="C334" s="28" t="n">
        <v>0.0065</v>
      </c>
      <c r="D334" s="12" t="inlineStr">
        <is>
          <t>PO-2022-2253</t>
        </is>
      </c>
      <c r="E334" s="12" t="n">
        <v>0.86</v>
      </c>
      <c r="F334" s="17" t="n">
        <v>76022.99000000001</v>
      </c>
      <c r="G334" s="14">
        <f>E334*F334</f>
        <v/>
      </c>
      <c r="H334" s="14">
        <f>C334*G334</f>
        <v/>
      </c>
    </row>
    <row r="335">
      <c r="A335" s="12" t="inlineStr">
        <is>
          <t>RET-0026</t>
        </is>
      </c>
      <c r="B335" s="12" t="inlineStr">
        <is>
          <t>VS28</t>
        </is>
      </c>
      <c r="C335" s="28" t="n">
        <v>0.0145</v>
      </c>
      <c r="D335" s="12" t="inlineStr">
        <is>
          <t>PO-2023-4435</t>
        </is>
      </c>
      <c r="E335" s="12" t="n">
        <v>0.86</v>
      </c>
      <c r="F335" s="17" t="n">
        <v>84428.92999999999</v>
      </c>
      <c r="G335" s="14">
        <f>E335*F335</f>
        <v/>
      </c>
      <c r="H335" s="14">
        <f>C335*G335</f>
        <v/>
      </c>
    </row>
    <row r="336">
      <c r="A336" s="12" t="inlineStr">
        <is>
          <t>RET-0026</t>
        </is>
      </c>
      <c r="B336" s="12" t="inlineStr">
        <is>
          <t>VS29</t>
        </is>
      </c>
      <c r="C336" s="28" t="n">
        <v>0.0092</v>
      </c>
      <c r="D336" s="12" t="inlineStr">
        <is>
          <t>PO-2021-0510</t>
        </is>
      </c>
      <c r="E336" s="12" t="n">
        <v>0.86</v>
      </c>
      <c r="F336" s="17" t="n">
        <v>63715.56</v>
      </c>
      <c r="G336" s="14">
        <f>E336*F336</f>
        <v/>
      </c>
      <c r="H336" s="14">
        <f>C336*G336</f>
        <v/>
      </c>
    </row>
    <row r="337">
      <c r="A337" s="12" t="inlineStr">
        <is>
          <t>RET-0026</t>
        </is>
      </c>
      <c r="B337" s="12" t="inlineStr">
        <is>
          <t>VS30</t>
        </is>
      </c>
      <c r="C337" s="28" t="n">
        <v>0.004</v>
      </c>
      <c r="D337" s="12" t="inlineStr">
        <is>
          <t>PO-2021-1149</t>
        </is>
      </c>
      <c r="E337" s="12" t="n">
        <v>0.86</v>
      </c>
      <c r="F337" s="17" t="n">
        <v>93102.96000000001</v>
      </c>
      <c r="G337" s="14">
        <f>E337*F337</f>
        <v/>
      </c>
      <c r="H337" s="14">
        <f>C337*G337</f>
        <v/>
      </c>
    </row>
    <row r="338">
      <c r="A338" s="12" t="inlineStr">
        <is>
          <t>RET-0026</t>
        </is>
      </c>
      <c r="B338" s="12" t="inlineStr">
        <is>
          <t>VS31</t>
        </is>
      </c>
      <c r="C338" s="28" t="n">
        <v>0.0144</v>
      </c>
      <c r="D338" s="12" t="inlineStr">
        <is>
          <t>PO-2023-4476</t>
        </is>
      </c>
      <c r="E338" s="12" t="n">
        <v>0.86</v>
      </c>
      <c r="F338" s="17" t="n">
        <v>77527.62</v>
      </c>
      <c r="G338" s="14">
        <f>E338*F338</f>
        <v/>
      </c>
      <c r="H338" s="14">
        <f>C338*G338</f>
        <v/>
      </c>
    </row>
    <row r="339">
      <c r="A339" s="12" t="inlineStr">
        <is>
          <t>RET-0026</t>
        </is>
      </c>
      <c r="B339" s="12" t="inlineStr">
        <is>
          <t>VS32</t>
        </is>
      </c>
      <c r="C339" s="28" t="n">
        <v>0.0172</v>
      </c>
      <c r="D339" s="12" t="inlineStr">
        <is>
          <t>PO-2021-0269</t>
        </is>
      </c>
      <c r="E339" s="12" t="n">
        <v>0.86</v>
      </c>
      <c r="F339" s="17" t="n">
        <v>74493.16</v>
      </c>
      <c r="G339" s="14">
        <f>E339*F339</f>
        <v/>
      </c>
      <c r="H339" s="14">
        <f>C339*G339</f>
        <v/>
      </c>
    </row>
    <row r="340">
      <c r="A340" s="12" t="inlineStr">
        <is>
          <t>RET-0026</t>
        </is>
      </c>
      <c r="B340" s="12" t="inlineStr">
        <is>
          <t>VS33</t>
        </is>
      </c>
      <c r="C340" s="28" t="n">
        <v>0.0092</v>
      </c>
      <c r="D340" s="12" t="inlineStr">
        <is>
          <t>PO-2023-4798</t>
        </is>
      </c>
      <c r="E340" s="12" t="n">
        <v>0.86</v>
      </c>
      <c r="F340" s="17" t="n">
        <v>108228.18</v>
      </c>
      <c r="G340" s="14">
        <f>E340*F340</f>
        <v/>
      </c>
      <c r="H340" s="14">
        <f>C340*G340</f>
        <v/>
      </c>
    </row>
    <row r="341">
      <c r="A341" s="12" t="inlineStr">
        <is>
          <t>RET-0026</t>
        </is>
      </c>
      <c r="B341" s="12" t="inlineStr">
        <is>
          <t>VS34</t>
        </is>
      </c>
      <c r="C341" s="28" t="n">
        <v>0.0119</v>
      </c>
      <c r="D341" s="12" t="inlineStr">
        <is>
          <t>PO-2021-0013</t>
        </is>
      </c>
      <c r="E341" s="12" t="n">
        <v>0.86</v>
      </c>
      <c r="F341" s="17" t="n">
        <v>86595.17</v>
      </c>
      <c r="G341" s="14">
        <f>E341*F341</f>
        <v/>
      </c>
      <c r="H341" s="14">
        <f>C341*G341</f>
        <v/>
      </c>
    </row>
    <row r="342">
      <c r="A342" s="12" t="inlineStr">
        <is>
          <t>RET-0030</t>
        </is>
      </c>
      <c r="B342" s="12" t="inlineStr">
        <is>
          <t>VS01</t>
        </is>
      </c>
      <c r="C342" s="28" t="n">
        <v>0.0269</v>
      </c>
      <c r="D342" s="12" t="inlineStr">
        <is>
          <t>PO-2022-2130</t>
        </is>
      </c>
      <c r="E342" s="12" t="n">
        <v>1.01</v>
      </c>
      <c r="F342" s="17" t="n">
        <v>75023.13</v>
      </c>
      <c r="G342" s="14">
        <f>E342*F342</f>
        <v/>
      </c>
      <c r="H342" s="14">
        <f>C342*G342</f>
        <v/>
      </c>
    </row>
    <row r="343">
      <c r="A343" s="12" t="inlineStr">
        <is>
          <t>RET-0030</t>
        </is>
      </c>
      <c r="B343" s="12" t="inlineStr">
        <is>
          <t>VS02</t>
        </is>
      </c>
      <c r="C343" s="28" t="n">
        <v>0.0123</v>
      </c>
      <c r="D343" s="12" t="inlineStr">
        <is>
          <t>PO-2022-3117</t>
        </is>
      </c>
      <c r="E343" s="12" t="n">
        <v>1.01</v>
      </c>
      <c r="F343" s="17" t="n">
        <v>115717.84</v>
      </c>
      <c r="G343" s="14">
        <f>E343*F343</f>
        <v/>
      </c>
      <c r="H343" s="14">
        <f>C343*G343</f>
        <v/>
      </c>
    </row>
    <row r="344">
      <c r="A344" s="12" t="inlineStr">
        <is>
          <t>RET-0030</t>
        </is>
      </c>
      <c r="B344" s="12" t="inlineStr">
        <is>
          <t>VS03</t>
        </is>
      </c>
      <c r="C344" s="28" t="n">
        <v>0.1186</v>
      </c>
      <c r="D344" s="12" t="inlineStr">
        <is>
          <t>PO-2022-2249</t>
        </is>
      </c>
      <c r="E344" s="12" t="n">
        <v>1.01</v>
      </c>
      <c r="F344" s="17" t="n">
        <v>100572.38</v>
      </c>
      <c r="G344" s="14">
        <f>E344*F344</f>
        <v/>
      </c>
      <c r="H344" s="14">
        <f>C344*G344</f>
        <v/>
      </c>
    </row>
    <row r="345">
      <c r="A345" s="12" t="inlineStr">
        <is>
          <t>RET-0030</t>
        </is>
      </c>
      <c r="B345" s="12" t="inlineStr">
        <is>
          <t>VS04</t>
        </is>
      </c>
      <c r="C345" s="28" t="n">
        <v>0.0169</v>
      </c>
      <c r="D345" s="12" t="inlineStr">
        <is>
          <t>PO-2023-3984</t>
        </is>
      </c>
      <c r="E345" s="12" t="n">
        <v>1.01</v>
      </c>
      <c r="F345" s="17" t="n">
        <v>70318.39</v>
      </c>
      <c r="G345" s="14">
        <f>E345*F345</f>
        <v/>
      </c>
      <c r="H345" s="14">
        <f>C345*G345</f>
        <v/>
      </c>
    </row>
    <row r="346">
      <c r="A346" s="12" t="inlineStr">
        <is>
          <t>RET-0030</t>
        </is>
      </c>
      <c r="B346" s="12" t="inlineStr">
        <is>
          <t>VS05</t>
        </is>
      </c>
      <c r="C346" s="28" t="n">
        <v>0.0219</v>
      </c>
      <c r="D346" s="12" t="inlineStr">
        <is>
          <t>PO-2022-3073</t>
        </is>
      </c>
      <c r="E346" s="12" t="n">
        <v>1.01</v>
      </c>
      <c r="F346" s="17" t="n">
        <v>85668.37</v>
      </c>
      <c r="G346" s="14">
        <f>E346*F346</f>
        <v/>
      </c>
      <c r="H346" s="14">
        <f>C346*G346</f>
        <v/>
      </c>
    </row>
    <row r="347">
      <c r="A347" s="12" t="inlineStr">
        <is>
          <t>RET-0030</t>
        </is>
      </c>
      <c r="B347" s="12" t="inlineStr">
        <is>
          <t>VS06</t>
        </is>
      </c>
      <c r="C347" s="28" t="n">
        <v>0.0221</v>
      </c>
      <c r="D347" s="12" t="inlineStr">
        <is>
          <t>PO-2021-0359</t>
        </is>
      </c>
      <c r="E347" s="12" t="n">
        <v>1.01</v>
      </c>
      <c r="F347" s="17" t="n">
        <v>86452.61</v>
      </c>
      <c r="G347" s="14">
        <f>E347*F347</f>
        <v/>
      </c>
      <c r="H347" s="14">
        <f>C347*G347</f>
        <v/>
      </c>
    </row>
    <row r="348">
      <c r="A348" s="12" t="inlineStr">
        <is>
          <t>RET-0030</t>
        </is>
      </c>
      <c r="B348" s="12" t="inlineStr">
        <is>
          <t>VS07</t>
        </is>
      </c>
      <c r="C348" s="28" t="n">
        <v>0.0074</v>
      </c>
      <c r="D348" s="12" t="inlineStr">
        <is>
          <t>PO-2021-0610</t>
        </is>
      </c>
      <c r="E348" s="12" t="n">
        <v>1.01</v>
      </c>
      <c r="F348" s="17" t="n">
        <v>86784.83</v>
      </c>
      <c r="G348" s="14">
        <f>E348*F348</f>
        <v/>
      </c>
      <c r="H348" s="14">
        <f>C348*G348</f>
        <v/>
      </c>
    </row>
    <row r="349">
      <c r="A349" s="12" t="inlineStr">
        <is>
          <t>RET-0030</t>
        </is>
      </c>
      <c r="B349" s="12" t="inlineStr">
        <is>
          <t>VS08</t>
        </is>
      </c>
      <c r="C349" s="28" t="n">
        <v>0.0223</v>
      </c>
      <c r="D349" s="12" t="inlineStr">
        <is>
          <t>PO-2023-4149</t>
        </is>
      </c>
      <c r="E349" s="12" t="n">
        <v>1.01</v>
      </c>
      <c r="F349" s="17" t="n">
        <v>63517.39</v>
      </c>
      <c r="G349" s="14">
        <f>E349*F349</f>
        <v/>
      </c>
      <c r="H349" s="14">
        <f>C349*G349</f>
        <v/>
      </c>
    </row>
    <row r="350">
      <c r="A350" s="12" t="inlineStr">
        <is>
          <t>RET-0030</t>
        </is>
      </c>
      <c r="B350" s="12" t="inlineStr">
        <is>
          <t>VS09</t>
        </is>
      </c>
      <c r="C350" s="28" t="n">
        <v>0.0171</v>
      </c>
      <c r="D350" s="12" t="inlineStr">
        <is>
          <t>PO-2021-1334</t>
        </is>
      </c>
      <c r="E350" s="12" t="n">
        <v>1.01</v>
      </c>
      <c r="F350" s="17" t="n">
        <v>111375.86</v>
      </c>
      <c r="G350" s="14">
        <f>E350*F350</f>
        <v/>
      </c>
      <c r="H350" s="14">
        <f>C350*G350</f>
        <v/>
      </c>
    </row>
    <row r="351">
      <c r="A351" s="12" t="inlineStr">
        <is>
          <t>RET-0030</t>
        </is>
      </c>
      <c r="B351" s="12" t="inlineStr">
        <is>
          <t>VS10</t>
        </is>
      </c>
      <c r="C351" s="28" t="n">
        <v>0.0269</v>
      </c>
      <c r="D351" s="12" t="inlineStr">
        <is>
          <t>PO-2023-3564</t>
        </is>
      </c>
      <c r="E351" s="12" t="n">
        <v>1.01</v>
      </c>
      <c r="F351" s="17" t="n">
        <v>84815.88</v>
      </c>
      <c r="G351" s="14">
        <f>E351*F351</f>
        <v/>
      </c>
      <c r="H351" s="14">
        <f>C351*G351</f>
        <v/>
      </c>
    </row>
    <row r="352">
      <c r="A352" s="12" t="inlineStr">
        <is>
          <t>RET-0030</t>
        </is>
      </c>
      <c r="B352" s="12" t="inlineStr">
        <is>
          <t>VS11</t>
        </is>
      </c>
      <c r="C352" s="28" t="n">
        <v>0.0315</v>
      </c>
      <c r="D352" s="12" t="inlineStr">
        <is>
          <t>PO-2021-0890</t>
        </is>
      </c>
      <c r="E352" s="12" t="n">
        <v>1.01</v>
      </c>
      <c r="F352" s="17" t="n">
        <v>53763.35</v>
      </c>
      <c r="G352" s="14">
        <f>E352*F352</f>
        <v/>
      </c>
      <c r="H352" s="14">
        <f>C352*G352</f>
        <v/>
      </c>
    </row>
    <row r="353">
      <c r="A353" s="12" t="inlineStr">
        <is>
          <t>RET-0030</t>
        </is>
      </c>
      <c r="B353" s="12" t="inlineStr">
        <is>
          <t>VS12</t>
        </is>
      </c>
      <c r="C353" s="28" t="n">
        <v>0.1649</v>
      </c>
      <c r="D353" s="12" t="inlineStr">
        <is>
          <t>PO-2023-4580</t>
        </is>
      </c>
      <c r="E353" s="12" t="n">
        <v>1.01</v>
      </c>
      <c r="F353" s="17" t="n">
        <v>70266.64999999999</v>
      </c>
      <c r="G353" s="14">
        <f>E353*F353</f>
        <v/>
      </c>
      <c r="H353" s="14">
        <f>C353*G353</f>
        <v/>
      </c>
    </row>
    <row r="354">
      <c r="A354" s="12" t="inlineStr">
        <is>
          <t>RET-0030</t>
        </is>
      </c>
      <c r="B354" s="12" t="inlineStr">
        <is>
          <t>VS13</t>
        </is>
      </c>
      <c r="C354" s="28" t="n">
        <v>0.0217</v>
      </c>
      <c r="D354" s="12" t="inlineStr">
        <is>
          <t>PO-2022-2655</t>
        </is>
      </c>
      <c r="E354" s="12" t="n">
        <v>1.01</v>
      </c>
      <c r="F354" s="17" t="n">
        <v>102941.86</v>
      </c>
      <c r="G354" s="14">
        <f>E354*F354</f>
        <v/>
      </c>
      <c r="H354" s="14">
        <f>C354*G354</f>
        <v/>
      </c>
    </row>
    <row r="355">
      <c r="A355" s="12" t="inlineStr">
        <is>
          <t>RET-0030</t>
        </is>
      </c>
      <c r="B355" s="12" t="inlineStr">
        <is>
          <t>VS14</t>
        </is>
      </c>
      <c r="C355" s="28" t="n">
        <v>0.0219</v>
      </c>
      <c r="D355" s="12" t="inlineStr">
        <is>
          <t>PO-2021-0172</t>
        </is>
      </c>
      <c r="E355" s="12" t="n">
        <v>1.01</v>
      </c>
      <c r="F355" s="17" t="n">
        <v>70567.2</v>
      </c>
      <c r="G355" s="14">
        <f>E355*F355</f>
        <v/>
      </c>
      <c r="H355" s="14">
        <f>C355*G355</f>
        <v/>
      </c>
    </row>
    <row r="356">
      <c r="A356" s="12" t="inlineStr">
        <is>
          <t>RET-0030</t>
        </is>
      </c>
      <c r="B356" s="12" t="inlineStr">
        <is>
          <t>VS15</t>
        </is>
      </c>
      <c r="C356" s="28" t="n">
        <v>0.0073</v>
      </c>
      <c r="D356" s="12" t="inlineStr">
        <is>
          <t>PO-2021-0951</t>
        </is>
      </c>
      <c r="E356" s="12" t="n">
        <v>1.01</v>
      </c>
      <c r="F356" s="17" t="n">
        <v>74255.28999999999</v>
      </c>
      <c r="G356" s="14">
        <f>E356*F356</f>
        <v/>
      </c>
      <c r="H356" s="14">
        <f>C356*G356</f>
        <v/>
      </c>
    </row>
    <row r="357">
      <c r="A357" s="12" t="inlineStr">
        <is>
          <t>RET-0030</t>
        </is>
      </c>
      <c r="B357" s="12" t="inlineStr">
        <is>
          <t>VS16</t>
        </is>
      </c>
      <c r="C357" s="28" t="n">
        <v>0.0316</v>
      </c>
      <c r="D357" s="12" t="inlineStr">
        <is>
          <t>PO-2022-2036</t>
        </is>
      </c>
      <c r="E357" s="12" t="n">
        <v>1.01</v>
      </c>
      <c r="F357" s="17" t="n">
        <v>54877.3</v>
      </c>
      <c r="G357" s="14">
        <f>E357*F357</f>
        <v/>
      </c>
      <c r="H357" s="14">
        <f>C357*G357</f>
        <v/>
      </c>
    </row>
    <row r="358">
      <c r="A358" s="12" t="inlineStr">
        <is>
          <t>RET-0030</t>
        </is>
      </c>
      <c r="B358" s="12" t="inlineStr">
        <is>
          <t>VS17</t>
        </is>
      </c>
      <c r="C358" s="28" t="n">
        <v>0.0315</v>
      </c>
      <c r="D358" s="12" t="inlineStr">
        <is>
          <t>PO-2023-4492</t>
        </is>
      </c>
      <c r="E358" s="12" t="n">
        <v>1.01</v>
      </c>
      <c r="F358" s="17" t="n">
        <v>85398.59</v>
      </c>
      <c r="G358" s="14">
        <f>E358*F358</f>
        <v/>
      </c>
      <c r="H358" s="14">
        <f>C358*G358</f>
        <v/>
      </c>
    </row>
    <row r="359">
      <c r="A359" s="12" t="inlineStr">
        <is>
          <t>RET-0030</t>
        </is>
      </c>
      <c r="B359" s="12" t="inlineStr">
        <is>
          <t>VS18</t>
        </is>
      </c>
      <c r="C359" s="28" t="n">
        <v>0.0219</v>
      </c>
      <c r="D359" s="12" t="inlineStr">
        <is>
          <t>PO-2023-4414</t>
        </is>
      </c>
      <c r="E359" s="12" t="n">
        <v>1.01</v>
      </c>
      <c r="F359" s="17" t="n">
        <v>99961.23</v>
      </c>
      <c r="G359" s="14">
        <f>E359*F359</f>
        <v/>
      </c>
      <c r="H359" s="14">
        <f>C359*G359</f>
        <v/>
      </c>
    </row>
    <row r="360">
      <c r="A360" s="12" t="inlineStr">
        <is>
          <t>RET-0030</t>
        </is>
      </c>
      <c r="B360" s="12" t="inlineStr">
        <is>
          <t>VS19</t>
        </is>
      </c>
      <c r="C360" s="28" t="n">
        <v>0.1244</v>
      </c>
      <c r="D360" s="12" t="inlineStr">
        <is>
          <t>PO-2023-3570</t>
        </is>
      </c>
      <c r="E360" s="12" t="n">
        <v>1.01</v>
      </c>
      <c r="F360" s="17" t="n">
        <v>49273.16</v>
      </c>
      <c r="G360" s="14">
        <f>E360*F360</f>
        <v/>
      </c>
      <c r="H360" s="14">
        <f>C360*G360</f>
        <v/>
      </c>
    </row>
    <row r="361">
      <c r="A361" s="12" t="inlineStr">
        <is>
          <t>RET-0030</t>
        </is>
      </c>
      <c r="B361" s="12" t="inlineStr">
        <is>
          <t>VS20</t>
        </is>
      </c>
      <c r="C361" s="28" t="n">
        <v>0.0122</v>
      </c>
      <c r="D361" s="12" t="inlineStr">
        <is>
          <t>PO-2022-2626</t>
        </is>
      </c>
      <c r="E361" s="12" t="n">
        <v>1.01</v>
      </c>
      <c r="F361" s="17" t="n">
        <v>87536.69</v>
      </c>
      <c r="G361" s="14">
        <f>E361*F361</f>
        <v/>
      </c>
      <c r="H361" s="14">
        <f>C361*G361</f>
        <v/>
      </c>
    </row>
    <row r="362">
      <c r="A362" s="12" t="inlineStr">
        <is>
          <t>RET-0030</t>
        </is>
      </c>
      <c r="B362" s="12" t="inlineStr">
        <is>
          <t>VS21</t>
        </is>
      </c>
      <c r="C362" s="28" t="n">
        <v>0.0122</v>
      </c>
      <c r="D362" s="12" t="inlineStr">
        <is>
          <t>PO-2021-0492</t>
        </is>
      </c>
      <c r="E362" s="12" t="n">
        <v>1.01</v>
      </c>
      <c r="F362" s="17" t="n">
        <v>46954.72</v>
      </c>
      <c r="G362" s="14">
        <f>E362*F362</f>
        <v/>
      </c>
      <c r="H362" s="14">
        <f>C362*G362</f>
        <v/>
      </c>
    </row>
    <row r="363">
      <c r="A363" s="12" t="inlineStr">
        <is>
          <t>RET-0030</t>
        </is>
      </c>
      <c r="B363" s="12" t="inlineStr">
        <is>
          <t>VS22</t>
        </is>
      </c>
      <c r="C363" s="28" t="n">
        <v>0.0073</v>
      </c>
      <c r="D363" s="12" t="inlineStr">
        <is>
          <t>PO-2021-0379</t>
        </is>
      </c>
      <c r="E363" s="12" t="n">
        <v>1.01</v>
      </c>
      <c r="F363" s="17" t="n">
        <v>69715.63</v>
      </c>
      <c r="G363" s="14">
        <f>E363*F363</f>
        <v/>
      </c>
      <c r="H363" s="14">
        <f>C363*G363</f>
        <v/>
      </c>
    </row>
    <row r="364">
      <c r="A364" s="12" t="inlineStr">
        <is>
          <t>RET-0030</t>
        </is>
      </c>
      <c r="B364" s="12" t="inlineStr">
        <is>
          <t>VS23</t>
        </is>
      </c>
      <c r="C364" s="28" t="n">
        <v>0.012</v>
      </c>
      <c r="D364" s="12" t="inlineStr">
        <is>
          <t>PO-2022-2769</t>
        </is>
      </c>
      <c r="E364" s="12" t="n">
        <v>1.01</v>
      </c>
      <c r="F364" s="17" t="n">
        <v>61369.03</v>
      </c>
      <c r="G364" s="14">
        <f>E364*F364</f>
        <v/>
      </c>
      <c r="H364" s="14">
        <f>C364*G364</f>
        <v/>
      </c>
    </row>
    <row r="365">
      <c r="A365" s="12" t="inlineStr">
        <is>
          <t>RET-0030</t>
        </is>
      </c>
      <c r="B365" s="12" t="inlineStr">
        <is>
          <t>VS24</t>
        </is>
      </c>
      <c r="C365" s="28" t="n">
        <v>0.0122</v>
      </c>
      <c r="D365" s="12" t="inlineStr">
        <is>
          <t>PO-2021-0738</t>
        </is>
      </c>
      <c r="E365" s="12" t="n">
        <v>1.01</v>
      </c>
      <c r="F365" s="17" t="n">
        <v>58491.69</v>
      </c>
      <c r="G365" s="14">
        <f>E365*F365</f>
        <v/>
      </c>
      <c r="H365" s="14">
        <f>C365*G365</f>
        <v/>
      </c>
    </row>
    <row r="366">
      <c r="A366" s="12" t="inlineStr">
        <is>
          <t>RET-0030</t>
        </is>
      </c>
      <c r="B366" s="12" t="inlineStr">
        <is>
          <t>VS25</t>
        </is>
      </c>
      <c r="C366" s="28" t="n">
        <v>0.022</v>
      </c>
      <c r="D366" s="12" t="inlineStr">
        <is>
          <t>PO-2023-4014</t>
        </is>
      </c>
      <c r="E366" s="12" t="n">
        <v>1.01</v>
      </c>
      <c r="F366" s="17" t="n">
        <v>89276.66</v>
      </c>
      <c r="G366" s="14">
        <f>E366*F366</f>
        <v/>
      </c>
      <c r="H366" s="14">
        <f>C366*G366</f>
        <v/>
      </c>
    </row>
    <row r="367">
      <c r="A367" s="12" t="inlineStr">
        <is>
          <t>RET-0030</t>
        </is>
      </c>
      <c r="B367" s="12" t="inlineStr">
        <is>
          <t>VS26</t>
        </is>
      </c>
      <c r="C367" s="28" t="n">
        <v>0.0123</v>
      </c>
      <c r="D367" s="12" t="inlineStr">
        <is>
          <t>PO-2022-2752</t>
        </is>
      </c>
      <c r="E367" s="12" t="n">
        <v>1.01</v>
      </c>
      <c r="F367" s="17" t="n">
        <v>49136.32</v>
      </c>
      <c r="G367" s="14">
        <f>E367*F367</f>
        <v/>
      </c>
      <c r="H367" s="14">
        <f>C367*G367</f>
        <v/>
      </c>
    </row>
    <row r="368">
      <c r="A368" s="12" t="inlineStr">
        <is>
          <t>RET-0030</t>
        </is>
      </c>
      <c r="B368" s="12" t="inlineStr">
        <is>
          <t>VS27</t>
        </is>
      </c>
      <c r="C368" s="28" t="n">
        <v>0.012</v>
      </c>
      <c r="D368" s="12" t="inlineStr">
        <is>
          <t>PO-2022-1661</t>
        </is>
      </c>
      <c r="E368" s="12" t="n">
        <v>1.01</v>
      </c>
      <c r="F368" s="17" t="n">
        <v>73098.28999999999</v>
      </c>
      <c r="G368" s="14">
        <f>E368*F368</f>
        <v/>
      </c>
      <c r="H368" s="14">
        <f>C368*G368</f>
        <v/>
      </c>
    </row>
    <row r="369">
      <c r="A369" s="12" t="inlineStr">
        <is>
          <t>RET-0030</t>
        </is>
      </c>
      <c r="B369" s="12" t="inlineStr">
        <is>
          <t>VS28</t>
        </is>
      </c>
      <c r="C369" s="28" t="n">
        <v>0.0269</v>
      </c>
      <c r="D369" s="12" t="inlineStr">
        <is>
          <t>PO-2022-3035</t>
        </is>
      </c>
      <c r="E369" s="12" t="n">
        <v>1.01</v>
      </c>
      <c r="F369" s="17" t="n">
        <v>113253.06</v>
      </c>
      <c r="G369" s="14">
        <f>E369*F369</f>
        <v/>
      </c>
      <c r="H369" s="14">
        <f>C369*G369</f>
        <v/>
      </c>
    </row>
    <row r="370">
      <c r="A370" s="12" t="inlineStr">
        <is>
          <t>RET-0030</t>
        </is>
      </c>
      <c r="B370" s="12" t="inlineStr">
        <is>
          <t>VS29</t>
        </is>
      </c>
      <c r="C370" s="28" t="n">
        <v>0.0171</v>
      </c>
      <c r="D370" s="12" t="inlineStr">
        <is>
          <t>PO-2023-4754</t>
        </is>
      </c>
      <c r="E370" s="12" t="n">
        <v>1.01</v>
      </c>
      <c r="F370" s="17" t="n">
        <v>71470.53999999999</v>
      </c>
      <c r="G370" s="14">
        <f>E370*F370</f>
        <v/>
      </c>
      <c r="H370" s="14">
        <f>C370*G370</f>
        <v/>
      </c>
    </row>
    <row r="371">
      <c r="A371" s="12" t="inlineStr">
        <is>
          <t>RET-0030</t>
        </is>
      </c>
      <c r="B371" s="12" t="inlineStr">
        <is>
          <t>VS30</t>
        </is>
      </c>
      <c r="C371" s="28" t="n">
        <v>0.0073</v>
      </c>
      <c r="D371" s="12" t="inlineStr">
        <is>
          <t>PO-2021-1316</t>
        </is>
      </c>
      <c r="E371" s="12" t="n">
        <v>1.01</v>
      </c>
      <c r="F371" s="17" t="n">
        <v>77107.92999999999</v>
      </c>
      <c r="G371" s="14">
        <f>E371*F371</f>
        <v/>
      </c>
      <c r="H371" s="14">
        <f>C371*G371</f>
        <v/>
      </c>
    </row>
    <row r="372">
      <c r="A372" s="12" t="inlineStr">
        <is>
          <t>RET-0030</t>
        </is>
      </c>
      <c r="B372" s="12" t="inlineStr">
        <is>
          <t>VS31</t>
        </is>
      </c>
      <c r="C372" s="28" t="n">
        <v>0.0268</v>
      </c>
      <c r="D372" s="12" t="inlineStr">
        <is>
          <t>PO-2022-2053</t>
        </is>
      </c>
      <c r="E372" s="12" t="n">
        <v>1.01</v>
      </c>
      <c r="F372" s="17" t="n">
        <v>76281.72</v>
      </c>
      <c r="G372" s="14">
        <f>E372*F372</f>
        <v/>
      </c>
      <c r="H372" s="14">
        <f>C372*G372</f>
        <v/>
      </c>
    </row>
    <row r="373">
      <c r="A373" s="12" t="inlineStr">
        <is>
          <t>RET-0030</t>
        </is>
      </c>
      <c r="B373" s="12" t="inlineStr">
        <is>
          <t>VS32</t>
        </is>
      </c>
      <c r="C373" s="28" t="n">
        <v>0.0318</v>
      </c>
      <c r="D373" s="12" t="inlineStr">
        <is>
          <t>PO-2022-3180</t>
        </is>
      </c>
      <c r="E373" s="12" t="n">
        <v>1.01</v>
      </c>
      <c r="F373" s="17" t="n">
        <v>118510.34</v>
      </c>
      <c r="G373" s="14">
        <f>E373*F373</f>
        <v/>
      </c>
      <c r="H373" s="14">
        <f>C373*G373</f>
        <v/>
      </c>
    </row>
    <row r="374">
      <c r="A374" s="12" t="inlineStr">
        <is>
          <t>RET-0030</t>
        </is>
      </c>
      <c r="B374" s="12" t="inlineStr">
        <is>
          <t>VS33</t>
        </is>
      </c>
      <c r="C374" s="28" t="n">
        <v>0.017</v>
      </c>
      <c r="D374" s="12" t="inlineStr">
        <is>
          <t>PO-2023-3583</t>
        </is>
      </c>
      <c r="E374" s="12" t="n">
        <v>1.01</v>
      </c>
      <c r="F374" s="17" t="n">
        <v>97769.42999999999</v>
      </c>
      <c r="G374" s="14">
        <f>E374*F374</f>
        <v/>
      </c>
      <c r="H374" s="14">
        <f>C374*G374</f>
        <v/>
      </c>
    </row>
    <row r="375">
      <c r="A375" s="12" t="inlineStr">
        <is>
          <t>RET-0030</t>
        </is>
      </c>
      <c r="B375" s="12" t="inlineStr">
        <is>
          <t>VS34</t>
        </is>
      </c>
      <c r="C375" s="28" t="n">
        <v>0.022</v>
      </c>
      <c r="D375" s="12" t="inlineStr">
        <is>
          <t>PO-2022-2239</t>
        </is>
      </c>
      <c r="E375" s="12" t="n">
        <v>1.01</v>
      </c>
      <c r="F375" s="17" t="n">
        <v>93239.89</v>
      </c>
      <c r="G375" s="14">
        <f>E375*F375</f>
        <v/>
      </c>
      <c r="H375" s="14">
        <f>C375*G375</f>
        <v/>
      </c>
    </row>
    <row r="376">
      <c r="A376" s="12" t="inlineStr">
        <is>
          <t>RET-0033</t>
        </is>
      </c>
      <c r="B376" s="12" t="inlineStr">
        <is>
          <t>VS01</t>
        </is>
      </c>
      <c r="C376" s="28" t="n">
        <v>0.0196</v>
      </c>
      <c r="D376" s="12" t="inlineStr">
        <is>
          <t>PO-2023-3978</t>
        </is>
      </c>
      <c r="E376" s="12" t="n">
        <v>2.52</v>
      </c>
      <c r="F376" s="17" t="n">
        <v>74622.86</v>
      </c>
      <c r="G376" s="14">
        <f>E376*F376</f>
        <v/>
      </c>
      <c r="H376" s="14">
        <f>C376*G376</f>
        <v/>
      </c>
    </row>
    <row r="377">
      <c r="A377" s="12" t="inlineStr">
        <is>
          <t>RET-0033</t>
        </is>
      </c>
      <c r="B377" s="12" t="inlineStr">
        <is>
          <t>VS02</t>
        </is>
      </c>
      <c r="C377" s="28" t="n">
        <v>0.0089</v>
      </c>
      <c r="D377" s="12" t="inlineStr">
        <is>
          <t>PO-2021-0284</t>
        </is>
      </c>
      <c r="E377" s="12" t="n">
        <v>2.52</v>
      </c>
      <c r="F377" s="17" t="n">
        <v>56357.34</v>
      </c>
      <c r="G377" s="14">
        <f>E377*F377</f>
        <v/>
      </c>
      <c r="H377" s="14">
        <f>C377*G377</f>
        <v/>
      </c>
    </row>
    <row r="378">
      <c r="A378" s="12" t="inlineStr">
        <is>
          <t>RET-0033</t>
        </is>
      </c>
      <c r="B378" s="12" t="inlineStr">
        <is>
          <t>VS03</t>
        </is>
      </c>
      <c r="C378" s="28" t="n">
        <v>0.1656</v>
      </c>
      <c r="D378" s="12" t="inlineStr">
        <is>
          <t>PO-2021-0547</t>
        </is>
      </c>
      <c r="E378" s="12" t="n">
        <v>2.52</v>
      </c>
      <c r="F378" s="17" t="n">
        <v>74909.25999999999</v>
      </c>
      <c r="G378" s="14">
        <f>E378*F378</f>
        <v/>
      </c>
      <c r="H378" s="14">
        <f>C378*G378</f>
        <v/>
      </c>
    </row>
    <row r="379">
      <c r="A379" s="12" t="inlineStr">
        <is>
          <t>RET-0033</t>
        </is>
      </c>
      <c r="B379" s="12" t="inlineStr">
        <is>
          <t>VS04</t>
        </is>
      </c>
      <c r="C379" s="28" t="n">
        <v>0.0123</v>
      </c>
      <c r="D379" s="12" t="inlineStr">
        <is>
          <t>PO-2021-1313</t>
        </is>
      </c>
      <c r="E379" s="12" t="n">
        <v>2.52</v>
      </c>
      <c r="F379" s="17" t="n">
        <v>90805.39999999999</v>
      </c>
      <c r="G379" s="14">
        <f>E379*F379</f>
        <v/>
      </c>
      <c r="H379" s="14">
        <f>C379*G379</f>
        <v/>
      </c>
    </row>
    <row r="380">
      <c r="A380" s="12" t="inlineStr">
        <is>
          <t>RET-0033</t>
        </is>
      </c>
      <c r="B380" s="12" t="inlineStr">
        <is>
          <t>VS05</t>
        </is>
      </c>
      <c r="C380" s="28" t="n">
        <v>0.0159</v>
      </c>
      <c r="D380" s="12" t="inlineStr">
        <is>
          <t>PO-2023-4489</t>
        </is>
      </c>
      <c r="E380" s="12" t="n">
        <v>2.52</v>
      </c>
      <c r="F380" s="17" t="n">
        <v>52257.17</v>
      </c>
      <c r="G380" s="14">
        <f>E380*F380</f>
        <v/>
      </c>
      <c r="H380" s="14">
        <f>C380*G380</f>
        <v/>
      </c>
    </row>
    <row r="381">
      <c r="A381" s="12" t="inlineStr">
        <is>
          <t>RET-0033</t>
        </is>
      </c>
      <c r="B381" s="12" t="inlineStr">
        <is>
          <t>VS06</t>
        </is>
      </c>
      <c r="C381" s="28" t="n">
        <v>0.0161</v>
      </c>
      <c r="D381" s="12" t="inlineStr">
        <is>
          <t>PO-2021-0608</t>
        </is>
      </c>
      <c r="E381" s="12" t="n">
        <v>2.52</v>
      </c>
      <c r="F381" s="17" t="n">
        <v>87977.62</v>
      </c>
      <c r="G381" s="14">
        <f>E381*F381</f>
        <v/>
      </c>
      <c r="H381" s="14">
        <f>C381*G381</f>
        <v/>
      </c>
    </row>
    <row r="382">
      <c r="A382" s="12" t="inlineStr">
        <is>
          <t>RET-0033</t>
        </is>
      </c>
      <c r="B382" s="12" t="inlineStr">
        <is>
          <t>VS07</t>
        </is>
      </c>
      <c r="C382" s="28" t="n">
        <v>0.0054</v>
      </c>
      <c r="D382" s="12" t="inlineStr">
        <is>
          <t>PO-2021-0481</t>
        </is>
      </c>
      <c r="E382" s="12" t="n">
        <v>2.52</v>
      </c>
      <c r="F382" s="17" t="n">
        <v>104535.73</v>
      </c>
      <c r="G382" s="14">
        <f>E382*F382</f>
        <v/>
      </c>
      <c r="H382" s="14">
        <f>C382*G382</f>
        <v/>
      </c>
    </row>
    <row r="383">
      <c r="A383" s="12" t="inlineStr">
        <is>
          <t>RET-0033</t>
        </is>
      </c>
      <c r="B383" s="12" t="inlineStr">
        <is>
          <t>VS08</t>
        </is>
      </c>
      <c r="C383" s="28" t="n">
        <v>0.0162</v>
      </c>
      <c r="D383" s="12" t="inlineStr">
        <is>
          <t>PO-2021-0108</t>
        </is>
      </c>
      <c r="E383" s="12" t="n">
        <v>2.52</v>
      </c>
      <c r="F383" s="17" t="n">
        <v>93578.23</v>
      </c>
      <c r="G383" s="14">
        <f>E383*F383</f>
        <v/>
      </c>
      <c r="H383" s="14">
        <f>C383*G383</f>
        <v/>
      </c>
    </row>
    <row r="384">
      <c r="A384" s="12" t="inlineStr">
        <is>
          <t>RET-0033</t>
        </is>
      </c>
      <c r="B384" s="12" t="inlineStr">
        <is>
          <t>VS09</t>
        </is>
      </c>
      <c r="C384" s="28" t="n">
        <v>0.0124</v>
      </c>
      <c r="D384" s="12" t="inlineStr">
        <is>
          <t>PO-2023-3683</t>
        </is>
      </c>
      <c r="E384" s="12" t="n">
        <v>2.52</v>
      </c>
      <c r="F384" s="17" t="n">
        <v>119347.99</v>
      </c>
      <c r="G384" s="14">
        <f>E384*F384</f>
        <v/>
      </c>
      <c r="H384" s="14">
        <f>C384*G384</f>
        <v/>
      </c>
    </row>
    <row r="385">
      <c r="A385" s="12" t="inlineStr">
        <is>
          <t>RET-0033</t>
        </is>
      </c>
      <c r="B385" s="12" t="inlineStr">
        <is>
          <t>VS10</t>
        </is>
      </c>
      <c r="C385" s="28" t="n">
        <v>0.0196</v>
      </c>
      <c r="D385" s="12" t="inlineStr">
        <is>
          <t>PO-2023-3577</t>
        </is>
      </c>
      <c r="E385" s="12" t="n">
        <v>2.52</v>
      </c>
      <c r="F385" s="17" t="n">
        <v>61407.23</v>
      </c>
      <c r="G385" s="14">
        <f>E385*F385</f>
        <v/>
      </c>
      <c r="H385" s="14">
        <f>C385*G385</f>
        <v/>
      </c>
    </row>
    <row r="386">
      <c r="A386" s="12" t="inlineStr">
        <is>
          <t>RET-0033</t>
        </is>
      </c>
      <c r="B386" s="12" t="inlineStr">
        <is>
          <t>VS11</t>
        </is>
      </c>
      <c r="C386" s="28" t="n">
        <v>0.0229</v>
      </c>
      <c r="D386" s="12" t="inlineStr">
        <is>
          <t>PO-2021-0514</t>
        </is>
      </c>
      <c r="E386" s="12" t="n">
        <v>2.52</v>
      </c>
      <c r="F386" s="17" t="n">
        <v>108432.19</v>
      </c>
      <c r="G386" s="14">
        <f>E386*F386</f>
        <v/>
      </c>
      <c r="H386" s="14">
        <f>C386*G386</f>
        <v/>
      </c>
    </row>
    <row r="387">
      <c r="A387" s="12" t="inlineStr">
        <is>
          <t>RET-0033</t>
        </is>
      </c>
      <c r="B387" s="12" t="inlineStr">
        <is>
          <t>VS12</t>
        </is>
      </c>
      <c r="C387" s="28" t="n">
        <v>0.2301</v>
      </c>
      <c r="D387" s="12" t="inlineStr">
        <is>
          <t>PO-2023-3259</t>
        </is>
      </c>
      <c r="E387" s="12" t="n">
        <v>2.52</v>
      </c>
      <c r="F387" s="17" t="n">
        <v>55372.98</v>
      </c>
      <c r="G387" s="14">
        <f>E387*F387</f>
        <v/>
      </c>
      <c r="H387" s="14">
        <f>C387*G387</f>
        <v/>
      </c>
    </row>
    <row r="388">
      <c r="A388" s="12" t="inlineStr">
        <is>
          <t>RET-0033</t>
        </is>
      </c>
      <c r="B388" s="12" t="inlineStr">
        <is>
          <t>VS13</t>
        </is>
      </c>
      <c r="C388" s="28" t="n">
        <v>0.0158</v>
      </c>
      <c r="D388" s="12" t="inlineStr">
        <is>
          <t>PO-2023-4284</t>
        </is>
      </c>
      <c r="E388" s="12" t="n">
        <v>2.52</v>
      </c>
      <c r="F388" s="17" t="n">
        <v>111062.32</v>
      </c>
      <c r="G388" s="14">
        <f>E388*F388</f>
        <v/>
      </c>
      <c r="H388" s="14">
        <f>C388*G388</f>
        <v/>
      </c>
    </row>
    <row r="389">
      <c r="A389" s="12" t="inlineStr">
        <is>
          <t>RET-0033</t>
        </is>
      </c>
      <c r="B389" s="12" t="inlineStr">
        <is>
          <t>VS14</t>
        </is>
      </c>
      <c r="C389" s="28" t="n">
        <v>0.0159</v>
      </c>
      <c r="D389" s="12" t="inlineStr">
        <is>
          <t>PO-2023-4776</t>
        </is>
      </c>
      <c r="E389" s="12" t="n">
        <v>2.52</v>
      </c>
      <c r="F389" s="17" t="n">
        <v>99170.78</v>
      </c>
      <c r="G389" s="14">
        <f>E389*F389</f>
        <v/>
      </c>
      <c r="H389" s="14">
        <f>C389*G389</f>
        <v/>
      </c>
    </row>
    <row r="390">
      <c r="A390" s="12" t="inlineStr">
        <is>
          <t>RET-0033</t>
        </is>
      </c>
      <c r="B390" s="12" t="inlineStr">
        <is>
          <t>VS15</t>
        </is>
      </c>
      <c r="C390" s="28" t="n">
        <v>0.0053</v>
      </c>
      <c r="D390" s="12" t="inlineStr">
        <is>
          <t>PO-2023-3202</t>
        </is>
      </c>
      <c r="E390" s="12" t="n">
        <v>2.52</v>
      </c>
      <c r="F390" s="17" t="n">
        <v>54904.27</v>
      </c>
      <c r="G390" s="14">
        <f>E390*F390</f>
        <v/>
      </c>
      <c r="H390" s="14">
        <f>C390*G390</f>
        <v/>
      </c>
    </row>
    <row r="391">
      <c r="A391" s="12" t="inlineStr">
        <is>
          <t>RET-0033</t>
        </is>
      </c>
      <c r="B391" s="12" t="inlineStr">
        <is>
          <t>VS16</t>
        </is>
      </c>
      <c r="C391" s="28" t="n">
        <v>0.023</v>
      </c>
      <c r="D391" s="12" t="inlineStr">
        <is>
          <t>PO-2022-2530</t>
        </is>
      </c>
      <c r="E391" s="12" t="n">
        <v>2.52</v>
      </c>
      <c r="F391" s="17" t="n">
        <v>114453.87</v>
      </c>
      <c r="G391" s="14">
        <f>E391*F391</f>
        <v/>
      </c>
      <c r="H391" s="14">
        <f>C391*G391</f>
        <v/>
      </c>
    </row>
    <row r="392">
      <c r="A392" s="12" t="inlineStr">
        <is>
          <t>RET-0033</t>
        </is>
      </c>
      <c r="B392" s="12" t="inlineStr">
        <is>
          <t>VS17</t>
        </is>
      </c>
      <c r="C392" s="28" t="n">
        <v>0.0229</v>
      </c>
      <c r="D392" s="12" t="inlineStr">
        <is>
          <t>PO-2021-1425</t>
        </is>
      </c>
      <c r="E392" s="12" t="n">
        <v>2.52</v>
      </c>
      <c r="F392" s="17" t="n">
        <v>56052.55</v>
      </c>
      <c r="G392" s="14">
        <f>E392*F392</f>
        <v/>
      </c>
      <c r="H392" s="14">
        <f>C392*G392</f>
        <v/>
      </c>
    </row>
    <row r="393">
      <c r="A393" s="12" t="inlineStr">
        <is>
          <t>RET-0033</t>
        </is>
      </c>
      <c r="B393" s="12" t="inlineStr">
        <is>
          <t>VS18</t>
        </is>
      </c>
      <c r="C393" s="28" t="n">
        <v>0.0159</v>
      </c>
      <c r="D393" s="12" t="inlineStr">
        <is>
          <t>PO-2022-2357</t>
        </is>
      </c>
      <c r="E393" s="12" t="n">
        <v>2.52</v>
      </c>
      <c r="F393" s="17" t="n">
        <v>97972.25</v>
      </c>
      <c r="G393" s="14">
        <f>E393*F393</f>
        <v/>
      </c>
      <c r="H393" s="14">
        <f>C393*G393</f>
        <v/>
      </c>
    </row>
    <row r="394">
      <c r="A394" s="12" t="inlineStr">
        <is>
          <t>RET-0033</t>
        </is>
      </c>
      <c r="B394" s="12" t="inlineStr">
        <is>
          <t>VS19</t>
        </is>
      </c>
      <c r="C394" s="28" t="n">
        <v>0.1736</v>
      </c>
      <c r="D394" s="12" t="inlineStr">
        <is>
          <t>PO-2023-4126</t>
        </is>
      </c>
      <c r="E394" s="12" t="n">
        <v>2.52</v>
      </c>
      <c r="F394" s="17" t="n">
        <v>120819.83</v>
      </c>
      <c r="G394" s="14">
        <f>E394*F394</f>
        <v/>
      </c>
      <c r="H394" s="14">
        <f>C394*G394</f>
        <v/>
      </c>
    </row>
    <row r="395">
      <c r="A395" s="12" t="inlineStr">
        <is>
          <t>RET-0033</t>
        </is>
      </c>
      <c r="B395" s="12" t="inlineStr">
        <is>
          <t>VS20</t>
        </is>
      </c>
      <c r="C395" s="28" t="n">
        <v>0.0089</v>
      </c>
      <c r="D395" s="12" t="inlineStr">
        <is>
          <t>PO-2021-1335</t>
        </is>
      </c>
      <c r="E395" s="12" t="n">
        <v>2.52</v>
      </c>
      <c r="F395" s="17" t="n">
        <v>105711.58</v>
      </c>
      <c r="G395" s="14">
        <f>E395*F395</f>
        <v/>
      </c>
      <c r="H395" s="14">
        <f>C395*G395</f>
        <v/>
      </c>
    </row>
    <row r="396">
      <c r="A396" s="12" t="inlineStr">
        <is>
          <t>RET-0033</t>
        </is>
      </c>
      <c r="B396" s="12" t="inlineStr">
        <is>
          <t>VS21</t>
        </is>
      </c>
      <c r="C396" s="28" t="n">
        <v>0.0089</v>
      </c>
      <c r="D396" s="12" t="inlineStr">
        <is>
          <t>PO-2023-3223</t>
        </is>
      </c>
      <c r="E396" s="12" t="n">
        <v>2.52</v>
      </c>
      <c r="F396" s="17" t="n">
        <v>54826.81</v>
      </c>
      <c r="G396" s="14">
        <f>E396*F396</f>
        <v/>
      </c>
      <c r="H396" s="14">
        <f>C396*G396</f>
        <v/>
      </c>
    </row>
    <row r="397">
      <c r="A397" s="12" t="inlineStr">
        <is>
          <t>RET-0033</t>
        </is>
      </c>
      <c r="B397" s="12" t="inlineStr">
        <is>
          <t>VS22</t>
        </is>
      </c>
      <c r="C397" s="28" t="n">
        <v>0.0053</v>
      </c>
      <c r="D397" s="12" t="inlineStr">
        <is>
          <t>PO-2022-2267</t>
        </is>
      </c>
      <c r="E397" s="12" t="n">
        <v>2.194</v>
      </c>
      <c r="F397" s="17" t="n">
        <v>78039.78999999999</v>
      </c>
      <c r="G397" s="14">
        <f>E397*F397</f>
        <v/>
      </c>
      <c r="H397" s="14">
        <f>C397*G397</f>
        <v/>
      </c>
    </row>
    <row r="398">
      <c r="A398" s="12" t="inlineStr">
        <is>
          <t>RET-0033</t>
        </is>
      </c>
      <c r="B398" s="12" t="inlineStr">
        <is>
          <t>VS23</t>
        </is>
      </c>
      <c r="C398" s="28" t="n">
        <v>0.008699999999999999</v>
      </c>
      <c r="D398" s="12" t="inlineStr">
        <is>
          <t>PO-2022-2265</t>
        </is>
      </c>
      <c r="E398" s="12" t="n">
        <v>2.52</v>
      </c>
      <c r="F398" s="17" t="n">
        <v>93310.14</v>
      </c>
      <c r="G398" s="14">
        <f>E398*F398</f>
        <v/>
      </c>
      <c r="H398" s="14">
        <f>C398*G398</f>
        <v/>
      </c>
    </row>
    <row r="399">
      <c r="A399" s="12" t="inlineStr">
        <is>
          <t>RET-0033</t>
        </is>
      </c>
      <c r="B399" s="12" t="inlineStr">
        <is>
          <t>VS24</t>
        </is>
      </c>
      <c r="C399" s="28" t="n">
        <v>0.008800000000000001</v>
      </c>
      <c r="D399" s="12" t="inlineStr">
        <is>
          <t>PO-2021-1249</t>
        </is>
      </c>
      <c r="E399" s="12" t="n">
        <v>2.52</v>
      </c>
      <c r="F399" s="17" t="n">
        <v>98373.03</v>
      </c>
      <c r="G399" s="14">
        <f>E399*F399</f>
        <v/>
      </c>
      <c r="H399" s="14">
        <f>C399*G399</f>
        <v/>
      </c>
    </row>
    <row r="400">
      <c r="A400" s="12" t="inlineStr">
        <is>
          <t>RET-0033</t>
        </is>
      </c>
      <c r="B400" s="12" t="inlineStr">
        <is>
          <t>VS25</t>
        </is>
      </c>
      <c r="C400" s="28" t="n">
        <v>0.016</v>
      </c>
      <c r="D400" s="12" t="inlineStr">
        <is>
          <t>PO-2022-1635</t>
        </is>
      </c>
      <c r="E400" s="12" t="n">
        <v>2.52</v>
      </c>
      <c r="F400" s="17" t="n">
        <v>71170.35000000001</v>
      </c>
      <c r="G400" s="14">
        <f>E400*F400</f>
        <v/>
      </c>
      <c r="H400" s="14">
        <f>C400*G400</f>
        <v/>
      </c>
    </row>
    <row r="401">
      <c r="A401" s="12" t="inlineStr">
        <is>
          <t>RET-0033</t>
        </is>
      </c>
      <c r="B401" s="12" t="inlineStr">
        <is>
          <t>VS26</t>
        </is>
      </c>
      <c r="C401" s="28" t="n">
        <v>0.0089</v>
      </c>
      <c r="D401" s="12" t="inlineStr">
        <is>
          <t>PO-2021-1239</t>
        </is>
      </c>
      <c r="E401" s="12" t="n">
        <v>2.52</v>
      </c>
      <c r="F401" s="17" t="n">
        <v>111568.48</v>
      </c>
      <c r="G401" s="14">
        <f>E401*F401</f>
        <v/>
      </c>
      <c r="H401" s="14">
        <f>C401*G401</f>
        <v/>
      </c>
    </row>
    <row r="402">
      <c r="A402" s="12" t="inlineStr">
        <is>
          <t>RET-0033</t>
        </is>
      </c>
      <c r="B402" s="12" t="inlineStr">
        <is>
          <t>VS27</t>
        </is>
      </c>
      <c r="C402" s="28" t="n">
        <v>0.008699999999999999</v>
      </c>
      <c r="D402" s="12" t="inlineStr">
        <is>
          <t>PO-2021-0438</t>
        </is>
      </c>
      <c r="E402" s="12" t="n">
        <v>2.52</v>
      </c>
      <c r="F402" s="17" t="n">
        <v>51501.6</v>
      </c>
      <c r="G402" s="14">
        <f>E402*F402</f>
        <v/>
      </c>
      <c r="H402" s="14">
        <f>C402*G402</f>
        <v/>
      </c>
    </row>
    <row r="403">
      <c r="A403" s="12" t="inlineStr">
        <is>
          <t>RET-0033</t>
        </is>
      </c>
      <c r="B403" s="12" t="inlineStr">
        <is>
          <t>VS28</t>
        </is>
      </c>
      <c r="C403" s="28" t="n">
        <v>0.0196</v>
      </c>
      <c r="D403" s="12" t="inlineStr">
        <is>
          <t>PO-2022-2840</t>
        </is>
      </c>
      <c r="E403" s="12" t="n">
        <v>2.52</v>
      </c>
      <c r="F403" s="17" t="n">
        <v>104162.07</v>
      </c>
      <c r="G403" s="14">
        <f>E403*F403</f>
        <v/>
      </c>
      <c r="H403" s="14">
        <f>C403*G403</f>
        <v/>
      </c>
    </row>
    <row r="404">
      <c r="A404" s="12" t="inlineStr">
        <is>
          <t>RET-0033</t>
        </is>
      </c>
      <c r="B404" s="12" t="inlineStr">
        <is>
          <t>VS29</t>
        </is>
      </c>
      <c r="C404" s="28" t="n">
        <v>0.0124</v>
      </c>
      <c r="D404" s="12" t="inlineStr">
        <is>
          <t>PO-2022-1840</t>
        </is>
      </c>
      <c r="E404" s="12" t="n">
        <v>1.78</v>
      </c>
      <c r="F404" s="17" t="n">
        <v>45665.3</v>
      </c>
      <c r="G404" s="14">
        <f>E404*F404</f>
        <v/>
      </c>
      <c r="H404" s="14">
        <f>C404*G404</f>
        <v/>
      </c>
    </row>
    <row r="405">
      <c r="A405" s="12" t="inlineStr">
        <is>
          <t>RET-0033</t>
        </is>
      </c>
      <c r="B405" s="12" t="inlineStr">
        <is>
          <t>VS30</t>
        </is>
      </c>
      <c r="C405" s="28" t="n">
        <v>0.0053</v>
      </c>
      <c r="D405" s="12" t="inlineStr">
        <is>
          <t>PO-2021-1018</t>
        </is>
      </c>
      <c r="E405" s="12" t="n">
        <v>2.52</v>
      </c>
      <c r="F405" s="17" t="n">
        <v>110564.93</v>
      </c>
      <c r="G405" s="14">
        <f>E405*F405</f>
        <v/>
      </c>
      <c r="H405" s="14">
        <f>C405*G405</f>
        <v/>
      </c>
    </row>
    <row r="406">
      <c r="A406" s="12" t="inlineStr">
        <is>
          <t>RET-0033</t>
        </is>
      </c>
      <c r="B406" s="12" t="inlineStr">
        <is>
          <t>VS31</t>
        </is>
      </c>
      <c r="C406" s="28" t="n">
        <v>0.0195</v>
      </c>
      <c r="D406" s="12" t="inlineStr">
        <is>
          <t>PO-2021-1203</t>
        </is>
      </c>
      <c r="E406" s="12" t="n">
        <v>2.52</v>
      </c>
      <c r="F406" s="17" t="n">
        <v>110158.54</v>
      </c>
      <c r="G406" s="14">
        <f>E406*F406</f>
        <v/>
      </c>
      <c r="H406" s="14">
        <f>C406*G406</f>
        <v/>
      </c>
    </row>
    <row r="407">
      <c r="A407" s="12" t="inlineStr">
        <is>
          <t>RET-0033</t>
        </is>
      </c>
      <c r="B407" s="12" t="inlineStr">
        <is>
          <t>VS32</t>
        </is>
      </c>
      <c r="C407" s="28" t="n">
        <v>0.0232</v>
      </c>
      <c r="D407" s="12" t="inlineStr">
        <is>
          <t>PO-2023-4067</t>
        </is>
      </c>
      <c r="E407" s="12" t="n">
        <v>2.52</v>
      </c>
      <c r="F407" s="17" t="n">
        <v>100195.8</v>
      </c>
      <c r="G407" s="14">
        <f>E407*F407</f>
        <v/>
      </c>
      <c r="H407" s="14">
        <f>C407*G407</f>
        <v/>
      </c>
    </row>
    <row r="408">
      <c r="A408" s="12" t="inlineStr">
        <is>
          <t>RET-0033</t>
        </is>
      </c>
      <c r="B408" s="12" t="inlineStr">
        <is>
          <t>VS33</t>
        </is>
      </c>
      <c r="C408" s="28" t="n">
        <v>0.0124</v>
      </c>
      <c r="D408" s="12" t="inlineStr">
        <is>
          <t>PO-2022-2422</t>
        </is>
      </c>
      <c r="E408" s="12" t="n">
        <v>2.52</v>
      </c>
      <c r="F408" s="17" t="n">
        <v>58592.5</v>
      </c>
      <c r="G408" s="14">
        <f>E408*F408</f>
        <v/>
      </c>
      <c r="H408" s="14">
        <f>C408*G408</f>
        <v/>
      </c>
    </row>
    <row r="409">
      <c r="A409" s="12" t="inlineStr">
        <is>
          <t>RET-0033</t>
        </is>
      </c>
      <c r="B409" s="12" t="inlineStr">
        <is>
          <t>VS34</t>
        </is>
      </c>
      <c r="C409" s="28" t="n">
        <v>0.016</v>
      </c>
      <c r="D409" s="12" t="inlineStr">
        <is>
          <t>PO-2022-2019</t>
        </is>
      </c>
      <c r="E409" s="12" t="n">
        <v>2.52</v>
      </c>
      <c r="F409" s="17" t="n">
        <v>69494.14</v>
      </c>
      <c r="G409" s="14">
        <f>E409*F409</f>
        <v/>
      </c>
      <c r="H409" s="14">
        <f>C409*G409</f>
        <v/>
      </c>
    </row>
    <row r="410">
      <c r="A410" s="12" t="inlineStr">
        <is>
          <t>RET-0041</t>
        </is>
      </c>
      <c r="B410" s="12" t="inlineStr">
        <is>
          <t>VS01</t>
        </is>
      </c>
      <c r="C410" s="28" t="n">
        <v>0.0173</v>
      </c>
      <c r="D410" s="12" t="inlineStr">
        <is>
          <t>PO-2021-0351</t>
        </is>
      </c>
      <c r="E410" s="12" t="n">
        <v>1.87</v>
      </c>
      <c r="F410" s="17" t="n">
        <v>92302.62</v>
      </c>
      <c r="G410" s="14">
        <f>E410*F410</f>
        <v/>
      </c>
      <c r="H410" s="14">
        <f>C410*G410</f>
        <v/>
      </c>
    </row>
    <row r="411">
      <c r="A411" s="12" t="inlineStr">
        <is>
          <t>RET-0041</t>
        </is>
      </c>
      <c r="B411" s="12" t="inlineStr">
        <is>
          <t>VS02</t>
        </is>
      </c>
      <c r="C411" s="28" t="n">
        <v>0.007900000000000001</v>
      </c>
      <c r="D411" s="12" t="inlineStr">
        <is>
          <t>PO-2021-1278</t>
        </is>
      </c>
      <c r="E411" s="12" t="n">
        <v>1.87</v>
      </c>
      <c r="F411" s="17" t="n">
        <v>113530.13</v>
      </c>
      <c r="G411" s="14">
        <f>E411*F411</f>
        <v/>
      </c>
      <c r="H411" s="14">
        <f>C411*G411</f>
        <v/>
      </c>
    </row>
    <row r="412">
      <c r="A412" s="12" t="inlineStr">
        <is>
          <t>RET-0041</t>
        </is>
      </c>
      <c r="B412" s="12" t="inlineStr">
        <is>
          <t>VS03</t>
        </is>
      </c>
      <c r="C412" s="28" t="n">
        <v>0.18</v>
      </c>
      <c r="D412" s="12" t="inlineStr">
        <is>
          <t>PO-2023-4021</t>
        </is>
      </c>
      <c r="E412" s="12" t="n">
        <v>1.87</v>
      </c>
      <c r="F412" s="17" t="n">
        <v>68073.14999999999</v>
      </c>
      <c r="G412" s="14">
        <f>E412*F412</f>
        <v/>
      </c>
      <c r="H412" s="14">
        <f>C412*G412</f>
        <v/>
      </c>
    </row>
    <row r="413">
      <c r="A413" s="12" t="inlineStr">
        <is>
          <t>RET-0041</t>
        </is>
      </c>
      <c r="B413" s="12" t="inlineStr">
        <is>
          <t>VS04</t>
        </is>
      </c>
      <c r="C413" s="28" t="n">
        <v>0.0109</v>
      </c>
      <c r="D413" s="12" t="inlineStr">
        <is>
          <t>PO-2022-2169</t>
        </is>
      </c>
      <c r="E413" s="12" t="n">
        <v>1.87</v>
      </c>
      <c r="F413" s="17" t="n">
        <v>81069.91</v>
      </c>
      <c r="G413" s="14">
        <f>E413*F413</f>
        <v/>
      </c>
      <c r="H413" s="14">
        <f>C413*G413</f>
        <v/>
      </c>
    </row>
    <row r="414">
      <c r="A414" s="12" t="inlineStr">
        <is>
          <t>RET-0041</t>
        </is>
      </c>
      <c r="B414" s="12" t="inlineStr">
        <is>
          <t>VS05</t>
        </is>
      </c>
      <c r="C414" s="28" t="n">
        <v>0.0141</v>
      </c>
      <c r="D414" s="12" t="inlineStr">
        <is>
          <t>PO-2023-3942</t>
        </is>
      </c>
      <c r="E414" s="12" t="n">
        <v>1.87</v>
      </c>
      <c r="F414" s="17" t="n">
        <v>62096.49</v>
      </c>
      <c r="G414" s="14">
        <f>E414*F414</f>
        <v/>
      </c>
      <c r="H414" s="14">
        <f>C414*G414</f>
        <v/>
      </c>
    </row>
    <row r="415">
      <c r="A415" s="12" t="inlineStr">
        <is>
          <t>RET-0041</t>
        </is>
      </c>
      <c r="B415" s="12" t="inlineStr">
        <is>
          <t>VS06</t>
        </is>
      </c>
      <c r="C415" s="28" t="n">
        <v>0.0142</v>
      </c>
      <c r="D415" s="12" t="inlineStr">
        <is>
          <t>PO-2021-0008</t>
        </is>
      </c>
      <c r="E415" s="12" t="n">
        <v>1.87</v>
      </c>
      <c r="F415" s="17" t="n">
        <v>87392.02</v>
      </c>
      <c r="G415" s="14">
        <f>E415*F415</f>
        <v/>
      </c>
      <c r="H415" s="14">
        <f>C415*G415</f>
        <v/>
      </c>
    </row>
    <row r="416">
      <c r="A416" s="12" t="inlineStr">
        <is>
          <t>RET-0041</t>
        </is>
      </c>
      <c r="B416" s="12" t="inlineStr">
        <is>
          <t>VS07</t>
        </is>
      </c>
      <c r="C416" s="28" t="n">
        <v>0.0048</v>
      </c>
      <c r="D416" s="12" t="inlineStr">
        <is>
          <t>PO-2023-3980</t>
        </is>
      </c>
      <c r="E416" s="12" t="n">
        <v>1.87</v>
      </c>
      <c r="F416" s="17" t="n">
        <v>112565.13</v>
      </c>
      <c r="G416" s="14">
        <f>E416*F416</f>
        <v/>
      </c>
      <c r="H416" s="14">
        <f>C416*G416</f>
        <v/>
      </c>
    </row>
    <row r="417">
      <c r="A417" s="12" t="inlineStr">
        <is>
          <t>RET-0041</t>
        </is>
      </c>
      <c r="B417" s="12" t="inlineStr">
        <is>
          <t>VS08</t>
        </is>
      </c>
      <c r="C417" s="28" t="n">
        <v>0.0143</v>
      </c>
      <c r="D417" s="12" t="inlineStr">
        <is>
          <t>PO-2021-1072</t>
        </is>
      </c>
      <c r="E417" s="12" t="n">
        <v>1.87</v>
      </c>
      <c r="F417" s="17" t="n">
        <v>50730.02</v>
      </c>
      <c r="G417" s="14">
        <f>E417*F417</f>
        <v/>
      </c>
      <c r="H417" s="14">
        <f>C417*G417</f>
        <v/>
      </c>
    </row>
    <row r="418">
      <c r="A418" s="12" t="inlineStr">
        <is>
          <t>RET-0041</t>
        </is>
      </c>
      <c r="B418" s="12" t="inlineStr">
        <is>
          <t>VS09</t>
        </is>
      </c>
      <c r="C418" s="28" t="n">
        <v>0.011</v>
      </c>
      <c r="D418" s="12" t="inlineStr">
        <is>
          <t>PO-2023-3686</t>
        </is>
      </c>
      <c r="E418" s="12" t="n">
        <v>1.87</v>
      </c>
      <c r="F418" s="17" t="n">
        <v>78942.19</v>
      </c>
      <c r="G418" s="14">
        <f>E418*F418</f>
        <v/>
      </c>
      <c r="H418" s="14">
        <f>C418*G418</f>
        <v/>
      </c>
    </row>
    <row r="419">
      <c r="A419" s="12" t="inlineStr">
        <is>
          <t>RET-0041</t>
        </is>
      </c>
      <c r="B419" s="12" t="inlineStr">
        <is>
          <t>VS10</t>
        </is>
      </c>
      <c r="C419" s="28" t="n">
        <v>0.0173</v>
      </c>
      <c r="D419" s="12" t="inlineStr">
        <is>
          <t>PO-2022-2650</t>
        </is>
      </c>
      <c r="E419" s="12" t="n">
        <v>1.87</v>
      </c>
      <c r="F419" s="17" t="n">
        <v>62194.28</v>
      </c>
      <c r="G419" s="14">
        <f>E419*F419</f>
        <v/>
      </c>
      <c r="H419" s="14">
        <f>C419*G419</f>
        <v/>
      </c>
    </row>
    <row r="420">
      <c r="A420" s="12" t="inlineStr">
        <is>
          <t>RET-0041</t>
        </is>
      </c>
      <c r="B420" s="12" t="inlineStr">
        <is>
          <t>VS11</t>
        </is>
      </c>
      <c r="C420" s="28" t="n">
        <v>0.0203</v>
      </c>
      <c r="D420" s="12" t="inlineStr">
        <is>
          <t>PO-2022-1668</t>
        </is>
      </c>
      <c r="E420" s="12" t="n">
        <v>1.87</v>
      </c>
      <c r="F420" s="17" t="n">
        <v>98251.86</v>
      </c>
      <c r="G420" s="14">
        <f>E420*F420</f>
        <v/>
      </c>
      <c r="H420" s="14">
        <f>C420*G420</f>
        <v/>
      </c>
    </row>
    <row r="421">
      <c r="A421" s="12" t="inlineStr">
        <is>
          <t>RET-0041</t>
        </is>
      </c>
      <c r="B421" s="12" t="inlineStr">
        <is>
          <t>VS12</t>
        </is>
      </c>
      <c r="C421" s="28" t="n">
        <v>0.2501</v>
      </c>
      <c r="D421" s="12" t="inlineStr">
        <is>
          <t>PO-2022-2649</t>
        </is>
      </c>
      <c r="E421" s="12" t="n">
        <v>1.771</v>
      </c>
      <c r="F421" s="17" t="n">
        <v>106424.57</v>
      </c>
      <c r="G421" s="14">
        <f>E421*F421</f>
        <v/>
      </c>
      <c r="H421" s="14">
        <f>C421*G421</f>
        <v/>
      </c>
    </row>
    <row r="422">
      <c r="A422" s="12" t="inlineStr">
        <is>
          <t>RET-0041</t>
        </is>
      </c>
      <c r="B422" s="12" t="inlineStr">
        <is>
          <t>VS13</t>
        </is>
      </c>
      <c r="C422" s="28" t="n">
        <v>0.014</v>
      </c>
      <c r="D422" s="12" t="inlineStr">
        <is>
          <t>PO-2022-2521</t>
        </is>
      </c>
      <c r="E422" s="12" t="n">
        <v>1.87</v>
      </c>
      <c r="F422" s="17" t="n">
        <v>76319.17999999999</v>
      </c>
      <c r="G422" s="14">
        <f>E422*F422</f>
        <v/>
      </c>
      <c r="H422" s="14">
        <f>C422*G422</f>
        <v/>
      </c>
    </row>
    <row r="423">
      <c r="A423" s="12" t="inlineStr">
        <is>
          <t>RET-0041</t>
        </is>
      </c>
      <c r="B423" s="12" t="inlineStr">
        <is>
          <t>VS14</t>
        </is>
      </c>
      <c r="C423" s="28" t="n">
        <v>0.0141</v>
      </c>
      <c r="D423" s="12" t="inlineStr">
        <is>
          <t>PO-2023-3929</t>
        </is>
      </c>
      <c r="E423" s="12" t="n">
        <v>1.87</v>
      </c>
      <c r="F423" s="17" t="n">
        <v>111388.1</v>
      </c>
      <c r="G423" s="14">
        <f>E423*F423</f>
        <v/>
      </c>
      <c r="H423" s="14">
        <f>C423*G423</f>
        <v/>
      </c>
    </row>
    <row r="424">
      <c r="A424" s="12" t="inlineStr">
        <is>
          <t>RET-0041</t>
        </is>
      </c>
      <c r="B424" s="12" t="inlineStr">
        <is>
          <t>VS15</t>
        </is>
      </c>
      <c r="C424" s="28" t="n">
        <v>0.0047</v>
      </c>
      <c r="D424" s="12" t="inlineStr">
        <is>
          <t>PO-2021-1306</t>
        </is>
      </c>
      <c r="E424" s="12" t="n">
        <v>1.87</v>
      </c>
      <c r="F424" s="17" t="n">
        <v>113774.64</v>
      </c>
      <c r="G424" s="14">
        <f>E424*F424</f>
        <v/>
      </c>
      <c r="H424" s="14">
        <f>C424*G424</f>
        <v/>
      </c>
    </row>
    <row r="425">
      <c r="A425" s="12" t="inlineStr">
        <is>
          <t>RET-0041</t>
        </is>
      </c>
      <c r="B425" s="12" t="inlineStr">
        <is>
          <t>VS16</t>
        </is>
      </c>
      <c r="C425" s="28" t="n">
        <v>0.0203</v>
      </c>
      <c r="D425" s="12" t="inlineStr">
        <is>
          <t>PO-2022-2262</t>
        </is>
      </c>
      <c r="E425" s="12" t="n">
        <v>1.87</v>
      </c>
      <c r="F425" s="17" t="n">
        <v>77858.14</v>
      </c>
      <c r="G425" s="14">
        <f>E425*F425</f>
        <v/>
      </c>
      <c r="H425" s="14">
        <f>C425*G425</f>
        <v/>
      </c>
    </row>
    <row r="426">
      <c r="A426" s="12" t="inlineStr">
        <is>
          <t>RET-0041</t>
        </is>
      </c>
      <c r="B426" s="12" t="inlineStr">
        <is>
          <t>VS17</t>
        </is>
      </c>
      <c r="C426" s="28" t="n">
        <v>0.0203</v>
      </c>
      <c r="D426" s="12" t="inlineStr">
        <is>
          <t>PO-2023-4706</t>
        </is>
      </c>
      <c r="E426" s="12" t="n">
        <v>1.87</v>
      </c>
      <c r="F426" s="17" t="n">
        <v>48698.6</v>
      </c>
      <c r="G426" s="14">
        <f>E426*F426</f>
        <v/>
      </c>
      <c r="H426" s="14">
        <f>C426*G426</f>
        <v/>
      </c>
    </row>
    <row r="427">
      <c r="A427" s="12" t="inlineStr">
        <is>
          <t>RET-0041</t>
        </is>
      </c>
      <c r="B427" s="12" t="inlineStr">
        <is>
          <t>VS18</t>
        </is>
      </c>
      <c r="C427" s="28" t="n">
        <v>0.0141</v>
      </c>
      <c r="D427" s="12" t="inlineStr">
        <is>
          <t>PO-2021-1214</t>
        </is>
      </c>
      <c r="E427" s="12" t="n">
        <v>1.87</v>
      </c>
      <c r="F427" s="17" t="n">
        <v>53770.56</v>
      </c>
      <c r="G427" s="14">
        <f>E427*F427</f>
        <v/>
      </c>
      <c r="H427" s="14">
        <f>C427*G427</f>
        <v/>
      </c>
    </row>
    <row r="428">
      <c r="A428" s="12" t="inlineStr">
        <is>
          <t>RET-0041</t>
        </is>
      </c>
      <c r="B428" s="12" t="inlineStr">
        <is>
          <t>VS19</t>
        </is>
      </c>
      <c r="C428" s="28" t="n">
        <v>0.1887</v>
      </c>
      <c r="D428" s="12" t="inlineStr">
        <is>
          <t>PO-2022-1659</t>
        </is>
      </c>
      <c r="E428" s="12" t="n">
        <v>1.87</v>
      </c>
      <c r="F428" s="17" t="n">
        <v>107396.66</v>
      </c>
      <c r="G428" s="14">
        <f>E428*F428</f>
        <v/>
      </c>
      <c r="H428" s="14">
        <f>C428*G428</f>
        <v/>
      </c>
    </row>
    <row r="429">
      <c r="A429" s="12" t="inlineStr">
        <is>
          <t>RET-0041</t>
        </is>
      </c>
      <c r="B429" s="12" t="inlineStr">
        <is>
          <t>VS20</t>
        </is>
      </c>
      <c r="C429" s="28" t="n">
        <v>0.007900000000000001</v>
      </c>
      <c r="D429" s="12" t="inlineStr">
        <is>
          <t>PO-2021-0451</t>
        </is>
      </c>
      <c r="E429" s="12" t="n">
        <v>1.87</v>
      </c>
      <c r="F429" s="17" t="n">
        <v>108485.11</v>
      </c>
      <c r="G429" s="14">
        <f>E429*F429</f>
        <v/>
      </c>
      <c r="H429" s="14">
        <f>C429*G429</f>
        <v/>
      </c>
    </row>
    <row r="430">
      <c r="A430" s="12" t="inlineStr">
        <is>
          <t>RET-0041</t>
        </is>
      </c>
      <c r="B430" s="12" t="inlineStr">
        <is>
          <t>VS21</t>
        </is>
      </c>
      <c r="C430" s="28" t="n">
        <v>0.007900000000000001</v>
      </c>
      <c r="D430" s="12" t="inlineStr">
        <is>
          <t>PO-2021-1302</t>
        </is>
      </c>
      <c r="E430" s="12" t="n">
        <v>1.87</v>
      </c>
      <c r="F430" s="17" t="n">
        <v>75515.69</v>
      </c>
      <c r="G430" s="14">
        <f>E430*F430</f>
        <v/>
      </c>
      <c r="H430" s="14">
        <f>C430*G430</f>
        <v/>
      </c>
    </row>
    <row r="431">
      <c r="A431" s="12" t="inlineStr">
        <is>
          <t>RET-0041</t>
        </is>
      </c>
      <c r="B431" s="12" t="inlineStr">
        <is>
          <t>VS22</t>
        </is>
      </c>
      <c r="C431" s="28" t="n">
        <v>0.0047</v>
      </c>
      <c r="D431" s="12" t="inlineStr">
        <is>
          <t>PO-2021-1034</t>
        </is>
      </c>
      <c r="E431" s="12" t="n">
        <v>1.87</v>
      </c>
      <c r="F431" s="17" t="n">
        <v>94182.03999999999</v>
      </c>
      <c r="G431" s="14">
        <f>E431*F431</f>
        <v/>
      </c>
      <c r="H431" s="14">
        <f>C431*G431</f>
        <v/>
      </c>
    </row>
    <row r="432">
      <c r="A432" s="12" t="inlineStr">
        <is>
          <t>RET-0041</t>
        </is>
      </c>
      <c r="B432" s="12" t="inlineStr">
        <is>
          <t>VS23</t>
        </is>
      </c>
      <c r="C432" s="28" t="n">
        <v>0.0077</v>
      </c>
      <c r="D432" s="12" t="inlineStr">
        <is>
          <t>PO-2023-4179</t>
        </is>
      </c>
      <c r="E432" s="12" t="n">
        <v>1.87</v>
      </c>
      <c r="F432" s="17" t="n">
        <v>66174.49000000001</v>
      </c>
      <c r="G432" s="14">
        <f>E432*F432</f>
        <v/>
      </c>
      <c r="H432" s="14">
        <f>C432*G432</f>
        <v/>
      </c>
    </row>
    <row r="433">
      <c r="A433" s="12" t="inlineStr">
        <is>
          <t>RET-0041</t>
        </is>
      </c>
      <c r="B433" s="12" t="inlineStr">
        <is>
          <t>VS24</t>
        </is>
      </c>
      <c r="C433" s="28" t="n">
        <v>0.0078</v>
      </c>
      <c r="D433" s="12" t="inlineStr">
        <is>
          <t>PO-2023-3738</t>
        </is>
      </c>
      <c r="E433" s="12" t="n">
        <v>1.87</v>
      </c>
      <c r="F433" s="17" t="n">
        <v>50006.5</v>
      </c>
      <c r="G433" s="14">
        <f>E433*F433</f>
        <v/>
      </c>
      <c r="H433" s="14">
        <f>C433*G433</f>
        <v/>
      </c>
    </row>
    <row r="434">
      <c r="A434" s="12" t="inlineStr">
        <is>
          <t>RET-0041</t>
        </is>
      </c>
      <c r="B434" s="12" t="inlineStr">
        <is>
          <t>VS25</t>
        </is>
      </c>
      <c r="C434" s="28" t="n">
        <v>0.0142</v>
      </c>
      <c r="D434" s="12" t="inlineStr">
        <is>
          <t>PO-2023-4555</t>
        </is>
      </c>
      <c r="E434" s="12" t="n">
        <v>1.87</v>
      </c>
      <c r="F434" s="17" t="n">
        <v>64080.14</v>
      </c>
      <c r="G434" s="14">
        <f>E434*F434</f>
        <v/>
      </c>
      <c r="H434" s="14">
        <f>C434*G434</f>
        <v/>
      </c>
    </row>
    <row r="435">
      <c r="A435" s="12" t="inlineStr">
        <is>
          <t>RET-0041</t>
        </is>
      </c>
      <c r="B435" s="12" t="inlineStr">
        <is>
          <t>VS26</t>
        </is>
      </c>
      <c r="C435" s="28" t="n">
        <v>0.007900000000000001</v>
      </c>
      <c r="D435" s="12" t="inlineStr">
        <is>
          <t>PO-2021-1157</t>
        </is>
      </c>
      <c r="E435" s="12" t="n">
        <v>1.87</v>
      </c>
      <c r="F435" s="17" t="n">
        <v>56193.84</v>
      </c>
      <c r="G435" s="14">
        <f>E435*F435</f>
        <v/>
      </c>
      <c r="H435" s="14">
        <f>C435*G435</f>
        <v/>
      </c>
    </row>
    <row r="436">
      <c r="A436" s="12" t="inlineStr">
        <is>
          <t>RET-0041</t>
        </is>
      </c>
      <c r="B436" s="12" t="inlineStr">
        <is>
          <t>VS27</t>
        </is>
      </c>
      <c r="C436" s="28" t="n">
        <v>0.0077</v>
      </c>
      <c r="D436" s="12" t="inlineStr">
        <is>
          <t>PO-2023-4213</t>
        </is>
      </c>
      <c r="E436" s="12" t="n">
        <v>1.87</v>
      </c>
      <c r="F436" s="17" t="n">
        <v>48662.92</v>
      </c>
      <c r="G436" s="14">
        <f>E436*F436</f>
        <v/>
      </c>
      <c r="H436" s="14">
        <f>C436*G436</f>
        <v/>
      </c>
    </row>
    <row r="437">
      <c r="A437" s="12" t="inlineStr">
        <is>
          <t>RET-0041</t>
        </is>
      </c>
      <c r="B437" s="12" t="inlineStr">
        <is>
          <t>VS28</t>
        </is>
      </c>
      <c r="C437" s="28" t="n">
        <v>0.0173</v>
      </c>
      <c r="D437" s="12" t="inlineStr">
        <is>
          <t>PO-2022-3044</t>
        </is>
      </c>
      <c r="E437" s="12" t="n">
        <v>1.87</v>
      </c>
      <c r="F437" s="17" t="n">
        <v>95133.14999999999</v>
      </c>
      <c r="G437" s="14">
        <f>E437*F437</f>
        <v/>
      </c>
      <c r="H437" s="14">
        <f>C437*G437</f>
        <v/>
      </c>
    </row>
    <row r="438">
      <c r="A438" s="12" t="inlineStr">
        <is>
          <t>RET-0041</t>
        </is>
      </c>
      <c r="B438" s="12" t="inlineStr">
        <is>
          <t>VS29</t>
        </is>
      </c>
      <c r="C438" s="28" t="n">
        <v>0.011</v>
      </c>
      <c r="D438" s="12" t="inlineStr">
        <is>
          <t>PO-2022-1800</t>
        </is>
      </c>
      <c r="E438" s="12" t="n">
        <v>1.87</v>
      </c>
      <c r="F438" s="17" t="n">
        <v>110548.27</v>
      </c>
      <c r="G438" s="14">
        <f>E438*F438</f>
        <v/>
      </c>
      <c r="H438" s="14">
        <f>C438*G438</f>
        <v/>
      </c>
    </row>
    <row r="439">
      <c r="A439" s="12" t="inlineStr">
        <is>
          <t>RET-0041</t>
        </is>
      </c>
      <c r="B439" s="12" t="inlineStr">
        <is>
          <t>VS30</t>
        </is>
      </c>
      <c r="C439" s="28" t="n">
        <v>0.0047</v>
      </c>
      <c r="D439" s="12" t="inlineStr">
        <is>
          <t>PO-2021-0801</t>
        </is>
      </c>
      <c r="E439" s="12" t="n">
        <v>1.87</v>
      </c>
      <c r="F439" s="17" t="n">
        <v>57510.7</v>
      </c>
      <c r="G439" s="14">
        <f>E439*F439</f>
        <v/>
      </c>
      <c r="H439" s="14">
        <f>C439*G439</f>
        <v/>
      </c>
    </row>
    <row r="440">
      <c r="A440" s="12" t="inlineStr">
        <is>
          <t>RET-0041</t>
        </is>
      </c>
      <c r="B440" s="12" t="inlineStr">
        <is>
          <t>VS31</t>
        </is>
      </c>
      <c r="C440" s="28" t="n">
        <v>0.0172</v>
      </c>
      <c r="D440" s="12" t="inlineStr">
        <is>
          <t>PO-2021-1556</t>
        </is>
      </c>
      <c r="E440" s="12" t="n">
        <v>1.87</v>
      </c>
      <c r="F440" s="17" t="n">
        <v>116433.32</v>
      </c>
      <c r="G440" s="14">
        <f>E440*F440</f>
        <v/>
      </c>
      <c r="H440" s="14">
        <f>C440*G440</f>
        <v/>
      </c>
    </row>
    <row r="441">
      <c r="A441" s="12" t="inlineStr">
        <is>
          <t>RET-0041</t>
        </is>
      </c>
      <c r="B441" s="12" t="inlineStr">
        <is>
          <t>VS32</t>
        </is>
      </c>
      <c r="C441" s="28" t="n">
        <v>0.0205</v>
      </c>
      <c r="D441" s="12" t="inlineStr">
        <is>
          <t>PO-2023-3852</t>
        </is>
      </c>
      <c r="E441" s="12" t="n">
        <v>1.87</v>
      </c>
      <c r="F441" s="17" t="n">
        <v>115680.71</v>
      </c>
      <c r="G441" s="14">
        <f>E441*F441</f>
        <v/>
      </c>
      <c r="H441" s="14">
        <f>C441*G441</f>
        <v/>
      </c>
    </row>
    <row r="442">
      <c r="A442" s="12" t="inlineStr">
        <is>
          <t>RET-0041</t>
        </is>
      </c>
      <c r="B442" s="12" t="inlineStr">
        <is>
          <t>VS33</t>
        </is>
      </c>
      <c r="C442" s="28" t="n">
        <v>0.0109</v>
      </c>
      <c r="D442" s="12" t="inlineStr">
        <is>
          <t>PO-2021-0695</t>
        </is>
      </c>
      <c r="E442" s="12" t="n">
        <v>1.87</v>
      </c>
      <c r="F442" s="17" t="n">
        <v>90413.33</v>
      </c>
      <c r="G442" s="14">
        <f>E442*F442</f>
        <v/>
      </c>
      <c r="H442" s="14">
        <f>C442*G442</f>
        <v/>
      </c>
    </row>
    <row r="443">
      <c r="A443" s="12" t="inlineStr">
        <is>
          <t>RET-0041</t>
        </is>
      </c>
      <c r="B443" s="12" t="inlineStr">
        <is>
          <t>VS34</t>
        </is>
      </c>
      <c r="C443" s="28" t="n">
        <v>0.0141</v>
      </c>
      <c r="D443" s="12" t="inlineStr">
        <is>
          <t>PO-2021-1406</t>
        </is>
      </c>
      <c r="E443" s="12" t="n">
        <v>1.87</v>
      </c>
      <c r="F443" s="17" t="n">
        <v>66634.13</v>
      </c>
      <c r="G443" s="14">
        <f>E443*F443</f>
        <v/>
      </c>
      <c r="H443" s="14">
        <f>C443*G443</f>
        <v/>
      </c>
    </row>
    <row r="444">
      <c r="A444" s="12" t="inlineStr">
        <is>
          <t>RET-0043</t>
        </is>
      </c>
      <c r="B444" s="12" t="inlineStr">
        <is>
          <t>VS01</t>
        </is>
      </c>
      <c r="C444" s="28" t="n">
        <v>0.0302</v>
      </c>
      <c r="D444" s="12" t="inlineStr">
        <is>
          <t>PO-2021-0073</t>
        </is>
      </c>
      <c r="E444" s="12" t="n">
        <v>3.87</v>
      </c>
      <c r="F444" s="17" t="n">
        <v>51420.97</v>
      </c>
      <c r="G444" s="14">
        <f>E444*F444</f>
        <v/>
      </c>
      <c r="H444" s="14">
        <f>C444*G444</f>
        <v/>
      </c>
    </row>
    <row r="445">
      <c r="A445" s="12" t="inlineStr">
        <is>
          <t>RET-0043</t>
        </is>
      </c>
      <c r="B445" s="12" t="inlineStr">
        <is>
          <t>VS02</t>
        </is>
      </c>
      <c r="C445" s="28" t="n">
        <v>0.0138</v>
      </c>
      <c r="D445" s="12" t="inlineStr">
        <is>
          <t>PO-2023-4364</t>
        </is>
      </c>
      <c r="E445" s="12" t="n">
        <v>3.87</v>
      </c>
      <c r="F445" s="17" t="n">
        <v>51176.06</v>
      </c>
      <c r="G445" s="14">
        <f>E445*F445</f>
        <v/>
      </c>
      <c r="H445" s="14">
        <f>C445*G445</f>
        <v/>
      </c>
    </row>
    <row r="446">
      <c r="A446" s="12" t="inlineStr">
        <is>
          <t>RET-0043</t>
        </is>
      </c>
      <c r="B446" s="12" t="inlineStr">
        <is>
          <t>VS03</t>
        </is>
      </c>
      <c r="C446" s="28" t="n">
        <v>0.09760000000000001</v>
      </c>
      <c r="D446" s="12" t="inlineStr">
        <is>
          <t>PO-2023-4747</t>
        </is>
      </c>
      <c r="E446" s="12" t="n">
        <v>3.87</v>
      </c>
      <c r="F446" s="17" t="n">
        <v>85746.47</v>
      </c>
      <c r="G446" s="14">
        <f>E446*F446</f>
        <v/>
      </c>
      <c r="H446" s="14">
        <f>C446*G446</f>
        <v/>
      </c>
    </row>
    <row r="447">
      <c r="A447" s="12" t="inlineStr">
        <is>
          <t>RET-0043</t>
        </is>
      </c>
      <c r="B447" s="12" t="inlineStr">
        <is>
          <t>VS04</t>
        </is>
      </c>
      <c r="C447" s="28" t="n">
        <v>0.019</v>
      </c>
      <c r="D447" s="12" t="inlineStr">
        <is>
          <t>PO-2023-3424</t>
        </is>
      </c>
      <c r="E447" s="12" t="n">
        <v>3.87</v>
      </c>
      <c r="F447" s="17" t="n">
        <v>48537.27</v>
      </c>
      <c r="G447" s="14">
        <f>E447*F447</f>
        <v/>
      </c>
      <c r="H447" s="14">
        <f>C447*G447</f>
        <v/>
      </c>
    </row>
    <row r="448">
      <c r="A448" s="12" t="inlineStr">
        <is>
          <t>RET-0043</t>
        </is>
      </c>
      <c r="B448" s="12" t="inlineStr">
        <is>
          <t>VS05</t>
        </is>
      </c>
      <c r="C448" s="28" t="n">
        <v>0.0246</v>
      </c>
      <c r="D448" s="12" t="inlineStr">
        <is>
          <t>PO-2021-0224</t>
        </is>
      </c>
      <c r="E448" s="12" t="n">
        <v>3.87</v>
      </c>
      <c r="F448" s="17" t="n">
        <v>103980.93</v>
      </c>
      <c r="G448" s="14">
        <f>E448*F448</f>
        <v/>
      </c>
      <c r="H448" s="14">
        <f>C448*G448</f>
        <v/>
      </c>
    </row>
    <row r="449">
      <c r="A449" s="12" t="inlineStr">
        <is>
          <t>RET-0043</t>
        </is>
      </c>
      <c r="B449" s="12" t="inlineStr">
        <is>
          <t>VS06</t>
        </is>
      </c>
      <c r="C449" s="28" t="n">
        <v>0.0248</v>
      </c>
      <c r="D449" s="12" t="inlineStr">
        <is>
          <t>PO-2022-1608</t>
        </is>
      </c>
      <c r="E449" s="12" t="n">
        <v>3.87</v>
      </c>
      <c r="F449" s="17" t="n">
        <v>116330.48</v>
      </c>
      <c r="G449" s="14">
        <f>E449*F449</f>
        <v/>
      </c>
      <c r="H449" s="14">
        <f>C449*G449</f>
        <v/>
      </c>
    </row>
    <row r="450">
      <c r="A450" s="12" t="inlineStr">
        <is>
          <t>RET-0043</t>
        </is>
      </c>
      <c r="B450" s="12" t="inlineStr">
        <is>
          <t>VS07</t>
        </is>
      </c>
      <c r="C450" s="28" t="n">
        <v>0.0083</v>
      </c>
      <c r="D450" s="12" t="inlineStr">
        <is>
          <t>PO-2021-0361</t>
        </is>
      </c>
      <c r="E450" s="12" t="n">
        <v>3.87</v>
      </c>
      <c r="F450" s="17" t="n">
        <v>62232.49</v>
      </c>
      <c r="G450" s="14">
        <f>E450*F450</f>
        <v/>
      </c>
      <c r="H450" s="14">
        <f>C450*G450</f>
        <v/>
      </c>
    </row>
    <row r="451">
      <c r="A451" s="12" t="inlineStr">
        <is>
          <t>RET-0043</t>
        </is>
      </c>
      <c r="B451" s="12" t="inlineStr">
        <is>
          <t>VS08</t>
        </is>
      </c>
      <c r="C451" s="28" t="n">
        <v>0.025</v>
      </c>
      <c r="D451" s="12" t="inlineStr">
        <is>
          <t>PO-2022-2577</t>
        </is>
      </c>
      <c r="E451" s="12" t="n">
        <v>3.87</v>
      </c>
      <c r="F451" s="17" t="n">
        <v>103465.31</v>
      </c>
      <c r="G451" s="14">
        <f>E451*F451</f>
        <v/>
      </c>
      <c r="H451" s="14">
        <f>C451*G451</f>
        <v/>
      </c>
    </row>
    <row r="452">
      <c r="A452" s="12" t="inlineStr">
        <is>
          <t>RET-0043</t>
        </is>
      </c>
      <c r="B452" s="12" t="inlineStr">
        <is>
          <t>VS09</t>
        </is>
      </c>
      <c r="C452" s="28" t="n">
        <v>0.0192</v>
      </c>
      <c r="D452" s="12" t="inlineStr">
        <is>
          <t>PO-2022-2716</t>
        </is>
      </c>
      <c r="E452" s="12" t="n">
        <v>3.87</v>
      </c>
      <c r="F452" s="17" t="n">
        <v>115550.08</v>
      </c>
      <c r="G452" s="14">
        <f>E452*F452</f>
        <v/>
      </c>
      <c r="H452" s="14">
        <f>C452*G452</f>
        <v/>
      </c>
    </row>
    <row r="453">
      <c r="A453" s="12" t="inlineStr">
        <is>
          <t>RET-0043</t>
        </is>
      </c>
      <c r="B453" s="12" t="inlineStr">
        <is>
          <t>VS10</t>
        </is>
      </c>
      <c r="C453" s="28" t="n">
        <v>0.0302</v>
      </c>
      <c r="D453" s="12" t="inlineStr">
        <is>
          <t>PO-2023-4214</t>
        </is>
      </c>
      <c r="E453" s="12" t="n">
        <v>3.87</v>
      </c>
      <c r="F453" s="17" t="n">
        <v>85741.64</v>
      </c>
      <c r="G453" s="14">
        <f>E453*F453</f>
        <v/>
      </c>
      <c r="H453" s="14">
        <f>C453*G453</f>
        <v/>
      </c>
    </row>
    <row r="454">
      <c r="A454" s="12" t="inlineStr">
        <is>
          <t>RET-0043</t>
        </is>
      </c>
      <c r="B454" s="12" t="inlineStr">
        <is>
          <t>VS11</t>
        </is>
      </c>
      <c r="C454" s="28" t="n">
        <v>0.0353</v>
      </c>
      <c r="D454" s="12" t="inlineStr">
        <is>
          <t>PO-2023-4694</t>
        </is>
      </c>
      <c r="E454" s="12" t="n">
        <v>3.87</v>
      </c>
      <c r="F454" s="17" t="n">
        <v>81640.85000000001</v>
      </c>
      <c r="G454" s="14">
        <f>E454*F454</f>
        <v/>
      </c>
      <c r="H454" s="14">
        <f>C454*G454</f>
        <v/>
      </c>
    </row>
    <row r="455">
      <c r="A455" s="12" t="inlineStr">
        <is>
          <t>RET-0043</t>
        </is>
      </c>
      <c r="B455" s="12" t="inlineStr">
        <is>
          <t>VS12</t>
        </is>
      </c>
      <c r="C455" s="28" t="n">
        <v>0.1356</v>
      </c>
      <c r="D455" s="12" t="inlineStr">
        <is>
          <t>PO-2023-3478</t>
        </is>
      </c>
      <c r="E455" s="12" t="n">
        <v>3.87</v>
      </c>
      <c r="F455" s="17" t="n">
        <v>109764.56</v>
      </c>
      <c r="G455" s="14">
        <f>E455*F455</f>
        <v/>
      </c>
      <c r="H455" s="14">
        <f>C455*G455</f>
        <v/>
      </c>
    </row>
    <row r="456">
      <c r="A456" s="12" t="inlineStr">
        <is>
          <t>RET-0043</t>
        </is>
      </c>
      <c r="B456" s="12" t="inlineStr">
        <is>
          <t>VS13</t>
        </is>
      </c>
      <c r="C456" s="28" t="n">
        <v>0.0243</v>
      </c>
      <c r="D456" s="12" t="inlineStr">
        <is>
          <t>PO-2022-2011</t>
        </is>
      </c>
      <c r="E456" s="12" t="n">
        <v>3.87</v>
      </c>
      <c r="F456" s="17" t="n">
        <v>99572.16</v>
      </c>
      <c r="G456" s="14">
        <f>E456*F456</f>
        <v/>
      </c>
      <c r="H456" s="14">
        <f>C456*G456</f>
        <v/>
      </c>
    </row>
    <row r="457">
      <c r="A457" s="12" t="inlineStr">
        <is>
          <t>RET-0043</t>
        </is>
      </c>
      <c r="B457" s="12" t="inlineStr">
        <is>
          <t>VS14</t>
        </is>
      </c>
      <c r="C457" s="28" t="n">
        <v>0.0246</v>
      </c>
      <c r="D457" s="12" t="inlineStr">
        <is>
          <t>PO-2023-4633</t>
        </is>
      </c>
      <c r="E457" s="12" t="n">
        <v>3.87</v>
      </c>
      <c r="F457" s="17" t="n">
        <v>72350.99000000001</v>
      </c>
      <c r="G457" s="14">
        <f>E457*F457</f>
        <v/>
      </c>
      <c r="H457" s="14">
        <f>C457*G457</f>
        <v/>
      </c>
    </row>
    <row r="458">
      <c r="A458" s="12" t="inlineStr">
        <is>
          <t>RET-0043</t>
        </is>
      </c>
      <c r="B458" s="12" t="inlineStr">
        <is>
          <t>VS15</t>
        </is>
      </c>
      <c r="C458" s="28" t="n">
        <v>0.008200000000000001</v>
      </c>
      <c r="D458" s="12" t="inlineStr">
        <is>
          <t>PO-2023-4135</t>
        </is>
      </c>
      <c r="E458" s="12" t="n">
        <v>3.87</v>
      </c>
      <c r="F458" s="17" t="n">
        <v>74523.86</v>
      </c>
      <c r="G458" s="14">
        <f>E458*F458</f>
        <v/>
      </c>
      <c r="H458" s="14">
        <f>C458*G458</f>
        <v/>
      </c>
    </row>
    <row r="459">
      <c r="A459" s="12" t="inlineStr">
        <is>
          <t>RET-0043</t>
        </is>
      </c>
      <c r="B459" s="12" t="inlineStr">
        <is>
          <t>VS16</t>
        </is>
      </c>
      <c r="C459" s="28" t="n">
        <v>0.0355</v>
      </c>
      <c r="D459" s="12" t="inlineStr">
        <is>
          <t>PO-2021-0836</t>
        </is>
      </c>
      <c r="E459" s="12" t="n">
        <v>3.87</v>
      </c>
      <c r="F459" s="17" t="n">
        <v>49650.73</v>
      </c>
      <c r="G459" s="14">
        <f>E459*F459</f>
        <v/>
      </c>
      <c r="H459" s="14">
        <f>C459*G459</f>
        <v/>
      </c>
    </row>
    <row r="460">
      <c r="A460" s="12" t="inlineStr">
        <is>
          <t>RET-0043</t>
        </is>
      </c>
      <c r="B460" s="12" t="inlineStr">
        <is>
          <t>VS17</t>
        </is>
      </c>
      <c r="C460" s="28" t="n">
        <v>0.0353</v>
      </c>
      <c r="D460" s="12" t="inlineStr">
        <is>
          <t>PO-2023-4160</t>
        </is>
      </c>
      <c r="E460" s="12" t="n">
        <v>3.87</v>
      </c>
      <c r="F460" s="17" t="n">
        <v>115090.12</v>
      </c>
      <c r="G460" s="14">
        <f>E460*F460</f>
        <v/>
      </c>
      <c r="H460" s="14">
        <f>C460*G460</f>
        <v/>
      </c>
    </row>
    <row r="461">
      <c r="A461" s="12" t="inlineStr">
        <is>
          <t>RET-0043</t>
        </is>
      </c>
      <c r="B461" s="12" t="inlineStr">
        <is>
          <t>VS18</t>
        </is>
      </c>
      <c r="C461" s="28" t="n">
        <v>0.0246</v>
      </c>
      <c r="D461" s="12" t="inlineStr">
        <is>
          <t>PO-2022-1899</t>
        </is>
      </c>
      <c r="E461" s="12" t="n">
        <v>3.87</v>
      </c>
      <c r="F461" s="17" t="n">
        <v>108824.13</v>
      </c>
      <c r="G461" s="14">
        <f>E461*F461</f>
        <v/>
      </c>
      <c r="H461" s="14">
        <f>C461*G461</f>
        <v/>
      </c>
    </row>
    <row r="462">
      <c r="A462" s="12" t="inlineStr">
        <is>
          <t>RET-0043</t>
        </is>
      </c>
      <c r="B462" s="12" t="inlineStr">
        <is>
          <t>VS19</t>
        </is>
      </c>
      <c r="C462" s="28" t="n">
        <v>0.1023</v>
      </c>
      <c r="D462" s="12" t="inlineStr">
        <is>
          <t>PO-2022-2671</t>
        </is>
      </c>
      <c r="E462" s="12" t="n">
        <v>3.87</v>
      </c>
      <c r="F462" s="17" t="n">
        <v>50111.87</v>
      </c>
      <c r="G462" s="14">
        <f>E462*F462</f>
        <v/>
      </c>
      <c r="H462" s="14">
        <f>C462*G462</f>
        <v/>
      </c>
    </row>
    <row r="463">
      <c r="A463" s="12" t="inlineStr">
        <is>
          <t>RET-0043</t>
        </is>
      </c>
      <c r="B463" s="12" t="inlineStr">
        <is>
          <t>VS20</t>
        </is>
      </c>
      <c r="C463" s="28" t="n">
        <v>0.0137</v>
      </c>
      <c r="D463" s="12" t="inlineStr">
        <is>
          <t>PO-2021-0230</t>
        </is>
      </c>
      <c r="E463" s="12" t="n">
        <v>3.87</v>
      </c>
      <c r="F463" s="17" t="n">
        <v>106155.46</v>
      </c>
      <c r="G463" s="14">
        <f>E463*F463</f>
        <v/>
      </c>
      <c r="H463" s="14">
        <f>C463*G463</f>
        <v/>
      </c>
    </row>
    <row r="464">
      <c r="A464" s="12" t="inlineStr">
        <is>
          <t>RET-0043</t>
        </is>
      </c>
      <c r="B464" s="12" t="inlineStr">
        <is>
          <t>VS21</t>
        </is>
      </c>
      <c r="C464" s="28" t="n">
        <v>0.0137</v>
      </c>
      <c r="D464" s="12" t="inlineStr">
        <is>
          <t>PO-2022-2526</t>
        </is>
      </c>
      <c r="E464" s="12" t="n">
        <v>3.87</v>
      </c>
      <c r="F464" s="17" t="n">
        <v>96146.8</v>
      </c>
      <c r="G464" s="14">
        <f>E464*F464</f>
        <v/>
      </c>
      <c r="H464" s="14">
        <f>C464*G464</f>
        <v/>
      </c>
    </row>
    <row r="465">
      <c r="A465" s="12" t="inlineStr">
        <is>
          <t>RET-0043</t>
        </is>
      </c>
      <c r="B465" s="12" t="inlineStr">
        <is>
          <t>VS22</t>
        </is>
      </c>
      <c r="C465" s="28" t="n">
        <v>0.0081</v>
      </c>
      <c r="D465" s="12" t="inlineStr">
        <is>
          <t>PO-2022-1740</t>
        </is>
      </c>
      <c r="E465" s="12" t="n">
        <v>3.87</v>
      </c>
      <c r="F465" s="17" t="n">
        <v>109271.71</v>
      </c>
      <c r="G465" s="14">
        <f>E465*F465</f>
        <v/>
      </c>
      <c r="H465" s="14">
        <f>C465*G465</f>
        <v/>
      </c>
    </row>
    <row r="466">
      <c r="A466" s="12" t="inlineStr">
        <is>
          <t>RET-0043</t>
        </is>
      </c>
      <c r="B466" s="12" t="inlineStr">
        <is>
          <t>VS23</t>
        </is>
      </c>
      <c r="C466" s="28" t="n">
        <v>0.0135</v>
      </c>
      <c r="D466" s="12" t="inlineStr">
        <is>
          <t>PO-2023-4303</t>
        </is>
      </c>
      <c r="E466" s="12" t="n">
        <v>3.44</v>
      </c>
      <c r="F466" s="17" t="n">
        <v>48154.71</v>
      </c>
      <c r="G466" s="14">
        <f>E466*F466</f>
        <v/>
      </c>
      <c r="H466" s="14">
        <f>C466*G466</f>
        <v/>
      </c>
    </row>
    <row r="467">
      <c r="A467" s="12" t="inlineStr">
        <is>
          <t>RET-0043</t>
        </is>
      </c>
      <c r="B467" s="12" t="inlineStr">
        <is>
          <t>VS24</t>
        </is>
      </c>
      <c r="C467" s="28" t="n">
        <v>0.0136</v>
      </c>
      <c r="D467" s="12" t="inlineStr">
        <is>
          <t>PO-2022-2625</t>
        </is>
      </c>
      <c r="E467" s="12" t="n">
        <v>3.87</v>
      </c>
      <c r="F467" s="17" t="n">
        <v>52412.59</v>
      </c>
      <c r="G467" s="14">
        <f>E467*F467</f>
        <v/>
      </c>
      <c r="H467" s="14">
        <f>C467*G467</f>
        <v/>
      </c>
    </row>
    <row r="468">
      <c r="A468" s="12" t="inlineStr">
        <is>
          <t>RET-0043</t>
        </is>
      </c>
      <c r="B468" s="12" t="inlineStr">
        <is>
          <t>VS25</t>
        </is>
      </c>
      <c r="C468" s="28" t="n">
        <v>0.0247</v>
      </c>
      <c r="D468" s="12" t="inlineStr">
        <is>
          <t>PO-2021-0159</t>
        </is>
      </c>
      <c r="E468" s="12" t="n">
        <v>3.87</v>
      </c>
      <c r="F468" s="17" t="n">
        <v>82916.33</v>
      </c>
      <c r="G468" s="14">
        <f>E468*F468</f>
        <v/>
      </c>
      <c r="H468" s="14">
        <f>C468*G468</f>
        <v/>
      </c>
    </row>
    <row r="469">
      <c r="A469" s="12" t="inlineStr">
        <is>
          <t>RET-0043</t>
        </is>
      </c>
      <c r="B469" s="12" t="inlineStr">
        <is>
          <t>VS26</t>
        </is>
      </c>
      <c r="C469" s="28" t="n">
        <v>0.0138</v>
      </c>
      <c r="D469" s="12" t="inlineStr">
        <is>
          <t>PO-2023-4589</t>
        </is>
      </c>
      <c r="E469" s="12" t="n">
        <v>3.87</v>
      </c>
      <c r="F469" s="17" t="n">
        <v>73314</v>
      </c>
      <c r="G469" s="14">
        <f>E469*F469</f>
        <v/>
      </c>
      <c r="H469" s="14">
        <f>C469*G469</f>
        <v/>
      </c>
    </row>
    <row r="470">
      <c r="A470" s="12" t="inlineStr">
        <is>
          <t>RET-0043</t>
        </is>
      </c>
      <c r="B470" s="12" t="inlineStr">
        <is>
          <t>VS27</t>
        </is>
      </c>
      <c r="C470" s="28" t="n">
        <v>0.0135</v>
      </c>
      <c r="D470" s="12" t="inlineStr">
        <is>
          <t>PO-2021-0285</t>
        </is>
      </c>
      <c r="E470" s="12" t="n">
        <v>3.87</v>
      </c>
      <c r="F470" s="17" t="n">
        <v>114039.07</v>
      </c>
      <c r="G470" s="14">
        <f>E470*F470</f>
        <v/>
      </c>
      <c r="H470" s="14">
        <f>C470*G470</f>
        <v/>
      </c>
    </row>
    <row r="471">
      <c r="A471" s="12" t="inlineStr">
        <is>
          <t>RET-0043</t>
        </is>
      </c>
      <c r="B471" s="12" t="inlineStr">
        <is>
          <t>VS28</t>
        </is>
      </c>
      <c r="C471" s="28" t="n">
        <v>0.0302</v>
      </c>
      <c r="D471" s="12" t="inlineStr">
        <is>
          <t>PO-2022-1915</t>
        </is>
      </c>
      <c r="E471" s="12" t="n">
        <v>3.87</v>
      </c>
      <c r="F471" s="17" t="n">
        <v>67661.55</v>
      </c>
      <c r="G471" s="14">
        <f>E471*F471</f>
        <v/>
      </c>
      <c r="H471" s="14">
        <f>C471*G471</f>
        <v/>
      </c>
    </row>
    <row r="472">
      <c r="A472" s="12" t="inlineStr">
        <is>
          <t>RET-0043</t>
        </is>
      </c>
      <c r="B472" s="12" t="inlineStr">
        <is>
          <t>VS29</t>
        </is>
      </c>
      <c r="C472" s="28" t="n">
        <v>0.0192</v>
      </c>
      <c r="D472" s="12" t="inlineStr">
        <is>
          <t>PO-2023-3973</t>
        </is>
      </c>
      <c r="E472" s="12" t="n">
        <v>3.87</v>
      </c>
      <c r="F472" s="17" t="n">
        <v>93669.87</v>
      </c>
      <c r="G472" s="14">
        <f>E472*F472</f>
        <v/>
      </c>
      <c r="H472" s="14">
        <f>C472*G472</f>
        <v/>
      </c>
    </row>
    <row r="473">
      <c r="A473" s="12" t="inlineStr">
        <is>
          <t>RET-0043</t>
        </is>
      </c>
      <c r="B473" s="12" t="inlineStr">
        <is>
          <t>VS30</t>
        </is>
      </c>
      <c r="C473" s="28" t="n">
        <v>0.008200000000000001</v>
      </c>
      <c r="D473" s="12" t="inlineStr">
        <is>
          <t>PO-2022-3056</t>
        </is>
      </c>
      <c r="E473" s="12" t="n">
        <v>3.87</v>
      </c>
      <c r="F473" s="17" t="n">
        <v>107327.78</v>
      </c>
      <c r="G473" s="14">
        <f>E473*F473</f>
        <v/>
      </c>
      <c r="H473" s="14">
        <f>C473*G473</f>
        <v/>
      </c>
    </row>
    <row r="474">
      <c r="A474" s="12" t="inlineStr">
        <is>
          <t>RET-0043</t>
        </is>
      </c>
      <c r="B474" s="12" t="inlineStr">
        <is>
          <t>VS31</t>
        </is>
      </c>
      <c r="C474" s="28" t="n">
        <v>0.03</v>
      </c>
      <c r="D474" s="12" t="inlineStr">
        <is>
          <t>PO-2022-2446</t>
        </is>
      </c>
      <c r="E474" s="12" t="n">
        <v>3.87</v>
      </c>
      <c r="F474" s="17" t="n">
        <v>93453.07000000001</v>
      </c>
      <c r="G474" s="14">
        <f>E474*F474</f>
        <v/>
      </c>
      <c r="H474" s="14">
        <f>C474*G474</f>
        <v/>
      </c>
    </row>
    <row r="475">
      <c r="A475" s="12" t="inlineStr">
        <is>
          <t>RET-0043</t>
        </is>
      </c>
      <c r="B475" s="12" t="inlineStr">
        <is>
          <t>VS32</t>
        </is>
      </c>
      <c r="C475" s="28" t="n">
        <v>0.0357</v>
      </c>
      <c r="D475" s="12" t="inlineStr">
        <is>
          <t>PO-2021-1035</t>
        </is>
      </c>
      <c r="E475" s="12" t="n">
        <v>3.87</v>
      </c>
      <c r="F475" s="17" t="n">
        <v>78394.22</v>
      </c>
      <c r="G475" s="14">
        <f>E475*F475</f>
        <v/>
      </c>
      <c r="H475" s="14">
        <f>C475*G475</f>
        <v/>
      </c>
    </row>
    <row r="476">
      <c r="A476" s="12" t="inlineStr">
        <is>
          <t>RET-0043</t>
        </is>
      </c>
      <c r="B476" s="12" t="inlineStr">
        <is>
          <t>VS33</t>
        </is>
      </c>
      <c r="C476" s="28" t="n">
        <v>0.0191</v>
      </c>
      <c r="D476" s="12" t="inlineStr">
        <is>
          <t>PO-2021-0279</t>
        </is>
      </c>
      <c r="E476" s="12" t="n">
        <v>3.87</v>
      </c>
      <c r="F476" s="17" t="n">
        <v>98155.49000000001</v>
      </c>
      <c r="G476" s="14">
        <f>E476*F476</f>
        <v/>
      </c>
      <c r="H476" s="14">
        <f>C476*G476</f>
        <v/>
      </c>
    </row>
    <row r="477">
      <c r="A477" s="12" t="inlineStr">
        <is>
          <t>RET-0043</t>
        </is>
      </c>
      <c r="B477" s="12" t="inlineStr">
        <is>
          <t>VS34</t>
        </is>
      </c>
      <c r="C477" s="28" t="n">
        <v>0.0246</v>
      </c>
      <c r="D477" s="12" t="inlineStr">
        <is>
          <t>PO-2023-3726</t>
        </is>
      </c>
      <c r="E477" s="12" t="n">
        <v>3.87</v>
      </c>
      <c r="F477" s="17" t="n">
        <v>100411.3</v>
      </c>
      <c r="G477" s="14">
        <f>E477*F477</f>
        <v/>
      </c>
      <c r="H477" s="14">
        <f>C477*G477</f>
        <v/>
      </c>
    </row>
    <row r="478">
      <c r="A478" s="12" t="inlineStr">
        <is>
          <t>RET-0044</t>
        </is>
      </c>
      <c r="B478" s="12" t="inlineStr">
        <is>
          <t>VS01</t>
        </is>
      </c>
      <c r="C478" s="28" t="n">
        <v>0.0344</v>
      </c>
      <c r="D478" s="12" t="inlineStr">
        <is>
          <t>PO-2022-3022</t>
        </is>
      </c>
      <c r="E478" s="12" t="n">
        <v>4.39</v>
      </c>
      <c r="F478" s="17" t="n">
        <v>89681.73</v>
      </c>
      <c r="G478" s="14">
        <f>E478*F478</f>
        <v/>
      </c>
      <c r="H478" s="14">
        <f>C478*G478</f>
        <v/>
      </c>
    </row>
    <row r="479">
      <c r="A479" s="12" t="inlineStr">
        <is>
          <t>RET-0044</t>
        </is>
      </c>
      <c r="B479" s="12" t="inlineStr">
        <is>
          <t>VS02</t>
        </is>
      </c>
      <c r="C479" s="28" t="n">
        <v>0.0157</v>
      </c>
      <c r="D479" s="12" t="inlineStr">
        <is>
          <t>PO-2021-0456</t>
        </is>
      </c>
      <c r="E479" s="12" t="n">
        <v>4.39</v>
      </c>
      <c r="F479" s="17" t="n">
        <v>65398.54</v>
      </c>
      <c r="G479" s="14">
        <f>E479*F479</f>
        <v/>
      </c>
      <c r="H479" s="14">
        <f>C479*G479</f>
        <v/>
      </c>
    </row>
    <row r="480">
      <c r="A480" s="12" t="inlineStr">
        <is>
          <t>RET-0044</t>
        </is>
      </c>
      <c r="B480" s="12" t="inlineStr">
        <is>
          <t>VS03</t>
        </is>
      </c>
      <c r="C480" s="28" t="n">
        <v>0.0709</v>
      </c>
      <c r="D480" s="12" t="inlineStr">
        <is>
          <t>PO-2023-4110</t>
        </is>
      </c>
      <c r="E480" s="12" t="n">
        <v>4.39</v>
      </c>
      <c r="F480" s="17" t="n">
        <v>123030.57</v>
      </c>
      <c r="G480" s="14">
        <f>E480*F480</f>
        <v/>
      </c>
      <c r="H480" s="14">
        <f>C480*G480</f>
        <v/>
      </c>
    </row>
    <row r="481">
      <c r="A481" s="12" t="inlineStr">
        <is>
          <t>RET-0044</t>
        </is>
      </c>
      <c r="B481" s="12" t="inlineStr">
        <is>
          <t>VS04</t>
        </is>
      </c>
      <c r="C481" s="28" t="n">
        <v>0.0216</v>
      </c>
      <c r="D481" s="12" t="inlineStr">
        <is>
          <t>PO-2023-3927</t>
        </is>
      </c>
      <c r="E481" s="12" t="n">
        <v>4.39</v>
      </c>
      <c r="F481" s="17" t="n">
        <v>54233.12</v>
      </c>
      <c r="G481" s="14">
        <f>E481*F481</f>
        <v/>
      </c>
      <c r="H481" s="14">
        <f>C481*G481</f>
        <v/>
      </c>
    </row>
    <row r="482">
      <c r="A482" s="12" t="inlineStr">
        <is>
          <t>RET-0044</t>
        </is>
      </c>
      <c r="B482" s="12" t="inlineStr">
        <is>
          <t>VS05</t>
        </is>
      </c>
      <c r="C482" s="28" t="n">
        <v>0.028</v>
      </c>
      <c r="D482" s="12" t="inlineStr">
        <is>
          <t>PO-2022-2337</t>
        </is>
      </c>
      <c r="E482" s="12" t="n">
        <v>4.39</v>
      </c>
      <c r="F482" s="17" t="n">
        <v>90586.32000000001</v>
      </c>
      <c r="G482" s="14">
        <f>E482*F482</f>
        <v/>
      </c>
      <c r="H482" s="14">
        <f>C482*G482</f>
        <v/>
      </c>
    </row>
    <row r="483">
      <c r="A483" s="12" t="inlineStr">
        <is>
          <t>RET-0044</t>
        </is>
      </c>
      <c r="B483" s="12" t="inlineStr">
        <is>
          <t>VS06</t>
        </is>
      </c>
      <c r="C483" s="28" t="n">
        <v>0.0282</v>
      </c>
      <c r="D483" s="12" t="inlineStr">
        <is>
          <t>PO-2021-1169</t>
        </is>
      </c>
      <c r="E483" s="12" t="n">
        <v>4.39</v>
      </c>
      <c r="F483" s="17" t="n">
        <v>77469.72</v>
      </c>
      <c r="G483" s="14">
        <f>E483*F483</f>
        <v/>
      </c>
      <c r="H483" s="14">
        <f>C483*G483</f>
        <v/>
      </c>
    </row>
    <row r="484">
      <c r="A484" s="12" t="inlineStr">
        <is>
          <t>RET-0044</t>
        </is>
      </c>
      <c r="B484" s="12" t="inlineStr">
        <is>
          <t>VS07</t>
        </is>
      </c>
      <c r="C484" s="28" t="n">
        <v>0.0094</v>
      </c>
      <c r="D484" s="12" t="inlineStr">
        <is>
          <t>PO-2023-4451</t>
        </is>
      </c>
      <c r="E484" s="12" t="n">
        <v>1.76</v>
      </c>
      <c r="F484" s="17" t="n">
        <v>56030.8</v>
      </c>
      <c r="G484" s="14">
        <f>E484*F484</f>
        <v/>
      </c>
      <c r="H484" s="14">
        <f>C484*G484</f>
        <v/>
      </c>
    </row>
    <row r="485">
      <c r="A485" s="12" t="inlineStr">
        <is>
          <t>RET-0044</t>
        </is>
      </c>
      <c r="B485" s="12" t="inlineStr">
        <is>
          <t>VS08</t>
        </is>
      </c>
      <c r="C485" s="28" t="n">
        <v>0.0284</v>
      </c>
      <c r="D485" s="12" t="inlineStr">
        <is>
          <t>PO-2023-3409</t>
        </is>
      </c>
      <c r="E485" s="12" t="n">
        <v>4.39</v>
      </c>
      <c r="F485" s="17" t="n">
        <v>90846.14</v>
      </c>
      <c r="G485" s="14">
        <f>E485*F485</f>
        <v/>
      </c>
      <c r="H485" s="14">
        <f>C485*G485</f>
        <v/>
      </c>
    </row>
    <row r="486">
      <c r="A486" s="12" t="inlineStr">
        <is>
          <t>RET-0044</t>
        </is>
      </c>
      <c r="B486" s="12" t="inlineStr">
        <is>
          <t>VS09</t>
        </is>
      </c>
      <c r="C486" s="28" t="n">
        <v>0.0218</v>
      </c>
      <c r="D486" s="12" t="inlineStr">
        <is>
          <t>PO-2023-4381</t>
        </is>
      </c>
      <c r="E486" s="12" t="n">
        <v>4.39</v>
      </c>
      <c r="F486" s="17" t="n">
        <v>80746.59</v>
      </c>
      <c r="G486" s="14">
        <f>E486*F486</f>
        <v/>
      </c>
      <c r="H486" s="14">
        <f>C486*G486</f>
        <v/>
      </c>
    </row>
    <row r="487">
      <c r="A487" s="12" t="inlineStr">
        <is>
          <t>RET-0044</t>
        </is>
      </c>
      <c r="B487" s="12" t="inlineStr">
        <is>
          <t>VS10</t>
        </is>
      </c>
      <c r="C487" s="28" t="n">
        <v>0.0343</v>
      </c>
      <c r="D487" s="12" t="inlineStr">
        <is>
          <t>PO-2023-4770</t>
        </is>
      </c>
      <c r="E487" s="12" t="n">
        <v>4.39</v>
      </c>
      <c r="F487" s="17" t="n">
        <v>109886.01</v>
      </c>
      <c r="G487" s="14">
        <f>E487*F487</f>
        <v/>
      </c>
      <c r="H487" s="14">
        <f>C487*G487</f>
        <v/>
      </c>
    </row>
    <row r="488">
      <c r="A488" s="12" t="inlineStr">
        <is>
          <t>RET-0044</t>
        </is>
      </c>
      <c r="B488" s="12" t="inlineStr">
        <is>
          <t>VS11</t>
        </is>
      </c>
      <c r="C488" s="28" t="n">
        <v>0.0402</v>
      </c>
      <c r="D488" s="12" t="inlineStr">
        <is>
          <t>PO-2021-0749</t>
        </is>
      </c>
      <c r="E488" s="12" t="n">
        <v>4.39</v>
      </c>
      <c r="F488" s="17" t="n">
        <v>68765.87</v>
      </c>
      <c r="G488" s="14">
        <f>E488*F488</f>
        <v/>
      </c>
      <c r="H488" s="14">
        <f>C488*G488</f>
        <v/>
      </c>
    </row>
    <row r="489">
      <c r="A489" s="12" t="inlineStr">
        <is>
          <t>RET-0044</t>
        </is>
      </c>
      <c r="B489" s="12" t="inlineStr">
        <is>
          <t>VS12</t>
        </is>
      </c>
      <c r="C489" s="28" t="n">
        <v>0.0985</v>
      </c>
      <c r="D489" s="12" t="inlineStr">
        <is>
          <t>PO-2021-0843</t>
        </is>
      </c>
      <c r="E489" s="12" t="n">
        <v>4.39</v>
      </c>
      <c r="F489" s="17" t="n">
        <v>58150.78</v>
      </c>
      <c r="G489" s="14">
        <f>E489*F489</f>
        <v/>
      </c>
      <c r="H489" s="14">
        <f>C489*G489</f>
        <v/>
      </c>
    </row>
    <row r="490">
      <c r="A490" s="12" t="inlineStr">
        <is>
          <t>RET-0044</t>
        </is>
      </c>
      <c r="B490" s="12" t="inlineStr">
        <is>
          <t>VS13</t>
        </is>
      </c>
      <c r="C490" s="28" t="n">
        <v>0.0277</v>
      </c>
      <c r="D490" s="12" t="inlineStr">
        <is>
          <t>PO-2023-4198</t>
        </is>
      </c>
      <c r="E490" s="12" t="n">
        <v>4.39</v>
      </c>
      <c r="F490" s="17" t="n">
        <v>115775.93</v>
      </c>
      <c r="G490" s="14">
        <f>E490*F490</f>
        <v/>
      </c>
      <c r="H490" s="14">
        <f>C490*G490</f>
        <v/>
      </c>
    </row>
    <row r="491">
      <c r="A491" s="12" t="inlineStr">
        <is>
          <t>RET-0044</t>
        </is>
      </c>
      <c r="B491" s="12" t="inlineStr">
        <is>
          <t>VS14</t>
        </is>
      </c>
      <c r="C491" s="28" t="n">
        <v>0.028</v>
      </c>
      <c r="D491" s="12" t="inlineStr">
        <is>
          <t>PO-2021-1116</t>
        </is>
      </c>
      <c r="E491" s="12" t="n">
        <v>4.39</v>
      </c>
      <c r="F491" s="17" t="n">
        <v>105859.29</v>
      </c>
      <c r="G491" s="14">
        <f>E491*F491</f>
        <v/>
      </c>
      <c r="H491" s="14">
        <f>C491*G491</f>
        <v/>
      </c>
    </row>
    <row r="492">
      <c r="A492" s="12" t="inlineStr">
        <is>
          <t>RET-0044</t>
        </is>
      </c>
      <c r="B492" s="12" t="inlineStr">
        <is>
          <t>VS15</t>
        </is>
      </c>
      <c r="C492" s="28" t="n">
        <v>0.0094</v>
      </c>
      <c r="D492" s="12" t="inlineStr">
        <is>
          <t>PO-2023-3867</t>
        </is>
      </c>
      <c r="E492" s="12" t="n">
        <v>4.39</v>
      </c>
      <c r="F492" s="17" t="n">
        <v>114225.37</v>
      </c>
      <c r="G492" s="14">
        <f>E492*F492</f>
        <v/>
      </c>
      <c r="H492" s="14">
        <f>C492*G492</f>
        <v/>
      </c>
    </row>
    <row r="493">
      <c r="A493" s="12" t="inlineStr">
        <is>
          <t>RET-0044</t>
        </is>
      </c>
      <c r="B493" s="12" t="inlineStr">
        <is>
          <t>VS16</t>
        </is>
      </c>
      <c r="C493" s="28" t="n">
        <v>0.0404</v>
      </c>
      <c r="D493" s="12" t="inlineStr">
        <is>
          <t>PO-2023-3589</t>
        </is>
      </c>
      <c r="E493" s="12" t="n">
        <v>4.39</v>
      </c>
      <c r="F493" s="17" t="n">
        <v>105877.13</v>
      </c>
      <c r="G493" s="14">
        <f>E493*F493</f>
        <v/>
      </c>
      <c r="H493" s="14">
        <f>C493*G493</f>
        <v/>
      </c>
    </row>
    <row r="494">
      <c r="A494" s="12" t="inlineStr">
        <is>
          <t>RET-0044</t>
        </is>
      </c>
      <c r="B494" s="12" t="inlineStr">
        <is>
          <t>VS17</t>
        </is>
      </c>
      <c r="C494" s="28" t="n">
        <v>0.0402</v>
      </c>
      <c r="D494" s="12" t="inlineStr">
        <is>
          <t>PO-2022-2327</t>
        </is>
      </c>
      <c r="E494" s="12" t="n">
        <v>4.39</v>
      </c>
      <c r="F494" s="17" t="n">
        <v>100664.45</v>
      </c>
      <c r="G494" s="14">
        <f>E494*F494</f>
        <v/>
      </c>
      <c r="H494" s="14">
        <f>C494*G494</f>
        <v/>
      </c>
    </row>
    <row r="495">
      <c r="A495" s="12" t="inlineStr">
        <is>
          <t>RET-0044</t>
        </is>
      </c>
      <c r="B495" s="12" t="inlineStr">
        <is>
          <t>VS18</t>
        </is>
      </c>
      <c r="C495" s="28" t="n">
        <v>0.028</v>
      </c>
      <c r="D495" s="12" t="inlineStr">
        <is>
          <t>PO-2023-3457</t>
        </is>
      </c>
      <c r="E495" s="12" t="n">
        <v>4.39</v>
      </c>
      <c r="F495" s="17" t="n">
        <v>111563.1</v>
      </c>
      <c r="G495" s="14">
        <f>E495*F495</f>
        <v/>
      </c>
      <c r="H495" s="14">
        <f>C495*G495</f>
        <v/>
      </c>
    </row>
    <row r="496">
      <c r="A496" s="12" t="inlineStr">
        <is>
          <t>RET-0044</t>
        </is>
      </c>
      <c r="B496" s="12" t="inlineStr">
        <is>
          <t>VS19</t>
        </is>
      </c>
      <c r="C496" s="28" t="n">
        <v>0.0743</v>
      </c>
      <c r="D496" s="12" t="inlineStr">
        <is>
          <t>PO-2022-2361</t>
        </is>
      </c>
      <c r="E496" s="12" t="n">
        <v>4.39</v>
      </c>
      <c r="F496" s="17" t="n">
        <v>91145.31</v>
      </c>
      <c r="G496" s="14">
        <f>E496*F496</f>
        <v/>
      </c>
      <c r="H496" s="14">
        <f>C496*G496</f>
        <v/>
      </c>
    </row>
    <row r="497">
      <c r="A497" s="12" t="inlineStr">
        <is>
          <t>RET-0044</t>
        </is>
      </c>
      <c r="B497" s="12" t="inlineStr">
        <is>
          <t>VS20</t>
        </is>
      </c>
      <c r="C497" s="28" t="n">
        <v>0.0156</v>
      </c>
      <c r="D497" s="12" t="inlineStr">
        <is>
          <t>PO-2023-4544</t>
        </is>
      </c>
      <c r="E497" s="12" t="n">
        <v>4.39</v>
      </c>
      <c r="F497" s="17" t="n">
        <v>96328.28999999999</v>
      </c>
      <c r="G497" s="14">
        <f>E497*F497</f>
        <v/>
      </c>
      <c r="H497" s="14">
        <f>C497*G497</f>
        <v/>
      </c>
    </row>
    <row r="498">
      <c r="A498" s="12" t="inlineStr">
        <is>
          <t>RET-0044</t>
        </is>
      </c>
      <c r="B498" s="12" t="inlineStr">
        <is>
          <t>VS21</t>
        </is>
      </c>
      <c r="C498" s="28" t="n">
        <v>0.0156</v>
      </c>
      <c r="D498" s="12" t="inlineStr">
        <is>
          <t>PO-2023-4211</t>
        </is>
      </c>
      <c r="E498" s="12" t="n">
        <v>4.39</v>
      </c>
      <c r="F498" s="17" t="n">
        <v>116836.62</v>
      </c>
      <c r="G498" s="14">
        <f>E498*F498</f>
        <v/>
      </c>
      <c r="H498" s="14">
        <f>C498*G498</f>
        <v/>
      </c>
    </row>
    <row r="499">
      <c r="A499" s="12" t="inlineStr">
        <is>
          <t>RET-0044</t>
        </is>
      </c>
      <c r="B499" s="12" t="inlineStr">
        <is>
          <t>VS22</t>
        </is>
      </c>
      <c r="C499" s="28" t="n">
        <v>0.009299999999999999</v>
      </c>
      <c r="D499" s="12" t="inlineStr">
        <is>
          <t>PO-2023-3237</t>
        </is>
      </c>
      <c r="E499" s="12" t="n">
        <v>4.39</v>
      </c>
      <c r="F499" s="17" t="n">
        <v>46268.02</v>
      </c>
      <c r="G499" s="14">
        <f>E499*F499</f>
        <v/>
      </c>
      <c r="H499" s="14">
        <f>C499*G499</f>
        <v/>
      </c>
    </row>
    <row r="500">
      <c r="A500" s="12" t="inlineStr">
        <is>
          <t>RET-0044</t>
        </is>
      </c>
      <c r="B500" s="12" t="inlineStr">
        <is>
          <t>VS23</t>
        </is>
      </c>
      <c r="C500" s="28" t="n">
        <v>0.0154</v>
      </c>
      <c r="D500" s="12" t="inlineStr">
        <is>
          <t>PO-2021-0803</t>
        </is>
      </c>
      <c r="E500" s="12" t="n">
        <v>4.39</v>
      </c>
      <c r="F500" s="17" t="n">
        <v>119763.77</v>
      </c>
      <c r="G500" s="14">
        <f>E500*F500</f>
        <v/>
      </c>
      <c r="H500" s="14">
        <f>C500*G500</f>
        <v/>
      </c>
    </row>
    <row r="501">
      <c r="A501" s="12" t="inlineStr">
        <is>
          <t>RET-0044</t>
        </is>
      </c>
      <c r="B501" s="12" t="inlineStr">
        <is>
          <t>VS24</t>
        </is>
      </c>
      <c r="C501" s="28" t="n">
        <v>0.0155</v>
      </c>
      <c r="D501" s="12" t="inlineStr">
        <is>
          <t>PO-2022-2615</t>
        </is>
      </c>
      <c r="E501" s="12" t="n">
        <v>4.39</v>
      </c>
      <c r="F501" s="17" t="n">
        <v>73404.35000000001</v>
      </c>
      <c r="G501" s="14">
        <f>E501*F501</f>
        <v/>
      </c>
      <c r="H501" s="14">
        <f>C501*G501</f>
        <v/>
      </c>
    </row>
    <row r="502">
      <c r="A502" s="12" t="inlineStr">
        <is>
          <t>RET-0044</t>
        </is>
      </c>
      <c r="B502" s="12" t="inlineStr">
        <is>
          <t>VS25</t>
        </is>
      </c>
      <c r="C502" s="28" t="n">
        <v>0.0281</v>
      </c>
      <c r="D502" s="12" t="inlineStr">
        <is>
          <t>PO-2021-0621</t>
        </is>
      </c>
      <c r="E502" s="12" t="n">
        <v>4.39</v>
      </c>
      <c r="F502" s="17" t="n">
        <v>73849.7</v>
      </c>
      <c r="G502" s="14">
        <f>E502*F502</f>
        <v/>
      </c>
      <c r="H502" s="14">
        <f>C502*G502</f>
        <v/>
      </c>
    </row>
    <row r="503">
      <c r="A503" s="12" t="inlineStr">
        <is>
          <t>RET-0044</t>
        </is>
      </c>
      <c r="B503" s="12" t="inlineStr">
        <is>
          <t>VS26</t>
        </is>
      </c>
      <c r="C503" s="28" t="n">
        <v>0.0157</v>
      </c>
      <c r="D503" s="12" t="inlineStr">
        <is>
          <t>PO-2022-2195</t>
        </is>
      </c>
      <c r="E503" s="12" t="n">
        <v>4.39</v>
      </c>
      <c r="F503" s="17" t="n">
        <v>92960.63</v>
      </c>
      <c r="G503" s="14">
        <f>E503*F503</f>
        <v/>
      </c>
      <c r="H503" s="14">
        <f>C503*G503</f>
        <v/>
      </c>
    </row>
    <row r="504">
      <c r="A504" s="12" t="inlineStr">
        <is>
          <t>RET-0044</t>
        </is>
      </c>
      <c r="B504" s="12" t="inlineStr">
        <is>
          <t>VS27</t>
        </is>
      </c>
      <c r="C504" s="28" t="n">
        <v>0.0154</v>
      </c>
      <c r="D504" s="12" t="inlineStr">
        <is>
          <t>PO-2021-1152</t>
        </is>
      </c>
      <c r="E504" s="12" t="n">
        <v>4.39</v>
      </c>
      <c r="F504" s="17" t="n">
        <v>110512.94</v>
      </c>
      <c r="G504" s="14">
        <f>E504*F504</f>
        <v/>
      </c>
      <c r="H504" s="14">
        <f>C504*G504</f>
        <v/>
      </c>
    </row>
    <row r="505">
      <c r="A505" s="12" t="inlineStr">
        <is>
          <t>RET-0044</t>
        </is>
      </c>
      <c r="B505" s="12" t="inlineStr">
        <is>
          <t>VS28</t>
        </is>
      </c>
      <c r="C505" s="28" t="n">
        <v>0.0343</v>
      </c>
      <c r="D505" s="12" t="inlineStr">
        <is>
          <t>PO-2022-2833</t>
        </is>
      </c>
      <c r="E505" s="12" t="n">
        <v>2.22</v>
      </c>
      <c r="F505" s="17" t="n">
        <v>114943.09</v>
      </c>
      <c r="G505" s="14">
        <f>E505*F505</f>
        <v/>
      </c>
      <c r="H505" s="14">
        <f>C505*G505</f>
        <v/>
      </c>
    </row>
    <row r="506">
      <c r="A506" s="12" t="inlineStr">
        <is>
          <t>RET-0044</t>
        </is>
      </c>
      <c r="B506" s="12" t="inlineStr">
        <is>
          <t>VS29</t>
        </is>
      </c>
      <c r="C506" s="28" t="n">
        <v>0.0218</v>
      </c>
      <c r="D506" s="12" t="inlineStr">
        <is>
          <t>PO-2021-0744</t>
        </is>
      </c>
      <c r="E506" s="12" t="n">
        <v>4.39</v>
      </c>
      <c r="F506" s="17" t="n">
        <v>72022.99000000001</v>
      </c>
      <c r="G506" s="14">
        <f>E506*F506</f>
        <v/>
      </c>
      <c r="H506" s="14">
        <f>C506*G506</f>
        <v/>
      </c>
    </row>
    <row r="507">
      <c r="A507" s="12" t="inlineStr">
        <is>
          <t>RET-0044</t>
        </is>
      </c>
      <c r="B507" s="12" t="inlineStr">
        <is>
          <t>VS30</t>
        </is>
      </c>
      <c r="C507" s="28" t="n">
        <v>0.0094</v>
      </c>
      <c r="D507" s="12" t="inlineStr">
        <is>
          <t>PO-2023-3246</t>
        </is>
      </c>
      <c r="E507" s="12" t="n">
        <v>4.39</v>
      </c>
      <c r="F507" s="17" t="n">
        <v>117287.6</v>
      </c>
      <c r="G507" s="14">
        <f>E507*F507</f>
        <v/>
      </c>
      <c r="H507" s="14">
        <f>C507*G507</f>
        <v/>
      </c>
    </row>
    <row r="508">
      <c r="A508" s="12" t="inlineStr">
        <is>
          <t>RET-0044</t>
        </is>
      </c>
      <c r="B508" s="12" t="inlineStr">
        <is>
          <t>VS31</t>
        </is>
      </c>
      <c r="C508" s="28" t="n">
        <v>0.0342</v>
      </c>
      <c r="D508" s="12" t="inlineStr">
        <is>
          <t>PO-2023-3274</t>
        </is>
      </c>
      <c r="E508" s="12" t="n">
        <v>4.39</v>
      </c>
      <c r="F508" s="17" t="n">
        <v>108871.93</v>
      </c>
      <c r="G508" s="14">
        <f>E508*F508</f>
        <v/>
      </c>
      <c r="H508" s="14">
        <f>C508*G508</f>
        <v/>
      </c>
    </row>
    <row r="509">
      <c r="A509" s="12" t="inlineStr">
        <is>
          <t>RET-0044</t>
        </is>
      </c>
      <c r="B509" s="12" t="inlineStr">
        <is>
          <t>VS32</t>
        </is>
      </c>
      <c r="C509" s="28" t="n">
        <v>0.0407</v>
      </c>
      <c r="D509" s="12" t="inlineStr">
        <is>
          <t>PO-2022-2288</t>
        </is>
      </c>
      <c r="E509" s="12" t="n">
        <v>4.39</v>
      </c>
      <c r="F509" s="17" t="n">
        <v>102254.45</v>
      </c>
      <c r="G509" s="14">
        <f>E509*F509</f>
        <v/>
      </c>
      <c r="H509" s="14">
        <f>C509*G509</f>
        <v/>
      </c>
    </row>
    <row r="510">
      <c r="A510" s="12" t="inlineStr">
        <is>
          <t>RET-0044</t>
        </is>
      </c>
      <c r="B510" s="12" t="inlineStr">
        <is>
          <t>VS33</t>
        </is>
      </c>
      <c r="C510" s="28" t="n">
        <v>0.0217</v>
      </c>
      <c r="D510" s="12" t="inlineStr">
        <is>
          <t>PO-2022-1716</t>
        </is>
      </c>
      <c r="E510" s="12" t="n">
        <v>4.39</v>
      </c>
      <c r="F510" s="17" t="n">
        <v>68386.91</v>
      </c>
      <c r="G510" s="14">
        <f>E510*F510</f>
        <v/>
      </c>
      <c r="H510" s="14">
        <f>C510*G510</f>
        <v/>
      </c>
    </row>
    <row r="511">
      <c r="A511" s="12" t="inlineStr">
        <is>
          <t>RET-0044</t>
        </is>
      </c>
      <c r="B511" s="12" t="inlineStr">
        <is>
          <t>VS34</t>
        </is>
      </c>
      <c r="C511" s="28" t="n">
        <v>0.028</v>
      </c>
      <c r="D511" s="12" t="inlineStr">
        <is>
          <t>PO-2023-3346</t>
        </is>
      </c>
      <c r="E511" s="12" t="n">
        <v>4.39</v>
      </c>
      <c r="F511" s="17" t="n">
        <v>85292.53</v>
      </c>
      <c r="G511" s="14">
        <f>E511*F511</f>
        <v/>
      </c>
      <c r="H511" s="14">
        <f>C511*G511</f>
        <v/>
      </c>
    </row>
    <row r="512">
      <c r="A512" s="12" t="inlineStr">
        <is>
          <t>RET-0045</t>
        </is>
      </c>
      <c r="B512" s="12" t="inlineStr">
        <is>
          <t>VS01</t>
        </is>
      </c>
      <c r="C512" s="28" t="n">
        <v>0.0344</v>
      </c>
      <c r="D512" s="12" t="inlineStr">
        <is>
          <t>PO-2022-2085</t>
        </is>
      </c>
      <c r="E512" s="12" t="n">
        <v>4.93</v>
      </c>
      <c r="F512" s="17" t="n">
        <v>83216.09</v>
      </c>
      <c r="G512" s="14">
        <f>E512*F512</f>
        <v/>
      </c>
      <c r="H512" s="14">
        <f>C512*G512</f>
        <v/>
      </c>
    </row>
    <row r="513">
      <c r="A513" s="12" t="inlineStr">
        <is>
          <t>RET-0045</t>
        </is>
      </c>
      <c r="B513" s="12" t="inlineStr">
        <is>
          <t>VS02</t>
        </is>
      </c>
      <c r="C513" s="28" t="n">
        <v>0.0157</v>
      </c>
      <c r="D513" s="12" t="inlineStr">
        <is>
          <t>PO-2023-4384</t>
        </is>
      </c>
      <c r="E513" s="12" t="n">
        <v>2.42</v>
      </c>
      <c r="F513" s="17" t="n">
        <v>50432.99</v>
      </c>
      <c r="G513" s="14">
        <f>E513*F513</f>
        <v/>
      </c>
      <c r="H513" s="14">
        <f>C513*G513</f>
        <v/>
      </c>
    </row>
    <row r="514">
      <c r="A514" s="12" t="inlineStr">
        <is>
          <t>RET-0045</t>
        </is>
      </c>
      <c r="B514" s="12" t="inlineStr">
        <is>
          <t>VS03</t>
        </is>
      </c>
      <c r="C514" s="28" t="n">
        <v>0.0709</v>
      </c>
      <c r="D514" s="12" t="inlineStr">
        <is>
          <t>PO-2021-0206</t>
        </is>
      </c>
      <c r="E514" s="12" t="n">
        <v>4.93</v>
      </c>
      <c r="F514" s="17" t="n">
        <v>95006.45</v>
      </c>
      <c r="G514" s="14">
        <f>E514*F514</f>
        <v/>
      </c>
      <c r="H514" s="14">
        <f>C514*G514</f>
        <v/>
      </c>
    </row>
    <row r="515">
      <c r="A515" s="12" t="inlineStr">
        <is>
          <t>RET-0045</t>
        </is>
      </c>
      <c r="B515" s="12" t="inlineStr">
        <is>
          <t>VS04</t>
        </is>
      </c>
      <c r="C515" s="28" t="n">
        <v>0.0216</v>
      </c>
      <c r="D515" s="12" t="inlineStr">
        <is>
          <t>PO-2023-3927</t>
        </is>
      </c>
      <c r="E515" s="12" t="n">
        <v>4.93</v>
      </c>
      <c r="F515" s="17" t="n">
        <v>54233.12</v>
      </c>
      <c r="G515" s="14">
        <f>E515*F515</f>
        <v/>
      </c>
      <c r="H515" s="14">
        <f>C515*G515</f>
        <v/>
      </c>
    </row>
    <row r="516">
      <c r="A516" s="12" t="inlineStr">
        <is>
          <t>RET-0045</t>
        </is>
      </c>
      <c r="B516" s="12" t="inlineStr">
        <is>
          <t>VS05</t>
        </is>
      </c>
      <c r="C516" s="28" t="n">
        <v>0.028</v>
      </c>
      <c r="D516" s="12" t="inlineStr">
        <is>
          <t>PO-2023-4708</t>
        </is>
      </c>
      <c r="E516" s="12" t="n">
        <v>4.93</v>
      </c>
      <c r="F516" s="17" t="n">
        <v>77897.52</v>
      </c>
      <c r="G516" s="14">
        <f>E516*F516</f>
        <v/>
      </c>
      <c r="H516" s="14">
        <f>C516*G516</f>
        <v/>
      </c>
    </row>
    <row r="517">
      <c r="A517" s="12" t="inlineStr">
        <is>
          <t>RET-0045</t>
        </is>
      </c>
      <c r="B517" s="12" t="inlineStr">
        <is>
          <t>VS06</t>
        </is>
      </c>
      <c r="C517" s="28" t="n">
        <v>0.0282</v>
      </c>
      <c r="D517" s="12" t="inlineStr">
        <is>
          <t>PO-2023-3555</t>
        </is>
      </c>
      <c r="E517" s="12" t="n">
        <v>4.93</v>
      </c>
      <c r="F517" s="17" t="n">
        <v>90309.67999999999</v>
      </c>
      <c r="G517" s="14">
        <f>E517*F517</f>
        <v/>
      </c>
      <c r="H517" s="14">
        <f>C517*G517</f>
        <v/>
      </c>
    </row>
    <row r="518">
      <c r="A518" s="12" t="inlineStr">
        <is>
          <t>RET-0045</t>
        </is>
      </c>
      <c r="B518" s="12" t="inlineStr">
        <is>
          <t>VS07</t>
        </is>
      </c>
      <c r="C518" s="28" t="n">
        <v>0.0094</v>
      </c>
      <c r="D518" s="12" t="inlineStr">
        <is>
          <t>PO-2022-2899</t>
        </is>
      </c>
      <c r="E518" s="12" t="n">
        <v>4.93</v>
      </c>
      <c r="F518" s="17" t="n">
        <v>116468.58</v>
      </c>
      <c r="G518" s="14">
        <f>E518*F518</f>
        <v/>
      </c>
      <c r="H518" s="14">
        <f>C518*G518</f>
        <v/>
      </c>
    </row>
    <row r="519">
      <c r="A519" s="12" t="inlineStr">
        <is>
          <t>RET-0045</t>
        </is>
      </c>
      <c r="B519" s="12" t="inlineStr">
        <is>
          <t>VS08</t>
        </is>
      </c>
      <c r="C519" s="28" t="n">
        <v>0.0284</v>
      </c>
      <c r="D519" s="12" t="inlineStr">
        <is>
          <t>PO-2022-2051</t>
        </is>
      </c>
      <c r="E519" s="12" t="n">
        <v>4.93</v>
      </c>
      <c r="F519" s="17" t="n">
        <v>113165.9</v>
      </c>
      <c r="G519" s="14">
        <f>E519*F519</f>
        <v/>
      </c>
      <c r="H519" s="14">
        <f>C519*G519</f>
        <v/>
      </c>
    </row>
    <row r="520">
      <c r="A520" s="12" t="inlineStr">
        <is>
          <t>RET-0045</t>
        </is>
      </c>
      <c r="B520" s="12" t="inlineStr">
        <is>
          <t>VS09</t>
        </is>
      </c>
      <c r="C520" s="28" t="n">
        <v>0.0218</v>
      </c>
      <c r="D520" s="12" t="inlineStr">
        <is>
          <t>PO-2023-4004</t>
        </is>
      </c>
      <c r="E520" s="12" t="n">
        <v>4.93</v>
      </c>
      <c r="F520" s="17" t="n">
        <v>90789.31</v>
      </c>
      <c r="G520" s="14">
        <f>E520*F520</f>
        <v/>
      </c>
      <c r="H520" s="14">
        <f>C520*G520</f>
        <v/>
      </c>
    </row>
    <row r="521">
      <c r="A521" s="12" t="inlineStr">
        <is>
          <t>RET-0045</t>
        </is>
      </c>
      <c r="B521" s="12" t="inlineStr">
        <is>
          <t>VS10</t>
        </is>
      </c>
      <c r="C521" s="28" t="n">
        <v>0.0343</v>
      </c>
      <c r="D521" s="12" t="inlineStr">
        <is>
          <t>PO-2023-4770</t>
        </is>
      </c>
      <c r="E521" s="12" t="n">
        <v>4.93</v>
      </c>
      <c r="F521" s="17" t="n">
        <v>109886.01</v>
      </c>
      <c r="G521" s="14">
        <f>E521*F521</f>
        <v/>
      </c>
      <c r="H521" s="14">
        <f>C521*G521</f>
        <v/>
      </c>
    </row>
    <row r="522">
      <c r="A522" s="12" t="inlineStr">
        <is>
          <t>RET-0045</t>
        </is>
      </c>
      <c r="B522" s="12" t="inlineStr">
        <is>
          <t>VS11</t>
        </is>
      </c>
      <c r="C522" s="28" t="n">
        <v>0.0402</v>
      </c>
      <c r="D522" s="12" t="inlineStr">
        <is>
          <t>PO-2023-4176</t>
        </is>
      </c>
      <c r="E522" s="12" t="n">
        <v>4.93</v>
      </c>
      <c r="F522" s="17" t="n">
        <v>94199.10000000001</v>
      </c>
      <c r="G522" s="14">
        <f>E522*F522</f>
        <v/>
      </c>
      <c r="H522" s="14">
        <f>C522*G522</f>
        <v/>
      </c>
    </row>
    <row r="523">
      <c r="A523" s="12" t="inlineStr">
        <is>
          <t>RET-0045</t>
        </is>
      </c>
      <c r="B523" s="12" t="inlineStr">
        <is>
          <t>VS12</t>
        </is>
      </c>
      <c r="C523" s="28" t="n">
        <v>0.0985</v>
      </c>
      <c r="D523" s="12" t="inlineStr">
        <is>
          <t>PO-2023-4765</t>
        </is>
      </c>
      <c r="E523" s="12" t="n">
        <v>4.93</v>
      </c>
      <c r="F523" s="17" t="n">
        <v>124149.68</v>
      </c>
      <c r="G523" s="14">
        <f>E523*F523</f>
        <v/>
      </c>
      <c r="H523" s="14">
        <f>C523*G523</f>
        <v/>
      </c>
    </row>
    <row r="524">
      <c r="A524" s="12" t="inlineStr">
        <is>
          <t>RET-0045</t>
        </is>
      </c>
      <c r="B524" s="12" t="inlineStr">
        <is>
          <t>VS13</t>
        </is>
      </c>
      <c r="C524" s="28" t="n">
        <v>0.0277</v>
      </c>
      <c r="D524" s="12" t="inlineStr">
        <is>
          <t>PO-2023-4198</t>
        </is>
      </c>
      <c r="E524" s="12" t="n">
        <v>4.93</v>
      </c>
      <c r="F524" s="17" t="n">
        <v>115775.93</v>
      </c>
      <c r="G524" s="14">
        <f>E524*F524</f>
        <v/>
      </c>
      <c r="H524" s="14">
        <f>C524*G524</f>
        <v/>
      </c>
    </row>
    <row r="525">
      <c r="A525" s="12" t="inlineStr">
        <is>
          <t>RET-0045</t>
        </is>
      </c>
      <c r="B525" s="12" t="inlineStr">
        <is>
          <t>VS14</t>
        </is>
      </c>
      <c r="C525" s="28" t="n">
        <v>0.028</v>
      </c>
      <c r="D525" s="12" t="inlineStr">
        <is>
          <t>PO-2023-4255</t>
        </is>
      </c>
      <c r="E525" s="12" t="n">
        <v>4.93</v>
      </c>
      <c r="F525" s="17" t="n">
        <v>56337.65</v>
      </c>
      <c r="G525" s="14">
        <f>E525*F525</f>
        <v/>
      </c>
      <c r="H525" s="14">
        <f>C525*G525</f>
        <v/>
      </c>
    </row>
    <row r="526">
      <c r="A526" s="12" t="inlineStr">
        <is>
          <t>RET-0045</t>
        </is>
      </c>
      <c r="B526" s="12" t="inlineStr">
        <is>
          <t>VS15</t>
        </is>
      </c>
      <c r="C526" s="28" t="n">
        <v>0.0094</v>
      </c>
      <c r="D526" s="12" t="inlineStr">
        <is>
          <t>PO-2023-3990</t>
        </is>
      </c>
      <c r="E526" s="12" t="n">
        <v>4.93</v>
      </c>
      <c r="F526" s="17" t="n">
        <v>110044.72</v>
      </c>
      <c r="G526" s="14">
        <f>E526*F526</f>
        <v/>
      </c>
      <c r="H526" s="14">
        <f>C526*G526</f>
        <v/>
      </c>
    </row>
    <row r="527">
      <c r="A527" s="12" t="inlineStr">
        <is>
          <t>RET-0045</t>
        </is>
      </c>
      <c r="B527" s="12" t="inlineStr">
        <is>
          <t>VS16</t>
        </is>
      </c>
      <c r="C527" s="28" t="n">
        <v>0.0404</v>
      </c>
      <c r="D527" s="12" t="inlineStr">
        <is>
          <t>PO-2022-2250</t>
        </is>
      </c>
      <c r="E527" s="12" t="n">
        <v>4.93</v>
      </c>
      <c r="F527" s="17" t="n">
        <v>119031.41</v>
      </c>
      <c r="G527" s="14">
        <f>E527*F527</f>
        <v/>
      </c>
      <c r="H527" s="14">
        <f>C527*G527</f>
        <v/>
      </c>
    </row>
    <row r="528">
      <c r="A528" s="12" t="inlineStr">
        <is>
          <t>RET-0045</t>
        </is>
      </c>
      <c r="B528" s="12" t="inlineStr">
        <is>
          <t>VS17</t>
        </is>
      </c>
      <c r="C528" s="28" t="n">
        <v>0.0402</v>
      </c>
      <c r="D528" s="12" t="inlineStr">
        <is>
          <t>PO-2023-3556</t>
        </is>
      </c>
      <c r="E528" s="12" t="n">
        <v>4.93</v>
      </c>
      <c r="F528" s="17" t="n">
        <v>101942.22</v>
      </c>
      <c r="G528" s="14">
        <f>E528*F528</f>
        <v/>
      </c>
      <c r="H528" s="14">
        <f>C528*G528</f>
        <v/>
      </c>
    </row>
    <row r="529">
      <c r="A529" s="12" t="inlineStr">
        <is>
          <t>RET-0045</t>
        </is>
      </c>
      <c r="B529" s="12" t="inlineStr">
        <is>
          <t>VS18</t>
        </is>
      </c>
      <c r="C529" s="28" t="n">
        <v>0.028</v>
      </c>
      <c r="D529" s="12" t="inlineStr">
        <is>
          <t>PO-2022-1712</t>
        </is>
      </c>
      <c r="E529" s="12" t="n">
        <v>4.93</v>
      </c>
      <c r="F529" s="17" t="n">
        <v>81202.97</v>
      </c>
      <c r="G529" s="14">
        <f>E529*F529</f>
        <v/>
      </c>
      <c r="H529" s="14">
        <f>C529*G529</f>
        <v/>
      </c>
    </row>
    <row r="530">
      <c r="A530" s="12" t="inlineStr">
        <is>
          <t>RET-0045</t>
        </is>
      </c>
      <c r="B530" s="12" t="inlineStr">
        <is>
          <t>VS19</t>
        </is>
      </c>
      <c r="C530" s="28" t="n">
        <v>0.0743</v>
      </c>
      <c r="D530" s="12" t="inlineStr">
        <is>
          <t>PO-2022-3131</t>
        </is>
      </c>
      <c r="E530" s="12" t="n">
        <v>4.93</v>
      </c>
      <c r="F530" s="17" t="n">
        <v>118835.31</v>
      </c>
      <c r="G530" s="14">
        <f>E530*F530</f>
        <v/>
      </c>
      <c r="H530" s="14">
        <f>C530*G530</f>
        <v/>
      </c>
    </row>
    <row r="531">
      <c r="A531" s="12" t="inlineStr">
        <is>
          <t>RET-0045</t>
        </is>
      </c>
      <c r="B531" s="12" t="inlineStr">
        <is>
          <t>VS20</t>
        </is>
      </c>
      <c r="C531" s="28" t="n">
        <v>0.0156</v>
      </c>
      <c r="D531" s="12" t="inlineStr">
        <is>
          <t>PO-2023-4420</t>
        </is>
      </c>
      <c r="E531" s="12" t="n">
        <v>2.12</v>
      </c>
      <c r="F531" s="17" t="n">
        <v>58874.36</v>
      </c>
      <c r="G531" s="14">
        <f>E531*F531</f>
        <v/>
      </c>
      <c r="H531" s="14">
        <f>C531*G531</f>
        <v/>
      </c>
    </row>
    <row r="532">
      <c r="A532" s="12" t="inlineStr">
        <is>
          <t>RET-0045</t>
        </is>
      </c>
      <c r="B532" s="12" t="inlineStr">
        <is>
          <t>VS21</t>
        </is>
      </c>
      <c r="C532" s="28" t="n">
        <v>0.0156</v>
      </c>
      <c r="D532" s="12" t="inlineStr">
        <is>
          <t>PO-2021-0190</t>
        </is>
      </c>
      <c r="E532" s="12" t="n">
        <v>4.93</v>
      </c>
      <c r="F532" s="17" t="n">
        <v>50121.47</v>
      </c>
      <c r="G532" s="14">
        <f>E532*F532</f>
        <v/>
      </c>
      <c r="H532" s="14">
        <f>C532*G532</f>
        <v/>
      </c>
    </row>
    <row r="533">
      <c r="A533" s="12" t="inlineStr">
        <is>
          <t>RET-0045</t>
        </is>
      </c>
      <c r="B533" s="12" t="inlineStr">
        <is>
          <t>VS22</t>
        </is>
      </c>
      <c r="C533" s="28" t="n">
        <v>0.009299999999999999</v>
      </c>
      <c r="D533" s="12" t="inlineStr">
        <is>
          <t>PO-2023-3945</t>
        </is>
      </c>
      <c r="E533" s="12" t="n">
        <v>4.93</v>
      </c>
      <c r="F533" s="17" t="n">
        <v>69619.17999999999</v>
      </c>
      <c r="G533" s="14">
        <f>E533*F533</f>
        <v/>
      </c>
      <c r="H533" s="14">
        <f>C533*G533</f>
        <v/>
      </c>
    </row>
    <row r="534">
      <c r="A534" s="12" t="inlineStr">
        <is>
          <t>RET-0045</t>
        </is>
      </c>
      <c r="B534" s="12" t="inlineStr">
        <is>
          <t>VS23</t>
        </is>
      </c>
      <c r="C534" s="28" t="n">
        <v>0.0154</v>
      </c>
      <c r="D534" s="12" t="inlineStr">
        <is>
          <t>PO-2021-0803</t>
        </is>
      </c>
      <c r="E534" s="12" t="n">
        <v>4.93</v>
      </c>
      <c r="F534" s="17" t="n">
        <v>119763.77</v>
      </c>
      <c r="G534" s="14">
        <f>E534*F534</f>
        <v/>
      </c>
      <c r="H534" s="14">
        <f>C534*G534</f>
        <v/>
      </c>
    </row>
    <row r="535">
      <c r="A535" s="12" t="inlineStr">
        <is>
          <t>RET-0045</t>
        </is>
      </c>
      <c r="B535" s="12" t="inlineStr">
        <is>
          <t>VS24</t>
        </is>
      </c>
      <c r="C535" s="28" t="n">
        <v>0.0155</v>
      </c>
      <c r="D535" s="12" t="inlineStr">
        <is>
          <t>PO-2022-2280</t>
        </is>
      </c>
      <c r="E535" s="12" t="n">
        <v>4.93</v>
      </c>
      <c r="F535" s="17" t="n">
        <v>74916.23</v>
      </c>
      <c r="G535" s="14">
        <f>E535*F535</f>
        <v/>
      </c>
      <c r="H535" s="14">
        <f>C535*G535</f>
        <v/>
      </c>
    </row>
    <row r="536">
      <c r="A536" s="12" t="inlineStr">
        <is>
          <t>RET-0045</t>
        </is>
      </c>
      <c r="B536" s="12" t="inlineStr">
        <is>
          <t>VS25</t>
        </is>
      </c>
      <c r="C536" s="28" t="n">
        <v>0.0281</v>
      </c>
      <c r="D536" s="12" t="inlineStr">
        <is>
          <t>PO-2021-0071</t>
        </is>
      </c>
      <c r="E536" s="12" t="n">
        <v>2.39</v>
      </c>
      <c r="F536" s="17" t="n">
        <v>108821.46</v>
      </c>
      <c r="G536" s="14">
        <f>E536*F536</f>
        <v/>
      </c>
      <c r="H536" s="14">
        <f>C536*G536</f>
        <v/>
      </c>
    </row>
    <row r="537">
      <c r="A537" s="12" t="inlineStr">
        <is>
          <t>RET-0045</t>
        </is>
      </c>
      <c r="B537" s="12" t="inlineStr">
        <is>
          <t>VS26</t>
        </is>
      </c>
      <c r="C537" s="28" t="n">
        <v>0.0157</v>
      </c>
      <c r="D537" s="12" t="inlineStr">
        <is>
          <t>PO-2023-3982</t>
        </is>
      </c>
      <c r="E537" s="12" t="n">
        <v>4.93</v>
      </c>
      <c r="F537" s="17" t="n">
        <v>101898.68</v>
      </c>
      <c r="G537" s="14">
        <f>E537*F537</f>
        <v/>
      </c>
      <c r="H537" s="14">
        <f>C537*G537</f>
        <v/>
      </c>
    </row>
    <row r="538">
      <c r="A538" s="12" t="inlineStr">
        <is>
          <t>RET-0045</t>
        </is>
      </c>
      <c r="B538" s="12" t="inlineStr">
        <is>
          <t>VS27</t>
        </is>
      </c>
      <c r="C538" s="28" t="n">
        <v>0.0154</v>
      </c>
      <c r="D538" s="12" t="inlineStr">
        <is>
          <t>PO-2023-3542</t>
        </is>
      </c>
      <c r="E538" s="12" t="n">
        <v>4.93</v>
      </c>
      <c r="F538" s="17" t="n">
        <v>59061.87</v>
      </c>
      <c r="G538" s="14">
        <f>E538*F538</f>
        <v/>
      </c>
      <c r="H538" s="14">
        <f>C538*G538</f>
        <v/>
      </c>
    </row>
    <row r="539">
      <c r="A539" s="12" t="inlineStr">
        <is>
          <t>RET-0045</t>
        </is>
      </c>
      <c r="B539" s="12" t="inlineStr">
        <is>
          <t>VS28</t>
        </is>
      </c>
      <c r="C539" s="28" t="n">
        <v>0.0343</v>
      </c>
      <c r="D539" s="12" t="inlineStr">
        <is>
          <t>PO-2021-0804</t>
        </is>
      </c>
      <c r="E539" s="12" t="n">
        <v>4.93</v>
      </c>
      <c r="F539" s="17" t="n">
        <v>87235.85000000001</v>
      </c>
      <c r="G539" s="14">
        <f>E539*F539</f>
        <v/>
      </c>
      <c r="H539" s="14">
        <f>C539*G539</f>
        <v/>
      </c>
    </row>
    <row r="540">
      <c r="A540" s="12" t="inlineStr">
        <is>
          <t>RET-0045</t>
        </is>
      </c>
      <c r="B540" s="12" t="inlineStr">
        <is>
          <t>VS29</t>
        </is>
      </c>
      <c r="C540" s="28" t="n">
        <v>0.0218</v>
      </c>
      <c r="D540" s="12" t="inlineStr">
        <is>
          <t>PO-2021-1487</t>
        </is>
      </c>
      <c r="E540" s="12" t="n">
        <v>4.93</v>
      </c>
      <c r="F540" s="17" t="n">
        <v>54661.2</v>
      </c>
      <c r="G540" s="14">
        <f>E540*F540</f>
        <v/>
      </c>
      <c r="H540" s="14">
        <f>C540*G540</f>
        <v/>
      </c>
    </row>
    <row r="541">
      <c r="A541" s="12" t="inlineStr">
        <is>
          <t>RET-0045</t>
        </is>
      </c>
      <c r="B541" s="12" t="inlineStr">
        <is>
          <t>VS30</t>
        </is>
      </c>
      <c r="C541" s="28" t="n">
        <v>0.0094</v>
      </c>
      <c r="D541" s="12" t="inlineStr">
        <is>
          <t>PO-2023-4092</t>
        </is>
      </c>
      <c r="E541" s="12" t="n">
        <v>4.93</v>
      </c>
      <c r="F541" s="17" t="n">
        <v>55050.98</v>
      </c>
      <c r="G541" s="14">
        <f>E541*F541</f>
        <v/>
      </c>
      <c r="H541" s="14">
        <f>C541*G541</f>
        <v/>
      </c>
    </row>
    <row r="542">
      <c r="A542" s="12" t="inlineStr">
        <is>
          <t>RET-0045</t>
        </is>
      </c>
      <c r="B542" s="12" t="inlineStr">
        <is>
          <t>VS31</t>
        </is>
      </c>
      <c r="C542" s="28" t="n">
        <v>0.0342</v>
      </c>
      <c r="D542" s="12" t="inlineStr">
        <is>
          <t>PO-2022-2712</t>
        </is>
      </c>
      <c r="E542" s="12" t="n">
        <v>4.93</v>
      </c>
      <c r="F542" s="17" t="n">
        <v>88991.78</v>
      </c>
      <c r="G542" s="14">
        <f>E542*F542</f>
        <v/>
      </c>
      <c r="H542" s="14">
        <f>C542*G542</f>
        <v/>
      </c>
    </row>
    <row r="543">
      <c r="A543" s="12" t="inlineStr">
        <is>
          <t>RET-0045</t>
        </is>
      </c>
      <c r="B543" s="12" t="inlineStr">
        <is>
          <t>VS32</t>
        </is>
      </c>
      <c r="C543" s="28" t="n">
        <v>0.0407</v>
      </c>
      <c r="D543" s="12" t="inlineStr">
        <is>
          <t>PO-2022-2704</t>
        </is>
      </c>
      <c r="E543" s="12" t="n">
        <v>4.93</v>
      </c>
      <c r="F543" s="17" t="n">
        <v>52148.08</v>
      </c>
      <c r="G543" s="14">
        <f>E543*F543</f>
        <v/>
      </c>
      <c r="H543" s="14">
        <f>C543*G543</f>
        <v/>
      </c>
    </row>
    <row r="544">
      <c r="A544" s="12" t="inlineStr">
        <is>
          <t>RET-0045</t>
        </is>
      </c>
      <c r="B544" s="12" t="inlineStr">
        <is>
          <t>VS33</t>
        </is>
      </c>
      <c r="C544" s="28" t="n">
        <v>0.0217</v>
      </c>
      <c r="D544" s="12" t="inlineStr">
        <is>
          <t>PO-2022-1716</t>
        </is>
      </c>
      <c r="E544" s="12" t="n">
        <v>4.93</v>
      </c>
      <c r="F544" s="17" t="n">
        <v>68386.91</v>
      </c>
      <c r="G544" s="14">
        <f>E544*F544</f>
        <v/>
      </c>
      <c r="H544" s="14">
        <f>C544*G544</f>
        <v/>
      </c>
    </row>
    <row r="545">
      <c r="A545" s="12" t="inlineStr">
        <is>
          <t>RET-0045</t>
        </is>
      </c>
      <c r="B545" s="12" t="inlineStr">
        <is>
          <t>VS34</t>
        </is>
      </c>
      <c r="C545" s="28" t="n">
        <v>0.028</v>
      </c>
      <c r="D545" s="12" t="inlineStr">
        <is>
          <t>PO-2023-3610</t>
        </is>
      </c>
      <c r="E545" s="12" t="n">
        <v>4.93</v>
      </c>
      <c r="F545" s="17" t="n">
        <v>114094.84</v>
      </c>
      <c r="G545" s="14">
        <f>E545*F545</f>
        <v/>
      </c>
      <c r="H545" s="14">
        <f>C545*G545</f>
        <v/>
      </c>
    </row>
    <row r="546">
      <c r="A546" s="12" t="inlineStr">
        <is>
          <t>RET-0048</t>
        </is>
      </c>
      <c r="B546" s="12" t="inlineStr">
        <is>
          <t>VS01</t>
        </is>
      </c>
      <c r="C546" s="28" t="n">
        <v>0.0338</v>
      </c>
      <c r="D546" s="12" t="inlineStr">
        <is>
          <t>PO-2023-4085</t>
        </is>
      </c>
      <c r="E546" s="12" t="n">
        <v>2.51</v>
      </c>
      <c r="F546" s="17" t="n">
        <v>70089.19</v>
      </c>
      <c r="G546" s="14">
        <f>E546*F546</f>
        <v/>
      </c>
      <c r="H546" s="14">
        <f>C546*G546</f>
        <v/>
      </c>
    </row>
    <row r="547">
      <c r="A547" s="12" t="inlineStr">
        <is>
          <t>RET-0048</t>
        </is>
      </c>
      <c r="B547" s="12" t="inlineStr">
        <is>
          <t>VS02</t>
        </is>
      </c>
      <c r="C547" s="28" t="n">
        <v>0.0154</v>
      </c>
      <c r="D547" s="12" t="inlineStr">
        <is>
          <t>PO-2022-2434</t>
        </is>
      </c>
      <c r="E547" s="12" t="n">
        <v>2.51</v>
      </c>
      <c r="F547" s="17" t="n">
        <v>59009.3</v>
      </c>
      <c r="G547" s="14">
        <f>E547*F547</f>
        <v/>
      </c>
      <c r="H547" s="14">
        <f>C547*G547</f>
        <v/>
      </c>
    </row>
    <row r="548">
      <c r="A548" s="12" t="inlineStr">
        <is>
          <t>RET-0048</t>
        </is>
      </c>
      <c r="B548" s="12" t="inlineStr">
        <is>
          <t>VS03</t>
        </is>
      </c>
      <c r="C548" s="28" t="n">
        <v>0.0745</v>
      </c>
      <c r="D548" s="12" t="inlineStr">
        <is>
          <t>PO-2021-1531</t>
        </is>
      </c>
      <c r="E548" s="12" t="n">
        <v>2.51</v>
      </c>
      <c r="F548" s="17" t="n">
        <v>120773.32</v>
      </c>
      <c r="G548" s="14">
        <f>E548*F548</f>
        <v/>
      </c>
      <c r="H548" s="14">
        <f>C548*G548</f>
        <v/>
      </c>
    </row>
    <row r="549">
      <c r="A549" s="12" t="inlineStr">
        <is>
          <t>RET-0048</t>
        </is>
      </c>
      <c r="B549" s="12" t="inlineStr">
        <is>
          <t>VS04</t>
        </is>
      </c>
      <c r="C549" s="28" t="n">
        <v>0.0212</v>
      </c>
      <c r="D549" s="12" t="inlineStr">
        <is>
          <t>PO-2023-3301</t>
        </is>
      </c>
      <c r="E549" s="12" t="n">
        <v>2.51</v>
      </c>
      <c r="F549" s="17" t="n">
        <v>72764.63</v>
      </c>
      <c r="G549" s="14">
        <f>E549*F549</f>
        <v/>
      </c>
      <c r="H549" s="14">
        <f>C549*G549</f>
        <v/>
      </c>
    </row>
    <row r="550">
      <c r="A550" s="12" t="inlineStr">
        <is>
          <t>RET-0048</t>
        </is>
      </c>
      <c r="B550" s="12" t="inlineStr">
        <is>
          <t>VS05</t>
        </is>
      </c>
      <c r="C550" s="28" t="n">
        <v>0.0275</v>
      </c>
      <c r="D550" s="12" t="inlineStr">
        <is>
          <t>PO-2021-0189</t>
        </is>
      </c>
      <c r="E550" s="12" t="n">
        <v>2.51</v>
      </c>
      <c r="F550" s="17" t="n">
        <v>92096.16</v>
      </c>
      <c r="G550" s="14">
        <f>E550*F550</f>
        <v/>
      </c>
      <c r="H550" s="14">
        <f>C550*G550</f>
        <v/>
      </c>
    </row>
    <row r="551">
      <c r="A551" s="12" t="inlineStr">
        <is>
          <t>RET-0048</t>
        </is>
      </c>
      <c r="B551" s="12" t="inlineStr">
        <is>
          <t>VS06</t>
        </is>
      </c>
      <c r="C551" s="28" t="n">
        <v>0.0278</v>
      </c>
      <c r="D551" s="12" t="inlineStr">
        <is>
          <t>PO-2021-1364</t>
        </is>
      </c>
      <c r="E551" s="12" t="n">
        <v>2.51</v>
      </c>
      <c r="F551" s="17" t="n">
        <v>86468.00999999999</v>
      </c>
      <c r="G551" s="14">
        <f>E551*F551</f>
        <v/>
      </c>
      <c r="H551" s="14">
        <f>C551*G551</f>
        <v/>
      </c>
    </row>
    <row r="552">
      <c r="A552" s="12" t="inlineStr">
        <is>
          <t>RET-0048</t>
        </is>
      </c>
      <c r="B552" s="12" t="inlineStr">
        <is>
          <t>VS07</t>
        </is>
      </c>
      <c r="C552" s="28" t="n">
        <v>0.009299999999999999</v>
      </c>
      <c r="D552" s="12" t="inlineStr">
        <is>
          <t>PO-2023-3983</t>
        </is>
      </c>
      <c r="E552" s="12" t="n">
        <v>2.51</v>
      </c>
      <c r="F552" s="17" t="n">
        <v>77321.5</v>
      </c>
      <c r="G552" s="14">
        <f>E552*F552</f>
        <v/>
      </c>
      <c r="H552" s="14">
        <f>C552*G552</f>
        <v/>
      </c>
    </row>
    <row r="553">
      <c r="A553" s="12" t="inlineStr">
        <is>
          <t>RET-0048</t>
        </is>
      </c>
      <c r="B553" s="12" t="inlineStr">
        <is>
          <t>VS08</t>
        </is>
      </c>
      <c r="C553" s="28" t="n">
        <v>0.028</v>
      </c>
      <c r="D553" s="12" t="inlineStr">
        <is>
          <t>PO-2023-3720</t>
        </is>
      </c>
      <c r="E553" s="12" t="n">
        <v>2.51</v>
      </c>
      <c r="F553" s="17" t="n">
        <v>117684.54</v>
      </c>
      <c r="G553" s="14">
        <f>E553*F553</f>
        <v/>
      </c>
      <c r="H553" s="14">
        <f>C553*G553</f>
        <v/>
      </c>
    </row>
    <row r="554">
      <c r="A554" s="12" t="inlineStr">
        <is>
          <t>RET-0048</t>
        </is>
      </c>
      <c r="B554" s="12" t="inlineStr">
        <is>
          <t>VS09</t>
        </is>
      </c>
      <c r="C554" s="28" t="n">
        <v>0.0215</v>
      </c>
      <c r="D554" s="12" t="inlineStr">
        <is>
          <t>PO-2022-2661</t>
        </is>
      </c>
      <c r="E554" s="12" t="n">
        <v>2.51</v>
      </c>
      <c r="F554" s="17" t="n">
        <v>81788.13</v>
      </c>
      <c r="G554" s="14">
        <f>E554*F554</f>
        <v/>
      </c>
      <c r="H554" s="14">
        <f>C554*G554</f>
        <v/>
      </c>
    </row>
    <row r="555">
      <c r="A555" s="12" t="inlineStr">
        <is>
          <t>RET-0048</t>
        </is>
      </c>
      <c r="B555" s="12" t="inlineStr">
        <is>
          <t>VS10</t>
        </is>
      </c>
      <c r="C555" s="28" t="n">
        <v>0.0338</v>
      </c>
      <c r="D555" s="12" t="inlineStr">
        <is>
          <t>PO-2023-3506</t>
        </is>
      </c>
      <c r="E555" s="12" t="n">
        <v>2.51</v>
      </c>
      <c r="F555" s="17" t="n">
        <v>64876.1</v>
      </c>
      <c r="G555" s="14">
        <f>E555*F555</f>
        <v/>
      </c>
      <c r="H555" s="14">
        <f>C555*G555</f>
        <v/>
      </c>
    </row>
    <row r="556">
      <c r="A556" s="12" t="inlineStr">
        <is>
          <t>RET-0048</t>
        </is>
      </c>
      <c r="B556" s="12" t="inlineStr">
        <is>
          <t>VS11</t>
        </is>
      </c>
      <c r="C556" s="28" t="n">
        <v>0.0396</v>
      </c>
      <c r="D556" s="12" t="inlineStr">
        <is>
          <t>PO-2023-3421</t>
        </is>
      </c>
      <c r="E556" s="12" t="n">
        <v>2.51</v>
      </c>
      <c r="F556" s="17" t="n">
        <v>67895.53999999999</v>
      </c>
      <c r="G556" s="14">
        <f>E556*F556</f>
        <v/>
      </c>
      <c r="H556" s="14">
        <f>C556*G556</f>
        <v/>
      </c>
    </row>
    <row r="557">
      <c r="A557" s="12" t="inlineStr">
        <is>
          <t>RET-0048</t>
        </is>
      </c>
      <c r="B557" s="12" t="inlineStr">
        <is>
          <t>VS12</t>
        </is>
      </c>
      <c r="C557" s="28" t="n">
        <v>0.1035</v>
      </c>
      <c r="D557" s="12" t="inlineStr">
        <is>
          <t>PO-2022-2038</t>
        </is>
      </c>
      <c r="E557" s="12" t="n">
        <v>2.51</v>
      </c>
      <c r="F557" s="17" t="n">
        <v>123581.85</v>
      </c>
      <c r="G557" s="14">
        <f>E557*F557</f>
        <v/>
      </c>
      <c r="H557" s="14">
        <f>C557*G557</f>
        <v/>
      </c>
    </row>
    <row r="558">
      <c r="A558" s="12" t="inlineStr">
        <is>
          <t>RET-0048</t>
        </is>
      </c>
      <c r="B558" s="12" t="inlineStr">
        <is>
          <t>VS13</t>
        </is>
      </c>
      <c r="C558" s="28" t="n">
        <v>0.0272</v>
      </c>
      <c r="D558" s="12" t="inlineStr">
        <is>
          <t>PO-2021-0268</t>
        </is>
      </c>
      <c r="E558" s="12" t="n">
        <v>2.51</v>
      </c>
      <c r="F558" s="17" t="n">
        <v>83604.36</v>
      </c>
      <c r="G558" s="14">
        <f>E558*F558</f>
        <v/>
      </c>
      <c r="H558" s="14">
        <f>C558*G558</f>
        <v/>
      </c>
    </row>
    <row r="559">
      <c r="A559" s="12" t="inlineStr">
        <is>
          <t>RET-0048</t>
        </is>
      </c>
      <c r="B559" s="12" t="inlineStr">
        <is>
          <t>VS14</t>
        </is>
      </c>
      <c r="C559" s="28" t="n">
        <v>0.0275</v>
      </c>
      <c r="D559" s="12" t="inlineStr">
        <is>
          <t>PO-2021-1201</t>
        </is>
      </c>
      <c r="E559" s="12" t="n">
        <v>2.51</v>
      </c>
      <c r="F559" s="17" t="n">
        <v>118663.96</v>
      </c>
      <c r="G559" s="14">
        <f>E559*F559</f>
        <v/>
      </c>
      <c r="H559" s="14">
        <f>C559*G559</f>
        <v/>
      </c>
    </row>
    <row r="560">
      <c r="A560" s="12" t="inlineStr">
        <is>
          <t>RET-0048</t>
        </is>
      </c>
      <c r="B560" s="12" t="inlineStr">
        <is>
          <t>VS15</t>
        </is>
      </c>
      <c r="C560" s="28" t="n">
        <v>0.0092</v>
      </c>
      <c r="D560" s="12" t="inlineStr">
        <is>
          <t>PO-2021-0505</t>
        </is>
      </c>
      <c r="E560" s="12" t="n">
        <v>2.51</v>
      </c>
      <c r="F560" s="17" t="n">
        <v>100049.62</v>
      </c>
      <c r="G560" s="14">
        <f>E560*F560</f>
        <v/>
      </c>
      <c r="H560" s="14">
        <f>C560*G560</f>
        <v/>
      </c>
    </row>
    <row r="561">
      <c r="A561" s="12" t="inlineStr">
        <is>
          <t>RET-0048</t>
        </is>
      </c>
      <c r="B561" s="12" t="inlineStr">
        <is>
          <t>VS16</t>
        </is>
      </c>
      <c r="C561" s="28" t="n">
        <v>0.0397</v>
      </c>
      <c r="D561" s="12" t="inlineStr">
        <is>
          <t>PO-2021-0917</t>
        </is>
      </c>
      <c r="E561" s="12" t="n">
        <v>2.51</v>
      </c>
      <c r="F561" s="17" t="n">
        <v>50842.08</v>
      </c>
      <c r="G561" s="14">
        <f>E561*F561</f>
        <v/>
      </c>
      <c r="H561" s="14">
        <f>C561*G561</f>
        <v/>
      </c>
    </row>
    <row r="562">
      <c r="A562" s="12" t="inlineStr">
        <is>
          <t>RET-0048</t>
        </is>
      </c>
      <c r="B562" s="12" t="inlineStr">
        <is>
          <t>VS17</t>
        </is>
      </c>
      <c r="C562" s="28" t="n">
        <v>0.0395</v>
      </c>
      <c r="D562" s="12" t="inlineStr">
        <is>
          <t>PO-2021-0963</t>
        </is>
      </c>
      <c r="E562" s="12" t="n">
        <v>2.51</v>
      </c>
      <c r="F562" s="17" t="n">
        <v>65796.56</v>
      </c>
      <c r="G562" s="14">
        <f>E562*F562</f>
        <v/>
      </c>
      <c r="H562" s="14">
        <f>C562*G562</f>
        <v/>
      </c>
    </row>
    <row r="563">
      <c r="A563" s="12" t="inlineStr">
        <is>
          <t>RET-0048</t>
        </is>
      </c>
      <c r="B563" s="12" t="inlineStr">
        <is>
          <t>VS18</t>
        </is>
      </c>
      <c r="C563" s="28" t="n">
        <v>0.0275</v>
      </c>
      <c r="D563" s="12" t="inlineStr">
        <is>
          <t>PO-2021-0726</t>
        </is>
      </c>
      <c r="E563" s="12" t="n">
        <v>2.51</v>
      </c>
      <c r="F563" s="17" t="n">
        <v>96233.05</v>
      </c>
      <c r="G563" s="14">
        <f>E563*F563</f>
        <v/>
      </c>
      <c r="H563" s="14">
        <f>C563*G563</f>
        <v/>
      </c>
    </row>
    <row r="564">
      <c r="A564" s="12" t="inlineStr">
        <is>
          <t>RET-0048</t>
        </is>
      </c>
      <c r="B564" s="12" t="inlineStr">
        <is>
          <t>VS19</t>
        </is>
      </c>
      <c r="C564" s="28" t="n">
        <v>0.0781</v>
      </c>
      <c r="D564" s="12" t="inlineStr">
        <is>
          <t>PO-2021-0941</t>
        </is>
      </c>
      <c r="E564" s="12" t="n">
        <v>0</v>
      </c>
      <c r="F564" s="17" t="n">
        <v>118783.43</v>
      </c>
      <c r="G564" s="14">
        <f>E564*F564</f>
        <v/>
      </c>
      <c r="H564" s="14">
        <f>C564*G564</f>
        <v/>
      </c>
    </row>
    <row r="565">
      <c r="A565" s="12" t="inlineStr">
        <is>
          <t>RET-0048</t>
        </is>
      </c>
      <c r="B565" s="12" t="inlineStr">
        <is>
          <t>VS20</t>
        </is>
      </c>
      <c r="C565" s="28" t="n">
        <v>0.0154</v>
      </c>
      <c r="D565" s="12" t="inlineStr">
        <is>
          <t>PO-2022-1757</t>
        </is>
      </c>
      <c r="E565" s="12" t="n">
        <v>2.51</v>
      </c>
      <c r="F565" s="17" t="n">
        <v>95919.24000000001</v>
      </c>
      <c r="G565" s="14">
        <f>E565*F565</f>
        <v/>
      </c>
      <c r="H565" s="14">
        <f>C565*G565</f>
        <v/>
      </c>
    </row>
    <row r="566">
      <c r="A566" s="12" t="inlineStr">
        <is>
          <t>RET-0048</t>
        </is>
      </c>
      <c r="B566" s="12" t="inlineStr">
        <is>
          <t>VS21</t>
        </is>
      </c>
      <c r="C566" s="28" t="n">
        <v>0.0153</v>
      </c>
      <c r="D566" s="12" t="inlineStr">
        <is>
          <t>PO-2022-3198</t>
        </is>
      </c>
      <c r="E566" s="12" t="n">
        <v>2.51</v>
      </c>
      <c r="F566" s="17" t="n">
        <v>106173.41</v>
      </c>
      <c r="G566" s="14">
        <f>E566*F566</f>
        <v/>
      </c>
      <c r="H566" s="14">
        <f>C566*G566</f>
        <v/>
      </c>
    </row>
    <row r="567">
      <c r="A567" s="12" t="inlineStr">
        <is>
          <t>RET-0048</t>
        </is>
      </c>
      <c r="B567" s="12" t="inlineStr">
        <is>
          <t>VS22</t>
        </is>
      </c>
      <c r="C567" s="28" t="n">
        <v>0.0091</v>
      </c>
      <c r="D567" s="12" t="inlineStr">
        <is>
          <t>PO-2022-1665</t>
        </is>
      </c>
      <c r="E567" s="12" t="n">
        <v>2.51</v>
      </c>
      <c r="F567" s="17" t="n">
        <v>119462.18</v>
      </c>
      <c r="G567" s="14">
        <f>E567*F567</f>
        <v/>
      </c>
      <c r="H567" s="14">
        <f>C567*G567</f>
        <v/>
      </c>
    </row>
    <row r="568">
      <c r="A568" s="12" t="inlineStr">
        <is>
          <t>RET-0048</t>
        </is>
      </c>
      <c r="B568" s="12" t="inlineStr">
        <is>
          <t>VS23</t>
        </is>
      </c>
      <c r="C568" s="28" t="n">
        <v>0.0151</v>
      </c>
      <c r="D568" s="12" t="inlineStr">
        <is>
          <t>PO-2021-0550</t>
        </is>
      </c>
      <c r="E568" s="12" t="n">
        <v>2.51</v>
      </c>
      <c r="F568" s="17" t="n">
        <v>64399.49</v>
      </c>
      <c r="G568" s="14">
        <f>E568*F568</f>
        <v/>
      </c>
      <c r="H568" s="14">
        <f>C568*G568</f>
        <v/>
      </c>
    </row>
    <row r="569">
      <c r="A569" s="12" t="inlineStr">
        <is>
          <t>RET-0048</t>
        </is>
      </c>
      <c r="B569" s="12" t="inlineStr">
        <is>
          <t>VS24</t>
        </is>
      </c>
      <c r="C569" s="28" t="n">
        <v>0.0153</v>
      </c>
      <c r="D569" s="12" t="inlineStr">
        <is>
          <t>PO-2021-0062</t>
        </is>
      </c>
      <c r="E569" s="12" t="n">
        <v>2.51</v>
      </c>
      <c r="F569" s="17" t="n">
        <v>117280.11</v>
      </c>
      <c r="G569" s="14">
        <f>E569*F569</f>
        <v/>
      </c>
      <c r="H569" s="14">
        <f>C569*G569</f>
        <v/>
      </c>
    </row>
    <row r="570">
      <c r="A570" s="12" t="inlineStr">
        <is>
          <t>RET-0048</t>
        </is>
      </c>
      <c r="B570" s="12" t="inlineStr">
        <is>
          <t>VS25</t>
        </is>
      </c>
      <c r="C570" s="28" t="n">
        <v>0.0277</v>
      </c>
      <c r="D570" s="12" t="inlineStr">
        <is>
          <t>PO-2021-1293</t>
        </is>
      </c>
      <c r="E570" s="12" t="n">
        <v>2.51</v>
      </c>
      <c r="F570" s="17" t="n">
        <v>105890.23</v>
      </c>
      <c r="G570" s="14">
        <f>E570*F570</f>
        <v/>
      </c>
      <c r="H570" s="14">
        <f>C570*G570</f>
        <v/>
      </c>
    </row>
    <row r="571">
      <c r="A571" s="12" t="inlineStr">
        <is>
          <t>RET-0048</t>
        </is>
      </c>
      <c r="B571" s="12" t="inlineStr">
        <is>
          <t>VS26</t>
        </is>
      </c>
      <c r="C571" s="28" t="n">
        <v>0.0154</v>
      </c>
      <c r="D571" s="12" t="inlineStr">
        <is>
          <t>PO-2021-0054</t>
        </is>
      </c>
      <c r="E571" s="12" t="n">
        <v>2.51</v>
      </c>
      <c r="F571" s="17" t="n">
        <v>113965.62</v>
      </c>
      <c r="G571" s="14">
        <f>E571*F571</f>
        <v/>
      </c>
      <c r="H571" s="14">
        <f>C571*G571</f>
        <v/>
      </c>
    </row>
    <row r="572">
      <c r="A572" s="12" t="inlineStr">
        <is>
          <t>RET-0048</t>
        </is>
      </c>
      <c r="B572" s="12" t="inlineStr">
        <is>
          <t>VS27</t>
        </is>
      </c>
      <c r="C572" s="28" t="n">
        <v>0.0151</v>
      </c>
      <c r="D572" s="12" t="inlineStr">
        <is>
          <t>PO-2021-1273</t>
        </is>
      </c>
      <c r="E572" s="12" t="n">
        <v>2.51</v>
      </c>
      <c r="F572" s="17" t="n">
        <v>117084.25</v>
      </c>
      <c r="G572" s="14">
        <f>E572*F572</f>
        <v/>
      </c>
      <c r="H572" s="14">
        <f>C572*G572</f>
        <v/>
      </c>
    </row>
    <row r="573">
      <c r="A573" s="12" t="inlineStr">
        <is>
          <t>RET-0048</t>
        </is>
      </c>
      <c r="B573" s="12" t="inlineStr">
        <is>
          <t>VS28</t>
        </is>
      </c>
      <c r="C573" s="28" t="n">
        <v>0.0338</v>
      </c>
      <c r="D573" s="12" t="inlineStr">
        <is>
          <t>PO-2023-4407</t>
        </is>
      </c>
      <c r="E573" s="12" t="n">
        <v>2.51</v>
      </c>
      <c r="F573" s="17" t="n">
        <v>107409.37</v>
      </c>
      <c r="G573" s="14">
        <f>E573*F573</f>
        <v/>
      </c>
      <c r="H573" s="14">
        <f>C573*G573</f>
        <v/>
      </c>
    </row>
    <row r="574">
      <c r="A574" s="12" t="inlineStr">
        <is>
          <t>RET-0048</t>
        </is>
      </c>
      <c r="B574" s="12" t="inlineStr">
        <is>
          <t>VS29</t>
        </is>
      </c>
      <c r="C574" s="28" t="n">
        <v>0.0214</v>
      </c>
      <c r="D574" s="12" t="inlineStr">
        <is>
          <t>PO-2022-2652</t>
        </is>
      </c>
      <c r="E574" s="12" t="n">
        <v>2.51</v>
      </c>
      <c r="F574" s="17" t="n">
        <v>89570.22</v>
      </c>
      <c r="G574" s="14">
        <f>E574*F574</f>
        <v/>
      </c>
      <c r="H574" s="14">
        <f>C574*G574</f>
        <v/>
      </c>
    </row>
    <row r="575">
      <c r="A575" s="12" t="inlineStr">
        <is>
          <t>RET-0048</t>
        </is>
      </c>
      <c r="B575" s="12" t="inlineStr">
        <is>
          <t>VS30</t>
        </is>
      </c>
      <c r="C575" s="28" t="n">
        <v>0.0092</v>
      </c>
      <c r="D575" s="12" t="inlineStr">
        <is>
          <t>PO-2023-3650</t>
        </is>
      </c>
      <c r="E575" s="12" t="n">
        <v>2.51</v>
      </c>
      <c r="F575" s="17" t="n">
        <v>57149.82</v>
      </c>
      <c r="G575" s="14">
        <f>E575*F575</f>
        <v/>
      </c>
      <c r="H575" s="14">
        <f>C575*G575</f>
        <v/>
      </c>
    </row>
    <row r="576">
      <c r="A576" s="12" t="inlineStr">
        <is>
          <t>RET-0048</t>
        </is>
      </c>
      <c r="B576" s="12" t="inlineStr">
        <is>
          <t>VS31</t>
        </is>
      </c>
      <c r="C576" s="28" t="n">
        <v>0.0336</v>
      </c>
      <c r="D576" s="12" t="inlineStr">
        <is>
          <t>PO-2022-2485</t>
        </is>
      </c>
      <c r="E576" s="12" t="n">
        <v>2.51</v>
      </c>
      <c r="F576" s="17" t="n">
        <v>109023.52</v>
      </c>
      <c r="G576" s="14">
        <f>E576*F576</f>
        <v/>
      </c>
      <c r="H576" s="14">
        <f>C576*G576</f>
        <v/>
      </c>
    </row>
    <row r="577">
      <c r="A577" s="12" t="inlineStr">
        <is>
          <t>RET-0048</t>
        </is>
      </c>
      <c r="B577" s="12" t="inlineStr">
        <is>
          <t>VS32</t>
        </is>
      </c>
      <c r="C577" s="28" t="n">
        <v>0.04</v>
      </c>
      <c r="D577" s="12" t="inlineStr">
        <is>
          <t>PO-2023-3834</t>
        </is>
      </c>
      <c r="E577" s="12" t="n">
        <v>2.51</v>
      </c>
      <c r="F577" s="17" t="n">
        <v>48787.33</v>
      </c>
      <c r="G577" s="14">
        <f>E577*F577</f>
        <v/>
      </c>
      <c r="H577" s="14">
        <f>C577*G577</f>
        <v/>
      </c>
    </row>
    <row r="578">
      <c r="A578" s="12" t="inlineStr">
        <is>
          <t>RET-0048</t>
        </is>
      </c>
      <c r="B578" s="12" t="inlineStr">
        <is>
          <t>VS33</t>
        </is>
      </c>
      <c r="C578" s="28" t="n">
        <v>0.0213</v>
      </c>
      <c r="D578" s="12" t="inlineStr">
        <is>
          <t>PO-2023-4702</t>
        </is>
      </c>
      <c r="E578" s="12" t="n">
        <v>2.51</v>
      </c>
      <c r="F578" s="17" t="n">
        <v>53269.3</v>
      </c>
      <c r="G578" s="14">
        <f>E578*F578</f>
        <v/>
      </c>
      <c r="H578" s="14">
        <f>C578*G578</f>
        <v/>
      </c>
    </row>
    <row r="579">
      <c r="A579" s="12" t="inlineStr">
        <is>
          <t>RET-0048</t>
        </is>
      </c>
      <c r="B579" s="12" t="inlineStr">
        <is>
          <t>VS34</t>
        </is>
      </c>
      <c r="C579" s="28" t="n">
        <v>0.0276</v>
      </c>
      <c r="D579" s="12" t="inlineStr">
        <is>
          <t>PO-2022-3135</t>
        </is>
      </c>
      <c r="E579" s="12" t="n">
        <v>2.51</v>
      </c>
      <c r="F579" s="17" t="n">
        <v>79645.78</v>
      </c>
      <c r="G579" s="14">
        <f>E579*F579</f>
        <v/>
      </c>
      <c r="H579" s="14">
        <f>C579*G579</f>
        <v/>
      </c>
    </row>
    <row r="580">
      <c r="A580" s="12" t="inlineStr">
        <is>
          <t>RET-0049</t>
        </is>
      </c>
      <c r="B580" s="12" t="inlineStr">
        <is>
          <t>VS01</t>
        </is>
      </c>
      <c r="C580" s="28" t="n">
        <v>0.0234</v>
      </c>
      <c r="D580" s="12" t="inlineStr">
        <is>
          <t>PO-2022-3047</t>
        </is>
      </c>
      <c r="E580" s="12" t="n">
        <v>4.32</v>
      </c>
      <c r="F580" s="17" t="n">
        <v>52542.87</v>
      </c>
      <c r="G580" s="14">
        <f>E580*F580</f>
        <v/>
      </c>
      <c r="H580" s="14">
        <f>C580*G580</f>
        <v/>
      </c>
    </row>
    <row r="581">
      <c r="A581" s="12" t="inlineStr">
        <is>
          <t>RET-0049</t>
        </is>
      </c>
      <c r="B581" s="12" t="inlineStr">
        <is>
          <t>VS02</t>
        </is>
      </c>
      <c r="C581" s="28" t="n">
        <v>0.0106</v>
      </c>
      <c r="D581" s="12" t="inlineStr">
        <is>
          <t>PO-2023-3881</t>
        </is>
      </c>
      <c r="E581" s="12" t="n">
        <v>4.32</v>
      </c>
      <c r="F581" s="17" t="n">
        <v>45933.57</v>
      </c>
      <c r="G581" s="14">
        <f>E581*F581</f>
        <v/>
      </c>
      <c r="H581" s="14">
        <f>C581*G581</f>
        <v/>
      </c>
    </row>
    <row r="582">
      <c r="A582" s="12" t="inlineStr">
        <is>
          <t>RET-0049</t>
        </is>
      </c>
      <c r="B582" s="12" t="inlineStr">
        <is>
          <t>VS03</t>
        </is>
      </c>
      <c r="C582" s="28" t="n">
        <v>0.1413</v>
      </c>
      <c r="D582" s="12" t="inlineStr">
        <is>
          <t>PO-2021-0547</t>
        </is>
      </c>
      <c r="E582" s="12" t="n">
        <v>2.863</v>
      </c>
      <c r="F582" s="17" t="n">
        <v>74909.25999999999</v>
      </c>
      <c r="G582" s="14">
        <f>E582*F582</f>
        <v/>
      </c>
      <c r="H582" s="14">
        <f>C582*G582</f>
        <v/>
      </c>
    </row>
    <row r="583">
      <c r="A583" s="12" t="inlineStr">
        <is>
          <t>RET-0049</t>
        </is>
      </c>
      <c r="B583" s="12" t="inlineStr">
        <is>
          <t>VS04</t>
        </is>
      </c>
      <c r="C583" s="28" t="n">
        <v>0.0147</v>
      </c>
      <c r="D583" s="12" t="inlineStr">
        <is>
          <t>PO-2022-2756</t>
        </is>
      </c>
      <c r="E583" s="12" t="n">
        <v>4.32</v>
      </c>
      <c r="F583" s="17" t="n">
        <v>58289.19</v>
      </c>
      <c r="G583" s="14">
        <f>E583*F583</f>
        <v/>
      </c>
      <c r="H583" s="14">
        <f>C583*G583</f>
        <v/>
      </c>
    </row>
    <row r="584">
      <c r="A584" s="12" t="inlineStr">
        <is>
          <t>RET-0049</t>
        </is>
      </c>
      <c r="B584" s="12" t="inlineStr">
        <is>
          <t>VS05</t>
        </is>
      </c>
      <c r="C584" s="28" t="n">
        <v>0.019</v>
      </c>
      <c r="D584" s="12" t="inlineStr">
        <is>
          <t>PO-2023-3291</t>
        </is>
      </c>
      <c r="E584" s="12" t="n">
        <v>4.32</v>
      </c>
      <c r="F584" s="17" t="n">
        <v>119516.02</v>
      </c>
      <c r="G584" s="14">
        <f>E584*F584</f>
        <v/>
      </c>
      <c r="H584" s="14">
        <f>C584*G584</f>
        <v/>
      </c>
    </row>
    <row r="585">
      <c r="A585" s="12" t="inlineStr">
        <is>
          <t>RET-0049</t>
        </is>
      </c>
      <c r="B585" s="12" t="inlineStr">
        <is>
          <t>VS06</t>
        </is>
      </c>
      <c r="C585" s="28" t="n">
        <v>0.0192</v>
      </c>
      <c r="D585" s="12" t="inlineStr">
        <is>
          <t>PO-2022-2971</t>
        </is>
      </c>
      <c r="E585" s="12" t="n">
        <v>4.32</v>
      </c>
      <c r="F585" s="17" t="n">
        <v>83772.87</v>
      </c>
      <c r="G585" s="14">
        <f>E585*F585</f>
        <v/>
      </c>
      <c r="H585" s="14">
        <f>C585*G585</f>
        <v/>
      </c>
    </row>
    <row r="586">
      <c r="A586" s="12" t="inlineStr">
        <is>
          <t>RET-0049</t>
        </is>
      </c>
      <c r="B586" s="12" t="inlineStr">
        <is>
          <t>VS07</t>
        </is>
      </c>
      <c r="C586" s="28" t="n">
        <v>0.0064</v>
      </c>
      <c r="D586" s="12" t="inlineStr">
        <is>
          <t>PO-2021-0117</t>
        </is>
      </c>
      <c r="E586" s="12" t="n">
        <v>4.32</v>
      </c>
      <c r="F586" s="17" t="n">
        <v>113283.13</v>
      </c>
      <c r="G586" s="14">
        <f>E586*F586</f>
        <v/>
      </c>
      <c r="H586" s="14">
        <f>C586*G586</f>
        <v/>
      </c>
    </row>
    <row r="587">
      <c r="A587" s="12" t="inlineStr">
        <is>
          <t>RET-0049</t>
        </is>
      </c>
      <c r="B587" s="12" t="inlineStr">
        <is>
          <t>VS08</t>
        </is>
      </c>
      <c r="C587" s="28" t="n">
        <v>0.0193</v>
      </c>
      <c r="D587" s="12" t="inlineStr">
        <is>
          <t>PO-2023-4792</t>
        </is>
      </c>
      <c r="E587" s="12" t="n">
        <v>4.32</v>
      </c>
      <c r="F587" s="17" t="n">
        <v>54253.71</v>
      </c>
      <c r="G587" s="14">
        <f>E587*F587</f>
        <v/>
      </c>
      <c r="H587" s="14">
        <f>C587*G587</f>
        <v/>
      </c>
    </row>
    <row r="588">
      <c r="A588" s="12" t="inlineStr">
        <is>
          <t>RET-0049</t>
        </is>
      </c>
      <c r="B588" s="12" t="inlineStr">
        <is>
          <t>VS09</t>
        </is>
      </c>
      <c r="C588" s="28" t="n">
        <v>0.0148</v>
      </c>
      <c r="D588" s="12" t="inlineStr">
        <is>
          <t>PO-2022-2240</t>
        </is>
      </c>
      <c r="E588" s="12" t="n">
        <v>4.32</v>
      </c>
      <c r="F588" s="17" t="n">
        <v>66971.94</v>
      </c>
      <c r="G588" s="14">
        <f>E588*F588</f>
        <v/>
      </c>
      <c r="H588" s="14">
        <f>C588*G588</f>
        <v/>
      </c>
    </row>
    <row r="589">
      <c r="A589" s="12" t="inlineStr">
        <is>
          <t>RET-0049</t>
        </is>
      </c>
      <c r="B589" s="12" t="inlineStr">
        <is>
          <t>VS10</t>
        </is>
      </c>
      <c r="C589" s="28" t="n">
        <v>0.0233</v>
      </c>
      <c r="D589" s="12" t="inlineStr">
        <is>
          <t>PO-2023-3577</t>
        </is>
      </c>
      <c r="E589" s="12" t="n">
        <v>4.32</v>
      </c>
      <c r="F589" s="17" t="n">
        <v>61407.23</v>
      </c>
      <c r="G589" s="14">
        <f>E589*F589</f>
        <v/>
      </c>
      <c r="H589" s="14">
        <f>C589*G589</f>
        <v/>
      </c>
    </row>
    <row r="590">
      <c r="A590" s="12" t="inlineStr">
        <is>
          <t>RET-0049</t>
        </is>
      </c>
      <c r="B590" s="12" t="inlineStr">
        <is>
          <t>VS11</t>
        </is>
      </c>
      <c r="C590" s="28" t="n">
        <v>0.0273</v>
      </c>
      <c r="D590" s="12" t="inlineStr">
        <is>
          <t>PO-2023-3687</t>
        </is>
      </c>
      <c r="E590" s="12" t="n">
        <v>4.32</v>
      </c>
      <c r="F590" s="17" t="n">
        <v>86472.36</v>
      </c>
      <c r="G590" s="14">
        <f>E590*F590</f>
        <v/>
      </c>
      <c r="H590" s="14">
        <f>C590*G590</f>
        <v/>
      </c>
    </row>
    <row r="591">
      <c r="A591" s="12" t="inlineStr">
        <is>
          <t>RET-0049</t>
        </is>
      </c>
      <c r="B591" s="12" t="inlineStr">
        <is>
          <t>VS12</t>
        </is>
      </c>
      <c r="C591" s="28" t="n">
        <v>0.1964</v>
      </c>
      <c r="D591" s="12" t="inlineStr">
        <is>
          <t>PO-2021-0872</t>
        </is>
      </c>
      <c r="E591" s="12" t="n">
        <v>4.32</v>
      </c>
      <c r="F591" s="17" t="n">
        <v>74894.71000000001</v>
      </c>
      <c r="G591" s="14">
        <f>E591*F591</f>
        <v/>
      </c>
      <c r="H591" s="14">
        <f>C591*G591</f>
        <v/>
      </c>
    </row>
    <row r="592">
      <c r="A592" s="12" t="inlineStr">
        <is>
          <t>RET-0049</t>
        </is>
      </c>
      <c r="B592" s="12" t="inlineStr">
        <is>
          <t>VS13</t>
        </is>
      </c>
      <c r="C592" s="28" t="n">
        <v>0.0188</v>
      </c>
      <c r="D592" s="12" t="inlineStr">
        <is>
          <t>PO-2023-4284</t>
        </is>
      </c>
      <c r="E592" s="12" t="n">
        <v>4.32</v>
      </c>
      <c r="F592" s="17" t="n">
        <v>111062.32</v>
      </c>
      <c r="G592" s="14">
        <f>E592*F592</f>
        <v/>
      </c>
      <c r="H592" s="14">
        <f>C592*G592</f>
        <v/>
      </c>
    </row>
    <row r="593">
      <c r="A593" s="12" t="inlineStr">
        <is>
          <t>RET-0049</t>
        </is>
      </c>
      <c r="B593" s="12" t="inlineStr">
        <is>
          <t>VS14</t>
        </is>
      </c>
      <c r="C593" s="28" t="n">
        <v>0.019</v>
      </c>
      <c r="D593" s="12" t="inlineStr">
        <is>
          <t>PO-2022-2458</t>
        </is>
      </c>
      <c r="E593" s="12" t="n">
        <v>4.32</v>
      </c>
      <c r="F593" s="17" t="n">
        <v>58006.17</v>
      </c>
      <c r="G593" s="14">
        <f>E593*F593</f>
        <v/>
      </c>
      <c r="H593" s="14">
        <f>C593*G593</f>
        <v/>
      </c>
    </row>
    <row r="594">
      <c r="A594" s="12" t="inlineStr">
        <is>
          <t>RET-0049</t>
        </is>
      </c>
      <c r="B594" s="12" t="inlineStr">
        <is>
          <t>VS15</t>
        </is>
      </c>
      <c r="C594" s="28" t="n">
        <v>0.0064</v>
      </c>
      <c r="D594" s="12" t="inlineStr">
        <is>
          <t>PO-2023-3758</t>
        </is>
      </c>
      <c r="E594" s="12" t="n">
        <v>4.32</v>
      </c>
      <c r="F594" s="17" t="n">
        <v>102862.17</v>
      </c>
      <c r="G594" s="14">
        <f>E594*F594</f>
        <v/>
      </c>
      <c r="H594" s="14">
        <f>C594*G594</f>
        <v/>
      </c>
    </row>
    <row r="595">
      <c r="A595" s="12" t="inlineStr">
        <is>
          <t>RET-0049</t>
        </is>
      </c>
      <c r="B595" s="12" t="inlineStr">
        <is>
          <t>VS16</t>
        </is>
      </c>
      <c r="C595" s="28" t="n">
        <v>0.0274</v>
      </c>
      <c r="D595" s="12" t="inlineStr">
        <is>
          <t>PO-2022-2530</t>
        </is>
      </c>
      <c r="E595" s="12" t="n">
        <v>4.32</v>
      </c>
      <c r="F595" s="17" t="n">
        <v>114453.87</v>
      </c>
      <c r="G595" s="14">
        <f>E595*F595</f>
        <v/>
      </c>
      <c r="H595" s="14">
        <f>C595*G595</f>
        <v/>
      </c>
    </row>
    <row r="596">
      <c r="A596" s="12" t="inlineStr">
        <is>
          <t>RET-0049</t>
        </is>
      </c>
      <c r="B596" s="12" t="inlineStr">
        <is>
          <t>VS17</t>
        </is>
      </c>
      <c r="C596" s="28" t="n">
        <v>0.0273</v>
      </c>
      <c r="D596" s="12" t="inlineStr">
        <is>
          <t>PO-2021-1425</t>
        </is>
      </c>
      <c r="E596" s="12" t="n">
        <v>4.32</v>
      </c>
      <c r="F596" s="17" t="n">
        <v>56052.55</v>
      </c>
      <c r="G596" s="14">
        <f>E596*F596</f>
        <v/>
      </c>
      <c r="H596" s="14">
        <f>C596*G596</f>
        <v/>
      </c>
    </row>
    <row r="597">
      <c r="A597" s="12" t="inlineStr">
        <is>
          <t>RET-0049</t>
        </is>
      </c>
      <c r="B597" s="12" t="inlineStr">
        <is>
          <t>VS18</t>
        </is>
      </c>
      <c r="C597" s="28" t="n">
        <v>0.019</v>
      </c>
      <c r="D597" s="12" t="inlineStr">
        <is>
          <t>PO-2023-3268</t>
        </is>
      </c>
      <c r="E597" s="12" t="n">
        <v>4.32</v>
      </c>
      <c r="F597" s="17" t="n">
        <v>88118.99000000001</v>
      </c>
      <c r="G597" s="14">
        <f>E597*F597</f>
        <v/>
      </c>
      <c r="H597" s="14">
        <f>C597*G597</f>
        <v/>
      </c>
    </row>
    <row r="598">
      <c r="A598" s="12" t="inlineStr">
        <is>
          <t>RET-0049</t>
        </is>
      </c>
      <c r="B598" s="12" t="inlineStr">
        <is>
          <t>VS19</t>
        </is>
      </c>
      <c r="C598" s="28" t="n">
        <v>0.1482</v>
      </c>
      <c r="D598" s="12" t="inlineStr">
        <is>
          <t>PO-2023-3252</t>
        </is>
      </c>
      <c r="E598" s="12" t="n">
        <v>4.32</v>
      </c>
      <c r="F598" s="17" t="n">
        <v>68959.21000000001</v>
      </c>
      <c r="G598" s="14">
        <f>E598*F598</f>
        <v/>
      </c>
      <c r="H598" s="14">
        <f>C598*G598</f>
        <v/>
      </c>
    </row>
    <row r="599">
      <c r="A599" s="12" t="inlineStr">
        <is>
          <t>RET-0049</t>
        </is>
      </c>
      <c r="B599" s="12" t="inlineStr">
        <is>
          <t>VS20</t>
        </is>
      </c>
      <c r="C599" s="28" t="n">
        <v>0.0106</v>
      </c>
      <c r="D599" s="12" t="inlineStr">
        <is>
          <t>PO-2021-0865</t>
        </is>
      </c>
      <c r="E599" s="12" t="n">
        <v>4.32</v>
      </c>
      <c r="F599" s="17" t="n">
        <v>58552.2</v>
      </c>
      <c r="G599" s="14">
        <f>E599*F599</f>
        <v/>
      </c>
      <c r="H599" s="14">
        <f>C599*G599</f>
        <v/>
      </c>
    </row>
    <row r="600">
      <c r="A600" s="12" t="inlineStr">
        <is>
          <t>RET-0049</t>
        </is>
      </c>
      <c r="B600" s="12" t="inlineStr">
        <is>
          <t>VS21</t>
        </is>
      </c>
      <c r="C600" s="28" t="n">
        <v>0.0106</v>
      </c>
      <c r="D600" s="12" t="inlineStr">
        <is>
          <t>PO-2023-4649</t>
        </is>
      </c>
      <c r="E600" s="12" t="n">
        <v>4.32</v>
      </c>
      <c r="F600" s="17" t="n">
        <v>107955.77</v>
      </c>
      <c r="G600" s="14">
        <f>E600*F600</f>
        <v/>
      </c>
      <c r="H600" s="14">
        <f>C600*G600</f>
        <v/>
      </c>
    </row>
    <row r="601">
      <c r="A601" s="12" t="inlineStr">
        <is>
          <t>RET-0049</t>
        </is>
      </c>
      <c r="B601" s="12" t="inlineStr">
        <is>
          <t>VS22</t>
        </is>
      </c>
      <c r="C601" s="28" t="n">
        <v>0.0063</v>
      </c>
      <c r="D601" s="12" t="inlineStr">
        <is>
          <t>PO-2021-0394</t>
        </is>
      </c>
      <c r="E601" s="12" t="n">
        <v>4.32</v>
      </c>
      <c r="F601" s="17" t="n">
        <v>84083.61</v>
      </c>
      <c r="G601" s="14">
        <f>E601*F601</f>
        <v/>
      </c>
      <c r="H601" s="14">
        <f>C601*G601</f>
        <v/>
      </c>
    </row>
    <row r="602">
      <c r="A602" s="12" t="inlineStr">
        <is>
          <t>RET-0049</t>
        </is>
      </c>
      <c r="B602" s="12" t="inlineStr">
        <is>
          <t>VS23</t>
        </is>
      </c>
      <c r="C602" s="28" t="n">
        <v>0.0104</v>
      </c>
      <c r="D602" s="12" t="inlineStr">
        <is>
          <t>PO-2021-0077</t>
        </is>
      </c>
      <c r="E602" s="12" t="n">
        <v>4.32</v>
      </c>
      <c r="F602" s="17" t="n">
        <v>63855.28</v>
      </c>
      <c r="G602" s="14">
        <f>E602*F602</f>
        <v/>
      </c>
      <c r="H602" s="14">
        <f>C602*G602</f>
        <v/>
      </c>
    </row>
    <row r="603">
      <c r="A603" s="12" t="inlineStr">
        <is>
          <t>RET-0049</t>
        </is>
      </c>
      <c r="B603" s="12" t="inlineStr">
        <is>
          <t>VS24</t>
        </is>
      </c>
      <c r="C603" s="28" t="n">
        <v>0.0106</v>
      </c>
      <c r="D603" s="12" t="inlineStr">
        <is>
          <t>PO-2022-2102</t>
        </is>
      </c>
      <c r="E603" s="12" t="n">
        <v>4.32</v>
      </c>
      <c r="F603" s="17" t="n">
        <v>53327.31</v>
      </c>
      <c r="G603" s="14">
        <f>E603*F603</f>
        <v/>
      </c>
      <c r="H603" s="14">
        <f>C603*G603</f>
        <v/>
      </c>
    </row>
    <row r="604">
      <c r="A604" s="12" t="inlineStr">
        <is>
          <t>RET-0049</t>
        </is>
      </c>
      <c r="B604" s="12" t="inlineStr">
        <is>
          <t>VS25</t>
        </is>
      </c>
      <c r="C604" s="28" t="n">
        <v>0.0191</v>
      </c>
      <c r="D604" s="12" t="inlineStr">
        <is>
          <t>PO-2022-3043</t>
        </is>
      </c>
      <c r="E604" s="12" t="n">
        <v>4.32</v>
      </c>
      <c r="F604" s="17" t="n">
        <v>69855.56</v>
      </c>
      <c r="G604" s="14">
        <f>E604*F604</f>
        <v/>
      </c>
      <c r="H604" s="14">
        <f>C604*G604</f>
        <v/>
      </c>
    </row>
    <row r="605">
      <c r="A605" s="12" t="inlineStr">
        <is>
          <t>RET-0049</t>
        </is>
      </c>
      <c r="B605" s="12" t="inlineStr">
        <is>
          <t>VS26</t>
        </is>
      </c>
      <c r="C605" s="28" t="n">
        <v>0.0107</v>
      </c>
      <c r="D605" s="12" t="inlineStr">
        <is>
          <t>PO-2021-0955</t>
        </is>
      </c>
      <c r="E605" s="12" t="n">
        <v>4.32</v>
      </c>
      <c r="F605" s="17" t="n">
        <v>101181.82</v>
      </c>
      <c r="G605" s="14">
        <f>E605*F605</f>
        <v/>
      </c>
      <c r="H605" s="14">
        <f>C605*G605</f>
        <v/>
      </c>
    </row>
    <row r="606">
      <c r="A606" s="12" t="inlineStr">
        <is>
          <t>RET-0049</t>
        </is>
      </c>
      <c r="B606" s="12" t="inlineStr">
        <is>
          <t>VS27</t>
        </is>
      </c>
      <c r="C606" s="28" t="n">
        <v>0.0104</v>
      </c>
      <c r="D606" s="12" t="inlineStr">
        <is>
          <t>PO-2023-3663</t>
        </is>
      </c>
      <c r="E606" s="12" t="n">
        <v>3.81</v>
      </c>
      <c r="F606" s="17" t="n">
        <v>80526.75</v>
      </c>
      <c r="G606" s="14">
        <f>E606*F606</f>
        <v/>
      </c>
      <c r="H606" s="14">
        <f>C606*G606</f>
        <v/>
      </c>
    </row>
    <row r="607">
      <c r="A607" s="12" t="inlineStr">
        <is>
          <t>RET-0049</t>
        </is>
      </c>
      <c r="B607" s="12" t="inlineStr">
        <is>
          <t>VS28</t>
        </is>
      </c>
      <c r="C607" s="28" t="n">
        <v>0.0233</v>
      </c>
      <c r="D607" s="12" t="inlineStr">
        <is>
          <t>PO-2023-3403</t>
        </is>
      </c>
      <c r="E607" s="12" t="n">
        <v>4.32</v>
      </c>
      <c r="F607" s="17" t="n">
        <v>82699.02</v>
      </c>
      <c r="G607" s="14">
        <f>E607*F607</f>
        <v/>
      </c>
      <c r="H607" s="14">
        <f>C607*G607</f>
        <v/>
      </c>
    </row>
    <row r="608">
      <c r="A608" s="12" t="inlineStr">
        <is>
          <t>RET-0049</t>
        </is>
      </c>
      <c r="B608" s="12" t="inlineStr">
        <is>
          <t>VS29</t>
        </is>
      </c>
      <c r="C608" s="28" t="n">
        <v>0.0148</v>
      </c>
      <c r="D608" s="12" t="inlineStr">
        <is>
          <t>PO-2023-3255</t>
        </is>
      </c>
      <c r="E608" s="12" t="n">
        <v>4.32</v>
      </c>
      <c r="F608" s="17" t="n">
        <v>111361.01</v>
      </c>
      <c r="G608" s="14">
        <f>E608*F608</f>
        <v/>
      </c>
      <c r="H608" s="14">
        <f>C608*G608</f>
        <v/>
      </c>
    </row>
    <row r="609">
      <c r="A609" s="12" t="inlineStr">
        <is>
          <t>RET-0049</t>
        </is>
      </c>
      <c r="B609" s="12" t="inlineStr">
        <is>
          <t>VS30</t>
        </is>
      </c>
      <c r="C609" s="28" t="n">
        <v>0.0064</v>
      </c>
      <c r="D609" s="12" t="inlineStr">
        <is>
          <t>PO-2021-1200</t>
        </is>
      </c>
      <c r="E609" s="12" t="n">
        <v>4.32</v>
      </c>
      <c r="F609" s="17" t="n">
        <v>64880.58</v>
      </c>
      <c r="G609" s="14">
        <f>E609*F609</f>
        <v/>
      </c>
      <c r="H609" s="14">
        <f>C609*G609</f>
        <v/>
      </c>
    </row>
    <row r="610">
      <c r="A610" s="12" t="inlineStr">
        <is>
          <t>RET-0049</t>
        </is>
      </c>
      <c r="B610" s="12" t="inlineStr">
        <is>
          <t>VS31</t>
        </is>
      </c>
      <c r="C610" s="28" t="n">
        <v>0.0232</v>
      </c>
      <c r="D610" s="12" t="inlineStr">
        <is>
          <t>PO-2021-0669</t>
        </is>
      </c>
      <c r="E610" s="12" t="n">
        <v>4.32</v>
      </c>
      <c r="F610" s="17" t="n">
        <v>103107.52</v>
      </c>
      <c r="G610" s="14">
        <f>E610*F610</f>
        <v/>
      </c>
      <c r="H610" s="14">
        <f>C610*G610</f>
        <v/>
      </c>
    </row>
    <row r="611">
      <c r="A611" s="12" t="inlineStr">
        <is>
          <t>RET-0049</t>
        </is>
      </c>
      <c r="B611" s="12" t="inlineStr">
        <is>
          <t>VS32</t>
        </is>
      </c>
      <c r="C611" s="28" t="n">
        <v>0.0276</v>
      </c>
      <c r="D611" s="12" t="inlineStr">
        <is>
          <t>PO-2021-0666</t>
        </is>
      </c>
      <c r="E611" s="12" t="n">
        <v>4.32</v>
      </c>
      <c r="F611" s="17" t="n">
        <v>94456.67</v>
      </c>
      <c r="G611" s="14">
        <f>E611*F611</f>
        <v/>
      </c>
      <c r="H611" s="14">
        <f>C611*G611</f>
        <v/>
      </c>
    </row>
    <row r="612">
      <c r="A612" s="12" t="inlineStr">
        <is>
          <t>RET-0049</t>
        </is>
      </c>
      <c r="B612" s="12" t="inlineStr">
        <is>
          <t>VS33</t>
        </is>
      </c>
      <c r="C612" s="28" t="n">
        <v>0.0147</v>
      </c>
      <c r="D612" s="12" t="inlineStr">
        <is>
          <t>PO-2022-2422</t>
        </is>
      </c>
      <c r="E612" s="12" t="n">
        <v>4.12</v>
      </c>
      <c r="F612" s="17" t="n">
        <v>58592.5</v>
      </c>
      <c r="G612" s="14">
        <f>E612*F612</f>
        <v/>
      </c>
      <c r="H612" s="14">
        <f>C612*G612</f>
        <v/>
      </c>
    </row>
    <row r="613">
      <c r="A613" s="12" t="inlineStr">
        <is>
          <t>RET-0049</t>
        </is>
      </c>
      <c r="B613" s="12" t="inlineStr">
        <is>
          <t>VS34</t>
        </is>
      </c>
      <c r="C613" s="28" t="n">
        <v>0.0191</v>
      </c>
      <c r="D613" s="12" t="inlineStr">
        <is>
          <t>PO-2022-2019</t>
        </is>
      </c>
      <c r="E613" s="12" t="n">
        <v>2.882</v>
      </c>
      <c r="F613" s="17" t="n">
        <v>69494.14</v>
      </c>
      <c r="G613" s="14">
        <f>E613*F613</f>
        <v/>
      </c>
      <c r="H613" s="14">
        <f>C613*G613</f>
        <v/>
      </c>
    </row>
    <row r="614">
      <c r="A614" s="12" t="inlineStr">
        <is>
          <t>RET-0053</t>
        </is>
      </c>
      <c r="B614" s="12" t="inlineStr">
        <is>
          <t>VS01</t>
        </is>
      </c>
      <c r="C614" s="28" t="n">
        <v>0.0105</v>
      </c>
      <c r="D614" s="12" t="inlineStr">
        <is>
          <t>PO-2022-1891</t>
        </is>
      </c>
      <c r="E614" s="12" t="n">
        <v>0.39</v>
      </c>
      <c r="F614" s="17" t="n">
        <v>86830.28999999999</v>
      </c>
      <c r="G614" s="14">
        <f>E614*F614</f>
        <v/>
      </c>
      <c r="H614" s="14">
        <f>C614*G614</f>
        <v/>
      </c>
    </row>
    <row r="615">
      <c r="A615" s="12" t="inlineStr">
        <is>
          <t>RET-0053</t>
        </is>
      </c>
      <c r="B615" s="12" t="inlineStr">
        <is>
          <t>VS02</t>
        </is>
      </c>
      <c r="C615" s="28" t="n">
        <v>0.0048</v>
      </c>
      <c r="D615" s="12" t="inlineStr">
        <is>
          <t>PO-2023-4653</t>
        </is>
      </c>
      <c r="E615" s="12" t="n">
        <v>0.39</v>
      </c>
      <c r="F615" s="17" t="n">
        <v>113828.85</v>
      </c>
      <c r="G615" s="14">
        <f>E615*F615</f>
        <v/>
      </c>
      <c r="H615" s="14">
        <f>C615*G615</f>
        <v/>
      </c>
    </row>
    <row r="616">
      <c r="A616" s="12" t="inlineStr">
        <is>
          <t>RET-0053</t>
        </is>
      </c>
      <c r="B616" s="12" t="inlineStr">
        <is>
          <t>VS03</t>
        </is>
      </c>
      <c r="C616" s="28" t="n">
        <v>0.2239</v>
      </c>
      <c r="D616" s="12" t="inlineStr">
        <is>
          <t>PO-2021-0849</t>
        </is>
      </c>
      <c r="E616" s="12" t="n">
        <v>0.39</v>
      </c>
      <c r="F616" s="17" t="n">
        <v>47971.11</v>
      </c>
      <c r="G616" s="14">
        <f>E616*F616</f>
        <v/>
      </c>
      <c r="H616" s="14">
        <f>C616*G616</f>
        <v/>
      </c>
    </row>
    <row r="617">
      <c r="A617" s="12" t="inlineStr">
        <is>
          <t>RET-0053</t>
        </is>
      </c>
      <c r="B617" s="12" t="inlineStr">
        <is>
          <t>VS04</t>
        </is>
      </c>
      <c r="C617" s="28" t="n">
        <v>0.0066</v>
      </c>
      <c r="D617" s="12" t="inlineStr">
        <is>
          <t>PO-2023-4648</t>
        </is>
      </c>
      <c r="E617" s="12" t="n">
        <v>0.39</v>
      </c>
      <c r="F617" s="17" t="n">
        <v>86177.22</v>
      </c>
      <c r="G617" s="14">
        <f>E617*F617</f>
        <v/>
      </c>
      <c r="H617" s="14">
        <f>C617*G617</f>
        <v/>
      </c>
    </row>
    <row r="618">
      <c r="A618" s="12" t="inlineStr">
        <is>
          <t>RET-0053</t>
        </is>
      </c>
      <c r="B618" s="12" t="inlineStr">
        <is>
          <t>VS05</t>
        </is>
      </c>
      <c r="C618" s="28" t="n">
        <v>0.008500000000000001</v>
      </c>
      <c r="D618" s="12" t="inlineStr">
        <is>
          <t>PO-2023-3942</t>
        </is>
      </c>
      <c r="E618" s="12" t="n">
        <v>0.39</v>
      </c>
      <c r="F618" s="17" t="n">
        <v>62096.49</v>
      </c>
      <c r="G618" s="14">
        <f>E618*F618</f>
        <v/>
      </c>
      <c r="H618" s="14">
        <f>C618*G618</f>
        <v/>
      </c>
    </row>
    <row r="619">
      <c r="A619" s="12" t="inlineStr">
        <is>
          <t>RET-0053</t>
        </is>
      </c>
      <c r="B619" s="12" t="inlineStr">
        <is>
          <t>VS06</t>
        </is>
      </c>
      <c r="C619" s="28" t="n">
        <v>0.0086</v>
      </c>
      <c r="D619" s="12" t="inlineStr">
        <is>
          <t>PO-2022-3160</t>
        </is>
      </c>
      <c r="E619" s="12" t="n">
        <v>0.39</v>
      </c>
      <c r="F619" s="17" t="n">
        <v>105971.6</v>
      </c>
      <c r="G619" s="14">
        <f>E619*F619</f>
        <v/>
      </c>
      <c r="H619" s="14">
        <f>C619*G619</f>
        <v/>
      </c>
    </row>
    <row r="620">
      <c r="A620" s="12" t="inlineStr">
        <is>
          <t>RET-0053</t>
        </is>
      </c>
      <c r="B620" s="12" t="inlineStr">
        <is>
          <t>VS07</t>
        </is>
      </c>
      <c r="C620" s="28" t="n">
        <v>0.0029</v>
      </c>
      <c r="D620" s="12" t="inlineStr">
        <is>
          <t>PO-2023-4432</t>
        </is>
      </c>
      <c r="E620" s="12" t="n">
        <v>0.39</v>
      </c>
      <c r="F620" s="17" t="n">
        <v>63558.81</v>
      </c>
      <c r="G620" s="14">
        <f>E620*F620</f>
        <v/>
      </c>
      <c r="H620" s="14">
        <f>C620*G620</f>
        <v/>
      </c>
    </row>
    <row r="621">
      <c r="A621" s="12" t="inlineStr">
        <is>
          <t>RET-0053</t>
        </is>
      </c>
      <c r="B621" s="12" t="inlineStr">
        <is>
          <t>VS08</t>
        </is>
      </c>
      <c r="C621" s="28" t="n">
        <v>0.008699999999999999</v>
      </c>
      <c r="D621" s="12" t="inlineStr">
        <is>
          <t>PO-2022-3164</t>
        </is>
      </c>
      <c r="E621" s="12" t="n">
        <v>0.39</v>
      </c>
      <c r="F621" s="17" t="n">
        <v>82581.53999999999</v>
      </c>
      <c r="G621" s="14">
        <f>E621*F621</f>
        <v/>
      </c>
      <c r="H621" s="14">
        <f>C621*G621</f>
        <v/>
      </c>
    </row>
    <row r="622">
      <c r="A622" s="12" t="inlineStr">
        <is>
          <t>RET-0053</t>
        </is>
      </c>
      <c r="B622" s="12" t="inlineStr">
        <is>
          <t>VS09</t>
        </is>
      </c>
      <c r="C622" s="28" t="n">
        <v>0.0066</v>
      </c>
      <c r="D622" s="12" t="inlineStr">
        <is>
          <t>PO-2023-4440</t>
        </is>
      </c>
      <c r="E622" s="12" t="n">
        <v>0.39</v>
      </c>
      <c r="F622" s="17" t="n">
        <v>95752.41</v>
      </c>
      <c r="G622" s="14">
        <f>E622*F622</f>
        <v/>
      </c>
      <c r="H622" s="14">
        <f>C622*G622</f>
        <v/>
      </c>
    </row>
    <row r="623">
      <c r="A623" s="12" t="inlineStr">
        <is>
          <t>RET-0053</t>
        </is>
      </c>
      <c r="B623" s="12" t="inlineStr">
        <is>
          <t>VS10</t>
        </is>
      </c>
      <c r="C623" s="28" t="n">
        <v>0.0104</v>
      </c>
      <c r="D623" s="12" t="inlineStr">
        <is>
          <t>PO-2023-3964</t>
        </is>
      </c>
      <c r="E623" s="12" t="n">
        <v>0.39</v>
      </c>
      <c r="F623" s="17" t="n">
        <v>77738.89999999999</v>
      </c>
      <c r="G623" s="14">
        <f>E623*F623</f>
        <v/>
      </c>
      <c r="H623" s="14">
        <f>C623*G623</f>
        <v/>
      </c>
    </row>
    <row r="624">
      <c r="A624" s="12" t="inlineStr">
        <is>
          <t>RET-0053</t>
        </is>
      </c>
      <c r="B624" s="12" t="inlineStr">
        <is>
          <t>VS11</t>
        </is>
      </c>
      <c r="C624" s="28" t="n">
        <v>0.0122</v>
      </c>
      <c r="D624" s="12" t="inlineStr">
        <is>
          <t>PO-2023-4311</t>
        </is>
      </c>
      <c r="E624" s="12" t="n">
        <v>0.39</v>
      </c>
      <c r="F624" s="17" t="n">
        <v>110233.88</v>
      </c>
      <c r="G624" s="14">
        <f>E624*F624</f>
        <v/>
      </c>
      <c r="H624" s="14">
        <f>C624*G624</f>
        <v/>
      </c>
    </row>
    <row r="625">
      <c r="A625" s="12" t="inlineStr">
        <is>
          <t>RET-0053</t>
        </is>
      </c>
      <c r="B625" s="12" t="inlineStr">
        <is>
          <t>VS12</t>
        </is>
      </c>
      <c r="C625" s="28" t="n">
        <v>0.3112</v>
      </c>
      <c r="D625" s="12" t="inlineStr">
        <is>
          <t>PO-2023-3507</t>
        </is>
      </c>
      <c r="E625" s="12" t="n">
        <v>0.39</v>
      </c>
      <c r="F625" s="17" t="n">
        <v>88418.41</v>
      </c>
      <c r="G625" s="14">
        <f>E625*F625</f>
        <v/>
      </c>
      <c r="H625" s="14">
        <f>C625*G625</f>
        <v/>
      </c>
    </row>
    <row r="626">
      <c r="A626" s="12" t="inlineStr">
        <is>
          <t>RET-0053</t>
        </is>
      </c>
      <c r="B626" s="12" t="inlineStr">
        <is>
          <t>VS13</t>
        </is>
      </c>
      <c r="C626" s="28" t="n">
        <v>0.008399999999999999</v>
      </c>
      <c r="D626" s="12" t="inlineStr">
        <is>
          <t>PO-2022-2521</t>
        </is>
      </c>
      <c r="E626" s="12" t="n">
        <v>0.39</v>
      </c>
      <c r="F626" s="17" t="n">
        <v>76319.17999999999</v>
      </c>
      <c r="G626" s="14">
        <f>E626*F626</f>
        <v/>
      </c>
      <c r="H626" s="14">
        <f>C626*G626</f>
        <v/>
      </c>
    </row>
    <row r="627">
      <c r="A627" s="12" t="inlineStr">
        <is>
          <t>RET-0053</t>
        </is>
      </c>
      <c r="B627" s="12" t="inlineStr">
        <is>
          <t>VS14</t>
        </is>
      </c>
      <c r="C627" s="28" t="n">
        <v>0.008500000000000001</v>
      </c>
      <c r="D627" s="12" t="inlineStr">
        <is>
          <t>PO-2023-3929</t>
        </is>
      </c>
      <c r="E627" s="12" t="n">
        <v>0.39</v>
      </c>
      <c r="F627" s="17" t="n">
        <v>111388.1</v>
      </c>
      <c r="G627" s="14">
        <f>E627*F627</f>
        <v/>
      </c>
      <c r="H627" s="14">
        <f>C627*G627</f>
        <v/>
      </c>
    </row>
    <row r="628">
      <c r="A628" s="12" t="inlineStr">
        <is>
          <t>RET-0053</t>
        </is>
      </c>
      <c r="B628" s="12" t="inlineStr">
        <is>
          <t>VS15</t>
        </is>
      </c>
      <c r="C628" s="28" t="n">
        <v>0.0028</v>
      </c>
      <c r="D628" s="12" t="inlineStr">
        <is>
          <t>PO-2021-0692</t>
        </is>
      </c>
      <c r="E628" s="12" t="n">
        <v>0.39</v>
      </c>
      <c r="F628" s="17" t="n">
        <v>104596.21</v>
      </c>
      <c r="G628" s="14">
        <f>E628*F628</f>
        <v/>
      </c>
      <c r="H628" s="14">
        <f>C628*G628</f>
        <v/>
      </c>
    </row>
    <row r="629">
      <c r="A629" s="12" t="inlineStr">
        <is>
          <t>RET-0053</t>
        </is>
      </c>
      <c r="B629" s="12" t="inlineStr">
        <is>
          <t>VS16</t>
        </is>
      </c>
      <c r="C629" s="28" t="n">
        <v>0.0123</v>
      </c>
      <c r="D629" s="12" t="inlineStr">
        <is>
          <t>PO-2022-1861</t>
        </is>
      </c>
      <c r="E629" s="12" t="n">
        <v>0.39</v>
      </c>
      <c r="F629" s="17" t="n">
        <v>94942.7</v>
      </c>
      <c r="G629" s="14">
        <f>E629*F629</f>
        <v/>
      </c>
      <c r="H629" s="14">
        <f>C629*G629</f>
        <v/>
      </c>
    </row>
    <row r="630">
      <c r="A630" s="12" t="inlineStr">
        <is>
          <t>RET-0053</t>
        </is>
      </c>
      <c r="B630" s="12" t="inlineStr">
        <is>
          <t>VS17</t>
        </is>
      </c>
      <c r="C630" s="28" t="n">
        <v>0.0122</v>
      </c>
      <c r="D630" s="12" t="inlineStr">
        <is>
          <t>PO-2021-0653</t>
        </is>
      </c>
      <c r="E630" s="12" t="n">
        <v>0.39</v>
      </c>
      <c r="F630" s="17" t="n">
        <v>92266.28999999999</v>
      </c>
      <c r="G630" s="14">
        <f>E630*F630</f>
        <v/>
      </c>
      <c r="H630" s="14">
        <f>C630*G630</f>
        <v/>
      </c>
    </row>
    <row r="631">
      <c r="A631" s="12" t="inlineStr">
        <is>
          <t>RET-0053</t>
        </is>
      </c>
      <c r="B631" s="12" t="inlineStr">
        <is>
          <t>VS18</t>
        </is>
      </c>
      <c r="C631" s="28" t="n">
        <v>0.008500000000000001</v>
      </c>
      <c r="D631" s="12" t="inlineStr">
        <is>
          <t>PO-2023-3747</t>
        </is>
      </c>
      <c r="E631" s="12" t="n">
        <v>0.39</v>
      </c>
      <c r="F631" s="17" t="n">
        <v>106962.18</v>
      </c>
      <c r="G631" s="14">
        <f>E631*F631</f>
        <v/>
      </c>
      <c r="H631" s="14">
        <f>C631*G631</f>
        <v/>
      </c>
    </row>
    <row r="632">
      <c r="A632" s="12" t="inlineStr">
        <is>
          <t>RET-0053</t>
        </is>
      </c>
      <c r="B632" s="12" t="inlineStr">
        <is>
          <t>VS19</t>
        </is>
      </c>
      <c r="C632" s="28" t="n">
        <v>0.2348</v>
      </c>
      <c r="D632" s="12" t="inlineStr">
        <is>
          <t>PO-2023-3275</t>
        </is>
      </c>
      <c r="E632" s="12" t="n">
        <v>0.39</v>
      </c>
      <c r="F632" s="17" t="n">
        <v>83664.17999999999</v>
      </c>
      <c r="G632" s="14">
        <f>E632*F632</f>
        <v/>
      </c>
      <c r="H632" s="14">
        <f>C632*G632</f>
        <v/>
      </c>
    </row>
    <row r="633">
      <c r="A633" s="12" t="inlineStr">
        <is>
          <t>RET-0053</t>
        </is>
      </c>
      <c r="B633" s="12" t="inlineStr">
        <is>
          <t>VS20</t>
        </is>
      </c>
      <c r="C633" s="28" t="n">
        <v>0.0048</v>
      </c>
      <c r="D633" s="12" t="inlineStr">
        <is>
          <t>PO-2021-0451</t>
        </is>
      </c>
      <c r="E633" s="12" t="n">
        <v>0.39</v>
      </c>
      <c r="F633" s="17" t="n">
        <v>108485.11</v>
      </c>
      <c r="G633" s="14">
        <f>E633*F633</f>
        <v/>
      </c>
      <c r="H633" s="14">
        <f>C633*G633</f>
        <v/>
      </c>
    </row>
    <row r="634">
      <c r="A634" s="12" t="inlineStr">
        <is>
          <t>RET-0053</t>
        </is>
      </c>
      <c r="B634" s="12" t="inlineStr">
        <is>
          <t>VS21</t>
        </is>
      </c>
      <c r="C634" s="28" t="n">
        <v>0.0047</v>
      </c>
      <c r="D634" s="12" t="inlineStr">
        <is>
          <t>PO-2023-4357</t>
        </is>
      </c>
      <c r="E634" s="12" t="n">
        <v>0.39</v>
      </c>
      <c r="F634" s="17" t="n">
        <v>113218.22</v>
      </c>
      <c r="G634" s="14">
        <f>E634*F634</f>
        <v/>
      </c>
      <c r="H634" s="14">
        <f>C634*G634</f>
        <v/>
      </c>
    </row>
    <row r="635">
      <c r="A635" s="12" t="inlineStr">
        <is>
          <t>RET-0053</t>
        </is>
      </c>
      <c r="B635" s="12" t="inlineStr">
        <is>
          <t>VS22</t>
        </is>
      </c>
      <c r="C635" s="28" t="n">
        <v>0.0028</v>
      </c>
      <c r="D635" s="12" t="inlineStr">
        <is>
          <t>PO-2021-1543</t>
        </is>
      </c>
      <c r="E635" s="12" t="n">
        <v>0.39</v>
      </c>
      <c r="F635" s="17" t="n">
        <v>83239.78</v>
      </c>
      <c r="G635" s="14">
        <f>E635*F635</f>
        <v/>
      </c>
      <c r="H635" s="14">
        <f>C635*G635</f>
        <v/>
      </c>
    </row>
    <row r="636">
      <c r="A636" s="12" t="inlineStr">
        <is>
          <t>RET-0053</t>
        </is>
      </c>
      <c r="B636" s="12" t="inlineStr">
        <is>
          <t>VS23</t>
        </is>
      </c>
      <c r="C636" s="28" t="n">
        <v>0.0047</v>
      </c>
      <c r="D636" s="12" t="inlineStr">
        <is>
          <t>PO-2023-3376</t>
        </is>
      </c>
      <c r="E636" s="12" t="n">
        <v>0.39</v>
      </c>
      <c r="F636" s="17" t="n">
        <v>84993.08</v>
      </c>
      <c r="G636" s="14">
        <f>E636*F636</f>
        <v/>
      </c>
      <c r="H636" s="14">
        <f>C636*G636</f>
        <v/>
      </c>
    </row>
    <row r="637">
      <c r="A637" s="12" t="inlineStr">
        <is>
          <t>RET-0053</t>
        </is>
      </c>
      <c r="B637" s="12" t="inlineStr">
        <is>
          <t>VS24</t>
        </is>
      </c>
      <c r="C637" s="28" t="n">
        <v>0.0047</v>
      </c>
      <c r="D637" s="12" t="inlineStr">
        <is>
          <t>PO-2021-0032</t>
        </is>
      </c>
      <c r="E637" s="12" t="n">
        <v>0.39</v>
      </c>
      <c r="F637" s="17" t="n">
        <v>94817.83</v>
      </c>
      <c r="G637" s="14">
        <f>E637*F637</f>
        <v/>
      </c>
      <c r="H637" s="14">
        <f>C637*G637</f>
        <v/>
      </c>
    </row>
    <row r="638">
      <c r="A638" s="12" t="inlineStr">
        <is>
          <t>RET-0053</t>
        </is>
      </c>
      <c r="B638" s="12" t="inlineStr">
        <is>
          <t>VS25</t>
        </is>
      </c>
      <c r="C638" s="28" t="n">
        <v>0.0086</v>
      </c>
      <c r="D638" s="12" t="inlineStr">
        <is>
          <t>PO-2022-1760</t>
        </is>
      </c>
      <c r="E638" s="12" t="n">
        <v>0.39</v>
      </c>
      <c r="F638" s="17" t="n">
        <v>84492.85000000001</v>
      </c>
      <c r="G638" s="14">
        <f>E638*F638</f>
        <v/>
      </c>
      <c r="H638" s="14">
        <f>C638*G638</f>
        <v/>
      </c>
    </row>
    <row r="639">
      <c r="A639" s="12" t="inlineStr">
        <is>
          <t>RET-0053</t>
        </is>
      </c>
      <c r="B639" s="12" t="inlineStr">
        <is>
          <t>VS26</t>
        </is>
      </c>
      <c r="C639" s="28" t="n">
        <v>0.0048</v>
      </c>
      <c r="D639" s="12" t="inlineStr">
        <is>
          <t>PO-2022-2760</t>
        </is>
      </c>
      <c r="E639" s="12" t="n">
        <v>0.39</v>
      </c>
      <c r="F639" s="17" t="n">
        <v>89723.39999999999</v>
      </c>
      <c r="G639" s="14">
        <f>E639*F639</f>
        <v/>
      </c>
      <c r="H639" s="14">
        <f>C639*G639</f>
        <v/>
      </c>
    </row>
    <row r="640">
      <c r="A640" s="12" t="inlineStr">
        <is>
          <t>RET-0053</t>
        </is>
      </c>
      <c r="B640" s="12" t="inlineStr">
        <is>
          <t>VS27</t>
        </is>
      </c>
      <c r="C640" s="28" t="n">
        <v>0.0047</v>
      </c>
      <c r="D640" s="12" t="inlineStr">
        <is>
          <t>PO-2023-4350</t>
        </is>
      </c>
      <c r="E640" s="12" t="n">
        <v>0.39</v>
      </c>
      <c r="F640" s="17" t="n">
        <v>103401.01</v>
      </c>
      <c r="G640" s="14">
        <f>E640*F640</f>
        <v/>
      </c>
      <c r="H640" s="14">
        <f>C640*G640</f>
        <v/>
      </c>
    </row>
    <row r="641">
      <c r="A641" s="12" t="inlineStr">
        <is>
          <t>RET-0053</t>
        </is>
      </c>
      <c r="B641" s="12" t="inlineStr">
        <is>
          <t>VS28</t>
        </is>
      </c>
      <c r="C641" s="28" t="n">
        <v>0.0104</v>
      </c>
      <c r="D641" s="12" t="inlineStr">
        <is>
          <t>PO-2022-3049</t>
        </is>
      </c>
      <c r="E641" s="12" t="n">
        <v>0.39</v>
      </c>
      <c r="F641" s="17" t="n">
        <v>67065.08</v>
      </c>
      <c r="G641" s="14">
        <f>E641*F641</f>
        <v/>
      </c>
      <c r="H641" s="14">
        <f>C641*G641</f>
        <v/>
      </c>
    </row>
    <row r="642">
      <c r="A642" s="12" t="inlineStr">
        <is>
          <t>RET-0053</t>
        </is>
      </c>
      <c r="B642" s="12" t="inlineStr">
        <is>
          <t>VS29</t>
        </is>
      </c>
      <c r="C642" s="28" t="n">
        <v>0.0066</v>
      </c>
      <c r="D642" s="12" t="inlineStr">
        <is>
          <t>PO-2022-2653</t>
        </is>
      </c>
      <c r="E642" s="12" t="n">
        <v>0.39</v>
      </c>
      <c r="F642" s="17" t="n">
        <v>107751.75</v>
      </c>
      <c r="G642" s="14">
        <f>E642*F642</f>
        <v/>
      </c>
      <c r="H642" s="14">
        <f>C642*G642</f>
        <v/>
      </c>
    </row>
    <row r="643">
      <c r="A643" s="12" t="inlineStr">
        <is>
          <t>RET-0053</t>
        </is>
      </c>
      <c r="B643" s="12" t="inlineStr">
        <is>
          <t>VS30</t>
        </is>
      </c>
      <c r="C643" s="28" t="n">
        <v>0.0029</v>
      </c>
      <c r="D643" s="12" t="inlineStr">
        <is>
          <t>PO-2023-4481</t>
        </is>
      </c>
      <c r="E643" s="12" t="n">
        <v>0.39</v>
      </c>
      <c r="F643" s="17" t="n">
        <v>62724.55</v>
      </c>
      <c r="G643" s="14">
        <f>E643*F643</f>
        <v/>
      </c>
      <c r="H643" s="14">
        <f>C643*G643</f>
        <v/>
      </c>
    </row>
    <row r="644">
      <c r="A644" s="12" t="inlineStr">
        <is>
          <t>RET-0053</t>
        </is>
      </c>
      <c r="B644" s="12" t="inlineStr">
        <is>
          <t>VS31</t>
        </is>
      </c>
      <c r="C644" s="28" t="n">
        <v>0.0104</v>
      </c>
      <c r="D644" s="12" t="inlineStr">
        <is>
          <t>PO-2023-4151</t>
        </is>
      </c>
      <c r="E644" s="12" t="n">
        <v>0.39</v>
      </c>
      <c r="F644" s="17" t="n">
        <v>94259.36</v>
      </c>
      <c r="G644" s="14">
        <f>E644*F644</f>
        <v/>
      </c>
      <c r="H644" s="14">
        <f>C644*G644</f>
        <v/>
      </c>
    </row>
    <row r="645">
      <c r="A645" s="12" t="inlineStr">
        <is>
          <t>RET-0053</t>
        </is>
      </c>
      <c r="B645" s="12" t="inlineStr">
        <is>
          <t>VS32</t>
        </is>
      </c>
      <c r="C645" s="28" t="n">
        <v>0.0124</v>
      </c>
      <c r="D645" s="12" t="inlineStr">
        <is>
          <t>PO-2021-1378</t>
        </is>
      </c>
      <c r="E645" s="12" t="n">
        <v>0.39</v>
      </c>
      <c r="F645" s="17" t="n">
        <v>86461.78999999999</v>
      </c>
      <c r="G645" s="14">
        <f>E645*F645</f>
        <v/>
      </c>
      <c r="H645" s="14">
        <f>C645*G645</f>
        <v/>
      </c>
    </row>
    <row r="646">
      <c r="A646" s="12" t="inlineStr">
        <is>
          <t>RET-0053</t>
        </is>
      </c>
      <c r="B646" s="12" t="inlineStr">
        <is>
          <t>VS33</t>
        </is>
      </c>
      <c r="C646" s="28" t="n">
        <v>0.0066</v>
      </c>
      <c r="D646" s="12" t="inlineStr">
        <is>
          <t>PO-2022-2218</t>
        </is>
      </c>
      <c r="E646" s="12" t="n">
        <v>0.39</v>
      </c>
      <c r="F646" s="17" t="n">
        <v>85470.95</v>
      </c>
      <c r="G646" s="14">
        <f>E646*F646</f>
        <v/>
      </c>
      <c r="H646" s="14">
        <f>C646*G646</f>
        <v/>
      </c>
    </row>
    <row r="647">
      <c r="A647" s="12" t="inlineStr">
        <is>
          <t>RET-0053</t>
        </is>
      </c>
      <c r="B647" s="12" t="inlineStr">
        <is>
          <t>VS34</t>
        </is>
      </c>
      <c r="C647" s="28" t="n">
        <v>0.008500000000000001</v>
      </c>
      <c r="D647" s="12" t="inlineStr">
        <is>
          <t>PO-2023-3989</t>
        </is>
      </c>
      <c r="E647" s="12" t="n">
        <v>0.39</v>
      </c>
      <c r="F647" s="17" t="n">
        <v>119858.37</v>
      </c>
      <c r="G647" s="14">
        <f>E647*F647</f>
        <v/>
      </c>
      <c r="H647" s="14">
        <f>C647*G647</f>
        <v/>
      </c>
    </row>
    <row r="648">
      <c r="A648" s="12" t="inlineStr">
        <is>
          <t>RET-0055</t>
        </is>
      </c>
      <c r="B648" s="12" t="inlineStr">
        <is>
          <t>VS01</t>
        </is>
      </c>
      <c r="C648" s="28" t="n">
        <v>0.0171</v>
      </c>
      <c r="D648" s="12" t="inlineStr">
        <is>
          <t>PO-2023-4720</t>
        </is>
      </c>
      <c r="E648" s="12" t="n">
        <v>1.84</v>
      </c>
      <c r="F648" s="17" t="n">
        <v>103257.11</v>
      </c>
      <c r="G648" s="14">
        <f>E648*F648</f>
        <v/>
      </c>
      <c r="H648" s="14">
        <f>C648*G648</f>
        <v/>
      </c>
    </row>
    <row r="649">
      <c r="A649" s="12" t="inlineStr">
        <is>
          <t>RET-0055</t>
        </is>
      </c>
      <c r="B649" s="12" t="inlineStr">
        <is>
          <t>VS02</t>
        </is>
      </c>
      <c r="C649" s="28" t="n">
        <v>0.0078</v>
      </c>
      <c r="D649" s="12" t="inlineStr">
        <is>
          <t>PO-2023-3689</t>
        </is>
      </c>
      <c r="E649" s="12" t="n">
        <v>1.84</v>
      </c>
      <c r="F649" s="17" t="n">
        <v>82924.91</v>
      </c>
      <c r="G649" s="14">
        <f>E649*F649</f>
        <v/>
      </c>
      <c r="H649" s="14">
        <f>C649*G649</f>
        <v/>
      </c>
    </row>
    <row r="650">
      <c r="A650" s="12" t="inlineStr">
        <is>
          <t>RET-0055</t>
        </is>
      </c>
      <c r="B650" s="12" t="inlineStr">
        <is>
          <t>VS03</t>
        </is>
      </c>
      <c r="C650" s="28" t="n">
        <v>0.1812</v>
      </c>
      <c r="D650" s="12" t="inlineStr">
        <is>
          <t>PO-2021-0413</t>
        </is>
      </c>
      <c r="E650" s="12" t="n">
        <v>1.84</v>
      </c>
      <c r="F650" s="17" t="n">
        <v>124002.51</v>
      </c>
      <c r="G650" s="14">
        <f>E650*F650</f>
        <v/>
      </c>
      <c r="H650" s="14">
        <f>C650*G650</f>
        <v/>
      </c>
    </row>
    <row r="651">
      <c r="A651" s="12" t="inlineStr">
        <is>
          <t>RET-0055</t>
        </is>
      </c>
      <c r="B651" s="12" t="inlineStr">
        <is>
          <t>VS04</t>
        </is>
      </c>
      <c r="C651" s="28" t="n">
        <v>0.0107</v>
      </c>
      <c r="D651" s="12" t="inlineStr">
        <is>
          <t>PO-2022-2012</t>
        </is>
      </c>
      <c r="E651" s="12" t="n">
        <v>1.84</v>
      </c>
      <c r="F651" s="17" t="n">
        <v>54116.36</v>
      </c>
      <c r="G651" s="14">
        <f>E651*F651</f>
        <v/>
      </c>
      <c r="H651" s="14">
        <f>C651*G651</f>
        <v/>
      </c>
    </row>
    <row r="652">
      <c r="A652" s="12" t="inlineStr">
        <is>
          <t>RET-0055</t>
        </is>
      </c>
      <c r="B652" s="12" t="inlineStr">
        <is>
          <t>VS05</t>
        </is>
      </c>
      <c r="C652" s="28" t="n">
        <v>0.014</v>
      </c>
      <c r="D652" s="12" t="inlineStr">
        <is>
          <t>PO-2023-3291</t>
        </is>
      </c>
      <c r="E652" s="12" t="n">
        <v>1.84</v>
      </c>
      <c r="F652" s="17" t="n">
        <v>119516.02</v>
      </c>
      <c r="G652" s="14">
        <f>E652*F652</f>
        <v/>
      </c>
      <c r="H652" s="14">
        <f>C652*G652</f>
        <v/>
      </c>
    </row>
    <row r="653">
      <c r="A653" s="12" t="inlineStr">
        <is>
          <t>RET-0055</t>
        </is>
      </c>
      <c r="B653" s="12" t="inlineStr">
        <is>
          <t>VS06</t>
        </is>
      </c>
      <c r="C653" s="28" t="n">
        <v>0.0141</v>
      </c>
      <c r="D653" s="12" t="inlineStr">
        <is>
          <t>PO-2022-2971</t>
        </is>
      </c>
      <c r="E653" s="12" t="n">
        <v>1.84</v>
      </c>
      <c r="F653" s="17" t="n">
        <v>83772.87</v>
      </c>
      <c r="G653" s="14">
        <f>E653*F653</f>
        <v/>
      </c>
      <c r="H653" s="14">
        <f>C653*G653</f>
        <v/>
      </c>
    </row>
    <row r="654">
      <c r="A654" s="12" t="inlineStr">
        <is>
          <t>RET-0055</t>
        </is>
      </c>
      <c r="B654" s="12" t="inlineStr">
        <is>
          <t>VS07</t>
        </is>
      </c>
      <c r="C654" s="28" t="n">
        <v>0.0047</v>
      </c>
      <c r="D654" s="12" t="inlineStr">
        <is>
          <t>PO-2021-1311</t>
        </is>
      </c>
      <c r="E654" s="12" t="n">
        <v>1.84</v>
      </c>
      <c r="F654" s="17" t="n">
        <v>51415.1</v>
      </c>
      <c r="G654" s="14">
        <f>E654*F654</f>
        <v/>
      </c>
      <c r="H654" s="14">
        <f>C654*G654</f>
        <v/>
      </c>
    </row>
    <row r="655">
      <c r="A655" s="12" t="inlineStr">
        <is>
          <t>RET-0055</t>
        </is>
      </c>
      <c r="B655" s="12" t="inlineStr">
        <is>
          <t>VS08</t>
        </is>
      </c>
      <c r="C655" s="28" t="n">
        <v>0.0142</v>
      </c>
      <c r="D655" s="12" t="inlineStr">
        <is>
          <t>PO-2023-4792</t>
        </is>
      </c>
      <c r="E655" s="12" t="n">
        <v>1.84</v>
      </c>
      <c r="F655" s="17" t="n">
        <v>54253.71</v>
      </c>
      <c r="G655" s="14">
        <f>E655*F655</f>
        <v/>
      </c>
      <c r="H655" s="14">
        <f>C655*G655</f>
        <v/>
      </c>
    </row>
    <row r="656">
      <c r="A656" s="12" t="inlineStr">
        <is>
          <t>RET-0055</t>
        </is>
      </c>
      <c r="B656" s="12" t="inlineStr">
        <is>
          <t>VS09</t>
        </is>
      </c>
      <c r="C656" s="28" t="n">
        <v>0.0109</v>
      </c>
      <c r="D656" s="12" t="inlineStr">
        <is>
          <t>PO-2021-0056</t>
        </is>
      </c>
      <c r="E656" s="12" t="n">
        <v>1.84</v>
      </c>
      <c r="F656" s="17" t="n">
        <v>64511.72</v>
      </c>
      <c r="G656" s="14">
        <f>E656*F656</f>
        <v/>
      </c>
      <c r="H656" s="14">
        <f>C656*G656</f>
        <v/>
      </c>
    </row>
    <row r="657">
      <c r="A657" s="12" t="inlineStr">
        <is>
          <t>RET-0055</t>
        </is>
      </c>
      <c r="B657" s="12" t="inlineStr">
        <is>
          <t>VS10</t>
        </is>
      </c>
      <c r="C657" s="28" t="n">
        <v>0.0171</v>
      </c>
      <c r="D657" s="12" t="inlineStr">
        <is>
          <t>PO-2021-1571</t>
        </is>
      </c>
      <c r="E657" s="12" t="n">
        <v>1.84</v>
      </c>
      <c r="F657" s="17" t="n">
        <v>99471.46000000001</v>
      </c>
      <c r="G657" s="14">
        <f>E657*F657</f>
        <v/>
      </c>
      <c r="H657" s="14">
        <f>C657*G657</f>
        <v/>
      </c>
    </row>
    <row r="658">
      <c r="A658" s="12" t="inlineStr">
        <is>
          <t>RET-0055</t>
        </is>
      </c>
      <c r="B658" s="12" t="inlineStr">
        <is>
          <t>VS11</t>
        </is>
      </c>
      <c r="C658" s="28" t="n">
        <v>0.02</v>
      </c>
      <c r="D658" s="12" t="inlineStr">
        <is>
          <t>PO-2022-3170</t>
        </is>
      </c>
      <c r="E658" s="12" t="n">
        <v>1.84</v>
      </c>
      <c r="F658" s="17" t="n">
        <v>108488.2</v>
      </c>
      <c r="G658" s="14">
        <f>E658*F658</f>
        <v/>
      </c>
      <c r="H658" s="14">
        <f>C658*G658</f>
        <v/>
      </c>
    </row>
    <row r="659">
      <c r="A659" s="12" t="inlineStr">
        <is>
          <t>RET-0055</t>
        </is>
      </c>
      <c r="B659" s="12" t="inlineStr">
        <is>
          <t>VS12</t>
        </is>
      </c>
      <c r="C659" s="28" t="n">
        <v>0.2519</v>
      </c>
      <c r="D659" s="12" t="inlineStr">
        <is>
          <t>PO-2023-3259</t>
        </is>
      </c>
      <c r="E659" s="12" t="n">
        <v>1.84</v>
      </c>
      <c r="F659" s="17" t="n">
        <v>55372.98</v>
      </c>
      <c r="G659" s="14">
        <f>E659*F659</f>
        <v/>
      </c>
      <c r="H659" s="14">
        <f>C659*G659</f>
        <v/>
      </c>
    </row>
    <row r="660">
      <c r="A660" s="12" t="inlineStr">
        <is>
          <t>RET-0055</t>
        </is>
      </c>
      <c r="B660" s="12" t="inlineStr">
        <is>
          <t>VS13</t>
        </is>
      </c>
      <c r="C660" s="28" t="n">
        <v>0.0138</v>
      </c>
      <c r="D660" s="12" t="inlineStr">
        <is>
          <t>PO-2023-4284</t>
        </is>
      </c>
      <c r="E660" s="12" t="n">
        <v>1.84</v>
      </c>
      <c r="F660" s="17" t="n">
        <v>111062.32</v>
      </c>
      <c r="G660" s="14">
        <f>E660*F660</f>
        <v/>
      </c>
      <c r="H660" s="14">
        <f>C660*G660</f>
        <v/>
      </c>
    </row>
    <row r="661">
      <c r="A661" s="12" t="inlineStr">
        <is>
          <t>RET-0055</t>
        </is>
      </c>
      <c r="B661" s="12" t="inlineStr">
        <is>
          <t>VS14</t>
        </is>
      </c>
      <c r="C661" s="28" t="n">
        <v>0.0139</v>
      </c>
      <c r="D661" s="12" t="inlineStr">
        <is>
          <t>PO-2021-1289</t>
        </is>
      </c>
      <c r="E661" s="12" t="n">
        <v>1.84</v>
      </c>
      <c r="F661" s="17" t="n">
        <v>69634.28999999999</v>
      </c>
      <c r="G661" s="14">
        <f>E661*F661</f>
        <v/>
      </c>
      <c r="H661" s="14">
        <f>C661*G661</f>
        <v/>
      </c>
    </row>
    <row r="662">
      <c r="A662" s="12" t="inlineStr">
        <is>
          <t>RET-0055</t>
        </is>
      </c>
      <c r="B662" s="12" t="inlineStr">
        <is>
          <t>VS15</t>
        </is>
      </c>
      <c r="C662" s="28" t="n">
        <v>0.0047</v>
      </c>
      <c r="D662" s="12" t="inlineStr">
        <is>
          <t>PO-2022-1821</t>
        </is>
      </c>
      <c r="E662" s="12" t="n">
        <v>1.84</v>
      </c>
      <c r="F662" s="17" t="n">
        <v>115607.02</v>
      </c>
      <c r="G662" s="14">
        <f>E662*F662</f>
        <v/>
      </c>
      <c r="H662" s="14">
        <f>C662*G662</f>
        <v/>
      </c>
    </row>
    <row r="663">
      <c r="A663" s="12" t="inlineStr">
        <is>
          <t>RET-0055</t>
        </is>
      </c>
      <c r="B663" s="12" t="inlineStr">
        <is>
          <t>VS16</t>
        </is>
      </c>
      <c r="C663" s="28" t="n">
        <v>0.0201</v>
      </c>
      <c r="D663" s="12" t="inlineStr">
        <is>
          <t>PO-2022-2530</t>
        </is>
      </c>
      <c r="E663" s="12" t="n">
        <v>1.84</v>
      </c>
      <c r="F663" s="17" t="n">
        <v>114453.87</v>
      </c>
      <c r="G663" s="14">
        <f>E663*F663</f>
        <v/>
      </c>
      <c r="H663" s="14">
        <f>C663*G663</f>
        <v/>
      </c>
    </row>
    <row r="664">
      <c r="A664" s="12" t="inlineStr">
        <is>
          <t>RET-0055</t>
        </is>
      </c>
      <c r="B664" s="12" t="inlineStr">
        <is>
          <t>VS17</t>
        </is>
      </c>
      <c r="C664" s="28" t="n">
        <v>0.02</v>
      </c>
      <c r="D664" s="12" t="inlineStr">
        <is>
          <t>PO-2021-1288</t>
        </is>
      </c>
      <c r="E664" s="12" t="n">
        <v>1.84</v>
      </c>
      <c r="F664" s="17" t="n">
        <v>94670.78</v>
      </c>
      <c r="G664" s="14">
        <f>E664*F664</f>
        <v/>
      </c>
      <c r="H664" s="14">
        <f>C664*G664</f>
        <v/>
      </c>
    </row>
    <row r="665">
      <c r="A665" s="12" t="inlineStr">
        <is>
          <t>RET-0055</t>
        </is>
      </c>
      <c r="B665" s="12" t="inlineStr">
        <is>
          <t>VS18</t>
        </is>
      </c>
      <c r="C665" s="28" t="n">
        <v>0.0139</v>
      </c>
      <c r="D665" s="12" t="inlineStr">
        <is>
          <t>PO-2023-3268</t>
        </is>
      </c>
      <c r="E665" s="12" t="n">
        <v>1.84</v>
      </c>
      <c r="F665" s="17" t="n">
        <v>88118.99000000001</v>
      </c>
      <c r="G665" s="14">
        <f>E665*F665</f>
        <v/>
      </c>
      <c r="H665" s="14">
        <f>C665*G665</f>
        <v/>
      </c>
    </row>
    <row r="666">
      <c r="A666" s="12" t="inlineStr">
        <is>
          <t>RET-0055</t>
        </is>
      </c>
      <c r="B666" s="12" t="inlineStr">
        <is>
          <t>VS19</t>
        </is>
      </c>
      <c r="C666" s="28" t="n">
        <v>0.19</v>
      </c>
      <c r="D666" s="12" t="inlineStr">
        <is>
          <t>PO-2022-3007</t>
        </is>
      </c>
      <c r="E666" s="12" t="n">
        <v>1.84</v>
      </c>
      <c r="F666" s="17" t="n">
        <v>58160.08</v>
      </c>
      <c r="G666" s="14">
        <f>E666*F666</f>
        <v/>
      </c>
      <c r="H666" s="14">
        <f>C666*G666</f>
        <v/>
      </c>
    </row>
    <row r="667">
      <c r="A667" s="12" t="inlineStr">
        <is>
          <t>RET-0055</t>
        </is>
      </c>
      <c r="B667" s="12" t="inlineStr">
        <is>
          <t>VS20</t>
        </is>
      </c>
      <c r="C667" s="28" t="n">
        <v>0.0078</v>
      </c>
      <c r="D667" s="12" t="inlineStr">
        <is>
          <t>PO-2022-3189</t>
        </is>
      </c>
      <c r="E667" s="12" t="n">
        <v>1.84</v>
      </c>
      <c r="F667" s="17" t="n">
        <v>109008.64</v>
      </c>
      <c r="G667" s="14">
        <f>E667*F667</f>
        <v/>
      </c>
      <c r="H667" s="14">
        <f>C667*G667</f>
        <v/>
      </c>
    </row>
    <row r="668">
      <c r="A668" s="12" t="inlineStr">
        <is>
          <t>RET-0055</t>
        </is>
      </c>
      <c r="B668" s="12" t="inlineStr">
        <is>
          <t>VS21</t>
        </is>
      </c>
      <c r="C668" s="28" t="n">
        <v>0.0078</v>
      </c>
      <c r="D668" s="12" t="inlineStr">
        <is>
          <t>PO-2023-4314</t>
        </is>
      </c>
      <c r="E668" s="12" t="n">
        <v>1.84</v>
      </c>
      <c r="F668" s="17" t="n">
        <v>85907.42</v>
      </c>
      <c r="G668" s="14">
        <f>E668*F668</f>
        <v/>
      </c>
      <c r="H668" s="14">
        <f>C668*G668</f>
        <v/>
      </c>
    </row>
    <row r="669">
      <c r="A669" s="12" t="inlineStr">
        <is>
          <t>RET-0055</t>
        </is>
      </c>
      <c r="B669" s="12" t="inlineStr">
        <is>
          <t>VS22</t>
        </is>
      </c>
      <c r="C669" s="28" t="n">
        <v>0.0046</v>
      </c>
      <c r="D669" s="12" t="inlineStr">
        <is>
          <t>PO-2021-0394</t>
        </is>
      </c>
      <c r="E669" s="12" t="n">
        <v>1.84</v>
      </c>
      <c r="F669" s="17" t="n">
        <v>84083.61</v>
      </c>
      <c r="G669" s="14">
        <f>E669*F669</f>
        <v/>
      </c>
      <c r="H669" s="14">
        <f>C669*G669</f>
        <v/>
      </c>
    </row>
    <row r="670">
      <c r="A670" s="12" t="inlineStr">
        <is>
          <t>RET-0055</t>
        </is>
      </c>
      <c r="B670" s="12" t="inlineStr">
        <is>
          <t>VS23</t>
        </is>
      </c>
      <c r="C670" s="28" t="n">
        <v>0.0077</v>
      </c>
      <c r="D670" s="12" t="inlineStr">
        <is>
          <t>PO-2021-0237</t>
        </is>
      </c>
      <c r="E670" s="12" t="n">
        <v>1.84</v>
      </c>
      <c r="F670" s="17" t="n">
        <v>110252.79</v>
      </c>
      <c r="G670" s="14">
        <f>E670*F670</f>
        <v/>
      </c>
      <c r="H670" s="14">
        <f>C670*G670</f>
        <v/>
      </c>
    </row>
    <row r="671">
      <c r="A671" s="12" t="inlineStr">
        <is>
          <t>RET-0055</t>
        </is>
      </c>
      <c r="B671" s="12" t="inlineStr">
        <is>
          <t>VS24</t>
        </is>
      </c>
      <c r="C671" s="28" t="n">
        <v>0.0077</v>
      </c>
      <c r="D671" s="12" t="inlineStr">
        <is>
          <t>PO-2021-0471</t>
        </is>
      </c>
      <c r="E671" s="12" t="n">
        <v>1.84</v>
      </c>
      <c r="F671" s="17" t="n">
        <v>51367.68</v>
      </c>
      <c r="G671" s="14">
        <f>E671*F671</f>
        <v/>
      </c>
      <c r="H671" s="14">
        <f>C671*G671</f>
        <v/>
      </c>
    </row>
    <row r="672">
      <c r="A672" s="12" t="inlineStr">
        <is>
          <t>RET-0055</t>
        </is>
      </c>
      <c r="B672" s="12" t="inlineStr">
        <is>
          <t>VS25</t>
        </is>
      </c>
      <c r="C672" s="28" t="n">
        <v>0.014</v>
      </c>
      <c r="D672" s="12" t="inlineStr">
        <is>
          <t>PO-2022-3043</t>
        </is>
      </c>
      <c r="E672" s="12" t="n">
        <v>1.84</v>
      </c>
      <c r="F672" s="17" t="n">
        <v>69855.56</v>
      </c>
      <c r="G672" s="14">
        <f>E672*F672</f>
        <v/>
      </c>
      <c r="H672" s="14">
        <f>C672*G672</f>
        <v/>
      </c>
    </row>
    <row r="673">
      <c r="A673" s="12" t="inlineStr">
        <is>
          <t>RET-0055</t>
        </is>
      </c>
      <c r="B673" s="12" t="inlineStr">
        <is>
          <t>VS26</t>
        </is>
      </c>
      <c r="C673" s="28" t="n">
        <v>0.0078</v>
      </c>
      <c r="D673" s="12" t="inlineStr">
        <is>
          <t>PO-2021-0597</t>
        </is>
      </c>
      <c r="E673" s="12" t="n">
        <v>1.84</v>
      </c>
      <c r="F673" s="17" t="n">
        <v>73928.66</v>
      </c>
      <c r="G673" s="14">
        <f>E673*F673</f>
        <v/>
      </c>
      <c r="H673" s="14">
        <f>C673*G673</f>
        <v/>
      </c>
    </row>
    <row r="674">
      <c r="A674" s="12" t="inlineStr">
        <is>
          <t>RET-0055</t>
        </is>
      </c>
      <c r="B674" s="12" t="inlineStr">
        <is>
          <t>VS27</t>
        </is>
      </c>
      <c r="C674" s="28" t="n">
        <v>0.0077</v>
      </c>
      <c r="D674" s="12" t="inlineStr">
        <is>
          <t>PO-2022-2279</t>
        </is>
      </c>
      <c r="E674" s="12" t="n">
        <v>1.84</v>
      </c>
      <c r="F674" s="17" t="n">
        <v>78291.97</v>
      </c>
      <c r="G674" s="14">
        <f>E674*F674</f>
        <v/>
      </c>
      <c r="H674" s="14">
        <f>C674*G674</f>
        <v/>
      </c>
    </row>
    <row r="675">
      <c r="A675" s="12" t="inlineStr">
        <is>
          <t>RET-0055</t>
        </is>
      </c>
      <c r="B675" s="12" t="inlineStr">
        <is>
          <t>VS28</t>
        </is>
      </c>
      <c r="C675" s="28" t="n">
        <v>0.0171</v>
      </c>
      <c r="D675" s="12" t="inlineStr">
        <is>
          <t>PO-2023-4377</t>
        </is>
      </c>
      <c r="E675" s="12" t="n">
        <v>1.84</v>
      </c>
      <c r="F675" s="17" t="n">
        <v>96834.74000000001</v>
      </c>
      <c r="G675" s="14">
        <f>E675*F675</f>
        <v/>
      </c>
      <c r="H675" s="14">
        <f>C675*G675</f>
        <v/>
      </c>
    </row>
    <row r="676">
      <c r="A676" s="12" t="inlineStr">
        <is>
          <t>RET-0055</t>
        </is>
      </c>
      <c r="B676" s="12" t="inlineStr">
        <is>
          <t>VS29</t>
        </is>
      </c>
      <c r="C676" s="28" t="n">
        <v>0.0109</v>
      </c>
      <c r="D676" s="12" t="inlineStr">
        <is>
          <t>PO-2023-4071</t>
        </is>
      </c>
      <c r="E676" s="12" t="n">
        <v>1.84</v>
      </c>
      <c r="F676" s="17" t="n">
        <v>100969.12</v>
      </c>
      <c r="G676" s="14">
        <f>E676*F676</f>
        <v/>
      </c>
      <c r="H676" s="14">
        <f>C676*G676</f>
        <v/>
      </c>
    </row>
    <row r="677">
      <c r="A677" s="12" t="inlineStr">
        <is>
          <t>RET-0055</t>
        </is>
      </c>
      <c r="B677" s="12" t="inlineStr">
        <is>
          <t>VS30</t>
        </is>
      </c>
      <c r="C677" s="28" t="n">
        <v>0.0047</v>
      </c>
      <c r="D677" s="12" t="inlineStr">
        <is>
          <t>PO-2021-1200</t>
        </is>
      </c>
      <c r="E677" s="12" t="n">
        <v>1.84</v>
      </c>
      <c r="F677" s="17" t="n">
        <v>64880.58</v>
      </c>
      <c r="G677" s="14">
        <f>E677*F677</f>
        <v/>
      </c>
      <c r="H677" s="14">
        <f>C677*G677</f>
        <v/>
      </c>
    </row>
    <row r="678">
      <c r="A678" s="12" t="inlineStr">
        <is>
          <t>RET-0055</t>
        </is>
      </c>
      <c r="B678" s="12" t="inlineStr">
        <is>
          <t>VS31</t>
        </is>
      </c>
      <c r="C678" s="28" t="n">
        <v>0.017</v>
      </c>
      <c r="D678" s="12" t="inlineStr">
        <is>
          <t>PO-2023-3779</t>
        </is>
      </c>
      <c r="E678" s="12" t="n">
        <v>1.84</v>
      </c>
      <c r="F678" s="17" t="n">
        <v>46668.99</v>
      </c>
      <c r="G678" s="14">
        <f>E678*F678</f>
        <v/>
      </c>
      <c r="H678" s="14">
        <f>C678*G678</f>
        <v/>
      </c>
    </row>
    <row r="679">
      <c r="A679" s="12" t="inlineStr">
        <is>
          <t>RET-0055</t>
        </is>
      </c>
      <c r="B679" s="12" t="inlineStr">
        <is>
          <t>VS32</t>
        </is>
      </c>
      <c r="C679" s="28" t="n">
        <v>0.0203</v>
      </c>
      <c r="D679" s="12" t="inlineStr">
        <is>
          <t>PO-2022-2041</t>
        </is>
      </c>
      <c r="E679" s="12" t="n">
        <v>1.84</v>
      </c>
      <c r="F679" s="17" t="n">
        <v>114341.27</v>
      </c>
      <c r="G679" s="14">
        <f>E679*F679</f>
        <v/>
      </c>
      <c r="H679" s="14">
        <f>C679*G679</f>
        <v/>
      </c>
    </row>
    <row r="680">
      <c r="A680" s="12" t="inlineStr">
        <is>
          <t>RET-0055</t>
        </is>
      </c>
      <c r="B680" s="12" t="inlineStr">
        <is>
          <t>VS33</t>
        </is>
      </c>
      <c r="C680" s="28" t="n">
        <v>0.0108</v>
      </c>
      <c r="D680" s="12" t="inlineStr">
        <is>
          <t>PO-2023-3839</t>
        </is>
      </c>
      <c r="E680" s="12" t="n">
        <v>1.84</v>
      </c>
      <c r="F680" s="17" t="n">
        <v>78820.49000000001</v>
      </c>
      <c r="G680" s="14">
        <f>E680*F680</f>
        <v/>
      </c>
      <c r="H680" s="14">
        <f>C680*G680</f>
        <v/>
      </c>
    </row>
    <row r="681">
      <c r="A681" s="12" t="inlineStr">
        <is>
          <t>RET-0055</t>
        </is>
      </c>
      <c r="B681" s="12" t="inlineStr">
        <is>
          <t>VS34</t>
        </is>
      </c>
      <c r="C681" s="28" t="n">
        <v>0.014</v>
      </c>
      <c r="D681" s="12" t="inlineStr">
        <is>
          <t>PO-2022-2501</t>
        </is>
      </c>
      <c r="E681" s="12" t="n">
        <v>1.84</v>
      </c>
      <c r="F681" s="17" t="n">
        <v>115746.4</v>
      </c>
      <c r="G681" s="14">
        <f>E681*F681</f>
        <v/>
      </c>
      <c r="H681" s="14">
        <f>C681*G681</f>
        <v/>
      </c>
    </row>
    <row r="682">
      <c r="A682" s="12" t="inlineStr">
        <is>
          <t>RET-0057</t>
        </is>
      </c>
      <c r="B682" s="12" t="inlineStr">
        <is>
          <t>VS01</t>
        </is>
      </c>
      <c r="C682" s="28" t="n">
        <v>0.0283</v>
      </c>
      <c r="D682" s="12" t="inlineStr">
        <is>
          <t>PO-2023-3746</t>
        </is>
      </c>
      <c r="E682" s="12" t="n">
        <v>3.61</v>
      </c>
      <c r="F682" s="17" t="n">
        <v>62120.19</v>
      </c>
      <c r="G682" s="14">
        <f>E682*F682</f>
        <v/>
      </c>
      <c r="H682" s="14">
        <f>C682*G682</f>
        <v/>
      </c>
    </row>
    <row r="683">
      <c r="A683" s="12" t="inlineStr">
        <is>
          <t>RET-0057</t>
        </is>
      </c>
      <c r="B683" s="12" t="inlineStr">
        <is>
          <t>VS02</t>
        </is>
      </c>
      <c r="C683" s="28" t="n">
        <v>0.0129</v>
      </c>
      <c r="D683" s="12" t="inlineStr">
        <is>
          <t>PO-2022-3121</t>
        </is>
      </c>
      <c r="E683" s="12" t="n">
        <v>3.61</v>
      </c>
      <c r="F683" s="17" t="n">
        <v>79385.72</v>
      </c>
      <c r="G683" s="14">
        <f>E683*F683</f>
        <v/>
      </c>
      <c r="H683" s="14">
        <f>C683*G683</f>
        <v/>
      </c>
    </row>
    <row r="684">
      <c r="A684" s="12" t="inlineStr">
        <is>
          <t>RET-0057</t>
        </is>
      </c>
      <c r="B684" s="12" t="inlineStr">
        <is>
          <t>VS03</t>
        </is>
      </c>
      <c r="C684" s="28" t="n">
        <v>0.1097</v>
      </c>
      <c r="D684" s="12" t="inlineStr">
        <is>
          <t>PO-2023-4389</t>
        </is>
      </c>
      <c r="E684" s="12" t="n">
        <v>3.61</v>
      </c>
      <c r="F684" s="17" t="n">
        <v>61123.58</v>
      </c>
      <c r="G684" s="14">
        <f>E684*F684</f>
        <v/>
      </c>
      <c r="H684" s="14">
        <f>C684*G684</f>
        <v/>
      </c>
    </row>
    <row r="685">
      <c r="A685" s="12" t="inlineStr">
        <is>
          <t>RET-0057</t>
        </is>
      </c>
      <c r="B685" s="12" t="inlineStr">
        <is>
          <t>VS04</t>
        </is>
      </c>
      <c r="C685" s="28" t="n">
        <v>0.0178</v>
      </c>
      <c r="D685" s="12" t="inlineStr">
        <is>
          <t>PO-2022-2667</t>
        </is>
      </c>
      <c r="E685" s="12" t="n">
        <v>3.61</v>
      </c>
      <c r="F685" s="17" t="n">
        <v>119130.22</v>
      </c>
      <c r="G685" s="14">
        <f>E685*F685</f>
        <v/>
      </c>
      <c r="H685" s="14">
        <f>C685*G685</f>
        <v/>
      </c>
    </row>
    <row r="686">
      <c r="A686" s="12" t="inlineStr">
        <is>
          <t>RET-0057</t>
        </is>
      </c>
      <c r="B686" s="12" t="inlineStr">
        <is>
          <t>VS05</t>
        </is>
      </c>
      <c r="C686" s="28" t="n">
        <v>0.0231</v>
      </c>
      <c r="D686" s="12" t="inlineStr">
        <is>
          <t>PO-2023-4177</t>
        </is>
      </c>
      <c r="E686" s="12" t="n">
        <v>3.61</v>
      </c>
      <c r="F686" s="17" t="n">
        <v>72246.31</v>
      </c>
      <c r="G686" s="14">
        <f>E686*F686</f>
        <v/>
      </c>
      <c r="H686" s="14">
        <f>C686*G686</f>
        <v/>
      </c>
    </row>
    <row r="687">
      <c r="A687" s="12" t="inlineStr">
        <is>
          <t>RET-0057</t>
        </is>
      </c>
      <c r="B687" s="12" t="inlineStr">
        <is>
          <t>VS06</t>
        </is>
      </c>
      <c r="C687" s="28" t="n">
        <v>0.0233</v>
      </c>
      <c r="D687" s="12" t="inlineStr">
        <is>
          <t>PO-2022-2874</t>
        </is>
      </c>
      <c r="E687" s="12" t="n">
        <v>3.61</v>
      </c>
      <c r="F687" s="17" t="n">
        <v>93218.38</v>
      </c>
      <c r="G687" s="14">
        <f>E687*F687</f>
        <v/>
      </c>
      <c r="H687" s="14">
        <f>C687*G687</f>
        <v/>
      </c>
    </row>
    <row r="688">
      <c r="A688" s="12" t="inlineStr">
        <is>
          <t>RET-0057</t>
        </is>
      </c>
      <c r="B688" s="12" t="inlineStr">
        <is>
          <t>VS07</t>
        </is>
      </c>
      <c r="C688" s="28" t="n">
        <v>0.0078</v>
      </c>
      <c r="D688" s="12" t="inlineStr">
        <is>
          <t>PO-2023-3368</t>
        </is>
      </c>
      <c r="E688" s="12" t="n">
        <v>3.61</v>
      </c>
      <c r="F688" s="17" t="n">
        <v>59240.39</v>
      </c>
      <c r="G688" s="14">
        <f>E688*F688</f>
        <v/>
      </c>
      <c r="H688" s="14">
        <f>C688*G688</f>
        <v/>
      </c>
    </row>
    <row r="689">
      <c r="A689" s="12" t="inlineStr">
        <is>
          <t>RET-0057</t>
        </is>
      </c>
      <c r="B689" s="12" t="inlineStr">
        <is>
          <t>VS08</t>
        </is>
      </c>
      <c r="C689" s="28" t="n">
        <v>0.0234</v>
      </c>
      <c r="D689" s="12" t="inlineStr">
        <is>
          <t>PO-2021-0179</t>
        </is>
      </c>
      <c r="E689" s="12" t="n">
        <v>3.61</v>
      </c>
      <c r="F689" s="17" t="n">
        <v>77299.13</v>
      </c>
      <c r="G689" s="14">
        <f>E689*F689</f>
        <v/>
      </c>
      <c r="H689" s="14">
        <f>C689*G689</f>
        <v/>
      </c>
    </row>
    <row r="690">
      <c r="A690" s="12" t="inlineStr">
        <is>
          <t>RET-0057</t>
        </is>
      </c>
      <c r="B690" s="12" t="inlineStr">
        <is>
          <t>VS09</t>
        </is>
      </c>
      <c r="C690" s="28" t="n">
        <v>0.018</v>
      </c>
      <c r="D690" s="12" t="inlineStr">
        <is>
          <t>PO-2022-3055</t>
        </is>
      </c>
      <c r="E690" s="12" t="n">
        <v>3.61</v>
      </c>
      <c r="F690" s="17" t="n">
        <v>54952.58</v>
      </c>
      <c r="G690" s="14">
        <f>E690*F690</f>
        <v/>
      </c>
      <c r="H690" s="14">
        <f>C690*G690</f>
        <v/>
      </c>
    </row>
    <row r="691">
      <c r="A691" s="12" t="inlineStr">
        <is>
          <t>RET-0057</t>
        </is>
      </c>
      <c r="B691" s="12" t="inlineStr">
        <is>
          <t>VS10</t>
        </is>
      </c>
      <c r="C691" s="28" t="n">
        <v>0.0283</v>
      </c>
      <c r="D691" s="12" t="inlineStr">
        <is>
          <t>PO-2021-0151</t>
        </is>
      </c>
      <c r="E691" s="12" t="n">
        <v>3.61</v>
      </c>
      <c r="F691" s="17" t="n">
        <v>118802.11</v>
      </c>
      <c r="G691" s="14">
        <f>E691*F691</f>
        <v/>
      </c>
      <c r="H691" s="14">
        <f>C691*G691</f>
        <v/>
      </c>
    </row>
    <row r="692">
      <c r="A692" s="12" t="inlineStr">
        <is>
          <t>RET-0057</t>
        </is>
      </c>
      <c r="B692" s="12" t="inlineStr">
        <is>
          <t>VS11</t>
        </is>
      </c>
      <c r="C692" s="28" t="n">
        <v>0.0331</v>
      </c>
      <c r="D692" s="12" t="inlineStr">
        <is>
          <t>PO-2021-0990</t>
        </is>
      </c>
      <c r="E692" s="12" t="n">
        <v>3.61</v>
      </c>
      <c r="F692" s="17" t="n">
        <v>51054.2</v>
      </c>
      <c r="G692" s="14">
        <f>E692*F692</f>
        <v/>
      </c>
      <c r="H692" s="14">
        <f>C692*G692</f>
        <v/>
      </c>
    </row>
    <row r="693">
      <c r="A693" s="12" t="inlineStr">
        <is>
          <t>RET-0057</t>
        </is>
      </c>
      <c r="B693" s="12" t="inlineStr">
        <is>
          <t>VS12</t>
        </is>
      </c>
      <c r="C693" s="28" t="n">
        <v>0.1525</v>
      </c>
      <c r="D693" s="12" t="inlineStr">
        <is>
          <t>PO-2023-3734</t>
        </is>
      </c>
      <c r="E693" s="12" t="n">
        <v>3.61</v>
      </c>
      <c r="F693" s="17" t="n">
        <v>120569.59</v>
      </c>
      <c r="G693" s="14">
        <f>E693*F693</f>
        <v/>
      </c>
      <c r="H693" s="14">
        <f>C693*G693</f>
        <v/>
      </c>
    </row>
    <row r="694">
      <c r="A694" s="12" t="inlineStr">
        <is>
          <t>RET-0057</t>
        </is>
      </c>
      <c r="B694" s="12" t="inlineStr">
        <is>
          <t>VS13</t>
        </is>
      </c>
      <c r="C694" s="28" t="n">
        <v>0.0228</v>
      </c>
      <c r="D694" s="12" t="inlineStr">
        <is>
          <t>PO-2022-2411</t>
        </is>
      </c>
      <c r="E694" s="12" t="n">
        <v>1.729</v>
      </c>
      <c r="F694" s="17" t="n">
        <v>67183.81</v>
      </c>
      <c r="G694" s="14">
        <f>E694*F694</f>
        <v/>
      </c>
      <c r="H694" s="14">
        <f>C694*G694</f>
        <v/>
      </c>
    </row>
    <row r="695">
      <c r="A695" s="12" t="inlineStr">
        <is>
          <t>RET-0057</t>
        </is>
      </c>
      <c r="B695" s="12" t="inlineStr">
        <is>
          <t>VS14</t>
        </is>
      </c>
      <c r="C695" s="28" t="n">
        <v>0.023</v>
      </c>
      <c r="D695" s="12" t="inlineStr">
        <is>
          <t>PO-2023-3401</t>
        </is>
      </c>
      <c r="E695" s="12" t="n">
        <v>3.61</v>
      </c>
      <c r="F695" s="17" t="n">
        <v>116273.67</v>
      </c>
      <c r="G695" s="14">
        <f>E695*F695</f>
        <v/>
      </c>
      <c r="H695" s="14">
        <f>C695*G695</f>
        <v/>
      </c>
    </row>
    <row r="696">
      <c r="A696" s="12" t="inlineStr">
        <is>
          <t>RET-0057</t>
        </is>
      </c>
      <c r="B696" s="12" t="inlineStr">
        <is>
          <t>VS15</t>
        </is>
      </c>
      <c r="C696" s="28" t="n">
        <v>0.0077</v>
      </c>
      <c r="D696" s="12" t="inlineStr">
        <is>
          <t>PO-2023-4219</t>
        </is>
      </c>
      <c r="E696" s="12" t="n">
        <v>3.61</v>
      </c>
      <c r="F696" s="17" t="n">
        <v>59583.85</v>
      </c>
      <c r="G696" s="14">
        <f>E696*F696</f>
        <v/>
      </c>
      <c r="H696" s="14">
        <f>C696*G696</f>
        <v/>
      </c>
    </row>
    <row r="697">
      <c r="A697" s="12" t="inlineStr">
        <is>
          <t>RET-0057</t>
        </is>
      </c>
      <c r="B697" s="12" t="inlineStr">
        <is>
          <t>VS16</t>
        </is>
      </c>
      <c r="C697" s="28" t="n">
        <v>0.0332</v>
      </c>
      <c r="D697" s="12" t="inlineStr">
        <is>
          <t>PO-2022-1699</t>
        </is>
      </c>
      <c r="E697" s="12" t="n">
        <v>3.61</v>
      </c>
      <c r="F697" s="17" t="n">
        <v>93275</v>
      </c>
      <c r="G697" s="14">
        <f>E697*F697</f>
        <v/>
      </c>
      <c r="H697" s="14">
        <f>C697*G697</f>
        <v/>
      </c>
    </row>
    <row r="698">
      <c r="A698" s="12" t="inlineStr">
        <is>
          <t>RET-0057</t>
        </is>
      </c>
      <c r="B698" s="12" t="inlineStr">
        <is>
          <t>VS17</t>
        </is>
      </c>
      <c r="C698" s="28" t="n">
        <v>0.0331</v>
      </c>
      <c r="D698" s="12" t="inlineStr">
        <is>
          <t>PO-2023-3885</t>
        </is>
      </c>
      <c r="E698" s="12" t="n">
        <v>3.61</v>
      </c>
      <c r="F698" s="17" t="n">
        <v>83042.16</v>
      </c>
      <c r="G698" s="14">
        <f>E698*F698</f>
        <v/>
      </c>
      <c r="H698" s="14">
        <f>C698*G698</f>
        <v/>
      </c>
    </row>
    <row r="699">
      <c r="A699" s="12" t="inlineStr">
        <is>
          <t>RET-0057</t>
        </is>
      </c>
      <c r="B699" s="12" t="inlineStr">
        <is>
          <t>VS18</t>
        </is>
      </c>
      <c r="C699" s="28" t="n">
        <v>0.023</v>
      </c>
      <c r="D699" s="12" t="inlineStr">
        <is>
          <t>PO-2023-3828</t>
        </is>
      </c>
      <c r="E699" s="12" t="n">
        <v>3.61</v>
      </c>
      <c r="F699" s="17" t="n">
        <v>110527.8</v>
      </c>
      <c r="G699" s="14">
        <f>E699*F699</f>
        <v/>
      </c>
      <c r="H699" s="14">
        <f>C699*G699</f>
        <v/>
      </c>
    </row>
    <row r="700">
      <c r="A700" s="12" t="inlineStr">
        <is>
          <t>RET-0057</t>
        </is>
      </c>
      <c r="B700" s="12" t="inlineStr">
        <is>
          <t>VS19</t>
        </is>
      </c>
      <c r="C700" s="28" t="n">
        <v>0.115</v>
      </c>
      <c r="D700" s="12" t="inlineStr">
        <is>
          <t>PO-2023-4647</t>
        </is>
      </c>
      <c r="E700" s="12" t="n">
        <v>3.61</v>
      </c>
      <c r="F700" s="17" t="n">
        <v>88360.27</v>
      </c>
      <c r="G700" s="14">
        <f>E700*F700</f>
        <v/>
      </c>
      <c r="H700" s="14">
        <f>C700*G700</f>
        <v/>
      </c>
    </row>
    <row r="701">
      <c r="A701" s="12" t="inlineStr">
        <is>
          <t>RET-0057</t>
        </is>
      </c>
      <c r="B701" s="12" t="inlineStr">
        <is>
          <t>VS20</t>
        </is>
      </c>
      <c r="C701" s="28" t="n">
        <v>0.0129</v>
      </c>
      <c r="D701" s="12" t="inlineStr">
        <is>
          <t>PO-2023-4212</t>
        </is>
      </c>
      <c r="E701" s="12" t="n">
        <v>3.61</v>
      </c>
      <c r="F701" s="17" t="n">
        <v>65869.3</v>
      </c>
      <c r="G701" s="14">
        <f>E701*F701</f>
        <v/>
      </c>
      <c r="H701" s="14">
        <f>C701*G701</f>
        <v/>
      </c>
    </row>
    <row r="702">
      <c r="A702" s="12" t="inlineStr">
        <is>
          <t>RET-0057</t>
        </is>
      </c>
      <c r="B702" s="12" t="inlineStr">
        <is>
          <t>VS21</t>
        </is>
      </c>
      <c r="C702" s="28" t="n">
        <v>0.0128</v>
      </c>
      <c r="D702" s="12" t="inlineStr">
        <is>
          <t>PO-2021-1361</t>
        </is>
      </c>
      <c r="E702" s="12" t="n">
        <v>3.61</v>
      </c>
      <c r="F702" s="17" t="n">
        <v>47415.67</v>
      </c>
      <c r="G702" s="14">
        <f>E702*F702</f>
        <v/>
      </c>
      <c r="H702" s="14">
        <f>C702*G702</f>
        <v/>
      </c>
    </row>
    <row r="703">
      <c r="A703" s="12" t="inlineStr">
        <is>
          <t>RET-0057</t>
        </is>
      </c>
      <c r="B703" s="12" t="inlineStr">
        <is>
          <t>VS22</t>
        </is>
      </c>
      <c r="C703" s="28" t="n">
        <v>0.0076</v>
      </c>
      <c r="D703" s="12" t="inlineStr">
        <is>
          <t>PO-2021-1317</t>
        </is>
      </c>
      <c r="E703" s="12" t="n">
        <v>3.61</v>
      </c>
      <c r="F703" s="17" t="n">
        <v>69614.53</v>
      </c>
      <c r="G703" s="14">
        <f>E703*F703</f>
        <v/>
      </c>
      <c r="H703" s="14">
        <f>C703*G703</f>
        <v/>
      </c>
    </row>
    <row r="704">
      <c r="A704" s="12" t="inlineStr">
        <is>
          <t>RET-0057</t>
        </is>
      </c>
      <c r="B704" s="12" t="inlineStr">
        <is>
          <t>VS23</t>
        </is>
      </c>
      <c r="C704" s="28" t="n">
        <v>0.0126</v>
      </c>
      <c r="D704" s="12" t="inlineStr">
        <is>
          <t>PO-2021-0600</t>
        </is>
      </c>
      <c r="E704" s="12" t="n">
        <v>3.61</v>
      </c>
      <c r="F704" s="17" t="n">
        <v>110996.27</v>
      </c>
      <c r="G704" s="14">
        <f>E704*F704</f>
        <v/>
      </c>
      <c r="H704" s="14">
        <f>C704*G704</f>
        <v/>
      </c>
    </row>
    <row r="705">
      <c r="A705" s="12" t="inlineStr">
        <is>
          <t>RET-0057</t>
        </is>
      </c>
      <c r="B705" s="12" t="inlineStr">
        <is>
          <t>VS24</t>
        </is>
      </c>
      <c r="C705" s="28" t="n">
        <v>0.0128</v>
      </c>
      <c r="D705" s="12" t="inlineStr">
        <is>
          <t>PO-2023-3957</t>
        </is>
      </c>
      <c r="E705" s="12" t="n">
        <v>3.61</v>
      </c>
      <c r="F705" s="17" t="n">
        <v>77227.49000000001</v>
      </c>
      <c r="G705" s="14">
        <f>E705*F705</f>
        <v/>
      </c>
      <c r="H705" s="14">
        <f>C705*G705</f>
        <v/>
      </c>
    </row>
    <row r="706">
      <c r="A706" s="12" t="inlineStr">
        <is>
          <t>RET-0057</t>
        </is>
      </c>
      <c r="B706" s="12" t="inlineStr">
        <is>
          <t>VS25</t>
        </is>
      </c>
      <c r="C706" s="28" t="n">
        <v>0.0232</v>
      </c>
      <c r="D706" s="12" t="inlineStr">
        <is>
          <t>PO-2023-3898</t>
        </is>
      </c>
      <c r="E706" s="12" t="n">
        <v>3.61</v>
      </c>
      <c r="F706" s="17" t="n">
        <v>118216.73</v>
      </c>
      <c r="G706" s="14">
        <f>E706*F706</f>
        <v/>
      </c>
      <c r="H706" s="14">
        <f>C706*G706</f>
        <v/>
      </c>
    </row>
    <row r="707">
      <c r="A707" s="12" t="inlineStr">
        <is>
          <t>RET-0057</t>
        </is>
      </c>
      <c r="B707" s="12" t="inlineStr">
        <is>
          <t>VS26</t>
        </is>
      </c>
      <c r="C707" s="28" t="n">
        <v>0.0129</v>
      </c>
      <c r="D707" s="12" t="inlineStr">
        <is>
          <t>PO-2022-2462</t>
        </is>
      </c>
      <c r="E707" s="12" t="n">
        <v>3.61</v>
      </c>
      <c r="F707" s="17" t="n">
        <v>105899.34</v>
      </c>
      <c r="G707" s="14">
        <f>E707*F707</f>
        <v/>
      </c>
      <c r="H707" s="14">
        <f>C707*G707</f>
        <v/>
      </c>
    </row>
    <row r="708">
      <c r="A708" s="12" t="inlineStr">
        <is>
          <t>RET-0057</t>
        </is>
      </c>
      <c r="B708" s="12" t="inlineStr">
        <is>
          <t>VS27</t>
        </is>
      </c>
      <c r="C708" s="28" t="n">
        <v>0.0126</v>
      </c>
      <c r="D708" s="12" t="inlineStr">
        <is>
          <t>PO-2022-2253</t>
        </is>
      </c>
      <c r="E708" s="12" t="n">
        <v>3.61</v>
      </c>
      <c r="F708" s="17" t="n">
        <v>76022.99000000001</v>
      </c>
      <c r="G708" s="14">
        <f>E708*F708</f>
        <v/>
      </c>
      <c r="H708" s="14">
        <f>C708*G708</f>
        <v/>
      </c>
    </row>
    <row r="709">
      <c r="A709" s="12" t="inlineStr">
        <is>
          <t>RET-0057</t>
        </is>
      </c>
      <c r="B709" s="12" t="inlineStr">
        <is>
          <t>VS28</t>
        </is>
      </c>
      <c r="C709" s="28" t="n">
        <v>0.0283</v>
      </c>
      <c r="D709" s="12" t="inlineStr">
        <is>
          <t>PO-2023-3840</t>
        </is>
      </c>
      <c r="E709" s="12" t="n">
        <v>3.61</v>
      </c>
      <c r="F709" s="17" t="n">
        <v>63529.43</v>
      </c>
      <c r="G709" s="14">
        <f>E709*F709</f>
        <v/>
      </c>
      <c r="H709" s="14">
        <f>C709*G709</f>
        <v/>
      </c>
    </row>
    <row r="710">
      <c r="A710" s="12" t="inlineStr">
        <is>
          <t>RET-0057</t>
        </is>
      </c>
      <c r="B710" s="12" t="inlineStr">
        <is>
          <t>VS29</t>
        </is>
      </c>
      <c r="C710" s="28" t="n">
        <v>0.018</v>
      </c>
      <c r="D710" s="12" t="inlineStr">
        <is>
          <t>PO-2022-2942</t>
        </is>
      </c>
      <c r="E710" s="12" t="n">
        <v>3.61</v>
      </c>
      <c r="F710" s="17" t="n">
        <v>49628.59</v>
      </c>
      <c r="G710" s="14">
        <f>E710*F710</f>
        <v/>
      </c>
      <c r="H710" s="14">
        <f>C710*G710</f>
        <v/>
      </c>
    </row>
    <row r="711">
      <c r="A711" s="12" t="inlineStr">
        <is>
          <t>RET-0057</t>
        </is>
      </c>
      <c r="B711" s="12" t="inlineStr">
        <is>
          <t>VS30</t>
        </is>
      </c>
      <c r="C711" s="28" t="n">
        <v>0.0077</v>
      </c>
      <c r="D711" s="12" t="inlineStr">
        <is>
          <t>PO-2021-0788</t>
        </is>
      </c>
      <c r="E711" s="12" t="n">
        <v>3.61</v>
      </c>
      <c r="F711" s="17" t="n">
        <v>82946.83</v>
      </c>
      <c r="G711" s="14">
        <f>E711*F711</f>
        <v/>
      </c>
      <c r="H711" s="14">
        <f>C711*G711</f>
        <v/>
      </c>
    </row>
    <row r="712">
      <c r="A712" s="12" t="inlineStr">
        <is>
          <t>RET-0057</t>
        </is>
      </c>
      <c r="B712" s="12" t="inlineStr">
        <is>
          <t>VS31</t>
        </is>
      </c>
      <c r="C712" s="28" t="n">
        <v>0.0281</v>
      </c>
      <c r="D712" s="12" t="inlineStr">
        <is>
          <t>PO-2023-3281</t>
        </is>
      </c>
      <c r="E712" s="12" t="n">
        <v>3.61</v>
      </c>
      <c r="F712" s="17" t="n">
        <v>77268.31</v>
      </c>
      <c r="G712" s="14">
        <f>E712*F712</f>
        <v/>
      </c>
      <c r="H712" s="14">
        <f>C712*G712</f>
        <v/>
      </c>
    </row>
    <row r="713">
      <c r="A713" s="12" t="inlineStr">
        <is>
          <t>RET-0057</t>
        </is>
      </c>
      <c r="B713" s="12" t="inlineStr">
        <is>
          <t>VS32</t>
        </is>
      </c>
      <c r="C713" s="28" t="n">
        <v>0.0335</v>
      </c>
      <c r="D713" s="12" t="inlineStr">
        <is>
          <t>PO-2022-2417</t>
        </is>
      </c>
      <c r="E713" s="12" t="n">
        <v>3.61</v>
      </c>
      <c r="F713" s="17" t="n">
        <v>117207.62</v>
      </c>
      <c r="G713" s="14">
        <f>E713*F713</f>
        <v/>
      </c>
      <c r="H713" s="14">
        <f>C713*G713</f>
        <v/>
      </c>
    </row>
    <row r="714">
      <c r="A714" s="12" t="inlineStr">
        <is>
          <t>RET-0057</t>
        </is>
      </c>
      <c r="B714" s="12" t="inlineStr">
        <is>
          <t>VS33</t>
        </is>
      </c>
      <c r="C714" s="28" t="n">
        <v>0.0179</v>
      </c>
      <c r="D714" s="12" t="inlineStr">
        <is>
          <t>PO-2023-4798</t>
        </is>
      </c>
      <c r="E714" s="12" t="n">
        <v>3.61</v>
      </c>
      <c r="F714" s="17" t="n">
        <v>108228.18</v>
      </c>
      <c r="G714" s="14">
        <f>E714*F714</f>
        <v/>
      </c>
      <c r="H714" s="14">
        <f>C714*G714</f>
        <v/>
      </c>
    </row>
    <row r="715">
      <c r="A715" s="12" t="inlineStr">
        <is>
          <t>RET-0057</t>
        </is>
      </c>
      <c r="B715" s="12" t="inlineStr">
        <is>
          <t>VS34</t>
        </is>
      </c>
      <c r="C715" s="28" t="n">
        <v>0.0231</v>
      </c>
      <c r="D715" s="12" t="inlineStr">
        <is>
          <t>PO-2022-1963</t>
        </is>
      </c>
      <c r="E715" s="12" t="n">
        <v>3.61</v>
      </c>
      <c r="F715" s="17" t="n">
        <v>75237.98</v>
      </c>
      <c r="G715" s="14">
        <f>E715*F715</f>
        <v/>
      </c>
      <c r="H715" s="14">
        <f>C715*G715</f>
        <v/>
      </c>
    </row>
    <row r="716">
      <c r="A716" s="12" t="inlineStr">
        <is>
          <t>RET-0060</t>
        </is>
      </c>
      <c r="B716" s="12" t="inlineStr">
        <is>
          <t>VS01</t>
        </is>
      </c>
      <c r="C716" s="28" t="n">
        <v>0.0231</v>
      </c>
      <c r="D716" s="12" t="inlineStr">
        <is>
          <t>PO-2021-1290</t>
        </is>
      </c>
      <c r="E716" s="12" t="n">
        <v>1.172</v>
      </c>
      <c r="F716" s="17" t="n">
        <v>45718.4</v>
      </c>
      <c r="G716" s="14">
        <f>E716*F716</f>
        <v/>
      </c>
      <c r="H716" s="14">
        <f>C716*G716</f>
        <v/>
      </c>
    </row>
    <row r="717">
      <c r="A717" s="12" t="inlineStr">
        <is>
          <t>RET-0060</t>
        </is>
      </c>
      <c r="B717" s="12" t="inlineStr">
        <is>
          <t>VS02</t>
        </is>
      </c>
      <c r="C717" s="28" t="n">
        <v>0.0105</v>
      </c>
      <c r="D717" s="12" t="inlineStr">
        <is>
          <t>PO-2022-1827</t>
        </is>
      </c>
      <c r="E717" s="12" t="n">
        <v>3.85</v>
      </c>
      <c r="F717" s="17" t="n">
        <v>65272.39</v>
      </c>
      <c r="G717" s="14">
        <f>E717*F717</f>
        <v/>
      </c>
      <c r="H717" s="14">
        <f>C717*G717</f>
        <v/>
      </c>
    </row>
    <row r="718">
      <c r="A718" s="12" t="inlineStr">
        <is>
          <t>RET-0060</t>
        </is>
      </c>
      <c r="B718" s="12" t="inlineStr">
        <is>
          <t>VS03</t>
        </is>
      </c>
      <c r="C718" s="28" t="n">
        <v>0.1431</v>
      </c>
      <c r="D718" s="12" t="inlineStr">
        <is>
          <t>PO-2023-4171</t>
        </is>
      </c>
      <c r="E718" s="12" t="n">
        <v>3.85</v>
      </c>
      <c r="F718" s="17" t="n">
        <v>122508.81</v>
      </c>
      <c r="G718" s="14">
        <f>E718*F718</f>
        <v/>
      </c>
      <c r="H718" s="14">
        <f>C718*G718</f>
        <v/>
      </c>
    </row>
    <row r="719">
      <c r="A719" s="12" t="inlineStr">
        <is>
          <t>RET-0060</t>
        </is>
      </c>
      <c r="B719" s="12" t="inlineStr">
        <is>
          <t>VS04</t>
        </is>
      </c>
      <c r="C719" s="28" t="n">
        <v>0.0145</v>
      </c>
      <c r="D719" s="12" t="inlineStr">
        <is>
          <t>PO-2022-3039</t>
        </is>
      </c>
      <c r="E719" s="12" t="n">
        <v>3.85</v>
      </c>
      <c r="F719" s="17" t="n">
        <v>103727.88</v>
      </c>
      <c r="G719" s="14">
        <f>E719*F719</f>
        <v/>
      </c>
      <c r="H719" s="14">
        <f>C719*G719</f>
        <v/>
      </c>
    </row>
    <row r="720">
      <c r="A720" s="12" t="inlineStr">
        <is>
          <t>RET-0060</t>
        </is>
      </c>
      <c r="B720" s="12" t="inlineStr">
        <is>
          <t>VS05</t>
        </is>
      </c>
      <c r="C720" s="28" t="n">
        <v>0.0188</v>
      </c>
      <c r="D720" s="12" t="inlineStr">
        <is>
          <t>PO-2022-1601</t>
        </is>
      </c>
      <c r="E720" s="12" t="n">
        <v>3.85</v>
      </c>
      <c r="F720" s="17" t="n">
        <v>110285.77</v>
      </c>
      <c r="G720" s="14">
        <f>E720*F720</f>
        <v/>
      </c>
      <c r="H720" s="14">
        <f>C720*G720</f>
        <v/>
      </c>
    </row>
    <row r="721">
      <c r="A721" s="12" t="inlineStr">
        <is>
          <t>RET-0060</t>
        </is>
      </c>
      <c r="B721" s="12" t="inlineStr">
        <is>
          <t>VS06</t>
        </is>
      </c>
      <c r="C721" s="28" t="n">
        <v>0.019</v>
      </c>
      <c r="D721" s="12" t="inlineStr">
        <is>
          <t>PO-2023-3355</t>
        </is>
      </c>
      <c r="E721" s="12" t="n">
        <v>3.85</v>
      </c>
      <c r="F721" s="17" t="n">
        <v>78488.50999999999</v>
      </c>
      <c r="G721" s="14">
        <f>E721*F721</f>
        <v/>
      </c>
      <c r="H721" s="14">
        <f>C721*G721</f>
        <v/>
      </c>
    </row>
    <row r="722">
      <c r="A722" s="12" t="inlineStr">
        <is>
          <t>RET-0060</t>
        </is>
      </c>
      <c r="B722" s="12" t="inlineStr">
        <is>
          <t>VS07</t>
        </is>
      </c>
      <c r="C722" s="28" t="n">
        <v>0.0063</v>
      </c>
      <c r="D722" s="12" t="inlineStr">
        <is>
          <t>PO-2023-3594</t>
        </is>
      </c>
      <c r="E722" s="12" t="n">
        <v>3.85</v>
      </c>
      <c r="F722" s="17" t="n">
        <v>86002.64999999999</v>
      </c>
      <c r="G722" s="14">
        <f>E722*F722</f>
        <v/>
      </c>
      <c r="H722" s="14">
        <f>C722*G722</f>
        <v/>
      </c>
    </row>
    <row r="723">
      <c r="A723" s="12" t="inlineStr">
        <is>
          <t>RET-0060</t>
        </is>
      </c>
      <c r="B723" s="12" t="inlineStr">
        <is>
          <t>VS08</t>
        </is>
      </c>
      <c r="C723" s="28" t="n">
        <v>0.0191</v>
      </c>
      <c r="D723" s="12" t="inlineStr">
        <is>
          <t>PO-2023-4533</t>
        </is>
      </c>
      <c r="E723" s="12" t="n">
        <v>3.85</v>
      </c>
      <c r="F723" s="17" t="n">
        <v>97995.92999999999</v>
      </c>
      <c r="G723" s="14">
        <f>E723*F723</f>
        <v/>
      </c>
      <c r="H723" s="14">
        <f>C723*G723</f>
        <v/>
      </c>
    </row>
    <row r="724">
      <c r="A724" s="12" t="inlineStr">
        <is>
          <t>RET-0060</t>
        </is>
      </c>
      <c r="B724" s="12" t="inlineStr">
        <is>
          <t>VS09</t>
        </is>
      </c>
      <c r="C724" s="28" t="n">
        <v>0.0147</v>
      </c>
      <c r="D724" s="12" t="inlineStr">
        <is>
          <t>PO-2021-0819</t>
        </is>
      </c>
      <c r="E724" s="12" t="n">
        <v>3.85</v>
      </c>
      <c r="F724" s="17" t="n">
        <v>81589.58</v>
      </c>
      <c r="G724" s="14">
        <f>E724*F724</f>
        <v/>
      </c>
      <c r="H724" s="14">
        <f>C724*G724</f>
        <v/>
      </c>
    </row>
    <row r="725">
      <c r="A725" s="12" t="inlineStr">
        <is>
          <t>RET-0060</t>
        </is>
      </c>
      <c r="B725" s="12" t="inlineStr">
        <is>
          <t>VS10</t>
        </is>
      </c>
      <c r="C725" s="28" t="n">
        <v>0.0231</v>
      </c>
      <c r="D725" s="12" t="inlineStr">
        <is>
          <t>PO-2021-1322</t>
        </is>
      </c>
      <c r="E725" s="12" t="n">
        <v>3.85</v>
      </c>
      <c r="F725" s="17" t="n">
        <v>70717.52</v>
      </c>
      <c r="G725" s="14">
        <f>E725*F725</f>
        <v/>
      </c>
      <c r="H725" s="14">
        <f>C725*G725</f>
        <v/>
      </c>
    </row>
    <row r="726">
      <c r="A726" s="12" t="inlineStr">
        <is>
          <t>RET-0060</t>
        </is>
      </c>
      <c r="B726" s="12" t="inlineStr">
        <is>
          <t>VS11</t>
        </is>
      </c>
      <c r="C726" s="28" t="n">
        <v>0.027</v>
      </c>
      <c r="D726" s="12" t="inlineStr">
        <is>
          <t>PO-2022-2648</t>
        </is>
      </c>
      <c r="E726" s="12" t="n">
        <v>3.85</v>
      </c>
      <c r="F726" s="17" t="n">
        <v>57853.14</v>
      </c>
      <c r="G726" s="14">
        <f>E726*F726</f>
        <v/>
      </c>
      <c r="H726" s="14">
        <f>C726*G726</f>
        <v/>
      </c>
    </row>
    <row r="727">
      <c r="A727" s="12" t="inlineStr">
        <is>
          <t>RET-0060</t>
        </is>
      </c>
      <c r="B727" s="12" t="inlineStr">
        <is>
          <t>VS12</t>
        </is>
      </c>
      <c r="C727" s="28" t="n">
        <v>0.199</v>
      </c>
      <c r="D727" s="12" t="inlineStr">
        <is>
          <t>PO-2021-1468</t>
        </is>
      </c>
      <c r="E727" s="12" t="n">
        <v>3.85</v>
      </c>
      <c r="F727" s="17" t="n">
        <v>70129.94</v>
      </c>
      <c r="G727" s="14">
        <f>E727*F727</f>
        <v/>
      </c>
      <c r="H727" s="14">
        <f>C727*G727</f>
        <v/>
      </c>
    </row>
    <row r="728">
      <c r="A728" s="12" t="inlineStr">
        <is>
          <t>RET-0060</t>
        </is>
      </c>
      <c r="B728" s="12" t="inlineStr">
        <is>
          <t>VS13</t>
        </is>
      </c>
      <c r="C728" s="28" t="n">
        <v>0.0186</v>
      </c>
      <c r="D728" s="12" t="inlineStr">
        <is>
          <t>PO-2023-3859</t>
        </is>
      </c>
      <c r="E728" s="12" t="n">
        <v>3.85</v>
      </c>
      <c r="F728" s="17" t="n">
        <v>68681.14</v>
      </c>
      <c r="G728" s="14">
        <f>E728*F728</f>
        <v/>
      </c>
      <c r="H728" s="14">
        <f>C728*G728</f>
        <v/>
      </c>
    </row>
    <row r="729">
      <c r="A729" s="12" t="inlineStr">
        <is>
          <t>RET-0060</t>
        </is>
      </c>
      <c r="B729" s="12" t="inlineStr">
        <is>
          <t>VS14</t>
        </is>
      </c>
      <c r="C729" s="28" t="n">
        <v>0.0188</v>
      </c>
      <c r="D729" s="12" t="inlineStr">
        <is>
          <t>PO-2022-2079</t>
        </is>
      </c>
      <c r="E729" s="12" t="n">
        <v>3.85</v>
      </c>
      <c r="F729" s="17" t="n">
        <v>45720.19</v>
      </c>
      <c r="G729" s="14">
        <f>E729*F729</f>
        <v/>
      </c>
      <c r="H729" s="14">
        <f>C729*G729</f>
        <v/>
      </c>
    </row>
    <row r="730">
      <c r="A730" s="12" t="inlineStr">
        <is>
          <t>RET-0060</t>
        </is>
      </c>
      <c r="B730" s="12" t="inlineStr">
        <is>
          <t>VS15</t>
        </is>
      </c>
      <c r="C730" s="28" t="n">
        <v>0.0063</v>
      </c>
      <c r="D730" s="12" t="inlineStr">
        <is>
          <t>PO-2023-3647</t>
        </is>
      </c>
      <c r="E730" s="12" t="n">
        <v>3.85</v>
      </c>
      <c r="F730" s="17" t="n">
        <v>49590.11</v>
      </c>
      <c r="G730" s="14">
        <f>E730*F730</f>
        <v/>
      </c>
      <c r="H730" s="14">
        <f>C730*G730</f>
        <v/>
      </c>
    </row>
    <row r="731">
      <c r="A731" s="12" t="inlineStr">
        <is>
          <t>RET-0060</t>
        </is>
      </c>
      <c r="B731" s="12" t="inlineStr">
        <is>
          <t>VS16</t>
        </is>
      </c>
      <c r="C731" s="28" t="n">
        <v>0.0271</v>
      </c>
      <c r="D731" s="12" t="inlineStr">
        <is>
          <t>PO-2021-0250</t>
        </is>
      </c>
      <c r="E731" s="12" t="n">
        <v>2.218</v>
      </c>
      <c r="F731" s="17" t="n">
        <v>86551.61</v>
      </c>
      <c r="G731" s="14">
        <f>E731*F731</f>
        <v/>
      </c>
      <c r="H731" s="14">
        <f>C731*G731</f>
        <v/>
      </c>
    </row>
    <row r="732">
      <c r="A732" s="12" t="inlineStr">
        <is>
          <t>RET-0060</t>
        </is>
      </c>
      <c r="B732" s="12" t="inlineStr">
        <is>
          <t>VS17</t>
        </is>
      </c>
      <c r="C732" s="28" t="n">
        <v>0.027</v>
      </c>
      <c r="D732" s="12" t="inlineStr">
        <is>
          <t>PO-2021-0402</t>
        </is>
      </c>
      <c r="E732" s="12" t="n">
        <v>3.85</v>
      </c>
      <c r="F732" s="17" t="n">
        <v>92933.14</v>
      </c>
      <c r="G732" s="14">
        <f>E732*F732</f>
        <v/>
      </c>
      <c r="H732" s="14">
        <f>C732*G732</f>
        <v/>
      </c>
    </row>
    <row r="733">
      <c r="A733" s="12" t="inlineStr">
        <is>
          <t>RET-0060</t>
        </is>
      </c>
      <c r="B733" s="12" t="inlineStr">
        <is>
          <t>VS18</t>
        </is>
      </c>
      <c r="C733" s="28" t="n">
        <v>0.0188</v>
      </c>
      <c r="D733" s="12" t="inlineStr">
        <is>
          <t>PO-2022-2472</t>
        </is>
      </c>
      <c r="E733" s="12" t="n">
        <v>3.85</v>
      </c>
      <c r="F733" s="17" t="n">
        <v>63464.47</v>
      </c>
      <c r="G733" s="14">
        <f>E733*F733</f>
        <v/>
      </c>
      <c r="H733" s="14">
        <f>C733*G733</f>
        <v/>
      </c>
    </row>
    <row r="734">
      <c r="A734" s="12" t="inlineStr">
        <is>
          <t>RET-0060</t>
        </is>
      </c>
      <c r="B734" s="12" t="inlineStr">
        <is>
          <t>VS19</t>
        </is>
      </c>
      <c r="C734" s="28" t="n">
        <v>0.1501</v>
      </c>
      <c r="D734" s="12" t="inlineStr">
        <is>
          <t>PO-2021-0083</t>
        </is>
      </c>
      <c r="E734" s="12" t="n">
        <v>3.85</v>
      </c>
      <c r="F734" s="17" t="n">
        <v>73375.06</v>
      </c>
      <c r="G734" s="14">
        <f>E734*F734</f>
        <v/>
      </c>
      <c r="H734" s="14">
        <f>C734*G734</f>
        <v/>
      </c>
    </row>
    <row r="735">
      <c r="A735" s="12" t="inlineStr">
        <is>
          <t>RET-0060</t>
        </is>
      </c>
      <c r="B735" s="12" t="inlineStr">
        <is>
          <t>VS20</t>
        </is>
      </c>
      <c r="C735" s="28" t="n">
        <v>0.0105</v>
      </c>
      <c r="D735" s="12" t="inlineStr">
        <is>
          <t>PO-2022-2926</t>
        </is>
      </c>
      <c r="E735" s="12" t="n">
        <v>3.85</v>
      </c>
      <c r="F735" s="17" t="n">
        <v>74625.02</v>
      </c>
      <c r="G735" s="14">
        <f>E735*F735</f>
        <v/>
      </c>
      <c r="H735" s="14">
        <f>C735*G735</f>
        <v/>
      </c>
    </row>
    <row r="736">
      <c r="A736" s="12" t="inlineStr">
        <is>
          <t>RET-0060</t>
        </is>
      </c>
      <c r="B736" s="12" t="inlineStr">
        <is>
          <t>VS21</t>
        </is>
      </c>
      <c r="C736" s="28" t="n">
        <v>0.0105</v>
      </c>
      <c r="D736" s="12" t="inlineStr">
        <is>
          <t>PO-2023-3638</t>
        </is>
      </c>
      <c r="E736" s="12" t="n">
        <v>3.85</v>
      </c>
      <c r="F736" s="17" t="n">
        <v>70272</v>
      </c>
      <c r="G736" s="14">
        <f>E736*F736</f>
        <v/>
      </c>
      <c r="H736" s="14">
        <f>C736*G736</f>
        <v/>
      </c>
    </row>
    <row r="737">
      <c r="A737" s="12" t="inlineStr">
        <is>
          <t>RET-0060</t>
        </is>
      </c>
      <c r="B737" s="12" t="inlineStr">
        <is>
          <t>VS22</t>
        </is>
      </c>
      <c r="C737" s="28" t="n">
        <v>0.0062</v>
      </c>
      <c r="D737" s="12" t="inlineStr">
        <is>
          <t>PO-2023-4130</t>
        </is>
      </c>
      <c r="E737" s="12" t="n">
        <v>3.85</v>
      </c>
      <c r="F737" s="17" t="n">
        <v>93071.52</v>
      </c>
      <c r="G737" s="14">
        <f>E737*F737</f>
        <v/>
      </c>
      <c r="H737" s="14">
        <f>C737*G737</f>
        <v/>
      </c>
    </row>
    <row r="738">
      <c r="A738" s="12" t="inlineStr">
        <is>
          <t>RET-0060</t>
        </is>
      </c>
      <c r="B738" s="12" t="inlineStr">
        <is>
          <t>VS23</t>
        </is>
      </c>
      <c r="C738" s="28" t="n">
        <v>0.0103</v>
      </c>
      <c r="D738" s="12" t="inlineStr">
        <is>
          <t>PO-2023-4054</t>
        </is>
      </c>
      <c r="E738" s="12" t="n">
        <v>3.85</v>
      </c>
      <c r="F738" s="17" t="n">
        <v>97981.39</v>
      </c>
      <c r="G738" s="14">
        <f>E738*F738</f>
        <v/>
      </c>
      <c r="H738" s="14">
        <f>C738*G738</f>
        <v/>
      </c>
    </row>
    <row r="739">
      <c r="A739" s="12" t="inlineStr">
        <is>
          <t>RET-0060</t>
        </is>
      </c>
      <c r="B739" s="12" t="inlineStr">
        <is>
          <t>VS24</t>
        </is>
      </c>
      <c r="C739" s="28" t="n">
        <v>0.0104</v>
      </c>
      <c r="D739" s="12" t="inlineStr">
        <is>
          <t>PO-2021-1141</t>
        </is>
      </c>
      <c r="E739" s="12" t="n">
        <v>3.85</v>
      </c>
      <c r="F739" s="17" t="n">
        <v>106602.4</v>
      </c>
      <c r="G739" s="14">
        <f>E739*F739</f>
        <v/>
      </c>
      <c r="H739" s="14">
        <f>C739*G739</f>
        <v/>
      </c>
    </row>
    <row r="740">
      <c r="A740" s="12" t="inlineStr">
        <is>
          <t>RET-0060</t>
        </is>
      </c>
      <c r="B740" s="12" t="inlineStr">
        <is>
          <t>VS25</t>
        </is>
      </c>
      <c r="C740" s="28" t="n">
        <v>0.0189</v>
      </c>
      <c r="D740" s="12" t="inlineStr">
        <is>
          <t>PO-2022-2296</t>
        </is>
      </c>
      <c r="E740" s="12" t="n">
        <v>3.85</v>
      </c>
      <c r="F740" s="17" t="n">
        <v>57784.35</v>
      </c>
      <c r="G740" s="14">
        <f>E740*F740</f>
        <v/>
      </c>
      <c r="H740" s="14">
        <f>C740*G740</f>
        <v/>
      </c>
    </row>
    <row r="741">
      <c r="A741" s="12" t="inlineStr">
        <is>
          <t>RET-0060</t>
        </is>
      </c>
      <c r="B741" s="12" t="inlineStr">
        <is>
          <t>VS26</t>
        </is>
      </c>
      <c r="C741" s="28" t="n">
        <v>0.0105</v>
      </c>
      <c r="D741" s="12" t="inlineStr">
        <is>
          <t>PO-2023-3372</t>
        </is>
      </c>
      <c r="E741" s="12" t="n">
        <v>3.85</v>
      </c>
      <c r="F741" s="17" t="n">
        <v>52122.89</v>
      </c>
      <c r="G741" s="14">
        <f>E741*F741</f>
        <v/>
      </c>
      <c r="H741" s="14">
        <f>C741*G741</f>
        <v/>
      </c>
    </row>
    <row r="742">
      <c r="A742" s="12" t="inlineStr">
        <is>
          <t>RET-0060</t>
        </is>
      </c>
      <c r="B742" s="12" t="inlineStr">
        <is>
          <t>VS27</t>
        </is>
      </c>
      <c r="C742" s="28" t="n">
        <v>0.0103</v>
      </c>
      <c r="D742" s="12" t="inlineStr">
        <is>
          <t>PO-2021-0599</t>
        </is>
      </c>
      <c r="E742" s="12" t="n">
        <v>3.85</v>
      </c>
      <c r="F742" s="17" t="n">
        <v>95879.49000000001</v>
      </c>
      <c r="G742" s="14">
        <f>E742*F742</f>
        <v/>
      </c>
      <c r="H742" s="14">
        <f>C742*G742</f>
        <v/>
      </c>
    </row>
    <row r="743">
      <c r="A743" s="12" t="inlineStr">
        <is>
          <t>RET-0060</t>
        </is>
      </c>
      <c r="B743" s="12" t="inlineStr">
        <is>
          <t>VS28</t>
        </is>
      </c>
      <c r="C743" s="28" t="n">
        <v>0.0231</v>
      </c>
      <c r="D743" s="12" t="inlineStr">
        <is>
          <t>PO-2023-3552</t>
        </is>
      </c>
      <c r="E743" s="12" t="n">
        <v>3.85</v>
      </c>
      <c r="F743" s="17" t="n">
        <v>74138.09</v>
      </c>
      <c r="G743" s="14">
        <f>E743*F743</f>
        <v/>
      </c>
      <c r="H743" s="14">
        <f>C743*G743</f>
        <v/>
      </c>
    </row>
    <row r="744">
      <c r="A744" s="12" t="inlineStr">
        <is>
          <t>RET-0060</t>
        </is>
      </c>
      <c r="B744" s="12" t="inlineStr">
        <is>
          <t>VS29</t>
        </is>
      </c>
      <c r="C744" s="28" t="n">
        <v>0.0146</v>
      </c>
      <c r="D744" s="12" t="inlineStr">
        <is>
          <t>PO-2021-1015</t>
        </is>
      </c>
      <c r="E744" s="12" t="n">
        <v>3.85</v>
      </c>
      <c r="F744" s="17" t="n">
        <v>86886.52</v>
      </c>
      <c r="G744" s="14">
        <f>E744*F744</f>
        <v/>
      </c>
      <c r="H744" s="14">
        <f>C744*G744</f>
        <v/>
      </c>
    </row>
    <row r="745">
      <c r="A745" s="12" t="inlineStr">
        <is>
          <t>RET-0060</t>
        </is>
      </c>
      <c r="B745" s="12" t="inlineStr">
        <is>
          <t>VS30</t>
        </is>
      </c>
      <c r="C745" s="28" t="n">
        <v>0.0063</v>
      </c>
      <c r="D745" s="12" t="inlineStr">
        <is>
          <t>PO-2022-2781</t>
        </is>
      </c>
      <c r="E745" s="12" t="n">
        <v>3.85</v>
      </c>
      <c r="F745" s="17" t="n">
        <v>75199.45</v>
      </c>
      <c r="G745" s="14">
        <f>E745*F745</f>
        <v/>
      </c>
      <c r="H745" s="14">
        <f>C745*G745</f>
        <v/>
      </c>
    </row>
    <row r="746">
      <c r="A746" s="12" t="inlineStr">
        <is>
          <t>RET-0060</t>
        </is>
      </c>
      <c r="B746" s="12" t="inlineStr">
        <is>
          <t>VS31</t>
        </is>
      </c>
      <c r="C746" s="28" t="n">
        <v>0.0229</v>
      </c>
      <c r="D746" s="12" t="inlineStr">
        <is>
          <t>PO-2021-0601</t>
        </is>
      </c>
      <c r="E746" s="12" t="n">
        <v>3.85</v>
      </c>
      <c r="F746" s="17" t="n">
        <v>75846.32000000001</v>
      </c>
      <c r="G746" s="14">
        <f>E746*F746</f>
        <v/>
      </c>
      <c r="H746" s="14">
        <f>C746*G746</f>
        <v/>
      </c>
    </row>
    <row r="747">
      <c r="A747" s="12" t="inlineStr">
        <is>
          <t>RET-0060</t>
        </is>
      </c>
      <c r="B747" s="12" t="inlineStr">
        <is>
          <t>VS32</t>
        </is>
      </c>
      <c r="C747" s="28" t="n">
        <v>0.0273</v>
      </c>
      <c r="D747" s="12" t="inlineStr">
        <is>
          <t>PO-2022-2724</t>
        </is>
      </c>
      <c r="E747" s="12" t="n">
        <v>3.85</v>
      </c>
      <c r="F747" s="17" t="n">
        <v>87102.81</v>
      </c>
      <c r="G747" s="14">
        <f>E747*F747</f>
        <v/>
      </c>
      <c r="H747" s="14">
        <f>C747*G747</f>
        <v/>
      </c>
    </row>
    <row r="748">
      <c r="A748" s="12" t="inlineStr">
        <is>
          <t>RET-0060</t>
        </is>
      </c>
      <c r="B748" s="12" t="inlineStr">
        <is>
          <t>VS33</t>
        </is>
      </c>
      <c r="C748" s="28" t="n">
        <v>0.0146</v>
      </c>
      <c r="D748" s="12" t="inlineStr">
        <is>
          <t>PO-2021-1340</t>
        </is>
      </c>
      <c r="E748" s="12" t="n">
        <v>3.85</v>
      </c>
      <c r="F748" s="17" t="n">
        <v>51105.58</v>
      </c>
      <c r="G748" s="14">
        <f>E748*F748</f>
        <v/>
      </c>
      <c r="H748" s="14">
        <f>C748*G748</f>
        <v/>
      </c>
    </row>
    <row r="749">
      <c r="A749" s="12" t="inlineStr">
        <is>
          <t>RET-0060</t>
        </is>
      </c>
      <c r="B749" s="12" t="inlineStr">
        <is>
          <t>VS34</t>
        </is>
      </c>
      <c r="C749" s="28" t="n">
        <v>0.0188</v>
      </c>
      <c r="D749" s="12" t="inlineStr">
        <is>
          <t>PO-2021-1101</t>
        </is>
      </c>
      <c r="E749" s="12" t="n">
        <v>3.85</v>
      </c>
      <c r="F749" s="17" t="n">
        <v>60144.88</v>
      </c>
      <c r="G749" s="14">
        <f>E749*F749</f>
        <v/>
      </c>
      <c r="H749" s="14">
        <f>C749*G749</f>
        <v/>
      </c>
    </row>
    <row r="750">
      <c r="A750" s="12" t="inlineStr">
        <is>
          <t>RET-0063</t>
        </is>
      </c>
      <c r="B750" s="12" t="inlineStr">
        <is>
          <t>VS01</t>
        </is>
      </c>
      <c r="C750" s="28" t="n">
        <v>0.0344</v>
      </c>
      <c r="D750" s="12" t="inlineStr">
        <is>
          <t>PO-2021-0468</t>
        </is>
      </c>
      <c r="E750" s="12" t="n">
        <v>1.07</v>
      </c>
      <c r="F750" s="17" t="n">
        <v>94297.78999999999</v>
      </c>
      <c r="G750" s="14">
        <f>E750*F750</f>
        <v/>
      </c>
      <c r="H750" s="14">
        <f>C750*G750</f>
        <v/>
      </c>
    </row>
    <row r="751">
      <c r="A751" s="12" t="inlineStr">
        <is>
          <t>RET-0063</t>
        </is>
      </c>
      <c r="B751" s="12" t="inlineStr">
        <is>
          <t>VS02</t>
        </is>
      </c>
      <c r="C751" s="28" t="n">
        <v>0.0157</v>
      </c>
      <c r="D751" s="12" t="inlineStr">
        <is>
          <t>PO-2023-4354</t>
        </is>
      </c>
      <c r="E751" s="12" t="n">
        <v>4.2</v>
      </c>
      <c r="F751" s="17" t="n">
        <v>46806.58</v>
      </c>
      <c r="G751" s="14">
        <f>E751*F751</f>
        <v/>
      </c>
      <c r="H751" s="14">
        <f>C751*G751</f>
        <v/>
      </c>
    </row>
    <row r="752">
      <c r="A752" s="12" t="inlineStr">
        <is>
          <t>RET-0063</t>
        </is>
      </c>
      <c r="B752" s="12" t="inlineStr">
        <is>
          <t>VS03</t>
        </is>
      </c>
      <c r="C752" s="28" t="n">
        <v>0.0709</v>
      </c>
      <c r="D752" s="12" t="inlineStr">
        <is>
          <t>PO-2023-3953</t>
        </is>
      </c>
      <c r="E752" s="12" t="n">
        <v>4.2</v>
      </c>
      <c r="F752" s="17" t="n">
        <v>60018.33</v>
      </c>
      <c r="G752" s="14">
        <f>E752*F752</f>
        <v/>
      </c>
      <c r="H752" s="14">
        <f>C752*G752</f>
        <v/>
      </c>
    </row>
    <row r="753">
      <c r="A753" s="12" t="inlineStr">
        <is>
          <t>RET-0063</t>
        </is>
      </c>
      <c r="B753" s="12" t="inlineStr">
        <is>
          <t>VS04</t>
        </is>
      </c>
      <c r="C753" s="28" t="n">
        <v>0.0216</v>
      </c>
      <c r="D753" s="12" t="inlineStr">
        <is>
          <t>PO-2023-3890</t>
        </is>
      </c>
      <c r="E753" s="12" t="n">
        <v>4.2</v>
      </c>
      <c r="F753" s="17" t="n">
        <v>74950.55</v>
      </c>
      <c r="G753" s="14">
        <f>E753*F753</f>
        <v/>
      </c>
      <c r="H753" s="14">
        <f>C753*G753</f>
        <v/>
      </c>
    </row>
    <row r="754">
      <c r="A754" s="12" t="inlineStr">
        <is>
          <t>RET-0063</t>
        </is>
      </c>
      <c r="B754" s="12" t="inlineStr">
        <is>
          <t>VS05</t>
        </is>
      </c>
      <c r="C754" s="28" t="n">
        <v>0.028</v>
      </c>
      <c r="D754" s="12" t="inlineStr">
        <is>
          <t>PO-2021-1437</t>
        </is>
      </c>
      <c r="E754" s="12" t="n">
        <v>2.368</v>
      </c>
      <c r="F754" s="17" t="n">
        <v>62608.51</v>
      </c>
      <c r="G754" s="14">
        <f>E754*F754</f>
        <v/>
      </c>
      <c r="H754" s="14">
        <f>C754*G754</f>
        <v/>
      </c>
    </row>
    <row r="755">
      <c r="A755" s="12" t="inlineStr">
        <is>
          <t>RET-0063</t>
        </is>
      </c>
      <c r="B755" s="12" t="inlineStr">
        <is>
          <t>VS06</t>
        </is>
      </c>
      <c r="C755" s="28" t="n">
        <v>0.0282</v>
      </c>
      <c r="D755" s="12" t="inlineStr">
        <is>
          <t>PO-2023-3460</t>
        </is>
      </c>
      <c r="E755" s="12" t="n">
        <v>4.2</v>
      </c>
      <c r="F755" s="17" t="n">
        <v>85384.58</v>
      </c>
      <c r="G755" s="14">
        <f>E755*F755</f>
        <v/>
      </c>
      <c r="H755" s="14">
        <f>C755*G755</f>
        <v/>
      </c>
    </row>
    <row r="756">
      <c r="A756" s="12" t="inlineStr">
        <is>
          <t>RET-0063</t>
        </is>
      </c>
      <c r="B756" s="12" t="inlineStr">
        <is>
          <t>VS07</t>
        </is>
      </c>
      <c r="C756" s="28" t="n">
        <v>0.0094</v>
      </c>
      <c r="D756" s="12" t="inlineStr">
        <is>
          <t>PO-2022-2040</t>
        </is>
      </c>
      <c r="E756" s="12" t="n">
        <v>4.2</v>
      </c>
      <c r="F756" s="17" t="n">
        <v>84938.13</v>
      </c>
      <c r="G756" s="14">
        <f>E756*F756</f>
        <v/>
      </c>
      <c r="H756" s="14">
        <f>C756*G756</f>
        <v/>
      </c>
    </row>
    <row r="757">
      <c r="A757" s="12" t="inlineStr">
        <is>
          <t>RET-0063</t>
        </is>
      </c>
      <c r="B757" s="12" t="inlineStr">
        <is>
          <t>VS08</t>
        </is>
      </c>
      <c r="C757" s="28" t="n">
        <v>0.0284</v>
      </c>
      <c r="D757" s="12" t="inlineStr">
        <is>
          <t>PO-2022-1868</t>
        </is>
      </c>
      <c r="E757" s="12" t="n">
        <v>4.2</v>
      </c>
      <c r="F757" s="17" t="n">
        <v>112376.54</v>
      </c>
      <c r="G757" s="14">
        <f>E757*F757</f>
        <v/>
      </c>
      <c r="H757" s="14">
        <f>C757*G757</f>
        <v/>
      </c>
    </row>
    <row r="758">
      <c r="A758" s="12" t="inlineStr">
        <is>
          <t>RET-0063</t>
        </is>
      </c>
      <c r="B758" s="12" t="inlineStr">
        <is>
          <t>VS09</t>
        </is>
      </c>
      <c r="C758" s="28" t="n">
        <v>0.0218</v>
      </c>
      <c r="D758" s="12" t="inlineStr">
        <is>
          <t>PO-2023-3422</t>
        </is>
      </c>
      <c r="E758" s="12" t="n">
        <v>4.2</v>
      </c>
      <c r="F758" s="17" t="n">
        <v>53674.21</v>
      </c>
      <c r="G758" s="14">
        <f>E758*F758</f>
        <v/>
      </c>
      <c r="H758" s="14">
        <f>C758*G758</f>
        <v/>
      </c>
    </row>
    <row r="759">
      <c r="A759" s="12" t="inlineStr">
        <is>
          <t>RET-0063</t>
        </is>
      </c>
      <c r="B759" s="12" t="inlineStr">
        <is>
          <t>VS10</t>
        </is>
      </c>
      <c r="C759" s="28" t="n">
        <v>0.0343</v>
      </c>
      <c r="D759" s="12" t="inlineStr">
        <is>
          <t>PO-2021-1339</t>
        </is>
      </c>
      <c r="E759" s="12" t="n">
        <v>4.2</v>
      </c>
      <c r="F759" s="17" t="n">
        <v>92209.44</v>
      </c>
      <c r="G759" s="14">
        <f>E759*F759</f>
        <v/>
      </c>
      <c r="H759" s="14">
        <f>C759*G759</f>
        <v/>
      </c>
    </row>
    <row r="760">
      <c r="A760" s="12" t="inlineStr">
        <is>
          <t>RET-0063</t>
        </is>
      </c>
      <c r="B760" s="12" t="inlineStr">
        <is>
          <t>VS11</t>
        </is>
      </c>
      <c r="C760" s="28" t="n">
        <v>0.0402</v>
      </c>
      <c r="D760" s="12" t="inlineStr">
        <is>
          <t>PO-2023-4176</t>
        </is>
      </c>
      <c r="E760" s="12" t="n">
        <v>4.2</v>
      </c>
      <c r="F760" s="17" t="n">
        <v>94199.10000000001</v>
      </c>
      <c r="G760" s="14">
        <f>E760*F760</f>
        <v/>
      </c>
      <c r="H760" s="14">
        <f>C760*G760</f>
        <v/>
      </c>
    </row>
    <row r="761">
      <c r="A761" s="12" t="inlineStr">
        <is>
          <t>RET-0063</t>
        </is>
      </c>
      <c r="B761" s="12" t="inlineStr">
        <is>
          <t>VS12</t>
        </is>
      </c>
      <c r="C761" s="28" t="n">
        <v>0.0985</v>
      </c>
      <c r="D761" s="12" t="inlineStr">
        <is>
          <t>PO-2023-3227</t>
        </is>
      </c>
      <c r="E761" s="12" t="n">
        <v>4.2</v>
      </c>
      <c r="F761" s="17" t="n">
        <v>97975</v>
      </c>
      <c r="G761" s="14">
        <f>E761*F761</f>
        <v/>
      </c>
      <c r="H761" s="14">
        <f>C761*G761</f>
        <v/>
      </c>
    </row>
    <row r="762">
      <c r="A762" s="12" t="inlineStr">
        <is>
          <t>RET-0063</t>
        </is>
      </c>
      <c r="B762" s="12" t="inlineStr">
        <is>
          <t>VS13</t>
        </is>
      </c>
      <c r="C762" s="28" t="n">
        <v>0.0277</v>
      </c>
      <c r="D762" s="12" t="inlineStr">
        <is>
          <t>PO-2023-4198</t>
        </is>
      </c>
      <c r="E762" s="12" t="n">
        <v>4.2</v>
      </c>
      <c r="F762" s="17" t="n">
        <v>115775.93</v>
      </c>
      <c r="G762" s="14">
        <f>E762*F762</f>
        <v/>
      </c>
      <c r="H762" s="14">
        <f>C762*G762</f>
        <v/>
      </c>
    </row>
    <row r="763">
      <c r="A763" s="12" t="inlineStr">
        <is>
          <t>RET-0063</t>
        </is>
      </c>
      <c r="B763" s="12" t="inlineStr">
        <is>
          <t>VS14</t>
        </is>
      </c>
      <c r="C763" s="28" t="n">
        <v>0.028</v>
      </c>
      <c r="D763" s="12" t="inlineStr">
        <is>
          <t>PO-2021-0702</t>
        </is>
      </c>
      <c r="E763" s="12" t="n">
        <v>4.2</v>
      </c>
      <c r="F763" s="17" t="n">
        <v>52993.74</v>
      </c>
      <c r="G763" s="14">
        <f>E763*F763</f>
        <v/>
      </c>
      <c r="H763" s="14">
        <f>C763*G763</f>
        <v/>
      </c>
    </row>
    <row r="764">
      <c r="A764" s="12" t="inlineStr">
        <is>
          <t>RET-0063</t>
        </is>
      </c>
      <c r="B764" s="12" t="inlineStr">
        <is>
          <t>VS15</t>
        </is>
      </c>
      <c r="C764" s="28" t="n">
        <v>0.0094</v>
      </c>
      <c r="D764" s="12" t="inlineStr">
        <is>
          <t>PO-2022-3102</t>
        </is>
      </c>
      <c r="E764" s="12" t="n">
        <v>4.2</v>
      </c>
      <c r="F764" s="17" t="n">
        <v>114912.56</v>
      </c>
      <c r="G764" s="14">
        <f>E764*F764</f>
        <v/>
      </c>
      <c r="H764" s="14">
        <f>C764*G764</f>
        <v/>
      </c>
    </row>
    <row r="765">
      <c r="A765" s="12" t="inlineStr">
        <is>
          <t>RET-0063</t>
        </is>
      </c>
      <c r="B765" s="12" t="inlineStr">
        <is>
          <t>VS16</t>
        </is>
      </c>
      <c r="C765" s="28" t="n">
        <v>0.0404</v>
      </c>
      <c r="D765" s="12" t="inlineStr">
        <is>
          <t>PO-2021-0153</t>
        </is>
      </c>
      <c r="E765" s="12" t="n">
        <v>1.76</v>
      </c>
      <c r="F765" s="17" t="n">
        <v>64902.56</v>
      </c>
      <c r="G765" s="14">
        <f>E765*F765</f>
        <v/>
      </c>
      <c r="H765" s="14">
        <f>C765*G765</f>
        <v/>
      </c>
    </row>
    <row r="766">
      <c r="A766" s="12" t="inlineStr">
        <is>
          <t>RET-0063</t>
        </is>
      </c>
      <c r="B766" s="12" t="inlineStr">
        <is>
          <t>VS17</t>
        </is>
      </c>
      <c r="C766" s="28" t="n">
        <v>0.0402</v>
      </c>
      <c r="D766" s="12" t="inlineStr">
        <is>
          <t>PO-2023-3556</t>
        </is>
      </c>
      <c r="E766" s="12" t="n">
        <v>4.2</v>
      </c>
      <c r="F766" s="17" t="n">
        <v>101942.22</v>
      </c>
      <c r="G766" s="14">
        <f>E766*F766</f>
        <v/>
      </c>
      <c r="H766" s="14">
        <f>C766*G766</f>
        <v/>
      </c>
    </row>
    <row r="767">
      <c r="A767" s="12" t="inlineStr">
        <is>
          <t>RET-0063</t>
        </is>
      </c>
      <c r="B767" s="12" t="inlineStr">
        <is>
          <t>VS18</t>
        </is>
      </c>
      <c r="C767" s="28" t="n">
        <v>0.028</v>
      </c>
      <c r="D767" s="12" t="inlineStr">
        <is>
          <t>PO-2021-0048</t>
        </is>
      </c>
      <c r="E767" s="12" t="n">
        <v>4.2</v>
      </c>
      <c r="F767" s="17" t="n">
        <v>85511.42</v>
      </c>
      <c r="G767" s="14">
        <f>E767*F767</f>
        <v/>
      </c>
      <c r="H767" s="14">
        <f>C767*G767</f>
        <v/>
      </c>
    </row>
    <row r="768">
      <c r="A768" s="12" t="inlineStr">
        <is>
          <t>RET-0063</t>
        </is>
      </c>
      <c r="B768" s="12" t="inlineStr">
        <is>
          <t>VS19</t>
        </is>
      </c>
      <c r="C768" s="28" t="n">
        <v>0.0743</v>
      </c>
      <c r="D768" s="12" t="inlineStr">
        <is>
          <t>PO-2023-3413</t>
        </is>
      </c>
      <c r="E768" s="12" t="n">
        <v>4.2</v>
      </c>
      <c r="F768" s="17" t="n">
        <v>64181.31</v>
      </c>
      <c r="G768" s="14">
        <f>E768*F768</f>
        <v/>
      </c>
      <c r="H768" s="14">
        <f>C768*G768</f>
        <v/>
      </c>
    </row>
    <row r="769">
      <c r="A769" s="12" t="inlineStr">
        <is>
          <t>RET-0063</t>
        </is>
      </c>
      <c r="B769" s="12" t="inlineStr">
        <is>
          <t>VS20</t>
        </is>
      </c>
      <c r="C769" s="28" t="n">
        <v>0.0156</v>
      </c>
      <c r="D769" s="12" t="inlineStr">
        <is>
          <t>PO-2023-3265</t>
        </is>
      </c>
      <c r="E769" s="12" t="n">
        <v>4.2</v>
      </c>
      <c r="F769" s="17" t="n">
        <v>110599.43</v>
      </c>
      <c r="G769" s="14">
        <f>E769*F769</f>
        <v/>
      </c>
      <c r="H769" s="14">
        <f>C769*G769</f>
        <v/>
      </c>
    </row>
    <row r="770">
      <c r="A770" s="12" t="inlineStr">
        <is>
          <t>RET-0063</t>
        </is>
      </c>
      <c r="B770" s="12" t="inlineStr">
        <is>
          <t>VS21</t>
        </is>
      </c>
      <c r="C770" s="28" t="n">
        <v>0.0156</v>
      </c>
      <c r="D770" s="12" t="inlineStr">
        <is>
          <t>PO-2023-4211</t>
        </is>
      </c>
      <c r="E770" s="12" t="n">
        <v>4.2</v>
      </c>
      <c r="F770" s="17" t="n">
        <v>116836.62</v>
      </c>
      <c r="G770" s="14">
        <f>E770*F770</f>
        <v/>
      </c>
      <c r="H770" s="14">
        <f>C770*G770</f>
        <v/>
      </c>
    </row>
    <row r="771">
      <c r="A771" s="12" t="inlineStr">
        <is>
          <t>RET-0063</t>
        </is>
      </c>
      <c r="B771" s="12" t="inlineStr">
        <is>
          <t>VS22</t>
        </is>
      </c>
      <c r="C771" s="28" t="n">
        <v>0.009299999999999999</v>
      </c>
      <c r="D771" s="12" t="inlineStr">
        <is>
          <t>PO-2021-1407</t>
        </is>
      </c>
      <c r="E771" s="12" t="n">
        <v>4.2</v>
      </c>
      <c r="F771" s="17" t="n">
        <v>85448.38</v>
      </c>
      <c r="G771" s="14">
        <f>E771*F771</f>
        <v/>
      </c>
      <c r="H771" s="14">
        <f>C771*G771</f>
        <v/>
      </c>
    </row>
    <row r="772">
      <c r="A772" s="12" t="inlineStr">
        <is>
          <t>RET-0063</t>
        </is>
      </c>
      <c r="B772" s="12" t="inlineStr">
        <is>
          <t>VS23</t>
        </is>
      </c>
      <c r="C772" s="28" t="n">
        <v>0.0154</v>
      </c>
      <c r="D772" s="12" t="inlineStr">
        <is>
          <t>PO-2021-1592</t>
        </is>
      </c>
      <c r="E772" s="12" t="n">
        <v>4.2</v>
      </c>
      <c r="F772" s="17" t="n">
        <v>81096.64</v>
      </c>
      <c r="G772" s="14">
        <f>E772*F772</f>
        <v/>
      </c>
      <c r="H772" s="14">
        <f>C772*G772</f>
        <v/>
      </c>
    </row>
    <row r="773">
      <c r="A773" s="12" t="inlineStr">
        <is>
          <t>RET-0063</t>
        </is>
      </c>
      <c r="B773" s="12" t="inlineStr">
        <is>
          <t>VS24</t>
        </is>
      </c>
      <c r="C773" s="28" t="n">
        <v>0.0155</v>
      </c>
      <c r="D773" s="12" t="inlineStr">
        <is>
          <t>PO-2023-4017</t>
        </is>
      </c>
      <c r="E773" s="12" t="n">
        <v>4.2</v>
      </c>
      <c r="F773" s="17" t="n">
        <v>76073.96000000001</v>
      </c>
      <c r="G773" s="14">
        <f>E773*F773</f>
        <v/>
      </c>
      <c r="H773" s="14">
        <f>C773*G773</f>
        <v/>
      </c>
    </row>
    <row r="774">
      <c r="A774" s="12" t="inlineStr">
        <is>
          <t>RET-0063</t>
        </is>
      </c>
      <c r="B774" s="12" t="inlineStr">
        <is>
          <t>VS25</t>
        </is>
      </c>
      <c r="C774" s="28" t="n">
        <v>0.0281</v>
      </c>
      <c r="D774" s="12" t="inlineStr">
        <is>
          <t>PO-2021-0964</t>
        </is>
      </c>
      <c r="E774" s="12" t="n">
        <v>4.2</v>
      </c>
      <c r="F774" s="17" t="n">
        <v>64367.9</v>
      </c>
      <c r="G774" s="14">
        <f>E774*F774</f>
        <v/>
      </c>
      <c r="H774" s="14">
        <f>C774*G774</f>
        <v/>
      </c>
    </row>
    <row r="775">
      <c r="A775" s="12" t="inlineStr">
        <is>
          <t>RET-0063</t>
        </is>
      </c>
      <c r="B775" s="12" t="inlineStr">
        <is>
          <t>VS26</t>
        </is>
      </c>
      <c r="C775" s="28" t="n">
        <v>0.0157</v>
      </c>
      <c r="D775" s="12" t="inlineStr">
        <is>
          <t>PO-2021-0367</t>
        </is>
      </c>
      <c r="E775" s="12" t="n">
        <v>2.45</v>
      </c>
      <c r="F775" s="17" t="n">
        <v>65499.53</v>
      </c>
      <c r="G775" s="14">
        <f>E775*F775</f>
        <v/>
      </c>
      <c r="H775" s="14">
        <f>C775*G775</f>
        <v/>
      </c>
    </row>
    <row r="776">
      <c r="A776" s="12" t="inlineStr">
        <is>
          <t>RET-0063</t>
        </is>
      </c>
      <c r="B776" s="12" t="inlineStr">
        <is>
          <t>VS27</t>
        </is>
      </c>
      <c r="C776" s="28" t="n">
        <v>0.0154</v>
      </c>
      <c r="D776" s="12" t="inlineStr">
        <is>
          <t>PO-2022-2629</t>
        </is>
      </c>
      <c r="E776" s="12" t="n">
        <v>1.06</v>
      </c>
      <c r="F776" s="17" t="n">
        <v>59506.44</v>
      </c>
      <c r="G776" s="14">
        <f>E776*F776</f>
        <v/>
      </c>
      <c r="H776" s="14">
        <f>C776*G776</f>
        <v/>
      </c>
    </row>
    <row r="777">
      <c r="A777" s="12" t="inlineStr">
        <is>
          <t>RET-0063</t>
        </is>
      </c>
      <c r="B777" s="12" t="inlineStr">
        <is>
          <t>VS28</t>
        </is>
      </c>
      <c r="C777" s="28" t="n">
        <v>0.0343</v>
      </c>
      <c r="D777" s="12" t="inlineStr">
        <is>
          <t>PO-2021-0877</t>
        </is>
      </c>
      <c r="E777" s="12" t="n">
        <v>4.2</v>
      </c>
      <c r="F777" s="17" t="n">
        <v>88135.7</v>
      </c>
      <c r="G777" s="14">
        <f>E777*F777</f>
        <v/>
      </c>
      <c r="H777" s="14">
        <f>C777*G777</f>
        <v/>
      </c>
    </row>
    <row r="778">
      <c r="A778" s="12" t="inlineStr">
        <is>
          <t>RET-0063</t>
        </is>
      </c>
      <c r="B778" s="12" t="inlineStr">
        <is>
          <t>VS29</t>
        </is>
      </c>
      <c r="C778" s="28" t="n">
        <v>0.0218</v>
      </c>
      <c r="D778" s="12" t="inlineStr">
        <is>
          <t>PO-2022-3132</t>
        </is>
      </c>
      <c r="E778" s="12" t="n">
        <v>4.2</v>
      </c>
      <c r="F778" s="17" t="n">
        <v>109552.78</v>
      </c>
      <c r="G778" s="14">
        <f>E778*F778</f>
        <v/>
      </c>
      <c r="H778" s="14">
        <f>C778*G778</f>
        <v/>
      </c>
    </row>
    <row r="779">
      <c r="A779" s="12" t="inlineStr">
        <is>
          <t>RET-0063</t>
        </is>
      </c>
      <c r="B779" s="12" t="inlineStr">
        <is>
          <t>VS30</t>
        </is>
      </c>
      <c r="C779" s="28" t="n">
        <v>0.0094</v>
      </c>
      <c r="D779" s="12" t="inlineStr">
        <is>
          <t>PO-2021-0114</t>
        </is>
      </c>
      <c r="E779" s="12" t="n">
        <v>4.2</v>
      </c>
      <c r="F779" s="17" t="n">
        <v>118558.1</v>
      </c>
      <c r="G779" s="14">
        <f>E779*F779</f>
        <v/>
      </c>
      <c r="H779" s="14">
        <f>C779*G779</f>
        <v/>
      </c>
    </row>
    <row r="780">
      <c r="A780" s="12" t="inlineStr">
        <is>
          <t>RET-0063</t>
        </is>
      </c>
      <c r="B780" s="12" t="inlineStr">
        <is>
          <t>VS31</t>
        </is>
      </c>
      <c r="C780" s="28" t="n">
        <v>0.0342</v>
      </c>
      <c r="D780" s="12" t="inlineStr">
        <is>
          <t>PO-2023-3710</t>
        </is>
      </c>
      <c r="E780" s="12" t="n">
        <v>4.2</v>
      </c>
      <c r="F780" s="17" t="n">
        <v>108978.53</v>
      </c>
      <c r="G780" s="14">
        <f>E780*F780</f>
        <v/>
      </c>
      <c r="H780" s="14">
        <f>C780*G780</f>
        <v/>
      </c>
    </row>
    <row r="781">
      <c r="A781" s="12" t="inlineStr">
        <is>
          <t>RET-0063</t>
        </is>
      </c>
      <c r="B781" s="12" t="inlineStr">
        <is>
          <t>VS32</t>
        </is>
      </c>
      <c r="C781" s="28" t="n">
        <v>0.0407</v>
      </c>
      <c r="D781" s="12" t="inlineStr">
        <is>
          <t>PO-2023-4576</t>
        </is>
      </c>
      <c r="E781" s="12" t="n">
        <v>4.2</v>
      </c>
      <c r="F781" s="17" t="n">
        <v>55178.58</v>
      </c>
      <c r="G781" s="14">
        <f>E781*F781</f>
        <v/>
      </c>
      <c r="H781" s="14">
        <f>C781*G781</f>
        <v/>
      </c>
    </row>
    <row r="782">
      <c r="A782" s="12" t="inlineStr">
        <is>
          <t>RET-0063</t>
        </is>
      </c>
      <c r="B782" s="12" t="inlineStr">
        <is>
          <t>VS33</t>
        </is>
      </c>
      <c r="C782" s="28" t="n">
        <v>0.0217</v>
      </c>
      <c r="D782" s="12" t="inlineStr">
        <is>
          <t>PO-2022-2830</t>
        </is>
      </c>
      <c r="E782" s="12" t="n">
        <v>4.2</v>
      </c>
      <c r="F782" s="17" t="n">
        <v>111987.82</v>
      </c>
      <c r="G782" s="14">
        <f>E782*F782</f>
        <v/>
      </c>
      <c r="H782" s="14">
        <f>C782*G782</f>
        <v/>
      </c>
    </row>
    <row r="783">
      <c r="A783" s="12" t="inlineStr">
        <is>
          <t>RET-0063</t>
        </is>
      </c>
      <c r="B783" s="12" t="inlineStr">
        <is>
          <t>VS34</t>
        </is>
      </c>
      <c r="C783" s="28" t="n">
        <v>0.028</v>
      </c>
      <c r="D783" s="12" t="inlineStr">
        <is>
          <t>PO-2021-0333</t>
        </is>
      </c>
      <c r="E783" s="12" t="n">
        <v>4.2</v>
      </c>
      <c r="F783" s="17" t="n">
        <v>75619.44</v>
      </c>
      <c r="G783" s="14">
        <f>E783*F783</f>
        <v/>
      </c>
      <c r="H783" s="14">
        <f>C783*G783</f>
        <v/>
      </c>
    </row>
    <row r="784">
      <c r="A784" s="12" t="inlineStr">
        <is>
          <t>RET-0065</t>
        </is>
      </c>
      <c r="B784" s="12" t="inlineStr">
        <is>
          <t>VS01</t>
        </is>
      </c>
      <c r="C784" s="28" t="n">
        <v>0.0164</v>
      </c>
      <c r="D784" s="12" t="inlineStr">
        <is>
          <t>PO-2023-4101</t>
        </is>
      </c>
      <c r="E784" s="12" t="n">
        <v>4.04</v>
      </c>
      <c r="F784" s="17" t="n">
        <v>106647.61</v>
      </c>
      <c r="G784" s="14">
        <f>E784*F784</f>
        <v/>
      </c>
      <c r="H784" s="14">
        <f>C784*G784</f>
        <v/>
      </c>
    </row>
    <row r="785">
      <c r="A785" s="12" t="inlineStr">
        <is>
          <t>RET-0065</t>
        </is>
      </c>
      <c r="B785" s="12" t="inlineStr">
        <is>
          <t>VS02</t>
        </is>
      </c>
      <c r="C785" s="28" t="n">
        <v>0.0075</v>
      </c>
      <c r="D785" s="12" t="inlineStr">
        <is>
          <t>PO-2022-2895</t>
        </is>
      </c>
      <c r="E785" s="12" t="n">
        <v>4.04</v>
      </c>
      <c r="F785" s="17" t="n">
        <v>114763.89</v>
      </c>
      <c r="G785" s="14">
        <f>E785*F785</f>
        <v/>
      </c>
      <c r="H785" s="14">
        <f>C785*G785</f>
        <v/>
      </c>
    </row>
    <row r="786">
      <c r="A786" s="12" t="inlineStr">
        <is>
          <t>RET-0065</t>
        </is>
      </c>
      <c r="B786" s="12" t="inlineStr">
        <is>
          <t>VS03</t>
        </is>
      </c>
      <c r="C786" s="28" t="n">
        <v>0.1859</v>
      </c>
      <c r="D786" s="12" t="inlineStr">
        <is>
          <t>PO-2023-4056</t>
        </is>
      </c>
      <c r="E786" s="12" t="n">
        <v>4.04</v>
      </c>
      <c r="F786" s="17" t="n">
        <v>53720.8</v>
      </c>
      <c r="G786" s="14">
        <f>E786*F786</f>
        <v/>
      </c>
      <c r="H786" s="14">
        <f>C786*G786</f>
        <v/>
      </c>
    </row>
    <row r="787">
      <c r="A787" s="12" t="inlineStr">
        <is>
          <t>RET-0065</t>
        </is>
      </c>
      <c r="B787" s="12" t="inlineStr">
        <is>
          <t>VS04</t>
        </is>
      </c>
      <c r="C787" s="28" t="n">
        <v>0.0103</v>
      </c>
      <c r="D787" s="12" t="inlineStr">
        <is>
          <t>PO-2022-2771</t>
        </is>
      </c>
      <c r="E787" s="12" t="n">
        <v>4.04</v>
      </c>
      <c r="F787" s="17" t="n">
        <v>67051.24000000001</v>
      </c>
      <c r="G787" s="14">
        <f>E787*F787</f>
        <v/>
      </c>
      <c r="H787" s="14">
        <f>C787*G787</f>
        <v/>
      </c>
    </row>
    <row r="788">
      <c r="A788" s="12" t="inlineStr">
        <is>
          <t>RET-0065</t>
        </is>
      </c>
      <c r="B788" s="12" t="inlineStr">
        <is>
          <t>VS05</t>
        </is>
      </c>
      <c r="C788" s="28" t="n">
        <v>0.0134</v>
      </c>
      <c r="D788" s="12" t="inlineStr">
        <is>
          <t>PO-2023-4251</t>
        </is>
      </c>
      <c r="E788" s="12" t="n">
        <v>2.28</v>
      </c>
      <c r="F788" s="17" t="n">
        <v>88162.39999999999</v>
      </c>
      <c r="G788" s="14">
        <f>E788*F788</f>
        <v/>
      </c>
      <c r="H788" s="14">
        <f>C788*G788</f>
        <v/>
      </c>
    </row>
    <row r="789">
      <c r="A789" s="12" t="inlineStr">
        <is>
          <t>RET-0065</t>
        </is>
      </c>
      <c r="B789" s="12" t="inlineStr">
        <is>
          <t>VS06</t>
        </is>
      </c>
      <c r="C789" s="28" t="n">
        <v>0.0135</v>
      </c>
      <c r="D789" s="12" t="inlineStr">
        <is>
          <t>PO-2022-1763</t>
        </is>
      </c>
      <c r="E789" s="12" t="n">
        <v>4.04</v>
      </c>
      <c r="F789" s="17" t="n">
        <v>67679.25</v>
      </c>
      <c r="G789" s="14">
        <f>E789*F789</f>
        <v/>
      </c>
      <c r="H789" s="14">
        <f>C789*G789</f>
        <v/>
      </c>
    </row>
    <row r="790">
      <c r="A790" s="12" t="inlineStr">
        <is>
          <t>RET-0065</t>
        </is>
      </c>
      <c r="B790" s="12" t="inlineStr">
        <is>
          <t>VS07</t>
        </is>
      </c>
      <c r="C790" s="28" t="n">
        <v>0.0045</v>
      </c>
      <c r="D790" s="12" t="inlineStr">
        <is>
          <t>PO-2023-4433</t>
        </is>
      </c>
      <c r="E790" s="12" t="n">
        <v>4.04</v>
      </c>
      <c r="F790" s="17" t="n">
        <v>95085.06</v>
      </c>
      <c r="G790" s="14">
        <f>E790*F790</f>
        <v/>
      </c>
      <c r="H790" s="14">
        <f>C790*G790</f>
        <v/>
      </c>
    </row>
    <row r="791">
      <c r="A791" s="12" t="inlineStr">
        <is>
          <t>RET-0065</t>
        </is>
      </c>
      <c r="B791" s="12" t="inlineStr">
        <is>
          <t>VS08</t>
        </is>
      </c>
      <c r="C791" s="28" t="n">
        <v>0.0136</v>
      </c>
      <c r="D791" s="12" t="inlineStr">
        <is>
          <t>PO-2022-2172</t>
        </is>
      </c>
      <c r="E791" s="12" t="n">
        <v>4.04</v>
      </c>
      <c r="F791" s="17" t="n">
        <v>55680.63</v>
      </c>
      <c r="G791" s="14">
        <f>E791*F791</f>
        <v/>
      </c>
      <c r="H791" s="14">
        <f>C791*G791</f>
        <v/>
      </c>
    </row>
    <row r="792">
      <c r="A792" s="12" t="inlineStr">
        <is>
          <t>RET-0065</t>
        </is>
      </c>
      <c r="B792" s="12" t="inlineStr">
        <is>
          <t>VS09</t>
        </is>
      </c>
      <c r="C792" s="28" t="n">
        <v>0.0104</v>
      </c>
      <c r="D792" s="12" t="inlineStr">
        <is>
          <t>PO-2021-1359</t>
        </is>
      </c>
      <c r="E792" s="12" t="n">
        <v>4.04</v>
      </c>
      <c r="F792" s="17" t="n">
        <v>100335.38</v>
      </c>
      <c r="G792" s="14">
        <f>E792*F792</f>
        <v/>
      </c>
      <c r="H792" s="14">
        <f>C792*G792</f>
        <v/>
      </c>
    </row>
    <row r="793">
      <c r="A793" s="12" t="inlineStr">
        <is>
          <t>RET-0065</t>
        </is>
      </c>
      <c r="B793" s="12" t="inlineStr">
        <is>
          <t>VS10</t>
        </is>
      </c>
      <c r="C793" s="28" t="n">
        <v>0.0164</v>
      </c>
      <c r="D793" s="12" t="inlineStr">
        <is>
          <t>PO-2021-0817</t>
        </is>
      </c>
      <c r="E793" s="12" t="n">
        <v>4.04</v>
      </c>
      <c r="F793" s="17" t="n">
        <v>80689.10000000001</v>
      </c>
      <c r="G793" s="14">
        <f>E793*F793</f>
        <v/>
      </c>
      <c r="H793" s="14">
        <f>C793*G793</f>
        <v/>
      </c>
    </row>
    <row r="794">
      <c r="A794" s="12" t="inlineStr">
        <is>
          <t>RET-0065</t>
        </is>
      </c>
      <c r="B794" s="12" t="inlineStr">
        <is>
          <t>VS11</t>
        </is>
      </c>
      <c r="C794" s="28" t="n">
        <v>0.0192</v>
      </c>
      <c r="D794" s="12" t="inlineStr">
        <is>
          <t>PO-2023-4469</t>
        </is>
      </c>
      <c r="E794" s="12" t="n">
        <v>1.123</v>
      </c>
      <c r="F794" s="17" t="n">
        <v>62626.61</v>
      </c>
      <c r="G794" s="14">
        <f>E794*F794</f>
        <v/>
      </c>
      <c r="H794" s="14">
        <f>C794*G794</f>
        <v/>
      </c>
    </row>
    <row r="795">
      <c r="A795" s="12" t="inlineStr">
        <is>
          <t>RET-0065</t>
        </is>
      </c>
      <c r="B795" s="12" t="inlineStr">
        <is>
          <t>VS12</t>
        </is>
      </c>
      <c r="C795" s="28" t="n">
        <v>0.2584</v>
      </c>
      <c r="D795" s="12" t="inlineStr">
        <is>
          <t>PO-2022-1936</t>
        </is>
      </c>
      <c r="E795" s="12" t="n">
        <v>4.04</v>
      </c>
      <c r="F795" s="17" t="n">
        <v>124278.2</v>
      </c>
      <c r="G795" s="14">
        <f>E795*F795</f>
        <v/>
      </c>
      <c r="H795" s="14">
        <f>C795*G795</f>
        <v/>
      </c>
    </row>
    <row r="796">
      <c r="A796" s="12" t="inlineStr">
        <is>
          <t>RET-0065</t>
        </is>
      </c>
      <c r="B796" s="12" t="inlineStr">
        <is>
          <t>VS13</t>
        </is>
      </c>
      <c r="C796" s="28" t="n">
        <v>0.0132</v>
      </c>
      <c r="D796" s="12" t="inlineStr">
        <is>
          <t>PO-2021-0560</t>
        </is>
      </c>
      <c r="E796" s="12" t="n">
        <v>4.04</v>
      </c>
      <c r="F796" s="17" t="n">
        <v>63022.66</v>
      </c>
      <c r="G796" s="14">
        <f>E796*F796</f>
        <v/>
      </c>
      <c r="H796" s="14">
        <f>C796*G796</f>
        <v/>
      </c>
    </row>
    <row r="797">
      <c r="A797" s="12" t="inlineStr">
        <is>
          <t>RET-0065</t>
        </is>
      </c>
      <c r="B797" s="12" t="inlineStr">
        <is>
          <t>VS14</t>
        </is>
      </c>
      <c r="C797" s="28" t="n">
        <v>0.0133</v>
      </c>
      <c r="D797" s="12" t="inlineStr">
        <is>
          <t>PO-2021-1016</t>
        </is>
      </c>
      <c r="E797" s="12" t="n">
        <v>4.04</v>
      </c>
      <c r="F797" s="17" t="n">
        <v>62929.68</v>
      </c>
      <c r="G797" s="14">
        <f>E797*F797</f>
        <v/>
      </c>
      <c r="H797" s="14">
        <f>C797*G797</f>
        <v/>
      </c>
    </row>
    <row r="798">
      <c r="A798" s="12" t="inlineStr">
        <is>
          <t>RET-0065</t>
        </is>
      </c>
      <c r="B798" s="12" t="inlineStr">
        <is>
          <t>VS15</t>
        </is>
      </c>
      <c r="C798" s="28" t="n">
        <v>0.0045</v>
      </c>
      <c r="D798" s="12" t="inlineStr">
        <is>
          <t>PO-2021-0732</t>
        </is>
      </c>
      <c r="E798" s="12" t="n">
        <v>3.63</v>
      </c>
      <c r="F798" s="17" t="n">
        <v>104945.24</v>
      </c>
      <c r="G798" s="14">
        <f>E798*F798</f>
        <v/>
      </c>
      <c r="H798" s="14">
        <f>C798*G798</f>
        <v/>
      </c>
    </row>
    <row r="799">
      <c r="A799" s="12" t="inlineStr">
        <is>
          <t>RET-0065</t>
        </is>
      </c>
      <c r="B799" s="12" t="inlineStr">
        <is>
          <t>VS16</t>
        </is>
      </c>
      <c r="C799" s="28" t="n">
        <v>0.0192</v>
      </c>
      <c r="D799" s="12" t="inlineStr">
        <is>
          <t>PO-2022-2735</t>
        </is>
      </c>
      <c r="E799" s="12" t="n">
        <v>4.04</v>
      </c>
      <c r="F799" s="17" t="n">
        <v>52720.8</v>
      </c>
      <c r="G799" s="14">
        <f>E799*F799</f>
        <v/>
      </c>
      <c r="H799" s="14">
        <f>C799*G799</f>
        <v/>
      </c>
    </row>
    <row r="800">
      <c r="A800" s="12" t="inlineStr">
        <is>
          <t>RET-0065</t>
        </is>
      </c>
      <c r="B800" s="12" t="inlineStr">
        <is>
          <t>VS17</t>
        </is>
      </c>
      <c r="C800" s="28" t="n">
        <v>0.0192</v>
      </c>
      <c r="D800" s="12" t="inlineStr">
        <is>
          <t>PO-2022-2200</t>
        </is>
      </c>
      <c r="E800" s="12" t="n">
        <v>4.04</v>
      </c>
      <c r="F800" s="17" t="n">
        <v>84962.08</v>
      </c>
      <c r="G800" s="14">
        <f>E800*F800</f>
        <v/>
      </c>
      <c r="H800" s="14">
        <f>C800*G800</f>
        <v/>
      </c>
    </row>
    <row r="801">
      <c r="A801" s="12" t="inlineStr">
        <is>
          <t>RET-0065</t>
        </is>
      </c>
      <c r="B801" s="12" t="inlineStr">
        <is>
          <t>VS18</t>
        </is>
      </c>
      <c r="C801" s="28" t="n">
        <v>0.0133</v>
      </c>
      <c r="D801" s="12" t="inlineStr">
        <is>
          <t>PO-2022-3064</t>
        </is>
      </c>
      <c r="E801" s="12" t="n">
        <v>4.04</v>
      </c>
      <c r="F801" s="17" t="n">
        <v>86516.41</v>
      </c>
      <c r="G801" s="14">
        <f>E801*F801</f>
        <v/>
      </c>
      <c r="H801" s="14">
        <f>C801*G801</f>
        <v/>
      </c>
    </row>
    <row r="802">
      <c r="A802" s="12" t="inlineStr">
        <is>
          <t>RET-0065</t>
        </is>
      </c>
      <c r="B802" s="12" t="inlineStr">
        <is>
          <t>VS19</t>
        </is>
      </c>
      <c r="C802" s="28" t="n">
        <v>0.1949</v>
      </c>
      <c r="D802" s="12" t="inlineStr">
        <is>
          <t>PO-2021-0346</t>
        </is>
      </c>
      <c r="E802" s="12" t="n">
        <v>4.04</v>
      </c>
      <c r="F802" s="17" t="n">
        <v>64741.45</v>
      </c>
      <c r="G802" s="14">
        <f>E802*F802</f>
        <v/>
      </c>
      <c r="H802" s="14">
        <f>C802*G802</f>
        <v/>
      </c>
    </row>
    <row r="803">
      <c r="A803" s="12" t="inlineStr">
        <is>
          <t>RET-0065</t>
        </is>
      </c>
      <c r="B803" s="12" t="inlineStr">
        <is>
          <t>VS20</t>
        </is>
      </c>
      <c r="C803" s="28" t="n">
        <v>0.0074</v>
      </c>
      <c r="D803" s="12" t="inlineStr">
        <is>
          <t>PO-2023-3347</t>
        </is>
      </c>
      <c r="E803" s="12" t="n">
        <v>4.04</v>
      </c>
      <c r="F803" s="17" t="n">
        <v>95528.95</v>
      </c>
      <c r="G803" s="14">
        <f>E803*F803</f>
        <v/>
      </c>
      <c r="H803" s="14">
        <f>C803*G803</f>
        <v/>
      </c>
    </row>
    <row r="804">
      <c r="A804" s="12" t="inlineStr">
        <is>
          <t>RET-0065</t>
        </is>
      </c>
      <c r="B804" s="12" t="inlineStr">
        <is>
          <t>VS21</t>
        </is>
      </c>
      <c r="C804" s="28" t="n">
        <v>0.0074</v>
      </c>
      <c r="D804" s="12" t="inlineStr">
        <is>
          <t>PO-2021-0561</t>
        </is>
      </c>
      <c r="E804" s="12" t="n">
        <v>4.04</v>
      </c>
      <c r="F804" s="17" t="n">
        <v>94155.03999999999</v>
      </c>
      <c r="G804" s="14">
        <f>E804*F804</f>
        <v/>
      </c>
      <c r="H804" s="14">
        <f>C804*G804</f>
        <v/>
      </c>
    </row>
    <row r="805">
      <c r="A805" s="12" t="inlineStr">
        <is>
          <t>RET-0065</t>
        </is>
      </c>
      <c r="B805" s="12" t="inlineStr">
        <is>
          <t>VS22</t>
        </is>
      </c>
      <c r="C805" s="28" t="n">
        <v>0.0044</v>
      </c>
      <c r="D805" s="12" t="inlineStr">
        <is>
          <t>PO-2021-0202</t>
        </is>
      </c>
      <c r="E805" s="12" t="n">
        <v>4.04</v>
      </c>
      <c r="F805" s="17" t="n">
        <v>107171.92</v>
      </c>
      <c r="G805" s="14">
        <f>E805*F805</f>
        <v/>
      </c>
      <c r="H805" s="14">
        <f>C805*G805</f>
        <v/>
      </c>
    </row>
    <row r="806">
      <c r="A806" s="12" t="inlineStr">
        <is>
          <t>RET-0065</t>
        </is>
      </c>
      <c r="B806" s="12" t="inlineStr">
        <is>
          <t>VS23</t>
        </is>
      </c>
      <c r="C806" s="28" t="n">
        <v>0.0073</v>
      </c>
      <c r="D806" s="12" t="inlineStr">
        <is>
          <t>PO-2022-1867</t>
        </is>
      </c>
      <c r="E806" s="12" t="n">
        <v>4.04</v>
      </c>
      <c r="F806" s="17" t="n">
        <v>86770.56</v>
      </c>
      <c r="G806" s="14">
        <f>E806*F806</f>
        <v/>
      </c>
      <c r="H806" s="14">
        <f>C806*G806</f>
        <v/>
      </c>
    </row>
    <row r="807">
      <c r="A807" s="12" t="inlineStr">
        <is>
          <t>RET-0065</t>
        </is>
      </c>
      <c r="B807" s="12" t="inlineStr">
        <is>
          <t>VS24</t>
        </is>
      </c>
      <c r="C807" s="28" t="n">
        <v>0.0074</v>
      </c>
      <c r="D807" s="12" t="inlineStr">
        <is>
          <t>PO-2022-1693</t>
        </is>
      </c>
      <c r="E807" s="12" t="n">
        <v>4.04</v>
      </c>
      <c r="F807" s="17" t="n">
        <v>54172.77</v>
      </c>
      <c r="G807" s="14">
        <f>E807*F807</f>
        <v/>
      </c>
      <c r="H807" s="14">
        <f>C807*G807</f>
        <v/>
      </c>
    </row>
    <row r="808">
      <c r="A808" s="12" t="inlineStr">
        <is>
          <t>RET-0065</t>
        </is>
      </c>
      <c r="B808" s="12" t="inlineStr">
        <is>
          <t>VS25</t>
        </is>
      </c>
      <c r="C808" s="28" t="n">
        <v>0.0134</v>
      </c>
      <c r="D808" s="12" t="inlineStr">
        <is>
          <t>PO-2022-2989</t>
        </is>
      </c>
      <c r="E808" s="12" t="n">
        <v>4.04</v>
      </c>
      <c r="F808" s="17" t="n">
        <v>58824.4</v>
      </c>
      <c r="G808" s="14">
        <f>E808*F808</f>
        <v/>
      </c>
      <c r="H808" s="14">
        <f>C808*G808</f>
        <v/>
      </c>
    </row>
    <row r="809">
      <c r="A809" s="12" t="inlineStr">
        <is>
          <t>RET-0065</t>
        </is>
      </c>
      <c r="B809" s="12" t="inlineStr">
        <is>
          <t>VS26</t>
        </is>
      </c>
      <c r="C809" s="28" t="n">
        <v>0.0075</v>
      </c>
      <c r="D809" s="12" t="inlineStr">
        <is>
          <t>PO-2023-3815</t>
        </is>
      </c>
      <c r="E809" s="12" t="n">
        <v>1.76</v>
      </c>
      <c r="F809" s="17" t="n">
        <v>47482.02</v>
      </c>
      <c r="G809" s="14">
        <f>E809*F809</f>
        <v/>
      </c>
      <c r="H809" s="14">
        <f>C809*G809</f>
        <v/>
      </c>
    </row>
    <row r="810">
      <c r="A810" s="12" t="inlineStr">
        <is>
          <t>RET-0065</t>
        </is>
      </c>
      <c r="B810" s="12" t="inlineStr">
        <is>
          <t>VS27</t>
        </is>
      </c>
      <c r="C810" s="28" t="n">
        <v>0.0073</v>
      </c>
      <c r="D810" s="12" t="inlineStr">
        <is>
          <t>PO-2023-3831</t>
        </is>
      </c>
      <c r="E810" s="12" t="n">
        <v>4.04</v>
      </c>
      <c r="F810" s="17" t="n">
        <v>117054.77</v>
      </c>
      <c r="G810" s="14">
        <f>E810*F810</f>
        <v/>
      </c>
      <c r="H810" s="14">
        <f>C810*G810</f>
        <v/>
      </c>
    </row>
    <row r="811">
      <c r="A811" s="12" t="inlineStr">
        <is>
          <t>RET-0065</t>
        </is>
      </c>
      <c r="B811" s="12" t="inlineStr">
        <is>
          <t>VS28</t>
        </is>
      </c>
      <c r="C811" s="28" t="n">
        <v>0.0164</v>
      </c>
      <c r="D811" s="12" t="inlineStr">
        <is>
          <t>PO-2022-1779</t>
        </is>
      </c>
      <c r="E811" s="12" t="n">
        <v>2.36</v>
      </c>
      <c r="F811" s="17" t="n">
        <v>79281.17</v>
      </c>
      <c r="G811" s="14">
        <f>E811*F811</f>
        <v/>
      </c>
      <c r="H811" s="14">
        <f>C811*G811</f>
        <v/>
      </c>
    </row>
    <row r="812">
      <c r="A812" s="12" t="inlineStr">
        <is>
          <t>RET-0065</t>
        </is>
      </c>
      <c r="B812" s="12" t="inlineStr">
        <is>
          <t>VS29</t>
        </is>
      </c>
      <c r="C812" s="28" t="n">
        <v>0.0104</v>
      </c>
      <c r="D812" s="12" t="inlineStr">
        <is>
          <t>PO-2022-1623</t>
        </is>
      </c>
      <c r="E812" s="12" t="n">
        <v>4.04</v>
      </c>
      <c r="F812" s="17" t="n">
        <v>72023.73</v>
      </c>
      <c r="G812" s="14">
        <f>E812*F812</f>
        <v/>
      </c>
      <c r="H812" s="14">
        <f>C812*G812</f>
        <v/>
      </c>
    </row>
    <row r="813">
      <c r="A813" s="12" t="inlineStr">
        <is>
          <t>RET-0065</t>
        </is>
      </c>
      <c r="B813" s="12" t="inlineStr">
        <is>
          <t>VS30</t>
        </is>
      </c>
      <c r="C813" s="28" t="n">
        <v>0.0045</v>
      </c>
      <c r="D813" s="12" t="inlineStr">
        <is>
          <t>PO-2021-1217</t>
        </is>
      </c>
      <c r="E813" s="12" t="n">
        <v>4.04</v>
      </c>
      <c r="F813" s="17" t="n">
        <v>99224.63</v>
      </c>
      <c r="G813" s="14">
        <f>E813*F813</f>
        <v/>
      </c>
      <c r="H813" s="14">
        <f>C813*G813</f>
        <v/>
      </c>
    </row>
    <row r="814">
      <c r="A814" s="12" t="inlineStr">
        <is>
          <t>RET-0065</t>
        </is>
      </c>
      <c r="B814" s="12" t="inlineStr">
        <is>
          <t>VS31</t>
        </is>
      </c>
      <c r="C814" s="28" t="n">
        <v>0.0163</v>
      </c>
      <c r="D814" s="12" t="inlineStr">
        <is>
          <t>PO-2023-4087</t>
        </is>
      </c>
      <c r="E814" s="12" t="n">
        <v>4.04</v>
      </c>
      <c r="F814" s="17" t="n">
        <v>113295.37</v>
      </c>
      <c r="G814" s="14">
        <f>E814*F814</f>
        <v/>
      </c>
      <c r="H814" s="14">
        <f>C814*G814</f>
        <v/>
      </c>
    </row>
    <row r="815">
      <c r="A815" s="12" t="inlineStr">
        <is>
          <t>RET-0065</t>
        </is>
      </c>
      <c r="B815" s="12" t="inlineStr">
        <is>
          <t>VS32</t>
        </is>
      </c>
      <c r="C815" s="28" t="n">
        <v>0.0194</v>
      </c>
      <c r="D815" s="12" t="inlineStr">
        <is>
          <t>PO-2021-0421</t>
        </is>
      </c>
      <c r="E815" s="12" t="n">
        <v>4.04</v>
      </c>
      <c r="F815" s="17" t="n">
        <v>65153.79</v>
      </c>
      <c r="G815" s="14">
        <f>E815*F815</f>
        <v/>
      </c>
      <c r="H815" s="14">
        <f>C815*G815</f>
        <v/>
      </c>
    </row>
    <row r="816">
      <c r="A816" s="12" t="inlineStr">
        <is>
          <t>RET-0065</t>
        </is>
      </c>
      <c r="B816" s="12" t="inlineStr">
        <is>
          <t>VS33</t>
        </is>
      </c>
      <c r="C816" s="28" t="n">
        <v>0.0103</v>
      </c>
      <c r="D816" s="12" t="inlineStr">
        <is>
          <t>PO-2021-1514</t>
        </is>
      </c>
      <c r="E816" s="12" t="n">
        <v>4.04</v>
      </c>
      <c r="F816" s="17" t="n">
        <v>83625.86</v>
      </c>
      <c r="G816" s="14">
        <f>E816*F816</f>
        <v/>
      </c>
      <c r="H816" s="14">
        <f>C816*G816</f>
        <v/>
      </c>
    </row>
    <row r="817">
      <c r="A817" s="12" t="inlineStr">
        <is>
          <t>RET-0065</t>
        </is>
      </c>
      <c r="B817" s="12" t="inlineStr">
        <is>
          <t>VS34</t>
        </is>
      </c>
      <c r="C817" s="28" t="n">
        <v>0.0134</v>
      </c>
      <c r="D817" s="12" t="inlineStr">
        <is>
          <t>PO-2023-3985</t>
        </is>
      </c>
      <c r="E817" s="12" t="n">
        <v>4.04</v>
      </c>
      <c r="F817" s="17" t="n">
        <v>49311.74</v>
      </c>
      <c r="G817" s="14">
        <f>E817*F817</f>
        <v/>
      </c>
      <c r="H817" s="14">
        <f>C817*G817</f>
        <v/>
      </c>
    </row>
    <row r="818">
      <c r="A818" s="12" t="inlineStr">
        <is>
          <t>RET-0067</t>
        </is>
      </c>
      <c r="B818" s="12" t="inlineStr">
        <is>
          <t>VS01</t>
        </is>
      </c>
      <c r="C818" s="28" t="n">
        <v>0.0173</v>
      </c>
      <c r="D818" s="12" t="inlineStr">
        <is>
          <t>PO-2022-1891</t>
        </is>
      </c>
      <c r="E818" s="12" t="n">
        <v>1.73</v>
      </c>
      <c r="F818" s="17" t="n">
        <v>86830.28999999999</v>
      </c>
      <c r="G818" s="14">
        <f>E818*F818</f>
        <v/>
      </c>
      <c r="H818" s="14">
        <f>C818*G818</f>
        <v/>
      </c>
    </row>
    <row r="819">
      <c r="A819" s="12" t="inlineStr">
        <is>
          <t>RET-0067</t>
        </is>
      </c>
      <c r="B819" s="12" t="inlineStr">
        <is>
          <t>VS02</t>
        </is>
      </c>
      <c r="C819" s="28" t="n">
        <v>0.007900000000000001</v>
      </c>
      <c r="D819" s="12" t="inlineStr">
        <is>
          <t>PO-2023-4653</t>
        </is>
      </c>
      <c r="E819" s="12" t="n">
        <v>1.73</v>
      </c>
      <c r="F819" s="17" t="n">
        <v>113828.85</v>
      </c>
      <c r="G819" s="14">
        <f>E819*F819</f>
        <v/>
      </c>
      <c r="H819" s="14">
        <f>C819*G819</f>
        <v/>
      </c>
    </row>
    <row r="820">
      <c r="A820" s="12" t="inlineStr">
        <is>
          <t>RET-0067</t>
        </is>
      </c>
      <c r="B820" s="12" t="inlineStr">
        <is>
          <t>VS03</t>
        </is>
      </c>
      <c r="C820" s="28" t="n">
        <v>0.18</v>
      </c>
      <c r="D820" s="12" t="inlineStr">
        <is>
          <t>PO-2021-0849</t>
        </is>
      </c>
      <c r="E820" s="12" t="n">
        <v>1.73</v>
      </c>
      <c r="F820" s="17" t="n">
        <v>47971.11</v>
      </c>
      <c r="G820" s="14">
        <f>E820*F820</f>
        <v/>
      </c>
      <c r="H820" s="14">
        <f>C820*G820</f>
        <v/>
      </c>
    </row>
    <row r="821">
      <c r="A821" s="12" t="inlineStr">
        <is>
          <t>RET-0067</t>
        </is>
      </c>
      <c r="B821" s="12" t="inlineStr">
        <is>
          <t>VS04</t>
        </is>
      </c>
      <c r="C821" s="28" t="n">
        <v>0.0109</v>
      </c>
      <c r="D821" s="12" t="inlineStr">
        <is>
          <t>PO-2023-4648</t>
        </is>
      </c>
      <c r="E821" s="12" t="n">
        <v>1.73</v>
      </c>
      <c r="F821" s="17" t="n">
        <v>86177.22</v>
      </c>
      <c r="G821" s="14">
        <f>E821*F821</f>
        <v/>
      </c>
      <c r="H821" s="14">
        <f>C821*G821</f>
        <v/>
      </c>
    </row>
    <row r="822">
      <c r="A822" s="12" t="inlineStr">
        <is>
          <t>RET-0067</t>
        </is>
      </c>
      <c r="B822" s="12" t="inlineStr">
        <is>
          <t>VS05</t>
        </is>
      </c>
      <c r="C822" s="28" t="n">
        <v>0.0141</v>
      </c>
      <c r="D822" s="12" t="inlineStr">
        <is>
          <t>PO-2023-3942</t>
        </is>
      </c>
      <c r="E822" s="12" t="n">
        <v>1.73</v>
      </c>
      <c r="F822" s="17" t="n">
        <v>62096.49</v>
      </c>
      <c r="G822" s="14">
        <f>E822*F822</f>
        <v/>
      </c>
      <c r="H822" s="14">
        <f>C822*G822</f>
        <v/>
      </c>
    </row>
    <row r="823">
      <c r="A823" s="12" t="inlineStr">
        <is>
          <t>RET-0067</t>
        </is>
      </c>
      <c r="B823" s="12" t="inlineStr">
        <is>
          <t>VS06</t>
        </is>
      </c>
      <c r="C823" s="28" t="n">
        <v>0.0142</v>
      </c>
      <c r="D823" s="12" t="inlineStr">
        <is>
          <t>PO-2022-3160</t>
        </is>
      </c>
      <c r="E823" s="12" t="n">
        <v>1.73</v>
      </c>
      <c r="F823" s="17" t="n">
        <v>105971.6</v>
      </c>
      <c r="G823" s="14">
        <f>E823*F823</f>
        <v/>
      </c>
      <c r="H823" s="14">
        <f>C823*G823</f>
        <v/>
      </c>
    </row>
    <row r="824">
      <c r="A824" s="12" t="inlineStr">
        <is>
          <t>RET-0067</t>
        </is>
      </c>
      <c r="B824" s="12" t="inlineStr">
        <is>
          <t>VS07</t>
        </is>
      </c>
      <c r="C824" s="28" t="n">
        <v>0.0048</v>
      </c>
      <c r="D824" s="12" t="inlineStr">
        <is>
          <t>PO-2023-4432</t>
        </is>
      </c>
      <c r="E824" s="12" t="n">
        <v>1.73</v>
      </c>
      <c r="F824" s="17" t="n">
        <v>63558.81</v>
      </c>
      <c r="G824" s="14">
        <f>E824*F824</f>
        <v/>
      </c>
      <c r="H824" s="14">
        <f>C824*G824</f>
        <v/>
      </c>
    </row>
    <row r="825">
      <c r="A825" s="12" t="inlineStr">
        <is>
          <t>RET-0067</t>
        </is>
      </c>
      <c r="B825" s="12" t="inlineStr">
        <is>
          <t>VS08</t>
        </is>
      </c>
      <c r="C825" s="28" t="n">
        <v>0.0143</v>
      </c>
      <c r="D825" s="12" t="inlineStr">
        <is>
          <t>PO-2022-3164</t>
        </is>
      </c>
      <c r="E825" s="12" t="n">
        <v>1.73</v>
      </c>
      <c r="F825" s="17" t="n">
        <v>82581.53999999999</v>
      </c>
      <c r="G825" s="14">
        <f>E825*F825</f>
        <v/>
      </c>
      <c r="H825" s="14">
        <f>C825*G825</f>
        <v/>
      </c>
    </row>
    <row r="826">
      <c r="A826" s="12" t="inlineStr">
        <is>
          <t>RET-0067</t>
        </is>
      </c>
      <c r="B826" s="12" t="inlineStr">
        <is>
          <t>VS09</t>
        </is>
      </c>
      <c r="C826" s="28" t="n">
        <v>0.011</v>
      </c>
      <c r="D826" s="12" t="inlineStr">
        <is>
          <t>PO-2023-4440</t>
        </is>
      </c>
      <c r="E826" s="12" t="n">
        <v>1.73</v>
      </c>
      <c r="F826" s="17" t="n">
        <v>95752.41</v>
      </c>
      <c r="G826" s="14">
        <f>E826*F826</f>
        <v/>
      </c>
      <c r="H826" s="14">
        <f>C826*G826</f>
        <v/>
      </c>
    </row>
    <row r="827">
      <c r="A827" s="12" t="inlineStr">
        <is>
          <t>RET-0067</t>
        </is>
      </c>
      <c r="B827" s="12" t="inlineStr">
        <is>
          <t>VS10</t>
        </is>
      </c>
      <c r="C827" s="28" t="n">
        <v>0.0173</v>
      </c>
      <c r="D827" s="12" t="inlineStr">
        <is>
          <t>PO-2023-3964</t>
        </is>
      </c>
      <c r="E827" s="12" t="n">
        <v>1.73</v>
      </c>
      <c r="F827" s="17" t="n">
        <v>77738.89999999999</v>
      </c>
      <c r="G827" s="14">
        <f>E827*F827</f>
        <v/>
      </c>
      <c r="H827" s="14">
        <f>C827*G827</f>
        <v/>
      </c>
    </row>
    <row r="828">
      <c r="A828" s="12" t="inlineStr">
        <is>
          <t>RET-0067</t>
        </is>
      </c>
      <c r="B828" s="12" t="inlineStr">
        <is>
          <t>VS11</t>
        </is>
      </c>
      <c r="C828" s="28" t="n">
        <v>0.0203</v>
      </c>
      <c r="D828" s="12" t="inlineStr">
        <is>
          <t>PO-2023-4311</t>
        </is>
      </c>
      <c r="E828" s="12" t="n">
        <v>1.73</v>
      </c>
      <c r="F828" s="17" t="n">
        <v>110233.88</v>
      </c>
      <c r="G828" s="14">
        <f>E828*F828</f>
        <v/>
      </c>
      <c r="H828" s="14">
        <f>C828*G828</f>
        <v/>
      </c>
    </row>
    <row r="829">
      <c r="A829" s="12" t="inlineStr">
        <is>
          <t>RET-0067</t>
        </is>
      </c>
      <c r="B829" s="12" t="inlineStr">
        <is>
          <t>VS12</t>
        </is>
      </c>
      <c r="C829" s="28" t="n">
        <v>0.2501</v>
      </c>
      <c r="D829" s="12" t="inlineStr">
        <is>
          <t>PO-2023-3507</t>
        </is>
      </c>
      <c r="E829" s="12" t="n">
        <v>1.73</v>
      </c>
      <c r="F829" s="17" t="n">
        <v>88418.41</v>
      </c>
      <c r="G829" s="14">
        <f>E829*F829</f>
        <v/>
      </c>
      <c r="H829" s="14">
        <f>C829*G829</f>
        <v/>
      </c>
    </row>
    <row r="830">
      <c r="A830" s="12" t="inlineStr">
        <is>
          <t>RET-0067</t>
        </is>
      </c>
      <c r="B830" s="12" t="inlineStr">
        <is>
          <t>VS13</t>
        </is>
      </c>
      <c r="C830" s="28" t="n">
        <v>0.014</v>
      </c>
      <c r="D830" s="12" t="inlineStr">
        <is>
          <t>PO-2022-2521</t>
        </is>
      </c>
      <c r="E830" s="12" t="n">
        <v>1.73</v>
      </c>
      <c r="F830" s="17" t="n">
        <v>76319.17999999999</v>
      </c>
      <c r="G830" s="14">
        <f>E830*F830</f>
        <v/>
      </c>
      <c r="H830" s="14">
        <f>C830*G830</f>
        <v/>
      </c>
    </row>
    <row r="831">
      <c r="A831" s="12" t="inlineStr">
        <is>
          <t>RET-0067</t>
        </is>
      </c>
      <c r="B831" s="12" t="inlineStr">
        <is>
          <t>VS14</t>
        </is>
      </c>
      <c r="C831" s="28" t="n">
        <v>0.0141</v>
      </c>
      <c r="D831" s="12" t="inlineStr">
        <is>
          <t>PO-2023-3929</t>
        </is>
      </c>
      <c r="E831" s="12" t="n">
        <v>1.73</v>
      </c>
      <c r="F831" s="17" t="n">
        <v>111388.1</v>
      </c>
      <c r="G831" s="14">
        <f>E831*F831</f>
        <v/>
      </c>
      <c r="H831" s="14">
        <f>C831*G831</f>
        <v/>
      </c>
    </row>
    <row r="832">
      <c r="A832" s="12" t="inlineStr">
        <is>
          <t>RET-0067</t>
        </is>
      </c>
      <c r="B832" s="12" t="inlineStr">
        <is>
          <t>VS15</t>
        </is>
      </c>
      <c r="C832" s="28" t="n">
        <v>0.0047</v>
      </c>
      <c r="D832" s="12" t="inlineStr">
        <is>
          <t>PO-2021-0692</t>
        </is>
      </c>
      <c r="E832" s="12" t="n">
        <v>1.73</v>
      </c>
      <c r="F832" s="17" t="n">
        <v>104596.21</v>
      </c>
      <c r="G832" s="14">
        <f>E832*F832</f>
        <v/>
      </c>
      <c r="H832" s="14">
        <f>C832*G832</f>
        <v/>
      </c>
    </row>
    <row r="833">
      <c r="A833" s="12" t="inlineStr">
        <is>
          <t>RET-0067</t>
        </is>
      </c>
      <c r="B833" s="12" t="inlineStr">
        <is>
          <t>VS16</t>
        </is>
      </c>
      <c r="C833" s="28" t="n">
        <v>0.0203</v>
      </c>
      <c r="D833" s="12" t="inlineStr">
        <is>
          <t>PO-2022-1861</t>
        </is>
      </c>
      <c r="E833" s="12" t="n">
        <v>1.73</v>
      </c>
      <c r="F833" s="17" t="n">
        <v>94942.7</v>
      </c>
      <c r="G833" s="14">
        <f>E833*F833</f>
        <v/>
      </c>
      <c r="H833" s="14">
        <f>C833*G833</f>
        <v/>
      </c>
    </row>
    <row r="834">
      <c r="A834" s="12" t="inlineStr">
        <is>
          <t>RET-0067</t>
        </is>
      </c>
      <c r="B834" s="12" t="inlineStr">
        <is>
          <t>VS17</t>
        </is>
      </c>
      <c r="C834" s="28" t="n">
        <v>0.0203</v>
      </c>
      <c r="D834" s="12" t="inlineStr">
        <is>
          <t>PO-2021-0653</t>
        </is>
      </c>
      <c r="E834" s="12" t="n">
        <v>1.73</v>
      </c>
      <c r="F834" s="17" t="n">
        <v>92266.28999999999</v>
      </c>
      <c r="G834" s="14">
        <f>E834*F834</f>
        <v/>
      </c>
      <c r="H834" s="14">
        <f>C834*G834</f>
        <v/>
      </c>
    </row>
    <row r="835">
      <c r="A835" s="12" t="inlineStr">
        <is>
          <t>RET-0067</t>
        </is>
      </c>
      <c r="B835" s="12" t="inlineStr">
        <is>
          <t>VS18</t>
        </is>
      </c>
      <c r="C835" s="28" t="n">
        <v>0.0141</v>
      </c>
      <c r="D835" s="12" t="inlineStr">
        <is>
          <t>PO-2023-3747</t>
        </is>
      </c>
      <c r="E835" s="12" t="n">
        <v>1.73</v>
      </c>
      <c r="F835" s="17" t="n">
        <v>106962.18</v>
      </c>
      <c r="G835" s="14">
        <f>E835*F835</f>
        <v/>
      </c>
      <c r="H835" s="14">
        <f>C835*G835</f>
        <v/>
      </c>
    </row>
    <row r="836">
      <c r="A836" s="12" t="inlineStr">
        <is>
          <t>RET-0067</t>
        </is>
      </c>
      <c r="B836" s="12" t="inlineStr">
        <is>
          <t>VS19</t>
        </is>
      </c>
      <c r="C836" s="28" t="n">
        <v>0.1887</v>
      </c>
      <c r="D836" s="12" t="inlineStr">
        <is>
          <t>PO-2023-3275</t>
        </is>
      </c>
      <c r="E836" s="12" t="n">
        <v>1.73</v>
      </c>
      <c r="F836" s="17" t="n">
        <v>83664.17999999999</v>
      </c>
      <c r="G836" s="14">
        <f>E836*F836</f>
        <v/>
      </c>
      <c r="H836" s="14">
        <f>C836*G836</f>
        <v/>
      </c>
    </row>
    <row r="837">
      <c r="A837" s="12" t="inlineStr">
        <is>
          <t>RET-0067</t>
        </is>
      </c>
      <c r="B837" s="12" t="inlineStr">
        <is>
          <t>VS20</t>
        </is>
      </c>
      <c r="C837" s="28" t="n">
        <v>0.007900000000000001</v>
      </c>
      <c r="D837" s="12" t="inlineStr">
        <is>
          <t>PO-2021-0451</t>
        </is>
      </c>
      <c r="E837" s="12" t="n">
        <v>1.73</v>
      </c>
      <c r="F837" s="17" t="n">
        <v>108485.11</v>
      </c>
      <c r="G837" s="14">
        <f>E837*F837</f>
        <v/>
      </c>
      <c r="H837" s="14">
        <f>C837*G837</f>
        <v/>
      </c>
    </row>
    <row r="838">
      <c r="A838" s="12" t="inlineStr">
        <is>
          <t>RET-0067</t>
        </is>
      </c>
      <c r="B838" s="12" t="inlineStr">
        <is>
          <t>VS21</t>
        </is>
      </c>
      <c r="C838" s="28" t="n">
        <v>0.007900000000000001</v>
      </c>
      <c r="D838" s="12" t="inlineStr">
        <is>
          <t>PO-2022-2931</t>
        </is>
      </c>
      <c r="E838" s="12" t="n">
        <v>1.73</v>
      </c>
      <c r="F838" s="17" t="n">
        <v>100272.6</v>
      </c>
      <c r="G838" s="14">
        <f>E838*F838</f>
        <v/>
      </c>
      <c r="H838" s="14">
        <f>C838*G838</f>
        <v/>
      </c>
    </row>
    <row r="839">
      <c r="A839" s="12" t="inlineStr">
        <is>
          <t>RET-0067</t>
        </is>
      </c>
      <c r="B839" s="12" t="inlineStr">
        <is>
          <t>VS22</t>
        </is>
      </c>
      <c r="C839" s="28" t="n">
        <v>0.0047</v>
      </c>
      <c r="D839" s="12" t="inlineStr">
        <is>
          <t>PO-2021-1543</t>
        </is>
      </c>
      <c r="E839" s="12" t="n">
        <v>1.73</v>
      </c>
      <c r="F839" s="17" t="n">
        <v>83239.78</v>
      </c>
      <c r="G839" s="14">
        <f>E839*F839</f>
        <v/>
      </c>
      <c r="H839" s="14">
        <f>C839*G839</f>
        <v/>
      </c>
    </row>
    <row r="840">
      <c r="A840" s="12" t="inlineStr">
        <is>
          <t>RET-0067</t>
        </is>
      </c>
      <c r="B840" s="12" t="inlineStr">
        <is>
          <t>VS23</t>
        </is>
      </c>
      <c r="C840" s="28" t="n">
        <v>0.0077</v>
      </c>
      <c r="D840" s="12" t="inlineStr">
        <is>
          <t>PO-2023-3376</t>
        </is>
      </c>
      <c r="E840" s="12" t="n">
        <v>1.73</v>
      </c>
      <c r="F840" s="17" t="n">
        <v>84993.08</v>
      </c>
      <c r="G840" s="14">
        <f>E840*F840</f>
        <v/>
      </c>
      <c r="H840" s="14">
        <f>C840*G840</f>
        <v/>
      </c>
    </row>
    <row r="841">
      <c r="A841" s="12" t="inlineStr">
        <is>
          <t>RET-0067</t>
        </is>
      </c>
      <c r="B841" s="12" t="inlineStr">
        <is>
          <t>VS24</t>
        </is>
      </c>
      <c r="C841" s="28" t="n">
        <v>0.0078</v>
      </c>
      <c r="D841" s="12" t="inlineStr">
        <is>
          <t>PO-2021-0032</t>
        </is>
      </c>
      <c r="E841" s="12" t="n">
        <v>1.73</v>
      </c>
      <c r="F841" s="17" t="n">
        <v>94817.83</v>
      </c>
      <c r="G841" s="14">
        <f>E841*F841</f>
        <v/>
      </c>
      <c r="H841" s="14">
        <f>C841*G841</f>
        <v/>
      </c>
    </row>
    <row r="842">
      <c r="A842" s="12" t="inlineStr">
        <is>
          <t>RET-0067</t>
        </is>
      </c>
      <c r="B842" s="12" t="inlineStr">
        <is>
          <t>VS25</t>
        </is>
      </c>
      <c r="C842" s="28" t="n">
        <v>0.0142</v>
      </c>
      <c r="D842" s="12" t="inlineStr">
        <is>
          <t>PO-2022-1760</t>
        </is>
      </c>
      <c r="E842" s="12" t="n">
        <v>1.73</v>
      </c>
      <c r="F842" s="17" t="n">
        <v>84492.85000000001</v>
      </c>
      <c r="G842" s="14">
        <f>E842*F842</f>
        <v/>
      </c>
      <c r="H842" s="14">
        <f>C842*G842</f>
        <v/>
      </c>
    </row>
    <row r="843">
      <c r="A843" s="12" t="inlineStr">
        <is>
          <t>RET-0067</t>
        </is>
      </c>
      <c r="B843" s="12" t="inlineStr">
        <is>
          <t>VS26</t>
        </is>
      </c>
      <c r="C843" s="28" t="n">
        <v>0.007900000000000001</v>
      </c>
      <c r="D843" s="12" t="inlineStr">
        <is>
          <t>PO-2022-2760</t>
        </is>
      </c>
      <c r="E843" s="12" t="n">
        <v>1.73</v>
      </c>
      <c r="F843" s="17" t="n">
        <v>89723.39999999999</v>
      </c>
      <c r="G843" s="14">
        <f>E843*F843</f>
        <v/>
      </c>
      <c r="H843" s="14">
        <f>C843*G843</f>
        <v/>
      </c>
    </row>
    <row r="844">
      <c r="A844" s="12" t="inlineStr">
        <is>
          <t>RET-0067</t>
        </is>
      </c>
      <c r="B844" s="12" t="inlineStr">
        <is>
          <t>VS27</t>
        </is>
      </c>
      <c r="C844" s="28" t="n">
        <v>0.0077</v>
      </c>
      <c r="D844" s="12" t="inlineStr">
        <is>
          <t>PO-2023-4350</t>
        </is>
      </c>
      <c r="E844" s="12" t="n">
        <v>1.73</v>
      </c>
      <c r="F844" s="17" t="n">
        <v>103401.01</v>
      </c>
      <c r="G844" s="14">
        <f>E844*F844</f>
        <v/>
      </c>
      <c r="H844" s="14">
        <f>C844*G844</f>
        <v/>
      </c>
    </row>
    <row r="845">
      <c r="A845" s="12" t="inlineStr">
        <is>
          <t>RET-0067</t>
        </is>
      </c>
      <c r="B845" s="12" t="inlineStr">
        <is>
          <t>VS28</t>
        </is>
      </c>
      <c r="C845" s="28" t="n">
        <v>0.0173</v>
      </c>
      <c r="D845" s="12" t="inlineStr">
        <is>
          <t>PO-2022-3049</t>
        </is>
      </c>
      <c r="E845" s="12" t="n">
        <v>1.73</v>
      </c>
      <c r="F845" s="17" t="n">
        <v>67065.08</v>
      </c>
      <c r="G845" s="14">
        <f>E845*F845</f>
        <v/>
      </c>
      <c r="H845" s="14">
        <f>C845*G845</f>
        <v/>
      </c>
    </row>
    <row r="846">
      <c r="A846" s="12" t="inlineStr">
        <is>
          <t>RET-0067</t>
        </is>
      </c>
      <c r="B846" s="12" t="inlineStr">
        <is>
          <t>VS29</t>
        </is>
      </c>
      <c r="C846" s="28" t="n">
        <v>0.011</v>
      </c>
      <c r="D846" s="12" t="inlineStr">
        <is>
          <t>PO-2022-2653</t>
        </is>
      </c>
      <c r="E846" s="12" t="n">
        <v>1.73</v>
      </c>
      <c r="F846" s="17" t="n">
        <v>107751.75</v>
      </c>
      <c r="G846" s="14">
        <f>E846*F846</f>
        <v/>
      </c>
      <c r="H846" s="14">
        <f>C846*G846</f>
        <v/>
      </c>
    </row>
    <row r="847">
      <c r="A847" s="12" t="inlineStr">
        <is>
          <t>RET-0067</t>
        </is>
      </c>
      <c r="B847" s="12" t="inlineStr">
        <is>
          <t>VS30</t>
        </is>
      </c>
      <c r="C847" s="28" t="n">
        <v>0.0047</v>
      </c>
      <c r="D847" s="12" t="inlineStr">
        <is>
          <t>PO-2023-4481</t>
        </is>
      </c>
      <c r="E847" s="12" t="n">
        <v>1.73</v>
      </c>
      <c r="F847" s="17" t="n">
        <v>62724.55</v>
      </c>
      <c r="G847" s="14">
        <f>E847*F847</f>
        <v/>
      </c>
      <c r="H847" s="14">
        <f>C847*G847</f>
        <v/>
      </c>
    </row>
    <row r="848">
      <c r="A848" s="12" t="inlineStr">
        <is>
          <t>RET-0067</t>
        </is>
      </c>
      <c r="B848" s="12" t="inlineStr">
        <is>
          <t>VS31</t>
        </is>
      </c>
      <c r="C848" s="28" t="n">
        <v>0.0172</v>
      </c>
      <c r="D848" s="12" t="inlineStr">
        <is>
          <t>PO-2023-4151</t>
        </is>
      </c>
      <c r="E848" s="12" t="n">
        <v>1.73</v>
      </c>
      <c r="F848" s="17" t="n">
        <v>94259.36</v>
      </c>
      <c r="G848" s="14">
        <f>E848*F848</f>
        <v/>
      </c>
      <c r="H848" s="14">
        <f>C848*G848</f>
        <v/>
      </c>
    </row>
    <row r="849">
      <c r="A849" s="12" t="inlineStr">
        <is>
          <t>RET-0067</t>
        </is>
      </c>
      <c r="B849" s="12" t="inlineStr">
        <is>
          <t>VS32</t>
        </is>
      </c>
      <c r="C849" s="28" t="n">
        <v>0.0205</v>
      </c>
      <c r="D849" s="12" t="inlineStr">
        <is>
          <t>PO-2021-1378</t>
        </is>
      </c>
      <c r="E849" s="12" t="n">
        <v>1.73</v>
      </c>
      <c r="F849" s="17" t="n">
        <v>86461.78999999999</v>
      </c>
      <c r="G849" s="14">
        <f>E849*F849</f>
        <v/>
      </c>
      <c r="H849" s="14">
        <f>C849*G849</f>
        <v/>
      </c>
    </row>
    <row r="850">
      <c r="A850" s="12" t="inlineStr">
        <is>
          <t>RET-0067</t>
        </is>
      </c>
      <c r="B850" s="12" t="inlineStr">
        <is>
          <t>VS33</t>
        </is>
      </c>
      <c r="C850" s="28" t="n">
        <v>0.0109</v>
      </c>
      <c r="D850" s="12" t="inlineStr">
        <is>
          <t>PO-2023-4104</t>
        </is>
      </c>
      <c r="E850" s="12" t="n">
        <v>1.73</v>
      </c>
      <c r="F850" s="17" t="n">
        <v>118260.51</v>
      </c>
      <c r="G850" s="14">
        <f>E850*F850</f>
        <v/>
      </c>
      <c r="H850" s="14">
        <f>C850*G850</f>
        <v/>
      </c>
    </row>
    <row r="851">
      <c r="A851" s="12" t="inlineStr">
        <is>
          <t>RET-0067</t>
        </is>
      </c>
      <c r="B851" s="12" t="inlineStr">
        <is>
          <t>VS34</t>
        </is>
      </c>
      <c r="C851" s="28" t="n">
        <v>0.0141</v>
      </c>
      <c r="D851" s="12" t="inlineStr">
        <is>
          <t>PO-2023-3989</t>
        </is>
      </c>
      <c r="E851" s="12" t="n">
        <v>1.73</v>
      </c>
      <c r="F851" s="17" t="n">
        <v>119858.37</v>
      </c>
      <c r="G851" s="14">
        <f>E851*F851</f>
        <v/>
      </c>
      <c r="H851" s="14">
        <f>C851*G851</f>
        <v/>
      </c>
    </row>
    <row r="852">
      <c r="A852" s="12" t="inlineStr">
        <is>
          <t>RET-0068</t>
        </is>
      </c>
      <c r="B852" s="12" t="inlineStr">
        <is>
          <t>VS01</t>
        </is>
      </c>
      <c r="C852" s="28" t="n">
        <v>0.0231</v>
      </c>
      <c r="D852" s="12" t="inlineStr">
        <is>
          <t>PO-2021-1443</t>
        </is>
      </c>
      <c r="E852" s="12" t="n">
        <v>3.08</v>
      </c>
      <c r="F852" s="17" t="n">
        <v>75135.63</v>
      </c>
      <c r="G852" s="14">
        <f>E852*F852</f>
        <v/>
      </c>
      <c r="H852" s="14">
        <f>C852*G852</f>
        <v/>
      </c>
    </row>
    <row r="853">
      <c r="A853" s="12" t="inlineStr">
        <is>
          <t>RET-0068</t>
        </is>
      </c>
      <c r="B853" s="12" t="inlineStr">
        <is>
          <t>VS02</t>
        </is>
      </c>
      <c r="C853" s="28" t="n">
        <v>0.0105</v>
      </c>
      <c r="D853" s="12" t="inlineStr">
        <is>
          <t>PO-2022-2054</t>
        </is>
      </c>
      <c r="E853" s="12" t="n">
        <v>3.08</v>
      </c>
      <c r="F853" s="17" t="n">
        <v>99452.38</v>
      </c>
      <c r="G853" s="14">
        <f>E853*F853</f>
        <v/>
      </c>
      <c r="H853" s="14">
        <f>C853*G853</f>
        <v/>
      </c>
    </row>
    <row r="854">
      <c r="A854" s="12" t="inlineStr">
        <is>
          <t>RET-0068</t>
        </is>
      </c>
      <c r="B854" s="12" t="inlineStr">
        <is>
          <t>VS03</t>
        </is>
      </c>
      <c r="C854" s="28" t="n">
        <v>0.1431</v>
      </c>
      <c r="D854" s="12" t="inlineStr">
        <is>
          <t>PO-2021-0485</t>
        </is>
      </c>
      <c r="E854" s="12" t="n">
        <v>3.08</v>
      </c>
      <c r="F854" s="17" t="n">
        <v>118882.27</v>
      </c>
      <c r="G854" s="14">
        <f>E854*F854</f>
        <v/>
      </c>
      <c r="H854" s="14">
        <f>C854*G854</f>
        <v/>
      </c>
    </row>
    <row r="855">
      <c r="A855" s="12" t="inlineStr">
        <is>
          <t>RET-0068</t>
        </is>
      </c>
      <c r="B855" s="12" t="inlineStr">
        <is>
          <t>VS04</t>
        </is>
      </c>
      <c r="C855" s="28" t="n">
        <v>0.0145</v>
      </c>
      <c r="D855" s="12" t="inlineStr">
        <is>
          <t>PO-2021-1313</t>
        </is>
      </c>
      <c r="E855" s="12" t="n">
        <v>3.08</v>
      </c>
      <c r="F855" s="17" t="n">
        <v>90805.39999999999</v>
      </c>
      <c r="G855" s="14">
        <f>E855*F855</f>
        <v/>
      </c>
      <c r="H855" s="14">
        <f>C855*G855</f>
        <v/>
      </c>
    </row>
    <row r="856">
      <c r="A856" s="12" t="inlineStr">
        <is>
          <t>RET-0068</t>
        </is>
      </c>
      <c r="B856" s="12" t="inlineStr">
        <is>
          <t>VS05</t>
        </is>
      </c>
      <c r="C856" s="28" t="n">
        <v>0.0188</v>
      </c>
      <c r="D856" s="12" t="inlineStr">
        <is>
          <t>PO-2023-4489</t>
        </is>
      </c>
      <c r="E856" s="12" t="n">
        <v>3.08</v>
      </c>
      <c r="F856" s="17" t="n">
        <v>52257.17</v>
      </c>
      <c r="G856" s="14">
        <f>E856*F856</f>
        <v/>
      </c>
      <c r="H856" s="14">
        <f>C856*G856</f>
        <v/>
      </c>
    </row>
    <row r="857">
      <c r="A857" s="12" t="inlineStr">
        <is>
          <t>RET-0068</t>
        </is>
      </c>
      <c r="B857" s="12" t="inlineStr">
        <is>
          <t>VS06</t>
        </is>
      </c>
      <c r="C857" s="28" t="n">
        <v>0.019</v>
      </c>
      <c r="D857" s="12" t="inlineStr">
        <is>
          <t>PO-2023-3305</t>
        </is>
      </c>
      <c r="E857" s="12" t="n">
        <v>3.08</v>
      </c>
      <c r="F857" s="17" t="n">
        <v>116820.89</v>
      </c>
      <c r="G857" s="14">
        <f>E857*F857</f>
        <v/>
      </c>
      <c r="H857" s="14">
        <f>C857*G857</f>
        <v/>
      </c>
    </row>
    <row r="858">
      <c r="A858" s="12" t="inlineStr">
        <is>
          <t>RET-0068</t>
        </is>
      </c>
      <c r="B858" s="12" t="inlineStr">
        <is>
          <t>VS07</t>
        </is>
      </c>
      <c r="C858" s="28" t="n">
        <v>0.0063</v>
      </c>
      <c r="D858" s="12" t="inlineStr">
        <is>
          <t>PO-2023-3607</t>
        </is>
      </c>
      <c r="E858" s="12" t="n">
        <v>3.08</v>
      </c>
      <c r="F858" s="17" t="n">
        <v>86608.19</v>
      </c>
      <c r="G858" s="14">
        <f>E858*F858</f>
        <v/>
      </c>
      <c r="H858" s="14">
        <f>C858*G858</f>
        <v/>
      </c>
    </row>
    <row r="859">
      <c r="A859" s="12" t="inlineStr">
        <is>
          <t>RET-0068</t>
        </is>
      </c>
      <c r="B859" s="12" t="inlineStr">
        <is>
          <t>VS08</t>
        </is>
      </c>
      <c r="C859" s="28" t="n">
        <v>0.0191</v>
      </c>
      <c r="D859" s="12" t="inlineStr">
        <is>
          <t>PO-2022-1883</t>
        </is>
      </c>
      <c r="E859" s="12" t="n">
        <v>3.08</v>
      </c>
      <c r="F859" s="17" t="n">
        <v>81994.17</v>
      </c>
      <c r="G859" s="14">
        <f>E859*F859</f>
        <v/>
      </c>
      <c r="H859" s="14">
        <f>C859*G859</f>
        <v/>
      </c>
    </row>
    <row r="860">
      <c r="A860" s="12" t="inlineStr">
        <is>
          <t>RET-0068</t>
        </is>
      </c>
      <c r="B860" s="12" t="inlineStr">
        <is>
          <t>VS09</t>
        </is>
      </c>
      <c r="C860" s="28" t="n">
        <v>0.0147</v>
      </c>
      <c r="D860" s="12" t="inlineStr">
        <is>
          <t>PO-2023-3582</t>
        </is>
      </c>
      <c r="E860" s="12" t="n">
        <v>3.08</v>
      </c>
      <c r="F860" s="17" t="n">
        <v>58745.47</v>
      </c>
      <c r="G860" s="14">
        <f>E860*F860</f>
        <v/>
      </c>
      <c r="H860" s="14">
        <f>C860*G860</f>
        <v/>
      </c>
    </row>
    <row r="861">
      <c r="A861" s="12" t="inlineStr">
        <is>
          <t>RET-0068</t>
        </is>
      </c>
      <c r="B861" s="12" t="inlineStr">
        <is>
          <t>VS10</t>
        </is>
      </c>
      <c r="C861" s="28" t="n">
        <v>0.0231</v>
      </c>
      <c r="D861" s="12" t="inlineStr">
        <is>
          <t>PO-2022-1720</t>
        </is>
      </c>
      <c r="E861" s="12" t="n">
        <v>3.08</v>
      </c>
      <c r="F861" s="17" t="n">
        <v>100876.95</v>
      </c>
      <c r="G861" s="14">
        <f>E861*F861</f>
        <v/>
      </c>
      <c r="H861" s="14">
        <f>C861*G861</f>
        <v/>
      </c>
    </row>
    <row r="862">
      <c r="A862" s="12" t="inlineStr">
        <is>
          <t>RET-0068</t>
        </is>
      </c>
      <c r="B862" s="12" t="inlineStr">
        <is>
          <t>VS11</t>
        </is>
      </c>
      <c r="C862" s="28" t="n">
        <v>0.027</v>
      </c>
      <c r="D862" s="12" t="inlineStr">
        <is>
          <t>PO-2021-1559</t>
        </is>
      </c>
      <c r="E862" s="12" t="n">
        <v>3.08</v>
      </c>
      <c r="F862" s="17" t="n">
        <v>73811.28</v>
      </c>
      <c r="G862" s="14">
        <f>E862*F862</f>
        <v/>
      </c>
      <c r="H862" s="14">
        <f>C862*G862</f>
        <v/>
      </c>
    </row>
    <row r="863">
      <c r="A863" s="12" t="inlineStr">
        <is>
          <t>RET-0068</t>
        </is>
      </c>
      <c r="B863" s="12" t="inlineStr">
        <is>
          <t>VS12</t>
        </is>
      </c>
      <c r="C863" s="28" t="n">
        <v>0.199</v>
      </c>
      <c r="D863" s="12" t="inlineStr">
        <is>
          <t>PO-2023-3259</t>
        </is>
      </c>
      <c r="E863" s="12" t="n">
        <v>3.08</v>
      </c>
      <c r="F863" s="17" t="n">
        <v>55372.98</v>
      </c>
      <c r="G863" s="14">
        <f>E863*F863</f>
        <v/>
      </c>
      <c r="H863" s="14">
        <f>C863*G863</f>
        <v/>
      </c>
    </row>
    <row r="864">
      <c r="A864" s="12" t="inlineStr">
        <is>
          <t>RET-0068</t>
        </is>
      </c>
      <c r="B864" s="12" t="inlineStr">
        <is>
          <t>VS13</t>
        </is>
      </c>
      <c r="C864" s="28" t="n">
        <v>0.0186</v>
      </c>
      <c r="D864" s="12" t="inlineStr">
        <is>
          <t>PO-2023-4543</t>
        </is>
      </c>
      <c r="E864" s="12" t="n">
        <v>2.845</v>
      </c>
      <c r="F864" s="17" t="n">
        <v>68328.46000000001</v>
      </c>
      <c r="G864" s="14">
        <f>E864*F864</f>
        <v/>
      </c>
      <c r="H864" s="14">
        <f>C864*G864</f>
        <v/>
      </c>
    </row>
    <row r="865">
      <c r="A865" s="12" t="inlineStr">
        <is>
          <t>RET-0068</t>
        </is>
      </c>
      <c r="B865" s="12" t="inlineStr">
        <is>
          <t>VS14</t>
        </is>
      </c>
      <c r="C865" s="28" t="n">
        <v>0.0188</v>
      </c>
      <c r="D865" s="12" t="inlineStr">
        <is>
          <t>PO-2023-4776</t>
        </is>
      </c>
      <c r="E865" s="12" t="n">
        <v>3.08</v>
      </c>
      <c r="F865" s="17" t="n">
        <v>99170.78</v>
      </c>
      <c r="G865" s="14">
        <f>E865*F865</f>
        <v/>
      </c>
      <c r="H865" s="14">
        <f>C865*G865</f>
        <v/>
      </c>
    </row>
    <row r="866">
      <c r="A866" s="12" t="inlineStr">
        <is>
          <t>RET-0068</t>
        </is>
      </c>
      <c r="B866" s="12" t="inlineStr">
        <is>
          <t>VS15</t>
        </is>
      </c>
      <c r="C866" s="28" t="n">
        <v>0.0063</v>
      </c>
      <c r="D866" s="12" t="inlineStr">
        <is>
          <t>PO-2022-2567</t>
        </is>
      </c>
      <c r="E866" s="12" t="n">
        <v>3.08</v>
      </c>
      <c r="F866" s="17" t="n">
        <v>45168.78</v>
      </c>
      <c r="G866" s="14">
        <f>E866*F866</f>
        <v/>
      </c>
      <c r="H866" s="14">
        <f>C866*G866</f>
        <v/>
      </c>
    </row>
    <row r="867">
      <c r="A867" s="12" t="inlineStr">
        <is>
          <t>RET-0068</t>
        </is>
      </c>
      <c r="B867" s="12" t="inlineStr">
        <is>
          <t>VS16</t>
        </is>
      </c>
      <c r="C867" s="28" t="n">
        <v>0.0271</v>
      </c>
      <c r="D867" s="12" t="inlineStr">
        <is>
          <t>PO-2021-0110</t>
        </is>
      </c>
      <c r="E867" s="12" t="n">
        <v>3.08</v>
      </c>
      <c r="F867" s="17" t="n">
        <v>73768.95</v>
      </c>
      <c r="G867" s="14">
        <f>E867*F867</f>
        <v/>
      </c>
      <c r="H867" s="14">
        <f>C867*G867</f>
        <v/>
      </c>
    </row>
    <row r="868">
      <c r="A868" s="12" t="inlineStr">
        <is>
          <t>RET-0068</t>
        </is>
      </c>
      <c r="B868" s="12" t="inlineStr">
        <is>
          <t>VS17</t>
        </is>
      </c>
      <c r="C868" s="28" t="n">
        <v>0.027</v>
      </c>
      <c r="D868" s="12" t="inlineStr">
        <is>
          <t>PO-2023-3425</t>
        </is>
      </c>
      <c r="E868" s="12" t="n">
        <v>3.08</v>
      </c>
      <c r="F868" s="17" t="n">
        <v>65193.38</v>
      </c>
      <c r="G868" s="14">
        <f>E868*F868</f>
        <v/>
      </c>
      <c r="H868" s="14">
        <f>C868*G868</f>
        <v/>
      </c>
    </row>
    <row r="869">
      <c r="A869" s="12" t="inlineStr">
        <is>
          <t>RET-0068</t>
        </is>
      </c>
      <c r="B869" s="12" t="inlineStr">
        <is>
          <t>VS18</t>
        </is>
      </c>
      <c r="C869" s="28" t="n">
        <v>0.0188</v>
      </c>
      <c r="D869" s="12" t="inlineStr">
        <is>
          <t>PO-2022-2357</t>
        </is>
      </c>
      <c r="E869" s="12" t="n">
        <v>3.08</v>
      </c>
      <c r="F869" s="17" t="n">
        <v>97972.25</v>
      </c>
      <c r="G869" s="14">
        <f>E869*F869</f>
        <v/>
      </c>
      <c r="H869" s="14">
        <f>C869*G869</f>
        <v/>
      </c>
    </row>
    <row r="870">
      <c r="A870" s="12" t="inlineStr">
        <is>
          <t>RET-0068</t>
        </is>
      </c>
      <c r="B870" s="12" t="inlineStr">
        <is>
          <t>VS19</t>
        </is>
      </c>
      <c r="C870" s="28" t="n">
        <v>0.1501</v>
      </c>
      <c r="D870" s="12" t="inlineStr">
        <is>
          <t>PO-2022-2028</t>
        </is>
      </c>
      <c r="E870" s="12" t="n">
        <v>3.08</v>
      </c>
      <c r="F870" s="17" t="n">
        <v>96312.27</v>
      </c>
      <c r="G870" s="14">
        <f>E870*F870</f>
        <v/>
      </c>
      <c r="H870" s="14">
        <f>C870*G870</f>
        <v/>
      </c>
    </row>
    <row r="871">
      <c r="A871" s="12" t="inlineStr">
        <is>
          <t>RET-0068</t>
        </is>
      </c>
      <c r="B871" s="12" t="inlineStr">
        <is>
          <t>VS20</t>
        </is>
      </c>
      <c r="C871" s="28" t="n">
        <v>0.0105</v>
      </c>
      <c r="D871" s="12" t="inlineStr">
        <is>
          <t>PO-2021-1472</t>
        </is>
      </c>
      <c r="E871" s="12" t="n">
        <v>3.08</v>
      </c>
      <c r="F871" s="17" t="n">
        <v>88286.81</v>
      </c>
      <c r="G871" s="14">
        <f>E871*F871</f>
        <v/>
      </c>
      <c r="H871" s="14">
        <f>C871*G871</f>
        <v/>
      </c>
    </row>
    <row r="872">
      <c r="A872" s="12" t="inlineStr">
        <is>
          <t>RET-0068</t>
        </is>
      </c>
      <c r="B872" s="12" t="inlineStr">
        <is>
          <t>VS21</t>
        </is>
      </c>
      <c r="C872" s="28" t="n">
        <v>0.0105</v>
      </c>
      <c r="D872" s="12" t="inlineStr">
        <is>
          <t>PO-2022-3142</t>
        </is>
      </c>
      <c r="E872" s="12" t="n">
        <v>3.08</v>
      </c>
      <c r="F872" s="17" t="n">
        <v>80283.39</v>
      </c>
      <c r="G872" s="14">
        <f>E872*F872</f>
        <v/>
      </c>
      <c r="H872" s="14">
        <f>C872*G872</f>
        <v/>
      </c>
    </row>
    <row r="873">
      <c r="A873" s="12" t="inlineStr">
        <is>
          <t>RET-0068</t>
        </is>
      </c>
      <c r="B873" s="12" t="inlineStr">
        <is>
          <t>VS22</t>
        </is>
      </c>
      <c r="C873" s="28" t="n">
        <v>0.0062</v>
      </c>
      <c r="D873" s="12" t="inlineStr">
        <is>
          <t>PO-2021-0898</t>
        </is>
      </c>
      <c r="E873" s="12" t="n">
        <v>3.08</v>
      </c>
      <c r="F873" s="17" t="n">
        <v>52732.71</v>
      </c>
      <c r="G873" s="14">
        <f>E873*F873</f>
        <v/>
      </c>
      <c r="H873" s="14">
        <f>C873*G873</f>
        <v/>
      </c>
    </row>
    <row r="874">
      <c r="A874" s="12" t="inlineStr">
        <is>
          <t>RET-0068</t>
        </is>
      </c>
      <c r="B874" s="12" t="inlineStr">
        <is>
          <t>VS23</t>
        </is>
      </c>
      <c r="C874" s="28" t="n">
        <v>0.0103</v>
      </c>
      <c r="D874" s="12" t="inlineStr">
        <is>
          <t>PO-2021-0644</t>
        </is>
      </c>
      <c r="E874" s="12" t="n">
        <v>3.08</v>
      </c>
      <c r="F874" s="17" t="n">
        <v>93169.83</v>
      </c>
      <c r="G874" s="14">
        <f>E874*F874</f>
        <v/>
      </c>
      <c r="H874" s="14">
        <f>C874*G874</f>
        <v/>
      </c>
    </row>
    <row r="875">
      <c r="A875" s="12" t="inlineStr">
        <is>
          <t>RET-0068</t>
        </is>
      </c>
      <c r="B875" s="12" t="inlineStr">
        <is>
          <t>VS24</t>
        </is>
      </c>
      <c r="C875" s="28" t="n">
        <v>0.0104</v>
      </c>
      <c r="D875" s="12" t="inlineStr">
        <is>
          <t>PO-2022-2909</t>
        </is>
      </c>
      <c r="E875" s="12" t="n">
        <v>3.08</v>
      </c>
      <c r="F875" s="17" t="n">
        <v>89456.05</v>
      </c>
      <c r="G875" s="14">
        <f>E875*F875</f>
        <v/>
      </c>
      <c r="H875" s="14">
        <f>C875*G875</f>
        <v/>
      </c>
    </row>
    <row r="876">
      <c r="A876" s="12" t="inlineStr">
        <is>
          <t>RET-0068</t>
        </is>
      </c>
      <c r="B876" s="12" t="inlineStr">
        <is>
          <t>VS25</t>
        </is>
      </c>
      <c r="C876" s="28" t="n">
        <v>0.0189</v>
      </c>
      <c r="D876" s="12" t="inlineStr">
        <is>
          <t>PO-2022-3043</t>
        </is>
      </c>
      <c r="E876" s="12" t="n">
        <v>3.08</v>
      </c>
      <c r="F876" s="17" t="n">
        <v>69855.56</v>
      </c>
      <c r="G876" s="14">
        <f>E876*F876</f>
        <v/>
      </c>
      <c r="H876" s="14">
        <f>C876*G876</f>
        <v/>
      </c>
    </row>
    <row r="877">
      <c r="A877" s="12" t="inlineStr">
        <is>
          <t>RET-0068</t>
        </is>
      </c>
      <c r="B877" s="12" t="inlineStr">
        <is>
          <t>VS26</t>
        </is>
      </c>
      <c r="C877" s="28" t="n">
        <v>0.0105</v>
      </c>
      <c r="D877" s="12" t="inlineStr">
        <is>
          <t>PO-2023-3789</t>
        </is>
      </c>
      <c r="E877" s="12" t="n">
        <v>2.414</v>
      </c>
      <c r="F877" s="17" t="n">
        <v>74306.56</v>
      </c>
      <c r="G877" s="14">
        <f>E877*F877</f>
        <v/>
      </c>
      <c r="H877" s="14">
        <f>C877*G877</f>
        <v/>
      </c>
    </row>
    <row r="878">
      <c r="A878" s="12" t="inlineStr">
        <is>
          <t>RET-0068</t>
        </is>
      </c>
      <c r="B878" s="12" t="inlineStr">
        <is>
          <t>VS27</t>
        </is>
      </c>
      <c r="C878" s="28" t="n">
        <v>0.0103</v>
      </c>
      <c r="D878" s="12" t="inlineStr">
        <is>
          <t>PO-2023-4761</t>
        </is>
      </c>
      <c r="E878" s="12" t="n">
        <v>3.08</v>
      </c>
      <c r="F878" s="17" t="n">
        <v>111332.92</v>
      </c>
      <c r="G878" s="14">
        <f>E878*F878</f>
        <v/>
      </c>
      <c r="H878" s="14">
        <f>C878*G878</f>
        <v/>
      </c>
    </row>
    <row r="879">
      <c r="A879" s="12" t="inlineStr">
        <is>
          <t>RET-0068</t>
        </is>
      </c>
      <c r="B879" s="12" t="inlineStr">
        <is>
          <t>VS28</t>
        </is>
      </c>
      <c r="C879" s="28" t="n">
        <v>0.0231</v>
      </c>
      <c r="D879" s="12" t="inlineStr">
        <is>
          <t>PO-2023-3299</t>
        </is>
      </c>
      <c r="E879" s="12" t="n">
        <v>3.08</v>
      </c>
      <c r="F879" s="17" t="n">
        <v>106183.88</v>
      </c>
      <c r="G879" s="14">
        <f>E879*F879</f>
        <v/>
      </c>
      <c r="H879" s="14">
        <f>C879*G879</f>
        <v/>
      </c>
    </row>
    <row r="880">
      <c r="A880" s="12" t="inlineStr">
        <is>
          <t>RET-0068</t>
        </is>
      </c>
      <c r="B880" s="12" t="inlineStr">
        <is>
          <t>VS29</t>
        </is>
      </c>
      <c r="C880" s="28" t="n">
        <v>0.0146</v>
      </c>
      <c r="D880" s="12" t="inlineStr">
        <is>
          <t>PO-2022-3010</t>
        </is>
      </c>
      <c r="E880" s="12" t="n">
        <v>3.08</v>
      </c>
      <c r="F880" s="17" t="n">
        <v>74860.8</v>
      </c>
      <c r="G880" s="14">
        <f>E880*F880</f>
        <v/>
      </c>
      <c r="H880" s="14">
        <f>C880*G880</f>
        <v/>
      </c>
    </row>
    <row r="881">
      <c r="A881" s="12" t="inlineStr">
        <is>
          <t>RET-0068</t>
        </is>
      </c>
      <c r="B881" s="12" t="inlineStr">
        <is>
          <t>VS30</t>
        </is>
      </c>
      <c r="C881" s="28" t="n">
        <v>0.0063</v>
      </c>
      <c r="D881" s="12" t="inlineStr">
        <is>
          <t>PO-2021-1018</t>
        </is>
      </c>
      <c r="E881" s="12" t="n">
        <v>3.08</v>
      </c>
      <c r="F881" s="17" t="n">
        <v>110564.93</v>
      </c>
      <c r="G881" s="14">
        <f>E881*F881</f>
        <v/>
      </c>
      <c r="H881" s="14">
        <f>C881*G881</f>
        <v/>
      </c>
    </row>
    <row r="882">
      <c r="A882" s="12" t="inlineStr">
        <is>
          <t>RET-0068</t>
        </is>
      </c>
      <c r="B882" s="12" t="inlineStr">
        <is>
          <t>VS31</t>
        </is>
      </c>
      <c r="C882" s="28" t="n">
        <v>0.0229</v>
      </c>
      <c r="D882" s="12" t="inlineStr">
        <is>
          <t>PO-2023-4326</t>
        </is>
      </c>
      <c r="E882" s="12" t="n">
        <v>3.08</v>
      </c>
      <c r="F882" s="17" t="n">
        <v>116259.48</v>
      </c>
      <c r="G882" s="14">
        <f>E882*F882</f>
        <v/>
      </c>
      <c r="H882" s="14">
        <f>C882*G882</f>
        <v/>
      </c>
    </row>
    <row r="883">
      <c r="A883" s="12" t="inlineStr">
        <is>
          <t>RET-0068</t>
        </is>
      </c>
      <c r="B883" s="12" t="inlineStr">
        <is>
          <t>VS32</t>
        </is>
      </c>
      <c r="C883" s="28" t="n">
        <v>0.0273</v>
      </c>
      <c r="D883" s="12" t="inlineStr">
        <is>
          <t>PO-2022-1653</t>
        </is>
      </c>
      <c r="E883" s="12" t="n">
        <v>3.08</v>
      </c>
      <c r="F883" s="17" t="n">
        <v>71379.67</v>
      </c>
      <c r="G883" s="14">
        <f>E883*F883</f>
        <v/>
      </c>
      <c r="H883" s="14">
        <f>C883*G883</f>
        <v/>
      </c>
    </row>
    <row r="884">
      <c r="A884" s="12" t="inlineStr">
        <is>
          <t>RET-0068</t>
        </is>
      </c>
      <c r="B884" s="12" t="inlineStr">
        <is>
          <t>VS33</t>
        </is>
      </c>
      <c r="C884" s="28" t="n">
        <v>0.0146</v>
      </c>
      <c r="D884" s="12" t="inlineStr">
        <is>
          <t>PO-2022-2422</t>
        </is>
      </c>
      <c r="E884" s="12" t="n">
        <v>3.08</v>
      </c>
      <c r="F884" s="17" t="n">
        <v>58592.5</v>
      </c>
      <c r="G884" s="14">
        <f>E884*F884</f>
        <v/>
      </c>
      <c r="H884" s="14">
        <f>C884*G884</f>
        <v/>
      </c>
    </row>
    <row r="885">
      <c r="A885" s="12" t="inlineStr">
        <is>
          <t>RET-0068</t>
        </is>
      </c>
      <c r="B885" s="12" t="inlineStr">
        <is>
          <t>VS34</t>
        </is>
      </c>
      <c r="C885" s="28" t="n">
        <v>0.0188</v>
      </c>
      <c r="D885" s="12" t="inlineStr">
        <is>
          <t>PO-2023-3315</t>
        </is>
      </c>
      <c r="E885" s="12" t="n">
        <v>3.08</v>
      </c>
      <c r="F885" s="17" t="n">
        <v>48147.27</v>
      </c>
      <c r="G885" s="14">
        <f>E885*F885</f>
        <v/>
      </c>
      <c r="H885" s="14">
        <f>C885*G885</f>
        <v/>
      </c>
    </row>
    <row r="886">
      <c r="A886" s="12" t="inlineStr">
        <is>
          <t>RET-0070</t>
        </is>
      </c>
      <c r="B886" s="12" t="inlineStr">
        <is>
          <t>VS01</t>
        </is>
      </c>
      <c r="C886" s="28" t="n">
        <v>0.0233</v>
      </c>
      <c r="D886" s="12" t="inlineStr">
        <is>
          <t>PO-2022-1891</t>
        </is>
      </c>
      <c r="E886" s="12" t="n">
        <v>3.06</v>
      </c>
      <c r="F886" s="17" t="n">
        <v>86830.28999999999</v>
      </c>
      <c r="G886" s="14">
        <f>E886*F886</f>
        <v/>
      </c>
      <c r="H886" s="14">
        <f>C886*G886</f>
        <v/>
      </c>
    </row>
    <row r="887">
      <c r="A887" s="12" t="inlineStr">
        <is>
          <t>RET-0070</t>
        </is>
      </c>
      <c r="B887" s="12" t="inlineStr">
        <is>
          <t>VS02</t>
        </is>
      </c>
      <c r="C887" s="28" t="n">
        <v>0.0106</v>
      </c>
      <c r="D887" s="12" t="inlineStr">
        <is>
          <t>PO-2023-4653</t>
        </is>
      </c>
      <c r="E887" s="12" t="n">
        <v>3.06</v>
      </c>
      <c r="F887" s="17" t="n">
        <v>113828.85</v>
      </c>
      <c r="G887" s="14">
        <f>E887*F887</f>
        <v/>
      </c>
      <c r="H887" s="14">
        <f>C887*G887</f>
        <v/>
      </c>
    </row>
    <row r="888">
      <c r="A888" s="12" t="inlineStr">
        <is>
          <t>RET-0070</t>
        </is>
      </c>
      <c r="B888" s="12" t="inlineStr">
        <is>
          <t>VS03</t>
        </is>
      </c>
      <c r="C888" s="28" t="n">
        <v>0.1418</v>
      </c>
      <c r="D888" s="12" t="inlineStr">
        <is>
          <t>PO-2021-0031</t>
        </is>
      </c>
      <c r="E888" s="12" t="n">
        <v>0</v>
      </c>
      <c r="F888" s="17" t="n">
        <v>118994.86</v>
      </c>
      <c r="G888" s="14">
        <f>E888*F888</f>
        <v/>
      </c>
      <c r="H888" s="14">
        <f>C888*G888</f>
        <v/>
      </c>
    </row>
    <row r="889">
      <c r="A889" s="12" t="inlineStr">
        <is>
          <t>RET-0070</t>
        </is>
      </c>
      <c r="B889" s="12" t="inlineStr">
        <is>
          <t>VS04</t>
        </is>
      </c>
      <c r="C889" s="28" t="n">
        <v>0.0146</v>
      </c>
      <c r="D889" s="12" t="inlineStr">
        <is>
          <t>PO-2023-4648</t>
        </is>
      </c>
      <c r="E889" s="12" t="n">
        <v>3.06</v>
      </c>
      <c r="F889" s="17" t="n">
        <v>86177.22</v>
      </c>
      <c r="G889" s="14">
        <f>E889*F889</f>
        <v/>
      </c>
      <c r="H889" s="14">
        <f>C889*G889</f>
        <v/>
      </c>
    </row>
    <row r="890">
      <c r="A890" s="12" t="inlineStr">
        <is>
          <t>RET-0070</t>
        </is>
      </c>
      <c r="B890" s="12" t="inlineStr">
        <is>
          <t>VS05</t>
        </is>
      </c>
      <c r="C890" s="28" t="n">
        <v>0.019</v>
      </c>
      <c r="D890" s="12" t="inlineStr">
        <is>
          <t>PO-2022-1696</t>
        </is>
      </c>
      <c r="E890" s="12" t="n">
        <v>3.06</v>
      </c>
      <c r="F890" s="17" t="n">
        <v>77640.42</v>
      </c>
      <c r="G890" s="14">
        <f>E890*F890</f>
        <v/>
      </c>
      <c r="H890" s="14">
        <f>C890*G890</f>
        <v/>
      </c>
    </row>
    <row r="891">
      <c r="A891" s="12" t="inlineStr">
        <is>
          <t>RET-0070</t>
        </is>
      </c>
      <c r="B891" s="12" t="inlineStr">
        <is>
          <t>VS06</t>
        </is>
      </c>
      <c r="C891" s="28" t="n">
        <v>0.0191</v>
      </c>
      <c r="D891" s="12" t="inlineStr">
        <is>
          <t>PO-2021-0452</t>
        </is>
      </c>
      <c r="E891" s="12" t="n">
        <v>3.06</v>
      </c>
      <c r="F891" s="17" t="n">
        <v>90922.25999999999</v>
      </c>
      <c r="G891" s="14">
        <f>E891*F891</f>
        <v/>
      </c>
      <c r="H891" s="14">
        <f>C891*G891</f>
        <v/>
      </c>
    </row>
    <row r="892">
      <c r="A892" s="12" t="inlineStr">
        <is>
          <t>RET-0070</t>
        </is>
      </c>
      <c r="B892" s="12" t="inlineStr">
        <is>
          <t>VS07</t>
        </is>
      </c>
      <c r="C892" s="28" t="n">
        <v>0.0064</v>
      </c>
      <c r="D892" s="12" t="inlineStr">
        <is>
          <t>PO-2023-4010</t>
        </is>
      </c>
      <c r="E892" s="12" t="n">
        <v>3.06</v>
      </c>
      <c r="F892" s="17" t="n">
        <v>93502.71000000001</v>
      </c>
      <c r="G892" s="14">
        <f>E892*F892</f>
        <v/>
      </c>
      <c r="H892" s="14">
        <f>C892*G892</f>
        <v/>
      </c>
    </row>
    <row r="893">
      <c r="A893" s="12" t="inlineStr">
        <is>
          <t>RET-0070</t>
        </is>
      </c>
      <c r="B893" s="12" t="inlineStr">
        <is>
          <t>VS08</t>
        </is>
      </c>
      <c r="C893" s="28" t="n">
        <v>0.0193</v>
      </c>
      <c r="D893" s="12" t="inlineStr">
        <is>
          <t>PO-2021-1532</t>
        </is>
      </c>
      <c r="E893" s="12" t="n">
        <v>3.06</v>
      </c>
      <c r="F893" s="17" t="n">
        <v>82167.57000000001</v>
      </c>
      <c r="G893" s="14">
        <f>E893*F893</f>
        <v/>
      </c>
      <c r="H893" s="14">
        <f>C893*G893</f>
        <v/>
      </c>
    </row>
    <row r="894">
      <c r="A894" s="12" t="inlineStr">
        <is>
          <t>RET-0070</t>
        </is>
      </c>
      <c r="B894" s="12" t="inlineStr">
        <is>
          <t>VS09</t>
        </is>
      </c>
      <c r="C894" s="28" t="n">
        <v>0.0148</v>
      </c>
      <c r="D894" s="12" t="inlineStr">
        <is>
          <t>PO-2023-4440</t>
        </is>
      </c>
      <c r="E894" s="12" t="n">
        <v>3.06</v>
      </c>
      <c r="F894" s="17" t="n">
        <v>95752.41</v>
      </c>
      <c r="G894" s="14">
        <f>E894*F894</f>
        <v/>
      </c>
      <c r="H894" s="14">
        <f>C894*G894</f>
        <v/>
      </c>
    </row>
    <row r="895">
      <c r="A895" s="12" t="inlineStr">
        <is>
          <t>RET-0070</t>
        </is>
      </c>
      <c r="B895" s="12" t="inlineStr">
        <is>
          <t>VS10</t>
        </is>
      </c>
      <c r="C895" s="28" t="n">
        <v>0.0233</v>
      </c>
      <c r="D895" s="12" t="inlineStr">
        <is>
          <t>PO-2022-1950</t>
        </is>
      </c>
      <c r="E895" s="12" t="n">
        <v>3.06</v>
      </c>
      <c r="F895" s="17" t="n">
        <v>81757.00999999999</v>
      </c>
      <c r="G895" s="14">
        <f>E895*F895</f>
        <v/>
      </c>
      <c r="H895" s="14">
        <f>C895*G895</f>
        <v/>
      </c>
    </row>
    <row r="896">
      <c r="A896" s="12" t="inlineStr">
        <is>
          <t>RET-0070</t>
        </is>
      </c>
      <c r="B896" s="12" t="inlineStr">
        <is>
          <t>VS11</t>
        </is>
      </c>
      <c r="C896" s="28" t="n">
        <v>0.0272</v>
      </c>
      <c r="D896" s="12" t="inlineStr">
        <is>
          <t>PO-2022-2946</t>
        </is>
      </c>
      <c r="E896" s="12" t="n">
        <v>3.06</v>
      </c>
      <c r="F896" s="17" t="n">
        <v>82851.5</v>
      </c>
      <c r="G896" s="14">
        <f>E896*F896</f>
        <v/>
      </c>
      <c r="H896" s="14">
        <f>C896*G896</f>
        <v/>
      </c>
    </row>
    <row r="897">
      <c r="A897" s="12" t="inlineStr">
        <is>
          <t>RET-0070</t>
        </is>
      </c>
      <c r="B897" s="12" t="inlineStr">
        <is>
          <t>VS12</t>
        </is>
      </c>
      <c r="C897" s="28" t="n">
        <v>0.1971</v>
      </c>
      <c r="D897" s="12" t="inlineStr">
        <is>
          <t>PO-2023-3507</t>
        </is>
      </c>
      <c r="E897" s="12" t="n">
        <v>3.06</v>
      </c>
      <c r="F897" s="17" t="n">
        <v>88418.41</v>
      </c>
      <c r="G897" s="14">
        <f>E897*F897</f>
        <v/>
      </c>
      <c r="H897" s="14">
        <f>C897*G897</f>
        <v/>
      </c>
    </row>
    <row r="898">
      <c r="A898" s="12" t="inlineStr">
        <is>
          <t>RET-0070</t>
        </is>
      </c>
      <c r="B898" s="12" t="inlineStr">
        <is>
          <t>VS13</t>
        </is>
      </c>
      <c r="C898" s="28" t="n">
        <v>0.0188</v>
      </c>
      <c r="D898" s="12" t="inlineStr">
        <is>
          <t>PO-2022-2521</t>
        </is>
      </c>
      <c r="E898" s="12" t="n">
        <v>3.06</v>
      </c>
      <c r="F898" s="17" t="n">
        <v>76319.17999999999</v>
      </c>
      <c r="G898" s="14">
        <f>E898*F898</f>
        <v/>
      </c>
      <c r="H898" s="14">
        <f>C898*G898</f>
        <v/>
      </c>
    </row>
    <row r="899">
      <c r="A899" s="12" t="inlineStr">
        <is>
          <t>RET-0070</t>
        </is>
      </c>
      <c r="B899" s="12" t="inlineStr">
        <is>
          <t>VS14</t>
        </is>
      </c>
      <c r="C899" s="28" t="n">
        <v>0.0189</v>
      </c>
      <c r="D899" s="12" t="inlineStr">
        <is>
          <t>PO-2023-3453</t>
        </is>
      </c>
      <c r="E899" s="12" t="n">
        <v>3.06</v>
      </c>
      <c r="F899" s="17" t="n">
        <v>110538.65</v>
      </c>
      <c r="G899" s="14">
        <f>E899*F899</f>
        <v/>
      </c>
      <c r="H899" s="14">
        <f>C899*G899</f>
        <v/>
      </c>
    </row>
    <row r="900">
      <c r="A900" s="12" t="inlineStr">
        <is>
          <t>RET-0070</t>
        </is>
      </c>
      <c r="B900" s="12" t="inlineStr">
        <is>
          <t>VS15</t>
        </is>
      </c>
      <c r="C900" s="28" t="n">
        <v>0.0063</v>
      </c>
      <c r="D900" s="12" t="inlineStr">
        <is>
          <t>PO-2021-0668</t>
        </is>
      </c>
      <c r="E900" s="12" t="n">
        <v>3.06</v>
      </c>
      <c r="F900" s="17" t="n">
        <v>71961.45</v>
      </c>
      <c r="G900" s="14">
        <f>E900*F900</f>
        <v/>
      </c>
      <c r="H900" s="14">
        <f>C900*G900</f>
        <v/>
      </c>
    </row>
    <row r="901">
      <c r="A901" s="12" t="inlineStr">
        <is>
          <t>RET-0070</t>
        </is>
      </c>
      <c r="B901" s="12" t="inlineStr">
        <is>
          <t>VS16</t>
        </is>
      </c>
      <c r="C901" s="28" t="n">
        <v>0.0273</v>
      </c>
      <c r="D901" s="12" t="inlineStr">
        <is>
          <t>PO-2022-1861</t>
        </is>
      </c>
      <c r="E901" s="12" t="n">
        <v>3.06</v>
      </c>
      <c r="F901" s="17" t="n">
        <v>94942.7</v>
      </c>
      <c r="G901" s="14">
        <f>E901*F901</f>
        <v/>
      </c>
      <c r="H901" s="14">
        <f>C901*G901</f>
        <v/>
      </c>
    </row>
    <row r="902">
      <c r="A902" s="12" t="inlineStr">
        <is>
          <t>RET-0070</t>
        </is>
      </c>
      <c r="B902" s="12" t="inlineStr">
        <is>
          <t>VS17</t>
        </is>
      </c>
      <c r="C902" s="28" t="n">
        <v>0.0272</v>
      </c>
      <c r="D902" s="12" t="inlineStr">
        <is>
          <t>PO-2022-3020</t>
        </is>
      </c>
      <c r="E902" s="12" t="n">
        <v>3.06</v>
      </c>
      <c r="F902" s="17" t="n">
        <v>84880.27</v>
      </c>
      <c r="G902" s="14">
        <f>E902*F902</f>
        <v/>
      </c>
      <c r="H902" s="14">
        <f>C902*G902</f>
        <v/>
      </c>
    </row>
    <row r="903">
      <c r="A903" s="12" t="inlineStr">
        <is>
          <t>RET-0070</t>
        </is>
      </c>
      <c r="B903" s="12" t="inlineStr">
        <is>
          <t>VS18</t>
        </is>
      </c>
      <c r="C903" s="28" t="n">
        <v>0.019</v>
      </c>
      <c r="D903" s="12" t="inlineStr">
        <is>
          <t>PO-2023-3747</t>
        </is>
      </c>
      <c r="E903" s="12" t="n">
        <v>3.06</v>
      </c>
      <c r="F903" s="17" t="n">
        <v>106962.18</v>
      </c>
      <c r="G903" s="14">
        <f>E903*F903</f>
        <v/>
      </c>
      <c r="H903" s="14">
        <f>C903*G903</f>
        <v/>
      </c>
    </row>
    <row r="904">
      <c r="A904" s="12" t="inlineStr">
        <is>
          <t>RET-0070</t>
        </is>
      </c>
      <c r="B904" s="12" t="inlineStr">
        <is>
          <t>VS19</t>
        </is>
      </c>
      <c r="C904" s="28" t="n">
        <v>0.1487</v>
      </c>
      <c r="D904" s="12" t="inlineStr">
        <is>
          <t>PO-2022-2469</t>
        </is>
      </c>
      <c r="E904" s="12" t="n">
        <v>3.06</v>
      </c>
      <c r="F904" s="17" t="n">
        <v>63994.13</v>
      </c>
      <c r="G904" s="14">
        <f>E904*F904</f>
        <v/>
      </c>
      <c r="H904" s="14">
        <f>C904*G904</f>
        <v/>
      </c>
    </row>
    <row r="905">
      <c r="A905" s="12" t="inlineStr">
        <is>
          <t>RET-0070</t>
        </is>
      </c>
      <c r="B905" s="12" t="inlineStr">
        <is>
          <t>VS20</t>
        </is>
      </c>
      <c r="C905" s="28" t="n">
        <v>0.0106</v>
      </c>
      <c r="D905" s="12" t="inlineStr">
        <is>
          <t>PO-2021-0451</t>
        </is>
      </c>
      <c r="E905" s="12" t="n">
        <v>3.06</v>
      </c>
      <c r="F905" s="17" t="n">
        <v>108485.11</v>
      </c>
      <c r="G905" s="14">
        <f>E905*F905</f>
        <v/>
      </c>
      <c r="H905" s="14">
        <f>C905*G905</f>
        <v/>
      </c>
    </row>
    <row r="906">
      <c r="A906" s="12" t="inlineStr">
        <is>
          <t>RET-0070</t>
        </is>
      </c>
      <c r="B906" s="12" t="inlineStr">
        <is>
          <t>VS21</t>
        </is>
      </c>
      <c r="C906" s="28" t="n">
        <v>0.0106</v>
      </c>
      <c r="D906" s="12" t="inlineStr">
        <is>
          <t>PO-2021-1012</t>
        </is>
      </c>
      <c r="E906" s="12" t="n">
        <v>3.06</v>
      </c>
      <c r="F906" s="17" t="n">
        <v>111886.7</v>
      </c>
      <c r="G906" s="14">
        <f>E906*F906</f>
        <v/>
      </c>
      <c r="H906" s="14">
        <f>C906*G906</f>
        <v/>
      </c>
    </row>
    <row r="907">
      <c r="A907" s="12" t="inlineStr">
        <is>
          <t>RET-0070</t>
        </is>
      </c>
      <c r="B907" s="12" t="inlineStr">
        <is>
          <t>VS22</t>
        </is>
      </c>
      <c r="C907" s="28" t="n">
        <v>0.0063</v>
      </c>
      <c r="D907" s="12" t="inlineStr">
        <is>
          <t>PO-2021-1543</t>
        </is>
      </c>
      <c r="E907" s="12" t="n">
        <v>3.06</v>
      </c>
      <c r="F907" s="17" t="n">
        <v>83239.78</v>
      </c>
      <c r="G907" s="14">
        <f>E907*F907</f>
        <v/>
      </c>
      <c r="H907" s="14">
        <f>C907*G907</f>
        <v/>
      </c>
    </row>
    <row r="908">
      <c r="A908" s="12" t="inlineStr">
        <is>
          <t>RET-0070</t>
        </is>
      </c>
      <c r="B908" s="12" t="inlineStr">
        <is>
          <t>VS23</t>
        </is>
      </c>
      <c r="C908" s="28" t="n">
        <v>0.0104</v>
      </c>
      <c r="D908" s="12" t="inlineStr">
        <is>
          <t>PO-2023-4050</t>
        </is>
      </c>
      <c r="E908" s="12" t="n">
        <v>3.06</v>
      </c>
      <c r="F908" s="17" t="n">
        <v>64755.34</v>
      </c>
      <c r="G908" s="14">
        <f>E908*F908</f>
        <v/>
      </c>
      <c r="H908" s="14">
        <f>C908*G908</f>
        <v/>
      </c>
    </row>
    <row r="909">
      <c r="A909" s="12" t="inlineStr">
        <is>
          <t>RET-0070</t>
        </is>
      </c>
      <c r="B909" s="12" t="inlineStr">
        <is>
          <t>VS24</t>
        </is>
      </c>
      <c r="C909" s="28" t="n">
        <v>0.0105</v>
      </c>
      <c r="D909" s="12" t="inlineStr">
        <is>
          <t>PO-2021-1232</t>
        </is>
      </c>
      <c r="E909" s="12" t="n">
        <v>3.06</v>
      </c>
      <c r="F909" s="17" t="n">
        <v>94874.64</v>
      </c>
      <c r="G909" s="14">
        <f>E909*F909</f>
        <v/>
      </c>
      <c r="H909" s="14">
        <f>C909*G909</f>
        <v/>
      </c>
    </row>
    <row r="910">
      <c r="A910" s="12" t="inlineStr">
        <is>
          <t>RET-0070</t>
        </is>
      </c>
      <c r="B910" s="12" t="inlineStr">
        <is>
          <t>VS25</t>
        </is>
      </c>
      <c r="C910" s="28" t="n">
        <v>0.0191</v>
      </c>
      <c r="D910" s="12" t="inlineStr">
        <is>
          <t>PO-2022-1760</t>
        </is>
      </c>
      <c r="E910" s="12" t="n">
        <v>3.06</v>
      </c>
      <c r="F910" s="17" t="n">
        <v>84492.85000000001</v>
      </c>
      <c r="G910" s="14">
        <f>E910*F910</f>
        <v/>
      </c>
      <c r="H910" s="14">
        <f>C910*G910</f>
        <v/>
      </c>
    </row>
    <row r="911">
      <c r="A911" s="12" t="inlineStr">
        <is>
          <t>RET-0070</t>
        </is>
      </c>
      <c r="B911" s="12" t="inlineStr">
        <is>
          <t>VS26</t>
        </is>
      </c>
      <c r="C911" s="28" t="n">
        <v>0.0106</v>
      </c>
      <c r="D911" s="12" t="inlineStr">
        <is>
          <t>PO-2022-2760</t>
        </is>
      </c>
      <c r="E911" s="12" t="n">
        <v>3.06</v>
      </c>
      <c r="F911" s="17" t="n">
        <v>89723.39999999999</v>
      </c>
      <c r="G911" s="14">
        <f>E911*F911</f>
        <v/>
      </c>
      <c r="H911" s="14">
        <f>C911*G911</f>
        <v/>
      </c>
    </row>
    <row r="912">
      <c r="A912" s="12" t="inlineStr">
        <is>
          <t>RET-0070</t>
        </is>
      </c>
      <c r="B912" s="12" t="inlineStr">
        <is>
          <t>VS27</t>
        </is>
      </c>
      <c r="C912" s="28" t="n">
        <v>0.0104</v>
      </c>
      <c r="D912" s="12" t="inlineStr">
        <is>
          <t>PO-2023-4350</t>
        </is>
      </c>
      <c r="E912" s="12" t="n">
        <v>3.06</v>
      </c>
      <c r="F912" s="17" t="n">
        <v>103401.01</v>
      </c>
      <c r="G912" s="14">
        <f>E912*F912</f>
        <v/>
      </c>
      <c r="H912" s="14">
        <f>C912*G912</f>
        <v/>
      </c>
    </row>
    <row r="913">
      <c r="A913" s="12" t="inlineStr">
        <is>
          <t>RET-0070</t>
        </is>
      </c>
      <c r="B913" s="12" t="inlineStr">
        <is>
          <t>VS28</t>
        </is>
      </c>
      <c r="C913" s="28" t="n">
        <v>0.0233</v>
      </c>
      <c r="D913" s="12" t="inlineStr">
        <is>
          <t>PO-2022-3049</t>
        </is>
      </c>
      <c r="E913" s="12" t="n">
        <v>3.06</v>
      </c>
      <c r="F913" s="17" t="n">
        <v>67065.08</v>
      </c>
      <c r="G913" s="14">
        <f>E913*F913</f>
        <v/>
      </c>
      <c r="H913" s="14">
        <f>C913*G913</f>
        <v/>
      </c>
    </row>
    <row r="914">
      <c r="A914" s="12" t="inlineStr">
        <is>
          <t>RET-0070</t>
        </is>
      </c>
      <c r="B914" s="12" t="inlineStr">
        <is>
          <t>VS29</t>
        </is>
      </c>
      <c r="C914" s="28" t="n">
        <v>0.0148</v>
      </c>
      <c r="D914" s="12" t="inlineStr">
        <is>
          <t>PO-2023-3680</t>
        </is>
      </c>
      <c r="E914" s="12" t="n">
        <v>3.06</v>
      </c>
      <c r="F914" s="17" t="n">
        <v>113690.98</v>
      </c>
      <c r="G914" s="14">
        <f>E914*F914</f>
        <v/>
      </c>
      <c r="H914" s="14">
        <f>C914*G914</f>
        <v/>
      </c>
    </row>
    <row r="915">
      <c r="A915" s="12" t="inlineStr">
        <is>
          <t>RET-0070</t>
        </is>
      </c>
      <c r="B915" s="12" t="inlineStr">
        <is>
          <t>VS30</t>
        </is>
      </c>
      <c r="C915" s="28" t="n">
        <v>0.0064</v>
      </c>
      <c r="D915" s="12" t="inlineStr">
        <is>
          <t>PO-2023-4481</t>
        </is>
      </c>
      <c r="E915" s="12" t="n">
        <v>3.06</v>
      </c>
      <c r="F915" s="17" t="n">
        <v>62724.55</v>
      </c>
      <c r="G915" s="14">
        <f>E915*F915</f>
        <v/>
      </c>
      <c r="H915" s="14">
        <f>C915*G915</f>
        <v/>
      </c>
    </row>
    <row r="916">
      <c r="A916" s="12" t="inlineStr">
        <is>
          <t>RET-0070</t>
        </is>
      </c>
      <c r="B916" s="12" t="inlineStr">
        <is>
          <t>VS31</t>
        </is>
      </c>
      <c r="C916" s="28" t="n">
        <v>0.0232</v>
      </c>
      <c r="D916" s="12" t="inlineStr">
        <is>
          <t>PO-2023-4151</t>
        </is>
      </c>
      <c r="E916" s="12" t="n">
        <v>3.06</v>
      </c>
      <c r="F916" s="17" t="n">
        <v>94259.36</v>
      </c>
      <c r="G916" s="14">
        <f>E916*F916</f>
        <v/>
      </c>
      <c r="H916" s="14">
        <f>C916*G916</f>
        <v/>
      </c>
    </row>
    <row r="917">
      <c r="A917" s="12" t="inlineStr">
        <is>
          <t>RET-0070</t>
        </is>
      </c>
      <c r="B917" s="12" t="inlineStr">
        <is>
          <t>VS32</t>
        </is>
      </c>
      <c r="C917" s="28" t="n">
        <v>0.0275</v>
      </c>
      <c r="D917" s="12" t="inlineStr">
        <is>
          <t>PO-2021-1378</t>
        </is>
      </c>
      <c r="E917" s="12" t="n">
        <v>3.06</v>
      </c>
      <c r="F917" s="17" t="n">
        <v>86461.78999999999</v>
      </c>
      <c r="G917" s="14">
        <f>E917*F917</f>
        <v/>
      </c>
      <c r="H917" s="14">
        <f>C917*G917</f>
        <v/>
      </c>
    </row>
    <row r="918">
      <c r="A918" s="12" t="inlineStr">
        <is>
          <t>RET-0070</t>
        </is>
      </c>
      <c r="B918" s="12" t="inlineStr">
        <is>
          <t>VS33</t>
        </is>
      </c>
      <c r="C918" s="28" t="n">
        <v>0.0147</v>
      </c>
      <c r="D918" s="12" t="inlineStr">
        <is>
          <t>PO-2022-2218</t>
        </is>
      </c>
      <c r="E918" s="12" t="n">
        <v>3.06</v>
      </c>
      <c r="F918" s="17" t="n">
        <v>85470.95</v>
      </c>
      <c r="G918" s="14">
        <f>E918*F918</f>
        <v/>
      </c>
      <c r="H918" s="14">
        <f>C918*G918</f>
        <v/>
      </c>
    </row>
    <row r="919">
      <c r="A919" s="12" t="inlineStr">
        <is>
          <t>RET-0070</t>
        </is>
      </c>
      <c r="B919" s="12" t="inlineStr">
        <is>
          <t>VS34</t>
        </is>
      </c>
      <c r="C919" s="28" t="n">
        <v>0.019</v>
      </c>
      <c r="D919" s="12" t="inlineStr">
        <is>
          <t>PO-2023-3989</t>
        </is>
      </c>
      <c r="E919" s="12" t="n">
        <v>3.06</v>
      </c>
      <c r="F919" s="17" t="n">
        <v>119858.37</v>
      </c>
      <c r="G919" s="14">
        <f>E919*F919</f>
        <v/>
      </c>
      <c r="H919" s="14">
        <f>C919*G919</f>
        <v/>
      </c>
    </row>
    <row r="920">
      <c r="A920" s="12" t="inlineStr">
        <is>
          <t>RET-0073</t>
        </is>
      </c>
      <c r="B920" s="12" t="inlineStr">
        <is>
          <t>VS01</t>
        </is>
      </c>
      <c r="C920" s="28" t="n">
        <v>0.0386</v>
      </c>
      <c r="D920" s="12" t="inlineStr">
        <is>
          <t>PO-2021-0659</t>
        </is>
      </c>
      <c r="E920" s="12" t="n">
        <v>4.93</v>
      </c>
      <c r="F920" s="17" t="n">
        <v>55603.04</v>
      </c>
      <c r="G920" s="14">
        <f>E920*F920</f>
        <v/>
      </c>
      <c r="H920" s="14">
        <f>C920*G920</f>
        <v/>
      </c>
    </row>
    <row r="921">
      <c r="A921" s="12" t="inlineStr">
        <is>
          <t>RET-0073</t>
        </is>
      </c>
      <c r="B921" s="12" t="inlineStr">
        <is>
          <t>VS02</t>
        </is>
      </c>
      <c r="C921" s="28" t="n">
        <v>0.0176</v>
      </c>
      <c r="D921" s="12" t="inlineStr">
        <is>
          <t>PO-2021-0837</t>
        </is>
      </c>
      <c r="E921" s="12" t="n">
        <v>4.93</v>
      </c>
      <c r="F921" s="17" t="n">
        <v>61918.7</v>
      </c>
      <c r="G921" s="14">
        <f>E921*F921</f>
        <v/>
      </c>
      <c r="H921" s="14">
        <f>C921*G921</f>
        <v/>
      </c>
    </row>
    <row r="922">
      <c r="A922" s="12" t="inlineStr">
        <is>
          <t>RET-0073</t>
        </is>
      </c>
      <c r="B922" s="12" t="inlineStr">
        <is>
          <t>VS03</t>
        </is>
      </c>
      <c r="C922" s="28" t="n">
        <v>0.0438</v>
      </c>
      <c r="D922" s="12" t="inlineStr">
        <is>
          <t>PO-2021-1352</t>
        </is>
      </c>
      <c r="E922" s="12" t="n">
        <v>4.93</v>
      </c>
      <c r="F922" s="17" t="n">
        <v>62138.41</v>
      </c>
      <c r="G922" s="14">
        <f>E922*F922</f>
        <v/>
      </c>
      <c r="H922" s="14">
        <f>C922*G922</f>
        <v/>
      </c>
    </row>
    <row r="923">
      <c r="A923" s="12" t="inlineStr">
        <is>
          <t>RET-0073</t>
        </is>
      </c>
      <c r="B923" s="12" t="inlineStr">
        <is>
          <t>VS04</t>
        </is>
      </c>
      <c r="C923" s="28" t="n">
        <v>0.0242</v>
      </c>
      <c r="D923" s="12" t="inlineStr">
        <is>
          <t>PO-2021-0663</t>
        </is>
      </c>
      <c r="E923" s="12" t="n">
        <v>4.93</v>
      </c>
      <c r="F923" s="17" t="n">
        <v>86224.85000000001</v>
      </c>
      <c r="G923" s="14">
        <f>E923*F923</f>
        <v/>
      </c>
      <c r="H923" s="14">
        <f>C923*G923</f>
        <v/>
      </c>
    </row>
    <row r="924">
      <c r="A924" s="12" t="inlineStr">
        <is>
          <t>RET-0073</t>
        </is>
      </c>
      <c r="B924" s="12" t="inlineStr">
        <is>
          <t>VS05</t>
        </is>
      </c>
      <c r="C924" s="28" t="n">
        <v>0.0314</v>
      </c>
      <c r="D924" s="12" t="inlineStr">
        <is>
          <t>PO-2023-3899</t>
        </is>
      </c>
      <c r="E924" s="12" t="n">
        <v>4.93</v>
      </c>
      <c r="F924" s="17" t="n">
        <v>54730.49</v>
      </c>
      <c r="G924" s="14">
        <f>E924*F924</f>
        <v/>
      </c>
      <c r="H924" s="14">
        <f>C924*G924</f>
        <v/>
      </c>
    </row>
    <row r="925">
      <c r="A925" s="12" t="inlineStr">
        <is>
          <t>RET-0073</t>
        </is>
      </c>
      <c r="B925" s="12" t="inlineStr">
        <is>
          <t>VS06</t>
        </is>
      </c>
      <c r="C925" s="28" t="n">
        <v>0.0317</v>
      </c>
      <c r="D925" s="12" t="inlineStr">
        <is>
          <t>PO-2023-3770</t>
        </is>
      </c>
      <c r="E925" s="12" t="n">
        <v>4.93</v>
      </c>
      <c r="F925" s="17" t="n">
        <v>108243.1</v>
      </c>
      <c r="G925" s="14">
        <f>E925*F925</f>
        <v/>
      </c>
      <c r="H925" s="14">
        <f>C925*G925</f>
        <v/>
      </c>
    </row>
    <row r="926">
      <c r="A926" s="12" t="inlineStr">
        <is>
          <t>RET-0073</t>
        </is>
      </c>
      <c r="B926" s="12" t="inlineStr">
        <is>
          <t>VS07</t>
        </is>
      </c>
      <c r="C926" s="28" t="n">
        <v>0.0106</v>
      </c>
      <c r="D926" s="12" t="inlineStr">
        <is>
          <t>PO-2021-0199</t>
        </is>
      </c>
      <c r="E926" s="12" t="n">
        <v>4.93</v>
      </c>
      <c r="F926" s="17" t="n">
        <v>66311.02</v>
      </c>
      <c r="G926" s="14">
        <f>E926*F926</f>
        <v/>
      </c>
      <c r="H926" s="14">
        <f>C926*G926</f>
        <v/>
      </c>
    </row>
    <row r="927">
      <c r="A927" s="12" t="inlineStr">
        <is>
          <t>RET-0073</t>
        </is>
      </c>
      <c r="B927" s="12" t="inlineStr">
        <is>
          <t>VS08</t>
        </is>
      </c>
      <c r="C927" s="28" t="n">
        <v>0.0319</v>
      </c>
      <c r="D927" s="12" t="inlineStr">
        <is>
          <t>PO-2021-0585</t>
        </is>
      </c>
      <c r="E927" s="12" t="n">
        <v>4.93</v>
      </c>
      <c r="F927" s="17" t="n">
        <v>97640.12</v>
      </c>
      <c r="G927" s="14">
        <f>E927*F927</f>
        <v/>
      </c>
      <c r="H927" s="14">
        <f>C927*G927</f>
        <v/>
      </c>
    </row>
    <row r="928">
      <c r="A928" s="12" t="inlineStr">
        <is>
          <t>RET-0073</t>
        </is>
      </c>
      <c r="B928" s="12" t="inlineStr">
        <is>
          <t>VS09</t>
        </is>
      </c>
      <c r="C928" s="28" t="n">
        <v>0.0245</v>
      </c>
      <c r="D928" s="12" t="inlineStr">
        <is>
          <t>PO-2021-0164</t>
        </is>
      </c>
      <c r="E928" s="12" t="n">
        <v>3.59</v>
      </c>
      <c r="F928" s="17" t="n">
        <v>116746.85</v>
      </c>
      <c r="G928" s="14">
        <f>E928*F928</f>
        <v/>
      </c>
      <c r="H928" s="14">
        <f>C928*G928</f>
        <v/>
      </c>
    </row>
    <row r="929">
      <c r="A929" s="12" t="inlineStr">
        <is>
          <t>RET-0073</t>
        </is>
      </c>
      <c r="B929" s="12" t="inlineStr">
        <is>
          <t>VS10</t>
        </is>
      </c>
      <c r="C929" s="28" t="n">
        <v>0.0386</v>
      </c>
      <c r="D929" s="12" t="inlineStr">
        <is>
          <t>PO-2022-2366</t>
        </is>
      </c>
      <c r="E929" s="12" t="n">
        <v>4.93</v>
      </c>
      <c r="F929" s="17" t="n">
        <v>106077.31</v>
      </c>
      <c r="G929" s="14">
        <f>E929*F929</f>
        <v/>
      </c>
      <c r="H929" s="14">
        <f>C929*G929</f>
        <v/>
      </c>
    </row>
    <row r="930">
      <c r="A930" s="12" t="inlineStr">
        <is>
          <t>RET-0073</t>
        </is>
      </c>
      <c r="B930" s="12" t="inlineStr">
        <is>
          <t>VS11</t>
        </is>
      </c>
      <c r="C930" s="28" t="n">
        <v>0.0452</v>
      </c>
      <c r="D930" s="12" t="inlineStr">
        <is>
          <t>PO-2023-3713</t>
        </is>
      </c>
      <c r="E930" s="12" t="n">
        <v>4.93</v>
      </c>
      <c r="F930" s="17" t="n">
        <v>68655.38</v>
      </c>
      <c r="G930" s="14">
        <f>E930*F930</f>
        <v/>
      </c>
      <c r="H930" s="14">
        <f>C930*G930</f>
        <v/>
      </c>
    </row>
    <row r="931">
      <c r="A931" s="12" t="inlineStr">
        <is>
          <t>RET-0073</t>
        </is>
      </c>
      <c r="B931" s="12" t="inlineStr">
        <is>
          <t>VS12</t>
        </is>
      </c>
      <c r="C931" s="28" t="n">
        <v>0.0608</v>
      </c>
      <c r="D931" s="12" t="inlineStr">
        <is>
          <t>PO-2021-0334</t>
        </is>
      </c>
      <c r="E931" s="12" t="n">
        <v>4.93</v>
      </c>
      <c r="F931" s="17" t="n">
        <v>113048.59</v>
      </c>
      <c r="G931" s="14">
        <f>E931*F931</f>
        <v/>
      </c>
      <c r="H931" s="14">
        <f>C931*G931</f>
        <v/>
      </c>
    </row>
    <row r="932">
      <c r="A932" s="12" t="inlineStr">
        <is>
          <t>RET-0073</t>
        </is>
      </c>
      <c r="B932" s="12" t="inlineStr">
        <is>
          <t>VS13</t>
        </is>
      </c>
      <c r="C932" s="28" t="n">
        <v>0.0311</v>
      </c>
      <c r="D932" s="12" t="inlineStr">
        <is>
          <t>PO-2023-3360</t>
        </is>
      </c>
      <c r="E932" s="12" t="n">
        <v>4.93</v>
      </c>
      <c r="F932" s="17" t="n">
        <v>110472.61</v>
      </c>
      <c r="G932" s="14">
        <f>E932*F932</f>
        <v/>
      </c>
      <c r="H932" s="14">
        <f>C932*G932</f>
        <v/>
      </c>
    </row>
    <row r="933">
      <c r="A933" s="12" t="inlineStr">
        <is>
          <t>RET-0073</t>
        </is>
      </c>
      <c r="B933" s="12" t="inlineStr">
        <is>
          <t>VS14</t>
        </is>
      </c>
      <c r="C933" s="28" t="n">
        <v>0.0314</v>
      </c>
      <c r="D933" s="12" t="inlineStr">
        <is>
          <t>PO-2021-0630</t>
        </is>
      </c>
      <c r="E933" s="12" t="n">
        <v>2.49</v>
      </c>
      <c r="F933" s="17" t="n">
        <v>106051.97</v>
      </c>
      <c r="G933" s="14">
        <f>E933*F933</f>
        <v/>
      </c>
      <c r="H933" s="14">
        <f>C933*G933</f>
        <v/>
      </c>
    </row>
    <row r="934">
      <c r="A934" s="12" t="inlineStr">
        <is>
          <t>RET-0073</t>
        </is>
      </c>
      <c r="B934" s="12" t="inlineStr">
        <is>
          <t>VS15</t>
        </is>
      </c>
      <c r="C934" s="28" t="n">
        <v>0.0105</v>
      </c>
      <c r="D934" s="12" t="inlineStr">
        <is>
          <t>PO-2022-2624</t>
        </is>
      </c>
      <c r="E934" s="12" t="n">
        <v>4.93</v>
      </c>
      <c r="F934" s="17" t="n">
        <v>115048.22</v>
      </c>
      <c r="G934" s="14">
        <f>E934*F934</f>
        <v/>
      </c>
      <c r="H934" s="14">
        <f>C934*G934</f>
        <v/>
      </c>
    </row>
    <row r="935">
      <c r="A935" s="12" t="inlineStr">
        <is>
          <t>RET-0073</t>
        </is>
      </c>
      <c r="B935" s="12" t="inlineStr">
        <is>
          <t>VS16</t>
        </is>
      </c>
      <c r="C935" s="28" t="n">
        <v>0.0453</v>
      </c>
      <c r="D935" s="12" t="inlineStr">
        <is>
          <t>PO-2021-1520</t>
        </is>
      </c>
      <c r="E935" s="12" t="n">
        <v>4.93</v>
      </c>
      <c r="F935" s="17" t="n">
        <v>109335.46</v>
      </c>
      <c r="G935" s="14">
        <f>E935*F935</f>
        <v/>
      </c>
      <c r="H935" s="14">
        <f>C935*G935</f>
        <v/>
      </c>
    </row>
    <row r="936">
      <c r="A936" s="12" t="inlineStr">
        <is>
          <t>RET-0073</t>
        </is>
      </c>
      <c r="B936" s="12" t="inlineStr">
        <is>
          <t>VS17</t>
        </is>
      </c>
      <c r="C936" s="28" t="n">
        <v>0.0451</v>
      </c>
      <c r="D936" s="12" t="inlineStr">
        <is>
          <t>PO-2021-0646</t>
        </is>
      </c>
      <c r="E936" s="12" t="n">
        <v>4.93</v>
      </c>
      <c r="F936" s="17" t="n">
        <v>46852.93</v>
      </c>
      <c r="G936" s="14">
        <f>E936*F936</f>
        <v/>
      </c>
      <c r="H936" s="14">
        <f>C936*G936</f>
        <v/>
      </c>
    </row>
    <row r="937">
      <c r="A937" s="12" t="inlineStr">
        <is>
          <t>RET-0073</t>
        </is>
      </c>
      <c r="B937" s="12" t="inlineStr">
        <is>
          <t>VS18</t>
        </is>
      </c>
      <c r="C937" s="28" t="n">
        <v>0.0314</v>
      </c>
      <c r="D937" s="12" t="inlineStr">
        <is>
          <t>PO-2022-1967</t>
        </is>
      </c>
      <c r="E937" s="12" t="n">
        <v>4.93</v>
      </c>
      <c r="F937" s="17" t="n">
        <v>70608.94</v>
      </c>
      <c r="G937" s="14">
        <f>E937*F937</f>
        <v/>
      </c>
      <c r="H937" s="14">
        <f>C937*G937</f>
        <v/>
      </c>
    </row>
    <row r="938">
      <c r="A938" s="12" t="inlineStr">
        <is>
          <t>RET-0073</t>
        </is>
      </c>
      <c r="B938" s="12" t="inlineStr">
        <is>
          <t>VS19</t>
        </is>
      </c>
      <c r="C938" s="28" t="n">
        <v>0.0459</v>
      </c>
      <c r="D938" s="12" t="inlineStr">
        <is>
          <t>PO-2022-2258</t>
        </is>
      </c>
      <c r="E938" s="12" t="n">
        <v>4.93</v>
      </c>
      <c r="F938" s="17" t="n">
        <v>113529.63</v>
      </c>
      <c r="G938" s="14">
        <f>E938*F938</f>
        <v/>
      </c>
      <c r="H938" s="14">
        <f>C938*G938</f>
        <v/>
      </c>
    </row>
    <row r="939">
      <c r="A939" s="12" t="inlineStr">
        <is>
          <t>RET-0073</t>
        </is>
      </c>
      <c r="B939" s="12" t="inlineStr">
        <is>
          <t>VS20</t>
        </is>
      </c>
      <c r="C939" s="28" t="n">
        <v>0.0175</v>
      </c>
      <c r="D939" s="12" t="inlineStr">
        <is>
          <t>PO-2022-2450</t>
        </is>
      </c>
      <c r="E939" s="12" t="n">
        <v>4.93</v>
      </c>
      <c r="F939" s="17" t="n">
        <v>113949.51</v>
      </c>
      <c r="G939" s="14">
        <f>E939*F939</f>
        <v/>
      </c>
      <c r="H939" s="14">
        <f>C939*G939</f>
        <v/>
      </c>
    </row>
    <row r="940">
      <c r="A940" s="12" t="inlineStr">
        <is>
          <t>RET-0073</t>
        </is>
      </c>
      <c r="B940" s="12" t="inlineStr">
        <is>
          <t>VS21</t>
        </is>
      </c>
      <c r="C940" s="28" t="n">
        <v>0.0175</v>
      </c>
      <c r="D940" s="12" t="inlineStr">
        <is>
          <t>PO-2021-0624</t>
        </is>
      </c>
      <c r="E940" s="12" t="n">
        <v>4.93</v>
      </c>
      <c r="F940" s="17" t="n">
        <v>60066.68</v>
      </c>
      <c r="G940" s="14">
        <f>E940*F940</f>
        <v/>
      </c>
      <c r="H940" s="14">
        <f>C940*G940</f>
        <v/>
      </c>
    </row>
    <row r="941">
      <c r="A941" s="12" t="inlineStr">
        <is>
          <t>RET-0073</t>
        </is>
      </c>
      <c r="B941" s="12" t="inlineStr">
        <is>
          <t>VS22</t>
        </is>
      </c>
      <c r="C941" s="28" t="n">
        <v>0.0104</v>
      </c>
      <c r="D941" s="12" t="inlineStr">
        <is>
          <t>PO-2022-2403</t>
        </is>
      </c>
      <c r="E941" s="12" t="n">
        <v>4.93</v>
      </c>
      <c r="F941" s="17" t="n">
        <v>100859.54</v>
      </c>
      <c r="G941" s="14">
        <f>E941*F941</f>
        <v/>
      </c>
      <c r="H941" s="14">
        <f>C941*G941</f>
        <v/>
      </c>
    </row>
    <row r="942">
      <c r="A942" s="12" t="inlineStr">
        <is>
          <t>RET-0073</t>
        </is>
      </c>
      <c r="B942" s="12" t="inlineStr">
        <is>
          <t>VS23</t>
        </is>
      </c>
      <c r="C942" s="28" t="n">
        <v>0.0173</v>
      </c>
      <c r="D942" s="12" t="inlineStr">
        <is>
          <t>PO-2022-1905</t>
        </is>
      </c>
      <c r="E942" s="12" t="n">
        <v>4.034</v>
      </c>
      <c r="F942" s="17" t="n">
        <v>48691.14</v>
      </c>
      <c r="G942" s="14">
        <f>E942*F942</f>
        <v/>
      </c>
      <c r="H942" s="14">
        <f>C942*G942</f>
        <v/>
      </c>
    </row>
    <row r="943">
      <c r="A943" s="12" t="inlineStr">
        <is>
          <t>RET-0073</t>
        </is>
      </c>
      <c r="B943" s="12" t="inlineStr">
        <is>
          <t>VS24</t>
        </is>
      </c>
      <c r="C943" s="28" t="n">
        <v>0.0174</v>
      </c>
      <c r="D943" s="12" t="inlineStr">
        <is>
          <t>PO-2022-1919</t>
        </is>
      </c>
      <c r="E943" s="12" t="n">
        <v>4.93</v>
      </c>
      <c r="F943" s="17" t="n">
        <v>78920.28</v>
      </c>
      <c r="G943" s="14">
        <f>E943*F943</f>
        <v/>
      </c>
      <c r="H943" s="14">
        <f>C943*G943</f>
        <v/>
      </c>
    </row>
    <row r="944">
      <c r="A944" s="12" t="inlineStr">
        <is>
          <t>RET-0073</t>
        </is>
      </c>
      <c r="B944" s="12" t="inlineStr">
        <is>
          <t>VS25</t>
        </is>
      </c>
      <c r="C944" s="28" t="n">
        <v>0.0316</v>
      </c>
      <c r="D944" s="12" t="inlineStr">
        <is>
          <t>PO-2023-4616</t>
        </is>
      </c>
      <c r="E944" s="12" t="n">
        <v>4.93</v>
      </c>
      <c r="F944" s="17" t="n">
        <v>98112.73</v>
      </c>
      <c r="G944" s="14">
        <f>E944*F944</f>
        <v/>
      </c>
      <c r="H944" s="14">
        <f>C944*G944</f>
        <v/>
      </c>
    </row>
    <row r="945">
      <c r="A945" s="12" t="inlineStr">
        <is>
          <t>RET-0073</t>
        </is>
      </c>
      <c r="B945" s="12" t="inlineStr">
        <is>
          <t>VS26</t>
        </is>
      </c>
      <c r="C945" s="28" t="n">
        <v>0.0176</v>
      </c>
      <c r="D945" s="12" t="inlineStr">
        <is>
          <t>PO-2023-4351</t>
        </is>
      </c>
      <c r="E945" s="12" t="n">
        <v>4.93</v>
      </c>
      <c r="F945" s="17" t="n">
        <v>109373.36</v>
      </c>
      <c r="G945" s="14">
        <f>E945*F945</f>
        <v/>
      </c>
      <c r="H945" s="14">
        <f>C945*G945</f>
        <v/>
      </c>
    </row>
    <row r="946">
      <c r="A946" s="12" t="inlineStr">
        <is>
          <t>RET-0073</t>
        </is>
      </c>
      <c r="B946" s="12" t="inlineStr">
        <is>
          <t>VS27</t>
        </is>
      </c>
      <c r="C946" s="28" t="n">
        <v>0.0173</v>
      </c>
      <c r="D946" s="12" t="inlineStr">
        <is>
          <t>PO-2022-1797</t>
        </is>
      </c>
      <c r="E946" s="12" t="n">
        <v>4.93</v>
      </c>
      <c r="F946" s="17" t="n">
        <v>70553.35000000001</v>
      </c>
      <c r="G946" s="14">
        <f>E946*F946</f>
        <v/>
      </c>
      <c r="H946" s="14">
        <f>C946*G946</f>
        <v/>
      </c>
    </row>
    <row r="947">
      <c r="A947" s="12" t="inlineStr">
        <is>
          <t>RET-0073</t>
        </is>
      </c>
      <c r="B947" s="12" t="inlineStr">
        <is>
          <t>VS28</t>
        </is>
      </c>
      <c r="C947" s="28" t="n">
        <v>0.0386</v>
      </c>
      <c r="D947" s="12" t="inlineStr">
        <is>
          <t>PO-2021-1122</t>
        </is>
      </c>
      <c r="E947" s="12" t="n">
        <v>4.93</v>
      </c>
      <c r="F947" s="17" t="n">
        <v>76073.57000000001</v>
      </c>
      <c r="G947" s="14">
        <f>E947*F947</f>
        <v/>
      </c>
      <c r="H947" s="14">
        <f>C947*G947</f>
        <v/>
      </c>
    </row>
    <row r="948">
      <c r="A948" s="12" t="inlineStr">
        <is>
          <t>RET-0073</t>
        </is>
      </c>
      <c r="B948" s="12" t="inlineStr">
        <is>
          <t>VS29</t>
        </is>
      </c>
      <c r="C948" s="28" t="n">
        <v>0.0245</v>
      </c>
      <c r="D948" s="12" t="inlineStr">
        <is>
          <t>PO-2023-4484</t>
        </is>
      </c>
      <c r="E948" s="12" t="n">
        <v>4.93</v>
      </c>
      <c r="F948" s="17" t="n">
        <v>46894.46</v>
      </c>
      <c r="G948" s="14">
        <f>E948*F948</f>
        <v/>
      </c>
      <c r="H948" s="14">
        <f>C948*G948</f>
        <v/>
      </c>
    </row>
    <row r="949">
      <c r="A949" s="12" t="inlineStr">
        <is>
          <t>RET-0073</t>
        </is>
      </c>
      <c r="B949" s="12" t="inlineStr">
        <is>
          <t>VS30</t>
        </is>
      </c>
      <c r="C949" s="28" t="n">
        <v>0.0105</v>
      </c>
      <c r="D949" s="12" t="inlineStr">
        <is>
          <t>PO-2023-3243</t>
        </is>
      </c>
      <c r="E949" s="12" t="n">
        <v>4.93</v>
      </c>
      <c r="F949" s="17" t="n">
        <v>79042.74000000001</v>
      </c>
      <c r="G949" s="14">
        <f>E949*F949</f>
        <v/>
      </c>
      <c r="H949" s="14">
        <f>C949*G949</f>
        <v/>
      </c>
    </row>
    <row r="950">
      <c r="A950" s="12" t="inlineStr">
        <is>
          <t>RET-0073</t>
        </is>
      </c>
      <c r="B950" s="12" t="inlineStr">
        <is>
          <t>VS31</t>
        </is>
      </c>
      <c r="C950" s="28" t="n">
        <v>0.0384</v>
      </c>
      <c r="D950" s="12" t="inlineStr">
        <is>
          <t>PO-2022-2029</t>
        </is>
      </c>
      <c r="E950" s="12" t="n">
        <v>1.62</v>
      </c>
      <c r="F950" s="17" t="n">
        <v>70544.7</v>
      </c>
      <c r="G950" s="14">
        <f>E950*F950</f>
        <v/>
      </c>
      <c r="H950" s="14">
        <f>C950*G950</f>
        <v/>
      </c>
    </row>
    <row r="951">
      <c r="A951" s="12" t="inlineStr">
        <is>
          <t>RET-0073</t>
        </is>
      </c>
      <c r="B951" s="12" t="inlineStr">
        <is>
          <t>VS32</t>
        </is>
      </c>
      <c r="C951" s="28" t="n">
        <v>0.0457</v>
      </c>
      <c r="D951" s="12" t="inlineStr">
        <is>
          <t>PO-2021-1058</t>
        </is>
      </c>
      <c r="E951" s="12" t="n">
        <v>4.93</v>
      </c>
      <c r="F951" s="17" t="n">
        <v>61839.02</v>
      </c>
      <c r="G951" s="14">
        <f>E951*F951</f>
        <v/>
      </c>
      <c r="H951" s="14">
        <f>C951*G951</f>
        <v/>
      </c>
    </row>
    <row r="952">
      <c r="A952" s="12" t="inlineStr">
        <is>
          <t>RET-0073</t>
        </is>
      </c>
      <c r="B952" s="12" t="inlineStr">
        <is>
          <t>VS33</t>
        </is>
      </c>
      <c r="C952" s="28" t="n">
        <v>0.0244</v>
      </c>
      <c r="D952" s="12" t="inlineStr">
        <is>
          <t>PO-2022-2792</t>
        </is>
      </c>
      <c r="E952" s="12" t="n">
        <v>4.93</v>
      </c>
      <c r="F952" s="17" t="n">
        <v>93545.31</v>
      </c>
      <c r="G952" s="14">
        <f>E952*F952</f>
        <v/>
      </c>
      <c r="H952" s="14">
        <f>C952*G952</f>
        <v/>
      </c>
    </row>
    <row r="953">
      <c r="A953" s="12" t="inlineStr">
        <is>
          <t>RET-0073</t>
        </is>
      </c>
      <c r="B953" s="12" t="inlineStr">
        <is>
          <t>VS34</t>
        </is>
      </c>
      <c r="C953" s="28" t="n">
        <v>0.0315</v>
      </c>
      <c r="D953" s="12" t="inlineStr">
        <is>
          <t>PO-2022-2651</t>
        </is>
      </c>
      <c r="E953" s="12" t="n">
        <v>4.93</v>
      </c>
      <c r="F953" s="17" t="n">
        <v>84814.94</v>
      </c>
      <c r="G953" s="14">
        <f>E953*F953</f>
        <v/>
      </c>
      <c r="H953" s="14">
        <f>C953*G953</f>
        <v/>
      </c>
    </row>
    <row r="954">
      <c r="A954" s="12" t="inlineStr">
        <is>
          <t>RET-0086</t>
        </is>
      </c>
      <c r="B954" s="12" t="inlineStr">
        <is>
          <t>VS01</t>
        </is>
      </c>
      <c r="C954" s="28" t="n">
        <v>0.0236</v>
      </c>
      <c r="D954" s="12" t="inlineStr">
        <is>
          <t>PO-2023-3399</t>
        </is>
      </c>
      <c r="E954" s="12" t="n">
        <v>1.006</v>
      </c>
      <c r="F954" s="17" t="n">
        <v>48444.32</v>
      </c>
      <c r="G954" s="14">
        <f>E954*F954</f>
        <v/>
      </c>
      <c r="H954" s="14">
        <f>C954*G954</f>
        <v/>
      </c>
    </row>
    <row r="955">
      <c r="A955" s="12" t="inlineStr">
        <is>
          <t>RET-0086</t>
        </is>
      </c>
      <c r="B955" s="12" t="inlineStr">
        <is>
          <t>VS02</t>
        </is>
      </c>
      <c r="C955" s="28" t="n">
        <v>0.0107</v>
      </c>
      <c r="D955" s="12" t="inlineStr">
        <is>
          <t>PO-2022-2719</t>
        </is>
      </c>
      <c r="E955" s="12" t="n">
        <v>4.47</v>
      </c>
      <c r="F955" s="17" t="n">
        <v>110612.18</v>
      </c>
      <c r="G955" s="14">
        <f>E955*F955</f>
        <v/>
      </c>
      <c r="H955" s="14">
        <f>C955*G955</f>
        <v/>
      </c>
    </row>
    <row r="956">
      <c r="A956" s="12" t="inlineStr">
        <is>
          <t>RET-0086</t>
        </is>
      </c>
      <c r="B956" s="12" t="inlineStr">
        <is>
          <t>VS03</t>
        </is>
      </c>
      <c r="C956" s="28" t="n">
        <v>0.14</v>
      </c>
      <c r="D956" s="12" t="inlineStr">
        <is>
          <t>PO-2021-0935</t>
        </is>
      </c>
      <c r="E956" s="12" t="n">
        <v>4.47</v>
      </c>
      <c r="F956" s="17" t="n">
        <v>101780.84</v>
      </c>
      <c r="G956" s="14">
        <f>E956*F956</f>
        <v/>
      </c>
      <c r="H956" s="14">
        <f>C956*G956</f>
        <v/>
      </c>
    </row>
    <row r="957">
      <c r="A957" s="12" t="inlineStr">
        <is>
          <t>RET-0086</t>
        </is>
      </c>
      <c r="B957" s="12" t="inlineStr">
        <is>
          <t>VS04</t>
        </is>
      </c>
      <c r="C957" s="28" t="n">
        <v>0.0148</v>
      </c>
      <c r="D957" s="12" t="inlineStr">
        <is>
          <t>PO-2023-3204</t>
        </is>
      </c>
      <c r="E957" s="12" t="n">
        <v>4.47</v>
      </c>
      <c r="F957" s="17" t="n">
        <v>92197.48</v>
      </c>
      <c r="G957" s="14">
        <f>E957*F957</f>
        <v/>
      </c>
      <c r="H957" s="14">
        <f>C957*G957</f>
        <v/>
      </c>
    </row>
    <row r="958">
      <c r="A958" s="12" t="inlineStr">
        <is>
          <t>RET-0086</t>
        </is>
      </c>
      <c r="B958" s="12" t="inlineStr">
        <is>
          <t>VS05</t>
        </is>
      </c>
      <c r="C958" s="28" t="n">
        <v>0.0192</v>
      </c>
      <c r="D958" s="12" t="inlineStr">
        <is>
          <t>PO-2022-1791</t>
        </is>
      </c>
      <c r="E958" s="12" t="n">
        <v>4.47</v>
      </c>
      <c r="F958" s="17" t="n">
        <v>53585.53</v>
      </c>
      <c r="G958" s="14">
        <f>E958*F958</f>
        <v/>
      </c>
      <c r="H958" s="14">
        <f>C958*G958</f>
        <v/>
      </c>
    </row>
    <row r="959">
      <c r="A959" s="12" t="inlineStr">
        <is>
          <t>RET-0086</t>
        </is>
      </c>
      <c r="B959" s="12" t="inlineStr">
        <is>
          <t>VS06</t>
        </is>
      </c>
      <c r="C959" s="28" t="n">
        <v>0.0194</v>
      </c>
      <c r="D959" s="12" t="inlineStr">
        <is>
          <t>PO-2021-1192</t>
        </is>
      </c>
      <c r="E959" s="12" t="n">
        <v>4.47</v>
      </c>
      <c r="F959" s="17" t="n">
        <v>117995.38</v>
      </c>
      <c r="G959" s="14">
        <f>E959*F959</f>
        <v/>
      </c>
      <c r="H959" s="14">
        <f>C959*G959</f>
        <v/>
      </c>
    </row>
    <row r="960">
      <c r="A960" s="12" t="inlineStr">
        <is>
          <t>RET-0086</t>
        </is>
      </c>
      <c r="B960" s="12" t="inlineStr">
        <is>
          <t>VS07</t>
        </is>
      </c>
      <c r="C960" s="28" t="n">
        <v>0.0065</v>
      </c>
      <c r="D960" s="12" t="inlineStr">
        <is>
          <t>PO-2022-3097</t>
        </is>
      </c>
      <c r="E960" s="12" t="n">
        <v>4.47</v>
      </c>
      <c r="F960" s="17" t="n">
        <v>97487.78999999999</v>
      </c>
      <c r="G960" s="14">
        <f>E960*F960</f>
        <v/>
      </c>
      <c r="H960" s="14">
        <f>C960*G960</f>
        <v/>
      </c>
    </row>
    <row r="961">
      <c r="A961" s="12" t="inlineStr">
        <is>
          <t>RET-0086</t>
        </is>
      </c>
      <c r="B961" s="12" t="inlineStr">
        <is>
          <t>VS08</t>
        </is>
      </c>
      <c r="C961" s="28" t="n">
        <v>0.0195</v>
      </c>
      <c r="D961" s="12" t="inlineStr">
        <is>
          <t>PO-2022-2590</t>
        </is>
      </c>
      <c r="E961" s="12" t="n">
        <v>4.47</v>
      </c>
      <c r="F961" s="17" t="n">
        <v>92856.02</v>
      </c>
      <c r="G961" s="14">
        <f>E961*F961</f>
        <v/>
      </c>
      <c r="H961" s="14">
        <f>C961*G961</f>
        <v/>
      </c>
    </row>
    <row r="962">
      <c r="A962" s="12" t="inlineStr">
        <is>
          <t>RET-0086</t>
        </is>
      </c>
      <c r="B962" s="12" t="inlineStr">
        <is>
          <t>VS09</t>
        </is>
      </c>
      <c r="C962" s="28" t="n">
        <v>0.015</v>
      </c>
      <c r="D962" s="12" t="inlineStr">
        <is>
          <t>PO-2021-0531</t>
        </is>
      </c>
      <c r="E962" s="12" t="n">
        <v>4.47</v>
      </c>
      <c r="F962" s="17" t="n">
        <v>119121</v>
      </c>
      <c r="G962" s="14">
        <f>E962*F962</f>
        <v/>
      </c>
      <c r="H962" s="14">
        <f>C962*G962</f>
        <v/>
      </c>
    </row>
    <row r="963">
      <c r="A963" s="12" t="inlineStr">
        <is>
          <t>RET-0086</t>
        </is>
      </c>
      <c r="B963" s="12" t="inlineStr">
        <is>
          <t>VS10</t>
        </is>
      </c>
      <c r="C963" s="28" t="n">
        <v>0.0235</v>
      </c>
      <c r="D963" s="12" t="inlineStr">
        <is>
          <t>PO-2021-0628</t>
        </is>
      </c>
      <c r="E963" s="12" t="n">
        <v>4.47</v>
      </c>
      <c r="F963" s="17" t="n">
        <v>59992.68</v>
      </c>
      <c r="G963" s="14">
        <f>E963*F963</f>
        <v/>
      </c>
      <c r="H963" s="14">
        <f>C963*G963</f>
        <v/>
      </c>
    </row>
    <row r="964">
      <c r="A964" s="12" t="inlineStr">
        <is>
          <t>RET-0086</t>
        </is>
      </c>
      <c r="B964" s="12" t="inlineStr">
        <is>
          <t>VS11</t>
        </is>
      </c>
      <c r="C964" s="28" t="n">
        <v>0.0276</v>
      </c>
      <c r="D964" s="12" t="inlineStr">
        <is>
          <t>PO-2021-0518</t>
        </is>
      </c>
      <c r="E964" s="12" t="n">
        <v>4.47</v>
      </c>
      <c r="F964" s="17" t="n">
        <v>60416.29</v>
      </c>
      <c r="G964" s="14">
        <f>E964*F964</f>
        <v/>
      </c>
      <c r="H964" s="14">
        <f>C964*G964</f>
        <v/>
      </c>
    </row>
    <row r="965">
      <c r="A965" s="12" t="inlineStr">
        <is>
          <t>RET-0086</t>
        </is>
      </c>
      <c r="B965" s="12" t="inlineStr">
        <is>
          <t>VS12</t>
        </is>
      </c>
      <c r="C965" s="28" t="n">
        <v>0.1946</v>
      </c>
      <c r="D965" s="12" t="inlineStr">
        <is>
          <t>PO-2023-3239</t>
        </is>
      </c>
      <c r="E965" s="12" t="n">
        <v>4.47</v>
      </c>
      <c r="F965" s="17" t="n">
        <v>46841.18</v>
      </c>
      <c r="G965" s="14">
        <f>E965*F965</f>
        <v/>
      </c>
      <c r="H965" s="14">
        <f>C965*G965</f>
        <v/>
      </c>
    </row>
    <row r="966">
      <c r="A966" s="12" t="inlineStr">
        <is>
          <t>RET-0086</t>
        </is>
      </c>
      <c r="B966" s="12" t="inlineStr">
        <is>
          <t>VS13</t>
        </is>
      </c>
      <c r="C966" s="28" t="n">
        <v>0.019</v>
      </c>
      <c r="D966" s="12" t="inlineStr">
        <is>
          <t>PO-2023-4356</t>
        </is>
      </c>
      <c r="E966" s="12" t="n">
        <v>4.47</v>
      </c>
      <c r="F966" s="17" t="n">
        <v>97205.55</v>
      </c>
      <c r="G966" s="14">
        <f>E966*F966</f>
        <v/>
      </c>
      <c r="H966" s="14">
        <f>C966*G966</f>
        <v/>
      </c>
    </row>
    <row r="967">
      <c r="A967" s="12" t="inlineStr">
        <is>
          <t>RET-0086</t>
        </is>
      </c>
      <c r="B967" s="12" t="inlineStr">
        <is>
          <t>VS14</t>
        </is>
      </c>
      <c r="C967" s="28" t="n">
        <v>0.0192</v>
      </c>
      <c r="D967" s="12" t="inlineStr">
        <is>
          <t>PO-2023-3336</t>
        </is>
      </c>
      <c r="E967" s="12" t="n">
        <v>4.47</v>
      </c>
      <c r="F967" s="17" t="n">
        <v>68830.96000000001</v>
      </c>
      <c r="G967" s="14">
        <f>E967*F967</f>
        <v/>
      </c>
      <c r="H967" s="14">
        <f>C967*G967</f>
        <v/>
      </c>
    </row>
    <row r="968">
      <c r="A968" s="12" t="inlineStr">
        <is>
          <t>RET-0086</t>
        </is>
      </c>
      <c r="B968" s="12" t="inlineStr">
        <is>
          <t>VS15</t>
        </is>
      </c>
      <c r="C968" s="28" t="n">
        <v>0.0064</v>
      </c>
      <c r="D968" s="12" t="inlineStr">
        <is>
          <t>PO-2022-2991</t>
        </is>
      </c>
      <c r="E968" s="12" t="n">
        <v>1.431</v>
      </c>
      <c r="F968" s="17" t="n">
        <v>114893.66</v>
      </c>
      <c r="G968" s="14">
        <f>E968*F968</f>
        <v/>
      </c>
      <c r="H968" s="14">
        <f>C968*G968</f>
        <v/>
      </c>
    </row>
    <row r="969">
      <c r="A969" s="12" t="inlineStr">
        <is>
          <t>RET-0086</t>
        </is>
      </c>
      <c r="B969" s="12" t="inlineStr">
        <is>
          <t>VS16</t>
        </is>
      </c>
      <c r="C969" s="28" t="n">
        <v>0.0277</v>
      </c>
      <c r="D969" s="12" t="inlineStr">
        <is>
          <t>PO-2021-1338</t>
        </is>
      </c>
      <c r="E969" s="12" t="n">
        <v>4.47</v>
      </c>
      <c r="F969" s="17" t="n">
        <v>89049.44</v>
      </c>
      <c r="G969" s="14">
        <f>E969*F969</f>
        <v/>
      </c>
      <c r="H969" s="14">
        <f>C969*G969</f>
        <v/>
      </c>
    </row>
    <row r="970">
      <c r="A970" s="12" t="inlineStr">
        <is>
          <t>RET-0086</t>
        </is>
      </c>
      <c r="B970" s="12" t="inlineStr">
        <is>
          <t>VS17</t>
        </is>
      </c>
      <c r="C970" s="28" t="n">
        <v>0.0276</v>
      </c>
      <c r="D970" s="12" t="inlineStr">
        <is>
          <t>PO-2021-1139</t>
        </is>
      </c>
      <c r="E970" s="12" t="n">
        <v>4.47</v>
      </c>
      <c r="F970" s="17" t="n">
        <v>73102.87</v>
      </c>
      <c r="G970" s="14">
        <f>E970*F970</f>
        <v/>
      </c>
      <c r="H970" s="14">
        <f>C970*G970</f>
        <v/>
      </c>
    </row>
    <row r="971">
      <c r="A971" s="12" t="inlineStr">
        <is>
          <t>RET-0086</t>
        </is>
      </c>
      <c r="B971" s="12" t="inlineStr">
        <is>
          <t>VS18</t>
        </is>
      </c>
      <c r="C971" s="28" t="n">
        <v>0.0192</v>
      </c>
      <c r="D971" s="12" t="inlineStr">
        <is>
          <t>PO-2021-0238</t>
        </is>
      </c>
      <c r="E971" s="12" t="n">
        <v>4.47</v>
      </c>
      <c r="F971" s="17" t="n">
        <v>92813.44</v>
      </c>
      <c r="G971" s="14">
        <f>E971*F971</f>
        <v/>
      </c>
      <c r="H971" s="14">
        <f>C971*G971</f>
        <v/>
      </c>
    </row>
    <row r="972">
      <c r="A972" s="12" t="inlineStr">
        <is>
          <t>RET-0086</t>
        </is>
      </c>
      <c r="B972" s="12" t="inlineStr">
        <is>
          <t>VS19</t>
        </is>
      </c>
      <c r="C972" s="28" t="n">
        <v>0.1468</v>
      </c>
      <c r="D972" s="12" t="inlineStr">
        <is>
          <t>PO-2021-0442</t>
        </is>
      </c>
      <c r="E972" s="12" t="n">
        <v>4.47</v>
      </c>
      <c r="F972" s="17" t="n">
        <v>108714.69</v>
      </c>
      <c r="G972" s="14">
        <f>E972*F972</f>
        <v/>
      </c>
      <c r="H972" s="14">
        <f>C972*G972</f>
        <v/>
      </c>
    </row>
    <row r="973">
      <c r="A973" s="12" t="inlineStr">
        <is>
          <t>RET-0086</t>
        </is>
      </c>
      <c r="B973" s="12" t="inlineStr">
        <is>
          <t>VS20</t>
        </is>
      </c>
      <c r="C973" s="28" t="n">
        <v>0.0107</v>
      </c>
      <c r="D973" s="12" t="inlineStr">
        <is>
          <t>PO-2021-0088</t>
        </is>
      </c>
      <c r="E973" s="12" t="n">
        <v>4.47</v>
      </c>
      <c r="F973" s="17" t="n">
        <v>100506.7</v>
      </c>
      <c r="G973" s="14">
        <f>E973*F973</f>
        <v/>
      </c>
      <c r="H973" s="14">
        <f>C973*G973</f>
        <v/>
      </c>
    </row>
    <row r="974">
      <c r="A974" s="12" t="inlineStr">
        <is>
          <t>RET-0086</t>
        </is>
      </c>
      <c r="B974" s="12" t="inlineStr">
        <is>
          <t>VS21</t>
        </is>
      </c>
      <c r="C974" s="28" t="n">
        <v>0.0107</v>
      </c>
      <c r="D974" s="12" t="inlineStr">
        <is>
          <t>PO-2021-0891</t>
        </is>
      </c>
      <c r="E974" s="12" t="n">
        <v>4.47</v>
      </c>
      <c r="F974" s="17" t="n">
        <v>51509.83</v>
      </c>
      <c r="G974" s="14">
        <f>E974*F974</f>
        <v/>
      </c>
      <c r="H974" s="14">
        <f>C974*G974</f>
        <v/>
      </c>
    </row>
    <row r="975">
      <c r="A975" s="12" t="inlineStr">
        <is>
          <t>RET-0086</t>
        </is>
      </c>
      <c r="B975" s="12" t="inlineStr">
        <is>
          <t>VS22</t>
        </is>
      </c>
      <c r="C975" s="28" t="n">
        <v>0.0064</v>
      </c>
      <c r="D975" s="12" t="inlineStr">
        <is>
          <t>PO-2021-0198</t>
        </is>
      </c>
      <c r="E975" s="12" t="n">
        <v>4.47</v>
      </c>
      <c r="F975" s="17" t="n">
        <v>93547.89999999999</v>
      </c>
      <c r="G975" s="14">
        <f>E975*F975</f>
        <v/>
      </c>
      <c r="H975" s="14">
        <f>C975*G975</f>
        <v/>
      </c>
    </row>
    <row r="976">
      <c r="A976" s="12" t="inlineStr">
        <is>
          <t>RET-0086</t>
        </is>
      </c>
      <c r="B976" s="12" t="inlineStr">
        <is>
          <t>VS23</t>
        </is>
      </c>
      <c r="C976" s="28" t="n">
        <v>0.0105</v>
      </c>
      <c r="D976" s="12" t="inlineStr">
        <is>
          <t>PO-2021-1111</t>
        </is>
      </c>
      <c r="E976" s="12" t="n">
        <v>4.47</v>
      </c>
      <c r="F976" s="17" t="n">
        <v>63571.04</v>
      </c>
      <c r="G976" s="14">
        <f>E976*F976</f>
        <v/>
      </c>
      <c r="H976" s="14">
        <f>C976*G976</f>
        <v/>
      </c>
    </row>
    <row r="977">
      <c r="A977" s="12" t="inlineStr">
        <is>
          <t>RET-0086</t>
        </is>
      </c>
      <c r="B977" s="12" t="inlineStr">
        <is>
          <t>VS24</t>
        </is>
      </c>
      <c r="C977" s="28" t="n">
        <v>0.0107</v>
      </c>
      <c r="D977" s="12" t="inlineStr">
        <is>
          <t>PO-2021-0797</t>
        </is>
      </c>
      <c r="E977" s="12" t="n">
        <v>4.47</v>
      </c>
      <c r="F977" s="17" t="n">
        <v>64936.17</v>
      </c>
      <c r="G977" s="14">
        <f>E977*F977</f>
        <v/>
      </c>
      <c r="H977" s="14">
        <f>C977*G977</f>
        <v/>
      </c>
    </row>
    <row r="978">
      <c r="A978" s="12" t="inlineStr">
        <is>
          <t>RET-0086</t>
        </is>
      </c>
      <c r="B978" s="12" t="inlineStr">
        <is>
          <t>VS25</t>
        </is>
      </c>
      <c r="C978" s="28" t="n">
        <v>0.0193</v>
      </c>
      <c r="D978" s="12" t="inlineStr">
        <is>
          <t>PO-2021-1442</t>
        </is>
      </c>
      <c r="E978" s="12" t="n">
        <v>4.47</v>
      </c>
      <c r="F978" s="17" t="n">
        <v>110480.81</v>
      </c>
      <c r="G978" s="14">
        <f>E978*F978</f>
        <v/>
      </c>
      <c r="H978" s="14">
        <f>C978*G978</f>
        <v/>
      </c>
    </row>
    <row r="979">
      <c r="A979" s="12" t="inlineStr">
        <is>
          <t>RET-0086</t>
        </is>
      </c>
      <c r="B979" s="12" t="inlineStr">
        <is>
          <t>VS26</t>
        </is>
      </c>
      <c r="C979" s="28" t="n">
        <v>0.0107</v>
      </c>
      <c r="D979" s="12" t="inlineStr">
        <is>
          <t>PO-2022-2186</t>
        </is>
      </c>
      <c r="E979" s="12" t="n">
        <v>4.47</v>
      </c>
      <c r="F979" s="17" t="n">
        <v>104110.23</v>
      </c>
      <c r="G979" s="14">
        <f>E979*F979</f>
        <v/>
      </c>
      <c r="H979" s="14">
        <f>C979*G979</f>
        <v/>
      </c>
    </row>
    <row r="980">
      <c r="A980" s="12" t="inlineStr">
        <is>
          <t>RET-0086</t>
        </is>
      </c>
      <c r="B980" s="12" t="inlineStr">
        <is>
          <t>VS27</t>
        </is>
      </c>
      <c r="C980" s="28" t="n">
        <v>0.0105</v>
      </c>
      <c r="D980" s="12" t="inlineStr">
        <is>
          <t>PO-2023-3316</t>
        </is>
      </c>
      <c r="E980" s="12" t="n">
        <v>4.47</v>
      </c>
      <c r="F980" s="17" t="n">
        <v>111814.16</v>
      </c>
      <c r="G980" s="14">
        <f>E980*F980</f>
        <v/>
      </c>
      <c r="H980" s="14">
        <f>C980*G980</f>
        <v/>
      </c>
    </row>
    <row r="981">
      <c r="A981" s="12" t="inlineStr">
        <is>
          <t>RET-0086</t>
        </is>
      </c>
      <c r="B981" s="12" t="inlineStr">
        <is>
          <t>VS28</t>
        </is>
      </c>
      <c r="C981" s="28" t="n">
        <v>0.0235</v>
      </c>
      <c r="D981" s="12" t="inlineStr">
        <is>
          <t>PO-2022-3112</t>
        </is>
      </c>
      <c r="E981" s="12" t="n">
        <v>4.47</v>
      </c>
      <c r="F981" s="17" t="n">
        <v>97404.73</v>
      </c>
      <c r="G981" s="14">
        <f>E981*F981</f>
        <v/>
      </c>
      <c r="H981" s="14">
        <f>C981*G981</f>
        <v/>
      </c>
    </row>
    <row r="982">
      <c r="A982" s="12" t="inlineStr">
        <is>
          <t>RET-0086</t>
        </is>
      </c>
      <c r="B982" s="12" t="inlineStr">
        <is>
          <t>VS29</t>
        </is>
      </c>
      <c r="C982" s="28" t="n">
        <v>0.0149</v>
      </c>
      <c r="D982" s="12" t="inlineStr">
        <is>
          <t>PO-2021-1282</t>
        </is>
      </c>
      <c r="E982" s="12" t="n">
        <v>0</v>
      </c>
      <c r="F982" s="17" t="n">
        <v>79848.89999999999</v>
      </c>
      <c r="G982" s="14">
        <f>E982*F982</f>
        <v/>
      </c>
      <c r="H982" s="14">
        <f>C982*G982</f>
        <v/>
      </c>
    </row>
    <row r="983">
      <c r="A983" s="12" t="inlineStr">
        <is>
          <t>RET-0086</t>
        </is>
      </c>
      <c r="B983" s="12" t="inlineStr">
        <is>
          <t>VS30</t>
        </is>
      </c>
      <c r="C983" s="28" t="n">
        <v>0.0064</v>
      </c>
      <c r="D983" s="12" t="inlineStr">
        <is>
          <t>PO-2023-4037</t>
        </is>
      </c>
      <c r="E983" s="12" t="n">
        <v>4.47</v>
      </c>
      <c r="F983" s="17" t="n">
        <v>68713.71000000001</v>
      </c>
      <c r="G983" s="14">
        <f>E983*F983</f>
        <v/>
      </c>
      <c r="H983" s="14">
        <f>C983*G983</f>
        <v/>
      </c>
    </row>
    <row r="984">
      <c r="A984" s="12" t="inlineStr">
        <is>
          <t>RET-0086</t>
        </is>
      </c>
      <c r="B984" s="12" t="inlineStr">
        <is>
          <t>VS31</t>
        </is>
      </c>
      <c r="C984" s="28" t="n">
        <v>0.0234</v>
      </c>
      <c r="D984" s="12" t="inlineStr">
        <is>
          <t>PO-2022-2947</t>
        </is>
      </c>
      <c r="E984" s="12" t="n">
        <v>4.47</v>
      </c>
      <c r="F984" s="17" t="n">
        <v>89163.13</v>
      </c>
      <c r="G984" s="14">
        <f>E984*F984</f>
        <v/>
      </c>
      <c r="H984" s="14">
        <f>C984*G984</f>
        <v/>
      </c>
    </row>
    <row r="985">
      <c r="A985" s="12" t="inlineStr">
        <is>
          <t>RET-0086</t>
        </is>
      </c>
      <c r="B985" s="12" t="inlineStr">
        <is>
          <t>VS32</t>
        </is>
      </c>
      <c r="C985" s="28" t="n">
        <v>0.0279</v>
      </c>
      <c r="D985" s="12" t="inlineStr">
        <is>
          <t>PO-2023-3886</t>
        </is>
      </c>
      <c r="E985" s="12" t="n">
        <v>4.47</v>
      </c>
      <c r="F985" s="17" t="n">
        <v>117371.59</v>
      </c>
      <c r="G985" s="14">
        <f>E985*F985</f>
        <v/>
      </c>
      <c r="H985" s="14">
        <f>C985*G985</f>
        <v/>
      </c>
    </row>
    <row r="986">
      <c r="A986" s="12" t="inlineStr">
        <is>
          <t>RET-0086</t>
        </is>
      </c>
      <c r="B986" s="12" t="inlineStr">
        <is>
          <t>VS33</t>
        </is>
      </c>
      <c r="C986" s="28" t="n">
        <v>0.0149</v>
      </c>
      <c r="D986" s="12" t="inlineStr">
        <is>
          <t>PO-2022-3032</t>
        </is>
      </c>
      <c r="E986" s="12" t="n">
        <v>4.47</v>
      </c>
      <c r="F986" s="17" t="n">
        <v>86778.44</v>
      </c>
      <c r="G986" s="14">
        <f>E986*F986</f>
        <v/>
      </c>
      <c r="H986" s="14">
        <f>C986*G986</f>
        <v/>
      </c>
    </row>
    <row r="987">
      <c r="A987" s="12" t="inlineStr">
        <is>
          <t>RET-0086</t>
        </is>
      </c>
      <c r="B987" s="12" t="inlineStr">
        <is>
          <t>VS34</t>
        </is>
      </c>
      <c r="C987" s="28" t="n">
        <v>0.0192</v>
      </c>
      <c r="D987" s="12" t="inlineStr">
        <is>
          <t>PO-2021-0855</t>
        </is>
      </c>
      <c r="E987" s="12" t="n">
        <v>4.47</v>
      </c>
      <c r="F987" s="17" t="n">
        <v>77966.53999999999</v>
      </c>
      <c r="G987" s="14">
        <f>E987*F987</f>
        <v/>
      </c>
      <c r="H987" s="14">
        <f>C987*G987</f>
        <v/>
      </c>
    </row>
    <row r="988">
      <c r="A988" s="12" t="inlineStr">
        <is>
          <t>RET-0088</t>
        </is>
      </c>
      <c r="B988" s="12" t="inlineStr">
        <is>
          <t>VS01</t>
        </is>
      </c>
      <c r="C988" s="28" t="n">
        <v>0.0302</v>
      </c>
      <c r="D988" s="12" t="inlineStr">
        <is>
          <t>PO-2023-3500</t>
        </is>
      </c>
      <c r="E988" s="12" t="n">
        <v>4.45</v>
      </c>
      <c r="F988" s="17" t="n">
        <v>49971.36</v>
      </c>
      <c r="G988" s="14">
        <f>E988*F988</f>
        <v/>
      </c>
      <c r="H988" s="14">
        <f>C988*G988</f>
        <v/>
      </c>
    </row>
    <row r="989">
      <c r="A989" s="12" t="inlineStr">
        <is>
          <t>RET-0088</t>
        </is>
      </c>
      <c r="B989" s="12" t="inlineStr">
        <is>
          <t>VS02</t>
        </is>
      </c>
      <c r="C989" s="28" t="n">
        <v>0.0137</v>
      </c>
      <c r="D989" s="12" t="inlineStr">
        <is>
          <t>PO-2022-2644</t>
        </is>
      </c>
      <c r="E989" s="12" t="n">
        <v>4.45</v>
      </c>
      <c r="F989" s="17" t="n">
        <v>106673.55</v>
      </c>
      <c r="G989" s="14">
        <f>E989*F989</f>
        <v/>
      </c>
      <c r="H989" s="14">
        <f>C989*G989</f>
        <v/>
      </c>
    </row>
    <row r="990">
      <c r="A990" s="12" t="inlineStr">
        <is>
          <t>RET-0088</t>
        </is>
      </c>
      <c r="B990" s="12" t="inlineStr">
        <is>
          <t>VS03</t>
        </is>
      </c>
      <c r="C990" s="28" t="n">
        <v>0.0978</v>
      </c>
      <c r="D990" s="12" t="inlineStr">
        <is>
          <t>PO-2023-4707</t>
        </is>
      </c>
      <c r="E990" s="12" t="n">
        <v>0</v>
      </c>
      <c r="F990" s="17" t="n">
        <v>62710.54</v>
      </c>
      <c r="G990" s="14">
        <f>E990*F990</f>
        <v/>
      </c>
      <c r="H990" s="14">
        <f>C990*G990</f>
        <v/>
      </c>
    </row>
    <row r="991">
      <c r="A991" s="12" t="inlineStr">
        <is>
          <t>RET-0088</t>
        </is>
      </c>
      <c r="B991" s="12" t="inlineStr">
        <is>
          <t>VS04</t>
        </is>
      </c>
      <c r="C991" s="28" t="n">
        <v>0.0189</v>
      </c>
      <c r="D991" s="12" t="inlineStr">
        <is>
          <t>PO-2023-3788</t>
        </is>
      </c>
      <c r="E991" s="12" t="n">
        <v>4.45</v>
      </c>
      <c r="F991" s="17" t="n">
        <v>87077.58</v>
      </c>
      <c r="G991" s="14">
        <f>E991*F991</f>
        <v/>
      </c>
      <c r="H991" s="14">
        <f>C991*G991</f>
        <v/>
      </c>
    </row>
    <row r="992">
      <c r="A992" s="12" t="inlineStr">
        <is>
          <t>RET-0088</t>
        </is>
      </c>
      <c r="B992" s="12" t="inlineStr">
        <is>
          <t>VS05</t>
        </is>
      </c>
      <c r="C992" s="28" t="n">
        <v>0.0246</v>
      </c>
      <c r="D992" s="12" t="inlineStr">
        <is>
          <t>PO-2022-1627</t>
        </is>
      </c>
      <c r="E992" s="12" t="n">
        <v>4.45</v>
      </c>
      <c r="F992" s="17" t="n">
        <v>71502.64</v>
      </c>
      <c r="G992" s="14">
        <f>E992*F992</f>
        <v/>
      </c>
      <c r="H992" s="14">
        <f>C992*G992</f>
        <v/>
      </c>
    </row>
    <row r="993">
      <c r="A993" s="12" t="inlineStr">
        <is>
          <t>RET-0088</t>
        </is>
      </c>
      <c r="B993" s="12" t="inlineStr">
        <is>
          <t>VS06</t>
        </is>
      </c>
      <c r="C993" s="28" t="n">
        <v>0.0248</v>
      </c>
      <c r="D993" s="12" t="inlineStr">
        <is>
          <t>PO-2022-1754</t>
        </is>
      </c>
      <c r="E993" s="12" t="n">
        <v>4.45</v>
      </c>
      <c r="F993" s="17" t="n">
        <v>99978.99000000001</v>
      </c>
      <c r="G993" s="14">
        <f>E993*F993</f>
        <v/>
      </c>
      <c r="H993" s="14">
        <f>C993*G993</f>
        <v/>
      </c>
    </row>
    <row r="994">
      <c r="A994" s="12" t="inlineStr">
        <is>
          <t>RET-0088</t>
        </is>
      </c>
      <c r="B994" s="12" t="inlineStr">
        <is>
          <t>VS07</t>
        </is>
      </c>
      <c r="C994" s="28" t="n">
        <v>0.0083</v>
      </c>
      <c r="D994" s="12" t="inlineStr">
        <is>
          <t>PO-2022-2596</t>
        </is>
      </c>
      <c r="E994" s="12" t="n">
        <v>4.45</v>
      </c>
      <c r="F994" s="17" t="n">
        <v>68873.38</v>
      </c>
      <c r="G994" s="14">
        <f>E994*F994</f>
        <v/>
      </c>
      <c r="H994" s="14">
        <f>C994*G994</f>
        <v/>
      </c>
    </row>
    <row r="995">
      <c r="A995" s="12" t="inlineStr">
        <is>
          <t>RET-0088</t>
        </is>
      </c>
      <c r="B995" s="12" t="inlineStr">
        <is>
          <t>VS08</t>
        </is>
      </c>
      <c r="C995" s="28" t="n">
        <v>0.025</v>
      </c>
      <c r="D995" s="12" t="inlineStr">
        <is>
          <t>PO-2022-2367</t>
        </is>
      </c>
      <c r="E995" s="12" t="n">
        <v>4.45</v>
      </c>
      <c r="F995" s="17" t="n">
        <v>49238.56</v>
      </c>
      <c r="G995" s="14">
        <f>E995*F995</f>
        <v/>
      </c>
      <c r="H995" s="14">
        <f>C995*G995</f>
        <v/>
      </c>
    </row>
    <row r="996">
      <c r="A996" s="12" t="inlineStr">
        <is>
          <t>RET-0088</t>
        </is>
      </c>
      <c r="B996" s="12" t="inlineStr">
        <is>
          <t>VS09</t>
        </is>
      </c>
      <c r="C996" s="28" t="n">
        <v>0.0192</v>
      </c>
      <c r="D996" s="12" t="inlineStr">
        <is>
          <t>PO-2021-0014</t>
        </is>
      </c>
      <c r="E996" s="12" t="n">
        <v>4.45</v>
      </c>
      <c r="F996" s="17" t="n">
        <v>53027.7</v>
      </c>
      <c r="G996" s="14">
        <f>E996*F996</f>
        <v/>
      </c>
      <c r="H996" s="14">
        <f>C996*G996</f>
        <v/>
      </c>
    </row>
    <row r="997">
      <c r="A997" s="12" t="inlineStr">
        <is>
          <t>RET-0088</t>
        </is>
      </c>
      <c r="B997" s="12" t="inlineStr">
        <is>
          <t>VS10</t>
        </is>
      </c>
      <c r="C997" s="28" t="n">
        <v>0.0301</v>
      </c>
      <c r="D997" s="12" t="inlineStr">
        <is>
          <t>PO-2022-3061</t>
        </is>
      </c>
      <c r="E997" s="12" t="n">
        <v>4.45</v>
      </c>
      <c r="F997" s="17" t="n">
        <v>98457.75999999999</v>
      </c>
      <c r="G997" s="14">
        <f>E997*F997</f>
        <v/>
      </c>
      <c r="H997" s="14">
        <f>C997*G997</f>
        <v/>
      </c>
    </row>
    <row r="998">
      <c r="A998" s="12" t="inlineStr">
        <is>
          <t>RET-0088</t>
        </is>
      </c>
      <c r="B998" s="12" t="inlineStr">
        <is>
          <t>VS11</t>
        </is>
      </c>
      <c r="C998" s="28" t="n">
        <v>0.0353</v>
      </c>
      <c r="D998" s="12" t="inlineStr">
        <is>
          <t>PO-2021-1148</t>
        </is>
      </c>
      <c r="E998" s="12" t="n">
        <v>4.45</v>
      </c>
      <c r="F998" s="17" t="n">
        <v>71389.23</v>
      </c>
      <c r="G998" s="14">
        <f>E998*F998</f>
        <v/>
      </c>
      <c r="H998" s="14">
        <f>C998*G998</f>
        <v/>
      </c>
    </row>
    <row r="999">
      <c r="A999" s="12" t="inlineStr">
        <is>
          <t>RET-0088</t>
        </is>
      </c>
      <c r="B999" s="12" t="inlineStr">
        <is>
          <t>VS12</t>
        </is>
      </c>
      <c r="C999" s="28" t="n">
        <v>0.1359</v>
      </c>
      <c r="D999" s="12" t="inlineStr">
        <is>
          <t>PO-2023-4704</t>
        </is>
      </c>
      <c r="E999" s="12" t="n">
        <v>4.45</v>
      </c>
      <c r="F999" s="17" t="n">
        <v>87697.39</v>
      </c>
      <c r="G999" s="14">
        <f>E999*F999</f>
        <v/>
      </c>
      <c r="H999" s="14">
        <f>C999*G999</f>
        <v/>
      </c>
    </row>
    <row r="1000">
      <c r="A1000" s="12" t="inlineStr">
        <is>
          <t>RET-0088</t>
        </is>
      </c>
      <c r="B1000" s="12" t="inlineStr">
        <is>
          <t>VS13</t>
        </is>
      </c>
      <c r="C1000" s="28" t="n">
        <v>0.0243</v>
      </c>
      <c r="D1000" s="12" t="inlineStr">
        <is>
          <t>PO-2022-1758</t>
        </is>
      </c>
      <c r="E1000" s="12" t="n">
        <v>4.45</v>
      </c>
      <c r="F1000" s="17" t="n">
        <v>86571.28</v>
      </c>
      <c r="G1000" s="14">
        <f>E1000*F1000</f>
        <v/>
      </c>
      <c r="H1000" s="14">
        <f>C1000*G1000</f>
        <v/>
      </c>
    </row>
    <row r="1001">
      <c r="A1001" s="12" t="inlineStr">
        <is>
          <t>RET-0088</t>
        </is>
      </c>
      <c r="B1001" s="12" t="inlineStr">
        <is>
          <t>VS14</t>
        </is>
      </c>
      <c r="C1001" s="28" t="n">
        <v>0.0246</v>
      </c>
      <c r="D1001" s="12" t="inlineStr">
        <is>
          <t>PO-2023-3995</t>
        </is>
      </c>
      <c r="E1001" s="12" t="n">
        <v>4.45</v>
      </c>
      <c r="F1001" s="17" t="n">
        <v>45908.7</v>
      </c>
      <c r="G1001" s="14">
        <f>E1001*F1001</f>
        <v/>
      </c>
      <c r="H1001" s="14">
        <f>C1001*G1001</f>
        <v/>
      </c>
    </row>
    <row r="1002">
      <c r="A1002" s="12" t="inlineStr">
        <is>
          <t>RET-0088</t>
        </is>
      </c>
      <c r="B1002" s="12" t="inlineStr">
        <is>
          <t>VS15</t>
        </is>
      </c>
      <c r="C1002" s="28" t="n">
        <v>0.008200000000000001</v>
      </c>
      <c r="D1002" s="12" t="inlineStr">
        <is>
          <t>PO-2022-1879</t>
        </is>
      </c>
      <c r="E1002" s="12" t="n">
        <v>4.45</v>
      </c>
      <c r="F1002" s="17" t="n">
        <v>60513.23</v>
      </c>
      <c r="G1002" s="14">
        <f>E1002*F1002</f>
        <v/>
      </c>
      <c r="H1002" s="14">
        <f>C1002*G1002</f>
        <v/>
      </c>
    </row>
    <row r="1003">
      <c r="A1003" s="12" t="inlineStr">
        <is>
          <t>RET-0088</t>
        </is>
      </c>
      <c r="B1003" s="12" t="inlineStr">
        <is>
          <t>VS16</t>
        </is>
      </c>
      <c r="C1003" s="28" t="n">
        <v>0.0354</v>
      </c>
      <c r="D1003" s="12" t="inlineStr">
        <is>
          <t>PO-2023-3735</t>
        </is>
      </c>
      <c r="E1003" s="12" t="n">
        <v>4.45</v>
      </c>
      <c r="F1003" s="17" t="n">
        <v>87729.87</v>
      </c>
      <c r="G1003" s="14">
        <f>E1003*F1003</f>
        <v/>
      </c>
      <c r="H1003" s="14">
        <f>C1003*G1003</f>
        <v/>
      </c>
    </row>
    <row r="1004">
      <c r="A1004" s="12" t="inlineStr">
        <is>
          <t>RET-0088</t>
        </is>
      </c>
      <c r="B1004" s="12" t="inlineStr">
        <is>
          <t>VS17</t>
        </is>
      </c>
      <c r="C1004" s="28" t="n">
        <v>0.0353</v>
      </c>
      <c r="D1004" s="12" t="inlineStr">
        <is>
          <t>PO-2021-1495</t>
        </is>
      </c>
      <c r="E1004" s="12" t="n">
        <v>4.45</v>
      </c>
      <c r="F1004" s="17" t="n">
        <v>112774.5</v>
      </c>
      <c r="G1004" s="14">
        <f>E1004*F1004</f>
        <v/>
      </c>
      <c r="H1004" s="14">
        <f>C1004*G1004</f>
        <v/>
      </c>
    </row>
    <row r="1005">
      <c r="A1005" s="12" t="inlineStr">
        <is>
          <t>RET-0088</t>
        </is>
      </c>
      <c r="B1005" s="12" t="inlineStr">
        <is>
          <t>VS18</t>
        </is>
      </c>
      <c r="C1005" s="28" t="n">
        <v>0.0246</v>
      </c>
      <c r="D1005" s="12" t="inlineStr">
        <is>
          <t>PO-2022-1684</t>
        </is>
      </c>
      <c r="E1005" s="12" t="n">
        <v>4.45</v>
      </c>
      <c r="F1005" s="17" t="n">
        <v>116492.2</v>
      </c>
      <c r="G1005" s="14">
        <f>E1005*F1005</f>
        <v/>
      </c>
      <c r="H1005" s="14">
        <f>C1005*G1005</f>
        <v/>
      </c>
    </row>
    <row r="1006">
      <c r="A1006" s="12" t="inlineStr">
        <is>
          <t>RET-0088</t>
        </is>
      </c>
      <c r="B1006" s="12" t="inlineStr">
        <is>
          <t>VS19</t>
        </is>
      </c>
      <c r="C1006" s="28" t="n">
        <v>0.1025</v>
      </c>
      <c r="D1006" s="12" t="inlineStr">
        <is>
          <t>PO-2022-1676</t>
        </is>
      </c>
      <c r="E1006" s="12" t="n">
        <v>4.45</v>
      </c>
      <c r="F1006" s="17" t="n">
        <v>54036.62</v>
      </c>
      <c r="G1006" s="14">
        <f>E1006*F1006</f>
        <v/>
      </c>
      <c r="H1006" s="14">
        <f>C1006*G1006</f>
        <v/>
      </c>
    </row>
    <row r="1007">
      <c r="A1007" s="12" t="inlineStr">
        <is>
          <t>RET-0088</t>
        </is>
      </c>
      <c r="B1007" s="12" t="inlineStr">
        <is>
          <t>VS20</t>
        </is>
      </c>
      <c r="C1007" s="28" t="n">
        <v>0.0137</v>
      </c>
      <c r="D1007" s="12" t="inlineStr">
        <is>
          <t>PO-2022-2529</t>
        </is>
      </c>
      <c r="E1007" s="12" t="n">
        <v>4.45</v>
      </c>
      <c r="F1007" s="17" t="n">
        <v>56097.9</v>
      </c>
      <c r="G1007" s="14">
        <f>E1007*F1007</f>
        <v/>
      </c>
      <c r="H1007" s="14">
        <f>C1007*G1007</f>
        <v/>
      </c>
    </row>
    <row r="1008">
      <c r="A1008" s="12" t="inlineStr">
        <is>
          <t>RET-0088</t>
        </is>
      </c>
      <c r="B1008" s="12" t="inlineStr">
        <is>
          <t>VS21</t>
        </is>
      </c>
      <c r="C1008" s="28" t="n">
        <v>0.0137</v>
      </c>
      <c r="D1008" s="12" t="inlineStr">
        <is>
          <t>PO-2023-4417</t>
        </is>
      </c>
      <c r="E1008" s="12" t="n">
        <v>4.45</v>
      </c>
      <c r="F1008" s="17" t="n">
        <v>114156.44</v>
      </c>
      <c r="G1008" s="14">
        <f>E1008*F1008</f>
        <v/>
      </c>
      <c r="H1008" s="14">
        <f>C1008*G1008</f>
        <v/>
      </c>
    </row>
    <row r="1009">
      <c r="A1009" s="12" t="inlineStr">
        <is>
          <t>RET-0088</t>
        </is>
      </c>
      <c r="B1009" s="12" t="inlineStr">
        <is>
          <t>VS22</t>
        </is>
      </c>
      <c r="C1009" s="28" t="n">
        <v>0.0081</v>
      </c>
      <c r="D1009" s="12" t="inlineStr">
        <is>
          <t>PO-2022-1943</t>
        </is>
      </c>
      <c r="E1009" s="12" t="n">
        <v>4.45</v>
      </c>
      <c r="F1009" s="17" t="n">
        <v>100294.91</v>
      </c>
      <c r="G1009" s="14">
        <f>E1009*F1009</f>
        <v/>
      </c>
      <c r="H1009" s="14">
        <f>C1009*G1009</f>
        <v/>
      </c>
    </row>
    <row r="1010">
      <c r="A1010" s="12" t="inlineStr">
        <is>
          <t>RET-0088</t>
        </is>
      </c>
      <c r="B1010" s="12" t="inlineStr">
        <is>
          <t>VS23</t>
        </is>
      </c>
      <c r="C1010" s="28" t="n">
        <v>0.0135</v>
      </c>
      <c r="D1010" s="12" t="inlineStr">
        <is>
          <t>PO-2022-1722</t>
        </is>
      </c>
      <c r="E1010" s="12" t="n">
        <v>2.067</v>
      </c>
      <c r="F1010" s="17" t="n">
        <v>86272.82000000001</v>
      </c>
      <c r="G1010" s="14">
        <f>E1010*F1010</f>
        <v/>
      </c>
      <c r="H1010" s="14">
        <f>C1010*G1010</f>
        <v/>
      </c>
    </row>
    <row r="1011">
      <c r="A1011" s="12" t="inlineStr">
        <is>
          <t>RET-0088</t>
        </is>
      </c>
      <c r="B1011" s="12" t="inlineStr">
        <is>
          <t>VS24</t>
        </is>
      </c>
      <c r="C1011" s="28" t="n">
        <v>0.0136</v>
      </c>
      <c r="D1011" s="12" t="inlineStr">
        <is>
          <t>PO-2021-1245</t>
        </is>
      </c>
      <c r="E1011" s="12" t="n">
        <v>4.45</v>
      </c>
      <c r="F1011" s="17" t="n">
        <v>71585.5</v>
      </c>
      <c r="G1011" s="14">
        <f>E1011*F1011</f>
        <v/>
      </c>
      <c r="H1011" s="14">
        <f>C1011*G1011</f>
        <v/>
      </c>
    </row>
    <row r="1012">
      <c r="A1012" s="12" t="inlineStr">
        <is>
          <t>RET-0088</t>
        </is>
      </c>
      <c r="B1012" s="12" t="inlineStr">
        <is>
          <t>VS25</t>
        </is>
      </c>
      <c r="C1012" s="28" t="n">
        <v>0.0247</v>
      </c>
      <c r="D1012" s="12" t="inlineStr">
        <is>
          <t>PO-2021-1569</t>
        </is>
      </c>
      <c r="E1012" s="12" t="n">
        <v>4.45</v>
      </c>
      <c r="F1012" s="17" t="n">
        <v>92572.92</v>
      </c>
      <c r="G1012" s="14">
        <f>E1012*F1012</f>
        <v/>
      </c>
      <c r="H1012" s="14">
        <f>C1012*G1012</f>
        <v/>
      </c>
    </row>
    <row r="1013">
      <c r="A1013" s="12" t="inlineStr">
        <is>
          <t>RET-0088</t>
        </is>
      </c>
      <c r="B1013" s="12" t="inlineStr">
        <is>
          <t>VS26</t>
        </is>
      </c>
      <c r="C1013" s="28" t="n">
        <v>0.0138</v>
      </c>
      <c r="D1013" s="12" t="inlineStr">
        <is>
          <t>PO-2021-0818</t>
        </is>
      </c>
      <c r="E1013" s="12" t="n">
        <v>4.45</v>
      </c>
      <c r="F1013" s="17" t="n">
        <v>82636.73</v>
      </c>
      <c r="G1013" s="14">
        <f>E1013*F1013</f>
        <v/>
      </c>
      <c r="H1013" s="14">
        <f>C1013*G1013</f>
        <v/>
      </c>
    </row>
    <row r="1014">
      <c r="A1014" s="12" t="inlineStr">
        <is>
          <t>RET-0088</t>
        </is>
      </c>
      <c r="B1014" s="12" t="inlineStr">
        <is>
          <t>VS27</t>
        </is>
      </c>
      <c r="C1014" s="28" t="n">
        <v>0.0135</v>
      </c>
      <c r="D1014" s="12" t="inlineStr">
        <is>
          <t>PO-2021-1114</t>
        </is>
      </c>
      <c r="E1014" s="12" t="n">
        <v>1.94</v>
      </c>
      <c r="F1014" s="17" t="n">
        <v>80227.49000000001</v>
      </c>
      <c r="G1014" s="14">
        <f>E1014*F1014</f>
        <v/>
      </c>
      <c r="H1014" s="14">
        <f>C1014*G1014</f>
        <v/>
      </c>
    </row>
    <row r="1015">
      <c r="A1015" s="12" t="inlineStr">
        <is>
          <t>RET-0088</t>
        </is>
      </c>
      <c r="B1015" s="12" t="inlineStr">
        <is>
          <t>VS28</t>
        </is>
      </c>
      <c r="C1015" s="28" t="n">
        <v>0.0301</v>
      </c>
      <c r="D1015" s="12" t="inlineStr">
        <is>
          <t>PO-2022-3062</t>
        </is>
      </c>
      <c r="E1015" s="12" t="n">
        <v>4.45</v>
      </c>
      <c r="F1015" s="17" t="n">
        <v>55568.5</v>
      </c>
      <c r="G1015" s="14">
        <f>E1015*F1015</f>
        <v/>
      </c>
      <c r="H1015" s="14">
        <f>C1015*G1015</f>
        <v/>
      </c>
    </row>
    <row r="1016">
      <c r="A1016" s="12" t="inlineStr">
        <is>
          <t>RET-0088</t>
        </is>
      </c>
      <c r="B1016" s="12" t="inlineStr">
        <is>
          <t>VS29</t>
        </is>
      </c>
      <c r="C1016" s="28" t="n">
        <v>0.0191</v>
      </c>
      <c r="D1016" s="12" t="inlineStr">
        <is>
          <t>PO-2021-1040</t>
        </is>
      </c>
      <c r="E1016" s="12" t="n">
        <v>4.45</v>
      </c>
      <c r="F1016" s="17" t="n">
        <v>60386.65</v>
      </c>
      <c r="G1016" s="14">
        <f>E1016*F1016</f>
        <v/>
      </c>
      <c r="H1016" s="14">
        <f>C1016*G1016</f>
        <v/>
      </c>
    </row>
    <row r="1017">
      <c r="A1017" s="12" t="inlineStr">
        <is>
          <t>RET-0088</t>
        </is>
      </c>
      <c r="B1017" s="12" t="inlineStr">
        <is>
          <t>VS30</t>
        </is>
      </c>
      <c r="C1017" s="28" t="n">
        <v>0.008200000000000001</v>
      </c>
      <c r="D1017" s="12" t="inlineStr">
        <is>
          <t>PO-2022-2096</t>
        </is>
      </c>
      <c r="E1017" s="12" t="n">
        <v>1.93</v>
      </c>
      <c r="F1017" s="17" t="n">
        <v>97825.42</v>
      </c>
      <c r="G1017" s="14">
        <f>E1017*F1017</f>
        <v/>
      </c>
      <c r="H1017" s="14">
        <f>C1017*G1017</f>
        <v/>
      </c>
    </row>
    <row r="1018">
      <c r="A1018" s="12" t="inlineStr">
        <is>
          <t>RET-0088</t>
        </is>
      </c>
      <c r="B1018" s="12" t="inlineStr">
        <is>
          <t>VS31</t>
        </is>
      </c>
      <c r="C1018" s="28" t="n">
        <v>0.03</v>
      </c>
      <c r="D1018" s="12" t="inlineStr">
        <is>
          <t>PO-2022-2418</t>
        </is>
      </c>
      <c r="E1018" s="12" t="n">
        <v>4.45</v>
      </c>
      <c r="F1018" s="17" t="n">
        <v>51222.35</v>
      </c>
      <c r="G1018" s="14">
        <f>E1018*F1018</f>
        <v/>
      </c>
      <c r="H1018" s="14">
        <f>C1018*G1018</f>
        <v/>
      </c>
    </row>
    <row r="1019">
      <c r="A1019" s="12" t="inlineStr">
        <is>
          <t>RET-0088</t>
        </is>
      </c>
      <c r="B1019" s="12" t="inlineStr">
        <is>
          <t>VS32</t>
        </is>
      </c>
      <c r="C1019" s="28" t="n">
        <v>0.0357</v>
      </c>
      <c r="D1019" s="12" t="inlineStr">
        <is>
          <t>PO-2023-3565</t>
        </is>
      </c>
      <c r="E1019" s="12" t="n">
        <v>4.45</v>
      </c>
      <c r="F1019" s="17" t="n">
        <v>112862.59</v>
      </c>
      <c r="G1019" s="14">
        <f>E1019*F1019</f>
        <v/>
      </c>
      <c r="H1019" s="14">
        <f>C1019*G1019</f>
        <v/>
      </c>
    </row>
    <row r="1020">
      <c r="A1020" s="12" t="inlineStr">
        <is>
          <t>RET-0088</t>
        </is>
      </c>
      <c r="B1020" s="12" t="inlineStr">
        <is>
          <t>VS33</t>
        </is>
      </c>
      <c r="C1020" s="28" t="n">
        <v>0.019</v>
      </c>
      <c r="D1020" s="12" t="inlineStr">
        <is>
          <t>PO-2023-3609</t>
        </is>
      </c>
      <c r="E1020" s="12" t="n">
        <v>4.45</v>
      </c>
      <c r="F1020" s="17" t="n">
        <v>93601.06</v>
      </c>
      <c r="G1020" s="14">
        <f>E1020*F1020</f>
        <v/>
      </c>
      <c r="H1020" s="14">
        <f>C1020*G1020</f>
        <v/>
      </c>
    </row>
    <row r="1021">
      <c r="A1021" s="12" t="inlineStr">
        <is>
          <t>RET-0088</t>
        </is>
      </c>
      <c r="B1021" s="12" t="inlineStr">
        <is>
          <t>VS34</t>
        </is>
      </c>
      <c r="C1021" s="28" t="n">
        <v>0.0246</v>
      </c>
      <c r="D1021" s="12" t="inlineStr">
        <is>
          <t>PO-2021-0682</t>
        </is>
      </c>
      <c r="E1021" s="12" t="n">
        <v>4.45</v>
      </c>
      <c r="F1021" s="17" t="n">
        <v>113043.18</v>
      </c>
      <c r="G1021" s="14">
        <f>E1021*F1021</f>
        <v/>
      </c>
      <c r="H1021" s="14">
        <f>C1021*G1021</f>
        <v/>
      </c>
    </row>
    <row r="1022">
      <c r="A1022" s="12" t="inlineStr">
        <is>
          <t>RET-0089</t>
        </is>
      </c>
      <c r="B1022" s="12" t="inlineStr">
        <is>
          <t>VS01</t>
        </is>
      </c>
      <c r="C1022" s="28" t="n">
        <v>0.021</v>
      </c>
      <c r="D1022" s="12" t="inlineStr">
        <is>
          <t>PO-2023-3513</t>
        </is>
      </c>
      <c r="E1022" s="12" t="n">
        <v>0.85</v>
      </c>
      <c r="F1022" s="17" t="n">
        <v>90368.64</v>
      </c>
      <c r="G1022" s="14">
        <f>E1022*F1022</f>
        <v/>
      </c>
      <c r="H1022" s="14">
        <f>C1022*G1022</f>
        <v/>
      </c>
    </row>
    <row r="1023">
      <c r="A1023" s="12" t="inlineStr">
        <is>
          <t>RET-0089</t>
        </is>
      </c>
      <c r="B1023" s="12" t="inlineStr">
        <is>
          <t>VS02</t>
        </is>
      </c>
      <c r="C1023" s="28" t="n">
        <v>0.009599999999999999</v>
      </c>
      <c r="D1023" s="12" t="inlineStr">
        <is>
          <t>PO-2022-2139</t>
        </is>
      </c>
      <c r="E1023" s="12" t="n">
        <v>0.85</v>
      </c>
      <c r="F1023" s="17" t="n">
        <v>80287.67</v>
      </c>
      <c r="G1023" s="14">
        <f>E1023*F1023</f>
        <v/>
      </c>
      <c r="H1023" s="14">
        <f>C1023*G1023</f>
        <v/>
      </c>
    </row>
    <row r="1024">
      <c r="A1024" s="12" t="inlineStr">
        <is>
          <t>RET-0089</t>
        </is>
      </c>
      <c r="B1024" s="12" t="inlineStr">
        <is>
          <t>VS03</t>
        </is>
      </c>
      <c r="C1024" s="28" t="n">
        <v>0.1563</v>
      </c>
      <c r="D1024" s="12" t="inlineStr">
        <is>
          <t>PO-2023-4110</t>
        </is>
      </c>
      <c r="E1024" s="12" t="n">
        <v>0.85</v>
      </c>
      <c r="F1024" s="17" t="n">
        <v>123030.57</v>
      </c>
      <c r="G1024" s="14">
        <f>E1024*F1024</f>
        <v/>
      </c>
      <c r="H1024" s="14">
        <f>C1024*G1024</f>
        <v/>
      </c>
    </row>
    <row r="1025">
      <c r="A1025" s="12" t="inlineStr">
        <is>
          <t>RET-0089</t>
        </is>
      </c>
      <c r="B1025" s="12" t="inlineStr">
        <is>
          <t>VS04</t>
        </is>
      </c>
      <c r="C1025" s="28" t="n">
        <v>0.0132</v>
      </c>
      <c r="D1025" s="12" t="inlineStr">
        <is>
          <t>PO-2023-3927</t>
        </is>
      </c>
      <c r="E1025" s="12" t="n">
        <v>0.85</v>
      </c>
      <c r="F1025" s="17" t="n">
        <v>54233.12</v>
      </c>
      <c r="G1025" s="14">
        <f>E1025*F1025</f>
        <v/>
      </c>
      <c r="H1025" s="14">
        <f>C1025*G1025</f>
        <v/>
      </c>
    </row>
    <row r="1026">
      <c r="A1026" s="12" t="inlineStr">
        <is>
          <t>RET-0089</t>
        </is>
      </c>
      <c r="B1026" s="12" t="inlineStr">
        <is>
          <t>VS05</t>
        </is>
      </c>
      <c r="C1026" s="28" t="n">
        <v>0.0171</v>
      </c>
      <c r="D1026" s="12" t="inlineStr">
        <is>
          <t>PO-2021-1223</t>
        </is>
      </c>
      <c r="E1026" s="12" t="n">
        <v>0.85</v>
      </c>
      <c r="F1026" s="17" t="n">
        <v>91317.22</v>
      </c>
      <c r="G1026" s="14">
        <f>E1026*F1026</f>
        <v/>
      </c>
      <c r="H1026" s="14">
        <f>C1026*G1026</f>
        <v/>
      </c>
    </row>
    <row r="1027">
      <c r="A1027" s="12" t="inlineStr">
        <is>
          <t>RET-0089</t>
        </is>
      </c>
      <c r="B1027" s="12" t="inlineStr">
        <is>
          <t>VS06</t>
        </is>
      </c>
      <c r="C1027" s="28" t="n">
        <v>0.0173</v>
      </c>
      <c r="D1027" s="12" t="inlineStr">
        <is>
          <t>PO-2023-3555</t>
        </is>
      </c>
      <c r="E1027" s="12" t="n">
        <v>0.85</v>
      </c>
      <c r="F1027" s="17" t="n">
        <v>90309.67999999999</v>
      </c>
      <c r="G1027" s="14">
        <f>E1027*F1027</f>
        <v/>
      </c>
      <c r="H1027" s="14">
        <f>C1027*G1027</f>
        <v/>
      </c>
    </row>
    <row r="1028">
      <c r="A1028" s="12" t="inlineStr">
        <is>
          <t>RET-0089</t>
        </is>
      </c>
      <c r="B1028" s="12" t="inlineStr">
        <is>
          <t>VS07</t>
        </is>
      </c>
      <c r="C1028" s="28" t="n">
        <v>0.0058</v>
      </c>
      <c r="D1028" s="12" t="inlineStr">
        <is>
          <t>PO-2022-2706</t>
        </is>
      </c>
      <c r="E1028" s="12" t="n">
        <v>0.85</v>
      </c>
      <c r="F1028" s="17" t="n">
        <v>53401.1</v>
      </c>
      <c r="G1028" s="14">
        <f>E1028*F1028</f>
        <v/>
      </c>
      <c r="H1028" s="14">
        <f>C1028*G1028</f>
        <v/>
      </c>
    </row>
    <row r="1029">
      <c r="A1029" s="12" t="inlineStr">
        <is>
          <t>RET-0089</t>
        </is>
      </c>
      <c r="B1029" s="12" t="inlineStr">
        <is>
          <t>VS08</t>
        </is>
      </c>
      <c r="C1029" s="28" t="n">
        <v>0.0174</v>
      </c>
      <c r="D1029" s="12" t="inlineStr">
        <is>
          <t>PO-2022-1680</t>
        </is>
      </c>
      <c r="E1029" s="12" t="n">
        <v>0.85</v>
      </c>
      <c r="F1029" s="17" t="n">
        <v>81293.32000000001</v>
      </c>
      <c r="G1029" s="14">
        <f>E1029*F1029</f>
        <v/>
      </c>
      <c r="H1029" s="14">
        <f>C1029*G1029</f>
        <v/>
      </c>
    </row>
    <row r="1030">
      <c r="A1030" s="12" t="inlineStr">
        <is>
          <t>RET-0089</t>
        </is>
      </c>
      <c r="B1030" s="12" t="inlineStr">
        <is>
          <t>VS09</t>
        </is>
      </c>
      <c r="C1030" s="28" t="n">
        <v>0.0134</v>
      </c>
      <c r="D1030" s="12" t="inlineStr">
        <is>
          <t>PO-2023-4004</t>
        </is>
      </c>
      <c r="E1030" s="12" t="n">
        <v>0.85</v>
      </c>
      <c r="F1030" s="17" t="n">
        <v>90789.31</v>
      </c>
      <c r="G1030" s="14">
        <f>E1030*F1030</f>
        <v/>
      </c>
      <c r="H1030" s="14">
        <f>C1030*G1030</f>
        <v/>
      </c>
    </row>
    <row r="1031">
      <c r="A1031" s="12" t="inlineStr">
        <is>
          <t>RET-0089</t>
        </is>
      </c>
      <c r="B1031" s="12" t="inlineStr">
        <is>
          <t>VS10</t>
        </is>
      </c>
      <c r="C1031" s="28" t="n">
        <v>0.021</v>
      </c>
      <c r="D1031" s="12" t="inlineStr">
        <is>
          <t>PO-2023-4770</t>
        </is>
      </c>
      <c r="E1031" s="12" t="n">
        <v>0.85</v>
      </c>
      <c r="F1031" s="17" t="n">
        <v>109886.01</v>
      </c>
      <c r="G1031" s="14">
        <f>E1031*F1031</f>
        <v/>
      </c>
      <c r="H1031" s="14">
        <f>C1031*G1031</f>
        <v/>
      </c>
    </row>
    <row r="1032">
      <c r="A1032" s="12" t="inlineStr">
        <is>
          <t>RET-0089</t>
        </is>
      </c>
      <c r="B1032" s="12" t="inlineStr">
        <is>
          <t>VS11</t>
        </is>
      </c>
      <c r="C1032" s="28" t="n">
        <v>0.0246</v>
      </c>
      <c r="D1032" s="12" t="inlineStr">
        <is>
          <t>PO-2022-2005</t>
        </is>
      </c>
      <c r="E1032" s="12" t="n">
        <v>0.85</v>
      </c>
      <c r="F1032" s="17" t="n">
        <v>83022.78</v>
      </c>
      <c r="G1032" s="14">
        <f>E1032*F1032</f>
        <v/>
      </c>
      <c r="H1032" s="14">
        <f>C1032*G1032</f>
        <v/>
      </c>
    </row>
    <row r="1033">
      <c r="A1033" s="12" t="inlineStr">
        <is>
          <t>RET-0089</t>
        </is>
      </c>
      <c r="B1033" s="12" t="inlineStr">
        <is>
          <t>VS12</t>
        </is>
      </c>
      <c r="C1033" s="28" t="n">
        <v>0.2172</v>
      </c>
      <c r="D1033" s="12" t="inlineStr">
        <is>
          <t>PO-2021-0507</t>
        </is>
      </c>
      <c r="E1033" s="12" t="n">
        <v>0.85</v>
      </c>
      <c r="F1033" s="17" t="n">
        <v>122267.47</v>
      </c>
      <c r="G1033" s="14">
        <f>E1033*F1033</f>
        <v/>
      </c>
      <c r="H1033" s="14">
        <f>C1033*G1033</f>
        <v/>
      </c>
    </row>
    <row r="1034">
      <c r="A1034" s="12" t="inlineStr">
        <is>
          <t>RET-0089</t>
        </is>
      </c>
      <c r="B1034" s="12" t="inlineStr">
        <is>
          <t>VS13</t>
        </is>
      </c>
      <c r="C1034" s="28" t="n">
        <v>0.0169</v>
      </c>
      <c r="D1034" s="12" t="inlineStr">
        <is>
          <t>PO-2023-4198</t>
        </is>
      </c>
      <c r="E1034" s="12" t="n">
        <v>0.85</v>
      </c>
      <c r="F1034" s="17" t="n">
        <v>115775.93</v>
      </c>
      <c r="G1034" s="14">
        <f>E1034*F1034</f>
        <v/>
      </c>
      <c r="H1034" s="14">
        <f>C1034*G1034</f>
        <v/>
      </c>
    </row>
    <row r="1035">
      <c r="A1035" s="12" t="inlineStr">
        <is>
          <t>RET-0089</t>
        </is>
      </c>
      <c r="B1035" s="12" t="inlineStr">
        <is>
          <t>VS14</t>
        </is>
      </c>
      <c r="C1035" s="28" t="n">
        <v>0.0171</v>
      </c>
      <c r="D1035" s="12" t="inlineStr">
        <is>
          <t>PO-2021-0888</t>
        </is>
      </c>
      <c r="E1035" s="12" t="n">
        <v>0.85</v>
      </c>
      <c r="F1035" s="17" t="n">
        <v>111602.21</v>
      </c>
      <c r="G1035" s="14">
        <f>E1035*F1035</f>
        <v/>
      </c>
      <c r="H1035" s="14">
        <f>C1035*G1035</f>
        <v/>
      </c>
    </row>
    <row r="1036">
      <c r="A1036" s="12" t="inlineStr">
        <is>
          <t>RET-0089</t>
        </is>
      </c>
      <c r="B1036" s="12" t="inlineStr">
        <is>
          <t>VS15</t>
        </is>
      </c>
      <c r="C1036" s="28" t="n">
        <v>0.0057</v>
      </c>
      <c r="D1036" s="12" t="inlineStr">
        <is>
          <t>PO-2023-3990</t>
        </is>
      </c>
      <c r="E1036" s="12" t="n">
        <v>0.85</v>
      </c>
      <c r="F1036" s="17" t="n">
        <v>110044.72</v>
      </c>
      <c r="G1036" s="14">
        <f>E1036*F1036</f>
        <v/>
      </c>
      <c r="H1036" s="14">
        <f>C1036*G1036</f>
        <v/>
      </c>
    </row>
    <row r="1037">
      <c r="A1037" s="12" t="inlineStr">
        <is>
          <t>RET-0089</t>
        </is>
      </c>
      <c r="B1037" s="12" t="inlineStr">
        <is>
          <t>VS16</t>
        </is>
      </c>
      <c r="C1037" s="28" t="n">
        <v>0.0247</v>
      </c>
      <c r="D1037" s="12" t="inlineStr">
        <is>
          <t>PO-2022-2250</t>
        </is>
      </c>
      <c r="E1037" s="12" t="n">
        <v>0.85</v>
      </c>
      <c r="F1037" s="17" t="n">
        <v>119031.41</v>
      </c>
      <c r="G1037" s="14">
        <f>E1037*F1037</f>
        <v/>
      </c>
      <c r="H1037" s="14">
        <f>C1037*G1037</f>
        <v/>
      </c>
    </row>
    <row r="1038">
      <c r="A1038" s="12" t="inlineStr">
        <is>
          <t>RET-0089</t>
        </is>
      </c>
      <c r="B1038" s="12" t="inlineStr">
        <is>
          <t>VS17</t>
        </is>
      </c>
      <c r="C1038" s="28" t="n">
        <v>0.0246</v>
      </c>
      <c r="D1038" s="12" t="inlineStr">
        <is>
          <t>PO-2023-3556</t>
        </is>
      </c>
      <c r="E1038" s="12" t="n">
        <v>0.85</v>
      </c>
      <c r="F1038" s="17" t="n">
        <v>101942.22</v>
      </c>
      <c r="G1038" s="14">
        <f>E1038*F1038</f>
        <v/>
      </c>
      <c r="H1038" s="14">
        <f>C1038*G1038</f>
        <v/>
      </c>
    </row>
    <row r="1039">
      <c r="A1039" s="12" t="inlineStr">
        <is>
          <t>RET-0089</t>
        </is>
      </c>
      <c r="B1039" s="12" t="inlineStr">
        <is>
          <t>VS18</t>
        </is>
      </c>
      <c r="C1039" s="28" t="n">
        <v>0.0171</v>
      </c>
      <c r="D1039" s="12" t="inlineStr">
        <is>
          <t>PO-2022-2133</t>
        </is>
      </c>
      <c r="E1039" s="12" t="n">
        <v>0.85</v>
      </c>
      <c r="F1039" s="17" t="n">
        <v>108556.11</v>
      </c>
      <c r="G1039" s="14">
        <f>E1039*F1039</f>
        <v/>
      </c>
      <c r="H1039" s="14">
        <f>C1039*G1039</f>
        <v/>
      </c>
    </row>
    <row r="1040">
      <c r="A1040" s="12" t="inlineStr">
        <is>
          <t>RET-0089</t>
        </is>
      </c>
      <c r="B1040" s="12" t="inlineStr">
        <is>
          <t>VS19</t>
        </is>
      </c>
      <c r="C1040" s="28" t="n">
        <v>0.1638</v>
      </c>
      <c r="D1040" s="12" t="inlineStr">
        <is>
          <t>PO-2022-2361</t>
        </is>
      </c>
      <c r="E1040" s="12" t="n">
        <v>0.85</v>
      </c>
      <c r="F1040" s="17" t="n">
        <v>91145.31</v>
      </c>
      <c r="G1040" s="14">
        <f>E1040*F1040</f>
        <v/>
      </c>
      <c r="H1040" s="14">
        <f>C1040*G1040</f>
        <v/>
      </c>
    </row>
    <row r="1041">
      <c r="A1041" s="12" t="inlineStr">
        <is>
          <t>RET-0089</t>
        </is>
      </c>
      <c r="B1041" s="12" t="inlineStr">
        <is>
          <t>VS20</t>
        </is>
      </c>
      <c r="C1041" s="28" t="n">
        <v>0.009599999999999999</v>
      </c>
      <c r="D1041" s="12" t="inlineStr">
        <is>
          <t>PO-2023-4420</t>
        </is>
      </c>
      <c r="E1041" s="12" t="n">
        <v>0.85</v>
      </c>
      <c r="F1041" s="17" t="n">
        <v>58874.36</v>
      </c>
      <c r="G1041" s="14">
        <f>E1041*F1041</f>
        <v/>
      </c>
      <c r="H1041" s="14">
        <f>C1041*G1041</f>
        <v/>
      </c>
    </row>
    <row r="1042">
      <c r="A1042" s="12" t="inlineStr">
        <is>
          <t>RET-0089</t>
        </is>
      </c>
      <c r="B1042" s="12" t="inlineStr">
        <is>
          <t>VS21</t>
        </is>
      </c>
      <c r="C1042" s="28" t="n">
        <v>0.0095</v>
      </c>
      <c r="D1042" s="12" t="inlineStr">
        <is>
          <t>PO-2023-4211</t>
        </is>
      </c>
      <c r="E1042" s="12" t="n">
        <v>0.85</v>
      </c>
      <c r="F1042" s="17" t="n">
        <v>116836.62</v>
      </c>
      <c r="G1042" s="14">
        <f>E1042*F1042</f>
        <v/>
      </c>
      <c r="H1042" s="14">
        <f>C1042*G1042</f>
        <v/>
      </c>
    </row>
    <row r="1043">
      <c r="A1043" s="12" t="inlineStr">
        <is>
          <t>RET-0089</t>
        </is>
      </c>
      <c r="B1043" s="12" t="inlineStr">
        <is>
          <t>VS22</t>
        </is>
      </c>
      <c r="C1043" s="28" t="n">
        <v>0.0057</v>
      </c>
      <c r="D1043" s="12" t="inlineStr">
        <is>
          <t>PO-2022-1962</t>
        </is>
      </c>
      <c r="E1043" s="12" t="n">
        <v>0.85</v>
      </c>
      <c r="F1043" s="17" t="n">
        <v>57691.02</v>
      </c>
      <c r="G1043" s="14">
        <f>E1043*F1043</f>
        <v/>
      </c>
      <c r="H1043" s="14">
        <f>C1043*G1043</f>
        <v/>
      </c>
    </row>
    <row r="1044">
      <c r="A1044" s="12" t="inlineStr">
        <is>
          <t>RET-0089</t>
        </is>
      </c>
      <c r="B1044" s="12" t="inlineStr">
        <is>
          <t>VS23</t>
        </is>
      </c>
      <c r="C1044" s="28" t="n">
        <v>0.0094</v>
      </c>
      <c r="D1044" s="12" t="inlineStr">
        <is>
          <t>PO-2021-0803</t>
        </is>
      </c>
      <c r="E1044" s="12" t="n">
        <v>0.85</v>
      </c>
      <c r="F1044" s="17" t="n">
        <v>119763.77</v>
      </c>
      <c r="G1044" s="14">
        <f>E1044*F1044</f>
        <v/>
      </c>
      <c r="H1044" s="14">
        <f>C1044*G1044</f>
        <v/>
      </c>
    </row>
    <row r="1045">
      <c r="A1045" s="12" t="inlineStr">
        <is>
          <t>RET-0089</t>
        </is>
      </c>
      <c r="B1045" s="12" t="inlineStr">
        <is>
          <t>VS24</t>
        </is>
      </c>
      <c r="C1045" s="28" t="n">
        <v>0.0095</v>
      </c>
      <c r="D1045" s="12" t="inlineStr">
        <is>
          <t>PO-2022-2280</t>
        </is>
      </c>
      <c r="E1045" s="12" t="n">
        <v>0.85</v>
      </c>
      <c r="F1045" s="17" t="n">
        <v>74916.23</v>
      </c>
      <c r="G1045" s="14">
        <f>E1045*F1045</f>
        <v/>
      </c>
      <c r="H1045" s="14">
        <f>C1045*G1045</f>
        <v/>
      </c>
    </row>
    <row r="1046">
      <c r="A1046" s="12" t="inlineStr">
        <is>
          <t>RET-0089</t>
        </is>
      </c>
      <c r="B1046" s="12" t="inlineStr">
        <is>
          <t>VS25</t>
        </is>
      </c>
      <c r="C1046" s="28" t="n">
        <v>0.0172</v>
      </c>
      <c r="D1046" s="12" t="inlineStr">
        <is>
          <t>PO-2021-1312</t>
        </is>
      </c>
      <c r="E1046" s="12" t="n">
        <v>0.85</v>
      </c>
      <c r="F1046" s="17" t="n">
        <v>97002.28</v>
      </c>
      <c r="G1046" s="14">
        <f>E1046*F1046</f>
        <v/>
      </c>
      <c r="H1046" s="14">
        <f>C1046*G1046</f>
        <v/>
      </c>
    </row>
    <row r="1047">
      <c r="A1047" s="12" t="inlineStr">
        <is>
          <t>RET-0089</t>
        </is>
      </c>
      <c r="B1047" s="12" t="inlineStr">
        <is>
          <t>VS26</t>
        </is>
      </c>
      <c r="C1047" s="28" t="n">
        <v>0.009599999999999999</v>
      </c>
      <c r="D1047" s="12" t="inlineStr">
        <is>
          <t>PO-2022-2545</t>
        </is>
      </c>
      <c r="E1047" s="12" t="n">
        <v>0.85</v>
      </c>
      <c r="F1047" s="17" t="n">
        <v>97118.16</v>
      </c>
      <c r="G1047" s="14">
        <f>E1047*F1047</f>
        <v/>
      </c>
      <c r="H1047" s="14">
        <f>C1047*G1047</f>
        <v/>
      </c>
    </row>
    <row r="1048">
      <c r="A1048" s="12" t="inlineStr">
        <is>
          <t>RET-0089</t>
        </is>
      </c>
      <c r="B1048" s="12" t="inlineStr">
        <is>
          <t>VS27</t>
        </is>
      </c>
      <c r="C1048" s="28" t="n">
        <v>0.0094</v>
      </c>
      <c r="D1048" s="12" t="inlineStr">
        <is>
          <t>PO-2023-3542</t>
        </is>
      </c>
      <c r="E1048" s="12" t="n">
        <v>0.85</v>
      </c>
      <c r="F1048" s="17" t="n">
        <v>59061.87</v>
      </c>
      <c r="G1048" s="14">
        <f>E1048*F1048</f>
        <v/>
      </c>
      <c r="H1048" s="14">
        <f>C1048*G1048</f>
        <v/>
      </c>
    </row>
    <row r="1049">
      <c r="A1049" s="12" t="inlineStr">
        <is>
          <t>RET-0089</t>
        </is>
      </c>
      <c r="B1049" s="12" t="inlineStr">
        <is>
          <t>VS28</t>
        </is>
      </c>
      <c r="C1049" s="28" t="n">
        <v>0.021</v>
      </c>
      <c r="D1049" s="12" t="inlineStr">
        <is>
          <t>PO-2022-2360</t>
        </is>
      </c>
      <c r="E1049" s="12" t="n">
        <v>0.85</v>
      </c>
      <c r="F1049" s="17" t="n">
        <v>69495.78</v>
      </c>
      <c r="G1049" s="14">
        <f>E1049*F1049</f>
        <v/>
      </c>
      <c r="H1049" s="14">
        <f>C1049*G1049</f>
        <v/>
      </c>
    </row>
    <row r="1050">
      <c r="A1050" s="12" t="inlineStr">
        <is>
          <t>RET-0089</t>
        </is>
      </c>
      <c r="B1050" s="12" t="inlineStr">
        <is>
          <t>VS29</t>
        </is>
      </c>
      <c r="C1050" s="28" t="n">
        <v>0.0133</v>
      </c>
      <c r="D1050" s="12" t="inlineStr">
        <is>
          <t>PO-2021-1487</t>
        </is>
      </c>
      <c r="E1050" s="12" t="n">
        <v>0.85</v>
      </c>
      <c r="F1050" s="17" t="n">
        <v>54661.2</v>
      </c>
      <c r="G1050" s="14">
        <f>E1050*F1050</f>
        <v/>
      </c>
      <c r="H1050" s="14">
        <f>C1050*G1050</f>
        <v/>
      </c>
    </row>
    <row r="1051">
      <c r="A1051" s="12" t="inlineStr">
        <is>
          <t>RET-0089</t>
        </is>
      </c>
      <c r="B1051" s="12" t="inlineStr">
        <is>
          <t>VS30</t>
        </is>
      </c>
      <c r="C1051" s="28" t="n">
        <v>0.0057</v>
      </c>
      <c r="D1051" s="12" t="inlineStr">
        <is>
          <t>PO-2023-3246</t>
        </is>
      </c>
      <c r="E1051" s="12" t="n">
        <v>0.85</v>
      </c>
      <c r="F1051" s="17" t="n">
        <v>117287.6</v>
      </c>
      <c r="G1051" s="14">
        <f>E1051*F1051</f>
        <v/>
      </c>
      <c r="H1051" s="14">
        <f>C1051*G1051</f>
        <v/>
      </c>
    </row>
    <row r="1052">
      <c r="A1052" s="12" t="inlineStr">
        <is>
          <t>RET-0089</t>
        </is>
      </c>
      <c r="B1052" s="12" t="inlineStr">
        <is>
          <t>VS31</t>
        </is>
      </c>
      <c r="C1052" s="28" t="n">
        <v>0.0209</v>
      </c>
      <c r="D1052" s="12" t="inlineStr">
        <is>
          <t>PO-2022-2712</t>
        </is>
      </c>
      <c r="E1052" s="12" t="n">
        <v>0.85</v>
      </c>
      <c r="F1052" s="17" t="n">
        <v>88991.78</v>
      </c>
      <c r="G1052" s="14">
        <f>E1052*F1052</f>
        <v/>
      </c>
      <c r="H1052" s="14">
        <f>C1052*G1052</f>
        <v/>
      </c>
    </row>
    <row r="1053">
      <c r="A1053" s="12" t="inlineStr">
        <is>
          <t>RET-0089</t>
        </is>
      </c>
      <c r="B1053" s="12" t="inlineStr">
        <is>
          <t>VS32</t>
        </is>
      </c>
      <c r="C1053" s="28" t="n">
        <v>0.0249</v>
      </c>
      <c r="D1053" s="12" t="inlineStr">
        <is>
          <t>PO-2022-2704</t>
        </is>
      </c>
      <c r="E1053" s="12" t="n">
        <v>0.85</v>
      </c>
      <c r="F1053" s="17" t="n">
        <v>52148.08</v>
      </c>
      <c r="G1053" s="14">
        <f>E1053*F1053</f>
        <v/>
      </c>
      <c r="H1053" s="14">
        <f>C1053*G1053</f>
        <v/>
      </c>
    </row>
    <row r="1054">
      <c r="A1054" s="12" t="inlineStr">
        <is>
          <t>RET-0089</t>
        </is>
      </c>
      <c r="B1054" s="12" t="inlineStr">
        <is>
          <t>VS33</t>
        </is>
      </c>
      <c r="C1054" s="28" t="n">
        <v>0.0133</v>
      </c>
      <c r="D1054" s="12" t="inlineStr">
        <is>
          <t>PO-2022-1716</t>
        </is>
      </c>
      <c r="E1054" s="12" t="n">
        <v>0.85</v>
      </c>
      <c r="F1054" s="17" t="n">
        <v>68386.91</v>
      </c>
      <c r="G1054" s="14">
        <f>E1054*F1054</f>
        <v/>
      </c>
      <c r="H1054" s="14">
        <f>C1054*G1054</f>
        <v/>
      </c>
    </row>
    <row r="1055">
      <c r="A1055" s="12" t="inlineStr">
        <is>
          <t>RET-0089</t>
        </is>
      </c>
      <c r="B1055" s="12" t="inlineStr">
        <is>
          <t>VS34</t>
        </is>
      </c>
      <c r="C1055" s="28" t="n">
        <v>0.0172</v>
      </c>
      <c r="D1055" s="12" t="inlineStr">
        <is>
          <t>PO-2023-3610</t>
        </is>
      </c>
      <c r="E1055" s="12" t="n">
        <v>0.85</v>
      </c>
      <c r="F1055" s="17" t="n">
        <v>114094.84</v>
      </c>
      <c r="G1055" s="14">
        <f>E1055*F1055</f>
        <v/>
      </c>
      <c r="H1055" s="14">
        <f>C1055*G1055</f>
        <v/>
      </c>
    </row>
    <row r="1056">
      <c r="A1056" s="12" t="inlineStr">
        <is>
          <t>RET-0090</t>
        </is>
      </c>
      <c r="B1056" s="12" t="inlineStr">
        <is>
          <t>VS01</t>
        </is>
      </c>
      <c r="C1056" s="28" t="n">
        <v>0.0103</v>
      </c>
      <c r="D1056" s="12" t="inlineStr">
        <is>
          <t>PO-2022-2006</t>
        </is>
      </c>
      <c r="E1056" s="12" t="n">
        <v>0.97</v>
      </c>
      <c r="F1056" s="17" t="n">
        <v>95264.62</v>
      </c>
      <c r="G1056" s="14">
        <f>E1056*F1056</f>
        <v/>
      </c>
      <c r="H1056" s="14">
        <f>C1056*G1056</f>
        <v/>
      </c>
    </row>
    <row r="1057">
      <c r="A1057" s="12" t="inlineStr">
        <is>
          <t>RET-0090</t>
        </is>
      </c>
      <c r="B1057" s="12" t="inlineStr">
        <is>
          <t>VS02</t>
        </is>
      </c>
      <c r="C1057" s="28" t="n">
        <v>0.0047</v>
      </c>
      <c r="D1057" s="12" t="inlineStr">
        <is>
          <t>PO-2021-0982</t>
        </is>
      </c>
      <c r="E1057" s="12" t="n">
        <v>0.97</v>
      </c>
      <c r="F1057" s="17" t="n">
        <v>91377.91</v>
      </c>
      <c r="G1057" s="14">
        <f>E1057*F1057</f>
        <v/>
      </c>
      <c r="H1057" s="14">
        <f>C1057*G1057</f>
        <v/>
      </c>
    </row>
    <row r="1058">
      <c r="A1058" s="12" t="inlineStr">
        <is>
          <t>RET-0090</t>
        </is>
      </c>
      <c r="B1058" s="12" t="inlineStr">
        <is>
          <t>VS03</t>
        </is>
      </c>
      <c r="C1058" s="28" t="n">
        <v>0.2248</v>
      </c>
      <c r="D1058" s="12" t="inlineStr">
        <is>
          <t>PO-2022-2949</t>
        </is>
      </c>
      <c r="E1058" s="12" t="n">
        <v>0.97</v>
      </c>
      <c r="F1058" s="17" t="n">
        <v>96901.49000000001</v>
      </c>
      <c r="G1058" s="14">
        <f>E1058*F1058</f>
        <v/>
      </c>
      <c r="H1058" s="14">
        <f>C1058*G1058</f>
        <v/>
      </c>
    </row>
    <row r="1059">
      <c r="A1059" s="12" t="inlineStr">
        <is>
          <t>RET-0090</t>
        </is>
      </c>
      <c r="B1059" s="12" t="inlineStr">
        <is>
          <t>VS04</t>
        </is>
      </c>
      <c r="C1059" s="28" t="n">
        <v>0.0065</v>
      </c>
      <c r="D1059" s="12" t="inlineStr">
        <is>
          <t>PO-2023-3317</t>
        </is>
      </c>
      <c r="E1059" s="12" t="n">
        <v>0.97</v>
      </c>
      <c r="F1059" s="17" t="n">
        <v>47704.02</v>
      </c>
      <c r="G1059" s="14">
        <f>E1059*F1059</f>
        <v/>
      </c>
      <c r="H1059" s="14">
        <f>C1059*G1059</f>
        <v/>
      </c>
    </row>
    <row r="1060">
      <c r="A1060" s="12" t="inlineStr">
        <is>
          <t>RET-0090</t>
        </is>
      </c>
      <c r="B1060" s="12" t="inlineStr">
        <is>
          <t>VS05</t>
        </is>
      </c>
      <c r="C1060" s="28" t="n">
        <v>0.008399999999999999</v>
      </c>
      <c r="D1060" s="12" t="inlineStr">
        <is>
          <t>PO-2023-3996</t>
        </is>
      </c>
      <c r="E1060" s="12" t="n">
        <v>0.97</v>
      </c>
      <c r="F1060" s="17" t="n">
        <v>110100.49</v>
      </c>
      <c r="G1060" s="14">
        <f>E1060*F1060</f>
        <v/>
      </c>
      <c r="H1060" s="14">
        <f>C1060*G1060</f>
        <v/>
      </c>
    </row>
    <row r="1061">
      <c r="A1061" s="12" t="inlineStr">
        <is>
          <t>RET-0090</t>
        </is>
      </c>
      <c r="B1061" s="12" t="inlineStr">
        <is>
          <t>VS06</t>
        </is>
      </c>
      <c r="C1061" s="28" t="n">
        <v>0.008500000000000001</v>
      </c>
      <c r="D1061" s="12" t="inlineStr">
        <is>
          <t>PO-2022-2556</t>
        </is>
      </c>
      <c r="E1061" s="12" t="n">
        <v>0.97</v>
      </c>
      <c r="F1061" s="17" t="n">
        <v>70091.72</v>
      </c>
      <c r="G1061" s="14">
        <f>E1061*F1061</f>
        <v/>
      </c>
      <c r="H1061" s="14">
        <f>C1061*G1061</f>
        <v/>
      </c>
    </row>
    <row r="1062">
      <c r="A1062" s="12" t="inlineStr">
        <is>
          <t>RET-0090</t>
        </is>
      </c>
      <c r="B1062" s="12" t="inlineStr">
        <is>
          <t>VS07</t>
        </is>
      </c>
      <c r="C1062" s="28" t="n">
        <v>0.0028</v>
      </c>
      <c r="D1062" s="12" t="inlineStr">
        <is>
          <t>PO-2021-0145</t>
        </is>
      </c>
      <c r="E1062" s="12" t="n">
        <v>0.97</v>
      </c>
      <c r="F1062" s="17" t="n">
        <v>115428.98</v>
      </c>
      <c r="G1062" s="14">
        <f>E1062*F1062</f>
        <v/>
      </c>
      <c r="H1062" s="14">
        <f>C1062*G1062</f>
        <v/>
      </c>
    </row>
    <row r="1063">
      <c r="A1063" s="12" t="inlineStr">
        <is>
          <t>RET-0090</t>
        </is>
      </c>
      <c r="B1063" s="12" t="inlineStr">
        <is>
          <t>VS08</t>
        </is>
      </c>
      <c r="C1063" s="28" t="n">
        <v>0.008500000000000001</v>
      </c>
      <c r="D1063" s="12" t="inlineStr">
        <is>
          <t>PO-2023-4305</t>
        </is>
      </c>
      <c r="E1063" s="12" t="n">
        <v>0.97</v>
      </c>
      <c r="F1063" s="17" t="n">
        <v>78810.22</v>
      </c>
      <c r="G1063" s="14">
        <f>E1063*F1063</f>
        <v/>
      </c>
      <c r="H1063" s="14">
        <f>C1063*G1063</f>
        <v/>
      </c>
    </row>
    <row r="1064">
      <c r="A1064" s="12" t="inlineStr">
        <is>
          <t>RET-0090</t>
        </is>
      </c>
      <c r="B1064" s="12" t="inlineStr">
        <is>
          <t>VS09</t>
        </is>
      </c>
      <c r="C1064" s="28" t="n">
        <v>0.0066</v>
      </c>
      <c r="D1064" s="12" t="inlineStr">
        <is>
          <t>PO-2021-1384</t>
        </is>
      </c>
      <c r="E1064" s="12" t="n">
        <v>0.97</v>
      </c>
      <c r="F1064" s="17" t="n">
        <v>108117.19</v>
      </c>
      <c r="G1064" s="14">
        <f>E1064*F1064</f>
        <v/>
      </c>
      <c r="H1064" s="14">
        <f>C1064*G1064</f>
        <v/>
      </c>
    </row>
    <row r="1065">
      <c r="A1065" s="12" t="inlineStr">
        <is>
          <t>RET-0090</t>
        </is>
      </c>
      <c r="B1065" s="12" t="inlineStr">
        <is>
          <t>VS10</t>
        </is>
      </c>
      <c r="C1065" s="28" t="n">
        <v>0.0103</v>
      </c>
      <c r="D1065" s="12" t="inlineStr">
        <is>
          <t>PO-2023-3310</t>
        </is>
      </c>
      <c r="E1065" s="12" t="n">
        <v>0.97</v>
      </c>
      <c r="F1065" s="17" t="n">
        <v>70460.88</v>
      </c>
      <c r="G1065" s="14">
        <f>E1065*F1065</f>
        <v/>
      </c>
      <c r="H1065" s="14">
        <f>C1065*G1065</f>
        <v/>
      </c>
    </row>
    <row r="1066">
      <c r="A1066" s="12" t="inlineStr">
        <is>
          <t>RET-0090</t>
        </is>
      </c>
      <c r="B1066" s="12" t="inlineStr">
        <is>
          <t>VS11</t>
        </is>
      </c>
      <c r="C1066" s="28" t="n">
        <v>0.0121</v>
      </c>
      <c r="D1066" s="12" t="inlineStr">
        <is>
          <t>PO-2021-1105</t>
        </is>
      </c>
      <c r="E1066" s="12" t="n">
        <v>0.97</v>
      </c>
      <c r="F1066" s="17" t="n">
        <v>68434.48</v>
      </c>
      <c r="G1066" s="14">
        <f>E1066*F1066</f>
        <v/>
      </c>
      <c r="H1066" s="14">
        <f>C1066*G1066</f>
        <v/>
      </c>
    </row>
    <row r="1067">
      <c r="A1067" s="12" t="inlineStr">
        <is>
          <t>RET-0090</t>
        </is>
      </c>
      <c r="B1067" s="12" t="inlineStr">
        <is>
          <t>VS12</t>
        </is>
      </c>
      <c r="C1067" s="28" t="n">
        <v>0.3125</v>
      </c>
      <c r="D1067" s="12" t="inlineStr">
        <is>
          <t>PO-2021-0966</t>
        </is>
      </c>
      <c r="E1067" s="12" t="n">
        <v>0.97</v>
      </c>
      <c r="F1067" s="17" t="n">
        <v>88969.31</v>
      </c>
      <c r="G1067" s="14">
        <f>E1067*F1067</f>
        <v/>
      </c>
      <c r="H1067" s="14">
        <f>C1067*G1067</f>
        <v/>
      </c>
    </row>
    <row r="1068">
      <c r="A1068" s="12" t="inlineStr">
        <is>
          <t>RET-0090</t>
        </is>
      </c>
      <c r="B1068" s="12" t="inlineStr">
        <is>
          <t>VS13</t>
        </is>
      </c>
      <c r="C1068" s="28" t="n">
        <v>0.0083</v>
      </c>
      <c r="D1068" s="12" t="inlineStr">
        <is>
          <t>PO-2022-2309</t>
        </is>
      </c>
      <c r="E1068" s="12" t="n">
        <v>0.97</v>
      </c>
      <c r="F1068" s="17" t="n">
        <v>51247.96</v>
      </c>
      <c r="G1068" s="14">
        <f>E1068*F1068</f>
        <v/>
      </c>
      <c r="H1068" s="14">
        <f>C1068*G1068</f>
        <v/>
      </c>
    </row>
    <row r="1069">
      <c r="A1069" s="12" t="inlineStr">
        <is>
          <t>RET-0090</t>
        </is>
      </c>
      <c r="B1069" s="12" t="inlineStr">
        <is>
          <t>VS14</t>
        </is>
      </c>
      <c r="C1069" s="28" t="n">
        <v>0.008399999999999999</v>
      </c>
      <c r="D1069" s="12" t="inlineStr">
        <is>
          <t>PO-2022-1638</t>
        </is>
      </c>
      <c r="E1069" s="12" t="n">
        <v>0.97</v>
      </c>
      <c r="F1069" s="17" t="n">
        <v>79093.39999999999</v>
      </c>
      <c r="G1069" s="14">
        <f>E1069*F1069</f>
        <v/>
      </c>
      <c r="H1069" s="14">
        <f>C1069*G1069</f>
        <v/>
      </c>
    </row>
    <row r="1070">
      <c r="A1070" s="12" t="inlineStr">
        <is>
          <t>RET-0090</t>
        </is>
      </c>
      <c r="B1070" s="12" t="inlineStr">
        <is>
          <t>VS15</t>
        </is>
      </c>
      <c r="C1070" s="28" t="n">
        <v>0.0028</v>
      </c>
      <c r="D1070" s="12" t="inlineStr">
        <is>
          <t>PO-2023-3647</t>
        </is>
      </c>
      <c r="E1070" s="12" t="n">
        <v>0.97</v>
      </c>
      <c r="F1070" s="17" t="n">
        <v>49590.11</v>
      </c>
      <c r="G1070" s="14">
        <f>E1070*F1070</f>
        <v/>
      </c>
      <c r="H1070" s="14">
        <f>C1070*G1070</f>
        <v/>
      </c>
    </row>
    <row r="1071">
      <c r="A1071" s="12" t="inlineStr">
        <is>
          <t>RET-0090</t>
        </is>
      </c>
      <c r="B1071" s="12" t="inlineStr">
        <is>
          <t>VS16</t>
        </is>
      </c>
      <c r="C1071" s="28" t="n">
        <v>0.0121</v>
      </c>
      <c r="D1071" s="12" t="inlineStr">
        <is>
          <t>PO-2021-0604</t>
        </is>
      </c>
      <c r="E1071" s="12" t="n">
        <v>0.97</v>
      </c>
      <c r="F1071" s="17" t="n">
        <v>95722.17</v>
      </c>
      <c r="G1071" s="14">
        <f>E1071*F1071</f>
        <v/>
      </c>
      <c r="H1071" s="14">
        <f>C1071*G1071</f>
        <v/>
      </c>
    </row>
    <row r="1072">
      <c r="A1072" s="12" t="inlineStr">
        <is>
          <t>RET-0090</t>
        </is>
      </c>
      <c r="B1072" s="12" t="inlineStr">
        <is>
          <t>VS17</t>
        </is>
      </c>
      <c r="C1072" s="28" t="n">
        <v>0.0121</v>
      </c>
      <c r="D1072" s="12" t="inlineStr">
        <is>
          <t>PO-2022-2609</t>
        </is>
      </c>
      <c r="E1072" s="12" t="n">
        <v>0.97</v>
      </c>
      <c r="F1072" s="17" t="n">
        <v>53595.8</v>
      </c>
      <c r="G1072" s="14">
        <f>E1072*F1072</f>
        <v/>
      </c>
      <c r="H1072" s="14">
        <f>C1072*G1072</f>
        <v/>
      </c>
    </row>
    <row r="1073">
      <c r="A1073" s="12" t="inlineStr">
        <is>
          <t>RET-0090</t>
        </is>
      </c>
      <c r="B1073" s="12" t="inlineStr">
        <is>
          <t>VS18</t>
        </is>
      </c>
      <c r="C1073" s="28" t="n">
        <v>0.008399999999999999</v>
      </c>
      <c r="D1073" s="12" t="inlineStr">
        <is>
          <t>PO-2023-3674</t>
        </is>
      </c>
      <c r="E1073" s="12" t="n">
        <v>0.97</v>
      </c>
      <c r="F1073" s="17" t="n">
        <v>49541.25</v>
      </c>
      <c r="G1073" s="14">
        <f>E1073*F1073</f>
        <v/>
      </c>
      <c r="H1073" s="14">
        <f>C1073*G1073</f>
        <v/>
      </c>
    </row>
    <row r="1074">
      <c r="A1074" s="12" t="inlineStr">
        <is>
          <t>RET-0090</t>
        </is>
      </c>
      <c r="B1074" s="12" t="inlineStr">
        <is>
          <t>VS19</t>
        </is>
      </c>
      <c r="C1074" s="28" t="n">
        <v>0.2357</v>
      </c>
      <c r="D1074" s="12" t="inlineStr">
        <is>
          <t>PO-2022-2670</t>
        </is>
      </c>
      <c r="E1074" s="12" t="n">
        <v>0.97</v>
      </c>
      <c r="F1074" s="17" t="n">
        <v>106702.99</v>
      </c>
      <c r="G1074" s="14">
        <f>E1074*F1074</f>
        <v/>
      </c>
      <c r="H1074" s="14">
        <f>C1074*G1074</f>
        <v/>
      </c>
    </row>
    <row r="1075">
      <c r="A1075" s="12" t="inlineStr">
        <is>
          <t>RET-0090</t>
        </is>
      </c>
      <c r="B1075" s="12" t="inlineStr">
        <is>
          <t>VS20</t>
        </is>
      </c>
      <c r="C1075" s="28" t="n">
        <v>0.0047</v>
      </c>
      <c r="D1075" s="12" t="inlineStr">
        <is>
          <t>PO-2023-3386</t>
        </is>
      </c>
      <c r="E1075" s="12" t="n">
        <v>0.97</v>
      </c>
      <c r="F1075" s="17" t="n">
        <v>71395.75</v>
      </c>
      <c r="G1075" s="14">
        <f>E1075*F1075</f>
        <v/>
      </c>
      <c r="H1075" s="14">
        <f>C1075*G1075</f>
        <v/>
      </c>
    </row>
    <row r="1076">
      <c r="A1076" s="12" t="inlineStr">
        <is>
          <t>RET-0090</t>
        </is>
      </c>
      <c r="B1076" s="12" t="inlineStr">
        <is>
          <t>VS21</t>
        </is>
      </c>
      <c r="C1076" s="28" t="n">
        <v>0.0047</v>
      </c>
      <c r="D1076" s="12" t="inlineStr">
        <is>
          <t>PO-2021-0920</t>
        </is>
      </c>
      <c r="E1076" s="12" t="n">
        <v>0.97</v>
      </c>
      <c r="F1076" s="17" t="n">
        <v>49611.17</v>
      </c>
      <c r="G1076" s="14">
        <f>E1076*F1076</f>
        <v/>
      </c>
      <c r="H1076" s="14">
        <f>C1076*G1076</f>
        <v/>
      </c>
    </row>
    <row r="1077">
      <c r="A1077" s="12" t="inlineStr">
        <is>
          <t>RET-0090</t>
        </is>
      </c>
      <c r="B1077" s="12" t="inlineStr">
        <is>
          <t>VS22</t>
        </is>
      </c>
      <c r="C1077" s="28" t="n">
        <v>0.0028</v>
      </c>
      <c r="D1077" s="12" t="inlineStr">
        <is>
          <t>PO-2021-0296</t>
        </is>
      </c>
      <c r="E1077" s="12" t="n">
        <v>0.97</v>
      </c>
      <c r="F1077" s="17" t="n">
        <v>102807.45</v>
      </c>
      <c r="G1077" s="14">
        <f>E1077*F1077</f>
        <v/>
      </c>
      <c r="H1077" s="14">
        <f>C1077*G1077</f>
        <v/>
      </c>
    </row>
    <row r="1078">
      <c r="A1078" s="12" t="inlineStr">
        <is>
          <t>RET-0090</t>
        </is>
      </c>
      <c r="B1078" s="12" t="inlineStr">
        <is>
          <t>VS23</t>
        </is>
      </c>
      <c r="C1078" s="28" t="n">
        <v>0.0046</v>
      </c>
      <c r="D1078" s="12" t="inlineStr">
        <is>
          <t>PO-2023-3377</t>
        </is>
      </c>
      <c r="E1078" s="12" t="n">
        <v>0.97</v>
      </c>
      <c r="F1078" s="17" t="n">
        <v>95666.77</v>
      </c>
      <c r="G1078" s="14">
        <f>E1078*F1078</f>
        <v/>
      </c>
      <c r="H1078" s="14">
        <f>C1078*G1078</f>
        <v/>
      </c>
    </row>
    <row r="1079">
      <c r="A1079" s="12" t="inlineStr">
        <is>
          <t>RET-0090</t>
        </is>
      </c>
      <c r="B1079" s="12" t="inlineStr">
        <is>
          <t>VS24</t>
        </is>
      </c>
      <c r="C1079" s="28" t="n">
        <v>0.0047</v>
      </c>
      <c r="D1079" s="12" t="inlineStr">
        <is>
          <t>PO-2023-3668</t>
        </is>
      </c>
      <c r="E1079" s="12" t="n">
        <v>0.97</v>
      </c>
      <c r="F1079" s="17" t="n">
        <v>54051.9</v>
      </c>
      <c r="G1079" s="14">
        <f>E1079*F1079</f>
        <v/>
      </c>
      <c r="H1079" s="14">
        <f>C1079*G1079</f>
        <v/>
      </c>
    </row>
    <row r="1080">
      <c r="A1080" s="12" t="inlineStr">
        <is>
          <t>RET-0090</t>
        </is>
      </c>
      <c r="B1080" s="12" t="inlineStr">
        <is>
          <t>VS25</t>
        </is>
      </c>
      <c r="C1080" s="28" t="n">
        <v>0.008399999999999999</v>
      </c>
      <c r="D1080" s="12" t="inlineStr">
        <is>
          <t>PO-2021-0721</t>
        </is>
      </c>
      <c r="E1080" s="12" t="n">
        <v>0.97</v>
      </c>
      <c r="F1080" s="17" t="n">
        <v>101810.5</v>
      </c>
      <c r="G1080" s="14">
        <f>E1080*F1080</f>
        <v/>
      </c>
      <c r="H1080" s="14">
        <f>C1080*G1080</f>
        <v/>
      </c>
    </row>
    <row r="1081">
      <c r="A1081" s="12" t="inlineStr">
        <is>
          <t>RET-0090</t>
        </is>
      </c>
      <c r="B1081" s="12" t="inlineStr">
        <is>
          <t>VS26</t>
        </is>
      </c>
      <c r="C1081" s="28" t="n">
        <v>0.0047</v>
      </c>
      <c r="D1081" s="12" t="inlineStr">
        <is>
          <t>PO-2023-4719</t>
        </is>
      </c>
      <c r="E1081" s="12" t="n">
        <v>0.97</v>
      </c>
      <c r="F1081" s="17" t="n">
        <v>65024.62</v>
      </c>
      <c r="G1081" s="14">
        <f>E1081*F1081</f>
        <v/>
      </c>
      <c r="H1081" s="14">
        <f>C1081*G1081</f>
        <v/>
      </c>
    </row>
    <row r="1082">
      <c r="A1082" s="12" t="inlineStr">
        <is>
          <t>RET-0090</t>
        </is>
      </c>
      <c r="B1082" s="12" t="inlineStr">
        <is>
          <t>VS27</t>
        </is>
      </c>
      <c r="C1082" s="28" t="n">
        <v>0.0046</v>
      </c>
      <c r="D1082" s="12" t="inlineStr">
        <is>
          <t>PO-2021-1211</t>
        </is>
      </c>
      <c r="E1082" s="12" t="n">
        <v>0.97</v>
      </c>
      <c r="F1082" s="17" t="n">
        <v>89687.97</v>
      </c>
      <c r="G1082" s="14">
        <f>E1082*F1082</f>
        <v/>
      </c>
      <c r="H1082" s="14">
        <f>C1082*G1082</f>
        <v/>
      </c>
    </row>
    <row r="1083">
      <c r="A1083" s="12" t="inlineStr">
        <is>
          <t>RET-0090</t>
        </is>
      </c>
      <c r="B1083" s="12" t="inlineStr">
        <is>
          <t>VS28</t>
        </is>
      </c>
      <c r="C1083" s="28" t="n">
        <v>0.0103</v>
      </c>
      <c r="D1083" s="12" t="inlineStr">
        <is>
          <t>PO-2023-4372</t>
        </is>
      </c>
      <c r="E1083" s="12" t="n">
        <v>0.97</v>
      </c>
      <c r="F1083" s="17" t="n">
        <v>52372.02</v>
      </c>
      <c r="G1083" s="14">
        <f>E1083*F1083</f>
        <v/>
      </c>
      <c r="H1083" s="14">
        <f>C1083*G1083</f>
        <v/>
      </c>
    </row>
    <row r="1084">
      <c r="A1084" s="12" t="inlineStr">
        <is>
          <t>RET-0090</t>
        </is>
      </c>
      <c r="B1084" s="12" t="inlineStr">
        <is>
          <t>VS29</t>
        </is>
      </c>
      <c r="C1084" s="28" t="n">
        <v>0.0065</v>
      </c>
      <c r="D1084" s="12" t="inlineStr">
        <is>
          <t>PO-2021-1590</t>
        </is>
      </c>
      <c r="E1084" s="12" t="n">
        <v>0.97</v>
      </c>
      <c r="F1084" s="17" t="n">
        <v>53487.3</v>
      </c>
      <c r="G1084" s="14">
        <f>E1084*F1084</f>
        <v/>
      </c>
      <c r="H1084" s="14">
        <f>C1084*G1084</f>
        <v/>
      </c>
    </row>
    <row r="1085">
      <c r="A1085" s="12" t="inlineStr">
        <is>
          <t>RET-0090</t>
        </is>
      </c>
      <c r="B1085" s="12" t="inlineStr">
        <is>
          <t>VS30</t>
        </is>
      </c>
      <c r="C1085" s="28" t="n">
        <v>0.0028</v>
      </c>
      <c r="D1085" s="12" t="inlineStr">
        <is>
          <t>PO-2022-2860</t>
        </is>
      </c>
      <c r="E1085" s="12" t="n">
        <v>0.97</v>
      </c>
      <c r="F1085" s="17" t="n">
        <v>105618.14</v>
      </c>
      <c r="G1085" s="14">
        <f>E1085*F1085</f>
        <v/>
      </c>
      <c r="H1085" s="14">
        <f>C1085*G1085</f>
        <v/>
      </c>
    </row>
    <row r="1086">
      <c r="A1086" s="12" t="inlineStr">
        <is>
          <t>RET-0090</t>
        </is>
      </c>
      <c r="B1086" s="12" t="inlineStr">
        <is>
          <t>VS31</t>
        </is>
      </c>
      <c r="C1086" s="28" t="n">
        <v>0.0103</v>
      </c>
      <c r="D1086" s="12" t="inlineStr">
        <is>
          <t>PO-2022-2426</t>
        </is>
      </c>
      <c r="E1086" s="12" t="n">
        <v>0.97</v>
      </c>
      <c r="F1086" s="17" t="n">
        <v>74047.78</v>
      </c>
      <c r="G1086" s="14">
        <f>E1086*F1086</f>
        <v/>
      </c>
      <c r="H1086" s="14">
        <f>C1086*G1086</f>
        <v/>
      </c>
    </row>
    <row r="1087">
      <c r="A1087" s="12" t="inlineStr">
        <is>
          <t>RET-0090</t>
        </is>
      </c>
      <c r="B1087" s="12" t="inlineStr">
        <is>
          <t>VS32</t>
        </is>
      </c>
      <c r="C1087" s="28" t="n">
        <v>0.0122</v>
      </c>
      <c r="D1087" s="12" t="inlineStr">
        <is>
          <t>PO-2021-1209</t>
        </is>
      </c>
      <c r="E1087" s="12" t="n">
        <v>0.97</v>
      </c>
      <c r="F1087" s="17" t="n">
        <v>78713.72</v>
      </c>
      <c r="G1087" s="14">
        <f>E1087*F1087</f>
        <v/>
      </c>
      <c r="H1087" s="14">
        <f>C1087*G1087</f>
        <v/>
      </c>
    </row>
    <row r="1088">
      <c r="A1088" s="12" t="inlineStr">
        <is>
          <t>RET-0090</t>
        </is>
      </c>
      <c r="B1088" s="12" t="inlineStr">
        <is>
          <t>VS33</t>
        </is>
      </c>
      <c r="C1088" s="28" t="n">
        <v>0.0065</v>
      </c>
      <c r="D1088" s="12" t="inlineStr">
        <is>
          <t>PO-2021-1229</t>
        </is>
      </c>
      <c r="E1088" s="12" t="n">
        <v>0.97</v>
      </c>
      <c r="F1088" s="17" t="n">
        <v>52447.07</v>
      </c>
      <c r="G1088" s="14">
        <f>E1088*F1088</f>
        <v/>
      </c>
      <c r="H1088" s="14">
        <f>C1088*G1088</f>
        <v/>
      </c>
    </row>
    <row r="1089">
      <c r="A1089" s="12" t="inlineStr">
        <is>
          <t>RET-0090</t>
        </is>
      </c>
      <c r="B1089" s="12" t="inlineStr">
        <is>
          <t>VS34</t>
        </is>
      </c>
      <c r="C1089" s="28" t="n">
        <v>0.008399999999999999</v>
      </c>
      <c r="D1089" s="12" t="inlineStr">
        <is>
          <t>PO-2021-1343</t>
        </is>
      </c>
      <c r="E1089" s="12" t="n">
        <v>0.97</v>
      </c>
      <c r="F1089" s="17" t="n">
        <v>82109.39999999999</v>
      </c>
      <c r="G1089" s="14">
        <f>E1089*F1089</f>
        <v/>
      </c>
      <c r="H1089" s="14">
        <f>C1089*G1089</f>
        <v/>
      </c>
    </row>
    <row r="1090">
      <c r="A1090" s="12" t="inlineStr">
        <is>
          <t>RET-0097</t>
        </is>
      </c>
      <c r="B1090" s="12" t="inlineStr">
        <is>
          <t>VS01</t>
        </is>
      </c>
      <c r="C1090" s="28" t="n">
        <v>0.0133</v>
      </c>
      <c r="D1090" s="12" t="inlineStr">
        <is>
          <t>PO-2022-1970</t>
        </is>
      </c>
      <c r="E1090" s="12" t="n">
        <v>3.96</v>
      </c>
      <c r="F1090" s="17" t="n">
        <v>79526.17999999999</v>
      </c>
      <c r="G1090" s="14">
        <f>E1090*F1090</f>
        <v/>
      </c>
      <c r="H1090" s="14">
        <f>C1090*G1090</f>
        <v/>
      </c>
    </row>
    <row r="1091">
      <c r="A1091" s="12" t="inlineStr">
        <is>
          <t>RET-0097</t>
        </is>
      </c>
      <c r="B1091" s="12" t="inlineStr">
        <is>
          <t>VS02</t>
        </is>
      </c>
      <c r="C1091" s="28" t="n">
        <v>0.006</v>
      </c>
      <c r="D1091" s="12" t="inlineStr">
        <is>
          <t>PO-2022-2492</t>
        </is>
      </c>
      <c r="E1091" s="12" t="n">
        <v>3.96</v>
      </c>
      <c r="F1091" s="17" t="n">
        <v>50778.56</v>
      </c>
      <c r="G1091" s="14">
        <f>E1091*F1091</f>
        <v/>
      </c>
      <c r="H1091" s="14">
        <f>C1091*G1091</f>
        <v/>
      </c>
    </row>
    <row r="1092">
      <c r="A1092" s="12" t="inlineStr">
        <is>
          <t>RET-0097</t>
        </is>
      </c>
      <c r="B1092" s="12" t="inlineStr">
        <is>
          <t>VS03</t>
        </is>
      </c>
      <c r="C1092" s="28" t="n">
        <v>0.2059</v>
      </c>
      <c r="D1092" s="12" t="inlineStr">
        <is>
          <t>PO-2021-0231</t>
        </is>
      </c>
      <c r="E1092" s="12" t="n">
        <v>3.96</v>
      </c>
      <c r="F1092" s="17" t="n">
        <v>114046.81</v>
      </c>
      <c r="G1092" s="14">
        <f>E1092*F1092</f>
        <v/>
      </c>
      <c r="H1092" s="14">
        <f>C1092*G1092</f>
        <v/>
      </c>
    </row>
    <row r="1093">
      <c r="A1093" s="12" t="inlineStr">
        <is>
          <t>RET-0097</t>
        </is>
      </c>
      <c r="B1093" s="12" t="inlineStr">
        <is>
          <t>VS04</t>
        </is>
      </c>
      <c r="C1093" s="28" t="n">
        <v>0.0083</v>
      </c>
      <c r="D1093" s="12" t="inlineStr">
        <is>
          <t>PO-2023-3714</t>
        </is>
      </c>
      <c r="E1093" s="12" t="n">
        <v>3.96</v>
      </c>
      <c r="F1093" s="17" t="n">
        <v>52942.1</v>
      </c>
      <c r="G1093" s="14">
        <f>E1093*F1093</f>
        <v/>
      </c>
      <c r="H1093" s="14">
        <f>C1093*G1093</f>
        <v/>
      </c>
    </row>
    <row r="1094">
      <c r="A1094" s="12" t="inlineStr">
        <is>
          <t>RET-0097</t>
        </is>
      </c>
      <c r="B1094" s="12" t="inlineStr">
        <is>
          <t>VS05</t>
        </is>
      </c>
      <c r="C1094" s="28" t="n">
        <v>0.0108</v>
      </c>
      <c r="D1094" s="12" t="inlineStr">
        <is>
          <t>PO-2023-4674</t>
        </is>
      </c>
      <c r="E1094" s="12" t="n">
        <v>3.96</v>
      </c>
      <c r="F1094" s="17" t="n">
        <v>116923.62</v>
      </c>
      <c r="G1094" s="14">
        <f>E1094*F1094</f>
        <v/>
      </c>
      <c r="H1094" s="14">
        <f>C1094*G1094</f>
        <v/>
      </c>
    </row>
    <row r="1095">
      <c r="A1095" s="12" t="inlineStr">
        <is>
          <t>RET-0097</t>
        </is>
      </c>
      <c r="B1095" s="12" t="inlineStr">
        <is>
          <t>VS06</t>
        </is>
      </c>
      <c r="C1095" s="28" t="n">
        <v>0.0109</v>
      </c>
      <c r="D1095" s="12" t="inlineStr">
        <is>
          <t>PO-2022-2666</t>
        </is>
      </c>
      <c r="E1095" s="12" t="n">
        <v>3.96</v>
      </c>
      <c r="F1095" s="17" t="n">
        <v>105403</v>
      </c>
      <c r="G1095" s="14">
        <f>E1095*F1095</f>
        <v/>
      </c>
      <c r="H1095" s="14">
        <f>C1095*G1095</f>
        <v/>
      </c>
    </row>
    <row r="1096">
      <c r="A1096" s="12" t="inlineStr">
        <is>
          <t>RET-0097</t>
        </is>
      </c>
      <c r="B1096" s="12" t="inlineStr">
        <is>
          <t>VS07</t>
        </is>
      </c>
      <c r="C1096" s="28" t="n">
        <v>0.0036</v>
      </c>
      <c r="D1096" s="12" t="inlineStr">
        <is>
          <t>PO-2022-2820</t>
        </is>
      </c>
      <c r="E1096" s="12" t="n">
        <v>3.96</v>
      </c>
      <c r="F1096" s="17" t="n">
        <v>72458.25999999999</v>
      </c>
      <c r="G1096" s="14">
        <f>E1096*F1096</f>
        <v/>
      </c>
      <c r="H1096" s="14">
        <f>C1096*G1096</f>
        <v/>
      </c>
    </row>
    <row r="1097">
      <c r="A1097" s="12" t="inlineStr">
        <is>
          <t>RET-0097</t>
        </is>
      </c>
      <c r="B1097" s="12" t="inlineStr">
        <is>
          <t>VS08</t>
        </is>
      </c>
      <c r="C1097" s="28" t="n">
        <v>0.011</v>
      </c>
      <c r="D1097" s="12" t="inlineStr">
        <is>
          <t>PO-2023-4743</t>
        </is>
      </c>
      <c r="E1097" s="12" t="n">
        <v>3.96</v>
      </c>
      <c r="F1097" s="17" t="n">
        <v>62875.21</v>
      </c>
      <c r="G1097" s="14">
        <f>E1097*F1097</f>
        <v/>
      </c>
      <c r="H1097" s="14">
        <f>C1097*G1097</f>
        <v/>
      </c>
    </row>
    <row r="1098">
      <c r="A1098" s="12" t="inlineStr">
        <is>
          <t>RET-0097</t>
        </is>
      </c>
      <c r="B1098" s="12" t="inlineStr">
        <is>
          <t>VS09</t>
        </is>
      </c>
      <c r="C1098" s="28" t="n">
        <v>0.008399999999999999</v>
      </c>
      <c r="D1098" s="12" t="inlineStr">
        <is>
          <t>PO-2023-3936</t>
        </is>
      </c>
      <c r="E1098" s="12" t="n">
        <v>3.96</v>
      </c>
      <c r="F1098" s="17" t="n">
        <v>109545.82</v>
      </c>
      <c r="G1098" s="14">
        <f>E1098*F1098</f>
        <v/>
      </c>
      <c r="H1098" s="14">
        <f>C1098*G1098</f>
        <v/>
      </c>
    </row>
    <row r="1099">
      <c r="A1099" s="12" t="inlineStr">
        <is>
          <t>RET-0097</t>
        </is>
      </c>
      <c r="B1099" s="12" t="inlineStr">
        <is>
          <t>VS10</t>
        </is>
      </c>
      <c r="C1099" s="28" t="n">
        <v>0.0133</v>
      </c>
      <c r="D1099" s="12" t="inlineStr">
        <is>
          <t>PO-2021-1031</t>
        </is>
      </c>
      <c r="E1099" s="12" t="n">
        <v>3.96</v>
      </c>
      <c r="F1099" s="17" t="n">
        <v>92045.71000000001</v>
      </c>
      <c r="G1099" s="14">
        <f>E1099*F1099</f>
        <v/>
      </c>
      <c r="H1099" s="14">
        <f>C1099*G1099</f>
        <v/>
      </c>
    </row>
    <row r="1100">
      <c r="A1100" s="12" t="inlineStr">
        <is>
          <t>RET-0097</t>
        </is>
      </c>
      <c r="B1100" s="12" t="inlineStr">
        <is>
          <t>VS11</t>
        </is>
      </c>
      <c r="C1100" s="28" t="n">
        <v>0.0155</v>
      </c>
      <c r="D1100" s="12" t="inlineStr">
        <is>
          <t>PO-2023-3369</t>
        </is>
      </c>
      <c r="E1100" s="12" t="n">
        <v>3.96</v>
      </c>
      <c r="F1100" s="17" t="n">
        <v>98767.22</v>
      </c>
      <c r="G1100" s="14">
        <f>E1100*F1100</f>
        <v/>
      </c>
      <c r="H1100" s="14">
        <f>C1100*G1100</f>
        <v/>
      </c>
    </row>
    <row r="1101">
      <c r="A1101" s="12" t="inlineStr">
        <is>
          <t>RET-0097</t>
        </is>
      </c>
      <c r="B1101" s="12" t="inlineStr">
        <is>
          <t>VS12</t>
        </is>
      </c>
      <c r="C1101" s="28" t="n">
        <v>0.2862</v>
      </c>
      <c r="D1101" s="12" t="inlineStr">
        <is>
          <t>PO-2022-1686</t>
        </is>
      </c>
      <c r="E1101" s="12" t="n">
        <v>3.96</v>
      </c>
      <c r="F1101" s="17" t="n">
        <v>116010.56</v>
      </c>
      <c r="G1101" s="14">
        <f>E1101*F1101</f>
        <v/>
      </c>
      <c r="H1101" s="14">
        <f>C1101*G1101</f>
        <v/>
      </c>
    </row>
    <row r="1102">
      <c r="A1102" s="12" t="inlineStr">
        <is>
          <t>RET-0097</t>
        </is>
      </c>
      <c r="B1102" s="12" t="inlineStr">
        <is>
          <t>VS13</t>
        </is>
      </c>
      <c r="C1102" s="28" t="n">
        <v>0.0107</v>
      </c>
      <c r="D1102" s="12" t="inlineStr">
        <is>
          <t>PO-2021-0079</t>
        </is>
      </c>
      <c r="E1102" s="12" t="n">
        <v>3.96</v>
      </c>
      <c r="F1102" s="17" t="n">
        <v>65737.47</v>
      </c>
      <c r="G1102" s="14">
        <f>E1102*F1102</f>
        <v/>
      </c>
      <c r="H1102" s="14">
        <f>C1102*G1102</f>
        <v/>
      </c>
    </row>
    <row r="1103">
      <c r="A1103" s="12" t="inlineStr">
        <is>
          <t>RET-0097</t>
        </is>
      </c>
      <c r="B1103" s="12" t="inlineStr">
        <is>
          <t>VS14</t>
        </is>
      </c>
      <c r="C1103" s="28" t="n">
        <v>0.0108</v>
      </c>
      <c r="D1103" s="12" t="inlineStr">
        <is>
          <t>PO-2022-2697</t>
        </is>
      </c>
      <c r="E1103" s="12" t="n">
        <v>3.96</v>
      </c>
      <c r="F1103" s="17" t="n">
        <v>102378.48</v>
      </c>
      <c r="G1103" s="14">
        <f>E1103*F1103</f>
        <v/>
      </c>
      <c r="H1103" s="14">
        <f>C1103*G1103</f>
        <v/>
      </c>
    </row>
    <row r="1104">
      <c r="A1104" s="12" t="inlineStr">
        <is>
          <t>RET-0097</t>
        </is>
      </c>
      <c r="B1104" s="12" t="inlineStr">
        <is>
          <t>VS15</t>
        </is>
      </c>
      <c r="C1104" s="28" t="n">
        <v>0.0036</v>
      </c>
      <c r="D1104" s="12" t="inlineStr">
        <is>
          <t>PO-2022-3176</t>
        </is>
      </c>
      <c r="E1104" s="12" t="n">
        <v>3.96</v>
      </c>
      <c r="F1104" s="17" t="n">
        <v>105374.85</v>
      </c>
      <c r="G1104" s="14">
        <f>E1104*F1104</f>
        <v/>
      </c>
      <c r="H1104" s="14">
        <f>C1104*G1104</f>
        <v/>
      </c>
    </row>
    <row r="1105">
      <c r="A1105" s="12" t="inlineStr">
        <is>
          <t>RET-0097</t>
        </is>
      </c>
      <c r="B1105" s="12" t="inlineStr">
        <is>
          <t>VS16</t>
        </is>
      </c>
      <c r="C1105" s="28" t="n">
        <v>0.0156</v>
      </c>
      <c r="D1105" s="12" t="inlineStr">
        <is>
          <t>PO-2021-1452</t>
        </is>
      </c>
      <c r="E1105" s="12" t="n">
        <v>3.96</v>
      </c>
      <c r="F1105" s="17" t="n">
        <v>115815.74</v>
      </c>
      <c r="G1105" s="14">
        <f>E1105*F1105</f>
        <v/>
      </c>
      <c r="H1105" s="14">
        <f>C1105*G1105</f>
        <v/>
      </c>
    </row>
    <row r="1106">
      <c r="A1106" s="12" t="inlineStr">
        <is>
          <t>RET-0097</t>
        </is>
      </c>
      <c r="B1106" s="12" t="inlineStr">
        <is>
          <t>VS17</t>
        </is>
      </c>
      <c r="C1106" s="28" t="n">
        <v>0.0155</v>
      </c>
      <c r="D1106" s="12" t="inlineStr">
        <is>
          <t>PO-2021-1380</t>
        </is>
      </c>
      <c r="E1106" s="12" t="n">
        <v>3.96</v>
      </c>
      <c r="F1106" s="17" t="n">
        <v>79662.56</v>
      </c>
      <c r="G1106" s="14">
        <f>E1106*F1106</f>
        <v/>
      </c>
      <c r="H1106" s="14">
        <f>C1106*G1106</f>
        <v/>
      </c>
    </row>
    <row r="1107">
      <c r="A1107" s="12" t="inlineStr">
        <is>
          <t>RET-0097</t>
        </is>
      </c>
      <c r="B1107" s="12" t="inlineStr">
        <is>
          <t>VS18</t>
        </is>
      </c>
      <c r="C1107" s="28" t="n">
        <v>0.0108</v>
      </c>
      <c r="D1107" s="12" t="inlineStr">
        <is>
          <t>PO-2021-1371</t>
        </is>
      </c>
      <c r="E1107" s="12" t="n">
        <v>1.333</v>
      </c>
      <c r="F1107" s="17" t="n">
        <v>55701.9</v>
      </c>
      <c r="G1107" s="14">
        <f>E1107*F1107</f>
        <v/>
      </c>
      <c r="H1107" s="14">
        <f>C1107*G1107</f>
        <v/>
      </c>
    </row>
    <row r="1108">
      <c r="A1108" s="12" t="inlineStr">
        <is>
          <t>RET-0097</t>
        </is>
      </c>
      <c r="B1108" s="12" t="inlineStr">
        <is>
          <t>VS19</t>
        </is>
      </c>
      <c r="C1108" s="28" t="n">
        <v>0.2159</v>
      </c>
      <c r="D1108" s="12" t="inlineStr">
        <is>
          <t>PO-2021-1161</t>
        </is>
      </c>
      <c r="E1108" s="12" t="n">
        <v>3.96</v>
      </c>
      <c r="F1108" s="17" t="n">
        <v>78664.88</v>
      </c>
      <c r="G1108" s="14">
        <f>E1108*F1108</f>
        <v/>
      </c>
      <c r="H1108" s="14">
        <f>C1108*G1108</f>
        <v/>
      </c>
    </row>
    <row r="1109">
      <c r="A1109" s="12" t="inlineStr">
        <is>
          <t>RET-0097</t>
        </is>
      </c>
      <c r="B1109" s="12" t="inlineStr">
        <is>
          <t>VS20</t>
        </is>
      </c>
      <c r="C1109" s="28" t="n">
        <v>0.006</v>
      </c>
      <c r="D1109" s="12" t="inlineStr">
        <is>
          <t>PO-2022-1971</t>
        </is>
      </c>
      <c r="E1109" s="12" t="n">
        <v>3.96</v>
      </c>
      <c r="F1109" s="17" t="n">
        <v>100358.29</v>
      </c>
      <c r="G1109" s="14">
        <f>E1109*F1109</f>
        <v/>
      </c>
      <c r="H1109" s="14">
        <f>C1109*G1109</f>
        <v/>
      </c>
    </row>
    <row r="1110">
      <c r="A1110" s="12" t="inlineStr">
        <is>
          <t>RET-0097</t>
        </is>
      </c>
      <c r="B1110" s="12" t="inlineStr">
        <is>
          <t>VS21</t>
        </is>
      </c>
      <c r="C1110" s="28" t="n">
        <v>0.006</v>
      </c>
      <c r="D1110" s="12" t="inlineStr">
        <is>
          <t>PO-2022-1670</t>
        </is>
      </c>
      <c r="E1110" s="12" t="n">
        <v>3.96</v>
      </c>
      <c r="F1110" s="17" t="n">
        <v>46923.02</v>
      </c>
      <c r="G1110" s="14">
        <f>E1110*F1110</f>
        <v/>
      </c>
      <c r="H1110" s="14">
        <f>C1110*G1110</f>
        <v/>
      </c>
    </row>
    <row r="1111">
      <c r="A1111" s="12" t="inlineStr">
        <is>
          <t>RET-0097</t>
        </is>
      </c>
      <c r="B1111" s="12" t="inlineStr">
        <is>
          <t>VS22</t>
        </is>
      </c>
      <c r="C1111" s="28" t="n">
        <v>0.0036</v>
      </c>
      <c r="D1111" s="12" t="inlineStr">
        <is>
          <t>PO-2022-3183</t>
        </is>
      </c>
      <c r="E1111" s="12" t="n">
        <v>3.96</v>
      </c>
      <c r="F1111" s="17" t="n">
        <v>62994.69</v>
      </c>
      <c r="G1111" s="14">
        <f>E1111*F1111</f>
        <v/>
      </c>
      <c r="H1111" s="14">
        <f>C1111*G1111</f>
        <v/>
      </c>
    </row>
    <row r="1112">
      <c r="A1112" s="12" t="inlineStr">
        <is>
          <t>RET-0097</t>
        </is>
      </c>
      <c r="B1112" s="12" t="inlineStr">
        <is>
          <t>VS23</t>
        </is>
      </c>
      <c r="C1112" s="28" t="n">
        <v>0.0059</v>
      </c>
      <c r="D1112" s="12" t="inlineStr">
        <is>
          <t>PO-2023-3566</t>
        </is>
      </c>
      <c r="E1112" s="12" t="n">
        <v>3.96</v>
      </c>
      <c r="F1112" s="17" t="n">
        <v>56982.71</v>
      </c>
      <c r="G1112" s="14">
        <f>E1112*F1112</f>
        <v/>
      </c>
      <c r="H1112" s="14">
        <f>C1112*G1112</f>
        <v/>
      </c>
    </row>
    <row r="1113">
      <c r="A1113" s="12" t="inlineStr">
        <is>
          <t>RET-0097</t>
        </is>
      </c>
      <c r="B1113" s="12" t="inlineStr">
        <is>
          <t>VS24</t>
        </is>
      </c>
      <c r="C1113" s="28" t="n">
        <v>0.006</v>
      </c>
      <c r="D1113" s="12" t="inlineStr">
        <is>
          <t>PO-2023-4459</t>
        </is>
      </c>
      <c r="E1113" s="12" t="n">
        <v>3.704</v>
      </c>
      <c r="F1113" s="17" t="n">
        <v>65562.3</v>
      </c>
      <c r="G1113" s="14">
        <f>E1113*F1113</f>
        <v/>
      </c>
      <c r="H1113" s="14">
        <f>C1113*G1113</f>
        <v/>
      </c>
    </row>
    <row r="1114">
      <c r="A1114" s="12" t="inlineStr">
        <is>
          <t>RET-0097</t>
        </is>
      </c>
      <c r="B1114" s="12" t="inlineStr">
        <is>
          <t>VS25</t>
        </is>
      </c>
      <c r="C1114" s="28" t="n">
        <v>0.0109</v>
      </c>
      <c r="D1114" s="12" t="inlineStr">
        <is>
          <t>PO-2023-4640</t>
        </is>
      </c>
      <c r="E1114" s="12" t="n">
        <v>3.96</v>
      </c>
      <c r="F1114" s="17" t="n">
        <v>97768.31</v>
      </c>
      <c r="G1114" s="14">
        <f>E1114*F1114</f>
        <v/>
      </c>
      <c r="H1114" s="14">
        <f>C1114*G1114</f>
        <v/>
      </c>
    </row>
    <row r="1115">
      <c r="A1115" s="12" t="inlineStr">
        <is>
          <t>RET-0097</t>
        </is>
      </c>
      <c r="B1115" s="12" t="inlineStr">
        <is>
          <t>VS26</t>
        </is>
      </c>
      <c r="C1115" s="28" t="n">
        <v>0.0061</v>
      </c>
      <c r="D1115" s="12" t="inlineStr">
        <is>
          <t>PO-2022-3157</t>
        </is>
      </c>
      <c r="E1115" s="12" t="n">
        <v>1.13</v>
      </c>
      <c r="F1115" s="17" t="n">
        <v>118827.09</v>
      </c>
      <c r="G1115" s="14">
        <f>E1115*F1115</f>
        <v/>
      </c>
      <c r="H1115" s="14">
        <f>C1115*G1115</f>
        <v/>
      </c>
    </row>
    <row r="1116">
      <c r="A1116" s="12" t="inlineStr">
        <is>
          <t>RET-0097</t>
        </is>
      </c>
      <c r="B1116" s="12" t="inlineStr">
        <is>
          <t>VS27</t>
        </is>
      </c>
      <c r="C1116" s="28" t="n">
        <v>0.0059</v>
      </c>
      <c r="D1116" s="12" t="inlineStr">
        <is>
          <t>PO-2023-3817</t>
        </is>
      </c>
      <c r="E1116" s="12" t="n">
        <v>3.96</v>
      </c>
      <c r="F1116" s="17" t="n">
        <v>111177.24</v>
      </c>
      <c r="G1116" s="14">
        <f>E1116*F1116</f>
        <v/>
      </c>
      <c r="H1116" s="14">
        <f>C1116*G1116</f>
        <v/>
      </c>
    </row>
    <row r="1117">
      <c r="A1117" s="12" t="inlineStr">
        <is>
          <t>RET-0097</t>
        </is>
      </c>
      <c r="B1117" s="12" t="inlineStr">
        <is>
          <t>VS28</t>
        </is>
      </c>
      <c r="C1117" s="28" t="n">
        <v>0.0133</v>
      </c>
      <c r="D1117" s="12" t="inlineStr">
        <is>
          <t>PO-2023-3754</t>
        </is>
      </c>
      <c r="E1117" s="12" t="n">
        <v>3.96</v>
      </c>
      <c r="F1117" s="17" t="n">
        <v>90330.39</v>
      </c>
      <c r="G1117" s="14">
        <f>E1117*F1117</f>
        <v/>
      </c>
      <c r="H1117" s="14">
        <f>C1117*G1117</f>
        <v/>
      </c>
    </row>
    <row r="1118">
      <c r="A1118" s="12" t="inlineStr">
        <is>
          <t>RET-0097</t>
        </is>
      </c>
      <c r="B1118" s="12" t="inlineStr">
        <is>
          <t>VS29</t>
        </is>
      </c>
      <c r="C1118" s="28" t="n">
        <v>0.008399999999999999</v>
      </c>
      <c r="D1118" s="12" t="inlineStr">
        <is>
          <t>PO-2021-0245</t>
        </is>
      </c>
      <c r="E1118" s="12" t="n">
        <v>3.96</v>
      </c>
      <c r="F1118" s="17" t="n">
        <v>66418.27</v>
      </c>
      <c r="G1118" s="14">
        <f>E1118*F1118</f>
        <v/>
      </c>
      <c r="H1118" s="14">
        <f>C1118*G1118</f>
        <v/>
      </c>
    </row>
    <row r="1119">
      <c r="A1119" s="12" t="inlineStr">
        <is>
          <t>RET-0097</t>
        </is>
      </c>
      <c r="B1119" s="12" t="inlineStr">
        <is>
          <t>VS30</t>
        </is>
      </c>
      <c r="C1119" s="28" t="n">
        <v>0.0036</v>
      </c>
      <c r="D1119" s="12" t="inlineStr">
        <is>
          <t>PO-2021-1328</t>
        </is>
      </c>
      <c r="E1119" s="12" t="n">
        <v>3.96</v>
      </c>
      <c r="F1119" s="17" t="n">
        <v>100093.96</v>
      </c>
      <c r="G1119" s="14">
        <f>E1119*F1119</f>
        <v/>
      </c>
      <c r="H1119" s="14">
        <f>C1119*G1119</f>
        <v/>
      </c>
    </row>
    <row r="1120">
      <c r="A1120" s="12" t="inlineStr">
        <is>
          <t>RET-0097</t>
        </is>
      </c>
      <c r="B1120" s="12" t="inlineStr">
        <is>
          <t>VS31</t>
        </is>
      </c>
      <c r="C1120" s="28" t="n">
        <v>0.0132</v>
      </c>
      <c r="D1120" s="12" t="inlineStr">
        <is>
          <t>PO-2023-3258</t>
        </is>
      </c>
      <c r="E1120" s="12" t="n">
        <v>2.84</v>
      </c>
      <c r="F1120" s="17" t="n">
        <v>100433.61</v>
      </c>
      <c r="G1120" s="14">
        <f>E1120*F1120</f>
        <v/>
      </c>
      <c r="H1120" s="14">
        <f>C1120*G1120</f>
        <v/>
      </c>
    </row>
    <row r="1121">
      <c r="A1121" s="12" t="inlineStr">
        <is>
          <t>RET-0097</t>
        </is>
      </c>
      <c r="B1121" s="12" t="inlineStr">
        <is>
          <t>VS32</t>
        </is>
      </c>
      <c r="C1121" s="28" t="n">
        <v>0.0157</v>
      </c>
      <c r="D1121" s="12" t="inlineStr">
        <is>
          <t>PO-2022-1730</t>
        </is>
      </c>
      <c r="E1121" s="12" t="n">
        <v>3.96</v>
      </c>
      <c r="F1121" s="17" t="n">
        <v>60268.16</v>
      </c>
      <c r="G1121" s="14">
        <f>E1121*F1121</f>
        <v/>
      </c>
      <c r="H1121" s="14">
        <f>C1121*G1121</f>
        <v/>
      </c>
    </row>
    <row r="1122">
      <c r="A1122" s="12" t="inlineStr">
        <is>
          <t>RET-0097</t>
        </is>
      </c>
      <c r="B1122" s="12" t="inlineStr">
        <is>
          <t>VS33</t>
        </is>
      </c>
      <c r="C1122" s="28" t="n">
        <v>0.008399999999999999</v>
      </c>
      <c r="D1122" s="12" t="inlineStr">
        <is>
          <t>PO-2023-4631</t>
        </is>
      </c>
      <c r="E1122" s="12" t="n">
        <v>1.398</v>
      </c>
      <c r="F1122" s="17" t="n">
        <v>71650.61</v>
      </c>
      <c r="G1122" s="14">
        <f>E1122*F1122</f>
        <v/>
      </c>
      <c r="H1122" s="14">
        <f>C1122*G1122</f>
        <v/>
      </c>
    </row>
    <row r="1123">
      <c r="A1123" s="12" t="inlineStr">
        <is>
          <t>RET-0097</t>
        </is>
      </c>
      <c r="B1123" s="12" t="inlineStr">
        <is>
          <t>VS34</t>
        </is>
      </c>
      <c r="C1123" s="28" t="n">
        <v>0.0108</v>
      </c>
      <c r="D1123" s="12" t="inlineStr">
        <is>
          <t>PO-2023-3961</t>
        </is>
      </c>
      <c r="E1123" s="12" t="n">
        <v>3.96</v>
      </c>
      <c r="F1123" s="17" t="n">
        <v>97423.71000000001</v>
      </c>
      <c r="G1123" s="14">
        <f>E1123*F1123</f>
        <v/>
      </c>
      <c r="H1123" s="14">
        <f>C1123*G1123</f>
        <v/>
      </c>
    </row>
    <row r="1124">
      <c r="A1124" s="12" t="inlineStr">
        <is>
          <t>RET-0098</t>
        </is>
      </c>
      <c r="B1124" s="12" t="inlineStr">
        <is>
          <t>VS01</t>
        </is>
      </c>
      <c r="C1124" s="28" t="n">
        <v>0.03</v>
      </c>
      <c r="D1124" s="12" t="inlineStr">
        <is>
          <t>PO-2023-3496</t>
        </is>
      </c>
      <c r="E1124" s="12" t="n">
        <v>2.44</v>
      </c>
      <c r="F1124" s="17" t="n">
        <v>71183</v>
      </c>
      <c r="G1124" s="14">
        <f>E1124*F1124</f>
        <v/>
      </c>
      <c r="H1124" s="14">
        <f>C1124*G1124</f>
        <v/>
      </c>
    </row>
    <row r="1125">
      <c r="A1125" s="12" t="inlineStr">
        <is>
          <t>RET-0098</t>
        </is>
      </c>
      <c r="B1125" s="12" t="inlineStr">
        <is>
          <t>VS02</t>
        </is>
      </c>
      <c r="C1125" s="28" t="n">
        <v>0.0137</v>
      </c>
      <c r="D1125" s="12" t="inlineStr">
        <is>
          <t>PO-2021-1198</t>
        </is>
      </c>
      <c r="E1125" s="12" t="n">
        <v>2.44</v>
      </c>
      <c r="F1125" s="17" t="n">
        <v>79715.92</v>
      </c>
      <c r="G1125" s="14">
        <f>E1125*F1125</f>
        <v/>
      </c>
      <c r="H1125" s="14">
        <f>C1125*G1125</f>
        <v/>
      </c>
    </row>
    <row r="1126">
      <c r="A1126" s="12" t="inlineStr">
        <is>
          <t>RET-0098</t>
        </is>
      </c>
      <c r="B1126" s="12" t="inlineStr">
        <is>
          <t>VS03</t>
        </is>
      </c>
      <c r="C1126" s="28" t="n">
        <v>0.099</v>
      </c>
      <c r="D1126" s="12" t="inlineStr">
        <is>
          <t>PO-2023-4107</t>
        </is>
      </c>
      <c r="E1126" s="12" t="n">
        <v>2.44</v>
      </c>
      <c r="F1126" s="17" t="n">
        <v>66775.38</v>
      </c>
      <c r="G1126" s="14">
        <f>E1126*F1126</f>
        <v/>
      </c>
      <c r="H1126" s="14">
        <f>C1126*G1126</f>
        <v/>
      </c>
    </row>
    <row r="1127">
      <c r="A1127" s="12" t="inlineStr">
        <is>
          <t>RET-0098</t>
        </is>
      </c>
      <c r="B1127" s="12" t="inlineStr">
        <is>
          <t>VS04</t>
        </is>
      </c>
      <c r="C1127" s="28" t="n">
        <v>0.0188</v>
      </c>
      <c r="D1127" s="12" t="inlineStr">
        <is>
          <t>PO-2023-3805</t>
        </is>
      </c>
      <c r="E1127" s="12" t="n">
        <v>2.44</v>
      </c>
      <c r="F1127" s="17" t="n">
        <v>108818.56</v>
      </c>
      <c r="G1127" s="14">
        <f>E1127*F1127</f>
        <v/>
      </c>
      <c r="H1127" s="14">
        <f>C1127*G1127</f>
        <v/>
      </c>
    </row>
    <row r="1128">
      <c r="A1128" s="12" t="inlineStr">
        <is>
          <t>RET-0098</t>
        </is>
      </c>
      <c r="B1128" s="12" t="inlineStr">
        <is>
          <t>VS05</t>
        </is>
      </c>
      <c r="C1128" s="28" t="n">
        <v>0.0244</v>
      </c>
      <c r="D1128" s="12" t="inlineStr">
        <is>
          <t>PO-2023-3967</t>
        </is>
      </c>
      <c r="E1128" s="12" t="n">
        <v>2.44</v>
      </c>
      <c r="F1128" s="17" t="n">
        <v>66623.75</v>
      </c>
      <c r="G1128" s="14">
        <f>E1128*F1128</f>
        <v/>
      </c>
      <c r="H1128" s="14">
        <f>C1128*G1128</f>
        <v/>
      </c>
    </row>
    <row r="1129">
      <c r="A1129" s="12" t="inlineStr">
        <is>
          <t>RET-0098</t>
        </is>
      </c>
      <c r="B1129" s="12" t="inlineStr">
        <is>
          <t>VS06</t>
        </is>
      </c>
      <c r="C1129" s="28" t="n">
        <v>0.0246</v>
      </c>
      <c r="D1129" s="12" t="inlineStr">
        <is>
          <t>PO-2021-0393</t>
        </is>
      </c>
      <c r="E1129" s="12" t="n">
        <v>2.44</v>
      </c>
      <c r="F1129" s="17" t="n">
        <v>99761.3</v>
      </c>
      <c r="G1129" s="14">
        <f>E1129*F1129</f>
        <v/>
      </c>
      <c r="H1129" s="14">
        <f>C1129*G1129</f>
        <v/>
      </c>
    </row>
    <row r="1130">
      <c r="A1130" s="12" t="inlineStr">
        <is>
          <t>RET-0098</t>
        </is>
      </c>
      <c r="B1130" s="12" t="inlineStr">
        <is>
          <t>VS07</t>
        </is>
      </c>
      <c r="C1130" s="28" t="n">
        <v>0.008200000000000001</v>
      </c>
      <c r="D1130" s="12" t="inlineStr">
        <is>
          <t>PO-2023-3599</t>
        </is>
      </c>
      <c r="E1130" s="12" t="n">
        <v>2.44</v>
      </c>
      <c r="F1130" s="17" t="n">
        <v>58630.86</v>
      </c>
      <c r="G1130" s="14">
        <f>E1130*F1130</f>
        <v/>
      </c>
      <c r="H1130" s="14">
        <f>C1130*G1130</f>
        <v/>
      </c>
    </row>
    <row r="1131">
      <c r="A1131" s="12" t="inlineStr">
        <is>
          <t>RET-0098</t>
        </is>
      </c>
      <c r="B1131" s="12" t="inlineStr">
        <is>
          <t>VS08</t>
        </is>
      </c>
      <c r="C1131" s="28" t="n">
        <v>0.0248</v>
      </c>
      <c r="D1131" s="12" t="inlineStr">
        <is>
          <t>PO-2021-1480</t>
        </is>
      </c>
      <c r="E1131" s="12" t="n">
        <v>2.44</v>
      </c>
      <c r="F1131" s="17" t="n">
        <v>81691.38</v>
      </c>
      <c r="G1131" s="14">
        <f>E1131*F1131</f>
        <v/>
      </c>
      <c r="H1131" s="14">
        <f>C1131*G1131</f>
        <v/>
      </c>
    </row>
    <row r="1132">
      <c r="A1132" s="12" t="inlineStr">
        <is>
          <t>RET-0098</t>
        </is>
      </c>
      <c r="B1132" s="12" t="inlineStr">
        <is>
          <t>VS09</t>
        </is>
      </c>
      <c r="C1132" s="28" t="n">
        <v>0.019</v>
      </c>
      <c r="D1132" s="12" t="inlineStr">
        <is>
          <t>PO-2022-1629</t>
        </is>
      </c>
      <c r="E1132" s="12" t="n">
        <v>2.44</v>
      </c>
      <c r="F1132" s="17" t="n">
        <v>81619.42</v>
      </c>
      <c r="G1132" s="14">
        <f>E1132*F1132</f>
        <v/>
      </c>
      <c r="H1132" s="14">
        <f>C1132*G1132</f>
        <v/>
      </c>
    </row>
    <row r="1133">
      <c r="A1133" s="12" t="inlineStr">
        <is>
          <t>RET-0098</t>
        </is>
      </c>
      <c r="B1133" s="12" t="inlineStr">
        <is>
          <t>VS10</t>
        </is>
      </c>
      <c r="C1133" s="28" t="n">
        <v>0.0299</v>
      </c>
      <c r="D1133" s="12" t="inlineStr">
        <is>
          <t>PO-2021-1257</t>
        </is>
      </c>
      <c r="E1133" s="12" t="n">
        <v>2.44</v>
      </c>
      <c r="F1133" s="17" t="n">
        <v>119326.51</v>
      </c>
      <c r="G1133" s="14">
        <f>E1133*F1133</f>
        <v/>
      </c>
      <c r="H1133" s="14">
        <f>C1133*G1133</f>
        <v/>
      </c>
    </row>
    <row r="1134">
      <c r="A1134" s="12" t="inlineStr">
        <is>
          <t>RET-0098</t>
        </is>
      </c>
      <c r="B1134" s="12" t="inlineStr">
        <is>
          <t>VS11</t>
        </is>
      </c>
      <c r="C1134" s="28" t="n">
        <v>0.0351</v>
      </c>
      <c r="D1134" s="12" t="inlineStr">
        <is>
          <t>PO-2023-3612</t>
        </is>
      </c>
      <c r="E1134" s="12" t="n">
        <v>2.09</v>
      </c>
      <c r="F1134" s="17" t="n">
        <v>114196.8</v>
      </c>
      <c r="G1134" s="14">
        <f>E1134*F1134</f>
        <v/>
      </c>
      <c r="H1134" s="14">
        <f>C1134*G1134</f>
        <v/>
      </c>
    </row>
    <row r="1135">
      <c r="A1135" s="12" t="inlineStr">
        <is>
          <t>RET-0098</t>
        </is>
      </c>
      <c r="B1135" s="12" t="inlineStr">
        <is>
          <t>VS12</t>
        </is>
      </c>
      <c r="C1135" s="28" t="n">
        <v>0.1376</v>
      </c>
      <c r="D1135" s="12" t="inlineStr">
        <is>
          <t>PO-2022-2043</t>
        </is>
      </c>
      <c r="E1135" s="12" t="n">
        <v>2.44</v>
      </c>
      <c r="F1135" s="17" t="n">
        <v>97742.13</v>
      </c>
      <c r="G1135" s="14">
        <f>E1135*F1135</f>
        <v/>
      </c>
      <c r="H1135" s="14">
        <f>C1135*G1135</f>
        <v/>
      </c>
    </row>
    <row r="1136">
      <c r="A1136" s="12" t="inlineStr">
        <is>
          <t>RET-0098</t>
        </is>
      </c>
      <c r="B1136" s="12" t="inlineStr">
        <is>
          <t>VS13</t>
        </is>
      </c>
      <c r="C1136" s="28" t="n">
        <v>0.0242</v>
      </c>
      <c r="D1136" s="12" t="inlineStr">
        <is>
          <t>PO-2022-1771</t>
        </is>
      </c>
      <c r="E1136" s="12" t="n">
        <v>2.44</v>
      </c>
      <c r="F1136" s="17" t="n">
        <v>56476.66</v>
      </c>
      <c r="G1136" s="14">
        <f>E1136*F1136</f>
        <v/>
      </c>
      <c r="H1136" s="14">
        <f>C1136*G1136</f>
        <v/>
      </c>
    </row>
    <row r="1137">
      <c r="A1137" s="12" t="inlineStr">
        <is>
          <t>RET-0098</t>
        </is>
      </c>
      <c r="B1137" s="12" t="inlineStr">
        <is>
          <t>VS14</t>
        </is>
      </c>
      <c r="C1137" s="28" t="n">
        <v>0.0244</v>
      </c>
      <c r="D1137" s="12" t="inlineStr">
        <is>
          <t>PO-2022-3111</t>
        </is>
      </c>
      <c r="E1137" s="12" t="n">
        <v>1.14</v>
      </c>
      <c r="F1137" s="17" t="n">
        <v>71115.74000000001</v>
      </c>
      <c r="G1137" s="14">
        <f>E1137*F1137</f>
        <v/>
      </c>
      <c r="H1137" s="14">
        <f>C1137*G1137</f>
        <v/>
      </c>
    </row>
    <row r="1138">
      <c r="A1138" s="12" t="inlineStr">
        <is>
          <t>RET-0098</t>
        </is>
      </c>
      <c r="B1138" s="12" t="inlineStr">
        <is>
          <t>VS15</t>
        </is>
      </c>
      <c r="C1138" s="28" t="n">
        <v>0.008200000000000001</v>
      </c>
      <c r="D1138" s="12" t="inlineStr">
        <is>
          <t>PO-2021-1462</t>
        </is>
      </c>
      <c r="E1138" s="12" t="n">
        <v>2.44</v>
      </c>
      <c r="F1138" s="17" t="n">
        <v>85371.97</v>
      </c>
      <c r="G1138" s="14">
        <f>E1138*F1138</f>
        <v/>
      </c>
      <c r="H1138" s="14">
        <f>C1138*G1138</f>
        <v/>
      </c>
    </row>
    <row r="1139">
      <c r="A1139" s="12" t="inlineStr">
        <is>
          <t>RET-0098</t>
        </is>
      </c>
      <c r="B1139" s="12" t="inlineStr">
        <is>
          <t>VS16</t>
        </is>
      </c>
      <c r="C1139" s="28" t="n">
        <v>0.0352</v>
      </c>
      <c r="D1139" s="12" t="inlineStr">
        <is>
          <t>PO-2021-1309</t>
        </is>
      </c>
      <c r="E1139" s="12" t="n">
        <v>2.44</v>
      </c>
      <c r="F1139" s="17" t="n">
        <v>116910.2</v>
      </c>
      <c r="G1139" s="14">
        <f>E1139*F1139</f>
        <v/>
      </c>
      <c r="H1139" s="14">
        <f>C1139*G1139</f>
        <v/>
      </c>
    </row>
    <row r="1140">
      <c r="A1140" s="12" t="inlineStr">
        <is>
          <t>RET-0098</t>
        </is>
      </c>
      <c r="B1140" s="12" t="inlineStr">
        <is>
          <t>VS17</t>
        </is>
      </c>
      <c r="C1140" s="28" t="n">
        <v>0.035</v>
      </c>
      <c r="D1140" s="12" t="inlineStr">
        <is>
          <t>PO-2021-0511</t>
        </is>
      </c>
      <c r="E1140" s="12" t="n">
        <v>2.44</v>
      </c>
      <c r="F1140" s="17" t="n">
        <v>48611.06</v>
      </c>
      <c r="G1140" s="14">
        <f>E1140*F1140</f>
        <v/>
      </c>
      <c r="H1140" s="14">
        <f>C1140*G1140</f>
        <v/>
      </c>
    </row>
    <row r="1141">
      <c r="A1141" s="12" t="inlineStr">
        <is>
          <t>RET-0098</t>
        </is>
      </c>
      <c r="B1141" s="12" t="inlineStr">
        <is>
          <t>VS18</t>
        </is>
      </c>
      <c r="C1141" s="28" t="n">
        <v>0.0244</v>
      </c>
      <c r="D1141" s="12" t="inlineStr">
        <is>
          <t>PO-2023-3272</t>
        </is>
      </c>
      <c r="E1141" s="12" t="n">
        <v>2.44</v>
      </c>
      <c r="F1141" s="17" t="n">
        <v>52770.85</v>
      </c>
      <c r="G1141" s="14">
        <f>E1141*F1141</f>
        <v/>
      </c>
      <c r="H1141" s="14">
        <f>C1141*G1141</f>
        <v/>
      </c>
    </row>
    <row r="1142">
      <c r="A1142" s="12" t="inlineStr">
        <is>
          <t>RET-0098</t>
        </is>
      </c>
      <c r="B1142" s="12" t="inlineStr">
        <is>
          <t>VS19</t>
        </is>
      </c>
      <c r="C1142" s="28" t="n">
        <v>0.1038</v>
      </c>
      <c r="D1142" s="12" t="inlineStr">
        <is>
          <t>PO-2022-1605</t>
        </is>
      </c>
      <c r="E1142" s="12" t="n">
        <v>2.44</v>
      </c>
      <c r="F1142" s="17" t="n">
        <v>115530.26</v>
      </c>
      <c r="G1142" s="14">
        <f>E1142*F1142</f>
        <v/>
      </c>
      <c r="H1142" s="14">
        <f>C1142*G1142</f>
        <v/>
      </c>
    </row>
    <row r="1143">
      <c r="A1143" s="12" t="inlineStr">
        <is>
          <t>RET-0098</t>
        </is>
      </c>
      <c r="B1143" s="12" t="inlineStr">
        <is>
          <t>VS20</t>
        </is>
      </c>
      <c r="C1143" s="28" t="n">
        <v>0.0136</v>
      </c>
      <c r="D1143" s="12" t="inlineStr">
        <is>
          <t>PO-2021-1042</t>
        </is>
      </c>
      <c r="E1143" s="12" t="n">
        <v>2.44</v>
      </c>
      <c r="F1143" s="17" t="n">
        <v>75342.17</v>
      </c>
      <c r="G1143" s="14">
        <f>E1143*F1143</f>
        <v/>
      </c>
      <c r="H1143" s="14">
        <f>C1143*G1143</f>
        <v/>
      </c>
    </row>
    <row r="1144">
      <c r="A1144" s="12" t="inlineStr">
        <is>
          <t>RET-0098</t>
        </is>
      </c>
      <c r="B1144" s="12" t="inlineStr">
        <is>
          <t>VS21</t>
        </is>
      </c>
      <c r="C1144" s="28" t="n">
        <v>0.0136</v>
      </c>
      <c r="D1144" s="12" t="inlineStr">
        <is>
          <t>PO-2021-0626</t>
        </is>
      </c>
      <c r="E1144" s="12" t="n">
        <v>2.44</v>
      </c>
      <c r="F1144" s="17" t="n">
        <v>87171.02</v>
      </c>
      <c r="G1144" s="14">
        <f>E1144*F1144</f>
        <v/>
      </c>
      <c r="H1144" s="14">
        <f>C1144*G1144</f>
        <v/>
      </c>
    </row>
    <row r="1145">
      <c r="A1145" s="12" t="inlineStr">
        <is>
          <t>RET-0098</t>
        </is>
      </c>
      <c r="B1145" s="12" t="inlineStr">
        <is>
          <t>VS22</t>
        </is>
      </c>
      <c r="C1145" s="28" t="n">
        <v>0.0081</v>
      </c>
      <c r="D1145" s="12" t="inlineStr">
        <is>
          <t>PO-2021-0137</t>
        </is>
      </c>
      <c r="E1145" s="12" t="n">
        <v>2.44</v>
      </c>
      <c r="F1145" s="17" t="n">
        <v>50647.45</v>
      </c>
      <c r="G1145" s="14">
        <f>E1145*F1145</f>
        <v/>
      </c>
      <c r="H1145" s="14">
        <f>C1145*G1145</f>
        <v/>
      </c>
    </row>
    <row r="1146">
      <c r="A1146" s="12" t="inlineStr">
        <is>
          <t>RET-0098</t>
        </is>
      </c>
      <c r="B1146" s="12" t="inlineStr">
        <is>
          <t>VS23</t>
        </is>
      </c>
      <c r="C1146" s="28" t="n">
        <v>0.0134</v>
      </c>
      <c r="D1146" s="12" t="inlineStr">
        <is>
          <t>PO-2023-3723</t>
        </is>
      </c>
      <c r="E1146" s="12" t="n">
        <v>2.44</v>
      </c>
      <c r="F1146" s="17" t="n">
        <v>91313.34</v>
      </c>
      <c r="G1146" s="14">
        <f>E1146*F1146</f>
        <v/>
      </c>
      <c r="H1146" s="14">
        <f>C1146*G1146</f>
        <v/>
      </c>
    </row>
    <row r="1147">
      <c r="A1147" s="12" t="inlineStr">
        <is>
          <t>RET-0098</t>
        </is>
      </c>
      <c r="B1147" s="12" t="inlineStr">
        <is>
          <t>VS24</t>
        </is>
      </c>
      <c r="C1147" s="28" t="n">
        <v>0.0135</v>
      </c>
      <c r="D1147" s="12" t="inlineStr">
        <is>
          <t>PO-2021-1474</t>
        </is>
      </c>
      <c r="E1147" s="12" t="n">
        <v>2.44</v>
      </c>
      <c r="F1147" s="17" t="n">
        <v>119136.31</v>
      </c>
      <c r="G1147" s="14">
        <f>E1147*F1147</f>
        <v/>
      </c>
      <c r="H1147" s="14">
        <f>C1147*G1147</f>
        <v/>
      </c>
    </row>
    <row r="1148">
      <c r="A1148" s="12" t="inlineStr">
        <is>
          <t>RET-0098</t>
        </is>
      </c>
      <c r="B1148" s="12" t="inlineStr">
        <is>
          <t>VS25</t>
        </is>
      </c>
      <c r="C1148" s="28" t="n">
        <v>0.0245</v>
      </c>
      <c r="D1148" s="12" t="inlineStr">
        <is>
          <t>PO-2021-0443</t>
        </is>
      </c>
      <c r="E1148" s="12" t="n">
        <v>2.44</v>
      </c>
      <c r="F1148" s="17" t="n">
        <v>92856.17</v>
      </c>
      <c r="G1148" s="14">
        <f>E1148*F1148</f>
        <v/>
      </c>
      <c r="H1148" s="14">
        <f>C1148*G1148</f>
        <v/>
      </c>
    </row>
    <row r="1149">
      <c r="A1149" s="12" t="inlineStr">
        <is>
          <t>RET-0098</t>
        </is>
      </c>
      <c r="B1149" s="12" t="inlineStr">
        <is>
          <t>VS26</t>
        </is>
      </c>
      <c r="C1149" s="28" t="n">
        <v>0.0137</v>
      </c>
      <c r="D1149" s="12" t="inlineStr">
        <is>
          <t>PO-2021-1575</t>
        </is>
      </c>
      <c r="E1149" s="12" t="n">
        <v>2.44</v>
      </c>
      <c r="F1149" s="17" t="n">
        <v>55296.85</v>
      </c>
      <c r="G1149" s="14">
        <f>E1149*F1149</f>
        <v/>
      </c>
      <c r="H1149" s="14">
        <f>C1149*G1149</f>
        <v/>
      </c>
    </row>
    <row r="1150">
      <c r="A1150" s="12" t="inlineStr">
        <is>
          <t>RET-0098</t>
        </is>
      </c>
      <c r="B1150" s="12" t="inlineStr">
        <is>
          <t>VS27</t>
        </is>
      </c>
      <c r="C1150" s="28" t="n">
        <v>0.0134</v>
      </c>
      <c r="D1150" s="12" t="inlineStr">
        <is>
          <t>PO-2023-3856</t>
        </is>
      </c>
      <c r="E1150" s="12" t="n">
        <v>2.44</v>
      </c>
      <c r="F1150" s="17" t="n">
        <v>77296.00999999999</v>
      </c>
      <c r="G1150" s="14">
        <f>E1150*F1150</f>
        <v/>
      </c>
      <c r="H1150" s="14">
        <f>C1150*G1150</f>
        <v/>
      </c>
    </row>
    <row r="1151">
      <c r="A1151" s="12" t="inlineStr">
        <is>
          <t>RET-0098</t>
        </is>
      </c>
      <c r="B1151" s="12" t="inlineStr">
        <is>
          <t>VS28</t>
        </is>
      </c>
      <c r="C1151" s="28" t="n">
        <v>0.0299</v>
      </c>
      <c r="D1151" s="12" t="inlineStr">
        <is>
          <t>PO-2023-4783</t>
        </is>
      </c>
      <c r="E1151" s="12" t="n">
        <v>2.44</v>
      </c>
      <c r="F1151" s="17" t="n">
        <v>62792.87</v>
      </c>
      <c r="G1151" s="14">
        <f>E1151*F1151</f>
        <v/>
      </c>
      <c r="H1151" s="14">
        <f>C1151*G1151</f>
        <v/>
      </c>
    </row>
    <row r="1152">
      <c r="A1152" s="12" t="inlineStr">
        <is>
          <t>RET-0098</t>
        </is>
      </c>
      <c r="B1152" s="12" t="inlineStr">
        <is>
          <t>VS29</t>
        </is>
      </c>
      <c r="C1152" s="28" t="n">
        <v>0.019</v>
      </c>
      <c r="D1152" s="12" t="inlineStr">
        <is>
          <t>PO-2022-2911</t>
        </is>
      </c>
      <c r="E1152" s="12" t="n">
        <v>2.44</v>
      </c>
      <c r="F1152" s="17" t="n">
        <v>79645.96000000001</v>
      </c>
      <c r="G1152" s="14">
        <f>E1152*F1152</f>
        <v/>
      </c>
      <c r="H1152" s="14">
        <f>C1152*G1152</f>
        <v/>
      </c>
    </row>
    <row r="1153">
      <c r="A1153" s="12" t="inlineStr">
        <is>
          <t>RET-0098</t>
        </is>
      </c>
      <c r="B1153" s="12" t="inlineStr">
        <is>
          <t>VS30</t>
        </is>
      </c>
      <c r="C1153" s="28" t="n">
        <v>0.008200000000000001</v>
      </c>
      <c r="D1153" s="12" t="inlineStr">
        <is>
          <t>PO-2022-1636</t>
        </is>
      </c>
      <c r="E1153" s="12" t="n">
        <v>2.44</v>
      </c>
      <c r="F1153" s="17" t="n">
        <v>99883.36</v>
      </c>
      <c r="G1153" s="14">
        <f>E1153*F1153</f>
        <v/>
      </c>
      <c r="H1153" s="14">
        <f>C1153*G1153</f>
        <v/>
      </c>
    </row>
    <row r="1154">
      <c r="A1154" s="12" t="inlineStr">
        <is>
          <t>RET-0098</t>
        </is>
      </c>
      <c r="B1154" s="12" t="inlineStr">
        <is>
          <t>VS31</t>
        </is>
      </c>
      <c r="C1154" s="28" t="n">
        <v>0.0298</v>
      </c>
      <c r="D1154" s="12" t="inlineStr">
        <is>
          <t>PO-2022-2904</t>
        </is>
      </c>
      <c r="E1154" s="12" t="n">
        <v>2.44</v>
      </c>
      <c r="F1154" s="17" t="n">
        <v>105756.59</v>
      </c>
      <c r="G1154" s="14">
        <f>E1154*F1154</f>
        <v/>
      </c>
      <c r="H1154" s="14">
        <f>C1154*G1154</f>
        <v/>
      </c>
    </row>
    <row r="1155">
      <c r="A1155" s="12" t="inlineStr">
        <is>
          <t>RET-0098</t>
        </is>
      </c>
      <c r="B1155" s="12" t="inlineStr">
        <is>
          <t>VS32</t>
        </is>
      </c>
      <c r="C1155" s="28" t="n">
        <v>0.0355</v>
      </c>
      <c r="D1155" s="12" t="inlineStr">
        <is>
          <t>PO-2022-2865</t>
        </is>
      </c>
      <c r="E1155" s="12" t="n">
        <v>2.44</v>
      </c>
      <c r="F1155" s="17" t="n">
        <v>98093.89999999999</v>
      </c>
      <c r="G1155" s="14">
        <f>E1155*F1155</f>
        <v/>
      </c>
      <c r="H1155" s="14">
        <f>C1155*G1155</f>
        <v/>
      </c>
    </row>
    <row r="1156">
      <c r="A1156" s="12" t="inlineStr">
        <is>
          <t>RET-0098</t>
        </is>
      </c>
      <c r="B1156" s="12" t="inlineStr">
        <is>
          <t>VS33</t>
        </is>
      </c>
      <c r="C1156" s="28" t="n">
        <v>0.0189</v>
      </c>
      <c r="D1156" s="12" t="inlineStr">
        <is>
          <t>PO-2023-3641</t>
        </is>
      </c>
      <c r="E1156" s="12" t="n">
        <v>2.44</v>
      </c>
      <c r="F1156" s="17" t="n">
        <v>64469.8</v>
      </c>
      <c r="G1156" s="14">
        <f>E1156*F1156</f>
        <v/>
      </c>
      <c r="H1156" s="14">
        <f>C1156*G1156</f>
        <v/>
      </c>
    </row>
    <row r="1157">
      <c r="A1157" s="12" t="inlineStr">
        <is>
          <t>RET-0098</t>
        </is>
      </c>
      <c r="B1157" s="12" t="inlineStr">
        <is>
          <t>VS34</t>
        </is>
      </c>
      <c r="C1157" s="28" t="n">
        <v>0.0245</v>
      </c>
      <c r="D1157" s="12" t="inlineStr">
        <is>
          <t>PO-2021-1027</t>
        </is>
      </c>
      <c r="E1157" s="12" t="n">
        <v>2.44</v>
      </c>
      <c r="F1157" s="17" t="n">
        <v>84892.84</v>
      </c>
      <c r="G1157" s="14">
        <f>E1157*F1157</f>
        <v/>
      </c>
      <c r="H1157" s="14">
        <f>C1157*G1157</f>
        <v/>
      </c>
    </row>
    <row r="1158">
      <c r="A1158" s="12" t="inlineStr">
        <is>
          <t>RET-0103</t>
        </is>
      </c>
      <c r="B1158" s="12" t="inlineStr">
        <is>
          <t>VS01</t>
        </is>
      </c>
      <c r="C1158" s="28" t="n">
        <v>0.0198</v>
      </c>
      <c r="D1158" s="12" t="inlineStr">
        <is>
          <t>PO-2021-0429</t>
        </is>
      </c>
      <c r="E1158" s="12" t="n">
        <v>2.8</v>
      </c>
      <c r="F1158" s="17" t="n">
        <v>96644.39</v>
      </c>
      <c r="G1158" s="14">
        <f>E1158*F1158</f>
        <v/>
      </c>
      <c r="H1158" s="14">
        <f>C1158*G1158</f>
        <v/>
      </c>
    </row>
    <row r="1159">
      <c r="A1159" s="12" t="inlineStr">
        <is>
          <t>RET-0103</t>
        </is>
      </c>
      <c r="B1159" s="12" t="inlineStr">
        <is>
          <t>VS02</t>
        </is>
      </c>
      <c r="C1159" s="28" t="n">
        <v>0.008999999999999999</v>
      </c>
      <c r="D1159" s="12" t="inlineStr">
        <is>
          <t>PO-2021-1278</t>
        </is>
      </c>
      <c r="E1159" s="12" t="n">
        <v>2.8</v>
      </c>
      <c r="F1159" s="17" t="n">
        <v>113530.13</v>
      </c>
      <c r="G1159" s="14">
        <f>E1159*F1159</f>
        <v/>
      </c>
      <c r="H1159" s="14">
        <f>C1159*G1159</f>
        <v/>
      </c>
    </row>
    <row r="1160">
      <c r="A1160" s="12" t="inlineStr">
        <is>
          <t>RET-0103</t>
        </is>
      </c>
      <c r="B1160" s="12" t="inlineStr">
        <is>
          <t>VS03</t>
        </is>
      </c>
      <c r="C1160" s="28" t="n">
        <v>0.1643</v>
      </c>
      <c r="D1160" s="12" t="inlineStr">
        <is>
          <t>PO-2022-3090</t>
        </is>
      </c>
      <c r="E1160" s="12" t="n">
        <v>2.8</v>
      </c>
      <c r="F1160" s="17" t="n">
        <v>92686.31</v>
      </c>
      <c r="G1160" s="14">
        <f>E1160*F1160</f>
        <v/>
      </c>
      <c r="H1160" s="14">
        <f>C1160*G1160</f>
        <v/>
      </c>
    </row>
    <row r="1161">
      <c r="A1161" s="12" t="inlineStr">
        <is>
          <t>RET-0103</t>
        </is>
      </c>
      <c r="B1161" s="12" t="inlineStr">
        <is>
          <t>VS04</t>
        </is>
      </c>
      <c r="C1161" s="28" t="n">
        <v>0.0124</v>
      </c>
      <c r="D1161" s="12" t="inlineStr">
        <is>
          <t>PO-2022-2738</t>
        </is>
      </c>
      <c r="E1161" s="12" t="n">
        <v>2.8</v>
      </c>
      <c r="F1161" s="17" t="n">
        <v>46722.05</v>
      </c>
      <c r="G1161" s="14">
        <f>E1161*F1161</f>
        <v/>
      </c>
      <c r="H1161" s="14">
        <f>C1161*G1161</f>
        <v/>
      </c>
    </row>
    <row r="1162">
      <c r="A1162" s="12" t="inlineStr">
        <is>
          <t>RET-0103</t>
        </is>
      </c>
      <c r="B1162" s="12" t="inlineStr">
        <is>
          <t>VS05</t>
        </is>
      </c>
      <c r="C1162" s="28" t="n">
        <v>0.0161</v>
      </c>
      <c r="D1162" s="12" t="inlineStr">
        <is>
          <t>PO-2022-1849</t>
        </is>
      </c>
      <c r="E1162" s="12" t="n">
        <v>2.8</v>
      </c>
      <c r="F1162" s="17" t="n">
        <v>55730.96</v>
      </c>
      <c r="G1162" s="14">
        <f>E1162*F1162</f>
        <v/>
      </c>
      <c r="H1162" s="14">
        <f>C1162*G1162</f>
        <v/>
      </c>
    </row>
    <row r="1163">
      <c r="A1163" s="12" t="inlineStr">
        <is>
          <t>RET-0103</t>
        </is>
      </c>
      <c r="B1163" s="12" t="inlineStr">
        <is>
          <t>VS06</t>
        </is>
      </c>
      <c r="C1163" s="28" t="n">
        <v>0.0163</v>
      </c>
      <c r="D1163" s="12" t="inlineStr">
        <is>
          <t>PO-2021-1191</t>
        </is>
      </c>
      <c r="E1163" s="12" t="n">
        <v>2.8</v>
      </c>
      <c r="F1163" s="17" t="n">
        <v>91040.08</v>
      </c>
      <c r="G1163" s="14">
        <f>E1163*F1163</f>
        <v/>
      </c>
      <c r="H1163" s="14">
        <f>C1163*G1163</f>
        <v/>
      </c>
    </row>
    <row r="1164">
      <c r="A1164" s="12" t="inlineStr">
        <is>
          <t>RET-0103</t>
        </is>
      </c>
      <c r="B1164" s="12" t="inlineStr">
        <is>
          <t>VS07</t>
        </is>
      </c>
      <c r="C1164" s="28" t="n">
        <v>0.0054</v>
      </c>
      <c r="D1164" s="12" t="inlineStr">
        <is>
          <t>PO-2023-4308</t>
        </is>
      </c>
      <c r="E1164" s="12" t="n">
        <v>2.8</v>
      </c>
      <c r="F1164" s="17" t="n">
        <v>72436.02</v>
      </c>
      <c r="G1164" s="14">
        <f>E1164*F1164</f>
        <v/>
      </c>
      <c r="H1164" s="14">
        <f>C1164*G1164</f>
        <v/>
      </c>
    </row>
    <row r="1165">
      <c r="A1165" s="12" t="inlineStr">
        <is>
          <t>RET-0103</t>
        </is>
      </c>
      <c r="B1165" s="12" t="inlineStr">
        <is>
          <t>VS08</t>
        </is>
      </c>
      <c r="C1165" s="28" t="n">
        <v>0.0164</v>
      </c>
      <c r="D1165" s="12" t="inlineStr">
        <is>
          <t>PO-2022-2928</t>
        </is>
      </c>
      <c r="E1165" s="12" t="n">
        <v>2.8</v>
      </c>
      <c r="F1165" s="17" t="n">
        <v>86740.64999999999</v>
      </c>
      <c r="G1165" s="14">
        <f>E1165*F1165</f>
        <v/>
      </c>
      <c r="H1165" s="14">
        <f>C1165*G1165</f>
        <v/>
      </c>
    </row>
    <row r="1166">
      <c r="A1166" s="12" t="inlineStr">
        <is>
          <t>RET-0103</t>
        </is>
      </c>
      <c r="B1166" s="12" t="inlineStr">
        <is>
          <t>VS09</t>
        </is>
      </c>
      <c r="C1166" s="28" t="n">
        <v>0.0126</v>
      </c>
      <c r="D1166" s="12" t="inlineStr">
        <is>
          <t>PO-2022-1814</t>
        </is>
      </c>
      <c r="E1166" s="12" t="n">
        <v>2.8</v>
      </c>
      <c r="F1166" s="17" t="n">
        <v>86215.87</v>
      </c>
      <c r="G1166" s="14">
        <f>E1166*F1166</f>
        <v/>
      </c>
      <c r="H1166" s="14">
        <f>C1166*G1166</f>
        <v/>
      </c>
    </row>
    <row r="1167">
      <c r="A1167" s="12" t="inlineStr">
        <is>
          <t>RET-0103</t>
        </is>
      </c>
      <c r="B1167" s="12" t="inlineStr">
        <is>
          <t>VS10</t>
        </is>
      </c>
      <c r="C1167" s="28" t="n">
        <v>0.0198</v>
      </c>
      <c r="D1167" s="12" t="inlineStr">
        <is>
          <t>PO-2021-0068</t>
        </is>
      </c>
      <c r="E1167" s="12" t="n">
        <v>2.8</v>
      </c>
      <c r="F1167" s="17" t="n">
        <v>84131.00999999999</v>
      </c>
      <c r="G1167" s="14">
        <f>E1167*F1167</f>
        <v/>
      </c>
      <c r="H1167" s="14">
        <f>C1167*G1167</f>
        <v/>
      </c>
    </row>
    <row r="1168">
      <c r="A1168" s="12" t="inlineStr">
        <is>
          <t>RET-0103</t>
        </is>
      </c>
      <c r="B1168" s="12" t="inlineStr">
        <is>
          <t>VS11</t>
        </is>
      </c>
      <c r="C1168" s="28" t="n">
        <v>0.0231</v>
      </c>
      <c r="D1168" s="12" t="inlineStr">
        <is>
          <t>PO-2022-2908</t>
        </is>
      </c>
      <c r="E1168" s="12" t="n">
        <v>2.8</v>
      </c>
      <c r="F1168" s="17" t="n">
        <v>85827.95</v>
      </c>
      <c r="G1168" s="14">
        <f>E1168*F1168</f>
        <v/>
      </c>
      <c r="H1168" s="14">
        <f>C1168*G1168</f>
        <v/>
      </c>
    </row>
    <row r="1169">
      <c r="A1169" s="12" t="inlineStr">
        <is>
          <t>RET-0103</t>
        </is>
      </c>
      <c r="B1169" s="12" t="inlineStr">
        <is>
          <t>VS12</t>
        </is>
      </c>
      <c r="C1169" s="28" t="n">
        <v>0.2283</v>
      </c>
      <c r="D1169" s="12" t="inlineStr">
        <is>
          <t>PO-2022-1830</t>
        </is>
      </c>
      <c r="E1169" s="12" t="n">
        <v>2.8</v>
      </c>
      <c r="F1169" s="17" t="n">
        <v>98311.39</v>
      </c>
      <c r="G1169" s="14">
        <f>E1169*F1169</f>
        <v/>
      </c>
      <c r="H1169" s="14">
        <f>C1169*G1169</f>
        <v/>
      </c>
    </row>
    <row r="1170">
      <c r="A1170" s="12" t="inlineStr">
        <is>
          <t>RET-0103</t>
        </is>
      </c>
      <c r="B1170" s="12" t="inlineStr">
        <is>
          <t>VS13</t>
        </is>
      </c>
      <c r="C1170" s="28" t="n">
        <v>0.0159</v>
      </c>
      <c r="D1170" s="12" t="inlineStr">
        <is>
          <t>PO-2022-2521</t>
        </is>
      </c>
      <c r="E1170" s="12" t="n">
        <v>2.8</v>
      </c>
      <c r="F1170" s="17" t="n">
        <v>76319.17999999999</v>
      </c>
      <c r="G1170" s="14">
        <f>E1170*F1170</f>
        <v/>
      </c>
      <c r="H1170" s="14">
        <f>C1170*G1170</f>
        <v/>
      </c>
    </row>
    <row r="1171">
      <c r="A1171" s="12" t="inlineStr">
        <is>
          <t>RET-0103</t>
        </is>
      </c>
      <c r="B1171" s="12" t="inlineStr">
        <is>
          <t>VS14</t>
        </is>
      </c>
      <c r="C1171" s="28" t="n">
        <v>0.0161</v>
      </c>
      <c r="D1171" s="12" t="inlineStr">
        <is>
          <t>PO-2023-3929</t>
        </is>
      </c>
      <c r="E1171" s="12" t="n">
        <v>2.8</v>
      </c>
      <c r="F1171" s="17" t="n">
        <v>111388.1</v>
      </c>
      <c r="G1171" s="14">
        <f>E1171*F1171</f>
        <v/>
      </c>
      <c r="H1171" s="14">
        <f>C1171*G1171</f>
        <v/>
      </c>
    </row>
    <row r="1172">
      <c r="A1172" s="12" t="inlineStr">
        <is>
          <t>RET-0103</t>
        </is>
      </c>
      <c r="B1172" s="12" t="inlineStr">
        <is>
          <t>VS15</t>
        </is>
      </c>
      <c r="C1172" s="28" t="n">
        <v>0.0054</v>
      </c>
      <c r="D1172" s="12" t="inlineStr">
        <is>
          <t>PO-2023-4472</t>
        </is>
      </c>
      <c r="E1172" s="12" t="n">
        <v>2.8</v>
      </c>
      <c r="F1172" s="17" t="n">
        <v>62816.93</v>
      </c>
      <c r="G1172" s="14">
        <f>E1172*F1172</f>
        <v/>
      </c>
      <c r="H1172" s="14">
        <f>C1172*G1172</f>
        <v/>
      </c>
    </row>
    <row r="1173">
      <c r="A1173" s="12" t="inlineStr">
        <is>
          <t>RET-0103</t>
        </is>
      </c>
      <c r="B1173" s="12" t="inlineStr">
        <is>
          <t>VS16</t>
        </is>
      </c>
      <c r="C1173" s="28" t="n">
        <v>0.0232</v>
      </c>
      <c r="D1173" s="12" t="inlineStr">
        <is>
          <t>PO-2023-4374</t>
        </is>
      </c>
      <c r="E1173" s="12" t="n">
        <v>2.8</v>
      </c>
      <c r="F1173" s="17" t="n">
        <v>112953.9</v>
      </c>
      <c r="G1173" s="14">
        <f>E1173*F1173</f>
        <v/>
      </c>
      <c r="H1173" s="14">
        <f>C1173*G1173</f>
        <v/>
      </c>
    </row>
    <row r="1174">
      <c r="A1174" s="12" t="inlineStr">
        <is>
          <t>RET-0103</t>
        </is>
      </c>
      <c r="B1174" s="12" t="inlineStr">
        <is>
          <t>VS17</t>
        </is>
      </c>
      <c r="C1174" s="28" t="n">
        <v>0.0231</v>
      </c>
      <c r="D1174" s="12" t="inlineStr">
        <is>
          <t>PO-2023-3771</t>
        </is>
      </c>
      <c r="E1174" s="12" t="n">
        <v>2.8</v>
      </c>
      <c r="F1174" s="17" t="n">
        <v>54853.02</v>
      </c>
      <c r="G1174" s="14">
        <f>E1174*F1174</f>
        <v/>
      </c>
      <c r="H1174" s="14">
        <f>C1174*G1174</f>
        <v/>
      </c>
    </row>
    <row r="1175">
      <c r="A1175" s="12" t="inlineStr">
        <is>
          <t>RET-0103</t>
        </is>
      </c>
      <c r="B1175" s="12" t="inlineStr">
        <is>
          <t>VS18</t>
        </is>
      </c>
      <c r="C1175" s="28" t="n">
        <v>0.0161</v>
      </c>
      <c r="D1175" s="12" t="inlineStr">
        <is>
          <t>PO-2021-0962</t>
        </is>
      </c>
      <c r="E1175" s="12" t="n">
        <v>2.8</v>
      </c>
      <c r="F1175" s="17" t="n">
        <v>95068.44</v>
      </c>
      <c r="G1175" s="14">
        <f>E1175*F1175</f>
        <v/>
      </c>
      <c r="H1175" s="14">
        <f>C1175*G1175</f>
        <v/>
      </c>
    </row>
    <row r="1176">
      <c r="A1176" s="12" t="inlineStr">
        <is>
          <t>RET-0103</t>
        </is>
      </c>
      <c r="B1176" s="12" t="inlineStr">
        <is>
          <t>VS19</t>
        </is>
      </c>
      <c r="C1176" s="28" t="n">
        <v>0.1723</v>
      </c>
      <c r="D1176" s="12" t="inlineStr">
        <is>
          <t>PO-2021-0003</t>
        </is>
      </c>
      <c r="E1176" s="12" t="n">
        <v>2.8</v>
      </c>
      <c r="F1176" s="17" t="n">
        <v>103779.41</v>
      </c>
      <c r="G1176" s="14">
        <f>E1176*F1176</f>
        <v/>
      </c>
      <c r="H1176" s="14">
        <f>C1176*G1176</f>
        <v/>
      </c>
    </row>
    <row r="1177">
      <c r="A1177" s="12" t="inlineStr">
        <is>
          <t>RET-0103</t>
        </is>
      </c>
      <c r="B1177" s="12" t="inlineStr">
        <is>
          <t>VS20</t>
        </is>
      </c>
      <c r="C1177" s="28" t="n">
        <v>0.008999999999999999</v>
      </c>
      <c r="D1177" s="12" t="inlineStr">
        <is>
          <t>PO-2022-2284</t>
        </is>
      </c>
      <c r="E1177" s="12" t="n">
        <v>2.8</v>
      </c>
      <c r="F1177" s="17" t="n">
        <v>61288.36</v>
      </c>
      <c r="G1177" s="14">
        <f>E1177*F1177</f>
        <v/>
      </c>
      <c r="H1177" s="14">
        <f>C1177*G1177</f>
        <v/>
      </c>
    </row>
    <row r="1178">
      <c r="A1178" s="12" t="inlineStr">
        <is>
          <t>RET-0103</t>
        </is>
      </c>
      <c r="B1178" s="12" t="inlineStr">
        <is>
          <t>VS21</t>
        </is>
      </c>
      <c r="C1178" s="28" t="n">
        <v>0.008999999999999999</v>
      </c>
      <c r="D1178" s="12" t="inlineStr">
        <is>
          <t>PO-2021-1002</t>
        </is>
      </c>
      <c r="E1178" s="12" t="n">
        <v>2.8</v>
      </c>
      <c r="F1178" s="17" t="n">
        <v>95763.94</v>
      </c>
      <c r="G1178" s="14">
        <f>E1178*F1178</f>
        <v/>
      </c>
      <c r="H1178" s="14">
        <f>C1178*G1178</f>
        <v/>
      </c>
    </row>
    <row r="1179">
      <c r="A1179" s="12" t="inlineStr">
        <is>
          <t>RET-0103</t>
        </is>
      </c>
      <c r="B1179" s="12" t="inlineStr">
        <is>
          <t>VS22</t>
        </is>
      </c>
      <c r="C1179" s="28" t="n">
        <v>0.0053</v>
      </c>
      <c r="D1179" s="12" t="inlineStr">
        <is>
          <t>PO-2022-2587</t>
        </is>
      </c>
      <c r="E1179" s="12" t="n">
        <v>2.8</v>
      </c>
      <c r="F1179" s="17" t="n">
        <v>45557.84</v>
      </c>
      <c r="G1179" s="14">
        <f>E1179*F1179</f>
        <v/>
      </c>
      <c r="H1179" s="14">
        <f>C1179*G1179</f>
        <v/>
      </c>
    </row>
    <row r="1180">
      <c r="A1180" s="12" t="inlineStr">
        <is>
          <t>RET-0103</t>
        </is>
      </c>
      <c r="B1180" s="12" t="inlineStr">
        <is>
          <t>VS23</t>
        </is>
      </c>
      <c r="C1180" s="28" t="n">
        <v>0.008800000000000001</v>
      </c>
      <c r="D1180" s="12" t="inlineStr">
        <is>
          <t>PO-2023-4050</t>
        </is>
      </c>
      <c r="E1180" s="12" t="n">
        <v>2.8</v>
      </c>
      <c r="F1180" s="17" t="n">
        <v>64755.34</v>
      </c>
      <c r="G1180" s="14">
        <f>E1180*F1180</f>
        <v/>
      </c>
      <c r="H1180" s="14">
        <f>C1180*G1180</f>
        <v/>
      </c>
    </row>
    <row r="1181">
      <c r="A1181" s="12" t="inlineStr">
        <is>
          <t>RET-0103</t>
        </is>
      </c>
      <c r="B1181" s="12" t="inlineStr">
        <is>
          <t>VS24</t>
        </is>
      </c>
      <c r="C1181" s="28" t="n">
        <v>0.0089</v>
      </c>
      <c r="D1181" s="12" t="inlineStr">
        <is>
          <t>PO-2022-2400</t>
        </is>
      </c>
      <c r="E1181" s="12" t="n">
        <v>2.8</v>
      </c>
      <c r="F1181" s="17" t="n">
        <v>63990.02</v>
      </c>
      <c r="G1181" s="14">
        <f>E1181*F1181</f>
        <v/>
      </c>
      <c r="H1181" s="14">
        <f>C1181*G1181</f>
        <v/>
      </c>
    </row>
    <row r="1182">
      <c r="A1182" s="12" t="inlineStr">
        <is>
          <t>RET-0103</t>
        </is>
      </c>
      <c r="B1182" s="12" t="inlineStr">
        <is>
          <t>VS25</t>
        </is>
      </c>
      <c r="C1182" s="28" t="n">
        <v>0.0162</v>
      </c>
      <c r="D1182" s="12" t="inlineStr">
        <is>
          <t>PO-2023-3897</t>
        </is>
      </c>
      <c r="E1182" s="12" t="n">
        <v>2.8</v>
      </c>
      <c r="F1182" s="17" t="n">
        <v>75558.39</v>
      </c>
      <c r="G1182" s="14">
        <f>E1182*F1182</f>
        <v/>
      </c>
      <c r="H1182" s="14">
        <f>C1182*G1182</f>
        <v/>
      </c>
    </row>
    <row r="1183">
      <c r="A1183" s="12" t="inlineStr">
        <is>
          <t>RET-0103</t>
        </is>
      </c>
      <c r="B1183" s="12" t="inlineStr">
        <is>
          <t>VS26</t>
        </is>
      </c>
      <c r="C1183" s="28" t="n">
        <v>0.008999999999999999</v>
      </c>
      <c r="D1183" s="12" t="inlineStr">
        <is>
          <t>PO-2021-0157</t>
        </is>
      </c>
      <c r="E1183" s="12" t="n">
        <v>2.8</v>
      </c>
      <c r="F1183" s="17" t="n">
        <v>81770.16</v>
      </c>
      <c r="G1183" s="14">
        <f>E1183*F1183</f>
        <v/>
      </c>
      <c r="H1183" s="14">
        <f>C1183*G1183</f>
        <v/>
      </c>
    </row>
    <row r="1184">
      <c r="A1184" s="12" t="inlineStr">
        <is>
          <t>RET-0103</t>
        </is>
      </c>
      <c r="B1184" s="12" t="inlineStr">
        <is>
          <t>VS27</t>
        </is>
      </c>
      <c r="C1184" s="28" t="n">
        <v>0.008800000000000001</v>
      </c>
      <c r="D1184" s="12" t="inlineStr">
        <is>
          <t>PO-2023-3653</t>
        </is>
      </c>
      <c r="E1184" s="12" t="n">
        <v>2.8</v>
      </c>
      <c r="F1184" s="17" t="n">
        <v>45771.42</v>
      </c>
      <c r="G1184" s="14">
        <f>E1184*F1184</f>
        <v/>
      </c>
      <c r="H1184" s="14">
        <f>C1184*G1184</f>
        <v/>
      </c>
    </row>
    <row r="1185">
      <c r="A1185" s="12" t="inlineStr">
        <is>
          <t>RET-0103</t>
        </is>
      </c>
      <c r="B1185" s="12" t="inlineStr">
        <is>
          <t>VS28</t>
        </is>
      </c>
      <c r="C1185" s="28" t="n">
        <v>0.0198</v>
      </c>
      <c r="D1185" s="12" t="inlineStr">
        <is>
          <t>PO-2021-1127</t>
        </is>
      </c>
      <c r="E1185" s="12" t="n">
        <v>2.8</v>
      </c>
      <c r="F1185" s="17" t="n">
        <v>107266.08</v>
      </c>
      <c r="G1185" s="14">
        <f>E1185*F1185</f>
        <v/>
      </c>
      <c r="H1185" s="14">
        <f>C1185*G1185</f>
        <v/>
      </c>
    </row>
    <row r="1186">
      <c r="A1186" s="12" t="inlineStr">
        <is>
          <t>RET-0103</t>
        </is>
      </c>
      <c r="B1186" s="12" t="inlineStr">
        <is>
          <t>VS29</t>
        </is>
      </c>
      <c r="C1186" s="28" t="n">
        <v>0.0125</v>
      </c>
      <c r="D1186" s="12" t="inlineStr">
        <is>
          <t>PO-2023-3375</t>
        </is>
      </c>
      <c r="E1186" s="12" t="n">
        <v>2.8</v>
      </c>
      <c r="F1186" s="17" t="n">
        <v>113866.57</v>
      </c>
      <c r="G1186" s="14">
        <f>E1186*F1186</f>
        <v/>
      </c>
      <c r="H1186" s="14">
        <f>C1186*G1186</f>
        <v/>
      </c>
    </row>
    <row r="1187">
      <c r="A1187" s="12" t="inlineStr">
        <is>
          <t>RET-0103</t>
        </is>
      </c>
      <c r="B1187" s="12" t="inlineStr">
        <is>
          <t>VS30</t>
        </is>
      </c>
      <c r="C1187" s="28" t="n">
        <v>0.0054</v>
      </c>
      <c r="D1187" s="12" t="inlineStr">
        <is>
          <t>PO-2021-0801</t>
        </is>
      </c>
      <c r="E1187" s="12" t="n">
        <v>2.8</v>
      </c>
      <c r="F1187" s="17" t="n">
        <v>57510.7</v>
      </c>
      <c r="G1187" s="14">
        <f>E1187*F1187</f>
        <v/>
      </c>
      <c r="H1187" s="14">
        <f>C1187*G1187</f>
        <v/>
      </c>
    </row>
    <row r="1188">
      <c r="A1188" s="12" t="inlineStr">
        <is>
          <t>RET-0103</t>
        </is>
      </c>
      <c r="B1188" s="12" t="inlineStr">
        <is>
          <t>VS31</t>
        </is>
      </c>
      <c r="C1188" s="28" t="n">
        <v>0.0197</v>
      </c>
      <c r="D1188" s="12" t="inlineStr">
        <is>
          <t>PO-2021-1147</t>
        </is>
      </c>
      <c r="E1188" s="12" t="n">
        <v>2.8</v>
      </c>
      <c r="F1188" s="17" t="n">
        <v>69954.17</v>
      </c>
      <c r="G1188" s="14">
        <f>E1188*F1188</f>
        <v/>
      </c>
      <c r="H1188" s="14">
        <f>C1188*G1188</f>
        <v/>
      </c>
    </row>
    <row r="1189">
      <c r="A1189" s="12" t="inlineStr">
        <is>
          <t>RET-0103</t>
        </is>
      </c>
      <c r="B1189" s="12" t="inlineStr">
        <is>
          <t>VS32</t>
        </is>
      </c>
      <c r="C1189" s="28" t="n">
        <v>0.0234</v>
      </c>
      <c r="D1189" s="12" t="inlineStr">
        <is>
          <t>PO-2022-2517</t>
        </is>
      </c>
      <c r="E1189" s="12" t="n">
        <v>2.8</v>
      </c>
      <c r="F1189" s="17" t="n">
        <v>47711.69</v>
      </c>
      <c r="G1189" s="14">
        <f>E1189*F1189</f>
        <v/>
      </c>
      <c r="H1189" s="14">
        <f>C1189*G1189</f>
        <v/>
      </c>
    </row>
    <row r="1190">
      <c r="A1190" s="12" t="inlineStr">
        <is>
          <t>RET-0103</t>
        </is>
      </c>
      <c r="B1190" s="12" t="inlineStr">
        <is>
          <t>VS33</t>
        </is>
      </c>
      <c r="C1190" s="28" t="n">
        <v>0.0125</v>
      </c>
      <c r="D1190" s="12" t="inlineStr">
        <is>
          <t>PO-2023-3981</t>
        </is>
      </c>
      <c r="E1190" s="12" t="n">
        <v>2.8</v>
      </c>
      <c r="F1190" s="17" t="n">
        <v>69790.8</v>
      </c>
      <c r="G1190" s="14">
        <f>E1190*F1190</f>
        <v/>
      </c>
      <c r="H1190" s="14">
        <f>C1190*G1190</f>
        <v/>
      </c>
    </row>
    <row r="1191">
      <c r="A1191" s="12" t="inlineStr">
        <is>
          <t>RET-0103</t>
        </is>
      </c>
      <c r="B1191" s="12" t="inlineStr">
        <is>
          <t>VS34</t>
        </is>
      </c>
      <c r="C1191" s="28" t="n">
        <v>0.0161</v>
      </c>
      <c r="D1191" s="12" t="inlineStr">
        <is>
          <t>PO-2021-0252</t>
        </is>
      </c>
      <c r="E1191" s="12" t="n">
        <v>2.8</v>
      </c>
      <c r="F1191" s="17" t="n">
        <v>106750.45</v>
      </c>
      <c r="G1191" s="14">
        <f>E1191*F1191</f>
        <v/>
      </c>
      <c r="H1191" s="14">
        <f>C1191*G1191</f>
        <v/>
      </c>
    </row>
    <row r="1192">
      <c r="A1192" s="12" t="inlineStr">
        <is>
          <t>RET-0106</t>
        </is>
      </c>
      <c r="B1192" s="12" t="inlineStr">
        <is>
          <t>VS01</t>
        </is>
      </c>
      <c r="C1192" s="28" t="n">
        <v>0.0269</v>
      </c>
      <c r="D1192" s="12" t="inlineStr">
        <is>
          <t>PO-2022-2957</t>
        </is>
      </c>
      <c r="E1192" s="12" t="n">
        <v>2.66</v>
      </c>
      <c r="F1192" s="17" t="n">
        <v>117011.56</v>
      </c>
      <c r="G1192" s="14">
        <f>E1192*F1192</f>
        <v/>
      </c>
      <c r="H1192" s="14">
        <f>C1192*G1192</f>
        <v/>
      </c>
    </row>
    <row r="1193">
      <c r="A1193" s="12" t="inlineStr">
        <is>
          <t>RET-0106</t>
        </is>
      </c>
      <c r="B1193" s="12" t="inlineStr">
        <is>
          <t>VS02</t>
        </is>
      </c>
      <c r="C1193" s="28" t="n">
        <v>0.0123</v>
      </c>
      <c r="D1193" s="12" t="inlineStr">
        <is>
          <t>PO-2023-4364</t>
        </is>
      </c>
      <c r="E1193" s="12" t="n">
        <v>2.66</v>
      </c>
      <c r="F1193" s="17" t="n">
        <v>51176.06</v>
      </c>
      <c r="G1193" s="14">
        <f>E1193*F1193</f>
        <v/>
      </c>
      <c r="H1193" s="14">
        <f>C1193*G1193</f>
        <v/>
      </c>
    </row>
    <row r="1194">
      <c r="A1194" s="12" t="inlineStr">
        <is>
          <t>RET-0106</t>
        </is>
      </c>
      <c r="B1194" s="12" t="inlineStr">
        <is>
          <t>VS03</t>
        </is>
      </c>
      <c r="C1194" s="28" t="n">
        <v>0.1186</v>
      </c>
      <c r="D1194" s="12" t="inlineStr">
        <is>
          <t>PO-2021-0853</t>
        </is>
      </c>
      <c r="E1194" s="12" t="n">
        <v>1.789</v>
      </c>
      <c r="F1194" s="17" t="n">
        <v>82438.23</v>
      </c>
      <c r="G1194" s="14">
        <f>E1194*F1194</f>
        <v/>
      </c>
      <c r="H1194" s="14">
        <f>C1194*G1194</f>
        <v/>
      </c>
    </row>
    <row r="1195">
      <c r="A1195" s="12" t="inlineStr">
        <is>
          <t>RET-0106</t>
        </is>
      </c>
      <c r="B1195" s="12" t="inlineStr">
        <is>
          <t>VS04</t>
        </is>
      </c>
      <c r="C1195" s="28" t="n">
        <v>0.0169</v>
      </c>
      <c r="D1195" s="12" t="inlineStr">
        <is>
          <t>PO-2021-0006</t>
        </is>
      </c>
      <c r="E1195" s="12" t="n">
        <v>2.66</v>
      </c>
      <c r="F1195" s="17" t="n">
        <v>58936.87</v>
      </c>
      <c r="G1195" s="14">
        <f>E1195*F1195</f>
        <v/>
      </c>
      <c r="H1195" s="14">
        <f>C1195*G1195</f>
        <v/>
      </c>
    </row>
    <row r="1196">
      <c r="A1196" s="12" t="inlineStr">
        <is>
          <t>RET-0106</t>
        </is>
      </c>
      <c r="B1196" s="12" t="inlineStr">
        <is>
          <t>VS05</t>
        </is>
      </c>
      <c r="C1196" s="28" t="n">
        <v>0.0219</v>
      </c>
      <c r="D1196" s="12" t="inlineStr">
        <is>
          <t>PO-2023-4064</t>
        </is>
      </c>
      <c r="E1196" s="12" t="n">
        <v>2.66</v>
      </c>
      <c r="F1196" s="17" t="n">
        <v>75336.71000000001</v>
      </c>
      <c r="G1196" s="14">
        <f>E1196*F1196</f>
        <v/>
      </c>
      <c r="H1196" s="14">
        <f>C1196*G1196</f>
        <v/>
      </c>
    </row>
    <row r="1197">
      <c r="A1197" s="12" t="inlineStr">
        <is>
          <t>RET-0106</t>
        </is>
      </c>
      <c r="B1197" s="12" t="inlineStr">
        <is>
          <t>VS06</t>
        </is>
      </c>
      <c r="C1197" s="28" t="n">
        <v>0.0221</v>
      </c>
      <c r="D1197" s="12" t="inlineStr">
        <is>
          <t>PO-2023-3719</t>
        </is>
      </c>
      <c r="E1197" s="12" t="n">
        <v>2.66</v>
      </c>
      <c r="F1197" s="17" t="n">
        <v>98114.7</v>
      </c>
      <c r="G1197" s="14">
        <f>E1197*F1197</f>
        <v/>
      </c>
      <c r="H1197" s="14">
        <f>C1197*G1197</f>
        <v/>
      </c>
    </row>
    <row r="1198">
      <c r="A1198" s="12" t="inlineStr">
        <is>
          <t>RET-0106</t>
        </is>
      </c>
      <c r="B1198" s="12" t="inlineStr">
        <is>
          <t>VS07</t>
        </is>
      </c>
      <c r="C1198" s="28" t="n">
        <v>0.0074</v>
      </c>
      <c r="D1198" s="12" t="inlineStr">
        <is>
          <t>PO-2022-2980</t>
        </is>
      </c>
      <c r="E1198" s="12" t="n">
        <v>2.66</v>
      </c>
      <c r="F1198" s="17" t="n">
        <v>69574.03999999999</v>
      </c>
      <c r="G1198" s="14">
        <f>E1198*F1198</f>
        <v/>
      </c>
      <c r="H1198" s="14">
        <f>C1198*G1198</f>
        <v/>
      </c>
    </row>
    <row r="1199">
      <c r="A1199" s="12" t="inlineStr">
        <is>
          <t>RET-0106</t>
        </is>
      </c>
      <c r="B1199" s="12" t="inlineStr">
        <is>
          <t>VS08</t>
        </is>
      </c>
      <c r="C1199" s="28" t="n">
        <v>0.0223</v>
      </c>
      <c r="D1199" s="12" t="inlineStr">
        <is>
          <t>PO-2022-3141</t>
        </is>
      </c>
      <c r="E1199" s="12" t="n">
        <v>2.66</v>
      </c>
      <c r="F1199" s="17" t="n">
        <v>85164.78999999999</v>
      </c>
      <c r="G1199" s="14">
        <f>E1199*F1199</f>
        <v/>
      </c>
      <c r="H1199" s="14">
        <f>C1199*G1199</f>
        <v/>
      </c>
    </row>
    <row r="1200">
      <c r="A1200" s="12" t="inlineStr">
        <is>
          <t>RET-0106</t>
        </is>
      </c>
      <c r="B1200" s="12" t="inlineStr">
        <is>
          <t>VS09</t>
        </is>
      </c>
      <c r="C1200" s="28" t="n">
        <v>0.0171</v>
      </c>
      <c r="D1200" s="12" t="inlineStr">
        <is>
          <t>PO-2022-2340</t>
        </is>
      </c>
      <c r="E1200" s="12" t="n">
        <v>2.66</v>
      </c>
      <c r="F1200" s="17" t="n">
        <v>99356.75999999999</v>
      </c>
      <c r="G1200" s="14">
        <f>E1200*F1200</f>
        <v/>
      </c>
      <c r="H1200" s="14">
        <f>C1200*G1200</f>
        <v/>
      </c>
    </row>
    <row r="1201">
      <c r="A1201" s="12" t="inlineStr">
        <is>
          <t>RET-0106</t>
        </is>
      </c>
      <c r="B1201" s="12" t="inlineStr">
        <is>
          <t>VS10</t>
        </is>
      </c>
      <c r="C1201" s="28" t="n">
        <v>0.0269</v>
      </c>
      <c r="D1201" s="12" t="inlineStr">
        <is>
          <t>PO-2023-4157</t>
        </is>
      </c>
      <c r="E1201" s="12" t="n">
        <v>2.66</v>
      </c>
      <c r="F1201" s="17" t="n">
        <v>111127.52</v>
      </c>
      <c r="G1201" s="14">
        <f>E1201*F1201</f>
        <v/>
      </c>
      <c r="H1201" s="14">
        <f>C1201*G1201</f>
        <v/>
      </c>
    </row>
    <row r="1202">
      <c r="A1202" s="12" t="inlineStr">
        <is>
          <t>RET-0106</t>
        </is>
      </c>
      <c r="B1202" s="12" t="inlineStr">
        <is>
          <t>VS11</t>
        </is>
      </c>
      <c r="C1202" s="28" t="n">
        <v>0.0315</v>
      </c>
      <c r="D1202" s="12" t="inlineStr">
        <is>
          <t>PO-2022-1935</t>
        </is>
      </c>
      <c r="E1202" s="12" t="n">
        <v>2.66</v>
      </c>
      <c r="F1202" s="17" t="n">
        <v>80540.28</v>
      </c>
      <c r="G1202" s="14">
        <f>E1202*F1202</f>
        <v/>
      </c>
      <c r="H1202" s="14">
        <f>C1202*G1202</f>
        <v/>
      </c>
    </row>
    <row r="1203">
      <c r="A1203" s="12" t="inlineStr">
        <is>
          <t>RET-0106</t>
        </is>
      </c>
      <c r="B1203" s="12" t="inlineStr">
        <is>
          <t>VS12</t>
        </is>
      </c>
      <c r="C1203" s="28" t="n">
        <v>0.1648</v>
      </c>
      <c r="D1203" s="12" t="inlineStr">
        <is>
          <t>PO-2021-1503</t>
        </is>
      </c>
      <c r="E1203" s="12" t="n">
        <v>2.66</v>
      </c>
      <c r="F1203" s="17" t="n">
        <v>70710.87</v>
      </c>
      <c r="G1203" s="14">
        <f>E1203*F1203</f>
        <v/>
      </c>
      <c r="H1203" s="14">
        <f>C1203*G1203</f>
        <v/>
      </c>
    </row>
    <row r="1204">
      <c r="A1204" s="12" t="inlineStr">
        <is>
          <t>RET-0106</t>
        </is>
      </c>
      <c r="B1204" s="12" t="inlineStr">
        <is>
          <t>VS13</t>
        </is>
      </c>
      <c r="C1204" s="28" t="n">
        <v>0.0217</v>
      </c>
      <c r="D1204" s="12" t="inlineStr">
        <is>
          <t>PO-2022-2748</t>
        </is>
      </c>
      <c r="E1204" s="12" t="n">
        <v>2.66</v>
      </c>
      <c r="F1204" s="17" t="n">
        <v>70263.94</v>
      </c>
      <c r="G1204" s="14">
        <f>E1204*F1204</f>
        <v/>
      </c>
      <c r="H1204" s="14">
        <f>C1204*G1204</f>
        <v/>
      </c>
    </row>
    <row r="1205">
      <c r="A1205" s="12" t="inlineStr">
        <is>
          <t>RET-0106</t>
        </is>
      </c>
      <c r="B1205" s="12" t="inlineStr">
        <is>
          <t>VS14</t>
        </is>
      </c>
      <c r="C1205" s="28" t="n">
        <v>0.0219</v>
      </c>
      <c r="D1205" s="12" t="inlineStr">
        <is>
          <t>PO-2022-1769</t>
        </is>
      </c>
      <c r="E1205" s="12" t="n">
        <v>2.66</v>
      </c>
      <c r="F1205" s="17" t="n">
        <v>100531.81</v>
      </c>
      <c r="G1205" s="14">
        <f>E1205*F1205</f>
        <v/>
      </c>
      <c r="H1205" s="14">
        <f>C1205*G1205</f>
        <v/>
      </c>
    </row>
    <row r="1206">
      <c r="A1206" s="12" t="inlineStr">
        <is>
          <t>RET-0106</t>
        </is>
      </c>
      <c r="B1206" s="12" t="inlineStr">
        <is>
          <t>VS15</t>
        </is>
      </c>
      <c r="C1206" s="28" t="n">
        <v>0.0073</v>
      </c>
      <c r="D1206" s="12" t="inlineStr">
        <is>
          <t>PO-2023-3563</t>
        </is>
      </c>
      <c r="E1206" s="12" t="n">
        <v>2.66</v>
      </c>
      <c r="F1206" s="17" t="n">
        <v>114183.19</v>
      </c>
      <c r="G1206" s="14">
        <f>E1206*F1206</f>
        <v/>
      </c>
      <c r="H1206" s="14">
        <f>C1206*G1206</f>
        <v/>
      </c>
    </row>
    <row r="1207">
      <c r="A1207" s="12" t="inlineStr">
        <is>
          <t>RET-0106</t>
        </is>
      </c>
      <c r="B1207" s="12" t="inlineStr">
        <is>
          <t>VS16</t>
        </is>
      </c>
      <c r="C1207" s="28" t="n">
        <v>0.0316</v>
      </c>
      <c r="D1207" s="12" t="inlineStr">
        <is>
          <t>PO-2021-0397</t>
        </is>
      </c>
      <c r="E1207" s="12" t="n">
        <v>2.66</v>
      </c>
      <c r="F1207" s="17" t="n">
        <v>57010.18</v>
      </c>
      <c r="G1207" s="14">
        <f>E1207*F1207</f>
        <v/>
      </c>
      <c r="H1207" s="14">
        <f>C1207*G1207</f>
        <v/>
      </c>
    </row>
    <row r="1208">
      <c r="A1208" s="12" t="inlineStr">
        <is>
          <t>RET-0106</t>
        </is>
      </c>
      <c r="B1208" s="12" t="inlineStr">
        <is>
          <t>VS17</t>
        </is>
      </c>
      <c r="C1208" s="28" t="n">
        <v>0.0315</v>
      </c>
      <c r="D1208" s="12" t="inlineStr">
        <is>
          <t>PO-2023-3658</t>
        </is>
      </c>
      <c r="E1208" s="12" t="n">
        <v>2.66</v>
      </c>
      <c r="F1208" s="17" t="n">
        <v>84248.67</v>
      </c>
      <c r="G1208" s="14">
        <f>E1208*F1208</f>
        <v/>
      </c>
      <c r="H1208" s="14">
        <f>C1208*G1208</f>
        <v/>
      </c>
    </row>
    <row r="1209">
      <c r="A1209" s="12" t="inlineStr">
        <is>
          <t>RET-0106</t>
        </is>
      </c>
      <c r="B1209" s="12" t="inlineStr">
        <is>
          <t>VS18</t>
        </is>
      </c>
      <c r="C1209" s="28" t="n">
        <v>0.0219</v>
      </c>
      <c r="D1209" s="12" t="inlineStr">
        <is>
          <t>PO-2022-2155</t>
        </is>
      </c>
      <c r="E1209" s="12" t="n">
        <v>2.66</v>
      </c>
      <c r="F1209" s="17" t="n">
        <v>70294.09</v>
      </c>
      <c r="G1209" s="14">
        <f>E1209*F1209</f>
        <v/>
      </c>
      <c r="H1209" s="14">
        <f>C1209*G1209</f>
        <v/>
      </c>
    </row>
    <row r="1210">
      <c r="A1210" s="12" t="inlineStr">
        <is>
          <t>RET-0106</t>
        </is>
      </c>
      <c r="B1210" s="12" t="inlineStr">
        <is>
          <t>VS19</t>
        </is>
      </c>
      <c r="C1210" s="28" t="n">
        <v>0.1243</v>
      </c>
      <c r="D1210" s="12" t="inlineStr">
        <is>
          <t>PO-2022-3018</t>
        </is>
      </c>
      <c r="E1210" s="12" t="n">
        <v>2.66</v>
      </c>
      <c r="F1210" s="17" t="n">
        <v>112519.69</v>
      </c>
      <c r="G1210" s="14">
        <f>E1210*F1210</f>
        <v/>
      </c>
      <c r="H1210" s="14">
        <f>C1210*G1210</f>
        <v/>
      </c>
    </row>
    <row r="1211">
      <c r="A1211" s="12" t="inlineStr">
        <is>
          <t>RET-0106</t>
        </is>
      </c>
      <c r="B1211" s="12" t="inlineStr">
        <is>
          <t>VS20</t>
        </is>
      </c>
      <c r="C1211" s="28" t="n">
        <v>0.0122</v>
      </c>
      <c r="D1211" s="12" t="inlineStr">
        <is>
          <t>PO-2021-0611</t>
        </is>
      </c>
      <c r="E1211" s="12" t="n">
        <v>2.66</v>
      </c>
      <c r="F1211" s="17" t="n">
        <v>94094.7</v>
      </c>
      <c r="G1211" s="14">
        <f>E1211*F1211</f>
        <v/>
      </c>
      <c r="H1211" s="14">
        <f>C1211*G1211</f>
        <v/>
      </c>
    </row>
    <row r="1212">
      <c r="A1212" s="12" t="inlineStr">
        <is>
          <t>RET-0106</t>
        </is>
      </c>
      <c r="B1212" s="12" t="inlineStr">
        <is>
          <t>VS21</t>
        </is>
      </c>
      <c r="C1212" s="28" t="n">
        <v>0.0122</v>
      </c>
      <c r="D1212" s="12" t="inlineStr">
        <is>
          <t>PO-2021-0815</t>
        </is>
      </c>
      <c r="E1212" s="12" t="n">
        <v>2.66</v>
      </c>
      <c r="F1212" s="17" t="n">
        <v>56489.81</v>
      </c>
      <c r="G1212" s="14">
        <f>E1212*F1212</f>
        <v/>
      </c>
      <c r="H1212" s="14">
        <f>C1212*G1212</f>
        <v/>
      </c>
    </row>
    <row r="1213">
      <c r="A1213" s="12" t="inlineStr">
        <is>
          <t>RET-0106</t>
        </is>
      </c>
      <c r="B1213" s="12" t="inlineStr">
        <is>
          <t>VS22</t>
        </is>
      </c>
      <c r="C1213" s="28" t="n">
        <v>0.0073</v>
      </c>
      <c r="D1213" s="12" t="inlineStr">
        <is>
          <t>PO-2023-4665</t>
        </is>
      </c>
      <c r="E1213" s="12" t="n">
        <v>2.66</v>
      </c>
      <c r="F1213" s="17" t="n">
        <v>105213.13</v>
      </c>
      <c r="G1213" s="14">
        <f>E1213*F1213</f>
        <v/>
      </c>
      <c r="H1213" s="14">
        <f>C1213*G1213</f>
        <v/>
      </c>
    </row>
    <row r="1214">
      <c r="A1214" s="12" t="inlineStr">
        <is>
          <t>RET-0106</t>
        </is>
      </c>
      <c r="B1214" s="12" t="inlineStr">
        <is>
          <t>VS23</t>
        </is>
      </c>
      <c r="C1214" s="28" t="n">
        <v>0.012</v>
      </c>
      <c r="D1214" s="12" t="inlineStr">
        <is>
          <t>PO-2023-3872</t>
        </is>
      </c>
      <c r="E1214" s="12" t="n">
        <v>1.057</v>
      </c>
      <c r="F1214" s="17" t="n">
        <v>70973.75</v>
      </c>
      <c r="G1214" s="14">
        <f>E1214*F1214</f>
        <v/>
      </c>
      <c r="H1214" s="14">
        <f>C1214*G1214</f>
        <v/>
      </c>
    </row>
    <row r="1215">
      <c r="A1215" s="12" t="inlineStr">
        <is>
          <t>RET-0106</t>
        </is>
      </c>
      <c r="B1215" s="12" t="inlineStr">
        <is>
          <t>VS24</t>
        </is>
      </c>
      <c r="C1215" s="28" t="n">
        <v>0.0122</v>
      </c>
      <c r="D1215" s="12" t="inlineStr">
        <is>
          <t>PO-2022-2687</t>
        </is>
      </c>
      <c r="E1215" s="12" t="n">
        <v>2.66</v>
      </c>
      <c r="F1215" s="17" t="n">
        <v>52806.97</v>
      </c>
      <c r="G1215" s="14">
        <f>E1215*F1215</f>
        <v/>
      </c>
      <c r="H1215" s="14">
        <f>C1215*G1215</f>
        <v/>
      </c>
    </row>
    <row r="1216">
      <c r="A1216" s="12" t="inlineStr">
        <is>
          <t>RET-0106</t>
        </is>
      </c>
      <c r="B1216" s="12" t="inlineStr">
        <is>
          <t>VS25</t>
        </is>
      </c>
      <c r="C1216" s="28" t="n">
        <v>0.022</v>
      </c>
      <c r="D1216" s="12" t="inlineStr">
        <is>
          <t>PO-2022-2285</t>
        </is>
      </c>
      <c r="E1216" s="12" t="n">
        <v>2.66</v>
      </c>
      <c r="F1216" s="17" t="n">
        <v>115739.95</v>
      </c>
      <c r="G1216" s="14">
        <f>E1216*F1216</f>
        <v/>
      </c>
      <c r="H1216" s="14">
        <f>C1216*G1216</f>
        <v/>
      </c>
    </row>
    <row r="1217">
      <c r="A1217" s="12" t="inlineStr">
        <is>
          <t>RET-0106</t>
        </is>
      </c>
      <c r="B1217" s="12" t="inlineStr">
        <is>
          <t>VS26</t>
        </is>
      </c>
      <c r="C1217" s="28" t="n">
        <v>0.0123</v>
      </c>
      <c r="D1217" s="12" t="inlineStr">
        <is>
          <t>PO-2023-4307</t>
        </is>
      </c>
      <c r="E1217" s="12" t="n">
        <v>2.66</v>
      </c>
      <c r="F1217" s="17" t="n">
        <v>93437.85000000001</v>
      </c>
      <c r="G1217" s="14">
        <f>E1217*F1217</f>
        <v/>
      </c>
      <c r="H1217" s="14">
        <f>C1217*G1217</f>
        <v/>
      </c>
    </row>
    <row r="1218">
      <c r="A1218" s="12" t="inlineStr">
        <is>
          <t>RET-0106</t>
        </is>
      </c>
      <c r="B1218" s="12" t="inlineStr">
        <is>
          <t>VS27</t>
        </is>
      </c>
      <c r="C1218" s="28" t="n">
        <v>0.012</v>
      </c>
      <c r="D1218" s="12" t="inlineStr">
        <is>
          <t>PO-2022-1632</t>
        </is>
      </c>
      <c r="E1218" s="12" t="n">
        <v>2.66</v>
      </c>
      <c r="F1218" s="17" t="n">
        <v>110805.65</v>
      </c>
      <c r="G1218" s="14">
        <f>E1218*F1218</f>
        <v/>
      </c>
      <c r="H1218" s="14">
        <f>C1218*G1218</f>
        <v/>
      </c>
    </row>
    <row r="1219">
      <c r="A1219" s="12" t="inlineStr">
        <is>
          <t>RET-0106</t>
        </is>
      </c>
      <c r="B1219" s="12" t="inlineStr">
        <is>
          <t>VS28</t>
        </is>
      </c>
      <c r="C1219" s="28" t="n">
        <v>0.0269</v>
      </c>
      <c r="D1219" s="12" t="inlineStr">
        <is>
          <t>PO-2022-2798</t>
        </is>
      </c>
      <c r="E1219" s="12" t="n">
        <v>2.66</v>
      </c>
      <c r="F1219" s="17" t="n">
        <v>108413.35</v>
      </c>
      <c r="G1219" s="14">
        <f>E1219*F1219</f>
        <v/>
      </c>
      <c r="H1219" s="14">
        <f>C1219*G1219</f>
        <v/>
      </c>
    </row>
    <row r="1220">
      <c r="A1220" s="12" t="inlineStr">
        <is>
          <t>RET-0106</t>
        </is>
      </c>
      <c r="B1220" s="12" t="inlineStr">
        <is>
          <t>VS29</t>
        </is>
      </c>
      <c r="C1220" s="28" t="n">
        <v>0.0171</v>
      </c>
      <c r="D1220" s="12" t="inlineStr">
        <is>
          <t>PO-2023-3613</t>
        </is>
      </c>
      <c r="E1220" s="12" t="n">
        <v>2.66</v>
      </c>
      <c r="F1220" s="17" t="n">
        <v>80375.53999999999</v>
      </c>
      <c r="G1220" s="14">
        <f>E1220*F1220</f>
        <v/>
      </c>
      <c r="H1220" s="14">
        <f>C1220*G1220</f>
        <v/>
      </c>
    </row>
    <row r="1221">
      <c r="A1221" s="12" t="inlineStr">
        <is>
          <t>RET-0106</t>
        </is>
      </c>
      <c r="B1221" s="12" t="inlineStr">
        <is>
          <t>VS30</t>
        </is>
      </c>
      <c r="C1221" s="28" t="n">
        <v>0.0073</v>
      </c>
      <c r="D1221" s="12" t="inlineStr">
        <is>
          <t>PO-2021-0044</t>
        </is>
      </c>
      <c r="E1221" s="12" t="n">
        <v>2.66</v>
      </c>
      <c r="F1221" s="17" t="n">
        <v>89658.92</v>
      </c>
      <c r="G1221" s="14">
        <f>E1221*F1221</f>
        <v/>
      </c>
      <c r="H1221" s="14">
        <f>C1221*G1221</f>
        <v/>
      </c>
    </row>
    <row r="1222">
      <c r="A1222" s="12" t="inlineStr">
        <is>
          <t>RET-0106</t>
        </is>
      </c>
      <c r="B1222" s="12" t="inlineStr">
        <is>
          <t>VS31</t>
        </is>
      </c>
      <c r="C1222" s="28" t="n">
        <v>0.0268</v>
      </c>
      <c r="D1222" s="12" t="inlineStr">
        <is>
          <t>PO-2022-2446</t>
        </is>
      </c>
      <c r="E1222" s="12" t="n">
        <v>2.66</v>
      </c>
      <c r="F1222" s="17" t="n">
        <v>93453.07000000001</v>
      </c>
      <c r="G1222" s="14">
        <f>E1222*F1222</f>
        <v/>
      </c>
      <c r="H1222" s="14">
        <f>C1222*G1222</f>
        <v/>
      </c>
    </row>
    <row r="1223">
      <c r="A1223" s="12" t="inlineStr">
        <is>
          <t>RET-0106</t>
        </is>
      </c>
      <c r="B1223" s="12" t="inlineStr">
        <is>
          <t>VS32</t>
        </is>
      </c>
      <c r="C1223" s="28" t="n">
        <v>0.0318</v>
      </c>
      <c r="D1223" s="12" t="inlineStr">
        <is>
          <t>PO-2023-3637</t>
        </is>
      </c>
      <c r="E1223" s="12" t="n">
        <v>2.66</v>
      </c>
      <c r="F1223" s="17" t="n">
        <v>88890.59</v>
      </c>
      <c r="G1223" s="14">
        <f>E1223*F1223</f>
        <v/>
      </c>
      <c r="H1223" s="14">
        <f>C1223*G1223</f>
        <v/>
      </c>
    </row>
    <row r="1224">
      <c r="A1224" s="12" t="inlineStr">
        <is>
          <t>RET-0106</t>
        </is>
      </c>
      <c r="B1224" s="12" t="inlineStr">
        <is>
          <t>VS33</t>
        </is>
      </c>
      <c r="C1224" s="28" t="n">
        <v>0.017</v>
      </c>
      <c r="D1224" s="12" t="inlineStr">
        <is>
          <t>PO-2022-1622</t>
        </is>
      </c>
      <c r="E1224" s="12" t="n">
        <v>2.66</v>
      </c>
      <c r="F1224" s="17" t="n">
        <v>90655.42</v>
      </c>
      <c r="G1224" s="14">
        <f>E1224*F1224</f>
        <v/>
      </c>
      <c r="H1224" s="14">
        <f>C1224*G1224</f>
        <v/>
      </c>
    </row>
    <row r="1225">
      <c r="A1225" s="12" t="inlineStr">
        <is>
          <t>RET-0106</t>
        </is>
      </c>
      <c r="B1225" s="12" t="inlineStr">
        <is>
          <t>VS34</t>
        </is>
      </c>
      <c r="C1225" s="28" t="n">
        <v>0.022</v>
      </c>
      <c r="D1225" s="12" t="inlineStr">
        <is>
          <t>PO-2021-1526</t>
        </is>
      </c>
      <c r="E1225" s="12" t="n">
        <v>2.66</v>
      </c>
      <c r="F1225" s="17" t="n">
        <v>75803.92999999999</v>
      </c>
      <c r="G1225" s="14">
        <f>E1225*F1225</f>
        <v/>
      </c>
      <c r="H1225" s="14">
        <f>C1225*G1225</f>
        <v/>
      </c>
    </row>
    <row r="1226">
      <c r="A1226" s="12" t="inlineStr">
        <is>
          <t>RET-0108</t>
        </is>
      </c>
      <c r="B1226" s="12" t="inlineStr">
        <is>
          <t>VS01</t>
        </is>
      </c>
      <c r="C1226" s="28" t="n">
        <v>0.0089</v>
      </c>
      <c r="D1226" s="12" t="inlineStr">
        <is>
          <t>PO-2023-3900</t>
        </is>
      </c>
      <c r="E1226" s="12" t="n">
        <v>1.9</v>
      </c>
      <c r="F1226" s="17" t="n">
        <v>83770.24000000001</v>
      </c>
      <c r="G1226" s="14">
        <f>E1226*F1226</f>
        <v/>
      </c>
      <c r="H1226" s="14">
        <f>C1226*G1226</f>
        <v/>
      </c>
    </row>
    <row r="1227">
      <c r="A1227" s="12" t="inlineStr">
        <is>
          <t>RET-0108</t>
        </is>
      </c>
      <c r="B1227" s="12" t="inlineStr">
        <is>
          <t>VS02</t>
        </is>
      </c>
      <c r="C1227" s="28" t="n">
        <v>0.004</v>
      </c>
      <c r="D1227" s="12" t="inlineStr">
        <is>
          <t>PO-2022-2188</t>
        </is>
      </c>
      <c r="E1227" s="12" t="n">
        <v>1.9</v>
      </c>
      <c r="F1227" s="17" t="n">
        <v>46810.83</v>
      </c>
      <c r="G1227" s="14">
        <f>E1227*F1227</f>
        <v/>
      </c>
      <c r="H1227" s="14">
        <f>C1227*G1227</f>
        <v/>
      </c>
    </row>
    <row r="1228">
      <c r="A1228" s="12" t="inlineStr">
        <is>
          <t>RET-0108</t>
        </is>
      </c>
      <c r="B1228" s="12" t="inlineStr">
        <is>
          <t>VS03</t>
        </is>
      </c>
      <c r="C1228" s="28" t="n">
        <v>0.2342</v>
      </c>
      <c r="D1228" s="12" t="inlineStr">
        <is>
          <t>PO-2022-1751</t>
        </is>
      </c>
      <c r="E1228" s="12" t="n">
        <v>1.9</v>
      </c>
      <c r="F1228" s="17" t="n">
        <v>93059.59</v>
      </c>
      <c r="G1228" s="14">
        <f>E1228*F1228</f>
        <v/>
      </c>
      <c r="H1228" s="14">
        <f>C1228*G1228</f>
        <v/>
      </c>
    </row>
    <row r="1229">
      <c r="A1229" s="12" t="inlineStr">
        <is>
          <t>RET-0108</t>
        </is>
      </c>
      <c r="B1229" s="12" t="inlineStr">
        <is>
          <t>VS04</t>
        </is>
      </c>
      <c r="C1229" s="28" t="n">
        <v>0.0056</v>
      </c>
      <c r="D1229" s="12" t="inlineStr">
        <is>
          <t>PO-2021-0105</t>
        </is>
      </c>
      <c r="E1229" s="12" t="n">
        <v>1.9</v>
      </c>
      <c r="F1229" s="17" t="n">
        <v>54825.99</v>
      </c>
      <c r="G1229" s="14">
        <f>E1229*F1229</f>
        <v/>
      </c>
      <c r="H1229" s="14">
        <f>C1229*G1229</f>
        <v/>
      </c>
    </row>
    <row r="1230">
      <c r="A1230" s="12" t="inlineStr">
        <is>
          <t>RET-0108</t>
        </is>
      </c>
      <c r="B1230" s="12" t="inlineStr">
        <is>
          <t>VS05</t>
        </is>
      </c>
      <c r="C1230" s="28" t="n">
        <v>0.0072</v>
      </c>
      <c r="D1230" s="12" t="inlineStr">
        <is>
          <t>PO-2023-3947</t>
        </is>
      </c>
      <c r="E1230" s="12" t="n">
        <v>1.9</v>
      </c>
      <c r="F1230" s="17" t="n">
        <v>61585.29</v>
      </c>
      <c r="G1230" s="14">
        <f>E1230*F1230</f>
        <v/>
      </c>
      <c r="H1230" s="14">
        <f>C1230*G1230</f>
        <v/>
      </c>
    </row>
    <row r="1231">
      <c r="A1231" s="12" t="inlineStr">
        <is>
          <t>RET-0108</t>
        </is>
      </c>
      <c r="B1231" s="12" t="inlineStr">
        <is>
          <t>VS06</t>
        </is>
      </c>
      <c r="C1231" s="28" t="n">
        <v>0.0073</v>
      </c>
      <c r="D1231" s="12" t="inlineStr">
        <is>
          <t>PO-2021-1052</t>
        </is>
      </c>
      <c r="E1231" s="12" t="n">
        <v>1.9</v>
      </c>
      <c r="F1231" s="17" t="n">
        <v>78316.53</v>
      </c>
      <c r="G1231" s="14">
        <f>E1231*F1231</f>
        <v/>
      </c>
      <c r="H1231" s="14">
        <f>C1231*G1231</f>
        <v/>
      </c>
    </row>
    <row r="1232">
      <c r="A1232" s="12" t="inlineStr">
        <is>
          <t>RET-0108</t>
        </is>
      </c>
      <c r="B1232" s="12" t="inlineStr">
        <is>
          <t>VS07</t>
        </is>
      </c>
      <c r="C1232" s="28" t="n">
        <v>0.0024</v>
      </c>
      <c r="D1232" s="12" t="inlineStr">
        <is>
          <t>PO-2021-0650</t>
        </is>
      </c>
      <c r="E1232" s="12" t="n">
        <v>1.9</v>
      </c>
      <c r="F1232" s="17" t="n">
        <v>97705.71000000001</v>
      </c>
      <c r="G1232" s="14">
        <f>E1232*F1232</f>
        <v/>
      </c>
      <c r="H1232" s="14">
        <f>C1232*G1232</f>
        <v/>
      </c>
    </row>
    <row r="1233">
      <c r="A1233" s="12" t="inlineStr">
        <is>
          <t>RET-0108</t>
        </is>
      </c>
      <c r="B1233" s="12" t="inlineStr">
        <is>
          <t>VS08</t>
        </is>
      </c>
      <c r="C1233" s="28" t="n">
        <v>0.0073</v>
      </c>
      <c r="D1233" s="12" t="inlineStr">
        <is>
          <t>PO-2021-0880</t>
        </is>
      </c>
      <c r="E1233" s="12" t="n">
        <v>1.9</v>
      </c>
      <c r="F1233" s="17" t="n">
        <v>119924.03</v>
      </c>
      <c r="G1233" s="14">
        <f>E1233*F1233</f>
        <v/>
      </c>
      <c r="H1233" s="14">
        <f>C1233*G1233</f>
        <v/>
      </c>
    </row>
    <row r="1234">
      <c r="A1234" s="12" t="inlineStr">
        <is>
          <t>RET-0108</t>
        </is>
      </c>
      <c r="B1234" s="12" t="inlineStr">
        <is>
          <t>VS09</t>
        </is>
      </c>
      <c r="C1234" s="28" t="n">
        <v>0.0056</v>
      </c>
      <c r="D1234" s="12" t="inlineStr">
        <is>
          <t>PO-2023-3534</t>
        </is>
      </c>
      <c r="E1234" s="12" t="n">
        <v>1.9</v>
      </c>
      <c r="F1234" s="17" t="n">
        <v>119934.55</v>
      </c>
      <c r="G1234" s="14">
        <f>E1234*F1234</f>
        <v/>
      </c>
      <c r="H1234" s="14">
        <f>C1234*G1234</f>
        <v/>
      </c>
    </row>
    <row r="1235">
      <c r="A1235" s="12" t="inlineStr">
        <is>
          <t>RET-0108</t>
        </is>
      </c>
      <c r="B1235" s="12" t="inlineStr">
        <is>
          <t>VS10</t>
        </is>
      </c>
      <c r="C1235" s="28" t="n">
        <v>0.008800000000000001</v>
      </c>
      <c r="D1235" s="12" t="inlineStr">
        <is>
          <t>PO-2021-1005</t>
        </is>
      </c>
      <c r="E1235" s="12" t="n">
        <v>1.9</v>
      </c>
      <c r="F1235" s="17" t="n">
        <v>79124.32000000001</v>
      </c>
      <c r="G1235" s="14">
        <f>E1235*F1235</f>
        <v/>
      </c>
      <c r="H1235" s="14">
        <f>C1235*G1235</f>
        <v/>
      </c>
    </row>
    <row r="1236">
      <c r="A1236" s="12" t="inlineStr">
        <is>
          <t>RET-0108</t>
        </is>
      </c>
      <c r="B1236" s="12" t="inlineStr">
        <is>
          <t>VS11</t>
        </is>
      </c>
      <c r="C1236" s="28" t="n">
        <v>0.0104</v>
      </c>
      <c r="D1236" s="12" t="inlineStr">
        <is>
          <t>PO-2022-1645</t>
        </is>
      </c>
      <c r="E1236" s="12" t="n">
        <v>1.9</v>
      </c>
      <c r="F1236" s="17" t="n">
        <v>76432.58</v>
      </c>
      <c r="G1236" s="14">
        <f>E1236*F1236</f>
        <v/>
      </c>
      <c r="H1236" s="14">
        <f>C1236*G1236</f>
        <v/>
      </c>
    </row>
    <row r="1237">
      <c r="A1237" s="12" t="inlineStr">
        <is>
          <t>RET-0108</t>
        </is>
      </c>
      <c r="B1237" s="12" t="inlineStr">
        <is>
          <t>VS12</t>
        </is>
      </c>
      <c r="C1237" s="28" t="n">
        <v>0.3255</v>
      </c>
      <c r="D1237" s="12" t="inlineStr">
        <is>
          <t>PO-2023-3763</t>
        </is>
      </c>
      <c r="E1237" s="12" t="n">
        <v>1.9</v>
      </c>
      <c r="F1237" s="17" t="n">
        <v>104047.49</v>
      </c>
      <c r="G1237" s="14">
        <f>E1237*F1237</f>
        <v/>
      </c>
      <c r="H1237" s="14">
        <f>C1237*G1237</f>
        <v/>
      </c>
    </row>
    <row r="1238">
      <c r="A1238" s="12" t="inlineStr">
        <is>
          <t>RET-0108</t>
        </is>
      </c>
      <c r="B1238" s="12" t="inlineStr">
        <is>
          <t>VS13</t>
        </is>
      </c>
      <c r="C1238" s="28" t="n">
        <v>0.0071</v>
      </c>
      <c r="D1238" s="12" t="inlineStr">
        <is>
          <t>PO-2022-2098</t>
        </is>
      </c>
      <c r="E1238" s="12" t="n">
        <v>1.9</v>
      </c>
      <c r="F1238" s="17" t="n">
        <v>78007.74000000001</v>
      </c>
      <c r="G1238" s="14">
        <f>E1238*F1238</f>
        <v/>
      </c>
      <c r="H1238" s="14">
        <f>C1238*G1238</f>
        <v/>
      </c>
    </row>
    <row r="1239">
      <c r="A1239" s="12" t="inlineStr">
        <is>
          <t>RET-0108</t>
        </is>
      </c>
      <c r="B1239" s="12" t="inlineStr">
        <is>
          <t>VS14</t>
        </is>
      </c>
      <c r="C1239" s="28" t="n">
        <v>0.0072</v>
      </c>
      <c r="D1239" s="12" t="inlineStr">
        <is>
          <t>PO-2023-3950</t>
        </is>
      </c>
      <c r="E1239" s="12" t="n">
        <v>1.9</v>
      </c>
      <c r="F1239" s="17" t="n">
        <v>76062.56</v>
      </c>
      <c r="G1239" s="14">
        <f>E1239*F1239</f>
        <v/>
      </c>
      <c r="H1239" s="14">
        <f>C1239*G1239</f>
        <v/>
      </c>
    </row>
    <row r="1240">
      <c r="A1240" s="12" t="inlineStr">
        <is>
          <t>RET-0108</t>
        </is>
      </c>
      <c r="B1240" s="12" t="inlineStr">
        <is>
          <t>VS15</t>
        </is>
      </c>
      <c r="C1240" s="28" t="n">
        <v>0.0024</v>
      </c>
      <c r="D1240" s="12" t="inlineStr">
        <is>
          <t>PO-2023-3214</t>
        </is>
      </c>
      <c r="E1240" s="12" t="n">
        <v>1.9</v>
      </c>
      <c r="F1240" s="17" t="n">
        <v>90254.23</v>
      </c>
      <c r="G1240" s="14">
        <f>E1240*F1240</f>
        <v/>
      </c>
      <c r="H1240" s="14">
        <f>C1240*G1240</f>
        <v/>
      </c>
    </row>
    <row r="1241">
      <c r="A1241" s="12" t="inlineStr">
        <is>
          <t>RET-0108</t>
        </is>
      </c>
      <c r="B1241" s="12" t="inlineStr">
        <is>
          <t>VS16</t>
        </is>
      </c>
      <c r="C1241" s="28" t="n">
        <v>0.0104</v>
      </c>
      <c r="D1241" s="12" t="inlineStr">
        <is>
          <t>PO-2021-1221</t>
        </is>
      </c>
      <c r="E1241" s="12" t="n">
        <v>1.9</v>
      </c>
      <c r="F1241" s="17" t="n">
        <v>119944.59</v>
      </c>
      <c r="G1241" s="14">
        <f>E1241*F1241</f>
        <v/>
      </c>
      <c r="H1241" s="14">
        <f>C1241*G1241</f>
        <v/>
      </c>
    </row>
    <row r="1242">
      <c r="A1242" s="12" t="inlineStr">
        <is>
          <t>RET-0108</t>
        </is>
      </c>
      <c r="B1242" s="12" t="inlineStr">
        <is>
          <t>VS17</t>
        </is>
      </c>
      <c r="C1242" s="28" t="n">
        <v>0.0104</v>
      </c>
      <c r="D1242" s="12" t="inlineStr">
        <is>
          <t>PO-2022-2522</t>
        </is>
      </c>
      <c r="E1242" s="12" t="n">
        <v>0.992</v>
      </c>
      <c r="F1242" s="17" t="n">
        <v>49967.12</v>
      </c>
      <c r="G1242" s="14">
        <f>E1242*F1242</f>
        <v/>
      </c>
      <c r="H1242" s="14">
        <f>C1242*G1242</f>
        <v/>
      </c>
    </row>
    <row r="1243">
      <c r="A1243" s="12" t="inlineStr">
        <is>
          <t>RET-0108</t>
        </is>
      </c>
      <c r="B1243" s="12" t="inlineStr">
        <is>
          <t>VS18</t>
        </is>
      </c>
      <c r="C1243" s="28" t="n">
        <v>0.0072</v>
      </c>
      <c r="D1243" s="12" t="inlineStr">
        <is>
          <t>PO-2021-1371</t>
        </is>
      </c>
      <c r="E1243" s="12" t="n">
        <v>1.319</v>
      </c>
      <c r="F1243" s="17" t="n">
        <v>55701.9</v>
      </c>
      <c r="G1243" s="14">
        <f>E1243*F1243</f>
        <v/>
      </c>
      <c r="H1243" s="14">
        <f>C1243*G1243</f>
        <v/>
      </c>
    </row>
    <row r="1244">
      <c r="A1244" s="12" t="inlineStr">
        <is>
          <t>RET-0108</t>
        </is>
      </c>
      <c r="B1244" s="12" t="inlineStr">
        <is>
          <t>VS19</t>
        </is>
      </c>
      <c r="C1244" s="28" t="n">
        <v>0.2455</v>
      </c>
      <c r="D1244" s="12" t="inlineStr">
        <is>
          <t>PO-2021-0999</t>
        </is>
      </c>
      <c r="E1244" s="12" t="n">
        <v>1.9</v>
      </c>
      <c r="F1244" s="17" t="n">
        <v>72874.98</v>
      </c>
      <c r="G1244" s="14">
        <f>E1244*F1244</f>
        <v/>
      </c>
      <c r="H1244" s="14">
        <f>C1244*G1244</f>
        <v/>
      </c>
    </row>
    <row r="1245">
      <c r="A1245" s="12" t="inlineStr">
        <is>
          <t>RET-0108</t>
        </is>
      </c>
      <c r="B1245" s="12" t="inlineStr">
        <is>
          <t>VS20</t>
        </is>
      </c>
      <c r="C1245" s="28" t="n">
        <v>0.004</v>
      </c>
      <c r="D1245" s="12" t="inlineStr">
        <is>
          <t>PO-2023-3600</t>
        </is>
      </c>
      <c r="E1245" s="12" t="n">
        <v>1.9</v>
      </c>
      <c r="F1245" s="17" t="n">
        <v>65922.44</v>
      </c>
      <c r="G1245" s="14">
        <f>E1245*F1245</f>
        <v/>
      </c>
      <c r="H1245" s="14">
        <f>C1245*G1245</f>
        <v/>
      </c>
    </row>
    <row r="1246">
      <c r="A1246" s="12" t="inlineStr">
        <is>
          <t>RET-0108</t>
        </is>
      </c>
      <c r="B1246" s="12" t="inlineStr">
        <is>
          <t>VS21</t>
        </is>
      </c>
      <c r="C1246" s="28" t="n">
        <v>0.004</v>
      </c>
      <c r="D1246" s="12" t="inlineStr">
        <is>
          <t>PO-2021-0344</t>
        </is>
      </c>
      <c r="E1246" s="12" t="n">
        <v>1.9</v>
      </c>
      <c r="F1246" s="17" t="n">
        <v>76044.75999999999</v>
      </c>
      <c r="G1246" s="14">
        <f>E1246*F1246</f>
        <v/>
      </c>
      <c r="H1246" s="14">
        <f>C1246*G1246</f>
        <v/>
      </c>
    </row>
    <row r="1247">
      <c r="A1247" s="12" t="inlineStr">
        <is>
          <t>RET-0108</t>
        </is>
      </c>
      <c r="B1247" s="12" t="inlineStr">
        <is>
          <t>VS22</t>
        </is>
      </c>
      <c r="C1247" s="28" t="n">
        <v>0.0024</v>
      </c>
      <c r="D1247" s="12" t="inlineStr">
        <is>
          <t>PO-2022-3183</t>
        </is>
      </c>
      <c r="E1247" s="12" t="n">
        <v>1.9</v>
      </c>
      <c r="F1247" s="17" t="n">
        <v>62994.69</v>
      </c>
      <c r="G1247" s="14">
        <f>E1247*F1247</f>
        <v/>
      </c>
      <c r="H1247" s="14">
        <f>C1247*G1247</f>
        <v/>
      </c>
    </row>
    <row r="1248">
      <c r="A1248" s="12" t="inlineStr">
        <is>
          <t>RET-0108</t>
        </is>
      </c>
      <c r="B1248" s="12" t="inlineStr">
        <is>
          <t>VS23</t>
        </is>
      </c>
      <c r="C1248" s="28" t="n">
        <v>0.004</v>
      </c>
      <c r="D1248" s="12" t="inlineStr">
        <is>
          <t>PO-2022-2039</t>
        </is>
      </c>
      <c r="E1248" s="12" t="n">
        <v>1.9</v>
      </c>
      <c r="F1248" s="17" t="n">
        <v>89943.64</v>
      </c>
      <c r="G1248" s="14">
        <f>E1248*F1248</f>
        <v/>
      </c>
      <c r="H1248" s="14">
        <f>C1248*G1248</f>
        <v/>
      </c>
    </row>
    <row r="1249">
      <c r="A1249" s="12" t="inlineStr">
        <is>
          <t>RET-0108</t>
        </is>
      </c>
      <c r="B1249" s="12" t="inlineStr">
        <is>
          <t>VS24</t>
        </is>
      </c>
      <c r="C1249" s="28" t="n">
        <v>0.004</v>
      </c>
      <c r="D1249" s="12" t="inlineStr">
        <is>
          <t>PO-2023-4459</t>
        </is>
      </c>
      <c r="E1249" s="12" t="n">
        <v>1.9</v>
      </c>
      <c r="F1249" s="17" t="n">
        <v>65562.3</v>
      </c>
      <c r="G1249" s="14">
        <f>E1249*F1249</f>
        <v/>
      </c>
      <c r="H1249" s="14">
        <f>C1249*G1249</f>
        <v/>
      </c>
    </row>
    <row r="1250">
      <c r="A1250" s="12" t="inlineStr">
        <is>
          <t>RET-0108</t>
        </is>
      </c>
      <c r="B1250" s="12" t="inlineStr">
        <is>
          <t>VS25</t>
        </is>
      </c>
      <c r="C1250" s="28" t="n">
        <v>0.0073</v>
      </c>
      <c r="D1250" s="12" t="inlineStr">
        <is>
          <t>PO-2022-2245</t>
        </is>
      </c>
      <c r="E1250" s="12" t="n">
        <v>1.9</v>
      </c>
      <c r="F1250" s="17" t="n">
        <v>85332.28</v>
      </c>
      <c r="G1250" s="14">
        <f>E1250*F1250</f>
        <v/>
      </c>
      <c r="H1250" s="14">
        <f>C1250*G1250</f>
        <v/>
      </c>
    </row>
    <row r="1251">
      <c r="A1251" s="12" t="inlineStr">
        <is>
          <t>RET-0108</t>
        </is>
      </c>
      <c r="B1251" s="12" t="inlineStr">
        <is>
          <t>VS26</t>
        </is>
      </c>
      <c r="C1251" s="28" t="n">
        <v>0.004</v>
      </c>
      <c r="D1251" s="12" t="inlineStr">
        <is>
          <t>PO-2022-2805</t>
        </is>
      </c>
      <c r="E1251" s="12" t="n">
        <v>1.9</v>
      </c>
      <c r="F1251" s="17" t="n">
        <v>106985.13</v>
      </c>
      <c r="G1251" s="14">
        <f>E1251*F1251</f>
        <v/>
      </c>
      <c r="H1251" s="14">
        <f>C1251*G1251</f>
        <v/>
      </c>
    </row>
    <row r="1252">
      <c r="A1252" s="12" t="inlineStr">
        <is>
          <t>RET-0108</t>
        </is>
      </c>
      <c r="B1252" s="12" t="inlineStr">
        <is>
          <t>VS27</t>
        </is>
      </c>
      <c r="C1252" s="28" t="n">
        <v>0.004</v>
      </c>
      <c r="D1252" s="12" t="inlineStr">
        <is>
          <t>PO-2021-1358</t>
        </is>
      </c>
      <c r="E1252" s="12" t="n">
        <v>1.9</v>
      </c>
      <c r="F1252" s="17" t="n">
        <v>108970.81</v>
      </c>
      <c r="G1252" s="14">
        <f>E1252*F1252</f>
        <v/>
      </c>
      <c r="H1252" s="14">
        <f>C1252*G1252</f>
        <v/>
      </c>
    </row>
    <row r="1253">
      <c r="A1253" s="12" t="inlineStr">
        <is>
          <t>RET-0108</t>
        </is>
      </c>
      <c r="B1253" s="12" t="inlineStr">
        <is>
          <t>VS28</t>
        </is>
      </c>
      <c r="C1253" s="28" t="n">
        <v>0.008800000000000001</v>
      </c>
      <c r="D1253" s="12" t="inlineStr">
        <is>
          <t>PO-2023-3330</t>
        </is>
      </c>
      <c r="E1253" s="12" t="n">
        <v>1.9</v>
      </c>
      <c r="F1253" s="17" t="n">
        <v>110823.61</v>
      </c>
      <c r="G1253" s="14">
        <f>E1253*F1253</f>
        <v/>
      </c>
      <c r="H1253" s="14">
        <f>C1253*G1253</f>
        <v/>
      </c>
    </row>
    <row r="1254">
      <c r="A1254" s="12" t="inlineStr">
        <is>
          <t>RET-0108</t>
        </is>
      </c>
      <c r="B1254" s="12" t="inlineStr">
        <is>
          <t>VS29</t>
        </is>
      </c>
      <c r="C1254" s="28" t="n">
        <v>0.0056</v>
      </c>
      <c r="D1254" s="12" t="inlineStr">
        <is>
          <t>PO-2022-2154</t>
        </is>
      </c>
      <c r="E1254" s="12" t="n">
        <v>1.9</v>
      </c>
      <c r="F1254" s="17" t="n">
        <v>64710.35</v>
      </c>
      <c r="G1254" s="14">
        <f>E1254*F1254</f>
        <v/>
      </c>
      <c r="H1254" s="14">
        <f>C1254*G1254</f>
        <v/>
      </c>
    </row>
    <row r="1255">
      <c r="A1255" s="12" t="inlineStr">
        <is>
          <t>RET-0108</t>
        </is>
      </c>
      <c r="B1255" s="12" t="inlineStr">
        <is>
          <t>VS30</t>
        </is>
      </c>
      <c r="C1255" s="28" t="n">
        <v>0.0024</v>
      </c>
      <c r="D1255" s="12" t="inlineStr">
        <is>
          <t>PO-2023-4739</t>
        </is>
      </c>
      <c r="E1255" s="12" t="n">
        <v>1.9</v>
      </c>
      <c r="F1255" s="17" t="n">
        <v>68555.53999999999</v>
      </c>
      <c r="G1255" s="14">
        <f>E1255*F1255</f>
        <v/>
      </c>
      <c r="H1255" s="14">
        <f>C1255*G1255</f>
        <v/>
      </c>
    </row>
    <row r="1256">
      <c r="A1256" s="12" t="inlineStr">
        <is>
          <t>RET-0108</t>
        </is>
      </c>
      <c r="B1256" s="12" t="inlineStr">
        <is>
          <t>VS31</t>
        </is>
      </c>
      <c r="C1256" s="28" t="n">
        <v>0.008800000000000001</v>
      </c>
      <c r="D1256" s="12" t="inlineStr">
        <is>
          <t>PO-2023-4053</t>
        </is>
      </c>
      <c r="E1256" s="12" t="n">
        <v>1.9</v>
      </c>
      <c r="F1256" s="17" t="n">
        <v>82952.39</v>
      </c>
      <c r="G1256" s="14">
        <f>E1256*F1256</f>
        <v/>
      </c>
      <c r="H1256" s="14">
        <f>C1256*G1256</f>
        <v/>
      </c>
    </row>
    <row r="1257">
      <c r="A1257" s="12" t="inlineStr">
        <is>
          <t>RET-0108</t>
        </is>
      </c>
      <c r="B1257" s="12" t="inlineStr">
        <is>
          <t>VS32</t>
        </is>
      </c>
      <c r="C1257" s="28" t="n">
        <v>0.0105</v>
      </c>
      <c r="D1257" s="12" t="inlineStr">
        <is>
          <t>PO-2021-1297</t>
        </is>
      </c>
      <c r="E1257" s="12" t="n">
        <v>0</v>
      </c>
      <c r="F1257" s="17" t="n">
        <v>118819.77</v>
      </c>
      <c r="G1257" s="14">
        <f>E1257*F1257</f>
        <v/>
      </c>
      <c r="H1257" s="14">
        <f>C1257*G1257</f>
        <v/>
      </c>
    </row>
    <row r="1258">
      <c r="A1258" s="12" t="inlineStr">
        <is>
          <t>RET-0108</t>
        </is>
      </c>
      <c r="B1258" s="12" t="inlineStr">
        <is>
          <t>VS33</t>
        </is>
      </c>
      <c r="C1258" s="28" t="n">
        <v>0.0056</v>
      </c>
      <c r="D1258" s="12" t="inlineStr">
        <is>
          <t>PO-2022-2047</t>
        </is>
      </c>
      <c r="E1258" s="12" t="n">
        <v>1.9</v>
      </c>
      <c r="F1258" s="17" t="n">
        <v>57103.45</v>
      </c>
      <c r="G1258" s="14">
        <f>E1258*F1258</f>
        <v/>
      </c>
      <c r="H1258" s="14">
        <f>C1258*G1258</f>
        <v/>
      </c>
    </row>
    <row r="1259">
      <c r="A1259" s="12" t="inlineStr">
        <is>
          <t>RET-0108</t>
        </is>
      </c>
      <c r="B1259" s="12" t="inlineStr">
        <is>
          <t>VS34</t>
        </is>
      </c>
      <c r="C1259" s="28" t="n">
        <v>0.0072</v>
      </c>
      <c r="D1259" s="12" t="inlineStr">
        <is>
          <t>PO-2022-2799</t>
        </is>
      </c>
      <c r="E1259" s="12" t="n">
        <v>1.9</v>
      </c>
      <c r="F1259" s="17" t="n">
        <v>101232.34</v>
      </c>
      <c r="G1259" s="14">
        <f>E1259*F1259</f>
        <v/>
      </c>
      <c r="H1259" s="14">
        <f>C1259*G1259</f>
        <v/>
      </c>
    </row>
    <row r="1260">
      <c r="A1260" s="12" t="inlineStr">
        <is>
          <t>RET-0115</t>
        </is>
      </c>
      <c r="B1260" s="12" t="inlineStr">
        <is>
          <t>VS01</t>
        </is>
      </c>
      <c r="C1260" s="28" t="n">
        <v>0.0089</v>
      </c>
      <c r="D1260" s="12" t="inlineStr">
        <is>
          <t>PO-2023-4144</t>
        </is>
      </c>
      <c r="E1260" s="12" t="n">
        <v>1.42</v>
      </c>
      <c r="F1260" s="17" t="n">
        <v>87949.31</v>
      </c>
      <c r="G1260" s="14">
        <f>E1260*F1260</f>
        <v/>
      </c>
      <c r="H1260" s="14">
        <f>C1260*G1260</f>
        <v/>
      </c>
    </row>
    <row r="1261">
      <c r="A1261" s="12" t="inlineStr">
        <is>
          <t>RET-0115</t>
        </is>
      </c>
      <c r="B1261" s="12" t="inlineStr">
        <is>
          <t>VS02</t>
        </is>
      </c>
      <c r="C1261" s="28" t="n">
        <v>0.004</v>
      </c>
      <c r="D1261" s="12" t="inlineStr">
        <is>
          <t>PO-2022-2492</t>
        </is>
      </c>
      <c r="E1261" s="12" t="n">
        <v>1.42</v>
      </c>
      <c r="F1261" s="17" t="n">
        <v>50778.56</v>
      </c>
      <c r="G1261" s="14">
        <f>E1261*F1261</f>
        <v/>
      </c>
      <c r="H1261" s="14">
        <f>C1261*G1261</f>
        <v/>
      </c>
    </row>
    <row r="1262">
      <c r="A1262" s="12" t="inlineStr">
        <is>
          <t>RET-0115</t>
        </is>
      </c>
      <c r="B1262" s="12" t="inlineStr">
        <is>
          <t>VS03</t>
        </is>
      </c>
      <c r="C1262" s="28" t="n">
        <v>0.2342</v>
      </c>
      <c r="D1262" s="12" t="inlineStr">
        <is>
          <t>PO-2021-0478</t>
        </is>
      </c>
      <c r="E1262" s="12" t="n">
        <v>1.42</v>
      </c>
      <c r="F1262" s="17" t="n">
        <v>72367.91</v>
      </c>
      <c r="G1262" s="14">
        <f>E1262*F1262</f>
        <v/>
      </c>
      <c r="H1262" s="14">
        <f>C1262*G1262</f>
        <v/>
      </c>
    </row>
    <row r="1263">
      <c r="A1263" s="12" t="inlineStr">
        <is>
          <t>RET-0115</t>
        </is>
      </c>
      <c r="B1263" s="12" t="inlineStr">
        <is>
          <t>VS04</t>
        </is>
      </c>
      <c r="C1263" s="28" t="n">
        <v>0.0056</v>
      </c>
      <c r="D1263" s="12" t="inlineStr">
        <is>
          <t>PO-2023-3714</t>
        </is>
      </c>
      <c r="E1263" s="12" t="n">
        <v>1.42</v>
      </c>
      <c r="F1263" s="17" t="n">
        <v>52942.1</v>
      </c>
      <c r="G1263" s="14">
        <f>E1263*F1263</f>
        <v/>
      </c>
      <c r="H1263" s="14">
        <f>C1263*G1263</f>
        <v/>
      </c>
    </row>
    <row r="1264">
      <c r="A1264" s="12" t="inlineStr">
        <is>
          <t>RET-0115</t>
        </is>
      </c>
      <c r="B1264" s="12" t="inlineStr">
        <is>
          <t>VS05</t>
        </is>
      </c>
      <c r="C1264" s="28" t="n">
        <v>0.0072</v>
      </c>
      <c r="D1264" s="12" t="inlineStr">
        <is>
          <t>PO-2023-4301</t>
        </is>
      </c>
      <c r="E1264" s="12" t="n">
        <v>1.42</v>
      </c>
      <c r="F1264" s="17" t="n">
        <v>59319.91</v>
      </c>
      <c r="G1264" s="14">
        <f>E1264*F1264</f>
        <v/>
      </c>
      <c r="H1264" s="14">
        <f>C1264*G1264</f>
        <v/>
      </c>
    </row>
    <row r="1265">
      <c r="A1265" s="12" t="inlineStr">
        <is>
          <t>RET-0115</t>
        </is>
      </c>
      <c r="B1265" s="12" t="inlineStr">
        <is>
          <t>VS06</t>
        </is>
      </c>
      <c r="C1265" s="28" t="n">
        <v>0.0073</v>
      </c>
      <c r="D1265" s="12" t="inlineStr">
        <is>
          <t>PO-2023-4774</t>
        </is>
      </c>
      <c r="E1265" s="12" t="n">
        <v>1.42</v>
      </c>
      <c r="F1265" s="17" t="n">
        <v>78760.91</v>
      </c>
      <c r="G1265" s="14">
        <f>E1265*F1265</f>
        <v/>
      </c>
      <c r="H1265" s="14">
        <f>C1265*G1265</f>
        <v/>
      </c>
    </row>
    <row r="1266">
      <c r="A1266" s="12" t="inlineStr">
        <is>
          <t>RET-0115</t>
        </is>
      </c>
      <c r="B1266" s="12" t="inlineStr">
        <is>
          <t>VS07</t>
        </is>
      </c>
      <c r="C1266" s="28" t="n">
        <v>0.0024</v>
      </c>
      <c r="D1266" s="12" t="inlineStr">
        <is>
          <t>PO-2023-4758</t>
        </is>
      </c>
      <c r="E1266" s="12" t="n">
        <v>1.42</v>
      </c>
      <c r="F1266" s="17" t="n">
        <v>50580.8</v>
      </c>
      <c r="G1266" s="14">
        <f>E1266*F1266</f>
        <v/>
      </c>
      <c r="H1266" s="14">
        <f>C1266*G1266</f>
        <v/>
      </c>
    </row>
    <row r="1267">
      <c r="A1267" s="12" t="inlineStr">
        <is>
          <t>RET-0115</t>
        </is>
      </c>
      <c r="B1267" s="12" t="inlineStr">
        <is>
          <t>VS08</t>
        </is>
      </c>
      <c r="C1267" s="28" t="n">
        <v>0.0073</v>
      </c>
      <c r="D1267" s="12" t="inlineStr">
        <is>
          <t>PO-2021-0383</t>
        </is>
      </c>
      <c r="E1267" s="12" t="n">
        <v>1.42</v>
      </c>
      <c r="F1267" s="17" t="n">
        <v>85922.17999999999</v>
      </c>
      <c r="G1267" s="14">
        <f>E1267*F1267</f>
        <v/>
      </c>
      <c r="H1267" s="14">
        <f>C1267*G1267</f>
        <v/>
      </c>
    </row>
    <row r="1268">
      <c r="A1268" s="12" t="inlineStr">
        <is>
          <t>RET-0115</t>
        </is>
      </c>
      <c r="B1268" s="12" t="inlineStr">
        <is>
          <t>VS09</t>
        </is>
      </c>
      <c r="C1268" s="28" t="n">
        <v>0.0056</v>
      </c>
      <c r="D1268" s="12" t="inlineStr">
        <is>
          <t>PO-2022-2894</t>
        </is>
      </c>
      <c r="E1268" s="12" t="n">
        <v>1.42</v>
      </c>
      <c r="F1268" s="17" t="n">
        <v>64451.79</v>
      </c>
      <c r="G1268" s="14">
        <f>E1268*F1268</f>
        <v/>
      </c>
      <c r="H1268" s="14">
        <f>C1268*G1268</f>
        <v/>
      </c>
    </row>
    <row r="1269">
      <c r="A1269" s="12" t="inlineStr">
        <is>
          <t>RET-0115</t>
        </is>
      </c>
      <c r="B1269" s="12" t="inlineStr">
        <is>
          <t>VS10</t>
        </is>
      </c>
      <c r="C1269" s="28" t="n">
        <v>0.008800000000000001</v>
      </c>
      <c r="D1269" s="12" t="inlineStr">
        <is>
          <t>PO-2022-2119</t>
        </is>
      </c>
      <c r="E1269" s="12" t="n">
        <v>1.42</v>
      </c>
      <c r="F1269" s="17" t="n">
        <v>60460.81</v>
      </c>
      <c r="G1269" s="14">
        <f>E1269*F1269</f>
        <v/>
      </c>
      <c r="H1269" s="14">
        <f>C1269*G1269</f>
        <v/>
      </c>
    </row>
    <row r="1270">
      <c r="A1270" s="12" t="inlineStr">
        <is>
          <t>RET-0115</t>
        </is>
      </c>
      <c r="B1270" s="12" t="inlineStr">
        <is>
          <t>VS11</t>
        </is>
      </c>
      <c r="C1270" s="28" t="n">
        <v>0.0104</v>
      </c>
      <c r="D1270" s="12" t="inlineStr">
        <is>
          <t>PO-2022-1645</t>
        </is>
      </c>
      <c r="E1270" s="12" t="n">
        <v>1.42</v>
      </c>
      <c r="F1270" s="17" t="n">
        <v>76432.58</v>
      </c>
      <c r="G1270" s="14">
        <f>E1270*F1270</f>
        <v/>
      </c>
      <c r="H1270" s="14">
        <f>C1270*G1270</f>
        <v/>
      </c>
    </row>
    <row r="1271">
      <c r="A1271" s="12" t="inlineStr">
        <is>
          <t>RET-0115</t>
        </is>
      </c>
      <c r="B1271" s="12" t="inlineStr">
        <is>
          <t>VS12</t>
        </is>
      </c>
      <c r="C1271" s="28" t="n">
        <v>0.3255</v>
      </c>
      <c r="D1271" s="12" t="inlineStr">
        <is>
          <t>PO-2023-4607</t>
        </is>
      </c>
      <c r="E1271" s="12" t="n">
        <v>1.42</v>
      </c>
      <c r="F1271" s="17" t="n">
        <v>56950.43</v>
      </c>
      <c r="G1271" s="14">
        <f>E1271*F1271</f>
        <v/>
      </c>
      <c r="H1271" s="14">
        <f>C1271*G1271</f>
        <v/>
      </c>
    </row>
    <row r="1272">
      <c r="A1272" s="12" t="inlineStr">
        <is>
          <t>RET-0115</t>
        </is>
      </c>
      <c r="B1272" s="12" t="inlineStr">
        <is>
          <t>VS13</t>
        </is>
      </c>
      <c r="C1272" s="28" t="n">
        <v>0.0071</v>
      </c>
      <c r="D1272" s="12" t="inlineStr">
        <is>
          <t>PO-2022-2098</t>
        </is>
      </c>
      <c r="E1272" s="12" t="n">
        <v>1.42</v>
      </c>
      <c r="F1272" s="17" t="n">
        <v>78007.74000000001</v>
      </c>
      <c r="G1272" s="14">
        <f>E1272*F1272</f>
        <v/>
      </c>
      <c r="H1272" s="14">
        <f>C1272*G1272</f>
        <v/>
      </c>
    </row>
    <row r="1273">
      <c r="A1273" s="12" t="inlineStr">
        <is>
          <t>RET-0115</t>
        </is>
      </c>
      <c r="B1273" s="12" t="inlineStr">
        <is>
          <t>VS14</t>
        </is>
      </c>
      <c r="C1273" s="28" t="n">
        <v>0.0072</v>
      </c>
      <c r="D1273" s="12" t="inlineStr">
        <is>
          <t>PO-2022-2697</t>
        </is>
      </c>
      <c r="E1273" s="12" t="n">
        <v>1.42</v>
      </c>
      <c r="F1273" s="17" t="n">
        <v>102378.48</v>
      </c>
      <c r="G1273" s="14">
        <f>E1273*F1273</f>
        <v/>
      </c>
      <c r="H1273" s="14">
        <f>C1273*G1273</f>
        <v/>
      </c>
    </row>
    <row r="1274">
      <c r="A1274" s="12" t="inlineStr">
        <is>
          <t>RET-0115</t>
        </is>
      </c>
      <c r="B1274" s="12" t="inlineStr">
        <is>
          <t>VS15</t>
        </is>
      </c>
      <c r="C1274" s="28" t="n">
        <v>0.0024</v>
      </c>
      <c r="D1274" s="12" t="inlineStr">
        <is>
          <t>PO-2021-0132</t>
        </is>
      </c>
      <c r="E1274" s="12" t="n">
        <v>1.42</v>
      </c>
      <c r="F1274" s="17" t="n">
        <v>95832.33</v>
      </c>
      <c r="G1274" s="14">
        <f>E1274*F1274</f>
        <v/>
      </c>
      <c r="H1274" s="14">
        <f>C1274*G1274</f>
        <v/>
      </c>
    </row>
    <row r="1275">
      <c r="A1275" s="12" t="inlineStr">
        <is>
          <t>RET-0115</t>
        </is>
      </c>
      <c r="B1275" s="12" t="inlineStr">
        <is>
          <t>VS16</t>
        </is>
      </c>
      <c r="C1275" s="28" t="n">
        <v>0.0104</v>
      </c>
      <c r="D1275" s="12" t="inlineStr">
        <is>
          <t>PO-2021-1221</t>
        </is>
      </c>
      <c r="E1275" s="12" t="n">
        <v>1.42</v>
      </c>
      <c r="F1275" s="17" t="n">
        <v>119944.59</v>
      </c>
      <c r="G1275" s="14">
        <f>E1275*F1275</f>
        <v/>
      </c>
      <c r="H1275" s="14">
        <f>C1275*G1275</f>
        <v/>
      </c>
    </row>
    <row r="1276">
      <c r="A1276" s="12" t="inlineStr">
        <is>
          <t>RET-0115</t>
        </is>
      </c>
      <c r="B1276" s="12" t="inlineStr">
        <is>
          <t>VS17</t>
        </is>
      </c>
      <c r="C1276" s="28" t="n">
        <v>0.0104</v>
      </c>
      <c r="D1276" s="12" t="inlineStr">
        <is>
          <t>PO-2022-2302</t>
        </is>
      </c>
      <c r="E1276" s="12" t="n">
        <v>1.42</v>
      </c>
      <c r="F1276" s="17" t="n">
        <v>118652.73</v>
      </c>
      <c r="G1276" s="14">
        <f>E1276*F1276</f>
        <v/>
      </c>
      <c r="H1276" s="14">
        <f>C1276*G1276</f>
        <v/>
      </c>
    </row>
    <row r="1277">
      <c r="A1277" s="12" t="inlineStr">
        <is>
          <t>RET-0115</t>
        </is>
      </c>
      <c r="B1277" s="12" t="inlineStr">
        <is>
          <t>VS18</t>
        </is>
      </c>
      <c r="C1277" s="28" t="n">
        <v>0.0072</v>
      </c>
      <c r="D1277" s="12" t="inlineStr">
        <is>
          <t>PO-2023-4355</t>
        </is>
      </c>
      <c r="E1277" s="12" t="n">
        <v>1.42</v>
      </c>
      <c r="F1277" s="17" t="n">
        <v>82163.05</v>
      </c>
      <c r="G1277" s="14">
        <f>E1277*F1277</f>
        <v/>
      </c>
      <c r="H1277" s="14">
        <f>C1277*G1277</f>
        <v/>
      </c>
    </row>
    <row r="1278">
      <c r="A1278" s="12" t="inlineStr">
        <is>
          <t>RET-0115</t>
        </is>
      </c>
      <c r="B1278" s="12" t="inlineStr">
        <is>
          <t>VS19</t>
        </is>
      </c>
      <c r="C1278" s="28" t="n">
        <v>0.2455</v>
      </c>
      <c r="D1278" s="12" t="inlineStr">
        <is>
          <t>PO-2021-0999</t>
        </is>
      </c>
      <c r="E1278" s="12" t="n">
        <v>1.42</v>
      </c>
      <c r="F1278" s="17" t="n">
        <v>72874.98</v>
      </c>
      <c r="G1278" s="14">
        <f>E1278*F1278</f>
        <v/>
      </c>
      <c r="H1278" s="14">
        <f>C1278*G1278</f>
        <v/>
      </c>
    </row>
    <row r="1279">
      <c r="A1279" s="12" t="inlineStr">
        <is>
          <t>RET-0115</t>
        </is>
      </c>
      <c r="B1279" s="12" t="inlineStr">
        <is>
          <t>VS20</t>
        </is>
      </c>
      <c r="C1279" s="28" t="n">
        <v>0.004</v>
      </c>
      <c r="D1279" s="12" t="inlineStr">
        <is>
          <t>PO-2023-3249</t>
        </is>
      </c>
      <c r="E1279" s="12" t="n">
        <v>1.42</v>
      </c>
      <c r="F1279" s="17" t="n">
        <v>83437.06</v>
      </c>
      <c r="G1279" s="14">
        <f>E1279*F1279</f>
        <v/>
      </c>
      <c r="H1279" s="14">
        <f>C1279*G1279</f>
        <v/>
      </c>
    </row>
    <row r="1280">
      <c r="A1280" s="12" t="inlineStr">
        <is>
          <t>RET-0115</t>
        </is>
      </c>
      <c r="B1280" s="12" t="inlineStr">
        <is>
          <t>VS21</t>
        </is>
      </c>
      <c r="C1280" s="28" t="n">
        <v>0.004</v>
      </c>
      <c r="D1280" s="12" t="inlineStr">
        <is>
          <t>PO-2023-4716</t>
        </is>
      </c>
      <c r="E1280" s="12" t="n">
        <v>1.42</v>
      </c>
      <c r="F1280" s="17" t="n">
        <v>109567.15</v>
      </c>
      <c r="G1280" s="14">
        <f>E1280*F1280</f>
        <v/>
      </c>
      <c r="H1280" s="14">
        <f>C1280*G1280</f>
        <v/>
      </c>
    </row>
    <row r="1281">
      <c r="A1281" s="12" t="inlineStr">
        <is>
          <t>RET-0115</t>
        </is>
      </c>
      <c r="B1281" s="12" t="inlineStr">
        <is>
          <t>VS22</t>
        </is>
      </c>
      <c r="C1281" s="28" t="n">
        <v>0.0024</v>
      </c>
      <c r="D1281" s="12" t="inlineStr">
        <is>
          <t>PO-2022-3183</t>
        </is>
      </c>
      <c r="E1281" s="12" t="n">
        <v>1.42</v>
      </c>
      <c r="F1281" s="17" t="n">
        <v>62994.69</v>
      </c>
      <c r="G1281" s="14">
        <f>E1281*F1281</f>
        <v/>
      </c>
      <c r="H1281" s="14">
        <f>C1281*G1281</f>
        <v/>
      </c>
    </row>
    <row r="1282">
      <c r="A1282" s="12" t="inlineStr">
        <is>
          <t>RET-0115</t>
        </is>
      </c>
      <c r="B1282" s="12" t="inlineStr">
        <is>
          <t>VS23</t>
        </is>
      </c>
      <c r="C1282" s="28" t="n">
        <v>0.004</v>
      </c>
      <c r="D1282" s="12" t="inlineStr">
        <is>
          <t>PO-2023-3213</t>
        </is>
      </c>
      <c r="E1282" s="12" t="n">
        <v>1.42</v>
      </c>
      <c r="F1282" s="17" t="n">
        <v>56126.89</v>
      </c>
      <c r="G1282" s="14">
        <f>E1282*F1282</f>
        <v/>
      </c>
      <c r="H1282" s="14">
        <f>C1282*G1282</f>
        <v/>
      </c>
    </row>
    <row r="1283">
      <c r="A1283" s="12" t="inlineStr">
        <is>
          <t>RET-0115</t>
        </is>
      </c>
      <c r="B1283" s="12" t="inlineStr">
        <is>
          <t>VS24</t>
        </is>
      </c>
      <c r="C1283" s="28" t="n">
        <v>0.004</v>
      </c>
      <c r="D1283" s="12" t="inlineStr">
        <is>
          <t>PO-2023-4459</t>
        </is>
      </c>
      <c r="E1283" s="12" t="n">
        <v>1.42</v>
      </c>
      <c r="F1283" s="17" t="n">
        <v>65562.3</v>
      </c>
      <c r="G1283" s="14">
        <f>E1283*F1283</f>
        <v/>
      </c>
      <c r="H1283" s="14">
        <f>C1283*G1283</f>
        <v/>
      </c>
    </row>
    <row r="1284">
      <c r="A1284" s="12" t="inlineStr">
        <is>
          <t>RET-0115</t>
        </is>
      </c>
      <c r="B1284" s="12" t="inlineStr">
        <is>
          <t>VS25</t>
        </is>
      </c>
      <c r="C1284" s="28" t="n">
        <v>0.0073</v>
      </c>
      <c r="D1284" s="12" t="inlineStr">
        <is>
          <t>PO-2022-2245</t>
        </is>
      </c>
      <c r="E1284" s="12" t="n">
        <v>1.42</v>
      </c>
      <c r="F1284" s="17" t="n">
        <v>85332.28</v>
      </c>
      <c r="G1284" s="14">
        <f>E1284*F1284</f>
        <v/>
      </c>
      <c r="H1284" s="14">
        <f>C1284*G1284</f>
        <v/>
      </c>
    </row>
    <row r="1285">
      <c r="A1285" s="12" t="inlineStr">
        <is>
          <t>RET-0115</t>
        </is>
      </c>
      <c r="B1285" s="12" t="inlineStr">
        <is>
          <t>VS26</t>
        </is>
      </c>
      <c r="C1285" s="28" t="n">
        <v>0.004</v>
      </c>
      <c r="D1285" s="12" t="inlineStr">
        <is>
          <t>PO-2022-3157</t>
        </is>
      </c>
      <c r="E1285" s="12" t="n">
        <v>1.118</v>
      </c>
      <c r="F1285" s="17" t="n">
        <v>118827.09</v>
      </c>
      <c r="G1285" s="14">
        <f>E1285*F1285</f>
        <v/>
      </c>
      <c r="H1285" s="14">
        <f>C1285*G1285</f>
        <v/>
      </c>
    </row>
    <row r="1286">
      <c r="A1286" s="12" t="inlineStr">
        <is>
          <t>RET-0115</t>
        </is>
      </c>
      <c r="B1286" s="12" t="inlineStr">
        <is>
          <t>VS27</t>
        </is>
      </c>
      <c r="C1286" s="28" t="n">
        <v>0.004</v>
      </c>
      <c r="D1286" s="12" t="inlineStr">
        <is>
          <t>PO-2023-3817</t>
        </is>
      </c>
      <c r="E1286" s="12" t="n">
        <v>1.42</v>
      </c>
      <c r="F1286" s="17" t="n">
        <v>111177.24</v>
      </c>
      <c r="G1286" s="14">
        <f>E1286*F1286</f>
        <v/>
      </c>
      <c r="H1286" s="14">
        <f>C1286*G1286</f>
        <v/>
      </c>
    </row>
    <row r="1287">
      <c r="A1287" s="12" t="inlineStr">
        <is>
          <t>RET-0115</t>
        </is>
      </c>
      <c r="B1287" s="12" t="inlineStr">
        <is>
          <t>VS28</t>
        </is>
      </c>
      <c r="C1287" s="28" t="n">
        <v>0.008800000000000001</v>
      </c>
      <c r="D1287" s="12" t="inlineStr">
        <is>
          <t>PO-2023-4170</t>
        </is>
      </c>
      <c r="E1287" s="12" t="n">
        <v>1.42</v>
      </c>
      <c r="F1287" s="17" t="n">
        <v>62913.16</v>
      </c>
      <c r="G1287" s="14">
        <f>E1287*F1287</f>
        <v/>
      </c>
      <c r="H1287" s="14">
        <f>C1287*G1287</f>
        <v/>
      </c>
    </row>
    <row r="1288">
      <c r="A1288" s="12" t="inlineStr">
        <is>
          <t>RET-0115</t>
        </is>
      </c>
      <c r="B1288" s="12" t="inlineStr">
        <is>
          <t>VS29</t>
        </is>
      </c>
      <c r="C1288" s="28" t="n">
        <v>0.0056</v>
      </c>
      <c r="D1288" s="12" t="inlineStr">
        <is>
          <t>PO-2021-0784</t>
        </is>
      </c>
      <c r="E1288" s="12" t="n">
        <v>1.42</v>
      </c>
      <c r="F1288" s="17" t="n">
        <v>73332.67</v>
      </c>
      <c r="G1288" s="14">
        <f>E1288*F1288</f>
        <v/>
      </c>
      <c r="H1288" s="14">
        <f>C1288*G1288</f>
        <v/>
      </c>
    </row>
    <row r="1289">
      <c r="A1289" s="12" t="inlineStr">
        <is>
          <t>RET-0115</t>
        </is>
      </c>
      <c r="B1289" s="12" t="inlineStr">
        <is>
          <t>VS30</t>
        </is>
      </c>
      <c r="C1289" s="28" t="n">
        <v>0.0024</v>
      </c>
      <c r="D1289" s="12" t="inlineStr">
        <is>
          <t>PO-2021-1328</t>
        </is>
      </c>
      <c r="E1289" s="12" t="n">
        <v>1.42</v>
      </c>
      <c r="F1289" s="17" t="n">
        <v>100093.96</v>
      </c>
      <c r="G1289" s="14">
        <f>E1289*F1289</f>
        <v/>
      </c>
      <c r="H1289" s="14">
        <f>C1289*G1289</f>
        <v/>
      </c>
    </row>
    <row r="1290">
      <c r="A1290" s="12" t="inlineStr">
        <is>
          <t>RET-0115</t>
        </is>
      </c>
      <c r="B1290" s="12" t="inlineStr">
        <is>
          <t>VS31</t>
        </is>
      </c>
      <c r="C1290" s="28" t="n">
        <v>0.008800000000000001</v>
      </c>
      <c r="D1290" s="12" t="inlineStr">
        <is>
          <t>PO-2023-4053</t>
        </is>
      </c>
      <c r="E1290" s="12" t="n">
        <v>1.42</v>
      </c>
      <c r="F1290" s="17" t="n">
        <v>82952.39</v>
      </c>
      <c r="G1290" s="14">
        <f>E1290*F1290</f>
        <v/>
      </c>
      <c r="H1290" s="14">
        <f>C1290*G1290</f>
        <v/>
      </c>
    </row>
    <row r="1291">
      <c r="A1291" s="12" t="inlineStr">
        <is>
          <t>RET-0115</t>
        </is>
      </c>
      <c r="B1291" s="12" t="inlineStr">
        <is>
          <t>VS32</t>
        </is>
      </c>
      <c r="C1291" s="28" t="n">
        <v>0.0105</v>
      </c>
      <c r="D1291" s="12" t="inlineStr">
        <is>
          <t>PO-2021-1297</t>
        </is>
      </c>
      <c r="E1291" s="12" t="n">
        <v>0</v>
      </c>
      <c r="F1291" s="17" t="n">
        <v>118819.77</v>
      </c>
      <c r="G1291" s="14">
        <f>E1291*F1291</f>
        <v/>
      </c>
      <c r="H1291" s="14">
        <f>C1291*G1291</f>
        <v/>
      </c>
    </row>
    <row r="1292">
      <c r="A1292" s="12" t="inlineStr">
        <is>
          <t>RET-0115</t>
        </is>
      </c>
      <c r="B1292" s="12" t="inlineStr">
        <is>
          <t>VS33</t>
        </is>
      </c>
      <c r="C1292" s="28" t="n">
        <v>0.0056</v>
      </c>
      <c r="D1292" s="12" t="inlineStr">
        <is>
          <t>PO-2021-1492</t>
        </is>
      </c>
      <c r="E1292" s="12" t="n">
        <v>1.42</v>
      </c>
      <c r="F1292" s="17" t="n">
        <v>94696.27</v>
      </c>
      <c r="G1292" s="14">
        <f>E1292*F1292</f>
        <v/>
      </c>
      <c r="H1292" s="14">
        <f>C1292*G1292</f>
        <v/>
      </c>
    </row>
    <row r="1293">
      <c r="A1293" s="12" t="inlineStr">
        <is>
          <t>RET-0115</t>
        </is>
      </c>
      <c r="B1293" s="12" t="inlineStr">
        <is>
          <t>VS34</t>
        </is>
      </c>
      <c r="C1293" s="28" t="n">
        <v>0.0072</v>
      </c>
      <c r="D1293" s="12" t="inlineStr">
        <is>
          <t>PO-2022-2799</t>
        </is>
      </c>
      <c r="E1293" s="12" t="n">
        <v>1.42</v>
      </c>
      <c r="F1293" s="17" t="n">
        <v>101232.34</v>
      </c>
      <c r="G1293" s="14">
        <f>E1293*F1293</f>
        <v/>
      </c>
      <c r="H1293" s="14">
        <f>C1293*G1293</f>
        <v/>
      </c>
    </row>
    <row r="1294">
      <c r="A1294" s="12" t="inlineStr">
        <is>
          <t>RET-0119</t>
        </is>
      </c>
      <c r="B1294" s="12" t="inlineStr">
        <is>
          <t>VS01</t>
        </is>
      </c>
      <c r="C1294" s="28" t="n">
        <v>0.0233</v>
      </c>
      <c r="D1294" s="12" t="inlineStr">
        <is>
          <t>PO-2023-3399</t>
        </is>
      </c>
      <c r="E1294" s="12" t="n">
        <v>1.03</v>
      </c>
      <c r="F1294" s="17" t="n">
        <v>48444.32</v>
      </c>
      <c r="G1294" s="14">
        <f>E1294*F1294</f>
        <v/>
      </c>
      <c r="H1294" s="14">
        <f>C1294*G1294</f>
        <v/>
      </c>
    </row>
    <row r="1295">
      <c r="A1295" s="12" t="inlineStr">
        <is>
          <t>RET-0119</t>
        </is>
      </c>
      <c r="B1295" s="12" t="inlineStr">
        <is>
          <t>VS02</t>
        </is>
      </c>
      <c r="C1295" s="28" t="n">
        <v>0.0106</v>
      </c>
      <c r="D1295" s="12" t="inlineStr">
        <is>
          <t>PO-2022-2754</t>
        </is>
      </c>
      <c r="E1295" s="12" t="n">
        <v>3</v>
      </c>
      <c r="F1295" s="17" t="n">
        <v>73139.36</v>
      </c>
      <c r="G1295" s="14">
        <f>E1295*F1295</f>
        <v/>
      </c>
      <c r="H1295" s="14">
        <f>C1295*G1295</f>
        <v/>
      </c>
    </row>
    <row r="1296">
      <c r="A1296" s="12" t="inlineStr">
        <is>
          <t>RET-0119</t>
        </is>
      </c>
      <c r="B1296" s="12" t="inlineStr">
        <is>
          <t>VS03</t>
        </is>
      </c>
      <c r="C1296" s="28" t="n">
        <v>0.1418</v>
      </c>
      <c r="D1296" s="12" t="inlineStr">
        <is>
          <t>PO-2021-0935</t>
        </is>
      </c>
      <c r="E1296" s="12" t="n">
        <v>3</v>
      </c>
      <c r="F1296" s="17" t="n">
        <v>101780.84</v>
      </c>
      <c r="G1296" s="14">
        <f>E1296*F1296</f>
        <v/>
      </c>
      <c r="H1296" s="14">
        <f>C1296*G1296</f>
        <v/>
      </c>
    </row>
    <row r="1297">
      <c r="A1297" s="12" t="inlineStr">
        <is>
          <t>RET-0119</t>
        </is>
      </c>
      <c r="B1297" s="12" t="inlineStr">
        <is>
          <t>VS04</t>
        </is>
      </c>
      <c r="C1297" s="28" t="n">
        <v>0.0146</v>
      </c>
      <c r="D1297" s="12" t="inlineStr">
        <is>
          <t>PO-2023-3204</t>
        </is>
      </c>
      <c r="E1297" s="12" t="n">
        <v>3</v>
      </c>
      <c r="F1297" s="17" t="n">
        <v>92197.48</v>
      </c>
      <c r="G1297" s="14">
        <f>E1297*F1297</f>
        <v/>
      </c>
      <c r="H1297" s="14">
        <f>C1297*G1297</f>
        <v/>
      </c>
    </row>
    <row r="1298">
      <c r="A1298" s="12" t="inlineStr">
        <is>
          <t>RET-0119</t>
        </is>
      </c>
      <c r="B1298" s="12" t="inlineStr">
        <is>
          <t>VS05</t>
        </is>
      </c>
      <c r="C1298" s="28" t="n">
        <v>0.019</v>
      </c>
      <c r="D1298" s="12" t="inlineStr">
        <is>
          <t>PO-2023-4215</t>
        </is>
      </c>
      <c r="E1298" s="12" t="n">
        <v>3</v>
      </c>
      <c r="F1298" s="17" t="n">
        <v>76528.39999999999</v>
      </c>
      <c r="G1298" s="14">
        <f>E1298*F1298</f>
        <v/>
      </c>
      <c r="H1298" s="14">
        <f>C1298*G1298</f>
        <v/>
      </c>
    </row>
    <row r="1299">
      <c r="A1299" s="12" t="inlineStr">
        <is>
          <t>RET-0119</t>
        </is>
      </c>
      <c r="B1299" s="12" t="inlineStr">
        <is>
          <t>VS06</t>
        </is>
      </c>
      <c r="C1299" s="28" t="n">
        <v>0.0191</v>
      </c>
      <c r="D1299" s="12" t="inlineStr">
        <is>
          <t>PO-2022-2912</t>
        </is>
      </c>
      <c r="E1299" s="12" t="n">
        <v>3</v>
      </c>
      <c r="F1299" s="17" t="n">
        <v>66579.39999999999</v>
      </c>
      <c r="G1299" s="14">
        <f>E1299*F1299</f>
        <v/>
      </c>
      <c r="H1299" s="14">
        <f>C1299*G1299</f>
        <v/>
      </c>
    </row>
    <row r="1300">
      <c r="A1300" s="12" t="inlineStr">
        <is>
          <t>RET-0119</t>
        </is>
      </c>
      <c r="B1300" s="12" t="inlineStr">
        <is>
          <t>VS07</t>
        </is>
      </c>
      <c r="C1300" s="28" t="n">
        <v>0.0064</v>
      </c>
      <c r="D1300" s="12" t="inlineStr">
        <is>
          <t>PO-2022-3097</t>
        </is>
      </c>
      <c r="E1300" s="12" t="n">
        <v>3</v>
      </c>
      <c r="F1300" s="17" t="n">
        <v>97487.78999999999</v>
      </c>
      <c r="G1300" s="14">
        <f>E1300*F1300</f>
        <v/>
      </c>
      <c r="H1300" s="14">
        <f>C1300*G1300</f>
        <v/>
      </c>
    </row>
    <row r="1301">
      <c r="A1301" s="12" t="inlineStr">
        <is>
          <t>RET-0119</t>
        </is>
      </c>
      <c r="B1301" s="12" t="inlineStr">
        <is>
          <t>VS08</t>
        </is>
      </c>
      <c r="C1301" s="28" t="n">
        <v>0.0193</v>
      </c>
      <c r="D1301" s="12" t="inlineStr">
        <is>
          <t>PO-2022-2590</t>
        </is>
      </c>
      <c r="E1301" s="12" t="n">
        <v>3</v>
      </c>
      <c r="F1301" s="17" t="n">
        <v>92856.02</v>
      </c>
      <c r="G1301" s="14">
        <f>E1301*F1301</f>
        <v/>
      </c>
      <c r="H1301" s="14">
        <f>C1301*G1301</f>
        <v/>
      </c>
    </row>
    <row r="1302">
      <c r="A1302" s="12" t="inlineStr">
        <is>
          <t>RET-0119</t>
        </is>
      </c>
      <c r="B1302" s="12" t="inlineStr">
        <is>
          <t>VS09</t>
        </is>
      </c>
      <c r="C1302" s="28" t="n">
        <v>0.0148</v>
      </c>
      <c r="D1302" s="12" t="inlineStr">
        <is>
          <t>PO-2021-0531</t>
        </is>
      </c>
      <c r="E1302" s="12" t="n">
        <v>3</v>
      </c>
      <c r="F1302" s="17" t="n">
        <v>119121</v>
      </c>
      <c r="G1302" s="14">
        <f>E1302*F1302</f>
        <v/>
      </c>
      <c r="H1302" s="14">
        <f>C1302*G1302</f>
        <v/>
      </c>
    </row>
    <row r="1303">
      <c r="A1303" s="12" t="inlineStr">
        <is>
          <t>RET-0119</t>
        </is>
      </c>
      <c r="B1303" s="12" t="inlineStr">
        <is>
          <t>VS10</t>
        </is>
      </c>
      <c r="C1303" s="28" t="n">
        <v>0.0233</v>
      </c>
      <c r="D1303" s="12" t="inlineStr">
        <is>
          <t>PO-2021-0628</t>
        </is>
      </c>
      <c r="E1303" s="12" t="n">
        <v>3</v>
      </c>
      <c r="F1303" s="17" t="n">
        <v>59992.68</v>
      </c>
      <c r="G1303" s="14">
        <f>E1303*F1303</f>
        <v/>
      </c>
      <c r="H1303" s="14">
        <f>C1303*G1303</f>
        <v/>
      </c>
    </row>
    <row r="1304">
      <c r="A1304" s="12" t="inlineStr">
        <is>
          <t>RET-0119</t>
        </is>
      </c>
      <c r="B1304" s="12" t="inlineStr">
        <is>
          <t>VS11</t>
        </is>
      </c>
      <c r="C1304" s="28" t="n">
        <v>0.0272</v>
      </c>
      <c r="D1304" s="12" t="inlineStr">
        <is>
          <t>PO-2021-0431</t>
        </is>
      </c>
      <c r="E1304" s="12" t="n">
        <v>3</v>
      </c>
      <c r="F1304" s="17" t="n">
        <v>67913.19</v>
      </c>
      <c r="G1304" s="14">
        <f>E1304*F1304</f>
        <v/>
      </c>
      <c r="H1304" s="14">
        <f>C1304*G1304</f>
        <v/>
      </c>
    </row>
    <row r="1305">
      <c r="A1305" s="12" t="inlineStr">
        <is>
          <t>RET-0119</t>
        </is>
      </c>
      <c r="B1305" s="12" t="inlineStr">
        <is>
          <t>VS12</t>
        </is>
      </c>
      <c r="C1305" s="28" t="n">
        <v>0.1971</v>
      </c>
      <c r="D1305" s="12" t="inlineStr">
        <is>
          <t>PO-2023-3239</t>
        </is>
      </c>
      <c r="E1305" s="12" t="n">
        <v>3</v>
      </c>
      <c r="F1305" s="17" t="n">
        <v>46841.18</v>
      </c>
      <c r="G1305" s="14">
        <f>E1305*F1305</f>
        <v/>
      </c>
      <c r="H1305" s="14">
        <f>C1305*G1305</f>
        <v/>
      </c>
    </row>
    <row r="1306">
      <c r="A1306" s="12" t="inlineStr">
        <is>
          <t>RET-0119</t>
        </is>
      </c>
      <c r="B1306" s="12" t="inlineStr">
        <is>
          <t>VS13</t>
        </is>
      </c>
      <c r="C1306" s="28" t="n">
        <v>0.0188</v>
      </c>
      <c r="D1306" s="12" t="inlineStr">
        <is>
          <t>PO-2022-3014</t>
        </is>
      </c>
      <c r="E1306" s="12" t="n">
        <v>3</v>
      </c>
      <c r="F1306" s="17" t="n">
        <v>119574.75</v>
      </c>
      <c r="G1306" s="14">
        <f>E1306*F1306</f>
        <v/>
      </c>
      <c r="H1306" s="14">
        <f>C1306*G1306</f>
        <v/>
      </c>
    </row>
    <row r="1307">
      <c r="A1307" s="12" t="inlineStr">
        <is>
          <t>RET-0119</t>
        </is>
      </c>
      <c r="B1307" s="12" t="inlineStr">
        <is>
          <t>VS14</t>
        </is>
      </c>
      <c r="C1307" s="28" t="n">
        <v>0.0189</v>
      </c>
      <c r="D1307" s="12" t="inlineStr">
        <is>
          <t>PO-2023-3509</t>
        </is>
      </c>
      <c r="E1307" s="12" t="n">
        <v>3</v>
      </c>
      <c r="F1307" s="17" t="n">
        <v>56198.2</v>
      </c>
      <c r="G1307" s="14">
        <f>E1307*F1307</f>
        <v/>
      </c>
      <c r="H1307" s="14">
        <f>C1307*G1307</f>
        <v/>
      </c>
    </row>
    <row r="1308">
      <c r="A1308" s="12" t="inlineStr">
        <is>
          <t>RET-0119</t>
        </is>
      </c>
      <c r="B1308" s="12" t="inlineStr">
        <is>
          <t>VS15</t>
        </is>
      </c>
      <c r="C1308" s="28" t="n">
        <v>0.0063</v>
      </c>
      <c r="D1308" s="12" t="inlineStr">
        <is>
          <t>PO-2022-2991</t>
        </is>
      </c>
      <c r="E1308" s="12" t="n">
        <v>1.44</v>
      </c>
      <c r="F1308" s="17" t="n">
        <v>114893.66</v>
      </c>
      <c r="G1308" s="14">
        <f>E1308*F1308</f>
        <v/>
      </c>
      <c r="H1308" s="14">
        <f>C1308*G1308</f>
        <v/>
      </c>
    </row>
    <row r="1309">
      <c r="A1309" s="12" t="inlineStr">
        <is>
          <t>RET-0119</t>
        </is>
      </c>
      <c r="B1309" s="12" t="inlineStr">
        <is>
          <t>VS16</t>
        </is>
      </c>
      <c r="C1309" s="28" t="n">
        <v>0.0273</v>
      </c>
      <c r="D1309" s="12" t="inlineStr">
        <is>
          <t>PO-2023-3693</t>
        </is>
      </c>
      <c r="E1309" s="12" t="n">
        <v>3</v>
      </c>
      <c r="F1309" s="17" t="n">
        <v>85666.03999999999</v>
      </c>
      <c r="G1309" s="14">
        <f>E1309*F1309</f>
        <v/>
      </c>
      <c r="H1309" s="14">
        <f>C1309*G1309</f>
        <v/>
      </c>
    </row>
    <row r="1310">
      <c r="A1310" s="12" t="inlineStr">
        <is>
          <t>RET-0119</t>
        </is>
      </c>
      <c r="B1310" s="12" t="inlineStr">
        <is>
          <t>VS17</t>
        </is>
      </c>
      <c r="C1310" s="28" t="n">
        <v>0.0272</v>
      </c>
      <c r="D1310" s="12" t="inlineStr">
        <is>
          <t>PO-2022-1674</t>
        </is>
      </c>
      <c r="E1310" s="12" t="n">
        <v>3</v>
      </c>
      <c r="F1310" s="17" t="n">
        <v>115123.19</v>
      </c>
      <c r="G1310" s="14">
        <f>E1310*F1310</f>
        <v/>
      </c>
      <c r="H1310" s="14">
        <f>C1310*G1310</f>
        <v/>
      </c>
    </row>
    <row r="1311">
      <c r="A1311" s="12" t="inlineStr">
        <is>
          <t>RET-0119</t>
        </is>
      </c>
      <c r="B1311" s="12" t="inlineStr">
        <is>
          <t>VS18</t>
        </is>
      </c>
      <c r="C1311" s="28" t="n">
        <v>0.019</v>
      </c>
      <c r="D1311" s="12" t="inlineStr">
        <is>
          <t>PO-2022-2176</t>
        </is>
      </c>
      <c r="E1311" s="12" t="n">
        <v>3</v>
      </c>
      <c r="F1311" s="17" t="n">
        <v>111833.76</v>
      </c>
      <c r="G1311" s="14">
        <f>E1311*F1311</f>
        <v/>
      </c>
      <c r="H1311" s="14">
        <f>C1311*G1311</f>
        <v/>
      </c>
    </row>
    <row r="1312">
      <c r="A1312" s="12" t="inlineStr">
        <is>
          <t>RET-0119</t>
        </is>
      </c>
      <c r="B1312" s="12" t="inlineStr">
        <is>
          <t>VS19</t>
        </is>
      </c>
      <c r="C1312" s="28" t="n">
        <v>0.1487</v>
      </c>
      <c r="D1312" s="12" t="inlineStr">
        <is>
          <t>PO-2023-4173</t>
        </is>
      </c>
      <c r="E1312" s="12" t="n">
        <v>3</v>
      </c>
      <c r="F1312" s="17" t="n">
        <v>65322.55</v>
      </c>
      <c r="G1312" s="14">
        <f>E1312*F1312</f>
        <v/>
      </c>
      <c r="H1312" s="14">
        <f>C1312*G1312</f>
        <v/>
      </c>
    </row>
    <row r="1313">
      <c r="A1313" s="12" t="inlineStr">
        <is>
          <t>RET-0119</t>
        </is>
      </c>
      <c r="B1313" s="12" t="inlineStr">
        <is>
          <t>VS20</t>
        </is>
      </c>
      <c r="C1313" s="28" t="n">
        <v>0.0106</v>
      </c>
      <c r="D1313" s="12" t="inlineStr">
        <is>
          <t>PO-2023-3844</t>
        </is>
      </c>
      <c r="E1313" s="12" t="n">
        <v>3</v>
      </c>
      <c r="F1313" s="17" t="n">
        <v>94366.83</v>
      </c>
      <c r="G1313" s="14">
        <f>E1313*F1313</f>
        <v/>
      </c>
      <c r="H1313" s="14">
        <f>C1313*G1313</f>
        <v/>
      </c>
    </row>
    <row r="1314">
      <c r="A1314" s="12" t="inlineStr">
        <is>
          <t>RET-0119</t>
        </is>
      </c>
      <c r="B1314" s="12" t="inlineStr">
        <is>
          <t>VS21</t>
        </is>
      </c>
      <c r="C1314" s="28" t="n">
        <v>0.0106</v>
      </c>
      <c r="D1314" s="12" t="inlineStr">
        <is>
          <t>PO-2021-0891</t>
        </is>
      </c>
      <c r="E1314" s="12" t="n">
        <v>3</v>
      </c>
      <c r="F1314" s="17" t="n">
        <v>51509.83</v>
      </c>
      <c r="G1314" s="14">
        <f>E1314*F1314</f>
        <v/>
      </c>
      <c r="H1314" s="14">
        <f>C1314*G1314</f>
        <v/>
      </c>
    </row>
    <row r="1315">
      <c r="A1315" s="12" t="inlineStr">
        <is>
          <t>RET-0119</t>
        </is>
      </c>
      <c r="B1315" s="12" t="inlineStr">
        <is>
          <t>VS22</t>
        </is>
      </c>
      <c r="C1315" s="28" t="n">
        <v>0.0063</v>
      </c>
      <c r="D1315" s="12" t="inlineStr">
        <is>
          <t>PO-2023-4439</t>
        </is>
      </c>
      <c r="E1315" s="12" t="n">
        <v>3</v>
      </c>
      <c r="F1315" s="17" t="n">
        <v>99082.77</v>
      </c>
      <c r="G1315" s="14">
        <f>E1315*F1315</f>
        <v/>
      </c>
      <c r="H1315" s="14">
        <f>C1315*G1315</f>
        <v/>
      </c>
    </row>
    <row r="1316">
      <c r="A1316" s="12" t="inlineStr">
        <is>
          <t>RET-0119</t>
        </is>
      </c>
      <c r="B1316" s="12" t="inlineStr">
        <is>
          <t>VS23</t>
        </is>
      </c>
      <c r="C1316" s="28" t="n">
        <v>0.0104</v>
      </c>
      <c r="D1316" s="12" t="inlineStr">
        <is>
          <t>PO-2023-4462</t>
        </is>
      </c>
      <c r="E1316" s="12" t="n">
        <v>3</v>
      </c>
      <c r="F1316" s="17" t="n">
        <v>68715.63</v>
      </c>
      <c r="G1316" s="14">
        <f>E1316*F1316</f>
        <v/>
      </c>
      <c r="H1316" s="14">
        <f>C1316*G1316</f>
        <v/>
      </c>
    </row>
    <row r="1317">
      <c r="A1317" s="12" t="inlineStr">
        <is>
          <t>RET-0119</t>
        </is>
      </c>
      <c r="B1317" s="12" t="inlineStr">
        <is>
          <t>VS24</t>
        </is>
      </c>
      <c r="C1317" s="28" t="n">
        <v>0.0105</v>
      </c>
      <c r="D1317" s="12" t="inlineStr">
        <is>
          <t>PO-2021-0612</t>
        </is>
      </c>
      <c r="E1317" s="12" t="n">
        <v>3</v>
      </c>
      <c r="F1317" s="17" t="n">
        <v>108323.81</v>
      </c>
      <c r="G1317" s="14">
        <f>E1317*F1317</f>
        <v/>
      </c>
      <c r="H1317" s="14">
        <f>C1317*G1317</f>
        <v/>
      </c>
    </row>
    <row r="1318">
      <c r="A1318" s="12" t="inlineStr">
        <is>
          <t>RET-0119</t>
        </is>
      </c>
      <c r="B1318" s="12" t="inlineStr">
        <is>
          <t>VS25</t>
        </is>
      </c>
      <c r="C1318" s="28" t="n">
        <v>0.0191</v>
      </c>
      <c r="D1318" s="12" t="inlineStr">
        <is>
          <t>PO-2021-0241</t>
        </is>
      </c>
      <c r="E1318" s="12" t="n">
        <v>3</v>
      </c>
      <c r="F1318" s="17" t="n">
        <v>95929.64999999999</v>
      </c>
      <c r="G1318" s="14">
        <f>E1318*F1318</f>
        <v/>
      </c>
      <c r="H1318" s="14">
        <f>C1318*G1318</f>
        <v/>
      </c>
    </row>
    <row r="1319">
      <c r="A1319" s="12" t="inlineStr">
        <is>
          <t>RET-0119</t>
        </is>
      </c>
      <c r="B1319" s="12" t="inlineStr">
        <is>
          <t>VS26</t>
        </is>
      </c>
      <c r="C1319" s="28" t="n">
        <v>0.0106</v>
      </c>
      <c r="D1319" s="12" t="inlineStr">
        <is>
          <t>PO-2022-2251</t>
        </is>
      </c>
      <c r="E1319" s="12" t="n">
        <v>3</v>
      </c>
      <c r="F1319" s="17" t="n">
        <v>89906.37</v>
      </c>
      <c r="G1319" s="14">
        <f>E1319*F1319</f>
        <v/>
      </c>
      <c r="H1319" s="14">
        <f>C1319*G1319</f>
        <v/>
      </c>
    </row>
    <row r="1320">
      <c r="A1320" s="12" t="inlineStr">
        <is>
          <t>RET-0119</t>
        </is>
      </c>
      <c r="B1320" s="12" t="inlineStr">
        <is>
          <t>VS27</t>
        </is>
      </c>
      <c r="C1320" s="28" t="n">
        <v>0.0104</v>
      </c>
      <c r="D1320" s="12" t="inlineStr">
        <is>
          <t>PO-2023-3316</t>
        </is>
      </c>
      <c r="E1320" s="12" t="n">
        <v>3</v>
      </c>
      <c r="F1320" s="17" t="n">
        <v>111814.16</v>
      </c>
      <c r="G1320" s="14">
        <f>E1320*F1320</f>
        <v/>
      </c>
      <c r="H1320" s="14">
        <f>C1320*G1320</f>
        <v/>
      </c>
    </row>
    <row r="1321">
      <c r="A1321" s="12" t="inlineStr">
        <is>
          <t>RET-0119</t>
        </is>
      </c>
      <c r="B1321" s="12" t="inlineStr">
        <is>
          <t>VS28</t>
        </is>
      </c>
      <c r="C1321" s="28" t="n">
        <v>0.0233</v>
      </c>
      <c r="D1321" s="12" t="inlineStr">
        <is>
          <t>PO-2022-3112</t>
        </is>
      </c>
      <c r="E1321" s="12" t="n">
        <v>3</v>
      </c>
      <c r="F1321" s="17" t="n">
        <v>97404.73</v>
      </c>
      <c r="G1321" s="14">
        <f>E1321*F1321</f>
        <v/>
      </c>
      <c r="H1321" s="14">
        <f>C1321*G1321</f>
        <v/>
      </c>
    </row>
    <row r="1322">
      <c r="A1322" s="12" t="inlineStr">
        <is>
          <t>RET-0119</t>
        </is>
      </c>
      <c r="B1322" s="12" t="inlineStr">
        <is>
          <t>VS29</t>
        </is>
      </c>
      <c r="C1322" s="28" t="n">
        <v>0.0148</v>
      </c>
      <c r="D1322" s="12" t="inlineStr">
        <is>
          <t>PO-2023-4042</t>
        </is>
      </c>
      <c r="E1322" s="12" t="n">
        <v>3</v>
      </c>
      <c r="F1322" s="17" t="n">
        <v>93278.06</v>
      </c>
      <c r="G1322" s="14">
        <f>E1322*F1322</f>
        <v/>
      </c>
      <c r="H1322" s="14">
        <f>C1322*G1322</f>
        <v/>
      </c>
    </row>
    <row r="1323">
      <c r="A1323" s="12" t="inlineStr">
        <is>
          <t>RET-0119</t>
        </is>
      </c>
      <c r="B1323" s="12" t="inlineStr">
        <is>
          <t>VS30</t>
        </is>
      </c>
      <c r="C1323" s="28" t="n">
        <v>0.0064</v>
      </c>
      <c r="D1323" s="12" t="inlineStr">
        <is>
          <t>PO-2023-4037</t>
        </is>
      </c>
      <c r="E1323" s="12" t="n">
        <v>3</v>
      </c>
      <c r="F1323" s="17" t="n">
        <v>68713.71000000001</v>
      </c>
      <c r="G1323" s="14">
        <f>E1323*F1323</f>
        <v/>
      </c>
      <c r="H1323" s="14">
        <f>C1323*G1323</f>
        <v/>
      </c>
    </row>
    <row r="1324">
      <c r="A1324" s="12" t="inlineStr">
        <is>
          <t>RET-0119</t>
        </is>
      </c>
      <c r="B1324" s="12" t="inlineStr">
        <is>
          <t>VS31</t>
        </is>
      </c>
      <c r="C1324" s="28" t="n">
        <v>0.0232</v>
      </c>
      <c r="D1324" s="12" t="inlineStr">
        <is>
          <t>PO-2023-3894</t>
        </is>
      </c>
      <c r="E1324" s="12" t="n">
        <v>3</v>
      </c>
      <c r="F1324" s="17" t="n">
        <v>95917.21000000001</v>
      </c>
      <c r="G1324" s="14">
        <f>E1324*F1324</f>
        <v/>
      </c>
      <c r="H1324" s="14">
        <f>C1324*G1324</f>
        <v/>
      </c>
    </row>
    <row r="1325">
      <c r="A1325" s="12" t="inlineStr">
        <is>
          <t>RET-0119</t>
        </is>
      </c>
      <c r="B1325" s="12" t="inlineStr">
        <is>
          <t>VS32</t>
        </is>
      </c>
      <c r="C1325" s="28" t="n">
        <v>0.0275</v>
      </c>
      <c r="D1325" s="12" t="inlineStr">
        <is>
          <t>PO-2022-2415</t>
        </is>
      </c>
      <c r="E1325" s="12" t="n">
        <v>3</v>
      </c>
      <c r="F1325" s="17" t="n">
        <v>71362.27</v>
      </c>
      <c r="G1325" s="14">
        <f>E1325*F1325</f>
        <v/>
      </c>
      <c r="H1325" s="14">
        <f>C1325*G1325</f>
        <v/>
      </c>
    </row>
    <row r="1326">
      <c r="A1326" s="12" t="inlineStr">
        <is>
          <t>RET-0119</t>
        </is>
      </c>
      <c r="B1326" s="12" t="inlineStr">
        <is>
          <t>VS33</t>
        </is>
      </c>
      <c r="C1326" s="28" t="n">
        <v>0.0147</v>
      </c>
      <c r="D1326" s="12" t="inlineStr">
        <is>
          <t>PO-2022-3032</t>
        </is>
      </c>
      <c r="E1326" s="12" t="n">
        <v>3</v>
      </c>
      <c r="F1326" s="17" t="n">
        <v>86778.44</v>
      </c>
      <c r="G1326" s="14">
        <f>E1326*F1326</f>
        <v/>
      </c>
      <c r="H1326" s="14">
        <f>C1326*G1326</f>
        <v/>
      </c>
    </row>
    <row r="1327">
      <c r="A1327" s="12" t="inlineStr">
        <is>
          <t>RET-0119</t>
        </is>
      </c>
      <c r="B1327" s="12" t="inlineStr">
        <is>
          <t>VS34</t>
        </is>
      </c>
      <c r="C1327" s="28" t="n">
        <v>0.019</v>
      </c>
      <c r="D1327" s="12" t="inlineStr">
        <is>
          <t>PO-2023-3206</t>
        </is>
      </c>
      <c r="E1327" s="12" t="n">
        <v>2.77</v>
      </c>
      <c r="F1327" s="17" t="n">
        <v>114058.11</v>
      </c>
      <c r="G1327" s="14">
        <f>E1327*F1327</f>
        <v/>
      </c>
      <c r="H1327" s="14">
        <f>C1327*G1327</f>
        <v/>
      </c>
    </row>
    <row r="1328">
      <c r="A1328" s="12" t="inlineStr">
        <is>
          <t>RET-0120</t>
        </is>
      </c>
      <c r="B1328" s="12" t="inlineStr">
        <is>
          <t>VS01</t>
        </is>
      </c>
      <c r="C1328" s="28" t="n">
        <v>0.0291</v>
      </c>
      <c r="D1328" s="12" t="inlineStr">
        <is>
          <t>PO-2022-2350</t>
        </is>
      </c>
      <c r="E1328" s="12" t="n">
        <v>1.08</v>
      </c>
      <c r="F1328" s="17" t="n">
        <v>91548.94</v>
      </c>
      <c r="G1328" s="14">
        <f>E1328*F1328</f>
        <v/>
      </c>
      <c r="H1328" s="14">
        <f>C1328*G1328</f>
        <v/>
      </c>
    </row>
    <row r="1329">
      <c r="A1329" s="12" t="inlineStr">
        <is>
          <t>RET-0120</t>
        </is>
      </c>
      <c r="B1329" s="12" t="inlineStr">
        <is>
          <t>VS02</t>
        </is>
      </c>
      <c r="C1329" s="28" t="n">
        <v>0.0132</v>
      </c>
      <c r="D1329" s="12" t="inlineStr">
        <is>
          <t>PO-2022-2861</t>
        </is>
      </c>
      <c r="E1329" s="12" t="n">
        <v>1.08</v>
      </c>
      <c r="F1329" s="17" t="n">
        <v>64042.22</v>
      </c>
      <c r="G1329" s="14">
        <f>E1329*F1329</f>
        <v/>
      </c>
      <c r="H1329" s="14">
        <f>C1329*G1329</f>
        <v/>
      </c>
    </row>
    <row r="1330">
      <c r="A1330" s="12" t="inlineStr">
        <is>
          <t>RET-0120</t>
        </is>
      </c>
      <c r="B1330" s="12" t="inlineStr">
        <is>
          <t>VS03</t>
        </is>
      </c>
      <c r="C1330" s="28" t="n">
        <v>0.1048</v>
      </c>
      <c r="D1330" s="12" t="inlineStr">
        <is>
          <t>PO-2021-0645</t>
        </is>
      </c>
      <c r="E1330" s="12" t="n">
        <v>1.08</v>
      </c>
      <c r="F1330" s="17" t="n">
        <v>108904.11</v>
      </c>
      <c r="G1330" s="14">
        <f>E1330*F1330</f>
        <v/>
      </c>
      <c r="H1330" s="14">
        <f>C1330*G1330</f>
        <v/>
      </c>
    </row>
    <row r="1331">
      <c r="A1331" s="12" t="inlineStr">
        <is>
          <t>RET-0120</t>
        </is>
      </c>
      <c r="B1331" s="12" t="inlineStr">
        <is>
          <t>VS04</t>
        </is>
      </c>
      <c r="C1331" s="28" t="n">
        <v>0.0182</v>
      </c>
      <c r="D1331" s="12" t="inlineStr">
        <is>
          <t>PO-2023-3927</t>
        </is>
      </c>
      <c r="E1331" s="12" t="n">
        <v>1.08</v>
      </c>
      <c r="F1331" s="17" t="n">
        <v>54233.12</v>
      </c>
      <c r="G1331" s="14">
        <f>E1331*F1331</f>
        <v/>
      </c>
      <c r="H1331" s="14">
        <f>C1331*G1331</f>
        <v/>
      </c>
    </row>
    <row r="1332">
      <c r="A1332" s="12" t="inlineStr">
        <is>
          <t>RET-0120</t>
        </is>
      </c>
      <c r="B1332" s="12" t="inlineStr">
        <is>
          <t>VS05</t>
        </is>
      </c>
      <c r="C1332" s="28" t="n">
        <v>0.0237</v>
      </c>
      <c r="D1332" s="12" t="inlineStr">
        <is>
          <t>PO-2022-1885</t>
        </is>
      </c>
      <c r="E1332" s="12" t="n">
        <v>1.08</v>
      </c>
      <c r="F1332" s="17" t="n">
        <v>70150.28999999999</v>
      </c>
      <c r="G1332" s="14">
        <f>E1332*F1332</f>
        <v/>
      </c>
      <c r="H1332" s="14">
        <f>C1332*G1332</f>
        <v/>
      </c>
    </row>
    <row r="1333">
      <c r="A1333" s="12" t="inlineStr">
        <is>
          <t>RET-0120</t>
        </is>
      </c>
      <c r="B1333" s="12" t="inlineStr">
        <is>
          <t>VS06</t>
        </is>
      </c>
      <c r="C1333" s="28" t="n">
        <v>0.0239</v>
      </c>
      <c r="D1333" s="12" t="inlineStr">
        <is>
          <t>PO-2022-2603</t>
        </is>
      </c>
      <c r="E1333" s="12" t="n">
        <v>1.08</v>
      </c>
      <c r="F1333" s="17" t="n">
        <v>93636.42999999999</v>
      </c>
      <c r="G1333" s="14">
        <f>E1333*F1333</f>
        <v/>
      </c>
      <c r="H1333" s="14">
        <f>C1333*G1333</f>
        <v/>
      </c>
    </row>
    <row r="1334">
      <c r="A1334" s="12" t="inlineStr">
        <is>
          <t>RET-0120</t>
        </is>
      </c>
      <c r="B1334" s="12" t="inlineStr">
        <is>
          <t>VS07</t>
        </is>
      </c>
      <c r="C1334" s="28" t="n">
        <v>0.008</v>
      </c>
      <c r="D1334" s="12" t="inlineStr">
        <is>
          <t>PO-2023-3842</t>
        </is>
      </c>
      <c r="E1334" s="12" t="n">
        <v>1.08</v>
      </c>
      <c r="F1334" s="17" t="n">
        <v>84591.00999999999</v>
      </c>
      <c r="G1334" s="14">
        <f>E1334*F1334</f>
        <v/>
      </c>
      <c r="H1334" s="14">
        <f>C1334*G1334</f>
        <v/>
      </c>
    </row>
    <row r="1335">
      <c r="A1335" s="12" t="inlineStr">
        <is>
          <t>RET-0120</t>
        </is>
      </c>
      <c r="B1335" s="12" t="inlineStr">
        <is>
          <t>VS08</t>
        </is>
      </c>
      <c r="C1335" s="28" t="n">
        <v>0.0241</v>
      </c>
      <c r="D1335" s="12" t="inlineStr">
        <is>
          <t>PO-2021-1003</t>
        </is>
      </c>
      <c r="E1335" s="12" t="n">
        <v>1.08</v>
      </c>
      <c r="F1335" s="17" t="n">
        <v>62783.88</v>
      </c>
      <c r="G1335" s="14">
        <f>E1335*F1335</f>
        <v/>
      </c>
      <c r="H1335" s="14">
        <f>C1335*G1335</f>
        <v/>
      </c>
    </row>
    <row r="1336">
      <c r="A1336" s="12" t="inlineStr">
        <is>
          <t>RET-0120</t>
        </is>
      </c>
      <c r="B1336" s="12" t="inlineStr">
        <is>
          <t>VS09</t>
        </is>
      </c>
      <c r="C1336" s="28" t="n">
        <v>0.0185</v>
      </c>
      <c r="D1336" s="12" t="inlineStr">
        <is>
          <t>PO-2021-1024</t>
        </is>
      </c>
      <c r="E1336" s="12" t="n">
        <v>1.08</v>
      </c>
      <c r="F1336" s="17" t="n">
        <v>53516.83</v>
      </c>
      <c r="G1336" s="14">
        <f>E1336*F1336</f>
        <v/>
      </c>
      <c r="H1336" s="14">
        <f>C1336*G1336</f>
        <v/>
      </c>
    </row>
    <row r="1337">
      <c r="A1337" s="12" t="inlineStr">
        <is>
          <t>RET-0120</t>
        </is>
      </c>
      <c r="B1337" s="12" t="inlineStr">
        <is>
          <t>VS10</t>
        </is>
      </c>
      <c r="C1337" s="28" t="n">
        <v>0.029</v>
      </c>
      <c r="D1337" s="12" t="inlineStr">
        <is>
          <t>PO-2023-3311</t>
        </is>
      </c>
      <c r="E1337" s="12" t="n">
        <v>1.08</v>
      </c>
      <c r="F1337" s="17" t="n">
        <v>105199.83</v>
      </c>
      <c r="G1337" s="14">
        <f>E1337*F1337</f>
        <v/>
      </c>
      <c r="H1337" s="14">
        <f>C1337*G1337</f>
        <v/>
      </c>
    </row>
    <row r="1338">
      <c r="A1338" s="12" t="inlineStr">
        <is>
          <t>RET-0120</t>
        </is>
      </c>
      <c r="B1338" s="12" t="inlineStr">
        <is>
          <t>VS11</t>
        </is>
      </c>
      <c r="C1338" s="28" t="n">
        <v>0.034</v>
      </c>
      <c r="D1338" s="12" t="inlineStr">
        <is>
          <t>PO-2022-2091</t>
        </is>
      </c>
      <c r="E1338" s="12" t="n">
        <v>1.08</v>
      </c>
      <c r="F1338" s="17" t="n">
        <v>118586.58</v>
      </c>
      <c r="G1338" s="14">
        <f>E1338*F1338</f>
        <v/>
      </c>
      <c r="H1338" s="14">
        <f>C1338*G1338</f>
        <v/>
      </c>
    </row>
    <row r="1339">
      <c r="A1339" s="12" t="inlineStr">
        <is>
          <t>RET-0120</t>
        </is>
      </c>
      <c r="B1339" s="12" t="inlineStr">
        <is>
          <t>VS12</t>
        </is>
      </c>
      <c r="C1339" s="28" t="n">
        <v>0.1457</v>
      </c>
      <c r="D1339" s="12" t="inlineStr">
        <is>
          <t>PO-2021-1153</t>
        </is>
      </c>
      <c r="E1339" s="12" t="n">
        <v>1.08</v>
      </c>
      <c r="F1339" s="17" t="n">
        <v>62295.77</v>
      </c>
      <c r="G1339" s="14">
        <f>E1339*F1339</f>
        <v/>
      </c>
      <c r="H1339" s="14">
        <f>C1339*G1339</f>
        <v/>
      </c>
    </row>
    <row r="1340">
      <c r="A1340" s="12" t="inlineStr">
        <is>
          <t>RET-0120</t>
        </is>
      </c>
      <c r="B1340" s="12" t="inlineStr">
        <is>
          <t>VS13</t>
        </is>
      </c>
      <c r="C1340" s="28" t="n">
        <v>0.0234</v>
      </c>
      <c r="D1340" s="12" t="inlineStr">
        <is>
          <t>PO-2023-3930</t>
        </is>
      </c>
      <c r="E1340" s="12" t="n">
        <v>1.08</v>
      </c>
      <c r="F1340" s="17" t="n">
        <v>82117.21000000001</v>
      </c>
      <c r="G1340" s="14">
        <f>E1340*F1340</f>
        <v/>
      </c>
      <c r="H1340" s="14">
        <f>C1340*G1340</f>
        <v/>
      </c>
    </row>
    <row r="1341">
      <c r="A1341" s="12" t="inlineStr">
        <is>
          <t>RET-0120</t>
        </is>
      </c>
      <c r="B1341" s="12" t="inlineStr">
        <is>
          <t>VS14</t>
        </is>
      </c>
      <c r="C1341" s="28" t="n">
        <v>0.0237</v>
      </c>
      <c r="D1341" s="12" t="inlineStr">
        <is>
          <t>PO-2023-3818</t>
        </is>
      </c>
      <c r="E1341" s="12" t="n">
        <v>1.08</v>
      </c>
      <c r="F1341" s="17" t="n">
        <v>73611.39</v>
      </c>
      <c r="G1341" s="14">
        <f>E1341*F1341</f>
        <v/>
      </c>
      <c r="H1341" s="14">
        <f>C1341*G1341</f>
        <v/>
      </c>
    </row>
    <row r="1342">
      <c r="A1342" s="12" t="inlineStr">
        <is>
          <t>RET-0120</t>
        </is>
      </c>
      <c r="B1342" s="12" t="inlineStr">
        <is>
          <t>VS15</t>
        </is>
      </c>
      <c r="C1342" s="28" t="n">
        <v>0.007900000000000001</v>
      </c>
      <c r="D1342" s="12" t="inlineStr">
        <is>
          <t>PO-2021-0723</t>
        </is>
      </c>
      <c r="E1342" s="12" t="n">
        <v>1.08</v>
      </c>
      <c r="F1342" s="17" t="n">
        <v>71482.22</v>
      </c>
      <c r="G1342" s="14">
        <f>E1342*F1342</f>
        <v/>
      </c>
      <c r="H1342" s="14">
        <f>C1342*G1342</f>
        <v/>
      </c>
    </row>
    <row r="1343">
      <c r="A1343" s="12" t="inlineStr">
        <is>
          <t>RET-0120</t>
        </is>
      </c>
      <c r="B1343" s="12" t="inlineStr">
        <is>
          <t>VS16</t>
        </is>
      </c>
      <c r="C1343" s="28" t="n">
        <v>0.0341</v>
      </c>
      <c r="D1343" s="12" t="inlineStr">
        <is>
          <t>PO-2023-3925</t>
        </is>
      </c>
      <c r="E1343" s="12" t="n">
        <v>1.08</v>
      </c>
      <c r="F1343" s="17" t="n">
        <v>87537.57000000001</v>
      </c>
      <c r="G1343" s="14">
        <f>E1343*F1343</f>
        <v/>
      </c>
      <c r="H1343" s="14">
        <f>C1343*G1343</f>
        <v/>
      </c>
    </row>
    <row r="1344">
      <c r="A1344" s="12" t="inlineStr">
        <is>
          <t>RET-0120</t>
        </is>
      </c>
      <c r="B1344" s="12" t="inlineStr">
        <is>
          <t>VS17</t>
        </is>
      </c>
      <c r="C1344" s="28" t="n">
        <v>0.034</v>
      </c>
      <c r="D1344" s="12" t="inlineStr">
        <is>
          <t>PO-2023-4321</t>
        </is>
      </c>
      <c r="E1344" s="12" t="n">
        <v>1.08</v>
      </c>
      <c r="F1344" s="17" t="n">
        <v>72823.14999999999</v>
      </c>
      <c r="G1344" s="14">
        <f>E1344*F1344</f>
        <v/>
      </c>
      <c r="H1344" s="14">
        <f>C1344*G1344</f>
        <v/>
      </c>
    </row>
    <row r="1345">
      <c r="A1345" s="12" t="inlineStr">
        <is>
          <t>RET-0120</t>
        </is>
      </c>
      <c r="B1345" s="12" t="inlineStr">
        <is>
          <t>VS18</t>
        </is>
      </c>
      <c r="C1345" s="28" t="n">
        <v>0.0237</v>
      </c>
      <c r="D1345" s="12" t="inlineStr">
        <is>
          <t>PO-2021-0048</t>
        </is>
      </c>
      <c r="E1345" s="12" t="n">
        <v>1.08</v>
      </c>
      <c r="F1345" s="17" t="n">
        <v>85511.42</v>
      </c>
      <c r="G1345" s="14">
        <f>E1345*F1345</f>
        <v/>
      </c>
      <c r="H1345" s="14">
        <f>C1345*G1345</f>
        <v/>
      </c>
    </row>
    <row r="1346">
      <c r="A1346" s="12" t="inlineStr">
        <is>
          <t>RET-0120</t>
        </is>
      </c>
      <c r="B1346" s="12" t="inlineStr">
        <is>
          <t>VS19</t>
        </is>
      </c>
      <c r="C1346" s="28" t="n">
        <v>0.1099</v>
      </c>
      <c r="D1346" s="12" t="inlineStr">
        <is>
          <t>PO-2023-3391</t>
        </is>
      </c>
      <c r="E1346" s="12" t="n">
        <v>1.08</v>
      </c>
      <c r="F1346" s="17" t="n">
        <v>93984.38</v>
      </c>
      <c r="G1346" s="14">
        <f>E1346*F1346</f>
        <v/>
      </c>
      <c r="H1346" s="14">
        <f>C1346*G1346</f>
        <v/>
      </c>
    </row>
    <row r="1347">
      <c r="A1347" s="12" t="inlineStr">
        <is>
          <t>RET-0120</t>
        </is>
      </c>
      <c r="B1347" s="12" t="inlineStr">
        <is>
          <t>VS20</t>
        </is>
      </c>
      <c r="C1347" s="28" t="n">
        <v>0.0132</v>
      </c>
      <c r="D1347" s="12" t="inlineStr">
        <is>
          <t>PO-2023-3265</t>
        </is>
      </c>
      <c r="E1347" s="12" t="n">
        <v>1.08</v>
      </c>
      <c r="F1347" s="17" t="n">
        <v>110599.43</v>
      </c>
      <c r="G1347" s="14">
        <f>E1347*F1347</f>
        <v/>
      </c>
      <c r="H1347" s="14">
        <f>C1347*G1347</f>
        <v/>
      </c>
    </row>
    <row r="1348">
      <c r="A1348" s="12" t="inlineStr">
        <is>
          <t>RET-0120</t>
        </is>
      </c>
      <c r="B1348" s="12" t="inlineStr">
        <is>
          <t>VS21</t>
        </is>
      </c>
      <c r="C1348" s="28" t="n">
        <v>0.0132</v>
      </c>
      <c r="D1348" s="12" t="inlineStr">
        <is>
          <t>PO-2023-4211</t>
        </is>
      </c>
      <c r="E1348" s="12" t="n">
        <v>1.08</v>
      </c>
      <c r="F1348" s="17" t="n">
        <v>116836.62</v>
      </c>
      <c r="G1348" s="14">
        <f>E1348*F1348</f>
        <v/>
      </c>
      <c r="H1348" s="14">
        <f>C1348*G1348</f>
        <v/>
      </c>
    </row>
    <row r="1349">
      <c r="A1349" s="12" t="inlineStr">
        <is>
          <t>RET-0120</t>
        </is>
      </c>
      <c r="B1349" s="12" t="inlineStr">
        <is>
          <t>VS22</t>
        </is>
      </c>
      <c r="C1349" s="28" t="n">
        <v>0.0078</v>
      </c>
      <c r="D1349" s="12" t="inlineStr">
        <is>
          <t>PO-2021-1407</t>
        </is>
      </c>
      <c r="E1349" s="12" t="n">
        <v>1.08</v>
      </c>
      <c r="F1349" s="17" t="n">
        <v>85448.38</v>
      </c>
      <c r="G1349" s="14">
        <f>E1349*F1349</f>
        <v/>
      </c>
      <c r="H1349" s="14">
        <f>C1349*G1349</f>
        <v/>
      </c>
    </row>
    <row r="1350">
      <c r="A1350" s="12" t="inlineStr">
        <is>
          <t>RET-0120</t>
        </is>
      </c>
      <c r="B1350" s="12" t="inlineStr">
        <is>
          <t>VS23</t>
        </is>
      </c>
      <c r="C1350" s="28" t="n">
        <v>0.013</v>
      </c>
      <c r="D1350" s="12" t="inlineStr">
        <is>
          <t>PO-2022-1784</t>
        </is>
      </c>
      <c r="E1350" s="12" t="n">
        <v>1.08</v>
      </c>
      <c r="F1350" s="17" t="n">
        <v>109399.79</v>
      </c>
      <c r="G1350" s="14">
        <f>E1350*F1350</f>
        <v/>
      </c>
      <c r="H1350" s="14">
        <f>C1350*G1350</f>
        <v/>
      </c>
    </row>
    <row r="1351">
      <c r="A1351" s="12" t="inlineStr">
        <is>
          <t>RET-0120</t>
        </is>
      </c>
      <c r="B1351" s="12" t="inlineStr">
        <is>
          <t>VS24</t>
        </is>
      </c>
      <c r="C1351" s="28" t="n">
        <v>0.0131</v>
      </c>
      <c r="D1351" s="12" t="inlineStr">
        <is>
          <t>PO-2022-3115</t>
        </is>
      </c>
      <c r="E1351" s="12" t="n">
        <v>1.08</v>
      </c>
      <c r="F1351" s="17" t="n">
        <v>72100.95</v>
      </c>
      <c r="G1351" s="14">
        <f>E1351*F1351</f>
        <v/>
      </c>
      <c r="H1351" s="14">
        <f>C1351*G1351</f>
        <v/>
      </c>
    </row>
    <row r="1352">
      <c r="A1352" s="12" t="inlineStr">
        <is>
          <t>RET-0120</t>
        </is>
      </c>
      <c r="B1352" s="12" t="inlineStr">
        <is>
          <t>VS25</t>
        </is>
      </c>
      <c r="C1352" s="28" t="n">
        <v>0.0238</v>
      </c>
      <c r="D1352" s="12" t="inlineStr">
        <is>
          <t>PO-2023-4636</t>
        </is>
      </c>
      <c r="E1352" s="12" t="n">
        <v>1.08</v>
      </c>
      <c r="F1352" s="17" t="n">
        <v>83912.19</v>
      </c>
      <c r="G1352" s="14">
        <f>E1352*F1352</f>
        <v/>
      </c>
      <c r="H1352" s="14">
        <f>C1352*G1352</f>
        <v/>
      </c>
    </row>
    <row r="1353">
      <c r="A1353" s="12" t="inlineStr">
        <is>
          <t>RET-0120</t>
        </is>
      </c>
      <c r="B1353" s="12" t="inlineStr">
        <is>
          <t>VS26</t>
        </is>
      </c>
      <c r="C1353" s="28" t="n">
        <v>0.0133</v>
      </c>
      <c r="D1353" s="12" t="inlineStr">
        <is>
          <t>PO-2022-2195</t>
        </is>
      </c>
      <c r="E1353" s="12" t="n">
        <v>1.08</v>
      </c>
      <c r="F1353" s="17" t="n">
        <v>92960.63</v>
      </c>
      <c r="G1353" s="14">
        <f>E1353*F1353</f>
        <v/>
      </c>
      <c r="H1353" s="14">
        <f>C1353*G1353</f>
        <v/>
      </c>
    </row>
    <row r="1354">
      <c r="A1354" s="12" t="inlineStr">
        <is>
          <t>RET-0120</t>
        </is>
      </c>
      <c r="B1354" s="12" t="inlineStr">
        <is>
          <t>VS27</t>
        </is>
      </c>
      <c r="C1354" s="28" t="n">
        <v>0.013</v>
      </c>
      <c r="D1354" s="12" t="inlineStr">
        <is>
          <t>PO-2021-0161</t>
        </is>
      </c>
      <c r="E1354" s="12" t="n">
        <v>1.08</v>
      </c>
      <c r="F1354" s="17" t="n">
        <v>74904.75999999999</v>
      </c>
      <c r="G1354" s="14">
        <f>E1354*F1354</f>
        <v/>
      </c>
      <c r="H1354" s="14">
        <f>C1354*G1354</f>
        <v/>
      </c>
    </row>
    <row r="1355">
      <c r="A1355" s="12" t="inlineStr">
        <is>
          <t>RET-0120</t>
        </is>
      </c>
      <c r="B1355" s="12" t="inlineStr">
        <is>
          <t>VS28</t>
        </is>
      </c>
      <c r="C1355" s="28" t="n">
        <v>0.029</v>
      </c>
      <c r="D1355" s="12" t="inlineStr">
        <is>
          <t>PO-2021-0036</t>
        </is>
      </c>
      <c r="E1355" s="12" t="n">
        <v>1.08</v>
      </c>
      <c r="F1355" s="17" t="n">
        <v>78161.98</v>
      </c>
      <c r="G1355" s="14">
        <f>E1355*F1355</f>
        <v/>
      </c>
      <c r="H1355" s="14">
        <f>C1355*G1355</f>
        <v/>
      </c>
    </row>
    <row r="1356">
      <c r="A1356" s="12" t="inlineStr">
        <is>
          <t>RET-0120</t>
        </is>
      </c>
      <c r="B1356" s="12" t="inlineStr">
        <is>
          <t>VS29</t>
        </is>
      </c>
      <c r="C1356" s="28" t="n">
        <v>0.0184</v>
      </c>
      <c r="D1356" s="12" t="inlineStr">
        <is>
          <t>PO-2021-1405</t>
        </is>
      </c>
      <c r="E1356" s="12" t="n">
        <v>1.08</v>
      </c>
      <c r="F1356" s="17" t="n">
        <v>68815.39999999999</v>
      </c>
      <c r="G1356" s="14">
        <f>E1356*F1356</f>
        <v/>
      </c>
      <c r="H1356" s="14">
        <f>C1356*G1356</f>
        <v/>
      </c>
    </row>
    <row r="1357">
      <c r="A1357" s="12" t="inlineStr">
        <is>
          <t>RET-0120</t>
        </is>
      </c>
      <c r="B1357" s="12" t="inlineStr">
        <is>
          <t>VS30</t>
        </is>
      </c>
      <c r="C1357" s="28" t="n">
        <v>0.007900000000000001</v>
      </c>
      <c r="D1357" s="12" t="inlineStr">
        <is>
          <t>PO-2023-4344</t>
        </is>
      </c>
      <c r="E1357" s="12" t="n">
        <v>1.08</v>
      </c>
      <c r="F1357" s="17" t="n">
        <v>109763.78</v>
      </c>
      <c r="G1357" s="14">
        <f>E1357*F1357</f>
        <v/>
      </c>
      <c r="H1357" s="14">
        <f>C1357*G1357</f>
        <v/>
      </c>
    </row>
    <row r="1358">
      <c r="A1358" s="12" t="inlineStr">
        <is>
          <t>RET-0120</t>
        </is>
      </c>
      <c r="B1358" s="12" t="inlineStr">
        <is>
          <t>VS31</t>
        </is>
      </c>
      <c r="C1358" s="28" t="n">
        <v>0.0289</v>
      </c>
      <c r="D1358" s="12" t="inlineStr">
        <is>
          <t>PO-2022-2452</t>
        </is>
      </c>
      <c r="E1358" s="12" t="n">
        <v>1.08</v>
      </c>
      <c r="F1358" s="17" t="n">
        <v>81725.67</v>
      </c>
      <c r="G1358" s="14">
        <f>E1358*F1358</f>
        <v/>
      </c>
      <c r="H1358" s="14">
        <f>C1358*G1358</f>
        <v/>
      </c>
    </row>
    <row r="1359">
      <c r="A1359" s="12" t="inlineStr">
        <is>
          <t>RET-0120</t>
        </is>
      </c>
      <c r="B1359" s="12" t="inlineStr">
        <is>
          <t>VS32</t>
        </is>
      </c>
      <c r="C1359" s="28" t="n">
        <v>0.0344</v>
      </c>
      <c r="D1359" s="12" t="inlineStr">
        <is>
          <t>PO-2023-4576</t>
        </is>
      </c>
      <c r="E1359" s="12" t="n">
        <v>1.08</v>
      </c>
      <c r="F1359" s="17" t="n">
        <v>55178.58</v>
      </c>
      <c r="G1359" s="14">
        <f>E1359*F1359</f>
        <v/>
      </c>
      <c r="H1359" s="14">
        <f>C1359*G1359</f>
        <v/>
      </c>
    </row>
    <row r="1360">
      <c r="A1360" s="12" t="inlineStr">
        <is>
          <t>RET-0120</t>
        </is>
      </c>
      <c r="B1360" s="12" t="inlineStr">
        <is>
          <t>VS33</t>
        </is>
      </c>
      <c r="C1360" s="28" t="n">
        <v>0.0183</v>
      </c>
      <c r="D1360" s="12" t="inlineStr">
        <is>
          <t>PO-2022-2067</t>
        </is>
      </c>
      <c r="E1360" s="12" t="n">
        <v>1.08</v>
      </c>
      <c r="F1360" s="17" t="n">
        <v>73348.41</v>
      </c>
      <c r="G1360" s="14">
        <f>E1360*F1360</f>
        <v/>
      </c>
      <c r="H1360" s="14">
        <f>C1360*G1360</f>
        <v/>
      </c>
    </row>
    <row r="1361">
      <c r="A1361" s="12" t="inlineStr">
        <is>
          <t>RET-0120</t>
        </is>
      </c>
      <c r="B1361" s="12" t="inlineStr">
        <is>
          <t>VS34</t>
        </is>
      </c>
      <c r="C1361" s="28" t="n">
        <v>0.0237</v>
      </c>
      <c r="D1361" s="12" t="inlineStr">
        <is>
          <t>PO-2021-1172</t>
        </is>
      </c>
      <c r="E1361" s="12" t="n">
        <v>1.08</v>
      </c>
      <c r="F1361" s="17" t="n">
        <v>57373.79</v>
      </c>
      <c r="G1361" s="14">
        <f>E1361*F1361</f>
        <v/>
      </c>
      <c r="H1361" s="14">
        <f>C1361*G1361</f>
        <v/>
      </c>
    </row>
    <row r="1362">
      <c r="A1362" s="12" t="inlineStr">
        <is>
          <t>RET-0121</t>
        </is>
      </c>
      <c r="B1362" s="12" t="inlineStr">
        <is>
          <t>VS01</t>
        </is>
      </c>
      <c r="C1362" s="28" t="n">
        <v>0.0218</v>
      </c>
      <c r="D1362" s="12" t="inlineStr">
        <is>
          <t>PO-2021-0957</t>
        </is>
      </c>
      <c r="E1362" s="12" t="n">
        <v>1.551</v>
      </c>
      <c r="F1362" s="17" t="n">
        <v>52327.41</v>
      </c>
      <c r="G1362" s="14">
        <f>E1362*F1362</f>
        <v/>
      </c>
      <c r="H1362" s="14">
        <f>C1362*G1362</f>
        <v/>
      </c>
    </row>
    <row r="1363">
      <c r="A1363" s="12" t="inlineStr">
        <is>
          <t>RET-0121</t>
        </is>
      </c>
      <c r="B1363" s="12" t="inlineStr">
        <is>
          <t>VS02</t>
        </is>
      </c>
      <c r="C1363" s="28" t="n">
        <v>0.009900000000000001</v>
      </c>
      <c r="D1363" s="12" t="inlineStr">
        <is>
          <t>PO-2021-0446</t>
        </is>
      </c>
      <c r="E1363" s="12" t="n">
        <v>1.66</v>
      </c>
      <c r="F1363" s="17" t="n">
        <v>61180.72</v>
      </c>
      <c r="G1363" s="14">
        <f>E1363*F1363</f>
        <v/>
      </c>
      <c r="H1363" s="14">
        <f>C1363*G1363</f>
        <v/>
      </c>
    </row>
    <row r="1364">
      <c r="A1364" s="12" t="inlineStr">
        <is>
          <t>RET-0121</t>
        </is>
      </c>
      <c r="B1364" s="12" t="inlineStr">
        <is>
          <t>VS03</t>
        </is>
      </c>
      <c r="C1364" s="28" t="n">
        <v>0.1512</v>
      </c>
      <c r="D1364" s="12" t="inlineStr">
        <is>
          <t>PO-2022-1869</t>
        </is>
      </c>
      <c r="E1364" s="12" t="n">
        <v>5</v>
      </c>
      <c r="F1364" s="17" t="n">
        <v>74486.7</v>
      </c>
      <c r="G1364" s="14">
        <f>E1364*F1364</f>
        <v/>
      </c>
      <c r="H1364" s="14">
        <f>C1364*G1364</f>
        <v/>
      </c>
    </row>
    <row r="1365">
      <c r="A1365" s="12" t="inlineStr">
        <is>
          <t>RET-0121</t>
        </is>
      </c>
      <c r="B1365" s="12" t="inlineStr">
        <is>
          <t>VS04</t>
        </is>
      </c>
      <c r="C1365" s="28" t="n">
        <v>0.0137</v>
      </c>
      <c r="D1365" s="12" t="inlineStr">
        <is>
          <t>PO-2022-2710</t>
        </is>
      </c>
      <c r="E1365" s="12" t="n">
        <v>5</v>
      </c>
      <c r="F1365" s="17" t="n">
        <v>50318.45</v>
      </c>
      <c r="G1365" s="14">
        <f>E1365*F1365</f>
        <v/>
      </c>
      <c r="H1365" s="14">
        <f>C1365*G1365</f>
        <v/>
      </c>
    </row>
    <row r="1366">
      <c r="A1366" s="12" t="inlineStr">
        <is>
          <t>RET-0121</t>
        </is>
      </c>
      <c r="B1366" s="12" t="inlineStr">
        <is>
          <t>VS05</t>
        </is>
      </c>
      <c r="C1366" s="28" t="n">
        <v>0.0178</v>
      </c>
      <c r="D1366" s="12" t="inlineStr">
        <is>
          <t>PO-2021-0163</t>
        </is>
      </c>
      <c r="E1366" s="12" t="n">
        <v>5</v>
      </c>
      <c r="F1366" s="17" t="n">
        <v>51992.26</v>
      </c>
      <c r="G1366" s="14">
        <f>E1366*F1366</f>
        <v/>
      </c>
      <c r="H1366" s="14">
        <f>C1366*G1366</f>
        <v/>
      </c>
    </row>
    <row r="1367">
      <c r="A1367" s="12" t="inlineStr">
        <is>
          <t>RET-0121</t>
        </is>
      </c>
      <c r="B1367" s="12" t="inlineStr">
        <is>
          <t>VS06</t>
        </is>
      </c>
      <c r="C1367" s="28" t="n">
        <v>0.0179</v>
      </c>
      <c r="D1367" s="12" t="inlineStr">
        <is>
          <t>PO-2021-1512</t>
        </is>
      </c>
      <c r="E1367" s="12" t="n">
        <v>5</v>
      </c>
      <c r="F1367" s="17" t="n">
        <v>115865.02</v>
      </c>
      <c r="G1367" s="14">
        <f>E1367*F1367</f>
        <v/>
      </c>
      <c r="H1367" s="14">
        <f>C1367*G1367</f>
        <v/>
      </c>
    </row>
    <row r="1368">
      <c r="A1368" s="12" t="inlineStr">
        <is>
          <t>RET-0121</t>
        </is>
      </c>
      <c r="B1368" s="12" t="inlineStr">
        <is>
          <t>VS07</t>
        </is>
      </c>
      <c r="C1368" s="28" t="n">
        <v>0.006</v>
      </c>
      <c r="D1368" s="12" t="inlineStr">
        <is>
          <t>PO-2022-1657</t>
        </is>
      </c>
      <c r="E1368" s="12" t="n">
        <v>5</v>
      </c>
      <c r="F1368" s="17" t="n">
        <v>91219.53</v>
      </c>
      <c r="G1368" s="14">
        <f>E1368*F1368</f>
        <v/>
      </c>
      <c r="H1368" s="14">
        <f>C1368*G1368</f>
        <v/>
      </c>
    </row>
    <row r="1369">
      <c r="A1369" s="12" t="inlineStr">
        <is>
          <t>RET-0121</t>
        </is>
      </c>
      <c r="B1369" s="12" t="inlineStr">
        <is>
          <t>VS08</t>
        </is>
      </c>
      <c r="C1369" s="28" t="n">
        <v>0.0181</v>
      </c>
      <c r="D1369" s="12" t="inlineStr">
        <is>
          <t>PO-2021-0960</t>
        </is>
      </c>
      <c r="E1369" s="12" t="n">
        <v>5</v>
      </c>
      <c r="F1369" s="17" t="n">
        <v>54743.04</v>
      </c>
      <c r="G1369" s="14">
        <f>E1369*F1369</f>
        <v/>
      </c>
      <c r="H1369" s="14">
        <f>C1369*G1369</f>
        <v/>
      </c>
    </row>
    <row r="1370">
      <c r="A1370" s="12" t="inlineStr">
        <is>
          <t>RET-0121</t>
        </is>
      </c>
      <c r="B1370" s="12" t="inlineStr">
        <is>
          <t>VS09</t>
        </is>
      </c>
      <c r="C1370" s="28" t="n">
        <v>0.0139</v>
      </c>
      <c r="D1370" s="12" t="inlineStr">
        <is>
          <t>PO-2022-2600</t>
        </is>
      </c>
      <c r="E1370" s="12" t="n">
        <v>5</v>
      </c>
      <c r="F1370" s="17" t="n">
        <v>115852.2</v>
      </c>
      <c r="G1370" s="14">
        <f>E1370*F1370</f>
        <v/>
      </c>
      <c r="H1370" s="14">
        <f>C1370*G1370</f>
        <v/>
      </c>
    </row>
    <row r="1371">
      <c r="A1371" s="12" t="inlineStr">
        <is>
          <t>RET-0121</t>
        </is>
      </c>
      <c r="B1371" s="12" t="inlineStr">
        <is>
          <t>VS10</t>
        </is>
      </c>
      <c r="C1371" s="28" t="n">
        <v>0.0218</v>
      </c>
      <c r="D1371" s="12" t="inlineStr">
        <is>
          <t>PO-2021-0205</t>
        </is>
      </c>
      <c r="E1371" s="12" t="n">
        <v>5</v>
      </c>
      <c r="F1371" s="17" t="n">
        <v>104109.01</v>
      </c>
      <c r="G1371" s="14">
        <f>E1371*F1371</f>
        <v/>
      </c>
      <c r="H1371" s="14">
        <f>C1371*G1371</f>
        <v/>
      </c>
    </row>
    <row r="1372">
      <c r="A1372" s="12" t="inlineStr">
        <is>
          <t>RET-0121</t>
        </is>
      </c>
      <c r="B1372" s="12" t="inlineStr">
        <is>
          <t>VS11</t>
        </is>
      </c>
      <c r="C1372" s="28" t="n">
        <v>0.0255</v>
      </c>
      <c r="D1372" s="12" t="inlineStr">
        <is>
          <t>PO-2022-2762</t>
        </is>
      </c>
      <c r="E1372" s="12" t="n">
        <v>5</v>
      </c>
      <c r="F1372" s="17" t="n">
        <v>64765.94</v>
      </c>
      <c r="G1372" s="14">
        <f>E1372*F1372</f>
        <v/>
      </c>
      <c r="H1372" s="14">
        <f>C1372*G1372</f>
        <v/>
      </c>
    </row>
    <row r="1373">
      <c r="A1373" s="12" t="inlineStr">
        <is>
          <t>RET-0121</t>
        </is>
      </c>
      <c r="B1373" s="12" t="inlineStr">
        <is>
          <t>VS12</t>
        </is>
      </c>
      <c r="C1373" s="28" t="n">
        <v>0.2102</v>
      </c>
      <c r="D1373" s="12" t="inlineStr">
        <is>
          <t>PO-2021-0670</t>
        </is>
      </c>
      <c r="E1373" s="12" t="n">
        <v>5</v>
      </c>
      <c r="F1373" s="17" t="n">
        <v>113779.67</v>
      </c>
      <c r="G1373" s="14">
        <f>E1373*F1373</f>
        <v/>
      </c>
      <c r="H1373" s="14">
        <f>C1373*G1373</f>
        <v/>
      </c>
    </row>
    <row r="1374">
      <c r="A1374" s="12" t="inlineStr">
        <is>
          <t>RET-0121</t>
        </is>
      </c>
      <c r="B1374" s="12" t="inlineStr">
        <is>
          <t>VS13</t>
        </is>
      </c>
      <c r="C1374" s="28" t="n">
        <v>0.0176</v>
      </c>
      <c r="D1374" s="12" t="inlineStr">
        <is>
          <t>PO-2023-3895</t>
        </is>
      </c>
      <c r="E1374" s="12" t="n">
        <v>5</v>
      </c>
      <c r="F1374" s="17" t="n">
        <v>49764.26</v>
      </c>
      <c r="G1374" s="14">
        <f>E1374*F1374</f>
        <v/>
      </c>
      <c r="H1374" s="14">
        <f>C1374*G1374</f>
        <v/>
      </c>
    </row>
    <row r="1375">
      <c r="A1375" s="12" t="inlineStr">
        <is>
          <t>RET-0121</t>
        </is>
      </c>
      <c r="B1375" s="12" t="inlineStr">
        <is>
          <t>VS14</t>
        </is>
      </c>
      <c r="C1375" s="28" t="n">
        <v>0.0178</v>
      </c>
      <c r="D1375" s="12" t="inlineStr">
        <is>
          <t>PO-2023-3282</t>
        </is>
      </c>
      <c r="E1375" s="12" t="n">
        <v>5</v>
      </c>
      <c r="F1375" s="17" t="n">
        <v>72037.22</v>
      </c>
      <c r="G1375" s="14">
        <f>E1375*F1375</f>
        <v/>
      </c>
      <c r="H1375" s="14">
        <f>C1375*G1375</f>
        <v/>
      </c>
    </row>
    <row r="1376">
      <c r="A1376" s="12" t="inlineStr">
        <is>
          <t>RET-0121</t>
        </is>
      </c>
      <c r="B1376" s="12" t="inlineStr">
        <is>
          <t>VS15</t>
        </is>
      </c>
      <c r="C1376" s="28" t="n">
        <v>0.0059</v>
      </c>
      <c r="D1376" s="12" t="inlineStr">
        <is>
          <t>PO-2022-2662</t>
        </is>
      </c>
      <c r="E1376" s="12" t="n">
        <v>5</v>
      </c>
      <c r="F1376" s="17" t="n">
        <v>91863</v>
      </c>
      <c r="G1376" s="14">
        <f>E1376*F1376</f>
        <v/>
      </c>
      <c r="H1376" s="14">
        <f>C1376*G1376</f>
        <v/>
      </c>
    </row>
    <row r="1377">
      <c r="A1377" s="12" t="inlineStr">
        <is>
          <t>RET-0121</t>
        </is>
      </c>
      <c r="B1377" s="12" t="inlineStr">
        <is>
          <t>VS16</t>
        </is>
      </c>
      <c r="C1377" s="28" t="n">
        <v>0.0256</v>
      </c>
      <c r="D1377" s="12" t="inlineStr">
        <is>
          <t>PO-2023-4515</t>
        </is>
      </c>
      <c r="E1377" s="12" t="n">
        <v>5</v>
      </c>
      <c r="F1377" s="17" t="n">
        <v>109573.71</v>
      </c>
      <c r="G1377" s="14">
        <f>E1377*F1377</f>
        <v/>
      </c>
      <c r="H1377" s="14">
        <f>C1377*G1377</f>
        <v/>
      </c>
    </row>
    <row r="1378">
      <c r="A1378" s="12" t="inlineStr">
        <is>
          <t>RET-0121</t>
        </is>
      </c>
      <c r="B1378" s="12" t="inlineStr">
        <is>
          <t>VS17</t>
        </is>
      </c>
      <c r="C1378" s="28" t="n">
        <v>0.0255</v>
      </c>
      <c r="D1378" s="12" t="inlineStr">
        <is>
          <t>PO-2022-2948</t>
        </is>
      </c>
      <c r="E1378" s="12" t="n">
        <v>5</v>
      </c>
      <c r="F1378" s="17" t="n">
        <v>76764.21000000001</v>
      </c>
      <c r="G1378" s="14">
        <f>E1378*F1378</f>
        <v/>
      </c>
      <c r="H1378" s="14">
        <f>C1378*G1378</f>
        <v/>
      </c>
    </row>
    <row r="1379">
      <c r="A1379" s="12" t="inlineStr">
        <is>
          <t>RET-0121</t>
        </is>
      </c>
      <c r="B1379" s="12" t="inlineStr">
        <is>
          <t>VS18</t>
        </is>
      </c>
      <c r="C1379" s="28" t="n">
        <v>0.0178</v>
      </c>
      <c r="D1379" s="12" t="inlineStr">
        <is>
          <t>PO-2022-1824</t>
        </is>
      </c>
      <c r="E1379" s="12" t="n">
        <v>5</v>
      </c>
      <c r="F1379" s="17" t="n">
        <v>55284.86</v>
      </c>
      <c r="G1379" s="14">
        <f>E1379*F1379</f>
        <v/>
      </c>
      <c r="H1379" s="14">
        <f>C1379*G1379</f>
        <v/>
      </c>
    </row>
    <row r="1380">
      <c r="A1380" s="12" t="inlineStr">
        <is>
          <t>RET-0121</t>
        </is>
      </c>
      <c r="B1380" s="12" t="inlineStr">
        <is>
          <t>VS19</t>
        </is>
      </c>
      <c r="C1380" s="28" t="n">
        <v>0.1585</v>
      </c>
      <c r="D1380" s="12" t="inlineStr">
        <is>
          <t>PO-2022-2049</t>
        </is>
      </c>
      <c r="E1380" s="12" t="n">
        <v>5</v>
      </c>
      <c r="F1380" s="17" t="n">
        <v>62946.57</v>
      </c>
      <c r="G1380" s="14">
        <f>E1380*F1380</f>
        <v/>
      </c>
      <c r="H1380" s="14">
        <f>C1380*G1380</f>
        <v/>
      </c>
    </row>
    <row r="1381">
      <c r="A1381" s="12" t="inlineStr">
        <is>
          <t>RET-0121</t>
        </is>
      </c>
      <c r="B1381" s="12" t="inlineStr">
        <is>
          <t>VS20</t>
        </is>
      </c>
      <c r="C1381" s="28" t="n">
        <v>0.009900000000000001</v>
      </c>
      <c r="D1381" s="12" t="inlineStr">
        <is>
          <t>PO-2022-2961</t>
        </is>
      </c>
      <c r="E1381" s="12" t="n">
        <v>5</v>
      </c>
      <c r="F1381" s="17" t="n">
        <v>107227.22</v>
      </c>
      <c r="G1381" s="14">
        <f>E1381*F1381</f>
        <v/>
      </c>
      <c r="H1381" s="14">
        <f>C1381*G1381</f>
        <v/>
      </c>
    </row>
    <row r="1382">
      <c r="A1382" s="12" t="inlineStr">
        <is>
          <t>RET-0121</t>
        </is>
      </c>
      <c r="B1382" s="12" t="inlineStr">
        <is>
          <t>VS21</t>
        </is>
      </c>
      <c r="C1382" s="28" t="n">
        <v>0.009900000000000001</v>
      </c>
      <c r="D1382" s="12" t="inlineStr">
        <is>
          <t>PO-2022-2994</t>
        </is>
      </c>
      <c r="E1382" s="12" t="n">
        <v>5</v>
      </c>
      <c r="F1382" s="17" t="n">
        <v>52774.22</v>
      </c>
      <c r="G1382" s="14">
        <f>E1382*F1382</f>
        <v/>
      </c>
      <c r="H1382" s="14">
        <f>C1382*G1382</f>
        <v/>
      </c>
    </row>
    <row r="1383">
      <c r="A1383" s="12" t="inlineStr">
        <is>
          <t>RET-0121</t>
        </is>
      </c>
      <c r="B1383" s="12" t="inlineStr">
        <is>
          <t>VS22</t>
        </is>
      </c>
      <c r="C1383" s="28" t="n">
        <v>0.0059</v>
      </c>
      <c r="D1383" s="12" t="inlineStr">
        <is>
          <t>PO-2021-0200</t>
        </is>
      </c>
      <c r="E1383" s="12" t="n">
        <v>5</v>
      </c>
      <c r="F1383" s="17" t="n">
        <v>55607.13</v>
      </c>
      <c r="G1383" s="14">
        <f>E1383*F1383</f>
        <v/>
      </c>
      <c r="H1383" s="14">
        <f>C1383*G1383</f>
        <v/>
      </c>
    </row>
    <row r="1384">
      <c r="A1384" s="12" t="inlineStr">
        <is>
          <t>RET-0121</t>
        </is>
      </c>
      <c r="B1384" s="12" t="inlineStr">
        <is>
          <t>VS23</t>
        </is>
      </c>
      <c r="C1384" s="28" t="n">
        <v>0.0098</v>
      </c>
      <c r="D1384" s="12" t="inlineStr">
        <is>
          <t>PO-2022-2121</t>
        </is>
      </c>
      <c r="E1384" s="12" t="n">
        <v>5</v>
      </c>
      <c r="F1384" s="17" t="n">
        <v>68650.22</v>
      </c>
      <c r="G1384" s="14">
        <f>E1384*F1384</f>
        <v/>
      </c>
      <c r="H1384" s="14">
        <f>C1384*G1384</f>
        <v/>
      </c>
    </row>
    <row r="1385">
      <c r="A1385" s="12" t="inlineStr">
        <is>
          <t>RET-0121</t>
        </is>
      </c>
      <c r="B1385" s="12" t="inlineStr">
        <is>
          <t>VS24</t>
        </is>
      </c>
      <c r="C1385" s="28" t="n">
        <v>0.009900000000000001</v>
      </c>
      <c r="D1385" s="12" t="inlineStr">
        <is>
          <t>PO-2023-3633</t>
        </is>
      </c>
      <c r="E1385" s="12" t="n">
        <v>5</v>
      </c>
      <c r="F1385" s="17" t="n">
        <v>98977.14</v>
      </c>
      <c r="G1385" s="14">
        <f>E1385*F1385</f>
        <v/>
      </c>
      <c r="H1385" s="14">
        <f>C1385*G1385</f>
        <v/>
      </c>
    </row>
    <row r="1386">
      <c r="A1386" s="12" t="inlineStr">
        <is>
          <t>RET-0121</t>
        </is>
      </c>
      <c r="B1386" s="12" t="inlineStr">
        <is>
          <t>VS25</t>
        </is>
      </c>
      <c r="C1386" s="28" t="n">
        <v>0.0179</v>
      </c>
      <c r="D1386" s="12" t="inlineStr">
        <is>
          <t>PO-2022-1854</t>
        </is>
      </c>
      <c r="E1386" s="12" t="n">
        <v>5</v>
      </c>
      <c r="F1386" s="17" t="n">
        <v>116896.89</v>
      </c>
      <c r="G1386" s="14">
        <f>E1386*F1386</f>
        <v/>
      </c>
      <c r="H1386" s="14">
        <f>C1386*G1386</f>
        <v/>
      </c>
    </row>
    <row r="1387">
      <c r="A1387" s="12" t="inlineStr">
        <is>
          <t>RET-0121</t>
        </is>
      </c>
      <c r="B1387" s="12" t="inlineStr">
        <is>
          <t>VS26</t>
        </is>
      </c>
      <c r="C1387" s="28" t="n">
        <v>0.009900000000000001</v>
      </c>
      <c r="D1387" s="12" t="inlineStr">
        <is>
          <t>PO-2021-0448</t>
        </is>
      </c>
      <c r="E1387" s="12" t="n">
        <v>5</v>
      </c>
      <c r="F1387" s="17" t="n">
        <v>85324.14999999999</v>
      </c>
      <c r="G1387" s="14">
        <f>E1387*F1387</f>
        <v/>
      </c>
      <c r="H1387" s="14">
        <f>C1387*G1387</f>
        <v/>
      </c>
    </row>
    <row r="1388">
      <c r="A1388" s="12" t="inlineStr">
        <is>
          <t>RET-0121</t>
        </is>
      </c>
      <c r="B1388" s="12" t="inlineStr">
        <is>
          <t>VS27</t>
        </is>
      </c>
      <c r="C1388" s="28" t="n">
        <v>0.0098</v>
      </c>
      <c r="D1388" s="12" t="inlineStr">
        <is>
          <t>PO-2022-3084</t>
        </is>
      </c>
      <c r="E1388" s="12" t="n">
        <v>5</v>
      </c>
      <c r="F1388" s="17" t="n">
        <v>104477.37</v>
      </c>
      <c r="G1388" s="14">
        <f>E1388*F1388</f>
        <v/>
      </c>
      <c r="H1388" s="14">
        <f>C1388*G1388</f>
        <v/>
      </c>
    </row>
    <row r="1389">
      <c r="A1389" s="12" t="inlineStr">
        <is>
          <t>RET-0121</t>
        </is>
      </c>
      <c r="B1389" s="12" t="inlineStr">
        <is>
          <t>VS28</t>
        </is>
      </c>
      <c r="C1389" s="28" t="n">
        <v>0.0218</v>
      </c>
      <c r="D1389" s="12" t="inlineStr">
        <is>
          <t>PO-2023-4063</t>
        </is>
      </c>
      <c r="E1389" s="12" t="n">
        <v>5</v>
      </c>
      <c r="F1389" s="17" t="n">
        <v>70250.25999999999</v>
      </c>
      <c r="G1389" s="14">
        <f>E1389*F1389</f>
        <v/>
      </c>
      <c r="H1389" s="14">
        <f>C1389*G1389</f>
        <v/>
      </c>
    </row>
    <row r="1390">
      <c r="A1390" s="12" t="inlineStr">
        <is>
          <t>RET-0121</t>
        </is>
      </c>
      <c r="B1390" s="12" t="inlineStr">
        <is>
          <t>VS29</t>
        </is>
      </c>
      <c r="C1390" s="28" t="n">
        <v>0.0138</v>
      </c>
      <c r="D1390" s="12" t="inlineStr">
        <is>
          <t>PO-2022-2794</t>
        </is>
      </c>
      <c r="E1390" s="12" t="n">
        <v>5</v>
      </c>
      <c r="F1390" s="17" t="n">
        <v>58428.17</v>
      </c>
      <c r="G1390" s="14">
        <f>E1390*F1390</f>
        <v/>
      </c>
      <c r="H1390" s="14">
        <f>C1390*G1390</f>
        <v/>
      </c>
    </row>
    <row r="1391">
      <c r="A1391" s="12" t="inlineStr">
        <is>
          <t>RET-0121</t>
        </is>
      </c>
      <c r="B1391" s="12" t="inlineStr">
        <is>
          <t>VS30</t>
        </is>
      </c>
      <c r="C1391" s="28" t="n">
        <v>0.006</v>
      </c>
      <c r="D1391" s="12" t="inlineStr">
        <is>
          <t>PO-2022-1968</t>
        </is>
      </c>
      <c r="E1391" s="12" t="n">
        <v>5</v>
      </c>
      <c r="F1391" s="17" t="n">
        <v>51792.13</v>
      </c>
      <c r="G1391" s="14">
        <f>E1391*F1391</f>
        <v/>
      </c>
      <c r="H1391" s="14">
        <f>C1391*G1391</f>
        <v/>
      </c>
    </row>
    <row r="1392">
      <c r="A1392" s="12" t="inlineStr">
        <is>
          <t>RET-0121</t>
        </is>
      </c>
      <c r="B1392" s="12" t="inlineStr">
        <is>
          <t>VS31</t>
        </is>
      </c>
      <c r="C1392" s="28" t="n">
        <v>0.0217</v>
      </c>
      <c r="D1392" s="12" t="inlineStr">
        <is>
          <t>PO-2021-1572</t>
        </is>
      </c>
      <c r="E1392" s="12" t="n">
        <v>5</v>
      </c>
      <c r="F1392" s="17" t="n">
        <v>79454.25999999999</v>
      </c>
      <c r="G1392" s="14">
        <f>E1392*F1392</f>
        <v/>
      </c>
      <c r="H1392" s="14">
        <f>C1392*G1392</f>
        <v/>
      </c>
    </row>
    <row r="1393">
      <c r="A1393" s="12" t="inlineStr">
        <is>
          <t>RET-0121</t>
        </is>
      </c>
      <c r="B1393" s="12" t="inlineStr">
        <is>
          <t>VS32</t>
        </is>
      </c>
      <c r="C1393" s="28" t="n">
        <v>0.0258</v>
      </c>
      <c r="D1393" s="12" t="inlineStr">
        <is>
          <t>PO-2022-1678</t>
        </is>
      </c>
      <c r="E1393" s="12" t="n">
        <v>5</v>
      </c>
      <c r="F1393" s="17" t="n">
        <v>76493.03</v>
      </c>
      <c r="G1393" s="14">
        <f>E1393*F1393</f>
        <v/>
      </c>
      <c r="H1393" s="14">
        <f>C1393*G1393</f>
        <v/>
      </c>
    </row>
    <row r="1394">
      <c r="A1394" s="12" t="inlineStr">
        <is>
          <t>RET-0121</t>
        </is>
      </c>
      <c r="B1394" s="12" t="inlineStr">
        <is>
          <t>VS33</t>
        </is>
      </c>
      <c r="C1394" s="28" t="n">
        <v>0.0138</v>
      </c>
      <c r="D1394" s="12" t="inlineStr">
        <is>
          <t>PO-2023-3806</t>
        </is>
      </c>
      <c r="E1394" s="12" t="n">
        <v>5</v>
      </c>
      <c r="F1394" s="17" t="n">
        <v>59978.49</v>
      </c>
      <c r="G1394" s="14">
        <f>E1394*F1394</f>
        <v/>
      </c>
      <c r="H1394" s="14">
        <f>C1394*G1394</f>
        <v/>
      </c>
    </row>
    <row r="1395">
      <c r="A1395" s="12" t="inlineStr">
        <is>
          <t>RET-0121</t>
        </is>
      </c>
      <c r="B1395" s="12" t="inlineStr">
        <is>
          <t>VS34</t>
        </is>
      </c>
      <c r="C1395" s="28" t="n">
        <v>0.0178</v>
      </c>
      <c r="D1395" s="12" t="inlineStr">
        <is>
          <t>PO-2022-2238</t>
        </is>
      </c>
      <c r="E1395" s="12" t="n">
        <v>5</v>
      </c>
      <c r="F1395" s="17" t="n">
        <v>69041.48</v>
      </c>
      <c r="G1395" s="14">
        <f>E1395*F1395</f>
        <v/>
      </c>
      <c r="H1395" s="14">
        <f>C1395*G1395</f>
        <v/>
      </c>
    </row>
    <row r="1396">
      <c r="A1396" s="12" t="inlineStr">
        <is>
          <t>RET-0124</t>
        </is>
      </c>
      <c r="B1396" s="12" t="inlineStr">
        <is>
          <t>VS01</t>
        </is>
      </c>
      <c r="C1396" s="28" t="n">
        <v>0.0291</v>
      </c>
      <c r="D1396" s="12" t="inlineStr">
        <is>
          <t>PO-2022-3022</t>
        </is>
      </c>
      <c r="E1396" s="12" t="n">
        <v>1.57</v>
      </c>
      <c r="F1396" s="17" t="n">
        <v>89681.73</v>
      </c>
      <c r="G1396" s="14">
        <f>E1396*F1396</f>
        <v/>
      </c>
      <c r="H1396" s="14">
        <f>C1396*G1396</f>
        <v/>
      </c>
    </row>
    <row r="1397">
      <c r="A1397" s="12" t="inlineStr">
        <is>
          <t>RET-0124</t>
        </is>
      </c>
      <c r="B1397" s="12" t="inlineStr">
        <is>
          <t>VS02</t>
        </is>
      </c>
      <c r="C1397" s="28" t="n">
        <v>0.0132</v>
      </c>
      <c r="D1397" s="12" t="inlineStr">
        <is>
          <t>PO-2021-0456</t>
        </is>
      </c>
      <c r="E1397" s="12" t="n">
        <v>1.57</v>
      </c>
      <c r="F1397" s="17" t="n">
        <v>65398.54</v>
      </c>
      <c r="G1397" s="14">
        <f>E1397*F1397</f>
        <v/>
      </c>
      <c r="H1397" s="14">
        <f>C1397*G1397</f>
        <v/>
      </c>
    </row>
    <row r="1398">
      <c r="A1398" s="12" t="inlineStr">
        <is>
          <t>RET-0124</t>
        </is>
      </c>
      <c r="B1398" s="12" t="inlineStr">
        <is>
          <t>VS03</t>
        </is>
      </c>
      <c r="C1398" s="28" t="n">
        <v>0.1048</v>
      </c>
      <c r="D1398" s="12" t="inlineStr">
        <is>
          <t>PO-2022-2402</t>
        </is>
      </c>
      <c r="E1398" s="12" t="n">
        <v>1.57</v>
      </c>
      <c r="F1398" s="17" t="n">
        <v>113857.5</v>
      </c>
      <c r="G1398" s="14">
        <f>E1398*F1398</f>
        <v/>
      </c>
      <c r="H1398" s="14">
        <f>C1398*G1398</f>
        <v/>
      </c>
    </row>
    <row r="1399">
      <c r="A1399" s="12" t="inlineStr">
        <is>
          <t>RET-0124</t>
        </is>
      </c>
      <c r="B1399" s="12" t="inlineStr">
        <is>
          <t>VS04</t>
        </is>
      </c>
      <c r="C1399" s="28" t="n">
        <v>0.0182</v>
      </c>
      <c r="D1399" s="12" t="inlineStr">
        <is>
          <t>PO-2023-3927</t>
        </is>
      </c>
      <c r="E1399" s="12" t="n">
        <v>1.57</v>
      </c>
      <c r="F1399" s="17" t="n">
        <v>54233.12</v>
      </c>
      <c r="G1399" s="14">
        <f>E1399*F1399</f>
        <v/>
      </c>
      <c r="H1399" s="14">
        <f>C1399*G1399</f>
        <v/>
      </c>
    </row>
    <row r="1400">
      <c r="A1400" s="12" t="inlineStr">
        <is>
          <t>RET-0124</t>
        </is>
      </c>
      <c r="B1400" s="12" t="inlineStr">
        <is>
          <t>VS05</t>
        </is>
      </c>
      <c r="C1400" s="28" t="n">
        <v>0.0237</v>
      </c>
      <c r="D1400" s="12" t="inlineStr">
        <is>
          <t>PO-2022-2337</t>
        </is>
      </c>
      <c r="E1400" s="12" t="n">
        <v>1.57</v>
      </c>
      <c r="F1400" s="17" t="n">
        <v>90586.32000000001</v>
      </c>
      <c r="G1400" s="14">
        <f>E1400*F1400</f>
        <v/>
      </c>
      <c r="H1400" s="14">
        <f>C1400*G1400</f>
        <v/>
      </c>
    </row>
    <row r="1401">
      <c r="A1401" s="12" t="inlineStr">
        <is>
          <t>RET-0124</t>
        </is>
      </c>
      <c r="B1401" s="12" t="inlineStr">
        <is>
          <t>VS06</t>
        </is>
      </c>
      <c r="C1401" s="28" t="n">
        <v>0.0239</v>
      </c>
      <c r="D1401" s="12" t="inlineStr">
        <is>
          <t>PO-2021-1169</t>
        </is>
      </c>
      <c r="E1401" s="12" t="n">
        <v>1.57</v>
      </c>
      <c r="F1401" s="17" t="n">
        <v>77469.72</v>
      </c>
      <c r="G1401" s="14">
        <f>E1401*F1401</f>
        <v/>
      </c>
      <c r="H1401" s="14">
        <f>C1401*G1401</f>
        <v/>
      </c>
    </row>
    <row r="1402">
      <c r="A1402" s="12" t="inlineStr">
        <is>
          <t>RET-0124</t>
        </is>
      </c>
      <c r="B1402" s="12" t="inlineStr">
        <is>
          <t>VS07</t>
        </is>
      </c>
      <c r="C1402" s="28" t="n">
        <v>0.008</v>
      </c>
      <c r="D1402" s="12" t="inlineStr">
        <is>
          <t>PO-2023-4451</t>
        </is>
      </c>
      <c r="E1402" s="12" t="n">
        <v>1.57</v>
      </c>
      <c r="F1402" s="17" t="n">
        <v>56030.8</v>
      </c>
      <c r="G1402" s="14">
        <f>E1402*F1402</f>
        <v/>
      </c>
      <c r="H1402" s="14">
        <f>C1402*G1402</f>
        <v/>
      </c>
    </row>
    <row r="1403">
      <c r="A1403" s="12" t="inlineStr">
        <is>
          <t>RET-0124</t>
        </is>
      </c>
      <c r="B1403" s="12" t="inlineStr">
        <is>
          <t>VS08</t>
        </is>
      </c>
      <c r="C1403" s="28" t="n">
        <v>0.0241</v>
      </c>
      <c r="D1403" s="12" t="inlineStr">
        <is>
          <t>PO-2023-3409</t>
        </is>
      </c>
      <c r="E1403" s="12" t="n">
        <v>1.57</v>
      </c>
      <c r="F1403" s="17" t="n">
        <v>90846.14</v>
      </c>
      <c r="G1403" s="14">
        <f>E1403*F1403</f>
        <v/>
      </c>
      <c r="H1403" s="14">
        <f>C1403*G1403</f>
        <v/>
      </c>
    </row>
    <row r="1404">
      <c r="A1404" s="12" t="inlineStr">
        <is>
          <t>RET-0124</t>
        </is>
      </c>
      <c r="B1404" s="12" t="inlineStr">
        <is>
          <t>VS09</t>
        </is>
      </c>
      <c r="C1404" s="28" t="n">
        <v>0.0185</v>
      </c>
      <c r="D1404" s="12" t="inlineStr">
        <is>
          <t>PO-2023-4381</t>
        </is>
      </c>
      <c r="E1404" s="12" t="n">
        <v>1.57</v>
      </c>
      <c r="F1404" s="17" t="n">
        <v>80746.59</v>
      </c>
      <c r="G1404" s="14">
        <f>E1404*F1404</f>
        <v/>
      </c>
      <c r="H1404" s="14">
        <f>C1404*G1404</f>
        <v/>
      </c>
    </row>
    <row r="1405">
      <c r="A1405" s="12" t="inlineStr">
        <is>
          <t>RET-0124</t>
        </is>
      </c>
      <c r="B1405" s="12" t="inlineStr">
        <is>
          <t>VS10</t>
        </is>
      </c>
      <c r="C1405" s="28" t="n">
        <v>0.029</v>
      </c>
      <c r="D1405" s="12" t="inlineStr">
        <is>
          <t>PO-2023-3311</t>
        </is>
      </c>
      <c r="E1405" s="12" t="n">
        <v>1.57</v>
      </c>
      <c r="F1405" s="17" t="n">
        <v>105199.83</v>
      </c>
      <c r="G1405" s="14">
        <f>E1405*F1405</f>
        <v/>
      </c>
      <c r="H1405" s="14">
        <f>C1405*G1405</f>
        <v/>
      </c>
    </row>
    <row r="1406">
      <c r="A1406" s="12" t="inlineStr">
        <is>
          <t>RET-0124</t>
        </is>
      </c>
      <c r="B1406" s="12" t="inlineStr">
        <is>
          <t>VS11</t>
        </is>
      </c>
      <c r="C1406" s="28" t="n">
        <v>0.034</v>
      </c>
      <c r="D1406" s="12" t="inlineStr">
        <is>
          <t>PO-2022-2091</t>
        </is>
      </c>
      <c r="E1406" s="12" t="n">
        <v>1.57</v>
      </c>
      <c r="F1406" s="17" t="n">
        <v>118586.58</v>
      </c>
      <c r="G1406" s="14">
        <f>E1406*F1406</f>
        <v/>
      </c>
      <c r="H1406" s="14">
        <f>C1406*G1406</f>
        <v/>
      </c>
    </row>
    <row r="1407">
      <c r="A1407" s="12" t="inlineStr">
        <is>
          <t>RET-0124</t>
        </is>
      </c>
      <c r="B1407" s="12" t="inlineStr">
        <is>
          <t>VS12</t>
        </is>
      </c>
      <c r="C1407" s="28" t="n">
        <v>0.1457</v>
      </c>
      <c r="D1407" s="12" t="inlineStr">
        <is>
          <t>PO-2021-0843</t>
        </is>
      </c>
      <c r="E1407" s="12" t="n">
        <v>1.57</v>
      </c>
      <c r="F1407" s="17" t="n">
        <v>58150.78</v>
      </c>
      <c r="G1407" s="14">
        <f>E1407*F1407</f>
        <v/>
      </c>
      <c r="H1407" s="14">
        <f>C1407*G1407</f>
        <v/>
      </c>
    </row>
    <row r="1408">
      <c r="A1408" s="12" t="inlineStr">
        <is>
          <t>RET-0124</t>
        </is>
      </c>
      <c r="B1408" s="12" t="inlineStr">
        <is>
          <t>VS13</t>
        </is>
      </c>
      <c r="C1408" s="28" t="n">
        <v>0.0234</v>
      </c>
      <c r="D1408" s="12" t="inlineStr">
        <is>
          <t>PO-2022-3040</t>
        </is>
      </c>
      <c r="E1408" s="12" t="n">
        <v>1.57</v>
      </c>
      <c r="F1408" s="17" t="n">
        <v>109976.59</v>
      </c>
      <c r="G1408" s="14">
        <f>E1408*F1408</f>
        <v/>
      </c>
      <c r="H1408" s="14">
        <f>C1408*G1408</f>
        <v/>
      </c>
    </row>
    <row r="1409">
      <c r="A1409" s="12" t="inlineStr">
        <is>
          <t>RET-0124</t>
        </is>
      </c>
      <c r="B1409" s="12" t="inlineStr">
        <is>
          <t>VS14</t>
        </is>
      </c>
      <c r="C1409" s="28" t="n">
        <v>0.0237</v>
      </c>
      <c r="D1409" s="12" t="inlineStr">
        <is>
          <t>PO-2021-0204</t>
        </is>
      </c>
      <c r="E1409" s="12" t="n">
        <v>1.57</v>
      </c>
      <c r="F1409" s="17" t="n">
        <v>81470.32000000001</v>
      </c>
      <c r="G1409" s="14">
        <f>E1409*F1409</f>
        <v/>
      </c>
      <c r="H1409" s="14">
        <f>C1409*G1409</f>
        <v/>
      </c>
    </row>
    <row r="1410">
      <c r="A1410" s="12" t="inlineStr">
        <is>
          <t>RET-0124</t>
        </is>
      </c>
      <c r="B1410" s="12" t="inlineStr">
        <is>
          <t>VS15</t>
        </is>
      </c>
      <c r="C1410" s="28" t="n">
        <v>0.007900000000000001</v>
      </c>
      <c r="D1410" s="12" t="inlineStr">
        <is>
          <t>PO-2022-2406</t>
        </is>
      </c>
      <c r="E1410" s="12" t="n">
        <v>1.57</v>
      </c>
      <c r="F1410" s="17" t="n">
        <v>69411.55</v>
      </c>
      <c r="G1410" s="14">
        <f>E1410*F1410</f>
        <v/>
      </c>
      <c r="H1410" s="14">
        <f>C1410*G1410</f>
        <v/>
      </c>
    </row>
    <row r="1411">
      <c r="A1411" s="12" t="inlineStr">
        <is>
          <t>RET-0124</t>
        </is>
      </c>
      <c r="B1411" s="12" t="inlineStr">
        <is>
          <t>VS16</t>
        </is>
      </c>
      <c r="C1411" s="28" t="n">
        <v>0.0341</v>
      </c>
      <c r="D1411" s="12" t="inlineStr">
        <is>
          <t>PO-2023-3589</t>
        </is>
      </c>
      <c r="E1411" s="12" t="n">
        <v>1.57</v>
      </c>
      <c r="F1411" s="17" t="n">
        <v>105877.13</v>
      </c>
      <c r="G1411" s="14">
        <f>E1411*F1411</f>
        <v/>
      </c>
      <c r="H1411" s="14">
        <f>C1411*G1411</f>
        <v/>
      </c>
    </row>
    <row r="1412">
      <c r="A1412" s="12" t="inlineStr">
        <is>
          <t>RET-0124</t>
        </is>
      </c>
      <c r="B1412" s="12" t="inlineStr">
        <is>
          <t>VS17</t>
        </is>
      </c>
      <c r="C1412" s="28" t="n">
        <v>0.034</v>
      </c>
      <c r="D1412" s="12" t="inlineStr">
        <is>
          <t>PO-2023-3819</t>
        </is>
      </c>
      <c r="E1412" s="12" t="n">
        <v>1.57</v>
      </c>
      <c r="F1412" s="17" t="n">
        <v>96035.00999999999</v>
      </c>
      <c r="G1412" s="14">
        <f>E1412*F1412</f>
        <v/>
      </c>
      <c r="H1412" s="14">
        <f>C1412*G1412</f>
        <v/>
      </c>
    </row>
    <row r="1413">
      <c r="A1413" s="12" t="inlineStr">
        <is>
          <t>RET-0124</t>
        </is>
      </c>
      <c r="B1413" s="12" t="inlineStr">
        <is>
          <t>VS18</t>
        </is>
      </c>
      <c r="C1413" s="28" t="n">
        <v>0.0237</v>
      </c>
      <c r="D1413" s="12" t="inlineStr">
        <is>
          <t>PO-2022-2695</t>
        </is>
      </c>
      <c r="E1413" s="12" t="n">
        <v>1.57</v>
      </c>
      <c r="F1413" s="17" t="n">
        <v>55069.04</v>
      </c>
      <c r="G1413" s="14">
        <f>E1413*F1413</f>
        <v/>
      </c>
      <c r="H1413" s="14">
        <f>C1413*G1413</f>
        <v/>
      </c>
    </row>
    <row r="1414">
      <c r="A1414" s="12" t="inlineStr">
        <is>
          <t>RET-0124</t>
        </is>
      </c>
      <c r="B1414" s="12" t="inlineStr">
        <is>
          <t>VS19</t>
        </is>
      </c>
      <c r="C1414" s="28" t="n">
        <v>0.1099</v>
      </c>
      <c r="D1414" s="12" t="inlineStr">
        <is>
          <t>PO-2021-0791</t>
        </is>
      </c>
      <c r="E1414" s="12" t="n">
        <v>1.57</v>
      </c>
      <c r="F1414" s="17" t="n">
        <v>71917.88</v>
      </c>
      <c r="G1414" s="14">
        <f>E1414*F1414</f>
        <v/>
      </c>
      <c r="H1414" s="14">
        <f>C1414*G1414</f>
        <v/>
      </c>
    </row>
    <row r="1415">
      <c r="A1415" s="12" t="inlineStr">
        <is>
          <t>RET-0124</t>
        </is>
      </c>
      <c r="B1415" s="12" t="inlineStr">
        <is>
          <t>VS20</t>
        </is>
      </c>
      <c r="C1415" s="28" t="n">
        <v>0.0132</v>
      </c>
      <c r="D1415" s="12" t="inlineStr">
        <is>
          <t>PO-2021-1580</t>
        </is>
      </c>
      <c r="E1415" s="12" t="n">
        <v>1.57</v>
      </c>
      <c r="F1415" s="17" t="n">
        <v>63285.66</v>
      </c>
      <c r="G1415" s="14">
        <f>E1415*F1415</f>
        <v/>
      </c>
      <c r="H1415" s="14">
        <f>C1415*G1415</f>
        <v/>
      </c>
    </row>
    <row r="1416">
      <c r="A1416" s="12" t="inlineStr">
        <is>
          <t>RET-0124</t>
        </is>
      </c>
      <c r="B1416" s="12" t="inlineStr">
        <is>
          <t>VS21</t>
        </is>
      </c>
      <c r="C1416" s="28" t="n">
        <v>0.0132</v>
      </c>
      <c r="D1416" s="12" t="inlineStr">
        <is>
          <t>PO-2023-4211</t>
        </is>
      </c>
      <c r="E1416" s="12" t="n">
        <v>1.57</v>
      </c>
      <c r="F1416" s="17" t="n">
        <v>116836.62</v>
      </c>
      <c r="G1416" s="14">
        <f>E1416*F1416</f>
        <v/>
      </c>
      <c r="H1416" s="14">
        <f>C1416*G1416</f>
        <v/>
      </c>
    </row>
    <row r="1417">
      <c r="A1417" s="12" t="inlineStr">
        <is>
          <t>RET-0124</t>
        </is>
      </c>
      <c r="B1417" s="12" t="inlineStr">
        <is>
          <t>VS22</t>
        </is>
      </c>
      <c r="C1417" s="28" t="n">
        <v>0.0078</v>
      </c>
      <c r="D1417" s="12" t="inlineStr">
        <is>
          <t>PO-2023-3381</t>
        </is>
      </c>
      <c r="E1417" s="12" t="n">
        <v>1.57</v>
      </c>
      <c r="F1417" s="17" t="n">
        <v>65462.15</v>
      </c>
      <c r="G1417" s="14">
        <f>E1417*F1417</f>
        <v/>
      </c>
      <c r="H1417" s="14">
        <f>C1417*G1417</f>
        <v/>
      </c>
    </row>
    <row r="1418">
      <c r="A1418" s="12" t="inlineStr">
        <is>
          <t>RET-0124</t>
        </is>
      </c>
      <c r="B1418" s="12" t="inlineStr">
        <is>
          <t>VS23</t>
        </is>
      </c>
      <c r="C1418" s="28" t="n">
        <v>0.013</v>
      </c>
      <c r="D1418" s="12" t="inlineStr">
        <is>
          <t>PO-2022-1784</t>
        </is>
      </c>
      <c r="E1418" s="12" t="n">
        <v>1.57</v>
      </c>
      <c r="F1418" s="17" t="n">
        <v>109399.79</v>
      </c>
      <c r="G1418" s="14">
        <f>E1418*F1418</f>
        <v/>
      </c>
      <c r="H1418" s="14">
        <f>C1418*G1418</f>
        <v/>
      </c>
    </row>
    <row r="1419">
      <c r="A1419" s="12" t="inlineStr">
        <is>
          <t>RET-0124</t>
        </is>
      </c>
      <c r="B1419" s="12" t="inlineStr">
        <is>
          <t>VS24</t>
        </is>
      </c>
      <c r="C1419" s="28" t="n">
        <v>0.0131</v>
      </c>
      <c r="D1419" s="12" t="inlineStr">
        <is>
          <t>PO-2021-0667</t>
        </is>
      </c>
      <c r="E1419" s="12" t="n">
        <v>1.57</v>
      </c>
      <c r="F1419" s="17" t="n">
        <v>57647.96</v>
      </c>
      <c r="G1419" s="14">
        <f>E1419*F1419</f>
        <v/>
      </c>
      <c r="H1419" s="14">
        <f>C1419*G1419</f>
        <v/>
      </c>
    </row>
    <row r="1420">
      <c r="A1420" s="12" t="inlineStr">
        <is>
          <t>RET-0124</t>
        </is>
      </c>
      <c r="B1420" s="12" t="inlineStr">
        <is>
          <t>VS25</t>
        </is>
      </c>
      <c r="C1420" s="28" t="n">
        <v>0.0238</v>
      </c>
      <c r="D1420" s="12" t="inlineStr">
        <is>
          <t>PO-2023-4636</t>
        </is>
      </c>
      <c r="E1420" s="12" t="n">
        <v>1.57</v>
      </c>
      <c r="F1420" s="17" t="n">
        <v>83912.19</v>
      </c>
      <c r="G1420" s="14">
        <f>E1420*F1420</f>
        <v/>
      </c>
      <c r="H1420" s="14">
        <f>C1420*G1420</f>
        <v/>
      </c>
    </row>
    <row r="1421">
      <c r="A1421" s="12" t="inlineStr">
        <is>
          <t>RET-0124</t>
        </is>
      </c>
      <c r="B1421" s="12" t="inlineStr">
        <is>
          <t>VS26</t>
        </is>
      </c>
      <c r="C1421" s="28" t="n">
        <v>0.0133</v>
      </c>
      <c r="D1421" s="12" t="inlineStr">
        <is>
          <t>PO-2022-2195</t>
        </is>
      </c>
      <c r="E1421" s="12" t="n">
        <v>1.57</v>
      </c>
      <c r="F1421" s="17" t="n">
        <v>92960.63</v>
      </c>
      <c r="G1421" s="14">
        <f>E1421*F1421</f>
        <v/>
      </c>
      <c r="H1421" s="14">
        <f>C1421*G1421</f>
        <v/>
      </c>
    </row>
    <row r="1422">
      <c r="A1422" s="12" t="inlineStr">
        <is>
          <t>RET-0124</t>
        </is>
      </c>
      <c r="B1422" s="12" t="inlineStr">
        <is>
          <t>VS27</t>
        </is>
      </c>
      <c r="C1422" s="28" t="n">
        <v>0.013</v>
      </c>
      <c r="D1422" s="12" t="inlineStr">
        <is>
          <t>PO-2023-3793</t>
        </is>
      </c>
      <c r="E1422" s="12" t="n">
        <v>1.57</v>
      </c>
      <c r="F1422" s="17" t="n">
        <v>102709.83</v>
      </c>
      <c r="G1422" s="14">
        <f>E1422*F1422</f>
        <v/>
      </c>
      <c r="H1422" s="14">
        <f>C1422*G1422</f>
        <v/>
      </c>
    </row>
    <row r="1423">
      <c r="A1423" s="12" t="inlineStr">
        <is>
          <t>RET-0124</t>
        </is>
      </c>
      <c r="B1423" s="12" t="inlineStr">
        <is>
          <t>VS28</t>
        </is>
      </c>
      <c r="C1423" s="28" t="n">
        <v>0.029</v>
      </c>
      <c r="D1423" s="12" t="inlineStr">
        <is>
          <t>PO-2023-4382</t>
        </is>
      </c>
      <c r="E1423" s="12" t="n">
        <v>1.57</v>
      </c>
      <c r="F1423" s="17" t="n">
        <v>107695.94</v>
      </c>
      <c r="G1423" s="14">
        <f>E1423*F1423</f>
        <v/>
      </c>
      <c r="H1423" s="14">
        <f>C1423*G1423</f>
        <v/>
      </c>
    </row>
    <row r="1424">
      <c r="A1424" s="12" t="inlineStr">
        <is>
          <t>RET-0124</t>
        </is>
      </c>
      <c r="B1424" s="12" t="inlineStr">
        <is>
          <t>VS29</t>
        </is>
      </c>
      <c r="C1424" s="28" t="n">
        <v>0.0184</v>
      </c>
      <c r="D1424" s="12" t="inlineStr">
        <is>
          <t>PO-2021-1045</t>
        </is>
      </c>
      <c r="E1424" s="12" t="n">
        <v>1.57</v>
      </c>
      <c r="F1424" s="17" t="n">
        <v>99873.03999999999</v>
      </c>
      <c r="G1424" s="14">
        <f>E1424*F1424</f>
        <v/>
      </c>
      <c r="H1424" s="14">
        <f>C1424*G1424</f>
        <v/>
      </c>
    </row>
    <row r="1425">
      <c r="A1425" s="12" t="inlineStr">
        <is>
          <t>RET-0124</t>
        </is>
      </c>
      <c r="B1425" s="12" t="inlineStr">
        <is>
          <t>VS30</t>
        </is>
      </c>
      <c r="C1425" s="28" t="n">
        <v>0.007900000000000001</v>
      </c>
      <c r="D1425" s="12" t="inlineStr">
        <is>
          <t>PO-2022-1897</t>
        </is>
      </c>
      <c r="E1425" s="12" t="n">
        <v>1.57</v>
      </c>
      <c r="F1425" s="17" t="n">
        <v>71068.39</v>
      </c>
      <c r="G1425" s="14">
        <f>E1425*F1425</f>
        <v/>
      </c>
      <c r="H1425" s="14">
        <f>C1425*G1425</f>
        <v/>
      </c>
    </row>
    <row r="1426">
      <c r="A1426" s="12" t="inlineStr">
        <is>
          <t>RET-0124</t>
        </is>
      </c>
      <c r="B1426" s="12" t="inlineStr">
        <is>
          <t>VS31</t>
        </is>
      </c>
      <c r="C1426" s="28" t="n">
        <v>0.0289</v>
      </c>
      <c r="D1426" s="12" t="inlineStr">
        <is>
          <t>PO-2022-2452</t>
        </is>
      </c>
      <c r="E1426" s="12" t="n">
        <v>1.57</v>
      </c>
      <c r="F1426" s="17" t="n">
        <v>81725.67</v>
      </c>
      <c r="G1426" s="14">
        <f>E1426*F1426</f>
        <v/>
      </c>
      <c r="H1426" s="14">
        <f>C1426*G1426</f>
        <v/>
      </c>
    </row>
    <row r="1427">
      <c r="A1427" s="12" t="inlineStr">
        <is>
          <t>RET-0124</t>
        </is>
      </c>
      <c r="B1427" s="12" t="inlineStr">
        <is>
          <t>VS32</t>
        </is>
      </c>
      <c r="C1427" s="28" t="n">
        <v>0.0344</v>
      </c>
      <c r="D1427" s="12" t="inlineStr">
        <is>
          <t>PO-2022-2288</t>
        </is>
      </c>
      <c r="E1427" s="12" t="n">
        <v>1.57</v>
      </c>
      <c r="F1427" s="17" t="n">
        <v>102254.45</v>
      </c>
      <c r="G1427" s="14">
        <f>E1427*F1427</f>
        <v/>
      </c>
      <c r="H1427" s="14">
        <f>C1427*G1427</f>
        <v/>
      </c>
    </row>
    <row r="1428">
      <c r="A1428" s="12" t="inlineStr">
        <is>
          <t>RET-0124</t>
        </is>
      </c>
      <c r="B1428" s="12" t="inlineStr">
        <is>
          <t>VS33</t>
        </is>
      </c>
      <c r="C1428" s="28" t="n">
        <v>0.0183</v>
      </c>
      <c r="D1428" s="12" t="inlineStr">
        <is>
          <t>PO-2022-2067</t>
        </is>
      </c>
      <c r="E1428" s="12" t="n">
        <v>1.57</v>
      </c>
      <c r="F1428" s="17" t="n">
        <v>73348.41</v>
      </c>
      <c r="G1428" s="14">
        <f>E1428*F1428</f>
        <v/>
      </c>
      <c r="H1428" s="14">
        <f>C1428*G1428</f>
        <v/>
      </c>
    </row>
    <row r="1429">
      <c r="A1429" s="12" t="inlineStr">
        <is>
          <t>RET-0124</t>
        </is>
      </c>
      <c r="B1429" s="12" t="inlineStr">
        <is>
          <t>VS34</t>
        </is>
      </c>
      <c r="C1429" s="28" t="n">
        <v>0.0237</v>
      </c>
      <c r="D1429" s="12" t="inlineStr">
        <is>
          <t>PO-2023-4752</t>
        </is>
      </c>
      <c r="E1429" s="12" t="n">
        <v>1.57</v>
      </c>
      <c r="F1429" s="17" t="n">
        <v>52340.01</v>
      </c>
      <c r="G1429" s="14">
        <f>E1429*F1429</f>
        <v/>
      </c>
      <c r="H1429" s="14">
        <f>C1429*G1429</f>
        <v/>
      </c>
    </row>
    <row r="1430">
      <c r="A1430" s="12" t="inlineStr">
        <is>
          <t>RET-0127</t>
        </is>
      </c>
      <c r="B1430" s="12" t="inlineStr">
        <is>
          <t>VS01</t>
        </is>
      </c>
      <c r="C1430" s="28" t="n">
        <v>0.0188</v>
      </c>
      <c r="D1430" s="12" t="inlineStr">
        <is>
          <t>PO-2023-4103</t>
        </is>
      </c>
      <c r="E1430" s="12" t="n">
        <v>0.24</v>
      </c>
      <c r="F1430" s="17" t="n">
        <v>58851.46</v>
      </c>
      <c r="G1430" s="14">
        <f>E1430*F1430</f>
        <v/>
      </c>
      <c r="H1430" s="14">
        <f>C1430*G1430</f>
        <v/>
      </c>
    </row>
    <row r="1431">
      <c r="A1431" s="12" t="inlineStr">
        <is>
          <t>RET-0127</t>
        </is>
      </c>
      <c r="B1431" s="12" t="inlineStr">
        <is>
          <t>VS02</t>
        </is>
      </c>
      <c r="C1431" s="28" t="n">
        <v>0.0086</v>
      </c>
      <c r="D1431" s="12" t="inlineStr">
        <is>
          <t>PO-2021-0480</t>
        </is>
      </c>
      <c r="E1431" s="12" t="n">
        <v>0.24</v>
      </c>
      <c r="F1431" s="17" t="n">
        <v>86696.53</v>
      </c>
      <c r="G1431" s="14">
        <f>E1431*F1431</f>
        <v/>
      </c>
      <c r="H1431" s="14">
        <f>C1431*G1431</f>
        <v/>
      </c>
    </row>
    <row r="1432">
      <c r="A1432" s="12" t="inlineStr">
        <is>
          <t>RET-0127</t>
        </is>
      </c>
      <c r="B1432" s="12" t="inlineStr">
        <is>
          <t>VS03</t>
        </is>
      </c>
      <c r="C1432" s="28" t="n">
        <v>0.1706</v>
      </c>
      <c r="D1432" s="12" t="inlineStr">
        <is>
          <t>PO-2023-3407</t>
        </is>
      </c>
      <c r="E1432" s="12" t="n">
        <v>0.24</v>
      </c>
      <c r="F1432" s="17" t="n">
        <v>98690.67999999999</v>
      </c>
      <c r="G1432" s="14">
        <f>E1432*F1432</f>
        <v/>
      </c>
      <c r="H1432" s="14">
        <f>C1432*G1432</f>
        <v/>
      </c>
    </row>
    <row r="1433">
      <c r="A1433" s="12" t="inlineStr">
        <is>
          <t>RET-0127</t>
        </is>
      </c>
      <c r="B1433" s="12" t="inlineStr">
        <is>
          <t>VS04</t>
        </is>
      </c>
      <c r="C1433" s="28" t="n">
        <v>0.0118</v>
      </c>
      <c r="D1433" s="12" t="inlineStr">
        <is>
          <t>PO-2023-3984</t>
        </is>
      </c>
      <c r="E1433" s="12" t="n">
        <v>0.24</v>
      </c>
      <c r="F1433" s="17" t="n">
        <v>70318.39</v>
      </c>
      <c r="G1433" s="14">
        <f>E1433*F1433</f>
        <v/>
      </c>
      <c r="H1433" s="14">
        <f>C1433*G1433</f>
        <v/>
      </c>
    </row>
    <row r="1434">
      <c r="A1434" s="12" t="inlineStr">
        <is>
          <t>RET-0127</t>
        </is>
      </c>
      <c r="B1434" s="12" t="inlineStr">
        <is>
          <t>VS05</t>
        </is>
      </c>
      <c r="C1434" s="28" t="n">
        <v>0.0153</v>
      </c>
      <c r="D1434" s="12" t="inlineStr">
        <is>
          <t>PO-2023-4471</t>
        </is>
      </c>
      <c r="E1434" s="12" t="n">
        <v>0.24</v>
      </c>
      <c r="F1434" s="17" t="n">
        <v>99274.86</v>
      </c>
      <c r="G1434" s="14">
        <f>E1434*F1434</f>
        <v/>
      </c>
      <c r="H1434" s="14">
        <f>C1434*G1434</f>
        <v/>
      </c>
    </row>
    <row r="1435">
      <c r="A1435" s="12" t="inlineStr">
        <is>
          <t>RET-0127</t>
        </is>
      </c>
      <c r="B1435" s="12" t="inlineStr">
        <is>
          <t>VS06</t>
        </is>
      </c>
      <c r="C1435" s="28" t="n">
        <v>0.0154</v>
      </c>
      <c r="D1435" s="12" t="inlineStr">
        <is>
          <t>PO-2021-0533</t>
        </is>
      </c>
      <c r="E1435" s="12" t="n">
        <v>0.24</v>
      </c>
      <c r="F1435" s="17" t="n">
        <v>86404.06</v>
      </c>
      <c r="G1435" s="14">
        <f>E1435*F1435</f>
        <v/>
      </c>
      <c r="H1435" s="14">
        <f>C1435*G1435</f>
        <v/>
      </c>
    </row>
    <row r="1436">
      <c r="A1436" s="12" t="inlineStr">
        <is>
          <t>RET-0127</t>
        </is>
      </c>
      <c r="B1436" s="12" t="inlineStr">
        <is>
          <t>VS07</t>
        </is>
      </c>
      <c r="C1436" s="28" t="n">
        <v>0.0052</v>
      </c>
      <c r="D1436" s="12" t="inlineStr">
        <is>
          <t>PO-2022-2020</t>
        </is>
      </c>
      <c r="E1436" s="12" t="n">
        <v>0.24</v>
      </c>
      <c r="F1436" s="17" t="n">
        <v>99404.92999999999</v>
      </c>
      <c r="G1436" s="14">
        <f>E1436*F1436</f>
        <v/>
      </c>
      <c r="H1436" s="14">
        <f>C1436*G1436</f>
        <v/>
      </c>
    </row>
    <row r="1437">
      <c r="A1437" s="12" t="inlineStr">
        <is>
          <t>RET-0127</t>
        </is>
      </c>
      <c r="B1437" s="12" t="inlineStr">
        <is>
          <t>VS08</t>
        </is>
      </c>
      <c r="C1437" s="28" t="n">
        <v>0.0155</v>
      </c>
      <c r="D1437" s="12" t="inlineStr">
        <is>
          <t>PO-2021-0439</t>
        </is>
      </c>
      <c r="E1437" s="12" t="n">
        <v>0.24</v>
      </c>
      <c r="F1437" s="17" t="n">
        <v>77204.16</v>
      </c>
      <c r="G1437" s="14">
        <f>E1437*F1437</f>
        <v/>
      </c>
      <c r="H1437" s="14">
        <f>C1437*G1437</f>
        <v/>
      </c>
    </row>
    <row r="1438">
      <c r="A1438" s="12" t="inlineStr">
        <is>
          <t>RET-0127</t>
        </is>
      </c>
      <c r="B1438" s="12" t="inlineStr">
        <is>
          <t>VS09</t>
        </is>
      </c>
      <c r="C1438" s="28" t="n">
        <v>0.0119</v>
      </c>
      <c r="D1438" s="12" t="inlineStr">
        <is>
          <t>PO-2021-1334</t>
        </is>
      </c>
      <c r="E1438" s="12" t="n">
        <v>0.24</v>
      </c>
      <c r="F1438" s="17" t="n">
        <v>111375.86</v>
      </c>
      <c r="G1438" s="14">
        <f>E1438*F1438</f>
        <v/>
      </c>
      <c r="H1438" s="14">
        <f>C1438*G1438</f>
        <v/>
      </c>
    </row>
    <row r="1439">
      <c r="A1439" s="12" t="inlineStr">
        <is>
          <t>RET-0127</t>
        </is>
      </c>
      <c r="B1439" s="12" t="inlineStr">
        <is>
          <t>VS10</t>
        </is>
      </c>
      <c r="C1439" s="28" t="n">
        <v>0.0188</v>
      </c>
      <c r="D1439" s="12" t="inlineStr">
        <is>
          <t>PO-2022-2331</t>
        </is>
      </c>
      <c r="E1439" s="12" t="n">
        <v>0.24</v>
      </c>
      <c r="F1439" s="17" t="n">
        <v>46835.99</v>
      </c>
      <c r="G1439" s="14">
        <f>E1439*F1439</f>
        <v/>
      </c>
      <c r="H1439" s="14">
        <f>C1439*G1439</f>
        <v/>
      </c>
    </row>
    <row r="1440">
      <c r="A1440" s="12" t="inlineStr">
        <is>
          <t>RET-0127</t>
        </is>
      </c>
      <c r="B1440" s="12" t="inlineStr">
        <is>
          <t>VS11</t>
        </is>
      </c>
      <c r="C1440" s="28" t="n">
        <v>0.022</v>
      </c>
      <c r="D1440" s="12" t="inlineStr">
        <is>
          <t>PO-2021-0708</t>
        </is>
      </c>
      <c r="E1440" s="12" t="n">
        <v>0.24</v>
      </c>
      <c r="F1440" s="17" t="n">
        <v>45396.8</v>
      </c>
      <c r="G1440" s="14">
        <f>E1440*F1440</f>
        <v/>
      </c>
      <c r="H1440" s="14">
        <f>C1440*G1440</f>
        <v/>
      </c>
    </row>
    <row r="1441">
      <c r="A1441" s="12" t="inlineStr">
        <is>
          <t>RET-0127</t>
        </is>
      </c>
      <c r="B1441" s="12" t="inlineStr">
        <is>
          <t>VS12</t>
        </is>
      </c>
      <c r="C1441" s="28" t="n">
        <v>0.2372</v>
      </c>
      <c r="D1441" s="12" t="inlineStr">
        <is>
          <t>PO-2021-1057</t>
        </is>
      </c>
      <c r="E1441" s="12" t="n">
        <v>0.24</v>
      </c>
      <c r="F1441" s="17" t="n">
        <v>85065.67999999999</v>
      </c>
      <c r="G1441" s="14">
        <f>E1441*F1441</f>
        <v/>
      </c>
      <c r="H1441" s="14">
        <f>C1441*G1441</f>
        <v/>
      </c>
    </row>
    <row r="1442">
      <c r="A1442" s="12" t="inlineStr">
        <is>
          <t>RET-0127</t>
        </is>
      </c>
      <c r="B1442" s="12" t="inlineStr">
        <is>
          <t>VS13</t>
        </is>
      </c>
      <c r="C1442" s="28" t="n">
        <v>0.0151</v>
      </c>
      <c r="D1442" s="12" t="inlineStr">
        <is>
          <t>PO-2022-1953</t>
        </is>
      </c>
      <c r="E1442" s="12" t="n">
        <v>0.24</v>
      </c>
      <c r="F1442" s="17" t="n">
        <v>114989.43</v>
      </c>
      <c r="G1442" s="14">
        <f>E1442*F1442</f>
        <v/>
      </c>
      <c r="H1442" s="14">
        <f>C1442*G1442</f>
        <v/>
      </c>
    </row>
    <row r="1443">
      <c r="A1443" s="12" t="inlineStr">
        <is>
          <t>RET-0127</t>
        </is>
      </c>
      <c r="B1443" s="12" t="inlineStr">
        <is>
          <t>VS14</t>
        </is>
      </c>
      <c r="C1443" s="28" t="n">
        <v>0.0153</v>
      </c>
      <c r="D1443" s="12" t="inlineStr">
        <is>
          <t>PO-2022-2404</t>
        </is>
      </c>
      <c r="E1443" s="12" t="n">
        <v>0.24</v>
      </c>
      <c r="F1443" s="17" t="n">
        <v>76423.21000000001</v>
      </c>
      <c r="G1443" s="14">
        <f>E1443*F1443</f>
        <v/>
      </c>
      <c r="H1443" s="14">
        <f>C1443*G1443</f>
        <v/>
      </c>
    </row>
    <row r="1444">
      <c r="A1444" s="12" t="inlineStr">
        <is>
          <t>RET-0127</t>
        </is>
      </c>
      <c r="B1444" s="12" t="inlineStr">
        <is>
          <t>VS15</t>
        </is>
      </c>
      <c r="C1444" s="28" t="n">
        <v>0.0051</v>
      </c>
      <c r="D1444" s="12" t="inlineStr">
        <is>
          <t>PO-2021-0049</t>
        </is>
      </c>
      <c r="E1444" s="12" t="n">
        <v>0.24</v>
      </c>
      <c r="F1444" s="17" t="n">
        <v>97981.44</v>
      </c>
      <c r="G1444" s="14">
        <f>E1444*F1444</f>
        <v/>
      </c>
      <c r="H1444" s="14">
        <f>C1444*G1444</f>
        <v/>
      </c>
    </row>
    <row r="1445">
      <c r="A1445" s="12" t="inlineStr">
        <is>
          <t>RET-0127</t>
        </is>
      </c>
      <c r="B1445" s="12" t="inlineStr">
        <is>
          <t>VS16</t>
        </is>
      </c>
      <c r="C1445" s="28" t="n">
        <v>0.0221</v>
      </c>
      <c r="D1445" s="12" t="inlineStr">
        <is>
          <t>PO-2021-0129</t>
        </is>
      </c>
      <c r="E1445" s="12" t="n">
        <v>0.24</v>
      </c>
      <c r="F1445" s="17" t="n">
        <v>88110.89</v>
      </c>
      <c r="G1445" s="14">
        <f>E1445*F1445</f>
        <v/>
      </c>
      <c r="H1445" s="14">
        <f>C1445*G1445</f>
        <v/>
      </c>
    </row>
    <row r="1446">
      <c r="A1446" s="12" t="inlineStr">
        <is>
          <t>RET-0127</t>
        </is>
      </c>
      <c r="B1446" s="12" t="inlineStr">
        <is>
          <t>VS17</t>
        </is>
      </c>
      <c r="C1446" s="28" t="n">
        <v>0.022</v>
      </c>
      <c r="D1446" s="12" t="inlineStr">
        <is>
          <t>PO-2022-2592</t>
        </is>
      </c>
      <c r="E1446" s="12" t="n">
        <v>0.24</v>
      </c>
      <c r="F1446" s="17" t="n">
        <v>66050.11</v>
      </c>
      <c r="G1446" s="14">
        <f>E1446*F1446</f>
        <v/>
      </c>
      <c r="H1446" s="14">
        <f>C1446*G1446</f>
        <v/>
      </c>
    </row>
    <row r="1447">
      <c r="A1447" s="12" t="inlineStr">
        <is>
          <t>RET-0127</t>
        </is>
      </c>
      <c r="B1447" s="12" t="inlineStr">
        <is>
          <t>VS18</t>
        </is>
      </c>
      <c r="C1447" s="28" t="n">
        <v>0.0153</v>
      </c>
      <c r="D1447" s="12" t="inlineStr">
        <is>
          <t>PO-2021-0489</t>
        </is>
      </c>
      <c r="E1447" s="12" t="n">
        <v>0.24</v>
      </c>
      <c r="F1447" s="17" t="n">
        <v>59959.34</v>
      </c>
      <c r="G1447" s="14">
        <f>E1447*F1447</f>
        <v/>
      </c>
      <c r="H1447" s="14">
        <f>C1447*G1447</f>
        <v/>
      </c>
    </row>
    <row r="1448">
      <c r="A1448" s="12" t="inlineStr">
        <is>
          <t>RET-0127</t>
        </is>
      </c>
      <c r="B1448" s="12" t="inlineStr">
        <is>
          <t>VS19</t>
        </is>
      </c>
      <c r="C1448" s="28" t="n">
        <v>0.1789</v>
      </c>
      <c r="D1448" s="12" t="inlineStr">
        <is>
          <t>PO-2021-1210</t>
        </is>
      </c>
      <c r="E1448" s="12" t="n">
        <v>0.24</v>
      </c>
      <c r="F1448" s="17" t="n">
        <v>47414.19</v>
      </c>
      <c r="G1448" s="14">
        <f>E1448*F1448</f>
        <v/>
      </c>
      <c r="H1448" s="14">
        <f>C1448*G1448</f>
        <v/>
      </c>
    </row>
    <row r="1449">
      <c r="A1449" s="12" t="inlineStr">
        <is>
          <t>RET-0127</t>
        </is>
      </c>
      <c r="B1449" s="12" t="inlineStr">
        <is>
          <t>VS20</t>
        </is>
      </c>
      <c r="C1449" s="28" t="n">
        <v>0.008500000000000001</v>
      </c>
      <c r="D1449" s="12" t="inlineStr">
        <is>
          <t>PO-2021-0919</t>
        </is>
      </c>
      <c r="E1449" s="12" t="n">
        <v>0.24</v>
      </c>
      <c r="F1449" s="17" t="n">
        <v>53155.85</v>
      </c>
      <c r="G1449" s="14">
        <f>E1449*F1449</f>
        <v/>
      </c>
      <c r="H1449" s="14">
        <f>C1449*G1449</f>
        <v/>
      </c>
    </row>
    <row r="1450">
      <c r="A1450" s="12" t="inlineStr">
        <is>
          <t>RET-0127</t>
        </is>
      </c>
      <c r="B1450" s="12" t="inlineStr">
        <is>
          <t>VS21</t>
        </is>
      </c>
      <c r="C1450" s="28" t="n">
        <v>0.008500000000000001</v>
      </c>
      <c r="D1450" s="12" t="inlineStr">
        <is>
          <t>PO-2021-0450</t>
        </is>
      </c>
      <c r="E1450" s="12" t="n">
        <v>0.24</v>
      </c>
      <c r="F1450" s="17" t="n">
        <v>102241.81</v>
      </c>
      <c r="G1450" s="14">
        <f>E1450*F1450</f>
        <v/>
      </c>
      <c r="H1450" s="14">
        <f>C1450*G1450</f>
        <v/>
      </c>
    </row>
    <row r="1451">
      <c r="A1451" s="12" t="inlineStr">
        <is>
          <t>RET-0127</t>
        </is>
      </c>
      <c r="B1451" s="12" t="inlineStr">
        <is>
          <t>VS22</t>
        </is>
      </c>
      <c r="C1451" s="28" t="n">
        <v>0.0051</v>
      </c>
      <c r="D1451" s="12" t="inlineStr">
        <is>
          <t>PO-2022-2810</t>
        </is>
      </c>
      <c r="E1451" s="12" t="n">
        <v>0.24</v>
      </c>
      <c r="F1451" s="17" t="n">
        <v>88158.28</v>
      </c>
      <c r="G1451" s="14">
        <f>E1451*F1451</f>
        <v/>
      </c>
      <c r="H1451" s="14">
        <f>C1451*G1451</f>
        <v/>
      </c>
    </row>
    <row r="1452">
      <c r="A1452" s="12" t="inlineStr">
        <is>
          <t>RET-0127</t>
        </is>
      </c>
      <c r="B1452" s="12" t="inlineStr">
        <is>
          <t>VS23</t>
        </is>
      </c>
      <c r="C1452" s="28" t="n">
        <v>0.008399999999999999</v>
      </c>
      <c r="D1452" s="12" t="inlineStr">
        <is>
          <t>PO-2023-4082</t>
        </is>
      </c>
      <c r="E1452" s="12" t="n">
        <v>0.24</v>
      </c>
      <c r="F1452" s="17" t="n">
        <v>92527.92999999999</v>
      </c>
      <c r="G1452" s="14">
        <f>E1452*F1452</f>
        <v/>
      </c>
      <c r="H1452" s="14">
        <f>C1452*G1452</f>
        <v/>
      </c>
    </row>
    <row r="1453">
      <c r="A1453" s="12" t="inlineStr">
        <is>
          <t>RET-0127</t>
        </is>
      </c>
      <c r="B1453" s="12" t="inlineStr">
        <is>
          <t>VS24</t>
        </is>
      </c>
      <c r="C1453" s="28" t="n">
        <v>0.008500000000000001</v>
      </c>
      <c r="D1453" s="12" t="inlineStr">
        <is>
          <t>PO-2022-2445</t>
        </is>
      </c>
      <c r="E1453" s="12" t="n">
        <v>0.24</v>
      </c>
      <c r="F1453" s="17" t="n">
        <v>107727.93</v>
      </c>
      <c r="G1453" s="14">
        <f>E1453*F1453</f>
        <v/>
      </c>
      <c r="H1453" s="14">
        <f>C1453*G1453</f>
        <v/>
      </c>
    </row>
    <row r="1454">
      <c r="A1454" s="12" t="inlineStr">
        <is>
          <t>RET-0127</t>
        </is>
      </c>
      <c r="B1454" s="12" t="inlineStr">
        <is>
          <t>VS25</t>
        </is>
      </c>
      <c r="C1454" s="28" t="n">
        <v>0.0154</v>
      </c>
      <c r="D1454" s="12" t="inlineStr">
        <is>
          <t>PO-2023-4122</t>
        </is>
      </c>
      <c r="E1454" s="12" t="n">
        <v>0.24</v>
      </c>
      <c r="F1454" s="17" t="n">
        <v>69938.67</v>
      </c>
      <c r="G1454" s="14">
        <f>E1454*F1454</f>
        <v/>
      </c>
      <c r="H1454" s="14">
        <f>C1454*G1454</f>
        <v/>
      </c>
    </row>
    <row r="1455">
      <c r="A1455" s="12" t="inlineStr">
        <is>
          <t>RET-0127</t>
        </is>
      </c>
      <c r="B1455" s="12" t="inlineStr">
        <is>
          <t>VS26</t>
        </is>
      </c>
      <c r="C1455" s="28" t="n">
        <v>0.0086</v>
      </c>
      <c r="D1455" s="12" t="inlineStr">
        <is>
          <t>PO-2023-3378</t>
        </is>
      </c>
      <c r="E1455" s="12" t="n">
        <v>0.24</v>
      </c>
      <c r="F1455" s="17" t="n">
        <v>116500.58</v>
      </c>
      <c r="G1455" s="14">
        <f>E1455*F1455</f>
        <v/>
      </c>
      <c r="H1455" s="14">
        <f>C1455*G1455</f>
        <v/>
      </c>
    </row>
    <row r="1456">
      <c r="A1456" s="12" t="inlineStr">
        <is>
          <t>RET-0127</t>
        </is>
      </c>
      <c r="B1456" s="12" t="inlineStr">
        <is>
          <t>VS27</t>
        </is>
      </c>
      <c r="C1456" s="28" t="n">
        <v>0.008399999999999999</v>
      </c>
      <c r="D1456" s="12" t="inlineStr">
        <is>
          <t>PO-2023-3477</t>
        </is>
      </c>
      <c r="E1456" s="12" t="n">
        <v>0.24</v>
      </c>
      <c r="F1456" s="17" t="n">
        <v>70733.66</v>
      </c>
      <c r="G1456" s="14">
        <f>E1456*F1456</f>
        <v/>
      </c>
      <c r="H1456" s="14">
        <f>C1456*G1456</f>
        <v/>
      </c>
    </row>
    <row r="1457">
      <c r="A1457" s="12" t="inlineStr">
        <is>
          <t>RET-0127</t>
        </is>
      </c>
      <c r="B1457" s="12" t="inlineStr">
        <is>
          <t>VS28</t>
        </is>
      </c>
      <c r="C1457" s="28" t="n">
        <v>0.0188</v>
      </c>
      <c r="D1457" s="12" t="inlineStr">
        <is>
          <t>PO-2021-0386</t>
        </is>
      </c>
      <c r="E1457" s="12" t="n">
        <v>0.24</v>
      </c>
      <c r="F1457" s="17" t="n">
        <v>119302.55</v>
      </c>
      <c r="G1457" s="14">
        <f>E1457*F1457</f>
        <v/>
      </c>
      <c r="H1457" s="14">
        <f>C1457*G1457</f>
        <v/>
      </c>
    </row>
    <row r="1458">
      <c r="A1458" s="12" t="inlineStr">
        <is>
          <t>RET-0127</t>
        </is>
      </c>
      <c r="B1458" s="12" t="inlineStr">
        <is>
          <t>VS29</t>
        </is>
      </c>
      <c r="C1458" s="28" t="n">
        <v>0.0119</v>
      </c>
      <c r="D1458" s="12" t="inlineStr">
        <is>
          <t>PO-2023-4378</t>
        </is>
      </c>
      <c r="E1458" s="12" t="n">
        <v>0.24</v>
      </c>
      <c r="F1458" s="17" t="n">
        <v>74638.00999999999</v>
      </c>
      <c r="G1458" s="14">
        <f>E1458*F1458</f>
        <v/>
      </c>
      <c r="H1458" s="14">
        <f>C1458*G1458</f>
        <v/>
      </c>
    </row>
    <row r="1459">
      <c r="A1459" s="12" t="inlineStr">
        <is>
          <t>RET-0127</t>
        </is>
      </c>
      <c r="B1459" s="12" t="inlineStr">
        <is>
          <t>VS30</t>
        </is>
      </c>
      <c r="C1459" s="28" t="n">
        <v>0.0051</v>
      </c>
      <c r="D1459" s="12" t="inlineStr">
        <is>
          <t>PO-2021-0718</t>
        </is>
      </c>
      <c r="E1459" s="12" t="n">
        <v>0.24</v>
      </c>
      <c r="F1459" s="17" t="n">
        <v>64583.06</v>
      </c>
      <c r="G1459" s="14">
        <f>E1459*F1459</f>
        <v/>
      </c>
      <c r="H1459" s="14">
        <f>C1459*G1459</f>
        <v/>
      </c>
    </row>
    <row r="1460">
      <c r="A1460" s="12" t="inlineStr">
        <is>
          <t>RET-0127</t>
        </is>
      </c>
      <c r="B1460" s="12" t="inlineStr">
        <is>
          <t>VS31</t>
        </is>
      </c>
      <c r="C1460" s="28" t="n">
        <v>0.0187</v>
      </c>
      <c r="D1460" s="12" t="inlineStr">
        <is>
          <t>PO-2022-2053</t>
        </is>
      </c>
      <c r="E1460" s="12" t="n">
        <v>0.24</v>
      </c>
      <c r="F1460" s="17" t="n">
        <v>76281.72</v>
      </c>
      <c r="G1460" s="14">
        <f>E1460*F1460</f>
        <v/>
      </c>
      <c r="H1460" s="14">
        <f>C1460*G1460</f>
        <v/>
      </c>
    </row>
    <row r="1461">
      <c r="A1461" s="12" t="inlineStr">
        <is>
          <t>RET-0127</t>
        </is>
      </c>
      <c r="B1461" s="12" t="inlineStr">
        <is>
          <t>VS32</t>
        </is>
      </c>
      <c r="C1461" s="28" t="n">
        <v>0.0222</v>
      </c>
      <c r="D1461" s="12" t="inlineStr">
        <is>
          <t>PO-2023-4731</t>
        </is>
      </c>
      <c r="E1461" s="12" t="n">
        <v>0.24</v>
      </c>
      <c r="F1461" s="17" t="n">
        <v>97045.02</v>
      </c>
      <c r="G1461" s="14">
        <f>E1461*F1461</f>
        <v/>
      </c>
      <c r="H1461" s="14">
        <f>C1461*G1461</f>
        <v/>
      </c>
    </row>
    <row r="1462">
      <c r="A1462" s="12" t="inlineStr">
        <is>
          <t>RET-0127</t>
        </is>
      </c>
      <c r="B1462" s="12" t="inlineStr">
        <is>
          <t>VS33</t>
        </is>
      </c>
      <c r="C1462" s="28" t="n">
        <v>0.0119</v>
      </c>
      <c r="D1462" s="12" t="inlineStr">
        <is>
          <t>PO-2023-3365</t>
        </is>
      </c>
      <c r="E1462" s="12" t="n">
        <v>0.24</v>
      </c>
      <c r="F1462" s="17" t="n">
        <v>111207.3</v>
      </c>
      <c r="G1462" s="14">
        <f>E1462*F1462</f>
        <v/>
      </c>
      <c r="H1462" s="14">
        <f>C1462*G1462</f>
        <v/>
      </c>
    </row>
    <row r="1463">
      <c r="A1463" s="12" t="inlineStr">
        <is>
          <t>RET-0127</t>
        </is>
      </c>
      <c r="B1463" s="12" t="inlineStr">
        <is>
          <t>VS34</t>
        </is>
      </c>
      <c r="C1463" s="28" t="n">
        <v>0.0153</v>
      </c>
      <c r="D1463" s="12" t="inlineStr">
        <is>
          <t>PO-2023-3835</t>
        </is>
      </c>
      <c r="E1463" s="12" t="n">
        <v>0.24</v>
      </c>
      <c r="F1463" s="17" t="n">
        <v>117093.45</v>
      </c>
      <c r="G1463" s="14">
        <f>E1463*F1463</f>
        <v/>
      </c>
      <c r="H1463" s="14">
        <f>C1463*G1463</f>
        <v/>
      </c>
    </row>
    <row r="1464">
      <c r="A1464" s="12" t="inlineStr">
        <is>
          <t>RET-0128</t>
        </is>
      </c>
      <c r="B1464" s="12" t="inlineStr">
        <is>
          <t>VS01</t>
        </is>
      </c>
      <c r="C1464" s="28" t="n">
        <v>0.0198</v>
      </c>
      <c r="D1464" s="12" t="inlineStr">
        <is>
          <t>PO-2023-4280</t>
        </is>
      </c>
      <c r="E1464" s="12" t="n">
        <v>4.03</v>
      </c>
      <c r="F1464" s="17" t="n">
        <v>117934.93</v>
      </c>
      <c r="G1464" s="14">
        <f>E1464*F1464</f>
        <v/>
      </c>
      <c r="H1464" s="14">
        <f>C1464*G1464</f>
        <v/>
      </c>
    </row>
    <row r="1465">
      <c r="A1465" s="12" t="inlineStr">
        <is>
          <t>RET-0128</t>
        </is>
      </c>
      <c r="B1465" s="12" t="inlineStr">
        <is>
          <t>VS02</t>
        </is>
      </c>
      <c r="C1465" s="28" t="n">
        <v>0.008999999999999999</v>
      </c>
      <c r="D1465" s="12" t="inlineStr">
        <is>
          <t>PO-2023-3787</t>
        </is>
      </c>
      <c r="E1465" s="12" t="n">
        <v>4.03</v>
      </c>
      <c r="F1465" s="17" t="n">
        <v>55424.92</v>
      </c>
      <c r="G1465" s="14">
        <f>E1465*F1465</f>
        <v/>
      </c>
      <c r="H1465" s="14">
        <f>C1465*G1465</f>
        <v/>
      </c>
    </row>
    <row r="1466">
      <c r="A1466" s="12" t="inlineStr">
        <is>
          <t>RET-0128</t>
        </is>
      </c>
      <c r="B1466" s="12" t="inlineStr">
        <is>
          <t>VS03</t>
        </is>
      </c>
      <c r="C1466" s="28" t="n">
        <v>0.1644</v>
      </c>
      <c r="D1466" s="12" t="inlineStr">
        <is>
          <t>PO-2023-4299</t>
        </is>
      </c>
      <c r="E1466" s="12" t="n">
        <v>4.03</v>
      </c>
      <c r="F1466" s="17" t="n">
        <v>52114.74</v>
      </c>
      <c r="G1466" s="14">
        <f>E1466*F1466</f>
        <v/>
      </c>
      <c r="H1466" s="14">
        <f>C1466*G1466</f>
        <v/>
      </c>
    </row>
    <row r="1467">
      <c r="A1467" s="12" t="inlineStr">
        <is>
          <t>RET-0128</t>
        </is>
      </c>
      <c r="B1467" s="12" t="inlineStr">
        <is>
          <t>VS04</t>
        </is>
      </c>
      <c r="C1467" s="28" t="n">
        <v>0.0124</v>
      </c>
      <c r="D1467" s="12" t="inlineStr">
        <is>
          <t>PO-2021-0166</t>
        </is>
      </c>
      <c r="E1467" s="12" t="n">
        <v>4.03</v>
      </c>
      <c r="F1467" s="17" t="n">
        <v>71373.46000000001</v>
      </c>
      <c r="G1467" s="14">
        <f>E1467*F1467</f>
        <v/>
      </c>
      <c r="H1467" s="14">
        <f>C1467*G1467</f>
        <v/>
      </c>
    </row>
    <row r="1468">
      <c r="A1468" s="12" t="inlineStr">
        <is>
          <t>RET-0128</t>
        </is>
      </c>
      <c r="B1468" s="12" t="inlineStr">
        <is>
          <t>VS05</t>
        </is>
      </c>
      <c r="C1468" s="28" t="n">
        <v>0.0161</v>
      </c>
      <c r="D1468" s="12" t="inlineStr">
        <is>
          <t>PO-2022-2511</t>
        </is>
      </c>
      <c r="E1468" s="12" t="n">
        <v>4.03</v>
      </c>
      <c r="F1468" s="17" t="n">
        <v>83442.11</v>
      </c>
      <c r="G1468" s="14">
        <f>E1468*F1468</f>
        <v/>
      </c>
      <c r="H1468" s="14">
        <f>C1468*G1468</f>
        <v/>
      </c>
    </row>
    <row r="1469">
      <c r="A1469" s="12" t="inlineStr">
        <is>
          <t>RET-0128</t>
        </is>
      </c>
      <c r="B1469" s="12" t="inlineStr">
        <is>
          <t>VS06</t>
        </is>
      </c>
      <c r="C1469" s="28" t="n">
        <v>0.0162</v>
      </c>
      <c r="D1469" s="12" t="inlineStr">
        <is>
          <t>PO-2021-0994</t>
        </is>
      </c>
      <c r="E1469" s="12" t="n">
        <v>4.03</v>
      </c>
      <c r="F1469" s="17" t="n">
        <v>45342.75</v>
      </c>
      <c r="G1469" s="14">
        <f>E1469*F1469</f>
        <v/>
      </c>
      <c r="H1469" s="14">
        <f>C1469*G1469</f>
        <v/>
      </c>
    </row>
    <row r="1470">
      <c r="A1470" s="12" t="inlineStr">
        <is>
          <t>RET-0128</t>
        </is>
      </c>
      <c r="B1470" s="12" t="inlineStr">
        <is>
          <t>VS07</t>
        </is>
      </c>
      <c r="C1470" s="28" t="n">
        <v>0.0054</v>
      </c>
      <c r="D1470" s="12" t="inlineStr">
        <is>
          <t>PO-2022-2089</t>
        </is>
      </c>
      <c r="E1470" s="12" t="n">
        <v>4.03</v>
      </c>
      <c r="F1470" s="17" t="n">
        <v>60771.89</v>
      </c>
      <c r="G1470" s="14">
        <f>E1470*F1470</f>
        <v/>
      </c>
      <c r="H1470" s="14">
        <f>C1470*G1470</f>
        <v/>
      </c>
    </row>
    <row r="1471">
      <c r="A1471" s="12" t="inlineStr">
        <is>
          <t>RET-0128</t>
        </is>
      </c>
      <c r="B1471" s="12" t="inlineStr">
        <is>
          <t>VS08</t>
        </is>
      </c>
      <c r="C1471" s="28" t="n">
        <v>0.0164</v>
      </c>
      <c r="D1471" s="12" t="inlineStr">
        <is>
          <t>PO-2021-1060</t>
        </is>
      </c>
      <c r="E1471" s="12" t="n">
        <v>4.03</v>
      </c>
      <c r="F1471" s="17" t="n">
        <v>81891.49000000001</v>
      </c>
      <c r="G1471" s="14">
        <f>E1471*F1471</f>
        <v/>
      </c>
      <c r="H1471" s="14">
        <f>C1471*G1471</f>
        <v/>
      </c>
    </row>
    <row r="1472">
      <c r="A1472" s="12" t="inlineStr">
        <is>
          <t>RET-0128</t>
        </is>
      </c>
      <c r="B1472" s="12" t="inlineStr">
        <is>
          <t>VS09</t>
        </is>
      </c>
      <c r="C1472" s="28" t="n">
        <v>0.0126</v>
      </c>
      <c r="D1472" s="12" t="inlineStr">
        <is>
          <t>PO-2023-4224</t>
        </is>
      </c>
      <c r="E1472" s="12" t="n">
        <v>4.03</v>
      </c>
      <c r="F1472" s="17" t="n">
        <v>69824.55</v>
      </c>
      <c r="G1472" s="14">
        <f>E1472*F1472</f>
        <v/>
      </c>
      <c r="H1472" s="14">
        <f>C1472*G1472</f>
        <v/>
      </c>
    </row>
    <row r="1473">
      <c r="A1473" s="12" t="inlineStr">
        <is>
          <t>RET-0128</t>
        </is>
      </c>
      <c r="B1473" s="12" t="inlineStr">
        <is>
          <t>VS10</t>
        </is>
      </c>
      <c r="C1473" s="28" t="n">
        <v>0.0197</v>
      </c>
      <c r="D1473" s="12" t="inlineStr">
        <is>
          <t>PO-2023-3857</t>
        </is>
      </c>
      <c r="E1473" s="12" t="n">
        <v>4.03</v>
      </c>
      <c r="F1473" s="17" t="n">
        <v>45504.57</v>
      </c>
      <c r="G1473" s="14">
        <f>E1473*F1473</f>
        <v/>
      </c>
      <c r="H1473" s="14">
        <f>C1473*G1473</f>
        <v/>
      </c>
    </row>
    <row r="1474">
      <c r="A1474" s="12" t="inlineStr">
        <is>
          <t>RET-0128</t>
        </is>
      </c>
      <c r="B1474" s="12" t="inlineStr">
        <is>
          <t>VS11</t>
        </is>
      </c>
      <c r="C1474" s="28" t="n">
        <v>0.0231</v>
      </c>
      <c r="D1474" s="12" t="inlineStr">
        <is>
          <t>PO-2023-4316</t>
        </is>
      </c>
      <c r="E1474" s="12" t="n">
        <v>4.03</v>
      </c>
      <c r="F1474" s="17" t="n">
        <v>75013.48</v>
      </c>
      <c r="G1474" s="14">
        <f>E1474*F1474</f>
        <v/>
      </c>
      <c r="H1474" s="14">
        <f>C1474*G1474</f>
        <v/>
      </c>
    </row>
    <row r="1475">
      <c r="A1475" s="12" t="inlineStr">
        <is>
          <t>RET-0128</t>
        </is>
      </c>
      <c r="B1475" s="12" t="inlineStr">
        <is>
          <t>VS12</t>
        </is>
      </c>
      <c r="C1475" s="28" t="n">
        <v>0.2284</v>
      </c>
      <c r="D1475" s="12" t="inlineStr">
        <is>
          <t>PO-2022-1818</t>
        </is>
      </c>
      <c r="E1475" s="12" t="n">
        <v>1.499</v>
      </c>
      <c r="F1475" s="17" t="n">
        <v>74074.06</v>
      </c>
      <c r="G1475" s="14">
        <f>E1475*F1475</f>
        <v/>
      </c>
      <c r="H1475" s="14">
        <f>C1475*G1475</f>
        <v/>
      </c>
    </row>
    <row r="1476">
      <c r="A1476" s="12" t="inlineStr">
        <is>
          <t>RET-0128</t>
        </is>
      </c>
      <c r="B1476" s="12" t="inlineStr">
        <is>
          <t>VS13</t>
        </is>
      </c>
      <c r="C1476" s="28" t="n">
        <v>0.0159</v>
      </c>
      <c r="D1476" s="12" t="inlineStr">
        <is>
          <t>PO-2023-4406</t>
        </is>
      </c>
      <c r="E1476" s="12" t="n">
        <v>4.03</v>
      </c>
      <c r="F1476" s="17" t="n">
        <v>109211.22</v>
      </c>
      <c r="G1476" s="14">
        <f>E1476*F1476</f>
        <v/>
      </c>
      <c r="H1476" s="14">
        <f>C1476*G1476</f>
        <v/>
      </c>
    </row>
    <row r="1477">
      <c r="A1477" s="12" t="inlineStr">
        <is>
          <t>RET-0128</t>
        </is>
      </c>
      <c r="B1477" s="12" t="inlineStr">
        <is>
          <t>VS14</t>
        </is>
      </c>
      <c r="C1477" s="28" t="n">
        <v>0.0161</v>
      </c>
      <c r="D1477" s="12" t="inlineStr">
        <is>
          <t>PO-2021-1522</t>
        </is>
      </c>
      <c r="E1477" s="12" t="n">
        <v>4.03</v>
      </c>
      <c r="F1477" s="17" t="n">
        <v>116935.12</v>
      </c>
      <c r="G1477" s="14">
        <f>E1477*F1477</f>
        <v/>
      </c>
      <c r="H1477" s="14">
        <f>C1477*G1477</f>
        <v/>
      </c>
    </row>
    <row r="1478">
      <c r="A1478" s="12" t="inlineStr">
        <is>
          <t>RET-0128</t>
        </is>
      </c>
      <c r="B1478" s="12" t="inlineStr">
        <is>
          <t>VS15</t>
        </is>
      </c>
      <c r="C1478" s="28" t="n">
        <v>0.0054</v>
      </c>
      <c r="D1478" s="12" t="inlineStr">
        <is>
          <t>PO-2023-3635</t>
        </is>
      </c>
      <c r="E1478" s="12" t="n">
        <v>4.03</v>
      </c>
      <c r="F1478" s="17" t="n">
        <v>52010.43</v>
      </c>
      <c r="G1478" s="14">
        <f>E1478*F1478</f>
        <v/>
      </c>
      <c r="H1478" s="14">
        <f>C1478*G1478</f>
        <v/>
      </c>
    </row>
    <row r="1479">
      <c r="A1479" s="12" t="inlineStr">
        <is>
          <t>RET-0128</t>
        </is>
      </c>
      <c r="B1479" s="12" t="inlineStr">
        <is>
          <t>VS16</t>
        </is>
      </c>
      <c r="C1479" s="28" t="n">
        <v>0.0232</v>
      </c>
      <c r="D1479" s="12" t="inlineStr">
        <is>
          <t>PO-2023-4746</t>
        </is>
      </c>
      <c r="E1479" s="12" t="n">
        <v>4.03</v>
      </c>
      <c r="F1479" s="17" t="n">
        <v>71197.46000000001</v>
      </c>
      <c r="G1479" s="14">
        <f>E1479*F1479</f>
        <v/>
      </c>
      <c r="H1479" s="14">
        <f>C1479*G1479</f>
        <v/>
      </c>
    </row>
    <row r="1480">
      <c r="A1480" s="12" t="inlineStr">
        <is>
          <t>RET-0128</t>
        </is>
      </c>
      <c r="B1480" s="12" t="inlineStr">
        <is>
          <t>VS17</t>
        </is>
      </c>
      <c r="C1480" s="28" t="n">
        <v>0.0231</v>
      </c>
      <c r="D1480" s="12" t="inlineStr">
        <is>
          <t>PO-2022-2708</t>
        </is>
      </c>
      <c r="E1480" s="12" t="n">
        <v>4.03</v>
      </c>
      <c r="F1480" s="17" t="n">
        <v>89705.41</v>
      </c>
      <c r="G1480" s="14">
        <f>E1480*F1480</f>
        <v/>
      </c>
      <c r="H1480" s="14">
        <f>C1480*G1480</f>
        <v/>
      </c>
    </row>
    <row r="1481">
      <c r="A1481" s="12" t="inlineStr">
        <is>
          <t>RET-0128</t>
        </is>
      </c>
      <c r="B1481" s="12" t="inlineStr">
        <is>
          <t>VS18</t>
        </is>
      </c>
      <c r="C1481" s="28" t="n">
        <v>0.0161</v>
      </c>
      <c r="D1481" s="12" t="inlineStr">
        <is>
          <t>PO-2023-4086</t>
        </is>
      </c>
      <c r="E1481" s="12" t="n">
        <v>4.03</v>
      </c>
      <c r="F1481" s="17" t="n">
        <v>64186.35</v>
      </c>
      <c r="G1481" s="14">
        <f>E1481*F1481</f>
        <v/>
      </c>
      <c r="H1481" s="14">
        <f>C1481*G1481</f>
        <v/>
      </c>
    </row>
    <row r="1482">
      <c r="A1482" s="12" t="inlineStr">
        <is>
          <t>RET-0128</t>
        </is>
      </c>
      <c r="B1482" s="12" t="inlineStr">
        <is>
          <t>VS19</t>
        </is>
      </c>
      <c r="C1482" s="28" t="n">
        <v>0.1723</v>
      </c>
      <c r="D1482" s="12" t="inlineStr">
        <is>
          <t>PO-2022-1777</t>
        </is>
      </c>
      <c r="E1482" s="12" t="n">
        <v>4.03</v>
      </c>
      <c r="F1482" s="17" t="n">
        <v>121609.13</v>
      </c>
      <c r="G1482" s="14">
        <f>E1482*F1482</f>
        <v/>
      </c>
      <c r="H1482" s="14">
        <f>C1482*G1482</f>
        <v/>
      </c>
    </row>
    <row r="1483">
      <c r="A1483" s="12" t="inlineStr">
        <is>
          <t>RET-0128</t>
        </is>
      </c>
      <c r="B1483" s="12" t="inlineStr">
        <is>
          <t>VS20</t>
        </is>
      </c>
      <c r="C1483" s="28" t="n">
        <v>0.008999999999999999</v>
      </c>
      <c r="D1483" s="12" t="inlineStr">
        <is>
          <t>PO-2022-2233</t>
        </is>
      </c>
      <c r="E1483" s="12" t="n">
        <v>4.03</v>
      </c>
      <c r="F1483" s="17" t="n">
        <v>96227.39999999999</v>
      </c>
      <c r="G1483" s="14">
        <f>E1483*F1483</f>
        <v/>
      </c>
      <c r="H1483" s="14">
        <f>C1483*G1483</f>
        <v/>
      </c>
    </row>
    <row r="1484">
      <c r="A1484" s="12" t="inlineStr">
        <is>
          <t>RET-0128</t>
        </is>
      </c>
      <c r="B1484" s="12" t="inlineStr">
        <is>
          <t>VS21</t>
        </is>
      </c>
      <c r="C1484" s="28" t="n">
        <v>0.008999999999999999</v>
      </c>
      <c r="D1484" s="12" t="inlineStr">
        <is>
          <t>PO-2023-3648</t>
        </is>
      </c>
      <c r="E1484" s="12" t="n">
        <v>4.03</v>
      </c>
      <c r="F1484" s="17" t="n">
        <v>84755.72</v>
      </c>
      <c r="G1484" s="14">
        <f>E1484*F1484</f>
        <v/>
      </c>
      <c r="H1484" s="14">
        <f>C1484*G1484</f>
        <v/>
      </c>
    </row>
    <row r="1485">
      <c r="A1485" s="12" t="inlineStr">
        <is>
          <t>RET-0128</t>
        </is>
      </c>
      <c r="B1485" s="12" t="inlineStr">
        <is>
          <t>VS22</t>
        </is>
      </c>
      <c r="C1485" s="28" t="n">
        <v>0.0053</v>
      </c>
      <c r="D1485" s="12" t="inlineStr">
        <is>
          <t>PO-2021-1044</t>
        </is>
      </c>
      <c r="E1485" s="12" t="n">
        <v>4.03</v>
      </c>
      <c r="F1485" s="17" t="n">
        <v>66737.03999999999</v>
      </c>
      <c r="G1485" s="14">
        <f>E1485*F1485</f>
        <v/>
      </c>
      <c r="H1485" s="14">
        <f>C1485*G1485</f>
        <v/>
      </c>
    </row>
    <row r="1486">
      <c r="A1486" s="12" t="inlineStr">
        <is>
          <t>RET-0128</t>
        </is>
      </c>
      <c r="B1486" s="12" t="inlineStr">
        <is>
          <t>VS23</t>
        </is>
      </c>
      <c r="C1486" s="28" t="n">
        <v>0.008800000000000001</v>
      </c>
      <c r="D1486" s="12" t="inlineStr">
        <is>
          <t>PO-2022-2399</t>
        </is>
      </c>
      <c r="E1486" s="12" t="n">
        <v>4.03</v>
      </c>
      <c r="F1486" s="17" t="n">
        <v>95449.35000000001</v>
      </c>
      <c r="G1486" s="14">
        <f>E1486*F1486</f>
        <v/>
      </c>
      <c r="H1486" s="14">
        <f>C1486*G1486</f>
        <v/>
      </c>
    </row>
    <row r="1487">
      <c r="A1487" s="12" t="inlineStr">
        <is>
          <t>RET-0128</t>
        </is>
      </c>
      <c r="B1487" s="12" t="inlineStr">
        <is>
          <t>VS24</t>
        </is>
      </c>
      <c r="C1487" s="28" t="n">
        <v>0.0089</v>
      </c>
      <c r="D1487" s="12" t="inlineStr">
        <is>
          <t>PO-2022-2131</t>
        </is>
      </c>
      <c r="E1487" s="12" t="n">
        <v>4.03</v>
      </c>
      <c r="F1487" s="17" t="n">
        <v>77561.17</v>
      </c>
      <c r="G1487" s="14">
        <f>E1487*F1487</f>
        <v/>
      </c>
      <c r="H1487" s="14">
        <f>C1487*G1487</f>
        <v/>
      </c>
    </row>
    <row r="1488">
      <c r="A1488" s="12" t="inlineStr">
        <is>
          <t>RET-0128</t>
        </is>
      </c>
      <c r="B1488" s="12" t="inlineStr">
        <is>
          <t>VS25</t>
        </is>
      </c>
      <c r="C1488" s="28" t="n">
        <v>0.0162</v>
      </c>
      <c r="D1488" s="12" t="inlineStr">
        <is>
          <t>PO-2022-2974</t>
        </is>
      </c>
      <c r="E1488" s="12" t="n">
        <v>4.03</v>
      </c>
      <c r="F1488" s="17" t="n">
        <v>110004.92</v>
      </c>
      <c r="G1488" s="14">
        <f>E1488*F1488</f>
        <v/>
      </c>
      <c r="H1488" s="14">
        <f>C1488*G1488</f>
        <v/>
      </c>
    </row>
    <row r="1489">
      <c r="A1489" s="12" t="inlineStr">
        <is>
          <t>RET-0128</t>
        </is>
      </c>
      <c r="B1489" s="12" t="inlineStr">
        <is>
          <t>VS26</t>
        </is>
      </c>
      <c r="C1489" s="28" t="n">
        <v>0.008999999999999999</v>
      </c>
      <c r="D1489" s="12" t="inlineStr">
        <is>
          <t>PO-2022-1986</t>
        </is>
      </c>
      <c r="E1489" s="12" t="n">
        <v>2.894</v>
      </c>
      <c r="F1489" s="17" t="n">
        <v>114674.22</v>
      </c>
      <c r="G1489" s="14">
        <f>E1489*F1489</f>
        <v/>
      </c>
      <c r="H1489" s="14">
        <f>C1489*G1489</f>
        <v/>
      </c>
    </row>
    <row r="1490">
      <c r="A1490" s="12" t="inlineStr">
        <is>
          <t>RET-0128</t>
        </is>
      </c>
      <c r="B1490" s="12" t="inlineStr">
        <is>
          <t>VS27</t>
        </is>
      </c>
      <c r="C1490" s="28" t="n">
        <v>0.008800000000000001</v>
      </c>
      <c r="D1490" s="12" t="inlineStr">
        <is>
          <t>PO-2023-4629</t>
        </is>
      </c>
      <c r="E1490" s="12" t="n">
        <v>4.03</v>
      </c>
      <c r="F1490" s="17" t="n">
        <v>109839.57</v>
      </c>
      <c r="G1490" s="14">
        <f>E1490*F1490</f>
        <v/>
      </c>
      <c r="H1490" s="14">
        <f>C1490*G1490</f>
        <v/>
      </c>
    </row>
    <row r="1491">
      <c r="A1491" s="12" t="inlineStr">
        <is>
          <t>RET-0128</t>
        </is>
      </c>
      <c r="B1491" s="12" t="inlineStr">
        <is>
          <t>VS28</t>
        </is>
      </c>
      <c r="C1491" s="28" t="n">
        <v>0.0197</v>
      </c>
      <c r="D1491" s="12" t="inlineStr">
        <is>
          <t>PO-2023-3384</t>
        </is>
      </c>
      <c r="E1491" s="12" t="n">
        <v>3.862</v>
      </c>
      <c r="F1491" s="17" t="n">
        <v>77840.46000000001</v>
      </c>
      <c r="G1491" s="14">
        <f>E1491*F1491</f>
        <v/>
      </c>
      <c r="H1491" s="14">
        <f>C1491*G1491</f>
        <v/>
      </c>
    </row>
    <row r="1492">
      <c r="A1492" s="12" t="inlineStr">
        <is>
          <t>RET-0128</t>
        </is>
      </c>
      <c r="B1492" s="12" t="inlineStr">
        <is>
          <t>VS29</t>
        </is>
      </c>
      <c r="C1492" s="28" t="n">
        <v>0.0125</v>
      </c>
      <c r="D1492" s="12" t="inlineStr">
        <is>
          <t>PO-2021-0892</t>
        </is>
      </c>
      <c r="E1492" s="12" t="n">
        <v>4.03</v>
      </c>
      <c r="F1492" s="17" t="n">
        <v>67673.87</v>
      </c>
      <c r="G1492" s="14">
        <f>E1492*F1492</f>
        <v/>
      </c>
      <c r="H1492" s="14">
        <f>C1492*G1492</f>
        <v/>
      </c>
    </row>
    <row r="1493">
      <c r="A1493" s="12" t="inlineStr">
        <is>
          <t>RET-0128</t>
        </is>
      </c>
      <c r="B1493" s="12" t="inlineStr">
        <is>
          <t>VS30</t>
        </is>
      </c>
      <c r="C1493" s="28" t="n">
        <v>0.0054</v>
      </c>
      <c r="D1493" s="12" t="inlineStr">
        <is>
          <t>PO-2023-4789</t>
        </is>
      </c>
      <c r="E1493" s="12" t="n">
        <v>2.007</v>
      </c>
      <c r="F1493" s="17" t="n">
        <v>90965.58</v>
      </c>
      <c r="G1493" s="14">
        <f>E1493*F1493</f>
        <v/>
      </c>
      <c r="H1493" s="14">
        <f>C1493*G1493</f>
        <v/>
      </c>
    </row>
    <row r="1494">
      <c r="A1494" s="12" t="inlineStr">
        <is>
          <t>RET-0128</t>
        </is>
      </c>
      <c r="B1494" s="12" t="inlineStr">
        <is>
          <t>VS31</t>
        </is>
      </c>
      <c r="C1494" s="28" t="n">
        <v>0.0197</v>
      </c>
      <c r="D1494" s="12" t="inlineStr">
        <is>
          <t>PO-2021-1261</t>
        </is>
      </c>
      <c r="E1494" s="12" t="n">
        <v>4.03</v>
      </c>
      <c r="F1494" s="17" t="n">
        <v>112521.55</v>
      </c>
      <c r="G1494" s="14">
        <f>E1494*F1494</f>
        <v/>
      </c>
      <c r="H1494" s="14">
        <f>C1494*G1494</f>
        <v/>
      </c>
    </row>
    <row r="1495">
      <c r="A1495" s="12" t="inlineStr">
        <is>
          <t>RET-0128</t>
        </is>
      </c>
      <c r="B1495" s="12" t="inlineStr">
        <is>
          <t>VS32</t>
        </is>
      </c>
      <c r="C1495" s="28" t="n">
        <v>0.0234</v>
      </c>
      <c r="D1495" s="12" t="inlineStr">
        <is>
          <t>PO-2023-4000</t>
        </is>
      </c>
      <c r="E1495" s="12" t="n">
        <v>4.03</v>
      </c>
      <c r="F1495" s="17" t="n">
        <v>118026.2</v>
      </c>
      <c r="G1495" s="14">
        <f>E1495*F1495</f>
        <v/>
      </c>
      <c r="H1495" s="14">
        <f>C1495*G1495</f>
        <v/>
      </c>
    </row>
    <row r="1496">
      <c r="A1496" s="12" t="inlineStr">
        <is>
          <t>RET-0128</t>
        </is>
      </c>
      <c r="B1496" s="12" t="inlineStr">
        <is>
          <t>VS33</t>
        </is>
      </c>
      <c r="C1496" s="28" t="n">
        <v>0.0125</v>
      </c>
      <c r="D1496" s="12" t="inlineStr">
        <is>
          <t>PO-2021-1510</t>
        </is>
      </c>
      <c r="E1496" s="12" t="n">
        <v>4.03</v>
      </c>
      <c r="F1496" s="17" t="n">
        <v>77082.38</v>
      </c>
      <c r="G1496" s="14">
        <f>E1496*F1496</f>
        <v/>
      </c>
      <c r="H1496" s="14">
        <f>C1496*G1496</f>
        <v/>
      </c>
    </row>
    <row r="1497">
      <c r="A1497" s="12" t="inlineStr">
        <is>
          <t>RET-0128</t>
        </is>
      </c>
      <c r="B1497" s="12" t="inlineStr">
        <is>
          <t>VS34</t>
        </is>
      </c>
      <c r="C1497" s="28" t="n">
        <v>0.0161</v>
      </c>
      <c r="D1497" s="12" t="inlineStr">
        <is>
          <t>PO-2021-0569</t>
        </is>
      </c>
      <c r="E1497" s="12" t="n">
        <v>4.03</v>
      </c>
      <c r="F1497" s="17" t="n">
        <v>110313.69</v>
      </c>
      <c r="G1497" s="14">
        <f>E1497*F1497</f>
        <v/>
      </c>
      <c r="H1497" s="14">
        <f>C1497*G1497</f>
        <v/>
      </c>
    </row>
    <row r="1498">
      <c r="A1498" s="12" t="inlineStr">
        <is>
          <t>RET-0129</t>
        </is>
      </c>
      <c r="B1498" s="12" t="inlineStr">
        <is>
          <t>VS01</t>
        </is>
      </c>
      <c r="C1498" s="28" t="n">
        <v>0.0135</v>
      </c>
      <c r="D1498" s="12" t="inlineStr">
        <is>
          <t>PO-2023-3904</t>
        </is>
      </c>
      <c r="E1498" s="12" t="n">
        <v>4.97</v>
      </c>
      <c r="F1498" s="17" t="n">
        <v>89427.39</v>
      </c>
      <c r="G1498" s="14">
        <f>E1498*F1498</f>
        <v/>
      </c>
      <c r="H1498" s="14">
        <f>C1498*G1498</f>
        <v/>
      </c>
    </row>
    <row r="1499">
      <c r="A1499" s="12" t="inlineStr">
        <is>
          <t>RET-0129</t>
        </is>
      </c>
      <c r="B1499" s="12" t="inlineStr">
        <is>
          <t>VS02</t>
        </is>
      </c>
      <c r="C1499" s="28" t="n">
        <v>0.0062</v>
      </c>
      <c r="D1499" s="12" t="inlineStr">
        <is>
          <t>PO-2023-4569</t>
        </is>
      </c>
      <c r="E1499" s="12" t="n">
        <v>4.97</v>
      </c>
      <c r="F1499" s="17" t="n">
        <v>64553.25</v>
      </c>
      <c r="G1499" s="14">
        <f>E1499*F1499</f>
        <v/>
      </c>
      <c r="H1499" s="14">
        <f>C1499*G1499</f>
        <v/>
      </c>
    </row>
    <row r="1500">
      <c r="A1500" s="12" t="inlineStr">
        <is>
          <t>RET-0129</t>
        </is>
      </c>
      <c r="B1500" s="12" t="inlineStr">
        <is>
          <t>VS03</t>
        </is>
      </c>
      <c r="C1500" s="28" t="n">
        <v>0.2043</v>
      </c>
      <c r="D1500" s="12" t="inlineStr">
        <is>
          <t>PO-2023-3508</t>
        </is>
      </c>
      <c r="E1500" s="12" t="n">
        <v>4.97</v>
      </c>
      <c r="F1500" s="17" t="n">
        <v>87815.56</v>
      </c>
      <c r="G1500" s="14">
        <f>E1500*F1500</f>
        <v/>
      </c>
      <c r="H1500" s="14">
        <f>C1500*G1500</f>
        <v/>
      </c>
    </row>
    <row r="1501">
      <c r="A1501" s="12" t="inlineStr">
        <is>
          <t>RET-0129</t>
        </is>
      </c>
      <c r="B1501" s="12" t="inlineStr">
        <is>
          <t>VS04</t>
        </is>
      </c>
      <c r="C1501" s="28" t="n">
        <v>0.008500000000000001</v>
      </c>
      <c r="D1501" s="12" t="inlineStr">
        <is>
          <t>PO-2022-2135</t>
        </is>
      </c>
      <c r="E1501" s="12" t="n">
        <v>4.97</v>
      </c>
      <c r="F1501" s="17" t="n">
        <v>94571.41</v>
      </c>
      <c r="G1501" s="14">
        <f>E1501*F1501</f>
        <v/>
      </c>
      <c r="H1501" s="14">
        <f>C1501*G1501</f>
        <v/>
      </c>
    </row>
    <row r="1502">
      <c r="A1502" s="12" t="inlineStr">
        <is>
          <t>RET-0129</t>
        </is>
      </c>
      <c r="B1502" s="12" t="inlineStr">
        <is>
          <t>VS05</t>
        </is>
      </c>
      <c r="C1502" s="28" t="n">
        <v>0.011</v>
      </c>
      <c r="D1502" s="12" t="inlineStr">
        <is>
          <t>PO-2023-3611</t>
        </is>
      </c>
      <c r="E1502" s="12" t="n">
        <v>4.97</v>
      </c>
      <c r="F1502" s="17" t="n">
        <v>70554.46000000001</v>
      </c>
      <c r="G1502" s="14">
        <f>E1502*F1502</f>
        <v/>
      </c>
      <c r="H1502" s="14">
        <f>C1502*G1502</f>
        <v/>
      </c>
    </row>
    <row r="1503">
      <c r="A1503" s="12" t="inlineStr">
        <is>
          <t>RET-0129</t>
        </is>
      </c>
      <c r="B1503" s="12" t="inlineStr">
        <is>
          <t>VS06</t>
        </is>
      </c>
      <c r="C1503" s="28" t="n">
        <v>0.0111</v>
      </c>
      <c r="D1503" s="12" t="inlineStr">
        <is>
          <t>PO-2022-2666</t>
        </is>
      </c>
      <c r="E1503" s="12" t="n">
        <v>4.97</v>
      </c>
      <c r="F1503" s="17" t="n">
        <v>105403</v>
      </c>
      <c r="G1503" s="14">
        <f>E1503*F1503</f>
        <v/>
      </c>
      <c r="H1503" s="14">
        <f>C1503*G1503</f>
        <v/>
      </c>
    </row>
    <row r="1504">
      <c r="A1504" s="12" t="inlineStr">
        <is>
          <t>RET-0129</t>
        </is>
      </c>
      <c r="B1504" s="12" t="inlineStr">
        <is>
          <t>VS07</t>
        </is>
      </c>
      <c r="C1504" s="28" t="n">
        <v>0.0037</v>
      </c>
      <c r="D1504" s="12" t="inlineStr">
        <is>
          <t>PO-2021-1439</t>
        </is>
      </c>
      <c r="E1504" s="12" t="n">
        <v>4.97</v>
      </c>
      <c r="F1504" s="17" t="n">
        <v>45544.65</v>
      </c>
      <c r="G1504" s="14">
        <f>E1504*F1504</f>
        <v/>
      </c>
      <c r="H1504" s="14">
        <f>C1504*G1504</f>
        <v/>
      </c>
    </row>
    <row r="1505">
      <c r="A1505" s="12" t="inlineStr">
        <is>
          <t>RET-0129</t>
        </is>
      </c>
      <c r="B1505" s="12" t="inlineStr">
        <is>
          <t>VS08</t>
        </is>
      </c>
      <c r="C1505" s="28" t="n">
        <v>0.0112</v>
      </c>
      <c r="D1505" s="12" t="inlineStr">
        <is>
          <t>PO-2023-4512</t>
        </is>
      </c>
      <c r="E1505" s="12" t="n">
        <v>4.97</v>
      </c>
      <c r="F1505" s="17" t="n">
        <v>45972.6</v>
      </c>
      <c r="G1505" s="14">
        <f>E1505*F1505</f>
        <v/>
      </c>
      <c r="H1505" s="14">
        <f>C1505*G1505</f>
        <v/>
      </c>
    </row>
    <row r="1506">
      <c r="A1506" s="12" t="inlineStr">
        <is>
          <t>RET-0129</t>
        </is>
      </c>
      <c r="B1506" s="12" t="inlineStr">
        <is>
          <t>VS09</t>
        </is>
      </c>
      <c r="C1506" s="28" t="n">
        <v>0.0086</v>
      </c>
      <c r="D1506" s="12" t="inlineStr">
        <is>
          <t>PO-2022-1807</t>
        </is>
      </c>
      <c r="E1506" s="12" t="n">
        <v>4.97</v>
      </c>
      <c r="F1506" s="17" t="n">
        <v>100040.45</v>
      </c>
      <c r="G1506" s="14">
        <f>E1506*F1506</f>
        <v/>
      </c>
      <c r="H1506" s="14">
        <f>C1506*G1506</f>
        <v/>
      </c>
    </row>
    <row r="1507">
      <c r="A1507" s="12" t="inlineStr">
        <is>
          <t>RET-0129</t>
        </is>
      </c>
      <c r="B1507" s="12" t="inlineStr">
        <is>
          <t>VS10</t>
        </is>
      </c>
      <c r="C1507" s="28" t="n">
        <v>0.0135</v>
      </c>
      <c r="D1507" s="12" t="inlineStr">
        <is>
          <t>PO-2021-1031</t>
        </is>
      </c>
      <c r="E1507" s="12" t="n">
        <v>4.97</v>
      </c>
      <c r="F1507" s="17" t="n">
        <v>92045.71000000001</v>
      </c>
      <c r="G1507" s="14">
        <f>E1507*F1507</f>
        <v/>
      </c>
      <c r="H1507" s="14">
        <f>C1507*G1507</f>
        <v/>
      </c>
    </row>
    <row r="1508">
      <c r="A1508" s="12" t="inlineStr">
        <is>
          <t>RET-0129</t>
        </is>
      </c>
      <c r="B1508" s="12" t="inlineStr">
        <is>
          <t>VS11</t>
        </is>
      </c>
      <c r="C1508" s="28" t="n">
        <v>0.0158</v>
      </c>
      <c r="D1508" s="12" t="inlineStr">
        <is>
          <t>PO-2023-3369</t>
        </is>
      </c>
      <c r="E1508" s="12" t="n">
        <v>4.97</v>
      </c>
      <c r="F1508" s="17" t="n">
        <v>98767.22</v>
      </c>
      <c r="G1508" s="14">
        <f>E1508*F1508</f>
        <v/>
      </c>
      <c r="H1508" s="14">
        <f>C1508*G1508</f>
        <v/>
      </c>
    </row>
    <row r="1509">
      <c r="A1509" s="12" t="inlineStr">
        <is>
          <t>RET-0129</t>
        </is>
      </c>
      <c r="B1509" s="12" t="inlineStr">
        <is>
          <t>VS12</t>
        </is>
      </c>
      <c r="C1509" s="28" t="n">
        <v>0.284</v>
      </c>
      <c r="D1509" s="12" t="inlineStr">
        <is>
          <t>PO-2023-4523</t>
        </is>
      </c>
      <c r="E1509" s="12" t="n">
        <v>4.97</v>
      </c>
      <c r="F1509" s="17" t="n">
        <v>49711.17</v>
      </c>
      <c r="G1509" s="14">
        <f>E1509*F1509</f>
        <v/>
      </c>
      <c r="H1509" s="14">
        <f>C1509*G1509</f>
        <v/>
      </c>
    </row>
    <row r="1510">
      <c r="A1510" s="12" t="inlineStr">
        <is>
          <t>RET-0129</t>
        </is>
      </c>
      <c r="B1510" s="12" t="inlineStr">
        <is>
          <t>VS13</t>
        </is>
      </c>
      <c r="C1510" s="28" t="n">
        <v>0.0109</v>
      </c>
      <c r="D1510" s="12" t="inlineStr">
        <is>
          <t>PO-2022-2098</t>
        </is>
      </c>
      <c r="E1510" s="12" t="n">
        <v>4.97</v>
      </c>
      <c r="F1510" s="17" t="n">
        <v>78007.74000000001</v>
      </c>
      <c r="G1510" s="14">
        <f>E1510*F1510</f>
        <v/>
      </c>
      <c r="H1510" s="14">
        <f>C1510*G1510</f>
        <v/>
      </c>
    </row>
    <row r="1511">
      <c r="A1511" s="12" t="inlineStr">
        <is>
          <t>RET-0129</t>
        </is>
      </c>
      <c r="B1511" s="12" t="inlineStr">
        <is>
          <t>VS14</t>
        </is>
      </c>
      <c r="C1511" s="28" t="n">
        <v>0.011</v>
      </c>
      <c r="D1511" s="12" t="inlineStr">
        <is>
          <t>PO-2022-2378</t>
        </is>
      </c>
      <c r="E1511" s="12" t="n">
        <v>4.97</v>
      </c>
      <c r="F1511" s="17" t="n">
        <v>100177.69</v>
      </c>
      <c r="G1511" s="14">
        <f>E1511*F1511</f>
        <v/>
      </c>
      <c r="H1511" s="14">
        <f>C1511*G1511</f>
        <v/>
      </c>
    </row>
    <row r="1512">
      <c r="A1512" s="12" t="inlineStr">
        <is>
          <t>RET-0129</t>
        </is>
      </c>
      <c r="B1512" s="12" t="inlineStr">
        <is>
          <t>VS15</t>
        </is>
      </c>
      <c r="C1512" s="28" t="n">
        <v>0.0037</v>
      </c>
      <c r="D1512" s="12" t="inlineStr">
        <is>
          <t>PO-2021-1394</t>
        </is>
      </c>
      <c r="E1512" s="12" t="n">
        <v>4.97</v>
      </c>
      <c r="F1512" s="17" t="n">
        <v>69252.59</v>
      </c>
      <c r="G1512" s="14">
        <f>E1512*F1512</f>
        <v/>
      </c>
      <c r="H1512" s="14">
        <f>C1512*G1512</f>
        <v/>
      </c>
    </row>
    <row r="1513">
      <c r="A1513" s="12" t="inlineStr">
        <is>
          <t>RET-0129</t>
        </is>
      </c>
      <c r="B1513" s="12" t="inlineStr">
        <is>
          <t>VS16</t>
        </is>
      </c>
      <c r="C1513" s="28" t="n">
        <v>0.0159</v>
      </c>
      <c r="D1513" s="12" t="inlineStr">
        <is>
          <t>PO-2021-0060</t>
        </is>
      </c>
      <c r="E1513" s="12" t="n">
        <v>4.97</v>
      </c>
      <c r="F1513" s="17" t="n">
        <v>91600.17</v>
      </c>
      <c r="G1513" s="14">
        <f>E1513*F1513</f>
        <v/>
      </c>
      <c r="H1513" s="14">
        <f>C1513*G1513</f>
        <v/>
      </c>
    </row>
    <row r="1514">
      <c r="A1514" s="12" t="inlineStr">
        <is>
          <t>RET-0129</t>
        </is>
      </c>
      <c r="B1514" s="12" t="inlineStr">
        <is>
          <t>VS17</t>
        </is>
      </c>
      <c r="C1514" s="28" t="n">
        <v>0.0158</v>
      </c>
      <c r="D1514" s="12" t="inlineStr">
        <is>
          <t>PO-2022-2749</t>
        </is>
      </c>
      <c r="E1514" s="12" t="n">
        <v>4.97</v>
      </c>
      <c r="F1514" s="17" t="n">
        <v>74900.28999999999</v>
      </c>
      <c r="G1514" s="14">
        <f>E1514*F1514</f>
        <v/>
      </c>
      <c r="H1514" s="14">
        <f>C1514*G1514</f>
        <v/>
      </c>
    </row>
    <row r="1515">
      <c r="A1515" s="12" t="inlineStr">
        <is>
          <t>RET-0129</t>
        </is>
      </c>
      <c r="B1515" s="12" t="inlineStr">
        <is>
          <t>VS18</t>
        </is>
      </c>
      <c r="C1515" s="28" t="n">
        <v>0.011</v>
      </c>
      <c r="D1515" s="12" t="inlineStr">
        <is>
          <t>PO-2021-1371</t>
        </is>
      </c>
      <c r="E1515" s="12" t="n">
        <v>1.348</v>
      </c>
      <c r="F1515" s="17" t="n">
        <v>55701.9</v>
      </c>
      <c r="G1515" s="14">
        <f>E1515*F1515</f>
        <v/>
      </c>
      <c r="H1515" s="14">
        <f>C1515*G1515</f>
        <v/>
      </c>
    </row>
    <row r="1516">
      <c r="A1516" s="12" t="inlineStr">
        <is>
          <t>RET-0129</t>
        </is>
      </c>
      <c r="B1516" s="12" t="inlineStr">
        <is>
          <t>VS19</t>
        </is>
      </c>
      <c r="C1516" s="28" t="n">
        <v>0.2143</v>
      </c>
      <c r="D1516" s="12" t="inlineStr">
        <is>
          <t>PO-2021-1033</t>
        </is>
      </c>
      <c r="E1516" s="12" t="n">
        <v>3.263</v>
      </c>
      <c r="F1516" s="17" t="n">
        <v>114799.91</v>
      </c>
      <c r="G1516" s="14">
        <f>E1516*F1516</f>
        <v/>
      </c>
      <c r="H1516" s="14">
        <f>C1516*G1516</f>
        <v/>
      </c>
    </row>
    <row r="1517">
      <c r="A1517" s="12" t="inlineStr">
        <is>
          <t>RET-0129</t>
        </is>
      </c>
      <c r="B1517" s="12" t="inlineStr">
        <is>
          <t>VS20</t>
        </is>
      </c>
      <c r="C1517" s="28" t="n">
        <v>0.0061</v>
      </c>
      <c r="D1517" s="12" t="inlineStr">
        <is>
          <t>PO-2023-4421</t>
        </is>
      </c>
      <c r="E1517" s="12" t="n">
        <v>4.97</v>
      </c>
      <c r="F1517" s="17" t="n">
        <v>111353.88</v>
      </c>
      <c r="G1517" s="14">
        <f>E1517*F1517</f>
        <v/>
      </c>
      <c r="H1517" s="14">
        <f>C1517*G1517</f>
        <v/>
      </c>
    </row>
    <row r="1518">
      <c r="A1518" s="12" t="inlineStr">
        <is>
          <t>RET-0129</t>
        </is>
      </c>
      <c r="B1518" s="12" t="inlineStr">
        <is>
          <t>VS21</t>
        </is>
      </c>
      <c r="C1518" s="28" t="n">
        <v>0.0061</v>
      </c>
      <c r="D1518" s="12" t="inlineStr">
        <is>
          <t>PO-2021-1546</t>
        </is>
      </c>
      <c r="E1518" s="12" t="n">
        <v>4.97</v>
      </c>
      <c r="F1518" s="17" t="n">
        <v>66011.95</v>
      </c>
      <c r="G1518" s="14">
        <f>E1518*F1518</f>
        <v/>
      </c>
      <c r="H1518" s="14">
        <f>C1518*G1518</f>
        <v/>
      </c>
    </row>
    <row r="1519">
      <c r="A1519" s="12" t="inlineStr">
        <is>
          <t>RET-0129</t>
        </is>
      </c>
      <c r="B1519" s="12" t="inlineStr">
        <is>
          <t>VS22</t>
        </is>
      </c>
      <c r="C1519" s="28" t="n">
        <v>0.0036</v>
      </c>
      <c r="D1519" s="12" t="inlineStr">
        <is>
          <t>PO-2021-1325</t>
        </is>
      </c>
      <c r="E1519" s="12" t="n">
        <v>4.97</v>
      </c>
      <c r="F1519" s="17" t="n">
        <v>97108.62</v>
      </c>
      <c r="G1519" s="14">
        <f>E1519*F1519</f>
        <v/>
      </c>
      <c r="H1519" s="14">
        <f>C1519*G1519</f>
        <v/>
      </c>
    </row>
    <row r="1520">
      <c r="A1520" s="12" t="inlineStr">
        <is>
          <t>RET-0129</t>
        </is>
      </c>
      <c r="B1520" s="12" t="inlineStr">
        <is>
          <t>VS23</t>
        </is>
      </c>
      <c r="C1520" s="28" t="n">
        <v>0.006</v>
      </c>
      <c r="D1520" s="12" t="inlineStr">
        <is>
          <t>PO-2023-4732</t>
        </is>
      </c>
      <c r="E1520" s="12" t="n">
        <v>4.97</v>
      </c>
      <c r="F1520" s="17" t="n">
        <v>79785.97</v>
      </c>
      <c r="G1520" s="14">
        <f>E1520*F1520</f>
        <v/>
      </c>
      <c r="H1520" s="14">
        <f>C1520*G1520</f>
        <v/>
      </c>
    </row>
    <row r="1521">
      <c r="A1521" s="12" t="inlineStr">
        <is>
          <t>RET-0129</t>
        </is>
      </c>
      <c r="B1521" s="12" t="inlineStr">
        <is>
          <t>VS24</t>
        </is>
      </c>
      <c r="C1521" s="28" t="n">
        <v>0.0061</v>
      </c>
      <c r="D1521" s="12" t="inlineStr">
        <is>
          <t>PO-2023-4459</t>
        </is>
      </c>
      <c r="E1521" s="12" t="n">
        <v>3.727</v>
      </c>
      <c r="F1521" s="17" t="n">
        <v>65562.3</v>
      </c>
      <c r="G1521" s="14">
        <f>E1521*F1521</f>
        <v/>
      </c>
      <c r="H1521" s="14">
        <f>C1521*G1521</f>
        <v/>
      </c>
    </row>
    <row r="1522">
      <c r="A1522" s="12" t="inlineStr">
        <is>
          <t>RET-0129</t>
        </is>
      </c>
      <c r="B1522" s="12" t="inlineStr">
        <is>
          <t>VS25</t>
        </is>
      </c>
      <c r="C1522" s="28" t="n">
        <v>0.0111</v>
      </c>
      <c r="D1522" s="12" t="inlineStr">
        <is>
          <t>PO-2023-3238</t>
        </is>
      </c>
      <c r="E1522" s="12" t="n">
        <v>4.97</v>
      </c>
      <c r="F1522" s="17" t="n">
        <v>78814.45</v>
      </c>
      <c r="G1522" s="14">
        <f>E1522*F1522</f>
        <v/>
      </c>
      <c r="H1522" s="14">
        <f>C1522*G1522</f>
        <v/>
      </c>
    </row>
    <row r="1523">
      <c r="A1523" s="12" t="inlineStr">
        <is>
          <t>RET-0129</t>
        </is>
      </c>
      <c r="B1523" s="12" t="inlineStr">
        <is>
          <t>VS26</t>
        </is>
      </c>
      <c r="C1523" s="28" t="n">
        <v>0.0062</v>
      </c>
      <c r="D1523" s="12" t="inlineStr">
        <is>
          <t>PO-2022-1914</t>
        </is>
      </c>
      <c r="E1523" s="12" t="n">
        <v>4.97</v>
      </c>
      <c r="F1523" s="17" t="n">
        <v>109447.73</v>
      </c>
      <c r="G1523" s="14">
        <f>E1523*F1523</f>
        <v/>
      </c>
      <c r="H1523" s="14">
        <f>C1523*G1523</f>
        <v/>
      </c>
    </row>
    <row r="1524">
      <c r="A1524" s="12" t="inlineStr">
        <is>
          <t>RET-0129</t>
        </is>
      </c>
      <c r="B1524" s="12" t="inlineStr">
        <is>
          <t>VS27</t>
        </is>
      </c>
      <c r="C1524" s="28" t="n">
        <v>0.006</v>
      </c>
      <c r="D1524" s="12" t="inlineStr">
        <is>
          <t>PO-2022-2678</t>
        </is>
      </c>
      <c r="E1524" s="12" t="n">
        <v>4.97</v>
      </c>
      <c r="F1524" s="17" t="n">
        <v>90157.69</v>
      </c>
      <c r="G1524" s="14">
        <f>E1524*F1524</f>
        <v/>
      </c>
      <c r="H1524" s="14">
        <f>C1524*G1524</f>
        <v/>
      </c>
    </row>
    <row r="1525">
      <c r="A1525" s="12" t="inlineStr">
        <is>
          <t>RET-0129</t>
        </is>
      </c>
      <c r="B1525" s="12" t="inlineStr">
        <is>
          <t>VS28</t>
        </is>
      </c>
      <c r="C1525" s="28" t="n">
        <v>0.0135</v>
      </c>
      <c r="D1525" s="12" t="inlineStr">
        <is>
          <t>PO-2023-3754</t>
        </is>
      </c>
      <c r="E1525" s="12" t="n">
        <v>4.97</v>
      </c>
      <c r="F1525" s="17" t="n">
        <v>90330.39</v>
      </c>
      <c r="G1525" s="14">
        <f>E1525*F1525</f>
        <v/>
      </c>
      <c r="H1525" s="14">
        <f>C1525*G1525</f>
        <v/>
      </c>
    </row>
    <row r="1526">
      <c r="A1526" s="12" t="inlineStr">
        <is>
          <t>RET-0129</t>
        </is>
      </c>
      <c r="B1526" s="12" t="inlineStr">
        <is>
          <t>VS29</t>
        </is>
      </c>
      <c r="C1526" s="28" t="n">
        <v>0.0086</v>
      </c>
      <c r="D1526" s="12" t="inlineStr">
        <is>
          <t>PO-2022-2080</t>
        </is>
      </c>
      <c r="E1526" s="12" t="n">
        <v>4.97</v>
      </c>
      <c r="F1526" s="17" t="n">
        <v>92619.94</v>
      </c>
      <c r="G1526" s="14">
        <f>E1526*F1526</f>
        <v/>
      </c>
      <c r="H1526" s="14">
        <f>C1526*G1526</f>
        <v/>
      </c>
    </row>
    <row r="1527">
      <c r="A1527" s="12" t="inlineStr">
        <is>
          <t>RET-0129</t>
        </is>
      </c>
      <c r="B1527" s="12" t="inlineStr">
        <is>
          <t>VS30</t>
        </is>
      </c>
      <c r="C1527" s="28" t="n">
        <v>0.0037</v>
      </c>
      <c r="D1527" s="12" t="inlineStr">
        <is>
          <t>PO-2023-4415</t>
        </is>
      </c>
      <c r="E1527" s="12" t="n">
        <v>4.97</v>
      </c>
      <c r="F1527" s="17" t="n">
        <v>113832.45</v>
      </c>
      <c r="G1527" s="14">
        <f>E1527*F1527</f>
        <v/>
      </c>
      <c r="H1527" s="14">
        <f>C1527*G1527</f>
        <v/>
      </c>
    </row>
    <row r="1528">
      <c r="A1528" s="12" t="inlineStr">
        <is>
          <t>RET-0129</t>
        </is>
      </c>
      <c r="B1528" s="12" t="inlineStr">
        <is>
          <t>VS31</t>
        </is>
      </c>
      <c r="C1528" s="28" t="n">
        <v>0.0134</v>
      </c>
      <c r="D1528" s="12" t="inlineStr">
        <is>
          <t>PO-2023-3791</t>
        </is>
      </c>
      <c r="E1528" s="12" t="n">
        <v>4.97</v>
      </c>
      <c r="F1528" s="17" t="n">
        <v>88516.24000000001</v>
      </c>
      <c r="G1528" s="14">
        <f>E1528*F1528</f>
        <v/>
      </c>
      <c r="H1528" s="14">
        <f>C1528*G1528</f>
        <v/>
      </c>
    </row>
    <row r="1529">
      <c r="A1529" s="12" t="inlineStr">
        <is>
          <t>RET-0129</t>
        </is>
      </c>
      <c r="B1529" s="12" t="inlineStr">
        <is>
          <t>VS32</t>
        </is>
      </c>
      <c r="C1529" s="28" t="n">
        <v>0.016</v>
      </c>
      <c r="D1529" s="12" t="inlineStr">
        <is>
          <t>PO-2023-4397</t>
        </is>
      </c>
      <c r="E1529" s="12" t="n">
        <v>1.936</v>
      </c>
      <c r="F1529" s="17" t="n">
        <v>55207.61</v>
      </c>
      <c r="G1529" s="14">
        <f>E1529*F1529</f>
        <v/>
      </c>
      <c r="H1529" s="14">
        <f>C1529*G1529</f>
        <v/>
      </c>
    </row>
    <row r="1530">
      <c r="A1530" s="12" t="inlineStr">
        <is>
          <t>RET-0129</t>
        </is>
      </c>
      <c r="B1530" s="12" t="inlineStr">
        <is>
          <t>VS33</t>
        </is>
      </c>
      <c r="C1530" s="28" t="n">
        <v>0.008500000000000001</v>
      </c>
      <c r="D1530" s="12" t="inlineStr">
        <is>
          <t>PO-2023-4631</t>
        </is>
      </c>
      <c r="E1530" s="12" t="n">
        <v>1.41</v>
      </c>
      <c r="F1530" s="17" t="n">
        <v>71650.61</v>
      </c>
      <c r="G1530" s="14">
        <f>E1530*F1530</f>
        <v/>
      </c>
      <c r="H1530" s="14">
        <f>C1530*G1530</f>
        <v/>
      </c>
    </row>
    <row r="1531">
      <c r="A1531" s="12" t="inlineStr">
        <is>
          <t>RET-0129</t>
        </is>
      </c>
      <c r="B1531" s="12" t="inlineStr">
        <is>
          <t>VS34</t>
        </is>
      </c>
      <c r="C1531" s="28" t="n">
        <v>0.011</v>
      </c>
      <c r="D1531" s="12" t="inlineStr">
        <is>
          <t>PO-2023-3961</t>
        </is>
      </c>
      <c r="E1531" s="12" t="n">
        <v>4.97</v>
      </c>
      <c r="F1531" s="17" t="n">
        <v>97423.71000000001</v>
      </c>
      <c r="G1531" s="14">
        <f>E1531*F1531</f>
        <v/>
      </c>
      <c r="H1531" s="14">
        <f>C1531*G1531</f>
        <v/>
      </c>
    </row>
    <row r="1532">
      <c r="A1532" s="12" t="inlineStr">
        <is>
          <t>RET-0130</t>
        </is>
      </c>
      <c r="B1532" s="12" t="inlineStr">
        <is>
          <t>VS01</t>
        </is>
      </c>
      <c r="C1532" s="28" t="n">
        <v>0.009299999999999999</v>
      </c>
      <c r="D1532" s="12" t="inlineStr">
        <is>
          <t>PO-2023-4358</t>
        </is>
      </c>
      <c r="E1532" s="12" t="n">
        <v>0.37</v>
      </c>
      <c r="F1532" s="17" t="n">
        <v>49264.83</v>
      </c>
      <c r="G1532" s="14">
        <f>E1532*F1532</f>
        <v/>
      </c>
      <c r="H1532" s="14">
        <f>C1532*G1532</f>
        <v/>
      </c>
    </row>
    <row r="1533">
      <c r="A1533" s="12" t="inlineStr">
        <is>
          <t>RET-0130</t>
        </is>
      </c>
      <c r="B1533" s="12" t="inlineStr">
        <is>
          <t>VS02</t>
        </is>
      </c>
      <c r="C1533" s="28" t="n">
        <v>0.0042</v>
      </c>
      <c r="D1533" s="12" t="inlineStr">
        <is>
          <t>PO-2023-4500</t>
        </is>
      </c>
      <c r="E1533" s="12" t="n">
        <v>0.37</v>
      </c>
      <c r="F1533" s="17" t="n">
        <v>78476.25</v>
      </c>
      <c r="G1533" s="14">
        <f>E1533*F1533</f>
        <v/>
      </c>
      <c r="H1533" s="14">
        <f>C1533*G1533</f>
        <v/>
      </c>
    </row>
    <row r="1534">
      <c r="A1534" s="12" t="inlineStr">
        <is>
          <t>RET-0130</t>
        </is>
      </c>
      <c r="B1534" s="12" t="inlineStr">
        <is>
          <t>VS03</t>
        </is>
      </c>
      <c r="C1534" s="28" t="n">
        <v>0.2315</v>
      </c>
      <c r="D1534" s="12" t="inlineStr">
        <is>
          <t>PO-2023-4154</t>
        </is>
      </c>
      <c r="E1534" s="12" t="n">
        <v>0.37</v>
      </c>
      <c r="F1534" s="17" t="n">
        <v>117679.36</v>
      </c>
      <c r="G1534" s="14">
        <f>E1534*F1534</f>
        <v/>
      </c>
      <c r="H1534" s="14">
        <f>C1534*G1534</f>
        <v/>
      </c>
    </row>
    <row r="1535">
      <c r="A1535" s="12" t="inlineStr">
        <is>
          <t>RET-0130</t>
        </is>
      </c>
      <c r="B1535" s="12" t="inlineStr">
        <is>
          <t>VS04</t>
        </is>
      </c>
      <c r="C1535" s="28" t="n">
        <v>0.0058</v>
      </c>
      <c r="D1535" s="12" t="inlineStr">
        <is>
          <t>PO-2022-1644</t>
        </is>
      </c>
      <c r="E1535" s="12" t="n">
        <v>0.37</v>
      </c>
      <c r="F1535" s="17" t="n">
        <v>77140.07000000001</v>
      </c>
      <c r="G1535" s="14">
        <f>E1535*F1535</f>
        <v/>
      </c>
      <c r="H1535" s="14">
        <f>C1535*G1535</f>
        <v/>
      </c>
    </row>
    <row r="1536">
      <c r="A1536" s="12" t="inlineStr">
        <is>
          <t>RET-0130</t>
        </is>
      </c>
      <c r="B1536" s="12" t="inlineStr">
        <is>
          <t>VS05</t>
        </is>
      </c>
      <c r="C1536" s="28" t="n">
        <v>0.0075</v>
      </c>
      <c r="D1536" s="12" t="inlineStr">
        <is>
          <t>PO-2023-4367</t>
        </is>
      </c>
      <c r="E1536" s="12" t="n">
        <v>0.37</v>
      </c>
      <c r="F1536" s="17" t="n">
        <v>71163.86</v>
      </c>
      <c r="G1536" s="14">
        <f>E1536*F1536</f>
        <v/>
      </c>
      <c r="H1536" s="14">
        <f>C1536*G1536</f>
        <v/>
      </c>
    </row>
    <row r="1537">
      <c r="A1537" s="12" t="inlineStr">
        <is>
          <t>RET-0130</t>
        </is>
      </c>
      <c r="B1537" s="12" t="inlineStr">
        <is>
          <t>VS06</t>
        </is>
      </c>
      <c r="C1537" s="28" t="n">
        <v>0.0076</v>
      </c>
      <c r="D1537" s="12" t="inlineStr">
        <is>
          <t>PO-2021-1512</t>
        </is>
      </c>
      <c r="E1537" s="12" t="n">
        <v>0.37</v>
      </c>
      <c r="F1537" s="17" t="n">
        <v>115865.02</v>
      </c>
      <c r="G1537" s="14">
        <f>E1537*F1537</f>
        <v/>
      </c>
      <c r="H1537" s="14">
        <f>C1537*G1537</f>
        <v/>
      </c>
    </row>
    <row r="1538">
      <c r="A1538" s="12" t="inlineStr">
        <is>
          <t>RET-0130</t>
        </is>
      </c>
      <c r="B1538" s="12" t="inlineStr">
        <is>
          <t>VS07</t>
        </is>
      </c>
      <c r="C1538" s="28" t="n">
        <v>0.0025</v>
      </c>
      <c r="D1538" s="12" t="inlineStr">
        <is>
          <t>PO-2022-1657</t>
        </is>
      </c>
      <c r="E1538" s="12" t="n">
        <v>0.37</v>
      </c>
      <c r="F1538" s="17" t="n">
        <v>91219.53</v>
      </c>
      <c r="G1538" s="14">
        <f>E1538*F1538</f>
        <v/>
      </c>
      <c r="H1538" s="14">
        <f>C1538*G1538</f>
        <v/>
      </c>
    </row>
    <row r="1539">
      <c r="A1539" s="12" t="inlineStr">
        <is>
          <t>RET-0130</t>
        </is>
      </c>
      <c r="B1539" s="12" t="inlineStr">
        <is>
          <t>VS08</t>
        </is>
      </c>
      <c r="C1539" s="28" t="n">
        <v>0.0077</v>
      </c>
      <c r="D1539" s="12" t="inlineStr">
        <is>
          <t>PO-2021-0861</t>
        </is>
      </c>
      <c r="E1539" s="12" t="n">
        <v>0.37</v>
      </c>
      <c r="F1539" s="17" t="n">
        <v>78704.88</v>
      </c>
      <c r="G1539" s="14">
        <f>E1539*F1539</f>
        <v/>
      </c>
      <c r="H1539" s="14">
        <f>C1539*G1539</f>
        <v/>
      </c>
    </row>
    <row r="1540">
      <c r="A1540" s="12" t="inlineStr">
        <is>
          <t>RET-0130</t>
        </is>
      </c>
      <c r="B1540" s="12" t="inlineStr">
        <is>
          <t>VS09</t>
        </is>
      </c>
      <c r="C1540" s="28" t="n">
        <v>0.0059</v>
      </c>
      <c r="D1540" s="12" t="inlineStr">
        <is>
          <t>PO-2022-2680</t>
        </is>
      </c>
      <c r="E1540" s="12" t="n">
        <v>0.37</v>
      </c>
      <c r="F1540" s="17" t="n">
        <v>105149.53</v>
      </c>
      <c r="G1540" s="14">
        <f>E1540*F1540</f>
        <v/>
      </c>
      <c r="H1540" s="14">
        <f>C1540*G1540</f>
        <v/>
      </c>
    </row>
    <row r="1541">
      <c r="A1541" s="12" t="inlineStr">
        <is>
          <t>RET-0130</t>
        </is>
      </c>
      <c r="B1541" s="12" t="inlineStr">
        <is>
          <t>VS10</t>
        </is>
      </c>
      <c r="C1541" s="28" t="n">
        <v>0.009299999999999999</v>
      </c>
      <c r="D1541" s="12" t="inlineStr">
        <is>
          <t>PO-2021-0205</t>
        </is>
      </c>
      <c r="E1541" s="12" t="n">
        <v>0.37</v>
      </c>
      <c r="F1541" s="17" t="n">
        <v>104109.01</v>
      </c>
      <c r="G1541" s="14">
        <f>E1541*F1541</f>
        <v/>
      </c>
      <c r="H1541" s="14">
        <f>C1541*G1541</f>
        <v/>
      </c>
    </row>
    <row r="1542">
      <c r="A1542" s="12" t="inlineStr">
        <is>
          <t>RET-0130</t>
        </is>
      </c>
      <c r="B1542" s="12" t="inlineStr">
        <is>
          <t>VS11</t>
        </is>
      </c>
      <c r="C1542" s="28" t="n">
        <v>0.0108</v>
      </c>
      <c r="D1542" s="12" t="inlineStr">
        <is>
          <t>PO-2022-2762</t>
        </is>
      </c>
      <c r="E1542" s="12" t="n">
        <v>0.37</v>
      </c>
      <c r="F1542" s="17" t="n">
        <v>64765.94</v>
      </c>
      <c r="G1542" s="14">
        <f>E1542*F1542</f>
        <v/>
      </c>
      <c r="H1542" s="14">
        <f>C1542*G1542</f>
        <v/>
      </c>
    </row>
    <row r="1543">
      <c r="A1543" s="12" t="inlineStr">
        <is>
          <t>RET-0130</t>
        </is>
      </c>
      <c r="B1543" s="12" t="inlineStr">
        <is>
          <t>VS12</t>
        </is>
      </c>
      <c r="C1543" s="28" t="n">
        <v>0.3218</v>
      </c>
      <c r="D1543" s="12" t="inlineStr">
        <is>
          <t>PO-2023-3221</t>
        </is>
      </c>
      <c r="E1543" s="12" t="n">
        <v>0.37</v>
      </c>
      <c r="F1543" s="17" t="n">
        <v>85253.62</v>
      </c>
      <c r="G1543" s="14">
        <f>E1543*F1543</f>
        <v/>
      </c>
      <c r="H1543" s="14">
        <f>C1543*G1543</f>
        <v/>
      </c>
    </row>
    <row r="1544">
      <c r="A1544" s="12" t="inlineStr">
        <is>
          <t>RET-0130</t>
        </is>
      </c>
      <c r="B1544" s="12" t="inlineStr">
        <is>
          <t>VS13</t>
        </is>
      </c>
      <c r="C1544" s="28" t="n">
        <v>0.0075</v>
      </c>
      <c r="D1544" s="12" t="inlineStr">
        <is>
          <t>PO-2023-3895</t>
        </is>
      </c>
      <c r="E1544" s="12" t="n">
        <v>0.37</v>
      </c>
      <c r="F1544" s="17" t="n">
        <v>49764.26</v>
      </c>
      <c r="G1544" s="14">
        <f>E1544*F1544</f>
        <v/>
      </c>
      <c r="H1544" s="14">
        <f>C1544*G1544</f>
        <v/>
      </c>
    </row>
    <row r="1545">
      <c r="A1545" s="12" t="inlineStr">
        <is>
          <t>RET-0130</t>
        </is>
      </c>
      <c r="B1545" s="12" t="inlineStr">
        <is>
          <t>VS14</t>
        </is>
      </c>
      <c r="C1545" s="28" t="n">
        <v>0.0075</v>
      </c>
      <c r="D1545" s="12" t="inlineStr">
        <is>
          <t>PO-2022-2597</t>
        </is>
      </c>
      <c r="E1545" s="12" t="n">
        <v>0.37</v>
      </c>
      <c r="F1545" s="17" t="n">
        <v>65738.62</v>
      </c>
      <c r="G1545" s="14">
        <f>E1545*F1545</f>
        <v/>
      </c>
      <c r="H1545" s="14">
        <f>C1545*G1545</f>
        <v/>
      </c>
    </row>
    <row r="1546">
      <c r="A1546" s="12" t="inlineStr">
        <is>
          <t>RET-0130</t>
        </is>
      </c>
      <c r="B1546" s="12" t="inlineStr">
        <is>
          <t>VS15</t>
        </is>
      </c>
      <c r="C1546" s="28" t="n">
        <v>0.0025</v>
      </c>
      <c r="D1546" s="12" t="inlineStr">
        <is>
          <t>PO-2021-1010</t>
        </is>
      </c>
      <c r="E1546" s="12" t="n">
        <v>0.37</v>
      </c>
      <c r="F1546" s="17" t="n">
        <v>84132.66</v>
      </c>
      <c r="G1546" s="14">
        <f>E1546*F1546</f>
        <v/>
      </c>
      <c r="H1546" s="14">
        <f>C1546*G1546</f>
        <v/>
      </c>
    </row>
    <row r="1547">
      <c r="A1547" s="12" t="inlineStr">
        <is>
          <t>RET-0130</t>
        </is>
      </c>
      <c r="B1547" s="12" t="inlineStr">
        <is>
          <t>VS16</t>
        </is>
      </c>
      <c r="C1547" s="28" t="n">
        <v>0.0109</v>
      </c>
      <c r="D1547" s="12" t="inlineStr">
        <is>
          <t>PO-2023-4102</t>
        </is>
      </c>
      <c r="E1547" s="12" t="n">
        <v>0.37</v>
      </c>
      <c r="F1547" s="17" t="n">
        <v>64745.85</v>
      </c>
      <c r="G1547" s="14">
        <f>E1547*F1547</f>
        <v/>
      </c>
      <c r="H1547" s="14">
        <f>C1547*G1547</f>
        <v/>
      </c>
    </row>
    <row r="1548">
      <c r="A1548" s="12" t="inlineStr">
        <is>
          <t>RET-0130</t>
        </is>
      </c>
      <c r="B1548" s="12" t="inlineStr">
        <is>
          <t>VS17</t>
        </is>
      </c>
      <c r="C1548" s="28" t="n">
        <v>0.0108</v>
      </c>
      <c r="D1548" s="12" t="inlineStr">
        <is>
          <t>PO-2021-0752</t>
        </is>
      </c>
      <c r="E1548" s="12" t="n">
        <v>0.37</v>
      </c>
      <c r="F1548" s="17" t="n">
        <v>74778.42</v>
      </c>
      <c r="G1548" s="14">
        <f>E1548*F1548</f>
        <v/>
      </c>
      <c r="H1548" s="14">
        <f>C1548*G1548</f>
        <v/>
      </c>
    </row>
    <row r="1549">
      <c r="A1549" s="12" t="inlineStr">
        <is>
          <t>RET-0130</t>
        </is>
      </c>
      <c r="B1549" s="12" t="inlineStr">
        <is>
          <t>VS18</t>
        </is>
      </c>
      <c r="C1549" s="28" t="n">
        <v>0.0075</v>
      </c>
      <c r="D1549" s="12" t="inlineStr">
        <is>
          <t>PO-2022-1824</t>
        </is>
      </c>
      <c r="E1549" s="12" t="n">
        <v>0.37</v>
      </c>
      <c r="F1549" s="17" t="n">
        <v>55284.86</v>
      </c>
      <c r="G1549" s="14">
        <f>E1549*F1549</f>
        <v/>
      </c>
      <c r="H1549" s="14">
        <f>C1549*G1549</f>
        <v/>
      </c>
    </row>
    <row r="1550">
      <c r="A1550" s="12" t="inlineStr">
        <is>
          <t>RET-0130</t>
        </is>
      </c>
      <c r="B1550" s="12" t="inlineStr">
        <is>
          <t>VS19</t>
        </is>
      </c>
      <c r="C1550" s="28" t="n">
        <v>0.2427</v>
      </c>
      <c r="D1550" s="12" t="inlineStr">
        <is>
          <t>PO-2021-1219</t>
        </is>
      </c>
      <c r="E1550" s="12" t="n">
        <v>0.37</v>
      </c>
      <c r="F1550" s="17" t="n">
        <v>56869.53</v>
      </c>
      <c r="G1550" s="14">
        <f>E1550*F1550</f>
        <v/>
      </c>
      <c r="H1550" s="14">
        <f>C1550*G1550</f>
        <v/>
      </c>
    </row>
    <row r="1551">
      <c r="A1551" s="12" t="inlineStr">
        <is>
          <t>RET-0130</t>
        </is>
      </c>
      <c r="B1551" s="12" t="inlineStr">
        <is>
          <t>VS20</t>
        </is>
      </c>
      <c r="C1551" s="28" t="n">
        <v>0.0042</v>
      </c>
      <c r="D1551" s="12" t="inlineStr">
        <is>
          <t>PO-2021-0358</t>
        </is>
      </c>
      <c r="E1551" s="12" t="n">
        <v>0.37</v>
      </c>
      <c r="F1551" s="17" t="n">
        <v>109366.44</v>
      </c>
      <c r="G1551" s="14">
        <f>E1551*F1551</f>
        <v/>
      </c>
      <c r="H1551" s="14">
        <f>C1551*G1551</f>
        <v/>
      </c>
    </row>
    <row r="1552">
      <c r="A1552" s="12" t="inlineStr">
        <is>
          <t>RET-0130</t>
        </is>
      </c>
      <c r="B1552" s="12" t="inlineStr">
        <is>
          <t>VS21</t>
        </is>
      </c>
      <c r="C1552" s="28" t="n">
        <v>0.0042</v>
      </c>
      <c r="D1552" s="12" t="inlineStr">
        <is>
          <t>PO-2022-2994</t>
        </is>
      </c>
      <c r="E1552" s="12" t="n">
        <v>0.37</v>
      </c>
      <c r="F1552" s="17" t="n">
        <v>52774.22</v>
      </c>
      <c r="G1552" s="14">
        <f>E1552*F1552</f>
        <v/>
      </c>
      <c r="H1552" s="14">
        <f>C1552*G1552</f>
        <v/>
      </c>
    </row>
    <row r="1553">
      <c r="A1553" s="12" t="inlineStr">
        <is>
          <t>RET-0130</t>
        </is>
      </c>
      <c r="B1553" s="12" t="inlineStr">
        <is>
          <t>VS22</t>
        </is>
      </c>
      <c r="C1553" s="28" t="n">
        <v>0.0025</v>
      </c>
      <c r="D1553" s="12" t="inlineStr">
        <is>
          <t>PO-2023-4438</t>
        </is>
      </c>
      <c r="E1553" s="12" t="n">
        <v>0.37</v>
      </c>
      <c r="F1553" s="17" t="n">
        <v>82055.39</v>
      </c>
      <c r="G1553" s="14">
        <f>E1553*F1553</f>
        <v/>
      </c>
      <c r="H1553" s="14">
        <f>C1553*G1553</f>
        <v/>
      </c>
    </row>
    <row r="1554">
      <c r="A1554" s="12" t="inlineStr">
        <is>
          <t>RET-0130</t>
        </is>
      </c>
      <c r="B1554" s="12" t="inlineStr">
        <is>
          <t>VS23</t>
        </is>
      </c>
      <c r="C1554" s="28" t="n">
        <v>0.0041</v>
      </c>
      <c r="D1554" s="12" t="inlineStr">
        <is>
          <t>PO-2021-1121</t>
        </is>
      </c>
      <c r="E1554" s="12" t="n">
        <v>0.37</v>
      </c>
      <c r="F1554" s="17" t="n">
        <v>67638.53</v>
      </c>
      <c r="G1554" s="14">
        <f>E1554*F1554</f>
        <v/>
      </c>
      <c r="H1554" s="14">
        <f>C1554*G1554</f>
        <v/>
      </c>
    </row>
    <row r="1555">
      <c r="A1555" s="12" t="inlineStr">
        <is>
          <t>RET-0130</t>
        </is>
      </c>
      <c r="B1555" s="12" t="inlineStr">
        <is>
          <t>VS24</t>
        </is>
      </c>
      <c r="C1555" s="28" t="n">
        <v>0.0042</v>
      </c>
      <c r="D1555" s="12" t="inlineStr">
        <is>
          <t>PO-2023-3633</t>
        </is>
      </c>
      <c r="E1555" s="12" t="n">
        <v>0.37</v>
      </c>
      <c r="F1555" s="17" t="n">
        <v>98977.14</v>
      </c>
      <c r="G1555" s="14">
        <f>E1555*F1555</f>
        <v/>
      </c>
      <c r="H1555" s="14">
        <f>C1555*G1555</f>
        <v/>
      </c>
    </row>
    <row r="1556">
      <c r="A1556" s="12" t="inlineStr">
        <is>
          <t>RET-0130</t>
        </is>
      </c>
      <c r="B1556" s="12" t="inlineStr">
        <is>
          <t>VS25</t>
        </is>
      </c>
      <c r="C1556" s="28" t="n">
        <v>0.0076</v>
      </c>
      <c r="D1556" s="12" t="inlineStr">
        <is>
          <t>PO-2021-0216</t>
        </is>
      </c>
      <c r="E1556" s="12" t="n">
        <v>0.37</v>
      </c>
      <c r="F1556" s="17" t="n">
        <v>47114.07</v>
      </c>
      <c r="G1556" s="14">
        <f>E1556*F1556</f>
        <v/>
      </c>
      <c r="H1556" s="14">
        <f>C1556*G1556</f>
        <v/>
      </c>
    </row>
    <row r="1557">
      <c r="A1557" s="12" t="inlineStr">
        <is>
          <t>RET-0130</t>
        </is>
      </c>
      <c r="B1557" s="12" t="inlineStr">
        <is>
          <t>VS26</t>
        </is>
      </c>
      <c r="C1557" s="28" t="n">
        <v>0.0042</v>
      </c>
      <c r="D1557" s="12" t="inlineStr">
        <is>
          <t>PO-2022-2199</t>
        </is>
      </c>
      <c r="E1557" s="12" t="n">
        <v>0.37</v>
      </c>
      <c r="F1557" s="17" t="n">
        <v>51790.67</v>
      </c>
      <c r="G1557" s="14">
        <f>E1557*F1557</f>
        <v/>
      </c>
      <c r="H1557" s="14">
        <f>C1557*G1557</f>
        <v/>
      </c>
    </row>
    <row r="1558">
      <c r="A1558" s="12" t="inlineStr">
        <is>
          <t>RET-0130</t>
        </is>
      </c>
      <c r="B1558" s="12" t="inlineStr">
        <is>
          <t>VS27</t>
        </is>
      </c>
      <c r="C1558" s="28" t="n">
        <v>0.0041</v>
      </c>
      <c r="D1558" s="12" t="inlineStr">
        <is>
          <t>PO-2022-3084</t>
        </is>
      </c>
      <c r="E1558" s="12" t="n">
        <v>0.37</v>
      </c>
      <c r="F1558" s="17" t="n">
        <v>104477.37</v>
      </c>
      <c r="G1558" s="14">
        <f>E1558*F1558</f>
        <v/>
      </c>
      <c r="H1558" s="14">
        <f>C1558*G1558</f>
        <v/>
      </c>
    </row>
    <row r="1559">
      <c r="A1559" s="12" t="inlineStr">
        <is>
          <t>RET-0130</t>
        </is>
      </c>
      <c r="B1559" s="12" t="inlineStr">
        <is>
          <t>VS28</t>
        </is>
      </c>
      <c r="C1559" s="28" t="n">
        <v>0.009299999999999999</v>
      </c>
      <c r="D1559" s="12" t="inlineStr">
        <is>
          <t>PO-2022-3077</t>
        </is>
      </c>
      <c r="E1559" s="12" t="n">
        <v>0.37</v>
      </c>
      <c r="F1559" s="17" t="n">
        <v>48271.47</v>
      </c>
      <c r="G1559" s="14">
        <f>E1559*F1559</f>
        <v/>
      </c>
      <c r="H1559" s="14">
        <f>C1559*G1559</f>
        <v/>
      </c>
    </row>
    <row r="1560">
      <c r="A1560" s="12" t="inlineStr">
        <is>
          <t>RET-0130</t>
        </is>
      </c>
      <c r="B1560" s="12" t="inlineStr">
        <is>
          <t>VS29</t>
        </is>
      </c>
      <c r="C1560" s="28" t="n">
        <v>0.0059</v>
      </c>
      <c r="D1560" s="12" t="inlineStr">
        <is>
          <t>PO-2023-4183</t>
        </is>
      </c>
      <c r="E1560" s="12" t="n">
        <v>0.37</v>
      </c>
      <c r="F1560" s="17" t="n">
        <v>74228.72</v>
      </c>
      <c r="G1560" s="14">
        <f>E1560*F1560</f>
        <v/>
      </c>
      <c r="H1560" s="14">
        <f>C1560*G1560</f>
        <v/>
      </c>
    </row>
    <row r="1561">
      <c r="A1561" s="12" t="inlineStr">
        <is>
          <t>RET-0130</t>
        </is>
      </c>
      <c r="B1561" s="12" t="inlineStr">
        <is>
          <t>VS30</t>
        </is>
      </c>
      <c r="C1561" s="28" t="n">
        <v>0.0025</v>
      </c>
      <c r="D1561" s="12" t="inlineStr">
        <is>
          <t>PO-2023-3794</t>
        </is>
      </c>
      <c r="E1561" s="12" t="n">
        <v>0.37</v>
      </c>
      <c r="F1561" s="17" t="n">
        <v>113581.51</v>
      </c>
      <c r="G1561" s="14">
        <f>E1561*F1561</f>
        <v/>
      </c>
      <c r="H1561" s="14">
        <f>C1561*G1561</f>
        <v/>
      </c>
    </row>
    <row r="1562">
      <c r="A1562" s="12" t="inlineStr">
        <is>
          <t>RET-0130</t>
        </is>
      </c>
      <c r="B1562" s="12" t="inlineStr">
        <is>
          <t>VS31</t>
        </is>
      </c>
      <c r="C1562" s="28" t="n">
        <v>0.0092</v>
      </c>
      <c r="D1562" s="12" t="inlineStr">
        <is>
          <t>PO-2022-2046</t>
        </is>
      </c>
      <c r="E1562" s="12" t="n">
        <v>0.37</v>
      </c>
      <c r="F1562" s="17" t="n">
        <v>46703.96</v>
      </c>
      <c r="G1562" s="14">
        <f>E1562*F1562</f>
        <v/>
      </c>
      <c r="H1562" s="14">
        <f>C1562*G1562</f>
        <v/>
      </c>
    </row>
    <row r="1563">
      <c r="A1563" s="12" t="inlineStr">
        <is>
          <t>RET-0130</t>
        </is>
      </c>
      <c r="B1563" s="12" t="inlineStr">
        <is>
          <t>VS32</t>
        </is>
      </c>
      <c r="C1563" s="28" t="n">
        <v>0.011</v>
      </c>
      <c r="D1563" s="12" t="inlineStr">
        <is>
          <t>PO-2021-0316</t>
        </is>
      </c>
      <c r="E1563" s="12" t="n">
        <v>0.37</v>
      </c>
      <c r="F1563" s="17" t="n">
        <v>78411.2</v>
      </c>
      <c r="G1563" s="14">
        <f>E1563*F1563</f>
        <v/>
      </c>
      <c r="H1563" s="14">
        <f>C1563*G1563</f>
        <v/>
      </c>
    </row>
    <row r="1564">
      <c r="A1564" s="12" t="inlineStr">
        <is>
          <t>RET-0130</t>
        </is>
      </c>
      <c r="B1564" s="12" t="inlineStr">
        <is>
          <t>VS33</t>
        </is>
      </c>
      <c r="C1564" s="28" t="n">
        <v>0.0058</v>
      </c>
      <c r="D1564" s="12" t="inlineStr">
        <is>
          <t>PO-2022-1871</t>
        </is>
      </c>
      <c r="E1564" s="12" t="n">
        <v>0.37</v>
      </c>
      <c r="F1564" s="17" t="n">
        <v>45583.78</v>
      </c>
      <c r="G1564" s="14">
        <f>E1564*F1564</f>
        <v/>
      </c>
      <c r="H1564" s="14">
        <f>C1564*G1564</f>
        <v/>
      </c>
    </row>
    <row r="1565">
      <c r="A1565" s="12" t="inlineStr">
        <is>
          <t>RET-0130</t>
        </is>
      </c>
      <c r="B1565" s="12" t="inlineStr">
        <is>
          <t>VS34</t>
        </is>
      </c>
      <c r="C1565" s="28" t="n">
        <v>0.0076</v>
      </c>
      <c r="D1565" s="12" t="inlineStr">
        <is>
          <t>PO-2022-2684</t>
        </is>
      </c>
      <c r="E1565" s="12" t="n">
        <v>0.37</v>
      </c>
      <c r="F1565" s="17" t="n">
        <v>63167.04</v>
      </c>
      <c r="G1565" s="14">
        <f>E1565*F1565</f>
        <v/>
      </c>
      <c r="H1565" s="14">
        <f>C1565*G1565</f>
        <v/>
      </c>
    </row>
    <row r="1566">
      <c r="A1566" s="12" t="inlineStr">
        <is>
          <t>RET-0131</t>
        </is>
      </c>
      <c r="B1566" s="12" t="inlineStr">
        <is>
          <t>VS01</t>
        </is>
      </c>
      <c r="C1566" s="28" t="n">
        <v>0.0216</v>
      </c>
      <c r="D1566" s="12" t="inlineStr">
        <is>
          <t>PO-2023-3417</t>
        </is>
      </c>
      <c r="E1566" s="12" t="n">
        <v>2.89</v>
      </c>
      <c r="F1566" s="17" t="n">
        <v>94380.89999999999</v>
      </c>
      <c r="G1566" s="14">
        <f>E1566*F1566</f>
        <v/>
      </c>
      <c r="H1566" s="14">
        <f>C1566*G1566</f>
        <v/>
      </c>
    </row>
    <row r="1567">
      <c r="A1567" s="12" t="inlineStr">
        <is>
          <t>RET-0131</t>
        </is>
      </c>
      <c r="B1567" s="12" t="inlineStr">
        <is>
          <t>VS02</t>
        </is>
      </c>
      <c r="C1567" s="28" t="n">
        <v>0.009900000000000001</v>
      </c>
      <c r="D1567" s="12" t="inlineStr">
        <is>
          <t>PO-2022-1910</t>
        </is>
      </c>
      <c r="E1567" s="12" t="n">
        <v>2.89</v>
      </c>
      <c r="F1567" s="17" t="n">
        <v>96605.25</v>
      </c>
      <c r="G1567" s="14">
        <f>E1567*F1567</f>
        <v/>
      </c>
      <c r="H1567" s="14">
        <f>C1567*G1567</f>
        <v/>
      </c>
    </row>
    <row r="1568">
      <c r="A1568" s="12" t="inlineStr">
        <is>
          <t>RET-0131</t>
        </is>
      </c>
      <c r="B1568" s="12" t="inlineStr">
        <is>
          <t>VS03</t>
        </is>
      </c>
      <c r="C1568" s="28" t="n">
        <v>0.1524</v>
      </c>
      <c r="D1568" s="12" t="inlineStr">
        <is>
          <t>PO-2021-0177</t>
        </is>
      </c>
      <c r="E1568" s="12" t="n">
        <v>2.89</v>
      </c>
      <c r="F1568" s="17" t="n">
        <v>93547.35000000001</v>
      </c>
      <c r="G1568" s="14">
        <f>E1568*F1568</f>
        <v/>
      </c>
      <c r="H1568" s="14">
        <f>C1568*G1568</f>
        <v/>
      </c>
    </row>
    <row r="1569">
      <c r="A1569" s="12" t="inlineStr">
        <is>
          <t>RET-0131</t>
        </is>
      </c>
      <c r="B1569" s="12" t="inlineStr">
        <is>
          <t>VS04</t>
        </is>
      </c>
      <c r="C1569" s="28" t="n">
        <v>0.0136</v>
      </c>
      <c r="D1569" s="12" t="inlineStr">
        <is>
          <t>PO-2023-4362</t>
        </is>
      </c>
      <c r="E1569" s="12" t="n">
        <v>2.89</v>
      </c>
      <c r="F1569" s="17" t="n">
        <v>64688.41</v>
      </c>
      <c r="G1569" s="14">
        <f>E1569*F1569</f>
        <v/>
      </c>
      <c r="H1569" s="14">
        <f>C1569*G1569</f>
        <v/>
      </c>
    </row>
    <row r="1570">
      <c r="A1570" s="12" t="inlineStr">
        <is>
          <t>RET-0131</t>
        </is>
      </c>
      <c r="B1570" s="12" t="inlineStr">
        <is>
          <t>VS05</t>
        </is>
      </c>
      <c r="C1570" s="28" t="n">
        <v>0.0176</v>
      </c>
      <c r="D1570" s="12" t="inlineStr">
        <is>
          <t>PO-2023-4795</t>
        </is>
      </c>
      <c r="E1570" s="12" t="n">
        <v>2.89</v>
      </c>
      <c r="F1570" s="17" t="n">
        <v>74847.99000000001</v>
      </c>
      <c r="G1570" s="14">
        <f>E1570*F1570</f>
        <v/>
      </c>
      <c r="H1570" s="14">
        <f>C1570*G1570</f>
        <v/>
      </c>
    </row>
    <row r="1571">
      <c r="A1571" s="12" t="inlineStr">
        <is>
          <t>RET-0131</t>
        </is>
      </c>
      <c r="B1571" s="12" t="inlineStr">
        <is>
          <t>VS06</t>
        </is>
      </c>
      <c r="C1571" s="28" t="n">
        <v>0.0178</v>
      </c>
      <c r="D1571" s="12" t="inlineStr">
        <is>
          <t>PO-2022-2532</t>
        </is>
      </c>
      <c r="E1571" s="12" t="n">
        <v>2.89</v>
      </c>
      <c r="F1571" s="17" t="n">
        <v>81088.03</v>
      </c>
      <c r="G1571" s="14">
        <f>E1571*F1571</f>
        <v/>
      </c>
      <c r="H1571" s="14">
        <f>C1571*G1571</f>
        <v/>
      </c>
    </row>
    <row r="1572">
      <c r="A1572" s="12" t="inlineStr">
        <is>
          <t>RET-0131</t>
        </is>
      </c>
      <c r="B1572" s="12" t="inlineStr">
        <is>
          <t>VS07</t>
        </is>
      </c>
      <c r="C1572" s="28" t="n">
        <v>0.0059</v>
      </c>
      <c r="D1572" s="12" t="inlineStr">
        <is>
          <t>PO-2022-1873</t>
        </is>
      </c>
      <c r="E1572" s="12" t="n">
        <v>2.89</v>
      </c>
      <c r="F1572" s="17" t="n">
        <v>70583.78999999999</v>
      </c>
      <c r="G1572" s="14">
        <f>E1572*F1572</f>
        <v/>
      </c>
      <c r="H1572" s="14">
        <f>C1572*G1572</f>
        <v/>
      </c>
    </row>
    <row r="1573">
      <c r="A1573" s="12" t="inlineStr">
        <is>
          <t>RET-0131</t>
        </is>
      </c>
      <c r="B1573" s="12" t="inlineStr">
        <is>
          <t>VS08</t>
        </is>
      </c>
      <c r="C1573" s="28" t="n">
        <v>0.0179</v>
      </c>
      <c r="D1573" s="12" t="inlineStr">
        <is>
          <t>PO-2023-4186</t>
        </is>
      </c>
      <c r="E1573" s="12" t="n">
        <v>1.25</v>
      </c>
      <c r="F1573" s="17" t="n">
        <v>106380.88</v>
      </c>
      <c r="G1573" s="14">
        <f>E1573*F1573</f>
        <v/>
      </c>
      <c r="H1573" s="14">
        <f>C1573*G1573</f>
        <v/>
      </c>
    </row>
    <row r="1574">
      <c r="A1574" s="12" t="inlineStr">
        <is>
          <t>RET-0131</t>
        </is>
      </c>
      <c r="B1574" s="12" t="inlineStr">
        <is>
          <t>VS09</t>
        </is>
      </c>
      <c r="C1574" s="28" t="n">
        <v>0.0137</v>
      </c>
      <c r="D1574" s="12" t="inlineStr">
        <is>
          <t>PO-2023-4245</t>
        </is>
      </c>
      <c r="E1574" s="12" t="n">
        <v>2.89</v>
      </c>
      <c r="F1574" s="17" t="n">
        <v>73880.31</v>
      </c>
      <c r="G1574" s="14">
        <f>E1574*F1574</f>
        <v/>
      </c>
      <c r="H1574" s="14">
        <f>C1574*G1574</f>
        <v/>
      </c>
    </row>
    <row r="1575">
      <c r="A1575" s="12" t="inlineStr">
        <is>
          <t>RET-0131</t>
        </is>
      </c>
      <c r="B1575" s="12" t="inlineStr">
        <is>
          <t>VS10</t>
        </is>
      </c>
      <c r="C1575" s="28" t="n">
        <v>0.0216</v>
      </c>
      <c r="D1575" s="12" t="inlineStr">
        <is>
          <t>PO-2022-2161</t>
        </is>
      </c>
      <c r="E1575" s="12" t="n">
        <v>2.89</v>
      </c>
      <c r="F1575" s="17" t="n">
        <v>59900.78</v>
      </c>
      <c r="G1575" s="14">
        <f>E1575*F1575</f>
        <v/>
      </c>
      <c r="H1575" s="14">
        <f>C1575*G1575</f>
        <v/>
      </c>
    </row>
    <row r="1576">
      <c r="A1576" s="12" t="inlineStr">
        <is>
          <t>RET-0131</t>
        </is>
      </c>
      <c r="B1576" s="12" t="inlineStr">
        <is>
          <t>VS11</t>
        </is>
      </c>
      <c r="C1576" s="28" t="n">
        <v>0.0253</v>
      </c>
      <c r="D1576" s="12" t="inlineStr">
        <is>
          <t>PO-2023-4115</t>
        </is>
      </c>
      <c r="E1576" s="12" t="n">
        <v>2.89</v>
      </c>
      <c r="F1576" s="17" t="n">
        <v>64062.22</v>
      </c>
      <c r="G1576" s="14">
        <f>E1576*F1576</f>
        <v/>
      </c>
      <c r="H1576" s="14">
        <f>C1576*G1576</f>
        <v/>
      </c>
    </row>
    <row r="1577">
      <c r="A1577" s="12" t="inlineStr">
        <is>
          <t>RET-0131</t>
        </is>
      </c>
      <c r="B1577" s="12" t="inlineStr">
        <is>
          <t>VS12</t>
        </is>
      </c>
      <c r="C1577" s="28" t="n">
        <v>0.2119</v>
      </c>
      <c r="D1577" s="12" t="inlineStr">
        <is>
          <t>PO-2022-2806</t>
        </is>
      </c>
      <c r="E1577" s="12" t="n">
        <v>2.89</v>
      </c>
      <c r="F1577" s="17" t="n">
        <v>57181.64</v>
      </c>
      <c r="G1577" s="14">
        <f>E1577*F1577</f>
        <v/>
      </c>
      <c r="H1577" s="14">
        <f>C1577*G1577</f>
        <v/>
      </c>
    </row>
    <row r="1578">
      <c r="A1578" s="12" t="inlineStr">
        <is>
          <t>RET-0131</t>
        </is>
      </c>
      <c r="B1578" s="12" t="inlineStr">
        <is>
          <t>VS13</t>
        </is>
      </c>
      <c r="C1578" s="28" t="n">
        <v>0.0174</v>
      </c>
      <c r="D1578" s="12" t="inlineStr">
        <is>
          <t>PO-2022-3169</t>
        </is>
      </c>
      <c r="E1578" s="12" t="n">
        <v>2.89</v>
      </c>
      <c r="F1578" s="17" t="n">
        <v>70784.24000000001</v>
      </c>
      <c r="G1578" s="14">
        <f>E1578*F1578</f>
        <v/>
      </c>
      <c r="H1578" s="14">
        <f>C1578*G1578</f>
        <v/>
      </c>
    </row>
    <row r="1579">
      <c r="A1579" s="12" t="inlineStr">
        <is>
          <t>RET-0131</t>
        </is>
      </c>
      <c r="B1579" s="12" t="inlineStr">
        <is>
          <t>VS14</t>
        </is>
      </c>
      <c r="C1579" s="28" t="n">
        <v>0.0176</v>
      </c>
      <c r="D1579" s="12" t="inlineStr">
        <is>
          <t>PO-2021-1366</t>
        </is>
      </c>
      <c r="E1579" s="12" t="n">
        <v>2.89</v>
      </c>
      <c r="F1579" s="17" t="n">
        <v>84329.67999999999</v>
      </c>
      <c r="G1579" s="14">
        <f>E1579*F1579</f>
        <v/>
      </c>
      <c r="H1579" s="14">
        <f>C1579*G1579</f>
        <v/>
      </c>
    </row>
    <row r="1580">
      <c r="A1580" s="12" t="inlineStr">
        <is>
          <t>RET-0131</t>
        </is>
      </c>
      <c r="B1580" s="12" t="inlineStr">
        <is>
          <t>VS15</t>
        </is>
      </c>
      <c r="C1580" s="28" t="n">
        <v>0.0059</v>
      </c>
      <c r="D1580" s="12" t="inlineStr">
        <is>
          <t>PO-2021-0755</t>
        </is>
      </c>
      <c r="E1580" s="12" t="n">
        <v>2.89</v>
      </c>
      <c r="F1580" s="17" t="n">
        <v>78237.03</v>
      </c>
      <c r="G1580" s="14">
        <f>E1580*F1580</f>
        <v/>
      </c>
      <c r="H1580" s="14">
        <f>C1580*G1580</f>
        <v/>
      </c>
    </row>
    <row r="1581">
      <c r="A1581" s="12" t="inlineStr">
        <is>
          <t>RET-0131</t>
        </is>
      </c>
      <c r="B1581" s="12" t="inlineStr">
        <is>
          <t>VS16</t>
        </is>
      </c>
      <c r="C1581" s="28" t="n">
        <v>0.0254</v>
      </c>
      <c r="D1581" s="12" t="inlineStr">
        <is>
          <t>PO-2022-2204</t>
        </is>
      </c>
      <c r="E1581" s="12" t="n">
        <v>2.89</v>
      </c>
      <c r="F1581" s="17" t="n">
        <v>105864.4</v>
      </c>
      <c r="G1581" s="14">
        <f>E1581*F1581</f>
        <v/>
      </c>
      <c r="H1581" s="14">
        <f>C1581*G1581</f>
        <v/>
      </c>
    </row>
    <row r="1582">
      <c r="A1582" s="12" t="inlineStr">
        <is>
          <t>RET-0131</t>
        </is>
      </c>
      <c r="B1582" s="12" t="inlineStr">
        <is>
          <t>VS17</t>
        </is>
      </c>
      <c r="C1582" s="28" t="n">
        <v>0.0253</v>
      </c>
      <c r="D1582" s="12" t="inlineStr">
        <is>
          <t>PO-2021-0736</t>
        </is>
      </c>
      <c r="E1582" s="12" t="n">
        <v>2.89</v>
      </c>
      <c r="F1582" s="17" t="n">
        <v>116889.51</v>
      </c>
      <c r="G1582" s="14">
        <f>E1582*F1582</f>
        <v/>
      </c>
      <c r="H1582" s="14">
        <f>C1582*G1582</f>
        <v/>
      </c>
    </row>
    <row r="1583">
      <c r="A1583" s="12" t="inlineStr">
        <is>
          <t>RET-0131</t>
        </is>
      </c>
      <c r="B1583" s="12" t="inlineStr">
        <is>
          <t>VS18</t>
        </is>
      </c>
      <c r="C1583" s="28" t="n">
        <v>0.0176</v>
      </c>
      <c r="D1583" s="12" t="inlineStr">
        <is>
          <t>PO-2022-2335</t>
        </is>
      </c>
      <c r="E1583" s="12" t="n">
        <v>2.89</v>
      </c>
      <c r="F1583" s="17" t="n">
        <v>90511.87</v>
      </c>
      <c r="G1583" s="14">
        <f>E1583*F1583</f>
        <v/>
      </c>
      <c r="H1583" s="14">
        <f>C1583*G1583</f>
        <v/>
      </c>
    </row>
    <row r="1584">
      <c r="A1584" s="12" t="inlineStr">
        <is>
          <t>RET-0131</t>
        </is>
      </c>
      <c r="B1584" s="12" t="inlineStr">
        <is>
          <t>VS19</t>
        </is>
      </c>
      <c r="C1584" s="28" t="n">
        <v>0.1598</v>
      </c>
      <c r="D1584" s="12" t="inlineStr">
        <is>
          <t>PO-2023-4597</t>
        </is>
      </c>
      <c r="E1584" s="12" t="n">
        <v>2.89</v>
      </c>
      <c r="F1584" s="17" t="n">
        <v>112266.24</v>
      </c>
      <c r="G1584" s="14">
        <f>E1584*F1584</f>
        <v/>
      </c>
      <c r="H1584" s="14">
        <f>C1584*G1584</f>
        <v/>
      </c>
    </row>
    <row r="1585">
      <c r="A1585" s="12" t="inlineStr">
        <is>
          <t>RET-0131</t>
        </is>
      </c>
      <c r="B1585" s="12" t="inlineStr">
        <is>
          <t>VS20</t>
        </is>
      </c>
      <c r="C1585" s="28" t="n">
        <v>0.0098</v>
      </c>
      <c r="D1585" s="12" t="inlineStr">
        <is>
          <t>PO-2021-0289</t>
        </is>
      </c>
      <c r="E1585" s="12" t="n">
        <v>2.89</v>
      </c>
      <c r="F1585" s="17" t="n">
        <v>118669.52</v>
      </c>
      <c r="G1585" s="14">
        <f>E1585*F1585</f>
        <v/>
      </c>
      <c r="H1585" s="14">
        <f>C1585*G1585</f>
        <v/>
      </c>
    </row>
    <row r="1586">
      <c r="A1586" s="12" t="inlineStr">
        <is>
          <t>RET-0131</t>
        </is>
      </c>
      <c r="B1586" s="12" t="inlineStr">
        <is>
          <t>VS21</t>
        </is>
      </c>
      <c r="C1586" s="28" t="n">
        <v>0.0098</v>
      </c>
      <c r="D1586" s="12" t="inlineStr">
        <is>
          <t>PO-2023-4525</t>
        </is>
      </c>
      <c r="E1586" s="12" t="n">
        <v>2.89</v>
      </c>
      <c r="F1586" s="17" t="n">
        <v>74220.88</v>
      </c>
      <c r="G1586" s="14">
        <f>E1586*F1586</f>
        <v/>
      </c>
      <c r="H1586" s="14">
        <f>C1586*G1586</f>
        <v/>
      </c>
    </row>
    <row r="1587">
      <c r="A1587" s="12" t="inlineStr">
        <is>
          <t>RET-0131</t>
        </is>
      </c>
      <c r="B1587" s="12" t="inlineStr">
        <is>
          <t>VS22</t>
        </is>
      </c>
      <c r="C1587" s="28" t="n">
        <v>0.0058</v>
      </c>
      <c r="D1587" s="12" t="inlineStr">
        <is>
          <t>PO-2021-0563</t>
        </is>
      </c>
      <c r="E1587" s="12" t="n">
        <v>2.89</v>
      </c>
      <c r="F1587" s="17" t="n">
        <v>92873.52</v>
      </c>
      <c r="G1587" s="14">
        <f>E1587*F1587</f>
        <v/>
      </c>
      <c r="H1587" s="14">
        <f>C1587*G1587</f>
        <v/>
      </c>
    </row>
    <row r="1588">
      <c r="A1588" s="12" t="inlineStr">
        <is>
          <t>RET-0131</t>
        </is>
      </c>
      <c r="B1588" s="12" t="inlineStr">
        <is>
          <t>VS23</t>
        </is>
      </c>
      <c r="C1588" s="28" t="n">
        <v>0.0097</v>
      </c>
      <c r="D1588" s="12" t="inlineStr">
        <is>
          <t>PO-2022-2470</t>
        </is>
      </c>
      <c r="E1588" s="12" t="n">
        <v>2.89</v>
      </c>
      <c r="F1588" s="17" t="n">
        <v>86528.27</v>
      </c>
      <c r="G1588" s="14">
        <f>E1588*F1588</f>
        <v/>
      </c>
      <c r="H1588" s="14">
        <f>C1588*G1588</f>
        <v/>
      </c>
    </row>
    <row r="1589">
      <c r="A1589" s="12" t="inlineStr">
        <is>
          <t>RET-0131</t>
        </is>
      </c>
      <c r="B1589" s="12" t="inlineStr">
        <is>
          <t>VS24</t>
        </is>
      </c>
      <c r="C1589" s="28" t="n">
        <v>0.0098</v>
      </c>
      <c r="D1589" s="12" t="inlineStr">
        <is>
          <t>PO-2023-4470</t>
        </is>
      </c>
      <c r="E1589" s="12" t="n">
        <v>2.89</v>
      </c>
      <c r="F1589" s="17" t="n">
        <v>102821.12</v>
      </c>
      <c r="G1589" s="14">
        <f>E1589*F1589</f>
        <v/>
      </c>
      <c r="H1589" s="14">
        <f>C1589*G1589</f>
        <v/>
      </c>
    </row>
    <row r="1590">
      <c r="A1590" s="12" t="inlineStr">
        <is>
          <t>RET-0131</t>
        </is>
      </c>
      <c r="B1590" s="12" t="inlineStr">
        <is>
          <t>VS25</t>
        </is>
      </c>
      <c r="C1590" s="28" t="n">
        <v>0.0177</v>
      </c>
      <c r="D1590" s="12" t="inlineStr">
        <is>
          <t>PO-2021-0631</t>
        </is>
      </c>
      <c r="E1590" s="12" t="n">
        <v>2.89</v>
      </c>
      <c r="F1590" s="17" t="n">
        <v>104762.52</v>
      </c>
      <c r="G1590" s="14">
        <f>E1590*F1590</f>
        <v/>
      </c>
      <c r="H1590" s="14">
        <f>C1590*G1590</f>
        <v/>
      </c>
    </row>
    <row r="1591">
      <c r="A1591" s="12" t="inlineStr">
        <is>
          <t>RET-0131</t>
        </is>
      </c>
      <c r="B1591" s="12" t="inlineStr">
        <is>
          <t>VS26</t>
        </is>
      </c>
      <c r="C1591" s="28" t="n">
        <v>0.009900000000000001</v>
      </c>
      <c r="D1591" s="12" t="inlineStr">
        <is>
          <t>PO-2023-3233</t>
        </is>
      </c>
      <c r="E1591" s="12" t="n">
        <v>2.89</v>
      </c>
      <c r="F1591" s="17" t="n">
        <v>99007.13</v>
      </c>
      <c r="G1591" s="14">
        <f>E1591*F1591</f>
        <v/>
      </c>
      <c r="H1591" s="14">
        <f>C1591*G1591</f>
        <v/>
      </c>
    </row>
    <row r="1592">
      <c r="A1592" s="12" t="inlineStr">
        <is>
          <t>RET-0131</t>
        </is>
      </c>
      <c r="B1592" s="12" t="inlineStr">
        <is>
          <t>VS27</t>
        </is>
      </c>
      <c r="C1592" s="28" t="n">
        <v>0.0097</v>
      </c>
      <c r="D1592" s="12" t="inlineStr">
        <is>
          <t>PO-2021-0839</t>
        </is>
      </c>
      <c r="E1592" s="12" t="n">
        <v>2.89</v>
      </c>
      <c r="F1592" s="17" t="n">
        <v>76984.87</v>
      </c>
      <c r="G1592" s="14">
        <f>E1592*F1592</f>
        <v/>
      </c>
      <c r="H1592" s="14">
        <f>C1592*G1592</f>
        <v/>
      </c>
    </row>
    <row r="1593">
      <c r="A1593" s="12" t="inlineStr">
        <is>
          <t>RET-0131</t>
        </is>
      </c>
      <c r="B1593" s="12" t="inlineStr">
        <is>
          <t>VS28</t>
        </is>
      </c>
      <c r="C1593" s="28" t="n">
        <v>0.0216</v>
      </c>
      <c r="D1593" s="12" t="inlineStr">
        <is>
          <t>PO-2021-1403</t>
        </is>
      </c>
      <c r="E1593" s="12" t="n">
        <v>2.89</v>
      </c>
      <c r="F1593" s="17" t="n">
        <v>49494.23</v>
      </c>
      <c r="G1593" s="14">
        <f>E1593*F1593</f>
        <v/>
      </c>
      <c r="H1593" s="14">
        <f>C1593*G1593</f>
        <v/>
      </c>
    </row>
    <row r="1594">
      <c r="A1594" s="12" t="inlineStr">
        <is>
          <t>RET-0131</t>
        </is>
      </c>
      <c r="B1594" s="12" t="inlineStr">
        <is>
          <t>VS29</t>
        </is>
      </c>
      <c r="C1594" s="28" t="n">
        <v>0.0137</v>
      </c>
      <c r="D1594" s="12" t="inlineStr">
        <is>
          <t>PO-2021-1570</t>
        </is>
      </c>
      <c r="E1594" s="12" t="n">
        <v>2.89</v>
      </c>
      <c r="F1594" s="17" t="n">
        <v>60293.9</v>
      </c>
      <c r="G1594" s="14">
        <f>E1594*F1594</f>
        <v/>
      </c>
      <c r="H1594" s="14">
        <f>C1594*G1594</f>
        <v/>
      </c>
    </row>
    <row r="1595">
      <c r="A1595" s="12" t="inlineStr">
        <is>
          <t>RET-0131</t>
        </is>
      </c>
      <c r="B1595" s="12" t="inlineStr">
        <is>
          <t>VS30</t>
        </is>
      </c>
      <c r="C1595" s="28" t="n">
        <v>0.0059</v>
      </c>
      <c r="D1595" s="12" t="inlineStr">
        <is>
          <t>PO-2022-2498</t>
        </is>
      </c>
      <c r="E1595" s="12" t="n">
        <v>2.89</v>
      </c>
      <c r="F1595" s="17" t="n">
        <v>98265.69</v>
      </c>
      <c r="G1595" s="14">
        <f>E1595*F1595</f>
        <v/>
      </c>
      <c r="H1595" s="14">
        <f>C1595*G1595</f>
        <v/>
      </c>
    </row>
    <row r="1596">
      <c r="A1596" s="12" t="inlineStr">
        <is>
          <t>RET-0131</t>
        </is>
      </c>
      <c r="B1596" s="12" t="inlineStr">
        <is>
          <t>VS31</t>
        </is>
      </c>
      <c r="C1596" s="28" t="n">
        <v>0.0215</v>
      </c>
      <c r="D1596" s="12" t="inlineStr">
        <is>
          <t>PO-2023-4621</t>
        </is>
      </c>
      <c r="E1596" s="12" t="n">
        <v>2.89</v>
      </c>
      <c r="F1596" s="17" t="n">
        <v>76674.83</v>
      </c>
      <c r="G1596" s="14">
        <f>E1596*F1596</f>
        <v/>
      </c>
      <c r="H1596" s="14">
        <f>C1596*G1596</f>
        <v/>
      </c>
    </row>
    <row r="1597">
      <c r="A1597" s="12" t="inlineStr">
        <is>
          <t>RET-0131</t>
        </is>
      </c>
      <c r="B1597" s="12" t="inlineStr">
        <is>
          <t>VS32</t>
        </is>
      </c>
      <c r="C1597" s="28" t="n">
        <v>0.0256</v>
      </c>
      <c r="D1597" s="12" t="inlineStr">
        <is>
          <t>PO-2021-0053</t>
        </is>
      </c>
      <c r="E1597" s="12" t="n">
        <v>2.89</v>
      </c>
      <c r="F1597" s="17" t="n">
        <v>81423.14999999999</v>
      </c>
      <c r="G1597" s="14">
        <f>E1597*F1597</f>
        <v/>
      </c>
      <c r="H1597" s="14">
        <f>C1597*G1597</f>
        <v/>
      </c>
    </row>
    <row r="1598">
      <c r="A1598" s="12" t="inlineStr">
        <is>
          <t>RET-0131</t>
        </is>
      </c>
      <c r="B1598" s="12" t="inlineStr">
        <is>
          <t>VS33</t>
        </is>
      </c>
      <c r="C1598" s="28" t="n">
        <v>0.0136</v>
      </c>
      <c r="D1598" s="12" t="inlineStr">
        <is>
          <t>PO-2022-2454</t>
        </is>
      </c>
      <c r="E1598" s="12" t="n">
        <v>2.89</v>
      </c>
      <c r="F1598" s="17" t="n">
        <v>112935.81</v>
      </c>
      <c r="G1598" s="14">
        <f>E1598*F1598</f>
        <v/>
      </c>
      <c r="H1598" s="14">
        <f>C1598*G1598</f>
        <v/>
      </c>
    </row>
    <row r="1599">
      <c r="A1599" s="12" t="inlineStr">
        <is>
          <t>RET-0131</t>
        </is>
      </c>
      <c r="B1599" s="12" t="inlineStr">
        <is>
          <t>VS34</t>
        </is>
      </c>
      <c r="C1599" s="28" t="n">
        <v>0.0176</v>
      </c>
      <c r="D1599" s="12" t="inlineStr">
        <is>
          <t>PO-2023-4779</t>
        </is>
      </c>
      <c r="E1599" s="12" t="n">
        <v>2.89</v>
      </c>
      <c r="F1599" s="17" t="n">
        <v>69273.24000000001</v>
      </c>
      <c r="G1599" s="14">
        <f>E1599*F1599</f>
        <v/>
      </c>
      <c r="H1599" s="14">
        <f>C1599*G1599</f>
        <v/>
      </c>
    </row>
    <row r="1600">
      <c r="A1600" s="12" t="inlineStr">
        <is>
          <t>RET-0133</t>
        </is>
      </c>
      <c r="B1600" s="12" t="inlineStr">
        <is>
          <t>VS01</t>
        </is>
      </c>
      <c r="C1600" s="28" t="n">
        <v>0.0181</v>
      </c>
      <c r="D1600" s="12" t="inlineStr">
        <is>
          <t>PO-2021-0957</t>
        </is>
      </c>
      <c r="E1600" s="12" t="n">
        <v>1.58</v>
      </c>
      <c r="F1600" s="17" t="n">
        <v>52327.41</v>
      </c>
      <c r="G1600" s="14">
        <f>E1600*F1600</f>
        <v/>
      </c>
      <c r="H1600" s="14">
        <f>C1600*G1600</f>
        <v/>
      </c>
    </row>
    <row r="1601">
      <c r="A1601" s="12" t="inlineStr">
        <is>
          <t>RET-0133</t>
        </is>
      </c>
      <c r="B1601" s="12" t="inlineStr">
        <is>
          <t>VS02</t>
        </is>
      </c>
      <c r="C1601" s="28" t="n">
        <v>0.008200000000000001</v>
      </c>
      <c r="D1601" s="12" t="inlineStr">
        <is>
          <t>PO-2022-2665</t>
        </is>
      </c>
      <c r="E1601" s="12" t="n">
        <v>2.37</v>
      </c>
      <c r="F1601" s="17" t="n">
        <v>101816.89</v>
      </c>
      <c r="G1601" s="14">
        <f>E1601*F1601</f>
        <v/>
      </c>
      <c r="H1601" s="14">
        <f>C1601*G1601</f>
        <v/>
      </c>
    </row>
    <row r="1602">
      <c r="A1602" s="12" t="inlineStr">
        <is>
          <t>RET-0133</t>
        </is>
      </c>
      <c r="B1602" s="12" t="inlineStr">
        <is>
          <t>VS03</t>
        </is>
      </c>
      <c r="C1602" s="28" t="n">
        <v>0.1752</v>
      </c>
      <c r="D1602" s="12" t="inlineStr">
        <is>
          <t>PO-2023-4429</t>
        </is>
      </c>
      <c r="E1602" s="12" t="n">
        <v>2.37</v>
      </c>
      <c r="F1602" s="17" t="n">
        <v>72085.96000000001</v>
      </c>
      <c r="G1602" s="14">
        <f>E1602*F1602</f>
        <v/>
      </c>
      <c r="H1602" s="14">
        <f>C1602*G1602</f>
        <v/>
      </c>
    </row>
    <row r="1603">
      <c r="A1603" s="12" t="inlineStr">
        <is>
          <t>RET-0133</t>
        </is>
      </c>
      <c r="B1603" s="12" t="inlineStr">
        <is>
          <t>VS04</t>
        </is>
      </c>
      <c r="C1603" s="28" t="n">
        <v>0.0113</v>
      </c>
      <c r="D1603" s="12" t="inlineStr">
        <is>
          <t>PO-2021-0568</t>
        </is>
      </c>
      <c r="E1603" s="12" t="n">
        <v>2.37</v>
      </c>
      <c r="F1603" s="17" t="n">
        <v>59590.79</v>
      </c>
      <c r="G1603" s="14">
        <f>E1603*F1603</f>
        <v/>
      </c>
      <c r="H1603" s="14">
        <f>C1603*G1603</f>
        <v/>
      </c>
    </row>
    <row r="1604">
      <c r="A1604" s="12" t="inlineStr">
        <is>
          <t>RET-0133</t>
        </is>
      </c>
      <c r="B1604" s="12" t="inlineStr">
        <is>
          <t>VS05</t>
        </is>
      </c>
      <c r="C1604" s="28" t="n">
        <v>0.0147</v>
      </c>
      <c r="D1604" s="12" t="inlineStr">
        <is>
          <t>PO-2021-0163</t>
        </is>
      </c>
      <c r="E1604" s="12" t="n">
        <v>2.37</v>
      </c>
      <c r="F1604" s="17" t="n">
        <v>51992.26</v>
      </c>
      <c r="G1604" s="14">
        <f>E1604*F1604</f>
        <v/>
      </c>
      <c r="H1604" s="14">
        <f>C1604*G1604</f>
        <v/>
      </c>
    </row>
    <row r="1605">
      <c r="A1605" s="12" t="inlineStr">
        <is>
          <t>RET-0133</t>
        </is>
      </c>
      <c r="B1605" s="12" t="inlineStr">
        <is>
          <t>VS06</t>
        </is>
      </c>
      <c r="C1605" s="28" t="n">
        <v>0.0149</v>
      </c>
      <c r="D1605" s="12" t="inlineStr">
        <is>
          <t>PO-2023-4609</t>
        </is>
      </c>
      <c r="E1605" s="12" t="n">
        <v>2.37</v>
      </c>
      <c r="F1605" s="17" t="n">
        <v>63413.61</v>
      </c>
      <c r="G1605" s="14">
        <f>E1605*F1605</f>
        <v/>
      </c>
      <c r="H1605" s="14">
        <f>C1605*G1605</f>
        <v/>
      </c>
    </row>
    <row r="1606">
      <c r="A1606" s="12" t="inlineStr">
        <is>
          <t>RET-0133</t>
        </is>
      </c>
      <c r="B1606" s="12" t="inlineStr">
        <is>
          <t>VS07</t>
        </is>
      </c>
      <c r="C1606" s="28" t="n">
        <v>0.005</v>
      </c>
      <c r="D1606" s="12" t="inlineStr">
        <is>
          <t>PO-2022-2289</t>
        </is>
      </c>
      <c r="E1606" s="12" t="n">
        <v>2.37</v>
      </c>
      <c r="F1606" s="17" t="n">
        <v>45650.15</v>
      </c>
      <c r="G1606" s="14">
        <f>E1606*F1606</f>
        <v/>
      </c>
      <c r="H1606" s="14">
        <f>C1606*G1606</f>
        <v/>
      </c>
    </row>
    <row r="1607">
      <c r="A1607" s="12" t="inlineStr">
        <is>
          <t>RET-0133</t>
        </is>
      </c>
      <c r="B1607" s="12" t="inlineStr">
        <is>
          <t>VS08</t>
        </is>
      </c>
      <c r="C1607" s="28" t="n">
        <v>0.015</v>
      </c>
      <c r="D1607" s="12" t="inlineStr">
        <is>
          <t>PO-2022-2389</t>
        </is>
      </c>
      <c r="E1607" s="12" t="n">
        <v>2.37</v>
      </c>
      <c r="F1607" s="17" t="n">
        <v>79143.34</v>
      </c>
      <c r="G1607" s="14">
        <f>E1607*F1607</f>
        <v/>
      </c>
      <c r="H1607" s="14">
        <f>C1607*G1607</f>
        <v/>
      </c>
    </row>
    <row r="1608">
      <c r="A1608" s="12" t="inlineStr">
        <is>
          <t>RET-0133</t>
        </is>
      </c>
      <c r="B1608" s="12" t="inlineStr">
        <is>
          <t>VS09</t>
        </is>
      </c>
      <c r="C1608" s="28" t="n">
        <v>0.0115</v>
      </c>
      <c r="D1608" s="12" t="inlineStr">
        <is>
          <t>PO-2021-0111</t>
        </is>
      </c>
      <c r="E1608" s="12" t="n">
        <v>2.37</v>
      </c>
      <c r="F1608" s="17" t="n">
        <v>104250.46</v>
      </c>
      <c r="G1608" s="14">
        <f>E1608*F1608</f>
        <v/>
      </c>
      <c r="H1608" s="14">
        <f>C1608*G1608</f>
        <v/>
      </c>
    </row>
    <row r="1609">
      <c r="A1609" s="12" t="inlineStr">
        <is>
          <t>RET-0133</t>
        </is>
      </c>
      <c r="B1609" s="12" t="inlineStr">
        <is>
          <t>VS10</t>
        </is>
      </c>
      <c r="C1609" s="28" t="n">
        <v>0.0181</v>
      </c>
      <c r="D1609" s="12" t="inlineStr">
        <is>
          <t>PO-2022-2714</t>
        </is>
      </c>
      <c r="E1609" s="12" t="n">
        <v>2.37</v>
      </c>
      <c r="F1609" s="17" t="n">
        <v>65626.47</v>
      </c>
      <c r="G1609" s="14">
        <f>E1609*F1609</f>
        <v/>
      </c>
      <c r="H1609" s="14">
        <f>C1609*G1609</f>
        <v/>
      </c>
    </row>
    <row r="1610">
      <c r="A1610" s="12" t="inlineStr">
        <is>
          <t>RET-0133</t>
        </is>
      </c>
      <c r="B1610" s="12" t="inlineStr">
        <is>
          <t>VS11</t>
        </is>
      </c>
      <c r="C1610" s="28" t="n">
        <v>0.0211</v>
      </c>
      <c r="D1610" s="12" t="inlineStr">
        <is>
          <t>PO-2021-0360</t>
        </is>
      </c>
      <c r="E1610" s="12" t="n">
        <v>2.37</v>
      </c>
      <c r="F1610" s="17" t="n">
        <v>77543.22</v>
      </c>
      <c r="G1610" s="14">
        <f>E1610*F1610</f>
        <v/>
      </c>
      <c r="H1610" s="14">
        <f>C1610*G1610</f>
        <v/>
      </c>
    </row>
    <row r="1611">
      <c r="A1611" s="12" t="inlineStr">
        <is>
          <t>RET-0133</t>
        </is>
      </c>
      <c r="B1611" s="12" t="inlineStr">
        <is>
          <t>VS12</t>
        </is>
      </c>
      <c r="C1611" s="28" t="n">
        <v>0.2435</v>
      </c>
      <c r="D1611" s="12" t="inlineStr">
        <is>
          <t>PO-2023-4206</t>
        </is>
      </c>
      <c r="E1611" s="12" t="n">
        <v>2.37</v>
      </c>
      <c r="F1611" s="17" t="n">
        <v>99382.5</v>
      </c>
      <c r="G1611" s="14">
        <f>E1611*F1611</f>
        <v/>
      </c>
      <c r="H1611" s="14">
        <f>C1611*G1611</f>
        <v/>
      </c>
    </row>
    <row r="1612">
      <c r="A1612" s="12" t="inlineStr">
        <is>
          <t>RET-0133</t>
        </is>
      </c>
      <c r="B1612" s="12" t="inlineStr">
        <is>
          <t>VS13</t>
        </is>
      </c>
      <c r="C1612" s="28" t="n">
        <v>0.0146</v>
      </c>
      <c r="D1612" s="12" t="inlineStr">
        <is>
          <t>PO-2021-1391</t>
        </is>
      </c>
      <c r="E1612" s="12" t="n">
        <v>2.37</v>
      </c>
      <c r="F1612" s="17" t="n">
        <v>111171.45</v>
      </c>
      <c r="G1612" s="14">
        <f>E1612*F1612</f>
        <v/>
      </c>
      <c r="H1612" s="14">
        <f>C1612*G1612</f>
        <v/>
      </c>
    </row>
    <row r="1613">
      <c r="A1613" s="12" t="inlineStr">
        <is>
          <t>RET-0133</t>
        </is>
      </c>
      <c r="B1613" s="12" t="inlineStr">
        <is>
          <t>VS14</t>
        </is>
      </c>
      <c r="C1613" s="28" t="n">
        <v>0.0147</v>
      </c>
      <c r="D1613" s="12" t="inlineStr">
        <is>
          <t>PO-2023-4349</t>
        </is>
      </c>
      <c r="E1613" s="12" t="n">
        <v>2.37</v>
      </c>
      <c r="F1613" s="17" t="n">
        <v>116228.14</v>
      </c>
      <c r="G1613" s="14">
        <f>E1613*F1613</f>
        <v/>
      </c>
      <c r="H1613" s="14">
        <f>C1613*G1613</f>
        <v/>
      </c>
    </row>
    <row r="1614">
      <c r="A1614" s="12" t="inlineStr">
        <is>
          <t>RET-0133</t>
        </is>
      </c>
      <c r="B1614" s="12" t="inlineStr">
        <is>
          <t>VS15</t>
        </is>
      </c>
      <c r="C1614" s="28" t="n">
        <v>0.0049</v>
      </c>
      <c r="D1614" s="12" t="inlineStr">
        <is>
          <t>PO-2021-0770</t>
        </is>
      </c>
      <c r="E1614" s="12" t="n">
        <v>2.37</v>
      </c>
      <c r="F1614" s="17" t="n">
        <v>82018.47</v>
      </c>
      <c r="G1614" s="14">
        <f>E1614*F1614</f>
        <v/>
      </c>
      <c r="H1614" s="14">
        <f>C1614*G1614</f>
        <v/>
      </c>
    </row>
    <row r="1615">
      <c r="A1615" s="12" t="inlineStr">
        <is>
          <t>RET-0133</t>
        </is>
      </c>
      <c r="B1615" s="12" t="inlineStr">
        <is>
          <t>VS16</t>
        </is>
      </c>
      <c r="C1615" s="28" t="n">
        <v>0.0212</v>
      </c>
      <c r="D1615" s="12" t="inlineStr">
        <is>
          <t>PO-2022-2482</t>
        </is>
      </c>
      <c r="E1615" s="12" t="n">
        <v>2.37</v>
      </c>
      <c r="F1615" s="17" t="n">
        <v>105007.55</v>
      </c>
      <c r="G1615" s="14">
        <f>E1615*F1615</f>
        <v/>
      </c>
      <c r="H1615" s="14">
        <f>C1615*G1615</f>
        <v/>
      </c>
    </row>
    <row r="1616">
      <c r="A1616" s="12" t="inlineStr">
        <is>
          <t>RET-0133</t>
        </is>
      </c>
      <c r="B1616" s="12" t="inlineStr">
        <is>
          <t>VS17</t>
        </is>
      </c>
      <c r="C1616" s="28" t="n">
        <v>0.0211</v>
      </c>
      <c r="D1616" s="12" t="inlineStr">
        <is>
          <t>PO-2022-2763</t>
        </is>
      </c>
      <c r="E1616" s="12" t="n">
        <v>2.37</v>
      </c>
      <c r="F1616" s="17" t="n">
        <v>59882.94</v>
      </c>
      <c r="G1616" s="14">
        <f>E1616*F1616</f>
        <v/>
      </c>
      <c r="H1616" s="14">
        <f>C1616*G1616</f>
        <v/>
      </c>
    </row>
    <row r="1617">
      <c r="A1617" s="12" t="inlineStr">
        <is>
          <t>RET-0133</t>
        </is>
      </c>
      <c r="B1617" s="12" t="inlineStr">
        <is>
          <t>VS18</t>
        </is>
      </c>
      <c r="C1617" s="28" t="n">
        <v>0.0147</v>
      </c>
      <c r="D1617" s="12" t="inlineStr">
        <is>
          <t>PO-2022-1824</t>
        </is>
      </c>
      <c r="E1617" s="12" t="n">
        <v>2.37</v>
      </c>
      <c r="F1617" s="17" t="n">
        <v>55284.86</v>
      </c>
      <c r="G1617" s="14">
        <f>E1617*F1617</f>
        <v/>
      </c>
      <c r="H1617" s="14">
        <f>C1617*G1617</f>
        <v/>
      </c>
    </row>
    <row r="1618">
      <c r="A1618" s="12" t="inlineStr">
        <is>
          <t>RET-0133</t>
        </is>
      </c>
      <c r="B1618" s="12" t="inlineStr">
        <is>
          <t>VS19</t>
        </is>
      </c>
      <c r="C1618" s="28" t="n">
        <v>0.1837</v>
      </c>
      <c r="D1618" s="12" t="inlineStr">
        <is>
          <t>PO-2023-4062</t>
        </is>
      </c>
      <c r="E1618" s="12" t="n">
        <v>2.37</v>
      </c>
      <c r="F1618" s="17" t="n">
        <v>84790.38</v>
      </c>
      <c r="G1618" s="14">
        <f>E1618*F1618</f>
        <v/>
      </c>
      <c r="H1618" s="14">
        <f>C1618*G1618</f>
        <v/>
      </c>
    </row>
    <row r="1619">
      <c r="A1619" s="12" t="inlineStr">
        <is>
          <t>RET-0133</t>
        </is>
      </c>
      <c r="B1619" s="12" t="inlineStr">
        <is>
          <t>VS20</t>
        </is>
      </c>
      <c r="C1619" s="28" t="n">
        <v>0.008200000000000001</v>
      </c>
      <c r="D1619" s="12" t="inlineStr">
        <is>
          <t>PO-2022-2845</t>
        </is>
      </c>
      <c r="E1619" s="12" t="n">
        <v>2.37</v>
      </c>
      <c r="F1619" s="17" t="n">
        <v>100372.23</v>
      </c>
      <c r="G1619" s="14">
        <f>E1619*F1619</f>
        <v/>
      </c>
      <c r="H1619" s="14">
        <f>C1619*G1619</f>
        <v/>
      </c>
    </row>
    <row r="1620">
      <c r="A1620" s="12" t="inlineStr">
        <is>
          <t>RET-0133</t>
        </is>
      </c>
      <c r="B1620" s="12" t="inlineStr">
        <is>
          <t>VS21</t>
        </is>
      </c>
      <c r="C1620" s="28" t="n">
        <v>0.008200000000000001</v>
      </c>
      <c r="D1620" s="12" t="inlineStr">
        <is>
          <t>PO-2021-1566</t>
        </is>
      </c>
      <c r="E1620" s="12" t="n">
        <v>2.37</v>
      </c>
      <c r="F1620" s="17" t="n">
        <v>111298.98</v>
      </c>
      <c r="G1620" s="14">
        <f>E1620*F1620</f>
        <v/>
      </c>
      <c r="H1620" s="14">
        <f>C1620*G1620</f>
        <v/>
      </c>
    </row>
    <row r="1621">
      <c r="A1621" s="12" t="inlineStr">
        <is>
          <t>RET-0133</t>
        </is>
      </c>
      <c r="B1621" s="12" t="inlineStr">
        <is>
          <t>VS22</t>
        </is>
      </c>
      <c r="C1621" s="28" t="n">
        <v>0.0049</v>
      </c>
      <c r="D1621" s="12" t="inlineStr">
        <is>
          <t>PO-2021-0772</t>
        </is>
      </c>
      <c r="E1621" s="12" t="n">
        <v>2.37</v>
      </c>
      <c r="F1621" s="17" t="n">
        <v>116373.3</v>
      </c>
      <c r="G1621" s="14">
        <f>E1621*F1621</f>
        <v/>
      </c>
      <c r="H1621" s="14">
        <f>C1621*G1621</f>
        <v/>
      </c>
    </row>
    <row r="1622">
      <c r="A1622" s="12" t="inlineStr">
        <is>
          <t>RET-0133</t>
        </is>
      </c>
      <c r="B1622" s="12" t="inlineStr">
        <is>
          <t>VS23</t>
        </is>
      </c>
      <c r="C1622" s="28" t="n">
        <v>0.0081</v>
      </c>
      <c r="D1622" s="12" t="inlineStr">
        <is>
          <t>PO-2022-1809</t>
        </is>
      </c>
      <c r="E1622" s="12" t="n">
        <v>2.37</v>
      </c>
      <c r="F1622" s="17" t="n">
        <v>89861.07000000001</v>
      </c>
      <c r="G1622" s="14">
        <f>E1622*F1622</f>
        <v/>
      </c>
      <c r="H1622" s="14">
        <f>C1622*G1622</f>
        <v/>
      </c>
    </row>
    <row r="1623">
      <c r="A1623" s="12" t="inlineStr">
        <is>
          <t>RET-0133</t>
        </is>
      </c>
      <c r="B1623" s="12" t="inlineStr">
        <is>
          <t>VS24</t>
        </is>
      </c>
      <c r="C1623" s="28" t="n">
        <v>0.008200000000000001</v>
      </c>
      <c r="D1623" s="12" t="inlineStr">
        <is>
          <t>PO-2023-3730</t>
        </is>
      </c>
      <c r="E1623" s="12" t="n">
        <v>2.37</v>
      </c>
      <c r="F1623" s="17" t="n">
        <v>74384.25999999999</v>
      </c>
      <c r="G1623" s="14">
        <f>E1623*F1623</f>
        <v/>
      </c>
      <c r="H1623" s="14">
        <f>C1623*G1623</f>
        <v/>
      </c>
    </row>
    <row r="1624">
      <c r="A1624" s="12" t="inlineStr">
        <is>
          <t>RET-0133</t>
        </is>
      </c>
      <c r="B1624" s="12" t="inlineStr">
        <is>
          <t>VS25</t>
        </is>
      </c>
      <c r="C1624" s="28" t="n">
        <v>0.0148</v>
      </c>
      <c r="D1624" s="12" t="inlineStr">
        <is>
          <t>PO-2022-3185</t>
        </is>
      </c>
      <c r="E1624" s="12" t="n">
        <v>2.37</v>
      </c>
      <c r="F1624" s="17" t="n">
        <v>112945.86</v>
      </c>
      <c r="G1624" s="14">
        <f>E1624*F1624</f>
        <v/>
      </c>
      <c r="H1624" s="14">
        <f>C1624*G1624</f>
        <v/>
      </c>
    </row>
    <row r="1625">
      <c r="A1625" s="12" t="inlineStr">
        <is>
          <t>RET-0133</t>
        </is>
      </c>
      <c r="B1625" s="12" t="inlineStr">
        <is>
          <t>VS26</t>
        </is>
      </c>
      <c r="C1625" s="28" t="n">
        <v>0.008200000000000001</v>
      </c>
      <c r="D1625" s="12" t="inlineStr">
        <is>
          <t>PO-2021-0448</t>
        </is>
      </c>
      <c r="E1625" s="12" t="n">
        <v>2.37</v>
      </c>
      <c r="F1625" s="17" t="n">
        <v>85324.14999999999</v>
      </c>
      <c r="G1625" s="14">
        <f>E1625*F1625</f>
        <v/>
      </c>
      <c r="H1625" s="14">
        <f>C1625*G1625</f>
        <v/>
      </c>
    </row>
    <row r="1626">
      <c r="A1626" s="12" t="inlineStr">
        <is>
          <t>RET-0133</t>
        </is>
      </c>
      <c r="B1626" s="12" t="inlineStr">
        <is>
          <t>VS27</t>
        </is>
      </c>
      <c r="C1626" s="28" t="n">
        <v>0.0081</v>
      </c>
      <c r="D1626" s="12" t="inlineStr">
        <is>
          <t>PO-2022-2448</t>
        </is>
      </c>
      <c r="E1626" s="12" t="n">
        <v>2.37</v>
      </c>
      <c r="F1626" s="17" t="n">
        <v>97835.58</v>
      </c>
      <c r="G1626" s="14">
        <f>E1626*F1626</f>
        <v/>
      </c>
      <c r="H1626" s="14">
        <f>C1626*G1626</f>
        <v/>
      </c>
    </row>
    <row r="1627">
      <c r="A1627" s="12" t="inlineStr">
        <is>
          <t>RET-0133</t>
        </is>
      </c>
      <c r="B1627" s="12" t="inlineStr">
        <is>
          <t>VS28</t>
        </is>
      </c>
      <c r="C1627" s="28" t="n">
        <v>0.0181</v>
      </c>
      <c r="D1627" s="12" t="inlineStr">
        <is>
          <t>PO-2022-2432</t>
        </is>
      </c>
      <c r="E1627" s="12" t="n">
        <v>1</v>
      </c>
      <c r="F1627" s="17" t="n">
        <v>64708.17</v>
      </c>
      <c r="G1627" s="14">
        <f>E1627*F1627</f>
        <v/>
      </c>
      <c r="H1627" s="14">
        <f>C1627*G1627</f>
        <v/>
      </c>
    </row>
    <row r="1628">
      <c r="A1628" s="12" t="inlineStr">
        <is>
          <t>RET-0133</t>
        </is>
      </c>
      <c r="B1628" s="12" t="inlineStr">
        <is>
          <t>VS29</t>
        </is>
      </c>
      <c r="C1628" s="28" t="n">
        <v>0.0115</v>
      </c>
      <c r="D1628" s="12" t="inlineStr">
        <is>
          <t>PO-2022-2794</t>
        </is>
      </c>
      <c r="E1628" s="12" t="n">
        <v>2.37</v>
      </c>
      <c r="F1628" s="17" t="n">
        <v>58428.17</v>
      </c>
      <c r="G1628" s="14">
        <f>E1628*F1628</f>
        <v/>
      </c>
      <c r="H1628" s="14">
        <f>C1628*G1628</f>
        <v/>
      </c>
    </row>
    <row r="1629">
      <c r="A1629" s="12" t="inlineStr">
        <is>
          <t>RET-0133</t>
        </is>
      </c>
      <c r="B1629" s="12" t="inlineStr">
        <is>
          <t>VS30</t>
        </is>
      </c>
      <c r="C1629" s="28" t="n">
        <v>0.0049</v>
      </c>
      <c r="D1629" s="12" t="inlineStr">
        <is>
          <t>PO-2021-0102</t>
        </is>
      </c>
      <c r="E1629" s="12" t="n">
        <v>2.37</v>
      </c>
      <c r="F1629" s="17" t="n">
        <v>69245.53</v>
      </c>
      <c r="G1629" s="14">
        <f>E1629*F1629</f>
        <v/>
      </c>
      <c r="H1629" s="14">
        <f>C1629*G1629</f>
        <v/>
      </c>
    </row>
    <row r="1630">
      <c r="A1630" s="12" t="inlineStr">
        <is>
          <t>RET-0133</t>
        </is>
      </c>
      <c r="B1630" s="12" t="inlineStr">
        <is>
          <t>VS31</t>
        </is>
      </c>
      <c r="C1630" s="28" t="n">
        <v>0.018</v>
      </c>
      <c r="D1630" s="12" t="inlineStr">
        <is>
          <t>PO-2022-2512</t>
        </is>
      </c>
      <c r="E1630" s="12" t="n">
        <v>2.37</v>
      </c>
      <c r="F1630" s="17" t="n">
        <v>59510.95</v>
      </c>
      <c r="G1630" s="14">
        <f>E1630*F1630</f>
        <v/>
      </c>
      <c r="H1630" s="14">
        <f>C1630*G1630</f>
        <v/>
      </c>
    </row>
    <row r="1631">
      <c r="A1631" s="12" t="inlineStr">
        <is>
          <t>RET-0133</t>
        </is>
      </c>
      <c r="B1631" s="12" t="inlineStr">
        <is>
          <t>VS32</t>
        </is>
      </c>
      <c r="C1631" s="28" t="n">
        <v>0.0214</v>
      </c>
      <c r="D1631" s="12" t="inlineStr">
        <is>
          <t>PO-2021-1485</t>
        </is>
      </c>
      <c r="E1631" s="12" t="n">
        <v>2.37</v>
      </c>
      <c r="F1631" s="17" t="n">
        <v>88854.12</v>
      </c>
      <c r="G1631" s="14">
        <f>E1631*F1631</f>
        <v/>
      </c>
      <c r="H1631" s="14">
        <f>C1631*G1631</f>
        <v/>
      </c>
    </row>
    <row r="1632">
      <c r="A1632" s="12" t="inlineStr">
        <is>
          <t>RET-0133</t>
        </is>
      </c>
      <c r="B1632" s="12" t="inlineStr">
        <is>
          <t>VS33</t>
        </is>
      </c>
      <c r="C1632" s="28" t="n">
        <v>0.0114</v>
      </c>
      <c r="D1632" s="12" t="inlineStr">
        <is>
          <t>PO-2023-4510</t>
        </is>
      </c>
      <c r="E1632" s="12" t="n">
        <v>2.37</v>
      </c>
      <c r="F1632" s="17" t="n">
        <v>107938.52</v>
      </c>
      <c r="G1632" s="14">
        <f>E1632*F1632</f>
        <v/>
      </c>
      <c r="H1632" s="14">
        <f>C1632*G1632</f>
        <v/>
      </c>
    </row>
    <row r="1633">
      <c r="A1633" s="12" t="inlineStr">
        <is>
          <t>RET-0133</t>
        </is>
      </c>
      <c r="B1633" s="12" t="inlineStr">
        <is>
          <t>VS34</t>
        </is>
      </c>
      <c r="C1633" s="28" t="n">
        <v>0.0147</v>
      </c>
      <c r="D1633" s="12" t="inlineStr">
        <is>
          <t>PO-2021-1235</t>
        </is>
      </c>
      <c r="E1633" s="12" t="n">
        <v>2.37</v>
      </c>
      <c r="F1633" s="17" t="n">
        <v>68610.34</v>
      </c>
      <c r="G1633" s="14">
        <f>E1633*F1633</f>
        <v/>
      </c>
      <c r="H1633" s="14">
        <f>C1633*G1633</f>
        <v/>
      </c>
    </row>
    <row r="1634">
      <c r="A1634" s="12" t="inlineStr">
        <is>
          <t>RET-0134</t>
        </is>
      </c>
      <c r="B1634" s="12" t="inlineStr">
        <is>
          <t>VS01</t>
        </is>
      </c>
      <c r="C1634" s="28" t="n">
        <v>0.033</v>
      </c>
      <c r="D1634" s="12" t="inlineStr">
        <is>
          <t>PO-2022-2513</t>
        </is>
      </c>
      <c r="E1634" s="12" t="n">
        <v>3.13</v>
      </c>
      <c r="F1634" s="17" t="n">
        <v>98332.88</v>
      </c>
      <c r="G1634" s="14">
        <f>E1634*F1634</f>
        <v/>
      </c>
      <c r="H1634" s="14">
        <f>C1634*G1634</f>
        <v/>
      </c>
    </row>
    <row r="1635">
      <c r="A1635" s="12" t="inlineStr">
        <is>
          <t>RET-0134</t>
        </is>
      </c>
      <c r="B1635" s="12" t="inlineStr">
        <is>
          <t>VS02</t>
        </is>
      </c>
      <c r="C1635" s="28" t="n">
        <v>0.015</v>
      </c>
      <c r="D1635" s="12" t="inlineStr">
        <is>
          <t>PO-2023-4392</t>
        </is>
      </c>
      <c r="E1635" s="12" t="n">
        <v>3.13</v>
      </c>
      <c r="F1635" s="17" t="n">
        <v>110789.14</v>
      </c>
      <c r="G1635" s="14">
        <f>E1635*F1635</f>
        <v/>
      </c>
      <c r="H1635" s="14">
        <f>C1635*G1635</f>
        <v/>
      </c>
    </row>
    <row r="1636">
      <c r="A1636" s="12" t="inlineStr">
        <is>
          <t>RET-0134</t>
        </is>
      </c>
      <c r="B1636" s="12" t="inlineStr">
        <is>
          <t>VS03</t>
        </is>
      </c>
      <c r="C1636" s="28" t="n">
        <v>0.0799</v>
      </c>
      <c r="D1636" s="12" t="inlineStr">
        <is>
          <t>PO-2023-4148</t>
        </is>
      </c>
      <c r="E1636" s="12" t="n">
        <v>3.13</v>
      </c>
      <c r="F1636" s="17" t="n">
        <v>55180.02</v>
      </c>
      <c r="G1636" s="14">
        <f>E1636*F1636</f>
        <v/>
      </c>
      <c r="H1636" s="14">
        <f>C1636*G1636</f>
        <v/>
      </c>
    </row>
    <row r="1637">
      <c r="A1637" s="12" t="inlineStr">
        <is>
          <t>RET-0134</t>
        </is>
      </c>
      <c r="B1637" s="12" t="inlineStr">
        <is>
          <t>VS04</t>
        </is>
      </c>
      <c r="C1637" s="28" t="n">
        <v>0.0207</v>
      </c>
      <c r="D1637" s="12" t="inlineStr">
        <is>
          <t>PO-2021-1476</t>
        </is>
      </c>
      <c r="E1637" s="12" t="n">
        <v>3.13</v>
      </c>
      <c r="F1637" s="17" t="n">
        <v>93757.34</v>
      </c>
      <c r="G1637" s="14">
        <f>E1637*F1637</f>
        <v/>
      </c>
      <c r="H1637" s="14">
        <f>C1637*G1637</f>
        <v/>
      </c>
    </row>
    <row r="1638">
      <c r="A1638" s="12" t="inlineStr">
        <is>
          <t>RET-0134</t>
        </is>
      </c>
      <c r="B1638" s="12" t="inlineStr">
        <is>
          <t>VS05</t>
        </is>
      </c>
      <c r="C1638" s="28" t="n">
        <v>0.0268</v>
      </c>
      <c r="D1638" s="12" t="inlineStr">
        <is>
          <t>PO-2023-3967</t>
        </is>
      </c>
      <c r="E1638" s="12" t="n">
        <v>3.13</v>
      </c>
      <c r="F1638" s="17" t="n">
        <v>66623.75</v>
      </c>
      <c r="G1638" s="14">
        <f>E1638*F1638</f>
        <v/>
      </c>
      <c r="H1638" s="14">
        <f>C1638*G1638</f>
        <v/>
      </c>
    </row>
    <row r="1639">
      <c r="A1639" s="12" t="inlineStr">
        <is>
          <t>RET-0134</t>
        </is>
      </c>
      <c r="B1639" s="12" t="inlineStr">
        <is>
          <t>VS06</t>
        </is>
      </c>
      <c r="C1639" s="28" t="n">
        <v>0.0271</v>
      </c>
      <c r="D1639" s="12" t="inlineStr">
        <is>
          <t>PO-2022-3075</t>
        </is>
      </c>
      <c r="E1639" s="12" t="n">
        <v>3.13</v>
      </c>
      <c r="F1639" s="17" t="n">
        <v>118104.34</v>
      </c>
      <c r="G1639" s="14">
        <f>E1639*F1639</f>
        <v/>
      </c>
      <c r="H1639" s="14">
        <f>C1639*G1639</f>
        <v/>
      </c>
    </row>
    <row r="1640">
      <c r="A1640" s="12" t="inlineStr">
        <is>
          <t>RET-0134</t>
        </is>
      </c>
      <c r="B1640" s="12" t="inlineStr">
        <is>
          <t>VS07</t>
        </is>
      </c>
      <c r="C1640" s="28" t="n">
        <v>0.008999999999999999</v>
      </c>
      <c r="D1640" s="12" t="inlineStr">
        <is>
          <t>PO-2022-1789</t>
        </is>
      </c>
      <c r="E1640" s="12" t="n">
        <v>3.13</v>
      </c>
      <c r="F1640" s="17" t="n">
        <v>95949.17</v>
      </c>
      <c r="G1640" s="14">
        <f>E1640*F1640</f>
        <v/>
      </c>
      <c r="H1640" s="14">
        <f>C1640*G1640</f>
        <v/>
      </c>
    </row>
    <row r="1641">
      <c r="A1641" s="12" t="inlineStr">
        <is>
          <t>RET-0134</t>
        </is>
      </c>
      <c r="B1641" s="12" t="inlineStr">
        <is>
          <t>VS08</t>
        </is>
      </c>
      <c r="C1641" s="28" t="n">
        <v>0.0273</v>
      </c>
      <c r="D1641" s="12" t="inlineStr">
        <is>
          <t>PO-2021-1534</t>
        </is>
      </c>
      <c r="E1641" s="12" t="n">
        <v>3.13</v>
      </c>
      <c r="F1641" s="17" t="n">
        <v>54459.27</v>
      </c>
      <c r="G1641" s="14">
        <f>E1641*F1641</f>
        <v/>
      </c>
      <c r="H1641" s="14">
        <f>C1641*G1641</f>
        <v/>
      </c>
    </row>
    <row r="1642">
      <c r="A1642" s="12" t="inlineStr">
        <is>
          <t>RET-0134</t>
        </is>
      </c>
      <c r="B1642" s="12" t="inlineStr">
        <is>
          <t>VS09</t>
        </is>
      </c>
      <c r="C1642" s="28" t="n">
        <v>0.0209</v>
      </c>
      <c r="D1642" s="12" t="inlineStr">
        <is>
          <t>PO-2023-3279</t>
        </is>
      </c>
      <c r="E1642" s="12" t="n">
        <v>3.13</v>
      </c>
      <c r="F1642" s="17" t="n">
        <v>109783.08</v>
      </c>
      <c r="G1642" s="14">
        <f>E1642*F1642</f>
        <v/>
      </c>
      <c r="H1642" s="14">
        <f>C1642*G1642</f>
        <v/>
      </c>
    </row>
    <row r="1643">
      <c r="A1643" s="12" t="inlineStr">
        <is>
          <t>RET-0134</t>
        </is>
      </c>
      <c r="B1643" s="12" t="inlineStr">
        <is>
          <t>VS10</t>
        </is>
      </c>
      <c r="C1643" s="28" t="n">
        <v>0.0329</v>
      </c>
      <c r="D1643" s="12" t="inlineStr">
        <is>
          <t>PO-2021-1138</t>
        </is>
      </c>
      <c r="E1643" s="12" t="n">
        <v>3.13</v>
      </c>
      <c r="F1643" s="17" t="n">
        <v>117744.26</v>
      </c>
      <c r="G1643" s="14">
        <f>E1643*F1643</f>
        <v/>
      </c>
      <c r="H1643" s="14">
        <f>C1643*G1643</f>
        <v/>
      </c>
    </row>
    <row r="1644">
      <c r="A1644" s="12" t="inlineStr">
        <is>
          <t>RET-0134</t>
        </is>
      </c>
      <c r="B1644" s="12" t="inlineStr">
        <is>
          <t>VS11</t>
        </is>
      </c>
      <c r="C1644" s="28" t="n">
        <v>0.0386</v>
      </c>
      <c r="D1644" s="12" t="inlineStr">
        <is>
          <t>PO-2023-4455</t>
        </is>
      </c>
      <c r="E1644" s="12" t="n">
        <v>3.13</v>
      </c>
      <c r="F1644" s="17" t="n">
        <v>63463.92</v>
      </c>
      <c r="G1644" s="14">
        <f>E1644*F1644</f>
        <v/>
      </c>
      <c r="H1644" s="14">
        <f>C1644*G1644</f>
        <v/>
      </c>
    </row>
    <row r="1645">
      <c r="A1645" s="12" t="inlineStr">
        <is>
          <t>RET-0134</t>
        </is>
      </c>
      <c r="B1645" s="12" t="inlineStr">
        <is>
          <t>VS12</t>
        </is>
      </c>
      <c r="C1645" s="28" t="n">
        <v>0.111</v>
      </c>
      <c r="D1645" s="12" t="inlineStr">
        <is>
          <t>PO-2021-1067</t>
        </is>
      </c>
      <c r="E1645" s="12" t="n">
        <v>3.13</v>
      </c>
      <c r="F1645" s="17" t="n">
        <v>59836.6</v>
      </c>
      <c r="G1645" s="14">
        <f>E1645*F1645</f>
        <v/>
      </c>
      <c r="H1645" s="14">
        <f>C1645*G1645</f>
        <v/>
      </c>
    </row>
    <row r="1646">
      <c r="A1646" s="12" t="inlineStr">
        <is>
          <t>RET-0134</t>
        </is>
      </c>
      <c r="B1646" s="12" t="inlineStr">
        <is>
          <t>VS13</t>
        </is>
      </c>
      <c r="C1646" s="28" t="n">
        <v>0.0266</v>
      </c>
      <c r="D1646" s="12" t="inlineStr">
        <is>
          <t>PO-2022-2352</t>
        </is>
      </c>
      <c r="E1646" s="12" t="n">
        <v>3.13</v>
      </c>
      <c r="F1646" s="17" t="n">
        <v>49542.22</v>
      </c>
      <c r="G1646" s="14">
        <f>E1646*F1646</f>
        <v/>
      </c>
      <c r="H1646" s="14">
        <f>C1646*G1646</f>
        <v/>
      </c>
    </row>
    <row r="1647">
      <c r="A1647" s="12" t="inlineStr">
        <is>
          <t>RET-0134</t>
        </is>
      </c>
      <c r="B1647" s="12" t="inlineStr">
        <is>
          <t>VS14</t>
        </is>
      </c>
      <c r="C1647" s="28" t="n">
        <v>0.0268</v>
      </c>
      <c r="D1647" s="12" t="inlineStr">
        <is>
          <t>PO-2022-1903</t>
        </is>
      </c>
      <c r="E1647" s="12" t="n">
        <v>3.13</v>
      </c>
      <c r="F1647" s="17" t="n">
        <v>90997.8</v>
      </c>
      <c r="G1647" s="14">
        <f>E1647*F1647</f>
        <v/>
      </c>
      <c r="H1647" s="14">
        <f>C1647*G1647</f>
        <v/>
      </c>
    </row>
    <row r="1648">
      <c r="A1648" s="12" t="inlineStr">
        <is>
          <t>RET-0134</t>
        </is>
      </c>
      <c r="B1648" s="12" t="inlineStr">
        <is>
          <t>VS15</t>
        </is>
      </c>
      <c r="C1648" s="28" t="n">
        <v>0.008999999999999999</v>
      </c>
      <c r="D1648" s="12" t="inlineStr">
        <is>
          <t>PO-2021-1540</t>
        </is>
      </c>
      <c r="E1648" s="12" t="n">
        <v>3.13</v>
      </c>
      <c r="F1648" s="17" t="n">
        <v>47877.48</v>
      </c>
      <c r="G1648" s="14">
        <f>E1648*F1648</f>
        <v/>
      </c>
      <c r="H1648" s="14">
        <f>C1648*G1648</f>
        <v/>
      </c>
    </row>
    <row r="1649">
      <c r="A1649" s="12" t="inlineStr">
        <is>
          <t>RET-0134</t>
        </is>
      </c>
      <c r="B1649" s="12" t="inlineStr">
        <is>
          <t>VS16</t>
        </is>
      </c>
      <c r="C1649" s="28" t="n">
        <v>0.0387</v>
      </c>
      <c r="D1649" s="12" t="inlineStr">
        <is>
          <t>PO-2022-1790</t>
        </is>
      </c>
      <c r="E1649" s="12" t="n">
        <v>3.13</v>
      </c>
      <c r="F1649" s="17" t="n">
        <v>58049.85</v>
      </c>
      <c r="G1649" s="14">
        <f>E1649*F1649</f>
        <v/>
      </c>
      <c r="H1649" s="14">
        <f>C1649*G1649</f>
        <v/>
      </c>
    </row>
    <row r="1650">
      <c r="A1650" s="12" t="inlineStr">
        <is>
          <t>RET-0134</t>
        </is>
      </c>
      <c r="B1650" s="12" t="inlineStr">
        <is>
          <t>VS17</t>
        </is>
      </c>
      <c r="C1650" s="28" t="n">
        <v>0.0385</v>
      </c>
      <c r="D1650" s="12" t="inlineStr">
        <is>
          <t>PO-2022-2773</t>
        </is>
      </c>
      <c r="E1650" s="12" t="n">
        <v>3.13</v>
      </c>
      <c r="F1650" s="17" t="n">
        <v>85063.64</v>
      </c>
      <c r="G1650" s="14">
        <f>E1650*F1650</f>
        <v/>
      </c>
      <c r="H1650" s="14">
        <f>C1650*G1650</f>
        <v/>
      </c>
    </row>
    <row r="1651">
      <c r="A1651" s="12" t="inlineStr">
        <is>
          <t>RET-0134</t>
        </is>
      </c>
      <c r="B1651" s="12" t="inlineStr">
        <is>
          <t>VS18</t>
        </is>
      </c>
      <c r="C1651" s="28" t="n">
        <v>0.0268</v>
      </c>
      <c r="D1651" s="12" t="inlineStr">
        <is>
          <t>PO-2022-1884</t>
        </is>
      </c>
      <c r="E1651" s="12" t="n">
        <v>3.13</v>
      </c>
      <c r="F1651" s="17" t="n">
        <v>105273.08</v>
      </c>
      <c r="G1651" s="14">
        <f>E1651*F1651</f>
        <v/>
      </c>
      <c r="H1651" s="14">
        <f>C1651*G1651</f>
        <v/>
      </c>
    </row>
    <row r="1652">
      <c r="A1652" s="12" t="inlineStr">
        <is>
          <t>RET-0134</t>
        </is>
      </c>
      <c r="B1652" s="12" t="inlineStr">
        <is>
          <t>VS19</t>
        </is>
      </c>
      <c r="C1652" s="28" t="n">
        <v>0.0837</v>
      </c>
      <c r="D1652" s="12" t="inlineStr">
        <is>
          <t>PO-2022-2570</t>
        </is>
      </c>
      <c r="E1652" s="12" t="n">
        <v>3.13</v>
      </c>
      <c r="F1652" s="17" t="n">
        <v>118999.07</v>
      </c>
      <c r="G1652" s="14">
        <f>E1652*F1652</f>
        <v/>
      </c>
      <c r="H1652" s="14">
        <f>C1652*G1652</f>
        <v/>
      </c>
    </row>
    <row r="1653">
      <c r="A1653" s="12" t="inlineStr">
        <is>
          <t>RET-0134</t>
        </is>
      </c>
      <c r="B1653" s="12" t="inlineStr">
        <is>
          <t>VS20</t>
        </is>
      </c>
      <c r="C1653" s="28" t="n">
        <v>0.015</v>
      </c>
      <c r="D1653" s="12" t="inlineStr">
        <is>
          <t>PO-2021-1544</t>
        </is>
      </c>
      <c r="E1653" s="12" t="n">
        <v>3.13</v>
      </c>
      <c r="F1653" s="17" t="n">
        <v>66041.7</v>
      </c>
      <c r="G1653" s="14">
        <f>E1653*F1653</f>
        <v/>
      </c>
      <c r="H1653" s="14">
        <f>C1653*G1653</f>
        <v/>
      </c>
    </row>
    <row r="1654">
      <c r="A1654" s="12" t="inlineStr">
        <is>
          <t>RET-0134</t>
        </is>
      </c>
      <c r="B1654" s="12" t="inlineStr">
        <is>
          <t>VS21</t>
        </is>
      </c>
      <c r="C1654" s="28" t="n">
        <v>0.015</v>
      </c>
      <c r="D1654" s="12" t="inlineStr">
        <is>
          <t>PO-2021-0078</t>
        </is>
      </c>
      <c r="E1654" s="12" t="n">
        <v>3.13</v>
      </c>
      <c r="F1654" s="17" t="n">
        <v>116315.82</v>
      </c>
      <c r="G1654" s="14">
        <f>E1654*F1654</f>
        <v/>
      </c>
      <c r="H1654" s="14">
        <f>C1654*G1654</f>
        <v/>
      </c>
    </row>
    <row r="1655">
      <c r="A1655" s="12" t="inlineStr">
        <is>
          <t>RET-0134</t>
        </is>
      </c>
      <c r="B1655" s="12" t="inlineStr">
        <is>
          <t>VS22</t>
        </is>
      </c>
      <c r="C1655" s="28" t="n">
        <v>0.0089</v>
      </c>
      <c r="D1655" s="12" t="inlineStr">
        <is>
          <t>PO-2022-1767</t>
        </is>
      </c>
      <c r="E1655" s="12" t="n">
        <v>3.13</v>
      </c>
      <c r="F1655" s="17" t="n">
        <v>87408.25999999999</v>
      </c>
      <c r="G1655" s="14">
        <f>E1655*F1655</f>
        <v/>
      </c>
      <c r="H1655" s="14">
        <f>C1655*G1655</f>
        <v/>
      </c>
    </row>
    <row r="1656">
      <c r="A1656" s="12" t="inlineStr">
        <is>
          <t>RET-0134</t>
        </is>
      </c>
      <c r="B1656" s="12" t="inlineStr">
        <is>
          <t>VS23</t>
        </is>
      </c>
      <c r="C1656" s="28" t="n">
        <v>0.0147</v>
      </c>
      <c r="D1656" s="12" t="inlineStr">
        <is>
          <t>PO-2022-2230</t>
        </is>
      </c>
      <c r="E1656" s="12" t="n">
        <v>3.13</v>
      </c>
      <c r="F1656" s="17" t="n">
        <v>113446.1</v>
      </c>
      <c r="G1656" s="14">
        <f>E1656*F1656</f>
        <v/>
      </c>
      <c r="H1656" s="14">
        <f>C1656*G1656</f>
        <v/>
      </c>
    </row>
    <row r="1657">
      <c r="A1657" s="12" t="inlineStr">
        <is>
          <t>RET-0134</t>
        </is>
      </c>
      <c r="B1657" s="12" t="inlineStr">
        <is>
          <t>VS24</t>
        </is>
      </c>
      <c r="C1657" s="28" t="n">
        <v>0.0149</v>
      </c>
      <c r="D1657" s="12" t="inlineStr">
        <is>
          <t>PO-2022-2137</t>
        </is>
      </c>
      <c r="E1657" s="12" t="n">
        <v>3.13</v>
      </c>
      <c r="F1657" s="17" t="n">
        <v>47248.51</v>
      </c>
      <c r="G1657" s="14">
        <f>E1657*F1657</f>
        <v/>
      </c>
      <c r="H1657" s="14">
        <f>C1657*G1657</f>
        <v/>
      </c>
    </row>
    <row r="1658">
      <c r="A1658" s="12" t="inlineStr">
        <is>
          <t>RET-0134</t>
        </is>
      </c>
      <c r="B1658" s="12" t="inlineStr">
        <is>
          <t>VS25</t>
        </is>
      </c>
      <c r="C1658" s="28" t="n">
        <v>0.027</v>
      </c>
      <c r="D1658" s="12" t="inlineStr">
        <is>
          <t>PO-2021-0735</t>
        </is>
      </c>
      <c r="E1658" s="12" t="n">
        <v>3.13</v>
      </c>
      <c r="F1658" s="17" t="n">
        <v>90958.36</v>
      </c>
      <c r="G1658" s="14">
        <f>E1658*F1658</f>
        <v/>
      </c>
      <c r="H1658" s="14">
        <f>C1658*G1658</f>
        <v/>
      </c>
    </row>
    <row r="1659">
      <c r="A1659" s="12" t="inlineStr">
        <is>
          <t>RET-0134</t>
        </is>
      </c>
      <c r="B1659" s="12" t="inlineStr">
        <is>
          <t>VS26</t>
        </is>
      </c>
      <c r="C1659" s="28" t="n">
        <v>0.015</v>
      </c>
      <c r="D1659" s="12" t="inlineStr">
        <is>
          <t>PO-2021-1471</t>
        </is>
      </c>
      <c r="E1659" s="12" t="n">
        <v>3.13</v>
      </c>
      <c r="F1659" s="17" t="n">
        <v>101419.99</v>
      </c>
      <c r="G1659" s="14">
        <f>E1659*F1659</f>
        <v/>
      </c>
      <c r="H1659" s="14">
        <f>C1659*G1659</f>
        <v/>
      </c>
    </row>
    <row r="1660">
      <c r="A1660" s="12" t="inlineStr">
        <is>
          <t>RET-0134</t>
        </is>
      </c>
      <c r="B1660" s="12" t="inlineStr">
        <is>
          <t>VS27</t>
        </is>
      </c>
      <c r="C1660" s="28" t="n">
        <v>0.0147</v>
      </c>
      <c r="D1660" s="12" t="inlineStr">
        <is>
          <t>PO-2022-2421</t>
        </is>
      </c>
      <c r="E1660" s="12" t="n">
        <v>1.49</v>
      </c>
      <c r="F1660" s="17" t="n">
        <v>54628.81</v>
      </c>
      <c r="G1660" s="14">
        <f>E1660*F1660</f>
        <v/>
      </c>
      <c r="H1660" s="14">
        <f>C1660*G1660</f>
        <v/>
      </c>
    </row>
    <row r="1661">
      <c r="A1661" s="12" t="inlineStr">
        <is>
          <t>RET-0134</t>
        </is>
      </c>
      <c r="B1661" s="12" t="inlineStr">
        <is>
          <t>VS28</t>
        </is>
      </c>
      <c r="C1661" s="28" t="n">
        <v>0.0329</v>
      </c>
      <c r="D1661" s="12" t="inlineStr">
        <is>
          <t>PO-2021-0093</t>
        </is>
      </c>
      <c r="E1661" s="12" t="n">
        <v>3.13</v>
      </c>
      <c r="F1661" s="17" t="n">
        <v>93572.60000000001</v>
      </c>
      <c r="G1661" s="14">
        <f>E1661*F1661</f>
        <v/>
      </c>
      <c r="H1661" s="14">
        <f>C1661*G1661</f>
        <v/>
      </c>
    </row>
    <row r="1662">
      <c r="A1662" s="12" t="inlineStr">
        <is>
          <t>RET-0134</t>
        </is>
      </c>
      <c r="B1662" s="12" t="inlineStr">
        <is>
          <t>VS29</t>
        </is>
      </c>
      <c r="C1662" s="28" t="n">
        <v>0.0209</v>
      </c>
      <c r="D1662" s="12" t="inlineStr">
        <is>
          <t>PO-2022-2853</t>
        </is>
      </c>
      <c r="E1662" s="12" t="n">
        <v>3.13</v>
      </c>
      <c r="F1662" s="17" t="n">
        <v>58166.17</v>
      </c>
      <c r="G1662" s="14">
        <f>E1662*F1662</f>
        <v/>
      </c>
      <c r="H1662" s="14">
        <f>C1662*G1662</f>
        <v/>
      </c>
    </row>
    <row r="1663">
      <c r="A1663" s="12" t="inlineStr">
        <is>
          <t>RET-0134</t>
        </is>
      </c>
      <c r="B1663" s="12" t="inlineStr">
        <is>
          <t>VS30</t>
        </is>
      </c>
      <c r="C1663" s="28" t="n">
        <v>0.008999999999999999</v>
      </c>
      <c r="D1663" s="12" t="inlineStr">
        <is>
          <t>PO-2022-3076</t>
        </is>
      </c>
      <c r="E1663" s="12" t="n">
        <v>3.13</v>
      </c>
      <c r="F1663" s="17" t="n">
        <v>94270.28999999999</v>
      </c>
      <c r="G1663" s="14">
        <f>E1663*F1663</f>
        <v/>
      </c>
      <c r="H1663" s="14">
        <f>C1663*G1663</f>
        <v/>
      </c>
    </row>
    <row r="1664">
      <c r="A1664" s="12" t="inlineStr">
        <is>
          <t>RET-0134</t>
        </is>
      </c>
      <c r="B1664" s="12" t="inlineStr">
        <is>
          <t>VS31</t>
        </is>
      </c>
      <c r="C1664" s="28" t="n">
        <v>0.0328</v>
      </c>
      <c r="D1664" s="12" t="inlineStr">
        <is>
          <t>PO-2023-4019</t>
        </is>
      </c>
      <c r="E1664" s="12" t="n">
        <v>3.13</v>
      </c>
      <c r="F1664" s="17" t="n">
        <v>82694.02</v>
      </c>
      <c r="G1664" s="14">
        <f>E1664*F1664</f>
        <v/>
      </c>
      <c r="H1664" s="14">
        <f>C1664*G1664</f>
        <v/>
      </c>
    </row>
    <row r="1665">
      <c r="A1665" s="12" t="inlineStr">
        <is>
          <t>RET-0134</t>
        </is>
      </c>
      <c r="B1665" s="12" t="inlineStr">
        <is>
          <t>VS32</t>
        </is>
      </c>
      <c r="C1665" s="28" t="n">
        <v>0.039</v>
      </c>
      <c r="D1665" s="12" t="inlineStr">
        <is>
          <t>PO-2021-1220</t>
        </is>
      </c>
      <c r="E1665" s="12" t="n">
        <v>3.13</v>
      </c>
      <c r="F1665" s="17" t="n">
        <v>115729.1</v>
      </c>
      <c r="G1665" s="14">
        <f>E1665*F1665</f>
        <v/>
      </c>
      <c r="H1665" s="14">
        <f>C1665*G1665</f>
        <v/>
      </c>
    </row>
    <row r="1666">
      <c r="A1666" s="12" t="inlineStr">
        <is>
          <t>RET-0134</t>
        </is>
      </c>
      <c r="B1666" s="12" t="inlineStr">
        <is>
          <t>VS33</t>
        </is>
      </c>
      <c r="C1666" s="28" t="n">
        <v>0.0208</v>
      </c>
      <c r="D1666" s="12" t="inlineStr">
        <is>
          <t>PO-2023-4191</t>
        </is>
      </c>
      <c r="E1666" s="12" t="n">
        <v>3.13</v>
      </c>
      <c r="F1666" s="17" t="n">
        <v>110263.62</v>
      </c>
      <c r="G1666" s="14">
        <f>E1666*F1666</f>
        <v/>
      </c>
      <c r="H1666" s="14">
        <f>C1666*G1666</f>
        <v/>
      </c>
    </row>
    <row r="1667">
      <c r="A1667" s="12" t="inlineStr">
        <is>
          <t>RET-0134</t>
        </is>
      </c>
      <c r="B1667" s="12" t="inlineStr">
        <is>
          <t>VS34</t>
        </is>
      </c>
      <c r="C1667" s="28" t="n">
        <v>0.0269</v>
      </c>
      <c r="D1667" s="12" t="inlineStr">
        <is>
          <t>PO-2022-3151</t>
        </is>
      </c>
      <c r="E1667" s="12" t="n">
        <v>3.13</v>
      </c>
      <c r="F1667" s="17" t="n">
        <v>118045.36</v>
      </c>
      <c r="G1667" s="14">
        <f>E1667*F1667</f>
        <v/>
      </c>
      <c r="H1667" s="14">
        <f>C1667*G1667</f>
        <v/>
      </c>
    </row>
    <row r="1668">
      <c r="A1668" s="12" t="inlineStr">
        <is>
          <t>RET-0139</t>
        </is>
      </c>
      <c r="B1668" s="12" t="inlineStr">
        <is>
          <t>VS01</t>
        </is>
      </c>
      <c r="C1668" s="28" t="n">
        <v>0.0188</v>
      </c>
      <c r="D1668" s="12" t="inlineStr">
        <is>
          <t>PO-2023-3836</t>
        </is>
      </c>
      <c r="E1668" s="12" t="n">
        <v>0.15</v>
      </c>
      <c r="F1668" s="17" t="n">
        <v>50450.36</v>
      </c>
      <c r="G1668" s="14">
        <f>E1668*F1668</f>
        <v/>
      </c>
      <c r="H1668" s="14">
        <f>C1668*G1668</f>
        <v/>
      </c>
    </row>
    <row r="1669">
      <c r="A1669" s="12" t="inlineStr">
        <is>
          <t>RET-0139</t>
        </is>
      </c>
      <c r="B1669" s="12" t="inlineStr">
        <is>
          <t>VS02</t>
        </is>
      </c>
      <c r="C1669" s="28" t="n">
        <v>0.0086</v>
      </c>
      <c r="D1669" s="12" t="inlineStr">
        <is>
          <t>PO-2021-0480</t>
        </is>
      </c>
      <c r="E1669" s="12" t="n">
        <v>0.15</v>
      </c>
      <c r="F1669" s="17" t="n">
        <v>86696.53</v>
      </c>
      <c r="G1669" s="14">
        <f>E1669*F1669</f>
        <v/>
      </c>
      <c r="H1669" s="14">
        <f>C1669*G1669</f>
        <v/>
      </c>
    </row>
    <row r="1670">
      <c r="A1670" s="12" t="inlineStr">
        <is>
          <t>RET-0139</t>
        </is>
      </c>
      <c r="B1670" s="12" t="inlineStr">
        <is>
          <t>VS03</t>
        </is>
      </c>
      <c r="C1670" s="28" t="n">
        <v>0.1706</v>
      </c>
      <c r="D1670" s="12" t="inlineStr">
        <is>
          <t>PO-2023-3407</t>
        </is>
      </c>
      <c r="E1670" s="12" t="n">
        <v>0.15</v>
      </c>
      <c r="F1670" s="17" t="n">
        <v>98690.67999999999</v>
      </c>
      <c r="G1670" s="14">
        <f>E1670*F1670</f>
        <v/>
      </c>
      <c r="H1670" s="14">
        <f>C1670*G1670</f>
        <v/>
      </c>
    </row>
    <row r="1671">
      <c r="A1671" s="12" t="inlineStr">
        <is>
          <t>RET-0139</t>
        </is>
      </c>
      <c r="B1671" s="12" t="inlineStr">
        <is>
          <t>VS04</t>
        </is>
      </c>
      <c r="C1671" s="28" t="n">
        <v>0.0118</v>
      </c>
      <c r="D1671" s="12" t="inlineStr">
        <is>
          <t>PO-2023-3984</t>
        </is>
      </c>
      <c r="E1671" s="12" t="n">
        <v>0.15</v>
      </c>
      <c r="F1671" s="17" t="n">
        <v>70318.39</v>
      </c>
      <c r="G1671" s="14">
        <f>E1671*F1671</f>
        <v/>
      </c>
      <c r="H1671" s="14">
        <f>C1671*G1671</f>
        <v/>
      </c>
    </row>
    <row r="1672">
      <c r="A1672" s="12" t="inlineStr">
        <is>
          <t>RET-0139</t>
        </is>
      </c>
      <c r="B1672" s="12" t="inlineStr">
        <is>
          <t>VS05</t>
        </is>
      </c>
      <c r="C1672" s="28" t="n">
        <v>0.0153</v>
      </c>
      <c r="D1672" s="12" t="inlineStr">
        <is>
          <t>PO-2023-3790</t>
        </is>
      </c>
      <c r="E1672" s="12" t="n">
        <v>0.15</v>
      </c>
      <c r="F1672" s="17" t="n">
        <v>88341.03</v>
      </c>
      <c r="G1672" s="14">
        <f>E1672*F1672</f>
        <v/>
      </c>
      <c r="H1672" s="14">
        <f>C1672*G1672</f>
        <v/>
      </c>
    </row>
    <row r="1673">
      <c r="A1673" s="12" t="inlineStr">
        <is>
          <t>RET-0139</t>
        </is>
      </c>
      <c r="B1673" s="12" t="inlineStr">
        <is>
          <t>VS06</t>
        </is>
      </c>
      <c r="C1673" s="28" t="n">
        <v>0.0154</v>
      </c>
      <c r="D1673" s="12" t="inlineStr">
        <is>
          <t>PO-2021-0533</t>
        </is>
      </c>
      <c r="E1673" s="12" t="n">
        <v>0.15</v>
      </c>
      <c r="F1673" s="17" t="n">
        <v>86404.06</v>
      </c>
      <c r="G1673" s="14">
        <f>E1673*F1673</f>
        <v/>
      </c>
      <c r="H1673" s="14">
        <f>C1673*G1673</f>
        <v/>
      </c>
    </row>
    <row r="1674">
      <c r="A1674" s="12" t="inlineStr">
        <is>
          <t>RET-0139</t>
        </is>
      </c>
      <c r="B1674" s="12" t="inlineStr">
        <is>
          <t>VS07</t>
        </is>
      </c>
      <c r="C1674" s="28" t="n">
        <v>0.0052</v>
      </c>
      <c r="D1674" s="12" t="inlineStr">
        <is>
          <t>PO-2022-2020</t>
        </is>
      </c>
      <c r="E1674" s="12" t="n">
        <v>0.15</v>
      </c>
      <c r="F1674" s="17" t="n">
        <v>99404.92999999999</v>
      </c>
      <c r="G1674" s="14">
        <f>E1674*F1674</f>
        <v/>
      </c>
      <c r="H1674" s="14">
        <f>C1674*G1674</f>
        <v/>
      </c>
    </row>
    <row r="1675">
      <c r="A1675" s="12" t="inlineStr">
        <is>
          <t>RET-0139</t>
        </is>
      </c>
      <c r="B1675" s="12" t="inlineStr">
        <is>
          <t>VS08</t>
        </is>
      </c>
      <c r="C1675" s="28" t="n">
        <v>0.0155</v>
      </c>
      <c r="D1675" s="12" t="inlineStr">
        <is>
          <t>PO-2021-0439</t>
        </is>
      </c>
      <c r="E1675" s="12" t="n">
        <v>0.15</v>
      </c>
      <c r="F1675" s="17" t="n">
        <v>77204.16</v>
      </c>
      <c r="G1675" s="14">
        <f>E1675*F1675</f>
        <v/>
      </c>
      <c r="H1675" s="14">
        <f>C1675*G1675</f>
        <v/>
      </c>
    </row>
    <row r="1676">
      <c r="A1676" s="12" t="inlineStr">
        <is>
          <t>RET-0139</t>
        </is>
      </c>
      <c r="B1676" s="12" t="inlineStr">
        <is>
          <t>VS09</t>
        </is>
      </c>
      <c r="C1676" s="28" t="n">
        <v>0.0119</v>
      </c>
      <c r="D1676" s="12" t="inlineStr">
        <is>
          <t>PO-2021-1334</t>
        </is>
      </c>
      <c r="E1676" s="12" t="n">
        <v>0.15</v>
      </c>
      <c r="F1676" s="17" t="n">
        <v>111375.86</v>
      </c>
      <c r="G1676" s="14">
        <f>E1676*F1676</f>
        <v/>
      </c>
      <c r="H1676" s="14">
        <f>C1676*G1676</f>
        <v/>
      </c>
    </row>
    <row r="1677">
      <c r="A1677" s="12" t="inlineStr">
        <is>
          <t>RET-0139</t>
        </is>
      </c>
      <c r="B1677" s="12" t="inlineStr">
        <is>
          <t>VS10</t>
        </is>
      </c>
      <c r="C1677" s="28" t="n">
        <v>0.0188</v>
      </c>
      <c r="D1677" s="12" t="inlineStr">
        <is>
          <t>PO-2022-2331</t>
        </is>
      </c>
      <c r="E1677" s="12" t="n">
        <v>0.15</v>
      </c>
      <c r="F1677" s="17" t="n">
        <v>46835.99</v>
      </c>
      <c r="G1677" s="14">
        <f>E1677*F1677</f>
        <v/>
      </c>
      <c r="H1677" s="14">
        <f>C1677*G1677</f>
        <v/>
      </c>
    </row>
    <row r="1678">
      <c r="A1678" s="12" t="inlineStr">
        <is>
          <t>RET-0139</t>
        </is>
      </c>
      <c r="B1678" s="12" t="inlineStr">
        <is>
          <t>VS11</t>
        </is>
      </c>
      <c r="C1678" s="28" t="n">
        <v>0.022</v>
      </c>
      <c r="D1678" s="12" t="inlineStr">
        <is>
          <t>PO-2021-0708</t>
        </is>
      </c>
      <c r="E1678" s="12" t="n">
        <v>0.15</v>
      </c>
      <c r="F1678" s="17" t="n">
        <v>45396.8</v>
      </c>
      <c r="G1678" s="14">
        <f>E1678*F1678</f>
        <v/>
      </c>
      <c r="H1678" s="14">
        <f>C1678*G1678</f>
        <v/>
      </c>
    </row>
    <row r="1679">
      <c r="A1679" s="12" t="inlineStr">
        <is>
          <t>RET-0139</t>
        </is>
      </c>
      <c r="B1679" s="12" t="inlineStr">
        <is>
          <t>VS12</t>
        </is>
      </c>
      <c r="C1679" s="28" t="n">
        <v>0.2372</v>
      </c>
      <c r="D1679" s="12" t="inlineStr">
        <is>
          <t>PO-2023-3708</t>
        </is>
      </c>
      <c r="E1679" s="12" t="n">
        <v>0.15</v>
      </c>
      <c r="F1679" s="17" t="n">
        <v>101633.27</v>
      </c>
      <c r="G1679" s="14">
        <f>E1679*F1679</f>
        <v/>
      </c>
      <c r="H1679" s="14">
        <f>C1679*G1679</f>
        <v/>
      </c>
    </row>
    <row r="1680">
      <c r="A1680" s="12" t="inlineStr">
        <is>
          <t>RET-0139</t>
        </is>
      </c>
      <c r="B1680" s="12" t="inlineStr">
        <is>
          <t>VS13</t>
        </is>
      </c>
      <c r="C1680" s="28" t="n">
        <v>0.0151</v>
      </c>
      <c r="D1680" s="12" t="inlineStr">
        <is>
          <t>PO-2021-1558</t>
        </is>
      </c>
      <c r="E1680" s="12" t="n">
        <v>0.15</v>
      </c>
      <c r="F1680" s="17" t="n">
        <v>84935.24000000001</v>
      </c>
      <c r="G1680" s="14">
        <f>E1680*F1680</f>
        <v/>
      </c>
      <c r="H1680" s="14">
        <f>C1680*G1680</f>
        <v/>
      </c>
    </row>
    <row r="1681">
      <c r="A1681" s="12" t="inlineStr">
        <is>
          <t>RET-0139</t>
        </is>
      </c>
      <c r="B1681" s="12" t="inlineStr">
        <is>
          <t>VS14</t>
        </is>
      </c>
      <c r="C1681" s="28" t="n">
        <v>0.0153</v>
      </c>
      <c r="D1681" s="12" t="inlineStr">
        <is>
          <t>PO-2022-2404</t>
        </is>
      </c>
      <c r="E1681" s="12" t="n">
        <v>0.15</v>
      </c>
      <c r="F1681" s="17" t="n">
        <v>76423.21000000001</v>
      </c>
      <c r="G1681" s="14">
        <f>E1681*F1681</f>
        <v/>
      </c>
      <c r="H1681" s="14">
        <f>C1681*G1681</f>
        <v/>
      </c>
    </row>
    <row r="1682">
      <c r="A1682" s="12" t="inlineStr">
        <is>
          <t>RET-0139</t>
        </is>
      </c>
      <c r="B1682" s="12" t="inlineStr">
        <is>
          <t>VS15</t>
        </is>
      </c>
      <c r="C1682" s="28" t="n">
        <v>0.0051</v>
      </c>
      <c r="D1682" s="12" t="inlineStr">
        <is>
          <t>PO-2021-0049</t>
        </is>
      </c>
      <c r="E1682" s="12" t="n">
        <v>0.15</v>
      </c>
      <c r="F1682" s="17" t="n">
        <v>97981.44</v>
      </c>
      <c r="G1682" s="14">
        <f>E1682*F1682</f>
        <v/>
      </c>
      <c r="H1682" s="14">
        <f>C1682*G1682</f>
        <v/>
      </c>
    </row>
    <row r="1683">
      <c r="A1683" s="12" t="inlineStr">
        <is>
          <t>RET-0139</t>
        </is>
      </c>
      <c r="B1683" s="12" t="inlineStr">
        <is>
          <t>VS16</t>
        </is>
      </c>
      <c r="C1683" s="28" t="n">
        <v>0.0221</v>
      </c>
      <c r="D1683" s="12" t="inlineStr">
        <is>
          <t>PO-2021-0129</t>
        </is>
      </c>
      <c r="E1683" s="12" t="n">
        <v>0.15</v>
      </c>
      <c r="F1683" s="17" t="n">
        <v>88110.89</v>
      </c>
      <c r="G1683" s="14">
        <f>E1683*F1683</f>
        <v/>
      </c>
      <c r="H1683" s="14">
        <f>C1683*G1683</f>
        <v/>
      </c>
    </row>
    <row r="1684">
      <c r="A1684" s="12" t="inlineStr">
        <is>
          <t>RET-0139</t>
        </is>
      </c>
      <c r="B1684" s="12" t="inlineStr">
        <is>
          <t>VS17</t>
        </is>
      </c>
      <c r="C1684" s="28" t="n">
        <v>0.022</v>
      </c>
      <c r="D1684" s="12" t="inlineStr">
        <is>
          <t>PO-2022-2592</t>
        </is>
      </c>
      <c r="E1684" s="12" t="n">
        <v>0.15</v>
      </c>
      <c r="F1684" s="17" t="n">
        <v>66050.11</v>
      </c>
      <c r="G1684" s="14">
        <f>E1684*F1684</f>
        <v/>
      </c>
      <c r="H1684" s="14">
        <f>C1684*G1684</f>
        <v/>
      </c>
    </row>
    <row r="1685">
      <c r="A1685" s="12" t="inlineStr">
        <is>
          <t>RET-0139</t>
        </is>
      </c>
      <c r="B1685" s="12" t="inlineStr">
        <is>
          <t>VS18</t>
        </is>
      </c>
      <c r="C1685" s="28" t="n">
        <v>0.0153</v>
      </c>
      <c r="D1685" s="12" t="inlineStr">
        <is>
          <t>PO-2021-0489</t>
        </is>
      </c>
      <c r="E1685" s="12" t="n">
        <v>0.15</v>
      </c>
      <c r="F1685" s="17" t="n">
        <v>59959.34</v>
      </c>
      <c r="G1685" s="14">
        <f>E1685*F1685</f>
        <v/>
      </c>
      <c r="H1685" s="14">
        <f>C1685*G1685</f>
        <v/>
      </c>
    </row>
    <row r="1686">
      <c r="A1686" s="12" t="inlineStr">
        <is>
          <t>RET-0139</t>
        </is>
      </c>
      <c r="B1686" s="12" t="inlineStr">
        <is>
          <t>VS19</t>
        </is>
      </c>
      <c r="C1686" s="28" t="n">
        <v>0.1789</v>
      </c>
      <c r="D1686" s="12" t="inlineStr">
        <is>
          <t>PO-2022-1634</t>
        </is>
      </c>
      <c r="E1686" s="12" t="n">
        <v>0.15</v>
      </c>
      <c r="F1686" s="17" t="n">
        <v>77943.87</v>
      </c>
      <c r="G1686" s="14">
        <f>E1686*F1686</f>
        <v/>
      </c>
      <c r="H1686" s="14">
        <f>C1686*G1686</f>
        <v/>
      </c>
    </row>
    <row r="1687">
      <c r="A1687" s="12" t="inlineStr">
        <is>
          <t>RET-0139</t>
        </is>
      </c>
      <c r="B1687" s="12" t="inlineStr">
        <is>
          <t>VS20</t>
        </is>
      </c>
      <c r="C1687" s="28" t="n">
        <v>0.008500000000000001</v>
      </c>
      <c r="D1687" s="12" t="inlineStr">
        <is>
          <t>PO-2021-0035</t>
        </is>
      </c>
      <c r="E1687" s="12" t="n">
        <v>0.15</v>
      </c>
      <c r="F1687" s="17" t="n">
        <v>45030.45</v>
      </c>
      <c r="G1687" s="14">
        <f>E1687*F1687</f>
        <v/>
      </c>
      <c r="H1687" s="14">
        <f>C1687*G1687</f>
        <v/>
      </c>
    </row>
    <row r="1688">
      <c r="A1688" s="12" t="inlineStr">
        <is>
          <t>RET-0139</t>
        </is>
      </c>
      <c r="B1688" s="12" t="inlineStr">
        <is>
          <t>VS21</t>
        </is>
      </c>
      <c r="C1688" s="28" t="n">
        <v>0.008500000000000001</v>
      </c>
      <c r="D1688" s="12" t="inlineStr">
        <is>
          <t>PO-2021-0450</t>
        </is>
      </c>
      <c r="E1688" s="12" t="n">
        <v>0.15</v>
      </c>
      <c r="F1688" s="17" t="n">
        <v>102241.81</v>
      </c>
      <c r="G1688" s="14">
        <f>E1688*F1688</f>
        <v/>
      </c>
      <c r="H1688" s="14">
        <f>C1688*G1688</f>
        <v/>
      </c>
    </row>
    <row r="1689">
      <c r="A1689" s="12" t="inlineStr">
        <is>
          <t>RET-0139</t>
        </is>
      </c>
      <c r="B1689" s="12" t="inlineStr">
        <is>
          <t>VS22</t>
        </is>
      </c>
      <c r="C1689" s="28" t="n">
        <v>0.0051</v>
      </c>
      <c r="D1689" s="12" t="inlineStr">
        <is>
          <t>PO-2023-3971</t>
        </is>
      </c>
      <c r="E1689" s="12" t="n">
        <v>0.15</v>
      </c>
      <c r="F1689" s="17" t="n">
        <v>100989.24</v>
      </c>
      <c r="G1689" s="14">
        <f>E1689*F1689</f>
        <v/>
      </c>
      <c r="H1689" s="14">
        <f>C1689*G1689</f>
        <v/>
      </c>
    </row>
    <row r="1690">
      <c r="A1690" s="12" t="inlineStr">
        <is>
          <t>RET-0139</t>
        </is>
      </c>
      <c r="B1690" s="12" t="inlineStr">
        <is>
          <t>VS23</t>
        </is>
      </c>
      <c r="C1690" s="28" t="n">
        <v>0.008399999999999999</v>
      </c>
      <c r="D1690" s="12" t="inlineStr">
        <is>
          <t>PO-2023-4082</t>
        </is>
      </c>
      <c r="E1690" s="12" t="n">
        <v>0.15</v>
      </c>
      <c r="F1690" s="17" t="n">
        <v>92527.92999999999</v>
      </c>
      <c r="G1690" s="14">
        <f>E1690*F1690</f>
        <v/>
      </c>
      <c r="H1690" s="14">
        <f>C1690*G1690</f>
        <v/>
      </c>
    </row>
    <row r="1691">
      <c r="A1691" s="12" t="inlineStr">
        <is>
          <t>RET-0139</t>
        </is>
      </c>
      <c r="B1691" s="12" t="inlineStr">
        <is>
          <t>VS24</t>
        </is>
      </c>
      <c r="C1691" s="28" t="n">
        <v>0.008500000000000001</v>
      </c>
      <c r="D1691" s="12" t="inlineStr">
        <is>
          <t>PO-2021-0357</t>
        </is>
      </c>
      <c r="E1691" s="12" t="n">
        <v>0.15</v>
      </c>
      <c r="F1691" s="17" t="n">
        <v>63240.59</v>
      </c>
      <c r="G1691" s="14">
        <f>E1691*F1691</f>
        <v/>
      </c>
      <c r="H1691" s="14">
        <f>C1691*G1691</f>
        <v/>
      </c>
    </row>
    <row r="1692">
      <c r="A1692" s="12" t="inlineStr">
        <is>
          <t>RET-0139</t>
        </is>
      </c>
      <c r="B1692" s="12" t="inlineStr">
        <is>
          <t>VS25</t>
        </is>
      </c>
      <c r="C1692" s="28" t="n">
        <v>0.0154</v>
      </c>
      <c r="D1692" s="12" t="inlineStr">
        <is>
          <t>PO-2023-4122</t>
        </is>
      </c>
      <c r="E1692" s="12" t="n">
        <v>0.15</v>
      </c>
      <c r="F1692" s="17" t="n">
        <v>69938.67</v>
      </c>
      <c r="G1692" s="14">
        <f>E1692*F1692</f>
        <v/>
      </c>
      <c r="H1692" s="14">
        <f>C1692*G1692</f>
        <v/>
      </c>
    </row>
    <row r="1693">
      <c r="A1693" s="12" t="inlineStr">
        <is>
          <t>RET-0139</t>
        </is>
      </c>
      <c r="B1693" s="12" t="inlineStr">
        <is>
          <t>VS26</t>
        </is>
      </c>
      <c r="C1693" s="28" t="n">
        <v>0.0086</v>
      </c>
      <c r="D1693" s="12" t="inlineStr">
        <is>
          <t>PO-2023-3378</t>
        </is>
      </c>
      <c r="E1693" s="12" t="n">
        <v>0.15</v>
      </c>
      <c r="F1693" s="17" t="n">
        <v>116500.58</v>
      </c>
      <c r="G1693" s="14">
        <f>E1693*F1693</f>
        <v/>
      </c>
      <c r="H1693" s="14">
        <f>C1693*G1693</f>
        <v/>
      </c>
    </row>
    <row r="1694">
      <c r="A1694" s="12" t="inlineStr">
        <is>
          <t>RET-0139</t>
        </is>
      </c>
      <c r="B1694" s="12" t="inlineStr">
        <is>
          <t>VS27</t>
        </is>
      </c>
      <c r="C1694" s="28" t="n">
        <v>0.008399999999999999</v>
      </c>
      <c r="D1694" s="12" t="inlineStr">
        <is>
          <t>PO-2023-3477</t>
        </is>
      </c>
      <c r="E1694" s="12" t="n">
        <v>0.15</v>
      </c>
      <c r="F1694" s="17" t="n">
        <v>70733.66</v>
      </c>
      <c r="G1694" s="14">
        <f>E1694*F1694</f>
        <v/>
      </c>
      <c r="H1694" s="14">
        <f>C1694*G1694</f>
        <v/>
      </c>
    </row>
    <row r="1695">
      <c r="A1695" s="12" t="inlineStr">
        <is>
          <t>RET-0139</t>
        </is>
      </c>
      <c r="B1695" s="12" t="inlineStr">
        <is>
          <t>VS28</t>
        </is>
      </c>
      <c r="C1695" s="28" t="n">
        <v>0.0188</v>
      </c>
      <c r="D1695" s="12" t="inlineStr">
        <is>
          <t>PO-2021-0386</t>
        </is>
      </c>
      <c r="E1695" s="12" t="n">
        <v>0.15</v>
      </c>
      <c r="F1695" s="17" t="n">
        <v>119302.55</v>
      </c>
      <c r="G1695" s="14">
        <f>E1695*F1695</f>
        <v/>
      </c>
      <c r="H1695" s="14">
        <f>C1695*G1695</f>
        <v/>
      </c>
    </row>
    <row r="1696">
      <c r="A1696" s="12" t="inlineStr">
        <is>
          <t>RET-0139</t>
        </is>
      </c>
      <c r="B1696" s="12" t="inlineStr">
        <is>
          <t>VS29</t>
        </is>
      </c>
      <c r="C1696" s="28" t="n">
        <v>0.0119</v>
      </c>
      <c r="D1696" s="12" t="inlineStr">
        <is>
          <t>PO-2023-4754</t>
        </is>
      </c>
      <c r="E1696" s="12" t="n">
        <v>0.15</v>
      </c>
      <c r="F1696" s="17" t="n">
        <v>71470.53999999999</v>
      </c>
      <c r="G1696" s="14">
        <f>E1696*F1696</f>
        <v/>
      </c>
      <c r="H1696" s="14">
        <f>C1696*G1696</f>
        <v/>
      </c>
    </row>
    <row r="1697">
      <c r="A1697" s="12" t="inlineStr">
        <is>
          <t>RET-0139</t>
        </is>
      </c>
      <c r="B1697" s="12" t="inlineStr">
        <is>
          <t>VS30</t>
        </is>
      </c>
      <c r="C1697" s="28" t="n">
        <v>0.0051</v>
      </c>
      <c r="D1697" s="12" t="inlineStr">
        <is>
          <t>PO-2023-4376</t>
        </is>
      </c>
      <c r="E1697" s="12" t="n">
        <v>0.15</v>
      </c>
      <c r="F1697" s="17" t="n">
        <v>56918.65</v>
      </c>
      <c r="G1697" s="14">
        <f>E1697*F1697</f>
        <v/>
      </c>
      <c r="H1697" s="14">
        <f>C1697*G1697</f>
        <v/>
      </c>
    </row>
    <row r="1698">
      <c r="A1698" s="12" t="inlineStr">
        <is>
          <t>RET-0139</t>
        </is>
      </c>
      <c r="B1698" s="12" t="inlineStr">
        <is>
          <t>VS31</t>
        </is>
      </c>
      <c r="C1698" s="28" t="n">
        <v>0.0187</v>
      </c>
      <c r="D1698" s="12" t="inlineStr">
        <is>
          <t>PO-2022-2053</t>
        </is>
      </c>
      <c r="E1698" s="12" t="n">
        <v>0.15</v>
      </c>
      <c r="F1698" s="17" t="n">
        <v>76281.72</v>
      </c>
      <c r="G1698" s="14">
        <f>E1698*F1698</f>
        <v/>
      </c>
      <c r="H1698" s="14">
        <f>C1698*G1698</f>
        <v/>
      </c>
    </row>
    <row r="1699">
      <c r="A1699" s="12" t="inlineStr">
        <is>
          <t>RET-0139</t>
        </is>
      </c>
      <c r="B1699" s="12" t="inlineStr">
        <is>
          <t>VS32</t>
        </is>
      </c>
      <c r="C1699" s="28" t="n">
        <v>0.0222</v>
      </c>
      <c r="D1699" s="12" t="inlineStr">
        <is>
          <t>PO-2023-4731</t>
        </is>
      </c>
      <c r="E1699" s="12" t="n">
        <v>0.15</v>
      </c>
      <c r="F1699" s="17" t="n">
        <v>97045.02</v>
      </c>
      <c r="G1699" s="14">
        <f>E1699*F1699</f>
        <v/>
      </c>
      <c r="H1699" s="14">
        <f>C1699*G1699</f>
        <v/>
      </c>
    </row>
    <row r="1700">
      <c r="A1700" s="12" t="inlineStr">
        <is>
          <t>RET-0139</t>
        </is>
      </c>
      <c r="B1700" s="12" t="inlineStr">
        <is>
          <t>VS33</t>
        </is>
      </c>
      <c r="C1700" s="28" t="n">
        <v>0.0119</v>
      </c>
      <c r="D1700" s="12" t="inlineStr">
        <is>
          <t>PO-2022-2583</t>
        </is>
      </c>
      <c r="E1700" s="12" t="n">
        <v>0.15</v>
      </c>
      <c r="F1700" s="17" t="n">
        <v>59260.78</v>
      </c>
      <c r="G1700" s="14">
        <f>E1700*F1700</f>
        <v/>
      </c>
      <c r="H1700" s="14">
        <f>C1700*G1700</f>
        <v/>
      </c>
    </row>
    <row r="1701">
      <c r="A1701" s="12" t="inlineStr">
        <is>
          <t>RET-0139</t>
        </is>
      </c>
      <c r="B1701" s="12" t="inlineStr">
        <is>
          <t>VS34</t>
        </is>
      </c>
      <c r="C1701" s="28" t="n">
        <v>0.0153</v>
      </c>
      <c r="D1701" s="12" t="inlineStr">
        <is>
          <t>PO-2023-4032</t>
        </is>
      </c>
      <c r="E1701" s="12" t="n">
        <v>0.15</v>
      </c>
      <c r="F1701" s="17" t="n">
        <v>103810.35</v>
      </c>
      <c r="G1701" s="14">
        <f>E1701*F1701</f>
        <v/>
      </c>
      <c r="H1701" s="14">
        <f>C1701*G1701</f>
        <v/>
      </c>
    </row>
    <row r="1702">
      <c r="A1702" s="12" t="inlineStr">
        <is>
          <t>RET-0144</t>
        </is>
      </c>
      <c r="B1702" s="12" t="inlineStr">
        <is>
          <t>VS01</t>
        </is>
      </c>
      <c r="C1702" s="28" t="n">
        <v>0.0188</v>
      </c>
      <c r="D1702" s="12" t="inlineStr">
        <is>
          <t>PO-2022-2271</t>
        </is>
      </c>
      <c r="E1702" s="12" t="n">
        <v>0.8</v>
      </c>
      <c r="F1702" s="17" t="n">
        <v>49381.32</v>
      </c>
      <c r="G1702" s="14">
        <f>E1702*F1702</f>
        <v/>
      </c>
      <c r="H1702" s="14">
        <f>C1702*G1702</f>
        <v/>
      </c>
    </row>
    <row r="1703">
      <c r="A1703" s="12" t="inlineStr">
        <is>
          <t>RET-0144</t>
        </is>
      </c>
      <c r="B1703" s="12" t="inlineStr">
        <is>
          <t>VS02</t>
        </is>
      </c>
      <c r="C1703" s="28" t="n">
        <v>0.0086</v>
      </c>
      <c r="D1703" s="12" t="inlineStr">
        <is>
          <t>PO-2023-4207</t>
        </is>
      </c>
      <c r="E1703" s="12" t="n">
        <v>0.8</v>
      </c>
      <c r="F1703" s="17" t="n">
        <v>70826.47</v>
      </c>
      <c r="G1703" s="14">
        <f>E1703*F1703</f>
        <v/>
      </c>
      <c r="H1703" s="14">
        <f>C1703*G1703</f>
        <v/>
      </c>
    </row>
    <row r="1704">
      <c r="A1704" s="12" t="inlineStr">
        <is>
          <t>RET-0144</t>
        </is>
      </c>
      <c r="B1704" s="12" t="inlineStr">
        <is>
          <t>VS03</t>
        </is>
      </c>
      <c r="C1704" s="28" t="n">
        <v>0.1706</v>
      </c>
      <c r="D1704" s="12" t="inlineStr">
        <is>
          <t>PO-2023-3681</t>
        </is>
      </c>
      <c r="E1704" s="12" t="n">
        <v>0.8</v>
      </c>
      <c r="F1704" s="17" t="n">
        <v>72157.52</v>
      </c>
      <c r="G1704" s="14">
        <f>E1704*F1704</f>
        <v/>
      </c>
      <c r="H1704" s="14">
        <f>C1704*G1704</f>
        <v/>
      </c>
    </row>
    <row r="1705">
      <c r="A1705" s="12" t="inlineStr">
        <is>
          <t>RET-0144</t>
        </is>
      </c>
      <c r="B1705" s="12" t="inlineStr">
        <is>
          <t>VS04</t>
        </is>
      </c>
      <c r="C1705" s="28" t="n">
        <v>0.0118</v>
      </c>
      <c r="D1705" s="12" t="inlineStr">
        <is>
          <t>PO-2023-3984</t>
        </is>
      </c>
      <c r="E1705" s="12" t="n">
        <v>0.8</v>
      </c>
      <c r="F1705" s="17" t="n">
        <v>70318.39</v>
      </c>
      <c r="G1705" s="14">
        <f>E1705*F1705</f>
        <v/>
      </c>
      <c r="H1705" s="14">
        <f>C1705*G1705</f>
        <v/>
      </c>
    </row>
    <row r="1706">
      <c r="A1706" s="12" t="inlineStr">
        <is>
          <t>RET-0144</t>
        </is>
      </c>
      <c r="B1706" s="12" t="inlineStr">
        <is>
          <t>VS05</t>
        </is>
      </c>
      <c r="C1706" s="28" t="n">
        <v>0.0153</v>
      </c>
      <c r="D1706" s="12" t="inlineStr">
        <is>
          <t>PO-2023-4471</t>
        </is>
      </c>
      <c r="E1706" s="12" t="n">
        <v>0.8</v>
      </c>
      <c r="F1706" s="17" t="n">
        <v>99274.86</v>
      </c>
      <c r="G1706" s="14">
        <f>E1706*F1706</f>
        <v/>
      </c>
      <c r="H1706" s="14">
        <f>C1706*G1706</f>
        <v/>
      </c>
    </row>
    <row r="1707">
      <c r="A1707" s="12" t="inlineStr">
        <is>
          <t>RET-0144</t>
        </is>
      </c>
      <c r="B1707" s="12" t="inlineStr">
        <is>
          <t>VS06</t>
        </is>
      </c>
      <c r="C1707" s="28" t="n">
        <v>0.0154</v>
      </c>
      <c r="D1707" s="12" t="inlineStr">
        <is>
          <t>PO-2023-3676</t>
        </is>
      </c>
      <c r="E1707" s="12" t="n">
        <v>0.8</v>
      </c>
      <c r="F1707" s="17" t="n">
        <v>78423.62</v>
      </c>
      <c r="G1707" s="14">
        <f>E1707*F1707</f>
        <v/>
      </c>
      <c r="H1707" s="14">
        <f>C1707*G1707</f>
        <v/>
      </c>
    </row>
    <row r="1708">
      <c r="A1708" s="12" t="inlineStr">
        <is>
          <t>RET-0144</t>
        </is>
      </c>
      <c r="B1708" s="12" t="inlineStr">
        <is>
          <t>VS07</t>
        </is>
      </c>
      <c r="C1708" s="28" t="n">
        <v>0.0052</v>
      </c>
      <c r="D1708" s="12" t="inlineStr">
        <is>
          <t>PO-2022-2020</t>
        </is>
      </c>
      <c r="E1708" s="12" t="n">
        <v>0.8</v>
      </c>
      <c r="F1708" s="17" t="n">
        <v>99404.92999999999</v>
      </c>
      <c r="G1708" s="14">
        <f>E1708*F1708</f>
        <v/>
      </c>
      <c r="H1708" s="14">
        <f>C1708*G1708</f>
        <v/>
      </c>
    </row>
    <row r="1709">
      <c r="A1709" s="12" t="inlineStr">
        <is>
          <t>RET-0144</t>
        </is>
      </c>
      <c r="B1709" s="12" t="inlineStr">
        <is>
          <t>VS08</t>
        </is>
      </c>
      <c r="C1709" s="28" t="n">
        <v>0.0155</v>
      </c>
      <c r="D1709" s="12" t="inlineStr">
        <is>
          <t>PO-2021-0439</t>
        </is>
      </c>
      <c r="E1709" s="12" t="n">
        <v>0.8</v>
      </c>
      <c r="F1709" s="17" t="n">
        <v>77204.16</v>
      </c>
      <c r="G1709" s="14">
        <f>E1709*F1709</f>
        <v/>
      </c>
      <c r="H1709" s="14">
        <f>C1709*G1709</f>
        <v/>
      </c>
    </row>
    <row r="1710">
      <c r="A1710" s="12" t="inlineStr">
        <is>
          <t>RET-0144</t>
        </is>
      </c>
      <c r="B1710" s="12" t="inlineStr">
        <is>
          <t>VS09</t>
        </is>
      </c>
      <c r="C1710" s="28" t="n">
        <v>0.0119</v>
      </c>
      <c r="D1710" s="12" t="inlineStr">
        <is>
          <t>PO-2021-1334</t>
        </is>
      </c>
      <c r="E1710" s="12" t="n">
        <v>0.8</v>
      </c>
      <c r="F1710" s="17" t="n">
        <v>111375.86</v>
      </c>
      <c r="G1710" s="14">
        <f>E1710*F1710</f>
        <v/>
      </c>
      <c r="H1710" s="14">
        <f>C1710*G1710</f>
        <v/>
      </c>
    </row>
    <row r="1711">
      <c r="A1711" s="12" t="inlineStr">
        <is>
          <t>RET-0144</t>
        </is>
      </c>
      <c r="B1711" s="12" t="inlineStr">
        <is>
          <t>VS10</t>
        </is>
      </c>
      <c r="C1711" s="28" t="n">
        <v>0.0188</v>
      </c>
      <c r="D1711" s="12" t="inlineStr">
        <is>
          <t>PO-2023-4711</t>
        </is>
      </c>
      <c r="E1711" s="12" t="n">
        <v>0.8</v>
      </c>
      <c r="F1711" s="17" t="n">
        <v>111789.82</v>
      </c>
      <c r="G1711" s="14">
        <f>E1711*F1711</f>
        <v/>
      </c>
      <c r="H1711" s="14">
        <f>C1711*G1711</f>
        <v/>
      </c>
    </row>
    <row r="1712">
      <c r="A1712" s="12" t="inlineStr">
        <is>
          <t>RET-0144</t>
        </is>
      </c>
      <c r="B1712" s="12" t="inlineStr">
        <is>
          <t>VS11</t>
        </is>
      </c>
      <c r="C1712" s="28" t="n">
        <v>0.022</v>
      </c>
      <c r="D1712" s="12" t="inlineStr">
        <is>
          <t>PO-2023-3938</t>
        </is>
      </c>
      <c r="E1712" s="12" t="n">
        <v>0.8</v>
      </c>
      <c r="F1712" s="17" t="n">
        <v>112182.71</v>
      </c>
      <c r="G1712" s="14">
        <f>E1712*F1712</f>
        <v/>
      </c>
      <c r="H1712" s="14">
        <f>C1712*G1712</f>
        <v/>
      </c>
    </row>
    <row r="1713">
      <c r="A1713" s="12" t="inlineStr">
        <is>
          <t>RET-0144</t>
        </is>
      </c>
      <c r="B1713" s="12" t="inlineStr">
        <is>
          <t>VS12</t>
        </is>
      </c>
      <c r="C1713" s="28" t="n">
        <v>0.2372</v>
      </c>
      <c r="D1713" s="12" t="inlineStr">
        <is>
          <t>PO-2021-1057</t>
        </is>
      </c>
      <c r="E1713" s="12" t="n">
        <v>0.8</v>
      </c>
      <c r="F1713" s="17" t="n">
        <v>85065.67999999999</v>
      </c>
      <c r="G1713" s="14">
        <f>E1713*F1713</f>
        <v/>
      </c>
      <c r="H1713" s="14">
        <f>C1713*G1713</f>
        <v/>
      </c>
    </row>
    <row r="1714">
      <c r="A1714" s="12" t="inlineStr">
        <is>
          <t>RET-0144</t>
        </is>
      </c>
      <c r="B1714" s="12" t="inlineStr">
        <is>
          <t>VS13</t>
        </is>
      </c>
      <c r="C1714" s="28" t="n">
        <v>0.0151</v>
      </c>
      <c r="D1714" s="12" t="inlineStr">
        <is>
          <t>PO-2022-1953</t>
        </is>
      </c>
      <c r="E1714" s="12" t="n">
        <v>0.8</v>
      </c>
      <c r="F1714" s="17" t="n">
        <v>114989.43</v>
      </c>
      <c r="G1714" s="14">
        <f>E1714*F1714</f>
        <v/>
      </c>
      <c r="H1714" s="14">
        <f>C1714*G1714</f>
        <v/>
      </c>
    </row>
    <row r="1715">
      <c r="A1715" s="12" t="inlineStr">
        <is>
          <t>RET-0144</t>
        </is>
      </c>
      <c r="B1715" s="12" t="inlineStr">
        <is>
          <t>VS14</t>
        </is>
      </c>
      <c r="C1715" s="28" t="n">
        <v>0.0153</v>
      </c>
      <c r="D1715" s="12" t="inlineStr">
        <is>
          <t>PO-2023-3440</t>
        </is>
      </c>
      <c r="E1715" s="12" t="n">
        <v>0.8</v>
      </c>
      <c r="F1715" s="17" t="n">
        <v>90345.09</v>
      </c>
      <c r="G1715" s="14">
        <f>E1715*F1715</f>
        <v/>
      </c>
      <c r="H1715" s="14">
        <f>C1715*G1715</f>
        <v/>
      </c>
    </row>
    <row r="1716">
      <c r="A1716" s="12" t="inlineStr">
        <is>
          <t>RET-0144</t>
        </is>
      </c>
      <c r="B1716" s="12" t="inlineStr">
        <is>
          <t>VS15</t>
        </is>
      </c>
      <c r="C1716" s="28" t="n">
        <v>0.0051</v>
      </c>
      <c r="D1716" s="12" t="inlineStr">
        <is>
          <t>PO-2021-0049</t>
        </is>
      </c>
      <c r="E1716" s="12" t="n">
        <v>0.8</v>
      </c>
      <c r="F1716" s="17" t="n">
        <v>97981.44</v>
      </c>
      <c r="G1716" s="14">
        <f>E1716*F1716</f>
        <v/>
      </c>
      <c r="H1716" s="14">
        <f>C1716*G1716</f>
        <v/>
      </c>
    </row>
    <row r="1717">
      <c r="A1717" s="12" t="inlineStr">
        <is>
          <t>RET-0144</t>
        </is>
      </c>
      <c r="B1717" s="12" t="inlineStr">
        <is>
          <t>VS16</t>
        </is>
      </c>
      <c r="C1717" s="28" t="n">
        <v>0.0221</v>
      </c>
      <c r="D1717" s="12" t="inlineStr">
        <is>
          <t>PO-2021-0129</t>
        </is>
      </c>
      <c r="E1717" s="12" t="n">
        <v>0.8</v>
      </c>
      <c r="F1717" s="17" t="n">
        <v>88110.89</v>
      </c>
      <c r="G1717" s="14">
        <f>E1717*F1717</f>
        <v/>
      </c>
      <c r="H1717" s="14">
        <f>C1717*G1717</f>
        <v/>
      </c>
    </row>
    <row r="1718">
      <c r="A1718" s="12" t="inlineStr">
        <is>
          <t>RET-0144</t>
        </is>
      </c>
      <c r="B1718" s="12" t="inlineStr">
        <is>
          <t>VS17</t>
        </is>
      </c>
      <c r="C1718" s="28" t="n">
        <v>0.022</v>
      </c>
      <c r="D1718" s="12" t="inlineStr">
        <is>
          <t>PO-2022-2592</t>
        </is>
      </c>
      <c r="E1718" s="12" t="n">
        <v>0.8</v>
      </c>
      <c r="F1718" s="17" t="n">
        <v>66050.11</v>
      </c>
      <c r="G1718" s="14">
        <f>E1718*F1718</f>
        <v/>
      </c>
      <c r="H1718" s="14">
        <f>C1718*G1718</f>
        <v/>
      </c>
    </row>
    <row r="1719">
      <c r="A1719" s="12" t="inlineStr">
        <is>
          <t>RET-0144</t>
        </is>
      </c>
      <c r="B1719" s="12" t="inlineStr">
        <is>
          <t>VS18</t>
        </is>
      </c>
      <c r="C1719" s="28" t="n">
        <v>0.0153</v>
      </c>
      <c r="D1719" s="12" t="inlineStr">
        <is>
          <t>PO-2021-0489</t>
        </is>
      </c>
      <c r="E1719" s="12" t="n">
        <v>0.8</v>
      </c>
      <c r="F1719" s="17" t="n">
        <v>59959.34</v>
      </c>
      <c r="G1719" s="14">
        <f>E1719*F1719</f>
        <v/>
      </c>
      <c r="H1719" s="14">
        <f>C1719*G1719</f>
        <v/>
      </c>
    </row>
    <row r="1720">
      <c r="A1720" s="12" t="inlineStr">
        <is>
          <t>RET-0144</t>
        </is>
      </c>
      <c r="B1720" s="12" t="inlineStr">
        <is>
          <t>VS19</t>
        </is>
      </c>
      <c r="C1720" s="28" t="n">
        <v>0.1789</v>
      </c>
      <c r="D1720" s="12" t="inlineStr">
        <is>
          <t>PO-2021-1210</t>
        </is>
      </c>
      <c r="E1720" s="12" t="n">
        <v>0.8</v>
      </c>
      <c r="F1720" s="17" t="n">
        <v>47414.19</v>
      </c>
      <c r="G1720" s="14">
        <f>E1720*F1720</f>
        <v/>
      </c>
      <c r="H1720" s="14">
        <f>C1720*G1720</f>
        <v/>
      </c>
    </row>
    <row r="1721">
      <c r="A1721" s="12" t="inlineStr">
        <is>
          <t>RET-0144</t>
        </is>
      </c>
      <c r="B1721" s="12" t="inlineStr">
        <is>
          <t>VS20</t>
        </is>
      </c>
      <c r="C1721" s="28" t="n">
        <v>0.008500000000000001</v>
      </c>
      <c r="D1721" s="12" t="inlineStr">
        <is>
          <t>PO-2021-0919</t>
        </is>
      </c>
      <c r="E1721" s="12" t="n">
        <v>0.8</v>
      </c>
      <c r="F1721" s="17" t="n">
        <v>53155.85</v>
      </c>
      <c r="G1721" s="14">
        <f>E1721*F1721</f>
        <v/>
      </c>
      <c r="H1721" s="14">
        <f>C1721*G1721</f>
        <v/>
      </c>
    </row>
    <row r="1722">
      <c r="A1722" s="12" t="inlineStr">
        <is>
          <t>RET-0144</t>
        </is>
      </c>
      <c r="B1722" s="12" t="inlineStr">
        <is>
          <t>VS21</t>
        </is>
      </c>
      <c r="C1722" s="28" t="n">
        <v>0.008500000000000001</v>
      </c>
      <c r="D1722" s="12" t="inlineStr">
        <is>
          <t>PO-2021-0450</t>
        </is>
      </c>
      <c r="E1722" s="12" t="n">
        <v>0.8</v>
      </c>
      <c r="F1722" s="17" t="n">
        <v>102241.81</v>
      </c>
      <c r="G1722" s="14">
        <f>E1722*F1722</f>
        <v/>
      </c>
      <c r="H1722" s="14">
        <f>C1722*G1722</f>
        <v/>
      </c>
    </row>
    <row r="1723">
      <c r="A1723" s="12" t="inlineStr">
        <is>
          <t>RET-0144</t>
        </is>
      </c>
      <c r="B1723" s="12" t="inlineStr">
        <is>
          <t>VS22</t>
        </is>
      </c>
      <c r="C1723" s="28" t="n">
        <v>0.0051</v>
      </c>
      <c r="D1723" s="12" t="inlineStr">
        <is>
          <t>PO-2022-2810</t>
        </is>
      </c>
      <c r="E1723" s="12" t="n">
        <v>0.8</v>
      </c>
      <c r="F1723" s="17" t="n">
        <v>88158.28</v>
      </c>
      <c r="G1723" s="14">
        <f>E1723*F1723</f>
        <v/>
      </c>
      <c r="H1723" s="14">
        <f>C1723*G1723</f>
        <v/>
      </c>
    </row>
    <row r="1724">
      <c r="A1724" s="12" t="inlineStr">
        <is>
          <t>RET-0144</t>
        </is>
      </c>
      <c r="B1724" s="12" t="inlineStr">
        <is>
          <t>VS23</t>
        </is>
      </c>
      <c r="C1724" s="28" t="n">
        <v>0.008399999999999999</v>
      </c>
      <c r="D1724" s="12" t="inlineStr">
        <is>
          <t>PO-2023-4483</t>
        </is>
      </c>
      <c r="E1724" s="12" t="n">
        <v>0.8</v>
      </c>
      <c r="F1724" s="17" t="n">
        <v>100663.89</v>
      </c>
      <c r="G1724" s="14">
        <f>E1724*F1724</f>
        <v/>
      </c>
      <c r="H1724" s="14">
        <f>C1724*G1724</f>
        <v/>
      </c>
    </row>
    <row r="1725">
      <c r="A1725" s="12" t="inlineStr">
        <is>
          <t>RET-0144</t>
        </is>
      </c>
      <c r="B1725" s="12" t="inlineStr">
        <is>
          <t>VS24</t>
        </is>
      </c>
      <c r="C1725" s="28" t="n">
        <v>0.008500000000000001</v>
      </c>
      <c r="D1725" s="12" t="inlineStr">
        <is>
          <t>PO-2022-2445</t>
        </is>
      </c>
      <c r="E1725" s="12" t="n">
        <v>0.8</v>
      </c>
      <c r="F1725" s="17" t="n">
        <v>107727.93</v>
      </c>
      <c r="G1725" s="14">
        <f>E1725*F1725</f>
        <v/>
      </c>
      <c r="H1725" s="14">
        <f>C1725*G1725</f>
        <v/>
      </c>
    </row>
    <row r="1726">
      <c r="A1726" s="12" t="inlineStr">
        <is>
          <t>RET-0144</t>
        </is>
      </c>
      <c r="B1726" s="12" t="inlineStr">
        <is>
          <t>VS25</t>
        </is>
      </c>
      <c r="C1726" s="28" t="n">
        <v>0.0154</v>
      </c>
      <c r="D1726" s="12" t="inlineStr">
        <is>
          <t>PO-2023-4122</t>
        </is>
      </c>
      <c r="E1726" s="12" t="n">
        <v>0.8</v>
      </c>
      <c r="F1726" s="17" t="n">
        <v>69938.67</v>
      </c>
      <c r="G1726" s="14">
        <f>E1726*F1726</f>
        <v/>
      </c>
      <c r="H1726" s="14">
        <f>C1726*G1726</f>
        <v/>
      </c>
    </row>
    <row r="1727">
      <c r="A1727" s="12" t="inlineStr">
        <is>
          <t>RET-0144</t>
        </is>
      </c>
      <c r="B1727" s="12" t="inlineStr">
        <is>
          <t>VS26</t>
        </is>
      </c>
      <c r="C1727" s="28" t="n">
        <v>0.0086</v>
      </c>
      <c r="D1727" s="12" t="inlineStr">
        <is>
          <t>PO-2023-3378</t>
        </is>
      </c>
      <c r="E1727" s="12" t="n">
        <v>0.8</v>
      </c>
      <c r="F1727" s="17" t="n">
        <v>116500.58</v>
      </c>
      <c r="G1727" s="14">
        <f>E1727*F1727</f>
        <v/>
      </c>
      <c r="H1727" s="14">
        <f>C1727*G1727</f>
        <v/>
      </c>
    </row>
    <row r="1728">
      <c r="A1728" s="12" t="inlineStr">
        <is>
          <t>RET-0144</t>
        </is>
      </c>
      <c r="B1728" s="12" t="inlineStr">
        <is>
          <t>VS27</t>
        </is>
      </c>
      <c r="C1728" s="28" t="n">
        <v>0.008399999999999999</v>
      </c>
      <c r="D1728" s="12" t="inlineStr">
        <is>
          <t>PO-2023-3477</t>
        </is>
      </c>
      <c r="E1728" s="12" t="n">
        <v>0.8</v>
      </c>
      <c r="F1728" s="17" t="n">
        <v>70733.66</v>
      </c>
      <c r="G1728" s="14">
        <f>E1728*F1728</f>
        <v/>
      </c>
      <c r="H1728" s="14">
        <f>C1728*G1728</f>
        <v/>
      </c>
    </row>
    <row r="1729">
      <c r="A1729" s="12" t="inlineStr">
        <is>
          <t>RET-0144</t>
        </is>
      </c>
      <c r="B1729" s="12" t="inlineStr">
        <is>
          <t>VS28</t>
        </is>
      </c>
      <c r="C1729" s="28" t="n">
        <v>0.0188</v>
      </c>
      <c r="D1729" s="12" t="inlineStr">
        <is>
          <t>PO-2023-4760</t>
        </is>
      </c>
      <c r="E1729" s="12" t="n">
        <v>0.8</v>
      </c>
      <c r="F1729" s="17" t="n">
        <v>114216.31</v>
      </c>
      <c r="G1729" s="14">
        <f>E1729*F1729</f>
        <v/>
      </c>
      <c r="H1729" s="14">
        <f>C1729*G1729</f>
        <v/>
      </c>
    </row>
    <row r="1730">
      <c r="A1730" s="12" t="inlineStr">
        <is>
          <t>RET-0144</t>
        </is>
      </c>
      <c r="B1730" s="12" t="inlineStr">
        <is>
          <t>VS29</t>
        </is>
      </c>
      <c r="C1730" s="28" t="n">
        <v>0.0119</v>
      </c>
      <c r="D1730" s="12" t="inlineStr">
        <is>
          <t>PO-2023-4378</t>
        </is>
      </c>
      <c r="E1730" s="12" t="n">
        <v>0.8</v>
      </c>
      <c r="F1730" s="17" t="n">
        <v>74638.00999999999</v>
      </c>
      <c r="G1730" s="14">
        <f>E1730*F1730</f>
        <v/>
      </c>
      <c r="H1730" s="14">
        <f>C1730*G1730</f>
        <v/>
      </c>
    </row>
    <row r="1731">
      <c r="A1731" s="12" t="inlineStr">
        <is>
          <t>RET-0144</t>
        </is>
      </c>
      <c r="B1731" s="12" t="inlineStr">
        <is>
          <t>VS30</t>
        </is>
      </c>
      <c r="C1731" s="28" t="n">
        <v>0.0051</v>
      </c>
      <c r="D1731" s="12" t="inlineStr">
        <is>
          <t>PO-2022-1715</t>
        </is>
      </c>
      <c r="E1731" s="12" t="n">
        <v>0.8</v>
      </c>
      <c r="F1731" s="17" t="n">
        <v>52840.1</v>
      </c>
      <c r="G1731" s="14">
        <f>E1731*F1731</f>
        <v/>
      </c>
      <c r="H1731" s="14">
        <f>C1731*G1731</f>
        <v/>
      </c>
    </row>
    <row r="1732">
      <c r="A1732" s="12" t="inlineStr">
        <is>
          <t>RET-0144</t>
        </is>
      </c>
      <c r="B1732" s="12" t="inlineStr">
        <is>
          <t>VS31</t>
        </is>
      </c>
      <c r="C1732" s="28" t="n">
        <v>0.0187</v>
      </c>
      <c r="D1732" s="12" t="inlineStr">
        <is>
          <t>PO-2022-1995</t>
        </is>
      </c>
      <c r="E1732" s="12" t="n">
        <v>0.8</v>
      </c>
      <c r="F1732" s="17" t="n">
        <v>97966.81</v>
      </c>
      <c r="G1732" s="14">
        <f>E1732*F1732</f>
        <v/>
      </c>
      <c r="H1732" s="14">
        <f>C1732*G1732</f>
        <v/>
      </c>
    </row>
    <row r="1733">
      <c r="A1733" s="12" t="inlineStr">
        <is>
          <t>RET-0144</t>
        </is>
      </c>
      <c r="B1733" s="12" t="inlineStr">
        <is>
          <t>VS32</t>
        </is>
      </c>
      <c r="C1733" s="28" t="n">
        <v>0.0222</v>
      </c>
      <c r="D1733" s="12" t="inlineStr">
        <is>
          <t>PO-2021-0978</t>
        </is>
      </c>
      <c r="E1733" s="12" t="n">
        <v>0.8</v>
      </c>
      <c r="F1733" s="17" t="n">
        <v>85541.39999999999</v>
      </c>
      <c r="G1733" s="14">
        <f>E1733*F1733</f>
        <v/>
      </c>
      <c r="H1733" s="14">
        <f>C1733*G1733</f>
        <v/>
      </c>
    </row>
    <row r="1734">
      <c r="A1734" s="12" t="inlineStr">
        <is>
          <t>RET-0144</t>
        </is>
      </c>
      <c r="B1734" s="12" t="inlineStr">
        <is>
          <t>VS33</t>
        </is>
      </c>
      <c r="C1734" s="28" t="n">
        <v>0.0119</v>
      </c>
      <c r="D1734" s="12" t="inlineStr">
        <is>
          <t>PO-2023-3365</t>
        </is>
      </c>
      <c r="E1734" s="12" t="n">
        <v>0.8</v>
      </c>
      <c r="F1734" s="17" t="n">
        <v>111207.3</v>
      </c>
      <c r="G1734" s="14">
        <f>E1734*F1734</f>
        <v/>
      </c>
      <c r="H1734" s="14">
        <f>C1734*G1734</f>
        <v/>
      </c>
    </row>
    <row r="1735">
      <c r="A1735" s="12" t="inlineStr">
        <is>
          <t>RET-0144</t>
        </is>
      </c>
      <c r="B1735" s="12" t="inlineStr">
        <is>
          <t>VS34</t>
        </is>
      </c>
      <c r="C1735" s="28" t="n">
        <v>0.0153</v>
      </c>
      <c r="D1735" s="12" t="inlineStr">
        <is>
          <t>PO-2021-0087</t>
        </is>
      </c>
      <c r="E1735" s="12" t="n">
        <v>0.8</v>
      </c>
      <c r="F1735" s="17" t="n">
        <v>78204.08</v>
      </c>
      <c r="G1735" s="14">
        <f>E1735*F1735</f>
        <v/>
      </c>
      <c r="H1735" s="14">
        <f>C1735*G1735</f>
        <v/>
      </c>
    </row>
    <row r="1736">
      <c r="A1736" s="12" t="inlineStr">
        <is>
          <t>RET-0147</t>
        </is>
      </c>
      <c r="B1736" s="12" t="inlineStr">
        <is>
          <t>VS01</t>
        </is>
      </c>
      <c r="C1736" s="28" t="n">
        <v>0.0111</v>
      </c>
      <c r="D1736" s="12" t="inlineStr">
        <is>
          <t>PO-2023-4101</t>
        </is>
      </c>
      <c r="E1736" s="12" t="n">
        <v>1.63</v>
      </c>
      <c r="F1736" s="17" t="n">
        <v>106647.61</v>
      </c>
      <c r="G1736" s="14">
        <f>E1736*F1736</f>
        <v/>
      </c>
      <c r="H1736" s="14">
        <f>C1736*G1736</f>
        <v/>
      </c>
    </row>
    <row r="1737">
      <c r="A1737" s="12" t="inlineStr">
        <is>
          <t>RET-0147</t>
        </is>
      </c>
      <c r="B1737" s="12" t="inlineStr">
        <is>
          <t>VS02</t>
        </is>
      </c>
      <c r="C1737" s="28" t="n">
        <v>0.0051</v>
      </c>
      <c r="D1737" s="12" t="inlineStr">
        <is>
          <t>PO-2022-2895</t>
        </is>
      </c>
      <c r="E1737" s="12" t="n">
        <v>1.63</v>
      </c>
      <c r="F1737" s="17" t="n">
        <v>114763.89</v>
      </c>
      <c r="G1737" s="14">
        <f>E1737*F1737</f>
        <v/>
      </c>
      <c r="H1737" s="14">
        <f>C1737*G1737</f>
        <v/>
      </c>
    </row>
    <row r="1738">
      <c r="A1738" s="12" t="inlineStr">
        <is>
          <t>RET-0147</t>
        </is>
      </c>
      <c r="B1738" s="12" t="inlineStr">
        <is>
          <t>VS03</t>
        </is>
      </c>
      <c r="C1738" s="28" t="n">
        <v>0.2199</v>
      </c>
      <c r="D1738" s="12" t="inlineStr">
        <is>
          <t>PO-2023-4056</t>
        </is>
      </c>
      <c r="E1738" s="12" t="n">
        <v>1.63</v>
      </c>
      <c r="F1738" s="17" t="n">
        <v>53720.8</v>
      </c>
      <c r="G1738" s="14">
        <f>E1738*F1738</f>
        <v/>
      </c>
      <c r="H1738" s="14">
        <f>C1738*G1738</f>
        <v/>
      </c>
    </row>
    <row r="1739">
      <c r="A1739" s="12" t="inlineStr">
        <is>
          <t>RET-0147</t>
        </is>
      </c>
      <c r="B1739" s="12" t="inlineStr">
        <is>
          <t>VS04</t>
        </is>
      </c>
      <c r="C1739" s="28" t="n">
        <v>0.007</v>
      </c>
      <c r="D1739" s="12" t="inlineStr">
        <is>
          <t>PO-2022-2771</t>
        </is>
      </c>
      <c r="E1739" s="12" t="n">
        <v>1.63</v>
      </c>
      <c r="F1739" s="17" t="n">
        <v>67051.24000000001</v>
      </c>
      <c r="G1739" s="14">
        <f>E1739*F1739</f>
        <v/>
      </c>
      <c r="H1739" s="14">
        <f>C1739*G1739</f>
        <v/>
      </c>
    </row>
    <row r="1740">
      <c r="A1740" s="12" t="inlineStr">
        <is>
          <t>RET-0147</t>
        </is>
      </c>
      <c r="B1740" s="12" t="inlineStr">
        <is>
          <t>VS05</t>
        </is>
      </c>
      <c r="C1740" s="28" t="n">
        <v>0.008999999999999999</v>
      </c>
      <c r="D1740" s="12" t="inlineStr">
        <is>
          <t>PO-2023-4251</t>
        </is>
      </c>
      <c r="E1740" s="12" t="n">
        <v>1.63</v>
      </c>
      <c r="F1740" s="17" t="n">
        <v>88162.39999999999</v>
      </c>
      <c r="G1740" s="14">
        <f>E1740*F1740</f>
        <v/>
      </c>
      <c r="H1740" s="14">
        <f>C1740*G1740</f>
        <v/>
      </c>
    </row>
    <row r="1741">
      <c r="A1741" s="12" t="inlineStr">
        <is>
          <t>RET-0147</t>
        </is>
      </c>
      <c r="B1741" s="12" t="inlineStr">
        <is>
          <t>VS06</t>
        </is>
      </c>
      <c r="C1741" s="28" t="n">
        <v>0.0091</v>
      </c>
      <c r="D1741" s="12" t="inlineStr">
        <is>
          <t>PO-2022-1763</t>
        </is>
      </c>
      <c r="E1741" s="12" t="n">
        <v>1.63</v>
      </c>
      <c r="F1741" s="17" t="n">
        <v>67679.25</v>
      </c>
      <c r="G1741" s="14">
        <f>E1741*F1741</f>
        <v/>
      </c>
      <c r="H1741" s="14">
        <f>C1741*G1741</f>
        <v/>
      </c>
    </row>
    <row r="1742">
      <c r="A1742" s="12" t="inlineStr">
        <is>
          <t>RET-0147</t>
        </is>
      </c>
      <c r="B1742" s="12" t="inlineStr">
        <is>
          <t>VS07</t>
        </is>
      </c>
      <c r="C1742" s="28" t="n">
        <v>0.003</v>
      </c>
      <c r="D1742" s="12" t="inlineStr">
        <is>
          <t>PO-2023-4433</t>
        </is>
      </c>
      <c r="E1742" s="12" t="n">
        <v>1.63</v>
      </c>
      <c r="F1742" s="17" t="n">
        <v>95085.06</v>
      </c>
      <c r="G1742" s="14">
        <f>E1742*F1742</f>
        <v/>
      </c>
      <c r="H1742" s="14">
        <f>C1742*G1742</f>
        <v/>
      </c>
    </row>
    <row r="1743">
      <c r="A1743" s="12" t="inlineStr">
        <is>
          <t>RET-0147</t>
        </is>
      </c>
      <c r="B1743" s="12" t="inlineStr">
        <is>
          <t>VS08</t>
        </is>
      </c>
      <c r="C1743" s="28" t="n">
        <v>0.0092</v>
      </c>
      <c r="D1743" s="12" t="inlineStr">
        <is>
          <t>PO-2022-2172</t>
        </is>
      </c>
      <c r="E1743" s="12" t="n">
        <v>1.63</v>
      </c>
      <c r="F1743" s="17" t="n">
        <v>55680.63</v>
      </c>
      <c r="G1743" s="14">
        <f>E1743*F1743</f>
        <v/>
      </c>
      <c r="H1743" s="14">
        <f>C1743*G1743</f>
        <v/>
      </c>
    </row>
    <row r="1744">
      <c r="A1744" s="12" t="inlineStr">
        <is>
          <t>RET-0147</t>
        </is>
      </c>
      <c r="B1744" s="12" t="inlineStr">
        <is>
          <t>VS09</t>
        </is>
      </c>
      <c r="C1744" s="28" t="n">
        <v>0.007</v>
      </c>
      <c r="D1744" s="12" t="inlineStr">
        <is>
          <t>PO-2021-1359</t>
        </is>
      </c>
      <c r="E1744" s="12" t="n">
        <v>1.63</v>
      </c>
      <c r="F1744" s="17" t="n">
        <v>100335.38</v>
      </c>
      <c r="G1744" s="14">
        <f>E1744*F1744</f>
        <v/>
      </c>
      <c r="H1744" s="14">
        <f>C1744*G1744</f>
        <v/>
      </c>
    </row>
    <row r="1745">
      <c r="A1745" s="12" t="inlineStr">
        <is>
          <t>RET-0147</t>
        </is>
      </c>
      <c r="B1745" s="12" t="inlineStr">
        <is>
          <t>VS10</t>
        </is>
      </c>
      <c r="C1745" s="28" t="n">
        <v>0.0111</v>
      </c>
      <c r="D1745" s="12" t="inlineStr">
        <is>
          <t>PO-2021-0817</t>
        </is>
      </c>
      <c r="E1745" s="12" t="n">
        <v>1.63</v>
      </c>
      <c r="F1745" s="17" t="n">
        <v>80689.10000000001</v>
      </c>
      <c r="G1745" s="14">
        <f>E1745*F1745</f>
        <v/>
      </c>
      <c r="H1745" s="14">
        <f>C1745*G1745</f>
        <v/>
      </c>
    </row>
    <row r="1746">
      <c r="A1746" s="12" t="inlineStr">
        <is>
          <t>RET-0147</t>
        </is>
      </c>
      <c r="B1746" s="12" t="inlineStr">
        <is>
          <t>VS11</t>
        </is>
      </c>
      <c r="C1746" s="28" t="n">
        <v>0.013</v>
      </c>
      <c r="D1746" s="12" t="inlineStr">
        <is>
          <t>PO-2023-4469</t>
        </is>
      </c>
      <c r="E1746" s="12" t="n">
        <v>1.101</v>
      </c>
      <c r="F1746" s="17" t="n">
        <v>62626.61</v>
      </c>
      <c r="G1746" s="14">
        <f>E1746*F1746</f>
        <v/>
      </c>
      <c r="H1746" s="14">
        <f>C1746*G1746</f>
        <v/>
      </c>
    </row>
    <row r="1747">
      <c r="A1747" s="12" t="inlineStr">
        <is>
          <t>RET-0147</t>
        </is>
      </c>
      <c r="B1747" s="12" t="inlineStr">
        <is>
          <t>VS12</t>
        </is>
      </c>
      <c r="C1747" s="28" t="n">
        <v>0.3056</v>
      </c>
      <c r="D1747" s="12" t="inlineStr">
        <is>
          <t>PO-2022-1936</t>
        </is>
      </c>
      <c r="E1747" s="12" t="n">
        <v>1.63</v>
      </c>
      <c r="F1747" s="17" t="n">
        <v>124278.2</v>
      </c>
      <c r="G1747" s="14">
        <f>E1747*F1747</f>
        <v/>
      </c>
      <c r="H1747" s="14">
        <f>C1747*G1747</f>
        <v/>
      </c>
    </row>
    <row r="1748">
      <c r="A1748" s="12" t="inlineStr">
        <is>
          <t>RET-0147</t>
        </is>
      </c>
      <c r="B1748" s="12" t="inlineStr">
        <is>
          <t>VS13</t>
        </is>
      </c>
      <c r="C1748" s="28" t="n">
        <v>0.0089</v>
      </c>
      <c r="D1748" s="12" t="inlineStr">
        <is>
          <t>PO-2021-0560</t>
        </is>
      </c>
      <c r="E1748" s="12" t="n">
        <v>1.63</v>
      </c>
      <c r="F1748" s="17" t="n">
        <v>63022.66</v>
      </c>
      <c r="G1748" s="14">
        <f>E1748*F1748</f>
        <v/>
      </c>
      <c r="H1748" s="14">
        <f>C1748*G1748</f>
        <v/>
      </c>
    </row>
    <row r="1749">
      <c r="A1749" s="12" t="inlineStr">
        <is>
          <t>RET-0147</t>
        </is>
      </c>
      <c r="B1749" s="12" t="inlineStr">
        <is>
          <t>VS14</t>
        </is>
      </c>
      <c r="C1749" s="28" t="n">
        <v>0.008999999999999999</v>
      </c>
      <c r="D1749" s="12" t="inlineStr">
        <is>
          <t>PO-2022-1723</t>
        </is>
      </c>
      <c r="E1749" s="12" t="n">
        <v>1.63</v>
      </c>
      <c r="F1749" s="17" t="n">
        <v>77313.63</v>
      </c>
      <c r="G1749" s="14">
        <f>E1749*F1749</f>
        <v/>
      </c>
      <c r="H1749" s="14">
        <f>C1749*G1749</f>
        <v/>
      </c>
    </row>
    <row r="1750">
      <c r="A1750" s="12" t="inlineStr">
        <is>
          <t>RET-0147</t>
        </is>
      </c>
      <c r="B1750" s="12" t="inlineStr">
        <is>
          <t>VS15</t>
        </is>
      </c>
      <c r="C1750" s="28" t="n">
        <v>0.003</v>
      </c>
      <c r="D1750" s="12" t="inlineStr">
        <is>
          <t>PO-2021-0732</t>
        </is>
      </c>
      <c r="E1750" s="12" t="n">
        <v>1.63</v>
      </c>
      <c r="F1750" s="17" t="n">
        <v>104945.24</v>
      </c>
      <c r="G1750" s="14">
        <f>E1750*F1750</f>
        <v/>
      </c>
      <c r="H1750" s="14">
        <f>C1750*G1750</f>
        <v/>
      </c>
    </row>
    <row r="1751">
      <c r="A1751" s="12" t="inlineStr">
        <is>
          <t>RET-0147</t>
        </is>
      </c>
      <c r="B1751" s="12" t="inlineStr">
        <is>
          <t>VS16</t>
        </is>
      </c>
      <c r="C1751" s="28" t="n">
        <v>0.013</v>
      </c>
      <c r="D1751" s="12" t="inlineStr">
        <is>
          <t>PO-2021-1537</t>
        </is>
      </c>
      <c r="E1751" s="12" t="n">
        <v>1.63</v>
      </c>
      <c r="F1751" s="17" t="n">
        <v>59014.52</v>
      </c>
      <c r="G1751" s="14">
        <f>E1751*F1751</f>
        <v/>
      </c>
      <c r="H1751" s="14">
        <f>C1751*G1751</f>
        <v/>
      </c>
    </row>
    <row r="1752">
      <c r="A1752" s="12" t="inlineStr">
        <is>
          <t>RET-0147</t>
        </is>
      </c>
      <c r="B1752" s="12" t="inlineStr">
        <is>
          <t>VS17</t>
        </is>
      </c>
      <c r="C1752" s="28" t="n">
        <v>0.013</v>
      </c>
      <c r="D1752" s="12" t="inlineStr">
        <is>
          <t>PO-2022-2200</t>
        </is>
      </c>
      <c r="E1752" s="12" t="n">
        <v>1.63</v>
      </c>
      <c r="F1752" s="17" t="n">
        <v>84962.08</v>
      </c>
      <c r="G1752" s="14">
        <f>E1752*F1752</f>
        <v/>
      </c>
      <c r="H1752" s="14">
        <f>C1752*G1752</f>
        <v/>
      </c>
    </row>
    <row r="1753">
      <c r="A1753" s="12" t="inlineStr">
        <is>
          <t>RET-0147</t>
        </is>
      </c>
      <c r="B1753" s="12" t="inlineStr">
        <is>
          <t>VS18</t>
        </is>
      </c>
      <c r="C1753" s="28" t="n">
        <v>0.008999999999999999</v>
      </c>
      <c r="D1753" s="12" t="inlineStr">
        <is>
          <t>PO-2022-3064</t>
        </is>
      </c>
      <c r="E1753" s="12" t="n">
        <v>1.63</v>
      </c>
      <c r="F1753" s="17" t="n">
        <v>86516.41</v>
      </c>
      <c r="G1753" s="14">
        <f>E1753*F1753</f>
        <v/>
      </c>
      <c r="H1753" s="14">
        <f>C1753*G1753</f>
        <v/>
      </c>
    </row>
    <row r="1754">
      <c r="A1754" s="12" t="inlineStr">
        <is>
          <t>RET-0147</t>
        </is>
      </c>
      <c r="B1754" s="12" t="inlineStr">
        <is>
          <t>VS19</t>
        </is>
      </c>
      <c r="C1754" s="28" t="n">
        <v>0.2305</v>
      </c>
      <c r="D1754" s="12" t="inlineStr">
        <is>
          <t>PO-2021-0346</t>
        </is>
      </c>
      <c r="E1754" s="12" t="n">
        <v>1.63</v>
      </c>
      <c r="F1754" s="17" t="n">
        <v>64741.45</v>
      </c>
      <c r="G1754" s="14">
        <f>E1754*F1754</f>
        <v/>
      </c>
      <c r="H1754" s="14">
        <f>C1754*G1754</f>
        <v/>
      </c>
    </row>
    <row r="1755">
      <c r="A1755" s="12" t="inlineStr">
        <is>
          <t>RET-0147</t>
        </is>
      </c>
      <c r="B1755" s="12" t="inlineStr">
        <is>
          <t>VS20</t>
        </is>
      </c>
      <c r="C1755" s="28" t="n">
        <v>0.005</v>
      </c>
      <c r="D1755" s="12" t="inlineStr">
        <is>
          <t>PO-2023-3347</t>
        </is>
      </c>
      <c r="E1755" s="12" t="n">
        <v>1.63</v>
      </c>
      <c r="F1755" s="17" t="n">
        <v>95528.95</v>
      </c>
      <c r="G1755" s="14">
        <f>E1755*F1755</f>
        <v/>
      </c>
      <c r="H1755" s="14">
        <f>C1755*G1755</f>
        <v/>
      </c>
    </row>
    <row r="1756">
      <c r="A1756" s="12" t="inlineStr">
        <is>
          <t>RET-0147</t>
        </is>
      </c>
      <c r="B1756" s="12" t="inlineStr">
        <is>
          <t>VS21</t>
        </is>
      </c>
      <c r="C1756" s="28" t="n">
        <v>0.005</v>
      </c>
      <c r="D1756" s="12" t="inlineStr">
        <is>
          <t>PO-2021-0561</t>
        </is>
      </c>
      <c r="E1756" s="12" t="n">
        <v>1.63</v>
      </c>
      <c r="F1756" s="17" t="n">
        <v>94155.03999999999</v>
      </c>
      <c r="G1756" s="14">
        <f>E1756*F1756</f>
        <v/>
      </c>
      <c r="H1756" s="14">
        <f>C1756*G1756</f>
        <v/>
      </c>
    </row>
    <row r="1757">
      <c r="A1757" s="12" t="inlineStr">
        <is>
          <t>RET-0147</t>
        </is>
      </c>
      <c r="B1757" s="12" t="inlineStr">
        <is>
          <t>VS22</t>
        </is>
      </c>
      <c r="C1757" s="28" t="n">
        <v>0.003</v>
      </c>
      <c r="D1757" s="12" t="inlineStr">
        <is>
          <t>PO-2021-0202</t>
        </is>
      </c>
      <c r="E1757" s="12" t="n">
        <v>1.63</v>
      </c>
      <c r="F1757" s="17" t="n">
        <v>107171.92</v>
      </c>
      <c r="G1757" s="14">
        <f>E1757*F1757</f>
        <v/>
      </c>
      <c r="H1757" s="14">
        <f>C1757*G1757</f>
        <v/>
      </c>
    </row>
    <row r="1758">
      <c r="A1758" s="12" t="inlineStr">
        <is>
          <t>RET-0147</t>
        </is>
      </c>
      <c r="B1758" s="12" t="inlineStr">
        <is>
          <t>VS23</t>
        </is>
      </c>
      <c r="C1758" s="28" t="n">
        <v>0.005</v>
      </c>
      <c r="D1758" s="12" t="inlineStr">
        <is>
          <t>PO-2022-1867</t>
        </is>
      </c>
      <c r="E1758" s="12" t="n">
        <v>1.63</v>
      </c>
      <c r="F1758" s="17" t="n">
        <v>86770.56</v>
      </c>
      <c r="G1758" s="14">
        <f>E1758*F1758</f>
        <v/>
      </c>
      <c r="H1758" s="14">
        <f>C1758*G1758</f>
        <v/>
      </c>
    </row>
    <row r="1759">
      <c r="A1759" s="12" t="inlineStr">
        <is>
          <t>RET-0147</t>
        </is>
      </c>
      <c r="B1759" s="12" t="inlineStr">
        <is>
          <t>VS24</t>
        </is>
      </c>
      <c r="C1759" s="28" t="n">
        <v>0.005</v>
      </c>
      <c r="D1759" s="12" t="inlineStr">
        <is>
          <t>PO-2022-1693</t>
        </is>
      </c>
      <c r="E1759" s="12" t="n">
        <v>1.63</v>
      </c>
      <c r="F1759" s="17" t="n">
        <v>54172.77</v>
      </c>
      <c r="G1759" s="14">
        <f>E1759*F1759</f>
        <v/>
      </c>
      <c r="H1759" s="14">
        <f>C1759*G1759</f>
        <v/>
      </c>
    </row>
    <row r="1760">
      <c r="A1760" s="12" t="inlineStr">
        <is>
          <t>RET-0147</t>
        </is>
      </c>
      <c r="B1760" s="12" t="inlineStr">
        <is>
          <t>VS25</t>
        </is>
      </c>
      <c r="C1760" s="28" t="n">
        <v>0.0091</v>
      </c>
      <c r="D1760" s="12" t="inlineStr">
        <is>
          <t>PO-2022-2989</t>
        </is>
      </c>
      <c r="E1760" s="12" t="n">
        <v>1.63</v>
      </c>
      <c r="F1760" s="17" t="n">
        <v>58824.4</v>
      </c>
      <c r="G1760" s="14">
        <f>E1760*F1760</f>
        <v/>
      </c>
      <c r="H1760" s="14">
        <f>C1760*G1760</f>
        <v/>
      </c>
    </row>
    <row r="1761">
      <c r="A1761" s="12" t="inlineStr">
        <is>
          <t>RET-0147</t>
        </is>
      </c>
      <c r="B1761" s="12" t="inlineStr">
        <is>
          <t>VS26</t>
        </is>
      </c>
      <c r="C1761" s="28" t="n">
        <v>0.0051</v>
      </c>
      <c r="D1761" s="12" t="inlineStr">
        <is>
          <t>PO-2023-3815</t>
        </is>
      </c>
      <c r="E1761" s="12" t="n">
        <v>1.63</v>
      </c>
      <c r="F1761" s="17" t="n">
        <v>47482.02</v>
      </c>
      <c r="G1761" s="14">
        <f>E1761*F1761</f>
        <v/>
      </c>
      <c r="H1761" s="14">
        <f>C1761*G1761</f>
        <v/>
      </c>
    </row>
    <row r="1762">
      <c r="A1762" s="12" t="inlineStr">
        <is>
          <t>RET-0147</t>
        </is>
      </c>
      <c r="B1762" s="12" t="inlineStr">
        <is>
          <t>VS27</t>
        </is>
      </c>
      <c r="C1762" s="28" t="n">
        <v>0.005</v>
      </c>
      <c r="D1762" s="12" t="inlineStr">
        <is>
          <t>PO-2023-3831</t>
        </is>
      </c>
      <c r="E1762" s="12" t="n">
        <v>1.63</v>
      </c>
      <c r="F1762" s="17" t="n">
        <v>117054.77</v>
      </c>
      <c r="G1762" s="14">
        <f>E1762*F1762</f>
        <v/>
      </c>
      <c r="H1762" s="14">
        <f>C1762*G1762</f>
        <v/>
      </c>
    </row>
    <row r="1763">
      <c r="A1763" s="12" t="inlineStr">
        <is>
          <t>RET-0147</t>
        </is>
      </c>
      <c r="B1763" s="12" t="inlineStr">
        <is>
          <t>VS28</t>
        </is>
      </c>
      <c r="C1763" s="28" t="n">
        <v>0.0111</v>
      </c>
      <c r="D1763" s="12" t="inlineStr">
        <is>
          <t>PO-2022-1779</t>
        </is>
      </c>
      <c r="E1763" s="12" t="n">
        <v>1.63</v>
      </c>
      <c r="F1763" s="17" t="n">
        <v>79281.17</v>
      </c>
      <c r="G1763" s="14">
        <f>E1763*F1763</f>
        <v/>
      </c>
      <c r="H1763" s="14">
        <f>C1763*G1763</f>
        <v/>
      </c>
    </row>
    <row r="1764">
      <c r="A1764" s="12" t="inlineStr">
        <is>
          <t>RET-0147</t>
        </is>
      </c>
      <c r="B1764" s="12" t="inlineStr">
        <is>
          <t>VS29</t>
        </is>
      </c>
      <c r="C1764" s="28" t="n">
        <v>0.007</v>
      </c>
      <c r="D1764" s="12" t="inlineStr">
        <is>
          <t>PO-2022-1623</t>
        </is>
      </c>
      <c r="E1764" s="12" t="n">
        <v>1.63</v>
      </c>
      <c r="F1764" s="17" t="n">
        <v>72023.73</v>
      </c>
      <c r="G1764" s="14">
        <f>E1764*F1764</f>
        <v/>
      </c>
      <c r="H1764" s="14">
        <f>C1764*G1764</f>
        <v/>
      </c>
    </row>
    <row r="1765">
      <c r="A1765" s="12" t="inlineStr">
        <is>
          <t>RET-0147</t>
        </is>
      </c>
      <c r="B1765" s="12" t="inlineStr">
        <is>
          <t>VS30</t>
        </is>
      </c>
      <c r="C1765" s="28" t="n">
        <v>0.003</v>
      </c>
      <c r="D1765" s="12" t="inlineStr">
        <is>
          <t>PO-2021-1217</t>
        </is>
      </c>
      <c r="E1765" s="12" t="n">
        <v>1.63</v>
      </c>
      <c r="F1765" s="17" t="n">
        <v>99224.63</v>
      </c>
      <c r="G1765" s="14">
        <f>E1765*F1765</f>
        <v/>
      </c>
      <c r="H1765" s="14">
        <f>C1765*G1765</f>
        <v/>
      </c>
    </row>
    <row r="1766">
      <c r="A1766" s="12" t="inlineStr">
        <is>
          <t>RET-0147</t>
        </is>
      </c>
      <c r="B1766" s="12" t="inlineStr">
        <is>
          <t>VS31</t>
        </is>
      </c>
      <c r="C1766" s="28" t="n">
        <v>0.011</v>
      </c>
      <c r="D1766" s="12" t="inlineStr">
        <is>
          <t>PO-2023-4087</t>
        </is>
      </c>
      <c r="E1766" s="12" t="n">
        <v>1.63</v>
      </c>
      <c r="F1766" s="17" t="n">
        <v>113295.37</v>
      </c>
      <c r="G1766" s="14">
        <f>E1766*F1766</f>
        <v/>
      </c>
      <c r="H1766" s="14">
        <f>C1766*G1766</f>
        <v/>
      </c>
    </row>
    <row r="1767">
      <c r="A1767" s="12" t="inlineStr">
        <is>
          <t>RET-0147</t>
        </is>
      </c>
      <c r="B1767" s="12" t="inlineStr">
        <is>
          <t>VS32</t>
        </is>
      </c>
      <c r="C1767" s="28" t="n">
        <v>0.0131</v>
      </c>
      <c r="D1767" s="12" t="inlineStr">
        <is>
          <t>PO-2021-0421</t>
        </is>
      </c>
      <c r="E1767" s="12" t="n">
        <v>1.63</v>
      </c>
      <c r="F1767" s="17" t="n">
        <v>65153.79</v>
      </c>
      <c r="G1767" s="14">
        <f>E1767*F1767</f>
        <v/>
      </c>
      <c r="H1767" s="14">
        <f>C1767*G1767</f>
        <v/>
      </c>
    </row>
    <row r="1768">
      <c r="A1768" s="12" t="inlineStr">
        <is>
          <t>RET-0147</t>
        </is>
      </c>
      <c r="B1768" s="12" t="inlineStr">
        <is>
          <t>VS33</t>
        </is>
      </c>
      <c r="C1768" s="28" t="n">
        <v>0.007</v>
      </c>
      <c r="D1768" s="12" t="inlineStr">
        <is>
          <t>PO-2021-1514</t>
        </is>
      </c>
      <c r="E1768" s="12" t="n">
        <v>1.63</v>
      </c>
      <c r="F1768" s="17" t="n">
        <v>83625.86</v>
      </c>
      <c r="G1768" s="14">
        <f>E1768*F1768</f>
        <v/>
      </c>
      <c r="H1768" s="14">
        <f>C1768*G1768</f>
        <v/>
      </c>
    </row>
    <row r="1769">
      <c r="A1769" s="12" t="inlineStr">
        <is>
          <t>RET-0147</t>
        </is>
      </c>
      <c r="B1769" s="12" t="inlineStr">
        <is>
          <t>VS34</t>
        </is>
      </c>
      <c r="C1769" s="28" t="n">
        <v>0.008999999999999999</v>
      </c>
      <c r="D1769" s="12" t="inlineStr">
        <is>
          <t>PO-2023-3985</t>
        </is>
      </c>
      <c r="E1769" s="12" t="n">
        <v>1.63</v>
      </c>
      <c r="F1769" s="17" t="n">
        <v>49311.74</v>
      </c>
      <c r="G1769" s="14">
        <f>E1769*F1769</f>
        <v/>
      </c>
      <c r="H1769" s="14">
        <f>C1769*G1769</f>
        <v/>
      </c>
    </row>
    <row r="1770">
      <c r="A1770" s="12" t="inlineStr">
        <is>
          <t>RET-0148</t>
        </is>
      </c>
      <c r="B1770" s="12" t="inlineStr">
        <is>
          <t>VS01</t>
        </is>
      </c>
      <c r="C1770" s="28" t="n">
        <v>0.0234</v>
      </c>
      <c r="D1770" s="12" t="inlineStr">
        <is>
          <t>PO-2023-3220</t>
        </is>
      </c>
      <c r="E1770" s="12" t="n">
        <v>4.07</v>
      </c>
      <c r="F1770" s="17" t="n">
        <v>74731.92999999999</v>
      </c>
      <c r="G1770" s="14">
        <f>E1770*F1770</f>
        <v/>
      </c>
      <c r="H1770" s="14">
        <f>C1770*G1770</f>
        <v/>
      </c>
    </row>
    <row r="1771">
      <c r="A1771" s="12" t="inlineStr">
        <is>
          <t>RET-0148</t>
        </is>
      </c>
      <c r="B1771" s="12" t="inlineStr">
        <is>
          <t>VS02</t>
        </is>
      </c>
      <c r="C1771" s="28" t="n">
        <v>0.0106</v>
      </c>
      <c r="D1771" s="12" t="inlineStr">
        <is>
          <t>PO-2022-1827</t>
        </is>
      </c>
      <c r="E1771" s="12" t="n">
        <v>4.07</v>
      </c>
      <c r="F1771" s="17" t="n">
        <v>65272.39</v>
      </c>
      <c r="G1771" s="14">
        <f>E1771*F1771</f>
        <v/>
      </c>
      <c r="H1771" s="14">
        <f>C1771*G1771</f>
        <v/>
      </c>
    </row>
    <row r="1772">
      <c r="A1772" s="12" t="inlineStr">
        <is>
          <t>RET-0148</t>
        </is>
      </c>
      <c r="B1772" s="12" t="inlineStr">
        <is>
          <t>VS03</t>
        </is>
      </c>
      <c r="C1772" s="28" t="n">
        <v>0.1413</v>
      </c>
      <c r="D1772" s="12" t="inlineStr">
        <is>
          <t>PO-2023-4171</t>
        </is>
      </c>
      <c r="E1772" s="12" t="n">
        <v>4.07</v>
      </c>
      <c r="F1772" s="17" t="n">
        <v>122508.81</v>
      </c>
      <c r="G1772" s="14">
        <f>E1772*F1772</f>
        <v/>
      </c>
      <c r="H1772" s="14">
        <f>C1772*G1772</f>
        <v/>
      </c>
    </row>
    <row r="1773">
      <c r="A1773" s="12" t="inlineStr">
        <is>
          <t>RET-0148</t>
        </is>
      </c>
      <c r="B1773" s="12" t="inlineStr">
        <is>
          <t>VS04</t>
        </is>
      </c>
      <c r="C1773" s="28" t="n">
        <v>0.0147</v>
      </c>
      <c r="D1773" s="12" t="inlineStr">
        <is>
          <t>PO-2022-3039</t>
        </is>
      </c>
      <c r="E1773" s="12" t="n">
        <v>4.07</v>
      </c>
      <c r="F1773" s="17" t="n">
        <v>103727.88</v>
      </c>
      <c r="G1773" s="14">
        <f>E1773*F1773</f>
        <v/>
      </c>
      <c r="H1773" s="14">
        <f>C1773*G1773</f>
        <v/>
      </c>
    </row>
    <row r="1774">
      <c r="A1774" s="12" t="inlineStr">
        <is>
          <t>RET-0148</t>
        </is>
      </c>
      <c r="B1774" s="12" t="inlineStr">
        <is>
          <t>VS05</t>
        </is>
      </c>
      <c r="C1774" s="28" t="n">
        <v>0.019</v>
      </c>
      <c r="D1774" s="12" t="inlineStr">
        <is>
          <t>PO-2022-1601</t>
        </is>
      </c>
      <c r="E1774" s="12" t="n">
        <v>4.07</v>
      </c>
      <c r="F1774" s="17" t="n">
        <v>110285.77</v>
      </c>
      <c r="G1774" s="14">
        <f>E1774*F1774</f>
        <v/>
      </c>
      <c r="H1774" s="14">
        <f>C1774*G1774</f>
        <v/>
      </c>
    </row>
    <row r="1775">
      <c r="A1775" s="12" t="inlineStr">
        <is>
          <t>RET-0148</t>
        </is>
      </c>
      <c r="B1775" s="12" t="inlineStr">
        <is>
          <t>VS06</t>
        </is>
      </c>
      <c r="C1775" s="28" t="n">
        <v>0.0192</v>
      </c>
      <c r="D1775" s="12" t="inlineStr">
        <is>
          <t>PO-2023-3355</t>
        </is>
      </c>
      <c r="E1775" s="12" t="n">
        <v>4.07</v>
      </c>
      <c r="F1775" s="17" t="n">
        <v>78488.50999999999</v>
      </c>
      <c r="G1775" s="14">
        <f>E1775*F1775</f>
        <v/>
      </c>
      <c r="H1775" s="14">
        <f>C1775*G1775</f>
        <v/>
      </c>
    </row>
    <row r="1776">
      <c r="A1776" s="12" t="inlineStr">
        <is>
          <t>RET-0148</t>
        </is>
      </c>
      <c r="B1776" s="12" t="inlineStr">
        <is>
          <t>VS07</t>
        </is>
      </c>
      <c r="C1776" s="28" t="n">
        <v>0.0064</v>
      </c>
      <c r="D1776" s="12" t="inlineStr">
        <is>
          <t>PO-2023-3594</t>
        </is>
      </c>
      <c r="E1776" s="12" t="n">
        <v>4.07</v>
      </c>
      <c r="F1776" s="17" t="n">
        <v>86002.64999999999</v>
      </c>
      <c r="G1776" s="14">
        <f>E1776*F1776</f>
        <v/>
      </c>
      <c r="H1776" s="14">
        <f>C1776*G1776</f>
        <v/>
      </c>
    </row>
    <row r="1777">
      <c r="A1777" s="12" t="inlineStr">
        <is>
          <t>RET-0148</t>
        </is>
      </c>
      <c r="B1777" s="12" t="inlineStr">
        <is>
          <t>VS08</t>
        </is>
      </c>
      <c r="C1777" s="28" t="n">
        <v>0.0193</v>
      </c>
      <c r="D1777" s="12" t="inlineStr">
        <is>
          <t>PO-2021-0591</t>
        </is>
      </c>
      <c r="E1777" s="12" t="n">
        <v>4.07</v>
      </c>
      <c r="F1777" s="17" t="n">
        <v>51756.2</v>
      </c>
      <c r="G1777" s="14">
        <f>E1777*F1777</f>
        <v/>
      </c>
      <c r="H1777" s="14">
        <f>C1777*G1777</f>
        <v/>
      </c>
    </row>
    <row r="1778">
      <c r="A1778" s="12" t="inlineStr">
        <is>
          <t>RET-0148</t>
        </is>
      </c>
      <c r="B1778" s="12" t="inlineStr">
        <is>
          <t>VS09</t>
        </is>
      </c>
      <c r="C1778" s="28" t="n">
        <v>0.0148</v>
      </c>
      <c r="D1778" s="12" t="inlineStr">
        <is>
          <t>PO-2022-2589</t>
        </is>
      </c>
      <c r="E1778" s="12" t="n">
        <v>4.07</v>
      </c>
      <c r="F1778" s="17" t="n">
        <v>119710.18</v>
      </c>
      <c r="G1778" s="14">
        <f>E1778*F1778</f>
        <v/>
      </c>
      <c r="H1778" s="14">
        <f>C1778*G1778</f>
        <v/>
      </c>
    </row>
    <row r="1779">
      <c r="A1779" s="12" t="inlineStr">
        <is>
          <t>RET-0148</t>
        </is>
      </c>
      <c r="B1779" s="12" t="inlineStr">
        <is>
          <t>VS10</t>
        </is>
      </c>
      <c r="C1779" s="28" t="n">
        <v>0.0233</v>
      </c>
      <c r="D1779" s="12" t="inlineStr">
        <is>
          <t>PO-2023-4519</t>
        </is>
      </c>
      <c r="E1779" s="12" t="n">
        <v>4.07</v>
      </c>
      <c r="F1779" s="17" t="n">
        <v>119939.29</v>
      </c>
      <c r="G1779" s="14">
        <f>E1779*F1779</f>
        <v/>
      </c>
      <c r="H1779" s="14">
        <f>C1779*G1779</f>
        <v/>
      </c>
    </row>
    <row r="1780">
      <c r="A1780" s="12" t="inlineStr">
        <is>
          <t>RET-0148</t>
        </is>
      </c>
      <c r="B1780" s="12" t="inlineStr">
        <is>
          <t>VS11</t>
        </is>
      </c>
      <c r="C1780" s="28" t="n">
        <v>0.0273</v>
      </c>
      <c r="D1780" s="12" t="inlineStr">
        <is>
          <t>PO-2022-2648</t>
        </is>
      </c>
      <c r="E1780" s="12" t="n">
        <v>4.07</v>
      </c>
      <c r="F1780" s="17" t="n">
        <v>57853.14</v>
      </c>
      <c r="G1780" s="14">
        <f>E1780*F1780</f>
        <v/>
      </c>
      <c r="H1780" s="14">
        <f>C1780*G1780</f>
        <v/>
      </c>
    </row>
    <row r="1781">
      <c r="A1781" s="12" t="inlineStr">
        <is>
          <t>RET-0148</t>
        </is>
      </c>
      <c r="B1781" s="12" t="inlineStr">
        <is>
          <t>VS12</t>
        </is>
      </c>
      <c r="C1781" s="28" t="n">
        <v>0.1964</v>
      </c>
      <c r="D1781" s="12" t="inlineStr">
        <is>
          <t>PO-2021-1468</t>
        </is>
      </c>
      <c r="E1781" s="12" t="n">
        <v>4.07</v>
      </c>
      <c r="F1781" s="17" t="n">
        <v>70129.94</v>
      </c>
      <c r="G1781" s="14">
        <f>E1781*F1781</f>
        <v/>
      </c>
      <c r="H1781" s="14">
        <f>C1781*G1781</f>
        <v/>
      </c>
    </row>
    <row r="1782">
      <c r="A1782" s="12" t="inlineStr">
        <is>
          <t>RET-0148</t>
        </is>
      </c>
      <c r="B1782" s="12" t="inlineStr">
        <is>
          <t>VS13</t>
        </is>
      </c>
      <c r="C1782" s="28" t="n">
        <v>0.0188</v>
      </c>
      <c r="D1782" s="12" t="inlineStr">
        <is>
          <t>PO-2023-3859</t>
        </is>
      </c>
      <c r="E1782" s="12" t="n">
        <v>4.07</v>
      </c>
      <c r="F1782" s="17" t="n">
        <v>68681.14</v>
      </c>
      <c r="G1782" s="14">
        <f>E1782*F1782</f>
        <v/>
      </c>
      <c r="H1782" s="14">
        <f>C1782*G1782</f>
        <v/>
      </c>
    </row>
    <row r="1783">
      <c r="A1783" s="12" t="inlineStr">
        <is>
          <t>RET-0148</t>
        </is>
      </c>
      <c r="B1783" s="12" t="inlineStr">
        <is>
          <t>VS14</t>
        </is>
      </c>
      <c r="C1783" s="28" t="n">
        <v>0.019</v>
      </c>
      <c r="D1783" s="12" t="inlineStr">
        <is>
          <t>PO-2022-2079</t>
        </is>
      </c>
      <c r="E1783" s="12" t="n">
        <v>4.07</v>
      </c>
      <c r="F1783" s="17" t="n">
        <v>45720.19</v>
      </c>
      <c r="G1783" s="14">
        <f>E1783*F1783</f>
        <v/>
      </c>
      <c r="H1783" s="14">
        <f>C1783*G1783</f>
        <v/>
      </c>
    </row>
    <row r="1784">
      <c r="A1784" s="12" t="inlineStr">
        <is>
          <t>RET-0148</t>
        </is>
      </c>
      <c r="B1784" s="12" t="inlineStr">
        <is>
          <t>VS15</t>
        </is>
      </c>
      <c r="C1784" s="28" t="n">
        <v>0.0064</v>
      </c>
      <c r="D1784" s="12" t="inlineStr">
        <is>
          <t>PO-2023-3647</t>
        </is>
      </c>
      <c r="E1784" s="12" t="n">
        <v>4.07</v>
      </c>
      <c r="F1784" s="17" t="n">
        <v>49590.11</v>
      </c>
      <c r="G1784" s="14">
        <f>E1784*F1784</f>
        <v/>
      </c>
      <c r="H1784" s="14">
        <f>C1784*G1784</f>
        <v/>
      </c>
    </row>
    <row r="1785">
      <c r="A1785" s="12" t="inlineStr">
        <is>
          <t>RET-0148</t>
        </is>
      </c>
      <c r="B1785" s="12" t="inlineStr">
        <is>
          <t>VS16</t>
        </is>
      </c>
      <c r="C1785" s="28" t="n">
        <v>0.0274</v>
      </c>
      <c r="D1785" s="12" t="inlineStr">
        <is>
          <t>PO-2022-1808</t>
        </is>
      </c>
      <c r="E1785" s="12" t="n">
        <v>4.07</v>
      </c>
      <c r="F1785" s="17" t="n">
        <v>116099.82</v>
      </c>
      <c r="G1785" s="14">
        <f>E1785*F1785</f>
        <v/>
      </c>
      <c r="H1785" s="14">
        <f>C1785*G1785</f>
        <v/>
      </c>
    </row>
    <row r="1786">
      <c r="A1786" s="12" t="inlineStr">
        <is>
          <t>RET-0148</t>
        </is>
      </c>
      <c r="B1786" s="12" t="inlineStr">
        <is>
          <t>VS17</t>
        </is>
      </c>
      <c r="C1786" s="28" t="n">
        <v>0.0273</v>
      </c>
      <c r="D1786" s="12" t="inlineStr">
        <is>
          <t>PO-2021-0402</t>
        </is>
      </c>
      <c r="E1786" s="12" t="n">
        <v>4.07</v>
      </c>
      <c r="F1786" s="17" t="n">
        <v>92933.14</v>
      </c>
      <c r="G1786" s="14">
        <f>E1786*F1786</f>
        <v/>
      </c>
      <c r="H1786" s="14">
        <f>C1786*G1786</f>
        <v/>
      </c>
    </row>
    <row r="1787">
      <c r="A1787" s="12" t="inlineStr">
        <is>
          <t>RET-0148</t>
        </is>
      </c>
      <c r="B1787" s="12" t="inlineStr">
        <is>
          <t>VS18</t>
        </is>
      </c>
      <c r="C1787" s="28" t="n">
        <v>0.019</v>
      </c>
      <c r="D1787" s="12" t="inlineStr">
        <is>
          <t>PO-2022-2472</t>
        </is>
      </c>
      <c r="E1787" s="12" t="n">
        <v>4.07</v>
      </c>
      <c r="F1787" s="17" t="n">
        <v>63464.47</v>
      </c>
      <c r="G1787" s="14">
        <f>E1787*F1787</f>
        <v/>
      </c>
      <c r="H1787" s="14">
        <f>C1787*G1787</f>
        <v/>
      </c>
    </row>
    <row r="1788">
      <c r="A1788" s="12" t="inlineStr">
        <is>
          <t>RET-0148</t>
        </is>
      </c>
      <c r="B1788" s="12" t="inlineStr">
        <is>
          <t>VS19</t>
        </is>
      </c>
      <c r="C1788" s="28" t="n">
        <v>0.1482</v>
      </c>
      <c r="D1788" s="12" t="inlineStr">
        <is>
          <t>PO-2021-0083</t>
        </is>
      </c>
      <c r="E1788" s="12" t="n">
        <v>4.07</v>
      </c>
      <c r="F1788" s="17" t="n">
        <v>73375.06</v>
      </c>
      <c r="G1788" s="14">
        <f>E1788*F1788</f>
        <v/>
      </c>
      <c r="H1788" s="14">
        <f>C1788*G1788</f>
        <v/>
      </c>
    </row>
    <row r="1789">
      <c r="A1789" s="12" t="inlineStr">
        <is>
          <t>RET-0148</t>
        </is>
      </c>
      <c r="B1789" s="12" t="inlineStr">
        <is>
          <t>VS20</t>
        </is>
      </c>
      <c r="C1789" s="28" t="n">
        <v>0.0106</v>
      </c>
      <c r="D1789" s="12" t="inlineStr">
        <is>
          <t>PO-2022-2926</t>
        </is>
      </c>
      <c r="E1789" s="12" t="n">
        <v>4.07</v>
      </c>
      <c r="F1789" s="17" t="n">
        <v>74625.02</v>
      </c>
      <c r="G1789" s="14">
        <f>E1789*F1789</f>
        <v/>
      </c>
      <c r="H1789" s="14">
        <f>C1789*G1789</f>
        <v/>
      </c>
    </row>
    <row r="1790">
      <c r="A1790" s="12" t="inlineStr">
        <is>
          <t>RET-0148</t>
        </is>
      </c>
      <c r="B1790" s="12" t="inlineStr">
        <is>
          <t>VS21</t>
        </is>
      </c>
      <c r="C1790" s="28" t="n">
        <v>0.0106</v>
      </c>
      <c r="D1790" s="12" t="inlineStr">
        <is>
          <t>PO-2023-3638</t>
        </is>
      </c>
      <c r="E1790" s="12" t="n">
        <v>4.07</v>
      </c>
      <c r="F1790" s="17" t="n">
        <v>70272</v>
      </c>
      <c r="G1790" s="14">
        <f>E1790*F1790</f>
        <v/>
      </c>
      <c r="H1790" s="14">
        <f>C1790*G1790</f>
        <v/>
      </c>
    </row>
    <row r="1791">
      <c r="A1791" s="12" t="inlineStr">
        <is>
          <t>RET-0148</t>
        </is>
      </c>
      <c r="B1791" s="12" t="inlineStr">
        <is>
          <t>VS22</t>
        </is>
      </c>
      <c r="C1791" s="28" t="n">
        <v>0.0063</v>
      </c>
      <c r="D1791" s="12" t="inlineStr">
        <is>
          <t>PO-2023-4130</t>
        </is>
      </c>
      <c r="E1791" s="12" t="n">
        <v>4.07</v>
      </c>
      <c r="F1791" s="17" t="n">
        <v>93071.52</v>
      </c>
      <c r="G1791" s="14">
        <f>E1791*F1791</f>
        <v/>
      </c>
      <c r="H1791" s="14">
        <f>C1791*G1791</f>
        <v/>
      </c>
    </row>
    <row r="1792">
      <c r="A1792" s="12" t="inlineStr">
        <is>
          <t>RET-0148</t>
        </is>
      </c>
      <c r="B1792" s="12" t="inlineStr">
        <is>
          <t>VS23</t>
        </is>
      </c>
      <c r="C1792" s="28" t="n">
        <v>0.0104</v>
      </c>
      <c r="D1792" s="12" t="inlineStr">
        <is>
          <t>PO-2023-4054</t>
        </is>
      </c>
      <c r="E1792" s="12" t="n">
        <v>4.07</v>
      </c>
      <c r="F1792" s="17" t="n">
        <v>97981.39</v>
      </c>
      <c r="G1792" s="14">
        <f>E1792*F1792</f>
        <v/>
      </c>
      <c r="H1792" s="14">
        <f>C1792*G1792</f>
        <v/>
      </c>
    </row>
    <row r="1793">
      <c r="A1793" s="12" t="inlineStr">
        <is>
          <t>RET-0148</t>
        </is>
      </c>
      <c r="B1793" s="12" t="inlineStr">
        <is>
          <t>VS24</t>
        </is>
      </c>
      <c r="C1793" s="28" t="n">
        <v>0.0106</v>
      </c>
      <c r="D1793" s="12" t="inlineStr">
        <is>
          <t>PO-2022-2341</t>
        </is>
      </c>
      <c r="E1793" s="12" t="n">
        <v>4.06</v>
      </c>
      <c r="F1793" s="17" t="n">
        <v>78530.87</v>
      </c>
      <c r="G1793" s="14">
        <f>E1793*F1793</f>
        <v/>
      </c>
      <c r="H1793" s="14">
        <f>C1793*G1793</f>
        <v/>
      </c>
    </row>
    <row r="1794">
      <c r="A1794" s="12" t="inlineStr">
        <is>
          <t>RET-0148</t>
        </is>
      </c>
      <c r="B1794" s="12" t="inlineStr">
        <is>
          <t>VS25</t>
        </is>
      </c>
      <c r="C1794" s="28" t="n">
        <v>0.0191</v>
      </c>
      <c r="D1794" s="12" t="inlineStr">
        <is>
          <t>PO-2022-2981</t>
        </is>
      </c>
      <c r="E1794" s="12" t="n">
        <v>1.344</v>
      </c>
      <c r="F1794" s="17" t="n">
        <v>46857.99</v>
      </c>
      <c r="G1794" s="14">
        <f>E1794*F1794</f>
        <v/>
      </c>
      <c r="H1794" s="14">
        <f>C1794*G1794</f>
        <v/>
      </c>
    </row>
    <row r="1795">
      <c r="A1795" s="12" t="inlineStr">
        <is>
          <t>RET-0148</t>
        </is>
      </c>
      <c r="B1795" s="12" t="inlineStr">
        <is>
          <t>VS26</t>
        </is>
      </c>
      <c r="C1795" s="28" t="n">
        <v>0.0107</v>
      </c>
      <c r="D1795" s="12" t="inlineStr">
        <is>
          <t>PO-2023-3372</t>
        </is>
      </c>
      <c r="E1795" s="12" t="n">
        <v>4.07</v>
      </c>
      <c r="F1795" s="17" t="n">
        <v>52122.89</v>
      </c>
      <c r="G1795" s="14">
        <f>E1795*F1795</f>
        <v/>
      </c>
      <c r="H1795" s="14">
        <f>C1795*G1795</f>
        <v/>
      </c>
    </row>
    <row r="1796">
      <c r="A1796" s="12" t="inlineStr">
        <is>
          <t>RET-0148</t>
        </is>
      </c>
      <c r="B1796" s="12" t="inlineStr">
        <is>
          <t>VS27</t>
        </is>
      </c>
      <c r="C1796" s="28" t="n">
        <v>0.0104</v>
      </c>
      <c r="D1796" s="12" t="inlineStr">
        <is>
          <t>PO-2021-0599</t>
        </is>
      </c>
      <c r="E1796" s="12" t="n">
        <v>4.07</v>
      </c>
      <c r="F1796" s="17" t="n">
        <v>95879.49000000001</v>
      </c>
      <c r="G1796" s="14">
        <f>E1796*F1796</f>
        <v/>
      </c>
      <c r="H1796" s="14">
        <f>C1796*G1796</f>
        <v/>
      </c>
    </row>
    <row r="1797">
      <c r="A1797" s="12" t="inlineStr">
        <is>
          <t>RET-0148</t>
        </is>
      </c>
      <c r="B1797" s="12" t="inlineStr">
        <is>
          <t>VS28</t>
        </is>
      </c>
      <c r="C1797" s="28" t="n">
        <v>0.0233</v>
      </c>
      <c r="D1797" s="12" t="inlineStr">
        <is>
          <t>PO-2023-3552</t>
        </is>
      </c>
      <c r="E1797" s="12" t="n">
        <v>4.07</v>
      </c>
      <c r="F1797" s="17" t="n">
        <v>74138.09</v>
      </c>
      <c r="G1797" s="14">
        <f>E1797*F1797</f>
        <v/>
      </c>
      <c r="H1797" s="14">
        <f>C1797*G1797</f>
        <v/>
      </c>
    </row>
    <row r="1798">
      <c r="A1798" s="12" t="inlineStr">
        <is>
          <t>RET-0148</t>
        </is>
      </c>
      <c r="B1798" s="12" t="inlineStr">
        <is>
          <t>VS29</t>
        </is>
      </c>
      <c r="C1798" s="28" t="n">
        <v>0.0148</v>
      </c>
      <c r="D1798" s="12" t="inlineStr">
        <is>
          <t>PO-2021-1015</t>
        </is>
      </c>
      <c r="E1798" s="12" t="n">
        <v>4.07</v>
      </c>
      <c r="F1798" s="17" t="n">
        <v>86886.52</v>
      </c>
      <c r="G1798" s="14">
        <f>E1798*F1798</f>
        <v/>
      </c>
      <c r="H1798" s="14">
        <f>C1798*G1798</f>
        <v/>
      </c>
    </row>
    <row r="1799">
      <c r="A1799" s="12" t="inlineStr">
        <is>
          <t>RET-0148</t>
        </is>
      </c>
      <c r="B1799" s="12" t="inlineStr">
        <is>
          <t>VS30</t>
        </is>
      </c>
      <c r="C1799" s="28" t="n">
        <v>0.0064</v>
      </c>
      <c r="D1799" s="12" t="inlineStr">
        <is>
          <t>PO-2022-2781</t>
        </is>
      </c>
      <c r="E1799" s="12" t="n">
        <v>4.07</v>
      </c>
      <c r="F1799" s="17" t="n">
        <v>75199.45</v>
      </c>
      <c r="G1799" s="14">
        <f>E1799*F1799</f>
        <v/>
      </c>
      <c r="H1799" s="14">
        <f>C1799*G1799</f>
        <v/>
      </c>
    </row>
    <row r="1800">
      <c r="A1800" s="12" t="inlineStr">
        <is>
          <t>RET-0148</t>
        </is>
      </c>
      <c r="B1800" s="12" t="inlineStr">
        <is>
          <t>VS31</t>
        </is>
      </c>
      <c r="C1800" s="28" t="n">
        <v>0.0232</v>
      </c>
      <c r="D1800" s="12" t="inlineStr">
        <is>
          <t>PO-2021-0601</t>
        </is>
      </c>
      <c r="E1800" s="12" t="n">
        <v>4.07</v>
      </c>
      <c r="F1800" s="17" t="n">
        <v>75846.32000000001</v>
      </c>
      <c r="G1800" s="14">
        <f>E1800*F1800</f>
        <v/>
      </c>
      <c r="H1800" s="14">
        <f>C1800*G1800</f>
        <v/>
      </c>
    </row>
    <row r="1801">
      <c r="A1801" s="12" t="inlineStr">
        <is>
          <t>RET-0148</t>
        </is>
      </c>
      <c r="B1801" s="12" t="inlineStr">
        <is>
          <t>VS32</t>
        </is>
      </c>
      <c r="C1801" s="28" t="n">
        <v>0.0276</v>
      </c>
      <c r="D1801" s="12" t="inlineStr">
        <is>
          <t>PO-2022-2724</t>
        </is>
      </c>
      <c r="E1801" s="12" t="n">
        <v>4.07</v>
      </c>
      <c r="F1801" s="17" t="n">
        <v>87102.81</v>
      </c>
      <c r="G1801" s="14">
        <f>E1801*F1801</f>
        <v/>
      </c>
      <c r="H1801" s="14">
        <f>C1801*G1801</f>
        <v/>
      </c>
    </row>
    <row r="1802">
      <c r="A1802" s="12" t="inlineStr">
        <is>
          <t>RET-0148</t>
        </is>
      </c>
      <c r="B1802" s="12" t="inlineStr">
        <is>
          <t>VS33</t>
        </is>
      </c>
      <c r="C1802" s="28" t="n">
        <v>0.0147</v>
      </c>
      <c r="D1802" s="12" t="inlineStr">
        <is>
          <t>PO-2021-1340</t>
        </is>
      </c>
      <c r="E1802" s="12" t="n">
        <v>4.07</v>
      </c>
      <c r="F1802" s="17" t="n">
        <v>51105.58</v>
      </c>
      <c r="G1802" s="14">
        <f>E1802*F1802</f>
        <v/>
      </c>
      <c r="H1802" s="14">
        <f>C1802*G1802</f>
        <v/>
      </c>
    </row>
    <row r="1803">
      <c r="A1803" s="12" t="inlineStr">
        <is>
          <t>RET-0148</t>
        </is>
      </c>
      <c r="B1803" s="12" t="inlineStr">
        <is>
          <t>VS34</t>
        </is>
      </c>
      <c r="C1803" s="28" t="n">
        <v>0.0191</v>
      </c>
      <c r="D1803" s="12" t="inlineStr">
        <is>
          <t>PO-2021-1101</t>
        </is>
      </c>
      <c r="E1803" s="12" t="n">
        <v>4.07</v>
      </c>
      <c r="F1803" s="17" t="n">
        <v>60144.88</v>
      </c>
      <c r="G1803" s="14">
        <f>E1803*F1803</f>
        <v/>
      </c>
      <c r="H1803" s="14">
        <f>C1803*G1803</f>
        <v/>
      </c>
    </row>
    <row r="1804">
      <c r="A1804" s="12" t="inlineStr">
        <is>
          <t>RET-0150</t>
        </is>
      </c>
      <c r="B1804" s="12" t="inlineStr">
        <is>
          <t>VS01</t>
        </is>
      </c>
      <c r="C1804" s="28" t="n">
        <v>0.008</v>
      </c>
      <c r="D1804" s="12" t="inlineStr">
        <is>
          <t>PO-2021-0897</t>
        </is>
      </c>
      <c r="E1804" s="12" t="n">
        <v>0.5600000000000001</v>
      </c>
      <c r="F1804" s="17" t="n">
        <v>96528.92</v>
      </c>
      <c r="G1804" s="14">
        <f>E1804*F1804</f>
        <v/>
      </c>
      <c r="H1804" s="14">
        <f>C1804*G1804</f>
        <v/>
      </c>
    </row>
    <row r="1805">
      <c r="A1805" s="12" t="inlineStr">
        <is>
          <t>RET-0150</t>
        </is>
      </c>
      <c r="B1805" s="12" t="inlineStr">
        <is>
          <t>VS02</t>
        </is>
      </c>
      <c r="C1805" s="28" t="n">
        <v>0.0036</v>
      </c>
      <c r="D1805" s="12" t="inlineStr">
        <is>
          <t>PO-2023-4202</t>
        </is>
      </c>
      <c r="E1805" s="12" t="n">
        <v>0.5600000000000001</v>
      </c>
      <c r="F1805" s="17" t="n">
        <v>66577.38</v>
      </c>
      <c r="G1805" s="14">
        <f>E1805*F1805</f>
        <v/>
      </c>
      <c r="H1805" s="14">
        <f>C1805*G1805</f>
        <v/>
      </c>
    </row>
    <row r="1806">
      <c r="A1806" s="12" t="inlineStr">
        <is>
          <t>RET-0150</t>
        </is>
      </c>
      <c r="B1806" s="12" t="inlineStr">
        <is>
          <t>VS03</t>
        </is>
      </c>
      <c r="C1806" s="28" t="n">
        <v>0.2397</v>
      </c>
      <c r="D1806" s="12" t="inlineStr">
        <is>
          <t>PO-2023-3466</t>
        </is>
      </c>
      <c r="E1806" s="12" t="n">
        <v>0.5600000000000001</v>
      </c>
      <c r="F1806" s="17" t="n">
        <v>115386.93</v>
      </c>
      <c r="G1806" s="14">
        <f>E1806*F1806</f>
        <v/>
      </c>
      <c r="H1806" s="14">
        <f>C1806*G1806</f>
        <v/>
      </c>
    </row>
    <row r="1807">
      <c r="A1807" s="12" t="inlineStr">
        <is>
          <t>RET-0150</t>
        </is>
      </c>
      <c r="B1807" s="12" t="inlineStr">
        <is>
          <t>VS04</t>
        </is>
      </c>
      <c r="C1807" s="28" t="n">
        <v>0.005</v>
      </c>
      <c r="D1807" s="12" t="inlineStr">
        <is>
          <t>PO-2021-1274</t>
        </is>
      </c>
      <c r="E1807" s="12" t="n">
        <v>0.5600000000000001</v>
      </c>
      <c r="F1807" s="17" t="n">
        <v>69003.11</v>
      </c>
      <c r="G1807" s="14">
        <f>E1807*F1807</f>
        <v/>
      </c>
      <c r="H1807" s="14">
        <f>C1807*G1807</f>
        <v/>
      </c>
    </row>
    <row r="1808">
      <c r="A1808" s="12" t="inlineStr">
        <is>
          <t>RET-0150</t>
        </is>
      </c>
      <c r="B1808" s="12" t="inlineStr">
        <is>
          <t>VS05</t>
        </is>
      </c>
      <c r="C1808" s="28" t="n">
        <v>0.0065</v>
      </c>
      <c r="D1808" s="12" t="inlineStr">
        <is>
          <t>PO-2022-2543</t>
        </is>
      </c>
      <c r="E1808" s="12" t="n">
        <v>0.5600000000000001</v>
      </c>
      <c r="F1808" s="17" t="n">
        <v>79675.24000000001</v>
      </c>
      <c r="G1808" s="14">
        <f>E1808*F1808</f>
        <v/>
      </c>
      <c r="H1808" s="14">
        <f>C1808*G1808</f>
        <v/>
      </c>
    </row>
    <row r="1809">
      <c r="A1809" s="12" t="inlineStr">
        <is>
          <t>RET-0150</t>
        </is>
      </c>
      <c r="B1809" s="12" t="inlineStr">
        <is>
          <t>VS06</t>
        </is>
      </c>
      <c r="C1809" s="28" t="n">
        <v>0.0066</v>
      </c>
      <c r="D1809" s="12" t="inlineStr">
        <is>
          <t>PO-2023-4283</t>
        </is>
      </c>
      <c r="E1809" s="12" t="n">
        <v>0.5600000000000001</v>
      </c>
      <c r="F1809" s="17" t="n">
        <v>96047.57000000001</v>
      </c>
      <c r="G1809" s="14">
        <f>E1809*F1809</f>
        <v/>
      </c>
      <c r="H1809" s="14">
        <f>C1809*G1809</f>
        <v/>
      </c>
    </row>
    <row r="1810">
      <c r="A1810" s="12" t="inlineStr">
        <is>
          <t>RET-0150</t>
        </is>
      </c>
      <c r="B1810" s="12" t="inlineStr">
        <is>
          <t>VS07</t>
        </is>
      </c>
      <c r="C1810" s="28" t="n">
        <v>0.0022</v>
      </c>
      <c r="D1810" s="12" t="inlineStr">
        <is>
          <t>PO-2023-4106</t>
        </is>
      </c>
      <c r="E1810" s="12" t="n">
        <v>0.5600000000000001</v>
      </c>
      <c r="F1810" s="17" t="n">
        <v>47048.14</v>
      </c>
      <c r="G1810" s="14">
        <f>E1810*F1810</f>
        <v/>
      </c>
      <c r="H1810" s="14">
        <f>C1810*G1810</f>
        <v/>
      </c>
    </row>
    <row r="1811">
      <c r="A1811" s="12" t="inlineStr">
        <is>
          <t>RET-0150</t>
        </is>
      </c>
      <c r="B1811" s="12" t="inlineStr">
        <is>
          <t>VS08</t>
        </is>
      </c>
      <c r="C1811" s="28" t="n">
        <v>0.0066</v>
      </c>
      <c r="D1811" s="12" t="inlineStr">
        <is>
          <t>PO-2021-1046</t>
        </is>
      </c>
      <c r="E1811" s="12" t="n">
        <v>0.5600000000000001</v>
      </c>
      <c r="F1811" s="17" t="n">
        <v>91314.14999999999</v>
      </c>
      <c r="G1811" s="14">
        <f>E1811*F1811</f>
        <v/>
      </c>
      <c r="H1811" s="14">
        <f>C1811*G1811</f>
        <v/>
      </c>
    </row>
    <row r="1812">
      <c r="A1812" s="12" t="inlineStr">
        <is>
          <t>RET-0150</t>
        </is>
      </c>
      <c r="B1812" s="12" t="inlineStr">
        <is>
          <t>VS09</t>
        </is>
      </c>
      <c r="C1812" s="28" t="n">
        <v>0.0051</v>
      </c>
      <c r="D1812" s="12" t="inlineStr">
        <is>
          <t>PO-2021-1195</t>
        </is>
      </c>
      <c r="E1812" s="12" t="n">
        <v>0.5600000000000001</v>
      </c>
      <c r="F1812" s="17" t="n">
        <v>84231.89999999999</v>
      </c>
      <c r="G1812" s="14">
        <f>E1812*F1812</f>
        <v/>
      </c>
      <c r="H1812" s="14">
        <f>C1812*G1812</f>
        <v/>
      </c>
    </row>
    <row r="1813">
      <c r="A1813" s="12" t="inlineStr">
        <is>
          <t>RET-0150</t>
        </is>
      </c>
      <c r="B1813" s="12" t="inlineStr">
        <is>
          <t>VS10</t>
        </is>
      </c>
      <c r="C1813" s="28" t="n">
        <v>0.008</v>
      </c>
      <c r="D1813" s="12" t="inlineStr">
        <is>
          <t>PO-2022-2889</t>
        </is>
      </c>
      <c r="E1813" s="12" t="n">
        <v>0.5600000000000001</v>
      </c>
      <c r="F1813" s="17" t="n">
        <v>46283.62</v>
      </c>
      <c r="G1813" s="14">
        <f>E1813*F1813</f>
        <v/>
      </c>
      <c r="H1813" s="14">
        <f>C1813*G1813</f>
        <v/>
      </c>
    </row>
    <row r="1814">
      <c r="A1814" s="12" t="inlineStr">
        <is>
          <t>RET-0150</t>
        </is>
      </c>
      <c r="B1814" s="12" t="inlineStr">
        <is>
          <t>VS11</t>
        </is>
      </c>
      <c r="C1814" s="28" t="n">
        <v>0.0094</v>
      </c>
      <c r="D1814" s="12" t="inlineStr">
        <is>
          <t>PO-2021-0063</t>
        </is>
      </c>
      <c r="E1814" s="12" t="n">
        <v>0.5600000000000001</v>
      </c>
      <c r="F1814" s="17" t="n">
        <v>46925.88</v>
      </c>
      <c r="G1814" s="14">
        <f>E1814*F1814</f>
        <v/>
      </c>
      <c r="H1814" s="14">
        <f>C1814*G1814</f>
        <v/>
      </c>
    </row>
    <row r="1815">
      <c r="A1815" s="12" t="inlineStr">
        <is>
          <t>RET-0150</t>
        </is>
      </c>
      <c r="B1815" s="12" t="inlineStr">
        <is>
          <t>VS12</t>
        </is>
      </c>
      <c r="C1815" s="28" t="n">
        <v>0.3331</v>
      </c>
      <c r="D1815" s="12" t="inlineStr">
        <is>
          <t>PO-2022-2491</t>
        </is>
      </c>
      <c r="E1815" s="12" t="n">
        <v>0.5600000000000001</v>
      </c>
      <c r="F1815" s="17" t="n">
        <v>120277.26</v>
      </c>
      <c r="G1815" s="14">
        <f>E1815*F1815</f>
        <v/>
      </c>
      <c r="H1815" s="14">
        <f>C1815*G1815</f>
        <v/>
      </c>
    </row>
    <row r="1816">
      <c r="A1816" s="12" t="inlineStr">
        <is>
          <t>RET-0150</t>
        </is>
      </c>
      <c r="B1816" s="12" t="inlineStr">
        <is>
          <t>VS13</t>
        </is>
      </c>
      <c r="C1816" s="28" t="n">
        <v>0.0064</v>
      </c>
      <c r="D1816" s="12" t="inlineStr">
        <is>
          <t>PO-2023-3492</t>
        </is>
      </c>
      <c r="E1816" s="12" t="n">
        <v>0.5600000000000001</v>
      </c>
      <c r="F1816" s="17" t="n">
        <v>89298.57000000001</v>
      </c>
      <c r="G1816" s="14">
        <f>E1816*F1816</f>
        <v/>
      </c>
      <c r="H1816" s="14">
        <f>C1816*G1816</f>
        <v/>
      </c>
    </row>
    <row r="1817">
      <c r="A1817" s="12" t="inlineStr">
        <is>
          <t>RET-0150</t>
        </is>
      </c>
      <c r="B1817" s="12" t="inlineStr">
        <is>
          <t>VS14</t>
        </is>
      </c>
      <c r="C1817" s="28" t="n">
        <v>0.0065</v>
      </c>
      <c r="D1817" s="12" t="inlineStr">
        <is>
          <t>PO-2022-2291</t>
        </is>
      </c>
      <c r="E1817" s="12" t="n">
        <v>0.5600000000000001</v>
      </c>
      <c r="F1817" s="17" t="n">
        <v>72220.5</v>
      </c>
      <c r="G1817" s="14">
        <f>E1817*F1817</f>
        <v/>
      </c>
      <c r="H1817" s="14">
        <f>C1817*G1817</f>
        <v/>
      </c>
    </row>
    <row r="1818">
      <c r="A1818" s="12" t="inlineStr">
        <is>
          <t>RET-0150</t>
        </is>
      </c>
      <c r="B1818" s="12" t="inlineStr">
        <is>
          <t>VS15</t>
        </is>
      </c>
      <c r="C1818" s="28" t="n">
        <v>0.0022</v>
      </c>
      <c r="D1818" s="12" t="inlineStr">
        <is>
          <t>PO-2022-2900</t>
        </is>
      </c>
      <c r="E1818" s="12" t="n">
        <v>0.5600000000000001</v>
      </c>
      <c r="F1818" s="17" t="n">
        <v>49398.58</v>
      </c>
      <c r="G1818" s="14">
        <f>E1818*F1818</f>
        <v/>
      </c>
      <c r="H1818" s="14">
        <f>C1818*G1818</f>
        <v/>
      </c>
    </row>
    <row r="1819">
      <c r="A1819" s="12" t="inlineStr">
        <is>
          <t>RET-0150</t>
        </is>
      </c>
      <c r="B1819" s="12" t="inlineStr">
        <is>
          <t>VS16</t>
        </is>
      </c>
      <c r="C1819" s="28" t="n">
        <v>0.0094</v>
      </c>
      <c r="D1819" s="12" t="inlineStr">
        <is>
          <t>PO-2021-0473</t>
        </is>
      </c>
      <c r="E1819" s="12" t="n">
        <v>0.5600000000000001</v>
      </c>
      <c r="F1819" s="17" t="n">
        <v>68625.67</v>
      </c>
      <c r="G1819" s="14">
        <f>E1819*F1819</f>
        <v/>
      </c>
      <c r="H1819" s="14">
        <f>C1819*G1819</f>
        <v/>
      </c>
    </row>
    <row r="1820">
      <c r="A1820" s="12" t="inlineStr">
        <is>
          <t>RET-0150</t>
        </is>
      </c>
      <c r="B1820" s="12" t="inlineStr">
        <is>
          <t>VS17</t>
        </is>
      </c>
      <c r="C1820" s="28" t="n">
        <v>0.0094</v>
      </c>
      <c r="D1820" s="12" t="inlineStr">
        <is>
          <t>PO-2023-4479</t>
        </is>
      </c>
      <c r="E1820" s="12" t="n">
        <v>0.5600000000000001</v>
      </c>
      <c r="F1820" s="17" t="n">
        <v>115105.51</v>
      </c>
      <c r="G1820" s="14">
        <f>E1820*F1820</f>
        <v/>
      </c>
      <c r="H1820" s="14">
        <f>C1820*G1820</f>
        <v/>
      </c>
    </row>
    <row r="1821">
      <c r="A1821" s="12" t="inlineStr">
        <is>
          <t>RET-0150</t>
        </is>
      </c>
      <c r="B1821" s="12" t="inlineStr">
        <is>
          <t>VS18</t>
        </is>
      </c>
      <c r="C1821" s="28" t="n">
        <v>0.0065</v>
      </c>
      <c r="D1821" s="12" t="inlineStr">
        <is>
          <t>PO-2023-4723</t>
        </is>
      </c>
      <c r="E1821" s="12" t="n">
        <v>0.5600000000000001</v>
      </c>
      <c r="F1821" s="17" t="n">
        <v>68011.42</v>
      </c>
      <c r="G1821" s="14">
        <f>E1821*F1821</f>
        <v/>
      </c>
      <c r="H1821" s="14">
        <f>C1821*G1821</f>
        <v/>
      </c>
    </row>
    <row r="1822">
      <c r="A1822" s="12" t="inlineStr">
        <is>
          <t>RET-0150</t>
        </is>
      </c>
      <c r="B1822" s="12" t="inlineStr">
        <is>
          <t>VS19</t>
        </is>
      </c>
      <c r="C1822" s="28" t="n">
        <v>0.2513</v>
      </c>
      <c r="D1822" s="12" t="inlineStr">
        <is>
          <t>PO-2022-2002</t>
        </is>
      </c>
      <c r="E1822" s="12" t="n">
        <v>0.5600000000000001</v>
      </c>
      <c r="F1822" s="17" t="n">
        <v>110859.45</v>
      </c>
      <c r="G1822" s="14">
        <f>E1822*F1822</f>
        <v/>
      </c>
      <c r="H1822" s="14">
        <f>C1822*G1822</f>
        <v/>
      </c>
    </row>
    <row r="1823">
      <c r="A1823" s="12" t="inlineStr">
        <is>
          <t>RET-0150</t>
        </is>
      </c>
      <c r="B1823" s="12" t="inlineStr">
        <is>
          <t>VS20</t>
        </is>
      </c>
      <c r="C1823" s="28" t="n">
        <v>0.0036</v>
      </c>
      <c r="D1823" s="12" t="inlineStr">
        <is>
          <t>PO-2022-2233</t>
        </is>
      </c>
      <c r="E1823" s="12" t="n">
        <v>0.5600000000000001</v>
      </c>
      <c r="F1823" s="17" t="n">
        <v>96227.39999999999</v>
      </c>
      <c r="G1823" s="14">
        <f>E1823*F1823</f>
        <v/>
      </c>
      <c r="H1823" s="14">
        <f>C1823*G1823</f>
        <v/>
      </c>
    </row>
    <row r="1824">
      <c r="A1824" s="12" t="inlineStr">
        <is>
          <t>RET-0150</t>
        </is>
      </c>
      <c r="B1824" s="12" t="inlineStr">
        <is>
          <t>VS21</t>
        </is>
      </c>
      <c r="C1824" s="28" t="n">
        <v>0.0036</v>
      </c>
      <c r="D1824" s="12" t="inlineStr">
        <is>
          <t>PO-2022-2819</t>
        </is>
      </c>
      <c r="E1824" s="12" t="n">
        <v>0.5600000000000001</v>
      </c>
      <c r="F1824" s="17" t="n">
        <v>69507.59</v>
      </c>
      <c r="G1824" s="14">
        <f>E1824*F1824</f>
        <v/>
      </c>
      <c r="H1824" s="14">
        <f>C1824*G1824</f>
        <v/>
      </c>
    </row>
    <row r="1825">
      <c r="A1825" s="12" t="inlineStr">
        <is>
          <t>RET-0150</t>
        </is>
      </c>
      <c r="B1825" s="12" t="inlineStr">
        <is>
          <t>VS22</t>
        </is>
      </c>
      <c r="C1825" s="28" t="n">
        <v>0.0022</v>
      </c>
      <c r="D1825" s="12" t="inlineStr">
        <is>
          <t>PO-2022-3100</t>
        </is>
      </c>
      <c r="E1825" s="12" t="n">
        <v>0.5600000000000001</v>
      </c>
      <c r="F1825" s="17" t="n">
        <v>78388.89</v>
      </c>
      <c r="G1825" s="14">
        <f>E1825*F1825</f>
        <v/>
      </c>
      <c r="H1825" s="14">
        <f>C1825*G1825</f>
        <v/>
      </c>
    </row>
    <row r="1826">
      <c r="A1826" s="12" t="inlineStr">
        <is>
          <t>RET-0150</t>
        </is>
      </c>
      <c r="B1826" s="12" t="inlineStr">
        <is>
          <t>VS23</t>
        </is>
      </c>
      <c r="C1826" s="28" t="n">
        <v>0.0036</v>
      </c>
      <c r="D1826" s="12" t="inlineStr">
        <is>
          <t>PO-2021-0761</t>
        </is>
      </c>
      <c r="E1826" s="12" t="n">
        <v>0.5600000000000001</v>
      </c>
      <c r="F1826" s="17" t="n">
        <v>45623.78</v>
      </c>
      <c r="G1826" s="14">
        <f>E1826*F1826</f>
        <v/>
      </c>
      <c r="H1826" s="14">
        <f>C1826*G1826</f>
        <v/>
      </c>
    </row>
    <row r="1827">
      <c r="A1827" s="12" t="inlineStr">
        <is>
          <t>RET-0150</t>
        </is>
      </c>
      <c r="B1827" s="12" t="inlineStr">
        <is>
          <t>VS24</t>
        </is>
      </c>
      <c r="C1827" s="28" t="n">
        <v>0.0036</v>
      </c>
      <c r="D1827" s="12" t="inlineStr">
        <is>
          <t>PO-2023-3773</t>
        </is>
      </c>
      <c r="E1827" s="12" t="n">
        <v>0.5600000000000001</v>
      </c>
      <c r="F1827" s="17" t="n">
        <v>51534.59</v>
      </c>
      <c r="G1827" s="14">
        <f>E1827*F1827</f>
        <v/>
      </c>
      <c r="H1827" s="14">
        <f>C1827*G1827</f>
        <v/>
      </c>
    </row>
    <row r="1828">
      <c r="A1828" s="12" t="inlineStr">
        <is>
          <t>RET-0150</t>
        </is>
      </c>
      <c r="B1828" s="12" t="inlineStr">
        <is>
          <t>VS25</t>
        </is>
      </c>
      <c r="C1828" s="28" t="n">
        <v>0.0065</v>
      </c>
      <c r="D1828" s="12" t="inlineStr">
        <is>
          <t>PO-2021-1089</t>
        </is>
      </c>
      <c r="E1828" s="12" t="n">
        <v>0.5600000000000001</v>
      </c>
      <c r="F1828" s="17" t="n">
        <v>100213.08</v>
      </c>
      <c r="G1828" s="14">
        <f>E1828*F1828</f>
        <v/>
      </c>
      <c r="H1828" s="14">
        <f>C1828*G1828</f>
        <v/>
      </c>
    </row>
    <row r="1829">
      <c r="A1829" s="12" t="inlineStr">
        <is>
          <t>RET-0150</t>
        </is>
      </c>
      <c r="B1829" s="12" t="inlineStr">
        <is>
          <t>VS26</t>
        </is>
      </c>
      <c r="C1829" s="28" t="n">
        <v>0.0036</v>
      </c>
      <c r="D1829" s="12" t="inlineStr">
        <is>
          <t>PO-2023-4068</t>
        </is>
      </c>
      <c r="E1829" s="12" t="n">
        <v>0.5600000000000001</v>
      </c>
      <c r="F1829" s="17" t="n">
        <v>119769.05</v>
      </c>
      <c r="G1829" s="14">
        <f>E1829*F1829</f>
        <v/>
      </c>
      <c r="H1829" s="14">
        <f>C1829*G1829</f>
        <v/>
      </c>
    </row>
    <row r="1830">
      <c r="A1830" s="12" t="inlineStr">
        <is>
          <t>RET-0150</t>
        </is>
      </c>
      <c r="B1830" s="12" t="inlineStr">
        <is>
          <t>VS27</t>
        </is>
      </c>
      <c r="C1830" s="28" t="n">
        <v>0.0036</v>
      </c>
      <c r="D1830" s="12" t="inlineStr">
        <is>
          <t>PO-2021-1567</t>
        </is>
      </c>
      <c r="E1830" s="12" t="n">
        <v>0.5600000000000001</v>
      </c>
      <c r="F1830" s="17" t="n">
        <v>49294.76</v>
      </c>
      <c r="G1830" s="14">
        <f>E1830*F1830</f>
        <v/>
      </c>
      <c r="H1830" s="14">
        <f>C1830*G1830</f>
        <v/>
      </c>
    </row>
    <row r="1831">
      <c r="A1831" s="12" t="inlineStr">
        <is>
          <t>RET-0150</t>
        </is>
      </c>
      <c r="B1831" s="12" t="inlineStr">
        <is>
          <t>VS28</t>
        </is>
      </c>
      <c r="C1831" s="28" t="n">
        <v>0.008</v>
      </c>
      <c r="D1831" s="12" t="inlineStr">
        <is>
          <t>PO-2022-2277</t>
        </is>
      </c>
      <c r="E1831" s="12" t="n">
        <v>0.5600000000000001</v>
      </c>
      <c r="F1831" s="17" t="n">
        <v>79494.91</v>
      </c>
      <c r="G1831" s="14">
        <f>E1831*F1831</f>
        <v/>
      </c>
      <c r="H1831" s="14">
        <f>C1831*G1831</f>
        <v/>
      </c>
    </row>
    <row r="1832">
      <c r="A1832" s="12" t="inlineStr">
        <is>
          <t>RET-0150</t>
        </is>
      </c>
      <c r="B1832" s="12" t="inlineStr">
        <is>
          <t>VS29</t>
        </is>
      </c>
      <c r="C1832" s="28" t="n">
        <v>0.0051</v>
      </c>
      <c r="D1832" s="12" t="inlineStr">
        <is>
          <t>PO-2021-1246</t>
        </is>
      </c>
      <c r="E1832" s="12" t="n">
        <v>0.5600000000000001</v>
      </c>
      <c r="F1832" s="17" t="n">
        <v>45391</v>
      </c>
      <c r="G1832" s="14">
        <f>E1832*F1832</f>
        <v/>
      </c>
      <c r="H1832" s="14">
        <f>C1832*G1832</f>
        <v/>
      </c>
    </row>
    <row r="1833">
      <c r="A1833" s="12" t="inlineStr">
        <is>
          <t>RET-0150</t>
        </is>
      </c>
      <c r="B1833" s="12" t="inlineStr">
        <is>
          <t>VS30</t>
        </is>
      </c>
      <c r="C1833" s="28" t="n">
        <v>0.0022</v>
      </c>
      <c r="D1833" s="12" t="inlineStr">
        <is>
          <t>PO-2021-0309</t>
        </is>
      </c>
      <c r="E1833" s="12" t="n">
        <v>0.5600000000000001</v>
      </c>
      <c r="F1833" s="17" t="n">
        <v>96455.52</v>
      </c>
      <c r="G1833" s="14">
        <f>E1833*F1833</f>
        <v/>
      </c>
      <c r="H1833" s="14">
        <f>C1833*G1833</f>
        <v/>
      </c>
    </row>
    <row r="1834">
      <c r="A1834" s="12" t="inlineStr">
        <is>
          <t>RET-0150</t>
        </is>
      </c>
      <c r="B1834" s="12" t="inlineStr">
        <is>
          <t>VS31</t>
        </is>
      </c>
      <c r="C1834" s="28" t="n">
        <v>0.008</v>
      </c>
      <c r="D1834" s="12" t="inlineStr">
        <is>
          <t>PO-2022-3161</t>
        </is>
      </c>
      <c r="E1834" s="12" t="n">
        <v>0.5600000000000001</v>
      </c>
      <c r="F1834" s="17" t="n">
        <v>90608.88</v>
      </c>
      <c r="G1834" s="14">
        <f>E1834*F1834</f>
        <v/>
      </c>
      <c r="H1834" s="14">
        <f>C1834*G1834</f>
        <v/>
      </c>
    </row>
    <row r="1835">
      <c r="A1835" s="12" t="inlineStr">
        <is>
          <t>RET-0150</t>
        </is>
      </c>
      <c r="B1835" s="12" t="inlineStr">
        <is>
          <t>VS32</t>
        </is>
      </c>
      <c r="C1835" s="28" t="n">
        <v>0.0095</v>
      </c>
      <c r="D1835" s="12" t="inlineStr">
        <is>
          <t>PO-2022-3060</t>
        </is>
      </c>
      <c r="E1835" s="12" t="n">
        <v>0.5600000000000001</v>
      </c>
      <c r="F1835" s="17" t="n">
        <v>58865.87</v>
      </c>
      <c r="G1835" s="14">
        <f>E1835*F1835</f>
        <v/>
      </c>
      <c r="H1835" s="14">
        <f>C1835*G1835</f>
        <v/>
      </c>
    </row>
    <row r="1836">
      <c r="A1836" s="12" t="inlineStr">
        <is>
          <t>RET-0150</t>
        </is>
      </c>
      <c r="B1836" s="12" t="inlineStr">
        <is>
          <t>VS33</t>
        </is>
      </c>
      <c r="C1836" s="28" t="n">
        <v>0.005</v>
      </c>
      <c r="D1836" s="12" t="inlineStr">
        <is>
          <t>PO-2021-1489</t>
        </is>
      </c>
      <c r="E1836" s="12" t="n">
        <v>0.5600000000000001</v>
      </c>
      <c r="F1836" s="17" t="n">
        <v>85832.03999999999</v>
      </c>
      <c r="G1836" s="14">
        <f>E1836*F1836</f>
        <v/>
      </c>
      <c r="H1836" s="14">
        <f>C1836*G1836</f>
        <v/>
      </c>
    </row>
    <row r="1837">
      <c r="A1837" s="12" t="inlineStr">
        <is>
          <t>RET-0150</t>
        </is>
      </c>
      <c r="B1837" s="12" t="inlineStr">
        <is>
          <t>VS34</t>
        </is>
      </c>
      <c r="C1837" s="28" t="n">
        <v>0.0065</v>
      </c>
      <c r="D1837" s="12" t="inlineStr">
        <is>
          <t>PO-2022-2076</t>
        </is>
      </c>
      <c r="E1837" s="12" t="n">
        <v>0.5600000000000001</v>
      </c>
      <c r="F1837" s="17" t="n">
        <v>62068.97</v>
      </c>
      <c r="G1837" s="14">
        <f>E1837*F1837</f>
        <v/>
      </c>
      <c r="H1837" s="14">
        <f>C1837*G1837</f>
        <v/>
      </c>
    </row>
    <row r="1838">
      <c r="A1838" s="12" t="inlineStr">
        <is>
          <t>RET-0151</t>
        </is>
      </c>
      <c r="B1838" s="12" t="inlineStr">
        <is>
          <t>VS01</t>
        </is>
      </c>
      <c r="C1838" s="28" t="n">
        <v>0.0105</v>
      </c>
      <c r="D1838" s="12" t="inlineStr">
        <is>
          <t>PO-2021-0067</t>
        </is>
      </c>
      <c r="E1838" s="12" t="n">
        <v>0.34</v>
      </c>
      <c r="F1838" s="17" t="n">
        <v>52915.42</v>
      </c>
      <c r="G1838" s="14">
        <f>E1838*F1838</f>
        <v/>
      </c>
      <c r="H1838" s="14">
        <f>C1838*G1838</f>
        <v/>
      </c>
    </row>
    <row r="1839">
      <c r="A1839" s="12" t="inlineStr">
        <is>
          <t>RET-0151</t>
        </is>
      </c>
      <c r="B1839" s="12" t="inlineStr">
        <is>
          <t>VS02</t>
        </is>
      </c>
      <c r="C1839" s="28" t="n">
        <v>0.0048</v>
      </c>
      <c r="D1839" s="12" t="inlineStr">
        <is>
          <t>PO-2022-2110</t>
        </is>
      </c>
      <c r="E1839" s="12" t="n">
        <v>0.34</v>
      </c>
      <c r="F1839" s="17" t="n">
        <v>116984.12</v>
      </c>
      <c r="G1839" s="14">
        <f>E1839*F1839</f>
        <v/>
      </c>
      <c r="H1839" s="14">
        <f>C1839*G1839</f>
        <v/>
      </c>
    </row>
    <row r="1840">
      <c r="A1840" s="12" t="inlineStr">
        <is>
          <t>RET-0151</t>
        </is>
      </c>
      <c r="B1840" s="12" t="inlineStr">
        <is>
          <t>VS03</t>
        </is>
      </c>
      <c r="C1840" s="28" t="n">
        <v>0.2239</v>
      </c>
      <c r="D1840" s="12" t="inlineStr">
        <is>
          <t>PO-2023-3486</t>
        </is>
      </c>
      <c r="E1840" s="12" t="n">
        <v>0.34</v>
      </c>
      <c r="F1840" s="17" t="n">
        <v>67089.96000000001</v>
      </c>
      <c r="G1840" s="14">
        <f>E1840*F1840</f>
        <v/>
      </c>
      <c r="H1840" s="14">
        <f>C1840*G1840</f>
        <v/>
      </c>
    </row>
    <row r="1841">
      <c r="A1841" s="12" t="inlineStr">
        <is>
          <t>RET-0151</t>
        </is>
      </c>
      <c r="B1841" s="12" t="inlineStr">
        <is>
          <t>VS04</t>
        </is>
      </c>
      <c r="C1841" s="28" t="n">
        <v>0.0066</v>
      </c>
      <c r="D1841" s="12" t="inlineStr">
        <is>
          <t>PO-2022-2738</t>
        </is>
      </c>
      <c r="E1841" s="12" t="n">
        <v>0.34</v>
      </c>
      <c r="F1841" s="17" t="n">
        <v>46722.05</v>
      </c>
      <c r="G1841" s="14">
        <f>E1841*F1841</f>
        <v/>
      </c>
      <c r="H1841" s="14">
        <f>C1841*G1841</f>
        <v/>
      </c>
    </row>
    <row r="1842">
      <c r="A1842" s="12" t="inlineStr">
        <is>
          <t>RET-0151</t>
        </is>
      </c>
      <c r="B1842" s="12" t="inlineStr">
        <is>
          <t>VS05</t>
        </is>
      </c>
      <c r="C1842" s="28" t="n">
        <v>0.008500000000000001</v>
      </c>
      <c r="D1842" s="12" t="inlineStr">
        <is>
          <t>PO-2022-1849</t>
        </is>
      </c>
      <c r="E1842" s="12" t="n">
        <v>0.34</v>
      </c>
      <c r="F1842" s="17" t="n">
        <v>55730.96</v>
      </c>
      <c r="G1842" s="14">
        <f>E1842*F1842</f>
        <v/>
      </c>
      <c r="H1842" s="14">
        <f>C1842*G1842</f>
        <v/>
      </c>
    </row>
    <row r="1843">
      <c r="A1843" s="12" t="inlineStr">
        <is>
          <t>RET-0151</t>
        </is>
      </c>
      <c r="B1843" s="12" t="inlineStr">
        <is>
          <t>VS06</t>
        </is>
      </c>
      <c r="C1843" s="28" t="n">
        <v>0.0086</v>
      </c>
      <c r="D1843" s="12" t="inlineStr">
        <is>
          <t>PO-2021-1191</t>
        </is>
      </c>
      <c r="E1843" s="12" t="n">
        <v>0.34</v>
      </c>
      <c r="F1843" s="17" t="n">
        <v>91040.08</v>
      </c>
      <c r="G1843" s="14">
        <f>E1843*F1843</f>
        <v/>
      </c>
      <c r="H1843" s="14">
        <f>C1843*G1843</f>
        <v/>
      </c>
    </row>
    <row r="1844">
      <c r="A1844" s="12" t="inlineStr">
        <is>
          <t>RET-0151</t>
        </is>
      </c>
      <c r="B1844" s="12" t="inlineStr">
        <is>
          <t>VS07</t>
        </is>
      </c>
      <c r="C1844" s="28" t="n">
        <v>0.0029</v>
      </c>
      <c r="D1844" s="12" t="inlineStr">
        <is>
          <t>PO-2023-4509</t>
        </is>
      </c>
      <c r="E1844" s="12" t="n">
        <v>0.34</v>
      </c>
      <c r="F1844" s="17" t="n">
        <v>90660.17999999999</v>
      </c>
      <c r="G1844" s="14">
        <f>E1844*F1844</f>
        <v/>
      </c>
      <c r="H1844" s="14">
        <f>C1844*G1844</f>
        <v/>
      </c>
    </row>
    <row r="1845">
      <c r="A1845" s="12" t="inlineStr">
        <is>
          <t>RET-0151</t>
        </is>
      </c>
      <c r="B1845" s="12" t="inlineStr">
        <is>
          <t>VS08</t>
        </is>
      </c>
      <c r="C1845" s="28" t="n">
        <v>0.008699999999999999</v>
      </c>
      <c r="D1845" s="12" t="inlineStr">
        <is>
          <t>PO-2021-0535</t>
        </is>
      </c>
      <c r="E1845" s="12" t="n">
        <v>0.34</v>
      </c>
      <c r="F1845" s="17" t="n">
        <v>87494.53999999999</v>
      </c>
      <c r="G1845" s="14">
        <f>E1845*F1845</f>
        <v/>
      </c>
      <c r="H1845" s="14">
        <f>C1845*G1845</f>
        <v/>
      </c>
    </row>
    <row r="1846">
      <c r="A1846" s="12" t="inlineStr">
        <is>
          <t>RET-0151</t>
        </is>
      </c>
      <c r="B1846" s="12" t="inlineStr">
        <is>
          <t>VS09</t>
        </is>
      </c>
      <c r="C1846" s="28" t="n">
        <v>0.0066</v>
      </c>
      <c r="D1846" s="12" t="inlineStr">
        <is>
          <t>PO-2022-1814</t>
        </is>
      </c>
      <c r="E1846" s="12" t="n">
        <v>0.34</v>
      </c>
      <c r="F1846" s="17" t="n">
        <v>86215.87</v>
      </c>
      <c r="G1846" s="14">
        <f>E1846*F1846</f>
        <v/>
      </c>
      <c r="H1846" s="14">
        <f>C1846*G1846</f>
        <v/>
      </c>
    </row>
    <row r="1847">
      <c r="A1847" s="12" t="inlineStr">
        <is>
          <t>RET-0151</t>
        </is>
      </c>
      <c r="B1847" s="12" t="inlineStr">
        <is>
          <t>VS10</t>
        </is>
      </c>
      <c r="C1847" s="28" t="n">
        <v>0.0104</v>
      </c>
      <c r="D1847" s="12" t="inlineStr">
        <is>
          <t>PO-2022-3089</t>
        </is>
      </c>
      <c r="E1847" s="12" t="n">
        <v>0.34</v>
      </c>
      <c r="F1847" s="17" t="n">
        <v>75422.37</v>
      </c>
      <c r="G1847" s="14">
        <f>E1847*F1847</f>
        <v/>
      </c>
      <c r="H1847" s="14">
        <f>C1847*G1847</f>
        <v/>
      </c>
    </row>
    <row r="1848">
      <c r="A1848" s="12" t="inlineStr">
        <is>
          <t>RET-0151</t>
        </is>
      </c>
      <c r="B1848" s="12" t="inlineStr">
        <is>
          <t>VS11</t>
        </is>
      </c>
      <c r="C1848" s="28" t="n">
        <v>0.0122</v>
      </c>
      <c r="D1848" s="12" t="inlineStr">
        <is>
          <t>PO-2021-0512</t>
        </is>
      </c>
      <c r="E1848" s="12" t="n">
        <v>0.34</v>
      </c>
      <c r="F1848" s="17" t="n">
        <v>73403.44</v>
      </c>
      <c r="G1848" s="14">
        <f>E1848*F1848</f>
        <v/>
      </c>
      <c r="H1848" s="14">
        <f>C1848*G1848</f>
        <v/>
      </c>
    </row>
    <row r="1849">
      <c r="A1849" s="12" t="inlineStr">
        <is>
          <t>RET-0151</t>
        </is>
      </c>
      <c r="B1849" s="12" t="inlineStr">
        <is>
          <t>VS12</t>
        </is>
      </c>
      <c r="C1849" s="28" t="n">
        <v>0.3112</v>
      </c>
      <c r="D1849" s="12" t="inlineStr">
        <is>
          <t>PO-2022-1830</t>
        </is>
      </c>
      <c r="E1849" s="12" t="n">
        <v>0.34</v>
      </c>
      <c r="F1849" s="17" t="n">
        <v>98311.39</v>
      </c>
      <c r="G1849" s="14">
        <f>E1849*F1849</f>
        <v/>
      </c>
      <c r="H1849" s="14">
        <f>C1849*G1849</f>
        <v/>
      </c>
    </row>
    <row r="1850">
      <c r="A1850" s="12" t="inlineStr">
        <is>
          <t>RET-0151</t>
        </is>
      </c>
      <c r="B1850" s="12" t="inlineStr">
        <is>
          <t>VS13</t>
        </is>
      </c>
      <c r="C1850" s="28" t="n">
        <v>0.008399999999999999</v>
      </c>
      <c r="D1850" s="12" t="inlineStr">
        <is>
          <t>PO-2022-2521</t>
        </is>
      </c>
      <c r="E1850" s="12" t="n">
        <v>0.34</v>
      </c>
      <c r="F1850" s="17" t="n">
        <v>76319.17999999999</v>
      </c>
      <c r="G1850" s="14">
        <f>E1850*F1850</f>
        <v/>
      </c>
      <c r="H1850" s="14">
        <f>C1850*G1850</f>
        <v/>
      </c>
    </row>
    <row r="1851">
      <c r="A1851" s="12" t="inlineStr">
        <is>
          <t>RET-0151</t>
        </is>
      </c>
      <c r="B1851" s="12" t="inlineStr">
        <is>
          <t>VS14</t>
        </is>
      </c>
      <c r="C1851" s="28" t="n">
        <v>0.008500000000000001</v>
      </c>
      <c r="D1851" s="12" t="inlineStr">
        <is>
          <t>PO-2023-3929</t>
        </is>
      </c>
      <c r="E1851" s="12" t="n">
        <v>0.34</v>
      </c>
      <c r="F1851" s="17" t="n">
        <v>111388.1</v>
      </c>
      <c r="G1851" s="14">
        <f>E1851*F1851</f>
        <v/>
      </c>
      <c r="H1851" s="14">
        <f>C1851*G1851</f>
        <v/>
      </c>
    </row>
    <row r="1852">
      <c r="A1852" s="12" t="inlineStr">
        <is>
          <t>RET-0151</t>
        </is>
      </c>
      <c r="B1852" s="12" t="inlineStr">
        <is>
          <t>VS15</t>
        </is>
      </c>
      <c r="C1852" s="28" t="n">
        <v>0.0028</v>
      </c>
      <c r="D1852" s="12" t="inlineStr">
        <is>
          <t>PO-2023-4472</t>
        </is>
      </c>
      <c r="E1852" s="12" t="n">
        <v>0.34</v>
      </c>
      <c r="F1852" s="17" t="n">
        <v>62816.93</v>
      </c>
      <c r="G1852" s="14">
        <f>E1852*F1852</f>
        <v/>
      </c>
      <c r="H1852" s="14">
        <f>C1852*G1852</f>
        <v/>
      </c>
    </row>
    <row r="1853">
      <c r="A1853" s="12" t="inlineStr">
        <is>
          <t>RET-0151</t>
        </is>
      </c>
      <c r="B1853" s="12" t="inlineStr">
        <is>
          <t>VS16</t>
        </is>
      </c>
      <c r="C1853" s="28" t="n">
        <v>0.0123</v>
      </c>
      <c r="D1853" s="12" t="inlineStr">
        <is>
          <t>PO-2023-4374</t>
        </is>
      </c>
      <c r="E1853" s="12" t="n">
        <v>0.34</v>
      </c>
      <c r="F1853" s="17" t="n">
        <v>112953.9</v>
      </c>
      <c r="G1853" s="14">
        <f>E1853*F1853</f>
        <v/>
      </c>
      <c r="H1853" s="14">
        <f>C1853*G1853</f>
        <v/>
      </c>
    </row>
    <row r="1854">
      <c r="A1854" s="12" t="inlineStr">
        <is>
          <t>RET-0151</t>
        </is>
      </c>
      <c r="B1854" s="12" t="inlineStr">
        <is>
          <t>VS17</t>
        </is>
      </c>
      <c r="C1854" s="28" t="n">
        <v>0.0122</v>
      </c>
      <c r="D1854" s="12" t="inlineStr">
        <is>
          <t>PO-2023-3771</t>
        </is>
      </c>
      <c r="E1854" s="12" t="n">
        <v>0.34</v>
      </c>
      <c r="F1854" s="17" t="n">
        <v>54853.02</v>
      </c>
      <c r="G1854" s="14">
        <f>E1854*F1854</f>
        <v/>
      </c>
      <c r="H1854" s="14">
        <f>C1854*G1854</f>
        <v/>
      </c>
    </row>
    <row r="1855">
      <c r="A1855" s="12" t="inlineStr">
        <is>
          <t>RET-0151</t>
        </is>
      </c>
      <c r="B1855" s="12" t="inlineStr">
        <is>
          <t>VS18</t>
        </is>
      </c>
      <c r="C1855" s="28" t="n">
        <v>0.008500000000000001</v>
      </c>
      <c r="D1855" s="12" t="inlineStr">
        <is>
          <t>PO-2023-4318</t>
        </is>
      </c>
      <c r="E1855" s="12" t="n">
        <v>0.34</v>
      </c>
      <c r="F1855" s="17" t="n">
        <v>81365.81</v>
      </c>
      <c r="G1855" s="14">
        <f>E1855*F1855</f>
        <v/>
      </c>
      <c r="H1855" s="14">
        <f>C1855*G1855</f>
        <v/>
      </c>
    </row>
    <row r="1856">
      <c r="A1856" s="12" t="inlineStr">
        <is>
          <t>RET-0151</t>
        </is>
      </c>
      <c r="B1856" s="12" t="inlineStr">
        <is>
          <t>VS19</t>
        </is>
      </c>
      <c r="C1856" s="28" t="n">
        <v>0.2348</v>
      </c>
      <c r="D1856" s="12" t="inlineStr">
        <is>
          <t>PO-2021-0627</t>
        </is>
      </c>
      <c r="E1856" s="12" t="n">
        <v>0.34</v>
      </c>
      <c r="F1856" s="17" t="n">
        <v>87572.94</v>
      </c>
      <c r="G1856" s="14">
        <f>E1856*F1856</f>
        <v/>
      </c>
      <c r="H1856" s="14">
        <f>C1856*G1856</f>
        <v/>
      </c>
    </row>
    <row r="1857">
      <c r="A1857" s="12" t="inlineStr">
        <is>
          <t>RET-0151</t>
        </is>
      </c>
      <c r="B1857" s="12" t="inlineStr">
        <is>
          <t>VS20</t>
        </is>
      </c>
      <c r="C1857" s="28" t="n">
        <v>0.0048</v>
      </c>
      <c r="D1857" s="12" t="inlineStr">
        <is>
          <t>PO-2021-0451</t>
        </is>
      </c>
      <c r="E1857" s="12" t="n">
        <v>0.34</v>
      </c>
      <c r="F1857" s="17" t="n">
        <v>108485.11</v>
      </c>
      <c r="G1857" s="14">
        <f>E1857*F1857</f>
        <v/>
      </c>
      <c r="H1857" s="14">
        <f>C1857*G1857</f>
        <v/>
      </c>
    </row>
    <row r="1858">
      <c r="A1858" s="12" t="inlineStr">
        <is>
          <t>RET-0151</t>
        </is>
      </c>
      <c r="B1858" s="12" t="inlineStr">
        <is>
          <t>VS21</t>
        </is>
      </c>
      <c r="C1858" s="28" t="n">
        <v>0.0047</v>
      </c>
      <c r="D1858" s="12" t="inlineStr">
        <is>
          <t>PO-2023-3203</t>
        </is>
      </c>
      <c r="E1858" s="12" t="n">
        <v>0.34</v>
      </c>
      <c r="F1858" s="17" t="n">
        <v>80102.28999999999</v>
      </c>
      <c r="G1858" s="14">
        <f>E1858*F1858</f>
        <v/>
      </c>
      <c r="H1858" s="14">
        <f>C1858*G1858</f>
        <v/>
      </c>
    </row>
    <row r="1859">
      <c r="A1859" s="12" t="inlineStr">
        <is>
          <t>RET-0151</t>
        </is>
      </c>
      <c r="B1859" s="12" t="inlineStr">
        <is>
          <t>VS22</t>
        </is>
      </c>
      <c r="C1859" s="28" t="n">
        <v>0.0028</v>
      </c>
      <c r="D1859" s="12" t="inlineStr">
        <is>
          <t>PO-2022-2587</t>
        </is>
      </c>
      <c r="E1859" s="12" t="n">
        <v>0.34</v>
      </c>
      <c r="F1859" s="17" t="n">
        <v>45557.84</v>
      </c>
      <c r="G1859" s="14">
        <f>E1859*F1859</f>
        <v/>
      </c>
      <c r="H1859" s="14">
        <f>C1859*G1859</f>
        <v/>
      </c>
    </row>
    <row r="1860">
      <c r="A1860" s="12" t="inlineStr">
        <is>
          <t>RET-0151</t>
        </is>
      </c>
      <c r="B1860" s="12" t="inlineStr">
        <is>
          <t>VS23</t>
        </is>
      </c>
      <c r="C1860" s="28" t="n">
        <v>0.0047</v>
      </c>
      <c r="D1860" s="12" t="inlineStr">
        <is>
          <t>PO-2023-4050</t>
        </is>
      </c>
      <c r="E1860" s="12" t="n">
        <v>0.34</v>
      </c>
      <c r="F1860" s="17" t="n">
        <v>64755.34</v>
      </c>
      <c r="G1860" s="14">
        <f>E1860*F1860</f>
        <v/>
      </c>
      <c r="H1860" s="14">
        <f>C1860*G1860</f>
        <v/>
      </c>
    </row>
    <row r="1861">
      <c r="A1861" s="12" t="inlineStr">
        <is>
          <t>RET-0151</t>
        </is>
      </c>
      <c r="B1861" s="12" t="inlineStr">
        <is>
          <t>VS24</t>
        </is>
      </c>
      <c r="C1861" s="28" t="n">
        <v>0.0047</v>
      </c>
      <c r="D1861" s="12" t="inlineStr">
        <is>
          <t>PO-2022-2400</t>
        </is>
      </c>
      <c r="E1861" s="12" t="n">
        <v>0.34</v>
      </c>
      <c r="F1861" s="17" t="n">
        <v>63990.02</v>
      </c>
      <c r="G1861" s="14">
        <f>E1861*F1861</f>
        <v/>
      </c>
      <c r="H1861" s="14">
        <f>C1861*G1861</f>
        <v/>
      </c>
    </row>
    <row r="1862">
      <c r="A1862" s="12" t="inlineStr">
        <is>
          <t>RET-0151</t>
        </is>
      </c>
      <c r="B1862" s="12" t="inlineStr">
        <is>
          <t>VS25</t>
        </is>
      </c>
      <c r="C1862" s="28" t="n">
        <v>0.0086</v>
      </c>
      <c r="D1862" s="12" t="inlineStr">
        <is>
          <t>PO-2023-4548</t>
        </is>
      </c>
      <c r="E1862" s="12" t="n">
        <v>0.34</v>
      </c>
      <c r="F1862" s="17" t="n">
        <v>115240.61</v>
      </c>
      <c r="G1862" s="14">
        <f>E1862*F1862</f>
        <v/>
      </c>
      <c r="H1862" s="14">
        <f>C1862*G1862</f>
        <v/>
      </c>
    </row>
    <row r="1863">
      <c r="A1863" s="12" t="inlineStr">
        <is>
          <t>RET-0151</t>
        </is>
      </c>
      <c r="B1863" s="12" t="inlineStr">
        <is>
          <t>VS26</t>
        </is>
      </c>
      <c r="C1863" s="28" t="n">
        <v>0.0048</v>
      </c>
      <c r="D1863" s="12" t="inlineStr">
        <is>
          <t>PO-2022-2241</t>
        </is>
      </c>
      <c r="E1863" s="12" t="n">
        <v>0.34</v>
      </c>
      <c r="F1863" s="17" t="n">
        <v>81784.89999999999</v>
      </c>
      <c r="G1863" s="14">
        <f>E1863*F1863</f>
        <v/>
      </c>
      <c r="H1863" s="14">
        <f>C1863*G1863</f>
        <v/>
      </c>
    </row>
    <row r="1864">
      <c r="A1864" s="12" t="inlineStr">
        <is>
          <t>RET-0151</t>
        </is>
      </c>
      <c r="B1864" s="12" t="inlineStr">
        <is>
          <t>VS27</t>
        </is>
      </c>
      <c r="C1864" s="28" t="n">
        <v>0.0047</v>
      </c>
      <c r="D1864" s="12" t="inlineStr">
        <is>
          <t>PO-2021-0844</t>
        </is>
      </c>
      <c r="E1864" s="12" t="n">
        <v>0.34</v>
      </c>
      <c r="F1864" s="17" t="n">
        <v>100920.73</v>
      </c>
      <c r="G1864" s="14">
        <f>E1864*F1864</f>
        <v/>
      </c>
      <c r="H1864" s="14">
        <f>C1864*G1864</f>
        <v/>
      </c>
    </row>
    <row r="1865">
      <c r="A1865" s="12" t="inlineStr">
        <is>
          <t>RET-0151</t>
        </is>
      </c>
      <c r="B1865" s="12" t="inlineStr">
        <is>
          <t>VS28</t>
        </is>
      </c>
      <c r="C1865" s="28" t="n">
        <v>0.0104</v>
      </c>
      <c r="D1865" s="12" t="inlineStr">
        <is>
          <t>PO-2021-1127</t>
        </is>
      </c>
      <c r="E1865" s="12" t="n">
        <v>0.34</v>
      </c>
      <c r="F1865" s="17" t="n">
        <v>107266.08</v>
      </c>
      <c r="G1865" s="14">
        <f>E1865*F1865</f>
        <v/>
      </c>
      <c r="H1865" s="14">
        <f>C1865*G1865</f>
        <v/>
      </c>
    </row>
    <row r="1866">
      <c r="A1866" s="12" t="inlineStr">
        <is>
          <t>RET-0151</t>
        </is>
      </c>
      <c r="B1866" s="12" t="inlineStr">
        <is>
          <t>VS29</t>
        </is>
      </c>
      <c r="C1866" s="28" t="n">
        <v>0.0066</v>
      </c>
      <c r="D1866" s="12" t="inlineStr">
        <is>
          <t>PO-2022-1870</t>
        </is>
      </c>
      <c r="E1866" s="12" t="n">
        <v>0.34</v>
      </c>
      <c r="F1866" s="17" t="n">
        <v>80782.95</v>
      </c>
      <c r="G1866" s="14">
        <f>E1866*F1866</f>
        <v/>
      </c>
      <c r="H1866" s="14">
        <f>C1866*G1866</f>
        <v/>
      </c>
    </row>
    <row r="1867">
      <c r="A1867" s="12" t="inlineStr">
        <is>
          <t>RET-0151</t>
        </is>
      </c>
      <c r="B1867" s="12" t="inlineStr">
        <is>
          <t>VS30</t>
        </is>
      </c>
      <c r="C1867" s="28" t="n">
        <v>0.0029</v>
      </c>
      <c r="D1867" s="12" t="inlineStr">
        <is>
          <t>PO-2021-0801</t>
        </is>
      </c>
      <c r="E1867" s="12" t="n">
        <v>0.34</v>
      </c>
      <c r="F1867" s="17" t="n">
        <v>57510.7</v>
      </c>
      <c r="G1867" s="14">
        <f>E1867*F1867</f>
        <v/>
      </c>
      <c r="H1867" s="14">
        <f>C1867*G1867</f>
        <v/>
      </c>
    </row>
    <row r="1868">
      <c r="A1868" s="12" t="inlineStr">
        <is>
          <t>RET-0151</t>
        </is>
      </c>
      <c r="B1868" s="12" t="inlineStr">
        <is>
          <t>VS31</t>
        </is>
      </c>
      <c r="C1868" s="28" t="n">
        <v>0.0104</v>
      </c>
      <c r="D1868" s="12" t="inlineStr">
        <is>
          <t>PO-2021-1062</t>
        </is>
      </c>
      <c r="E1868" s="12" t="n">
        <v>0.34</v>
      </c>
      <c r="F1868" s="17" t="n">
        <v>92099.7</v>
      </c>
      <c r="G1868" s="14">
        <f>E1868*F1868</f>
        <v/>
      </c>
      <c r="H1868" s="14">
        <f>C1868*G1868</f>
        <v/>
      </c>
    </row>
    <row r="1869">
      <c r="A1869" s="12" t="inlineStr">
        <is>
          <t>RET-0151</t>
        </is>
      </c>
      <c r="B1869" s="12" t="inlineStr">
        <is>
          <t>VS32</t>
        </is>
      </c>
      <c r="C1869" s="28" t="n">
        <v>0.0124</v>
      </c>
      <c r="D1869" s="12" t="inlineStr">
        <is>
          <t>PO-2023-4690</t>
        </is>
      </c>
      <c r="E1869" s="12" t="n">
        <v>0.34</v>
      </c>
      <c r="F1869" s="17" t="n">
        <v>82678.64</v>
      </c>
      <c r="G1869" s="14">
        <f>E1869*F1869</f>
        <v/>
      </c>
      <c r="H1869" s="14">
        <f>C1869*G1869</f>
        <v/>
      </c>
    </row>
    <row r="1870">
      <c r="A1870" s="12" t="inlineStr">
        <is>
          <t>RET-0151</t>
        </is>
      </c>
      <c r="B1870" s="12" t="inlineStr">
        <is>
          <t>VS33</t>
        </is>
      </c>
      <c r="C1870" s="28" t="n">
        <v>0.0066</v>
      </c>
      <c r="D1870" s="12" t="inlineStr">
        <is>
          <t>PO-2021-0387</t>
        </is>
      </c>
      <c r="E1870" s="12" t="n">
        <v>0.34</v>
      </c>
      <c r="F1870" s="17" t="n">
        <v>104304.07</v>
      </c>
      <c r="G1870" s="14">
        <f>E1870*F1870</f>
        <v/>
      </c>
      <c r="H1870" s="14">
        <f>C1870*G1870</f>
        <v/>
      </c>
    </row>
    <row r="1871">
      <c r="A1871" s="12" t="inlineStr">
        <is>
          <t>RET-0151</t>
        </is>
      </c>
      <c r="B1871" s="12" t="inlineStr">
        <is>
          <t>VS34</t>
        </is>
      </c>
      <c r="C1871" s="28" t="n">
        <v>0.008500000000000001</v>
      </c>
      <c r="D1871" s="12" t="inlineStr">
        <is>
          <t>PO-2023-4309</t>
        </is>
      </c>
      <c r="E1871" s="12" t="n">
        <v>0.34</v>
      </c>
      <c r="F1871" s="17" t="n">
        <v>87656.27</v>
      </c>
      <c r="G1871" s="14">
        <f>E1871*F1871</f>
        <v/>
      </c>
      <c r="H1871" s="14">
        <f>C1871*G1871</f>
        <v/>
      </c>
    </row>
    <row r="1872">
      <c r="A1872" s="12" t="inlineStr">
        <is>
          <t>RET-0152</t>
        </is>
      </c>
      <c r="B1872" s="12" t="inlineStr">
        <is>
          <t>VS01</t>
        </is>
      </c>
      <c r="C1872" s="28" t="n">
        <v>0.0103</v>
      </c>
      <c r="D1872" s="12" t="inlineStr">
        <is>
          <t>PO-2022-2372</t>
        </is>
      </c>
      <c r="E1872" s="12" t="n">
        <v>3.06</v>
      </c>
      <c r="F1872" s="17" t="n">
        <v>88618.74000000001</v>
      </c>
      <c r="G1872" s="14">
        <f>E1872*F1872</f>
        <v/>
      </c>
      <c r="H1872" s="14">
        <f>C1872*G1872</f>
        <v/>
      </c>
    </row>
    <row r="1873">
      <c r="A1873" s="12" t="inlineStr">
        <is>
          <t>RET-0152</t>
        </is>
      </c>
      <c r="B1873" s="12" t="inlineStr">
        <is>
          <t>VS02</t>
        </is>
      </c>
      <c r="C1873" s="28" t="n">
        <v>0.0047</v>
      </c>
      <c r="D1873" s="12" t="inlineStr">
        <is>
          <t>PO-2021-0280</t>
        </is>
      </c>
      <c r="E1873" s="12" t="n">
        <v>3.06</v>
      </c>
      <c r="F1873" s="17" t="n">
        <v>53220.34</v>
      </c>
      <c r="G1873" s="14">
        <f>E1873*F1873</f>
        <v/>
      </c>
      <c r="H1873" s="14">
        <f>C1873*G1873</f>
        <v/>
      </c>
    </row>
    <row r="1874">
      <c r="A1874" s="12" t="inlineStr">
        <is>
          <t>RET-0152</t>
        </is>
      </c>
      <c r="B1874" s="12" t="inlineStr">
        <is>
          <t>VS03</t>
        </is>
      </c>
      <c r="C1874" s="28" t="n">
        <v>0.2252</v>
      </c>
      <c r="D1874" s="12" t="inlineStr">
        <is>
          <t>PO-2021-1424</t>
        </is>
      </c>
      <c r="E1874" s="12" t="n">
        <v>3.06</v>
      </c>
      <c r="F1874" s="17" t="n">
        <v>99561.2</v>
      </c>
      <c r="G1874" s="14">
        <f>E1874*F1874</f>
        <v/>
      </c>
      <c r="H1874" s="14">
        <f>C1874*G1874</f>
        <v/>
      </c>
    </row>
    <row r="1875">
      <c r="A1875" s="12" t="inlineStr">
        <is>
          <t>RET-0152</t>
        </is>
      </c>
      <c r="B1875" s="12" t="inlineStr">
        <is>
          <t>VS04</t>
        </is>
      </c>
      <c r="C1875" s="28" t="n">
        <v>0.0064</v>
      </c>
      <c r="D1875" s="12" t="inlineStr">
        <is>
          <t>PO-2021-1050</t>
        </is>
      </c>
      <c r="E1875" s="12" t="n">
        <v>3.06</v>
      </c>
      <c r="F1875" s="17" t="n">
        <v>98697.28</v>
      </c>
      <c r="G1875" s="14">
        <f>E1875*F1875</f>
        <v/>
      </c>
      <c r="H1875" s="14">
        <f>C1875*G1875</f>
        <v/>
      </c>
    </row>
    <row r="1876">
      <c r="A1876" s="12" t="inlineStr">
        <is>
          <t>RET-0152</t>
        </is>
      </c>
      <c r="B1876" s="12" t="inlineStr">
        <is>
          <t>VS05</t>
        </is>
      </c>
      <c r="C1876" s="28" t="n">
        <v>0.008399999999999999</v>
      </c>
      <c r="D1876" s="12" t="inlineStr">
        <is>
          <t>PO-2021-1251</t>
        </is>
      </c>
      <c r="E1876" s="12" t="n">
        <v>3.06</v>
      </c>
      <c r="F1876" s="17" t="n">
        <v>75206.53</v>
      </c>
      <c r="G1876" s="14">
        <f>E1876*F1876</f>
        <v/>
      </c>
      <c r="H1876" s="14">
        <f>C1876*G1876</f>
        <v/>
      </c>
    </row>
    <row r="1877">
      <c r="A1877" s="12" t="inlineStr">
        <is>
          <t>RET-0152</t>
        </is>
      </c>
      <c r="B1877" s="12" t="inlineStr">
        <is>
          <t>VS06</t>
        </is>
      </c>
      <c r="C1877" s="28" t="n">
        <v>0.008399999999999999</v>
      </c>
      <c r="D1877" s="12" t="inlineStr">
        <is>
          <t>PO-2022-2004</t>
        </is>
      </c>
      <c r="E1877" s="12" t="n">
        <v>3.06</v>
      </c>
      <c r="F1877" s="17" t="n">
        <v>52605.38</v>
      </c>
      <c r="G1877" s="14">
        <f>E1877*F1877</f>
        <v/>
      </c>
      <c r="H1877" s="14">
        <f>C1877*G1877</f>
        <v/>
      </c>
    </row>
    <row r="1878">
      <c r="A1878" s="12" t="inlineStr">
        <is>
          <t>RET-0152</t>
        </is>
      </c>
      <c r="B1878" s="12" t="inlineStr">
        <is>
          <t>VS07</t>
        </is>
      </c>
      <c r="C1878" s="28" t="n">
        <v>0.0028</v>
      </c>
      <c r="D1878" s="12" t="inlineStr">
        <is>
          <t>PO-2022-1955</t>
        </is>
      </c>
      <c r="E1878" s="12" t="n">
        <v>3.06</v>
      </c>
      <c r="F1878" s="17" t="n">
        <v>82709.5</v>
      </c>
      <c r="G1878" s="14">
        <f>E1878*F1878</f>
        <v/>
      </c>
      <c r="H1878" s="14">
        <f>C1878*G1878</f>
        <v/>
      </c>
    </row>
    <row r="1879">
      <c r="A1879" s="12" t="inlineStr">
        <is>
          <t>RET-0152</t>
        </is>
      </c>
      <c r="B1879" s="12" t="inlineStr">
        <is>
          <t>VS08</t>
        </is>
      </c>
      <c r="C1879" s="28" t="n">
        <v>0.008500000000000001</v>
      </c>
      <c r="D1879" s="12" t="inlineStr">
        <is>
          <t>PO-2023-3344</t>
        </is>
      </c>
      <c r="E1879" s="12" t="n">
        <v>3.06</v>
      </c>
      <c r="F1879" s="17" t="n">
        <v>110229.77</v>
      </c>
      <c r="G1879" s="14">
        <f>E1879*F1879</f>
        <v/>
      </c>
      <c r="H1879" s="14">
        <f>C1879*G1879</f>
        <v/>
      </c>
    </row>
    <row r="1880">
      <c r="A1880" s="12" t="inlineStr">
        <is>
          <t>RET-0152</t>
        </is>
      </c>
      <c r="B1880" s="12" t="inlineStr">
        <is>
          <t>VS09</t>
        </is>
      </c>
      <c r="C1880" s="28" t="n">
        <v>0.0065</v>
      </c>
      <c r="D1880" s="12" t="inlineStr">
        <is>
          <t>PO-2023-4281</t>
        </is>
      </c>
      <c r="E1880" s="12" t="n">
        <v>3.06</v>
      </c>
      <c r="F1880" s="17" t="n">
        <v>83981.42999999999</v>
      </c>
      <c r="G1880" s="14">
        <f>E1880*F1880</f>
        <v/>
      </c>
      <c r="H1880" s="14">
        <f>C1880*G1880</f>
        <v/>
      </c>
    </row>
    <row r="1881">
      <c r="A1881" s="12" t="inlineStr">
        <is>
          <t>RET-0152</t>
        </is>
      </c>
      <c r="B1881" s="12" t="inlineStr">
        <is>
          <t>VS10</t>
        </is>
      </c>
      <c r="C1881" s="28" t="n">
        <v>0.0102</v>
      </c>
      <c r="D1881" s="12" t="inlineStr">
        <is>
          <t>PO-2021-0392</t>
        </is>
      </c>
      <c r="E1881" s="12" t="n">
        <v>3.06</v>
      </c>
      <c r="F1881" s="17" t="n">
        <v>81207.83</v>
      </c>
      <c r="G1881" s="14">
        <f>E1881*F1881</f>
        <v/>
      </c>
      <c r="H1881" s="14">
        <f>C1881*G1881</f>
        <v/>
      </c>
    </row>
    <row r="1882">
      <c r="A1882" s="12" t="inlineStr">
        <is>
          <t>RET-0152</t>
        </is>
      </c>
      <c r="B1882" s="12" t="inlineStr">
        <is>
          <t>VS11</t>
        </is>
      </c>
      <c r="C1882" s="28" t="n">
        <v>0.012</v>
      </c>
      <c r="D1882" s="12" t="inlineStr">
        <is>
          <t>PO-2022-2689</t>
        </is>
      </c>
      <c r="E1882" s="12" t="n">
        <v>3.06</v>
      </c>
      <c r="F1882" s="17" t="n">
        <v>73024.87</v>
      </c>
      <c r="G1882" s="14">
        <f>E1882*F1882</f>
        <v/>
      </c>
      <c r="H1882" s="14">
        <f>C1882*G1882</f>
        <v/>
      </c>
    </row>
    <row r="1883">
      <c r="A1883" s="12" t="inlineStr">
        <is>
          <t>RET-0152</t>
        </is>
      </c>
      <c r="B1883" s="12" t="inlineStr">
        <is>
          <t>VS12</t>
        </is>
      </c>
      <c r="C1883" s="28" t="n">
        <v>0.313</v>
      </c>
      <c r="D1883" s="12" t="inlineStr">
        <is>
          <t>PO-2023-3474</t>
        </is>
      </c>
      <c r="E1883" s="12" t="n">
        <v>3.06</v>
      </c>
      <c r="F1883" s="17" t="n">
        <v>115223.22</v>
      </c>
      <c r="G1883" s="14">
        <f>E1883*F1883</f>
        <v/>
      </c>
      <c r="H1883" s="14">
        <f>C1883*G1883</f>
        <v/>
      </c>
    </row>
    <row r="1884">
      <c r="A1884" s="12" t="inlineStr">
        <is>
          <t>RET-0152</t>
        </is>
      </c>
      <c r="B1884" s="12" t="inlineStr">
        <is>
          <t>VS13</t>
        </is>
      </c>
      <c r="C1884" s="28" t="n">
        <v>0.0083</v>
      </c>
      <c r="D1884" s="12" t="inlineStr">
        <is>
          <t>PO-2023-4194</t>
        </is>
      </c>
      <c r="E1884" s="12" t="n">
        <v>3.06</v>
      </c>
      <c r="F1884" s="17" t="n">
        <v>89329.14999999999</v>
      </c>
      <c r="G1884" s="14">
        <f>E1884*F1884</f>
        <v/>
      </c>
      <c r="H1884" s="14">
        <f>C1884*G1884</f>
        <v/>
      </c>
    </row>
    <row r="1885">
      <c r="A1885" s="12" t="inlineStr">
        <is>
          <t>RET-0152</t>
        </is>
      </c>
      <c r="B1885" s="12" t="inlineStr">
        <is>
          <t>VS14</t>
        </is>
      </c>
      <c r="C1885" s="28" t="n">
        <v>0.0083</v>
      </c>
      <c r="D1885" s="12" t="inlineStr">
        <is>
          <t>PO-2022-2720</t>
        </is>
      </c>
      <c r="E1885" s="12" t="n">
        <v>3.06</v>
      </c>
      <c r="F1885" s="17" t="n">
        <v>111340.47</v>
      </c>
      <c r="G1885" s="14">
        <f>E1885*F1885</f>
        <v/>
      </c>
      <c r="H1885" s="14">
        <f>C1885*G1885</f>
        <v/>
      </c>
    </row>
    <row r="1886">
      <c r="A1886" s="12" t="inlineStr">
        <is>
          <t>RET-0152</t>
        </is>
      </c>
      <c r="B1886" s="12" t="inlineStr">
        <is>
          <t>VS15</t>
        </is>
      </c>
      <c r="C1886" s="28" t="n">
        <v>0.0028</v>
      </c>
      <c r="D1886" s="12" t="inlineStr">
        <is>
          <t>PO-2021-0368</t>
        </is>
      </c>
      <c r="E1886" s="12" t="n">
        <v>3.06</v>
      </c>
      <c r="F1886" s="17" t="n">
        <v>73157.02</v>
      </c>
      <c r="G1886" s="14">
        <f>E1886*F1886</f>
        <v/>
      </c>
      <c r="H1886" s="14">
        <f>C1886*G1886</f>
        <v/>
      </c>
    </row>
    <row r="1887">
      <c r="A1887" s="12" t="inlineStr">
        <is>
          <t>RET-0152</t>
        </is>
      </c>
      <c r="B1887" s="12" t="inlineStr">
        <is>
          <t>VS16</t>
        </is>
      </c>
      <c r="C1887" s="28" t="n">
        <v>0.012</v>
      </c>
      <c r="D1887" s="12" t="inlineStr">
        <is>
          <t>PO-2023-4197</t>
        </is>
      </c>
      <c r="E1887" s="12" t="n">
        <v>3.06</v>
      </c>
      <c r="F1887" s="17" t="n">
        <v>106953.2</v>
      </c>
      <c r="G1887" s="14">
        <f>E1887*F1887</f>
        <v/>
      </c>
      <c r="H1887" s="14">
        <f>C1887*G1887</f>
        <v/>
      </c>
    </row>
    <row r="1888">
      <c r="A1888" s="12" t="inlineStr">
        <is>
          <t>RET-0152</t>
        </is>
      </c>
      <c r="B1888" s="12" t="inlineStr">
        <is>
          <t>VS17</t>
        </is>
      </c>
      <c r="C1888" s="28" t="n">
        <v>0.012</v>
      </c>
      <c r="D1888" s="12" t="inlineStr">
        <is>
          <t>PO-2021-1422</t>
        </is>
      </c>
      <c r="E1888" s="12" t="n">
        <v>3.06</v>
      </c>
      <c r="F1888" s="17" t="n">
        <v>81646.64</v>
      </c>
      <c r="G1888" s="14">
        <f>E1888*F1888</f>
        <v/>
      </c>
      <c r="H1888" s="14">
        <f>C1888*G1888</f>
        <v/>
      </c>
    </row>
    <row r="1889">
      <c r="A1889" s="12" t="inlineStr">
        <is>
          <t>RET-0152</t>
        </is>
      </c>
      <c r="B1889" s="12" t="inlineStr">
        <is>
          <t>VS18</t>
        </is>
      </c>
      <c r="C1889" s="28" t="n">
        <v>0.0083</v>
      </c>
      <c r="D1889" s="12" t="inlineStr">
        <is>
          <t>PO-2023-3529</t>
        </is>
      </c>
      <c r="E1889" s="12" t="n">
        <v>3.06</v>
      </c>
      <c r="F1889" s="17" t="n">
        <v>71931.77</v>
      </c>
      <c r="G1889" s="14">
        <f>E1889*F1889</f>
        <v/>
      </c>
      <c r="H1889" s="14">
        <f>C1889*G1889</f>
        <v/>
      </c>
    </row>
    <row r="1890">
      <c r="A1890" s="12" t="inlineStr">
        <is>
          <t>RET-0152</t>
        </is>
      </c>
      <c r="B1890" s="12" t="inlineStr">
        <is>
          <t>VS19</t>
        </is>
      </c>
      <c r="C1890" s="28" t="n">
        <v>0.2361</v>
      </c>
      <c r="D1890" s="12" t="inlineStr">
        <is>
          <t>PO-2022-2516</t>
        </is>
      </c>
      <c r="E1890" s="12" t="n">
        <v>0</v>
      </c>
      <c r="F1890" s="17" t="n">
        <v>87125.81</v>
      </c>
      <c r="G1890" s="14">
        <f>E1890*F1890</f>
        <v/>
      </c>
      <c r="H1890" s="14">
        <f>C1890*G1890</f>
        <v/>
      </c>
    </row>
    <row r="1891">
      <c r="A1891" s="12" t="inlineStr">
        <is>
          <t>RET-0152</t>
        </is>
      </c>
      <c r="B1891" s="12" t="inlineStr">
        <is>
          <t>VS20</t>
        </is>
      </c>
      <c r="C1891" s="28" t="n">
        <v>0.0047</v>
      </c>
      <c r="D1891" s="12" t="inlineStr">
        <is>
          <t>PO-2021-1204</t>
        </is>
      </c>
      <c r="E1891" s="12" t="n">
        <v>3.06</v>
      </c>
      <c r="F1891" s="17" t="n">
        <v>117235.62</v>
      </c>
      <c r="G1891" s="14">
        <f>E1891*F1891</f>
        <v/>
      </c>
      <c r="H1891" s="14">
        <f>C1891*G1891</f>
        <v/>
      </c>
    </row>
    <row r="1892">
      <c r="A1892" s="12" t="inlineStr">
        <is>
          <t>RET-0152</t>
        </is>
      </c>
      <c r="B1892" s="12" t="inlineStr">
        <is>
          <t>VS21</t>
        </is>
      </c>
      <c r="C1892" s="28" t="n">
        <v>0.0047</v>
      </c>
      <c r="D1892" s="12" t="inlineStr">
        <is>
          <t>PO-2022-3104</t>
        </is>
      </c>
      <c r="E1892" s="12" t="n">
        <v>3.06</v>
      </c>
      <c r="F1892" s="17" t="n">
        <v>49464.08</v>
      </c>
      <c r="G1892" s="14">
        <f>E1892*F1892</f>
        <v/>
      </c>
      <c r="H1892" s="14">
        <f>C1892*G1892</f>
        <v/>
      </c>
    </row>
    <row r="1893">
      <c r="A1893" s="12" t="inlineStr">
        <is>
          <t>RET-0152</t>
        </is>
      </c>
      <c r="B1893" s="12" t="inlineStr">
        <is>
          <t>VS22</t>
        </is>
      </c>
      <c r="C1893" s="28" t="n">
        <v>0.0028</v>
      </c>
      <c r="D1893" s="12" t="inlineStr">
        <is>
          <t>PO-2023-3448</t>
        </is>
      </c>
      <c r="E1893" s="12" t="n">
        <v>3.06</v>
      </c>
      <c r="F1893" s="17" t="n">
        <v>54481.38</v>
      </c>
      <c r="G1893" s="14">
        <f>E1893*F1893</f>
        <v/>
      </c>
      <c r="H1893" s="14">
        <f>C1893*G1893</f>
        <v/>
      </c>
    </row>
    <row r="1894">
      <c r="A1894" s="12" t="inlineStr">
        <is>
          <t>RET-0152</t>
        </is>
      </c>
      <c r="B1894" s="12" t="inlineStr">
        <is>
          <t>VS23</t>
        </is>
      </c>
      <c r="C1894" s="28" t="n">
        <v>0.0046</v>
      </c>
      <c r="D1894" s="12" t="inlineStr">
        <is>
          <t>PO-2022-1799</t>
        </is>
      </c>
      <c r="E1894" s="12" t="n">
        <v>3.06</v>
      </c>
      <c r="F1894" s="17" t="n">
        <v>86902.3</v>
      </c>
      <c r="G1894" s="14">
        <f>E1894*F1894</f>
        <v/>
      </c>
      <c r="H1894" s="14">
        <f>C1894*G1894</f>
        <v/>
      </c>
    </row>
    <row r="1895">
      <c r="A1895" s="12" t="inlineStr">
        <is>
          <t>RET-0152</t>
        </is>
      </c>
      <c r="B1895" s="12" t="inlineStr">
        <is>
          <t>VS24</t>
        </is>
      </c>
      <c r="C1895" s="28" t="n">
        <v>0.0046</v>
      </c>
      <c r="D1895" s="12" t="inlineStr">
        <is>
          <t>PO-2023-4182</t>
        </is>
      </c>
      <c r="E1895" s="12" t="n">
        <v>3.06</v>
      </c>
      <c r="F1895" s="17" t="n">
        <v>67218.28</v>
      </c>
      <c r="G1895" s="14">
        <f>E1895*F1895</f>
        <v/>
      </c>
      <c r="H1895" s="14">
        <f>C1895*G1895</f>
        <v/>
      </c>
    </row>
    <row r="1896">
      <c r="A1896" s="12" t="inlineStr">
        <is>
          <t>RET-0152</t>
        </is>
      </c>
      <c r="B1896" s="12" t="inlineStr">
        <is>
          <t>VS25</t>
        </is>
      </c>
      <c r="C1896" s="28" t="n">
        <v>0.008399999999999999</v>
      </c>
      <c r="D1896" s="12" t="inlineStr">
        <is>
          <t>PO-2023-4673</t>
        </is>
      </c>
      <c r="E1896" s="12" t="n">
        <v>3.06</v>
      </c>
      <c r="F1896" s="17" t="n">
        <v>118690.21</v>
      </c>
      <c r="G1896" s="14">
        <f>E1896*F1896</f>
        <v/>
      </c>
      <c r="H1896" s="14">
        <f>C1896*G1896</f>
        <v/>
      </c>
    </row>
    <row r="1897">
      <c r="A1897" s="12" t="inlineStr">
        <is>
          <t>RET-0152</t>
        </is>
      </c>
      <c r="B1897" s="12" t="inlineStr">
        <is>
          <t>VS26</t>
        </is>
      </c>
      <c r="C1897" s="28" t="n">
        <v>0.0047</v>
      </c>
      <c r="D1897" s="12" t="inlineStr">
        <is>
          <t>PO-2022-3167</t>
        </is>
      </c>
      <c r="E1897" s="12" t="n">
        <v>3.06</v>
      </c>
      <c r="F1897" s="17" t="n">
        <v>67739.75</v>
      </c>
      <c r="G1897" s="14">
        <f>E1897*F1897</f>
        <v/>
      </c>
      <c r="H1897" s="14">
        <f>C1897*G1897</f>
        <v/>
      </c>
    </row>
    <row r="1898">
      <c r="A1898" s="12" t="inlineStr">
        <is>
          <t>RET-0152</t>
        </is>
      </c>
      <c r="B1898" s="12" t="inlineStr">
        <is>
          <t>VS27</t>
        </is>
      </c>
      <c r="C1898" s="28" t="n">
        <v>0.0046</v>
      </c>
      <c r="D1898" s="12" t="inlineStr">
        <is>
          <t>PO-2023-3247</t>
        </is>
      </c>
      <c r="E1898" s="12" t="n">
        <v>3.06</v>
      </c>
      <c r="F1898" s="17" t="n">
        <v>92805.17999999999</v>
      </c>
      <c r="G1898" s="14">
        <f>E1898*F1898</f>
        <v/>
      </c>
      <c r="H1898" s="14">
        <f>C1898*G1898</f>
        <v/>
      </c>
    </row>
    <row r="1899">
      <c r="A1899" s="12" t="inlineStr">
        <is>
          <t>RET-0152</t>
        </is>
      </c>
      <c r="B1899" s="12" t="inlineStr">
        <is>
          <t>VS28</t>
        </is>
      </c>
      <c r="C1899" s="28" t="n">
        <v>0.0102</v>
      </c>
      <c r="D1899" s="12" t="inlineStr">
        <is>
          <t>PO-2023-4556</t>
        </is>
      </c>
      <c r="E1899" s="12" t="n">
        <v>3.06</v>
      </c>
      <c r="F1899" s="17" t="n">
        <v>58179.59</v>
      </c>
      <c r="G1899" s="14">
        <f>E1899*F1899</f>
        <v/>
      </c>
      <c r="H1899" s="14">
        <f>C1899*G1899</f>
        <v/>
      </c>
    </row>
    <row r="1900">
      <c r="A1900" s="12" t="inlineStr">
        <is>
          <t>RET-0152</t>
        </is>
      </c>
      <c r="B1900" s="12" t="inlineStr">
        <is>
          <t>VS29</t>
        </is>
      </c>
      <c r="C1900" s="28" t="n">
        <v>0.0065</v>
      </c>
      <c r="D1900" s="12" t="inlineStr">
        <is>
          <t>PO-2023-4310</t>
        </is>
      </c>
      <c r="E1900" s="12" t="n">
        <v>3.06</v>
      </c>
      <c r="F1900" s="17" t="n">
        <v>98460.50999999999</v>
      </c>
      <c r="G1900" s="14">
        <f>E1900*F1900</f>
        <v/>
      </c>
      <c r="H1900" s="14">
        <f>C1900*G1900</f>
        <v/>
      </c>
    </row>
    <row r="1901">
      <c r="A1901" s="12" t="inlineStr">
        <is>
          <t>RET-0152</t>
        </is>
      </c>
      <c r="B1901" s="12" t="inlineStr">
        <is>
          <t>VS30</t>
        </is>
      </c>
      <c r="C1901" s="28" t="n">
        <v>0.0028</v>
      </c>
      <c r="D1901" s="12" t="inlineStr">
        <is>
          <t>PO-2022-2508</t>
        </is>
      </c>
      <c r="E1901" s="12" t="n">
        <v>3.06</v>
      </c>
      <c r="F1901" s="17" t="n">
        <v>79747.45</v>
      </c>
      <c r="G1901" s="14">
        <f>E1901*F1901</f>
        <v/>
      </c>
      <c r="H1901" s="14">
        <f>C1901*G1901</f>
        <v/>
      </c>
    </row>
    <row r="1902">
      <c r="A1902" s="12" t="inlineStr">
        <is>
          <t>RET-0152</t>
        </is>
      </c>
      <c r="B1902" s="12" t="inlineStr">
        <is>
          <t>VS31</t>
        </is>
      </c>
      <c r="C1902" s="28" t="n">
        <v>0.0102</v>
      </c>
      <c r="D1902" s="12" t="inlineStr">
        <is>
          <t>PO-2022-2153</t>
        </is>
      </c>
      <c r="E1902" s="12" t="n">
        <v>3.06</v>
      </c>
      <c r="F1902" s="17" t="n">
        <v>110214.44</v>
      </c>
      <c r="G1902" s="14">
        <f>E1902*F1902</f>
        <v/>
      </c>
      <c r="H1902" s="14">
        <f>C1902*G1902</f>
        <v/>
      </c>
    </row>
    <row r="1903">
      <c r="A1903" s="12" t="inlineStr">
        <is>
          <t>RET-0152</t>
        </is>
      </c>
      <c r="B1903" s="12" t="inlineStr">
        <is>
          <t>VS32</t>
        </is>
      </c>
      <c r="C1903" s="28" t="n">
        <v>0.0121</v>
      </c>
      <c r="D1903" s="12" t="inlineStr">
        <is>
          <t>PO-2023-4513</t>
        </is>
      </c>
      <c r="E1903" s="12" t="n">
        <v>3.06</v>
      </c>
      <c r="F1903" s="17" t="n">
        <v>96245.08</v>
      </c>
      <c r="G1903" s="14">
        <f>E1903*F1903</f>
        <v/>
      </c>
      <c r="H1903" s="14">
        <f>C1903*G1903</f>
        <v/>
      </c>
    </row>
    <row r="1904">
      <c r="A1904" s="12" t="inlineStr">
        <is>
          <t>RET-0152</t>
        </is>
      </c>
      <c r="B1904" s="12" t="inlineStr">
        <is>
          <t>VS33</t>
        </is>
      </c>
      <c r="C1904" s="28" t="n">
        <v>0.0065</v>
      </c>
      <c r="D1904" s="12" t="inlineStr">
        <is>
          <t>PO-2022-2008</t>
        </is>
      </c>
      <c r="E1904" s="12" t="n">
        <v>3.06</v>
      </c>
      <c r="F1904" s="17" t="n">
        <v>98401.75999999999</v>
      </c>
      <c r="G1904" s="14">
        <f>E1904*F1904</f>
        <v/>
      </c>
      <c r="H1904" s="14">
        <f>C1904*G1904</f>
        <v/>
      </c>
    </row>
    <row r="1905">
      <c r="A1905" s="12" t="inlineStr">
        <is>
          <t>RET-0152</t>
        </is>
      </c>
      <c r="B1905" s="12" t="inlineStr">
        <is>
          <t>VS34</t>
        </is>
      </c>
      <c r="C1905" s="28" t="n">
        <v>0.008399999999999999</v>
      </c>
      <c r="D1905" s="12" t="inlineStr">
        <is>
          <t>PO-2022-3196</t>
        </is>
      </c>
      <c r="E1905" s="12" t="n">
        <v>3.06</v>
      </c>
      <c r="F1905" s="17" t="n">
        <v>55656.66</v>
      </c>
      <c r="G1905" s="14">
        <f>E1905*F1905</f>
        <v/>
      </c>
      <c r="H1905" s="14">
        <f>C1905*G1905</f>
        <v/>
      </c>
    </row>
    <row r="1906">
      <c r="A1906" s="12" t="inlineStr">
        <is>
          <t>RET-0153</t>
        </is>
      </c>
      <c r="B1906" s="12" t="inlineStr">
        <is>
          <t>VS01</t>
        </is>
      </c>
      <c r="C1906" s="28" t="n">
        <v>0.0224</v>
      </c>
      <c r="D1906" s="12" t="inlineStr">
        <is>
          <t>PO-2022-3067</t>
        </is>
      </c>
      <c r="E1906" s="12" t="n">
        <v>1.56</v>
      </c>
      <c r="F1906" s="17" t="n">
        <v>48733.58</v>
      </c>
      <c r="G1906" s="14">
        <f>E1906*F1906</f>
        <v/>
      </c>
      <c r="H1906" s="14">
        <f>C1906*G1906</f>
        <v/>
      </c>
    </row>
    <row r="1907">
      <c r="A1907" s="12" t="inlineStr">
        <is>
          <t>RET-0153</t>
        </is>
      </c>
      <c r="B1907" s="12" t="inlineStr">
        <is>
          <t>VS02</t>
        </is>
      </c>
      <c r="C1907" s="28" t="n">
        <v>0.0102</v>
      </c>
      <c r="D1907" s="12" t="inlineStr">
        <is>
          <t>PO-2021-0553</t>
        </is>
      </c>
      <c r="E1907" s="12" t="n">
        <v>1.56</v>
      </c>
      <c r="F1907" s="17" t="n">
        <v>54923.56</v>
      </c>
      <c r="G1907" s="14">
        <f>E1907*F1907</f>
        <v/>
      </c>
      <c r="H1907" s="14">
        <f>C1907*G1907</f>
        <v/>
      </c>
    </row>
    <row r="1908">
      <c r="A1908" s="12" t="inlineStr">
        <is>
          <t>RET-0153</t>
        </is>
      </c>
      <c r="B1908" s="12" t="inlineStr">
        <is>
          <t>VS03</t>
        </is>
      </c>
      <c r="C1908" s="28" t="n">
        <v>0.1478</v>
      </c>
      <c r="D1908" s="12" t="inlineStr">
        <is>
          <t>PO-2023-4608</t>
        </is>
      </c>
      <c r="E1908" s="12" t="n">
        <v>1.56</v>
      </c>
      <c r="F1908" s="17" t="n">
        <v>49671.89</v>
      </c>
      <c r="G1908" s="14">
        <f>E1908*F1908</f>
        <v/>
      </c>
      <c r="H1908" s="14">
        <f>C1908*G1908</f>
        <v/>
      </c>
    </row>
    <row r="1909">
      <c r="A1909" s="12" t="inlineStr">
        <is>
          <t>RET-0153</t>
        </is>
      </c>
      <c r="B1909" s="12" t="inlineStr">
        <is>
          <t>VS04</t>
        </is>
      </c>
      <c r="C1909" s="28" t="n">
        <v>0.014</v>
      </c>
      <c r="D1909" s="12" t="inlineStr">
        <is>
          <t>PO-2022-2667</t>
        </is>
      </c>
      <c r="E1909" s="12" t="n">
        <v>1.56</v>
      </c>
      <c r="F1909" s="17" t="n">
        <v>119130.22</v>
      </c>
      <c r="G1909" s="14">
        <f>E1909*F1909</f>
        <v/>
      </c>
      <c r="H1909" s="14">
        <f>C1909*G1909</f>
        <v/>
      </c>
    </row>
    <row r="1910">
      <c r="A1910" s="12" t="inlineStr">
        <is>
          <t>RET-0153</t>
        </is>
      </c>
      <c r="B1910" s="12" t="inlineStr">
        <is>
          <t>VS05</t>
        </is>
      </c>
      <c r="C1910" s="28" t="n">
        <v>0.0182</v>
      </c>
      <c r="D1910" s="12" t="inlineStr">
        <is>
          <t>PO-2022-2052</t>
        </is>
      </c>
      <c r="E1910" s="12" t="n">
        <v>1.56</v>
      </c>
      <c r="F1910" s="17" t="n">
        <v>96151.77</v>
      </c>
      <c r="G1910" s="14">
        <f>E1910*F1910</f>
        <v/>
      </c>
      <c r="H1910" s="14">
        <f>C1910*G1910</f>
        <v/>
      </c>
    </row>
    <row r="1911">
      <c r="A1911" s="12" t="inlineStr">
        <is>
          <t>RET-0153</t>
        </is>
      </c>
      <c r="B1911" s="12" t="inlineStr">
        <is>
          <t>VS06</t>
        </is>
      </c>
      <c r="C1911" s="28" t="n">
        <v>0.0184</v>
      </c>
      <c r="D1911" s="12" t="inlineStr">
        <is>
          <t>PO-2023-4659</t>
        </is>
      </c>
      <c r="E1911" s="12" t="n">
        <v>1.53</v>
      </c>
      <c r="F1911" s="17" t="n">
        <v>87652.73</v>
      </c>
      <c r="G1911" s="14">
        <f>E1911*F1911</f>
        <v/>
      </c>
      <c r="H1911" s="14">
        <f>C1911*G1911</f>
        <v/>
      </c>
    </row>
    <row r="1912">
      <c r="A1912" s="12" t="inlineStr">
        <is>
          <t>RET-0153</t>
        </is>
      </c>
      <c r="B1912" s="12" t="inlineStr">
        <is>
          <t>VS07</t>
        </is>
      </c>
      <c r="C1912" s="28" t="n">
        <v>0.0061</v>
      </c>
      <c r="D1912" s="12" t="inlineStr">
        <is>
          <t>PO-2023-3645</t>
        </is>
      </c>
      <c r="E1912" s="12" t="n">
        <v>1.56</v>
      </c>
      <c r="F1912" s="17" t="n">
        <v>49585.96</v>
      </c>
      <c r="G1912" s="14">
        <f>E1912*F1912</f>
        <v/>
      </c>
      <c r="H1912" s="14">
        <f>C1912*G1912</f>
        <v/>
      </c>
    </row>
    <row r="1913">
      <c r="A1913" s="12" t="inlineStr">
        <is>
          <t>RET-0153</t>
        </is>
      </c>
      <c r="B1913" s="12" t="inlineStr">
        <is>
          <t>VS08</t>
        </is>
      </c>
      <c r="C1913" s="28" t="n">
        <v>0.0185</v>
      </c>
      <c r="D1913" s="12" t="inlineStr">
        <is>
          <t>PO-2023-4457</t>
        </is>
      </c>
      <c r="E1913" s="12" t="n">
        <v>1.56</v>
      </c>
      <c r="F1913" s="17" t="n">
        <v>87366</v>
      </c>
      <c r="G1913" s="14">
        <f>E1913*F1913</f>
        <v/>
      </c>
      <c r="H1913" s="14">
        <f>C1913*G1913</f>
        <v/>
      </c>
    </row>
    <row r="1914">
      <c r="A1914" s="12" t="inlineStr">
        <is>
          <t>RET-0153</t>
        </is>
      </c>
      <c r="B1914" s="12" t="inlineStr">
        <is>
          <t>VS09</t>
        </is>
      </c>
      <c r="C1914" s="28" t="n">
        <v>0.0142</v>
      </c>
      <c r="D1914" s="12" t="inlineStr">
        <is>
          <t>PO-2023-4033</t>
        </is>
      </c>
      <c r="E1914" s="12" t="n">
        <v>1.56</v>
      </c>
      <c r="F1914" s="17" t="n">
        <v>81634.07000000001</v>
      </c>
      <c r="G1914" s="14">
        <f>E1914*F1914</f>
        <v/>
      </c>
      <c r="H1914" s="14">
        <f>C1914*G1914</f>
        <v/>
      </c>
    </row>
    <row r="1915">
      <c r="A1915" s="12" t="inlineStr">
        <is>
          <t>RET-0153</t>
        </is>
      </c>
      <c r="B1915" s="12" t="inlineStr">
        <is>
          <t>VS10</t>
        </is>
      </c>
      <c r="C1915" s="28" t="n">
        <v>0.0223</v>
      </c>
      <c r="D1915" s="12" t="inlineStr">
        <is>
          <t>PO-2023-3544</t>
        </is>
      </c>
      <c r="E1915" s="12" t="n">
        <v>1.56</v>
      </c>
      <c r="F1915" s="17" t="n">
        <v>69664.00999999999</v>
      </c>
      <c r="G1915" s="14">
        <f>E1915*F1915</f>
        <v/>
      </c>
      <c r="H1915" s="14">
        <f>C1915*G1915</f>
        <v/>
      </c>
    </row>
    <row r="1916">
      <c r="A1916" s="12" t="inlineStr">
        <is>
          <t>RET-0153</t>
        </is>
      </c>
      <c r="B1916" s="12" t="inlineStr">
        <is>
          <t>VS11</t>
        </is>
      </c>
      <c r="C1916" s="28" t="n">
        <v>0.0262</v>
      </c>
      <c r="D1916" s="12" t="inlineStr">
        <is>
          <t>PO-2021-0835</t>
        </is>
      </c>
      <c r="E1916" s="12" t="n">
        <v>1.56</v>
      </c>
      <c r="F1916" s="17" t="n">
        <v>71393.48</v>
      </c>
      <c r="G1916" s="14">
        <f>E1916*F1916</f>
        <v/>
      </c>
      <c r="H1916" s="14">
        <f>C1916*G1916</f>
        <v/>
      </c>
    </row>
    <row r="1917">
      <c r="A1917" s="12" t="inlineStr">
        <is>
          <t>RET-0153</t>
        </is>
      </c>
      <c r="B1917" s="12" t="inlineStr">
        <is>
          <t>VS12</t>
        </is>
      </c>
      <c r="C1917" s="28" t="n">
        <v>0.2054</v>
      </c>
      <c r="D1917" s="12" t="inlineStr">
        <is>
          <t>PO-2022-3134</t>
        </is>
      </c>
      <c r="E1917" s="12" t="n">
        <v>1.56</v>
      </c>
      <c r="F1917" s="17" t="n">
        <v>57834.29</v>
      </c>
      <c r="G1917" s="14">
        <f>E1917*F1917</f>
        <v/>
      </c>
      <c r="H1917" s="14">
        <f>C1917*G1917</f>
        <v/>
      </c>
    </row>
    <row r="1918">
      <c r="A1918" s="12" t="inlineStr">
        <is>
          <t>RET-0153</t>
        </is>
      </c>
      <c r="B1918" s="12" t="inlineStr">
        <is>
          <t>VS13</t>
        </is>
      </c>
      <c r="C1918" s="28" t="n">
        <v>0.018</v>
      </c>
      <c r="D1918" s="12" t="inlineStr">
        <is>
          <t>PO-2022-2505</t>
        </is>
      </c>
      <c r="E1918" s="12" t="n">
        <v>1.56</v>
      </c>
      <c r="F1918" s="17" t="n">
        <v>103130.4</v>
      </c>
      <c r="G1918" s="14">
        <f>E1918*F1918</f>
        <v/>
      </c>
      <c r="H1918" s="14">
        <f>C1918*G1918</f>
        <v/>
      </c>
    </row>
    <row r="1919">
      <c r="A1919" s="12" t="inlineStr">
        <is>
          <t>RET-0153</t>
        </is>
      </c>
      <c r="B1919" s="12" t="inlineStr">
        <is>
          <t>VS14</t>
        </is>
      </c>
      <c r="C1919" s="28" t="n">
        <v>0.0182</v>
      </c>
      <c r="D1919" s="12" t="inlineStr">
        <is>
          <t>PO-2023-3401</t>
        </is>
      </c>
      <c r="E1919" s="12" t="n">
        <v>1.56</v>
      </c>
      <c r="F1919" s="17" t="n">
        <v>116273.67</v>
      </c>
      <c r="G1919" s="14">
        <f>E1919*F1919</f>
        <v/>
      </c>
      <c r="H1919" s="14">
        <f>C1919*G1919</f>
        <v/>
      </c>
    </row>
    <row r="1920">
      <c r="A1920" s="12" t="inlineStr">
        <is>
          <t>RET-0153</t>
        </is>
      </c>
      <c r="B1920" s="12" t="inlineStr">
        <is>
          <t>VS15</t>
        </is>
      </c>
      <c r="C1920" s="28" t="n">
        <v>0.0061</v>
      </c>
      <c r="D1920" s="12" t="inlineStr">
        <is>
          <t>PO-2021-1481</t>
        </is>
      </c>
      <c r="E1920" s="12" t="n">
        <v>1.56</v>
      </c>
      <c r="F1920" s="17" t="n">
        <v>119051.2</v>
      </c>
      <c r="G1920" s="14">
        <f>E1920*F1920</f>
        <v/>
      </c>
      <c r="H1920" s="14">
        <f>C1920*G1920</f>
        <v/>
      </c>
    </row>
    <row r="1921">
      <c r="A1921" s="12" t="inlineStr">
        <is>
          <t>RET-0153</t>
        </is>
      </c>
      <c r="B1921" s="12" t="inlineStr">
        <is>
          <t>VS16</t>
        </is>
      </c>
      <c r="C1921" s="28" t="n">
        <v>0.0262</v>
      </c>
      <c r="D1921" s="12" t="inlineStr">
        <is>
          <t>PO-2023-4701</t>
        </is>
      </c>
      <c r="E1921" s="12" t="n">
        <v>1.56</v>
      </c>
      <c r="F1921" s="17" t="n">
        <v>48736.53</v>
      </c>
      <c r="G1921" s="14">
        <f>E1921*F1921</f>
        <v/>
      </c>
      <c r="H1921" s="14">
        <f>C1921*G1921</f>
        <v/>
      </c>
    </row>
    <row r="1922">
      <c r="A1922" s="12" t="inlineStr">
        <is>
          <t>RET-0153</t>
        </is>
      </c>
      <c r="B1922" s="12" t="inlineStr">
        <is>
          <t>VS17</t>
        </is>
      </c>
      <c r="C1922" s="28" t="n">
        <v>0.0261</v>
      </c>
      <c r="D1922" s="12" t="inlineStr">
        <is>
          <t>PO-2023-3269</t>
        </is>
      </c>
      <c r="E1922" s="12" t="n">
        <v>1.56</v>
      </c>
      <c r="F1922" s="17" t="n">
        <v>95701.62</v>
      </c>
      <c r="G1922" s="14">
        <f>E1922*F1922</f>
        <v/>
      </c>
      <c r="H1922" s="14">
        <f>C1922*G1922</f>
        <v/>
      </c>
    </row>
    <row r="1923">
      <c r="A1923" s="12" t="inlineStr">
        <is>
          <t>RET-0153</t>
        </is>
      </c>
      <c r="B1923" s="12" t="inlineStr">
        <is>
          <t>VS18</t>
        </is>
      </c>
      <c r="C1923" s="28" t="n">
        <v>0.0182</v>
      </c>
      <c r="D1923" s="12" t="inlineStr">
        <is>
          <t>PO-2022-1782</t>
        </is>
      </c>
      <c r="E1923" s="12" t="n">
        <v>1.56</v>
      </c>
      <c r="F1923" s="17" t="n">
        <v>71831.07000000001</v>
      </c>
      <c r="G1923" s="14">
        <f>E1923*F1923</f>
        <v/>
      </c>
      <c r="H1923" s="14">
        <f>C1923*G1923</f>
        <v/>
      </c>
    </row>
    <row r="1924">
      <c r="A1924" s="12" t="inlineStr">
        <is>
          <t>RET-0153</t>
        </is>
      </c>
      <c r="B1924" s="12" t="inlineStr">
        <is>
          <t>VS19</t>
        </is>
      </c>
      <c r="C1924" s="28" t="n">
        <v>0.1549</v>
      </c>
      <c r="D1924" s="12" t="inlineStr">
        <is>
          <t>PO-2023-4600</t>
        </is>
      </c>
      <c r="E1924" s="12" t="n">
        <v>1.56</v>
      </c>
      <c r="F1924" s="17" t="n">
        <v>58523.22</v>
      </c>
      <c r="G1924" s="14">
        <f>E1924*F1924</f>
        <v/>
      </c>
      <c r="H1924" s="14">
        <f>C1924*G1924</f>
        <v/>
      </c>
    </row>
    <row r="1925">
      <c r="A1925" s="12" t="inlineStr">
        <is>
          <t>RET-0153</t>
        </is>
      </c>
      <c r="B1925" s="12" t="inlineStr">
        <is>
          <t>VS20</t>
        </is>
      </c>
      <c r="C1925" s="28" t="n">
        <v>0.0102</v>
      </c>
      <c r="D1925" s="12" t="inlineStr">
        <is>
          <t>PO-2022-1752</t>
        </is>
      </c>
      <c r="E1925" s="12" t="n">
        <v>1.56</v>
      </c>
      <c r="F1925" s="17" t="n">
        <v>94519</v>
      </c>
      <c r="G1925" s="14">
        <f>E1925*F1925</f>
        <v/>
      </c>
      <c r="H1925" s="14">
        <f>C1925*G1925</f>
        <v/>
      </c>
    </row>
    <row r="1926">
      <c r="A1926" s="12" t="inlineStr">
        <is>
          <t>RET-0153</t>
        </is>
      </c>
      <c r="B1926" s="12" t="inlineStr">
        <is>
          <t>VS21</t>
        </is>
      </c>
      <c r="C1926" s="28" t="n">
        <v>0.0101</v>
      </c>
      <c r="D1926" s="12" t="inlineStr">
        <is>
          <t>PO-2021-0424</t>
        </is>
      </c>
      <c r="E1926" s="12" t="n">
        <v>1.56</v>
      </c>
      <c r="F1926" s="17" t="n">
        <v>108537.55</v>
      </c>
      <c r="G1926" s="14">
        <f>E1926*F1926</f>
        <v/>
      </c>
      <c r="H1926" s="14">
        <f>C1926*G1926</f>
        <v/>
      </c>
    </row>
    <row r="1927">
      <c r="A1927" s="12" t="inlineStr">
        <is>
          <t>RET-0153</t>
        </is>
      </c>
      <c r="B1927" s="12" t="inlineStr">
        <is>
          <t>VS22</t>
        </is>
      </c>
      <c r="C1927" s="28" t="n">
        <v>0.006</v>
      </c>
      <c r="D1927" s="12" t="inlineStr">
        <is>
          <t>PO-2022-1734</t>
        </is>
      </c>
      <c r="E1927" s="12" t="n">
        <v>1.56</v>
      </c>
      <c r="F1927" s="17" t="n">
        <v>64787.41</v>
      </c>
      <c r="G1927" s="14">
        <f>E1927*F1927</f>
        <v/>
      </c>
      <c r="H1927" s="14">
        <f>C1927*G1927</f>
        <v/>
      </c>
    </row>
    <row r="1928">
      <c r="A1928" s="12" t="inlineStr">
        <is>
          <t>RET-0153</t>
        </is>
      </c>
      <c r="B1928" s="12" t="inlineStr">
        <is>
          <t>VS23</t>
        </is>
      </c>
      <c r="C1928" s="28" t="n">
        <v>0.01</v>
      </c>
      <c r="D1928" s="12" t="inlineStr">
        <is>
          <t>PO-2022-2847</t>
        </is>
      </c>
      <c r="E1928" s="12" t="n">
        <v>1.56</v>
      </c>
      <c r="F1928" s="17" t="n">
        <v>102520.13</v>
      </c>
      <c r="G1928" s="14">
        <f>E1928*F1928</f>
        <v/>
      </c>
      <c r="H1928" s="14">
        <f>C1928*G1928</f>
        <v/>
      </c>
    </row>
    <row r="1929">
      <c r="A1929" s="12" t="inlineStr">
        <is>
          <t>RET-0153</t>
        </is>
      </c>
      <c r="B1929" s="12" t="inlineStr">
        <is>
          <t>VS24</t>
        </is>
      </c>
      <c r="C1929" s="28" t="n">
        <v>0.0101</v>
      </c>
      <c r="D1929" s="12" t="inlineStr">
        <is>
          <t>PO-2023-3921</t>
        </is>
      </c>
      <c r="E1929" s="12" t="n">
        <v>1.56</v>
      </c>
      <c r="F1929" s="17" t="n">
        <v>116616.96</v>
      </c>
      <c r="G1929" s="14">
        <f>E1929*F1929</f>
        <v/>
      </c>
      <c r="H1929" s="14">
        <f>C1929*G1929</f>
        <v/>
      </c>
    </row>
    <row r="1930">
      <c r="A1930" s="12" t="inlineStr">
        <is>
          <t>RET-0153</t>
        </is>
      </c>
      <c r="B1930" s="12" t="inlineStr">
        <is>
          <t>VS25</t>
        </is>
      </c>
      <c r="C1930" s="28" t="n">
        <v>0.0183</v>
      </c>
      <c r="D1930" s="12" t="inlineStr">
        <is>
          <t>PO-2023-3776</t>
        </is>
      </c>
      <c r="E1930" s="12" t="n">
        <v>1.56</v>
      </c>
      <c r="F1930" s="17" t="n">
        <v>62714.09</v>
      </c>
      <c r="G1930" s="14">
        <f>E1930*F1930</f>
        <v/>
      </c>
      <c r="H1930" s="14">
        <f>C1930*G1930</f>
        <v/>
      </c>
    </row>
    <row r="1931">
      <c r="A1931" s="12" t="inlineStr">
        <is>
          <t>RET-0153</t>
        </is>
      </c>
      <c r="B1931" s="12" t="inlineStr">
        <is>
          <t>VS26</t>
        </is>
      </c>
      <c r="C1931" s="28" t="n">
        <v>0.0102</v>
      </c>
      <c r="D1931" s="12" t="inlineStr">
        <is>
          <t>PO-2023-3392</t>
        </is>
      </c>
      <c r="E1931" s="12" t="n">
        <v>1.56</v>
      </c>
      <c r="F1931" s="17" t="n">
        <v>57817.6</v>
      </c>
      <c r="G1931" s="14">
        <f>E1931*F1931</f>
        <v/>
      </c>
      <c r="H1931" s="14">
        <f>C1931*G1931</f>
        <v/>
      </c>
    </row>
    <row r="1932">
      <c r="A1932" s="12" t="inlineStr">
        <is>
          <t>RET-0153</t>
        </is>
      </c>
      <c r="B1932" s="12" t="inlineStr">
        <is>
          <t>VS27</t>
        </is>
      </c>
      <c r="C1932" s="28" t="n">
        <v>0.01</v>
      </c>
      <c r="D1932" s="12" t="inlineStr">
        <is>
          <t>PO-2022-2035</t>
        </is>
      </c>
      <c r="E1932" s="12" t="n">
        <v>1.56</v>
      </c>
      <c r="F1932" s="17" t="n">
        <v>66291.58</v>
      </c>
      <c r="G1932" s="14">
        <f>E1932*F1932</f>
        <v/>
      </c>
      <c r="H1932" s="14">
        <f>C1932*G1932</f>
        <v/>
      </c>
    </row>
    <row r="1933">
      <c r="A1933" s="12" t="inlineStr">
        <is>
          <t>RET-0153</t>
        </is>
      </c>
      <c r="B1933" s="12" t="inlineStr">
        <is>
          <t>VS28</t>
        </is>
      </c>
      <c r="C1933" s="28" t="n">
        <v>0.0223</v>
      </c>
      <c r="D1933" s="12" t="inlineStr">
        <is>
          <t>PO-2023-4572</t>
        </is>
      </c>
      <c r="E1933" s="12" t="n">
        <v>1.56</v>
      </c>
      <c r="F1933" s="17" t="n">
        <v>73826.96000000001</v>
      </c>
      <c r="G1933" s="14">
        <f>E1933*F1933</f>
        <v/>
      </c>
      <c r="H1933" s="14">
        <f>C1933*G1933</f>
        <v/>
      </c>
    </row>
    <row r="1934">
      <c r="A1934" s="12" t="inlineStr">
        <is>
          <t>RET-0153</t>
        </is>
      </c>
      <c r="B1934" s="12" t="inlineStr">
        <is>
          <t>VS29</t>
        </is>
      </c>
      <c r="C1934" s="28" t="n">
        <v>0.0142</v>
      </c>
      <c r="D1934" s="12" t="inlineStr">
        <is>
          <t>PO-2021-0979</t>
        </is>
      </c>
      <c r="E1934" s="12" t="n">
        <v>1.56</v>
      </c>
      <c r="F1934" s="17" t="n">
        <v>49204.08</v>
      </c>
      <c r="G1934" s="14">
        <f>E1934*F1934</f>
        <v/>
      </c>
      <c r="H1934" s="14">
        <f>C1934*G1934</f>
        <v/>
      </c>
    </row>
    <row r="1935">
      <c r="A1935" s="12" t="inlineStr">
        <is>
          <t>RET-0153</t>
        </is>
      </c>
      <c r="B1935" s="12" t="inlineStr">
        <is>
          <t>VS30</t>
        </is>
      </c>
      <c r="C1935" s="28" t="n">
        <v>0.0061</v>
      </c>
      <c r="D1935" s="12" t="inlineStr">
        <is>
          <t>PO-2021-0722</t>
        </is>
      </c>
      <c r="E1935" s="12" t="n">
        <v>1.56</v>
      </c>
      <c r="F1935" s="17" t="n">
        <v>64336.48</v>
      </c>
      <c r="G1935" s="14">
        <f>E1935*F1935</f>
        <v/>
      </c>
      <c r="H1935" s="14">
        <f>C1935*G1935</f>
        <v/>
      </c>
    </row>
    <row r="1936">
      <c r="A1936" s="12" t="inlineStr">
        <is>
          <t>RET-0153</t>
        </is>
      </c>
      <c r="B1936" s="12" t="inlineStr">
        <is>
          <t>VS31</t>
        </is>
      </c>
      <c r="C1936" s="28" t="n">
        <v>0.0222</v>
      </c>
      <c r="D1936" s="12" t="inlineStr">
        <is>
          <t>PO-2022-2534</t>
        </is>
      </c>
      <c r="E1936" s="12" t="n">
        <v>1.56</v>
      </c>
      <c r="F1936" s="17" t="n">
        <v>72778.50999999999</v>
      </c>
      <c r="G1936" s="14">
        <f>E1936*F1936</f>
        <v/>
      </c>
      <c r="H1936" s="14">
        <f>C1936*G1936</f>
        <v/>
      </c>
    </row>
    <row r="1937">
      <c r="A1937" s="12" t="inlineStr">
        <is>
          <t>RET-0153</t>
        </is>
      </c>
      <c r="B1937" s="12" t="inlineStr">
        <is>
          <t>VS32</t>
        </is>
      </c>
      <c r="C1937" s="28" t="n">
        <v>0.0264</v>
      </c>
      <c r="D1937" s="12" t="inlineStr">
        <is>
          <t>PO-2021-0353</t>
        </is>
      </c>
      <c r="E1937" s="12" t="n">
        <v>1.31</v>
      </c>
      <c r="F1937" s="17" t="n">
        <v>86373.27</v>
      </c>
      <c r="G1937" s="14">
        <f>E1937*F1937</f>
        <v/>
      </c>
      <c r="H1937" s="14">
        <f>C1937*G1937</f>
        <v/>
      </c>
    </row>
    <row r="1938">
      <c r="A1938" s="12" t="inlineStr">
        <is>
          <t>RET-0153</t>
        </is>
      </c>
      <c r="B1938" s="12" t="inlineStr">
        <is>
          <t>VS33</t>
        </is>
      </c>
      <c r="C1938" s="28" t="n">
        <v>0.0141</v>
      </c>
      <c r="D1938" s="12" t="inlineStr">
        <is>
          <t>PO-2021-0103</t>
        </is>
      </c>
      <c r="E1938" s="12" t="n">
        <v>1.56</v>
      </c>
      <c r="F1938" s="17" t="n">
        <v>85694.52</v>
      </c>
      <c r="G1938" s="14">
        <f>E1938*F1938</f>
        <v/>
      </c>
      <c r="H1938" s="14">
        <f>C1938*G1938</f>
        <v/>
      </c>
    </row>
    <row r="1939">
      <c r="A1939" s="12" t="inlineStr">
        <is>
          <t>RET-0153</t>
        </is>
      </c>
      <c r="B1939" s="12" t="inlineStr">
        <is>
          <t>VS34</t>
        </is>
      </c>
      <c r="C1939" s="28" t="n">
        <v>0.0182</v>
      </c>
      <c r="D1939" s="12" t="inlineStr">
        <is>
          <t>PO-2022-2705</t>
        </is>
      </c>
      <c r="E1939" s="12" t="n">
        <v>1.388</v>
      </c>
      <c r="F1939" s="17" t="n">
        <v>58862.16</v>
      </c>
      <c r="G1939" s="14">
        <f>E1939*F1939</f>
        <v/>
      </c>
      <c r="H1939" s="14">
        <f>C1939*G1939</f>
        <v/>
      </c>
    </row>
    <row r="1940">
      <c r="A1940" s="12" t="inlineStr">
        <is>
          <t>RET-0157</t>
        </is>
      </c>
      <c r="B1940" s="12" t="inlineStr">
        <is>
          <t>VS01</t>
        </is>
      </c>
      <c r="C1940" s="28" t="n">
        <v>0.0276</v>
      </c>
      <c r="D1940" s="12" t="inlineStr">
        <is>
          <t>PO-2021-1578</t>
        </is>
      </c>
      <c r="E1940" s="12" t="n">
        <v>1.15</v>
      </c>
      <c r="F1940" s="17" t="n">
        <v>106369.15</v>
      </c>
      <c r="G1940" s="14">
        <f>E1940*F1940</f>
        <v/>
      </c>
      <c r="H1940" s="14">
        <f>C1940*G1940</f>
        <v/>
      </c>
    </row>
    <row r="1941">
      <c r="A1941" s="12" t="inlineStr">
        <is>
          <t>RET-0157</t>
        </is>
      </c>
      <c r="B1941" s="12" t="inlineStr">
        <is>
          <t>VS02</t>
        </is>
      </c>
      <c r="C1941" s="28" t="n">
        <v>0.0126</v>
      </c>
      <c r="D1941" s="12" t="inlineStr">
        <is>
          <t>PO-2022-2803</t>
        </is>
      </c>
      <c r="E1941" s="12" t="n">
        <v>1.15</v>
      </c>
      <c r="F1941" s="17" t="n">
        <v>112482.51</v>
      </c>
      <c r="G1941" s="14">
        <f>E1941*F1941</f>
        <v/>
      </c>
      <c r="H1941" s="14">
        <f>C1941*G1941</f>
        <v/>
      </c>
    </row>
    <row r="1942">
      <c r="A1942" s="12" t="inlineStr">
        <is>
          <t>RET-0157</t>
        </is>
      </c>
      <c r="B1942" s="12" t="inlineStr">
        <is>
          <t>VS03</t>
        </is>
      </c>
      <c r="C1942" s="28" t="n">
        <v>0.1141</v>
      </c>
      <c r="D1942" s="12" t="inlineStr">
        <is>
          <t>PO-2023-4750</t>
        </is>
      </c>
      <c r="E1942" s="12" t="n">
        <v>1.15</v>
      </c>
      <c r="F1942" s="17" t="n">
        <v>49550.74</v>
      </c>
      <c r="G1942" s="14">
        <f>E1942*F1942</f>
        <v/>
      </c>
      <c r="H1942" s="14">
        <f>C1942*G1942</f>
        <v/>
      </c>
    </row>
    <row r="1943">
      <c r="A1943" s="12" t="inlineStr">
        <is>
          <t>RET-0157</t>
        </is>
      </c>
      <c r="B1943" s="12" t="inlineStr">
        <is>
          <t>VS04</t>
        </is>
      </c>
      <c r="C1943" s="28" t="n">
        <v>0.0173</v>
      </c>
      <c r="D1943" s="12" t="inlineStr">
        <is>
          <t>PO-2023-4733</t>
        </is>
      </c>
      <c r="E1943" s="12" t="n">
        <v>1.15</v>
      </c>
      <c r="F1943" s="17" t="n">
        <v>69976.94</v>
      </c>
      <c r="G1943" s="14">
        <f>E1943*F1943</f>
        <v/>
      </c>
      <c r="H1943" s="14">
        <f>C1943*G1943</f>
        <v/>
      </c>
    </row>
    <row r="1944">
      <c r="A1944" s="12" t="inlineStr">
        <is>
          <t>RET-0157</t>
        </is>
      </c>
      <c r="B1944" s="12" t="inlineStr">
        <is>
          <t>VS05</t>
        </is>
      </c>
      <c r="C1944" s="28" t="n">
        <v>0.0225</v>
      </c>
      <c r="D1944" s="12" t="inlineStr">
        <is>
          <t>PO-2023-3967</t>
        </is>
      </c>
      <c r="E1944" s="12" t="n">
        <v>1.15</v>
      </c>
      <c r="F1944" s="17" t="n">
        <v>66623.75</v>
      </c>
      <c r="G1944" s="14">
        <f>E1944*F1944</f>
        <v/>
      </c>
      <c r="H1944" s="14">
        <f>C1944*G1944</f>
        <v/>
      </c>
    </row>
    <row r="1945">
      <c r="A1945" s="12" t="inlineStr">
        <is>
          <t>RET-0157</t>
        </is>
      </c>
      <c r="B1945" s="12" t="inlineStr">
        <is>
          <t>VS06</t>
        </is>
      </c>
      <c r="C1945" s="28" t="n">
        <v>0.0227</v>
      </c>
      <c r="D1945" s="12" t="inlineStr">
        <is>
          <t>PO-2022-3075</t>
        </is>
      </c>
      <c r="E1945" s="12" t="n">
        <v>1.15</v>
      </c>
      <c r="F1945" s="17" t="n">
        <v>118104.34</v>
      </c>
      <c r="G1945" s="14">
        <f>E1945*F1945</f>
        <v/>
      </c>
      <c r="H1945" s="14">
        <f>C1945*G1945</f>
        <v/>
      </c>
    </row>
    <row r="1946">
      <c r="A1946" s="12" t="inlineStr">
        <is>
          <t>RET-0157</t>
        </is>
      </c>
      <c r="B1946" s="12" t="inlineStr">
        <is>
          <t>VS07</t>
        </is>
      </c>
      <c r="C1946" s="28" t="n">
        <v>0.0076</v>
      </c>
      <c r="D1946" s="12" t="inlineStr">
        <is>
          <t>PO-2022-1675</t>
        </is>
      </c>
      <c r="E1946" s="12" t="n">
        <v>1.15</v>
      </c>
      <c r="F1946" s="17" t="n">
        <v>89692.08</v>
      </c>
      <c r="G1946" s="14">
        <f>E1946*F1946</f>
        <v/>
      </c>
      <c r="H1946" s="14">
        <f>C1946*G1946</f>
        <v/>
      </c>
    </row>
    <row r="1947">
      <c r="A1947" s="12" t="inlineStr">
        <is>
          <t>RET-0157</t>
        </is>
      </c>
      <c r="B1947" s="12" t="inlineStr">
        <is>
          <t>VS08</t>
        </is>
      </c>
      <c r="C1947" s="28" t="n">
        <v>0.0228</v>
      </c>
      <c r="D1947" s="12" t="inlineStr">
        <is>
          <t>PO-2021-1480</t>
        </is>
      </c>
      <c r="E1947" s="12" t="n">
        <v>1.15</v>
      </c>
      <c r="F1947" s="17" t="n">
        <v>81691.38</v>
      </c>
      <c r="G1947" s="14">
        <f>E1947*F1947</f>
        <v/>
      </c>
      <c r="H1947" s="14">
        <f>C1947*G1947</f>
        <v/>
      </c>
    </row>
    <row r="1948">
      <c r="A1948" s="12" t="inlineStr">
        <is>
          <t>RET-0157</t>
        </is>
      </c>
      <c r="B1948" s="12" t="inlineStr">
        <is>
          <t>VS09</t>
        </is>
      </c>
      <c r="C1948" s="28" t="n">
        <v>0.0175</v>
      </c>
      <c r="D1948" s="12" t="inlineStr">
        <is>
          <t>PO-2022-2158</t>
        </is>
      </c>
      <c r="E1948" s="12" t="n">
        <v>1.15</v>
      </c>
      <c r="F1948" s="17" t="n">
        <v>79307.50999999999</v>
      </c>
      <c r="G1948" s="14">
        <f>E1948*F1948</f>
        <v/>
      </c>
      <c r="H1948" s="14">
        <f>C1948*G1948</f>
        <v/>
      </c>
    </row>
    <row r="1949">
      <c r="A1949" s="12" t="inlineStr">
        <is>
          <t>RET-0157</t>
        </is>
      </c>
      <c r="B1949" s="12" t="inlineStr">
        <is>
          <t>VS10</t>
        </is>
      </c>
      <c r="C1949" s="28" t="n">
        <v>0.0276</v>
      </c>
      <c r="D1949" s="12" t="inlineStr">
        <is>
          <t>PO-2021-1257</t>
        </is>
      </c>
      <c r="E1949" s="12" t="n">
        <v>1.15</v>
      </c>
      <c r="F1949" s="17" t="n">
        <v>119326.51</v>
      </c>
      <c r="G1949" s="14">
        <f>E1949*F1949</f>
        <v/>
      </c>
      <c r="H1949" s="14">
        <f>C1949*G1949</f>
        <v/>
      </c>
    </row>
    <row r="1950">
      <c r="A1950" s="12" t="inlineStr">
        <is>
          <t>RET-0157</t>
        </is>
      </c>
      <c r="B1950" s="12" t="inlineStr">
        <is>
          <t>VS11</t>
        </is>
      </c>
      <c r="C1950" s="28" t="n">
        <v>0.0323</v>
      </c>
      <c r="D1950" s="12" t="inlineStr">
        <is>
          <t>PO-2023-3612</t>
        </is>
      </c>
      <c r="E1950" s="12" t="n">
        <v>1.15</v>
      </c>
      <c r="F1950" s="17" t="n">
        <v>114196.8</v>
      </c>
      <c r="G1950" s="14">
        <f>E1950*F1950</f>
        <v/>
      </c>
      <c r="H1950" s="14">
        <f>C1950*G1950</f>
        <v/>
      </c>
    </row>
    <row r="1951">
      <c r="A1951" s="12" t="inlineStr">
        <is>
          <t>RET-0157</t>
        </is>
      </c>
      <c r="B1951" s="12" t="inlineStr">
        <is>
          <t>VS12</t>
        </is>
      </c>
      <c r="C1951" s="28" t="n">
        <v>0.1586</v>
      </c>
      <c r="D1951" s="12" t="inlineStr">
        <is>
          <t>PO-2021-0769</t>
        </is>
      </c>
      <c r="E1951" s="12" t="n">
        <v>1.15</v>
      </c>
      <c r="F1951" s="17" t="n">
        <v>56553.06</v>
      </c>
      <c r="G1951" s="14">
        <f>E1951*F1951</f>
        <v/>
      </c>
      <c r="H1951" s="14">
        <f>C1951*G1951</f>
        <v/>
      </c>
    </row>
    <row r="1952">
      <c r="A1952" s="12" t="inlineStr">
        <is>
          <t>RET-0157</t>
        </is>
      </c>
      <c r="B1952" s="12" t="inlineStr">
        <is>
          <t>VS13</t>
        </is>
      </c>
      <c r="C1952" s="28" t="n">
        <v>0.0223</v>
      </c>
      <c r="D1952" s="12" t="inlineStr">
        <is>
          <t>PO-2023-3604</t>
        </is>
      </c>
      <c r="E1952" s="12" t="n">
        <v>1.15</v>
      </c>
      <c r="F1952" s="17" t="n">
        <v>86306.91</v>
      </c>
      <c r="G1952" s="14">
        <f>E1952*F1952</f>
        <v/>
      </c>
      <c r="H1952" s="14">
        <f>C1952*G1952</f>
        <v/>
      </c>
    </row>
    <row r="1953">
      <c r="A1953" s="12" t="inlineStr">
        <is>
          <t>RET-0157</t>
        </is>
      </c>
      <c r="B1953" s="12" t="inlineStr">
        <is>
          <t>VS14</t>
        </is>
      </c>
      <c r="C1953" s="28" t="n">
        <v>0.0225</v>
      </c>
      <c r="D1953" s="12" t="inlineStr">
        <is>
          <t>PO-2022-2247</t>
        </is>
      </c>
      <c r="E1953" s="12" t="n">
        <v>1.15</v>
      </c>
      <c r="F1953" s="17" t="n">
        <v>58927.9</v>
      </c>
      <c r="G1953" s="14">
        <f>E1953*F1953</f>
        <v/>
      </c>
      <c r="H1953" s="14">
        <f>C1953*G1953</f>
        <v/>
      </c>
    </row>
    <row r="1954">
      <c r="A1954" s="12" t="inlineStr">
        <is>
          <t>RET-0157</t>
        </is>
      </c>
      <c r="B1954" s="12" t="inlineStr">
        <is>
          <t>VS15</t>
        </is>
      </c>
      <c r="C1954" s="28" t="n">
        <v>0.0075</v>
      </c>
      <c r="D1954" s="12" t="inlineStr">
        <is>
          <t>PO-2022-1844</t>
        </is>
      </c>
      <c r="E1954" s="12" t="n">
        <v>1.15</v>
      </c>
      <c r="F1954" s="17" t="n">
        <v>58819.16</v>
      </c>
      <c r="G1954" s="14">
        <f>E1954*F1954</f>
        <v/>
      </c>
      <c r="H1954" s="14">
        <f>C1954*G1954</f>
        <v/>
      </c>
    </row>
    <row r="1955">
      <c r="A1955" s="12" t="inlineStr">
        <is>
          <t>RET-0157</t>
        </is>
      </c>
      <c r="B1955" s="12" t="inlineStr">
        <is>
          <t>VS16</t>
        </is>
      </c>
      <c r="C1955" s="28" t="n">
        <v>0.0324</v>
      </c>
      <c r="D1955" s="12" t="inlineStr">
        <is>
          <t>PO-2023-3816</t>
        </is>
      </c>
      <c r="E1955" s="12" t="n">
        <v>1.15</v>
      </c>
      <c r="F1955" s="17" t="n">
        <v>92670.2</v>
      </c>
      <c r="G1955" s="14">
        <f>E1955*F1955</f>
        <v/>
      </c>
      <c r="H1955" s="14">
        <f>C1955*G1955</f>
        <v/>
      </c>
    </row>
    <row r="1956">
      <c r="A1956" s="12" t="inlineStr">
        <is>
          <t>RET-0157</t>
        </is>
      </c>
      <c r="B1956" s="12" t="inlineStr">
        <is>
          <t>VS17</t>
        </is>
      </c>
      <c r="C1956" s="28" t="n">
        <v>0.0323</v>
      </c>
      <c r="D1956" s="12" t="inlineStr">
        <is>
          <t>PO-2021-0664</t>
        </is>
      </c>
      <c r="E1956" s="12" t="n">
        <v>1.15</v>
      </c>
      <c r="F1956" s="17" t="n">
        <v>88544.67</v>
      </c>
      <c r="G1956" s="14">
        <f>E1956*F1956</f>
        <v/>
      </c>
      <c r="H1956" s="14">
        <f>C1956*G1956</f>
        <v/>
      </c>
    </row>
    <row r="1957">
      <c r="A1957" s="12" t="inlineStr">
        <is>
          <t>RET-0157</t>
        </is>
      </c>
      <c r="B1957" s="12" t="inlineStr">
        <is>
          <t>VS18</t>
        </is>
      </c>
      <c r="C1957" s="28" t="n">
        <v>0.0225</v>
      </c>
      <c r="D1957" s="12" t="inlineStr">
        <is>
          <t>PO-2023-3272</t>
        </is>
      </c>
      <c r="E1957" s="12" t="n">
        <v>1.15</v>
      </c>
      <c r="F1957" s="17" t="n">
        <v>52770.85</v>
      </c>
      <c r="G1957" s="14">
        <f>E1957*F1957</f>
        <v/>
      </c>
      <c r="H1957" s="14">
        <f>C1957*G1957</f>
        <v/>
      </c>
    </row>
    <row r="1958">
      <c r="A1958" s="12" t="inlineStr">
        <is>
          <t>RET-0157</t>
        </is>
      </c>
      <c r="B1958" s="12" t="inlineStr">
        <is>
          <t>VS19</t>
        </is>
      </c>
      <c r="C1958" s="28" t="n">
        <v>0.1196</v>
      </c>
      <c r="D1958" s="12" t="inlineStr">
        <is>
          <t>PO-2022-1605</t>
        </is>
      </c>
      <c r="E1958" s="12" t="n">
        <v>1.15</v>
      </c>
      <c r="F1958" s="17" t="n">
        <v>115530.26</v>
      </c>
      <c r="G1958" s="14">
        <f>E1958*F1958</f>
        <v/>
      </c>
      <c r="H1958" s="14">
        <f>C1958*G1958</f>
        <v/>
      </c>
    </row>
    <row r="1959">
      <c r="A1959" s="12" t="inlineStr">
        <is>
          <t>RET-0157</t>
        </is>
      </c>
      <c r="B1959" s="12" t="inlineStr">
        <is>
          <t>VS20</t>
        </is>
      </c>
      <c r="C1959" s="28" t="n">
        <v>0.0125</v>
      </c>
      <c r="D1959" s="12" t="inlineStr">
        <is>
          <t>PO-2021-1544</t>
        </is>
      </c>
      <c r="E1959" s="12" t="n">
        <v>1.15</v>
      </c>
      <c r="F1959" s="17" t="n">
        <v>66041.7</v>
      </c>
      <c r="G1959" s="14">
        <f>E1959*F1959</f>
        <v/>
      </c>
      <c r="H1959" s="14">
        <f>C1959*G1959</f>
        <v/>
      </c>
    </row>
    <row r="1960">
      <c r="A1960" s="12" t="inlineStr">
        <is>
          <t>RET-0157</t>
        </is>
      </c>
      <c r="B1960" s="12" t="inlineStr">
        <is>
          <t>VS21</t>
        </is>
      </c>
      <c r="C1960" s="28" t="n">
        <v>0.0125</v>
      </c>
      <c r="D1960" s="12" t="inlineStr">
        <is>
          <t>PO-2022-1981</t>
        </is>
      </c>
      <c r="E1960" s="12" t="n">
        <v>1.15</v>
      </c>
      <c r="F1960" s="17" t="n">
        <v>110199.68</v>
      </c>
      <c r="G1960" s="14">
        <f>E1960*F1960</f>
        <v/>
      </c>
      <c r="H1960" s="14">
        <f>C1960*G1960</f>
        <v/>
      </c>
    </row>
    <row r="1961">
      <c r="A1961" s="12" t="inlineStr">
        <is>
          <t>RET-0157</t>
        </is>
      </c>
      <c r="B1961" s="12" t="inlineStr">
        <is>
          <t>VS22</t>
        </is>
      </c>
      <c r="C1961" s="28" t="n">
        <v>0.0074</v>
      </c>
      <c r="D1961" s="12" t="inlineStr">
        <is>
          <t>PO-2021-0137</t>
        </is>
      </c>
      <c r="E1961" s="12" t="n">
        <v>1.15</v>
      </c>
      <c r="F1961" s="17" t="n">
        <v>50647.45</v>
      </c>
      <c r="G1961" s="14">
        <f>E1961*F1961</f>
        <v/>
      </c>
      <c r="H1961" s="14">
        <f>C1961*G1961</f>
        <v/>
      </c>
    </row>
    <row r="1962">
      <c r="A1962" s="12" t="inlineStr">
        <is>
          <t>RET-0157</t>
        </is>
      </c>
      <c r="B1962" s="12" t="inlineStr">
        <is>
          <t>VS23</t>
        </is>
      </c>
      <c r="C1962" s="28" t="n">
        <v>0.0123</v>
      </c>
      <c r="D1962" s="12" t="inlineStr">
        <is>
          <t>PO-2023-3723</t>
        </is>
      </c>
      <c r="E1962" s="12" t="n">
        <v>1.15</v>
      </c>
      <c r="F1962" s="17" t="n">
        <v>91313.34</v>
      </c>
      <c r="G1962" s="14">
        <f>E1962*F1962</f>
        <v/>
      </c>
      <c r="H1962" s="14">
        <f>C1962*G1962</f>
        <v/>
      </c>
    </row>
    <row r="1963">
      <c r="A1963" s="12" t="inlineStr">
        <is>
          <t>RET-0157</t>
        </is>
      </c>
      <c r="B1963" s="12" t="inlineStr">
        <is>
          <t>VS24</t>
        </is>
      </c>
      <c r="C1963" s="28" t="n">
        <v>0.0125</v>
      </c>
      <c r="D1963" s="12" t="inlineStr">
        <is>
          <t>PO-2021-1474</t>
        </is>
      </c>
      <c r="E1963" s="12" t="n">
        <v>1.15</v>
      </c>
      <c r="F1963" s="17" t="n">
        <v>119136.31</v>
      </c>
      <c r="G1963" s="14">
        <f>E1963*F1963</f>
        <v/>
      </c>
      <c r="H1963" s="14">
        <f>C1963*G1963</f>
        <v/>
      </c>
    </row>
    <row r="1964">
      <c r="A1964" s="12" t="inlineStr">
        <is>
          <t>RET-0157</t>
        </is>
      </c>
      <c r="B1964" s="12" t="inlineStr">
        <is>
          <t>VS25</t>
        </is>
      </c>
      <c r="C1964" s="28" t="n">
        <v>0.0226</v>
      </c>
      <c r="D1964" s="12" t="inlineStr">
        <is>
          <t>PO-2021-0443</t>
        </is>
      </c>
      <c r="E1964" s="12" t="n">
        <v>1.15</v>
      </c>
      <c r="F1964" s="17" t="n">
        <v>92856.17</v>
      </c>
      <c r="G1964" s="14">
        <f>E1964*F1964</f>
        <v/>
      </c>
      <c r="H1964" s="14">
        <f>C1964*G1964</f>
        <v/>
      </c>
    </row>
    <row r="1965">
      <c r="A1965" s="12" t="inlineStr">
        <is>
          <t>RET-0157</t>
        </is>
      </c>
      <c r="B1965" s="12" t="inlineStr">
        <is>
          <t>VS26</t>
        </is>
      </c>
      <c r="C1965" s="28" t="n">
        <v>0.0126</v>
      </c>
      <c r="D1965" s="12" t="inlineStr">
        <is>
          <t>PO-2021-0980</t>
        </is>
      </c>
      <c r="E1965" s="12" t="n">
        <v>1.15</v>
      </c>
      <c r="F1965" s="17" t="n">
        <v>94038.75</v>
      </c>
      <c r="G1965" s="14">
        <f>E1965*F1965</f>
        <v/>
      </c>
      <c r="H1965" s="14">
        <f>C1965*G1965</f>
        <v/>
      </c>
    </row>
    <row r="1966">
      <c r="A1966" s="12" t="inlineStr">
        <is>
          <t>RET-0157</t>
        </is>
      </c>
      <c r="B1966" s="12" t="inlineStr">
        <is>
          <t>VS27</t>
        </is>
      </c>
      <c r="C1966" s="28" t="n">
        <v>0.0123</v>
      </c>
      <c r="D1966" s="12" t="inlineStr">
        <is>
          <t>PO-2023-4133</t>
        </is>
      </c>
      <c r="E1966" s="12" t="n">
        <v>1.15</v>
      </c>
      <c r="F1966" s="17" t="n">
        <v>85379.99000000001</v>
      </c>
      <c r="G1966" s="14">
        <f>E1966*F1966</f>
        <v/>
      </c>
      <c r="H1966" s="14">
        <f>C1966*G1966</f>
        <v/>
      </c>
    </row>
    <row r="1967">
      <c r="A1967" s="12" t="inlineStr">
        <is>
          <t>RET-0157</t>
        </is>
      </c>
      <c r="B1967" s="12" t="inlineStr">
        <is>
          <t>VS28</t>
        </is>
      </c>
      <c r="C1967" s="28" t="n">
        <v>0.0276</v>
      </c>
      <c r="D1967" s="12" t="inlineStr">
        <is>
          <t>PO-2023-3712</t>
        </is>
      </c>
      <c r="E1967" s="12" t="n">
        <v>1.15</v>
      </c>
      <c r="F1967" s="17" t="n">
        <v>102483.94</v>
      </c>
      <c r="G1967" s="14">
        <f>E1967*F1967</f>
        <v/>
      </c>
      <c r="H1967" s="14">
        <f>C1967*G1967</f>
        <v/>
      </c>
    </row>
    <row r="1968">
      <c r="A1968" s="12" t="inlineStr">
        <is>
          <t>RET-0157</t>
        </is>
      </c>
      <c r="B1968" s="12" t="inlineStr">
        <is>
          <t>VS29</t>
        </is>
      </c>
      <c r="C1968" s="28" t="n">
        <v>0.0175</v>
      </c>
      <c r="D1968" s="12" t="inlineStr">
        <is>
          <t>PO-2021-0195</t>
        </is>
      </c>
      <c r="E1968" s="12" t="n">
        <v>1.15</v>
      </c>
      <c r="F1968" s="17" t="n">
        <v>107803.29</v>
      </c>
      <c r="G1968" s="14">
        <f>E1968*F1968</f>
        <v/>
      </c>
      <c r="H1968" s="14">
        <f>C1968*G1968</f>
        <v/>
      </c>
    </row>
    <row r="1969">
      <c r="A1969" s="12" t="inlineStr">
        <is>
          <t>RET-0157</t>
        </is>
      </c>
      <c r="B1969" s="12" t="inlineStr">
        <is>
          <t>VS30</t>
        </is>
      </c>
      <c r="C1969" s="28" t="n">
        <v>0.0075</v>
      </c>
      <c r="D1969" s="12" t="inlineStr">
        <is>
          <t>PO-2022-1636</t>
        </is>
      </c>
      <c r="E1969" s="12" t="n">
        <v>1.15</v>
      </c>
      <c r="F1969" s="17" t="n">
        <v>99883.36</v>
      </c>
      <c r="G1969" s="14">
        <f>E1969*F1969</f>
        <v/>
      </c>
      <c r="H1969" s="14">
        <f>C1969*G1969</f>
        <v/>
      </c>
    </row>
    <row r="1970">
      <c r="A1970" s="12" t="inlineStr">
        <is>
          <t>RET-0157</t>
        </is>
      </c>
      <c r="B1970" s="12" t="inlineStr">
        <is>
          <t>VS31</t>
        </is>
      </c>
      <c r="C1970" s="28" t="n">
        <v>0.0275</v>
      </c>
      <c r="D1970" s="12" t="inlineStr">
        <is>
          <t>PO-2023-4162</t>
        </is>
      </c>
      <c r="E1970" s="12" t="n">
        <v>1.15</v>
      </c>
      <c r="F1970" s="17" t="n">
        <v>115440.86</v>
      </c>
      <c r="G1970" s="14">
        <f>E1970*F1970</f>
        <v/>
      </c>
      <c r="H1970" s="14">
        <f>C1970*G1970</f>
        <v/>
      </c>
    </row>
    <row r="1971">
      <c r="A1971" s="12" t="inlineStr">
        <is>
          <t>RET-0157</t>
        </is>
      </c>
      <c r="B1971" s="12" t="inlineStr">
        <is>
          <t>VS32</t>
        </is>
      </c>
      <c r="C1971" s="28" t="n">
        <v>0.0327</v>
      </c>
      <c r="D1971" s="12" t="inlineStr">
        <is>
          <t>PO-2022-3174</t>
        </is>
      </c>
      <c r="E1971" s="12" t="n">
        <v>1.15</v>
      </c>
      <c r="F1971" s="17" t="n">
        <v>114772.89</v>
      </c>
      <c r="G1971" s="14">
        <f>E1971*F1971</f>
        <v/>
      </c>
      <c r="H1971" s="14">
        <f>C1971*G1971</f>
        <v/>
      </c>
    </row>
    <row r="1972">
      <c r="A1972" s="12" t="inlineStr">
        <is>
          <t>RET-0157</t>
        </is>
      </c>
      <c r="B1972" s="12" t="inlineStr">
        <is>
          <t>VS33</t>
        </is>
      </c>
      <c r="C1972" s="28" t="n">
        <v>0.0174</v>
      </c>
      <c r="D1972" s="12" t="inlineStr">
        <is>
          <t>PO-2023-3641</t>
        </is>
      </c>
      <c r="E1972" s="12" t="n">
        <v>1.15</v>
      </c>
      <c r="F1972" s="17" t="n">
        <v>64469.8</v>
      </c>
      <c r="G1972" s="14">
        <f>E1972*F1972</f>
        <v/>
      </c>
      <c r="H1972" s="14">
        <f>C1972*G1972</f>
        <v/>
      </c>
    </row>
    <row r="1973">
      <c r="A1973" s="12" t="inlineStr">
        <is>
          <t>RET-0157</t>
        </is>
      </c>
      <c r="B1973" s="12" t="inlineStr">
        <is>
          <t>VS34</t>
        </is>
      </c>
      <c r="C1973" s="28" t="n">
        <v>0.0225</v>
      </c>
      <c r="D1973" s="12" t="inlineStr">
        <is>
          <t>PO-2021-1388</t>
        </is>
      </c>
      <c r="E1973" s="12" t="n">
        <v>1.15</v>
      </c>
      <c r="F1973" s="17" t="n">
        <v>68124.32000000001</v>
      </c>
      <c r="G1973" s="14">
        <f>E1973*F1973</f>
        <v/>
      </c>
      <c r="H1973" s="14">
        <f>C1973*G1973</f>
        <v/>
      </c>
    </row>
    <row r="1974">
      <c r="A1974" s="12" t="inlineStr">
        <is>
          <t>RET-0158</t>
        </is>
      </c>
      <c r="B1974" s="12" t="inlineStr">
        <is>
          <t>VS01</t>
        </is>
      </c>
      <c r="C1974" s="28" t="n">
        <v>0.033</v>
      </c>
      <c r="D1974" s="12" t="inlineStr">
        <is>
          <t>PO-2022-2173</t>
        </is>
      </c>
      <c r="E1974" s="12" t="n">
        <v>3.75</v>
      </c>
      <c r="F1974" s="17" t="n">
        <v>84318.07000000001</v>
      </c>
      <c r="G1974" s="14">
        <f>E1974*F1974</f>
        <v/>
      </c>
      <c r="H1974" s="14">
        <f>C1974*G1974</f>
        <v/>
      </c>
    </row>
    <row r="1975">
      <c r="A1975" s="12" t="inlineStr">
        <is>
          <t>RET-0158</t>
        </is>
      </c>
      <c r="B1975" s="12" t="inlineStr">
        <is>
          <t>VS02</t>
        </is>
      </c>
      <c r="C1975" s="28" t="n">
        <v>0.015</v>
      </c>
      <c r="D1975" s="12" t="inlineStr">
        <is>
          <t>PO-2021-0028</t>
        </is>
      </c>
      <c r="E1975" s="12" t="n">
        <v>3.75</v>
      </c>
      <c r="F1975" s="17" t="n">
        <v>64591.14</v>
      </c>
      <c r="G1975" s="14">
        <f>E1975*F1975</f>
        <v/>
      </c>
      <c r="H1975" s="14">
        <f>C1975*G1975</f>
        <v/>
      </c>
    </row>
    <row r="1976">
      <c r="A1976" s="12" t="inlineStr">
        <is>
          <t>RET-0158</t>
        </is>
      </c>
      <c r="B1976" s="12" t="inlineStr">
        <is>
          <t>VS03</t>
        </is>
      </c>
      <c r="C1976" s="28" t="n">
        <v>0.0799</v>
      </c>
      <c r="D1976" s="12" t="inlineStr">
        <is>
          <t>PO-2021-0396</t>
        </is>
      </c>
      <c r="E1976" s="12" t="n">
        <v>1.98</v>
      </c>
      <c r="F1976" s="17" t="n">
        <v>73560.08</v>
      </c>
      <c r="G1976" s="14">
        <f>E1976*F1976</f>
        <v/>
      </c>
      <c r="H1976" s="14">
        <f>C1976*G1976</f>
        <v/>
      </c>
    </row>
    <row r="1977">
      <c r="A1977" s="12" t="inlineStr">
        <is>
          <t>RET-0158</t>
        </is>
      </c>
      <c r="B1977" s="12" t="inlineStr">
        <is>
          <t>VS04</t>
        </is>
      </c>
      <c r="C1977" s="28" t="n">
        <v>0.0207</v>
      </c>
      <c r="D1977" s="12" t="inlineStr">
        <is>
          <t>PO-2022-1768</t>
        </is>
      </c>
      <c r="E1977" s="12" t="n">
        <v>3.75</v>
      </c>
      <c r="F1977" s="17" t="n">
        <v>95580.97</v>
      </c>
      <c r="G1977" s="14">
        <f>E1977*F1977</f>
        <v/>
      </c>
      <c r="H1977" s="14">
        <f>C1977*G1977</f>
        <v/>
      </c>
    </row>
    <row r="1978">
      <c r="A1978" s="12" t="inlineStr">
        <is>
          <t>RET-0158</t>
        </is>
      </c>
      <c r="B1978" s="12" t="inlineStr">
        <is>
          <t>VS05</t>
        </is>
      </c>
      <c r="C1978" s="28" t="n">
        <v>0.0268</v>
      </c>
      <c r="D1978" s="12" t="inlineStr">
        <is>
          <t>PO-2021-1030</t>
        </is>
      </c>
      <c r="E1978" s="12" t="n">
        <v>3.75</v>
      </c>
      <c r="F1978" s="17" t="n">
        <v>53401.84</v>
      </c>
      <c r="G1978" s="14">
        <f>E1978*F1978</f>
        <v/>
      </c>
      <c r="H1978" s="14">
        <f>C1978*G1978</f>
        <v/>
      </c>
    </row>
    <row r="1979">
      <c r="A1979" s="12" t="inlineStr">
        <is>
          <t>RET-0158</t>
        </is>
      </c>
      <c r="B1979" s="12" t="inlineStr">
        <is>
          <t>VS06</t>
        </is>
      </c>
      <c r="C1979" s="28" t="n">
        <v>0.0271</v>
      </c>
      <c r="D1979" s="12" t="inlineStr">
        <is>
          <t>PO-2021-0821</t>
        </is>
      </c>
      <c r="E1979" s="12" t="n">
        <v>3.75</v>
      </c>
      <c r="F1979" s="17" t="n">
        <v>76765.55</v>
      </c>
      <c r="G1979" s="14">
        <f>E1979*F1979</f>
        <v/>
      </c>
      <c r="H1979" s="14">
        <f>C1979*G1979</f>
        <v/>
      </c>
    </row>
    <row r="1980">
      <c r="A1980" s="12" t="inlineStr">
        <is>
          <t>RET-0158</t>
        </is>
      </c>
      <c r="B1980" s="12" t="inlineStr">
        <is>
          <t>VS07</t>
        </is>
      </c>
      <c r="C1980" s="28" t="n">
        <v>0.008999999999999999</v>
      </c>
      <c r="D1980" s="12" t="inlineStr">
        <is>
          <t>PO-2023-3599</t>
        </is>
      </c>
      <c r="E1980" s="12" t="n">
        <v>3.75</v>
      </c>
      <c r="F1980" s="17" t="n">
        <v>58630.86</v>
      </c>
      <c r="G1980" s="14">
        <f>E1980*F1980</f>
        <v/>
      </c>
      <c r="H1980" s="14">
        <f>C1980*G1980</f>
        <v/>
      </c>
    </row>
    <row r="1981">
      <c r="A1981" s="12" t="inlineStr">
        <is>
          <t>RET-0158</t>
        </is>
      </c>
      <c r="B1981" s="12" t="inlineStr">
        <is>
          <t>VS08</t>
        </is>
      </c>
      <c r="C1981" s="28" t="n">
        <v>0.0273</v>
      </c>
      <c r="D1981" s="12" t="inlineStr">
        <is>
          <t>PO-2021-1548</t>
        </is>
      </c>
      <c r="E1981" s="12" t="n">
        <v>3.75</v>
      </c>
      <c r="F1981" s="17" t="n">
        <v>96222.11</v>
      </c>
      <c r="G1981" s="14">
        <f>E1981*F1981</f>
        <v/>
      </c>
      <c r="H1981" s="14">
        <f>C1981*G1981</f>
        <v/>
      </c>
    </row>
    <row r="1982">
      <c r="A1982" s="12" t="inlineStr">
        <is>
          <t>RET-0158</t>
        </is>
      </c>
      <c r="B1982" s="12" t="inlineStr">
        <is>
          <t>VS09</t>
        </is>
      </c>
      <c r="C1982" s="28" t="n">
        <v>0.0209</v>
      </c>
      <c r="D1982" s="12" t="inlineStr">
        <is>
          <t>PO-2022-1618</t>
        </is>
      </c>
      <c r="E1982" s="12" t="n">
        <v>3.75</v>
      </c>
      <c r="F1982" s="17" t="n">
        <v>112238.34</v>
      </c>
      <c r="G1982" s="14">
        <f>E1982*F1982</f>
        <v/>
      </c>
      <c r="H1982" s="14">
        <f>C1982*G1982</f>
        <v/>
      </c>
    </row>
    <row r="1983">
      <c r="A1983" s="12" t="inlineStr">
        <is>
          <t>RET-0158</t>
        </is>
      </c>
      <c r="B1983" s="12" t="inlineStr">
        <is>
          <t>VS10</t>
        </is>
      </c>
      <c r="C1983" s="28" t="n">
        <v>0.0329</v>
      </c>
      <c r="D1983" s="12" t="inlineStr">
        <is>
          <t>PO-2021-1138</t>
        </is>
      </c>
      <c r="E1983" s="12" t="n">
        <v>3.75</v>
      </c>
      <c r="F1983" s="17" t="n">
        <v>117744.26</v>
      </c>
      <c r="G1983" s="14">
        <f>E1983*F1983</f>
        <v/>
      </c>
      <c r="H1983" s="14">
        <f>C1983*G1983</f>
        <v/>
      </c>
    </row>
    <row r="1984">
      <c r="A1984" s="12" t="inlineStr">
        <is>
          <t>RET-0158</t>
        </is>
      </c>
      <c r="B1984" s="12" t="inlineStr">
        <is>
          <t>VS11</t>
        </is>
      </c>
      <c r="C1984" s="28" t="n">
        <v>0.0386</v>
      </c>
      <c r="D1984" s="12" t="inlineStr">
        <is>
          <t>PO-2023-3444</t>
        </is>
      </c>
      <c r="E1984" s="12" t="n">
        <v>3.75</v>
      </c>
      <c r="F1984" s="17" t="n">
        <v>85522.69</v>
      </c>
      <c r="G1984" s="14">
        <f>E1984*F1984</f>
        <v/>
      </c>
      <c r="H1984" s="14">
        <f>C1984*G1984</f>
        <v/>
      </c>
    </row>
    <row r="1985">
      <c r="A1985" s="12" t="inlineStr">
        <is>
          <t>RET-0158</t>
        </is>
      </c>
      <c r="B1985" s="12" t="inlineStr">
        <is>
          <t>VS12</t>
        </is>
      </c>
      <c r="C1985" s="28" t="n">
        <v>0.111</v>
      </c>
      <c r="D1985" s="12" t="inlineStr">
        <is>
          <t>PO-2021-0453</t>
        </is>
      </c>
      <c r="E1985" s="12" t="n">
        <v>1.47</v>
      </c>
      <c r="F1985" s="17" t="n">
        <v>57502.52</v>
      </c>
      <c r="G1985" s="14">
        <f>E1985*F1985</f>
        <v/>
      </c>
      <c r="H1985" s="14">
        <f>C1985*G1985</f>
        <v/>
      </c>
    </row>
    <row r="1986">
      <c r="A1986" s="12" t="inlineStr">
        <is>
          <t>RET-0158</t>
        </is>
      </c>
      <c r="B1986" s="12" t="inlineStr">
        <is>
          <t>VS13</t>
        </is>
      </c>
      <c r="C1986" s="28" t="n">
        <v>0.0266</v>
      </c>
      <c r="D1986" s="12" t="inlineStr">
        <is>
          <t>PO-2023-3248</t>
        </is>
      </c>
      <c r="E1986" s="12" t="n">
        <v>3.75</v>
      </c>
      <c r="F1986" s="17" t="n">
        <v>92247.39999999999</v>
      </c>
      <c r="G1986" s="14">
        <f>E1986*F1986</f>
        <v/>
      </c>
      <c r="H1986" s="14">
        <f>C1986*G1986</f>
        <v/>
      </c>
    </row>
    <row r="1987">
      <c r="A1987" s="12" t="inlineStr">
        <is>
          <t>RET-0158</t>
        </is>
      </c>
      <c r="B1987" s="12" t="inlineStr">
        <is>
          <t>VS14</t>
        </is>
      </c>
      <c r="C1987" s="28" t="n">
        <v>0.0268</v>
      </c>
      <c r="D1987" s="12" t="inlineStr">
        <is>
          <t>PO-2022-1903</t>
        </is>
      </c>
      <c r="E1987" s="12" t="n">
        <v>3.75</v>
      </c>
      <c r="F1987" s="17" t="n">
        <v>90997.8</v>
      </c>
      <c r="G1987" s="14">
        <f>E1987*F1987</f>
        <v/>
      </c>
      <c r="H1987" s="14">
        <f>C1987*G1987</f>
        <v/>
      </c>
    </row>
    <row r="1988">
      <c r="A1988" s="12" t="inlineStr">
        <is>
          <t>RET-0158</t>
        </is>
      </c>
      <c r="B1988" s="12" t="inlineStr">
        <is>
          <t>VS15</t>
        </is>
      </c>
      <c r="C1988" s="28" t="n">
        <v>0.008999999999999999</v>
      </c>
      <c r="D1988" s="12" t="inlineStr">
        <is>
          <t>PO-2023-3701</t>
        </is>
      </c>
      <c r="E1988" s="12" t="n">
        <v>3.75</v>
      </c>
      <c r="F1988" s="17" t="n">
        <v>117443.86</v>
      </c>
      <c r="G1988" s="14">
        <f>E1988*F1988</f>
        <v/>
      </c>
      <c r="H1988" s="14">
        <f>C1988*G1988</f>
        <v/>
      </c>
    </row>
    <row r="1989">
      <c r="A1989" s="12" t="inlineStr">
        <is>
          <t>RET-0158</t>
        </is>
      </c>
      <c r="B1989" s="12" t="inlineStr">
        <is>
          <t>VS16</t>
        </is>
      </c>
      <c r="C1989" s="28" t="n">
        <v>0.0387</v>
      </c>
      <c r="D1989" s="12" t="inlineStr">
        <is>
          <t>PO-2021-1309</t>
        </is>
      </c>
      <c r="E1989" s="12" t="n">
        <v>3.75</v>
      </c>
      <c r="F1989" s="17" t="n">
        <v>116910.2</v>
      </c>
      <c r="G1989" s="14">
        <f>E1989*F1989</f>
        <v/>
      </c>
      <c r="H1989" s="14">
        <f>C1989*G1989</f>
        <v/>
      </c>
    </row>
    <row r="1990">
      <c r="A1990" s="12" t="inlineStr">
        <is>
          <t>RET-0158</t>
        </is>
      </c>
      <c r="B1990" s="12" t="inlineStr">
        <is>
          <t>VS17</t>
        </is>
      </c>
      <c r="C1990" s="28" t="n">
        <v>0.0385</v>
      </c>
      <c r="D1990" s="12" t="inlineStr">
        <is>
          <t>PO-2021-0511</t>
        </is>
      </c>
      <c r="E1990" s="12" t="n">
        <v>3.75</v>
      </c>
      <c r="F1990" s="17" t="n">
        <v>48611.06</v>
      </c>
      <c r="G1990" s="14">
        <f>E1990*F1990</f>
        <v/>
      </c>
      <c r="H1990" s="14">
        <f>C1990*G1990</f>
        <v/>
      </c>
    </row>
    <row r="1991">
      <c r="A1991" s="12" t="inlineStr">
        <is>
          <t>RET-0158</t>
        </is>
      </c>
      <c r="B1991" s="12" t="inlineStr">
        <is>
          <t>VS18</t>
        </is>
      </c>
      <c r="C1991" s="28" t="n">
        <v>0.0268</v>
      </c>
      <c r="D1991" s="12" t="inlineStr">
        <is>
          <t>PO-2021-0232</t>
        </is>
      </c>
      <c r="E1991" s="12" t="n">
        <v>3.75</v>
      </c>
      <c r="F1991" s="17" t="n">
        <v>77771.35000000001</v>
      </c>
      <c r="G1991" s="14">
        <f>E1991*F1991</f>
        <v/>
      </c>
      <c r="H1991" s="14">
        <f>C1991*G1991</f>
        <v/>
      </c>
    </row>
    <row r="1992">
      <c r="A1992" s="12" t="inlineStr">
        <is>
          <t>RET-0158</t>
        </is>
      </c>
      <c r="B1992" s="12" t="inlineStr">
        <is>
          <t>VS19</t>
        </is>
      </c>
      <c r="C1992" s="28" t="n">
        <v>0.0837</v>
      </c>
      <c r="D1992" s="12" t="inlineStr">
        <is>
          <t>PO-2022-1748</t>
        </is>
      </c>
      <c r="E1992" s="12" t="n">
        <v>3.75</v>
      </c>
      <c r="F1992" s="17" t="n">
        <v>85716.31</v>
      </c>
      <c r="G1992" s="14">
        <f>E1992*F1992</f>
        <v/>
      </c>
      <c r="H1992" s="14">
        <f>C1992*G1992</f>
        <v/>
      </c>
    </row>
    <row r="1993">
      <c r="A1993" s="12" t="inlineStr">
        <is>
          <t>RET-0158</t>
        </is>
      </c>
      <c r="B1993" s="12" t="inlineStr">
        <is>
          <t>VS20</t>
        </is>
      </c>
      <c r="C1993" s="28" t="n">
        <v>0.015</v>
      </c>
      <c r="D1993" s="12" t="inlineStr">
        <is>
          <t>PO-2021-1544</t>
        </is>
      </c>
      <c r="E1993" s="12" t="n">
        <v>3.75</v>
      </c>
      <c r="F1993" s="17" t="n">
        <v>66041.7</v>
      </c>
      <c r="G1993" s="14">
        <f>E1993*F1993</f>
        <v/>
      </c>
      <c r="H1993" s="14">
        <f>C1993*G1993</f>
        <v/>
      </c>
    </row>
    <row r="1994">
      <c r="A1994" s="12" t="inlineStr">
        <is>
          <t>RET-0158</t>
        </is>
      </c>
      <c r="B1994" s="12" t="inlineStr">
        <is>
          <t>VS21</t>
        </is>
      </c>
      <c r="C1994" s="28" t="n">
        <v>0.015</v>
      </c>
      <c r="D1994" s="12" t="inlineStr">
        <is>
          <t>PO-2023-3527</t>
        </is>
      </c>
      <c r="E1994" s="12" t="n">
        <v>3.75</v>
      </c>
      <c r="F1994" s="17" t="n">
        <v>54791.25</v>
      </c>
      <c r="G1994" s="14">
        <f>E1994*F1994</f>
        <v/>
      </c>
      <c r="H1994" s="14">
        <f>C1994*G1994</f>
        <v/>
      </c>
    </row>
    <row r="1995">
      <c r="A1995" s="12" t="inlineStr">
        <is>
          <t>RET-0158</t>
        </is>
      </c>
      <c r="B1995" s="12" t="inlineStr">
        <is>
          <t>VS22</t>
        </is>
      </c>
      <c r="C1995" s="28" t="n">
        <v>0.0089</v>
      </c>
      <c r="D1995" s="12" t="inlineStr">
        <is>
          <t>PO-2021-0137</t>
        </is>
      </c>
      <c r="E1995" s="12" t="n">
        <v>3.75</v>
      </c>
      <c r="F1995" s="17" t="n">
        <v>50647.45</v>
      </c>
      <c r="G1995" s="14">
        <f>E1995*F1995</f>
        <v/>
      </c>
      <c r="H1995" s="14">
        <f>C1995*G1995</f>
        <v/>
      </c>
    </row>
    <row r="1996">
      <c r="A1996" s="12" t="inlineStr">
        <is>
          <t>RET-0158</t>
        </is>
      </c>
      <c r="B1996" s="12" t="inlineStr">
        <is>
          <t>VS23</t>
        </is>
      </c>
      <c r="C1996" s="28" t="n">
        <v>0.0147</v>
      </c>
      <c r="D1996" s="12" t="inlineStr">
        <is>
          <t>PO-2023-4419</t>
        </is>
      </c>
      <c r="E1996" s="12" t="n">
        <v>3.75</v>
      </c>
      <c r="F1996" s="17" t="n">
        <v>95743.8</v>
      </c>
      <c r="G1996" s="14">
        <f>E1996*F1996</f>
        <v/>
      </c>
      <c r="H1996" s="14">
        <f>C1996*G1996</f>
        <v/>
      </c>
    </row>
    <row r="1997">
      <c r="A1997" s="12" t="inlineStr">
        <is>
          <t>RET-0158</t>
        </is>
      </c>
      <c r="B1997" s="12" t="inlineStr">
        <is>
          <t>VS24</t>
        </is>
      </c>
      <c r="C1997" s="28" t="n">
        <v>0.0149</v>
      </c>
      <c r="D1997" s="12" t="inlineStr">
        <is>
          <t>PO-2021-0168</t>
        </is>
      </c>
      <c r="E1997" s="12" t="n">
        <v>3.75</v>
      </c>
      <c r="F1997" s="17" t="n">
        <v>88057.5</v>
      </c>
      <c r="G1997" s="14">
        <f>E1997*F1997</f>
        <v/>
      </c>
      <c r="H1997" s="14">
        <f>C1997*G1997</f>
        <v/>
      </c>
    </row>
    <row r="1998">
      <c r="A1998" s="12" t="inlineStr">
        <is>
          <t>RET-0158</t>
        </is>
      </c>
      <c r="B1998" s="12" t="inlineStr">
        <is>
          <t>VS25</t>
        </is>
      </c>
      <c r="C1998" s="28" t="n">
        <v>0.027</v>
      </c>
      <c r="D1998" s="12" t="inlineStr">
        <is>
          <t>PO-2021-0976</t>
        </is>
      </c>
      <c r="E1998" s="12" t="n">
        <v>3.75</v>
      </c>
      <c r="F1998" s="17" t="n">
        <v>71944.58</v>
      </c>
      <c r="G1998" s="14">
        <f>E1998*F1998</f>
        <v/>
      </c>
      <c r="H1998" s="14">
        <f>C1998*G1998</f>
        <v/>
      </c>
    </row>
    <row r="1999">
      <c r="A1999" s="12" t="inlineStr">
        <is>
          <t>RET-0158</t>
        </is>
      </c>
      <c r="B1999" s="12" t="inlineStr">
        <is>
          <t>VS26</t>
        </is>
      </c>
      <c r="C1999" s="28" t="n">
        <v>0.015</v>
      </c>
      <c r="D1999" s="12" t="inlineStr">
        <is>
          <t>PO-2023-3744</t>
        </is>
      </c>
      <c r="E1999" s="12" t="n">
        <v>3.75</v>
      </c>
      <c r="F1999" s="17" t="n">
        <v>101127.17</v>
      </c>
      <c r="G1999" s="14">
        <f>E1999*F1999</f>
        <v/>
      </c>
      <c r="H1999" s="14">
        <f>C1999*G1999</f>
        <v/>
      </c>
    </row>
    <row r="2000">
      <c r="A2000" s="12" t="inlineStr">
        <is>
          <t>RET-0158</t>
        </is>
      </c>
      <c r="B2000" s="12" t="inlineStr">
        <is>
          <t>VS27</t>
        </is>
      </c>
      <c r="C2000" s="28" t="n">
        <v>0.0147</v>
      </c>
      <c r="D2000" s="12" t="inlineStr">
        <is>
          <t>PO-2022-2408</t>
        </is>
      </c>
      <c r="E2000" s="12" t="n">
        <v>3.75</v>
      </c>
      <c r="F2000" s="17" t="n">
        <v>93292.67</v>
      </c>
      <c r="G2000" s="14">
        <f>E2000*F2000</f>
        <v/>
      </c>
      <c r="H2000" s="14">
        <f>C2000*G2000</f>
        <v/>
      </c>
    </row>
    <row r="2001">
      <c r="A2001" s="12" t="inlineStr">
        <is>
          <t>RET-0158</t>
        </is>
      </c>
      <c r="B2001" s="12" t="inlineStr">
        <is>
          <t>VS28</t>
        </is>
      </c>
      <c r="C2001" s="28" t="n">
        <v>0.0329</v>
      </c>
      <c r="D2001" s="12" t="inlineStr">
        <is>
          <t>PO-2022-2425</t>
        </is>
      </c>
      <c r="E2001" s="12" t="n">
        <v>3.75</v>
      </c>
      <c r="F2001" s="17" t="n">
        <v>117642.36</v>
      </c>
      <c r="G2001" s="14">
        <f>E2001*F2001</f>
        <v/>
      </c>
      <c r="H2001" s="14">
        <f>C2001*G2001</f>
        <v/>
      </c>
    </row>
    <row r="2002">
      <c r="A2002" s="12" t="inlineStr">
        <is>
          <t>RET-0158</t>
        </is>
      </c>
      <c r="B2002" s="12" t="inlineStr">
        <is>
          <t>VS29</t>
        </is>
      </c>
      <c r="C2002" s="28" t="n">
        <v>0.0209</v>
      </c>
      <c r="D2002" s="12" t="inlineStr">
        <is>
          <t>PO-2021-0095</t>
        </is>
      </c>
      <c r="E2002" s="12" t="n">
        <v>3.75</v>
      </c>
      <c r="F2002" s="17" t="n">
        <v>67806.84</v>
      </c>
      <c r="G2002" s="14">
        <f>E2002*F2002</f>
        <v/>
      </c>
      <c r="H2002" s="14">
        <f>C2002*G2002</f>
        <v/>
      </c>
    </row>
    <row r="2003">
      <c r="A2003" s="12" t="inlineStr">
        <is>
          <t>RET-0158</t>
        </is>
      </c>
      <c r="B2003" s="12" t="inlineStr">
        <is>
          <t>VS30</t>
        </is>
      </c>
      <c r="C2003" s="28" t="n">
        <v>0.008999999999999999</v>
      </c>
      <c r="D2003" s="12" t="inlineStr">
        <is>
          <t>PO-2022-3076</t>
        </is>
      </c>
      <c r="E2003" s="12" t="n">
        <v>3.75</v>
      </c>
      <c r="F2003" s="17" t="n">
        <v>94270.28999999999</v>
      </c>
      <c r="G2003" s="14">
        <f>E2003*F2003</f>
        <v/>
      </c>
      <c r="H2003" s="14">
        <f>C2003*G2003</f>
        <v/>
      </c>
    </row>
    <row r="2004">
      <c r="A2004" s="12" t="inlineStr">
        <is>
          <t>RET-0158</t>
        </is>
      </c>
      <c r="B2004" s="12" t="inlineStr">
        <is>
          <t>VS31</t>
        </is>
      </c>
      <c r="C2004" s="28" t="n">
        <v>0.0328</v>
      </c>
      <c r="D2004" s="12" t="inlineStr">
        <is>
          <t>PO-2022-2904</t>
        </is>
      </c>
      <c r="E2004" s="12" t="n">
        <v>3.75</v>
      </c>
      <c r="F2004" s="17" t="n">
        <v>105756.59</v>
      </c>
      <c r="G2004" s="14">
        <f>E2004*F2004</f>
        <v/>
      </c>
      <c r="H2004" s="14">
        <f>C2004*G2004</f>
        <v/>
      </c>
    </row>
    <row r="2005">
      <c r="A2005" s="12" t="inlineStr">
        <is>
          <t>RET-0158</t>
        </is>
      </c>
      <c r="B2005" s="12" t="inlineStr">
        <is>
          <t>VS32</t>
        </is>
      </c>
      <c r="C2005" s="28" t="n">
        <v>0.039</v>
      </c>
      <c r="D2005" s="12" t="inlineStr">
        <is>
          <t>PO-2021-1180</t>
        </is>
      </c>
      <c r="E2005" s="12" t="n">
        <v>3.75</v>
      </c>
      <c r="F2005" s="17" t="n">
        <v>46947.16</v>
      </c>
      <c r="G2005" s="14">
        <f>E2005*F2005</f>
        <v/>
      </c>
      <c r="H2005" s="14">
        <f>C2005*G2005</f>
        <v/>
      </c>
    </row>
    <row r="2006">
      <c r="A2006" s="12" t="inlineStr">
        <is>
          <t>RET-0158</t>
        </is>
      </c>
      <c r="B2006" s="12" t="inlineStr">
        <is>
          <t>VS33</t>
        </is>
      </c>
      <c r="C2006" s="28" t="n">
        <v>0.0208</v>
      </c>
      <c r="D2006" s="12" t="inlineStr">
        <is>
          <t>PO-2023-4191</t>
        </is>
      </c>
      <c r="E2006" s="12" t="n">
        <v>3.75</v>
      </c>
      <c r="F2006" s="17" t="n">
        <v>110263.62</v>
      </c>
      <c r="G2006" s="14">
        <f>E2006*F2006</f>
        <v/>
      </c>
      <c r="H2006" s="14">
        <f>C2006*G2006</f>
        <v/>
      </c>
    </row>
    <row r="2007">
      <c r="A2007" s="12" t="inlineStr">
        <is>
          <t>RET-0158</t>
        </is>
      </c>
      <c r="B2007" s="12" t="inlineStr">
        <is>
          <t>VS34</t>
        </is>
      </c>
      <c r="C2007" s="28" t="n">
        <v>0.0269</v>
      </c>
      <c r="D2007" s="12" t="inlineStr">
        <is>
          <t>PO-2022-2886</t>
        </is>
      </c>
      <c r="E2007" s="12" t="n">
        <v>3.75</v>
      </c>
      <c r="F2007" s="17" t="n">
        <v>103875.08</v>
      </c>
      <c r="G2007" s="14">
        <f>E2007*F2007</f>
        <v/>
      </c>
      <c r="H2007" s="14">
        <f>C2007*G2007</f>
        <v/>
      </c>
    </row>
    <row r="2008">
      <c r="A2008" s="12" t="inlineStr">
        <is>
          <t>RET-0160</t>
        </is>
      </c>
      <c r="B2008" s="12" t="inlineStr">
        <is>
          <t>VS01</t>
        </is>
      </c>
      <c r="C2008" s="28" t="n">
        <v>0.0324</v>
      </c>
      <c r="D2008" s="12" t="inlineStr">
        <is>
          <t>PO-2023-3836</t>
        </is>
      </c>
      <c r="E2008" s="12" t="n">
        <v>3.21</v>
      </c>
      <c r="F2008" s="17" t="n">
        <v>50450.36</v>
      </c>
      <c r="G2008" s="14">
        <f>E2008*F2008</f>
        <v/>
      </c>
      <c r="H2008" s="14">
        <f>C2008*G2008</f>
        <v/>
      </c>
    </row>
    <row r="2009">
      <c r="A2009" s="12" t="inlineStr">
        <is>
          <t>RET-0160</t>
        </is>
      </c>
      <c r="B2009" s="12" t="inlineStr">
        <is>
          <t>VS02</t>
        </is>
      </c>
      <c r="C2009" s="28" t="n">
        <v>0.0147</v>
      </c>
      <c r="D2009" s="12" t="inlineStr">
        <is>
          <t>PO-2021-0828</t>
        </is>
      </c>
      <c r="E2009" s="12" t="n">
        <v>3.21</v>
      </c>
      <c r="F2009" s="17" t="n">
        <v>94764.63</v>
      </c>
      <c r="G2009" s="14">
        <f>E2009*F2009</f>
        <v/>
      </c>
      <c r="H2009" s="14">
        <f>C2009*G2009</f>
        <v/>
      </c>
    </row>
    <row r="2010">
      <c r="A2010" s="12" t="inlineStr">
        <is>
          <t>RET-0160</t>
        </is>
      </c>
      <c r="B2010" s="12" t="inlineStr">
        <is>
          <t>VS03</t>
        </is>
      </c>
      <c r="C2010" s="28" t="n">
        <v>0.0837</v>
      </c>
      <c r="D2010" s="12" t="inlineStr">
        <is>
          <t>PO-2023-3407</t>
        </is>
      </c>
      <c r="E2010" s="12" t="n">
        <v>3.21</v>
      </c>
      <c r="F2010" s="17" t="n">
        <v>98690.67999999999</v>
      </c>
      <c r="G2010" s="14">
        <f>E2010*F2010</f>
        <v/>
      </c>
      <c r="H2010" s="14">
        <f>C2010*G2010</f>
        <v/>
      </c>
    </row>
    <row r="2011">
      <c r="A2011" s="12" t="inlineStr">
        <is>
          <t>RET-0160</t>
        </is>
      </c>
      <c r="B2011" s="12" t="inlineStr">
        <is>
          <t>VS04</t>
        </is>
      </c>
      <c r="C2011" s="28" t="n">
        <v>0.0203</v>
      </c>
      <c r="D2011" s="12" t="inlineStr">
        <is>
          <t>PO-2023-3984</t>
        </is>
      </c>
      <c r="E2011" s="12" t="n">
        <v>3.21</v>
      </c>
      <c r="F2011" s="17" t="n">
        <v>70318.39</v>
      </c>
      <c r="G2011" s="14">
        <f>E2011*F2011</f>
        <v/>
      </c>
      <c r="H2011" s="14">
        <f>C2011*G2011</f>
        <v/>
      </c>
    </row>
    <row r="2012">
      <c r="A2012" s="12" t="inlineStr">
        <is>
          <t>RET-0160</t>
        </is>
      </c>
      <c r="B2012" s="12" t="inlineStr">
        <is>
          <t>VS05</t>
        </is>
      </c>
      <c r="C2012" s="28" t="n">
        <v>0.0264</v>
      </c>
      <c r="D2012" s="12" t="inlineStr">
        <is>
          <t>PO-2023-3790</t>
        </is>
      </c>
      <c r="E2012" s="12" t="n">
        <v>3.21</v>
      </c>
      <c r="F2012" s="17" t="n">
        <v>88341.03</v>
      </c>
      <c r="G2012" s="14">
        <f>E2012*F2012</f>
        <v/>
      </c>
      <c r="H2012" s="14">
        <f>C2012*G2012</f>
        <v/>
      </c>
    </row>
    <row r="2013">
      <c r="A2013" s="12" t="inlineStr">
        <is>
          <t>RET-0160</t>
        </is>
      </c>
      <c r="B2013" s="12" t="inlineStr">
        <is>
          <t>VS06</t>
        </is>
      </c>
      <c r="C2013" s="28" t="n">
        <v>0.0266</v>
      </c>
      <c r="D2013" s="12" t="inlineStr">
        <is>
          <t>PO-2021-0533</t>
        </is>
      </c>
      <c r="E2013" s="12" t="n">
        <v>3.21</v>
      </c>
      <c r="F2013" s="17" t="n">
        <v>86404.06</v>
      </c>
      <c r="G2013" s="14">
        <f>E2013*F2013</f>
        <v/>
      </c>
      <c r="H2013" s="14">
        <f>C2013*G2013</f>
        <v/>
      </c>
    </row>
    <row r="2014">
      <c r="A2014" s="12" t="inlineStr">
        <is>
          <t>RET-0160</t>
        </is>
      </c>
      <c r="B2014" s="12" t="inlineStr">
        <is>
          <t>VS07</t>
        </is>
      </c>
      <c r="C2014" s="28" t="n">
        <v>0.0089</v>
      </c>
      <c r="D2014" s="12" t="inlineStr">
        <is>
          <t>PO-2022-2020</t>
        </is>
      </c>
      <c r="E2014" s="12" t="n">
        <v>3.21</v>
      </c>
      <c r="F2014" s="17" t="n">
        <v>99404.92999999999</v>
      </c>
      <c r="G2014" s="14">
        <f>E2014*F2014</f>
        <v/>
      </c>
      <c r="H2014" s="14">
        <f>C2014*G2014</f>
        <v/>
      </c>
    </row>
    <row r="2015">
      <c r="A2015" s="12" t="inlineStr">
        <is>
          <t>RET-0160</t>
        </is>
      </c>
      <c r="B2015" s="12" t="inlineStr">
        <is>
          <t>VS08</t>
        </is>
      </c>
      <c r="C2015" s="28" t="n">
        <v>0.0268</v>
      </c>
      <c r="D2015" s="12" t="inlineStr">
        <is>
          <t>PO-2021-0439</t>
        </is>
      </c>
      <c r="E2015" s="12" t="n">
        <v>3.21</v>
      </c>
      <c r="F2015" s="17" t="n">
        <v>77204.16</v>
      </c>
      <c r="G2015" s="14">
        <f>E2015*F2015</f>
        <v/>
      </c>
      <c r="H2015" s="14">
        <f>C2015*G2015</f>
        <v/>
      </c>
    </row>
    <row r="2016">
      <c r="A2016" s="12" t="inlineStr">
        <is>
          <t>RET-0160</t>
        </is>
      </c>
      <c r="B2016" s="12" t="inlineStr">
        <is>
          <t>VS09</t>
        </is>
      </c>
      <c r="C2016" s="28" t="n">
        <v>0.0206</v>
      </c>
      <c r="D2016" s="12" t="inlineStr">
        <is>
          <t>PO-2021-1334</t>
        </is>
      </c>
      <c r="E2016" s="12" t="n">
        <v>3.21</v>
      </c>
      <c r="F2016" s="17" t="n">
        <v>111375.86</v>
      </c>
      <c r="G2016" s="14">
        <f>E2016*F2016</f>
        <v/>
      </c>
      <c r="H2016" s="14">
        <f>C2016*G2016</f>
        <v/>
      </c>
    </row>
    <row r="2017">
      <c r="A2017" s="12" t="inlineStr">
        <is>
          <t>RET-0160</t>
        </is>
      </c>
      <c r="B2017" s="12" t="inlineStr">
        <is>
          <t>VS10</t>
        </is>
      </c>
      <c r="C2017" s="28" t="n">
        <v>0.0323</v>
      </c>
      <c r="D2017" s="12" t="inlineStr">
        <is>
          <t>PO-2022-2331</t>
        </is>
      </c>
      <c r="E2017" s="12" t="n">
        <v>3.21</v>
      </c>
      <c r="F2017" s="17" t="n">
        <v>46835.99</v>
      </c>
      <c r="G2017" s="14">
        <f>E2017*F2017</f>
        <v/>
      </c>
      <c r="H2017" s="14">
        <f>C2017*G2017</f>
        <v/>
      </c>
    </row>
    <row r="2018">
      <c r="A2018" s="12" t="inlineStr">
        <is>
          <t>RET-0160</t>
        </is>
      </c>
      <c r="B2018" s="12" t="inlineStr">
        <is>
          <t>VS11</t>
        </is>
      </c>
      <c r="C2018" s="28" t="n">
        <v>0.0379</v>
      </c>
      <c r="D2018" s="12" t="inlineStr">
        <is>
          <t>PO-2021-0708</t>
        </is>
      </c>
      <c r="E2018" s="12" t="n">
        <v>3.21</v>
      </c>
      <c r="F2018" s="17" t="n">
        <v>45396.8</v>
      </c>
      <c r="G2018" s="14">
        <f>E2018*F2018</f>
        <v/>
      </c>
      <c r="H2018" s="14">
        <f>C2018*G2018</f>
        <v/>
      </c>
    </row>
    <row r="2019">
      <c r="A2019" s="12" t="inlineStr">
        <is>
          <t>RET-0160</t>
        </is>
      </c>
      <c r="B2019" s="12" t="inlineStr">
        <is>
          <t>VS12</t>
        </is>
      </c>
      <c r="C2019" s="28" t="n">
        <v>0.1163</v>
      </c>
      <c r="D2019" s="12" t="inlineStr">
        <is>
          <t>PO-2023-3708</t>
        </is>
      </c>
      <c r="E2019" s="12" t="n">
        <v>3.21</v>
      </c>
      <c r="F2019" s="17" t="n">
        <v>101633.27</v>
      </c>
      <c r="G2019" s="14">
        <f>E2019*F2019</f>
        <v/>
      </c>
      <c r="H2019" s="14">
        <f>C2019*G2019</f>
        <v/>
      </c>
    </row>
    <row r="2020">
      <c r="A2020" s="12" t="inlineStr">
        <is>
          <t>RET-0160</t>
        </is>
      </c>
      <c r="B2020" s="12" t="inlineStr">
        <is>
          <t>VS13</t>
        </is>
      </c>
      <c r="C2020" s="28" t="n">
        <v>0.0261</v>
      </c>
      <c r="D2020" s="12" t="inlineStr">
        <is>
          <t>PO-2021-1558</t>
        </is>
      </c>
      <c r="E2020" s="12" t="n">
        <v>3.21</v>
      </c>
      <c r="F2020" s="17" t="n">
        <v>84935.24000000001</v>
      </c>
      <c r="G2020" s="14">
        <f>E2020*F2020</f>
        <v/>
      </c>
      <c r="H2020" s="14">
        <f>C2020*G2020</f>
        <v/>
      </c>
    </row>
    <row r="2021">
      <c r="A2021" s="12" t="inlineStr">
        <is>
          <t>RET-0160</t>
        </is>
      </c>
      <c r="B2021" s="12" t="inlineStr">
        <is>
          <t>VS14</t>
        </is>
      </c>
      <c r="C2021" s="28" t="n">
        <v>0.0263</v>
      </c>
      <c r="D2021" s="12" t="inlineStr">
        <is>
          <t>PO-2022-2404</t>
        </is>
      </c>
      <c r="E2021" s="12" t="n">
        <v>3.21</v>
      </c>
      <c r="F2021" s="17" t="n">
        <v>76423.21000000001</v>
      </c>
      <c r="G2021" s="14">
        <f>E2021*F2021</f>
        <v/>
      </c>
      <c r="H2021" s="14">
        <f>C2021*G2021</f>
        <v/>
      </c>
    </row>
    <row r="2022">
      <c r="A2022" s="12" t="inlineStr">
        <is>
          <t>RET-0160</t>
        </is>
      </c>
      <c r="B2022" s="12" t="inlineStr">
        <is>
          <t>VS15</t>
        </is>
      </c>
      <c r="C2022" s="28" t="n">
        <v>0.008800000000000001</v>
      </c>
      <c r="D2022" s="12" t="inlineStr">
        <is>
          <t>PO-2021-0049</t>
        </is>
      </c>
      <c r="E2022" s="12" t="n">
        <v>3.21</v>
      </c>
      <c r="F2022" s="17" t="n">
        <v>97981.44</v>
      </c>
      <c r="G2022" s="14">
        <f>E2022*F2022</f>
        <v/>
      </c>
      <c r="H2022" s="14">
        <f>C2022*G2022</f>
        <v/>
      </c>
    </row>
    <row r="2023">
      <c r="A2023" s="12" t="inlineStr">
        <is>
          <t>RET-0160</t>
        </is>
      </c>
      <c r="B2023" s="12" t="inlineStr">
        <is>
          <t>VS16</t>
        </is>
      </c>
      <c r="C2023" s="28" t="n">
        <v>0.038</v>
      </c>
      <c r="D2023" s="12" t="inlineStr">
        <is>
          <t>PO-2021-0129</t>
        </is>
      </c>
      <c r="E2023" s="12" t="n">
        <v>3.21</v>
      </c>
      <c r="F2023" s="17" t="n">
        <v>88110.89</v>
      </c>
      <c r="G2023" s="14">
        <f>E2023*F2023</f>
        <v/>
      </c>
      <c r="H2023" s="14">
        <f>C2023*G2023</f>
        <v/>
      </c>
    </row>
    <row r="2024">
      <c r="A2024" s="12" t="inlineStr">
        <is>
          <t>RET-0160</t>
        </is>
      </c>
      <c r="B2024" s="12" t="inlineStr">
        <is>
          <t>VS17</t>
        </is>
      </c>
      <c r="C2024" s="28" t="n">
        <v>0.0379</v>
      </c>
      <c r="D2024" s="12" t="inlineStr">
        <is>
          <t>PO-2022-2592</t>
        </is>
      </c>
      <c r="E2024" s="12" t="n">
        <v>3.21</v>
      </c>
      <c r="F2024" s="17" t="n">
        <v>66050.11</v>
      </c>
      <c r="G2024" s="14">
        <f>E2024*F2024</f>
        <v/>
      </c>
      <c r="H2024" s="14">
        <f>C2024*G2024</f>
        <v/>
      </c>
    </row>
    <row r="2025">
      <c r="A2025" s="12" t="inlineStr">
        <is>
          <t>RET-0160</t>
        </is>
      </c>
      <c r="B2025" s="12" t="inlineStr">
        <is>
          <t>VS18</t>
        </is>
      </c>
      <c r="C2025" s="28" t="n">
        <v>0.0264</v>
      </c>
      <c r="D2025" s="12" t="inlineStr">
        <is>
          <t>PO-2021-0489</t>
        </is>
      </c>
      <c r="E2025" s="12" t="n">
        <v>3.21</v>
      </c>
      <c r="F2025" s="17" t="n">
        <v>59959.34</v>
      </c>
      <c r="G2025" s="14">
        <f>E2025*F2025</f>
        <v/>
      </c>
      <c r="H2025" s="14">
        <f>C2025*G2025</f>
        <v/>
      </c>
    </row>
    <row r="2026">
      <c r="A2026" s="12" t="inlineStr">
        <is>
          <t>RET-0160</t>
        </is>
      </c>
      <c r="B2026" s="12" t="inlineStr">
        <is>
          <t>VS19</t>
        </is>
      </c>
      <c r="C2026" s="28" t="n">
        <v>0.0877</v>
      </c>
      <c r="D2026" s="12" t="inlineStr">
        <is>
          <t>PO-2022-1634</t>
        </is>
      </c>
      <c r="E2026" s="12" t="n">
        <v>3.21</v>
      </c>
      <c r="F2026" s="17" t="n">
        <v>77943.87</v>
      </c>
      <c r="G2026" s="14">
        <f>E2026*F2026</f>
        <v/>
      </c>
      <c r="H2026" s="14">
        <f>C2026*G2026</f>
        <v/>
      </c>
    </row>
    <row r="2027">
      <c r="A2027" s="12" t="inlineStr">
        <is>
          <t>RET-0160</t>
        </is>
      </c>
      <c r="B2027" s="12" t="inlineStr">
        <is>
          <t>VS20</t>
        </is>
      </c>
      <c r="C2027" s="28" t="n">
        <v>0.0147</v>
      </c>
      <c r="D2027" s="12" t="inlineStr">
        <is>
          <t>PO-2022-2626</t>
        </is>
      </c>
      <c r="E2027" s="12" t="n">
        <v>1.903</v>
      </c>
      <c r="F2027" s="17" t="n">
        <v>87536.69</v>
      </c>
      <c r="G2027" s="14">
        <f>E2027*F2027</f>
        <v/>
      </c>
      <c r="H2027" s="14">
        <f>C2027*G2027</f>
        <v/>
      </c>
    </row>
    <row r="2028">
      <c r="A2028" s="12" t="inlineStr">
        <is>
          <t>RET-0160</t>
        </is>
      </c>
      <c r="B2028" s="12" t="inlineStr">
        <is>
          <t>VS21</t>
        </is>
      </c>
      <c r="C2028" s="28" t="n">
        <v>0.0147</v>
      </c>
      <c r="D2028" s="12" t="inlineStr">
        <is>
          <t>PO-2021-0450</t>
        </is>
      </c>
      <c r="E2028" s="12" t="n">
        <v>3.21</v>
      </c>
      <c r="F2028" s="17" t="n">
        <v>102241.81</v>
      </c>
      <c r="G2028" s="14">
        <f>E2028*F2028</f>
        <v/>
      </c>
      <c r="H2028" s="14">
        <f>C2028*G2028</f>
        <v/>
      </c>
    </row>
    <row r="2029">
      <c r="A2029" s="12" t="inlineStr">
        <is>
          <t>RET-0160</t>
        </is>
      </c>
      <c r="B2029" s="12" t="inlineStr">
        <is>
          <t>VS22</t>
        </is>
      </c>
      <c r="C2029" s="28" t="n">
        <v>0.008699999999999999</v>
      </c>
      <c r="D2029" s="12" t="inlineStr">
        <is>
          <t>PO-2023-3971</t>
        </is>
      </c>
      <c r="E2029" s="12" t="n">
        <v>3.21</v>
      </c>
      <c r="F2029" s="17" t="n">
        <v>100989.24</v>
      </c>
      <c r="G2029" s="14">
        <f>E2029*F2029</f>
        <v/>
      </c>
      <c r="H2029" s="14">
        <f>C2029*G2029</f>
        <v/>
      </c>
    </row>
    <row r="2030">
      <c r="A2030" s="12" t="inlineStr">
        <is>
          <t>RET-0160</t>
        </is>
      </c>
      <c r="B2030" s="12" t="inlineStr">
        <is>
          <t>VS23</t>
        </is>
      </c>
      <c r="C2030" s="28" t="n">
        <v>0.0145</v>
      </c>
      <c r="D2030" s="12" t="inlineStr">
        <is>
          <t>PO-2023-4082</t>
        </is>
      </c>
      <c r="E2030" s="12" t="n">
        <v>3.21</v>
      </c>
      <c r="F2030" s="17" t="n">
        <v>92527.92999999999</v>
      </c>
      <c r="G2030" s="14">
        <f>E2030*F2030</f>
        <v/>
      </c>
      <c r="H2030" s="14">
        <f>C2030*G2030</f>
        <v/>
      </c>
    </row>
    <row r="2031">
      <c r="A2031" s="12" t="inlineStr">
        <is>
          <t>RET-0160</t>
        </is>
      </c>
      <c r="B2031" s="12" t="inlineStr">
        <is>
          <t>VS24</t>
        </is>
      </c>
      <c r="C2031" s="28" t="n">
        <v>0.0146</v>
      </c>
      <c r="D2031" s="12" t="inlineStr">
        <is>
          <t>PO-2021-0357</t>
        </is>
      </c>
      <c r="E2031" s="12" t="n">
        <v>3.21</v>
      </c>
      <c r="F2031" s="17" t="n">
        <v>63240.59</v>
      </c>
      <c r="G2031" s="14">
        <f>E2031*F2031</f>
        <v/>
      </c>
      <c r="H2031" s="14">
        <f>C2031*G2031</f>
        <v/>
      </c>
    </row>
    <row r="2032">
      <c r="A2032" s="12" t="inlineStr">
        <is>
          <t>RET-0160</t>
        </is>
      </c>
      <c r="B2032" s="12" t="inlineStr">
        <is>
          <t>VS25</t>
        </is>
      </c>
      <c r="C2032" s="28" t="n">
        <v>0.0265</v>
      </c>
      <c r="D2032" s="12" t="inlineStr">
        <is>
          <t>PO-2022-3130</t>
        </is>
      </c>
      <c r="E2032" s="12" t="n">
        <v>3.21</v>
      </c>
      <c r="F2032" s="17" t="n">
        <v>104593.37</v>
      </c>
      <c r="G2032" s="14">
        <f>E2032*F2032</f>
        <v/>
      </c>
      <c r="H2032" s="14">
        <f>C2032*G2032</f>
        <v/>
      </c>
    </row>
    <row r="2033">
      <c r="A2033" s="12" t="inlineStr">
        <is>
          <t>RET-0160</t>
        </is>
      </c>
      <c r="B2033" s="12" t="inlineStr">
        <is>
          <t>VS26</t>
        </is>
      </c>
      <c r="C2033" s="28" t="n">
        <v>0.0148</v>
      </c>
      <c r="D2033" s="12" t="inlineStr">
        <is>
          <t>PO-2023-3378</t>
        </is>
      </c>
      <c r="E2033" s="12" t="n">
        <v>3.21</v>
      </c>
      <c r="F2033" s="17" t="n">
        <v>116500.58</v>
      </c>
      <c r="G2033" s="14">
        <f>E2033*F2033</f>
        <v/>
      </c>
      <c r="H2033" s="14">
        <f>C2033*G2033</f>
        <v/>
      </c>
    </row>
    <row r="2034">
      <c r="A2034" s="12" t="inlineStr">
        <is>
          <t>RET-0160</t>
        </is>
      </c>
      <c r="B2034" s="12" t="inlineStr">
        <is>
          <t>VS27</t>
        </is>
      </c>
      <c r="C2034" s="28" t="n">
        <v>0.0145</v>
      </c>
      <c r="D2034" s="12" t="inlineStr">
        <is>
          <t>PO-2023-3477</t>
        </is>
      </c>
      <c r="E2034" s="12" t="n">
        <v>3.21</v>
      </c>
      <c r="F2034" s="17" t="n">
        <v>70733.66</v>
      </c>
      <c r="G2034" s="14">
        <f>E2034*F2034</f>
        <v/>
      </c>
      <c r="H2034" s="14">
        <f>C2034*G2034</f>
        <v/>
      </c>
    </row>
    <row r="2035">
      <c r="A2035" s="12" t="inlineStr">
        <is>
          <t>RET-0160</t>
        </is>
      </c>
      <c r="B2035" s="12" t="inlineStr">
        <is>
          <t>VS28</t>
        </is>
      </c>
      <c r="C2035" s="28" t="n">
        <v>0.0323</v>
      </c>
      <c r="D2035" s="12" t="inlineStr">
        <is>
          <t>PO-2021-0386</t>
        </is>
      </c>
      <c r="E2035" s="12" t="n">
        <v>3.21</v>
      </c>
      <c r="F2035" s="17" t="n">
        <v>119302.55</v>
      </c>
      <c r="G2035" s="14">
        <f>E2035*F2035</f>
        <v/>
      </c>
      <c r="H2035" s="14">
        <f>C2035*G2035</f>
        <v/>
      </c>
    </row>
    <row r="2036">
      <c r="A2036" s="12" t="inlineStr">
        <is>
          <t>RET-0160</t>
        </is>
      </c>
      <c r="B2036" s="12" t="inlineStr">
        <is>
          <t>VS29</t>
        </is>
      </c>
      <c r="C2036" s="28" t="n">
        <v>0.0205</v>
      </c>
      <c r="D2036" s="12" t="inlineStr">
        <is>
          <t>PO-2023-4754</t>
        </is>
      </c>
      <c r="E2036" s="12" t="n">
        <v>3.21</v>
      </c>
      <c r="F2036" s="17" t="n">
        <v>71470.53999999999</v>
      </c>
      <c r="G2036" s="14">
        <f>E2036*F2036</f>
        <v/>
      </c>
      <c r="H2036" s="14">
        <f>C2036*G2036</f>
        <v/>
      </c>
    </row>
    <row r="2037">
      <c r="A2037" s="12" t="inlineStr">
        <is>
          <t>RET-0160</t>
        </is>
      </c>
      <c r="B2037" s="12" t="inlineStr">
        <is>
          <t>VS30</t>
        </is>
      </c>
      <c r="C2037" s="28" t="n">
        <v>0.008800000000000001</v>
      </c>
      <c r="D2037" s="12" t="inlineStr">
        <is>
          <t>PO-2023-4376</t>
        </is>
      </c>
      <c r="E2037" s="12" t="n">
        <v>3.21</v>
      </c>
      <c r="F2037" s="17" t="n">
        <v>56918.65</v>
      </c>
      <c r="G2037" s="14">
        <f>E2037*F2037</f>
        <v/>
      </c>
      <c r="H2037" s="14">
        <f>C2037*G2037</f>
        <v/>
      </c>
    </row>
    <row r="2038">
      <c r="A2038" s="12" t="inlineStr">
        <is>
          <t>RET-0160</t>
        </is>
      </c>
      <c r="B2038" s="12" t="inlineStr">
        <is>
          <t>VS31</t>
        </is>
      </c>
      <c r="C2038" s="28" t="n">
        <v>0.0322</v>
      </c>
      <c r="D2038" s="12" t="inlineStr">
        <is>
          <t>PO-2022-2053</t>
        </is>
      </c>
      <c r="E2038" s="12" t="n">
        <v>3.172</v>
      </c>
      <c r="F2038" s="17" t="n">
        <v>76281.72</v>
      </c>
      <c r="G2038" s="14">
        <f>E2038*F2038</f>
        <v/>
      </c>
      <c r="H2038" s="14">
        <f>C2038*G2038</f>
        <v/>
      </c>
    </row>
    <row r="2039">
      <c r="A2039" s="12" t="inlineStr">
        <is>
          <t>RET-0160</t>
        </is>
      </c>
      <c r="B2039" s="12" t="inlineStr">
        <is>
          <t>VS32</t>
        </is>
      </c>
      <c r="C2039" s="28" t="n">
        <v>0.0383</v>
      </c>
      <c r="D2039" s="12" t="inlineStr">
        <is>
          <t>PO-2023-4731</t>
        </is>
      </c>
      <c r="E2039" s="12" t="n">
        <v>3.21</v>
      </c>
      <c r="F2039" s="17" t="n">
        <v>97045.02</v>
      </c>
      <c r="G2039" s="14">
        <f>E2039*F2039</f>
        <v/>
      </c>
      <c r="H2039" s="14">
        <f>C2039*G2039</f>
        <v/>
      </c>
    </row>
    <row r="2040">
      <c r="A2040" s="12" t="inlineStr">
        <is>
          <t>RET-0160</t>
        </is>
      </c>
      <c r="B2040" s="12" t="inlineStr">
        <is>
          <t>VS33</t>
        </is>
      </c>
      <c r="C2040" s="28" t="n">
        <v>0.0204</v>
      </c>
      <c r="D2040" s="12" t="inlineStr">
        <is>
          <t>PO-2022-2583</t>
        </is>
      </c>
      <c r="E2040" s="12" t="n">
        <v>3.21</v>
      </c>
      <c r="F2040" s="17" t="n">
        <v>59260.78</v>
      </c>
      <c r="G2040" s="14">
        <f>E2040*F2040</f>
        <v/>
      </c>
      <c r="H2040" s="14">
        <f>C2040*G2040</f>
        <v/>
      </c>
    </row>
    <row r="2041">
      <c r="A2041" s="12" t="inlineStr">
        <is>
          <t>RET-0160</t>
        </is>
      </c>
      <c r="B2041" s="12" t="inlineStr">
        <is>
          <t>VS34</t>
        </is>
      </c>
      <c r="C2041" s="28" t="n">
        <v>0.0264</v>
      </c>
      <c r="D2041" s="12" t="inlineStr">
        <is>
          <t>PO-2023-4032</t>
        </is>
      </c>
      <c r="E2041" s="12" t="n">
        <v>3.21</v>
      </c>
      <c r="F2041" s="17" t="n">
        <v>103810.35</v>
      </c>
      <c r="G2041" s="14">
        <f>E2041*F2041</f>
        <v/>
      </c>
      <c r="H2041" s="14">
        <f>C2041*G2041</f>
        <v/>
      </c>
    </row>
    <row r="2042">
      <c r="A2042" s="12" t="inlineStr">
        <is>
          <t>RET-0166</t>
        </is>
      </c>
      <c r="B2042" s="12" t="inlineStr">
        <is>
          <t>VS01</t>
        </is>
      </c>
      <c r="C2042" s="28" t="n">
        <v>0.0313</v>
      </c>
      <c r="D2042" s="12" t="inlineStr">
        <is>
          <t>PO-2022-2350</t>
        </is>
      </c>
      <c r="E2042" s="12" t="n">
        <v>2.94</v>
      </c>
      <c r="F2042" s="17" t="n">
        <v>91548.94</v>
      </c>
      <c r="G2042" s="14">
        <f>E2042*F2042</f>
        <v/>
      </c>
      <c r="H2042" s="14">
        <f>C2042*G2042</f>
        <v/>
      </c>
    </row>
    <row r="2043">
      <c r="A2043" s="12" t="inlineStr">
        <is>
          <t>RET-0166</t>
        </is>
      </c>
      <c r="B2043" s="12" t="inlineStr">
        <is>
          <t>VS02</t>
        </is>
      </c>
      <c r="C2043" s="28" t="n">
        <v>0.0143</v>
      </c>
      <c r="D2043" s="12" t="inlineStr">
        <is>
          <t>PO-2023-4400</t>
        </is>
      </c>
      <c r="E2043" s="12" t="n">
        <v>2.94</v>
      </c>
      <c r="F2043" s="17" t="n">
        <v>103642.1</v>
      </c>
      <c r="G2043" s="14">
        <f>E2043*F2043</f>
        <v/>
      </c>
      <c r="H2043" s="14">
        <f>C2043*G2043</f>
        <v/>
      </c>
    </row>
    <row r="2044">
      <c r="A2044" s="12" t="inlineStr">
        <is>
          <t>RET-0166</t>
        </is>
      </c>
      <c r="B2044" s="12" t="inlineStr">
        <is>
          <t>VS03</t>
        </is>
      </c>
      <c r="C2044" s="28" t="n">
        <v>0.09030000000000001</v>
      </c>
      <c r="D2044" s="12" t="inlineStr">
        <is>
          <t>PO-2021-0645</t>
        </is>
      </c>
      <c r="E2044" s="12" t="n">
        <v>2.94</v>
      </c>
      <c r="F2044" s="17" t="n">
        <v>108904.11</v>
      </c>
      <c r="G2044" s="14">
        <f>E2044*F2044</f>
        <v/>
      </c>
      <c r="H2044" s="14">
        <f>C2044*G2044</f>
        <v/>
      </c>
    </row>
    <row r="2045">
      <c r="A2045" s="12" t="inlineStr">
        <is>
          <t>RET-0166</t>
        </is>
      </c>
      <c r="B2045" s="12" t="inlineStr">
        <is>
          <t>VS04</t>
        </is>
      </c>
      <c r="C2045" s="28" t="n">
        <v>0.0197</v>
      </c>
      <c r="D2045" s="12" t="inlineStr">
        <is>
          <t>PO-2023-3927</t>
        </is>
      </c>
      <c r="E2045" s="12" t="n">
        <v>2.94</v>
      </c>
      <c r="F2045" s="17" t="n">
        <v>54233.12</v>
      </c>
      <c r="G2045" s="14">
        <f>E2045*F2045</f>
        <v/>
      </c>
      <c r="H2045" s="14">
        <f>C2045*G2045</f>
        <v/>
      </c>
    </row>
    <row r="2046">
      <c r="A2046" s="12" t="inlineStr">
        <is>
          <t>RET-0166</t>
        </is>
      </c>
      <c r="B2046" s="12" t="inlineStr">
        <is>
          <t>VS05</t>
        </is>
      </c>
      <c r="C2046" s="28" t="n">
        <v>0.0255</v>
      </c>
      <c r="D2046" s="12" t="inlineStr">
        <is>
          <t>PO-2021-1437</t>
        </is>
      </c>
      <c r="E2046" s="12" t="n">
        <v>2.43</v>
      </c>
      <c r="F2046" s="17" t="n">
        <v>62608.51</v>
      </c>
      <c r="G2046" s="14">
        <f>E2046*F2046</f>
        <v/>
      </c>
      <c r="H2046" s="14">
        <f>C2046*G2046</f>
        <v/>
      </c>
    </row>
    <row r="2047">
      <c r="A2047" s="12" t="inlineStr">
        <is>
          <t>RET-0166</t>
        </is>
      </c>
      <c r="B2047" s="12" t="inlineStr">
        <is>
          <t>VS06</t>
        </is>
      </c>
      <c r="C2047" s="28" t="n">
        <v>0.0257</v>
      </c>
      <c r="D2047" s="12" t="inlineStr">
        <is>
          <t>PO-2022-2202</t>
        </is>
      </c>
      <c r="E2047" s="12" t="n">
        <v>2.94</v>
      </c>
      <c r="F2047" s="17" t="n">
        <v>78190.2</v>
      </c>
      <c r="G2047" s="14">
        <f>E2047*F2047</f>
        <v/>
      </c>
      <c r="H2047" s="14">
        <f>C2047*G2047</f>
        <v/>
      </c>
    </row>
    <row r="2048">
      <c r="A2048" s="12" t="inlineStr">
        <is>
          <t>RET-0166</t>
        </is>
      </c>
      <c r="B2048" s="12" t="inlineStr">
        <is>
          <t>VS07</t>
        </is>
      </c>
      <c r="C2048" s="28" t="n">
        <v>0.0086</v>
      </c>
      <c r="D2048" s="12" t="inlineStr">
        <is>
          <t>PO-2023-3842</t>
        </is>
      </c>
      <c r="E2048" s="12" t="n">
        <v>2.94</v>
      </c>
      <c r="F2048" s="17" t="n">
        <v>84591.00999999999</v>
      </c>
      <c r="G2048" s="14">
        <f>E2048*F2048</f>
        <v/>
      </c>
      <c r="H2048" s="14">
        <f>C2048*G2048</f>
        <v/>
      </c>
    </row>
    <row r="2049">
      <c r="A2049" s="12" t="inlineStr">
        <is>
          <t>RET-0166</t>
        </is>
      </c>
      <c r="B2049" s="12" t="inlineStr">
        <is>
          <t>VS08</t>
        </is>
      </c>
      <c r="C2049" s="28" t="n">
        <v>0.0259</v>
      </c>
      <c r="D2049" s="12" t="inlineStr">
        <is>
          <t>PO-2022-1868</t>
        </is>
      </c>
      <c r="E2049" s="12" t="n">
        <v>2.94</v>
      </c>
      <c r="F2049" s="17" t="n">
        <v>112376.54</v>
      </c>
      <c r="G2049" s="14">
        <f>E2049*F2049</f>
        <v/>
      </c>
      <c r="H2049" s="14">
        <f>C2049*G2049</f>
        <v/>
      </c>
    </row>
    <row r="2050">
      <c r="A2050" s="12" t="inlineStr">
        <is>
          <t>RET-0166</t>
        </is>
      </c>
      <c r="B2050" s="12" t="inlineStr">
        <is>
          <t>VS09</t>
        </is>
      </c>
      <c r="C2050" s="28" t="n">
        <v>0.0199</v>
      </c>
      <c r="D2050" s="12" t="inlineStr">
        <is>
          <t>PO-2021-1024</t>
        </is>
      </c>
      <c r="E2050" s="12" t="n">
        <v>2.94</v>
      </c>
      <c r="F2050" s="17" t="n">
        <v>53516.83</v>
      </c>
      <c r="G2050" s="14">
        <f>E2050*F2050</f>
        <v/>
      </c>
      <c r="H2050" s="14">
        <f>C2050*G2050</f>
        <v/>
      </c>
    </row>
    <row r="2051">
      <c r="A2051" s="12" t="inlineStr">
        <is>
          <t>RET-0166</t>
        </is>
      </c>
      <c r="B2051" s="12" t="inlineStr">
        <is>
          <t>VS10</t>
        </is>
      </c>
      <c r="C2051" s="28" t="n">
        <v>0.0313</v>
      </c>
      <c r="D2051" s="12" t="inlineStr">
        <is>
          <t>PO-2021-1339</t>
        </is>
      </c>
      <c r="E2051" s="12" t="n">
        <v>2.94</v>
      </c>
      <c r="F2051" s="17" t="n">
        <v>92209.44</v>
      </c>
      <c r="G2051" s="14">
        <f>E2051*F2051</f>
        <v/>
      </c>
      <c r="H2051" s="14">
        <f>C2051*G2051</f>
        <v/>
      </c>
    </row>
    <row r="2052">
      <c r="A2052" s="12" t="inlineStr">
        <is>
          <t>RET-0166</t>
        </is>
      </c>
      <c r="B2052" s="12" t="inlineStr">
        <is>
          <t>VS11</t>
        </is>
      </c>
      <c r="C2052" s="28" t="n">
        <v>0.0367</v>
      </c>
      <c r="D2052" s="12" t="inlineStr">
        <is>
          <t>PO-2022-2091</t>
        </is>
      </c>
      <c r="E2052" s="12" t="n">
        <v>2.94</v>
      </c>
      <c r="F2052" s="17" t="n">
        <v>118586.58</v>
      </c>
      <c r="G2052" s="14">
        <f>E2052*F2052</f>
        <v/>
      </c>
      <c r="H2052" s="14">
        <f>C2052*G2052</f>
        <v/>
      </c>
    </row>
    <row r="2053">
      <c r="A2053" s="12" t="inlineStr">
        <is>
          <t>RET-0166</t>
        </is>
      </c>
      <c r="B2053" s="12" t="inlineStr">
        <is>
          <t>VS12</t>
        </is>
      </c>
      <c r="C2053" s="28" t="n">
        <v>0.1256</v>
      </c>
      <c r="D2053" s="12" t="inlineStr">
        <is>
          <t>PO-2021-1153</t>
        </is>
      </c>
      <c r="E2053" s="12" t="n">
        <v>2.94</v>
      </c>
      <c r="F2053" s="17" t="n">
        <v>62295.77</v>
      </c>
      <c r="G2053" s="14">
        <f>E2053*F2053</f>
        <v/>
      </c>
      <c r="H2053" s="14">
        <f>C2053*G2053</f>
        <v/>
      </c>
    </row>
    <row r="2054">
      <c r="A2054" s="12" t="inlineStr">
        <is>
          <t>RET-0166</t>
        </is>
      </c>
      <c r="B2054" s="12" t="inlineStr">
        <is>
          <t>VS13</t>
        </is>
      </c>
      <c r="C2054" s="28" t="n">
        <v>0.0252</v>
      </c>
      <c r="D2054" s="12" t="inlineStr">
        <is>
          <t>PO-2023-3930</t>
        </is>
      </c>
      <c r="E2054" s="12" t="n">
        <v>2.94</v>
      </c>
      <c r="F2054" s="17" t="n">
        <v>82117.21000000001</v>
      </c>
      <c r="G2054" s="14">
        <f>E2054*F2054</f>
        <v/>
      </c>
      <c r="H2054" s="14">
        <f>C2054*G2054</f>
        <v/>
      </c>
    </row>
    <row r="2055">
      <c r="A2055" s="12" t="inlineStr">
        <is>
          <t>RET-0166</t>
        </is>
      </c>
      <c r="B2055" s="12" t="inlineStr">
        <is>
          <t>VS14</t>
        </is>
      </c>
      <c r="C2055" s="28" t="n">
        <v>0.0255</v>
      </c>
      <c r="D2055" s="12" t="inlineStr">
        <is>
          <t>PO-2023-3818</t>
        </is>
      </c>
      <c r="E2055" s="12" t="n">
        <v>2.94</v>
      </c>
      <c r="F2055" s="17" t="n">
        <v>73611.39</v>
      </c>
      <c r="G2055" s="14">
        <f>E2055*F2055</f>
        <v/>
      </c>
      <c r="H2055" s="14">
        <f>C2055*G2055</f>
        <v/>
      </c>
    </row>
    <row r="2056">
      <c r="A2056" s="12" t="inlineStr">
        <is>
          <t>RET-0166</t>
        </is>
      </c>
      <c r="B2056" s="12" t="inlineStr">
        <is>
          <t>VS15</t>
        </is>
      </c>
      <c r="C2056" s="28" t="n">
        <v>0.008500000000000001</v>
      </c>
      <c r="D2056" s="12" t="inlineStr">
        <is>
          <t>PO-2021-0723</t>
        </is>
      </c>
      <c r="E2056" s="12" t="n">
        <v>2.94</v>
      </c>
      <c r="F2056" s="17" t="n">
        <v>71482.22</v>
      </c>
      <c r="G2056" s="14">
        <f>E2056*F2056</f>
        <v/>
      </c>
      <c r="H2056" s="14">
        <f>C2056*G2056</f>
        <v/>
      </c>
    </row>
    <row r="2057">
      <c r="A2057" s="12" t="inlineStr">
        <is>
          <t>RET-0166</t>
        </is>
      </c>
      <c r="B2057" s="12" t="inlineStr">
        <is>
          <t>VS16</t>
        </is>
      </c>
      <c r="C2057" s="28" t="n">
        <v>0.0368</v>
      </c>
      <c r="D2057" s="12" t="inlineStr">
        <is>
          <t>PO-2022-1857</t>
        </is>
      </c>
      <c r="E2057" s="12" t="n">
        <v>2.94</v>
      </c>
      <c r="F2057" s="17" t="n">
        <v>102573.26</v>
      </c>
      <c r="G2057" s="14">
        <f>E2057*F2057</f>
        <v/>
      </c>
      <c r="H2057" s="14">
        <f>C2057*G2057</f>
        <v/>
      </c>
    </row>
    <row r="2058">
      <c r="A2058" s="12" t="inlineStr">
        <is>
          <t>RET-0166</t>
        </is>
      </c>
      <c r="B2058" s="12" t="inlineStr">
        <is>
          <t>VS17</t>
        </is>
      </c>
      <c r="C2058" s="28" t="n">
        <v>0.0366</v>
      </c>
      <c r="D2058" s="12" t="inlineStr">
        <is>
          <t>PO-2023-4321</t>
        </is>
      </c>
      <c r="E2058" s="12" t="n">
        <v>2.94</v>
      </c>
      <c r="F2058" s="17" t="n">
        <v>72823.14999999999</v>
      </c>
      <c r="G2058" s="14">
        <f>E2058*F2058</f>
        <v/>
      </c>
      <c r="H2058" s="14">
        <f>C2058*G2058</f>
        <v/>
      </c>
    </row>
    <row r="2059">
      <c r="A2059" s="12" t="inlineStr">
        <is>
          <t>RET-0166</t>
        </is>
      </c>
      <c r="B2059" s="12" t="inlineStr">
        <is>
          <t>VS18</t>
        </is>
      </c>
      <c r="C2059" s="28" t="n">
        <v>0.0255</v>
      </c>
      <c r="D2059" s="12" t="inlineStr">
        <is>
          <t>PO-2021-0048</t>
        </is>
      </c>
      <c r="E2059" s="12" t="n">
        <v>2.94</v>
      </c>
      <c r="F2059" s="17" t="n">
        <v>85511.42</v>
      </c>
      <c r="G2059" s="14">
        <f>E2059*F2059</f>
        <v/>
      </c>
      <c r="H2059" s="14">
        <f>C2059*G2059</f>
        <v/>
      </c>
    </row>
    <row r="2060">
      <c r="A2060" s="12" t="inlineStr">
        <is>
          <t>RET-0166</t>
        </is>
      </c>
      <c r="B2060" s="12" t="inlineStr">
        <is>
          <t>VS19</t>
        </is>
      </c>
      <c r="C2060" s="28" t="n">
        <v>0.09470000000000001</v>
      </c>
      <c r="D2060" s="12" t="inlineStr">
        <is>
          <t>PO-2023-3912</t>
        </is>
      </c>
      <c r="E2060" s="12" t="n">
        <v>2.94</v>
      </c>
      <c r="F2060" s="17" t="n">
        <v>53863.91</v>
      </c>
      <c r="G2060" s="14">
        <f>E2060*F2060</f>
        <v/>
      </c>
      <c r="H2060" s="14">
        <f>C2060*G2060</f>
        <v/>
      </c>
    </row>
    <row r="2061">
      <c r="A2061" s="12" t="inlineStr">
        <is>
          <t>RET-0166</t>
        </is>
      </c>
      <c r="B2061" s="12" t="inlineStr">
        <is>
          <t>VS20</t>
        </is>
      </c>
      <c r="C2061" s="28" t="n">
        <v>0.0142</v>
      </c>
      <c r="D2061" s="12" t="inlineStr">
        <is>
          <t>PO-2023-3265</t>
        </is>
      </c>
      <c r="E2061" s="12" t="n">
        <v>2.94</v>
      </c>
      <c r="F2061" s="17" t="n">
        <v>110599.43</v>
      </c>
      <c r="G2061" s="14">
        <f>E2061*F2061</f>
        <v/>
      </c>
      <c r="H2061" s="14">
        <f>C2061*G2061</f>
        <v/>
      </c>
    </row>
    <row r="2062">
      <c r="A2062" s="12" t="inlineStr">
        <is>
          <t>RET-0166</t>
        </is>
      </c>
      <c r="B2062" s="12" t="inlineStr">
        <is>
          <t>VS21</t>
        </is>
      </c>
      <c r="C2062" s="28" t="n">
        <v>0.0142</v>
      </c>
      <c r="D2062" s="12" t="inlineStr">
        <is>
          <t>PO-2023-4211</t>
        </is>
      </c>
      <c r="E2062" s="12" t="n">
        <v>2.94</v>
      </c>
      <c r="F2062" s="17" t="n">
        <v>116836.62</v>
      </c>
      <c r="G2062" s="14">
        <f>E2062*F2062</f>
        <v/>
      </c>
      <c r="H2062" s="14">
        <f>C2062*G2062</f>
        <v/>
      </c>
    </row>
    <row r="2063">
      <c r="A2063" s="12" t="inlineStr">
        <is>
          <t>RET-0166</t>
        </is>
      </c>
      <c r="B2063" s="12" t="inlineStr">
        <is>
          <t>VS22</t>
        </is>
      </c>
      <c r="C2063" s="28" t="n">
        <v>0.008399999999999999</v>
      </c>
      <c r="D2063" s="12" t="inlineStr">
        <is>
          <t>PO-2021-1407</t>
        </is>
      </c>
      <c r="E2063" s="12" t="n">
        <v>2.94</v>
      </c>
      <c r="F2063" s="17" t="n">
        <v>85448.38</v>
      </c>
      <c r="G2063" s="14">
        <f>E2063*F2063</f>
        <v/>
      </c>
      <c r="H2063" s="14">
        <f>C2063*G2063</f>
        <v/>
      </c>
    </row>
    <row r="2064">
      <c r="A2064" s="12" t="inlineStr">
        <is>
          <t>RET-0166</t>
        </is>
      </c>
      <c r="B2064" s="12" t="inlineStr">
        <is>
          <t>VS23</t>
        </is>
      </c>
      <c r="C2064" s="28" t="n">
        <v>0.014</v>
      </c>
      <c r="D2064" s="12" t="inlineStr">
        <is>
          <t>PO-2022-1784</t>
        </is>
      </c>
      <c r="E2064" s="12" t="n">
        <v>2.94</v>
      </c>
      <c r="F2064" s="17" t="n">
        <v>109399.79</v>
      </c>
      <c r="G2064" s="14">
        <f>E2064*F2064</f>
        <v/>
      </c>
      <c r="H2064" s="14">
        <f>C2064*G2064</f>
        <v/>
      </c>
    </row>
    <row r="2065">
      <c r="A2065" s="12" t="inlineStr">
        <is>
          <t>RET-0166</t>
        </is>
      </c>
      <c r="B2065" s="12" t="inlineStr">
        <is>
          <t>VS24</t>
        </is>
      </c>
      <c r="C2065" s="28" t="n">
        <v>0.0142</v>
      </c>
      <c r="D2065" s="12" t="inlineStr">
        <is>
          <t>PO-2021-0594</t>
        </is>
      </c>
      <c r="E2065" s="12" t="n">
        <v>2.94</v>
      </c>
      <c r="F2065" s="17" t="n">
        <v>53692.58</v>
      </c>
      <c r="G2065" s="14">
        <f>E2065*F2065</f>
        <v/>
      </c>
      <c r="H2065" s="14">
        <f>C2065*G2065</f>
        <v/>
      </c>
    </row>
    <row r="2066">
      <c r="A2066" s="12" t="inlineStr">
        <is>
          <t>RET-0166</t>
        </is>
      </c>
      <c r="B2066" s="12" t="inlineStr">
        <is>
          <t>VS25</t>
        </is>
      </c>
      <c r="C2066" s="28" t="n">
        <v>0.0257</v>
      </c>
      <c r="D2066" s="12" t="inlineStr">
        <is>
          <t>PO-2023-4636</t>
        </is>
      </c>
      <c r="E2066" s="12" t="n">
        <v>2.94</v>
      </c>
      <c r="F2066" s="17" t="n">
        <v>83912.19</v>
      </c>
      <c r="G2066" s="14">
        <f>E2066*F2066</f>
        <v/>
      </c>
      <c r="H2066" s="14">
        <f>C2066*G2066</f>
        <v/>
      </c>
    </row>
    <row r="2067">
      <c r="A2067" s="12" t="inlineStr">
        <is>
          <t>RET-0166</t>
        </is>
      </c>
      <c r="B2067" s="12" t="inlineStr">
        <is>
          <t>VS26</t>
        </is>
      </c>
      <c r="C2067" s="28" t="n">
        <v>0.0143</v>
      </c>
      <c r="D2067" s="12" t="inlineStr">
        <is>
          <t>PO-2022-2195</t>
        </is>
      </c>
      <c r="E2067" s="12" t="n">
        <v>2.94</v>
      </c>
      <c r="F2067" s="17" t="n">
        <v>92960.63</v>
      </c>
      <c r="G2067" s="14">
        <f>E2067*F2067</f>
        <v/>
      </c>
      <c r="H2067" s="14">
        <f>C2067*G2067</f>
        <v/>
      </c>
    </row>
    <row r="2068">
      <c r="A2068" s="12" t="inlineStr">
        <is>
          <t>RET-0166</t>
        </is>
      </c>
      <c r="B2068" s="12" t="inlineStr">
        <is>
          <t>VS27</t>
        </is>
      </c>
      <c r="C2068" s="28" t="n">
        <v>0.014</v>
      </c>
      <c r="D2068" s="12" t="inlineStr">
        <is>
          <t>PO-2021-0161</t>
        </is>
      </c>
      <c r="E2068" s="12" t="n">
        <v>2.94</v>
      </c>
      <c r="F2068" s="17" t="n">
        <v>74904.75999999999</v>
      </c>
      <c r="G2068" s="14">
        <f>E2068*F2068</f>
        <v/>
      </c>
      <c r="H2068" s="14">
        <f>C2068*G2068</f>
        <v/>
      </c>
    </row>
    <row r="2069">
      <c r="A2069" s="12" t="inlineStr">
        <is>
          <t>RET-0166</t>
        </is>
      </c>
      <c r="B2069" s="12" t="inlineStr">
        <is>
          <t>VS28</t>
        </is>
      </c>
      <c r="C2069" s="28" t="n">
        <v>0.0313</v>
      </c>
      <c r="D2069" s="12" t="inlineStr">
        <is>
          <t>PO-2021-0877</t>
        </is>
      </c>
      <c r="E2069" s="12" t="n">
        <v>2.94</v>
      </c>
      <c r="F2069" s="17" t="n">
        <v>88135.7</v>
      </c>
      <c r="G2069" s="14">
        <f>E2069*F2069</f>
        <v/>
      </c>
      <c r="H2069" s="14">
        <f>C2069*G2069</f>
        <v/>
      </c>
    </row>
    <row r="2070">
      <c r="A2070" s="12" t="inlineStr">
        <is>
          <t>RET-0166</t>
        </is>
      </c>
      <c r="B2070" s="12" t="inlineStr">
        <is>
          <t>VS29</t>
        </is>
      </c>
      <c r="C2070" s="28" t="n">
        <v>0.0199</v>
      </c>
      <c r="D2070" s="12" t="inlineStr">
        <is>
          <t>PO-2021-1405</t>
        </is>
      </c>
      <c r="E2070" s="12" t="n">
        <v>2.94</v>
      </c>
      <c r="F2070" s="17" t="n">
        <v>68815.39999999999</v>
      </c>
      <c r="G2070" s="14">
        <f>E2070*F2070</f>
        <v/>
      </c>
      <c r="H2070" s="14">
        <f>C2070*G2070</f>
        <v/>
      </c>
    </row>
    <row r="2071">
      <c r="A2071" s="12" t="inlineStr">
        <is>
          <t>RET-0166</t>
        </is>
      </c>
      <c r="B2071" s="12" t="inlineStr">
        <is>
          <t>VS30</t>
        </is>
      </c>
      <c r="C2071" s="28" t="n">
        <v>0.008500000000000001</v>
      </c>
      <c r="D2071" s="12" t="inlineStr">
        <is>
          <t>PO-2021-0010</t>
        </is>
      </c>
      <c r="E2071" s="12" t="n">
        <v>2.94</v>
      </c>
      <c r="F2071" s="17" t="n">
        <v>115180.07</v>
      </c>
      <c r="G2071" s="14">
        <f>E2071*F2071</f>
        <v/>
      </c>
      <c r="H2071" s="14">
        <f>C2071*G2071</f>
        <v/>
      </c>
    </row>
    <row r="2072">
      <c r="A2072" s="12" t="inlineStr">
        <is>
          <t>RET-0166</t>
        </is>
      </c>
      <c r="B2072" s="12" t="inlineStr">
        <is>
          <t>VS31</t>
        </is>
      </c>
      <c r="C2072" s="28" t="n">
        <v>0.0312</v>
      </c>
      <c r="D2072" s="12" t="inlineStr">
        <is>
          <t>PO-2023-3710</t>
        </is>
      </c>
      <c r="E2072" s="12" t="n">
        <v>2.94</v>
      </c>
      <c r="F2072" s="17" t="n">
        <v>108978.53</v>
      </c>
      <c r="G2072" s="14">
        <f>E2072*F2072</f>
        <v/>
      </c>
      <c r="H2072" s="14">
        <f>C2072*G2072</f>
        <v/>
      </c>
    </row>
    <row r="2073">
      <c r="A2073" s="12" t="inlineStr">
        <is>
          <t>RET-0166</t>
        </is>
      </c>
      <c r="B2073" s="12" t="inlineStr">
        <is>
          <t>VS32</t>
        </is>
      </c>
      <c r="C2073" s="28" t="n">
        <v>0.0371</v>
      </c>
      <c r="D2073" s="12" t="inlineStr">
        <is>
          <t>PO-2023-4576</t>
        </is>
      </c>
      <c r="E2073" s="12" t="n">
        <v>2.94</v>
      </c>
      <c r="F2073" s="17" t="n">
        <v>55178.58</v>
      </c>
      <c r="G2073" s="14">
        <f>E2073*F2073</f>
        <v/>
      </c>
      <c r="H2073" s="14">
        <f>C2073*G2073</f>
        <v/>
      </c>
    </row>
    <row r="2074">
      <c r="A2074" s="12" t="inlineStr">
        <is>
          <t>RET-0166</t>
        </is>
      </c>
      <c r="B2074" s="12" t="inlineStr">
        <is>
          <t>VS33</t>
        </is>
      </c>
      <c r="C2074" s="28" t="n">
        <v>0.0198</v>
      </c>
      <c r="D2074" s="12" t="inlineStr">
        <is>
          <t>PO-2022-2067</t>
        </is>
      </c>
      <c r="E2074" s="12" t="n">
        <v>2.94</v>
      </c>
      <c r="F2074" s="17" t="n">
        <v>73348.41</v>
      </c>
      <c r="G2074" s="14">
        <f>E2074*F2074</f>
        <v/>
      </c>
      <c r="H2074" s="14">
        <f>C2074*G2074</f>
        <v/>
      </c>
    </row>
    <row r="2075">
      <c r="A2075" s="12" t="inlineStr">
        <is>
          <t>RET-0166</t>
        </is>
      </c>
      <c r="B2075" s="12" t="inlineStr">
        <is>
          <t>VS34</t>
        </is>
      </c>
      <c r="C2075" s="28" t="n">
        <v>0.0256</v>
      </c>
      <c r="D2075" s="12" t="inlineStr">
        <is>
          <t>PO-2022-1932</t>
        </is>
      </c>
      <c r="E2075" s="12" t="n">
        <v>2.94</v>
      </c>
      <c r="F2075" s="17" t="n">
        <v>72872.39</v>
      </c>
      <c r="G2075" s="14">
        <f>E2075*F2075</f>
        <v/>
      </c>
      <c r="H2075" s="14">
        <f>C2075*G2075</f>
        <v/>
      </c>
    </row>
    <row r="2076">
      <c r="A2076" s="12" t="inlineStr">
        <is>
          <t>RET-0168</t>
        </is>
      </c>
      <c r="B2076" s="12" t="inlineStr">
        <is>
          <t>VS01</t>
        </is>
      </c>
      <c r="C2076" s="28" t="n">
        <v>0.0234</v>
      </c>
      <c r="D2076" s="12" t="inlineStr">
        <is>
          <t>PO-2023-3230</t>
        </is>
      </c>
      <c r="E2076" s="12" t="n">
        <v>4.57</v>
      </c>
      <c r="F2076" s="17" t="n">
        <v>62183.64</v>
      </c>
      <c r="G2076" s="14">
        <f>E2076*F2076</f>
        <v/>
      </c>
      <c r="H2076" s="14">
        <f>C2076*G2076</f>
        <v/>
      </c>
    </row>
    <row r="2077">
      <c r="A2077" s="12" t="inlineStr">
        <is>
          <t>RET-0168</t>
        </is>
      </c>
      <c r="B2077" s="12" t="inlineStr">
        <is>
          <t>VS02</t>
        </is>
      </c>
      <c r="C2077" s="28" t="n">
        <v>0.0106</v>
      </c>
      <c r="D2077" s="12" t="inlineStr">
        <is>
          <t>PO-2021-0281</t>
        </is>
      </c>
      <c r="E2077" s="12" t="n">
        <v>4.57</v>
      </c>
      <c r="F2077" s="17" t="n">
        <v>94169.32000000001</v>
      </c>
      <c r="G2077" s="14">
        <f>E2077*F2077</f>
        <v/>
      </c>
      <c r="H2077" s="14">
        <f>C2077*G2077</f>
        <v/>
      </c>
    </row>
    <row r="2078">
      <c r="A2078" s="12" t="inlineStr">
        <is>
          <t>RET-0168</t>
        </is>
      </c>
      <c r="B2078" s="12" t="inlineStr">
        <is>
          <t>VS03</t>
        </is>
      </c>
      <c r="C2078" s="28" t="n">
        <v>0.1413</v>
      </c>
      <c r="D2078" s="12" t="inlineStr">
        <is>
          <t>PO-2021-1212</t>
        </is>
      </c>
      <c r="E2078" s="12" t="n">
        <v>4.57</v>
      </c>
      <c r="F2078" s="17" t="n">
        <v>86841.75</v>
      </c>
      <c r="G2078" s="14">
        <f>E2078*F2078</f>
        <v/>
      </c>
      <c r="H2078" s="14">
        <f>C2078*G2078</f>
        <v/>
      </c>
    </row>
    <row r="2079">
      <c r="A2079" s="12" t="inlineStr">
        <is>
          <t>RET-0168</t>
        </is>
      </c>
      <c r="B2079" s="12" t="inlineStr">
        <is>
          <t>VS04</t>
        </is>
      </c>
      <c r="C2079" s="28" t="n">
        <v>0.0147</v>
      </c>
      <c r="D2079" s="12" t="inlineStr">
        <is>
          <t>PO-2022-2930</t>
        </is>
      </c>
      <c r="E2079" s="12" t="n">
        <v>4.57</v>
      </c>
      <c r="F2079" s="17" t="n">
        <v>64963.06</v>
      </c>
      <c r="G2079" s="14">
        <f>E2079*F2079</f>
        <v/>
      </c>
      <c r="H2079" s="14">
        <f>C2079*G2079</f>
        <v/>
      </c>
    </row>
    <row r="2080">
      <c r="A2080" s="12" t="inlineStr">
        <is>
          <t>RET-0168</t>
        </is>
      </c>
      <c r="B2080" s="12" t="inlineStr">
        <is>
          <t>VS05</t>
        </is>
      </c>
      <c r="C2080" s="28" t="n">
        <v>0.019</v>
      </c>
      <c r="D2080" s="12" t="inlineStr">
        <is>
          <t>PO-2021-0457</t>
        </is>
      </c>
      <c r="E2080" s="12" t="n">
        <v>4.57</v>
      </c>
      <c r="F2080" s="17" t="n">
        <v>72009.28999999999</v>
      </c>
      <c r="G2080" s="14">
        <f>E2080*F2080</f>
        <v/>
      </c>
      <c r="H2080" s="14">
        <f>C2080*G2080</f>
        <v/>
      </c>
    </row>
    <row r="2081">
      <c r="A2081" s="12" t="inlineStr">
        <is>
          <t>RET-0168</t>
        </is>
      </c>
      <c r="B2081" s="12" t="inlineStr">
        <is>
          <t>VS06</t>
        </is>
      </c>
      <c r="C2081" s="28" t="n">
        <v>0.0192</v>
      </c>
      <c r="D2081" s="12" t="inlineStr">
        <is>
          <t>PO-2023-4693</t>
        </is>
      </c>
      <c r="E2081" s="12" t="n">
        <v>4.57</v>
      </c>
      <c r="F2081" s="17" t="n">
        <v>70845.97</v>
      </c>
      <c r="G2081" s="14">
        <f>E2081*F2081</f>
        <v/>
      </c>
      <c r="H2081" s="14">
        <f>C2081*G2081</f>
        <v/>
      </c>
    </row>
    <row r="2082">
      <c r="A2082" s="12" t="inlineStr">
        <is>
          <t>RET-0168</t>
        </is>
      </c>
      <c r="B2082" s="12" t="inlineStr">
        <is>
          <t>VS07</t>
        </is>
      </c>
      <c r="C2082" s="28" t="n">
        <v>0.0064</v>
      </c>
      <c r="D2082" s="12" t="inlineStr">
        <is>
          <t>PO-2021-0558</t>
        </is>
      </c>
      <c r="E2082" s="12" t="n">
        <v>4.12</v>
      </c>
      <c r="F2082" s="17" t="n">
        <v>119127.07</v>
      </c>
      <c r="G2082" s="14">
        <f>E2082*F2082</f>
        <v/>
      </c>
      <c r="H2082" s="14">
        <f>C2082*G2082</f>
        <v/>
      </c>
    </row>
    <row r="2083">
      <c r="A2083" s="12" t="inlineStr">
        <is>
          <t>RET-0168</t>
        </is>
      </c>
      <c r="B2083" s="12" t="inlineStr">
        <is>
          <t>VS08</t>
        </is>
      </c>
      <c r="C2083" s="28" t="n">
        <v>0.0193</v>
      </c>
      <c r="D2083" s="12" t="inlineStr">
        <is>
          <t>PO-2023-4533</t>
        </is>
      </c>
      <c r="E2083" s="12" t="n">
        <v>4.57</v>
      </c>
      <c r="F2083" s="17" t="n">
        <v>97995.92999999999</v>
      </c>
      <c r="G2083" s="14">
        <f>E2083*F2083</f>
        <v/>
      </c>
      <c r="H2083" s="14">
        <f>C2083*G2083</f>
        <v/>
      </c>
    </row>
    <row r="2084">
      <c r="A2084" s="12" t="inlineStr">
        <is>
          <t>RET-0168</t>
        </is>
      </c>
      <c r="B2084" s="12" t="inlineStr">
        <is>
          <t>VS09</t>
        </is>
      </c>
      <c r="C2084" s="28" t="n">
        <v>0.0148</v>
      </c>
      <c r="D2084" s="12" t="inlineStr">
        <is>
          <t>PO-2021-0819</t>
        </is>
      </c>
      <c r="E2084" s="12" t="n">
        <v>4.57</v>
      </c>
      <c r="F2084" s="17" t="n">
        <v>81589.58</v>
      </c>
      <c r="G2084" s="14">
        <f>E2084*F2084</f>
        <v/>
      </c>
      <c r="H2084" s="14">
        <f>C2084*G2084</f>
        <v/>
      </c>
    </row>
    <row r="2085">
      <c r="A2085" s="12" t="inlineStr">
        <is>
          <t>RET-0168</t>
        </is>
      </c>
      <c r="B2085" s="12" t="inlineStr">
        <is>
          <t>VS10</t>
        </is>
      </c>
      <c r="C2085" s="28" t="n">
        <v>0.0233</v>
      </c>
      <c r="D2085" s="12" t="inlineStr">
        <is>
          <t>PO-2021-1193</t>
        </is>
      </c>
      <c r="E2085" s="12" t="n">
        <v>4.57</v>
      </c>
      <c r="F2085" s="17" t="n">
        <v>93541.89999999999</v>
      </c>
      <c r="G2085" s="14">
        <f>E2085*F2085</f>
        <v/>
      </c>
      <c r="H2085" s="14">
        <f>C2085*G2085</f>
        <v/>
      </c>
    </row>
    <row r="2086">
      <c r="A2086" s="12" t="inlineStr">
        <is>
          <t>RET-0168</t>
        </is>
      </c>
      <c r="B2086" s="12" t="inlineStr">
        <is>
          <t>VS11</t>
        </is>
      </c>
      <c r="C2086" s="28" t="n">
        <v>0.0273</v>
      </c>
      <c r="D2086" s="12" t="inlineStr">
        <is>
          <t>PO-2021-1105</t>
        </is>
      </c>
      <c r="E2086" s="12" t="n">
        <v>4.57</v>
      </c>
      <c r="F2086" s="17" t="n">
        <v>68434.48</v>
      </c>
      <c r="G2086" s="14">
        <f>E2086*F2086</f>
        <v/>
      </c>
      <c r="H2086" s="14">
        <f>C2086*G2086</f>
        <v/>
      </c>
    </row>
    <row r="2087">
      <c r="A2087" s="12" t="inlineStr">
        <is>
          <t>RET-0168</t>
        </is>
      </c>
      <c r="B2087" s="12" t="inlineStr">
        <is>
          <t>VS12</t>
        </is>
      </c>
      <c r="C2087" s="28" t="n">
        <v>0.1964</v>
      </c>
      <c r="D2087" s="12" t="inlineStr">
        <is>
          <t>PO-2022-2048</t>
        </is>
      </c>
      <c r="E2087" s="12" t="n">
        <v>4.57</v>
      </c>
      <c r="F2087" s="17" t="n">
        <v>118668.08</v>
      </c>
      <c r="G2087" s="14">
        <f>E2087*F2087</f>
        <v/>
      </c>
      <c r="H2087" s="14">
        <f>C2087*G2087</f>
        <v/>
      </c>
    </row>
    <row r="2088">
      <c r="A2088" s="12" t="inlineStr">
        <is>
          <t>RET-0168</t>
        </is>
      </c>
      <c r="B2088" s="12" t="inlineStr">
        <is>
          <t>VS13</t>
        </is>
      </c>
      <c r="C2088" s="28" t="n">
        <v>0.0188</v>
      </c>
      <c r="D2088" s="12" t="inlineStr">
        <is>
          <t>PO-2022-2309</t>
        </is>
      </c>
      <c r="E2088" s="12" t="n">
        <v>4.57</v>
      </c>
      <c r="F2088" s="17" t="n">
        <v>51247.96</v>
      </c>
      <c r="G2088" s="14">
        <f>E2088*F2088</f>
        <v/>
      </c>
      <c r="H2088" s="14">
        <f>C2088*G2088</f>
        <v/>
      </c>
    </row>
    <row r="2089">
      <c r="A2089" s="12" t="inlineStr">
        <is>
          <t>RET-0168</t>
        </is>
      </c>
      <c r="B2089" s="12" t="inlineStr">
        <is>
          <t>VS14</t>
        </is>
      </c>
      <c r="C2089" s="28" t="n">
        <v>0.019</v>
      </c>
      <c r="D2089" s="12" t="inlineStr">
        <is>
          <t>PO-2022-2551</t>
        </is>
      </c>
      <c r="E2089" s="12" t="n">
        <v>4.57</v>
      </c>
      <c r="F2089" s="17" t="n">
        <v>72315.7</v>
      </c>
      <c r="G2089" s="14">
        <f>E2089*F2089</f>
        <v/>
      </c>
      <c r="H2089" s="14">
        <f>C2089*G2089</f>
        <v/>
      </c>
    </row>
    <row r="2090">
      <c r="A2090" s="12" t="inlineStr">
        <is>
          <t>RET-0168</t>
        </is>
      </c>
      <c r="B2090" s="12" t="inlineStr">
        <is>
          <t>VS15</t>
        </is>
      </c>
      <c r="C2090" s="28" t="n">
        <v>0.0064</v>
      </c>
      <c r="D2090" s="12" t="inlineStr">
        <is>
          <t>PO-2023-3647</t>
        </is>
      </c>
      <c r="E2090" s="12" t="n">
        <v>4.57</v>
      </c>
      <c r="F2090" s="17" t="n">
        <v>49590.11</v>
      </c>
      <c r="G2090" s="14">
        <f>E2090*F2090</f>
        <v/>
      </c>
      <c r="H2090" s="14">
        <f>C2090*G2090</f>
        <v/>
      </c>
    </row>
    <row r="2091">
      <c r="A2091" s="12" t="inlineStr">
        <is>
          <t>RET-0168</t>
        </is>
      </c>
      <c r="B2091" s="12" t="inlineStr">
        <is>
          <t>VS16</t>
        </is>
      </c>
      <c r="C2091" s="28" t="n">
        <v>0.0274</v>
      </c>
      <c r="D2091" s="12" t="inlineStr">
        <is>
          <t>PO-2022-2345</t>
        </is>
      </c>
      <c r="E2091" s="12" t="n">
        <v>4.57</v>
      </c>
      <c r="F2091" s="17" t="n">
        <v>111791.78</v>
      </c>
      <c r="G2091" s="14">
        <f>E2091*F2091</f>
        <v/>
      </c>
      <c r="H2091" s="14">
        <f>C2091*G2091</f>
        <v/>
      </c>
    </row>
    <row r="2092">
      <c r="A2092" s="12" t="inlineStr">
        <is>
          <t>RET-0168</t>
        </is>
      </c>
      <c r="B2092" s="12" t="inlineStr">
        <is>
          <t>VS17</t>
        </is>
      </c>
      <c r="C2092" s="28" t="n">
        <v>0.0273</v>
      </c>
      <c r="D2092" s="12" t="inlineStr">
        <is>
          <t>PO-2022-1843</t>
        </is>
      </c>
      <c r="E2092" s="12" t="n">
        <v>4.57</v>
      </c>
      <c r="F2092" s="17" t="n">
        <v>92275.36</v>
      </c>
      <c r="G2092" s="14">
        <f>E2092*F2092</f>
        <v/>
      </c>
      <c r="H2092" s="14">
        <f>C2092*G2092</f>
        <v/>
      </c>
    </row>
    <row r="2093">
      <c r="A2093" s="12" t="inlineStr">
        <is>
          <t>RET-0168</t>
        </is>
      </c>
      <c r="B2093" s="12" t="inlineStr">
        <is>
          <t>VS18</t>
        </is>
      </c>
      <c r="C2093" s="28" t="n">
        <v>0.019</v>
      </c>
      <c r="D2093" s="12" t="inlineStr">
        <is>
          <t>PO-2023-3200</t>
        </is>
      </c>
      <c r="E2093" s="12" t="n">
        <v>3.308</v>
      </c>
      <c r="F2093" s="17" t="n">
        <v>82291.50999999999</v>
      </c>
      <c r="G2093" s="14">
        <f>E2093*F2093</f>
        <v/>
      </c>
      <c r="H2093" s="14">
        <f>C2093*G2093</f>
        <v/>
      </c>
    </row>
    <row r="2094">
      <c r="A2094" s="12" t="inlineStr">
        <is>
          <t>RET-0168</t>
        </is>
      </c>
      <c r="B2094" s="12" t="inlineStr">
        <is>
          <t>VS19</t>
        </is>
      </c>
      <c r="C2094" s="28" t="n">
        <v>0.1482</v>
      </c>
      <c r="D2094" s="12" t="inlineStr">
        <is>
          <t>PO-2021-1160</t>
        </is>
      </c>
      <c r="E2094" s="12" t="n">
        <v>4.57</v>
      </c>
      <c r="F2094" s="17" t="n">
        <v>80442.07000000001</v>
      </c>
      <c r="G2094" s="14">
        <f>E2094*F2094</f>
        <v/>
      </c>
      <c r="H2094" s="14">
        <f>C2094*G2094</f>
        <v/>
      </c>
    </row>
    <row r="2095">
      <c r="A2095" s="12" t="inlineStr">
        <is>
          <t>RET-0168</t>
        </is>
      </c>
      <c r="B2095" s="12" t="inlineStr">
        <is>
          <t>VS20</t>
        </is>
      </c>
      <c r="C2095" s="28" t="n">
        <v>0.0106</v>
      </c>
      <c r="D2095" s="12" t="inlineStr">
        <is>
          <t>PO-2021-0261</t>
        </is>
      </c>
      <c r="E2095" s="12" t="n">
        <v>4.57</v>
      </c>
      <c r="F2095" s="17" t="n">
        <v>105551.2</v>
      </c>
      <c r="G2095" s="14">
        <f>E2095*F2095</f>
        <v/>
      </c>
      <c r="H2095" s="14">
        <f>C2095*G2095</f>
        <v/>
      </c>
    </row>
    <row r="2096">
      <c r="A2096" s="12" t="inlineStr">
        <is>
          <t>RET-0168</t>
        </is>
      </c>
      <c r="B2096" s="12" t="inlineStr">
        <is>
          <t>VS21</t>
        </is>
      </c>
      <c r="C2096" s="28" t="n">
        <v>0.0106</v>
      </c>
      <c r="D2096" s="12" t="inlineStr">
        <is>
          <t>PO-2023-4692</t>
        </is>
      </c>
      <c r="E2096" s="12" t="n">
        <v>4.57</v>
      </c>
      <c r="F2096" s="17" t="n">
        <v>50951.21</v>
      </c>
      <c r="G2096" s="14">
        <f>E2096*F2096</f>
        <v/>
      </c>
      <c r="H2096" s="14">
        <f>C2096*G2096</f>
        <v/>
      </c>
    </row>
    <row r="2097">
      <c r="A2097" s="12" t="inlineStr">
        <is>
          <t>RET-0168</t>
        </is>
      </c>
      <c r="B2097" s="12" t="inlineStr">
        <is>
          <t>VS22</t>
        </is>
      </c>
      <c r="C2097" s="28" t="n">
        <v>0.0063</v>
      </c>
      <c r="D2097" s="12" t="inlineStr">
        <is>
          <t>PO-2022-2156</t>
        </is>
      </c>
      <c r="E2097" s="12" t="n">
        <v>4.57</v>
      </c>
      <c r="F2097" s="17" t="n">
        <v>79223.7</v>
      </c>
      <c r="G2097" s="14">
        <f>E2097*F2097</f>
        <v/>
      </c>
      <c r="H2097" s="14">
        <f>C2097*G2097</f>
        <v/>
      </c>
    </row>
    <row r="2098">
      <c r="A2098" s="12" t="inlineStr">
        <is>
          <t>RET-0168</t>
        </is>
      </c>
      <c r="B2098" s="12" t="inlineStr">
        <is>
          <t>VS23</t>
        </is>
      </c>
      <c r="C2098" s="28" t="n">
        <v>0.0104</v>
      </c>
      <c r="D2098" s="12" t="inlineStr">
        <is>
          <t>PO-2023-3377</t>
        </is>
      </c>
      <c r="E2098" s="12" t="n">
        <v>4.57</v>
      </c>
      <c r="F2098" s="17" t="n">
        <v>95666.77</v>
      </c>
      <c r="G2098" s="14">
        <f>E2098*F2098</f>
        <v/>
      </c>
      <c r="H2098" s="14">
        <f>C2098*G2098</f>
        <v/>
      </c>
    </row>
    <row r="2099">
      <c r="A2099" s="12" t="inlineStr">
        <is>
          <t>RET-0168</t>
        </is>
      </c>
      <c r="B2099" s="12" t="inlineStr">
        <is>
          <t>VS24</t>
        </is>
      </c>
      <c r="C2099" s="28" t="n">
        <v>0.0106</v>
      </c>
      <c r="D2099" s="12" t="inlineStr">
        <is>
          <t>PO-2022-3065</t>
        </is>
      </c>
      <c r="E2099" s="12" t="n">
        <v>4.57</v>
      </c>
      <c r="F2099" s="17" t="n">
        <v>48402.86</v>
      </c>
      <c r="G2099" s="14">
        <f>E2099*F2099</f>
        <v/>
      </c>
      <c r="H2099" s="14">
        <f>C2099*G2099</f>
        <v/>
      </c>
    </row>
    <row r="2100">
      <c r="A2100" s="12" t="inlineStr">
        <is>
          <t>RET-0168</t>
        </is>
      </c>
      <c r="B2100" s="12" t="inlineStr">
        <is>
          <t>VS25</t>
        </is>
      </c>
      <c r="C2100" s="28" t="n">
        <v>0.0191</v>
      </c>
      <c r="D2100" s="12" t="inlineStr">
        <is>
          <t>PO-2023-4270</t>
        </is>
      </c>
      <c r="E2100" s="12" t="n">
        <v>4.57</v>
      </c>
      <c r="F2100" s="17" t="n">
        <v>64513.33</v>
      </c>
      <c r="G2100" s="14">
        <f>E2100*F2100</f>
        <v/>
      </c>
      <c r="H2100" s="14">
        <f>C2100*G2100</f>
        <v/>
      </c>
    </row>
    <row r="2101">
      <c r="A2101" s="12" t="inlineStr">
        <is>
          <t>RET-0168</t>
        </is>
      </c>
      <c r="B2101" s="12" t="inlineStr">
        <is>
          <t>VS26</t>
        </is>
      </c>
      <c r="C2101" s="28" t="n">
        <v>0.0107</v>
      </c>
      <c r="D2101" s="12" t="inlineStr">
        <is>
          <t>PO-2022-2542</t>
        </is>
      </c>
      <c r="E2101" s="12" t="n">
        <v>4.57</v>
      </c>
      <c r="F2101" s="17" t="n">
        <v>89502.75999999999</v>
      </c>
      <c r="G2101" s="14">
        <f>E2101*F2101</f>
        <v/>
      </c>
      <c r="H2101" s="14">
        <f>C2101*G2101</f>
        <v/>
      </c>
    </row>
    <row r="2102">
      <c r="A2102" s="12" t="inlineStr">
        <is>
          <t>RET-0168</t>
        </is>
      </c>
      <c r="B2102" s="12" t="inlineStr">
        <is>
          <t>VS27</t>
        </is>
      </c>
      <c r="C2102" s="28" t="n">
        <v>0.0104</v>
      </c>
      <c r="D2102" s="12" t="inlineStr">
        <is>
          <t>PO-2023-4076</t>
        </is>
      </c>
      <c r="E2102" s="12" t="n">
        <v>4.57</v>
      </c>
      <c r="F2102" s="17" t="n">
        <v>100527.7</v>
      </c>
      <c r="G2102" s="14">
        <f>E2102*F2102</f>
        <v/>
      </c>
      <c r="H2102" s="14">
        <f>C2102*G2102</f>
        <v/>
      </c>
    </row>
    <row r="2103">
      <c r="A2103" s="12" t="inlineStr">
        <is>
          <t>RET-0168</t>
        </is>
      </c>
      <c r="B2103" s="12" t="inlineStr">
        <is>
          <t>VS28</t>
        </is>
      </c>
      <c r="C2103" s="28" t="n">
        <v>0.0233</v>
      </c>
      <c r="D2103" s="12" t="inlineStr">
        <is>
          <t>PO-2023-4169</t>
        </is>
      </c>
      <c r="E2103" s="12" t="n">
        <v>4.57</v>
      </c>
      <c r="F2103" s="17" t="n">
        <v>72637.67999999999</v>
      </c>
      <c r="G2103" s="14">
        <f>E2103*F2103</f>
        <v/>
      </c>
      <c r="H2103" s="14">
        <f>C2103*G2103</f>
        <v/>
      </c>
    </row>
    <row r="2104">
      <c r="A2104" s="12" t="inlineStr">
        <is>
          <t>RET-0168</t>
        </is>
      </c>
      <c r="B2104" s="12" t="inlineStr">
        <is>
          <t>VS29</t>
        </is>
      </c>
      <c r="C2104" s="28" t="n">
        <v>0.0148</v>
      </c>
      <c r="D2104" s="12" t="inlineStr">
        <is>
          <t>PO-2023-3329</t>
        </is>
      </c>
      <c r="E2104" s="12" t="n">
        <v>4.57</v>
      </c>
      <c r="F2104" s="17" t="n">
        <v>97649.31</v>
      </c>
      <c r="G2104" s="14">
        <f>E2104*F2104</f>
        <v/>
      </c>
      <c r="H2104" s="14">
        <f>C2104*G2104</f>
        <v/>
      </c>
    </row>
    <row r="2105">
      <c r="A2105" s="12" t="inlineStr">
        <is>
          <t>RET-0168</t>
        </is>
      </c>
      <c r="B2105" s="12" t="inlineStr">
        <is>
          <t>VS30</t>
        </is>
      </c>
      <c r="C2105" s="28" t="n">
        <v>0.0064</v>
      </c>
      <c r="D2105" s="12" t="inlineStr">
        <is>
          <t>PO-2021-1130</t>
        </is>
      </c>
      <c r="E2105" s="12" t="n">
        <v>4.57</v>
      </c>
      <c r="F2105" s="17" t="n">
        <v>77709.97</v>
      </c>
      <c r="G2105" s="14">
        <f>E2105*F2105</f>
        <v/>
      </c>
      <c r="H2105" s="14">
        <f>C2105*G2105</f>
        <v/>
      </c>
    </row>
    <row r="2106">
      <c r="A2106" s="12" t="inlineStr">
        <is>
          <t>RET-0168</t>
        </is>
      </c>
      <c r="B2106" s="12" t="inlineStr">
        <is>
          <t>VS31</t>
        </is>
      </c>
      <c r="C2106" s="28" t="n">
        <v>0.0232</v>
      </c>
      <c r="D2106" s="12" t="inlineStr">
        <is>
          <t>PO-2022-2426</t>
        </is>
      </c>
      <c r="E2106" s="12" t="n">
        <v>4.57</v>
      </c>
      <c r="F2106" s="17" t="n">
        <v>74047.78</v>
      </c>
      <c r="G2106" s="14">
        <f>E2106*F2106</f>
        <v/>
      </c>
      <c r="H2106" s="14">
        <f>C2106*G2106</f>
        <v/>
      </c>
    </row>
    <row r="2107">
      <c r="A2107" s="12" t="inlineStr">
        <is>
          <t>RET-0168</t>
        </is>
      </c>
      <c r="B2107" s="12" t="inlineStr">
        <is>
          <t>VS32</t>
        </is>
      </c>
      <c r="C2107" s="28" t="n">
        <v>0.0276</v>
      </c>
      <c r="D2107" s="12" t="inlineStr">
        <is>
          <t>PO-2021-1098</t>
        </is>
      </c>
      <c r="E2107" s="12" t="n">
        <v>4.57</v>
      </c>
      <c r="F2107" s="17" t="n">
        <v>115680.23</v>
      </c>
      <c r="G2107" s="14">
        <f>E2107*F2107</f>
        <v/>
      </c>
      <c r="H2107" s="14">
        <f>C2107*G2107</f>
        <v/>
      </c>
    </row>
    <row r="2108">
      <c r="A2108" s="12" t="inlineStr">
        <is>
          <t>RET-0168</t>
        </is>
      </c>
      <c r="B2108" s="12" t="inlineStr">
        <is>
          <t>VS33</t>
        </is>
      </c>
      <c r="C2108" s="28" t="n">
        <v>0.0147</v>
      </c>
      <c r="D2108" s="12" t="inlineStr">
        <is>
          <t>PO-2021-0016</t>
        </is>
      </c>
      <c r="E2108" s="12" t="n">
        <v>4.57</v>
      </c>
      <c r="F2108" s="17" t="n">
        <v>113111.93</v>
      </c>
      <c r="G2108" s="14">
        <f>E2108*F2108</f>
        <v/>
      </c>
      <c r="H2108" s="14">
        <f>C2108*G2108</f>
        <v/>
      </c>
    </row>
    <row r="2109">
      <c r="A2109" s="12" t="inlineStr">
        <is>
          <t>RET-0168</t>
        </is>
      </c>
      <c r="B2109" s="12" t="inlineStr">
        <is>
          <t>VS34</t>
        </is>
      </c>
      <c r="C2109" s="28" t="n">
        <v>0.0191</v>
      </c>
      <c r="D2109" s="12" t="inlineStr">
        <is>
          <t>PO-2022-2338</t>
        </is>
      </c>
      <c r="E2109" s="12" t="n">
        <v>4.57</v>
      </c>
      <c r="F2109" s="17" t="n">
        <v>76225.91</v>
      </c>
      <c r="G2109" s="14">
        <f>E2109*F2109</f>
        <v/>
      </c>
      <c r="H2109" s="14">
        <f>C2109*G2109</f>
        <v/>
      </c>
    </row>
    <row r="2110">
      <c r="A2110" s="12" t="inlineStr">
        <is>
          <t>RET-0170</t>
        </is>
      </c>
      <c r="B2110" s="12" t="inlineStr">
        <is>
          <t>VS01</t>
        </is>
      </c>
      <c r="C2110" s="28" t="n">
        <v>0.0164</v>
      </c>
      <c r="D2110" s="12" t="inlineStr">
        <is>
          <t>PO-2023-3547</t>
        </is>
      </c>
      <c r="E2110" s="12" t="n">
        <v>0.38</v>
      </c>
      <c r="F2110" s="17" t="n">
        <v>102608.85</v>
      </c>
      <c r="G2110" s="14">
        <f>E2110*F2110</f>
        <v/>
      </c>
      <c r="H2110" s="14">
        <f>C2110*G2110</f>
        <v/>
      </c>
    </row>
    <row r="2111">
      <c r="A2111" s="12" t="inlineStr">
        <is>
          <t>RET-0170</t>
        </is>
      </c>
      <c r="B2111" s="12" t="inlineStr">
        <is>
          <t>VS02</t>
        </is>
      </c>
      <c r="C2111" s="28" t="n">
        <v>0.0075</v>
      </c>
      <c r="D2111" s="12" t="inlineStr">
        <is>
          <t>PO-2022-1682</t>
        </is>
      </c>
      <c r="E2111" s="12" t="n">
        <v>0.38</v>
      </c>
      <c r="F2111" s="17" t="n">
        <v>56425.95</v>
      </c>
      <c r="G2111" s="14">
        <f>E2111*F2111</f>
        <v/>
      </c>
      <c r="H2111" s="14">
        <f>C2111*G2111</f>
        <v/>
      </c>
    </row>
    <row r="2112">
      <c r="A2112" s="12" t="inlineStr">
        <is>
          <t>RET-0170</t>
        </is>
      </c>
      <c r="B2112" s="12" t="inlineStr">
        <is>
          <t>VS03</t>
        </is>
      </c>
      <c r="C2112" s="28" t="n">
        <v>0.186</v>
      </c>
      <c r="D2112" s="12" t="inlineStr">
        <is>
          <t>PO-2021-0853</t>
        </is>
      </c>
      <c r="E2112" s="12" t="n">
        <v>0.38</v>
      </c>
      <c r="F2112" s="17" t="n">
        <v>82438.23</v>
      </c>
      <c r="G2112" s="14">
        <f>E2112*F2112</f>
        <v/>
      </c>
      <c r="H2112" s="14">
        <f>C2112*G2112</f>
        <v/>
      </c>
    </row>
    <row r="2113">
      <c r="A2113" s="12" t="inlineStr">
        <is>
          <t>RET-0170</t>
        </is>
      </c>
      <c r="B2113" s="12" t="inlineStr">
        <is>
          <t>VS04</t>
        </is>
      </c>
      <c r="C2113" s="28" t="n">
        <v>0.0103</v>
      </c>
      <c r="D2113" s="12" t="inlineStr">
        <is>
          <t>PO-2022-2730</t>
        </is>
      </c>
      <c r="E2113" s="12" t="n">
        <v>0.38</v>
      </c>
      <c r="F2113" s="17" t="n">
        <v>87334.63</v>
      </c>
      <c r="G2113" s="14">
        <f>E2113*F2113</f>
        <v/>
      </c>
      <c r="H2113" s="14">
        <f>C2113*G2113</f>
        <v/>
      </c>
    </row>
    <row r="2114">
      <c r="A2114" s="12" t="inlineStr">
        <is>
          <t>RET-0170</t>
        </is>
      </c>
      <c r="B2114" s="12" t="inlineStr">
        <is>
          <t>VS05</t>
        </is>
      </c>
      <c r="C2114" s="28" t="n">
        <v>0.0133</v>
      </c>
      <c r="D2114" s="12" t="inlineStr">
        <is>
          <t>PO-2023-4393</t>
        </is>
      </c>
      <c r="E2114" s="12" t="n">
        <v>0.38</v>
      </c>
      <c r="F2114" s="17" t="n">
        <v>91917.3</v>
      </c>
      <c r="G2114" s="14">
        <f>E2114*F2114</f>
        <v/>
      </c>
      <c r="H2114" s="14">
        <f>C2114*G2114</f>
        <v/>
      </c>
    </row>
    <row r="2115">
      <c r="A2115" s="12" t="inlineStr">
        <is>
          <t>RET-0170</t>
        </is>
      </c>
      <c r="B2115" s="12" t="inlineStr">
        <is>
          <t>VS06</t>
        </is>
      </c>
      <c r="C2115" s="28" t="n">
        <v>0.0135</v>
      </c>
      <c r="D2115" s="12" t="inlineStr">
        <is>
          <t>PO-2022-2734</t>
        </is>
      </c>
      <c r="E2115" s="12" t="n">
        <v>0.38</v>
      </c>
      <c r="F2115" s="17" t="n">
        <v>85144.85000000001</v>
      </c>
      <c r="G2115" s="14">
        <f>E2115*F2115</f>
        <v/>
      </c>
      <c r="H2115" s="14">
        <f>C2115*G2115</f>
        <v/>
      </c>
    </row>
    <row r="2116">
      <c r="A2116" s="12" t="inlineStr">
        <is>
          <t>RET-0170</t>
        </is>
      </c>
      <c r="B2116" s="12" t="inlineStr">
        <is>
          <t>VS07</t>
        </is>
      </c>
      <c r="C2116" s="28" t="n">
        <v>0.0045</v>
      </c>
      <c r="D2116" s="12" t="inlineStr">
        <is>
          <t>PO-2021-1504</t>
        </is>
      </c>
      <c r="E2116" s="12" t="n">
        <v>0.38</v>
      </c>
      <c r="F2116" s="17" t="n">
        <v>87911.86</v>
      </c>
      <c r="G2116" s="14">
        <f>E2116*F2116</f>
        <v/>
      </c>
      <c r="H2116" s="14">
        <f>C2116*G2116</f>
        <v/>
      </c>
    </row>
    <row r="2117">
      <c r="A2117" s="12" t="inlineStr">
        <is>
          <t>RET-0170</t>
        </is>
      </c>
      <c r="B2117" s="12" t="inlineStr">
        <is>
          <t>VS08</t>
        </is>
      </c>
      <c r="C2117" s="28" t="n">
        <v>0.0136</v>
      </c>
      <c r="D2117" s="12" t="inlineStr">
        <is>
          <t>PO-2021-1444</t>
        </is>
      </c>
      <c r="E2117" s="12" t="n">
        <v>0.38</v>
      </c>
      <c r="F2117" s="17" t="n">
        <v>97444.85000000001</v>
      </c>
      <c r="G2117" s="14">
        <f>E2117*F2117</f>
        <v/>
      </c>
      <c r="H2117" s="14">
        <f>C2117*G2117</f>
        <v/>
      </c>
    </row>
    <row r="2118">
      <c r="A2118" s="12" t="inlineStr">
        <is>
          <t>RET-0170</t>
        </is>
      </c>
      <c r="B2118" s="12" t="inlineStr">
        <is>
          <t>VS09</t>
        </is>
      </c>
      <c r="C2118" s="28" t="n">
        <v>0.0104</v>
      </c>
      <c r="D2118" s="12" t="inlineStr">
        <is>
          <t>PO-2022-2134</t>
        </is>
      </c>
      <c r="E2118" s="12" t="n">
        <v>0.38</v>
      </c>
      <c r="F2118" s="17" t="n">
        <v>97130.27</v>
      </c>
      <c r="G2118" s="14">
        <f>E2118*F2118</f>
        <v/>
      </c>
      <c r="H2118" s="14">
        <f>C2118*G2118</f>
        <v/>
      </c>
    </row>
    <row r="2119">
      <c r="A2119" s="12" t="inlineStr">
        <is>
          <t>RET-0170</t>
        </is>
      </c>
      <c r="B2119" s="12" t="inlineStr">
        <is>
          <t>VS10</t>
        </is>
      </c>
      <c r="C2119" s="28" t="n">
        <v>0.0164</v>
      </c>
      <c r="D2119" s="12" t="inlineStr">
        <is>
          <t>PO-2023-4214</t>
        </is>
      </c>
      <c r="E2119" s="12" t="n">
        <v>0.38</v>
      </c>
      <c r="F2119" s="17" t="n">
        <v>85741.64</v>
      </c>
      <c r="G2119" s="14">
        <f>E2119*F2119</f>
        <v/>
      </c>
      <c r="H2119" s="14">
        <f>C2119*G2119</f>
        <v/>
      </c>
    </row>
    <row r="2120">
      <c r="A2120" s="12" t="inlineStr">
        <is>
          <t>RET-0170</t>
        </is>
      </c>
      <c r="B2120" s="12" t="inlineStr">
        <is>
          <t>VS11</t>
        </is>
      </c>
      <c r="C2120" s="28" t="n">
        <v>0.0192</v>
      </c>
      <c r="D2120" s="12" t="inlineStr">
        <is>
          <t>PO-2022-1681</t>
        </is>
      </c>
      <c r="E2120" s="12" t="n">
        <v>0.38</v>
      </c>
      <c r="F2120" s="17" t="n">
        <v>114493.74</v>
      </c>
      <c r="G2120" s="14">
        <f>E2120*F2120</f>
        <v/>
      </c>
      <c r="H2120" s="14">
        <f>C2120*G2120</f>
        <v/>
      </c>
    </row>
    <row r="2121">
      <c r="A2121" s="12" t="inlineStr">
        <is>
          <t>RET-0170</t>
        </is>
      </c>
      <c r="B2121" s="12" t="inlineStr">
        <is>
          <t>VS12</t>
        </is>
      </c>
      <c r="C2121" s="28" t="n">
        <v>0.2585</v>
      </c>
      <c r="D2121" s="12" t="inlineStr">
        <is>
          <t>PO-2022-2319</t>
        </is>
      </c>
      <c r="E2121" s="12" t="n">
        <v>0.38</v>
      </c>
      <c r="F2121" s="17" t="n">
        <v>60516.37</v>
      </c>
      <c r="G2121" s="14">
        <f>E2121*F2121</f>
        <v/>
      </c>
      <c r="H2121" s="14">
        <f>C2121*G2121</f>
        <v/>
      </c>
    </row>
    <row r="2122">
      <c r="A2122" s="12" t="inlineStr">
        <is>
          <t>RET-0170</t>
        </is>
      </c>
      <c r="B2122" s="12" t="inlineStr">
        <is>
          <t>VS13</t>
        </is>
      </c>
      <c r="C2122" s="28" t="n">
        <v>0.0132</v>
      </c>
      <c r="D2122" s="12" t="inlineStr">
        <is>
          <t>PO-2022-2607</t>
        </is>
      </c>
      <c r="E2122" s="12" t="n">
        <v>0.38</v>
      </c>
      <c r="F2122" s="17" t="n">
        <v>55215.79</v>
      </c>
      <c r="G2122" s="14">
        <f>E2122*F2122</f>
        <v/>
      </c>
      <c r="H2122" s="14">
        <f>C2122*G2122</f>
        <v/>
      </c>
    </row>
    <row r="2123">
      <c r="A2123" s="12" t="inlineStr">
        <is>
          <t>RET-0170</t>
        </is>
      </c>
      <c r="B2123" s="12" t="inlineStr">
        <is>
          <t>VS14</t>
        </is>
      </c>
      <c r="C2123" s="28" t="n">
        <v>0.0133</v>
      </c>
      <c r="D2123" s="12" t="inlineStr">
        <is>
          <t>PO-2023-3455</t>
        </is>
      </c>
      <c r="E2123" s="12" t="n">
        <v>0.38</v>
      </c>
      <c r="F2123" s="17" t="n">
        <v>101398.91</v>
      </c>
      <c r="G2123" s="14">
        <f>E2123*F2123</f>
        <v/>
      </c>
      <c r="H2123" s="14">
        <f>C2123*G2123</f>
        <v/>
      </c>
    </row>
    <row r="2124">
      <c r="A2124" s="12" t="inlineStr">
        <is>
          <t>RET-0170</t>
        </is>
      </c>
      <c r="B2124" s="12" t="inlineStr">
        <is>
          <t>VS15</t>
        </is>
      </c>
      <c r="C2124" s="28" t="n">
        <v>0.0045</v>
      </c>
      <c r="D2124" s="12" t="inlineStr">
        <is>
          <t>PO-2023-4043</t>
        </is>
      </c>
      <c r="E2124" s="12" t="n">
        <v>0.38</v>
      </c>
      <c r="F2124" s="17" t="n">
        <v>106662.6</v>
      </c>
      <c r="G2124" s="14">
        <f>E2124*F2124</f>
        <v/>
      </c>
      <c r="H2124" s="14">
        <f>C2124*G2124</f>
        <v/>
      </c>
    </row>
    <row r="2125">
      <c r="A2125" s="12" t="inlineStr">
        <is>
          <t>RET-0170</t>
        </is>
      </c>
      <c r="B2125" s="12" t="inlineStr">
        <is>
          <t>VS16</t>
        </is>
      </c>
      <c r="C2125" s="28" t="n">
        <v>0.0192</v>
      </c>
      <c r="D2125" s="12" t="inlineStr">
        <is>
          <t>PO-2023-3665</t>
        </is>
      </c>
      <c r="E2125" s="12" t="n">
        <v>0.38</v>
      </c>
      <c r="F2125" s="17" t="n">
        <v>108380.87</v>
      </c>
      <c r="G2125" s="14">
        <f>E2125*F2125</f>
        <v/>
      </c>
      <c r="H2125" s="14">
        <f>C2125*G2125</f>
        <v/>
      </c>
    </row>
    <row r="2126">
      <c r="A2126" s="12" t="inlineStr">
        <is>
          <t>RET-0170</t>
        </is>
      </c>
      <c r="B2126" s="12" t="inlineStr">
        <is>
          <t>VS17</t>
        </is>
      </c>
      <c r="C2126" s="28" t="n">
        <v>0.0192</v>
      </c>
      <c r="D2126" s="12" t="inlineStr">
        <is>
          <t>PO-2023-3658</t>
        </is>
      </c>
      <c r="E2126" s="12" t="n">
        <v>0.38</v>
      </c>
      <c r="F2126" s="17" t="n">
        <v>84248.67</v>
      </c>
      <c r="G2126" s="14">
        <f>E2126*F2126</f>
        <v/>
      </c>
      <c r="H2126" s="14">
        <f>C2126*G2126</f>
        <v/>
      </c>
    </row>
    <row r="2127">
      <c r="A2127" s="12" t="inlineStr">
        <is>
          <t>RET-0170</t>
        </is>
      </c>
      <c r="B2127" s="12" t="inlineStr">
        <is>
          <t>VS18</t>
        </is>
      </c>
      <c r="C2127" s="28" t="n">
        <v>0.0133</v>
      </c>
      <c r="D2127" s="12" t="inlineStr">
        <is>
          <t>PO-2022-2561</t>
        </is>
      </c>
      <c r="E2127" s="12" t="n">
        <v>0.38</v>
      </c>
      <c r="F2127" s="17" t="n">
        <v>84655.14</v>
      </c>
      <c r="G2127" s="14">
        <f>E2127*F2127</f>
        <v/>
      </c>
      <c r="H2127" s="14">
        <f>C2127*G2127</f>
        <v/>
      </c>
    </row>
    <row r="2128">
      <c r="A2128" s="12" t="inlineStr">
        <is>
          <t>RET-0170</t>
        </is>
      </c>
      <c r="B2128" s="12" t="inlineStr">
        <is>
          <t>VS19</t>
        </is>
      </c>
      <c r="C2128" s="28" t="n">
        <v>0.195</v>
      </c>
      <c r="D2128" s="12" t="inlineStr">
        <is>
          <t>PO-2022-3018</t>
        </is>
      </c>
      <c r="E2128" s="12" t="n">
        <v>0.38</v>
      </c>
      <c r="F2128" s="17" t="n">
        <v>112519.69</v>
      </c>
      <c r="G2128" s="14">
        <f>E2128*F2128</f>
        <v/>
      </c>
      <c r="H2128" s="14">
        <f>C2128*G2128</f>
        <v/>
      </c>
    </row>
    <row r="2129">
      <c r="A2129" s="12" t="inlineStr">
        <is>
          <t>RET-0170</t>
        </is>
      </c>
      <c r="B2129" s="12" t="inlineStr">
        <is>
          <t>VS20</t>
        </is>
      </c>
      <c r="C2129" s="28" t="n">
        <v>0.0074</v>
      </c>
      <c r="D2129" s="12" t="inlineStr">
        <is>
          <t>PO-2023-3588</t>
        </is>
      </c>
      <c r="E2129" s="12" t="n">
        <v>0.38</v>
      </c>
      <c r="F2129" s="17" t="n">
        <v>119506.63</v>
      </c>
      <c r="G2129" s="14">
        <f>E2129*F2129</f>
        <v/>
      </c>
      <c r="H2129" s="14">
        <f>C2129*G2129</f>
        <v/>
      </c>
    </row>
    <row r="2130">
      <c r="A2130" s="12" t="inlineStr">
        <is>
          <t>RET-0170</t>
        </is>
      </c>
      <c r="B2130" s="12" t="inlineStr">
        <is>
          <t>VS21</t>
        </is>
      </c>
      <c r="C2130" s="28" t="n">
        <v>0.0074</v>
      </c>
      <c r="D2130" s="12" t="inlineStr">
        <is>
          <t>PO-2022-2800</t>
        </is>
      </c>
      <c r="E2130" s="12" t="n">
        <v>0</v>
      </c>
      <c r="F2130" s="17" t="n">
        <v>93266.21000000001</v>
      </c>
      <c r="G2130" s="14">
        <f>E2130*F2130</f>
        <v/>
      </c>
      <c r="H2130" s="14">
        <f>C2130*G2130</f>
        <v/>
      </c>
    </row>
    <row r="2131">
      <c r="A2131" s="12" t="inlineStr">
        <is>
          <t>RET-0170</t>
        </is>
      </c>
      <c r="B2131" s="12" t="inlineStr">
        <is>
          <t>VS22</t>
        </is>
      </c>
      <c r="C2131" s="28" t="n">
        <v>0.0044</v>
      </c>
      <c r="D2131" s="12" t="inlineStr">
        <is>
          <t>PO-2023-4518</t>
        </is>
      </c>
      <c r="E2131" s="12" t="n">
        <v>0.38</v>
      </c>
      <c r="F2131" s="17" t="n">
        <v>97113.34</v>
      </c>
      <c r="G2131" s="14">
        <f>E2131*F2131</f>
        <v/>
      </c>
      <c r="H2131" s="14">
        <f>C2131*G2131</f>
        <v/>
      </c>
    </row>
    <row r="2132">
      <c r="A2132" s="12" t="inlineStr">
        <is>
          <t>RET-0170</t>
        </is>
      </c>
      <c r="B2132" s="12" t="inlineStr">
        <is>
          <t>VS23</t>
        </is>
      </c>
      <c r="C2132" s="28" t="n">
        <v>0.0073</v>
      </c>
      <c r="D2132" s="12" t="inlineStr">
        <is>
          <t>PO-2022-2546</t>
        </is>
      </c>
      <c r="E2132" s="12" t="n">
        <v>0.38</v>
      </c>
      <c r="F2132" s="17" t="n">
        <v>94011.71000000001</v>
      </c>
      <c r="G2132" s="14">
        <f>E2132*F2132</f>
        <v/>
      </c>
      <c r="H2132" s="14">
        <f>C2132*G2132</f>
        <v/>
      </c>
    </row>
    <row r="2133">
      <c r="A2133" s="12" t="inlineStr">
        <is>
          <t>RET-0170</t>
        </is>
      </c>
      <c r="B2133" s="12" t="inlineStr">
        <is>
          <t>VS24</t>
        </is>
      </c>
      <c r="C2133" s="28" t="n">
        <v>0.0074</v>
      </c>
      <c r="D2133" s="12" t="inlineStr">
        <is>
          <t>PO-2023-4095</t>
        </is>
      </c>
      <c r="E2133" s="12" t="n">
        <v>0.38</v>
      </c>
      <c r="F2133" s="17" t="n">
        <v>52492.9</v>
      </c>
      <c r="G2133" s="14">
        <f>E2133*F2133</f>
        <v/>
      </c>
      <c r="H2133" s="14">
        <f>C2133*G2133</f>
        <v/>
      </c>
    </row>
    <row r="2134">
      <c r="A2134" s="12" t="inlineStr">
        <is>
          <t>RET-0170</t>
        </is>
      </c>
      <c r="B2134" s="12" t="inlineStr">
        <is>
          <t>VS25</t>
        </is>
      </c>
      <c r="C2134" s="28" t="n">
        <v>0.0134</v>
      </c>
      <c r="D2134" s="12" t="inlineStr">
        <is>
          <t>PO-2022-2184</t>
        </is>
      </c>
      <c r="E2134" s="12" t="n">
        <v>0.38</v>
      </c>
      <c r="F2134" s="17" t="n">
        <v>95066.78</v>
      </c>
      <c r="G2134" s="14">
        <f>E2134*F2134</f>
        <v/>
      </c>
      <c r="H2134" s="14">
        <f>C2134*G2134</f>
        <v/>
      </c>
    </row>
    <row r="2135">
      <c r="A2135" s="12" t="inlineStr">
        <is>
          <t>RET-0170</t>
        </is>
      </c>
      <c r="B2135" s="12" t="inlineStr">
        <is>
          <t>VS26</t>
        </is>
      </c>
      <c r="C2135" s="28" t="n">
        <v>0.0075</v>
      </c>
      <c r="D2135" s="12" t="inlineStr">
        <is>
          <t>PO-2022-2407</t>
        </is>
      </c>
      <c r="E2135" s="12" t="n">
        <v>0.38</v>
      </c>
      <c r="F2135" s="17" t="n">
        <v>74459.98</v>
      </c>
      <c r="G2135" s="14">
        <f>E2135*F2135</f>
        <v/>
      </c>
      <c r="H2135" s="14">
        <f>C2135*G2135</f>
        <v/>
      </c>
    </row>
    <row r="2136">
      <c r="A2136" s="12" t="inlineStr">
        <is>
          <t>RET-0170</t>
        </is>
      </c>
      <c r="B2136" s="12" t="inlineStr">
        <is>
          <t>VS27</t>
        </is>
      </c>
      <c r="C2136" s="28" t="n">
        <v>0.0073</v>
      </c>
      <c r="D2136" s="12" t="inlineStr">
        <is>
          <t>PO-2021-1542</t>
        </is>
      </c>
      <c r="E2136" s="12" t="n">
        <v>0.38</v>
      </c>
      <c r="F2136" s="17" t="n">
        <v>92498.25</v>
      </c>
      <c r="G2136" s="14">
        <f>E2136*F2136</f>
        <v/>
      </c>
      <c r="H2136" s="14">
        <f>C2136*G2136</f>
        <v/>
      </c>
    </row>
    <row r="2137">
      <c r="A2137" s="12" t="inlineStr">
        <is>
          <t>RET-0170</t>
        </is>
      </c>
      <c r="B2137" s="12" t="inlineStr">
        <is>
          <t>VS28</t>
        </is>
      </c>
      <c r="C2137" s="28" t="n">
        <v>0.0164</v>
      </c>
      <c r="D2137" s="12" t="inlineStr">
        <is>
          <t>PO-2022-2478</t>
        </is>
      </c>
      <c r="E2137" s="12" t="n">
        <v>0.38</v>
      </c>
      <c r="F2137" s="17" t="n">
        <v>46553.69</v>
      </c>
      <c r="G2137" s="14">
        <f>E2137*F2137</f>
        <v/>
      </c>
      <c r="H2137" s="14">
        <f>C2137*G2137</f>
        <v/>
      </c>
    </row>
    <row r="2138">
      <c r="A2138" s="12" t="inlineStr">
        <is>
          <t>RET-0170</t>
        </is>
      </c>
      <c r="B2138" s="12" t="inlineStr">
        <is>
          <t>VS29</t>
        </is>
      </c>
      <c r="C2138" s="28" t="n">
        <v>0.0104</v>
      </c>
      <c r="D2138" s="12" t="inlineStr">
        <is>
          <t>PO-2023-3613</t>
        </is>
      </c>
      <c r="E2138" s="12" t="n">
        <v>0.38</v>
      </c>
      <c r="F2138" s="17" t="n">
        <v>80375.53999999999</v>
      </c>
      <c r="G2138" s="14">
        <f>E2138*F2138</f>
        <v/>
      </c>
      <c r="H2138" s="14">
        <f>C2138*G2138</f>
        <v/>
      </c>
    </row>
    <row r="2139">
      <c r="A2139" s="12" t="inlineStr">
        <is>
          <t>RET-0170</t>
        </is>
      </c>
      <c r="B2139" s="12" t="inlineStr">
        <is>
          <t>VS30</t>
        </is>
      </c>
      <c r="C2139" s="28" t="n">
        <v>0.0045</v>
      </c>
      <c r="D2139" s="12" t="inlineStr">
        <is>
          <t>PO-2022-2869</t>
        </is>
      </c>
      <c r="E2139" s="12" t="n">
        <v>0.38</v>
      </c>
      <c r="F2139" s="17" t="n">
        <v>109771.73</v>
      </c>
      <c r="G2139" s="14">
        <f>E2139*F2139</f>
        <v/>
      </c>
      <c r="H2139" s="14">
        <f>C2139*G2139</f>
        <v/>
      </c>
    </row>
    <row r="2140">
      <c r="A2140" s="12" t="inlineStr">
        <is>
          <t>RET-0170</t>
        </is>
      </c>
      <c r="B2140" s="12" t="inlineStr">
        <is>
          <t>VS31</t>
        </is>
      </c>
      <c r="C2140" s="28" t="n">
        <v>0.0163</v>
      </c>
      <c r="D2140" s="12" t="inlineStr">
        <is>
          <t>PO-2022-2821</t>
        </is>
      </c>
      <c r="E2140" s="12" t="n">
        <v>0.38</v>
      </c>
      <c r="F2140" s="17" t="n">
        <v>104910.28</v>
      </c>
      <c r="G2140" s="14">
        <f>E2140*F2140</f>
        <v/>
      </c>
      <c r="H2140" s="14">
        <f>C2140*G2140</f>
        <v/>
      </c>
    </row>
    <row r="2141">
      <c r="A2141" s="12" t="inlineStr">
        <is>
          <t>RET-0170</t>
        </is>
      </c>
      <c r="B2141" s="12" t="inlineStr">
        <is>
          <t>VS32</t>
        </is>
      </c>
      <c r="C2141" s="28" t="n">
        <v>0.0194</v>
      </c>
      <c r="D2141" s="12" t="inlineStr">
        <is>
          <t>PO-2022-1726</t>
        </is>
      </c>
      <c r="E2141" s="12" t="n">
        <v>0.38</v>
      </c>
      <c r="F2141" s="17" t="n">
        <v>96087.03999999999</v>
      </c>
      <c r="G2141" s="14">
        <f>E2141*F2141</f>
        <v/>
      </c>
      <c r="H2141" s="14">
        <f>C2141*G2141</f>
        <v/>
      </c>
    </row>
    <row r="2142">
      <c r="A2142" s="12" t="inlineStr">
        <is>
          <t>RET-0170</t>
        </is>
      </c>
      <c r="B2142" s="12" t="inlineStr">
        <is>
          <t>VS33</t>
        </is>
      </c>
      <c r="C2142" s="28" t="n">
        <v>0.0103</v>
      </c>
      <c r="D2142" s="12" t="inlineStr">
        <is>
          <t>PO-2022-3023</t>
        </is>
      </c>
      <c r="E2142" s="12" t="n">
        <v>0.38</v>
      </c>
      <c r="F2142" s="17" t="n">
        <v>110560.01</v>
      </c>
      <c r="G2142" s="14">
        <f>E2142*F2142</f>
        <v/>
      </c>
      <c r="H2142" s="14">
        <f>C2142*G2142</f>
        <v/>
      </c>
    </row>
    <row r="2143">
      <c r="A2143" s="12" t="inlineStr">
        <is>
          <t>RET-0170</t>
        </is>
      </c>
      <c r="B2143" s="12" t="inlineStr">
        <is>
          <t>VS34</t>
        </is>
      </c>
      <c r="C2143" s="28" t="n">
        <v>0.0134</v>
      </c>
      <c r="D2143" s="12" t="inlineStr">
        <is>
          <t>PO-2022-1874</t>
        </is>
      </c>
      <c r="E2143" s="12" t="n">
        <v>0.38</v>
      </c>
      <c r="F2143" s="17" t="n">
        <v>77001.71000000001</v>
      </c>
      <c r="G2143" s="14">
        <f>E2143*F2143</f>
        <v/>
      </c>
      <c r="H2143" s="14">
        <f>C2143*G2143</f>
        <v/>
      </c>
    </row>
    <row r="2144">
      <c r="A2144" s="12" t="inlineStr">
        <is>
          <t>RET-0171</t>
        </is>
      </c>
      <c r="B2144" s="12" t="inlineStr">
        <is>
          <t>VS01</t>
        </is>
      </c>
      <c r="C2144" s="28" t="n">
        <v>0.0161</v>
      </c>
      <c r="D2144" s="12" t="inlineStr">
        <is>
          <t>PO-2022-1780</t>
        </is>
      </c>
      <c r="E2144" s="12" t="n">
        <v>2.15</v>
      </c>
      <c r="F2144" s="17" t="n">
        <v>93781.67</v>
      </c>
      <c r="G2144" s="14">
        <f>E2144*F2144</f>
        <v/>
      </c>
      <c r="H2144" s="14">
        <f>C2144*G2144</f>
        <v/>
      </c>
    </row>
    <row r="2145">
      <c r="A2145" s="12" t="inlineStr">
        <is>
          <t>RET-0171</t>
        </is>
      </c>
      <c r="B2145" s="12" t="inlineStr">
        <is>
          <t>VS02</t>
        </is>
      </c>
      <c r="C2145" s="28" t="n">
        <v>0.0073</v>
      </c>
      <c r="D2145" s="12" t="inlineStr">
        <is>
          <t>PO-2023-3787</t>
        </is>
      </c>
      <c r="E2145" s="12" t="n">
        <v>2.15</v>
      </c>
      <c r="F2145" s="17" t="n">
        <v>55424.92</v>
      </c>
      <c r="G2145" s="14">
        <f>E2145*F2145</f>
        <v/>
      </c>
      <c r="H2145" s="14">
        <f>C2145*G2145</f>
        <v/>
      </c>
    </row>
    <row r="2146">
      <c r="A2146" s="12" t="inlineStr">
        <is>
          <t>RET-0171</t>
        </is>
      </c>
      <c r="B2146" s="12" t="inlineStr">
        <is>
          <t>VS03</t>
        </is>
      </c>
      <c r="C2146" s="28" t="n">
        <v>0.1876</v>
      </c>
      <c r="D2146" s="12" t="inlineStr">
        <is>
          <t>PO-2023-3846</t>
        </is>
      </c>
      <c r="E2146" s="12" t="n">
        <v>2.15</v>
      </c>
      <c r="F2146" s="17" t="n">
        <v>90793.78999999999</v>
      </c>
      <c r="G2146" s="14">
        <f>E2146*F2146</f>
        <v/>
      </c>
      <c r="H2146" s="14">
        <f>C2146*G2146</f>
        <v/>
      </c>
    </row>
    <row r="2147">
      <c r="A2147" s="12" t="inlineStr">
        <is>
          <t>RET-0171</t>
        </is>
      </c>
      <c r="B2147" s="12" t="inlineStr">
        <is>
          <t>VS04</t>
        </is>
      </c>
      <c r="C2147" s="28" t="n">
        <v>0.0101</v>
      </c>
      <c r="D2147" s="12" t="inlineStr">
        <is>
          <t>PO-2021-0166</t>
        </is>
      </c>
      <c r="E2147" s="12" t="n">
        <v>2.15</v>
      </c>
      <c r="F2147" s="17" t="n">
        <v>71373.46000000001</v>
      </c>
      <c r="G2147" s="14">
        <f>E2147*F2147</f>
        <v/>
      </c>
      <c r="H2147" s="14">
        <f>C2147*G2147</f>
        <v/>
      </c>
    </row>
    <row r="2148">
      <c r="A2148" s="12" t="inlineStr">
        <is>
          <t>RET-0171</t>
        </is>
      </c>
      <c r="B2148" s="12" t="inlineStr">
        <is>
          <t>VS05</t>
        </is>
      </c>
      <c r="C2148" s="28" t="n">
        <v>0.0131</v>
      </c>
      <c r="D2148" s="12" t="inlineStr">
        <is>
          <t>PO-2022-2511</t>
        </is>
      </c>
      <c r="E2148" s="12" t="n">
        <v>2.15</v>
      </c>
      <c r="F2148" s="17" t="n">
        <v>83442.11</v>
      </c>
      <c r="G2148" s="14">
        <f>E2148*F2148</f>
        <v/>
      </c>
      <c r="H2148" s="14">
        <f>C2148*G2148</f>
        <v/>
      </c>
    </row>
    <row r="2149">
      <c r="A2149" s="12" t="inlineStr">
        <is>
          <t>RET-0171</t>
        </is>
      </c>
      <c r="B2149" s="12" t="inlineStr">
        <is>
          <t>VS06</t>
        </is>
      </c>
      <c r="C2149" s="28" t="n">
        <v>0.0133</v>
      </c>
      <c r="D2149" s="12" t="inlineStr">
        <is>
          <t>PO-2021-0369</t>
        </is>
      </c>
      <c r="E2149" s="12" t="n">
        <v>2.15</v>
      </c>
      <c r="F2149" s="17" t="n">
        <v>98483.14</v>
      </c>
      <c r="G2149" s="14">
        <f>E2149*F2149</f>
        <v/>
      </c>
      <c r="H2149" s="14">
        <f>C2149*G2149</f>
        <v/>
      </c>
    </row>
    <row r="2150">
      <c r="A2150" s="12" t="inlineStr">
        <is>
          <t>RET-0171</t>
        </is>
      </c>
      <c r="B2150" s="12" t="inlineStr">
        <is>
          <t>VS07</t>
        </is>
      </c>
      <c r="C2150" s="28" t="n">
        <v>0.0044</v>
      </c>
      <c r="D2150" s="12" t="inlineStr">
        <is>
          <t>PO-2022-1687</t>
        </is>
      </c>
      <c r="E2150" s="12" t="n">
        <v>2.15</v>
      </c>
      <c r="F2150" s="17" t="n">
        <v>60437.39</v>
      </c>
      <c r="G2150" s="14">
        <f>E2150*F2150</f>
        <v/>
      </c>
      <c r="H2150" s="14">
        <f>C2150*G2150</f>
        <v/>
      </c>
    </row>
    <row r="2151">
      <c r="A2151" s="12" t="inlineStr">
        <is>
          <t>RET-0171</t>
        </is>
      </c>
      <c r="B2151" s="12" t="inlineStr">
        <is>
          <t>VS08</t>
        </is>
      </c>
      <c r="C2151" s="28" t="n">
        <v>0.0133</v>
      </c>
      <c r="D2151" s="12" t="inlineStr">
        <is>
          <t>PO-2021-0176</t>
        </is>
      </c>
      <c r="E2151" s="12" t="n">
        <v>2.15</v>
      </c>
      <c r="F2151" s="17" t="n">
        <v>89485.07000000001</v>
      </c>
      <c r="G2151" s="14">
        <f>E2151*F2151</f>
        <v/>
      </c>
      <c r="H2151" s="14">
        <f>C2151*G2151</f>
        <v/>
      </c>
    </row>
    <row r="2152">
      <c r="A2152" s="12" t="inlineStr">
        <is>
          <t>RET-0171</t>
        </is>
      </c>
      <c r="B2152" s="12" t="inlineStr">
        <is>
          <t>VS09</t>
        </is>
      </c>
      <c r="C2152" s="28" t="n">
        <v>0.0102</v>
      </c>
      <c r="D2152" s="12" t="inlineStr">
        <is>
          <t>PO-2021-0380</t>
        </is>
      </c>
      <c r="E2152" s="12" t="n">
        <v>2.15</v>
      </c>
      <c r="F2152" s="17" t="n">
        <v>116045.92</v>
      </c>
      <c r="G2152" s="14">
        <f>E2152*F2152</f>
        <v/>
      </c>
      <c r="H2152" s="14">
        <f>C2152*G2152</f>
        <v/>
      </c>
    </row>
    <row r="2153">
      <c r="A2153" s="12" t="inlineStr">
        <is>
          <t>RET-0171</t>
        </is>
      </c>
      <c r="B2153" s="12" t="inlineStr">
        <is>
          <t>VS10</t>
        </is>
      </c>
      <c r="C2153" s="28" t="n">
        <v>0.0161</v>
      </c>
      <c r="D2153" s="12" t="inlineStr">
        <is>
          <t>PO-2021-1587</t>
        </is>
      </c>
      <c r="E2153" s="12" t="n">
        <v>2.15</v>
      </c>
      <c r="F2153" s="17" t="n">
        <v>66525.42</v>
      </c>
      <c r="G2153" s="14">
        <f>E2153*F2153</f>
        <v/>
      </c>
      <c r="H2153" s="14">
        <f>C2153*G2153</f>
        <v/>
      </c>
    </row>
    <row r="2154">
      <c r="A2154" s="12" t="inlineStr">
        <is>
          <t>RET-0171</t>
        </is>
      </c>
      <c r="B2154" s="12" t="inlineStr">
        <is>
          <t>VS11</t>
        </is>
      </c>
      <c r="C2154" s="28" t="n">
        <v>0.0189</v>
      </c>
      <c r="D2154" s="12" t="inlineStr">
        <is>
          <t>PO-2023-3733</t>
        </is>
      </c>
      <c r="E2154" s="12" t="n">
        <v>2.15</v>
      </c>
      <c r="F2154" s="17" t="n">
        <v>86435.3</v>
      </c>
      <c r="G2154" s="14">
        <f>E2154*F2154</f>
        <v/>
      </c>
      <c r="H2154" s="14">
        <f>C2154*G2154</f>
        <v/>
      </c>
    </row>
    <row r="2155">
      <c r="A2155" s="12" t="inlineStr">
        <is>
          <t>RET-0171</t>
        </is>
      </c>
      <c r="B2155" s="12" t="inlineStr">
        <is>
          <t>VS12</t>
        </is>
      </c>
      <c r="C2155" s="28" t="n">
        <v>0.2608</v>
      </c>
      <c r="D2155" s="12" t="inlineStr">
        <is>
          <t>PO-2022-2952</t>
        </is>
      </c>
      <c r="E2155" s="12" t="n">
        <v>2.15</v>
      </c>
      <c r="F2155" s="17" t="n">
        <v>115811.86</v>
      </c>
      <c r="G2155" s="14">
        <f>E2155*F2155</f>
        <v/>
      </c>
      <c r="H2155" s="14">
        <f>C2155*G2155</f>
        <v/>
      </c>
    </row>
    <row r="2156">
      <c r="A2156" s="12" t="inlineStr">
        <is>
          <t>RET-0171</t>
        </is>
      </c>
      <c r="B2156" s="12" t="inlineStr">
        <is>
          <t>VS13</t>
        </is>
      </c>
      <c r="C2156" s="28" t="n">
        <v>0.013</v>
      </c>
      <c r="D2156" s="12" t="inlineStr">
        <is>
          <t>PO-2022-1725</t>
        </is>
      </c>
      <c r="E2156" s="12" t="n">
        <v>2.15</v>
      </c>
      <c r="F2156" s="17" t="n">
        <v>58248.38</v>
      </c>
      <c r="G2156" s="14">
        <f>E2156*F2156</f>
        <v/>
      </c>
      <c r="H2156" s="14">
        <f>C2156*G2156</f>
        <v/>
      </c>
    </row>
    <row r="2157">
      <c r="A2157" s="12" t="inlineStr">
        <is>
          <t>RET-0171</t>
        </is>
      </c>
      <c r="B2157" s="12" t="inlineStr">
        <is>
          <t>VS14</t>
        </is>
      </c>
      <c r="C2157" s="28" t="n">
        <v>0.0131</v>
      </c>
      <c r="D2157" s="12" t="inlineStr">
        <is>
          <t>PO-2021-1522</t>
        </is>
      </c>
      <c r="E2157" s="12" t="n">
        <v>2.15</v>
      </c>
      <c r="F2157" s="17" t="n">
        <v>116935.12</v>
      </c>
      <c r="G2157" s="14">
        <f>E2157*F2157</f>
        <v/>
      </c>
      <c r="H2157" s="14">
        <f>C2157*G2157</f>
        <v/>
      </c>
    </row>
    <row r="2158">
      <c r="A2158" s="12" t="inlineStr">
        <is>
          <t>RET-0171</t>
        </is>
      </c>
      <c r="B2158" s="12" t="inlineStr">
        <is>
          <t>VS15</t>
        </is>
      </c>
      <c r="C2158" s="28" t="n">
        <v>0.0044</v>
      </c>
      <c r="D2158" s="12" t="inlineStr">
        <is>
          <t>PO-2023-3635</t>
        </is>
      </c>
      <c r="E2158" s="12" t="n">
        <v>2.15</v>
      </c>
      <c r="F2158" s="17" t="n">
        <v>52010.43</v>
      </c>
      <c r="G2158" s="14">
        <f>E2158*F2158</f>
        <v/>
      </c>
      <c r="H2158" s="14">
        <f>C2158*G2158</f>
        <v/>
      </c>
    </row>
    <row r="2159">
      <c r="A2159" s="12" t="inlineStr">
        <is>
          <t>RET-0171</t>
        </is>
      </c>
      <c r="B2159" s="12" t="inlineStr">
        <is>
          <t>VS16</t>
        </is>
      </c>
      <c r="C2159" s="28" t="n">
        <v>0.0189</v>
      </c>
      <c r="D2159" s="12" t="inlineStr">
        <is>
          <t>PO-2022-2547</t>
        </is>
      </c>
      <c r="E2159" s="12" t="n">
        <v>2.15</v>
      </c>
      <c r="F2159" s="17" t="n">
        <v>60791.05</v>
      </c>
      <c r="G2159" s="14">
        <f>E2159*F2159</f>
        <v/>
      </c>
      <c r="H2159" s="14">
        <f>C2159*G2159</f>
        <v/>
      </c>
    </row>
    <row r="2160">
      <c r="A2160" s="12" t="inlineStr">
        <is>
          <t>RET-0171</t>
        </is>
      </c>
      <c r="B2160" s="12" t="inlineStr">
        <is>
          <t>VS17</t>
        </is>
      </c>
      <c r="C2160" s="28" t="n">
        <v>0.0189</v>
      </c>
      <c r="D2160" s="12" t="inlineStr">
        <is>
          <t>PO-2021-1428</t>
        </is>
      </c>
      <c r="E2160" s="12" t="n">
        <v>2.15</v>
      </c>
      <c r="F2160" s="17" t="n">
        <v>84990.10000000001</v>
      </c>
      <c r="G2160" s="14">
        <f>E2160*F2160</f>
        <v/>
      </c>
      <c r="H2160" s="14">
        <f>C2160*G2160</f>
        <v/>
      </c>
    </row>
    <row r="2161">
      <c r="A2161" s="12" t="inlineStr">
        <is>
          <t>RET-0171</t>
        </is>
      </c>
      <c r="B2161" s="12" t="inlineStr">
        <is>
          <t>VS18</t>
        </is>
      </c>
      <c r="C2161" s="28" t="n">
        <v>0.0131</v>
      </c>
      <c r="D2161" s="12" t="inlineStr">
        <is>
          <t>PO-2023-4086</t>
        </is>
      </c>
      <c r="E2161" s="12" t="n">
        <v>2.15</v>
      </c>
      <c r="F2161" s="17" t="n">
        <v>64186.35</v>
      </c>
      <c r="G2161" s="14">
        <f>E2161*F2161</f>
        <v/>
      </c>
      <c r="H2161" s="14">
        <f>C2161*G2161</f>
        <v/>
      </c>
    </row>
    <row r="2162">
      <c r="A2162" s="12" t="inlineStr">
        <is>
          <t>RET-0171</t>
        </is>
      </c>
      <c r="B2162" s="12" t="inlineStr">
        <is>
          <t>VS19</t>
        </is>
      </c>
      <c r="C2162" s="28" t="n">
        <v>0.1967</v>
      </c>
      <c r="D2162" s="12" t="inlineStr">
        <is>
          <t>PO-2022-2062</t>
        </is>
      </c>
      <c r="E2162" s="12" t="n">
        <v>2.15</v>
      </c>
      <c r="F2162" s="17" t="n">
        <v>59147.59</v>
      </c>
      <c r="G2162" s="14">
        <f>E2162*F2162</f>
        <v/>
      </c>
      <c r="H2162" s="14">
        <f>C2162*G2162</f>
        <v/>
      </c>
    </row>
    <row r="2163">
      <c r="A2163" s="12" t="inlineStr">
        <is>
          <t>RET-0171</t>
        </is>
      </c>
      <c r="B2163" s="12" t="inlineStr">
        <is>
          <t>VS20</t>
        </is>
      </c>
      <c r="C2163" s="28" t="n">
        <v>0.0073</v>
      </c>
      <c r="D2163" s="12" t="inlineStr">
        <is>
          <t>PO-2022-2233</t>
        </is>
      </c>
      <c r="E2163" s="12" t="n">
        <v>2.15</v>
      </c>
      <c r="F2163" s="17" t="n">
        <v>96227.39999999999</v>
      </c>
      <c r="G2163" s="14">
        <f>E2163*F2163</f>
        <v/>
      </c>
      <c r="H2163" s="14">
        <f>C2163*G2163</f>
        <v/>
      </c>
    </row>
    <row r="2164">
      <c r="A2164" s="12" t="inlineStr">
        <is>
          <t>RET-0171</t>
        </is>
      </c>
      <c r="B2164" s="12" t="inlineStr">
        <is>
          <t>VS21</t>
        </is>
      </c>
      <c r="C2164" s="28" t="n">
        <v>0.0073</v>
      </c>
      <c r="D2164" s="12" t="inlineStr">
        <is>
          <t>PO-2023-4345</t>
        </is>
      </c>
      <c r="E2164" s="12" t="n">
        <v>2.15</v>
      </c>
      <c r="F2164" s="17" t="n">
        <v>98529.75</v>
      </c>
      <c r="G2164" s="14">
        <f>E2164*F2164</f>
        <v/>
      </c>
      <c r="H2164" s="14">
        <f>C2164*G2164</f>
        <v/>
      </c>
    </row>
    <row r="2165">
      <c r="A2165" s="12" t="inlineStr">
        <is>
          <t>RET-0171</t>
        </is>
      </c>
      <c r="B2165" s="12" t="inlineStr">
        <is>
          <t>VS22</t>
        </is>
      </c>
      <c r="C2165" s="28" t="n">
        <v>0.0043</v>
      </c>
      <c r="D2165" s="12" t="inlineStr">
        <is>
          <t>PO-2022-2014</t>
        </is>
      </c>
      <c r="E2165" s="12" t="n">
        <v>2.15</v>
      </c>
      <c r="F2165" s="17" t="n">
        <v>46764.78</v>
      </c>
      <c r="G2165" s="14">
        <f>E2165*F2165</f>
        <v/>
      </c>
      <c r="H2165" s="14">
        <f>C2165*G2165</f>
        <v/>
      </c>
    </row>
    <row r="2166">
      <c r="A2166" s="12" t="inlineStr">
        <is>
          <t>RET-0171</t>
        </is>
      </c>
      <c r="B2166" s="12" t="inlineStr">
        <is>
          <t>VS23</t>
        </is>
      </c>
      <c r="C2166" s="28" t="n">
        <v>0.0072</v>
      </c>
      <c r="D2166" s="12" t="inlineStr">
        <is>
          <t>PO-2022-1977</t>
        </is>
      </c>
      <c r="E2166" s="12" t="n">
        <v>2.15</v>
      </c>
      <c r="F2166" s="17" t="n">
        <v>97474.03999999999</v>
      </c>
      <c r="G2166" s="14">
        <f>E2166*F2166</f>
        <v/>
      </c>
      <c r="H2166" s="14">
        <f>C2166*G2166</f>
        <v/>
      </c>
    </row>
    <row r="2167">
      <c r="A2167" s="12" t="inlineStr">
        <is>
          <t>RET-0171</t>
        </is>
      </c>
      <c r="B2167" s="12" t="inlineStr">
        <is>
          <t>VS24</t>
        </is>
      </c>
      <c r="C2167" s="28" t="n">
        <v>0.0073</v>
      </c>
      <c r="D2167" s="12" t="inlineStr">
        <is>
          <t>PO-2022-2131</t>
        </is>
      </c>
      <c r="E2167" s="12" t="n">
        <v>2.15</v>
      </c>
      <c r="F2167" s="17" t="n">
        <v>77561.17</v>
      </c>
      <c r="G2167" s="14">
        <f>E2167*F2167</f>
        <v/>
      </c>
      <c r="H2167" s="14">
        <f>C2167*G2167</f>
        <v/>
      </c>
    </row>
    <row r="2168">
      <c r="A2168" s="12" t="inlineStr">
        <is>
          <t>RET-0171</t>
        </is>
      </c>
      <c r="B2168" s="12" t="inlineStr">
        <is>
          <t>VS25</t>
        </is>
      </c>
      <c r="C2168" s="28" t="n">
        <v>0.0132</v>
      </c>
      <c r="D2168" s="12" t="inlineStr">
        <is>
          <t>PO-2022-2733</t>
        </is>
      </c>
      <c r="E2168" s="12" t="n">
        <v>2.15</v>
      </c>
      <c r="F2168" s="17" t="n">
        <v>93131.2</v>
      </c>
      <c r="G2168" s="14">
        <f>E2168*F2168</f>
        <v/>
      </c>
      <c r="H2168" s="14">
        <f>C2168*G2168</f>
        <v/>
      </c>
    </row>
    <row r="2169">
      <c r="A2169" s="12" t="inlineStr">
        <is>
          <t>RET-0171</t>
        </is>
      </c>
      <c r="B2169" s="12" t="inlineStr">
        <is>
          <t>VS26</t>
        </is>
      </c>
      <c r="C2169" s="28" t="n">
        <v>0.0074</v>
      </c>
      <c r="D2169" s="12" t="inlineStr">
        <is>
          <t>PO-2023-4408</t>
        </is>
      </c>
      <c r="E2169" s="12" t="n">
        <v>2.15</v>
      </c>
      <c r="F2169" s="17" t="n">
        <v>63025.32</v>
      </c>
      <c r="G2169" s="14">
        <f>E2169*F2169</f>
        <v/>
      </c>
      <c r="H2169" s="14">
        <f>C2169*G2169</f>
        <v/>
      </c>
    </row>
    <row r="2170">
      <c r="A2170" s="12" t="inlineStr">
        <is>
          <t>RET-0171</t>
        </is>
      </c>
      <c r="B2170" s="12" t="inlineStr">
        <is>
          <t>VS27</t>
        </is>
      </c>
      <c r="C2170" s="28" t="n">
        <v>0.0072</v>
      </c>
      <c r="D2170" s="12" t="inlineStr">
        <is>
          <t>PO-2023-4629</t>
        </is>
      </c>
      <c r="E2170" s="12" t="n">
        <v>2.15</v>
      </c>
      <c r="F2170" s="17" t="n">
        <v>109839.57</v>
      </c>
      <c r="G2170" s="14">
        <f>E2170*F2170</f>
        <v/>
      </c>
      <c r="H2170" s="14">
        <f>C2170*G2170</f>
        <v/>
      </c>
    </row>
    <row r="2171">
      <c r="A2171" s="12" t="inlineStr">
        <is>
          <t>RET-0171</t>
        </is>
      </c>
      <c r="B2171" s="12" t="inlineStr">
        <is>
          <t>VS28</t>
        </is>
      </c>
      <c r="C2171" s="28" t="n">
        <v>0.0161</v>
      </c>
      <c r="D2171" s="12" t="inlineStr">
        <is>
          <t>PO-2023-3384</t>
        </is>
      </c>
      <c r="E2171" s="12" t="n">
        <v>2.15</v>
      </c>
      <c r="F2171" s="17" t="n">
        <v>77840.46000000001</v>
      </c>
      <c r="G2171" s="14">
        <f>E2171*F2171</f>
        <v/>
      </c>
      <c r="H2171" s="14">
        <f>C2171*G2171</f>
        <v/>
      </c>
    </row>
    <row r="2172">
      <c r="A2172" s="12" t="inlineStr">
        <is>
          <t>RET-0171</t>
        </is>
      </c>
      <c r="B2172" s="12" t="inlineStr">
        <is>
          <t>VS29</t>
        </is>
      </c>
      <c r="C2172" s="28" t="n">
        <v>0.0102</v>
      </c>
      <c r="D2172" s="12" t="inlineStr">
        <is>
          <t>PO-2021-0892</t>
        </is>
      </c>
      <c r="E2172" s="12" t="n">
        <v>2.15</v>
      </c>
      <c r="F2172" s="17" t="n">
        <v>67673.87</v>
      </c>
      <c r="G2172" s="14">
        <f>E2172*F2172</f>
        <v/>
      </c>
      <c r="H2172" s="14">
        <f>C2172*G2172</f>
        <v/>
      </c>
    </row>
    <row r="2173">
      <c r="A2173" s="12" t="inlineStr">
        <is>
          <t>RET-0171</t>
        </is>
      </c>
      <c r="B2173" s="12" t="inlineStr">
        <is>
          <t>VS30</t>
        </is>
      </c>
      <c r="C2173" s="28" t="n">
        <v>0.0044</v>
      </c>
      <c r="D2173" s="12" t="inlineStr">
        <is>
          <t>PO-2023-4789</t>
        </is>
      </c>
      <c r="E2173" s="12" t="n">
        <v>2.04</v>
      </c>
      <c r="F2173" s="17" t="n">
        <v>90965.58</v>
      </c>
      <c r="G2173" s="14">
        <f>E2173*F2173</f>
        <v/>
      </c>
      <c r="H2173" s="14">
        <f>C2173*G2173</f>
        <v/>
      </c>
    </row>
    <row r="2174">
      <c r="A2174" s="12" t="inlineStr">
        <is>
          <t>RET-0171</t>
        </is>
      </c>
      <c r="B2174" s="12" t="inlineStr">
        <is>
          <t>VS31</t>
        </is>
      </c>
      <c r="C2174" s="28" t="n">
        <v>0.016</v>
      </c>
      <c r="D2174" s="12" t="inlineStr">
        <is>
          <t>PO-2021-1261</t>
        </is>
      </c>
      <c r="E2174" s="12" t="n">
        <v>2.15</v>
      </c>
      <c r="F2174" s="17" t="n">
        <v>112521.55</v>
      </c>
      <c r="G2174" s="14">
        <f>E2174*F2174</f>
        <v/>
      </c>
      <c r="H2174" s="14">
        <f>C2174*G2174</f>
        <v/>
      </c>
    </row>
    <row r="2175">
      <c r="A2175" s="12" t="inlineStr">
        <is>
          <t>RET-0171</t>
        </is>
      </c>
      <c r="B2175" s="12" t="inlineStr">
        <is>
          <t>VS32</t>
        </is>
      </c>
      <c r="C2175" s="28" t="n">
        <v>0.0191</v>
      </c>
      <c r="D2175" s="12" t="inlineStr">
        <is>
          <t>PO-2023-4000</t>
        </is>
      </c>
      <c r="E2175" s="12" t="n">
        <v>2.15</v>
      </c>
      <c r="F2175" s="17" t="n">
        <v>118026.2</v>
      </c>
      <c r="G2175" s="14">
        <f>E2175*F2175</f>
        <v/>
      </c>
      <c r="H2175" s="14">
        <f>C2175*G2175</f>
        <v/>
      </c>
    </row>
    <row r="2176">
      <c r="A2176" s="12" t="inlineStr">
        <is>
          <t>RET-0171</t>
        </is>
      </c>
      <c r="B2176" s="12" t="inlineStr">
        <is>
          <t>VS33</t>
        </is>
      </c>
      <c r="C2176" s="28" t="n">
        <v>0.0102</v>
      </c>
      <c r="D2176" s="12" t="inlineStr">
        <is>
          <t>PO-2021-0447</t>
        </is>
      </c>
      <c r="E2176" s="12" t="n">
        <v>2.15</v>
      </c>
      <c r="F2176" s="17" t="n">
        <v>82578.67</v>
      </c>
      <c r="G2176" s="14">
        <f>E2176*F2176</f>
        <v/>
      </c>
      <c r="H2176" s="14">
        <f>C2176*G2176</f>
        <v/>
      </c>
    </row>
    <row r="2177">
      <c r="A2177" s="12" t="inlineStr">
        <is>
          <t>RET-0171</t>
        </is>
      </c>
      <c r="B2177" s="12" t="inlineStr">
        <is>
          <t>VS34</t>
        </is>
      </c>
      <c r="C2177" s="28" t="n">
        <v>0.0132</v>
      </c>
      <c r="D2177" s="12" t="inlineStr">
        <is>
          <t>PO-2021-0569</t>
        </is>
      </c>
      <c r="E2177" s="12" t="n">
        <v>2.15</v>
      </c>
      <c r="F2177" s="17" t="n">
        <v>110313.69</v>
      </c>
      <c r="G2177" s="14">
        <f>E2177*F2177</f>
        <v/>
      </c>
      <c r="H2177" s="14">
        <f>C2177*G2177</f>
        <v/>
      </c>
    </row>
    <row r="2178">
      <c r="A2178" s="12" t="inlineStr">
        <is>
          <t>RET-0172</t>
        </is>
      </c>
      <c r="B2178" s="12" t="inlineStr">
        <is>
          <t>VS01</t>
        </is>
      </c>
      <c r="C2178" s="28" t="n">
        <v>0.0105</v>
      </c>
      <c r="D2178" s="12" t="inlineStr">
        <is>
          <t>PO-2022-2395</t>
        </is>
      </c>
      <c r="E2178" s="12" t="n">
        <v>0.95</v>
      </c>
      <c r="F2178" s="17" t="n">
        <v>107654.44</v>
      </c>
      <c r="G2178" s="14">
        <f>E2178*F2178</f>
        <v/>
      </c>
      <c r="H2178" s="14">
        <f>C2178*G2178</f>
        <v/>
      </c>
    </row>
    <row r="2179">
      <c r="A2179" s="12" t="inlineStr">
        <is>
          <t>RET-0172</t>
        </is>
      </c>
      <c r="B2179" s="12" t="inlineStr">
        <is>
          <t>VS02</t>
        </is>
      </c>
      <c r="C2179" s="28" t="n">
        <v>0.0048</v>
      </c>
      <c r="D2179" s="12" t="inlineStr">
        <is>
          <t>PO-2023-4185</t>
        </is>
      </c>
      <c r="E2179" s="12" t="n">
        <v>0.95</v>
      </c>
      <c r="F2179" s="17" t="n">
        <v>109426.61</v>
      </c>
      <c r="G2179" s="14">
        <f>E2179*F2179</f>
        <v/>
      </c>
      <c r="H2179" s="14">
        <f>C2179*G2179</f>
        <v/>
      </c>
    </row>
    <row r="2180">
      <c r="A2180" s="12" t="inlineStr">
        <is>
          <t>RET-0172</t>
        </is>
      </c>
      <c r="B2180" s="12" t="inlineStr">
        <is>
          <t>VS03</t>
        </is>
      </c>
      <c r="C2180" s="28" t="n">
        <v>0.2239</v>
      </c>
      <c r="D2180" s="12" t="inlineStr">
        <is>
          <t>PO-2022-1616</t>
        </is>
      </c>
      <c r="E2180" s="12" t="n">
        <v>0.95</v>
      </c>
      <c r="F2180" s="17" t="n">
        <v>120393.71</v>
      </c>
      <c r="G2180" s="14">
        <f>E2180*F2180</f>
        <v/>
      </c>
      <c r="H2180" s="14">
        <f>C2180*G2180</f>
        <v/>
      </c>
    </row>
    <row r="2181">
      <c r="A2181" s="12" t="inlineStr">
        <is>
          <t>RET-0172</t>
        </is>
      </c>
      <c r="B2181" s="12" t="inlineStr">
        <is>
          <t>VS04</t>
        </is>
      </c>
      <c r="C2181" s="28" t="n">
        <v>0.0066</v>
      </c>
      <c r="D2181" s="12" t="inlineStr">
        <is>
          <t>PO-2023-3204</t>
        </is>
      </c>
      <c r="E2181" s="12" t="n">
        <v>0.95</v>
      </c>
      <c r="F2181" s="17" t="n">
        <v>92197.48</v>
      </c>
      <c r="G2181" s="14">
        <f>E2181*F2181</f>
        <v/>
      </c>
      <c r="H2181" s="14">
        <f>C2181*G2181</f>
        <v/>
      </c>
    </row>
    <row r="2182">
      <c r="A2182" s="12" t="inlineStr">
        <is>
          <t>RET-0172</t>
        </is>
      </c>
      <c r="B2182" s="12" t="inlineStr">
        <is>
          <t>VS05</t>
        </is>
      </c>
      <c r="C2182" s="28" t="n">
        <v>0.008500000000000001</v>
      </c>
      <c r="D2182" s="12" t="inlineStr">
        <is>
          <t>PO-2022-1791</t>
        </is>
      </c>
      <c r="E2182" s="12" t="n">
        <v>0.95</v>
      </c>
      <c r="F2182" s="17" t="n">
        <v>53585.53</v>
      </c>
      <c r="G2182" s="14">
        <f>E2182*F2182</f>
        <v/>
      </c>
      <c r="H2182" s="14">
        <f>C2182*G2182</f>
        <v/>
      </c>
    </row>
    <row r="2183">
      <c r="A2183" s="12" t="inlineStr">
        <is>
          <t>RET-0172</t>
        </is>
      </c>
      <c r="B2183" s="12" t="inlineStr">
        <is>
          <t>VS06</t>
        </is>
      </c>
      <c r="C2183" s="28" t="n">
        <v>0.0086</v>
      </c>
      <c r="D2183" s="12" t="inlineStr">
        <is>
          <t>PO-2021-1192</t>
        </is>
      </c>
      <c r="E2183" s="12" t="n">
        <v>0.95</v>
      </c>
      <c r="F2183" s="17" t="n">
        <v>117995.38</v>
      </c>
      <c r="G2183" s="14">
        <f>E2183*F2183</f>
        <v/>
      </c>
      <c r="H2183" s="14">
        <f>C2183*G2183</f>
        <v/>
      </c>
    </row>
    <row r="2184">
      <c r="A2184" s="12" t="inlineStr">
        <is>
          <t>RET-0172</t>
        </is>
      </c>
      <c r="B2184" s="12" t="inlineStr">
        <is>
          <t>VS07</t>
        </is>
      </c>
      <c r="C2184" s="28" t="n">
        <v>0.0029</v>
      </c>
      <c r="D2184" s="12" t="inlineStr">
        <is>
          <t>PO-2023-4099</t>
        </is>
      </c>
      <c r="E2184" s="12" t="n">
        <v>0.95</v>
      </c>
      <c r="F2184" s="17" t="n">
        <v>75404.19</v>
      </c>
      <c r="G2184" s="14">
        <f>E2184*F2184</f>
        <v/>
      </c>
      <c r="H2184" s="14">
        <f>C2184*G2184</f>
        <v/>
      </c>
    </row>
    <row r="2185">
      <c r="A2185" s="12" t="inlineStr">
        <is>
          <t>RET-0172</t>
        </is>
      </c>
      <c r="B2185" s="12" t="inlineStr">
        <is>
          <t>VS08</t>
        </is>
      </c>
      <c r="C2185" s="28" t="n">
        <v>0.008699999999999999</v>
      </c>
      <c r="D2185" s="12" t="inlineStr">
        <is>
          <t>PO-2022-2590</t>
        </is>
      </c>
      <c r="E2185" s="12" t="n">
        <v>0.95</v>
      </c>
      <c r="F2185" s="17" t="n">
        <v>92856.02</v>
      </c>
      <c r="G2185" s="14">
        <f>E2185*F2185</f>
        <v/>
      </c>
      <c r="H2185" s="14">
        <f>C2185*G2185</f>
        <v/>
      </c>
    </row>
    <row r="2186">
      <c r="A2186" s="12" t="inlineStr">
        <is>
          <t>RET-0172</t>
        </is>
      </c>
      <c r="B2186" s="12" t="inlineStr">
        <is>
          <t>VS09</t>
        </is>
      </c>
      <c r="C2186" s="28" t="n">
        <v>0.0066</v>
      </c>
      <c r="D2186" s="12" t="inlineStr">
        <is>
          <t>PO-2023-3273</t>
        </is>
      </c>
      <c r="E2186" s="12" t="n">
        <v>0.95</v>
      </c>
      <c r="F2186" s="17" t="n">
        <v>53635.76</v>
      </c>
      <c r="G2186" s="14">
        <f>E2186*F2186</f>
        <v/>
      </c>
      <c r="H2186" s="14">
        <f>C2186*G2186</f>
        <v/>
      </c>
    </row>
    <row r="2187">
      <c r="A2187" s="12" t="inlineStr">
        <is>
          <t>RET-0172</t>
        </is>
      </c>
      <c r="B2187" s="12" t="inlineStr">
        <is>
          <t>VS10</t>
        </is>
      </c>
      <c r="C2187" s="28" t="n">
        <v>0.0104</v>
      </c>
      <c r="D2187" s="12" t="inlineStr">
        <is>
          <t>PO-2021-0520</t>
        </is>
      </c>
      <c r="E2187" s="12" t="n">
        <v>0.95</v>
      </c>
      <c r="F2187" s="17" t="n">
        <v>77070.45</v>
      </c>
      <c r="G2187" s="14">
        <f>E2187*F2187</f>
        <v/>
      </c>
      <c r="H2187" s="14">
        <f>C2187*G2187</f>
        <v/>
      </c>
    </row>
    <row r="2188">
      <c r="A2188" s="12" t="inlineStr">
        <is>
          <t>RET-0172</t>
        </is>
      </c>
      <c r="B2188" s="12" t="inlineStr">
        <is>
          <t>VS11</t>
        </is>
      </c>
      <c r="C2188" s="28" t="n">
        <v>0.0122</v>
      </c>
      <c r="D2188" s="12" t="inlineStr">
        <is>
          <t>PO-2023-3210</t>
        </is>
      </c>
      <c r="E2188" s="12" t="n">
        <v>0.95</v>
      </c>
      <c r="F2188" s="17" t="n">
        <v>59858.67</v>
      </c>
      <c r="G2188" s="14">
        <f>E2188*F2188</f>
        <v/>
      </c>
      <c r="H2188" s="14">
        <f>C2188*G2188</f>
        <v/>
      </c>
    </row>
    <row r="2189">
      <c r="A2189" s="12" t="inlineStr">
        <is>
          <t>RET-0172</t>
        </is>
      </c>
      <c r="B2189" s="12" t="inlineStr">
        <is>
          <t>VS12</t>
        </is>
      </c>
      <c r="C2189" s="28" t="n">
        <v>0.3112</v>
      </c>
      <c r="D2189" s="12" t="inlineStr">
        <is>
          <t>PO-2023-3239</t>
        </is>
      </c>
      <c r="E2189" s="12" t="n">
        <v>0.95</v>
      </c>
      <c r="F2189" s="17" t="n">
        <v>46841.18</v>
      </c>
      <c r="G2189" s="14">
        <f>E2189*F2189</f>
        <v/>
      </c>
      <c r="H2189" s="14">
        <f>C2189*G2189</f>
        <v/>
      </c>
    </row>
    <row r="2190">
      <c r="A2190" s="12" t="inlineStr">
        <is>
          <t>RET-0172</t>
        </is>
      </c>
      <c r="B2190" s="12" t="inlineStr">
        <is>
          <t>VS13</t>
        </is>
      </c>
      <c r="C2190" s="28" t="n">
        <v>0.008399999999999999</v>
      </c>
      <c r="D2190" s="12" t="inlineStr">
        <is>
          <t>PO-2023-4356</t>
        </is>
      </c>
      <c r="E2190" s="12" t="n">
        <v>0.95</v>
      </c>
      <c r="F2190" s="17" t="n">
        <v>97205.55</v>
      </c>
      <c r="G2190" s="14">
        <f>E2190*F2190</f>
        <v/>
      </c>
      <c r="H2190" s="14">
        <f>C2190*G2190</f>
        <v/>
      </c>
    </row>
    <row r="2191">
      <c r="A2191" s="12" t="inlineStr">
        <is>
          <t>RET-0172</t>
        </is>
      </c>
      <c r="B2191" s="12" t="inlineStr">
        <is>
          <t>VS14</t>
        </is>
      </c>
      <c r="C2191" s="28" t="n">
        <v>0.008500000000000001</v>
      </c>
      <c r="D2191" s="12" t="inlineStr">
        <is>
          <t>PO-2023-3336</t>
        </is>
      </c>
      <c r="E2191" s="12" t="n">
        <v>0.95</v>
      </c>
      <c r="F2191" s="17" t="n">
        <v>68830.96000000001</v>
      </c>
      <c r="G2191" s="14">
        <f>E2191*F2191</f>
        <v/>
      </c>
      <c r="H2191" s="14">
        <f>C2191*G2191</f>
        <v/>
      </c>
    </row>
    <row r="2192">
      <c r="A2192" s="12" t="inlineStr">
        <is>
          <t>RET-0172</t>
        </is>
      </c>
      <c r="B2192" s="12" t="inlineStr">
        <is>
          <t>VS15</t>
        </is>
      </c>
      <c r="C2192" s="28" t="n">
        <v>0.0028</v>
      </c>
      <c r="D2192" s="12" t="inlineStr">
        <is>
          <t>PO-2022-2396</t>
        </is>
      </c>
      <c r="E2192" s="12" t="n">
        <v>0.95</v>
      </c>
      <c r="F2192" s="17" t="n">
        <v>51631.2</v>
      </c>
      <c r="G2192" s="14">
        <f>E2192*F2192</f>
        <v/>
      </c>
      <c r="H2192" s="14">
        <f>C2192*G2192</f>
        <v/>
      </c>
    </row>
    <row r="2193">
      <c r="A2193" s="12" t="inlineStr">
        <is>
          <t>RET-0172</t>
        </is>
      </c>
      <c r="B2193" s="12" t="inlineStr">
        <is>
          <t>VS16</t>
        </is>
      </c>
      <c r="C2193" s="28" t="n">
        <v>0.0123</v>
      </c>
      <c r="D2193" s="12" t="inlineStr">
        <is>
          <t>PO-2023-4642</t>
        </is>
      </c>
      <c r="E2193" s="12" t="n">
        <v>0.95</v>
      </c>
      <c r="F2193" s="17" t="n">
        <v>100162.91</v>
      </c>
      <c r="G2193" s="14">
        <f>E2193*F2193</f>
        <v/>
      </c>
      <c r="H2193" s="14">
        <f>C2193*G2193</f>
        <v/>
      </c>
    </row>
    <row r="2194">
      <c r="A2194" s="12" t="inlineStr">
        <is>
          <t>RET-0172</t>
        </is>
      </c>
      <c r="B2194" s="12" t="inlineStr">
        <is>
          <t>VS17</t>
        </is>
      </c>
      <c r="C2194" s="28" t="n">
        <v>0.0122</v>
      </c>
      <c r="D2194" s="12" t="inlineStr">
        <is>
          <t>PO-2021-1139</t>
        </is>
      </c>
      <c r="E2194" s="12" t="n">
        <v>0.95</v>
      </c>
      <c r="F2194" s="17" t="n">
        <v>73102.87</v>
      </c>
      <c r="G2194" s="14">
        <f>E2194*F2194</f>
        <v/>
      </c>
      <c r="H2194" s="14">
        <f>C2194*G2194</f>
        <v/>
      </c>
    </row>
    <row r="2195">
      <c r="A2195" s="12" t="inlineStr">
        <is>
          <t>RET-0172</t>
        </is>
      </c>
      <c r="B2195" s="12" t="inlineStr">
        <is>
          <t>VS18</t>
        </is>
      </c>
      <c r="C2195" s="28" t="n">
        <v>0.008500000000000001</v>
      </c>
      <c r="D2195" s="12" t="inlineStr">
        <is>
          <t>PO-2021-0362</t>
        </is>
      </c>
      <c r="E2195" s="12" t="n">
        <v>0.95</v>
      </c>
      <c r="F2195" s="17" t="n">
        <v>96332.16</v>
      </c>
      <c r="G2195" s="14">
        <f>E2195*F2195</f>
        <v/>
      </c>
      <c r="H2195" s="14">
        <f>C2195*G2195</f>
        <v/>
      </c>
    </row>
    <row r="2196">
      <c r="A2196" s="12" t="inlineStr">
        <is>
          <t>RET-0172</t>
        </is>
      </c>
      <c r="B2196" s="12" t="inlineStr">
        <is>
          <t>VS19</t>
        </is>
      </c>
      <c r="C2196" s="28" t="n">
        <v>0.2348</v>
      </c>
      <c r="D2196" s="12" t="inlineStr">
        <is>
          <t>PO-2023-4486</t>
        </is>
      </c>
      <c r="E2196" s="12" t="n">
        <v>0.95</v>
      </c>
      <c r="F2196" s="17" t="n">
        <v>57703.61</v>
      </c>
      <c r="G2196" s="14">
        <f>E2196*F2196</f>
        <v/>
      </c>
      <c r="H2196" s="14">
        <f>C2196*G2196</f>
        <v/>
      </c>
    </row>
    <row r="2197">
      <c r="A2197" s="12" t="inlineStr">
        <is>
          <t>RET-0172</t>
        </is>
      </c>
      <c r="B2197" s="12" t="inlineStr">
        <is>
          <t>VS20</t>
        </is>
      </c>
      <c r="C2197" s="28" t="n">
        <v>0.0048</v>
      </c>
      <c r="D2197" s="12" t="inlineStr">
        <is>
          <t>PO-2023-3955</t>
        </is>
      </c>
      <c r="E2197" s="12" t="n">
        <v>0.95</v>
      </c>
      <c r="F2197" s="17" t="n">
        <v>82204.42</v>
      </c>
      <c r="G2197" s="14">
        <f>E2197*F2197</f>
        <v/>
      </c>
      <c r="H2197" s="14">
        <f>C2197*G2197</f>
        <v/>
      </c>
    </row>
    <row r="2198">
      <c r="A2198" s="12" t="inlineStr">
        <is>
          <t>RET-0172</t>
        </is>
      </c>
      <c r="B2198" s="12" t="inlineStr">
        <is>
          <t>VS21</t>
        </is>
      </c>
      <c r="C2198" s="28" t="n">
        <v>0.0047</v>
      </c>
      <c r="D2198" s="12" t="inlineStr">
        <is>
          <t>PO-2022-1845</t>
        </is>
      </c>
      <c r="E2198" s="12" t="n">
        <v>0.95</v>
      </c>
      <c r="F2198" s="17" t="n">
        <v>62096.43</v>
      </c>
      <c r="G2198" s="14">
        <f>E2198*F2198</f>
        <v/>
      </c>
      <c r="H2198" s="14">
        <f>C2198*G2198</f>
        <v/>
      </c>
    </row>
    <row r="2199">
      <c r="A2199" s="12" t="inlineStr">
        <is>
          <t>RET-0172</t>
        </is>
      </c>
      <c r="B2199" s="12" t="inlineStr">
        <is>
          <t>VS22</t>
        </is>
      </c>
      <c r="C2199" s="28" t="n">
        <v>0.0028</v>
      </c>
      <c r="D2199" s="12" t="inlineStr">
        <is>
          <t>PO-2021-0198</t>
        </is>
      </c>
      <c r="E2199" s="12" t="n">
        <v>0.95</v>
      </c>
      <c r="F2199" s="17" t="n">
        <v>93547.89999999999</v>
      </c>
      <c r="G2199" s="14">
        <f>E2199*F2199</f>
        <v/>
      </c>
      <c r="H2199" s="14">
        <f>C2199*G2199</f>
        <v/>
      </c>
    </row>
    <row r="2200">
      <c r="A2200" s="12" t="inlineStr">
        <is>
          <t>RET-0172</t>
        </is>
      </c>
      <c r="B2200" s="12" t="inlineStr">
        <is>
          <t>VS23</t>
        </is>
      </c>
      <c r="C2200" s="28" t="n">
        <v>0.0047</v>
      </c>
      <c r="D2200" s="12" t="inlineStr">
        <is>
          <t>PO-2021-0366</t>
        </is>
      </c>
      <c r="E2200" s="12" t="n">
        <v>0.95</v>
      </c>
      <c r="F2200" s="17" t="n">
        <v>62410.8</v>
      </c>
      <c r="G2200" s="14">
        <f>E2200*F2200</f>
        <v/>
      </c>
      <c r="H2200" s="14">
        <f>C2200*G2200</f>
        <v/>
      </c>
    </row>
    <row r="2201">
      <c r="A2201" s="12" t="inlineStr">
        <is>
          <t>RET-0172</t>
        </is>
      </c>
      <c r="B2201" s="12" t="inlineStr">
        <is>
          <t>VS24</t>
        </is>
      </c>
      <c r="C2201" s="28" t="n">
        <v>0.0047</v>
      </c>
      <c r="D2201" s="12" t="inlineStr">
        <is>
          <t>PO-2022-2013</t>
        </is>
      </c>
      <c r="E2201" s="12" t="n">
        <v>0.95</v>
      </c>
      <c r="F2201" s="17" t="n">
        <v>96479.07000000001</v>
      </c>
      <c r="G2201" s="14">
        <f>E2201*F2201</f>
        <v/>
      </c>
      <c r="H2201" s="14">
        <f>C2201*G2201</f>
        <v/>
      </c>
    </row>
    <row r="2202">
      <c r="A2202" s="12" t="inlineStr">
        <is>
          <t>RET-0172</t>
        </is>
      </c>
      <c r="B2202" s="12" t="inlineStr">
        <is>
          <t>VS25</t>
        </is>
      </c>
      <c r="C2202" s="28" t="n">
        <v>0.0086</v>
      </c>
      <c r="D2202" s="12" t="inlineStr">
        <is>
          <t>PO-2023-4066</t>
        </is>
      </c>
      <c r="E2202" s="12" t="n">
        <v>0.95</v>
      </c>
      <c r="F2202" s="17" t="n">
        <v>64135.92</v>
      </c>
      <c r="G2202" s="14">
        <f>E2202*F2202</f>
        <v/>
      </c>
      <c r="H2202" s="14">
        <f>C2202*G2202</f>
        <v/>
      </c>
    </row>
    <row r="2203">
      <c r="A2203" s="12" t="inlineStr">
        <is>
          <t>RET-0172</t>
        </is>
      </c>
      <c r="B2203" s="12" t="inlineStr">
        <is>
          <t>VS26</t>
        </is>
      </c>
      <c r="C2203" s="28" t="n">
        <v>0.0048</v>
      </c>
      <c r="D2203" s="12" t="inlineStr">
        <is>
          <t>PO-2023-4463</t>
        </is>
      </c>
      <c r="E2203" s="12" t="n">
        <v>0.95</v>
      </c>
      <c r="F2203" s="17" t="n">
        <v>103433.36</v>
      </c>
      <c r="G2203" s="14">
        <f>E2203*F2203</f>
        <v/>
      </c>
      <c r="H2203" s="14">
        <f>C2203*G2203</f>
        <v/>
      </c>
    </row>
    <row r="2204">
      <c r="A2204" s="12" t="inlineStr">
        <is>
          <t>RET-0172</t>
        </is>
      </c>
      <c r="B2204" s="12" t="inlineStr">
        <is>
          <t>VS27</t>
        </is>
      </c>
      <c r="C2204" s="28" t="n">
        <v>0.0047</v>
      </c>
      <c r="D2204" s="12" t="inlineStr">
        <is>
          <t>PO-2023-3316</t>
        </is>
      </c>
      <c r="E2204" s="12" t="n">
        <v>0.95</v>
      </c>
      <c r="F2204" s="17" t="n">
        <v>111814.16</v>
      </c>
      <c r="G2204" s="14">
        <f>E2204*F2204</f>
        <v/>
      </c>
      <c r="H2204" s="14">
        <f>C2204*G2204</f>
        <v/>
      </c>
    </row>
    <row r="2205">
      <c r="A2205" s="12" t="inlineStr">
        <is>
          <t>RET-0172</t>
        </is>
      </c>
      <c r="B2205" s="12" t="inlineStr">
        <is>
          <t>VS28</t>
        </is>
      </c>
      <c r="C2205" s="28" t="n">
        <v>0.0104</v>
      </c>
      <c r="D2205" s="12" t="inlineStr">
        <is>
          <t>PO-2022-3112</t>
        </is>
      </c>
      <c r="E2205" s="12" t="n">
        <v>0.95</v>
      </c>
      <c r="F2205" s="17" t="n">
        <v>97404.73</v>
      </c>
      <c r="G2205" s="14">
        <f>E2205*F2205</f>
        <v/>
      </c>
      <c r="H2205" s="14">
        <f>C2205*G2205</f>
        <v/>
      </c>
    </row>
    <row r="2206">
      <c r="A2206" s="12" t="inlineStr">
        <is>
          <t>RET-0172</t>
        </is>
      </c>
      <c r="B2206" s="12" t="inlineStr">
        <is>
          <t>VS29</t>
        </is>
      </c>
      <c r="C2206" s="28" t="n">
        <v>0.0066</v>
      </c>
      <c r="D2206" s="12" t="inlineStr">
        <is>
          <t>PO-2021-1282</t>
        </is>
      </c>
      <c r="E2206" s="12" t="n">
        <v>0</v>
      </c>
      <c r="F2206" s="17" t="n">
        <v>79848.89999999999</v>
      </c>
      <c r="G2206" s="14">
        <f>E2206*F2206</f>
        <v/>
      </c>
      <c r="H2206" s="14">
        <f>C2206*G2206</f>
        <v/>
      </c>
    </row>
    <row r="2207">
      <c r="A2207" s="12" t="inlineStr">
        <is>
          <t>RET-0172</t>
        </is>
      </c>
      <c r="B2207" s="12" t="inlineStr">
        <is>
          <t>VS30</t>
        </is>
      </c>
      <c r="C2207" s="28" t="n">
        <v>0.0029</v>
      </c>
      <c r="D2207" s="12" t="inlineStr">
        <is>
          <t>PO-2021-1373</t>
        </is>
      </c>
      <c r="E2207" s="12" t="n">
        <v>0.95</v>
      </c>
      <c r="F2207" s="17" t="n">
        <v>66593.38</v>
      </c>
      <c r="G2207" s="14">
        <f>E2207*F2207</f>
        <v/>
      </c>
      <c r="H2207" s="14">
        <f>C2207*G2207</f>
        <v/>
      </c>
    </row>
    <row r="2208">
      <c r="A2208" s="12" t="inlineStr">
        <is>
          <t>RET-0172</t>
        </is>
      </c>
      <c r="B2208" s="12" t="inlineStr">
        <is>
          <t>VS31</t>
        </is>
      </c>
      <c r="C2208" s="28" t="n">
        <v>0.0104</v>
      </c>
      <c r="D2208" s="12" t="inlineStr">
        <is>
          <t>PO-2021-0885</t>
        </is>
      </c>
      <c r="E2208" s="12" t="n">
        <v>0.95</v>
      </c>
      <c r="F2208" s="17" t="n">
        <v>81112.16</v>
      </c>
      <c r="G2208" s="14">
        <f>E2208*F2208</f>
        <v/>
      </c>
      <c r="H2208" s="14">
        <f>C2208*G2208</f>
        <v/>
      </c>
    </row>
    <row r="2209">
      <c r="A2209" s="12" t="inlineStr">
        <is>
          <t>RET-0172</t>
        </is>
      </c>
      <c r="B2209" s="12" t="inlineStr">
        <is>
          <t>VS32</t>
        </is>
      </c>
      <c r="C2209" s="28" t="n">
        <v>0.0124</v>
      </c>
      <c r="D2209" s="12" t="inlineStr">
        <is>
          <t>PO-2023-3721</t>
        </is>
      </c>
      <c r="E2209" s="12" t="n">
        <v>0.95</v>
      </c>
      <c r="F2209" s="17" t="n">
        <v>92553.55</v>
      </c>
      <c r="G2209" s="14">
        <f>E2209*F2209</f>
        <v/>
      </c>
      <c r="H2209" s="14">
        <f>C2209*G2209</f>
        <v/>
      </c>
    </row>
    <row r="2210">
      <c r="A2210" s="12" t="inlineStr">
        <is>
          <t>RET-0172</t>
        </is>
      </c>
      <c r="B2210" s="12" t="inlineStr">
        <is>
          <t>VS33</t>
        </is>
      </c>
      <c r="C2210" s="28" t="n">
        <v>0.0066</v>
      </c>
      <c r="D2210" s="12" t="inlineStr">
        <is>
          <t>PO-2022-2496</t>
        </is>
      </c>
      <c r="E2210" s="12" t="n">
        <v>0.95</v>
      </c>
      <c r="F2210" s="17" t="n">
        <v>57525.09</v>
      </c>
      <c r="G2210" s="14">
        <f>E2210*F2210</f>
        <v/>
      </c>
      <c r="H2210" s="14">
        <f>C2210*G2210</f>
        <v/>
      </c>
    </row>
    <row r="2211">
      <c r="A2211" s="12" t="inlineStr">
        <is>
          <t>RET-0172</t>
        </is>
      </c>
      <c r="B2211" s="12" t="inlineStr">
        <is>
          <t>VS34</t>
        </is>
      </c>
      <c r="C2211" s="28" t="n">
        <v>0.008500000000000001</v>
      </c>
      <c r="D2211" s="12" t="inlineStr">
        <is>
          <t>PO-2021-0855</t>
        </is>
      </c>
      <c r="E2211" s="12" t="n">
        <v>0.95</v>
      </c>
      <c r="F2211" s="17" t="n">
        <v>77966.53999999999</v>
      </c>
      <c r="G2211" s="14">
        <f>E2211*F2211</f>
        <v/>
      </c>
      <c r="H2211" s="14">
        <f>C2211*G2211</f>
        <v/>
      </c>
    </row>
    <row r="2212">
      <c r="A2212" s="12" t="inlineStr">
        <is>
          <t>RET-0174</t>
        </is>
      </c>
      <c r="B2212" s="12" t="inlineStr">
        <is>
          <t>VS01</t>
        </is>
      </c>
      <c r="C2212" s="28" t="n">
        <v>0.0066</v>
      </c>
      <c r="D2212" s="12" t="inlineStr">
        <is>
          <t>PO-2021-0444</t>
        </is>
      </c>
      <c r="E2212" s="12" t="n">
        <v>1.91</v>
      </c>
      <c r="F2212" s="17" t="n">
        <v>54898.72</v>
      </c>
      <c r="G2212" s="14">
        <f>E2212*F2212</f>
        <v/>
      </c>
      <c r="H2212" s="14">
        <f>C2212*G2212</f>
        <v/>
      </c>
    </row>
    <row r="2213">
      <c r="A2213" s="12" t="inlineStr">
        <is>
          <t>RET-0174</t>
        </is>
      </c>
      <c r="B2213" s="12" t="inlineStr">
        <is>
          <t>VS02</t>
        </is>
      </c>
      <c r="C2213" s="28" t="n">
        <v>0.003</v>
      </c>
      <c r="D2213" s="12" t="inlineStr">
        <is>
          <t>PO-2021-0280</t>
        </is>
      </c>
      <c r="E2213" s="12" t="n">
        <v>1.91</v>
      </c>
      <c r="F2213" s="17" t="n">
        <v>53220.34</v>
      </c>
      <c r="G2213" s="14">
        <f>E2213*F2213</f>
        <v/>
      </c>
      <c r="H2213" s="14">
        <f>C2213*G2213</f>
        <v/>
      </c>
    </row>
    <row r="2214">
      <c r="A2214" s="12" t="inlineStr">
        <is>
          <t>RET-0174</t>
        </is>
      </c>
      <c r="B2214" s="12" t="inlineStr">
        <is>
          <t>VS03</t>
        </is>
      </c>
      <c r="C2214" s="28" t="n">
        <v>0.2484</v>
      </c>
      <c r="D2214" s="12" t="inlineStr">
        <is>
          <t>PO-2021-1424</t>
        </is>
      </c>
      <c r="E2214" s="12" t="n">
        <v>1.91</v>
      </c>
      <c r="F2214" s="17" t="n">
        <v>99561.2</v>
      </c>
      <c r="G2214" s="14">
        <f>E2214*F2214</f>
        <v/>
      </c>
      <c r="H2214" s="14">
        <f>C2214*G2214</f>
        <v/>
      </c>
    </row>
    <row r="2215">
      <c r="A2215" s="12" t="inlineStr">
        <is>
          <t>RET-0174</t>
        </is>
      </c>
      <c r="B2215" s="12" t="inlineStr">
        <is>
          <t>VS04</t>
        </is>
      </c>
      <c r="C2215" s="28" t="n">
        <v>0.0042</v>
      </c>
      <c r="D2215" s="12" t="inlineStr">
        <is>
          <t>PO-2021-1050</t>
        </is>
      </c>
      <c r="E2215" s="12" t="n">
        <v>1.91</v>
      </c>
      <c r="F2215" s="17" t="n">
        <v>98697.28</v>
      </c>
      <c r="G2215" s="14">
        <f>E2215*F2215</f>
        <v/>
      </c>
      <c r="H2215" s="14">
        <f>C2215*G2215</f>
        <v/>
      </c>
    </row>
    <row r="2216">
      <c r="A2216" s="12" t="inlineStr">
        <is>
          <t>RET-0174</t>
        </is>
      </c>
      <c r="B2216" s="12" t="inlineStr">
        <is>
          <t>VS05</t>
        </is>
      </c>
      <c r="C2216" s="28" t="n">
        <v>0.0054</v>
      </c>
      <c r="D2216" s="12" t="inlineStr">
        <is>
          <t>PO-2023-3558</t>
        </is>
      </c>
      <c r="E2216" s="12" t="n">
        <v>1.91</v>
      </c>
      <c r="F2216" s="17" t="n">
        <v>102197.94</v>
      </c>
      <c r="G2216" s="14">
        <f>E2216*F2216</f>
        <v/>
      </c>
      <c r="H2216" s="14">
        <f>C2216*G2216</f>
        <v/>
      </c>
    </row>
    <row r="2217">
      <c r="A2217" s="12" t="inlineStr">
        <is>
          <t>RET-0174</t>
        </is>
      </c>
      <c r="B2217" s="12" t="inlineStr">
        <is>
          <t>VS06</t>
        </is>
      </c>
      <c r="C2217" s="28" t="n">
        <v>0.0054</v>
      </c>
      <c r="D2217" s="12" t="inlineStr">
        <is>
          <t>PO-2022-2004</t>
        </is>
      </c>
      <c r="E2217" s="12" t="n">
        <v>1.91</v>
      </c>
      <c r="F2217" s="17" t="n">
        <v>52605.38</v>
      </c>
      <c r="G2217" s="14">
        <f>E2217*F2217</f>
        <v/>
      </c>
      <c r="H2217" s="14">
        <f>C2217*G2217</f>
        <v/>
      </c>
    </row>
    <row r="2218">
      <c r="A2218" s="12" t="inlineStr">
        <is>
          <t>RET-0174</t>
        </is>
      </c>
      <c r="B2218" s="12" t="inlineStr">
        <is>
          <t>VS07</t>
        </is>
      </c>
      <c r="C2218" s="28" t="n">
        <v>0.0018</v>
      </c>
      <c r="D2218" s="12" t="inlineStr">
        <is>
          <t>PO-2022-1955</t>
        </is>
      </c>
      <c r="E2218" s="12" t="n">
        <v>1.91</v>
      </c>
      <c r="F2218" s="17" t="n">
        <v>82709.5</v>
      </c>
      <c r="G2218" s="14">
        <f>E2218*F2218</f>
        <v/>
      </c>
      <c r="H2218" s="14">
        <f>C2218*G2218</f>
        <v/>
      </c>
    </row>
    <row r="2219">
      <c r="A2219" s="12" t="inlineStr">
        <is>
          <t>RET-0174</t>
        </is>
      </c>
      <c r="B2219" s="12" t="inlineStr">
        <is>
          <t>VS08</t>
        </is>
      </c>
      <c r="C2219" s="28" t="n">
        <v>0.0055</v>
      </c>
      <c r="D2219" s="12" t="inlineStr">
        <is>
          <t>PO-2022-2016</t>
        </is>
      </c>
      <c r="E2219" s="12" t="n">
        <v>1.91</v>
      </c>
      <c r="F2219" s="17" t="n">
        <v>84845.14</v>
      </c>
      <c r="G2219" s="14">
        <f>E2219*F2219</f>
        <v/>
      </c>
      <c r="H2219" s="14">
        <f>C2219*G2219</f>
        <v/>
      </c>
    </row>
    <row r="2220">
      <c r="A2220" s="12" t="inlineStr">
        <is>
          <t>RET-0174</t>
        </is>
      </c>
      <c r="B2220" s="12" t="inlineStr">
        <is>
          <t>VS09</t>
        </is>
      </c>
      <c r="C2220" s="28" t="n">
        <v>0.0042</v>
      </c>
      <c r="D2220" s="12" t="inlineStr">
        <is>
          <t>PO-2023-4281</t>
        </is>
      </c>
      <c r="E2220" s="12" t="n">
        <v>1.91</v>
      </c>
      <c r="F2220" s="17" t="n">
        <v>83981.42999999999</v>
      </c>
      <c r="G2220" s="14">
        <f>E2220*F2220</f>
        <v/>
      </c>
      <c r="H2220" s="14">
        <f>C2220*G2220</f>
        <v/>
      </c>
    </row>
    <row r="2221">
      <c r="A2221" s="12" t="inlineStr">
        <is>
          <t>RET-0174</t>
        </is>
      </c>
      <c r="B2221" s="12" t="inlineStr">
        <is>
          <t>VS10</t>
        </is>
      </c>
      <c r="C2221" s="28" t="n">
        <v>0.0066</v>
      </c>
      <c r="D2221" s="12" t="inlineStr">
        <is>
          <t>PO-2022-1664</t>
        </is>
      </c>
      <c r="E2221" s="12" t="n">
        <v>1.91</v>
      </c>
      <c r="F2221" s="17" t="n">
        <v>83922.24000000001</v>
      </c>
      <c r="G2221" s="14">
        <f>E2221*F2221</f>
        <v/>
      </c>
      <c r="H2221" s="14">
        <f>C2221*G2221</f>
        <v/>
      </c>
    </row>
    <row r="2222">
      <c r="A2222" s="12" t="inlineStr">
        <is>
          <t>RET-0174</t>
        </is>
      </c>
      <c r="B2222" s="12" t="inlineStr">
        <is>
          <t>VS11</t>
        </is>
      </c>
      <c r="C2222" s="28" t="n">
        <v>0.0078</v>
      </c>
      <c r="D2222" s="12" t="inlineStr">
        <is>
          <t>PO-2022-1851</t>
        </is>
      </c>
      <c r="E2222" s="12" t="n">
        <v>1.91</v>
      </c>
      <c r="F2222" s="17" t="n">
        <v>114773.14</v>
      </c>
      <c r="G2222" s="14">
        <f>E2222*F2222</f>
        <v/>
      </c>
      <c r="H2222" s="14">
        <f>C2222*G2222</f>
        <v/>
      </c>
    </row>
    <row r="2223">
      <c r="A2223" s="12" t="inlineStr">
        <is>
          <t>RET-0174</t>
        </is>
      </c>
      <c r="B2223" s="12" t="inlineStr">
        <is>
          <t>VS12</t>
        </is>
      </c>
      <c r="C2223" s="28" t="n">
        <v>0.3453</v>
      </c>
      <c r="D2223" s="12" t="inlineStr">
        <is>
          <t>PO-2023-3732</t>
        </is>
      </c>
      <c r="E2223" s="12" t="n">
        <v>1.91</v>
      </c>
      <c r="F2223" s="17" t="n">
        <v>98567.67999999999</v>
      </c>
      <c r="G2223" s="14">
        <f>E2223*F2223</f>
        <v/>
      </c>
      <c r="H2223" s="14">
        <f>C2223*G2223</f>
        <v/>
      </c>
    </row>
    <row r="2224">
      <c r="A2224" s="12" t="inlineStr">
        <is>
          <t>RET-0174</t>
        </is>
      </c>
      <c r="B2224" s="12" t="inlineStr">
        <is>
          <t>VS13</t>
        </is>
      </c>
      <c r="C2224" s="28" t="n">
        <v>0.0053</v>
      </c>
      <c r="D2224" s="12" t="inlineStr">
        <is>
          <t>PO-2023-4194</t>
        </is>
      </c>
      <c r="E2224" s="12" t="n">
        <v>1.91</v>
      </c>
      <c r="F2224" s="17" t="n">
        <v>89329.14999999999</v>
      </c>
      <c r="G2224" s="14">
        <f>E2224*F2224</f>
        <v/>
      </c>
      <c r="H2224" s="14">
        <f>C2224*G2224</f>
        <v/>
      </c>
    </row>
    <row r="2225">
      <c r="A2225" s="12" t="inlineStr">
        <is>
          <t>RET-0174</t>
        </is>
      </c>
      <c r="B2225" s="12" t="inlineStr">
        <is>
          <t>VS14</t>
        </is>
      </c>
      <c r="C2225" s="28" t="n">
        <v>0.0054</v>
      </c>
      <c r="D2225" s="12" t="inlineStr">
        <is>
          <t>PO-2022-2891</t>
        </is>
      </c>
      <c r="E2225" s="12" t="n">
        <v>1.91</v>
      </c>
      <c r="F2225" s="17" t="n">
        <v>97092.03999999999</v>
      </c>
      <c r="G2225" s="14">
        <f>E2225*F2225</f>
        <v/>
      </c>
      <c r="H2225" s="14">
        <f>C2225*G2225</f>
        <v/>
      </c>
    </row>
    <row r="2226">
      <c r="A2226" s="12" t="inlineStr">
        <is>
          <t>RET-0174</t>
        </is>
      </c>
      <c r="B2226" s="12" t="inlineStr">
        <is>
          <t>VS15</t>
        </is>
      </c>
      <c r="C2226" s="28" t="n">
        <v>0.0018</v>
      </c>
      <c r="D2226" s="12" t="inlineStr">
        <is>
          <t>PO-2021-0368</t>
        </is>
      </c>
      <c r="E2226" s="12" t="n">
        <v>1.91</v>
      </c>
      <c r="F2226" s="17" t="n">
        <v>73157.02</v>
      </c>
      <c r="G2226" s="14">
        <f>E2226*F2226</f>
        <v/>
      </c>
      <c r="H2226" s="14">
        <f>C2226*G2226</f>
        <v/>
      </c>
    </row>
    <row r="2227">
      <c r="A2227" s="12" t="inlineStr">
        <is>
          <t>RET-0174</t>
        </is>
      </c>
      <c r="B2227" s="12" t="inlineStr">
        <is>
          <t>VS16</t>
        </is>
      </c>
      <c r="C2227" s="28" t="n">
        <v>0.0078</v>
      </c>
      <c r="D2227" s="12" t="inlineStr">
        <is>
          <t>PO-2021-0549</t>
        </is>
      </c>
      <c r="E2227" s="12" t="n">
        <v>1.91</v>
      </c>
      <c r="F2227" s="17" t="n">
        <v>78457.75999999999</v>
      </c>
      <c r="G2227" s="14">
        <f>E2227*F2227</f>
        <v/>
      </c>
      <c r="H2227" s="14">
        <f>C2227*G2227</f>
        <v/>
      </c>
    </row>
    <row r="2228">
      <c r="A2228" s="12" t="inlineStr">
        <is>
          <t>RET-0174</t>
        </is>
      </c>
      <c r="B2228" s="12" t="inlineStr">
        <is>
          <t>VS17</t>
        </is>
      </c>
      <c r="C2228" s="28" t="n">
        <v>0.0078</v>
      </c>
      <c r="D2228" s="12" t="inlineStr">
        <is>
          <t>PO-2021-1422</t>
        </is>
      </c>
      <c r="E2228" s="12" t="n">
        <v>1.91</v>
      </c>
      <c r="F2228" s="17" t="n">
        <v>81646.64</v>
      </c>
      <c r="G2228" s="14">
        <f>E2228*F2228</f>
        <v/>
      </c>
      <c r="H2228" s="14">
        <f>C2228*G2228</f>
        <v/>
      </c>
    </row>
    <row r="2229">
      <c r="A2229" s="12" t="inlineStr">
        <is>
          <t>RET-0174</t>
        </is>
      </c>
      <c r="B2229" s="12" t="inlineStr">
        <is>
          <t>VS18</t>
        </is>
      </c>
      <c r="C2229" s="28" t="n">
        <v>0.0054</v>
      </c>
      <c r="D2229" s="12" t="inlineStr">
        <is>
          <t>PO-2021-1295</t>
        </is>
      </c>
      <c r="E2229" s="12" t="n">
        <v>1.91</v>
      </c>
      <c r="F2229" s="17" t="n">
        <v>106221.06</v>
      </c>
      <c r="G2229" s="14">
        <f>E2229*F2229</f>
        <v/>
      </c>
      <c r="H2229" s="14">
        <f>C2229*G2229</f>
        <v/>
      </c>
    </row>
    <row r="2230">
      <c r="A2230" s="12" t="inlineStr">
        <is>
          <t>RET-0174</t>
        </is>
      </c>
      <c r="B2230" s="12" t="inlineStr">
        <is>
          <t>VS19</t>
        </is>
      </c>
      <c r="C2230" s="28" t="n">
        <v>0.2604</v>
      </c>
      <c r="D2230" s="12" t="inlineStr">
        <is>
          <t>PO-2023-3215</t>
        </is>
      </c>
      <c r="E2230" s="12" t="n">
        <v>1.91</v>
      </c>
      <c r="F2230" s="17" t="n">
        <v>100712.81</v>
      </c>
      <c r="G2230" s="14">
        <f>E2230*F2230</f>
        <v/>
      </c>
      <c r="H2230" s="14">
        <f>C2230*G2230</f>
        <v/>
      </c>
    </row>
    <row r="2231">
      <c r="A2231" s="12" t="inlineStr">
        <is>
          <t>RET-0174</t>
        </is>
      </c>
      <c r="B2231" s="12" t="inlineStr">
        <is>
          <t>VS20</t>
        </is>
      </c>
      <c r="C2231" s="28" t="n">
        <v>0.003</v>
      </c>
      <c r="D2231" s="12" t="inlineStr">
        <is>
          <t>PO-2021-1204</t>
        </is>
      </c>
      <c r="E2231" s="12" t="n">
        <v>1.91</v>
      </c>
      <c r="F2231" s="17" t="n">
        <v>117235.62</v>
      </c>
      <c r="G2231" s="14">
        <f>E2231*F2231</f>
        <v/>
      </c>
      <c r="H2231" s="14">
        <f>C2231*G2231</f>
        <v/>
      </c>
    </row>
    <row r="2232">
      <c r="A2232" s="12" t="inlineStr">
        <is>
          <t>RET-0174</t>
        </is>
      </c>
      <c r="B2232" s="12" t="inlineStr">
        <is>
          <t>VS21</t>
        </is>
      </c>
      <c r="C2232" s="28" t="n">
        <v>0.003</v>
      </c>
      <c r="D2232" s="12" t="inlineStr">
        <is>
          <t>PO-2021-1041</t>
        </is>
      </c>
      <c r="E2232" s="12" t="n">
        <v>1.91</v>
      </c>
      <c r="F2232" s="17" t="n">
        <v>78632.17999999999</v>
      </c>
      <c r="G2232" s="14">
        <f>E2232*F2232</f>
        <v/>
      </c>
      <c r="H2232" s="14">
        <f>C2232*G2232</f>
        <v/>
      </c>
    </row>
    <row r="2233">
      <c r="A2233" s="12" t="inlineStr">
        <is>
          <t>RET-0174</t>
        </is>
      </c>
      <c r="B2233" s="12" t="inlineStr">
        <is>
          <t>VS22</t>
        </is>
      </c>
      <c r="C2233" s="28" t="n">
        <v>0.0018</v>
      </c>
      <c r="D2233" s="12" t="inlineStr">
        <is>
          <t>PO-2021-0614</t>
        </is>
      </c>
      <c r="E2233" s="12" t="n">
        <v>1.91</v>
      </c>
      <c r="F2233" s="17" t="n">
        <v>117332.53</v>
      </c>
      <c r="G2233" s="14">
        <f>E2233*F2233</f>
        <v/>
      </c>
      <c r="H2233" s="14">
        <f>C2233*G2233</f>
        <v/>
      </c>
    </row>
    <row r="2234">
      <c r="A2234" s="12" t="inlineStr">
        <is>
          <t>RET-0174</t>
        </is>
      </c>
      <c r="B2234" s="12" t="inlineStr">
        <is>
          <t>VS23</t>
        </is>
      </c>
      <c r="C2234" s="28" t="n">
        <v>0.003</v>
      </c>
      <c r="D2234" s="12" t="inlineStr">
        <is>
          <t>PO-2022-1799</t>
        </is>
      </c>
      <c r="E2234" s="12" t="n">
        <v>1.91</v>
      </c>
      <c r="F2234" s="17" t="n">
        <v>86902.3</v>
      </c>
      <c r="G2234" s="14">
        <f>E2234*F2234</f>
        <v/>
      </c>
      <c r="H2234" s="14">
        <f>C2234*G2234</f>
        <v/>
      </c>
    </row>
    <row r="2235">
      <c r="A2235" s="12" t="inlineStr">
        <is>
          <t>RET-0174</t>
        </is>
      </c>
      <c r="B2235" s="12" t="inlineStr">
        <is>
          <t>VS24</t>
        </is>
      </c>
      <c r="C2235" s="28" t="n">
        <v>0.003</v>
      </c>
      <c r="D2235" s="12" t="inlineStr">
        <is>
          <t>PO-2021-1023</t>
        </is>
      </c>
      <c r="E2235" s="12" t="n">
        <v>1.91</v>
      </c>
      <c r="F2235" s="17" t="n">
        <v>86909.28</v>
      </c>
      <c r="G2235" s="14">
        <f>E2235*F2235</f>
        <v/>
      </c>
      <c r="H2235" s="14">
        <f>C2235*G2235</f>
        <v/>
      </c>
    </row>
    <row r="2236">
      <c r="A2236" s="12" t="inlineStr">
        <is>
          <t>RET-0174</t>
        </is>
      </c>
      <c r="B2236" s="12" t="inlineStr">
        <is>
          <t>VS25</t>
        </is>
      </c>
      <c r="C2236" s="28" t="n">
        <v>0.0054</v>
      </c>
      <c r="D2236" s="12" t="inlineStr">
        <is>
          <t>PO-2023-4266</t>
        </is>
      </c>
      <c r="E2236" s="12" t="n">
        <v>1.91</v>
      </c>
      <c r="F2236" s="17" t="n">
        <v>77097.77</v>
      </c>
      <c r="G2236" s="14">
        <f>E2236*F2236</f>
        <v/>
      </c>
      <c r="H2236" s="14">
        <f>C2236*G2236</f>
        <v/>
      </c>
    </row>
    <row r="2237">
      <c r="A2237" s="12" t="inlineStr">
        <is>
          <t>RET-0174</t>
        </is>
      </c>
      <c r="B2237" s="12" t="inlineStr">
        <is>
          <t>VS26</t>
        </is>
      </c>
      <c r="C2237" s="28" t="n">
        <v>0.003</v>
      </c>
      <c r="D2237" s="12" t="inlineStr">
        <is>
          <t>PO-2022-3167</t>
        </is>
      </c>
      <c r="E2237" s="12" t="n">
        <v>1.91</v>
      </c>
      <c r="F2237" s="17" t="n">
        <v>67739.75</v>
      </c>
      <c r="G2237" s="14">
        <f>E2237*F2237</f>
        <v/>
      </c>
      <c r="H2237" s="14">
        <f>C2237*G2237</f>
        <v/>
      </c>
    </row>
    <row r="2238">
      <c r="A2238" s="12" t="inlineStr">
        <is>
          <t>RET-0174</t>
        </is>
      </c>
      <c r="B2238" s="12" t="inlineStr">
        <is>
          <t>VS27</t>
        </is>
      </c>
      <c r="C2238" s="28" t="n">
        <v>0.003</v>
      </c>
      <c r="D2238" s="12" t="inlineStr">
        <is>
          <t>PO-2023-3247</t>
        </is>
      </c>
      <c r="E2238" s="12" t="n">
        <v>1.91</v>
      </c>
      <c r="F2238" s="17" t="n">
        <v>92805.17999999999</v>
      </c>
      <c r="G2238" s="14">
        <f>E2238*F2238</f>
        <v/>
      </c>
      <c r="H2238" s="14">
        <f>C2238*G2238</f>
        <v/>
      </c>
    </row>
    <row r="2239">
      <c r="A2239" s="12" t="inlineStr">
        <is>
          <t>RET-0174</t>
        </is>
      </c>
      <c r="B2239" s="12" t="inlineStr">
        <is>
          <t>VS28</t>
        </is>
      </c>
      <c r="C2239" s="28" t="n">
        <v>0.0066</v>
      </c>
      <c r="D2239" s="12" t="inlineStr">
        <is>
          <t>PO-2023-4556</t>
        </is>
      </c>
      <c r="E2239" s="12" t="n">
        <v>1.91</v>
      </c>
      <c r="F2239" s="17" t="n">
        <v>58179.59</v>
      </c>
      <c r="G2239" s="14">
        <f>E2239*F2239</f>
        <v/>
      </c>
      <c r="H2239" s="14">
        <f>C2239*G2239</f>
        <v/>
      </c>
    </row>
    <row r="2240">
      <c r="A2240" s="12" t="inlineStr">
        <is>
          <t>RET-0174</t>
        </is>
      </c>
      <c r="B2240" s="12" t="inlineStr">
        <is>
          <t>VS29</t>
        </is>
      </c>
      <c r="C2240" s="28" t="n">
        <v>0.0042</v>
      </c>
      <c r="D2240" s="12" t="inlineStr">
        <is>
          <t>PO-2023-4310</t>
        </is>
      </c>
      <c r="E2240" s="12" t="n">
        <v>1.91</v>
      </c>
      <c r="F2240" s="17" t="n">
        <v>98460.50999999999</v>
      </c>
      <c r="G2240" s="14">
        <f>E2240*F2240</f>
        <v/>
      </c>
      <c r="H2240" s="14">
        <f>C2240*G2240</f>
        <v/>
      </c>
    </row>
    <row r="2241">
      <c r="A2241" s="12" t="inlineStr">
        <is>
          <t>RET-0174</t>
        </is>
      </c>
      <c r="B2241" s="12" t="inlineStr">
        <is>
          <t>VS30</t>
        </is>
      </c>
      <c r="C2241" s="28" t="n">
        <v>0.0018</v>
      </c>
      <c r="D2241" s="12" t="inlineStr">
        <is>
          <t>PO-2022-2508</t>
        </is>
      </c>
      <c r="E2241" s="12" t="n">
        <v>1.91</v>
      </c>
      <c r="F2241" s="17" t="n">
        <v>79747.45</v>
      </c>
      <c r="G2241" s="14">
        <f>E2241*F2241</f>
        <v/>
      </c>
      <c r="H2241" s="14">
        <f>C2241*G2241</f>
        <v/>
      </c>
    </row>
    <row r="2242">
      <c r="A2242" s="12" t="inlineStr">
        <is>
          <t>RET-0174</t>
        </is>
      </c>
      <c r="B2242" s="12" t="inlineStr">
        <is>
          <t>VS31</t>
        </is>
      </c>
      <c r="C2242" s="28" t="n">
        <v>0.0066</v>
      </c>
      <c r="D2242" s="12" t="inlineStr">
        <is>
          <t>PO-2021-1073</t>
        </is>
      </c>
      <c r="E2242" s="12" t="n">
        <v>1.91</v>
      </c>
      <c r="F2242" s="17" t="n">
        <v>72192.64</v>
      </c>
      <c r="G2242" s="14">
        <f>E2242*F2242</f>
        <v/>
      </c>
      <c r="H2242" s="14">
        <f>C2242*G2242</f>
        <v/>
      </c>
    </row>
    <row r="2243">
      <c r="A2243" s="12" t="inlineStr">
        <is>
          <t>RET-0174</t>
        </is>
      </c>
      <c r="B2243" s="12" t="inlineStr">
        <is>
          <t>VS32</t>
        </is>
      </c>
      <c r="C2243" s="28" t="n">
        <v>0.0078</v>
      </c>
      <c r="D2243" s="12" t="inlineStr">
        <is>
          <t>PO-2023-4513</t>
        </is>
      </c>
      <c r="E2243" s="12" t="n">
        <v>1.91</v>
      </c>
      <c r="F2243" s="17" t="n">
        <v>96245.08</v>
      </c>
      <c r="G2243" s="14">
        <f>E2243*F2243</f>
        <v/>
      </c>
      <c r="H2243" s="14">
        <f>C2243*G2243</f>
        <v/>
      </c>
    </row>
    <row r="2244">
      <c r="A2244" s="12" t="inlineStr">
        <is>
          <t>RET-0174</t>
        </is>
      </c>
      <c r="B2244" s="12" t="inlineStr">
        <is>
          <t>VS33</t>
        </is>
      </c>
      <c r="C2244" s="28" t="n">
        <v>0.0042</v>
      </c>
      <c r="D2244" s="12" t="inlineStr">
        <is>
          <t>PO-2021-0733</t>
        </is>
      </c>
      <c r="E2244" s="12" t="n">
        <v>1.91</v>
      </c>
      <c r="F2244" s="17" t="n">
        <v>96475.39999999999</v>
      </c>
      <c r="G2244" s="14">
        <f>E2244*F2244</f>
        <v/>
      </c>
      <c r="H2244" s="14">
        <f>C2244*G2244</f>
        <v/>
      </c>
    </row>
    <row r="2245">
      <c r="A2245" s="12" t="inlineStr">
        <is>
          <t>RET-0174</t>
        </is>
      </c>
      <c r="B2245" s="12" t="inlineStr">
        <is>
          <t>VS34</t>
        </is>
      </c>
      <c r="C2245" s="28" t="n">
        <v>0.0054</v>
      </c>
      <c r="D2245" s="12" t="inlineStr">
        <is>
          <t>PO-2022-3196</t>
        </is>
      </c>
      <c r="E2245" s="12" t="n">
        <v>1.91</v>
      </c>
      <c r="F2245" s="17" t="n">
        <v>55656.66</v>
      </c>
      <c r="G2245" s="14">
        <f>E2245*F2245</f>
        <v/>
      </c>
      <c r="H2245" s="14">
        <f>C2245*G2245</f>
        <v/>
      </c>
    </row>
    <row r="2246">
      <c r="A2246" s="12" t="inlineStr">
        <is>
          <t>RET-0175</t>
        </is>
      </c>
      <c r="B2246" s="12" t="inlineStr">
        <is>
          <t>VS01</t>
        </is>
      </c>
      <c r="C2246" s="28" t="n">
        <v>0.0118</v>
      </c>
      <c r="D2246" s="12" t="inlineStr">
        <is>
          <t>PO-2023-3417</t>
        </is>
      </c>
      <c r="E2246" s="12" t="n">
        <v>0.28</v>
      </c>
      <c r="F2246" s="17" t="n">
        <v>94380.89999999999</v>
      </c>
      <c r="G2246" s="14">
        <f>E2246*F2246</f>
        <v/>
      </c>
      <c r="H2246" s="14">
        <f>C2246*G2246</f>
        <v/>
      </c>
    </row>
    <row r="2247">
      <c r="A2247" s="12" t="inlineStr">
        <is>
          <t>RET-0175</t>
        </is>
      </c>
      <c r="B2247" s="12" t="inlineStr">
        <is>
          <t>VS02</t>
        </is>
      </c>
      <c r="C2247" s="28" t="n">
        <v>0.0054</v>
      </c>
      <c r="D2247" s="12" t="inlineStr">
        <is>
          <t>PO-2022-3109</t>
        </is>
      </c>
      <c r="E2247" s="12" t="n">
        <v>0.28</v>
      </c>
      <c r="F2247" s="17" t="n">
        <v>107192.52</v>
      </c>
      <c r="G2247" s="14">
        <f>E2247*F2247</f>
        <v/>
      </c>
      <c r="H2247" s="14">
        <f>C2247*G2247</f>
        <v/>
      </c>
    </row>
    <row r="2248">
      <c r="A2248" s="12" t="inlineStr">
        <is>
          <t>RET-0175</t>
        </is>
      </c>
      <c r="B2248" s="12" t="inlineStr">
        <is>
          <t>VS03</t>
        </is>
      </c>
      <c r="C2248" s="28" t="n">
        <v>0.2151</v>
      </c>
      <c r="D2248" s="12" t="inlineStr">
        <is>
          <t>PO-2021-0177</t>
        </is>
      </c>
      <c r="E2248" s="12" t="n">
        <v>0.28</v>
      </c>
      <c r="F2248" s="17" t="n">
        <v>93547.35000000001</v>
      </c>
      <c r="G2248" s="14">
        <f>E2248*F2248</f>
        <v/>
      </c>
      <c r="H2248" s="14">
        <f>C2248*G2248</f>
        <v/>
      </c>
    </row>
    <row r="2249">
      <c r="A2249" s="12" t="inlineStr">
        <is>
          <t>RET-0175</t>
        </is>
      </c>
      <c r="B2249" s="12" t="inlineStr">
        <is>
          <t>VS04</t>
        </is>
      </c>
      <c r="C2249" s="28" t="n">
        <v>0.0074</v>
      </c>
      <c r="D2249" s="12" t="inlineStr">
        <is>
          <t>PO-2023-4579</t>
        </is>
      </c>
      <c r="E2249" s="12" t="n">
        <v>0.28</v>
      </c>
      <c r="F2249" s="17" t="n">
        <v>110347</v>
      </c>
      <c r="G2249" s="14">
        <f>E2249*F2249</f>
        <v/>
      </c>
      <c r="H2249" s="14">
        <f>C2249*G2249</f>
        <v/>
      </c>
    </row>
    <row r="2250">
      <c r="A2250" s="12" t="inlineStr">
        <is>
          <t>RET-0175</t>
        </is>
      </c>
      <c r="B2250" s="12" t="inlineStr">
        <is>
          <t>VS05</t>
        </is>
      </c>
      <c r="C2250" s="28" t="n">
        <v>0.009599999999999999</v>
      </c>
      <c r="D2250" s="12" t="inlineStr">
        <is>
          <t>PO-2022-2000</t>
        </is>
      </c>
      <c r="E2250" s="12" t="n">
        <v>0.28</v>
      </c>
      <c r="F2250" s="17" t="n">
        <v>59097.79</v>
      </c>
      <c r="G2250" s="14">
        <f>E2250*F2250</f>
        <v/>
      </c>
      <c r="H2250" s="14">
        <f>C2250*G2250</f>
        <v/>
      </c>
    </row>
    <row r="2251">
      <c r="A2251" s="12" t="inlineStr">
        <is>
          <t>RET-0175</t>
        </is>
      </c>
      <c r="B2251" s="12" t="inlineStr">
        <is>
          <t>VS06</t>
        </is>
      </c>
      <c r="C2251" s="28" t="n">
        <v>0.0097</v>
      </c>
      <c r="D2251" s="12" t="inlineStr">
        <is>
          <t>PO-2021-0038</t>
        </is>
      </c>
      <c r="E2251" s="12" t="n">
        <v>0.28</v>
      </c>
      <c r="F2251" s="17" t="n">
        <v>61848.05</v>
      </c>
      <c r="G2251" s="14">
        <f>E2251*F2251</f>
        <v/>
      </c>
      <c r="H2251" s="14">
        <f>C2251*G2251</f>
        <v/>
      </c>
    </row>
    <row r="2252">
      <c r="A2252" s="12" t="inlineStr">
        <is>
          <t>RET-0175</t>
        </is>
      </c>
      <c r="B2252" s="12" t="inlineStr">
        <is>
          <t>VS07</t>
        </is>
      </c>
      <c r="C2252" s="28" t="n">
        <v>0.0032</v>
      </c>
      <c r="D2252" s="12" t="inlineStr">
        <is>
          <t>PO-2022-2027</t>
        </is>
      </c>
      <c r="E2252" s="12" t="n">
        <v>0.28</v>
      </c>
      <c r="F2252" s="17" t="n">
        <v>98175.64</v>
      </c>
      <c r="G2252" s="14">
        <f>E2252*F2252</f>
        <v/>
      </c>
      <c r="H2252" s="14">
        <f>C2252*G2252</f>
        <v/>
      </c>
    </row>
    <row r="2253">
      <c r="A2253" s="12" t="inlineStr">
        <is>
          <t>RET-0175</t>
        </is>
      </c>
      <c r="B2253" s="12" t="inlineStr">
        <is>
          <t>VS08</t>
        </is>
      </c>
      <c r="C2253" s="28" t="n">
        <v>0.0098</v>
      </c>
      <c r="D2253" s="12" t="inlineStr">
        <is>
          <t>PO-2023-3464</t>
        </is>
      </c>
      <c r="E2253" s="12" t="n">
        <v>0.28</v>
      </c>
      <c r="F2253" s="17" t="n">
        <v>48169.69</v>
      </c>
      <c r="G2253" s="14">
        <f>E2253*F2253</f>
        <v/>
      </c>
      <c r="H2253" s="14">
        <f>C2253*G2253</f>
        <v/>
      </c>
    </row>
    <row r="2254">
      <c r="A2254" s="12" t="inlineStr">
        <is>
          <t>RET-0175</t>
        </is>
      </c>
      <c r="B2254" s="12" t="inlineStr">
        <is>
          <t>VS09</t>
        </is>
      </c>
      <c r="C2254" s="28" t="n">
        <v>0.0075</v>
      </c>
      <c r="D2254" s="12" t="inlineStr">
        <is>
          <t>PO-2021-0665</t>
        </is>
      </c>
      <c r="E2254" s="12" t="n">
        <v>0.28</v>
      </c>
      <c r="F2254" s="17" t="n">
        <v>91463.67999999999</v>
      </c>
      <c r="G2254" s="14">
        <f>E2254*F2254</f>
        <v/>
      </c>
      <c r="H2254" s="14">
        <f>C2254*G2254</f>
        <v/>
      </c>
    </row>
    <row r="2255">
      <c r="A2255" s="12" t="inlineStr">
        <is>
          <t>RET-0175</t>
        </is>
      </c>
      <c r="B2255" s="12" t="inlineStr">
        <is>
          <t>VS10</t>
        </is>
      </c>
      <c r="C2255" s="28" t="n">
        <v>0.0118</v>
      </c>
      <c r="D2255" s="12" t="inlineStr">
        <is>
          <t>PO-2021-0283</t>
        </is>
      </c>
      <c r="E2255" s="12" t="n">
        <v>0.28</v>
      </c>
      <c r="F2255" s="17" t="n">
        <v>116115.39</v>
      </c>
      <c r="G2255" s="14">
        <f>E2255*F2255</f>
        <v/>
      </c>
      <c r="H2255" s="14">
        <f>C2255*G2255</f>
        <v/>
      </c>
    </row>
    <row r="2256">
      <c r="A2256" s="12" t="inlineStr">
        <is>
          <t>RET-0175</t>
        </is>
      </c>
      <c r="B2256" s="12" t="inlineStr">
        <is>
          <t>VS11</t>
        </is>
      </c>
      <c r="C2256" s="28" t="n">
        <v>0.0139</v>
      </c>
      <c r="D2256" s="12" t="inlineStr">
        <is>
          <t>PO-2022-3137</t>
        </is>
      </c>
      <c r="E2256" s="12" t="n">
        <v>0.28</v>
      </c>
      <c r="F2256" s="17" t="n">
        <v>86304.81</v>
      </c>
      <c r="G2256" s="14">
        <f>E2256*F2256</f>
        <v/>
      </c>
      <c r="H2256" s="14">
        <f>C2256*G2256</f>
        <v/>
      </c>
    </row>
    <row r="2257">
      <c r="A2257" s="12" t="inlineStr">
        <is>
          <t>RET-0175</t>
        </is>
      </c>
      <c r="B2257" s="12" t="inlineStr">
        <is>
          <t>VS12</t>
        </is>
      </c>
      <c r="C2257" s="28" t="n">
        <v>0.2989</v>
      </c>
      <c r="D2257" s="12" t="inlineStr">
        <is>
          <t>PO-2022-2964</t>
        </is>
      </c>
      <c r="E2257" s="12" t="n">
        <v>0.28</v>
      </c>
      <c r="F2257" s="17" t="n">
        <v>66651.98</v>
      </c>
      <c r="G2257" s="14">
        <f>E2257*F2257</f>
        <v/>
      </c>
      <c r="H2257" s="14">
        <f>C2257*G2257</f>
        <v/>
      </c>
    </row>
    <row r="2258">
      <c r="A2258" s="12" t="inlineStr">
        <is>
          <t>RET-0175</t>
        </is>
      </c>
      <c r="B2258" s="12" t="inlineStr">
        <is>
          <t>VS13</t>
        </is>
      </c>
      <c r="C2258" s="28" t="n">
        <v>0.0095</v>
      </c>
      <c r="D2258" s="12" t="inlineStr">
        <is>
          <t>PO-2022-2617</t>
        </is>
      </c>
      <c r="E2258" s="12" t="n">
        <v>0.28</v>
      </c>
      <c r="F2258" s="17" t="n">
        <v>116185.73</v>
      </c>
      <c r="G2258" s="14">
        <f>E2258*F2258</f>
        <v/>
      </c>
      <c r="H2258" s="14">
        <f>C2258*G2258</f>
        <v/>
      </c>
    </row>
    <row r="2259">
      <c r="A2259" s="12" t="inlineStr">
        <is>
          <t>RET-0175</t>
        </is>
      </c>
      <c r="B2259" s="12" t="inlineStr">
        <is>
          <t>VS14</t>
        </is>
      </c>
      <c r="C2259" s="28" t="n">
        <v>0.009599999999999999</v>
      </c>
      <c r="D2259" s="12" t="inlineStr">
        <is>
          <t>PO-2023-4113</t>
        </is>
      </c>
      <c r="E2259" s="12" t="n">
        <v>0.28</v>
      </c>
      <c r="F2259" s="17" t="n">
        <v>59433.23</v>
      </c>
      <c r="G2259" s="14">
        <f>E2259*F2259</f>
        <v/>
      </c>
      <c r="H2259" s="14">
        <f>C2259*G2259</f>
        <v/>
      </c>
    </row>
    <row r="2260">
      <c r="A2260" s="12" t="inlineStr">
        <is>
          <t>RET-0175</t>
        </is>
      </c>
      <c r="B2260" s="12" t="inlineStr">
        <is>
          <t>VS15</t>
        </is>
      </c>
      <c r="C2260" s="28" t="n">
        <v>0.0032</v>
      </c>
      <c r="D2260" s="12" t="inlineStr">
        <is>
          <t>PO-2021-1356</t>
        </is>
      </c>
      <c r="E2260" s="12" t="n">
        <v>0.28</v>
      </c>
      <c r="F2260" s="17" t="n">
        <v>60740.63</v>
      </c>
      <c r="G2260" s="14">
        <f>E2260*F2260</f>
        <v/>
      </c>
      <c r="H2260" s="14">
        <f>C2260*G2260</f>
        <v/>
      </c>
    </row>
    <row r="2261">
      <c r="A2261" s="12" t="inlineStr">
        <is>
          <t>RET-0175</t>
        </is>
      </c>
      <c r="B2261" s="12" t="inlineStr">
        <is>
          <t>VS16</t>
        </is>
      </c>
      <c r="C2261" s="28" t="n">
        <v>0.0139</v>
      </c>
      <c r="D2261" s="12" t="inlineStr">
        <is>
          <t>PO-2023-4315</t>
        </is>
      </c>
      <c r="E2261" s="12" t="n">
        <v>0.28</v>
      </c>
      <c r="F2261" s="17" t="n">
        <v>89495.03</v>
      </c>
      <c r="G2261" s="14">
        <f>E2261*F2261</f>
        <v/>
      </c>
      <c r="H2261" s="14">
        <f>C2261*G2261</f>
        <v/>
      </c>
    </row>
    <row r="2262">
      <c r="A2262" s="12" t="inlineStr">
        <is>
          <t>RET-0175</t>
        </is>
      </c>
      <c r="B2262" s="12" t="inlineStr">
        <is>
          <t>VS17</t>
        </is>
      </c>
      <c r="C2262" s="28" t="n">
        <v>0.0138</v>
      </c>
      <c r="D2262" s="12" t="inlineStr">
        <is>
          <t>PO-2023-3321</t>
        </is>
      </c>
      <c r="E2262" s="12" t="n">
        <v>0.28</v>
      </c>
      <c r="F2262" s="17" t="n">
        <v>79080.25999999999</v>
      </c>
      <c r="G2262" s="14">
        <f>E2262*F2262</f>
        <v/>
      </c>
      <c r="H2262" s="14">
        <f>C2262*G2262</f>
        <v/>
      </c>
    </row>
    <row r="2263">
      <c r="A2263" s="12" t="inlineStr">
        <is>
          <t>RET-0175</t>
        </is>
      </c>
      <c r="B2263" s="12" t="inlineStr">
        <is>
          <t>VS18</t>
        </is>
      </c>
      <c r="C2263" s="28" t="n">
        <v>0.009599999999999999</v>
      </c>
      <c r="D2263" s="12" t="inlineStr">
        <is>
          <t>PO-2021-1454</t>
        </is>
      </c>
      <c r="E2263" s="12" t="n">
        <v>0.28</v>
      </c>
      <c r="F2263" s="17" t="n">
        <v>94944.95</v>
      </c>
      <c r="G2263" s="14">
        <f>E2263*F2263</f>
        <v/>
      </c>
      <c r="H2263" s="14">
        <f>C2263*G2263</f>
        <v/>
      </c>
    </row>
    <row r="2264">
      <c r="A2264" s="12" t="inlineStr">
        <is>
          <t>RET-0175</t>
        </is>
      </c>
      <c r="B2264" s="12" t="inlineStr">
        <is>
          <t>VS19</t>
        </is>
      </c>
      <c r="C2264" s="28" t="n">
        <v>0.2255</v>
      </c>
      <c r="D2264" s="12" t="inlineStr">
        <is>
          <t>PO-2023-3475</t>
        </is>
      </c>
      <c r="E2264" s="12" t="n">
        <v>0.28</v>
      </c>
      <c r="F2264" s="17" t="n">
        <v>99749.73</v>
      </c>
      <c r="G2264" s="14">
        <f>E2264*F2264</f>
        <v/>
      </c>
      <c r="H2264" s="14">
        <f>C2264*G2264</f>
        <v/>
      </c>
    </row>
    <row r="2265">
      <c r="A2265" s="12" t="inlineStr">
        <is>
          <t>RET-0175</t>
        </is>
      </c>
      <c r="B2265" s="12" t="inlineStr">
        <is>
          <t>VS20</t>
        </is>
      </c>
      <c r="C2265" s="28" t="n">
        <v>0.0054</v>
      </c>
      <c r="D2265" s="12" t="inlineStr">
        <is>
          <t>PO-2021-0289</t>
        </is>
      </c>
      <c r="E2265" s="12" t="n">
        <v>0.28</v>
      </c>
      <c r="F2265" s="17" t="n">
        <v>118669.52</v>
      </c>
      <c r="G2265" s="14">
        <f>E2265*F2265</f>
        <v/>
      </c>
      <c r="H2265" s="14">
        <f>C2265*G2265</f>
        <v/>
      </c>
    </row>
    <row r="2266">
      <c r="A2266" s="12" t="inlineStr">
        <is>
          <t>RET-0175</t>
        </is>
      </c>
      <c r="B2266" s="12" t="inlineStr">
        <is>
          <t>VS21</t>
        </is>
      </c>
      <c r="C2266" s="28" t="n">
        <v>0.0054</v>
      </c>
      <c r="D2266" s="12" t="inlineStr">
        <is>
          <t>PO-2022-2550</t>
        </is>
      </c>
      <c r="E2266" s="12" t="n">
        <v>0.28</v>
      </c>
      <c r="F2266" s="17" t="n">
        <v>77650.11</v>
      </c>
      <c r="G2266" s="14">
        <f>E2266*F2266</f>
        <v/>
      </c>
      <c r="H2266" s="14">
        <f>C2266*G2266</f>
        <v/>
      </c>
    </row>
    <row r="2267">
      <c r="A2267" s="12" t="inlineStr">
        <is>
          <t>RET-0175</t>
        </is>
      </c>
      <c r="B2267" s="12" t="inlineStr">
        <is>
          <t>VS22</t>
        </is>
      </c>
      <c r="C2267" s="28" t="n">
        <v>0.0032</v>
      </c>
      <c r="D2267" s="12" t="inlineStr">
        <is>
          <t>PO-2023-4497</t>
        </is>
      </c>
      <c r="E2267" s="12" t="n">
        <v>0.28</v>
      </c>
      <c r="F2267" s="17" t="n">
        <v>48276.08</v>
      </c>
      <c r="G2267" s="14">
        <f>E2267*F2267</f>
        <v/>
      </c>
      <c r="H2267" s="14">
        <f>C2267*G2267</f>
        <v/>
      </c>
    </row>
    <row r="2268">
      <c r="A2268" s="12" t="inlineStr">
        <is>
          <t>RET-0175</t>
        </is>
      </c>
      <c r="B2268" s="12" t="inlineStr">
        <is>
          <t>VS23</t>
        </is>
      </c>
      <c r="C2268" s="28" t="n">
        <v>0.0053</v>
      </c>
      <c r="D2268" s="12" t="inlineStr">
        <is>
          <t>PO-2021-0933</t>
        </is>
      </c>
      <c r="E2268" s="12" t="n">
        <v>0.28</v>
      </c>
      <c r="F2268" s="17" t="n">
        <v>90342.99000000001</v>
      </c>
      <c r="G2268" s="14">
        <f>E2268*F2268</f>
        <v/>
      </c>
      <c r="H2268" s="14">
        <f>C2268*G2268</f>
        <v/>
      </c>
    </row>
    <row r="2269">
      <c r="A2269" s="12" t="inlineStr">
        <is>
          <t>RET-0175</t>
        </is>
      </c>
      <c r="B2269" s="12" t="inlineStr">
        <is>
          <t>VS24</t>
        </is>
      </c>
      <c r="C2269" s="28" t="n">
        <v>0.0054</v>
      </c>
      <c r="D2269" s="12" t="inlineStr">
        <is>
          <t>PO-2023-3874</t>
        </is>
      </c>
      <c r="E2269" s="12" t="n">
        <v>0.28</v>
      </c>
      <c r="F2269" s="17" t="n">
        <v>53772.99</v>
      </c>
      <c r="G2269" s="14">
        <f>E2269*F2269</f>
        <v/>
      </c>
      <c r="H2269" s="14">
        <f>C2269*G2269</f>
        <v/>
      </c>
    </row>
    <row r="2270">
      <c r="A2270" s="12" t="inlineStr">
        <is>
          <t>RET-0175</t>
        </is>
      </c>
      <c r="B2270" s="12" t="inlineStr">
        <is>
          <t>VS25</t>
        </is>
      </c>
      <c r="C2270" s="28" t="n">
        <v>0.0097</v>
      </c>
      <c r="D2270" s="12" t="inlineStr">
        <is>
          <t>PO-2021-0631</t>
        </is>
      </c>
      <c r="E2270" s="12" t="n">
        <v>0.28</v>
      </c>
      <c r="F2270" s="17" t="n">
        <v>104762.52</v>
      </c>
      <c r="G2270" s="14">
        <f>E2270*F2270</f>
        <v/>
      </c>
      <c r="H2270" s="14">
        <f>C2270*G2270</f>
        <v/>
      </c>
    </row>
    <row r="2271">
      <c r="A2271" s="12" t="inlineStr">
        <is>
          <t>RET-0175</t>
        </is>
      </c>
      <c r="B2271" s="12" t="inlineStr">
        <is>
          <t>VS26</t>
        </is>
      </c>
      <c r="C2271" s="28" t="n">
        <v>0.0054</v>
      </c>
      <c r="D2271" s="12" t="inlineStr">
        <is>
          <t>PO-2023-3233</t>
        </is>
      </c>
      <c r="E2271" s="12" t="n">
        <v>0.28</v>
      </c>
      <c r="F2271" s="17" t="n">
        <v>99007.13</v>
      </c>
      <c r="G2271" s="14">
        <f>E2271*F2271</f>
        <v/>
      </c>
      <c r="H2271" s="14">
        <f>C2271*G2271</f>
        <v/>
      </c>
    </row>
    <row r="2272">
      <c r="A2272" s="12" t="inlineStr">
        <is>
          <t>RET-0175</t>
        </is>
      </c>
      <c r="B2272" s="12" t="inlineStr">
        <is>
          <t>VS27</t>
        </is>
      </c>
      <c r="C2272" s="28" t="n">
        <v>0.0053</v>
      </c>
      <c r="D2272" s="12" t="inlineStr">
        <is>
          <t>PO-2023-3398</t>
        </is>
      </c>
      <c r="E2272" s="12" t="n">
        <v>0.28</v>
      </c>
      <c r="F2272" s="17" t="n">
        <v>114409.08</v>
      </c>
      <c r="G2272" s="14">
        <f>E2272*F2272</f>
        <v/>
      </c>
      <c r="H2272" s="14">
        <f>C2272*G2272</f>
        <v/>
      </c>
    </row>
    <row r="2273">
      <c r="A2273" s="12" t="inlineStr">
        <is>
          <t>RET-0175</t>
        </is>
      </c>
      <c r="B2273" s="12" t="inlineStr">
        <is>
          <t>VS28</t>
        </is>
      </c>
      <c r="C2273" s="28" t="n">
        <v>0.0118</v>
      </c>
      <c r="D2273" s="12" t="inlineStr">
        <is>
          <t>PO-2021-1457</t>
        </is>
      </c>
      <c r="E2273" s="12" t="n">
        <v>0.28</v>
      </c>
      <c r="F2273" s="17" t="n">
        <v>53676.75</v>
      </c>
      <c r="G2273" s="14">
        <f>E2273*F2273</f>
        <v/>
      </c>
      <c r="H2273" s="14">
        <f>C2273*G2273</f>
        <v/>
      </c>
    </row>
    <row r="2274">
      <c r="A2274" s="12" t="inlineStr">
        <is>
          <t>RET-0175</t>
        </is>
      </c>
      <c r="B2274" s="12" t="inlineStr">
        <is>
          <t>VS29</t>
        </is>
      </c>
      <c r="C2274" s="28" t="n">
        <v>0.0075</v>
      </c>
      <c r="D2274" s="12" t="inlineStr">
        <is>
          <t>PO-2021-1447</t>
        </is>
      </c>
      <c r="E2274" s="12" t="n">
        <v>0.28</v>
      </c>
      <c r="F2274" s="17" t="n">
        <v>75012.39</v>
      </c>
      <c r="G2274" s="14">
        <f>E2274*F2274</f>
        <v/>
      </c>
      <c r="H2274" s="14">
        <f>C2274*G2274</f>
        <v/>
      </c>
    </row>
    <row r="2275">
      <c r="A2275" s="12" t="inlineStr">
        <is>
          <t>RET-0175</t>
        </is>
      </c>
      <c r="B2275" s="12" t="inlineStr">
        <is>
          <t>VS30</t>
        </is>
      </c>
      <c r="C2275" s="28" t="n">
        <v>0.0032</v>
      </c>
      <c r="D2275" s="12" t="inlineStr">
        <is>
          <t>PO-2022-2498</t>
        </is>
      </c>
      <c r="E2275" s="12" t="n">
        <v>0.28</v>
      </c>
      <c r="F2275" s="17" t="n">
        <v>98265.69</v>
      </c>
      <c r="G2275" s="14">
        <f>E2275*F2275</f>
        <v/>
      </c>
      <c r="H2275" s="14">
        <f>C2275*G2275</f>
        <v/>
      </c>
    </row>
    <row r="2276">
      <c r="A2276" s="12" t="inlineStr">
        <is>
          <t>RET-0175</t>
        </is>
      </c>
      <c r="B2276" s="12" t="inlineStr">
        <is>
          <t>VS31</t>
        </is>
      </c>
      <c r="C2276" s="28" t="n">
        <v>0.0118</v>
      </c>
      <c r="D2276" s="12" t="inlineStr">
        <is>
          <t>PO-2022-1985</t>
        </is>
      </c>
      <c r="E2276" s="12" t="n">
        <v>0.28</v>
      </c>
      <c r="F2276" s="17" t="n">
        <v>72991.11</v>
      </c>
      <c r="G2276" s="14">
        <f>E2276*F2276</f>
        <v/>
      </c>
      <c r="H2276" s="14">
        <f>C2276*G2276</f>
        <v/>
      </c>
    </row>
    <row r="2277">
      <c r="A2277" s="12" t="inlineStr">
        <is>
          <t>RET-0175</t>
        </is>
      </c>
      <c r="B2277" s="12" t="inlineStr">
        <is>
          <t>VS32</t>
        </is>
      </c>
      <c r="C2277" s="28" t="n">
        <v>0.014</v>
      </c>
      <c r="D2277" s="12" t="inlineStr">
        <is>
          <t>PO-2022-2633</t>
        </is>
      </c>
      <c r="E2277" s="12" t="n">
        <v>0.28</v>
      </c>
      <c r="F2277" s="17" t="n">
        <v>87182.64999999999</v>
      </c>
      <c r="G2277" s="14">
        <f>E2277*F2277</f>
        <v/>
      </c>
      <c r="H2277" s="14">
        <f>C2277*G2277</f>
        <v/>
      </c>
    </row>
    <row r="2278">
      <c r="A2278" s="12" t="inlineStr">
        <is>
          <t>RET-0175</t>
        </is>
      </c>
      <c r="B2278" s="12" t="inlineStr">
        <is>
          <t>VS33</t>
        </is>
      </c>
      <c r="C2278" s="28" t="n">
        <v>0.0075</v>
      </c>
      <c r="D2278" s="12" t="inlineStr">
        <is>
          <t>PO-2023-3494</t>
        </is>
      </c>
      <c r="E2278" s="12" t="n">
        <v>0.28</v>
      </c>
      <c r="F2278" s="17" t="n">
        <v>61083.68</v>
      </c>
      <c r="G2278" s="14">
        <f>E2278*F2278</f>
        <v/>
      </c>
      <c r="H2278" s="14">
        <f>C2278*G2278</f>
        <v/>
      </c>
    </row>
    <row r="2279">
      <c r="A2279" s="12" t="inlineStr">
        <is>
          <t>RET-0175</t>
        </is>
      </c>
      <c r="B2279" s="12" t="inlineStr">
        <is>
          <t>VS34</t>
        </is>
      </c>
      <c r="C2279" s="28" t="n">
        <v>0.0097</v>
      </c>
      <c r="D2279" s="12" t="inlineStr">
        <is>
          <t>PO-2023-4335</t>
        </is>
      </c>
      <c r="E2279" s="12" t="n">
        <v>0.28</v>
      </c>
      <c r="F2279" s="17" t="n">
        <v>103423.4</v>
      </c>
      <c r="G2279" s="14">
        <f>E2279*F2279</f>
        <v/>
      </c>
      <c r="H2279" s="14">
        <f>C2279*G2279</f>
        <v/>
      </c>
    </row>
    <row r="2280">
      <c r="A2280" s="12" t="inlineStr">
        <is>
          <t>RET-0180</t>
        </is>
      </c>
      <c r="B2280" s="12" t="inlineStr">
        <is>
          <t>VS01</t>
        </is>
      </c>
      <c r="C2280" s="28" t="n">
        <v>0.0103</v>
      </c>
      <c r="D2280" s="12" t="inlineStr">
        <is>
          <t>PO-2023-3362</t>
        </is>
      </c>
      <c r="E2280" s="12" t="n">
        <v>3.28</v>
      </c>
      <c r="F2280" s="17" t="n">
        <v>57137.91</v>
      </c>
      <c r="G2280" s="14">
        <f>E2280*F2280</f>
        <v/>
      </c>
      <c r="H2280" s="14">
        <f>C2280*G2280</f>
        <v/>
      </c>
    </row>
    <row r="2281">
      <c r="A2281" s="12" t="inlineStr">
        <is>
          <t>RET-0180</t>
        </is>
      </c>
      <c r="B2281" s="12" t="inlineStr">
        <is>
          <t>VS02</t>
        </is>
      </c>
      <c r="C2281" s="28" t="n">
        <v>0.0047</v>
      </c>
      <c r="D2281" s="12" t="inlineStr">
        <is>
          <t>PO-2021-0226</t>
        </is>
      </c>
      <c r="E2281" s="12" t="n">
        <v>3.28</v>
      </c>
      <c r="F2281" s="17" t="n">
        <v>70860.19</v>
      </c>
      <c r="G2281" s="14">
        <f>E2281*F2281</f>
        <v/>
      </c>
      <c r="H2281" s="14">
        <f>C2281*G2281</f>
        <v/>
      </c>
    </row>
    <row r="2282">
      <c r="A2282" s="12" t="inlineStr">
        <is>
          <t>RET-0180</t>
        </is>
      </c>
      <c r="B2282" s="12" t="inlineStr">
        <is>
          <t>VS03</t>
        </is>
      </c>
      <c r="C2282" s="28" t="n">
        <v>0.2252</v>
      </c>
      <c r="D2282" s="12" t="inlineStr">
        <is>
          <t>PO-2023-3671</t>
        </is>
      </c>
      <c r="E2282" s="12" t="n">
        <v>3.28</v>
      </c>
      <c r="F2282" s="17" t="n">
        <v>54878.1</v>
      </c>
      <c r="G2282" s="14">
        <f>E2282*F2282</f>
        <v/>
      </c>
      <c r="H2282" s="14">
        <f>C2282*G2282</f>
        <v/>
      </c>
    </row>
    <row r="2283">
      <c r="A2283" s="12" t="inlineStr">
        <is>
          <t>RET-0180</t>
        </is>
      </c>
      <c r="B2283" s="12" t="inlineStr">
        <is>
          <t>VS04</t>
        </is>
      </c>
      <c r="C2283" s="28" t="n">
        <v>0.0064</v>
      </c>
      <c r="D2283" s="12" t="inlineStr">
        <is>
          <t>PO-2022-1611</t>
        </is>
      </c>
      <c r="E2283" s="12" t="n">
        <v>3.28</v>
      </c>
      <c r="F2283" s="17" t="n">
        <v>59604.79</v>
      </c>
      <c r="G2283" s="14">
        <f>E2283*F2283</f>
        <v/>
      </c>
      <c r="H2283" s="14">
        <f>C2283*G2283</f>
        <v/>
      </c>
    </row>
    <row r="2284">
      <c r="A2284" s="12" t="inlineStr">
        <is>
          <t>RET-0180</t>
        </is>
      </c>
      <c r="B2284" s="12" t="inlineStr">
        <is>
          <t>VS05</t>
        </is>
      </c>
      <c r="C2284" s="28" t="n">
        <v>0.008399999999999999</v>
      </c>
      <c r="D2284" s="12" t="inlineStr">
        <is>
          <t>PO-2021-1350</t>
        </is>
      </c>
      <c r="E2284" s="12" t="n">
        <v>3.28</v>
      </c>
      <c r="F2284" s="17" t="n">
        <v>67088.84</v>
      </c>
      <c r="G2284" s="14">
        <f>E2284*F2284</f>
        <v/>
      </c>
      <c r="H2284" s="14">
        <f>C2284*G2284</f>
        <v/>
      </c>
    </row>
    <row r="2285">
      <c r="A2285" s="12" t="inlineStr">
        <is>
          <t>RET-0180</t>
        </is>
      </c>
      <c r="B2285" s="12" t="inlineStr">
        <is>
          <t>VS06</t>
        </is>
      </c>
      <c r="C2285" s="28" t="n">
        <v>0.008399999999999999</v>
      </c>
      <c r="D2285" s="12" t="inlineStr">
        <is>
          <t>PO-2022-2004</t>
        </is>
      </c>
      <c r="E2285" s="12" t="n">
        <v>3.28</v>
      </c>
      <c r="F2285" s="17" t="n">
        <v>52605.38</v>
      </c>
      <c r="G2285" s="14">
        <f>E2285*F2285</f>
        <v/>
      </c>
      <c r="H2285" s="14">
        <f>C2285*G2285</f>
        <v/>
      </c>
    </row>
    <row r="2286">
      <c r="A2286" s="12" t="inlineStr">
        <is>
          <t>RET-0180</t>
        </is>
      </c>
      <c r="B2286" s="12" t="inlineStr">
        <is>
          <t>VS07</t>
        </is>
      </c>
      <c r="C2286" s="28" t="n">
        <v>0.0028</v>
      </c>
      <c r="D2286" s="12" t="inlineStr">
        <is>
          <t>PO-2022-2694</t>
        </is>
      </c>
      <c r="E2286" s="12" t="n">
        <v>3.28</v>
      </c>
      <c r="F2286" s="17" t="n">
        <v>97305.46000000001</v>
      </c>
      <c r="G2286" s="14">
        <f>E2286*F2286</f>
        <v/>
      </c>
      <c r="H2286" s="14">
        <f>C2286*G2286</f>
        <v/>
      </c>
    </row>
    <row r="2287">
      <c r="A2287" s="12" t="inlineStr">
        <is>
          <t>RET-0180</t>
        </is>
      </c>
      <c r="B2287" s="12" t="inlineStr">
        <is>
          <t>VS08</t>
        </is>
      </c>
      <c r="C2287" s="28" t="n">
        <v>0.008500000000000001</v>
      </c>
      <c r="D2287" s="12" t="inlineStr">
        <is>
          <t>PO-2023-4234</t>
        </is>
      </c>
      <c r="E2287" s="12" t="n">
        <v>3.28</v>
      </c>
      <c r="F2287" s="17" t="n">
        <v>89275.52</v>
      </c>
      <c r="G2287" s="14">
        <f>E2287*F2287</f>
        <v/>
      </c>
      <c r="H2287" s="14">
        <f>C2287*G2287</f>
        <v/>
      </c>
    </row>
    <row r="2288">
      <c r="A2288" s="12" t="inlineStr">
        <is>
          <t>RET-0180</t>
        </is>
      </c>
      <c r="B2288" s="12" t="inlineStr">
        <is>
          <t>VS09</t>
        </is>
      </c>
      <c r="C2288" s="28" t="n">
        <v>0.0065</v>
      </c>
      <c r="D2288" s="12" t="inlineStr">
        <is>
          <t>PO-2023-4236</t>
        </is>
      </c>
      <c r="E2288" s="12" t="n">
        <v>3.28</v>
      </c>
      <c r="F2288" s="17" t="n">
        <v>117838.24</v>
      </c>
      <c r="G2288" s="14">
        <f>E2288*F2288</f>
        <v/>
      </c>
      <c r="H2288" s="14">
        <f>C2288*G2288</f>
        <v/>
      </c>
    </row>
    <row r="2289">
      <c r="A2289" s="12" t="inlineStr">
        <is>
          <t>RET-0180</t>
        </is>
      </c>
      <c r="B2289" s="12" t="inlineStr">
        <is>
          <t>VS10</t>
        </is>
      </c>
      <c r="C2289" s="28" t="n">
        <v>0.0102</v>
      </c>
      <c r="D2289" s="12" t="inlineStr">
        <is>
          <t>PO-2023-3318</t>
        </is>
      </c>
      <c r="E2289" s="12" t="n">
        <v>3.28</v>
      </c>
      <c r="F2289" s="17" t="n">
        <v>117871.83</v>
      </c>
      <c r="G2289" s="14">
        <f>E2289*F2289</f>
        <v/>
      </c>
      <c r="H2289" s="14">
        <f>C2289*G2289</f>
        <v/>
      </c>
    </row>
    <row r="2290">
      <c r="A2290" s="12" t="inlineStr">
        <is>
          <t>RET-0180</t>
        </is>
      </c>
      <c r="B2290" s="12" t="inlineStr">
        <is>
          <t>VS11</t>
        </is>
      </c>
      <c r="C2290" s="28" t="n">
        <v>0.012</v>
      </c>
      <c r="D2290" s="12" t="inlineStr">
        <is>
          <t>PO-2021-0455</t>
        </is>
      </c>
      <c r="E2290" s="12" t="n">
        <v>3.28</v>
      </c>
      <c r="F2290" s="17" t="n">
        <v>103584.3</v>
      </c>
      <c r="G2290" s="14">
        <f>E2290*F2290</f>
        <v/>
      </c>
      <c r="H2290" s="14">
        <f>C2290*G2290</f>
        <v/>
      </c>
    </row>
    <row r="2291">
      <c r="A2291" s="12" t="inlineStr">
        <is>
          <t>RET-0180</t>
        </is>
      </c>
      <c r="B2291" s="12" t="inlineStr">
        <is>
          <t>VS12</t>
        </is>
      </c>
      <c r="C2291" s="28" t="n">
        <v>0.313</v>
      </c>
      <c r="D2291" s="12" t="inlineStr">
        <is>
          <t>PO-2023-4772</t>
        </is>
      </c>
      <c r="E2291" s="12" t="n">
        <v>3.28</v>
      </c>
      <c r="F2291" s="17" t="n">
        <v>71528</v>
      </c>
      <c r="G2291" s="14">
        <f>E2291*F2291</f>
        <v/>
      </c>
      <c r="H2291" s="14">
        <f>C2291*G2291</f>
        <v/>
      </c>
    </row>
    <row r="2292">
      <c r="A2292" s="12" t="inlineStr">
        <is>
          <t>RET-0180</t>
        </is>
      </c>
      <c r="B2292" s="12" t="inlineStr">
        <is>
          <t>VS13</t>
        </is>
      </c>
      <c r="C2292" s="28" t="n">
        <v>0.0083</v>
      </c>
      <c r="D2292" s="12" t="inlineStr">
        <is>
          <t>PO-2023-4799</t>
        </is>
      </c>
      <c r="E2292" s="12" t="n">
        <v>3.28</v>
      </c>
      <c r="F2292" s="17" t="n">
        <v>101700.4</v>
      </c>
      <c r="G2292" s="14">
        <f>E2292*F2292</f>
        <v/>
      </c>
      <c r="H2292" s="14">
        <f>C2292*G2292</f>
        <v/>
      </c>
    </row>
    <row r="2293">
      <c r="A2293" s="12" t="inlineStr">
        <is>
          <t>RET-0180</t>
        </is>
      </c>
      <c r="B2293" s="12" t="inlineStr">
        <is>
          <t>VS14</t>
        </is>
      </c>
      <c r="C2293" s="28" t="n">
        <v>0.0083</v>
      </c>
      <c r="D2293" s="12" t="inlineStr">
        <is>
          <t>PO-2023-3470</t>
        </is>
      </c>
      <c r="E2293" s="12" t="n">
        <v>3.28</v>
      </c>
      <c r="F2293" s="17" t="n">
        <v>91401.14999999999</v>
      </c>
      <c r="G2293" s="14">
        <f>E2293*F2293</f>
        <v/>
      </c>
      <c r="H2293" s="14">
        <f>C2293*G2293</f>
        <v/>
      </c>
    </row>
    <row r="2294">
      <c r="A2294" s="12" t="inlineStr">
        <is>
          <t>RET-0180</t>
        </is>
      </c>
      <c r="B2294" s="12" t="inlineStr">
        <is>
          <t>VS15</t>
        </is>
      </c>
      <c r="C2294" s="28" t="n">
        <v>0.0028</v>
      </c>
      <c r="D2294" s="12" t="inlineStr">
        <is>
          <t>PO-2021-1247</t>
        </is>
      </c>
      <c r="E2294" s="12" t="n">
        <v>3.28</v>
      </c>
      <c r="F2294" s="17" t="n">
        <v>95019.17999999999</v>
      </c>
      <c r="G2294" s="14">
        <f>E2294*F2294</f>
        <v/>
      </c>
      <c r="H2294" s="14">
        <f>C2294*G2294</f>
        <v/>
      </c>
    </row>
    <row r="2295">
      <c r="A2295" s="12" t="inlineStr">
        <is>
          <t>RET-0180</t>
        </is>
      </c>
      <c r="B2295" s="12" t="inlineStr">
        <is>
          <t>VS16</t>
        </is>
      </c>
      <c r="C2295" s="28" t="n">
        <v>0.012</v>
      </c>
      <c r="D2295" s="12" t="inlineStr">
        <is>
          <t>PO-2023-4197</t>
        </is>
      </c>
      <c r="E2295" s="12" t="n">
        <v>3.28</v>
      </c>
      <c r="F2295" s="17" t="n">
        <v>106953.2</v>
      </c>
      <c r="G2295" s="14">
        <f>E2295*F2295</f>
        <v/>
      </c>
      <c r="H2295" s="14">
        <f>C2295*G2295</f>
        <v/>
      </c>
    </row>
    <row r="2296">
      <c r="A2296" s="12" t="inlineStr">
        <is>
          <t>RET-0180</t>
        </is>
      </c>
      <c r="B2296" s="12" t="inlineStr">
        <is>
          <t>VS17</t>
        </is>
      </c>
      <c r="C2296" s="28" t="n">
        <v>0.012</v>
      </c>
      <c r="D2296" s="12" t="inlineStr">
        <is>
          <t>PO-2023-4313</t>
        </is>
      </c>
      <c r="E2296" s="12" t="n">
        <v>3.28</v>
      </c>
      <c r="F2296" s="17" t="n">
        <v>50023.04</v>
      </c>
      <c r="G2296" s="14">
        <f>E2296*F2296</f>
        <v/>
      </c>
      <c r="H2296" s="14">
        <f>C2296*G2296</f>
        <v/>
      </c>
    </row>
    <row r="2297">
      <c r="A2297" s="12" t="inlineStr">
        <is>
          <t>RET-0180</t>
        </is>
      </c>
      <c r="B2297" s="12" t="inlineStr">
        <is>
          <t>VS18</t>
        </is>
      </c>
      <c r="C2297" s="28" t="n">
        <v>0.0083</v>
      </c>
      <c r="D2297" s="12" t="inlineStr">
        <is>
          <t>PO-2023-3529</t>
        </is>
      </c>
      <c r="E2297" s="12" t="n">
        <v>3.28</v>
      </c>
      <c r="F2297" s="17" t="n">
        <v>71931.77</v>
      </c>
      <c r="G2297" s="14">
        <f>E2297*F2297</f>
        <v/>
      </c>
      <c r="H2297" s="14">
        <f>C2297*G2297</f>
        <v/>
      </c>
    </row>
    <row r="2298">
      <c r="A2298" s="12" t="inlineStr">
        <is>
          <t>RET-0180</t>
        </is>
      </c>
      <c r="B2298" s="12" t="inlineStr">
        <is>
          <t>VS19</t>
        </is>
      </c>
      <c r="C2298" s="28" t="n">
        <v>0.2361</v>
      </c>
      <c r="D2298" s="12" t="inlineStr">
        <is>
          <t>PO-2022-2097</t>
        </is>
      </c>
      <c r="E2298" s="12" t="n">
        <v>0</v>
      </c>
      <c r="F2298" s="17" t="n">
        <v>80144.87</v>
      </c>
      <c r="G2298" s="14">
        <f>E2298*F2298</f>
        <v/>
      </c>
      <c r="H2298" s="14">
        <f>C2298*G2298</f>
        <v/>
      </c>
    </row>
    <row r="2299">
      <c r="A2299" s="12" t="inlineStr">
        <is>
          <t>RET-0180</t>
        </is>
      </c>
      <c r="B2299" s="12" t="inlineStr">
        <is>
          <t>VS20</t>
        </is>
      </c>
      <c r="C2299" s="28" t="n">
        <v>0.0047</v>
      </c>
      <c r="D2299" s="12" t="inlineStr">
        <is>
          <t>PO-2021-0076</t>
        </is>
      </c>
      <c r="E2299" s="12" t="n">
        <v>3.28</v>
      </c>
      <c r="F2299" s="17" t="n">
        <v>84819.14</v>
      </c>
      <c r="G2299" s="14">
        <f>E2299*F2299</f>
        <v/>
      </c>
      <c r="H2299" s="14">
        <f>C2299*G2299</f>
        <v/>
      </c>
    </row>
    <row r="2300">
      <c r="A2300" s="12" t="inlineStr">
        <is>
          <t>RET-0180</t>
        </is>
      </c>
      <c r="B2300" s="12" t="inlineStr">
        <is>
          <t>VS21</t>
        </is>
      </c>
      <c r="C2300" s="28" t="n">
        <v>0.0047</v>
      </c>
      <c r="D2300" s="12" t="inlineStr">
        <is>
          <t>PO-2021-0822</t>
        </is>
      </c>
      <c r="E2300" s="12" t="n">
        <v>3.28</v>
      </c>
      <c r="F2300" s="17" t="n">
        <v>46815.51</v>
      </c>
      <c r="G2300" s="14">
        <f>E2300*F2300</f>
        <v/>
      </c>
      <c r="H2300" s="14">
        <f>C2300*G2300</f>
        <v/>
      </c>
    </row>
    <row r="2301">
      <c r="A2301" s="12" t="inlineStr">
        <is>
          <t>RET-0180</t>
        </is>
      </c>
      <c r="B2301" s="12" t="inlineStr">
        <is>
          <t>VS22</t>
        </is>
      </c>
      <c r="C2301" s="28" t="n">
        <v>0.0028</v>
      </c>
      <c r="D2301" s="12" t="inlineStr">
        <is>
          <t>PO-2023-3715</t>
        </is>
      </c>
      <c r="E2301" s="12" t="n">
        <v>1.49</v>
      </c>
      <c r="F2301" s="17" t="n">
        <v>52056.54</v>
      </c>
      <c r="G2301" s="14">
        <f>E2301*F2301</f>
        <v/>
      </c>
      <c r="H2301" s="14">
        <f>C2301*G2301</f>
        <v/>
      </c>
    </row>
    <row r="2302">
      <c r="A2302" s="12" t="inlineStr">
        <is>
          <t>RET-0180</t>
        </is>
      </c>
      <c r="B2302" s="12" t="inlineStr">
        <is>
          <t>VS23</t>
        </is>
      </c>
      <c r="C2302" s="28" t="n">
        <v>0.0046</v>
      </c>
      <c r="D2302" s="12" t="inlineStr">
        <is>
          <t>PO-2021-1597</t>
        </is>
      </c>
      <c r="E2302" s="12" t="n">
        <v>3.28</v>
      </c>
      <c r="F2302" s="17" t="n">
        <v>110007.94</v>
      </c>
      <c r="G2302" s="14">
        <f>E2302*F2302</f>
        <v/>
      </c>
      <c r="H2302" s="14">
        <f>C2302*G2302</f>
        <v/>
      </c>
    </row>
    <row r="2303">
      <c r="A2303" s="12" t="inlineStr">
        <is>
          <t>RET-0180</t>
        </is>
      </c>
      <c r="B2303" s="12" t="inlineStr">
        <is>
          <t>VS24</t>
        </is>
      </c>
      <c r="C2303" s="28" t="n">
        <v>0.0046</v>
      </c>
      <c r="D2303" s="12" t="inlineStr">
        <is>
          <t>PO-2023-4182</t>
        </is>
      </c>
      <c r="E2303" s="12" t="n">
        <v>3.28</v>
      </c>
      <c r="F2303" s="17" t="n">
        <v>67218.28</v>
      </c>
      <c r="G2303" s="14">
        <f>E2303*F2303</f>
        <v/>
      </c>
      <c r="H2303" s="14">
        <f>C2303*G2303</f>
        <v/>
      </c>
    </row>
    <row r="2304">
      <c r="A2304" s="12" t="inlineStr">
        <is>
          <t>RET-0180</t>
        </is>
      </c>
      <c r="B2304" s="12" t="inlineStr">
        <is>
          <t>VS25</t>
        </is>
      </c>
      <c r="C2304" s="28" t="n">
        <v>0.008399999999999999</v>
      </c>
      <c r="D2304" s="12" t="inlineStr">
        <is>
          <t>PO-2021-1284</t>
        </is>
      </c>
      <c r="E2304" s="12" t="n">
        <v>3.28</v>
      </c>
      <c r="F2304" s="17" t="n">
        <v>60956.56</v>
      </c>
      <c r="G2304" s="14">
        <f>E2304*F2304</f>
        <v/>
      </c>
      <c r="H2304" s="14">
        <f>C2304*G2304</f>
        <v/>
      </c>
    </row>
    <row r="2305">
      <c r="A2305" s="12" t="inlineStr">
        <is>
          <t>RET-0180</t>
        </is>
      </c>
      <c r="B2305" s="12" t="inlineStr">
        <is>
          <t>VS26</t>
        </is>
      </c>
      <c r="C2305" s="28" t="n">
        <v>0.0047</v>
      </c>
      <c r="D2305" s="12" t="inlineStr">
        <is>
          <t>PO-2021-1525</t>
        </is>
      </c>
      <c r="E2305" s="12" t="n">
        <v>1.42</v>
      </c>
      <c r="F2305" s="17" t="n">
        <v>77310.28999999999</v>
      </c>
      <c r="G2305" s="14">
        <f>E2305*F2305</f>
        <v/>
      </c>
      <c r="H2305" s="14">
        <f>C2305*G2305</f>
        <v/>
      </c>
    </row>
    <row r="2306">
      <c r="A2306" s="12" t="inlineStr">
        <is>
          <t>RET-0180</t>
        </is>
      </c>
      <c r="B2306" s="12" t="inlineStr">
        <is>
          <t>VS27</t>
        </is>
      </c>
      <c r="C2306" s="28" t="n">
        <v>0.0046</v>
      </c>
      <c r="D2306" s="12" t="inlineStr">
        <is>
          <t>PO-2022-2443</t>
        </is>
      </c>
      <c r="E2306" s="12" t="n">
        <v>3.28</v>
      </c>
      <c r="F2306" s="17" t="n">
        <v>107098.17</v>
      </c>
      <c r="G2306" s="14">
        <f>E2306*F2306</f>
        <v/>
      </c>
      <c r="H2306" s="14">
        <f>C2306*G2306</f>
        <v/>
      </c>
    </row>
    <row r="2307">
      <c r="A2307" s="12" t="inlineStr">
        <is>
          <t>RET-0180</t>
        </is>
      </c>
      <c r="B2307" s="12" t="inlineStr">
        <is>
          <t>VS28</t>
        </is>
      </c>
      <c r="C2307" s="28" t="n">
        <v>0.0102</v>
      </c>
      <c r="D2307" s="12" t="inlineStr">
        <is>
          <t>PO-2022-2893</t>
        </is>
      </c>
      <c r="E2307" s="12" t="n">
        <v>3.28</v>
      </c>
      <c r="F2307" s="17" t="n">
        <v>85472.95</v>
      </c>
      <c r="G2307" s="14">
        <f>E2307*F2307</f>
        <v/>
      </c>
      <c r="H2307" s="14">
        <f>C2307*G2307</f>
        <v/>
      </c>
    </row>
    <row r="2308">
      <c r="A2308" s="12" t="inlineStr">
        <is>
          <t>RET-0180</t>
        </is>
      </c>
      <c r="B2308" s="12" t="inlineStr">
        <is>
          <t>VS29</t>
        </is>
      </c>
      <c r="C2308" s="28" t="n">
        <v>0.0065</v>
      </c>
      <c r="D2308" s="12" t="inlineStr">
        <is>
          <t>PO-2021-0391</t>
        </is>
      </c>
      <c r="E2308" s="12" t="n">
        <v>3.28</v>
      </c>
      <c r="F2308" s="17" t="n">
        <v>102925.67</v>
      </c>
      <c r="G2308" s="14">
        <f>E2308*F2308</f>
        <v/>
      </c>
      <c r="H2308" s="14">
        <f>C2308*G2308</f>
        <v/>
      </c>
    </row>
    <row r="2309">
      <c r="A2309" s="12" t="inlineStr">
        <is>
          <t>RET-0180</t>
        </is>
      </c>
      <c r="B2309" s="12" t="inlineStr">
        <is>
          <t>VS30</t>
        </is>
      </c>
      <c r="C2309" s="28" t="n">
        <v>0.0028</v>
      </c>
      <c r="D2309" s="12" t="inlineStr">
        <is>
          <t>PO-2021-0466</t>
        </is>
      </c>
      <c r="E2309" s="12" t="n">
        <v>3.28</v>
      </c>
      <c r="F2309" s="17" t="n">
        <v>82002.05</v>
      </c>
      <c r="G2309" s="14">
        <f>E2309*F2309</f>
        <v/>
      </c>
      <c r="H2309" s="14">
        <f>C2309*G2309</f>
        <v/>
      </c>
    </row>
    <row r="2310">
      <c r="A2310" s="12" t="inlineStr">
        <is>
          <t>RET-0180</t>
        </is>
      </c>
      <c r="B2310" s="12" t="inlineStr">
        <is>
          <t>VS31</t>
        </is>
      </c>
      <c r="C2310" s="28" t="n">
        <v>0.0102</v>
      </c>
      <c r="D2310" s="12" t="inlineStr">
        <is>
          <t>PO-2021-0677</t>
        </is>
      </c>
      <c r="E2310" s="12" t="n">
        <v>2.98</v>
      </c>
      <c r="F2310" s="17" t="n">
        <v>102110.43</v>
      </c>
      <c r="G2310" s="14">
        <f>E2310*F2310</f>
        <v/>
      </c>
      <c r="H2310" s="14">
        <f>C2310*G2310</f>
        <v/>
      </c>
    </row>
    <row r="2311">
      <c r="A2311" s="12" t="inlineStr">
        <is>
          <t>RET-0180</t>
        </is>
      </c>
      <c r="B2311" s="12" t="inlineStr">
        <is>
          <t>VS32</t>
        </is>
      </c>
      <c r="C2311" s="28" t="n">
        <v>0.0121</v>
      </c>
      <c r="D2311" s="12" t="inlineStr">
        <is>
          <t>PO-2022-2460</t>
        </is>
      </c>
      <c r="E2311" s="12" t="n">
        <v>3.28</v>
      </c>
      <c r="F2311" s="17" t="n">
        <v>81325.75</v>
      </c>
      <c r="G2311" s="14">
        <f>E2311*F2311</f>
        <v/>
      </c>
      <c r="H2311" s="14">
        <f>C2311*G2311</f>
        <v/>
      </c>
    </row>
    <row r="2312">
      <c r="A2312" s="12" t="inlineStr">
        <is>
          <t>RET-0180</t>
        </is>
      </c>
      <c r="B2312" s="12" t="inlineStr">
        <is>
          <t>VS33</t>
        </is>
      </c>
      <c r="C2312" s="28" t="n">
        <v>0.0065</v>
      </c>
      <c r="D2312" s="12" t="inlineStr">
        <is>
          <t>PO-2023-3880</t>
        </is>
      </c>
      <c r="E2312" s="12" t="n">
        <v>3.28</v>
      </c>
      <c r="F2312" s="17" t="n">
        <v>85799.11</v>
      </c>
      <c r="G2312" s="14">
        <f>E2312*F2312</f>
        <v/>
      </c>
      <c r="H2312" s="14">
        <f>C2312*G2312</f>
        <v/>
      </c>
    </row>
    <row r="2313">
      <c r="A2313" s="12" t="inlineStr">
        <is>
          <t>RET-0180</t>
        </is>
      </c>
      <c r="B2313" s="12" t="inlineStr">
        <is>
          <t>VS34</t>
        </is>
      </c>
      <c r="C2313" s="28" t="n">
        <v>0.008399999999999999</v>
      </c>
      <c r="D2313" s="12" t="inlineStr">
        <is>
          <t>PO-2023-4559</t>
        </is>
      </c>
      <c r="E2313" s="12" t="n">
        <v>3.28</v>
      </c>
      <c r="F2313" s="17" t="n">
        <v>110935.35</v>
      </c>
      <c r="G2313" s="14">
        <f>E2313*F2313</f>
        <v/>
      </c>
      <c r="H2313" s="14">
        <f>C2313*G2313</f>
        <v/>
      </c>
    </row>
    <row r="2314">
      <c r="A2314" s="12" t="inlineStr">
        <is>
          <t>RET-0182</t>
        </is>
      </c>
      <c r="B2314" s="12" t="inlineStr">
        <is>
          <t>VS01</t>
        </is>
      </c>
      <c r="C2314" s="28" t="n">
        <v>0.0283</v>
      </c>
      <c r="D2314" s="12" t="inlineStr">
        <is>
          <t>PO-2023-4188</t>
        </is>
      </c>
      <c r="E2314" s="12" t="n">
        <v>3.85</v>
      </c>
      <c r="F2314" s="17" t="n">
        <v>118534.91</v>
      </c>
      <c r="G2314" s="14">
        <f>E2314*F2314</f>
        <v/>
      </c>
      <c r="H2314" s="14">
        <f>C2314*G2314</f>
        <v/>
      </c>
    </row>
    <row r="2315">
      <c r="A2315" s="12" t="inlineStr">
        <is>
          <t>RET-0182</t>
        </is>
      </c>
      <c r="B2315" s="12" t="inlineStr">
        <is>
          <t>VS02</t>
        </is>
      </c>
      <c r="C2315" s="28" t="n">
        <v>0.0129</v>
      </c>
      <c r="D2315" s="12" t="inlineStr">
        <is>
          <t>PO-2022-3195</t>
        </is>
      </c>
      <c r="E2315" s="12" t="n">
        <v>3.85</v>
      </c>
      <c r="F2315" s="17" t="n">
        <v>96469.38</v>
      </c>
      <c r="G2315" s="14">
        <f>E2315*F2315</f>
        <v/>
      </c>
      <c r="H2315" s="14">
        <f>C2315*G2315</f>
        <v/>
      </c>
    </row>
    <row r="2316">
      <c r="A2316" s="12" t="inlineStr">
        <is>
          <t>RET-0182</t>
        </is>
      </c>
      <c r="B2316" s="12" t="inlineStr">
        <is>
          <t>VS03</t>
        </is>
      </c>
      <c r="C2316" s="28" t="n">
        <v>0.1097</v>
      </c>
      <c r="D2316" s="12" t="inlineStr">
        <is>
          <t>PO-2022-2664</t>
        </is>
      </c>
      <c r="E2316" s="12" t="n">
        <v>3.85</v>
      </c>
      <c r="F2316" s="17" t="n">
        <v>107273.73</v>
      </c>
      <c r="G2316" s="14">
        <f>E2316*F2316</f>
        <v/>
      </c>
      <c r="H2316" s="14">
        <f>C2316*G2316</f>
        <v/>
      </c>
    </row>
    <row r="2317">
      <c r="A2317" s="12" t="inlineStr">
        <is>
          <t>RET-0182</t>
        </is>
      </c>
      <c r="B2317" s="12" t="inlineStr">
        <is>
          <t>VS04</t>
        </is>
      </c>
      <c r="C2317" s="28" t="n">
        <v>0.0178</v>
      </c>
      <c r="D2317" s="12" t="inlineStr">
        <is>
          <t>PO-2022-2468</t>
        </is>
      </c>
      <c r="E2317" s="12" t="n">
        <v>3.85</v>
      </c>
      <c r="F2317" s="17" t="n">
        <v>118262.72</v>
      </c>
      <c r="G2317" s="14">
        <f>E2317*F2317</f>
        <v/>
      </c>
      <c r="H2317" s="14">
        <f>C2317*G2317</f>
        <v/>
      </c>
    </row>
    <row r="2318">
      <c r="A2318" s="12" t="inlineStr">
        <is>
          <t>RET-0182</t>
        </is>
      </c>
      <c r="B2318" s="12" t="inlineStr">
        <is>
          <t>VS05</t>
        </is>
      </c>
      <c r="C2318" s="28" t="n">
        <v>0.0231</v>
      </c>
      <c r="D2318" s="12" t="inlineStr">
        <is>
          <t>PO-2021-0930</t>
        </is>
      </c>
      <c r="E2318" s="12" t="n">
        <v>3.85</v>
      </c>
      <c r="F2318" s="17" t="n">
        <v>111366.65</v>
      </c>
      <c r="G2318" s="14">
        <f>E2318*F2318</f>
        <v/>
      </c>
      <c r="H2318" s="14">
        <f>C2318*G2318</f>
        <v/>
      </c>
    </row>
    <row r="2319">
      <c r="A2319" s="12" t="inlineStr">
        <is>
          <t>RET-0182</t>
        </is>
      </c>
      <c r="B2319" s="12" t="inlineStr">
        <is>
          <t>VS06</t>
        </is>
      </c>
      <c r="C2319" s="28" t="n">
        <v>0.0233</v>
      </c>
      <c r="D2319" s="12" t="inlineStr">
        <is>
          <t>PO-2022-2538</t>
        </is>
      </c>
      <c r="E2319" s="12" t="n">
        <v>3.85</v>
      </c>
      <c r="F2319" s="17" t="n">
        <v>77140.7</v>
      </c>
      <c r="G2319" s="14">
        <f>E2319*F2319</f>
        <v/>
      </c>
      <c r="H2319" s="14">
        <f>C2319*G2319</f>
        <v/>
      </c>
    </row>
    <row r="2320">
      <c r="A2320" s="12" t="inlineStr">
        <is>
          <t>RET-0182</t>
        </is>
      </c>
      <c r="B2320" s="12" t="inlineStr">
        <is>
          <t>VS07</t>
        </is>
      </c>
      <c r="C2320" s="28" t="n">
        <v>0.0078</v>
      </c>
      <c r="D2320" s="12" t="inlineStr">
        <is>
          <t>PO-2021-1318</t>
        </is>
      </c>
      <c r="E2320" s="12" t="n">
        <v>3.85</v>
      </c>
      <c r="F2320" s="17" t="n">
        <v>50065.84</v>
      </c>
      <c r="G2320" s="14">
        <f>E2320*F2320</f>
        <v/>
      </c>
      <c r="H2320" s="14">
        <f>C2320*G2320</f>
        <v/>
      </c>
    </row>
    <row r="2321">
      <c r="A2321" s="12" t="inlineStr">
        <is>
          <t>RET-0182</t>
        </is>
      </c>
      <c r="B2321" s="12" t="inlineStr">
        <is>
          <t>VS08</t>
        </is>
      </c>
      <c r="C2321" s="28" t="n">
        <v>0.0234</v>
      </c>
      <c r="D2321" s="12" t="inlineStr">
        <is>
          <t>PO-2023-4457</t>
        </is>
      </c>
      <c r="E2321" s="12" t="n">
        <v>3.85</v>
      </c>
      <c r="F2321" s="17" t="n">
        <v>87366</v>
      </c>
      <c r="G2321" s="14">
        <f>E2321*F2321</f>
        <v/>
      </c>
      <c r="H2321" s="14">
        <f>C2321*G2321</f>
        <v/>
      </c>
    </row>
    <row r="2322">
      <c r="A2322" s="12" t="inlineStr">
        <is>
          <t>RET-0182</t>
        </is>
      </c>
      <c r="B2322" s="12" t="inlineStr">
        <is>
          <t>VS09</t>
        </is>
      </c>
      <c r="C2322" s="28" t="n">
        <v>0.018</v>
      </c>
      <c r="D2322" s="12" t="inlineStr">
        <is>
          <t>PO-2022-3136</t>
        </is>
      </c>
      <c r="E2322" s="12" t="n">
        <v>3.85</v>
      </c>
      <c r="F2322" s="17" t="n">
        <v>53590.08</v>
      </c>
      <c r="G2322" s="14">
        <f>E2322*F2322</f>
        <v/>
      </c>
      <c r="H2322" s="14">
        <f>C2322*G2322</f>
        <v/>
      </c>
    </row>
    <row r="2323">
      <c r="A2323" s="12" t="inlineStr">
        <is>
          <t>RET-0182</t>
        </is>
      </c>
      <c r="B2323" s="12" t="inlineStr">
        <is>
          <t>VS10</t>
        </is>
      </c>
      <c r="C2323" s="28" t="n">
        <v>0.0283</v>
      </c>
      <c r="D2323" s="12" t="inlineStr">
        <is>
          <t>PO-2022-2010</t>
        </is>
      </c>
      <c r="E2323" s="12" t="n">
        <v>3.85</v>
      </c>
      <c r="F2323" s="17" t="n">
        <v>115063.28</v>
      </c>
      <c r="G2323" s="14">
        <f>E2323*F2323</f>
        <v/>
      </c>
      <c r="H2323" s="14">
        <f>C2323*G2323</f>
        <v/>
      </c>
    </row>
    <row r="2324">
      <c r="A2324" s="12" t="inlineStr">
        <is>
          <t>RET-0182</t>
        </is>
      </c>
      <c r="B2324" s="12" t="inlineStr">
        <is>
          <t>VS11</t>
        </is>
      </c>
      <c r="C2324" s="28" t="n">
        <v>0.0331</v>
      </c>
      <c r="D2324" s="12" t="inlineStr">
        <is>
          <t>PO-2021-0090</t>
        </is>
      </c>
      <c r="E2324" s="12" t="n">
        <v>3.85</v>
      </c>
      <c r="F2324" s="17" t="n">
        <v>96702.84</v>
      </c>
      <c r="G2324" s="14">
        <f>E2324*F2324</f>
        <v/>
      </c>
      <c r="H2324" s="14">
        <f>C2324*G2324</f>
        <v/>
      </c>
    </row>
    <row r="2325">
      <c r="A2325" s="12" t="inlineStr">
        <is>
          <t>RET-0182</t>
        </is>
      </c>
      <c r="B2325" s="12" t="inlineStr">
        <is>
          <t>VS12</t>
        </is>
      </c>
      <c r="C2325" s="28" t="n">
        <v>0.1525</v>
      </c>
      <c r="D2325" s="12" t="inlineStr">
        <is>
          <t>PO-2021-1268</t>
        </is>
      </c>
      <c r="E2325" s="12" t="n">
        <v>3.85</v>
      </c>
      <c r="F2325" s="17" t="n">
        <v>62852.79</v>
      </c>
      <c r="G2325" s="14">
        <f>E2325*F2325</f>
        <v/>
      </c>
      <c r="H2325" s="14">
        <f>C2325*G2325</f>
        <v/>
      </c>
    </row>
    <row r="2326">
      <c r="A2326" s="12" t="inlineStr">
        <is>
          <t>RET-0182</t>
        </is>
      </c>
      <c r="B2326" s="12" t="inlineStr">
        <is>
          <t>VS13</t>
        </is>
      </c>
      <c r="C2326" s="28" t="n">
        <v>0.0228</v>
      </c>
      <c r="D2326" s="12" t="inlineStr">
        <is>
          <t>PO-2022-2411</t>
        </is>
      </c>
      <c r="E2326" s="12" t="n">
        <v>1.78</v>
      </c>
      <c r="F2326" s="17" t="n">
        <v>67183.81</v>
      </c>
      <c r="G2326" s="14">
        <f>E2326*F2326</f>
        <v/>
      </c>
      <c r="H2326" s="14">
        <f>C2326*G2326</f>
        <v/>
      </c>
    </row>
    <row r="2327">
      <c r="A2327" s="12" t="inlineStr">
        <is>
          <t>RET-0182</t>
        </is>
      </c>
      <c r="B2327" s="12" t="inlineStr">
        <is>
          <t>VS14</t>
        </is>
      </c>
      <c r="C2327" s="28" t="n">
        <v>0.023</v>
      </c>
      <c r="D2327" s="12" t="inlineStr">
        <is>
          <t>PO-2022-1683</t>
        </is>
      </c>
      <c r="E2327" s="12" t="n">
        <v>3.85</v>
      </c>
      <c r="F2327" s="17" t="n">
        <v>61482.08</v>
      </c>
      <c r="G2327" s="14">
        <f>E2327*F2327</f>
        <v/>
      </c>
      <c r="H2327" s="14">
        <f>C2327*G2327</f>
        <v/>
      </c>
    </row>
    <row r="2328">
      <c r="A2328" s="12" t="inlineStr">
        <is>
          <t>RET-0182</t>
        </is>
      </c>
      <c r="B2328" s="12" t="inlineStr">
        <is>
          <t>VS15</t>
        </is>
      </c>
      <c r="C2328" s="28" t="n">
        <v>0.0077</v>
      </c>
      <c r="D2328" s="12" t="inlineStr">
        <is>
          <t>PO-2021-0971</t>
        </is>
      </c>
      <c r="E2328" s="12" t="n">
        <v>3.85</v>
      </c>
      <c r="F2328" s="17" t="n">
        <v>96694.60000000001</v>
      </c>
      <c r="G2328" s="14">
        <f>E2328*F2328</f>
        <v/>
      </c>
      <c r="H2328" s="14">
        <f>C2328*G2328</f>
        <v/>
      </c>
    </row>
    <row r="2329">
      <c r="A2329" s="12" t="inlineStr">
        <is>
          <t>RET-0182</t>
        </is>
      </c>
      <c r="B2329" s="12" t="inlineStr">
        <is>
          <t>VS16</t>
        </is>
      </c>
      <c r="C2329" s="28" t="n">
        <v>0.0332</v>
      </c>
      <c r="D2329" s="12" t="inlineStr">
        <is>
          <t>PO-2023-3905</t>
        </is>
      </c>
      <c r="E2329" s="12" t="n">
        <v>3.85</v>
      </c>
      <c r="F2329" s="17" t="n">
        <v>55144.17</v>
      </c>
      <c r="G2329" s="14">
        <f>E2329*F2329</f>
        <v/>
      </c>
      <c r="H2329" s="14">
        <f>C2329*G2329</f>
        <v/>
      </c>
    </row>
    <row r="2330">
      <c r="A2330" s="12" t="inlineStr">
        <is>
          <t>RET-0182</t>
        </is>
      </c>
      <c r="B2330" s="12" t="inlineStr">
        <is>
          <t>VS17</t>
        </is>
      </c>
      <c r="C2330" s="28" t="n">
        <v>0.0331</v>
      </c>
      <c r="D2330" s="12" t="inlineStr">
        <is>
          <t>PO-2022-2618</t>
        </is>
      </c>
      <c r="E2330" s="12" t="n">
        <v>3.85</v>
      </c>
      <c r="F2330" s="17" t="n">
        <v>56895.38</v>
      </c>
      <c r="G2330" s="14">
        <f>E2330*F2330</f>
        <v/>
      </c>
      <c r="H2330" s="14">
        <f>C2330*G2330</f>
        <v/>
      </c>
    </row>
    <row r="2331">
      <c r="A2331" s="12" t="inlineStr">
        <is>
          <t>RET-0182</t>
        </is>
      </c>
      <c r="B2331" s="12" t="inlineStr">
        <is>
          <t>VS18</t>
        </is>
      </c>
      <c r="C2331" s="28" t="n">
        <v>0.023</v>
      </c>
      <c r="D2331" s="12" t="inlineStr">
        <is>
          <t>PO-2022-2924</t>
        </is>
      </c>
      <c r="E2331" s="12" t="n">
        <v>3.85</v>
      </c>
      <c r="F2331" s="17" t="n">
        <v>95078.23</v>
      </c>
      <c r="G2331" s="14">
        <f>E2331*F2331</f>
        <v/>
      </c>
      <c r="H2331" s="14">
        <f>C2331*G2331</f>
        <v/>
      </c>
    </row>
    <row r="2332">
      <c r="A2332" s="12" t="inlineStr">
        <is>
          <t>RET-0182</t>
        </is>
      </c>
      <c r="B2332" s="12" t="inlineStr">
        <is>
          <t>VS19</t>
        </is>
      </c>
      <c r="C2332" s="28" t="n">
        <v>0.115</v>
      </c>
      <c r="D2332" s="12" t="inlineStr">
        <is>
          <t>PO-2021-0551</t>
        </is>
      </c>
      <c r="E2332" s="12" t="n">
        <v>3.85</v>
      </c>
      <c r="F2332" s="17" t="n">
        <v>59506.78</v>
      </c>
      <c r="G2332" s="14">
        <f>E2332*F2332</f>
        <v/>
      </c>
      <c r="H2332" s="14">
        <f>C2332*G2332</f>
        <v/>
      </c>
    </row>
    <row r="2333">
      <c r="A2333" s="12" t="inlineStr">
        <is>
          <t>RET-0182</t>
        </is>
      </c>
      <c r="B2333" s="12" t="inlineStr">
        <is>
          <t>VS20</t>
        </is>
      </c>
      <c r="C2333" s="28" t="n">
        <v>0.0129</v>
      </c>
      <c r="D2333" s="12" t="inlineStr">
        <is>
          <t>PO-2023-4165</t>
        </is>
      </c>
      <c r="E2333" s="12" t="n">
        <v>3.85</v>
      </c>
      <c r="F2333" s="17" t="n">
        <v>67759.13</v>
      </c>
      <c r="G2333" s="14">
        <f>E2333*F2333</f>
        <v/>
      </c>
      <c r="H2333" s="14">
        <f>C2333*G2333</f>
        <v/>
      </c>
    </row>
    <row r="2334">
      <c r="A2334" s="12" t="inlineStr">
        <is>
          <t>RET-0182</t>
        </is>
      </c>
      <c r="B2334" s="12" t="inlineStr">
        <is>
          <t>VS21</t>
        </is>
      </c>
      <c r="C2334" s="28" t="n">
        <v>0.0128</v>
      </c>
      <c r="D2334" s="12" t="inlineStr">
        <is>
          <t>PO-2021-0424</t>
        </is>
      </c>
      <c r="E2334" s="12" t="n">
        <v>3.85</v>
      </c>
      <c r="F2334" s="17" t="n">
        <v>108537.55</v>
      </c>
      <c r="G2334" s="14">
        <f>E2334*F2334</f>
        <v/>
      </c>
      <c r="H2334" s="14">
        <f>C2334*G2334</f>
        <v/>
      </c>
    </row>
    <row r="2335">
      <c r="A2335" s="12" t="inlineStr">
        <is>
          <t>RET-0182</t>
        </is>
      </c>
      <c r="B2335" s="12" t="inlineStr">
        <is>
          <t>VS22</t>
        </is>
      </c>
      <c r="C2335" s="28" t="n">
        <v>0.0076</v>
      </c>
      <c r="D2335" s="12" t="inlineStr">
        <is>
          <t>PO-2021-1317</t>
        </is>
      </c>
      <c r="E2335" s="12" t="n">
        <v>3.85</v>
      </c>
      <c r="F2335" s="17" t="n">
        <v>69614.53</v>
      </c>
      <c r="G2335" s="14">
        <f>E2335*F2335</f>
        <v/>
      </c>
      <c r="H2335" s="14">
        <f>C2335*G2335</f>
        <v/>
      </c>
    </row>
    <row r="2336">
      <c r="A2336" s="12" t="inlineStr">
        <is>
          <t>RET-0182</t>
        </is>
      </c>
      <c r="B2336" s="12" t="inlineStr">
        <is>
          <t>VS23</t>
        </is>
      </c>
      <c r="C2336" s="28" t="n">
        <v>0.0126</v>
      </c>
      <c r="D2336" s="12" t="inlineStr">
        <is>
          <t>PO-2023-3251</t>
        </is>
      </c>
      <c r="E2336" s="12" t="n">
        <v>3.85</v>
      </c>
      <c r="F2336" s="17" t="n">
        <v>81471.75</v>
      </c>
      <c r="G2336" s="14">
        <f>E2336*F2336</f>
        <v/>
      </c>
      <c r="H2336" s="14">
        <f>C2336*G2336</f>
        <v/>
      </c>
    </row>
    <row r="2337">
      <c r="A2337" s="12" t="inlineStr">
        <is>
          <t>RET-0182</t>
        </is>
      </c>
      <c r="B2337" s="12" t="inlineStr">
        <is>
          <t>VS24</t>
        </is>
      </c>
      <c r="C2337" s="28" t="n">
        <v>0.0128</v>
      </c>
      <c r="D2337" s="12" t="inlineStr">
        <is>
          <t>PO-2022-3053</t>
        </is>
      </c>
      <c r="E2337" s="12" t="n">
        <v>3.85</v>
      </c>
      <c r="F2337" s="17" t="n">
        <v>89352.14</v>
      </c>
      <c r="G2337" s="14">
        <f>E2337*F2337</f>
        <v/>
      </c>
      <c r="H2337" s="14">
        <f>C2337*G2337</f>
        <v/>
      </c>
    </row>
    <row r="2338">
      <c r="A2338" s="12" t="inlineStr">
        <is>
          <t>RET-0182</t>
        </is>
      </c>
      <c r="B2338" s="12" t="inlineStr">
        <is>
          <t>VS25</t>
        </is>
      </c>
      <c r="C2338" s="28" t="n">
        <v>0.0232</v>
      </c>
      <c r="D2338" s="12" t="inlineStr">
        <is>
          <t>PO-2022-2124</t>
        </is>
      </c>
      <c r="E2338" s="12" t="n">
        <v>3.85</v>
      </c>
      <c r="F2338" s="17" t="n">
        <v>100795.68</v>
      </c>
      <c r="G2338" s="14">
        <f>E2338*F2338</f>
        <v/>
      </c>
      <c r="H2338" s="14">
        <f>C2338*G2338</f>
        <v/>
      </c>
    </row>
    <row r="2339">
      <c r="A2339" s="12" t="inlineStr">
        <is>
          <t>RET-0182</t>
        </is>
      </c>
      <c r="B2339" s="12" t="inlineStr">
        <is>
          <t>VS26</t>
        </is>
      </c>
      <c r="C2339" s="28" t="n">
        <v>0.0129</v>
      </c>
      <c r="D2339" s="12" t="inlineStr">
        <is>
          <t>PO-2023-4155</t>
        </is>
      </c>
      <c r="E2339" s="12" t="n">
        <v>3.85</v>
      </c>
      <c r="F2339" s="17" t="n">
        <v>88375.64</v>
      </c>
      <c r="G2339" s="14">
        <f>E2339*F2339</f>
        <v/>
      </c>
      <c r="H2339" s="14">
        <f>C2339*G2339</f>
        <v/>
      </c>
    </row>
    <row r="2340">
      <c r="A2340" s="12" t="inlineStr">
        <is>
          <t>RET-0182</t>
        </is>
      </c>
      <c r="B2340" s="12" t="inlineStr">
        <is>
          <t>VS27</t>
        </is>
      </c>
      <c r="C2340" s="28" t="n">
        <v>0.0126</v>
      </c>
      <c r="D2340" s="12" t="inlineStr">
        <is>
          <t>PO-2022-2035</t>
        </is>
      </c>
      <c r="E2340" s="12" t="n">
        <v>3.85</v>
      </c>
      <c r="F2340" s="17" t="n">
        <v>66291.58</v>
      </c>
      <c r="G2340" s="14">
        <f>E2340*F2340</f>
        <v/>
      </c>
      <c r="H2340" s="14">
        <f>C2340*G2340</f>
        <v/>
      </c>
    </row>
    <row r="2341">
      <c r="A2341" s="12" t="inlineStr">
        <is>
          <t>RET-0182</t>
        </is>
      </c>
      <c r="B2341" s="12" t="inlineStr">
        <is>
          <t>VS28</t>
        </is>
      </c>
      <c r="C2341" s="28" t="n">
        <v>0.0283</v>
      </c>
      <c r="D2341" s="12" t="inlineStr">
        <is>
          <t>PO-2022-2116</t>
        </is>
      </c>
      <c r="E2341" s="12" t="n">
        <v>3.85</v>
      </c>
      <c r="F2341" s="17" t="n">
        <v>67036.03</v>
      </c>
      <c r="G2341" s="14">
        <f>E2341*F2341</f>
        <v/>
      </c>
      <c r="H2341" s="14">
        <f>C2341*G2341</f>
        <v/>
      </c>
    </row>
    <row r="2342">
      <c r="A2342" s="12" t="inlineStr">
        <is>
          <t>RET-0182</t>
        </is>
      </c>
      <c r="B2342" s="12" t="inlineStr">
        <is>
          <t>VS29</t>
        </is>
      </c>
      <c r="C2342" s="28" t="n">
        <v>0.018</v>
      </c>
      <c r="D2342" s="12" t="inlineStr">
        <is>
          <t>PO-2023-3991</t>
        </is>
      </c>
      <c r="E2342" s="12" t="n">
        <v>3.85</v>
      </c>
      <c r="F2342" s="17" t="n">
        <v>75615.69</v>
      </c>
      <c r="G2342" s="14">
        <f>E2342*F2342</f>
        <v/>
      </c>
      <c r="H2342" s="14">
        <f>C2342*G2342</f>
        <v/>
      </c>
    </row>
    <row r="2343">
      <c r="A2343" s="12" t="inlineStr">
        <is>
          <t>RET-0182</t>
        </is>
      </c>
      <c r="B2343" s="12" t="inlineStr">
        <is>
          <t>VS30</t>
        </is>
      </c>
      <c r="C2343" s="28" t="n">
        <v>0.0077</v>
      </c>
      <c r="D2343" s="12" t="inlineStr">
        <is>
          <t>PO-2021-0428</t>
        </is>
      </c>
      <c r="E2343" s="12" t="n">
        <v>3.85</v>
      </c>
      <c r="F2343" s="17" t="n">
        <v>109323.87</v>
      </c>
      <c r="G2343" s="14">
        <f>E2343*F2343</f>
        <v/>
      </c>
      <c r="H2343" s="14">
        <f>C2343*G2343</f>
        <v/>
      </c>
    </row>
    <row r="2344">
      <c r="A2344" s="12" t="inlineStr">
        <is>
          <t>RET-0182</t>
        </is>
      </c>
      <c r="B2344" s="12" t="inlineStr">
        <is>
          <t>VS31</t>
        </is>
      </c>
      <c r="C2344" s="28" t="n">
        <v>0.0281</v>
      </c>
      <c r="D2344" s="12" t="inlineStr">
        <is>
          <t>PO-2023-4476</t>
        </is>
      </c>
      <c r="E2344" s="12" t="n">
        <v>3.85</v>
      </c>
      <c r="F2344" s="17" t="n">
        <v>77527.62</v>
      </c>
      <c r="G2344" s="14">
        <f>E2344*F2344</f>
        <v/>
      </c>
      <c r="H2344" s="14">
        <f>C2344*G2344</f>
        <v/>
      </c>
    </row>
    <row r="2345">
      <c r="A2345" s="12" t="inlineStr">
        <is>
          <t>RET-0182</t>
        </is>
      </c>
      <c r="B2345" s="12" t="inlineStr">
        <is>
          <t>VS32</t>
        </is>
      </c>
      <c r="C2345" s="28" t="n">
        <v>0.0335</v>
      </c>
      <c r="D2345" s="12" t="inlineStr">
        <is>
          <t>PO-2022-3140</t>
        </is>
      </c>
      <c r="E2345" s="12" t="n">
        <v>3.85</v>
      </c>
      <c r="F2345" s="17" t="n">
        <v>87415.75</v>
      </c>
      <c r="G2345" s="14">
        <f>E2345*F2345</f>
        <v/>
      </c>
      <c r="H2345" s="14">
        <f>C2345*G2345</f>
        <v/>
      </c>
    </row>
    <row r="2346">
      <c r="A2346" s="12" t="inlineStr">
        <is>
          <t>RET-0182</t>
        </is>
      </c>
      <c r="B2346" s="12" t="inlineStr">
        <is>
          <t>VS33</t>
        </is>
      </c>
      <c r="C2346" s="28" t="n">
        <v>0.0179</v>
      </c>
      <c r="D2346" s="12" t="inlineStr">
        <is>
          <t>PO-2021-0103</t>
        </is>
      </c>
      <c r="E2346" s="12" t="n">
        <v>3.85</v>
      </c>
      <c r="F2346" s="17" t="n">
        <v>85694.52</v>
      </c>
      <c r="G2346" s="14">
        <f>E2346*F2346</f>
        <v/>
      </c>
      <c r="H2346" s="14">
        <f>C2346*G2346</f>
        <v/>
      </c>
    </row>
    <row r="2347">
      <c r="A2347" s="12" t="inlineStr">
        <is>
          <t>RET-0182</t>
        </is>
      </c>
      <c r="B2347" s="12" t="inlineStr">
        <is>
          <t>VS34</t>
        </is>
      </c>
      <c r="C2347" s="28" t="n">
        <v>0.0231</v>
      </c>
      <c r="D2347" s="12" t="inlineStr">
        <is>
          <t>PO-2022-2705</t>
        </is>
      </c>
      <c r="E2347" s="12" t="n">
        <v>1.42</v>
      </c>
      <c r="F2347" s="17" t="n">
        <v>58862.16</v>
      </c>
      <c r="G2347" s="14">
        <f>E2347*F2347</f>
        <v/>
      </c>
      <c r="H2347" s="14">
        <f>C2347*G2347</f>
        <v/>
      </c>
    </row>
    <row r="2348">
      <c r="A2348" s="12" t="inlineStr">
        <is>
          <t>RET-0188</t>
        </is>
      </c>
      <c r="B2348" s="12" t="inlineStr">
        <is>
          <t>VS01</t>
        </is>
      </c>
      <c r="C2348" s="28" t="n">
        <v>0.0196</v>
      </c>
      <c r="D2348" s="12" t="inlineStr">
        <is>
          <t>PO-2023-4720</t>
        </is>
      </c>
      <c r="E2348" s="12" t="n">
        <v>2.95</v>
      </c>
      <c r="F2348" s="17" t="n">
        <v>103257.11</v>
      </c>
      <c r="G2348" s="14">
        <f>E2348*F2348</f>
        <v/>
      </c>
      <c r="H2348" s="14">
        <f>C2348*G2348</f>
        <v/>
      </c>
    </row>
    <row r="2349">
      <c r="A2349" s="12" t="inlineStr">
        <is>
          <t>RET-0188</t>
        </is>
      </c>
      <c r="B2349" s="12" t="inlineStr">
        <is>
          <t>VS02</t>
        </is>
      </c>
      <c r="C2349" s="28" t="n">
        <v>0.0089</v>
      </c>
      <c r="D2349" s="12" t="inlineStr">
        <is>
          <t>PO-2023-3689</t>
        </is>
      </c>
      <c r="E2349" s="12" t="n">
        <v>2.95</v>
      </c>
      <c r="F2349" s="17" t="n">
        <v>82924.91</v>
      </c>
      <c r="G2349" s="14">
        <f>E2349*F2349</f>
        <v/>
      </c>
      <c r="H2349" s="14">
        <f>C2349*G2349</f>
        <v/>
      </c>
    </row>
    <row r="2350">
      <c r="A2350" s="12" t="inlineStr">
        <is>
          <t>RET-0188</t>
        </is>
      </c>
      <c r="B2350" s="12" t="inlineStr">
        <is>
          <t>VS03</t>
        </is>
      </c>
      <c r="C2350" s="28" t="n">
        <v>0.1656</v>
      </c>
      <c r="D2350" s="12" t="inlineStr">
        <is>
          <t>PO-2021-0413</t>
        </is>
      </c>
      <c r="E2350" s="12" t="n">
        <v>2.95</v>
      </c>
      <c r="F2350" s="17" t="n">
        <v>124002.51</v>
      </c>
      <c r="G2350" s="14">
        <f>E2350*F2350</f>
        <v/>
      </c>
      <c r="H2350" s="14">
        <f>C2350*G2350</f>
        <v/>
      </c>
    </row>
    <row r="2351">
      <c r="A2351" s="12" t="inlineStr">
        <is>
          <t>RET-0188</t>
        </is>
      </c>
      <c r="B2351" s="12" t="inlineStr">
        <is>
          <t>VS04</t>
        </is>
      </c>
      <c r="C2351" s="28" t="n">
        <v>0.0123</v>
      </c>
      <c r="D2351" s="12" t="inlineStr">
        <is>
          <t>PO-2022-2646</t>
        </is>
      </c>
      <c r="E2351" s="12" t="n">
        <v>2.95</v>
      </c>
      <c r="F2351" s="17" t="n">
        <v>55088.63</v>
      </c>
      <c r="G2351" s="14">
        <f>E2351*F2351</f>
        <v/>
      </c>
      <c r="H2351" s="14">
        <f>C2351*G2351</f>
        <v/>
      </c>
    </row>
    <row r="2352">
      <c r="A2352" s="12" t="inlineStr">
        <is>
          <t>RET-0188</t>
        </is>
      </c>
      <c r="B2352" s="12" t="inlineStr">
        <is>
          <t>VS05</t>
        </is>
      </c>
      <c r="C2352" s="28" t="n">
        <v>0.0159</v>
      </c>
      <c r="D2352" s="12" t="inlineStr">
        <is>
          <t>PO-2023-3291</t>
        </is>
      </c>
      <c r="E2352" s="12" t="n">
        <v>2.95</v>
      </c>
      <c r="F2352" s="17" t="n">
        <v>119516.02</v>
      </c>
      <c r="G2352" s="14">
        <f>E2352*F2352</f>
        <v/>
      </c>
      <c r="H2352" s="14">
        <f>C2352*G2352</f>
        <v/>
      </c>
    </row>
    <row r="2353">
      <c r="A2353" s="12" t="inlineStr">
        <is>
          <t>RET-0188</t>
        </is>
      </c>
      <c r="B2353" s="12" t="inlineStr">
        <is>
          <t>VS06</t>
        </is>
      </c>
      <c r="C2353" s="28" t="n">
        <v>0.0161</v>
      </c>
      <c r="D2353" s="12" t="inlineStr">
        <is>
          <t>PO-2023-3451</t>
        </is>
      </c>
      <c r="E2353" s="12" t="n">
        <v>1.71</v>
      </c>
      <c r="F2353" s="17" t="n">
        <v>69612.46000000001</v>
      </c>
      <c r="G2353" s="14">
        <f>E2353*F2353</f>
        <v/>
      </c>
      <c r="H2353" s="14">
        <f>C2353*G2353</f>
        <v/>
      </c>
    </row>
    <row r="2354">
      <c r="A2354" s="12" t="inlineStr">
        <is>
          <t>RET-0188</t>
        </is>
      </c>
      <c r="B2354" s="12" t="inlineStr">
        <is>
          <t>VS07</t>
        </is>
      </c>
      <c r="C2354" s="28" t="n">
        <v>0.0054</v>
      </c>
      <c r="D2354" s="12" t="inlineStr">
        <is>
          <t>PO-2021-0395</t>
        </is>
      </c>
      <c r="E2354" s="12" t="n">
        <v>2.95</v>
      </c>
      <c r="F2354" s="17" t="n">
        <v>78933.53999999999</v>
      </c>
      <c r="G2354" s="14">
        <f>E2354*F2354</f>
        <v/>
      </c>
      <c r="H2354" s="14">
        <f>C2354*G2354</f>
        <v/>
      </c>
    </row>
    <row r="2355">
      <c r="A2355" s="12" t="inlineStr">
        <is>
          <t>RET-0188</t>
        </is>
      </c>
      <c r="B2355" s="12" t="inlineStr">
        <is>
          <t>VS08</t>
        </is>
      </c>
      <c r="C2355" s="28" t="n">
        <v>0.0162</v>
      </c>
      <c r="D2355" s="12" t="inlineStr">
        <is>
          <t>PO-2023-4792</t>
        </is>
      </c>
      <c r="E2355" s="12" t="n">
        <v>2.95</v>
      </c>
      <c r="F2355" s="17" t="n">
        <v>54253.71</v>
      </c>
      <c r="G2355" s="14">
        <f>E2355*F2355</f>
        <v/>
      </c>
      <c r="H2355" s="14">
        <f>C2355*G2355</f>
        <v/>
      </c>
    </row>
    <row r="2356">
      <c r="A2356" s="12" t="inlineStr">
        <is>
          <t>RET-0188</t>
        </is>
      </c>
      <c r="B2356" s="12" t="inlineStr">
        <is>
          <t>VS09</t>
        </is>
      </c>
      <c r="C2356" s="28" t="n">
        <v>0.0124</v>
      </c>
      <c r="D2356" s="12" t="inlineStr">
        <is>
          <t>PO-2021-0056</t>
        </is>
      </c>
      <c r="E2356" s="12" t="n">
        <v>2.95</v>
      </c>
      <c r="F2356" s="17" t="n">
        <v>64511.72</v>
      </c>
      <c r="G2356" s="14">
        <f>E2356*F2356</f>
        <v/>
      </c>
      <c r="H2356" s="14">
        <f>C2356*G2356</f>
        <v/>
      </c>
    </row>
    <row r="2357">
      <c r="A2357" s="12" t="inlineStr">
        <is>
          <t>RET-0188</t>
        </is>
      </c>
      <c r="B2357" s="12" t="inlineStr">
        <is>
          <t>VS10</t>
        </is>
      </c>
      <c r="C2357" s="28" t="n">
        <v>0.0196</v>
      </c>
      <c r="D2357" s="12" t="inlineStr">
        <is>
          <t>PO-2021-0311</t>
        </is>
      </c>
      <c r="E2357" s="12" t="n">
        <v>2.95</v>
      </c>
      <c r="F2357" s="17" t="n">
        <v>90430.42</v>
      </c>
      <c r="G2357" s="14">
        <f>E2357*F2357</f>
        <v/>
      </c>
      <c r="H2357" s="14">
        <f>C2357*G2357</f>
        <v/>
      </c>
    </row>
    <row r="2358">
      <c r="A2358" s="12" t="inlineStr">
        <is>
          <t>RET-0188</t>
        </is>
      </c>
      <c r="B2358" s="12" t="inlineStr">
        <is>
          <t>VS11</t>
        </is>
      </c>
      <c r="C2358" s="28" t="n">
        <v>0.0229</v>
      </c>
      <c r="D2358" s="12" t="inlineStr">
        <is>
          <t>PO-2021-1451</t>
        </is>
      </c>
      <c r="E2358" s="12" t="n">
        <v>2.95</v>
      </c>
      <c r="F2358" s="17" t="n">
        <v>81162.64</v>
      </c>
      <c r="G2358" s="14">
        <f>E2358*F2358</f>
        <v/>
      </c>
      <c r="H2358" s="14">
        <f>C2358*G2358</f>
        <v/>
      </c>
    </row>
    <row r="2359">
      <c r="A2359" s="12" t="inlineStr">
        <is>
          <t>RET-0188</t>
        </is>
      </c>
      <c r="B2359" s="12" t="inlineStr">
        <is>
          <t>VS12</t>
        </is>
      </c>
      <c r="C2359" s="28" t="n">
        <v>0.2301</v>
      </c>
      <c r="D2359" s="12" t="inlineStr">
        <is>
          <t>PO-2023-3259</t>
        </is>
      </c>
      <c r="E2359" s="12" t="n">
        <v>2.95</v>
      </c>
      <c r="F2359" s="17" t="n">
        <v>55372.98</v>
      </c>
      <c r="G2359" s="14">
        <f>E2359*F2359</f>
        <v/>
      </c>
      <c r="H2359" s="14">
        <f>C2359*G2359</f>
        <v/>
      </c>
    </row>
    <row r="2360">
      <c r="A2360" s="12" t="inlineStr">
        <is>
          <t>RET-0188</t>
        </is>
      </c>
      <c r="B2360" s="12" t="inlineStr">
        <is>
          <t>VS13</t>
        </is>
      </c>
      <c r="C2360" s="28" t="n">
        <v>0.0158</v>
      </c>
      <c r="D2360" s="12" t="inlineStr">
        <is>
          <t>PO-2023-4284</t>
        </is>
      </c>
      <c r="E2360" s="12" t="n">
        <v>2.95</v>
      </c>
      <c r="F2360" s="17" t="n">
        <v>111062.32</v>
      </c>
      <c r="G2360" s="14">
        <f>E2360*F2360</f>
        <v/>
      </c>
      <c r="H2360" s="14">
        <f>C2360*G2360</f>
        <v/>
      </c>
    </row>
    <row r="2361">
      <c r="A2361" s="12" t="inlineStr">
        <is>
          <t>RET-0188</t>
        </is>
      </c>
      <c r="B2361" s="12" t="inlineStr">
        <is>
          <t>VS14</t>
        </is>
      </c>
      <c r="C2361" s="28" t="n">
        <v>0.0159</v>
      </c>
      <c r="D2361" s="12" t="inlineStr">
        <is>
          <t>PO-2021-1289</t>
        </is>
      </c>
      <c r="E2361" s="12" t="n">
        <v>2.95</v>
      </c>
      <c r="F2361" s="17" t="n">
        <v>69634.28999999999</v>
      </c>
      <c r="G2361" s="14">
        <f>E2361*F2361</f>
        <v/>
      </c>
      <c r="H2361" s="14">
        <f>C2361*G2361</f>
        <v/>
      </c>
    </row>
    <row r="2362">
      <c r="A2362" s="12" t="inlineStr">
        <is>
          <t>RET-0188</t>
        </is>
      </c>
      <c r="B2362" s="12" t="inlineStr">
        <is>
          <t>VS15</t>
        </is>
      </c>
      <c r="C2362" s="28" t="n">
        <v>0.0053</v>
      </c>
      <c r="D2362" s="12" t="inlineStr">
        <is>
          <t>PO-2022-2174</t>
        </is>
      </c>
      <c r="E2362" s="12" t="n">
        <v>2.95</v>
      </c>
      <c r="F2362" s="17" t="n">
        <v>54364.84</v>
      </c>
      <c r="G2362" s="14">
        <f>E2362*F2362</f>
        <v/>
      </c>
      <c r="H2362" s="14">
        <f>C2362*G2362</f>
        <v/>
      </c>
    </row>
    <row r="2363">
      <c r="A2363" s="12" t="inlineStr">
        <is>
          <t>RET-0188</t>
        </is>
      </c>
      <c r="B2363" s="12" t="inlineStr">
        <is>
          <t>VS16</t>
        </is>
      </c>
      <c r="C2363" s="28" t="n">
        <v>0.023</v>
      </c>
      <c r="D2363" s="12" t="inlineStr">
        <is>
          <t>PO-2021-0110</t>
        </is>
      </c>
      <c r="E2363" s="12" t="n">
        <v>2.95</v>
      </c>
      <c r="F2363" s="17" t="n">
        <v>73768.95</v>
      </c>
      <c r="G2363" s="14">
        <f>E2363*F2363</f>
        <v/>
      </c>
      <c r="H2363" s="14">
        <f>C2363*G2363</f>
        <v/>
      </c>
    </row>
    <row r="2364">
      <c r="A2364" s="12" t="inlineStr">
        <is>
          <t>RET-0188</t>
        </is>
      </c>
      <c r="B2364" s="12" t="inlineStr">
        <is>
          <t>VS17</t>
        </is>
      </c>
      <c r="C2364" s="28" t="n">
        <v>0.0229</v>
      </c>
      <c r="D2364" s="12" t="inlineStr">
        <is>
          <t>PO-2021-1288</t>
        </is>
      </c>
      <c r="E2364" s="12" t="n">
        <v>2.95</v>
      </c>
      <c r="F2364" s="17" t="n">
        <v>94670.78</v>
      </c>
      <c r="G2364" s="14">
        <f>E2364*F2364</f>
        <v/>
      </c>
      <c r="H2364" s="14">
        <f>C2364*G2364</f>
        <v/>
      </c>
    </row>
    <row r="2365">
      <c r="A2365" s="12" t="inlineStr">
        <is>
          <t>RET-0188</t>
        </is>
      </c>
      <c r="B2365" s="12" t="inlineStr">
        <is>
          <t>VS18</t>
        </is>
      </c>
      <c r="C2365" s="28" t="n">
        <v>0.0159</v>
      </c>
      <c r="D2365" s="12" t="inlineStr">
        <is>
          <t>PO-2023-4726</t>
        </is>
      </c>
      <c r="E2365" s="12" t="n">
        <v>2.95</v>
      </c>
      <c r="F2365" s="17" t="n">
        <v>71287.87</v>
      </c>
      <c r="G2365" s="14">
        <f>E2365*F2365</f>
        <v/>
      </c>
      <c r="H2365" s="14">
        <f>C2365*G2365</f>
        <v/>
      </c>
    </row>
    <row r="2366">
      <c r="A2366" s="12" t="inlineStr">
        <is>
          <t>RET-0188</t>
        </is>
      </c>
      <c r="B2366" s="12" t="inlineStr">
        <is>
          <t>VS19</t>
        </is>
      </c>
      <c r="C2366" s="28" t="n">
        <v>0.1736</v>
      </c>
      <c r="D2366" s="12" t="inlineStr">
        <is>
          <t>PO-2021-0209</t>
        </is>
      </c>
      <c r="E2366" s="12" t="n">
        <v>2.95</v>
      </c>
      <c r="F2366" s="17" t="n">
        <v>65455.14</v>
      </c>
      <c r="G2366" s="14">
        <f>E2366*F2366</f>
        <v/>
      </c>
      <c r="H2366" s="14">
        <f>C2366*G2366</f>
        <v/>
      </c>
    </row>
    <row r="2367">
      <c r="A2367" s="12" t="inlineStr">
        <is>
          <t>RET-0188</t>
        </is>
      </c>
      <c r="B2367" s="12" t="inlineStr">
        <is>
          <t>VS20</t>
        </is>
      </c>
      <c r="C2367" s="28" t="n">
        <v>0.0089</v>
      </c>
      <c r="D2367" s="12" t="inlineStr">
        <is>
          <t>PO-2022-3189</t>
        </is>
      </c>
      <c r="E2367" s="12" t="n">
        <v>2.95</v>
      </c>
      <c r="F2367" s="17" t="n">
        <v>109008.64</v>
      </c>
      <c r="G2367" s="14">
        <f>E2367*F2367</f>
        <v/>
      </c>
      <c r="H2367" s="14">
        <f>C2367*G2367</f>
        <v/>
      </c>
    </row>
    <row r="2368">
      <c r="A2368" s="12" t="inlineStr">
        <is>
          <t>RET-0188</t>
        </is>
      </c>
      <c r="B2368" s="12" t="inlineStr">
        <is>
          <t>VS21</t>
        </is>
      </c>
      <c r="C2368" s="28" t="n">
        <v>0.0089</v>
      </c>
      <c r="D2368" s="12" t="inlineStr">
        <is>
          <t>PO-2023-4314</t>
        </is>
      </c>
      <c r="E2368" s="12" t="n">
        <v>2.95</v>
      </c>
      <c r="F2368" s="17" t="n">
        <v>85907.42</v>
      </c>
      <c r="G2368" s="14">
        <f>E2368*F2368</f>
        <v/>
      </c>
      <c r="H2368" s="14">
        <f>C2368*G2368</f>
        <v/>
      </c>
    </row>
    <row r="2369">
      <c r="A2369" s="12" t="inlineStr">
        <is>
          <t>RET-0188</t>
        </is>
      </c>
      <c r="B2369" s="12" t="inlineStr">
        <is>
          <t>VS22</t>
        </is>
      </c>
      <c r="C2369" s="28" t="n">
        <v>0.0053</v>
      </c>
      <c r="D2369" s="12" t="inlineStr">
        <is>
          <t>PO-2021-0886</t>
        </is>
      </c>
      <c r="E2369" s="12" t="n">
        <v>2.95</v>
      </c>
      <c r="F2369" s="17" t="n">
        <v>76046.48</v>
      </c>
      <c r="G2369" s="14">
        <f>E2369*F2369</f>
        <v/>
      </c>
      <c r="H2369" s="14">
        <f>C2369*G2369</f>
        <v/>
      </c>
    </row>
    <row r="2370">
      <c r="A2370" s="12" t="inlineStr">
        <is>
          <t>RET-0188</t>
        </is>
      </c>
      <c r="B2370" s="12" t="inlineStr">
        <is>
          <t>VS23</t>
        </is>
      </c>
      <c r="C2370" s="28" t="n">
        <v>0.008699999999999999</v>
      </c>
      <c r="D2370" s="12" t="inlineStr">
        <is>
          <t>PO-2021-1216</t>
        </is>
      </c>
      <c r="E2370" s="12" t="n">
        <v>2.95</v>
      </c>
      <c r="F2370" s="17" t="n">
        <v>61477.68</v>
      </c>
      <c r="G2370" s="14">
        <f>E2370*F2370</f>
        <v/>
      </c>
      <c r="H2370" s="14">
        <f>C2370*G2370</f>
        <v/>
      </c>
    </row>
    <row r="2371">
      <c r="A2371" s="12" t="inlineStr">
        <is>
          <t>RET-0188</t>
        </is>
      </c>
      <c r="B2371" s="12" t="inlineStr">
        <is>
          <t>VS24</t>
        </is>
      </c>
      <c r="C2371" s="28" t="n">
        <v>0.008800000000000001</v>
      </c>
      <c r="D2371" s="12" t="inlineStr">
        <is>
          <t>PO-2021-0613</t>
        </is>
      </c>
      <c r="E2371" s="12" t="n">
        <v>2.95</v>
      </c>
      <c r="F2371" s="17" t="n">
        <v>101949</v>
      </c>
      <c r="G2371" s="14">
        <f>E2371*F2371</f>
        <v/>
      </c>
      <c r="H2371" s="14">
        <f>C2371*G2371</f>
        <v/>
      </c>
    </row>
    <row r="2372">
      <c r="A2372" s="12" t="inlineStr">
        <is>
          <t>RET-0188</t>
        </is>
      </c>
      <c r="B2372" s="12" t="inlineStr">
        <is>
          <t>VS25</t>
        </is>
      </c>
      <c r="C2372" s="28" t="n">
        <v>0.016</v>
      </c>
      <c r="D2372" s="12" t="inlineStr">
        <is>
          <t>PO-2022-3043</t>
        </is>
      </c>
      <c r="E2372" s="12" t="n">
        <v>2.95</v>
      </c>
      <c r="F2372" s="17" t="n">
        <v>69855.56</v>
      </c>
      <c r="G2372" s="14">
        <f>E2372*F2372</f>
        <v/>
      </c>
      <c r="H2372" s="14">
        <f>C2372*G2372</f>
        <v/>
      </c>
    </row>
    <row r="2373">
      <c r="A2373" s="12" t="inlineStr">
        <is>
          <t>RET-0188</t>
        </is>
      </c>
      <c r="B2373" s="12" t="inlineStr">
        <is>
          <t>VS26</t>
        </is>
      </c>
      <c r="C2373" s="28" t="n">
        <v>0.0089</v>
      </c>
      <c r="D2373" s="12" t="inlineStr">
        <is>
          <t>PO-2021-0597</t>
        </is>
      </c>
      <c r="E2373" s="12" t="n">
        <v>2.95</v>
      </c>
      <c r="F2373" s="17" t="n">
        <v>73928.66</v>
      </c>
      <c r="G2373" s="14">
        <f>E2373*F2373</f>
        <v/>
      </c>
      <c r="H2373" s="14">
        <f>C2373*G2373</f>
        <v/>
      </c>
    </row>
    <row r="2374">
      <c r="A2374" s="12" t="inlineStr">
        <is>
          <t>RET-0188</t>
        </is>
      </c>
      <c r="B2374" s="12" t="inlineStr">
        <is>
          <t>VS27</t>
        </is>
      </c>
      <c r="C2374" s="28" t="n">
        <v>0.008699999999999999</v>
      </c>
      <c r="D2374" s="12" t="inlineStr">
        <is>
          <t>PO-2023-4761</t>
        </is>
      </c>
      <c r="E2374" s="12" t="n">
        <v>2.95</v>
      </c>
      <c r="F2374" s="17" t="n">
        <v>111332.92</v>
      </c>
      <c r="G2374" s="14">
        <f>E2374*F2374</f>
        <v/>
      </c>
      <c r="H2374" s="14">
        <f>C2374*G2374</f>
        <v/>
      </c>
    </row>
    <row r="2375">
      <c r="A2375" s="12" t="inlineStr">
        <is>
          <t>RET-0188</t>
        </is>
      </c>
      <c r="B2375" s="12" t="inlineStr">
        <is>
          <t>VS28</t>
        </is>
      </c>
      <c r="C2375" s="28" t="n">
        <v>0.0196</v>
      </c>
      <c r="D2375" s="12" t="inlineStr">
        <is>
          <t>PO-2023-4377</t>
        </is>
      </c>
      <c r="E2375" s="12" t="n">
        <v>2.95</v>
      </c>
      <c r="F2375" s="17" t="n">
        <v>96834.74000000001</v>
      </c>
      <c r="G2375" s="14">
        <f>E2375*F2375</f>
        <v/>
      </c>
      <c r="H2375" s="14">
        <f>C2375*G2375</f>
        <v/>
      </c>
    </row>
    <row r="2376">
      <c r="A2376" s="12" t="inlineStr">
        <is>
          <t>RET-0188</t>
        </is>
      </c>
      <c r="B2376" s="12" t="inlineStr">
        <is>
          <t>VS29</t>
        </is>
      </c>
      <c r="C2376" s="28" t="n">
        <v>0.0124</v>
      </c>
      <c r="D2376" s="12" t="inlineStr">
        <is>
          <t>PO-2023-4071</t>
        </is>
      </c>
      <c r="E2376" s="12" t="n">
        <v>2.95</v>
      </c>
      <c r="F2376" s="17" t="n">
        <v>100969.12</v>
      </c>
      <c r="G2376" s="14">
        <f>E2376*F2376</f>
        <v/>
      </c>
      <c r="H2376" s="14">
        <f>C2376*G2376</f>
        <v/>
      </c>
    </row>
    <row r="2377">
      <c r="A2377" s="12" t="inlineStr">
        <is>
          <t>RET-0188</t>
        </is>
      </c>
      <c r="B2377" s="12" t="inlineStr">
        <is>
          <t>VS30</t>
        </is>
      </c>
      <c r="C2377" s="28" t="n">
        <v>0.0053</v>
      </c>
      <c r="D2377" s="12" t="inlineStr">
        <is>
          <t>PO-2021-1200</t>
        </is>
      </c>
      <c r="E2377" s="12" t="n">
        <v>2.95</v>
      </c>
      <c r="F2377" s="17" t="n">
        <v>64880.58</v>
      </c>
      <c r="G2377" s="14">
        <f>E2377*F2377</f>
        <v/>
      </c>
      <c r="H2377" s="14">
        <f>C2377*G2377</f>
        <v/>
      </c>
    </row>
    <row r="2378">
      <c r="A2378" s="12" t="inlineStr">
        <is>
          <t>RET-0188</t>
        </is>
      </c>
      <c r="B2378" s="12" t="inlineStr">
        <is>
          <t>VS31</t>
        </is>
      </c>
      <c r="C2378" s="28" t="n">
        <v>0.0195</v>
      </c>
      <c r="D2378" s="12" t="inlineStr">
        <is>
          <t>PO-2023-4326</t>
        </is>
      </c>
      <c r="E2378" s="12" t="n">
        <v>2.95</v>
      </c>
      <c r="F2378" s="17" t="n">
        <v>116259.48</v>
      </c>
      <c r="G2378" s="14">
        <f>E2378*F2378</f>
        <v/>
      </c>
      <c r="H2378" s="14">
        <f>C2378*G2378</f>
        <v/>
      </c>
    </row>
    <row r="2379">
      <c r="A2379" s="12" t="inlineStr">
        <is>
          <t>RET-0188</t>
        </is>
      </c>
      <c r="B2379" s="12" t="inlineStr">
        <is>
          <t>VS32</t>
        </is>
      </c>
      <c r="C2379" s="28" t="n">
        <v>0.0232</v>
      </c>
      <c r="D2379" s="12" t="inlineStr">
        <is>
          <t>PO-2021-1383</t>
        </is>
      </c>
      <c r="E2379" s="12" t="n">
        <v>2.95</v>
      </c>
      <c r="F2379" s="17" t="n">
        <v>86132.14</v>
      </c>
      <c r="G2379" s="14">
        <f>E2379*F2379</f>
        <v/>
      </c>
      <c r="H2379" s="14">
        <f>C2379*G2379</f>
        <v/>
      </c>
    </row>
    <row r="2380">
      <c r="A2380" s="12" t="inlineStr">
        <is>
          <t>RET-0188</t>
        </is>
      </c>
      <c r="B2380" s="12" t="inlineStr">
        <is>
          <t>VS33</t>
        </is>
      </c>
      <c r="C2380" s="28" t="n">
        <v>0.0124</v>
      </c>
      <c r="D2380" s="12" t="inlineStr">
        <is>
          <t>PO-2023-3839</t>
        </is>
      </c>
      <c r="E2380" s="12" t="n">
        <v>2.95</v>
      </c>
      <c r="F2380" s="17" t="n">
        <v>78820.49000000001</v>
      </c>
      <c r="G2380" s="14">
        <f>E2380*F2380</f>
        <v/>
      </c>
      <c r="H2380" s="14">
        <f>C2380*G2380</f>
        <v/>
      </c>
    </row>
    <row r="2381">
      <c r="A2381" s="12" t="inlineStr">
        <is>
          <t>RET-0188</t>
        </is>
      </c>
      <c r="B2381" s="12" t="inlineStr">
        <is>
          <t>VS34</t>
        </is>
      </c>
      <c r="C2381" s="28" t="n">
        <v>0.016</v>
      </c>
      <c r="D2381" s="12" t="inlineStr">
        <is>
          <t>PO-2022-2700</t>
        </is>
      </c>
      <c r="E2381" s="12" t="n">
        <v>2.95</v>
      </c>
      <c r="F2381" s="17" t="n">
        <v>104052.98</v>
      </c>
      <c r="G2381" s="14">
        <f>E2381*F2381</f>
        <v/>
      </c>
      <c r="H2381" s="14">
        <f>C2381*G2381</f>
        <v/>
      </c>
    </row>
    <row r="2382">
      <c r="A2382" s="12" t="inlineStr">
        <is>
          <t>RET-0190</t>
        </is>
      </c>
      <c r="B2382" s="12" t="inlineStr">
        <is>
          <t>VS01</t>
        </is>
      </c>
      <c r="C2382" s="28" t="n">
        <v>0.0198</v>
      </c>
      <c r="D2382" s="12" t="inlineStr">
        <is>
          <t>PO-2023-4280</t>
        </is>
      </c>
      <c r="E2382" s="12" t="n">
        <v>4.69</v>
      </c>
      <c r="F2382" s="17" t="n">
        <v>117934.93</v>
      </c>
      <c r="G2382" s="14">
        <f>E2382*F2382</f>
        <v/>
      </c>
      <c r="H2382" s="14">
        <f>C2382*G2382</f>
        <v/>
      </c>
    </row>
    <row r="2383">
      <c r="A2383" s="12" t="inlineStr">
        <is>
          <t>RET-0190</t>
        </is>
      </c>
      <c r="B2383" s="12" t="inlineStr">
        <is>
          <t>VS02</t>
        </is>
      </c>
      <c r="C2383" s="28" t="n">
        <v>0.008999999999999999</v>
      </c>
      <c r="D2383" s="12" t="inlineStr">
        <is>
          <t>PO-2023-3787</t>
        </is>
      </c>
      <c r="E2383" s="12" t="n">
        <v>4.69</v>
      </c>
      <c r="F2383" s="17" t="n">
        <v>55424.92</v>
      </c>
      <c r="G2383" s="14">
        <f>E2383*F2383</f>
        <v/>
      </c>
      <c r="H2383" s="14">
        <f>C2383*G2383</f>
        <v/>
      </c>
    </row>
    <row r="2384">
      <c r="A2384" s="12" t="inlineStr">
        <is>
          <t>RET-0190</t>
        </is>
      </c>
      <c r="B2384" s="12" t="inlineStr">
        <is>
          <t>VS03</t>
        </is>
      </c>
      <c r="C2384" s="28" t="n">
        <v>0.1644</v>
      </c>
      <c r="D2384" s="12" t="inlineStr">
        <is>
          <t>PO-2021-0229</t>
        </is>
      </c>
      <c r="E2384" s="12" t="n">
        <v>4.69</v>
      </c>
      <c r="F2384" s="17" t="n">
        <v>108506.52</v>
      </c>
      <c r="G2384" s="14">
        <f>E2384*F2384</f>
        <v/>
      </c>
      <c r="H2384" s="14">
        <f>C2384*G2384</f>
        <v/>
      </c>
    </row>
    <row r="2385">
      <c r="A2385" s="12" t="inlineStr">
        <is>
          <t>RET-0190</t>
        </is>
      </c>
      <c r="B2385" s="12" t="inlineStr">
        <is>
          <t>VS04</t>
        </is>
      </c>
      <c r="C2385" s="28" t="n">
        <v>0.0124</v>
      </c>
      <c r="D2385" s="12" t="inlineStr">
        <is>
          <t>PO-2021-0166</t>
        </is>
      </c>
      <c r="E2385" s="12" t="n">
        <v>4.69</v>
      </c>
      <c r="F2385" s="17" t="n">
        <v>71373.46000000001</v>
      </c>
      <c r="G2385" s="14">
        <f>E2385*F2385</f>
        <v/>
      </c>
      <c r="H2385" s="14">
        <f>C2385*G2385</f>
        <v/>
      </c>
    </row>
    <row r="2386">
      <c r="A2386" s="12" t="inlineStr">
        <is>
          <t>RET-0190</t>
        </is>
      </c>
      <c r="B2386" s="12" t="inlineStr">
        <is>
          <t>VS05</t>
        </is>
      </c>
      <c r="C2386" s="28" t="n">
        <v>0.0161</v>
      </c>
      <c r="D2386" s="12" t="inlineStr">
        <is>
          <t>PO-2022-2511</t>
        </is>
      </c>
      <c r="E2386" s="12" t="n">
        <v>4.69</v>
      </c>
      <c r="F2386" s="17" t="n">
        <v>83442.11</v>
      </c>
      <c r="G2386" s="14">
        <f>E2386*F2386</f>
        <v/>
      </c>
      <c r="H2386" s="14">
        <f>C2386*G2386</f>
        <v/>
      </c>
    </row>
    <row r="2387">
      <c r="A2387" s="12" t="inlineStr">
        <is>
          <t>RET-0190</t>
        </is>
      </c>
      <c r="B2387" s="12" t="inlineStr">
        <is>
          <t>VS06</t>
        </is>
      </c>
      <c r="C2387" s="28" t="n">
        <v>0.0162</v>
      </c>
      <c r="D2387" s="12" t="inlineStr">
        <is>
          <t>PO-2021-0369</t>
        </is>
      </c>
      <c r="E2387" s="12" t="n">
        <v>4.69</v>
      </c>
      <c r="F2387" s="17" t="n">
        <v>98483.14</v>
      </c>
      <c r="G2387" s="14">
        <f>E2387*F2387</f>
        <v/>
      </c>
      <c r="H2387" s="14">
        <f>C2387*G2387</f>
        <v/>
      </c>
    </row>
    <row r="2388">
      <c r="A2388" s="12" t="inlineStr">
        <is>
          <t>RET-0190</t>
        </is>
      </c>
      <c r="B2388" s="12" t="inlineStr">
        <is>
          <t>VS07</t>
        </is>
      </c>
      <c r="C2388" s="28" t="n">
        <v>0.0054</v>
      </c>
      <c r="D2388" s="12" t="inlineStr">
        <is>
          <t>PO-2022-2089</t>
        </is>
      </c>
      <c r="E2388" s="12" t="n">
        <v>4.69</v>
      </c>
      <c r="F2388" s="17" t="n">
        <v>60771.89</v>
      </c>
      <c r="G2388" s="14">
        <f>E2388*F2388</f>
        <v/>
      </c>
      <c r="H2388" s="14">
        <f>C2388*G2388</f>
        <v/>
      </c>
    </row>
    <row r="2389">
      <c r="A2389" s="12" t="inlineStr">
        <is>
          <t>RET-0190</t>
        </is>
      </c>
      <c r="B2389" s="12" t="inlineStr">
        <is>
          <t>VS08</t>
        </is>
      </c>
      <c r="C2389" s="28" t="n">
        <v>0.0164</v>
      </c>
      <c r="D2389" s="12" t="inlineStr">
        <is>
          <t>PO-2021-1060</t>
        </is>
      </c>
      <c r="E2389" s="12" t="n">
        <v>4.69</v>
      </c>
      <c r="F2389" s="17" t="n">
        <v>81891.49000000001</v>
      </c>
      <c r="G2389" s="14">
        <f>E2389*F2389</f>
        <v/>
      </c>
      <c r="H2389" s="14">
        <f>C2389*G2389</f>
        <v/>
      </c>
    </row>
    <row r="2390">
      <c r="A2390" s="12" t="inlineStr">
        <is>
          <t>RET-0190</t>
        </is>
      </c>
      <c r="B2390" s="12" t="inlineStr">
        <is>
          <t>VS09</t>
        </is>
      </c>
      <c r="C2390" s="28" t="n">
        <v>0.0126</v>
      </c>
      <c r="D2390" s="12" t="inlineStr">
        <is>
          <t>PO-2023-4224</t>
        </is>
      </c>
      <c r="E2390" s="12" t="n">
        <v>4.69</v>
      </c>
      <c r="F2390" s="17" t="n">
        <v>69824.55</v>
      </c>
      <c r="G2390" s="14">
        <f>E2390*F2390</f>
        <v/>
      </c>
      <c r="H2390" s="14">
        <f>C2390*G2390</f>
        <v/>
      </c>
    </row>
    <row r="2391">
      <c r="A2391" s="12" t="inlineStr">
        <is>
          <t>RET-0190</t>
        </is>
      </c>
      <c r="B2391" s="12" t="inlineStr">
        <is>
          <t>VS10</t>
        </is>
      </c>
      <c r="C2391" s="28" t="n">
        <v>0.0197</v>
      </c>
      <c r="D2391" s="12" t="inlineStr">
        <is>
          <t>PO-2023-3857</t>
        </is>
      </c>
      <c r="E2391" s="12" t="n">
        <v>4.69</v>
      </c>
      <c r="F2391" s="17" t="n">
        <v>45504.57</v>
      </c>
      <c r="G2391" s="14">
        <f>E2391*F2391</f>
        <v/>
      </c>
      <c r="H2391" s="14">
        <f>C2391*G2391</f>
        <v/>
      </c>
    </row>
    <row r="2392">
      <c r="A2392" s="12" t="inlineStr">
        <is>
          <t>RET-0190</t>
        </is>
      </c>
      <c r="B2392" s="12" t="inlineStr">
        <is>
          <t>VS11</t>
        </is>
      </c>
      <c r="C2392" s="28" t="n">
        <v>0.0231</v>
      </c>
      <c r="D2392" s="12" t="inlineStr">
        <is>
          <t>PO-2021-1370</t>
        </is>
      </c>
      <c r="E2392" s="12" t="n">
        <v>4.69</v>
      </c>
      <c r="F2392" s="17" t="n">
        <v>82685.63</v>
      </c>
      <c r="G2392" s="14">
        <f>E2392*F2392</f>
        <v/>
      </c>
      <c r="H2392" s="14">
        <f>C2392*G2392</f>
        <v/>
      </c>
    </row>
    <row r="2393">
      <c r="A2393" s="12" t="inlineStr">
        <is>
          <t>RET-0190</t>
        </is>
      </c>
      <c r="B2393" s="12" t="inlineStr">
        <is>
          <t>VS12</t>
        </is>
      </c>
      <c r="C2393" s="28" t="n">
        <v>0.2284</v>
      </c>
      <c r="D2393" s="12" t="inlineStr">
        <is>
          <t>PO-2022-1818</t>
        </is>
      </c>
      <c r="E2393" s="12" t="n">
        <v>2.96</v>
      </c>
      <c r="F2393" s="17" t="n">
        <v>74074.06</v>
      </c>
      <c r="G2393" s="14">
        <f>E2393*F2393</f>
        <v/>
      </c>
      <c r="H2393" s="14">
        <f>C2393*G2393</f>
        <v/>
      </c>
    </row>
    <row r="2394">
      <c r="A2394" s="12" t="inlineStr">
        <is>
          <t>RET-0190</t>
        </is>
      </c>
      <c r="B2394" s="12" t="inlineStr">
        <is>
          <t>VS13</t>
        </is>
      </c>
      <c r="C2394" s="28" t="n">
        <v>0.0159</v>
      </c>
      <c r="D2394" s="12" t="inlineStr">
        <is>
          <t>PO-2023-4005</t>
        </is>
      </c>
      <c r="E2394" s="12" t="n">
        <v>4.69</v>
      </c>
      <c r="F2394" s="17" t="n">
        <v>62051.83</v>
      </c>
      <c r="G2394" s="14">
        <f>E2394*F2394</f>
        <v/>
      </c>
      <c r="H2394" s="14">
        <f>C2394*G2394</f>
        <v/>
      </c>
    </row>
    <row r="2395">
      <c r="A2395" s="12" t="inlineStr">
        <is>
          <t>RET-0190</t>
        </is>
      </c>
      <c r="B2395" s="12" t="inlineStr">
        <is>
          <t>VS14</t>
        </is>
      </c>
      <c r="C2395" s="28" t="n">
        <v>0.0161</v>
      </c>
      <c r="D2395" s="12" t="inlineStr">
        <is>
          <t>PO-2021-1522</t>
        </is>
      </c>
      <c r="E2395" s="12" t="n">
        <v>4.69</v>
      </c>
      <c r="F2395" s="17" t="n">
        <v>116935.12</v>
      </c>
      <c r="G2395" s="14">
        <f>E2395*F2395</f>
        <v/>
      </c>
      <c r="H2395" s="14">
        <f>C2395*G2395</f>
        <v/>
      </c>
    </row>
    <row r="2396">
      <c r="A2396" s="12" t="inlineStr">
        <is>
          <t>RET-0190</t>
        </is>
      </c>
      <c r="B2396" s="12" t="inlineStr">
        <is>
          <t>VS15</t>
        </is>
      </c>
      <c r="C2396" s="28" t="n">
        <v>0.0054</v>
      </c>
      <c r="D2396" s="12" t="inlineStr">
        <is>
          <t>PO-2023-3635</t>
        </is>
      </c>
      <c r="E2396" s="12" t="n">
        <v>4.69</v>
      </c>
      <c r="F2396" s="17" t="n">
        <v>52010.43</v>
      </c>
      <c r="G2396" s="14">
        <f>E2396*F2396</f>
        <v/>
      </c>
      <c r="H2396" s="14">
        <f>C2396*G2396</f>
        <v/>
      </c>
    </row>
    <row r="2397">
      <c r="A2397" s="12" t="inlineStr">
        <is>
          <t>RET-0190</t>
        </is>
      </c>
      <c r="B2397" s="12" t="inlineStr">
        <is>
          <t>VS16</t>
        </is>
      </c>
      <c r="C2397" s="28" t="n">
        <v>0.0232</v>
      </c>
      <c r="D2397" s="12" t="inlineStr">
        <is>
          <t>PO-2023-4746</t>
        </is>
      </c>
      <c r="E2397" s="12" t="n">
        <v>4.69</v>
      </c>
      <c r="F2397" s="17" t="n">
        <v>71197.46000000001</v>
      </c>
      <c r="G2397" s="14">
        <f>E2397*F2397</f>
        <v/>
      </c>
      <c r="H2397" s="14">
        <f>C2397*G2397</f>
        <v/>
      </c>
    </row>
    <row r="2398">
      <c r="A2398" s="12" t="inlineStr">
        <is>
          <t>RET-0190</t>
        </is>
      </c>
      <c r="B2398" s="12" t="inlineStr">
        <is>
          <t>VS17</t>
        </is>
      </c>
      <c r="C2398" s="28" t="n">
        <v>0.0231</v>
      </c>
      <c r="D2398" s="12" t="inlineStr">
        <is>
          <t>PO-2021-1428</t>
        </is>
      </c>
      <c r="E2398" s="12" t="n">
        <v>4.69</v>
      </c>
      <c r="F2398" s="17" t="n">
        <v>84990.10000000001</v>
      </c>
      <c r="G2398" s="14">
        <f>E2398*F2398</f>
        <v/>
      </c>
      <c r="H2398" s="14">
        <f>C2398*G2398</f>
        <v/>
      </c>
    </row>
    <row r="2399">
      <c r="A2399" s="12" t="inlineStr">
        <is>
          <t>RET-0190</t>
        </is>
      </c>
      <c r="B2399" s="12" t="inlineStr">
        <is>
          <t>VS18</t>
        </is>
      </c>
      <c r="C2399" s="28" t="n">
        <v>0.0161</v>
      </c>
      <c r="D2399" s="12" t="inlineStr">
        <is>
          <t>PO-2023-4086</t>
        </is>
      </c>
      <c r="E2399" s="12" t="n">
        <v>4.69</v>
      </c>
      <c r="F2399" s="17" t="n">
        <v>64186.35</v>
      </c>
      <c r="G2399" s="14">
        <f>E2399*F2399</f>
        <v/>
      </c>
      <c r="H2399" s="14">
        <f>C2399*G2399</f>
        <v/>
      </c>
    </row>
    <row r="2400">
      <c r="A2400" s="12" t="inlineStr">
        <is>
          <t>RET-0190</t>
        </is>
      </c>
      <c r="B2400" s="12" t="inlineStr">
        <is>
          <t>VS19</t>
        </is>
      </c>
      <c r="C2400" s="28" t="n">
        <v>0.1723</v>
      </c>
      <c r="D2400" s="12" t="inlineStr">
        <is>
          <t>PO-2022-1777</t>
        </is>
      </c>
      <c r="E2400" s="12" t="n">
        <v>4.69</v>
      </c>
      <c r="F2400" s="17" t="n">
        <v>121609.13</v>
      </c>
      <c r="G2400" s="14">
        <f>E2400*F2400</f>
        <v/>
      </c>
      <c r="H2400" s="14">
        <f>C2400*G2400</f>
        <v/>
      </c>
    </row>
    <row r="2401">
      <c r="A2401" s="12" t="inlineStr">
        <is>
          <t>RET-0190</t>
        </is>
      </c>
      <c r="B2401" s="12" t="inlineStr">
        <is>
          <t>VS20</t>
        </is>
      </c>
      <c r="C2401" s="28" t="n">
        <v>0.008999999999999999</v>
      </c>
      <c r="D2401" s="12" t="inlineStr">
        <is>
          <t>PO-2022-2233</t>
        </is>
      </c>
      <c r="E2401" s="12" t="n">
        <v>4.69</v>
      </c>
      <c r="F2401" s="17" t="n">
        <v>96227.39999999999</v>
      </c>
      <c r="G2401" s="14">
        <f>E2401*F2401</f>
        <v/>
      </c>
      <c r="H2401" s="14">
        <f>C2401*G2401</f>
        <v/>
      </c>
    </row>
    <row r="2402">
      <c r="A2402" s="12" t="inlineStr">
        <is>
          <t>RET-0190</t>
        </is>
      </c>
      <c r="B2402" s="12" t="inlineStr">
        <is>
          <t>VS21</t>
        </is>
      </c>
      <c r="C2402" s="28" t="n">
        <v>0.008999999999999999</v>
      </c>
      <c r="D2402" s="12" t="inlineStr">
        <is>
          <t>PO-2023-3648</t>
        </is>
      </c>
      <c r="E2402" s="12" t="n">
        <v>4.69</v>
      </c>
      <c r="F2402" s="17" t="n">
        <v>84755.72</v>
      </c>
      <c r="G2402" s="14">
        <f>E2402*F2402</f>
        <v/>
      </c>
      <c r="H2402" s="14">
        <f>C2402*G2402</f>
        <v/>
      </c>
    </row>
    <row r="2403">
      <c r="A2403" s="12" t="inlineStr">
        <is>
          <t>RET-0190</t>
        </is>
      </c>
      <c r="B2403" s="12" t="inlineStr">
        <is>
          <t>VS22</t>
        </is>
      </c>
      <c r="C2403" s="28" t="n">
        <v>0.0053</v>
      </c>
      <c r="D2403" s="12" t="inlineStr">
        <is>
          <t>PO-2022-2014</t>
        </is>
      </c>
      <c r="E2403" s="12" t="n">
        <v>4.69</v>
      </c>
      <c r="F2403" s="17" t="n">
        <v>46764.78</v>
      </c>
      <c r="G2403" s="14">
        <f>E2403*F2403</f>
        <v/>
      </c>
      <c r="H2403" s="14">
        <f>C2403*G2403</f>
        <v/>
      </c>
    </row>
    <row r="2404">
      <c r="A2404" s="12" t="inlineStr">
        <is>
          <t>RET-0190</t>
        </is>
      </c>
      <c r="B2404" s="12" t="inlineStr">
        <is>
          <t>VS23</t>
        </is>
      </c>
      <c r="C2404" s="28" t="n">
        <v>0.008800000000000001</v>
      </c>
      <c r="D2404" s="12" t="inlineStr">
        <is>
          <t>PO-2022-2399</t>
        </is>
      </c>
      <c r="E2404" s="12" t="n">
        <v>4.69</v>
      </c>
      <c r="F2404" s="17" t="n">
        <v>95449.35000000001</v>
      </c>
      <c r="G2404" s="14">
        <f>E2404*F2404</f>
        <v/>
      </c>
      <c r="H2404" s="14">
        <f>C2404*G2404</f>
        <v/>
      </c>
    </row>
    <row r="2405">
      <c r="A2405" s="12" t="inlineStr">
        <is>
          <t>RET-0190</t>
        </is>
      </c>
      <c r="B2405" s="12" t="inlineStr">
        <is>
          <t>VS24</t>
        </is>
      </c>
      <c r="C2405" s="28" t="n">
        <v>0.0089</v>
      </c>
      <c r="D2405" s="12" t="inlineStr">
        <is>
          <t>PO-2022-2131</t>
        </is>
      </c>
      <c r="E2405" s="12" t="n">
        <v>4.69</v>
      </c>
      <c r="F2405" s="17" t="n">
        <v>77561.17</v>
      </c>
      <c r="G2405" s="14">
        <f>E2405*F2405</f>
        <v/>
      </c>
      <c r="H2405" s="14">
        <f>C2405*G2405</f>
        <v/>
      </c>
    </row>
    <row r="2406">
      <c r="A2406" s="12" t="inlineStr">
        <is>
          <t>RET-0190</t>
        </is>
      </c>
      <c r="B2406" s="12" t="inlineStr">
        <is>
          <t>VS25</t>
        </is>
      </c>
      <c r="C2406" s="28" t="n">
        <v>0.0162</v>
      </c>
      <c r="D2406" s="12" t="inlineStr">
        <is>
          <t>PO-2022-2273</t>
        </is>
      </c>
      <c r="E2406" s="12" t="n">
        <v>4.69</v>
      </c>
      <c r="F2406" s="17" t="n">
        <v>74007.53999999999</v>
      </c>
      <c r="G2406" s="14">
        <f>E2406*F2406</f>
        <v/>
      </c>
      <c r="H2406" s="14">
        <f>C2406*G2406</f>
        <v/>
      </c>
    </row>
    <row r="2407">
      <c r="A2407" s="12" t="inlineStr">
        <is>
          <t>RET-0190</t>
        </is>
      </c>
      <c r="B2407" s="12" t="inlineStr">
        <is>
          <t>VS26</t>
        </is>
      </c>
      <c r="C2407" s="28" t="n">
        <v>0.008999999999999999</v>
      </c>
      <c r="D2407" s="12" t="inlineStr">
        <is>
          <t>PO-2022-1986</t>
        </is>
      </c>
      <c r="E2407" s="12" t="n">
        <v>2.95</v>
      </c>
      <c r="F2407" s="17" t="n">
        <v>114674.22</v>
      </c>
      <c r="G2407" s="14">
        <f>E2407*F2407</f>
        <v/>
      </c>
      <c r="H2407" s="14">
        <f>C2407*G2407</f>
        <v/>
      </c>
    </row>
    <row r="2408">
      <c r="A2408" s="12" t="inlineStr">
        <is>
          <t>RET-0190</t>
        </is>
      </c>
      <c r="B2408" s="12" t="inlineStr">
        <is>
          <t>VS27</t>
        </is>
      </c>
      <c r="C2408" s="28" t="n">
        <v>0.008800000000000001</v>
      </c>
      <c r="D2408" s="12" t="inlineStr">
        <is>
          <t>PO-2023-4629</t>
        </is>
      </c>
      <c r="E2408" s="12" t="n">
        <v>4.69</v>
      </c>
      <c r="F2408" s="17" t="n">
        <v>109839.57</v>
      </c>
      <c r="G2408" s="14">
        <f>E2408*F2408</f>
        <v/>
      </c>
      <c r="H2408" s="14">
        <f>C2408*G2408</f>
        <v/>
      </c>
    </row>
    <row r="2409">
      <c r="A2409" s="12" t="inlineStr">
        <is>
          <t>RET-0190</t>
        </is>
      </c>
      <c r="B2409" s="12" t="inlineStr">
        <is>
          <t>VS28</t>
        </is>
      </c>
      <c r="C2409" s="28" t="n">
        <v>0.0197</v>
      </c>
      <c r="D2409" s="12" t="inlineStr">
        <is>
          <t>PO-2023-3384</t>
        </is>
      </c>
      <c r="E2409" s="12" t="n">
        <v>4.025</v>
      </c>
      <c r="F2409" s="17" t="n">
        <v>77840.46000000001</v>
      </c>
      <c r="G2409" s="14">
        <f>E2409*F2409</f>
        <v/>
      </c>
      <c r="H2409" s="14">
        <f>C2409*G2409</f>
        <v/>
      </c>
    </row>
    <row r="2410">
      <c r="A2410" s="12" t="inlineStr">
        <is>
          <t>RET-0190</t>
        </is>
      </c>
      <c r="B2410" s="12" t="inlineStr">
        <is>
          <t>VS29</t>
        </is>
      </c>
      <c r="C2410" s="28" t="n">
        <v>0.0125</v>
      </c>
      <c r="D2410" s="12" t="inlineStr">
        <is>
          <t>PO-2021-0892</t>
        </is>
      </c>
      <c r="E2410" s="12" t="n">
        <v>4.69</v>
      </c>
      <c r="F2410" s="17" t="n">
        <v>67673.87</v>
      </c>
      <c r="G2410" s="14">
        <f>E2410*F2410</f>
        <v/>
      </c>
      <c r="H2410" s="14">
        <f>C2410*G2410</f>
        <v/>
      </c>
    </row>
    <row r="2411">
      <c r="A2411" s="12" t="inlineStr">
        <is>
          <t>RET-0190</t>
        </is>
      </c>
      <c r="B2411" s="12" t="inlineStr">
        <is>
          <t>VS30</t>
        </is>
      </c>
      <c r="C2411" s="28" t="n">
        <v>0.0054</v>
      </c>
      <c r="D2411" s="12" t="inlineStr">
        <is>
          <t>PO-2023-4789</t>
        </is>
      </c>
      <c r="E2411" s="12" t="n">
        <v>2.031</v>
      </c>
      <c r="F2411" s="17" t="n">
        <v>90965.58</v>
      </c>
      <c r="G2411" s="14">
        <f>E2411*F2411</f>
        <v/>
      </c>
      <c r="H2411" s="14">
        <f>C2411*G2411</f>
        <v/>
      </c>
    </row>
    <row r="2412">
      <c r="A2412" s="12" t="inlineStr">
        <is>
          <t>RET-0190</t>
        </is>
      </c>
      <c r="B2412" s="12" t="inlineStr">
        <is>
          <t>VS31</t>
        </is>
      </c>
      <c r="C2412" s="28" t="n">
        <v>0.0197</v>
      </c>
      <c r="D2412" s="12" t="inlineStr">
        <is>
          <t>PO-2021-1261</t>
        </is>
      </c>
      <c r="E2412" s="12" t="n">
        <v>4.69</v>
      </c>
      <c r="F2412" s="17" t="n">
        <v>112521.55</v>
      </c>
      <c r="G2412" s="14">
        <f>E2412*F2412</f>
        <v/>
      </c>
      <c r="H2412" s="14">
        <f>C2412*G2412</f>
        <v/>
      </c>
    </row>
    <row r="2413">
      <c r="A2413" s="12" t="inlineStr">
        <is>
          <t>RET-0190</t>
        </is>
      </c>
      <c r="B2413" s="12" t="inlineStr">
        <is>
          <t>VS32</t>
        </is>
      </c>
      <c r="C2413" s="28" t="n">
        <v>0.0234</v>
      </c>
      <c r="D2413" s="12" t="inlineStr">
        <is>
          <t>PO-2023-4000</t>
        </is>
      </c>
      <c r="E2413" s="12" t="n">
        <v>4.69</v>
      </c>
      <c r="F2413" s="17" t="n">
        <v>118026.2</v>
      </c>
      <c r="G2413" s="14">
        <f>E2413*F2413</f>
        <v/>
      </c>
      <c r="H2413" s="14">
        <f>C2413*G2413</f>
        <v/>
      </c>
    </row>
    <row r="2414">
      <c r="A2414" s="12" t="inlineStr">
        <is>
          <t>RET-0190</t>
        </is>
      </c>
      <c r="B2414" s="12" t="inlineStr">
        <is>
          <t>VS33</t>
        </is>
      </c>
      <c r="C2414" s="28" t="n">
        <v>0.0125</v>
      </c>
      <c r="D2414" s="12" t="inlineStr">
        <is>
          <t>PO-2021-1510</t>
        </is>
      </c>
      <c r="E2414" s="12" t="n">
        <v>4.69</v>
      </c>
      <c r="F2414" s="17" t="n">
        <v>77082.38</v>
      </c>
      <c r="G2414" s="14">
        <f>E2414*F2414</f>
        <v/>
      </c>
      <c r="H2414" s="14">
        <f>C2414*G2414</f>
        <v/>
      </c>
    </row>
    <row r="2415">
      <c r="A2415" s="12" t="inlineStr">
        <is>
          <t>RET-0190</t>
        </is>
      </c>
      <c r="B2415" s="12" t="inlineStr">
        <is>
          <t>VS34</t>
        </is>
      </c>
      <c r="C2415" s="28" t="n">
        <v>0.0161</v>
      </c>
      <c r="D2415" s="12" t="inlineStr">
        <is>
          <t>PO-2021-0569</t>
        </is>
      </c>
      <c r="E2415" s="12" t="n">
        <v>4.69</v>
      </c>
      <c r="F2415" s="17" t="n">
        <v>110313.69</v>
      </c>
      <c r="G2415" s="14">
        <f>E2415*F2415</f>
        <v/>
      </c>
      <c r="H2415" s="14">
        <f>C2415*G2415</f>
        <v/>
      </c>
    </row>
    <row r="2416">
      <c r="A2416" s="12" t="inlineStr">
        <is>
          <t>RET-0193</t>
        </is>
      </c>
      <c r="B2416" s="12" t="inlineStr">
        <is>
          <t>VS01</t>
        </is>
      </c>
      <c r="C2416" s="28" t="n">
        <v>0.021</v>
      </c>
      <c r="D2416" s="12" t="inlineStr">
        <is>
          <t>PO-2021-0468</t>
        </is>
      </c>
      <c r="E2416" s="12" t="n">
        <v>0.9</v>
      </c>
      <c r="F2416" s="17" t="n">
        <v>94297.78999999999</v>
      </c>
      <c r="G2416" s="14">
        <f>E2416*F2416</f>
        <v/>
      </c>
      <c r="H2416" s="14">
        <f>C2416*G2416</f>
        <v/>
      </c>
    </row>
    <row r="2417">
      <c r="A2417" s="12" t="inlineStr">
        <is>
          <t>RET-0193</t>
        </is>
      </c>
      <c r="B2417" s="12" t="inlineStr">
        <is>
          <t>VS02</t>
        </is>
      </c>
      <c r="C2417" s="28" t="n">
        <v>0.009599999999999999</v>
      </c>
      <c r="D2417" s="12" t="inlineStr">
        <is>
          <t>PO-2022-2779</t>
        </is>
      </c>
      <c r="E2417" s="12" t="n">
        <v>0.9</v>
      </c>
      <c r="F2417" s="17" t="n">
        <v>101270.34</v>
      </c>
      <c r="G2417" s="14">
        <f>E2417*F2417</f>
        <v/>
      </c>
      <c r="H2417" s="14">
        <f>C2417*G2417</f>
        <v/>
      </c>
    </row>
    <row r="2418">
      <c r="A2418" s="12" t="inlineStr">
        <is>
          <t>RET-0193</t>
        </is>
      </c>
      <c r="B2418" s="12" t="inlineStr">
        <is>
          <t>VS03</t>
        </is>
      </c>
      <c r="C2418" s="28" t="n">
        <v>0.1563</v>
      </c>
      <c r="D2418" s="12" t="inlineStr">
        <is>
          <t>PO-2023-3777</t>
        </is>
      </c>
      <c r="E2418" s="12" t="n">
        <v>0.9</v>
      </c>
      <c r="F2418" s="17" t="n">
        <v>64575.7</v>
      </c>
      <c r="G2418" s="14">
        <f>E2418*F2418</f>
        <v/>
      </c>
      <c r="H2418" s="14">
        <f>C2418*G2418</f>
        <v/>
      </c>
    </row>
    <row r="2419">
      <c r="A2419" s="12" t="inlineStr">
        <is>
          <t>RET-0193</t>
        </is>
      </c>
      <c r="B2419" s="12" t="inlineStr">
        <is>
          <t>VS04</t>
        </is>
      </c>
      <c r="C2419" s="28" t="n">
        <v>0.0132</v>
      </c>
      <c r="D2419" s="12" t="inlineStr">
        <is>
          <t>PO-2022-2828</t>
        </is>
      </c>
      <c r="E2419" s="12" t="n">
        <v>0.9</v>
      </c>
      <c r="F2419" s="17" t="n">
        <v>88767.53</v>
      </c>
      <c r="G2419" s="14">
        <f>E2419*F2419</f>
        <v/>
      </c>
      <c r="H2419" s="14">
        <f>C2419*G2419</f>
        <v/>
      </c>
    </row>
    <row r="2420">
      <c r="A2420" s="12" t="inlineStr">
        <is>
          <t>RET-0193</t>
        </is>
      </c>
      <c r="B2420" s="12" t="inlineStr">
        <is>
          <t>VS05</t>
        </is>
      </c>
      <c r="C2420" s="28" t="n">
        <v>0.0171</v>
      </c>
      <c r="D2420" s="12" t="inlineStr">
        <is>
          <t>PO-2021-1437</t>
        </is>
      </c>
      <c r="E2420" s="12" t="n">
        <v>0.9</v>
      </c>
      <c r="F2420" s="17" t="n">
        <v>62608.51</v>
      </c>
      <c r="G2420" s="14">
        <f>E2420*F2420</f>
        <v/>
      </c>
      <c r="H2420" s="14">
        <f>C2420*G2420</f>
        <v/>
      </c>
    </row>
    <row r="2421">
      <c r="A2421" s="12" t="inlineStr">
        <is>
          <t>RET-0193</t>
        </is>
      </c>
      <c r="B2421" s="12" t="inlineStr">
        <is>
          <t>VS06</t>
        </is>
      </c>
      <c r="C2421" s="28" t="n">
        <v>0.0173</v>
      </c>
      <c r="D2421" s="12" t="inlineStr">
        <is>
          <t>PO-2022-2663</t>
        </is>
      </c>
      <c r="E2421" s="12" t="n">
        <v>0.9</v>
      </c>
      <c r="F2421" s="17" t="n">
        <v>96100.42</v>
      </c>
      <c r="G2421" s="14">
        <f>E2421*F2421</f>
        <v/>
      </c>
      <c r="H2421" s="14">
        <f>C2421*G2421</f>
        <v/>
      </c>
    </row>
    <row r="2422">
      <c r="A2422" s="12" t="inlineStr">
        <is>
          <t>RET-0193</t>
        </is>
      </c>
      <c r="B2422" s="12" t="inlineStr">
        <is>
          <t>VS07</t>
        </is>
      </c>
      <c r="C2422" s="28" t="n">
        <v>0.0058</v>
      </c>
      <c r="D2422" s="12" t="inlineStr">
        <is>
          <t>PO-2022-2072</t>
        </is>
      </c>
      <c r="E2422" s="12" t="n">
        <v>0.9</v>
      </c>
      <c r="F2422" s="17" t="n">
        <v>65360.52</v>
      </c>
      <c r="G2422" s="14">
        <f>E2422*F2422</f>
        <v/>
      </c>
      <c r="H2422" s="14">
        <f>C2422*G2422</f>
        <v/>
      </c>
    </row>
    <row r="2423">
      <c r="A2423" s="12" t="inlineStr">
        <is>
          <t>RET-0193</t>
        </is>
      </c>
      <c r="B2423" s="12" t="inlineStr">
        <is>
          <t>VS08</t>
        </is>
      </c>
      <c r="C2423" s="28" t="n">
        <v>0.0174</v>
      </c>
      <c r="D2423" s="12" t="inlineStr">
        <is>
          <t>PO-2022-1868</t>
        </is>
      </c>
      <c r="E2423" s="12" t="n">
        <v>0.9</v>
      </c>
      <c r="F2423" s="17" t="n">
        <v>112376.54</v>
      </c>
      <c r="G2423" s="14">
        <f>E2423*F2423</f>
        <v/>
      </c>
      <c r="H2423" s="14">
        <f>C2423*G2423</f>
        <v/>
      </c>
    </row>
    <row r="2424">
      <c r="A2424" s="12" t="inlineStr">
        <is>
          <t>RET-0193</t>
        </is>
      </c>
      <c r="B2424" s="12" t="inlineStr">
        <is>
          <t>VS09</t>
        </is>
      </c>
      <c r="C2424" s="28" t="n">
        <v>0.0134</v>
      </c>
      <c r="D2424" s="12" t="inlineStr">
        <is>
          <t>PO-2021-1399</t>
        </is>
      </c>
      <c r="E2424" s="12" t="n">
        <v>0.9</v>
      </c>
      <c r="F2424" s="17" t="n">
        <v>102128.72</v>
      </c>
      <c r="G2424" s="14">
        <f>E2424*F2424</f>
        <v/>
      </c>
      <c r="H2424" s="14">
        <f>C2424*G2424</f>
        <v/>
      </c>
    </row>
    <row r="2425">
      <c r="A2425" s="12" t="inlineStr">
        <is>
          <t>RET-0193</t>
        </is>
      </c>
      <c r="B2425" s="12" t="inlineStr">
        <is>
          <t>VS10</t>
        </is>
      </c>
      <c r="C2425" s="28" t="n">
        <v>0.021</v>
      </c>
      <c r="D2425" s="12" t="inlineStr">
        <is>
          <t>PO-2022-3188</t>
        </is>
      </c>
      <c r="E2425" s="12" t="n">
        <v>0.9</v>
      </c>
      <c r="F2425" s="17" t="n">
        <v>72841.17999999999</v>
      </c>
      <c r="G2425" s="14">
        <f>E2425*F2425</f>
        <v/>
      </c>
      <c r="H2425" s="14">
        <f>C2425*G2425</f>
        <v/>
      </c>
    </row>
    <row r="2426">
      <c r="A2426" s="12" t="inlineStr">
        <is>
          <t>RET-0193</t>
        </is>
      </c>
      <c r="B2426" s="12" t="inlineStr">
        <is>
          <t>VS11</t>
        </is>
      </c>
      <c r="C2426" s="28" t="n">
        <v>0.0246</v>
      </c>
      <c r="D2426" s="12" t="inlineStr">
        <is>
          <t>PO-2023-4176</t>
        </is>
      </c>
      <c r="E2426" s="12" t="n">
        <v>0.9</v>
      </c>
      <c r="F2426" s="17" t="n">
        <v>94199.10000000001</v>
      </c>
      <c r="G2426" s="14">
        <f>E2426*F2426</f>
        <v/>
      </c>
      <c r="H2426" s="14">
        <f>C2426*G2426</f>
        <v/>
      </c>
    </row>
    <row r="2427">
      <c r="A2427" s="12" t="inlineStr">
        <is>
          <t>RET-0193</t>
        </is>
      </c>
      <c r="B2427" s="12" t="inlineStr">
        <is>
          <t>VS12</t>
        </is>
      </c>
      <c r="C2427" s="28" t="n">
        <v>0.2172</v>
      </c>
      <c r="D2427" s="12" t="inlineStr">
        <is>
          <t>PO-2023-3227</t>
        </is>
      </c>
      <c r="E2427" s="12" t="n">
        <v>0.9</v>
      </c>
      <c r="F2427" s="17" t="n">
        <v>97975</v>
      </c>
      <c r="G2427" s="14">
        <f>E2427*F2427</f>
        <v/>
      </c>
      <c r="H2427" s="14">
        <f>C2427*G2427</f>
        <v/>
      </c>
    </row>
    <row r="2428">
      <c r="A2428" s="12" t="inlineStr">
        <is>
          <t>RET-0193</t>
        </is>
      </c>
      <c r="B2428" s="12" t="inlineStr">
        <is>
          <t>VS13</t>
        </is>
      </c>
      <c r="C2428" s="28" t="n">
        <v>0.0169</v>
      </c>
      <c r="D2428" s="12" t="inlineStr">
        <is>
          <t>PO-2023-4198</t>
        </is>
      </c>
      <c r="E2428" s="12" t="n">
        <v>0.9</v>
      </c>
      <c r="F2428" s="17" t="n">
        <v>115775.93</v>
      </c>
      <c r="G2428" s="14">
        <f>E2428*F2428</f>
        <v/>
      </c>
      <c r="H2428" s="14">
        <f>C2428*G2428</f>
        <v/>
      </c>
    </row>
    <row r="2429">
      <c r="A2429" s="12" t="inlineStr">
        <is>
          <t>RET-0193</t>
        </is>
      </c>
      <c r="B2429" s="12" t="inlineStr">
        <is>
          <t>VS14</t>
        </is>
      </c>
      <c r="C2429" s="28" t="n">
        <v>0.0171</v>
      </c>
      <c r="D2429" s="12" t="inlineStr">
        <is>
          <t>PO-2023-4255</t>
        </is>
      </c>
      <c r="E2429" s="12" t="n">
        <v>0.9</v>
      </c>
      <c r="F2429" s="17" t="n">
        <v>56337.65</v>
      </c>
      <c r="G2429" s="14">
        <f>E2429*F2429</f>
        <v/>
      </c>
      <c r="H2429" s="14">
        <f>C2429*G2429</f>
        <v/>
      </c>
    </row>
    <row r="2430">
      <c r="A2430" s="12" t="inlineStr">
        <is>
          <t>RET-0193</t>
        </is>
      </c>
      <c r="B2430" s="12" t="inlineStr">
        <is>
          <t>VS15</t>
        </is>
      </c>
      <c r="C2430" s="28" t="n">
        <v>0.0057</v>
      </c>
      <c r="D2430" s="12" t="inlineStr">
        <is>
          <t>PO-2022-3068</t>
        </is>
      </c>
      <c r="E2430" s="12" t="n">
        <v>0.9</v>
      </c>
      <c r="F2430" s="17" t="n">
        <v>116297.94</v>
      </c>
      <c r="G2430" s="14">
        <f>E2430*F2430</f>
        <v/>
      </c>
      <c r="H2430" s="14">
        <f>C2430*G2430</f>
        <v/>
      </c>
    </row>
    <row r="2431">
      <c r="A2431" s="12" t="inlineStr">
        <is>
          <t>RET-0193</t>
        </is>
      </c>
      <c r="B2431" s="12" t="inlineStr">
        <is>
          <t>VS16</t>
        </is>
      </c>
      <c r="C2431" s="28" t="n">
        <v>0.0247</v>
      </c>
      <c r="D2431" s="12" t="inlineStr">
        <is>
          <t>PO-2021-1545</t>
        </is>
      </c>
      <c r="E2431" s="12" t="n">
        <v>0.9</v>
      </c>
      <c r="F2431" s="17" t="n">
        <v>58631.37</v>
      </c>
      <c r="G2431" s="14">
        <f>E2431*F2431</f>
        <v/>
      </c>
      <c r="H2431" s="14">
        <f>C2431*G2431</f>
        <v/>
      </c>
    </row>
    <row r="2432">
      <c r="A2432" s="12" t="inlineStr">
        <is>
          <t>RET-0193</t>
        </is>
      </c>
      <c r="B2432" s="12" t="inlineStr">
        <is>
          <t>VS17</t>
        </is>
      </c>
      <c r="C2432" s="28" t="n">
        <v>0.0246</v>
      </c>
      <c r="D2432" s="12" t="inlineStr">
        <is>
          <t>PO-2023-3556</t>
        </is>
      </c>
      <c r="E2432" s="12" t="n">
        <v>0.9</v>
      </c>
      <c r="F2432" s="17" t="n">
        <v>101942.22</v>
      </c>
      <c r="G2432" s="14">
        <f>E2432*F2432</f>
        <v/>
      </c>
      <c r="H2432" s="14">
        <f>C2432*G2432</f>
        <v/>
      </c>
    </row>
    <row r="2433">
      <c r="A2433" s="12" t="inlineStr">
        <is>
          <t>RET-0193</t>
        </is>
      </c>
      <c r="B2433" s="12" t="inlineStr">
        <is>
          <t>VS18</t>
        </is>
      </c>
      <c r="C2433" s="28" t="n">
        <v>0.0171</v>
      </c>
      <c r="D2433" s="12" t="inlineStr">
        <is>
          <t>PO-2023-4691</t>
        </is>
      </c>
      <c r="E2433" s="12" t="n">
        <v>0.9</v>
      </c>
      <c r="F2433" s="17" t="n">
        <v>61410.82</v>
      </c>
      <c r="G2433" s="14">
        <f>E2433*F2433</f>
        <v/>
      </c>
      <c r="H2433" s="14">
        <f>C2433*G2433</f>
        <v/>
      </c>
    </row>
    <row r="2434">
      <c r="A2434" s="12" t="inlineStr">
        <is>
          <t>RET-0193</t>
        </is>
      </c>
      <c r="B2434" s="12" t="inlineStr">
        <is>
          <t>VS19</t>
        </is>
      </c>
      <c r="C2434" s="28" t="n">
        <v>0.1638</v>
      </c>
      <c r="D2434" s="12" t="inlineStr">
        <is>
          <t>PO-2023-3413</t>
        </is>
      </c>
      <c r="E2434" s="12" t="n">
        <v>0.9</v>
      </c>
      <c r="F2434" s="17" t="n">
        <v>64181.31</v>
      </c>
      <c r="G2434" s="14">
        <f>E2434*F2434</f>
        <v/>
      </c>
      <c r="H2434" s="14">
        <f>C2434*G2434</f>
        <v/>
      </c>
    </row>
    <row r="2435">
      <c r="A2435" s="12" t="inlineStr">
        <is>
          <t>RET-0193</t>
        </is>
      </c>
      <c r="B2435" s="12" t="inlineStr">
        <is>
          <t>VS20</t>
        </is>
      </c>
      <c r="C2435" s="28" t="n">
        <v>0.009599999999999999</v>
      </c>
      <c r="D2435" s="12" t="inlineStr">
        <is>
          <t>PO-2023-3265</t>
        </is>
      </c>
      <c r="E2435" s="12" t="n">
        <v>0.9</v>
      </c>
      <c r="F2435" s="17" t="n">
        <v>110599.43</v>
      </c>
      <c r="G2435" s="14">
        <f>E2435*F2435</f>
        <v/>
      </c>
      <c r="H2435" s="14">
        <f>C2435*G2435</f>
        <v/>
      </c>
    </row>
    <row r="2436">
      <c r="A2436" s="12" t="inlineStr">
        <is>
          <t>RET-0193</t>
        </is>
      </c>
      <c r="B2436" s="12" t="inlineStr">
        <is>
          <t>VS21</t>
        </is>
      </c>
      <c r="C2436" s="28" t="n">
        <v>0.0095</v>
      </c>
      <c r="D2436" s="12" t="inlineStr">
        <is>
          <t>PO-2021-0474</t>
        </is>
      </c>
      <c r="E2436" s="12" t="n">
        <v>0.9</v>
      </c>
      <c r="F2436" s="17" t="n">
        <v>62520.84</v>
      </c>
      <c r="G2436" s="14">
        <f>E2436*F2436</f>
        <v/>
      </c>
      <c r="H2436" s="14">
        <f>C2436*G2436</f>
        <v/>
      </c>
    </row>
    <row r="2437">
      <c r="A2437" s="12" t="inlineStr">
        <is>
          <t>RET-0193</t>
        </is>
      </c>
      <c r="B2437" s="12" t="inlineStr">
        <is>
          <t>VS22</t>
        </is>
      </c>
      <c r="C2437" s="28" t="n">
        <v>0.0057</v>
      </c>
      <c r="D2437" s="12" t="inlineStr">
        <is>
          <t>PO-2021-1407</t>
        </is>
      </c>
      <c r="E2437" s="12" t="n">
        <v>0.9</v>
      </c>
      <c r="F2437" s="17" t="n">
        <v>85448.38</v>
      </c>
      <c r="G2437" s="14">
        <f>E2437*F2437</f>
        <v/>
      </c>
      <c r="H2437" s="14">
        <f>C2437*G2437</f>
        <v/>
      </c>
    </row>
    <row r="2438">
      <c r="A2438" s="12" t="inlineStr">
        <is>
          <t>RET-0193</t>
        </is>
      </c>
      <c r="B2438" s="12" t="inlineStr">
        <is>
          <t>VS23</t>
        </is>
      </c>
      <c r="C2438" s="28" t="n">
        <v>0.0094</v>
      </c>
      <c r="D2438" s="12" t="inlineStr">
        <is>
          <t>PO-2023-4699</t>
        </is>
      </c>
      <c r="E2438" s="12" t="n">
        <v>0.9</v>
      </c>
      <c r="F2438" s="17" t="n">
        <v>71864.28</v>
      </c>
      <c r="G2438" s="14">
        <f>E2438*F2438</f>
        <v/>
      </c>
      <c r="H2438" s="14">
        <f>C2438*G2438</f>
        <v/>
      </c>
    </row>
    <row r="2439">
      <c r="A2439" s="12" t="inlineStr">
        <is>
          <t>RET-0193</t>
        </is>
      </c>
      <c r="B2439" s="12" t="inlineStr">
        <is>
          <t>VS24</t>
        </is>
      </c>
      <c r="C2439" s="28" t="n">
        <v>0.0095</v>
      </c>
      <c r="D2439" s="12" t="inlineStr">
        <is>
          <t>PO-2023-4017</t>
        </is>
      </c>
      <c r="E2439" s="12" t="n">
        <v>0.9</v>
      </c>
      <c r="F2439" s="17" t="n">
        <v>76073.96000000001</v>
      </c>
      <c r="G2439" s="14">
        <f>E2439*F2439</f>
        <v/>
      </c>
      <c r="H2439" s="14">
        <f>C2439*G2439</f>
        <v/>
      </c>
    </row>
    <row r="2440">
      <c r="A2440" s="12" t="inlineStr">
        <is>
          <t>RET-0193</t>
        </is>
      </c>
      <c r="B2440" s="12" t="inlineStr">
        <is>
          <t>VS25</t>
        </is>
      </c>
      <c r="C2440" s="28" t="n">
        <v>0.0172</v>
      </c>
      <c r="D2440" s="12" t="inlineStr">
        <is>
          <t>PO-2021-0964</t>
        </is>
      </c>
      <c r="E2440" s="12" t="n">
        <v>0.9</v>
      </c>
      <c r="F2440" s="17" t="n">
        <v>64367.9</v>
      </c>
      <c r="G2440" s="14">
        <f>E2440*F2440</f>
        <v/>
      </c>
      <c r="H2440" s="14">
        <f>C2440*G2440</f>
        <v/>
      </c>
    </row>
    <row r="2441">
      <c r="A2441" s="12" t="inlineStr">
        <is>
          <t>RET-0193</t>
        </is>
      </c>
      <c r="B2441" s="12" t="inlineStr">
        <is>
          <t>VS26</t>
        </is>
      </c>
      <c r="C2441" s="28" t="n">
        <v>0.009599999999999999</v>
      </c>
      <c r="D2441" s="12" t="inlineStr">
        <is>
          <t>PO-2023-3294</t>
        </is>
      </c>
      <c r="E2441" s="12" t="n">
        <v>0.9</v>
      </c>
      <c r="F2441" s="17" t="n">
        <v>101370.48</v>
      </c>
      <c r="G2441" s="14">
        <f>E2441*F2441</f>
        <v/>
      </c>
      <c r="H2441" s="14">
        <f>C2441*G2441</f>
        <v/>
      </c>
    </row>
    <row r="2442">
      <c r="A2442" s="12" t="inlineStr">
        <is>
          <t>RET-0193</t>
        </is>
      </c>
      <c r="B2442" s="12" t="inlineStr">
        <is>
          <t>VS27</t>
        </is>
      </c>
      <c r="C2442" s="28" t="n">
        <v>0.0094</v>
      </c>
      <c r="D2442" s="12" t="inlineStr">
        <is>
          <t>PO-2021-0050</t>
        </is>
      </c>
      <c r="E2442" s="12" t="n">
        <v>0.9</v>
      </c>
      <c r="F2442" s="17" t="n">
        <v>76183.07000000001</v>
      </c>
      <c r="G2442" s="14">
        <f>E2442*F2442</f>
        <v/>
      </c>
      <c r="H2442" s="14">
        <f>C2442*G2442</f>
        <v/>
      </c>
    </row>
    <row r="2443">
      <c r="A2443" s="12" t="inlineStr">
        <is>
          <t>RET-0193</t>
        </is>
      </c>
      <c r="B2443" s="12" t="inlineStr">
        <is>
          <t>VS28</t>
        </is>
      </c>
      <c r="C2443" s="28" t="n">
        <v>0.021</v>
      </c>
      <c r="D2443" s="12" t="inlineStr">
        <is>
          <t>PO-2021-0804</t>
        </is>
      </c>
      <c r="E2443" s="12" t="n">
        <v>0.9</v>
      </c>
      <c r="F2443" s="17" t="n">
        <v>87235.85000000001</v>
      </c>
      <c r="G2443" s="14">
        <f>E2443*F2443</f>
        <v/>
      </c>
      <c r="H2443" s="14">
        <f>C2443*G2443</f>
        <v/>
      </c>
    </row>
    <row r="2444">
      <c r="A2444" s="12" t="inlineStr">
        <is>
          <t>RET-0193</t>
        </is>
      </c>
      <c r="B2444" s="12" t="inlineStr">
        <is>
          <t>VS29</t>
        </is>
      </c>
      <c r="C2444" s="28" t="n">
        <v>0.0133</v>
      </c>
      <c r="D2444" s="12" t="inlineStr">
        <is>
          <t>PO-2023-4697</t>
        </is>
      </c>
      <c r="E2444" s="12" t="n">
        <v>0.9</v>
      </c>
      <c r="F2444" s="17" t="n">
        <v>107927.28</v>
      </c>
      <c r="G2444" s="14">
        <f>E2444*F2444</f>
        <v/>
      </c>
      <c r="H2444" s="14">
        <f>C2444*G2444</f>
        <v/>
      </c>
    </row>
    <row r="2445">
      <c r="A2445" s="12" t="inlineStr">
        <is>
          <t>RET-0193</t>
        </is>
      </c>
      <c r="B2445" s="12" t="inlineStr">
        <is>
          <t>VS30</t>
        </is>
      </c>
      <c r="C2445" s="28" t="n">
        <v>0.0057</v>
      </c>
      <c r="D2445" s="12" t="inlineStr">
        <is>
          <t>PO-2021-0114</t>
        </is>
      </c>
      <c r="E2445" s="12" t="n">
        <v>0.9</v>
      </c>
      <c r="F2445" s="17" t="n">
        <v>118558.1</v>
      </c>
      <c r="G2445" s="14">
        <f>E2445*F2445</f>
        <v/>
      </c>
      <c r="H2445" s="14">
        <f>C2445*G2445</f>
        <v/>
      </c>
    </row>
    <row r="2446">
      <c r="A2446" s="12" t="inlineStr">
        <is>
          <t>RET-0193</t>
        </is>
      </c>
      <c r="B2446" s="12" t="inlineStr">
        <is>
          <t>VS31</t>
        </is>
      </c>
      <c r="C2446" s="28" t="n">
        <v>0.0209</v>
      </c>
      <c r="D2446" s="12" t="inlineStr">
        <is>
          <t>PO-2023-3710</t>
        </is>
      </c>
      <c r="E2446" s="12" t="n">
        <v>0.9</v>
      </c>
      <c r="F2446" s="17" t="n">
        <v>108978.53</v>
      </c>
      <c r="G2446" s="14">
        <f>E2446*F2446</f>
        <v/>
      </c>
      <c r="H2446" s="14">
        <f>C2446*G2446</f>
        <v/>
      </c>
    </row>
    <row r="2447">
      <c r="A2447" s="12" t="inlineStr">
        <is>
          <t>RET-0193</t>
        </is>
      </c>
      <c r="B2447" s="12" t="inlineStr">
        <is>
          <t>VS32</t>
        </is>
      </c>
      <c r="C2447" s="28" t="n">
        <v>0.0249</v>
      </c>
      <c r="D2447" s="12" t="inlineStr">
        <is>
          <t>PO-2023-4576</t>
        </is>
      </c>
      <c r="E2447" s="12" t="n">
        <v>0.9</v>
      </c>
      <c r="F2447" s="17" t="n">
        <v>55178.58</v>
      </c>
      <c r="G2447" s="14">
        <f>E2447*F2447</f>
        <v/>
      </c>
      <c r="H2447" s="14">
        <f>C2447*G2447</f>
        <v/>
      </c>
    </row>
    <row r="2448">
      <c r="A2448" s="12" t="inlineStr">
        <is>
          <t>RET-0193</t>
        </is>
      </c>
      <c r="B2448" s="12" t="inlineStr">
        <is>
          <t>VS33</t>
        </is>
      </c>
      <c r="C2448" s="28" t="n">
        <v>0.0133</v>
      </c>
      <c r="D2448" s="12" t="inlineStr">
        <is>
          <t>PO-2021-0802</t>
        </is>
      </c>
      <c r="E2448" s="12" t="n">
        <v>0.9</v>
      </c>
      <c r="F2448" s="17" t="n">
        <v>85042.53999999999</v>
      </c>
      <c r="G2448" s="14">
        <f>E2448*F2448</f>
        <v/>
      </c>
      <c r="H2448" s="14">
        <f>C2448*G2448</f>
        <v/>
      </c>
    </row>
    <row r="2449">
      <c r="A2449" s="12" t="inlineStr">
        <is>
          <t>RET-0193</t>
        </is>
      </c>
      <c r="B2449" s="12" t="inlineStr">
        <is>
          <t>VS34</t>
        </is>
      </c>
      <c r="C2449" s="28" t="n">
        <v>0.0172</v>
      </c>
      <c r="D2449" s="12" t="inlineStr">
        <is>
          <t>PO-2023-4574</t>
        </is>
      </c>
      <c r="E2449" s="12" t="n">
        <v>0.9</v>
      </c>
      <c r="F2449" s="17" t="n">
        <v>118230.37</v>
      </c>
      <c r="G2449" s="14">
        <f>E2449*F2449</f>
        <v/>
      </c>
      <c r="H2449" s="14">
        <f>C2449*G2449</f>
        <v/>
      </c>
    </row>
    <row r="2450">
      <c r="A2450" s="12" t="inlineStr">
        <is>
          <t>RET-0196</t>
        </is>
      </c>
      <c r="B2450" s="12" t="inlineStr">
        <is>
          <t>VS01</t>
        </is>
      </c>
      <c r="C2450" s="28" t="n">
        <v>0.0236</v>
      </c>
      <c r="D2450" s="12" t="inlineStr">
        <is>
          <t>PO-2023-4273</t>
        </is>
      </c>
      <c r="E2450" s="12" t="n">
        <v>4.63</v>
      </c>
      <c r="F2450" s="17" t="n">
        <v>117802.1</v>
      </c>
      <c r="G2450" s="14">
        <f>E2450*F2450</f>
        <v/>
      </c>
      <c r="H2450" s="14">
        <f>C2450*G2450</f>
        <v/>
      </c>
    </row>
    <row r="2451">
      <c r="A2451" s="12" t="inlineStr">
        <is>
          <t>RET-0196</t>
        </is>
      </c>
      <c r="B2451" s="12" t="inlineStr">
        <is>
          <t>VS02</t>
        </is>
      </c>
      <c r="C2451" s="28" t="n">
        <v>0.0107</v>
      </c>
      <c r="D2451" s="12" t="inlineStr">
        <is>
          <t>PO-2023-4653</t>
        </is>
      </c>
      <c r="E2451" s="12" t="n">
        <v>4.63</v>
      </c>
      <c r="F2451" s="17" t="n">
        <v>113828.85</v>
      </c>
      <c r="G2451" s="14">
        <f>E2451*F2451</f>
        <v/>
      </c>
      <c r="H2451" s="14">
        <f>C2451*G2451</f>
        <v/>
      </c>
    </row>
    <row r="2452">
      <c r="A2452" s="12" t="inlineStr">
        <is>
          <t>RET-0196</t>
        </is>
      </c>
      <c r="B2452" s="12" t="inlineStr">
        <is>
          <t>VS03</t>
        </is>
      </c>
      <c r="C2452" s="28" t="n">
        <v>0.14</v>
      </c>
      <c r="D2452" s="12" t="inlineStr">
        <is>
          <t>PO-2021-0031</t>
        </is>
      </c>
      <c r="E2452" s="12" t="n">
        <v>0</v>
      </c>
      <c r="F2452" s="17" t="n">
        <v>118994.86</v>
      </c>
      <c r="G2452" s="14">
        <f>E2452*F2452</f>
        <v/>
      </c>
      <c r="H2452" s="14">
        <f>C2452*G2452</f>
        <v/>
      </c>
    </row>
    <row r="2453">
      <c r="A2453" s="12" t="inlineStr">
        <is>
          <t>RET-0196</t>
        </is>
      </c>
      <c r="B2453" s="12" t="inlineStr">
        <is>
          <t>VS04</t>
        </is>
      </c>
      <c r="C2453" s="28" t="n">
        <v>0.0148</v>
      </c>
      <c r="D2453" s="12" t="inlineStr">
        <is>
          <t>PO-2023-4648</t>
        </is>
      </c>
      <c r="E2453" s="12" t="n">
        <v>4.63</v>
      </c>
      <c r="F2453" s="17" t="n">
        <v>86177.22</v>
      </c>
      <c r="G2453" s="14">
        <f>E2453*F2453</f>
        <v/>
      </c>
      <c r="H2453" s="14">
        <f>C2453*G2453</f>
        <v/>
      </c>
    </row>
    <row r="2454">
      <c r="A2454" s="12" t="inlineStr">
        <is>
          <t>RET-0196</t>
        </is>
      </c>
      <c r="B2454" s="12" t="inlineStr">
        <is>
          <t>VS05</t>
        </is>
      </c>
      <c r="C2454" s="28" t="n">
        <v>0.0192</v>
      </c>
      <c r="D2454" s="12" t="inlineStr">
        <is>
          <t>PO-2022-1696</t>
        </is>
      </c>
      <c r="E2454" s="12" t="n">
        <v>4.63</v>
      </c>
      <c r="F2454" s="17" t="n">
        <v>77640.42</v>
      </c>
      <c r="G2454" s="14">
        <f>E2454*F2454</f>
        <v/>
      </c>
      <c r="H2454" s="14">
        <f>C2454*G2454</f>
        <v/>
      </c>
    </row>
    <row r="2455">
      <c r="A2455" s="12" t="inlineStr">
        <is>
          <t>RET-0196</t>
        </is>
      </c>
      <c r="B2455" s="12" t="inlineStr">
        <is>
          <t>VS06</t>
        </is>
      </c>
      <c r="C2455" s="28" t="n">
        <v>0.0194</v>
      </c>
      <c r="D2455" s="12" t="inlineStr">
        <is>
          <t>PO-2023-4531</t>
        </is>
      </c>
      <c r="E2455" s="12" t="n">
        <v>4.63</v>
      </c>
      <c r="F2455" s="17" t="n">
        <v>49827.89</v>
      </c>
      <c r="G2455" s="14">
        <f>E2455*F2455</f>
        <v/>
      </c>
      <c r="H2455" s="14">
        <f>C2455*G2455</f>
        <v/>
      </c>
    </row>
    <row r="2456">
      <c r="A2456" s="12" t="inlineStr">
        <is>
          <t>RET-0196</t>
        </is>
      </c>
      <c r="B2456" s="12" t="inlineStr">
        <is>
          <t>VS07</t>
        </is>
      </c>
      <c r="C2456" s="28" t="n">
        <v>0.0065</v>
      </c>
      <c r="D2456" s="12" t="inlineStr">
        <is>
          <t>PO-2023-4010</t>
        </is>
      </c>
      <c r="E2456" s="12" t="n">
        <v>4.63</v>
      </c>
      <c r="F2456" s="17" t="n">
        <v>93502.71000000001</v>
      </c>
      <c r="G2456" s="14">
        <f>E2456*F2456</f>
        <v/>
      </c>
      <c r="H2456" s="14">
        <f>C2456*G2456</f>
        <v/>
      </c>
    </row>
    <row r="2457">
      <c r="A2457" s="12" t="inlineStr">
        <is>
          <t>RET-0196</t>
        </is>
      </c>
      <c r="B2457" s="12" t="inlineStr">
        <is>
          <t>VS08</t>
        </is>
      </c>
      <c r="C2457" s="28" t="n">
        <v>0.0195</v>
      </c>
      <c r="D2457" s="12" t="inlineStr">
        <is>
          <t>PO-2021-0165</t>
        </is>
      </c>
      <c r="E2457" s="12" t="n">
        <v>4.63</v>
      </c>
      <c r="F2457" s="17" t="n">
        <v>94900.53999999999</v>
      </c>
      <c r="G2457" s="14">
        <f>E2457*F2457</f>
        <v/>
      </c>
      <c r="H2457" s="14">
        <f>C2457*G2457</f>
        <v/>
      </c>
    </row>
    <row r="2458">
      <c r="A2458" s="12" t="inlineStr">
        <is>
          <t>RET-0196</t>
        </is>
      </c>
      <c r="B2458" s="12" t="inlineStr">
        <is>
          <t>VS09</t>
        </is>
      </c>
      <c r="C2458" s="28" t="n">
        <v>0.015</v>
      </c>
      <c r="D2458" s="12" t="inlineStr">
        <is>
          <t>PO-2023-4440</t>
        </is>
      </c>
      <c r="E2458" s="12" t="n">
        <v>4.63</v>
      </c>
      <c r="F2458" s="17" t="n">
        <v>95752.41</v>
      </c>
      <c r="G2458" s="14">
        <f>E2458*F2458</f>
        <v/>
      </c>
      <c r="H2458" s="14">
        <f>C2458*G2458</f>
        <v/>
      </c>
    </row>
    <row r="2459">
      <c r="A2459" s="12" t="inlineStr">
        <is>
          <t>RET-0196</t>
        </is>
      </c>
      <c r="B2459" s="12" t="inlineStr">
        <is>
          <t>VS10</t>
        </is>
      </c>
      <c r="C2459" s="28" t="n">
        <v>0.0235</v>
      </c>
      <c r="D2459" s="12" t="inlineStr">
        <is>
          <t>PO-2022-3089</t>
        </is>
      </c>
      <c r="E2459" s="12" t="n">
        <v>4.63</v>
      </c>
      <c r="F2459" s="17" t="n">
        <v>75422.37</v>
      </c>
      <c r="G2459" s="14">
        <f>E2459*F2459</f>
        <v/>
      </c>
      <c r="H2459" s="14">
        <f>C2459*G2459</f>
        <v/>
      </c>
    </row>
    <row r="2460">
      <c r="A2460" s="12" t="inlineStr">
        <is>
          <t>RET-0196</t>
        </is>
      </c>
      <c r="B2460" s="12" t="inlineStr">
        <is>
          <t>VS11</t>
        </is>
      </c>
      <c r="C2460" s="28" t="n">
        <v>0.0276</v>
      </c>
      <c r="D2460" s="12" t="inlineStr">
        <is>
          <t>PO-2022-2946</t>
        </is>
      </c>
      <c r="E2460" s="12" t="n">
        <v>4.63</v>
      </c>
      <c r="F2460" s="17" t="n">
        <v>82851.5</v>
      </c>
      <c r="G2460" s="14">
        <f>E2460*F2460</f>
        <v/>
      </c>
      <c r="H2460" s="14">
        <f>C2460*G2460</f>
        <v/>
      </c>
    </row>
    <row r="2461">
      <c r="A2461" s="12" t="inlineStr">
        <is>
          <t>RET-0196</t>
        </is>
      </c>
      <c r="B2461" s="12" t="inlineStr">
        <is>
          <t>VS12</t>
        </is>
      </c>
      <c r="C2461" s="28" t="n">
        <v>0.1946</v>
      </c>
      <c r="D2461" s="12" t="inlineStr">
        <is>
          <t>PO-2022-3199</t>
        </is>
      </c>
      <c r="E2461" s="12" t="n">
        <v>4.63</v>
      </c>
      <c r="F2461" s="17" t="n">
        <v>86227.89999999999</v>
      </c>
      <c r="G2461" s="14">
        <f>E2461*F2461</f>
        <v/>
      </c>
      <c r="H2461" s="14">
        <f>C2461*G2461</f>
        <v/>
      </c>
    </row>
    <row r="2462">
      <c r="A2462" s="12" t="inlineStr">
        <is>
          <t>RET-0196</t>
        </is>
      </c>
      <c r="B2462" s="12" t="inlineStr">
        <is>
          <t>VS13</t>
        </is>
      </c>
      <c r="C2462" s="28" t="n">
        <v>0.019</v>
      </c>
      <c r="D2462" s="12" t="inlineStr">
        <is>
          <t>PO-2022-2521</t>
        </is>
      </c>
      <c r="E2462" s="12" t="n">
        <v>4.63</v>
      </c>
      <c r="F2462" s="17" t="n">
        <v>76319.17999999999</v>
      </c>
      <c r="G2462" s="14">
        <f>E2462*F2462</f>
        <v/>
      </c>
      <c r="H2462" s="14">
        <f>C2462*G2462</f>
        <v/>
      </c>
    </row>
    <row r="2463">
      <c r="A2463" s="12" t="inlineStr">
        <is>
          <t>RET-0196</t>
        </is>
      </c>
      <c r="B2463" s="12" t="inlineStr">
        <is>
          <t>VS14</t>
        </is>
      </c>
      <c r="C2463" s="28" t="n">
        <v>0.0192</v>
      </c>
      <c r="D2463" s="12" t="inlineStr">
        <is>
          <t>PO-2023-3453</t>
        </is>
      </c>
      <c r="E2463" s="12" t="n">
        <v>4.63</v>
      </c>
      <c r="F2463" s="17" t="n">
        <v>110538.65</v>
      </c>
      <c r="G2463" s="14">
        <f>E2463*F2463</f>
        <v/>
      </c>
      <c r="H2463" s="14">
        <f>C2463*G2463</f>
        <v/>
      </c>
    </row>
    <row r="2464">
      <c r="A2464" s="12" t="inlineStr">
        <is>
          <t>RET-0196</t>
        </is>
      </c>
      <c r="B2464" s="12" t="inlineStr">
        <is>
          <t>VS15</t>
        </is>
      </c>
      <c r="C2464" s="28" t="n">
        <v>0.0064</v>
      </c>
      <c r="D2464" s="12" t="inlineStr">
        <is>
          <t>PO-2021-0668</t>
        </is>
      </c>
      <c r="E2464" s="12" t="n">
        <v>4.63</v>
      </c>
      <c r="F2464" s="17" t="n">
        <v>71961.45</v>
      </c>
      <c r="G2464" s="14">
        <f>E2464*F2464</f>
        <v/>
      </c>
      <c r="H2464" s="14">
        <f>C2464*G2464</f>
        <v/>
      </c>
    </row>
    <row r="2465">
      <c r="A2465" s="12" t="inlineStr">
        <is>
          <t>RET-0196</t>
        </is>
      </c>
      <c r="B2465" s="12" t="inlineStr">
        <is>
          <t>VS16</t>
        </is>
      </c>
      <c r="C2465" s="28" t="n">
        <v>0.0277</v>
      </c>
      <c r="D2465" s="12" t="inlineStr">
        <is>
          <t>PO-2023-4449</t>
        </is>
      </c>
      <c r="E2465" s="12" t="n">
        <v>4.63</v>
      </c>
      <c r="F2465" s="17" t="n">
        <v>72938.41</v>
      </c>
      <c r="G2465" s="14">
        <f>E2465*F2465</f>
        <v/>
      </c>
      <c r="H2465" s="14">
        <f>C2465*G2465</f>
        <v/>
      </c>
    </row>
    <row r="2466">
      <c r="A2466" s="12" t="inlineStr">
        <is>
          <t>RET-0196</t>
        </is>
      </c>
      <c r="B2466" s="12" t="inlineStr">
        <is>
          <t>VS17</t>
        </is>
      </c>
      <c r="C2466" s="28" t="n">
        <v>0.0276</v>
      </c>
      <c r="D2466" s="12" t="inlineStr">
        <is>
          <t>PO-2022-3020</t>
        </is>
      </c>
      <c r="E2466" s="12" t="n">
        <v>3.537</v>
      </c>
      <c r="F2466" s="17" t="n">
        <v>84880.27</v>
      </c>
      <c r="G2466" s="14">
        <f>E2466*F2466</f>
        <v/>
      </c>
      <c r="H2466" s="14">
        <f>C2466*G2466</f>
        <v/>
      </c>
    </row>
    <row r="2467">
      <c r="A2467" s="12" t="inlineStr">
        <is>
          <t>RET-0196</t>
        </is>
      </c>
      <c r="B2467" s="12" t="inlineStr">
        <is>
          <t>VS18</t>
        </is>
      </c>
      <c r="C2467" s="28" t="n">
        <v>0.0192</v>
      </c>
      <c r="D2467" s="12" t="inlineStr">
        <is>
          <t>PO-2023-4318</t>
        </is>
      </c>
      <c r="E2467" s="12" t="n">
        <v>4.63</v>
      </c>
      <c r="F2467" s="17" t="n">
        <v>81365.81</v>
      </c>
      <c r="G2467" s="14">
        <f>E2467*F2467</f>
        <v/>
      </c>
      <c r="H2467" s="14">
        <f>C2467*G2467</f>
        <v/>
      </c>
    </row>
    <row r="2468">
      <c r="A2468" s="12" t="inlineStr">
        <is>
          <t>RET-0196</t>
        </is>
      </c>
      <c r="B2468" s="12" t="inlineStr">
        <is>
          <t>VS19</t>
        </is>
      </c>
      <c r="C2468" s="28" t="n">
        <v>0.1468</v>
      </c>
      <c r="D2468" s="12" t="inlineStr">
        <is>
          <t>PO-2022-1997</t>
        </is>
      </c>
      <c r="E2468" s="12" t="n">
        <v>4.63</v>
      </c>
      <c r="F2468" s="17" t="n">
        <v>88460.98</v>
      </c>
      <c r="G2468" s="14">
        <f>E2468*F2468</f>
        <v/>
      </c>
      <c r="H2468" s="14">
        <f>C2468*G2468</f>
        <v/>
      </c>
    </row>
    <row r="2469">
      <c r="A2469" s="12" t="inlineStr">
        <is>
          <t>RET-0196</t>
        </is>
      </c>
      <c r="B2469" s="12" t="inlineStr">
        <is>
          <t>VS20</t>
        </is>
      </c>
      <c r="C2469" s="28" t="n">
        <v>0.0107</v>
      </c>
      <c r="D2469" s="12" t="inlineStr">
        <is>
          <t>PO-2021-0451</t>
        </is>
      </c>
      <c r="E2469" s="12" t="n">
        <v>4.63</v>
      </c>
      <c r="F2469" s="17" t="n">
        <v>108485.11</v>
      </c>
      <c r="G2469" s="14">
        <f>E2469*F2469</f>
        <v/>
      </c>
      <c r="H2469" s="14">
        <f>C2469*G2469</f>
        <v/>
      </c>
    </row>
    <row r="2470">
      <c r="A2470" s="12" t="inlineStr">
        <is>
          <t>RET-0196</t>
        </is>
      </c>
      <c r="B2470" s="12" t="inlineStr">
        <is>
          <t>VS21</t>
        </is>
      </c>
      <c r="C2470" s="28" t="n">
        <v>0.0107</v>
      </c>
      <c r="D2470" s="12" t="inlineStr">
        <is>
          <t>PO-2021-1012</t>
        </is>
      </c>
      <c r="E2470" s="12" t="n">
        <v>4.63</v>
      </c>
      <c r="F2470" s="17" t="n">
        <v>111886.7</v>
      </c>
      <c r="G2470" s="14">
        <f>E2470*F2470</f>
        <v/>
      </c>
      <c r="H2470" s="14">
        <f>C2470*G2470</f>
        <v/>
      </c>
    </row>
    <row r="2471">
      <c r="A2471" s="12" t="inlineStr">
        <is>
          <t>RET-0196</t>
        </is>
      </c>
      <c r="B2471" s="12" t="inlineStr">
        <is>
          <t>VS22</t>
        </is>
      </c>
      <c r="C2471" s="28" t="n">
        <v>0.0064</v>
      </c>
      <c r="D2471" s="12" t="inlineStr">
        <is>
          <t>PO-2021-1543</t>
        </is>
      </c>
      <c r="E2471" s="12" t="n">
        <v>4.63</v>
      </c>
      <c r="F2471" s="17" t="n">
        <v>83239.78</v>
      </c>
      <c r="G2471" s="14">
        <f>E2471*F2471</f>
        <v/>
      </c>
      <c r="H2471" s="14">
        <f>C2471*G2471</f>
        <v/>
      </c>
    </row>
    <row r="2472">
      <c r="A2472" s="12" t="inlineStr">
        <is>
          <t>RET-0196</t>
        </is>
      </c>
      <c r="B2472" s="12" t="inlineStr">
        <is>
          <t>VS23</t>
        </is>
      </c>
      <c r="C2472" s="28" t="n">
        <v>0.0105</v>
      </c>
      <c r="D2472" s="12" t="inlineStr">
        <is>
          <t>PO-2023-4050</t>
        </is>
      </c>
      <c r="E2472" s="12" t="n">
        <v>4.63</v>
      </c>
      <c r="F2472" s="17" t="n">
        <v>64755.34</v>
      </c>
      <c r="G2472" s="14">
        <f>E2472*F2472</f>
        <v/>
      </c>
      <c r="H2472" s="14">
        <f>C2472*G2472</f>
        <v/>
      </c>
    </row>
    <row r="2473">
      <c r="A2473" s="12" t="inlineStr">
        <is>
          <t>RET-0196</t>
        </is>
      </c>
      <c r="B2473" s="12" t="inlineStr">
        <is>
          <t>VS24</t>
        </is>
      </c>
      <c r="C2473" s="28" t="n">
        <v>0.0107</v>
      </c>
      <c r="D2473" s="12" t="inlineStr">
        <is>
          <t>PO-2021-1232</t>
        </is>
      </c>
      <c r="E2473" s="12" t="n">
        <v>4.63</v>
      </c>
      <c r="F2473" s="17" t="n">
        <v>94874.64</v>
      </c>
      <c r="G2473" s="14">
        <f>E2473*F2473</f>
        <v/>
      </c>
      <c r="H2473" s="14">
        <f>C2473*G2473</f>
        <v/>
      </c>
    </row>
    <row r="2474">
      <c r="A2474" s="12" t="inlineStr">
        <is>
          <t>RET-0196</t>
        </is>
      </c>
      <c r="B2474" s="12" t="inlineStr">
        <is>
          <t>VS25</t>
        </is>
      </c>
      <c r="C2474" s="28" t="n">
        <v>0.0193</v>
      </c>
      <c r="D2474" s="12" t="inlineStr">
        <is>
          <t>PO-2022-1760</t>
        </is>
      </c>
      <c r="E2474" s="12" t="n">
        <v>4.63</v>
      </c>
      <c r="F2474" s="17" t="n">
        <v>84492.85000000001</v>
      </c>
      <c r="G2474" s="14">
        <f>E2474*F2474</f>
        <v/>
      </c>
      <c r="H2474" s="14">
        <f>C2474*G2474</f>
        <v/>
      </c>
    </row>
    <row r="2475">
      <c r="A2475" s="12" t="inlineStr">
        <is>
          <t>RET-0196</t>
        </is>
      </c>
      <c r="B2475" s="12" t="inlineStr">
        <is>
          <t>VS26</t>
        </is>
      </c>
      <c r="C2475" s="28" t="n">
        <v>0.0107</v>
      </c>
      <c r="D2475" s="12" t="inlineStr">
        <is>
          <t>PO-2022-1630</t>
        </is>
      </c>
      <c r="E2475" s="12" t="n">
        <v>4.63</v>
      </c>
      <c r="F2475" s="17" t="n">
        <v>113785.51</v>
      </c>
      <c r="G2475" s="14">
        <f>E2475*F2475</f>
        <v/>
      </c>
      <c r="H2475" s="14">
        <f>C2475*G2475</f>
        <v/>
      </c>
    </row>
    <row r="2476">
      <c r="A2476" s="12" t="inlineStr">
        <is>
          <t>RET-0196</t>
        </is>
      </c>
      <c r="B2476" s="12" t="inlineStr">
        <is>
          <t>VS27</t>
        </is>
      </c>
      <c r="C2476" s="28" t="n">
        <v>0.0105</v>
      </c>
      <c r="D2476" s="12" t="inlineStr">
        <is>
          <t>PO-2021-0844</t>
        </is>
      </c>
      <c r="E2476" s="12" t="n">
        <v>4.63</v>
      </c>
      <c r="F2476" s="17" t="n">
        <v>100920.73</v>
      </c>
      <c r="G2476" s="14">
        <f>E2476*F2476</f>
        <v/>
      </c>
      <c r="H2476" s="14">
        <f>C2476*G2476</f>
        <v/>
      </c>
    </row>
    <row r="2477">
      <c r="A2477" s="12" t="inlineStr">
        <is>
          <t>RET-0196</t>
        </is>
      </c>
      <c r="B2477" s="12" t="inlineStr">
        <is>
          <t>VS28</t>
        </is>
      </c>
      <c r="C2477" s="28" t="n">
        <v>0.0235</v>
      </c>
      <c r="D2477" s="12" t="inlineStr">
        <is>
          <t>PO-2021-1127</t>
        </is>
      </c>
      <c r="E2477" s="12" t="n">
        <v>4.63</v>
      </c>
      <c r="F2477" s="17" t="n">
        <v>107266.08</v>
      </c>
      <c r="G2477" s="14">
        <f>E2477*F2477</f>
        <v/>
      </c>
      <c r="H2477" s="14">
        <f>C2477*G2477</f>
        <v/>
      </c>
    </row>
    <row r="2478">
      <c r="A2478" s="12" t="inlineStr">
        <is>
          <t>RET-0196</t>
        </is>
      </c>
      <c r="B2478" s="12" t="inlineStr">
        <is>
          <t>VS29</t>
        </is>
      </c>
      <c r="C2478" s="28" t="n">
        <v>0.0149</v>
      </c>
      <c r="D2478" s="12" t="inlineStr">
        <is>
          <t>PO-2022-1643</t>
        </is>
      </c>
      <c r="E2478" s="12" t="n">
        <v>4.63</v>
      </c>
      <c r="F2478" s="17" t="n">
        <v>95223.33</v>
      </c>
      <c r="G2478" s="14">
        <f>E2478*F2478</f>
        <v/>
      </c>
      <c r="H2478" s="14">
        <f>C2478*G2478</f>
        <v/>
      </c>
    </row>
    <row r="2479">
      <c r="A2479" s="12" t="inlineStr">
        <is>
          <t>RET-0196</t>
        </is>
      </c>
      <c r="B2479" s="12" t="inlineStr">
        <is>
          <t>VS30</t>
        </is>
      </c>
      <c r="C2479" s="28" t="n">
        <v>0.0064</v>
      </c>
      <c r="D2479" s="12" t="inlineStr">
        <is>
          <t>PO-2021-1194</t>
        </is>
      </c>
      <c r="E2479" s="12" t="n">
        <v>4.63</v>
      </c>
      <c r="F2479" s="17" t="n">
        <v>105115.85</v>
      </c>
      <c r="G2479" s="14">
        <f>E2479*F2479</f>
        <v/>
      </c>
      <c r="H2479" s="14">
        <f>C2479*G2479</f>
        <v/>
      </c>
    </row>
    <row r="2480">
      <c r="A2480" s="12" t="inlineStr">
        <is>
          <t>RET-0196</t>
        </is>
      </c>
      <c r="B2480" s="12" t="inlineStr">
        <is>
          <t>VS31</t>
        </is>
      </c>
      <c r="C2480" s="28" t="n">
        <v>0.0234</v>
      </c>
      <c r="D2480" s="12" t="inlineStr">
        <is>
          <t>PO-2022-1604</t>
        </is>
      </c>
      <c r="E2480" s="12" t="n">
        <v>4.63</v>
      </c>
      <c r="F2480" s="17" t="n">
        <v>78298.02</v>
      </c>
      <c r="G2480" s="14">
        <f>E2480*F2480</f>
        <v/>
      </c>
      <c r="H2480" s="14">
        <f>C2480*G2480</f>
        <v/>
      </c>
    </row>
    <row r="2481">
      <c r="A2481" s="12" t="inlineStr">
        <is>
          <t>RET-0196</t>
        </is>
      </c>
      <c r="B2481" s="12" t="inlineStr">
        <is>
          <t>VS32</t>
        </is>
      </c>
      <c r="C2481" s="28" t="n">
        <v>0.0279</v>
      </c>
      <c r="D2481" s="12" t="inlineStr">
        <is>
          <t>PO-2023-3768</t>
        </is>
      </c>
      <c r="E2481" s="12" t="n">
        <v>4.63</v>
      </c>
      <c r="F2481" s="17" t="n">
        <v>67020</v>
      </c>
      <c r="G2481" s="14">
        <f>E2481*F2481</f>
        <v/>
      </c>
      <c r="H2481" s="14">
        <f>C2481*G2481</f>
        <v/>
      </c>
    </row>
    <row r="2482">
      <c r="A2482" s="12" t="inlineStr">
        <is>
          <t>RET-0196</t>
        </is>
      </c>
      <c r="B2482" s="12" t="inlineStr">
        <is>
          <t>VS33</t>
        </is>
      </c>
      <c r="C2482" s="28" t="n">
        <v>0.0149</v>
      </c>
      <c r="D2482" s="12" t="inlineStr">
        <is>
          <t>PO-2022-2218</t>
        </is>
      </c>
      <c r="E2482" s="12" t="n">
        <v>4.63</v>
      </c>
      <c r="F2482" s="17" t="n">
        <v>85470.95</v>
      </c>
      <c r="G2482" s="14">
        <f>E2482*F2482</f>
        <v/>
      </c>
      <c r="H2482" s="14">
        <f>C2482*G2482</f>
        <v/>
      </c>
    </row>
    <row r="2483">
      <c r="A2483" s="12" t="inlineStr">
        <is>
          <t>RET-0196</t>
        </is>
      </c>
      <c r="B2483" s="12" t="inlineStr">
        <is>
          <t>VS34</t>
        </is>
      </c>
      <c r="C2483" s="28" t="n">
        <v>0.0192</v>
      </c>
      <c r="D2483" s="12" t="inlineStr">
        <is>
          <t>PO-2021-0875</t>
        </is>
      </c>
      <c r="E2483" s="12" t="n">
        <v>4.63</v>
      </c>
      <c r="F2483" s="17" t="n">
        <v>97187.21000000001</v>
      </c>
      <c r="G2483" s="14">
        <f>E2483*F2483</f>
        <v/>
      </c>
      <c r="H2483" s="14">
        <f>C2483*G2483</f>
        <v/>
      </c>
    </row>
    <row r="2484">
      <c r="A2484" s="12" t="inlineStr">
        <is>
          <t>RET-0197</t>
        </is>
      </c>
      <c r="B2484" s="12" t="inlineStr">
        <is>
          <t>VS01</t>
        </is>
      </c>
      <c r="C2484" s="28" t="n">
        <v>0.0161</v>
      </c>
      <c r="D2484" s="12" t="inlineStr">
        <is>
          <t>PO-2023-4585</t>
        </is>
      </c>
      <c r="E2484" s="12" t="n">
        <v>2.64</v>
      </c>
      <c r="F2484" s="17" t="n">
        <v>82778.63</v>
      </c>
      <c r="G2484" s="14">
        <f>E2484*F2484</f>
        <v/>
      </c>
      <c r="H2484" s="14">
        <f>C2484*G2484</f>
        <v/>
      </c>
    </row>
    <row r="2485">
      <c r="A2485" s="12" t="inlineStr">
        <is>
          <t>RET-0197</t>
        </is>
      </c>
      <c r="B2485" s="12" t="inlineStr">
        <is>
          <t>VS02</t>
        </is>
      </c>
      <c r="C2485" s="28" t="n">
        <v>0.0073</v>
      </c>
      <c r="D2485" s="12" t="inlineStr">
        <is>
          <t>PO-2023-4202</t>
        </is>
      </c>
      <c r="E2485" s="12" t="n">
        <v>2.64</v>
      </c>
      <c r="F2485" s="17" t="n">
        <v>66577.38</v>
      </c>
      <c r="G2485" s="14">
        <f>E2485*F2485</f>
        <v/>
      </c>
      <c r="H2485" s="14">
        <f>C2485*G2485</f>
        <v/>
      </c>
    </row>
    <row r="2486">
      <c r="A2486" s="12" t="inlineStr">
        <is>
          <t>RET-0197</t>
        </is>
      </c>
      <c r="B2486" s="12" t="inlineStr">
        <is>
          <t>VS03</t>
        </is>
      </c>
      <c r="C2486" s="28" t="n">
        <v>0.1876</v>
      </c>
      <c r="D2486" s="12" t="inlineStr">
        <is>
          <t>PO-2023-3846</t>
        </is>
      </c>
      <c r="E2486" s="12" t="n">
        <v>2.64</v>
      </c>
      <c r="F2486" s="17" t="n">
        <v>90793.78999999999</v>
      </c>
      <c r="G2486" s="14">
        <f>E2486*F2486</f>
        <v/>
      </c>
      <c r="H2486" s="14">
        <f>C2486*G2486</f>
        <v/>
      </c>
    </row>
    <row r="2487">
      <c r="A2487" s="12" t="inlineStr">
        <is>
          <t>RET-0197</t>
        </is>
      </c>
      <c r="B2487" s="12" t="inlineStr">
        <is>
          <t>VS04</t>
        </is>
      </c>
      <c r="C2487" s="28" t="n">
        <v>0.0101</v>
      </c>
      <c r="D2487" s="12" t="inlineStr">
        <is>
          <t>PO-2021-1274</t>
        </is>
      </c>
      <c r="E2487" s="12" t="n">
        <v>2.64</v>
      </c>
      <c r="F2487" s="17" t="n">
        <v>69003.11</v>
      </c>
      <c r="G2487" s="14">
        <f>E2487*F2487</f>
        <v/>
      </c>
      <c r="H2487" s="14">
        <f>C2487*G2487</f>
        <v/>
      </c>
    </row>
    <row r="2488">
      <c r="A2488" s="12" t="inlineStr">
        <is>
          <t>RET-0197</t>
        </is>
      </c>
      <c r="B2488" s="12" t="inlineStr">
        <is>
          <t>VS05</t>
        </is>
      </c>
      <c r="C2488" s="28" t="n">
        <v>0.0131</v>
      </c>
      <c r="D2488" s="12" t="inlineStr">
        <is>
          <t>PO-2022-2543</t>
        </is>
      </c>
      <c r="E2488" s="12" t="n">
        <v>2.64</v>
      </c>
      <c r="F2488" s="17" t="n">
        <v>79675.24000000001</v>
      </c>
      <c r="G2488" s="14">
        <f>E2488*F2488</f>
        <v/>
      </c>
      <c r="H2488" s="14">
        <f>C2488*G2488</f>
        <v/>
      </c>
    </row>
    <row r="2489">
      <c r="A2489" s="12" t="inlineStr">
        <is>
          <t>RET-0197</t>
        </is>
      </c>
      <c r="B2489" s="12" t="inlineStr">
        <is>
          <t>VS06</t>
        </is>
      </c>
      <c r="C2489" s="28" t="n">
        <v>0.0133</v>
      </c>
      <c r="D2489" s="12" t="inlineStr">
        <is>
          <t>PO-2021-0700</t>
        </is>
      </c>
      <c r="E2489" s="12" t="n">
        <v>2.64</v>
      </c>
      <c r="F2489" s="17" t="n">
        <v>85779.83</v>
      </c>
      <c r="G2489" s="14">
        <f>E2489*F2489</f>
        <v/>
      </c>
      <c r="H2489" s="14">
        <f>C2489*G2489</f>
        <v/>
      </c>
    </row>
    <row r="2490">
      <c r="A2490" s="12" t="inlineStr">
        <is>
          <t>RET-0197</t>
        </is>
      </c>
      <c r="B2490" s="12" t="inlineStr">
        <is>
          <t>VS07</t>
        </is>
      </c>
      <c r="C2490" s="28" t="n">
        <v>0.0044</v>
      </c>
      <c r="D2490" s="12" t="inlineStr">
        <is>
          <t>PO-2021-0065</t>
        </is>
      </c>
      <c r="E2490" s="12" t="n">
        <v>2.64</v>
      </c>
      <c r="F2490" s="17" t="n">
        <v>90030.87</v>
      </c>
      <c r="G2490" s="14">
        <f>E2490*F2490</f>
        <v/>
      </c>
      <c r="H2490" s="14">
        <f>C2490*G2490</f>
        <v/>
      </c>
    </row>
    <row r="2491">
      <c r="A2491" s="12" t="inlineStr">
        <is>
          <t>RET-0197</t>
        </is>
      </c>
      <c r="B2491" s="12" t="inlineStr">
        <is>
          <t>VS08</t>
        </is>
      </c>
      <c r="C2491" s="28" t="n">
        <v>0.0133</v>
      </c>
      <c r="D2491" s="12" t="inlineStr">
        <is>
          <t>PO-2023-3354</t>
        </is>
      </c>
      <c r="E2491" s="12" t="n">
        <v>2.64</v>
      </c>
      <c r="F2491" s="17" t="n">
        <v>115324.57</v>
      </c>
      <c r="G2491" s="14">
        <f>E2491*F2491</f>
        <v/>
      </c>
      <c r="H2491" s="14">
        <f>C2491*G2491</f>
        <v/>
      </c>
    </row>
    <row r="2492">
      <c r="A2492" s="12" t="inlineStr">
        <is>
          <t>RET-0197</t>
        </is>
      </c>
      <c r="B2492" s="12" t="inlineStr">
        <is>
          <t>VS09</t>
        </is>
      </c>
      <c r="C2492" s="28" t="n">
        <v>0.0102</v>
      </c>
      <c r="D2492" s="12" t="inlineStr">
        <is>
          <t>PO-2021-0841</t>
        </is>
      </c>
      <c r="E2492" s="12" t="n">
        <v>2.64</v>
      </c>
      <c r="F2492" s="17" t="n">
        <v>112398.24</v>
      </c>
      <c r="G2492" s="14">
        <f>E2492*F2492</f>
        <v/>
      </c>
      <c r="H2492" s="14">
        <f>C2492*G2492</f>
        <v/>
      </c>
    </row>
    <row r="2493">
      <c r="A2493" s="12" t="inlineStr">
        <is>
          <t>RET-0197</t>
        </is>
      </c>
      <c r="B2493" s="12" t="inlineStr">
        <is>
          <t>VS10</t>
        </is>
      </c>
      <c r="C2493" s="28" t="n">
        <v>0.0161</v>
      </c>
      <c r="D2493" s="12" t="inlineStr">
        <is>
          <t>PO-2022-1933</t>
        </is>
      </c>
      <c r="E2493" s="12" t="n">
        <v>2.64</v>
      </c>
      <c r="F2493" s="17" t="n">
        <v>60334.64</v>
      </c>
      <c r="G2493" s="14">
        <f>E2493*F2493</f>
        <v/>
      </c>
      <c r="H2493" s="14">
        <f>C2493*G2493</f>
        <v/>
      </c>
    </row>
    <row r="2494">
      <c r="A2494" s="12" t="inlineStr">
        <is>
          <t>RET-0197</t>
        </is>
      </c>
      <c r="B2494" s="12" t="inlineStr">
        <is>
          <t>VS11</t>
        </is>
      </c>
      <c r="C2494" s="28" t="n">
        <v>0.0189</v>
      </c>
      <c r="D2494" s="12" t="inlineStr">
        <is>
          <t>PO-2021-0107</t>
        </is>
      </c>
      <c r="E2494" s="12" t="n">
        <v>2.64</v>
      </c>
      <c r="F2494" s="17" t="n">
        <v>86418.86</v>
      </c>
      <c r="G2494" s="14">
        <f>E2494*F2494</f>
        <v/>
      </c>
      <c r="H2494" s="14">
        <f>C2494*G2494</f>
        <v/>
      </c>
    </row>
    <row r="2495">
      <c r="A2495" s="12" t="inlineStr">
        <is>
          <t>RET-0197</t>
        </is>
      </c>
      <c r="B2495" s="12" t="inlineStr">
        <is>
          <t>VS12</t>
        </is>
      </c>
      <c r="C2495" s="28" t="n">
        <v>0.2608</v>
      </c>
      <c r="D2495" s="12" t="inlineStr">
        <is>
          <t>PO-2021-0746</t>
        </is>
      </c>
      <c r="E2495" s="12" t="n">
        <v>2.64</v>
      </c>
      <c r="F2495" s="17" t="n">
        <v>99309.03999999999</v>
      </c>
      <c r="G2495" s="14">
        <f>E2495*F2495</f>
        <v/>
      </c>
      <c r="H2495" s="14">
        <f>C2495*G2495</f>
        <v/>
      </c>
    </row>
    <row r="2496">
      <c r="A2496" s="12" t="inlineStr">
        <is>
          <t>RET-0197</t>
        </is>
      </c>
      <c r="B2496" s="12" t="inlineStr">
        <is>
          <t>VS13</t>
        </is>
      </c>
      <c r="C2496" s="28" t="n">
        <v>0.013</v>
      </c>
      <c r="D2496" s="12" t="inlineStr">
        <is>
          <t>PO-2022-3120</t>
        </is>
      </c>
      <c r="E2496" s="12" t="n">
        <v>2.64</v>
      </c>
      <c r="F2496" s="17" t="n">
        <v>97416.7</v>
      </c>
      <c r="G2496" s="14">
        <f>E2496*F2496</f>
        <v/>
      </c>
      <c r="H2496" s="14">
        <f>C2496*G2496</f>
        <v/>
      </c>
    </row>
    <row r="2497">
      <c r="A2497" s="12" t="inlineStr">
        <is>
          <t>RET-0197</t>
        </is>
      </c>
      <c r="B2497" s="12" t="inlineStr">
        <is>
          <t>VS14</t>
        </is>
      </c>
      <c r="C2497" s="28" t="n">
        <v>0.0131</v>
      </c>
      <c r="D2497" s="12" t="inlineStr">
        <is>
          <t>PO-2022-2088</t>
        </is>
      </c>
      <c r="E2497" s="12" t="n">
        <v>2.64</v>
      </c>
      <c r="F2497" s="17" t="n">
        <v>69001.19</v>
      </c>
      <c r="G2497" s="14">
        <f>E2497*F2497</f>
        <v/>
      </c>
      <c r="H2497" s="14">
        <f>C2497*G2497</f>
        <v/>
      </c>
    </row>
    <row r="2498">
      <c r="A2498" s="12" t="inlineStr">
        <is>
          <t>RET-0197</t>
        </is>
      </c>
      <c r="B2498" s="12" t="inlineStr">
        <is>
          <t>VS15</t>
        </is>
      </c>
      <c r="C2498" s="28" t="n">
        <v>0.0044</v>
      </c>
      <c r="D2498" s="12" t="inlineStr">
        <is>
          <t>PO-2022-1673</t>
        </is>
      </c>
      <c r="E2498" s="12" t="n">
        <v>2.64</v>
      </c>
      <c r="F2498" s="17" t="n">
        <v>108034.26</v>
      </c>
      <c r="G2498" s="14">
        <f>E2498*F2498</f>
        <v/>
      </c>
      <c r="H2498" s="14">
        <f>C2498*G2498</f>
        <v/>
      </c>
    </row>
    <row r="2499">
      <c r="A2499" s="12" t="inlineStr">
        <is>
          <t>RET-0197</t>
        </is>
      </c>
      <c r="B2499" s="12" t="inlineStr">
        <is>
          <t>VS16</t>
        </is>
      </c>
      <c r="C2499" s="28" t="n">
        <v>0.0189</v>
      </c>
      <c r="D2499" s="12" t="inlineStr">
        <is>
          <t>PO-2021-0473</t>
        </is>
      </c>
      <c r="E2499" s="12" t="n">
        <v>2.64</v>
      </c>
      <c r="F2499" s="17" t="n">
        <v>68625.67</v>
      </c>
      <c r="G2499" s="14">
        <f>E2499*F2499</f>
        <v/>
      </c>
      <c r="H2499" s="14">
        <f>C2499*G2499</f>
        <v/>
      </c>
    </row>
    <row r="2500">
      <c r="A2500" s="12" t="inlineStr">
        <is>
          <t>RET-0197</t>
        </is>
      </c>
      <c r="B2500" s="12" t="inlineStr">
        <is>
          <t>VS17</t>
        </is>
      </c>
      <c r="C2500" s="28" t="n">
        <v>0.0189</v>
      </c>
      <c r="D2500" s="12" t="inlineStr">
        <is>
          <t>PO-2023-4411</t>
        </is>
      </c>
      <c r="E2500" s="12" t="n">
        <v>2.64</v>
      </c>
      <c r="F2500" s="17" t="n">
        <v>118154.76</v>
      </c>
      <c r="G2500" s="14">
        <f>E2500*F2500</f>
        <v/>
      </c>
      <c r="H2500" s="14">
        <f>C2500*G2500</f>
        <v/>
      </c>
    </row>
    <row r="2501">
      <c r="A2501" s="12" t="inlineStr">
        <is>
          <t>RET-0197</t>
        </is>
      </c>
      <c r="B2501" s="12" t="inlineStr">
        <is>
          <t>VS18</t>
        </is>
      </c>
      <c r="C2501" s="28" t="n">
        <v>0.0131</v>
      </c>
      <c r="D2501" s="12" t="inlineStr">
        <is>
          <t>PO-2023-4086</t>
        </is>
      </c>
      <c r="E2501" s="12" t="n">
        <v>2.64</v>
      </c>
      <c r="F2501" s="17" t="n">
        <v>64186.35</v>
      </c>
      <c r="G2501" s="14">
        <f>E2501*F2501</f>
        <v/>
      </c>
      <c r="H2501" s="14">
        <f>C2501*G2501</f>
        <v/>
      </c>
    </row>
    <row r="2502">
      <c r="A2502" s="12" t="inlineStr">
        <is>
          <t>RET-0197</t>
        </is>
      </c>
      <c r="B2502" s="12" t="inlineStr">
        <is>
          <t>VS19</t>
        </is>
      </c>
      <c r="C2502" s="28" t="n">
        <v>0.1967</v>
      </c>
      <c r="D2502" s="12" t="inlineStr">
        <is>
          <t>PO-2023-3811</t>
        </is>
      </c>
      <c r="E2502" s="12" t="n">
        <v>2.64</v>
      </c>
      <c r="F2502" s="17" t="n">
        <v>72247.42</v>
      </c>
      <c r="G2502" s="14">
        <f>E2502*F2502</f>
        <v/>
      </c>
      <c r="H2502" s="14">
        <f>C2502*G2502</f>
        <v/>
      </c>
    </row>
    <row r="2503">
      <c r="A2503" s="12" t="inlineStr">
        <is>
          <t>RET-0197</t>
        </is>
      </c>
      <c r="B2503" s="12" t="inlineStr">
        <is>
          <t>VS20</t>
        </is>
      </c>
      <c r="C2503" s="28" t="n">
        <v>0.0073</v>
      </c>
      <c r="D2503" s="12" t="inlineStr">
        <is>
          <t>PO-2022-2233</t>
        </is>
      </c>
      <c r="E2503" s="12" t="n">
        <v>2.64</v>
      </c>
      <c r="F2503" s="17" t="n">
        <v>96227.39999999999</v>
      </c>
      <c r="G2503" s="14">
        <f>E2503*F2503</f>
        <v/>
      </c>
      <c r="H2503" s="14">
        <f>C2503*G2503</f>
        <v/>
      </c>
    </row>
    <row r="2504">
      <c r="A2504" s="12" t="inlineStr">
        <is>
          <t>RET-0197</t>
        </is>
      </c>
      <c r="B2504" s="12" t="inlineStr">
        <is>
          <t>VS21</t>
        </is>
      </c>
      <c r="C2504" s="28" t="n">
        <v>0.0073</v>
      </c>
      <c r="D2504" s="12" t="inlineStr">
        <is>
          <t>PO-2023-4345</t>
        </is>
      </c>
      <c r="E2504" s="12" t="n">
        <v>2.64</v>
      </c>
      <c r="F2504" s="17" t="n">
        <v>98529.75</v>
      </c>
      <c r="G2504" s="14">
        <f>E2504*F2504</f>
        <v/>
      </c>
      <c r="H2504" s="14">
        <f>C2504*G2504</f>
        <v/>
      </c>
    </row>
    <row r="2505">
      <c r="A2505" s="12" t="inlineStr">
        <is>
          <t>RET-0197</t>
        </is>
      </c>
      <c r="B2505" s="12" t="inlineStr">
        <is>
          <t>VS22</t>
        </is>
      </c>
      <c r="C2505" s="28" t="n">
        <v>0.0043</v>
      </c>
      <c r="D2505" s="12" t="inlineStr">
        <is>
          <t>PO-2023-3697</t>
        </is>
      </c>
      <c r="E2505" s="12" t="n">
        <v>2.64</v>
      </c>
      <c r="F2505" s="17" t="n">
        <v>98843.50999999999</v>
      </c>
      <c r="G2505" s="14">
        <f>E2505*F2505</f>
        <v/>
      </c>
      <c r="H2505" s="14">
        <f>C2505*G2505</f>
        <v/>
      </c>
    </row>
    <row r="2506">
      <c r="A2506" s="12" t="inlineStr">
        <is>
          <t>RET-0197</t>
        </is>
      </c>
      <c r="B2506" s="12" t="inlineStr">
        <is>
          <t>VS23</t>
        </is>
      </c>
      <c r="C2506" s="28" t="n">
        <v>0.0072</v>
      </c>
      <c r="D2506" s="12" t="inlineStr">
        <is>
          <t>PO-2021-0577</t>
        </is>
      </c>
      <c r="E2506" s="12" t="n">
        <v>2.64</v>
      </c>
      <c r="F2506" s="17" t="n">
        <v>73766.28999999999</v>
      </c>
      <c r="G2506" s="14">
        <f>E2506*F2506</f>
        <v/>
      </c>
      <c r="H2506" s="14">
        <f>C2506*G2506</f>
        <v/>
      </c>
    </row>
    <row r="2507">
      <c r="A2507" s="12" t="inlineStr">
        <is>
          <t>RET-0197</t>
        </is>
      </c>
      <c r="B2507" s="12" t="inlineStr">
        <is>
          <t>VS24</t>
        </is>
      </c>
      <c r="C2507" s="28" t="n">
        <v>0.0073</v>
      </c>
      <c r="D2507" s="12" t="inlineStr">
        <is>
          <t>PO-2023-4403</t>
        </is>
      </c>
      <c r="E2507" s="12" t="n">
        <v>2.64</v>
      </c>
      <c r="F2507" s="17" t="n">
        <v>72950.83</v>
      </c>
      <c r="G2507" s="14">
        <f>E2507*F2507</f>
        <v/>
      </c>
      <c r="H2507" s="14">
        <f>C2507*G2507</f>
        <v/>
      </c>
    </row>
    <row r="2508">
      <c r="A2508" s="12" t="inlineStr">
        <is>
          <t>RET-0197</t>
        </is>
      </c>
      <c r="B2508" s="12" t="inlineStr">
        <is>
          <t>VS25</t>
        </is>
      </c>
      <c r="C2508" s="28" t="n">
        <v>0.0132</v>
      </c>
      <c r="D2508" s="12" t="inlineStr">
        <is>
          <t>PO-2023-4142</t>
        </is>
      </c>
      <c r="E2508" s="12" t="n">
        <v>2.64</v>
      </c>
      <c r="F2508" s="17" t="n">
        <v>75409.46000000001</v>
      </c>
      <c r="G2508" s="14">
        <f>E2508*F2508</f>
        <v/>
      </c>
      <c r="H2508" s="14">
        <f>C2508*G2508</f>
        <v/>
      </c>
    </row>
    <row r="2509">
      <c r="A2509" s="12" t="inlineStr">
        <is>
          <t>RET-0197</t>
        </is>
      </c>
      <c r="B2509" s="12" t="inlineStr">
        <is>
          <t>VS26</t>
        </is>
      </c>
      <c r="C2509" s="28" t="n">
        <v>0.0074</v>
      </c>
      <c r="D2509" s="12" t="inlineStr">
        <is>
          <t>PO-2023-4713</t>
        </is>
      </c>
      <c r="E2509" s="12" t="n">
        <v>2.64</v>
      </c>
      <c r="F2509" s="17" t="n">
        <v>49722.49</v>
      </c>
      <c r="G2509" s="14">
        <f>E2509*F2509</f>
        <v/>
      </c>
      <c r="H2509" s="14">
        <f>C2509*G2509</f>
        <v/>
      </c>
    </row>
    <row r="2510">
      <c r="A2510" s="12" t="inlineStr">
        <is>
          <t>RET-0197</t>
        </is>
      </c>
      <c r="B2510" s="12" t="inlineStr">
        <is>
          <t>VS27</t>
        </is>
      </c>
      <c r="C2510" s="28" t="n">
        <v>0.0072</v>
      </c>
      <c r="D2510" s="12" t="inlineStr">
        <is>
          <t>PO-2021-1567</t>
        </is>
      </c>
      <c r="E2510" s="12" t="n">
        <v>2.64</v>
      </c>
      <c r="F2510" s="17" t="n">
        <v>49294.76</v>
      </c>
      <c r="G2510" s="14">
        <f>E2510*F2510</f>
        <v/>
      </c>
      <c r="H2510" s="14">
        <f>C2510*G2510</f>
        <v/>
      </c>
    </row>
    <row r="2511">
      <c r="A2511" s="12" t="inlineStr">
        <is>
          <t>RET-0197</t>
        </is>
      </c>
      <c r="B2511" s="12" t="inlineStr">
        <is>
          <t>VS28</t>
        </is>
      </c>
      <c r="C2511" s="28" t="n">
        <v>0.0161</v>
      </c>
      <c r="D2511" s="12" t="inlineStr">
        <is>
          <t>PO-2022-3133</t>
        </is>
      </c>
      <c r="E2511" s="12" t="n">
        <v>2.64</v>
      </c>
      <c r="F2511" s="17" t="n">
        <v>48481.97</v>
      </c>
      <c r="G2511" s="14">
        <f>E2511*F2511</f>
        <v/>
      </c>
      <c r="H2511" s="14">
        <f>C2511*G2511</f>
        <v/>
      </c>
    </row>
    <row r="2512">
      <c r="A2512" s="12" t="inlineStr">
        <is>
          <t>RET-0197</t>
        </is>
      </c>
      <c r="B2512" s="12" t="inlineStr">
        <is>
          <t>VS29</t>
        </is>
      </c>
      <c r="C2512" s="28" t="n">
        <v>0.0102</v>
      </c>
      <c r="D2512" s="12" t="inlineStr">
        <is>
          <t>PO-2022-2217</t>
        </is>
      </c>
      <c r="E2512" s="12" t="n">
        <v>2.64</v>
      </c>
      <c r="F2512" s="17" t="n">
        <v>95600.07000000001</v>
      </c>
      <c r="G2512" s="14">
        <f>E2512*F2512</f>
        <v/>
      </c>
      <c r="H2512" s="14">
        <f>C2512*G2512</f>
        <v/>
      </c>
    </row>
    <row r="2513">
      <c r="A2513" s="12" t="inlineStr">
        <is>
          <t>RET-0197</t>
        </is>
      </c>
      <c r="B2513" s="12" t="inlineStr">
        <is>
          <t>VS30</t>
        </is>
      </c>
      <c r="C2513" s="28" t="n">
        <v>0.0044</v>
      </c>
      <c r="D2513" s="12" t="inlineStr">
        <is>
          <t>PO-2021-0309</t>
        </is>
      </c>
      <c r="E2513" s="12" t="n">
        <v>2.64</v>
      </c>
      <c r="F2513" s="17" t="n">
        <v>96455.52</v>
      </c>
      <c r="G2513" s="14">
        <f>E2513*F2513</f>
        <v/>
      </c>
      <c r="H2513" s="14">
        <f>C2513*G2513</f>
        <v/>
      </c>
    </row>
    <row r="2514">
      <c r="A2514" s="12" t="inlineStr">
        <is>
          <t>RET-0197</t>
        </is>
      </c>
      <c r="B2514" s="12" t="inlineStr">
        <is>
          <t>VS31</t>
        </is>
      </c>
      <c r="C2514" s="28" t="n">
        <v>0.016</v>
      </c>
      <c r="D2514" s="12" t="inlineStr">
        <is>
          <t>PO-2021-0528</t>
        </is>
      </c>
      <c r="E2514" s="12" t="n">
        <v>2.64</v>
      </c>
      <c r="F2514" s="17" t="n">
        <v>112708.29</v>
      </c>
      <c r="G2514" s="14">
        <f>E2514*F2514</f>
        <v/>
      </c>
      <c r="H2514" s="14">
        <f>C2514*G2514</f>
        <v/>
      </c>
    </row>
    <row r="2515">
      <c r="A2515" s="12" t="inlineStr">
        <is>
          <t>RET-0197</t>
        </is>
      </c>
      <c r="B2515" s="12" t="inlineStr">
        <is>
          <t>VS32</t>
        </is>
      </c>
      <c r="C2515" s="28" t="n">
        <v>0.0191</v>
      </c>
      <c r="D2515" s="12" t="inlineStr">
        <is>
          <t>PO-2022-3060</t>
        </is>
      </c>
      <c r="E2515" s="12" t="n">
        <v>2.64</v>
      </c>
      <c r="F2515" s="17" t="n">
        <v>58865.87</v>
      </c>
      <c r="G2515" s="14">
        <f>E2515*F2515</f>
        <v/>
      </c>
      <c r="H2515" s="14">
        <f>C2515*G2515</f>
        <v/>
      </c>
    </row>
    <row r="2516">
      <c r="A2516" s="12" t="inlineStr">
        <is>
          <t>RET-0197</t>
        </is>
      </c>
      <c r="B2516" s="12" t="inlineStr">
        <is>
          <t>VS33</t>
        </is>
      </c>
      <c r="C2516" s="28" t="n">
        <v>0.0102</v>
      </c>
      <c r="D2516" s="12" t="inlineStr">
        <is>
          <t>PO-2021-1489</t>
        </is>
      </c>
      <c r="E2516" s="12" t="n">
        <v>2.64</v>
      </c>
      <c r="F2516" s="17" t="n">
        <v>85832.03999999999</v>
      </c>
      <c r="G2516" s="14">
        <f>E2516*F2516</f>
        <v/>
      </c>
      <c r="H2516" s="14">
        <f>C2516*G2516</f>
        <v/>
      </c>
    </row>
    <row r="2517">
      <c r="A2517" s="12" t="inlineStr">
        <is>
          <t>RET-0197</t>
        </is>
      </c>
      <c r="B2517" s="12" t="inlineStr">
        <is>
          <t>VS34</t>
        </is>
      </c>
      <c r="C2517" s="28" t="n">
        <v>0.0132</v>
      </c>
      <c r="D2517" s="12" t="inlineStr">
        <is>
          <t>PO-2022-2076</t>
        </is>
      </c>
      <c r="E2517" s="12" t="n">
        <v>2.64</v>
      </c>
      <c r="F2517" s="17" t="n">
        <v>62068.97</v>
      </c>
      <c r="G2517" s="14">
        <f>E2517*F2517</f>
        <v/>
      </c>
      <c r="H2517" s="14">
        <f>C2517*G2517</f>
        <v/>
      </c>
    </row>
    <row r="2518">
      <c r="A2518" s="12" t="inlineStr">
        <is>
          <t>RET-0199</t>
        </is>
      </c>
      <c r="B2518" s="12" t="inlineStr">
        <is>
          <t>VS01</t>
        </is>
      </c>
      <c r="C2518" s="28" t="n">
        <v>0.0035</v>
      </c>
      <c r="D2518" s="12" t="inlineStr">
        <is>
          <t>PO-2021-0444</t>
        </is>
      </c>
      <c r="E2518" s="12" t="n">
        <v>0.61</v>
      </c>
      <c r="F2518" s="17" t="n">
        <v>54898.72</v>
      </c>
      <c r="G2518" s="14">
        <f>E2518*F2518</f>
        <v/>
      </c>
      <c r="H2518" s="14">
        <f>C2518*G2518</f>
        <v/>
      </c>
    </row>
    <row r="2519">
      <c r="A2519" s="12" t="inlineStr">
        <is>
          <t>RET-0199</t>
        </is>
      </c>
      <c r="B2519" s="12" t="inlineStr">
        <is>
          <t>VS02</t>
        </is>
      </c>
      <c r="C2519" s="28" t="n">
        <v>0.0016</v>
      </c>
      <c r="D2519" s="12" t="inlineStr">
        <is>
          <t>PO-2021-0280</t>
        </is>
      </c>
      <c r="E2519" s="12" t="n">
        <v>0.61</v>
      </c>
      <c r="F2519" s="17" t="n">
        <v>53220.34</v>
      </c>
      <c r="G2519" s="14">
        <f>E2519*F2519</f>
        <v/>
      </c>
      <c r="H2519" s="14">
        <f>C2519*G2519</f>
        <v/>
      </c>
    </row>
    <row r="2520">
      <c r="A2520" s="12" t="inlineStr">
        <is>
          <t>RET-0199</t>
        </is>
      </c>
      <c r="B2520" s="12" t="inlineStr">
        <is>
          <t>VS03</t>
        </is>
      </c>
      <c r="C2520" s="28" t="n">
        <v>0.2686</v>
      </c>
      <c r="D2520" s="12" t="inlineStr">
        <is>
          <t>PO-2021-1424</t>
        </is>
      </c>
      <c r="E2520" s="12" t="n">
        <v>0.61</v>
      </c>
      <c r="F2520" s="17" t="n">
        <v>99561.2</v>
      </c>
      <c r="G2520" s="14">
        <f>E2520*F2520</f>
        <v/>
      </c>
      <c r="H2520" s="14">
        <f>C2520*G2520</f>
        <v/>
      </c>
    </row>
    <row r="2521">
      <c r="A2521" s="12" t="inlineStr">
        <is>
          <t>RET-0199</t>
        </is>
      </c>
      <c r="B2521" s="12" t="inlineStr">
        <is>
          <t>VS04</t>
        </is>
      </c>
      <c r="C2521" s="28" t="n">
        <v>0.0022</v>
      </c>
      <c r="D2521" s="12" t="inlineStr">
        <is>
          <t>PO-2021-1050</t>
        </is>
      </c>
      <c r="E2521" s="12" t="n">
        <v>0.61</v>
      </c>
      <c r="F2521" s="17" t="n">
        <v>98697.28</v>
      </c>
      <c r="G2521" s="14">
        <f>E2521*F2521</f>
        <v/>
      </c>
      <c r="H2521" s="14">
        <f>C2521*G2521</f>
        <v/>
      </c>
    </row>
    <row r="2522">
      <c r="A2522" s="12" t="inlineStr">
        <is>
          <t>RET-0199</t>
        </is>
      </c>
      <c r="B2522" s="12" t="inlineStr">
        <is>
          <t>VS05</t>
        </is>
      </c>
      <c r="C2522" s="28" t="n">
        <v>0.0028</v>
      </c>
      <c r="D2522" s="12" t="inlineStr">
        <is>
          <t>PO-2023-3558</t>
        </is>
      </c>
      <c r="E2522" s="12" t="n">
        <v>0.61</v>
      </c>
      <c r="F2522" s="17" t="n">
        <v>102197.94</v>
      </c>
      <c r="G2522" s="14">
        <f>E2522*F2522</f>
        <v/>
      </c>
      <c r="H2522" s="14">
        <f>C2522*G2522</f>
        <v/>
      </c>
    </row>
    <row r="2523">
      <c r="A2523" s="12" t="inlineStr">
        <is>
          <t>RET-0199</t>
        </is>
      </c>
      <c r="B2523" s="12" t="inlineStr">
        <is>
          <t>VS06</t>
        </is>
      </c>
      <c r="C2523" s="28" t="n">
        <v>0.0029</v>
      </c>
      <c r="D2523" s="12" t="inlineStr">
        <is>
          <t>PO-2022-2004</t>
        </is>
      </c>
      <c r="E2523" s="12" t="n">
        <v>0.61</v>
      </c>
      <c r="F2523" s="17" t="n">
        <v>52605.38</v>
      </c>
      <c r="G2523" s="14">
        <f>E2523*F2523</f>
        <v/>
      </c>
      <c r="H2523" s="14">
        <f>C2523*G2523</f>
        <v/>
      </c>
    </row>
    <row r="2524">
      <c r="A2524" s="12" t="inlineStr">
        <is>
          <t>RET-0199</t>
        </is>
      </c>
      <c r="B2524" s="12" t="inlineStr">
        <is>
          <t>VS07</t>
        </is>
      </c>
      <c r="C2524" s="28" t="n">
        <v>0.001</v>
      </c>
      <c r="D2524" s="12" t="inlineStr">
        <is>
          <t>PO-2022-1955</t>
        </is>
      </c>
      <c r="E2524" s="12" t="n">
        <v>0.61</v>
      </c>
      <c r="F2524" s="17" t="n">
        <v>82709.5</v>
      </c>
      <c r="G2524" s="14">
        <f>E2524*F2524</f>
        <v/>
      </c>
      <c r="H2524" s="14">
        <f>C2524*G2524</f>
        <v/>
      </c>
    </row>
    <row r="2525">
      <c r="A2525" s="12" t="inlineStr">
        <is>
          <t>RET-0199</t>
        </is>
      </c>
      <c r="B2525" s="12" t="inlineStr">
        <is>
          <t>VS08</t>
        </is>
      </c>
      <c r="C2525" s="28" t="n">
        <v>0.0029</v>
      </c>
      <c r="D2525" s="12" t="inlineStr">
        <is>
          <t>PO-2022-2016</t>
        </is>
      </c>
      <c r="E2525" s="12" t="n">
        <v>0.61</v>
      </c>
      <c r="F2525" s="17" t="n">
        <v>84845.14</v>
      </c>
      <c r="G2525" s="14">
        <f>E2525*F2525</f>
        <v/>
      </c>
      <c r="H2525" s="14">
        <f>C2525*G2525</f>
        <v/>
      </c>
    </row>
    <row r="2526">
      <c r="A2526" s="12" t="inlineStr">
        <is>
          <t>RET-0199</t>
        </is>
      </c>
      <c r="B2526" s="12" t="inlineStr">
        <is>
          <t>VS09</t>
        </is>
      </c>
      <c r="C2526" s="28" t="n">
        <v>0.0022</v>
      </c>
      <c r="D2526" s="12" t="inlineStr">
        <is>
          <t>PO-2023-4281</t>
        </is>
      </c>
      <c r="E2526" s="12" t="n">
        <v>0.61</v>
      </c>
      <c r="F2526" s="17" t="n">
        <v>83981.42999999999</v>
      </c>
      <c r="G2526" s="14">
        <f>E2526*F2526</f>
        <v/>
      </c>
      <c r="H2526" s="14">
        <f>C2526*G2526</f>
        <v/>
      </c>
    </row>
    <row r="2527">
      <c r="A2527" s="12" t="inlineStr">
        <is>
          <t>RET-0199</t>
        </is>
      </c>
      <c r="B2527" s="12" t="inlineStr">
        <is>
          <t>VS10</t>
        </is>
      </c>
      <c r="C2527" s="28" t="n">
        <v>0.0035</v>
      </c>
      <c r="D2527" s="12" t="inlineStr">
        <is>
          <t>PO-2022-1664</t>
        </is>
      </c>
      <c r="E2527" s="12" t="n">
        <v>0.61</v>
      </c>
      <c r="F2527" s="17" t="n">
        <v>83922.24000000001</v>
      </c>
      <c r="G2527" s="14">
        <f>E2527*F2527</f>
        <v/>
      </c>
      <c r="H2527" s="14">
        <f>C2527*G2527</f>
        <v/>
      </c>
    </row>
    <row r="2528">
      <c r="A2528" s="12" t="inlineStr">
        <is>
          <t>RET-0199</t>
        </is>
      </c>
      <c r="B2528" s="12" t="inlineStr">
        <is>
          <t>VS11</t>
        </is>
      </c>
      <c r="C2528" s="28" t="n">
        <v>0.0041</v>
      </c>
      <c r="D2528" s="12" t="inlineStr">
        <is>
          <t>PO-2022-1851</t>
        </is>
      </c>
      <c r="E2528" s="12" t="n">
        <v>0.61</v>
      </c>
      <c r="F2528" s="17" t="n">
        <v>114773.14</v>
      </c>
      <c r="G2528" s="14">
        <f>E2528*F2528</f>
        <v/>
      </c>
      <c r="H2528" s="14">
        <f>C2528*G2528</f>
        <v/>
      </c>
    </row>
    <row r="2529">
      <c r="A2529" s="12" t="inlineStr">
        <is>
          <t>RET-0199</t>
        </is>
      </c>
      <c r="B2529" s="12" t="inlineStr">
        <is>
          <t>VS12</t>
        </is>
      </c>
      <c r="C2529" s="28" t="n">
        <v>0.3733</v>
      </c>
      <c r="D2529" s="12" t="inlineStr">
        <is>
          <t>PO-2023-3732</t>
        </is>
      </c>
      <c r="E2529" s="12" t="n">
        <v>0.61</v>
      </c>
      <c r="F2529" s="17" t="n">
        <v>98567.67999999999</v>
      </c>
      <c r="G2529" s="14">
        <f>E2529*F2529</f>
        <v/>
      </c>
      <c r="H2529" s="14">
        <f>C2529*G2529</f>
        <v/>
      </c>
    </row>
    <row r="2530">
      <c r="A2530" s="12" t="inlineStr">
        <is>
          <t>RET-0199</t>
        </is>
      </c>
      <c r="B2530" s="12" t="inlineStr">
        <is>
          <t>VS13</t>
        </is>
      </c>
      <c r="C2530" s="28" t="n">
        <v>0.0028</v>
      </c>
      <c r="D2530" s="12" t="inlineStr">
        <is>
          <t>PO-2021-0575</t>
        </is>
      </c>
      <c r="E2530" s="12" t="n">
        <v>0.61</v>
      </c>
      <c r="F2530" s="17" t="n">
        <v>111900.48</v>
      </c>
      <c r="G2530" s="14">
        <f>E2530*F2530</f>
        <v/>
      </c>
      <c r="H2530" s="14">
        <f>C2530*G2530</f>
        <v/>
      </c>
    </row>
    <row r="2531">
      <c r="A2531" s="12" t="inlineStr">
        <is>
          <t>RET-0199</t>
        </is>
      </c>
      <c r="B2531" s="12" t="inlineStr">
        <is>
          <t>VS14</t>
        </is>
      </c>
      <c r="C2531" s="28" t="n">
        <v>0.0028</v>
      </c>
      <c r="D2531" s="12" t="inlineStr">
        <is>
          <t>PO-2022-2891</t>
        </is>
      </c>
      <c r="E2531" s="12" t="n">
        <v>0.61</v>
      </c>
      <c r="F2531" s="17" t="n">
        <v>97092.03999999999</v>
      </c>
      <c r="G2531" s="14">
        <f>E2531*F2531</f>
        <v/>
      </c>
      <c r="H2531" s="14">
        <f>C2531*G2531</f>
        <v/>
      </c>
    </row>
    <row r="2532">
      <c r="A2532" s="12" t="inlineStr">
        <is>
          <t>RET-0199</t>
        </is>
      </c>
      <c r="B2532" s="12" t="inlineStr">
        <is>
          <t>VS15</t>
        </is>
      </c>
      <c r="C2532" s="28" t="n">
        <v>0.0009</v>
      </c>
      <c r="D2532" s="12" t="inlineStr">
        <is>
          <t>PO-2021-0368</t>
        </is>
      </c>
      <c r="E2532" s="12" t="n">
        <v>0.61</v>
      </c>
      <c r="F2532" s="17" t="n">
        <v>73157.02</v>
      </c>
      <c r="G2532" s="14">
        <f>E2532*F2532</f>
        <v/>
      </c>
      <c r="H2532" s="14">
        <f>C2532*G2532</f>
        <v/>
      </c>
    </row>
    <row r="2533">
      <c r="A2533" s="12" t="inlineStr">
        <is>
          <t>RET-0199</t>
        </is>
      </c>
      <c r="B2533" s="12" t="inlineStr">
        <is>
          <t>VS16</t>
        </is>
      </c>
      <c r="C2533" s="28" t="n">
        <v>0.0041</v>
      </c>
      <c r="D2533" s="12" t="inlineStr">
        <is>
          <t>PO-2022-1847</t>
        </is>
      </c>
      <c r="E2533" s="12" t="n">
        <v>0.61</v>
      </c>
      <c r="F2533" s="17" t="n">
        <v>83020.35000000001</v>
      </c>
      <c r="G2533" s="14">
        <f>E2533*F2533</f>
        <v/>
      </c>
      <c r="H2533" s="14">
        <f>C2533*G2533</f>
        <v/>
      </c>
    </row>
    <row r="2534">
      <c r="A2534" s="12" t="inlineStr">
        <is>
          <t>RET-0199</t>
        </is>
      </c>
      <c r="B2534" s="12" t="inlineStr">
        <is>
          <t>VS17</t>
        </is>
      </c>
      <c r="C2534" s="28" t="n">
        <v>0.0041</v>
      </c>
      <c r="D2534" s="12" t="inlineStr">
        <is>
          <t>PO-2021-1422</t>
        </is>
      </c>
      <c r="E2534" s="12" t="n">
        <v>0.61</v>
      </c>
      <c r="F2534" s="17" t="n">
        <v>81646.64</v>
      </c>
      <c r="G2534" s="14">
        <f>E2534*F2534</f>
        <v/>
      </c>
      <c r="H2534" s="14">
        <f>C2534*G2534</f>
        <v/>
      </c>
    </row>
    <row r="2535">
      <c r="A2535" s="12" t="inlineStr">
        <is>
          <t>RET-0199</t>
        </is>
      </c>
      <c r="B2535" s="12" t="inlineStr">
        <is>
          <t>VS18</t>
        </is>
      </c>
      <c r="C2535" s="28" t="n">
        <v>0.0028</v>
      </c>
      <c r="D2535" s="12" t="inlineStr">
        <is>
          <t>PO-2021-1295</t>
        </is>
      </c>
      <c r="E2535" s="12" t="n">
        <v>0.61</v>
      </c>
      <c r="F2535" s="17" t="n">
        <v>106221.06</v>
      </c>
      <c r="G2535" s="14">
        <f>E2535*F2535</f>
        <v/>
      </c>
      <c r="H2535" s="14">
        <f>C2535*G2535</f>
        <v/>
      </c>
    </row>
    <row r="2536">
      <c r="A2536" s="12" t="inlineStr">
        <is>
          <t>RET-0199</t>
        </is>
      </c>
      <c r="B2536" s="12" t="inlineStr">
        <is>
          <t>VS19</t>
        </is>
      </c>
      <c r="C2536" s="28" t="n">
        <v>0.2816</v>
      </c>
      <c r="D2536" s="12" t="inlineStr">
        <is>
          <t>PO-2023-3215</t>
        </is>
      </c>
      <c r="E2536" s="12" t="n">
        <v>0.61</v>
      </c>
      <c r="F2536" s="17" t="n">
        <v>100712.81</v>
      </c>
      <c r="G2536" s="14">
        <f>E2536*F2536</f>
        <v/>
      </c>
      <c r="H2536" s="14">
        <f>C2536*G2536</f>
        <v/>
      </c>
    </row>
    <row r="2537">
      <c r="A2537" s="12" t="inlineStr">
        <is>
          <t>RET-0199</t>
        </is>
      </c>
      <c r="B2537" s="12" t="inlineStr">
        <is>
          <t>VS20</t>
        </is>
      </c>
      <c r="C2537" s="28" t="n">
        <v>0.0016</v>
      </c>
      <c r="D2537" s="12" t="inlineStr">
        <is>
          <t>PO-2023-4044</t>
        </is>
      </c>
      <c r="E2537" s="12" t="n">
        <v>0.61</v>
      </c>
      <c r="F2537" s="17" t="n">
        <v>85304.62</v>
      </c>
      <c r="G2537" s="14">
        <f>E2537*F2537</f>
        <v/>
      </c>
      <c r="H2537" s="14">
        <f>C2537*G2537</f>
        <v/>
      </c>
    </row>
    <row r="2538">
      <c r="A2538" s="12" t="inlineStr">
        <is>
          <t>RET-0199</t>
        </is>
      </c>
      <c r="B2538" s="12" t="inlineStr">
        <is>
          <t>VS21</t>
        </is>
      </c>
      <c r="C2538" s="28" t="n">
        <v>0.0016</v>
      </c>
      <c r="D2538" s="12" t="inlineStr">
        <is>
          <t>PO-2021-1041</t>
        </is>
      </c>
      <c r="E2538" s="12" t="n">
        <v>0.61</v>
      </c>
      <c r="F2538" s="17" t="n">
        <v>78632.17999999999</v>
      </c>
      <c r="G2538" s="14">
        <f>E2538*F2538</f>
        <v/>
      </c>
      <c r="H2538" s="14">
        <f>C2538*G2538</f>
        <v/>
      </c>
    </row>
    <row r="2539">
      <c r="A2539" s="12" t="inlineStr">
        <is>
          <t>RET-0199</t>
        </is>
      </c>
      <c r="B2539" s="12" t="inlineStr">
        <is>
          <t>VS22</t>
        </is>
      </c>
      <c r="C2539" s="28" t="n">
        <v>0.0009</v>
      </c>
      <c r="D2539" s="12" t="inlineStr">
        <is>
          <t>PO-2021-0614</t>
        </is>
      </c>
      <c r="E2539" s="12" t="n">
        <v>0.61</v>
      </c>
      <c r="F2539" s="17" t="n">
        <v>117332.53</v>
      </c>
      <c r="G2539" s="14">
        <f>E2539*F2539</f>
        <v/>
      </c>
      <c r="H2539" s="14">
        <f>C2539*G2539</f>
        <v/>
      </c>
    </row>
    <row r="2540">
      <c r="A2540" s="12" t="inlineStr">
        <is>
          <t>RET-0199</t>
        </is>
      </c>
      <c r="B2540" s="12" t="inlineStr">
        <is>
          <t>VS23</t>
        </is>
      </c>
      <c r="C2540" s="28" t="n">
        <v>0.0016</v>
      </c>
      <c r="D2540" s="12" t="inlineStr">
        <is>
          <t>PO-2022-1799</t>
        </is>
      </c>
      <c r="E2540" s="12" t="n">
        <v>0.61</v>
      </c>
      <c r="F2540" s="17" t="n">
        <v>86902.3</v>
      </c>
      <c r="G2540" s="14">
        <f>E2540*F2540</f>
        <v/>
      </c>
      <c r="H2540" s="14">
        <f>C2540*G2540</f>
        <v/>
      </c>
    </row>
    <row r="2541">
      <c r="A2541" s="12" t="inlineStr">
        <is>
          <t>RET-0199</t>
        </is>
      </c>
      <c r="B2541" s="12" t="inlineStr">
        <is>
          <t>VS24</t>
        </is>
      </c>
      <c r="C2541" s="28" t="n">
        <v>0.0016</v>
      </c>
      <c r="D2541" s="12" t="inlineStr">
        <is>
          <t>PO-2021-1023</t>
        </is>
      </c>
      <c r="E2541" s="12" t="n">
        <v>0.61</v>
      </c>
      <c r="F2541" s="17" t="n">
        <v>86909.28</v>
      </c>
      <c r="G2541" s="14">
        <f>E2541*F2541</f>
        <v/>
      </c>
      <c r="H2541" s="14">
        <f>C2541*G2541</f>
        <v/>
      </c>
    </row>
    <row r="2542">
      <c r="A2542" s="12" t="inlineStr">
        <is>
          <t>RET-0199</t>
        </is>
      </c>
      <c r="B2542" s="12" t="inlineStr">
        <is>
          <t>VS25</t>
        </is>
      </c>
      <c r="C2542" s="28" t="n">
        <v>0.0028</v>
      </c>
      <c r="D2542" s="12" t="inlineStr">
        <is>
          <t>PO-2023-4266</t>
        </is>
      </c>
      <c r="E2542" s="12" t="n">
        <v>0.61</v>
      </c>
      <c r="F2542" s="17" t="n">
        <v>77097.77</v>
      </c>
      <c r="G2542" s="14">
        <f>E2542*F2542</f>
        <v/>
      </c>
      <c r="H2542" s="14">
        <f>C2542*G2542</f>
        <v/>
      </c>
    </row>
    <row r="2543">
      <c r="A2543" s="12" t="inlineStr">
        <is>
          <t>RET-0199</t>
        </is>
      </c>
      <c r="B2543" s="12" t="inlineStr">
        <is>
          <t>VS26</t>
        </is>
      </c>
      <c r="C2543" s="28" t="n">
        <v>0.0016</v>
      </c>
      <c r="D2543" s="12" t="inlineStr">
        <is>
          <t>PO-2022-3167</t>
        </is>
      </c>
      <c r="E2543" s="12" t="n">
        <v>0.61</v>
      </c>
      <c r="F2543" s="17" t="n">
        <v>67739.75</v>
      </c>
      <c r="G2543" s="14">
        <f>E2543*F2543</f>
        <v/>
      </c>
      <c r="H2543" s="14">
        <f>C2543*G2543</f>
        <v/>
      </c>
    </row>
    <row r="2544">
      <c r="A2544" s="12" t="inlineStr">
        <is>
          <t>RET-0199</t>
        </is>
      </c>
      <c r="B2544" s="12" t="inlineStr">
        <is>
          <t>VS27</t>
        </is>
      </c>
      <c r="C2544" s="28" t="n">
        <v>0.0016</v>
      </c>
      <c r="D2544" s="12" t="inlineStr">
        <is>
          <t>PO-2023-3247</t>
        </is>
      </c>
      <c r="E2544" s="12" t="n">
        <v>0.61</v>
      </c>
      <c r="F2544" s="17" t="n">
        <v>92805.17999999999</v>
      </c>
      <c r="G2544" s="14">
        <f>E2544*F2544</f>
        <v/>
      </c>
      <c r="H2544" s="14">
        <f>C2544*G2544</f>
        <v/>
      </c>
    </row>
    <row r="2545">
      <c r="A2545" s="12" t="inlineStr">
        <is>
          <t>RET-0199</t>
        </is>
      </c>
      <c r="B2545" s="12" t="inlineStr">
        <is>
          <t>VS28</t>
        </is>
      </c>
      <c r="C2545" s="28" t="n">
        <v>0.0035</v>
      </c>
      <c r="D2545" s="12" t="inlineStr">
        <is>
          <t>PO-2023-4556</t>
        </is>
      </c>
      <c r="E2545" s="12" t="n">
        <v>0.61</v>
      </c>
      <c r="F2545" s="17" t="n">
        <v>58179.59</v>
      </c>
      <c r="G2545" s="14">
        <f>E2545*F2545</f>
        <v/>
      </c>
      <c r="H2545" s="14">
        <f>C2545*G2545</f>
        <v/>
      </c>
    </row>
    <row r="2546">
      <c r="A2546" s="12" t="inlineStr">
        <is>
          <t>RET-0199</t>
        </is>
      </c>
      <c r="B2546" s="12" t="inlineStr">
        <is>
          <t>VS29</t>
        </is>
      </c>
      <c r="C2546" s="28" t="n">
        <v>0.0022</v>
      </c>
      <c r="D2546" s="12" t="inlineStr">
        <is>
          <t>PO-2021-1176</t>
        </is>
      </c>
      <c r="E2546" s="12" t="n">
        <v>0.61</v>
      </c>
      <c r="F2546" s="17" t="n">
        <v>87064.09</v>
      </c>
      <c r="G2546" s="14">
        <f>E2546*F2546</f>
        <v/>
      </c>
      <c r="H2546" s="14">
        <f>C2546*G2546</f>
        <v/>
      </c>
    </row>
    <row r="2547">
      <c r="A2547" s="12" t="inlineStr">
        <is>
          <t>RET-0199</t>
        </is>
      </c>
      <c r="B2547" s="12" t="inlineStr">
        <is>
          <t>VS30</t>
        </is>
      </c>
      <c r="C2547" s="28" t="n">
        <v>0.0009</v>
      </c>
      <c r="D2547" s="12" t="inlineStr">
        <is>
          <t>PO-2021-0809</t>
        </is>
      </c>
      <c r="E2547" s="12" t="n">
        <v>0.61</v>
      </c>
      <c r="F2547" s="17" t="n">
        <v>64874.11</v>
      </c>
      <c r="G2547" s="14">
        <f>E2547*F2547</f>
        <v/>
      </c>
      <c r="H2547" s="14">
        <f>C2547*G2547</f>
        <v/>
      </c>
    </row>
    <row r="2548">
      <c r="A2548" s="12" t="inlineStr">
        <is>
          <t>RET-0199</t>
        </is>
      </c>
      <c r="B2548" s="12" t="inlineStr">
        <is>
          <t>VS31</t>
        </is>
      </c>
      <c r="C2548" s="28" t="n">
        <v>0.0035</v>
      </c>
      <c r="D2548" s="12" t="inlineStr">
        <is>
          <t>PO-2021-1073</t>
        </is>
      </c>
      <c r="E2548" s="12" t="n">
        <v>0.61</v>
      </c>
      <c r="F2548" s="17" t="n">
        <v>72192.64</v>
      </c>
      <c r="G2548" s="14">
        <f>E2548*F2548</f>
        <v/>
      </c>
      <c r="H2548" s="14">
        <f>C2548*G2548</f>
        <v/>
      </c>
    </row>
    <row r="2549">
      <c r="A2549" s="12" t="inlineStr">
        <is>
          <t>RET-0199</t>
        </is>
      </c>
      <c r="B2549" s="12" t="inlineStr">
        <is>
          <t>VS32</t>
        </is>
      </c>
      <c r="C2549" s="28" t="n">
        <v>0.0041</v>
      </c>
      <c r="D2549" s="12" t="inlineStr">
        <is>
          <t>PO-2023-4513</t>
        </is>
      </c>
      <c r="E2549" s="12" t="n">
        <v>0.61</v>
      </c>
      <c r="F2549" s="17" t="n">
        <v>96245.08</v>
      </c>
      <c r="G2549" s="14">
        <f>E2549*F2549</f>
        <v/>
      </c>
      <c r="H2549" s="14">
        <f>C2549*G2549</f>
        <v/>
      </c>
    </row>
    <row r="2550">
      <c r="A2550" s="12" t="inlineStr">
        <is>
          <t>RET-0199</t>
        </is>
      </c>
      <c r="B2550" s="12" t="inlineStr">
        <is>
          <t>VS33</t>
        </is>
      </c>
      <c r="C2550" s="28" t="n">
        <v>0.0022</v>
      </c>
      <c r="D2550" s="12" t="inlineStr">
        <is>
          <t>PO-2021-0733</t>
        </is>
      </c>
      <c r="E2550" s="12" t="n">
        <v>0.61</v>
      </c>
      <c r="F2550" s="17" t="n">
        <v>96475.39999999999</v>
      </c>
      <c r="G2550" s="14">
        <f>E2550*F2550</f>
        <v/>
      </c>
      <c r="H2550" s="14">
        <f>C2550*G2550</f>
        <v/>
      </c>
    </row>
    <row r="2551">
      <c r="A2551" s="12" t="inlineStr">
        <is>
          <t>RET-0199</t>
        </is>
      </c>
      <c r="B2551" s="12" t="inlineStr">
        <is>
          <t>VS34</t>
        </is>
      </c>
      <c r="C2551" s="28" t="n">
        <v>0.0028</v>
      </c>
      <c r="D2551" s="12" t="inlineStr">
        <is>
          <t>PO-2022-3196</t>
        </is>
      </c>
      <c r="E2551" s="12" t="n">
        <v>0.61</v>
      </c>
      <c r="F2551" s="17" t="n">
        <v>55656.66</v>
      </c>
      <c r="G2551" s="14">
        <f>E2551*F2551</f>
        <v/>
      </c>
      <c r="H2551" s="14">
        <f>C2551*G2551</f>
        <v/>
      </c>
    </row>
    <row r="2552">
      <c r="A2552" s="12" t="inlineStr">
        <is>
          <t>RET-0203</t>
        </is>
      </c>
      <c r="B2552" s="12" t="inlineStr">
        <is>
          <t>VS01</t>
        </is>
      </c>
      <c r="C2552" s="28" t="n">
        <v>0.0198</v>
      </c>
      <c r="D2552" s="12" t="inlineStr">
        <is>
          <t>PO-2021-1013</t>
        </is>
      </c>
      <c r="E2552" s="12" t="n">
        <v>2.36</v>
      </c>
      <c r="F2552" s="17" t="n">
        <v>48004.4</v>
      </c>
      <c r="G2552" s="14">
        <f>E2552*F2552</f>
        <v/>
      </c>
      <c r="H2552" s="14">
        <f>C2552*G2552</f>
        <v/>
      </c>
    </row>
    <row r="2553">
      <c r="A2553" s="12" t="inlineStr">
        <is>
          <t>RET-0203</t>
        </is>
      </c>
      <c r="B2553" s="12" t="inlineStr">
        <is>
          <t>VS02</t>
        </is>
      </c>
      <c r="C2553" s="28" t="n">
        <v>0.008999999999999999</v>
      </c>
      <c r="D2553" s="12" t="inlineStr">
        <is>
          <t>PO-2023-4653</t>
        </is>
      </c>
      <c r="E2553" s="12" t="n">
        <v>2.36</v>
      </c>
      <c r="F2553" s="17" t="n">
        <v>113828.85</v>
      </c>
      <c r="G2553" s="14">
        <f>E2553*F2553</f>
        <v/>
      </c>
      <c r="H2553" s="14">
        <f>C2553*G2553</f>
        <v/>
      </c>
    </row>
    <row r="2554">
      <c r="A2554" s="12" t="inlineStr">
        <is>
          <t>RET-0203</t>
        </is>
      </c>
      <c r="B2554" s="12" t="inlineStr">
        <is>
          <t>VS03</t>
        </is>
      </c>
      <c r="C2554" s="28" t="n">
        <v>0.1643</v>
      </c>
      <c r="D2554" s="12" t="inlineStr">
        <is>
          <t>PO-2021-0326</t>
        </is>
      </c>
      <c r="E2554" s="12" t="n">
        <v>2.36</v>
      </c>
      <c r="F2554" s="17" t="n">
        <v>119826.56</v>
      </c>
      <c r="G2554" s="14">
        <f>E2554*F2554</f>
        <v/>
      </c>
      <c r="H2554" s="14">
        <f>C2554*G2554</f>
        <v/>
      </c>
    </row>
    <row r="2555">
      <c r="A2555" s="12" t="inlineStr">
        <is>
          <t>RET-0203</t>
        </is>
      </c>
      <c r="B2555" s="12" t="inlineStr">
        <is>
          <t>VS04</t>
        </is>
      </c>
      <c r="C2555" s="28" t="n">
        <v>0.0124</v>
      </c>
      <c r="D2555" s="12" t="inlineStr">
        <is>
          <t>PO-2023-4648</t>
        </is>
      </c>
      <c r="E2555" s="12" t="n">
        <v>2.36</v>
      </c>
      <c r="F2555" s="17" t="n">
        <v>86177.22</v>
      </c>
      <c r="G2555" s="14">
        <f>E2555*F2555</f>
        <v/>
      </c>
      <c r="H2555" s="14">
        <f>C2555*G2555</f>
        <v/>
      </c>
    </row>
    <row r="2556">
      <c r="A2556" s="12" t="inlineStr">
        <is>
          <t>RET-0203</t>
        </is>
      </c>
      <c r="B2556" s="12" t="inlineStr">
        <is>
          <t>VS05</t>
        </is>
      </c>
      <c r="C2556" s="28" t="n">
        <v>0.0161</v>
      </c>
      <c r="D2556" s="12" t="inlineStr">
        <is>
          <t>PO-2023-3942</t>
        </is>
      </c>
      <c r="E2556" s="12" t="n">
        <v>2.36</v>
      </c>
      <c r="F2556" s="17" t="n">
        <v>62096.49</v>
      </c>
      <c r="G2556" s="14">
        <f>E2556*F2556</f>
        <v/>
      </c>
      <c r="H2556" s="14">
        <f>C2556*G2556</f>
        <v/>
      </c>
    </row>
    <row r="2557">
      <c r="A2557" s="12" t="inlineStr">
        <is>
          <t>RET-0203</t>
        </is>
      </c>
      <c r="B2557" s="12" t="inlineStr">
        <is>
          <t>VS06</t>
        </is>
      </c>
      <c r="C2557" s="28" t="n">
        <v>0.0163</v>
      </c>
      <c r="D2557" s="12" t="inlineStr">
        <is>
          <t>PO-2021-1076</t>
        </is>
      </c>
      <c r="E2557" s="12" t="n">
        <v>2.36</v>
      </c>
      <c r="F2557" s="17" t="n">
        <v>103802.23</v>
      </c>
      <c r="G2557" s="14">
        <f>E2557*F2557</f>
        <v/>
      </c>
      <c r="H2557" s="14">
        <f>C2557*G2557</f>
        <v/>
      </c>
    </row>
    <row r="2558">
      <c r="A2558" s="12" t="inlineStr">
        <is>
          <t>RET-0203</t>
        </is>
      </c>
      <c r="B2558" s="12" t="inlineStr">
        <is>
          <t>VS07</t>
        </is>
      </c>
      <c r="C2558" s="28" t="n">
        <v>0.0054</v>
      </c>
      <c r="D2558" s="12" t="inlineStr">
        <is>
          <t>PO-2022-2967</t>
        </is>
      </c>
      <c r="E2558" s="12" t="n">
        <v>2.36</v>
      </c>
      <c r="F2558" s="17" t="n">
        <v>47367.43</v>
      </c>
      <c r="G2558" s="14">
        <f>E2558*F2558</f>
        <v/>
      </c>
      <c r="H2558" s="14">
        <f>C2558*G2558</f>
        <v/>
      </c>
    </row>
    <row r="2559">
      <c r="A2559" s="12" t="inlineStr">
        <is>
          <t>RET-0203</t>
        </is>
      </c>
      <c r="B2559" s="12" t="inlineStr">
        <is>
          <t>VS08</t>
        </is>
      </c>
      <c r="C2559" s="28" t="n">
        <v>0.0164</v>
      </c>
      <c r="D2559" s="12" t="inlineStr">
        <is>
          <t>PO-2021-1072</t>
        </is>
      </c>
      <c r="E2559" s="12" t="n">
        <v>2.36</v>
      </c>
      <c r="F2559" s="17" t="n">
        <v>50730.02</v>
      </c>
      <c r="G2559" s="14">
        <f>E2559*F2559</f>
        <v/>
      </c>
      <c r="H2559" s="14">
        <f>C2559*G2559</f>
        <v/>
      </c>
    </row>
    <row r="2560">
      <c r="A2560" s="12" t="inlineStr">
        <is>
          <t>RET-0203</t>
        </is>
      </c>
      <c r="B2560" s="12" t="inlineStr">
        <is>
          <t>VS09</t>
        </is>
      </c>
      <c r="C2560" s="28" t="n">
        <v>0.0126</v>
      </c>
      <c r="D2560" s="12" t="inlineStr">
        <is>
          <t>PO-2023-4440</t>
        </is>
      </c>
      <c r="E2560" s="12" t="n">
        <v>2.36</v>
      </c>
      <c r="F2560" s="17" t="n">
        <v>95752.41</v>
      </c>
      <c r="G2560" s="14">
        <f>E2560*F2560</f>
        <v/>
      </c>
      <c r="H2560" s="14">
        <f>C2560*G2560</f>
        <v/>
      </c>
    </row>
    <row r="2561">
      <c r="A2561" s="12" t="inlineStr">
        <is>
          <t>RET-0203</t>
        </is>
      </c>
      <c r="B2561" s="12" t="inlineStr">
        <is>
          <t>VS10</t>
        </is>
      </c>
      <c r="C2561" s="28" t="n">
        <v>0.0198</v>
      </c>
      <c r="D2561" s="12" t="inlineStr">
        <is>
          <t>PO-2022-2650</t>
        </is>
      </c>
      <c r="E2561" s="12" t="n">
        <v>2.36</v>
      </c>
      <c r="F2561" s="17" t="n">
        <v>62194.28</v>
      </c>
      <c r="G2561" s="14">
        <f>E2561*F2561</f>
        <v/>
      </c>
      <c r="H2561" s="14">
        <f>C2561*G2561</f>
        <v/>
      </c>
    </row>
    <row r="2562">
      <c r="A2562" s="12" t="inlineStr">
        <is>
          <t>RET-0203</t>
        </is>
      </c>
      <c r="B2562" s="12" t="inlineStr">
        <is>
          <t>VS11</t>
        </is>
      </c>
      <c r="C2562" s="28" t="n">
        <v>0.0231</v>
      </c>
      <c r="D2562" s="12" t="inlineStr">
        <is>
          <t>PO-2022-1668</t>
        </is>
      </c>
      <c r="E2562" s="12" t="n">
        <v>2.36</v>
      </c>
      <c r="F2562" s="17" t="n">
        <v>98251.86</v>
      </c>
      <c r="G2562" s="14">
        <f>E2562*F2562</f>
        <v/>
      </c>
      <c r="H2562" s="14">
        <f>C2562*G2562</f>
        <v/>
      </c>
    </row>
    <row r="2563">
      <c r="A2563" s="12" t="inlineStr">
        <is>
          <t>RET-0203</t>
        </is>
      </c>
      <c r="B2563" s="12" t="inlineStr">
        <is>
          <t>VS12</t>
        </is>
      </c>
      <c r="C2563" s="28" t="n">
        <v>0.2283</v>
      </c>
      <c r="D2563" s="12" t="inlineStr">
        <is>
          <t>PO-2022-2649</t>
        </is>
      </c>
      <c r="E2563" s="12" t="n">
        <v>1.328</v>
      </c>
      <c r="F2563" s="17" t="n">
        <v>106424.57</v>
      </c>
      <c r="G2563" s="14">
        <f>E2563*F2563</f>
        <v/>
      </c>
      <c r="H2563" s="14">
        <f>C2563*G2563</f>
        <v/>
      </c>
    </row>
    <row r="2564">
      <c r="A2564" s="12" t="inlineStr">
        <is>
          <t>RET-0203</t>
        </is>
      </c>
      <c r="B2564" s="12" t="inlineStr">
        <is>
          <t>VS13</t>
        </is>
      </c>
      <c r="C2564" s="28" t="n">
        <v>0.0159</v>
      </c>
      <c r="D2564" s="12" t="inlineStr">
        <is>
          <t>PO-2022-2521</t>
        </is>
      </c>
      <c r="E2564" s="12" t="n">
        <v>2.36</v>
      </c>
      <c r="F2564" s="17" t="n">
        <v>76319.17999999999</v>
      </c>
      <c r="G2564" s="14">
        <f>E2564*F2564</f>
        <v/>
      </c>
      <c r="H2564" s="14">
        <f>C2564*G2564</f>
        <v/>
      </c>
    </row>
    <row r="2565">
      <c r="A2565" s="12" t="inlineStr">
        <is>
          <t>RET-0203</t>
        </is>
      </c>
      <c r="B2565" s="12" t="inlineStr">
        <is>
          <t>VS14</t>
        </is>
      </c>
      <c r="C2565" s="28" t="n">
        <v>0.0161</v>
      </c>
      <c r="D2565" s="12" t="inlineStr">
        <is>
          <t>PO-2023-3929</t>
        </is>
      </c>
      <c r="E2565" s="12" t="n">
        <v>2.36</v>
      </c>
      <c r="F2565" s="17" t="n">
        <v>111388.1</v>
      </c>
      <c r="G2565" s="14">
        <f>E2565*F2565</f>
        <v/>
      </c>
      <c r="H2565" s="14">
        <f>C2565*G2565</f>
        <v/>
      </c>
    </row>
    <row r="2566">
      <c r="A2566" s="12" t="inlineStr">
        <is>
          <t>RET-0203</t>
        </is>
      </c>
      <c r="B2566" s="12" t="inlineStr">
        <is>
          <t>VS15</t>
        </is>
      </c>
      <c r="C2566" s="28" t="n">
        <v>0.0054</v>
      </c>
      <c r="D2566" s="12" t="inlineStr">
        <is>
          <t>PO-2021-0686</t>
        </is>
      </c>
      <c r="E2566" s="12" t="n">
        <v>2.36</v>
      </c>
      <c r="F2566" s="17" t="n">
        <v>99019.17</v>
      </c>
      <c r="G2566" s="14">
        <f>E2566*F2566</f>
        <v/>
      </c>
      <c r="H2566" s="14">
        <f>C2566*G2566</f>
        <v/>
      </c>
    </row>
    <row r="2567">
      <c r="A2567" s="12" t="inlineStr">
        <is>
          <t>RET-0203</t>
        </is>
      </c>
      <c r="B2567" s="12" t="inlineStr">
        <is>
          <t>VS16</t>
        </is>
      </c>
      <c r="C2567" s="28" t="n">
        <v>0.0232</v>
      </c>
      <c r="D2567" s="12" t="inlineStr">
        <is>
          <t>PO-2022-1861</t>
        </is>
      </c>
      <c r="E2567" s="12" t="n">
        <v>2.36</v>
      </c>
      <c r="F2567" s="17" t="n">
        <v>94942.7</v>
      </c>
      <c r="G2567" s="14">
        <f>E2567*F2567</f>
        <v/>
      </c>
      <c r="H2567" s="14">
        <f>C2567*G2567</f>
        <v/>
      </c>
    </row>
    <row r="2568">
      <c r="A2568" s="12" t="inlineStr">
        <is>
          <t>RET-0203</t>
        </is>
      </c>
      <c r="B2568" s="12" t="inlineStr">
        <is>
          <t>VS17</t>
        </is>
      </c>
      <c r="C2568" s="28" t="n">
        <v>0.0231</v>
      </c>
      <c r="D2568" s="12" t="inlineStr">
        <is>
          <t>PO-2023-4706</t>
        </is>
      </c>
      <c r="E2568" s="12" t="n">
        <v>2.36</v>
      </c>
      <c r="F2568" s="17" t="n">
        <v>48698.6</v>
      </c>
      <c r="G2568" s="14">
        <f>E2568*F2568</f>
        <v/>
      </c>
      <c r="H2568" s="14">
        <f>C2568*G2568</f>
        <v/>
      </c>
    </row>
    <row r="2569">
      <c r="A2569" s="12" t="inlineStr">
        <is>
          <t>RET-0203</t>
        </is>
      </c>
      <c r="B2569" s="12" t="inlineStr">
        <is>
          <t>VS18</t>
        </is>
      </c>
      <c r="C2569" s="28" t="n">
        <v>0.0161</v>
      </c>
      <c r="D2569" s="12" t="inlineStr">
        <is>
          <t>PO-2021-1214</t>
        </is>
      </c>
      <c r="E2569" s="12" t="n">
        <v>2.36</v>
      </c>
      <c r="F2569" s="17" t="n">
        <v>53770.56</v>
      </c>
      <c r="G2569" s="14">
        <f>E2569*F2569</f>
        <v/>
      </c>
      <c r="H2569" s="14">
        <f>C2569*G2569</f>
        <v/>
      </c>
    </row>
    <row r="2570">
      <c r="A2570" s="12" t="inlineStr">
        <is>
          <t>RET-0203</t>
        </is>
      </c>
      <c r="B2570" s="12" t="inlineStr">
        <is>
          <t>VS19</t>
        </is>
      </c>
      <c r="C2570" s="28" t="n">
        <v>0.1723</v>
      </c>
      <c r="D2570" s="12" t="inlineStr">
        <is>
          <t>PO-2022-2189</t>
        </is>
      </c>
      <c r="E2570" s="12" t="n">
        <v>2.36</v>
      </c>
      <c r="F2570" s="17" t="n">
        <v>103666.47</v>
      </c>
      <c r="G2570" s="14">
        <f>E2570*F2570</f>
        <v/>
      </c>
      <c r="H2570" s="14">
        <f>C2570*G2570</f>
        <v/>
      </c>
    </row>
    <row r="2571">
      <c r="A2571" s="12" t="inlineStr">
        <is>
          <t>RET-0203</t>
        </is>
      </c>
      <c r="B2571" s="12" t="inlineStr">
        <is>
          <t>VS20</t>
        </is>
      </c>
      <c r="C2571" s="28" t="n">
        <v>0.008999999999999999</v>
      </c>
      <c r="D2571" s="12" t="inlineStr">
        <is>
          <t>PO-2021-0451</t>
        </is>
      </c>
      <c r="E2571" s="12" t="n">
        <v>2.36</v>
      </c>
      <c r="F2571" s="17" t="n">
        <v>108485.11</v>
      </c>
      <c r="G2571" s="14">
        <f>E2571*F2571</f>
        <v/>
      </c>
      <c r="H2571" s="14">
        <f>C2571*G2571</f>
        <v/>
      </c>
    </row>
    <row r="2572">
      <c r="A2572" s="12" t="inlineStr">
        <is>
          <t>RET-0203</t>
        </is>
      </c>
      <c r="B2572" s="12" t="inlineStr">
        <is>
          <t>VS21</t>
        </is>
      </c>
      <c r="C2572" s="28" t="n">
        <v>0.008999999999999999</v>
      </c>
      <c r="D2572" s="12" t="inlineStr">
        <is>
          <t>PO-2022-2150</t>
        </is>
      </c>
      <c r="E2572" s="12" t="n">
        <v>2.36</v>
      </c>
      <c r="F2572" s="17" t="n">
        <v>55891.57</v>
      </c>
      <c r="G2572" s="14">
        <f>E2572*F2572</f>
        <v/>
      </c>
      <c r="H2572" s="14">
        <f>C2572*G2572</f>
        <v/>
      </c>
    </row>
    <row r="2573">
      <c r="A2573" s="12" t="inlineStr">
        <is>
          <t>RET-0203</t>
        </is>
      </c>
      <c r="B2573" s="12" t="inlineStr">
        <is>
          <t>VS22</t>
        </is>
      </c>
      <c r="C2573" s="28" t="n">
        <v>0.0053</v>
      </c>
      <c r="D2573" s="12" t="inlineStr">
        <is>
          <t>PO-2021-1034</t>
        </is>
      </c>
      <c r="E2573" s="12" t="n">
        <v>2.36</v>
      </c>
      <c r="F2573" s="17" t="n">
        <v>94182.03999999999</v>
      </c>
      <c r="G2573" s="14">
        <f>E2573*F2573</f>
        <v/>
      </c>
      <c r="H2573" s="14">
        <f>C2573*G2573</f>
        <v/>
      </c>
    </row>
    <row r="2574">
      <c r="A2574" s="12" t="inlineStr">
        <is>
          <t>RET-0203</t>
        </is>
      </c>
      <c r="B2574" s="12" t="inlineStr">
        <is>
          <t>VS23</t>
        </is>
      </c>
      <c r="C2574" s="28" t="n">
        <v>0.008800000000000001</v>
      </c>
      <c r="D2574" s="12" t="inlineStr">
        <is>
          <t>PO-2023-3376</t>
        </is>
      </c>
      <c r="E2574" s="12" t="n">
        <v>2.36</v>
      </c>
      <c r="F2574" s="17" t="n">
        <v>84993.08</v>
      </c>
      <c r="G2574" s="14">
        <f>E2574*F2574</f>
        <v/>
      </c>
      <c r="H2574" s="14">
        <f>C2574*G2574</f>
        <v/>
      </c>
    </row>
    <row r="2575">
      <c r="A2575" s="12" t="inlineStr">
        <is>
          <t>RET-0203</t>
        </is>
      </c>
      <c r="B2575" s="12" t="inlineStr">
        <is>
          <t>VS24</t>
        </is>
      </c>
      <c r="C2575" s="28" t="n">
        <v>0.0089</v>
      </c>
      <c r="D2575" s="12" t="inlineStr">
        <is>
          <t>PO-2023-3738</t>
        </is>
      </c>
      <c r="E2575" s="12" t="n">
        <v>2.36</v>
      </c>
      <c r="F2575" s="17" t="n">
        <v>50006.5</v>
      </c>
      <c r="G2575" s="14">
        <f>E2575*F2575</f>
        <v/>
      </c>
      <c r="H2575" s="14">
        <f>C2575*G2575</f>
        <v/>
      </c>
    </row>
    <row r="2576">
      <c r="A2576" s="12" t="inlineStr">
        <is>
          <t>RET-0203</t>
        </is>
      </c>
      <c r="B2576" s="12" t="inlineStr">
        <is>
          <t>VS25</t>
        </is>
      </c>
      <c r="C2576" s="28" t="n">
        <v>0.0162</v>
      </c>
      <c r="D2576" s="12" t="inlineStr">
        <is>
          <t>PO-2022-1689</t>
        </is>
      </c>
      <c r="E2576" s="12" t="n">
        <v>2.36</v>
      </c>
      <c r="F2576" s="17" t="n">
        <v>71468.66</v>
      </c>
      <c r="G2576" s="14">
        <f>E2576*F2576</f>
        <v/>
      </c>
      <c r="H2576" s="14">
        <f>C2576*G2576</f>
        <v/>
      </c>
    </row>
    <row r="2577">
      <c r="A2577" s="12" t="inlineStr">
        <is>
          <t>RET-0203</t>
        </is>
      </c>
      <c r="B2577" s="12" t="inlineStr">
        <is>
          <t>VS26</t>
        </is>
      </c>
      <c r="C2577" s="28" t="n">
        <v>0.008999999999999999</v>
      </c>
      <c r="D2577" s="12" t="inlineStr">
        <is>
          <t>PO-2022-2760</t>
        </is>
      </c>
      <c r="E2577" s="12" t="n">
        <v>2.36</v>
      </c>
      <c r="F2577" s="17" t="n">
        <v>89723.39999999999</v>
      </c>
      <c r="G2577" s="14">
        <f>E2577*F2577</f>
        <v/>
      </c>
      <c r="H2577" s="14">
        <f>C2577*G2577</f>
        <v/>
      </c>
    </row>
    <row r="2578">
      <c r="A2578" s="12" t="inlineStr">
        <is>
          <t>RET-0203</t>
        </is>
      </c>
      <c r="B2578" s="12" t="inlineStr">
        <is>
          <t>VS27</t>
        </is>
      </c>
      <c r="C2578" s="28" t="n">
        <v>0.008800000000000001</v>
      </c>
      <c r="D2578" s="12" t="inlineStr">
        <is>
          <t>PO-2023-4350</t>
        </is>
      </c>
      <c r="E2578" s="12" t="n">
        <v>2.36</v>
      </c>
      <c r="F2578" s="17" t="n">
        <v>103401.01</v>
      </c>
      <c r="G2578" s="14">
        <f>E2578*F2578</f>
        <v/>
      </c>
      <c r="H2578" s="14">
        <f>C2578*G2578</f>
        <v/>
      </c>
    </row>
    <row r="2579">
      <c r="A2579" s="12" t="inlineStr">
        <is>
          <t>RET-0203</t>
        </is>
      </c>
      <c r="B2579" s="12" t="inlineStr">
        <is>
          <t>VS28</t>
        </is>
      </c>
      <c r="C2579" s="28" t="n">
        <v>0.0198</v>
      </c>
      <c r="D2579" s="12" t="inlineStr">
        <is>
          <t>PO-2023-3459</t>
        </is>
      </c>
      <c r="E2579" s="12" t="n">
        <v>2.36</v>
      </c>
      <c r="F2579" s="17" t="n">
        <v>61575.84</v>
      </c>
      <c r="G2579" s="14">
        <f>E2579*F2579</f>
        <v/>
      </c>
      <c r="H2579" s="14">
        <f>C2579*G2579</f>
        <v/>
      </c>
    </row>
    <row r="2580">
      <c r="A2580" s="12" t="inlineStr">
        <is>
          <t>RET-0203</t>
        </is>
      </c>
      <c r="B2580" s="12" t="inlineStr">
        <is>
          <t>VS29</t>
        </is>
      </c>
      <c r="C2580" s="28" t="n">
        <v>0.0125</v>
      </c>
      <c r="D2580" s="12" t="inlineStr">
        <is>
          <t>PO-2022-1800</t>
        </is>
      </c>
      <c r="E2580" s="12" t="n">
        <v>2.36</v>
      </c>
      <c r="F2580" s="17" t="n">
        <v>110548.27</v>
      </c>
      <c r="G2580" s="14">
        <f>E2580*F2580</f>
        <v/>
      </c>
      <c r="H2580" s="14">
        <f>C2580*G2580</f>
        <v/>
      </c>
    </row>
    <row r="2581">
      <c r="A2581" s="12" t="inlineStr">
        <is>
          <t>RET-0203</t>
        </is>
      </c>
      <c r="B2581" s="12" t="inlineStr">
        <is>
          <t>VS30</t>
        </is>
      </c>
      <c r="C2581" s="28" t="n">
        <v>0.0054</v>
      </c>
      <c r="D2581" s="12" t="inlineStr">
        <is>
          <t>PO-2021-0040</t>
        </is>
      </c>
      <c r="E2581" s="12" t="n">
        <v>2.36</v>
      </c>
      <c r="F2581" s="17" t="n">
        <v>88175.32000000001</v>
      </c>
      <c r="G2581" s="14">
        <f>E2581*F2581</f>
        <v/>
      </c>
      <c r="H2581" s="14">
        <f>C2581*G2581</f>
        <v/>
      </c>
    </row>
    <row r="2582">
      <c r="A2582" s="12" t="inlineStr">
        <is>
          <t>RET-0203</t>
        </is>
      </c>
      <c r="B2582" s="12" t="inlineStr">
        <is>
          <t>VS31</t>
        </is>
      </c>
      <c r="C2582" s="28" t="n">
        <v>0.0197</v>
      </c>
      <c r="D2582" s="12" t="inlineStr">
        <is>
          <t>PO-2021-1208</t>
        </is>
      </c>
      <c r="E2582" s="12" t="n">
        <v>2.05</v>
      </c>
      <c r="F2582" s="17" t="n">
        <v>57457.91</v>
      </c>
      <c r="G2582" s="14">
        <f>E2582*F2582</f>
        <v/>
      </c>
      <c r="H2582" s="14">
        <f>C2582*G2582</f>
        <v/>
      </c>
    </row>
    <row r="2583">
      <c r="A2583" s="12" t="inlineStr">
        <is>
          <t>RET-0203</t>
        </is>
      </c>
      <c r="B2583" s="12" t="inlineStr">
        <is>
          <t>VS32</t>
        </is>
      </c>
      <c r="C2583" s="28" t="n">
        <v>0.0234</v>
      </c>
      <c r="D2583" s="12" t="inlineStr">
        <is>
          <t>PO-2023-4698</t>
        </is>
      </c>
      <c r="E2583" s="12" t="n">
        <v>2.36</v>
      </c>
      <c r="F2583" s="17" t="n">
        <v>61801.48</v>
      </c>
      <c r="G2583" s="14">
        <f>E2583*F2583</f>
        <v/>
      </c>
      <c r="H2583" s="14">
        <f>C2583*G2583</f>
        <v/>
      </c>
    </row>
    <row r="2584">
      <c r="A2584" s="12" t="inlineStr">
        <is>
          <t>RET-0203</t>
        </is>
      </c>
      <c r="B2584" s="12" t="inlineStr">
        <is>
          <t>VS33</t>
        </is>
      </c>
      <c r="C2584" s="28" t="n">
        <v>0.0125</v>
      </c>
      <c r="D2584" s="12" t="inlineStr">
        <is>
          <t>PO-2023-4541</t>
        </is>
      </c>
      <c r="E2584" s="12" t="n">
        <v>2.36</v>
      </c>
      <c r="F2584" s="17" t="n">
        <v>118490.6</v>
      </c>
      <c r="G2584" s="14">
        <f>E2584*F2584</f>
        <v/>
      </c>
      <c r="H2584" s="14">
        <f>C2584*G2584</f>
        <v/>
      </c>
    </row>
    <row r="2585">
      <c r="A2585" s="12" t="inlineStr">
        <is>
          <t>RET-0203</t>
        </is>
      </c>
      <c r="B2585" s="12" t="inlineStr">
        <is>
          <t>VS34</t>
        </is>
      </c>
      <c r="C2585" s="28" t="n">
        <v>0.0161</v>
      </c>
      <c r="D2585" s="12" t="inlineStr">
        <is>
          <t>PO-2021-0952</t>
        </is>
      </c>
      <c r="E2585" s="12" t="n">
        <v>1.57</v>
      </c>
      <c r="F2585" s="17" t="n">
        <v>114541.69</v>
      </c>
      <c r="G2585" s="14">
        <f>E2585*F2585</f>
        <v/>
      </c>
      <c r="H2585" s="14">
        <f>C2585*G2585</f>
        <v/>
      </c>
    </row>
    <row r="2586">
      <c r="A2586" s="12" t="inlineStr">
        <is>
          <t>RET-0204</t>
        </is>
      </c>
      <c r="B2586" s="12" t="inlineStr">
        <is>
          <t>VS01</t>
        </is>
      </c>
      <c r="C2586" s="28" t="n">
        <v>0.0299</v>
      </c>
      <c r="D2586" s="12" t="inlineStr">
        <is>
          <t>PO-2021-0866</t>
        </is>
      </c>
      <c r="E2586" s="12" t="n">
        <v>1.59</v>
      </c>
      <c r="F2586" s="17" t="n">
        <v>82322.07000000001</v>
      </c>
      <c r="G2586" s="14">
        <f>E2586*F2586</f>
        <v/>
      </c>
      <c r="H2586" s="14">
        <f>C2586*G2586</f>
        <v/>
      </c>
    </row>
    <row r="2587">
      <c r="A2587" s="12" t="inlineStr">
        <is>
          <t>RET-0204</t>
        </is>
      </c>
      <c r="B2587" s="12" t="inlineStr">
        <is>
          <t>VS02</t>
        </is>
      </c>
      <c r="C2587" s="28" t="n">
        <v>0.0136</v>
      </c>
      <c r="D2587" s="12" t="inlineStr">
        <is>
          <t>PO-2022-2644</t>
        </is>
      </c>
      <c r="E2587" s="12" t="n">
        <v>3.69</v>
      </c>
      <c r="F2587" s="17" t="n">
        <v>106673.55</v>
      </c>
      <c r="G2587" s="14">
        <f>E2587*F2587</f>
        <v/>
      </c>
      <c r="H2587" s="14">
        <f>C2587*G2587</f>
        <v/>
      </c>
    </row>
    <row r="2588">
      <c r="A2588" s="12" t="inlineStr">
        <is>
          <t>RET-0204</t>
        </is>
      </c>
      <c r="B2588" s="12" t="inlineStr">
        <is>
          <t>VS03</t>
        </is>
      </c>
      <c r="C2588" s="28" t="n">
        <v>0.0994</v>
      </c>
      <c r="D2588" s="12" t="inlineStr">
        <is>
          <t>PO-2023-4707</t>
        </is>
      </c>
      <c r="E2588" s="12" t="n">
        <v>0</v>
      </c>
      <c r="F2588" s="17" t="n">
        <v>62710.54</v>
      </c>
      <c r="G2588" s="14">
        <f>E2588*F2588</f>
        <v/>
      </c>
      <c r="H2588" s="14">
        <f>C2588*G2588</f>
        <v/>
      </c>
    </row>
    <row r="2589">
      <c r="A2589" s="12" t="inlineStr">
        <is>
          <t>RET-0204</t>
        </is>
      </c>
      <c r="B2589" s="12" t="inlineStr">
        <is>
          <t>VS04</t>
        </is>
      </c>
      <c r="C2589" s="28" t="n">
        <v>0.0188</v>
      </c>
      <c r="D2589" s="12" t="inlineStr">
        <is>
          <t>PO-2023-3788</t>
        </is>
      </c>
      <c r="E2589" s="12" t="n">
        <v>3.69</v>
      </c>
      <c r="F2589" s="17" t="n">
        <v>87077.58</v>
      </c>
      <c r="G2589" s="14">
        <f>E2589*F2589</f>
        <v/>
      </c>
      <c r="H2589" s="14">
        <f>C2589*G2589</f>
        <v/>
      </c>
    </row>
    <row r="2590">
      <c r="A2590" s="12" t="inlineStr">
        <is>
          <t>RET-0204</t>
        </is>
      </c>
      <c r="B2590" s="12" t="inlineStr">
        <is>
          <t>VS05</t>
        </is>
      </c>
      <c r="C2590" s="28" t="n">
        <v>0.0244</v>
      </c>
      <c r="D2590" s="12" t="inlineStr">
        <is>
          <t>PO-2021-1497</t>
        </is>
      </c>
      <c r="E2590" s="12" t="n">
        <v>3.69</v>
      </c>
      <c r="F2590" s="17" t="n">
        <v>97260.22</v>
      </c>
      <c r="G2590" s="14">
        <f>E2590*F2590</f>
        <v/>
      </c>
      <c r="H2590" s="14">
        <f>C2590*G2590</f>
        <v/>
      </c>
    </row>
    <row r="2591">
      <c r="A2591" s="12" t="inlineStr">
        <is>
          <t>RET-0204</t>
        </is>
      </c>
      <c r="B2591" s="12" t="inlineStr">
        <is>
          <t>VS06</t>
        </is>
      </c>
      <c r="C2591" s="28" t="n">
        <v>0.0246</v>
      </c>
      <c r="D2591" s="12" t="inlineStr">
        <is>
          <t>PO-2022-1754</t>
        </is>
      </c>
      <c r="E2591" s="12" t="n">
        <v>3.69</v>
      </c>
      <c r="F2591" s="17" t="n">
        <v>99978.99000000001</v>
      </c>
      <c r="G2591" s="14">
        <f>E2591*F2591</f>
        <v/>
      </c>
      <c r="H2591" s="14">
        <f>C2591*G2591</f>
        <v/>
      </c>
    </row>
    <row r="2592">
      <c r="A2592" s="12" t="inlineStr">
        <is>
          <t>RET-0204</t>
        </is>
      </c>
      <c r="B2592" s="12" t="inlineStr">
        <is>
          <t>VS07</t>
        </is>
      </c>
      <c r="C2592" s="28" t="n">
        <v>0.008200000000000001</v>
      </c>
      <c r="D2592" s="12" t="inlineStr">
        <is>
          <t>PO-2022-1916</t>
        </is>
      </c>
      <c r="E2592" s="12" t="n">
        <v>3.69</v>
      </c>
      <c r="F2592" s="17" t="n">
        <v>88215.09</v>
      </c>
      <c r="G2592" s="14">
        <f>E2592*F2592</f>
        <v/>
      </c>
      <c r="H2592" s="14">
        <f>C2592*G2592</f>
        <v/>
      </c>
    </row>
    <row r="2593">
      <c r="A2593" s="12" t="inlineStr">
        <is>
          <t>RET-0204</t>
        </is>
      </c>
      <c r="B2593" s="12" t="inlineStr">
        <is>
          <t>VS08</t>
        </is>
      </c>
      <c r="C2593" s="28" t="n">
        <v>0.0248</v>
      </c>
      <c r="D2593" s="12" t="inlineStr">
        <is>
          <t>PO-2022-2367</t>
        </is>
      </c>
      <c r="E2593" s="12" t="n">
        <v>3.69</v>
      </c>
      <c r="F2593" s="17" t="n">
        <v>49238.56</v>
      </c>
      <c r="G2593" s="14">
        <f>E2593*F2593</f>
        <v/>
      </c>
      <c r="H2593" s="14">
        <f>C2593*G2593</f>
        <v/>
      </c>
    </row>
    <row r="2594">
      <c r="A2594" s="12" t="inlineStr">
        <is>
          <t>RET-0204</t>
        </is>
      </c>
      <c r="B2594" s="12" t="inlineStr">
        <is>
          <t>VS09</t>
        </is>
      </c>
      <c r="C2594" s="28" t="n">
        <v>0.019</v>
      </c>
      <c r="D2594" s="12" t="inlineStr">
        <is>
          <t>PO-2021-0212</t>
        </is>
      </c>
      <c r="E2594" s="12" t="n">
        <v>3.491</v>
      </c>
      <c r="F2594" s="17" t="n">
        <v>81044.3</v>
      </c>
      <c r="G2594" s="14">
        <f>E2594*F2594</f>
        <v/>
      </c>
      <c r="H2594" s="14">
        <f>C2594*G2594</f>
        <v/>
      </c>
    </row>
    <row r="2595">
      <c r="A2595" s="12" t="inlineStr">
        <is>
          <t>RET-0204</t>
        </is>
      </c>
      <c r="B2595" s="12" t="inlineStr">
        <is>
          <t>VS10</t>
        </is>
      </c>
      <c r="C2595" s="28" t="n">
        <v>0.0299</v>
      </c>
      <c r="D2595" s="12" t="inlineStr">
        <is>
          <t>PO-2021-0532</t>
        </is>
      </c>
      <c r="E2595" s="12" t="n">
        <v>3.69</v>
      </c>
      <c r="F2595" s="17" t="n">
        <v>99532.73</v>
      </c>
      <c r="G2595" s="14">
        <f>E2595*F2595</f>
        <v/>
      </c>
      <c r="H2595" s="14">
        <f>C2595*G2595</f>
        <v/>
      </c>
    </row>
    <row r="2596">
      <c r="A2596" s="12" t="inlineStr">
        <is>
          <t>RET-0204</t>
        </is>
      </c>
      <c r="B2596" s="12" t="inlineStr">
        <is>
          <t>VS11</t>
        </is>
      </c>
      <c r="C2596" s="28" t="n">
        <v>0.035</v>
      </c>
      <c r="D2596" s="12" t="inlineStr">
        <is>
          <t>PO-2022-3072</t>
        </is>
      </c>
      <c r="E2596" s="12" t="n">
        <v>3.69</v>
      </c>
      <c r="F2596" s="17" t="n">
        <v>63027.79</v>
      </c>
      <c r="G2596" s="14">
        <f>E2596*F2596</f>
        <v/>
      </c>
      <c r="H2596" s="14">
        <f>C2596*G2596</f>
        <v/>
      </c>
    </row>
    <row r="2597">
      <c r="A2597" s="12" t="inlineStr">
        <is>
          <t>RET-0204</t>
        </is>
      </c>
      <c r="B2597" s="12" t="inlineStr">
        <is>
          <t>VS12</t>
        </is>
      </c>
      <c r="C2597" s="28" t="n">
        <v>0.1382</v>
      </c>
      <c r="D2597" s="12" t="inlineStr">
        <is>
          <t>PO-2021-0487</t>
        </is>
      </c>
      <c r="E2597" s="12" t="n">
        <v>3.69</v>
      </c>
      <c r="F2597" s="17" t="n">
        <v>115707.06</v>
      </c>
      <c r="G2597" s="14">
        <f>E2597*F2597</f>
        <v/>
      </c>
      <c r="H2597" s="14">
        <f>C2597*G2597</f>
        <v/>
      </c>
    </row>
    <row r="2598">
      <c r="A2598" s="12" t="inlineStr">
        <is>
          <t>RET-0204</t>
        </is>
      </c>
      <c r="B2598" s="12" t="inlineStr">
        <is>
          <t>VS13</t>
        </is>
      </c>
      <c r="C2598" s="28" t="n">
        <v>0.0241</v>
      </c>
      <c r="D2598" s="12" t="inlineStr">
        <is>
          <t>PO-2022-1794</t>
        </is>
      </c>
      <c r="E2598" s="12" t="n">
        <v>3.69</v>
      </c>
      <c r="F2598" s="17" t="n">
        <v>95913.67999999999</v>
      </c>
      <c r="G2598" s="14">
        <f>E2598*F2598</f>
        <v/>
      </c>
      <c r="H2598" s="14">
        <f>C2598*G2598</f>
        <v/>
      </c>
    </row>
    <row r="2599">
      <c r="A2599" s="12" t="inlineStr">
        <is>
          <t>RET-0204</t>
        </is>
      </c>
      <c r="B2599" s="12" t="inlineStr">
        <is>
          <t>VS14</t>
        </is>
      </c>
      <c r="C2599" s="28" t="n">
        <v>0.0243</v>
      </c>
      <c r="D2599" s="12" t="inlineStr">
        <is>
          <t>PO-2021-0089</t>
        </is>
      </c>
      <c r="E2599" s="12" t="n">
        <v>3.69</v>
      </c>
      <c r="F2599" s="17" t="n">
        <v>56779.28</v>
      </c>
      <c r="G2599" s="14">
        <f>E2599*F2599</f>
        <v/>
      </c>
      <c r="H2599" s="14">
        <f>C2599*G2599</f>
        <v/>
      </c>
    </row>
    <row r="2600">
      <c r="A2600" s="12" t="inlineStr">
        <is>
          <t>RET-0204</t>
        </is>
      </c>
      <c r="B2600" s="12" t="inlineStr">
        <is>
          <t>VS15</t>
        </is>
      </c>
      <c r="C2600" s="28" t="n">
        <v>0.0081</v>
      </c>
      <c r="D2600" s="12" t="inlineStr">
        <is>
          <t>PO-2022-1879</t>
        </is>
      </c>
      <c r="E2600" s="12" t="n">
        <v>3.69</v>
      </c>
      <c r="F2600" s="17" t="n">
        <v>60513.23</v>
      </c>
      <c r="G2600" s="14">
        <f>E2600*F2600</f>
        <v/>
      </c>
      <c r="H2600" s="14">
        <f>C2600*G2600</f>
        <v/>
      </c>
    </row>
    <row r="2601">
      <c r="A2601" s="12" t="inlineStr">
        <is>
          <t>RET-0204</t>
        </is>
      </c>
      <c r="B2601" s="12" t="inlineStr">
        <is>
          <t>VS16</t>
        </is>
      </c>
      <c r="C2601" s="28" t="n">
        <v>0.0351</v>
      </c>
      <c r="D2601" s="12" t="inlineStr">
        <is>
          <t>PO-2023-3735</t>
        </is>
      </c>
      <c r="E2601" s="12" t="n">
        <v>3.69</v>
      </c>
      <c r="F2601" s="17" t="n">
        <v>87729.87</v>
      </c>
      <c r="G2601" s="14">
        <f>E2601*F2601</f>
        <v/>
      </c>
      <c r="H2601" s="14">
        <f>C2601*G2601</f>
        <v/>
      </c>
    </row>
    <row r="2602">
      <c r="A2602" s="12" t="inlineStr">
        <is>
          <t>RET-0204</t>
        </is>
      </c>
      <c r="B2602" s="12" t="inlineStr">
        <is>
          <t>VS17</t>
        </is>
      </c>
      <c r="C2602" s="28" t="n">
        <v>0.035</v>
      </c>
      <c r="D2602" s="12" t="inlineStr">
        <is>
          <t>PO-2021-1495</t>
        </is>
      </c>
      <c r="E2602" s="12" t="n">
        <v>3.69</v>
      </c>
      <c r="F2602" s="17" t="n">
        <v>112774.5</v>
      </c>
      <c r="G2602" s="14">
        <f>E2602*F2602</f>
        <v/>
      </c>
      <c r="H2602" s="14">
        <f>C2602*G2602</f>
        <v/>
      </c>
    </row>
    <row r="2603">
      <c r="A2603" s="12" t="inlineStr">
        <is>
          <t>RET-0204</t>
        </is>
      </c>
      <c r="B2603" s="12" t="inlineStr">
        <is>
          <t>VS18</t>
        </is>
      </c>
      <c r="C2603" s="28" t="n">
        <v>0.0244</v>
      </c>
      <c r="D2603" s="12" t="inlineStr">
        <is>
          <t>PO-2022-3019</t>
        </is>
      </c>
      <c r="E2603" s="12" t="n">
        <v>3.69</v>
      </c>
      <c r="F2603" s="17" t="n">
        <v>95251.95</v>
      </c>
      <c r="G2603" s="14">
        <f>E2603*F2603</f>
        <v/>
      </c>
      <c r="H2603" s="14">
        <f>C2603*G2603</f>
        <v/>
      </c>
    </row>
    <row r="2604">
      <c r="A2604" s="12" t="inlineStr">
        <is>
          <t>RET-0204</t>
        </is>
      </c>
      <c r="B2604" s="12" t="inlineStr">
        <is>
          <t>VS19</t>
        </is>
      </c>
      <c r="C2604" s="28" t="n">
        <v>0.1042</v>
      </c>
      <c r="D2604" s="12" t="inlineStr">
        <is>
          <t>PO-2021-0882</t>
        </is>
      </c>
      <c r="E2604" s="12" t="n">
        <v>3.69</v>
      </c>
      <c r="F2604" s="17" t="n">
        <v>70806.25999999999</v>
      </c>
      <c r="G2604" s="14">
        <f>E2604*F2604</f>
        <v/>
      </c>
      <c r="H2604" s="14">
        <f>C2604*G2604</f>
        <v/>
      </c>
    </row>
    <row r="2605">
      <c r="A2605" s="12" t="inlineStr">
        <is>
          <t>RET-0204</t>
        </is>
      </c>
      <c r="B2605" s="12" t="inlineStr">
        <is>
          <t>VS20</t>
        </is>
      </c>
      <c r="C2605" s="28" t="n">
        <v>0.0136</v>
      </c>
      <c r="D2605" s="12" t="inlineStr">
        <is>
          <t>PO-2022-2529</t>
        </is>
      </c>
      <c r="E2605" s="12" t="n">
        <v>3.69</v>
      </c>
      <c r="F2605" s="17" t="n">
        <v>56097.9</v>
      </c>
      <c r="G2605" s="14">
        <f>E2605*F2605</f>
        <v/>
      </c>
      <c r="H2605" s="14">
        <f>C2605*G2605</f>
        <v/>
      </c>
    </row>
    <row r="2606">
      <c r="A2606" s="12" t="inlineStr">
        <is>
          <t>RET-0204</t>
        </is>
      </c>
      <c r="B2606" s="12" t="inlineStr">
        <is>
          <t>VS21</t>
        </is>
      </c>
      <c r="C2606" s="28" t="n">
        <v>0.0136</v>
      </c>
      <c r="D2606" s="12" t="inlineStr">
        <is>
          <t>PO-2023-4417</t>
        </is>
      </c>
      <c r="E2606" s="12" t="n">
        <v>3.69</v>
      </c>
      <c r="F2606" s="17" t="n">
        <v>114156.44</v>
      </c>
      <c r="G2606" s="14">
        <f>E2606*F2606</f>
        <v/>
      </c>
      <c r="H2606" s="14">
        <f>C2606*G2606</f>
        <v/>
      </c>
    </row>
    <row r="2607">
      <c r="A2607" s="12" t="inlineStr">
        <is>
          <t>RET-0204</t>
        </is>
      </c>
      <c r="B2607" s="12" t="inlineStr">
        <is>
          <t>VS22</t>
        </is>
      </c>
      <c r="C2607" s="28" t="n">
        <v>0.0081</v>
      </c>
      <c r="D2607" s="12" t="inlineStr">
        <is>
          <t>PO-2022-1943</t>
        </is>
      </c>
      <c r="E2607" s="12" t="n">
        <v>3.69</v>
      </c>
      <c r="F2607" s="17" t="n">
        <v>100294.91</v>
      </c>
      <c r="G2607" s="14">
        <f>E2607*F2607</f>
        <v/>
      </c>
      <c r="H2607" s="14">
        <f>C2607*G2607</f>
        <v/>
      </c>
    </row>
    <row r="2608">
      <c r="A2608" s="12" t="inlineStr">
        <is>
          <t>RET-0204</t>
        </is>
      </c>
      <c r="B2608" s="12" t="inlineStr">
        <is>
          <t>VS23</t>
        </is>
      </c>
      <c r="C2608" s="28" t="n">
        <v>0.0134</v>
      </c>
      <c r="D2608" s="12" t="inlineStr">
        <is>
          <t>PO-2022-3106</t>
        </is>
      </c>
      <c r="E2608" s="12" t="n">
        <v>3.69</v>
      </c>
      <c r="F2608" s="17" t="n">
        <v>111794.76</v>
      </c>
      <c r="G2608" s="14">
        <f>E2608*F2608</f>
        <v/>
      </c>
      <c r="H2608" s="14">
        <f>C2608*G2608</f>
        <v/>
      </c>
    </row>
    <row r="2609">
      <c r="A2609" s="12" t="inlineStr">
        <is>
          <t>RET-0204</t>
        </is>
      </c>
      <c r="B2609" s="12" t="inlineStr">
        <is>
          <t>VS24</t>
        </is>
      </c>
      <c r="C2609" s="28" t="n">
        <v>0.0135</v>
      </c>
      <c r="D2609" s="12" t="inlineStr">
        <is>
          <t>PO-2022-3004</t>
        </is>
      </c>
      <c r="E2609" s="12" t="n">
        <v>3.69</v>
      </c>
      <c r="F2609" s="17" t="n">
        <v>58112.13</v>
      </c>
      <c r="G2609" s="14">
        <f>E2609*F2609</f>
        <v/>
      </c>
      <c r="H2609" s="14">
        <f>C2609*G2609</f>
        <v/>
      </c>
    </row>
    <row r="2610">
      <c r="A2610" s="12" t="inlineStr">
        <is>
          <t>RET-0204</t>
        </is>
      </c>
      <c r="B2610" s="12" t="inlineStr">
        <is>
          <t>VS25</t>
        </is>
      </c>
      <c r="C2610" s="28" t="n">
        <v>0.0245</v>
      </c>
      <c r="D2610" s="12" t="inlineStr">
        <is>
          <t>PO-2022-2031</t>
        </is>
      </c>
      <c r="E2610" s="12" t="n">
        <v>3.69</v>
      </c>
      <c r="F2610" s="17" t="n">
        <v>94552.39</v>
      </c>
      <c r="G2610" s="14">
        <f>E2610*F2610</f>
        <v/>
      </c>
      <c r="H2610" s="14">
        <f>C2610*G2610</f>
        <v/>
      </c>
    </row>
    <row r="2611">
      <c r="A2611" s="12" t="inlineStr">
        <is>
          <t>RET-0204</t>
        </is>
      </c>
      <c r="B2611" s="12" t="inlineStr">
        <is>
          <t>VS26</t>
        </is>
      </c>
      <c r="C2611" s="28" t="n">
        <v>0.0136</v>
      </c>
      <c r="D2611" s="12" t="inlineStr">
        <is>
          <t>PO-2021-0818</t>
        </is>
      </c>
      <c r="E2611" s="12" t="n">
        <v>3.69</v>
      </c>
      <c r="F2611" s="17" t="n">
        <v>82636.73</v>
      </c>
      <c r="G2611" s="14">
        <f>E2611*F2611</f>
        <v/>
      </c>
      <c r="H2611" s="14">
        <f>C2611*G2611</f>
        <v/>
      </c>
    </row>
    <row r="2612">
      <c r="A2612" s="12" t="inlineStr">
        <is>
          <t>RET-0204</t>
        </is>
      </c>
      <c r="B2612" s="12" t="inlineStr">
        <is>
          <t>VS27</t>
        </is>
      </c>
      <c r="C2612" s="28" t="n">
        <v>0.0134</v>
      </c>
      <c r="D2612" s="12" t="inlineStr">
        <is>
          <t>PO-2021-1128</t>
        </is>
      </c>
      <c r="E2612" s="12" t="n">
        <v>3.69</v>
      </c>
      <c r="F2612" s="17" t="n">
        <v>93453.2</v>
      </c>
      <c r="G2612" s="14">
        <f>E2612*F2612</f>
        <v/>
      </c>
      <c r="H2612" s="14">
        <f>C2612*G2612</f>
        <v/>
      </c>
    </row>
    <row r="2613">
      <c r="A2613" s="12" t="inlineStr">
        <is>
          <t>RET-0204</t>
        </is>
      </c>
      <c r="B2613" s="12" t="inlineStr">
        <is>
          <t>VS28</t>
        </is>
      </c>
      <c r="C2613" s="28" t="n">
        <v>0.0299</v>
      </c>
      <c r="D2613" s="12" t="inlineStr">
        <is>
          <t>PO-2022-3062</t>
        </is>
      </c>
      <c r="E2613" s="12" t="n">
        <v>3.69</v>
      </c>
      <c r="F2613" s="17" t="n">
        <v>55568.5</v>
      </c>
      <c r="G2613" s="14">
        <f>E2613*F2613</f>
        <v/>
      </c>
      <c r="H2613" s="14">
        <f>C2613*G2613</f>
        <v/>
      </c>
    </row>
    <row r="2614">
      <c r="A2614" s="12" t="inlineStr">
        <is>
          <t>RET-0204</t>
        </is>
      </c>
      <c r="B2614" s="12" t="inlineStr">
        <is>
          <t>VS29</t>
        </is>
      </c>
      <c r="C2614" s="28" t="n">
        <v>0.019</v>
      </c>
      <c r="D2614" s="12" t="inlineStr">
        <is>
          <t>PO-2021-1040</t>
        </is>
      </c>
      <c r="E2614" s="12" t="n">
        <v>3.69</v>
      </c>
      <c r="F2614" s="17" t="n">
        <v>60386.65</v>
      </c>
      <c r="G2614" s="14">
        <f>E2614*F2614</f>
        <v/>
      </c>
      <c r="H2614" s="14">
        <f>C2614*G2614</f>
        <v/>
      </c>
    </row>
    <row r="2615">
      <c r="A2615" s="12" t="inlineStr">
        <is>
          <t>RET-0204</t>
        </is>
      </c>
      <c r="B2615" s="12" t="inlineStr">
        <is>
          <t>VS30</t>
        </is>
      </c>
      <c r="C2615" s="28" t="n">
        <v>0.008200000000000001</v>
      </c>
      <c r="D2615" s="12" t="inlineStr">
        <is>
          <t>PO-2022-1628</t>
        </is>
      </c>
      <c r="E2615" s="12" t="n">
        <v>3.69</v>
      </c>
      <c r="F2615" s="17" t="n">
        <v>118386.28</v>
      </c>
      <c r="G2615" s="14">
        <f>E2615*F2615</f>
        <v/>
      </c>
      <c r="H2615" s="14">
        <f>C2615*G2615</f>
        <v/>
      </c>
    </row>
    <row r="2616">
      <c r="A2616" s="12" t="inlineStr">
        <is>
          <t>RET-0204</t>
        </is>
      </c>
      <c r="B2616" s="12" t="inlineStr">
        <is>
          <t>VS31</t>
        </is>
      </c>
      <c r="C2616" s="28" t="n">
        <v>0.0297</v>
      </c>
      <c r="D2616" s="12" t="inlineStr">
        <is>
          <t>PO-2022-2418</t>
        </is>
      </c>
      <c r="E2616" s="12" t="n">
        <v>3.69</v>
      </c>
      <c r="F2616" s="17" t="n">
        <v>51222.35</v>
      </c>
      <c r="G2616" s="14">
        <f>E2616*F2616</f>
        <v/>
      </c>
      <c r="H2616" s="14">
        <f>C2616*G2616</f>
        <v/>
      </c>
    </row>
    <row r="2617">
      <c r="A2617" s="12" t="inlineStr">
        <is>
          <t>RET-0204</t>
        </is>
      </c>
      <c r="B2617" s="12" t="inlineStr">
        <is>
          <t>VS32</t>
        </is>
      </c>
      <c r="C2617" s="28" t="n">
        <v>0.0354</v>
      </c>
      <c r="D2617" s="12" t="inlineStr">
        <is>
          <t>PO-2021-0426</t>
        </is>
      </c>
      <c r="E2617" s="12" t="n">
        <v>3.69</v>
      </c>
      <c r="F2617" s="17" t="n">
        <v>66269.48</v>
      </c>
      <c r="G2617" s="14">
        <f>E2617*F2617</f>
        <v/>
      </c>
      <c r="H2617" s="14">
        <f>C2617*G2617</f>
        <v/>
      </c>
    </row>
    <row r="2618">
      <c r="A2618" s="12" t="inlineStr">
        <is>
          <t>RET-0204</t>
        </is>
      </c>
      <c r="B2618" s="12" t="inlineStr">
        <is>
          <t>VS33</t>
        </is>
      </c>
      <c r="C2618" s="28" t="n">
        <v>0.0189</v>
      </c>
      <c r="D2618" s="12" t="inlineStr">
        <is>
          <t>PO-2021-0693</t>
        </is>
      </c>
      <c r="E2618" s="12" t="n">
        <v>3.69</v>
      </c>
      <c r="F2618" s="17" t="n">
        <v>96419.34</v>
      </c>
      <c r="G2618" s="14">
        <f>E2618*F2618</f>
        <v/>
      </c>
      <c r="H2618" s="14">
        <f>C2618*G2618</f>
        <v/>
      </c>
    </row>
    <row r="2619">
      <c r="A2619" s="12" t="inlineStr">
        <is>
          <t>RET-0204</t>
        </is>
      </c>
      <c r="B2619" s="12" t="inlineStr">
        <is>
          <t>VS34</t>
        </is>
      </c>
      <c r="C2619" s="28" t="n">
        <v>0.0244</v>
      </c>
      <c r="D2619" s="12" t="inlineStr">
        <is>
          <t>PO-2022-2725</t>
        </is>
      </c>
      <c r="E2619" s="12" t="n">
        <v>3.69</v>
      </c>
      <c r="F2619" s="17" t="n">
        <v>117234.68</v>
      </c>
      <c r="G2619" s="14">
        <f>E2619*F2619</f>
        <v/>
      </c>
      <c r="H2619" s="14">
        <f>C2619*G2619</f>
        <v/>
      </c>
    </row>
    <row r="2620">
      <c r="A2620" s="12" t="inlineStr">
        <is>
          <t>RET-0205</t>
        </is>
      </c>
      <c r="B2620" s="12" t="inlineStr">
        <is>
          <t>VS01</t>
        </is>
      </c>
      <c r="C2620" s="28" t="n">
        <v>0.008</v>
      </c>
      <c r="D2620" s="12" t="inlineStr">
        <is>
          <t>PO-2022-2743</t>
        </is>
      </c>
      <c r="E2620" s="12" t="n">
        <v>2.32</v>
      </c>
      <c r="F2620" s="17" t="n">
        <v>111546.2</v>
      </c>
      <c r="G2620" s="14">
        <f>E2620*F2620</f>
        <v/>
      </c>
      <c r="H2620" s="14">
        <f>C2620*G2620</f>
        <v/>
      </c>
    </row>
    <row r="2621">
      <c r="A2621" s="12" t="inlineStr">
        <is>
          <t>RET-0205</t>
        </is>
      </c>
      <c r="B2621" s="12" t="inlineStr">
        <is>
          <t>VS02</t>
        </is>
      </c>
      <c r="C2621" s="28" t="n">
        <v>0.0036</v>
      </c>
      <c r="D2621" s="12" t="inlineStr">
        <is>
          <t>PO-2021-1446</t>
        </is>
      </c>
      <c r="E2621" s="12" t="n">
        <v>2.32</v>
      </c>
      <c r="F2621" s="17" t="n">
        <v>117719.82</v>
      </c>
      <c r="G2621" s="14">
        <f>E2621*F2621</f>
        <v/>
      </c>
      <c r="H2621" s="14">
        <f>C2621*G2621</f>
        <v/>
      </c>
    </row>
    <row r="2622">
      <c r="A2622" s="12" t="inlineStr">
        <is>
          <t>RET-0205</t>
        </is>
      </c>
      <c r="B2622" s="12" t="inlineStr">
        <is>
          <t>VS03</t>
        </is>
      </c>
      <c r="C2622" s="28" t="n">
        <v>0.2396</v>
      </c>
      <c r="D2622" s="12" t="inlineStr">
        <is>
          <t>PO-2023-3826</t>
        </is>
      </c>
      <c r="E2622" s="12" t="n">
        <v>2.32</v>
      </c>
      <c r="F2622" s="17" t="n">
        <v>101275.29</v>
      </c>
      <c r="G2622" s="14">
        <f>E2622*F2622</f>
        <v/>
      </c>
      <c r="H2622" s="14">
        <f>C2622*G2622</f>
        <v/>
      </c>
    </row>
    <row r="2623">
      <c r="A2623" s="12" t="inlineStr">
        <is>
          <t>RET-0205</t>
        </is>
      </c>
      <c r="B2623" s="12" t="inlineStr">
        <is>
          <t>VS04</t>
        </is>
      </c>
      <c r="C2623" s="28" t="n">
        <v>0.005</v>
      </c>
      <c r="D2623" s="12" t="inlineStr">
        <is>
          <t>PO-2023-4413</t>
        </is>
      </c>
      <c r="E2623" s="12" t="n">
        <v>2.32</v>
      </c>
      <c r="F2623" s="17" t="n">
        <v>47391.08</v>
      </c>
      <c r="G2623" s="14">
        <f>E2623*F2623</f>
        <v/>
      </c>
      <c r="H2623" s="14">
        <f>C2623*G2623</f>
        <v/>
      </c>
    </row>
    <row r="2624">
      <c r="A2624" s="12" t="inlineStr">
        <is>
          <t>RET-0205</t>
        </is>
      </c>
      <c r="B2624" s="12" t="inlineStr">
        <is>
          <t>VS05</t>
        </is>
      </c>
      <c r="C2624" s="28" t="n">
        <v>0.0065</v>
      </c>
      <c r="D2624" s="12" t="inlineStr">
        <is>
          <t>PO-2021-1350</t>
        </is>
      </c>
      <c r="E2624" s="12" t="n">
        <v>2.32</v>
      </c>
      <c r="F2624" s="17" t="n">
        <v>67088.84</v>
      </c>
      <c r="G2624" s="14">
        <f>E2624*F2624</f>
        <v/>
      </c>
      <c r="H2624" s="14">
        <f>C2624*G2624</f>
        <v/>
      </c>
    </row>
    <row r="2625">
      <c r="A2625" s="12" t="inlineStr">
        <is>
          <t>RET-0205</t>
        </is>
      </c>
      <c r="B2625" s="12" t="inlineStr">
        <is>
          <t>VS06</t>
        </is>
      </c>
      <c r="C2625" s="28" t="n">
        <v>0.0066</v>
      </c>
      <c r="D2625" s="12" t="inlineStr">
        <is>
          <t>PO-2022-2004</t>
        </is>
      </c>
      <c r="E2625" s="12" t="n">
        <v>2.32</v>
      </c>
      <c r="F2625" s="17" t="n">
        <v>52605.38</v>
      </c>
      <c r="G2625" s="14">
        <f>E2625*F2625</f>
        <v/>
      </c>
      <c r="H2625" s="14">
        <f>C2625*G2625</f>
        <v/>
      </c>
    </row>
    <row r="2626">
      <c r="A2626" s="12" t="inlineStr">
        <is>
          <t>RET-0205</t>
        </is>
      </c>
      <c r="B2626" s="12" t="inlineStr">
        <is>
          <t>VS07</t>
        </is>
      </c>
      <c r="C2626" s="28" t="n">
        <v>0.0022</v>
      </c>
      <c r="D2626" s="12" t="inlineStr">
        <is>
          <t>PO-2022-1955</t>
        </is>
      </c>
      <c r="E2626" s="12" t="n">
        <v>2.32</v>
      </c>
      <c r="F2626" s="17" t="n">
        <v>82709.5</v>
      </c>
      <c r="G2626" s="14">
        <f>E2626*F2626</f>
        <v/>
      </c>
      <c r="H2626" s="14">
        <f>C2626*G2626</f>
        <v/>
      </c>
    </row>
    <row r="2627">
      <c r="A2627" s="12" t="inlineStr">
        <is>
          <t>RET-0205</t>
        </is>
      </c>
      <c r="B2627" s="12" t="inlineStr">
        <is>
          <t>VS08</t>
        </is>
      </c>
      <c r="C2627" s="28" t="n">
        <v>0.0066</v>
      </c>
      <c r="D2627" s="12" t="inlineStr">
        <is>
          <t>PO-2023-4200</t>
        </is>
      </c>
      <c r="E2627" s="12" t="n">
        <v>2.32</v>
      </c>
      <c r="F2627" s="17" t="n">
        <v>86739.34</v>
      </c>
      <c r="G2627" s="14">
        <f>E2627*F2627</f>
        <v/>
      </c>
      <c r="H2627" s="14">
        <f>C2627*G2627</f>
        <v/>
      </c>
    </row>
    <row r="2628">
      <c r="A2628" s="12" t="inlineStr">
        <is>
          <t>RET-0205</t>
        </is>
      </c>
      <c r="B2628" s="12" t="inlineStr">
        <is>
          <t>VS09</t>
        </is>
      </c>
      <c r="C2628" s="28" t="n">
        <v>0.0051</v>
      </c>
      <c r="D2628" s="12" t="inlineStr">
        <is>
          <t>PO-2021-1189</t>
        </is>
      </c>
      <c r="E2628" s="12" t="n">
        <v>2.32</v>
      </c>
      <c r="F2628" s="17" t="n">
        <v>107403.97</v>
      </c>
      <c r="G2628" s="14">
        <f>E2628*F2628</f>
        <v/>
      </c>
      <c r="H2628" s="14">
        <f>C2628*G2628</f>
        <v/>
      </c>
    </row>
    <row r="2629">
      <c r="A2629" s="12" t="inlineStr">
        <is>
          <t>RET-0205</t>
        </is>
      </c>
      <c r="B2629" s="12" t="inlineStr">
        <is>
          <t>VS10</t>
        </is>
      </c>
      <c r="C2629" s="28" t="n">
        <v>0.008</v>
      </c>
      <c r="D2629" s="12" t="inlineStr">
        <is>
          <t>PO-2022-2349</t>
        </is>
      </c>
      <c r="E2629" s="12" t="n">
        <v>2.32</v>
      </c>
      <c r="F2629" s="17" t="n">
        <v>49426.59</v>
      </c>
      <c r="G2629" s="14">
        <f>E2629*F2629</f>
        <v/>
      </c>
      <c r="H2629" s="14">
        <f>C2629*G2629</f>
        <v/>
      </c>
    </row>
    <row r="2630">
      <c r="A2630" s="12" t="inlineStr">
        <is>
          <t>RET-0205</t>
        </is>
      </c>
      <c r="B2630" s="12" t="inlineStr">
        <is>
          <t>VS11</t>
        </is>
      </c>
      <c r="C2630" s="28" t="n">
        <v>0.0094</v>
      </c>
      <c r="D2630" s="12" t="inlineStr">
        <is>
          <t>PO-2021-0455</t>
        </is>
      </c>
      <c r="E2630" s="12" t="n">
        <v>2.32</v>
      </c>
      <c r="F2630" s="17" t="n">
        <v>103584.3</v>
      </c>
      <c r="G2630" s="14">
        <f>E2630*F2630</f>
        <v/>
      </c>
      <c r="H2630" s="14">
        <f>C2630*G2630</f>
        <v/>
      </c>
    </row>
    <row r="2631">
      <c r="A2631" s="12" t="inlineStr">
        <is>
          <t>RET-0205</t>
        </is>
      </c>
      <c r="B2631" s="12" t="inlineStr">
        <is>
          <t>VS12</t>
        </is>
      </c>
      <c r="C2631" s="28" t="n">
        <v>0.3331</v>
      </c>
      <c r="D2631" s="12" t="inlineStr">
        <is>
          <t>PO-2023-4772</t>
        </is>
      </c>
      <c r="E2631" s="12" t="n">
        <v>2.32</v>
      </c>
      <c r="F2631" s="17" t="n">
        <v>71528</v>
      </c>
      <c r="G2631" s="14">
        <f>E2631*F2631</f>
        <v/>
      </c>
      <c r="H2631" s="14">
        <f>C2631*G2631</f>
        <v/>
      </c>
    </row>
    <row r="2632">
      <c r="A2632" s="12" t="inlineStr">
        <is>
          <t>RET-0205</t>
        </is>
      </c>
      <c r="B2632" s="12" t="inlineStr">
        <is>
          <t>VS13</t>
        </is>
      </c>
      <c r="C2632" s="28" t="n">
        <v>0.0064</v>
      </c>
      <c r="D2632" s="12" t="inlineStr">
        <is>
          <t>PO-2021-0778</t>
        </is>
      </c>
      <c r="E2632" s="12" t="n">
        <v>2.32</v>
      </c>
      <c r="F2632" s="17" t="n">
        <v>109774.32</v>
      </c>
      <c r="G2632" s="14">
        <f>E2632*F2632</f>
        <v/>
      </c>
      <c r="H2632" s="14">
        <f>C2632*G2632</f>
        <v/>
      </c>
    </row>
    <row r="2633">
      <c r="A2633" s="12" t="inlineStr">
        <is>
          <t>RET-0205</t>
        </is>
      </c>
      <c r="B2633" s="12" t="inlineStr">
        <is>
          <t>VS14</t>
        </is>
      </c>
      <c r="C2633" s="28" t="n">
        <v>0.0065</v>
      </c>
      <c r="D2633" s="12" t="inlineStr">
        <is>
          <t>PO-2023-3470</t>
        </is>
      </c>
      <c r="E2633" s="12" t="n">
        <v>2.32</v>
      </c>
      <c r="F2633" s="17" t="n">
        <v>91401.14999999999</v>
      </c>
      <c r="G2633" s="14">
        <f>E2633*F2633</f>
        <v/>
      </c>
      <c r="H2633" s="14">
        <f>C2633*G2633</f>
        <v/>
      </c>
    </row>
    <row r="2634">
      <c r="A2634" s="12" t="inlineStr">
        <is>
          <t>RET-0205</t>
        </is>
      </c>
      <c r="B2634" s="12" t="inlineStr">
        <is>
          <t>VS15</t>
        </is>
      </c>
      <c r="C2634" s="28" t="n">
        <v>0.0022</v>
      </c>
      <c r="D2634" s="12" t="inlineStr">
        <is>
          <t>PO-2021-1247</t>
        </is>
      </c>
      <c r="E2634" s="12" t="n">
        <v>2.32</v>
      </c>
      <c r="F2634" s="17" t="n">
        <v>95019.17999999999</v>
      </c>
      <c r="G2634" s="14">
        <f>E2634*F2634</f>
        <v/>
      </c>
      <c r="H2634" s="14">
        <f>C2634*G2634</f>
        <v/>
      </c>
    </row>
    <row r="2635">
      <c r="A2635" s="12" t="inlineStr">
        <is>
          <t>RET-0205</t>
        </is>
      </c>
      <c r="B2635" s="12" t="inlineStr">
        <is>
          <t>VS16</t>
        </is>
      </c>
      <c r="C2635" s="28" t="n">
        <v>0.0094</v>
      </c>
      <c r="D2635" s="12" t="inlineStr">
        <is>
          <t>PO-2023-4197</t>
        </is>
      </c>
      <c r="E2635" s="12" t="n">
        <v>2.32</v>
      </c>
      <c r="F2635" s="17" t="n">
        <v>106953.2</v>
      </c>
      <c r="G2635" s="14">
        <f>E2635*F2635</f>
        <v/>
      </c>
      <c r="H2635" s="14">
        <f>C2635*G2635</f>
        <v/>
      </c>
    </row>
    <row r="2636">
      <c r="A2636" s="12" t="inlineStr">
        <is>
          <t>RET-0205</t>
        </is>
      </c>
      <c r="B2636" s="12" t="inlineStr">
        <is>
          <t>VS17</t>
        </is>
      </c>
      <c r="C2636" s="28" t="n">
        <v>0.0094</v>
      </c>
      <c r="D2636" s="12" t="inlineStr">
        <is>
          <t>PO-2023-4313</t>
        </is>
      </c>
      <c r="E2636" s="12" t="n">
        <v>2.32</v>
      </c>
      <c r="F2636" s="17" t="n">
        <v>50023.04</v>
      </c>
      <c r="G2636" s="14">
        <f>E2636*F2636</f>
        <v/>
      </c>
      <c r="H2636" s="14">
        <f>C2636*G2636</f>
        <v/>
      </c>
    </row>
    <row r="2637">
      <c r="A2637" s="12" t="inlineStr">
        <is>
          <t>RET-0205</t>
        </is>
      </c>
      <c r="B2637" s="12" t="inlineStr">
        <is>
          <t>VS18</t>
        </is>
      </c>
      <c r="C2637" s="28" t="n">
        <v>0.0065</v>
      </c>
      <c r="D2637" s="12" t="inlineStr">
        <is>
          <t>PO-2023-3529</t>
        </is>
      </c>
      <c r="E2637" s="12" t="n">
        <v>2.32</v>
      </c>
      <c r="F2637" s="17" t="n">
        <v>71931.77</v>
      </c>
      <c r="G2637" s="14">
        <f>E2637*F2637</f>
        <v/>
      </c>
      <c r="H2637" s="14">
        <f>C2637*G2637</f>
        <v/>
      </c>
    </row>
    <row r="2638">
      <c r="A2638" s="12" t="inlineStr">
        <is>
          <t>RET-0205</t>
        </is>
      </c>
      <c r="B2638" s="12" t="inlineStr">
        <is>
          <t>VS19</t>
        </is>
      </c>
      <c r="C2638" s="28" t="n">
        <v>0.2513</v>
      </c>
      <c r="D2638" s="12" t="inlineStr">
        <is>
          <t>PO-2022-2516</t>
        </is>
      </c>
      <c r="E2638" s="12" t="n">
        <v>0</v>
      </c>
      <c r="F2638" s="17" t="n">
        <v>87125.81</v>
      </c>
      <c r="G2638" s="14">
        <f>E2638*F2638</f>
        <v/>
      </c>
      <c r="H2638" s="14">
        <f>C2638*G2638</f>
        <v/>
      </c>
    </row>
    <row r="2639">
      <c r="A2639" s="12" t="inlineStr">
        <is>
          <t>RET-0205</t>
        </is>
      </c>
      <c r="B2639" s="12" t="inlineStr">
        <is>
          <t>VS20</t>
        </is>
      </c>
      <c r="C2639" s="28" t="n">
        <v>0.0036</v>
      </c>
      <c r="D2639" s="12" t="inlineStr">
        <is>
          <t>PO-2021-1524</t>
        </is>
      </c>
      <c r="E2639" s="12" t="n">
        <v>2.32</v>
      </c>
      <c r="F2639" s="17" t="n">
        <v>71229.13</v>
      </c>
      <c r="G2639" s="14">
        <f>E2639*F2639</f>
        <v/>
      </c>
      <c r="H2639" s="14">
        <f>C2639*G2639</f>
        <v/>
      </c>
    </row>
    <row r="2640">
      <c r="A2640" s="12" t="inlineStr">
        <is>
          <t>RET-0205</t>
        </is>
      </c>
      <c r="B2640" s="12" t="inlineStr">
        <is>
          <t>VS21</t>
        </is>
      </c>
      <c r="C2640" s="28" t="n">
        <v>0.0036</v>
      </c>
      <c r="D2640" s="12" t="inlineStr">
        <is>
          <t>PO-2021-1238</t>
        </is>
      </c>
      <c r="E2640" s="12" t="n">
        <v>1.38</v>
      </c>
      <c r="F2640" s="17" t="n">
        <v>65983.56</v>
      </c>
      <c r="G2640" s="14">
        <f>E2640*F2640</f>
        <v/>
      </c>
      <c r="H2640" s="14">
        <f>C2640*G2640</f>
        <v/>
      </c>
    </row>
    <row r="2641">
      <c r="A2641" s="12" t="inlineStr">
        <is>
          <t>RET-0205</t>
        </is>
      </c>
      <c r="B2641" s="12" t="inlineStr">
        <is>
          <t>VS22</t>
        </is>
      </c>
      <c r="C2641" s="28" t="n">
        <v>0.0022</v>
      </c>
      <c r="D2641" s="12" t="inlineStr">
        <is>
          <t>PO-2021-0170</t>
        </is>
      </c>
      <c r="E2641" s="12" t="n">
        <v>1.3</v>
      </c>
      <c r="F2641" s="17" t="n">
        <v>110239.7</v>
      </c>
      <c r="G2641" s="14">
        <f>E2641*F2641</f>
        <v/>
      </c>
      <c r="H2641" s="14">
        <f>C2641*G2641</f>
        <v/>
      </c>
    </row>
    <row r="2642">
      <c r="A2642" s="12" t="inlineStr">
        <is>
          <t>RET-0205</t>
        </is>
      </c>
      <c r="B2642" s="12" t="inlineStr">
        <is>
          <t>VS23</t>
        </is>
      </c>
      <c r="C2642" s="28" t="n">
        <v>0.0036</v>
      </c>
      <c r="D2642" s="12" t="inlineStr">
        <is>
          <t>PO-2021-0717</t>
        </is>
      </c>
      <c r="E2642" s="12" t="n">
        <v>2.32</v>
      </c>
      <c r="F2642" s="17" t="n">
        <v>65738.09</v>
      </c>
      <c r="G2642" s="14">
        <f>E2642*F2642</f>
        <v/>
      </c>
      <c r="H2642" s="14">
        <f>C2642*G2642</f>
        <v/>
      </c>
    </row>
    <row r="2643">
      <c r="A2643" s="12" t="inlineStr">
        <is>
          <t>RET-0205</t>
        </is>
      </c>
      <c r="B2643" s="12" t="inlineStr">
        <is>
          <t>VS24</t>
        </is>
      </c>
      <c r="C2643" s="28" t="n">
        <v>0.0036</v>
      </c>
      <c r="D2643" s="12" t="inlineStr">
        <is>
          <t>PO-2023-4182</t>
        </is>
      </c>
      <c r="E2643" s="12" t="n">
        <v>2.32</v>
      </c>
      <c r="F2643" s="17" t="n">
        <v>67218.28</v>
      </c>
      <c r="G2643" s="14">
        <f>E2643*F2643</f>
        <v/>
      </c>
      <c r="H2643" s="14">
        <f>C2643*G2643</f>
        <v/>
      </c>
    </row>
    <row r="2644">
      <c r="A2644" s="12" t="inlineStr">
        <is>
          <t>RET-0205</t>
        </is>
      </c>
      <c r="B2644" s="12" t="inlineStr">
        <is>
          <t>VS25</t>
        </is>
      </c>
      <c r="C2644" s="28" t="n">
        <v>0.0066</v>
      </c>
      <c r="D2644" s="12" t="inlineStr">
        <is>
          <t>PO-2021-1284</t>
        </is>
      </c>
      <c r="E2644" s="12" t="n">
        <v>2.32</v>
      </c>
      <c r="F2644" s="17" t="n">
        <v>60956.56</v>
      </c>
      <c r="G2644" s="14">
        <f>E2644*F2644</f>
        <v/>
      </c>
      <c r="H2644" s="14">
        <f>C2644*G2644</f>
        <v/>
      </c>
    </row>
    <row r="2645">
      <c r="A2645" s="12" t="inlineStr">
        <is>
          <t>RET-0205</t>
        </is>
      </c>
      <c r="B2645" s="12" t="inlineStr">
        <is>
          <t>VS26</t>
        </is>
      </c>
      <c r="C2645" s="28" t="n">
        <v>0.0036</v>
      </c>
      <c r="D2645" s="12" t="inlineStr">
        <is>
          <t>PO-2022-2138</t>
        </is>
      </c>
      <c r="E2645" s="12" t="n">
        <v>2.32</v>
      </c>
      <c r="F2645" s="17" t="n">
        <v>64888.6</v>
      </c>
      <c r="G2645" s="14">
        <f>E2645*F2645</f>
        <v/>
      </c>
      <c r="H2645" s="14">
        <f>C2645*G2645</f>
        <v/>
      </c>
    </row>
    <row r="2646">
      <c r="A2646" s="12" t="inlineStr">
        <is>
          <t>RET-0205</t>
        </is>
      </c>
      <c r="B2646" s="12" t="inlineStr">
        <is>
          <t>VS27</t>
        </is>
      </c>
      <c r="C2646" s="28" t="n">
        <v>0.0036</v>
      </c>
      <c r="D2646" s="12" t="inlineStr">
        <is>
          <t>PO-2022-2443</t>
        </is>
      </c>
      <c r="E2646" s="12" t="n">
        <v>2.32</v>
      </c>
      <c r="F2646" s="17" t="n">
        <v>107098.17</v>
      </c>
      <c r="G2646" s="14">
        <f>E2646*F2646</f>
        <v/>
      </c>
      <c r="H2646" s="14">
        <f>C2646*G2646</f>
        <v/>
      </c>
    </row>
    <row r="2647">
      <c r="A2647" s="12" t="inlineStr">
        <is>
          <t>RET-0205</t>
        </is>
      </c>
      <c r="B2647" s="12" t="inlineStr">
        <is>
          <t>VS28</t>
        </is>
      </c>
      <c r="C2647" s="28" t="n">
        <v>0.008</v>
      </c>
      <c r="D2647" s="12" t="inlineStr">
        <is>
          <t>PO-2021-0923</t>
        </is>
      </c>
      <c r="E2647" s="12" t="n">
        <v>2.32</v>
      </c>
      <c r="F2647" s="17" t="n">
        <v>88704.52</v>
      </c>
      <c r="G2647" s="14">
        <f>E2647*F2647</f>
        <v/>
      </c>
      <c r="H2647" s="14">
        <f>C2647*G2647</f>
        <v/>
      </c>
    </row>
    <row r="2648">
      <c r="A2648" s="12" t="inlineStr">
        <is>
          <t>RET-0205</t>
        </is>
      </c>
      <c r="B2648" s="12" t="inlineStr">
        <is>
          <t>VS29</t>
        </is>
      </c>
      <c r="C2648" s="28" t="n">
        <v>0.0051</v>
      </c>
      <c r="D2648" s="12" t="inlineStr">
        <is>
          <t>PO-2021-1028</t>
        </is>
      </c>
      <c r="E2648" s="12" t="n">
        <v>2.32</v>
      </c>
      <c r="F2648" s="17" t="n">
        <v>115902.4</v>
      </c>
      <c r="G2648" s="14">
        <f>E2648*F2648</f>
        <v/>
      </c>
      <c r="H2648" s="14">
        <f>C2648*G2648</f>
        <v/>
      </c>
    </row>
    <row r="2649">
      <c r="A2649" s="12" t="inlineStr">
        <is>
          <t>RET-0205</t>
        </is>
      </c>
      <c r="B2649" s="12" t="inlineStr">
        <is>
          <t>VS30</t>
        </is>
      </c>
      <c r="C2649" s="28" t="n">
        <v>0.0022</v>
      </c>
      <c r="D2649" s="12" t="inlineStr">
        <is>
          <t>PO-2021-0466</t>
        </is>
      </c>
      <c r="E2649" s="12" t="n">
        <v>2.32</v>
      </c>
      <c r="F2649" s="17" t="n">
        <v>82002.05</v>
      </c>
      <c r="G2649" s="14">
        <f>E2649*F2649</f>
        <v/>
      </c>
      <c r="H2649" s="14">
        <f>C2649*G2649</f>
        <v/>
      </c>
    </row>
    <row r="2650">
      <c r="A2650" s="12" t="inlineStr">
        <is>
          <t>RET-0205</t>
        </is>
      </c>
      <c r="B2650" s="12" t="inlineStr">
        <is>
          <t>VS31</t>
        </is>
      </c>
      <c r="C2650" s="28" t="n">
        <v>0.008</v>
      </c>
      <c r="D2650" s="12" t="inlineStr">
        <is>
          <t>PO-2022-2359</t>
        </is>
      </c>
      <c r="E2650" s="12" t="n">
        <v>2.32</v>
      </c>
      <c r="F2650" s="17" t="n">
        <v>107385.33</v>
      </c>
      <c r="G2650" s="14">
        <f>E2650*F2650</f>
        <v/>
      </c>
      <c r="H2650" s="14">
        <f>C2650*G2650</f>
        <v/>
      </c>
    </row>
    <row r="2651">
      <c r="A2651" s="12" t="inlineStr">
        <is>
          <t>RET-0205</t>
        </is>
      </c>
      <c r="B2651" s="12" t="inlineStr">
        <is>
          <t>VS32</t>
        </is>
      </c>
      <c r="C2651" s="28" t="n">
        <v>0.0095</v>
      </c>
      <c r="D2651" s="12" t="inlineStr">
        <is>
          <t>PO-2023-3423</t>
        </is>
      </c>
      <c r="E2651" s="12" t="n">
        <v>2.32</v>
      </c>
      <c r="F2651" s="17" t="n">
        <v>78647</v>
      </c>
      <c r="G2651" s="14">
        <f>E2651*F2651</f>
        <v/>
      </c>
      <c r="H2651" s="14">
        <f>C2651*G2651</f>
        <v/>
      </c>
    </row>
    <row r="2652">
      <c r="A2652" s="12" t="inlineStr">
        <is>
          <t>RET-0205</t>
        </is>
      </c>
      <c r="B2652" s="12" t="inlineStr">
        <is>
          <t>VS33</t>
        </is>
      </c>
      <c r="C2652" s="28" t="n">
        <v>0.005</v>
      </c>
      <c r="D2652" s="12" t="inlineStr">
        <is>
          <t>PO-2022-1761</t>
        </is>
      </c>
      <c r="E2652" s="12" t="n">
        <v>2.32</v>
      </c>
      <c r="F2652" s="17" t="n">
        <v>77075.19</v>
      </c>
      <c r="G2652" s="14">
        <f>E2652*F2652</f>
        <v/>
      </c>
      <c r="H2652" s="14">
        <f>C2652*G2652</f>
        <v/>
      </c>
    </row>
    <row r="2653">
      <c r="A2653" s="12" t="inlineStr">
        <is>
          <t>RET-0205</t>
        </is>
      </c>
      <c r="B2653" s="12" t="inlineStr">
        <is>
          <t>VS34</t>
        </is>
      </c>
      <c r="C2653" s="28" t="n">
        <v>0.0065</v>
      </c>
      <c r="D2653" s="12" t="inlineStr">
        <is>
          <t>PO-2023-4559</t>
        </is>
      </c>
      <c r="E2653" s="12" t="n">
        <v>2.32</v>
      </c>
      <c r="F2653" s="17" t="n">
        <v>110935.35</v>
      </c>
      <c r="G2653" s="14">
        <f>E2653*F2653</f>
        <v/>
      </c>
      <c r="H2653" s="14">
        <f>C2653*G2653</f>
        <v/>
      </c>
    </row>
    <row r="2654">
      <c r="A2654" s="12" t="inlineStr">
        <is>
          <t>RET-0206</t>
        </is>
      </c>
      <c r="B2654" s="12" t="inlineStr">
        <is>
          <t>VS01</t>
        </is>
      </c>
      <c r="C2654" s="28" t="n">
        <v>0.0188</v>
      </c>
      <c r="D2654" s="12" t="inlineStr">
        <is>
          <t>PO-2022-2970</t>
        </is>
      </c>
      <c r="E2654" s="12" t="n">
        <v>0.96</v>
      </c>
      <c r="F2654" s="17" t="n">
        <v>86336.47</v>
      </c>
      <c r="G2654" s="14">
        <f>E2654*F2654</f>
        <v/>
      </c>
      <c r="H2654" s="14">
        <f>C2654*G2654</f>
        <v/>
      </c>
    </row>
    <row r="2655">
      <c r="A2655" s="12" t="inlineStr">
        <is>
          <t>RET-0206</t>
        </is>
      </c>
      <c r="B2655" s="12" t="inlineStr">
        <is>
          <t>VS02</t>
        </is>
      </c>
      <c r="C2655" s="28" t="n">
        <v>0.0086</v>
      </c>
      <c r="D2655" s="12" t="inlineStr">
        <is>
          <t>PO-2022-3117</t>
        </is>
      </c>
      <c r="E2655" s="12" t="n">
        <v>0.96</v>
      </c>
      <c r="F2655" s="17" t="n">
        <v>115717.84</v>
      </c>
      <c r="G2655" s="14">
        <f>E2655*F2655</f>
        <v/>
      </c>
      <c r="H2655" s="14">
        <f>C2655*G2655</f>
        <v/>
      </c>
    </row>
    <row r="2656">
      <c r="A2656" s="12" t="inlineStr">
        <is>
          <t>RET-0206</t>
        </is>
      </c>
      <c r="B2656" s="12" t="inlineStr">
        <is>
          <t>VS03</t>
        </is>
      </c>
      <c r="C2656" s="28" t="n">
        <v>0.1706</v>
      </c>
      <c r="D2656" s="12" t="inlineStr">
        <is>
          <t>PO-2021-0710</t>
        </is>
      </c>
      <c r="E2656" s="12" t="n">
        <v>0.96</v>
      </c>
      <c r="F2656" s="17" t="n">
        <v>78050.3</v>
      </c>
      <c r="G2656" s="14">
        <f>E2656*F2656</f>
        <v/>
      </c>
      <c r="H2656" s="14">
        <f>C2656*G2656</f>
        <v/>
      </c>
    </row>
    <row r="2657">
      <c r="A2657" s="12" t="inlineStr">
        <is>
          <t>RET-0206</t>
        </is>
      </c>
      <c r="B2657" s="12" t="inlineStr">
        <is>
          <t>VS04</t>
        </is>
      </c>
      <c r="C2657" s="28" t="n">
        <v>0.0118</v>
      </c>
      <c r="D2657" s="12" t="inlineStr">
        <is>
          <t>PO-2023-3984</t>
        </is>
      </c>
      <c r="E2657" s="12" t="n">
        <v>0.96</v>
      </c>
      <c r="F2657" s="17" t="n">
        <v>70318.39</v>
      </c>
      <c r="G2657" s="14">
        <f>E2657*F2657</f>
        <v/>
      </c>
      <c r="H2657" s="14">
        <f>C2657*G2657</f>
        <v/>
      </c>
    </row>
    <row r="2658">
      <c r="A2658" s="12" t="inlineStr">
        <is>
          <t>RET-0206</t>
        </is>
      </c>
      <c r="B2658" s="12" t="inlineStr">
        <is>
          <t>VS05</t>
        </is>
      </c>
      <c r="C2658" s="28" t="n">
        <v>0.0153</v>
      </c>
      <c r="D2658" s="12" t="inlineStr">
        <is>
          <t>PO-2023-3790</t>
        </is>
      </c>
      <c r="E2658" s="12" t="n">
        <v>0.96</v>
      </c>
      <c r="F2658" s="17" t="n">
        <v>88341.03</v>
      </c>
      <c r="G2658" s="14">
        <f>E2658*F2658</f>
        <v/>
      </c>
      <c r="H2658" s="14">
        <f>C2658*G2658</f>
        <v/>
      </c>
    </row>
    <row r="2659">
      <c r="A2659" s="12" t="inlineStr">
        <is>
          <t>RET-0206</t>
        </is>
      </c>
      <c r="B2659" s="12" t="inlineStr">
        <is>
          <t>VS06</t>
        </is>
      </c>
      <c r="C2659" s="28" t="n">
        <v>0.0154</v>
      </c>
      <c r="D2659" s="12" t="inlineStr">
        <is>
          <t>PO-2021-0533</t>
        </is>
      </c>
      <c r="E2659" s="12" t="n">
        <v>0.96</v>
      </c>
      <c r="F2659" s="17" t="n">
        <v>86404.06</v>
      </c>
      <c r="G2659" s="14">
        <f>E2659*F2659</f>
        <v/>
      </c>
      <c r="H2659" s="14">
        <f>C2659*G2659</f>
        <v/>
      </c>
    </row>
    <row r="2660">
      <c r="A2660" s="12" t="inlineStr">
        <is>
          <t>RET-0206</t>
        </is>
      </c>
      <c r="B2660" s="12" t="inlineStr">
        <is>
          <t>VS07</t>
        </is>
      </c>
      <c r="C2660" s="28" t="n">
        <v>0.0052</v>
      </c>
      <c r="D2660" s="12" t="inlineStr">
        <is>
          <t>PO-2022-2147</t>
        </is>
      </c>
      <c r="E2660" s="12" t="n">
        <v>0.96</v>
      </c>
      <c r="F2660" s="17" t="n">
        <v>91126.09</v>
      </c>
      <c r="G2660" s="14">
        <f>E2660*F2660</f>
        <v/>
      </c>
      <c r="H2660" s="14">
        <f>C2660*G2660</f>
        <v/>
      </c>
    </row>
    <row r="2661">
      <c r="A2661" s="12" t="inlineStr">
        <is>
          <t>RET-0206</t>
        </is>
      </c>
      <c r="B2661" s="12" t="inlineStr">
        <is>
          <t>VS08</t>
        </is>
      </c>
      <c r="C2661" s="28" t="n">
        <v>0.0155</v>
      </c>
      <c r="D2661" s="12" t="inlineStr">
        <is>
          <t>PO-2022-2259</t>
        </is>
      </c>
      <c r="E2661" s="12" t="n">
        <v>0.96</v>
      </c>
      <c r="F2661" s="17" t="n">
        <v>111301.99</v>
      </c>
      <c r="G2661" s="14">
        <f>E2661*F2661</f>
        <v/>
      </c>
      <c r="H2661" s="14">
        <f>C2661*G2661</f>
        <v/>
      </c>
    </row>
    <row r="2662">
      <c r="A2662" s="12" t="inlineStr">
        <is>
          <t>RET-0206</t>
        </is>
      </c>
      <c r="B2662" s="12" t="inlineStr">
        <is>
          <t>VS09</t>
        </is>
      </c>
      <c r="C2662" s="28" t="n">
        <v>0.0119</v>
      </c>
      <c r="D2662" s="12" t="inlineStr">
        <is>
          <t>PO-2021-1334</t>
        </is>
      </c>
      <c r="E2662" s="12" t="n">
        <v>0.96</v>
      </c>
      <c r="F2662" s="17" t="n">
        <v>111375.86</v>
      </c>
      <c r="G2662" s="14">
        <f>E2662*F2662</f>
        <v/>
      </c>
      <c r="H2662" s="14">
        <f>C2662*G2662</f>
        <v/>
      </c>
    </row>
    <row r="2663">
      <c r="A2663" s="12" t="inlineStr">
        <is>
          <t>RET-0206</t>
        </is>
      </c>
      <c r="B2663" s="12" t="inlineStr">
        <is>
          <t>VS10</t>
        </is>
      </c>
      <c r="C2663" s="28" t="n">
        <v>0.0188</v>
      </c>
      <c r="D2663" s="12" t="inlineStr">
        <is>
          <t>PO-2022-2685</t>
        </is>
      </c>
      <c r="E2663" s="12" t="n">
        <v>0.96</v>
      </c>
      <c r="F2663" s="17" t="n">
        <v>67136.33</v>
      </c>
      <c r="G2663" s="14">
        <f>E2663*F2663</f>
        <v/>
      </c>
      <c r="H2663" s="14">
        <f>C2663*G2663</f>
        <v/>
      </c>
    </row>
    <row r="2664">
      <c r="A2664" s="12" t="inlineStr">
        <is>
          <t>RET-0206</t>
        </is>
      </c>
      <c r="B2664" s="12" t="inlineStr">
        <is>
          <t>VS11</t>
        </is>
      </c>
      <c r="C2664" s="28" t="n">
        <v>0.022</v>
      </c>
      <c r="D2664" s="12" t="inlineStr">
        <is>
          <t>PO-2021-0708</t>
        </is>
      </c>
      <c r="E2664" s="12" t="n">
        <v>0.96</v>
      </c>
      <c r="F2664" s="17" t="n">
        <v>45396.8</v>
      </c>
      <c r="G2664" s="14">
        <f>E2664*F2664</f>
        <v/>
      </c>
      <c r="H2664" s="14">
        <f>C2664*G2664</f>
        <v/>
      </c>
    </row>
    <row r="2665">
      <c r="A2665" s="12" t="inlineStr">
        <is>
          <t>RET-0206</t>
        </is>
      </c>
      <c r="B2665" s="12" t="inlineStr">
        <is>
          <t>VS12</t>
        </is>
      </c>
      <c r="C2665" s="28" t="n">
        <v>0.2372</v>
      </c>
      <c r="D2665" s="12" t="inlineStr">
        <is>
          <t>PO-2022-2690</t>
        </is>
      </c>
      <c r="E2665" s="12" t="n">
        <v>0.96</v>
      </c>
      <c r="F2665" s="17" t="n">
        <v>103047.68</v>
      </c>
      <c r="G2665" s="14">
        <f>E2665*F2665</f>
        <v/>
      </c>
      <c r="H2665" s="14">
        <f>C2665*G2665</f>
        <v/>
      </c>
    </row>
    <row r="2666">
      <c r="A2666" s="12" t="inlineStr">
        <is>
          <t>RET-0206</t>
        </is>
      </c>
      <c r="B2666" s="12" t="inlineStr">
        <is>
          <t>VS13</t>
        </is>
      </c>
      <c r="C2666" s="28" t="n">
        <v>0.0151</v>
      </c>
      <c r="D2666" s="12" t="inlineStr">
        <is>
          <t>PO-2021-1558</t>
        </is>
      </c>
      <c r="E2666" s="12" t="n">
        <v>0.96</v>
      </c>
      <c r="F2666" s="17" t="n">
        <v>84935.24000000001</v>
      </c>
      <c r="G2666" s="14">
        <f>E2666*F2666</f>
        <v/>
      </c>
      <c r="H2666" s="14">
        <f>C2666*G2666</f>
        <v/>
      </c>
    </row>
    <row r="2667">
      <c r="A2667" s="12" t="inlineStr">
        <is>
          <t>RET-0206</t>
        </is>
      </c>
      <c r="B2667" s="12" t="inlineStr">
        <is>
          <t>VS14</t>
        </is>
      </c>
      <c r="C2667" s="28" t="n">
        <v>0.0153</v>
      </c>
      <c r="D2667" s="12" t="inlineStr">
        <is>
          <t>PO-2023-4587</t>
        </is>
      </c>
      <c r="E2667" s="12" t="n">
        <v>0.96</v>
      </c>
      <c r="F2667" s="17" t="n">
        <v>56001.07</v>
      </c>
      <c r="G2667" s="14">
        <f>E2667*F2667</f>
        <v/>
      </c>
      <c r="H2667" s="14">
        <f>C2667*G2667</f>
        <v/>
      </c>
    </row>
    <row r="2668">
      <c r="A2668" s="12" t="inlineStr">
        <is>
          <t>RET-0206</t>
        </is>
      </c>
      <c r="B2668" s="12" t="inlineStr">
        <is>
          <t>VS15</t>
        </is>
      </c>
      <c r="C2668" s="28" t="n">
        <v>0.0051</v>
      </c>
      <c r="D2668" s="12" t="inlineStr">
        <is>
          <t>PO-2023-3232</t>
        </is>
      </c>
      <c r="E2668" s="12" t="n">
        <v>0.96</v>
      </c>
      <c r="F2668" s="17" t="n">
        <v>94582.38</v>
      </c>
      <c r="G2668" s="14">
        <f>E2668*F2668</f>
        <v/>
      </c>
      <c r="H2668" s="14">
        <f>C2668*G2668</f>
        <v/>
      </c>
    </row>
    <row r="2669">
      <c r="A2669" s="12" t="inlineStr">
        <is>
          <t>RET-0206</t>
        </is>
      </c>
      <c r="B2669" s="12" t="inlineStr">
        <is>
          <t>VS16</t>
        </is>
      </c>
      <c r="C2669" s="28" t="n">
        <v>0.0221</v>
      </c>
      <c r="D2669" s="12" t="inlineStr">
        <is>
          <t>PO-2021-0007</t>
        </is>
      </c>
      <c r="E2669" s="12" t="n">
        <v>0.96</v>
      </c>
      <c r="F2669" s="17" t="n">
        <v>111771.55</v>
      </c>
      <c r="G2669" s="14">
        <f>E2669*F2669</f>
        <v/>
      </c>
      <c r="H2669" s="14">
        <f>C2669*G2669</f>
        <v/>
      </c>
    </row>
    <row r="2670">
      <c r="A2670" s="12" t="inlineStr">
        <is>
          <t>RET-0206</t>
        </is>
      </c>
      <c r="B2670" s="12" t="inlineStr">
        <is>
          <t>VS17</t>
        </is>
      </c>
      <c r="C2670" s="28" t="n">
        <v>0.022</v>
      </c>
      <c r="D2670" s="12" t="inlineStr">
        <is>
          <t>PO-2022-2786</t>
        </is>
      </c>
      <c r="E2670" s="12" t="n">
        <v>0.96</v>
      </c>
      <c r="F2670" s="17" t="n">
        <v>99936.72</v>
      </c>
      <c r="G2670" s="14">
        <f>E2670*F2670</f>
        <v/>
      </c>
      <c r="H2670" s="14">
        <f>C2670*G2670</f>
        <v/>
      </c>
    </row>
    <row r="2671">
      <c r="A2671" s="12" t="inlineStr">
        <is>
          <t>RET-0206</t>
        </is>
      </c>
      <c r="B2671" s="12" t="inlineStr">
        <is>
          <t>VS18</t>
        </is>
      </c>
      <c r="C2671" s="28" t="n">
        <v>0.0153</v>
      </c>
      <c r="D2671" s="12" t="inlineStr">
        <is>
          <t>PO-2021-0489</t>
        </is>
      </c>
      <c r="E2671" s="12" t="n">
        <v>0.96</v>
      </c>
      <c r="F2671" s="17" t="n">
        <v>59959.34</v>
      </c>
      <c r="G2671" s="14">
        <f>E2671*F2671</f>
        <v/>
      </c>
      <c r="H2671" s="14">
        <f>C2671*G2671</f>
        <v/>
      </c>
    </row>
    <row r="2672">
      <c r="A2672" s="12" t="inlineStr">
        <is>
          <t>RET-0206</t>
        </is>
      </c>
      <c r="B2672" s="12" t="inlineStr">
        <is>
          <t>VS19</t>
        </is>
      </c>
      <c r="C2672" s="28" t="n">
        <v>0.1789</v>
      </c>
      <c r="D2672" s="12" t="inlineStr">
        <is>
          <t>PO-2022-1634</t>
        </is>
      </c>
      <c r="E2672" s="12" t="n">
        <v>0.96</v>
      </c>
      <c r="F2672" s="17" t="n">
        <v>77943.87</v>
      </c>
      <c r="G2672" s="14">
        <f>E2672*F2672</f>
        <v/>
      </c>
      <c r="H2672" s="14">
        <f>C2672*G2672</f>
        <v/>
      </c>
    </row>
    <row r="2673">
      <c r="A2673" s="12" t="inlineStr">
        <is>
          <t>RET-0206</t>
        </is>
      </c>
      <c r="B2673" s="12" t="inlineStr">
        <is>
          <t>VS20</t>
        </is>
      </c>
      <c r="C2673" s="28" t="n">
        <v>0.008500000000000001</v>
      </c>
      <c r="D2673" s="12" t="inlineStr">
        <is>
          <t>PO-2022-2626</t>
        </is>
      </c>
      <c r="E2673" s="12" t="n">
        <v>0.96</v>
      </c>
      <c r="F2673" s="17" t="n">
        <v>87536.69</v>
      </c>
      <c r="G2673" s="14">
        <f>E2673*F2673</f>
        <v/>
      </c>
      <c r="H2673" s="14">
        <f>C2673*G2673</f>
        <v/>
      </c>
    </row>
    <row r="2674">
      <c r="A2674" s="12" t="inlineStr">
        <is>
          <t>RET-0206</t>
        </is>
      </c>
      <c r="B2674" s="12" t="inlineStr">
        <is>
          <t>VS21</t>
        </is>
      </c>
      <c r="C2674" s="28" t="n">
        <v>0.008500000000000001</v>
      </c>
      <c r="D2674" s="12" t="inlineStr">
        <is>
          <t>PO-2021-0374</t>
        </is>
      </c>
      <c r="E2674" s="12" t="n">
        <v>0.96</v>
      </c>
      <c r="F2674" s="17" t="n">
        <v>76035.75999999999</v>
      </c>
      <c r="G2674" s="14">
        <f>E2674*F2674</f>
        <v/>
      </c>
      <c r="H2674" s="14">
        <f>C2674*G2674</f>
        <v/>
      </c>
    </row>
    <row r="2675">
      <c r="A2675" s="12" t="inlineStr">
        <is>
          <t>RET-0206</t>
        </is>
      </c>
      <c r="B2675" s="12" t="inlineStr">
        <is>
          <t>VS22</t>
        </is>
      </c>
      <c r="C2675" s="28" t="n">
        <v>0.0051</v>
      </c>
      <c r="D2675" s="12" t="inlineStr">
        <is>
          <t>PO-2022-2808</t>
        </is>
      </c>
      <c r="E2675" s="12" t="n">
        <v>0.96</v>
      </c>
      <c r="F2675" s="17" t="n">
        <v>50970.52</v>
      </c>
      <c r="G2675" s="14">
        <f>E2675*F2675</f>
        <v/>
      </c>
      <c r="H2675" s="14">
        <f>C2675*G2675</f>
        <v/>
      </c>
    </row>
    <row r="2676">
      <c r="A2676" s="12" t="inlineStr">
        <is>
          <t>RET-0206</t>
        </is>
      </c>
      <c r="B2676" s="12" t="inlineStr">
        <is>
          <t>VS23</t>
        </is>
      </c>
      <c r="C2676" s="28" t="n">
        <v>0.008399999999999999</v>
      </c>
      <c r="D2676" s="12" t="inlineStr">
        <is>
          <t>PO-2023-4082</t>
        </is>
      </c>
      <c r="E2676" s="12" t="n">
        <v>0.96</v>
      </c>
      <c r="F2676" s="17" t="n">
        <v>92527.92999999999</v>
      </c>
      <c r="G2676" s="14">
        <f>E2676*F2676</f>
        <v/>
      </c>
      <c r="H2676" s="14">
        <f>C2676*G2676</f>
        <v/>
      </c>
    </row>
    <row r="2677">
      <c r="A2677" s="12" t="inlineStr">
        <is>
          <t>RET-0206</t>
        </is>
      </c>
      <c r="B2677" s="12" t="inlineStr">
        <is>
          <t>VS24</t>
        </is>
      </c>
      <c r="C2677" s="28" t="n">
        <v>0.008500000000000001</v>
      </c>
      <c r="D2677" s="12" t="inlineStr">
        <is>
          <t>PO-2021-0357</t>
        </is>
      </c>
      <c r="E2677" s="12" t="n">
        <v>0.96</v>
      </c>
      <c r="F2677" s="17" t="n">
        <v>63240.59</v>
      </c>
      <c r="G2677" s="14">
        <f>E2677*F2677</f>
        <v/>
      </c>
      <c r="H2677" s="14">
        <f>C2677*G2677</f>
        <v/>
      </c>
    </row>
    <row r="2678">
      <c r="A2678" s="12" t="inlineStr">
        <is>
          <t>RET-0206</t>
        </is>
      </c>
      <c r="B2678" s="12" t="inlineStr">
        <is>
          <t>VS25</t>
        </is>
      </c>
      <c r="C2678" s="28" t="n">
        <v>0.0154</v>
      </c>
      <c r="D2678" s="12" t="inlineStr">
        <is>
          <t>PO-2022-3130</t>
        </is>
      </c>
      <c r="E2678" s="12" t="n">
        <v>0.96</v>
      </c>
      <c r="F2678" s="17" t="n">
        <v>104593.37</v>
      </c>
      <c r="G2678" s="14">
        <f>E2678*F2678</f>
        <v/>
      </c>
      <c r="H2678" s="14">
        <f>C2678*G2678</f>
        <v/>
      </c>
    </row>
    <row r="2679">
      <c r="A2679" s="12" t="inlineStr">
        <is>
          <t>RET-0206</t>
        </is>
      </c>
      <c r="B2679" s="12" t="inlineStr">
        <is>
          <t>VS26</t>
        </is>
      </c>
      <c r="C2679" s="28" t="n">
        <v>0.0086</v>
      </c>
      <c r="D2679" s="12" t="inlineStr">
        <is>
          <t>PO-2022-2752</t>
        </is>
      </c>
      <c r="E2679" s="12" t="n">
        <v>0.96</v>
      </c>
      <c r="F2679" s="17" t="n">
        <v>49136.32</v>
      </c>
      <c r="G2679" s="14">
        <f>E2679*F2679</f>
        <v/>
      </c>
      <c r="H2679" s="14">
        <f>C2679*G2679</f>
        <v/>
      </c>
    </row>
    <row r="2680">
      <c r="A2680" s="12" t="inlineStr">
        <is>
          <t>RET-0206</t>
        </is>
      </c>
      <c r="B2680" s="12" t="inlineStr">
        <is>
          <t>VS27</t>
        </is>
      </c>
      <c r="C2680" s="28" t="n">
        <v>0.008399999999999999</v>
      </c>
      <c r="D2680" s="12" t="inlineStr">
        <is>
          <t>PO-2022-2929</t>
        </is>
      </c>
      <c r="E2680" s="12" t="n">
        <v>0.96</v>
      </c>
      <c r="F2680" s="17" t="n">
        <v>56132.99</v>
      </c>
      <c r="G2680" s="14">
        <f>E2680*F2680</f>
        <v/>
      </c>
      <c r="H2680" s="14">
        <f>C2680*G2680</f>
        <v/>
      </c>
    </row>
    <row r="2681">
      <c r="A2681" s="12" t="inlineStr">
        <is>
          <t>RET-0206</t>
        </is>
      </c>
      <c r="B2681" s="12" t="inlineStr">
        <is>
          <t>VS28</t>
        </is>
      </c>
      <c r="C2681" s="28" t="n">
        <v>0.0188</v>
      </c>
      <c r="D2681" s="12" t="inlineStr">
        <is>
          <t>PO-2022-3035</t>
        </is>
      </c>
      <c r="E2681" s="12" t="n">
        <v>0.96</v>
      </c>
      <c r="F2681" s="17" t="n">
        <v>113253.06</v>
      </c>
      <c r="G2681" s="14">
        <f>E2681*F2681</f>
        <v/>
      </c>
      <c r="H2681" s="14">
        <f>C2681*G2681</f>
        <v/>
      </c>
    </row>
    <row r="2682">
      <c r="A2682" s="12" t="inlineStr">
        <is>
          <t>RET-0206</t>
        </is>
      </c>
      <c r="B2682" s="12" t="inlineStr">
        <is>
          <t>VS29</t>
        </is>
      </c>
      <c r="C2682" s="28" t="n">
        <v>0.0119</v>
      </c>
      <c r="D2682" s="12" t="inlineStr">
        <is>
          <t>PO-2023-4754</t>
        </is>
      </c>
      <c r="E2682" s="12" t="n">
        <v>0.96</v>
      </c>
      <c r="F2682" s="17" t="n">
        <v>71470.53999999999</v>
      </c>
      <c r="G2682" s="14">
        <f>E2682*F2682</f>
        <v/>
      </c>
      <c r="H2682" s="14">
        <f>C2682*G2682</f>
        <v/>
      </c>
    </row>
    <row r="2683">
      <c r="A2683" s="12" t="inlineStr">
        <is>
          <t>RET-0206</t>
        </is>
      </c>
      <c r="B2683" s="12" t="inlineStr">
        <is>
          <t>VS30</t>
        </is>
      </c>
      <c r="C2683" s="28" t="n">
        <v>0.0051</v>
      </c>
      <c r="D2683" s="12" t="inlineStr">
        <is>
          <t>PO-2022-2419</t>
        </is>
      </c>
      <c r="E2683" s="12" t="n">
        <v>0.96</v>
      </c>
      <c r="F2683" s="17" t="n">
        <v>63103.4</v>
      </c>
      <c r="G2683" s="14">
        <f>E2683*F2683</f>
        <v/>
      </c>
      <c r="H2683" s="14">
        <f>C2683*G2683</f>
        <v/>
      </c>
    </row>
    <row r="2684">
      <c r="A2684" s="12" t="inlineStr">
        <is>
          <t>RET-0206</t>
        </is>
      </c>
      <c r="B2684" s="12" t="inlineStr">
        <is>
          <t>VS31</t>
        </is>
      </c>
      <c r="C2684" s="28" t="n">
        <v>0.0187</v>
      </c>
      <c r="D2684" s="12" t="inlineStr">
        <is>
          <t>PO-2022-2053</t>
        </is>
      </c>
      <c r="E2684" s="12" t="n">
        <v>0.96</v>
      </c>
      <c r="F2684" s="17" t="n">
        <v>76281.72</v>
      </c>
      <c r="G2684" s="14">
        <f>E2684*F2684</f>
        <v/>
      </c>
      <c r="H2684" s="14">
        <f>C2684*G2684</f>
        <v/>
      </c>
    </row>
    <row r="2685">
      <c r="A2685" s="12" t="inlineStr">
        <is>
          <t>RET-0206</t>
        </is>
      </c>
      <c r="B2685" s="12" t="inlineStr">
        <is>
          <t>VS32</t>
        </is>
      </c>
      <c r="C2685" s="28" t="n">
        <v>0.0222</v>
      </c>
      <c r="D2685" s="12" t="inlineStr">
        <is>
          <t>PO-2023-4731</t>
        </is>
      </c>
      <c r="E2685" s="12" t="n">
        <v>0.96</v>
      </c>
      <c r="F2685" s="17" t="n">
        <v>97045.02</v>
      </c>
      <c r="G2685" s="14">
        <f>E2685*F2685</f>
        <v/>
      </c>
      <c r="H2685" s="14">
        <f>C2685*G2685</f>
        <v/>
      </c>
    </row>
    <row r="2686">
      <c r="A2686" s="12" t="inlineStr">
        <is>
          <t>RET-0206</t>
        </is>
      </c>
      <c r="B2686" s="12" t="inlineStr">
        <is>
          <t>VS33</t>
        </is>
      </c>
      <c r="C2686" s="28" t="n">
        <v>0.0119</v>
      </c>
      <c r="D2686" s="12" t="inlineStr">
        <is>
          <t>PO-2022-2583</t>
        </is>
      </c>
      <c r="E2686" s="12" t="n">
        <v>0.96</v>
      </c>
      <c r="F2686" s="17" t="n">
        <v>59260.78</v>
      </c>
      <c r="G2686" s="14">
        <f>E2686*F2686</f>
        <v/>
      </c>
      <c r="H2686" s="14">
        <f>C2686*G2686</f>
        <v/>
      </c>
    </row>
    <row r="2687">
      <c r="A2687" s="12" t="inlineStr">
        <is>
          <t>RET-0206</t>
        </is>
      </c>
      <c r="B2687" s="12" t="inlineStr">
        <is>
          <t>VS34</t>
        </is>
      </c>
      <c r="C2687" s="28" t="n">
        <v>0.0153</v>
      </c>
      <c r="D2687" s="12" t="inlineStr">
        <is>
          <t>PO-2021-0862</t>
        </is>
      </c>
      <c r="E2687" s="12" t="n">
        <v>0.96</v>
      </c>
      <c r="F2687" s="17" t="n">
        <v>118139.36</v>
      </c>
      <c r="G2687" s="14">
        <f>E2687*F2687</f>
        <v/>
      </c>
      <c r="H2687" s="14">
        <f>C2687*G2687</f>
        <v/>
      </c>
    </row>
    <row r="2688">
      <c r="A2688" s="12" t="inlineStr">
        <is>
          <t>RET-0207</t>
        </is>
      </c>
      <c r="B2688" s="12" t="inlineStr">
        <is>
          <t>VS01</t>
        </is>
      </c>
      <c r="C2688" s="28" t="n">
        <v>0.0224</v>
      </c>
      <c r="D2688" s="12" t="inlineStr">
        <is>
          <t>PO-2022-3067</t>
        </is>
      </c>
      <c r="E2688" s="12" t="n">
        <v>1.42</v>
      </c>
      <c r="F2688" s="17" t="n">
        <v>48733.58</v>
      </c>
      <c r="G2688" s="14">
        <f>E2688*F2688</f>
        <v/>
      </c>
      <c r="H2688" s="14">
        <f>C2688*G2688</f>
        <v/>
      </c>
    </row>
    <row r="2689">
      <c r="A2689" s="12" t="inlineStr">
        <is>
          <t>RET-0207</t>
        </is>
      </c>
      <c r="B2689" s="12" t="inlineStr">
        <is>
          <t>VS02</t>
        </is>
      </c>
      <c r="C2689" s="28" t="n">
        <v>0.0102</v>
      </c>
      <c r="D2689" s="12" t="inlineStr">
        <is>
          <t>PO-2021-0553</t>
        </is>
      </c>
      <c r="E2689" s="12" t="n">
        <v>1.42</v>
      </c>
      <c r="F2689" s="17" t="n">
        <v>54923.56</v>
      </c>
      <c r="G2689" s="14">
        <f>E2689*F2689</f>
        <v/>
      </c>
      <c r="H2689" s="14">
        <f>C2689*G2689</f>
        <v/>
      </c>
    </row>
    <row r="2690">
      <c r="A2690" s="12" t="inlineStr">
        <is>
          <t>RET-0207</t>
        </is>
      </c>
      <c r="B2690" s="12" t="inlineStr">
        <is>
          <t>VS03</t>
        </is>
      </c>
      <c r="C2690" s="28" t="n">
        <v>0.1478</v>
      </c>
      <c r="D2690" s="12" t="inlineStr">
        <is>
          <t>PO-2023-4608</t>
        </is>
      </c>
      <c r="E2690" s="12" t="n">
        <v>1.42</v>
      </c>
      <c r="F2690" s="17" t="n">
        <v>49671.89</v>
      </c>
      <c r="G2690" s="14">
        <f>E2690*F2690</f>
        <v/>
      </c>
      <c r="H2690" s="14">
        <f>C2690*G2690</f>
        <v/>
      </c>
    </row>
    <row r="2691">
      <c r="A2691" s="12" t="inlineStr">
        <is>
          <t>RET-0207</t>
        </is>
      </c>
      <c r="B2691" s="12" t="inlineStr">
        <is>
          <t>VS04</t>
        </is>
      </c>
      <c r="C2691" s="28" t="n">
        <v>0.014</v>
      </c>
      <c r="D2691" s="12" t="inlineStr">
        <is>
          <t>PO-2023-3359</t>
        </is>
      </c>
      <c r="E2691" s="12" t="n">
        <v>1.42</v>
      </c>
      <c r="F2691" s="17" t="n">
        <v>59753.14</v>
      </c>
      <c r="G2691" s="14">
        <f>E2691*F2691</f>
        <v/>
      </c>
      <c r="H2691" s="14">
        <f>C2691*G2691</f>
        <v/>
      </c>
    </row>
    <row r="2692">
      <c r="A2692" s="12" t="inlineStr">
        <is>
          <t>RET-0207</t>
        </is>
      </c>
      <c r="B2692" s="12" t="inlineStr">
        <is>
          <t>VS05</t>
        </is>
      </c>
      <c r="C2692" s="28" t="n">
        <v>0.0182</v>
      </c>
      <c r="D2692" s="12" t="inlineStr">
        <is>
          <t>PO-2021-0930</t>
        </is>
      </c>
      <c r="E2692" s="12" t="n">
        <v>1.42</v>
      </c>
      <c r="F2692" s="17" t="n">
        <v>111366.65</v>
      </c>
      <c r="G2692" s="14">
        <f>E2692*F2692</f>
        <v/>
      </c>
      <c r="H2692" s="14">
        <f>C2692*G2692</f>
        <v/>
      </c>
    </row>
    <row r="2693">
      <c r="A2693" s="12" t="inlineStr">
        <is>
          <t>RET-0207</t>
        </is>
      </c>
      <c r="B2693" s="12" t="inlineStr">
        <is>
          <t>VS06</t>
        </is>
      </c>
      <c r="C2693" s="28" t="n">
        <v>0.0184</v>
      </c>
      <c r="D2693" s="12" t="inlineStr">
        <is>
          <t>PO-2023-4583</t>
        </is>
      </c>
      <c r="E2693" s="12" t="n">
        <v>1.42</v>
      </c>
      <c r="F2693" s="17" t="n">
        <v>108761.54</v>
      </c>
      <c r="G2693" s="14">
        <f>E2693*F2693</f>
        <v/>
      </c>
      <c r="H2693" s="14">
        <f>C2693*G2693</f>
        <v/>
      </c>
    </row>
    <row r="2694">
      <c r="A2694" s="12" t="inlineStr">
        <is>
          <t>RET-0207</t>
        </is>
      </c>
      <c r="B2694" s="12" t="inlineStr">
        <is>
          <t>VS07</t>
        </is>
      </c>
      <c r="C2694" s="28" t="n">
        <v>0.0061</v>
      </c>
      <c r="D2694" s="12" t="inlineStr">
        <is>
          <t>PO-2023-3645</t>
        </is>
      </c>
      <c r="E2694" s="12" t="n">
        <v>1.42</v>
      </c>
      <c r="F2694" s="17" t="n">
        <v>49585.96</v>
      </c>
      <c r="G2694" s="14">
        <f>E2694*F2694</f>
        <v/>
      </c>
      <c r="H2694" s="14">
        <f>C2694*G2694</f>
        <v/>
      </c>
    </row>
    <row r="2695">
      <c r="A2695" s="12" t="inlineStr">
        <is>
          <t>RET-0207</t>
        </is>
      </c>
      <c r="B2695" s="12" t="inlineStr">
        <is>
          <t>VS08</t>
        </is>
      </c>
      <c r="C2695" s="28" t="n">
        <v>0.0185</v>
      </c>
      <c r="D2695" s="12" t="inlineStr">
        <is>
          <t>PO-2023-4457</t>
        </is>
      </c>
      <c r="E2695" s="12" t="n">
        <v>1.42</v>
      </c>
      <c r="F2695" s="17" t="n">
        <v>87366</v>
      </c>
      <c r="G2695" s="14">
        <f>E2695*F2695</f>
        <v/>
      </c>
      <c r="H2695" s="14">
        <f>C2695*G2695</f>
        <v/>
      </c>
    </row>
    <row r="2696">
      <c r="A2696" s="12" t="inlineStr">
        <is>
          <t>RET-0207</t>
        </is>
      </c>
      <c r="B2696" s="12" t="inlineStr">
        <is>
          <t>VS09</t>
        </is>
      </c>
      <c r="C2696" s="28" t="n">
        <v>0.0142</v>
      </c>
      <c r="D2696" s="12" t="inlineStr">
        <is>
          <t>PO-2022-3136</t>
        </is>
      </c>
      <c r="E2696" s="12" t="n">
        <v>1.42</v>
      </c>
      <c r="F2696" s="17" t="n">
        <v>53590.08</v>
      </c>
      <c r="G2696" s="14">
        <f>E2696*F2696</f>
        <v/>
      </c>
      <c r="H2696" s="14">
        <f>C2696*G2696</f>
        <v/>
      </c>
    </row>
    <row r="2697">
      <c r="A2697" s="12" t="inlineStr">
        <is>
          <t>RET-0207</t>
        </is>
      </c>
      <c r="B2697" s="12" t="inlineStr">
        <is>
          <t>VS10</t>
        </is>
      </c>
      <c r="C2697" s="28" t="n">
        <v>0.0223</v>
      </c>
      <c r="D2697" s="12" t="inlineStr">
        <is>
          <t>PO-2023-4029</t>
        </is>
      </c>
      <c r="E2697" s="12" t="n">
        <v>1.42</v>
      </c>
      <c r="F2697" s="17" t="n">
        <v>74894.53</v>
      </c>
      <c r="G2697" s="14">
        <f>E2697*F2697</f>
        <v/>
      </c>
      <c r="H2697" s="14">
        <f>C2697*G2697</f>
        <v/>
      </c>
    </row>
    <row r="2698">
      <c r="A2698" s="12" t="inlineStr">
        <is>
          <t>RET-0207</t>
        </is>
      </c>
      <c r="B2698" s="12" t="inlineStr">
        <is>
          <t>VS11</t>
        </is>
      </c>
      <c r="C2698" s="28" t="n">
        <v>0.0262</v>
      </c>
      <c r="D2698" s="12" t="inlineStr">
        <is>
          <t>PO-2021-0239</t>
        </is>
      </c>
      <c r="E2698" s="12" t="n">
        <v>1.42</v>
      </c>
      <c r="F2698" s="17" t="n">
        <v>90567.97</v>
      </c>
      <c r="G2698" s="14">
        <f>E2698*F2698</f>
        <v/>
      </c>
      <c r="H2698" s="14">
        <f>C2698*G2698</f>
        <v/>
      </c>
    </row>
    <row r="2699">
      <c r="A2699" s="12" t="inlineStr">
        <is>
          <t>RET-0207</t>
        </is>
      </c>
      <c r="B2699" s="12" t="inlineStr">
        <is>
          <t>VS12</t>
        </is>
      </c>
      <c r="C2699" s="28" t="n">
        <v>0.2054</v>
      </c>
      <c r="D2699" s="12" t="inlineStr">
        <is>
          <t>PO-2023-4460</t>
        </is>
      </c>
      <c r="E2699" s="12" t="n">
        <v>1.42</v>
      </c>
      <c r="F2699" s="17" t="n">
        <v>97203.75</v>
      </c>
      <c r="G2699" s="14">
        <f>E2699*F2699</f>
        <v/>
      </c>
      <c r="H2699" s="14">
        <f>C2699*G2699</f>
        <v/>
      </c>
    </row>
    <row r="2700">
      <c r="A2700" s="12" t="inlineStr">
        <is>
          <t>RET-0207</t>
        </is>
      </c>
      <c r="B2700" s="12" t="inlineStr">
        <is>
          <t>VS13</t>
        </is>
      </c>
      <c r="C2700" s="28" t="n">
        <v>0.018</v>
      </c>
      <c r="D2700" s="12" t="inlineStr">
        <is>
          <t>PO-2021-1206</t>
        </is>
      </c>
      <c r="E2700" s="12" t="n">
        <v>1.42</v>
      </c>
      <c r="F2700" s="17" t="n">
        <v>93646.74000000001</v>
      </c>
      <c r="G2700" s="14">
        <f>E2700*F2700</f>
        <v/>
      </c>
      <c r="H2700" s="14">
        <f>C2700*G2700</f>
        <v/>
      </c>
    </row>
    <row r="2701">
      <c r="A2701" s="12" t="inlineStr">
        <is>
          <t>RET-0207</t>
        </is>
      </c>
      <c r="B2701" s="12" t="inlineStr">
        <is>
          <t>VS14</t>
        </is>
      </c>
      <c r="C2701" s="28" t="n">
        <v>0.0182</v>
      </c>
      <c r="D2701" s="12" t="inlineStr">
        <is>
          <t>PO-2023-3401</t>
        </is>
      </c>
      <c r="E2701" s="12" t="n">
        <v>1.42</v>
      </c>
      <c r="F2701" s="17" t="n">
        <v>116273.67</v>
      </c>
      <c r="G2701" s="14">
        <f>E2701*F2701</f>
        <v/>
      </c>
      <c r="H2701" s="14">
        <f>C2701*G2701</f>
        <v/>
      </c>
    </row>
    <row r="2702">
      <c r="A2702" s="12" t="inlineStr">
        <is>
          <t>RET-0207</t>
        </is>
      </c>
      <c r="B2702" s="12" t="inlineStr">
        <is>
          <t>VS15</t>
        </is>
      </c>
      <c r="C2702" s="28" t="n">
        <v>0.0061</v>
      </c>
      <c r="D2702" s="12" t="inlineStr">
        <is>
          <t>PO-2021-1402</t>
        </is>
      </c>
      <c r="E2702" s="12" t="n">
        <v>1.42</v>
      </c>
      <c r="F2702" s="17" t="n">
        <v>112258.46</v>
      </c>
      <c r="G2702" s="14">
        <f>E2702*F2702</f>
        <v/>
      </c>
      <c r="H2702" s="14">
        <f>C2702*G2702</f>
        <v/>
      </c>
    </row>
    <row r="2703">
      <c r="A2703" s="12" t="inlineStr">
        <is>
          <t>RET-0207</t>
        </is>
      </c>
      <c r="B2703" s="12" t="inlineStr">
        <is>
          <t>VS16</t>
        </is>
      </c>
      <c r="C2703" s="28" t="n">
        <v>0.0262</v>
      </c>
      <c r="D2703" s="12" t="inlineStr">
        <is>
          <t>PO-2023-4701</t>
        </is>
      </c>
      <c r="E2703" s="12" t="n">
        <v>1.42</v>
      </c>
      <c r="F2703" s="17" t="n">
        <v>48736.53</v>
      </c>
      <c r="G2703" s="14">
        <f>E2703*F2703</f>
        <v/>
      </c>
      <c r="H2703" s="14">
        <f>C2703*G2703</f>
        <v/>
      </c>
    </row>
    <row r="2704">
      <c r="A2704" s="12" t="inlineStr">
        <is>
          <t>RET-0207</t>
        </is>
      </c>
      <c r="B2704" s="12" t="inlineStr">
        <is>
          <t>VS17</t>
        </is>
      </c>
      <c r="C2704" s="28" t="n">
        <v>0.0261</v>
      </c>
      <c r="D2704" s="12" t="inlineStr">
        <is>
          <t>PO-2023-3269</t>
        </is>
      </c>
      <c r="E2704" s="12" t="n">
        <v>1.42</v>
      </c>
      <c r="F2704" s="17" t="n">
        <v>95701.62</v>
      </c>
      <c r="G2704" s="14">
        <f>E2704*F2704</f>
        <v/>
      </c>
      <c r="H2704" s="14">
        <f>C2704*G2704</f>
        <v/>
      </c>
    </row>
    <row r="2705">
      <c r="A2705" s="12" t="inlineStr">
        <is>
          <t>RET-0207</t>
        </is>
      </c>
      <c r="B2705" s="12" t="inlineStr">
        <is>
          <t>VS18</t>
        </is>
      </c>
      <c r="C2705" s="28" t="n">
        <v>0.0182</v>
      </c>
      <c r="D2705" s="12" t="inlineStr">
        <is>
          <t>PO-2022-1782</t>
        </is>
      </c>
      <c r="E2705" s="12" t="n">
        <v>1.42</v>
      </c>
      <c r="F2705" s="17" t="n">
        <v>71831.07000000001</v>
      </c>
      <c r="G2705" s="14">
        <f>E2705*F2705</f>
        <v/>
      </c>
      <c r="H2705" s="14">
        <f>C2705*G2705</f>
        <v/>
      </c>
    </row>
    <row r="2706">
      <c r="A2706" s="12" t="inlineStr">
        <is>
          <t>RET-0207</t>
        </is>
      </c>
      <c r="B2706" s="12" t="inlineStr">
        <is>
          <t>VS19</t>
        </is>
      </c>
      <c r="C2706" s="28" t="n">
        <v>0.1549</v>
      </c>
      <c r="D2706" s="12" t="inlineStr">
        <is>
          <t>PO-2023-4093</t>
        </is>
      </c>
      <c r="E2706" s="12" t="n">
        <v>1.42</v>
      </c>
      <c r="F2706" s="17" t="n">
        <v>69062.36</v>
      </c>
      <c r="G2706" s="14">
        <f>E2706*F2706</f>
        <v/>
      </c>
      <c r="H2706" s="14">
        <f>C2706*G2706</f>
        <v/>
      </c>
    </row>
    <row r="2707">
      <c r="A2707" s="12" t="inlineStr">
        <is>
          <t>RET-0207</t>
        </is>
      </c>
      <c r="B2707" s="12" t="inlineStr">
        <is>
          <t>VS20</t>
        </is>
      </c>
      <c r="C2707" s="28" t="n">
        <v>0.0102</v>
      </c>
      <c r="D2707" s="12" t="inlineStr">
        <is>
          <t>PO-2022-1752</t>
        </is>
      </c>
      <c r="E2707" s="12" t="n">
        <v>1.42</v>
      </c>
      <c r="F2707" s="17" t="n">
        <v>94519</v>
      </c>
      <c r="G2707" s="14">
        <f>E2707*F2707</f>
        <v/>
      </c>
      <c r="H2707" s="14">
        <f>C2707*G2707</f>
        <v/>
      </c>
    </row>
    <row r="2708">
      <c r="A2708" s="12" t="inlineStr">
        <is>
          <t>RET-0207</t>
        </is>
      </c>
      <c r="B2708" s="12" t="inlineStr">
        <is>
          <t>VS21</t>
        </is>
      </c>
      <c r="C2708" s="28" t="n">
        <v>0.0101</v>
      </c>
      <c r="D2708" s="12" t="inlineStr">
        <is>
          <t>PO-2021-0424</t>
        </is>
      </c>
      <c r="E2708" s="12" t="n">
        <v>1.42</v>
      </c>
      <c r="F2708" s="17" t="n">
        <v>108537.55</v>
      </c>
      <c r="G2708" s="14">
        <f>E2708*F2708</f>
        <v/>
      </c>
      <c r="H2708" s="14">
        <f>C2708*G2708</f>
        <v/>
      </c>
    </row>
    <row r="2709">
      <c r="A2709" s="12" t="inlineStr">
        <is>
          <t>RET-0207</t>
        </is>
      </c>
      <c r="B2709" s="12" t="inlineStr">
        <is>
          <t>VS22</t>
        </is>
      </c>
      <c r="C2709" s="28" t="n">
        <v>0.006</v>
      </c>
      <c r="D2709" s="12" t="inlineStr">
        <is>
          <t>PO-2022-1734</t>
        </is>
      </c>
      <c r="E2709" s="12" t="n">
        <v>1.42</v>
      </c>
      <c r="F2709" s="17" t="n">
        <v>64787.41</v>
      </c>
      <c r="G2709" s="14">
        <f>E2709*F2709</f>
        <v/>
      </c>
      <c r="H2709" s="14">
        <f>C2709*G2709</f>
        <v/>
      </c>
    </row>
    <row r="2710">
      <c r="A2710" s="12" t="inlineStr">
        <is>
          <t>RET-0207</t>
        </is>
      </c>
      <c r="B2710" s="12" t="inlineStr">
        <is>
          <t>VS23</t>
        </is>
      </c>
      <c r="C2710" s="28" t="n">
        <v>0.01</v>
      </c>
      <c r="D2710" s="12" t="inlineStr">
        <is>
          <t>PO-2022-2847</t>
        </is>
      </c>
      <c r="E2710" s="12" t="n">
        <v>1.42</v>
      </c>
      <c r="F2710" s="17" t="n">
        <v>102520.13</v>
      </c>
      <c r="G2710" s="14">
        <f>E2710*F2710</f>
        <v/>
      </c>
      <c r="H2710" s="14">
        <f>C2710*G2710</f>
        <v/>
      </c>
    </row>
    <row r="2711">
      <c r="A2711" s="12" t="inlineStr">
        <is>
          <t>RET-0207</t>
        </is>
      </c>
      <c r="B2711" s="12" t="inlineStr">
        <is>
          <t>VS24</t>
        </is>
      </c>
      <c r="C2711" s="28" t="n">
        <v>0.0101</v>
      </c>
      <c r="D2711" s="12" t="inlineStr">
        <is>
          <t>PO-2022-2783</t>
        </is>
      </c>
      <c r="E2711" s="12" t="n">
        <v>1.42</v>
      </c>
      <c r="F2711" s="17" t="n">
        <v>55772.21</v>
      </c>
      <c r="G2711" s="14">
        <f>E2711*F2711</f>
        <v/>
      </c>
      <c r="H2711" s="14">
        <f>C2711*G2711</f>
        <v/>
      </c>
    </row>
    <row r="2712">
      <c r="A2712" s="12" t="inlineStr">
        <is>
          <t>RET-0207</t>
        </is>
      </c>
      <c r="B2712" s="12" t="inlineStr">
        <is>
          <t>VS25</t>
        </is>
      </c>
      <c r="C2712" s="28" t="n">
        <v>0.0183</v>
      </c>
      <c r="D2712" s="12" t="inlineStr">
        <is>
          <t>PO-2022-1813</t>
        </is>
      </c>
      <c r="E2712" s="12" t="n">
        <v>1.42</v>
      </c>
      <c r="F2712" s="17" t="n">
        <v>48910.53</v>
      </c>
      <c r="G2712" s="14">
        <f>E2712*F2712</f>
        <v/>
      </c>
      <c r="H2712" s="14">
        <f>C2712*G2712</f>
        <v/>
      </c>
    </row>
    <row r="2713">
      <c r="A2713" s="12" t="inlineStr">
        <is>
          <t>RET-0207</t>
        </is>
      </c>
      <c r="B2713" s="12" t="inlineStr">
        <is>
          <t>VS26</t>
        </is>
      </c>
      <c r="C2713" s="28" t="n">
        <v>0.0102</v>
      </c>
      <c r="D2713" s="12" t="inlineStr">
        <is>
          <t>PO-2021-0690</t>
        </is>
      </c>
      <c r="E2713" s="12" t="n">
        <v>1.42</v>
      </c>
      <c r="F2713" s="17" t="n">
        <v>99598.07000000001</v>
      </c>
      <c r="G2713" s="14">
        <f>E2713*F2713</f>
        <v/>
      </c>
      <c r="H2713" s="14">
        <f>C2713*G2713</f>
        <v/>
      </c>
    </row>
    <row r="2714">
      <c r="A2714" s="12" t="inlineStr">
        <is>
          <t>RET-0207</t>
        </is>
      </c>
      <c r="B2714" s="12" t="inlineStr">
        <is>
          <t>VS27</t>
        </is>
      </c>
      <c r="C2714" s="28" t="n">
        <v>0.01</v>
      </c>
      <c r="D2714" s="12" t="inlineStr">
        <is>
          <t>PO-2022-2035</t>
        </is>
      </c>
      <c r="E2714" s="12" t="n">
        <v>1.42</v>
      </c>
      <c r="F2714" s="17" t="n">
        <v>66291.58</v>
      </c>
      <c r="G2714" s="14">
        <f>E2714*F2714</f>
        <v/>
      </c>
      <c r="H2714" s="14">
        <f>C2714*G2714</f>
        <v/>
      </c>
    </row>
    <row r="2715">
      <c r="A2715" s="12" t="inlineStr">
        <is>
          <t>RET-0207</t>
        </is>
      </c>
      <c r="B2715" s="12" t="inlineStr">
        <is>
          <t>VS28</t>
        </is>
      </c>
      <c r="C2715" s="28" t="n">
        <v>0.0223</v>
      </c>
      <c r="D2715" s="12" t="inlineStr">
        <is>
          <t>PO-2022-2116</t>
        </is>
      </c>
      <c r="E2715" s="12" t="n">
        <v>1.42</v>
      </c>
      <c r="F2715" s="17" t="n">
        <v>67036.03</v>
      </c>
      <c r="G2715" s="14">
        <f>E2715*F2715</f>
        <v/>
      </c>
      <c r="H2715" s="14">
        <f>C2715*G2715</f>
        <v/>
      </c>
    </row>
    <row r="2716">
      <c r="A2716" s="12" t="inlineStr">
        <is>
          <t>RET-0207</t>
        </is>
      </c>
      <c r="B2716" s="12" t="inlineStr">
        <is>
          <t>VS29</t>
        </is>
      </c>
      <c r="C2716" s="28" t="n">
        <v>0.0142</v>
      </c>
      <c r="D2716" s="12" t="inlineStr">
        <is>
          <t>PO-2023-3952</t>
        </is>
      </c>
      <c r="E2716" s="12" t="n">
        <v>1.42</v>
      </c>
      <c r="F2716" s="17" t="n">
        <v>72112.97</v>
      </c>
      <c r="G2716" s="14">
        <f>E2716*F2716</f>
        <v/>
      </c>
      <c r="H2716" s="14">
        <f>C2716*G2716</f>
        <v/>
      </c>
    </row>
    <row r="2717">
      <c r="A2717" s="12" t="inlineStr">
        <is>
          <t>RET-0207</t>
        </is>
      </c>
      <c r="B2717" s="12" t="inlineStr">
        <is>
          <t>VS30</t>
        </is>
      </c>
      <c r="C2717" s="28" t="n">
        <v>0.0061</v>
      </c>
      <c r="D2717" s="12" t="inlineStr">
        <is>
          <t>PO-2023-4339</t>
        </is>
      </c>
      <c r="E2717" s="12" t="n">
        <v>1.42</v>
      </c>
      <c r="F2717" s="17" t="n">
        <v>66338.53999999999</v>
      </c>
      <c r="G2717" s="14">
        <f>E2717*F2717</f>
        <v/>
      </c>
      <c r="H2717" s="14">
        <f>C2717*G2717</f>
        <v/>
      </c>
    </row>
    <row r="2718">
      <c r="A2718" s="12" t="inlineStr">
        <is>
          <t>RET-0207</t>
        </is>
      </c>
      <c r="B2718" s="12" t="inlineStr">
        <is>
          <t>VS31</t>
        </is>
      </c>
      <c r="C2718" s="28" t="n">
        <v>0.0222</v>
      </c>
      <c r="D2718" s="12" t="inlineStr">
        <is>
          <t>PO-2022-2534</t>
        </is>
      </c>
      <c r="E2718" s="12" t="n">
        <v>1.42</v>
      </c>
      <c r="F2718" s="17" t="n">
        <v>72778.50999999999</v>
      </c>
      <c r="G2718" s="14">
        <f>E2718*F2718</f>
        <v/>
      </c>
      <c r="H2718" s="14">
        <f>C2718*G2718</f>
        <v/>
      </c>
    </row>
    <row r="2719">
      <c r="A2719" s="12" t="inlineStr">
        <is>
          <t>RET-0207</t>
        </is>
      </c>
      <c r="B2719" s="12" t="inlineStr">
        <is>
          <t>VS32</t>
        </is>
      </c>
      <c r="C2719" s="28" t="n">
        <v>0.0264</v>
      </c>
      <c r="D2719" s="12" t="inlineStr">
        <is>
          <t>PO-2022-3140</t>
        </is>
      </c>
      <c r="E2719" s="12" t="n">
        <v>1.42</v>
      </c>
      <c r="F2719" s="17" t="n">
        <v>87415.75</v>
      </c>
      <c r="G2719" s="14">
        <f>E2719*F2719</f>
        <v/>
      </c>
      <c r="H2719" s="14">
        <f>C2719*G2719</f>
        <v/>
      </c>
    </row>
    <row r="2720">
      <c r="A2720" s="12" t="inlineStr">
        <is>
          <t>RET-0207</t>
        </is>
      </c>
      <c r="B2720" s="12" t="inlineStr">
        <is>
          <t>VS33</t>
        </is>
      </c>
      <c r="C2720" s="28" t="n">
        <v>0.0141</v>
      </c>
      <c r="D2720" s="12" t="inlineStr">
        <is>
          <t>PO-2021-0103</t>
        </is>
      </c>
      <c r="E2720" s="12" t="n">
        <v>1.42</v>
      </c>
      <c r="F2720" s="17" t="n">
        <v>85694.52</v>
      </c>
      <c r="G2720" s="14">
        <f>E2720*F2720</f>
        <v/>
      </c>
      <c r="H2720" s="14">
        <f>C2720*G2720</f>
        <v/>
      </c>
    </row>
    <row r="2721">
      <c r="A2721" s="12" t="inlineStr">
        <is>
          <t>RET-0207</t>
        </is>
      </c>
      <c r="B2721" s="12" t="inlineStr">
        <is>
          <t>VS34</t>
        </is>
      </c>
      <c r="C2721" s="28" t="n">
        <v>0.0182</v>
      </c>
      <c r="D2721" s="12" t="inlineStr">
        <is>
          <t>PO-2022-2705</t>
        </is>
      </c>
      <c r="E2721" s="12" t="n">
        <v>1.42</v>
      </c>
      <c r="F2721" s="17" t="n">
        <v>58862.16</v>
      </c>
      <c r="G2721" s="14">
        <f>E2721*F2721</f>
        <v/>
      </c>
      <c r="H2721" s="14">
        <f>C2721*G2721</f>
        <v/>
      </c>
    </row>
    <row r="2722">
      <c r="A2722" s="12" t="inlineStr">
        <is>
          <t>RET-0212</t>
        </is>
      </c>
      <c r="B2722" s="12" t="inlineStr">
        <is>
          <t>VS01</t>
        </is>
      </c>
      <c r="C2722" s="28" t="n">
        <v>0.0133</v>
      </c>
      <c r="D2722" s="12" t="inlineStr">
        <is>
          <t>PO-2022-2709</t>
        </is>
      </c>
      <c r="E2722" s="12" t="n">
        <v>3.48</v>
      </c>
      <c r="F2722" s="17" t="n">
        <v>90730.7</v>
      </c>
      <c r="G2722" s="14">
        <f>E2722*F2722</f>
        <v/>
      </c>
      <c r="H2722" s="14">
        <f>C2722*G2722</f>
        <v/>
      </c>
    </row>
    <row r="2723">
      <c r="A2723" s="12" t="inlineStr">
        <is>
          <t>RET-0212</t>
        </is>
      </c>
      <c r="B2723" s="12" t="inlineStr">
        <is>
          <t>VS02</t>
        </is>
      </c>
      <c r="C2723" s="28" t="n">
        <v>0.006</v>
      </c>
      <c r="D2723" s="12" t="inlineStr">
        <is>
          <t>PO-2022-2188</t>
        </is>
      </c>
      <c r="E2723" s="12" t="n">
        <v>3.48</v>
      </c>
      <c r="F2723" s="17" t="n">
        <v>46810.83</v>
      </c>
      <c r="G2723" s="14">
        <f>E2723*F2723</f>
        <v/>
      </c>
      <c r="H2723" s="14">
        <f>C2723*G2723</f>
        <v/>
      </c>
    </row>
    <row r="2724">
      <c r="A2724" s="12" t="inlineStr">
        <is>
          <t>RET-0212</t>
        </is>
      </c>
      <c r="B2724" s="12" t="inlineStr">
        <is>
          <t>VS03</t>
        </is>
      </c>
      <c r="C2724" s="28" t="n">
        <v>0.2059</v>
      </c>
      <c r="D2724" s="12" t="inlineStr">
        <is>
          <t>PO-2021-1344</t>
        </is>
      </c>
      <c r="E2724" s="12" t="n">
        <v>3.48</v>
      </c>
      <c r="F2724" s="17" t="n">
        <v>62634.04</v>
      </c>
      <c r="G2724" s="14">
        <f>E2724*F2724</f>
        <v/>
      </c>
      <c r="H2724" s="14">
        <f>C2724*G2724</f>
        <v/>
      </c>
    </row>
    <row r="2725">
      <c r="A2725" s="12" t="inlineStr">
        <is>
          <t>RET-0212</t>
        </is>
      </c>
      <c r="B2725" s="12" t="inlineStr">
        <is>
          <t>VS04</t>
        </is>
      </c>
      <c r="C2725" s="28" t="n">
        <v>0.0083</v>
      </c>
      <c r="D2725" s="12" t="inlineStr">
        <is>
          <t>PO-2021-0105</t>
        </is>
      </c>
      <c r="E2725" s="12" t="n">
        <v>3.48</v>
      </c>
      <c r="F2725" s="17" t="n">
        <v>54825.99</v>
      </c>
      <c r="G2725" s="14">
        <f>E2725*F2725</f>
        <v/>
      </c>
      <c r="H2725" s="14">
        <f>C2725*G2725</f>
        <v/>
      </c>
    </row>
    <row r="2726">
      <c r="A2726" s="12" t="inlineStr">
        <is>
          <t>RET-0212</t>
        </is>
      </c>
      <c r="B2726" s="12" t="inlineStr">
        <is>
          <t>VS05</t>
        </is>
      </c>
      <c r="C2726" s="28" t="n">
        <v>0.0108</v>
      </c>
      <c r="D2726" s="12" t="inlineStr">
        <is>
          <t>PO-2023-3947</t>
        </is>
      </c>
      <c r="E2726" s="12" t="n">
        <v>3.48</v>
      </c>
      <c r="F2726" s="17" t="n">
        <v>61585.29</v>
      </c>
      <c r="G2726" s="14">
        <f>E2726*F2726</f>
        <v/>
      </c>
      <c r="H2726" s="14">
        <f>C2726*G2726</f>
        <v/>
      </c>
    </row>
    <row r="2727">
      <c r="A2727" s="12" t="inlineStr">
        <is>
          <t>RET-0212</t>
        </is>
      </c>
      <c r="B2727" s="12" t="inlineStr">
        <is>
          <t>VS06</t>
        </is>
      </c>
      <c r="C2727" s="28" t="n">
        <v>0.0109</v>
      </c>
      <c r="D2727" s="12" t="inlineStr">
        <is>
          <t>PO-2023-4774</t>
        </is>
      </c>
      <c r="E2727" s="12" t="n">
        <v>3.48</v>
      </c>
      <c r="F2727" s="17" t="n">
        <v>78760.91</v>
      </c>
      <c r="G2727" s="14">
        <f>E2727*F2727</f>
        <v/>
      </c>
      <c r="H2727" s="14">
        <f>C2727*G2727</f>
        <v/>
      </c>
    </row>
    <row r="2728">
      <c r="A2728" s="12" t="inlineStr">
        <is>
          <t>RET-0212</t>
        </is>
      </c>
      <c r="B2728" s="12" t="inlineStr">
        <is>
          <t>VS07</t>
        </is>
      </c>
      <c r="C2728" s="28" t="n">
        <v>0.0036</v>
      </c>
      <c r="D2728" s="12" t="inlineStr">
        <is>
          <t>PO-2021-0650</t>
        </is>
      </c>
      <c r="E2728" s="12" t="n">
        <v>3.48</v>
      </c>
      <c r="F2728" s="17" t="n">
        <v>97705.71000000001</v>
      </c>
      <c r="G2728" s="14">
        <f>E2728*F2728</f>
        <v/>
      </c>
      <c r="H2728" s="14">
        <f>C2728*G2728</f>
        <v/>
      </c>
    </row>
    <row r="2729">
      <c r="A2729" s="12" t="inlineStr">
        <is>
          <t>RET-0212</t>
        </is>
      </c>
      <c r="B2729" s="12" t="inlineStr">
        <is>
          <t>VS08</t>
        </is>
      </c>
      <c r="C2729" s="28" t="n">
        <v>0.011</v>
      </c>
      <c r="D2729" s="12" t="inlineStr">
        <is>
          <t>PO-2022-1660</t>
        </is>
      </c>
      <c r="E2729" s="12" t="n">
        <v>3.48</v>
      </c>
      <c r="F2729" s="17" t="n">
        <v>116291.36</v>
      </c>
      <c r="G2729" s="14">
        <f>E2729*F2729</f>
        <v/>
      </c>
      <c r="H2729" s="14">
        <f>C2729*G2729</f>
        <v/>
      </c>
    </row>
    <row r="2730">
      <c r="A2730" s="12" t="inlineStr">
        <is>
          <t>RET-0212</t>
        </is>
      </c>
      <c r="B2730" s="12" t="inlineStr">
        <is>
          <t>VS09</t>
        </is>
      </c>
      <c r="C2730" s="28" t="n">
        <v>0.008399999999999999</v>
      </c>
      <c r="D2730" s="12" t="inlineStr">
        <is>
          <t>PO-2023-3534</t>
        </is>
      </c>
      <c r="E2730" s="12" t="n">
        <v>3.48</v>
      </c>
      <c r="F2730" s="17" t="n">
        <v>119934.55</v>
      </c>
      <c r="G2730" s="14">
        <f>E2730*F2730</f>
        <v/>
      </c>
      <c r="H2730" s="14">
        <f>C2730*G2730</f>
        <v/>
      </c>
    </row>
    <row r="2731">
      <c r="A2731" s="12" t="inlineStr">
        <is>
          <t>RET-0212</t>
        </is>
      </c>
      <c r="B2731" s="12" t="inlineStr">
        <is>
          <t>VS10</t>
        </is>
      </c>
      <c r="C2731" s="28" t="n">
        <v>0.0133</v>
      </c>
      <c r="D2731" s="12" t="inlineStr">
        <is>
          <t>PO-2021-1005</t>
        </is>
      </c>
      <c r="E2731" s="12" t="n">
        <v>3.48</v>
      </c>
      <c r="F2731" s="17" t="n">
        <v>79124.32000000001</v>
      </c>
      <c r="G2731" s="14">
        <f>E2731*F2731</f>
        <v/>
      </c>
      <c r="H2731" s="14">
        <f>C2731*G2731</f>
        <v/>
      </c>
    </row>
    <row r="2732">
      <c r="A2732" s="12" t="inlineStr">
        <is>
          <t>RET-0212</t>
        </is>
      </c>
      <c r="B2732" s="12" t="inlineStr">
        <is>
          <t>VS11</t>
        </is>
      </c>
      <c r="C2732" s="28" t="n">
        <v>0.0155</v>
      </c>
      <c r="D2732" s="12" t="inlineStr">
        <is>
          <t>PO-2022-1645</t>
        </is>
      </c>
      <c r="E2732" s="12" t="n">
        <v>3.48</v>
      </c>
      <c r="F2732" s="17" t="n">
        <v>76432.58</v>
      </c>
      <c r="G2732" s="14">
        <f>E2732*F2732</f>
        <v/>
      </c>
      <c r="H2732" s="14">
        <f>C2732*G2732</f>
        <v/>
      </c>
    </row>
    <row r="2733">
      <c r="A2733" s="12" t="inlineStr">
        <is>
          <t>RET-0212</t>
        </is>
      </c>
      <c r="B2733" s="12" t="inlineStr">
        <is>
          <t>VS12</t>
        </is>
      </c>
      <c r="C2733" s="28" t="n">
        <v>0.2862</v>
      </c>
      <c r="D2733" s="12" t="inlineStr">
        <is>
          <t>PO-2023-3837</t>
        </is>
      </c>
      <c r="E2733" s="12" t="n">
        <v>3.48</v>
      </c>
      <c r="F2733" s="17" t="n">
        <v>76202.52</v>
      </c>
      <c r="G2733" s="14">
        <f>E2733*F2733</f>
        <v/>
      </c>
      <c r="H2733" s="14">
        <f>C2733*G2733</f>
        <v/>
      </c>
    </row>
    <row r="2734">
      <c r="A2734" s="12" t="inlineStr">
        <is>
          <t>RET-0212</t>
        </is>
      </c>
      <c r="B2734" s="12" t="inlineStr">
        <is>
          <t>VS13</t>
        </is>
      </c>
      <c r="C2734" s="28" t="n">
        <v>0.0107</v>
      </c>
      <c r="D2734" s="12" t="inlineStr">
        <is>
          <t>PO-2022-2098</t>
        </is>
      </c>
      <c r="E2734" s="12" t="n">
        <v>3.48</v>
      </c>
      <c r="F2734" s="17" t="n">
        <v>78007.74000000001</v>
      </c>
      <c r="G2734" s="14">
        <f>E2734*F2734</f>
        <v/>
      </c>
      <c r="H2734" s="14">
        <f>C2734*G2734</f>
        <v/>
      </c>
    </row>
    <row r="2735">
      <c r="A2735" s="12" t="inlineStr">
        <is>
          <t>RET-0212</t>
        </is>
      </c>
      <c r="B2735" s="12" t="inlineStr">
        <is>
          <t>VS14</t>
        </is>
      </c>
      <c r="C2735" s="28" t="n">
        <v>0.0108</v>
      </c>
      <c r="D2735" s="12" t="inlineStr">
        <is>
          <t>PO-2023-3883</t>
        </is>
      </c>
      <c r="E2735" s="12" t="n">
        <v>3.48</v>
      </c>
      <c r="F2735" s="17" t="n">
        <v>70690.92999999999</v>
      </c>
      <c r="G2735" s="14">
        <f>E2735*F2735</f>
        <v/>
      </c>
      <c r="H2735" s="14">
        <f>C2735*G2735</f>
        <v/>
      </c>
    </row>
    <row r="2736">
      <c r="A2736" s="12" t="inlineStr">
        <is>
          <t>RET-0212</t>
        </is>
      </c>
      <c r="B2736" s="12" t="inlineStr">
        <is>
          <t>VS15</t>
        </is>
      </c>
      <c r="C2736" s="28" t="n">
        <v>0.0036</v>
      </c>
      <c r="D2736" s="12" t="inlineStr">
        <is>
          <t>PO-2023-3214</t>
        </is>
      </c>
      <c r="E2736" s="12" t="n">
        <v>3.48</v>
      </c>
      <c r="F2736" s="17" t="n">
        <v>90254.23</v>
      </c>
      <c r="G2736" s="14">
        <f>E2736*F2736</f>
        <v/>
      </c>
      <c r="H2736" s="14">
        <f>C2736*G2736</f>
        <v/>
      </c>
    </row>
    <row r="2737">
      <c r="A2737" s="12" t="inlineStr">
        <is>
          <t>RET-0212</t>
        </is>
      </c>
      <c r="B2737" s="12" t="inlineStr">
        <is>
          <t>VS16</t>
        </is>
      </c>
      <c r="C2737" s="28" t="n">
        <v>0.0156</v>
      </c>
      <c r="D2737" s="12" t="inlineStr">
        <is>
          <t>PO-2021-1221</t>
        </is>
      </c>
      <c r="E2737" s="12" t="n">
        <v>3.48</v>
      </c>
      <c r="F2737" s="17" t="n">
        <v>119944.59</v>
      </c>
      <c r="G2737" s="14">
        <f>E2737*F2737</f>
        <v/>
      </c>
      <c r="H2737" s="14">
        <f>C2737*G2737</f>
        <v/>
      </c>
    </row>
    <row r="2738">
      <c r="A2738" s="12" t="inlineStr">
        <is>
          <t>RET-0212</t>
        </is>
      </c>
      <c r="B2738" s="12" t="inlineStr">
        <is>
          <t>VS17</t>
        </is>
      </c>
      <c r="C2738" s="28" t="n">
        <v>0.0155</v>
      </c>
      <c r="D2738" s="12" t="inlineStr">
        <is>
          <t>PO-2022-2522</t>
        </is>
      </c>
      <c r="E2738" s="12" t="n">
        <v>1.007</v>
      </c>
      <c r="F2738" s="17" t="n">
        <v>49967.12</v>
      </c>
      <c r="G2738" s="14">
        <f>E2738*F2738</f>
        <v/>
      </c>
      <c r="H2738" s="14">
        <f>C2738*G2738</f>
        <v/>
      </c>
    </row>
    <row r="2739">
      <c r="A2739" s="12" t="inlineStr">
        <is>
          <t>RET-0212</t>
        </is>
      </c>
      <c r="B2739" s="12" t="inlineStr">
        <is>
          <t>VS18</t>
        </is>
      </c>
      <c r="C2739" s="28" t="n">
        <v>0.0108</v>
      </c>
      <c r="D2739" s="12" t="inlineStr">
        <is>
          <t>PO-2021-0148</t>
        </is>
      </c>
      <c r="E2739" s="12" t="n">
        <v>3.48</v>
      </c>
      <c r="F2739" s="17" t="n">
        <v>116175.81</v>
      </c>
      <c r="G2739" s="14">
        <f>E2739*F2739</f>
        <v/>
      </c>
      <c r="H2739" s="14">
        <f>C2739*G2739</f>
        <v/>
      </c>
    </row>
    <row r="2740">
      <c r="A2740" s="12" t="inlineStr">
        <is>
          <t>RET-0212</t>
        </is>
      </c>
      <c r="B2740" s="12" t="inlineStr">
        <is>
          <t>VS19</t>
        </is>
      </c>
      <c r="C2740" s="28" t="n">
        <v>0.2159</v>
      </c>
      <c r="D2740" s="12" t="inlineStr">
        <is>
          <t>PO-2021-0999</t>
        </is>
      </c>
      <c r="E2740" s="12" t="n">
        <v>3.48</v>
      </c>
      <c r="F2740" s="17" t="n">
        <v>72874.98</v>
      </c>
      <c r="G2740" s="14">
        <f>E2740*F2740</f>
        <v/>
      </c>
      <c r="H2740" s="14">
        <f>C2740*G2740</f>
        <v/>
      </c>
    </row>
    <row r="2741">
      <c r="A2741" s="12" t="inlineStr">
        <is>
          <t>RET-0212</t>
        </is>
      </c>
      <c r="B2741" s="12" t="inlineStr">
        <is>
          <t>VS20</t>
        </is>
      </c>
      <c r="C2741" s="28" t="n">
        <v>0.006</v>
      </c>
      <c r="D2741" s="12" t="inlineStr">
        <is>
          <t>PO-2023-3600</t>
        </is>
      </c>
      <c r="E2741" s="12" t="n">
        <v>3.48</v>
      </c>
      <c r="F2741" s="17" t="n">
        <v>65922.44</v>
      </c>
      <c r="G2741" s="14">
        <f>E2741*F2741</f>
        <v/>
      </c>
      <c r="H2741" s="14">
        <f>C2741*G2741</f>
        <v/>
      </c>
    </row>
    <row r="2742">
      <c r="A2742" s="12" t="inlineStr">
        <is>
          <t>RET-0212</t>
        </is>
      </c>
      <c r="B2742" s="12" t="inlineStr">
        <is>
          <t>VS21</t>
        </is>
      </c>
      <c r="C2742" s="28" t="n">
        <v>0.006</v>
      </c>
      <c r="D2742" s="12" t="inlineStr">
        <is>
          <t>PO-2023-4716</t>
        </is>
      </c>
      <c r="E2742" s="12" t="n">
        <v>3.48</v>
      </c>
      <c r="F2742" s="17" t="n">
        <v>109567.15</v>
      </c>
      <c r="G2742" s="14">
        <f>E2742*F2742</f>
        <v/>
      </c>
      <c r="H2742" s="14">
        <f>C2742*G2742</f>
        <v/>
      </c>
    </row>
    <row r="2743">
      <c r="A2743" s="12" t="inlineStr">
        <is>
          <t>RET-0212</t>
        </is>
      </c>
      <c r="B2743" s="12" t="inlineStr">
        <is>
          <t>VS22</t>
        </is>
      </c>
      <c r="C2743" s="28" t="n">
        <v>0.0036</v>
      </c>
      <c r="D2743" s="12" t="inlineStr">
        <is>
          <t>PO-2022-3183</t>
        </is>
      </c>
      <c r="E2743" s="12" t="n">
        <v>3.48</v>
      </c>
      <c r="F2743" s="17" t="n">
        <v>62994.69</v>
      </c>
      <c r="G2743" s="14">
        <f>E2743*F2743</f>
        <v/>
      </c>
      <c r="H2743" s="14">
        <f>C2743*G2743</f>
        <v/>
      </c>
    </row>
    <row r="2744">
      <c r="A2744" s="12" t="inlineStr">
        <is>
          <t>RET-0212</t>
        </is>
      </c>
      <c r="B2744" s="12" t="inlineStr">
        <is>
          <t>VS23</t>
        </is>
      </c>
      <c r="C2744" s="28" t="n">
        <v>0.0059</v>
      </c>
      <c r="D2744" s="12" t="inlineStr">
        <is>
          <t>PO-2022-2039</t>
        </is>
      </c>
      <c r="E2744" s="12" t="n">
        <v>3.48</v>
      </c>
      <c r="F2744" s="17" t="n">
        <v>89943.64</v>
      </c>
      <c r="G2744" s="14">
        <f>E2744*F2744</f>
        <v/>
      </c>
      <c r="H2744" s="14">
        <f>C2744*G2744</f>
        <v/>
      </c>
    </row>
    <row r="2745">
      <c r="A2745" s="12" t="inlineStr">
        <is>
          <t>RET-0212</t>
        </is>
      </c>
      <c r="B2745" s="12" t="inlineStr">
        <is>
          <t>VS24</t>
        </is>
      </c>
      <c r="C2745" s="28" t="n">
        <v>0.006</v>
      </c>
      <c r="D2745" s="12" t="inlineStr">
        <is>
          <t>PO-2023-4459</t>
        </is>
      </c>
      <c r="E2745" s="12" t="n">
        <v>3.48</v>
      </c>
      <c r="F2745" s="17" t="n">
        <v>65562.3</v>
      </c>
      <c r="G2745" s="14">
        <f>E2745*F2745</f>
        <v/>
      </c>
      <c r="H2745" s="14">
        <f>C2745*G2745</f>
        <v/>
      </c>
    </row>
    <row r="2746">
      <c r="A2746" s="12" t="inlineStr">
        <is>
          <t>RET-0212</t>
        </is>
      </c>
      <c r="B2746" s="12" t="inlineStr">
        <is>
          <t>VS25</t>
        </is>
      </c>
      <c r="C2746" s="28" t="n">
        <v>0.0109</v>
      </c>
      <c r="D2746" s="12" t="inlineStr">
        <is>
          <t>PO-2022-2245</t>
        </is>
      </c>
      <c r="E2746" s="12" t="n">
        <v>3.48</v>
      </c>
      <c r="F2746" s="17" t="n">
        <v>85332.28</v>
      </c>
      <c r="G2746" s="14">
        <f>E2746*F2746</f>
        <v/>
      </c>
      <c r="H2746" s="14">
        <f>C2746*G2746</f>
        <v/>
      </c>
    </row>
    <row r="2747">
      <c r="A2747" s="12" t="inlineStr">
        <is>
          <t>RET-0212</t>
        </is>
      </c>
      <c r="B2747" s="12" t="inlineStr">
        <is>
          <t>VS26</t>
        </is>
      </c>
      <c r="C2747" s="28" t="n">
        <v>0.0061</v>
      </c>
      <c r="D2747" s="12" t="inlineStr">
        <is>
          <t>PO-2021-0064</t>
        </is>
      </c>
      <c r="E2747" s="12" t="n">
        <v>3.48</v>
      </c>
      <c r="F2747" s="17" t="n">
        <v>96796.08</v>
      </c>
      <c r="G2747" s="14">
        <f>E2747*F2747</f>
        <v/>
      </c>
      <c r="H2747" s="14">
        <f>C2747*G2747</f>
        <v/>
      </c>
    </row>
    <row r="2748">
      <c r="A2748" s="12" t="inlineStr">
        <is>
          <t>RET-0212</t>
        </is>
      </c>
      <c r="B2748" s="12" t="inlineStr">
        <is>
          <t>VS27</t>
        </is>
      </c>
      <c r="C2748" s="28" t="n">
        <v>0.0059</v>
      </c>
      <c r="D2748" s="12" t="inlineStr">
        <is>
          <t>PO-2021-1358</t>
        </is>
      </c>
      <c r="E2748" s="12" t="n">
        <v>3.48</v>
      </c>
      <c r="F2748" s="17" t="n">
        <v>108970.81</v>
      </c>
      <c r="G2748" s="14">
        <f>E2748*F2748</f>
        <v/>
      </c>
      <c r="H2748" s="14">
        <f>C2748*G2748</f>
        <v/>
      </c>
    </row>
    <row r="2749">
      <c r="A2749" s="12" t="inlineStr">
        <is>
          <t>RET-0212</t>
        </is>
      </c>
      <c r="B2749" s="12" t="inlineStr">
        <is>
          <t>VS28</t>
        </is>
      </c>
      <c r="C2749" s="28" t="n">
        <v>0.0133</v>
      </c>
      <c r="D2749" s="12" t="inlineStr">
        <is>
          <t>PO-2023-3330</t>
        </is>
      </c>
      <c r="E2749" s="12" t="n">
        <v>3.48</v>
      </c>
      <c r="F2749" s="17" t="n">
        <v>110823.61</v>
      </c>
      <c r="G2749" s="14">
        <f>E2749*F2749</f>
        <v/>
      </c>
      <c r="H2749" s="14">
        <f>C2749*G2749</f>
        <v/>
      </c>
    </row>
    <row r="2750">
      <c r="A2750" s="12" t="inlineStr">
        <is>
          <t>RET-0212</t>
        </is>
      </c>
      <c r="B2750" s="12" t="inlineStr">
        <is>
          <t>VS29</t>
        </is>
      </c>
      <c r="C2750" s="28" t="n">
        <v>0.008399999999999999</v>
      </c>
      <c r="D2750" s="12" t="inlineStr">
        <is>
          <t>PO-2022-2154</t>
        </is>
      </c>
      <c r="E2750" s="12" t="n">
        <v>3.48</v>
      </c>
      <c r="F2750" s="17" t="n">
        <v>64710.35</v>
      </c>
      <c r="G2750" s="14">
        <f>E2750*F2750</f>
        <v/>
      </c>
      <c r="H2750" s="14">
        <f>C2750*G2750</f>
        <v/>
      </c>
    </row>
    <row r="2751">
      <c r="A2751" s="12" t="inlineStr">
        <is>
          <t>RET-0212</t>
        </is>
      </c>
      <c r="B2751" s="12" t="inlineStr">
        <is>
          <t>VS30</t>
        </is>
      </c>
      <c r="C2751" s="28" t="n">
        <v>0.0036</v>
      </c>
      <c r="D2751" s="12" t="inlineStr">
        <is>
          <t>PO-2023-4739</t>
        </is>
      </c>
      <c r="E2751" s="12" t="n">
        <v>3.48</v>
      </c>
      <c r="F2751" s="17" t="n">
        <v>68555.53999999999</v>
      </c>
      <c r="G2751" s="14">
        <f>E2751*F2751</f>
        <v/>
      </c>
      <c r="H2751" s="14">
        <f>C2751*G2751</f>
        <v/>
      </c>
    </row>
    <row r="2752">
      <c r="A2752" s="12" t="inlineStr">
        <is>
          <t>RET-0212</t>
        </is>
      </c>
      <c r="B2752" s="12" t="inlineStr">
        <is>
          <t>VS31</t>
        </is>
      </c>
      <c r="C2752" s="28" t="n">
        <v>0.0132</v>
      </c>
      <c r="D2752" s="12" t="inlineStr">
        <is>
          <t>PO-2023-4053</t>
        </is>
      </c>
      <c r="E2752" s="12" t="n">
        <v>3.48</v>
      </c>
      <c r="F2752" s="17" t="n">
        <v>82952.39</v>
      </c>
      <c r="G2752" s="14">
        <f>E2752*F2752</f>
        <v/>
      </c>
      <c r="H2752" s="14">
        <f>C2752*G2752</f>
        <v/>
      </c>
    </row>
    <row r="2753">
      <c r="A2753" s="12" t="inlineStr">
        <is>
          <t>RET-0212</t>
        </is>
      </c>
      <c r="B2753" s="12" t="inlineStr">
        <is>
          <t>VS32</t>
        </is>
      </c>
      <c r="C2753" s="28" t="n">
        <v>0.0157</v>
      </c>
      <c r="D2753" s="12" t="inlineStr">
        <is>
          <t>PO-2021-1297</t>
        </is>
      </c>
      <c r="E2753" s="12" t="n">
        <v>0</v>
      </c>
      <c r="F2753" s="17" t="n">
        <v>118819.77</v>
      </c>
      <c r="G2753" s="14">
        <f>E2753*F2753</f>
        <v/>
      </c>
      <c r="H2753" s="14">
        <f>C2753*G2753</f>
        <v/>
      </c>
    </row>
    <row r="2754">
      <c r="A2754" s="12" t="inlineStr">
        <is>
          <t>RET-0212</t>
        </is>
      </c>
      <c r="B2754" s="12" t="inlineStr">
        <is>
          <t>VS33</t>
        </is>
      </c>
      <c r="C2754" s="28" t="n">
        <v>0.008399999999999999</v>
      </c>
      <c r="D2754" s="12" t="inlineStr">
        <is>
          <t>PO-2022-2047</t>
        </is>
      </c>
      <c r="E2754" s="12" t="n">
        <v>3.48</v>
      </c>
      <c r="F2754" s="17" t="n">
        <v>57103.45</v>
      </c>
      <c r="G2754" s="14">
        <f>E2754*F2754</f>
        <v/>
      </c>
      <c r="H2754" s="14">
        <f>C2754*G2754</f>
        <v/>
      </c>
    </row>
    <row r="2755">
      <c r="A2755" s="12" t="inlineStr">
        <is>
          <t>RET-0212</t>
        </is>
      </c>
      <c r="B2755" s="12" t="inlineStr">
        <is>
          <t>VS34</t>
        </is>
      </c>
      <c r="C2755" s="28" t="n">
        <v>0.0108</v>
      </c>
      <c r="D2755" s="12" t="inlineStr">
        <is>
          <t>PO-2022-2799</t>
        </is>
      </c>
      <c r="E2755" s="12" t="n">
        <v>3.48</v>
      </c>
      <c r="F2755" s="17" t="n">
        <v>101232.34</v>
      </c>
      <c r="G2755" s="14">
        <f>E2755*F2755</f>
        <v/>
      </c>
      <c r="H2755" s="14">
        <f>C2755*G2755</f>
        <v/>
      </c>
    </row>
    <row r="2756">
      <c r="A2756" s="12" t="inlineStr">
        <is>
          <t>RET-0213</t>
        </is>
      </c>
      <c r="B2756" s="12" t="inlineStr">
        <is>
          <t>VS01</t>
        </is>
      </c>
      <c r="C2756" s="28" t="n">
        <v>0.0161</v>
      </c>
      <c r="D2756" s="12" t="inlineStr">
        <is>
          <t>PO-2022-1991</t>
        </is>
      </c>
      <c r="E2756" s="12" t="n">
        <v>3.75</v>
      </c>
      <c r="F2756" s="17" t="n">
        <v>57905.13</v>
      </c>
      <c r="G2756" s="14">
        <f>E2756*F2756</f>
        <v/>
      </c>
      <c r="H2756" s="14">
        <f>C2756*G2756</f>
        <v/>
      </c>
    </row>
    <row r="2757">
      <c r="A2757" s="12" t="inlineStr">
        <is>
          <t>RET-0213</t>
        </is>
      </c>
      <c r="B2757" s="12" t="inlineStr">
        <is>
          <t>VS02</t>
        </is>
      </c>
      <c r="C2757" s="28" t="n">
        <v>0.0073</v>
      </c>
      <c r="D2757" s="12" t="inlineStr">
        <is>
          <t>PO-2022-2895</t>
        </is>
      </c>
      <c r="E2757" s="12" t="n">
        <v>3.75</v>
      </c>
      <c r="F2757" s="17" t="n">
        <v>114763.89</v>
      </c>
      <c r="G2757" s="14">
        <f>E2757*F2757</f>
        <v/>
      </c>
      <c r="H2757" s="14">
        <f>C2757*G2757</f>
        <v/>
      </c>
    </row>
    <row r="2758">
      <c r="A2758" s="12" t="inlineStr">
        <is>
          <t>RET-0213</t>
        </is>
      </c>
      <c r="B2758" s="12" t="inlineStr">
        <is>
          <t>VS03</t>
        </is>
      </c>
      <c r="C2758" s="28" t="n">
        <v>0.1876</v>
      </c>
      <c r="D2758" s="12" t="inlineStr">
        <is>
          <t>PO-2021-0240</t>
        </is>
      </c>
      <c r="E2758" s="12" t="n">
        <v>3.75</v>
      </c>
      <c r="F2758" s="17" t="n">
        <v>107524.2</v>
      </c>
      <c r="G2758" s="14">
        <f>E2758*F2758</f>
        <v/>
      </c>
      <c r="H2758" s="14">
        <f>C2758*G2758</f>
        <v/>
      </c>
    </row>
    <row r="2759">
      <c r="A2759" s="12" t="inlineStr">
        <is>
          <t>RET-0213</t>
        </is>
      </c>
      <c r="B2759" s="12" t="inlineStr">
        <is>
          <t>VS04</t>
        </is>
      </c>
      <c r="C2759" s="28" t="n">
        <v>0.0101</v>
      </c>
      <c r="D2759" s="12" t="inlineStr">
        <is>
          <t>PO-2023-4049</t>
        </is>
      </c>
      <c r="E2759" s="12" t="n">
        <v>3.75</v>
      </c>
      <c r="F2759" s="17" t="n">
        <v>118014.2</v>
      </c>
      <c r="G2759" s="14">
        <f>E2759*F2759</f>
        <v/>
      </c>
      <c r="H2759" s="14">
        <f>C2759*G2759</f>
        <v/>
      </c>
    </row>
    <row r="2760">
      <c r="A2760" s="12" t="inlineStr">
        <is>
          <t>RET-0213</t>
        </is>
      </c>
      <c r="B2760" s="12" t="inlineStr">
        <is>
          <t>VS05</t>
        </is>
      </c>
      <c r="C2760" s="28" t="n">
        <v>0.0131</v>
      </c>
      <c r="D2760" s="12" t="inlineStr">
        <is>
          <t>PO-2021-0651</t>
        </is>
      </c>
      <c r="E2760" s="12" t="n">
        <v>2.157</v>
      </c>
      <c r="F2760" s="17" t="n">
        <v>98765.12</v>
      </c>
      <c r="G2760" s="14">
        <f>E2760*F2760</f>
        <v/>
      </c>
      <c r="H2760" s="14">
        <f>C2760*G2760</f>
        <v/>
      </c>
    </row>
    <row r="2761">
      <c r="A2761" s="12" t="inlineStr">
        <is>
          <t>RET-0213</t>
        </is>
      </c>
      <c r="B2761" s="12" t="inlineStr">
        <is>
          <t>VS06</t>
        </is>
      </c>
      <c r="C2761" s="28" t="n">
        <v>0.0133</v>
      </c>
      <c r="D2761" s="12" t="inlineStr">
        <is>
          <t>PO-2022-1763</t>
        </is>
      </c>
      <c r="E2761" s="12" t="n">
        <v>3.75</v>
      </c>
      <c r="F2761" s="17" t="n">
        <v>67679.25</v>
      </c>
      <c r="G2761" s="14">
        <f>E2761*F2761</f>
        <v/>
      </c>
      <c r="H2761" s="14">
        <f>C2761*G2761</f>
        <v/>
      </c>
    </row>
    <row r="2762">
      <c r="A2762" s="12" t="inlineStr">
        <is>
          <t>RET-0213</t>
        </is>
      </c>
      <c r="B2762" s="12" t="inlineStr">
        <is>
          <t>VS07</t>
        </is>
      </c>
      <c r="C2762" s="28" t="n">
        <v>0.0044</v>
      </c>
      <c r="D2762" s="12" t="inlineStr">
        <is>
          <t>PO-2023-4433</t>
        </is>
      </c>
      <c r="E2762" s="12" t="n">
        <v>3.75</v>
      </c>
      <c r="F2762" s="17" t="n">
        <v>95085.06</v>
      </c>
      <c r="G2762" s="14">
        <f>E2762*F2762</f>
        <v/>
      </c>
      <c r="H2762" s="14">
        <f>C2762*G2762</f>
        <v/>
      </c>
    </row>
    <row r="2763">
      <c r="A2763" s="12" t="inlineStr">
        <is>
          <t>RET-0213</t>
        </is>
      </c>
      <c r="B2763" s="12" t="inlineStr">
        <is>
          <t>VS08</t>
        </is>
      </c>
      <c r="C2763" s="28" t="n">
        <v>0.0133</v>
      </c>
      <c r="D2763" s="12" t="inlineStr">
        <is>
          <t>PO-2022-2172</t>
        </is>
      </c>
      <c r="E2763" s="12" t="n">
        <v>3.75</v>
      </c>
      <c r="F2763" s="17" t="n">
        <v>55680.63</v>
      </c>
      <c r="G2763" s="14">
        <f>E2763*F2763</f>
        <v/>
      </c>
      <c r="H2763" s="14">
        <f>C2763*G2763</f>
        <v/>
      </c>
    </row>
    <row r="2764">
      <c r="A2764" s="12" t="inlineStr">
        <is>
          <t>RET-0213</t>
        </is>
      </c>
      <c r="B2764" s="12" t="inlineStr">
        <is>
          <t>VS09</t>
        </is>
      </c>
      <c r="C2764" s="28" t="n">
        <v>0.0102</v>
      </c>
      <c r="D2764" s="12" t="inlineStr">
        <is>
          <t>PO-2021-1359</t>
        </is>
      </c>
      <c r="E2764" s="12" t="n">
        <v>3.75</v>
      </c>
      <c r="F2764" s="17" t="n">
        <v>100335.38</v>
      </c>
      <c r="G2764" s="14">
        <f>E2764*F2764</f>
        <v/>
      </c>
      <c r="H2764" s="14">
        <f>C2764*G2764</f>
        <v/>
      </c>
    </row>
    <row r="2765">
      <c r="A2765" s="12" t="inlineStr">
        <is>
          <t>RET-0213</t>
        </is>
      </c>
      <c r="B2765" s="12" t="inlineStr">
        <is>
          <t>VS10</t>
        </is>
      </c>
      <c r="C2765" s="28" t="n">
        <v>0.0161</v>
      </c>
      <c r="D2765" s="12" t="inlineStr">
        <is>
          <t>PO-2021-0817</t>
        </is>
      </c>
      <c r="E2765" s="12" t="n">
        <v>3.75</v>
      </c>
      <c r="F2765" s="17" t="n">
        <v>80689.10000000001</v>
      </c>
      <c r="G2765" s="14">
        <f>E2765*F2765</f>
        <v/>
      </c>
      <c r="H2765" s="14">
        <f>C2765*G2765</f>
        <v/>
      </c>
    </row>
    <row r="2766">
      <c r="A2766" s="12" t="inlineStr">
        <is>
          <t>RET-0213</t>
        </is>
      </c>
      <c r="B2766" s="12" t="inlineStr">
        <is>
          <t>VS11</t>
        </is>
      </c>
      <c r="C2766" s="28" t="n">
        <v>0.0189</v>
      </c>
      <c r="D2766" s="12" t="inlineStr">
        <is>
          <t>PO-2021-1529</t>
        </is>
      </c>
      <c r="E2766" s="12" t="n">
        <v>3.75</v>
      </c>
      <c r="F2766" s="17" t="n">
        <v>77547.00999999999</v>
      </c>
      <c r="G2766" s="14">
        <f>E2766*F2766</f>
        <v/>
      </c>
      <c r="H2766" s="14">
        <f>C2766*G2766</f>
        <v/>
      </c>
    </row>
    <row r="2767">
      <c r="A2767" s="12" t="inlineStr">
        <is>
          <t>RET-0213</t>
        </is>
      </c>
      <c r="B2767" s="12" t="inlineStr">
        <is>
          <t>VS12</t>
        </is>
      </c>
      <c r="C2767" s="28" t="n">
        <v>0.2608</v>
      </c>
      <c r="D2767" s="12" t="inlineStr">
        <is>
          <t>PO-2022-1936</t>
        </is>
      </c>
      <c r="E2767" s="12" t="n">
        <v>3.75</v>
      </c>
      <c r="F2767" s="17" t="n">
        <v>124278.2</v>
      </c>
      <c r="G2767" s="14">
        <f>E2767*F2767</f>
        <v/>
      </c>
      <c r="H2767" s="14">
        <f>C2767*G2767</f>
        <v/>
      </c>
    </row>
    <row r="2768">
      <c r="A2768" s="12" t="inlineStr">
        <is>
          <t>RET-0213</t>
        </is>
      </c>
      <c r="B2768" s="12" t="inlineStr">
        <is>
          <t>VS13</t>
        </is>
      </c>
      <c r="C2768" s="28" t="n">
        <v>0.013</v>
      </c>
      <c r="D2768" s="12" t="inlineStr">
        <is>
          <t>PO-2022-3108</t>
        </is>
      </c>
      <c r="E2768" s="12" t="n">
        <v>3.75</v>
      </c>
      <c r="F2768" s="17" t="n">
        <v>86305.84</v>
      </c>
      <c r="G2768" s="14">
        <f>E2768*F2768</f>
        <v/>
      </c>
      <c r="H2768" s="14">
        <f>C2768*G2768</f>
        <v/>
      </c>
    </row>
    <row r="2769">
      <c r="A2769" s="12" t="inlineStr">
        <is>
          <t>RET-0213</t>
        </is>
      </c>
      <c r="B2769" s="12" t="inlineStr">
        <is>
          <t>VS14</t>
        </is>
      </c>
      <c r="C2769" s="28" t="n">
        <v>0.0131</v>
      </c>
      <c r="D2769" s="12" t="inlineStr">
        <is>
          <t>PO-2022-1723</t>
        </is>
      </c>
      <c r="E2769" s="12" t="n">
        <v>3.75</v>
      </c>
      <c r="F2769" s="17" t="n">
        <v>77313.63</v>
      </c>
      <c r="G2769" s="14">
        <f>E2769*F2769</f>
        <v/>
      </c>
      <c r="H2769" s="14">
        <f>C2769*G2769</f>
        <v/>
      </c>
    </row>
    <row r="2770">
      <c r="A2770" s="12" t="inlineStr">
        <is>
          <t>RET-0213</t>
        </is>
      </c>
      <c r="B2770" s="12" t="inlineStr">
        <is>
          <t>VS15</t>
        </is>
      </c>
      <c r="C2770" s="28" t="n">
        <v>0.0044</v>
      </c>
      <c r="D2770" s="12" t="inlineStr">
        <is>
          <t>PO-2021-0732</t>
        </is>
      </c>
      <c r="E2770" s="12" t="n">
        <v>3.607</v>
      </c>
      <c r="F2770" s="17" t="n">
        <v>104945.24</v>
      </c>
      <c r="G2770" s="14">
        <f>E2770*F2770</f>
        <v/>
      </c>
      <c r="H2770" s="14">
        <f>C2770*G2770</f>
        <v/>
      </c>
    </row>
    <row r="2771">
      <c r="A2771" s="12" t="inlineStr">
        <is>
          <t>RET-0213</t>
        </is>
      </c>
      <c r="B2771" s="12" t="inlineStr">
        <is>
          <t>VS16</t>
        </is>
      </c>
      <c r="C2771" s="28" t="n">
        <v>0.0189</v>
      </c>
      <c r="D2771" s="12" t="inlineStr">
        <is>
          <t>PO-2021-1537</t>
        </is>
      </c>
      <c r="E2771" s="12" t="n">
        <v>3.75</v>
      </c>
      <c r="F2771" s="17" t="n">
        <v>59014.52</v>
      </c>
      <c r="G2771" s="14">
        <f>E2771*F2771</f>
        <v/>
      </c>
      <c r="H2771" s="14">
        <f>C2771*G2771</f>
        <v/>
      </c>
    </row>
    <row r="2772">
      <c r="A2772" s="12" t="inlineStr">
        <is>
          <t>RET-0213</t>
        </is>
      </c>
      <c r="B2772" s="12" t="inlineStr">
        <is>
          <t>VS17</t>
        </is>
      </c>
      <c r="C2772" s="28" t="n">
        <v>0.0189</v>
      </c>
      <c r="D2772" s="12" t="inlineStr">
        <is>
          <t>PO-2022-2200</t>
        </is>
      </c>
      <c r="E2772" s="12" t="n">
        <v>3.75</v>
      </c>
      <c r="F2772" s="17" t="n">
        <v>84962.08</v>
      </c>
      <c r="G2772" s="14">
        <f>E2772*F2772</f>
        <v/>
      </c>
      <c r="H2772" s="14">
        <f>C2772*G2772</f>
        <v/>
      </c>
    </row>
    <row r="2773">
      <c r="A2773" s="12" t="inlineStr">
        <is>
          <t>RET-0213</t>
        </is>
      </c>
      <c r="B2773" s="12" t="inlineStr">
        <is>
          <t>VS18</t>
        </is>
      </c>
      <c r="C2773" s="28" t="n">
        <v>0.0131</v>
      </c>
      <c r="D2773" s="12" t="inlineStr">
        <is>
          <t>PO-2022-2519</t>
        </is>
      </c>
      <c r="E2773" s="12" t="n">
        <v>3.75</v>
      </c>
      <c r="F2773" s="17" t="n">
        <v>113624.61</v>
      </c>
      <c r="G2773" s="14">
        <f>E2773*F2773</f>
        <v/>
      </c>
      <c r="H2773" s="14">
        <f>C2773*G2773</f>
        <v/>
      </c>
    </row>
    <row r="2774">
      <c r="A2774" s="12" t="inlineStr">
        <is>
          <t>RET-0213</t>
        </is>
      </c>
      <c r="B2774" s="12" t="inlineStr">
        <is>
          <t>VS19</t>
        </is>
      </c>
      <c r="C2774" s="28" t="n">
        <v>0.1967</v>
      </c>
      <c r="D2774" s="12" t="inlineStr">
        <is>
          <t>PO-2021-0346</t>
        </is>
      </c>
      <c r="E2774" s="12" t="n">
        <v>3.75</v>
      </c>
      <c r="F2774" s="17" t="n">
        <v>64741.45</v>
      </c>
      <c r="G2774" s="14">
        <f>E2774*F2774</f>
        <v/>
      </c>
      <c r="H2774" s="14">
        <f>C2774*G2774</f>
        <v/>
      </c>
    </row>
    <row r="2775">
      <c r="A2775" s="12" t="inlineStr">
        <is>
          <t>RET-0213</t>
        </is>
      </c>
      <c r="B2775" s="12" t="inlineStr">
        <is>
          <t>VS20</t>
        </is>
      </c>
      <c r="C2775" s="28" t="n">
        <v>0.0073</v>
      </c>
      <c r="D2775" s="12" t="inlineStr">
        <is>
          <t>PO-2021-1483</t>
        </is>
      </c>
      <c r="E2775" s="12" t="n">
        <v>3.75</v>
      </c>
      <c r="F2775" s="17" t="n">
        <v>49762.37</v>
      </c>
      <c r="G2775" s="14">
        <f>E2775*F2775</f>
        <v/>
      </c>
      <c r="H2775" s="14">
        <f>C2775*G2775</f>
        <v/>
      </c>
    </row>
    <row r="2776">
      <c r="A2776" s="12" t="inlineStr">
        <is>
          <t>RET-0213</t>
        </is>
      </c>
      <c r="B2776" s="12" t="inlineStr">
        <is>
          <t>VS21</t>
        </is>
      </c>
      <c r="C2776" s="28" t="n">
        <v>0.0073</v>
      </c>
      <c r="D2776" s="12" t="inlineStr">
        <is>
          <t>PO-2021-1184</t>
        </is>
      </c>
      <c r="E2776" s="12" t="n">
        <v>3.75</v>
      </c>
      <c r="F2776" s="17" t="n">
        <v>48651.17</v>
      </c>
      <c r="G2776" s="14">
        <f>E2776*F2776</f>
        <v/>
      </c>
      <c r="H2776" s="14">
        <f>C2776*G2776</f>
        <v/>
      </c>
    </row>
    <row r="2777">
      <c r="A2777" s="12" t="inlineStr">
        <is>
          <t>RET-0213</t>
        </is>
      </c>
      <c r="B2777" s="12" t="inlineStr">
        <is>
          <t>VS22</t>
        </is>
      </c>
      <c r="C2777" s="28" t="n">
        <v>0.0043</v>
      </c>
      <c r="D2777" s="12" t="inlineStr">
        <is>
          <t>PO-2022-2461</t>
        </is>
      </c>
      <c r="E2777" s="12" t="n">
        <v>3.75</v>
      </c>
      <c r="F2777" s="17" t="n">
        <v>50403.77</v>
      </c>
      <c r="G2777" s="14">
        <f>E2777*F2777</f>
        <v/>
      </c>
      <c r="H2777" s="14">
        <f>C2777*G2777</f>
        <v/>
      </c>
    </row>
    <row r="2778">
      <c r="A2778" s="12" t="inlineStr">
        <is>
          <t>RET-0213</t>
        </is>
      </c>
      <c r="B2778" s="12" t="inlineStr">
        <is>
          <t>VS23</t>
        </is>
      </c>
      <c r="C2778" s="28" t="n">
        <v>0.0072</v>
      </c>
      <c r="D2778" s="12" t="inlineStr">
        <is>
          <t>PO-2022-1867</t>
        </is>
      </c>
      <c r="E2778" s="12" t="n">
        <v>3.75</v>
      </c>
      <c r="F2778" s="17" t="n">
        <v>86770.56</v>
      </c>
      <c r="G2778" s="14">
        <f>E2778*F2778</f>
        <v/>
      </c>
      <c r="H2778" s="14">
        <f>C2778*G2778</f>
        <v/>
      </c>
    </row>
    <row r="2779">
      <c r="A2779" s="12" t="inlineStr">
        <is>
          <t>RET-0213</t>
        </is>
      </c>
      <c r="B2779" s="12" t="inlineStr">
        <is>
          <t>VS24</t>
        </is>
      </c>
      <c r="C2779" s="28" t="n">
        <v>0.0073</v>
      </c>
      <c r="D2779" s="12" t="inlineStr">
        <is>
          <t>PO-2022-1693</t>
        </is>
      </c>
      <c r="E2779" s="12" t="n">
        <v>3.75</v>
      </c>
      <c r="F2779" s="17" t="n">
        <v>54172.77</v>
      </c>
      <c r="G2779" s="14">
        <f>E2779*F2779</f>
        <v/>
      </c>
      <c r="H2779" s="14">
        <f>C2779*G2779</f>
        <v/>
      </c>
    </row>
    <row r="2780">
      <c r="A2780" s="12" t="inlineStr">
        <is>
          <t>RET-0213</t>
        </is>
      </c>
      <c r="B2780" s="12" t="inlineStr">
        <is>
          <t>VS25</t>
        </is>
      </c>
      <c r="C2780" s="28" t="n">
        <v>0.0132</v>
      </c>
      <c r="D2780" s="12" t="inlineStr">
        <is>
          <t>PO-2022-2989</t>
        </is>
      </c>
      <c r="E2780" s="12" t="n">
        <v>3.75</v>
      </c>
      <c r="F2780" s="17" t="n">
        <v>58824.4</v>
      </c>
      <c r="G2780" s="14">
        <f>E2780*F2780</f>
        <v/>
      </c>
      <c r="H2780" s="14">
        <f>C2780*G2780</f>
        <v/>
      </c>
    </row>
    <row r="2781">
      <c r="A2781" s="12" t="inlineStr">
        <is>
          <t>RET-0213</t>
        </is>
      </c>
      <c r="B2781" s="12" t="inlineStr">
        <is>
          <t>VS26</t>
        </is>
      </c>
      <c r="C2781" s="28" t="n">
        <v>0.0074</v>
      </c>
      <c r="D2781" s="12" t="inlineStr">
        <is>
          <t>PO-2023-3815</t>
        </is>
      </c>
      <c r="E2781" s="12" t="n">
        <v>1.737</v>
      </c>
      <c r="F2781" s="17" t="n">
        <v>47482.02</v>
      </c>
      <c r="G2781" s="14">
        <f>E2781*F2781</f>
        <v/>
      </c>
      <c r="H2781" s="14">
        <f>C2781*G2781</f>
        <v/>
      </c>
    </row>
    <row r="2782">
      <c r="A2782" s="12" t="inlineStr">
        <is>
          <t>RET-0213</t>
        </is>
      </c>
      <c r="B2782" s="12" t="inlineStr">
        <is>
          <t>VS27</t>
        </is>
      </c>
      <c r="C2782" s="28" t="n">
        <v>0.0072</v>
      </c>
      <c r="D2782" s="12" t="inlineStr">
        <is>
          <t>PO-2023-3831</t>
        </is>
      </c>
      <c r="E2782" s="12" t="n">
        <v>3.75</v>
      </c>
      <c r="F2782" s="17" t="n">
        <v>117054.77</v>
      </c>
      <c r="G2782" s="14">
        <f>E2782*F2782</f>
        <v/>
      </c>
      <c r="H2782" s="14">
        <f>C2782*G2782</f>
        <v/>
      </c>
    </row>
    <row r="2783">
      <c r="A2783" s="12" t="inlineStr">
        <is>
          <t>RET-0213</t>
        </is>
      </c>
      <c r="B2783" s="12" t="inlineStr">
        <is>
          <t>VS28</t>
        </is>
      </c>
      <c r="C2783" s="28" t="n">
        <v>0.0161</v>
      </c>
      <c r="D2783" s="12" t="inlineStr">
        <is>
          <t>PO-2022-1779</t>
        </is>
      </c>
      <c r="E2783" s="12" t="n">
        <v>2.299</v>
      </c>
      <c r="F2783" s="17" t="n">
        <v>79281.17</v>
      </c>
      <c r="G2783" s="14">
        <f>E2783*F2783</f>
        <v/>
      </c>
      <c r="H2783" s="14">
        <f>C2783*G2783</f>
        <v/>
      </c>
    </row>
    <row r="2784">
      <c r="A2784" s="12" t="inlineStr">
        <is>
          <t>RET-0213</t>
        </is>
      </c>
      <c r="B2784" s="12" t="inlineStr">
        <is>
          <t>VS29</t>
        </is>
      </c>
      <c r="C2784" s="28" t="n">
        <v>0.0102</v>
      </c>
      <c r="D2784" s="12" t="inlineStr">
        <is>
          <t>PO-2021-1263</t>
        </is>
      </c>
      <c r="E2784" s="12" t="n">
        <v>3.75</v>
      </c>
      <c r="F2784" s="17" t="n">
        <v>69391.22</v>
      </c>
      <c r="G2784" s="14">
        <f>E2784*F2784</f>
        <v/>
      </c>
      <c r="H2784" s="14">
        <f>C2784*G2784</f>
        <v/>
      </c>
    </row>
    <row r="2785">
      <c r="A2785" s="12" t="inlineStr">
        <is>
          <t>RET-0213</t>
        </is>
      </c>
      <c r="B2785" s="12" t="inlineStr">
        <is>
          <t>VS30</t>
        </is>
      </c>
      <c r="C2785" s="28" t="n">
        <v>0.0044</v>
      </c>
      <c r="D2785" s="12" t="inlineStr">
        <is>
          <t>PO-2021-1217</t>
        </is>
      </c>
      <c r="E2785" s="12" t="n">
        <v>3.75</v>
      </c>
      <c r="F2785" s="17" t="n">
        <v>99224.63</v>
      </c>
      <c r="G2785" s="14">
        <f>E2785*F2785</f>
        <v/>
      </c>
      <c r="H2785" s="14">
        <f>C2785*G2785</f>
        <v/>
      </c>
    </row>
    <row r="2786">
      <c r="A2786" s="12" t="inlineStr">
        <is>
          <t>RET-0213</t>
        </is>
      </c>
      <c r="B2786" s="12" t="inlineStr">
        <is>
          <t>VS31</t>
        </is>
      </c>
      <c r="C2786" s="28" t="n">
        <v>0.016</v>
      </c>
      <c r="D2786" s="12" t="inlineStr">
        <is>
          <t>PO-2023-4087</t>
        </is>
      </c>
      <c r="E2786" s="12" t="n">
        <v>3.75</v>
      </c>
      <c r="F2786" s="17" t="n">
        <v>113295.37</v>
      </c>
      <c r="G2786" s="14">
        <f>E2786*F2786</f>
        <v/>
      </c>
      <c r="H2786" s="14">
        <f>C2786*G2786</f>
        <v/>
      </c>
    </row>
    <row r="2787">
      <c r="A2787" s="12" t="inlineStr">
        <is>
          <t>RET-0213</t>
        </is>
      </c>
      <c r="B2787" s="12" t="inlineStr">
        <is>
          <t>VS32</t>
        </is>
      </c>
      <c r="C2787" s="28" t="n">
        <v>0.0191</v>
      </c>
      <c r="D2787" s="12" t="inlineStr">
        <is>
          <t>PO-2021-0421</t>
        </is>
      </c>
      <c r="E2787" s="12" t="n">
        <v>3.75</v>
      </c>
      <c r="F2787" s="17" t="n">
        <v>65153.79</v>
      </c>
      <c r="G2787" s="14">
        <f>E2787*F2787</f>
        <v/>
      </c>
      <c r="H2787" s="14">
        <f>C2787*G2787</f>
        <v/>
      </c>
    </row>
    <row r="2788">
      <c r="A2788" s="12" t="inlineStr">
        <is>
          <t>RET-0213</t>
        </is>
      </c>
      <c r="B2788" s="12" t="inlineStr">
        <is>
          <t>VS33</t>
        </is>
      </c>
      <c r="C2788" s="28" t="n">
        <v>0.0102</v>
      </c>
      <c r="D2788" s="12" t="inlineStr">
        <is>
          <t>PO-2021-0214</t>
        </is>
      </c>
      <c r="E2788" s="12" t="n">
        <v>3.75</v>
      </c>
      <c r="F2788" s="17" t="n">
        <v>51878.52</v>
      </c>
      <c r="G2788" s="14">
        <f>E2788*F2788</f>
        <v/>
      </c>
      <c r="H2788" s="14">
        <f>C2788*G2788</f>
        <v/>
      </c>
    </row>
    <row r="2789">
      <c r="A2789" s="12" t="inlineStr">
        <is>
          <t>RET-0213</t>
        </is>
      </c>
      <c r="B2789" s="12" t="inlineStr">
        <is>
          <t>VS34</t>
        </is>
      </c>
      <c r="C2789" s="28" t="n">
        <v>0.0132</v>
      </c>
      <c r="D2789" s="12" t="inlineStr">
        <is>
          <t>PO-2023-3985</t>
        </is>
      </c>
      <c r="E2789" s="12" t="n">
        <v>3.75</v>
      </c>
      <c r="F2789" s="17" t="n">
        <v>49311.74</v>
      </c>
      <c r="G2789" s="14">
        <f>E2789*F2789</f>
        <v/>
      </c>
      <c r="H2789" s="14">
        <f>C2789*G2789</f>
        <v/>
      </c>
    </row>
    <row r="2790">
      <c r="A2790" s="12" t="inlineStr">
        <is>
          <t>RET-0214</t>
        </is>
      </c>
      <c r="B2790" s="12" t="inlineStr">
        <is>
          <t>VS01</t>
        </is>
      </c>
      <c r="C2790" s="28" t="n">
        <v>0.0252</v>
      </c>
      <c r="D2790" s="12" t="inlineStr">
        <is>
          <t>PO-2022-2707</t>
        </is>
      </c>
      <c r="E2790" s="12" t="n">
        <v>3.96</v>
      </c>
      <c r="F2790" s="17" t="n">
        <v>70038.89999999999</v>
      </c>
      <c r="G2790" s="14">
        <f>E2790*F2790</f>
        <v/>
      </c>
      <c r="H2790" s="14">
        <f>C2790*G2790</f>
        <v/>
      </c>
    </row>
    <row r="2791">
      <c r="A2791" s="12" t="inlineStr">
        <is>
          <t>RET-0214</t>
        </is>
      </c>
      <c r="B2791" s="12" t="inlineStr">
        <is>
          <t>VS02</t>
        </is>
      </c>
      <c r="C2791" s="28" t="n">
        <v>0.0115</v>
      </c>
      <c r="D2791" s="12" t="inlineStr">
        <is>
          <t>PO-2022-1998</t>
        </is>
      </c>
      <c r="E2791" s="12" t="n">
        <v>3.96</v>
      </c>
      <c r="F2791" s="17" t="n">
        <v>58362</v>
      </c>
      <c r="G2791" s="14">
        <f>E2791*F2791</f>
        <v/>
      </c>
      <c r="H2791" s="14">
        <f>C2791*G2791</f>
        <v/>
      </c>
    </row>
    <row r="2792">
      <c r="A2792" s="12" t="inlineStr">
        <is>
          <t>RET-0214</t>
        </is>
      </c>
      <c r="B2792" s="12" t="inlineStr">
        <is>
          <t>VS03</t>
        </is>
      </c>
      <c r="C2792" s="28" t="n">
        <v>0.13</v>
      </c>
      <c r="D2792" s="12" t="inlineStr">
        <is>
          <t>PO-2021-0177</t>
        </is>
      </c>
      <c r="E2792" s="12" t="n">
        <v>3.96</v>
      </c>
      <c r="F2792" s="17" t="n">
        <v>93547.35000000001</v>
      </c>
      <c r="G2792" s="14">
        <f>E2792*F2792</f>
        <v/>
      </c>
      <c r="H2792" s="14">
        <f>C2792*G2792</f>
        <v/>
      </c>
    </row>
    <row r="2793">
      <c r="A2793" s="12" t="inlineStr">
        <is>
          <t>RET-0214</t>
        </is>
      </c>
      <c r="B2793" s="12" t="inlineStr">
        <is>
          <t>VS04</t>
        </is>
      </c>
      <c r="C2793" s="28" t="n">
        <v>0.0158</v>
      </c>
      <c r="D2793" s="12" t="inlineStr">
        <is>
          <t>PO-2021-0482</t>
        </is>
      </c>
      <c r="E2793" s="12" t="n">
        <v>3.96</v>
      </c>
      <c r="F2793" s="17" t="n">
        <v>106775.51</v>
      </c>
      <c r="G2793" s="14">
        <f>E2793*F2793</f>
        <v/>
      </c>
      <c r="H2793" s="14">
        <f>C2793*G2793</f>
        <v/>
      </c>
    </row>
    <row r="2794">
      <c r="A2794" s="12" t="inlineStr">
        <is>
          <t>RET-0214</t>
        </is>
      </c>
      <c r="B2794" s="12" t="inlineStr">
        <is>
          <t>VS05</t>
        </is>
      </c>
      <c r="C2794" s="28" t="n">
        <v>0.0205</v>
      </c>
      <c r="D2794" s="12" t="inlineStr">
        <is>
          <t>PO-2022-1848</t>
        </is>
      </c>
      <c r="E2794" s="12" t="n">
        <v>3.96</v>
      </c>
      <c r="F2794" s="17" t="n">
        <v>87777.44</v>
      </c>
      <c r="G2794" s="14">
        <f>E2794*F2794</f>
        <v/>
      </c>
      <c r="H2794" s="14">
        <f>C2794*G2794</f>
        <v/>
      </c>
    </row>
    <row r="2795">
      <c r="A2795" s="12" t="inlineStr">
        <is>
          <t>RET-0214</t>
        </is>
      </c>
      <c r="B2795" s="12" t="inlineStr">
        <is>
          <t>VS06</t>
        </is>
      </c>
      <c r="C2795" s="28" t="n">
        <v>0.0207</v>
      </c>
      <c r="D2795" s="12" t="inlineStr">
        <is>
          <t>PO-2021-0001</t>
        </is>
      </c>
      <c r="E2795" s="12" t="n">
        <v>3.96</v>
      </c>
      <c r="F2795" s="17" t="n">
        <v>81423.08</v>
      </c>
      <c r="G2795" s="14">
        <f>E2795*F2795</f>
        <v/>
      </c>
      <c r="H2795" s="14">
        <f>C2795*G2795</f>
        <v/>
      </c>
    </row>
    <row r="2796">
      <c r="A2796" s="12" t="inlineStr">
        <is>
          <t>RET-0214</t>
        </is>
      </c>
      <c r="B2796" s="12" t="inlineStr">
        <is>
          <t>VS07</t>
        </is>
      </c>
      <c r="C2796" s="28" t="n">
        <v>0.0069</v>
      </c>
      <c r="D2796" s="12" t="inlineStr">
        <is>
          <t>PO-2022-2892</t>
        </is>
      </c>
      <c r="E2796" s="12" t="n">
        <v>3.96</v>
      </c>
      <c r="F2796" s="17" t="n">
        <v>53898.77</v>
      </c>
      <c r="G2796" s="14">
        <f>E2796*F2796</f>
        <v/>
      </c>
      <c r="H2796" s="14">
        <f>C2796*G2796</f>
        <v/>
      </c>
    </row>
    <row r="2797">
      <c r="A2797" s="12" t="inlineStr">
        <is>
          <t>RET-0214</t>
        </is>
      </c>
      <c r="B2797" s="12" t="inlineStr">
        <is>
          <t>VS08</t>
        </is>
      </c>
      <c r="C2797" s="28" t="n">
        <v>0.0208</v>
      </c>
      <c r="D2797" s="12" t="inlineStr">
        <is>
          <t>PO-2021-1159</t>
        </is>
      </c>
      <c r="E2797" s="12" t="n">
        <v>3.96</v>
      </c>
      <c r="F2797" s="17" t="n">
        <v>59290.81</v>
      </c>
      <c r="G2797" s="14">
        <f>E2797*F2797</f>
        <v/>
      </c>
      <c r="H2797" s="14">
        <f>C2797*G2797</f>
        <v/>
      </c>
    </row>
    <row r="2798">
      <c r="A2798" s="12" t="inlineStr">
        <is>
          <t>RET-0214</t>
        </is>
      </c>
      <c r="B2798" s="12" t="inlineStr">
        <is>
          <t>VS09</t>
        </is>
      </c>
      <c r="C2798" s="28" t="n">
        <v>0.016</v>
      </c>
      <c r="D2798" s="12" t="inlineStr">
        <is>
          <t>PO-2022-2636</t>
        </is>
      </c>
      <c r="E2798" s="12" t="n">
        <v>3.96</v>
      </c>
      <c r="F2798" s="17" t="n">
        <v>61385.28</v>
      </c>
      <c r="G2798" s="14">
        <f>E2798*F2798</f>
        <v/>
      </c>
      <c r="H2798" s="14">
        <f>C2798*G2798</f>
        <v/>
      </c>
    </row>
    <row r="2799">
      <c r="A2799" s="12" t="inlineStr">
        <is>
          <t>RET-0214</t>
        </is>
      </c>
      <c r="B2799" s="12" t="inlineStr">
        <is>
          <t>VS10</t>
        </is>
      </c>
      <c r="C2799" s="28" t="n">
        <v>0.0251</v>
      </c>
      <c r="D2799" s="12" t="inlineStr">
        <is>
          <t>PO-2023-3313</t>
        </is>
      </c>
      <c r="E2799" s="12" t="n">
        <v>3.96</v>
      </c>
      <c r="F2799" s="17" t="n">
        <v>92040.08</v>
      </c>
      <c r="G2799" s="14">
        <f>E2799*F2799</f>
        <v/>
      </c>
      <c r="H2799" s="14">
        <f>C2799*G2799</f>
        <v/>
      </c>
    </row>
    <row r="2800">
      <c r="A2800" s="12" t="inlineStr">
        <is>
          <t>RET-0214</t>
        </is>
      </c>
      <c r="B2800" s="12" t="inlineStr">
        <is>
          <t>VS11</t>
        </is>
      </c>
      <c r="C2800" s="28" t="n">
        <v>0.0294</v>
      </c>
      <c r="D2800" s="12" t="inlineStr">
        <is>
          <t>PO-2023-4627</t>
        </is>
      </c>
      <c r="E2800" s="12" t="n">
        <v>3.96</v>
      </c>
      <c r="F2800" s="17" t="n">
        <v>81063.81</v>
      </c>
      <c r="G2800" s="14">
        <f>E2800*F2800</f>
        <v/>
      </c>
      <c r="H2800" s="14">
        <f>C2800*G2800</f>
        <v/>
      </c>
    </row>
    <row r="2801">
      <c r="A2801" s="12" t="inlineStr">
        <is>
          <t>RET-0214</t>
        </is>
      </c>
      <c r="B2801" s="12" t="inlineStr">
        <is>
          <t>VS12</t>
        </is>
      </c>
      <c r="C2801" s="28" t="n">
        <v>0.1806</v>
      </c>
      <c r="D2801" s="12" t="inlineStr">
        <is>
          <t>PO-2023-4276</t>
        </is>
      </c>
      <c r="E2801" s="12" t="n">
        <v>3.96</v>
      </c>
      <c r="F2801" s="17" t="n">
        <v>101567.96</v>
      </c>
      <c r="G2801" s="14">
        <f>E2801*F2801</f>
        <v/>
      </c>
      <c r="H2801" s="14">
        <f>C2801*G2801</f>
        <v/>
      </c>
    </row>
    <row r="2802">
      <c r="A2802" s="12" t="inlineStr">
        <is>
          <t>RET-0214</t>
        </is>
      </c>
      <c r="B2802" s="12" t="inlineStr">
        <is>
          <t>VS13</t>
        </is>
      </c>
      <c r="C2802" s="28" t="n">
        <v>0.0203</v>
      </c>
      <c r="D2802" s="12" t="inlineStr">
        <is>
          <t>PO-2021-0727</t>
        </is>
      </c>
      <c r="E2802" s="12" t="n">
        <v>3.96</v>
      </c>
      <c r="F2802" s="17" t="n">
        <v>110455.69</v>
      </c>
      <c r="G2802" s="14">
        <f>E2802*F2802</f>
        <v/>
      </c>
      <c r="H2802" s="14">
        <f>C2802*G2802</f>
        <v/>
      </c>
    </row>
    <row r="2803">
      <c r="A2803" s="12" t="inlineStr">
        <is>
          <t>RET-0214</t>
        </is>
      </c>
      <c r="B2803" s="12" t="inlineStr">
        <is>
          <t>VS14</t>
        </is>
      </c>
      <c r="C2803" s="28" t="n">
        <v>0.0205</v>
      </c>
      <c r="D2803" s="12" t="inlineStr">
        <is>
          <t>PO-2022-2281</t>
        </is>
      </c>
      <c r="E2803" s="12" t="n">
        <v>3.96</v>
      </c>
      <c r="F2803" s="17" t="n">
        <v>59322.38</v>
      </c>
      <c r="G2803" s="14">
        <f>E2803*F2803</f>
        <v/>
      </c>
      <c r="H2803" s="14">
        <f>C2803*G2803</f>
        <v/>
      </c>
    </row>
    <row r="2804">
      <c r="A2804" s="12" t="inlineStr">
        <is>
          <t>RET-0214</t>
        </is>
      </c>
      <c r="B2804" s="12" t="inlineStr">
        <is>
          <t>VS15</t>
        </is>
      </c>
      <c r="C2804" s="28" t="n">
        <v>0.0068</v>
      </c>
      <c r="D2804" s="12" t="inlineStr">
        <is>
          <t>PO-2023-4554</t>
        </is>
      </c>
      <c r="E2804" s="12" t="n">
        <v>3.96</v>
      </c>
      <c r="F2804" s="17" t="n">
        <v>80447.99000000001</v>
      </c>
      <c r="G2804" s="14">
        <f>E2804*F2804</f>
        <v/>
      </c>
      <c r="H2804" s="14">
        <f>C2804*G2804</f>
        <v/>
      </c>
    </row>
    <row r="2805">
      <c r="A2805" s="12" t="inlineStr">
        <is>
          <t>RET-0214</t>
        </is>
      </c>
      <c r="B2805" s="12" t="inlineStr">
        <is>
          <t>VS16</t>
        </is>
      </c>
      <c r="C2805" s="28" t="n">
        <v>0.0295</v>
      </c>
      <c r="D2805" s="12" t="inlineStr">
        <is>
          <t>PO-2022-3178</t>
        </is>
      </c>
      <c r="E2805" s="12" t="n">
        <v>3.96</v>
      </c>
      <c r="F2805" s="17" t="n">
        <v>116192.64</v>
      </c>
      <c r="G2805" s="14">
        <f>E2805*F2805</f>
        <v/>
      </c>
      <c r="H2805" s="14">
        <f>C2805*G2805</f>
        <v/>
      </c>
    </row>
    <row r="2806">
      <c r="A2806" s="12" t="inlineStr">
        <is>
          <t>RET-0214</t>
        </is>
      </c>
      <c r="B2806" s="12" t="inlineStr">
        <is>
          <t>VS17</t>
        </is>
      </c>
      <c r="C2806" s="28" t="n">
        <v>0.0294</v>
      </c>
      <c r="D2806" s="12" t="inlineStr">
        <is>
          <t>PO-2021-0724</t>
        </is>
      </c>
      <c r="E2806" s="12" t="n">
        <v>3.96</v>
      </c>
      <c r="F2806" s="17" t="n">
        <v>74919.8</v>
      </c>
      <c r="G2806" s="14">
        <f>E2806*F2806</f>
        <v/>
      </c>
      <c r="H2806" s="14">
        <f>C2806*G2806</f>
        <v/>
      </c>
    </row>
    <row r="2807">
      <c r="A2807" s="12" t="inlineStr">
        <is>
          <t>RET-0214</t>
        </is>
      </c>
      <c r="B2807" s="12" t="inlineStr">
        <is>
          <t>VS18</t>
        </is>
      </c>
      <c r="C2807" s="28" t="n">
        <v>0.0205</v>
      </c>
      <c r="D2807" s="12" t="inlineStr">
        <is>
          <t>PO-2022-2527</t>
        </is>
      </c>
      <c r="E2807" s="12" t="n">
        <v>3.96</v>
      </c>
      <c r="F2807" s="17" t="n">
        <v>46666.89</v>
      </c>
      <c r="G2807" s="14">
        <f>E2807*F2807</f>
        <v/>
      </c>
      <c r="H2807" s="14">
        <f>C2807*G2807</f>
        <v/>
      </c>
    </row>
    <row r="2808">
      <c r="A2808" s="12" t="inlineStr">
        <is>
          <t>RET-0214</t>
        </is>
      </c>
      <c r="B2808" s="12" t="inlineStr">
        <is>
          <t>VS19</t>
        </is>
      </c>
      <c r="C2808" s="28" t="n">
        <v>0.1363</v>
      </c>
      <c r="D2808" s="12" t="inlineStr">
        <is>
          <t>PO-2022-2205</t>
        </is>
      </c>
      <c r="E2808" s="12" t="n">
        <v>3.96</v>
      </c>
      <c r="F2808" s="17" t="n">
        <v>113687.44</v>
      </c>
      <c r="G2808" s="14">
        <f>E2808*F2808</f>
        <v/>
      </c>
      <c r="H2808" s="14">
        <f>C2808*G2808</f>
        <v/>
      </c>
    </row>
    <row r="2809">
      <c r="A2809" s="12" t="inlineStr">
        <is>
          <t>RET-0214</t>
        </is>
      </c>
      <c r="B2809" s="12" t="inlineStr">
        <is>
          <t>VS20</t>
        </is>
      </c>
      <c r="C2809" s="28" t="n">
        <v>0.0114</v>
      </c>
      <c r="D2809" s="12" t="inlineStr">
        <is>
          <t>PO-2021-0807</t>
        </is>
      </c>
      <c r="E2809" s="12" t="n">
        <v>3.96</v>
      </c>
      <c r="F2809" s="17" t="n">
        <v>68617.85000000001</v>
      </c>
      <c r="G2809" s="14">
        <f>E2809*F2809</f>
        <v/>
      </c>
      <c r="H2809" s="14">
        <f>C2809*G2809</f>
        <v/>
      </c>
    </row>
    <row r="2810">
      <c r="A2810" s="12" t="inlineStr">
        <is>
          <t>RET-0214</t>
        </is>
      </c>
      <c r="B2810" s="12" t="inlineStr">
        <is>
          <t>VS21</t>
        </is>
      </c>
      <c r="C2810" s="28" t="n">
        <v>0.0114</v>
      </c>
      <c r="D2810" s="12" t="inlineStr">
        <is>
          <t>PO-2022-2550</t>
        </is>
      </c>
      <c r="E2810" s="12" t="n">
        <v>3.96</v>
      </c>
      <c r="F2810" s="17" t="n">
        <v>77650.11</v>
      </c>
      <c r="G2810" s="14">
        <f>E2810*F2810</f>
        <v/>
      </c>
      <c r="H2810" s="14">
        <f>C2810*G2810</f>
        <v/>
      </c>
    </row>
    <row r="2811">
      <c r="A2811" s="12" t="inlineStr">
        <is>
          <t>RET-0214</t>
        </is>
      </c>
      <c r="B2811" s="12" t="inlineStr">
        <is>
          <t>VS22</t>
        </is>
      </c>
      <c r="C2811" s="28" t="n">
        <v>0.0068</v>
      </c>
      <c r="D2811" s="12" t="inlineStr">
        <is>
          <t>PO-2023-3618</t>
        </is>
      </c>
      <c r="E2811" s="12" t="n">
        <v>2.97</v>
      </c>
      <c r="F2811" s="17" t="n">
        <v>110873</v>
      </c>
      <c r="G2811" s="14">
        <f>E2811*F2811</f>
        <v/>
      </c>
      <c r="H2811" s="14">
        <f>C2811*G2811</f>
        <v/>
      </c>
    </row>
    <row r="2812">
      <c r="A2812" s="12" t="inlineStr">
        <is>
          <t>RET-0214</t>
        </is>
      </c>
      <c r="B2812" s="12" t="inlineStr">
        <is>
          <t>VS23</t>
        </is>
      </c>
      <c r="C2812" s="28" t="n">
        <v>0.0112</v>
      </c>
      <c r="D2812" s="12" t="inlineStr">
        <is>
          <t>PO-2021-0958</t>
        </is>
      </c>
      <c r="E2812" s="12" t="n">
        <v>3.96</v>
      </c>
      <c r="F2812" s="17" t="n">
        <v>63892.21</v>
      </c>
      <c r="G2812" s="14">
        <f>E2812*F2812</f>
        <v/>
      </c>
      <c r="H2812" s="14">
        <f>C2812*G2812</f>
        <v/>
      </c>
    </row>
    <row r="2813">
      <c r="A2813" s="12" t="inlineStr">
        <is>
          <t>RET-0214</t>
        </is>
      </c>
      <c r="B2813" s="12" t="inlineStr">
        <is>
          <t>VS24</t>
        </is>
      </c>
      <c r="C2813" s="28" t="n">
        <v>0.0114</v>
      </c>
      <c r="D2813" s="12" t="inlineStr">
        <is>
          <t>PO-2021-1550</t>
        </is>
      </c>
      <c r="E2813" s="12" t="n">
        <v>3.96</v>
      </c>
      <c r="F2813" s="17" t="n">
        <v>60752.5</v>
      </c>
      <c r="G2813" s="14">
        <f>E2813*F2813</f>
        <v/>
      </c>
      <c r="H2813" s="14">
        <f>C2813*G2813</f>
        <v/>
      </c>
    </row>
    <row r="2814">
      <c r="A2814" s="12" t="inlineStr">
        <is>
          <t>RET-0214</t>
        </is>
      </c>
      <c r="B2814" s="12" t="inlineStr">
        <is>
          <t>VS25</t>
        </is>
      </c>
      <c r="C2814" s="28" t="n">
        <v>0.0206</v>
      </c>
      <c r="D2814" s="12" t="inlineStr">
        <is>
          <t>PO-2021-1264</t>
        </is>
      </c>
      <c r="E2814" s="12" t="n">
        <v>3.96</v>
      </c>
      <c r="F2814" s="17" t="n">
        <v>70424.84</v>
      </c>
      <c r="G2814" s="14">
        <f>E2814*F2814</f>
        <v/>
      </c>
      <c r="H2814" s="14">
        <f>C2814*G2814</f>
        <v/>
      </c>
    </row>
    <row r="2815">
      <c r="A2815" s="12" t="inlineStr">
        <is>
          <t>RET-0214</t>
        </is>
      </c>
      <c r="B2815" s="12" t="inlineStr">
        <is>
          <t>VS26</t>
        </is>
      </c>
      <c r="C2815" s="28" t="n">
        <v>0.0115</v>
      </c>
      <c r="D2815" s="12" t="inlineStr">
        <is>
          <t>PO-2021-0764</t>
        </is>
      </c>
      <c r="E2815" s="12" t="n">
        <v>3.96</v>
      </c>
      <c r="F2815" s="17" t="n">
        <v>100283.84</v>
      </c>
      <c r="G2815" s="14">
        <f>E2815*F2815</f>
        <v/>
      </c>
      <c r="H2815" s="14">
        <f>C2815*G2815</f>
        <v/>
      </c>
    </row>
    <row r="2816">
      <c r="A2816" s="12" t="inlineStr">
        <is>
          <t>RET-0214</t>
        </is>
      </c>
      <c r="B2816" s="12" t="inlineStr">
        <is>
          <t>VS27</t>
        </is>
      </c>
      <c r="C2816" s="28" t="n">
        <v>0.0112</v>
      </c>
      <c r="D2816" s="12" t="inlineStr">
        <is>
          <t>PO-2021-1233</t>
        </is>
      </c>
      <c r="E2816" s="12" t="n">
        <v>3.96</v>
      </c>
      <c r="F2816" s="17" t="n">
        <v>77161.71000000001</v>
      </c>
      <c r="G2816" s="14">
        <f>E2816*F2816</f>
        <v/>
      </c>
      <c r="H2816" s="14">
        <f>C2816*G2816</f>
        <v/>
      </c>
    </row>
    <row r="2817">
      <c r="A2817" s="12" t="inlineStr">
        <is>
          <t>RET-0214</t>
        </is>
      </c>
      <c r="B2817" s="12" t="inlineStr">
        <is>
          <t>VS28</t>
        </is>
      </c>
      <c r="C2817" s="28" t="n">
        <v>0.0251</v>
      </c>
      <c r="D2817" s="12" t="inlineStr">
        <is>
          <t>PO-2021-0698</t>
        </is>
      </c>
      <c r="E2817" s="12" t="n">
        <v>3.96</v>
      </c>
      <c r="F2817" s="17" t="n">
        <v>81159.25999999999</v>
      </c>
      <c r="G2817" s="14">
        <f>E2817*F2817</f>
        <v/>
      </c>
      <c r="H2817" s="14">
        <f>C2817*G2817</f>
        <v/>
      </c>
    </row>
    <row r="2818">
      <c r="A2818" s="12" t="inlineStr">
        <is>
          <t>RET-0214</t>
        </is>
      </c>
      <c r="B2818" s="12" t="inlineStr">
        <is>
          <t>VS29</t>
        </is>
      </c>
      <c r="C2818" s="28" t="n">
        <v>0.0159</v>
      </c>
      <c r="D2818" s="12" t="inlineStr">
        <is>
          <t>PO-2022-2883</t>
        </is>
      </c>
      <c r="E2818" s="12" t="n">
        <v>3.96</v>
      </c>
      <c r="F2818" s="17" t="n">
        <v>91723.05</v>
      </c>
      <c r="G2818" s="14">
        <f>E2818*F2818</f>
        <v/>
      </c>
      <c r="H2818" s="14">
        <f>C2818*G2818</f>
        <v/>
      </c>
    </row>
    <row r="2819">
      <c r="A2819" s="12" t="inlineStr">
        <is>
          <t>RET-0214</t>
        </is>
      </c>
      <c r="B2819" s="12" t="inlineStr">
        <is>
          <t>VS30</t>
        </is>
      </c>
      <c r="C2819" s="28" t="n">
        <v>0.0069</v>
      </c>
      <c r="D2819" s="12" t="inlineStr">
        <is>
          <t>PO-2023-4734</t>
        </is>
      </c>
      <c r="E2819" s="12" t="n">
        <v>3.96</v>
      </c>
      <c r="F2819" s="17" t="n">
        <v>91092.12</v>
      </c>
      <c r="G2819" s="14">
        <f>E2819*F2819</f>
        <v/>
      </c>
      <c r="H2819" s="14">
        <f>C2819*G2819</f>
        <v/>
      </c>
    </row>
    <row r="2820">
      <c r="A2820" s="12" t="inlineStr">
        <is>
          <t>RET-0214</t>
        </is>
      </c>
      <c r="B2820" s="12" t="inlineStr">
        <is>
          <t>VS31</t>
        </is>
      </c>
      <c r="C2820" s="28" t="n">
        <v>0.025</v>
      </c>
      <c r="D2820" s="12" t="inlineStr">
        <is>
          <t>PO-2023-3349</t>
        </is>
      </c>
      <c r="E2820" s="12" t="n">
        <v>3.96</v>
      </c>
      <c r="F2820" s="17" t="n">
        <v>84058.57000000001</v>
      </c>
      <c r="G2820" s="14">
        <f>E2820*F2820</f>
        <v/>
      </c>
      <c r="H2820" s="14">
        <f>C2820*G2820</f>
        <v/>
      </c>
    </row>
    <row r="2821">
      <c r="A2821" s="12" t="inlineStr">
        <is>
          <t>RET-0214</t>
        </is>
      </c>
      <c r="B2821" s="12" t="inlineStr">
        <is>
          <t>VS32</t>
        </is>
      </c>
      <c r="C2821" s="28" t="n">
        <v>0.0297</v>
      </c>
      <c r="D2821" s="12" t="inlineStr">
        <is>
          <t>PO-2021-0867</t>
        </is>
      </c>
      <c r="E2821" s="12" t="n">
        <v>3.96</v>
      </c>
      <c r="F2821" s="17" t="n">
        <v>94460.3</v>
      </c>
      <c r="G2821" s="14">
        <f>E2821*F2821</f>
        <v/>
      </c>
      <c r="H2821" s="14">
        <f>C2821*G2821</f>
        <v/>
      </c>
    </row>
    <row r="2822">
      <c r="A2822" s="12" t="inlineStr">
        <is>
          <t>RET-0214</t>
        </is>
      </c>
      <c r="B2822" s="12" t="inlineStr">
        <is>
          <t>VS33</t>
        </is>
      </c>
      <c r="C2822" s="28" t="n">
        <v>0.0159</v>
      </c>
      <c r="D2822" s="12" t="inlineStr">
        <is>
          <t>PO-2021-0222</t>
        </is>
      </c>
      <c r="E2822" s="12" t="n">
        <v>3.96</v>
      </c>
      <c r="F2822" s="17" t="n">
        <v>66845.39999999999</v>
      </c>
      <c r="G2822" s="14">
        <f>E2822*F2822</f>
        <v/>
      </c>
      <c r="H2822" s="14">
        <f>C2822*G2822</f>
        <v/>
      </c>
    </row>
    <row r="2823">
      <c r="A2823" s="12" t="inlineStr">
        <is>
          <t>RET-0214</t>
        </is>
      </c>
      <c r="B2823" s="12" t="inlineStr">
        <is>
          <t>VS34</t>
        </is>
      </c>
      <c r="C2823" s="28" t="n">
        <v>0.0205</v>
      </c>
      <c r="D2823" s="12" t="inlineStr">
        <is>
          <t>PO-2022-2071</t>
        </is>
      </c>
      <c r="E2823" s="12" t="n">
        <v>3.96</v>
      </c>
      <c r="F2823" s="17" t="n">
        <v>72267.02</v>
      </c>
      <c r="G2823" s="14">
        <f>E2823*F2823</f>
        <v/>
      </c>
      <c r="H2823" s="14">
        <f>C2823*G2823</f>
        <v/>
      </c>
    </row>
    <row r="2824">
      <c r="A2824" s="12" t="inlineStr">
        <is>
          <t>RET-0217</t>
        </is>
      </c>
      <c r="B2824" s="12" t="inlineStr">
        <is>
          <t>VS01</t>
        </is>
      </c>
      <c r="C2824" s="28" t="n">
        <v>0.0164</v>
      </c>
      <c r="D2824" s="12" t="inlineStr">
        <is>
          <t>PO-2022-1991</t>
        </is>
      </c>
      <c r="E2824" s="12" t="n">
        <v>4.07</v>
      </c>
      <c r="F2824" s="17" t="n">
        <v>57905.13</v>
      </c>
      <c r="G2824" s="14">
        <f>E2824*F2824</f>
        <v/>
      </c>
      <c r="H2824" s="14">
        <f>C2824*G2824</f>
        <v/>
      </c>
    </row>
    <row r="2825">
      <c r="A2825" s="12" t="inlineStr">
        <is>
          <t>RET-0217</t>
        </is>
      </c>
      <c r="B2825" s="12" t="inlineStr">
        <is>
          <t>VS02</t>
        </is>
      </c>
      <c r="C2825" s="28" t="n">
        <v>0.0075</v>
      </c>
      <c r="D2825" s="12" t="inlineStr">
        <is>
          <t>PO-2022-2034</t>
        </is>
      </c>
      <c r="E2825" s="12" t="n">
        <v>4.07</v>
      </c>
      <c r="F2825" s="17" t="n">
        <v>57505.07</v>
      </c>
      <c r="G2825" s="14">
        <f>E2825*F2825</f>
        <v/>
      </c>
      <c r="H2825" s="14">
        <f>C2825*G2825</f>
        <v/>
      </c>
    </row>
    <row r="2826">
      <c r="A2826" s="12" t="inlineStr">
        <is>
          <t>RET-0217</t>
        </is>
      </c>
      <c r="B2826" s="12" t="inlineStr">
        <is>
          <t>VS03</t>
        </is>
      </c>
      <c r="C2826" s="28" t="n">
        <v>0.1859</v>
      </c>
      <c r="D2826" s="12" t="inlineStr">
        <is>
          <t>PO-2021-0240</t>
        </is>
      </c>
      <c r="E2826" s="12" t="n">
        <v>3.095</v>
      </c>
      <c r="F2826" s="17" t="n">
        <v>107524.2</v>
      </c>
      <c r="G2826" s="14">
        <f>E2826*F2826</f>
        <v/>
      </c>
      <c r="H2826" s="14">
        <f>C2826*G2826</f>
        <v/>
      </c>
    </row>
    <row r="2827">
      <c r="A2827" s="12" t="inlineStr">
        <is>
          <t>RET-0217</t>
        </is>
      </c>
      <c r="B2827" s="12" t="inlineStr">
        <is>
          <t>VS04</t>
        </is>
      </c>
      <c r="C2827" s="28" t="n">
        <v>0.0103</v>
      </c>
      <c r="D2827" s="12" t="inlineStr">
        <is>
          <t>PO-2023-4049</t>
        </is>
      </c>
      <c r="E2827" s="12" t="n">
        <v>4.07</v>
      </c>
      <c r="F2827" s="17" t="n">
        <v>118014.2</v>
      </c>
      <c r="G2827" s="14">
        <f>E2827*F2827</f>
        <v/>
      </c>
      <c r="H2827" s="14">
        <f>C2827*G2827</f>
        <v/>
      </c>
    </row>
    <row r="2828">
      <c r="A2828" s="12" t="inlineStr">
        <is>
          <t>RET-0217</t>
        </is>
      </c>
      <c r="B2828" s="12" t="inlineStr">
        <is>
          <t>VS05</t>
        </is>
      </c>
      <c r="C2828" s="28" t="n">
        <v>0.0134</v>
      </c>
      <c r="D2828" s="12" t="inlineStr">
        <is>
          <t>PO-2023-3450</t>
        </is>
      </c>
      <c r="E2828" s="12" t="n">
        <v>4.07</v>
      </c>
      <c r="F2828" s="17" t="n">
        <v>85533.59</v>
      </c>
      <c r="G2828" s="14">
        <f>E2828*F2828</f>
        <v/>
      </c>
      <c r="H2828" s="14">
        <f>C2828*G2828</f>
        <v/>
      </c>
    </row>
    <row r="2829">
      <c r="A2829" s="12" t="inlineStr">
        <is>
          <t>RET-0217</t>
        </is>
      </c>
      <c r="B2829" s="12" t="inlineStr">
        <is>
          <t>VS06</t>
        </is>
      </c>
      <c r="C2829" s="28" t="n">
        <v>0.0135</v>
      </c>
      <c r="D2829" s="12" t="inlineStr">
        <is>
          <t>PO-2022-2588</t>
        </is>
      </c>
      <c r="E2829" s="12" t="n">
        <v>4.07</v>
      </c>
      <c r="F2829" s="17" t="n">
        <v>89598.64</v>
      </c>
      <c r="G2829" s="14">
        <f>E2829*F2829</f>
        <v/>
      </c>
      <c r="H2829" s="14">
        <f>C2829*G2829</f>
        <v/>
      </c>
    </row>
    <row r="2830">
      <c r="A2830" s="12" t="inlineStr">
        <is>
          <t>RET-0217</t>
        </is>
      </c>
      <c r="B2830" s="12" t="inlineStr">
        <is>
          <t>VS07</t>
        </is>
      </c>
      <c r="C2830" s="28" t="n">
        <v>0.0045</v>
      </c>
      <c r="D2830" s="12" t="inlineStr">
        <is>
          <t>PO-2022-1865</t>
        </is>
      </c>
      <c r="E2830" s="12" t="n">
        <v>4.07</v>
      </c>
      <c r="F2830" s="17" t="n">
        <v>107539.39</v>
      </c>
      <c r="G2830" s="14">
        <f>E2830*F2830</f>
        <v/>
      </c>
      <c r="H2830" s="14">
        <f>C2830*G2830</f>
        <v/>
      </c>
    </row>
    <row r="2831">
      <c r="A2831" s="12" t="inlineStr">
        <is>
          <t>RET-0217</t>
        </is>
      </c>
      <c r="B2831" s="12" t="inlineStr">
        <is>
          <t>VS08</t>
        </is>
      </c>
      <c r="C2831" s="28" t="n">
        <v>0.0136</v>
      </c>
      <c r="D2831" s="12" t="inlineStr">
        <is>
          <t>PO-2022-2172</t>
        </is>
      </c>
      <c r="E2831" s="12" t="n">
        <v>4.07</v>
      </c>
      <c r="F2831" s="17" t="n">
        <v>55680.63</v>
      </c>
      <c r="G2831" s="14">
        <f>E2831*F2831</f>
        <v/>
      </c>
      <c r="H2831" s="14">
        <f>C2831*G2831</f>
        <v/>
      </c>
    </row>
    <row r="2832">
      <c r="A2832" s="12" t="inlineStr">
        <is>
          <t>RET-0217</t>
        </is>
      </c>
      <c r="B2832" s="12" t="inlineStr">
        <is>
          <t>VS09</t>
        </is>
      </c>
      <c r="C2832" s="28" t="n">
        <v>0.0104</v>
      </c>
      <c r="D2832" s="12" t="inlineStr">
        <is>
          <t>PO-2021-1359</t>
        </is>
      </c>
      <c r="E2832" s="12" t="n">
        <v>4.07</v>
      </c>
      <c r="F2832" s="17" t="n">
        <v>100335.38</v>
      </c>
      <c r="G2832" s="14">
        <f>E2832*F2832</f>
        <v/>
      </c>
      <c r="H2832" s="14">
        <f>C2832*G2832</f>
        <v/>
      </c>
    </row>
    <row r="2833">
      <c r="A2833" s="12" t="inlineStr">
        <is>
          <t>RET-0217</t>
        </is>
      </c>
      <c r="B2833" s="12" t="inlineStr">
        <is>
          <t>VS10</t>
        </is>
      </c>
      <c r="C2833" s="28" t="n">
        <v>0.0164</v>
      </c>
      <c r="D2833" s="12" t="inlineStr">
        <is>
          <t>PO-2023-3616</t>
        </is>
      </c>
      <c r="E2833" s="12" t="n">
        <v>4.07</v>
      </c>
      <c r="F2833" s="17" t="n">
        <v>95763.46000000001</v>
      </c>
      <c r="G2833" s="14">
        <f>E2833*F2833</f>
        <v/>
      </c>
      <c r="H2833" s="14">
        <f>C2833*G2833</f>
        <v/>
      </c>
    </row>
    <row r="2834">
      <c r="A2834" s="12" t="inlineStr">
        <is>
          <t>RET-0217</t>
        </is>
      </c>
      <c r="B2834" s="12" t="inlineStr">
        <is>
          <t>VS11</t>
        </is>
      </c>
      <c r="C2834" s="28" t="n">
        <v>0.0192</v>
      </c>
      <c r="D2834" s="12" t="inlineStr">
        <is>
          <t>PO-2021-1529</t>
        </is>
      </c>
      <c r="E2834" s="12" t="n">
        <v>4.07</v>
      </c>
      <c r="F2834" s="17" t="n">
        <v>77547.00999999999</v>
      </c>
      <c r="G2834" s="14">
        <f>E2834*F2834</f>
        <v/>
      </c>
      <c r="H2834" s="14">
        <f>C2834*G2834</f>
        <v/>
      </c>
    </row>
    <row r="2835">
      <c r="A2835" s="12" t="inlineStr">
        <is>
          <t>RET-0217</t>
        </is>
      </c>
      <c r="B2835" s="12" t="inlineStr">
        <is>
          <t>VS12</t>
        </is>
      </c>
      <c r="C2835" s="28" t="n">
        <v>0.2584</v>
      </c>
      <c r="D2835" s="12" t="inlineStr">
        <is>
          <t>PO-2022-1936</t>
        </is>
      </c>
      <c r="E2835" s="12" t="n">
        <v>4.07</v>
      </c>
      <c r="F2835" s="17" t="n">
        <v>124278.2</v>
      </c>
      <c r="G2835" s="14">
        <f>E2835*F2835</f>
        <v/>
      </c>
      <c r="H2835" s="14">
        <f>C2835*G2835</f>
        <v/>
      </c>
    </row>
    <row r="2836">
      <c r="A2836" s="12" t="inlineStr">
        <is>
          <t>RET-0217</t>
        </is>
      </c>
      <c r="B2836" s="12" t="inlineStr">
        <is>
          <t>VS13</t>
        </is>
      </c>
      <c r="C2836" s="28" t="n">
        <v>0.0132</v>
      </c>
      <c r="D2836" s="12" t="inlineStr">
        <is>
          <t>PO-2022-3108</t>
        </is>
      </c>
      <c r="E2836" s="12" t="n">
        <v>4.07</v>
      </c>
      <c r="F2836" s="17" t="n">
        <v>86305.84</v>
      </c>
      <c r="G2836" s="14">
        <f>E2836*F2836</f>
        <v/>
      </c>
      <c r="H2836" s="14">
        <f>C2836*G2836</f>
        <v/>
      </c>
    </row>
    <row r="2837">
      <c r="A2837" s="12" t="inlineStr">
        <is>
          <t>RET-0217</t>
        </is>
      </c>
      <c r="B2837" s="12" t="inlineStr">
        <is>
          <t>VS14</t>
        </is>
      </c>
      <c r="C2837" s="28" t="n">
        <v>0.0133</v>
      </c>
      <c r="D2837" s="12" t="inlineStr">
        <is>
          <t>PO-2022-1723</t>
        </is>
      </c>
      <c r="E2837" s="12" t="n">
        <v>4.07</v>
      </c>
      <c r="F2837" s="17" t="n">
        <v>77313.63</v>
      </c>
      <c r="G2837" s="14">
        <f>E2837*F2837</f>
        <v/>
      </c>
      <c r="H2837" s="14">
        <f>C2837*G2837</f>
        <v/>
      </c>
    </row>
    <row r="2838">
      <c r="A2838" s="12" t="inlineStr">
        <is>
          <t>RET-0217</t>
        </is>
      </c>
      <c r="B2838" s="12" t="inlineStr">
        <is>
          <t>VS15</t>
        </is>
      </c>
      <c r="C2838" s="28" t="n">
        <v>0.0045</v>
      </c>
      <c r="D2838" s="12" t="inlineStr">
        <is>
          <t>PO-2021-0732</t>
        </is>
      </c>
      <c r="E2838" s="12" t="n">
        <v>3.592</v>
      </c>
      <c r="F2838" s="17" t="n">
        <v>104945.24</v>
      </c>
      <c r="G2838" s="14">
        <f>E2838*F2838</f>
        <v/>
      </c>
      <c r="H2838" s="14">
        <f>C2838*G2838</f>
        <v/>
      </c>
    </row>
    <row r="2839">
      <c r="A2839" s="12" t="inlineStr">
        <is>
          <t>RET-0217</t>
        </is>
      </c>
      <c r="B2839" s="12" t="inlineStr">
        <is>
          <t>VS16</t>
        </is>
      </c>
      <c r="C2839" s="28" t="n">
        <v>0.0192</v>
      </c>
      <c r="D2839" s="12" t="inlineStr">
        <is>
          <t>PO-2021-1537</t>
        </is>
      </c>
      <c r="E2839" s="12" t="n">
        <v>4.07</v>
      </c>
      <c r="F2839" s="17" t="n">
        <v>59014.52</v>
      </c>
      <c r="G2839" s="14">
        <f>E2839*F2839</f>
        <v/>
      </c>
      <c r="H2839" s="14">
        <f>C2839*G2839</f>
        <v/>
      </c>
    </row>
    <row r="2840">
      <c r="A2840" s="12" t="inlineStr">
        <is>
          <t>RET-0217</t>
        </is>
      </c>
      <c r="B2840" s="12" t="inlineStr">
        <is>
          <t>VS17</t>
        </is>
      </c>
      <c r="C2840" s="28" t="n">
        <v>0.0192</v>
      </c>
      <c r="D2840" s="12" t="inlineStr">
        <is>
          <t>PO-2022-2200</t>
        </is>
      </c>
      <c r="E2840" s="12" t="n">
        <v>4.07</v>
      </c>
      <c r="F2840" s="17" t="n">
        <v>84962.08</v>
      </c>
      <c r="G2840" s="14">
        <f>E2840*F2840</f>
        <v/>
      </c>
      <c r="H2840" s="14">
        <f>C2840*G2840</f>
        <v/>
      </c>
    </row>
    <row r="2841">
      <c r="A2841" s="12" t="inlineStr">
        <is>
          <t>RET-0217</t>
        </is>
      </c>
      <c r="B2841" s="12" t="inlineStr">
        <is>
          <t>VS18</t>
        </is>
      </c>
      <c r="C2841" s="28" t="n">
        <v>0.0133</v>
      </c>
      <c r="D2841" s="12" t="inlineStr">
        <is>
          <t>PO-2022-2519</t>
        </is>
      </c>
      <c r="E2841" s="12" t="n">
        <v>4.07</v>
      </c>
      <c r="F2841" s="17" t="n">
        <v>113624.61</v>
      </c>
      <c r="G2841" s="14">
        <f>E2841*F2841</f>
        <v/>
      </c>
      <c r="H2841" s="14">
        <f>C2841*G2841</f>
        <v/>
      </c>
    </row>
    <row r="2842">
      <c r="A2842" s="12" t="inlineStr">
        <is>
          <t>RET-0217</t>
        </is>
      </c>
      <c r="B2842" s="12" t="inlineStr">
        <is>
          <t>VS19</t>
        </is>
      </c>
      <c r="C2842" s="28" t="n">
        <v>0.1949</v>
      </c>
      <c r="D2842" s="12" t="inlineStr">
        <is>
          <t>PO-2021-1473</t>
        </is>
      </c>
      <c r="E2842" s="12" t="n">
        <v>4.07</v>
      </c>
      <c r="F2842" s="17" t="n">
        <v>109539.96</v>
      </c>
      <c r="G2842" s="14">
        <f>E2842*F2842</f>
        <v/>
      </c>
      <c r="H2842" s="14">
        <f>C2842*G2842</f>
        <v/>
      </c>
    </row>
    <row r="2843">
      <c r="A2843" s="12" t="inlineStr">
        <is>
          <t>RET-0217</t>
        </is>
      </c>
      <c r="B2843" s="12" t="inlineStr">
        <is>
          <t>VS20</t>
        </is>
      </c>
      <c r="C2843" s="28" t="n">
        <v>0.0074</v>
      </c>
      <c r="D2843" s="12" t="inlineStr">
        <is>
          <t>PO-2021-1483</t>
        </is>
      </c>
      <c r="E2843" s="12" t="n">
        <v>4.07</v>
      </c>
      <c r="F2843" s="17" t="n">
        <v>49762.37</v>
      </c>
      <c r="G2843" s="14">
        <f>E2843*F2843</f>
        <v/>
      </c>
      <c r="H2843" s="14">
        <f>C2843*G2843</f>
        <v/>
      </c>
    </row>
    <row r="2844">
      <c r="A2844" s="12" t="inlineStr">
        <is>
          <t>RET-0217</t>
        </is>
      </c>
      <c r="B2844" s="12" t="inlineStr">
        <is>
          <t>VS21</t>
        </is>
      </c>
      <c r="C2844" s="28" t="n">
        <v>0.0074</v>
      </c>
      <c r="D2844" s="12" t="inlineStr">
        <is>
          <t>PO-2021-1184</t>
        </is>
      </c>
      <c r="E2844" s="12" t="n">
        <v>4.07</v>
      </c>
      <c r="F2844" s="17" t="n">
        <v>48651.17</v>
      </c>
      <c r="G2844" s="14">
        <f>E2844*F2844</f>
        <v/>
      </c>
      <c r="H2844" s="14">
        <f>C2844*G2844</f>
        <v/>
      </c>
    </row>
    <row r="2845">
      <c r="A2845" s="12" t="inlineStr">
        <is>
          <t>RET-0217</t>
        </is>
      </c>
      <c r="B2845" s="12" t="inlineStr">
        <is>
          <t>VS22</t>
        </is>
      </c>
      <c r="C2845" s="28" t="n">
        <v>0.0044</v>
      </c>
      <c r="D2845" s="12" t="inlineStr">
        <is>
          <t>PO-2022-2461</t>
        </is>
      </c>
      <c r="E2845" s="12" t="n">
        <v>4.07</v>
      </c>
      <c r="F2845" s="17" t="n">
        <v>50403.77</v>
      </c>
      <c r="G2845" s="14">
        <f>E2845*F2845</f>
        <v/>
      </c>
      <c r="H2845" s="14">
        <f>C2845*G2845</f>
        <v/>
      </c>
    </row>
    <row r="2846">
      <c r="A2846" s="12" t="inlineStr">
        <is>
          <t>RET-0217</t>
        </is>
      </c>
      <c r="B2846" s="12" t="inlineStr">
        <is>
          <t>VS23</t>
        </is>
      </c>
      <c r="C2846" s="28" t="n">
        <v>0.0073</v>
      </c>
      <c r="D2846" s="12" t="inlineStr">
        <is>
          <t>PO-2022-1867</t>
        </is>
      </c>
      <c r="E2846" s="12" t="n">
        <v>4.07</v>
      </c>
      <c r="F2846" s="17" t="n">
        <v>86770.56</v>
      </c>
      <c r="G2846" s="14">
        <f>E2846*F2846</f>
        <v/>
      </c>
      <c r="H2846" s="14">
        <f>C2846*G2846</f>
        <v/>
      </c>
    </row>
    <row r="2847">
      <c r="A2847" s="12" t="inlineStr">
        <is>
          <t>RET-0217</t>
        </is>
      </c>
      <c r="B2847" s="12" t="inlineStr">
        <is>
          <t>VS24</t>
        </is>
      </c>
      <c r="C2847" s="28" t="n">
        <v>0.0074</v>
      </c>
      <c r="D2847" s="12" t="inlineStr">
        <is>
          <t>PO-2022-1693</t>
        </is>
      </c>
      <c r="E2847" s="12" t="n">
        <v>4.07</v>
      </c>
      <c r="F2847" s="17" t="n">
        <v>54172.77</v>
      </c>
      <c r="G2847" s="14">
        <f>E2847*F2847</f>
        <v/>
      </c>
      <c r="H2847" s="14">
        <f>C2847*G2847</f>
        <v/>
      </c>
    </row>
    <row r="2848">
      <c r="A2848" s="12" t="inlineStr">
        <is>
          <t>RET-0217</t>
        </is>
      </c>
      <c r="B2848" s="12" t="inlineStr">
        <is>
          <t>VS25</t>
        </is>
      </c>
      <c r="C2848" s="28" t="n">
        <v>0.0134</v>
      </c>
      <c r="D2848" s="12" t="inlineStr">
        <is>
          <t>PO-2022-2989</t>
        </is>
      </c>
      <c r="E2848" s="12" t="n">
        <v>4.07</v>
      </c>
      <c r="F2848" s="17" t="n">
        <v>58824.4</v>
      </c>
      <c r="G2848" s="14">
        <f>E2848*F2848</f>
        <v/>
      </c>
      <c r="H2848" s="14">
        <f>C2848*G2848</f>
        <v/>
      </c>
    </row>
    <row r="2849">
      <c r="A2849" s="12" t="inlineStr">
        <is>
          <t>RET-0217</t>
        </is>
      </c>
      <c r="B2849" s="12" t="inlineStr">
        <is>
          <t>VS26</t>
        </is>
      </c>
      <c r="C2849" s="28" t="n">
        <v>0.0075</v>
      </c>
      <c r="D2849" s="12" t="inlineStr">
        <is>
          <t>PO-2023-4373</t>
        </is>
      </c>
      <c r="E2849" s="12" t="n">
        <v>4.07</v>
      </c>
      <c r="F2849" s="17" t="n">
        <v>85701.96000000001</v>
      </c>
      <c r="G2849" s="14">
        <f>E2849*F2849</f>
        <v/>
      </c>
      <c r="H2849" s="14">
        <f>C2849*G2849</f>
        <v/>
      </c>
    </row>
    <row r="2850">
      <c r="A2850" s="12" t="inlineStr">
        <is>
          <t>RET-0217</t>
        </is>
      </c>
      <c r="B2850" s="12" t="inlineStr">
        <is>
          <t>VS27</t>
        </is>
      </c>
      <c r="C2850" s="28" t="n">
        <v>0.0073</v>
      </c>
      <c r="D2850" s="12" t="inlineStr">
        <is>
          <t>PO-2023-3656</t>
        </is>
      </c>
      <c r="E2850" s="12" t="n">
        <v>4.07</v>
      </c>
      <c r="F2850" s="17" t="n">
        <v>54403.53</v>
      </c>
      <c r="G2850" s="14">
        <f>E2850*F2850</f>
        <v/>
      </c>
      <c r="H2850" s="14">
        <f>C2850*G2850</f>
        <v/>
      </c>
    </row>
    <row r="2851">
      <c r="A2851" s="12" t="inlineStr">
        <is>
          <t>RET-0217</t>
        </is>
      </c>
      <c r="B2851" s="12" t="inlineStr">
        <is>
          <t>VS28</t>
        </is>
      </c>
      <c r="C2851" s="28" t="n">
        <v>0.0164</v>
      </c>
      <c r="D2851" s="12" t="inlineStr">
        <is>
          <t>PO-2023-3745</t>
        </is>
      </c>
      <c r="E2851" s="12" t="n">
        <v>4.07</v>
      </c>
      <c r="F2851" s="17" t="n">
        <v>61379.15</v>
      </c>
      <c r="G2851" s="14">
        <f>E2851*F2851</f>
        <v/>
      </c>
      <c r="H2851" s="14">
        <f>C2851*G2851</f>
        <v/>
      </c>
    </row>
    <row r="2852">
      <c r="A2852" s="12" t="inlineStr">
        <is>
          <t>RET-0217</t>
        </is>
      </c>
      <c r="B2852" s="12" t="inlineStr">
        <is>
          <t>VS29</t>
        </is>
      </c>
      <c r="C2852" s="28" t="n">
        <v>0.0104</v>
      </c>
      <c r="D2852" s="12" t="inlineStr">
        <is>
          <t>PO-2021-1263</t>
        </is>
      </c>
      <c r="E2852" s="12" t="n">
        <v>4.07</v>
      </c>
      <c r="F2852" s="17" t="n">
        <v>69391.22</v>
      </c>
      <c r="G2852" s="14">
        <f>E2852*F2852</f>
        <v/>
      </c>
      <c r="H2852" s="14">
        <f>C2852*G2852</f>
        <v/>
      </c>
    </row>
    <row r="2853">
      <c r="A2853" s="12" t="inlineStr">
        <is>
          <t>RET-0217</t>
        </is>
      </c>
      <c r="B2853" s="12" t="inlineStr">
        <is>
          <t>VS30</t>
        </is>
      </c>
      <c r="C2853" s="28" t="n">
        <v>0.0045</v>
      </c>
      <c r="D2853" s="12" t="inlineStr">
        <is>
          <t>PO-2021-1217</t>
        </is>
      </c>
      <c r="E2853" s="12" t="n">
        <v>4.07</v>
      </c>
      <c r="F2853" s="17" t="n">
        <v>99224.63</v>
      </c>
      <c r="G2853" s="14">
        <f>E2853*F2853</f>
        <v/>
      </c>
      <c r="H2853" s="14">
        <f>C2853*G2853</f>
        <v/>
      </c>
    </row>
    <row r="2854">
      <c r="A2854" s="12" t="inlineStr">
        <is>
          <t>RET-0217</t>
        </is>
      </c>
      <c r="B2854" s="12" t="inlineStr">
        <is>
          <t>VS31</t>
        </is>
      </c>
      <c r="C2854" s="28" t="n">
        <v>0.0163</v>
      </c>
      <c r="D2854" s="12" t="inlineStr">
        <is>
          <t>PO-2023-4087</t>
        </is>
      </c>
      <c r="E2854" s="12" t="n">
        <v>4.07</v>
      </c>
      <c r="F2854" s="17" t="n">
        <v>113295.37</v>
      </c>
      <c r="G2854" s="14">
        <f>E2854*F2854</f>
        <v/>
      </c>
      <c r="H2854" s="14">
        <f>C2854*G2854</f>
        <v/>
      </c>
    </row>
    <row r="2855">
      <c r="A2855" s="12" t="inlineStr">
        <is>
          <t>RET-0217</t>
        </is>
      </c>
      <c r="B2855" s="12" t="inlineStr">
        <is>
          <t>VS32</t>
        </is>
      </c>
      <c r="C2855" s="28" t="n">
        <v>0.0194</v>
      </c>
      <c r="D2855" s="12" t="inlineStr">
        <is>
          <t>PO-2021-0421</t>
        </is>
      </c>
      <c r="E2855" s="12" t="n">
        <v>4.07</v>
      </c>
      <c r="F2855" s="17" t="n">
        <v>65153.79</v>
      </c>
      <c r="G2855" s="14">
        <f>E2855*F2855</f>
        <v/>
      </c>
      <c r="H2855" s="14">
        <f>C2855*G2855</f>
        <v/>
      </c>
    </row>
    <row r="2856">
      <c r="A2856" s="12" t="inlineStr">
        <is>
          <t>RET-0217</t>
        </is>
      </c>
      <c r="B2856" s="12" t="inlineStr">
        <is>
          <t>VS33</t>
        </is>
      </c>
      <c r="C2856" s="28" t="n">
        <v>0.0103</v>
      </c>
      <c r="D2856" s="12" t="inlineStr">
        <is>
          <t>PO-2021-0214</t>
        </is>
      </c>
      <c r="E2856" s="12" t="n">
        <v>4.07</v>
      </c>
      <c r="F2856" s="17" t="n">
        <v>51878.52</v>
      </c>
      <c r="G2856" s="14">
        <f>E2856*F2856</f>
        <v/>
      </c>
      <c r="H2856" s="14">
        <f>C2856*G2856</f>
        <v/>
      </c>
    </row>
    <row r="2857">
      <c r="A2857" s="12" t="inlineStr">
        <is>
          <t>RET-0217</t>
        </is>
      </c>
      <c r="B2857" s="12" t="inlineStr">
        <is>
          <t>VS34</t>
        </is>
      </c>
      <c r="C2857" s="28" t="n">
        <v>0.0134</v>
      </c>
      <c r="D2857" s="12" t="inlineStr">
        <is>
          <t>PO-2023-3985</t>
        </is>
      </c>
      <c r="E2857" s="12" t="n">
        <v>4.07</v>
      </c>
      <c r="F2857" s="17" t="n">
        <v>49311.74</v>
      </c>
      <c r="G2857" s="14">
        <f>E2857*F2857</f>
        <v/>
      </c>
      <c r="H2857" s="14">
        <f>C2857*G2857</f>
        <v/>
      </c>
    </row>
    <row r="2858">
      <c r="A2858" s="12" t="inlineStr">
        <is>
          <t>RET-0225</t>
        </is>
      </c>
      <c r="B2858" s="12" t="inlineStr">
        <is>
          <t>VS01</t>
        </is>
      </c>
      <c r="C2858" s="28" t="n">
        <v>0.0318</v>
      </c>
      <c r="D2858" s="12" t="inlineStr">
        <is>
          <t>PO-2021-0983</t>
        </is>
      </c>
      <c r="E2858" s="12" t="n">
        <v>1.44</v>
      </c>
      <c r="F2858" s="17" t="n">
        <v>112849.68</v>
      </c>
      <c r="G2858" s="14">
        <f>E2858*F2858</f>
        <v/>
      </c>
      <c r="H2858" s="14">
        <f>C2858*G2858</f>
        <v/>
      </c>
    </row>
    <row r="2859">
      <c r="A2859" s="12" t="inlineStr">
        <is>
          <t>RET-0225</t>
        </is>
      </c>
      <c r="B2859" s="12" t="inlineStr">
        <is>
          <t>VS02</t>
        </is>
      </c>
      <c r="C2859" s="28" t="n">
        <v>0.0145</v>
      </c>
      <c r="D2859" s="12" t="inlineStr">
        <is>
          <t>PO-2022-2434</t>
        </is>
      </c>
      <c r="E2859" s="12" t="n">
        <v>1.44</v>
      </c>
      <c r="F2859" s="17" t="n">
        <v>59009.3</v>
      </c>
      <c r="G2859" s="14">
        <f>E2859*F2859</f>
        <v/>
      </c>
      <c r="H2859" s="14">
        <f>C2859*G2859</f>
        <v/>
      </c>
    </row>
    <row r="2860">
      <c r="A2860" s="12" t="inlineStr">
        <is>
          <t>RET-0225</t>
        </is>
      </c>
      <c r="B2860" s="12" t="inlineStr">
        <is>
          <t>VS03</t>
        </is>
      </c>
      <c r="C2860" s="28" t="n">
        <v>0.08749999999999999</v>
      </c>
      <c r="D2860" s="12" t="inlineStr">
        <is>
          <t>PO-2023-4450</t>
        </is>
      </c>
      <c r="E2860" s="12" t="n">
        <v>1.44</v>
      </c>
      <c r="F2860" s="17" t="n">
        <v>92449.95</v>
      </c>
      <c r="G2860" s="14">
        <f>E2860*F2860</f>
        <v/>
      </c>
      <c r="H2860" s="14">
        <f>C2860*G2860</f>
        <v/>
      </c>
    </row>
    <row r="2861">
      <c r="A2861" s="12" t="inlineStr">
        <is>
          <t>RET-0225</t>
        </is>
      </c>
      <c r="B2861" s="12" t="inlineStr">
        <is>
          <t>VS04</t>
        </is>
      </c>
      <c r="C2861" s="28" t="n">
        <v>0.0199</v>
      </c>
      <c r="D2861" s="12" t="inlineStr">
        <is>
          <t>PO-2023-3449</t>
        </is>
      </c>
      <c r="E2861" s="12" t="n">
        <v>1.44</v>
      </c>
      <c r="F2861" s="17" t="n">
        <v>78083.05</v>
      </c>
      <c r="G2861" s="14">
        <f>E2861*F2861</f>
        <v/>
      </c>
      <c r="H2861" s="14">
        <f>C2861*G2861</f>
        <v/>
      </c>
    </row>
    <row r="2862">
      <c r="A2862" s="12" t="inlineStr">
        <is>
          <t>RET-0225</t>
        </is>
      </c>
      <c r="B2862" s="12" t="inlineStr">
        <is>
          <t>VS05</t>
        </is>
      </c>
      <c r="C2862" s="28" t="n">
        <v>0.0259</v>
      </c>
      <c r="D2862" s="12" t="inlineStr">
        <is>
          <t>PO-2021-0189</t>
        </is>
      </c>
      <c r="E2862" s="12" t="n">
        <v>1.44</v>
      </c>
      <c r="F2862" s="17" t="n">
        <v>92096.16</v>
      </c>
      <c r="G2862" s="14">
        <f>E2862*F2862</f>
        <v/>
      </c>
      <c r="H2862" s="14">
        <f>C2862*G2862</f>
        <v/>
      </c>
    </row>
    <row r="2863">
      <c r="A2863" s="12" t="inlineStr">
        <is>
          <t>RET-0225</t>
        </is>
      </c>
      <c r="B2863" s="12" t="inlineStr">
        <is>
          <t>VS06</t>
        </is>
      </c>
      <c r="C2863" s="28" t="n">
        <v>0.0261</v>
      </c>
      <c r="D2863" s="12" t="inlineStr">
        <is>
          <t>PO-2022-2767</t>
        </is>
      </c>
      <c r="E2863" s="12" t="n">
        <v>1.01</v>
      </c>
      <c r="F2863" s="17" t="n">
        <v>53446.5</v>
      </c>
      <c r="G2863" s="14">
        <f>E2863*F2863</f>
        <v/>
      </c>
      <c r="H2863" s="14">
        <f>C2863*G2863</f>
        <v/>
      </c>
    </row>
    <row r="2864">
      <c r="A2864" s="12" t="inlineStr">
        <is>
          <t>RET-0225</t>
        </is>
      </c>
      <c r="B2864" s="12" t="inlineStr">
        <is>
          <t>VS07</t>
        </is>
      </c>
      <c r="C2864" s="28" t="n">
        <v>0.008699999999999999</v>
      </c>
      <c r="D2864" s="12" t="inlineStr">
        <is>
          <t>PO-2023-3343</t>
        </is>
      </c>
      <c r="E2864" s="12" t="n">
        <v>1.44</v>
      </c>
      <c r="F2864" s="17" t="n">
        <v>72908.49000000001</v>
      </c>
      <c r="G2864" s="14">
        <f>E2864*F2864</f>
        <v/>
      </c>
      <c r="H2864" s="14">
        <f>C2864*G2864</f>
        <v/>
      </c>
    </row>
    <row r="2865">
      <c r="A2865" s="12" t="inlineStr">
        <is>
          <t>RET-0225</t>
        </is>
      </c>
      <c r="B2865" s="12" t="inlineStr">
        <is>
          <t>VS08</t>
        </is>
      </c>
      <c r="C2865" s="28" t="n">
        <v>0.0263</v>
      </c>
      <c r="D2865" s="12" t="inlineStr">
        <is>
          <t>PO-2022-2256</t>
        </is>
      </c>
      <c r="E2865" s="12" t="n">
        <v>1.44</v>
      </c>
      <c r="F2865" s="17" t="n">
        <v>81640.25999999999</v>
      </c>
      <c r="G2865" s="14">
        <f>E2865*F2865</f>
        <v/>
      </c>
      <c r="H2865" s="14">
        <f>C2865*G2865</f>
        <v/>
      </c>
    </row>
    <row r="2866">
      <c r="A2866" s="12" t="inlineStr">
        <is>
          <t>RET-0225</t>
        </is>
      </c>
      <c r="B2866" s="12" t="inlineStr">
        <is>
          <t>VS09</t>
        </is>
      </c>
      <c r="C2866" s="28" t="n">
        <v>0.0202</v>
      </c>
      <c r="D2866" s="12" t="inlineStr">
        <is>
          <t>PO-2023-4655</t>
        </is>
      </c>
      <c r="E2866" s="12" t="n">
        <v>1.44</v>
      </c>
      <c r="F2866" s="17" t="n">
        <v>55049.82</v>
      </c>
      <c r="G2866" s="14">
        <f>E2866*F2866</f>
        <v/>
      </c>
      <c r="H2866" s="14">
        <f>C2866*G2866</f>
        <v/>
      </c>
    </row>
    <row r="2867">
      <c r="A2867" s="12" t="inlineStr">
        <is>
          <t>RET-0225</t>
        </is>
      </c>
      <c r="B2867" s="12" t="inlineStr">
        <is>
          <t>VS10</t>
        </is>
      </c>
      <c r="C2867" s="28" t="n">
        <v>0.0317</v>
      </c>
      <c r="D2867" s="12" t="inlineStr">
        <is>
          <t>PO-2022-2293</t>
        </is>
      </c>
      <c r="E2867" s="12" t="n">
        <v>1.44</v>
      </c>
      <c r="F2867" s="17" t="n">
        <v>84922.89</v>
      </c>
      <c r="G2867" s="14">
        <f>E2867*F2867</f>
        <v/>
      </c>
      <c r="H2867" s="14">
        <f>C2867*G2867</f>
        <v/>
      </c>
    </row>
    <row r="2868">
      <c r="A2868" s="12" t="inlineStr">
        <is>
          <t>RET-0225</t>
        </is>
      </c>
      <c r="B2868" s="12" t="inlineStr">
        <is>
          <t>VS11</t>
        </is>
      </c>
      <c r="C2868" s="28" t="n">
        <v>0.0372</v>
      </c>
      <c r="D2868" s="12" t="inlineStr">
        <is>
          <t>PO-2022-2141</t>
        </is>
      </c>
      <c r="E2868" s="12" t="n">
        <v>1.44</v>
      </c>
      <c r="F2868" s="17" t="n">
        <v>71149.98</v>
      </c>
      <c r="G2868" s="14">
        <f>E2868*F2868</f>
        <v/>
      </c>
      <c r="H2868" s="14">
        <f>C2868*G2868</f>
        <v/>
      </c>
    </row>
    <row r="2869">
      <c r="A2869" s="12" t="inlineStr">
        <is>
          <t>RET-0225</t>
        </is>
      </c>
      <c r="B2869" s="12" t="inlineStr">
        <is>
          <t>VS12</t>
        </is>
      </c>
      <c r="C2869" s="28" t="n">
        <v>0.1216</v>
      </c>
      <c r="D2869" s="12" t="inlineStr">
        <is>
          <t>PO-2023-3731</t>
        </is>
      </c>
      <c r="E2869" s="12" t="n">
        <v>1.44</v>
      </c>
      <c r="F2869" s="17" t="n">
        <v>47472.58</v>
      </c>
      <c r="G2869" s="14">
        <f>E2869*F2869</f>
        <v/>
      </c>
      <c r="H2869" s="14">
        <f>C2869*G2869</f>
        <v/>
      </c>
    </row>
    <row r="2870">
      <c r="A2870" s="12" t="inlineStr">
        <is>
          <t>RET-0225</t>
        </is>
      </c>
      <c r="B2870" s="12" t="inlineStr">
        <is>
          <t>VS13</t>
        </is>
      </c>
      <c r="C2870" s="28" t="n">
        <v>0.0256</v>
      </c>
      <c r="D2870" s="12" t="inlineStr">
        <is>
          <t>PO-2022-2321</t>
        </is>
      </c>
      <c r="E2870" s="12" t="n">
        <v>1.44</v>
      </c>
      <c r="F2870" s="17" t="n">
        <v>101721.47</v>
      </c>
      <c r="G2870" s="14">
        <f>E2870*F2870</f>
        <v/>
      </c>
      <c r="H2870" s="14">
        <f>C2870*G2870</f>
        <v/>
      </c>
    </row>
    <row r="2871">
      <c r="A2871" s="12" t="inlineStr">
        <is>
          <t>RET-0225</t>
        </is>
      </c>
      <c r="B2871" s="12" t="inlineStr">
        <is>
          <t>VS14</t>
        </is>
      </c>
      <c r="C2871" s="28" t="n">
        <v>0.0259</v>
      </c>
      <c r="D2871" s="12" t="inlineStr">
        <is>
          <t>PO-2022-2879</t>
        </is>
      </c>
      <c r="E2871" s="12" t="n">
        <v>1.44</v>
      </c>
      <c r="F2871" s="17" t="n">
        <v>96508.95</v>
      </c>
      <c r="G2871" s="14">
        <f>E2871*F2871</f>
        <v/>
      </c>
      <c r="H2871" s="14">
        <f>C2871*G2871</f>
        <v/>
      </c>
    </row>
    <row r="2872">
      <c r="A2872" s="12" t="inlineStr">
        <is>
          <t>RET-0225</t>
        </is>
      </c>
      <c r="B2872" s="12" t="inlineStr">
        <is>
          <t>VS15</t>
        </is>
      </c>
      <c r="C2872" s="28" t="n">
        <v>0.0086</v>
      </c>
      <c r="D2872" s="12" t="inlineStr">
        <is>
          <t>PO-2023-3342</t>
        </is>
      </c>
      <c r="E2872" s="12" t="n">
        <v>1.44</v>
      </c>
      <c r="F2872" s="17" t="n">
        <v>93177.47</v>
      </c>
      <c r="G2872" s="14">
        <f>E2872*F2872</f>
        <v/>
      </c>
      <c r="H2872" s="14">
        <f>C2872*G2872</f>
        <v/>
      </c>
    </row>
    <row r="2873">
      <c r="A2873" s="12" t="inlineStr">
        <is>
          <t>RET-0225</t>
        </is>
      </c>
      <c r="B2873" s="12" t="inlineStr">
        <is>
          <t>VS16</t>
        </is>
      </c>
      <c r="C2873" s="28" t="n">
        <v>0.0373</v>
      </c>
      <c r="D2873" s="12" t="inlineStr">
        <is>
          <t>PO-2023-3941</t>
        </is>
      </c>
      <c r="E2873" s="12" t="n">
        <v>1.44</v>
      </c>
      <c r="F2873" s="17" t="n">
        <v>52044.05</v>
      </c>
      <c r="G2873" s="14">
        <f>E2873*F2873</f>
        <v/>
      </c>
      <c r="H2873" s="14">
        <f>C2873*G2873</f>
        <v/>
      </c>
    </row>
    <row r="2874">
      <c r="A2874" s="12" t="inlineStr">
        <is>
          <t>RET-0225</t>
        </is>
      </c>
      <c r="B2874" s="12" t="inlineStr">
        <is>
          <t>VS17</t>
        </is>
      </c>
      <c r="C2874" s="28" t="n">
        <v>0.0372</v>
      </c>
      <c r="D2874" s="12" t="inlineStr">
        <is>
          <t>PO-2022-2602</t>
        </is>
      </c>
      <c r="E2874" s="12" t="n">
        <v>1.44</v>
      </c>
      <c r="F2874" s="17" t="n">
        <v>87089.28999999999</v>
      </c>
      <c r="G2874" s="14">
        <f>E2874*F2874</f>
        <v/>
      </c>
      <c r="H2874" s="14">
        <f>C2874*G2874</f>
        <v/>
      </c>
    </row>
    <row r="2875">
      <c r="A2875" s="12" t="inlineStr">
        <is>
          <t>RET-0225</t>
        </is>
      </c>
      <c r="B2875" s="12" t="inlineStr">
        <is>
          <t>VS18</t>
        </is>
      </c>
      <c r="C2875" s="28" t="n">
        <v>0.0259</v>
      </c>
      <c r="D2875" s="12" t="inlineStr">
        <is>
          <t>PO-2022-3191</t>
        </is>
      </c>
      <c r="E2875" s="12" t="n">
        <v>1.44</v>
      </c>
      <c r="F2875" s="17" t="n">
        <v>114984.39</v>
      </c>
      <c r="G2875" s="14">
        <f>E2875*F2875</f>
        <v/>
      </c>
      <c r="H2875" s="14">
        <f>C2875*G2875</f>
        <v/>
      </c>
    </row>
    <row r="2876">
      <c r="A2876" s="12" t="inlineStr">
        <is>
          <t>RET-0225</t>
        </is>
      </c>
      <c r="B2876" s="12" t="inlineStr">
        <is>
          <t>VS19</t>
        </is>
      </c>
      <c r="C2876" s="28" t="n">
        <v>0.09180000000000001</v>
      </c>
      <c r="D2876" s="12" t="inlineStr">
        <is>
          <t>PO-2022-1620</t>
        </is>
      </c>
      <c r="E2876" s="12" t="n">
        <v>1.44</v>
      </c>
      <c r="F2876" s="17" t="n">
        <v>82922.28999999999</v>
      </c>
      <c r="G2876" s="14">
        <f>E2876*F2876</f>
        <v/>
      </c>
      <c r="H2876" s="14">
        <f>C2876*G2876</f>
        <v/>
      </c>
    </row>
    <row r="2877">
      <c r="A2877" s="12" t="inlineStr">
        <is>
          <t>RET-0225</t>
        </is>
      </c>
      <c r="B2877" s="12" t="inlineStr">
        <is>
          <t>VS20</t>
        </is>
      </c>
      <c r="C2877" s="28" t="n">
        <v>0.0144</v>
      </c>
      <c r="D2877" s="12" t="inlineStr">
        <is>
          <t>PO-2023-3821</t>
        </is>
      </c>
      <c r="E2877" s="12" t="n">
        <v>1.44</v>
      </c>
      <c r="F2877" s="17" t="n">
        <v>73045.12</v>
      </c>
      <c r="G2877" s="14">
        <f>E2877*F2877</f>
        <v/>
      </c>
      <c r="H2877" s="14">
        <f>C2877*G2877</f>
        <v/>
      </c>
    </row>
    <row r="2878">
      <c r="A2878" s="12" t="inlineStr">
        <is>
          <t>RET-0225</t>
        </is>
      </c>
      <c r="B2878" s="12" t="inlineStr">
        <is>
          <t>VS21</t>
        </is>
      </c>
      <c r="C2878" s="28" t="n">
        <v>0.0144</v>
      </c>
      <c r="D2878" s="12" t="inlineStr">
        <is>
          <t>PO-2023-4769</t>
        </is>
      </c>
      <c r="E2878" s="12" t="n">
        <v>1.44</v>
      </c>
      <c r="F2878" s="17" t="n">
        <v>51195.63</v>
      </c>
      <c r="G2878" s="14">
        <f>E2878*F2878</f>
        <v/>
      </c>
      <c r="H2878" s="14">
        <f>C2878*G2878</f>
        <v/>
      </c>
    </row>
    <row r="2879">
      <c r="A2879" s="12" t="inlineStr">
        <is>
          <t>RET-0225</t>
        </is>
      </c>
      <c r="B2879" s="12" t="inlineStr">
        <is>
          <t>VS22</t>
        </is>
      </c>
      <c r="C2879" s="28" t="n">
        <v>0.0086</v>
      </c>
      <c r="D2879" s="12" t="inlineStr">
        <is>
          <t>PO-2021-1074</t>
        </is>
      </c>
      <c r="E2879" s="12" t="n">
        <v>1.44</v>
      </c>
      <c r="F2879" s="17" t="n">
        <v>47156.97</v>
      </c>
      <c r="G2879" s="14">
        <f>E2879*F2879</f>
        <v/>
      </c>
      <c r="H2879" s="14">
        <f>C2879*G2879</f>
        <v/>
      </c>
    </row>
    <row r="2880">
      <c r="A2880" s="12" t="inlineStr">
        <is>
          <t>RET-0225</t>
        </is>
      </c>
      <c r="B2880" s="12" t="inlineStr">
        <is>
          <t>VS23</t>
        </is>
      </c>
      <c r="C2880" s="28" t="n">
        <v>0.0142</v>
      </c>
      <c r="D2880" s="12" t="inlineStr">
        <is>
          <t>PO-2023-3433</t>
        </is>
      </c>
      <c r="E2880" s="12" t="n">
        <v>1.44</v>
      </c>
      <c r="F2880" s="17" t="n">
        <v>80641.34</v>
      </c>
      <c r="G2880" s="14">
        <f>E2880*F2880</f>
        <v/>
      </c>
      <c r="H2880" s="14">
        <f>C2880*G2880</f>
        <v/>
      </c>
    </row>
    <row r="2881">
      <c r="A2881" s="12" t="inlineStr">
        <is>
          <t>RET-0225</t>
        </is>
      </c>
      <c r="B2881" s="12" t="inlineStr">
        <is>
          <t>VS24</t>
        </is>
      </c>
      <c r="C2881" s="28" t="n">
        <v>0.0144</v>
      </c>
      <c r="D2881" s="12" t="inlineStr">
        <is>
          <t>PO-2022-2896</t>
        </is>
      </c>
      <c r="E2881" s="12" t="n">
        <v>1.44</v>
      </c>
      <c r="F2881" s="17" t="n">
        <v>86814.63</v>
      </c>
      <c r="G2881" s="14">
        <f>E2881*F2881</f>
        <v/>
      </c>
      <c r="H2881" s="14">
        <f>C2881*G2881</f>
        <v/>
      </c>
    </row>
    <row r="2882">
      <c r="A2882" s="12" t="inlineStr">
        <is>
          <t>RET-0225</t>
        </is>
      </c>
      <c r="B2882" s="12" t="inlineStr">
        <is>
          <t>VS25</t>
        </is>
      </c>
      <c r="C2882" s="28" t="n">
        <v>0.026</v>
      </c>
      <c r="D2882" s="12" t="inlineStr">
        <is>
          <t>PO-2023-4718</t>
        </is>
      </c>
      <c r="E2882" s="12" t="n">
        <v>1.44</v>
      </c>
      <c r="F2882" s="17" t="n">
        <v>61315.81</v>
      </c>
      <c r="G2882" s="14">
        <f>E2882*F2882</f>
        <v/>
      </c>
      <c r="H2882" s="14">
        <f>C2882*G2882</f>
        <v/>
      </c>
    </row>
    <row r="2883">
      <c r="A2883" s="12" t="inlineStr">
        <is>
          <t>RET-0225</t>
        </is>
      </c>
      <c r="B2883" s="12" t="inlineStr">
        <is>
          <t>VS26</t>
        </is>
      </c>
      <c r="C2883" s="28" t="n">
        <v>0.0145</v>
      </c>
      <c r="D2883" s="12" t="inlineStr">
        <is>
          <t>PO-2022-3124</t>
        </is>
      </c>
      <c r="E2883" s="12" t="n">
        <v>1.44</v>
      </c>
      <c r="F2883" s="17" t="n">
        <v>79453.39</v>
      </c>
      <c r="G2883" s="14">
        <f>E2883*F2883</f>
        <v/>
      </c>
      <c r="H2883" s="14">
        <f>C2883*G2883</f>
        <v/>
      </c>
    </row>
    <row r="2884">
      <c r="A2884" s="12" t="inlineStr">
        <is>
          <t>RET-0225</t>
        </is>
      </c>
      <c r="B2884" s="12" t="inlineStr">
        <is>
          <t>VS27</t>
        </is>
      </c>
      <c r="C2884" s="28" t="n">
        <v>0.0142</v>
      </c>
      <c r="D2884" s="12" t="inlineStr">
        <is>
          <t>PO-2023-3338</t>
        </is>
      </c>
      <c r="E2884" s="12" t="n">
        <v>1.44</v>
      </c>
      <c r="F2884" s="17" t="n">
        <v>99203.99000000001</v>
      </c>
      <c r="G2884" s="14">
        <f>E2884*F2884</f>
        <v/>
      </c>
      <c r="H2884" s="14">
        <f>C2884*G2884</f>
        <v/>
      </c>
    </row>
    <row r="2885">
      <c r="A2885" s="12" t="inlineStr">
        <is>
          <t>RET-0225</t>
        </is>
      </c>
      <c r="B2885" s="12" t="inlineStr">
        <is>
          <t>VS28</t>
        </is>
      </c>
      <c r="C2885" s="28" t="n">
        <v>0.0317</v>
      </c>
      <c r="D2885" s="12" t="inlineStr">
        <is>
          <t>PO-2023-3669</t>
        </is>
      </c>
      <c r="E2885" s="12" t="n">
        <v>1.44</v>
      </c>
      <c r="F2885" s="17" t="n">
        <v>67089.60000000001</v>
      </c>
      <c r="G2885" s="14">
        <f>E2885*F2885</f>
        <v/>
      </c>
      <c r="H2885" s="14">
        <f>C2885*G2885</f>
        <v/>
      </c>
    </row>
    <row r="2886">
      <c r="A2886" s="12" t="inlineStr">
        <is>
          <t>RET-0225</t>
        </is>
      </c>
      <c r="B2886" s="12" t="inlineStr">
        <is>
          <t>VS29</t>
        </is>
      </c>
      <c r="C2886" s="28" t="n">
        <v>0.0202</v>
      </c>
      <c r="D2886" s="12" t="inlineStr">
        <is>
          <t>PO-2023-4467</t>
        </is>
      </c>
      <c r="E2886" s="12" t="n">
        <v>1.44</v>
      </c>
      <c r="F2886" s="17" t="n">
        <v>110351.07</v>
      </c>
      <c r="G2886" s="14">
        <f>E2886*F2886</f>
        <v/>
      </c>
      <c r="H2886" s="14">
        <f>C2886*G2886</f>
        <v/>
      </c>
    </row>
    <row r="2887">
      <c r="A2887" s="12" t="inlineStr">
        <is>
          <t>RET-0225</t>
        </is>
      </c>
      <c r="B2887" s="12" t="inlineStr">
        <is>
          <t>VS30</t>
        </is>
      </c>
      <c r="C2887" s="28" t="n">
        <v>0.008699999999999999</v>
      </c>
      <c r="D2887" s="12" t="inlineStr">
        <is>
          <t>PO-2023-4320</t>
        </is>
      </c>
      <c r="E2887" s="12" t="n">
        <v>1.44</v>
      </c>
      <c r="F2887" s="17" t="n">
        <v>73818.64999999999</v>
      </c>
      <c r="G2887" s="14">
        <f>E2887*F2887</f>
        <v/>
      </c>
      <c r="H2887" s="14">
        <f>C2887*G2887</f>
        <v/>
      </c>
    </row>
    <row r="2888">
      <c r="A2888" s="12" t="inlineStr">
        <is>
          <t>RET-0225</t>
        </is>
      </c>
      <c r="B2888" s="12" t="inlineStr">
        <is>
          <t>VS31</t>
        </is>
      </c>
      <c r="C2888" s="28" t="n">
        <v>0.0316</v>
      </c>
      <c r="D2888" s="12" t="inlineStr">
        <is>
          <t>PO-2021-0657</t>
        </is>
      </c>
      <c r="E2888" s="12" t="n">
        <v>1.44</v>
      </c>
      <c r="F2888" s="17" t="n">
        <v>55228.61</v>
      </c>
      <c r="G2888" s="14">
        <f>E2888*F2888</f>
        <v/>
      </c>
      <c r="H2888" s="14">
        <f>C2888*G2888</f>
        <v/>
      </c>
    </row>
    <row r="2889">
      <c r="A2889" s="12" t="inlineStr">
        <is>
          <t>RET-0225</t>
        </is>
      </c>
      <c r="B2889" s="12" t="inlineStr">
        <is>
          <t>VS32</t>
        </is>
      </c>
      <c r="C2889" s="28" t="n">
        <v>0.0376</v>
      </c>
      <c r="D2889" s="12" t="inlineStr">
        <is>
          <t>PO-2021-0349</t>
        </is>
      </c>
      <c r="E2889" s="12" t="n">
        <v>1.44</v>
      </c>
      <c r="F2889" s="17" t="n">
        <v>85660.25999999999</v>
      </c>
      <c r="G2889" s="14">
        <f>E2889*F2889</f>
        <v/>
      </c>
      <c r="H2889" s="14">
        <f>C2889*G2889</f>
        <v/>
      </c>
    </row>
    <row r="2890">
      <c r="A2890" s="12" t="inlineStr">
        <is>
          <t>RET-0225</t>
        </is>
      </c>
      <c r="B2890" s="12" t="inlineStr">
        <is>
          <t>VS33</t>
        </is>
      </c>
      <c r="C2890" s="28" t="n">
        <v>0.0201</v>
      </c>
      <c r="D2890" s="12" t="inlineStr">
        <is>
          <t>PO-2023-3219</t>
        </is>
      </c>
      <c r="E2890" s="12" t="n">
        <v>1.44</v>
      </c>
      <c r="F2890" s="17" t="n">
        <v>59992.75</v>
      </c>
      <c r="G2890" s="14">
        <f>E2890*F2890</f>
        <v/>
      </c>
      <c r="H2890" s="14">
        <f>C2890*G2890</f>
        <v/>
      </c>
    </row>
    <row r="2891">
      <c r="A2891" s="12" t="inlineStr">
        <is>
          <t>RET-0225</t>
        </is>
      </c>
      <c r="B2891" s="12" t="inlineStr">
        <is>
          <t>VS34</t>
        </is>
      </c>
      <c r="C2891" s="28" t="n">
        <v>0.0259</v>
      </c>
      <c r="D2891" s="12" t="inlineStr">
        <is>
          <t>PO-2021-0756</t>
        </is>
      </c>
      <c r="E2891" s="12" t="n">
        <v>1.44</v>
      </c>
      <c r="F2891" s="17" t="n">
        <v>94766.19</v>
      </c>
      <c r="G2891" s="14">
        <f>E2891*F2891</f>
        <v/>
      </c>
      <c r="H2891" s="14">
        <f>C2891*G2891</f>
        <v/>
      </c>
    </row>
    <row r="2892">
      <c r="A2892" s="12" t="inlineStr">
        <is>
          <t>RET-0226</t>
        </is>
      </c>
      <c r="B2892" s="12" t="inlineStr">
        <is>
          <t>VS01</t>
        </is>
      </c>
      <c r="C2892" s="28" t="n">
        <v>0.0216</v>
      </c>
      <c r="D2892" s="12" t="inlineStr">
        <is>
          <t>PO-2023-3417</t>
        </is>
      </c>
      <c r="E2892" s="12" t="n">
        <v>2.63</v>
      </c>
      <c r="F2892" s="17" t="n">
        <v>94380.89999999999</v>
      </c>
      <c r="G2892" s="14">
        <f>E2892*F2892</f>
        <v/>
      </c>
      <c r="H2892" s="14">
        <f>C2892*G2892</f>
        <v/>
      </c>
    </row>
    <row r="2893">
      <c r="A2893" s="12" t="inlineStr">
        <is>
          <t>RET-0226</t>
        </is>
      </c>
      <c r="B2893" s="12" t="inlineStr">
        <is>
          <t>VS02</t>
        </is>
      </c>
      <c r="C2893" s="28" t="n">
        <v>0.009900000000000001</v>
      </c>
      <c r="D2893" s="12" t="inlineStr">
        <is>
          <t>PO-2022-1910</t>
        </is>
      </c>
      <c r="E2893" s="12" t="n">
        <v>2.63</v>
      </c>
      <c r="F2893" s="17" t="n">
        <v>96605.25</v>
      </c>
      <c r="G2893" s="14">
        <f>E2893*F2893</f>
        <v/>
      </c>
      <c r="H2893" s="14">
        <f>C2893*G2893</f>
        <v/>
      </c>
    </row>
    <row r="2894">
      <c r="A2894" s="12" t="inlineStr">
        <is>
          <t>RET-0226</t>
        </is>
      </c>
      <c r="B2894" s="12" t="inlineStr">
        <is>
          <t>VS03</t>
        </is>
      </c>
      <c r="C2894" s="28" t="n">
        <v>0.1524</v>
      </c>
      <c r="D2894" s="12" t="inlineStr">
        <is>
          <t>PO-2021-0177</t>
        </is>
      </c>
      <c r="E2894" s="12" t="n">
        <v>2.63</v>
      </c>
      <c r="F2894" s="17" t="n">
        <v>93547.35000000001</v>
      </c>
      <c r="G2894" s="14">
        <f>E2894*F2894</f>
        <v/>
      </c>
      <c r="H2894" s="14">
        <f>C2894*G2894</f>
        <v/>
      </c>
    </row>
    <row r="2895">
      <c r="A2895" s="12" t="inlineStr">
        <is>
          <t>RET-0226</t>
        </is>
      </c>
      <c r="B2895" s="12" t="inlineStr">
        <is>
          <t>VS04</t>
        </is>
      </c>
      <c r="C2895" s="28" t="n">
        <v>0.0136</v>
      </c>
      <c r="D2895" s="12" t="inlineStr">
        <is>
          <t>PO-2023-4362</t>
        </is>
      </c>
      <c r="E2895" s="12" t="n">
        <v>2.63</v>
      </c>
      <c r="F2895" s="17" t="n">
        <v>64688.41</v>
      </c>
      <c r="G2895" s="14">
        <f>E2895*F2895</f>
        <v/>
      </c>
      <c r="H2895" s="14">
        <f>C2895*G2895</f>
        <v/>
      </c>
    </row>
    <row r="2896">
      <c r="A2896" s="12" t="inlineStr">
        <is>
          <t>RET-0226</t>
        </is>
      </c>
      <c r="B2896" s="12" t="inlineStr">
        <is>
          <t>VS05</t>
        </is>
      </c>
      <c r="C2896" s="28" t="n">
        <v>0.0176</v>
      </c>
      <c r="D2896" s="12" t="inlineStr">
        <is>
          <t>PO-2023-4795</t>
        </is>
      </c>
      <c r="E2896" s="12" t="n">
        <v>2.63</v>
      </c>
      <c r="F2896" s="17" t="n">
        <v>74847.99000000001</v>
      </c>
      <c r="G2896" s="14">
        <f>E2896*F2896</f>
        <v/>
      </c>
      <c r="H2896" s="14">
        <f>C2896*G2896</f>
        <v/>
      </c>
    </row>
    <row r="2897">
      <c r="A2897" s="12" t="inlineStr">
        <is>
          <t>RET-0226</t>
        </is>
      </c>
      <c r="B2897" s="12" t="inlineStr">
        <is>
          <t>VS06</t>
        </is>
      </c>
      <c r="C2897" s="28" t="n">
        <v>0.0178</v>
      </c>
      <c r="D2897" s="12" t="inlineStr">
        <is>
          <t>PO-2022-2532</t>
        </is>
      </c>
      <c r="E2897" s="12" t="n">
        <v>2.63</v>
      </c>
      <c r="F2897" s="17" t="n">
        <v>81088.03</v>
      </c>
      <c r="G2897" s="14">
        <f>E2897*F2897</f>
        <v/>
      </c>
      <c r="H2897" s="14">
        <f>C2897*G2897</f>
        <v/>
      </c>
    </row>
    <row r="2898">
      <c r="A2898" s="12" t="inlineStr">
        <is>
          <t>RET-0226</t>
        </is>
      </c>
      <c r="B2898" s="12" t="inlineStr">
        <is>
          <t>VS07</t>
        </is>
      </c>
      <c r="C2898" s="28" t="n">
        <v>0.0059</v>
      </c>
      <c r="D2898" s="12" t="inlineStr">
        <is>
          <t>PO-2022-2027</t>
        </is>
      </c>
      <c r="E2898" s="12" t="n">
        <v>2.63</v>
      </c>
      <c r="F2898" s="17" t="n">
        <v>98175.64</v>
      </c>
      <c r="G2898" s="14">
        <f>E2898*F2898</f>
        <v/>
      </c>
      <c r="H2898" s="14">
        <f>C2898*G2898</f>
        <v/>
      </c>
    </row>
    <row r="2899">
      <c r="A2899" s="12" t="inlineStr">
        <is>
          <t>RET-0226</t>
        </is>
      </c>
      <c r="B2899" s="12" t="inlineStr">
        <is>
          <t>VS08</t>
        </is>
      </c>
      <c r="C2899" s="28" t="n">
        <v>0.0179</v>
      </c>
      <c r="D2899" s="12" t="inlineStr">
        <is>
          <t>PO-2023-4186</t>
        </is>
      </c>
      <c r="E2899" s="12" t="n">
        <v>1.228</v>
      </c>
      <c r="F2899" s="17" t="n">
        <v>106380.88</v>
      </c>
      <c r="G2899" s="14">
        <f>E2899*F2899</f>
        <v/>
      </c>
      <c r="H2899" s="14">
        <f>C2899*G2899</f>
        <v/>
      </c>
    </row>
    <row r="2900">
      <c r="A2900" s="12" t="inlineStr">
        <is>
          <t>RET-0226</t>
        </is>
      </c>
      <c r="B2900" s="12" t="inlineStr">
        <is>
          <t>VS09</t>
        </is>
      </c>
      <c r="C2900" s="28" t="n">
        <v>0.0137</v>
      </c>
      <c r="D2900" s="12" t="inlineStr">
        <is>
          <t>PO-2023-4245</t>
        </is>
      </c>
      <c r="E2900" s="12" t="n">
        <v>2.63</v>
      </c>
      <c r="F2900" s="17" t="n">
        <v>73880.31</v>
      </c>
      <c r="G2900" s="14">
        <f>E2900*F2900</f>
        <v/>
      </c>
      <c r="H2900" s="14">
        <f>C2900*G2900</f>
        <v/>
      </c>
    </row>
    <row r="2901">
      <c r="A2901" s="12" t="inlineStr">
        <is>
          <t>RET-0226</t>
        </is>
      </c>
      <c r="B2901" s="12" t="inlineStr">
        <is>
          <t>VS10</t>
        </is>
      </c>
      <c r="C2901" s="28" t="n">
        <v>0.0216</v>
      </c>
      <c r="D2901" s="12" t="inlineStr">
        <is>
          <t>PO-2022-2161</t>
        </is>
      </c>
      <c r="E2901" s="12" t="n">
        <v>2.63</v>
      </c>
      <c r="F2901" s="17" t="n">
        <v>59900.78</v>
      </c>
      <c r="G2901" s="14">
        <f>E2901*F2901</f>
        <v/>
      </c>
      <c r="H2901" s="14">
        <f>C2901*G2901</f>
        <v/>
      </c>
    </row>
    <row r="2902">
      <c r="A2902" s="12" t="inlineStr">
        <is>
          <t>RET-0226</t>
        </is>
      </c>
      <c r="B2902" s="12" t="inlineStr">
        <is>
          <t>VS11</t>
        </is>
      </c>
      <c r="C2902" s="28" t="n">
        <v>0.0253</v>
      </c>
      <c r="D2902" s="12" t="inlineStr">
        <is>
          <t>PO-2023-4115</t>
        </is>
      </c>
      <c r="E2902" s="12" t="n">
        <v>2.63</v>
      </c>
      <c r="F2902" s="17" t="n">
        <v>64062.22</v>
      </c>
      <c r="G2902" s="14">
        <f>E2902*F2902</f>
        <v/>
      </c>
      <c r="H2902" s="14">
        <f>C2902*G2902</f>
        <v/>
      </c>
    </row>
    <row r="2903">
      <c r="A2903" s="12" t="inlineStr">
        <is>
          <t>RET-0226</t>
        </is>
      </c>
      <c r="B2903" s="12" t="inlineStr">
        <is>
          <t>VS12</t>
        </is>
      </c>
      <c r="C2903" s="28" t="n">
        <v>0.2119</v>
      </c>
      <c r="D2903" s="12" t="inlineStr">
        <is>
          <t>PO-2022-2806</t>
        </is>
      </c>
      <c r="E2903" s="12" t="n">
        <v>2.63</v>
      </c>
      <c r="F2903" s="17" t="n">
        <v>57181.64</v>
      </c>
      <c r="G2903" s="14">
        <f>E2903*F2903</f>
        <v/>
      </c>
      <c r="H2903" s="14">
        <f>C2903*G2903</f>
        <v/>
      </c>
    </row>
    <row r="2904">
      <c r="A2904" s="12" t="inlineStr">
        <is>
          <t>RET-0226</t>
        </is>
      </c>
      <c r="B2904" s="12" t="inlineStr">
        <is>
          <t>VS13</t>
        </is>
      </c>
      <c r="C2904" s="28" t="n">
        <v>0.0174</v>
      </c>
      <c r="D2904" s="12" t="inlineStr">
        <is>
          <t>PO-2022-3169</t>
        </is>
      </c>
      <c r="E2904" s="12" t="n">
        <v>2.63</v>
      </c>
      <c r="F2904" s="17" t="n">
        <v>70784.24000000001</v>
      </c>
      <c r="G2904" s="14">
        <f>E2904*F2904</f>
        <v/>
      </c>
      <c r="H2904" s="14">
        <f>C2904*G2904</f>
        <v/>
      </c>
    </row>
    <row r="2905">
      <c r="A2905" s="12" t="inlineStr">
        <is>
          <t>RET-0226</t>
        </is>
      </c>
      <c r="B2905" s="12" t="inlineStr">
        <is>
          <t>VS14</t>
        </is>
      </c>
      <c r="C2905" s="28" t="n">
        <v>0.0176</v>
      </c>
      <c r="D2905" s="12" t="inlineStr">
        <is>
          <t>PO-2023-4113</t>
        </is>
      </c>
      <c r="E2905" s="12" t="n">
        <v>2.63</v>
      </c>
      <c r="F2905" s="17" t="n">
        <v>59433.23</v>
      </c>
      <c r="G2905" s="14">
        <f>E2905*F2905</f>
        <v/>
      </c>
      <c r="H2905" s="14">
        <f>C2905*G2905</f>
        <v/>
      </c>
    </row>
    <row r="2906">
      <c r="A2906" s="12" t="inlineStr">
        <is>
          <t>RET-0226</t>
        </is>
      </c>
      <c r="B2906" s="12" t="inlineStr">
        <is>
          <t>VS15</t>
        </is>
      </c>
      <c r="C2906" s="28" t="n">
        <v>0.0059</v>
      </c>
      <c r="D2906" s="12" t="inlineStr">
        <is>
          <t>PO-2021-0755</t>
        </is>
      </c>
      <c r="E2906" s="12" t="n">
        <v>2.63</v>
      </c>
      <c r="F2906" s="17" t="n">
        <v>78237.03</v>
      </c>
      <c r="G2906" s="14">
        <f>E2906*F2906</f>
        <v/>
      </c>
      <c r="H2906" s="14">
        <f>C2906*G2906</f>
        <v/>
      </c>
    </row>
    <row r="2907">
      <c r="A2907" s="12" t="inlineStr">
        <is>
          <t>RET-0226</t>
        </is>
      </c>
      <c r="B2907" s="12" t="inlineStr">
        <is>
          <t>VS16</t>
        </is>
      </c>
      <c r="C2907" s="28" t="n">
        <v>0.0254</v>
      </c>
      <c r="D2907" s="12" t="inlineStr">
        <is>
          <t>PO-2022-2204</t>
        </is>
      </c>
      <c r="E2907" s="12" t="n">
        <v>2.63</v>
      </c>
      <c r="F2907" s="17" t="n">
        <v>105864.4</v>
      </c>
      <c r="G2907" s="14">
        <f>E2907*F2907</f>
        <v/>
      </c>
      <c r="H2907" s="14">
        <f>C2907*G2907</f>
        <v/>
      </c>
    </row>
    <row r="2908">
      <c r="A2908" s="12" t="inlineStr">
        <is>
          <t>RET-0226</t>
        </is>
      </c>
      <c r="B2908" s="12" t="inlineStr">
        <is>
          <t>VS17</t>
        </is>
      </c>
      <c r="C2908" s="28" t="n">
        <v>0.0253</v>
      </c>
      <c r="D2908" s="12" t="inlineStr">
        <is>
          <t>PO-2021-0736</t>
        </is>
      </c>
      <c r="E2908" s="12" t="n">
        <v>2.63</v>
      </c>
      <c r="F2908" s="17" t="n">
        <v>116889.51</v>
      </c>
      <c r="G2908" s="14">
        <f>E2908*F2908</f>
        <v/>
      </c>
      <c r="H2908" s="14">
        <f>C2908*G2908</f>
        <v/>
      </c>
    </row>
    <row r="2909">
      <c r="A2909" s="12" t="inlineStr">
        <is>
          <t>RET-0226</t>
        </is>
      </c>
      <c r="B2909" s="12" t="inlineStr">
        <is>
          <t>VS18</t>
        </is>
      </c>
      <c r="C2909" s="28" t="n">
        <v>0.0176</v>
      </c>
      <c r="D2909" s="12" t="inlineStr">
        <is>
          <t>PO-2021-0243</t>
        </is>
      </c>
      <c r="E2909" s="12" t="n">
        <v>2.63</v>
      </c>
      <c r="F2909" s="17" t="n">
        <v>46943.5</v>
      </c>
      <c r="G2909" s="14">
        <f>E2909*F2909</f>
        <v/>
      </c>
      <c r="H2909" s="14">
        <f>C2909*G2909</f>
        <v/>
      </c>
    </row>
    <row r="2910">
      <c r="A2910" s="12" t="inlineStr">
        <is>
          <t>RET-0226</t>
        </is>
      </c>
      <c r="B2910" s="12" t="inlineStr">
        <is>
          <t>VS19</t>
        </is>
      </c>
      <c r="C2910" s="28" t="n">
        <v>0.1598</v>
      </c>
      <c r="D2910" s="12" t="inlineStr">
        <is>
          <t>PO-2023-4597</t>
        </is>
      </c>
      <c r="E2910" s="12" t="n">
        <v>2.63</v>
      </c>
      <c r="F2910" s="17" t="n">
        <v>112266.24</v>
      </c>
      <c r="G2910" s="14">
        <f>E2910*F2910</f>
        <v/>
      </c>
      <c r="H2910" s="14">
        <f>C2910*G2910</f>
        <v/>
      </c>
    </row>
    <row r="2911">
      <c r="A2911" s="12" t="inlineStr">
        <is>
          <t>RET-0226</t>
        </is>
      </c>
      <c r="B2911" s="12" t="inlineStr">
        <is>
          <t>VS20</t>
        </is>
      </c>
      <c r="C2911" s="28" t="n">
        <v>0.0098</v>
      </c>
      <c r="D2911" s="12" t="inlineStr">
        <is>
          <t>PO-2021-0289</t>
        </is>
      </c>
      <c r="E2911" s="12" t="n">
        <v>2.63</v>
      </c>
      <c r="F2911" s="17" t="n">
        <v>118669.52</v>
      </c>
      <c r="G2911" s="14">
        <f>E2911*F2911</f>
        <v/>
      </c>
      <c r="H2911" s="14">
        <f>C2911*G2911</f>
        <v/>
      </c>
    </row>
    <row r="2912">
      <c r="A2912" s="12" t="inlineStr">
        <is>
          <t>RET-0226</t>
        </is>
      </c>
      <c r="B2912" s="12" t="inlineStr">
        <is>
          <t>VS21</t>
        </is>
      </c>
      <c r="C2912" s="28" t="n">
        <v>0.0098</v>
      </c>
      <c r="D2912" s="12" t="inlineStr">
        <is>
          <t>PO-2021-0330</t>
        </is>
      </c>
      <c r="E2912" s="12" t="n">
        <v>2.63</v>
      </c>
      <c r="F2912" s="17" t="n">
        <v>55744.53</v>
      </c>
      <c r="G2912" s="14">
        <f>E2912*F2912</f>
        <v/>
      </c>
      <c r="H2912" s="14">
        <f>C2912*G2912</f>
        <v/>
      </c>
    </row>
    <row r="2913">
      <c r="A2913" s="12" t="inlineStr">
        <is>
          <t>RET-0226</t>
        </is>
      </c>
      <c r="B2913" s="12" t="inlineStr">
        <is>
          <t>VS22</t>
        </is>
      </c>
      <c r="C2913" s="28" t="n">
        <v>0.0058</v>
      </c>
      <c r="D2913" s="12" t="inlineStr">
        <is>
          <t>PO-2021-0563</t>
        </is>
      </c>
      <c r="E2913" s="12" t="n">
        <v>2.63</v>
      </c>
      <c r="F2913" s="17" t="n">
        <v>92873.52</v>
      </c>
      <c r="G2913" s="14">
        <f>E2913*F2913</f>
        <v/>
      </c>
      <c r="H2913" s="14">
        <f>C2913*G2913</f>
        <v/>
      </c>
    </row>
    <row r="2914">
      <c r="A2914" s="12" t="inlineStr">
        <is>
          <t>RET-0226</t>
        </is>
      </c>
      <c r="B2914" s="12" t="inlineStr">
        <is>
          <t>VS23</t>
        </is>
      </c>
      <c r="C2914" s="28" t="n">
        <v>0.0097</v>
      </c>
      <c r="D2914" s="12" t="inlineStr">
        <is>
          <t>PO-2022-2470</t>
        </is>
      </c>
      <c r="E2914" s="12" t="n">
        <v>2.63</v>
      </c>
      <c r="F2914" s="17" t="n">
        <v>86528.27</v>
      </c>
      <c r="G2914" s="14">
        <f>E2914*F2914</f>
        <v/>
      </c>
      <c r="H2914" s="14">
        <f>C2914*G2914</f>
        <v/>
      </c>
    </row>
    <row r="2915">
      <c r="A2915" s="12" t="inlineStr">
        <is>
          <t>RET-0226</t>
        </is>
      </c>
      <c r="B2915" s="12" t="inlineStr">
        <is>
          <t>VS24</t>
        </is>
      </c>
      <c r="C2915" s="28" t="n">
        <v>0.0098</v>
      </c>
      <c r="D2915" s="12" t="inlineStr">
        <is>
          <t>PO-2023-4470</t>
        </is>
      </c>
      <c r="E2915" s="12" t="n">
        <v>2.63</v>
      </c>
      <c r="F2915" s="17" t="n">
        <v>102821.12</v>
      </c>
      <c r="G2915" s="14">
        <f>E2915*F2915</f>
        <v/>
      </c>
      <c r="H2915" s="14">
        <f>C2915*G2915</f>
        <v/>
      </c>
    </row>
    <row r="2916">
      <c r="A2916" s="12" t="inlineStr">
        <is>
          <t>RET-0226</t>
        </is>
      </c>
      <c r="B2916" s="12" t="inlineStr">
        <is>
          <t>VS25</t>
        </is>
      </c>
      <c r="C2916" s="28" t="n">
        <v>0.0177</v>
      </c>
      <c r="D2916" s="12" t="inlineStr">
        <is>
          <t>PO-2021-0631</t>
        </is>
      </c>
      <c r="E2916" s="12" t="n">
        <v>2.63</v>
      </c>
      <c r="F2916" s="17" t="n">
        <v>104762.52</v>
      </c>
      <c r="G2916" s="14">
        <f>E2916*F2916</f>
        <v/>
      </c>
      <c r="H2916" s="14">
        <f>C2916*G2916</f>
        <v/>
      </c>
    </row>
    <row r="2917">
      <c r="A2917" s="12" t="inlineStr">
        <is>
          <t>RET-0226</t>
        </is>
      </c>
      <c r="B2917" s="12" t="inlineStr">
        <is>
          <t>VS26</t>
        </is>
      </c>
      <c r="C2917" s="28" t="n">
        <v>0.009900000000000001</v>
      </c>
      <c r="D2917" s="12" t="inlineStr">
        <is>
          <t>PO-2023-3233</t>
        </is>
      </c>
      <c r="E2917" s="12" t="n">
        <v>2.63</v>
      </c>
      <c r="F2917" s="17" t="n">
        <v>99007.13</v>
      </c>
      <c r="G2917" s="14">
        <f>E2917*F2917</f>
        <v/>
      </c>
      <c r="H2917" s="14">
        <f>C2917*G2917</f>
        <v/>
      </c>
    </row>
    <row r="2918">
      <c r="A2918" s="12" t="inlineStr">
        <is>
          <t>RET-0226</t>
        </is>
      </c>
      <c r="B2918" s="12" t="inlineStr">
        <is>
          <t>VS27</t>
        </is>
      </c>
      <c r="C2918" s="28" t="n">
        <v>0.0097</v>
      </c>
      <c r="D2918" s="12" t="inlineStr">
        <is>
          <t>PO-2023-3331</t>
        </is>
      </c>
      <c r="E2918" s="12" t="n">
        <v>2.63</v>
      </c>
      <c r="F2918" s="17" t="n">
        <v>78926.28999999999</v>
      </c>
      <c r="G2918" s="14">
        <f>E2918*F2918</f>
        <v/>
      </c>
      <c r="H2918" s="14">
        <f>C2918*G2918</f>
        <v/>
      </c>
    </row>
    <row r="2919">
      <c r="A2919" s="12" t="inlineStr">
        <is>
          <t>RET-0226</t>
        </is>
      </c>
      <c r="B2919" s="12" t="inlineStr">
        <is>
          <t>VS28</t>
        </is>
      </c>
      <c r="C2919" s="28" t="n">
        <v>0.0216</v>
      </c>
      <c r="D2919" s="12" t="inlineStr">
        <is>
          <t>PO-2021-1403</t>
        </is>
      </c>
      <c r="E2919" s="12" t="n">
        <v>2.63</v>
      </c>
      <c r="F2919" s="17" t="n">
        <v>49494.23</v>
      </c>
      <c r="G2919" s="14">
        <f>E2919*F2919</f>
        <v/>
      </c>
      <c r="H2919" s="14">
        <f>C2919*G2919</f>
        <v/>
      </c>
    </row>
    <row r="2920">
      <c r="A2920" s="12" t="inlineStr">
        <is>
          <t>RET-0226</t>
        </is>
      </c>
      <c r="B2920" s="12" t="inlineStr">
        <is>
          <t>VS29</t>
        </is>
      </c>
      <c r="C2920" s="28" t="n">
        <v>0.0137</v>
      </c>
      <c r="D2920" s="12" t="inlineStr">
        <is>
          <t>PO-2021-1570</t>
        </is>
      </c>
      <c r="E2920" s="12" t="n">
        <v>2.63</v>
      </c>
      <c r="F2920" s="17" t="n">
        <v>60293.9</v>
      </c>
      <c r="G2920" s="14">
        <f>E2920*F2920</f>
        <v/>
      </c>
      <c r="H2920" s="14">
        <f>C2920*G2920</f>
        <v/>
      </c>
    </row>
    <row r="2921">
      <c r="A2921" s="12" t="inlineStr">
        <is>
          <t>RET-0226</t>
        </is>
      </c>
      <c r="B2921" s="12" t="inlineStr">
        <is>
          <t>VS30</t>
        </is>
      </c>
      <c r="C2921" s="28" t="n">
        <v>0.0059</v>
      </c>
      <c r="D2921" s="12" t="inlineStr">
        <is>
          <t>PO-2022-2498</t>
        </is>
      </c>
      <c r="E2921" s="12" t="n">
        <v>2.63</v>
      </c>
      <c r="F2921" s="17" t="n">
        <v>98265.69</v>
      </c>
      <c r="G2921" s="14">
        <f>E2921*F2921</f>
        <v/>
      </c>
      <c r="H2921" s="14">
        <f>C2921*G2921</f>
        <v/>
      </c>
    </row>
    <row r="2922">
      <c r="A2922" s="12" t="inlineStr">
        <is>
          <t>RET-0226</t>
        </is>
      </c>
      <c r="B2922" s="12" t="inlineStr">
        <is>
          <t>VS31</t>
        </is>
      </c>
      <c r="C2922" s="28" t="n">
        <v>0.0215</v>
      </c>
      <c r="D2922" s="12" t="inlineStr">
        <is>
          <t>PO-2023-4621</t>
        </is>
      </c>
      <c r="E2922" s="12" t="n">
        <v>2.63</v>
      </c>
      <c r="F2922" s="17" t="n">
        <v>76674.83</v>
      </c>
      <c r="G2922" s="14">
        <f>E2922*F2922</f>
        <v/>
      </c>
      <c r="H2922" s="14">
        <f>C2922*G2922</f>
        <v/>
      </c>
    </row>
    <row r="2923">
      <c r="A2923" s="12" t="inlineStr">
        <is>
          <t>RET-0226</t>
        </is>
      </c>
      <c r="B2923" s="12" t="inlineStr">
        <is>
          <t>VS32</t>
        </is>
      </c>
      <c r="C2923" s="28" t="n">
        <v>0.0256</v>
      </c>
      <c r="D2923" s="12" t="inlineStr">
        <is>
          <t>PO-2023-4001</t>
        </is>
      </c>
      <c r="E2923" s="12" t="n">
        <v>2.63</v>
      </c>
      <c r="F2923" s="17" t="n">
        <v>95762.28999999999</v>
      </c>
      <c r="G2923" s="14">
        <f>E2923*F2923</f>
        <v/>
      </c>
      <c r="H2923" s="14">
        <f>C2923*G2923</f>
        <v/>
      </c>
    </row>
    <row r="2924">
      <c r="A2924" s="12" t="inlineStr">
        <is>
          <t>RET-0226</t>
        </is>
      </c>
      <c r="B2924" s="12" t="inlineStr">
        <is>
          <t>VS33</t>
        </is>
      </c>
      <c r="C2924" s="28" t="n">
        <v>0.0136</v>
      </c>
      <c r="D2924" s="12" t="inlineStr">
        <is>
          <t>PO-2022-2454</t>
        </is>
      </c>
      <c r="E2924" s="12" t="n">
        <v>2.63</v>
      </c>
      <c r="F2924" s="17" t="n">
        <v>112935.81</v>
      </c>
      <c r="G2924" s="14">
        <f>E2924*F2924</f>
        <v/>
      </c>
      <c r="H2924" s="14">
        <f>C2924*G2924</f>
        <v/>
      </c>
    </row>
    <row r="2925">
      <c r="A2925" s="12" t="inlineStr">
        <is>
          <t>RET-0226</t>
        </is>
      </c>
      <c r="B2925" s="12" t="inlineStr">
        <is>
          <t>VS34</t>
        </is>
      </c>
      <c r="C2925" s="28" t="n">
        <v>0.0176</v>
      </c>
      <c r="D2925" s="12" t="inlineStr">
        <is>
          <t>PO-2023-4779</t>
        </is>
      </c>
      <c r="E2925" s="12" t="n">
        <v>2.63</v>
      </c>
      <c r="F2925" s="17" t="n">
        <v>69273.24000000001</v>
      </c>
      <c r="G2925" s="14">
        <f>E2925*F2925</f>
        <v/>
      </c>
      <c r="H2925" s="14">
        <f>C2925*G2925</f>
        <v/>
      </c>
    </row>
    <row r="2926">
      <c r="A2926" s="12" t="inlineStr">
        <is>
          <t>RET-0227</t>
        </is>
      </c>
      <c r="B2926" s="12" t="inlineStr">
        <is>
          <t>VS01</t>
        </is>
      </c>
      <c r="C2926" s="28" t="n">
        <v>0.0236</v>
      </c>
      <c r="D2926" s="12" t="inlineStr">
        <is>
          <t>PO-2022-3148</t>
        </is>
      </c>
      <c r="E2926" s="12" t="n">
        <v>4.09</v>
      </c>
      <c r="F2926" s="17" t="n">
        <v>61031.36</v>
      </c>
      <c r="G2926" s="14">
        <f>E2926*F2926</f>
        <v/>
      </c>
      <c r="H2926" s="14">
        <f>C2926*G2926</f>
        <v/>
      </c>
    </row>
    <row r="2927">
      <c r="A2927" s="12" t="inlineStr">
        <is>
          <t>RET-0227</t>
        </is>
      </c>
      <c r="B2927" s="12" t="inlineStr">
        <is>
          <t>VS02</t>
        </is>
      </c>
      <c r="C2927" s="28" t="n">
        <v>0.0107</v>
      </c>
      <c r="D2927" s="12" t="inlineStr">
        <is>
          <t>PO-2022-1880</t>
        </is>
      </c>
      <c r="E2927" s="12" t="n">
        <v>4.09</v>
      </c>
      <c r="F2927" s="17" t="n">
        <v>85487.23</v>
      </c>
      <c r="G2927" s="14">
        <f>E2927*F2927</f>
        <v/>
      </c>
      <c r="H2927" s="14">
        <f>C2927*G2927</f>
        <v/>
      </c>
    </row>
    <row r="2928">
      <c r="A2928" s="12" t="inlineStr">
        <is>
          <t>RET-0227</t>
        </is>
      </c>
      <c r="B2928" s="12" t="inlineStr">
        <is>
          <t>VS03</t>
        </is>
      </c>
      <c r="C2928" s="28" t="n">
        <v>0.14</v>
      </c>
      <c r="D2928" s="12" t="inlineStr">
        <is>
          <t>PO-2023-4639</t>
        </is>
      </c>
      <c r="E2928" s="12" t="n">
        <v>4.09</v>
      </c>
      <c r="F2928" s="17" t="n">
        <v>121720.35</v>
      </c>
      <c r="G2928" s="14">
        <f>E2928*F2928</f>
        <v/>
      </c>
      <c r="H2928" s="14">
        <f>C2928*G2928</f>
        <v/>
      </c>
    </row>
    <row r="2929">
      <c r="A2929" s="12" t="inlineStr">
        <is>
          <t>RET-0227</t>
        </is>
      </c>
      <c r="B2929" s="12" t="inlineStr">
        <is>
          <t>VS04</t>
        </is>
      </c>
      <c r="C2929" s="28" t="n">
        <v>0.0148</v>
      </c>
      <c r="D2929" s="12" t="inlineStr">
        <is>
          <t>PO-2023-3363</t>
        </is>
      </c>
      <c r="E2929" s="12" t="n">
        <v>4.09</v>
      </c>
      <c r="F2929" s="17" t="n">
        <v>85048.64</v>
      </c>
      <c r="G2929" s="14">
        <f>E2929*F2929</f>
        <v/>
      </c>
      <c r="H2929" s="14">
        <f>C2929*G2929</f>
        <v/>
      </c>
    </row>
    <row r="2930">
      <c r="A2930" s="12" t="inlineStr">
        <is>
          <t>RET-0227</t>
        </is>
      </c>
      <c r="B2930" s="12" t="inlineStr">
        <is>
          <t>VS05</t>
        </is>
      </c>
      <c r="C2930" s="28" t="n">
        <v>0.0192</v>
      </c>
      <c r="D2930" s="12" t="inlineStr">
        <is>
          <t>PO-2021-0094</t>
        </is>
      </c>
      <c r="E2930" s="12" t="n">
        <v>4.09</v>
      </c>
      <c r="F2930" s="17" t="n">
        <v>68070.89</v>
      </c>
      <c r="G2930" s="14">
        <f>E2930*F2930</f>
        <v/>
      </c>
      <c r="H2930" s="14">
        <f>C2930*G2930</f>
        <v/>
      </c>
    </row>
    <row r="2931">
      <c r="A2931" s="12" t="inlineStr">
        <is>
          <t>RET-0227</t>
        </is>
      </c>
      <c r="B2931" s="12" t="inlineStr">
        <is>
          <t>VS06</t>
        </is>
      </c>
      <c r="C2931" s="28" t="n">
        <v>0.0194</v>
      </c>
      <c r="D2931" s="12" t="inlineStr">
        <is>
          <t>PO-2023-4454</t>
        </is>
      </c>
      <c r="E2931" s="12" t="n">
        <v>4.09</v>
      </c>
      <c r="F2931" s="17" t="n">
        <v>81687.88</v>
      </c>
      <c r="G2931" s="14">
        <f>E2931*F2931</f>
        <v/>
      </c>
      <c r="H2931" s="14">
        <f>C2931*G2931</f>
        <v/>
      </c>
    </row>
    <row r="2932">
      <c r="A2932" s="12" t="inlineStr">
        <is>
          <t>RET-0227</t>
        </is>
      </c>
      <c r="B2932" s="12" t="inlineStr">
        <is>
          <t>VS07</t>
        </is>
      </c>
      <c r="C2932" s="28" t="n">
        <v>0.0065</v>
      </c>
      <c r="D2932" s="12" t="inlineStr">
        <is>
          <t>PO-2022-2385</t>
        </is>
      </c>
      <c r="E2932" s="12" t="n">
        <v>4.09</v>
      </c>
      <c r="F2932" s="17" t="n">
        <v>93432.91</v>
      </c>
      <c r="G2932" s="14">
        <f>E2932*F2932</f>
        <v/>
      </c>
      <c r="H2932" s="14">
        <f>C2932*G2932</f>
        <v/>
      </c>
    </row>
    <row r="2933">
      <c r="A2933" s="12" t="inlineStr">
        <is>
          <t>RET-0227</t>
        </is>
      </c>
      <c r="B2933" s="12" t="inlineStr">
        <is>
          <t>VS08</t>
        </is>
      </c>
      <c r="C2933" s="28" t="n">
        <v>0.0195</v>
      </c>
      <c r="D2933" s="12" t="inlineStr">
        <is>
          <t>PO-2022-2882</t>
        </is>
      </c>
      <c r="E2933" s="12" t="n">
        <v>4.09</v>
      </c>
      <c r="F2933" s="17" t="n">
        <v>99224.95</v>
      </c>
      <c r="G2933" s="14">
        <f>E2933*F2933</f>
        <v/>
      </c>
      <c r="H2933" s="14">
        <f>C2933*G2933</f>
        <v/>
      </c>
    </row>
    <row r="2934">
      <c r="A2934" s="12" t="inlineStr">
        <is>
          <t>RET-0227</t>
        </is>
      </c>
      <c r="B2934" s="12" t="inlineStr">
        <is>
          <t>VS09</t>
        </is>
      </c>
      <c r="C2934" s="28" t="n">
        <v>0.015</v>
      </c>
      <c r="D2934" s="12" t="inlineStr">
        <is>
          <t>PO-2023-3276</t>
        </is>
      </c>
      <c r="E2934" s="12" t="n">
        <v>4.09</v>
      </c>
      <c r="F2934" s="17" t="n">
        <v>48218.31</v>
      </c>
      <c r="G2934" s="14">
        <f>E2934*F2934</f>
        <v/>
      </c>
      <c r="H2934" s="14">
        <f>C2934*G2934</f>
        <v/>
      </c>
    </row>
    <row r="2935">
      <c r="A2935" s="12" t="inlineStr">
        <is>
          <t>RET-0227</t>
        </is>
      </c>
      <c r="B2935" s="12" t="inlineStr">
        <is>
          <t>VS10</t>
        </is>
      </c>
      <c r="C2935" s="28" t="n">
        <v>0.0235</v>
      </c>
      <c r="D2935" s="12" t="inlineStr">
        <is>
          <t>PO-2022-2548</t>
        </is>
      </c>
      <c r="E2935" s="12" t="n">
        <v>4.09</v>
      </c>
      <c r="F2935" s="17" t="n">
        <v>89076.23</v>
      </c>
      <c r="G2935" s="14">
        <f>E2935*F2935</f>
        <v/>
      </c>
      <c r="H2935" s="14">
        <f>C2935*G2935</f>
        <v/>
      </c>
    </row>
    <row r="2936">
      <c r="A2936" s="12" t="inlineStr">
        <is>
          <t>RET-0227</t>
        </is>
      </c>
      <c r="B2936" s="12" t="inlineStr">
        <is>
          <t>VS11</t>
        </is>
      </c>
      <c r="C2936" s="28" t="n">
        <v>0.0276</v>
      </c>
      <c r="D2936" s="12" t="inlineStr">
        <is>
          <t>PO-2021-1392</t>
        </is>
      </c>
      <c r="E2936" s="12" t="n">
        <v>4.09</v>
      </c>
      <c r="F2936" s="17" t="n">
        <v>53076.29</v>
      </c>
      <c r="G2936" s="14">
        <f>E2936*F2936</f>
        <v/>
      </c>
      <c r="H2936" s="14">
        <f>C2936*G2936</f>
        <v/>
      </c>
    </row>
    <row r="2937">
      <c r="A2937" s="12" t="inlineStr">
        <is>
          <t>RET-0227</t>
        </is>
      </c>
      <c r="B2937" s="12" t="inlineStr">
        <is>
          <t>VS12</t>
        </is>
      </c>
      <c r="C2937" s="28" t="n">
        <v>0.1946</v>
      </c>
      <c r="D2937" s="12" t="inlineStr">
        <is>
          <t>PO-2023-4547</t>
        </is>
      </c>
      <c r="E2937" s="12" t="n">
        <v>4.09</v>
      </c>
      <c r="F2937" s="17" t="n">
        <v>60410.96</v>
      </c>
      <c r="G2937" s="14">
        <f>E2937*F2937</f>
        <v/>
      </c>
      <c r="H2937" s="14">
        <f>C2937*G2937</f>
        <v/>
      </c>
    </row>
    <row r="2938">
      <c r="A2938" s="12" t="inlineStr">
        <is>
          <t>RET-0227</t>
        </is>
      </c>
      <c r="B2938" s="12" t="inlineStr">
        <is>
          <t>VS13</t>
        </is>
      </c>
      <c r="C2938" s="28" t="n">
        <v>0.019</v>
      </c>
      <c r="D2938" s="12" t="inlineStr">
        <is>
          <t>PO-2023-3884</t>
        </is>
      </c>
      <c r="E2938" s="12" t="n">
        <v>4.09</v>
      </c>
      <c r="F2938" s="17" t="n">
        <v>90367.61</v>
      </c>
      <c r="G2938" s="14">
        <f>E2938*F2938</f>
        <v/>
      </c>
      <c r="H2938" s="14">
        <f>C2938*G2938</f>
        <v/>
      </c>
    </row>
    <row r="2939">
      <c r="A2939" s="12" t="inlineStr">
        <is>
          <t>RET-0227</t>
        </is>
      </c>
      <c r="B2939" s="12" t="inlineStr">
        <is>
          <t>VS14</t>
        </is>
      </c>
      <c r="C2939" s="28" t="n">
        <v>0.0192</v>
      </c>
      <c r="D2939" s="12" t="inlineStr">
        <is>
          <t>PO-2021-1387</t>
        </is>
      </c>
      <c r="E2939" s="12" t="n">
        <v>4.09</v>
      </c>
      <c r="F2939" s="17" t="n">
        <v>84922.41</v>
      </c>
      <c r="G2939" s="14">
        <f>E2939*F2939</f>
        <v/>
      </c>
      <c r="H2939" s="14">
        <f>C2939*G2939</f>
        <v/>
      </c>
    </row>
    <row r="2940">
      <c r="A2940" s="12" t="inlineStr">
        <is>
          <t>RET-0227</t>
        </is>
      </c>
      <c r="B2940" s="12" t="inlineStr">
        <is>
          <t>VS15</t>
        </is>
      </c>
      <c r="C2940" s="28" t="n">
        <v>0.0064</v>
      </c>
      <c r="D2940" s="12" t="inlineStr">
        <is>
          <t>PO-2021-1563</t>
        </is>
      </c>
      <c r="E2940" s="12" t="n">
        <v>4.09</v>
      </c>
      <c r="F2940" s="17" t="n">
        <v>66888.25</v>
      </c>
      <c r="G2940" s="14">
        <f>E2940*F2940</f>
        <v/>
      </c>
      <c r="H2940" s="14">
        <f>C2940*G2940</f>
        <v/>
      </c>
    </row>
    <row r="2941">
      <c r="A2941" s="12" t="inlineStr">
        <is>
          <t>RET-0227</t>
        </is>
      </c>
      <c r="B2941" s="12" t="inlineStr">
        <is>
          <t>VS16</t>
        </is>
      </c>
      <c r="C2941" s="28" t="n">
        <v>0.0277</v>
      </c>
      <c r="D2941" s="12" t="inlineStr">
        <is>
          <t>PO-2022-2659</t>
        </is>
      </c>
      <c r="E2941" s="12" t="n">
        <v>4.09</v>
      </c>
      <c r="F2941" s="17" t="n">
        <v>90517.60000000001</v>
      </c>
      <c r="G2941" s="14">
        <f>E2941*F2941</f>
        <v/>
      </c>
      <c r="H2941" s="14">
        <f>C2941*G2941</f>
        <v/>
      </c>
    </row>
    <row r="2942">
      <c r="A2942" s="12" t="inlineStr">
        <is>
          <t>RET-0227</t>
        </is>
      </c>
      <c r="B2942" s="12" t="inlineStr">
        <is>
          <t>VS17</t>
        </is>
      </c>
      <c r="C2942" s="28" t="n">
        <v>0.0276</v>
      </c>
      <c r="D2942" s="12" t="inlineStr">
        <is>
          <t>PO-2023-3309</t>
        </is>
      </c>
      <c r="E2942" s="12" t="n">
        <v>4.09</v>
      </c>
      <c r="F2942" s="17" t="n">
        <v>92986.41</v>
      </c>
      <c r="G2942" s="14">
        <f>E2942*F2942</f>
        <v/>
      </c>
      <c r="H2942" s="14">
        <f>C2942*G2942</f>
        <v/>
      </c>
    </row>
    <row r="2943">
      <c r="A2943" s="12" t="inlineStr">
        <is>
          <t>RET-0227</t>
        </is>
      </c>
      <c r="B2943" s="12" t="inlineStr">
        <is>
          <t>VS18</t>
        </is>
      </c>
      <c r="C2943" s="28" t="n">
        <v>0.0192</v>
      </c>
      <c r="D2943" s="12" t="inlineStr">
        <is>
          <t>PO-2023-4529</t>
        </is>
      </c>
      <c r="E2943" s="12" t="n">
        <v>4.09</v>
      </c>
      <c r="F2943" s="17" t="n">
        <v>101194.37</v>
      </c>
      <c r="G2943" s="14">
        <f>E2943*F2943</f>
        <v/>
      </c>
      <c r="H2943" s="14">
        <f>C2943*G2943</f>
        <v/>
      </c>
    </row>
    <row r="2944">
      <c r="A2944" s="12" t="inlineStr">
        <is>
          <t>RET-0227</t>
        </is>
      </c>
      <c r="B2944" s="12" t="inlineStr">
        <is>
          <t>VS19</t>
        </is>
      </c>
      <c r="C2944" s="28" t="n">
        <v>0.1468</v>
      </c>
      <c r="D2944" s="12" t="inlineStr">
        <is>
          <t>PO-2023-3306</t>
        </is>
      </c>
      <c r="E2944" s="12" t="n">
        <v>4.09</v>
      </c>
      <c r="F2944" s="17" t="n">
        <v>51362.2</v>
      </c>
      <c r="G2944" s="14">
        <f>E2944*F2944</f>
        <v/>
      </c>
      <c r="H2944" s="14">
        <f>C2944*G2944</f>
        <v/>
      </c>
    </row>
    <row r="2945">
      <c r="A2945" s="12" t="inlineStr">
        <is>
          <t>RET-0227</t>
        </is>
      </c>
      <c r="B2945" s="12" t="inlineStr">
        <is>
          <t>VS20</t>
        </is>
      </c>
      <c r="C2945" s="28" t="n">
        <v>0.0107</v>
      </c>
      <c r="D2945" s="12" t="inlineStr">
        <is>
          <t>PO-2023-4084</t>
        </is>
      </c>
      <c r="E2945" s="12" t="n">
        <v>2.28</v>
      </c>
      <c r="F2945" s="17" t="n">
        <v>114547.05</v>
      </c>
      <c r="G2945" s="14">
        <f>E2945*F2945</f>
        <v/>
      </c>
      <c r="H2945" s="14">
        <f>C2945*G2945</f>
        <v/>
      </c>
    </row>
    <row r="2946">
      <c r="A2946" s="12" t="inlineStr">
        <is>
          <t>RET-0227</t>
        </is>
      </c>
      <c r="B2946" s="12" t="inlineStr">
        <is>
          <t>VS21</t>
        </is>
      </c>
      <c r="C2946" s="28" t="n">
        <v>0.0107</v>
      </c>
      <c r="D2946" s="12" t="inlineStr">
        <is>
          <t>PO-2021-0572</t>
        </is>
      </c>
      <c r="E2946" s="12" t="n">
        <v>1.23</v>
      </c>
      <c r="F2946" s="17" t="n">
        <v>65514.59</v>
      </c>
      <c r="G2946" s="14">
        <f>E2946*F2946</f>
        <v/>
      </c>
      <c r="H2946" s="14">
        <f>C2946*G2946</f>
        <v/>
      </c>
    </row>
    <row r="2947">
      <c r="A2947" s="12" t="inlineStr">
        <is>
          <t>RET-0227</t>
        </is>
      </c>
      <c r="B2947" s="12" t="inlineStr">
        <is>
          <t>VS22</t>
        </is>
      </c>
      <c r="C2947" s="28" t="n">
        <v>0.0064</v>
      </c>
      <c r="D2947" s="12" t="inlineStr">
        <is>
          <t>PO-2022-2910</t>
        </is>
      </c>
      <c r="E2947" s="12" t="n">
        <v>4.09</v>
      </c>
      <c r="F2947" s="17" t="n">
        <v>59661.43</v>
      </c>
      <c r="G2947" s="14">
        <f>E2947*F2947</f>
        <v/>
      </c>
      <c r="H2947" s="14">
        <f>C2947*G2947</f>
        <v/>
      </c>
    </row>
    <row r="2948">
      <c r="A2948" s="12" t="inlineStr">
        <is>
          <t>RET-0227</t>
        </is>
      </c>
      <c r="B2948" s="12" t="inlineStr">
        <is>
          <t>VS23</t>
        </is>
      </c>
      <c r="C2948" s="28" t="n">
        <v>0.0105</v>
      </c>
      <c r="D2948" s="12" t="inlineStr">
        <is>
          <t>PO-2023-3217</t>
        </is>
      </c>
      <c r="E2948" s="12" t="n">
        <v>4.09</v>
      </c>
      <c r="F2948" s="17" t="n">
        <v>51872.85</v>
      </c>
      <c r="G2948" s="14">
        <f>E2948*F2948</f>
        <v/>
      </c>
      <c r="H2948" s="14">
        <f>C2948*G2948</f>
        <v/>
      </c>
    </row>
    <row r="2949">
      <c r="A2949" s="12" t="inlineStr">
        <is>
          <t>RET-0227</t>
        </is>
      </c>
      <c r="B2949" s="12" t="inlineStr">
        <is>
          <t>VS24</t>
        </is>
      </c>
      <c r="C2949" s="28" t="n">
        <v>0.0107</v>
      </c>
      <c r="D2949" s="12" t="inlineStr">
        <is>
          <t>PO-2022-2466</t>
        </is>
      </c>
      <c r="E2949" s="12" t="n">
        <v>2.99</v>
      </c>
      <c r="F2949" s="17" t="n">
        <v>50271</v>
      </c>
      <c r="G2949" s="14">
        <f>E2949*F2949</f>
        <v/>
      </c>
      <c r="H2949" s="14">
        <f>C2949*G2949</f>
        <v/>
      </c>
    </row>
    <row r="2950">
      <c r="A2950" s="12" t="inlineStr">
        <is>
          <t>RET-0227</t>
        </is>
      </c>
      <c r="B2950" s="12" t="inlineStr">
        <is>
          <t>VS25</t>
        </is>
      </c>
      <c r="C2950" s="28" t="n">
        <v>0.0193</v>
      </c>
      <c r="D2950" s="12" t="inlineStr">
        <is>
          <t>PO-2022-2427</t>
        </is>
      </c>
      <c r="E2950" s="12" t="n">
        <v>4.09</v>
      </c>
      <c r="F2950" s="17" t="n">
        <v>61756.7</v>
      </c>
      <c r="G2950" s="14">
        <f>E2950*F2950</f>
        <v/>
      </c>
      <c r="H2950" s="14">
        <f>C2950*G2950</f>
        <v/>
      </c>
    </row>
    <row r="2951">
      <c r="A2951" s="12" t="inlineStr">
        <is>
          <t>RET-0227</t>
        </is>
      </c>
      <c r="B2951" s="12" t="inlineStr">
        <is>
          <t>VS26</t>
        </is>
      </c>
      <c r="C2951" s="28" t="n">
        <v>0.0107</v>
      </c>
      <c r="D2951" s="12" t="inlineStr">
        <is>
          <t>PO-2021-1199</t>
        </is>
      </c>
      <c r="E2951" s="12" t="n">
        <v>4.09</v>
      </c>
      <c r="F2951" s="17" t="n">
        <v>110756.65</v>
      </c>
      <c r="G2951" s="14">
        <f>E2951*F2951</f>
        <v/>
      </c>
      <c r="H2951" s="14">
        <f>C2951*G2951</f>
        <v/>
      </c>
    </row>
    <row r="2952">
      <c r="A2952" s="12" t="inlineStr">
        <is>
          <t>RET-0227</t>
        </is>
      </c>
      <c r="B2952" s="12" t="inlineStr">
        <is>
          <t>VS27</t>
        </is>
      </c>
      <c r="C2952" s="28" t="n">
        <v>0.0105</v>
      </c>
      <c r="D2952" s="12" t="inlineStr">
        <is>
          <t>PO-2022-2558</t>
        </is>
      </c>
      <c r="E2952" s="12" t="n">
        <v>4.09</v>
      </c>
      <c r="F2952" s="17" t="n">
        <v>92365.35000000001</v>
      </c>
      <c r="G2952" s="14">
        <f>E2952*F2952</f>
        <v/>
      </c>
      <c r="H2952" s="14">
        <f>C2952*G2952</f>
        <v/>
      </c>
    </row>
    <row r="2953">
      <c r="A2953" s="12" t="inlineStr">
        <is>
          <t>RET-0227</t>
        </is>
      </c>
      <c r="B2953" s="12" t="inlineStr">
        <is>
          <t>VS28</t>
        </is>
      </c>
      <c r="C2953" s="28" t="n">
        <v>0.0235</v>
      </c>
      <c r="D2953" s="12" t="inlineStr">
        <is>
          <t>PO-2023-3432</t>
        </is>
      </c>
      <c r="E2953" s="12" t="n">
        <v>4.09</v>
      </c>
      <c r="F2953" s="17" t="n">
        <v>82952.07000000001</v>
      </c>
      <c r="G2953" s="14">
        <f>E2953*F2953</f>
        <v/>
      </c>
      <c r="H2953" s="14">
        <f>C2953*G2953</f>
        <v/>
      </c>
    </row>
    <row r="2954">
      <c r="A2954" s="12" t="inlineStr">
        <is>
          <t>RET-0227</t>
        </is>
      </c>
      <c r="B2954" s="12" t="inlineStr">
        <is>
          <t>VS29</t>
        </is>
      </c>
      <c r="C2954" s="28" t="n">
        <v>0.0149</v>
      </c>
      <c r="D2954" s="12" t="inlineStr">
        <is>
          <t>PO-2021-0208</t>
        </is>
      </c>
      <c r="E2954" s="12" t="n">
        <v>4.09</v>
      </c>
      <c r="F2954" s="17" t="n">
        <v>95727.22</v>
      </c>
      <c r="G2954" s="14">
        <f>E2954*F2954</f>
        <v/>
      </c>
      <c r="H2954" s="14">
        <f>C2954*G2954</f>
        <v/>
      </c>
    </row>
    <row r="2955">
      <c r="A2955" s="12" t="inlineStr">
        <is>
          <t>RET-0227</t>
        </is>
      </c>
      <c r="B2955" s="12" t="inlineStr">
        <is>
          <t>VS30</t>
        </is>
      </c>
      <c r="C2955" s="28" t="n">
        <v>0.0064</v>
      </c>
      <c r="D2955" s="12" t="inlineStr">
        <is>
          <t>PO-2021-0335</t>
        </is>
      </c>
      <c r="E2955" s="12" t="n">
        <v>4.09</v>
      </c>
      <c r="F2955" s="17" t="n">
        <v>117583.96</v>
      </c>
      <c r="G2955" s="14">
        <f>E2955*F2955</f>
        <v/>
      </c>
      <c r="H2955" s="14">
        <f>C2955*G2955</f>
        <v/>
      </c>
    </row>
    <row r="2956">
      <c r="A2956" s="12" t="inlineStr">
        <is>
          <t>RET-0227</t>
        </is>
      </c>
      <c r="B2956" s="12" t="inlineStr">
        <is>
          <t>VS31</t>
        </is>
      </c>
      <c r="C2956" s="28" t="n">
        <v>0.0234</v>
      </c>
      <c r="D2956" s="12" t="inlineStr">
        <is>
          <t>PO-2022-2601</t>
        </is>
      </c>
      <c r="E2956" s="12" t="n">
        <v>4.09</v>
      </c>
      <c r="F2956" s="17" t="n">
        <v>72084.61</v>
      </c>
      <c r="G2956" s="14">
        <f>E2956*F2956</f>
        <v/>
      </c>
      <c r="H2956" s="14">
        <f>C2956*G2956</f>
        <v/>
      </c>
    </row>
    <row r="2957">
      <c r="A2957" s="12" t="inlineStr">
        <is>
          <t>RET-0227</t>
        </is>
      </c>
      <c r="B2957" s="12" t="inlineStr">
        <is>
          <t>VS32</t>
        </is>
      </c>
      <c r="C2957" s="28" t="n">
        <v>0.0279</v>
      </c>
      <c r="D2957" s="12" t="inlineStr">
        <is>
          <t>PO-2022-2415</t>
        </is>
      </c>
      <c r="E2957" s="12" t="n">
        <v>4.09</v>
      </c>
      <c r="F2957" s="17" t="n">
        <v>71362.27</v>
      </c>
      <c r="G2957" s="14">
        <f>E2957*F2957</f>
        <v/>
      </c>
      <c r="H2957" s="14">
        <f>C2957*G2957</f>
        <v/>
      </c>
    </row>
    <row r="2958">
      <c r="A2958" s="12" t="inlineStr">
        <is>
          <t>RET-0227</t>
        </is>
      </c>
      <c r="B2958" s="12" t="inlineStr">
        <is>
          <t>VS33</t>
        </is>
      </c>
      <c r="C2958" s="28" t="n">
        <v>0.0149</v>
      </c>
      <c r="D2958" s="12" t="inlineStr">
        <is>
          <t>PO-2022-3032</t>
        </is>
      </c>
      <c r="E2958" s="12" t="n">
        <v>4.09</v>
      </c>
      <c r="F2958" s="17" t="n">
        <v>86778.44</v>
      </c>
      <c r="G2958" s="14">
        <f>E2958*F2958</f>
        <v/>
      </c>
      <c r="H2958" s="14">
        <f>C2958*G2958</f>
        <v/>
      </c>
    </row>
    <row r="2959">
      <c r="A2959" s="12" t="inlineStr">
        <is>
          <t>RET-0227</t>
        </is>
      </c>
      <c r="B2959" s="12" t="inlineStr">
        <is>
          <t>VS34</t>
        </is>
      </c>
      <c r="C2959" s="28" t="n">
        <v>0.0192</v>
      </c>
      <c r="D2959" s="12" t="inlineStr">
        <is>
          <t>PO-2021-0947</t>
        </is>
      </c>
      <c r="E2959" s="12" t="n">
        <v>4.09</v>
      </c>
      <c r="F2959" s="17" t="n">
        <v>51330.11</v>
      </c>
      <c r="G2959" s="14">
        <f>E2959*F2959</f>
        <v/>
      </c>
      <c r="H2959" s="14">
        <f>C2959*G2959</f>
        <v/>
      </c>
    </row>
    <row r="2960">
      <c r="A2960" s="12" t="inlineStr">
        <is>
          <t>RET-0229</t>
        </is>
      </c>
      <c r="B2960" s="12" t="inlineStr">
        <is>
          <t>VS01</t>
        </is>
      </c>
      <c r="C2960" s="28" t="n">
        <v>0.0171</v>
      </c>
      <c r="D2960" s="12" t="inlineStr">
        <is>
          <t>PO-2022-3074</t>
        </is>
      </c>
      <c r="E2960" s="12" t="n">
        <v>1.47</v>
      </c>
      <c r="F2960" s="17" t="n">
        <v>103972.59</v>
      </c>
      <c r="G2960" s="14">
        <f>E2960*F2960</f>
        <v/>
      </c>
      <c r="H2960" s="14">
        <f>C2960*G2960</f>
        <v/>
      </c>
    </row>
    <row r="2961">
      <c r="A2961" s="12" t="inlineStr">
        <is>
          <t>RET-0229</t>
        </is>
      </c>
      <c r="B2961" s="12" t="inlineStr">
        <is>
          <t>VS02</t>
        </is>
      </c>
      <c r="C2961" s="28" t="n">
        <v>0.0078</v>
      </c>
      <c r="D2961" s="12" t="inlineStr">
        <is>
          <t>PO-2022-2813</t>
        </is>
      </c>
      <c r="E2961" s="12" t="n">
        <v>1.47</v>
      </c>
      <c r="F2961" s="17" t="n">
        <v>116719.42</v>
      </c>
      <c r="G2961" s="14">
        <f>E2961*F2961</f>
        <v/>
      </c>
      <c r="H2961" s="14">
        <f>C2961*G2961</f>
        <v/>
      </c>
    </row>
    <row r="2962">
      <c r="A2962" s="12" t="inlineStr">
        <is>
          <t>RET-0229</t>
        </is>
      </c>
      <c r="B2962" s="12" t="inlineStr">
        <is>
          <t>VS03</t>
        </is>
      </c>
      <c r="C2962" s="28" t="n">
        <v>0.1812</v>
      </c>
      <c r="D2962" s="12" t="inlineStr">
        <is>
          <t>PO-2023-4727</t>
        </is>
      </c>
      <c r="E2962" s="12" t="n">
        <v>0</v>
      </c>
      <c r="F2962" s="17" t="n">
        <v>72239.2</v>
      </c>
      <c r="G2962" s="14">
        <f>E2962*F2962</f>
        <v/>
      </c>
      <c r="H2962" s="14">
        <f>C2962*G2962</f>
        <v/>
      </c>
    </row>
    <row r="2963">
      <c r="A2963" s="12" t="inlineStr">
        <is>
          <t>RET-0229</t>
        </is>
      </c>
      <c r="B2963" s="12" t="inlineStr">
        <is>
          <t>VS04</t>
        </is>
      </c>
      <c r="C2963" s="28" t="n">
        <v>0.0107</v>
      </c>
      <c r="D2963" s="12" t="inlineStr">
        <is>
          <t>PO-2022-2930</t>
        </is>
      </c>
      <c r="E2963" s="12" t="n">
        <v>1.47</v>
      </c>
      <c r="F2963" s="17" t="n">
        <v>64963.06</v>
      </c>
      <c r="G2963" s="14">
        <f>E2963*F2963</f>
        <v/>
      </c>
      <c r="H2963" s="14">
        <f>C2963*G2963</f>
        <v/>
      </c>
    </row>
    <row r="2964">
      <c r="A2964" s="12" t="inlineStr">
        <is>
          <t>RET-0229</t>
        </is>
      </c>
      <c r="B2964" s="12" t="inlineStr">
        <is>
          <t>VS05</t>
        </is>
      </c>
      <c r="C2964" s="28" t="n">
        <v>0.014</v>
      </c>
      <c r="D2964" s="12" t="inlineStr">
        <is>
          <t>PO-2022-3021</t>
        </is>
      </c>
      <c r="E2964" s="12" t="n">
        <v>1.47</v>
      </c>
      <c r="F2964" s="17" t="n">
        <v>61308.2</v>
      </c>
      <c r="G2964" s="14">
        <f>E2964*F2964</f>
        <v/>
      </c>
      <c r="H2964" s="14">
        <f>C2964*G2964</f>
        <v/>
      </c>
    </row>
    <row r="2965">
      <c r="A2965" s="12" t="inlineStr">
        <is>
          <t>RET-0229</t>
        </is>
      </c>
      <c r="B2965" s="12" t="inlineStr">
        <is>
          <t>VS06</t>
        </is>
      </c>
      <c r="C2965" s="28" t="n">
        <v>0.0141</v>
      </c>
      <c r="D2965" s="12" t="inlineStr">
        <is>
          <t>PO-2023-4693</t>
        </is>
      </c>
      <c r="E2965" s="12" t="n">
        <v>1.47</v>
      </c>
      <c r="F2965" s="17" t="n">
        <v>70845.97</v>
      </c>
      <c r="G2965" s="14">
        <f>E2965*F2965</f>
        <v/>
      </c>
      <c r="H2965" s="14">
        <f>C2965*G2965</f>
        <v/>
      </c>
    </row>
    <row r="2966">
      <c r="A2966" s="12" t="inlineStr">
        <is>
          <t>RET-0229</t>
        </is>
      </c>
      <c r="B2966" s="12" t="inlineStr">
        <is>
          <t>VS07</t>
        </is>
      </c>
      <c r="C2966" s="28" t="n">
        <v>0.0047</v>
      </c>
      <c r="D2966" s="12" t="inlineStr">
        <is>
          <t>PO-2021-0513</t>
        </is>
      </c>
      <c r="E2966" s="12" t="n">
        <v>1.47</v>
      </c>
      <c r="F2966" s="17" t="n">
        <v>88354.16</v>
      </c>
      <c r="G2966" s="14">
        <f>E2966*F2966</f>
        <v/>
      </c>
      <c r="H2966" s="14">
        <f>C2966*G2966</f>
        <v/>
      </c>
    </row>
    <row r="2967">
      <c r="A2967" s="12" t="inlineStr">
        <is>
          <t>RET-0229</t>
        </is>
      </c>
      <c r="B2967" s="12" t="inlineStr">
        <is>
          <t>VS08</t>
        </is>
      </c>
      <c r="C2967" s="28" t="n">
        <v>0.0142</v>
      </c>
      <c r="D2967" s="12" t="inlineStr">
        <is>
          <t>PO-2021-1584</t>
        </is>
      </c>
      <c r="E2967" s="12" t="n">
        <v>1.47</v>
      </c>
      <c r="F2967" s="17" t="n">
        <v>53260.17</v>
      </c>
      <c r="G2967" s="14">
        <f>E2967*F2967</f>
        <v/>
      </c>
      <c r="H2967" s="14">
        <f>C2967*G2967</f>
        <v/>
      </c>
    </row>
    <row r="2968">
      <c r="A2968" s="12" t="inlineStr">
        <is>
          <t>RET-0229</t>
        </is>
      </c>
      <c r="B2968" s="12" t="inlineStr">
        <is>
          <t>VS09</t>
        </is>
      </c>
      <c r="C2968" s="28" t="n">
        <v>0.0109</v>
      </c>
      <c r="D2968" s="12" t="inlineStr">
        <is>
          <t>PO-2021-0878</t>
        </is>
      </c>
      <c r="E2968" s="12" t="n">
        <v>1.47</v>
      </c>
      <c r="F2968" s="17" t="n">
        <v>92389.32000000001</v>
      </c>
      <c r="G2968" s="14">
        <f>E2968*F2968</f>
        <v/>
      </c>
      <c r="H2968" s="14">
        <f>C2968*G2968</f>
        <v/>
      </c>
    </row>
    <row r="2969">
      <c r="A2969" s="12" t="inlineStr">
        <is>
          <t>RET-0229</t>
        </is>
      </c>
      <c r="B2969" s="12" t="inlineStr">
        <is>
          <t>VS10</t>
        </is>
      </c>
      <c r="C2969" s="28" t="n">
        <v>0.0171</v>
      </c>
      <c r="D2969" s="12" t="inlineStr">
        <is>
          <t>PO-2021-1193</t>
        </is>
      </c>
      <c r="E2969" s="12" t="n">
        <v>1.47</v>
      </c>
      <c r="F2969" s="17" t="n">
        <v>93541.89999999999</v>
      </c>
      <c r="G2969" s="14">
        <f>E2969*F2969</f>
        <v/>
      </c>
      <c r="H2969" s="14">
        <f>C2969*G2969</f>
        <v/>
      </c>
    </row>
    <row r="2970">
      <c r="A2970" s="12" t="inlineStr">
        <is>
          <t>RET-0229</t>
        </is>
      </c>
      <c r="B2970" s="12" t="inlineStr">
        <is>
          <t>VS11</t>
        </is>
      </c>
      <c r="C2970" s="28" t="n">
        <v>0.02</v>
      </c>
      <c r="D2970" s="12" t="inlineStr">
        <is>
          <t>PO-2021-1105</t>
        </is>
      </c>
      <c r="E2970" s="12" t="n">
        <v>1.47</v>
      </c>
      <c r="F2970" s="17" t="n">
        <v>68434.48</v>
      </c>
      <c r="G2970" s="14">
        <f>E2970*F2970</f>
        <v/>
      </c>
      <c r="H2970" s="14">
        <f>C2970*G2970</f>
        <v/>
      </c>
    </row>
    <row r="2971">
      <c r="A2971" s="12" t="inlineStr">
        <is>
          <t>RET-0229</t>
        </is>
      </c>
      <c r="B2971" s="12" t="inlineStr">
        <is>
          <t>VS12</t>
        </is>
      </c>
      <c r="C2971" s="28" t="n">
        <v>0.2519</v>
      </c>
      <c r="D2971" s="12" t="inlineStr">
        <is>
          <t>PO-2021-0966</t>
        </is>
      </c>
      <c r="E2971" s="12" t="n">
        <v>1.47</v>
      </c>
      <c r="F2971" s="17" t="n">
        <v>88969.31</v>
      </c>
      <c r="G2971" s="14">
        <f>E2971*F2971</f>
        <v/>
      </c>
      <c r="H2971" s="14">
        <f>C2971*G2971</f>
        <v/>
      </c>
    </row>
    <row r="2972">
      <c r="A2972" s="12" t="inlineStr">
        <is>
          <t>RET-0229</t>
        </is>
      </c>
      <c r="B2972" s="12" t="inlineStr">
        <is>
          <t>VS13</t>
        </is>
      </c>
      <c r="C2972" s="28" t="n">
        <v>0.0138</v>
      </c>
      <c r="D2972" s="12" t="inlineStr">
        <is>
          <t>PO-2022-2309</t>
        </is>
      </c>
      <c r="E2972" s="12" t="n">
        <v>1.47</v>
      </c>
      <c r="F2972" s="17" t="n">
        <v>51247.96</v>
      </c>
      <c r="G2972" s="14">
        <f>E2972*F2972</f>
        <v/>
      </c>
      <c r="H2972" s="14">
        <f>C2972*G2972</f>
        <v/>
      </c>
    </row>
    <row r="2973">
      <c r="A2973" s="12" t="inlineStr">
        <is>
          <t>RET-0229</t>
        </is>
      </c>
      <c r="B2973" s="12" t="inlineStr">
        <is>
          <t>VS14</t>
        </is>
      </c>
      <c r="C2973" s="28" t="n">
        <v>0.0139</v>
      </c>
      <c r="D2973" s="12" t="inlineStr">
        <is>
          <t>PO-2023-4235</t>
        </is>
      </c>
      <c r="E2973" s="12" t="n">
        <v>1.47</v>
      </c>
      <c r="F2973" s="17" t="n">
        <v>107565.96</v>
      </c>
      <c r="G2973" s="14">
        <f>E2973*F2973</f>
        <v/>
      </c>
      <c r="H2973" s="14">
        <f>C2973*G2973</f>
        <v/>
      </c>
    </row>
    <row r="2974">
      <c r="A2974" s="12" t="inlineStr">
        <is>
          <t>RET-0229</t>
        </is>
      </c>
      <c r="B2974" s="12" t="inlineStr">
        <is>
          <t>VS15</t>
        </is>
      </c>
      <c r="C2974" s="28" t="n">
        <v>0.0047</v>
      </c>
      <c r="D2974" s="12" t="inlineStr">
        <is>
          <t>PO-2023-3436</t>
        </is>
      </c>
      <c r="E2974" s="12" t="n">
        <v>1.47</v>
      </c>
      <c r="F2974" s="17" t="n">
        <v>103818.67</v>
      </c>
      <c r="G2974" s="14">
        <f>E2974*F2974</f>
        <v/>
      </c>
      <c r="H2974" s="14">
        <f>C2974*G2974</f>
        <v/>
      </c>
    </row>
    <row r="2975">
      <c r="A2975" s="12" t="inlineStr">
        <is>
          <t>RET-0229</t>
        </is>
      </c>
      <c r="B2975" s="12" t="inlineStr">
        <is>
          <t>VS16</t>
        </is>
      </c>
      <c r="C2975" s="28" t="n">
        <v>0.0201</v>
      </c>
      <c r="D2975" s="12" t="inlineStr">
        <is>
          <t>PO-2022-2179</t>
        </is>
      </c>
      <c r="E2975" s="12" t="n">
        <v>1.47</v>
      </c>
      <c r="F2975" s="17" t="n">
        <v>117243.33</v>
      </c>
      <c r="G2975" s="14">
        <f>E2975*F2975</f>
        <v/>
      </c>
      <c r="H2975" s="14">
        <f>C2975*G2975</f>
        <v/>
      </c>
    </row>
    <row r="2976">
      <c r="A2976" s="12" t="inlineStr">
        <is>
          <t>RET-0229</t>
        </is>
      </c>
      <c r="B2976" s="12" t="inlineStr">
        <is>
          <t>VS17</t>
        </is>
      </c>
      <c r="C2976" s="28" t="n">
        <v>0.02</v>
      </c>
      <c r="D2976" s="12" t="inlineStr">
        <is>
          <t>PO-2023-3617</t>
        </is>
      </c>
      <c r="E2976" s="12" t="n">
        <v>1.47</v>
      </c>
      <c r="F2976" s="17" t="n">
        <v>54046.08</v>
      </c>
      <c r="G2976" s="14">
        <f>E2976*F2976</f>
        <v/>
      </c>
      <c r="H2976" s="14">
        <f>C2976*G2976</f>
        <v/>
      </c>
    </row>
    <row r="2977">
      <c r="A2977" s="12" t="inlineStr">
        <is>
          <t>RET-0229</t>
        </is>
      </c>
      <c r="B2977" s="12" t="inlineStr">
        <is>
          <t>VS18</t>
        </is>
      </c>
      <c r="C2977" s="28" t="n">
        <v>0.0139</v>
      </c>
      <c r="D2977" s="12" t="inlineStr">
        <is>
          <t>PO-2023-3200</t>
        </is>
      </c>
      <c r="E2977" s="12" t="n">
        <v>1.47</v>
      </c>
      <c r="F2977" s="17" t="n">
        <v>82291.50999999999</v>
      </c>
      <c r="G2977" s="14">
        <f>E2977*F2977</f>
        <v/>
      </c>
      <c r="H2977" s="14">
        <f>C2977*G2977</f>
        <v/>
      </c>
    </row>
    <row r="2978">
      <c r="A2978" s="12" t="inlineStr">
        <is>
          <t>RET-0229</t>
        </is>
      </c>
      <c r="B2978" s="12" t="inlineStr">
        <is>
          <t>VS19</t>
        </is>
      </c>
      <c r="C2978" s="28" t="n">
        <v>0.19</v>
      </c>
      <c r="D2978" s="12" t="inlineStr">
        <is>
          <t>PO-2021-1160</t>
        </is>
      </c>
      <c r="E2978" s="12" t="n">
        <v>1.47</v>
      </c>
      <c r="F2978" s="17" t="n">
        <v>80442.07000000001</v>
      </c>
      <c r="G2978" s="14">
        <f>E2978*F2978</f>
        <v/>
      </c>
      <c r="H2978" s="14">
        <f>C2978*G2978</f>
        <v/>
      </c>
    </row>
    <row r="2979">
      <c r="A2979" s="12" t="inlineStr">
        <is>
          <t>RET-0229</t>
        </is>
      </c>
      <c r="B2979" s="12" t="inlineStr">
        <is>
          <t>VS20</t>
        </is>
      </c>
      <c r="C2979" s="28" t="n">
        <v>0.0078</v>
      </c>
      <c r="D2979" s="12" t="inlineStr">
        <is>
          <t>PO-2021-1553</t>
        </is>
      </c>
      <c r="E2979" s="12" t="n">
        <v>1.47</v>
      </c>
      <c r="F2979" s="17" t="n">
        <v>60149.93</v>
      </c>
      <c r="G2979" s="14">
        <f>E2979*F2979</f>
        <v/>
      </c>
      <c r="H2979" s="14">
        <f>C2979*G2979</f>
        <v/>
      </c>
    </row>
    <row r="2980">
      <c r="A2980" s="12" t="inlineStr">
        <is>
          <t>RET-0229</t>
        </is>
      </c>
      <c r="B2980" s="12" t="inlineStr">
        <is>
          <t>VS21</t>
        </is>
      </c>
      <c r="C2980" s="28" t="n">
        <v>0.0078</v>
      </c>
      <c r="D2980" s="12" t="inlineStr">
        <is>
          <t>PO-2021-0920</t>
        </is>
      </c>
      <c r="E2980" s="12" t="n">
        <v>1.47</v>
      </c>
      <c r="F2980" s="17" t="n">
        <v>49611.17</v>
      </c>
      <c r="G2980" s="14">
        <f>E2980*F2980</f>
        <v/>
      </c>
      <c r="H2980" s="14">
        <f>C2980*G2980</f>
        <v/>
      </c>
    </row>
    <row r="2981">
      <c r="A2981" s="12" t="inlineStr">
        <is>
          <t>RET-0229</t>
        </is>
      </c>
      <c r="B2981" s="12" t="inlineStr">
        <is>
          <t>VS22</t>
        </is>
      </c>
      <c r="C2981" s="28" t="n">
        <v>0.0046</v>
      </c>
      <c r="D2981" s="12" t="inlineStr">
        <is>
          <t>PO-2022-2156</t>
        </is>
      </c>
      <c r="E2981" s="12" t="n">
        <v>1.47</v>
      </c>
      <c r="F2981" s="17" t="n">
        <v>79223.7</v>
      </c>
      <c r="G2981" s="14">
        <f>E2981*F2981</f>
        <v/>
      </c>
      <c r="H2981" s="14">
        <f>C2981*G2981</f>
        <v/>
      </c>
    </row>
    <row r="2982">
      <c r="A2982" s="12" t="inlineStr">
        <is>
          <t>RET-0229</t>
        </is>
      </c>
      <c r="B2982" s="12" t="inlineStr">
        <is>
          <t>VS23</t>
        </is>
      </c>
      <c r="C2982" s="28" t="n">
        <v>0.0077</v>
      </c>
      <c r="D2982" s="12" t="inlineStr">
        <is>
          <t>PO-2023-3377</t>
        </is>
      </c>
      <c r="E2982" s="12" t="n">
        <v>1.47</v>
      </c>
      <c r="F2982" s="17" t="n">
        <v>95666.77</v>
      </c>
      <c r="G2982" s="14">
        <f>E2982*F2982</f>
        <v/>
      </c>
      <c r="H2982" s="14">
        <f>C2982*G2982</f>
        <v/>
      </c>
    </row>
    <row r="2983">
      <c r="A2983" s="12" t="inlineStr">
        <is>
          <t>RET-0229</t>
        </is>
      </c>
      <c r="B2983" s="12" t="inlineStr">
        <is>
          <t>VS24</t>
        </is>
      </c>
      <c r="C2983" s="28" t="n">
        <v>0.0077</v>
      </c>
      <c r="D2983" s="12" t="inlineStr">
        <is>
          <t>PO-2022-3065</t>
        </is>
      </c>
      <c r="E2983" s="12" t="n">
        <v>1.47</v>
      </c>
      <c r="F2983" s="17" t="n">
        <v>48402.86</v>
      </c>
      <c r="G2983" s="14">
        <f>E2983*F2983</f>
        <v/>
      </c>
      <c r="H2983" s="14">
        <f>C2983*G2983</f>
        <v/>
      </c>
    </row>
    <row r="2984">
      <c r="A2984" s="12" t="inlineStr">
        <is>
          <t>RET-0229</t>
        </is>
      </c>
      <c r="B2984" s="12" t="inlineStr">
        <is>
          <t>VS25</t>
        </is>
      </c>
      <c r="C2984" s="28" t="n">
        <v>0.014</v>
      </c>
      <c r="D2984" s="12" t="inlineStr">
        <is>
          <t>PO-2022-2839</t>
        </is>
      </c>
      <c r="E2984" s="12" t="n">
        <v>1.47</v>
      </c>
      <c r="F2984" s="17" t="n">
        <v>117232.15</v>
      </c>
      <c r="G2984" s="14">
        <f>E2984*F2984</f>
        <v/>
      </c>
      <c r="H2984" s="14">
        <f>C2984*G2984</f>
        <v/>
      </c>
    </row>
    <row r="2985">
      <c r="A2985" s="12" t="inlineStr">
        <is>
          <t>RET-0229</t>
        </is>
      </c>
      <c r="B2985" s="12" t="inlineStr">
        <is>
          <t>VS26</t>
        </is>
      </c>
      <c r="C2985" s="28" t="n">
        <v>0.0078</v>
      </c>
      <c r="D2985" s="12" t="inlineStr">
        <is>
          <t>PO-2023-4719</t>
        </is>
      </c>
      <c r="E2985" s="12" t="n">
        <v>1.47</v>
      </c>
      <c r="F2985" s="17" t="n">
        <v>65024.62</v>
      </c>
      <c r="G2985" s="14">
        <f>E2985*F2985</f>
        <v/>
      </c>
      <c r="H2985" s="14">
        <f>C2985*G2985</f>
        <v/>
      </c>
    </row>
    <row r="2986">
      <c r="A2986" s="12" t="inlineStr">
        <is>
          <t>RET-0229</t>
        </is>
      </c>
      <c r="B2986" s="12" t="inlineStr">
        <is>
          <t>VS27</t>
        </is>
      </c>
      <c r="C2986" s="28" t="n">
        <v>0.0077</v>
      </c>
      <c r="D2986" s="12" t="inlineStr">
        <is>
          <t>PO-2023-4076</t>
        </is>
      </c>
      <c r="E2986" s="12" t="n">
        <v>1.47</v>
      </c>
      <c r="F2986" s="17" t="n">
        <v>100527.7</v>
      </c>
      <c r="G2986" s="14">
        <f>E2986*F2986</f>
        <v/>
      </c>
      <c r="H2986" s="14">
        <f>C2986*G2986</f>
        <v/>
      </c>
    </row>
    <row r="2987">
      <c r="A2987" s="12" t="inlineStr">
        <is>
          <t>RET-0229</t>
        </is>
      </c>
      <c r="B2987" s="12" t="inlineStr">
        <is>
          <t>VS28</t>
        </is>
      </c>
      <c r="C2987" s="28" t="n">
        <v>0.0171</v>
      </c>
      <c r="D2987" s="12" t="inlineStr">
        <is>
          <t>PO-2021-1140</t>
        </is>
      </c>
      <c r="E2987" s="12" t="n">
        <v>1.47</v>
      </c>
      <c r="F2987" s="17" t="n">
        <v>117248.65</v>
      </c>
      <c r="G2987" s="14">
        <f>E2987*F2987</f>
        <v/>
      </c>
      <c r="H2987" s="14">
        <f>C2987*G2987</f>
        <v/>
      </c>
    </row>
    <row r="2988">
      <c r="A2988" s="12" t="inlineStr">
        <is>
          <t>RET-0229</t>
        </is>
      </c>
      <c r="B2988" s="12" t="inlineStr">
        <is>
          <t>VS29</t>
        </is>
      </c>
      <c r="C2988" s="28" t="n">
        <v>0.0109</v>
      </c>
      <c r="D2988" s="12" t="inlineStr">
        <is>
          <t>PO-2021-1590</t>
        </is>
      </c>
      <c r="E2988" s="12" t="n">
        <v>1.47</v>
      </c>
      <c r="F2988" s="17" t="n">
        <v>53487.3</v>
      </c>
      <c r="G2988" s="14">
        <f>E2988*F2988</f>
        <v/>
      </c>
      <c r="H2988" s="14">
        <f>C2988*G2988</f>
        <v/>
      </c>
    </row>
    <row r="2989">
      <c r="A2989" s="12" t="inlineStr">
        <is>
          <t>RET-0229</t>
        </is>
      </c>
      <c r="B2989" s="12" t="inlineStr">
        <is>
          <t>VS30</t>
        </is>
      </c>
      <c r="C2989" s="28" t="n">
        <v>0.0047</v>
      </c>
      <c r="D2989" s="12" t="inlineStr">
        <is>
          <t>PO-2021-0911</t>
        </is>
      </c>
      <c r="E2989" s="12" t="n">
        <v>1.47</v>
      </c>
      <c r="F2989" s="17" t="n">
        <v>80650.08</v>
      </c>
      <c r="G2989" s="14">
        <f>E2989*F2989</f>
        <v/>
      </c>
      <c r="H2989" s="14">
        <f>C2989*G2989</f>
        <v/>
      </c>
    </row>
    <row r="2990">
      <c r="A2990" s="12" t="inlineStr">
        <is>
          <t>RET-0229</t>
        </is>
      </c>
      <c r="B2990" s="12" t="inlineStr">
        <is>
          <t>VS31</t>
        </is>
      </c>
      <c r="C2990" s="28" t="n">
        <v>0.017</v>
      </c>
      <c r="D2990" s="12" t="inlineStr">
        <is>
          <t>PO-2022-2426</t>
        </is>
      </c>
      <c r="E2990" s="12" t="n">
        <v>1.47</v>
      </c>
      <c r="F2990" s="17" t="n">
        <v>74047.78</v>
      </c>
      <c r="G2990" s="14">
        <f>E2990*F2990</f>
        <v/>
      </c>
      <c r="H2990" s="14">
        <f>C2990*G2990</f>
        <v/>
      </c>
    </row>
    <row r="2991">
      <c r="A2991" s="12" t="inlineStr">
        <is>
          <t>RET-0229</t>
        </is>
      </c>
      <c r="B2991" s="12" t="inlineStr">
        <is>
          <t>VS32</t>
        </is>
      </c>
      <c r="C2991" s="28" t="n">
        <v>0.0203</v>
      </c>
      <c r="D2991" s="12" t="inlineStr">
        <is>
          <t>PO-2021-1098</t>
        </is>
      </c>
      <c r="E2991" s="12" t="n">
        <v>1.47</v>
      </c>
      <c r="F2991" s="17" t="n">
        <v>115680.23</v>
      </c>
      <c r="G2991" s="14">
        <f>E2991*F2991</f>
        <v/>
      </c>
      <c r="H2991" s="14">
        <f>C2991*G2991</f>
        <v/>
      </c>
    </row>
    <row r="2992">
      <c r="A2992" s="12" t="inlineStr">
        <is>
          <t>RET-0229</t>
        </is>
      </c>
      <c r="B2992" s="12" t="inlineStr">
        <is>
          <t>VS33</t>
        </is>
      </c>
      <c r="C2992" s="28" t="n">
        <v>0.0108</v>
      </c>
      <c r="D2992" s="12" t="inlineStr">
        <is>
          <t>PO-2023-4493</t>
        </is>
      </c>
      <c r="E2992" s="12" t="n">
        <v>1.47</v>
      </c>
      <c r="F2992" s="17" t="n">
        <v>61233.8</v>
      </c>
      <c r="G2992" s="14">
        <f>E2992*F2992</f>
        <v/>
      </c>
      <c r="H2992" s="14">
        <f>C2992*G2992</f>
        <v/>
      </c>
    </row>
    <row r="2993">
      <c r="A2993" s="12" t="inlineStr">
        <is>
          <t>RET-0229</t>
        </is>
      </c>
      <c r="B2993" s="12" t="inlineStr">
        <is>
          <t>VS34</t>
        </is>
      </c>
      <c r="C2993" s="28" t="n">
        <v>0.014</v>
      </c>
      <c r="D2993" s="12" t="inlineStr">
        <is>
          <t>PO-2021-1343</t>
        </is>
      </c>
      <c r="E2993" s="12" t="n">
        <v>1.47</v>
      </c>
      <c r="F2993" s="17" t="n">
        <v>82109.39999999999</v>
      </c>
      <c r="G2993" s="14">
        <f>E2993*F2993</f>
        <v/>
      </c>
      <c r="H2993" s="14">
        <f>C2993*G2993</f>
        <v/>
      </c>
    </row>
    <row r="2994">
      <c r="A2994" s="12" t="inlineStr">
        <is>
          <t>RET-0230</t>
        </is>
      </c>
      <c r="B2994" s="12" t="inlineStr">
        <is>
          <t>VS01</t>
        </is>
      </c>
      <c r="C2994" s="28" t="n">
        <v>0.0266</v>
      </c>
      <c r="D2994" s="12" t="inlineStr">
        <is>
          <t>PO-2022-2673</t>
        </is>
      </c>
      <c r="E2994" s="12" t="n">
        <v>2.85</v>
      </c>
      <c r="F2994" s="17" t="n">
        <v>73342.17999999999</v>
      </c>
      <c r="G2994" s="14">
        <f>E2994*F2994</f>
        <v/>
      </c>
      <c r="H2994" s="14">
        <f>C2994*G2994</f>
        <v/>
      </c>
    </row>
    <row r="2995">
      <c r="A2995" s="12" t="inlineStr">
        <is>
          <t>RET-0230</t>
        </is>
      </c>
      <c r="B2995" s="12" t="inlineStr">
        <is>
          <t>VS02</t>
        </is>
      </c>
      <c r="C2995" s="28" t="n">
        <v>0.0121</v>
      </c>
      <c r="D2995" s="12" t="inlineStr">
        <is>
          <t>PO-2021-0169</t>
        </is>
      </c>
      <c r="E2995" s="12" t="n">
        <v>2.377</v>
      </c>
      <c r="F2995" s="17" t="n">
        <v>65495.28</v>
      </c>
      <c r="G2995" s="14">
        <f>E2995*F2995</f>
        <v/>
      </c>
      <c r="H2995" s="14">
        <f>C2995*G2995</f>
        <v/>
      </c>
    </row>
    <row r="2996">
      <c r="A2996" s="12" t="inlineStr">
        <is>
          <t>RET-0230</t>
        </is>
      </c>
      <c r="B2996" s="12" t="inlineStr">
        <is>
          <t>VS03</t>
        </is>
      </c>
      <c r="C2996" s="28" t="n">
        <v>0.1206</v>
      </c>
      <c r="D2996" s="12" t="inlineStr">
        <is>
          <t>PO-2023-4707</t>
        </is>
      </c>
      <c r="E2996" s="12" t="n">
        <v>0</v>
      </c>
      <c r="F2996" s="17" t="n">
        <v>62710.54</v>
      </c>
      <c r="G2996" s="14">
        <f>E2996*F2996</f>
        <v/>
      </c>
      <c r="H2996" s="14">
        <f>C2996*G2996</f>
        <v/>
      </c>
    </row>
    <row r="2997">
      <c r="A2997" s="12" t="inlineStr">
        <is>
          <t>RET-0230</t>
        </is>
      </c>
      <c r="B2997" s="12" t="inlineStr">
        <is>
          <t>VS04</t>
        </is>
      </c>
      <c r="C2997" s="28" t="n">
        <v>0.0167</v>
      </c>
      <c r="D2997" s="12" t="inlineStr">
        <is>
          <t>PO-2023-3788</t>
        </is>
      </c>
      <c r="E2997" s="12" t="n">
        <v>2.85</v>
      </c>
      <c r="F2997" s="17" t="n">
        <v>87077.58</v>
      </c>
      <c r="G2997" s="14">
        <f>E2997*F2997</f>
        <v/>
      </c>
      <c r="H2997" s="14">
        <f>C2997*G2997</f>
        <v/>
      </c>
    </row>
    <row r="2998">
      <c r="A2998" s="12" t="inlineStr">
        <is>
          <t>RET-0230</t>
        </is>
      </c>
      <c r="B2998" s="12" t="inlineStr">
        <is>
          <t>VS05</t>
        </is>
      </c>
      <c r="C2998" s="28" t="n">
        <v>0.0217</v>
      </c>
      <c r="D2998" s="12" t="inlineStr">
        <is>
          <t>PO-2023-4097</t>
        </is>
      </c>
      <c r="E2998" s="12" t="n">
        <v>2.85</v>
      </c>
      <c r="F2998" s="17" t="n">
        <v>81103.58</v>
      </c>
      <c r="G2998" s="14">
        <f>E2998*F2998</f>
        <v/>
      </c>
      <c r="H2998" s="14">
        <f>C2998*G2998</f>
        <v/>
      </c>
    </row>
    <row r="2999">
      <c r="A2999" s="12" t="inlineStr">
        <is>
          <t>RET-0230</t>
        </is>
      </c>
      <c r="B2999" s="12" t="inlineStr">
        <is>
          <t>VS06</t>
        </is>
      </c>
      <c r="C2999" s="28" t="n">
        <v>0.0219</v>
      </c>
      <c r="D2999" s="12" t="inlineStr">
        <is>
          <t>PO-2021-0174</t>
        </is>
      </c>
      <c r="E2999" s="12" t="n">
        <v>2.85</v>
      </c>
      <c r="F2999" s="17" t="n">
        <v>76801.11</v>
      </c>
      <c r="G2999" s="14">
        <f>E2999*F2999</f>
        <v/>
      </c>
      <c r="H2999" s="14">
        <f>C2999*G2999</f>
        <v/>
      </c>
    </row>
    <row r="3000">
      <c r="A3000" s="12" t="inlineStr">
        <is>
          <t>RET-0230</t>
        </is>
      </c>
      <c r="B3000" s="12" t="inlineStr">
        <is>
          <t>VS07</t>
        </is>
      </c>
      <c r="C3000" s="28" t="n">
        <v>0.0073</v>
      </c>
      <c r="D3000" s="12" t="inlineStr">
        <is>
          <t>PO-2021-0754</t>
        </is>
      </c>
      <c r="E3000" s="12" t="n">
        <v>2.85</v>
      </c>
      <c r="F3000" s="17" t="n">
        <v>51323.34</v>
      </c>
      <c r="G3000" s="14">
        <f>E3000*F3000</f>
        <v/>
      </c>
      <c r="H3000" s="14">
        <f>C3000*G3000</f>
        <v/>
      </c>
    </row>
    <row r="3001">
      <c r="A3001" s="12" t="inlineStr">
        <is>
          <t>RET-0230</t>
        </is>
      </c>
      <c r="B3001" s="12" t="inlineStr">
        <is>
          <t>VS08</t>
        </is>
      </c>
      <c r="C3001" s="28" t="n">
        <v>0.022</v>
      </c>
      <c r="D3001" s="12" t="inlineStr">
        <is>
          <t>PO-2023-4091</t>
        </is>
      </c>
      <c r="E3001" s="12" t="n">
        <v>2.85</v>
      </c>
      <c r="F3001" s="17" t="n">
        <v>89127.02</v>
      </c>
      <c r="G3001" s="14">
        <f>E3001*F3001</f>
        <v/>
      </c>
      <c r="H3001" s="14">
        <f>C3001*G3001</f>
        <v/>
      </c>
    </row>
    <row r="3002">
      <c r="A3002" s="12" t="inlineStr">
        <is>
          <t>RET-0230</t>
        </is>
      </c>
      <c r="B3002" s="12" t="inlineStr">
        <is>
          <t>VS09</t>
        </is>
      </c>
      <c r="C3002" s="28" t="n">
        <v>0.0169</v>
      </c>
      <c r="D3002" s="12" t="inlineStr">
        <is>
          <t>PO-2023-3997</t>
        </is>
      </c>
      <c r="E3002" s="12" t="n">
        <v>2.85</v>
      </c>
      <c r="F3002" s="17" t="n">
        <v>56464.24</v>
      </c>
      <c r="G3002" s="14">
        <f>E3002*F3002</f>
        <v/>
      </c>
      <c r="H3002" s="14">
        <f>C3002*G3002</f>
        <v/>
      </c>
    </row>
    <row r="3003">
      <c r="A3003" s="12" t="inlineStr">
        <is>
          <t>RET-0230</t>
        </is>
      </c>
      <c r="B3003" s="12" t="inlineStr">
        <is>
          <t>VS10</t>
        </is>
      </c>
      <c r="C3003" s="28" t="n">
        <v>0.0266</v>
      </c>
      <c r="D3003" s="12" t="inlineStr">
        <is>
          <t>PO-2021-0889</t>
        </is>
      </c>
      <c r="E3003" s="12" t="n">
        <v>2.85</v>
      </c>
      <c r="F3003" s="17" t="n">
        <v>70436.42999999999</v>
      </c>
      <c r="G3003" s="14">
        <f>E3003*F3003</f>
        <v/>
      </c>
      <c r="H3003" s="14">
        <f>C3003*G3003</f>
        <v/>
      </c>
    </row>
    <row r="3004">
      <c r="A3004" s="12" t="inlineStr">
        <is>
          <t>RET-0230</t>
        </is>
      </c>
      <c r="B3004" s="12" t="inlineStr">
        <is>
          <t>VS11</t>
        </is>
      </c>
      <c r="C3004" s="28" t="n">
        <v>0.0311</v>
      </c>
      <c r="D3004" s="12" t="inlineStr">
        <is>
          <t>PO-2021-1557</t>
        </is>
      </c>
      <c r="E3004" s="12" t="n">
        <v>2.85</v>
      </c>
      <c r="F3004" s="17" t="n">
        <v>54670.07</v>
      </c>
      <c r="G3004" s="14">
        <f>E3004*F3004</f>
        <v/>
      </c>
      <c r="H3004" s="14">
        <f>C3004*G3004</f>
        <v/>
      </c>
    </row>
    <row r="3005">
      <c r="A3005" s="12" t="inlineStr">
        <is>
          <t>RET-0230</t>
        </is>
      </c>
      <c r="B3005" s="12" t="inlineStr">
        <is>
          <t>VS12</t>
        </is>
      </c>
      <c r="C3005" s="28" t="n">
        <v>0.1676</v>
      </c>
      <c r="D3005" s="12" t="inlineStr">
        <is>
          <t>PO-2021-0538</t>
        </is>
      </c>
      <c r="E3005" s="12" t="n">
        <v>2.85</v>
      </c>
      <c r="F3005" s="17" t="n">
        <v>95023.07000000001</v>
      </c>
      <c r="G3005" s="14">
        <f>E3005*F3005</f>
        <v/>
      </c>
      <c r="H3005" s="14">
        <f>C3005*G3005</f>
        <v/>
      </c>
    </row>
    <row r="3006">
      <c r="A3006" s="12" t="inlineStr">
        <is>
          <t>RET-0230</t>
        </is>
      </c>
      <c r="B3006" s="12" t="inlineStr">
        <is>
          <t>VS13</t>
        </is>
      </c>
      <c r="C3006" s="28" t="n">
        <v>0.0214</v>
      </c>
      <c r="D3006" s="12" t="inlineStr">
        <is>
          <t>PO-2023-3975</t>
        </is>
      </c>
      <c r="E3006" s="12" t="n">
        <v>2.85</v>
      </c>
      <c r="F3006" s="17" t="n">
        <v>72755.84</v>
      </c>
      <c r="G3006" s="14">
        <f>E3006*F3006</f>
        <v/>
      </c>
      <c r="H3006" s="14">
        <f>C3006*G3006</f>
        <v/>
      </c>
    </row>
    <row r="3007">
      <c r="A3007" s="12" t="inlineStr">
        <is>
          <t>RET-0230</t>
        </is>
      </c>
      <c r="B3007" s="12" t="inlineStr">
        <is>
          <t>VS14</t>
        </is>
      </c>
      <c r="C3007" s="28" t="n">
        <v>0.0217</v>
      </c>
      <c r="D3007" s="12" t="inlineStr">
        <is>
          <t>PO-2023-3995</t>
        </is>
      </c>
      <c r="E3007" s="12" t="n">
        <v>2.85</v>
      </c>
      <c r="F3007" s="17" t="n">
        <v>45908.7</v>
      </c>
      <c r="G3007" s="14">
        <f>E3007*F3007</f>
        <v/>
      </c>
      <c r="H3007" s="14">
        <f>C3007*G3007</f>
        <v/>
      </c>
    </row>
    <row r="3008">
      <c r="A3008" s="12" t="inlineStr">
        <is>
          <t>RET-0230</t>
        </is>
      </c>
      <c r="B3008" s="12" t="inlineStr">
        <is>
          <t>VS15</t>
        </is>
      </c>
      <c r="C3008" s="28" t="n">
        <v>0.0072</v>
      </c>
      <c r="D3008" s="12" t="inlineStr">
        <is>
          <t>PO-2021-0092</t>
        </is>
      </c>
      <c r="E3008" s="12" t="n">
        <v>2.85</v>
      </c>
      <c r="F3008" s="17" t="n">
        <v>91879.35000000001</v>
      </c>
      <c r="G3008" s="14">
        <f>E3008*F3008</f>
        <v/>
      </c>
      <c r="H3008" s="14">
        <f>C3008*G3008</f>
        <v/>
      </c>
    </row>
    <row r="3009">
      <c r="A3009" s="12" t="inlineStr">
        <is>
          <t>RET-0230</t>
        </is>
      </c>
      <c r="B3009" s="12" t="inlineStr">
        <is>
          <t>VS16</t>
        </is>
      </c>
      <c r="C3009" s="28" t="n">
        <v>0.0312</v>
      </c>
      <c r="D3009" s="12" t="inlineStr">
        <is>
          <t>PO-2021-0024</t>
        </is>
      </c>
      <c r="E3009" s="12" t="n">
        <v>2.85</v>
      </c>
      <c r="F3009" s="17" t="n">
        <v>97595.86</v>
      </c>
      <c r="G3009" s="14">
        <f>E3009*F3009</f>
        <v/>
      </c>
      <c r="H3009" s="14">
        <f>C3009*G3009</f>
        <v/>
      </c>
    </row>
    <row r="3010">
      <c r="A3010" s="12" t="inlineStr">
        <is>
          <t>RET-0230</t>
        </is>
      </c>
      <c r="B3010" s="12" t="inlineStr">
        <is>
          <t>VS17</t>
        </is>
      </c>
      <c r="C3010" s="28" t="n">
        <v>0.0311</v>
      </c>
      <c r="D3010" s="12" t="inlineStr">
        <is>
          <t>PO-2021-1495</t>
        </is>
      </c>
      <c r="E3010" s="12" t="n">
        <v>2.85</v>
      </c>
      <c r="F3010" s="17" t="n">
        <v>112774.5</v>
      </c>
      <c r="G3010" s="14">
        <f>E3010*F3010</f>
        <v/>
      </c>
      <c r="H3010" s="14">
        <f>C3010*G3010</f>
        <v/>
      </c>
    </row>
    <row r="3011">
      <c r="A3011" s="12" t="inlineStr">
        <is>
          <t>RET-0230</t>
        </is>
      </c>
      <c r="B3011" s="12" t="inlineStr">
        <is>
          <t>VS18</t>
        </is>
      </c>
      <c r="C3011" s="28" t="n">
        <v>0.0217</v>
      </c>
      <c r="D3011" s="12" t="inlineStr">
        <is>
          <t>PO-2022-3150</t>
        </is>
      </c>
      <c r="E3011" s="12" t="n">
        <v>2.85</v>
      </c>
      <c r="F3011" s="17" t="n">
        <v>65907.08</v>
      </c>
      <c r="G3011" s="14">
        <f>E3011*F3011</f>
        <v/>
      </c>
      <c r="H3011" s="14">
        <f>C3011*G3011</f>
        <v/>
      </c>
    </row>
    <row r="3012">
      <c r="A3012" s="12" t="inlineStr">
        <is>
          <t>RET-0230</t>
        </is>
      </c>
      <c r="B3012" s="12" t="inlineStr">
        <is>
          <t>VS19</t>
        </is>
      </c>
      <c r="C3012" s="28" t="n">
        <v>0.1264</v>
      </c>
      <c r="D3012" s="12" t="inlineStr">
        <is>
          <t>PO-2021-1162</t>
        </is>
      </c>
      <c r="E3012" s="12" t="n">
        <v>2.85</v>
      </c>
      <c r="F3012" s="17" t="n">
        <v>81976.17999999999</v>
      </c>
      <c r="G3012" s="14">
        <f>E3012*F3012</f>
        <v/>
      </c>
      <c r="H3012" s="14">
        <f>C3012*G3012</f>
        <v/>
      </c>
    </row>
    <row r="3013">
      <c r="A3013" s="12" t="inlineStr">
        <is>
          <t>RET-0230</t>
        </is>
      </c>
      <c r="B3013" s="12" t="inlineStr">
        <is>
          <t>VS20</t>
        </is>
      </c>
      <c r="C3013" s="28" t="n">
        <v>0.0121</v>
      </c>
      <c r="D3013" s="12" t="inlineStr">
        <is>
          <t>PO-2022-2529</t>
        </is>
      </c>
      <c r="E3013" s="12" t="n">
        <v>2.85</v>
      </c>
      <c r="F3013" s="17" t="n">
        <v>56097.9</v>
      </c>
      <c r="G3013" s="14">
        <f>E3013*F3013</f>
        <v/>
      </c>
      <c r="H3013" s="14">
        <f>C3013*G3013</f>
        <v/>
      </c>
    </row>
    <row r="3014">
      <c r="A3014" s="12" t="inlineStr">
        <is>
          <t>RET-0230</t>
        </is>
      </c>
      <c r="B3014" s="12" t="inlineStr">
        <is>
          <t>VS21</t>
        </is>
      </c>
      <c r="C3014" s="28" t="n">
        <v>0.0121</v>
      </c>
      <c r="D3014" s="12" t="inlineStr">
        <is>
          <t>PO-2022-1900</t>
        </is>
      </c>
      <c r="E3014" s="12" t="n">
        <v>2.85</v>
      </c>
      <c r="F3014" s="17" t="n">
        <v>75842.17999999999</v>
      </c>
      <c r="G3014" s="14">
        <f>E3014*F3014</f>
        <v/>
      </c>
      <c r="H3014" s="14">
        <f>C3014*G3014</f>
        <v/>
      </c>
    </row>
    <row r="3015">
      <c r="A3015" s="12" t="inlineStr">
        <is>
          <t>RET-0230</t>
        </is>
      </c>
      <c r="B3015" s="12" t="inlineStr">
        <is>
          <t>VS22</t>
        </is>
      </c>
      <c r="C3015" s="28" t="n">
        <v>0.0072</v>
      </c>
      <c r="D3015" s="12" t="inlineStr">
        <is>
          <t>PO-2022-1943</t>
        </is>
      </c>
      <c r="E3015" s="12" t="n">
        <v>2.85</v>
      </c>
      <c r="F3015" s="17" t="n">
        <v>100294.91</v>
      </c>
      <c r="G3015" s="14">
        <f>E3015*F3015</f>
        <v/>
      </c>
      <c r="H3015" s="14">
        <f>C3015*G3015</f>
        <v/>
      </c>
    </row>
    <row r="3016">
      <c r="A3016" s="12" t="inlineStr">
        <is>
          <t>RET-0230</t>
        </is>
      </c>
      <c r="B3016" s="12" t="inlineStr">
        <is>
          <t>VS23</t>
        </is>
      </c>
      <c r="C3016" s="28" t="n">
        <v>0.0119</v>
      </c>
      <c r="D3016" s="12" t="inlineStr">
        <is>
          <t>PO-2022-1722</t>
        </is>
      </c>
      <c r="E3016" s="12" t="n">
        <v>2.091</v>
      </c>
      <c r="F3016" s="17" t="n">
        <v>86272.82000000001</v>
      </c>
      <c r="G3016" s="14">
        <f>E3016*F3016</f>
        <v/>
      </c>
      <c r="H3016" s="14">
        <f>C3016*G3016</f>
        <v/>
      </c>
    </row>
    <row r="3017">
      <c r="A3017" s="12" t="inlineStr">
        <is>
          <t>RET-0230</t>
        </is>
      </c>
      <c r="B3017" s="12" t="inlineStr">
        <is>
          <t>VS24</t>
        </is>
      </c>
      <c r="C3017" s="28" t="n">
        <v>0.012</v>
      </c>
      <c r="D3017" s="12" t="inlineStr">
        <is>
          <t>PO-2021-1245</t>
        </is>
      </c>
      <c r="E3017" s="12" t="n">
        <v>2.85</v>
      </c>
      <c r="F3017" s="17" t="n">
        <v>71585.5</v>
      </c>
      <c r="G3017" s="14">
        <f>E3017*F3017</f>
        <v/>
      </c>
      <c r="H3017" s="14">
        <f>C3017*G3017</f>
        <v/>
      </c>
    </row>
    <row r="3018">
      <c r="A3018" s="12" t="inlineStr">
        <is>
          <t>RET-0230</t>
        </is>
      </c>
      <c r="B3018" s="12" t="inlineStr">
        <is>
          <t>VS25</t>
        </is>
      </c>
      <c r="C3018" s="28" t="n">
        <v>0.0218</v>
      </c>
      <c r="D3018" s="12" t="inlineStr">
        <is>
          <t>PO-2021-0583</t>
        </is>
      </c>
      <c r="E3018" s="12" t="n">
        <v>2.85</v>
      </c>
      <c r="F3018" s="17" t="n">
        <v>91735.11</v>
      </c>
      <c r="G3018" s="14">
        <f>E3018*F3018</f>
        <v/>
      </c>
      <c r="H3018" s="14">
        <f>C3018*G3018</f>
        <v/>
      </c>
    </row>
    <row r="3019">
      <c r="A3019" s="12" t="inlineStr">
        <is>
          <t>RET-0230</t>
        </is>
      </c>
      <c r="B3019" s="12" t="inlineStr">
        <is>
          <t>VS26</t>
        </is>
      </c>
      <c r="C3019" s="28" t="n">
        <v>0.0121</v>
      </c>
      <c r="D3019" s="12" t="inlineStr">
        <is>
          <t>PO-2021-0818</t>
        </is>
      </c>
      <c r="E3019" s="12" t="n">
        <v>2.85</v>
      </c>
      <c r="F3019" s="17" t="n">
        <v>82636.73</v>
      </c>
      <c r="G3019" s="14">
        <f>E3019*F3019</f>
        <v/>
      </c>
      <c r="H3019" s="14">
        <f>C3019*G3019</f>
        <v/>
      </c>
    </row>
    <row r="3020">
      <c r="A3020" s="12" t="inlineStr">
        <is>
          <t>RET-0230</t>
        </is>
      </c>
      <c r="B3020" s="12" t="inlineStr">
        <is>
          <t>VS27</t>
        </is>
      </c>
      <c r="C3020" s="28" t="n">
        <v>0.0119</v>
      </c>
      <c r="D3020" s="12" t="inlineStr">
        <is>
          <t>PO-2021-1114</t>
        </is>
      </c>
      <c r="E3020" s="12" t="n">
        <v>1.963</v>
      </c>
      <c r="F3020" s="17" t="n">
        <v>80227.49000000001</v>
      </c>
      <c r="G3020" s="14">
        <f>E3020*F3020</f>
        <v/>
      </c>
      <c r="H3020" s="14">
        <f>C3020*G3020</f>
        <v/>
      </c>
    </row>
    <row r="3021">
      <c r="A3021" s="12" t="inlineStr">
        <is>
          <t>RET-0230</t>
        </is>
      </c>
      <c r="B3021" s="12" t="inlineStr">
        <is>
          <t>VS28</t>
        </is>
      </c>
      <c r="C3021" s="28" t="n">
        <v>0.0266</v>
      </c>
      <c r="D3021" s="12" t="inlineStr">
        <is>
          <t>PO-2022-2772</t>
        </is>
      </c>
      <c r="E3021" s="12" t="n">
        <v>2.85</v>
      </c>
      <c r="F3021" s="17" t="n">
        <v>48967.51</v>
      </c>
      <c r="G3021" s="14">
        <f>E3021*F3021</f>
        <v/>
      </c>
      <c r="H3021" s="14">
        <f>C3021*G3021</f>
        <v/>
      </c>
    </row>
    <row r="3022">
      <c r="A3022" s="12" t="inlineStr">
        <is>
          <t>RET-0230</t>
        </is>
      </c>
      <c r="B3022" s="12" t="inlineStr">
        <is>
          <t>VS29</t>
        </is>
      </c>
      <c r="C3022" s="28" t="n">
        <v>0.0169</v>
      </c>
      <c r="D3022" s="12" t="inlineStr">
        <is>
          <t>PO-2022-1724</t>
        </is>
      </c>
      <c r="E3022" s="12" t="n">
        <v>2.85</v>
      </c>
      <c r="F3022" s="17" t="n">
        <v>48685.08</v>
      </c>
      <c r="G3022" s="14">
        <f>E3022*F3022</f>
        <v/>
      </c>
      <c r="H3022" s="14">
        <f>C3022*G3022</f>
        <v/>
      </c>
    </row>
    <row r="3023">
      <c r="A3023" s="12" t="inlineStr">
        <is>
          <t>RET-0230</t>
        </is>
      </c>
      <c r="B3023" s="12" t="inlineStr">
        <is>
          <t>VS30</t>
        </is>
      </c>
      <c r="C3023" s="28" t="n">
        <v>0.0073</v>
      </c>
      <c r="D3023" s="12" t="inlineStr">
        <is>
          <t>PO-2022-3190</t>
        </is>
      </c>
      <c r="E3023" s="12" t="n">
        <v>2.85</v>
      </c>
      <c r="F3023" s="17" t="n">
        <v>72595.7</v>
      </c>
      <c r="G3023" s="14">
        <f>E3023*F3023</f>
        <v/>
      </c>
      <c r="H3023" s="14">
        <f>C3023*G3023</f>
        <v/>
      </c>
    </row>
    <row r="3024">
      <c r="A3024" s="12" t="inlineStr">
        <is>
          <t>RET-0230</t>
        </is>
      </c>
      <c r="B3024" s="12" t="inlineStr">
        <is>
          <t>VS31</t>
        </is>
      </c>
      <c r="C3024" s="28" t="n">
        <v>0.0265</v>
      </c>
      <c r="D3024" s="12" t="inlineStr">
        <is>
          <t>PO-2022-2418</t>
        </is>
      </c>
      <c r="E3024" s="12" t="n">
        <v>2.85</v>
      </c>
      <c r="F3024" s="17" t="n">
        <v>51222.35</v>
      </c>
      <c r="G3024" s="14">
        <f>E3024*F3024</f>
        <v/>
      </c>
      <c r="H3024" s="14">
        <f>C3024*G3024</f>
        <v/>
      </c>
    </row>
    <row r="3025">
      <c r="A3025" s="12" t="inlineStr">
        <is>
          <t>RET-0230</t>
        </is>
      </c>
      <c r="B3025" s="12" t="inlineStr">
        <is>
          <t>VS32</t>
        </is>
      </c>
      <c r="C3025" s="28" t="n">
        <v>0.0315</v>
      </c>
      <c r="D3025" s="12" t="inlineStr">
        <is>
          <t>PO-2023-3565</t>
        </is>
      </c>
      <c r="E3025" s="12" t="n">
        <v>2.85</v>
      </c>
      <c r="F3025" s="17" t="n">
        <v>112862.59</v>
      </c>
      <c r="G3025" s="14">
        <f>E3025*F3025</f>
        <v/>
      </c>
      <c r="H3025" s="14">
        <f>C3025*G3025</f>
        <v/>
      </c>
    </row>
    <row r="3026">
      <c r="A3026" s="12" t="inlineStr">
        <is>
          <t>RET-0230</t>
        </is>
      </c>
      <c r="B3026" s="12" t="inlineStr">
        <is>
          <t>VS33</t>
        </is>
      </c>
      <c r="C3026" s="28" t="n">
        <v>0.0168</v>
      </c>
      <c r="D3026" s="12" t="inlineStr">
        <is>
          <t>PO-2023-3609</t>
        </is>
      </c>
      <c r="E3026" s="12" t="n">
        <v>2.85</v>
      </c>
      <c r="F3026" s="17" t="n">
        <v>93601.06</v>
      </c>
      <c r="G3026" s="14">
        <f>E3026*F3026</f>
        <v/>
      </c>
      <c r="H3026" s="14">
        <f>C3026*G3026</f>
        <v/>
      </c>
    </row>
    <row r="3027">
      <c r="A3027" s="12" t="inlineStr">
        <is>
          <t>RET-0230</t>
        </is>
      </c>
      <c r="B3027" s="12" t="inlineStr">
        <is>
          <t>VS34</t>
        </is>
      </c>
      <c r="C3027" s="28" t="n">
        <v>0.0217</v>
      </c>
      <c r="D3027" s="12" t="inlineStr">
        <is>
          <t>PO-2021-0682</t>
        </is>
      </c>
      <c r="E3027" s="12" t="n">
        <v>2.85</v>
      </c>
      <c r="F3027" s="17" t="n">
        <v>113043.18</v>
      </c>
      <c r="G3027" s="14">
        <f>E3027*F3027</f>
        <v/>
      </c>
      <c r="H3027" s="14">
        <f>C3027*G3027</f>
        <v/>
      </c>
    </row>
    <row r="3028">
      <c r="A3028" s="12" t="inlineStr">
        <is>
          <t>RET-0232</t>
        </is>
      </c>
      <c r="B3028" s="12" t="inlineStr">
        <is>
          <t>VS01</t>
        </is>
      </c>
      <c r="C3028" s="28" t="n">
        <v>0.0139</v>
      </c>
      <c r="D3028" s="12" t="inlineStr">
        <is>
          <t>PO-2021-0897</t>
        </is>
      </c>
      <c r="E3028" s="12" t="n">
        <v>1.72</v>
      </c>
      <c r="F3028" s="17" t="n">
        <v>96528.92</v>
      </c>
      <c r="G3028" s="14">
        <f>E3028*F3028</f>
        <v/>
      </c>
      <c r="H3028" s="14">
        <f>C3028*G3028</f>
        <v/>
      </c>
    </row>
    <row r="3029">
      <c r="A3029" s="12" t="inlineStr">
        <is>
          <t>RET-0232</t>
        </is>
      </c>
      <c r="B3029" s="12" t="inlineStr">
        <is>
          <t>VS02</t>
        </is>
      </c>
      <c r="C3029" s="28" t="n">
        <v>0.0063</v>
      </c>
      <c r="D3029" s="12" t="inlineStr">
        <is>
          <t>PO-2023-4202</t>
        </is>
      </c>
      <c r="E3029" s="12" t="n">
        <v>1.72</v>
      </c>
      <c r="F3029" s="17" t="n">
        <v>66577.38</v>
      </c>
      <c r="G3029" s="14">
        <f>E3029*F3029</f>
        <v/>
      </c>
      <c r="H3029" s="14">
        <f>C3029*G3029</f>
        <v/>
      </c>
    </row>
    <row r="3030">
      <c r="A3030" s="12" t="inlineStr">
        <is>
          <t>RET-0232</t>
        </is>
      </c>
      <c r="B3030" s="12" t="inlineStr">
        <is>
          <t>VS03</t>
        </is>
      </c>
      <c r="C3030" s="28" t="n">
        <v>0.202</v>
      </c>
      <c r="D3030" s="12" t="inlineStr">
        <is>
          <t>PO-2023-3466</t>
        </is>
      </c>
      <c r="E3030" s="12" t="n">
        <v>1.72</v>
      </c>
      <c r="F3030" s="17" t="n">
        <v>115386.93</v>
      </c>
      <c r="G3030" s="14">
        <f>E3030*F3030</f>
        <v/>
      </c>
      <c r="H3030" s="14">
        <f>C3030*G3030</f>
        <v/>
      </c>
    </row>
    <row r="3031">
      <c r="A3031" s="12" t="inlineStr">
        <is>
          <t>RET-0232</t>
        </is>
      </c>
      <c r="B3031" s="12" t="inlineStr">
        <is>
          <t>VS04</t>
        </is>
      </c>
      <c r="C3031" s="28" t="n">
        <v>0.008699999999999999</v>
      </c>
      <c r="D3031" s="12" t="inlineStr">
        <is>
          <t>PO-2021-1274</t>
        </is>
      </c>
      <c r="E3031" s="12" t="n">
        <v>1.72</v>
      </c>
      <c r="F3031" s="17" t="n">
        <v>69003.11</v>
      </c>
      <c r="G3031" s="14">
        <f>E3031*F3031</f>
        <v/>
      </c>
      <c r="H3031" s="14">
        <f>C3031*G3031</f>
        <v/>
      </c>
    </row>
    <row r="3032">
      <c r="A3032" s="12" t="inlineStr">
        <is>
          <t>RET-0232</t>
        </is>
      </c>
      <c r="B3032" s="12" t="inlineStr">
        <is>
          <t>VS05</t>
        </is>
      </c>
      <c r="C3032" s="28" t="n">
        <v>0.0113</v>
      </c>
      <c r="D3032" s="12" t="inlineStr">
        <is>
          <t>PO-2022-2543</t>
        </is>
      </c>
      <c r="E3032" s="12" t="n">
        <v>1.72</v>
      </c>
      <c r="F3032" s="17" t="n">
        <v>79675.24000000001</v>
      </c>
      <c r="G3032" s="14">
        <f>E3032*F3032</f>
        <v/>
      </c>
      <c r="H3032" s="14">
        <f>C3032*G3032</f>
        <v/>
      </c>
    </row>
    <row r="3033">
      <c r="A3033" s="12" t="inlineStr">
        <is>
          <t>RET-0232</t>
        </is>
      </c>
      <c r="B3033" s="12" t="inlineStr">
        <is>
          <t>VS06</t>
        </is>
      </c>
      <c r="C3033" s="28" t="n">
        <v>0.0114</v>
      </c>
      <c r="D3033" s="12" t="inlineStr">
        <is>
          <t>PO-2023-4283</t>
        </is>
      </c>
      <c r="E3033" s="12" t="n">
        <v>1.72</v>
      </c>
      <c r="F3033" s="17" t="n">
        <v>96047.57000000001</v>
      </c>
      <c r="G3033" s="14">
        <f>E3033*F3033</f>
        <v/>
      </c>
      <c r="H3033" s="14">
        <f>C3033*G3033</f>
        <v/>
      </c>
    </row>
    <row r="3034">
      <c r="A3034" s="12" t="inlineStr">
        <is>
          <t>RET-0232</t>
        </is>
      </c>
      <c r="B3034" s="12" t="inlineStr">
        <is>
          <t>VS07</t>
        </is>
      </c>
      <c r="C3034" s="28" t="n">
        <v>0.0038</v>
      </c>
      <c r="D3034" s="12" t="inlineStr">
        <is>
          <t>PO-2023-4106</t>
        </is>
      </c>
      <c r="E3034" s="12" t="n">
        <v>1.72</v>
      </c>
      <c r="F3034" s="17" t="n">
        <v>47048.14</v>
      </c>
      <c r="G3034" s="14">
        <f>E3034*F3034</f>
        <v/>
      </c>
      <c r="H3034" s="14">
        <f>C3034*G3034</f>
        <v/>
      </c>
    </row>
    <row r="3035">
      <c r="A3035" s="12" t="inlineStr">
        <is>
          <t>RET-0232</t>
        </is>
      </c>
      <c r="B3035" s="12" t="inlineStr">
        <is>
          <t>VS08</t>
        </is>
      </c>
      <c r="C3035" s="28" t="n">
        <v>0.0115</v>
      </c>
      <c r="D3035" s="12" t="inlineStr">
        <is>
          <t>PO-2021-1046</t>
        </is>
      </c>
      <c r="E3035" s="12" t="n">
        <v>1.72</v>
      </c>
      <c r="F3035" s="17" t="n">
        <v>91314.14999999999</v>
      </c>
      <c r="G3035" s="14">
        <f>E3035*F3035</f>
        <v/>
      </c>
      <c r="H3035" s="14">
        <f>C3035*G3035</f>
        <v/>
      </c>
    </row>
    <row r="3036">
      <c r="A3036" s="12" t="inlineStr">
        <is>
          <t>RET-0232</t>
        </is>
      </c>
      <c r="B3036" s="12" t="inlineStr">
        <is>
          <t>VS09</t>
        </is>
      </c>
      <c r="C3036" s="28" t="n">
        <v>0.008800000000000001</v>
      </c>
      <c r="D3036" s="12" t="inlineStr">
        <is>
          <t>PO-2023-4224</t>
        </is>
      </c>
      <c r="E3036" s="12" t="n">
        <v>1.72</v>
      </c>
      <c r="F3036" s="17" t="n">
        <v>69824.55</v>
      </c>
      <c r="G3036" s="14">
        <f>E3036*F3036</f>
        <v/>
      </c>
      <c r="H3036" s="14">
        <f>C3036*G3036</f>
        <v/>
      </c>
    </row>
    <row r="3037">
      <c r="A3037" s="12" t="inlineStr">
        <is>
          <t>RET-0232</t>
        </is>
      </c>
      <c r="B3037" s="12" t="inlineStr">
        <is>
          <t>VS10</t>
        </is>
      </c>
      <c r="C3037" s="28" t="n">
        <v>0.0139</v>
      </c>
      <c r="D3037" s="12" t="inlineStr">
        <is>
          <t>PO-2022-2889</t>
        </is>
      </c>
      <c r="E3037" s="12" t="n">
        <v>1.72</v>
      </c>
      <c r="F3037" s="17" t="n">
        <v>46283.62</v>
      </c>
      <c r="G3037" s="14">
        <f>E3037*F3037</f>
        <v/>
      </c>
      <c r="H3037" s="14">
        <f>C3037*G3037</f>
        <v/>
      </c>
    </row>
    <row r="3038">
      <c r="A3038" s="12" t="inlineStr">
        <is>
          <t>RET-0232</t>
        </is>
      </c>
      <c r="B3038" s="12" t="inlineStr">
        <is>
          <t>VS11</t>
        </is>
      </c>
      <c r="C3038" s="28" t="n">
        <v>0.0162</v>
      </c>
      <c r="D3038" s="12" t="inlineStr">
        <is>
          <t>PO-2021-0063</t>
        </is>
      </c>
      <c r="E3038" s="12" t="n">
        <v>1.72</v>
      </c>
      <c r="F3038" s="17" t="n">
        <v>46925.88</v>
      </c>
      <c r="G3038" s="14">
        <f>E3038*F3038</f>
        <v/>
      </c>
      <c r="H3038" s="14">
        <f>C3038*G3038</f>
        <v/>
      </c>
    </row>
    <row r="3039">
      <c r="A3039" s="12" t="inlineStr">
        <is>
          <t>RET-0232</t>
        </is>
      </c>
      <c r="B3039" s="12" t="inlineStr">
        <is>
          <t>VS12</t>
        </is>
      </c>
      <c r="C3039" s="28" t="n">
        <v>0.2807</v>
      </c>
      <c r="D3039" s="12" t="inlineStr">
        <is>
          <t>PO-2022-2491</t>
        </is>
      </c>
      <c r="E3039" s="12" t="n">
        <v>1.72</v>
      </c>
      <c r="F3039" s="17" t="n">
        <v>120277.26</v>
      </c>
      <c r="G3039" s="14">
        <f>E3039*F3039</f>
        <v/>
      </c>
      <c r="H3039" s="14">
        <f>C3039*G3039</f>
        <v/>
      </c>
    </row>
    <row r="3040">
      <c r="A3040" s="12" t="inlineStr">
        <is>
          <t>RET-0232</t>
        </is>
      </c>
      <c r="B3040" s="12" t="inlineStr">
        <is>
          <t>VS13</t>
        </is>
      </c>
      <c r="C3040" s="28" t="n">
        <v>0.0112</v>
      </c>
      <c r="D3040" s="12" t="inlineStr">
        <is>
          <t>PO-2023-3492</t>
        </is>
      </c>
      <c r="E3040" s="12" t="n">
        <v>1.72</v>
      </c>
      <c r="F3040" s="17" t="n">
        <v>89298.57000000001</v>
      </c>
      <c r="G3040" s="14">
        <f>E3040*F3040</f>
        <v/>
      </c>
      <c r="H3040" s="14">
        <f>C3040*G3040</f>
        <v/>
      </c>
    </row>
    <row r="3041">
      <c r="A3041" s="12" t="inlineStr">
        <is>
          <t>RET-0232</t>
        </is>
      </c>
      <c r="B3041" s="12" t="inlineStr">
        <is>
          <t>VS14</t>
        </is>
      </c>
      <c r="C3041" s="28" t="n">
        <v>0.0113</v>
      </c>
      <c r="D3041" s="12" t="inlineStr">
        <is>
          <t>PO-2021-1118</t>
        </is>
      </c>
      <c r="E3041" s="12" t="n">
        <v>1.72</v>
      </c>
      <c r="F3041" s="17" t="n">
        <v>67299.02</v>
      </c>
      <c r="G3041" s="14">
        <f>E3041*F3041</f>
        <v/>
      </c>
      <c r="H3041" s="14">
        <f>C3041*G3041</f>
        <v/>
      </c>
    </row>
    <row r="3042">
      <c r="A3042" s="12" t="inlineStr">
        <is>
          <t>RET-0232</t>
        </is>
      </c>
      <c r="B3042" s="12" t="inlineStr">
        <is>
          <t>VS15</t>
        </is>
      </c>
      <c r="C3042" s="28" t="n">
        <v>0.0038</v>
      </c>
      <c r="D3042" s="12" t="inlineStr">
        <is>
          <t>PO-2022-2900</t>
        </is>
      </c>
      <c r="E3042" s="12" t="n">
        <v>1.72</v>
      </c>
      <c r="F3042" s="17" t="n">
        <v>49398.58</v>
      </c>
      <c r="G3042" s="14">
        <f>E3042*F3042</f>
        <v/>
      </c>
      <c r="H3042" s="14">
        <f>C3042*G3042</f>
        <v/>
      </c>
    </row>
    <row r="3043">
      <c r="A3043" s="12" t="inlineStr">
        <is>
          <t>RET-0232</t>
        </is>
      </c>
      <c r="B3043" s="12" t="inlineStr">
        <is>
          <t>VS16</t>
        </is>
      </c>
      <c r="C3043" s="28" t="n">
        <v>0.0163</v>
      </c>
      <c r="D3043" s="12" t="inlineStr">
        <is>
          <t>PO-2021-0473</t>
        </is>
      </c>
      <c r="E3043" s="12" t="n">
        <v>1.72</v>
      </c>
      <c r="F3043" s="17" t="n">
        <v>68625.67</v>
      </c>
      <c r="G3043" s="14">
        <f>E3043*F3043</f>
        <v/>
      </c>
      <c r="H3043" s="14">
        <f>C3043*G3043</f>
        <v/>
      </c>
    </row>
    <row r="3044">
      <c r="A3044" s="12" t="inlineStr">
        <is>
          <t>RET-0232</t>
        </is>
      </c>
      <c r="B3044" s="12" t="inlineStr">
        <is>
          <t>VS17</t>
        </is>
      </c>
      <c r="C3044" s="28" t="n">
        <v>0.0162</v>
      </c>
      <c r="D3044" s="12" t="inlineStr">
        <is>
          <t>PO-2023-4479</t>
        </is>
      </c>
      <c r="E3044" s="12" t="n">
        <v>1.72</v>
      </c>
      <c r="F3044" s="17" t="n">
        <v>115105.51</v>
      </c>
      <c r="G3044" s="14">
        <f>E3044*F3044</f>
        <v/>
      </c>
      <c r="H3044" s="14">
        <f>C3044*G3044</f>
        <v/>
      </c>
    </row>
    <row r="3045">
      <c r="A3045" s="12" t="inlineStr">
        <is>
          <t>RET-0232</t>
        </is>
      </c>
      <c r="B3045" s="12" t="inlineStr">
        <is>
          <t>VS18</t>
        </is>
      </c>
      <c r="C3045" s="28" t="n">
        <v>0.0113</v>
      </c>
      <c r="D3045" s="12" t="inlineStr">
        <is>
          <t>PO-2023-3525</t>
        </is>
      </c>
      <c r="E3045" s="12" t="n">
        <v>1.72</v>
      </c>
      <c r="F3045" s="17" t="n">
        <v>78455.82000000001</v>
      </c>
      <c r="G3045" s="14">
        <f>E3045*F3045</f>
        <v/>
      </c>
      <c r="H3045" s="14">
        <f>C3045*G3045</f>
        <v/>
      </c>
    </row>
    <row r="3046">
      <c r="A3046" s="12" t="inlineStr">
        <is>
          <t>RET-0232</t>
        </is>
      </c>
      <c r="B3046" s="12" t="inlineStr">
        <is>
          <t>VS19</t>
        </is>
      </c>
      <c r="C3046" s="28" t="n">
        <v>0.2118</v>
      </c>
      <c r="D3046" s="12" t="inlineStr">
        <is>
          <t>PO-2022-2731</t>
        </is>
      </c>
      <c r="E3046" s="12" t="n">
        <v>1.72</v>
      </c>
      <c r="F3046" s="17" t="n">
        <v>119727</v>
      </c>
      <c r="G3046" s="14">
        <f>E3046*F3046</f>
        <v/>
      </c>
      <c r="H3046" s="14">
        <f>C3046*G3046</f>
        <v/>
      </c>
    </row>
    <row r="3047">
      <c r="A3047" s="12" t="inlineStr">
        <is>
          <t>RET-0232</t>
        </is>
      </c>
      <c r="B3047" s="12" t="inlineStr">
        <is>
          <t>VS20</t>
        </is>
      </c>
      <c r="C3047" s="28" t="n">
        <v>0.0063</v>
      </c>
      <c r="D3047" s="12" t="inlineStr">
        <is>
          <t>PO-2022-2233</t>
        </is>
      </c>
      <c r="E3047" s="12" t="n">
        <v>1.72</v>
      </c>
      <c r="F3047" s="17" t="n">
        <v>96227.39999999999</v>
      </c>
      <c r="G3047" s="14">
        <f>E3047*F3047</f>
        <v/>
      </c>
      <c r="H3047" s="14">
        <f>C3047*G3047</f>
        <v/>
      </c>
    </row>
    <row r="3048">
      <c r="A3048" s="12" t="inlineStr">
        <is>
          <t>RET-0232</t>
        </is>
      </c>
      <c r="B3048" s="12" t="inlineStr">
        <is>
          <t>VS21</t>
        </is>
      </c>
      <c r="C3048" s="28" t="n">
        <v>0.0063</v>
      </c>
      <c r="D3048" s="12" t="inlineStr">
        <is>
          <t>PO-2022-2819</t>
        </is>
      </c>
      <c r="E3048" s="12" t="n">
        <v>1.72</v>
      </c>
      <c r="F3048" s="17" t="n">
        <v>69507.59</v>
      </c>
      <c r="G3048" s="14">
        <f>E3048*F3048</f>
        <v/>
      </c>
      <c r="H3048" s="14">
        <f>C3048*G3048</f>
        <v/>
      </c>
    </row>
    <row r="3049">
      <c r="A3049" s="12" t="inlineStr">
        <is>
          <t>RET-0232</t>
        </is>
      </c>
      <c r="B3049" s="12" t="inlineStr">
        <is>
          <t>VS22</t>
        </is>
      </c>
      <c r="C3049" s="28" t="n">
        <v>0.0037</v>
      </c>
      <c r="D3049" s="12" t="inlineStr">
        <is>
          <t>PO-2023-4447</t>
        </is>
      </c>
      <c r="E3049" s="12" t="n">
        <v>1.72</v>
      </c>
      <c r="F3049" s="17" t="n">
        <v>101136.52</v>
      </c>
      <c r="G3049" s="14">
        <f>E3049*F3049</f>
        <v/>
      </c>
      <c r="H3049" s="14">
        <f>C3049*G3049</f>
        <v/>
      </c>
    </row>
    <row r="3050">
      <c r="A3050" s="12" t="inlineStr">
        <is>
          <t>RET-0232</t>
        </is>
      </c>
      <c r="B3050" s="12" t="inlineStr">
        <is>
          <t>VS23</t>
        </is>
      </c>
      <c r="C3050" s="28" t="n">
        <v>0.0062</v>
      </c>
      <c r="D3050" s="12" t="inlineStr">
        <is>
          <t>PO-2021-0761</t>
        </is>
      </c>
      <c r="E3050" s="12" t="n">
        <v>1.72</v>
      </c>
      <c r="F3050" s="17" t="n">
        <v>45623.78</v>
      </c>
      <c r="G3050" s="14">
        <f>E3050*F3050</f>
        <v/>
      </c>
      <c r="H3050" s="14">
        <f>C3050*G3050</f>
        <v/>
      </c>
    </row>
    <row r="3051">
      <c r="A3051" s="12" t="inlineStr">
        <is>
          <t>RET-0232</t>
        </is>
      </c>
      <c r="B3051" s="12" t="inlineStr">
        <is>
          <t>VS24</t>
        </is>
      </c>
      <c r="C3051" s="28" t="n">
        <v>0.0063</v>
      </c>
      <c r="D3051" s="12" t="inlineStr">
        <is>
          <t>PO-2023-3773</t>
        </is>
      </c>
      <c r="E3051" s="12" t="n">
        <v>1.72</v>
      </c>
      <c r="F3051" s="17" t="n">
        <v>51534.59</v>
      </c>
      <c r="G3051" s="14">
        <f>E3051*F3051</f>
        <v/>
      </c>
      <c r="H3051" s="14">
        <f>C3051*G3051</f>
        <v/>
      </c>
    </row>
    <row r="3052">
      <c r="A3052" s="12" t="inlineStr">
        <is>
          <t>RET-0232</t>
        </is>
      </c>
      <c r="B3052" s="12" t="inlineStr">
        <is>
          <t>VS25</t>
        </is>
      </c>
      <c r="C3052" s="28" t="n">
        <v>0.0114</v>
      </c>
      <c r="D3052" s="12" t="inlineStr">
        <is>
          <t>PO-2021-1089</t>
        </is>
      </c>
      <c r="E3052" s="12" t="n">
        <v>1.72</v>
      </c>
      <c r="F3052" s="17" t="n">
        <v>100213.08</v>
      </c>
      <c r="G3052" s="14">
        <f>E3052*F3052</f>
        <v/>
      </c>
      <c r="H3052" s="14">
        <f>C3052*G3052</f>
        <v/>
      </c>
    </row>
    <row r="3053">
      <c r="A3053" s="12" t="inlineStr">
        <is>
          <t>RET-0232</t>
        </is>
      </c>
      <c r="B3053" s="12" t="inlineStr">
        <is>
          <t>VS26</t>
        </is>
      </c>
      <c r="C3053" s="28" t="n">
        <v>0.0063</v>
      </c>
      <c r="D3053" s="12" t="inlineStr">
        <is>
          <t>PO-2023-4068</t>
        </is>
      </c>
      <c r="E3053" s="12" t="n">
        <v>1.72</v>
      </c>
      <c r="F3053" s="17" t="n">
        <v>119769.05</v>
      </c>
      <c r="G3053" s="14">
        <f>E3053*F3053</f>
        <v/>
      </c>
      <c r="H3053" s="14">
        <f>C3053*G3053</f>
        <v/>
      </c>
    </row>
    <row r="3054">
      <c r="A3054" s="12" t="inlineStr">
        <is>
          <t>RET-0232</t>
        </is>
      </c>
      <c r="B3054" s="12" t="inlineStr">
        <is>
          <t>VS27</t>
        </is>
      </c>
      <c r="C3054" s="28" t="n">
        <v>0.0062</v>
      </c>
      <c r="D3054" s="12" t="inlineStr">
        <is>
          <t>PO-2021-1567</t>
        </is>
      </c>
      <c r="E3054" s="12" t="n">
        <v>1.72</v>
      </c>
      <c r="F3054" s="17" t="n">
        <v>49294.76</v>
      </c>
      <c r="G3054" s="14">
        <f>E3054*F3054</f>
        <v/>
      </c>
      <c r="H3054" s="14">
        <f>C3054*G3054</f>
        <v/>
      </c>
    </row>
    <row r="3055">
      <c r="A3055" s="12" t="inlineStr">
        <is>
          <t>RET-0232</t>
        </is>
      </c>
      <c r="B3055" s="12" t="inlineStr">
        <is>
          <t>VS28</t>
        </is>
      </c>
      <c r="C3055" s="28" t="n">
        <v>0.0139</v>
      </c>
      <c r="D3055" s="12" t="inlineStr">
        <is>
          <t>PO-2022-2277</t>
        </is>
      </c>
      <c r="E3055" s="12" t="n">
        <v>1.72</v>
      </c>
      <c r="F3055" s="17" t="n">
        <v>79494.91</v>
      </c>
      <c r="G3055" s="14">
        <f>E3055*F3055</f>
        <v/>
      </c>
      <c r="H3055" s="14">
        <f>C3055*G3055</f>
        <v/>
      </c>
    </row>
    <row r="3056">
      <c r="A3056" s="12" t="inlineStr">
        <is>
          <t>RET-0232</t>
        </is>
      </c>
      <c r="B3056" s="12" t="inlineStr">
        <is>
          <t>VS29</t>
        </is>
      </c>
      <c r="C3056" s="28" t="n">
        <v>0.008800000000000001</v>
      </c>
      <c r="D3056" s="12" t="inlineStr">
        <is>
          <t>PO-2021-1246</t>
        </is>
      </c>
      <c r="E3056" s="12" t="n">
        <v>1.72</v>
      </c>
      <c r="F3056" s="17" t="n">
        <v>45391</v>
      </c>
      <c r="G3056" s="14">
        <f>E3056*F3056</f>
        <v/>
      </c>
      <c r="H3056" s="14">
        <f>C3056*G3056</f>
        <v/>
      </c>
    </row>
    <row r="3057">
      <c r="A3057" s="12" t="inlineStr">
        <is>
          <t>RET-0232</t>
        </is>
      </c>
      <c r="B3057" s="12" t="inlineStr">
        <is>
          <t>VS30</t>
        </is>
      </c>
      <c r="C3057" s="28" t="n">
        <v>0.0038</v>
      </c>
      <c r="D3057" s="12" t="inlineStr">
        <is>
          <t>PO-2021-0309</t>
        </is>
      </c>
      <c r="E3057" s="12" t="n">
        <v>1.72</v>
      </c>
      <c r="F3057" s="17" t="n">
        <v>96455.52</v>
      </c>
      <c r="G3057" s="14">
        <f>E3057*F3057</f>
        <v/>
      </c>
      <c r="H3057" s="14">
        <f>C3057*G3057</f>
        <v/>
      </c>
    </row>
    <row r="3058">
      <c r="A3058" s="12" t="inlineStr">
        <is>
          <t>RET-0232</t>
        </is>
      </c>
      <c r="B3058" s="12" t="inlineStr">
        <is>
          <t>VS31</t>
        </is>
      </c>
      <c r="C3058" s="28" t="n">
        <v>0.0138</v>
      </c>
      <c r="D3058" s="12" t="inlineStr">
        <is>
          <t>PO-2022-3161</t>
        </is>
      </c>
      <c r="E3058" s="12" t="n">
        <v>1.72</v>
      </c>
      <c r="F3058" s="17" t="n">
        <v>90608.88</v>
      </c>
      <c r="G3058" s="14">
        <f>E3058*F3058</f>
        <v/>
      </c>
      <c r="H3058" s="14">
        <f>C3058*G3058</f>
        <v/>
      </c>
    </row>
    <row r="3059">
      <c r="A3059" s="12" t="inlineStr">
        <is>
          <t>RET-0232</t>
        </is>
      </c>
      <c r="B3059" s="12" t="inlineStr">
        <is>
          <t>VS32</t>
        </is>
      </c>
      <c r="C3059" s="28" t="n">
        <v>0.0164</v>
      </c>
      <c r="D3059" s="12" t="inlineStr">
        <is>
          <t>PO-2022-3060</t>
        </is>
      </c>
      <c r="E3059" s="12" t="n">
        <v>1.72</v>
      </c>
      <c r="F3059" s="17" t="n">
        <v>58865.87</v>
      </c>
      <c r="G3059" s="14">
        <f>E3059*F3059</f>
        <v/>
      </c>
      <c r="H3059" s="14">
        <f>C3059*G3059</f>
        <v/>
      </c>
    </row>
    <row r="3060">
      <c r="A3060" s="12" t="inlineStr">
        <is>
          <t>RET-0232</t>
        </is>
      </c>
      <c r="B3060" s="12" t="inlineStr">
        <is>
          <t>VS33</t>
        </is>
      </c>
      <c r="C3060" s="28" t="n">
        <v>0.008800000000000001</v>
      </c>
      <c r="D3060" s="12" t="inlineStr">
        <is>
          <t>PO-2021-1489</t>
        </is>
      </c>
      <c r="E3060" s="12" t="n">
        <v>1.72</v>
      </c>
      <c r="F3060" s="17" t="n">
        <v>85832.03999999999</v>
      </c>
      <c r="G3060" s="14">
        <f>E3060*F3060</f>
        <v/>
      </c>
      <c r="H3060" s="14">
        <f>C3060*G3060</f>
        <v/>
      </c>
    </row>
    <row r="3061">
      <c r="A3061" s="12" t="inlineStr">
        <is>
          <t>RET-0232</t>
        </is>
      </c>
      <c r="B3061" s="12" t="inlineStr">
        <is>
          <t>VS34</t>
        </is>
      </c>
      <c r="C3061" s="28" t="n">
        <v>0.0113</v>
      </c>
      <c r="D3061" s="12" t="inlineStr">
        <is>
          <t>PO-2022-2076</t>
        </is>
      </c>
      <c r="E3061" s="12" t="n">
        <v>1.72</v>
      </c>
      <c r="F3061" s="17" t="n">
        <v>62068.97</v>
      </c>
      <c r="G3061" s="14">
        <f>E3061*F3061</f>
        <v/>
      </c>
      <c r="H3061" s="14">
        <f>C3061*G3061</f>
        <v/>
      </c>
    </row>
    <row r="3062">
      <c r="A3062" s="12" t="inlineStr">
        <is>
          <t>RET-0235</t>
        </is>
      </c>
      <c r="B3062" s="12" t="inlineStr">
        <is>
          <t>VS01</t>
        </is>
      </c>
      <c r="C3062" s="28" t="n">
        <v>0.0181</v>
      </c>
      <c r="D3062" s="12" t="inlineStr">
        <is>
          <t>PO-2023-4358</t>
        </is>
      </c>
      <c r="E3062" s="12" t="n">
        <v>2.89</v>
      </c>
      <c r="F3062" s="17" t="n">
        <v>49264.83</v>
      </c>
      <c r="G3062" s="14">
        <f>E3062*F3062</f>
        <v/>
      </c>
      <c r="H3062" s="14">
        <f>C3062*G3062</f>
        <v/>
      </c>
    </row>
    <row r="3063">
      <c r="A3063" s="12" t="inlineStr">
        <is>
          <t>RET-0235</t>
        </is>
      </c>
      <c r="B3063" s="12" t="inlineStr">
        <is>
          <t>VS02</t>
        </is>
      </c>
      <c r="C3063" s="28" t="n">
        <v>0.008200000000000001</v>
      </c>
      <c r="D3063" s="12" t="inlineStr">
        <is>
          <t>PO-2023-4052</t>
        </is>
      </c>
      <c r="E3063" s="12" t="n">
        <v>2.89</v>
      </c>
      <c r="F3063" s="17" t="n">
        <v>115322.38</v>
      </c>
      <c r="G3063" s="14">
        <f>E3063*F3063</f>
        <v/>
      </c>
      <c r="H3063" s="14">
        <f>C3063*G3063</f>
        <v/>
      </c>
    </row>
    <row r="3064">
      <c r="A3064" s="12" t="inlineStr">
        <is>
          <t>RET-0235</t>
        </is>
      </c>
      <c r="B3064" s="12" t="inlineStr">
        <is>
          <t>VS03</t>
        </is>
      </c>
      <c r="C3064" s="28" t="n">
        <v>0.1752</v>
      </c>
      <c r="D3064" s="12" t="inlineStr">
        <is>
          <t>PO-2023-4150</t>
        </is>
      </c>
      <c r="E3064" s="12" t="n">
        <v>2.89</v>
      </c>
      <c r="F3064" s="17" t="n">
        <v>64866.66</v>
      </c>
      <c r="G3064" s="14">
        <f>E3064*F3064</f>
        <v/>
      </c>
      <c r="H3064" s="14">
        <f>C3064*G3064</f>
        <v/>
      </c>
    </row>
    <row r="3065">
      <c r="A3065" s="12" t="inlineStr">
        <is>
          <t>RET-0235</t>
        </is>
      </c>
      <c r="B3065" s="12" t="inlineStr">
        <is>
          <t>VS04</t>
        </is>
      </c>
      <c r="C3065" s="28" t="n">
        <v>0.0113</v>
      </c>
      <c r="D3065" s="12" t="inlineStr">
        <is>
          <t>PO-2022-1644</t>
        </is>
      </c>
      <c r="E3065" s="12" t="n">
        <v>2.89</v>
      </c>
      <c r="F3065" s="17" t="n">
        <v>77140.07000000001</v>
      </c>
      <c r="G3065" s="14">
        <f>E3065*F3065</f>
        <v/>
      </c>
      <c r="H3065" s="14">
        <f>C3065*G3065</f>
        <v/>
      </c>
    </row>
    <row r="3066">
      <c r="A3066" s="12" t="inlineStr">
        <is>
          <t>RET-0235</t>
        </is>
      </c>
      <c r="B3066" s="12" t="inlineStr">
        <is>
          <t>VS05</t>
        </is>
      </c>
      <c r="C3066" s="28" t="n">
        <v>0.0147</v>
      </c>
      <c r="D3066" s="12" t="inlineStr">
        <is>
          <t>PO-2022-3113</t>
        </is>
      </c>
      <c r="E3066" s="12" t="n">
        <v>2.89</v>
      </c>
      <c r="F3066" s="17" t="n">
        <v>92014.57000000001</v>
      </c>
      <c r="G3066" s="14">
        <f>E3066*F3066</f>
        <v/>
      </c>
      <c r="H3066" s="14">
        <f>C3066*G3066</f>
        <v/>
      </c>
    </row>
    <row r="3067">
      <c r="A3067" s="12" t="inlineStr">
        <is>
          <t>RET-0235</t>
        </is>
      </c>
      <c r="B3067" s="12" t="inlineStr">
        <is>
          <t>VS06</t>
        </is>
      </c>
      <c r="C3067" s="28" t="n">
        <v>0.0149</v>
      </c>
      <c r="D3067" s="12" t="inlineStr">
        <is>
          <t>PO-2021-1112</t>
        </is>
      </c>
      <c r="E3067" s="12" t="n">
        <v>2.89</v>
      </c>
      <c r="F3067" s="17" t="n">
        <v>53585.35</v>
      </c>
      <c r="G3067" s="14">
        <f>E3067*F3067</f>
        <v/>
      </c>
      <c r="H3067" s="14">
        <f>C3067*G3067</f>
        <v/>
      </c>
    </row>
    <row r="3068">
      <c r="A3068" s="12" t="inlineStr">
        <is>
          <t>RET-0235</t>
        </is>
      </c>
      <c r="B3068" s="12" t="inlineStr">
        <is>
          <t>VS07</t>
        </is>
      </c>
      <c r="C3068" s="28" t="n">
        <v>0.005</v>
      </c>
      <c r="D3068" s="12" t="inlineStr">
        <is>
          <t>PO-2022-2995</t>
        </is>
      </c>
      <c r="E3068" s="12" t="n">
        <v>2.89</v>
      </c>
      <c r="F3068" s="17" t="n">
        <v>117930.92</v>
      </c>
      <c r="G3068" s="14">
        <f>E3068*F3068</f>
        <v/>
      </c>
      <c r="H3068" s="14">
        <f>C3068*G3068</f>
        <v/>
      </c>
    </row>
    <row r="3069">
      <c r="A3069" s="12" t="inlineStr">
        <is>
          <t>RET-0235</t>
        </is>
      </c>
      <c r="B3069" s="12" t="inlineStr">
        <is>
          <t>VS08</t>
        </is>
      </c>
      <c r="C3069" s="28" t="n">
        <v>0.015</v>
      </c>
      <c r="D3069" s="12" t="inlineStr">
        <is>
          <t>PO-2021-0861</t>
        </is>
      </c>
      <c r="E3069" s="12" t="n">
        <v>2.89</v>
      </c>
      <c r="F3069" s="17" t="n">
        <v>78704.88</v>
      </c>
      <c r="G3069" s="14">
        <f>E3069*F3069</f>
        <v/>
      </c>
      <c r="H3069" s="14">
        <f>C3069*G3069</f>
        <v/>
      </c>
    </row>
    <row r="3070">
      <c r="A3070" s="12" t="inlineStr">
        <is>
          <t>RET-0235</t>
        </is>
      </c>
      <c r="B3070" s="12" t="inlineStr">
        <is>
          <t>VS09</t>
        </is>
      </c>
      <c r="C3070" s="28" t="n">
        <v>0.0115</v>
      </c>
      <c r="D3070" s="12" t="inlineStr">
        <is>
          <t>PO-2022-2680</t>
        </is>
      </c>
      <c r="E3070" s="12" t="n">
        <v>2.89</v>
      </c>
      <c r="F3070" s="17" t="n">
        <v>105149.53</v>
      </c>
      <c r="G3070" s="14">
        <f>E3070*F3070</f>
        <v/>
      </c>
      <c r="H3070" s="14">
        <f>C3070*G3070</f>
        <v/>
      </c>
    </row>
    <row r="3071">
      <c r="A3071" s="12" t="inlineStr">
        <is>
          <t>RET-0235</t>
        </is>
      </c>
      <c r="B3071" s="12" t="inlineStr">
        <is>
          <t>VS10</t>
        </is>
      </c>
      <c r="C3071" s="28" t="n">
        <v>0.0181</v>
      </c>
      <c r="D3071" s="12" t="inlineStr">
        <is>
          <t>PO-2022-2851</t>
        </is>
      </c>
      <c r="E3071" s="12" t="n">
        <v>2.89</v>
      </c>
      <c r="F3071" s="17" t="n">
        <v>103163.85</v>
      </c>
      <c r="G3071" s="14">
        <f>E3071*F3071</f>
        <v/>
      </c>
      <c r="H3071" s="14">
        <f>C3071*G3071</f>
        <v/>
      </c>
    </row>
    <row r="3072">
      <c r="A3072" s="12" t="inlineStr">
        <is>
          <t>RET-0235</t>
        </is>
      </c>
      <c r="B3072" s="12" t="inlineStr">
        <is>
          <t>VS11</t>
        </is>
      </c>
      <c r="C3072" s="28" t="n">
        <v>0.0211</v>
      </c>
      <c r="D3072" s="12" t="inlineStr">
        <is>
          <t>PO-2021-0509</t>
        </is>
      </c>
      <c r="E3072" s="12" t="n">
        <v>2.89</v>
      </c>
      <c r="F3072" s="17" t="n">
        <v>95251.84</v>
      </c>
      <c r="G3072" s="14">
        <f>E3072*F3072</f>
        <v/>
      </c>
      <c r="H3072" s="14">
        <f>C3072*G3072</f>
        <v/>
      </c>
    </row>
    <row r="3073">
      <c r="A3073" s="12" t="inlineStr">
        <is>
          <t>RET-0235</t>
        </is>
      </c>
      <c r="B3073" s="12" t="inlineStr">
        <is>
          <t>VS12</t>
        </is>
      </c>
      <c r="C3073" s="28" t="n">
        <v>0.2435</v>
      </c>
      <c r="D3073" s="12" t="inlineStr">
        <is>
          <t>PO-2022-1642</t>
        </is>
      </c>
      <c r="E3073" s="12" t="n">
        <v>2.89</v>
      </c>
      <c r="F3073" s="17" t="n">
        <v>68164.61</v>
      </c>
      <c r="G3073" s="14">
        <f>E3073*F3073</f>
        <v/>
      </c>
      <c r="H3073" s="14">
        <f>C3073*G3073</f>
        <v/>
      </c>
    </row>
    <row r="3074">
      <c r="A3074" s="12" t="inlineStr">
        <is>
          <t>RET-0235</t>
        </is>
      </c>
      <c r="B3074" s="12" t="inlineStr">
        <is>
          <t>VS13</t>
        </is>
      </c>
      <c r="C3074" s="28" t="n">
        <v>0.0146</v>
      </c>
      <c r="D3074" s="12" t="inlineStr">
        <is>
          <t>PO-2021-1391</t>
        </is>
      </c>
      <c r="E3074" s="12" t="n">
        <v>2.89</v>
      </c>
      <c r="F3074" s="17" t="n">
        <v>111171.45</v>
      </c>
      <c r="G3074" s="14">
        <f>E3074*F3074</f>
        <v/>
      </c>
      <c r="H3074" s="14">
        <f>C3074*G3074</f>
        <v/>
      </c>
    </row>
    <row r="3075">
      <c r="A3075" s="12" t="inlineStr">
        <is>
          <t>RET-0235</t>
        </is>
      </c>
      <c r="B3075" s="12" t="inlineStr">
        <is>
          <t>VS14</t>
        </is>
      </c>
      <c r="C3075" s="28" t="n">
        <v>0.0147</v>
      </c>
      <c r="D3075" s="12" t="inlineStr">
        <is>
          <t>PO-2021-1021</t>
        </is>
      </c>
      <c r="E3075" s="12" t="n">
        <v>2.89</v>
      </c>
      <c r="F3075" s="17" t="n">
        <v>70177.10000000001</v>
      </c>
      <c r="G3075" s="14">
        <f>E3075*F3075</f>
        <v/>
      </c>
      <c r="H3075" s="14">
        <f>C3075*G3075</f>
        <v/>
      </c>
    </row>
    <row r="3076">
      <c r="A3076" s="12" t="inlineStr">
        <is>
          <t>RET-0235</t>
        </is>
      </c>
      <c r="B3076" s="12" t="inlineStr">
        <is>
          <t>VS15</t>
        </is>
      </c>
      <c r="C3076" s="28" t="n">
        <v>0.0049</v>
      </c>
      <c r="D3076" s="12" t="inlineStr">
        <is>
          <t>PO-2021-1456</t>
        </is>
      </c>
      <c r="E3076" s="12" t="n">
        <v>2.89</v>
      </c>
      <c r="F3076" s="17" t="n">
        <v>73275.77</v>
      </c>
      <c r="G3076" s="14">
        <f>E3076*F3076</f>
        <v/>
      </c>
      <c r="H3076" s="14">
        <f>C3076*G3076</f>
        <v/>
      </c>
    </row>
    <row r="3077">
      <c r="A3077" s="12" t="inlineStr">
        <is>
          <t>RET-0235</t>
        </is>
      </c>
      <c r="B3077" s="12" t="inlineStr">
        <is>
          <t>VS16</t>
        </is>
      </c>
      <c r="C3077" s="28" t="n">
        <v>0.0212</v>
      </c>
      <c r="D3077" s="12" t="inlineStr">
        <is>
          <t>PO-2021-0070</t>
        </is>
      </c>
      <c r="E3077" s="12" t="n">
        <v>2.89</v>
      </c>
      <c r="F3077" s="17" t="n">
        <v>78810.14999999999</v>
      </c>
      <c r="G3077" s="14">
        <f>E3077*F3077</f>
        <v/>
      </c>
      <c r="H3077" s="14">
        <f>C3077*G3077</f>
        <v/>
      </c>
    </row>
    <row r="3078">
      <c r="A3078" s="12" t="inlineStr">
        <is>
          <t>RET-0235</t>
        </is>
      </c>
      <c r="B3078" s="12" t="inlineStr">
        <is>
          <t>VS17</t>
        </is>
      </c>
      <c r="C3078" s="28" t="n">
        <v>0.0211</v>
      </c>
      <c r="D3078" s="12" t="inlineStr">
        <is>
          <t>PO-2023-4023</t>
        </is>
      </c>
      <c r="E3078" s="12" t="n">
        <v>2.89</v>
      </c>
      <c r="F3078" s="17" t="n">
        <v>78387.75</v>
      </c>
      <c r="G3078" s="14">
        <f>E3078*F3078</f>
        <v/>
      </c>
      <c r="H3078" s="14">
        <f>C3078*G3078</f>
        <v/>
      </c>
    </row>
    <row r="3079">
      <c r="A3079" s="12" t="inlineStr">
        <is>
          <t>RET-0235</t>
        </is>
      </c>
      <c r="B3079" s="12" t="inlineStr">
        <is>
          <t>VS18</t>
        </is>
      </c>
      <c r="C3079" s="28" t="n">
        <v>0.0147</v>
      </c>
      <c r="D3079" s="12" t="inlineStr">
        <is>
          <t>PO-2021-1120</t>
        </is>
      </c>
      <c r="E3079" s="12" t="n">
        <v>2.89</v>
      </c>
      <c r="F3079" s="17" t="n">
        <v>84829.77</v>
      </c>
      <c r="G3079" s="14">
        <f>E3079*F3079</f>
        <v/>
      </c>
      <c r="H3079" s="14">
        <f>C3079*G3079</f>
        <v/>
      </c>
    </row>
    <row r="3080">
      <c r="A3080" s="12" t="inlineStr">
        <is>
          <t>RET-0235</t>
        </is>
      </c>
      <c r="B3080" s="12" t="inlineStr">
        <is>
          <t>VS19</t>
        </is>
      </c>
      <c r="C3080" s="28" t="n">
        <v>0.1837</v>
      </c>
      <c r="D3080" s="12" t="inlineStr">
        <is>
          <t>PO-2023-3974</t>
        </is>
      </c>
      <c r="E3080" s="12" t="n">
        <v>2.89</v>
      </c>
      <c r="F3080" s="17" t="n">
        <v>50659.12</v>
      </c>
      <c r="G3080" s="14">
        <f>E3080*F3080</f>
        <v/>
      </c>
      <c r="H3080" s="14">
        <f>C3080*G3080</f>
        <v/>
      </c>
    </row>
    <row r="3081">
      <c r="A3081" s="12" t="inlineStr">
        <is>
          <t>RET-0235</t>
        </is>
      </c>
      <c r="B3081" s="12" t="inlineStr">
        <is>
          <t>VS20</t>
        </is>
      </c>
      <c r="C3081" s="28" t="n">
        <v>0.008200000000000001</v>
      </c>
      <c r="D3081" s="12" t="inlineStr">
        <is>
          <t>PO-2023-4680</t>
        </is>
      </c>
      <c r="E3081" s="12" t="n">
        <v>2.89</v>
      </c>
      <c r="F3081" s="17" t="n">
        <v>101511.42</v>
      </c>
      <c r="G3081" s="14">
        <f>E3081*F3081</f>
        <v/>
      </c>
      <c r="H3081" s="14">
        <f>C3081*G3081</f>
        <v/>
      </c>
    </row>
    <row r="3082">
      <c r="A3082" s="12" t="inlineStr">
        <is>
          <t>RET-0235</t>
        </is>
      </c>
      <c r="B3082" s="12" t="inlineStr">
        <is>
          <t>VS21</t>
        </is>
      </c>
      <c r="C3082" s="28" t="n">
        <v>0.008200000000000001</v>
      </c>
      <c r="D3082" s="12" t="inlineStr">
        <is>
          <t>PO-2022-2836</t>
        </is>
      </c>
      <c r="E3082" s="12" t="n">
        <v>2.89</v>
      </c>
      <c r="F3082" s="17" t="n">
        <v>69298.24000000001</v>
      </c>
      <c r="G3082" s="14">
        <f>E3082*F3082</f>
        <v/>
      </c>
      <c r="H3082" s="14">
        <f>C3082*G3082</f>
        <v/>
      </c>
    </row>
    <row r="3083">
      <c r="A3083" s="12" t="inlineStr">
        <is>
          <t>RET-0235</t>
        </is>
      </c>
      <c r="B3083" s="12" t="inlineStr">
        <is>
          <t>VS22</t>
        </is>
      </c>
      <c r="C3083" s="28" t="n">
        <v>0.0049</v>
      </c>
      <c r="D3083" s="12" t="inlineStr">
        <is>
          <t>PO-2023-4438</t>
        </is>
      </c>
      <c r="E3083" s="12" t="n">
        <v>2.89</v>
      </c>
      <c r="F3083" s="17" t="n">
        <v>82055.39</v>
      </c>
      <c r="G3083" s="14">
        <f>E3083*F3083</f>
        <v/>
      </c>
      <c r="H3083" s="14">
        <f>C3083*G3083</f>
        <v/>
      </c>
    </row>
    <row r="3084">
      <c r="A3084" s="12" t="inlineStr">
        <is>
          <t>RET-0235</t>
        </is>
      </c>
      <c r="B3084" s="12" t="inlineStr">
        <is>
          <t>VS23</t>
        </is>
      </c>
      <c r="C3084" s="28" t="n">
        <v>0.0081</v>
      </c>
      <c r="D3084" s="12" t="inlineStr">
        <is>
          <t>PO-2022-3095</t>
        </is>
      </c>
      <c r="E3084" s="12" t="n">
        <v>2.89</v>
      </c>
      <c r="F3084" s="17" t="n">
        <v>74779.94</v>
      </c>
      <c r="G3084" s="14">
        <f>E3084*F3084</f>
        <v/>
      </c>
      <c r="H3084" s="14">
        <f>C3084*G3084</f>
        <v/>
      </c>
    </row>
    <row r="3085">
      <c r="A3085" s="12" t="inlineStr">
        <is>
          <t>RET-0235</t>
        </is>
      </c>
      <c r="B3085" s="12" t="inlineStr">
        <is>
          <t>VS24</t>
        </is>
      </c>
      <c r="C3085" s="28" t="n">
        <v>0.008200000000000001</v>
      </c>
      <c r="D3085" s="12" t="inlineStr">
        <is>
          <t>PO-2023-3730</t>
        </is>
      </c>
      <c r="E3085" s="12" t="n">
        <v>2.89</v>
      </c>
      <c r="F3085" s="17" t="n">
        <v>74384.25999999999</v>
      </c>
      <c r="G3085" s="14">
        <f>E3085*F3085</f>
        <v/>
      </c>
      <c r="H3085" s="14">
        <f>C3085*G3085</f>
        <v/>
      </c>
    </row>
    <row r="3086">
      <c r="A3086" s="12" t="inlineStr">
        <is>
          <t>RET-0235</t>
        </is>
      </c>
      <c r="B3086" s="12" t="inlineStr">
        <is>
          <t>VS25</t>
        </is>
      </c>
      <c r="C3086" s="28" t="n">
        <v>0.0148</v>
      </c>
      <c r="D3086" s="12" t="inlineStr">
        <is>
          <t>PO-2023-4487</t>
        </is>
      </c>
      <c r="E3086" s="12" t="n">
        <v>2.89</v>
      </c>
      <c r="F3086" s="17" t="n">
        <v>104059.42</v>
      </c>
      <c r="G3086" s="14">
        <f>E3086*F3086</f>
        <v/>
      </c>
      <c r="H3086" s="14">
        <f>C3086*G3086</f>
        <v/>
      </c>
    </row>
    <row r="3087">
      <c r="A3087" s="12" t="inlineStr">
        <is>
          <t>RET-0235</t>
        </is>
      </c>
      <c r="B3087" s="12" t="inlineStr">
        <is>
          <t>VS26</t>
        </is>
      </c>
      <c r="C3087" s="28" t="n">
        <v>0.008200000000000001</v>
      </c>
      <c r="D3087" s="12" t="inlineStr">
        <is>
          <t>PO-2021-0119</t>
        </is>
      </c>
      <c r="E3087" s="12" t="n">
        <v>2.89</v>
      </c>
      <c r="F3087" s="17" t="n">
        <v>108925.6</v>
      </c>
      <c r="G3087" s="14">
        <f>E3087*F3087</f>
        <v/>
      </c>
      <c r="H3087" s="14">
        <f>C3087*G3087</f>
        <v/>
      </c>
    </row>
    <row r="3088">
      <c r="A3088" s="12" t="inlineStr">
        <is>
          <t>RET-0235</t>
        </is>
      </c>
      <c r="B3088" s="12" t="inlineStr">
        <is>
          <t>VS27</t>
        </is>
      </c>
      <c r="C3088" s="28" t="n">
        <v>0.0081</v>
      </c>
      <c r="D3088" s="12" t="inlineStr">
        <is>
          <t>PO-2021-1429</t>
        </is>
      </c>
      <c r="E3088" s="12" t="n">
        <v>2.89</v>
      </c>
      <c r="F3088" s="17" t="n">
        <v>87945.88</v>
      </c>
      <c r="G3088" s="14">
        <f>E3088*F3088</f>
        <v/>
      </c>
      <c r="H3088" s="14">
        <f>C3088*G3088</f>
        <v/>
      </c>
    </row>
    <row r="3089">
      <c r="A3089" s="12" t="inlineStr">
        <is>
          <t>RET-0235</t>
        </is>
      </c>
      <c r="B3089" s="12" t="inlineStr">
        <is>
          <t>VS28</t>
        </is>
      </c>
      <c r="C3089" s="28" t="n">
        <v>0.0181</v>
      </c>
      <c r="D3089" s="12" t="inlineStr">
        <is>
          <t>PO-2022-2001</t>
        </is>
      </c>
      <c r="E3089" s="12" t="n">
        <v>2.89</v>
      </c>
      <c r="F3089" s="17" t="n">
        <v>94053.37</v>
      </c>
      <c r="G3089" s="14">
        <f>E3089*F3089</f>
        <v/>
      </c>
      <c r="H3089" s="14">
        <f>C3089*G3089</f>
        <v/>
      </c>
    </row>
    <row r="3090">
      <c r="A3090" s="12" t="inlineStr">
        <is>
          <t>RET-0235</t>
        </is>
      </c>
      <c r="B3090" s="12" t="inlineStr">
        <is>
          <t>VS29</t>
        </is>
      </c>
      <c r="C3090" s="28" t="n">
        <v>0.0115</v>
      </c>
      <c r="D3090" s="12" t="inlineStr">
        <is>
          <t>PO-2023-4677</t>
        </is>
      </c>
      <c r="E3090" s="12" t="n">
        <v>2.89</v>
      </c>
      <c r="F3090" s="17" t="n">
        <v>91154.89999999999</v>
      </c>
      <c r="G3090" s="14">
        <f>E3090*F3090</f>
        <v/>
      </c>
      <c r="H3090" s="14">
        <f>C3090*G3090</f>
        <v/>
      </c>
    </row>
    <row r="3091">
      <c r="A3091" s="12" t="inlineStr">
        <is>
          <t>RET-0235</t>
        </is>
      </c>
      <c r="B3091" s="12" t="inlineStr">
        <is>
          <t>VS30</t>
        </is>
      </c>
      <c r="C3091" s="28" t="n">
        <v>0.0049</v>
      </c>
      <c r="D3091" s="12" t="inlineStr">
        <is>
          <t>PO-2021-0262</t>
        </is>
      </c>
      <c r="E3091" s="12" t="n">
        <v>2.89</v>
      </c>
      <c r="F3091" s="17" t="n">
        <v>56856.03</v>
      </c>
      <c r="G3091" s="14">
        <f>E3091*F3091</f>
        <v/>
      </c>
      <c r="H3091" s="14">
        <f>C3091*G3091</f>
        <v/>
      </c>
    </row>
    <row r="3092">
      <c r="A3092" s="12" t="inlineStr">
        <is>
          <t>RET-0235</t>
        </is>
      </c>
      <c r="B3092" s="12" t="inlineStr">
        <is>
          <t>VS31</t>
        </is>
      </c>
      <c r="C3092" s="28" t="n">
        <v>0.018</v>
      </c>
      <c r="D3092" s="12" t="inlineStr">
        <is>
          <t>PO-2021-1400</t>
        </is>
      </c>
      <c r="E3092" s="12" t="n">
        <v>2.89</v>
      </c>
      <c r="F3092" s="17" t="n">
        <v>90640</v>
      </c>
      <c r="G3092" s="14">
        <f>E3092*F3092</f>
        <v/>
      </c>
      <c r="H3092" s="14">
        <f>C3092*G3092</f>
        <v/>
      </c>
    </row>
    <row r="3093">
      <c r="A3093" s="12" t="inlineStr">
        <is>
          <t>RET-0235</t>
        </is>
      </c>
      <c r="B3093" s="12" t="inlineStr">
        <is>
          <t>VS32</t>
        </is>
      </c>
      <c r="C3093" s="28" t="n">
        <v>0.0214</v>
      </c>
      <c r="D3093" s="12" t="inlineStr">
        <is>
          <t>PO-2021-0316</t>
        </is>
      </c>
      <c r="E3093" s="12" t="n">
        <v>2.89</v>
      </c>
      <c r="F3093" s="17" t="n">
        <v>78411.2</v>
      </c>
      <c r="G3093" s="14">
        <f>E3093*F3093</f>
        <v/>
      </c>
      <c r="H3093" s="14">
        <f>C3093*G3093</f>
        <v/>
      </c>
    </row>
    <row r="3094">
      <c r="A3094" s="12" t="inlineStr">
        <is>
          <t>RET-0235</t>
        </is>
      </c>
      <c r="B3094" s="12" t="inlineStr">
        <is>
          <t>VS33</t>
        </is>
      </c>
      <c r="C3094" s="28" t="n">
        <v>0.0114</v>
      </c>
      <c r="D3094" s="12" t="inlineStr">
        <is>
          <t>PO-2022-3063</t>
        </is>
      </c>
      <c r="E3094" s="12" t="n">
        <v>2.89</v>
      </c>
      <c r="F3094" s="17" t="n">
        <v>105837.21</v>
      </c>
      <c r="G3094" s="14">
        <f>E3094*F3094</f>
        <v/>
      </c>
      <c r="H3094" s="14">
        <f>C3094*G3094</f>
        <v/>
      </c>
    </row>
    <row r="3095">
      <c r="A3095" s="12" t="inlineStr">
        <is>
          <t>RET-0235</t>
        </is>
      </c>
      <c r="B3095" s="12" t="inlineStr">
        <is>
          <t>VS34</t>
        </is>
      </c>
      <c r="C3095" s="28" t="n">
        <v>0.0147</v>
      </c>
      <c r="D3095" s="12" t="inlineStr">
        <is>
          <t>PO-2022-1949</t>
        </is>
      </c>
      <c r="E3095" s="12" t="n">
        <v>2.89</v>
      </c>
      <c r="F3095" s="17" t="n">
        <v>108164.34</v>
      </c>
      <c r="G3095" s="14">
        <f>E3095*F3095</f>
        <v/>
      </c>
      <c r="H3095" s="14">
        <f>C3095*G3095</f>
        <v/>
      </c>
    </row>
    <row r="3096">
      <c r="A3096" s="12" t="inlineStr">
        <is>
          <t>RET-0239</t>
        </is>
      </c>
      <c r="B3096" s="12" t="inlineStr">
        <is>
          <t>VS01</t>
        </is>
      </c>
      <c r="C3096" s="28" t="n">
        <v>0.0131</v>
      </c>
      <c r="D3096" s="12" t="inlineStr">
        <is>
          <t>PO-2022-1648</t>
        </is>
      </c>
      <c r="E3096" s="12" t="n">
        <v>2.57</v>
      </c>
      <c r="F3096" s="17" t="n">
        <v>115036.45</v>
      </c>
      <c r="G3096" s="14">
        <f>E3096*F3096</f>
        <v/>
      </c>
      <c r="H3096" s="14">
        <f>C3096*G3096</f>
        <v/>
      </c>
    </row>
    <row r="3097">
      <c r="A3097" s="12" t="inlineStr">
        <is>
          <t>RET-0239</t>
        </is>
      </c>
      <c r="B3097" s="12" t="inlineStr">
        <is>
          <t>VS02</t>
        </is>
      </c>
      <c r="C3097" s="28" t="n">
        <v>0.006</v>
      </c>
      <c r="D3097" s="12" t="inlineStr">
        <is>
          <t>PO-2022-2895</t>
        </is>
      </c>
      <c r="E3097" s="12" t="n">
        <v>2.57</v>
      </c>
      <c r="F3097" s="17" t="n">
        <v>114763.89</v>
      </c>
      <c r="G3097" s="14">
        <f>E3097*F3097</f>
        <v/>
      </c>
      <c r="H3097" s="14">
        <f>C3097*G3097</f>
        <v/>
      </c>
    </row>
    <row r="3098">
      <c r="A3098" s="12" t="inlineStr">
        <is>
          <t>RET-0239</t>
        </is>
      </c>
      <c r="B3098" s="12" t="inlineStr">
        <is>
          <t>VS03</t>
        </is>
      </c>
      <c r="C3098" s="28" t="n">
        <v>0.2072</v>
      </c>
      <c r="D3098" s="12" t="inlineStr">
        <is>
          <t>PO-2023-4056</t>
        </is>
      </c>
      <c r="E3098" s="12" t="n">
        <v>2.57</v>
      </c>
      <c r="F3098" s="17" t="n">
        <v>53720.8</v>
      </c>
      <c r="G3098" s="14">
        <f>E3098*F3098</f>
        <v/>
      </c>
      <c r="H3098" s="14">
        <f>C3098*G3098</f>
        <v/>
      </c>
    </row>
    <row r="3099">
      <c r="A3099" s="12" t="inlineStr">
        <is>
          <t>RET-0239</t>
        </is>
      </c>
      <c r="B3099" s="12" t="inlineStr">
        <is>
          <t>VS04</t>
        </is>
      </c>
      <c r="C3099" s="28" t="n">
        <v>0.008200000000000001</v>
      </c>
      <c r="D3099" s="12" t="inlineStr">
        <is>
          <t>PO-2022-2771</t>
        </is>
      </c>
      <c r="E3099" s="12" t="n">
        <v>2.57</v>
      </c>
      <c r="F3099" s="17" t="n">
        <v>67051.24000000001</v>
      </c>
      <c r="G3099" s="14">
        <f>E3099*F3099</f>
        <v/>
      </c>
      <c r="H3099" s="14">
        <f>C3099*G3099</f>
        <v/>
      </c>
    </row>
    <row r="3100">
      <c r="A3100" s="12" t="inlineStr">
        <is>
          <t>RET-0239</t>
        </is>
      </c>
      <c r="B3100" s="12" t="inlineStr">
        <is>
          <t>VS05</t>
        </is>
      </c>
      <c r="C3100" s="28" t="n">
        <v>0.0106</v>
      </c>
      <c r="D3100" s="12" t="inlineStr">
        <is>
          <t>PO-2022-2313</t>
        </is>
      </c>
      <c r="E3100" s="12" t="n">
        <v>2.57</v>
      </c>
      <c r="F3100" s="17" t="n">
        <v>117423.33</v>
      </c>
      <c r="G3100" s="14">
        <f>E3100*F3100</f>
        <v/>
      </c>
      <c r="H3100" s="14">
        <f>C3100*G3100</f>
        <v/>
      </c>
    </row>
    <row r="3101">
      <c r="A3101" s="12" t="inlineStr">
        <is>
          <t>RET-0239</t>
        </is>
      </c>
      <c r="B3101" s="12" t="inlineStr">
        <is>
          <t>VS06</t>
        </is>
      </c>
      <c r="C3101" s="28" t="n">
        <v>0.0107</v>
      </c>
      <c r="D3101" s="12" t="inlineStr">
        <is>
          <t>PO-2023-3524</t>
        </is>
      </c>
      <c r="E3101" s="12" t="n">
        <v>2.57</v>
      </c>
      <c r="F3101" s="17" t="n">
        <v>113539.68</v>
      </c>
      <c r="G3101" s="14">
        <f>E3101*F3101</f>
        <v/>
      </c>
      <c r="H3101" s="14">
        <f>C3101*G3101</f>
        <v/>
      </c>
    </row>
    <row r="3102">
      <c r="A3102" s="12" t="inlineStr">
        <is>
          <t>RET-0239</t>
        </is>
      </c>
      <c r="B3102" s="12" t="inlineStr">
        <is>
          <t>VS07</t>
        </is>
      </c>
      <c r="C3102" s="28" t="n">
        <v>0.0036</v>
      </c>
      <c r="D3102" s="12" t="inlineStr">
        <is>
          <t>PO-2023-3640</t>
        </is>
      </c>
      <c r="E3102" s="12" t="n">
        <v>2.57</v>
      </c>
      <c r="F3102" s="17" t="n">
        <v>72908.7</v>
      </c>
      <c r="G3102" s="14">
        <f>E3102*F3102</f>
        <v/>
      </c>
      <c r="H3102" s="14">
        <f>C3102*G3102</f>
        <v/>
      </c>
    </row>
    <row r="3103">
      <c r="A3103" s="12" t="inlineStr">
        <is>
          <t>RET-0239</t>
        </is>
      </c>
      <c r="B3103" s="12" t="inlineStr">
        <is>
          <t>VS08</t>
        </is>
      </c>
      <c r="C3103" s="28" t="n">
        <v>0.0108</v>
      </c>
      <c r="D3103" s="12" t="inlineStr">
        <is>
          <t>PO-2021-0274</t>
        </is>
      </c>
      <c r="E3103" s="12" t="n">
        <v>2.57</v>
      </c>
      <c r="F3103" s="17" t="n">
        <v>74542.78</v>
      </c>
      <c r="G3103" s="14">
        <f>E3103*F3103</f>
        <v/>
      </c>
      <c r="H3103" s="14">
        <f>C3103*G3103</f>
        <v/>
      </c>
    </row>
    <row r="3104">
      <c r="A3104" s="12" t="inlineStr">
        <is>
          <t>RET-0239</t>
        </is>
      </c>
      <c r="B3104" s="12" t="inlineStr">
        <is>
          <t>VS09</t>
        </is>
      </c>
      <c r="C3104" s="28" t="n">
        <v>0.0083</v>
      </c>
      <c r="D3104" s="12" t="inlineStr">
        <is>
          <t>PO-2021-1075</t>
        </is>
      </c>
      <c r="E3104" s="12" t="n">
        <v>2.57</v>
      </c>
      <c r="F3104" s="17" t="n">
        <v>68057.12</v>
      </c>
      <c r="G3104" s="14">
        <f>E3104*F3104</f>
        <v/>
      </c>
      <c r="H3104" s="14">
        <f>C3104*G3104</f>
        <v/>
      </c>
    </row>
    <row r="3105">
      <c r="A3105" s="12" t="inlineStr">
        <is>
          <t>RET-0239</t>
        </is>
      </c>
      <c r="B3105" s="12" t="inlineStr">
        <is>
          <t>VS10</t>
        </is>
      </c>
      <c r="C3105" s="28" t="n">
        <v>0.0131</v>
      </c>
      <c r="D3105" s="12" t="inlineStr">
        <is>
          <t>PO-2021-0217</t>
        </is>
      </c>
      <c r="E3105" s="12" t="n">
        <v>2.57</v>
      </c>
      <c r="F3105" s="17" t="n">
        <v>113804.71</v>
      </c>
      <c r="G3105" s="14">
        <f>E3105*F3105</f>
        <v/>
      </c>
      <c r="H3105" s="14">
        <f>C3105*G3105</f>
        <v/>
      </c>
    </row>
    <row r="3106">
      <c r="A3106" s="12" t="inlineStr">
        <is>
          <t>RET-0239</t>
        </is>
      </c>
      <c r="B3106" s="12" t="inlineStr">
        <is>
          <t>VS11</t>
        </is>
      </c>
      <c r="C3106" s="28" t="n">
        <v>0.0153</v>
      </c>
      <c r="D3106" s="12" t="inlineStr">
        <is>
          <t>PO-2023-4469</t>
        </is>
      </c>
      <c r="E3106" s="12" t="n">
        <v>1.14</v>
      </c>
      <c r="F3106" s="17" t="n">
        <v>62626.61</v>
      </c>
      <c r="G3106" s="14">
        <f>E3106*F3106</f>
        <v/>
      </c>
      <c r="H3106" s="14">
        <f>C3106*G3106</f>
        <v/>
      </c>
    </row>
    <row r="3107">
      <c r="A3107" s="12" t="inlineStr">
        <is>
          <t>RET-0239</t>
        </is>
      </c>
      <c r="B3107" s="12" t="inlineStr">
        <is>
          <t>VS12</t>
        </is>
      </c>
      <c r="C3107" s="28" t="n">
        <v>0.288</v>
      </c>
      <c r="D3107" s="12" t="inlineStr">
        <is>
          <t>PO-2023-3667</t>
        </is>
      </c>
      <c r="E3107" s="12" t="n">
        <v>2.57</v>
      </c>
      <c r="F3107" s="17" t="n">
        <v>55100.51</v>
      </c>
      <c r="G3107" s="14">
        <f>E3107*F3107</f>
        <v/>
      </c>
      <c r="H3107" s="14">
        <f>C3107*G3107</f>
        <v/>
      </c>
    </row>
    <row r="3108">
      <c r="A3108" s="12" t="inlineStr">
        <is>
          <t>RET-0239</t>
        </is>
      </c>
      <c r="B3108" s="12" t="inlineStr">
        <is>
          <t>VS13</t>
        </is>
      </c>
      <c r="C3108" s="28" t="n">
        <v>0.0105</v>
      </c>
      <c r="D3108" s="12" t="inlineStr">
        <is>
          <t>PO-2021-0560</t>
        </is>
      </c>
      <c r="E3108" s="12" t="n">
        <v>2.57</v>
      </c>
      <c r="F3108" s="17" t="n">
        <v>63022.66</v>
      </c>
      <c r="G3108" s="14">
        <f>E3108*F3108</f>
        <v/>
      </c>
      <c r="H3108" s="14">
        <f>C3108*G3108</f>
        <v/>
      </c>
    </row>
    <row r="3109">
      <c r="A3109" s="12" t="inlineStr">
        <is>
          <t>RET-0239</t>
        </is>
      </c>
      <c r="B3109" s="12" t="inlineStr">
        <is>
          <t>VS14</t>
        </is>
      </c>
      <c r="C3109" s="28" t="n">
        <v>0.0106</v>
      </c>
      <c r="D3109" s="12" t="inlineStr">
        <is>
          <t>PO-2021-0685</t>
        </is>
      </c>
      <c r="E3109" s="12" t="n">
        <v>2.57</v>
      </c>
      <c r="F3109" s="17" t="n">
        <v>72166.72</v>
      </c>
      <c r="G3109" s="14">
        <f>E3109*F3109</f>
        <v/>
      </c>
      <c r="H3109" s="14">
        <f>C3109*G3109</f>
        <v/>
      </c>
    </row>
    <row r="3110">
      <c r="A3110" s="12" t="inlineStr">
        <is>
          <t>RET-0239</t>
        </is>
      </c>
      <c r="B3110" s="12" t="inlineStr">
        <is>
          <t>VS15</t>
        </is>
      </c>
      <c r="C3110" s="28" t="n">
        <v>0.0036</v>
      </c>
      <c r="D3110" s="12" t="inlineStr">
        <is>
          <t>PO-2023-4228</t>
        </is>
      </c>
      <c r="E3110" s="12" t="n">
        <v>2.57</v>
      </c>
      <c r="F3110" s="17" t="n">
        <v>70345.28</v>
      </c>
      <c r="G3110" s="14">
        <f>E3110*F3110</f>
        <v/>
      </c>
      <c r="H3110" s="14">
        <f>C3110*G3110</f>
        <v/>
      </c>
    </row>
    <row r="3111">
      <c r="A3111" s="12" t="inlineStr">
        <is>
          <t>RET-0239</t>
        </is>
      </c>
      <c r="B3111" s="12" t="inlineStr">
        <is>
          <t>VS16</t>
        </is>
      </c>
      <c r="C3111" s="28" t="n">
        <v>0.0153</v>
      </c>
      <c r="D3111" s="12" t="inlineStr">
        <is>
          <t>PO-2021-0467</t>
        </is>
      </c>
      <c r="E3111" s="12" t="n">
        <v>1.3</v>
      </c>
      <c r="F3111" s="17" t="n">
        <v>75752.71000000001</v>
      </c>
      <c r="G3111" s="14">
        <f>E3111*F3111</f>
        <v/>
      </c>
      <c r="H3111" s="14">
        <f>C3111*G3111</f>
        <v/>
      </c>
    </row>
    <row r="3112">
      <c r="A3112" s="12" t="inlineStr">
        <is>
          <t>RET-0239</t>
        </is>
      </c>
      <c r="B3112" s="12" t="inlineStr">
        <is>
          <t>VS17</t>
        </is>
      </c>
      <c r="C3112" s="28" t="n">
        <v>0.0153</v>
      </c>
      <c r="D3112" s="12" t="inlineStr">
        <is>
          <t>PO-2022-2610</t>
        </is>
      </c>
      <c r="E3112" s="12" t="n">
        <v>2.57</v>
      </c>
      <c r="F3112" s="17" t="n">
        <v>106083.47</v>
      </c>
      <c r="G3112" s="14">
        <f>E3112*F3112</f>
        <v/>
      </c>
      <c r="H3112" s="14">
        <f>C3112*G3112</f>
        <v/>
      </c>
    </row>
    <row r="3113">
      <c r="A3113" s="12" t="inlineStr">
        <is>
          <t>RET-0239</t>
        </is>
      </c>
      <c r="B3113" s="12" t="inlineStr">
        <is>
          <t>VS18</t>
        </is>
      </c>
      <c r="C3113" s="28" t="n">
        <v>0.0106</v>
      </c>
      <c r="D3113" s="12" t="inlineStr">
        <is>
          <t>PO-2022-3064</t>
        </is>
      </c>
      <c r="E3113" s="12" t="n">
        <v>2.57</v>
      </c>
      <c r="F3113" s="17" t="n">
        <v>86516.41</v>
      </c>
      <c r="G3113" s="14">
        <f>E3113*F3113</f>
        <v/>
      </c>
      <c r="H3113" s="14">
        <f>C3113*G3113</f>
        <v/>
      </c>
    </row>
    <row r="3114">
      <c r="A3114" s="12" t="inlineStr">
        <is>
          <t>RET-0239</t>
        </is>
      </c>
      <c r="B3114" s="12" t="inlineStr">
        <is>
          <t>VS19</t>
        </is>
      </c>
      <c r="C3114" s="28" t="n">
        <v>0.2173</v>
      </c>
      <c r="D3114" s="12" t="inlineStr">
        <is>
          <t>PO-2023-3522</t>
        </is>
      </c>
      <c r="E3114" s="12" t="n">
        <v>2.57</v>
      </c>
      <c r="F3114" s="17" t="n">
        <v>58049.53</v>
      </c>
      <c r="G3114" s="14">
        <f>E3114*F3114</f>
        <v/>
      </c>
      <c r="H3114" s="14">
        <f>C3114*G3114</f>
        <v/>
      </c>
    </row>
    <row r="3115">
      <c r="A3115" s="12" t="inlineStr">
        <is>
          <t>RET-0239</t>
        </is>
      </c>
      <c r="B3115" s="12" t="inlineStr">
        <is>
          <t>VS20</t>
        </is>
      </c>
      <c r="C3115" s="28" t="n">
        <v>0.0059</v>
      </c>
      <c r="D3115" s="12" t="inlineStr">
        <is>
          <t>PO-2023-3347</t>
        </is>
      </c>
      <c r="E3115" s="12" t="n">
        <v>2.57</v>
      </c>
      <c r="F3115" s="17" t="n">
        <v>95528.95</v>
      </c>
      <c r="G3115" s="14">
        <f>E3115*F3115</f>
        <v/>
      </c>
      <c r="H3115" s="14">
        <f>C3115*G3115</f>
        <v/>
      </c>
    </row>
    <row r="3116">
      <c r="A3116" s="12" t="inlineStr">
        <is>
          <t>RET-0239</t>
        </is>
      </c>
      <c r="B3116" s="12" t="inlineStr">
        <is>
          <t>VS21</t>
        </is>
      </c>
      <c r="C3116" s="28" t="n">
        <v>0.0059</v>
      </c>
      <c r="D3116" s="12" t="inlineStr">
        <is>
          <t>PO-2023-4168</t>
        </is>
      </c>
      <c r="E3116" s="12" t="n">
        <v>2.57</v>
      </c>
      <c r="F3116" s="17" t="n">
        <v>115041.5</v>
      </c>
      <c r="G3116" s="14">
        <f>E3116*F3116</f>
        <v/>
      </c>
      <c r="H3116" s="14">
        <f>C3116*G3116</f>
        <v/>
      </c>
    </row>
    <row r="3117">
      <c r="A3117" s="12" t="inlineStr">
        <is>
          <t>RET-0239</t>
        </is>
      </c>
      <c r="B3117" s="12" t="inlineStr">
        <is>
          <t>VS22</t>
        </is>
      </c>
      <c r="C3117" s="28" t="n">
        <v>0.0035</v>
      </c>
      <c r="D3117" s="12" t="inlineStr">
        <is>
          <t>PO-2021-1230</t>
        </is>
      </c>
      <c r="E3117" s="12" t="n">
        <v>2.57</v>
      </c>
      <c r="F3117" s="17" t="n">
        <v>60141.77</v>
      </c>
      <c r="G3117" s="14">
        <f>E3117*F3117</f>
        <v/>
      </c>
      <c r="H3117" s="14">
        <f>C3117*G3117</f>
        <v/>
      </c>
    </row>
    <row r="3118">
      <c r="A3118" s="12" t="inlineStr">
        <is>
          <t>RET-0239</t>
        </is>
      </c>
      <c r="B3118" s="12" t="inlineStr">
        <is>
          <t>VS23</t>
        </is>
      </c>
      <c r="C3118" s="28" t="n">
        <v>0.0058</v>
      </c>
      <c r="D3118" s="12" t="inlineStr">
        <is>
          <t>PO-2023-3211</t>
        </is>
      </c>
      <c r="E3118" s="12" t="n">
        <v>2.57</v>
      </c>
      <c r="F3118" s="17" t="n">
        <v>74307.41</v>
      </c>
      <c r="G3118" s="14">
        <f>E3118*F3118</f>
        <v/>
      </c>
      <c r="H3118" s="14">
        <f>C3118*G3118</f>
        <v/>
      </c>
    </row>
    <row r="3119">
      <c r="A3119" s="12" t="inlineStr">
        <is>
          <t>RET-0239</t>
        </is>
      </c>
      <c r="B3119" s="12" t="inlineStr">
        <is>
          <t>VS24</t>
        </is>
      </c>
      <c r="C3119" s="28" t="n">
        <v>0.0059</v>
      </c>
      <c r="D3119" s="12" t="inlineStr">
        <is>
          <t>PO-2022-1693</t>
        </is>
      </c>
      <c r="E3119" s="12" t="n">
        <v>2.57</v>
      </c>
      <c r="F3119" s="17" t="n">
        <v>54172.77</v>
      </c>
      <c r="G3119" s="14">
        <f>E3119*F3119</f>
        <v/>
      </c>
      <c r="H3119" s="14">
        <f>C3119*G3119</f>
        <v/>
      </c>
    </row>
    <row r="3120">
      <c r="A3120" s="12" t="inlineStr">
        <is>
          <t>RET-0239</t>
        </is>
      </c>
      <c r="B3120" s="12" t="inlineStr">
        <is>
          <t>VS25</t>
        </is>
      </c>
      <c r="C3120" s="28" t="n">
        <v>0.0107</v>
      </c>
      <c r="D3120" s="12" t="inlineStr">
        <is>
          <t>PO-2021-0365</t>
        </is>
      </c>
      <c r="E3120" s="12" t="n">
        <v>2.57</v>
      </c>
      <c r="F3120" s="17" t="n">
        <v>96698.28999999999</v>
      </c>
      <c r="G3120" s="14">
        <f>E3120*F3120</f>
        <v/>
      </c>
      <c r="H3120" s="14">
        <f>C3120*G3120</f>
        <v/>
      </c>
    </row>
    <row r="3121">
      <c r="A3121" s="12" t="inlineStr">
        <is>
          <t>RET-0239</t>
        </is>
      </c>
      <c r="B3121" s="12" t="inlineStr">
        <is>
          <t>VS26</t>
        </is>
      </c>
      <c r="C3121" s="28" t="n">
        <v>0.006</v>
      </c>
      <c r="D3121" s="12" t="inlineStr">
        <is>
          <t>PO-2023-3584</t>
        </is>
      </c>
      <c r="E3121" s="12" t="n">
        <v>2.57</v>
      </c>
      <c r="F3121" s="17" t="n">
        <v>65704.64999999999</v>
      </c>
      <c r="G3121" s="14">
        <f>E3121*F3121</f>
        <v/>
      </c>
      <c r="H3121" s="14">
        <f>C3121*G3121</f>
        <v/>
      </c>
    </row>
    <row r="3122">
      <c r="A3122" s="12" t="inlineStr">
        <is>
          <t>RET-0239</t>
        </is>
      </c>
      <c r="B3122" s="12" t="inlineStr">
        <is>
          <t>VS27</t>
        </is>
      </c>
      <c r="C3122" s="28" t="n">
        <v>0.0058</v>
      </c>
      <c r="D3122" s="12" t="inlineStr">
        <is>
          <t>PO-2022-2841</t>
        </is>
      </c>
      <c r="E3122" s="12" t="n">
        <v>2.57</v>
      </c>
      <c r="F3122" s="17" t="n">
        <v>54730.24</v>
      </c>
      <c r="G3122" s="14">
        <f>E3122*F3122</f>
        <v/>
      </c>
      <c r="H3122" s="14">
        <f>C3122*G3122</f>
        <v/>
      </c>
    </row>
    <row r="3123">
      <c r="A3123" s="12" t="inlineStr">
        <is>
          <t>RET-0239</t>
        </is>
      </c>
      <c r="B3123" s="12" t="inlineStr">
        <is>
          <t>VS28</t>
        </is>
      </c>
      <c r="C3123" s="28" t="n">
        <v>0.0131</v>
      </c>
      <c r="D3123" s="12" t="inlineStr">
        <is>
          <t>PO-2023-3949</t>
        </is>
      </c>
      <c r="E3123" s="12" t="n">
        <v>2.57</v>
      </c>
      <c r="F3123" s="17" t="n">
        <v>81957.24000000001</v>
      </c>
      <c r="G3123" s="14">
        <f>E3123*F3123</f>
        <v/>
      </c>
      <c r="H3123" s="14">
        <f>C3123*G3123</f>
        <v/>
      </c>
    </row>
    <row r="3124">
      <c r="A3124" s="12" t="inlineStr">
        <is>
          <t>RET-0239</t>
        </is>
      </c>
      <c r="B3124" s="12" t="inlineStr">
        <is>
          <t>VS29</t>
        </is>
      </c>
      <c r="C3124" s="28" t="n">
        <v>0.0083</v>
      </c>
      <c r="D3124" s="12" t="inlineStr">
        <is>
          <t>PO-2022-1623</t>
        </is>
      </c>
      <c r="E3124" s="12" t="n">
        <v>2.57</v>
      </c>
      <c r="F3124" s="17" t="n">
        <v>72023.73</v>
      </c>
      <c r="G3124" s="14">
        <f>E3124*F3124</f>
        <v/>
      </c>
      <c r="H3124" s="14">
        <f>C3124*G3124</f>
        <v/>
      </c>
    </row>
    <row r="3125">
      <c r="A3125" s="12" t="inlineStr">
        <is>
          <t>RET-0239</t>
        </is>
      </c>
      <c r="B3125" s="12" t="inlineStr">
        <is>
          <t>VS30</t>
        </is>
      </c>
      <c r="C3125" s="28" t="n">
        <v>0.0036</v>
      </c>
      <c r="D3125" s="12" t="inlineStr">
        <is>
          <t>PO-2021-1217</t>
        </is>
      </c>
      <c r="E3125" s="12" t="n">
        <v>2.57</v>
      </c>
      <c r="F3125" s="17" t="n">
        <v>99224.63</v>
      </c>
      <c r="G3125" s="14">
        <f>E3125*F3125</f>
        <v/>
      </c>
      <c r="H3125" s="14">
        <f>C3125*G3125</f>
        <v/>
      </c>
    </row>
    <row r="3126">
      <c r="A3126" s="12" t="inlineStr">
        <is>
          <t>RET-0239</t>
        </is>
      </c>
      <c r="B3126" s="12" t="inlineStr">
        <is>
          <t>VS31</t>
        </is>
      </c>
      <c r="C3126" s="28" t="n">
        <v>0.013</v>
      </c>
      <c r="D3126" s="12" t="inlineStr">
        <is>
          <t>PO-2022-2850</t>
        </is>
      </c>
      <c r="E3126" s="12" t="n">
        <v>2.57</v>
      </c>
      <c r="F3126" s="17" t="n">
        <v>109705.33</v>
      </c>
      <c r="G3126" s="14">
        <f>E3126*F3126</f>
        <v/>
      </c>
      <c r="H3126" s="14">
        <f>C3126*G3126</f>
        <v/>
      </c>
    </row>
    <row r="3127">
      <c r="A3127" s="12" t="inlineStr">
        <is>
          <t>RET-0239</t>
        </is>
      </c>
      <c r="B3127" s="12" t="inlineStr">
        <is>
          <t>VS32</t>
        </is>
      </c>
      <c r="C3127" s="28" t="n">
        <v>0.0155</v>
      </c>
      <c r="D3127" s="12" t="inlineStr">
        <is>
          <t>PO-2023-4660</t>
        </is>
      </c>
      <c r="E3127" s="12" t="n">
        <v>2.57</v>
      </c>
      <c r="F3127" s="17" t="n">
        <v>86345.12</v>
      </c>
      <c r="G3127" s="14">
        <f>E3127*F3127</f>
        <v/>
      </c>
      <c r="H3127" s="14">
        <f>C3127*G3127</f>
        <v/>
      </c>
    </row>
    <row r="3128">
      <c r="A3128" s="12" t="inlineStr">
        <is>
          <t>RET-0239</t>
        </is>
      </c>
      <c r="B3128" s="12" t="inlineStr">
        <is>
          <t>VS33</t>
        </is>
      </c>
      <c r="C3128" s="28" t="n">
        <v>0.008200000000000001</v>
      </c>
      <c r="D3128" s="12" t="inlineStr">
        <is>
          <t>PO-2022-3015</t>
        </is>
      </c>
      <c r="E3128" s="12" t="n">
        <v>2.57</v>
      </c>
      <c r="F3128" s="17" t="n">
        <v>112034.57</v>
      </c>
      <c r="G3128" s="14">
        <f>E3128*F3128</f>
        <v/>
      </c>
      <c r="H3128" s="14">
        <f>C3128*G3128</f>
        <v/>
      </c>
    </row>
    <row r="3129">
      <c r="A3129" s="12" t="inlineStr">
        <is>
          <t>RET-0239</t>
        </is>
      </c>
      <c r="B3129" s="12" t="inlineStr">
        <is>
          <t>VS34</t>
        </is>
      </c>
      <c r="C3129" s="28" t="n">
        <v>0.0107</v>
      </c>
      <c r="D3129" s="12" t="inlineStr">
        <is>
          <t>PO-2022-2162</t>
        </is>
      </c>
      <c r="E3129" s="12" t="n">
        <v>2.57</v>
      </c>
      <c r="F3129" s="17" t="n">
        <v>84792.12</v>
      </c>
      <c r="G3129" s="14">
        <f>E3129*F3129</f>
        <v/>
      </c>
      <c r="H3129" s="14">
        <f>C3129*G3129</f>
        <v/>
      </c>
    </row>
    <row r="3130">
      <c r="A3130" s="12" t="inlineStr">
        <is>
          <t>RET-0240</t>
        </is>
      </c>
      <c r="B3130" s="12" t="inlineStr">
        <is>
          <t>VS01</t>
        </is>
      </c>
      <c r="C3130" s="28" t="n">
        <v>0.0135</v>
      </c>
      <c r="D3130" s="12" t="inlineStr">
        <is>
          <t>PO-2023-3900</t>
        </is>
      </c>
      <c r="E3130" s="12" t="n">
        <v>4.39</v>
      </c>
      <c r="F3130" s="17" t="n">
        <v>83770.24000000001</v>
      </c>
      <c r="G3130" s="14">
        <f>E3130*F3130</f>
        <v/>
      </c>
      <c r="H3130" s="14">
        <f>C3130*G3130</f>
        <v/>
      </c>
    </row>
    <row r="3131">
      <c r="A3131" s="12" t="inlineStr">
        <is>
          <t>RET-0240</t>
        </is>
      </c>
      <c r="B3131" s="12" t="inlineStr">
        <is>
          <t>VS02</t>
        </is>
      </c>
      <c r="C3131" s="28" t="n">
        <v>0.0062</v>
      </c>
      <c r="D3131" s="12" t="inlineStr">
        <is>
          <t>PO-2023-4678</t>
        </is>
      </c>
      <c r="E3131" s="12" t="n">
        <v>4.39</v>
      </c>
      <c r="F3131" s="17" t="n">
        <v>101994.6</v>
      </c>
      <c r="G3131" s="14">
        <f>E3131*F3131</f>
        <v/>
      </c>
      <c r="H3131" s="14">
        <f>C3131*G3131</f>
        <v/>
      </c>
    </row>
    <row r="3132">
      <c r="A3132" s="12" t="inlineStr">
        <is>
          <t>RET-0240</t>
        </is>
      </c>
      <c r="B3132" s="12" t="inlineStr">
        <is>
          <t>VS03</t>
        </is>
      </c>
      <c r="C3132" s="28" t="n">
        <v>0.2043</v>
      </c>
      <c r="D3132" s="12" t="inlineStr">
        <is>
          <t>PO-2022-1751</t>
        </is>
      </c>
      <c r="E3132" s="12" t="n">
        <v>4.39</v>
      </c>
      <c r="F3132" s="17" t="n">
        <v>93059.59</v>
      </c>
      <c r="G3132" s="14">
        <f>E3132*F3132</f>
        <v/>
      </c>
      <c r="H3132" s="14">
        <f>C3132*G3132</f>
        <v/>
      </c>
    </row>
    <row r="3133">
      <c r="A3133" s="12" t="inlineStr">
        <is>
          <t>RET-0240</t>
        </is>
      </c>
      <c r="B3133" s="12" t="inlineStr">
        <is>
          <t>VS04</t>
        </is>
      </c>
      <c r="C3133" s="28" t="n">
        <v>0.008500000000000001</v>
      </c>
      <c r="D3133" s="12" t="inlineStr">
        <is>
          <t>PO-2021-0105</t>
        </is>
      </c>
      <c r="E3133" s="12" t="n">
        <v>4.39</v>
      </c>
      <c r="F3133" s="17" t="n">
        <v>54825.99</v>
      </c>
      <c r="G3133" s="14">
        <f>E3133*F3133</f>
        <v/>
      </c>
      <c r="H3133" s="14">
        <f>C3133*G3133</f>
        <v/>
      </c>
    </row>
    <row r="3134">
      <c r="A3134" s="12" t="inlineStr">
        <is>
          <t>RET-0240</t>
        </is>
      </c>
      <c r="B3134" s="12" t="inlineStr">
        <is>
          <t>VS05</t>
        </is>
      </c>
      <c r="C3134" s="28" t="n">
        <v>0.011</v>
      </c>
      <c r="D3134" s="12" t="inlineStr">
        <is>
          <t>PO-2023-3947</t>
        </is>
      </c>
      <c r="E3134" s="12" t="n">
        <v>4.39</v>
      </c>
      <c r="F3134" s="17" t="n">
        <v>61585.29</v>
      </c>
      <c r="G3134" s="14">
        <f>E3134*F3134</f>
        <v/>
      </c>
      <c r="H3134" s="14">
        <f>C3134*G3134</f>
        <v/>
      </c>
    </row>
    <row r="3135">
      <c r="A3135" s="12" t="inlineStr">
        <is>
          <t>RET-0240</t>
        </is>
      </c>
      <c r="B3135" s="12" t="inlineStr">
        <is>
          <t>VS06</t>
        </is>
      </c>
      <c r="C3135" s="28" t="n">
        <v>0.0111</v>
      </c>
      <c r="D3135" s="12" t="inlineStr">
        <is>
          <t>PO-2021-1052</t>
        </is>
      </c>
      <c r="E3135" s="12" t="n">
        <v>4.39</v>
      </c>
      <c r="F3135" s="17" t="n">
        <v>78316.53</v>
      </c>
      <c r="G3135" s="14">
        <f>E3135*F3135</f>
        <v/>
      </c>
      <c r="H3135" s="14">
        <f>C3135*G3135</f>
        <v/>
      </c>
    </row>
    <row r="3136">
      <c r="A3136" s="12" t="inlineStr">
        <is>
          <t>RET-0240</t>
        </is>
      </c>
      <c r="B3136" s="12" t="inlineStr">
        <is>
          <t>VS07</t>
        </is>
      </c>
      <c r="C3136" s="28" t="n">
        <v>0.0037</v>
      </c>
      <c r="D3136" s="12" t="inlineStr">
        <is>
          <t>PO-2021-0902</t>
        </is>
      </c>
      <c r="E3136" s="12" t="n">
        <v>4.39</v>
      </c>
      <c r="F3136" s="17" t="n">
        <v>86202.42</v>
      </c>
      <c r="G3136" s="14">
        <f>E3136*F3136</f>
        <v/>
      </c>
      <c r="H3136" s="14">
        <f>C3136*G3136</f>
        <v/>
      </c>
    </row>
    <row r="3137">
      <c r="A3137" s="12" t="inlineStr">
        <is>
          <t>RET-0240</t>
        </is>
      </c>
      <c r="B3137" s="12" t="inlineStr">
        <is>
          <t>VS08</t>
        </is>
      </c>
      <c r="C3137" s="28" t="n">
        <v>0.0112</v>
      </c>
      <c r="D3137" s="12" t="inlineStr">
        <is>
          <t>PO-2021-0880</t>
        </is>
      </c>
      <c r="E3137" s="12" t="n">
        <v>4.39</v>
      </c>
      <c r="F3137" s="17" t="n">
        <v>119924.03</v>
      </c>
      <c r="G3137" s="14">
        <f>E3137*F3137</f>
        <v/>
      </c>
      <c r="H3137" s="14">
        <f>C3137*G3137</f>
        <v/>
      </c>
    </row>
    <row r="3138">
      <c r="A3138" s="12" t="inlineStr">
        <is>
          <t>RET-0240</t>
        </is>
      </c>
      <c r="B3138" s="12" t="inlineStr">
        <is>
          <t>VS09</t>
        </is>
      </c>
      <c r="C3138" s="28" t="n">
        <v>0.0086</v>
      </c>
      <c r="D3138" s="12" t="inlineStr">
        <is>
          <t>PO-2022-2998</t>
        </is>
      </c>
      <c r="E3138" s="12" t="n">
        <v>4.39</v>
      </c>
      <c r="F3138" s="17" t="n">
        <v>57966.69</v>
      </c>
      <c r="G3138" s="14">
        <f>E3138*F3138</f>
        <v/>
      </c>
      <c r="H3138" s="14">
        <f>C3138*G3138</f>
        <v/>
      </c>
    </row>
    <row r="3139">
      <c r="A3139" s="12" t="inlineStr">
        <is>
          <t>RET-0240</t>
        </is>
      </c>
      <c r="B3139" s="12" t="inlineStr">
        <is>
          <t>VS10</t>
        </is>
      </c>
      <c r="C3139" s="28" t="n">
        <v>0.0135</v>
      </c>
      <c r="D3139" s="12" t="inlineStr">
        <is>
          <t>PO-2021-1031</t>
        </is>
      </c>
      <c r="E3139" s="12" t="n">
        <v>4.39</v>
      </c>
      <c r="F3139" s="17" t="n">
        <v>92045.71000000001</v>
      </c>
      <c r="G3139" s="14">
        <f>E3139*F3139</f>
        <v/>
      </c>
      <c r="H3139" s="14">
        <f>C3139*G3139</f>
        <v/>
      </c>
    </row>
    <row r="3140">
      <c r="A3140" s="12" t="inlineStr">
        <is>
          <t>RET-0240</t>
        </is>
      </c>
      <c r="B3140" s="12" t="inlineStr">
        <is>
          <t>VS11</t>
        </is>
      </c>
      <c r="C3140" s="28" t="n">
        <v>0.0158</v>
      </c>
      <c r="D3140" s="12" t="inlineStr">
        <is>
          <t>PO-2023-3369</t>
        </is>
      </c>
      <c r="E3140" s="12" t="n">
        <v>4.39</v>
      </c>
      <c r="F3140" s="17" t="n">
        <v>98767.22</v>
      </c>
      <c r="G3140" s="14">
        <f>E3140*F3140</f>
        <v/>
      </c>
      <c r="H3140" s="14">
        <f>C3140*G3140</f>
        <v/>
      </c>
    </row>
    <row r="3141">
      <c r="A3141" s="12" t="inlineStr">
        <is>
          <t>RET-0240</t>
        </is>
      </c>
      <c r="B3141" s="12" t="inlineStr">
        <is>
          <t>VS12</t>
        </is>
      </c>
      <c r="C3141" s="28" t="n">
        <v>0.284</v>
      </c>
      <c r="D3141" s="12" t="inlineStr">
        <is>
          <t>PO-2023-3763</t>
        </is>
      </c>
      <c r="E3141" s="12" t="n">
        <v>4.39</v>
      </c>
      <c r="F3141" s="17" t="n">
        <v>104047.49</v>
      </c>
      <c r="G3141" s="14">
        <f>E3141*F3141</f>
        <v/>
      </c>
      <c r="H3141" s="14">
        <f>C3141*G3141</f>
        <v/>
      </c>
    </row>
    <row r="3142">
      <c r="A3142" s="12" t="inlineStr">
        <is>
          <t>RET-0240</t>
        </is>
      </c>
      <c r="B3142" s="12" t="inlineStr">
        <is>
          <t>VS13</t>
        </is>
      </c>
      <c r="C3142" s="28" t="n">
        <v>0.0109</v>
      </c>
      <c r="D3142" s="12" t="inlineStr">
        <is>
          <t>PO-2022-2098</t>
        </is>
      </c>
      <c r="E3142" s="12" t="n">
        <v>4.39</v>
      </c>
      <c r="F3142" s="17" t="n">
        <v>78007.74000000001</v>
      </c>
      <c r="G3142" s="14">
        <f>E3142*F3142</f>
        <v/>
      </c>
      <c r="H3142" s="14">
        <f>C3142*G3142</f>
        <v/>
      </c>
    </row>
    <row r="3143">
      <c r="A3143" s="12" t="inlineStr">
        <is>
          <t>RET-0240</t>
        </is>
      </c>
      <c r="B3143" s="12" t="inlineStr">
        <is>
          <t>VS14</t>
        </is>
      </c>
      <c r="C3143" s="28" t="n">
        <v>0.011</v>
      </c>
      <c r="D3143" s="12" t="inlineStr">
        <is>
          <t>PO-2023-3950</t>
        </is>
      </c>
      <c r="E3143" s="12" t="n">
        <v>4.39</v>
      </c>
      <c r="F3143" s="17" t="n">
        <v>76062.56</v>
      </c>
      <c r="G3143" s="14">
        <f>E3143*F3143</f>
        <v/>
      </c>
      <c r="H3143" s="14">
        <f>C3143*G3143</f>
        <v/>
      </c>
    </row>
    <row r="3144">
      <c r="A3144" s="12" t="inlineStr">
        <is>
          <t>RET-0240</t>
        </is>
      </c>
      <c r="B3144" s="12" t="inlineStr">
        <is>
          <t>VS15</t>
        </is>
      </c>
      <c r="C3144" s="28" t="n">
        <v>0.0037</v>
      </c>
      <c r="D3144" s="12" t="inlineStr">
        <is>
          <t>PO-2023-3214</t>
        </is>
      </c>
      <c r="E3144" s="12" t="n">
        <v>4.39</v>
      </c>
      <c r="F3144" s="17" t="n">
        <v>90254.23</v>
      </c>
      <c r="G3144" s="14">
        <f>E3144*F3144</f>
        <v/>
      </c>
      <c r="H3144" s="14">
        <f>C3144*G3144</f>
        <v/>
      </c>
    </row>
    <row r="3145">
      <c r="A3145" s="12" t="inlineStr">
        <is>
          <t>RET-0240</t>
        </is>
      </c>
      <c r="B3145" s="12" t="inlineStr">
        <is>
          <t>VS16</t>
        </is>
      </c>
      <c r="C3145" s="28" t="n">
        <v>0.0159</v>
      </c>
      <c r="D3145" s="12" t="inlineStr">
        <is>
          <t>PO-2021-0341</t>
        </is>
      </c>
      <c r="E3145" s="12" t="n">
        <v>4.39</v>
      </c>
      <c r="F3145" s="17" t="n">
        <v>62949.82</v>
      </c>
      <c r="G3145" s="14">
        <f>E3145*F3145</f>
        <v/>
      </c>
      <c r="H3145" s="14">
        <f>C3145*G3145</f>
        <v/>
      </c>
    </row>
    <row r="3146">
      <c r="A3146" s="12" t="inlineStr">
        <is>
          <t>RET-0240</t>
        </is>
      </c>
      <c r="B3146" s="12" t="inlineStr">
        <is>
          <t>VS17</t>
        </is>
      </c>
      <c r="C3146" s="28" t="n">
        <v>0.0158</v>
      </c>
      <c r="D3146" s="12" t="inlineStr">
        <is>
          <t>PO-2022-2522</t>
        </is>
      </c>
      <c r="E3146" s="12" t="n">
        <v>0.981</v>
      </c>
      <c r="F3146" s="17" t="n">
        <v>49967.12</v>
      </c>
      <c r="G3146" s="14">
        <f>E3146*F3146</f>
        <v/>
      </c>
      <c r="H3146" s="14">
        <f>C3146*G3146</f>
        <v/>
      </c>
    </row>
    <row r="3147">
      <c r="A3147" s="12" t="inlineStr">
        <is>
          <t>RET-0240</t>
        </is>
      </c>
      <c r="B3147" s="12" t="inlineStr">
        <is>
          <t>VS18</t>
        </is>
      </c>
      <c r="C3147" s="28" t="n">
        <v>0.011</v>
      </c>
      <c r="D3147" s="12" t="inlineStr">
        <is>
          <t>PO-2021-1371</t>
        </is>
      </c>
      <c r="E3147" s="12" t="n">
        <v>1.31</v>
      </c>
      <c r="F3147" s="17" t="n">
        <v>55701.9</v>
      </c>
      <c r="G3147" s="14">
        <f>E3147*F3147</f>
        <v/>
      </c>
      <c r="H3147" s="14">
        <f>C3147*G3147</f>
        <v/>
      </c>
    </row>
    <row r="3148">
      <c r="A3148" s="12" t="inlineStr">
        <is>
          <t>RET-0240</t>
        </is>
      </c>
      <c r="B3148" s="12" t="inlineStr">
        <is>
          <t>VS19</t>
        </is>
      </c>
      <c r="C3148" s="28" t="n">
        <v>0.2143</v>
      </c>
      <c r="D3148" s="12" t="inlineStr">
        <is>
          <t>PO-2021-0713</t>
        </is>
      </c>
      <c r="E3148" s="12" t="n">
        <v>2.47</v>
      </c>
      <c r="F3148" s="17" t="n">
        <v>93562.16</v>
      </c>
      <c r="G3148" s="14">
        <f>E3148*F3148</f>
        <v/>
      </c>
      <c r="H3148" s="14">
        <f>C3148*G3148</f>
        <v/>
      </c>
    </row>
    <row r="3149">
      <c r="A3149" s="12" t="inlineStr">
        <is>
          <t>RET-0240</t>
        </is>
      </c>
      <c r="B3149" s="12" t="inlineStr">
        <is>
          <t>VS20</t>
        </is>
      </c>
      <c r="C3149" s="28" t="n">
        <v>0.0061</v>
      </c>
      <c r="D3149" s="12" t="inlineStr">
        <is>
          <t>PO-2022-2736</t>
        </is>
      </c>
      <c r="E3149" s="12" t="n">
        <v>4.39</v>
      </c>
      <c r="F3149" s="17" t="n">
        <v>111790.48</v>
      </c>
      <c r="G3149" s="14">
        <f>E3149*F3149</f>
        <v/>
      </c>
      <c r="H3149" s="14">
        <f>C3149*G3149</f>
        <v/>
      </c>
    </row>
    <row r="3150">
      <c r="A3150" s="12" t="inlineStr">
        <is>
          <t>RET-0240</t>
        </is>
      </c>
      <c r="B3150" s="12" t="inlineStr">
        <is>
          <t>VS21</t>
        </is>
      </c>
      <c r="C3150" s="28" t="n">
        <v>0.0061</v>
      </c>
      <c r="D3150" s="12" t="inlineStr">
        <is>
          <t>PO-2021-0344</t>
        </is>
      </c>
      <c r="E3150" s="12" t="n">
        <v>4.39</v>
      </c>
      <c r="F3150" s="17" t="n">
        <v>76044.75999999999</v>
      </c>
      <c r="G3150" s="14">
        <f>E3150*F3150</f>
        <v/>
      </c>
      <c r="H3150" s="14">
        <f>C3150*G3150</f>
        <v/>
      </c>
    </row>
    <row r="3151">
      <c r="A3151" s="12" t="inlineStr">
        <is>
          <t>RET-0240</t>
        </is>
      </c>
      <c r="B3151" s="12" t="inlineStr">
        <is>
          <t>VS22</t>
        </is>
      </c>
      <c r="C3151" s="28" t="n">
        <v>0.0036</v>
      </c>
      <c r="D3151" s="12" t="inlineStr">
        <is>
          <t>PO-2023-3389</t>
        </is>
      </c>
      <c r="E3151" s="12" t="n">
        <v>4.39</v>
      </c>
      <c r="F3151" s="17" t="n">
        <v>88614.37</v>
      </c>
      <c r="G3151" s="14">
        <f>E3151*F3151</f>
        <v/>
      </c>
      <c r="H3151" s="14">
        <f>C3151*G3151</f>
        <v/>
      </c>
    </row>
    <row r="3152">
      <c r="A3152" s="12" t="inlineStr">
        <is>
          <t>RET-0240</t>
        </is>
      </c>
      <c r="B3152" s="12" t="inlineStr">
        <is>
          <t>VS23</t>
        </is>
      </c>
      <c r="C3152" s="28" t="n">
        <v>0.006</v>
      </c>
      <c r="D3152" s="12" t="inlineStr">
        <is>
          <t>PO-2022-1853</t>
        </is>
      </c>
      <c r="E3152" s="12" t="n">
        <v>4.39</v>
      </c>
      <c r="F3152" s="17" t="n">
        <v>88701.47</v>
      </c>
      <c r="G3152" s="14">
        <f>E3152*F3152</f>
        <v/>
      </c>
      <c r="H3152" s="14">
        <f>C3152*G3152</f>
        <v/>
      </c>
    </row>
    <row r="3153">
      <c r="A3153" s="12" t="inlineStr">
        <is>
          <t>RET-0240</t>
        </is>
      </c>
      <c r="B3153" s="12" t="inlineStr">
        <is>
          <t>VS24</t>
        </is>
      </c>
      <c r="C3153" s="28" t="n">
        <v>0.0061</v>
      </c>
      <c r="D3153" s="12" t="inlineStr">
        <is>
          <t>PO-2023-4459</t>
        </is>
      </c>
      <c r="E3153" s="12" t="n">
        <v>3.638</v>
      </c>
      <c r="F3153" s="17" t="n">
        <v>65562.3</v>
      </c>
      <c r="G3153" s="14">
        <f>E3153*F3153</f>
        <v/>
      </c>
      <c r="H3153" s="14">
        <f>C3153*G3153</f>
        <v/>
      </c>
    </row>
    <row r="3154">
      <c r="A3154" s="12" t="inlineStr">
        <is>
          <t>RET-0240</t>
        </is>
      </c>
      <c r="B3154" s="12" t="inlineStr">
        <is>
          <t>VS25</t>
        </is>
      </c>
      <c r="C3154" s="28" t="n">
        <v>0.0111</v>
      </c>
      <c r="D3154" s="12" t="inlineStr">
        <is>
          <t>PO-2022-2245</t>
        </is>
      </c>
      <c r="E3154" s="12" t="n">
        <v>4.39</v>
      </c>
      <c r="F3154" s="17" t="n">
        <v>85332.28</v>
      </c>
      <c r="G3154" s="14">
        <f>E3154*F3154</f>
        <v/>
      </c>
      <c r="H3154" s="14">
        <f>C3154*G3154</f>
        <v/>
      </c>
    </row>
    <row r="3155">
      <c r="A3155" s="12" t="inlineStr">
        <is>
          <t>RET-0240</t>
        </is>
      </c>
      <c r="B3155" s="12" t="inlineStr">
        <is>
          <t>VS26</t>
        </is>
      </c>
      <c r="C3155" s="28" t="n">
        <v>0.0062</v>
      </c>
      <c r="D3155" s="12" t="inlineStr">
        <is>
          <t>PO-2022-2377</t>
        </is>
      </c>
      <c r="E3155" s="12" t="n">
        <v>4.39</v>
      </c>
      <c r="F3155" s="17" t="n">
        <v>48124.51</v>
      </c>
      <c r="G3155" s="14">
        <f>E3155*F3155</f>
        <v/>
      </c>
      <c r="H3155" s="14">
        <f>C3155*G3155</f>
        <v/>
      </c>
    </row>
    <row r="3156">
      <c r="A3156" s="12" t="inlineStr">
        <is>
          <t>RET-0240</t>
        </is>
      </c>
      <c r="B3156" s="12" t="inlineStr">
        <is>
          <t>VS27</t>
        </is>
      </c>
      <c r="C3156" s="28" t="n">
        <v>0.006</v>
      </c>
      <c r="D3156" s="12" t="inlineStr">
        <is>
          <t>PO-2021-1358</t>
        </is>
      </c>
      <c r="E3156" s="12" t="n">
        <v>4.39</v>
      </c>
      <c r="F3156" s="17" t="n">
        <v>108970.81</v>
      </c>
      <c r="G3156" s="14">
        <f>E3156*F3156</f>
        <v/>
      </c>
      <c r="H3156" s="14">
        <f>C3156*G3156</f>
        <v/>
      </c>
    </row>
    <row r="3157">
      <c r="A3157" s="12" t="inlineStr">
        <is>
          <t>RET-0240</t>
        </is>
      </c>
      <c r="B3157" s="12" t="inlineStr">
        <is>
          <t>VS28</t>
        </is>
      </c>
      <c r="C3157" s="28" t="n">
        <v>0.0135</v>
      </c>
      <c r="D3157" s="12" t="inlineStr">
        <is>
          <t>PO-2023-3330</t>
        </is>
      </c>
      <c r="E3157" s="12" t="n">
        <v>4.39</v>
      </c>
      <c r="F3157" s="17" t="n">
        <v>110823.61</v>
      </c>
      <c r="G3157" s="14">
        <f>E3157*F3157</f>
        <v/>
      </c>
      <c r="H3157" s="14">
        <f>C3157*G3157</f>
        <v/>
      </c>
    </row>
    <row r="3158">
      <c r="A3158" s="12" t="inlineStr">
        <is>
          <t>RET-0240</t>
        </is>
      </c>
      <c r="B3158" s="12" t="inlineStr">
        <is>
          <t>VS29</t>
        </is>
      </c>
      <c r="C3158" s="28" t="n">
        <v>0.0086</v>
      </c>
      <c r="D3158" s="12" t="inlineStr">
        <is>
          <t>PO-2022-2154</t>
        </is>
      </c>
      <c r="E3158" s="12" t="n">
        <v>4.39</v>
      </c>
      <c r="F3158" s="17" t="n">
        <v>64710.35</v>
      </c>
      <c r="G3158" s="14">
        <f>E3158*F3158</f>
        <v/>
      </c>
      <c r="H3158" s="14">
        <f>C3158*G3158</f>
        <v/>
      </c>
    </row>
    <row r="3159">
      <c r="A3159" s="12" t="inlineStr">
        <is>
          <t>RET-0240</t>
        </is>
      </c>
      <c r="B3159" s="12" t="inlineStr">
        <is>
          <t>VS30</t>
        </is>
      </c>
      <c r="C3159" s="28" t="n">
        <v>0.0037</v>
      </c>
      <c r="D3159" s="12" t="inlineStr">
        <is>
          <t>PO-2021-0263</t>
        </is>
      </c>
      <c r="E3159" s="12" t="n">
        <v>4.39</v>
      </c>
      <c r="F3159" s="17" t="n">
        <v>55775.15</v>
      </c>
      <c r="G3159" s="14">
        <f>E3159*F3159</f>
        <v/>
      </c>
      <c r="H3159" s="14">
        <f>C3159*G3159</f>
        <v/>
      </c>
    </row>
    <row r="3160">
      <c r="A3160" s="12" t="inlineStr">
        <is>
          <t>RET-0240</t>
        </is>
      </c>
      <c r="B3160" s="12" t="inlineStr">
        <is>
          <t>VS31</t>
        </is>
      </c>
      <c r="C3160" s="28" t="n">
        <v>0.0134</v>
      </c>
      <c r="D3160" s="12" t="inlineStr">
        <is>
          <t>PO-2021-0687</t>
        </is>
      </c>
      <c r="E3160" s="12" t="n">
        <v>4.39</v>
      </c>
      <c r="F3160" s="17" t="n">
        <v>93544.44</v>
      </c>
      <c r="G3160" s="14">
        <f>E3160*F3160</f>
        <v/>
      </c>
      <c r="H3160" s="14">
        <f>C3160*G3160</f>
        <v/>
      </c>
    </row>
    <row r="3161">
      <c r="A3161" s="12" t="inlineStr">
        <is>
          <t>RET-0240</t>
        </is>
      </c>
      <c r="B3161" s="12" t="inlineStr">
        <is>
          <t>VS32</t>
        </is>
      </c>
      <c r="C3161" s="28" t="n">
        <v>0.016</v>
      </c>
      <c r="D3161" s="12" t="inlineStr">
        <is>
          <t>PO-2021-1297</t>
        </is>
      </c>
      <c r="E3161" s="12" t="n">
        <v>0</v>
      </c>
      <c r="F3161" s="17" t="n">
        <v>118819.77</v>
      </c>
      <c r="G3161" s="14">
        <f>E3161*F3161</f>
        <v/>
      </c>
      <c r="H3161" s="14">
        <f>C3161*G3161</f>
        <v/>
      </c>
    </row>
    <row r="3162">
      <c r="A3162" s="12" t="inlineStr">
        <is>
          <t>RET-0240</t>
        </is>
      </c>
      <c r="B3162" s="12" t="inlineStr">
        <is>
          <t>VS33</t>
        </is>
      </c>
      <c r="C3162" s="28" t="n">
        <v>0.008500000000000001</v>
      </c>
      <c r="D3162" s="12" t="inlineStr">
        <is>
          <t>PO-2022-2047</t>
        </is>
      </c>
      <c r="E3162" s="12" t="n">
        <v>4.39</v>
      </c>
      <c r="F3162" s="17" t="n">
        <v>57103.45</v>
      </c>
      <c r="G3162" s="14">
        <f>E3162*F3162</f>
        <v/>
      </c>
      <c r="H3162" s="14">
        <f>C3162*G3162</f>
        <v/>
      </c>
    </row>
    <row r="3163">
      <c r="A3163" s="12" t="inlineStr">
        <is>
          <t>RET-0240</t>
        </is>
      </c>
      <c r="B3163" s="12" t="inlineStr">
        <is>
          <t>VS34</t>
        </is>
      </c>
      <c r="C3163" s="28" t="n">
        <v>0.011</v>
      </c>
      <c r="D3163" s="12" t="inlineStr">
        <is>
          <t>PO-2022-2486</t>
        </is>
      </c>
      <c r="E3163" s="12" t="n">
        <v>4.39</v>
      </c>
      <c r="F3163" s="17" t="n">
        <v>118437.11</v>
      </c>
      <c r="G3163" s="14">
        <f>E3163*F3163</f>
        <v/>
      </c>
      <c r="H3163" s="14">
        <f>C3163*G3163</f>
        <v/>
      </c>
    </row>
    <row r="3164">
      <c r="A3164" s="12" t="inlineStr">
        <is>
          <t>RET-0242</t>
        </is>
      </c>
      <c r="B3164" s="12" t="inlineStr">
        <is>
          <t>VS01</t>
        </is>
      </c>
      <c r="C3164" s="28" t="n">
        <v>0.0234</v>
      </c>
      <c r="D3164" s="12" t="inlineStr">
        <is>
          <t>PO-2022-3074</t>
        </is>
      </c>
      <c r="E3164" s="12" t="n">
        <v>4.175</v>
      </c>
      <c r="F3164" s="17" t="n">
        <v>103972.59</v>
      </c>
      <c r="G3164" s="14">
        <f>E3164*F3164</f>
        <v/>
      </c>
      <c r="H3164" s="14">
        <f>C3164*G3164</f>
        <v/>
      </c>
    </row>
    <row r="3165">
      <c r="A3165" s="12" t="inlineStr">
        <is>
          <t>RET-0242</t>
        </is>
      </c>
      <c r="B3165" s="12" t="inlineStr">
        <is>
          <t>VS02</t>
        </is>
      </c>
      <c r="C3165" s="28" t="n">
        <v>0.0106</v>
      </c>
      <c r="D3165" s="12" t="inlineStr">
        <is>
          <t>PO-2022-2813</t>
        </is>
      </c>
      <c r="E3165" s="12" t="n">
        <v>4.93</v>
      </c>
      <c r="F3165" s="17" t="n">
        <v>116719.42</v>
      </c>
      <c r="G3165" s="14">
        <f>E3165*F3165</f>
        <v/>
      </c>
      <c r="H3165" s="14">
        <f>C3165*G3165</f>
        <v/>
      </c>
    </row>
    <row r="3166">
      <c r="A3166" s="12" t="inlineStr">
        <is>
          <t>RET-0242</t>
        </is>
      </c>
      <c r="B3166" s="12" t="inlineStr">
        <is>
          <t>VS03</t>
        </is>
      </c>
      <c r="C3166" s="28" t="n">
        <v>0.1413</v>
      </c>
      <c r="D3166" s="12" t="inlineStr">
        <is>
          <t>PO-2023-4727</t>
        </is>
      </c>
      <c r="E3166" s="12" t="n">
        <v>0</v>
      </c>
      <c r="F3166" s="17" t="n">
        <v>72239.2</v>
      </c>
      <c r="G3166" s="14">
        <f>E3166*F3166</f>
        <v/>
      </c>
      <c r="H3166" s="14">
        <f>C3166*G3166</f>
        <v/>
      </c>
    </row>
    <row r="3167">
      <c r="A3167" s="12" t="inlineStr">
        <is>
          <t>RET-0242</t>
        </is>
      </c>
      <c r="B3167" s="12" t="inlineStr">
        <is>
          <t>VS04</t>
        </is>
      </c>
      <c r="C3167" s="28" t="n">
        <v>0.0147</v>
      </c>
      <c r="D3167" s="12" t="inlineStr">
        <is>
          <t>PO-2022-2930</t>
        </is>
      </c>
      <c r="E3167" s="12" t="n">
        <v>4.93</v>
      </c>
      <c r="F3167" s="17" t="n">
        <v>64963.06</v>
      </c>
      <c r="G3167" s="14">
        <f>E3167*F3167</f>
        <v/>
      </c>
      <c r="H3167" s="14">
        <f>C3167*G3167</f>
        <v/>
      </c>
    </row>
    <row r="3168">
      <c r="A3168" s="12" t="inlineStr">
        <is>
          <t>RET-0242</t>
        </is>
      </c>
      <c r="B3168" s="12" t="inlineStr">
        <is>
          <t>VS05</t>
        </is>
      </c>
      <c r="C3168" s="28" t="n">
        <v>0.019</v>
      </c>
      <c r="D3168" s="12" t="inlineStr">
        <is>
          <t>PO-2022-3021</t>
        </is>
      </c>
      <c r="E3168" s="12" t="n">
        <v>4.93</v>
      </c>
      <c r="F3168" s="17" t="n">
        <v>61308.2</v>
      </c>
      <c r="G3168" s="14">
        <f>E3168*F3168</f>
        <v/>
      </c>
      <c r="H3168" s="14">
        <f>C3168*G3168</f>
        <v/>
      </c>
    </row>
    <row r="3169">
      <c r="A3169" s="12" t="inlineStr">
        <is>
          <t>RET-0242</t>
        </is>
      </c>
      <c r="B3169" s="12" t="inlineStr">
        <is>
          <t>VS06</t>
        </is>
      </c>
      <c r="C3169" s="28" t="n">
        <v>0.0192</v>
      </c>
      <c r="D3169" s="12" t="inlineStr">
        <is>
          <t>PO-2023-4693</t>
        </is>
      </c>
      <c r="E3169" s="12" t="n">
        <v>4.93</v>
      </c>
      <c r="F3169" s="17" t="n">
        <v>70845.97</v>
      </c>
      <c r="G3169" s="14">
        <f>E3169*F3169</f>
        <v/>
      </c>
      <c r="H3169" s="14">
        <f>C3169*G3169</f>
        <v/>
      </c>
    </row>
    <row r="3170">
      <c r="A3170" s="12" t="inlineStr">
        <is>
          <t>RET-0242</t>
        </is>
      </c>
      <c r="B3170" s="12" t="inlineStr">
        <is>
          <t>VS07</t>
        </is>
      </c>
      <c r="C3170" s="28" t="n">
        <v>0.0064</v>
      </c>
      <c r="D3170" s="12" t="inlineStr">
        <is>
          <t>PO-2021-0513</t>
        </is>
      </c>
      <c r="E3170" s="12" t="n">
        <v>4.93</v>
      </c>
      <c r="F3170" s="17" t="n">
        <v>88354.16</v>
      </c>
      <c r="G3170" s="14">
        <f>E3170*F3170</f>
        <v/>
      </c>
      <c r="H3170" s="14">
        <f>C3170*G3170</f>
        <v/>
      </c>
    </row>
    <row r="3171">
      <c r="A3171" s="12" t="inlineStr">
        <is>
          <t>RET-0242</t>
        </is>
      </c>
      <c r="B3171" s="12" t="inlineStr">
        <is>
          <t>VS08</t>
        </is>
      </c>
      <c r="C3171" s="28" t="n">
        <v>0.0193</v>
      </c>
      <c r="D3171" s="12" t="inlineStr">
        <is>
          <t>PO-2021-1584</t>
        </is>
      </c>
      <c r="E3171" s="12" t="n">
        <v>4.93</v>
      </c>
      <c r="F3171" s="17" t="n">
        <v>53260.17</v>
      </c>
      <c r="G3171" s="14">
        <f>E3171*F3171</f>
        <v/>
      </c>
      <c r="H3171" s="14">
        <f>C3171*G3171</f>
        <v/>
      </c>
    </row>
    <row r="3172">
      <c r="A3172" s="12" t="inlineStr">
        <is>
          <t>RET-0242</t>
        </is>
      </c>
      <c r="B3172" s="12" t="inlineStr">
        <is>
          <t>VS09</t>
        </is>
      </c>
      <c r="C3172" s="28" t="n">
        <v>0.0148</v>
      </c>
      <c r="D3172" s="12" t="inlineStr">
        <is>
          <t>PO-2021-0878</t>
        </is>
      </c>
      <c r="E3172" s="12" t="n">
        <v>4.93</v>
      </c>
      <c r="F3172" s="17" t="n">
        <v>92389.32000000001</v>
      </c>
      <c r="G3172" s="14">
        <f>E3172*F3172</f>
        <v/>
      </c>
      <c r="H3172" s="14">
        <f>C3172*G3172</f>
        <v/>
      </c>
    </row>
    <row r="3173">
      <c r="A3173" s="12" t="inlineStr">
        <is>
          <t>RET-0242</t>
        </is>
      </c>
      <c r="B3173" s="12" t="inlineStr">
        <is>
          <t>VS10</t>
        </is>
      </c>
      <c r="C3173" s="28" t="n">
        <v>0.0233</v>
      </c>
      <c r="D3173" s="12" t="inlineStr">
        <is>
          <t>PO-2021-1193</t>
        </is>
      </c>
      <c r="E3173" s="12" t="n">
        <v>4.93</v>
      </c>
      <c r="F3173" s="17" t="n">
        <v>93541.89999999999</v>
      </c>
      <c r="G3173" s="14">
        <f>E3173*F3173</f>
        <v/>
      </c>
      <c r="H3173" s="14">
        <f>C3173*G3173</f>
        <v/>
      </c>
    </row>
    <row r="3174">
      <c r="A3174" s="12" t="inlineStr">
        <is>
          <t>RET-0242</t>
        </is>
      </c>
      <c r="B3174" s="12" t="inlineStr">
        <is>
          <t>VS11</t>
        </is>
      </c>
      <c r="C3174" s="28" t="n">
        <v>0.0273</v>
      </c>
      <c r="D3174" s="12" t="inlineStr">
        <is>
          <t>PO-2021-1105</t>
        </is>
      </c>
      <c r="E3174" s="12" t="n">
        <v>4.93</v>
      </c>
      <c r="F3174" s="17" t="n">
        <v>68434.48</v>
      </c>
      <c r="G3174" s="14">
        <f>E3174*F3174</f>
        <v/>
      </c>
      <c r="H3174" s="14">
        <f>C3174*G3174</f>
        <v/>
      </c>
    </row>
    <row r="3175">
      <c r="A3175" s="12" t="inlineStr">
        <is>
          <t>RET-0242</t>
        </is>
      </c>
      <c r="B3175" s="12" t="inlineStr">
        <is>
          <t>VS12</t>
        </is>
      </c>
      <c r="C3175" s="28" t="n">
        <v>0.1964</v>
      </c>
      <c r="D3175" s="12" t="inlineStr">
        <is>
          <t>PO-2021-0966</t>
        </is>
      </c>
      <c r="E3175" s="12" t="n">
        <v>2.94</v>
      </c>
      <c r="F3175" s="17" t="n">
        <v>88969.31</v>
      </c>
      <c r="G3175" s="14">
        <f>E3175*F3175</f>
        <v/>
      </c>
      <c r="H3175" s="14">
        <f>C3175*G3175</f>
        <v/>
      </c>
    </row>
    <row r="3176">
      <c r="A3176" s="12" t="inlineStr">
        <is>
          <t>RET-0242</t>
        </is>
      </c>
      <c r="B3176" s="12" t="inlineStr">
        <is>
          <t>VS13</t>
        </is>
      </c>
      <c r="C3176" s="28" t="n">
        <v>0.0188</v>
      </c>
      <c r="D3176" s="12" t="inlineStr">
        <is>
          <t>PO-2022-2309</t>
        </is>
      </c>
      <c r="E3176" s="12" t="n">
        <v>4.93</v>
      </c>
      <c r="F3176" s="17" t="n">
        <v>51247.96</v>
      </c>
      <c r="G3176" s="14">
        <f>E3176*F3176</f>
        <v/>
      </c>
      <c r="H3176" s="14">
        <f>C3176*G3176</f>
        <v/>
      </c>
    </row>
    <row r="3177">
      <c r="A3177" s="12" t="inlineStr">
        <is>
          <t>RET-0242</t>
        </is>
      </c>
      <c r="B3177" s="12" t="inlineStr">
        <is>
          <t>VS14</t>
        </is>
      </c>
      <c r="C3177" s="28" t="n">
        <v>0.019</v>
      </c>
      <c r="D3177" s="12" t="inlineStr">
        <is>
          <t>PO-2023-4235</t>
        </is>
      </c>
      <c r="E3177" s="12" t="n">
        <v>4.93</v>
      </c>
      <c r="F3177" s="17" t="n">
        <v>107565.96</v>
      </c>
      <c r="G3177" s="14">
        <f>E3177*F3177</f>
        <v/>
      </c>
      <c r="H3177" s="14">
        <f>C3177*G3177</f>
        <v/>
      </c>
    </row>
    <row r="3178">
      <c r="A3178" s="12" t="inlineStr">
        <is>
          <t>RET-0242</t>
        </is>
      </c>
      <c r="B3178" s="12" t="inlineStr">
        <is>
          <t>VS15</t>
        </is>
      </c>
      <c r="C3178" s="28" t="n">
        <v>0.0064</v>
      </c>
      <c r="D3178" s="12" t="inlineStr">
        <is>
          <t>PO-2023-3436</t>
        </is>
      </c>
      <c r="E3178" s="12" t="n">
        <v>4.93</v>
      </c>
      <c r="F3178" s="17" t="n">
        <v>103818.67</v>
      </c>
      <c r="G3178" s="14">
        <f>E3178*F3178</f>
        <v/>
      </c>
      <c r="H3178" s="14">
        <f>C3178*G3178</f>
        <v/>
      </c>
    </row>
    <row r="3179">
      <c r="A3179" s="12" t="inlineStr">
        <is>
          <t>RET-0242</t>
        </is>
      </c>
      <c r="B3179" s="12" t="inlineStr">
        <is>
          <t>VS16</t>
        </is>
      </c>
      <c r="C3179" s="28" t="n">
        <v>0.0274</v>
      </c>
      <c r="D3179" s="12" t="inlineStr">
        <is>
          <t>PO-2022-2179</t>
        </is>
      </c>
      <c r="E3179" s="12" t="n">
        <v>4.93</v>
      </c>
      <c r="F3179" s="17" t="n">
        <v>117243.33</v>
      </c>
      <c r="G3179" s="14">
        <f>E3179*F3179</f>
        <v/>
      </c>
      <c r="H3179" s="14">
        <f>C3179*G3179</f>
        <v/>
      </c>
    </row>
    <row r="3180">
      <c r="A3180" s="12" t="inlineStr">
        <is>
          <t>RET-0242</t>
        </is>
      </c>
      <c r="B3180" s="12" t="inlineStr">
        <is>
          <t>VS17</t>
        </is>
      </c>
      <c r="C3180" s="28" t="n">
        <v>0.0273</v>
      </c>
      <c r="D3180" s="12" t="inlineStr">
        <is>
          <t>PO-2023-3617</t>
        </is>
      </c>
      <c r="E3180" s="12" t="n">
        <v>4.93</v>
      </c>
      <c r="F3180" s="17" t="n">
        <v>54046.08</v>
      </c>
      <c r="G3180" s="14">
        <f>E3180*F3180</f>
        <v/>
      </c>
      <c r="H3180" s="14">
        <f>C3180*G3180</f>
        <v/>
      </c>
    </row>
    <row r="3181">
      <c r="A3181" s="12" t="inlineStr">
        <is>
          <t>RET-0242</t>
        </is>
      </c>
      <c r="B3181" s="12" t="inlineStr">
        <is>
          <t>VS18</t>
        </is>
      </c>
      <c r="C3181" s="28" t="n">
        <v>0.019</v>
      </c>
      <c r="D3181" s="12" t="inlineStr">
        <is>
          <t>PO-2023-3674</t>
        </is>
      </c>
      <c r="E3181" s="12" t="n">
        <v>4.93</v>
      </c>
      <c r="F3181" s="17" t="n">
        <v>49541.25</v>
      </c>
      <c r="G3181" s="14">
        <f>E3181*F3181</f>
        <v/>
      </c>
      <c r="H3181" s="14">
        <f>C3181*G3181</f>
        <v/>
      </c>
    </row>
    <row r="3182">
      <c r="A3182" s="12" t="inlineStr">
        <is>
          <t>RET-0242</t>
        </is>
      </c>
      <c r="B3182" s="12" t="inlineStr">
        <is>
          <t>VS19</t>
        </is>
      </c>
      <c r="C3182" s="28" t="n">
        <v>0.1482</v>
      </c>
      <c r="D3182" s="12" t="inlineStr">
        <is>
          <t>PO-2021-1160</t>
        </is>
      </c>
      <c r="E3182" s="12" t="n">
        <v>4.93</v>
      </c>
      <c r="F3182" s="17" t="n">
        <v>80442.07000000001</v>
      </c>
      <c r="G3182" s="14">
        <f>E3182*F3182</f>
        <v/>
      </c>
      <c r="H3182" s="14">
        <f>C3182*G3182</f>
        <v/>
      </c>
    </row>
    <row r="3183">
      <c r="A3183" s="12" t="inlineStr">
        <is>
          <t>RET-0242</t>
        </is>
      </c>
      <c r="B3183" s="12" t="inlineStr">
        <is>
          <t>VS20</t>
        </is>
      </c>
      <c r="C3183" s="28" t="n">
        <v>0.0106</v>
      </c>
      <c r="D3183" s="12" t="inlineStr">
        <is>
          <t>PO-2021-1553</t>
        </is>
      </c>
      <c r="E3183" s="12" t="n">
        <v>4.93</v>
      </c>
      <c r="F3183" s="17" t="n">
        <v>60149.93</v>
      </c>
      <c r="G3183" s="14">
        <f>E3183*F3183</f>
        <v/>
      </c>
      <c r="H3183" s="14">
        <f>C3183*G3183</f>
        <v/>
      </c>
    </row>
    <row r="3184">
      <c r="A3184" s="12" t="inlineStr">
        <is>
          <t>RET-0242</t>
        </is>
      </c>
      <c r="B3184" s="12" t="inlineStr">
        <is>
          <t>VS21</t>
        </is>
      </c>
      <c r="C3184" s="28" t="n">
        <v>0.0106</v>
      </c>
      <c r="D3184" s="12" t="inlineStr">
        <is>
          <t>PO-2021-0920</t>
        </is>
      </c>
      <c r="E3184" s="12" t="n">
        <v>4.93</v>
      </c>
      <c r="F3184" s="17" t="n">
        <v>49611.17</v>
      </c>
      <c r="G3184" s="14">
        <f>E3184*F3184</f>
        <v/>
      </c>
      <c r="H3184" s="14">
        <f>C3184*G3184</f>
        <v/>
      </c>
    </row>
    <row r="3185">
      <c r="A3185" s="12" t="inlineStr">
        <is>
          <t>RET-0242</t>
        </is>
      </c>
      <c r="B3185" s="12" t="inlineStr">
        <is>
          <t>VS22</t>
        </is>
      </c>
      <c r="C3185" s="28" t="n">
        <v>0.0063</v>
      </c>
      <c r="D3185" s="12" t="inlineStr">
        <is>
          <t>PO-2022-2156</t>
        </is>
      </c>
      <c r="E3185" s="12" t="n">
        <v>4.93</v>
      </c>
      <c r="F3185" s="17" t="n">
        <v>79223.7</v>
      </c>
      <c r="G3185" s="14">
        <f>E3185*F3185</f>
        <v/>
      </c>
      <c r="H3185" s="14">
        <f>C3185*G3185</f>
        <v/>
      </c>
    </row>
    <row r="3186">
      <c r="A3186" s="12" t="inlineStr">
        <is>
          <t>RET-0242</t>
        </is>
      </c>
      <c r="B3186" s="12" t="inlineStr">
        <is>
          <t>VS23</t>
        </is>
      </c>
      <c r="C3186" s="28" t="n">
        <v>0.0104</v>
      </c>
      <c r="D3186" s="12" t="inlineStr">
        <is>
          <t>PO-2023-3377</t>
        </is>
      </c>
      <c r="E3186" s="12" t="n">
        <v>4.93</v>
      </c>
      <c r="F3186" s="17" t="n">
        <v>95666.77</v>
      </c>
      <c r="G3186" s="14">
        <f>E3186*F3186</f>
        <v/>
      </c>
      <c r="H3186" s="14">
        <f>C3186*G3186</f>
        <v/>
      </c>
    </row>
    <row r="3187">
      <c r="A3187" s="12" t="inlineStr">
        <is>
          <t>RET-0242</t>
        </is>
      </c>
      <c r="B3187" s="12" t="inlineStr">
        <is>
          <t>VS24</t>
        </is>
      </c>
      <c r="C3187" s="28" t="n">
        <v>0.0106</v>
      </c>
      <c r="D3187" s="12" t="inlineStr">
        <is>
          <t>PO-2022-3065</t>
        </is>
      </c>
      <c r="E3187" s="12" t="n">
        <v>4.93</v>
      </c>
      <c r="F3187" s="17" t="n">
        <v>48402.86</v>
      </c>
      <c r="G3187" s="14">
        <f>E3187*F3187</f>
        <v/>
      </c>
      <c r="H3187" s="14">
        <f>C3187*G3187</f>
        <v/>
      </c>
    </row>
    <row r="3188">
      <c r="A3188" s="12" t="inlineStr">
        <is>
          <t>RET-0242</t>
        </is>
      </c>
      <c r="B3188" s="12" t="inlineStr">
        <is>
          <t>VS25</t>
        </is>
      </c>
      <c r="C3188" s="28" t="n">
        <v>0.0191</v>
      </c>
      <c r="D3188" s="12" t="inlineStr">
        <is>
          <t>PO-2022-2839</t>
        </is>
      </c>
      <c r="E3188" s="12" t="n">
        <v>4.93</v>
      </c>
      <c r="F3188" s="17" t="n">
        <v>117232.15</v>
      </c>
      <c r="G3188" s="14">
        <f>E3188*F3188</f>
        <v/>
      </c>
      <c r="H3188" s="14">
        <f>C3188*G3188</f>
        <v/>
      </c>
    </row>
    <row r="3189">
      <c r="A3189" s="12" t="inlineStr">
        <is>
          <t>RET-0242</t>
        </is>
      </c>
      <c r="B3189" s="12" t="inlineStr">
        <is>
          <t>VS26</t>
        </is>
      </c>
      <c r="C3189" s="28" t="n">
        <v>0.0107</v>
      </c>
      <c r="D3189" s="12" t="inlineStr">
        <is>
          <t>PO-2023-4719</t>
        </is>
      </c>
      <c r="E3189" s="12" t="n">
        <v>4.93</v>
      </c>
      <c r="F3189" s="17" t="n">
        <v>65024.62</v>
      </c>
      <c r="G3189" s="14">
        <f>E3189*F3189</f>
        <v/>
      </c>
      <c r="H3189" s="14">
        <f>C3189*G3189</f>
        <v/>
      </c>
    </row>
    <row r="3190">
      <c r="A3190" s="12" t="inlineStr">
        <is>
          <t>RET-0242</t>
        </is>
      </c>
      <c r="B3190" s="12" t="inlineStr">
        <is>
          <t>VS27</t>
        </is>
      </c>
      <c r="C3190" s="28" t="n">
        <v>0.0104</v>
      </c>
      <c r="D3190" s="12" t="inlineStr">
        <is>
          <t>PO-2023-4076</t>
        </is>
      </c>
      <c r="E3190" s="12" t="n">
        <v>4.93</v>
      </c>
      <c r="F3190" s="17" t="n">
        <v>100527.7</v>
      </c>
      <c r="G3190" s="14">
        <f>E3190*F3190</f>
        <v/>
      </c>
      <c r="H3190" s="14">
        <f>C3190*G3190</f>
        <v/>
      </c>
    </row>
    <row r="3191">
      <c r="A3191" s="12" t="inlineStr">
        <is>
          <t>RET-0242</t>
        </is>
      </c>
      <c r="B3191" s="12" t="inlineStr">
        <is>
          <t>VS28</t>
        </is>
      </c>
      <c r="C3191" s="28" t="n">
        <v>0.0233</v>
      </c>
      <c r="D3191" s="12" t="inlineStr">
        <is>
          <t>PO-2021-1140</t>
        </is>
      </c>
      <c r="E3191" s="12" t="n">
        <v>4.93</v>
      </c>
      <c r="F3191" s="17" t="n">
        <v>117248.65</v>
      </c>
      <c r="G3191" s="14">
        <f>E3191*F3191</f>
        <v/>
      </c>
      <c r="H3191" s="14">
        <f>C3191*G3191</f>
        <v/>
      </c>
    </row>
    <row r="3192">
      <c r="A3192" s="12" t="inlineStr">
        <is>
          <t>RET-0242</t>
        </is>
      </c>
      <c r="B3192" s="12" t="inlineStr">
        <is>
          <t>VS29</t>
        </is>
      </c>
      <c r="C3192" s="28" t="n">
        <v>0.0148</v>
      </c>
      <c r="D3192" s="12" t="inlineStr">
        <is>
          <t>PO-2021-1590</t>
        </is>
      </c>
      <c r="E3192" s="12" t="n">
        <v>4.93</v>
      </c>
      <c r="F3192" s="17" t="n">
        <v>53487.3</v>
      </c>
      <c r="G3192" s="14">
        <f>E3192*F3192</f>
        <v/>
      </c>
      <c r="H3192" s="14">
        <f>C3192*G3192</f>
        <v/>
      </c>
    </row>
    <row r="3193">
      <c r="A3193" s="12" t="inlineStr">
        <is>
          <t>RET-0242</t>
        </is>
      </c>
      <c r="B3193" s="12" t="inlineStr">
        <is>
          <t>VS30</t>
        </is>
      </c>
      <c r="C3193" s="28" t="n">
        <v>0.0064</v>
      </c>
      <c r="D3193" s="12" t="inlineStr">
        <is>
          <t>PO-2021-0911</t>
        </is>
      </c>
      <c r="E3193" s="12" t="n">
        <v>2.463</v>
      </c>
      <c r="F3193" s="17" t="n">
        <v>80650.08</v>
      </c>
      <c r="G3193" s="14">
        <f>E3193*F3193</f>
        <v/>
      </c>
      <c r="H3193" s="14">
        <f>C3193*G3193</f>
        <v/>
      </c>
    </row>
    <row r="3194">
      <c r="A3194" s="12" t="inlineStr">
        <is>
          <t>RET-0242</t>
        </is>
      </c>
      <c r="B3194" s="12" t="inlineStr">
        <is>
          <t>VS31</t>
        </is>
      </c>
      <c r="C3194" s="28" t="n">
        <v>0.0232</v>
      </c>
      <c r="D3194" s="12" t="inlineStr">
        <is>
          <t>PO-2022-2426</t>
        </is>
      </c>
      <c r="E3194" s="12" t="n">
        <v>4.93</v>
      </c>
      <c r="F3194" s="17" t="n">
        <v>74047.78</v>
      </c>
      <c r="G3194" s="14">
        <f>E3194*F3194</f>
        <v/>
      </c>
      <c r="H3194" s="14">
        <f>C3194*G3194</f>
        <v/>
      </c>
    </row>
    <row r="3195">
      <c r="A3195" s="12" t="inlineStr">
        <is>
          <t>RET-0242</t>
        </is>
      </c>
      <c r="B3195" s="12" t="inlineStr">
        <is>
          <t>VS32</t>
        </is>
      </c>
      <c r="C3195" s="28" t="n">
        <v>0.0276</v>
      </c>
      <c r="D3195" s="12" t="inlineStr">
        <is>
          <t>PO-2021-1098</t>
        </is>
      </c>
      <c r="E3195" s="12" t="n">
        <v>4.93</v>
      </c>
      <c r="F3195" s="17" t="n">
        <v>115680.23</v>
      </c>
      <c r="G3195" s="14">
        <f>E3195*F3195</f>
        <v/>
      </c>
      <c r="H3195" s="14">
        <f>C3195*G3195</f>
        <v/>
      </c>
    </row>
    <row r="3196">
      <c r="A3196" s="12" t="inlineStr">
        <is>
          <t>RET-0242</t>
        </is>
      </c>
      <c r="B3196" s="12" t="inlineStr">
        <is>
          <t>VS33</t>
        </is>
      </c>
      <c r="C3196" s="28" t="n">
        <v>0.0147</v>
      </c>
      <c r="D3196" s="12" t="inlineStr">
        <is>
          <t>PO-2023-4493</t>
        </is>
      </c>
      <c r="E3196" s="12" t="n">
        <v>4.93</v>
      </c>
      <c r="F3196" s="17" t="n">
        <v>61233.8</v>
      </c>
      <c r="G3196" s="14">
        <f>E3196*F3196</f>
        <v/>
      </c>
      <c r="H3196" s="14">
        <f>C3196*G3196</f>
        <v/>
      </c>
    </row>
    <row r="3197">
      <c r="A3197" s="12" t="inlineStr">
        <is>
          <t>RET-0242</t>
        </is>
      </c>
      <c r="B3197" s="12" t="inlineStr">
        <is>
          <t>VS34</t>
        </is>
      </c>
      <c r="C3197" s="28" t="n">
        <v>0.0191</v>
      </c>
      <c r="D3197" s="12" t="inlineStr">
        <is>
          <t>PO-2021-1343</t>
        </is>
      </c>
      <c r="E3197" s="12" t="n">
        <v>4.93</v>
      </c>
      <c r="F3197" s="17" t="n">
        <v>82109.39999999999</v>
      </c>
      <c r="G3197" s="14">
        <f>E3197*F3197</f>
        <v/>
      </c>
      <c r="H3197" s="14">
        <f>C3197*G3197</f>
        <v/>
      </c>
    </row>
    <row r="3198">
      <c r="A3198" s="12" t="inlineStr">
        <is>
          <t>RET-0243</t>
        </is>
      </c>
      <c r="B3198" s="12" t="inlineStr">
        <is>
          <t>VS01</t>
        </is>
      </c>
      <c r="C3198" s="28" t="n">
        <v>0.0385</v>
      </c>
      <c r="D3198" s="12" t="inlineStr">
        <is>
          <t>PO-2021-0763</t>
        </is>
      </c>
      <c r="E3198" s="12" t="n">
        <v>3.82</v>
      </c>
      <c r="F3198" s="17" t="n">
        <v>75880.19</v>
      </c>
      <c r="G3198" s="14">
        <f>E3198*F3198</f>
        <v/>
      </c>
      <c r="H3198" s="14">
        <f>C3198*G3198</f>
        <v/>
      </c>
    </row>
    <row r="3199">
      <c r="A3199" s="12" t="inlineStr">
        <is>
          <t>RET-0243</t>
        </is>
      </c>
      <c r="B3199" s="12" t="inlineStr">
        <is>
          <t>VS02</t>
        </is>
      </c>
      <c r="C3199" s="28" t="n">
        <v>0.0175</v>
      </c>
      <c r="D3199" s="12" t="inlineStr">
        <is>
          <t>PO-2023-4383</t>
        </is>
      </c>
      <c r="E3199" s="12" t="n">
        <v>3.82</v>
      </c>
      <c r="F3199" s="17" t="n">
        <v>113410.12</v>
      </c>
      <c r="G3199" s="14">
        <f>E3199*F3199</f>
        <v/>
      </c>
      <c r="H3199" s="14">
        <f>C3199*G3199</f>
        <v/>
      </c>
    </row>
    <row r="3200">
      <c r="A3200" s="12" t="inlineStr">
        <is>
          <t>RET-0243</t>
        </is>
      </c>
      <c r="B3200" s="12" t="inlineStr">
        <is>
          <t>VS03</t>
        </is>
      </c>
      <c r="C3200" s="28" t="n">
        <v>0.0447</v>
      </c>
      <c r="D3200" s="12" t="inlineStr">
        <is>
          <t>PO-2021-0777</t>
        </is>
      </c>
      <c r="E3200" s="12" t="n">
        <v>3.82</v>
      </c>
      <c r="F3200" s="17" t="n">
        <v>66558.39</v>
      </c>
      <c r="G3200" s="14">
        <f>E3200*F3200</f>
        <v/>
      </c>
      <c r="H3200" s="14">
        <f>C3200*G3200</f>
        <v/>
      </c>
    </row>
    <row r="3201">
      <c r="A3201" s="12" t="inlineStr">
        <is>
          <t>RET-0243</t>
        </is>
      </c>
      <c r="B3201" s="12" t="inlineStr">
        <is>
          <t>VS04</t>
        </is>
      </c>
      <c r="C3201" s="28" t="n">
        <v>0.0241</v>
      </c>
      <c r="D3201" s="12" t="inlineStr">
        <is>
          <t>PO-2021-0663</t>
        </is>
      </c>
      <c r="E3201" s="12" t="n">
        <v>3.82</v>
      </c>
      <c r="F3201" s="17" t="n">
        <v>86224.85000000001</v>
      </c>
      <c r="G3201" s="14">
        <f>E3201*F3201</f>
        <v/>
      </c>
      <c r="H3201" s="14">
        <f>C3201*G3201</f>
        <v/>
      </c>
    </row>
    <row r="3202">
      <c r="A3202" s="12" t="inlineStr">
        <is>
          <t>RET-0243</t>
        </is>
      </c>
      <c r="B3202" s="12" t="inlineStr">
        <is>
          <t>VS05</t>
        </is>
      </c>
      <c r="C3202" s="28" t="n">
        <v>0.0313</v>
      </c>
      <c r="D3202" s="12" t="inlineStr">
        <is>
          <t>PO-2021-0725</t>
        </is>
      </c>
      <c r="E3202" s="12" t="n">
        <v>3.82</v>
      </c>
      <c r="F3202" s="17" t="n">
        <v>80741.66</v>
      </c>
      <c r="G3202" s="14">
        <f>E3202*F3202</f>
        <v/>
      </c>
      <c r="H3202" s="14">
        <f>C3202*G3202</f>
        <v/>
      </c>
    </row>
    <row r="3203">
      <c r="A3203" s="12" t="inlineStr">
        <is>
          <t>RET-0243</t>
        </is>
      </c>
      <c r="B3203" s="12" t="inlineStr">
        <is>
          <t>VS06</t>
        </is>
      </c>
      <c r="C3203" s="28" t="n">
        <v>0.0316</v>
      </c>
      <c r="D3203" s="12" t="inlineStr">
        <is>
          <t>PO-2022-2746</t>
        </is>
      </c>
      <c r="E3203" s="12" t="n">
        <v>3.82</v>
      </c>
      <c r="F3203" s="17" t="n">
        <v>73372.21000000001</v>
      </c>
      <c r="G3203" s="14">
        <f>E3203*F3203</f>
        <v/>
      </c>
      <c r="H3203" s="14">
        <f>C3203*G3203</f>
        <v/>
      </c>
    </row>
    <row r="3204">
      <c r="A3204" s="12" t="inlineStr">
        <is>
          <t>RET-0243</t>
        </is>
      </c>
      <c r="B3204" s="12" t="inlineStr">
        <is>
          <t>VS07</t>
        </is>
      </c>
      <c r="C3204" s="28" t="n">
        <v>0.0105</v>
      </c>
      <c r="D3204" s="12" t="inlineStr">
        <is>
          <t>PO-2021-0199</t>
        </is>
      </c>
      <c r="E3204" s="12" t="n">
        <v>3.82</v>
      </c>
      <c r="F3204" s="17" t="n">
        <v>66311.02</v>
      </c>
      <c r="G3204" s="14">
        <f>E3204*F3204</f>
        <v/>
      </c>
      <c r="H3204" s="14">
        <f>C3204*G3204</f>
        <v/>
      </c>
    </row>
    <row r="3205">
      <c r="A3205" s="12" t="inlineStr">
        <is>
          <t>RET-0243</t>
        </is>
      </c>
      <c r="B3205" s="12" t="inlineStr">
        <is>
          <t>VS08</t>
        </is>
      </c>
      <c r="C3205" s="28" t="n">
        <v>0.0318</v>
      </c>
      <c r="D3205" s="12" t="inlineStr">
        <is>
          <t>PO-2021-1266</t>
        </is>
      </c>
      <c r="E3205" s="12" t="n">
        <v>3.82</v>
      </c>
      <c r="F3205" s="17" t="n">
        <v>116637.62</v>
      </c>
      <c r="G3205" s="14">
        <f>E3205*F3205</f>
        <v/>
      </c>
      <c r="H3205" s="14">
        <f>C3205*G3205</f>
        <v/>
      </c>
    </row>
    <row r="3206">
      <c r="A3206" s="12" t="inlineStr">
        <is>
          <t>RET-0243</t>
        </is>
      </c>
      <c r="B3206" s="12" t="inlineStr">
        <is>
          <t>VS09</t>
        </is>
      </c>
      <c r="C3206" s="28" t="n">
        <v>0.0244</v>
      </c>
      <c r="D3206" s="12" t="inlineStr">
        <is>
          <t>PO-2021-1455</t>
        </is>
      </c>
      <c r="E3206" s="12" t="n">
        <v>3.82</v>
      </c>
      <c r="F3206" s="17" t="n">
        <v>81896.91</v>
      </c>
      <c r="G3206" s="14">
        <f>E3206*F3206</f>
        <v/>
      </c>
      <c r="H3206" s="14">
        <f>C3206*G3206</f>
        <v/>
      </c>
    </row>
    <row r="3207">
      <c r="A3207" s="12" t="inlineStr">
        <is>
          <t>RET-0243</t>
        </is>
      </c>
      <c r="B3207" s="12" t="inlineStr">
        <is>
          <t>VS10</t>
        </is>
      </c>
      <c r="C3207" s="28" t="n">
        <v>0.0384</v>
      </c>
      <c r="D3207" s="12" t="inlineStr">
        <is>
          <t>PO-2023-3848</t>
        </is>
      </c>
      <c r="E3207" s="12" t="n">
        <v>3.82</v>
      </c>
      <c r="F3207" s="17" t="n">
        <v>47487.9</v>
      </c>
      <c r="G3207" s="14">
        <f>E3207*F3207</f>
        <v/>
      </c>
      <c r="H3207" s="14">
        <f>C3207*G3207</f>
        <v/>
      </c>
    </row>
    <row r="3208">
      <c r="A3208" s="12" t="inlineStr">
        <is>
          <t>RET-0243</t>
        </is>
      </c>
      <c r="B3208" s="12" t="inlineStr">
        <is>
          <t>VS11</t>
        </is>
      </c>
      <c r="C3208" s="28" t="n">
        <v>0.045</v>
      </c>
      <c r="D3208" s="12" t="inlineStr">
        <is>
          <t>PO-2023-3713</t>
        </is>
      </c>
      <c r="E3208" s="12" t="n">
        <v>3.82</v>
      </c>
      <c r="F3208" s="17" t="n">
        <v>68655.38</v>
      </c>
      <c r="G3208" s="14">
        <f>E3208*F3208</f>
        <v/>
      </c>
      <c r="H3208" s="14">
        <f>C3208*G3208</f>
        <v/>
      </c>
    </row>
    <row r="3209">
      <c r="A3209" s="12" t="inlineStr">
        <is>
          <t>RET-0243</t>
        </is>
      </c>
      <c r="B3209" s="12" t="inlineStr">
        <is>
          <t>VS12</t>
        </is>
      </c>
      <c r="C3209" s="28" t="n">
        <v>0.0622</v>
      </c>
      <c r="D3209" s="12" t="inlineStr">
        <is>
          <t>PO-2022-2571</t>
        </is>
      </c>
      <c r="E3209" s="12" t="n">
        <v>3.82</v>
      </c>
      <c r="F3209" s="17" t="n">
        <v>47908.49</v>
      </c>
      <c r="G3209" s="14">
        <f>E3209*F3209</f>
        <v/>
      </c>
      <c r="H3209" s="14">
        <f>C3209*G3209</f>
        <v/>
      </c>
    </row>
    <row r="3210">
      <c r="A3210" s="12" t="inlineStr">
        <is>
          <t>RET-0243</t>
        </is>
      </c>
      <c r="B3210" s="12" t="inlineStr">
        <is>
          <t>VS13</t>
        </is>
      </c>
      <c r="C3210" s="28" t="n">
        <v>0.031</v>
      </c>
      <c r="D3210" s="12" t="inlineStr">
        <is>
          <t>PO-2023-3360</t>
        </is>
      </c>
      <c r="E3210" s="12" t="n">
        <v>3.82</v>
      </c>
      <c r="F3210" s="17" t="n">
        <v>110472.61</v>
      </c>
      <c r="G3210" s="14">
        <f>E3210*F3210</f>
        <v/>
      </c>
      <c r="H3210" s="14">
        <f>C3210*G3210</f>
        <v/>
      </c>
    </row>
    <row r="3211">
      <c r="A3211" s="12" t="inlineStr">
        <is>
          <t>RET-0243</t>
        </is>
      </c>
      <c r="B3211" s="12" t="inlineStr">
        <is>
          <t>VS14</t>
        </is>
      </c>
      <c r="C3211" s="28" t="n">
        <v>0.0313</v>
      </c>
      <c r="D3211" s="12" t="inlineStr">
        <is>
          <t>PO-2021-0630</t>
        </is>
      </c>
      <c r="E3211" s="12" t="n">
        <v>2.57</v>
      </c>
      <c r="F3211" s="17" t="n">
        <v>106051.97</v>
      </c>
      <c r="G3211" s="14">
        <f>E3211*F3211</f>
        <v/>
      </c>
      <c r="H3211" s="14">
        <f>C3211*G3211</f>
        <v/>
      </c>
    </row>
    <row r="3212">
      <c r="A3212" s="12" t="inlineStr">
        <is>
          <t>RET-0243</t>
        </is>
      </c>
      <c r="B3212" s="12" t="inlineStr">
        <is>
          <t>VS15</t>
        </is>
      </c>
      <c r="C3212" s="28" t="n">
        <v>0.0105</v>
      </c>
      <c r="D3212" s="12" t="inlineStr">
        <is>
          <t>PO-2023-3940</t>
        </is>
      </c>
      <c r="E3212" s="12" t="n">
        <v>3.82</v>
      </c>
      <c r="F3212" s="17" t="n">
        <v>93877.92</v>
      </c>
      <c r="G3212" s="14">
        <f>E3212*F3212</f>
        <v/>
      </c>
      <c r="H3212" s="14">
        <f>C3212*G3212</f>
        <v/>
      </c>
    </row>
    <row r="3213">
      <c r="A3213" s="12" t="inlineStr">
        <is>
          <t>RET-0243</t>
        </is>
      </c>
      <c r="B3213" s="12" t="inlineStr">
        <is>
          <t>VS16</t>
        </is>
      </c>
      <c r="C3213" s="28" t="n">
        <v>0.0451</v>
      </c>
      <c r="D3213" s="12" t="inlineStr">
        <is>
          <t>PO-2021-1520</t>
        </is>
      </c>
      <c r="E3213" s="12" t="n">
        <v>3.82</v>
      </c>
      <c r="F3213" s="17" t="n">
        <v>109335.46</v>
      </c>
      <c r="G3213" s="14">
        <f>E3213*F3213</f>
        <v/>
      </c>
      <c r="H3213" s="14">
        <f>C3213*G3213</f>
        <v/>
      </c>
    </row>
    <row r="3214">
      <c r="A3214" s="12" t="inlineStr">
        <is>
          <t>RET-0243</t>
        </is>
      </c>
      <c r="B3214" s="12" t="inlineStr">
        <is>
          <t>VS17</t>
        </is>
      </c>
      <c r="C3214" s="28" t="n">
        <v>0.045</v>
      </c>
      <c r="D3214" s="12" t="inlineStr">
        <is>
          <t>PO-2022-2083</t>
        </is>
      </c>
      <c r="E3214" s="12" t="n">
        <v>3.82</v>
      </c>
      <c r="F3214" s="17" t="n">
        <v>65646.63</v>
      </c>
      <c r="G3214" s="14">
        <f>E3214*F3214</f>
        <v/>
      </c>
      <c r="H3214" s="14">
        <f>C3214*G3214</f>
        <v/>
      </c>
    </row>
    <row r="3215">
      <c r="A3215" s="12" t="inlineStr">
        <is>
          <t>RET-0243</t>
        </is>
      </c>
      <c r="B3215" s="12" t="inlineStr">
        <is>
          <t>VS18</t>
        </is>
      </c>
      <c r="C3215" s="28" t="n">
        <v>0.0313</v>
      </c>
      <c r="D3215" s="12" t="inlineStr">
        <is>
          <t>PO-2022-1967</t>
        </is>
      </c>
      <c r="E3215" s="12" t="n">
        <v>3.82</v>
      </c>
      <c r="F3215" s="17" t="n">
        <v>70608.94</v>
      </c>
      <c r="G3215" s="14">
        <f>E3215*F3215</f>
        <v/>
      </c>
      <c r="H3215" s="14">
        <f>C3215*G3215</f>
        <v/>
      </c>
    </row>
    <row r="3216">
      <c r="A3216" s="12" t="inlineStr">
        <is>
          <t>RET-0243</t>
        </is>
      </c>
      <c r="B3216" s="12" t="inlineStr">
        <is>
          <t>VS19</t>
        </is>
      </c>
      <c r="C3216" s="28" t="n">
        <v>0.0469</v>
      </c>
      <c r="D3216" s="12" t="inlineStr">
        <is>
          <t>PO-2021-0766</t>
        </is>
      </c>
      <c r="E3216" s="12" t="n">
        <v>3.82</v>
      </c>
      <c r="F3216" s="17" t="n">
        <v>79006.5</v>
      </c>
      <c r="G3216" s="14">
        <f>E3216*F3216</f>
        <v/>
      </c>
      <c r="H3216" s="14">
        <f>C3216*G3216</f>
        <v/>
      </c>
    </row>
    <row r="3217">
      <c r="A3217" s="12" t="inlineStr">
        <is>
          <t>RET-0243</t>
        </is>
      </c>
      <c r="B3217" s="12" t="inlineStr">
        <is>
          <t>VS20</t>
        </is>
      </c>
      <c r="C3217" s="28" t="n">
        <v>0.0175</v>
      </c>
      <c r="D3217" s="12" t="inlineStr">
        <is>
          <t>PO-2022-2450</t>
        </is>
      </c>
      <c r="E3217" s="12" t="n">
        <v>3.82</v>
      </c>
      <c r="F3217" s="17" t="n">
        <v>113949.51</v>
      </c>
      <c r="G3217" s="14">
        <f>E3217*F3217</f>
        <v/>
      </c>
      <c r="H3217" s="14">
        <f>C3217*G3217</f>
        <v/>
      </c>
    </row>
    <row r="3218">
      <c r="A3218" s="12" t="inlineStr">
        <is>
          <t>RET-0243</t>
        </is>
      </c>
      <c r="B3218" s="12" t="inlineStr">
        <is>
          <t>VS21</t>
        </is>
      </c>
      <c r="C3218" s="28" t="n">
        <v>0.0174</v>
      </c>
      <c r="D3218" s="12" t="inlineStr">
        <is>
          <t>PO-2021-0624</t>
        </is>
      </c>
      <c r="E3218" s="12" t="n">
        <v>3.82</v>
      </c>
      <c r="F3218" s="17" t="n">
        <v>60066.68</v>
      </c>
      <c r="G3218" s="14">
        <f>E3218*F3218</f>
        <v/>
      </c>
      <c r="H3218" s="14">
        <f>C3218*G3218</f>
        <v/>
      </c>
    </row>
    <row r="3219">
      <c r="A3219" s="12" t="inlineStr">
        <is>
          <t>RET-0243</t>
        </is>
      </c>
      <c r="B3219" s="12" t="inlineStr">
        <is>
          <t>VS22</t>
        </is>
      </c>
      <c r="C3219" s="28" t="n">
        <v>0.0104</v>
      </c>
      <c r="D3219" s="12" t="inlineStr">
        <is>
          <t>PO-2022-2403</t>
        </is>
      </c>
      <c r="E3219" s="12" t="n">
        <v>3.82</v>
      </c>
      <c r="F3219" s="17" t="n">
        <v>100859.54</v>
      </c>
      <c r="G3219" s="14">
        <f>E3219*F3219</f>
        <v/>
      </c>
      <c r="H3219" s="14">
        <f>C3219*G3219</f>
        <v/>
      </c>
    </row>
    <row r="3220">
      <c r="A3220" s="12" t="inlineStr">
        <is>
          <t>RET-0243</t>
        </is>
      </c>
      <c r="B3220" s="12" t="inlineStr">
        <is>
          <t>VS23</t>
        </is>
      </c>
      <c r="C3220" s="28" t="n">
        <v>0.0172</v>
      </c>
      <c r="D3220" s="12" t="inlineStr">
        <is>
          <t>PO-2022-1905</t>
        </is>
      </c>
      <c r="E3220" s="12" t="n">
        <v>3.82</v>
      </c>
      <c r="F3220" s="17" t="n">
        <v>48691.14</v>
      </c>
      <c r="G3220" s="14">
        <f>E3220*F3220</f>
        <v/>
      </c>
      <c r="H3220" s="14">
        <f>C3220*G3220</f>
        <v/>
      </c>
    </row>
    <row r="3221">
      <c r="A3221" s="12" t="inlineStr">
        <is>
          <t>RET-0243</t>
        </is>
      </c>
      <c r="B3221" s="12" t="inlineStr">
        <is>
          <t>VS24</t>
        </is>
      </c>
      <c r="C3221" s="28" t="n">
        <v>0.0174</v>
      </c>
      <c r="D3221" s="12" t="inlineStr">
        <is>
          <t>PO-2021-0273</t>
        </is>
      </c>
      <c r="E3221" s="12" t="n">
        <v>3.82</v>
      </c>
      <c r="F3221" s="17" t="n">
        <v>73976.16</v>
      </c>
      <c r="G3221" s="14">
        <f>E3221*F3221</f>
        <v/>
      </c>
      <c r="H3221" s="14">
        <f>C3221*G3221</f>
        <v/>
      </c>
    </row>
    <row r="3222">
      <c r="A3222" s="12" t="inlineStr">
        <is>
          <t>RET-0243</t>
        </is>
      </c>
      <c r="B3222" s="12" t="inlineStr">
        <is>
          <t>VS25</t>
        </is>
      </c>
      <c r="C3222" s="28" t="n">
        <v>0.0315</v>
      </c>
      <c r="D3222" s="12" t="inlineStr">
        <is>
          <t>PO-2023-4274</t>
        </is>
      </c>
      <c r="E3222" s="12" t="n">
        <v>3.82</v>
      </c>
      <c r="F3222" s="17" t="n">
        <v>109406.12</v>
      </c>
      <c r="G3222" s="14">
        <f>E3222*F3222</f>
        <v/>
      </c>
      <c r="H3222" s="14">
        <f>C3222*G3222</f>
        <v/>
      </c>
    </row>
    <row r="3223">
      <c r="A3223" s="12" t="inlineStr">
        <is>
          <t>RET-0243</t>
        </is>
      </c>
      <c r="B3223" s="12" t="inlineStr">
        <is>
          <t>VS26</t>
        </is>
      </c>
      <c r="C3223" s="28" t="n">
        <v>0.0175</v>
      </c>
      <c r="D3223" s="12" t="inlineStr">
        <is>
          <t>PO-2023-4351</t>
        </is>
      </c>
      <c r="E3223" s="12" t="n">
        <v>3.82</v>
      </c>
      <c r="F3223" s="17" t="n">
        <v>109373.36</v>
      </c>
      <c r="G3223" s="14">
        <f>E3223*F3223</f>
        <v/>
      </c>
      <c r="H3223" s="14">
        <f>C3223*G3223</f>
        <v/>
      </c>
    </row>
    <row r="3224">
      <c r="A3224" s="12" t="inlineStr">
        <is>
          <t>RET-0243</t>
        </is>
      </c>
      <c r="B3224" s="12" t="inlineStr">
        <is>
          <t>VS27</t>
        </is>
      </c>
      <c r="C3224" s="28" t="n">
        <v>0.0172</v>
      </c>
      <c r="D3224" s="12" t="inlineStr">
        <is>
          <t>PO-2023-4132</t>
        </is>
      </c>
      <c r="E3224" s="12" t="n">
        <v>3.82</v>
      </c>
      <c r="F3224" s="17" t="n">
        <v>101181.22</v>
      </c>
      <c r="G3224" s="14">
        <f>E3224*F3224</f>
        <v/>
      </c>
      <c r="H3224" s="14">
        <f>C3224*G3224</f>
        <v/>
      </c>
    </row>
    <row r="3225">
      <c r="A3225" s="12" t="inlineStr">
        <is>
          <t>RET-0243</t>
        </is>
      </c>
      <c r="B3225" s="12" t="inlineStr">
        <is>
          <t>VS28</t>
        </is>
      </c>
      <c r="C3225" s="28" t="n">
        <v>0.0384</v>
      </c>
      <c r="D3225" s="12" t="inlineStr">
        <is>
          <t>PO-2021-1122</t>
        </is>
      </c>
      <c r="E3225" s="12" t="n">
        <v>3.82</v>
      </c>
      <c r="F3225" s="17" t="n">
        <v>76073.57000000001</v>
      </c>
      <c r="G3225" s="14">
        <f>E3225*F3225</f>
        <v/>
      </c>
      <c r="H3225" s="14">
        <f>C3225*G3225</f>
        <v/>
      </c>
    </row>
    <row r="3226">
      <c r="A3226" s="12" t="inlineStr">
        <is>
          <t>RET-0243</t>
        </is>
      </c>
      <c r="B3226" s="12" t="inlineStr">
        <is>
          <t>VS29</t>
        </is>
      </c>
      <c r="C3226" s="28" t="n">
        <v>0.0244</v>
      </c>
      <c r="D3226" s="12" t="inlineStr">
        <is>
          <t>PO-2021-0840</t>
        </is>
      </c>
      <c r="E3226" s="12" t="n">
        <v>3.82</v>
      </c>
      <c r="F3226" s="17" t="n">
        <v>93935.45</v>
      </c>
      <c r="G3226" s="14">
        <f>E3226*F3226</f>
        <v/>
      </c>
      <c r="H3226" s="14">
        <f>C3226*G3226</f>
        <v/>
      </c>
    </row>
    <row r="3227">
      <c r="A3227" s="12" t="inlineStr">
        <is>
          <t>RET-0243</t>
        </is>
      </c>
      <c r="B3227" s="12" t="inlineStr">
        <is>
          <t>VS30</t>
        </is>
      </c>
      <c r="C3227" s="28" t="n">
        <v>0.0105</v>
      </c>
      <c r="D3227" s="12" t="inlineStr">
        <is>
          <t>PO-2022-2235</t>
        </is>
      </c>
      <c r="E3227" s="12" t="n">
        <v>3.82</v>
      </c>
      <c r="F3227" s="17" t="n">
        <v>103804.7</v>
      </c>
      <c r="G3227" s="14">
        <f>E3227*F3227</f>
        <v/>
      </c>
      <c r="H3227" s="14">
        <f>C3227*G3227</f>
        <v/>
      </c>
    </row>
    <row r="3228">
      <c r="A3228" s="12" t="inlineStr">
        <is>
          <t>RET-0243</t>
        </is>
      </c>
      <c r="B3228" s="12" t="inlineStr">
        <is>
          <t>VS31</t>
        </is>
      </c>
      <c r="C3228" s="28" t="n">
        <v>0.0382</v>
      </c>
      <c r="D3228" s="12" t="inlineStr">
        <is>
          <t>PO-2023-4386</t>
        </is>
      </c>
      <c r="E3228" s="12" t="n">
        <v>3.82</v>
      </c>
      <c r="F3228" s="17" t="n">
        <v>87874.28999999999</v>
      </c>
      <c r="G3228" s="14">
        <f>E3228*F3228</f>
        <v/>
      </c>
      <c r="H3228" s="14">
        <f>C3228*G3228</f>
        <v/>
      </c>
    </row>
    <row r="3229">
      <c r="A3229" s="12" t="inlineStr">
        <is>
          <t>RET-0243</t>
        </is>
      </c>
      <c r="B3229" s="12" t="inlineStr">
        <is>
          <t>VS32</t>
        </is>
      </c>
      <c r="C3229" s="28" t="n">
        <v>0.0455</v>
      </c>
      <c r="D3229" s="12" t="inlineStr">
        <is>
          <t>PO-2021-1058</t>
        </is>
      </c>
      <c r="E3229" s="12" t="n">
        <v>3.82</v>
      </c>
      <c r="F3229" s="17" t="n">
        <v>61839.02</v>
      </c>
      <c r="G3229" s="14">
        <f>E3229*F3229</f>
        <v/>
      </c>
      <c r="H3229" s="14">
        <f>C3229*G3229</f>
        <v/>
      </c>
    </row>
    <row r="3230">
      <c r="A3230" s="12" t="inlineStr">
        <is>
          <t>RET-0243</t>
        </is>
      </c>
      <c r="B3230" s="12" t="inlineStr">
        <is>
          <t>VS33</t>
        </is>
      </c>
      <c r="C3230" s="28" t="n">
        <v>0.0243</v>
      </c>
      <c r="D3230" s="12" t="inlineStr">
        <is>
          <t>PO-2022-2792</t>
        </is>
      </c>
      <c r="E3230" s="12" t="n">
        <v>3.82</v>
      </c>
      <c r="F3230" s="17" t="n">
        <v>93545.31</v>
      </c>
      <c r="G3230" s="14">
        <f>E3230*F3230</f>
        <v/>
      </c>
      <c r="H3230" s="14">
        <f>C3230*G3230</f>
        <v/>
      </c>
    </row>
    <row r="3231">
      <c r="A3231" s="12" t="inlineStr">
        <is>
          <t>RET-0243</t>
        </is>
      </c>
      <c r="B3231" s="12" t="inlineStr">
        <is>
          <t>VS34</t>
        </is>
      </c>
      <c r="C3231" s="28" t="n">
        <v>0.0314</v>
      </c>
      <c r="D3231" s="12" t="inlineStr">
        <is>
          <t>PO-2022-2651</t>
        </is>
      </c>
      <c r="E3231" s="12" t="n">
        <v>3.82</v>
      </c>
      <c r="F3231" s="17" t="n">
        <v>84814.94</v>
      </c>
      <c r="G3231" s="14">
        <f>E3231*F3231</f>
        <v/>
      </c>
      <c r="H3231" s="14">
        <f>C3231*G3231</f>
        <v/>
      </c>
    </row>
    <row r="3232">
      <c r="A3232" s="12" t="inlineStr">
        <is>
          <t>RET-0244</t>
        </is>
      </c>
      <c r="B3232" s="12" t="inlineStr">
        <is>
          <t>VS01</t>
        </is>
      </c>
      <c r="C3232" s="28" t="n">
        <v>0.0196</v>
      </c>
      <c r="D3232" s="12" t="inlineStr">
        <is>
          <t>PO-2023-3978</t>
        </is>
      </c>
      <c r="E3232" s="12" t="n">
        <v>2.99</v>
      </c>
      <c r="F3232" s="17" t="n">
        <v>74622.86</v>
      </c>
      <c r="G3232" s="14">
        <f>E3232*F3232</f>
        <v/>
      </c>
      <c r="H3232" s="14">
        <f>C3232*G3232</f>
        <v/>
      </c>
    </row>
    <row r="3233">
      <c r="A3233" s="12" t="inlineStr">
        <is>
          <t>RET-0244</t>
        </is>
      </c>
      <c r="B3233" s="12" t="inlineStr">
        <is>
          <t>VS02</t>
        </is>
      </c>
      <c r="C3233" s="28" t="n">
        <v>0.0089</v>
      </c>
      <c r="D3233" s="12" t="inlineStr">
        <is>
          <t>PO-2021-0284</t>
        </is>
      </c>
      <c r="E3233" s="12" t="n">
        <v>2.99</v>
      </c>
      <c r="F3233" s="17" t="n">
        <v>56357.34</v>
      </c>
      <c r="G3233" s="14">
        <f>E3233*F3233</f>
        <v/>
      </c>
      <c r="H3233" s="14">
        <f>C3233*G3233</f>
        <v/>
      </c>
    </row>
    <row r="3234">
      <c r="A3234" s="12" t="inlineStr">
        <is>
          <t>RET-0244</t>
        </is>
      </c>
      <c r="B3234" s="12" t="inlineStr">
        <is>
          <t>VS03</t>
        </is>
      </c>
      <c r="C3234" s="28" t="n">
        <v>0.1656</v>
      </c>
      <c r="D3234" s="12" t="inlineStr">
        <is>
          <t>PO-2023-4416</t>
        </is>
      </c>
      <c r="E3234" s="12" t="n">
        <v>2.99</v>
      </c>
      <c r="F3234" s="17" t="n">
        <v>118144.91</v>
      </c>
      <c r="G3234" s="14">
        <f>E3234*F3234</f>
        <v/>
      </c>
      <c r="H3234" s="14">
        <f>C3234*G3234</f>
        <v/>
      </c>
    </row>
    <row r="3235">
      <c r="A3235" s="12" t="inlineStr">
        <is>
          <t>RET-0244</t>
        </is>
      </c>
      <c r="B3235" s="12" t="inlineStr">
        <is>
          <t>VS04</t>
        </is>
      </c>
      <c r="C3235" s="28" t="n">
        <v>0.0123</v>
      </c>
      <c r="D3235" s="12" t="inlineStr">
        <is>
          <t>PO-2021-1313</t>
        </is>
      </c>
      <c r="E3235" s="12" t="n">
        <v>2.99</v>
      </c>
      <c r="F3235" s="17" t="n">
        <v>90805.39999999999</v>
      </c>
      <c r="G3235" s="14">
        <f>E3235*F3235</f>
        <v/>
      </c>
      <c r="H3235" s="14">
        <f>C3235*G3235</f>
        <v/>
      </c>
    </row>
    <row r="3236">
      <c r="A3236" s="12" t="inlineStr">
        <is>
          <t>RET-0244</t>
        </is>
      </c>
      <c r="B3236" s="12" t="inlineStr">
        <is>
          <t>VS05</t>
        </is>
      </c>
      <c r="C3236" s="28" t="n">
        <v>0.0159</v>
      </c>
      <c r="D3236" s="12" t="inlineStr">
        <is>
          <t>PO-2023-4489</t>
        </is>
      </c>
      <c r="E3236" s="12" t="n">
        <v>2.99</v>
      </c>
      <c r="F3236" s="17" t="n">
        <v>52257.17</v>
      </c>
      <c r="G3236" s="14">
        <f>E3236*F3236</f>
        <v/>
      </c>
      <c r="H3236" s="14">
        <f>C3236*G3236</f>
        <v/>
      </c>
    </row>
    <row r="3237">
      <c r="A3237" s="12" t="inlineStr">
        <is>
          <t>RET-0244</t>
        </is>
      </c>
      <c r="B3237" s="12" t="inlineStr">
        <is>
          <t>VS06</t>
        </is>
      </c>
      <c r="C3237" s="28" t="n">
        <v>0.0161</v>
      </c>
      <c r="D3237" s="12" t="inlineStr">
        <is>
          <t>PO-2021-0608</t>
        </is>
      </c>
      <c r="E3237" s="12" t="n">
        <v>2.99</v>
      </c>
      <c r="F3237" s="17" t="n">
        <v>87977.62</v>
      </c>
      <c r="G3237" s="14">
        <f>E3237*F3237</f>
        <v/>
      </c>
      <c r="H3237" s="14">
        <f>C3237*G3237</f>
        <v/>
      </c>
    </row>
    <row r="3238">
      <c r="A3238" s="12" t="inlineStr">
        <is>
          <t>RET-0244</t>
        </is>
      </c>
      <c r="B3238" s="12" t="inlineStr">
        <is>
          <t>VS07</t>
        </is>
      </c>
      <c r="C3238" s="28" t="n">
        <v>0.0054</v>
      </c>
      <c r="D3238" s="12" t="inlineStr">
        <is>
          <t>PO-2021-0967</t>
        </is>
      </c>
      <c r="E3238" s="12" t="n">
        <v>2.99</v>
      </c>
      <c r="F3238" s="17" t="n">
        <v>52746.53</v>
      </c>
      <c r="G3238" s="14">
        <f>E3238*F3238</f>
        <v/>
      </c>
      <c r="H3238" s="14">
        <f>C3238*G3238</f>
        <v/>
      </c>
    </row>
    <row r="3239">
      <c r="A3239" s="12" t="inlineStr">
        <is>
          <t>RET-0244</t>
        </is>
      </c>
      <c r="B3239" s="12" t="inlineStr">
        <is>
          <t>VS08</t>
        </is>
      </c>
      <c r="C3239" s="28" t="n">
        <v>0.0162</v>
      </c>
      <c r="D3239" s="12" t="inlineStr">
        <is>
          <t>PO-2021-0108</t>
        </is>
      </c>
      <c r="E3239" s="12" t="n">
        <v>2.99</v>
      </c>
      <c r="F3239" s="17" t="n">
        <v>93578.23</v>
      </c>
      <c r="G3239" s="14">
        <f>E3239*F3239</f>
        <v/>
      </c>
      <c r="H3239" s="14">
        <f>C3239*G3239</f>
        <v/>
      </c>
    </row>
    <row r="3240">
      <c r="A3240" s="12" t="inlineStr">
        <is>
          <t>RET-0244</t>
        </is>
      </c>
      <c r="B3240" s="12" t="inlineStr">
        <is>
          <t>VS09</t>
        </is>
      </c>
      <c r="C3240" s="28" t="n">
        <v>0.0124</v>
      </c>
      <c r="D3240" s="12" t="inlineStr">
        <is>
          <t>PO-2023-3683</t>
        </is>
      </c>
      <c r="E3240" s="12" t="n">
        <v>2.99</v>
      </c>
      <c r="F3240" s="17" t="n">
        <v>119347.99</v>
      </c>
      <c r="G3240" s="14">
        <f>E3240*F3240</f>
        <v/>
      </c>
      <c r="H3240" s="14">
        <f>C3240*G3240</f>
        <v/>
      </c>
    </row>
    <row r="3241">
      <c r="A3241" s="12" t="inlineStr">
        <is>
          <t>RET-0244</t>
        </is>
      </c>
      <c r="B3241" s="12" t="inlineStr">
        <is>
          <t>VS10</t>
        </is>
      </c>
      <c r="C3241" s="28" t="n">
        <v>0.0196</v>
      </c>
      <c r="D3241" s="12" t="inlineStr">
        <is>
          <t>PO-2023-3577</t>
        </is>
      </c>
      <c r="E3241" s="12" t="n">
        <v>2.99</v>
      </c>
      <c r="F3241" s="17" t="n">
        <v>61407.23</v>
      </c>
      <c r="G3241" s="14">
        <f>E3241*F3241</f>
        <v/>
      </c>
      <c r="H3241" s="14">
        <f>C3241*G3241</f>
        <v/>
      </c>
    </row>
    <row r="3242">
      <c r="A3242" s="12" t="inlineStr">
        <is>
          <t>RET-0244</t>
        </is>
      </c>
      <c r="B3242" s="12" t="inlineStr">
        <is>
          <t>VS11</t>
        </is>
      </c>
      <c r="C3242" s="28" t="n">
        <v>0.0229</v>
      </c>
      <c r="D3242" s="12" t="inlineStr">
        <is>
          <t>PO-2021-0514</t>
        </is>
      </c>
      <c r="E3242" s="12" t="n">
        <v>2.99</v>
      </c>
      <c r="F3242" s="17" t="n">
        <v>108432.19</v>
      </c>
      <c r="G3242" s="14">
        <f>E3242*F3242</f>
        <v/>
      </c>
      <c r="H3242" s="14">
        <f>C3242*G3242</f>
        <v/>
      </c>
    </row>
    <row r="3243">
      <c r="A3243" s="12" t="inlineStr">
        <is>
          <t>RET-0244</t>
        </is>
      </c>
      <c r="B3243" s="12" t="inlineStr">
        <is>
          <t>VS12</t>
        </is>
      </c>
      <c r="C3243" s="28" t="n">
        <v>0.2301</v>
      </c>
      <c r="D3243" s="12" t="inlineStr">
        <is>
          <t>PO-2023-3259</t>
        </is>
      </c>
      <c r="E3243" s="12" t="n">
        <v>2.99</v>
      </c>
      <c r="F3243" s="17" t="n">
        <v>55372.98</v>
      </c>
      <c r="G3243" s="14">
        <f>E3243*F3243</f>
        <v/>
      </c>
      <c r="H3243" s="14">
        <f>C3243*G3243</f>
        <v/>
      </c>
    </row>
    <row r="3244">
      <c r="A3244" s="12" t="inlineStr">
        <is>
          <t>RET-0244</t>
        </is>
      </c>
      <c r="B3244" s="12" t="inlineStr">
        <is>
          <t>VS13</t>
        </is>
      </c>
      <c r="C3244" s="28" t="n">
        <v>0.0158</v>
      </c>
      <c r="D3244" s="12" t="inlineStr">
        <is>
          <t>PO-2022-2854</t>
        </is>
      </c>
      <c r="E3244" s="12" t="n">
        <v>2.99</v>
      </c>
      <c r="F3244" s="17" t="n">
        <v>99622.75999999999</v>
      </c>
      <c r="G3244" s="14">
        <f>E3244*F3244</f>
        <v/>
      </c>
      <c r="H3244" s="14">
        <f>C3244*G3244</f>
        <v/>
      </c>
    </row>
    <row r="3245">
      <c r="A3245" s="12" t="inlineStr">
        <is>
          <t>RET-0244</t>
        </is>
      </c>
      <c r="B3245" s="12" t="inlineStr">
        <is>
          <t>VS14</t>
        </is>
      </c>
      <c r="C3245" s="28" t="n">
        <v>0.0159</v>
      </c>
      <c r="D3245" s="12" t="inlineStr">
        <is>
          <t>PO-2023-4776</t>
        </is>
      </c>
      <c r="E3245" s="12" t="n">
        <v>2.99</v>
      </c>
      <c r="F3245" s="17" t="n">
        <v>99170.78</v>
      </c>
      <c r="G3245" s="14">
        <f>E3245*F3245</f>
        <v/>
      </c>
      <c r="H3245" s="14">
        <f>C3245*G3245</f>
        <v/>
      </c>
    </row>
    <row r="3246">
      <c r="A3246" s="12" t="inlineStr">
        <is>
          <t>RET-0244</t>
        </is>
      </c>
      <c r="B3246" s="12" t="inlineStr">
        <is>
          <t>VS15</t>
        </is>
      </c>
      <c r="C3246" s="28" t="n">
        <v>0.0053</v>
      </c>
      <c r="D3246" s="12" t="inlineStr">
        <is>
          <t>PO-2023-3202</t>
        </is>
      </c>
      <c r="E3246" s="12" t="n">
        <v>2.99</v>
      </c>
      <c r="F3246" s="17" t="n">
        <v>54904.27</v>
      </c>
      <c r="G3246" s="14">
        <f>E3246*F3246</f>
        <v/>
      </c>
      <c r="H3246" s="14">
        <f>C3246*G3246</f>
        <v/>
      </c>
    </row>
    <row r="3247">
      <c r="A3247" s="12" t="inlineStr">
        <is>
          <t>RET-0244</t>
        </is>
      </c>
      <c r="B3247" s="12" t="inlineStr">
        <is>
          <t>VS16</t>
        </is>
      </c>
      <c r="C3247" s="28" t="n">
        <v>0.023</v>
      </c>
      <c r="D3247" s="12" t="inlineStr">
        <is>
          <t>PO-2022-2530</t>
        </is>
      </c>
      <c r="E3247" s="12" t="n">
        <v>2.99</v>
      </c>
      <c r="F3247" s="17" t="n">
        <v>114453.87</v>
      </c>
      <c r="G3247" s="14">
        <f>E3247*F3247</f>
        <v/>
      </c>
      <c r="H3247" s="14">
        <f>C3247*G3247</f>
        <v/>
      </c>
    </row>
    <row r="3248">
      <c r="A3248" s="12" t="inlineStr">
        <is>
          <t>RET-0244</t>
        </is>
      </c>
      <c r="B3248" s="12" t="inlineStr">
        <is>
          <t>VS17</t>
        </is>
      </c>
      <c r="C3248" s="28" t="n">
        <v>0.0229</v>
      </c>
      <c r="D3248" s="12" t="inlineStr">
        <is>
          <t>PO-2021-1425</t>
        </is>
      </c>
      <c r="E3248" s="12" t="n">
        <v>2.99</v>
      </c>
      <c r="F3248" s="17" t="n">
        <v>56052.55</v>
      </c>
      <c r="G3248" s="14">
        <f>E3248*F3248</f>
        <v/>
      </c>
      <c r="H3248" s="14">
        <f>C3248*G3248</f>
        <v/>
      </c>
    </row>
    <row r="3249">
      <c r="A3249" s="12" t="inlineStr">
        <is>
          <t>RET-0244</t>
        </is>
      </c>
      <c r="B3249" s="12" t="inlineStr">
        <is>
          <t>VS18</t>
        </is>
      </c>
      <c r="C3249" s="28" t="n">
        <v>0.0159</v>
      </c>
      <c r="D3249" s="12" t="inlineStr">
        <is>
          <t>PO-2022-2357</t>
        </is>
      </c>
      <c r="E3249" s="12" t="n">
        <v>2.99</v>
      </c>
      <c r="F3249" s="17" t="n">
        <v>97972.25</v>
      </c>
      <c r="G3249" s="14">
        <f>E3249*F3249</f>
        <v/>
      </c>
      <c r="H3249" s="14">
        <f>C3249*G3249</f>
        <v/>
      </c>
    </row>
    <row r="3250">
      <c r="A3250" s="12" t="inlineStr">
        <is>
          <t>RET-0244</t>
        </is>
      </c>
      <c r="B3250" s="12" t="inlineStr">
        <is>
          <t>VS19</t>
        </is>
      </c>
      <c r="C3250" s="28" t="n">
        <v>0.1736</v>
      </c>
      <c r="D3250" s="12" t="inlineStr">
        <is>
          <t>PO-2023-4126</t>
        </is>
      </c>
      <c r="E3250" s="12" t="n">
        <v>2.99</v>
      </c>
      <c r="F3250" s="17" t="n">
        <v>120819.83</v>
      </c>
      <c r="G3250" s="14">
        <f>E3250*F3250</f>
        <v/>
      </c>
      <c r="H3250" s="14">
        <f>C3250*G3250</f>
        <v/>
      </c>
    </row>
    <row r="3251">
      <c r="A3251" s="12" t="inlineStr">
        <is>
          <t>RET-0244</t>
        </is>
      </c>
      <c r="B3251" s="12" t="inlineStr">
        <is>
          <t>VS20</t>
        </is>
      </c>
      <c r="C3251" s="28" t="n">
        <v>0.0089</v>
      </c>
      <c r="D3251" s="12" t="inlineStr">
        <is>
          <t>PO-2021-1335</t>
        </is>
      </c>
      <c r="E3251" s="12" t="n">
        <v>2.99</v>
      </c>
      <c r="F3251" s="17" t="n">
        <v>105711.58</v>
      </c>
      <c r="G3251" s="14">
        <f>E3251*F3251</f>
        <v/>
      </c>
      <c r="H3251" s="14">
        <f>C3251*G3251</f>
        <v/>
      </c>
    </row>
    <row r="3252">
      <c r="A3252" s="12" t="inlineStr">
        <is>
          <t>RET-0244</t>
        </is>
      </c>
      <c r="B3252" s="12" t="inlineStr">
        <is>
          <t>VS21</t>
        </is>
      </c>
      <c r="C3252" s="28" t="n">
        <v>0.0089</v>
      </c>
      <c r="D3252" s="12" t="inlineStr">
        <is>
          <t>PO-2023-3223</t>
        </is>
      </c>
      <c r="E3252" s="12" t="n">
        <v>2.99</v>
      </c>
      <c r="F3252" s="17" t="n">
        <v>54826.81</v>
      </c>
      <c r="G3252" s="14">
        <f>E3252*F3252</f>
        <v/>
      </c>
      <c r="H3252" s="14">
        <f>C3252*G3252</f>
        <v/>
      </c>
    </row>
    <row r="3253">
      <c r="A3253" s="12" t="inlineStr">
        <is>
          <t>RET-0244</t>
        </is>
      </c>
      <c r="B3253" s="12" t="inlineStr">
        <is>
          <t>VS22</t>
        </is>
      </c>
      <c r="C3253" s="28" t="n">
        <v>0.0053</v>
      </c>
      <c r="D3253" s="12" t="inlineStr">
        <is>
          <t>PO-2022-2267</t>
        </is>
      </c>
      <c r="E3253" s="12" t="n">
        <v>2.206</v>
      </c>
      <c r="F3253" s="17" t="n">
        <v>78039.78999999999</v>
      </c>
      <c r="G3253" s="14">
        <f>E3253*F3253</f>
        <v/>
      </c>
      <c r="H3253" s="14">
        <f>C3253*G3253</f>
        <v/>
      </c>
    </row>
    <row r="3254">
      <c r="A3254" s="12" t="inlineStr">
        <is>
          <t>RET-0244</t>
        </is>
      </c>
      <c r="B3254" s="12" t="inlineStr">
        <is>
          <t>VS23</t>
        </is>
      </c>
      <c r="C3254" s="28" t="n">
        <v>0.008699999999999999</v>
      </c>
      <c r="D3254" s="12" t="inlineStr">
        <is>
          <t>PO-2022-2265</t>
        </is>
      </c>
      <c r="E3254" s="12" t="n">
        <v>2.99</v>
      </c>
      <c r="F3254" s="17" t="n">
        <v>93310.14</v>
      </c>
      <c r="G3254" s="14">
        <f>E3254*F3254</f>
        <v/>
      </c>
      <c r="H3254" s="14">
        <f>C3254*G3254</f>
        <v/>
      </c>
    </row>
    <row r="3255">
      <c r="A3255" s="12" t="inlineStr">
        <is>
          <t>RET-0244</t>
        </is>
      </c>
      <c r="B3255" s="12" t="inlineStr">
        <is>
          <t>VS24</t>
        </is>
      </c>
      <c r="C3255" s="28" t="n">
        <v>0.008800000000000001</v>
      </c>
      <c r="D3255" s="12" t="inlineStr">
        <is>
          <t>PO-2021-1249</t>
        </is>
      </c>
      <c r="E3255" s="12" t="n">
        <v>2.99</v>
      </c>
      <c r="F3255" s="17" t="n">
        <v>98373.03</v>
      </c>
      <c r="G3255" s="14">
        <f>E3255*F3255</f>
        <v/>
      </c>
      <c r="H3255" s="14">
        <f>C3255*G3255</f>
        <v/>
      </c>
    </row>
    <row r="3256">
      <c r="A3256" s="12" t="inlineStr">
        <is>
          <t>RET-0244</t>
        </is>
      </c>
      <c r="B3256" s="12" t="inlineStr">
        <is>
          <t>VS25</t>
        </is>
      </c>
      <c r="C3256" s="28" t="n">
        <v>0.016</v>
      </c>
      <c r="D3256" s="12" t="inlineStr">
        <is>
          <t>PO-2022-1635</t>
        </is>
      </c>
      <c r="E3256" s="12" t="n">
        <v>2.99</v>
      </c>
      <c r="F3256" s="17" t="n">
        <v>71170.35000000001</v>
      </c>
      <c r="G3256" s="14">
        <f>E3256*F3256</f>
        <v/>
      </c>
      <c r="H3256" s="14">
        <f>C3256*G3256</f>
        <v/>
      </c>
    </row>
    <row r="3257">
      <c r="A3257" s="12" t="inlineStr">
        <is>
          <t>RET-0244</t>
        </is>
      </c>
      <c r="B3257" s="12" t="inlineStr">
        <is>
          <t>VS26</t>
        </is>
      </c>
      <c r="C3257" s="28" t="n">
        <v>0.0089</v>
      </c>
      <c r="D3257" s="12" t="inlineStr">
        <is>
          <t>PO-2021-1239</t>
        </is>
      </c>
      <c r="E3257" s="12" t="n">
        <v>2.99</v>
      </c>
      <c r="F3257" s="17" t="n">
        <v>111568.48</v>
      </c>
      <c r="G3257" s="14">
        <f>E3257*F3257</f>
        <v/>
      </c>
      <c r="H3257" s="14">
        <f>C3257*G3257</f>
        <v/>
      </c>
    </row>
    <row r="3258">
      <c r="A3258" s="12" t="inlineStr">
        <is>
          <t>RET-0244</t>
        </is>
      </c>
      <c r="B3258" s="12" t="inlineStr">
        <is>
          <t>VS27</t>
        </is>
      </c>
      <c r="C3258" s="28" t="n">
        <v>0.008699999999999999</v>
      </c>
      <c r="D3258" s="12" t="inlineStr">
        <is>
          <t>PO-2021-0438</t>
        </is>
      </c>
      <c r="E3258" s="12" t="n">
        <v>2.99</v>
      </c>
      <c r="F3258" s="17" t="n">
        <v>51501.6</v>
      </c>
      <c r="G3258" s="14">
        <f>E3258*F3258</f>
        <v/>
      </c>
      <c r="H3258" s="14">
        <f>C3258*G3258</f>
        <v/>
      </c>
    </row>
    <row r="3259">
      <c r="A3259" s="12" t="inlineStr">
        <is>
          <t>RET-0244</t>
        </is>
      </c>
      <c r="B3259" s="12" t="inlineStr">
        <is>
          <t>VS28</t>
        </is>
      </c>
      <c r="C3259" s="28" t="n">
        <v>0.0196</v>
      </c>
      <c r="D3259" s="12" t="inlineStr">
        <is>
          <t>PO-2022-2840</t>
        </is>
      </c>
      <c r="E3259" s="12" t="n">
        <v>2.99</v>
      </c>
      <c r="F3259" s="17" t="n">
        <v>104162.07</v>
      </c>
      <c r="G3259" s="14">
        <f>E3259*F3259</f>
        <v/>
      </c>
      <c r="H3259" s="14">
        <f>C3259*G3259</f>
        <v/>
      </c>
    </row>
    <row r="3260">
      <c r="A3260" s="12" t="inlineStr">
        <is>
          <t>RET-0244</t>
        </is>
      </c>
      <c r="B3260" s="12" t="inlineStr">
        <is>
          <t>VS29</t>
        </is>
      </c>
      <c r="C3260" s="28" t="n">
        <v>0.0124</v>
      </c>
      <c r="D3260" s="12" t="inlineStr">
        <is>
          <t>PO-2022-1840</t>
        </is>
      </c>
      <c r="E3260" s="12" t="n">
        <v>1.803</v>
      </c>
      <c r="F3260" s="17" t="n">
        <v>45665.3</v>
      </c>
      <c r="G3260" s="14">
        <f>E3260*F3260</f>
        <v/>
      </c>
      <c r="H3260" s="14">
        <f>C3260*G3260</f>
        <v/>
      </c>
    </row>
    <row r="3261">
      <c r="A3261" s="12" t="inlineStr">
        <is>
          <t>RET-0244</t>
        </is>
      </c>
      <c r="B3261" s="12" t="inlineStr">
        <is>
          <t>VS30</t>
        </is>
      </c>
      <c r="C3261" s="28" t="n">
        <v>0.0053</v>
      </c>
      <c r="D3261" s="12" t="inlineStr">
        <is>
          <t>PO-2021-1018</t>
        </is>
      </c>
      <c r="E3261" s="12" t="n">
        <v>2.99</v>
      </c>
      <c r="F3261" s="17" t="n">
        <v>110564.93</v>
      </c>
      <c r="G3261" s="14">
        <f>E3261*F3261</f>
        <v/>
      </c>
      <c r="H3261" s="14">
        <f>C3261*G3261</f>
        <v/>
      </c>
    </row>
    <row r="3262">
      <c r="A3262" s="12" t="inlineStr">
        <is>
          <t>RET-0244</t>
        </is>
      </c>
      <c r="B3262" s="12" t="inlineStr">
        <is>
          <t>VS31</t>
        </is>
      </c>
      <c r="C3262" s="28" t="n">
        <v>0.0195</v>
      </c>
      <c r="D3262" s="12" t="inlineStr">
        <is>
          <t>PO-2021-1203</t>
        </is>
      </c>
      <c r="E3262" s="12" t="n">
        <v>2.99</v>
      </c>
      <c r="F3262" s="17" t="n">
        <v>110158.54</v>
      </c>
      <c r="G3262" s="14">
        <f>E3262*F3262</f>
        <v/>
      </c>
      <c r="H3262" s="14">
        <f>C3262*G3262</f>
        <v/>
      </c>
    </row>
    <row r="3263">
      <c r="A3263" s="12" t="inlineStr">
        <is>
          <t>RET-0244</t>
        </is>
      </c>
      <c r="B3263" s="12" t="inlineStr">
        <is>
          <t>VS32</t>
        </is>
      </c>
      <c r="C3263" s="28" t="n">
        <v>0.0232</v>
      </c>
      <c r="D3263" s="12" t="inlineStr">
        <is>
          <t>PO-2023-4067</t>
        </is>
      </c>
      <c r="E3263" s="12" t="n">
        <v>2.99</v>
      </c>
      <c r="F3263" s="17" t="n">
        <v>100195.8</v>
      </c>
      <c r="G3263" s="14">
        <f>E3263*F3263</f>
        <v/>
      </c>
      <c r="H3263" s="14">
        <f>C3263*G3263</f>
        <v/>
      </c>
    </row>
    <row r="3264">
      <c r="A3264" s="12" t="inlineStr">
        <is>
          <t>RET-0244</t>
        </is>
      </c>
      <c r="B3264" s="12" t="inlineStr">
        <is>
          <t>VS33</t>
        </is>
      </c>
      <c r="C3264" s="28" t="n">
        <v>0.0124</v>
      </c>
      <c r="D3264" s="12" t="inlineStr">
        <is>
          <t>PO-2022-2422</t>
        </is>
      </c>
      <c r="E3264" s="12" t="n">
        <v>2.99</v>
      </c>
      <c r="F3264" s="17" t="n">
        <v>58592.5</v>
      </c>
      <c r="G3264" s="14">
        <f>E3264*F3264</f>
        <v/>
      </c>
      <c r="H3264" s="14">
        <f>C3264*G3264</f>
        <v/>
      </c>
    </row>
    <row r="3265">
      <c r="A3265" s="12" t="inlineStr">
        <is>
          <t>RET-0244</t>
        </is>
      </c>
      <c r="B3265" s="12" t="inlineStr">
        <is>
          <t>VS34</t>
        </is>
      </c>
      <c r="C3265" s="28" t="n">
        <v>0.016</v>
      </c>
      <c r="D3265" s="12" t="inlineStr">
        <is>
          <t>PO-2022-2019</t>
        </is>
      </c>
      <c r="E3265" s="12" t="n">
        <v>2.97</v>
      </c>
      <c r="F3265" s="17" t="n">
        <v>69494.14</v>
      </c>
      <c r="G3265" s="14">
        <f>E3265*F3265</f>
        <v/>
      </c>
      <c r="H3265" s="14">
        <f>C3265*G3265</f>
        <v/>
      </c>
    </row>
    <row r="3266">
      <c r="A3266" s="12" t="inlineStr">
        <is>
          <t>RET-0250</t>
        </is>
      </c>
      <c r="B3266" s="12" t="inlineStr">
        <is>
          <t>VS01</t>
        </is>
      </c>
      <c r="C3266" s="28" t="n">
        <v>0.0066</v>
      </c>
      <c r="D3266" s="12" t="inlineStr">
        <is>
          <t>PO-2022-2743</t>
        </is>
      </c>
      <c r="E3266" s="12" t="n">
        <v>1.95</v>
      </c>
      <c r="F3266" s="17" t="n">
        <v>111546.2</v>
      </c>
      <c r="G3266" s="14">
        <f>E3266*F3266</f>
        <v/>
      </c>
      <c r="H3266" s="14">
        <f>C3266*G3266</f>
        <v/>
      </c>
    </row>
    <row r="3267">
      <c r="A3267" s="12" t="inlineStr">
        <is>
          <t>RET-0250</t>
        </is>
      </c>
      <c r="B3267" s="12" t="inlineStr">
        <is>
          <t>VS02</t>
        </is>
      </c>
      <c r="C3267" s="28" t="n">
        <v>0.003</v>
      </c>
      <c r="D3267" s="12" t="inlineStr">
        <is>
          <t>PO-2021-0497</t>
        </is>
      </c>
      <c r="E3267" s="12" t="n">
        <v>1.95</v>
      </c>
      <c r="F3267" s="17" t="n">
        <v>87270.49000000001</v>
      </c>
      <c r="G3267" s="14">
        <f>E3267*F3267</f>
        <v/>
      </c>
      <c r="H3267" s="14">
        <f>C3267*G3267</f>
        <v/>
      </c>
    </row>
    <row r="3268">
      <c r="A3268" s="12" t="inlineStr">
        <is>
          <t>RET-0250</t>
        </is>
      </c>
      <c r="B3268" s="12" t="inlineStr">
        <is>
          <t>VS03</t>
        </is>
      </c>
      <c r="C3268" s="28" t="n">
        <v>0.2484</v>
      </c>
      <c r="D3268" s="12" t="inlineStr">
        <is>
          <t>PO-2023-4412</t>
        </is>
      </c>
      <c r="E3268" s="12" t="n">
        <v>1.95</v>
      </c>
      <c r="F3268" s="17" t="n">
        <v>103276.66</v>
      </c>
      <c r="G3268" s="14">
        <f>E3268*F3268</f>
        <v/>
      </c>
      <c r="H3268" s="14">
        <f>C3268*G3268</f>
        <v/>
      </c>
    </row>
    <row r="3269">
      <c r="A3269" s="12" t="inlineStr">
        <is>
          <t>RET-0250</t>
        </is>
      </c>
      <c r="B3269" s="12" t="inlineStr">
        <is>
          <t>VS04</t>
        </is>
      </c>
      <c r="C3269" s="28" t="n">
        <v>0.0042</v>
      </c>
      <c r="D3269" s="12" t="inlineStr">
        <is>
          <t>PO-2023-4250</t>
        </is>
      </c>
      <c r="E3269" s="12" t="n">
        <v>1.95</v>
      </c>
      <c r="F3269" s="17" t="n">
        <v>80319.86</v>
      </c>
      <c r="G3269" s="14">
        <f>E3269*F3269</f>
        <v/>
      </c>
      <c r="H3269" s="14">
        <f>C3269*G3269</f>
        <v/>
      </c>
    </row>
    <row r="3270">
      <c r="A3270" s="12" t="inlineStr">
        <is>
          <t>RET-0250</t>
        </is>
      </c>
      <c r="B3270" s="12" t="inlineStr">
        <is>
          <t>VS05</t>
        </is>
      </c>
      <c r="C3270" s="28" t="n">
        <v>0.0054</v>
      </c>
      <c r="D3270" s="12" t="inlineStr">
        <is>
          <t>PO-2021-1350</t>
        </is>
      </c>
      <c r="E3270" s="12" t="n">
        <v>1.95</v>
      </c>
      <c r="F3270" s="17" t="n">
        <v>67088.84</v>
      </c>
      <c r="G3270" s="14">
        <f>E3270*F3270</f>
        <v/>
      </c>
      <c r="H3270" s="14">
        <f>C3270*G3270</f>
        <v/>
      </c>
    </row>
    <row r="3271">
      <c r="A3271" s="12" t="inlineStr">
        <is>
          <t>RET-0250</t>
        </is>
      </c>
      <c r="B3271" s="12" t="inlineStr">
        <is>
          <t>VS06</t>
        </is>
      </c>
      <c r="C3271" s="28" t="n">
        <v>0.0054</v>
      </c>
      <c r="D3271" s="12" t="inlineStr">
        <is>
          <t>PO-2022-2579</t>
        </is>
      </c>
      <c r="E3271" s="12" t="n">
        <v>1.95</v>
      </c>
      <c r="F3271" s="17" t="n">
        <v>105495.14</v>
      </c>
      <c r="G3271" s="14">
        <f>E3271*F3271</f>
        <v/>
      </c>
      <c r="H3271" s="14">
        <f>C3271*G3271</f>
        <v/>
      </c>
    </row>
    <row r="3272">
      <c r="A3272" s="12" t="inlineStr">
        <is>
          <t>RET-0250</t>
        </is>
      </c>
      <c r="B3272" s="12" t="inlineStr">
        <is>
          <t>VS07</t>
        </is>
      </c>
      <c r="C3272" s="28" t="n">
        <v>0.0018</v>
      </c>
      <c r="D3272" s="12" t="inlineStr">
        <is>
          <t>PO-2022-1955</t>
        </is>
      </c>
      <c r="E3272" s="12" t="n">
        <v>1.95</v>
      </c>
      <c r="F3272" s="17" t="n">
        <v>82709.5</v>
      </c>
      <c r="G3272" s="14">
        <f>E3272*F3272</f>
        <v/>
      </c>
      <c r="H3272" s="14">
        <f>C3272*G3272</f>
        <v/>
      </c>
    </row>
    <row r="3273">
      <c r="A3273" s="12" t="inlineStr">
        <is>
          <t>RET-0250</t>
        </is>
      </c>
      <c r="B3273" s="12" t="inlineStr">
        <is>
          <t>VS08</t>
        </is>
      </c>
      <c r="C3273" s="28" t="n">
        <v>0.0055</v>
      </c>
      <c r="D3273" s="12" t="inlineStr">
        <is>
          <t>PO-2023-4200</t>
        </is>
      </c>
      <c r="E3273" s="12" t="n">
        <v>1.95</v>
      </c>
      <c r="F3273" s="17" t="n">
        <v>86739.34</v>
      </c>
      <c r="G3273" s="14">
        <f>E3273*F3273</f>
        <v/>
      </c>
      <c r="H3273" s="14">
        <f>C3273*G3273</f>
        <v/>
      </c>
    </row>
    <row r="3274">
      <c r="A3274" s="12" t="inlineStr">
        <is>
          <t>RET-0250</t>
        </is>
      </c>
      <c r="B3274" s="12" t="inlineStr">
        <is>
          <t>VS09</t>
        </is>
      </c>
      <c r="C3274" s="28" t="n">
        <v>0.0042</v>
      </c>
      <c r="D3274" s="12" t="inlineStr">
        <is>
          <t>PO-2023-4617</t>
        </is>
      </c>
      <c r="E3274" s="12" t="n">
        <v>1.95</v>
      </c>
      <c r="F3274" s="17" t="n">
        <v>118346.31</v>
      </c>
      <c r="G3274" s="14">
        <f>E3274*F3274</f>
        <v/>
      </c>
      <c r="H3274" s="14">
        <f>C3274*G3274</f>
        <v/>
      </c>
    </row>
    <row r="3275">
      <c r="A3275" s="12" t="inlineStr">
        <is>
          <t>RET-0250</t>
        </is>
      </c>
      <c r="B3275" s="12" t="inlineStr">
        <is>
          <t>VS10</t>
        </is>
      </c>
      <c r="C3275" s="28" t="n">
        <v>0.0066</v>
      </c>
      <c r="D3275" s="12" t="inlineStr">
        <is>
          <t>PO-2022-2349</t>
        </is>
      </c>
      <c r="E3275" s="12" t="n">
        <v>1.95</v>
      </c>
      <c r="F3275" s="17" t="n">
        <v>49426.59</v>
      </c>
      <c r="G3275" s="14">
        <f>E3275*F3275</f>
        <v/>
      </c>
      <c r="H3275" s="14">
        <f>C3275*G3275</f>
        <v/>
      </c>
    </row>
    <row r="3276">
      <c r="A3276" s="12" t="inlineStr">
        <is>
          <t>RET-0250</t>
        </is>
      </c>
      <c r="B3276" s="12" t="inlineStr">
        <is>
          <t>VS11</t>
        </is>
      </c>
      <c r="C3276" s="28" t="n">
        <v>0.0078</v>
      </c>
      <c r="D3276" s="12" t="inlineStr">
        <is>
          <t>PO-2021-0455</t>
        </is>
      </c>
      <c r="E3276" s="12" t="n">
        <v>1.95</v>
      </c>
      <c r="F3276" s="17" t="n">
        <v>103584.3</v>
      </c>
      <c r="G3276" s="14">
        <f>E3276*F3276</f>
        <v/>
      </c>
      <c r="H3276" s="14">
        <f>C3276*G3276</f>
        <v/>
      </c>
    </row>
    <row r="3277">
      <c r="A3277" s="12" t="inlineStr">
        <is>
          <t>RET-0250</t>
        </is>
      </c>
      <c r="B3277" s="12" t="inlineStr">
        <is>
          <t>VS12</t>
        </is>
      </c>
      <c r="C3277" s="28" t="n">
        <v>0.3453</v>
      </c>
      <c r="D3277" s="12" t="inlineStr">
        <is>
          <t>PO-2023-4772</t>
        </is>
      </c>
      <c r="E3277" s="12" t="n">
        <v>1.95</v>
      </c>
      <c r="F3277" s="17" t="n">
        <v>71528</v>
      </c>
      <c r="G3277" s="14">
        <f>E3277*F3277</f>
        <v/>
      </c>
      <c r="H3277" s="14">
        <f>C3277*G3277</f>
        <v/>
      </c>
    </row>
    <row r="3278">
      <c r="A3278" s="12" t="inlineStr">
        <is>
          <t>RET-0250</t>
        </is>
      </c>
      <c r="B3278" s="12" t="inlineStr">
        <is>
          <t>VS13</t>
        </is>
      </c>
      <c r="C3278" s="28" t="n">
        <v>0.0053</v>
      </c>
      <c r="D3278" s="12" t="inlineStr">
        <is>
          <t>PO-2021-0778</t>
        </is>
      </c>
      <c r="E3278" s="12" t="n">
        <v>1.95</v>
      </c>
      <c r="F3278" s="17" t="n">
        <v>109774.32</v>
      </c>
      <c r="G3278" s="14">
        <f>E3278*F3278</f>
        <v/>
      </c>
      <c r="H3278" s="14">
        <f>C3278*G3278</f>
        <v/>
      </c>
    </row>
    <row r="3279">
      <c r="A3279" s="12" t="inlineStr">
        <is>
          <t>RET-0250</t>
        </is>
      </c>
      <c r="B3279" s="12" t="inlineStr">
        <is>
          <t>VS14</t>
        </is>
      </c>
      <c r="C3279" s="28" t="n">
        <v>0.0054</v>
      </c>
      <c r="D3279" s="12" t="inlineStr">
        <is>
          <t>PO-2023-3426</t>
        </is>
      </c>
      <c r="E3279" s="12" t="n">
        <v>1.95</v>
      </c>
      <c r="F3279" s="17" t="n">
        <v>67317.23</v>
      </c>
      <c r="G3279" s="14">
        <f>E3279*F3279</f>
        <v/>
      </c>
      <c r="H3279" s="14">
        <f>C3279*G3279</f>
        <v/>
      </c>
    </row>
    <row r="3280">
      <c r="A3280" s="12" t="inlineStr">
        <is>
          <t>RET-0250</t>
        </is>
      </c>
      <c r="B3280" s="12" t="inlineStr">
        <is>
          <t>VS15</t>
        </is>
      </c>
      <c r="C3280" s="28" t="n">
        <v>0.0018</v>
      </c>
      <c r="D3280" s="12" t="inlineStr">
        <is>
          <t>PO-2021-1247</t>
        </is>
      </c>
      <c r="E3280" s="12" t="n">
        <v>1.95</v>
      </c>
      <c r="F3280" s="17" t="n">
        <v>95019.17999999999</v>
      </c>
      <c r="G3280" s="14">
        <f>E3280*F3280</f>
        <v/>
      </c>
      <c r="H3280" s="14">
        <f>C3280*G3280</f>
        <v/>
      </c>
    </row>
    <row r="3281">
      <c r="A3281" s="12" t="inlineStr">
        <is>
          <t>RET-0250</t>
        </is>
      </c>
      <c r="B3281" s="12" t="inlineStr">
        <is>
          <t>VS16</t>
        </is>
      </c>
      <c r="C3281" s="28" t="n">
        <v>0.0078</v>
      </c>
      <c r="D3281" s="12" t="inlineStr">
        <is>
          <t>PO-2023-4197</t>
        </is>
      </c>
      <c r="E3281" s="12" t="n">
        <v>1.95</v>
      </c>
      <c r="F3281" s="17" t="n">
        <v>106953.2</v>
      </c>
      <c r="G3281" s="14">
        <f>E3281*F3281</f>
        <v/>
      </c>
      <c r="H3281" s="14">
        <f>C3281*G3281</f>
        <v/>
      </c>
    </row>
    <row r="3282">
      <c r="A3282" s="12" t="inlineStr">
        <is>
          <t>RET-0250</t>
        </is>
      </c>
      <c r="B3282" s="12" t="inlineStr">
        <is>
          <t>VS17</t>
        </is>
      </c>
      <c r="C3282" s="28" t="n">
        <v>0.0078</v>
      </c>
      <c r="D3282" s="12" t="inlineStr">
        <is>
          <t>PO-2023-4313</t>
        </is>
      </c>
      <c r="E3282" s="12" t="n">
        <v>1.95</v>
      </c>
      <c r="F3282" s="17" t="n">
        <v>50023.04</v>
      </c>
      <c r="G3282" s="14">
        <f>E3282*F3282</f>
        <v/>
      </c>
      <c r="H3282" s="14">
        <f>C3282*G3282</f>
        <v/>
      </c>
    </row>
    <row r="3283">
      <c r="A3283" s="12" t="inlineStr">
        <is>
          <t>RET-0250</t>
        </is>
      </c>
      <c r="B3283" s="12" t="inlineStr">
        <is>
          <t>VS18</t>
        </is>
      </c>
      <c r="C3283" s="28" t="n">
        <v>0.0054</v>
      </c>
      <c r="D3283" s="12" t="inlineStr">
        <is>
          <t>PO-2023-3529</t>
        </is>
      </c>
      <c r="E3283" s="12" t="n">
        <v>1.95</v>
      </c>
      <c r="F3283" s="17" t="n">
        <v>71931.77</v>
      </c>
      <c r="G3283" s="14">
        <f>E3283*F3283</f>
        <v/>
      </c>
      <c r="H3283" s="14">
        <f>C3283*G3283</f>
        <v/>
      </c>
    </row>
    <row r="3284">
      <c r="A3284" s="12" t="inlineStr">
        <is>
          <t>RET-0250</t>
        </is>
      </c>
      <c r="B3284" s="12" t="inlineStr">
        <is>
          <t>VS19</t>
        </is>
      </c>
      <c r="C3284" s="28" t="n">
        <v>0.2604</v>
      </c>
      <c r="D3284" s="12" t="inlineStr">
        <is>
          <t>PO-2022-2516</t>
        </is>
      </c>
      <c r="E3284" s="12" t="n">
        <v>0</v>
      </c>
      <c r="F3284" s="17" t="n">
        <v>87125.81</v>
      </c>
      <c r="G3284" s="14">
        <f>E3284*F3284</f>
        <v/>
      </c>
      <c r="H3284" s="14">
        <f>C3284*G3284</f>
        <v/>
      </c>
    </row>
    <row r="3285">
      <c r="A3285" s="12" t="inlineStr">
        <is>
          <t>RET-0250</t>
        </is>
      </c>
      <c r="B3285" s="12" t="inlineStr">
        <is>
          <t>VS20</t>
        </is>
      </c>
      <c r="C3285" s="28" t="n">
        <v>0.003</v>
      </c>
      <c r="D3285" s="12" t="inlineStr">
        <is>
          <t>PO-2021-1524</t>
        </is>
      </c>
      <c r="E3285" s="12" t="n">
        <v>1.95</v>
      </c>
      <c r="F3285" s="17" t="n">
        <v>71229.13</v>
      </c>
      <c r="G3285" s="14">
        <f>E3285*F3285</f>
        <v/>
      </c>
      <c r="H3285" s="14">
        <f>C3285*G3285</f>
        <v/>
      </c>
    </row>
    <row r="3286">
      <c r="A3286" s="12" t="inlineStr">
        <is>
          <t>RET-0250</t>
        </is>
      </c>
      <c r="B3286" s="12" t="inlineStr">
        <is>
          <t>VS21</t>
        </is>
      </c>
      <c r="C3286" s="28" t="n">
        <v>0.003</v>
      </c>
      <c r="D3286" s="12" t="inlineStr">
        <is>
          <t>PO-2021-1238</t>
        </is>
      </c>
      <c r="E3286" s="12" t="n">
        <v>1.375</v>
      </c>
      <c r="F3286" s="17" t="n">
        <v>65983.56</v>
      </c>
      <c r="G3286" s="14">
        <f>E3286*F3286</f>
        <v/>
      </c>
      <c r="H3286" s="14">
        <f>C3286*G3286</f>
        <v/>
      </c>
    </row>
    <row r="3287">
      <c r="A3287" s="12" t="inlineStr">
        <is>
          <t>RET-0250</t>
        </is>
      </c>
      <c r="B3287" s="12" t="inlineStr">
        <is>
          <t>VS22</t>
        </is>
      </c>
      <c r="C3287" s="28" t="n">
        <v>0.0018</v>
      </c>
      <c r="D3287" s="12" t="inlineStr">
        <is>
          <t>PO-2021-0642</t>
        </is>
      </c>
      <c r="E3287" s="12" t="n">
        <v>1.95</v>
      </c>
      <c r="F3287" s="17" t="n">
        <v>116273.12</v>
      </c>
      <c r="G3287" s="14">
        <f>E3287*F3287</f>
        <v/>
      </c>
      <c r="H3287" s="14">
        <f>C3287*G3287</f>
        <v/>
      </c>
    </row>
    <row r="3288">
      <c r="A3288" s="12" t="inlineStr">
        <is>
          <t>RET-0250</t>
        </is>
      </c>
      <c r="B3288" s="12" t="inlineStr">
        <is>
          <t>VS23</t>
        </is>
      </c>
      <c r="C3288" s="28" t="n">
        <v>0.003</v>
      </c>
      <c r="D3288" s="12" t="inlineStr">
        <is>
          <t>PO-2022-2190</t>
        </is>
      </c>
      <c r="E3288" s="12" t="n">
        <v>1.95</v>
      </c>
      <c r="F3288" s="17" t="n">
        <v>63652.58</v>
      </c>
      <c r="G3288" s="14">
        <f>E3288*F3288</f>
        <v/>
      </c>
      <c r="H3288" s="14">
        <f>C3288*G3288</f>
        <v/>
      </c>
    </row>
    <row r="3289">
      <c r="A3289" s="12" t="inlineStr">
        <is>
          <t>RET-0250</t>
        </is>
      </c>
      <c r="B3289" s="12" t="inlineStr">
        <is>
          <t>VS24</t>
        </is>
      </c>
      <c r="C3289" s="28" t="n">
        <v>0.003</v>
      </c>
      <c r="D3289" s="12" t="inlineStr">
        <is>
          <t>PO-2023-4182</t>
        </is>
      </c>
      <c r="E3289" s="12" t="n">
        <v>1.95</v>
      </c>
      <c r="F3289" s="17" t="n">
        <v>67218.28</v>
      </c>
      <c r="G3289" s="14">
        <f>E3289*F3289</f>
        <v/>
      </c>
      <c r="H3289" s="14">
        <f>C3289*G3289</f>
        <v/>
      </c>
    </row>
    <row r="3290">
      <c r="A3290" s="12" t="inlineStr">
        <is>
          <t>RET-0250</t>
        </is>
      </c>
      <c r="B3290" s="12" t="inlineStr">
        <is>
          <t>VS25</t>
        </is>
      </c>
      <c r="C3290" s="28" t="n">
        <v>0.0054</v>
      </c>
      <c r="D3290" s="12" t="inlineStr">
        <is>
          <t>PO-2021-1051</t>
        </is>
      </c>
      <c r="E3290" s="12" t="n">
        <v>0</v>
      </c>
      <c r="F3290" s="17" t="n">
        <v>70869.02</v>
      </c>
      <c r="G3290" s="14">
        <f>E3290*F3290</f>
        <v/>
      </c>
      <c r="H3290" s="14">
        <f>C3290*G3290</f>
        <v/>
      </c>
    </row>
    <row r="3291">
      <c r="A3291" s="12" t="inlineStr">
        <is>
          <t>RET-0250</t>
        </is>
      </c>
      <c r="B3291" s="12" t="inlineStr">
        <is>
          <t>VS26</t>
        </is>
      </c>
      <c r="C3291" s="28" t="n">
        <v>0.003</v>
      </c>
      <c r="D3291" s="12" t="inlineStr">
        <is>
          <t>PO-2023-4184</t>
        </is>
      </c>
      <c r="E3291" s="12" t="n">
        <v>1.95</v>
      </c>
      <c r="F3291" s="17" t="n">
        <v>73708.62</v>
      </c>
      <c r="G3291" s="14">
        <f>E3291*F3291</f>
        <v/>
      </c>
      <c r="H3291" s="14">
        <f>C3291*G3291</f>
        <v/>
      </c>
    </row>
    <row r="3292">
      <c r="A3292" s="12" t="inlineStr">
        <is>
          <t>RET-0250</t>
        </is>
      </c>
      <c r="B3292" s="12" t="inlineStr">
        <is>
          <t>VS27</t>
        </is>
      </c>
      <c r="C3292" s="28" t="n">
        <v>0.003</v>
      </c>
      <c r="D3292" s="12" t="inlineStr">
        <is>
          <t>PO-2022-2443</t>
        </is>
      </c>
      <c r="E3292" s="12" t="n">
        <v>1.95</v>
      </c>
      <c r="F3292" s="17" t="n">
        <v>107098.17</v>
      </c>
      <c r="G3292" s="14">
        <f>E3292*F3292</f>
        <v/>
      </c>
      <c r="H3292" s="14">
        <f>C3292*G3292</f>
        <v/>
      </c>
    </row>
    <row r="3293">
      <c r="A3293" s="12" t="inlineStr">
        <is>
          <t>RET-0250</t>
        </is>
      </c>
      <c r="B3293" s="12" t="inlineStr">
        <is>
          <t>VS28</t>
        </is>
      </c>
      <c r="C3293" s="28" t="n">
        <v>0.0066</v>
      </c>
      <c r="D3293" s="12" t="inlineStr">
        <is>
          <t>PO-2022-2831</t>
        </is>
      </c>
      <c r="E3293" s="12" t="n">
        <v>1.95</v>
      </c>
      <c r="F3293" s="17" t="n">
        <v>68799.55</v>
      </c>
      <c r="G3293" s="14">
        <f>E3293*F3293</f>
        <v/>
      </c>
      <c r="H3293" s="14">
        <f>C3293*G3293</f>
        <v/>
      </c>
    </row>
    <row r="3294">
      <c r="A3294" s="12" t="inlineStr">
        <is>
          <t>RET-0250</t>
        </is>
      </c>
      <c r="B3294" s="12" t="inlineStr">
        <is>
          <t>VS29</t>
        </is>
      </c>
      <c r="C3294" s="28" t="n">
        <v>0.0042</v>
      </c>
      <c r="D3294" s="12" t="inlineStr">
        <is>
          <t>PO-2021-1028</t>
        </is>
      </c>
      <c r="E3294" s="12" t="n">
        <v>1.95</v>
      </c>
      <c r="F3294" s="17" t="n">
        <v>115902.4</v>
      </c>
      <c r="G3294" s="14">
        <f>E3294*F3294</f>
        <v/>
      </c>
      <c r="H3294" s="14">
        <f>C3294*G3294</f>
        <v/>
      </c>
    </row>
    <row r="3295">
      <c r="A3295" s="12" t="inlineStr">
        <is>
          <t>RET-0250</t>
        </is>
      </c>
      <c r="B3295" s="12" t="inlineStr">
        <is>
          <t>VS30</t>
        </is>
      </c>
      <c r="C3295" s="28" t="n">
        <v>0.0018</v>
      </c>
      <c r="D3295" s="12" t="inlineStr">
        <is>
          <t>PO-2023-3907</t>
        </is>
      </c>
      <c r="E3295" s="12" t="n">
        <v>1.95</v>
      </c>
      <c r="F3295" s="17" t="n">
        <v>53408.54</v>
      </c>
      <c r="G3295" s="14">
        <f>E3295*F3295</f>
        <v/>
      </c>
      <c r="H3295" s="14">
        <f>C3295*G3295</f>
        <v/>
      </c>
    </row>
    <row r="3296">
      <c r="A3296" s="12" t="inlineStr">
        <is>
          <t>RET-0250</t>
        </is>
      </c>
      <c r="B3296" s="12" t="inlineStr">
        <is>
          <t>VS31</t>
        </is>
      </c>
      <c r="C3296" s="28" t="n">
        <v>0.0066</v>
      </c>
      <c r="D3296" s="12" t="inlineStr">
        <is>
          <t>PO-2022-2359</t>
        </is>
      </c>
      <c r="E3296" s="12" t="n">
        <v>1.95</v>
      </c>
      <c r="F3296" s="17" t="n">
        <v>107385.33</v>
      </c>
      <c r="G3296" s="14">
        <f>E3296*F3296</f>
        <v/>
      </c>
      <c r="H3296" s="14">
        <f>C3296*G3296</f>
        <v/>
      </c>
    </row>
    <row r="3297">
      <c r="A3297" s="12" t="inlineStr">
        <is>
          <t>RET-0250</t>
        </is>
      </c>
      <c r="B3297" s="12" t="inlineStr">
        <is>
          <t>VS32</t>
        </is>
      </c>
      <c r="C3297" s="28" t="n">
        <v>0.0078</v>
      </c>
      <c r="D3297" s="12" t="inlineStr">
        <is>
          <t>PO-2021-0580</t>
        </is>
      </c>
      <c r="E3297" s="12" t="n">
        <v>1.95</v>
      </c>
      <c r="F3297" s="17" t="n">
        <v>57366.26</v>
      </c>
      <c r="G3297" s="14">
        <f>E3297*F3297</f>
        <v/>
      </c>
      <c r="H3297" s="14">
        <f>C3297*G3297</f>
        <v/>
      </c>
    </row>
    <row r="3298">
      <c r="A3298" s="12" t="inlineStr">
        <is>
          <t>RET-0250</t>
        </is>
      </c>
      <c r="B3298" s="12" t="inlineStr">
        <is>
          <t>VS33</t>
        </is>
      </c>
      <c r="C3298" s="28" t="n">
        <v>0.0042</v>
      </c>
      <c r="D3298" s="12" t="inlineStr">
        <is>
          <t>PO-2022-1761</t>
        </is>
      </c>
      <c r="E3298" s="12" t="n">
        <v>1.95</v>
      </c>
      <c r="F3298" s="17" t="n">
        <v>77075.19</v>
      </c>
      <c r="G3298" s="14">
        <f>E3298*F3298</f>
        <v/>
      </c>
      <c r="H3298" s="14">
        <f>C3298*G3298</f>
        <v/>
      </c>
    </row>
    <row r="3299">
      <c r="A3299" s="12" t="inlineStr">
        <is>
          <t>RET-0250</t>
        </is>
      </c>
      <c r="B3299" s="12" t="inlineStr">
        <is>
          <t>VS34</t>
        </is>
      </c>
      <c r="C3299" s="28" t="n">
        <v>0.0054</v>
      </c>
      <c r="D3299" s="12" t="inlineStr">
        <is>
          <t>PO-2023-4559</t>
        </is>
      </c>
      <c r="E3299" s="12" t="n">
        <v>1.95</v>
      </c>
      <c r="F3299" s="17" t="n">
        <v>110935.35</v>
      </c>
      <c r="G3299" s="14">
        <f>E3299*F3299</f>
        <v/>
      </c>
      <c r="H3299" s="14">
        <f>C3299*G3299</f>
        <v/>
      </c>
    </row>
    <row r="3300">
      <c r="A3300" s="12" t="inlineStr">
        <is>
          <t>RET-0251</t>
        </is>
      </c>
      <c r="B3300" s="12" t="inlineStr">
        <is>
          <t>VS01</t>
        </is>
      </c>
      <c r="C3300" s="28" t="n">
        <v>0.0283</v>
      </c>
      <c r="D3300" s="12" t="inlineStr">
        <is>
          <t>PO-2023-3764</t>
        </is>
      </c>
      <c r="E3300" s="12" t="n">
        <v>3.94</v>
      </c>
      <c r="F3300" s="17" t="n">
        <v>62035.24</v>
      </c>
      <c r="G3300" s="14">
        <f>E3300*F3300</f>
        <v/>
      </c>
      <c r="H3300" s="14">
        <f>C3300*G3300</f>
        <v/>
      </c>
    </row>
    <row r="3301">
      <c r="A3301" s="12" t="inlineStr">
        <is>
          <t>RET-0251</t>
        </is>
      </c>
      <c r="B3301" s="12" t="inlineStr">
        <is>
          <t>VS02</t>
        </is>
      </c>
      <c r="C3301" s="28" t="n">
        <v>0.0129</v>
      </c>
      <c r="D3301" s="12" t="inlineStr">
        <is>
          <t>PO-2021-0553</t>
        </is>
      </c>
      <c r="E3301" s="12" t="n">
        <v>3.94</v>
      </c>
      <c r="F3301" s="17" t="n">
        <v>54923.56</v>
      </c>
      <c r="G3301" s="14">
        <f>E3301*F3301</f>
        <v/>
      </c>
      <c r="H3301" s="14">
        <f>C3301*G3301</f>
        <v/>
      </c>
    </row>
    <row r="3302">
      <c r="A3302" s="12" t="inlineStr">
        <is>
          <t>RET-0251</t>
        </is>
      </c>
      <c r="B3302" s="12" t="inlineStr">
        <is>
          <t>VS03</t>
        </is>
      </c>
      <c r="C3302" s="28" t="n">
        <v>0.1097</v>
      </c>
      <c r="D3302" s="12" t="inlineStr">
        <is>
          <t>PO-2022-2664</t>
        </is>
      </c>
      <c r="E3302" s="12" t="n">
        <v>3.94</v>
      </c>
      <c r="F3302" s="17" t="n">
        <v>107273.73</v>
      </c>
      <c r="G3302" s="14">
        <f>E3302*F3302</f>
        <v/>
      </c>
      <c r="H3302" s="14">
        <f>C3302*G3302</f>
        <v/>
      </c>
    </row>
    <row r="3303">
      <c r="A3303" s="12" t="inlineStr">
        <is>
          <t>RET-0251</t>
        </is>
      </c>
      <c r="B3303" s="12" t="inlineStr">
        <is>
          <t>VS04</t>
        </is>
      </c>
      <c r="C3303" s="28" t="n">
        <v>0.0178</v>
      </c>
      <c r="D3303" s="12" t="inlineStr">
        <is>
          <t>PO-2022-2468</t>
        </is>
      </c>
      <c r="E3303" s="12" t="n">
        <v>3.94</v>
      </c>
      <c r="F3303" s="17" t="n">
        <v>118262.72</v>
      </c>
      <c r="G3303" s="14">
        <f>E3303*F3303</f>
        <v/>
      </c>
      <c r="H3303" s="14">
        <f>C3303*G3303</f>
        <v/>
      </c>
    </row>
    <row r="3304">
      <c r="A3304" s="12" t="inlineStr">
        <is>
          <t>RET-0251</t>
        </is>
      </c>
      <c r="B3304" s="12" t="inlineStr">
        <is>
          <t>VS05</t>
        </is>
      </c>
      <c r="C3304" s="28" t="n">
        <v>0.0231</v>
      </c>
      <c r="D3304" s="12" t="inlineStr">
        <is>
          <t>PO-2021-0930</t>
        </is>
      </c>
      <c r="E3304" s="12" t="n">
        <v>3.94</v>
      </c>
      <c r="F3304" s="17" t="n">
        <v>111366.65</v>
      </c>
      <c r="G3304" s="14">
        <f>E3304*F3304</f>
        <v/>
      </c>
      <c r="H3304" s="14">
        <f>C3304*G3304</f>
        <v/>
      </c>
    </row>
    <row r="3305">
      <c r="A3305" s="12" t="inlineStr">
        <is>
          <t>RET-0251</t>
        </is>
      </c>
      <c r="B3305" s="12" t="inlineStr">
        <is>
          <t>VS06</t>
        </is>
      </c>
      <c r="C3305" s="28" t="n">
        <v>0.0233</v>
      </c>
      <c r="D3305" s="12" t="inlineStr">
        <is>
          <t>PO-2022-2538</t>
        </is>
      </c>
      <c r="E3305" s="12" t="n">
        <v>3.94</v>
      </c>
      <c r="F3305" s="17" t="n">
        <v>77140.7</v>
      </c>
      <c r="G3305" s="14">
        <f>E3305*F3305</f>
        <v/>
      </c>
      <c r="H3305" s="14">
        <f>C3305*G3305</f>
        <v/>
      </c>
    </row>
    <row r="3306">
      <c r="A3306" s="12" t="inlineStr">
        <is>
          <t>RET-0251</t>
        </is>
      </c>
      <c r="B3306" s="12" t="inlineStr">
        <is>
          <t>VS07</t>
        </is>
      </c>
      <c r="C3306" s="28" t="n">
        <v>0.0078</v>
      </c>
      <c r="D3306" s="12" t="inlineStr">
        <is>
          <t>PO-2021-0584</t>
        </is>
      </c>
      <c r="E3306" s="12" t="n">
        <v>3.35</v>
      </c>
      <c r="F3306" s="17" t="n">
        <v>53684.24</v>
      </c>
      <c r="G3306" s="14">
        <f>E3306*F3306</f>
        <v/>
      </c>
      <c r="H3306" s="14">
        <f>C3306*G3306</f>
        <v/>
      </c>
    </row>
    <row r="3307">
      <c r="A3307" s="12" t="inlineStr">
        <is>
          <t>RET-0251</t>
        </is>
      </c>
      <c r="B3307" s="12" t="inlineStr">
        <is>
          <t>VS08</t>
        </is>
      </c>
      <c r="C3307" s="28" t="n">
        <v>0.0234</v>
      </c>
      <c r="D3307" s="12" t="inlineStr">
        <is>
          <t>PO-2023-4457</t>
        </is>
      </c>
      <c r="E3307" s="12" t="n">
        <v>3.94</v>
      </c>
      <c r="F3307" s="17" t="n">
        <v>87366</v>
      </c>
      <c r="G3307" s="14">
        <f>E3307*F3307</f>
        <v/>
      </c>
      <c r="H3307" s="14">
        <f>C3307*G3307</f>
        <v/>
      </c>
    </row>
    <row r="3308">
      <c r="A3308" s="12" t="inlineStr">
        <is>
          <t>RET-0251</t>
        </is>
      </c>
      <c r="B3308" s="12" t="inlineStr">
        <is>
          <t>VS09</t>
        </is>
      </c>
      <c r="C3308" s="28" t="n">
        <v>0.018</v>
      </c>
      <c r="D3308" s="12" t="inlineStr">
        <is>
          <t>PO-2022-3136</t>
        </is>
      </c>
      <c r="E3308" s="12" t="n">
        <v>3.94</v>
      </c>
      <c r="F3308" s="17" t="n">
        <v>53590.08</v>
      </c>
      <c r="G3308" s="14">
        <f>E3308*F3308</f>
        <v/>
      </c>
      <c r="H3308" s="14">
        <f>C3308*G3308</f>
        <v/>
      </c>
    </row>
    <row r="3309">
      <c r="A3309" s="12" t="inlineStr">
        <is>
          <t>RET-0251</t>
        </is>
      </c>
      <c r="B3309" s="12" t="inlineStr">
        <is>
          <t>VS10</t>
        </is>
      </c>
      <c r="C3309" s="28" t="n">
        <v>0.0283</v>
      </c>
      <c r="D3309" s="12" t="inlineStr">
        <is>
          <t>PO-2023-4029</t>
        </is>
      </c>
      <c r="E3309" s="12" t="n">
        <v>3.94</v>
      </c>
      <c r="F3309" s="17" t="n">
        <v>74894.53</v>
      </c>
      <c r="G3309" s="14">
        <f>E3309*F3309</f>
        <v/>
      </c>
      <c r="H3309" s="14">
        <f>C3309*G3309</f>
        <v/>
      </c>
    </row>
    <row r="3310">
      <c r="A3310" s="12" t="inlineStr">
        <is>
          <t>RET-0251</t>
        </is>
      </c>
      <c r="B3310" s="12" t="inlineStr">
        <is>
          <t>VS11</t>
        </is>
      </c>
      <c r="C3310" s="28" t="n">
        <v>0.0331</v>
      </c>
      <c r="D3310" s="12" t="inlineStr">
        <is>
          <t>PO-2021-0090</t>
        </is>
      </c>
      <c r="E3310" s="12" t="n">
        <v>3.94</v>
      </c>
      <c r="F3310" s="17" t="n">
        <v>96702.84</v>
      </c>
      <c r="G3310" s="14">
        <f>E3310*F3310</f>
        <v/>
      </c>
      <c r="H3310" s="14">
        <f>C3310*G3310</f>
        <v/>
      </c>
    </row>
    <row r="3311">
      <c r="A3311" s="12" t="inlineStr">
        <is>
          <t>RET-0251</t>
        </is>
      </c>
      <c r="B3311" s="12" t="inlineStr">
        <is>
          <t>VS12</t>
        </is>
      </c>
      <c r="C3311" s="28" t="n">
        <v>0.1525</v>
      </c>
      <c r="D3311" s="12" t="inlineStr">
        <is>
          <t>PO-2023-4460</t>
        </is>
      </c>
      <c r="E3311" s="12" t="n">
        <v>3.94</v>
      </c>
      <c r="F3311" s="17" t="n">
        <v>97203.75</v>
      </c>
      <c r="G3311" s="14">
        <f>E3311*F3311</f>
        <v/>
      </c>
      <c r="H3311" s="14">
        <f>C3311*G3311</f>
        <v/>
      </c>
    </row>
    <row r="3312">
      <c r="A3312" s="12" t="inlineStr">
        <is>
          <t>RET-0251</t>
        </is>
      </c>
      <c r="B3312" s="12" t="inlineStr">
        <is>
          <t>VS13</t>
        </is>
      </c>
      <c r="C3312" s="28" t="n">
        <v>0.0228</v>
      </c>
      <c r="D3312" s="12" t="inlineStr">
        <is>
          <t>PO-2022-2872</t>
        </is>
      </c>
      <c r="E3312" s="12" t="n">
        <v>3.94</v>
      </c>
      <c r="F3312" s="17" t="n">
        <v>67657.75999999999</v>
      </c>
      <c r="G3312" s="14">
        <f>E3312*F3312</f>
        <v/>
      </c>
      <c r="H3312" s="14">
        <f>C3312*G3312</f>
        <v/>
      </c>
    </row>
    <row r="3313">
      <c r="A3313" s="12" t="inlineStr">
        <is>
          <t>RET-0251</t>
        </is>
      </c>
      <c r="B3313" s="12" t="inlineStr">
        <is>
          <t>VS14</t>
        </is>
      </c>
      <c r="C3313" s="28" t="n">
        <v>0.023</v>
      </c>
      <c r="D3313" s="12" t="inlineStr">
        <is>
          <t>PO-2022-2747</t>
        </is>
      </c>
      <c r="E3313" s="12" t="n">
        <v>3.94</v>
      </c>
      <c r="F3313" s="17" t="n">
        <v>105655.66</v>
      </c>
      <c r="G3313" s="14">
        <f>E3313*F3313</f>
        <v/>
      </c>
      <c r="H3313" s="14">
        <f>C3313*G3313</f>
        <v/>
      </c>
    </row>
    <row r="3314">
      <c r="A3314" s="12" t="inlineStr">
        <is>
          <t>RET-0251</t>
        </is>
      </c>
      <c r="B3314" s="12" t="inlineStr">
        <is>
          <t>VS15</t>
        </is>
      </c>
      <c r="C3314" s="28" t="n">
        <v>0.0077</v>
      </c>
      <c r="D3314" s="12" t="inlineStr">
        <is>
          <t>PO-2021-0971</t>
        </is>
      </c>
      <c r="E3314" s="12" t="n">
        <v>3.94</v>
      </c>
      <c r="F3314" s="17" t="n">
        <v>96694.60000000001</v>
      </c>
      <c r="G3314" s="14">
        <f>E3314*F3314</f>
        <v/>
      </c>
      <c r="H3314" s="14">
        <f>C3314*G3314</f>
        <v/>
      </c>
    </row>
    <row r="3315">
      <c r="A3315" s="12" t="inlineStr">
        <is>
          <t>RET-0251</t>
        </is>
      </c>
      <c r="B3315" s="12" t="inlineStr">
        <is>
          <t>VS16</t>
        </is>
      </c>
      <c r="C3315" s="28" t="n">
        <v>0.0332</v>
      </c>
      <c r="D3315" s="12" t="inlineStr">
        <is>
          <t>PO-2023-3905</t>
        </is>
      </c>
      <c r="E3315" s="12" t="n">
        <v>3.94</v>
      </c>
      <c r="F3315" s="17" t="n">
        <v>55144.17</v>
      </c>
      <c r="G3315" s="14">
        <f>E3315*F3315</f>
        <v/>
      </c>
      <c r="H3315" s="14">
        <f>C3315*G3315</f>
        <v/>
      </c>
    </row>
    <row r="3316">
      <c r="A3316" s="12" t="inlineStr">
        <is>
          <t>RET-0251</t>
        </is>
      </c>
      <c r="B3316" s="12" t="inlineStr">
        <is>
          <t>VS17</t>
        </is>
      </c>
      <c r="C3316" s="28" t="n">
        <v>0.0331</v>
      </c>
      <c r="D3316" s="12" t="inlineStr">
        <is>
          <t>PO-2022-2618</t>
        </is>
      </c>
      <c r="E3316" s="12" t="n">
        <v>3.94</v>
      </c>
      <c r="F3316" s="17" t="n">
        <v>56895.38</v>
      </c>
      <c r="G3316" s="14">
        <f>E3316*F3316</f>
        <v/>
      </c>
      <c r="H3316" s="14">
        <f>C3316*G3316</f>
        <v/>
      </c>
    </row>
    <row r="3317">
      <c r="A3317" s="12" t="inlineStr">
        <is>
          <t>RET-0251</t>
        </is>
      </c>
      <c r="B3317" s="12" t="inlineStr">
        <is>
          <t>VS18</t>
        </is>
      </c>
      <c r="C3317" s="28" t="n">
        <v>0.023</v>
      </c>
      <c r="D3317" s="12" t="inlineStr">
        <is>
          <t>PO-2022-2924</t>
        </is>
      </c>
      <c r="E3317" s="12" t="n">
        <v>3.94</v>
      </c>
      <c r="F3317" s="17" t="n">
        <v>95078.23</v>
      </c>
      <c r="G3317" s="14">
        <f>E3317*F3317</f>
        <v/>
      </c>
      <c r="H3317" s="14">
        <f>C3317*G3317</f>
        <v/>
      </c>
    </row>
    <row r="3318">
      <c r="A3318" s="12" t="inlineStr">
        <is>
          <t>RET-0251</t>
        </is>
      </c>
      <c r="B3318" s="12" t="inlineStr">
        <is>
          <t>VS19</t>
        </is>
      </c>
      <c r="C3318" s="28" t="n">
        <v>0.115</v>
      </c>
      <c r="D3318" s="12" t="inlineStr">
        <is>
          <t>PO-2021-0943</t>
        </is>
      </c>
      <c r="E3318" s="12" t="n">
        <v>3.94</v>
      </c>
      <c r="F3318" s="17" t="n">
        <v>53235.79</v>
      </c>
      <c r="G3318" s="14">
        <f>E3318*F3318</f>
        <v/>
      </c>
      <c r="H3318" s="14">
        <f>C3318*G3318</f>
        <v/>
      </c>
    </row>
    <row r="3319">
      <c r="A3319" s="12" t="inlineStr">
        <is>
          <t>RET-0251</t>
        </is>
      </c>
      <c r="B3319" s="12" t="inlineStr">
        <is>
          <t>VS20</t>
        </is>
      </c>
      <c r="C3319" s="28" t="n">
        <v>0.0129</v>
      </c>
      <c r="D3319" s="12" t="inlineStr">
        <is>
          <t>PO-2022-1752</t>
        </is>
      </c>
      <c r="E3319" s="12" t="n">
        <v>3.94</v>
      </c>
      <c r="F3319" s="17" t="n">
        <v>94519</v>
      </c>
      <c r="G3319" s="14">
        <f>E3319*F3319</f>
        <v/>
      </c>
      <c r="H3319" s="14">
        <f>C3319*G3319</f>
        <v/>
      </c>
    </row>
    <row r="3320">
      <c r="A3320" s="12" t="inlineStr">
        <is>
          <t>RET-0251</t>
        </is>
      </c>
      <c r="B3320" s="12" t="inlineStr">
        <is>
          <t>VS21</t>
        </is>
      </c>
      <c r="C3320" s="28" t="n">
        <v>0.0128</v>
      </c>
      <c r="D3320" s="12" t="inlineStr">
        <is>
          <t>PO-2021-0424</t>
        </is>
      </c>
      <c r="E3320" s="12" t="n">
        <v>3.94</v>
      </c>
      <c r="F3320" s="17" t="n">
        <v>108537.55</v>
      </c>
      <c r="G3320" s="14">
        <f>E3320*F3320</f>
        <v/>
      </c>
      <c r="H3320" s="14">
        <f>C3320*G3320</f>
        <v/>
      </c>
    </row>
    <row r="3321">
      <c r="A3321" s="12" t="inlineStr">
        <is>
          <t>RET-0251</t>
        </is>
      </c>
      <c r="B3321" s="12" t="inlineStr">
        <is>
          <t>VS22</t>
        </is>
      </c>
      <c r="C3321" s="28" t="n">
        <v>0.0076</v>
      </c>
      <c r="D3321" s="12" t="inlineStr">
        <is>
          <t>PO-2022-1802</t>
        </is>
      </c>
      <c r="E3321" s="12" t="n">
        <v>3.94</v>
      </c>
      <c r="F3321" s="17" t="n">
        <v>115546.31</v>
      </c>
      <c r="G3321" s="14">
        <f>E3321*F3321</f>
        <v/>
      </c>
      <c r="H3321" s="14">
        <f>C3321*G3321</f>
        <v/>
      </c>
    </row>
    <row r="3322">
      <c r="A3322" s="12" t="inlineStr">
        <is>
          <t>RET-0251</t>
        </is>
      </c>
      <c r="B3322" s="12" t="inlineStr">
        <is>
          <t>VS23</t>
        </is>
      </c>
      <c r="C3322" s="28" t="n">
        <v>0.0126</v>
      </c>
      <c r="D3322" s="12" t="inlineStr">
        <is>
          <t>PO-2023-3251</t>
        </is>
      </c>
      <c r="E3322" s="12" t="n">
        <v>3.94</v>
      </c>
      <c r="F3322" s="17" t="n">
        <v>81471.75</v>
      </c>
      <c r="G3322" s="14">
        <f>E3322*F3322</f>
        <v/>
      </c>
      <c r="H3322" s="14">
        <f>C3322*G3322</f>
        <v/>
      </c>
    </row>
    <row r="3323">
      <c r="A3323" s="12" t="inlineStr">
        <is>
          <t>RET-0251</t>
        </is>
      </c>
      <c r="B3323" s="12" t="inlineStr">
        <is>
          <t>VS24</t>
        </is>
      </c>
      <c r="C3323" s="28" t="n">
        <v>0.0128</v>
      </c>
      <c r="D3323" s="12" t="inlineStr">
        <is>
          <t>PO-2022-3053</t>
        </is>
      </c>
      <c r="E3323" s="12" t="n">
        <v>3.94</v>
      </c>
      <c r="F3323" s="17" t="n">
        <v>89352.14</v>
      </c>
      <c r="G3323" s="14">
        <f>E3323*F3323</f>
        <v/>
      </c>
      <c r="H3323" s="14">
        <f>C3323*G3323</f>
        <v/>
      </c>
    </row>
    <row r="3324">
      <c r="A3324" s="12" t="inlineStr">
        <is>
          <t>RET-0251</t>
        </is>
      </c>
      <c r="B3324" s="12" t="inlineStr">
        <is>
          <t>VS25</t>
        </is>
      </c>
      <c r="C3324" s="28" t="n">
        <v>0.0232</v>
      </c>
      <c r="D3324" s="12" t="inlineStr">
        <is>
          <t>PO-2023-3551</t>
        </is>
      </c>
      <c r="E3324" s="12" t="n">
        <v>3.94</v>
      </c>
      <c r="F3324" s="17" t="n">
        <v>99979.14</v>
      </c>
      <c r="G3324" s="14">
        <f>E3324*F3324</f>
        <v/>
      </c>
      <c r="H3324" s="14">
        <f>C3324*G3324</f>
        <v/>
      </c>
    </row>
    <row r="3325">
      <c r="A3325" s="12" t="inlineStr">
        <is>
          <t>RET-0251</t>
        </is>
      </c>
      <c r="B3325" s="12" t="inlineStr">
        <is>
          <t>VS26</t>
        </is>
      </c>
      <c r="C3325" s="28" t="n">
        <v>0.0129</v>
      </c>
      <c r="D3325" s="12" t="inlineStr">
        <is>
          <t>PO-2021-0690</t>
        </is>
      </c>
      <c r="E3325" s="12" t="n">
        <v>3.94</v>
      </c>
      <c r="F3325" s="17" t="n">
        <v>99598.07000000001</v>
      </c>
      <c r="G3325" s="14">
        <f>E3325*F3325</f>
        <v/>
      </c>
      <c r="H3325" s="14">
        <f>C3325*G3325</f>
        <v/>
      </c>
    </row>
    <row r="3326">
      <c r="A3326" s="12" t="inlineStr">
        <is>
          <t>RET-0251</t>
        </is>
      </c>
      <c r="B3326" s="12" t="inlineStr">
        <is>
          <t>VS27</t>
        </is>
      </c>
      <c r="C3326" s="28" t="n">
        <v>0.0126</v>
      </c>
      <c r="D3326" s="12" t="inlineStr">
        <is>
          <t>PO-2022-2035</t>
        </is>
      </c>
      <c r="E3326" s="12" t="n">
        <v>3.94</v>
      </c>
      <c r="F3326" s="17" t="n">
        <v>66291.58</v>
      </c>
      <c r="G3326" s="14">
        <f>E3326*F3326</f>
        <v/>
      </c>
      <c r="H3326" s="14">
        <f>C3326*G3326</f>
        <v/>
      </c>
    </row>
    <row r="3327">
      <c r="A3327" s="12" t="inlineStr">
        <is>
          <t>RET-0251</t>
        </is>
      </c>
      <c r="B3327" s="12" t="inlineStr">
        <is>
          <t>VS28</t>
        </is>
      </c>
      <c r="C3327" s="28" t="n">
        <v>0.0283</v>
      </c>
      <c r="D3327" s="12" t="inlineStr">
        <is>
          <t>PO-2022-2116</t>
        </is>
      </c>
      <c r="E3327" s="12" t="n">
        <v>3.94</v>
      </c>
      <c r="F3327" s="17" t="n">
        <v>67036.03</v>
      </c>
      <c r="G3327" s="14">
        <f>E3327*F3327</f>
        <v/>
      </c>
      <c r="H3327" s="14">
        <f>C3327*G3327</f>
        <v/>
      </c>
    </row>
    <row r="3328">
      <c r="A3328" s="12" t="inlineStr">
        <is>
          <t>RET-0251</t>
        </is>
      </c>
      <c r="B3328" s="12" t="inlineStr">
        <is>
          <t>VS29</t>
        </is>
      </c>
      <c r="C3328" s="28" t="n">
        <v>0.018</v>
      </c>
      <c r="D3328" s="12" t="inlineStr">
        <is>
          <t>PO-2023-3991</t>
        </is>
      </c>
      <c r="E3328" s="12" t="n">
        <v>3.94</v>
      </c>
      <c r="F3328" s="17" t="n">
        <v>75615.69</v>
      </c>
      <c r="G3328" s="14">
        <f>E3328*F3328</f>
        <v/>
      </c>
      <c r="H3328" s="14">
        <f>C3328*G3328</f>
        <v/>
      </c>
    </row>
    <row r="3329">
      <c r="A3329" s="12" t="inlineStr">
        <is>
          <t>RET-0251</t>
        </is>
      </c>
      <c r="B3329" s="12" t="inlineStr">
        <is>
          <t>VS30</t>
        </is>
      </c>
      <c r="C3329" s="28" t="n">
        <v>0.0077</v>
      </c>
      <c r="D3329" s="12" t="inlineStr">
        <is>
          <t>PO-2022-2766</t>
        </is>
      </c>
      <c r="E3329" s="12" t="n">
        <v>3.94</v>
      </c>
      <c r="F3329" s="17" t="n">
        <v>119708.31</v>
      </c>
      <c r="G3329" s="14">
        <f>E3329*F3329</f>
        <v/>
      </c>
      <c r="H3329" s="14">
        <f>C3329*G3329</f>
        <v/>
      </c>
    </row>
    <row r="3330">
      <c r="A3330" s="12" t="inlineStr">
        <is>
          <t>RET-0251</t>
        </is>
      </c>
      <c r="B3330" s="12" t="inlineStr">
        <is>
          <t>VS31</t>
        </is>
      </c>
      <c r="C3330" s="28" t="n">
        <v>0.0281</v>
      </c>
      <c r="D3330" s="12" t="inlineStr">
        <is>
          <t>PO-2023-4476</t>
        </is>
      </c>
      <c r="E3330" s="12" t="n">
        <v>3.94</v>
      </c>
      <c r="F3330" s="17" t="n">
        <v>77527.62</v>
      </c>
      <c r="G3330" s="14">
        <f>E3330*F3330</f>
        <v/>
      </c>
      <c r="H3330" s="14">
        <f>C3330*G3330</f>
        <v/>
      </c>
    </row>
    <row r="3331">
      <c r="A3331" s="12" t="inlineStr">
        <is>
          <t>RET-0251</t>
        </is>
      </c>
      <c r="B3331" s="12" t="inlineStr">
        <is>
          <t>VS32</t>
        </is>
      </c>
      <c r="C3331" s="28" t="n">
        <v>0.0335</v>
      </c>
      <c r="D3331" s="12" t="inlineStr">
        <is>
          <t>PO-2022-3140</t>
        </is>
      </c>
      <c r="E3331" s="12" t="n">
        <v>3.94</v>
      </c>
      <c r="F3331" s="17" t="n">
        <v>87415.75</v>
      </c>
      <c r="G3331" s="14">
        <f>E3331*F3331</f>
        <v/>
      </c>
      <c r="H3331" s="14">
        <f>C3331*G3331</f>
        <v/>
      </c>
    </row>
    <row r="3332">
      <c r="A3332" s="12" t="inlineStr">
        <is>
          <t>RET-0251</t>
        </is>
      </c>
      <c r="B3332" s="12" t="inlineStr">
        <is>
          <t>VS33</t>
        </is>
      </c>
      <c r="C3332" s="28" t="n">
        <v>0.0179</v>
      </c>
      <c r="D3332" s="12" t="inlineStr">
        <is>
          <t>PO-2021-0103</t>
        </is>
      </c>
      <c r="E3332" s="12" t="n">
        <v>3.94</v>
      </c>
      <c r="F3332" s="17" t="n">
        <v>85694.52</v>
      </c>
      <c r="G3332" s="14">
        <f>E3332*F3332</f>
        <v/>
      </c>
      <c r="H3332" s="14">
        <f>C3332*G3332</f>
        <v/>
      </c>
    </row>
    <row r="3333">
      <c r="A3333" s="12" t="inlineStr">
        <is>
          <t>RET-0251</t>
        </is>
      </c>
      <c r="B3333" s="12" t="inlineStr">
        <is>
          <t>VS34</t>
        </is>
      </c>
      <c r="C3333" s="28" t="n">
        <v>0.0231</v>
      </c>
      <c r="D3333" s="12" t="inlineStr">
        <is>
          <t>PO-2022-2705</t>
        </is>
      </c>
      <c r="E3333" s="12" t="n">
        <v>1.484</v>
      </c>
      <c r="F3333" s="17" t="n">
        <v>58862.16</v>
      </c>
      <c r="G3333" s="14">
        <f>E3333*F3333</f>
        <v/>
      </c>
      <c r="H3333" s="14">
        <f>C3333*G3333</f>
        <v/>
      </c>
    </row>
    <row r="3334">
      <c r="A3334" s="12" t="inlineStr">
        <is>
          <t>RET-0254</t>
        </is>
      </c>
      <c r="B3334" s="12" t="inlineStr">
        <is>
          <t>VS01</t>
        </is>
      </c>
      <c r="C3334" s="28" t="n">
        <v>0.0106</v>
      </c>
      <c r="D3334" s="12" t="inlineStr">
        <is>
          <t>PO-2023-4144</t>
        </is>
      </c>
      <c r="E3334" s="12" t="n">
        <v>2.09</v>
      </c>
      <c r="F3334" s="17" t="n">
        <v>87949.31</v>
      </c>
      <c r="G3334" s="14">
        <f>E3334*F3334</f>
        <v/>
      </c>
      <c r="H3334" s="14">
        <f>C3334*G3334</f>
        <v/>
      </c>
    </row>
    <row r="3335">
      <c r="A3335" s="12" t="inlineStr">
        <is>
          <t>RET-0254</t>
        </is>
      </c>
      <c r="B3335" s="12" t="inlineStr">
        <is>
          <t>VS02</t>
        </is>
      </c>
      <c r="C3335" s="28" t="n">
        <v>0.0048</v>
      </c>
      <c r="D3335" s="12" t="inlineStr">
        <is>
          <t>PO-2022-2492</t>
        </is>
      </c>
      <c r="E3335" s="12" t="n">
        <v>2.09</v>
      </c>
      <c r="F3335" s="17" t="n">
        <v>50778.56</v>
      </c>
      <c r="G3335" s="14">
        <f>E3335*F3335</f>
        <v/>
      </c>
      <c r="H3335" s="14">
        <f>C3335*G3335</f>
        <v/>
      </c>
    </row>
    <row r="3336">
      <c r="A3336" s="12" t="inlineStr">
        <is>
          <t>RET-0254</t>
        </is>
      </c>
      <c r="B3336" s="12" t="inlineStr">
        <is>
          <t>VS03</t>
        </is>
      </c>
      <c r="C3336" s="28" t="n">
        <v>0.2233</v>
      </c>
      <c r="D3336" s="12" t="inlineStr">
        <is>
          <t>PO-2021-0478</t>
        </is>
      </c>
      <c r="E3336" s="12" t="n">
        <v>2.09</v>
      </c>
      <c r="F3336" s="17" t="n">
        <v>72367.91</v>
      </c>
      <c r="G3336" s="14">
        <f>E3336*F3336</f>
        <v/>
      </c>
      <c r="H3336" s="14">
        <f>C3336*G3336</f>
        <v/>
      </c>
    </row>
    <row r="3337">
      <c r="A3337" s="12" t="inlineStr">
        <is>
          <t>RET-0254</t>
        </is>
      </c>
      <c r="B3337" s="12" t="inlineStr">
        <is>
          <t>VS04</t>
        </is>
      </c>
      <c r="C3337" s="28" t="n">
        <v>0.0066</v>
      </c>
      <c r="D3337" s="12" t="inlineStr">
        <is>
          <t>PO-2023-3714</t>
        </is>
      </c>
      <c r="E3337" s="12" t="n">
        <v>2.09</v>
      </c>
      <c r="F3337" s="17" t="n">
        <v>52942.1</v>
      </c>
      <c r="G3337" s="14">
        <f>E3337*F3337</f>
        <v/>
      </c>
      <c r="H3337" s="14">
        <f>C3337*G3337</f>
        <v/>
      </c>
    </row>
    <row r="3338">
      <c r="A3338" s="12" t="inlineStr">
        <is>
          <t>RET-0254</t>
        </is>
      </c>
      <c r="B3338" s="12" t="inlineStr">
        <is>
          <t>VS05</t>
        </is>
      </c>
      <c r="C3338" s="28" t="n">
        <v>0.0086</v>
      </c>
      <c r="D3338" s="12" t="inlineStr">
        <is>
          <t>PO-2023-4301</t>
        </is>
      </c>
      <c r="E3338" s="12" t="n">
        <v>2.09</v>
      </c>
      <c r="F3338" s="17" t="n">
        <v>59319.91</v>
      </c>
      <c r="G3338" s="14">
        <f>E3338*F3338</f>
        <v/>
      </c>
      <c r="H3338" s="14">
        <f>C3338*G3338</f>
        <v/>
      </c>
    </row>
    <row r="3339">
      <c r="A3339" s="12" t="inlineStr">
        <is>
          <t>RET-0254</t>
        </is>
      </c>
      <c r="B3339" s="12" t="inlineStr">
        <is>
          <t>VS06</t>
        </is>
      </c>
      <c r="C3339" s="28" t="n">
        <v>0.008699999999999999</v>
      </c>
      <c r="D3339" s="12" t="inlineStr">
        <is>
          <t>PO-2023-4774</t>
        </is>
      </c>
      <c r="E3339" s="12" t="n">
        <v>2.09</v>
      </c>
      <c r="F3339" s="17" t="n">
        <v>78760.91</v>
      </c>
      <c r="G3339" s="14">
        <f>E3339*F3339</f>
        <v/>
      </c>
      <c r="H3339" s="14">
        <f>C3339*G3339</f>
        <v/>
      </c>
    </row>
    <row r="3340">
      <c r="A3340" s="12" t="inlineStr">
        <is>
          <t>RET-0254</t>
        </is>
      </c>
      <c r="B3340" s="12" t="inlineStr">
        <is>
          <t>VS07</t>
        </is>
      </c>
      <c r="C3340" s="28" t="n">
        <v>0.0029</v>
      </c>
      <c r="D3340" s="12" t="inlineStr">
        <is>
          <t>PO-2023-4758</t>
        </is>
      </c>
      <c r="E3340" s="12" t="n">
        <v>2.09</v>
      </c>
      <c r="F3340" s="17" t="n">
        <v>50580.8</v>
      </c>
      <c r="G3340" s="14">
        <f>E3340*F3340</f>
        <v/>
      </c>
      <c r="H3340" s="14">
        <f>C3340*G3340</f>
        <v/>
      </c>
    </row>
    <row r="3341">
      <c r="A3341" s="12" t="inlineStr">
        <is>
          <t>RET-0254</t>
        </is>
      </c>
      <c r="B3341" s="12" t="inlineStr">
        <is>
          <t>VS08</t>
        </is>
      </c>
      <c r="C3341" s="28" t="n">
        <v>0.008699999999999999</v>
      </c>
      <c r="D3341" s="12" t="inlineStr">
        <is>
          <t>PO-2023-4743</t>
        </is>
      </c>
      <c r="E3341" s="12" t="n">
        <v>2.09</v>
      </c>
      <c r="F3341" s="17" t="n">
        <v>62875.21</v>
      </c>
      <c r="G3341" s="14">
        <f>E3341*F3341</f>
        <v/>
      </c>
      <c r="H3341" s="14">
        <f>C3341*G3341</f>
        <v/>
      </c>
    </row>
    <row r="3342">
      <c r="A3342" s="12" t="inlineStr">
        <is>
          <t>RET-0254</t>
        </is>
      </c>
      <c r="B3342" s="12" t="inlineStr">
        <is>
          <t>VS09</t>
        </is>
      </c>
      <c r="C3342" s="28" t="n">
        <v>0.0067</v>
      </c>
      <c r="D3342" s="12" t="inlineStr">
        <is>
          <t>PO-2022-2894</t>
        </is>
      </c>
      <c r="E3342" s="12" t="n">
        <v>2.09</v>
      </c>
      <c r="F3342" s="17" t="n">
        <v>64451.79</v>
      </c>
      <c r="G3342" s="14">
        <f>E3342*F3342</f>
        <v/>
      </c>
      <c r="H3342" s="14">
        <f>C3342*G3342</f>
        <v/>
      </c>
    </row>
    <row r="3343">
      <c r="A3343" s="12" t="inlineStr">
        <is>
          <t>RET-0254</t>
        </is>
      </c>
      <c r="B3343" s="12" t="inlineStr">
        <is>
          <t>VS10</t>
        </is>
      </c>
      <c r="C3343" s="28" t="n">
        <v>0.0105</v>
      </c>
      <c r="D3343" s="12" t="inlineStr">
        <is>
          <t>PO-2022-2119</t>
        </is>
      </c>
      <c r="E3343" s="12" t="n">
        <v>2.09</v>
      </c>
      <c r="F3343" s="17" t="n">
        <v>60460.81</v>
      </c>
      <c r="G3343" s="14">
        <f>E3343*F3343</f>
        <v/>
      </c>
      <c r="H3343" s="14">
        <f>C3343*G3343</f>
        <v/>
      </c>
    </row>
    <row r="3344">
      <c r="A3344" s="12" t="inlineStr">
        <is>
          <t>RET-0254</t>
        </is>
      </c>
      <c r="B3344" s="12" t="inlineStr">
        <is>
          <t>VS11</t>
        </is>
      </c>
      <c r="C3344" s="28" t="n">
        <v>0.0124</v>
      </c>
      <c r="D3344" s="12" t="inlineStr">
        <is>
          <t>PO-2022-1645</t>
        </is>
      </c>
      <c r="E3344" s="12" t="n">
        <v>2.09</v>
      </c>
      <c r="F3344" s="17" t="n">
        <v>76432.58</v>
      </c>
      <c r="G3344" s="14">
        <f>E3344*F3344</f>
        <v/>
      </c>
      <c r="H3344" s="14">
        <f>C3344*G3344</f>
        <v/>
      </c>
    </row>
    <row r="3345">
      <c r="A3345" s="12" t="inlineStr">
        <is>
          <t>RET-0254</t>
        </is>
      </c>
      <c r="B3345" s="12" t="inlineStr">
        <is>
          <t>VS12</t>
        </is>
      </c>
      <c r="C3345" s="28" t="n">
        <v>0.3103</v>
      </c>
      <c r="D3345" s="12" t="inlineStr">
        <is>
          <t>PO-2023-4607</t>
        </is>
      </c>
      <c r="E3345" s="12" t="n">
        <v>2.09</v>
      </c>
      <c r="F3345" s="17" t="n">
        <v>56950.43</v>
      </c>
      <c r="G3345" s="14">
        <f>E3345*F3345</f>
        <v/>
      </c>
      <c r="H3345" s="14">
        <f>C3345*G3345</f>
        <v/>
      </c>
    </row>
    <row r="3346">
      <c r="A3346" s="12" t="inlineStr">
        <is>
          <t>RET-0254</t>
        </is>
      </c>
      <c r="B3346" s="12" t="inlineStr">
        <is>
          <t>VS13</t>
        </is>
      </c>
      <c r="C3346" s="28" t="n">
        <v>0.008500000000000001</v>
      </c>
      <c r="D3346" s="12" t="inlineStr">
        <is>
          <t>PO-2022-2098</t>
        </is>
      </c>
      <c r="E3346" s="12" t="n">
        <v>2.09</v>
      </c>
      <c r="F3346" s="17" t="n">
        <v>78007.74000000001</v>
      </c>
      <c r="G3346" s="14">
        <f>E3346*F3346</f>
        <v/>
      </c>
      <c r="H3346" s="14">
        <f>C3346*G3346</f>
        <v/>
      </c>
    </row>
    <row r="3347">
      <c r="A3347" s="12" t="inlineStr">
        <is>
          <t>RET-0254</t>
        </is>
      </c>
      <c r="B3347" s="12" t="inlineStr">
        <is>
          <t>VS14</t>
        </is>
      </c>
      <c r="C3347" s="28" t="n">
        <v>0.0086</v>
      </c>
      <c r="D3347" s="12" t="inlineStr">
        <is>
          <t>PO-2022-2697</t>
        </is>
      </c>
      <c r="E3347" s="12" t="n">
        <v>2.09</v>
      </c>
      <c r="F3347" s="17" t="n">
        <v>102378.48</v>
      </c>
      <c r="G3347" s="14">
        <f>E3347*F3347</f>
        <v/>
      </c>
      <c r="H3347" s="14">
        <f>C3347*G3347</f>
        <v/>
      </c>
    </row>
    <row r="3348">
      <c r="A3348" s="12" t="inlineStr">
        <is>
          <t>RET-0254</t>
        </is>
      </c>
      <c r="B3348" s="12" t="inlineStr">
        <is>
          <t>VS15</t>
        </is>
      </c>
      <c r="C3348" s="28" t="n">
        <v>0.0029</v>
      </c>
      <c r="D3348" s="12" t="inlineStr">
        <is>
          <t>PO-2022-3176</t>
        </is>
      </c>
      <c r="E3348" s="12" t="n">
        <v>2.09</v>
      </c>
      <c r="F3348" s="17" t="n">
        <v>105374.85</v>
      </c>
      <c r="G3348" s="14">
        <f>E3348*F3348</f>
        <v/>
      </c>
      <c r="H3348" s="14">
        <f>C3348*G3348</f>
        <v/>
      </c>
    </row>
    <row r="3349">
      <c r="A3349" s="12" t="inlineStr">
        <is>
          <t>RET-0254</t>
        </is>
      </c>
      <c r="B3349" s="12" t="inlineStr">
        <is>
          <t>VS16</t>
        </is>
      </c>
      <c r="C3349" s="28" t="n">
        <v>0.0124</v>
      </c>
      <c r="D3349" s="12" t="inlineStr">
        <is>
          <t>PO-2021-1221</t>
        </is>
      </c>
      <c r="E3349" s="12" t="n">
        <v>2.09</v>
      </c>
      <c r="F3349" s="17" t="n">
        <v>119944.59</v>
      </c>
      <c r="G3349" s="14">
        <f>E3349*F3349</f>
        <v/>
      </c>
      <c r="H3349" s="14">
        <f>C3349*G3349</f>
        <v/>
      </c>
    </row>
    <row r="3350">
      <c r="A3350" s="12" t="inlineStr">
        <is>
          <t>RET-0254</t>
        </is>
      </c>
      <c r="B3350" s="12" t="inlineStr">
        <is>
          <t>VS17</t>
        </is>
      </c>
      <c r="C3350" s="28" t="n">
        <v>0.0123</v>
      </c>
      <c r="D3350" s="12" t="inlineStr">
        <is>
          <t>PO-2021-1380</t>
        </is>
      </c>
      <c r="E3350" s="12" t="n">
        <v>2.09</v>
      </c>
      <c r="F3350" s="17" t="n">
        <v>79662.56</v>
      </c>
      <c r="G3350" s="14">
        <f>E3350*F3350</f>
        <v/>
      </c>
      <c r="H3350" s="14">
        <f>C3350*G3350</f>
        <v/>
      </c>
    </row>
    <row r="3351">
      <c r="A3351" s="12" t="inlineStr">
        <is>
          <t>RET-0254</t>
        </is>
      </c>
      <c r="B3351" s="12" t="inlineStr">
        <is>
          <t>VS18</t>
        </is>
      </c>
      <c r="C3351" s="28" t="n">
        <v>0.0086</v>
      </c>
      <c r="D3351" s="12" t="inlineStr">
        <is>
          <t>PO-2023-4355</t>
        </is>
      </c>
      <c r="E3351" s="12" t="n">
        <v>2.09</v>
      </c>
      <c r="F3351" s="17" t="n">
        <v>82163.05</v>
      </c>
      <c r="G3351" s="14">
        <f>E3351*F3351</f>
        <v/>
      </c>
      <c r="H3351" s="14">
        <f>C3351*G3351</f>
        <v/>
      </c>
    </row>
    <row r="3352">
      <c r="A3352" s="12" t="inlineStr">
        <is>
          <t>RET-0254</t>
        </is>
      </c>
      <c r="B3352" s="12" t="inlineStr">
        <is>
          <t>VS19</t>
        </is>
      </c>
      <c r="C3352" s="28" t="n">
        <v>0.2341</v>
      </c>
      <c r="D3352" s="12" t="inlineStr">
        <is>
          <t>PO-2021-1161</t>
        </is>
      </c>
      <c r="E3352" s="12" t="n">
        <v>2.09</v>
      </c>
      <c r="F3352" s="17" t="n">
        <v>78664.88</v>
      </c>
      <c r="G3352" s="14">
        <f>E3352*F3352</f>
        <v/>
      </c>
      <c r="H3352" s="14">
        <f>C3352*G3352</f>
        <v/>
      </c>
    </row>
    <row r="3353">
      <c r="A3353" s="12" t="inlineStr">
        <is>
          <t>RET-0254</t>
        </is>
      </c>
      <c r="B3353" s="12" t="inlineStr">
        <is>
          <t>VS20</t>
        </is>
      </c>
      <c r="C3353" s="28" t="n">
        <v>0.0048</v>
      </c>
      <c r="D3353" s="12" t="inlineStr">
        <is>
          <t>PO-2023-3249</t>
        </is>
      </c>
      <c r="E3353" s="12" t="n">
        <v>2.09</v>
      </c>
      <c r="F3353" s="17" t="n">
        <v>83437.06</v>
      </c>
      <c r="G3353" s="14">
        <f>E3353*F3353</f>
        <v/>
      </c>
      <c r="H3353" s="14">
        <f>C3353*G3353</f>
        <v/>
      </c>
    </row>
    <row r="3354">
      <c r="A3354" s="12" t="inlineStr">
        <is>
          <t>RET-0254</t>
        </is>
      </c>
      <c r="B3354" s="12" t="inlineStr">
        <is>
          <t>VS21</t>
        </is>
      </c>
      <c r="C3354" s="28" t="n">
        <v>0.0048</v>
      </c>
      <c r="D3354" s="12" t="inlineStr">
        <is>
          <t>PO-2023-4024</t>
        </is>
      </c>
      <c r="E3354" s="12" t="n">
        <v>2.09</v>
      </c>
      <c r="F3354" s="17" t="n">
        <v>50804.54</v>
      </c>
      <c r="G3354" s="14">
        <f>E3354*F3354</f>
        <v/>
      </c>
      <c r="H3354" s="14">
        <f>C3354*G3354</f>
        <v/>
      </c>
    </row>
    <row r="3355">
      <c r="A3355" s="12" t="inlineStr">
        <is>
          <t>RET-0254</t>
        </is>
      </c>
      <c r="B3355" s="12" t="inlineStr">
        <is>
          <t>VS22</t>
        </is>
      </c>
      <c r="C3355" s="28" t="n">
        <v>0.0028</v>
      </c>
      <c r="D3355" s="12" t="inlineStr">
        <is>
          <t>PO-2022-3183</t>
        </is>
      </c>
      <c r="E3355" s="12" t="n">
        <v>2.09</v>
      </c>
      <c r="F3355" s="17" t="n">
        <v>62994.69</v>
      </c>
      <c r="G3355" s="14">
        <f>E3355*F3355</f>
        <v/>
      </c>
      <c r="H3355" s="14">
        <f>C3355*G3355</f>
        <v/>
      </c>
    </row>
    <row r="3356">
      <c r="A3356" s="12" t="inlineStr">
        <is>
          <t>RET-0254</t>
        </is>
      </c>
      <c r="B3356" s="12" t="inlineStr">
        <is>
          <t>VS23</t>
        </is>
      </c>
      <c r="C3356" s="28" t="n">
        <v>0.0047</v>
      </c>
      <c r="D3356" s="12" t="inlineStr">
        <is>
          <t>PO-2023-3566</t>
        </is>
      </c>
      <c r="E3356" s="12" t="n">
        <v>2.09</v>
      </c>
      <c r="F3356" s="17" t="n">
        <v>56982.71</v>
      </c>
      <c r="G3356" s="14">
        <f>E3356*F3356</f>
        <v/>
      </c>
      <c r="H3356" s="14">
        <f>C3356*G3356</f>
        <v/>
      </c>
    </row>
    <row r="3357">
      <c r="A3357" s="12" t="inlineStr">
        <is>
          <t>RET-0254</t>
        </is>
      </c>
      <c r="B3357" s="12" t="inlineStr">
        <is>
          <t>VS24</t>
        </is>
      </c>
      <c r="C3357" s="28" t="n">
        <v>0.0048</v>
      </c>
      <c r="D3357" s="12" t="inlineStr">
        <is>
          <t>PO-2023-4459</t>
        </is>
      </c>
      <c r="E3357" s="12" t="n">
        <v>2.09</v>
      </c>
      <c r="F3357" s="17" t="n">
        <v>65562.3</v>
      </c>
      <c r="G3357" s="14">
        <f>E3357*F3357</f>
        <v/>
      </c>
      <c r="H3357" s="14">
        <f>C3357*G3357</f>
        <v/>
      </c>
    </row>
    <row r="3358">
      <c r="A3358" s="12" t="inlineStr">
        <is>
          <t>RET-0254</t>
        </is>
      </c>
      <c r="B3358" s="12" t="inlineStr">
        <is>
          <t>VS25</t>
        </is>
      </c>
      <c r="C3358" s="28" t="n">
        <v>0.0086</v>
      </c>
      <c r="D3358" s="12" t="inlineStr">
        <is>
          <t>PO-2022-2245</t>
        </is>
      </c>
      <c r="E3358" s="12" t="n">
        <v>2.09</v>
      </c>
      <c r="F3358" s="17" t="n">
        <v>85332.28</v>
      </c>
      <c r="G3358" s="14">
        <f>E3358*F3358</f>
        <v/>
      </c>
      <c r="H3358" s="14">
        <f>C3358*G3358</f>
        <v/>
      </c>
    </row>
    <row r="3359">
      <c r="A3359" s="12" t="inlineStr">
        <is>
          <t>RET-0254</t>
        </is>
      </c>
      <c r="B3359" s="12" t="inlineStr">
        <is>
          <t>VS26</t>
        </is>
      </c>
      <c r="C3359" s="28" t="n">
        <v>0.0048</v>
      </c>
      <c r="D3359" s="12" t="inlineStr">
        <is>
          <t>PO-2022-3157</t>
        </is>
      </c>
      <c r="E3359" s="12" t="n">
        <v>1.123</v>
      </c>
      <c r="F3359" s="17" t="n">
        <v>118827.09</v>
      </c>
      <c r="G3359" s="14">
        <f>E3359*F3359</f>
        <v/>
      </c>
      <c r="H3359" s="14">
        <f>C3359*G3359</f>
        <v/>
      </c>
    </row>
    <row r="3360">
      <c r="A3360" s="12" t="inlineStr">
        <is>
          <t>RET-0254</t>
        </is>
      </c>
      <c r="B3360" s="12" t="inlineStr">
        <is>
          <t>VS27</t>
        </is>
      </c>
      <c r="C3360" s="28" t="n">
        <v>0.0047</v>
      </c>
      <c r="D3360" s="12" t="inlineStr">
        <is>
          <t>PO-2023-3817</t>
        </is>
      </c>
      <c r="E3360" s="12" t="n">
        <v>2.09</v>
      </c>
      <c r="F3360" s="17" t="n">
        <v>111177.24</v>
      </c>
      <c r="G3360" s="14">
        <f>E3360*F3360</f>
        <v/>
      </c>
      <c r="H3360" s="14">
        <f>C3360*G3360</f>
        <v/>
      </c>
    </row>
    <row r="3361">
      <c r="A3361" s="12" t="inlineStr">
        <is>
          <t>RET-0254</t>
        </is>
      </c>
      <c r="B3361" s="12" t="inlineStr">
        <is>
          <t>VS28</t>
        </is>
      </c>
      <c r="C3361" s="28" t="n">
        <v>0.0105</v>
      </c>
      <c r="D3361" s="12" t="inlineStr">
        <is>
          <t>PO-2023-4170</t>
        </is>
      </c>
      <c r="E3361" s="12" t="n">
        <v>2.09</v>
      </c>
      <c r="F3361" s="17" t="n">
        <v>62913.16</v>
      </c>
      <c r="G3361" s="14">
        <f>E3361*F3361</f>
        <v/>
      </c>
      <c r="H3361" s="14">
        <f>C3361*G3361</f>
        <v/>
      </c>
    </row>
    <row r="3362">
      <c r="A3362" s="12" t="inlineStr">
        <is>
          <t>RET-0254</t>
        </is>
      </c>
      <c r="B3362" s="12" t="inlineStr">
        <is>
          <t>VS29</t>
        </is>
      </c>
      <c r="C3362" s="28" t="n">
        <v>0.0067</v>
      </c>
      <c r="D3362" s="12" t="inlineStr">
        <is>
          <t>PO-2021-0784</t>
        </is>
      </c>
      <c r="E3362" s="12" t="n">
        <v>2.04</v>
      </c>
      <c r="F3362" s="17" t="n">
        <v>73332.67</v>
      </c>
      <c r="G3362" s="14">
        <f>E3362*F3362</f>
        <v/>
      </c>
      <c r="H3362" s="14">
        <f>C3362*G3362</f>
        <v/>
      </c>
    </row>
    <row r="3363">
      <c r="A3363" s="12" t="inlineStr">
        <is>
          <t>RET-0254</t>
        </is>
      </c>
      <c r="B3363" s="12" t="inlineStr">
        <is>
          <t>VS30</t>
        </is>
      </c>
      <c r="C3363" s="28" t="n">
        <v>0.0029</v>
      </c>
      <c r="D3363" s="12" t="inlineStr">
        <is>
          <t>PO-2021-1328</t>
        </is>
      </c>
      <c r="E3363" s="12" t="n">
        <v>2.09</v>
      </c>
      <c r="F3363" s="17" t="n">
        <v>100093.96</v>
      </c>
      <c r="G3363" s="14">
        <f>E3363*F3363</f>
        <v/>
      </c>
      <c r="H3363" s="14">
        <f>C3363*G3363</f>
        <v/>
      </c>
    </row>
    <row r="3364">
      <c r="A3364" s="12" t="inlineStr">
        <is>
          <t>RET-0254</t>
        </is>
      </c>
      <c r="B3364" s="12" t="inlineStr">
        <is>
          <t>VS31</t>
        </is>
      </c>
      <c r="C3364" s="28" t="n">
        <v>0.0105</v>
      </c>
      <c r="D3364" s="12" t="inlineStr">
        <is>
          <t>PO-2023-4053</t>
        </is>
      </c>
      <c r="E3364" s="12" t="n">
        <v>2.09</v>
      </c>
      <c r="F3364" s="17" t="n">
        <v>82952.39</v>
      </c>
      <c r="G3364" s="14">
        <f>E3364*F3364</f>
        <v/>
      </c>
      <c r="H3364" s="14">
        <f>C3364*G3364</f>
        <v/>
      </c>
    </row>
    <row r="3365">
      <c r="A3365" s="12" t="inlineStr">
        <is>
          <t>RET-0254</t>
        </is>
      </c>
      <c r="B3365" s="12" t="inlineStr">
        <is>
          <t>VS32</t>
        </is>
      </c>
      <c r="C3365" s="28" t="n">
        <v>0.0125</v>
      </c>
      <c r="D3365" s="12" t="inlineStr">
        <is>
          <t>PO-2021-1297</t>
        </is>
      </c>
      <c r="E3365" s="12" t="n">
        <v>0</v>
      </c>
      <c r="F3365" s="17" t="n">
        <v>118819.77</v>
      </c>
      <c r="G3365" s="14">
        <f>E3365*F3365</f>
        <v/>
      </c>
      <c r="H3365" s="14">
        <f>C3365*G3365</f>
        <v/>
      </c>
    </row>
    <row r="3366">
      <c r="A3366" s="12" t="inlineStr">
        <is>
          <t>RET-0254</t>
        </is>
      </c>
      <c r="B3366" s="12" t="inlineStr">
        <is>
          <t>VS33</t>
        </is>
      </c>
      <c r="C3366" s="28" t="n">
        <v>0.0067</v>
      </c>
      <c r="D3366" s="12" t="inlineStr">
        <is>
          <t>PO-2021-1492</t>
        </is>
      </c>
      <c r="E3366" s="12" t="n">
        <v>2.09</v>
      </c>
      <c r="F3366" s="17" t="n">
        <v>94696.27</v>
      </c>
      <c r="G3366" s="14">
        <f>E3366*F3366</f>
        <v/>
      </c>
      <c r="H3366" s="14">
        <f>C3366*G3366</f>
        <v/>
      </c>
    </row>
    <row r="3367">
      <c r="A3367" s="12" t="inlineStr">
        <is>
          <t>RET-0254</t>
        </is>
      </c>
      <c r="B3367" s="12" t="inlineStr">
        <is>
          <t>VS34</t>
        </is>
      </c>
      <c r="C3367" s="28" t="n">
        <v>0.0086</v>
      </c>
      <c r="D3367" s="12" t="inlineStr">
        <is>
          <t>PO-2022-2799</t>
        </is>
      </c>
      <c r="E3367" s="12" t="n">
        <v>2.09</v>
      </c>
      <c r="F3367" s="17" t="n">
        <v>101232.34</v>
      </c>
      <c r="G3367" s="14">
        <f>E3367*F3367</f>
        <v/>
      </c>
      <c r="H3367" s="14">
        <f>C3367*G3367</f>
        <v/>
      </c>
    </row>
    <row r="3368">
      <c r="A3368" s="12" t="inlineStr">
        <is>
          <t>RET-0255</t>
        </is>
      </c>
      <c r="B3368" s="12" t="inlineStr">
        <is>
          <t>VS01</t>
        </is>
      </c>
      <c r="C3368" s="28" t="n">
        <v>0.0035</v>
      </c>
      <c r="D3368" s="12" t="inlineStr">
        <is>
          <t>PO-2022-2743</t>
        </is>
      </c>
      <c r="E3368" s="12" t="n">
        <v>0.55</v>
      </c>
      <c r="F3368" s="17" t="n">
        <v>111546.2</v>
      </c>
      <c r="G3368" s="14">
        <f>E3368*F3368</f>
        <v/>
      </c>
      <c r="H3368" s="14">
        <f>C3368*G3368</f>
        <v/>
      </c>
    </row>
    <row r="3369">
      <c r="A3369" s="12" t="inlineStr">
        <is>
          <t>RET-0255</t>
        </is>
      </c>
      <c r="B3369" s="12" t="inlineStr">
        <is>
          <t>VS02</t>
        </is>
      </c>
      <c r="C3369" s="28" t="n">
        <v>0.0016</v>
      </c>
      <c r="D3369" s="12" t="inlineStr">
        <is>
          <t>PO-2021-0226</t>
        </is>
      </c>
      <c r="E3369" s="12" t="n">
        <v>0.55</v>
      </c>
      <c r="F3369" s="17" t="n">
        <v>70860.19</v>
      </c>
      <c r="G3369" s="14">
        <f>E3369*F3369</f>
        <v/>
      </c>
      <c r="H3369" s="14">
        <f>C3369*G3369</f>
        <v/>
      </c>
    </row>
    <row r="3370">
      <c r="A3370" s="12" t="inlineStr">
        <is>
          <t>RET-0255</t>
        </is>
      </c>
      <c r="B3370" s="12" t="inlineStr">
        <is>
          <t>VS03</t>
        </is>
      </c>
      <c r="C3370" s="28" t="n">
        <v>0.2686</v>
      </c>
      <c r="D3370" s="12" t="inlineStr">
        <is>
          <t>PO-2023-3671</t>
        </is>
      </c>
      <c r="E3370" s="12" t="n">
        <v>0.55</v>
      </c>
      <c r="F3370" s="17" t="n">
        <v>54878.1</v>
      </c>
      <c r="G3370" s="14">
        <f>E3370*F3370</f>
        <v/>
      </c>
      <c r="H3370" s="14">
        <f>C3370*G3370</f>
        <v/>
      </c>
    </row>
    <row r="3371">
      <c r="A3371" s="12" t="inlineStr">
        <is>
          <t>RET-0255</t>
        </is>
      </c>
      <c r="B3371" s="12" t="inlineStr">
        <is>
          <t>VS04</t>
        </is>
      </c>
      <c r="C3371" s="28" t="n">
        <v>0.0022</v>
      </c>
      <c r="D3371" s="12" t="inlineStr">
        <is>
          <t>PO-2022-1611</t>
        </is>
      </c>
      <c r="E3371" s="12" t="n">
        <v>0.55</v>
      </c>
      <c r="F3371" s="17" t="n">
        <v>59604.79</v>
      </c>
      <c r="G3371" s="14">
        <f>E3371*F3371</f>
        <v/>
      </c>
      <c r="H3371" s="14">
        <f>C3371*G3371</f>
        <v/>
      </c>
    </row>
    <row r="3372">
      <c r="A3372" s="12" t="inlineStr">
        <is>
          <t>RET-0255</t>
        </is>
      </c>
      <c r="B3372" s="12" t="inlineStr">
        <is>
          <t>VS05</t>
        </is>
      </c>
      <c r="C3372" s="28" t="n">
        <v>0.0028</v>
      </c>
      <c r="D3372" s="12" t="inlineStr">
        <is>
          <t>PO-2021-1350</t>
        </is>
      </c>
      <c r="E3372" s="12" t="n">
        <v>0.55</v>
      </c>
      <c r="F3372" s="17" t="n">
        <v>67088.84</v>
      </c>
      <c r="G3372" s="14">
        <f>E3372*F3372</f>
        <v/>
      </c>
      <c r="H3372" s="14">
        <f>C3372*G3372</f>
        <v/>
      </c>
    </row>
    <row r="3373">
      <c r="A3373" s="12" t="inlineStr">
        <is>
          <t>RET-0255</t>
        </is>
      </c>
      <c r="B3373" s="12" t="inlineStr">
        <is>
          <t>VS06</t>
        </is>
      </c>
      <c r="C3373" s="28" t="n">
        <v>0.0029</v>
      </c>
      <c r="D3373" s="12" t="inlineStr">
        <is>
          <t>PO-2022-2004</t>
        </is>
      </c>
      <c r="E3373" s="12" t="n">
        <v>0.55</v>
      </c>
      <c r="F3373" s="17" t="n">
        <v>52605.38</v>
      </c>
      <c r="G3373" s="14">
        <f>E3373*F3373</f>
        <v/>
      </c>
      <c r="H3373" s="14">
        <f>C3373*G3373</f>
        <v/>
      </c>
    </row>
    <row r="3374">
      <c r="A3374" s="12" t="inlineStr">
        <is>
          <t>RET-0255</t>
        </is>
      </c>
      <c r="B3374" s="12" t="inlineStr">
        <is>
          <t>VS07</t>
        </is>
      </c>
      <c r="C3374" s="28" t="n">
        <v>0.001</v>
      </c>
      <c r="D3374" s="12" t="inlineStr">
        <is>
          <t>PO-2022-2694</t>
        </is>
      </c>
      <c r="E3374" s="12" t="n">
        <v>0.55</v>
      </c>
      <c r="F3374" s="17" t="n">
        <v>97305.46000000001</v>
      </c>
      <c r="G3374" s="14">
        <f>E3374*F3374</f>
        <v/>
      </c>
      <c r="H3374" s="14">
        <f>C3374*G3374</f>
        <v/>
      </c>
    </row>
    <row r="3375">
      <c r="A3375" s="12" t="inlineStr">
        <is>
          <t>RET-0255</t>
        </is>
      </c>
      <c r="B3375" s="12" t="inlineStr">
        <is>
          <t>VS08</t>
        </is>
      </c>
      <c r="C3375" s="28" t="n">
        <v>0.0029</v>
      </c>
      <c r="D3375" s="12" t="inlineStr">
        <is>
          <t>PO-2023-4200</t>
        </is>
      </c>
      <c r="E3375" s="12" t="n">
        <v>0.55</v>
      </c>
      <c r="F3375" s="17" t="n">
        <v>86739.34</v>
      </c>
      <c r="G3375" s="14">
        <f>E3375*F3375</f>
        <v/>
      </c>
      <c r="H3375" s="14">
        <f>C3375*G3375</f>
        <v/>
      </c>
    </row>
    <row r="3376">
      <c r="A3376" s="12" t="inlineStr">
        <is>
          <t>RET-0255</t>
        </is>
      </c>
      <c r="B3376" s="12" t="inlineStr">
        <is>
          <t>VS09</t>
        </is>
      </c>
      <c r="C3376" s="28" t="n">
        <v>0.0022</v>
      </c>
      <c r="D3376" s="12" t="inlineStr">
        <is>
          <t>PO-2023-4236</t>
        </is>
      </c>
      <c r="E3376" s="12" t="n">
        <v>0.55</v>
      </c>
      <c r="F3376" s="17" t="n">
        <v>117838.24</v>
      </c>
      <c r="G3376" s="14">
        <f>E3376*F3376</f>
        <v/>
      </c>
      <c r="H3376" s="14">
        <f>C3376*G3376</f>
        <v/>
      </c>
    </row>
    <row r="3377">
      <c r="A3377" s="12" t="inlineStr">
        <is>
          <t>RET-0255</t>
        </is>
      </c>
      <c r="B3377" s="12" t="inlineStr">
        <is>
          <t>VS10</t>
        </is>
      </c>
      <c r="C3377" s="28" t="n">
        <v>0.0035</v>
      </c>
      <c r="D3377" s="12" t="inlineStr">
        <is>
          <t>PO-2022-2349</t>
        </is>
      </c>
      <c r="E3377" s="12" t="n">
        <v>0.55</v>
      </c>
      <c r="F3377" s="17" t="n">
        <v>49426.59</v>
      </c>
      <c r="G3377" s="14">
        <f>E3377*F3377</f>
        <v/>
      </c>
      <c r="H3377" s="14">
        <f>C3377*G3377</f>
        <v/>
      </c>
    </row>
    <row r="3378">
      <c r="A3378" s="12" t="inlineStr">
        <is>
          <t>RET-0255</t>
        </is>
      </c>
      <c r="B3378" s="12" t="inlineStr">
        <is>
          <t>VS11</t>
        </is>
      </c>
      <c r="C3378" s="28" t="n">
        <v>0.0041</v>
      </c>
      <c r="D3378" s="12" t="inlineStr">
        <is>
          <t>PO-2021-0455</t>
        </is>
      </c>
      <c r="E3378" s="12" t="n">
        <v>0.55</v>
      </c>
      <c r="F3378" s="17" t="n">
        <v>103584.3</v>
      </c>
      <c r="G3378" s="14">
        <f>E3378*F3378</f>
        <v/>
      </c>
      <c r="H3378" s="14">
        <f>C3378*G3378</f>
        <v/>
      </c>
    </row>
    <row r="3379">
      <c r="A3379" s="12" t="inlineStr">
        <is>
          <t>RET-0255</t>
        </is>
      </c>
      <c r="B3379" s="12" t="inlineStr">
        <is>
          <t>VS12</t>
        </is>
      </c>
      <c r="C3379" s="28" t="n">
        <v>0.3733</v>
      </c>
      <c r="D3379" s="12" t="inlineStr">
        <is>
          <t>PO-2023-4772</t>
        </is>
      </c>
      <c r="E3379" s="12" t="n">
        <v>0.55</v>
      </c>
      <c r="F3379" s="17" t="n">
        <v>71528</v>
      </c>
      <c r="G3379" s="14">
        <f>E3379*F3379</f>
        <v/>
      </c>
      <c r="H3379" s="14">
        <f>C3379*G3379</f>
        <v/>
      </c>
    </row>
    <row r="3380">
      <c r="A3380" s="12" t="inlineStr">
        <is>
          <t>RET-0255</t>
        </is>
      </c>
      <c r="B3380" s="12" t="inlineStr">
        <is>
          <t>VS13</t>
        </is>
      </c>
      <c r="C3380" s="28" t="n">
        <v>0.0028</v>
      </c>
      <c r="D3380" s="12" t="inlineStr">
        <is>
          <t>PO-2021-0778</t>
        </is>
      </c>
      <c r="E3380" s="12" t="n">
        <v>0.55</v>
      </c>
      <c r="F3380" s="17" t="n">
        <v>109774.32</v>
      </c>
      <c r="G3380" s="14">
        <f>E3380*F3380</f>
        <v/>
      </c>
      <c r="H3380" s="14">
        <f>C3380*G3380</f>
        <v/>
      </c>
    </row>
    <row r="3381">
      <c r="A3381" s="12" t="inlineStr">
        <is>
          <t>RET-0255</t>
        </is>
      </c>
      <c r="B3381" s="12" t="inlineStr">
        <is>
          <t>VS14</t>
        </is>
      </c>
      <c r="C3381" s="28" t="n">
        <v>0.0028</v>
      </c>
      <c r="D3381" s="12" t="inlineStr">
        <is>
          <t>PO-2023-3470</t>
        </is>
      </c>
      <c r="E3381" s="12" t="n">
        <v>0.55</v>
      </c>
      <c r="F3381" s="17" t="n">
        <v>91401.14999999999</v>
      </c>
      <c r="G3381" s="14">
        <f>E3381*F3381</f>
        <v/>
      </c>
      <c r="H3381" s="14">
        <f>C3381*G3381</f>
        <v/>
      </c>
    </row>
    <row r="3382">
      <c r="A3382" s="12" t="inlineStr">
        <is>
          <t>RET-0255</t>
        </is>
      </c>
      <c r="B3382" s="12" t="inlineStr">
        <is>
          <t>VS15</t>
        </is>
      </c>
      <c r="C3382" s="28" t="n">
        <v>0.0009</v>
      </c>
      <c r="D3382" s="12" t="inlineStr">
        <is>
          <t>PO-2021-1247</t>
        </is>
      </c>
      <c r="E3382" s="12" t="n">
        <v>0.55</v>
      </c>
      <c r="F3382" s="17" t="n">
        <v>95019.17999999999</v>
      </c>
      <c r="G3382" s="14">
        <f>E3382*F3382</f>
        <v/>
      </c>
      <c r="H3382" s="14">
        <f>C3382*G3382</f>
        <v/>
      </c>
    </row>
    <row r="3383">
      <c r="A3383" s="12" t="inlineStr">
        <is>
          <t>RET-0255</t>
        </is>
      </c>
      <c r="B3383" s="12" t="inlineStr">
        <is>
          <t>VS16</t>
        </is>
      </c>
      <c r="C3383" s="28" t="n">
        <v>0.0041</v>
      </c>
      <c r="D3383" s="12" t="inlineStr">
        <is>
          <t>PO-2023-4197</t>
        </is>
      </c>
      <c r="E3383" s="12" t="n">
        <v>0.55</v>
      </c>
      <c r="F3383" s="17" t="n">
        <v>106953.2</v>
      </c>
      <c r="G3383" s="14">
        <f>E3383*F3383</f>
        <v/>
      </c>
      <c r="H3383" s="14">
        <f>C3383*G3383</f>
        <v/>
      </c>
    </row>
    <row r="3384">
      <c r="A3384" s="12" t="inlineStr">
        <is>
          <t>RET-0255</t>
        </is>
      </c>
      <c r="B3384" s="12" t="inlineStr">
        <is>
          <t>VS17</t>
        </is>
      </c>
      <c r="C3384" s="28" t="n">
        <v>0.0041</v>
      </c>
      <c r="D3384" s="12" t="inlineStr">
        <is>
          <t>PO-2023-4313</t>
        </is>
      </c>
      <c r="E3384" s="12" t="n">
        <v>0.55</v>
      </c>
      <c r="F3384" s="17" t="n">
        <v>50023.04</v>
      </c>
      <c r="G3384" s="14">
        <f>E3384*F3384</f>
        <v/>
      </c>
      <c r="H3384" s="14">
        <f>C3384*G3384</f>
        <v/>
      </c>
    </row>
    <row r="3385">
      <c r="A3385" s="12" t="inlineStr">
        <is>
          <t>RET-0255</t>
        </is>
      </c>
      <c r="B3385" s="12" t="inlineStr">
        <is>
          <t>VS18</t>
        </is>
      </c>
      <c r="C3385" s="28" t="n">
        <v>0.0028</v>
      </c>
      <c r="D3385" s="12" t="inlineStr">
        <is>
          <t>PO-2023-3529</t>
        </is>
      </c>
      <c r="E3385" s="12" t="n">
        <v>0.55</v>
      </c>
      <c r="F3385" s="17" t="n">
        <v>71931.77</v>
      </c>
      <c r="G3385" s="14">
        <f>E3385*F3385</f>
        <v/>
      </c>
      <c r="H3385" s="14">
        <f>C3385*G3385</f>
        <v/>
      </c>
    </row>
    <row r="3386">
      <c r="A3386" s="12" t="inlineStr">
        <is>
          <t>RET-0255</t>
        </is>
      </c>
      <c r="B3386" s="12" t="inlineStr">
        <is>
          <t>VS19</t>
        </is>
      </c>
      <c r="C3386" s="28" t="n">
        <v>0.2816</v>
      </c>
      <c r="D3386" s="12" t="inlineStr">
        <is>
          <t>PO-2022-2097</t>
        </is>
      </c>
      <c r="E3386" s="12" t="n">
        <v>0</v>
      </c>
      <c r="F3386" s="17" t="n">
        <v>80144.87</v>
      </c>
      <c r="G3386" s="14">
        <f>E3386*F3386</f>
        <v/>
      </c>
      <c r="H3386" s="14">
        <f>C3386*G3386</f>
        <v/>
      </c>
    </row>
    <row r="3387">
      <c r="A3387" s="12" t="inlineStr">
        <is>
          <t>RET-0255</t>
        </is>
      </c>
      <c r="B3387" s="12" t="inlineStr">
        <is>
          <t>VS20</t>
        </is>
      </c>
      <c r="C3387" s="28" t="n">
        <v>0.0016</v>
      </c>
      <c r="D3387" s="12" t="inlineStr">
        <is>
          <t>PO-2021-0076</t>
        </is>
      </c>
      <c r="E3387" s="12" t="n">
        <v>0.55</v>
      </c>
      <c r="F3387" s="17" t="n">
        <v>84819.14</v>
      </c>
      <c r="G3387" s="14">
        <f>E3387*F3387</f>
        <v/>
      </c>
      <c r="H3387" s="14">
        <f>C3387*G3387</f>
        <v/>
      </c>
    </row>
    <row r="3388">
      <c r="A3388" s="12" t="inlineStr">
        <is>
          <t>RET-0255</t>
        </is>
      </c>
      <c r="B3388" s="12" t="inlineStr">
        <is>
          <t>VS21</t>
        </is>
      </c>
      <c r="C3388" s="28" t="n">
        <v>0.0016</v>
      </c>
      <c r="D3388" s="12" t="inlineStr">
        <is>
          <t>PO-2021-0822</t>
        </is>
      </c>
      <c r="E3388" s="12" t="n">
        <v>0.55</v>
      </c>
      <c r="F3388" s="17" t="n">
        <v>46815.51</v>
      </c>
      <c r="G3388" s="14">
        <f>E3388*F3388</f>
        <v/>
      </c>
      <c r="H3388" s="14">
        <f>C3388*G3388</f>
        <v/>
      </c>
    </row>
    <row r="3389">
      <c r="A3389" s="12" t="inlineStr">
        <is>
          <t>RET-0255</t>
        </is>
      </c>
      <c r="B3389" s="12" t="inlineStr">
        <is>
          <t>VS22</t>
        </is>
      </c>
      <c r="C3389" s="28" t="n">
        <v>0.0009</v>
      </c>
      <c r="D3389" s="12" t="inlineStr">
        <is>
          <t>PO-2023-3416</t>
        </is>
      </c>
      <c r="E3389" s="12" t="n">
        <v>0.55</v>
      </c>
      <c r="F3389" s="17" t="n">
        <v>57466.81</v>
      </c>
      <c r="G3389" s="14">
        <f>E3389*F3389</f>
        <v/>
      </c>
      <c r="H3389" s="14">
        <f>C3389*G3389</f>
        <v/>
      </c>
    </row>
    <row r="3390">
      <c r="A3390" s="12" t="inlineStr">
        <is>
          <t>RET-0255</t>
        </is>
      </c>
      <c r="B3390" s="12" t="inlineStr">
        <is>
          <t>VS23</t>
        </is>
      </c>
      <c r="C3390" s="28" t="n">
        <v>0.0016</v>
      </c>
      <c r="D3390" s="12" t="inlineStr">
        <is>
          <t>PO-2021-0717</t>
        </is>
      </c>
      <c r="E3390" s="12" t="n">
        <v>0.55</v>
      </c>
      <c r="F3390" s="17" t="n">
        <v>65738.09</v>
      </c>
      <c r="G3390" s="14">
        <f>E3390*F3390</f>
        <v/>
      </c>
      <c r="H3390" s="14">
        <f>C3390*G3390</f>
        <v/>
      </c>
    </row>
    <row r="3391">
      <c r="A3391" s="12" t="inlineStr">
        <is>
          <t>RET-0255</t>
        </is>
      </c>
      <c r="B3391" s="12" t="inlineStr">
        <is>
          <t>VS24</t>
        </is>
      </c>
      <c r="C3391" s="28" t="n">
        <v>0.0016</v>
      </c>
      <c r="D3391" s="12" t="inlineStr">
        <is>
          <t>PO-2023-4182</t>
        </is>
      </c>
      <c r="E3391" s="12" t="n">
        <v>0.55</v>
      </c>
      <c r="F3391" s="17" t="n">
        <v>67218.28</v>
      </c>
      <c r="G3391" s="14">
        <f>E3391*F3391</f>
        <v/>
      </c>
      <c r="H3391" s="14">
        <f>C3391*G3391</f>
        <v/>
      </c>
    </row>
    <row r="3392">
      <c r="A3392" s="12" t="inlineStr">
        <is>
          <t>RET-0255</t>
        </is>
      </c>
      <c r="B3392" s="12" t="inlineStr">
        <is>
          <t>VS25</t>
        </is>
      </c>
      <c r="C3392" s="28" t="n">
        <v>0.0028</v>
      </c>
      <c r="D3392" s="12" t="inlineStr">
        <is>
          <t>PO-2021-1284</t>
        </is>
      </c>
      <c r="E3392" s="12" t="n">
        <v>0.55</v>
      </c>
      <c r="F3392" s="17" t="n">
        <v>60956.56</v>
      </c>
      <c r="G3392" s="14">
        <f>E3392*F3392</f>
        <v/>
      </c>
      <c r="H3392" s="14">
        <f>C3392*G3392</f>
        <v/>
      </c>
    </row>
    <row r="3393">
      <c r="A3393" s="12" t="inlineStr">
        <is>
          <t>RET-0255</t>
        </is>
      </c>
      <c r="B3393" s="12" t="inlineStr">
        <is>
          <t>VS26</t>
        </is>
      </c>
      <c r="C3393" s="28" t="n">
        <v>0.0016</v>
      </c>
      <c r="D3393" s="12" t="inlineStr">
        <is>
          <t>PO-2021-1167</t>
        </is>
      </c>
      <c r="E3393" s="12" t="n">
        <v>0.55</v>
      </c>
      <c r="F3393" s="17" t="n">
        <v>111916.95</v>
      </c>
      <c r="G3393" s="14">
        <f>E3393*F3393</f>
        <v/>
      </c>
      <c r="H3393" s="14">
        <f>C3393*G3393</f>
        <v/>
      </c>
    </row>
    <row r="3394">
      <c r="A3394" s="12" t="inlineStr">
        <is>
          <t>RET-0255</t>
        </is>
      </c>
      <c r="B3394" s="12" t="inlineStr">
        <is>
          <t>VS27</t>
        </is>
      </c>
      <c r="C3394" s="28" t="n">
        <v>0.0016</v>
      </c>
      <c r="D3394" s="12" t="inlineStr">
        <is>
          <t>PO-2022-2443</t>
        </is>
      </c>
      <c r="E3394" s="12" t="n">
        <v>0.55</v>
      </c>
      <c r="F3394" s="17" t="n">
        <v>107098.17</v>
      </c>
      <c r="G3394" s="14">
        <f>E3394*F3394</f>
        <v/>
      </c>
      <c r="H3394" s="14">
        <f>C3394*G3394</f>
        <v/>
      </c>
    </row>
    <row r="3395">
      <c r="A3395" s="12" t="inlineStr">
        <is>
          <t>RET-0255</t>
        </is>
      </c>
      <c r="B3395" s="12" t="inlineStr">
        <is>
          <t>VS28</t>
        </is>
      </c>
      <c r="C3395" s="28" t="n">
        <v>0.0035</v>
      </c>
      <c r="D3395" s="12" t="inlineStr">
        <is>
          <t>PO-2022-2893</t>
        </is>
      </c>
      <c r="E3395" s="12" t="n">
        <v>0.55</v>
      </c>
      <c r="F3395" s="17" t="n">
        <v>85472.95</v>
      </c>
      <c r="G3395" s="14">
        <f>E3395*F3395</f>
        <v/>
      </c>
      <c r="H3395" s="14">
        <f>C3395*G3395</f>
        <v/>
      </c>
    </row>
    <row r="3396">
      <c r="A3396" s="12" t="inlineStr">
        <is>
          <t>RET-0255</t>
        </is>
      </c>
      <c r="B3396" s="12" t="inlineStr">
        <is>
          <t>VS29</t>
        </is>
      </c>
      <c r="C3396" s="28" t="n">
        <v>0.0022</v>
      </c>
      <c r="D3396" s="12" t="inlineStr">
        <is>
          <t>PO-2021-1028</t>
        </is>
      </c>
      <c r="E3396" s="12" t="n">
        <v>0.55</v>
      </c>
      <c r="F3396" s="17" t="n">
        <v>115902.4</v>
      </c>
      <c r="G3396" s="14">
        <f>E3396*F3396</f>
        <v/>
      </c>
      <c r="H3396" s="14">
        <f>C3396*G3396</f>
        <v/>
      </c>
    </row>
    <row r="3397">
      <c r="A3397" s="12" t="inlineStr">
        <is>
          <t>RET-0255</t>
        </is>
      </c>
      <c r="B3397" s="12" t="inlineStr">
        <is>
          <t>VS30</t>
        </is>
      </c>
      <c r="C3397" s="28" t="n">
        <v>0.0009</v>
      </c>
      <c r="D3397" s="12" t="inlineStr">
        <is>
          <t>PO-2021-0466</t>
        </is>
      </c>
      <c r="E3397" s="12" t="n">
        <v>0.55</v>
      </c>
      <c r="F3397" s="17" t="n">
        <v>82002.05</v>
      </c>
      <c r="G3397" s="14">
        <f>E3397*F3397</f>
        <v/>
      </c>
      <c r="H3397" s="14">
        <f>C3397*G3397</f>
        <v/>
      </c>
    </row>
    <row r="3398">
      <c r="A3398" s="12" t="inlineStr">
        <is>
          <t>RET-0255</t>
        </is>
      </c>
      <c r="B3398" s="12" t="inlineStr">
        <is>
          <t>VS31</t>
        </is>
      </c>
      <c r="C3398" s="28" t="n">
        <v>0.0035</v>
      </c>
      <c r="D3398" s="12" t="inlineStr">
        <is>
          <t>PO-2021-0677</t>
        </is>
      </c>
      <c r="E3398" s="12" t="n">
        <v>0.55</v>
      </c>
      <c r="F3398" s="17" t="n">
        <v>102110.43</v>
      </c>
      <c r="G3398" s="14">
        <f>E3398*F3398</f>
        <v/>
      </c>
      <c r="H3398" s="14">
        <f>C3398*G3398</f>
        <v/>
      </c>
    </row>
    <row r="3399">
      <c r="A3399" s="12" t="inlineStr">
        <is>
          <t>RET-0255</t>
        </is>
      </c>
      <c r="B3399" s="12" t="inlineStr">
        <is>
          <t>VS32</t>
        </is>
      </c>
      <c r="C3399" s="28" t="n">
        <v>0.0041</v>
      </c>
      <c r="D3399" s="12" t="inlineStr">
        <is>
          <t>PO-2021-1588</t>
        </is>
      </c>
      <c r="E3399" s="12" t="n">
        <v>0.55</v>
      </c>
      <c r="F3399" s="17" t="n">
        <v>105803.96</v>
      </c>
      <c r="G3399" s="14">
        <f>E3399*F3399</f>
        <v/>
      </c>
      <c r="H3399" s="14">
        <f>C3399*G3399</f>
        <v/>
      </c>
    </row>
    <row r="3400">
      <c r="A3400" s="12" t="inlineStr">
        <is>
          <t>RET-0255</t>
        </is>
      </c>
      <c r="B3400" s="12" t="inlineStr">
        <is>
          <t>VS33</t>
        </is>
      </c>
      <c r="C3400" s="28" t="n">
        <v>0.0022</v>
      </c>
      <c r="D3400" s="12" t="inlineStr">
        <is>
          <t>PO-2023-3880</t>
        </is>
      </c>
      <c r="E3400" s="12" t="n">
        <v>0.55</v>
      </c>
      <c r="F3400" s="17" t="n">
        <v>85799.11</v>
      </c>
      <c r="G3400" s="14">
        <f>E3400*F3400</f>
        <v/>
      </c>
      <c r="H3400" s="14">
        <f>C3400*G3400</f>
        <v/>
      </c>
    </row>
    <row r="3401">
      <c r="A3401" s="12" t="inlineStr">
        <is>
          <t>RET-0255</t>
        </is>
      </c>
      <c r="B3401" s="12" t="inlineStr">
        <is>
          <t>VS34</t>
        </is>
      </c>
      <c r="C3401" s="28" t="n">
        <v>0.0028</v>
      </c>
      <c r="D3401" s="12" t="inlineStr">
        <is>
          <t>PO-2023-4559</t>
        </is>
      </c>
      <c r="E3401" s="12" t="n">
        <v>0.55</v>
      </c>
      <c r="F3401" s="17" t="n">
        <v>110935.35</v>
      </c>
      <c r="G3401" s="14">
        <f>E3401*F3401</f>
        <v/>
      </c>
      <c r="H3401" s="14">
        <f>C3401*G3401</f>
        <v/>
      </c>
    </row>
    <row r="3402">
      <c r="A3402" s="12" t="inlineStr">
        <is>
          <t>RET-0256</t>
        </is>
      </c>
      <c r="B3402" s="12" t="inlineStr">
        <is>
          <t>VS01</t>
        </is>
      </c>
      <c r="C3402" s="28" t="n">
        <v>0.0293</v>
      </c>
      <c r="D3402" s="12" t="inlineStr">
        <is>
          <t>PO-2022-2271</t>
        </is>
      </c>
      <c r="E3402" s="12" t="n">
        <v>1.132</v>
      </c>
      <c r="F3402" s="17" t="n">
        <v>49381.32</v>
      </c>
      <c r="G3402" s="14">
        <f>E3402*F3402</f>
        <v/>
      </c>
      <c r="H3402" s="14">
        <f>C3402*G3402</f>
        <v/>
      </c>
    </row>
    <row r="3403">
      <c r="A3403" s="12" t="inlineStr">
        <is>
          <t>RET-0256</t>
        </is>
      </c>
      <c r="B3403" s="12" t="inlineStr">
        <is>
          <t>VS02</t>
        </is>
      </c>
      <c r="C3403" s="28" t="n">
        <v>0.0134</v>
      </c>
      <c r="D3403" s="12" t="inlineStr">
        <is>
          <t>PO-2023-4207</t>
        </is>
      </c>
      <c r="E3403" s="12" t="n">
        <v>2.35</v>
      </c>
      <c r="F3403" s="17" t="n">
        <v>70826.47</v>
      </c>
      <c r="G3403" s="14">
        <f>E3403*F3403</f>
        <v/>
      </c>
      <c r="H3403" s="14">
        <f>C3403*G3403</f>
        <v/>
      </c>
    </row>
    <row r="3404">
      <c r="A3404" s="12" t="inlineStr">
        <is>
          <t>RET-0256</t>
        </is>
      </c>
      <c r="B3404" s="12" t="inlineStr">
        <is>
          <t>VS03</t>
        </is>
      </c>
      <c r="C3404" s="28" t="n">
        <v>0.1033</v>
      </c>
      <c r="D3404" s="12" t="inlineStr">
        <is>
          <t>PO-2023-3681</t>
        </is>
      </c>
      <c r="E3404" s="12" t="n">
        <v>2.35</v>
      </c>
      <c r="F3404" s="17" t="n">
        <v>72157.52</v>
      </c>
      <c r="G3404" s="14">
        <f>E3404*F3404</f>
        <v/>
      </c>
      <c r="H3404" s="14">
        <f>C3404*G3404</f>
        <v/>
      </c>
    </row>
    <row r="3405">
      <c r="A3405" s="12" t="inlineStr">
        <is>
          <t>RET-0256</t>
        </is>
      </c>
      <c r="B3405" s="12" t="inlineStr">
        <is>
          <t>VS04</t>
        </is>
      </c>
      <c r="C3405" s="28" t="n">
        <v>0.0184</v>
      </c>
      <c r="D3405" s="12" t="inlineStr">
        <is>
          <t>PO-2023-3984</t>
        </is>
      </c>
      <c r="E3405" s="12" t="n">
        <v>2.35</v>
      </c>
      <c r="F3405" s="17" t="n">
        <v>70318.39</v>
      </c>
      <c r="G3405" s="14">
        <f>E3405*F3405</f>
        <v/>
      </c>
      <c r="H3405" s="14">
        <f>C3405*G3405</f>
        <v/>
      </c>
    </row>
    <row r="3406">
      <c r="A3406" s="12" t="inlineStr">
        <is>
          <t>RET-0256</t>
        </is>
      </c>
      <c r="B3406" s="12" t="inlineStr">
        <is>
          <t>VS05</t>
        </is>
      </c>
      <c r="C3406" s="28" t="n">
        <v>0.0239</v>
      </c>
      <c r="D3406" s="12" t="inlineStr">
        <is>
          <t>PO-2023-4471</t>
        </is>
      </c>
      <c r="E3406" s="12" t="n">
        <v>2.35</v>
      </c>
      <c r="F3406" s="17" t="n">
        <v>99274.86</v>
      </c>
      <c r="G3406" s="14">
        <f>E3406*F3406</f>
        <v/>
      </c>
      <c r="H3406" s="14">
        <f>C3406*G3406</f>
        <v/>
      </c>
    </row>
    <row r="3407">
      <c r="A3407" s="12" t="inlineStr">
        <is>
          <t>RET-0256</t>
        </is>
      </c>
      <c r="B3407" s="12" t="inlineStr">
        <is>
          <t>VS06</t>
        </is>
      </c>
      <c r="C3407" s="28" t="n">
        <v>0.0241</v>
      </c>
      <c r="D3407" s="12" t="inlineStr">
        <is>
          <t>PO-2023-3676</t>
        </is>
      </c>
      <c r="E3407" s="12" t="n">
        <v>2.35</v>
      </c>
      <c r="F3407" s="17" t="n">
        <v>78423.62</v>
      </c>
      <c r="G3407" s="14">
        <f>E3407*F3407</f>
        <v/>
      </c>
      <c r="H3407" s="14">
        <f>C3407*G3407</f>
        <v/>
      </c>
    </row>
    <row r="3408">
      <c r="A3408" s="12" t="inlineStr">
        <is>
          <t>RET-0256</t>
        </is>
      </c>
      <c r="B3408" s="12" t="inlineStr">
        <is>
          <t>VS07</t>
        </is>
      </c>
      <c r="C3408" s="28" t="n">
        <v>0.008</v>
      </c>
      <c r="D3408" s="12" t="inlineStr">
        <is>
          <t>PO-2022-2020</t>
        </is>
      </c>
      <c r="E3408" s="12" t="n">
        <v>2.35</v>
      </c>
      <c r="F3408" s="17" t="n">
        <v>99404.92999999999</v>
      </c>
      <c r="G3408" s="14">
        <f>E3408*F3408</f>
        <v/>
      </c>
      <c r="H3408" s="14">
        <f>C3408*G3408</f>
        <v/>
      </c>
    </row>
    <row r="3409">
      <c r="A3409" s="12" t="inlineStr">
        <is>
          <t>RET-0256</t>
        </is>
      </c>
      <c r="B3409" s="12" t="inlineStr">
        <is>
          <t>VS08</t>
        </is>
      </c>
      <c r="C3409" s="28" t="n">
        <v>0.0242</v>
      </c>
      <c r="D3409" s="12" t="inlineStr">
        <is>
          <t>PO-2021-0439</t>
        </is>
      </c>
      <c r="E3409" s="12" t="n">
        <v>2.35</v>
      </c>
      <c r="F3409" s="17" t="n">
        <v>77204.16</v>
      </c>
      <c r="G3409" s="14">
        <f>E3409*F3409</f>
        <v/>
      </c>
      <c r="H3409" s="14">
        <f>C3409*G3409</f>
        <v/>
      </c>
    </row>
    <row r="3410">
      <c r="A3410" s="12" t="inlineStr">
        <is>
          <t>RET-0256</t>
        </is>
      </c>
      <c r="B3410" s="12" t="inlineStr">
        <is>
          <t>VS09</t>
        </is>
      </c>
      <c r="C3410" s="28" t="n">
        <v>0.0186</v>
      </c>
      <c r="D3410" s="12" t="inlineStr">
        <is>
          <t>PO-2021-1334</t>
        </is>
      </c>
      <c r="E3410" s="12" t="n">
        <v>2.35</v>
      </c>
      <c r="F3410" s="17" t="n">
        <v>111375.86</v>
      </c>
      <c r="G3410" s="14">
        <f>E3410*F3410</f>
        <v/>
      </c>
      <c r="H3410" s="14">
        <f>C3410*G3410</f>
        <v/>
      </c>
    </row>
    <row r="3411">
      <c r="A3411" s="12" t="inlineStr">
        <is>
          <t>RET-0256</t>
        </is>
      </c>
      <c r="B3411" s="12" t="inlineStr">
        <is>
          <t>VS10</t>
        </is>
      </c>
      <c r="C3411" s="28" t="n">
        <v>0.0293</v>
      </c>
      <c r="D3411" s="12" t="inlineStr">
        <is>
          <t>PO-2022-2331</t>
        </is>
      </c>
      <c r="E3411" s="12" t="n">
        <v>2.35</v>
      </c>
      <c r="F3411" s="17" t="n">
        <v>46835.99</v>
      </c>
      <c r="G3411" s="14">
        <f>E3411*F3411</f>
        <v/>
      </c>
      <c r="H3411" s="14">
        <f>C3411*G3411</f>
        <v/>
      </c>
    </row>
    <row r="3412">
      <c r="A3412" s="12" t="inlineStr">
        <is>
          <t>RET-0256</t>
        </is>
      </c>
      <c r="B3412" s="12" t="inlineStr">
        <is>
          <t>VS11</t>
        </is>
      </c>
      <c r="C3412" s="28" t="n">
        <v>0.0343</v>
      </c>
      <c r="D3412" s="12" t="inlineStr">
        <is>
          <t>PO-2023-3938</t>
        </is>
      </c>
      <c r="E3412" s="12" t="n">
        <v>2.35</v>
      </c>
      <c r="F3412" s="17" t="n">
        <v>112182.71</v>
      </c>
      <c r="G3412" s="14">
        <f>E3412*F3412</f>
        <v/>
      </c>
      <c r="H3412" s="14">
        <f>C3412*G3412</f>
        <v/>
      </c>
    </row>
    <row r="3413">
      <c r="A3413" s="12" t="inlineStr">
        <is>
          <t>RET-0256</t>
        </is>
      </c>
      <c r="B3413" s="12" t="inlineStr">
        <is>
          <t>VS12</t>
        </is>
      </c>
      <c r="C3413" s="28" t="n">
        <v>0.1436</v>
      </c>
      <c r="D3413" s="12" t="inlineStr">
        <is>
          <t>PO-2021-1057</t>
        </is>
      </c>
      <c r="E3413" s="12" t="n">
        <v>2.35</v>
      </c>
      <c r="F3413" s="17" t="n">
        <v>85065.67999999999</v>
      </c>
      <c r="G3413" s="14">
        <f>E3413*F3413</f>
        <v/>
      </c>
      <c r="H3413" s="14">
        <f>C3413*G3413</f>
        <v/>
      </c>
    </row>
    <row r="3414">
      <c r="A3414" s="12" t="inlineStr">
        <is>
          <t>RET-0256</t>
        </is>
      </c>
      <c r="B3414" s="12" t="inlineStr">
        <is>
          <t>VS13</t>
        </is>
      </c>
      <c r="C3414" s="28" t="n">
        <v>0.0236</v>
      </c>
      <c r="D3414" s="12" t="inlineStr">
        <is>
          <t>PO-2022-1953</t>
        </is>
      </c>
      <c r="E3414" s="12" t="n">
        <v>2.35</v>
      </c>
      <c r="F3414" s="17" t="n">
        <v>114989.43</v>
      </c>
      <c r="G3414" s="14">
        <f>E3414*F3414</f>
        <v/>
      </c>
      <c r="H3414" s="14">
        <f>C3414*G3414</f>
        <v/>
      </c>
    </row>
    <row r="3415">
      <c r="A3415" s="12" t="inlineStr">
        <is>
          <t>RET-0256</t>
        </is>
      </c>
      <c r="B3415" s="12" t="inlineStr">
        <is>
          <t>VS14</t>
        </is>
      </c>
      <c r="C3415" s="28" t="n">
        <v>0.0238</v>
      </c>
      <c r="D3415" s="12" t="inlineStr">
        <is>
          <t>PO-2023-3440</t>
        </is>
      </c>
      <c r="E3415" s="12" t="n">
        <v>2.35</v>
      </c>
      <c r="F3415" s="17" t="n">
        <v>90345.09</v>
      </c>
      <c r="G3415" s="14">
        <f>E3415*F3415</f>
        <v/>
      </c>
      <c r="H3415" s="14">
        <f>C3415*G3415</f>
        <v/>
      </c>
    </row>
    <row r="3416">
      <c r="A3416" s="12" t="inlineStr">
        <is>
          <t>RET-0256</t>
        </is>
      </c>
      <c r="B3416" s="12" t="inlineStr">
        <is>
          <t>VS15</t>
        </is>
      </c>
      <c r="C3416" s="28" t="n">
        <v>0.008</v>
      </c>
      <c r="D3416" s="12" t="inlineStr">
        <is>
          <t>PO-2021-0049</t>
        </is>
      </c>
      <c r="E3416" s="12" t="n">
        <v>2.35</v>
      </c>
      <c r="F3416" s="17" t="n">
        <v>97981.44</v>
      </c>
      <c r="G3416" s="14">
        <f>E3416*F3416</f>
        <v/>
      </c>
      <c r="H3416" s="14">
        <f>C3416*G3416</f>
        <v/>
      </c>
    </row>
    <row r="3417">
      <c r="A3417" s="12" t="inlineStr">
        <is>
          <t>RET-0256</t>
        </is>
      </c>
      <c r="B3417" s="12" t="inlineStr">
        <is>
          <t>VS16</t>
        </is>
      </c>
      <c r="C3417" s="28" t="n">
        <v>0.0344</v>
      </c>
      <c r="D3417" s="12" t="inlineStr">
        <is>
          <t>PO-2021-0129</t>
        </is>
      </c>
      <c r="E3417" s="12" t="n">
        <v>2.35</v>
      </c>
      <c r="F3417" s="17" t="n">
        <v>88110.89</v>
      </c>
      <c r="G3417" s="14">
        <f>E3417*F3417</f>
        <v/>
      </c>
      <c r="H3417" s="14">
        <f>C3417*G3417</f>
        <v/>
      </c>
    </row>
    <row r="3418">
      <c r="A3418" s="12" t="inlineStr">
        <is>
          <t>RET-0256</t>
        </is>
      </c>
      <c r="B3418" s="12" t="inlineStr">
        <is>
          <t>VS17</t>
        </is>
      </c>
      <c r="C3418" s="28" t="n">
        <v>0.0343</v>
      </c>
      <c r="D3418" s="12" t="inlineStr">
        <is>
          <t>PO-2022-2592</t>
        </is>
      </c>
      <c r="E3418" s="12" t="n">
        <v>2.35</v>
      </c>
      <c r="F3418" s="17" t="n">
        <v>66050.11</v>
      </c>
      <c r="G3418" s="14">
        <f>E3418*F3418</f>
        <v/>
      </c>
      <c r="H3418" s="14">
        <f>C3418*G3418</f>
        <v/>
      </c>
    </row>
    <row r="3419">
      <c r="A3419" s="12" t="inlineStr">
        <is>
          <t>RET-0256</t>
        </is>
      </c>
      <c r="B3419" s="12" t="inlineStr">
        <is>
          <t>VS18</t>
        </is>
      </c>
      <c r="C3419" s="28" t="n">
        <v>0.0239</v>
      </c>
      <c r="D3419" s="12" t="inlineStr">
        <is>
          <t>PO-2021-0489</t>
        </is>
      </c>
      <c r="E3419" s="12" t="n">
        <v>2.35</v>
      </c>
      <c r="F3419" s="17" t="n">
        <v>59959.34</v>
      </c>
      <c r="G3419" s="14">
        <f>E3419*F3419</f>
        <v/>
      </c>
      <c r="H3419" s="14">
        <f>C3419*G3419</f>
        <v/>
      </c>
    </row>
    <row r="3420">
      <c r="A3420" s="12" t="inlineStr">
        <is>
          <t>RET-0256</t>
        </is>
      </c>
      <c r="B3420" s="12" t="inlineStr">
        <is>
          <t>VS19</t>
        </is>
      </c>
      <c r="C3420" s="28" t="n">
        <v>0.1083</v>
      </c>
      <c r="D3420" s="12" t="inlineStr">
        <is>
          <t>PO-2021-1210</t>
        </is>
      </c>
      <c r="E3420" s="12" t="n">
        <v>2.35</v>
      </c>
      <c r="F3420" s="17" t="n">
        <v>47414.19</v>
      </c>
      <c r="G3420" s="14">
        <f>E3420*F3420</f>
        <v/>
      </c>
      <c r="H3420" s="14">
        <f>C3420*G3420</f>
        <v/>
      </c>
    </row>
    <row r="3421">
      <c r="A3421" s="12" t="inlineStr">
        <is>
          <t>RET-0256</t>
        </is>
      </c>
      <c r="B3421" s="12" t="inlineStr">
        <is>
          <t>VS20</t>
        </is>
      </c>
      <c r="C3421" s="28" t="n">
        <v>0.0133</v>
      </c>
      <c r="D3421" s="12" t="inlineStr">
        <is>
          <t>PO-2021-0919</t>
        </is>
      </c>
      <c r="E3421" s="12" t="n">
        <v>2.35</v>
      </c>
      <c r="F3421" s="17" t="n">
        <v>53155.85</v>
      </c>
      <c r="G3421" s="14">
        <f>E3421*F3421</f>
        <v/>
      </c>
      <c r="H3421" s="14">
        <f>C3421*G3421</f>
        <v/>
      </c>
    </row>
    <row r="3422">
      <c r="A3422" s="12" t="inlineStr">
        <is>
          <t>RET-0256</t>
        </is>
      </c>
      <c r="B3422" s="12" t="inlineStr">
        <is>
          <t>VS21</t>
        </is>
      </c>
      <c r="C3422" s="28" t="n">
        <v>0.0133</v>
      </c>
      <c r="D3422" s="12" t="inlineStr">
        <is>
          <t>PO-2021-0450</t>
        </is>
      </c>
      <c r="E3422" s="12" t="n">
        <v>2.35</v>
      </c>
      <c r="F3422" s="17" t="n">
        <v>102241.81</v>
      </c>
      <c r="G3422" s="14">
        <f>E3422*F3422</f>
        <v/>
      </c>
      <c r="H3422" s="14">
        <f>C3422*G3422</f>
        <v/>
      </c>
    </row>
    <row r="3423">
      <c r="A3423" s="12" t="inlineStr">
        <is>
          <t>RET-0256</t>
        </is>
      </c>
      <c r="B3423" s="12" t="inlineStr">
        <is>
          <t>VS22</t>
        </is>
      </c>
      <c r="C3423" s="28" t="n">
        <v>0.007900000000000001</v>
      </c>
      <c r="D3423" s="12" t="inlineStr">
        <is>
          <t>PO-2022-2810</t>
        </is>
      </c>
      <c r="E3423" s="12" t="n">
        <v>2.35</v>
      </c>
      <c r="F3423" s="17" t="n">
        <v>88158.28</v>
      </c>
      <c r="G3423" s="14">
        <f>E3423*F3423</f>
        <v/>
      </c>
      <c r="H3423" s="14">
        <f>C3423*G3423</f>
        <v/>
      </c>
    </row>
    <row r="3424">
      <c r="A3424" s="12" t="inlineStr">
        <is>
          <t>RET-0256</t>
        </is>
      </c>
      <c r="B3424" s="12" t="inlineStr">
        <is>
          <t>VS23</t>
        </is>
      </c>
      <c r="C3424" s="28" t="n">
        <v>0.0131</v>
      </c>
      <c r="D3424" s="12" t="inlineStr">
        <is>
          <t>PO-2023-4082</t>
        </is>
      </c>
      <c r="E3424" s="12" t="n">
        <v>2.35</v>
      </c>
      <c r="F3424" s="17" t="n">
        <v>92527.92999999999</v>
      </c>
      <c r="G3424" s="14">
        <f>E3424*F3424</f>
        <v/>
      </c>
      <c r="H3424" s="14">
        <f>C3424*G3424</f>
        <v/>
      </c>
    </row>
    <row r="3425">
      <c r="A3425" s="12" t="inlineStr">
        <is>
          <t>RET-0256</t>
        </is>
      </c>
      <c r="B3425" s="12" t="inlineStr">
        <is>
          <t>VS24</t>
        </is>
      </c>
      <c r="C3425" s="28" t="n">
        <v>0.0132</v>
      </c>
      <c r="D3425" s="12" t="inlineStr">
        <is>
          <t>PO-2022-2445</t>
        </is>
      </c>
      <c r="E3425" s="12" t="n">
        <v>2.35</v>
      </c>
      <c r="F3425" s="17" t="n">
        <v>107727.93</v>
      </c>
      <c r="G3425" s="14">
        <f>E3425*F3425</f>
        <v/>
      </c>
      <c r="H3425" s="14">
        <f>C3425*G3425</f>
        <v/>
      </c>
    </row>
    <row r="3426">
      <c r="A3426" s="12" t="inlineStr">
        <is>
          <t>RET-0256</t>
        </is>
      </c>
      <c r="B3426" s="12" t="inlineStr">
        <is>
          <t>VS25</t>
        </is>
      </c>
      <c r="C3426" s="28" t="n">
        <v>0.024</v>
      </c>
      <c r="D3426" s="12" t="inlineStr">
        <is>
          <t>PO-2023-4122</t>
        </is>
      </c>
      <c r="E3426" s="12" t="n">
        <v>2.35</v>
      </c>
      <c r="F3426" s="17" t="n">
        <v>69938.67</v>
      </c>
      <c r="G3426" s="14">
        <f>E3426*F3426</f>
        <v/>
      </c>
      <c r="H3426" s="14">
        <f>C3426*G3426</f>
        <v/>
      </c>
    </row>
    <row r="3427">
      <c r="A3427" s="12" t="inlineStr">
        <is>
          <t>RET-0256</t>
        </is>
      </c>
      <c r="B3427" s="12" t="inlineStr">
        <is>
          <t>VS26</t>
        </is>
      </c>
      <c r="C3427" s="28" t="n">
        <v>0.0134</v>
      </c>
      <c r="D3427" s="12" t="inlineStr">
        <is>
          <t>PO-2023-3378</t>
        </is>
      </c>
      <c r="E3427" s="12" t="n">
        <v>2.35</v>
      </c>
      <c r="F3427" s="17" t="n">
        <v>116500.58</v>
      </c>
      <c r="G3427" s="14">
        <f>E3427*F3427</f>
        <v/>
      </c>
      <c r="H3427" s="14">
        <f>C3427*G3427</f>
        <v/>
      </c>
    </row>
    <row r="3428">
      <c r="A3428" s="12" t="inlineStr">
        <is>
          <t>RET-0256</t>
        </is>
      </c>
      <c r="B3428" s="12" t="inlineStr">
        <is>
          <t>VS27</t>
        </is>
      </c>
      <c r="C3428" s="28" t="n">
        <v>0.0131</v>
      </c>
      <c r="D3428" s="12" t="inlineStr">
        <is>
          <t>PO-2023-3477</t>
        </is>
      </c>
      <c r="E3428" s="12" t="n">
        <v>2.35</v>
      </c>
      <c r="F3428" s="17" t="n">
        <v>70733.66</v>
      </c>
      <c r="G3428" s="14">
        <f>E3428*F3428</f>
        <v/>
      </c>
      <c r="H3428" s="14">
        <f>C3428*G3428</f>
        <v/>
      </c>
    </row>
    <row r="3429">
      <c r="A3429" s="12" t="inlineStr">
        <is>
          <t>RET-0256</t>
        </is>
      </c>
      <c r="B3429" s="12" t="inlineStr">
        <is>
          <t>VS28</t>
        </is>
      </c>
      <c r="C3429" s="28" t="n">
        <v>0.0293</v>
      </c>
      <c r="D3429" s="12" t="inlineStr">
        <is>
          <t>PO-2023-4760</t>
        </is>
      </c>
      <c r="E3429" s="12" t="n">
        <v>2.35</v>
      </c>
      <c r="F3429" s="17" t="n">
        <v>114216.31</v>
      </c>
      <c r="G3429" s="14">
        <f>E3429*F3429</f>
        <v/>
      </c>
      <c r="H3429" s="14">
        <f>C3429*G3429</f>
        <v/>
      </c>
    </row>
    <row r="3430">
      <c r="A3430" s="12" t="inlineStr">
        <is>
          <t>RET-0256</t>
        </is>
      </c>
      <c r="B3430" s="12" t="inlineStr">
        <is>
          <t>VS29</t>
        </is>
      </c>
      <c r="C3430" s="28" t="n">
        <v>0.0186</v>
      </c>
      <c r="D3430" s="12" t="inlineStr">
        <is>
          <t>PO-2023-4378</t>
        </is>
      </c>
      <c r="E3430" s="12" t="n">
        <v>2.35</v>
      </c>
      <c r="F3430" s="17" t="n">
        <v>74638.00999999999</v>
      </c>
      <c r="G3430" s="14">
        <f>E3430*F3430</f>
        <v/>
      </c>
      <c r="H3430" s="14">
        <f>C3430*G3430</f>
        <v/>
      </c>
    </row>
    <row r="3431">
      <c r="A3431" s="12" t="inlineStr">
        <is>
          <t>RET-0256</t>
        </is>
      </c>
      <c r="B3431" s="12" t="inlineStr">
        <is>
          <t>VS30</t>
        </is>
      </c>
      <c r="C3431" s="28" t="n">
        <v>0.008</v>
      </c>
      <c r="D3431" s="12" t="inlineStr">
        <is>
          <t>PO-2022-1715</t>
        </is>
      </c>
      <c r="E3431" s="12" t="n">
        <v>2.35</v>
      </c>
      <c r="F3431" s="17" t="n">
        <v>52840.1</v>
      </c>
      <c r="G3431" s="14">
        <f>E3431*F3431</f>
        <v/>
      </c>
      <c r="H3431" s="14">
        <f>C3431*G3431</f>
        <v/>
      </c>
    </row>
    <row r="3432">
      <c r="A3432" s="12" t="inlineStr">
        <is>
          <t>RET-0256</t>
        </is>
      </c>
      <c r="B3432" s="12" t="inlineStr">
        <is>
          <t>VS31</t>
        </is>
      </c>
      <c r="C3432" s="28" t="n">
        <v>0.0291</v>
      </c>
      <c r="D3432" s="12" t="inlineStr">
        <is>
          <t>PO-2022-1995</t>
        </is>
      </c>
      <c r="E3432" s="12" t="n">
        <v>2.35</v>
      </c>
      <c r="F3432" s="17" t="n">
        <v>97966.81</v>
      </c>
      <c r="G3432" s="14">
        <f>E3432*F3432</f>
        <v/>
      </c>
      <c r="H3432" s="14">
        <f>C3432*G3432</f>
        <v/>
      </c>
    </row>
    <row r="3433">
      <c r="A3433" s="12" t="inlineStr">
        <is>
          <t>RET-0256</t>
        </is>
      </c>
      <c r="B3433" s="12" t="inlineStr">
        <is>
          <t>VS32</t>
        </is>
      </c>
      <c r="C3433" s="28" t="n">
        <v>0.0347</v>
      </c>
      <c r="D3433" s="12" t="inlineStr">
        <is>
          <t>PO-2021-0978</t>
        </is>
      </c>
      <c r="E3433" s="12" t="n">
        <v>2.35</v>
      </c>
      <c r="F3433" s="17" t="n">
        <v>85541.39999999999</v>
      </c>
      <c r="G3433" s="14">
        <f>E3433*F3433</f>
        <v/>
      </c>
      <c r="H3433" s="14">
        <f>C3433*G3433</f>
        <v/>
      </c>
    </row>
    <row r="3434">
      <c r="A3434" s="12" t="inlineStr">
        <is>
          <t>RET-0256</t>
        </is>
      </c>
      <c r="B3434" s="12" t="inlineStr">
        <is>
          <t>VS33</t>
        </is>
      </c>
      <c r="C3434" s="28" t="n">
        <v>0.0185</v>
      </c>
      <c r="D3434" s="12" t="inlineStr">
        <is>
          <t>PO-2023-3365</t>
        </is>
      </c>
      <c r="E3434" s="12" t="n">
        <v>2.35</v>
      </c>
      <c r="F3434" s="17" t="n">
        <v>111207.3</v>
      </c>
      <c r="G3434" s="14">
        <f>E3434*F3434</f>
        <v/>
      </c>
      <c r="H3434" s="14">
        <f>C3434*G3434</f>
        <v/>
      </c>
    </row>
    <row r="3435">
      <c r="A3435" s="12" t="inlineStr">
        <is>
          <t>RET-0256</t>
        </is>
      </c>
      <c r="B3435" s="12" t="inlineStr">
        <is>
          <t>VS34</t>
        </is>
      </c>
      <c r="C3435" s="28" t="n">
        <v>0.0239</v>
      </c>
      <c r="D3435" s="12" t="inlineStr">
        <is>
          <t>PO-2021-0087</t>
        </is>
      </c>
      <c r="E3435" s="12" t="n">
        <v>2.35</v>
      </c>
      <c r="F3435" s="17" t="n">
        <v>78204.08</v>
      </c>
      <c r="G3435" s="14">
        <f>E3435*F3435</f>
        <v/>
      </c>
      <c r="H3435" s="14">
        <f>C3435*G3435</f>
        <v/>
      </c>
    </row>
    <row r="3436">
      <c r="A3436" s="12" t="inlineStr">
        <is>
          <t>RET-0257</t>
        </is>
      </c>
      <c r="B3436" s="12" t="inlineStr">
        <is>
          <t>VS01</t>
        </is>
      </c>
      <c r="C3436" s="28" t="n">
        <v>0.0293</v>
      </c>
      <c r="D3436" s="12" t="inlineStr">
        <is>
          <t>PO-2022-2130</t>
        </is>
      </c>
      <c r="E3436" s="12" t="n">
        <v>2.15</v>
      </c>
      <c r="F3436" s="17" t="n">
        <v>75023.13</v>
      </c>
      <c r="G3436" s="14">
        <f>E3436*F3436</f>
        <v/>
      </c>
      <c r="H3436" s="14">
        <f>C3436*G3436</f>
        <v/>
      </c>
    </row>
    <row r="3437">
      <c r="A3437" s="12" t="inlineStr">
        <is>
          <t>RET-0257</t>
        </is>
      </c>
      <c r="B3437" s="12" t="inlineStr">
        <is>
          <t>VS02</t>
        </is>
      </c>
      <c r="C3437" s="28" t="n">
        <v>0.0134</v>
      </c>
      <c r="D3437" s="12" t="inlineStr">
        <is>
          <t>PO-2022-3117</t>
        </is>
      </c>
      <c r="E3437" s="12" t="n">
        <v>2.15</v>
      </c>
      <c r="F3437" s="17" t="n">
        <v>115717.84</v>
      </c>
      <c r="G3437" s="14">
        <f>E3437*F3437</f>
        <v/>
      </c>
      <c r="H3437" s="14">
        <f>C3437*G3437</f>
        <v/>
      </c>
    </row>
    <row r="3438">
      <c r="A3438" s="12" t="inlineStr">
        <is>
          <t>RET-0257</t>
        </is>
      </c>
      <c r="B3438" s="12" t="inlineStr">
        <is>
          <t>VS03</t>
        </is>
      </c>
      <c r="C3438" s="28" t="n">
        <v>0.1033</v>
      </c>
      <c r="D3438" s="12" t="inlineStr">
        <is>
          <t>PO-2022-2249</t>
        </is>
      </c>
      <c r="E3438" s="12" t="n">
        <v>2.15</v>
      </c>
      <c r="F3438" s="17" t="n">
        <v>100572.38</v>
      </c>
      <c r="G3438" s="14">
        <f>E3438*F3438</f>
        <v/>
      </c>
      <c r="H3438" s="14">
        <f>C3438*G3438</f>
        <v/>
      </c>
    </row>
    <row r="3439">
      <c r="A3439" s="12" t="inlineStr">
        <is>
          <t>RET-0257</t>
        </is>
      </c>
      <c r="B3439" s="12" t="inlineStr">
        <is>
          <t>VS04</t>
        </is>
      </c>
      <c r="C3439" s="28" t="n">
        <v>0.0184</v>
      </c>
      <c r="D3439" s="12" t="inlineStr">
        <is>
          <t>PO-2023-3984</t>
        </is>
      </c>
      <c r="E3439" s="12" t="n">
        <v>2.15</v>
      </c>
      <c r="F3439" s="17" t="n">
        <v>70318.39</v>
      </c>
      <c r="G3439" s="14">
        <f>E3439*F3439</f>
        <v/>
      </c>
      <c r="H3439" s="14">
        <f>C3439*G3439</f>
        <v/>
      </c>
    </row>
    <row r="3440">
      <c r="A3440" s="12" t="inlineStr">
        <is>
          <t>RET-0257</t>
        </is>
      </c>
      <c r="B3440" s="12" t="inlineStr">
        <is>
          <t>VS05</t>
        </is>
      </c>
      <c r="C3440" s="28" t="n">
        <v>0.0239</v>
      </c>
      <c r="D3440" s="12" t="inlineStr">
        <is>
          <t>PO-2022-3073</t>
        </is>
      </c>
      <c r="E3440" s="12" t="n">
        <v>2.15</v>
      </c>
      <c r="F3440" s="17" t="n">
        <v>85668.37</v>
      </c>
      <c r="G3440" s="14">
        <f>E3440*F3440</f>
        <v/>
      </c>
      <c r="H3440" s="14">
        <f>C3440*G3440</f>
        <v/>
      </c>
    </row>
    <row r="3441">
      <c r="A3441" s="12" t="inlineStr">
        <is>
          <t>RET-0257</t>
        </is>
      </c>
      <c r="B3441" s="12" t="inlineStr">
        <is>
          <t>VS06</t>
        </is>
      </c>
      <c r="C3441" s="28" t="n">
        <v>0.0241</v>
      </c>
      <c r="D3441" s="12" t="inlineStr">
        <is>
          <t>PO-2021-0747</t>
        </is>
      </c>
      <c r="E3441" s="12" t="n">
        <v>2.15</v>
      </c>
      <c r="F3441" s="17" t="n">
        <v>79781.41</v>
      </c>
      <c r="G3441" s="14">
        <f>E3441*F3441</f>
        <v/>
      </c>
      <c r="H3441" s="14">
        <f>C3441*G3441</f>
        <v/>
      </c>
    </row>
    <row r="3442">
      <c r="A3442" s="12" t="inlineStr">
        <is>
          <t>RET-0257</t>
        </is>
      </c>
      <c r="B3442" s="12" t="inlineStr">
        <is>
          <t>VS07</t>
        </is>
      </c>
      <c r="C3442" s="28" t="n">
        <v>0.008</v>
      </c>
      <c r="D3442" s="12" t="inlineStr">
        <is>
          <t>PO-2021-0610</t>
        </is>
      </c>
      <c r="E3442" s="12" t="n">
        <v>2.15</v>
      </c>
      <c r="F3442" s="17" t="n">
        <v>86784.83</v>
      </c>
      <c r="G3442" s="14">
        <f>E3442*F3442</f>
        <v/>
      </c>
      <c r="H3442" s="14">
        <f>C3442*G3442</f>
        <v/>
      </c>
    </row>
    <row r="3443">
      <c r="A3443" s="12" t="inlineStr">
        <is>
          <t>RET-0257</t>
        </is>
      </c>
      <c r="B3443" s="12" t="inlineStr">
        <is>
          <t>VS08</t>
        </is>
      </c>
      <c r="C3443" s="28" t="n">
        <v>0.0242</v>
      </c>
      <c r="D3443" s="12" t="inlineStr">
        <is>
          <t>PO-2021-1515</t>
        </is>
      </c>
      <c r="E3443" s="12" t="n">
        <v>1.68</v>
      </c>
      <c r="F3443" s="17" t="n">
        <v>59263.8</v>
      </c>
      <c r="G3443" s="14">
        <f>E3443*F3443</f>
        <v/>
      </c>
      <c r="H3443" s="14">
        <f>C3443*G3443</f>
        <v/>
      </c>
    </row>
    <row r="3444">
      <c r="A3444" s="12" t="inlineStr">
        <is>
          <t>RET-0257</t>
        </is>
      </c>
      <c r="B3444" s="12" t="inlineStr">
        <is>
          <t>VS09</t>
        </is>
      </c>
      <c r="C3444" s="28" t="n">
        <v>0.0186</v>
      </c>
      <c r="D3444" s="12" t="inlineStr">
        <is>
          <t>PO-2021-1334</t>
        </is>
      </c>
      <c r="E3444" s="12" t="n">
        <v>2.15</v>
      </c>
      <c r="F3444" s="17" t="n">
        <v>111375.86</v>
      </c>
      <c r="G3444" s="14">
        <f>E3444*F3444</f>
        <v/>
      </c>
      <c r="H3444" s="14">
        <f>C3444*G3444</f>
        <v/>
      </c>
    </row>
    <row r="3445">
      <c r="A3445" s="12" t="inlineStr">
        <is>
          <t>RET-0257</t>
        </is>
      </c>
      <c r="B3445" s="12" t="inlineStr">
        <is>
          <t>VS10</t>
        </is>
      </c>
      <c r="C3445" s="28" t="n">
        <v>0.0293</v>
      </c>
      <c r="D3445" s="12" t="inlineStr">
        <is>
          <t>PO-2023-3564</t>
        </is>
      </c>
      <c r="E3445" s="12" t="n">
        <v>2.15</v>
      </c>
      <c r="F3445" s="17" t="n">
        <v>84815.88</v>
      </c>
      <c r="G3445" s="14">
        <f>E3445*F3445</f>
        <v/>
      </c>
      <c r="H3445" s="14">
        <f>C3445*G3445</f>
        <v/>
      </c>
    </row>
    <row r="3446">
      <c r="A3446" s="12" t="inlineStr">
        <is>
          <t>RET-0257</t>
        </is>
      </c>
      <c r="B3446" s="12" t="inlineStr">
        <is>
          <t>VS11</t>
        </is>
      </c>
      <c r="C3446" s="28" t="n">
        <v>0.0343</v>
      </c>
      <c r="D3446" s="12" t="inlineStr">
        <is>
          <t>PO-2021-0890</t>
        </is>
      </c>
      <c r="E3446" s="12" t="n">
        <v>2.15</v>
      </c>
      <c r="F3446" s="17" t="n">
        <v>53763.35</v>
      </c>
      <c r="G3446" s="14">
        <f>E3446*F3446</f>
        <v/>
      </c>
      <c r="H3446" s="14">
        <f>C3446*G3446</f>
        <v/>
      </c>
    </row>
    <row r="3447">
      <c r="A3447" s="12" t="inlineStr">
        <is>
          <t>RET-0257</t>
        </is>
      </c>
      <c r="B3447" s="12" t="inlineStr">
        <is>
          <t>VS12</t>
        </is>
      </c>
      <c r="C3447" s="28" t="n">
        <v>0.1436</v>
      </c>
      <c r="D3447" s="12" t="inlineStr">
        <is>
          <t>PO-2023-4580</t>
        </is>
      </c>
      <c r="E3447" s="12" t="n">
        <v>2.15</v>
      </c>
      <c r="F3447" s="17" t="n">
        <v>70266.64999999999</v>
      </c>
      <c r="G3447" s="14">
        <f>E3447*F3447</f>
        <v/>
      </c>
      <c r="H3447" s="14">
        <f>C3447*G3447</f>
        <v/>
      </c>
    </row>
    <row r="3448">
      <c r="A3448" s="12" t="inlineStr">
        <is>
          <t>RET-0257</t>
        </is>
      </c>
      <c r="B3448" s="12" t="inlineStr">
        <is>
          <t>VS13</t>
        </is>
      </c>
      <c r="C3448" s="28" t="n">
        <v>0.0236</v>
      </c>
      <c r="D3448" s="12" t="inlineStr">
        <is>
          <t>PO-2022-2655</t>
        </is>
      </c>
      <c r="E3448" s="12" t="n">
        <v>2.15</v>
      </c>
      <c r="F3448" s="17" t="n">
        <v>102941.86</v>
      </c>
      <c r="G3448" s="14">
        <f>E3448*F3448</f>
        <v/>
      </c>
      <c r="H3448" s="14">
        <f>C3448*G3448</f>
        <v/>
      </c>
    </row>
    <row r="3449">
      <c r="A3449" s="12" t="inlineStr">
        <is>
          <t>RET-0257</t>
        </is>
      </c>
      <c r="B3449" s="12" t="inlineStr">
        <is>
          <t>VS14</t>
        </is>
      </c>
      <c r="C3449" s="28" t="n">
        <v>0.0238</v>
      </c>
      <c r="D3449" s="12" t="inlineStr">
        <is>
          <t>PO-2021-0172</t>
        </is>
      </c>
      <c r="E3449" s="12" t="n">
        <v>2.15</v>
      </c>
      <c r="F3449" s="17" t="n">
        <v>70567.2</v>
      </c>
      <c r="G3449" s="14">
        <f>E3449*F3449</f>
        <v/>
      </c>
      <c r="H3449" s="14">
        <f>C3449*G3449</f>
        <v/>
      </c>
    </row>
    <row r="3450">
      <c r="A3450" s="12" t="inlineStr">
        <is>
          <t>RET-0257</t>
        </is>
      </c>
      <c r="B3450" s="12" t="inlineStr">
        <is>
          <t>VS15</t>
        </is>
      </c>
      <c r="C3450" s="28" t="n">
        <v>0.008</v>
      </c>
      <c r="D3450" s="12" t="inlineStr">
        <is>
          <t>PO-2021-0951</t>
        </is>
      </c>
      <c r="E3450" s="12" t="n">
        <v>2.15</v>
      </c>
      <c r="F3450" s="17" t="n">
        <v>74255.28999999999</v>
      </c>
      <c r="G3450" s="14">
        <f>E3450*F3450</f>
        <v/>
      </c>
      <c r="H3450" s="14">
        <f>C3450*G3450</f>
        <v/>
      </c>
    </row>
    <row r="3451">
      <c r="A3451" s="12" t="inlineStr">
        <is>
          <t>RET-0257</t>
        </is>
      </c>
      <c r="B3451" s="12" t="inlineStr">
        <is>
          <t>VS16</t>
        </is>
      </c>
      <c r="C3451" s="28" t="n">
        <v>0.0344</v>
      </c>
      <c r="D3451" s="12" t="inlineStr">
        <is>
          <t>PO-2022-2036</t>
        </is>
      </c>
      <c r="E3451" s="12" t="n">
        <v>2.15</v>
      </c>
      <c r="F3451" s="17" t="n">
        <v>54877.3</v>
      </c>
      <c r="G3451" s="14">
        <f>E3451*F3451</f>
        <v/>
      </c>
      <c r="H3451" s="14">
        <f>C3451*G3451</f>
        <v/>
      </c>
    </row>
    <row r="3452">
      <c r="A3452" s="12" t="inlineStr">
        <is>
          <t>RET-0257</t>
        </is>
      </c>
      <c r="B3452" s="12" t="inlineStr">
        <is>
          <t>VS17</t>
        </is>
      </c>
      <c r="C3452" s="28" t="n">
        <v>0.0343</v>
      </c>
      <c r="D3452" s="12" t="inlineStr">
        <is>
          <t>PO-2021-0307</t>
        </is>
      </c>
      <c r="E3452" s="12" t="n">
        <v>2.15</v>
      </c>
      <c r="F3452" s="17" t="n">
        <v>101531.75</v>
      </c>
      <c r="G3452" s="14">
        <f>E3452*F3452</f>
        <v/>
      </c>
      <c r="H3452" s="14">
        <f>C3452*G3452</f>
        <v/>
      </c>
    </row>
    <row r="3453">
      <c r="A3453" s="12" t="inlineStr">
        <is>
          <t>RET-0257</t>
        </is>
      </c>
      <c r="B3453" s="12" t="inlineStr">
        <is>
          <t>VS18</t>
        </is>
      </c>
      <c r="C3453" s="28" t="n">
        <v>0.0239</v>
      </c>
      <c r="D3453" s="12" t="inlineStr">
        <is>
          <t>PO-2023-4414</t>
        </is>
      </c>
      <c r="E3453" s="12" t="n">
        <v>2.15</v>
      </c>
      <c r="F3453" s="17" t="n">
        <v>99961.23</v>
      </c>
      <c r="G3453" s="14">
        <f>E3453*F3453</f>
        <v/>
      </c>
      <c r="H3453" s="14">
        <f>C3453*G3453</f>
        <v/>
      </c>
    </row>
    <row r="3454">
      <c r="A3454" s="12" t="inlineStr">
        <is>
          <t>RET-0257</t>
        </is>
      </c>
      <c r="B3454" s="12" t="inlineStr">
        <is>
          <t>VS19</t>
        </is>
      </c>
      <c r="C3454" s="28" t="n">
        <v>0.1083</v>
      </c>
      <c r="D3454" s="12" t="inlineStr">
        <is>
          <t>PO-2023-3570</t>
        </is>
      </c>
      <c r="E3454" s="12" t="n">
        <v>2.15</v>
      </c>
      <c r="F3454" s="17" t="n">
        <v>49273.16</v>
      </c>
      <c r="G3454" s="14">
        <f>E3454*F3454</f>
        <v/>
      </c>
      <c r="H3454" s="14">
        <f>C3454*G3454</f>
        <v/>
      </c>
    </row>
    <row r="3455">
      <c r="A3455" s="12" t="inlineStr">
        <is>
          <t>RET-0257</t>
        </is>
      </c>
      <c r="B3455" s="12" t="inlineStr">
        <is>
          <t>VS20</t>
        </is>
      </c>
      <c r="C3455" s="28" t="n">
        <v>0.0133</v>
      </c>
      <c r="D3455" s="12" t="inlineStr">
        <is>
          <t>PO-2022-2626</t>
        </is>
      </c>
      <c r="E3455" s="12" t="n">
        <v>1.98</v>
      </c>
      <c r="F3455" s="17" t="n">
        <v>87536.69</v>
      </c>
      <c r="G3455" s="14">
        <f>E3455*F3455</f>
        <v/>
      </c>
      <c r="H3455" s="14">
        <f>C3455*G3455</f>
        <v/>
      </c>
    </row>
    <row r="3456">
      <c r="A3456" s="12" t="inlineStr">
        <is>
          <t>RET-0257</t>
        </is>
      </c>
      <c r="B3456" s="12" t="inlineStr">
        <is>
          <t>VS21</t>
        </is>
      </c>
      <c r="C3456" s="28" t="n">
        <v>0.0133</v>
      </c>
      <c r="D3456" s="12" t="inlineStr">
        <is>
          <t>PO-2021-0492</t>
        </is>
      </c>
      <c r="E3456" s="12" t="n">
        <v>2.15</v>
      </c>
      <c r="F3456" s="17" t="n">
        <v>46954.72</v>
      </c>
      <c r="G3456" s="14">
        <f>E3456*F3456</f>
        <v/>
      </c>
      <c r="H3456" s="14">
        <f>C3456*G3456</f>
        <v/>
      </c>
    </row>
    <row r="3457">
      <c r="A3457" s="12" t="inlineStr">
        <is>
          <t>RET-0257</t>
        </is>
      </c>
      <c r="B3457" s="12" t="inlineStr">
        <is>
          <t>VS22</t>
        </is>
      </c>
      <c r="C3457" s="28" t="n">
        <v>0.007900000000000001</v>
      </c>
      <c r="D3457" s="12" t="inlineStr">
        <is>
          <t>PO-2021-0379</t>
        </is>
      </c>
      <c r="E3457" s="12" t="n">
        <v>2.15</v>
      </c>
      <c r="F3457" s="17" t="n">
        <v>69715.63</v>
      </c>
      <c r="G3457" s="14">
        <f>E3457*F3457</f>
        <v/>
      </c>
      <c r="H3457" s="14">
        <f>C3457*G3457</f>
        <v/>
      </c>
    </row>
    <row r="3458">
      <c r="A3458" s="12" t="inlineStr">
        <is>
          <t>RET-0257</t>
        </is>
      </c>
      <c r="B3458" s="12" t="inlineStr">
        <is>
          <t>VS23</t>
        </is>
      </c>
      <c r="C3458" s="28" t="n">
        <v>0.0131</v>
      </c>
      <c r="D3458" s="12" t="inlineStr">
        <is>
          <t>PO-2022-2769</t>
        </is>
      </c>
      <c r="E3458" s="12" t="n">
        <v>2.15</v>
      </c>
      <c r="F3458" s="17" t="n">
        <v>61369.03</v>
      </c>
      <c r="G3458" s="14">
        <f>E3458*F3458</f>
        <v/>
      </c>
      <c r="H3458" s="14">
        <f>C3458*G3458</f>
        <v/>
      </c>
    </row>
    <row r="3459">
      <c r="A3459" s="12" t="inlineStr">
        <is>
          <t>RET-0257</t>
        </is>
      </c>
      <c r="B3459" s="12" t="inlineStr">
        <is>
          <t>VS24</t>
        </is>
      </c>
      <c r="C3459" s="28" t="n">
        <v>0.0132</v>
      </c>
      <c r="D3459" s="12" t="inlineStr">
        <is>
          <t>PO-2021-0738</t>
        </is>
      </c>
      <c r="E3459" s="12" t="n">
        <v>2.15</v>
      </c>
      <c r="F3459" s="17" t="n">
        <v>58491.69</v>
      </c>
      <c r="G3459" s="14">
        <f>E3459*F3459</f>
        <v/>
      </c>
      <c r="H3459" s="14">
        <f>C3459*G3459</f>
        <v/>
      </c>
    </row>
    <row r="3460">
      <c r="A3460" s="12" t="inlineStr">
        <is>
          <t>RET-0257</t>
        </is>
      </c>
      <c r="B3460" s="12" t="inlineStr">
        <is>
          <t>VS25</t>
        </is>
      </c>
      <c r="C3460" s="28" t="n">
        <v>0.024</v>
      </c>
      <c r="D3460" s="12" t="inlineStr">
        <is>
          <t>PO-2023-4014</t>
        </is>
      </c>
      <c r="E3460" s="12" t="n">
        <v>2.15</v>
      </c>
      <c r="F3460" s="17" t="n">
        <v>89276.66</v>
      </c>
      <c r="G3460" s="14">
        <f>E3460*F3460</f>
        <v/>
      </c>
      <c r="H3460" s="14">
        <f>C3460*G3460</f>
        <v/>
      </c>
    </row>
    <row r="3461">
      <c r="A3461" s="12" t="inlineStr">
        <is>
          <t>RET-0257</t>
        </is>
      </c>
      <c r="B3461" s="12" t="inlineStr">
        <is>
          <t>VS26</t>
        </is>
      </c>
      <c r="C3461" s="28" t="n">
        <v>0.0134</v>
      </c>
      <c r="D3461" s="12" t="inlineStr">
        <is>
          <t>PO-2022-2752</t>
        </is>
      </c>
      <c r="E3461" s="12" t="n">
        <v>2.15</v>
      </c>
      <c r="F3461" s="17" t="n">
        <v>49136.32</v>
      </c>
      <c r="G3461" s="14">
        <f>E3461*F3461</f>
        <v/>
      </c>
      <c r="H3461" s="14">
        <f>C3461*G3461</f>
        <v/>
      </c>
    </row>
    <row r="3462">
      <c r="A3462" s="12" t="inlineStr">
        <is>
          <t>RET-0257</t>
        </is>
      </c>
      <c r="B3462" s="12" t="inlineStr">
        <is>
          <t>VS27</t>
        </is>
      </c>
      <c r="C3462" s="28" t="n">
        <v>0.0131</v>
      </c>
      <c r="D3462" s="12" t="inlineStr">
        <is>
          <t>PO-2022-1661</t>
        </is>
      </c>
      <c r="E3462" s="12" t="n">
        <v>1.36</v>
      </c>
      <c r="F3462" s="17" t="n">
        <v>73098.28999999999</v>
      </c>
      <c r="G3462" s="14">
        <f>E3462*F3462</f>
        <v/>
      </c>
      <c r="H3462" s="14">
        <f>C3462*G3462</f>
        <v/>
      </c>
    </row>
    <row r="3463">
      <c r="A3463" s="12" t="inlineStr">
        <is>
          <t>RET-0257</t>
        </is>
      </c>
      <c r="B3463" s="12" t="inlineStr">
        <is>
          <t>VS28</t>
        </is>
      </c>
      <c r="C3463" s="28" t="n">
        <v>0.0293</v>
      </c>
      <c r="D3463" s="12" t="inlineStr">
        <is>
          <t>PO-2022-3035</t>
        </is>
      </c>
      <c r="E3463" s="12" t="n">
        <v>2.15</v>
      </c>
      <c r="F3463" s="17" t="n">
        <v>113253.06</v>
      </c>
      <c r="G3463" s="14">
        <f>E3463*F3463</f>
        <v/>
      </c>
      <c r="H3463" s="14">
        <f>C3463*G3463</f>
        <v/>
      </c>
    </row>
    <row r="3464">
      <c r="A3464" s="12" t="inlineStr">
        <is>
          <t>RET-0257</t>
        </is>
      </c>
      <c r="B3464" s="12" t="inlineStr">
        <is>
          <t>VS29</t>
        </is>
      </c>
      <c r="C3464" s="28" t="n">
        <v>0.0186</v>
      </c>
      <c r="D3464" s="12" t="inlineStr">
        <is>
          <t>PO-2023-4754</t>
        </is>
      </c>
      <c r="E3464" s="12" t="n">
        <v>2.15</v>
      </c>
      <c r="F3464" s="17" t="n">
        <v>71470.53999999999</v>
      </c>
      <c r="G3464" s="14">
        <f>E3464*F3464</f>
        <v/>
      </c>
      <c r="H3464" s="14">
        <f>C3464*G3464</f>
        <v/>
      </c>
    </row>
    <row r="3465">
      <c r="A3465" s="12" t="inlineStr">
        <is>
          <t>RET-0257</t>
        </is>
      </c>
      <c r="B3465" s="12" t="inlineStr">
        <is>
          <t>VS30</t>
        </is>
      </c>
      <c r="C3465" s="28" t="n">
        <v>0.008</v>
      </c>
      <c r="D3465" s="12" t="inlineStr">
        <is>
          <t>PO-2021-1316</t>
        </is>
      </c>
      <c r="E3465" s="12" t="n">
        <v>2.15</v>
      </c>
      <c r="F3465" s="17" t="n">
        <v>77107.92999999999</v>
      </c>
      <c r="G3465" s="14">
        <f>E3465*F3465</f>
        <v/>
      </c>
      <c r="H3465" s="14">
        <f>C3465*G3465</f>
        <v/>
      </c>
    </row>
    <row r="3466">
      <c r="A3466" s="12" t="inlineStr">
        <is>
          <t>RET-0257</t>
        </is>
      </c>
      <c r="B3466" s="12" t="inlineStr">
        <is>
          <t>VS31</t>
        </is>
      </c>
      <c r="C3466" s="28" t="n">
        <v>0.0291</v>
      </c>
      <c r="D3466" s="12" t="inlineStr">
        <is>
          <t>PO-2022-2053</t>
        </is>
      </c>
      <c r="E3466" s="12" t="n">
        <v>2.15</v>
      </c>
      <c r="F3466" s="17" t="n">
        <v>76281.72</v>
      </c>
      <c r="G3466" s="14">
        <f>E3466*F3466</f>
        <v/>
      </c>
      <c r="H3466" s="14">
        <f>C3466*G3466</f>
        <v/>
      </c>
    </row>
    <row r="3467">
      <c r="A3467" s="12" t="inlineStr">
        <is>
          <t>RET-0257</t>
        </is>
      </c>
      <c r="B3467" s="12" t="inlineStr">
        <is>
          <t>VS32</t>
        </is>
      </c>
      <c r="C3467" s="28" t="n">
        <v>0.0347</v>
      </c>
      <c r="D3467" s="12" t="inlineStr">
        <is>
          <t>PO-2022-3180</t>
        </is>
      </c>
      <c r="E3467" s="12" t="n">
        <v>2.15</v>
      </c>
      <c r="F3467" s="17" t="n">
        <v>118510.34</v>
      </c>
      <c r="G3467" s="14">
        <f>E3467*F3467</f>
        <v/>
      </c>
      <c r="H3467" s="14">
        <f>C3467*G3467</f>
        <v/>
      </c>
    </row>
    <row r="3468">
      <c r="A3468" s="12" t="inlineStr">
        <is>
          <t>RET-0257</t>
        </is>
      </c>
      <c r="B3468" s="12" t="inlineStr">
        <is>
          <t>VS33</t>
        </is>
      </c>
      <c r="C3468" s="28" t="n">
        <v>0.0185</v>
      </c>
      <c r="D3468" s="12" t="inlineStr">
        <is>
          <t>PO-2023-3583</t>
        </is>
      </c>
      <c r="E3468" s="12" t="n">
        <v>2.15</v>
      </c>
      <c r="F3468" s="17" t="n">
        <v>97769.42999999999</v>
      </c>
      <c r="G3468" s="14">
        <f>E3468*F3468</f>
        <v/>
      </c>
      <c r="H3468" s="14">
        <f>C3468*G3468</f>
        <v/>
      </c>
    </row>
    <row r="3469">
      <c r="A3469" s="12" t="inlineStr">
        <is>
          <t>RET-0257</t>
        </is>
      </c>
      <c r="B3469" s="12" t="inlineStr">
        <is>
          <t>VS34</t>
        </is>
      </c>
      <c r="C3469" s="28" t="n">
        <v>0.0239</v>
      </c>
      <c r="D3469" s="12" t="inlineStr">
        <is>
          <t>PO-2022-2239</t>
        </is>
      </c>
      <c r="E3469" s="12" t="n">
        <v>2.15</v>
      </c>
      <c r="F3469" s="17" t="n">
        <v>93239.89</v>
      </c>
      <c r="G3469" s="14">
        <f>E3469*F3469</f>
        <v/>
      </c>
      <c r="H3469" s="14">
        <f>C3469*G3469</f>
        <v/>
      </c>
    </row>
    <row r="3470">
      <c r="A3470" s="12" t="inlineStr">
        <is>
          <t>RET-0258</t>
        </is>
      </c>
      <c r="B3470" s="12" t="inlineStr">
        <is>
          <t>VS01</t>
        </is>
      </c>
      <c r="C3470" s="28" t="n">
        <v>0.0161</v>
      </c>
      <c r="D3470" s="12" t="inlineStr">
        <is>
          <t>PO-2021-0897</t>
        </is>
      </c>
      <c r="E3470" s="12" t="n">
        <v>2.06</v>
      </c>
      <c r="F3470" s="17" t="n">
        <v>96528.92</v>
      </c>
      <c r="G3470" s="14">
        <f>E3470*F3470</f>
        <v/>
      </c>
      <c r="H3470" s="14">
        <f>C3470*G3470</f>
        <v/>
      </c>
    </row>
    <row r="3471">
      <c r="A3471" s="12" t="inlineStr">
        <is>
          <t>RET-0258</t>
        </is>
      </c>
      <c r="B3471" s="12" t="inlineStr">
        <is>
          <t>VS02</t>
        </is>
      </c>
      <c r="C3471" s="28" t="n">
        <v>0.0073</v>
      </c>
      <c r="D3471" s="12" t="inlineStr">
        <is>
          <t>PO-2023-4202</t>
        </is>
      </c>
      <c r="E3471" s="12" t="n">
        <v>2.06</v>
      </c>
      <c r="F3471" s="17" t="n">
        <v>66577.38</v>
      </c>
      <c r="G3471" s="14">
        <f>E3471*F3471</f>
        <v/>
      </c>
      <c r="H3471" s="14">
        <f>C3471*G3471</f>
        <v/>
      </c>
    </row>
    <row r="3472">
      <c r="A3472" s="12" t="inlineStr">
        <is>
          <t>RET-0258</t>
        </is>
      </c>
      <c r="B3472" s="12" t="inlineStr">
        <is>
          <t>VS03</t>
        </is>
      </c>
      <c r="C3472" s="28" t="n">
        <v>0.1876</v>
      </c>
      <c r="D3472" s="12" t="inlineStr">
        <is>
          <t>PO-2023-3466</t>
        </is>
      </c>
      <c r="E3472" s="12" t="n">
        <v>2.06</v>
      </c>
      <c r="F3472" s="17" t="n">
        <v>115386.93</v>
      </c>
      <c r="G3472" s="14">
        <f>E3472*F3472</f>
        <v/>
      </c>
      <c r="H3472" s="14">
        <f>C3472*G3472</f>
        <v/>
      </c>
    </row>
    <row r="3473">
      <c r="A3473" s="12" t="inlineStr">
        <is>
          <t>RET-0258</t>
        </is>
      </c>
      <c r="B3473" s="12" t="inlineStr">
        <is>
          <t>VS04</t>
        </is>
      </c>
      <c r="C3473" s="28" t="n">
        <v>0.0101</v>
      </c>
      <c r="D3473" s="12" t="inlineStr">
        <is>
          <t>PO-2021-1274</t>
        </is>
      </c>
      <c r="E3473" s="12" t="n">
        <v>2.06</v>
      </c>
      <c r="F3473" s="17" t="n">
        <v>69003.11</v>
      </c>
      <c r="G3473" s="14">
        <f>E3473*F3473</f>
        <v/>
      </c>
      <c r="H3473" s="14">
        <f>C3473*G3473</f>
        <v/>
      </c>
    </row>
    <row r="3474">
      <c r="A3474" s="12" t="inlineStr">
        <is>
          <t>RET-0258</t>
        </is>
      </c>
      <c r="B3474" s="12" t="inlineStr">
        <is>
          <t>VS05</t>
        </is>
      </c>
      <c r="C3474" s="28" t="n">
        <v>0.0131</v>
      </c>
      <c r="D3474" s="12" t="inlineStr">
        <is>
          <t>PO-2022-2543</t>
        </is>
      </c>
      <c r="E3474" s="12" t="n">
        <v>2.06</v>
      </c>
      <c r="F3474" s="17" t="n">
        <v>79675.24000000001</v>
      </c>
      <c r="G3474" s="14">
        <f>E3474*F3474</f>
        <v/>
      </c>
      <c r="H3474" s="14">
        <f>C3474*G3474</f>
        <v/>
      </c>
    </row>
    <row r="3475">
      <c r="A3475" s="12" t="inlineStr">
        <is>
          <t>RET-0258</t>
        </is>
      </c>
      <c r="B3475" s="12" t="inlineStr">
        <is>
          <t>VS06</t>
        </is>
      </c>
      <c r="C3475" s="28" t="n">
        <v>0.0133</v>
      </c>
      <c r="D3475" s="12" t="inlineStr">
        <is>
          <t>PO-2023-4283</t>
        </is>
      </c>
      <c r="E3475" s="12" t="n">
        <v>2.06</v>
      </c>
      <c r="F3475" s="17" t="n">
        <v>96047.57000000001</v>
      </c>
      <c r="G3475" s="14">
        <f>E3475*F3475</f>
        <v/>
      </c>
      <c r="H3475" s="14">
        <f>C3475*G3475</f>
        <v/>
      </c>
    </row>
    <row r="3476">
      <c r="A3476" s="12" t="inlineStr">
        <is>
          <t>RET-0258</t>
        </is>
      </c>
      <c r="B3476" s="12" t="inlineStr">
        <is>
          <t>VS07</t>
        </is>
      </c>
      <c r="C3476" s="28" t="n">
        <v>0.0044</v>
      </c>
      <c r="D3476" s="12" t="inlineStr">
        <is>
          <t>PO-2023-4106</t>
        </is>
      </c>
      <c r="E3476" s="12" t="n">
        <v>2.06</v>
      </c>
      <c r="F3476" s="17" t="n">
        <v>47048.14</v>
      </c>
      <c r="G3476" s="14">
        <f>E3476*F3476</f>
        <v/>
      </c>
      <c r="H3476" s="14">
        <f>C3476*G3476</f>
        <v/>
      </c>
    </row>
    <row r="3477">
      <c r="A3477" s="12" t="inlineStr">
        <is>
          <t>RET-0258</t>
        </is>
      </c>
      <c r="B3477" s="12" t="inlineStr">
        <is>
          <t>VS08</t>
        </is>
      </c>
      <c r="C3477" s="28" t="n">
        <v>0.0133</v>
      </c>
      <c r="D3477" s="12" t="inlineStr">
        <is>
          <t>PO-2021-1046</t>
        </is>
      </c>
      <c r="E3477" s="12" t="n">
        <v>2.06</v>
      </c>
      <c r="F3477" s="17" t="n">
        <v>91314.14999999999</v>
      </c>
      <c r="G3477" s="14">
        <f>E3477*F3477</f>
        <v/>
      </c>
      <c r="H3477" s="14">
        <f>C3477*G3477</f>
        <v/>
      </c>
    </row>
    <row r="3478">
      <c r="A3478" s="12" t="inlineStr">
        <is>
          <t>RET-0258</t>
        </is>
      </c>
      <c r="B3478" s="12" t="inlineStr">
        <is>
          <t>VS09</t>
        </is>
      </c>
      <c r="C3478" s="28" t="n">
        <v>0.0102</v>
      </c>
      <c r="D3478" s="12" t="inlineStr">
        <is>
          <t>PO-2021-1195</t>
        </is>
      </c>
      <c r="E3478" s="12" t="n">
        <v>2.06</v>
      </c>
      <c r="F3478" s="17" t="n">
        <v>84231.89999999999</v>
      </c>
      <c r="G3478" s="14">
        <f>E3478*F3478</f>
        <v/>
      </c>
      <c r="H3478" s="14">
        <f>C3478*G3478</f>
        <v/>
      </c>
    </row>
    <row r="3479">
      <c r="A3479" s="12" t="inlineStr">
        <is>
          <t>RET-0258</t>
        </is>
      </c>
      <c r="B3479" s="12" t="inlineStr">
        <is>
          <t>VS10</t>
        </is>
      </c>
      <c r="C3479" s="28" t="n">
        <v>0.0161</v>
      </c>
      <c r="D3479" s="12" t="inlineStr">
        <is>
          <t>PO-2022-2889</t>
        </is>
      </c>
      <c r="E3479" s="12" t="n">
        <v>2.06</v>
      </c>
      <c r="F3479" s="17" t="n">
        <v>46283.62</v>
      </c>
      <c r="G3479" s="14">
        <f>E3479*F3479</f>
        <v/>
      </c>
      <c r="H3479" s="14">
        <f>C3479*G3479</f>
        <v/>
      </c>
    </row>
    <row r="3480">
      <c r="A3480" s="12" t="inlineStr">
        <is>
          <t>RET-0258</t>
        </is>
      </c>
      <c r="B3480" s="12" t="inlineStr">
        <is>
          <t>VS11</t>
        </is>
      </c>
      <c r="C3480" s="28" t="n">
        <v>0.0189</v>
      </c>
      <c r="D3480" s="12" t="inlineStr">
        <is>
          <t>PO-2021-0063</t>
        </is>
      </c>
      <c r="E3480" s="12" t="n">
        <v>2.06</v>
      </c>
      <c r="F3480" s="17" t="n">
        <v>46925.88</v>
      </c>
      <c r="G3480" s="14">
        <f>E3480*F3480</f>
        <v/>
      </c>
      <c r="H3480" s="14">
        <f>C3480*G3480</f>
        <v/>
      </c>
    </row>
    <row r="3481">
      <c r="A3481" s="12" t="inlineStr">
        <is>
          <t>RET-0258</t>
        </is>
      </c>
      <c r="B3481" s="12" t="inlineStr">
        <is>
          <t>VS12</t>
        </is>
      </c>
      <c r="C3481" s="28" t="n">
        <v>0.2608</v>
      </c>
      <c r="D3481" s="12" t="inlineStr">
        <is>
          <t>PO-2022-2491</t>
        </is>
      </c>
      <c r="E3481" s="12" t="n">
        <v>2.06</v>
      </c>
      <c r="F3481" s="17" t="n">
        <v>120277.26</v>
      </c>
      <c r="G3481" s="14">
        <f>E3481*F3481</f>
        <v/>
      </c>
      <c r="H3481" s="14">
        <f>C3481*G3481</f>
        <v/>
      </c>
    </row>
    <row r="3482">
      <c r="A3482" s="12" t="inlineStr">
        <is>
          <t>RET-0258</t>
        </is>
      </c>
      <c r="B3482" s="12" t="inlineStr">
        <is>
          <t>VS13</t>
        </is>
      </c>
      <c r="C3482" s="28" t="n">
        <v>0.013</v>
      </c>
      <c r="D3482" s="12" t="inlineStr">
        <is>
          <t>PO-2023-3492</t>
        </is>
      </c>
      <c r="E3482" s="12" t="n">
        <v>2.06</v>
      </c>
      <c r="F3482" s="17" t="n">
        <v>89298.57000000001</v>
      </c>
      <c r="G3482" s="14">
        <f>E3482*F3482</f>
        <v/>
      </c>
      <c r="H3482" s="14">
        <f>C3482*G3482</f>
        <v/>
      </c>
    </row>
    <row r="3483">
      <c r="A3483" s="12" t="inlineStr">
        <is>
          <t>RET-0258</t>
        </is>
      </c>
      <c r="B3483" s="12" t="inlineStr">
        <is>
          <t>VS14</t>
        </is>
      </c>
      <c r="C3483" s="28" t="n">
        <v>0.0131</v>
      </c>
      <c r="D3483" s="12" t="inlineStr">
        <is>
          <t>PO-2022-2291</t>
        </is>
      </c>
      <c r="E3483" s="12" t="n">
        <v>2.06</v>
      </c>
      <c r="F3483" s="17" t="n">
        <v>72220.5</v>
      </c>
      <c r="G3483" s="14">
        <f>E3483*F3483</f>
        <v/>
      </c>
      <c r="H3483" s="14">
        <f>C3483*G3483</f>
        <v/>
      </c>
    </row>
    <row r="3484">
      <c r="A3484" s="12" t="inlineStr">
        <is>
          <t>RET-0258</t>
        </is>
      </c>
      <c r="B3484" s="12" t="inlineStr">
        <is>
          <t>VS15</t>
        </is>
      </c>
      <c r="C3484" s="28" t="n">
        <v>0.0044</v>
      </c>
      <c r="D3484" s="12" t="inlineStr">
        <is>
          <t>PO-2022-2900</t>
        </is>
      </c>
      <c r="E3484" s="12" t="n">
        <v>2.06</v>
      </c>
      <c r="F3484" s="17" t="n">
        <v>49398.58</v>
      </c>
      <c r="G3484" s="14">
        <f>E3484*F3484</f>
        <v/>
      </c>
      <c r="H3484" s="14">
        <f>C3484*G3484</f>
        <v/>
      </c>
    </row>
    <row r="3485">
      <c r="A3485" s="12" t="inlineStr">
        <is>
          <t>RET-0258</t>
        </is>
      </c>
      <c r="B3485" s="12" t="inlineStr">
        <is>
          <t>VS16</t>
        </is>
      </c>
      <c r="C3485" s="28" t="n">
        <v>0.0189</v>
      </c>
      <c r="D3485" s="12" t="inlineStr">
        <is>
          <t>PO-2021-0473</t>
        </is>
      </c>
      <c r="E3485" s="12" t="n">
        <v>2.06</v>
      </c>
      <c r="F3485" s="17" t="n">
        <v>68625.67</v>
      </c>
      <c r="G3485" s="14">
        <f>E3485*F3485</f>
        <v/>
      </c>
      <c r="H3485" s="14">
        <f>C3485*G3485</f>
        <v/>
      </c>
    </row>
    <row r="3486">
      <c r="A3486" s="12" t="inlineStr">
        <is>
          <t>RET-0258</t>
        </is>
      </c>
      <c r="B3486" s="12" t="inlineStr">
        <is>
          <t>VS17</t>
        </is>
      </c>
      <c r="C3486" s="28" t="n">
        <v>0.0189</v>
      </c>
      <c r="D3486" s="12" t="inlineStr">
        <is>
          <t>PO-2023-4479</t>
        </is>
      </c>
      <c r="E3486" s="12" t="n">
        <v>2.06</v>
      </c>
      <c r="F3486" s="17" t="n">
        <v>115105.51</v>
      </c>
      <c r="G3486" s="14">
        <f>E3486*F3486</f>
        <v/>
      </c>
      <c r="H3486" s="14">
        <f>C3486*G3486</f>
        <v/>
      </c>
    </row>
    <row r="3487">
      <c r="A3487" s="12" t="inlineStr">
        <is>
          <t>RET-0258</t>
        </is>
      </c>
      <c r="B3487" s="12" t="inlineStr">
        <is>
          <t>VS18</t>
        </is>
      </c>
      <c r="C3487" s="28" t="n">
        <v>0.0131</v>
      </c>
      <c r="D3487" s="12" t="inlineStr">
        <is>
          <t>PO-2023-4723</t>
        </is>
      </c>
      <c r="E3487" s="12" t="n">
        <v>2.06</v>
      </c>
      <c r="F3487" s="17" t="n">
        <v>68011.42</v>
      </c>
      <c r="G3487" s="14">
        <f>E3487*F3487</f>
        <v/>
      </c>
      <c r="H3487" s="14">
        <f>C3487*G3487</f>
        <v/>
      </c>
    </row>
    <row r="3488">
      <c r="A3488" s="12" t="inlineStr">
        <is>
          <t>RET-0258</t>
        </is>
      </c>
      <c r="B3488" s="12" t="inlineStr">
        <is>
          <t>VS19</t>
        </is>
      </c>
      <c r="C3488" s="28" t="n">
        <v>0.1967</v>
      </c>
      <c r="D3488" s="12" t="inlineStr">
        <is>
          <t>PO-2022-2002</t>
        </is>
      </c>
      <c r="E3488" s="12" t="n">
        <v>2.06</v>
      </c>
      <c r="F3488" s="17" t="n">
        <v>110859.45</v>
      </c>
      <c r="G3488" s="14">
        <f>E3488*F3488</f>
        <v/>
      </c>
      <c r="H3488" s="14">
        <f>C3488*G3488</f>
        <v/>
      </c>
    </row>
    <row r="3489">
      <c r="A3489" s="12" t="inlineStr">
        <is>
          <t>RET-0258</t>
        </is>
      </c>
      <c r="B3489" s="12" t="inlineStr">
        <is>
          <t>VS20</t>
        </is>
      </c>
      <c r="C3489" s="28" t="n">
        <v>0.0073</v>
      </c>
      <c r="D3489" s="12" t="inlineStr">
        <is>
          <t>PO-2022-2233</t>
        </is>
      </c>
      <c r="E3489" s="12" t="n">
        <v>2.06</v>
      </c>
      <c r="F3489" s="17" t="n">
        <v>96227.39999999999</v>
      </c>
      <c r="G3489" s="14">
        <f>E3489*F3489</f>
        <v/>
      </c>
      <c r="H3489" s="14">
        <f>C3489*G3489</f>
        <v/>
      </c>
    </row>
    <row r="3490">
      <c r="A3490" s="12" t="inlineStr">
        <is>
          <t>RET-0258</t>
        </is>
      </c>
      <c r="B3490" s="12" t="inlineStr">
        <is>
          <t>VS21</t>
        </is>
      </c>
      <c r="C3490" s="28" t="n">
        <v>0.0073</v>
      </c>
      <c r="D3490" s="12" t="inlineStr">
        <is>
          <t>PO-2022-2819</t>
        </is>
      </c>
      <c r="E3490" s="12" t="n">
        <v>2.06</v>
      </c>
      <c r="F3490" s="17" t="n">
        <v>69507.59</v>
      </c>
      <c r="G3490" s="14">
        <f>E3490*F3490</f>
        <v/>
      </c>
      <c r="H3490" s="14">
        <f>C3490*G3490</f>
        <v/>
      </c>
    </row>
    <row r="3491">
      <c r="A3491" s="12" t="inlineStr">
        <is>
          <t>RET-0258</t>
        </is>
      </c>
      <c r="B3491" s="12" t="inlineStr">
        <is>
          <t>VS22</t>
        </is>
      </c>
      <c r="C3491" s="28" t="n">
        <v>0.0043</v>
      </c>
      <c r="D3491" s="12" t="inlineStr">
        <is>
          <t>PO-2021-1307</t>
        </is>
      </c>
      <c r="E3491" s="12" t="n">
        <v>2.06</v>
      </c>
      <c r="F3491" s="17" t="n">
        <v>91897.10000000001</v>
      </c>
      <c r="G3491" s="14">
        <f>E3491*F3491</f>
        <v/>
      </c>
      <c r="H3491" s="14">
        <f>C3491*G3491</f>
        <v/>
      </c>
    </row>
    <row r="3492">
      <c r="A3492" s="12" t="inlineStr">
        <is>
          <t>RET-0258</t>
        </is>
      </c>
      <c r="B3492" s="12" t="inlineStr">
        <is>
          <t>VS23</t>
        </is>
      </c>
      <c r="C3492" s="28" t="n">
        <v>0.0072</v>
      </c>
      <c r="D3492" s="12" t="inlineStr">
        <is>
          <t>PO-2021-0761</t>
        </is>
      </c>
      <c r="E3492" s="12" t="n">
        <v>2.06</v>
      </c>
      <c r="F3492" s="17" t="n">
        <v>45623.78</v>
      </c>
      <c r="G3492" s="14">
        <f>E3492*F3492</f>
        <v/>
      </c>
      <c r="H3492" s="14">
        <f>C3492*G3492</f>
        <v/>
      </c>
    </row>
    <row r="3493">
      <c r="A3493" s="12" t="inlineStr">
        <is>
          <t>RET-0258</t>
        </is>
      </c>
      <c r="B3493" s="12" t="inlineStr">
        <is>
          <t>VS24</t>
        </is>
      </c>
      <c r="C3493" s="28" t="n">
        <v>0.0073</v>
      </c>
      <c r="D3493" s="12" t="inlineStr">
        <is>
          <t>PO-2023-3773</t>
        </is>
      </c>
      <c r="E3493" s="12" t="n">
        <v>2.06</v>
      </c>
      <c r="F3493" s="17" t="n">
        <v>51534.59</v>
      </c>
      <c r="G3493" s="14">
        <f>E3493*F3493</f>
        <v/>
      </c>
      <c r="H3493" s="14">
        <f>C3493*G3493</f>
        <v/>
      </c>
    </row>
    <row r="3494">
      <c r="A3494" s="12" t="inlineStr">
        <is>
          <t>RET-0258</t>
        </is>
      </c>
      <c r="B3494" s="12" t="inlineStr">
        <is>
          <t>VS25</t>
        </is>
      </c>
      <c r="C3494" s="28" t="n">
        <v>0.0132</v>
      </c>
      <c r="D3494" s="12" t="inlineStr">
        <is>
          <t>PO-2023-4142</t>
        </is>
      </c>
      <c r="E3494" s="12" t="n">
        <v>2.06</v>
      </c>
      <c r="F3494" s="17" t="n">
        <v>75409.46000000001</v>
      </c>
      <c r="G3494" s="14">
        <f>E3494*F3494</f>
        <v/>
      </c>
      <c r="H3494" s="14">
        <f>C3494*G3494</f>
        <v/>
      </c>
    </row>
    <row r="3495">
      <c r="A3495" s="12" t="inlineStr">
        <is>
          <t>RET-0258</t>
        </is>
      </c>
      <c r="B3495" s="12" t="inlineStr">
        <is>
          <t>VS26</t>
        </is>
      </c>
      <c r="C3495" s="28" t="n">
        <v>0.0074</v>
      </c>
      <c r="D3495" s="12" t="inlineStr">
        <is>
          <t>PO-2022-2322</t>
        </is>
      </c>
      <c r="E3495" s="12" t="n">
        <v>2.06</v>
      </c>
      <c r="F3495" s="17" t="n">
        <v>82999.08</v>
      </c>
      <c r="G3495" s="14">
        <f>E3495*F3495</f>
        <v/>
      </c>
      <c r="H3495" s="14">
        <f>C3495*G3495</f>
        <v/>
      </c>
    </row>
    <row r="3496">
      <c r="A3496" s="12" t="inlineStr">
        <is>
          <t>RET-0258</t>
        </is>
      </c>
      <c r="B3496" s="12" t="inlineStr">
        <is>
          <t>VS27</t>
        </is>
      </c>
      <c r="C3496" s="28" t="n">
        <v>0.0072</v>
      </c>
      <c r="D3496" s="12" t="inlineStr">
        <is>
          <t>PO-2021-1567</t>
        </is>
      </c>
      <c r="E3496" s="12" t="n">
        <v>2.06</v>
      </c>
      <c r="F3496" s="17" t="n">
        <v>49294.76</v>
      </c>
      <c r="G3496" s="14">
        <f>E3496*F3496</f>
        <v/>
      </c>
      <c r="H3496" s="14">
        <f>C3496*G3496</f>
        <v/>
      </c>
    </row>
    <row r="3497">
      <c r="A3497" s="12" t="inlineStr">
        <is>
          <t>RET-0258</t>
        </is>
      </c>
      <c r="B3497" s="12" t="inlineStr">
        <is>
          <t>VS28</t>
        </is>
      </c>
      <c r="C3497" s="28" t="n">
        <v>0.0161</v>
      </c>
      <c r="D3497" s="12" t="inlineStr">
        <is>
          <t>PO-2022-2277</t>
        </is>
      </c>
      <c r="E3497" s="12" t="n">
        <v>2.06</v>
      </c>
      <c r="F3497" s="17" t="n">
        <v>79494.91</v>
      </c>
      <c r="G3497" s="14">
        <f>E3497*F3497</f>
        <v/>
      </c>
      <c r="H3497" s="14">
        <f>C3497*G3497</f>
        <v/>
      </c>
    </row>
    <row r="3498">
      <c r="A3498" s="12" t="inlineStr">
        <is>
          <t>RET-0258</t>
        </is>
      </c>
      <c r="B3498" s="12" t="inlineStr">
        <is>
          <t>VS29</t>
        </is>
      </c>
      <c r="C3498" s="28" t="n">
        <v>0.0102</v>
      </c>
      <c r="D3498" s="12" t="inlineStr">
        <is>
          <t>PO-2021-1246</t>
        </is>
      </c>
      <c r="E3498" s="12" t="n">
        <v>2.06</v>
      </c>
      <c r="F3498" s="17" t="n">
        <v>45391</v>
      </c>
      <c r="G3498" s="14">
        <f>E3498*F3498</f>
        <v/>
      </c>
      <c r="H3498" s="14">
        <f>C3498*G3498</f>
        <v/>
      </c>
    </row>
    <row r="3499">
      <c r="A3499" s="12" t="inlineStr">
        <is>
          <t>RET-0258</t>
        </is>
      </c>
      <c r="B3499" s="12" t="inlineStr">
        <is>
          <t>VS30</t>
        </is>
      </c>
      <c r="C3499" s="28" t="n">
        <v>0.0044</v>
      </c>
      <c r="D3499" s="12" t="inlineStr">
        <is>
          <t>PO-2021-0309</t>
        </is>
      </c>
      <c r="E3499" s="12" t="n">
        <v>2.06</v>
      </c>
      <c r="F3499" s="17" t="n">
        <v>96455.52</v>
      </c>
      <c r="G3499" s="14">
        <f>E3499*F3499</f>
        <v/>
      </c>
      <c r="H3499" s="14">
        <f>C3499*G3499</f>
        <v/>
      </c>
    </row>
    <row r="3500">
      <c r="A3500" s="12" t="inlineStr">
        <is>
          <t>RET-0258</t>
        </is>
      </c>
      <c r="B3500" s="12" t="inlineStr">
        <is>
          <t>VS31</t>
        </is>
      </c>
      <c r="C3500" s="28" t="n">
        <v>0.016</v>
      </c>
      <c r="D3500" s="12" t="inlineStr">
        <is>
          <t>PO-2022-3161</t>
        </is>
      </c>
      <c r="E3500" s="12" t="n">
        <v>2.06</v>
      </c>
      <c r="F3500" s="17" t="n">
        <v>90608.88</v>
      </c>
      <c r="G3500" s="14">
        <f>E3500*F3500</f>
        <v/>
      </c>
      <c r="H3500" s="14">
        <f>C3500*G3500</f>
        <v/>
      </c>
    </row>
    <row r="3501">
      <c r="A3501" s="12" t="inlineStr">
        <is>
          <t>RET-0258</t>
        </is>
      </c>
      <c r="B3501" s="12" t="inlineStr">
        <is>
          <t>VS32</t>
        </is>
      </c>
      <c r="C3501" s="28" t="n">
        <v>0.0191</v>
      </c>
      <c r="D3501" s="12" t="inlineStr">
        <is>
          <t>PO-2022-3060</t>
        </is>
      </c>
      <c r="E3501" s="12" t="n">
        <v>2.06</v>
      </c>
      <c r="F3501" s="17" t="n">
        <v>58865.87</v>
      </c>
      <c r="G3501" s="14">
        <f>E3501*F3501</f>
        <v/>
      </c>
      <c r="H3501" s="14">
        <f>C3501*G3501</f>
        <v/>
      </c>
    </row>
    <row r="3502">
      <c r="A3502" s="12" t="inlineStr">
        <is>
          <t>RET-0258</t>
        </is>
      </c>
      <c r="B3502" s="12" t="inlineStr">
        <is>
          <t>VS33</t>
        </is>
      </c>
      <c r="C3502" s="28" t="n">
        <v>0.0102</v>
      </c>
      <c r="D3502" s="12" t="inlineStr">
        <is>
          <t>PO-2021-1489</t>
        </is>
      </c>
      <c r="E3502" s="12" t="n">
        <v>2.06</v>
      </c>
      <c r="F3502" s="17" t="n">
        <v>85832.03999999999</v>
      </c>
      <c r="G3502" s="14">
        <f>E3502*F3502</f>
        <v/>
      </c>
      <c r="H3502" s="14">
        <f>C3502*G3502</f>
        <v/>
      </c>
    </row>
    <row r="3503">
      <c r="A3503" s="12" t="inlineStr">
        <is>
          <t>RET-0258</t>
        </is>
      </c>
      <c r="B3503" s="12" t="inlineStr">
        <is>
          <t>VS34</t>
        </is>
      </c>
      <c r="C3503" s="28" t="n">
        <v>0.0132</v>
      </c>
      <c r="D3503" s="12" t="inlineStr">
        <is>
          <t>PO-2022-2076</t>
        </is>
      </c>
      <c r="E3503" s="12" t="n">
        <v>2.06</v>
      </c>
      <c r="F3503" s="17" t="n">
        <v>62068.97</v>
      </c>
      <c r="G3503" s="14">
        <f>E3503*F3503</f>
        <v/>
      </c>
      <c r="H3503" s="14">
        <f>C3503*G3503</f>
        <v/>
      </c>
    </row>
    <row r="3504">
      <c r="A3504" s="12" t="inlineStr">
        <is>
          <t>RET-0259</t>
        </is>
      </c>
      <c r="B3504" s="12" t="inlineStr">
        <is>
          <t>VS01</t>
        </is>
      </c>
      <c r="C3504" s="28" t="n">
        <v>0.0269</v>
      </c>
      <c r="D3504" s="12" t="inlineStr">
        <is>
          <t>PO-2023-3547</t>
        </is>
      </c>
      <c r="E3504" s="12" t="n">
        <v>2.82</v>
      </c>
      <c r="F3504" s="17" t="n">
        <v>102608.85</v>
      </c>
      <c r="G3504" s="14">
        <f>E3504*F3504</f>
        <v/>
      </c>
      <c r="H3504" s="14">
        <f>C3504*G3504</f>
        <v/>
      </c>
    </row>
    <row r="3505">
      <c r="A3505" s="12" t="inlineStr">
        <is>
          <t>RET-0259</t>
        </is>
      </c>
      <c r="B3505" s="12" t="inlineStr">
        <is>
          <t>VS02</t>
        </is>
      </c>
      <c r="C3505" s="28" t="n">
        <v>0.0123</v>
      </c>
      <c r="D3505" s="12" t="inlineStr">
        <is>
          <t>PO-2023-3782</t>
        </is>
      </c>
      <c r="E3505" s="12" t="n">
        <v>2.82</v>
      </c>
      <c r="F3505" s="17" t="n">
        <v>93528.2</v>
      </c>
      <c r="G3505" s="14">
        <f>E3505*F3505</f>
        <v/>
      </c>
      <c r="H3505" s="14">
        <f>C3505*G3505</f>
        <v/>
      </c>
    </row>
    <row r="3506">
      <c r="A3506" s="12" t="inlineStr">
        <is>
          <t>RET-0259</t>
        </is>
      </c>
      <c r="B3506" s="12" t="inlineStr">
        <is>
          <t>VS03</t>
        </is>
      </c>
      <c r="C3506" s="28" t="n">
        <v>0.1186</v>
      </c>
      <c r="D3506" s="12" t="inlineStr">
        <is>
          <t>PO-2021-0853</t>
        </is>
      </c>
      <c r="E3506" s="12" t="n">
        <v>2.029</v>
      </c>
      <c r="F3506" s="17" t="n">
        <v>82438.23</v>
      </c>
      <c r="G3506" s="14">
        <f>E3506*F3506</f>
        <v/>
      </c>
      <c r="H3506" s="14">
        <f>C3506*G3506</f>
        <v/>
      </c>
    </row>
    <row r="3507">
      <c r="A3507" s="12" t="inlineStr">
        <is>
          <t>RET-0259</t>
        </is>
      </c>
      <c r="B3507" s="12" t="inlineStr">
        <is>
          <t>VS04</t>
        </is>
      </c>
      <c r="C3507" s="28" t="n">
        <v>0.0169</v>
      </c>
      <c r="D3507" s="12" t="inlineStr">
        <is>
          <t>PO-2023-4427</t>
        </is>
      </c>
      <c r="E3507" s="12" t="n">
        <v>2.82</v>
      </c>
      <c r="F3507" s="17" t="n">
        <v>61758.33</v>
      </c>
      <c r="G3507" s="14">
        <f>E3507*F3507</f>
        <v/>
      </c>
      <c r="H3507" s="14">
        <f>C3507*G3507</f>
        <v/>
      </c>
    </row>
    <row r="3508">
      <c r="A3508" s="12" t="inlineStr">
        <is>
          <t>RET-0259</t>
        </is>
      </c>
      <c r="B3508" s="12" t="inlineStr">
        <is>
          <t>VS05</t>
        </is>
      </c>
      <c r="C3508" s="28" t="n">
        <v>0.0219</v>
      </c>
      <c r="D3508" s="12" t="inlineStr">
        <is>
          <t>PO-2022-2220</t>
        </is>
      </c>
      <c r="E3508" s="12" t="n">
        <v>2.82</v>
      </c>
      <c r="F3508" s="17" t="n">
        <v>57090.54</v>
      </c>
      <c r="G3508" s="14">
        <f>E3508*F3508</f>
        <v/>
      </c>
      <c r="H3508" s="14">
        <f>C3508*G3508</f>
        <v/>
      </c>
    </row>
    <row r="3509">
      <c r="A3509" s="12" t="inlineStr">
        <is>
          <t>RET-0259</t>
        </is>
      </c>
      <c r="B3509" s="12" t="inlineStr">
        <is>
          <t>VS06</t>
        </is>
      </c>
      <c r="C3509" s="28" t="n">
        <v>0.0221</v>
      </c>
      <c r="D3509" s="12" t="inlineStr">
        <is>
          <t>PO-2022-2734</t>
        </is>
      </c>
      <c r="E3509" s="12" t="n">
        <v>2.82</v>
      </c>
      <c r="F3509" s="17" t="n">
        <v>85144.85000000001</v>
      </c>
      <c r="G3509" s="14">
        <f>E3509*F3509</f>
        <v/>
      </c>
      <c r="H3509" s="14">
        <f>C3509*G3509</f>
        <v/>
      </c>
    </row>
    <row r="3510">
      <c r="A3510" s="12" t="inlineStr">
        <is>
          <t>RET-0259</t>
        </is>
      </c>
      <c r="B3510" s="12" t="inlineStr">
        <is>
          <t>VS07</t>
        </is>
      </c>
      <c r="C3510" s="28" t="n">
        <v>0.0074</v>
      </c>
      <c r="D3510" s="12" t="inlineStr">
        <is>
          <t>PO-2021-1379</t>
        </is>
      </c>
      <c r="E3510" s="12" t="n">
        <v>2.82</v>
      </c>
      <c r="F3510" s="17" t="n">
        <v>69450.99000000001</v>
      </c>
      <c r="G3510" s="14">
        <f>E3510*F3510</f>
        <v/>
      </c>
      <c r="H3510" s="14">
        <f>C3510*G3510</f>
        <v/>
      </c>
    </row>
    <row r="3511">
      <c r="A3511" s="12" t="inlineStr">
        <is>
          <t>RET-0259</t>
        </is>
      </c>
      <c r="B3511" s="12" t="inlineStr">
        <is>
          <t>VS08</t>
        </is>
      </c>
      <c r="C3511" s="28" t="n">
        <v>0.0223</v>
      </c>
      <c r="D3511" s="12" t="inlineStr">
        <is>
          <t>PO-2022-3141</t>
        </is>
      </c>
      <c r="E3511" s="12" t="n">
        <v>2.82</v>
      </c>
      <c r="F3511" s="17" t="n">
        <v>85164.78999999999</v>
      </c>
      <c r="G3511" s="14">
        <f>E3511*F3511</f>
        <v/>
      </c>
      <c r="H3511" s="14">
        <f>C3511*G3511</f>
        <v/>
      </c>
    </row>
    <row r="3512">
      <c r="A3512" s="12" t="inlineStr">
        <is>
          <t>RET-0259</t>
        </is>
      </c>
      <c r="B3512" s="12" t="inlineStr">
        <is>
          <t>VS09</t>
        </is>
      </c>
      <c r="C3512" s="28" t="n">
        <v>0.0171</v>
      </c>
      <c r="D3512" s="12" t="inlineStr">
        <is>
          <t>PO-2022-2595</t>
        </is>
      </c>
      <c r="E3512" s="12" t="n">
        <v>2.82</v>
      </c>
      <c r="F3512" s="17" t="n">
        <v>108867.74</v>
      </c>
      <c r="G3512" s="14">
        <f>E3512*F3512</f>
        <v/>
      </c>
      <c r="H3512" s="14">
        <f>C3512*G3512</f>
        <v/>
      </c>
    </row>
    <row r="3513">
      <c r="A3513" s="12" t="inlineStr">
        <is>
          <t>RET-0259</t>
        </is>
      </c>
      <c r="B3513" s="12" t="inlineStr">
        <is>
          <t>VS10</t>
        </is>
      </c>
      <c r="C3513" s="28" t="n">
        <v>0.0269</v>
      </c>
      <c r="D3513" s="12" t="inlineStr">
        <is>
          <t>PO-2023-4157</t>
        </is>
      </c>
      <c r="E3513" s="12" t="n">
        <v>2.82</v>
      </c>
      <c r="F3513" s="17" t="n">
        <v>111127.52</v>
      </c>
      <c r="G3513" s="14">
        <f>E3513*F3513</f>
        <v/>
      </c>
      <c r="H3513" s="14">
        <f>C3513*G3513</f>
        <v/>
      </c>
    </row>
    <row r="3514">
      <c r="A3514" s="12" t="inlineStr">
        <is>
          <t>RET-0259</t>
        </is>
      </c>
      <c r="B3514" s="12" t="inlineStr">
        <is>
          <t>VS11</t>
        </is>
      </c>
      <c r="C3514" s="28" t="n">
        <v>0.0315</v>
      </c>
      <c r="D3514" s="12" t="inlineStr">
        <is>
          <t>PO-2021-1341</t>
        </is>
      </c>
      <c r="E3514" s="12" t="n">
        <v>2.82</v>
      </c>
      <c r="F3514" s="17" t="n">
        <v>111181.66</v>
      </c>
      <c r="G3514" s="14">
        <f>E3514*F3514</f>
        <v/>
      </c>
      <c r="H3514" s="14">
        <f>C3514*G3514</f>
        <v/>
      </c>
    </row>
    <row r="3515">
      <c r="A3515" s="12" t="inlineStr">
        <is>
          <t>RET-0259</t>
        </is>
      </c>
      <c r="B3515" s="12" t="inlineStr">
        <is>
          <t>VS12</t>
        </is>
      </c>
      <c r="C3515" s="28" t="n">
        <v>0.1648</v>
      </c>
      <c r="D3515" s="12" t="inlineStr">
        <is>
          <t>PO-2022-2319</t>
        </is>
      </c>
      <c r="E3515" s="12" t="n">
        <v>1.112</v>
      </c>
      <c r="F3515" s="17" t="n">
        <v>60516.37</v>
      </c>
      <c r="G3515" s="14">
        <f>E3515*F3515</f>
        <v/>
      </c>
      <c r="H3515" s="14">
        <f>C3515*G3515</f>
        <v/>
      </c>
    </row>
    <row r="3516">
      <c r="A3516" s="12" t="inlineStr">
        <is>
          <t>RET-0259</t>
        </is>
      </c>
      <c r="B3516" s="12" t="inlineStr">
        <is>
          <t>VS13</t>
        </is>
      </c>
      <c r="C3516" s="28" t="n">
        <v>0.0217</v>
      </c>
      <c r="D3516" s="12" t="inlineStr">
        <is>
          <t>PO-2023-3863</t>
        </is>
      </c>
      <c r="E3516" s="12" t="n">
        <v>2.82</v>
      </c>
      <c r="F3516" s="17" t="n">
        <v>60747.54</v>
      </c>
      <c r="G3516" s="14">
        <f>E3516*F3516</f>
        <v/>
      </c>
      <c r="H3516" s="14">
        <f>C3516*G3516</f>
        <v/>
      </c>
    </row>
    <row r="3517">
      <c r="A3517" s="12" t="inlineStr">
        <is>
          <t>RET-0259</t>
        </is>
      </c>
      <c r="B3517" s="12" t="inlineStr">
        <is>
          <t>VS14</t>
        </is>
      </c>
      <c r="C3517" s="28" t="n">
        <v>0.0219</v>
      </c>
      <c r="D3517" s="12" t="inlineStr">
        <is>
          <t>PO-2022-1769</t>
        </is>
      </c>
      <c r="E3517" s="12" t="n">
        <v>2.82</v>
      </c>
      <c r="F3517" s="17" t="n">
        <v>100531.81</v>
      </c>
      <c r="G3517" s="14">
        <f>E3517*F3517</f>
        <v/>
      </c>
      <c r="H3517" s="14">
        <f>C3517*G3517</f>
        <v/>
      </c>
    </row>
    <row r="3518">
      <c r="A3518" s="12" t="inlineStr">
        <is>
          <t>RET-0259</t>
        </is>
      </c>
      <c r="B3518" s="12" t="inlineStr">
        <is>
          <t>VS15</t>
        </is>
      </c>
      <c r="C3518" s="28" t="n">
        <v>0.0073</v>
      </c>
      <c r="D3518" s="12" t="inlineStr">
        <is>
          <t>PO-2022-2146</t>
        </is>
      </c>
      <c r="E3518" s="12" t="n">
        <v>2.82</v>
      </c>
      <c r="F3518" s="17" t="n">
        <v>115671.68</v>
      </c>
      <c r="G3518" s="14">
        <f>E3518*F3518</f>
        <v/>
      </c>
      <c r="H3518" s="14">
        <f>C3518*G3518</f>
        <v/>
      </c>
    </row>
    <row r="3519">
      <c r="A3519" s="12" t="inlineStr">
        <is>
          <t>RET-0259</t>
        </is>
      </c>
      <c r="B3519" s="12" t="inlineStr">
        <is>
          <t>VS16</t>
        </is>
      </c>
      <c r="C3519" s="28" t="n">
        <v>0.0316</v>
      </c>
      <c r="D3519" s="12" t="inlineStr">
        <is>
          <t>PO-2021-0375</t>
        </is>
      </c>
      <c r="E3519" s="12" t="n">
        <v>2.82</v>
      </c>
      <c r="F3519" s="17" t="n">
        <v>73554.89999999999</v>
      </c>
      <c r="G3519" s="14">
        <f>E3519*F3519</f>
        <v/>
      </c>
      <c r="H3519" s="14">
        <f>C3519*G3519</f>
        <v/>
      </c>
    </row>
    <row r="3520">
      <c r="A3520" s="12" t="inlineStr">
        <is>
          <t>RET-0259</t>
        </is>
      </c>
      <c r="B3520" s="12" t="inlineStr">
        <is>
          <t>VS17</t>
        </is>
      </c>
      <c r="C3520" s="28" t="n">
        <v>0.0315</v>
      </c>
      <c r="D3520" s="12" t="inlineStr">
        <is>
          <t>PO-2023-3658</t>
        </is>
      </c>
      <c r="E3520" s="12" t="n">
        <v>2.82</v>
      </c>
      <c r="F3520" s="17" t="n">
        <v>84248.67</v>
      </c>
      <c r="G3520" s="14">
        <f>E3520*F3520</f>
        <v/>
      </c>
      <c r="H3520" s="14">
        <f>C3520*G3520</f>
        <v/>
      </c>
    </row>
    <row r="3521">
      <c r="A3521" s="12" t="inlineStr">
        <is>
          <t>RET-0259</t>
        </is>
      </c>
      <c r="B3521" s="12" t="inlineStr">
        <is>
          <t>VS18</t>
        </is>
      </c>
      <c r="C3521" s="28" t="n">
        <v>0.0219</v>
      </c>
      <c r="D3521" s="12" t="inlineStr">
        <is>
          <t>PO-2022-2155</t>
        </is>
      </c>
      <c r="E3521" s="12" t="n">
        <v>2.82</v>
      </c>
      <c r="F3521" s="17" t="n">
        <v>70294.09</v>
      </c>
      <c r="G3521" s="14">
        <f>E3521*F3521</f>
        <v/>
      </c>
      <c r="H3521" s="14">
        <f>C3521*G3521</f>
        <v/>
      </c>
    </row>
    <row r="3522">
      <c r="A3522" s="12" t="inlineStr">
        <is>
          <t>RET-0259</t>
        </is>
      </c>
      <c r="B3522" s="12" t="inlineStr">
        <is>
          <t>VS19</t>
        </is>
      </c>
      <c r="C3522" s="28" t="n">
        <v>0.1243</v>
      </c>
      <c r="D3522" s="12" t="inlineStr">
        <is>
          <t>PO-2022-3018</t>
        </is>
      </c>
      <c r="E3522" s="12" t="n">
        <v>2.82</v>
      </c>
      <c r="F3522" s="17" t="n">
        <v>112519.69</v>
      </c>
      <c r="G3522" s="14">
        <f>E3522*F3522</f>
        <v/>
      </c>
      <c r="H3522" s="14">
        <f>C3522*G3522</f>
        <v/>
      </c>
    </row>
    <row r="3523">
      <c r="A3523" s="12" t="inlineStr">
        <is>
          <t>RET-0259</t>
        </is>
      </c>
      <c r="B3523" s="12" t="inlineStr">
        <is>
          <t>VS20</t>
        </is>
      </c>
      <c r="C3523" s="28" t="n">
        <v>0.0122</v>
      </c>
      <c r="D3523" s="12" t="inlineStr">
        <is>
          <t>PO-2021-0611</t>
        </is>
      </c>
      <c r="E3523" s="12" t="n">
        <v>2.82</v>
      </c>
      <c r="F3523" s="17" t="n">
        <v>94094.7</v>
      </c>
      <c r="G3523" s="14">
        <f>E3523*F3523</f>
        <v/>
      </c>
      <c r="H3523" s="14">
        <f>C3523*G3523</f>
        <v/>
      </c>
    </row>
    <row r="3524">
      <c r="A3524" s="12" t="inlineStr">
        <is>
          <t>RET-0259</t>
        </is>
      </c>
      <c r="B3524" s="12" t="inlineStr">
        <is>
          <t>VS21</t>
        </is>
      </c>
      <c r="C3524" s="28" t="n">
        <v>0.0122</v>
      </c>
      <c r="D3524" s="12" t="inlineStr">
        <is>
          <t>PO-2022-2310</t>
        </is>
      </c>
      <c r="E3524" s="12" t="n">
        <v>2.82</v>
      </c>
      <c r="F3524" s="17" t="n">
        <v>46725.56</v>
      </c>
      <c r="G3524" s="14">
        <f>E3524*F3524</f>
        <v/>
      </c>
      <c r="H3524" s="14">
        <f>C3524*G3524</f>
        <v/>
      </c>
    </row>
    <row r="3525">
      <c r="A3525" s="12" t="inlineStr">
        <is>
          <t>RET-0259</t>
        </is>
      </c>
      <c r="B3525" s="12" t="inlineStr">
        <is>
          <t>VS22</t>
        </is>
      </c>
      <c r="C3525" s="28" t="n">
        <v>0.0073</v>
      </c>
      <c r="D3525" s="12" t="inlineStr">
        <is>
          <t>PO-2023-4665</t>
        </is>
      </c>
      <c r="E3525" s="12" t="n">
        <v>2.82</v>
      </c>
      <c r="F3525" s="17" t="n">
        <v>105213.13</v>
      </c>
      <c r="G3525" s="14">
        <f>E3525*F3525</f>
        <v/>
      </c>
      <c r="H3525" s="14">
        <f>C3525*G3525</f>
        <v/>
      </c>
    </row>
    <row r="3526">
      <c r="A3526" s="12" t="inlineStr">
        <is>
          <t>RET-0259</t>
        </is>
      </c>
      <c r="B3526" s="12" t="inlineStr">
        <is>
          <t>VS23</t>
        </is>
      </c>
      <c r="C3526" s="28" t="n">
        <v>0.012</v>
      </c>
      <c r="D3526" s="12" t="inlineStr">
        <is>
          <t>PO-2023-3872</t>
        </is>
      </c>
      <c r="E3526" s="12" t="n">
        <v>1.07</v>
      </c>
      <c r="F3526" s="17" t="n">
        <v>70973.75</v>
      </c>
      <c r="G3526" s="14">
        <f>E3526*F3526</f>
        <v/>
      </c>
      <c r="H3526" s="14">
        <f>C3526*G3526</f>
        <v/>
      </c>
    </row>
    <row r="3527">
      <c r="A3527" s="12" t="inlineStr">
        <is>
          <t>RET-0259</t>
        </is>
      </c>
      <c r="B3527" s="12" t="inlineStr">
        <is>
          <t>VS24</t>
        </is>
      </c>
      <c r="C3527" s="28" t="n">
        <v>0.0122</v>
      </c>
      <c r="D3527" s="12" t="inlineStr">
        <is>
          <t>PO-2021-1063</t>
        </is>
      </c>
      <c r="E3527" s="12" t="n">
        <v>2.82</v>
      </c>
      <c r="F3527" s="17" t="n">
        <v>46315.88</v>
      </c>
      <c r="G3527" s="14">
        <f>E3527*F3527</f>
        <v/>
      </c>
      <c r="H3527" s="14">
        <f>C3527*G3527</f>
        <v/>
      </c>
    </row>
    <row r="3528">
      <c r="A3528" s="12" t="inlineStr">
        <is>
          <t>RET-0259</t>
        </is>
      </c>
      <c r="B3528" s="12" t="inlineStr">
        <is>
          <t>VS25</t>
        </is>
      </c>
      <c r="C3528" s="28" t="n">
        <v>0.022</v>
      </c>
      <c r="D3528" s="12" t="inlineStr">
        <is>
          <t>PO-2021-0527</t>
        </is>
      </c>
      <c r="E3528" s="12" t="n">
        <v>2.82</v>
      </c>
      <c r="F3528" s="17" t="n">
        <v>85163.58</v>
      </c>
      <c r="G3528" s="14">
        <f>E3528*F3528</f>
        <v/>
      </c>
      <c r="H3528" s="14">
        <f>C3528*G3528</f>
        <v/>
      </c>
    </row>
    <row r="3529">
      <c r="A3529" s="12" t="inlineStr">
        <is>
          <t>RET-0259</t>
        </is>
      </c>
      <c r="B3529" s="12" t="inlineStr">
        <is>
          <t>VS26</t>
        </is>
      </c>
      <c r="C3529" s="28" t="n">
        <v>0.0123</v>
      </c>
      <c r="D3529" s="12" t="inlineStr">
        <is>
          <t>PO-2023-4307</t>
        </is>
      </c>
      <c r="E3529" s="12" t="n">
        <v>2.82</v>
      </c>
      <c r="F3529" s="17" t="n">
        <v>93437.85000000001</v>
      </c>
      <c r="G3529" s="14">
        <f>E3529*F3529</f>
        <v/>
      </c>
      <c r="H3529" s="14">
        <f>C3529*G3529</f>
        <v/>
      </c>
    </row>
    <row r="3530">
      <c r="A3530" s="12" t="inlineStr">
        <is>
          <t>RET-0259</t>
        </is>
      </c>
      <c r="B3530" s="12" t="inlineStr">
        <is>
          <t>VS27</t>
        </is>
      </c>
      <c r="C3530" s="28" t="n">
        <v>0.012</v>
      </c>
      <c r="D3530" s="12" t="inlineStr">
        <is>
          <t>PO-2022-1632</t>
        </is>
      </c>
      <c r="E3530" s="12" t="n">
        <v>2.82</v>
      </c>
      <c r="F3530" s="17" t="n">
        <v>110805.65</v>
      </c>
      <c r="G3530" s="14">
        <f>E3530*F3530</f>
        <v/>
      </c>
      <c r="H3530" s="14">
        <f>C3530*G3530</f>
        <v/>
      </c>
    </row>
    <row r="3531">
      <c r="A3531" s="12" t="inlineStr">
        <is>
          <t>RET-0259</t>
        </is>
      </c>
      <c r="B3531" s="12" t="inlineStr">
        <is>
          <t>VS28</t>
        </is>
      </c>
      <c r="C3531" s="28" t="n">
        <v>0.0269</v>
      </c>
      <c r="D3531" s="12" t="inlineStr">
        <is>
          <t>PO-2022-2478</t>
        </is>
      </c>
      <c r="E3531" s="12" t="n">
        <v>2.82</v>
      </c>
      <c r="F3531" s="17" t="n">
        <v>46553.69</v>
      </c>
      <c r="G3531" s="14">
        <f>E3531*F3531</f>
        <v/>
      </c>
      <c r="H3531" s="14">
        <f>C3531*G3531</f>
        <v/>
      </c>
    </row>
    <row r="3532">
      <c r="A3532" s="12" t="inlineStr">
        <is>
          <t>RET-0259</t>
        </is>
      </c>
      <c r="B3532" s="12" t="inlineStr">
        <is>
          <t>VS29</t>
        </is>
      </c>
      <c r="C3532" s="28" t="n">
        <v>0.0171</v>
      </c>
      <c r="D3532" s="12" t="inlineStr">
        <is>
          <t>PO-2023-3613</t>
        </is>
      </c>
      <c r="E3532" s="12" t="n">
        <v>2.82</v>
      </c>
      <c r="F3532" s="17" t="n">
        <v>80375.53999999999</v>
      </c>
      <c r="G3532" s="14">
        <f>E3532*F3532</f>
        <v/>
      </c>
      <c r="H3532" s="14">
        <f>C3532*G3532</f>
        <v/>
      </c>
    </row>
    <row r="3533">
      <c r="A3533" s="12" t="inlineStr">
        <is>
          <t>RET-0259</t>
        </is>
      </c>
      <c r="B3533" s="12" t="inlineStr">
        <is>
          <t>VS30</t>
        </is>
      </c>
      <c r="C3533" s="28" t="n">
        <v>0.0073</v>
      </c>
      <c r="D3533" s="12" t="inlineStr">
        <is>
          <t>PO-2022-2619</t>
        </is>
      </c>
      <c r="E3533" s="12" t="n">
        <v>2.82</v>
      </c>
      <c r="F3533" s="17" t="n">
        <v>76005.33</v>
      </c>
      <c r="G3533" s="14">
        <f>E3533*F3533</f>
        <v/>
      </c>
      <c r="H3533" s="14">
        <f>C3533*G3533</f>
        <v/>
      </c>
    </row>
    <row r="3534">
      <c r="A3534" s="12" t="inlineStr">
        <is>
          <t>RET-0259</t>
        </is>
      </c>
      <c r="B3534" s="12" t="inlineStr">
        <is>
          <t>VS31</t>
        </is>
      </c>
      <c r="C3534" s="28" t="n">
        <v>0.0268</v>
      </c>
      <c r="D3534" s="12" t="inlineStr">
        <is>
          <t>PO-2022-3052</t>
        </is>
      </c>
      <c r="E3534" s="12" t="n">
        <v>2.82</v>
      </c>
      <c r="F3534" s="17" t="n">
        <v>94530.89</v>
      </c>
      <c r="G3534" s="14">
        <f>E3534*F3534</f>
        <v/>
      </c>
      <c r="H3534" s="14">
        <f>C3534*G3534</f>
        <v/>
      </c>
    </row>
    <row r="3535">
      <c r="A3535" s="12" t="inlineStr">
        <is>
          <t>RET-0259</t>
        </is>
      </c>
      <c r="B3535" s="12" t="inlineStr">
        <is>
          <t>VS32</t>
        </is>
      </c>
      <c r="C3535" s="28" t="n">
        <v>0.0318</v>
      </c>
      <c r="D3535" s="12" t="inlineStr">
        <is>
          <t>PO-2022-1726</t>
        </is>
      </c>
      <c r="E3535" s="12" t="n">
        <v>2.82</v>
      </c>
      <c r="F3535" s="17" t="n">
        <v>96087.03999999999</v>
      </c>
      <c r="G3535" s="14">
        <f>E3535*F3535</f>
        <v/>
      </c>
      <c r="H3535" s="14">
        <f>C3535*G3535</f>
        <v/>
      </c>
    </row>
    <row r="3536">
      <c r="A3536" s="12" t="inlineStr">
        <is>
          <t>RET-0259</t>
        </is>
      </c>
      <c r="B3536" s="12" t="inlineStr">
        <is>
          <t>VS33</t>
        </is>
      </c>
      <c r="C3536" s="28" t="n">
        <v>0.017</v>
      </c>
      <c r="D3536" s="12" t="inlineStr">
        <is>
          <t>PO-2023-4482</t>
        </is>
      </c>
      <c r="E3536" s="12" t="n">
        <v>2.82</v>
      </c>
      <c r="F3536" s="17" t="n">
        <v>55602.48</v>
      </c>
      <c r="G3536" s="14">
        <f>E3536*F3536</f>
        <v/>
      </c>
      <c r="H3536" s="14">
        <f>C3536*G3536</f>
        <v/>
      </c>
    </row>
    <row r="3537">
      <c r="A3537" s="12" t="inlineStr">
        <is>
          <t>RET-0259</t>
        </is>
      </c>
      <c r="B3537" s="12" t="inlineStr">
        <is>
          <t>VS34</t>
        </is>
      </c>
      <c r="C3537" s="28" t="n">
        <v>0.022</v>
      </c>
      <c r="D3537" s="12" t="inlineStr">
        <is>
          <t>PO-2021-1526</t>
        </is>
      </c>
      <c r="E3537" s="12" t="n">
        <v>2.82</v>
      </c>
      <c r="F3537" s="17" t="n">
        <v>75803.92999999999</v>
      </c>
      <c r="G3537" s="14">
        <f>E3537*F3537</f>
        <v/>
      </c>
      <c r="H3537" s="14">
        <f>C3537*G3537</f>
        <v/>
      </c>
    </row>
    <row r="3538">
      <c r="A3538" s="12" t="inlineStr">
        <is>
          <t>RET-0260</t>
        </is>
      </c>
      <c r="B3538" s="12" t="inlineStr">
        <is>
          <t>VS01</t>
        </is>
      </c>
      <c r="C3538" s="28" t="n">
        <v>0.0106</v>
      </c>
      <c r="D3538" s="12" t="inlineStr">
        <is>
          <t>PO-2023-3900</t>
        </is>
      </c>
      <c r="E3538" s="12" t="n">
        <v>2.68</v>
      </c>
      <c r="F3538" s="17" t="n">
        <v>83770.24000000001</v>
      </c>
      <c r="G3538" s="14">
        <f>E3538*F3538</f>
        <v/>
      </c>
      <c r="H3538" s="14">
        <f>C3538*G3538</f>
        <v/>
      </c>
    </row>
    <row r="3539">
      <c r="A3539" s="12" t="inlineStr">
        <is>
          <t>RET-0260</t>
        </is>
      </c>
      <c r="B3539" s="12" t="inlineStr">
        <is>
          <t>VS02</t>
        </is>
      </c>
      <c r="C3539" s="28" t="n">
        <v>0.0048</v>
      </c>
      <c r="D3539" s="12" t="inlineStr">
        <is>
          <t>PO-2023-4678</t>
        </is>
      </c>
      <c r="E3539" s="12" t="n">
        <v>2.68</v>
      </c>
      <c r="F3539" s="17" t="n">
        <v>101994.6</v>
      </c>
      <c r="G3539" s="14">
        <f>E3539*F3539</f>
        <v/>
      </c>
      <c r="H3539" s="14">
        <f>C3539*G3539</f>
        <v/>
      </c>
    </row>
    <row r="3540">
      <c r="A3540" s="12" t="inlineStr">
        <is>
          <t>RET-0260</t>
        </is>
      </c>
      <c r="B3540" s="12" t="inlineStr">
        <is>
          <t>VS03</t>
        </is>
      </c>
      <c r="C3540" s="28" t="n">
        <v>0.2233</v>
      </c>
      <c r="D3540" s="12" t="inlineStr">
        <is>
          <t>PO-2022-1751</t>
        </is>
      </c>
      <c r="E3540" s="12" t="n">
        <v>2.68</v>
      </c>
      <c r="F3540" s="17" t="n">
        <v>93059.59</v>
      </c>
      <c r="G3540" s="14">
        <f>E3540*F3540</f>
        <v/>
      </c>
      <c r="H3540" s="14">
        <f>C3540*G3540</f>
        <v/>
      </c>
    </row>
    <row r="3541">
      <c r="A3541" s="12" t="inlineStr">
        <is>
          <t>RET-0260</t>
        </is>
      </c>
      <c r="B3541" s="12" t="inlineStr">
        <is>
          <t>VS04</t>
        </is>
      </c>
      <c r="C3541" s="28" t="n">
        <v>0.0066</v>
      </c>
      <c r="D3541" s="12" t="inlineStr">
        <is>
          <t>PO-2021-0105</t>
        </is>
      </c>
      <c r="E3541" s="12" t="n">
        <v>2.68</v>
      </c>
      <c r="F3541" s="17" t="n">
        <v>54825.99</v>
      </c>
      <c r="G3541" s="14">
        <f>E3541*F3541</f>
        <v/>
      </c>
      <c r="H3541" s="14">
        <f>C3541*G3541</f>
        <v/>
      </c>
    </row>
    <row r="3542">
      <c r="A3542" s="12" t="inlineStr">
        <is>
          <t>RET-0260</t>
        </is>
      </c>
      <c r="B3542" s="12" t="inlineStr">
        <is>
          <t>VS05</t>
        </is>
      </c>
      <c r="C3542" s="28" t="n">
        <v>0.0086</v>
      </c>
      <c r="D3542" s="12" t="inlineStr">
        <is>
          <t>PO-2023-3947</t>
        </is>
      </c>
      <c r="E3542" s="12" t="n">
        <v>2.68</v>
      </c>
      <c r="F3542" s="17" t="n">
        <v>61585.29</v>
      </c>
      <c r="G3542" s="14">
        <f>E3542*F3542</f>
        <v/>
      </c>
      <c r="H3542" s="14">
        <f>C3542*G3542</f>
        <v/>
      </c>
    </row>
    <row r="3543">
      <c r="A3543" s="12" t="inlineStr">
        <is>
          <t>RET-0260</t>
        </is>
      </c>
      <c r="B3543" s="12" t="inlineStr">
        <is>
          <t>VS06</t>
        </is>
      </c>
      <c r="C3543" s="28" t="n">
        <v>0.008699999999999999</v>
      </c>
      <c r="D3543" s="12" t="inlineStr">
        <is>
          <t>PO-2021-1052</t>
        </is>
      </c>
      <c r="E3543" s="12" t="n">
        <v>2.68</v>
      </c>
      <c r="F3543" s="17" t="n">
        <v>78316.53</v>
      </c>
      <c r="G3543" s="14">
        <f>E3543*F3543</f>
        <v/>
      </c>
      <c r="H3543" s="14">
        <f>C3543*G3543</f>
        <v/>
      </c>
    </row>
    <row r="3544">
      <c r="A3544" s="12" t="inlineStr">
        <is>
          <t>RET-0260</t>
        </is>
      </c>
      <c r="B3544" s="12" t="inlineStr">
        <is>
          <t>VS07</t>
        </is>
      </c>
      <c r="C3544" s="28" t="n">
        <v>0.0029</v>
      </c>
      <c r="D3544" s="12" t="inlineStr">
        <is>
          <t>PO-2022-1852</t>
        </is>
      </c>
      <c r="E3544" s="12" t="n">
        <v>2.68</v>
      </c>
      <c r="F3544" s="17" t="n">
        <v>83309.71000000001</v>
      </c>
      <c r="G3544" s="14">
        <f>E3544*F3544</f>
        <v/>
      </c>
      <c r="H3544" s="14">
        <f>C3544*G3544</f>
        <v/>
      </c>
    </row>
    <row r="3545">
      <c r="A3545" s="12" t="inlineStr">
        <is>
          <t>RET-0260</t>
        </is>
      </c>
      <c r="B3545" s="12" t="inlineStr">
        <is>
          <t>VS08</t>
        </is>
      </c>
      <c r="C3545" s="28" t="n">
        <v>0.008699999999999999</v>
      </c>
      <c r="D3545" s="12" t="inlineStr">
        <is>
          <t>PO-2021-0880</t>
        </is>
      </c>
      <c r="E3545" s="12" t="n">
        <v>2.68</v>
      </c>
      <c r="F3545" s="17" t="n">
        <v>119924.03</v>
      </c>
      <c r="G3545" s="14">
        <f>E3545*F3545</f>
        <v/>
      </c>
      <c r="H3545" s="14">
        <f>C3545*G3545</f>
        <v/>
      </c>
    </row>
    <row r="3546">
      <c r="A3546" s="12" t="inlineStr">
        <is>
          <t>RET-0260</t>
        </is>
      </c>
      <c r="B3546" s="12" t="inlineStr">
        <is>
          <t>VS09</t>
        </is>
      </c>
      <c r="C3546" s="28" t="n">
        <v>0.0067</v>
      </c>
      <c r="D3546" s="12" t="inlineStr">
        <is>
          <t>PO-2023-3920</t>
        </is>
      </c>
      <c r="E3546" s="12" t="n">
        <v>2.68</v>
      </c>
      <c r="F3546" s="17" t="n">
        <v>119572.89</v>
      </c>
      <c r="G3546" s="14">
        <f>E3546*F3546</f>
        <v/>
      </c>
      <c r="H3546" s="14">
        <f>C3546*G3546</f>
        <v/>
      </c>
    </row>
    <row r="3547">
      <c r="A3547" s="12" t="inlineStr">
        <is>
          <t>RET-0260</t>
        </is>
      </c>
      <c r="B3547" s="12" t="inlineStr">
        <is>
          <t>VS10</t>
        </is>
      </c>
      <c r="C3547" s="28" t="n">
        <v>0.0105</v>
      </c>
      <c r="D3547" s="12" t="inlineStr">
        <is>
          <t>PO-2021-1031</t>
        </is>
      </c>
      <c r="E3547" s="12" t="n">
        <v>2.68</v>
      </c>
      <c r="F3547" s="17" t="n">
        <v>92045.71000000001</v>
      </c>
      <c r="G3547" s="14">
        <f>E3547*F3547</f>
        <v/>
      </c>
      <c r="H3547" s="14">
        <f>C3547*G3547</f>
        <v/>
      </c>
    </row>
    <row r="3548">
      <c r="A3548" s="12" t="inlineStr">
        <is>
          <t>RET-0260</t>
        </is>
      </c>
      <c r="B3548" s="12" t="inlineStr">
        <is>
          <t>VS11</t>
        </is>
      </c>
      <c r="C3548" s="28" t="n">
        <v>0.0124</v>
      </c>
      <c r="D3548" s="12" t="inlineStr">
        <is>
          <t>PO-2023-3369</t>
        </is>
      </c>
      <c r="E3548" s="12" t="n">
        <v>2.68</v>
      </c>
      <c r="F3548" s="17" t="n">
        <v>98767.22</v>
      </c>
      <c r="G3548" s="14">
        <f>E3548*F3548</f>
        <v/>
      </c>
      <c r="H3548" s="14">
        <f>C3548*G3548</f>
        <v/>
      </c>
    </row>
    <row r="3549">
      <c r="A3549" s="12" t="inlineStr">
        <is>
          <t>RET-0260</t>
        </is>
      </c>
      <c r="B3549" s="12" t="inlineStr">
        <is>
          <t>VS12</t>
        </is>
      </c>
      <c r="C3549" s="28" t="n">
        <v>0.3103</v>
      </c>
      <c r="D3549" s="12" t="inlineStr">
        <is>
          <t>PO-2023-3763</t>
        </is>
      </c>
      <c r="E3549" s="12" t="n">
        <v>2.68</v>
      </c>
      <c r="F3549" s="17" t="n">
        <v>104047.49</v>
      </c>
      <c r="G3549" s="14">
        <f>E3549*F3549</f>
        <v/>
      </c>
      <c r="H3549" s="14">
        <f>C3549*G3549</f>
        <v/>
      </c>
    </row>
    <row r="3550">
      <c r="A3550" s="12" t="inlineStr">
        <is>
          <t>RET-0260</t>
        </is>
      </c>
      <c r="B3550" s="12" t="inlineStr">
        <is>
          <t>VS13</t>
        </is>
      </c>
      <c r="C3550" s="28" t="n">
        <v>0.008500000000000001</v>
      </c>
      <c r="D3550" s="12" t="inlineStr">
        <is>
          <t>PO-2022-2098</t>
        </is>
      </c>
      <c r="E3550" s="12" t="n">
        <v>2.68</v>
      </c>
      <c r="F3550" s="17" t="n">
        <v>78007.74000000001</v>
      </c>
      <c r="G3550" s="14">
        <f>E3550*F3550</f>
        <v/>
      </c>
      <c r="H3550" s="14">
        <f>C3550*G3550</f>
        <v/>
      </c>
    </row>
    <row r="3551">
      <c r="A3551" s="12" t="inlineStr">
        <is>
          <t>RET-0260</t>
        </is>
      </c>
      <c r="B3551" s="12" t="inlineStr">
        <is>
          <t>VS14</t>
        </is>
      </c>
      <c r="C3551" s="28" t="n">
        <v>0.0086</v>
      </c>
      <c r="D3551" s="12" t="inlineStr">
        <is>
          <t>PO-2021-0340</t>
        </is>
      </c>
      <c r="E3551" s="12" t="n">
        <v>2.68</v>
      </c>
      <c r="F3551" s="17" t="n">
        <v>53798.71</v>
      </c>
      <c r="G3551" s="14">
        <f>E3551*F3551</f>
        <v/>
      </c>
      <c r="H3551" s="14">
        <f>C3551*G3551</f>
        <v/>
      </c>
    </row>
    <row r="3552">
      <c r="A3552" s="12" t="inlineStr">
        <is>
          <t>RET-0260</t>
        </is>
      </c>
      <c r="B3552" s="12" t="inlineStr">
        <is>
          <t>VS15</t>
        </is>
      </c>
      <c r="C3552" s="28" t="n">
        <v>0.0029</v>
      </c>
      <c r="D3552" s="12" t="inlineStr">
        <is>
          <t>PO-2023-3214</t>
        </is>
      </c>
      <c r="E3552" s="12" t="n">
        <v>2.68</v>
      </c>
      <c r="F3552" s="17" t="n">
        <v>90254.23</v>
      </c>
      <c r="G3552" s="14">
        <f>E3552*F3552</f>
        <v/>
      </c>
      <c r="H3552" s="14">
        <f>C3552*G3552</f>
        <v/>
      </c>
    </row>
    <row r="3553">
      <c r="A3553" s="12" t="inlineStr">
        <is>
          <t>RET-0260</t>
        </is>
      </c>
      <c r="B3553" s="12" t="inlineStr">
        <is>
          <t>VS16</t>
        </is>
      </c>
      <c r="C3553" s="28" t="n">
        <v>0.0124</v>
      </c>
      <c r="D3553" s="12" t="inlineStr">
        <is>
          <t>PO-2021-0060</t>
        </is>
      </c>
      <c r="E3553" s="12" t="n">
        <v>2.68</v>
      </c>
      <c r="F3553" s="17" t="n">
        <v>91600.17</v>
      </c>
      <c r="G3553" s="14">
        <f>E3553*F3553</f>
        <v/>
      </c>
      <c r="H3553" s="14">
        <f>C3553*G3553</f>
        <v/>
      </c>
    </row>
    <row r="3554">
      <c r="A3554" s="12" t="inlineStr">
        <is>
          <t>RET-0260</t>
        </is>
      </c>
      <c r="B3554" s="12" t="inlineStr">
        <is>
          <t>VS17</t>
        </is>
      </c>
      <c r="C3554" s="28" t="n">
        <v>0.0123</v>
      </c>
      <c r="D3554" s="12" t="inlineStr">
        <is>
          <t>PO-2022-2522</t>
        </is>
      </c>
      <c r="E3554" s="12" t="n">
        <v>1.02</v>
      </c>
      <c r="F3554" s="17" t="n">
        <v>49967.12</v>
      </c>
      <c r="G3554" s="14">
        <f>E3554*F3554</f>
        <v/>
      </c>
      <c r="H3554" s="14">
        <f>C3554*G3554</f>
        <v/>
      </c>
    </row>
    <row r="3555">
      <c r="A3555" s="12" t="inlineStr">
        <is>
          <t>RET-0260</t>
        </is>
      </c>
      <c r="B3555" s="12" t="inlineStr">
        <is>
          <t>VS18</t>
        </is>
      </c>
      <c r="C3555" s="28" t="n">
        <v>0.0086</v>
      </c>
      <c r="D3555" s="12" t="inlineStr">
        <is>
          <t>PO-2021-1371</t>
        </is>
      </c>
      <c r="E3555" s="12" t="n">
        <v>1.36</v>
      </c>
      <c r="F3555" s="17" t="n">
        <v>55701.9</v>
      </c>
      <c r="G3555" s="14">
        <f>E3555*F3555</f>
        <v/>
      </c>
      <c r="H3555" s="14">
        <f>C3555*G3555</f>
        <v/>
      </c>
    </row>
    <row r="3556">
      <c r="A3556" s="12" t="inlineStr">
        <is>
          <t>RET-0260</t>
        </is>
      </c>
      <c r="B3556" s="12" t="inlineStr">
        <is>
          <t>VS19</t>
        </is>
      </c>
      <c r="C3556" s="28" t="n">
        <v>0.2341</v>
      </c>
      <c r="D3556" s="12" t="inlineStr">
        <is>
          <t>PO-2021-1033</t>
        </is>
      </c>
      <c r="E3556" s="12" t="n">
        <v>2.68</v>
      </c>
      <c r="F3556" s="17" t="n">
        <v>114799.91</v>
      </c>
      <c r="G3556" s="14">
        <f>E3556*F3556</f>
        <v/>
      </c>
      <c r="H3556" s="14">
        <f>C3556*G3556</f>
        <v/>
      </c>
    </row>
    <row r="3557">
      <c r="A3557" s="12" t="inlineStr">
        <is>
          <t>RET-0260</t>
        </is>
      </c>
      <c r="B3557" s="12" t="inlineStr">
        <is>
          <t>VS20</t>
        </is>
      </c>
      <c r="C3557" s="28" t="n">
        <v>0.0048</v>
      </c>
      <c r="D3557" s="12" t="inlineStr">
        <is>
          <t>PO-2022-1614</t>
        </is>
      </c>
      <c r="E3557" s="12" t="n">
        <v>2.68</v>
      </c>
      <c r="F3557" s="17" t="n">
        <v>92879.17</v>
      </c>
      <c r="G3557" s="14">
        <f>E3557*F3557</f>
        <v/>
      </c>
      <c r="H3557" s="14">
        <f>C3557*G3557</f>
        <v/>
      </c>
    </row>
    <row r="3558">
      <c r="A3558" s="12" t="inlineStr">
        <is>
          <t>RET-0260</t>
        </is>
      </c>
      <c r="B3558" s="12" t="inlineStr">
        <is>
          <t>VS21</t>
        </is>
      </c>
      <c r="C3558" s="28" t="n">
        <v>0.0048</v>
      </c>
      <c r="D3558" s="12" t="inlineStr">
        <is>
          <t>PO-2022-1887</t>
        </is>
      </c>
      <c r="E3558" s="12" t="n">
        <v>2.68</v>
      </c>
      <c r="F3558" s="17" t="n">
        <v>94584.78</v>
      </c>
      <c r="G3558" s="14">
        <f>E3558*F3558</f>
        <v/>
      </c>
      <c r="H3558" s="14">
        <f>C3558*G3558</f>
        <v/>
      </c>
    </row>
    <row r="3559">
      <c r="A3559" s="12" t="inlineStr">
        <is>
          <t>RET-0260</t>
        </is>
      </c>
      <c r="B3559" s="12" t="inlineStr">
        <is>
          <t>VS22</t>
        </is>
      </c>
      <c r="C3559" s="28" t="n">
        <v>0.0028</v>
      </c>
      <c r="D3559" s="12" t="inlineStr">
        <is>
          <t>PO-2022-1694</t>
        </is>
      </c>
      <c r="E3559" s="12" t="n">
        <v>2.68</v>
      </c>
      <c r="F3559" s="17" t="n">
        <v>104642.96</v>
      </c>
      <c r="G3559" s="14">
        <f>E3559*F3559</f>
        <v/>
      </c>
      <c r="H3559" s="14">
        <f>C3559*G3559</f>
        <v/>
      </c>
    </row>
    <row r="3560">
      <c r="A3560" s="12" t="inlineStr">
        <is>
          <t>RET-0260</t>
        </is>
      </c>
      <c r="B3560" s="12" t="inlineStr">
        <is>
          <t>VS23</t>
        </is>
      </c>
      <c r="C3560" s="28" t="n">
        <v>0.0047</v>
      </c>
      <c r="D3560" s="12" t="inlineStr">
        <is>
          <t>PO-2022-1853</t>
        </is>
      </c>
      <c r="E3560" s="12" t="n">
        <v>2.68</v>
      </c>
      <c r="F3560" s="17" t="n">
        <v>88701.47</v>
      </c>
      <c r="G3560" s="14">
        <f>E3560*F3560</f>
        <v/>
      </c>
      <c r="H3560" s="14">
        <f>C3560*G3560</f>
        <v/>
      </c>
    </row>
    <row r="3561">
      <c r="A3561" s="12" t="inlineStr">
        <is>
          <t>RET-0260</t>
        </is>
      </c>
      <c r="B3561" s="12" t="inlineStr">
        <is>
          <t>VS24</t>
        </is>
      </c>
      <c r="C3561" s="28" t="n">
        <v>0.0048</v>
      </c>
      <c r="D3561" s="12" t="inlineStr">
        <is>
          <t>PO-2023-4459</t>
        </is>
      </c>
      <c r="E3561" s="12" t="n">
        <v>2.68</v>
      </c>
      <c r="F3561" s="17" t="n">
        <v>65562.3</v>
      </c>
      <c r="G3561" s="14">
        <f>E3561*F3561</f>
        <v/>
      </c>
      <c r="H3561" s="14">
        <f>C3561*G3561</f>
        <v/>
      </c>
    </row>
    <row r="3562">
      <c r="A3562" s="12" t="inlineStr">
        <is>
          <t>RET-0260</t>
        </is>
      </c>
      <c r="B3562" s="12" t="inlineStr">
        <is>
          <t>VS25</t>
        </is>
      </c>
      <c r="C3562" s="28" t="n">
        <v>0.0086</v>
      </c>
      <c r="D3562" s="12" t="inlineStr">
        <is>
          <t>PO-2022-2245</t>
        </is>
      </c>
      <c r="E3562" s="12" t="n">
        <v>2.68</v>
      </c>
      <c r="F3562" s="17" t="n">
        <v>85332.28</v>
      </c>
      <c r="G3562" s="14">
        <f>E3562*F3562</f>
        <v/>
      </c>
      <c r="H3562" s="14">
        <f>C3562*G3562</f>
        <v/>
      </c>
    </row>
    <row r="3563">
      <c r="A3563" s="12" t="inlineStr">
        <is>
          <t>RET-0260</t>
        </is>
      </c>
      <c r="B3563" s="12" t="inlineStr">
        <is>
          <t>VS26</t>
        </is>
      </c>
      <c r="C3563" s="28" t="n">
        <v>0.0048</v>
      </c>
      <c r="D3563" s="12" t="inlineStr">
        <is>
          <t>PO-2021-1305</t>
        </is>
      </c>
      <c r="E3563" s="12" t="n">
        <v>2.68</v>
      </c>
      <c r="F3563" s="17" t="n">
        <v>111007.38</v>
      </c>
      <c r="G3563" s="14">
        <f>E3563*F3563</f>
        <v/>
      </c>
      <c r="H3563" s="14">
        <f>C3563*G3563</f>
        <v/>
      </c>
    </row>
    <row r="3564">
      <c r="A3564" s="12" t="inlineStr">
        <is>
          <t>RET-0260</t>
        </is>
      </c>
      <c r="B3564" s="12" t="inlineStr">
        <is>
          <t>VS27</t>
        </is>
      </c>
      <c r="C3564" s="28" t="n">
        <v>0.0047</v>
      </c>
      <c r="D3564" s="12" t="inlineStr">
        <is>
          <t>PO-2021-1358</t>
        </is>
      </c>
      <c r="E3564" s="12" t="n">
        <v>2.68</v>
      </c>
      <c r="F3564" s="17" t="n">
        <v>108970.81</v>
      </c>
      <c r="G3564" s="14">
        <f>E3564*F3564</f>
        <v/>
      </c>
      <c r="H3564" s="14">
        <f>C3564*G3564</f>
        <v/>
      </c>
    </row>
    <row r="3565">
      <c r="A3565" s="12" t="inlineStr">
        <is>
          <t>RET-0260</t>
        </is>
      </c>
      <c r="B3565" s="12" t="inlineStr">
        <is>
          <t>VS28</t>
        </is>
      </c>
      <c r="C3565" s="28" t="n">
        <v>0.0105</v>
      </c>
      <c r="D3565" s="12" t="inlineStr">
        <is>
          <t>PO-2023-3330</t>
        </is>
      </c>
      <c r="E3565" s="12" t="n">
        <v>2.68</v>
      </c>
      <c r="F3565" s="17" t="n">
        <v>110823.61</v>
      </c>
      <c r="G3565" s="14">
        <f>E3565*F3565</f>
        <v/>
      </c>
      <c r="H3565" s="14">
        <f>C3565*G3565</f>
        <v/>
      </c>
    </row>
    <row r="3566">
      <c r="A3566" s="12" t="inlineStr">
        <is>
          <t>RET-0260</t>
        </is>
      </c>
      <c r="B3566" s="12" t="inlineStr">
        <is>
          <t>VS29</t>
        </is>
      </c>
      <c r="C3566" s="28" t="n">
        <v>0.0067</v>
      </c>
      <c r="D3566" s="12" t="inlineStr">
        <is>
          <t>PO-2022-2154</t>
        </is>
      </c>
      <c r="E3566" s="12" t="n">
        <v>2.68</v>
      </c>
      <c r="F3566" s="17" t="n">
        <v>64710.35</v>
      </c>
      <c r="G3566" s="14">
        <f>E3566*F3566</f>
        <v/>
      </c>
      <c r="H3566" s="14">
        <f>C3566*G3566</f>
        <v/>
      </c>
    </row>
    <row r="3567">
      <c r="A3567" s="12" t="inlineStr">
        <is>
          <t>RET-0260</t>
        </is>
      </c>
      <c r="B3567" s="12" t="inlineStr">
        <is>
          <t>VS30</t>
        </is>
      </c>
      <c r="C3567" s="28" t="n">
        <v>0.0029</v>
      </c>
      <c r="D3567" s="12" t="inlineStr">
        <is>
          <t>PO-2021-0384</t>
        </is>
      </c>
      <c r="E3567" s="12" t="n">
        <v>2.68</v>
      </c>
      <c r="F3567" s="17" t="n">
        <v>66849.84</v>
      </c>
      <c r="G3567" s="14">
        <f>E3567*F3567</f>
        <v/>
      </c>
      <c r="H3567" s="14">
        <f>C3567*G3567</f>
        <v/>
      </c>
    </row>
    <row r="3568">
      <c r="A3568" s="12" t="inlineStr">
        <is>
          <t>RET-0260</t>
        </is>
      </c>
      <c r="B3568" s="12" t="inlineStr">
        <is>
          <t>VS31</t>
        </is>
      </c>
      <c r="C3568" s="28" t="n">
        <v>0.0105</v>
      </c>
      <c r="D3568" s="12" t="inlineStr">
        <is>
          <t>PO-2023-3791</t>
        </is>
      </c>
      <c r="E3568" s="12" t="n">
        <v>2.68</v>
      </c>
      <c r="F3568" s="17" t="n">
        <v>88516.24000000001</v>
      </c>
      <c r="G3568" s="14">
        <f>E3568*F3568</f>
        <v/>
      </c>
      <c r="H3568" s="14">
        <f>C3568*G3568</f>
        <v/>
      </c>
    </row>
    <row r="3569">
      <c r="A3569" s="12" t="inlineStr">
        <is>
          <t>RET-0260</t>
        </is>
      </c>
      <c r="B3569" s="12" t="inlineStr">
        <is>
          <t>VS32</t>
        </is>
      </c>
      <c r="C3569" s="28" t="n">
        <v>0.0125</v>
      </c>
      <c r="D3569" s="12" t="inlineStr">
        <is>
          <t>PO-2023-4397</t>
        </is>
      </c>
      <c r="E3569" s="12" t="n">
        <v>1.96</v>
      </c>
      <c r="F3569" s="17" t="n">
        <v>55207.61</v>
      </c>
      <c r="G3569" s="14">
        <f>E3569*F3569</f>
        <v/>
      </c>
      <c r="H3569" s="14">
        <f>C3569*G3569</f>
        <v/>
      </c>
    </row>
    <row r="3570">
      <c r="A3570" s="12" t="inlineStr">
        <is>
          <t>RET-0260</t>
        </is>
      </c>
      <c r="B3570" s="12" t="inlineStr">
        <is>
          <t>VS33</t>
        </is>
      </c>
      <c r="C3570" s="28" t="n">
        <v>0.0067</v>
      </c>
      <c r="D3570" s="12" t="inlineStr">
        <is>
          <t>PO-2022-2047</t>
        </is>
      </c>
      <c r="E3570" s="12" t="n">
        <v>2.68</v>
      </c>
      <c r="F3570" s="17" t="n">
        <v>57103.45</v>
      </c>
      <c r="G3570" s="14">
        <f>E3570*F3570</f>
        <v/>
      </c>
      <c r="H3570" s="14">
        <f>C3570*G3570</f>
        <v/>
      </c>
    </row>
    <row r="3571">
      <c r="A3571" s="12" t="inlineStr">
        <is>
          <t>RET-0260</t>
        </is>
      </c>
      <c r="B3571" s="12" t="inlineStr">
        <is>
          <t>VS34</t>
        </is>
      </c>
      <c r="C3571" s="28" t="n">
        <v>0.0086</v>
      </c>
      <c r="D3571" s="12" t="inlineStr">
        <is>
          <t>PO-2022-2486</t>
        </is>
      </c>
      <c r="E3571" s="12" t="n">
        <v>2.68</v>
      </c>
      <c r="F3571" s="17" t="n">
        <v>118437.11</v>
      </c>
      <c r="G3571" s="14">
        <f>E3571*F3571</f>
        <v/>
      </c>
      <c r="H3571" s="14">
        <f>C3571*G3571</f>
        <v/>
      </c>
    </row>
    <row r="3572">
      <c r="A3572" s="12" t="inlineStr">
        <is>
          <t>RET-0261</t>
        </is>
      </c>
      <c r="B3572" s="12" t="inlineStr">
        <is>
          <t>VS01</t>
        </is>
      </c>
      <c r="C3572" s="28" t="n">
        <v>0.0326</v>
      </c>
      <c r="D3572" s="12" t="inlineStr">
        <is>
          <t>PO-2023-3836</t>
        </is>
      </c>
      <c r="E3572" s="12" t="n">
        <v>4.35</v>
      </c>
      <c r="F3572" s="17" t="n">
        <v>50450.36</v>
      </c>
      <c r="G3572" s="14">
        <f>E3572*F3572</f>
        <v/>
      </c>
      <c r="H3572" s="14">
        <f>C3572*G3572</f>
        <v/>
      </c>
    </row>
    <row r="3573">
      <c r="A3573" s="12" t="inlineStr">
        <is>
          <t>RET-0261</t>
        </is>
      </c>
      <c r="B3573" s="12" t="inlineStr">
        <is>
          <t>VS02</t>
        </is>
      </c>
      <c r="C3573" s="28" t="n">
        <v>0.0149</v>
      </c>
      <c r="D3573" s="12" t="inlineStr">
        <is>
          <t>PO-2021-0828</t>
        </is>
      </c>
      <c r="E3573" s="12" t="n">
        <v>4.35</v>
      </c>
      <c r="F3573" s="17" t="n">
        <v>94764.63</v>
      </c>
      <c r="G3573" s="14">
        <f>E3573*F3573</f>
        <v/>
      </c>
      <c r="H3573" s="14">
        <f>C3573*G3573</f>
        <v/>
      </c>
    </row>
    <row r="3574">
      <c r="A3574" s="12" t="inlineStr">
        <is>
          <t>RET-0261</t>
        </is>
      </c>
      <c r="B3574" s="12" t="inlineStr">
        <is>
          <t>VS03</t>
        </is>
      </c>
      <c r="C3574" s="28" t="n">
        <v>0.0822</v>
      </c>
      <c r="D3574" s="12" t="inlineStr">
        <is>
          <t>PO-2023-3407</t>
        </is>
      </c>
      <c r="E3574" s="12" t="n">
        <v>4.35</v>
      </c>
      <c r="F3574" s="17" t="n">
        <v>98690.67999999999</v>
      </c>
      <c r="G3574" s="14">
        <f>E3574*F3574</f>
        <v/>
      </c>
      <c r="H3574" s="14">
        <f>C3574*G3574</f>
        <v/>
      </c>
    </row>
    <row r="3575">
      <c r="A3575" s="12" t="inlineStr">
        <is>
          <t>RET-0261</t>
        </is>
      </c>
      <c r="B3575" s="12" t="inlineStr">
        <is>
          <t>VS04</t>
        </is>
      </c>
      <c r="C3575" s="28" t="n">
        <v>0.0205</v>
      </c>
      <c r="D3575" s="12" t="inlineStr">
        <is>
          <t>PO-2023-3984</t>
        </is>
      </c>
      <c r="E3575" s="12" t="n">
        <v>4.35</v>
      </c>
      <c r="F3575" s="17" t="n">
        <v>70318.39</v>
      </c>
      <c r="G3575" s="14">
        <f>E3575*F3575</f>
        <v/>
      </c>
      <c r="H3575" s="14">
        <f>C3575*G3575</f>
        <v/>
      </c>
    </row>
    <row r="3576">
      <c r="A3576" s="12" t="inlineStr">
        <is>
          <t>RET-0261</t>
        </is>
      </c>
      <c r="B3576" s="12" t="inlineStr">
        <is>
          <t>VS05</t>
        </is>
      </c>
      <c r="C3576" s="28" t="n">
        <v>0.0266</v>
      </c>
      <c r="D3576" s="12" t="inlineStr">
        <is>
          <t>PO-2023-3790</t>
        </is>
      </c>
      <c r="E3576" s="12" t="n">
        <v>4.35</v>
      </c>
      <c r="F3576" s="17" t="n">
        <v>88341.03</v>
      </c>
      <c r="G3576" s="14">
        <f>E3576*F3576</f>
        <v/>
      </c>
      <c r="H3576" s="14">
        <f>C3576*G3576</f>
        <v/>
      </c>
    </row>
    <row r="3577">
      <c r="A3577" s="12" t="inlineStr">
        <is>
          <t>RET-0261</t>
        </is>
      </c>
      <c r="B3577" s="12" t="inlineStr">
        <is>
          <t>VS06</t>
        </is>
      </c>
      <c r="C3577" s="28" t="n">
        <v>0.0268</v>
      </c>
      <c r="D3577" s="12" t="inlineStr">
        <is>
          <t>PO-2021-0533</t>
        </is>
      </c>
      <c r="E3577" s="12" t="n">
        <v>4.35</v>
      </c>
      <c r="F3577" s="17" t="n">
        <v>86404.06</v>
      </c>
      <c r="G3577" s="14">
        <f>E3577*F3577</f>
        <v/>
      </c>
      <c r="H3577" s="14">
        <f>C3577*G3577</f>
        <v/>
      </c>
    </row>
    <row r="3578">
      <c r="A3578" s="12" t="inlineStr">
        <is>
          <t>RET-0261</t>
        </is>
      </c>
      <c r="B3578" s="12" t="inlineStr">
        <is>
          <t>VS07</t>
        </is>
      </c>
      <c r="C3578" s="28" t="n">
        <v>0.0089</v>
      </c>
      <c r="D3578" s="12" t="inlineStr">
        <is>
          <t>PO-2022-2020</t>
        </is>
      </c>
      <c r="E3578" s="12" t="n">
        <v>4.35</v>
      </c>
      <c r="F3578" s="17" t="n">
        <v>99404.92999999999</v>
      </c>
      <c r="G3578" s="14">
        <f>E3578*F3578</f>
        <v/>
      </c>
      <c r="H3578" s="14">
        <f>C3578*G3578</f>
        <v/>
      </c>
    </row>
    <row r="3579">
      <c r="A3579" s="12" t="inlineStr">
        <is>
          <t>RET-0261</t>
        </is>
      </c>
      <c r="B3579" s="12" t="inlineStr">
        <is>
          <t>VS08</t>
        </is>
      </c>
      <c r="C3579" s="28" t="n">
        <v>0.027</v>
      </c>
      <c r="D3579" s="12" t="inlineStr">
        <is>
          <t>PO-2021-0439</t>
        </is>
      </c>
      <c r="E3579" s="12" t="n">
        <v>4.35</v>
      </c>
      <c r="F3579" s="17" t="n">
        <v>77204.16</v>
      </c>
      <c r="G3579" s="14">
        <f>E3579*F3579</f>
        <v/>
      </c>
      <c r="H3579" s="14">
        <f>C3579*G3579</f>
        <v/>
      </c>
    </row>
    <row r="3580">
      <c r="A3580" s="12" t="inlineStr">
        <is>
          <t>RET-0261</t>
        </is>
      </c>
      <c r="B3580" s="12" t="inlineStr">
        <is>
          <t>VS09</t>
        </is>
      </c>
      <c r="C3580" s="28" t="n">
        <v>0.0207</v>
      </c>
      <c r="D3580" s="12" t="inlineStr">
        <is>
          <t>PO-2021-1334</t>
        </is>
      </c>
      <c r="E3580" s="12" t="n">
        <v>4.35</v>
      </c>
      <c r="F3580" s="17" t="n">
        <v>111375.86</v>
      </c>
      <c r="G3580" s="14">
        <f>E3580*F3580</f>
        <v/>
      </c>
      <c r="H3580" s="14">
        <f>C3580*G3580</f>
        <v/>
      </c>
    </row>
    <row r="3581">
      <c r="A3581" s="12" t="inlineStr">
        <is>
          <t>RET-0261</t>
        </is>
      </c>
      <c r="B3581" s="12" t="inlineStr">
        <is>
          <t>VS10</t>
        </is>
      </c>
      <c r="C3581" s="28" t="n">
        <v>0.0326</v>
      </c>
      <c r="D3581" s="12" t="inlineStr">
        <is>
          <t>PO-2021-1508</t>
        </is>
      </c>
      <c r="E3581" s="12" t="n">
        <v>4.35</v>
      </c>
      <c r="F3581" s="17" t="n">
        <v>65052.74</v>
      </c>
      <c r="G3581" s="14">
        <f>E3581*F3581</f>
        <v/>
      </c>
      <c r="H3581" s="14">
        <f>C3581*G3581</f>
        <v/>
      </c>
    </row>
    <row r="3582">
      <c r="A3582" s="12" t="inlineStr">
        <is>
          <t>RET-0261</t>
        </is>
      </c>
      <c r="B3582" s="12" t="inlineStr">
        <is>
          <t>VS11</t>
        </is>
      </c>
      <c r="C3582" s="28" t="n">
        <v>0.0381</v>
      </c>
      <c r="D3582" s="12" t="inlineStr">
        <is>
          <t>PO-2021-0708</t>
        </is>
      </c>
      <c r="E3582" s="12" t="n">
        <v>4.35</v>
      </c>
      <c r="F3582" s="17" t="n">
        <v>45396.8</v>
      </c>
      <c r="G3582" s="14">
        <f>E3582*F3582</f>
        <v/>
      </c>
      <c r="H3582" s="14">
        <f>C3582*G3582</f>
        <v/>
      </c>
    </row>
    <row r="3583">
      <c r="A3583" s="12" t="inlineStr">
        <is>
          <t>RET-0261</t>
        </is>
      </c>
      <c r="B3583" s="12" t="inlineStr">
        <is>
          <t>VS12</t>
        </is>
      </c>
      <c r="C3583" s="28" t="n">
        <v>0.1142</v>
      </c>
      <c r="D3583" s="12" t="inlineStr">
        <is>
          <t>PO-2023-3708</t>
        </is>
      </c>
      <c r="E3583" s="12" t="n">
        <v>4.35</v>
      </c>
      <c r="F3583" s="17" t="n">
        <v>101633.27</v>
      </c>
      <c r="G3583" s="14">
        <f>E3583*F3583</f>
        <v/>
      </c>
      <c r="H3583" s="14">
        <f>C3583*G3583</f>
        <v/>
      </c>
    </row>
    <row r="3584">
      <c r="A3584" s="12" t="inlineStr">
        <is>
          <t>RET-0261</t>
        </is>
      </c>
      <c r="B3584" s="12" t="inlineStr">
        <is>
          <t>VS13</t>
        </is>
      </c>
      <c r="C3584" s="28" t="n">
        <v>0.0263</v>
      </c>
      <c r="D3584" s="12" t="inlineStr">
        <is>
          <t>PO-2021-1558</t>
        </is>
      </c>
      <c r="E3584" s="12" t="n">
        <v>4.35</v>
      </c>
      <c r="F3584" s="17" t="n">
        <v>84935.24000000001</v>
      </c>
      <c r="G3584" s="14">
        <f>E3584*F3584</f>
        <v/>
      </c>
      <c r="H3584" s="14">
        <f>C3584*G3584</f>
        <v/>
      </c>
    </row>
    <row r="3585">
      <c r="A3585" s="12" t="inlineStr">
        <is>
          <t>RET-0261</t>
        </is>
      </c>
      <c r="B3585" s="12" t="inlineStr">
        <is>
          <t>VS14</t>
        </is>
      </c>
      <c r="C3585" s="28" t="n">
        <v>0.0265</v>
      </c>
      <c r="D3585" s="12" t="inlineStr">
        <is>
          <t>PO-2022-2404</t>
        </is>
      </c>
      <c r="E3585" s="12" t="n">
        <v>4.35</v>
      </c>
      <c r="F3585" s="17" t="n">
        <v>76423.21000000001</v>
      </c>
      <c r="G3585" s="14">
        <f>E3585*F3585</f>
        <v/>
      </c>
      <c r="H3585" s="14">
        <f>C3585*G3585</f>
        <v/>
      </c>
    </row>
    <row r="3586">
      <c r="A3586" s="12" t="inlineStr">
        <is>
          <t>RET-0261</t>
        </is>
      </c>
      <c r="B3586" s="12" t="inlineStr">
        <is>
          <t>VS15</t>
        </is>
      </c>
      <c r="C3586" s="28" t="n">
        <v>0.0089</v>
      </c>
      <c r="D3586" s="12" t="inlineStr">
        <is>
          <t>PO-2021-0049</t>
        </is>
      </c>
      <c r="E3586" s="12" t="n">
        <v>4.35</v>
      </c>
      <c r="F3586" s="17" t="n">
        <v>97981.44</v>
      </c>
      <c r="G3586" s="14">
        <f>E3586*F3586</f>
        <v/>
      </c>
      <c r="H3586" s="14">
        <f>C3586*G3586</f>
        <v/>
      </c>
    </row>
    <row r="3587">
      <c r="A3587" s="12" t="inlineStr">
        <is>
          <t>RET-0261</t>
        </is>
      </c>
      <c r="B3587" s="12" t="inlineStr">
        <is>
          <t>VS16</t>
        </is>
      </c>
      <c r="C3587" s="28" t="n">
        <v>0.0383</v>
      </c>
      <c r="D3587" s="12" t="inlineStr">
        <is>
          <t>PO-2021-0129</t>
        </is>
      </c>
      <c r="E3587" s="12" t="n">
        <v>4.35</v>
      </c>
      <c r="F3587" s="17" t="n">
        <v>88110.89</v>
      </c>
      <c r="G3587" s="14">
        <f>E3587*F3587</f>
        <v/>
      </c>
      <c r="H3587" s="14">
        <f>C3587*G3587</f>
        <v/>
      </c>
    </row>
    <row r="3588">
      <c r="A3588" s="12" t="inlineStr">
        <is>
          <t>RET-0261</t>
        </is>
      </c>
      <c r="B3588" s="12" t="inlineStr">
        <is>
          <t>VS17</t>
        </is>
      </c>
      <c r="C3588" s="28" t="n">
        <v>0.0381</v>
      </c>
      <c r="D3588" s="12" t="inlineStr">
        <is>
          <t>PO-2022-2592</t>
        </is>
      </c>
      <c r="E3588" s="12" t="n">
        <v>4.35</v>
      </c>
      <c r="F3588" s="17" t="n">
        <v>66050.11</v>
      </c>
      <c r="G3588" s="14">
        <f>E3588*F3588</f>
        <v/>
      </c>
      <c r="H3588" s="14">
        <f>C3588*G3588</f>
        <v/>
      </c>
    </row>
    <row r="3589">
      <c r="A3589" s="12" t="inlineStr">
        <is>
          <t>RET-0261</t>
        </is>
      </c>
      <c r="B3589" s="12" t="inlineStr">
        <is>
          <t>VS18</t>
        </is>
      </c>
      <c r="C3589" s="28" t="n">
        <v>0.0265</v>
      </c>
      <c r="D3589" s="12" t="inlineStr">
        <is>
          <t>PO-2021-0489</t>
        </is>
      </c>
      <c r="E3589" s="12" t="n">
        <v>4.35</v>
      </c>
      <c r="F3589" s="17" t="n">
        <v>59959.34</v>
      </c>
      <c r="G3589" s="14">
        <f>E3589*F3589</f>
        <v/>
      </c>
      <c r="H3589" s="14">
        <f>C3589*G3589</f>
        <v/>
      </c>
    </row>
    <row r="3590">
      <c r="A3590" s="12" t="inlineStr">
        <is>
          <t>RET-0261</t>
        </is>
      </c>
      <c r="B3590" s="12" t="inlineStr">
        <is>
          <t>VS19</t>
        </is>
      </c>
      <c r="C3590" s="28" t="n">
        <v>0.0862</v>
      </c>
      <c r="D3590" s="12" t="inlineStr">
        <is>
          <t>PO-2022-1634</t>
        </is>
      </c>
      <c r="E3590" s="12" t="n">
        <v>4.35</v>
      </c>
      <c r="F3590" s="17" t="n">
        <v>77943.87</v>
      </c>
      <c r="G3590" s="14">
        <f>E3590*F3590</f>
        <v/>
      </c>
      <c r="H3590" s="14">
        <f>C3590*G3590</f>
        <v/>
      </c>
    </row>
    <row r="3591">
      <c r="A3591" s="12" t="inlineStr">
        <is>
          <t>RET-0261</t>
        </is>
      </c>
      <c r="B3591" s="12" t="inlineStr">
        <is>
          <t>VS20</t>
        </is>
      </c>
      <c r="C3591" s="28" t="n">
        <v>0.0148</v>
      </c>
      <c r="D3591" s="12" t="inlineStr">
        <is>
          <t>PO-2022-2626</t>
        </is>
      </c>
      <c r="E3591" s="12" t="n">
        <v>1.931</v>
      </c>
      <c r="F3591" s="17" t="n">
        <v>87536.69</v>
      </c>
      <c r="G3591" s="14">
        <f>E3591*F3591</f>
        <v/>
      </c>
      <c r="H3591" s="14">
        <f>C3591*G3591</f>
        <v/>
      </c>
    </row>
    <row r="3592">
      <c r="A3592" s="12" t="inlineStr">
        <is>
          <t>RET-0261</t>
        </is>
      </c>
      <c r="B3592" s="12" t="inlineStr">
        <is>
          <t>VS21</t>
        </is>
      </c>
      <c r="C3592" s="28" t="n">
        <v>0.0148</v>
      </c>
      <c r="D3592" s="12" t="inlineStr">
        <is>
          <t>PO-2021-1533</t>
        </is>
      </c>
      <c r="E3592" s="12" t="n">
        <v>4.35</v>
      </c>
      <c r="F3592" s="17" t="n">
        <v>114267.09</v>
      </c>
      <c r="G3592" s="14">
        <f>E3592*F3592</f>
        <v/>
      </c>
      <c r="H3592" s="14">
        <f>C3592*G3592</f>
        <v/>
      </c>
    </row>
    <row r="3593">
      <c r="A3593" s="12" t="inlineStr">
        <is>
          <t>RET-0261</t>
        </is>
      </c>
      <c r="B3593" s="12" t="inlineStr">
        <is>
          <t>VS22</t>
        </is>
      </c>
      <c r="C3593" s="28" t="n">
        <v>0.008800000000000001</v>
      </c>
      <c r="D3593" s="12" t="inlineStr">
        <is>
          <t>PO-2022-2808</t>
        </is>
      </c>
      <c r="E3593" s="12" t="n">
        <v>4.35</v>
      </c>
      <c r="F3593" s="17" t="n">
        <v>50970.52</v>
      </c>
      <c r="G3593" s="14">
        <f>E3593*F3593</f>
        <v/>
      </c>
      <c r="H3593" s="14">
        <f>C3593*G3593</f>
        <v/>
      </c>
    </row>
    <row r="3594">
      <c r="A3594" s="12" t="inlineStr">
        <is>
          <t>RET-0261</t>
        </is>
      </c>
      <c r="B3594" s="12" t="inlineStr">
        <is>
          <t>VS23</t>
        </is>
      </c>
      <c r="C3594" s="28" t="n">
        <v>0.0146</v>
      </c>
      <c r="D3594" s="12" t="inlineStr">
        <is>
          <t>PO-2023-4082</t>
        </is>
      </c>
      <c r="E3594" s="12" t="n">
        <v>4.35</v>
      </c>
      <c r="F3594" s="17" t="n">
        <v>92527.92999999999</v>
      </c>
      <c r="G3594" s="14">
        <f>E3594*F3594</f>
        <v/>
      </c>
      <c r="H3594" s="14">
        <f>C3594*G3594</f>
        <v/>
      </c>
    </row>
    <row r="3595">
      <c r="A3595" s="12" t="inlineStr">
        <is>
          <t>RET-0261</t>
        </is>
      </c>
      <c r="B3595" s="12" t="inlineStr">
        <is>
          <t>VS24</t>
        </is>
      </c>
      <c r="C3595" s="28" t="n">
        <v>0.0147</v>
      </c>
      <c r="D3595" s="12" t="inlineStr">
        <is>
          <t>PO-2021-0357</t>
        </is>
      </c>
      <c r="E3595" s="12" t="n">
        <v>4.35</v>
      </c>
      <c r="F3595" s="17" t="n">
        <v>63240.59</v>
      </c>
      <c r="G3595" s="14">
        <f>E3595*F3595</f>
        <v/>
      </c>
      <c r="H3595" s="14">
        <f>C3595*G3595</f>
        <v/>
      </c>
    </row>
    <row r="3596">
      <c r="A3596" s="12" t="inlineStr">
        <is>
          <t>RET-0261</t>
        </is>
      </c>
      <c r="B3596" s="12" t="inlineStr">
        <is>
          <t>VS25</t>
        </is>
      </c>
      <c r="C3596" s="28" t="n">
        <v>0.0267</v>
      </c>
      <c r="D3596" s="12" t="inlineStr">
        <is>
          <t>PO-2022-3130</t>
        </is>
      </c>
      <c r="E3596" s="12" t="n">
        <v>4.35</v>
      </c>
      <c r="F3596" s="17" t="n">
        <v>104593.37</v>
      </c>
      <c r="G3596" s="14">
        <f>E3596*F3596</f>
        <v/>
      </c>
      <c r="H3596" s="14">
        <f>C3596*G3596</f>
        <v/>
      </c>
    </row>
    <row r="3597">
      <c r="A3597" s="12" t="inlineStr">
        <is>
          <t>RET-0261</t>
        </is>
      </c>
      <c r="B3597" s="12" t="inlineStr">
        <is>
          <t>VS26</t>
        </is>
      </c>
      <c r="C3597" s="28" t="n">
        <v>0.0149</v>
      </c>
      <c r="D3597" s="12" t="inlineStr">
        <is>
          <t>PO-2022-2752</t>
        </is>
      </c>
      <c r="E3597" s="12" t="n">
        <v>3.989</v>
      </c>
      <c r="F3597" s="17" t="n">
        <v>49136.32</v>
      </c>
      <c r="G3597" s="14">
        <f>E3597*F3597</f>
        <v/>
      </c>
      <c r="H3597" s="14">
        <f>C3597*G3597</f>
        <v/>
      </c>
    </row>
    <row r="3598">
      <c r="A3598" s="12" t="inlineStr">
        <is>
          <t>RET-0261</t>
        </is>
      </c>
      <c r="B3598" s="12" t="inlineStr">
        <is>
          <t>VS27</t>
        </is>
      </c>
      <c r="C3598" s="28" t="n">
        <v>0.0146</v>
      </c>
      <c r="D3598" s="12" t="inlineStr">
        <is>
          <t>PO-2022-1931</t>
        </is>
      </c>
      <c r="E3598" s="12" t="n">
        <v>1.44</v>
      </c>
      <c r="F3598" s="17" t="n">
        <v>53818.75</v>
      </c>
      <c r="G3598" s="14">
        <f>E3598*F3598</f>
        <v/>
      </c>
      <c r="H3598" s="14">
        <f>C3598*G3598</f>
        <v/>
      </c>
    </row>
    <row r="3599">
      <c r="A3599" s="12" t="inlineStr">
        <is>
          <t>RET-0261</t>
        </is>
      </c>
      <c r="B3599" s="12" t="inlineStr">
        <is>
          <t>VS28</t>
        </is>
      </c>
      <c r="C3599" s="28" t="n">
        <v>0.0326</v>
      </c>
      <c r="D3599" s="12" t="inlineStr">
        <is>
          <t>PO-2022-3035</t>
        </is>
      </c>
      <c r="E3599" s="12" t="n">
        <v>4.35</v>
      </c>
      <c r="F3599" s="17" t="n">
        <v>113253.06</v>
      </c>
      <c r="G3599" s="14">
        <f>E3599*F3599</f>
        <v/>
      </c>
      <c r="H3599" s="14">
        <f>C3599*G3599</f>
        <v/>
      </c>
    </row>
    <row r="3600">
      <c r="A3600" s="12" t="inlineStr">
        <is>
          <t>RET-0261</t>
        </is>
      </c>
      <c r="B3600" s="12" t="inlineStr">
        <is>
          <t>VS29</t>
        </is>
      </c>
      <c r="C3600" s="28" t="n">
        <v>0.0207</v>
      </c>
      <c r="D3600" s="12" t="inlineStr">
        <is>
          <t>PO-2023-4754</t>
        </is>
      </c>
      <c r="E3600" s="12" t="n">
        <v>4.35</v>
      </c>
      <c r="F3600" s="17" t="n">
        <v>71470.53999999999</v>
      </c>
      <c r="G3600" s="14">
        <f>E3600*F3600</f>
        <v/>
      </c>
      <c r="H3600" s="14">
        <f>C3600*G3600</f>
        <v/>
      </c>
    </row>
    <row r="3601">
      <c r="A3601" s="12" t="inlineStr">
        <is>
          <t>RET-0261</t>
        </is>
      </c>
      <c r="B3601" s="12" t="inlineStr">
        <is>
          <t>VS30</t>
        </is>
      </c>
      <c r="C3601" s="28" t="n">
        <v>0.0089</v>
      </c>
      <c r="D3601" s="12" t="inlineStr">
        <is>
          <t>PO-2022-2419</t>
        </is>
      </c>
      <c r="E3601" s="12" t="n">
        <v>4.35</v>
      </c>
      <c r="F3601" s="17" t="n">
        <v>63103.4</v>
      </c>
      <c r="G3601" s="14">
        <f>E3601*F3601</f>
        <v/>
      </c>
      <c r="H3601" s="14">
        <f>C3601*G3601</f>
        <v/>
      </c>
    </row>
    <row r="3602">
      <c r="A3602" s="12" t="inlineStr">
        <is>
          <t>RET-0261</t>
        </is>
      </c>
      <c r="B3602" s="12" t="inlineStr">
        <is>
          <t>VS31</t>
        </is>
      </c>
      <c r="C3602" s="28" t="n">
        <v>0.0324</v>
      </c>
      <c r="D3602" s="12" t="inlineStr">
        <is>
          <t>PO-2022-2053</t>
        </is>
      </c>
      <c r="E3602" s="12" t="n">
        <v>3.279</v>
      </c>
      <c r="F3602" s="17" t="n">
        <v>76281.72</v>
      </c>
      <c r="G3602" s="14">
        <f>E3602*F3602</f>
        <v/>
      </c>
      <c r="H3602" s="14">
        <f>C3602*G3602</f>
        <v/>
      </c>
    </row>
    <row r="3603">
      <c r="A3603" s="12" t="inlineStr">
        <is>
          <t>RET-0261</t>
        </is>
      </c>
      <c r="B3603" s="12" t="inlineStr">
        <is>
          <t>VS32</t>
        </is>
      </c>
      <c r="C3603" s="28" t="n">
        <v>0.0386</v>
      </c>
      <c r="D3603" s="12" t="inlineStr">
        <is>
          <t>PO-2023-4731</t>
        </is>
      </c>
      <c r="E3603" s="12" t="n">
        <v>4.35</v>
      </c>
      <c r="F3603" s="17" t="n">
        <v>97045.02</v>
      </c>
      <c r="G3603" s="14">
        <f>E3603*F3603</f>
        <v/>
      </c>
      <c r="H3603" s="14">
        <f>C3603*G3603</f>
        <v/>
      </c>
    </row>
    <row r="3604">
      <c r="A3604" s="12" t="inlineStr">
        <is>
          <t>RET-0261</t>
        </is>
      </c>
      <c r="B3604" s="12" t="inlineStr">
        <is>
          <t>VS33</t>
        </is>
      </c>
      <c r="C3604" s="28" t="n">
        <v>0.0206</v>
      </c>
      <c r="D3604" s="12" t="inlineStr">
        <is>
          <t>PO-2022-2583</t>
        </is>
      </c>
      <c r="E3604" s="12" t="n">
        <v>4.35</v>
      </c>
      <c r="F3604" s="17" t="n">
        <v>59260.78</v>
      </c>
      <c r="G3604" s="14">
        <f>E3604*F3604</f>
        <v/>
      </c>
      <c r="H3604" s="14">
        <f>C3604*G3604</f>
        <v/>
      </c>
    </row>
    <row r="3605">
      <c r="A3605" s="12" t="inlineStr">
        <is>
          <t>RET-0261</t>
        </is>
      </c>
      <c r="B3605" s="12" t="inlineStr">
        <is>
          <t>VS34</t>
        </is>
      </c>
      <c r="C3605" s="28" t="n">
        <v>0.0266</v>
      </c>
      <c r="D3605" s="12" t="inlineStr">
        <is>
          <t>PO-2023-4666</t>
        </is>
      </c>
      <c r="E3605" s="12" t="n">
        <v>1.77</v>
      </c>
      <c r="F3605" s="17" t="n">
        <v>73507.75</v>
      </c>
      <c r="G3605" s="14">
        <f>E3605*F3605</f>
        <v/>
      </c>
      <c r="H3605" s="14">
        <f>C3605*G3605</f>
        <v/>
      </c>
    </row>
    <row r="3606">
      <c r="A3606" s="12" t="inlineStr">
        <is>
          <t>RET-0262</t>
        </is>
      </c>
      <c r="B3606" s="12" t="inlineStr">
        <is>
          <t>VS01</t>
        </is>
      </c>
      <c r="C3606" s="28" t="n">
        <v>0.0363</v>
      </c>
      <c r="D3606" s="12" t="inlineStr">
        <is>
          <t>PO-2023-3695</t>
        </is>
      </c>
      <c r="E3606" s="12" t="n">
        <v>3.04</v>
      </c>
      <c r="F3606" s="17" t="n">
        <v>50042.67</v>
      </c>
      <c r="G3606" s="14">
        <f>E3606*F3606</f>
        <v/>
      </c>
      <c r="H3606" s="14">
        <f>C3606*G3606</f>
        <v/>
      </c>
    </row>
    <row r="3607">
      <c r="A3607" s="12" t="inlineStr">
        <is>
          <t>RET-0262</t>
        </is>
      </c>
      <c r="B3607" s="12" t="inlineStr">
        <is>
          <t>VS02</t>
        </is>
      </c>
      <c r="C3607" s="28" t="n">
        <v>0.0165</v>
      </c>
      <c r="D3607" s="12" t="inlineStr">
        <is>
          <t>PO-2022-2434</t>
        </is>
      </c>
      <c r="E3607" s="12" t="n">
        <v>3.04</v>
      </c>
      <c r="F3607" s="17" t="n">
        <v>59009.3</v>
      </c>
      <c r="G3607" s="14">
        <f>E3607*F3607</f>
        <v/>
      </c>
      <c r="H3607" s="14">
        <f>C3607*G3607</f>
        <v/>
      </c>
    </row>
    <row r="3608">
      <c r="A3608" s="12" t="inlineStr">
        <is>
          <t>RET-0262</t>
        </is>
      </c>
      <c r="B3608" s="12" t="inlineStr">
        <is>
          <t>VS03</t>
        </is>
      </c>
      <c r="C3608" s="28" t="n">
        <v>0.0586</v>
      </c>
      <c r="D3608" s="12" t="inlineStr">
        <is>
          <t>PO-2023-4450</t>
        </is>
      </c>
      <c r="E3608" s="12" t="n">
        <v>3.04</v>
      </c>
      <c r="F3608" s="17" t="n">
        <v>92449.95</v>
      </c>
      <c r="G3608" s="14">
        <f>E3608*F3608</f>
        <v/>
      </c>
      <c r="H3608" s="14">
        <f>C3608*G3608</f>
        <v/>
      </c>
    </row>
    <row r="3609">
      <c r="A3609" s="12" t="inlineStr">
        <is>
          <t>RET-0262</t>
        </is>
      </c>
      <c r="B3609" s="12" t="inlineStr">
        <is>
          <t>VS04</t>
        </is>
      </c>
      <c r="C3609" s="28" t="n">
        <v>0.0228</v>
      </c>
      <c r="D3609" s="12" t="inlineStr">
        <is>
          <t>PO-2023-3449</t>
        </is>
      </c>
      <c r="E3609" s="12" t="n">
        <v>3.04</v>
      </c>
      <c r="F3609" s="17" t="n">
        <v>78083.05</v>
      </c>
      <c r="G3609" s="14">
        <f>E3609*F3609</f>
        <v/>
      </c>
      <c r="H3609" s="14">
        <f>C3609*G3609</f>
        <v/>
      </c>
    </row>
    <row r="3610">
      <c r="A3610" s="12" t="inlineStr">
        <is>
          <t>RET-0262</t>
        </is>
      </c>
      <c r="B3610" s="12" t="inlineStr">
        <is>
          <t>VS05</t>
        </is>
      </c>
      <c r="C3610" s="28" t="n">
        <v>0.0296</v>
      </c>
      <c r="D3610" s="12" t="inlineStr">
        <is>
          <t>PO-2021-0189</t>
        </is>
      </c>
      <c r="E3610" s="12" t="n">
        <v>3.04</v>
      </c>
      <c r="F3610" s="17" t="n">
        <v>92096.16</v>
      </c>
      <c r="G3610" s="14">
        <f>E3610*F3610</f>
        <v/>
      </c>
      <c r="H3610" s="14">
        <f>C3610*G3610</f>
        <v/>
      </c>
    </row>
    <row r="3611">
      <c r="A3611" s="12" t="inlineStr">
        <is>
          <t>RET-0262</t>
        </is>
      </c>
      <c r="B3611" s="12" t="inlineStr">
        <is>
          <t>VS06</t>
        </is>
      </c>
      <c r="C3611" s="28" t="n">
        <v>0.0298</v>
      </c>
      <c r="D3611" s="12" t="inlineStr">
        <is>
          <t>PO-2022-2767</t>
        </is>
      </c>
      <c r="E3611" s="12" t="n">
        <v>0.984</v>
      </c>
      <c r="F3611" s="17" t="n">
        <v>53446.5</v>
      </c>
      <c r="G3611" s="14">
        <f>E3611*F3611</f>
        <v/>
      </c>
      <c r="H3611" s="14">
        <f>C3611*G3611</f>
        <v/>
      </c>
    </row>
    <row r="3612">
      <c r="A3612" s="12" t="inlineStr">
        <is>
          <t>RET-0262</t>
        </is>
      </c>
      <c r="B3612" s="12" t="inlineStr">
        <is>
          <t>VS07</t>
        </is>
      </c>
      <c r="C3612" s="28" t="n">
        <v>0.01</v>
      </c>
      <c r="D3612" s="12" t="inlineStr">
        <is>
          <t>PO-2023-3343</t>
        </is>
      </c>
      <c r="E3612" s="12" t="n">
        <v>3.04</v>
      </c>
      <c r="F3612" s="17" t="n">
        <v>72908.49000000001</v>
      </c>
      <c r="G3612" s="14">
        <f>E3612*F3612</f>
        <v/>
      </c>
      <c r="H3612" s="14">
        <f>C3612*G3612</f>
        <v/>
      </c>
    </row>
    <row r="3613">
      <c r="A3613" s="12" t="inlineStr">
        <is>
          <t>RET-0262</t>
        </is>
      </c>
      <c r="B3613" s="12" t="inlineStr">
        <is>
          <t>VS08</t>
        </is>
      </c>
      <c r="C3613" s="28" t="n">
        <v>0.03</v>
      </c>
      <c r="D3613" s="12" t="inlineStr">
        <is>
          <t>PO-2022-2256</t>
        </is>
      </c>
      <c r="E3613" s="12" t="n">
        <v>3.04</v>
      </c>
      <c r="F3613" s="17" t="n">
        <v>81640.25999999999</v>
      </c>
      <c r="G3613" s="14">
        <f>E3613*F3613</f>
        <v/>
      </c>
      <c r="H3613" s="14">
        <f>C3613*G3613</f>
        <v/>
      </c>
    </row>
    <row r="3614">
      <c r="A3614" s="12" t="inlineStr">
        <is>
          <t>RET-0262</t>
        </is>
      </c>
      <c r="B3614" s="12" t="inlineStr">
        <is>
          <t>VS09</t>
        </is>
      </c>
      <c r="C3614" s="28" t="n">
        <v>0.0231</v>
      </c>
      <c r="D3614" s="12" t="inlineStr">
        <is>
          <t>PO-2023-4655</t>
        </is>
      </c>
      <c r="E3614" s="12" t="n">
        <v>3.04</v>
      </c>
      <c r="F3614" s="17" t="n">
        <v>55049.82</v>
      </c>
      <c r="G3614" s="14">
        <f>E3614*F3614</f>
        <v/>
      </c>
      <c r="H3614" s="14">
        <f>C3614*G3614</f>
        <v/>
      </c>
    </row>
    <row r="3615">
      <c r="A3615" s="12" t="inlineStr">
        <is>
          <t>RET-0262</t>
        </is>
      </c>
      <c r="B3615" s="12" t="inlineStr">
        <is>
          <t>VS10</t>
        </is>
      </c>
      <c r="C3615" s="28" t="n">
        <v>0.0363</v>
      </c>
      <c r="D3615" s="12" t="inlineStr">
        <is>
          <t>PO-2022-2333</t>
        </is>
      </c>
      <c r="E3615" s="12" t="n">
        <v>3.04</v>
      </c>
      <c r="F3615" s="17" t="n">
        <v>46229.2</v>
      </c>
      <c r="G3615" s="14">
        <f>E3615*F3615</f>
        <v/>
      </c>
      <c r="H3615" s="14">
        <f>C3615*G3615</f>
        <v/>
      </c>
    </row>
    <row r="3616">
      <c r="A3616" s="12" t="inlineStr">
        <is>
          <t>RET-0262</t>
        </is>
      </c>
      <c r="B3616" s="12" t="inlineStr">
        <is>
          <t>VS11</t>
        </is>
      </c>
      <c r="C3616" s="28" t="n">
        <v>0.0425</v>
      </c>
      <c r="D3616" s="12" t="inlineStr">
        <is>
          <t>PO-2022-2141</t>
        </is>
      </c>
      <c r="E3616" s="12" t="n">
        <v>3.04</v>
      </c>
      <c r="F3616" s="17" t="n">
        <v>71149.98</v>
      </c>
      <c r="G3616" s="14">
        <f>E3616*F3616</f>
        <v/>
      </c>
      <c r="H3616" s="14">
        <f>C3616*G3616</f>
        <v/>
      </c>
    </row>
    <row r="3617">
      <c r="A3617" s="12" t="inlineStr">
        <is>
          <t>RET-0262</t>
        </is>
      </c>
      <c r="B3617" s="12" t="inlineStr">
        <is>
          <t>VS12</t>
        </is>
      </c>
      <c r="C3617" s="28" t="n">
        <v>0.0815</v>
      </c>
      <c r="D3617" s="12" t="inlineStr">
        <is>
          <t>PO-2023-3731</t>
        </is>
      </c>
      <c r="E3617" s="12" t="n">
        <v>3.04</v>
      </c>
      <c r="F3617" s="17" t="n">
        <v>47472.58</v>
      </c>
      <c r="G3617" s="14">
        <f>E3617*F3617</f>
        <v/>
      </c>
      <c r="H3617" s="14">
        <f>C3617*G3617</f>
        <v/>
      </c>
    </row>
    <row r="3618">
      <c r="A3618" s="12" t="inlineStr">
        <is>
          <t>RET-0262</t>
        </is>
      </c>
      <c r="B3618" s="12" t="inlineStr">
        <is>
          <t>VS13</t>
        </is>
      </c>
      <c r="C3618" s="28" t="n">
        <v>0.0292</v>
      </c>
      <c r="D3618" s="12" t="inlineStr">
        <is>
          <t>PO-2022-2321</t>
        </is>
      </c>
      <c r="E3618" s="12" t="n">
        <v>3.04</v>
      </c>
      <c r="F3618" s="17" t="n">
        <v>101721.47</v>
      </c>
      <c r="G3618" s="14">
        <f>E3618*F3618</f>
        <v/>
      </c>
      <c r="H3618" s="14">
        <f>C3618*G3618</f>
        <v/>
      </c>
    </row>
    <row r="3619">
      <c r="A3619" s="12" t="inlineStr">
        <is>
          <t>RET-0262</t>
        </is>
      </c>
      <c r="B3619" s="12" t="inlineStr">
        <is>
          <t>VS14</t>
        </is>
      </c>
      <c r="C3619" s="28" t="n">
        <v>0.0295</v>
      </c>
      <c r="D3619" s="12" t="inlineStr">
        <is>
          <t>PO-2022-2879</t>
        </is>
      </c>
      <c r="E3619" s="12" t="n">
        <v>3.04</v>
      </c>
      <c r="F3619" s="17" t="n">
        <v>96508.95</v>
      </c>
      <c r="G3619" s="14">
        <f>E3619*F3619</f>
        <v/>
      </c>
      <c r="H3619" s="14">
        <f>C3619*G3619</f>
        <v/>
      </c>
    </row>
    <row r="3620">
      <c r="A3620" s="12" t="inlineStr">
        <is>
          <t>RET-0262</t>
        </is>
      </c>
      <c r="B3620" s="12" t="inlineStr">
        <is>
          <t>VS15</t>
        </is>
      </c>
      <c r="C3620" s="28" t="n">
        <v>0.009900000000000001</v>
      </c>
      <c r="D3620" s="12" t="inlineStr">
        <is>
          <t>PO-2023-3342</t>
        </is>
      </c>
      <c r="E3620" s="12" t="n">
        <v>2.096</v>
      </c>
      <c r="F3620" s="17" t="n">
        <v>93177.47</v>
      </c>
      <c r="G3620" s="14">
        <f>E3620*F3620</f>
        <v/>
      </c>
      <c r="H3620" s="14">
        <f>C3620*G3620</f>
        <v/>
      </c>
    </row>
    <row r="3621">
      <c r="A3621" s="12" t="inlineStr">
        <is>
          <t>RET-0262</t>
        </is>
      </c>
      <c r="B3621" s="12" t="inlineStr">
        <is>
          <t>VS16</t>
        </is>
      </c>
      <c r="C3621" s="28" t="n">
        <v>0.0426</v>
      </c>
      <c r="D3621" s="12" t="inlineStr">
        <is>
          <t>PO-2023-3941</t>
        </is>
      </c>
      <c r="E3621" s="12" t="n">
        <v>2.006</v>
      </c>
      <c r="F3621" s="17" t="n">
        <v>52044.05</v>
      </c>
      <c r="G3621" s="14">
        <f>E3621*F3621</f>
        <v/>
      </c>
      <c r="H3621" s="14">
        <f>C3621*G3621</f>
        <v/>
      </c>
    </row>
    <row r="3622">
      <c r="A3622" s="12" t="inlineStr">
        <is>
          <t>RET-0262</t>
        </is>
      </c>
      <c r="B3622" s="12" t="inlineStr">
        <is>
          <t>VS17</t>
        </is>
      </c>
      <c r="C3622" s="28" t="n">
        <v>0.0424</v>
      </c>
      <c r="D3622" s="12" t="inlineStr">
        <is>
          <t>PO-2022-2602</t>
        </is>
      </c>
      <c r="E3622" s="12" t="n">
        <v>3.04</v>
      </c>
      <c r="F3622" s="17" t="n">
        <v>87089.28999999999</v>
      </c>
      <c r="G3622" s="14">
        <f>E3622*F3622</f>
        <v/>
      </c>
      <c r="H3622" s="14">
        <f>C3622*G3622</f>
        <v/>
      </c>
    </row>
    <row r="3623">
      <c r="A3623" s="12" t="inlineStr">
        <is>
          <t>RET-0262</t>
        </is>
      </c>
      <c r="B3623" s="12" t="inlineStr">
        <is>
          <t>VS18</t>
        </is>
      </c>
      <c r="C3623" s="28" t="n">
        <v>0.0295</v>
      </c>
      <c r="D3623" s="12" t="inlineStr">
        <is>
          <t>PO-2022-3191</t>
        </is>
      </c>
      <c r="E3623" s="12" t="n">
        <v>3.04</v>
      </c>
      <c r="F3623" s="17" t="n">
        <v>114984.39</v>
      </c>
      <c r="G3623" s="14">
        <f>E3623*F3623</f>
        <v/>
      </c>
      <c r="H3623" s="14">
        <f>C3623*G3623</f>
        <v/>
      </c>
    </row>
    <row r="3624">
      <c r="A3624" s="12" t="inlineStr">
        <is>
          <t>RET-0262</t>
        </is>
      </c>
      <c r="B3624" s="12" t="inlineStr">
        <is>
          <t>VS19</t>
        </is>
      </c>
      <c r="C3624" s="28" t="n">
        <v>0.0615</v>
      </c>
      <c r="D3624" s="12" t="inlineStr">
        <is>
          <t>PO-2021-1038</t>
        </is>
      </c>
      <c r="E3624" s="12" t="n">
        <v>3.04</v>
      </c>
      <c r="F3624" s="17" t="n">
        <v>112267.87</v>
      </c>
      <c r="G3624" s="14">
        <f>E3624*F3624</f>
        <v/>
      </c>
      <c r="H3624" s="14">
        <f>C3624*G3624</f>
        <v/>
      </c>
    </row>
    <row r="3625">
      <c r="A3625" s="12" t="inlineStr">
        <is>
          <t>RET-0262</t>
        </is>
      </c>
      <c r="B3625" s="12" t="inlineStr">
        <is>
          <t>VS20</t>
        </is>
      </c>
      <c r="C3625" s="28" t="n">
        <v>0.0165</v>
      </c>
      <c r="D3625" s="12" t="inlineStr">
        <is>
          <t>PO-2023-3821</t>
        </is>
      </c>
      <c r="E3625" s="12" t="n">
        <v>3.04</v>
      </c>
      <c r="F3625" s="17" t="n">
        <v>73045.12</v>
      </c>
      <c r="G3625" s="14">
        <f>E3625*F3625</f>
        <v/>
      </c>
      <c r="H3625" s="14">
        <f>C3625*G3625</f>
        <v/>
      </c>
    </row>
    <row r="3626">
      <c r="A3626" s="12" t="inlineStr">
        <is>
          <t>RET-0262</t>
        </is>
      </c>
      <c r="B3626" s="12" t="inlineStr">
        <is>
          <t>VS21</t>
        </is>
      </c>
      <c r="C3626" s="28" t="n">
        <v>0.0165</v>
      </c>
      <c r="D3626" s="12" t="inlineStr">
        <is>
          <t>PO-2023-4769</t>
        </is>
      </c>
      <c r="E3626" s="12" t="n">
        <v>3.04</v>
      </c>
      <c r="F3626" s="17" t="n">
        <v>51195.63</v>
      </c>
      <c r="G3626" s="14">
        <f>E3626*F3626</f>
        <v/>
      </c>
      <c r="H3626" s="14">
        <f>C3626*G3626</f>
        <v/>
      </c>
    </row>
    <row r="3627">
      <c r="A3627" s="12" t="inlineStr">
        <is>
          <t>RET-0262</t>
        </is>
      </c>
      <c r="B3627" s="12" t="inlineStr">
        <is>
          <t>VS22</t>
        </is>
      </c>
      <c r="C3627" s="28" t="n">
        <v>0.0098</v>
      </c>
      <c r="D3627" s="12" t="inlineStr">
        <is>
          <t>PO-2021-1074</t>
        </is>
      </c>
      <c r="E3627" s="12" t="n">
        <v>3.04</v>
      </c>
      <c r="F3627" s="17" t="n">
        <v>47156.97</v>
      </c>
      <c r="G3627" s="14">
        <f>E3627*F3627</f>
        <v/>
      </c>
      <c r="H3627" s="14">
        <f>C3627*G3627</f>
        <v/>
      </c>
    </row>
    <row r="3628">
      <c r="A3628" s="12" t="inlineStr">
        <is>
          <t>RET-0262</t>
        </is>
      </c>
      <c r="B3628" s="12" t="inlineStr">
        <is>
          <t>VS23</t>
        </is>
      </c>
      <c r="C3628" s="28" t="n">
        <v>0.0162</v>
      </c>
      <c r="D3628" s="12" t="inlineStr">
        <is>
          <t>PO-2023-3433</t>
        </is>
      </c>
      <c r="E3628" s="12" t="n">
        <v>3.04</v>
      </c>
      <c r="F3628" s="17" t="n">
        <v>80641.34</v>
      </c>
      <c r="G3628" s="14">
        <f>E3628*F3628</f>
        <v/>
      </c>
      <c r="H3628" s="14">
        <f>C3628*G3628</f>
        <v/>
      </c>
    </row>
    <row r="3629">
      <c r="A3629" s="12" t="inlineStr">
        <is>
          <t>RET-0262</t>
        </is>
      </c>
      <c r="B3629" s="12" t="inlineStr">
        <is>
          <t>VS24</t>
        </is>
      </c>
      <c r="C3629" s="28" t="n">
        <v>0.0164</v>
      </c>
      <c r="D3629" s="12" t="inlineStr">
        <is>
          <t>PO-2021-1433</t>
        </is>
      </c>
      <c r="E3629" s="12" t="n">
        <v>3.04</v>
      </c>
      <c r="F3629" s="17" t="n">
        <v>59851.54</v>
      </c>
      <c r="G3629" s="14">
        <f>E3629*F3629</f>
        <v/>
      </c>
      <c r="H3629" s="14">
        <f>C3629*G3629</f>
        <v/>
      </c>
    </row>
    <row r="3630">
      <c r="A3630" s="12" t="inlineStr">
        <is>
          <t>RET-0262</t>
        </is>
      </c>
      <c r="B3630" s="12" t="inlineStr">
        <is>
          <t>VS25</t>
        </is>
      </c>
      <c r="C3630" s="28" t="n">
        <v>0.0297</v>
      </c>
      <c r="D3630" s="12" t="inlineStr">
        <is>
          <t>PO-2023-4718</t>
        </is>
      </c>
      <c r="E3630" s="12" t="n">
        <v>3.04</v>
      </c>
      <c r="F3630" s="17" t="n">
        <v>61315.81</v>
      </c>
      <c r="G3630" s="14">
        <f>E3630*F3630</f>
        <v/>
      </c>
      <c r="H3630" s="14">
        <f>C3630*G3630</f>
        <v/>
      </c>
    </row>
    <row r="3631">
      <c r="A3631" s="12" t="inlineStr">
        <is>
          <t>RET-0262</t>
        </is>
      </c>
      <c r="B3631" s="12" t="inlineStr">
        <is>
          <t>VS26</t>
        </is>
      </c>
      <c r="C3631" s="28" t="n">
        <v>0.0165</v>
      </c>
      <c r="D3631" s="12" t="inlineStr">
        <is>
          <t>PO-2022-3124</t>
        </is>
      </c>
      <c r="E3631" s="12" t="n">
        <v>3.04</v>
      </c>
      <c r="F3631" s="17" t="n">
        <v>79453.39</v>
      </c>
      <c r="G3631" s="14">
        <f>E3631*F3631</f>
        <v/>
      </c>
      <c r="H3631" s="14">
        <f>C3631*G3631</f>
        <v/>
      </c>
    </row>
    <row r="3632">
      <c r="A3632" s="12" t="inlineStr">
        <is>
          <t>RET-0262</t>
        </is>
      </c>
      <c r="B3632" s="12" t="inlineStr">
        <is>
          <t>VS27</t>
        </is>
      </c>
      <c r="C3632" s="28" t="n">
        <v>0.0162</v>
      </c>
      <c r="D3632" s="12" t="inlineStr">
        <is>
          <t>PO-2023-3338</t>
        </is>
      </c>
      <c r="E3632" s="12" t="n">
        <v>3.04</v>
      </c>
      <c r="F3632" s="17" t="n">
        <v>99203.99000000001</v>
      </c>
      <c r="G3632" s="14">
        <f>E3632*F3632</f>
        <v/>
      </c>
      <c r="H3632" s="14">
        <f>C3632*G3632</f>
        <v/>
      </c>
    </row>
    <row r="3633">
      <c r="A3633" s="12" t="inlineStr">
        <is>
          <t>RET-0262</t>
        </is>
      </c>
      <c r="B3633" s="12" t="inlineStr">
        <is>
          <t>VS28</t>
        </is>
      </c>
      <c r="C3633" s="28" t="n">
        <v>0.0363</v>
      </c>
      <c r="D3633" s="12" t="inlineStr">
        <is>
          <t>PO-2023-3669</t>
        </is>
      </c>
      <c r="E3633" s="12" t="n">
        <v>3.04</v>
      </c>
      <c r="F3633" s="17" t="n">
        <v>67089.60000000001</v>
      </c>
      <c r="G3633" s="14">
        <f>E3633*F3633</f>
        <v/>
      </c>
      <c r="H3633" s="14">
        <f>C3633*G3633</f>
        <v/>
      </c>
    </row>
    <row r="3634">
      <c r="A3634" s="12" t="inlineStr">
        <is>
          <t>RET-0262</t>
        </is>
      </c>
      <c r="B3634" s="12" t="inlineStr">
        <is>
          <t>VS29</t>
        </is>
      </c>
      <c r="C3634" s="28" t="n">
        <v>0.023</v>
      </c>
      <c r="D3634" s="12" t="inlineStr">
        <is>
          <t>PO-2023-4467</t>
        </is>
      </c>
      <c r="E3634" s="12" t="n">
        <v>3.04</v>
      </c>
      <c r="F3634" s="17" t="n">
        <v>110351.07</v>
      </c>
      <c r="G3634" s="14">
        <f>E3634*F3634</f>
        <v/>
      </c>
      <c r="H3634" s="14">
        <f>C3634*G3634</f>
        <v/>
      </c>
    </row>
    <row r="3635">
      <c r="A3635" s="12" t="inlineStr">
        <is>
          <t>RET-0262</t>
        </is>
      </c>
      <c r="B3635" s="12" t="inlineStr">
        <is>
          <t>VS30</t>
        </is>
      </c>
      <c r="C3635" s="28" t="n">
        <v>0.009900000000000001</v>
      </c>
      <c r="D3635" s="12" t="inlineStr">
        <is>
          <t>PO-2023-4320</t>
        </is>
      </c>
      <c r="E3635" s="12" t="n">
        <v>3.04</v>
      </c>
      <c r="F3635" s="17" t="n">
        <v>73818.64999999999</v>
      </c>
      <c r="G3635" s="14">
        <f>E3635*F3635</f>
        <v/>
      </c>
      <c r="H3635" s="14">
        <f>C3635*G3635</f>
        <v/>
      </c>
    </row>
    <row r="3636">
      <c r="A3636" s="12" t="inlineStr">
        <is>
          <t>RET-0262</t>
        </is>
      </c>
      <c r="B3636" s="12" t="inlineStr">
        <is>
          <t>VS31</t>
        </is>
      </c>
      <c r="C3636" s="28" t="n">
        <v>0.0361</v>
      </c>
      <c r="D3636" s="12" t="inlineStr">
        <is>
          <t>PO-2021-0657</t>
        </is>
      </c>
      <c r="E3636" s="12" t="n">
        <v>3.04</v>
      </c>
      <c r="F3636" s="17" t="n">
        <v>55228.61</v>
      </c>
      <c r="G3636" s="14">
        <f>E3636*F3636</f>
        <v/>
      </c>
      <c r="H3636" s="14">
        <f>C3636*G3636</f>
        <v/>
      </c>
    </row>
    <row r="3637">
      <c r="A3637" s="12" t="inlineStr">
        <is>
          <t>RET-0262</t>
        </is>
      </c>
      <c r="B3637" s="12" t="inlineStr">
        <is>
          <t>VS32</t>
        </is>
      </c>
      <c r="C3637" s="28" t="n">
        <v>0.0429</v>
      </c>
      <c r="D3637" s="12" t="inlineStr">
        <is>
          <t>PO-2021-0349</t>
        </is>
      </c>
      <c r="E3637" s="12" t="n">
        <v>3.04</v>
      </c>
      <c r="F3637" s="17" t="n">
        <v>85660.25999999999</v>
      </c>
      <c r="G3637" s="14">
        <f>E3637*F3637</f>
        <v/>
      </c>
      <c r="H3637" s="14">
        <f>C3637*G3637</f>
        <v/>
      </c>
    </row>
    <row r="3638">
      <c r="A3638" s="12" t="inlineStr">
        <is>
          <t>RET-0262</t>
        </is>
      </c>
      <c r="B3638" s="12" t="inlineStr">
        <is>
          <t>VS33</t>
        </is>
      </c>
      <c r="C3638" s="28" t="n">
        <v>0.0229</v>
      </c>
      <c r="D3638" s="12" t="inlineStr">
        <is>
          <t>PO-2023-3219</t>
        </is>
      </c>
      <c r="E3638" s="12" t="n">
        <v>3.04</v>
      </c>
      <c r="F3638" s="17" t="n">
        <v>59992.75</v>
      </c>
      <c r="G3638" s="14">
        <f>E3638*F3638</f>
        <v/>
      </c>
      <c r="H3638" s="14">
        <f>C3638*G3638</f>
        <v/>
      </c>
    </row>
    <row r="3639">
      <c r="A3639" s="12" t="inlineStr">
        <is>
          <t>RET-0262</t>
        </is>
      </c>
      <c r="B3639" s="12" t="inlineStr">
        <is>
          <t>VS34</t>
        </is>
      </c>
      <c r="C3639" s="28" t="n">
        <v>0.0296</v>
      </c>
      <c r="D3639" s="12" t="inlineStr">
        <is>
          <t>PO-2021-0756</t>
        </is>
      </c>
      <c r="E3639" s="12" t="n">
        <v>2.363</v>
      </c>
      <c r="F3639" s="17" t="n">
        <v>94766.19</v>
      </c>
      <c r="G3639" s="14">
        <f>E3639*F3639</f>
        <v/>
      </c>
      <c r="H3639" s="14">
        <f>C3639*G3639</f>
        <v/>
      </c>
    </row>
    <row r="3640">
      <c r="A3640" s="12" t="inlineStr">
        <is>
          <t>RET-0263</t>
        </is>
      </c>
      <c r="B3640" s="12" t="inlineStr">
        <is>
          <t>VS01</t>
        </is>
      </c>
      <c r="C3640" s="28" t="n">
        <v>0.0157</v>
      </c>
      <c r="D3640" s="12" t="inlineStr">
        <is>
          <t>PO-2023-4358</t>
        </is>
      </c>
      <c r="E3640" s="12" t="n">
        <v>1.45</v>
      </c>
      <c r="F3640" s="17" t="n">
        <v>49264.83</v>
      </c>
      <c r="G3640" s="14">
        <f>E3640*F3640</f>
        <v/>
      </c>
      <c r="H3640" s="14">
        <f>C3640*G3640</f>
        <v/>
      </c>
    </row>
    <row r="3641">
      <c r="A3641" s="12" t="inlineStr">
        <is>
          <t>RET-0263</t>
        </is>
      </c>
      <c r="B3641" s="12" t="inlineStr">
        <is>
          <t>VS02</t>
        </is>
      </c>
      <c r="C3641" s="28" t="n">
        <v>0.0072</v>
      </c>
      <c r="D3641" s="12" t="inlineStr">
        <is>
          <t>PO-2023-4500</t>
        </is>
      </c>
      <c r="E3641" s="12" t="n">
        <v>1.45</v>
      </c>
      <c r="F3641" s="17" t="n">
        <v>78476.25</v>
      </c>
      <c r="G3641" s="14">
        <f>E3641*F3641</f>
        <v/>
      </c>
      <c r="H3641" s="14">
        <f>C3641*G3641</f>
        <v/>
      </c>
    </row>
    <row r="3642">
      <c r="A3642" s="12" t="inlineStr">
        <is>
          <t>RET-0263</t>
        </is>
      </c>
      <c r="B3642" s="12" t="inlineStr">
        <is>
          <t>VS03</t>
        </is>
      </c>
      <c r="C3642" s="28" t="n">
        <v>0.1903</v>
      </c>
      <c r="D3642" s="12" t="inlineStr">
        <is>
          <t>PO-2023-4154</t>
        </is>
      </c>
      <c r="E3642" s="12" t="n">
        <v>1.45</v>
      </c>
      <c r="F3642" s="17" t="n">
        <v>117679.36</v>
      </c>
      <c r="G3642" s="14">
        <f>E3642*F3642</f>
        <v/>
      </c>
      <c r="H3642" s="14">
        <f>C3642*G3642</f>
        <v/>
      </c>
    </row>
    <row r="3643">
      <c r="A3643" s="12" t="inlineStr">
        <is>
          <t>RET-0263</t>
        </is>
      </c>
      <c r="B3643" s="12" t="inlineStr">
        <is>
          <t>VS04</t>
        </is>
      </c>
      <c r="C3643" s="28" t="n">
        <v>0.009900000000000001</v>
      </c>
      <c r="D3643" s="12" t="inlineStr">
        <is>
          <t>PO-2022-1644</t>
        </is>
      </c>
      <c r="E3643" s="12" t="n">
        <v>1.45</v>
      </c>
      <c r="F3643" s="17" t="n">
        <v>77140.07000000001</v>
      </c>
      <c r="G3643" s="14">
        <f>E3643*F3643</f>
        <v/>
      </c>
      <c r="H3643" s="14">
        <f>C3643*G3643</f>
        <v/>
      </c>
    </row>
    <row r="3644">
      <c r="A3644" s="12" t="inlineStr">
        <is>
          <t>RET-0263</t>
        </is>
      </c>
      <c r="B3644" s="12" t="inlineStr">
        <is>
          <t>VS05</t>
        </is>
      </c>
      <c r="C3644" s="28" t="n">
        <v>0.0128</v>
      </c>
      <c r="D3644" s="12" t="inlineStr">
        <is>
          <t>PO-2023-4367</t>
        </is>
      </c>
      <c r="E3644" s="12" t="n">
        <v>1.45</v>
      </c>
      <c r="F3644" s="17" t="n">
        <v>71163.86</v>
      </c>
      <c r="G3644" s="14">
        <f>E3644*F3644</f>
        <v/>
      </c>
      <c r="H3644" s="14">
        <f>C3644*G3644</f>
        <v/>
      </c>
    </row>
    <row r="3645">
      <c r="A3645" s="12" t="inlineStr">
        <is>
          <t>RET-0263</t>
        </is>
      </c>
      <c r="B3645" s="12" t="inlineStr">
        <is>
          <t>VS06</t>
        </is>
      </c>
      <c r="C3645" s="28" t="n">
        <v>0.0129</v>
      </c>
      <c r="D3645" s="12" t="inlineStr">
        <is>
          <t>PO-2021-1512</t>
        </is>
      </c>
      <c r="E3645" s="12" t="n">
        <v>1.45</v>
      </c>
      <c r="F3645" s="17" t="n">
        <v>115865.02</v>
      </c>
      <c r="G3645" s="14">
        <f>E3645*F3645</f>
        <v/>
      </c>
      <c r="H3645" s="14">
        <f>C3645*G3645</f>
        <v/>
      </c>
    </row>
    <row r="3646">
      <c r="A3646" s="12" t="inlineStr">
        <is>
          <t>RET-0263</t>
        </is>
      </c>
      <c r="B3646" s="12" t="inlineStr">
        <is>
          <t>VS07</t>
        </is>
      </c>
      <c r="C3646" s="28" t="n">
        <v>0.0043</v>
      </c>
      <c r="D3646" s="12" t="inlineStr">
        <is>
          <t>PO-2022-1657</t>
        </is>
      </c>
      <c r="E3646" s="12" t="n">
        <v>1.45</v>
      </c>
      <c r="F3646" s="17" t="n">
        <v>91219.53</v>
      </c>
      <c r="G3646" s="14">
        <f>E3646*F3646</f>
        <v/>
      </c>
      <c r="H3646" s="14">
        <f>C3646*G3646</f>
        <v/>
      </c>
    </row>
    <row r="3647">
      <c r="A3647" s="12" t="inlineStr">
        <is>
          <t>RET-0263</t>
        </is>
      </c>
      <c r="B3647" s="12" t="inlineStr">
        <is>
          <t>VS08</t>
        </is>
      </c>
      <c r="C3647" s="28" t="n">
        <v>0.013</v>
      </c>
      <c r="D3647" s="12" t="inlineStr">
        <is>
          <t>PO-2021-0861</t>
        </is>
      </c>
      <c r="E3647" s="12" t="n">
        <v>1.45</v>
      </c>
      <c r="F3647" s="17" t="n">
        <v>78704.88</v>
      </c>
      <c r="G3647" s="14">
        <f>E3647*F3647</f>
        <v/>
      </c>
      <c r="H3647" s="14">
        <f>C3647*G3647</f>
        <v/>
      </c>
    </row>
    <row r="3648">
      <c r="A3648" s="12" t="inlineStr">
        <is>
          <t>RET-0263</t>
        </is>
      </c>
      <c r="B3648" s="12" t="inlineStr">
        <is>
          <t>VS09</t>
        </is>
      </c>
      <c r="C3648" s="28" t="n">
        <v>0.01</v>
      </c>
      <c r="D3648" s="12" t="inlineStr">
        <is>
          <t>PO-2022-2680</t>
        </is>
      </c>
      <c r="E3648" s="12" t="n">
        <v>1.45</v>
      </c>
      <c r="F3648" s="17" t="n">
        <v>105149.53</v>
      </c>
      <c r="G3648" s="14">
        <f>E3648*F3648</f>
        <v/>
      </c>
      <c r="H3648" s="14">
        <f>C3648*G3648</f>
        <v/>
      </c>
    </row>
    <row r="3649">
      <c r="A3649" s="12" t="inlineStr">
        <is>
          <t>RET-0263</t>
        </is>
      </c>
      <c r="B3649" s="12" t="inlineStr">
        <is>
          <t>VS10</t>
        </is>
      </c>
      <c r="C3649" s="28" t="n">
        <v>0.0157</v>
      </c>
      <c r="D3649" s="12" t="inlineStr">
        <is>
          <t>PO-2021-0205</t>
        </is>
      </c>
      <c r="E3649" s="12" t="n">
        <v>1.45</v>
      </c>
      <c r="F3649" s="17" t="n">
        <v>104109.01</v>
      </c>
      <c r="G3649" s="14">
        <f>E3649*F3649</f>
        <v/>
      </c>
      <c r="H3649" s="14">
        <f>C3649*G3649</f>
        <v/>
      </c>
    </row>
    <row r="3650">
      <c r="A3650" s="12" t="inlineStr">
        <is>
          <t>RET-0263</t>
        </is>
      </c>
      <c r="B3650" s="12" t="inlineStr">
        <is>
          <t>VS11</t>
        </is>
      </c>
      <c r="C3650" s="28" t="n">
        <v>0.0184</v>
      </c>
      <c r="D3650" s="12" t="inlineStr">
        <is>
          <t>PO-2022-2762</t>
        </is>
      </c>
      <c r="E3650" s="12" t="n">
        <v>1.45</v>
      </c>
      <c r="F3650" s="17" t="n">
        <v>64765.94</v>
      </c>
      <c r="G3650" s="14">
        <f>E3650*F3650</f>
        <v/>
      </c>
      <c r="H3650" s="14">
        <f>C3650*G3650</f>
        <v/>
      </c>
    </row>
    <row r="3651">
      <c r="A3651" s="12" t="inlineStr">
        <is>
          <t>RET-0263</t>
        </is>
      </c>
      <c r="B3651" s="12" t="inlineStr">
        <is>
          <t>VS12</t>
        </is>
      </c>
      <c r="C3651" s="28" t="n">
        <v>0.2646</v>
      </c>
      <c r="D3651" s="12" t="inlineStr">
        <is>
          <t>PO-2021-1299</t>
        </is>
      </c>
      <c r="E3651" s="12" t="n">
        <v>1.45</v>
      </c>
      <c r="F3651" s="17" t="n">
        <v>104985.93</v>
      </c>
      <c r="G3651" s="14">
        <f>E3651*F3651</f>
        <v/>
      </c>
      <c r="H3651" s="14">
        <f>C3651*G3651</f>
        <v/>
      </c>
    </row>
    <row r="3652">
      <c r="A3652" s="12" t="inlineStr">
        <is>
          <t>RET-0263</t>
        </is>
      </c>
      <c r="B3652" s="12" t="inlineStr">
        <is>
          <t>VS13</t>
        </is>
      </c>
      <c r="C3652" s="28" t="n">
        <v>0.0127</v>
      </c>
      <c r="D3652" s="12" t="inlineStr">
        <is>
          <t>PO-2023-3895</t>
        </is>
      </c>
      <c r="E3652" s="12" t="n">
        <v>1.45</v>
      </c>
      <c r="F3652" s="17" t="n">
        <v>49764.26</v>
      </c>
      <c r="G3652" s="14">
        <f>E3652*F3652</f>
        <v/>
      </c>
      <c r="H3652" s="14">
        <f>C3652*G3652</f>
        <v/>
      </c>
    </row>
    <row r="3653">
      <c r="A3653" s="12" t="inlineStr">
        <is>
          <t>RET-0263</t>
        </is>
      </c>
      <c r="B3653" s="12" t="inlineStr">
        <is>
          <t>VS14</t>
        </is>
      </c>
      <c r="C3653" s="28" t="n">
        <v>0.0128</v>
      </c>
      <c r="D3653" s="12" t="inlineStr">
        <is>
          <t>PO-2022-2597</t>
        </is>
      </c>
      <c r="E3653" s="12" t="n">
        <v>1.45</v>
      </c>
      <c r="F3653" s="17" t="n">
        <v>65738.62</v>
      </c>
      <c r="G3653" s="14">
        <f>E3653*F3653</f>
        <v/>
      </c>
      <c r="H3653" s="14">
        <f>C3653*G3653</f>
        <v/>
      </c>
    </row>
    <row r="3654">
      <c r="A3654" s="12" t="inlineStr">
        <is>
          <t>RET-0263</t>
        </is>
      </c>
      <c r="B3654" s="12" t="inlineStr">
        <is>
          <t>VS15</t>
        </is>
      </c>
      <c r="C3654" s="28" t="n">
        <v>0.0043</v>
      </c>
      <c r="D3654" s="12" t="inlineStr">
        <is>
          <t>PO-2021-1010</t>
        </is>
      </c>
      <c r="E3654" s="12" t="n">
        <v>1.45</v>
      </c>
      <c r="F3654" s="17" t="n">
        <v>84132.66</v>
      </c>
      <c r="G3654" s="14">
        <f>E3654*F3654</f>
        <v/>
      </c>
      <c r="H3654" s="14">
        <f>C3654*G3654</f>
        <v/>
      </c>
    </row>
    <row r="3655">
      <c r="A3655" s="12" t="inlineStr">
        <is>
          <t>RET-0263</t>
        </is>
      </c>
      <c r="B3655" s="12" t="inlineStr">
        <is>
          <t>VS16</t>
        </is>
      </c>
      <c r="C3655" s="28" t="n">
        <v>0.0184</v>
      </c>
      <c r="D3655" s="12" t="inlineStr">
        <is>
          <t>PO-2023-4102</t>
        </is>
      </c>
      <c r="E3655" s="12" t="n">
        <v>1.45</v>
      </c>
      <c r="F3655" s="17" t="n">
        <v>64745.85</v>
      </c>
      <c r="G3655" s="14">
        <f>E3655*F3655</f>
        <v/>
      </c>
      <c r="H3655" s="14">
        <f>C3655*G3655</f>
        <v/>
      </c>
    </row>
    <row r="3656">
      <c r="A3656" s="12" t="inlineStr">
        <is>
          <t>RET-0263</t>
        </is>
      </c>
      <c r="B3656" s="12" t="inlineStr">
        <is>
          <t>VS17</t>
        </is>
      </c>
      <c r="C3656" s="28" t="n">
        <v>0.0184</v>
      </c>
      <c r="D3656" s="12" t="inlineStr">
        <is>
          <t>PO-2021-0671</t>
        </is>
      </c>
      <c r="E3656" s="12" t="n">
        <v>1.45</v>
      </c>
      <c r="F3656" s="17" t="n">
        <v>111907.89</v>
      </c>
      <c r="G3656" s="14">
        <f>E3656*F3656</f>
        <v/>
      </c>
      <c r="H3656" s="14">
        <f>C3656*G3656</f>
        <v/>
      </c>
    </row>
    <row r="3657">
      <c r="A3657" s="12" t="inlineStr">
        <is>
          <t>RET-0263</t>
        </is>
      </c>
      <c r="B3657" s="12" t="inlineStr">
        <is>
          <t>VS18</t>
        </is>
      </c>
      <c r="C3657" s="28" t="n">
        <v>0.0128</v>
      </c>
      <c r="D3657" s="12" t="inlineStr">
        <is>
          <t>PO-2022-1824</t>
        </is>
      </c>
      <c r="E3657" s="12" t="n">
        <v>1.45</v>
      </c>
      <c r="F3657" s="17" t="n">
        <v>55284.86</v>
      </c>
      <c r="G3657" s="14">
        <f>E3657*F3657</f>
        <v/>
      </c>
      <c r="H3657" s="14">
        <f>C3657*G3657</f>
        <v/>
      </c>
    </row>
    <row r="3658">
      <c r="A3658" s="12" t="inlineStr">
        <is>
          <t>RET-0263</t>
        </is>
      </c>
      <c r="B3658" s="12" t="inlineStr">
        <is>
          <t>VS19</t>
        </is>
      </c>
      <c r="C3658" s="28" t="n">
        <v>0.1996</v>
      </c>
      <c r="D3658" s="12" t="inlineStr">
        <is>
          <t>PO-2021-1219</t>
        </is>
      </c>
      <c r="E3658" s="12" t="n">
        <v>1.45</v>
      </c>
      <c r="F3658" s="17" t="n">
        <v>56869.53</v>
      </c>
      <c r="G3658" s="14">
        <f>E3658*F3658</f>
        <v/>
      </c>
      <c r="H3658" s="14">
        <f>C3658*G3658</f>
        <v/>
      </c>
    </row>
    <row r="3659">
      <c r="A3659" s="12" t="inlineStr">
        <is>
          <t>RET-0263</t>
        </is>
      </c>
      <c r="B3659" s="12" t="inlineStr">
        <is>
          <t>VS20</t>
        </is>
      </c>
      <c r="C3659" s="28" t="n">
        <v>0.0071</v>
      </c>
      <c r="D3659" s="12" t="inlineStr">
        <is>
          <t>PO-2023-4602</t>
        </is>
      </c>
      <c r="E3659" s="12" t="n">
        <v>1.45</v>
      </c>
      <c r="F3659" s="17" t="n">
        <v>101578.58</v>
      </c>
      <c r="G3659" s="14">
        <f>E3659*F3659</f>
        <v/>
      </c>
      <c r="H3659" s="14">
        <f>C3659*G3659</f>
        <v/>
      </c>
    </row>
    <row r="3660">
      <c r="A3660" s="12" t="inlineStr">
        <is>
          <t>RET-0263</t>
        </is>
      </c>
      <c r="B3660" s="12" t="inlineStr">
        <is>
          <t>VS21</t>
        </is>
      </c>
      <c r="C3660" s="28" t="n">
        <v>0.0071</v>
      </c>
      <c r="D3660" s="12" t="inlineStr">
        <is>
          <t>PO-2022-2994</t>
        </is>
      </c>
      <c r="E3660" s="12" t="n">
        <v>1.45</v>
      </c>
      <c r="F3660" s="17" t="n">
        <v>52774.22</v>
      </c>
      <c r="G3660" s="14">
        <f>E3660*F3660</f>
        <v/>
      </c>
      <c r="H3660" s="14">
        <f>C3660*G3660</f>
        <v/>
      </c>
    </row>
    <row r="3661">
      <c r="A3661" s="12" t="inlineStr">
        <is>
          <t>RET-0263</t>
        </is>
      </c>
      <c r="B3661" s="12" t="inlineStr">
        <is>
          <t>VS22</t>
        </is>
      </c>
      <c r="C3661" s="28" t="n">
        <v>0.0042</v>
      </c>
      <c r="D3661" s="12" t="inlineStr">
        <is>
          <t>PO-2021-0566</t>
        </is>
      </c>
      <c r="E3661" s="12" t="n">
        <v>1.45</v>
      </c>
      <c r="F3661" s="17" t="n">
        <v>61749.59</v>
      </c>
      <c r="G3661" s="14">
        <f>E3661*F3661</f>
        <v/>
      </c>
      <c r="H3661" s="14">
        <f>C3661*G3661</f>
        <v/>
      </c>
    </row>
    <row r="3662">
      <c r="A3662" s="12" t="inlineStr">
        <is>
          <t>RET-0263</t>
        </is>
      </c>
      <c r="B3662" s="12" t="inlineStr">
        <is>
          <t>VS23</t>
        </is>
      </c>
      <c r="C3662" s="28" t="n">
        <v>0.007</v>
      </c>
      <c r="D3662" s="12" t="inlineStr">
        <is>
          <t>PO-2021-1121</t>
        </is>
      </c>
      <c r="E3662" s="12" t="n">
        <v>1.45</v>
      </c>
      <c r="F3662" s="17" t="n">
        <v>67638.53</v>
      </c>
      <c r="G3662" s="14">
        <f>E3662*F3662</f>
        <v/>
      </c>
      <c r="H3662" s="14">
        <f>C3662*G3662</f>
        <v/>
      </c>
    </row>
    <row r="3663">
      <c r="A3663" s="12" t="inlineStr">
        <is>
          <t>RET-0263</t>
        </is>
      </c>
      <c r="B3663" s="12" t="inlineStr">
        <is>
          <t>VS24</t>
        </is>
      </c>
      <c r="C3663" s="28" t="n">
        <v>0.0071</v>
      </c>
      <c r="D3663" s="12" t="inlineStr">
        <is>
          <t>PO-2023-3633</t>
        </is>
      </c>
      <c r="E3663" s="12" t="n">
        <v>1.45</v>
      </c>
      <c r="F3663" s="17" t="n">
        <v>98977.14</v>
      </c>
      <c r="G3663" s="14">
        <f>E3663*F3663</f>
        <v/>
      </c>
      <c r="H3663" s="14">
        <f>C3663*G3663</f>
        <v/>
      </c>
    </row>
    <row r="3664">
      <c r="A3664" s="12" t="inlineStr">
        <is>
          <t>RET-0263</t>
        </is>
      </c>
      <c r="B3664" s="12" t="inlineStr">
        <is>
          <t>VS25</t>
        </is>
      </c>
      <c r="C3664" s="28" t="n">
        <v>0.0129</v>
      </c>
      <c r="D3664" s="12" t="inlineStr">
        <is>
          <t>PO-2023-4175</t>
        </is>
      </c>
      <c r="E3664" s="12" t="n">
        <v>1.45</v>
      </c>
      <c r="F3664" s="17" t="n">
        <v>63995.32</v>
      </c>
      <c r="G3664" s="14">
        <f>E3664*F3664</f>
        <v/>
      </c>
      <c r="H3664" s="14">
        <f>C3664*G3664</f>
        <v/>
      </c>
    </row>
    <row r="3665">
      <c r="A3665" s="12" t="inlineStr">
        <is>
          <t>RET-0263</t>
        </is>
      </c>
      <c r="B3665" s="12" t="inlineStr">
        <is>
          <t>VS26</t>
        </is>
      </c>
      <c r="C3665" s="28" t="n">
        <v>0.0072</v>
      </c>
      <c r="D3665" s="12" t="inlineStr">
        <is>
          <t>PO-2022-2199</t>
        </is>
      </c>
      <c r="E3665" s="12" t="n">
        <v>1.45</v>
      </c>
      <c r="F3665" s="17" t="n">
        <v>51790.67</v>
      </c>
      <c r="G3665" s="14">
        <f>E3665*F3665</f>
        <v/>
      </c>
      <c r="H3665" s="14">
        <f>C3665*G3665</f>
        <v/>
      </c>
    </row>
    <row r="3666">
      <c r="A3666" s="12" t="inlineStr">
        <is>
          <t>RET-0263</t>
        </is>
      </c>
      <c r="B3666" s="12" t="inlineStr">
        <is>
          <t>VS27</t>
        </is>
      </c>
      <c r="C3666" s="28" t="n">
        <v>0.007</v>
      </c>
      <c r="D3666" s="12" t="inlineStr">
        <is>
          <t>PO-2022-3084</t>
        </is>
      </c>
      <c r="E3666" s="12" t="n">
        <v>1.45</v>
      </c>
      <c r="F3666" s="17" t="n">
        <v>104477.37</v>
      </c>
      <c r="G3666" s="14">
        <f>E3666*F3666</f>
        <v/>
      </c>
      <c r="H3666" s="14">
        <f>C3666*G3666</f>
        <v/>
      </c>
    </row>
    <row r="3667">
      <c r="A3667" s="12" t="inlineStr">
        <is>
          <t>RET-0263</t>
        </is>
      </c>
      <c r="B3667" s="12" t="inlineStr">
        <is>
          <t>VS28</t>
        </is>
      </c>
      <c r="C3667" s="28" t="n">
        <v>0.0157</v>
      </c>
      <c r="D3667" s="12" t="inlineStr">
        <is>
          <t>PO-2022-3077</t>
        </is>
      </c>
      <c r="E3667" s="12" t="n">
        <v>1.45</v>
      </c>
      <c r="F3667" s="17" t="n">
        <v>48271.47</v>
      </c>
      <c r="G3667" s="14">
        <f>E3667*F3667</f>
        <v/>
      </c>
      <c r="H3667" s="14">
        <f>C3667*G3667</f>
        <v/>
      </c>
    </row>
    <row r="3668">
      <c r="A3668" s="12" t="inlineStr">
        <is>
          <t>RET-0263</t>
        </is>
      </c>
      <c r="B3668" s="12" t="inlineStr">
        <is>
          <t>VS29</t>
        </is>
      </c>
      <c r="C3668" s="28" t="n">
        <v>0.01</v>
      </c>
      <c r="D3668" s="12" t="inlineStr">
        <is>
          <t>PO-2023-4183</t>
        </is>
      </c>
      <c r="E3668" s="12" t="n">
        <v>1.45</v>
      </c>
      <c r="F3668" s="17" t="n">
        <v>74228.72</v>
      </c>
      <c r="G3668" s="14">
        <f>E3668*F3668</f>
        <v/>
      </c>
      <c r="H3668" s="14">
        <f>C3668*G3668</f>
        <v/>
      </c>
    </row>
    <row r="3669">
      <c r="A3669" s="12" t="inlineStr">
        <is>
          <t>RET-0263</t>
        </is>
      </c>
      <c r="B3669" s="12" t="inlineStr">
        <is>
          <t>VS30</t>
        </is>
      </c>
      <c r="C3669" s="28" t="n">
        <v>0.0043</v>
      </c>
      <c r="D3669" s="12" t="inlineStr">
        <is>
          <t>PO-2021-0860</t>
        </is>
      </c>
      <c r="E3669" s="12" t="n">
        <v>1.45</v>
      </c>
      <c r="F3669" s="17" t="n">
        <v>96878.81</v>
      </c>
      <c r="G3669" s="14">
        <f>E3669*F3669</f>
        <v/>
      </c>
      <c r="H3669" s="14">
        <f>C3669*G3669</f>
        <v/>
      </c>
    </row>
    <row r="3670">
      <c r="A3670" s="12" t="inlineStr">
        <is>
          <t>RET-0263</t>
        </is>
      </c>
      <c r="B3670" s="12" t="inlineStr">
        <is>
          <t>VS31</t>
        </is>
      </c>
      <c r="C3670" s="28" t="n">
        <v>0.0156</v>
      </c>
      <c r="D3670" s="12" t="inlineStr">
        <is>
          <t>PO-2022-2046</t>
        </is>
      </c>
      <c r="E3670" s="12" t="n">
        <v>1.45</v>
      </c>
      <c r="F3670" s="17" t="n">
        <v>46703.96</v>
      </c>
      <c r="G3670" s="14">
        <f>E3670*F3670</f>
        <v/>
      </c>
      <c r="H3670" s="14">
        <f>C3670*G3670</f>
        <v/>
      </c>
    </row>
    <row r="3671">
      <c r="A3671" s="12" t="inlineStr">
        <is>
          <t>RET-0263</t>
        </is>
      </c>
      <c r="B3671" s="12" t="inlineStr">
        <is>
          <t>VS32</t>
        </is>
      </c>
      <c r="C3671" s="28" t="n">
        <v>0.0186</v>
      </c>
      <c r="D3671" s="12" t="inlineStr">
        <is>
          <t>PO-2021-0316</t>
        </is>
      </c>
      <c r="E3671" s="12" t="n">
        <v>1.45</v>
      </c>
      <c r="F3671" s="17" t="n">
        <v>78411.2</v>
      </c>
      <c r="G3671" s="14">
        <f>E3671*F3671</f>
        <v/>
      </c>
      <c r="H3671" s="14">
        <f>C3671*G3671</f>
        <v/>
      </c>
    </row>
    <row r="3672">
      <c r="A3672" s="12" t="inlineStr">
        <is>
          <t>RET-0263</t>
        </is>
      </c>
      <c r="B3672" s="12" t="inlineStr">
        <is>
          <t>VS33</t>
        </is>
      </c>
      <c r="C3672" s="28" t="n">
        <v>0.009900000000000001</v>
      </c>
      <c r="D3672" s="12" t="inlineStr">
        <is>
          <t>PO-2022-1871</t>
        </is>
      </c>
      <c r="E3672" s="12" t="n">
        <v>1.45</v>
      </c>
      <c r="F3672" s="17" t="n">
        <v>45583.78</v>
      </c>
      <c r="G3672" s="14">
        <f>E3672*F3672</f>
        <v/>
      </c>
      <c r="H3672" s="14">
        <f>C3672*G3672</f>
        <v/>
      </c>
    </row>
    <row r="3673">
      <c r="A3673" s="12" t="inlineStr">
        <is>
          <t>RET-0263</t>
        </is>
      </c>
      <c r="B3673" s="12" t="inlineStr">
        <is>
          <t>VS34</t>
        </is>
      </c>
      <c r="C3673" s="28" t="n">
        <v>0.0128</v>
      </c>
      <c r="D3673" s="12" t="inlineStr">
        <is>
          <t>PO-2022-2684</t>
        </is>
      </c>
      <c r="E3673" s="12" t="n">
        <v>1.45</v>
      </c>
      <c r="F3673" s="17" t="n">
        <v>63167.04</v>
      </c>
      <c r="G3673" s="14">
        <f>E3673*F3673</f>
        <v/>
      </c>
      <c r="H3673" s="14">
        <f>C3673*G3673</f>
        <v/>
      </c>
    </row>
    <row r="3674">
      <c r="A3674" s="12" t="inlineStr">
        <is>
          <t>RET-0265</t>
        </is>
      </c>
      <c r="B3674" s="12" t="inlineStr">
        <is>
          <t>VS01</t>
        </is>
      </c>
      <c r="C3674" s="28" t="n">
        <v>0.0161</v>
      </c>
      <c r="D3674" s="12" t="inlineStr">
        <is>
          <t>PO-2022-1991</t>
        </is>
      </c>
      <c r="E3674" s="12" t="n">
        <v>3.24</v>
      </c>
      <c r="F3674" s="17" t="n">
        <v>57905.13</v>
      </c>
      <c r="G3674" s="14">
        <f>E3674*F3674</f>
        <v/>
      </c>
      <c r="H3674" s="14">
        <f>C3674*G3674</f>
        <v/>
      </c>
    </row>
    <row r="3675">
      <c r="A3675" s="12" t="inlineStr">
        <is>
          <t>RET-0265</t>
        </is>
      </c>
      <c r="B3675" s="12" t="inlineStr">
        <is>
          <t>VS02</t>
        </is>
      </c>
      <c r="C3675" s="28" t="n">
        <v>0.0073</v>
      </c>
      <c r="D3675" s="12" t="inlineStr">
        <is>
          <t>PO-2022-2034</t>
        </is>
      </c>
      <c r="E3675" s="12" t="n">
        <v>3.24</v>
      </c>
      <c r="F3675" s="17" t="n">
        <v>57505.07</v>
      </c>
      <c r="G3675" s="14">
        <f>E3675*F3675</f>
        <v/>
      </c>
      <c r="H3675" s="14">
        <f>C3675*G3675</f>
        <v/>
      </c>
    </row>
    <row r="3676">
      <c r="A3676" s="12" t="inlineStr">
        <is>
          <t>RET-0265</t>
        </is>
      </c>
      <c r="B3676" s="12" t="inlineStr">
        <is>
          <t>VS03</t>
        </is>
      </c>
      <c r="C3676" s="28" t="n">
        <v>0.1876</v>
      </c>
      <c r="D3676" s="12" t="inlineStr">
        <is>
          <t>PO-2021-0240</t>
        </is>
      </c>
      <c r="E3676" s="12" t="n">
        <v>2.52</v>
      </c>
      <c r="F3676" s="17" t="n">
        <v>107524.2</v>
      </c>
      <c r="G3676" s="14">
        <f>E3676*F3676</f>
        <v/>
      </c>
      <c r="H3676" s="14">
        <f>C3676*G3676</f>
        <v/>
      </c>
    </row>
    <row r="3677">
      <c r="A3677" s="12" t="inlineStr">
        <is>
          <t>RET-0265</t>
        </is>
      </c>
      <c r="B3677" s="12" t="inlineStr">
        <is>
          <t>VS04</t>
        </is>
      </c>
      <c r="C3677" s="28" t="n">
        <v>0.0101</v>
      </c>
      <c r="D3677" s="12" t="inlineStr">
        <is>
          <t>PO-2023-4049</t>
        </is>
      </c>
      <c r="E3677" s="12" t="n">
        <v>3.24</v>
      </c>
      <c r="F3677" s="17" t="n">
        <v>118014.2</v>
      </c>
      <c r="G3677" s="14">
        <f>E3677*F3677</f>
        <v/>
      </c>
      <c r="H3677" s="14">
        <f>C3677*G3677</f>
        <v/>
      </c>
    </row>
    <row r="3678">
      <c r="A3678" s="12" t="inlineStr">
        <is>
          <t>RET-0265</t>
        </is>
      </c>
      <c r="B3678" s="12" t="inlineStr">
        <is>
          <t>VS05</t>
        </is>
      </c>
      <c r="C3678" s="28" t="n">
        <v>0.0131</v>
      </c>
      <c r="D3678" s="12" t="inlineStr">
        <is>
          <t>PO-2023-3450</t>
        </is>
      </c>
      <c r="E3678" s="12" t="n">
        <v>3.24</v>
      </c>
      <c r="F3678" s="17" t="n">
        <v>85533.59</v>
      </c>
      <c r="G3678" s="14">
        <f>E3678*F3678</f>
        <v/>
      </c>
      <c r="H3678" s="14">
        <f>C3678*G3678</f>
        <v/>
      </c>
    </row>
    <row r="3679">
      <c r="A3679" s="12" t="inlineStr">
        <is>
          <t>RET-0265</t>
        </is>
      </c>
      <c r="B3679" s="12" t="inlineStr">
        <is>
          <t>VS06</t>
        </is>
      </c>
      <c r="C3679" s="28" t="n">
        <v>0.0133</v>
      </c>
      <c r="D3679" s="12" t="inlineStr">
        <is>
          <t>PO-2021-0936</t>
        </is>
      </c>
      <c r="E3679" s="12" t="n">
        <v>3.24</v>
      </c>
      <c r="F3679" s="17" t="n">
        <v>84480.60000000001</v>
      </c>
      <c r="G3679" s="14">
        <f>E3679*F3679</f>
        <v/>
      </c>
      <c r="H3679" s="14">
        <f>C3679*G3679</f>
        <v/>
      </c>
    </row>
    <row r="3680">
      <c r="A3680" s="12" t="inlineStr">
        <is>
          <t>RET-0265</t>
        </is>
      </c>
      <c r="B3680" s="12" t="inlineStr">
        <is>
          <t>VS07</t>
        </is>
      </c>
      <c r="C3680" s="28" t="n">
        <v>0.0044</v>
      </c>
      <c r="D3680" s="12" t="inlineStr">
        <is>
          <t>PO-2022-1865</t>
        </is>
      </c>
      <c r="E3680" s="12" t="n">
        <v>3.24</v>
      </c>
      <c r="F3680" s="17" t="n">
        <v>107539.39</v>
      </c>
      <c r="G3680" s="14">
        <f>E3680*F3680</f>
        <v/>
      </c>
      <c r="H3680" s="14">
        <f>C3680*G3680</f>
        <v/>
      </c>
    </row>
    <row r="3681">
      <c r="A3681" s="12" t="inlineStr">
        <is>
          <t>RET-0265</t>
        </is>
      </c>
      <c r="B3681" s="12" t="inlineStr">
        <is>
          <t>VS08</t>
        </is>
      </c>
      <c r="C3681" s="28" t="n">
        <v>0.0133</v>
      </c>
      <c r="D3681" s="12" t="inlineStr">
        <is>
          <t>PO-2021-1177</t>
        </is>
      </c>
      <c r="E3681" s="12" t="n">
        <v>3.24</v>
      </c>
      <c r="F3681" s="17" t="n">
        <v>52018.34</v>
      </c>
      <c r="G3681" s="14">
        <f>E3681*F3681</f>
        <v/>
      </c>
      <c r="H3681" s="14">
        <f>C3681*G3681</f>
        <v/>
      </c>
    </row>
    <row r="3682">
      <c r="A3682" s="12" t="inlineStr">
        <is>
          <t>RET-0265</t>
        </is>
      </c>
      <c r="B3682" s="12" t="inlineStr">
        <is>
          <t>VS09</t>
        </is>
      </c>
      <c r="C3682" s="28" t="n">
        <v>0.0102</v>
      </c>
      <c r="D3682" s="12" t="inlineStr">
        <is>
          <t>PO-2021-1359</t>
        </is>
      </c>
      <c r="E3682" s="12" t="n">
        <v>3.24</v>
      </c>
      <c r="F3682" s="17" t="n">
        <v>100335.38</v>
      </c>
      <c r="G3682" s="14">
        <f>E3682*F3682</f>
        <v/>
      </c>
      <c r="H3682" s="14">
        <f>C3682*G3682</f>
        <v/>
      </c>
    </row>
    <row r="3683">
      <c r="A3683" s="12" t="inlineStr">
        <is>
          <t>RET-0265</t>
        </is>
      </c>
      <c r="B3683" s="12" t="inlineStr">
        <is>
          <t>VS10</t>
        </is>
      </c>
      <c r="C3683" s="28" t="n">
        <v>0.0161</v>
      </c>
      <c r="D3683" s="12" t="inlineStr">
        <is>
          <t>PO-2023-3616</t>
        </is>
      </c>
      <c r="E3683" s="12" t="n">
        <v>3.24</v>
      </c>
      <c r="F3683" s="17" t="n">
        <v>95763.46000000001</v>
      </c>
      <c r="G3683" s="14">
        <f>E3683*F3683</f>
        <v/>
      </c>
      <c r="H3683" s="14">
        <f>C3683*G3683</f>
        <v/>
      </c>
    </row>
    <row r="3684">
      <c r="A3684" s="12" t="inlineStr">
        <is>
          <t>RET-0265</t>
        </is>
      </c>
      <c r="B3684" s="12" t="inlineStr">
        <is>
          <t>VS11</t>
        </is>
      </c>
      <c r="C3684" s="28" t="n">
        <v>0.0189</v>
      </c>
      <c r="D3684" s="12" t="inlineStr">
        <is>
          <t>PO-2021-1529</t>
        </is>
      </c>
      <c r="E3684" s="12" t="n">
        <v>3.24</v>
      </c>
      <c r="F3684" s="17" t="n">
        <v>77547.00999999999</v>
      </c>
      <c r="G3684" s="14">
        <f>E3684*F3684</f>
        <v/>
      </c>
      <c r="H3684" s="14">
        <f>C3684*G3684</f>
        <v/>
      </c>
    </row>
    <row r="3685">
      <c r="A3685" s="12" t="inlineStr">
        <is>
          <t>RET-0265</t>
        </is>
      </c>
      <c r="B3685" s="12" t="inlineStr">
        <is>
          <t>VS12</t>
        </is>
      </c>
      <c r="C3685" s="28" t="n">
        <v>0.2608</v>
      </c>
      <c r="D3685" s="12" t="inlineStr">
        <is>
          <t>PO-2022-1936</t>
        </is>
      </c>
      <c r="E3685" s="12" t="n">
        <v>3.24</v>
      </c>
      <c r="F3685" s="17" t="n">
        <v>124278.2</v>
      </c>
      <c r="G3685" s="14">
        <f>E3685*F3685</f>
        <v/>
      </c>
      <c r="H3685" s="14">
        <f>C3685*G3685</f>
        <v/>
      </c>
    </row>
    <row r="3686">
      <c r="A3686" s="12" t="inlineStr">
        <is>
          <t>RET-0265</t>
        </is>
      </c>
      <c r="B3686" s="12" t="inlineStr">
        <is>
          <t>VS13</t>
        </is>
      </c>
      <c r="C3686" s="28" t="n">
        <v>0.013</v>
      </c>
      <c r="D3686" s="12" t="inlineStr">
        <is>
          <t>PO-2022-3108</t>
        </is>
      </c>
      <c r="E3686" s="12" t="n">
        <v>3.24</v>
      </c>
      <c r="F3686" s="17" t="n">
        <v>86305.84</v>
      </c>
      <c r="G3686" s="14">
        <f>E3686*F3686</f>
        <v/>
      </c>
      <c r="H3686" s="14">
        <f>C3686*G3686</f>
        <v/>
      </c>
    </row>
    <row r="3687">
      <c r="A3687" s="12" t="inlineStr">
        <is>
          <t>RET-0265</t>
        </is>
      </c>
      <c r="B3687" s="12" t="inlineStr">
        <is>
          <t>VS14</t>
        </is>
      </c>
      <c r="C3687" s="28" t="n">
        <v>0.0131</v>
      </c>
      <c r="D3687" s="12" t="inlineStr">
        <is>
          <t>PO-2022-2702</t>
        </is>
      </c>
      <c r="E3687" s="12" t="n">
        <v>3.24</v>
      </c>
      <c r="F3687" s="17" t="n">
        <v>69226.50999999999</v>
      </c>
      <c r="G3687" s="14">
        <f>E3687*F3687</f>
        <v/>
      </c>
      <c r="H3687" s="14">
        <f>C3687*G3687</f>
        <v/>
      </c>
    </row>
    <row r="3688">
      <c r="A3688" s="12" t="inlineStr">
        <is>
          <t>RET-0265</t>
        </is>
      </c>
      <c r="B3688" s="12" t="inlineStr">
        <is>
          <t>VS15</t>
        </is>
      </c>
      <c r="C3688" s="28" t="n">
        <v>0.0044</v>
      </c>
      <c r="D3688" s="12" t="inlineStr">
        <is>
          <t>PO-2021-0732</t>
        </is>
      </c>
      <c r="E3688" s="12" t="n">
        <v>3.24</v>
      </c>
      <c r="F3688" s="17" t="n">
        <v>104945.24</v>
      </c>
      <c r="G3688" s="14">
        <f>E3688*F3688</f>
        <v/>
      </c>
      <c r="H3688" s="14">
        <f>C3688*G3688</f>
        <v/>
      </c>
    </row>
    <row r="3689">
      <c r="A3689" s="12" t="inlineStr">
        <is>
          <t>RET-0265</t>
        </is>
      </c>
      <c r="B3689" s="12" t="inlineStr">
        <is>
          <t>VS16</t>
        </is>
      </c>
      <c r="C3689" s="28" t="n">
        <v>0.0189</v>
      </c>
      <c r="D3689" s="12" t="inlineStr">
        <is>
          <t>PO-2021-1537</t>
        </is>
      </c>
      <c r="E3689" s="12" t="n">
        <v>3.24</v>
      </c>
      <c r="F3689" s="17" t="n">
        <v>59014.52</v>
      </c>
      <c r="G3689" s="14">
        <f>E3689*F3689</f>
        <v/>
      </c>
      <c r="H3689" s="14">
        <f>C3689*G3689</f>
        <v/>
      </c>
    </row>
    <row r="3690">
      <c r="A3690" s="12" t="inlineStr">
        <is>
          <t>RET-0265</t>
        </is>
      </c>
      <c r="B3690" s="12" t="inlineStr">
        <is>
          <t>VS17</t>
        </is>
      </c>
      <c r="C3690" s="28" t="n">
        <v>0.0189</v>
      </c>
      <c r="D3690" s="12" t="inlineStr">
        <is>
          <t>PO-2022-2200</t>
        </is>
      </c>
      <c r="E3690" s="12" t="n">
        <v>3.24</v>
      </c>
      <c r="F3690" s="17" t="n">
        <v>84962.08</v>
      </c>
      <c r="G3690" s="14">
        <f>E3690*F3690</f>
        <v/>
      </c>
      <c r="H3690" s="14">
        <f>C3690*G3690</f>
        <v/>
      </c>
    </row>
    <row r="3691">
      <c r="A3691" s="12" t="inlineStr">
        <is>
          <t>RET-0265</t>
        </is>
      </c>
      <c r="B3691" s="12" t="inlineStr">
        <is>
          <t>VS18</t>
        </is>
      </c>
      <c r="C3691" s="28" t="n">
        <v>0.0131</v>
      </c>
      <c r="D3691" s="12" t="inlineStr">
        <is>
          <t>PO-2022-2519</t>
        </is>
      </c>
      <c r="E3691" s="12" t="n">
        <v>3.24</v>
      </c>
      <c r="F3691" s="17" t="n">
        <v>113624.61</v>
      </c>
      <c r="G3691" s="14">
        <f>E3691*F3691</f>
        <v/>
      </c>
      <c r="H3691" s="14">
        <f>C3691*G3691</f>
        <v/>
      </c>
    </row>
    <row r="3692">
      <c r="A3692" s="12" t="inlineStr">
        <is>
          <t>RET-0265</t>
        </is>
      </c>
      <c r="B3692" s="12" t="inlineStr">
        <is>
          <t>VS19</t>
        </is>
      </c>
      <c r="C3692" s="28" t="n">
        <v>0.1967</v>
      </c>
      <c r="D3692" s="12" t="inlineStr">
        <is>
          <t>PO-2021-1473</t>
        </is>
      </c>
      <c r="E3692" s="12" t="n">
        <v>3.24</v>
      </c>
      <c r="F3692" s="17" t="n">
        <v>109539.96</v>
      </c>
      <c r="G3692" s="14">
        <f>E3692*F3692</f>
        <v/>
      </c>
      <c r="H3692" s="14">
        <f>C3692*G3692</f>
        <v/>
      </c>
    </row>
    <row r="3693">
      <c r="A3693" s="12" t="inlineStr">
        <is>
          <t>RET-0265</t>
        </is>
      </c>
      <c r="B3693" s="12" t="inlineStr">
        <is>
          <t>VS20</t>
        </is>
      </c>
      <c r="C3693" s="28" t="n">
        <v>0.0073</v>
      </c>
      <c r="D3693" s="12" t="inlineStr">
        <is>
          <t>PO-2021-1483</t>
        </is>
      </c>
      <c r="E3693" s="12" t="n">
        <v>3.24</v>
      </c>
      <c r="F3693" s="17" t="n">
        <v>49762.37</v>
      </c>
      <c r="G3693" s="14">
        <f>E3693*F3693</f>
        <v/>
      </c>
      <c r="H3693" s="14">
        <f>C3693*G3693</f>
        <v/>
      </c>
    </row>
    <row r="3694">
      <c r="A3694" s="12" t="inlineStr">
        <is>
          <t>RET-0265</t>
        </is>
      </c>
      <c r="B3694" s="12" t="inlineStr">
        <is>
          <t>VS21</t>
        </is>
      </c>
      <c r="C3694" s="28" t="n">
        <v>0.0073</v>
      </c>
      <c r="D3694" s="12" t="inlineStr">
        <is>
          <t>PO-2021-1184</t>
        </is>
      </c>
      <c r="E3694" s="12" t="n">
        <v>3.24</v>
      </c>
      <c r="F3694" s="17" t="n">
        <v>48651.17</v>
      </c>
      <c r="G3694" s="14">
        <f>E3694*F3694</f>
        <v/>
      </c>
      <c r="H3694" s="14">
        <f>C3694*G3694</f>
        <v/>
      </c>
    </row>
    <row r="3695">
      <c r="A3695" s="12" t="inlineStr">
        <is>
          <t>RET-0265</t>
        </is>
      </c>
      <c r="B3695" s="12" t="inlineStr">
        <is>
          <t>VS22</t>
        </is>
      </c>
      <c r="C3695" s="28" t="n">
        <v>0.0043</v>
      </c>
      <c r="D3695" s="12" t="inlineStr">
        <is>
          <t>PO-2022-2461</t>
        </is>
      </c>
      <c r="E3695" s="12" t="n">
        <v>3.24</v>
      </c>
      <c r="F3695" s="17" t="n">
        <v>50403.77</v>
      </c>
      <c r="G3695" s="14">
        <f>E3695*F3695</f>
        <v/>
      </c>
      <c r="H3695" s="14">
        <f>C3695*G3695</f>
        <v/>
      </c>
    </row>
    <row r="3696">
      <c r="A3696" s="12" t="inlineStr">
        <is>
          <t>RET-0265</t>
        </is>
      </c>
      <c r="B3696" s="12" t="inlineStr">
        <is>
          <t>VS23</t>
        </is>
      </c>
      <c r="C3696" s="28" t="n">
        <v>0.0072</v>
      </c>
      <c r="D3696" s="12" t="inlineStr">
        <is>
          <t>PO-2022-1867</t>
        </is>
      </c>
      <c r="E3696" s="12" t="n">
        <v>3.24</v>
      </c>
      <c r="F3696" s="17" t="n">
        <v>86770.56</v>
      </c>
      <c r="G3696" s="14">
        <f>E3696*F3696</f>
        <v/>
      </c>
      <c r="H3696" s="14">
        <f>C3696*G3696</f>
        <v/>
      </c>
    </row>
    <row r="3697">
      <c r="A3697" s="12" t="inlineStr">
        <is>
          <t>RET-0265</t>
        </is>
      </c>
      <c r="B3697" s="12" t="inlineStr">
        <is>
          <t>VS24</t>
        </is>
      </c>
      <c r="C3697" s="28" t="n">
        <v>0.0073</v>
      </c>
      <c r="D3697" s="12" t="inlineStr">
        <is>
          <t>PO-2022-1693</t>
        </is>
      </c>
      <c r="E3697" s="12" t="n">
        <v>3.24</v>
      </c>
      <c r="F3697" s="17" t="n">
        <v>54172.77</v>
      </c>
      <c r="G3697" s="14">
        <f>E3697*F3697</f>
        <v/>
      </c>
      <c r="H3697" s="14">
        <f>C3697*G3697</f>
        <v/>
      </c>
    </row>
    <row r="3698">
      <c r="A3698" s="12" t="inlineStr">
        <is>
          <t>RET-0265</t>
        </is>
      </c>
      <c r="B3698" s="12" t="inlineStr">
        <is>
          <t>VS25</t>
        </is>
      </c>
      <c r="C3698" s="28" t="n">
        <v>0.0132</v>
      </c>
      <c r="D3698" s="12" t="inlineStr">
        <is>
          <t>PO-2022-2989</t>
        </is>
      </c>
      <c r="E3698" s="12" t="n">
        <v>3.24</v>
      </c>
      <c r="F3698" s="17" t="n">
        <v>58824.4</v>
      </c>
      <c r="G3698" s="14">
        <f>E3698*F3698</f>
        <v/>
      </c>
      <c r="H3698" s="14">
        <f>C3698*G3698</f>
        <v/>
      </c>
    </row>
    <row r="3699">
      <c r="A3699" s="12" t="inlineStr">
        <is>
          <t>RET-0265</t>
        </is>
      </c>
      <c r="B3699" s="12" t="inlineStr">
        <is>
          <t>VS26</t>
        </is>
      </c>
      <c r="C3699" s="28" t="n">
        <v>0.0074</v>
      </c>
      <c r="D3699" s="12" t="inlineStr">
        <is>
          <t>PO-2023-4373</t>
        </is>
      </c>
      <c r="E3699" s="12" t="n">
        <v>3.24</v>
      </c>
      <c r="F3699" s="17" t="n">
        <v>85701.96000000001</v>
      </c>
      <c r="G3699" s="14">
        <f>E3699*F3699</f>
        <v/>
      </c>
      <c r="H3699" s="14">
        <f>C3699*G3699</f>
        <v/>
      </c>
    </row>
    <row r="3700">
      <c r="A3700" s="12" t="inlineStr">
        <is>
          <t>RET-0265</t>
        </is>
      </c>
      <c r="B3700" s="12" t="inlineStr">
        <is>
          <t>VS27</t>
        </is>
      </c>
      <c r="C3700" s="28" t="n">
        <v>0.0072</v>
      </c>
      <c r="D3700" s="12" t="inlineStr">
        <is>
          <t>PO-2023-3656</t>
        </is>
      </c>
      <c r="E3700" s="12" t="n">
        <v>3.24</v>
      </c>
      <c r="F3700" s="17" t="n">
        <v>54403.53</v>
      </c>
      <c r="G3700" s="14">
        <f>E3700*F3700</f>
        <v/>
      </c>
      <c r="H3700" s="14">
        <f>C3700*G3700</f>
        <v/>
      </c>
    </row>
    <row r="3701">
      <c r="A3701" s="12" t="inlineStr">
        <is>
          <t>RET-0265</t>
        </is>
      </c>
      <c r="B3701" s="12" t="inlineStr">
        <is>
          <t>VS28</t>
        </is>
      </c>
      <c r="C3701" s="28" t="n">
        <v>0.0161</v>
      </c>
      <c r="D3701" s="12" t="inlineStr">
        <is>
          <t>PO-2023-3745</t>
        </is>
      </c>
      <c r="E3701" s="12" t="n">
        <v>3.24</v>
      </c>
      <c r="F3701" s="17" t="n">
        <v>61379.15</v>
      </c>
      <c r="G3701" s="14">
        <f>E3701*F3701</f>
        <v/>
      </c>
      <c r="H3701" s="14">
        <f>C3701*G3701</f>
        <v/>
      </c>
    </row>
    <row r="3702">
      <c r="A3702" s="12" t="inlineStr">
        <is>
          <t>RET-0265</t>
        </is>
      </c>
      <c r="B3702" s="12" t="inlineStr">
        <is>
          <t>VS29</t>
        </is>
      </c>
      <c r="C3702" s="28" t="n">
        <v>0.0102</v>
      </c>
      <c r="D3702" s="12" t="inlineStr">
        <is>
          <t>PO-2021-1263</t>
        </is>
      </c>
      <c r="E3702" s="12" t="n">
        <v>3.24</v>
      </c>
      <c r="F3702" s="17" t="n">
        <v>69391.22</v>
      </c>
      <c r="G3702" s="14">
        <f>E3702*F3702</f>
        <v/>
      </c>
      <c r="H3702" s="14">
        <f>C3702*G3702</f>
        <v/>
      </c>
    </row>
    <row r="3703">
      <c r="A3703" s="12" t="inlineStr">
        <is>
          <t>RET-0265</t>
        </is>
      </c>
      <c r="B3703" s="12" t="inlineStr">
        <is>
          <t>VS30</t>
        </is>
      </c>
      <c r="C3703" s="28" t="n">
        <v>0.0044</v>
      </c>
      <c r="D3703" s="12" t="inlineStr">
        <is>
          <t>PO-2021-1217</t>
        </is>
      </c>
      <c r="E3703" s="12" t="n">
        <v>3.24</v>
      </c>
      <c r="F3703" s="17" t="n">
        <v>99224.63</v>
      </c>
      <c r="G3703" s="14">
        <f>E3703*F3703</f>
        <v/>
      </c>
      <c r="H3703" s="14">
        <f>C3703*G3703</f>
        <v/>
      </c>
    </row>
    <row r="3704">
      <c r="A3704" s="12" t="inlineStr">
        <is>
          <t>RET-0265</t>
        </is>
      </c>
      <c r="B3704" s="12" t="inlineStr">
        <is>
          <t>VS31</t>
        </is>
      </c>
      <c r="C3704" s="28" t="n">
        <v>0.016</v>
      </c>
      <c r="D3704" s="12" t="inlineStr">
        <is>
          <t>PO-2023-4087</t>
        </is>
      </c>
      <c r="E3704" s="12" t="n">
        <v>3.24</v>
      </c>
      <c r="F3704" s="17" t="n">
        <v>113295.37</v>
      </c>
      <c r="G3704" s="14">
        <f>E3704*F3704</f>
        <v/>
      </c>
      <c r="H3704" s="14">
        <f>C3704*G3704</f>
        <v/>
      </c>
    </row>
    <row r="3705">
      <c r="A3705" s="12" t="inlineStr">
        <is>
          <t>RET-0265</t>
        </is>
      </c>
      <c r="B3705" s="12" t="inlineStr">
        <is>
          <t>VS32</t>
        </is>
      </c>
      <c r="C3705" s="28" t="n">
        <v>0.0191</v>
      </c>
      <c r="D3705" s="12" t="inlineStr">
        <is>
          <t>PO-2021-0421</t>
        </is>
      </c>
      <c r="E3705" s="12" t="n">
        <v>3.24</v>
      </c>
      <c r="F3705" s="17" t="n">
        <v>65153.79</v>
      </c>
      <c r="G3705" s="14">
        <f>E3705*F3705</f>
        <v/>
      </c>
      <c r="H3705" s="14">
        <f>C3705*G3705</f>
        <v/>
      </c>
    </row>
    <row r="3706">
      <c r="A3706" s="12" t="inlineStr">
        <is>
          <t>RET-0265</t>
        </is>
      </c>
      <c r="B3706" s="12" t="inlineStr">
        <is>
          <t>VS33</t>
        </is>
      </c>
      <c r="C3706" s="28" t="n">
        <v>0.0102</v>
      </c>
      <c r="D3706" s="12" t="inlineStr">
        <is>
          <t>PO-2021-0894</t>
        </is>
      </c>
      <c r="E3706" s="12" t="n">
        <v>3.24</v>
      </c>
      <c r="F3706" s="17" t="n">
        <v>114272.76</v>
      </c>
      <c r="G3706" s="14">
        <f>E3706*F3706</f>
        <v/>
      </c>
      <c r="H3706" s="14">
        <f>C3706*G3706</f>
        <v/>
      </c>
    </row>
    <row r="3707">
      <c r="A3707" s="12" t="inlineStr">
        <is>
          <t>RET-0265</t>
        </is>
      </c>
      <c r="B3707" s="12" t="inlineStr">
        <is>
          <t>VS34</t>
        </is>
      </c>
      <c r="C3707" s="28" t="n">
        <v>0.0132</v>
      </c>
      <c r="D3707" s="12" t="inlineStr">
        <is>
          <t>PO-2023-3985</t>
        </is>
      </c>
      <c r="E3707" s="12" t="n">
        <v>3.24</v>
      </c>
      <c r="F3707" s="17" t="n">
        <v>49311.74</v>
      </c>
      <c r="G3707" s="14">
        <f>E3707*F3707</f>
        <v/>
      </c>
      <c r="H3707" s="14">
        <f>C3707*G3707</f>
        <v/>
      </c>
    </row>
    <row r="3708">
      <c r="A3708" s="12" t="inlineStr">
        <is>
          <t>RET-0266</t>
        </is>
      </c>
      <c r="B3708" s="12" t="inlineStr">
        <is>
          <t>VS01</t>
        </is>
      </c>
      <c r="C3708" s="28" t="n">
        <v>0.0234</v>
      </c>
      <c r="D3708" s="12" t="inlineStr">
        <is>
          <t>PO-2021-1443</t>
        </is>
      </c>
      <c r="E3708" s="12" t="n">
        <v>4.83</v>
      </c>
      <c r="F3708" s="17" t="n">
        <v>75135.63</v>
      </c>
      <c r="G3708" s="14">
        <f>E3708*F3708</f>
        <v/>
      </c>
      <c r="H3708" s="14">
        <f>C3708*G3708</f>
        <v/>
      </c>
    </row>
    <row r="3709">
      <c r="A3709" s="12" t="inlineStr">
        <is>
          <t>RET-0266</t>
        </is>
      </c>
      <c r="B3709" s="12" t="inlineStr">
        <is>
          <t>VS02</t>
        </is>
      </c>
      <c r="C3709" s="28" t="n">
        <v>0.0106</v>
      </c>
      <c r="D3709" s="12" t="inlineStr">
        <is>
          <t>PO-2021-0284</t>
        </is>
      </c>
      <c r="E3709" s="12" t="n">
        <v>4.83</v>
      </c>
      <c r="F3709" s="17" t="n">
        <v>56357.34</v>
      </c>
      <c r="G3709" s="14">
        <f>E3709*F3709</f>
        <v/>
      </c>
      <c r="H3709" s="14">
        <f>C3709*G3709</f>
        <v/>
      </c>
    </row>
    <row r="3710">
      <c r="A3710" s="12" t="inlineStr">
        <is>
          <t>RET-0266</t>
        </is>
      </c>
      <c r="B3710" s="12" t="inlineStr">
        <is>
          <t>VS03</t>
        </is>
      </c>
      <c r="C3710" s="28" t="n">
        <v>0.1413</v>
      </c>
      <c r="D3710" s="12" t="inlineStr">
        <is>
          <t>PO-2023-4416</t>
        </is>
      </c>
      <c r="E3710" s="12" t="n">
        <v>4.83</v>
      </c>
      <c r="F3710" s="17" t="n">
        <v>118144.91</v>
      </c>
      <c r="G3710" s="14">
        <f>E3710*F3710</f>
        <v/>
      </c>
      <c r="H3710" s="14">
        <f>C3710*G3710</f>
        <v/>
      </c>
    </row>
    <row r="3711">
      <c r="A3711" s="12" t="inlineStr">
        <is>
          <t>RET-0266</t>
        </is>
      </c>
      <c r="B3711" s="12" t="inlineStr">
        <is>
          <t>VS04</t>
        </is>
      </c>
      <c r="C3711" s="28" t="n">
        <v>0.0147</v>
      </c>
      <c r="D3711" s="12" t="inlineStr">
        <is>
          <t>PO-2021-1313</t>
        </is>
      </c>
      <c r="E3711" s="12" t="n">
        <v>3.625</v>
      </c>
      <c r="F3711" s="17" t="n">
        <v>90805.39999999999</v>
      </c>
      <c r="G3711" s="14">
        <f>E3711*F3711</f>
        <v/>
      </c>
      <c r="H3711" s="14">
        <f>C3711*G3711</f>
        <v/>
      </c>
    </row>
    <row r="3712">
      <c r="A3712" s="12" t="inlineStr">
        <is>
          <t>RET-0266</t>
        </is>
      </c>
      <c r="B3712" s="12" t="inlineStr">
        <is>
          <t>VS05</t>
        </is>
      </c>
      <c r="C3712" s="28" t="n">
        <v>0.019</v>
      </c>
      <c r="D3712" s="12" t="inlineStr">
        <is>
          <t>PO-2023-4489</t>
        </is>
      </c>
      <c r="E3712" s="12" t="n">
        <v>4.83</v>
      </c>
      <c r="F3712" s="17" t="n">
        <v>52257.17</v>
      </c>
      <c r="G3712" s="14">
        <f>E3712*F3712</f>
        <v/>
      </c>
      <c r="H3712" s="14">
        <f>C3712*G3712</f>
        <v/>
      </c>
    </row>
    <row r="3713">
      <c r="A3713" s="12" t="inlineStr">
        <is>
          <t>RET-0266</t>
        </is>
      </c>
      <c r="B3713" s="12" t="inlineStr">
        <is>
          <t>VS06</t>
        </is>
      </c>
      <c r="C3713" s="28" t="n">
        <v>0.0192</v>
      </c>
      <c r="D3713" s="12" t="inlineStr">
        <is>
          <t>PO-2023-3305</t>
        </is>
      </c>
      <c r="E3713" s="12" t="n">
        <v>4.83</v>
      </c>
      <c r="F3713" s="17" t="n">
        <v>116820.89</v>
      </c>
      <c r="G3713" s="14">
        <f>E3713*F3713</f>
        <v/>
      </c>
      <c r="H3713" s="14">
        <f>C3713*G3713</f>
        <v/>
      </c>
    </row>
    <row r="3714">
      <c r="A3714" s="12" t="inlineStr">
        <is>
          <t>RET-0266</t>
        </is>
      </c>
      <c r="B3714" s="12" t="inlineStr">
        <is>
          <t>VS07</t>
        </is>
      </c>
      <c r="C3714" s="28" t="n">
        <v>0.0064</v>
      </c>
      <c r="D3714" s="12" t="inlineStr">
        <is>
          <t>PO-2023-4530</t>
        </is>
      </c>
      <c r="E3714" s="12" t="n">
        <v>4.83</v>
      </c>
      <c r="F3714" s="17" t="n">
        <v>103229.99</v>
      </c>
      <c r="G3714" s="14">
        <f>E3714*F3714</f>
        <v/>
      </c>
      <c r="H3714" s="14">
        <f>C3714*G3714</f>
        <v/>
      </c>
    </row>
    <row r="3715">
      <c r="A3715" s="12" t="inlineStr">
        <is>
          <t>RET-0266</t>
        </is>
      </c>
      <c r="B3715" s="12" t="inlineStr">
        <is>
          <t>VS08</t>
        </is>
      </c>
      <c r="C3715" s="28" t="n">
        <v>0.0193</v>
      </c>
      <c r="D3715" s="12" t="inlineStr">
        <is>
          <t>PO-2021-0530</t>
        </is>
      </c>
      <c r="E3715" s="12" t="n">
        <v>4.83</v>
      </c>
      <c r="F3715" s="17" t="n">
        <v>118827.6</v>
      </c>
      <c r="G3715" s="14">
        <f>E3715*F3715</f>
        <v/>
      </c>
      <c r="H3715" s="14">
        <f>C3715*G3715</f>
        <v/>
      </c>
    </row>
    <row r="3716">
      <c r="A3716" s="12" t="inlineStr">
        <is>
          <t>RET-0266</t>
        </is>
      </c>
      <c r="B3716" s="12" t="inlineStr">
        <is>
          <t>VS09</t>
        </is>
      </c>
      <c r="C3716" s="28" t="n">
        <v>0.0148</v>
      </c>
      <c r="D3716" s="12" t="inlineStr">
        <is>
          <t>PO-2023-3582</t>
        </is>
      </c>
      <c r="E3716" s="12" t="n">
        <v>4.83</v>
      </c>
      <c r="F3716" s="17" t="n">
        <v>58745.47</v>
      </c>
      <c r="G3716" s="14">
        <f>E3716*F3716</f>
        <v/>
      </c>
      <c r="H3716" s="14">
        <f>C3716*G3716</f>
        <v/>
      </c>
    </row>
    <row r="3717">
      <c r="A3717" s="12" t="inlineStr">
        <is>
          <t>RET-0266</t>
        </is>
      </c>
      <c r="B3717" s="12" t="inlineStr">
        <is>
          <t>VS10</t>
        </is>
      </c>
      <c r="C3717" s="28" t="n">
        <v>0.0233</v>
      </c>
      <c r="D3717" s="12" t="inlineStr">
        <is>
          <t>PO-2023-3577</t>
        </is>
      </c>
      <c r="E3717" s="12" t="n">
        <v>4.83</v>
      </c>
      <c r="F3717" s="17" t="n">
        <v>61407.23</v>
      </c>
      <c r="G3717" s="14">
        <f>E3717*F3717</f>
        <v/>
      </c>
      <c r="H3717" s="14">
        <f>C3717*G3717</f>
        <v/>
      </c>
    </row>
    <row r="3718">
      <c r="A3718" s="12" t="inlineStr">
        <is>
          <t>RET-0266</t>
        </is>
      </c>
      <c r="B3718" s="12" t="inlineStr">
        <is>
          <t>VS11</t>
        </is>
      </c>
      <c r="C3718" s="28" t="n">
        <v>0.0273</v>
      </c>
      <c r="D3718" s="12" t="inlineStr">
        <is>
          <t>PO-2021-1559</t>
        </is>
      </c>
      <c r="E3718" s="12" t="n">
        <v>4.83</v>
      </c>
      <c r="F3718" s="17" t="n">
        <v>73811.28</v>
      </c>
      <c r="G3718" s="14">
        <f>E3718*F3718</f>
        <v/>
      </c>
      <c r="H3718" s="14">
        <f>C3718*G3718</f>
        <v/>
      </c>
    </row>
    <row r="3719">
      <c r="A3719" s="12" t="inlineStr">
        <is>
          <t>RET-0266</t>
        </is>
      </c>
      <c r="B3719" s="12" t="inlineStr">
        <is>
          <t>VS12</t>
        </is>
      </c>
      <c r="C3719" s="28" t="n">
        <v>0.1964</v>
      </c>
      <c r="D3719" s="12" t="inlineStr">
        <is>
          <t>PO-2023-3259</t>
        </is>
      </c>
      <c r="E3719" s="12" t="n">
        <v>4.83</v>
      </c>
      <c r="F3719" s="17" t="n">
        <v>55372.98</v>
      </c>
      <c r="G3719" s="14">
        <f>E3719*F3719</f>
        <v/>
      </c>
      <c r="H3719" s="14">
        <f>C3719*G3719</f>
        <v/>
      </c>
    </row>
    <row r="3720">
      <c r="A3720" s="12" t="inlineStr">
        <is>
          <t>RET-0266</t>
        </is>
      </c>
      <c r="B3720" s="12" t="inlineStr">
        <is>
          <t>VS13</t>
        </is>
      </c>
      <c r="C3720" s="28" t="n">
        <v>0.0188</v>
      </c>
      <c r="D3720" s="12" t="inlineStr">
        <is>
          <t>PO-2021-1552</t>
        </is>
      </c>
      <c r="E3720" s="12" t="n">
        <v>4.83</v>
      </c>
      <c r="F3720" s="17" t="n">
        <v>50615.97</v>
      </c>
      <c r="G3720" s="14">
        <f>E3720*F3720</f>
        <v/>
      </c>
      <c r="H3720" s="14">
        <f>C3720*G3720</f>
        <v/>
      </c>
    </row>
    <row r="3721">
      <c r="A3721" s="12" t="inlineStr">
        <is>
          <t>RET-0266</t>
        </is>
      </c>
      <c r="B3721" s="12" t="inlineStr">
        <is>
          <t>VS14</t>
        </is>
      </c>
      <c r="C3721" s="28" t="n">
        <v>0.019</v>
      </c>
      <c r="D3721" s="12" t="inlineStr">
        <is>
          <t>PO-2023-4776</t>
        </is>
      </c>
      <c r="E3721" s="12" t="n">
        <v>4.83</v>
      </c>
      <c r="F3721" s="17" t="n">
        <v>99170.78</v>
      </c>
      <c r="G3721" s="14">
        <f>E3721*F3721</f>
        <v/>
      </c>
      <c r="H3721" s="14">
        <f>C3721*G3721</f>
        <v/>
      </c>
    </row>
    <row r="3722">
      <c r="A3722" s="12" t="inlineStr">
        <is>
          <t>RET-0266</t>
        </is>
      </c>
      <c r="B3722" s="12" t="inlineStr">
        <is>
          <t>VS15</t>
        </is>
      </c>
      <c r="C3722" s="28" t="n">
        <v>0.0064</v>
      </c>
      <c r="D3722" s="12" t="inlineStr">
        <is>
          <t>PO-2023-3202</t>
        </is>
      </c>
      <c r="E3722" s="12" t="n">
        <v>4.83</v>
      </c>
      <c r="F3722" s="17" t="n">
        <v>54904.27</v>
      </c>
      <c r="G3722" s="14">
        <f>E3722*F3722</f>
        <v/>
      </c>
      <c r="H3722" s="14">
        <f>C3722*G3722</f>
        <v/>
      </c>
    </row>
    <row r="3723">
      <c r="A3723" s="12" t="inlineStr">
        <is>
          <t>RET-0266</t>
        </is>
      </c>
      <c r="B3723" s="12" t="inlineStr">
        <is>
          <t>VS16</t>
        </is>
      </c>
      <c r="C3723" s="28" t="n">
        <v>0.0274</v>
      </c>
      <c r="D3723" s="12" t="inlineStr">
        <is>
          <t>PO-2021-0110</t>
        </is>
      </c>
      <c r="E3723" s="12" t="n">
        <v>4.83</v>
      </c>
      <c r="F3723" s="17" t="n">
        <v>73768.95</v>
      </c>
      <c r="G3723" s="14">
        <f>E3723*F3723</f>
        <v/>
      </c>
      <c r="H3723" s="14">
        <f>C3723*G3723</f>
        <v/>
      </c>
    </row>
    <row r="3724">
      <c r="A3724" s="12" t="inlineStr">
        <is>
          <t>RET-0266</t>
        </is>
      </c>
      <c r="B3724" s="12" t="inlineStr">
        <is>
          <t>VS17</t>
        </is>
      </c>
      <c r="C3724" s="28" t="n">
        <v>0.0273</v>
      </c>
      <c r="D3724" s="12" t="inlineStr">
        <is>
          <t>PO-2021-1425</t>
        </is>
      </c>
      <c r="E3724" s="12" t="n">
        <v>4.83</v>
      </c>
      <c r="F3724" s="17" t="n">
        <v>56052.55</v>
      </c>
      <c r="G3724" s="14">
        <f>E3724*F3724</f>
        <v/>
      </c>
      <c r="H3724" s="14">
        <f>C3724*G3724</f>
        <v/>
      </c>
    </row>
    <row r="3725">
      <c r="A3725" s="12" t="inlineStr">
        <is>
          <t>RET-0266</t>
        </is>
      </c>
      <c r="B3725" s="12" t="inlineStr">
        <is>
          <t>VS18</t>
        </is>
      </c>
      <c r="C3725" s="28" t="n">
        <v>0.019</v>
      </c>
      <c r="D3725" s="12" t="inlineStr">
        <is>
          <t>PO-2022-2357</t>
        </is>
      </c>
      <c r="E3725" s="12" t="n">
        <v>4.83</v>
      </c>
      <c r="F3725" s="17" t="n">
        <v>97972.25</v>
      </c>
      <c r="G3725" s="14">
        <f>E3725*F3725</f>
        <v/>
      </c>
      <c r="H3725" s="14">
        <f>C3725*G3725</f>
        <v/>
      </c>
    </row>
    <row r="3726">
      <c r="A3726" s="12" t="inlineStr">
        <is>
          <t>RET-0266</t>
        </is>
      </c>
      <c r="B3726" s="12" t="inlineStr">
        <is>
          <t>VS19</t>
        </is>
      </c>
      <c r="C3726" s="28" t="n">
        <v>0.1482</v>
      </c>
      <c r="D3726" s="12" t="inlineStr">
        <is>
          <t>PO-2023-4126</t>
        </is>
      </c>
      <c r="E3726" s="12" t="n">
        <v>4.83</v>
      </c>
      <c r="F3726" s="17" t="n">
        <v>120819.83</v>
      </c>
      <c r="G3726" s="14">
        <f>E3726*F3726</f>
        <v/>
      </c>
      <c r="H3726" s="14">
        <f>C3726*G3726</f>
        <v/>
      </c>
    </row>
    <row r="3727">
      <c r="A3727" s="12" t="inlineStr">
        <is>
          <t>RET-0266</t>
        </is>
      </c>
      <c r="B3727" s="12" t="inlineStr">
        <is>
          <t>VS20</t>
        </is>
      </c>
      <c r="C3727" s="28" t="n">
        <v>0.0106</v>
      </c>
      <c r="D3727" s="12" t="inlineStr">
        <is>
          <t>PO-2021-1472</t>
        </is>
      </c>
      <c r="E3727" s="12" t="n">
        <v>4.83</v>
      </c>
      <c r="F3727" s="17" t="n">
        <v>88286.81</v>
      </c>
      <c r="G3727" s="14">
        <f>E3727*F3727</f>
        <v/>
      </c>
      <c r="H3727" s="14">
        <f>C3727*G3727</f>
        <v/>
      </c>
    </row>
    <row r="3728">
      <c r="A3728" s="12" t="inlineStr">
        <is>
          <t>RET-0266</t>
        </is>
      </c>
      <c r="B3728" s="12" t="inlineStr">
        <is>
          <t>VS21</t>
        </is>
      </c>
      <c r="C3728" s="28" t="n">
        <v>0.0106</v>
      </c>
      <c r="D3728" s="12" t="inlineStr">
        <is>
          <t>PO-2023-3223</t>
        </is>
      </c>
      <c r="E3728" s="12" t="n">
        <v>4.83</v>
      </c>
      <c r="F3728" s="17" t="n">
        <v>54826.81</v>
      </c>
      <c r="G3728" s="14">
        <f>E3728*F3728</f>
        <v/>
      </c>
      <c r="H3728" s="14">
        <f>C3728*G3728</f>
        <v/>
      </c>
    </row>
    <row r="3729">
      <c r="A3729" s="12" t="inlineStr">
        <is>
          <t>RET-0266</t>
        </is>
      </c>
      <c r="B3729" s="12" t="inlineStr">
        <is>
          <t>VS22</t>
        </is>
      </c>
      <c r="C3729" s="28" t="n">
        <v>0.0063</v>
      </c>
      <c r="D3729" s="12" t="inlineStr">
        <is>
          <t>PO-2022-2267</t>
        </is>
      </c>
      <c r="E3729" s="12" t="n">
        <v>2.22</v>
      </c>
      <c r="F3729" s="17" t="n">
        <v>78039.78999999999</v>
      </c>
      <c r="G3729" s="14">
        <f>E3729*F3729</f>
        <v/>
      </c>
      <c r="H3729" s="14">
        <f>C3729*G3729</f>
        <v/>
      </c>
    </row>
    <row r="3730">
      <c r="A3730" s="12" t="inlineStr">
        <is>
          <t>RET-0266</t>
        </is>
      </c>
      <c r="B3730" s="12" t="inlineStr">
        <is>
          <t>VS23</t>
        </is>
      </c>
      <c r="C3730" s="28" t="n">
        <v>0.0104</v>
      </c>
      <c r="D3730" s="12" t="inlineStr">
        <is>
          <t>PO-2022-2265</t>
        </is>
      </c>
      <c r="E3730" s="12" t="n">
        <v>4.83</v>
      </c>
      <c r="F3730" s="17" t="n">
        <v>93310.14</v>
      </c>
      <c r="G3730" s="14">
        <f>E3730*F3730</f>
        <v/>
      </c>
      <c r="H3730" s="14">
        <f>C3730*G3730</f>
        <v/>
      </c>
    </row>
    <row r="3731">
      <c r="A3731" s="12" t="inlineStr">
        <is>
          <t>RET-0266</t>
        </is>
      </c>
      <c r="B3731" s="12" t="inlineStr">
        <is>
          <t>VS24</t>
        </is>
      </c>
      <c r="C3731" s="28" t="n">
        <v>0.0106</v>
      </c>
      <c r="D3731" s="12" t="inlineStr">
        <is>
          <t>PO-2021-1249</t>
        </is>
      </c>
      <c r="E3731" s="12" t="n">
        <v>4.83</v>
      </c>
      <c r="F3731" s="17" t="n">
        <v>98373.03</v>
      </c>
      <c r="G3731" s="14">
        <f>E3731*F3731</f>
        <v/>
      </c>
      <c r="H3731" s="14">
        <f>C3731*G3731</f>
        <v/>
      </c>
    </row>
    <row r="3732">
      <c r="A3732" s="12" t="inlineStr">
        <is>
          <t>RET-0266</t>
        </is>
      </c>
      <c r="B3732" s="12" t="inlineStr">
        <is>
          <t>VS25</t>
        </is>
      </c>
      <c r="C3732" s="28" t="n">
        <v>0.0191</v>
      </c>
      <c r="D3732" s="12" t="inlineStr">
        <is>
          <t>PO-2022-3043</t>
        </is>
      </c>
      <c r="E3732" s="12" t="n">
        <v>4.83</v>
      </c>
      <c r="F3732" s="17" t="n">
        <v>69855.56</v>
      </c>
      <c r="G3732" s="14">
        <f>E3732*F3732</f>
        <v/>
      </c>
      <c r="H3732" s="14">
        <f>C3732*G3732</f>
        <v/>
      </c>
    </row>
    <row r="3733">
      <c r="A3733" s="12" t="inlineStr">
        <is>
          <t>RET-0266</t>
        </is>
      </c>
      <c r="B3733" s="12" t="inlineStr">
        <is>
          <t>VS26</t>
        </is>
      </c>
      <c r="C3733" s="28" t="n">
        <v>0.0107</v>
      </c>
      <c r="D3733" s="12" t="inlineStr">
        <is>
          <t>PO-2021-1239</t>
        </is>
      </c>
      <c r="E3733" s="12" t="n">
        <v>4.83</v>
      </c>
      <c r="F3733" s="17" t="n">
        <v>111568.48</v>
      </c>
      <c r="G3733" s="14">
        <f>E3733*F3733</f>
        <v/>
      </c>
      <c r="H3733" s="14">
        <f>C3733*G3733</f>
        <v/>
      </c>
    </row>
    <row r="3734">
      <c r="A3734" s="12" t="inlineStr">
        <is>
          <t>RET-0266</t>
        </is>
      </c>
      <c r="B3734" s="12" t="inlineStr">
        <is>
          <t>VS27</t>
        </is>
      </c>
      <c r="C3734" s="28" t="n">
        <v>0.0104</v>
      </c>
      <c r="D3734" s="12" t="inlineStr">
        <is>
          <t>PO-2021-0438</t>
        </is>
      </c>
      <c r="E3734" s="12" t="n">
        <v>4.83</v>
      </c>
      <c r="F3734" s="17" t="n">
        <v>51501.6</v>
      </c>
      <c r="G3734" s="14">
        <f>E3734*F3734</f>
        <v/>
      </c>
      <c r="H3734" s="14">
        <f>C3734*G3734</f>
        <v/>
      </c>
    </row>
    <row r="3735">
      <c r="A3735" s="12" t="inlineStr">
        <is>
          <t>RET-0266</t>
        </is>
      </c>
      <c r="B3735" s="12" t="inlineStr">
        <is>
          <t>VS28</t>
        </is>
      </c>
      <c r="C3735" s="28" t="n">
        <v>0.0233</v>
      </c>
      <c r="D3735" s="12" t="inlineStr">
        <is>
          <t>PO-2023-4267</t>
        </is>
      </c>
      <c r="E3735" s="12" t="n">
        <v>4.83</v>
      </c>
      <c r="F3735" s="17" t="n">
        <v>110761.83</v>
      </c>
      <c r="G3735" s="14">
        <f>E3735*F3735</f>
        <v/>
      </c>
      <c r="H3735" s="14">
        <f>C3735*G3735</f>
        <v/>
      </c>
    </row>
    <row r="3736">
      <c r="A3736" s="12" t="inlineStr">
        <is>
          <t>RET-0266</t>
        </is>
      </c>
      <c r="B3736" s="12" t="inlineStr">
        <is>
          <t>VS29</t>
        </is>
      </c>
      <c r="C3736" s="28" t="n">
        <v>0.0148</v>
      </c>
      <c r="D3736" s="12" t="inlineStr">
        <is>
          <t>PO-2022-1840</t>
        </is>
      </c>
      <c r="E3736" s="12" t="n">
        <v>1.83</v>
      </c>
      <c r="F3736" s="17" t="n">
        <v>45665.3</v>
      </c>
      <c r="G3736" s="14">
        <f>E3736*F3736</f>
        <v/>
      </c>
      <c r="H3736" s="14">
        <f>C3736*G3736</f>
        <v/>
      </c>
    </row>
    <row r="3737">
      <c r="A3737" s="12" t="inlineStr">
        <is>
          <t>RET-0266</t>
        </is>
      </c>
      <c r="B3737" s="12" t="inlineStr">
        <is>
          <t>VS30</t>
        </is>
      </c>
      <c r="C3737" s="28" t="n">
        <v>0.0064</v>
      </c>
      <c r="D3737" s="12" t="inlineStr">
        <is>
          <t>PO-2021-1018</t>
        </is>
      </c>
      <c r="E3737" s="12" t="n">
        <v>4.83</v>
      </c>
      <c r="F3737" s="17" t="n">
        <v>110564.93</v>
      </c>
      <c r="G3737" s="14">
        <f>E3737*F3737</f>
        <v/>
      </c>
      <c r="H3737" s="14">
        <f>C3737*G3737</f>
        <v/>
      </c>
    </row>
    <row r="3738">
      <c r="A3738" s="12" t="inlineStr">
        <is>
          <t>RET-0266</t>
        </is>
      </c>
      <c r="B3738" s="12" t="inlineStr">
        <is>
          <t>VS31</t>
        </is>
      </c>
      <c r="C3738" s="28" t="n">
        <v>0.0232</v>
      </c>
      <c r="D3738" s="12" t="inlineStr">
        <is>
          <t>PO-2021-1203</t>
        </is>
      </c>
      <c r="E3738" s="12" t="n">
        <v>4.83</v>
      </c>
      <c r="F3738" s="17" t="n">
        <v>110158.54</v>
      </c>
      <c r="G3738" s="14">
        <f>E3738*F3738</f>
        <v/>
      </c>
      <c r="H3738" s="14">
        <f>C3738*G3738</f>
        <v/>
      </c>
    </row>
    <row r="3739">
      <c r="A3739" s="12" t="inlineStr">
        <is>
          <t>RET-0266</t>
        </is>
      </c>
      <c r="B3739" s="12" t="inlineStr">
        <is>
          <t>VS32</t>
        </is>
      </c>
      <c r="C3739" s="28" t="n">
        <v>0.0276</v>
      </c>
      <c r="D3739" s="12" t="inlineStr">
        <is>
          <t>PO-2023-4067</t>
        </is>
      </c>
      <c r="E3739" s="12" t="n">
        <v>4.83</v>
      </c>
      <c r="F3739" s="17" t="n">
        <v>100195.8</v>
      </c>
      <c r="G3739" s="14">
        <f>E3739*F3739</f>
        <v/>
      </c>
      <c r="H3739" s="14">
        <f>C3739*G3739</f>
        <v/>
      </c>
    </row>
    <row r="3740">
      <c r="A3740" s="12" t="inlineStr">
        <is>
          <t>RET-0266</t>
        </is>
      </c>
      <c r="B3740" s="12" t="inlineStr">
        <is>
          <t>VS33</t>
        </is>
      </c>
      <c r="C3740" s="28" t="n">
        <v>0.0147</v>
      </c>
      <c r="D3740" s="12" t="inlineStr">
        <is>
          <t>PO-2022-2422</t>
        </is>
      </c>
      <c r="E3740" s="12" t="n">
        <v>4.251</v>
      </c>
      <c r="F3740" s="17" t="n">
        <v>58592.5</v>
      </c>
      <c r="G3740" s="14">
        <f>E3740*F3740</f>
        <v/>
      </c>
      <c r="H3740" s="14">
        <f>C3740*G3740</f>
        <v/>
      </c>
    </row>
    <row r="3741">
      <c r="A3741" s="12" t="inlineStr">
        <is>
          <t>RET-0266</t>
        </is>
      </c>
      <c r="B3741" s="12" t="inlineStr">
        <is>
          <t>VS34</t>
        </is>
      </c>
      <c r="C3741" s="28" t="n">
        <v>0.0191</v>
      </c>
      <c r="D3741" s="12" t="inlineStr">
        <is>
          <t>PO-2023-4390</t>
        </is>
      </c>
      <c r="E3741" s="12" t="n">
        <v>4.83</v>
      </c>
      <c r="F3741" s="17" t="n">
        <v>111674.52</v>
      </c>
      <c r="G3741" s="14">
        <f>E3741*F3741</f>
        <v/>
      </c>
      <c r="H3741" s="14">
        <f>C3741*G3741</f>
        <v/>
      </c>
    </row>
    <row r="3742">
      <c r="A3742" s="12" t="inlineStr">
        <is>
          <t>RET-0270</t>
        </is>
      </c>
      <c r="B3742" s="12" t="inlineStr">
        <is>
          <t>VS01</t>
        </is>
      </c>
      <c r="C3742" s="28" t="n">
        <v>0.0111</v>
      </c>
      <c r="D3742" s="12" t="inlineStr">
        <is>
          <t>PO-2021-1589</t>
        </is>
      </c>
      <c r="E3742" s="12" t="n">
        <v>1.74</v>
      </c>
      <c r="F3742" s="17" t="n">
        <v>55994.18</v>
      </c>
      <c r="G3742" s="14">
        <f>E3742*F3742</f>
        <v/>
      </c>
      <c r="H3742" s="14">
        <f>C3742*G3742</f>
        <v/>
      </c>
    </row>
    <row r="3743">
      <c r="A3743" s="12" t="inlineStr">
        <is>
          <t>RET-0270</t>
        </is>
      </c>
      <c r="B3743" s="12" t="inlineStr">
        <is>
          <t>VS02</t>
        </is>
      </c>
      <c r="C3743" s="28" t="n">
        <v>0.0051</v>
      </c>
      <c r="D3743" s="12" t="inlineStr">
        <is>
          <t>PO-2021-0501</t>
        </is>
      </c>
      <c r="E3743" s="12" t="n">
        <v>1.74</v>
      </c>
      <c r="F3743" s="17" t="n">
        <v>113791.81</v>
      </c>
      <c r="G3743" s="14">
        <f>E3743*F3743</f>
        <v/>
      </c>
      <c r="H3743" s="14">
        <f>C3743*G3743</f>
        <v/>
      </c>
    </row>
    <row r="3744">
      <c r="A3744" s="12" t="inlineStr">
        <is>
          <t>RET-0270</t>
        </is>
      </c>
      <c r="B3744" s="12" t="inlineStr">
        <is>
          <t>VS03</t>
        </is>
      </c>
      <c r="C3744" s="28" t="n">
        <v>0.2199</v>
      </c>
      <c r="D3744" s="12" t="inlineStr">
        <is>
          <t>PO-2022-2834</t>
        </is>
      </c>
      <c r="E3744" s="12" t="n">
        <v>1.74</v>
      </c>
      <c r="F3744" s="17" t="n">
        <v>75855.28</v>
      </c>
      <c r="G3744" s="14">
        <f>E3744*F3744</f>
        <v/>
      </c>
      <c r="H3744" s="14">
        <f>C3744*G3744</f>
        <v/>
      </c>
    </row>
    <row r="3745">
      <c r="A3745" s="12" t="inlineStr">
        <is>
          <t>RET-0270</t>
        </is>
      </c>
      <c r="B3745" s="12" t="inlineStr">
        <is>
          <t>VS04</t>
        </is>
      </c>
      <c r="C3745" s="28" t="n">
        <v>0.007</v>
      </c>
      <c r="D3745" s="12" t="inlineStr">
        <is>
          <t>PO-2022-1946</t>
        </is>
      </c>
      <c r="E3745" s="12" t="n">
        <v>1.74</v>
      </c>
      <c r="F3745" s="17" t="n">
        <v>77976.67999999999</v>
      </c>
      <c r="G3745" s="14">
        <f>E3745*F3745</f>
        <v/>
      </c>
      <c r="H3745" s="14">
        <f>C3745*G3745</f>
        <v/>
      </c>
    </row>
    <row r="3746">
      <c r="A3746" s="12" t="inlineStr">
        <is>
          <t>RET-0270</t>
        </is>
      </c>
      <c r="B3746" s="12" t="inlineStr">
        <is>
          <t>VS05</t>
        </is>
      </c>
      <c r="C3746" s="28" t="n">
        <v>0.008999999999999999</v>
      </c>
      <c r="D3746" s="12" t="inlineStr">
        <is>
          <t>PO-2021-0019</t>
        </is>
      </c>
      <c r="E3746" s="12" t="n">
        <v>1.74</v>
      </c>
      <c r="F3746" s="17" t="n">
        <v>107594.63</v>
      </c>
      <c r="G3746" s="14">
        <f>E3746*F3746</f>
        <v/>
      </c>
      <c r="H3746" s="14">
        <f>C3746*G3746</f>
        <v/>
      </c>
    </row>
    <row r="3747">
      <c r="A3747" s="12" t="inlineStr">
        <is>
          <t>RET-0270</t>
        </is>
      </c>
      <c r="B3747" s="12" t="inlineStr">
        <is>
          <t>VS06</t>
        </is>
      </c>
      <c r="C3747" s="28" t="n">
        <v>0.0091</v>
      </c>
      <c r="D3747" s="12" t="inlineStr">
        <is>
          <t>PO-2023-3822</t>
        </is>
      </c>
      <c r="E3747" s="12" t="n">
        <v>1.74</v>
      </c>
      <c r="F3747" s="17" t="n">
        <v>79389.7</v>
      </c>
      <c r="G3747" s="14">
        <f>E3747*F3747</f>
        <v/>
      </c>
      <c r="H3747" s="14">
        <f>C3747*G3747</f>
        <v/>
      </c>
    </row>
    <row r="3748">
      <c r="A3748" s="12" t="inlineStr">
        <is>
          <t>RET-0270</t>
        </is>
      </c>
      <c r="B3748" s="12" t="inlineStr">
        <is>
          <t>VS07</t>
        </is>
      </c>
      <c r="C3748" s="28" t="n">
        <v>0.003</v>
      </c>
      <c r="D3748" s="12" t="inlineStr">
        <is>
          <t>PO-2021-1551</t>
        </is>
      </c>
      <c r="E3748" s="12" t="n">
        <v>1.74</v>
      </c>
      <c r="F3748" s="17" t="n">
        <v>90137.63</v>
      </c>
      <c r="G3748" s="14">
        <f>E3748*F3748</f>
        <v/>
      </c>
      <c r="H3748" s="14">
        <f>C3748*G3748</f>
        <v/>
      </c>
    </row>
    <row r="3749">
      <c r="A3749" s="12" t="inlineStr">
        <is>
          <t>RET-0270</t>
        </is>
      </c>
      <c r="B3749" s="12" t="inlineStr">
        <is>
          <t>VS08</t>
        </is>
      </c>
      <c r="C3749" s="28" t="n">
        <v>0.0092</v>
      </c>
      <c r="D3749" s="12" t="inlineStr">
        <is>
          <t>PO-2023-4167</t>
        </is>
      </c>
      <c r="E3749" s="12" t="n">
        <v>1.74</v>
      </c>
      <c r="F3749" s="17" t="n">
        <v>79453.24000000001</v>
      </c>
      <c r="G3749" s="14">
        <f>E3749*F3749</f>
        <v/>
      </c>
      <c r="H3749" s="14">
        <f>C3749*G3749</f>
        <v/>
      </c>
    </row>
    <row r="3750">
      <c r="A3750" s="12" t="inlineStr">
        <is>
          <t>RET-0270</t>
        </is>
      </c>
      <c r="B3750" s="12" t="inlineStr">
        <is>
          <t>VS09</t>
        </is>
      </c>
      <c r="C3750" s="28" t="n">
        <v>0.007</v>
      </c>
      <c r="D3750" s="12" t="inlineStr">
        <is>
          <t>PO-2022-2061</t>
        </is>
      </c>
      <c r="E3750" s="12" t="n">
        <v>1.74</v>
      </c>
      <c r="F3750" s="17" t="n">
        <v>46945.54</v>
      </c>
      <c r="G3750" s="14">
        <f>E3750*F3750</f>
        <v/>
      </c>
      <c r="H3750" s="14">
        <f>C3750*G3750</f>
        <v/>
      </c>
    </row>
    <row r="3751">
      <c r="A3751" s="12" t="inlineStr">
        <is>
          <t>RET-0270</t>
        </is>
      </c>
      <c r="B3751" s="12" t="inlineStr">
        <is>
          <t>VS10</t>
        </is>
      </c>
      <c r="C3751" s="28" t="n">
        <v>0.0111</v>
      </c>
      <c r="D3751" s="12" t="inlineStr">
        <is>
          <t>PO-2023-3503</t>
        </is>
      </c>
      <c r="E3751" s="12" t="n">
        <v>1.74</v>
      </c>
      <c r="F3751" s="17" t="n">
        <v>85798.96000000001</v>
      </c>
      <c r="G3751" s="14">
        <f>E3751*F3751</f>
        <v/>
      </c>
      <c r="H3751" s="14">
        <f>C3751*G3751</f>
        <v/>
      </c>
    </row>
    <row r="3752">
      <c r="A3752" s="12" t="inlineStr">
        <is>
          <t>RET-0270</t>
        </is>
      </c>
      <c r="B3752" s="12" t="inlineStr">
        <is>
          <t>VS11</t>
        </is>
      </c>
      <c r="C3752" s="28" t="n">
        <v>0.013</v>
      </c>
      <c r="D3752" s="12" t="inlineStr">
        <is>
          <t>PO-2022-2429</t>
        </is>
      </c>
      <c r="E3752" s="12" t="n">
        <v>1.74</v>
      </c>
      <c r="F3752" s="17" t="n">
        <v>118409.77</v>
      </c>
      <c r="G3752" s="14">
        <f>E3752*F3752</f>
        <v/>
      </c>
      <c r="H3752" s="14">
        <f>C3752*G3752</f>
        <v/>
      </c>
    </row>
    <row r="3753">
      <c r="A3753" s="12" t="inlineStr">
        <is>
          <t>RET-0270</t>
        </is>
      </c>
      <c r="B3753" s="12" t="inlineStr">
        <is>
          <t>VS12</t>
        </is>
      </c>
      <c r="C3753" s="28" t="n">
        <v>0.3056</v>
      </c>
      <c r="D3753" s="12" t="inlineStr">
        <is>
          <t>PO-2021-0254</t>
        </is>
      </c>
      <c r="E3753" s="12" t="n">
        <v>1.74</v>
      </c>
      <c r="F3753" s="17" t="n">
        <v>117835.56</v>
      </c>
      <c r="G3753" s="14">
        <f>E3753*F3753</f>
        <v/>
      </c>
      <c r="H3753" s="14">
        <f>C3753*G3753</f>
        <v/>
      </c>
    </row>
    <row r="3754">
      <c r="A3754" s="12" t="inlineStr">
        <is>
          <t>RET-0270</t>
        </is>
      </c>
      <c r="B3754" s="12" t="inlineStr">
        <is>
          <t>VS13</t>
        </is>
      </c>
      <c r="C3754" s="28" t="n">
        <v>0.0089</v>
      </c>
      <c r="D3754" s="12" t="inlineStr">
        <is>
          <t>PO-2021-1579</t>
        </is>
      </c>
      <c r="E3754" s="12" t="n">
        <v>1.74</v>
      </c>
      <c r="F3754" s="17" t="n">
        <v>87213.84</v>
      </c>
      <c r="G3754" s="14">
        <f>E3754*F3754</f>
        <v/>
      </c>
      <c r="H3754" s="14">
        <f>C3754*G3754</f>
        <v/>
      </c>
    </row>
    <row r="3755">
      <c r="A3755" s="12" t="inlineStr">
        <is>
          <t>RET-0270</t>
        </is>
      </c>
      <c r="B3755" s="12" t="inlineStr">
        <is>
          <t>VS14</t>
        </is>
      </c>
      <c r="C3755" s="28" t="n">
        <v>0.008999999999999999</v>
      </c>
      <c r="D3755" s="12" t="inlineStr">
        <is>
          <t>PO-2023-4261</t>
        </is>
      </c>
      <c r="E3755" s="12" t="n">
        <v>1.74</v>
      </c>
      <c r="F3755" s="17" t="n">
        <v>70843.47</v>
      </c>
      <c r="G3755" s="14">
        <f>E3755*F3755</f>
        <v/>
      </c>
      <c r="H3755" s="14">
        <f>C3755*G3755</f>
        <v/>
      </c>
    </row>
    <row r="3756">
      <c r="A3756" s="12" t="inlineStr">
        <is>
          <t>RET-0270</t>
        </is>
      </c>
      <c r="B3756" s="12" t="inlineStr">
        <is>
          <t>VS15</t>
        </is>
      </c>
      <c r="C3756" s="28" t="n">
        <v>0.003</v>
      </c>
      <c r="D3756" s="12" t="inlineStr">
        <is>
          <t>PO-2022-3149</t>
        </is>
      </c>
      <c r="E3756" s="12" t="n">
        <v>1.74</v>
      </c>
      <c r="F3756" s="17" t="n">
        <v>56661.53</v>
      </c>
      <c r="G3756" s="14">
        <f>E3756*F3756</f>
        <v/>
      </c>
      <c r="H3756" s="14">
        <f>C3756*G3756</f>
        <v/>
      </c>
    </row>
    <row r="3757">
      <c r="A3757" s="12" t="inlineStr">
        <is>
          <t>RET-0270</t>
        </is>
      </c>
      <c r="B3757" s="12" t="inlineStr">
        <is>
          <t>VS16</t>
        </is>
      </c>
      <c r="C3757" s="28" t="n">
        <v>0.013</v>
      </c>
      <c r="D3757" s="12" t="inlineStr">
        <is>
          <t>PO-2022-2611</t>
        </is>
      </c>
      <c r="E3757" s="12" t="n">
        <v>1.74</v>
      </c>
      <c r="F3757" s="17" t="n">
        <v>62314.17</v>
      </c>
      <c r="G3757" s="14">
        <f>E3757*F3757</f>
        <v/>
      </c>
      <c r="H3757" s="14">
        <f>C3757*G3757</f>
        <v/>
      </c>
    </row>
    <row r="3758">
      <c r="A3758" s="12" t="inlineStr">
        <is>
          <t>RET-0270</t>
        </is>
      </c>
      <c r="B3758" s="12" t="inlineStr">
        <is>
          <t>VS17</t>
        </is>
      </c>
      <c r="C3758" s="28" t="n">
        <v>0.013</v>
      </c>
      <c r="D3758" s="12" t="inlineStr">
        <is>
          <t>PO-2022-1753</t>
        </is>
      </c>
      <c r="E3758" s="12" t="n">
        <v>1.74</v>
      </c>
      <c r="F3758" s="17" t="n">
        <v>66244.92</v>
      </c>
      <c r="G3758" s="14">
        <f>E3758*F3758</f>
        <v/>
      </c>
      <c r="H3758" s="14">
        <f>C3758*G3758</f>
        <v/>
      </c>
    </row>
    <row r="3759">
      <c r="A3759" s="12" t="inlineStr">
        <is>
          <t>RET-0270</t>
        </is>
      </c>
      <c r="B3759" s="12" t="inlineStr">
        <is>
          <t>VS18</t>
        </is>
      </c>
      <c r="C3759" s="28" t="n">
        <v>0.008999999999999999</v>
      </c>
      <c r="D3759" s="12" t="inlineStr">
        <is>
          <t>PO-2021-0901</t>
        </is>
      </c>
      <c r="E3759" s="12" t="n">
        <v>1.74</v>
      </c>
      <c r="F3759" s="17" t="n">
        <v>53584.53</v>
      </c>
      <c r="G3759" s="14">
        <f>E3759*F3759</f>
        <v/>
      </c>
      <c r="H3759" s="14">
        <f>C3759*G3759</f>
        <v/>
      </c>
    </row>
    <row r="3760">
      <c r="A3760" s="12" t="inlineStr">
        <is>
          <t>RET-0270</t>
        </is>
      </c>
      <c r="B3760" s="12" t="inlineStr">
        <is>
          <t>VS19</t>
        </is>
      </c>
      <c r="C3760" s="28" t="n">
        <v>0.2305</v>
      </c>
      <c r="D3760" s="12" t="inlineStr">
        <is>
          <t>PO-2022-2159</t>
        </is>
      </c>
      <c r="E3760" s="12" t="n">
        <v>1.74</v>
      </c>
      <c r="F3760" s="17" t="n">
        <v>70748.37</v>
      </c>
      <c r="G3760" s="14">
        <f>E3760*F3760</f>
        <v/>
      </c>
      <c r="H3760" s="14">
        <f>C3760*G3760</f>
        <v/>
      </c>
    </row>
    <row r="3761">
      <c r="A3761" s="12" t="inlineStr">
        <is>
          <t>RET-0270</t>
        </is>
      </c>
      <c r="B3761" s="12" t="inlineStr">
        <is>
          <t>VS20</t>
        </is>
      </c>
      <c r="C3761" s="28" t="n">
        <v>0.005</v>
      </c>
      <c r="D3761" s="12" t="inlineStr">
        <is>
          <t>PO-2023-4370</t>
        </is>
      </c>
      <c r="E3761" s="12" t="n">
        <v>1.74</v>
      </c>
      <c r="F3761" s="17" t="n">
        <v>90480.31</v>
      </c>
      <c r="G3761" s="14">
        <f>E3761*F3761</f>
        <v/>
      </c>
      <c r="H3761" s="14">
        <f>C3761*G3761</f>
        <v/>
      </c>
    </row>
    <row r="3762">
      <c r="A3762" s="12" t="inlineStr">
        <is>
          <t>RET-0270</t>
        </is>
      </c>
      <c r="B3762" s="12" t="inlineStr">
        <is>
          <t>VS21</t>
        </is>
      </c>
      <c r="C3762" s="28" t="n">
        <v>0.005</v>
      </c>
      <c r="D3762" s="12" t="inlineStr">
        <is>
          <t>PO-2022-1710</t>
        </is>
      </c>
      <c r="E3762" s="12" t="n">
        <v>1.74</v>
      </c>
      <c r="F3762" s="17" t="n">
        <v>111584.88</v>
      </c>
      <c r="G3762" s="14">
        <f>E3762*F3762</f>
        <v/>
      </c>
      <c r="H3762" s="14">
        <f>C3762*G3762</f>
        <v/>
      </c>
    </row>
    <row r="3763">
      <c r="A3763" s="12" t="inlineStr">
        <is>
          <t>RET-0270</t>
        </is>
      </c>
      <c r="B3763" s="12" t="inlineStr">
        <is>
          <t>VS22</t>
        </is>
      </c>
      <c r="C3763" s="28" t="n">
        <v>0.003</v>
      </c>
      <c r="D3763" s="12" t="inlineStr">
        <is>
          <t>PO-2021-0227</t>
        </is>
      </c>
      <c r="E3763" s="12" t="n">
        <v>1.74</v>
      </c>
      <c r="F3763" s="17" t="n">
        <v>85951.03</v>
      </c>
      <c r="G3763" s="14">
        <f>E3763*F3763</f>
        <v/>
      </c>
      <c r="H3763" s="14">
        <f>C3763*G3763</f>
        <v/>
      </c>
    </row>
    <row r="3764">
      <c r="A3764" s="12" t="inlineStr">
        <is>
          <t>RET-0270</t>
        </is>
      </c>
      <c r="B3764" s="12" t="inlineStr">
        <is>
          <t>VS23</t>
        </is>
      </c>
      <c r="C3764" s="28" t="n">
        <v>0.005</v>
      </c>
      <c r="D3764" s="12" t="inlineStr">
        <is>
          <t>PO-2023-4475</t>
        </is>
      </c>
      <c r="E3764" s="12" t="n">
        <v>1.74</v>
      </c>
      <c r="F3764" s="17" t="n">
        <v>97406.2</v>
      </c>
      <c r="G3764" s="14">
        <f>E3764*F3764</f>
        <v/>
      </c>
      <c r="H3764" s="14">
        <f>C3764*G3764</f>
        <v/>
      </c>
    </row>
    <row r="3765">
      <c r="A3765" s="12" t="inlineStr">
        <is>
          <t>RET-0270</t>
        </is>
      </c>
      <c r="B3765" s="12" t="inlineStr">
        <is>
          <t>VS24</t>
        </is>
      </c>
      <c r="C3765" s="28" t="n">
        <v>0.005</v>
      </c>
      <c r="D3765" s="12" t="inlineStr">
        <is>
          <t>PO-2021-1459</t>
        </is>
      </c>
      <c r="E3765" s="12" t="n">
        <v>1.74</v>
      </c>
      <c r="F3765" s="17" t="n">
        <v>116555.15</v>
      </c>
      <c r="G3765" s="14">
        <f>E3765*F3765</f>
        <v/>
      </c>
      <c r="H3765" s="14">
        <f>C3765*G3765</f>
        <v/>
      </c>
    </row>
    <row r="3766">
      <c r="A3766" s="12" t="inlineStr">
        <is>
          <t>RET-0270</t>
        </is>
      </c>
      <c r="B3766" s="12" t="inlineStr">
        <is>
          <t>VS25</t>
        </is>
      </c>
      <c r="C3766" s="28" t="n">
        <v>0.0091</v>
      </c>
      <c r="D3766" s="12" t="inlineStr">
        <is>
          <t>PO-2023-3608</t>
        </is>
      </c>
      <c r="E3766" s="12" t="n">
        <v>1.74</v>
      </c>
      <c r="F3766" s="17" t="n">
        <v>115493.01</v>
      </c>
      <c r="G3766" s="14">
        <f>E3766*F3766</f>
        <v/>
      </c>
      <c r="H3766" s="14">
        <f>C3766*G3766</f>
        <v/>
      </c>
    </row>
    <row r="3767">
      <c r="A3767" s="12" t="inlineStr">
        <is>
          <t>RET-0270</t>
        </is>
      </c>
      <c r="B3767" s="12" t="inlineStr">
        <is>
          <t>VS26</t>
        </is>
      </c>
      <c r="C3767" s="28" t="n">
        <v>0.0051</v>
      </c>
      <c r="D3767" s="12" t="inlineStr">
        <is>
          <t>PO-2023-4342</t>
        </is>
      </c>
      <c r="E3767" s="12" t="n">
        <v>1.74</v>
      </c>
      <c r="F3767" s="17" t="n">
        <v>47304.75</v>
      </c>
      <c r="G3767" s="14">
        <f>E3767*F3767</f>
        <v/>
      </c>
      <c r="H3767" s="14">
        <f>C3767*G3767</f>
        <v/>
      </c>
    </row>
    <row r="3768">
      <c r="A3768" s="12" t="inlineStr">
        <is>
          <t>RET-0270</t>
        </is>
      </c>
      <c r="B3768" s="12" t="inlineStr">
        <is>
          <t>VS27</t>
        </is>
      </c>
      <c r="C3768" s="28" t="n">
        <v>0.005</v>
      </c>
      <c r="D3768" s="12" t="inlineStr">
        <is>
          <t>PO-2023-4275</t>
        </is>
      </c>
      <c r="E3768" s="12" t="n">
        <v>1.74</v>
      </c>
      <c r="F3768" s="17" t="n">
        <v>110686.2</v>
      </c>
      <c r="G3768" s="14">
        <f>E3768*F3768</f>
        <v/>
      </c>
      <c r="H3768" s="14">
        <f>C3768*G3768</f>
        <v/>
      </c>
    </row>
    <row r="3769">
      <c r="A3769" s="12" t="inlineStr">
        <is>
          <t>RET-0270</t>
        </is>
      </c>
      <c r="B3769" s="12" t="inlineStr">
        <is>
          <t>VS28</t>
        </is>
      </c>
      <c r="C3769" s="28" t="n">
        <v>0.0111</v>
      </c>
      <c r="D3769" s="12" t="inlineStr">
        <is>
          <t>PO-2022-1775</t>
        </is>
      </c>
      <c r="E3769" s="12" t="n">
        <v>1.74</v>
      </c>
      <c r="F3769" s="17" t="n">
        <v>58860.59</v>
      </c>
      <c r="G3769" s="14">
        <f>E3769*F3769</f>
        <v/>
      </c>
      <c r="H3769" s="14">
        <f>C3769*G3769</f>
        <v/>
      </c>
    </row>
    <row r="3770">
      <c r="A3770" s="12" t="inlineStr">
        <is>
          <t>RET-0270</t>
        </is>
      </c>
      <c r="B3770" s="12" t="inlineStr">
        <is>
          <t>VS29</t>
        </is>
      </c>
      <c r="C3770" s="28" t="n">
        <v>0.007</v>
      </c>
      <c r="D3770" s="12" t="inlineStr">
        <is>
          <t>PO-2022-2255</t>
        </is>
      </c>
      <c r="E3770" s="12" t="n">
        <v>1.74</v>
      </c>
      <c r="F3770" s="17" t="n">
        <v>61723.09</v>
      </c>
      <c r="G3770" s="14">
        <f>E3770*F3770</f>
        <v/>
      </c>
      <c r="H3770" s="14">
        <f>C3770*G3770</f>
        <v/>
      </c>
    </row>
    <row r="3771">
      <c r="A3771" s="12" t="inlineStr">
        <is>
          <t>RET-0270</t>
        </is>
      </c>
      <c r="B3771" s="12" t="inlineStr">
        <is>
          <t>VS30</t>
        </is>
      </c>
      <c r="C3771" s="28" t="n">
        <v>0.003</v>
      </c>
      <c r="D3771" s="12" t="inlineStr">
        <is>
          <t>PO-2023-4452</t>
        </is>
      </c>
      <c r="E3771" s="12" t="n">
        <v>1.74</v>
      </c>
      <c r="F3771" s="17" t="n">
        <v>103669.44</v>
      </c>
      <c r="G3771" s="14">
        <f>E3771*F3771</f>
        <v/>
      </c>
      <c r="H3771" s="14">
        <f>C3771*G3771</f>
        <v/>
      </c>
    </row>
    <row r="3772">
      <c r="A3772" s="12" t="inlineStr">
        <is>
          <t>RET-0270</t>
        </is>
      </c>
      <c r="B3772" s="12" t="inlineStr">
        <is>
          <t>VS31</t>
        </is>
      </c>
      <c r="C3772" s="28" t="n">
        <v>0.011</v>
      </c>
      <c r="D3772" s="12" t="inlineStr">
        <is>
          <t>PO-2022-1810</t>
        </is>
      </c>
      <c r="E3772" s="12" t="n">
        <v>1.74</v>
      </c>
      <c r="F3772" s="17" t="n">
        <v>48130.57</v>
      </c>
      <c r="G3772" s="14">
        <f>E3772*F3772</f>
        <v/>
      </c>
      <c r="H3772" s="14">
        <f>C3772*G3772</f>
        <v/>
      </c>
    </row>
    <row r="3773">
      <c r="A3773" s="12" t="inlineStr">
        <is>
          <t>RET-0270</t>
        </is>
      </c>
      <c r="B3773" s="12" t="inlineStr">
        <is>
          <t>VS32</t>
        </is>
      </c>
      <c r="C3773" s="28" t="n">
        <v>0.0131</v>
      </c>
      <c r="D3773" s="12" t="inlineStr">
        <is>
          <t>PO-2021-0508</t>
        </is>
      </c>
      <c r="E3773" s="12" t="n">
        <v>1.74</v>
      </c>
      <c r="F3773" s="17" t="n">
        <v>50835.5</v>
      </c>
      <c r="G3773" s="14">
        <f>E3773*F3773</f>
        <v/>
      </c>
      <c r="H3773" s="14">
        <f>C3773*G3773</f>
        <v/>
      </c>
    </row>
    <row r="3774">
      <c r="A3774" s="12" t="inlineStr">
        <is>
          <t>RET-0270</t>
        </is>
      </c>
      <c r="B3774" s="12" t="inlineStr">
        <is>
          <t>VS33</t>
        </is>
      </c>
      <c r="C3774" s="28" t="n">
        <v>0.007</v>
      </c>
      <c r="D3774" s="12" t="inlineStr">
        <is>
          <t>PO-2022-1619</t>
        </is>
      </c>
      <c r="E3774" s="12" t="n">
        <v>1.74</v>
      </c>
      <c r="F3774" s="17" t="n">
        <v>104705.2</v>
      </c>
      <c r="G3774" s="14">
        <f>E3774*F3774</f>
        <v/>
      </c>
      <c r="H3774" s="14">
        <f>C3774*G3774</f>
        <v/>
      </c>
    </row>
    <row r="3775">
      <c r="A3775" s="12" t="inlineStr">
        <is>
          <t>RET-0270</t>
        </is>
      </c>
      <c r="B3775" s="12" t="inlineStr">
        <is>
          <t>VS34</t>
        </is>
      </c>
      <c r="C3775" s="28" t="n">
        <v>0.008999999999999999</v>
      </c>
      <c r="D3775" s="12" t="inlineStr">
        <is>
          <t>PO-2021-0255</t>
        </is>
      </c>
      <c r="E3775" s="12" t="n">
        <v>1.74</v>
      </c>
      <c r="F3775" s="17" t="n">
        <v>57147.52</v>
      </c>
      <c r="G3775" s="14">
        <f>E3775*F3775</f>
        <v/>
      </c>
      <c r="H3775" s="14">
        <f>C3775*G3775</f>
        <v/>
      </c>
    </row>
    <row r="3776">
      <c r="A3776" s="12" t="inlineStr">
        <is>
          <t>RET-0280</t>
        </is>
      </c>
      <c r="B3776" s="12" t="inlineStr">
        <is>
          <t>VS01</t>
        </is>
      </c>
      <c r="C3776" s="28" t="n">
        <v>0.0286</v>
      </c>
      <c r="D3776" s="12" t="inlineStr">
        <is>
          <t>PO-2023-3746</t>
        </is>
      </c>
      <c r="E3776" s="12" t="n">
        <v>4.91</v>
      </c>
      <c r="F3776" s="17" t="n">
        <v>62120.19</v>
      </c>
      <c r="G3776" s="14">
        <f>E3776*F3776</f>
        <v/>
      </c>
      <c r="H3776" s="14">
        <f>C3776*G3776</f>
        <v/>
      </c>
    </row>
    <row r="3777">
      <c r="A3777" s="12" t="inlineStr">
        <is>
          <t>RET-0280</t>
        </is>
      </c>
      <c r="B3777" s="12" t="inlineStr">
        <is>
          <t>VS02</t>
        </is>
      </c>
      <c r="C3777" s="28" t="n">
        <v>0.013</v>
      </c>
      <c r="D3777" s="12" t="inlineStr">
        <is>
          <t>PO-2022-2117</t>
        </is>
      </c>
      <c r="E3777" s="12" t="n">
        <v>4.91</v>
      </c>
      <c r="F3777" s="17" t="n">
        <v>77036.22</v>
      </c>
      <c r="G3777" s="14">
        <f>E3777*F3777</f>
        <v/>
      </c>
      <c r="H3777" s="14">
        <f>C3777*G3777</f>
        <v/>
      </c>
    </row>
    <row r="3778">
      <c r="A3778" s="12" t="inlineStr">
        <is>
          <t>RET-0280</t>
        </is>
      </c>
      <c r="B3778" s="12" t="inlineStr">
        <is>
          <t>VS03</t>
        </is>
      </c>
      <c r="C3778" s="28" t="n">
        <v>0.108</v>
      </c>
      <c r="D3778" s="12" t="inlineStr">
        <is>
          <t>PO-2023-4389</t>
        </is>
      </c>
      <c r="E3778" s="12" t="n">
        <v>4.91</v>
      </c>
      <c r="F3778" s="17" t="n">
        <v>61123.58</v>
      </c>
      <c r="G3778" s="14">
        <f>E3778*F3778</f>
        <v/>
      </c>
      <c r="H3778" s="14">
        <f>C3778*G3778</f>
        <v/>
      </c>
    </row>
    <row r="3779">
      <c r="A3779" s="12" t="inlineStr">
        <is>
          <t>RET-0280</t>
        </is>
      </c>
      <c r="B3779" s="12" t="inlineStr">
        <is>
          <t>VS04</t>
        </is>
      </c>
      <c r="C3779" s="28" t="n">
        <v>0.0179</v>
      </c>
      <c r="D3779" s="12" t="inlineStr">
        <is>
          <t>PO-2022-2667</t>
        </is>
      </c>
      <c r="E3779" s="12" t="n">
        <v>4.91</v>
      </c>
      <c r="F3779" s="17" t="n">
        <v>119130.22</v>
      </c>
      <c r="G3779" s="14">
        <f>E3779*F3779</f>
        <v/>
      </c>
      <c r="H3779" s="14">
        <f>C3779*G3779</f>
        <v/>
      </c>
    </row>
    <row r="3780">
      <c r="A3780" s="12" t="inlineStr">
        <is>
          <t>RET-0280</t>
        </is>
      </c>
      <c r="B3780" s="12" t="inlineStr">
        <is>
          <t>VS05</t>
        </is>
      </c>
      <c r="C3780" s="28" t="n">
        <v>0.0233</v>
      </c>
      <c r="D3780" s="12" t="inlineStr">
        <is>
          <t>PO-2023-4177</t>
        </is>
      </c>
      <c r="E3780" s="12" t="n">
        <v>4.91</v>
      </c>
      <c r="F3780" s="17" t="n">
        <v>72246.31</v>
      </c>
      <c r="G3780" s="14">
        <f>E3780*F3780</f>
        <v/>
      </c>
      <c r="H3780" s="14">
        <f>C3780*G3780</f>
        <v/>
      </c>
    </row>
    <row r="3781">
      <c r="A3781" s="12" t="inlineStr">
        <is>
          <t>RET-0280</t>
        </is>
      </c>
      <c r="B3781" s="12" t="inlineStr">
        <is>
          <t>VS06</t>
        </is>
      </c>
      <c r="C3781" s="28" t="n">
        <v>0.0235</v>
      </c>
      <c r="D3781" s="12" t="inlineStr">
        <is>
          <t>PO-2022-2874</t>
        </is>
      </c>
      <c r="E3781" s="12" t="n">
        <v>4.91</v>
      </c>
      <c r="F3781" s="17" t="n">
        <v>93218.38</v>
      </c>
      <c r="G3781" s="14">
        <f>E3781*F3781</f>
        <v/>
      </c>
      <c r="H3781" s="14">
        <f>C3781*G3781</f>
        <v/>
      </c>
    </row>
    <row r="3782">
      <c r="A3782" s="12" t="inlineStr">
        <is>
          <t>RET-0280</t>
        </is>
      </c>
      <c r="B3782" s="12" t="inlineStr">
        <is>
          <t>VS07</t>
        </is>
      </c>
      <c r="C3782" s="28" t="n">
        <v>0.0078</v>
      </c>
      <c r="D3782" s="12" t="inlineStr">
        <is>
          <t>PO-2023-4749</t>
        </is>
      </c>
      <c r="E3782" s="12" t="n">
        <v>4.77</v>
      </c>
      <c r="F3782" s="17" t="n">
        <v>71095.10000000001</v>
      </c>
      <c r="G3782" s="14">
        <f>E3782*F3782</f>
        <v/>
      </c>
      <c r="H3782" s="14">
        <f>C3782*G3782</f>
        <v/>
      </c>
    </row>
    <row r="3783">
      <c r="A3783" s="12" t="inlineStr">
        <is>
          <t>RET-0280</t>
        </is>
      </c>
      <c r="B3783" s="12" t="inlineStr">
        <is>
          <t>VS08</t>
        </is>
      </c>
      <c r="C3783" s="28" t="n">
        <v>0.0236</v>
      </c>
      <c r="D3783" s="12" t="inlineStr">
        <is>
          <t>PO-2021-0179</t>
        </is>
      </c>
      <c r="E3783" s="12" t="n">
        <v>4.91</v>
      </c>
      <c r="F3783" s="17" t="n">
        <v>77299.13</v>
      </c>
      <c r="G3783" s="14">
        <f>E3783*F3783</f>
        <v/>
      </c>
      <c r="H3783" s="14">
        <f>C3783*G3783</f>
        <v/>
      </c>
    </row>
    <row r="3784">
      <c r="A3784" s="12" t="inlineStr">
        <is>
          <t>RET-0280</t>
        </is>
      </c>
      <c r="B3784" s="12" t="inlineStr">
        <is>
          <t>VS09</t>
        </is>
      </c>
      <c r="C3784" s="28" t="n">
        <v>0.0182</v>
      </c>
      <c r="D3784" s="12" t="inlineStr">
        <is>
          <t>PO-2022-3055</t>
        </is>
      </c>
      <c r="E3784" s="12" t="n">
        <v>4.91</v>
      </c>
      <c r="F3784" s="17" t="n">
        <v>54952.58</v>
      </c>
      <c r="G3784" s="14">
        <f>E3784*F3784</f>
        <v/>
      </c>
      <c r="H3784" s="14">
        <f>C3784*G3784</f>
        <v/>
      </c>
    </row>
    <row r="3785">
      <c r="A3785" s="12" t="inlineStr">
        <is>
          <t>RET-0280</t>
        </is>
      </c>
      <c r="B3785" s="12" t="inlineStr">
        <is>
          <t>VS10</t>
        </is>
      </c>
      <c r="C3785" s="28" t="n">
        <v>0.0285</v>
      </c>
      <c r="D3785" s="12" t="inlineStr">
        <is>
          <t>PO-2021-0151</t>
        </is>
      </c>
      <c r="E3785" s="12" t="n">
        <v>4.91</v>
      </c>
      <c r="F3785" s="17" t="n">
        <v>118802.11</v>
      </c>
      <c r="G3785" s="14">
        <f>E3785*F3785</f>
        <v/>
      </c>
      <c r="H3785" s="14">
        <f>C3785*G3785</f>
        <v/>
      </c>
    </row>
    <row r="3786">
      <c r="A3786" s="12" t="inlineStr">
        <is>
          <t>RET-0280</t>
        </is>
      </c>
      <c r="B3786" s="12" t="inlineStr">
        <is>
          <t>VS11</t>
        </is>
      </c>
      <c r="C3786" s="28" t="n">
        <v>0.0334</v>
      </c>
      <c r="D3786" s="12" t="inlineStr">
        <is>
          <t>PO-2021-0990</t>
        </is>
      </c>
      <c r="E3786" s="12" t="n">
        <v>4.91</v>
      </c>
      <c r="F3786" s="17" t="n">
        <v>51054.2</v>
      </c>
      <c r="G3786" s="14">
        <f>E3786*F3786</f>
        <v/>
      </c>
      <c r="H3786" s="14">
        <f>C3786*G3786</f>
        <v/>
      </c>
    </row>
    <row r="3787">
      <c r="A3787" s="12" t="inlineStr">
        <is>
          <t>RET-0280</t>
        </is>
      </c>
      <c r="B3787" s="12" t="inlineStr">
        <is>
          <t>VS12</t>
        </is>
      </c>
      <c r="C3787" s="28" t="n">
        <v>0.1501</v>
      </c>
      <c r="D3787" s="12" t="inlineStr">
        <is>
          <t>PO-2023-3734</t>
        </is>
      </c>
      <c r="E3787" s="12" t="n">
        <v>4.433</v>
      </c>
      <c r="F3787" s="17" t="n">
        <v>120569.59</v>
      </c>
      <c r="G3787" s="14">
        <f>E3787*F3787</f>
        <v/>
      </c>
      <c r="H3787" s="14">
        <f>C3787*G3787</f>
        <v/>
      </c>
    </row>
    <row r="3788">
      <c r="A3788" s="12" t="inlineStr">
        <is>
          <t>RET-0280</t>
        </is>
      </c>
      <c r="B3788" s="12" t="inlineStr">
        <is>
          <t>VS13</t>
        </is>
      </c>
      <c r="C3788" s="28" t="n">
        <v>0.023</v>
      </c>
      <c r="D3788" s="12" t="inlineStr">
        <is>
          <t>PO-2022-2411</t>
        </is>
      </c>
      <c r="E3788" s="12" t="n">
        <v>1.69</v>
      </c>
      <c r="F3788" s="17" t="n">
        <v>67183.81</v>
      </c>
      <c r="G3788" s="14">
        <f>E3788*F3788</f>
        <v/>
      </c>
      <c r="H3788" s="14">
        <f>C3788*G3788</f>
        <v/>
      </c>
    </row>
    <row r="3789">
      <c r="A3789" s="12" t="inlineStr">
        <is>
          <t>RET-0280</t>
        </is>
      </c>
      <c r="B3789" s="12" t="inlineStr">
        <is>
          <t>VS14</t>
        </is>
      </c>
      <c r="C3789" s="28" t="n">
        <v>0.0232</v>
      </c>
      <c r="D3789" s="12" t="inlineStr">
        <is>
          <t>PO-2023-3401</t>
        </is>
      </c>
      <c r="E3789" s="12" t="n">
        <v>4.91</v>
      </c>
      <c r="F3789" s="17" t="n">
        <v>116273.67</v>
      </c>
      <c r="G3789" s="14">
        <f>E3789*F3789</f>
        <v/>
      </c>
      <c r="H3789" s="14">
        <f>C3789*G3789</f>
        <v/>
      </c>
    </row>
    <row r="3790">
      <c r="A3790" s="12" t="inlineStr">
        <is>
          <t>RET-0280</t>
        </is>
      </c>
      <c r="B3790" s="12" t="inlineStr">
        <is>
          <t>VS15</t>
        </is>
      </c>
      <c r="C3790" s="28" t="n">
        <v>0.0078</v>
      </c>
      <c r="D3790" s="12" t="inlineStr">
        <is>
          <t>PO-2023-4219</t>
        </is>
      </c>
      <c r="E3790" s="12" t="n">
        <v>4.91</v>
      </c>
      <c r="F3790" s="17" t="n">
        <v>59583.85</v>
      </c>
      <c r="G3790" s="14">
        <f>E3790*F3790</f>
        <v/>
      </c>
      <c r="H3790" s="14">
        <f>C3790*G3790</f>
        <v/>
      </c>
    </row>
    <row r="3791">
      <c r="A3791" s="12" t="inlineStr">
        <is>
          <t>RET-0280</t>
        </is>
      </c>
      <c r="B3791" s="12" t="inlineStr">
        <is>
          <t>VS16</t>
        </is>
      </c>
      <c r="C3791" s="28" t="n">
        <v>0.0335</v>
      </c>
      <c r="D3791" s="12" t="inlineStr">
        <is>
          <t>PO-2022-1699</t>
        </is>
      </c>
      <c r="E3791" s="12" t="n">
        <v>4.91</v>
      </c>
      <c r="F3791" s="17" t="n">
        <v>93275</v>
      </c>
      <c r="G3791" s="14">
        <f>E3791*F3791</f>
        <v/>
      </c>
      <c r="H3791" s="14">
        <f>C3791*G3791</f>
        <v/>
      </c>
    </row>
    <row r="3792">
      <c r="A3792" s="12" t="inlineStr">
        <is>
          <t>RET-0280</t>
        </is>
      </c>
      <c r="B3792" s="12" t="inlineStr">
        <is>
          <t>VS17</t>
        </is>
      </c>
      <c r="C3792" s="28" t="n">
        <v>0.0334</v>
      </c>
      <c r="D3792" s="12" t="inlineStr">
        <is>
          <t>PO-2023-3885</t>
        </is>
      </c>
      <c r="E3792" s="12" t="n">
        <v>4.91</v>
      </c>
      <c r="F3792" s="17" t="n">
        <v>83042.16</v>
      </c>
      <c r="G3792" s="14">
        <f>E3792*F3792</f>
        <v/>
      </c>
      <c r="H3792" s="14">
        <f>C3792*G3792</f>
        <v/>
      </c>
    </row>
    <row r="3793">
      <c r="A3793" s="12" t="inlineStr">
        <is>
          <t>RET-0280</t>
        </is>
      </c>
      <c r="B3793" s="12" t="inlineStr">
        <is>
          <t>VS18</t>
        </is>
      </c>
      <c r="C3793" s="28" t="n">
        <v>0.0233</v>
      </c>
      <c r="D3793" s="12" t="inlineStr">
        <is>
          <t>PO-2023-3828</t>
        </is>
      </c>
      <c r="E3793" s="12" t="n">
        <v>4.91</v>
      </c>
      <c r="F3793" s="17" t="n">
        <v>110527.8</v>
      </c>
      <c r="G3793" s="14">
        <f>E3793*F3793</f>
        <v/>
      </c>
      <c r="H3793" s="14">
        <f>C3793*G3793</f>
        <v/>
      </c>
    </row>
    <row r="3794">
      <c r="A3794" s="12" t="inlineStr">
        <is>
          <t>RET-0280</t>
        </is>
      </c>
      <c r="B3794" s="12" t="inlineStr">
        <is>
          <t>VS19</t>
        </is>
      </c>
      <c r="C3794" s="28" t="n">
        <v>0.1132</v>
      </c>
      <c r="D3794" s="12" t="inlineStr">
        <is>
          <t>PO-2023-4647</t>
        </is>
      </c>
      <c r="E3794" s="12" t="n">
        <v>4.91</v>
      </c>
      <c r="F3794" s="17" t="n">
        <v>88360.27</v>
      </c>
      <c r="G3794" s="14">
        <f>E3794*F3794</f>
        <v/>
      </c>
      <c r="H3794" s="14">
        <f>C3794*G3794</f>
        <v/>
      </c>
    </row>
    <row r="3795">
      <c r="A3795" s="12" t="inlineStr">
        <is>
          <t>RET-0280</t>
        </is>
      </c>
      <c r="B3795" s="12" t="inlineStr">
        <is>
          <t>VS20</t>
        </is>
      </c>
      <c r="C3795" s="28" t="n">
        <v>0.013</v>
      </c>
      <c r="D3795" s="12" t="inlineStr">
        <is>
          <t>PO-2023-4212</t>
        </is>
      </c>
      <c r="E3795" s="12" t="n">
        <v>4.91</v>
      </c>
      <c r="F3795" s="17" t="n">
        <v>65869.3</v>
      </c>
      <c r="G3795" s="14">
        <f>E3795*F3795</f>
        <v/>
      </c>
      <c r="H3795" s="14">
        <f>C3795*G3795</f>
        <v/>
      </c>
    </row>
    <row r="3796">
      <c r="A3796" s="12" t="inlineStr">
        <is>
          <t>RET-0280</t>
        </is>
      </c>
      <c r="B3796" s="12" t="inlineStr">
        <is>
          <t>VS21</t>
        </is>
      </c>
      <c r="C3796" s="28" t="n">
        <v>0.013</v>
      </c>
      <c r="D3796" s="12" t="inlineStr">
        <is>
          <t>PO-2021-1361</t>
        </is>
      </c>
      <c r="E3796" s="12" t="n">
        <v>4.91</v>
      </c>
      <c r="F3796" s="17" t="n">
        <v>47415.67</v>
      </c>
      <c r="G3796" s="14">
        <f>E3796*F3796</f>
        <v/>
      </c>
      <c r="H3796" s="14">
        <f>C3796*G3796</f>
        <v/>
      </c>
    </row>
    <row r="3797">
      <c r="A3797" s="12" t="inlineStr">
        <is>
          <t>RET-0280</t>
        </is>
      </c>
      <c r="B3797" s="12" t="inlineStr">
        <is>
          <t>VS22</t>
        </is>
      </c>
      <c r="C3797" s="28" t="n">
        <v>0.0077</v>
      </c>
      <c r="D3797" s="12" t="inlineStr">
        <is>
          <t>PO-2021-1317</t>
        </is>
      </c>
      <c r="E3797" s="12" t="n">
        <v>4.91</v>
      </c>
      <c r="F3797" s="17" t="n">
        <v>69614.53</v>
      </c>
      <c r="G3797" s="14">
        <f>E3797*F3797</f>
        <v/>
      </c>
      <c r="H3797" s="14">
        <f>C3797*G3797</f>
        <v/>
      </c>
    </row>
    <row r="3798">
      <c r="A3798" s="12" t="inlineStr">
        <is>
          <t>RET-0280</t>
        </is>
      </c>
      <c r="B3798" s="12" t="inlineStr">
        <is>
          <t>VS23</t>
        </is>
      </c>
      <c r="C3798" s="28" t="n">
        <v>0.0128</v>
      </c>
      <c r="D3798" s="12" t="inlineStr">
        <is>
          <t>PO-2021-0600</t>
        </is>
      </c>
      <c r="E3798" s="12" t="n">
        <v>4.91</v>
      </c>
      <c r="F3798" s="17" t="n">
        <v>110996.27</v>
      </c>
      <c r="G3798" s="14">
        <f>E3798*F3798</f>
        <v/>
      </c>
      <c r="H3798" s="14">
        <f>C3798*G3798</f>
        <v/>
      </c>
    </row>
    <row r="3799">
      <c r="A3799" s="12" t="inlineStr">
        <is>
          <t>RET-0280</t>
        </is>
      </c>
      <c r="B3799" s="12" t="inlineStr">
        <is>
          <t>VS24</t>
        </is>
      </c>
      <c r="C3799" s="28" t="n">
        <v>0.0129</v>
      </c>
      <c r="D3799" s="12" t="inlineStr">
        <is>
          <t>PO-2023-3957</t>
        </is>
      </c>
      <c r="E3799" s="12" t="n">
        <v>4.91</v>
      </c>
      <c r="F3799" s="17" t="n">
        <v>77227.49000000001</v>
      </c>
      <c r="G3799" s="14">
        <f>E3799*F3799</f>
        <v/>
      </c>
      <c r="H3799" s="14">
        <f>C3799*G3799</f>
        <v/>
      </c>
    </row>
    <row r="3800">
      <c r="A3800" s="12" t="inlineStr">
        <is>
          <t>RET-0280</t>
        </is>
      </c>
      <c r="B3800" s="12" t="inlineStr">
        <is>
          <t>VS25</t>
        </is>
      </c>
      <c r="C3800" s="28" t="n">
        <v>0.0234</v>
      </c>
      <c r="D3800" s="12" t="inlineStr">
        <is>
          <t>PO-2023-3898</t>
        </is>
      </c>
      <c r="E3800" s="12" t="n">
        <v>4.91</v>
      </c>
      <c r="F3800" s="17" t="n">
        <v>118216.73</v>
      </c>
      <c r="G3800" s="14">
        <f>E3800*F3800</f>
        <v/>
      </c>
      <c r="H3800" s="14">
        <f>C3800*G3800</f>
        <v/>
      </c>
    </row>
    <row r="3801">
      <c r="A3801" s="12" t="inlineStr">
        <is>
          <t>RET-0280</t>
        </is>
      </c>
      <c r="B3801" s="12" t="inlineStr">
        <is>
          <t>VS26</t>
        </is>
      </c>
      <c r="C3801" s="28" t="n">
        <v>0.013</v>
      </c>
      <c r="D3801" s="12" t="inlineStr">
        <is>
          <t>PO-2022-2462</t>
        </is>
      </c>
      <c r="E3801" s="12" t="n">
        <v>4.183</v>
      </c>
      <c r="F3801" s="17" t="n">
        <v>105899.34</v>
      </c>
      <c r="G3801" s="14">
        <f>E3801*F3801</f>
        <v/>
      </c>
      <c r="H3801" s="14">
        <f>C3801*G3801</f>
        <v/>
      </c>
    </row>
    <row r="3802">
      <c r="A3802" s="12" t="inlineStr">
        <is>
          <t>RET-0280</t>
        </is>
      </c>
      <c r="B3802" s="12" t="inlineStr">
        <is>
          <t>VS27</t>
        </is>
      </c>
      <c r="C3802" s="28" t="n">
        <v>0.0128</v>
      </c>
      <c r="D3802" s="12" t="inlineStr">
        <is>
          <t>PO-2022-2253</t>
        </is>
      </c>
      <c r="E3802" s="12" t="n">
        <v>4.91</v>
      </c>
      <c r="F3802" s="17" t="n">
        <v>76022.99000000001</v>
      </c>
      <c r="G3802" s="14">
        <f>E3802*F3802</f>
        <v/>
      </c>
      <c r="H3802" s="14">
        <f>C3802*G3802</f>
        <v/>
      </c>
    </row>
    <row r="3803">
      <c r="A3803" s="12" t="inlineStr">
        <is>
          <t>RET-0280</t>
        </is>
      </c>
      <c r="B3803" s="12" t="inlineStr">
        <is>
          <t>VS28</t>
        </is>
      </c>
      <c r="C3803" s="28" t="n">
        <v>0.0285</v>
      </c>
      <c r="D3803" s="12" t="inlineStr">
        <is>
          <t>PO-2023-3840</t>
        </is>
      </c>
      <c r="E3803" s="12" t="n">
        <v>4.91</v>
      </c>
      <c r="F3803" s="17" t="n">
        <v>63529.43</v>
      </c>
      <c r="G3803" s="14">
        <f>E3803*F3803</f>
        <v/>
      </c>
      <c r="H3803" s="14">
        <f>C3803*G3803</f>
        <v/>
      </c>
    </row>
    <row r="3804">
      <c r="A3804" s="12" t="inlineStr">
        <is>
          <t>RET-0280</t>
        </is>
      </c>
      <c r="B3804" s="12" t="inlineStr">
        <is>
          <t>VS29</t>
        </is>
      </c>
      <c r="C3804" s="28" t="n">
        <v>0.0181</v>
      </c>
      <c r="D3804" s="12" t="inlineStr">
        <is>
          <t>PO-2022-2942</t>
        </is>
      </c>
      <c r="E3804" s="12" t="n">
        <v>4.91</v>
      </c>
      <c r="F3804" s="17" t="n">
        <v>49628.59</v>
      </c>
      <c r="G3804" s="14">
        <f>E3804*F3804</f>
        <v/>
      </c>
      <c r="H3804" s="14">
        <f>C3804*G3804</f>
        <v/>
      </c>
    </row>
    <row r="3805">
      <c r="A3805" s="12" t="inlineStr">
        <is>
          <t>RET-0280</t>
        </is>
      </c>
      <c r="B3805" s="12" t="inlineStr">
        <is>
          <t>VS30</t>
        </is>
      </c>
      <c r="C3805" s="28" t="n">
        <v>0.0078</v>
      </c>
      <c r="D3805" s="12" t="inlineStr">
        <is>
          <t>PO-2023-4794</t>
        </is>
      </c>
      <c r="E3805" s="12" t="n">
        <v>4.91</v>
      </c>
      <c r="F3805" s="17" t="n">
        <v>58136.36</v>
      </c>
      <c r="G3805" s="14">
        <f>E3805*F3805</f>
        <v/>
      </c>
      <c r="H3805" s="14">
        <f>C3805*G3805</f>
        <v/>
      </c>
    </row>
    <row r="3806">
      <c r="A3806" s="12" t="inlineStr">
        <is>
          <t>RET-0280</t>
        </is>
      </c>
      <c r="B3806" s="12" t="inlineStr">
        <is>
          <t>VS31</t>
        </is>
      </c>
      <c r="C3806" s="28" t="n">
        <v>0.0284</v>
      </c>
      <c r="D3806" s="12" t="inlineStr">
        <is>
          <t>PO-2023-3281</t>
        </is>
      </c>
      <c r="E3806" s="12" t="n">
        <v>4.91</v>
      </c>
      <c r="F3806" s="17" t="n">
        <v>77268.31</v>
      </c>
      <c r="G3806" s="14">
        <f>E3806*F3806</f>
        <v/>
      </c>
      <c r="H3806" s="14">
        <f>C3806*G3806</f>
        <v/>
      </c>
    </row>
    <row r="3807">
      <c r="A3807" s="12" t="inlineStr">
        <is>
          <t>RET-0280</t>
        </is>
      </c>
      <c r="B3807" s="12" t="inlineStr">
        <is>
          <t>VS32</t>
        </is>
      </c>
      <c r="C3807" s="28" t="n">
        <v>0.0338</v>
      </c>
      <c r="D3807" s="12" t="inlineStr">
        <is>
          <t>PO-2022-2417</t>
        </is>
      </c>
      <c r="E3807" s="12" t="n">
        <v>4.91</v>
      </c>
      <c r="F3807" s="17" t="n">
        <v>117207.62</v>
      </c>
      <c r="G3807" s="14">
        <f>E3807*F3807</f>
        <v/>
      </c>
      <c r="H3807" s="14">
        <f>C3807*G3807</f>
        <v/>
      </c>
    </row>
    <row r="3808">
      <c r="A3808" s="12" t="inlineStr">
        <is>
          <t>RET-0280</t>
        </is>
      </c>
      <c r="B3808" s="12" t="inlineStr">
        <is>
          <t>VS33</t>
        </is>
      </c>
      <c r="C3808" s="28" t="n">
        <v>0.018</v>
      </c>
      <c r="D3808" s="12" t="inlineStr">
        <is>
          <t>PO-2023-4798</t>
        </is>
      </c>
      <c r="E3808" s="12" t="n">
        <v>4.91</v>
      </c>
      <c r="F3808" s="17" t="n">
        <v>108228.18</v>
      </c>
      <c r="G3808" s="14">
        <f>E3808*F3808</f>
        <v/>
      </c>
      <c r="H3808" s="14">
        <f>C3808*G3808</f>
        <v/>
      </c>
    </row>
    <row r="3809">
      <c r="A3809" s="12" t="inlineStr">
        <is>
          <t>RET-0280</t>
        </is>
      </c>
      <c r="B3809" s="12" t="inlineStr">
        <is>
          <t>VS34</t>
        </is>
      </c>
      <c r="C3809" s="28" t="n">
        <v>0.0233</v>
      </c>
      <c r="D3809" s="12" t="inlineStr">
        <is>
          <t>PO-2022-1963</t>
        </is>
      </c>
      <c r="E3809" s="12" t="n">
        <v>4.91</v>
      </c>
      <c r="F3809" s="17" t="n">
        <v>75237.98</v>
      </c>
      <c r="G3809" s="14">
        <f>E3809*F3809</f>
        <v/>
      </c>
      <c r="H3809" s="14">
        <f>C3809*G3809</f>
        <v/>
      </c>
    </row>
    <row r="3810">
      <c r="A3810" s="12" t="inlineStr">
        <is>
          <t>RET-0282</t>
        </is>
      </c>
      <c r="B3810" s="12" t="inlineStr">
        <is>
          <t>VS01</t>
        </is>
      </c>
      <c r="C3810" s="28" t="n">
        <v>0.0171</v>
      </c>
      <c r="D3810" s="12" t="inlineStr">
        <is>
          <t>PO-2022-2006</t>
        </is>
      </c>
      <c r="E3810" s="12" t="n">
        <v>1.86</v>
      </c>
      <c r="F3810" s="17" t="n">
        <v>95264.62</v>
      </c>
      <c r="G3810" s="14">
        <f>E3810*F3810</f>
        <v/>
      </c>
      <c r="H3810" s="14">
        <f>C3810*G3810</f>
        <v/>
      </c>
    </row>
    <row r="3811">
      <c r="A3811" s="12" t="inlineStr">
        <is>
          <t>RET-0282</t>
        </is>
      </c>
      <c r="B3811" s="12" t="inlineStr">
        <is>
          <t>VS02</t>
        </is>
      </c>
      <c r="C3811" s="28" t="n">
        <v>0.0078</v>
      </c>
      <c r="D3811" s="12" t="inlineStr">
        <is>
          <t>PO-2021-0982</t>
        </is>
      </c>
      <c r="E3811" s="12" t="n">
        <v>1.86</v>
      </c>
      <c r="F3811" s="17" t="n">
        <v>91377.91</v>
      </c>
      <c r="G3811" s="14">
        <f>E3811*F3811</f>
        <v/>
      </c>
      <c r="H3811" s="14">
        <f>C3811*G3811</f>
        <v/>
      </c>
    </row>
    <row r="3812">
      <c r="A3812" s="12" t="inlineStr">
        <is>
          <t>RET-0282</t>
        </is>
      </c>
      <c r="B3812" s="12" t="inlineStr">
        <is>
          <t>VS03</t>
        </is>
      </c>
      <c r="C3812" s="28" t="n">
        <v>0.1812</v>
      </c>
      <c r="D3812" s="12" t="inlineStr">
        <is>
          <t>PO-2022-2949</t>
        </is>
      </c>
      <c r="E3812" s="12" t="n">
        <v>1.86</v>
      </c>
      <c r="F3812" s="17" t="n">
        <v>96901.49000000001</v>
      </c>
      <c r="G3812" s="14">
        <f>E3812*F3812</f>
        <v/>
      </c>
      <c r="H3812" s="14">
        <f>C3812*G3812</f>
        <v/>
      </c>
    </row>
    <row r="3813">
      <c r="A3813" s="12" t="inlineStr">
        <is>
          <t>RET-0282</t>
        </is>
      </c>
      <c r="B3813" s="12" t="inlineStr">
        <is>
          <t>VS04</t>
        </is>
      </c>
      <c r="C3813" s="28" t="n">
        <v>0.0107</v>
      </c>
      <c r="D3813" s="12" t="inlineStr">
        <is>
          <t>PO-2023-3317</t>
        </is>
      </c>
      <c r="E3813" s="12" t="n">
        <v>1.86</v>
      </c>
      <c r="F3813" s="17" t="n">
        <v>47704.02</v>
      </c>
      <c r="G3813" s="14">
        <f>E3813*F3813</f>
        <v/>
      </c>
      <c r="H3813" s="14">
        <f>C3813*G3813</f>
        <v/>
      </c>
    </row>
    <row r="3814">
      <c r="A3814" s="12" t="inlineStr">
        <is>
          <t>RET-0282</t>
        </is>
      </c>
      <c r="B3814" s="12" t="inlineStr">
        <is>
          <t>VS05</t>
        </is>
      </c>
      <c r="C3814" s="28" t="n">
        <v>0.014</v>
      </c>
      <c r="D3814" s="12" t="inlineStr">
        <is>
          <t>PO-2023-3996</t>
        </is>
      </c>
      <c r="E3814" s="12" t="n">
        <v>1.86</v>
      </c>
      <c r="F3814" s="17" t="n">
        <v>110100.49</v>
      </c>
      <c r="G3814" s="14">
        <f>E3814*F3814</f>
        <v/>
      </c>
      <c r="H3814" s="14">
        <f>C3814*G3814</f>
        <v/>
      </c>
    </row>
    <row r="3815">
      <c r="A3815" s="12" t="inlineStr">
        <is>
          <t>RET-0282</t>
        </is>
      </c>
      <c r="B3815" s="12" t="inlineStr">
        <is>
          <t>VS06</t>
        </is>
      </c>
      <c r="C3815" s="28" t="n">
        <v>0.0141</v>
      </c>
      <c r="D3815" s="12" t="inlineStr">
        <is>
          <t>PO-2022-2556</t>
        </is>
      </c>
      <c r="E3815" s="12" t="n">
        <v>1.86</v>
      </c>
      <c r="F3815" s="17" t="n">
        <v>70091.72</v>
      </c>
      <c r="G3815" s="14">
        <f>E3815*F3815</f>
        <v/>
      </c>
      <c r="H3815" s="14">
        <f>C3815*G3815</f>
        <v/>
      </c>
    </row>
    <row r="3816">
      <c r="A3816" s="12" t="inlineStr">
        <is>
          <t>RET-0282</t>
        </is>
      </c>
      <c r="B3816" s="12" t="inlineStr">
        <is>
          <t>VS07</t>
        </is>
      </c>
      <c r="C3816" s="28" t="n">
        <v>0.0047</v>
      </c>
      <c r="D3816" s="12" t="inlineStr">
        <is>
          <t>PO-2021-0145</t>
        </is>
      </c>
      <c r="E3816" s="12" t="n">
        <v>1.86</v>
      </c>
      <c r="F3816" s="17" t="n">
        <v>115428.98</v>
      </c>
      <c r="G3816" s="14">
        <f>E3816*F3816</f>
        <v/>
      </c>
      <c r="H3816" s="14">
        <f>C3816*G3816</f>
        <v/>
      </c>
    </row>
    <row r="3817">
      <c r="A3817" s="12" t="inlineStr">
        <is>
          <t>RET-0282</t>
        </is>
      </c>
      <c r="B3817" s="12" t="inlineStr">
        <is>
          <t>VS08</t>
        </is>
      </c>
      <c r="C3817" s="28" t="n">
        <v>0.0142</v>
      </c>
      <c r="D3817" s="12" t="inlineStr">
        <is>
          <t>PO-2021-1106</t>
        </is>
      </c>
      <c r="E3817" s="12" t="n">
        <v>1.86</v>
      </c>
      <c r="F3817" s="17" t="n">
        <v>96403.06</v>
      </c>
      <c r="G3817" s="14">
        <f>E3817*F3817</f>
        <v/>
      </c>
      <c r="H3817" s="14">
        <f>C3817*G3817</f>
        <v/>
      </c>
    </row>
    <row r="3818">
      <c r="A3818" s="12" t="inlineStr">
        <is>
          <t>RET-0282</t>
        </is>
      </c>
      <c r="B3818" s="12" t="inlineStr">
        <is>
          <t>VS09</t>
        </is>
      </c>
      <c r="C3818" s="28" t="n">
        <v>0.0109</v>
      </c>
      <c r="D3818" s="12" t="inlineStr">
        <is>
          <t>PO-2021-1384</t>
        </is>
      </c>
      <c r="E3818" s="12" t="n">
        <v>1.86</v>
      </c>
      <c r="F3818" s="17" t="n">
        <v>108117.19</v>
      </c>
      <c r="G3818" s="14">
        <f>E3818*F3818</f>
        <v/>
      </c>
      <c r="H3818" s="14">
        <f>C3818*G3818</f>
        <v/>
      </c>
    </row>
    <row r="3819">
      <c r="A3819" s="12" t="inlineStr">
        <is>
          <t>RET-0282</t>
        </is>
      </c>
      <c r="B3819" s="12" t="inlineStr">
        <is>
          <t>VS10</t>
        </is>
      </c>
      <c r="C3819" s="28" t="n">
        <v>0.0171</v>
      </c>
      <c r="D3819" s="12" t="inlineStr">
        <is>
          <t>PO-2022-1863</t>
        </is>
      </c>
      <c r="E3819" s="12" t="n">
        <v>1.86</v>
      </c>
      <c r="F3819" s="17" t="n">
        <v>102948.37</v>
      </c>
      <c r="G3819" s="14">
        <f>E3819*F3819</f>
        <v/>
      </c>
      <c r="H3819" s="14">
        <f>C3819*G3819</f>
        <v/>
      </c>
    </row>
    <row r="3820">
      <c r="A3820" s="12" t="inlineStr">
        <is>
          <t>RET-0282</t>
        </is>
      </c>
      <c r="B3820" s="12" t="inlineStr">
        <is>
          <t>VS11</t>
        </is>
      </c>
      <c r="C3820" s="28" t="n">
        <v>0.02</v>
      </c>
      <c r="D3820" s="12" t="inlineStr">
        <is>
          <t>PO-2021-1105</t>
        </is>
      </c>
      <c r="E3820" s="12" t="n">
        <v>1.86</v>
      </c>
      <c r="F3820" s="17" t="n">
        <v>68434.48</v>
      </c>
      <c r="G3820" s="14">
        <f>E3820*F3820</f>
        <v/>
      </c>
      <c r="H3820" s="14">
        <f>C3820*G3820</f>
        <v/>
      </c>
    </row>
    <row r="3821">
      <c r="A3821" s="12" t="inlineStr">
        <is>
          <t>RET-0282</t>
        </is>
      </c>
      <c r="B3821" s="12" t="inlineStr">
        <is>
          <t>VS12</t>
        </is>
      </c>
      <c r="C3821" s="28" t="n">
        <v>0.2519</v>
      </c>
      <c r="D3821" s="12" t="inlineStr">
        <is>
          <t>PO-2021-0966</t>
        </is>
      </c>
      <c r="E3821" s="12" t="n">
        <v>1.563</v>
      </c>
      <c r="F3821" s="17" t="n">
        <v>88969.31</v>
      </c>
      <c r="G3821" s="14">
        <f>E3821*F3821</f>
        <v/>
      </c>
      <c r="H3821" s="14">
        <f>C3821*G3821</f>
        <v/>
      </c>
    </row>
    <row r="3822">
      <c r="A3822" s="12" t="inlineStr">
        <is>
          <t>RET-0282</t>
        </is>
      </c>
      <c r="B3822" s="12" t="inlineStr">
        <is>
          <t>VS13</t>
        </is>
      </c>
      <c r="C3822" s="28" t="n">
        <v>0.0138</v>
      </c>
      <c r="D3822" s="12" t="inlineStr">
        <is>
          <t>PO-2022-2309</t>
        </is>
      </c>
      <c r="E3822" s="12" t="n">
        <v>1.86</v>
      </c>
      <c r="F3822" s="17" t="n">
        <v>51247.96</v>
      </c>
      <c r="G3822" s="14">
        <f>E3822*F3822</f>
        <v/>
      </c>
      <c r="H3822" s="14">
        <f>C3822*G3822</f>
        <v/>
      </c>
    </row>
    <row r="3823">
      <c r="A3823" s="12" t="inlineStr">
        <is>
          <t>RET-0282</t>
        </is>
      </c>
      <c r="B3823" s="12" t="inlineStr">
        <is>
          <t>VS14</t>
        </is>
      </c>
      <c r="C3823" s="28" t="n">
        <v>0.0139</v>
      </c>
      <c r="D3823" s="12" t="inlineStr">
        <is>
          <t>PO-2021-0590</t>
        </is>
      </c>
      <c r="E3823" s="12" t="n">
        <v>1.86</v>
      </c>
      <c r="F3823" s="17" t="n">
        <v>45205.35</v>
      </c>
      <c r="G3823" s="14">
        <f>E3823*F3823</f>
        <v/>
      </c>
      <c r="H3823" s="14">
        <f>C3823*G3823</f>
        <v/>
      </c>
    </row>
    <row r="3824">
      <c r="A3824" s="12" t="inlineStr">
        <is>
          <t>RET-0282</t>
        </is>
      </c>
      <c r="B3824" s="12" t="inlineStr">
        <is>
          <t>VS15</t>
        </is>
      </c>
      <c r="C3824" s="28" t="n">
        <v>0.0047</v>
      </c>
      <c r="D3824" s="12" t="inlineStr">
        <is>
          <t>PO-2023-3647</t>
        </is>
      </c>
      <c r="E3824" s="12" t="n">
        <v>1.86</v>
      </c>
      <c r="F3824" s="17" t="n">
        <v>49590.11</v>
      </c>
      <c r="G3824" s="14">
        <f>E3824*F3824</f>
        <v/>
      </c>
      <c r="H3824" s="14">
        <f>C3824*G3824</f>
        <v/>
      </c>
    </row>
    <row r="3825">
      <c r="A3825" s="12" t="inlineStr">
        <is>
          <t>RET-0282</t>
        </is>
      </c>
      <c r="B3825" s="12" t="inlineStr">
        <is>
          <t>VS16</t>
        </is>
      </c>
      <c r="C3825" s="28" t="n">
        <v>0.0201</v>
      </c>
      <c r="D3825" s="12" t="inlineStr">
        <is>
          <t>PO-2021-0604</t>
        </is>
      </c>
      <c r="E3825" s="12" t="n">
        <v>1.86</v>
      </c>
      <c r="F3825" s="17" t="n">
        <v>95722.17</v>
      </c>
      <c r="G3825" s="14">
        <f>E3825*F3825</f>
        <v/>
      </c>
      <c r="H3825" s="14">
        <f>C3825*G3825</f>
        <v/>
      </c>
    </row>
    <row r="3826">
      <c r="A3826" s="12" t="inlineStr">
        <is>
          <t>RET-0282</t>
        </is>
      </c>
      <c r="B3826" s="12" t="inlineStr">
        <is>
          <t>VS17</t>
        </is>
      </c>
      <c r="C3826" s="28" t="n">
        <v>0.02</v>
      </c>
      <c r="D3826" s="12" t="inlineStr">
        <is>
          <t>PO-2022-2609</t>
        </is>
      </c>
      <c r="E3826" s="12" t="n">
        <v>1.048</v>
      </c>
      <c r="F3826" s="17" t="n">
        <v>53595.8</v>
      </c>
      <c r="G3826" s="14">
        <f>E3826*F3826</f>
        <v/>
      </c>
      <c r="H3826" s="14">
        <f>C3826*G3826</f>
        <v/>
      </c>
    </row>
    <row r="3827">
      <c r="A3827" s="12" t="inlineStr">
        <is>
          <t>RET-0282</t>
        </is>
      </c>
      <c r="B3827" s="12" t="inlineStr">
        <is>
          <t>VS18</t>
        </is>
      </c>
      <c r="C3827" s="28" t="n">
        <v>0.0139</v>
      </c>
      <c r="D3827" s="12" t="inlineStr">
        <is>
          <t>PO-2023-3674</t>
        </is>
      </c>
      <c r="E3827" s="12" t="n">
        <v>1.86</v>
      </c>
      <c r="F3827" s="17" t="n">
        <v>49541.25</v>
      </c>
      <c r="G3827" s="14">
        <f>E3827*F3827</f>
        <v/>
      </c>
      <c r="H3827" s="14">
        <f>C3827*G3827</f>
        <v/>
      </c>
    </row>
    <row r="3828">
      <c r="A3828" s="12" t="inlineStr">
        <is>
          <t>RET-0282</t>
        </is>
      </c>
      <c r="B3828" s="12" t="inlineStr">
        <is>
          <t>VS19</t>
        </is>
      </c>
      <c r="C3828" s="28" t="n">
        <v>0.19</v>
      </c>
      <c r="D3828" s="12" t="inlineStr">
        <is>
          <t>PO-2022-2670</t>
        </is>
      </c>
      <c r="E3828" s="12" t="n">
        <v>1.86</v>
      </c>
      <c r="F3828" s="17" t="n">
        <v>106702.99</v>
      </c>
      <c r="G3828" s="14">
        <f>E3828*F3828</f>
        <v/>
      </c>
      <c r="H3828" s="14">
        <f>C3828*G3828</f>
        <v/>
      </c>
    </row>
    <row r="3829">
      <c r="A3829" s="12" t="inlineStr">
        <is>
          <t>RET-0282</t>
        </is>
      </c>
      <c r="B3829" s="12" t="inlineStr">
        <is>
          <t>VS20</t>
        </is>
      </c>
      <c r="C3829" s="28" t="n">
        <v>0.0078</v>
      </c>
      <c r="D3829" s="12" t="inlineStr">
        <is>
          <t>PO-2023-3386</t>
        </is>
      </c>
      <c r="E3829" s="12" t="n">
        <v>1.86</v>
      </c>
      <c r="F3829" s="17" t="n">
        <v>71395.75</v>
      </c>
      <c r="G3829" s="14">
        <f>E3829*F3829</f>
        <v/>
      </c>
      <c r="H3829" s="14">
        <f>C3829*G3829</f>
        <v/>
      </c>
    </row>
    <row r="3830">
      <c r="A3830" s="12" t="inlineStr">
        <is>
          <t>RET-0282</t>
        </is>
      </c>
      <c r="B3830" s="12" t="inlineStr">
        <is>
          <t>VS21</t>
        </is>
      </c>
      <c r="C3830" s="28" t="n">
        <v>0.0078</v>
      </c>
      <c r="D3830" s="12" t="inlineStr">
        <is>
          <t>PO-2021-0920</t>
        </is>
      </c>
      <c r="E3830" s="12" t="n">
        <v>1.86</v>
      </c>
      <c r="F3830" s="17" t="n">
        <v>49611.17</v>
      </c>
      <c r="G3830" s="14">
        <f>E3830*F3830</f>
        <v/>
      </c>
      <c r="H3830" s="14">
        <f>C3830*G3830</f>
        <v/>
      </c>
    </row>
    <row r="3831">
      <c r="A3831" s="12" t="inlineStr">
        <is>
          <t>RET-0282</t>
        </is>
      </c>
      <c r="B3831" s="12" t="inlineStr">
        <is>
          <t>VS22</t>
        </is>
      </c>
      <c r="C3831" s="28" t="n">
        <v>0.0046</v>
      </c>
      <c r="D3831" s="12" t="inlineStr">
        <is>
          <t>PO-2021-0296</t>
        </is>
      </c>
      <c r="E3831" s="12" t="n">
        <v>1.86</v>
      </c>
      <c r="F3831" s="17" t="n">
        <v>102807.45</v>
      </c>
      <c r="G3831" s="14">
        <f>E3831*F3831</f>
        <v/>
      </c>
      <c r="H3831" s="14">
        <f>C3831*G3831</f>
        <v/>
      </c>
    </row>
    <row r="3832">
      <c r="A3832" s="12" t="inlineStr">
        <is>
          <t>RET-0282</t>
        </is>
      </c>
      <c r="B3832" s="12" t="inlineStr">
        <is>
          <t>VS23</t>
        </is>
      </c>
      <c r="C3832" s="28" t="n">
        <v>0.0077</v>
      </c>
      <c r="D3832" s="12" t="inlineStr">
        <is>
          <t>PO-2023-3377</t>
        </is>
      </c>
      <c r="E3832" s="12" t="n">
        <v>1.86</v>
      </c>
      <c r="F3832" s="17" t="n">
        <v>95666.77</v>
      </c>
      <c r="G3832" s="14">
        <f>E3832*F3832</f>
        <v/>
      </c>
      <c r="H3832" s="14">
        <f>C3832*G3832</f>
        <v/>
      </c>
    </row>
    <row r="3833">
      <c r="A3833" s="12" t="inlineStr">
        <is>
          <t>RET-0282</t>
        </is>
      </c>
      <c r="B3833" s="12" t="inlineStr">
        <is>
          <t>VS24</t>
        </is>
      </c>
      <c r="C3833" s="28" t="n">
        <v>0.0077</v>
      </c>
      <c r="D3833" s="12" t="inlineStr">
        <is>
          <t>PO-2023-3668</t>
        </is>
      </c>
      <c r="E3833" s="12" t="n">
        <v>1.86</v>
      </c>
      <c r="F3833" s="17" t="n">
        <v>54051.9</v>
      </c>
      <c r="G3833" s="14">
        <f>E3833*F3833</f>
        <v/>
      </c>
      <c r="H3833" s="14">
        <f>C3833*G3833</f>
        <v/>
      </c>
    </row>
    <row r="3834">
      <c r="A3834" s="12" t="inlineStr">
        <is>
          <t>RET-0282</t>
        </is>
      </c>
      <c r="B3834" s="12" t="inlineStr">
        <is>
          <t>VS25</t>
        </is>
      </c>
      <c r="C3834" s="28" t="n">
        <v>0.014</v>
      </c>
      <c r="D3834" s="12" t="inlineStr">
        <is>
          <t>PO-2021-0721</t>
        </is>
      </c>
      <c r="E3834" s="12" t="n">
        <v>1.86</v>
      </c>
      <c r="F3834" s="17" t="n">
        <v>101810.5</v>
      </c>
      <c r="G3834" s="14">
        <f>E3834*F3834</f>
        <v/>
      </c>
      <c r="H3834" s="14">
        <f>C3834*G3834</f>
        <v/>
      </c>
    </row>
    <row r="3835">
      <c r="A3835" s="12" t="inlineStr">
        <is>
          <t>RET-0282</t>
        </is>
      </c>
      <c r="B3835" s="12" t="inlineStr">
        <is>
          <t>VS26</t>
        </is>
      </c>
      <c r="C3835" s="28" t="n">
        <v>0.0078</v>
      </c>
      <c r="D3835" s="12" t="inlineStr">
        <is>
          <t>PO-2023-4719</t>
        </is>
      </c>
      <c r="E3835" s="12" t="n">
        <v>1.86</v>
      </c>
      <c r="F3835" s="17" t="n">
        <v>65024.62</v>
      </c>
      <c r="G3835" s="14">
        <f>E3835*F3835</f>
        <v/>
      </c>
      <c r="H3835" s="14">
        <f>C3835*G3835</f>
        <v/>
      </c>
    </row>
    <row r="3836">
      <c r="A3836" s="12" t="inlineStr">
        <is>
          <t>RET-0282</t>
        </is>
      </c>
      <c r="B3836" s="12" t="inlineStr">
        <is>
          <t>VS27</t>
        </is>
      </c>
      <c r="C3836" s="28" t="n">
        <v>0.0077</v>
      </c>
      <c r="D3836" s="12" t="inlineStr">
        <is>
          <t>PO-2021-1211</t>
        </is>
      </c>
      <c r="E3836" s="12" t="n">
        <v>1.86</v>
      </c>
      <c r="F3836" s="17" t="n">
        <v>89687.97</v>
      </c>
      <c r="G3836" s="14">
        <f>E3836*F3836</f>
        <v/>
      </c>
      <c r="H3836" s="14">
        <f>C3836*G3836</f>
        <v/>
      </c>
    </row>
    <row r="3837">
      <c r="A3837" s="12" t="inlineStr">
        <is>
          <t>RET-0282</t>
        </is>
      </c>
      <c r="B3837" s="12" t="inlineStr">
        <is>
          <t>VS28</t>
        </is>
      </c>
      <c r="C3837" s="28" t="n">
        <v>0.0171</v>
      </c>
      <c r="D3837" s="12" t="inlineStr">
        <is>
          <t>PO-2023-4372</t>
        </is>
      </c>
      <c r="E3837" s="12" t="n">
        <v>1.86</v>
      </c>
      <c r="F3837" s="17" t="n">
        <v>52372.02</v>
      </c>
      <c r="G3837" s="14">
        <f>E3837*F3837</f>
        <v/>
      </c>
      <c r="H3837" s="14">
        <f>C3837*G3837</f>
        <v/>
      </c>
    </row>
    <row r="3838">
      <c r="A3838" s="12" t="inlineStr">
        <is>
          <t>RET-0282</t>
        </is>
      </c>
      <c r="B3838" s="12" t="inlineStr">
        <is>
          <t>VS29</t>
        </is>
      </c>
      <c r="C3838" s="28" t="n">
        <v>0.0109</v>
      </c>
      <c r="D3838" s="12" t="inlineStr">
        <is>
          <t>PO-2021-1590</t>
        </is>
      </c>
      <c r="E3838" s="12" t="n">
        <v>1.86</v>
      </c>
      <c r="F3838" s="17" t="n">
        <v>53487.3</v>
      </c>
      <c r="G3838" s="14">
        <f>E3838*F3838</f>
        <v/>
      </c>
      <c r="H3838" s="14">
        <f>C3838*G3838</f>
        <v/>
      </c>
    </row>
    <row r="3839">
      <c r="A3839" s="12" t="inlineStr">
        <is>
          <t>RET-0282</t>
        </is>
      </c>
      <c r="B3839" s="12" t="inlineStr">
        <is>
          <t>VS30</t>
        </is>
      </c>
      <c r="C3839" s="28" t="n">
        <v>0.0047</v>
      </c>
      <c r="D3839" s="12" t="inlineStr">
        <is>
          <t>PO-2022-2860</t>
        </is>
      </c>
      <c r="E3839" s="12" t="n">
        <v>1.86</v>
      </c>
      <c r="F3839" s="17" t="n">
        <v>105618.14</v>
      </c>
      <c r="G3839" s="14">
        <f>E3839*F3839</f>
        <v/>
      </c>
      <c r="H3839" s="14">
        <f>C3839*G3839</f>
        <v/>
      </c>
    </row>
    <row r="3840">
      <c r="A3840" s="12" t="inlineStr">
        <is>
          <t>RET-0282</t>
        </is>
      </c>
      <c r="B3840" s="12" t="inlineStr">
        <is>
          <t>VS31</t>
        </is>
      </c>
      <c r="C3840" s="28" t="n">
        <v>0.017</v>
      </c>
      <c r="D3840" s="12" t="inlineStr">
        <is>
          <t>PO-2022-2426</t>
        </is>
      </c>
      <c r="E3840" s="12" t="n">
        <v>1.86</v>
      </c>
      <c r="F3840" s="17" t="n">
        <v>74047.78</v>
      </c>
      <c r="G3840" s="14">
        <f>E3840*F3840</f>
        <v/>
      </c>
      <c r="H3840" s="14">
        <f>C3840*G3840</f>
        <v/>
      </c>
    </row>
    <row r="3841">
      <c r="A3841" s="12" t="inlineStr">
        <is>
          <t>RET-0282</t>
        </is>
      </c>
      <c r="B3841" s="12" t="inlineStr">
        <is>
          <t>VS32</t>
        </is>
      </c>
      <c r="C3841" s="28" t="n">
        <v>0.0203</v>
      </c>
      <c r="D3841" s="12" t="inlineStr">
        <is>
          <t>PO-2021-1209</t>
        </is>
      </c>
      <c r="E3841" s="12" t="n">
        <v>1.86</v>
      </c>
      <c r="F3841" s="17" t="n">
        <v>78713.72</v>
      </c>
      <c r="G3841" s="14">
        <f>E3841*F3841</f>
        <v/>
      </c>
      <c r="H3841" s="14">
        <f>C3841*G3841</f>
        <v/>
      </c>
    </row>
    <row r="3842">
      <c r="A3842" s="12" t="inlineStr">
        <is>
          <t>RET-0282</t>
        </is>
      </c>
      <c r="B3842" s="12" t="inlineStr">
        <is>
          <t>VS33</t>
        </is>
      </c>
      <c r="C3842" s="28" t="n">
        <v>0.0108</v>
      </c>
      <c r="D3842" s="12" t="inlineStr">
        <is>
          <t>PO-2021-1229</t>
        </is>
      </c>
      <c r="E3842" s="12" t="n">
        <v>1.86</v>
      </c>
      <c r="F3842" s="17" t="n">
        <v>52447.07</v>
      </c>
      <c r="G3842" s="14">
        <f>E3842*F3842</f>
        <v/>
      </c>
      <c r="H3842" s="14">
        <f>C3842*G3842</f>
        <v/>
      </c>
    </row>
    <row r="3843">
      <c r="A3843" s="12" t="inlineStr">
        <is>
          <t>RET-0282</t>
        </is>
      </c>
      <c r="B3843" s="12" t="inlineStr">
        <is>
          <t>VS34</t>
        </is>
      </c>
      <c r="C3843" s="28" t="n">
        <v>0.014</v>
      </c>
      <c r="D3843" s="12" t="inlineStr">
        <is>
          <t>PO-2023-3326</t>
        </is>
      </c>
      <c r="E3843" s="12" t="n">
        <v>1.86</v>
      </c>
      <c r="F3843" s="17" t="n">
        <v>88508.3</v>
      </c>
      <c r="G3843" s="14">
        <f>E3843*F3843</f>
        <v/>
      </c>
      <c r="H3843" s="14">
        <f>C3843*G3843</f>
        <v/>
      </c>
    </row>
    <row r="3844">
      <c r="A3844" s="12" t="inlineStr">
        <is>
          <t>RET-0286</t>
        </is>
      </c>
      <c r="B3844" s="12" t="inlineStr">
        <is>
          <t>VS01</t>
        </is>
      </c>
      <c r="C3844" s="28" t="n">
        <v>0.0347</v>
      </c>
      <c r="D3844" s="12" t="inlineStr">
        <is>
          <t>PO-2021-0763</t>
        </is>
      </c>
      <c r="E3844" s="12" t="n">
        <v>1.28</v>
      </c>
      <c r="F3844" s="17" t="n">
        <v>75880.19</v>
      </c>
      <c r="G3844" s="14">
        <f>E3844*F3844</f>
        <v/>
      </c>
      <c r="H3844" s="14">
        <f>C3844*G3844</f>
        <v/>
      </c>
    </row>
    <row r="3845">
      <c r="A3845" s="12" t="inlineStr">
        <is>
          <t>RET-0286</t>
        </is>
      </c>
      <c r="B3845" s="12" t="inlineStr">
        <is>
          <t>VS02</t>
        </is>
      </c>
      <c r="C3845" s="28" t="n">
        <v>0.0158</v>
      </c>
      <c r="D3845" s="12" t="inlineStr">
        <is>
          <t>PO-2021-1469</t>
        </is>
      </c>
      <c r="E3845" s="12" t="n">
        <v>1.28</v>
      </c>
      <c r="F3845" s="17" t="n">
        <v>76682.81</v>
      </c>
      <c r="G3845" s="14">
        <f>E3845*F3845</f>
        <v/>
      </c>
      <c r="H3845" s="14">
        <f>C3845*G3845</f>
        <v/>
      </c>
    </row>
    <row r="3846">
      <c r="A3846" s="12" t="inlineStr">
        <is>
          <t>RET-0286</t>
        </is>
      </c>
      <c r="B3846" s="12" t="inlineStr">
        <is>
          <t>VS03</t>
        </is>
      </c>
      <c r="C3846" s="28" t="n">
        <v>0.0688</v>
      </c>
      <c r="D3846" s="12" t="inlineStr">
        <is>
          <t>PO-2021-0777</t>
        </is>
      </c>
      <c r="E3846" s="12" t="n">
        <v>1.28</v>
      </c>
      <c r="F3846" s="17" t="n">
        <v>66558.39</v>
      </c>
      <c r="G3846" s="14">
        <f>E3846*F3846</f>
        <v/>
      </c>
      <c r="H3846" s="14">
        <f>C3846*G3846</f>
        <v/>
      </c>
    </row>
    <row r="3847">
      <c r="A3847" s="12" t="inlineStr">
        <is>
          <t>RET-0286</t>
        </is>
      </c>
      <c r="B3847" s="12" t="inlineStr">
        <is>
          <t>VS04</t>
        </is>
      </c>
      <c r="C3847" s="28" t="n">
        <v>0.0218</v>
      </c>
      <c r="D3847" s="12" t="inlineStr">
        <is>
          <t>PO-2021-0663</t>
        </is>
      </c>
      <c r="E3847" s="12" t="n">
        <v>1.28</v>
      </c>
      <c r="F3847" s="17" t="n">
        <v>86224.85000000001</v>
      </c>
      <c r="G3847" s="14">
        <f>E3847*F3847</f>
        <v/>
      </c>
      <c r="H3847" s="14">
        <f>C3847*G3847</f>
        <v/>
      </c>
    </row>
    <row r="3848">
      <c r="A3848" s="12" t="inlineStr">
        <is>
          <t>RET-0286</t>
        </is>
      </c>
      <c r="B3848" s="12" t="inlineStr">
        <is>
          <t>VS05</t>
        </is>
      </c>
      <c r="C3848" s="28" t="n">
        <v>0.0283</v>
      </c>
      <c r="D3848" s="12" t="inlineStr">
        <is>
          <t>PO-2022-3145</t>
        </is>
      </c>
      <c r="E3848" s="12" t="n">
        <v>1.28</v>
      </c>
      <c r="F3848" s="17" t="n">
        <v>90649.24000000001</v>
      </c>
      <c r="G3848" s="14">
        <f>E3848*F3848</f>
        <v/>
      </c>
      <c r="H3848" s="14">
        <f>C3848*G3848</f>
        <v/>
      </c>
    </row>
    <row r="3849">
      <c r="A3849" s="12" t="inlineStr">
        <is>
          <t>RET-0286</t>
        </is>
      </c>
      <c r="B3849" s="12" t="inlineStr">
        <is>
          <t>VS06</t>
        </is>
      </c>
      <c r="C3849" s="28" t="n">
        <v>0.0285</v>
      </c>
      <c r="D3849" s="12" t="inlineStr">
        <is>
          <t>PO-2022-2669</t>
        </is>
      </c>
      <c r="E3849" s="12" t="n">
        <v>1.28</v>
      </c>
      <c r="F3849" s="17" t="n">
        <v>90026.12</v>
      </c>
      <c r="G3849" s="14">
        <f>E3849*F3849</f>
        <v/>
      </c>
      <c r="H3849" s="14">
        <f>C3849*G3849</f>
        <v/>
      </c>
    </row>
    <row r="3850">
      <c r="A3850" s="12" t="inlineStr">
        <is>
          <t>RET-0286</t>
        </is>
      </c>
      <c r="B3850" s="12" t="inlineStr">
        <is>
          <t>VS07</t>
        </is>
      </c>
      <c r="C3850" s="28" t="n">
        <v>0.0095</v>
      </c>
      <c r="D3850" s="12" t="inlineStr">
        <is>
          <t>PO-2021-1165</t>
        </is>
      </c>
      <c r="E3850" s="12" t="n">
        <v>1.28</v>
      </c>
      <c r="F3850" s="17" t="n">
        <v>69964.69</v>
      </c>
      <c r="G3850" s="14">
        <f>E3850*F3850</f>
        <v/>
      </c>
      <c r="H3850" s="14">
        <f>C3850*G3850</f>
        <v/>
      </c>
    </row>
    <row r="3851">
      <c r="A3851" s="12" t="inlineStr">
        <is>
          <t>RET-0286</t>
        </is>
      </c>
      <c r="B3851" s="12" t="inlineStr">
        <is>
          <t>VS08</t>
        </is>
      </c>
      <c r="C3851" s="28" t="n">
        <v>0.0287</v>
      </c>
      <c r="D3851" s="12" t="inlineStr">
        <is>
          <t>PO-2023-4396</t>
        </is>
      </c>
      <c r="E3851" s="12" t="n">
        <v>1.28</v>
      </c>
      <c r="F3851" s="17" t="n">
        <v>57611.11</v>
      </c>
      <c r="G3851" s="14">
        <f>E3851*F3851</f>
        <v/>
      </c>
      <c r="H3851" s="14">
        <f>C3851*G3851</f>
        <v/>
      </c>
    </row>
    <row r="3852">
      <c r="A3852" s="12" t="inlineStr">
        <is>
          <t>RET-0286</t>
        </is>
      </c>
      <c r="B3852" s="12" t="inlineStr">
        <is>
          <t>VS09</t>
        </is>
      </c>
      <c r="C3852" s="28" t="n">
        <v>0.022</v>
      </c>
      <c r="D3852" s="12" t="inlineStr">
        <is>
          <t>PO-2021-1455</t>
        </is>
      </c>
      <c r="E3852" s="12" t="n">
        <v>1.28</v>
      </c>
      <c r="F3852" s="17" t="n">
        <v>81896.91</v>
      </c>
      <c r="G3852" s="14">
        <f>E3852*F3852</f>
        <v/>
      </c>
      <c r="H3852" s="14">
        <f>C3852*G3852</f>
        <v/>
      </c>
    </row>
    <row r="3853">
      <c r="A3853" s="12" t="inlineStr">
        <is>
          <t>RET-0286</t>
        </is>
      </c>
      <c r="B3853" s="12" t="inlineStr">
        <is>
          <t>VS10</t>
        </is>
      </c>
      <c r="C3853" s="28" t="n">
        <v>0.0347</v>
      </c>
      <c r="D3853" s="12" t="inlineStr">
        <is>
          <t>PO-2022-2165</t>
        </is>
      </c>
      <c r="E3853" s="12" t="n">
        <v>1.28</v>
      </c>
      <c r="F3853" s="17" t="n">
        <v>90724.92</v>
      </c>
      <c r="G3853" s="14">
        <f>E3853*F3853</f>
        <v/>
      </c>
      <c r="H3853" s="14">
        <f>C3853*G3853</f>
        <v/>
      </c>
    </row>
    <row r="3854">
      <c r="A3854" s="12" t="inlineStr">
        <is>
          <t>RET-0286</t>
        </is>
      </c>
      <c r="B3854" s="12" t="inlineStr">
        <is>
          <t>VS11</t>
        </is>
      </c>
      <c r="C3854" s="28" t="n">
        <v>0.0406</v>
      </c>
      <c r="D3854" s="12" t="inlineStr">
        <is>
          <t>PO-2023-3713</t>
        </is>
      </c>
      <c r="E3854" s="12" t="n">
        <v>1.28</v>
      </c>
      <c r="F3854" s="17" t="n">
        <v>68655.38</v>
      </c>
      <c r="G3854" s="14">
        <f>E3854*F3854</f>
        <v/>
      </c>
      <c r="H3854" s="14">
        <f>C3854*G3854</f>
        <v/>
      </c>
    </row>
    <row r="3855">
      <c r="A3855" s="12" t="inlineStr">
        <is>
          <t>RET-0286</t>
        </is>
      </c>
      <c r="B3855" s="12" t="inlineStr">
        <is>
          <t>VS12</t>
        </is>
      </c>
      <c r="C3855" s="28" t="n">
        <v>0.0956</v>
      </c>
      <c r="D3855" s="12" t="inlineStr">
        <is>
          <t>PO-2022-2843</t>
        </is>
      </c>
      <c r="E3855" s="12" t="n">
        <v>1.28</v>
      </c>
      <c r="F3855" s="17" t="n">
        <v>55057.17</v>
      </c>
      <c r="G3855" s="14">
        <f>E3855*F3855</f>
        <v/>
      </c>
      <c r="H3855" s="14">
        <f>C3855*G3855</f>
        <v/>
      </c>
    </row>
    <row r="3856">
      <c r="A3856" s="12" t="inlineStr">
        <is>
          <t>RET-0286</t>
        </is>
      </c>
      <c r="B3856" s="12" t="inlineStr">
        <is>
          <t>VS13</t>
        </is>
      </c>
      <c r="C3856" s="28" t="n">
        <v>0.028</v>
      </c>
      <c r="D3856" s="12" t="inlineStr">
        <is>
          <t>PO-2023-3482</t>
        </is>
      </c>
      <c r="E3856" s="12" t="n">
        <v>1.28</v>
      </c>
      <c r="F3856" s="17" t="n">
        <v>55152.67</v>
      </c>
      <c r="G3856" s="14">
        <f>E3856*F3856</f>
        <v/>
      </c>
      <c r="H3856" s="14">
        <f>C3856*G3856</f>
        <v/>
      </c>
    </row>
    <row r="3857">
      <c r="A3857" s="12" t="inlineStr">
        <is>
          <t>RET-0286</t>
        </is>
      </c>
      <c r="B3857" s="12" t="inlineStr">
        <is>
          <t>VS14</t>
        </is>
      </c>
      <c r="C3857" s="28" t="n">
        <v>0.0282</v>
      </c>
      <c r="D3857" s="12" t="inlineStr">
        <is>
          <t>PO-2021-0827</t>
        </is>
      </c>
      <c r="E3857" s="12" t="n">
        <v>1.28</v>
      </c>
      <c r="F3857" s="17" t="n">
        <v>64399.35</v>
      </c>
      <c r="G3857" s="14">
        <f>E3857*F3857</f>
        <v/>
      </c>
      <c r="H3857" s="14">
        <f>C3857*G3857</f>
        <v/>
      </c>
    </row>
    <row r="3858">
      <c r="A3858" s="12" t="inlineStr">
        <is>
          <t>RET-0286</t>
        </is>
      </c>
      <c r="B3858" s="12" t="inlineStr">
        <is>
          <t>VS15</t>
        </is>
      </c>
      <c r="C3858" s="28" t="n">
        <v>0.0094</v>
      </c>
      <c r="D3858" s="12" t="inlineStr">
        <is>
          <t>PO-2023-3940</t>
        </is>
      </c>
      <c r="E3858" s="12" t="n">
        <v>1.28</v>
      </c>
      <c r="F3858" s="17" t="n">
        <v>93877.92</v>
      </c>
      <c r="G3858" s="14">
        <f>E3858*F3858</f>
        <v/>
      </c>
      <c r="H3858" s="14">
        <f>C3858*G3858</f>
        <v/>
      </c>
    </row>
    <row r="3859">
      <c r="A3859" s="12" t="inlineStr">
        <is>
          <t>RET-0286</t>
        </is>
      </c>
      <c r="B3859" s="12" t="inlineStr">
        <is>
          <t>VS16</t>
        </is>
      </c>
      <c r="C3859" s="28" t="n">
        <v>0.0407</v>
      </c>
      <c r="D3859" s="12" t="inlineStr">
        <is>
          <t>PO-2022-1774</t>
        </is>
      </c>
      <c r="E3859" s="12" t="n">
        <v>1.28</v>
      </c>
      <c r="F3859" s="17" t="n">
        <v>90957</v>
      </c>
      <c r="G3859" s="14">
        <f>E3859*F3859</f>
        <v/>
      </c>
      <c r="H3859" s="14">
        <f>C3859*G3859</f>
        <v/>
      </c>
    </row>
    <row r="3860">
      <c r="A3860" s="12" t="inlineStr">
        <is>
          <t>RET-0286</t>
        </is>
      </c>
      <c r="B3860" s="12" t="inlineStr">
        <is>
          <t>VS17</t>
        </is>
      </c>
      <c r="C3860" s="28" t="n">
        <v>0.0406</v>
      </c>
      <c r="D3860" s="12" t="inlineStr">
        <is>
          <t>PO-2022-2639</t>
        </is>
      </c>
      <c r="E3860" s="12" t="n">
        <v>1.28</v>
      </c>
      <c r="F3860" s="17" t="n">
        <v>115370.38</v>
      </c>
      <c r="G3860" s="14">
        <f>E3860*F3860</f>
        <v/>
      </c>
      <c r="H3860" s="14">
        <f>C3860*G3860</f>
        <v/>
      </c>
    </row>
    <row r="3861">
      <c r="A3861" s="12" t="inlineStr">
        <is>
          <t>RET-0286</t>
        </is>
      </c>
      <c r="B3861" s="12" t="inlineStr">
        <is>
          <t>VS18</t>
        </is>
      </c>
      <c r="C3861" s="28" t="n">
        <v>0.0282</v>
      </c>
      <c r="D3861" s="12" t="inlineStr">
        <is>
          <t>PO-2022-2958</t>
        </is>
      </c>
      <c r="E3861" s="12" t="n">
        <v>1.28</v>
      </c>
      <c r="F3861" s="17" t="n">
        <v>97251.59</v>
      </c>
      <c r="G3861" s="14">
        <f>E3861*F3861</f>
        <v/>
      </c>
      <c r="H3861" s="14">
        <f>C3861*G3861</f>
        <v/>
      </c>
    </row>
    <row r="3862">
      <c r="A3862" s="12" t="inlineStr">
        <is>
          <t>RET-0286</t>
        </is>
      </c>
      <c r="B3862" s="12" t="inlineStr">
        <is>
          <t>VS19</t>
        </is>
      </c>
      <c r="C3862" s="28" t="n">
        <v>0.0721</v>
      </c>
      <c r="D3862" s="12" t="inlineStr">
        <is>
          <t>PO-2022-2268</t>
        </is>
      </c>
      <c r="E3862" s="12" t="n">
        <v>1.28</v>
      </c>
      <c r="F3862" s="17" t="n">
        <v>89475.62</v>
      </c>
      <c r="G3862" s="14">
        <f>E3862*F3862</f>
        <v/>
      </c>
      <c r="H3862" s="14">
        <f>C3862*G3862</f>
        <v/>
      </c>
    </row>
    <row r="3863">
      <c r="A3863" s="12" t="inlineStr">
        <is>
          <t>RET-0286</t>
        </is>
      </c>
      <c r="B3863" s="12" t="inlineStr">
        <is>
          <t>VS20</t>
        </is>
      </c>
      <c r="C3863" s="28" t="n">
        <v>0.0158</v>
      </c>
      <c r="D3863" s="12" t="inlineStr">
        <is>
          <t>PO-2022-1825</t>
        </is>
      </c>
      <c r="E3863" s="12" t="n">
        <v>1.28</v>
      </c>
      <c r="F3863" s="17" t="n">
        <v>72929.25</v>
      </c>
      <c r="G3863" s="14">
        <f>E3863*F3863</f>
        <v/>
      </c>
      <c r="H3863" s="14">
        <f>C3863*G3863</f>
        <v/>
      </c>
    </row>
    <row r="3864">
      <c r="A3864" s="12" t="inlineStr">
        <is>
          <t>RET-0286</t>
        </is>
      </c>
      <c r="B3864" s="12" t="inlineStr">
        <is>
          <t>VS21</t>
        </is>
      </c>
      <c r="C3864" s="28" t="n">
        <v>0.0157</v>
      </c>
      <c r="D3864" s="12" t="inlineStr">
        <is>
          <t>PO-2022-2118</t>
        </is>
      </c>
      <c r="E3864" s="12" t="n">
        <v>1.28</v>
      </c>
      <c r="F3864" s="17" t="n">
        <v>94905.14</v>
      </c>
      <c r="G3864" s="14">
        <f>E3864*F3864</f>
        <v/>
      </c>
      <c r="H3864" s="14">
        <f>C3864*G3864</f>
        <v/>
      </c>
    </row>
    <row r="3865">
      <c r="A3865" s="12" t="inlineStr">
        <is>
          <t>RET-0286</t>
        </is>
      </c>
      <c r="B3865" s="12" t="inlineStr">
        <is>
          <t>VS22</t>
        </is>
      </c>
      <c r="C3865" s="28" t="n">
        <v>0.0094</v>
      </c>
      <c r="D3865" s="12" t="inlineStr">
        <is>
          <t>PO-2022-2403</t>
        </is>
      </c>
      <c r="E3865" s="12" t="n">
        <v>1.28</v>
      </c>
      <c r="F3865" s="17" t="n">
        <v>100859.54</v>
      </c>
      <c r="G3865" s="14">
        <f>E3865*F3865</f>
        <v/>
      </c>
      <c r="H3865" s="14">
        <f>C3865*G3865</f>
        <v/>
      </c>
    </row>
    <row r="3866">
      <c r="A3866" s="12" t="inlineStr">
        <is>
          <t>RET-0286</t>
        </is>
      </c>
      <c r="B3866" s="12" t="inlineStr">
        <is>
          <t>VS23</t>
        </is>
      </c>
      <c r="C3866" s="28" t="n">
        <v>0.0155</v>
      </c>
      <c r="D3866" s="12" t="inlineStr">
        <is>
          <t>PO-2021-1506</t>
        </is>
      </c>
      <c r="E3866" s="12" t="n">
        <v>1.28</v>
      </c>
      <c r="F3866" s="17" t="n">
        <v>111151.59</v>
      </c>
      <c r="G3866" s="14">
        <f>E3866*F3866</f>
        <v/>
      </c>
      <c r="H3866" s="14">
        <f>C3866*G3866</f>
        <v/>
      </c>
    </row>
    <row r="3867">
      <c r="A3867" s="12" t="inlineStr">
        <is>
          <t>RET-0286</t>
        </is>
      </c>
      <c r="B3867" s="12" t="inlineStr">
        <is>
          <t>VS24</t>
        </is>
      </c>
      <c r="C3867" s="28" t="n">
        <v>0.0157</v>
      </c>
      <c r="D3867" s="12" t="inlineStr">
        <is>
          <t>PO-2021-0273</t>
        </is>
      </c>
      <c r="E3867" s="12" t="n">
        <v>1.28</v>
      </c>
      <c r="F3867" s="17" t="n">
        <v>73976.16</v>
      </c>
      <c r="G3867" s="14">
        <f>E3867*F3867</f>
        <v/>
      </c>
      <c r="H3867" s="14">
        <f>C3867*G3867</f>
        <v/>
      </c>
    </row>
    <row r="3868">
      <c r="A3868" s="12" t="inlineStr">
        <is>
          <t>RET-0286</t>
        </is>
      </c>
      <c r="B3868" s="12" t="inlineStr">
        <is>
          <t>VS25</t>
        </is>
      </c>
      <c r="C3868" s="28" t="n">
        <v>0.0284</v>
      </c>
      <c r="D3868" s="12" t="inlineStr">
        <is>
          <t>PO-2021-0863</t>
        </is>
      </c>
      <c r="E3868" s="12" t="n">
        <v>1.28</v>
      </c>
      <c r="F3868" s="17" t="n">
        <v>102619.52</v>
      </c>
      <c r="G3868" s="14">
        <f>E3868*F3868</f>
        <v/>
      </c>
      <c r="H3868" s="14">
        <f>C3868*G3868</f>
        <v/>
      </c>
    </row>
    <row r="3869">
      <c r="A3869" s="12" t="inlineStr">
        <is>
          <t>RET-0286</t>
        </is>
      </c>
      <c r="B3869" s="12" t="inlineStr">
        <is>
          <t>VS26</t>
        </is>
      </c>
      <c r="C3869" s="28" t="n">
        <v>0.0158</v>
      </c>
      <c r="D3869" s="12" t="inlineStr">
        <is>
          <t>PO-2021-0138</t>
        </is>
      </c>
      <c r="E3869" s="12" t="n">
        <v>1.28</v>
      </c>
      <c r="F3869" s="17" t="n">
        <v>104301.15</v>
      </c>
      <c r="G3869" s="14">
        <f>E3869*F3869</f>
        <v/>
      </c>
      <c r="H3869" s="14">
        <f>C3869*G3869</f>
        <v/>
      </c>
    </row>
    <row r="3870">
      <c r="A3870" s="12" t="inlineStr">
        <is>
          <t>RET-0286</t>
        </is>
      </c>
      <c r="B3870" s="12" t="inlineStr">
        <is>
          <t>VS27</t>
        </is>
      </c>
      <c r="C3870" s="28" t="n">
        <v>0.0155</v>
      </c>
      <c r="D3870" s="12" t="inlineStr">
        <is>
          <t>PO-2023-4147</t>
        </is>
      </c>
      <c r="E3870" s="12" t="n">
        <v>1.28</v>
      </c>
      <c r="F3870" s="17" t="n">
        <v>69647.74000000001</v>
      </c>
      <c r="G3870" s="14">
        <f>E3870*F3870</f>
        <v/>
      </c>
      <c r="H3870" s="14">
        <f>C3870*G3870</f>
        <v/>
      </c>
    </row>
    <row r="3871">
      <c r="A3871" s="12" t="inlineStr">
        <is>
          <t>RET-0286</t>
        </is>
      </c>
      <c r="B3871" s="12" t="inlineStr">
        <is>
          <t>VS28</t>
        </is>
      </c>
      <c r="C3871" s="28" t="n">
        <v>0.0347</v>
      </c>
      <c r="D3871" s="12" t="inlineStr">
        <is>
          <t>PO-2021-0332</t>
        </is>
      </c>
      <c r="E3871" s="12" t="n">
        <v>1.28</v>
      </c>
      <c r="F3871" s="17" t="n">
        <v>117921.77</v>
      </c>
      <c r="G3871" s="14">
        <f>E3871*F3871</f>
        <v/>
      </c>
      <c r="H3871" s="14">
        <f>C3871*G3871</f>
        <v/>
      </c>
    </row>
    <row r="3872">
      <c r="A3872" s="12" t="inlineStr">
        <is>
          <t>RET-0286</t>
        </is>
      </c>
      <c r="B3872" s="12" t="inlineStr">
        <is>
          <t>VS29</t>
        </is>
      </c>
      <c r="C3872" s="28" t="n">
        <v>0.022</v>
      </c>
      <c r="D3872" s="12" t="inlineStr">
        <is>
          <t>PO-2023-3536</t>
        </is>
      </c>
      <c r="E3872" s="12" t="n">
        <v>1.28</v>
      </c>
      <c r="F3872" s="17" t="n">
        <v>118254.05</v>
      </c>
      <c r="G3872" s="14">
        <f>E3872*F3872</f>
        <v/>
      </c>
      <c r="H3872" s="14">
        <f>C3872*G3872</f>
        <v/>
      </c>
    </row>
    <row r="3873">
      <c r="A3873" s="12" t="inlineStr">
        <is>
          <t>RET-0286</t>
        </is>
      </c>
      <c r="B3873" s="12" t="inlineStr">
        <is>
          <t>VS30</t>
        </is>
      </c>
      <c r="C3873" s="28" t="n">
        <v>0.0095</v>
      </c>
      <c r="D3873" s="12" t="inlineStr">
        <is>
          <t>PO-2023-3550</t>
        </is>
      </c>
      <c r="E3873" s="12" t="n">
        <v>1.28</v>
      </c>
      <c r="F3873" s="17" t="n">
        <v>88287.73</v>
      </c>
      <c r="G3873" s="14">
        <f>E3873*F3873</f>
        <v/>
      </c>
      <c r="H3873" s="14">
        <f>C3873*G3873</f>
        <v/>
      </c>
    </row>
    <row r="3874">
      <c r="A3874" s="12" t="inlineStr">
        <is>
          <t>RET-0286</t>
        </is>
      </c>
      <c r="B3874" s="12" t="inlineStr">
        <is>
          <t>VS31</t>
        </is>
      </c>
      <c r="C3874" s="28" t="n">
        <v>0.0345</v>
      </c>
      <c r="D3874" s="12" t="inlineStr">
        <is>
          <t>PO-2023-3767</t>
        </is>
      </c>
      <c r="E3874" s="12" t="n">
        <v>1.28</v>
      </c>
      <c r="F3874" s="17" t="n">
        <v>95397.12</v>
      </c>
      <c r="G3874" s="14">
        <f>E3874*F3874</f>
        <v/>
      </c>
      <c r="H3874" s="14">
        <f>C3874*G3874</f>
        <v/>
      </c>
    </row>
    <row r="3875">
      <c r="A3875" s="12" t="inlineStr">
        <is>
          <t>RET-0286</t>
        </is>
      </c>
      <c r="B3875" s="12" t="inlineStr">
        <is>
          <t>VS32</t>
        </is>
      </c>
      <c r="C3875" s="28" t="n">
        <v>0.041</v>
      </c>
      <c r="D3875" s="12" t="inlineStr">
        <is>
          <t>PO-2022-2606</t>
        </is>
      </c>
      <c r="E3875" s="12" t="n">
        <v>1.28</v>
      </c>
      <c r="F3875" s="17" t="n">
        <v>77229.23</v>
      </c>
      <c r="G3875" s="14">
        <f>E3875*F3875</f>
        <v/>
      </c>
      <c r="H3875" s="14">
        <f>C3875*G3875</f>
        <v/>
      </c>
    </row>
    <row r="3876">
      <c r="A3876" s="12" t="inlineStr">
        <is>
          <t>RET-0286</t>
        </is>
      </c>
      <c r="B3876" s="12" t="inlineStr">
        <is>
          <t>VS33</t>
        </is>
      </c>
      <c r="C3876" s="28" t="n">
        <v>0.0219</v>
      </c>
      <c r="D3876" s="12" t="inlineStr">
        <is>
          <t>PO-2023-3756</t>
        </is>
      </c>
      <c r="E3876" s="12" t="n">
        <v>1.28</v>
      </c>
      <c r="F3876" s="17" t="n">
        <v>119850.41</v>
      </c>
      <c r="G3876" s="14">
        <f>E3876*F3876</f>
        <v/>
      </c>
      <c r="H3876" s="14">
        <f>C3876*G3876</f>
        <v/>
      </c>
    </row>
    <row r="3877">
      <c r="A3877" s="12" t="inlineStr">
        <is>
          <t>RET-0286</t>
        </is>
      </c>
      <c r="B3877" s="12" t="inlineStr">
        <is>
          <t>VS34</t>
        </is>
      </c>
      <c r="C3877" s="28" t="n">
        <v>0.0283</v>
      </c>
      <c r="D3877" s="12" t="inlineStr">
        <is>
          <t>PO-2022-2581</t>
        </is>
      </c>
      <c r="E3877" s="12" t="n">
        <v>1.28</v>
      </c>
      <c r="F3877" s="17" t="n">
        <v>119333.52</v>
      </c>
      <c r="G3877" s="14">
        <f>E3877*F3877</f>
        <v/>
      </c>
      <c r="H3877" s="14">
        <f>C3877*G3877</f>
        <v/>
      </c>
    </row>
    <row r="3878">
      <c r="A3878" s="12" t="inlineStr">
        <is>
          <t>RET-0289</t>
        </is>
      </c>
      <c r="B3878" s="12" t="inlineStr">
        <is>
          <t>VS01</t>
        </is>
      </c>
      <c r="C3878" s="28" t="n">
        <v>0.0326</v>
      </c>
      <c r="D3878" s="12" t="inlineStr">
        <is>
          <t>PO-2022-2271</t>
        </is>
      </c>
      <c r="E3878" s="12" t="n">
        <v>1.17</v>
      </c>
      <c r="F3878" s="17" t="n">
        <v>49381.32</v>
      </c>
      <c r="G3878" s="14">
        <f>E3878*F3878</f>
        <v/>
      </c>
      <c r="H3878" s="14">
        <f>C3878*G3878</f>
        <v/>
      </c>
    </row>
    <row r="3879">
      <c r="A3879" s="12" t="inlineStr">
        <is>
          <t>RET-0289</t>
        </is>
      </c>
      <c r="B3879" s="12" t="inlineStr">
        <is>
          <t>VS02</t>
        </is>
      </c>
      <c r="C3879" s="28" t="n">
        <v>0.0149</v>
      </c>
      <c r="D3879" s="12" t="inlineStr">
        <is>
          <t>PO-2023-4207</t>
        </is>
      </c>
      <c r="E3879" s="12" t="n">
        <v>4.83</v>
      </c>
      <c r="F3879" s="17" t="n">
        <v>70826.47</v>
      </c>
      <c r="G3879" s="14">
        <f>E3879*F3879</f>
        <v/>
      </c>
      <c r="H3879" s="14">
        <f>C3879*G3879</f>
        <v/>
      </c>
    </row>
    <row r="3880">
      <c r="A3880" s="12" t="inlineStr">
        <is>
          <t>RET-0289</t>
        </is>
      </c>
      <c r="B3880" s="12" t="inlineStr">
        <is>
          <t>VS03</t>
        </is>
      </c>
      <c r="C3880" s="28" t="n">
        <v>0.0822</v>
      </c>
      <c r="D3880" s="12" t="inlineStr">
        <is>
          <t>PO-2023-3681</t>
        </is>
      </c>
      <c r="E3880" s="12" t="n">
        <v>4.83</v>
      </c>
      <c r="F3880" s="17" t="n">
        <v>72157.52</v>
      </c>
      <c r="G3880" s="14">
        <f>E3880*F3880</f>
        <v/>
      </c>
      <c r="H3880" s="14">
        <f>C3880*G3880</f>
        <v/>
      </c>
    </row>
    <row r="3881">
      <c r="A3881" s="12" t="inlineStr">
        <is>
          <t>RET-0289</t>
        </is>
      </c>
      <c r="B3881" s="12" t="inlineStr">
        <is>
          <t>VS04</t>
        </is>
      </c>
      <c r="C3881" s="28" t="n">
        <v>0.0205</v>
      </c>
      <c r="D3881" s="12" t="inlineStr">
        <is>
          <t>PO-2023-3984</t>
        </is>
      </c>
      <c r="E3881" s="12" t="n">
        <v>4.83</v>
      </c>
      <c r="F3881" s="17" t="n">
        <v>70318.39</v>
      </c>
      <c r="G3881" s="14">
        <f>E3881*F3881</f>
        <v/>
      </c>
      <c r="H3881" s="14">
        <f>C3881*G3881</f>
        <v/>
      </c>
    </row>
    <row r="3882">
      <c r="A3882" s="12" t="inlineStr">
        <is>
          <t>RET-0289</t>
        </is>
      </c>
      <c r="B3882" s="12" t="inlineStr">
        <is>
          <t>VS05</t>
        </is>
      </c>
      <c r="C3882" s="28" t="n">
        <v>0.0266</v>
      </c>
      <c r="D3882" s="12" t="inlineStr">
        <is>
          <t>PO-2023-4471</t>
        </is>
      </c>
      <c r="E3882" s="12" t="n">
        <v>4.83</v>
      </c>
      <c r="F3882" s="17" t="n">
        <v>99274.86</v>
      </c>
      <c r="G3882" s="14">
        <f>E3882*F3882</f>
        <v/>
      </c>
      <c r="H3882" s="14">
        <f>C3882*G3882</f>
        <v/>
      </c>
    </row>
    <row r="3883">
      <c r="A3883" s="12" t="inlineStr">
        <is>
          <t>RET-0289</t>
        </is>
      </c>
      <c r="B3883" s="12" t="inlineStr">
        <is>
          <t>VS06</t>
        </is>
      </c>
      <c r="C3883" s="28" t="n">
        <v>0.0268</v>
      </c>
      <c r="D3883" s="12" t="inlineStr">
        <is>
          <t>PO-2023-3676</t>
        </is>
      </c>
      <c r="E3883" s="12" t="n">
        <v>4.83</v>
      </c>
      <c r="F3883" s="17" t="n">
        <v>78423.62</v>
      </c>
      <c r="G3883" s="14">
        <f>E3883*F3883</f>
        <v/>
      </c>
      <c r="H3883" s="14">
        <f>C3883*G3883</f>
        <v/>
      </c>
    </row>
    <row r="3884">
      <c r="A3884" s="12" t="inlineStr">
        <is>
          <t>RET-0289</t>
        </is>
      </c>
      <c r="B3884" s="12" t="inlineStr">
        <is>
          <t>VS07</t>
        </is>
      </c>
      <c r="C3884" s="28" t="n">
        <v>0.0089</v>
      </c>
      <c r="D3884" s="12" t="inlineStr">
        <is>
          <t>PO-2022-2020</t>
        </is>
      </c>
      <c r="E3884" s="12" t="n">
        <v>4.83</v>
      </c>
      <c r="F3884" s="17" t="n">
        <v>99404.92999999999</v>
      </c>
      <c r="G3884" s="14">
        <f>E3884*F3884</f>
        <v/>
      </c>
      <c r="H3884" s="14">
        <f>C3884*G3884</f>
        <v/>
      </c>
    </row>
    <row r="3885">
      <c r="A3885" s="12" t="inlineStr">
        <is>
          <t>RET-0289</t>
        </is>
      </c>
      <c r="B3885" s="12" t="inlineStr">
        <is>
          <t>VS08</t>
        </is>
      </c>
      <c r="C3885" s="28" t="n">
        <v>0.027</v>
      </c>
      <c r="D3885" s="12" t="inlineStr">
        <is>
          <t>PO-2021-0439</t>
        </is>
      </c>
      <c r="E3885" s="12" t="n">
        <v>4.83</v>
      </c>
      <c r="F3885" s="17" t="n">
        <v>77204.16</v>
      </c>
      <c r="G3885" s="14">
        <f>E3885*F3885</f>
        <v/>
      </c>
      <c r="H3885" s="14">
        <f>C3885*G3885</f>
        <v/>
      </c>
    </row>
    <row r="3886">
      <c r="A3886" s="12" t="inlineStr">
        <is>
          <t>RET-0289</t>
        </is>
      </c>
      <c r="B3886" s="12" t="inlineStr">
        <is>
          <t>VS09</t>
        </is>
      </c>
      <c r="C3886" s="28" t="n">
        <v>0.0207</v>
      </c>
      <c r="D3886" s="12" t="inlineStr">
        <is>
          <t>PO-2021-1334</t>
        </is>
      </c>
      <c r="E3886" s="12" t="n">
        <v>4.83</v>
      </c>
      <c r="F3886" s="17" t="n">
        <v>111375.86</v>
      </c>
      <c r="G3886" s="14">
        <f>E3886*F3886</f>
        <v/>
      </c>
      <c r="H3886" s="14">
        <f>C3886*G3886</f>
        <v/>
      </c>
    </row>
    <row r="3887">
      <c r="A3887" s="12" t="inlineStr">
        <is>
          <t>RET-0289</t>
        </is>
      </c>
      <c r="B3887" s="12" t="inlineStr">
        <is>
          <t>VS10</t>
        </is>
      </c>
      <c r="C3887" s="28" t="n">
        <v>0.0326</v>
      </c>
      <c r="D3887" s="12" t="inlineStr">
        <is>
          <t>PO-2022-2331</t>
        </is>
      </c>
      <c r="E3887" s="12" t="n">
        <v>4.83</v>
      </c>
      <c r="F3887" s="17" t="n">
        <v>46835.99</v>
      </c>
      <c r="G3887" s="14">
        <f>E3887*F3887</f>
        <v/>
      </c>
      <c r="H3887" s="14">
        <f>C3887*G3887</f>
        <v/>
      </c>
    </row>
    <row r="3888">
      <c r="A3888" s="12" t="inlineStr">
        <is>
          <t>RET-0289</t>
        </is>
      </c>
      <c r="B3888" s="12" t="inlineStr">
        <is>
          <t>VS11</t>
        </is>
      </c>
      <c r="C3888" s="28" t="n">
        <v>0.0381</v>
      </c>
      <c r="D3888" s="12" t="inlineStr">
        <is>
          <t>PO-2022-2471</t>
        </is>
      </c>
      <c r="E3888" s="12" t="n">
        <v>4.83</v>
      </c>
      <c r="F3888" s="17" t="n">
        <v>91222.25</v>
      </c>
      <c r="G3888" s="14">
        <f>E3888*F3888</f>
        <v/>
      </c>
      <c r="H3888" s="14">
        <f>C3888*G3888</f>
        <v/>
      </c>
    </row>
    <row r="3889">
      <c r="A3889" s="12" t="inlineStr">
        <is>
          <t>RET-0289</t>
        </is>
      </c>
      <c r="B3889" s="12" t="inlineStr">
        <is>
          <t>VS12</t>
        </is>
      </c>
      <c r="C3889" s="28" t="n">
        <v>0.1142</v>
      </c>
      <c r="D3889" s="12" t="inlineStr">
        <is>
          <t>PO-2021-1057</t>
        </is>
      </c>
      <c r="E3889" s="12" t="n">
        <v>4.83</v>
      </c>
      <c r="F3889" s="17" t="n">
        <v>85065.67999999999</v>
      </c>
      <c r="G3889" s="14">
        <f>E3889*F3889</f>
        <v/>
      </c>
      <c r="H3889" s="14">
        <f>C3889*G3889</f>
        <v/>
      </c>
    </row>
    <row r="3890">
      <c r="A3890" s="12" t="inlineStr">
        <is>
          <t>RET-0289</t>
        </is>
      </c>
      <c r="B3890" s="12" t="inlineStr">
        <is>
          <t>VS13</t>
        </is>
      </c>
      <c r="C3890" s="28" t="n">
        <v>0.0263</v>
      </c>
      <c r="D3890" s="12" t="inlineStr">
        <is>
          <t>PO-2022-1953</t>
        </is>
      </c>
      <c r="E3890" s="12" t="n">
        <v>4.83</v>
      </c>
      <c r="F3890" s="17" t="n">
        <v>114989.43</v>
      </c>
      <c r="G3890" s="14">
        <f>E3890*F3890</f>
        <v/>
      </c>
      <c r="H3890" s="14">
        <f>C3890*G3890</f>
        <v/>
      </c>
    </row>
    <row r="3891">
      <c r="A3891" s="12" t="inlineStr">
        <is>
          <t>RET-0289</t>
        </is>
      </c>
      <c r="B3891" s="12" t="inlineStr">
        <is>
          <t>VS14</t>
        </is>
      </c>
      <c r="C3891" s="28" t="n">
        <v>0.0265</v>
      </c>
      <c r="D3891" s="12" t="inlineStr">
        <is>
          <t>PO-2023-3440</t>
        </is>
      </c>
      <c r="E3891" s="12" t="n">
        <v>4.83</v>
      </c>
      <c r="F3891" s="17" t="n">
        <v>90345.09</v>
      </c>
      <c r="G3891" s="14">
        <f>E3891*F3891</f>
        <v/>
      </c>
      <c r="H3891" s="14">
        <f>C3891*G3891</f>
        <v/>
      </c>
    </row>
    <row r="3892">
      <c r="A3892" s="12" t="inlineStr">
        <is>
          <t>RET-0289</t>
        </is>
      </c>
      <c r="B3892" s="12" t="inlineStr">
        <is>
          <t>VS15</t>
        </is>
      </c>
      <c r="C3892" s="28" t="n">
        <v>0.0089</v>
      </c>
      <c r="D3892" s="12" t="inlineStr">
        <is>
          <t>PO-2021-0049</t>
        </is>
      </c>
      <c r="E3892" s="12" t="n">
        <v>4.83</v>
      </c>
      <c r="F3892" s="17" t="n">
        <v>97981.44</v>
      </c>
      <c r="G3892" s="14">
        <f>E3892*F3892</f>
        <v/>
      </c>
      <c r="H3892" s="14">
        <f>C3892*G3892</f>
        <v/>
      </c>
    </row>
    <row r="3893">
      <c r="A3893" s="12" t="inlineStr">
        <is>
          <t>RET-0289</t>
        </is>
      </c>
      <c r="B3893" s="12" t="inlineStr">
        <is>
          <t>VS16</t>
        </is>
      </c>
      <c r="C3893" s="28" t="n">
        <v>0.0383</v>
      </c>
      <c r="D3893" s="12" t="inlineStr">
        <is>
          <t>PO-2021-0129</t>
        </is>
      </c>
      <c r="E3893" s="12" t="n">
        <v>4.83</v>
      </c>
      <c r="F3893" s="17" t="n">
        <v>88110.89</v>
      </c>
      <c r="G3893" s="14">
        <f>E3893*F3893</f>
        <v/>
      </c>
      <c r="H3893" s="14">
        <f>C3893*G3893</f>
        <v/>
      </c>
    </row>
    <row r="3894">
      <c r="A3894" s="12" t="inlineStr">
        <is>
          <t>RET-0289</t>
        </is>
      </c>
      <c r="B3894" s="12" t="inlineStr">
        <is>
          <t>VS17</t>
        </is>
      </c>
      <c r="C3894" s="28" t="n">
        <v>0.0381</v>
      </c>
      <c r="D3894" s="12" t="inlineStr">
        <is>
          <t>PO-2022-2592</t>
        </is>
      </c>
      <c r="E3894" s="12" t="n">
        <v>4.83</v>
      </c>
      <c r="F3894" s="17" t="n">
        <v>66050.11</v>
      </c>
      <c r="G3894" s="14">
        <f>E3894*F3894</f>
        <v/>
      </c>
      <c r="H3894" s="14">
        <f>C3894*G3894</f>
        <v/>
      </c>
    </row>
    <row r="3895">
      <c r="A3895" s="12" t="inlineStr">
        <is>
          <t>RET-0289</t>
        </is>
      </c>
      <c r="B3895" s="12" t="inlineStr">
        <is>
          <t>VS18</t>
        </is>
      </c>
      <c r="C3895" s="28" t="n">
        <v>0.0265</v>
      </c>
      <c r="D3895" s="12" t="inlineStr">
        <is>
          <t>PO-2021-0489</t>
        </is>
      </c>
      <c r="E3895" s="12" t="n">
        <v>4.83</v>
      </c>
      <c r="F3895" s="17" t="n">
        <v>59959.34</v>
      </c>
      <c r="G3895" s="14">
        <f>E3895*F3895</f>
        <v/>
      </c>
      <c r="H3895" s="14">
        <f>C3895*G3895</f>
        <v/>
      </c>
    </row>
    <row r="3896">
      <c r="A3896" s="12" t="inlineStr">
        <is>
          <t>RET-0289</t>
        </is>
      </c>
      <c r="B3896" s="12" t="inlineStr">
        <is>
          <t>VS19</t>
        </is>
      </c>
      <c r="C3896" s="28" t="n">
        <v>0.0862</v>
      </c>
      <c r="D3896" s="12" t="inlineStr">
        <is>
          <t>PO-2021-1210</t>
        </is>
      </c>
      <c r="E3896" s="12" t="n">
        <v>3.237</v>
      </c>
      <c r="F3896" s="17" t="n">
        <v>47414.19</v>
      </c>
      <c r="G3896" s="14">
        <f>E3896*F3896</f>
        <v/>
      </c>
      <c r="H3896" s="14">
        <f>C3896*G3896</f>
        <v/>
      </c>
    </row>
    <row r="3897">
      <c r="A3897" s="12" t="inlineStr">
        <is>
          <t>RET-0289</t>
        </is>
      </c>
      <c r="B3897" s="12" t="inlineStr">
        <is>
          <t>VS20</t>
        </is>
      </c>
      <c r="C3897" s="28" t="n">
        <v>0.0148</v>
      </c>
      <c r="D3897" s="12" t="inlineStr">
        <is>
          <t>PO-2021-0919</t>
        </is>
      </c>
      <c r="E3897" s="12" t="n">
        <v>4.388</v>
      </c>
      <c r="F3897" s="17" t="n">
        <v>53155.85</v>
      </c>
      <c r="G3897" s="14">
        <f>E3897*F3897</f>
        <v/>
      </c>
      <c r="H3897" s="14">
        <f>C3897*G3897</f>
        <v/>
      </c>
    </row>
    <row r="3898">
      <c r="A3898" s="12" t="inlineStr">
        <is>
          <t>RET-0289</t>
        </is>
      </c>
      <c r="B3898" s="12" t="inlineStr">
        <is>
          <t>VS21</t>
        </is>
      </c>
      <c r="C3898" s="28" t="n">
        <v>0.0148</v>
      </c>
      <c r="D3898" s="12" t="inlineStr">
        <is>
          <t>PO-2021-0450</t>
        </is>
      </c>
      <c r="E3898" s="12" t="n">
        <v>4.83</v>
      </c>
      <c r="F3898" s="17" t="n">
        <v>102241.81</v>
      </c>
      <c r="G3898" s="14">
        <f>E3898*F3898</f>
        <v/>
      </c>
      <c r="H3898" s="14">
        <f>C3898*G3898</f>
        <v/>
      </c>
    </row>
    <row r="3899">
      <c r="A3899" s="12" t="inlineStr">
        <is>
          <t>RET-0289</t>
        </is>
      </c>
      <c r="B3899" s="12" t="inlineStr">
        <is>
          <t>VS22</t>
        </is>
      </c>
      <c r="C3899" s="28" t="n">
        <v>0.008800000000000001</v>
      </c>
      <c r="D3899" s="12" t="inlineStr">
        <is>
          <t>PO-2022-2810</t>
        </is>
      </c>
      <c r="E3899" s="12" t="n">
        <v>4.83</v>
      </c>
      <c r="F3899" s="17" t="n">
        <v>88158.28</v>
      </c>
      <c r="G3899" s="14">
        <f>E3899*F3899</f>
        <v/>
      </c>
      <c r="H3899" s="14">
        <f>C3899*G3899</f>
        <v/>
      </c>
    </row>
    <row r="3900">
      <c r="A3900" s="12" t="inlineStr">
        <is>
          <t>RET-0289</t>
        </is>
      </c>
      <c r="B3900" s="12" t="inlineStr">
        <is>
          <t>VS23</t>
        </is>
      </c>
      <c r="C3900" s="28" t="n">
        <v>0.0146</v>
      </c>
      <c r="D3900" s="12" t="inlineStr">
        <is>
          <t>PO-2023-4082</t>
        </is>
      </c>
      <c r="E3900" s="12" t="n">
        <v>4.83</v>
      </c>
      <c r="F3900" s="17" t="n">
        <v>92527.92999999999</v>
      </c>
      <c r="G3900" s="14">
        <f>E3900*F3900</f>
        <v/>
      </c>
      <c r="H3900" s="14">
        <f>C3900*G3900</f>
        <v/>
      </c>
    </row>
    <row r="3901">
      <c r="A3901" s="12" t="inlineStr">
        <is>
          <t>RET-0289</t>
        </is>
      </c>
      <c r="B3901" s="12" t="inlineStr">
        <is>
          <t>VS24</t>
        </is>
      </c>
      <c r="C3901" s="28" t="n">
        <v>0.0147</v>
      </c>
      <c r="D3901" s="12" t="inlineStr">
        <is>
          <t>PO-2022-2445</t>
        </is>
      </c>
      <c r="E3901" s="12" t="n">
        <v>4.83</v>
      </c>
      <c r="F3901" s="17" t="n">
        <v>107727.93</v>
      </c>
      <c r="G3901" s="14">
        <f>E3901*F3901</f>
        <v/>
      </c>
      <c r="H3901" s="14">
        <f>C3901*G3901</f>
        <v/>
      </c>
    </row>
    <row r="3902">
      <c r="A3902" s="12" t="inlineStr">
        <is>
          <t>RET-0289</t>
        </is>
      </c>
      <c r="B3902" s="12" t="inlineStr">
        <is>
          <t>VS25</t>
        </is>
      </c>
      <c r="C3902" s="28" t="n">
        <v>0.0267</v>
      </c>
      <c r="D3902" s="12" t="inlineStr">
        <is>
          <t>PO-2023-4122</t>
        </is>
      </c>
      <c r="E3902" s="12" t="n">
        <v>4.83</v>
      </c>
      <c r="F3902" s="17" t="n">
        <v>69938.67</v>
      </c>
      <c r="G3902" s="14">
        <f>E3902*F3902</f>
        <v/>
      </c>
      <c r="H3902" s="14">
        <f>C3902*G3902</f>
        <v/>
      </c>
    </row>
    <row r="3903">
      <c r="A3903" s="12" t="inlineStr">
        <is>
          <t>RET-0289</t>
        </is>
      </c>
      <c r="B3903" s="12" t="inlineStr">
        <is>
          <t>VS26</t>
        </is>
      </c>
      <c r="C3903" s="28" t="n">
        <v>0.0149</v>
      </c>
      <c r="D3903" s="12" t="inlineStr">
        <is>
          <t>PO-2023-3378</t>
        </is>
      </c>
      <c r="E3903" s="12" t="n">
        <v>4.83</v>
      </c>
      <c r="F3903" s="17" t="n">
        <v>116500.58</v>
      </c>
      <c r="G3903" s="14">
        <f>E3903*F3903</f>
        <v/>
      </c>
      <c r="H3903" s="14">
        <f>C3903*G3903</f>
        <v/>
      </c>
    </row>
    <row r="3904">
      <c r="A3904" s="12" t="inlineStr">
        <is>
          <t>RET-0289</t>
        </is>
      </c>
      <c r="B3904" s="12" t="inlineStr">
        <is>
          <t>VS27</t>
        </is>
      </c>
      <c r="C3904" s="28" t="n">
        <v>0.0146</v>
      </c>
      <c r="D3904" s="12" t="inlineStr">
        <is>
          <t>PO-2023-3477</t>
        </is>
      </c>
      <c r="E3904" s="12" t="n">
        <v>4.83</v>
      </c>
      <c r="F3904" s="17" t="n">
        <v>70733.66</v>
      </c>
      <c r="G3904" s="14">
        <f>E3904*F3904</f>
        <v/>
      </c>
      <c r="H3904" s="14">
        <f>C3904*G3904</f>
        <v/>
      </c>
    </row>
    <row r="3905">
      <c r="A3905" s="12" t="inlineStr">
        <is>
          <t>RET-0289</t>
        </is>
      </c>
      <c r="B3905" s="12" t="inlineStr">
        <is>
          <t>VS28</t>
        </is>
      </c>
      <c r="C3905" s="28" t="n">
        <v>0.0326</v>
      </c>
      <c r="D3905" s="12" t="inlineStr">
        <is>
          <t>PO-2023-4760</t>
        </is>
      </c>
      <c r="E3905" s="12" t="n">
        <v>4.83</v>
      </c>
      <c r="F3905" s="17" t="n">
        <v>114216.31</v>
      </c>
      <c r="G3905" s="14">
        <f>E3905*F3905</f>
        <v/>
      </c>
      <c r="H3905" s="14">
        <f>C3905*G3905</f>
        <v/>
      </c>
    </row>
    <row r="3906">
      <c r="A3906" s="12" t="inlineStr">
        <is>
          <t>RET-0289</t>
        </is>
      </c>
      <c r="B3906" s="12" t="inlineStr">
        <is>
          <t>VS29</t>
        </is>
      </c>
      <c r="C3906" s="28" t="n">
        <v>0.0207</v>
      </c>
      <c r="D3906" s="12" t="inlineStr">
        <is>
          <t>PO-2023-4378</t>
        </is>
      </c>
      <c r="E3906" s="12" t="n">
        <v>4.83</v>
      </c>
      <c r="F3906" s="17" t="n">
        <v>74638.00999999999</v>
      </c>
      <c r="G3906" s="14">
        <f>E3906*F3906</f>
        <v/>
      </c>
      <c r="H3906" s="14">
        <f>C3906*G3906</f>
        <v/>
      </c>
    </row>
    <row r="3907">
      <c r="A3907" s="12" t="inlineStr">
        <is>
          <t>RET-0289</t>
        </is>
      </c>
      <c r="B3907" s="12" t="inlineStr">
        <is>
          <t>VS30</t>
        </is>
      </c>
      <c r="C3907" s="28" t="n">
        <v>0.0089</v>
      </c>
      <c r="D3907" s="12" t="inlineStr">
        <is>
          <t>PO-2022-1715</t>
        </is>
      </c>
      <c r="E3907" s="12" t="n">
        <v>4.83</v>
      </c>
      <c r="F3907" s="17" t="n">
        <v>52840.1</v>
      </c>
      <c r="G3907" s="14">
        <f>E3907*F3907</f>
        <v/>
      </c>
      <c r="H3907" s="14">
        <f>C3907*G3907</f>
        <v/>
      </c>
    </row>
    <row r="3908">
      <c r="A3908" s="12" t="inlineStr">
        <is>
          <t>RET-0289</t>
        </is>
      </c>
      <c r="B3908" s="12" t="inlineStr">
        <is>
          <t>VS31</t>
        </is>
      </c>
      <c r="C3908" s="28" t="n">
        <v>0.0324</v>
      </c>
      <c r="D3908" s="12" t="inlineStr">
        <is>
          <t>PO-2022-1995</t>
        </is>
      </c>
      <c r="E3908" s="12" t="n">
        <v>4.83</v>
      </c>
      <c r="F3908" s="17" t="n">
        <v>97966.81</v>
      </c>
      <c r="G3908" s="14">
        <f>E3908*F3908</f>
        <v/>
      </c>
      <c r="H3908" s="14">
        <f>C3908*G3908</f>
        <v/>
      </c>
    </row>
    <row r="3909">
      <c r="A3909" s="12" t="inlineStr">
        <is>
          <t>RET-0289</t>
        </is>
      </c>
      <c r="B3909" s="12" t="inlineStr">
        <is>
          <t>VS32</t>
        </is>
      </c>
      <c r="C3909" s="28" t="n">
        <v>0.0386</v>
      </c>
      <c r="D3909" s="12" t="inlineStr">
        <is>
          <t>PO-2023-4731</t>
        </is>
      </c>
      <c r="E3909" s="12" t="n">
        <v>4.83</v>
      </c>
      <c r="F3909" s="17" t="n">
        <v>97045.02</v>
      </c>
      <c r="G3909" s="14">
        <f>E3909*F3909</f>
        <v/>
      </c>
      <c r="H3909" s="14">
        <f>C3909*G3909</f>
        <v/>
      </c>
    </row>
    <row r="3910">
      <c r="A3910" s="12" t="inlineStr">
        <is>
          <t>RET-0289</t>
        </is>
      </c>
      <c r="B3910" s="12" t="inlineStr">
        <is>
          <t>VS33</t>
        </is>
      </c>
      <c r="C3910" s="28" t="n">
        <v>0.0206</v>
      </c>
      <c r="D3910" s="12" t="inlineStr">
        <is>
          <t>PO-2023-3365</t>
        </is>
      </c>
      <c r="E3910" s="12" t="n">
        <v>4.83</v>
      </c>
      <c r="F3910" s="17" t="n">
        <v>111207.3</v>
      </c>
      <c r="G3910" s="14">
        <f>E3910*F3910</f>
        <v/>
      </c>
      <c r="H3910" s="14">
        <f>C3910*G3910</f>
        <v/>
      </c>
    </row>
    <row r="3911">
      <c r="A3911" s="12" t="inlineStr">
        <is>
          <t>RET-0289</t>
        </is>
      </c>
      <c r="B3911" s="12" t="inlineStr">
        <is>
          <t>VS34</t>
        </is>
      </c>
      <c r="C3911" s="28" t="n">
        <v>0.0266</v>
      </c>
      <c r="D3911" s="12" t="inlineStr">
        <is>
          <t>PO-2021-0087</t>
        </is>
      </c>
      <c r="E3911" s="12" t="n">
        <v>4.83</v>
      </c>
      <c r="F3911" s="17" t="n">
        <v>78204.08</v>
      </c>
      <c r="G3911" s="14">
        <f>E3911*F3911</f>
        <v/>
      </c>
      <c r="H3911" s="14">
        <f>C3911*G3911</f>
        <v/>
      </c>
    </row>
    <row r="3912">
      <c r="A3912" s="12" t="inlineStr">
        <is>
          <t>RET-0292</t>
        </is>
      </c>
      <c r="B3912" s="12" t="inlineStr">
        <is>
          <t>VS01</t>
        </is>
      </c>
      <c r="C3912" s="28" t="n">
        <v>0.0365</v>
      </c>
      <c r="D3912" s="12" t="inlineStr">
        <is>
          <t>PO-2021-0437</t>
        </is>
      </c>
      <c r="E3912" s="12" t="n">
        <v>4.31</v>
      </c>
      <c r="F3912" s="17" t="n">
        <v>99182.39999999999</v>
      </c>
      <c r="G3912" s="14">
        <f>E3912*F3912</f>
        <v/>
      </c>
      <c r="H3912" s="14">
        <f>C3912*G3912</f>
        <v/>
      </c>
    </row>
    <row r="3913">
      <c r="A3913" s="12" t="inlineStr">
        <is>
          <t>RET-0292</t>
        </is>
      </c>
      <c r="B3913" s="12" t="inlineStr">
        <is>
          <t>VS02</t>
        </is>
      </c>
      <c r="C3913" s="28" t="n">
        <v>0.0166</v>
      </c>
      <c r="D3913" s="12" t="inlineStr">
        <is>
          <t>PO-2021-0546</t>
        </is>
      </c>
      <c r="E3913" s="12" t="n">
        <v>4.31</v>
      </c>
      <c r="F3913" s="17" t="n">
        <v>107469.74</v>
      </c>
      <c r="G3913" s="14">
        <f>E3913*F3913</f>
        <v/>
      </c>
      <c r="H3913" s="14">
        <f>C3913*G3913</f>
        <v/>
      </c>
    </row>
    <row r="3914">
      <c r="A3914" s="12" t="inlineStr">
        <is>
          <t>RET-0292</t>
        </is>
      </c>
      <c r="B3914" s="12" t="inlineStr">
        <is>
          <t>VS03</t>
        </is>
      </c>
      <c r="C3914" s="28" t="n">
        <v>0.0574</v>
      </c>
      <c r="D3914" s="12" t="inlineStr">
        <is>
          <t>PO-2023-3887</t>
        </is>
      </c>
      <c r="E3914" s="12" t="n">
        <v>2.79</v>
      </c>
      <c r="F3914" s="17" t="n">
        <v>99800.91</v>
      </c>
      <c r="G3914" s="14">
        <f>E3914*F3914</f>
        <v/>
      </c>
      <c r="H3914" s="14">
        <f>C3914*G3914</f>
        <v/>
      </c>
    </row>
    <row r="3915">
      <c r="A3915" s="12" t="inlineStr">
        <is>
          <t>RET-0292</t>
        </is>
      </c>
      <c r="B3915" s="12" t="inlineStr">
        <is>
          <t>VS04</t>
        </is>
      </c>
      <c r="C3915" s="28" t="n">
        <v>0.0229</v>
      </c>
      <c r="D3915" s="12" t="inlineStr">
        <is>
          <t>PO-2021-0002</t>
        </is>
      </c>
      <c r="E3915" s="12" t="n">
        <v>4.31</v>
      </c>
      <c r="F3915" s="17" t="n">
        <v>118898.16</v>
      </c>
      <c r="G3915" s="14">
        <f>E3915*F3915</f>
        <v/>
      </c>
      <c r="H3915" s="14">
        <f>C3915*G3915</f>
        <v/>
      </c>
    </row>
    <row r="3916">
      <c r="A3916" s="12" t="inlineStr">
        <is>
          <t>RET-0292</t>
        </is>
      </c>
      <c r="B3916" s="12" t="inlineStr">
        <is>
          <t>VS05</t>
        </is>
      </c>
      <c r="C3916" s="28" t="n">
        <v>0.0297</v>
      </c>
      <c r="D3916" s="12" t="inlineStr">
        <is>
          <t>PO-2023-3569</t>
        </is>
      </c>
      <c r="E3916" s="12" t="n">
        <v>4.31</v>
      </c>
      <c r="F3916" s="17" t="n">
        <v>118091.46</v>
      </c>
      <c r="G3916" s="14">
        <f>E3916*F3916</f>
        <v/>
      </c>
      <c r="H3916" s="14">
        <f>C3916*G3916</f>
        <v/>
      </c>
    </row>
    <row r="3917">
      <c r="A3917" s="12" t="inlineStr">
        <is>
          <t>RET-0292</t>
        </is>
      </c>
      <c r="B3917" s="12" t="inlineStr">
        <is>
          <t>VS06</t>
        </is>
      </c>
      <c r="C3917" s="28" t="n">
        <v>0.03</v>
      </c>
      <c r="D3917" s="12" t="inlineStr">
        <is>
          <t>PO-2023-3573</t>
        </is>
      </c>
      <c r="E3917" s="12" t="n">
        <v>4.31</v>
      </c>
      <c r="F3917" s="17" t="n">
        <v>112805.96</v>
      </c>
      <c r="G3917" s="14">
        <f>E3917*F3917</f>
        <v/>
      </c>
      <c r="H3917" s="14">
        <f>C3917*G3917</f>
        <v/>
      </c>
    </row>
    <row r="3918">
      <c r="A3918" s="12" t="inlineStr">
        <is>
          <t>RET-0292</t>
        </is>
      </c>
      <c r="B3918" s="12" t="inlineStr">
        <is>
          <t>VS07</t>
        </is>
      </c>
      <c r="C3918" s="28" t="n">
        <v>0.01</v>
      </c>
      <c r="D3918" s="12" t="inlineStr">
        <is>
          <t>PO-2021-1385</t>
        </is>
      </c>
      <c r="E3918" s="12" t="n">
        <v>4.31</v>
      </c>
      <c r="F3918" s="17" t="n">
        <v>85099.03999999999</v>
      </c>
      <c r="G3918" s="14">
        <f>E3918*F3918</f>
        <v/>
      </c>
      <c r="H3918" s="14">
        <f>C3918*G3918</f>
        <v/>
      </c>
    </row>
    <row r="3919">
      <c r="A3919" s="12" t="inlineStr">
        <is>
          <t>RET-0292</t>
        </is>
      </c>
      <c r="B3919" s="12" t="inlineStr">
        <is>
          <t>VS08</t>
        </is>
      </c>
      <c r="C3919" s="28" t="n">
        <v>0.0302</v>
      </c>
      <c r="D3919" s="12" t="inlineStr">
        <is>
          <t>PO-2021-0945</t>
        </is>
      </c>
      <c r="E3919" s="12" t="n">
        <v>4.31</v>
      </c>
      <c r="F3919" s="17" t="n">
        <v>100422.54</v>
      </c>
      <c r="G3919" s="14">
        <f>E3919*F3919</f>
        <v/>
      </c>
      <c r="H3919" s="14">
        <f>C3919*G3919</f>
        <v/>
      </c>
    </row>
    <row r="3920">
      <c r="A3920" s="12" t="inlineStr">
        <is>
          <t>RET-0292</t>
        </is>
      </c>
      <c r="B3920" s="12" t="inlineStr">
        <is>
          <t>VS09</t>
        </is>
      </c>
      <c r="C3920" s="28" t="n">
        <v>0.0232</v>
      </c>
      <c r="D3920" s="12" t="inlineStr">
        <is>
          <t>PO-2023-4655</t>
        </is>
      </c>
      <c r="E3920" s="12" t="n">
        <v>4.31</v>
      </c>
      <c r="F3920" s="17" t="n">
        <v>55049.82</v>
      </c>
      <c r="G3920" s="14">
        <f>E3920*F3920</f>
        <v/>
      </c>
      <c r="H3920" s="14">
        <f>C3920*G3920</f>
        <v/>
      </c>
    </row>
    <row r="3921">
      <c r="A3921" s="12" t="inlineStr">
        <is>
          <t>RET-0292</t>
        </is>
      </c>
      <c r="B3921" s="12" t="inlineStr">
        <is>
          <t>VS10</t>
        </is>
      </c>
      <c r="C3921" s="28" t="n">
        <v>0.0364</v>
      </c>
      <c r="D3921" s="12" t="inlineStr">
        <is>
          <t>PO-2023-4020</t>
        </is>
      </c>
      <c r="E3921" s="12" t="n">
        <v>4.31</v>
      </c>
      <c r="F3921" s="17" t="n">
        <v>95948.22</v>
      </c>
      <c r="G3921" s="14">
        <f>E3921*F3921</f>
        <v/>
      </c>
      <c r="H3921" s="14">
        <f>C3921*G3921</f>
        <v/>
      </c>
    </row>
    <row r="3922">
      <c r="A3922" s="12" t="inlineStr">
        <is>
          <t>RET-0292</t>
        </is>
      </c>
      <c r="B3922" s="12" t="inlineStr">
        <is>
          <t>VS11</t>
        </is>
      </c>
      <c r="C3922" s="28" t="n">
        <v>0.0427</v>
      </c>
      <c r="D3922" s="12" t="inlineStr">
        <is>
          <t>PO-2022-2141</t>
        </is>
      </c>
      <c r="E3922" s="12" t="n">
        <v>4.31</v>
      </c>
      <c r="F3922" s="17" t="n">
        <v>71149.98</v>
      </c>
      <c r="G3922" s="14">
        <f>E3922*F3922</f>
        <v/>
      </c>
      <c r="H3922" s="14">
        <f>C3922*G3922</f>
        <v/>
      </c>
    </row>
    <row r="3923">
      <c r="A3923" s="12" t="inlineStr">
        <is>
          <t>RET-0292</t>
        </is>
      </c>
      <c r="B3923" s="12" t="inlineStr">
        <is>
          <t>VS12</t>
        </is>
      </c>
      <c r="C3923" s="28" t="n">
        <v>0.0798</v>
      </c>
      <c r="D3923" s="12" t="inlineStr">
        <is>
          <t>PO-2023-4667</t>
        </is>
      </c>
      <c r="E3923" s="12" t="n">
        <v>4.31</v>
      </c>
      <c r="F3923" s="17" t="n">
        <v>79443.7</v>
      </c>
      <c r="G3923" s="14">
        <f>E3923*F3923</f>
        <v/>
      </c>
      <c r="H3923" s="14">
        <f>C3923*G3923</f>
        <v/>
      </c>
    </row>
    <row r="3924">
      <c r="A3924" s="12" t="inlineStr">
        <is>
          <t>RET-0292</t>
        </is>
      </c>
      <c r="B3924" s="12" t="inlineStr">
        <is>
          <t>VS13</t>
        </is>
      </c>
      <c r="C3924" s="28" t="n">
        <v>0.0294</v>
      </c>
      <c r="D3924" s="12" t="inlineStr">
        <is>
          <t>PO-2021-0786</t>
        </is>
      </c>
      <c r="E3924" s="12" t="n">
        <v>4.31</v>
      </c>
      <c r="F3924" s="17" t="n">
        <v>69276.07000000001</v>
      </c>
      <c r="G3924" s="14">
        <f>E3924*F3924</f>
        <v/>
      </c>
      <c r="H3924" s="14">
        <f>C3924*G3924</f>
        <v/>
      </c>
    </row>
    <row r="3925">
      <c r="A3925" s="12" t="inlineStr">
        <is>
          <t>RET-0292</t>
        </is>
      </c>
      <c r="B3925" s="12" t="inlineStr">
        <is>
          <t>VS14</t>
        </is>
      </c>
      <c r="C3925" s="28" t="n">
        <v>0.0297</v>
      </c>
      <c r="D3925" s="12" t="inlineStr">
        <is>
          <t>PO-2023-3672</t>
        </is>
      </c>
      <c r="E3925" s="12" t="n">
        <v>4.31</v>
      </c>
      <c r="F3925" s="17" t="n">
        <v>112386.66</v>
      </c>
      <c r="G3925" s="14">
        <f>E3925*F3925</f>
        <v/>
      </c>
      <c r="H3925" s="14">
        <f>C3925*G3925</f>
        <v/>
      </c>
    </row>
    <row r="3926">
      <c r="A3926" s="12" t="inlineStr">
        <is>
          <t>RET-0292</t>
        </is>
      </c>
      <c r="B3926" s="12" t="inlineStr">
        <is>
          <t>VS15</t>
        </is>
      </c>
      <c r="C3926" s="28" t="n">
        <v>0.009900000000000001</v>
      </c>
      <c r="D3926" s="12" t="inlineStr">
        <is>
          <t>PO-2023-3342</t>
        </is>
      </c>
      <c r="E3926" s="12" t="n">
        <v>2.13</v>
      </c>
      <c r="F3926" s="17" t="n">
        <v>93177.47</v>
      </c>
      <c r="G3926" s="14">
        <f>E3926*F3926</f>
        <v/>
      </c>
      <c r="H3926" s="14">
        <f>C3926*G3926</f>
        <v/>
      </c>
    </row>
    <row r="3927">
      <c r="A3927" s="12" t="inlineStr">
        <is>
          <t>RET-0292</t>
        </is>
      </c>
      <c r="B3927" s="12" t="inlineStr">
        <is>
          <t>VS16</t>
        </is>
      </c>
      <c r="C3927" s="28" t="n">
        <v>0.0428</v>
      </c>
      <c r="D3927" s="12" t="inlineStr">
        <is>
          <t>PO-2023-3870</t>
        </is>
      </c>
      <c r="E3927" s="12" t="n">
        <v>4.31</v>
      </c>
      <c r="F3927" s="17" t="n">
        <v>89481.71000000001</v>
      </c>
      <c r="G3927" s="14">
        <f>E3927*F3927</f>
        <v/>
      </c>
      <c r="H3927" s="14">
        <f>C3927*G3927</f>
        <v/>
      </c>
    </row>
    <row r="3928">
      <c r="A3928" s="12" t="inlineStr">
        <is>
          <t>RET-0292</t>
        </is>
      </c>
      <c r="B3928" s="12" t="inlineStr">
        <is>
          <t>VS17</t>
        </is>
      </c>
      <c r="C3928" s="28" t="n">
        <v>0.0426</v>
      </c>
      <c r="D3928" s="12" t="inlineStr">
        <is>
          <t>PO-2023-3240</t>
        </is>
      </c>
      <c r="E3928" s="12" t="n">
        <v>4.31</v>
      </c>
      <c r="F3928" s="17" t="n">
        <v>56872.18</v>
      </c>
      <c r="G3928" s="14">
        <f>E3928*F3928</f>
        <v/>
      </c>
      <c r="H3928" s="14">
        <f>C3928*G3928</f>
        <v/>
      </c>
    </row>
    <row r="3929">
      <c r="A3929" s="12" t="inlineStr">
        <is>
          <t>RET-0292</t>
        </is>
      </c>
      <c r="B3929" s="12" t="inlineStr">
        <is>
          <t>VS18</t>
        </is>
      </c>
      <c r="C3929" s="28" t="n">
        <v>0.0297</v>
      </c>
      <c r="D3929" s="12" t="inlineStr">
        <is>
          <t>PO-2021-0099</t>
        </is>
      </c>
      <c r="E3929" s="12" t="n">
        <v>4.31</v>
      </c>
      <c r="F3929" s="17" t="n">
        <v>77691.37</v>
      </c>
      <c r="G3929" s="14">
        <f>E3929*F3929</f>
        <v/>
      </c>
      <c r="H3929" s="14">
        <f>C3929*G3929</f>
        <v/>
      </c>
    </row>
    <row r="3930">
      <c r="A3930" s="12" t="inlineStr">
        <is>
          <t>RET-0292</t>
        </is>
      </c>
      <c r="B3930" s="12" t="inlineStr">
        <is>
          <t>VS19</t>
        </is>
      </c>
      <c r="C3930" s="28" t="n">
        <v>0.0602</v>
      </c>
      <c r="D3930" s="12" t="inlineStr">
        <is>
          <t>PO-2021-1053</t>
        </is>
      </c>
      <c r="E3930" s="12" t="n">
        <v>4.31</v>
      </c>
      <c r="F3930" s="17" t="n">
        <v>122488.13</v>
      </c>
      <c r="G3930" s="14">
        <f>E3930*F3930</f>
        <v/>
      </c>
      <c r="H3930" s="14">
        <f>C3930*G3930</f>
        <v/>
      </c>
    </row>
    <row r="3931">
      <c r="A3931" s="12" t="inlineStr">
        <is>
          <t>RET-0292</t>
        </is>
      </c>
      <c r="B3931" s="12" t="inlineStr">
        <is>
          <t>VS20</t>
        </is>
      </c>
      <c r="C3931" s="28" t="n">
        <v>0.0166</v>
      </c>
      <c r="D3931" s="12" t="inlineStr">
        <is>
          <t>PO-2021-1478</t>
        </is>
      </c>
      <c r="E3931" s="12" t="n">
        <v>4.31</v>
      </c>
      <c r="F3931" s="17" t="n">
        <v>73152.87</v>
      </c>
      <c r="G3931" s="14">
        <f>E3931*F3931</f>
        <v/>
      </c>
      <c r="H3931" s="14">
        <f>C3931*G3931</f>
        <v/>
      </c>
    </row>
    <row r="3932">
      <c r="A3932" s="12" t="inlineStr">
        <is>
          <t>RET-0292</t>
        </is>
      </c>
      <c r="B3932" s="12" t="inlineStr">
        <is>
          <t>VS21</t>
        </is>
      </c>
      <c r="C3932" s="28" t="n">
        <v>0.0165</v>
      </c>
      <c r="D3932" s="12" t="inlineStr">
        <is>
          <t>PO-2022-2495</t>
        </is>
      </c>
      <c r="E3932" s="12" t="n">
        <v>4.31</v>
      </c>
      <c r="F3932" s="17" t="n">
        <v>83493.44</v>
      </c>
      <c r="G3932" s="14">
        <f>E3932*F3932</f>
        <v/>
      </c>
      <c r="H3932" s="14">
        <f>C3932*G3932</f>
        <v/>
      </c>
    </row>
    <row r="3933">
      <c r="A3933" s="12" t="inlineStr">
        <is>
          <t>RET-0292</t>
        </is>
      </c>
      <c r="B3933" s="12" t="inlineStr">
        <is>
          <t>VS22</t>
        </is>
      </c>
      <c r="C3933" s="28" t="n">
        <v>0.0098</v>
      </c>
      <c r="D3933" s="12" t="inlineStr">
        <is>
          <t>PO-2021-1074</t>
        </is>
      </c>
      <c r="E3933" s="12" t="n">
        <v>4.31</v>
      </c>
      <c r="F3933" s="17" t="n">
        <v>47156.97</v>
      </c>
      <c r="G3933" s="14">
        <f>E3933*F3933</f>
        <v/>
      </c>
      <c r="H3933" s="14">
        <f>C3933*G3933</f>
        <v/>
      </c>
    </row>
    <row r="3934">
      <c r="A3934" s="12" t="inlineStr">
        <is>
          <t>RET-0292</t>
        </is>
      </c>
      <c r="B3934" s="12" t="inlineStr">
        <is>
          <t>VS23</t>
        </is>
      </c>
      <c r="C3934" s="28" t="n">
        <v>0.0163</v>
      </c>
      <c r="D3934" s="12" t="inlineStr">
        <is>
          <t>PO-2022-2193</t>
        </is>
      </c>
      <c r="E3934" s="12" t="n">
        <v>4.31</v>
      </c>
      <c r="F3934" s="17" t="n">
        <v>109248.48</v>
      </c>
      <c r="G3934" s="14">
        <f>E3934*F3934</f>
        <v/>
      </c>
      <c r="H3934" s="14">
        <f>C3934*G3934</f>
        <v/>
      </c>
    </row>
    <row r="3935">
      <c r="A3935" s="12" t="inlineStr">
        <is>
          <t>RET-0292</t>
        </is>
      </c>
      <c r="B3935" s="12" t="inlineStr">
        <is>
          <t>VS24</t>
        </is>
      </c>
      <c r="C3935" s="28" t="n">
        <v>0.0165</v>
      </c>
      <c r="D3935" s="12" t="inlineStr">
        <is>
          <t>PO-2021-0946</t>
        </is>
      </c>
      <c r="E3935" s="12" t="n">
        <v>4.31</v>
      </c>
      <c r="F3935" s="17" t="n">
        <v>97558.12</v>
      </c>
      <c r="G3935" s="14">
        <f>E3935*F3935</f>
        <v/>
      </c>
      <c r="H3935" s="14">
        <f>C3935*G3935</f>
        <v/>
      </c>
    </row>
    <row r="3936">
      <c r="A3936" s="12" t="inlineStr">
        <is>
          <t>RET-0292</t>
        </is>
      </c>
      <c r="B3936" s="12" t="inlineStr">
        <is>
          <t>VS25</t>
        </is>
      </c>
      <c r="C3936" s="28" t="n">
        <v>0.0299</v>
      </c>
      <c r="D3936" s="12" t="inlineStr">
        <is>
          <t>PO-2023-4070</t>
        </is>
      </c>
      <c r="E3936" s="12" t="n">
        <v>4.31</v>
      </c>
      <c r="F3936" s="17" t="n">
        <v>111801.88</v>
      </c>
      <c r="G3936" s="14">
        <f>E3936*F3936</f>
        <v/>
      </c>
      <c r="H3936" s="14">
        <f>C3936*G3936</f>
        <v/>
      </c>
    </row>
    <row r="3937">
      <c r="A3937" s="12" t="inlineStr">
        <is>
          <t>RET-0292</t>
        </is>
      </c>
      <c r="B3937" s="12" t="inlineStr">
        <is>
          <t>VS26</t>
        </is>
      </c>
      <c r="C3937" s="28" t="n">
        <v>0.0166</v>
      </c>
      <c r="D3937" s="12" t="inlineStr">
        <is>
          <t>PO-2022-3031</t>
        </is>
      </c>
      <c r="E3937" s="12" t="n">
        <v>4.31</v>
      </c>
      <c r="F3937" s="17" t="n">
        <v>87493.59</v>
      </c>
      <c r="G3937" s="14">
        <f>E3937*F3937</f>
        <v/>
      </c>
      <c r="H3937" s="14">
        <f>C3937*G3937</f>
        <v/>
      </c>
    </row>
    <row r="3938">
      <c r="A3938" s="12" t="inlineStr">
        <is>
          <t>RET-0292</t>
        </is>
      </c>
      <c r="B3938" s="12" t="inlineStr">
        <is>
          <t>VS27</t>
        </is>
      </c>
      <c r="C3938" s="28" t="n">
        <v>0.0163</v>
      </c>
      <c r="D3938" s="12" t="inlineStr">
        <is>
          <t>PO-2021-0124</t>
        </is>
      </c>
      <c r="E3938" s="12" t="n">
        <v>4.31</v>
      </c>
      <c r="F3938" s="17" t="n">
        <v>50922.63</v>
      </c>
      <c r="G3938" s="14">
        <f>E3938*F3938</f>
        <v/>
      </c>
      <c r="H3938" s="14">
        <f>C3938*G3938</f>
        <v/>
      </c>
    </row>
    <row r="3939">
      <c r="A3939" s="12" t="inlineStr">
        <is>
          <t>RET-0292</t>
        </is>
      </c>
      <c r="B3939" s="12" t="inlineStr">
        <is>
          <t>VS28</t>
        </is>
      </c>
      <c r="C3939" s="28" t="n">
        <v>0.0364</v>
      </c>
      <c r="D3939" s="12" t="inlineStr">
        <is>
          <t>PO-2022-2177</t>
        </is>
      </c>
      <c r="E3939" s="12" t="n">
        <v>4.31</v>
      </c>
      <c r="F3939" s="17" t="n">
        <v>96857.77</v>
      </c>
      <c r="G3939" s="14">
        <f>E3939*F3939</f>
        <v/>
      </c>
      <c r="H3939" s="14">
        <f>C3939*G3939</f>
        <v/>
      </c>
    </row>
    <row r="3940">
      <c r="A3940" s="12" t="inlineStr">
        <is>
          <t>RET-0292</t>
        </is>
      </c>
      <c r="B3940" s="12" t="inlineStr">
        <is>
          <t>VS29</t>
        </is>
      </c>
      <c r="C3940" s="28" t="n">
        <v>0.0231</v>
      </c>
      <c r="D3940" s="12" t="inlineStr">
        <is>
          <t>PO-2022-2740</t>
        </is>
      </c>
      <c r="E3940" s="12" t="n">
        <v>4.31</v>
      </c>
      <c r="F3940" s="17" t="n">
        <v>68212.63</v>
      </c>
      <c r="G3940" s="14">
        <f>E3940*F3940</f>
        <v/>
      </c>
      <c r="H3940" s="14">
        <f>C3940*G3940</f>
        <v/>
      </c>
    </row>
    <row r="3941">
      <c r="A3941" s="12" t="inlineStr">
        <is>
          <t>RET-0292</t>
        </is>
      </c>
      <c r="B3941" s="12" t="inlineStr">
        <is>
          <t>VS30</t>
        </is>
      </c>
      <c r="C3941" s="28" t="n">
        <v>0.01</v>
      </c>
      <c r="D3941" s="12" t="inlineStr">
        <is>
          <t>PO-2022-1721</t>
        </is>
      </c>
      <c r="E3941" s="12" t="n">
        <v>4.31</v>
      </c>
      <c r="F3941" s="17" t="n">
        <v>80718.03</v>
      </c>
      <c r="G3941" s="14">
        <f>E3941*F3941</f>
        <v/>
      </c>
      <c r="H3941" s="14">
        <f>C3941*G3941</f>
        <v/>
      </c>
    </row>
    <row r="3942">
      <c r="A3942" s="12" t="inlineStr">
        <is>
          <t>RET-0292</t>
        </is>
      </c>
      <c r="B3942" s="12" t="inlineStr">
        <is>
          <t>VS31</t>
        </is>
      </c>
      <c r="C3942" s="28" t="n">
        <v>0.0363</v>
      </c>
      <c r="D3942" s="12" t="inlineStr">
        <is>
          <t>PO-2021-0657</t>
        </is>
      </c>
      <c r="E3942" s="12" t="n">
        <v>4.31</v>
      </c>
      <c r="F3942" s="17" t="n">
        <v>55228.61</v>
      </c>
      <c r="G3942" s="14">
        <f>E3942*F3942</f>
        <v/>
      </c>
      <c r="H3942" s="14">
        <f>C3942*G3942</f>
        <v/>
      </c>
    </row>
    <row r="3943">
      <c r="A3943" s="12" t="inlineStr">
        <is>
          <t>RET-0292</t>
        </is>
      </c>
      <c r="B3943" s="12" t="inlineStr">
        <is>
          <t>VS32</t>
        </is>
      </c>
      <c r="C3943" s="28" t="n">
        <v>0.0431</v>
      </c>
      <c r="D3943" s="12" t="inlineStr">
        <is>
          <t>PO-2023-3419</t>
        </is>
      </c>
      <c r="E3943" s="12" t="n">
        <v>4.31</v>
      </c>
      <c r="F3943" s="17" t="n">
        <v>65302.5</v>
      </c>
      <c r="G3943" s="14">
        <f>E3943*F3943</f>
        <v/>
      </c>
      <c r="H3943" s="14">
        <f>C3943*G3943</f>
        <v/>
      </c>
    </row>
    <row r="3944">
      <c r="A3944" s="12" t="inlineStr">
        <is>
          <t>RET-0292</t>
        </is>
      </c>
      <c r="B3944" s="12" t="inlineStr">
        <is>
          <t>VS33</t>
        </is>
      </c>
      <c r="C3944" s="28" t="n">
        <v>0.023</v>
      </c>
      <c r="D3944" s="12" t="inlineStr">
        <is>
          <t>PO-2021-0582</t>
        </is>
      </c>
      <c r="E3944" s="12" t="n">
        <v>4.31</v>
      </c>
      <c r="F3944" s="17" t="n">
        <v>98333.25999999999</v>
      </c>
      <c r="G3944" s="14">
        <f>E3944*F3944</f>
        <v/>
      </c>
      <c r="H3944" s="14">
        <f>C3944*G3944</f>
        <v/>
      </c>
    </row>
    <row r="3945">
      <c r="A3945" s="12" t="inlineStr">
        <is>
          <t>RET-0292</t>
        </is>
      </c>
      <c r="B3945" s="12" t="inlineStr">
        <is>
          <t>VS34</t>
        </is>
      </c>
      <c r="C3945" s="28" t="n">
        <v>0.0298</v>
      </c>
      <c r="D3945" s="12" t="inlineStr">
        <is>
          <t>PO-2021-0197</t>
        </is>
      </c>
      <c r="E3945" s="12" t="n">
        <v>4.31</v>
      </c>
      <c r="F3945" s="17" t="n">
        <v>113845.26</v>
      </c>
      <c r="G3945" s="14">
        <f>E3945*F3945</f>
        <v/>
      </c>
      <c r="H3945" s="14">
        <f>C3945*G3945</f>
        <v/>
      </c>
    </row>
    <row r="3946">
      <c r="A3946" s="12" t="inlineStr">
        <is>
          <t>RET-0297</t>
        </is>
      </c>
      <c r="B3946" s="12" t="inlineStr">
        <is>
          <t>VS01</t>
        </is>
      </c>
      <c r="C3946" s="28" t="n">
        <v>0.0254</v>
      </c>
      <c r="D3946" s="12" t="inlineStr">
        <is>
          <t>PO-2023-3417</t>
        </is>
      </c>
      <c r="E3946" s="12" t="n">
        <v>4.7</v>
      </c>
      <c r="F3946" s="17" t="n">
        <v>94380.89999999999</v>
      </c>
      <c r="G3946" s="14">
        <f>E3946*F3946</f>
        <v/>
      </c>
      <c r="H3946" s="14">
        <f>C3946*G3946</f>
        <v/>
      </c>
    </row>
    <row r="3947">
      <c r="A3947" s="12" t="inlineStr">
        <is>
          <t>RET-0297</t>
        </is>
      </c>
      <c r="B3947" s="12" t="inlineStr">
        <is>
          <t>VS02</t>
        </is>
      </c>
      <c r="C3947" s="28" t="n">
        <v>0.0116</v>
      </c>
      <c r="D3947" s="12" t="inlineStr">
        <is>
          <t>PO-2023-4551</t>
        </is>
      </c>
      <c r="E3947" s="12" t="n">
        <v>4.7</v>
      </c>
      <c r="F3947" s="17" t="n">
        <v>67915.78</v>
      </c>
      <c r="G3947" s="14">
        <f>E3947*F3947</f>
        <v/>
      </c>
      <c r="H3947" s="14">
        <f>C3947*G3947</f>
        <v/>
      </c>
    </row>
    <row r="3948">
      <c r="A3948" s="12" t="inlineStr">
        <is>
          <t>RET-0297</t>
        </is>
      </c>
      <c r="B3948" s="12" t="inlineStr">
        <is>
          <t>VS03</t>
        </is>
      </c>
      <c r="C3948" s="28" t="n">
        <v>0.1281</v>
      </c>
      <c r="D3948" s="12" t="inlineStr">
        <is>
          <t>PO-2022-2152</t>
        </is>
      </c>
      <c r="E3948" s="12" t="n">
        <v>4.7</v>
      </c>
      <c r="F3948" s="17" t="n">
        <v>71957.53</v>
      </c>
      <c r="G3948" s="14">
        <f>E3948*F3948</f>
        <v/>
      </c>
      <c r="H3948" s="14">
        <f>C3948*G3948</f>
        <v/>
      </c>
    </row>
    <row r="3949">
      <c r="A3949" s="12" t="inlineStr">
        <is>
          <t>RET-0297</t>
        </is>
      </c>
      <c r="B3949" s="12" t="inlineStr">
        <is>
          <t>VS04</t>
        </is>
      </c>
      <c r="C3949" s="28" t="n">
        <v>0.016</v>
      </c>
      <c r="D3949" s="12" t="inlineStr">
        <is>
          <t>PO-2023-4362</t>
        </is>
      </c>
      <c r="E3949" s="12" t="n">
        <v>3.4</v>
      </c>
      <c r="F3949" s="17" t="n">
        <v>64688.41</v>
      </c>
      <c r="G3949" s="14">
        <f>E3949*F3949</f>
        <v/>
      </c>
      <c r="H3949" s="14">
        <f>C3949*G3949</f>
        <v/>
      </c>
    </row>
    <row r="3950">
      <c r="A3950" s="12" t="inlineStr">
        <is>
          <t>RET-0297</t>
        </is>
      </c>
      <c r="B3950" s="12" t="inlineStr">
        <is>
          <t>VS05</t>
        </is>
      </c>
      <c r="C3950" s="28" t="n">
        <v>0.0207</v>
      </c>
      <c r="D3950" s="12" t="inlineStr">
        <is>
          <t>PO-2022-2099</t>
        </is>
      </c>
      <c r="E3950" s="12" t="n">
        <v>4.7</v>
      </c>
      <c r="F3950" s="17" t="n">
        <v>99213.69</v>
      </c>
      <c r="G3950" s="14">
        <f>E3950*F3950</f>
        <v/>
      </c>
      <c r="H3950" s="14">
        <f>C3950*G3950</f>
        <v/>
      </c>
    </row>
    <row r="3951">
      <c r="A3951" s="12" t="inlineStr">
        <is>
          <t>RET-0297</t>
        </is>
      </c>
      <c r="B3951" s="12" t="inlineStr">
        <is>
          <t>VS06</t>
        </is>
      </c>
      <c r="C3951" s="28" t="n">
        <v>0.0209</v>
      </c>
      <c r="D3951" s="12" t="inlineStr">
        <is>
          <t>PO-2023-3456</t>
        </is>
      </c>
      <c r="E3951" s="12" t="n">
        <v>4.7</v>
      </c>
      <c r="F3951" s="17" t="n">
        <v>118938</v>
      </c>
      <c r="G3951" s="14">
        <f>E3951*F3951</f>
        <v/>
      </c>
      <c r="H3951" s="14">
        <f>C3951*G3951</f>
        <v/>
      </c>
    </row>
    <row r="3952">
      <c r="A3952" s="12" t="inlineStr">
        <is>
          <t>RET-0297</t>
        </is>
      </c>
      <c r="B3952" s="12" t="inlineStr">
        <is>
          <t>VS07</t>
        </is>
      </c>
      <c r="C3952" s="28" t="n">
        <v>0.007</v>
      </c>
      <c r="D3952" s="12" t="inlineStr">
        <is>
          <t>PO-2023-4638</t>
        </is>
      </c>
      <c r="E3952" s="12" t="n">
        <v>4.7</v>
      </c>
      <c r="F3952" s="17" t="n">
        <v>102165.35</v>
      </c>
      <c r="G3952" s="14">
        <f>E3952*F3952</f>
        <v/>
      </c>
      <c r="H3952" s="14">
        <f>C3952*G3952</f>
        <v/>
      </c>
    </row>
    <row r="3953">
      <c r="A3953" s="12" t="inlineStr">
        <is>
          <t>RET-0297</t>
        </is>
      </c>
      <c r="B3953" s="12" t="inlineStr">
        <is>
          <t>VS08</t>
        </is>
      </c>
      <c r="C3953" s="28" t="n">
        <v>0.021</v>
      </c>
      <c r="D3953" s="12" t="inlineStr">
        <is>
          <t>PO-2023-3462</t>
        </is>
      </c>
      <c r="E3953" s="12" t="n">
        <v>4.7</v>
      </c>
      <c r="F3953" s="17" t="n">
        <v>50986.52</v>
      </c>
      <c r="G3953" s="14">
        <f>E3953*F3953</f>
        <v/>
      </c>
      <c r="H3953" s="14">
        <f>C3953*G3953</f>
        <v/>
      </c>
    </row>
    <row r="3954">
      <c r="A3954" s="12" t="inlineStr">
        <is>
          <t>RET-0297</t>
        </is>
      </c>
      <c r="B3954" s="12" t="inlineStr">
        <is>
          <t>VS09</t>
        </is>
      </c>
      <c r="C3954" s="28" t="n">
        <v>0.0162</v>
      </c>
      <c r="D3954" s="12" t="inlineStr">
        <is>
          <t>PO-2023-4192</t>
        </is>
      </c>
      <c r="E3954" s="12" t="n">
        <v>4.7</v>
      </c>
      <c r="F3954" s="17" t="n">
        <v>56106.24</v>
      </c>
      <c r="G3954" s="14">
        <f>E3954*F3954</f>
        <v/>
      </c>
      <c r="H3954" s="14">
        <f>C3954*G3954</f>
        <v/>
      </c>
    </row>
    <row r="3955">
      <c r="A3955" s="12" t="inlineStr">
        <is>
          <t>RET-0297</t>
        </is>
      </c>
      <c r="B3955" s="12" t="inlineStr">
        <is>
          <t>VS10</t>
        </is>
      </c>
      <c r="C3955" s="28" t="n">
        <v>0.0254</v>
      </c>
      <c r="D3955" s="12" t="inlineStr">
        <is>
          <t>PO-2022-2161</t>
        </is>
      </c>
      <c r="E3955" s="12" t="n">
        <v>4.7</v>
      </c>
      <c r="F3955" s="17" t="n">
        <v>59900.78</v>
      </c>
      <c r="G3955" s="14">
        <f>E3955*F3955</f>
        <v/>
      </c>
      <c r="H3955" s="14">
        <f>C3955*G3955</f>
        <v/>
      </c>
    </row>
    <row r="3956">
      <c r="A3956" s="12" t="inlineStr">
        <is>
          <t>RET-0297</t>
        </is>
      </c>
      <c r="B3956" s="12" t="inlineStr">
        <is>
          <t>VS11</t>
        </is>
      </c>
      <c r="C3956" s="28" t="n">
        <v>0.0297</v>
      </c>
      <c r="D3956" s="12" t="inlineStr">
        <is>
          <t>PO-2021-1039</t>
        </is>
      </c>
      <c r="E3956" s="12" t="n">
        <v>4.7</v>
      </c>
      <c r="F3956" s="17" t="n">
        <v>119532.98</v>
      </c>
      <c r="G3956" s="14">
        <f>E3956*F3956</f>
        <v/>
      </c>
      <c r="H3956" s="14">
        <f>C3956*G3956</f>
        <v/>
      </c>
    </row>
    <row r="3957">
      <c r="A3957" s="12" t="inlineStr">
        <is>
          <t>RET-0297</t>
        </is>
      </c>
      <c r="B3957" s="12" t="inlineStr">
        <is>
          <t>VS12</t>
        </is>
      </c>
      <c r="C3957" s="28" t="n">
        <v>0.1781</v>
      </c>
      <c r="D3957" s="12" t="inlineStr">
        <is>
          <t>PO-2022-2784</t>
        </is>
      </c>
      <c r="E3957" s="12" t="n">
        <v>4.7</v>
      </c>
      <c r="F3957" s="17" t="n">
        <v>72375.47</v>
      </c>
      <c r="G3957" s="14">
        <f>E3957*F3957</f>
        <v/>
      </c>
      <c r="H3957" s="14">
        <f>C3957*G3957</f>
        <v/>
      </c>
    </row>
    <row r="3958">
      <c r="A3958" s="12" t="inlineStr">
        <is>
          <t>RET-0297</t>
        </is>
      </c>
      <c r="B3958" s="12" t="inlineStr">
        <is>
          <t>VS13</t>
        </is>
      </c>
      <c r="C3958" s="28" t="n">
        <v>0.0205</v>
      </c>
      <c r="D3958" s="12" t="inlineStr">
        <is>
          <t>PO-2023-3699</t>
        </is>
      </c>
      <c r="E3958" s="12" t="n">
        <v>4.7</v>
      </c>
      <c r="F3958" s="17" t="n">
        <v>57165.09</v>
      </c>
      <c r="G3958" s="14">
        <f>E3958*F3958</f>
        <v/>
      </c>
      <c r="H3958" s="14">
        <f>C3958*G3958</f>
        <v/>
      </c>
    </row>
    <row r="3959">
      <c r="A3959" s="12" t="inlineStr">
        <is>
          <t>RET-0297</t>
        </is>
      </c>
      <c r="B3959" s="12" t="inlineStr">
        <is>
          <t>VS14</t>
        </is>
      </c>
      <c r="C3959" s="28" t="n">
        <v>0.0207</v>
      </c>
      <c r="D3959" s="12" t="inlineStr">
        <is>
          <t>PO-2023-3722</t>
        </is>
      </c>
      <c r="E3959" s="12" t="n">
        <v>4.7</v>
      </c>
      <c r="F3959" s="17" t="n">
        <v>89168.38</v>
      </c>
      <c r="G3959" s="14">
        <f>E3959*F3959</f>
        <v/>
      </c>
      <c r="H3959" s="14">
        <f>C3959*G3959</f>
        <v/>
      </c>
    </row>
    <row r="3960">
      <c r="A3960" s="12" t="inlineStr">
        <is>
          <t>RET-0297</t>
        </is>
      </c>
      <c r="B3960" s="12" t="inlineStr">
        <is>
          <t>VS15</t>
        </is>
      </c>
      <c r="C3960" s="28" t="n">
        <v>0.0069</v>
      </c>
      <c r="D3960" s="12" t="inlineStr">
        <is>
          <t>PO-2023-4619</t>
        </is>
      </c>
      <c r="E3960" s="12" t="n">
        <v>1.17</v>
      </c>
      <c r="F3960" s="17" t="n">
        <v>58536.05</v>
      </c>
      <c r="G3960" s="14">
        <f>E3960*F3960</f>
        <v/>
      </c>
      <c r="H3960" s="14">
        <f>C3960*G3960</f>
        <v/>
      </c>
    </row>
    <row r="3961">
      <c r="A3961" s="12" t="inlineStr">
        <is>
          <t>RET-0297</t>
        </is>
      </c>
      <c r="B3961" s="12" t="inlineStr">
        <is>
          <t>VS16</t>
        </is>
      </c>
      <c r="C3961" s="28" t="n">
        <v>0.0298</v>
      </c>
      <c r="D3961" s="12" t="inlineStr">
        <is>
          <t>PO-2021-1276</t>
        </is>
      </c>
      <c r="E3961" s="12" t="n">
        <v>4.7</v>
      </c>
      <c r="F3961" s="17" t="n">
        <v>101429.25</v>
      </c>
      <c r="G3961" s="14">
        <f>E3961*F3961</f>
        <v/>
      </c>
      <c r="H3961" s="14">
        <f>C3961*G3961</f>
        <v/>
      </c>
    </row>
    <row r="3962">
      <c r="A3962" s="12" t="inlineStr">
        <is>
          <t>RET-0297</t>
        </is>
      </c>
      <c r="B3962" s="12" t="inlineStr">
        <is>
          <t>VS17</t>
        </is>
      </c>
      <c r="C3962" s="28" t="n">
        <v>0.0297</v>
      </c>
      <c r="D3962" s="12" t="inlineStr">
        <is>
          <t>PO-2021-0736</t>
        </is>
      </c>
      <c r="E3962" s="12" t="n">
        <v>4.7</v>
      </c>
      <c r="F3962" s="17" t="n">
        <v>116889.51</v>
      </c>
      <c r="G3962" s="14">
        <f>E3962*F3962</f>
        <v/>
      </c>
      <c r="H3962" s="14">
        <f>C3962*G3962</f>
        <v/>
      </c>
    </row>
    <row r="3963">
      <c r="A3963" s="12" t="inlineStr">
        <is>
          <t>RET-0297</t>
        </is>
      </c>
      <c r="B3963" s="12" t="inlineStr">
        <is>
          <t>VS18</t>
        </is>
      </c>
      <c r="C3963" s="28" t="n">
        <v>0.0207</v>
      </c>
      <c r="D3963" s="12" t="inlineStr">
        <is>
          <t>PO-2023-3801</t>
        </is>
      </c>
      <c r="E3963" s="12" t="n">
        <v>4.7</v>
      </c>
      <c r="F3963" s="17" t="n">
        <v>83447.23</v>
      </c>
      <c r="G3963" s="14">
        <f>E3963*F3963</f>
        <v/>
      </c>
      <c r="H3963" s="14">
        <f>C3963*G3963</f>
        <v/>
      </c>
    </row>
    <row r="3964">
      <c r="A3964" s="12" t="inlineStr">
        <is>
          <t>RET-0297</t>
        </is>
      </c>
      <c r="B3964" s="12" t="inlineStr">
        <is>
          <t>VS19</t>
        </is>
      </c>
      <c r="C3964" s="28" t="n">
        <v>0.1343</v>
      </c>
      <c r="D3964" s="12" t="inlineStr">
        <is>
          <t>PO-2021-0903</t>
        </is>
      </c>
      <c r="E3964" s="12" t="n">
        <v>4.7</v>
      </c>
      <c r="F3964" s="17" t="n">
        <v>71087.45</v>
      </c>
      <c r="G3964" s="14">
        <f>E3964*F3964</f>
        <v/>
      </c>
      <c r="H3964" s="14">
        <f>C3964*G3964</f>
        <v/>
      </c>
    </row>
    <row r="3965">
      <c r="A3965" s="12" t="inlineStr">
        <is>
          <t>RET-0297</t>
        </is>
      </c>
      <c r="B3965" s="12" t="inlineStr">
        <is>
          <t>VS20</t>
        </is>
      </c>
      <c r="C3965" s="28" t="n">
        <v>0.0115</v>
      </c>
      <c r="D3965" s="12" t="inlineStr">
        <is>
          <t>PO-2021-0807</t>
        </is>
      </c>
      <c r="E3965" s="12" t="n">
        <v>4.7</v>
      </c>
      <c r="F3965" s="17" t="n">
        <v>68617.85000000001</v>
      </c>
      <c r="G3965" s="14">
        <f>E3965*F3965</f>
        <v/>
      </c>
      <c r="H3965" s="14">
        <f>C3965*G3965</f>
        <v/>
      </c>
    </row>
    <row r="3966">
      <c r="A3966" s="12" t="inlineStr">
        <is>
          <t>RET-0297</t>
        </is>
      </c>
      <c r="B3966" s="12" t="inlineStr">
        <is>
          <t>VS21</t>
        </is>
      </c>
      <c r="C3966" s="28" t="n">
        <v>0.0115</v>
      </c>
      <c r="D3966" s="12" t="inlineStr">
        <is>
          <t>PO-2023-3540</t>
        </is>
      </c>
      <c r="E3966" s="12" t="n">
        <v>4.7</v>
      </c>
      <c r="F3966" s="17" t="n">
        <v>65176.16</v>
      </c>
      <c r="G3966" s="14">
        <f>E3966*F3966</f>
        <v/>
      </c>
      <c r="H3966" s="14">
        <f>C3966*G3966</f>
        <v/>
      </c>
    </row>
    <row r="3967">
      <c r="A3967" s="12" t="inlineStr">
        <is>
          <t>RET-0297</t>
        </is>
      </c>
      <c r="B3967" s="12" t="inlineStr">
        <is>
          <t>VS22</t>
        </is>
      </c>
      <c r="C3967" s="28" t="n">
        <v>0.0069</v>
      </c>
      <c r="D3967" s="12" t="inlineStr">
        <is>
          <t>PO-2021-0563</t>
        </is>
      </c>
      <c r="E3967" s="12" t="n">
        <v>4.7</v>
      </c>
      <c r="F3967" s="17" t="n">
        <v>92873.52</v>
      </c>
      <c r="G3967" s="14">
        <f>E3967*F3967</f>
        <v/>
      </c>
      <c r="H3967" s="14">
        <f>C3967*G3967</f>
        <v/>
      </c>
    </row>
    <row r="3968">
      <c r="A3968" s="12" t="inlineStr">
        <is>
          <t>RET-0297</t>
        </is>
      </c>
      <c r="B3968" s="12" t="inlineStr">
        <is>
          <t>VS23</t>
        </is>
      </c>
      <c r="C3968" s="28" t="n">
        <v>0.0114</v>
      </c>
      <c r="D3968" s="12" t="inlineStr">
        <is>
          <t>PO-2022-2956</t>
        </is>
      </c>
      <c r="E3968" s="12" t="n">
        <v>4.7</v>
      </c>
      <c r="F3968" s="17" t="n">
        <v>75497.32000000001</v>
      </c>
      <c r="G3968" s="14">
        <f>E3968*F3968</f>
        <v/>
      </c>
      <c r="H3968" s="14">
        <f>C3968*G3968</f>
        <v/>
      </c>
    </row>
    <row r="3969">
      <c r="A3969" s="12" t="inlineStr">
        <is>
          <t>RET-0297</t>
        </is>
      </c>
      <c r="B3969" s="12" t="inlineStr">
        <is>
          <t>VS24</t>
        </is>
      </c>
      <c r="C3969" s="28" t="n">
        <v>0.0115</v>
      </c>
      <c r="D3969" s="12" t="inlineStr">
        <is>
          <t>PO-2023-4470</t>
        </is>
      </c>
      <c r="E3969" s="12" t="n">
        <v>4.7</v>
      </c>
      <c r="F3969" s="17" t="n">
        <v>102821.12</v>
      </c>
      <c r="G3969" s="14">
        <f>E3969*F3969</f>
        <v/>
      </c>
      <c r="H3969" s="14">
        <f>C3969*G3969</f>
        <v/>
      </c>
    </row>
    <row r="3970">
      <c r="A3970" s="12" t="inlineStr">
        <is>
          <t>RET-0297</t>
        </is>
      </c>
      <c r="B3970" s="12" t="inlineStr">
        <is>
          <t>VS25</t>
        </is>
      </c>
      <c r="C3970" s="28" t="n">
        <v>0.0208</v>
      </c>
      <c r="D3970" s="12" t="inlineStr">
        <is>
          <t>PO-2021-1004</t>
        </is>
      </c>
      <c r="E3970" s="12" t="n">
        <v>4.58</v>
      </c>
      <c r="F3970" s="17" t="n">
        <v>88881.92</v>
      </c>
      <c r="G3970" s="14">
        <f>E3970*F3970</f>
        <v/>
      </c>
      <c r="H3970" s="14">
        <f>C3970*G3970</f>
        <v/>
      </c>
    </row>
    <row r="3971">
      <c r="A3971" s="12" t="inlineStr">
        <is>
          <t>RET-0297</t>
        </is>
      </c>
      <c r="B3971" s="12" t="inlineStr">
        <is>
          <t>VS26</t>
        </is>
      </c>
      <c r="C3971" s="28" t="n">
        <v>0.0116</v>
      </c>
      <c r="D3971" s="12" t="inlineStr">
        <is>
          <t>PO-2023-3267</t>
        </is>
      </c>
      <c r="E3971" s="12" t="n">
        <v>4.7</v>
      </c>
      <c r="F3971" s="17" t="n">
        <v>63184.35</v>
      </c>
      <c r="G3971" s="14">
        <f>E3971*F3971</f>
        <v/>
      </c>
      <c r="H3971" s="14">
        <f>C3971*G3971</f>
        <v/>
      </c>
    </row>
    <row r="3972">
      <c r="A3972" s="12" t="inlineStr">
        <is>
          <t>RET-0297</t>
        </is>
      </c>
      <c r="B3972" s="12" t="inlineStr">
        <is>
          <t>VS27</t>
        </is>
      </c>
      <c r="C3972" s="28" t="n">
        <v>0.0114</v>
      </c>
      <c r="D3972" s="12" t="inlineStr">
        <is>
          <t>PO-2022-1742</t>
        </is>
      </c>
      <c r="E3972" s="12" t="n">
        <v>4.7</v>
      </c>
      <c r="F3972" s="17" t="n">
        <v>55622.48</v>
      </c>
      <c r="G3972" s="14">
        <f>E3972*F3972</f>
        <v/>
      </c>
      <c r="H3972" s="14">
        <f>C3972*G3972</f>
        <v/>
      </c>
    </row>
    <row r="3973">
      <c r="A3973" s="12" t="inlineStr">
        <is>
          <t>RET-0297</t>
        </is>
      </c>
      <c r="B3973" s="12" t="inlineStr">
        <is>
          <t>VS28</t>
        </is>
      </c>
      <c r="C3973" s="28" t="n">
        <v>0.0254</v>
      </c>
      <c r="D3973" s="12" t="inlineStr">
        <is>
          <t>PO-2021-0042</t>
        </is>
      </c>
      <c r="E3973" s="12" t="n">
        <v>4.7</v>
      </c>
      <c r="F3973" s="17" t="n">
        <v>116847.45</v>
      </c>
      <c r="G3973" s="14">
        <f>E3973*F3973</f>
        <v/>
      </c>
      <c r="H3973" s="14">
        <f>C3973*G3973</f>
        <v/>
      </c>
    </row>
    <row r="3974">
      <c r="A3974" s="12" t="inlineStr">
        <is>
          <t>RET-0297</t>
        </is>
      </c>
      <c r="B3974" s="12" t="inlineStr">
        <is>
          <t>VS29</t>
        </is>
      </c>
      <c r="C3974" s="28" t="n">
        <v>0.0161</v>
      </c>
      <c r="D3974" s="12" t="inlineStr">
        <is>
          <t>PO-2023-4055</t>
        </is>
      </c>
      <c r="E3974" s="12" t="n">
        <v>4.7</v>
      </c>
      <c r="F3974" s="17" t="n">
        <v>74512.71000000001</v>
      </c>
      <c r="G3974" s="14">
        <f>E3974*F3974</f>
        <v/>
      </c>
      <c r="H3974" s="14">
        <f>C3974*G3974</f>
        <v/>
      </c>
    </row>
    <row r="3975">
      <c r="A3975" s="12" t="inlineStr">
        <is>
          <t>RET-0297</t>
        </is>
      </c>
      <c r="B3975" s="12" t="inlineStr">
        <is>
          <t>VS30</t>
        </is>
      </c>
      <c r="C3975" s="28" t="n">
        <v>0.0069</v>
      </c>
      <c r="D3975" s="12" t="inlineStr">
        <is>
          <t>PO-2023-4734</t>
        </is>
      </c>
      <c r="E3975" s="12" t="n">
        <v>4.7</v>
      </c>
      <c r="F3975" s="17" t="n">
        <v>91092.12</v>
      </c>
      <c r="G3975" s="14">
        <f>E3975*F3975</f>
        <v/>
      </c>
      <c r="H3975" s="14">
        <f>C3975*G3975</f>
        <v/>
      </c>
    </row>
    <row r="3976">
      <c r="A3976" s="12" t="inlineStr">
        <is>
          <t>RET-0297</t>
        </is>
      </c>
      <c r="B3976" s="12" t="inlineStr">
        <is>
          <t>VS31</t>
        </is>
      </c>
      <c r="C3976" s="28" t="n">
        <v>0.0253</v>
      </c>
      <c r="D3976" s="12" t="inlineStr">
        <is>
          <t>PO-2022-2751</t>
        </is>
      </c>
      <c r="E3976" s="12" t="n">
        <v>1.05</v>
      </c>
      <c r="F3976" s="17" t="n">
        <v>95078.73</v>
      </c>
      <c r="G3976" s="14">
        <f>E3976*F3976</f>
        <v/>
      </c>
      <c r="H3976" s="14">
        <f>C3976*G3976</f>
        <v/>
      </c>
    </row>
    <row r="3977">
      <c r="A3977" s="12" t="inlineStr">
        <is>
          <t>RET-0297</t>
        </is>
      </c>
      <c r="B3977" s="12" t="inlineStr">
        <is>
          <t>VS32</t>
        </is>
      </c>
      <c r="C3977" s="28" t="n">
        <v>0.0301</v>
      </c>
      <c r="D3977" s="12" t="inlineStr">
        <is>
          <t>PO-2021-0985</t>
        </is>
      </c>
      <c r="E3977" s="12" t="n">
        <v>4.07</v>
      </c>
      <c r="F3977" s="17" t="n">
        <v>60198.09</v>
      </c>
      <c r="G3977" s="14">
        <f>E3977*F3977</f>
        <v/>
      </c>
      <c r="H3977" s="14">
        <f>C3977*G3977</f>
        <v/>
      </c>
    </row>
    <row r="3978">
      <c r="A3978" s="12" t="inlineStr">
        <is>
          <t>RET-0297</t>
        </is>
      </c>
      <c r="B3978" s="12" t="inlineStr">
        <is>
          <t>VS33</t>
        </is>
      </c>
      <c r="C3978" s="28" t="n">
        <v>0.016</v>
      </c>
      <c r="D3978" s="12" t="inlineStr">
        <is>
          <t>PO-2021-1071</t>
        </is>
      </c>
      <c r="E3978" s="12" t="n">
        <v>4.7</v>
      </c>
      <c r="F3978" s="17" t="n">
        <v>104633.01</v>
      </c>
      <c r="G3978" s="14">
        <f>E3978*F3978</f>
        <v/>
      </c>
      <c r="H3978" s="14">
        <f>C3978*G3978</f>
        <v/>
      </c>
    </row>
    <row r="3979">
      <c r="A3979" s="12" t="inlineStr">
        <is>
          <t>RET-0297</t>
        </is>
      </c>
      <c r="B3979" s="12" t="inlineStr">
        <is>
          <t>VS34</t>
        </is>
      </c>
      <c r="C3979" s="28" t="n">
        <v>0.0207</v>
      </c>
      <c r="D3979" s="12" t="inlineStr">
        <is>
          <t>PO-2021-0820</t>
        </is>
      </c>
      <c r="E3979" s="12" t="n">
        <v>4.7</v>
      </c>
      <c r="F3979" s="17" t="n">
        <v>64969.28</v>
      </c>
      <c r="G3979" s="14">
        <f>E3979*F3979</f>
        <v/>
      </c>
      <c r="H3979" s="14">
        <f>C3979*G3979</f>
        <v/>
      </c>
    </row>
    <row r="3980">
      <c r="A3980" s="12" t="inlineStr">
        <is>
          <t>RET-0300</t>
        </is>
      </c>
      <c r="B3980" s="12" t="inlineStr">
        <is>
          <t>VS01</t>
        </is>
      </c>
      <c r="C3980" s="28" t="n">
        <v>0.0105</v>
      </c>
      <c r="D3980" s="12" t="inlineStr">
        <is>
          <t>PO-2021-0351</t>
        </is>
      </c>
      <c r="E3980" s="12" t="n">
        <v>0.48</v>
      </c>
      <c r="F3980" s="17" t="n">
        <v>92302.62</v>
      </c>
      <c r="G3980" s="14">
        <f>E3980*F3980</f>
        <v/>
      </c>
      <c r="H3980" s="14">
        <f>C3980*G3980</f>
        <v/>
      </c>
    </row>
    <row r="3981">
      <c r="A3981" s="12" t="inlineStr">
        <is>
          <t>RET-0300</t>
        </is>
      </c>
      <c r="B3981" s="12" t="inlineStr">
        <is>
          <t>VS02</t>
        </is>
      </c>
      <c r="C3981" s="28" t="n">
        <v>0.0048</v>
      </c>
      <c r="D3981" s="12" t="inlineStr">
        <is>
          <t>PO-2021-1278</t>
        </is>
      </c>
      <c r="E3981" s="12" t="n">
        <v>0.48</v>
      </c>
      <c r="F3981" s="17" t="n">
        <v>113530.13</v>
      </c>
      <c r="G3981" s="14">
        <f>E3981*F3981</f>
        <v/>
      </c>
      <c r="H3981" s="14">
        <f>C3981*G3981</f>
        <v/>
      </c>
    </row>
    <row r="3982">
      <c r="A3982" s="12" t="inlineStr">
        <is>
          <t>RET-0300</t>
        </is>
      </c>
      <c r="B3982" s="12" t="inlineStr">
        <is>
          <t>VS03</t>
        </is>
      </c>
      <c r="C3982" s="28" t="n">
        <v>0.2239</v>
      </c>
      <c r="D3982" s="12" t="inlineStr">
        <is>
          <t>PO-2023-4021</t>
        </is>
      </c>
      <c r="E3982" s="12" t="n">
        <v>0.48</v>
      </c>
      <c r="F3982" s="17" t="n">
        <v>68073.14999999999</v>
      </c>
      <c r="G3982" s="14">
        <f>E3982*F3982</f>
        <v/>
      </c>
      <c r="H3982" s="14">
        <f>C3982*G3982</f>
        <v/>
      </c>
    </row>
    <row r="3983">
      <c r="A3983" s="12" t="inlineStr">
        <is>
          <t>RET-0300</t>
        </is>
      </c>
      <c r="B3983" s="12" t="inlineStr">
        <is>
          <t>VS04</t>
        </is>
      </c>
      <c r="C3983" s="28" t="n">
        <v>0.0066</v>
      </c>
      <c r="D3983" s="12" t="inlineStr">
        <is>
          <t>PO-2022-3116</t>
        </is>
      </c>
      <c r="E3983" s="12" t="n">
        <v>0.48</v>
      </c>
      <c r="F3983" s="17" t="n">
        <v>87704.59</v>
      </c>
      <c r="G3983" s="14">
        <f>E3983*F3983</f>
        <v/>
      </c>
      <c r="H3983" s="14">
        <f>C3983*G3983</f>
        <v/>
      </c>
    </row>
    <row r="3984">
      <c r="A3984" s="12" t="inlineStr">
        <is>
          <t>RET-0300</t>
        </is>
      </c>
      <c r="B3984" s="12" t="inlineStr">
        <is>
          <t>VS05</t>
        </is>
      </c>
      <c r="C3984" s="28" t="n">
        <v>0.008500000000000001</v>
      </c>
      <c r="D3984" s="12" t="inlineStr">
        <is>
          <t>PO-2023-3942</t>
        </is>
      </c>
      <c r="E3984" s="12" t="n">
        <v>0.48</v>
      </c>
      <c r="F3984" s="17" t="n">
        <v>62096.49</v>
      </c>
      <c r="G3984" s="14">
        <f>E3984*F3984</f>
        <v/>
      </c>
      <c r="H3984" s="14">
        <f>C3984*G3984</f>
        <v/>
      </c>
    </row>
    <row r="3985">
      <c r="A3985" s="12" t="inlineStr">
        <is>
          <t>RET-0300</t>
        </is>
      </c>
      <c r="B3985" s="12" t="inlineStr">
        <is>
          <t>VS06</t>
        </is>
      </c>
      <c r="C3985" s="28" t="n">
        <v>0.0086</v>
      </c>
      <c r="D3985" s="12" t="inlineStr">
        <is>
          <t>PO-2021-0008</t>
        </is>
      </c>
      <c r="E3985" s="12" t="n">
        <v>0.48</v>
      </c>
      <c r="F3985" s="17" t="n">
        <v>87392.02</v>
      </c>
      <c r="G3985" s="14">
        <f>E3985*F3985</f>
        <v/>
      </c>
      <c r="H3985" s="14">
        <f>C3985*G3985</f>
        <v/>
      </c>
    </row>
    <row r="3986">
      <c r="A3986" s="12" t="inlineStr">
        <is>
          <t>RET-0300</t>
        </is>
      </c>
      <c r="B3986" s="12" t="inlineStr">
        <is>
          <t>VS07</t>
        </is>
      </c>
      <c r="C3986" s="28" t="n">
        <v>0.0029</v>
      </c>
      <c r="D3986" s="12" t="inlineStr">
        <is>
          <t>PO-2023-3980</t>
        </is>
      </c>
      <c r="E3986" s="12" t="n">
        <v>0.48</v>
      </c>
      <c r="F3986" s="17" t="n">
        <v>112565.13</v>
      </c>
      <c r="G3986" s="14">
        <f>E3986*F3986</f>
        <v/>
      </c>
      <c r="H3986" s="14">
        <f>C3986*G3986</f>
        <v/>
      </c>
    </row>
    <row r="3987">
      <c r="A3987" s="12" t="inlineStr">
        <is>
          <t>RET-0300</t>
        </is>
      </c>
      <c r="B3987" s="12" t="inlineStr">
        <is>
          <t>VS08</t>
        </is>
      </c>
      <c r="C3987" s="28" t="n">
        <v>0.008699999999999999</v>
      </c>
      <c r="D3987" s="12" t="inlineStr">
        <is>
          <t>PO-2021-1072</t>
        </is>
      </c>
      <c r="E3987" s="12" t="n">
        <v>0.48</v>
      </c>
      <c r="F3987" s="17" t="n">
        <v>50730.02</v>
      </c>
      <c r="G3987" s="14">
        <f>E3987*F3987</f>
        <v/>
      </c>
      <c r="H3987" s="14">
        <f>C3987*G3987</f>
        <v/>
      </c>
    </row>
    <row r="3988">
      <c r="A3988" s="12" t="inlineStr">
        <is>
          <t>RET-0300</t>
        </is>
      </c>
      <c r="B3988" s="12" t="inlineStr">
        <is>
          <t>VS09</t>
        </is>
      </c>
      <c r="C3988" s="28" t="n">
        <v>0.0066</v>
      </c>
      <c r="D3988" s="12" t="inlineStr">
        <is>
          <t>PO-2023-3686</t>
        </is>
      </c>
      <c r="E3988" s="12" t="n">
        <v>0.48</v>
      </c>
      <c r="F3988" s="17" t="n">
        <v>78942.19</v>
      </c>
      <c r="G3988" s="14">
        <f>E3988*F3988</f>
        <v/>
      </c>
      <c r="H3988" s="14">
        <f>C3988*G3988</f>
        <v/>
      </c>
    </row>
    <row r="3989">
      <c r="A3989" s="12" t="inlineStr">
        <is>
          <t>RET-0300</t>
        </is>
      </c>
      <c r="B3989" s="12" t="inlineStr">
        <is>
          <t>VS10</t>
        </is>
      </c>
      <c r="C3989" s="28" t="n">
        <v>0.0104</v>
      </c>
      <c r="D3989" s="12" t="inlineStr">
        <is>
          <t>PO-2023-4069</t>
        </is>
      </c>
      <c r="E3989" s="12" t="n">
        <v>0.48</v>
      </c>
      <c r="F3989" s="17" t="n">
        <v>92581.12</v>
      </c>
      <c r="G3989" s="14">
        <f>E3989*F3989</f>
        <v/>
      </c>
      <c r="H3989" s="14">
        <f>C3989*G3989</f>
        <v/>
      </c>
    </row>
    <row r="3990">
      <c r="A3990" s="12" t="inlineStr">
        <is>
          <t>RET-0300</t>
        </is>
      </c>
      <c r="B3990" s="12" t="inlineStr">
        <is>
          <t>VS11</t>
        </is>
      </c>
      <c r="C3990" s="28" t="n">
        <v>0.0122</v>
      </c>
      <c r="D3990" s="12" t="inlineStr">
        <is>
          <t>PO-2022-1668</t>
        </is>
      </c>
      <c r="E3990" s="12" t="n">
        <v>0.48</v>
      </c>
      <c r="F3990" s="17" t="n">
        <v>98251.86</v>
      </c>
      <c r="G3990" s="14">
        <f>E3990*F3990</f>
        <v/>
      </c>
      <c r="H3990" s="14">
        <f>C3990*G3990</f>
        <v/>
      </c>
    </row>
    <row r="3991">
      <c r="A3991" s="12" t="inlineStr">
        <is>
          <t>RET-0300</t>
        </is>
      </c>
      <c r="B3991" s="12" t="inlineStr">
        <is>
          <t>VS12</t>
        </is>
      </c>
      <c r="C3991" s="28" t="n">
        <v>0.3112</v>
      </c>
      <c r="D3991" s="12" t="inlineStr">
        <is>
          <t>PO-2022-2649</t>
        </is>
      </c>
      <c r="E3991" s="12" t="n">
        <v>0.48</v>
      </c>
      <c r="F3991" s="17" t="n">
        <v>106424.57</v>
      </c>
      <c r="G3991" s="14">
        <f>E3991*F3991</f>
        <v/>
      </c>
      <c r="H3991" s="14">
        <f>C3991*G3991</f>
        <v/>
      </c>
    </row>
    <row r="3992">
      <c r="A3992" s="12" t="inlineStr">
        <is>
          <t>RET-0300</t>
        </is>
      </c>
      <c r="B3992" s="12" t="inlineStr">
        <is>
          <t>VS13</t>
        </is>
      </c>
      <c r="C3992" s="28" t="n">
        <v>0.008399999999999999</v>
      </c>
      <c r="D3992" s="12" t="inlineStr">
        <is>
          <t>PO-2022-2521</t>
        </is>
      </c>
      <c r="E3992" s="12" t="n">
        <v>0.48</v>
      </c>
      <c r="F3992" s="17" t="n">
        <v>76319.17999999999</v>
      </c>
      <c r="G3992" s="14">
        <f>E3992*F3992</f>
        <v/>
      </c>
      <c r="H3992" s="14">
        <f>C3992*G3992</f>
        <v/>
      </c>
    </row>
    <row r="3993">
      <c r="A3993" s="12" t="inlineStr">
        <is>
          <t>RET-0300</t>
        </is>
      </c>
      <c r="B3993" s="12" t="inlineStr">
        <is>
          <t>VS14</t>
        </is>
      </c>
      <c r="C3993" s="28" t="n">
        <v>0.008500000000000001</v>
      </c>
      <c r="D3993" s="12" t="inlineStr">
        <is>
          <t>PO-2023-3929</t>
        </is>
      </c>
      <c r="E3993" s="12" t="n">
        <v>0.48</v>
      </c>
      <c r="F3993" s="17" t="n">
        <v>111388.1</v>
      </c>
      <c r="G3993" s="14">
        <f>E3993*F3993</f>
        <v/>
      </c>
      <c r="H3993" s="14">
        <f>C3993*G3993</f>
        <v/>
      </c>
    </row>
    <row r="3994">
      <c r="A3994" s="12" t="inlineStr">
        <is>
          <t>RET-0300</t>
        </is>
      </c>
      <c r="B3994" s="12" t="inlineStr">
        <is>
          <t>VS15</t>
        </is>
      </c>
      <c r="C3994" s="28" t="n">
        <v>0.0028</v>
      </c>
      <c r="D3994" s="12" t="inlineStr">
        <is>
          <t>PO-2021-1306</t>
        </is>
      </c>
      <c r="E3994" s="12" t="n">
        <v>0.48</v>
      </c>
      <c r="F3994" s="17" t="n">
        <v>113774.64</v>
      </c>
      <c r="G3994" s="14">
        <f>E3994*F3994</f>
        <v/>
      </c>
      <c r="H3994" s="14">
        <f>C3994*G3994</f>
        <v/>
      </c>
    </row>
    <row r="3995">
      <c r="A3995" s="12" t="inlineStr">
        <is>
          <t>RET-0300</t>
        </is>
      </c>
      <c r="B3995" s="12" t="inlineStr">
        <is>
          <t>VS16</t>
        </is>
      </c>
      <c r="C3995" s="28" t="n">
        <v>0.0123</v>
      </c>
      <c r="D3995" s="12" t="inlineStr">
        <is>
          <t>PO-2021-0926</t>
        </is>
      </c>
      <c r="E3995" s="12" t="n">
        <v>0.48</v>
      </c>
      <c r="F3995" s="17" t="n">
        <v>74570.12</v>
      </c>
      <c r="G3995" s="14">
        <f>E3995*F3995</f>
        <v/>
      </c>
      <c r="H3995" s="14">
        <f>C3995*G3995</f>
        <v/>
      </c>
    </row>
    <row r="3996">
      <c r="A3996" s="12" t="inlineStr">
        <is>
          <t>RET-0300</t>
        </is>
      </c>
      <c r="B3996" s="12" t="inlineStr">
        <is>
          <t>VS17</t>
        </is>
      </c>
      <c r="C3996" s="28" t="n">
        <v>0.0122</v>
      </c>
      <c r="D3996" s="12" t="inlineStr">
        <is>
          <t>PO-2023-4706</t>
        </is>
      </c>
      <c r="E3996" s="12" t="n">
        <v>0.48</v>
      </c>
      <c r="F3996" s="17" t="n">
        <v>48698.6</v>
      </c>
      <c r="G3996" s="14">
        <f>E3996*F3996</f>
        <v/>
      </c>
      <c r="H3996" s="14">
        <f>C3996*G3996</f>
        <v/>
      </c>
    </row>
    <row r="3997">
      <c r="A3997" s="12" t="inlineStr">
        <is>
          <t>RET-0300</t>
        </is>
      </c>
      <c r="B3997" s="12" t="inlineStr">
        <is>
          <t>VS18</t>
        </is>
      </c>
      <c r="C3997" s="28" t="n">
        <v>0.008500000000000001</v>
      </c>
      <c r="D3997" s="12" t="inlineStr">
        <is>
          <t>PO-2023-3755</t>
        </is>
      </c>
      <c r="E3997" s="12" t="n">
        <v>0.48</v>
      </c>
      <c r="F3997" s="17" t="n">
        <v>80503.61</v>
      </c>
      <c r="G3997" s="14">
        <f>E3997*F3997</f>
        <v/>
      </c>
      <c r="H3997" s="14">
        <f>C3997*G3997</f>
        <v/>
      </c>
    </row>
    <row r="3998">
      <c r="A3998" s="12" t="inlineStr">
        <is>
          <t>RET-0300</t>
        </is>
      </c>
      <c r="B3998" s="12" t="inlineStr">
        <is>
          <t>VS19</t>
        </is>
      </c>
      <c r="C3998" s="28" t="n">
        <v>0.2348</v>
      </c>
      <c r="D3998" s="12" t="inlineStr">
        <is>
          <t>PO-2022-1659</t>
        </is>
      </c>
      <c r="E3998" s="12" t="n">
        <v>0.48</v>
      </c>
      <c r="F3998" s="17" t="n">
        <v>107396.66</v>
      </c>
      <c r="G3998" s="14">
        <f>E3998*F3998</f>
        <v/>
      </c>
      <c r="H3998" s="14">
        <f>C3998*G3998</f>
        <v/>
      </c>
    </row>
    <row r="3999">
      <c r="A3999" s="12" t="inlineStr">
        <is>
          <t>RET-0300</t>
        </is>
      </c>
      <c r="B3999" s="12" t="inlineStr">
        <is>
          <t>VS20</t>
        </is>
      </c>
      <c r="C3999" s="28" t="n">
        <v>0.0048</v>
      </c>
      <c r="D3999" s="12" t="inlineStr">
        <is>
          <t>PO-2023-3590</t>
        </is>
      </c>
      <c r="E3999" s="12" t="n">
        <v>0.48</v>
      </c>
      <c r="F3999" s="17" t="n">
        <v>101542.5</v>
      </c>
      <c r="G3999" s="14">
        <f>E3999*F3999</f>
        <v/>
      </c>
      <c r="H3999" s="14">
        <f>C3999*G3999</f>
        <v/>
      </c>
    </row>
    <row r="4000">
      <c r="A4000" s="12" t="inlineStr">
        <is>
          <t>RET-0300</t>
        </is>
      </c>
      <c r="B4000" s="12" t="inlineStr">
        <is>
          <t>VS21</t>
        </is>
      </c>
      <c r="C4000" s="28" t="n">
        <v>0.0047</v>
      </c>
      <c r="D4000" s="12" t="inlineStr">
        <is>
          <t>PO-2021-1302</t>
        </is>
      </c>
      <c r="E4000" s="12" t="n">
        <v>0.48</v>
      </c>
      <c r="F4000" s="17" t="n">
        <v>75515.69</v>
      </c>
      <c r="G4000" s="14">
        <f>E4000*F4000</f>
        <v/>
      </c>
      <c r="H4000" s="14">
        <f>C4000*G4000</f>
        <v/>
      </c>
    </row>
    <row r="4001">
      <c r="A4001" s="12" t="inlineStr">
        <is>
          <t>RET-0300</t>
        </is>
      </c>
      <c r="B4001" s="12" t="inlineStr">
        <is>
          <t>VS22</t>
        </is>
      </c>
      <c r="C4001" s="28" t="n">
        <v>0.0028</v>
      </c>
      <c r="D4001" s="12" t="inlineStr">
        <is>
          <t>PO-2021-1034</t>
        </is>
      </c>
      <c r="E4001" s="12" t="n">
        <v>0.48</v>
      </c>
      <c r="F4001" s="17" t="n">
        <v>94182.03999999999</v>
      </c>
      <c r="G4001" s="14">
        <f>E4001*F4001</f>
        <v/>
      </c>
      <c r="H4001" s="14">
        <f>C4001*G4001</f>
        <v/>
      </c>
    </row>
    <row r="4002">
      <c r="A4002" s="12" t="inlineStr">
        <is>
          <t>RET-0300</t>
        </is>
      </c>
      <c r="B4002" s="12" t="inlineStr">
        <is>
          <t>VS23</t>
        </is>
      </c>
      <c r="C4002" s="28" t="n">
        <v>0.0047</v>
      </c>
      <c r="D4002" s="12" t="inlineStr">
        <is>
          <t>PO-2023-4179</t>
        </is>
      </c>
      <c r="E4002" s="12" t="n">
        <v>0.48</v>
      </c>
      <c r="F4002" s="17" t="n">
        <v>66174.49000000001</v>
      </c>
      <c r="G4002" s="14">
        <f>E4002*F4002</f>
        <v/>
      </c>
      <c r="H4002" s="14">
        <f>C4002*G4002</f>
        <v/>
      </c>
    </row>
    <row r="4003">
      <c r="A4003" s="12" t="inlineStr">
        <is>
          <t>RET-0300</t>
        </is>
      </c>
      <c r="B4003" s="12" t="inlineStr">
        <is>
          <t>VS24</t>
        </is>
      </c>
      <c r="C4003" s="28" t="n">
        <v>0.0047</v>
      </c>
      <c r="D4003" s="12" t="inlineStr">
        <is>
          <t>PO-2023-3738</t>
        </is>
      </c>
      <c r="E4003" s="12" t="n">
        <v>0.48</v>
      </c>
      <c r="F4003" s="17" t="n">
        <v>50006.5</v>
      </c>
      <c r="G4003" s="14">
        <f>E4003*F4003</f>
        <v/>
      </c>
      <c r="H4003" s="14">
        <f>C4003*G4003</f>
        <v/>
      </c>
    </row>
    <row r="4004">
      <c r="A4004" s="12" t="inlineStr">
        <is>
          <t>RET-0300</t>
        </is>
      </c>
      <c r="B4004" s="12" t="inlineStr">
        <is>
          <t>VS25</t>
        </is>
      </c>
      <c r="C4004" s="28" t="n">
        <v>0.0086</v>
      </c>
      <c r="D4004" s="12" t="inlineStr">
        <is>
          <t>PO-2023-4555</t>
        </is>
      </c>
      <c r="E4004" s="12" t="n">
        <v>0.48</v>
      </c>
      <c r="F4004" s="17" t="n">
        <v>64080.14</v>
      </c>
      <c r="G4004" s="14">
        <f>E4004*F4004</f>
        <v/>
      </c>
      <c r="H4004" s="14">
        <f>C4004*G4004</f>
        <v/>
      </c>
    </row>
    <row r="4005">
      <c r="A4005" s="12" t="inlineStr">
        <is>
          <t>RET-0300</t>
        </is>
      </c>
      <c r="B4005" s="12" t="inlineStr">
        <is>
          <t>VS26</t>
        </is>
      </c>
      <c r="C4005" s="28" t="n">
        <v>0.0048</v>
      </c>
      <c r="D4005" s="12" t="inlineStr">
        <is>
          <t>PO-2021-1157</t>
        </is>
      </c>
      <c r="E4005" s="12" t="n">
        <v>0.48</v>
      </c>
      <c r="F4005" s="17" t="n">
        <v>56193.84</v>
      </c>
      <c r="G4005" s="14">
        <f>E4005*F4005</f>
        <v/>
      </c>
      <c r="H4005" s="14">
        <f>C4005*G4005</f>
        <v/>
      </c>
    </row>
    <row r="4006">
      <c r="A4006" s="12" t="inlineStr">
        <is>
          <t>RET-0300</t>
        </is>
      </c>
      <c r="B4006" s="12" t="inlineStr">
        <is>
          <t>VS27</t>
        </is>
      </c>
      <c r="C4006" s="28" t="n">
        <v>0.0047</v>
      </c>
      <c r="D4006" s="12" t="inlineStr">
        <is>
          <t>PO-2023-4213</t>
        </is>
      </c>
      <c r="E4006" s="12" t="n">
        <v>0.48</v>
      </c>
      <c r="F4006" s="17" t="n">
        <v>48662.92</v>
      </c>
      <c r="G4006" s="14">
        <f>E4006*F4006</f>
        <v/>
      </c>
      <c r="H4006" s="14">
        <f>C4006*G4006</f>
        <v/>
      </c>
    </row>
    <row r="4007">
      <c r="A4007" s="12" t="inlineStr">
        <is>
          <t>RET-0300</t>
        </is>
      </c>
      <c r="B4007" s="12" t="inlineStr">
        <is>
          <t>VS28</t>
        </is>
      </c>
      <c r="C4007" s="28" t="n">
        <v>0.0104</v>
      </c>
      <c r="D4007" s="12" t="inlineStr">
        <is>
          <t>PO-2022-3044</t>
        </is>
      </c>
      <c r="E4007" s="12" t="n">
        <v>0.48</v>
      </c>
      <c r="F4007" s="17" t="n">
        <v>95133.14999999999</v>
      </c>
      <c r="G4007" s="14">
        <f>E4007*F4007</f>
        <v/>
      </c>
      <c r="H4007" s="14">
        <f>C4007*G4007</f>
        <v/>
      </c>
    </row>
    <row r="4008">
      <c r="A4008" s="12" t="inlineStr">
        <is>
          <t>RET-0300</t>
        </is>
      </c>
      <c r="B4008" s="12" t="inlineStr">
        <is>
          <t>VS29</t>
        </is>
      </c>
      <c r="C4008" s="28" t="n">
        <v>0.0066</v>
      </c>
      <c r="D4008" s="12" t="inlineStr">
        <is>
          <t>PO-2022-3194</t>
        </is>
      </c>
      <c r="E4008" s="12" t="n">
        <v>0.48</v>
      </c>
      <c r="F4008" s="17" t="n">
        <v>102773.99</v>
      </c>
      <c r="G4008" s="14">
        <f>E4008*F4008</f>
        <v/>
      </c>
      <c r="H4008" s="14">
        <f>C4008*G4008</f>
        <v/>
      </c>
    </row>
    <row r="4009">
      <c r="A4009" s="12" t="inlineStr">
        <is>
          <t>RET-0300</t>
        </is>
      </c>
      <c r="B4009" s="12" t="inlineStr">
        <is>
          <t>VS30</t>
        </is>
      </c>
      <c r="C4009" s="28" t="n">
        <v>0.0029</v>
      </c>
      <c r="D4009" s="12" t="inlineStr">
        <is>
          <t>PO-2021-0801</t>
        </is>
      </c>
      <c r="E4009" s="12" t="n">
        <v>0.48</v>
      </c>
      <c r="F4009" s="17" t="n">
        <v>57510.7</v>
      </c>
      <c r="G4009" s="14">
        <f>E4009*F4009</f>
        <v/>
      </c>
      <c r="H4009" s="14">
        <f>C4009*G4009</f>
        <v/>
      </c>
    </row>
    <row r="4010">
      <c r="A4010" s="12" t="inlineStr">
        <is>
          <t>RET-0300</t>
        </is>
      </c>
      <c r="B4010" s="12" t="inlineStr">
        <is>
          <t>VS31</t>
        </is>
      </c>
      <c r="C4010" s="28" t="n">
        <v>0.0104</v>
      </c>
      <c r="D4010" s="12" t="inlineStr">
        <is>
          <t>PO-2021-1077</t>
        </is>
      </c>
      <c r="E4010" s="12" t="n">
        <v>0.48</v>
      </c>
      <c r="F4010" s="17" t="n">
        <v>53086.3</v>
      </c>
      <c r="G4010" s="14">
        <f>E4010*F4010</f>
        <v/>
      </c>
      <c r="H4010" s="14">
        <f>C4010*G4010</f>
        <v/>
      </c>
    </row>
    <row r="4011">
      <c r="A4011" s="12" t="inlineStr">
        <is>
          <t>RET-0300</t>
        </is>
      </c>
      <c r="B4011" s="12" t="inlineStr">
        <is>
          <t>VS32</t>
        </is>
      </c>
      <c r="C4011" s="28" t="n">
        <v>0.0124</v>
      </c>
      <c r="D4011" s="12" t="inlineStr">
        <is>
          <t>PO-2023-3852</t>
        </is>
      </c>
      <c r="E4011" s="12" t="n">
        <v>0.48</v>
      </c>
      <c r="F4011" s="17" t="n">
        <v>115680.71</v>
      </c>
      <c r="G4011" s="14">
        <f>E4011*F4011</f>
        <v/>
      </c>
      <c r="H4011" s="14">
        <f>C4011*G4011</f>
        <v/>
      </c>
    </row>
    <row r="4012">
      <c r="A4012" s="12" t="inlineStr">
        <is>
          <t>RET-0300</t>
        </is>
      </c>
      <c r="B4012" s="12" t="inlineStr">
        <is>
          <t>VS33</t>
        </is>
      </c>
      <c r="C4012" s="28" t="n">
        <v>0.0066</v>
      </c>
      <c r="D4012" s="12" t="inlineStr">
        <is>
          <t>PO-2021-0695</t>
        </is>
      </c>
      <c r="E4012" s="12" t="n">
        <v>0.48</v>
      </c>
      <c r="F4012" s="17" t="n">
        <v>90413.33</v>
      </c>
      <c r="G4012" s="14">
        <f>E4012*F4012</f>
        <v/>
      </c>
      <c r="H4012" s="14">
        <f>C4012*G4012</f>
        <v/>
      </c>
    </row>
    <row r="4013">
      <c r="A4013" s="12" t="inlineStr">
        <is>
          <t>RET-0300</t>
        </is>
      </c>
      <c r="B4013" s="12" t="inlineStr">
        <is>
          <t>VS34</t>
        </is>
      </c>
      <c r="C4013" s="28" t="n">
        <v>0.008500000000000001</v>
      </c>
      <c r="D4013" s="12" t="inlineStr">
        <is>
          <t>PO-2021-1406</t>
        </is>
      </c>
      <c r="E4013" s="12" t="n">
        <v>0.48</v>
      </c>
      <c r="F4013" s="17" t="n">
        <v>66634.13</v>
      </c>
      <c r="G4013" s="14">
        <f>E4013*F4013</f>
        <v/>
      </c>
      <c r="H4013" s="14">
        <f>C4013*G4013</f>
        <v/>
      </c>
    </row>
    <row r="4014">
      <c r="A4014" s="12" t="inlineStr">
        <is>
          <t>RET-0301</t>
        </is>
      </c>
      <c r="B4014" s="12" t="inlineStr">
        <is>
          <t>VS01</t>
        </is>
      </c>
      <c r="C4014" s="28" t="n">
        <v>0.0254</v>
      </c>
      <c r="D4014" s="12" t="inlineStr">
        <is>
          <t>PO-2023-3417</t>
        </is>
      </c>
      <c r="E4014" s="12" t="n">
        <v>4.15</v>
      </c>
      <c r="F4014" s="17" t="n">
        <v>94380.89999999999</v>
      </c>
      <c r="G4014" s="14">
        <f>E4014*F4014</f>
        <v/>
      </c>
      <c r="H4014" s="14">
        <f>C4014*G4014</f>
        <v/>
      </c>
    </row>
    <row r="4015">
      <c r="A4015" s="12" t="inlineStr">
        <is>
          <t>RET-0301</t>
        </is>
      </c>
      <c r="B4015" s="12" t="inlineStr">
        <is>
          <t>VS02</t>
        </is>
      </c>
      <c r="C4015" s="28" t="n">
        <v>0.0116</v>
      </c>
      <c r="D4015" s="12" t="inlineStr">
        <is>
          <t>PO-2022-1998</t>
        </is>
      </c>
      <c r="E4015" s="12" t="n">
        <v>4.15</v>
      </c>
      <c r="F4015" s="17" t="n">
        <v>58362</v>
      </c>
      <c r="G4015" s="14">
        <f>E4015*F4015</f>
        <v/>
      </c>
      <c r="H4015" s="14">
        <f>C4015*G4015</f>
        <v/>
      </c>
    </row>
    <row r="4016">
      <c r="A4016" s="12" t="inlineStr">
        <is>
          <t>RET-0301</t>
        </is>
      </c>
      <c r="B4016" s="12" t="inlineStr">
        <is>
          <t>VS03</t>
        </is>
      </c>
      <c r="C4016" s="28" t="n">
        <v>0.1281</v>
      </c>
      <c r="D4016" s="12" t="inlineStr">
        <is>
          <t>PO-2021-0177</t>
        </is>
      </c>
      <c r="E4016" s="12" t="n">
        <v>4.15</v>
      </c>
      <c r="F4016" s="17" t="n">
        <v>93547.35000000001</v>
      </c>
      <c r="G4016" s="14">
        <f>E4016*F4016</f>
        <v/>
      </c>
      <c r="H4016" s="14">
        <f>C4016*G4016</f>
        <v/>
      </c>
    </row>
    <row r="4017">
      <c r="A4017" s="12" t="inlineStr">
        <is>
          <t>RET-0301</t>
        </is>
      </c>
      <c r="B4017" s="12" t="inlineStr">
        <is>
          <t>VS04</t>
        </is>
      </c>
      <c r="C4017" s="28" t="n">
        <v>0.016</v>
      </c>
      <c r="D4017" s="12" t="inlineStr">
        <is>
          <t>PO-2023-3614</t>
        </is>
      </c>
      <c r="E4017" s="12" t="n">
        <v>4.15</v>
      </c>
      <c r="F4017" s="17" t="n">
        <v>115912.01</v>
      </c>
      <c r="G4017" s="14">
        <f>E4017*F4017</f>
        <v/>
      </c>
      <c r="H4017" s="14">
        <f>C4017*G4017</f>
        <v/>
      </c>
    </row>
    <row r="4018">
      <c r="A4018" s="12" t="inlineStr">
        <is>
          <t>RET-0301</t>
        </is>
      </c>
      <c r="B4018" s="12" t="inlineStr">
        <is>
          <t>VS05</t>
        </is>
      </c>
      <c r="C4018" s="28" t="n">
        <v>0.0207</v>
      </c>
      <c r="D4018" s="12" t="inlineStr">
        <is>
          <t>PO-2022-2584</t>
        </is>
      </c>
      <c r="E4018" s="12" t="n">
        <v>4.15</v>
      </c>
      <c r="F4018" s="17" t="n">
        <v>115034.72</v>
      </c>
      <c r="G4018" s="14">
        <f>E4018*F4018</f>
        <v/>
      </c>
      <c r="H4018" s="14">
        <f>C4018*G4018</f>
        <v/>
      </c>
    </row>
    <row r="4019">
      <c r="A4019" s="12" t="inlineStr">
        <is>
          <t>RET-0301</t>
        </is>
      </c>
      <c r="B4019" s="12" t="inlineStr">
        <is>
          <t>VS06</t>
        </is>
      </c>
      <c r="C4019" s="28" t="n">
        <v>0.0209</v>
      </c>
      <c r="D4019" s="12" t="inlineStr">
        <is>
          <t>PO-2021-0038</t>
        </is>
      </c>
      <c r="E4019" s="12" t="n">
        <v>4.15</v>
      </c>
      <c r="F4019" s="17" t="n">
        <v>61848.05</v>
      </c>
      <c r="G4019" s="14">
        <f>E4019*F4019</f>
        <v/>
      </c>
      <c r="H4019" s="14">
        <f>C4019*G4019</f>
        <v/>
      </c>
    </row>
    <row r="4020">
      <c r="A4020" s="12" t="inlineStr">
        <is>
          <t>RET-0301</t>
        </is>
      </c>
      <c r="B4020" s="12" t="inlineStr">
        <is>
          <t>VS07</t>
        </is>
      </c>
      <c r="C4020" s="28" t="n">
        <v>0.007</v>
      </c>
      <c r="D4020" s="12" t="inlineStr">
        <is>
          <t>PO-2023-4323</t>
        </is>
      </c>
      <c r="E4020" s="12" t="n">
        <v>1.22</v>
      </c>
      <c r="F4020" s="17" t="n">
        <v>85827.64</v>
      </c>
      <c r="G4020" s="14">
        <f>E4020*F4020</f>
        <v/>
      </c>
      <c r="H4020" s="14">
        <f>C4020*G4020</f>
        <v/>
      </c>
    </row>
    <row r="4021">
      <c r="A4021" s="12" t="inlineStr">
        <is>
          <t>RET-0301</t>
        </is>
      </c>
      <c r="B4021" s="12" t="inlineStr">
        <is>
          <t>VS08</t>
        </is>
      </c>
      <c r="C4021" s="28" t="n">
        <v>0.021</v>
      </c>
      <c r="D4021" s="12" t="inlineStr">
        <is>
          <t>PO-2021-0415</t>
        </is>
      </c>
      <c r="E4021" s="12" t="n">
        <v>4.15</v>
      </c>
      <c r="F4021" s="17" t="n">
        <v>100320.97</v>
      </c>
      <c r="G4021" s="14">
        <f>E4021*F4021</f>
        <v/>
      </c>
      <c r="H4021" s="14">
        <f>C4021*G4021</f>
        <v/>
      </c>
    </row>
    <row r="4022">
      <c r="A4022" s="12" t="inlineStr">
        <is>
          <t>RET-0301</t>
        </is>
      </c>
      <c r="B4022" s="12" t="inlineStr">
        <is>
          <t>VS09</t>
        </is>
      </c>
      <c r="C4022" s="28" t="n">
        <v>0.0162</v>
      </c>
      <c r="D4022" s="12" t="inlineStr">
        <is>
          <t>PO-2022-2636</t>
        </is>
      </c>
      <c r="E4022" s="12" t="n">
        <v>4.15</v>
      </c>
      <c r="F4022" s="17" t="n">
        <v>61385.28</v>
      </c>
      <c r="G4022" s="14">
        <f>E4022*F4022</f>
        <v/>
      </c>
      <c r="H4022" s="14">
        <f>C4022*G4022</f>
        <v/>
      </c>
    </row>
    <row r="4023">
      <c r="A4023" s="12" t="inlineStr">
        <is>
          <t>RET-0301</t>
        </is>
      </c>
      <c r="B4023" s="12" t="inlineStr">
        <is>
          <t>VS10</t>
        </is>
      </c>
      <c r="C4023" s="28" t="n">
        <v>0.0254</v>
      </c>
      <c r="D4023" s="12" t="inlineStr">
        <is>
          <t>PO-2021-0981</t>
        </is>
      </c>
      <c r="E4023" s="12" t="n">
        <v>4.15</v>
      </c>
      <c r="F4023" s="17" t="n">
        <v>47765.83</v>
      </c>
      <c r="G4023" s="14">
        <f>E4023*F4023</f>
        <v/>
      </c>
      <c r="H4023" s="14">
        <f>C4023*G4023</f>
        <v/>
      </c>
    </row>
    <row r="4024">
      <c r="A4024" s="12" t="inlineStr">
        <is>
          <t>RET-0301</t>
        </is>
      </c>
      <c r="B4024" s="12" t="inlineStr">
        <is>
          <t>VS11</t>
        </is>
      </c>
      <c r="C4024" s="28" t="n">
        <v>0.0297</v>
      </c>
      <c r="D4024" s="12" t="inlineStr">
        <is>
          <t>PO-2023-3759</t>
        </is>
      </c>
      <c r="E4024" s="12" t="n">
        <v>4.15</v>
      </c>
      <c r="F4024" s="17" t="n">
        <v>77130.05</v>
      </c>
      <c r="G4024" s="14">
        <f>E4024*F4024</f>
        <v/>
      </c>
      <c r="H4024" s="14">
        <f>C4024*G4024</f>
        <v/>
      </c>
    </row>
    <row r="4025">
      <c r="A4025" s="12" t="inlineStr">
        <is>
          <t>RET-0301</t>
        </is>
      </c>
      <c r="B4025" s="12" t="inlineStr">
        <is>
          <t>VS12</t>
        </is>
      </c>
      <c r="C4025" s="28" t="n">
        <v>0.1781</v>
      </c>
      <c r="D4025" s="12" t="inlineStr">
        <is>
          <t>PO-2023-4276</t>
        </is>
      </c>
      <c r="E4025" s="12" t="n">
        <v>4.15</v>
      </c>
      <c r="F4025" s="17" t="n">
        <v>101567.96</v>
      </c>
      <c r="G4025" s="14">
        <f>E4025*F4025</f>
        <v/>
      </c>
      <c r="H4025" s="14">
        <f>C4025*G4025</f>
        <v/>
      </c>
    </row>
    <row r="4026">
      <c r="A4026" s="12" t="inlineStr">
        <is>
          <t>RET-0301</t>
        </is>
      </c>
      <c r="B4026" s="12" t="inlineStr">
        <is>
          <t>VS13</t>
        </is>
      </c>
      <c r="C4026" s="28" t="n">
        <v>0.0205</v>
      </c>
      <c r="D4026" s="12" t="inlineStr">
        <is>
          <t>PO-2022-2617</t>
        </is>
      </c>
      <c r="E4026" s="12" t="n">
        <v>4.15</v>
      </c>
      <c r="F4026" s="17" t="n">
        <v>116185.73</v>
      </c>
      <c r="G4026" s="14">
        <f>E4026*F4026</f>
        <v/>
      </c>
      <c r="H4026" s="14">
        <f>C4026*G4026</f>
        <v/>
      </c>
    </row>
    <row r="4027">
      <c r="A4027" s="12" t="inlineStr">
        <is>
          <t>RET-0301</t>
        </is>
      </c>
      <c r="B4027" s="12" t="inlineStr">
        <is>
          <t>VS14</t>
        </is>
      </c>
      <c r="C4027" s="28" t="n">
        <v>0.0207</v>
      </c>
      <c r="D4027" s="12" t="inlineStr">
        <is>
          <t>PO-2021-0312</t>
        </is>
      </c>
      <c r="E4027" s="12" t="n">
        <v>4.15</v>
      </c>
      <c r="F4027" s="17" t="n">
        <v>89686.08</v>
      </c>
      <c r="G4027" s="14">
        <f>E4027*F4027</f>
        <v/>
      </c>
      <c r="H4027" s="14">
        <f>C4027*G4027</f>
        <v/>
      </c>
    </row>
    <row r="4028">
      <c r="A4028" s="12" t="inlineStr">
        <is>
          <t>RET-0301</t>
        </is>
      </c>
      <c r="B4028" s="12" t="inlineStr">
        <is>
          <t>VS15</t>
        </is>
      </c>
      <c r="C4028" s="28" t="n">
        <v>0.0069</v>
      </c>
      <c r="D4028" s="12" t="inlineStr">
        <is>
          <t>PO-2021-1356</t>
        </is>
      </c>
      <c r="E4028" s="12" t="n">
        <v>4.15</v>
      </c>
      <c r="F4028" s="17" t="n">
        <v>60740.63</v>
      </c>
      <c r="G4028" s="14">
        <f>E4028*F4028</f>
        <v/>
      </c>
      <c r="H4028" s="14">
        <f>C4028*G4028</f>
        <v/>
      </c>
    </row>
    <row r="4029">
      <c r="A4029" s="12" t="inlineStr">
        <is>
          <t>RET-0301</t>
        </is>
      </c>
      <c r="B4029" s="12" t="inlineStr">
        <is>
          <t>VS16</t>
        </is>
      </c>
      <c r="C4029" s="28" t="n">
        <v>0.0298</v>
      </c>
      <c r="D4029" s="12" t="inlineStr">
        <is>
          <t>PO-2023-4315</t>
        </is>
      </c>
      <c r="E4029" s="12" t="n">
        <v>4.15</v>
      </c>
      <c r="F4029" s="17" t="n">
        <v>89495.03</v>
      </c>
      <c r="G4029" s="14">
        <f>E4029*F4029</f>
        <v/>
      </c>
      <c r="H4029" s="14">
        <f>C4029*G4029</f>
        <v/>
      </c>
    </row>
    <row r="4030">
      <c r="A4030" s="12" t="inlineStr">
        <is>
          <t>RET-0301</t>
        </is>
      </c>
      <c r="B4030" s="12" t="inlineStr">
        <is>
          <t>VS17</t>
        </is>
      </c>
      <c r="C4030" s="28" t="n">
        <v>0.0297</v>
      </c>
      <c r="D4030" s="12" t="inlineStr">
        <is>
          <t>PO-2023-4422</t>
        </is>
      </c>
      <c r="E4030" s="12" t="n">
        <v>4.15</v>
      </c>
      <c r="F4030" s="17" t="n">
        <v>101294.76</v>
      </c>
      <c r="G4030" s="14">
        <f>E4030*F4030</f>
        <v/>
      </c>
      <c r="H4030" s="14">
        <f>C4030*G4030</f>
        <v/>
      </c>
    </row>
    <row r="4031">
      <c r="A4031" s="12" t="inlineStr">
        <is>
          <t>RET-0301</t>
        </is>
      </c>
      <c r="B4031" s="12" t="inlineStr">
        <is>
          <t>VS18</t>
        </is>
      </c>
      <c r="C4031" s="28" t="n">
        <v>0.0207</v>
      </c>
      <c r="D4031" s="12" t="inlineStr">
        <is>
          <t>PO-2022-2092</t>
        </is>
      </c>
      <c r="E4031" s="12" t="n">
        <v>4.15</v>
      </c>
      <c r="F4031" s="17" t="n">
        <v>80398.63</v>
      </c>
      <c r="G4031" s="14">
        <f>E4031*F4031</f>
        <v/>
      </c>
      <c r="H4031" s="14">
        <f>C4031*G4031</f>
        <v/>
      </c>
    </row>
    <row r="4032">
      <c r="A4032" s="12" t="inlineStr">
        <is>
          <t>RET-0301</t>
        </is>
      </c>
      <c r="B4032" s="12" t="inlineStr">
        <is>
          <t>VS19</t>
        </is>
      </c>
      <c r="C4032" s="28" t="n">
        <v>0.1343</v>
      </c>
      <c r="D4032" s="12" t="inlineStr">
        <is>
          <t>PO-2022-2178</t>
        </is>
      </c>
      <c r="E4032" s="12" t="n">
        <v>4.15</v>
      </c>
      <c r="F4032" s="17" t="n">
        <v>53708.69</v>
      </c>
      <c r="G4032" s="14">
        <f>E4032*F4032</f>
        <v/>
      </c>
      <c r="H4032" s="14">
        <f>C4032*G4032</f>
        <v/>
      </c>
    </row>
    <row r="4033">
      <c r="A4033" s="12" t="inlineStr">
        <is>
          <t>RET-0301</t>
        </is>
      </c>
      <c r="B4033" s="12" t="inlineStr">
        <is>
          <t>VS20</t>
        </is>
      </c>
      <c r="C4033" s="28" t="n">
        <v>0.0115</v>
      </c>
      <c r="D4033" s="12" t="inlineStr">
        <is>
          <t>PO-2022-1732</t>
        </is>
      </c>
      <c r="E4033" s="12" t="n">
        <v>4.15</v>
      </c>
      <c r="F4033" s="17" t="n">
        <v>96108.19</v>
      </c>
      <c r="G4033" s="14">
        <f>E4033*F4033</f>
        <v/>
      </c>
      <c r="H4033" s="14">
        <f>C4033*G4033</f>
        <v/>
      </c>
    </row>
    <row r="4034">
      <c r="A4034" s="12" t="inlineStr">
        <is>
          <t>RET-0301</t>
        </is>
      </c>
      <c r="B4034" s="12" t="inlineStr">
        <is>
          <t>VS21</t>
        </is>
      </c>
      <c r="C4034" s="28" t="n">
        <v>0.0115</v>
      </c>
      <c r="D4034" s="12" t="inlineStr">
        <is>
          <t>PO-2022-2550</t>
        </is>
      </c>
      <c r="E4034" s="12" t="n">
        <v>4.15</v>
      </c>
      <c r="F4034" s="17" t="n">
        <v>77650.11</v>
      </c>
      <c r="G4034" s="14">
        <f>E4034*F4034</f>
        <v/>
      </c>
      <c r="H4034" s="14">
        <f>C4034*G4034</f>
        <v/>
      </c>
    </row>
    <row r="4035">
      <c r="A4035" s="12" t="inlineStr">
        <is>
          <t>RET-0301</t>
        </is>
      </c>
      <c r="B4035" s="12" t="inlineStr">
        <is>
          <t>VS22</t>
        </is>
      </c>
      <c r="C4035" s="28" t="n">
        <v>0.0069</v>
      </c>
      <c r="D4035" s="12" t="inlineStr">
        <is>
          <t>PO-2023-3618</t>
        </is>
      </c>
      <c r="E4035" s="12" t="n">
        <v>2.95</v>
      </c>
      <c r="F4035" s="17" t="n">
        <v>110873</v>
      </c>
      <c r="G4035" s="14">
        <f>E4035*F4035</f>
        <v/>
      </c>
      <c r="H4035" s="14">
        <f>C4035*G4035</f>
        <v/>
      </c>
    </row>
    <row r="4036">
      <c r="A4036" s="12" t="inlineStr">
        <is>
          <t>RET-0301</t>
        </is>
      </c>
      <c r="B4036" s="12" t="inlineStr">
        <is>
          <t>VS23</t>
        </is>
      </c>
      <c r="C4036" s="28" t="n">
        <v>0.0114</v>
      </c>
      <c r="D4036" s="12" t="inlineStr">
        <is>
          <t>PO-2021-0958</t>
        </is>
      </c>
      <c r="E4036" s="12" t="n">
        <v>4.15</v>
      </c>
      <c r="F4036" s="17" t="n">
        <v>63892.21</v>
      </c>
      <c r="G4036" s="14">
        <f>E4036*F4036</f>
        <v/>
      </c>
      <c r="H4036" s="14">
        <f>C4036*G4036</f>
        <v/>
      </c>
    </row>
    <row r="4037">
      <c r="A4037" s="12" t="inlineStr">
        <is>
          <t>RET-0301</t>
        </is>
      </c>
      <c r="B4037" s="12" t="inlineStr">
        <is>
          <t>VS24</t>
        </is>
      </c>
      <c r="C4037" s="28" t="n">
        <v>0.0115</v>
      </c>
      <c r="D4037" s="12" t="inlineStr">
        <is>
          <t>PO-2023-3709</t>
        </is>
      </c>
      <c r="E4037" s="12" t="n">
        <v>4.15</v>
      </c>
      <c r="F4037" s="17" t="n">
        <v>54608.16</v>
      </c>
      <c r="G4037" s="14">
        <f>E4037*F4037</f>
        <v/>
      </c>
      <c r="H4037" s="14">
        <f>C4037*G4037</f>
        <v/>
      </c>
    </row>
    <row r="4038">
      <c r="A4038" s="12" t="inlineStr">
        <is>
          <t>RET-0301</t>
        </is>
      </c>
      <c r="B4038" s="12" t="inlineStr">
        <is>
          <t>VS25</t>
        </is>
      </c>
      <c r="C4038" s="28" t="n">
        <v>0.0208</v>
      </c>
      <c r="D4038" s="12" t="inlineStr">
        <is>
          <t>PO-2021-1264</t>
        </is>
      </c>
      <c r="E4038" s="12" t="n">
        <v>4.15</v>
      </c>
      <c r="F4038" s="17" t="n">
        <v>70424.84</v>
      </c>
      <c r="G4038" s="14">
        <f>E4038*F4038</f>
        <v/>
      </c>
      <c r="H4038" s="14">
        <f>C4038*G4038</f>
        <v/>
      </c>
    </row>
    <row r="4039">
      <c r="A4039" s="12" t="inlineStr">
        <is>
          <t>RET-0301</t>
        </is>
      </c>
      <c r="B4039" s="12" t="inlineStr">
        <is>
          <t>VS26</t>
        </is>
      </c>
      <c r="C4039" s="28" t="n">
        <v>0.0116</v>
      </c>
      <c r="D4039" s="12" t="inlineStr">
        <is>
          <t>PO-2021-0764</t>
        </is>
      </c>
      <c r="E4039" s="12" t="n">
        <v>4.15</v>
      </c>
      <c r="F4039" s="17" t="n">
        <v>100283.84</v>
      </c>
      <c r="G4039" s="14">
        <f>E4039*F4039</f>
        <v/>
      </c>
      <c r="H4039" s="14">
        <f>C4039*G4039</f>
        <v/>
      </c>
    </row>
    <row r="4040">
      <c r="A4040" s="12" t="inlineStr">
        <is>
          <t>RET-0301</t>
        </is>
      </c>
      <c r="B4040" s="12" t="inlineStr">
        <is>
          <t>VS27</t>
        </is>
      </c>
      <c r="C4040" s="28" t="n">
        <v>0.0114</v>
      </c>
      <c r="D4040" s="12" t="inlineStr">
        <is>
          <t>PO-2023-3398</t>
        </is>
      </c>
      <c r="E4040" s="12" t="n">
        <v>1.672</v>
      </c>
      <c r="F4040" s="17" t="n">
        <v>114409.08</v>
      </c>
      <c r="G4040" s="14">
        <f>E4040*F4040</f>
        <v/>
      </c>
      <c r="H4040" s="14">
        <f>C4040*G4040</f>
        <v/>
      </c>
    </row>
    <row r="4041">
      <c r="A4041" s="12" t="inlineStr">
        <is>
          <t>RET-0301</t>
        </is>
      </c>
      <c r="B4041" s="12" t="inlineStr">
        <is>
          <t>VS28</t>
        </is>
      </c>
      <c r="C4041" s="28" t="n">
        <v>0.0254</v>
      </c>
      <c r="D4041" s="12" t="inlineStr">
        <is>
          <t>PO-2022-2536</t>
        </is>
      </c>
      <c r="E4041" s="12" t="n">
        <v>4.15</v>
      </c>
      <c r="F4041" s="17" t="n">
        <v>90792.95</v>
      </c>
      <c r="G4041" s="14">
        <f>E4041*F4041</f>
        <v/>
      </c>
      <c r="H4041" s="14">
        <f>C4041*G4041</f>
        <v/>
      </c>
    </row>
    <row r="4042">
      <c r="A4042" s="12" t="inlineStr">
        <is>
          <t>RET-0301</t>
        </is>
      </c>
      <c r="B4042" s="12" t="inlineStr">
        <is>
          <t>VS29</t>
        </is>
      </c>
      <c r="C4042" s="28" t="n">
        <v>0.0161</v>
      </c>
      <c r="D4042" s="12" t="inlineStr">
        <is>
          <t>PO-2023-4040</t>
        </is>
      </c>
      <c r="E4042" s="12" t="n">
        <v>4.15</v>
      </c>
      <c r="F4042" s="17" t="n">
        <v>102445.66</v>
      </c>
      <c r="G4042" s="14">
        <f>E4042*F4042</f>
        <v/>
      </c>
      <c r="H4042" s="14">
        <f>C4042*G4042</f>
        <v/>
      </c>
    </row>
    <row r="4043">
      <c r="A4043" s="12" t="inlineStr">
        <is>
          <t>RET-0301</t>
        </is>
      </c>
      <c r="B4043" s="12" t="inlineStr">
        <is>
          <t>VS30</t>
        </is>
      </c>
      <c r="C4043" s="28" t="n">
        <v>0.0069</v>
      </c>
      <c r="D4043" s="12" t="inlineStr">
        <is>
          <t>PO-2023-4734</t>
        </is>
      </c>
      <c r="E4043" s="12" t="n">
        <v>4.15</v>
      </c>
      <c r="F4043" s="17" t="n">
        <v>91092.12</v>
      </c>
      <c r="G4043" s="14">
        <f>E4043*F4043</f>
        <v/>
      </c>
      <c r="H4043" s="14">
        <f>C4043*G4043</f>
        <v/>
      </c>
    </row>
    <row r="4044">
      <c r="A4044" s="12" t="inlineStr">
        <is>
          <t>RET-0301</t>
        </is>
      </c>
      <c r="B4044" s="12" t="inlineStr">
        <is>
          <t>VS31</t>
        </is>
      </c>
      <c r="C4044" s="28" t="n">
        <v>0.0253</v>
      </c>
      <c r="D4044" s="12" t="inlineStr">
        <is>
          <t>PO-2021-0909</t>
        </is>
      </c>
      <c r="E4044" s="12" t="n">
        <v>4.15</v>
      </c>
      <c r="F4044" s="17" t="n">
        <v>55779.13</v>
      </c>
      <c r="G4044" s="14">
        <f>E4044*F4044</f>
        <v/>
      </c>
      <c r="H4044" s="14">
        <f>C4044*G4044</f>
        <v/>
      </c>
    </row>
    <row r="4045">
      <c r="A4045" s="12" t="inlineStr">
        <is>
          <t>RET-0301</t>
        </is>
      </c>
      <c r="B4045" s="12" t="inlineStr">
        <is>
          <t>VS32</t>
        </is>
      </c>
      <c r="C4045" s="28" t="n">
        <v>0.0301</v>
      </c>
      <c r="D4045" s="12" t="inlineStr">
        <is>
          <t>PO-2022-2683</t>
        </is>
      </c>
      <c r="E4045" s="12" t="n">
        <v>4.15</v>
      </c>
      <c r="F4045" s="17" t="n">
        <v>73356.59</v>
      </c>
      <c r="G4045" s="14">
        <f>E4045*F4045</f>
        <v/>
      </c>
      <c r="H4045" s="14">
        <f>C4045*G4045</f>
        <v/>
      </c>
    </row>
    <row r="4046">
      <c r="A4046" s="12" t="inlineStr">
        <is>
          <t>RET-0301</t>
        </is>
      </c>
      <c r="B4046" s="12" t="inlineStr">
        <is>
          <t>VS33</t>
        </is>
      </c>
      <c r="C4046" s="28" t="n">
        <v>0.016</v>
      </c>
      <c r="D4046" s="12" t="inlineStr">
        <is>
          <t>PO-2022-1811</t>
        </is>
      </c>
      <c r="E4046" s="12" t="n">
        <v>4.15</v>
      </c>
      <c r="F4046" s="17" t="n">
        <v>77363.67</v>
      </c>
      <c r="G4046" s="14">
        <f>E4046*F4046</f>
        <v/>
      </c>
      <c r="H4046" s="14">
        <f>C4046*G4046</f>
        <v/>
      </c>
    </row>
    <row r="4047">
      <c r="A4047" s="12" t="inlineStr">
        <is>
          <t>RET-0301</t>
        </is>
      </c>
      <c r="B4047" s="12" t="inlineStr">
        <is>
          <t>VS34</t>
        </is>
      </c>
      <c r="C4047" s="28" t="n">
        <v>0.0207</v>
      </c>
      <c r="D4047" s="12" t="inlineStr">
        <is>
          <t>PO-2022-1923</t>
        </is>
      </c>
      <c r="E4047" s="12" t="n">
        <v>3.87</v>
      </c>
      <c r="F4047" s="17" t="n">
        <v>82006.33</v>
      </c>
      <c r="G4047" s="14">
        <f>E4047*F4047</f>
        <v/>
      </c>
      <c r="H4047" s="14">
        <f>C4047*G4047</f>
        <v/>
      </c>
    </row>
    <row r="4048">
      <c r="A4048" s="12" t="inlineStr">
        <is>
          <t>RET-0302</t>
        </is>
      </c>
      <c r="B4048" s="12" t="inlineStr">
        <is>
          <t>VS01</t>
        </is>
      </c>
      <c r="C4048" s="28" t="n">
        <v>0.008</v>
      </c>
      <c r="D4048" s="12" t="inlineStr">
        <is>
          <t>PO-2023-3902</t>
        </is>
      </c>
      <c r="E4048" s="12" t="n">
        <v>2.2</v>
      </c>
      <c r="F4048" s="17" t="n">
        <v>99820.05</v>
      </c>
      <c r="G4048" s="14">
        <f>E4048*F4048</f>
        <v/>
      </c>
      <c r="H4048" s="14">
        <f>C4048*G4048</f>
        <v/>
      </c>
    </row>
    <row r="4049">
      <c r="A4049" s="12" t="inlineStr">
        <is>
          <t>RET-0302</t>
        </is>
      </c>
      <c r="B4049" s="12" t="inlineStr">
        <is>
          <t>VS02</t>
        </is>
      </c>
      <c r="C4049" s="28" t="n">
        <v>0.0036</v>
      </c>
      <c r="D4049" s="12" t="inlineStr">
        <is>
          <t>PO-2021-0497</t>
        </is>
      </c>
      <c r="E4049" s="12" t="n">
        <v>2.2</v>
      </c>
      <c r="F4049" s="17" t="n">
        <v>87270.49000000001</v>
      </c>
      <c r="G4049" s="14">
        <f>E4049*F4049</f>
        <v/>
      </c>
      <c r="H4049" s="14">
        <f>C4049*G4049</f>
        <v/>
      </c>
    </row>
    <row r="4050">
      <c r="A4050" s="12" t="inlineStr">
        <is>
          <t>RET-0302</t>
        </is>
      </c>
      <c r="B4050" s="12" t="inlineStr">
        <is>
          <t>VS03</t>
        </is>
      </c>
      <c r="C4050" s="28" t="n">
        <v>0.2396</v>
      </c>
      <c r="D4050" s="12" t="inlineStr">
        <is>
          <t>PO-2022-2055</t>
        </is>
      </c>
      <c r="E4050" s="12" t="n">
        <v>2.2</v>
      </c>
      <c r="F4050" s="17" t="n">
        <v>119136.41</v>
      </c>
      <c r="G4050" s="14">
        <f>E4050*F4050</f>
        <v/>
      </c>
      <c r="H4050" s="14">
        <f>C4050*G4050</f>
        <v/>
      </c>
    </row>
    <row r="4051">
      <c r="A4051" s="12" t="inlineStr">
        <is>
          <t>RET-0302</t>
        </is>
      </c>
      <c r="B4051" s="12" t="inlineStr">
        <is>
          <t>VS04</t>
        </is>
      </c>
      <c r="C4051" s="28" t="n">
        <v>0.005</v>
      </c>
      <c r="D4051" s="12" t="inlineStr">
        <is>
          <t>PO-2023-3924</t>
        </is>
      </c>
      <c r="E4051" s="12" t="n">
        <v>2.2</v>
      </c>
      <c r="F4051" s="17" t="n">
        <v>64174.5</v>
      </c>
      <c r="G4051" s="14">
        <f>E4051*F4051</f>
        <v/>
      </c>
      <c r="H4051" s="14">
        <f>C4051*G4051</f>
        <v/>
      </c>
    </row>
    <row r="4052">
      <c r="A4052" s="12" t="inlineStr">
        <is>
          <t>RET-0302</t>
        </is>
      </c>
      <c r="B4052" s="12" t="inlineStr">
        <is>
          <t>VS05</t>
        </is>
      </c>
      <c r="C4052" s="28" t="n">
        <v>0.0065</v>
      </c>
      <c r="D4052" s="12" t="inlineStr">
        <is>
          <t>PO-2023-3574</t>
        </is>
      </c>
      <c r="E4052" s="12" t="n">
        <v>2.2</v>
      </c>
      <c r="F4052" s="17" t="n">
        <v>47202.38</v>
      </c>
      <c r="G4052" s="14">
        <f>E4052*F4052</f>
        <v/>
      </c>
      <c r="H4052" s="14">
        <f>C4052*G4052</f>
        <v/>
      </c>
    </row>
    <row r="4053">
      <c r="A4053" s="12" t="inlineStr">
        <is>
          <t>RET-0302</t>
        </is>
      </c>
      <c r="B4053" s="12" t="inlineStr">
        <is>
          <t>VS06</t>
        </is>
      </c>
      <c r="C4053" s="28" t="n">
        <v>0.0066</v>
      </c>
      <c r="D4053" s="12" t="inlineStr">
        <is>
          <t>PO-2023-3472</t>
        </is>
      </c>
      <c r="E4053" s="12" t="n">
        <v>2.2</v>
      </c>
      <c r="F4053" s="17" t="n">
        <v>66892.41</v>
      </c>
      <c r="G4053" s="14">
        <f>E4053*F4053</f>
        <v/>
      </c>
      <c r="H4053" s="14">
        <f>C4053*G4053</f>
        <v/>
      </c>
    </row>
    <row r="4054">
      <c r="A4054" s="12" t="inlineStr">
        <is>
          <t>RET-0302</t>
        </is>
      </c>
      <c r="B4054" s="12" t="inlineStr">
        <is>
          <t>VS07</t>
        </is>
      </c>
      <c r="C4054" s="28" t="n">
        <v>0.0022</v>
      </c>
      <c r="D4054" s="12" t="inlineStr">
        <is>
          <t>PO-2022-1955</t>
        </is>
      </c>
      <c r="E4054" s="12" t="n">
        <v>2.2</v>
      </c>
      <c r="F4054" s="17" t="n">
        <v>82709.5</v>
      </c>
      <c r="G4054" s="14">
        <f>E4054*F4054</f>
        <v/>
      </c>
      <c r="H4054" s="14">
        <f>C4054*G4054</f>
        <v/>
      </c>
    </row>
    <row r="4055">
      <c r="A4055" s="12" t="inlineStr">
        <is>
          <t>RET-0302</t>
        </is>
      </c>
      <c r="B4055" s="12" t="inlineStr">
        <is>
          <t>VS08</t>
        </is>
      </c>
      <c r="C4055" s="28" t="n">
        <v>0.0066</v>
      </c>
      <c r="D4055" s="12" t="inlineStr">
        <is>
          <t>PO-2022-1815</t>
        </is>
      </c>
      <c r="E4055" s="12" t="n">
        <v>2.2</v>
      </c>
      <c r="F4055" s="17" t="n">
        <v>70734.42</v>
      </c>
      <c r="G4055" s="14">
        <f>E4055*F4055</f>
        <v/>
      </c>
      <c r="H4055" s="14">
        <f>C4055*G4055</f>
        <v/>
      </c>
    </row>
    <row r="4056">
      <c r="A4056" s="12" t="inlineStr">
        <is>
          <t>RET-0302</t>
        </is>
      </c>
      <c r="B4056" s="12" t="inlineStr">
        <is>
          <t>VS09</t>
        </is>
      </c>
      <c r="C4056" s="28" t="n">
        <v>0.0051</v>
      </c>
      <c r="D4056" s="12" t="inlineStr">
        <is>
          <t>PO-2023-4617</t>
        </is>
      </c>
      <c r="E4056" s="12" t="n">
        <v>2.2</v>
      </c>
      <c r="F4056" s="17" t="n">
        <v>118346.31</v>
      </c>
      <c r="G4056" s="14">
        <f>E4056*F4056</f>
        <v/>
      </c>
      <c r="H4056" s="14">
        <f>C4056*G4056</f>
        <v/>
      </c>
    </row>
    <row r="4057">
      <c r="A4057" s="12" t="inlineStr">
        <is>
          <t>RET-0302</t>
        </is>
      </c>
      <c r="B4057" s="12" t="inlineStr">
        <is>
          <t>VS10</t>
        </is>
      </c>
      <c r="C4057" s="28" t="n">
        <v>0.008</v>
      </c>
      <c r="D4057" s="12" t="inlineStr">
        <is>
          <t>PO-2023-4784</t>
        </is>
      </c>
      <c r="E4057" s="12" t="n">
        <v>1.118</v>
      </c>
      <c r="F4057" s="17" t="n">
        <v>76580.08</v>
      </c>
      <c r="G4057" s="14">
        <f>E4057*F4057</f>
        <v/>
      </c>
      <c r="H4057" s="14">
        <f>C4057*G4057</f>
        <v/>
      </c>
    </row>
    <row r="4058">
      <c r="A4058" s="12" t="inlineStr">
        <is>
          <t>RET-0302</t>
        </is>
      </c>
      <c r="B4058" s="12" t="inlineStr">
        <is>
          <t>VS11</t>
        </is>
      </c>
      <c r="C4058" s="28" t="n">
        <v>0.0094</v>
      </c>
      <c r="D4058" s="12" t="inlineStr">
        <is>
          <t>PO-2022-2689</t>
        </is>
      </c>
      <c r="E4058" s="12" t="n">
        <v>2.2</v>
      </c>
      <c r="F4058" s="17" t="n">
        <v>73024.87</v>
      </c>
      <c r="G4058" s="14">
        <f>E4058*F4058</f>
        <v/>
      </c>
      <c r="H4058" s="14">
        <f>C4058*G4058</f>
        <v/>
      </c>
    </row>
    <row r="4059">
      <c r="A4059" s="12" t="inlineStr">
        <is>
          <t>RET-0302</t>
        </is>
      </c>
      <c r="B4059" s="12" t="inlineStr">
        <is>
          <t>VS12</t>
        </is>
      </c>
      <c r="C4059" s="28" t="n">
        <v>0.3331</v>
      </c>
      <c r="D4059" s="12" t="inlineStr">
        <is>
          <t>PO-2023-4772</t>
        </is>
      </c>
      <c r="E4059" s="12" t="n">
        <v>2.2</v>
      </c>
      <c r="F4059" s="17" t="n">
        <v>71528</v>
      </c>
      <c r="G4059" s="14">
        <f>E4059*F4059</f>
        <v/>
      </c>
      <c r="H4059" s="14">
        <f>C4059*G4059</f>
        <v/>
      </c>
    </row>
    <row r="4060">
      <c r="A4060" s="12" t="inlineStr">
        <is>
          <t>RET-0302</t>
        </is>
      </c>
      <c r="B4060" s="12" t="inlineStr">
        <is>
          <t>VS13</t>
        </is>
      </c>
      <c r="C4060" s="28" t="n">
        <v>0.0064</v>
      </c>
      <c r="D4060" s="12" t="inlineStr">
        <is>
          <t>PO-2021-0778</t>
        </is>
      </c>
      <c r="E4060" s="12" t="n">
        <v>2.2</v>
      </c>
      <c r="F4060" s="17" t="n">
        <v>109774.32</v>
      </c>
      <c r="G4060" s="14">
        <f>E4060*F4060</f>
        <v/>
      </c>
      <c r="H4060" s="14">
        <f>C4060*G4060</f>
        <v/>
      </c>
    </row>
    <row r="4061">
      <c r="A4061" s="12" t="inlineStr">
        <is>
          <t>RET-0302</t>
        </is>
      </c>
      <c r="B4061" s="12" t="inlineStr">
        <is>
          <t>VS14</t>
        </is>
      </c>
      <c r="C4061" s="28" t="n">
        <v>0.0065</v>
      </c>
      <c r="D4061" s="12" t="inlineStr">
        <is>
          <t>PO-2023-3426</t>
        </is>
      </c>
      <c r="E4061" s="12" t="n">
        <v>2.2</v>
      </c>
      <c r="F4061" s="17" t="n">
        <v>67317.23</v>
      </c>
      <c r="G4061" s="14">
        <f>E4061*F4061</f>
        <v/>
      </c>
      <c r="H4061" s="14">
        <f>C4061*G4061</f>
        <v/>
      </c>
    </row>
    <row r="4062">
      <c r="A4062" s="12" t="inlineStr">
        <is>
          <t>RET-0302</t>
        </is>
      </c>
      <c r="B4062" s="12" t="inlineStr">
        <is>
          <t>VS15</t>
        </is>
      </c>
      <c r="C4062" s="28" t="n">
        <v>0.0022</v>
      </c>
      <c r="D4062" s="12" t="inlineStr">
        <is>
          <t>PO-2021-1247</t>
        </is>
      </c>
      <c r="E4062" s="12" t="n">
        <v>2.2</v>
      </c>
      <c r="F4062" s="17" t="n">
        <v>95019.17999999999</v>
      </c>
      <c r="G4062" s="14">
        <f>E4062*F4062</f>
        <v/>
      </c>
      <c r="H4062" s="14">
        <f>C4062*G4062</f>
        <v/>
      </c>
    </row>
    <row r="4063">
      <c r="A4063" s="12" t="inlineStr">
        <is>
          <t>RET-0302</t>
        </is>
      </c>
      <c r="B4063" s="12" t="inlineStr">
        <is>
          <t>VS16</t>
        </is>
      </c>
      <c r="C4063" s="28" t="n">
        <v>0.0094</v>
      </c>
      <c r="D4063" s="12" t="inlineStr">
        <is>
          <t>PO-2023-4197</t>
        </is>
      </c>
      <c r="E4063" s="12" t="n">
        <v>2.2</v>
      </c>
      <c r="F4063" s="17" t="n">
        <v>106953.2</v>
      </c>
      <c r="G4063" s="14">
        <f>E4063*F4063</f>
        <v/>
      </c>
      <c r="H4063" s="14">
        <f>C4063*G4063</f>
        <v/>
      </c>
    </row>
    <row r="4064">
      <c r="A4064" s="12" t="inlineStr">
        <is>
          <t>RET-0302</t>
        </is>
      </c>
      <c r="B4064" s="12" t="inlineStr">
        <is>
          <t>VS17</t>
        </is>
      </c>
      <c r="C4064" s="28" t="n">
        <v>0.0094</v>
      </c>
      <c r="D4064" s="12" t="inlineStr">
        <is>
          <t>PO-2023-3926</t>
        </is>
      </c>
      <c r="E4064" s="12" t="n">
        <v>2.2</v>
      </c>
      <c r="F4064" s="17" t="n">
        <v>96000.71000000001</v>
      </c>
      <c r="G4064" s="14">
        <f>E4064*F4064</f>
        <v/>
      </c>
      <c r="H4064" s="14">
        <f>C4064*G4064</f>
        <v/>
      </c>
    </row>
    <row r="4065">
      <c r="A4065" s="12" t="inlineStr">
        <is>
          <t>RET-0302</t>
        </is>
      </c>
      <c r="B4065" s="12" t="inlineStr">
        <is>
          <t>VS18</t>
        </is>
      </c>
      <c r="C4065" s="28" t="n">
        <v>0.0065</v>
      </c>
      <c r="D4065" s="12" t="inlineStr">
        <is>
          <t>PO-2023-3529</t>
        </is>
      </c>
      <c r="E4065" s="12" t="n">
        <v>2.2</v>
      </c>
      <c r="F4065" s="17" t="n">
        <v>71931.77</v>
      </c>
      <c r="G4065" s="14">
        <f>E4065*F4065</f>
        <v/>
      </c>
      <c r="H4065" s="14">
        <f>C4065*G4065</f>
        <v/>
      </c>
    </row>
    <row r="4066">
      <c r="A4066" s="12" t="inlineStr">
        <is>
          <t>RET-0302</t>
        </is>
      </c>
      <c r="B4066" s="12" t="inlineStr">
        <is>
          <t>VS19</t>
        </is>
      </c>
      <c r="C4066" s="28" t="n">
        <v>0.2513</v>
      </c>
      <c r="D4066" s="12" t="inlineStr">
        <is>
          <t>PO-2022-2516</t>
        </is>
      </c>
      <c r="E4066" s="12" t="n">
        <v>0</v>
      </c>
      <c r="F4066" s="17" t="n">
        <v>87125.81</v>
      </c>
      <c r="G4066" s="14">
        <f>E4066*F4066</f>
        <v/>
      </c>
      <c r="H4066" s="14">
        <f>C4066*G4066</f>
        <v/>
      </c>
    </row>
    <row r="4067">
      <c r="A4067" s="12" t="inlineStr">
        <is>
          <t>RET-0302</t>
        </is>
      </c>
      <c r="B4067" s="12" t="inlineStr">
        <is>
          <t>VS20</t>
        </is>
      </c>
      <c r="C4067" s="28" t="n">
        <v>0.0036</v>
      </c>
      <c r="D4067" s="12" t="inlineStr">
        <is>
          <t>PO-2023-4528</t>
        </is>
      </c>
      <c r="E4067" s="12" t="n">
        <v>2.2</v>
      </c>
      <c r="F4067" s="17" t="n">
        <v>88447.11</v>
      </c>
      <c r="G4067" s="14">
        <f>E4067*F4067</f>
        <v/>
      </c>
      <c r="H4067" s="14">
        <f>C4067*G4067</f>
        <v/>
      </c>
    </row>
    <row r="4068">
      <c r="A4068" s="12" t="inlineStr">
        <is>
          <t>RET-0302</t>
        </is>
      </c>
      <c r="B4068" s="12" t="inlineStr">
        <is>
          <t>VS21</t>
        </is>
      </c>
      <c r="C4068" s="28" t="n">
        <v>0.0036</v>
      </c>
      <c r="D4068" s="12" t="inlineStr">
        <is>
          <t>PO-2022-3104</t>
        </is>
      </c>
      <c r="E4068" s="12" t="n">
        <v>2.2</v>
      </c>
      <c r="F4068" s="17" t="n">
        <v>49464.08</v>
      </c>
      <c r="G4068" s="14">
        <f>E4068*F4068</f>
        <v/>
      </c>
      <c r="H4068" s="14">
        <f>C4068*G4068</f>
        <v/>
      </c>
    </row>
    <row r="4069">
      <c r="A4069" s="12" t="inlineStr">
        <is>
          <t>RET-0302</t>
        </is>
      </c>
      <c r="B4069" s="12" t="inlineStr">
        <is>
          <t>VS22</t>
        </is>
      </c>
      <c r="C4069" s="28" t="n">
        <v>0.0022</v>
      </c>
      <c r="D4069" s="12" t="inlineStr">
        <is>
          <t>PO-2021-0567</t>
        </is>
      </c>
      <c r="E4069" s="12" t="n">
        <v>2.2</v>
      </c>
      <c r="F4069" s="17" t="n">
        <v>67053.83</v>
      </c>
      <c r="G4069" s="14">
        <f>E4069*F4069</f>
        <v/>
      </c>
      <c r="H4069" s="14">
        <f>C4069*G4069</f>
        <v/>
      </c>
    </row>
    <row r="4070">
      <c r="A4070" s="12" t="inlineStr">
        <is>
          <t>RET-0302</t>
        </is>
      </c>
      <c r="B4070" s="12" t="inlineStr">
        <is>
          <t>VS23</t>
        </is>
      </c>
      <c r="C4070" s="28" t="n">
        <v>0.0036</v>
      </c>
      <c r="D4070" s="12" t="inlineStr">
        <is>
          <t>PO-2021-0683</t>
        </is>
      </c>
      <c r="E4070" s="12" t="n">
        <v>2.2</v>
      </c>
      <c r="F4070" s="17" t="n">
        <v>81158.25999999999</v>
      </c>
      <c r="G4070" s="14">
        <f>E4070*F4070</f>
        <v/>
      </c>
      <c r="H4070" s="14">
        <f>C4070*G4070</f>
        <v/>
      </c>
    </row>
    <row r="4071">
      <c r="A4071" s="12" t="inlineStr">
        <is>
          <t>RET-0302</t>
        </is>
      </c>
      <c r="B4071" s="12" t="inlineStr">
        <is>
          <t>VS24</t>
        </is>
      </c>
      <c r="C4071" s="28" t="n">
        <v>0.0036</v>
      </c>
      <c r="D4071" s="12" t="inlineStr">
        <is>
          <t>PO-2023-4182</t>
        </is>
      </c>
      <c r="E4071" s="12" t="n">
        <v>2.2</v>
      </c>
      <c r="F4071" s="17" t="n">
        <v>67218.28</v>
      </c>
      <c r="G4071" s="14">
        <f>E4071*F4071</f>
        <v/>
      </c>
      <c r="H4071" s="14">
        <f>C4071*G4071</f>
        <v/>
      </c>
    </row>
    <row r="4072">
      <c r="A4072" s="12" t="inlineStr">
        <is>
          <t>RET-0302</t>
        </is>
      </c>
      <c r="B4072" s="12" t="inlineStr">
        <is>
          <t>VS25</t>
        </is>
      </c>
      <c r="C4072" s="28" t="n">
        <v>0.0066</v>
      </c>
      <c r="D4072" s="12" t="inlineStr">
        <is>
          <t>PO-2023-3986</t>
        </is>
      </c>
      <c r="E4072" s="12" t="n">
        <v>2.2</v>
      </c>
      <c r="F4072" s="17" t="n">
        <v>52988.35</v>
      </c>
      <c r="G4072" s="14">
        <f>E4072*F4072</f>
        <v/>
      </c>
      <c r="H4072" s="14">
        <f>C4072*G4072</f>
        <v/>
      </c>
    </row>
    <row r="4073">
      <c r="A4073" s="12" t="inlineStr">
        <is>
          <t>RET-0302</t>
        </is>
      </c>
      <c r="B4073" s="12" t="inlineStr">
        <is>
          <t>VS26</t>
        </is>
      </c>
      <c r="C4073" s="28" t="n">
        <v>0.0036</v>
      </c>
      <c r="D4073" s="12" t="inlineStr">
        <is>
          <t>PO-2023-4184</t>
        </is>
      </c>
      <c r="E4073" s="12" t="n">
        <v>2.2</v>
      </c>
      <c r="F4073" s="17" t="n">
        <v>73708.62</v>
      </c>
      <c r="G4073" s="14">
        <f>E4073*F4073</f>
        <v/>
      </c>
      <c r="H4073" s="14">
        <f>C4073*G4073</f>
        <v/>
      </c>
    </row>
    <row r="4074">
      <c r="A4074" s="12" t="inlineStr">
        <is>
          <t>RET-0302</t>
        </is>
      </c>
      <c r="B4074" s="12" t="inlineStr">
        <is>
          <t>VS27</t>
        </is>
      </c>
      <c r="C4074" s="28" t="n">
        <v>0.0036</v>
      </c>
      <c r="D4074" s="12" t="inlineStr">
        <is>
          <t>PO-2022-2443</t>
        </is>
      </c>
      <c r="E4074" s="12" t="n">
        <v>2.2</v>
      </c>
      <c r="F4074" s="17" t="n">
        <v>107098.17</v>
      </c>
      <c r="G4074" s="14">
        <f>E4074*F4074</f>
        <v/>
      </c>
      <c r="H4074" s="14">
        <f>C4074*G4074</f>
        <v/>
      </c>
    </row>
    <row r="4075">
      <c r="A4075" s="12" t="inlineStr">
        <is>
          <t>RET-0302</t>
        </is>
      </c>
      <c r="B4075" s="12" t="inlineStr">
        <is>
          <t>VS28</t>
        </is>
      </c>
      <c r="C4075" s="28" t="n">
        <v>0.008</v>
      </c>
      <c r="D4075" s="12" t="inlineStr">
        <is>
          <t>PO-2022-2831</t>
        </is>
      </c>
      <c r="E4075" s="12" t="n">
        <v>2.2</v>
      </c>
      <c r="F4075" s="17" t="n">
        <v>68799.55</v>
      </c>
      <c r="G4075" s="14">
        <f>E4075*F4075</f>
        <v/>
      </c>
      <c r="H4075" s="14">
        <f>C4075*G4075</f>
        <v/>
      </c>
    </row>
    <row r="4076">
      <c r="A4076" s="12" t="inlineStr">
        <is>
          <t>RET-0302</t>
        </is>
      </c>
      <c r="B4076" s="12" t="inlineStr">
        <is>
          <t>VS29</t>
        </is>
      </c>
      <c r="C4076" s="28" t="n">
        <v>0.0051</v>
      </c>
      <c r="D4076" s="12" t="inlineStr">
        <is>
          <t>PO-2023-4310</t>
        </is>
      </c>
      <c r="E4076" s="12" t="n">
        <v>2.2</v>
      </c>
      <c r="F4076" s="17" t="n">
        <v>98460.50999999999</v>
      </c>
      <c r="G4076" s="14">
        <f>E4076*F4076</f>
        <v/>
      </c>
      <c r="H4076" s="14">
        <f>C4076*G4076</f>
        <v/>
      </c>
    </row>
    <row r="4077">
      <c r="A4077" s="12" t="inlineStr">
        <is>
          <t>RET-0302</t>
        </is>
      </c>
      <c r="B4077" s="12" t="inlineStr">
        <is>
          <t>VS30</t>
        </is>
      </c>
      <c r="C4077" s="28" t="n">
        <v>0.0022</v>
      </c>
      <c r="D4077" s="12" t="inlineStr">
        <is>
          <t>PO-2023-4601</t>
        </is>
      </c>
      <c r="E4077" s="12" t="n">
        <v>2.2</v>
      </c>
      <c r="F4077" s="17" t="n">
        <v>89757.96000000001</v>
      </c>
      <c r="G4077" s="14">
        <f>E4077*F4077</f>
        <v/>
      </c>
      <c r="H4077" s="14">
        <f>C4077*G4077</f>
        <v/>
      </c>
    </row>
    <row r="4078">
      <c r="A4078" s="12" t="inlineStr">
        <is>
          <t>RET-0302</t>
        </is>
      </c>
      <c r="B4078" s="12" t="inlineStr">
        <is>
          <t>VS31</t>
        </is>
      </c>
      <c r="C4078" s="28" t="n">
        <v>0.008</v>
      </c>
      <c r="D4078" s="12" t="inlineStr">
        <is>
          <t>PO-2023-3956</t>
        </is>
      </c>
      <c r="E4078" s="12" t="n">
        <v>2.2</v>
      </c>
      <c r="F4078" s="17" t="n">
        <v>77102.07000000001</v>
      </c>
      <c r="G4078" s="14">
        <f>E4078*F4078</f>
        <v/>
      </c>
      <c r="H4078" s="14">
        <f>C4078*G4078</f>
        <v/>
      </c>
    </row>
    <row r="4079">
      <c r="A4079" s="12" t="inlineStr">
        <is>
          <t>RET-0302</t>
        </is>
      </c>
      <c r="B4079" s="12" t="inlineStr">
        <is>
          <t>VS32</t>
        </is>
      </c>
      <c r="C4079" s="28" t="n">
        <v>0.0095</v>
      </c>
      <c r="D4079" s="12" t="inlineStr">
        <is>
          <t>PO-2023-4513</t>
        </is>
      </c>
      <c r="E4079" s="12" t="n">
        <v>2.2</v>
      </c>
      <c r="F4079" s="17" t="n">
        <v>96245.08</v>
      </c>
      <c r="G4079" s="14">
        <f>E4079*F4079</f>
        <v/>
      </c>
      <c r="H4079" s="14">
        <f>C4079*G4079</f>
        <v/>
      </c>
    </row>
    <row r="4080">
      <c r="A4080" s="12" t="inlineStr">
        <is>
          <t>RET-0302</t>
        </is>
      </c>
      <c r="B4080" s="12" t="inlineStr">
        <is>
          <t>VS33</t>
        </is>
      </c>
      <c r="C4080" s="28" t="n">
        <v>0.005</v>
      </c>
      <c r="D4080" s="12" t="inlineStr">
        <is>
          <t>PO-2023-3328</t>
        </is>
      </c>
      <c r="E4080" s="12" t="n">
        <v>2.2</v>
      </c>
      <c r="F4080" s="17" t="n">
        <v>102456.65</v>
      </c>
      <c r="G4080" s="14">
        <f>E4080*F4080</f>
        <v/>
      </c>
      <c r="H4080" s="14">
        <f>C4080*G4080</f>
        <v/>
      </c>
    </row>
    <row r="4081">
      <c r="A4081" s="12" t="inlineStr">
        <is>
          <t>RET-0302</t>
        </is>
      </c>
      <c r="B4081" s="12" t="inlineStr">
        <is>
          <t>VS34</t>
        </is>
      </c>
      <c r="C4081" s="28" t="n">
        <v>0.0065</v>
      </c>
      <c r="D4081" s="12" t="inlineStr">
        <is>
          <t>PO-2023-4559</t>
        </is>
      </c>
      <c r="E4081" s="12" t="n">
        <v>2.2</v>
      </c>
      <c r="F4081" s="17" t="n">
        <v>110935.35</v>
      </c>
      <c r="G4081" s="14">
        <f>E4081*F4081</f>
        <v/>
      </c>
      <c r="H4081" s="14">
        <f>C4081*G4081</f>
        <v/>
      </c>
    </row>
    <row r="4082">
      <c r="A4082" s="12" t="inlineStr">
        <is>
          <t>RET-0305</t>
        </is>
      </c>
      <c r="B4082" s="12" t="inlineStr">
        <is>
          <t>VS01</t>
        </is>
      </c>
      <c r="C4082" s="28" t="n">
        <v>0.0139</v>
      </c>
      <c r="D4082" s="12" t="inlineStr">
        <is>
          <t>PO-2021-0897</t>
        </is>
      </c>
      <c r="E4082" s="12" t="n">
        <v>1.76</v>
      </c>
      <c r="F4082" s="17" t="n">
        <v>96528.92</v>
      </c>
      <c r="G4082" s="14">
        <f>E4082*F4082</f>
        <v/>
      </c>
      <c r="H4082" s="14">
        <f>C4082*G4082</f>
        <v/>
      </c>
    </row>
    <row r="4083">
      <c r="A4083" s="12" t="inlineStr">
        <is>
          <t>RET-0305</t>
        </is>
      </c>
      <c r="B4083" s="12" t="inlineStr">
        <is>
          <t>VS02</t>
        </is>
      </c>
      <c r="C4083" s="28" t="n">
        <v>0.0063</v>
      </c>
      <c r="D4083" s="12" t="inlineStr">
        <is>
          <t>PO-2023-4202</t>
        </is>
      </c>
      <c r="E4083" s="12" t="n">
        <v>1.76</v>
      </c>
      <c r="F4083" s="17" t="n">
        <v>66577.38</v>
      </c>
      <c r="G4083" s="14">
        <f>E4083*F4083</f>
        <v/>
      </c>
      <c r="H4083" s="14">
        <f>C4083*G4083</f>
        <v/>
      </c>
    </row>
    <row r="4084">
      <c r="A4084" s="12" t="inlineStr">
        <is>
          <t>RET-0305</t>
        </is>
      </c>
      <c r="B4084" s="12" t="inlineStr">
        <is>
          <t>VS03</t>
        </is>
      </c>
      <c r="C4084" s="28" t="n">
        <v>0.202</v>
      </c>
      <c r="D4084" s="12" t="inlineStr">
        <is>
          <t>PO-2023-3466</t>
        </is>
      </c>
      <c r="E4084" s="12" t="n">
        <v>1.76</v>
      </c>
      <c r="F4084" s="17" t="n">
        <v>115386.93</v>
      </c>
      <c r="G4084" s="14">
        <f>E4084*F4084</f>
        <v/>
      </c>
      <c r="H4084" s="14">
        <f>C4084*G4084</f>
        <v/>
      </c>
    </row>
    <row r="4085">
      <c r="A4085" s="12" t="inlineStr">
        <is>
          <t>RET-0305</t>
        </is>
      </c>
      <c r="B4085" s="12" t="inlineStr">
        <is>
          <t>VS04</t>
        </is>
      </c>
      <c r="C4085" s="28" t="n">
        <v>0.008699999999999999</v>
      </c>
      <c r="D4085" s="12" t="inlineStr">
        <is>
          <t>PO-2021-1274</t>
        </is>
      </c>
      <c r="E4085" s="12" t="n">
        <v>1.76</v>
      </c>
      <c r="F4085" s="17" t="n">
        <v>69003.11</v>
      </c>
      <c r="G4085" s="14">
        <f>E4085*F4085</f>
        <v/>
      </c>
      <c r="H4085" s="14">
        <f>C4085*G4085</f>
        <v/>
      </c>
    </row>
    <row r="4086">
      <c r="A4086" s="12" t="inlineStr">
        <is>
          <t>RET-0305</t>
        </is>
      </c>
      <c r="B4086" s="12" t="inlineStr">
        <is>
          <t>VS05</t>
        </is>
      </c>
      <c r="C4086" s="28" t="n">
        <v>0.0113</v>
      </c>
      <c r="D4086" s="12" t="inlineStr">
        <is>
          <t>PO-2022-2543</t>
        </is>
      </c>
      <c r="E4086" s="12" t="n">
        <v>1.76</v>
      </c>
      <c r="F4086" s="17" t="n">
        <v>79675.24000000001</v>
      </c>
      <c r="G4086" s="14">
        <f>E4086*F4086</f>
        <v/>
      </c>
      <c r="H4086" s="14">
        <f>C4086*G4086</f>
        <v/>
      </c>
    </row>
    <row r="4087">
      <c r="A4087" s="12" t="inlineStr">
        <is>
          <t>RET-0305</t>
        </is>
      </c>
      <c r="B4087" s="12" t="inlineStr">
        <is>
          <t>VS06</t>
        </is>
      </c>
      <c r="C4087" s="28" t="n">
        <v>0.0114</v>
      </c>
      <c r="D4087" s="12" t="inlineStr">
        <is>
          <t>PO-2022-2887</t>
        </is>
      </c>
      <c r="E4087" s="12" t="n">
        <v>1.76</v>
      </c>
      <c r="F4087" s="17" t="n">
        <v>86879</v>
      </c>
      <c r="G4087" s="14">
        <f>E4087*F4087</f>
        <v/>
      </c>
      <c r="H4087" s="14">
        <f>C4087*G4087</f>
        <v/>
      </c>
    </row>
    <row r="4088">
      <c r="A4088" s="12" t="inlineStr">
        <is>
          <t>RET-0305</t>
        </is>
      </c>
      <c r="B4088" s="12" t="inlineStr">
        <is>
          <t>VS07</t>
        </is>
      </c>
      <c r="C4088" s="28" t="n">
        <v>0.0038</v>
      </c>
      <c r="D4088" s="12" t="inlineStr">
        <is>
          <t>PO-2023-4106</t>
        </is>
      </c>
      <c r="E4088" s="12" t="n">
        <v>1.76</v>
      </c>
      <c r="F4088" s="17" t="n">
        <v>47048.14</v>
      </c>
      <c r="G4088" s="14">
        <f>E4088*F4088</f>
        <v/>
      </c>
      <c r="H4088" s="14">
        <f>C4088*G4088</f>
        <v/>
      </c>
    </row>
    <row r="4089">
      <c r="A4089" s="12" t="inlineStr">
        <is>
          <t>RET-0305</t>
        </is>
      </c>
      <c r="B4089" s="12" t="inlineStr">
        <is>
          <t>VS08</t>
        </is>
      </c>
      <c r="C4089" s="28" t="n">
        <v>0.0115</v>
      </c>
      <c r="D4089" s="12" t="inlineStr">
        <is>
          <t>PO-2023-4388</t>
        </is>
      </c>
      <c r="E4089" s="12" t="n">
        <v>1.76</v>
      </c>
      <c r="F4089" s="17" t="n">
        <v>47953.34</v>
      </c>
      <c r="G4089" s="14">
        <f>E4089*F4089</f>
        <v/>
      </c>
      <c r="H4089" s="14">
        <f>C4089*G4089</f>
        <v/>
      </c>
    </row>
    <row r="4090">
      <c r="A4090" s="12" t="inlineStr">
        <is>
          <t>RET-0305</t>
        </is>
      </c>
      <c r="B4090" s="12" t="inlineStr">
        <is>
          <t>VS09</t>
        </is>
      </c>
      <c r="C4090" s="28" t="n">
        <v>0.008800000000000001</v>
      </c>
      <c r="D4090" s="12" t="inlineStr">
        <is>
          <t>PO-2023-4224</t>
        </is>
      </c>
      <c r="E4090" s="12" t="n">
        <v>1.76</v>
      </c>
      <c r="F4090" s="17" t="n">
        <v>69824.55</v>
      </c>
      <c r="G4090" s="14">
        <f>E4090*F4090</f>
        <v/>
      </c>
      <c r="H4090" s="14">
        <f>C4090*G4090</f>
        <v/>
      </c>
    </row>
    <row r="4091">
      <c r="A4091" s="12" t="inlineStr">
        <is>
          <t>RET-0305</t>
        </is>
      </c>
      <c r="B4091" s="12" t="inlineStr">
        <is>
          <t>VS10</t>
        </is>
      </c>
      <c r="C4091" s="28" t="n">
        <v>0.0139</v>
      </c>
      <c r="D4091" s="12" t="inlineStr">
        <is>
          <t>PO-2023-3857</t>
        </is>
      </c>
      <c r="E4091" s="12" t="n">
        <v>1.76</v>
      </c>
      <c r="F4091" s="17" t="n">
        <v>45504.57</v>
      </c>
      <c r="G4091" s="14">
        <f>E4091*F4091</f>
        <v/>
      </c>
      <c r="H4091" s="14">
        <f>C4091*G4091</f>
        <v/>
      </c>
    </row>
    <row r="4092">
      <c r="A4092" s="12" t="inlineStr">
        <is>
          <t>RET-0305</t>
        </is>
      </c>
      <c r="B4092" s="12" t="inlineStr">
        <is>
          <t>VS11</t>
        </is>
      </c>
      <c r="C4092" s="28" t="n">
        <v>0.0162</v>
      </c>
      <c r="D4092" s="12" t="inlineStr">
        <is>
          <t>PO-2021-0063</t>
        </is>
      </c>
      <c r="E4092" s="12" t="n">
        <v>1.76</v>
      </c>
      <c r="F4092" s="17" t="n">
        <v>46925.88</v>
      </c>
      <c r="G4092" s="14">
        <f>E4092*F4092</f>
        <v/>
      </c>
      <c r="H4092" s="14">
        <f>C4092*G4092</f>
        <v/>
      </c>
    </row>
    <row r="4093">
      <c r="A4093" s="12" t="inlineStr">
        <is>
          <t>RET-0305</t>
        </is>
      </c>
      <c r="B4093" s="12" t="inlineStr">
        <is>
          <t>VS12</t>
        </is>
      </c>
      <c r="C4093" s="28" t="n">
        <v>0.2807</v>
      </c>
      <c r="D4093" s="12" t="inlineStr">
        <is>
          <t>PO-2022-2491</t>
        </is>
      </c>
      <c r="E4093" s="12" t="n">
        <v>1.76</v>
      </c>
      <c r="F4093" s="17" t="n">
        <v>120277.26</v>
      </c>
      <c r="G4093" s="14">
        <f>E4093*F4093</f>
        <v/>
      </c>
      <c r="H4093" s="14">
        <f>C4093*G4093</f>
        <v/>
      </c>
    </row>
    <row r="4094">
      <c r="A4094" s="12" t="inlineStr">
        <is>
          <t>RET-0305</t>
        </is>
      </c>
      <c r="B4094" s="12" t="inlineStr">
        <is>
          <t>VS13</t>
        </is>
      </c>
      <c r="C4094" s="28" t="n">
        <v>0.0112</v>
      </c>
      <c r="D4094" s="12" t="inlineStr">
        <is>
          <t>PO-2023-3492</t>
        </is>
      </c>
      <c r="E4094" s="12" t="n">
        <v>1.76</v>
      </c>
      <c r="F4094" s="17" t="n">
        <v>89298.57000000001</v>
      </c>
      <c r="G4094" s="14">
        <f>E4094*F4094</f>
        <v/>
      </c>
      <c r="H4094" s="14">
        <f>C4094*G4094</f>
        <v/>
      </c>
    </row>
    <row r="4095">
      <c r="A4095" s="12" t="inlineStr">
        <is>
          <t>RET-0305</t>
        </is>
      </c>
      <c r="B4095" s="12" t="inlineStr">
        <is>
          <t>VS14</t>
        </is>
      </c>
      <c r="C4095" s="28" t="n">
        <v>0.0113</v>
      </c>
      <c r="D4095" s="12" t="inlineStr">
        <is>
          <t>PO-2021-1118</t>
        </is>
      </c>
      <c r="E4095" s="12" t="n">
        <v>1.76</v>
      </c>
      <c r="F4095" s="17" t="n">
        <v>67299.02</v>
      </c>
      <c r="G4095" s="14">
        <f>E4095*F4095</f>
        <v/>
      </c>
      <c r="H4095" s="14">
        <f>C4095*G4095</f>
        <v/>
      </c>
    </row>
    <row r="4096">
      <c r="A4096" s="12" t="inlineStr">
        <is>
          <t>RET-0305</t>
        </is>
      </c>
      <c r="B4096" s="12" t="inlineStr">
        <is>
          <t>VS15</t>
        </is>
      </c>
      <c r="C4096" s="28" t="n">
        <v>0.0038</v>
      </c>
      <c r="D4096" s="12" t="inlineStr">
        <is>
          <t>PO-2022-2900</t>
        </is>
      </c>
      <c r="E4096" s="12" t="n">
        <v>1.76</v>
      </c>
      <c r="F4096" s="17" t="n">
        <v>49398.58</v>
      </c>
      <c r="G4096" s="14">
        <f>E4096*F4096</f>
        <v/>
      </c>
      <c r="H4096" s="14">
        <f>C4096*G4096</f>
        <v/>
      </c>
    </row>
    <row r="4097">
      <c r="A4097" s="12" t="inlineStr">
        <is>
          <t>RET-0305</t>
        </is>
      </c>
      <c r="B4097" s="12" t="inlineStr">
        <is>
          <t>VS16</t>
        </is>
      </c>
      <c r="C4097" s="28" t="n">
        <v>0.0163</v>
      </c>
      <c r="D4097" s="12" t="inlineStr">
        <is>
          <t>PO-2023-4159</t>
        </is>
      </c>
      <c r="E4097" s="12" t="n">
        <v>1.76</v>
      </c>
      <c r="F4097" s="17" t="n">
        <v>116607.98</v>
      </c>
      <c r="G4097" s="14">
        <f>E4097*F4097</f>
        <v/>
      </c>
      <c r="H4097" s="14">
        <f>C4097*G4097</f>
        <v/>
      </c>
    </row>
    <row r="4098">
      <c r="A4098" s="12" t="inlineStr">
        <is>
          <t>RET-0305</t>
        </is>
      </c>
      <c r="B4098" s="12" t="inlineStr">
        <is>
          <t>VS17</t>
        </is>
      </c>
      <c r="C4098" s="28" t="n">
        <v>0.0162</v>
      </c>
      <c r="D4098" s="12" t="inlineStr">
        <is>
          <t>PO-2023-4479</t>
        </is>
      </c>
      <c r="E4098" s="12" t="n">
        <v>1.76</v>
      </c>
      <c r="F4098" s="17" t="n">
        <v>115105.51</v>
      </c>
      <c r="G4098" s="14">
        <f>E4098*F4098</f>
        <v/>
      </c>
      <c r="H4098" s="14">
        <f>C4098*G4098</f>
        <v/>
      </c>
    </row>
    <row r="4099">
      <c r="A4099" s="12" t="inlineStr">
        <is>
          <t>RET-0305</t>
        </is>
      </c>
      <c r="B4099" s="12" t="inlineStr">
        <is>
          <t>VS18</t>
        </is>
      </c>
      <c r="C4099" s="28" t="n">
        <v>0.0113</v>
      </c>
      <c r="D4099" s="12" t="inlineStr">
        <is>
          <t>PO-2023-3525</t>
        </is>
      </c>
      <c r="E4099" s="12" t="n">
        <v>1.76</v>
      </c>
      <c r="F4099" s="17" t="n">
        <v>78455.82000000001</v>
      </c>
      <c r="G4099" s="14">
        <f>E4099*F4099</f>
        <v/>
      </c>
      <c r="H4099" s="14">
        <f>C4099*G4099</f>
        <v/>
      </c>
    </row>
    <row r="4100">
      <c r="A4100" s="12" t="inlineStr">
        <is>
          <t>RET-0305</t>
        </is>
      </c>
      <c r="B4100" s="12" t="inlineStr">
        <is>
          <t>VS19</t>
        </is>
      </c>
      <c r="C4100" s="28" t="n">
        <v>0.2118</v>
      </c>
      <c r="D4100" s="12" t="inlineStr">
        <is>
          <t>PO-2022-2731</t>
        </is>
      </c>
      <c r="E4100" s="12" t="n">
        <v>1.76</v>
      </c>
      <c r="F4100" s="17" t="n">
        <v>119727</v>
      </c>
      <c r="G4100" s="14">
        <f>E4100*F4100</f>
        <v/>
      </c>
      <c r="H4100" s="14">
        <f>C4100*G4100</f>
        <v/>
      </c>
    </row>
    <row r="4101">
      <c r="A4101" s="12" t="inlineStr">
        <is>
          <t>RET-0305</t>
        </is>
      </c>
      <c r="B4101" s="12" t="inlineStr">
        <is>
          <t>VS20</t>
        </is>
      </c>
      <c r="C4101" s="28" t="n">
        <v>0.0063</v>
      </c>
      <c r="D4101" s="12" t="inlineStr">
        <is>
          <t>PO-2022-2233</t>
        </is>
      </c>
      <c r="E4101" s="12" t="n">
        <v>1.76</v>
      </c>
      <c r="F4101" s="17" t="n">
        <v>96227.39999999999</v>
      </c>
      <c r="G4101" s="14">
        <f>E4101*F4101</f>
        <v/>
      </c>
      <c r="H4101" s="14">
        <f>C4101*G4101</f>
        <v/>
      </c>
    </row>
    <row r="4102">
      <c r="A4102" s="12" t="inlineStr">
        <is>
          <t>RET-0305</t>
        </is>
      </c>
      <c r="B4102" s="12" t="inlineStr">
        <is>
          <t>VS21</t>
        </is>
      </c>
      <c r="C4102" s="28" t="n">
        <v>0.0063</v>
      </c>
      <c r="D4102" s="12" t="inlineStr">
        <is>
          <t>PO-2022-2819</t>
        </is>
      </c>
      <c r="E4102" s="12" t="n">
        <v>1.76</v>
      </c>
      <c r="F4102" s="17" t="n">
        <v>69507.59</v>
      </c>
      <c r="G4102" s="14">
        <f>E4102*F4102</f>
        <v/>
      </c>
      <c r="H4102" s="14">
        <f>C4102*G4102</f>
        <v/>
      </c>
    </row>
    <row r="4103">
      <c r="A4103" s="12" t="inlineStr">
        <is>
          <t>RET-0305</t>
        </is>
      </c>
      <c r="B4103" s="12" t="inlineStr">
        <is>
          <t>VS22</t>
        </is>
      </c>
      <c r="C4103" s="28" t="n">
        <v>0.0037</v>
      </c>
      <c r="D4103" s="12" t="inlineStr">
        <is>
          <t>PO-2023-4447</t>
        </is>
      </c>
      <c r="E4103" s="12" t="n">
        <v>1.76</v>
      </c>
      <c r="F4103" s="17" t="n">
        <v>101136.52</v>
      </c>
      <c r="G4103" s="14">
        <f>E4103*F4103</f>
        <v/>
      </c>
      <c r="H4103" s="14">
        <f>C4103*G4103</f>
        <v/>
      </c>
    </row>
    <row r="4104">
      <c r="A4104" s="12" t="inlineStr">
        <is>
          <t>RET-0305</t>
        </is>
      </c>
      <c r="B4104" s="12" t="inlineStr">
        <is>
          <t>VS23</t>
        </is>
      </c>
      <c r="C4104" s="28" t="n">
        <v>0.0062</v>
      </c>
      <c r="D4104" s="12" t="inlineStr">
        <is>
          <t>PO-2022-1877</t>
        </is>
      </c>
      <c r="E4104" s="12" t="n">
        <v>1.76</v>
      </c>
      <c r="F4104" s="17" t="n">
        <v>66588.24000000001</v>
      </c>
      <c r="G4104" s="14">
        <f>E4104*F4104</f>
        <v/>
      </c>
      <c r="H4104" s="14">
        <f>C4104*G4104</f>
        <v/>
      </c>
    </row>
    <row r="4105">
      <c r="A4105" s="12" t="inlineStr">
        <is>
          <t>RET-0305</t>
        </is>
      </c>
      <c r="B4105" s="12" t="inlineStr">
        <is>
          <t>VS24</t>
        </is>
      </c>
      <c r="C4105" s="28" t="n">
        <v>0.0063</v>
      </c>
      <c r="D4105" s="12" t="inlineStr">
        <is>
          <t>PO-2023-3773</t>
        </is>
      </c>
      <c r="E4105" s="12" t="n">
        <v>1.76</v>
      </c>
      <c r="F4105" s="17" t="n">
        <v>51534.59</v>
      </c>
      <c r="G4105" s="14">
        <f>E4105*F4105</f>
        <v/>
      </c>
      <c r="H4105" s="14">
        <f>C4105*G4105</f>
        <v/>
      </c>
    </row>
    <row r="4106">
      <c r="A4106" s="12" t="inlineStr">
        <is>
          <t>RET-0305</t>
        </is>
      </c>
      <c r="B4106" s="12" t="inlineStr">
        <is>
          <t>VS25</t>
        </is>
      </c>
      <c r="C4106" s="28" t="n">
        <v>0.0114</v>
      </c>
      <c r="D4106" s="12" t="inlineStr">
        <is>
          <t>PO-2021-1089</t>
        </is>
      </c>
      <c r="E4106" s="12" t="n">
        <v>1.76</v>
      </c>
      <c r="F4106" s="17" t="n">
        <v>100213.08</v>
      </c>
      <c r="G4106" s="14">
        <f>E4106*F4106</f>
        <v/>
      </c>
      <c r="H4106" s="14">
        <f>C4106*G4106</f>
        <v/>
      </c>
    </row>
    <row r="4107">
      <c r="A4107" s="12" t="inlineStr">
        <is>
          <t>RET-0305</t>
        </is>
      </c>
      <c r="B4107" s="12" t="inlineStr">
        <is>
          <t>VS26</t>
        </is>
      </c>
      <c r="C4107" s="28" t="n">
        <v>0.0063</v>
      </c>
      <c r="D4107" s="12" t="inlineStr">
        <is>
          <t>PO-2023-4068</t>
        </is>
      </c>
      <c r="E4107" s="12" t="n">
        <v>1.76</v>
      </c>
      <c r="F4107" s="17" t="n">
        <v>119769.05</v>
      </c>
      <c r="G4107" s="14">
        <f>E4107*F4107</f>
        <v/>
      </c>
      <c r="H4107" s="14">
        <f>C4107*G4107</f>
        <v/>
      </c>
    </row>
    <row r="4108">
      <c r="A4108" s="12" t="inlineStr">
        <is>
          <t>RET-0305</t>
        </is>
      </c>
      <c r="B4108" s="12" t="inlineStr">
        <is>
          <t>VS27</t>
        </is>
      </c>
      <c r="C4108" s="28" t="n">
        <v>0.0062</v>
      </c>
      <c r="D4108" s="12" t="inlineStr">
        <is>
          <t>PO-2022-1702</t>
        </is>
      </c>
      <c r="E4108" s="12" t="n">
        <v>1.76</v>
      </c>
      <c r="F4108" s="17" t="n">
        <v>101526.92</v>
      </c>
      <c r="G4108" s="14">
        <f>E4108*F4108</f>
        <v/>
      </c>
      <c r="H4108" s="14">
        <f>C4108*G4108</f>
        <v/>
      </c>
    </row>
    <row r="4109">
      <c r="A4109" s="12" t="inlineStr">
        <is>
          <t>RET-0305</t>
        </is>
      </c>
      <c r="B4109" s="12" t="inlineStr">
        <is>
          <t>VS28</t>
        </is>
      </c>
      <c r="C4109" s="28" t="n">
        <v>0.0139</v>
      </c>
      <c r="D4109" s="12" t="inlineStr">
        <is>
          <t>PO-2022-2277</t>
        </is>
      </c>
      <c r="E4109" s="12" t="n">
        <v>1.76</v>
      </c>
      <c r="F4109" s="17" t="n">
        <v>79494.91</v>
      </c>
      <c r="G4109" s="14">
        <f>E4109*F4109</f>
        <v/>
      </c>
      <c r="H4109" s="14">
        <f>C4109*G4109</f>
        <v/>
      </c>
    </row>
    <row r="4110">
      <c r="A4110" s="12" t="inlineStr">
        <is>
          <t>RET-0305</t>
        </is>
      </c>
      <c r="B4110" s="12" t="inlineStr">
        <is>
          <t>VS29</t>
        </is>
      </c>
      <c r="C4110" s="28" t="n">
        <v>0.008800000000000001</v>
      </c>
      <c r="D4110" s="12" t="inlineStr">
        <is>
          <t>PO-2021-1246</t>
        </is>
      </c>
      <c r="E4110" s="12" t="n">
        <v>1.76</v>
      </c>
      <c r="F4110" s="17" t="n">
        <v>45391</v>
      </c>
      <c r="G4110" s="14">
        <f>E4110*F4110</f>
        <v/>
      </c>
      <c r="H4110" s="14">
        <f>C4110*G4110</f>
        <v/>
      </c>
    </row>
    <row r="4111">
      <c r="A4111" s="12" t="inlineStr">
        <is>
          <t>RET-0305</t>
        </is>
      </c>
      <c r="B4111" s="12" t="inlineStr">
        <is>
          <t>VS30</t>
        </is>
      </c>
      <c r="C4111" s="28" t="n">
        <v>0.0038</v>
      </c>
      <c r="D4111" s="12" t="inlineStr">
        <is>
          <t>PO-2021-0309</t>
        </is>
      </c>
      <c r="E4111" s="12" t="n">
        <v>1.76</v>
      </c>
      <c r="F4111" s="17" t="n">
        <v>96455.52</v>
      </c>
      <c r="G4111" s="14">
        <f>E4111*F4111</f>
        <v/>
      </c>
      <c r="H4111" s="14">
        <f>C4111*G4111</f>
        <v/>
      </c>
    </row>
    <row r="4112">
      <c r="A4112" s="12" t="inlineStr">
        <is>
          <t>RET-0305</t>
        </is>
      </c>
      <c r="B4112" s="12" t="inlineStr">
        <is>
          <t>VS31</t>
        </is>
      </c>
      <c r="C4112" s="28" t="n">
        <v>0.0138</v>
      </c>
      <c r="D4112" s="12" t="inlineStr">
        <is>
          <t>PO-2022-3161</t>
        </is>
      </c>
      <c r="E4112" s="12" t="n">
        <v>1.76</v>
      </c>
      <c r="F4112" s="17" t="n">
        <v>90608.88</v>
      </c>
      <c r="G4112" s="14">
        <f>E4112*F4112</f>
        <v/>
      </c>
      <c r="H4112" s="14">
        <f>C4112*G4112</f>
        <v/>
      </c>
    </row>
    <row r="4113">
      <c r="A4113" s="12" t="inlineStr">
        <is>
          <t>RET-0305</t>
        </is>
      </c>
      <c r="B4113" s="12" t="inlineStr">
        <is>
          <t>VS32</t>
        </is>
      </c>
      <c r="C4113" s="28" t="n">
        <v>0.0164</v>
      </c>
      <c r="D4113" s="12" t="inlineStr">
        <is>
          <t>PO-2021-0131</t>
        </is>
      </c>
      <c r="E4113" s="12" t="n">
        <v>1.76</v>
      </c>
      <c r="F4113" s="17" t="n">
        <v>62258.88</v>
      </c>
      <c r="G4113" s="14">
        <f>E4113*F4113</f>
        <v/>
      </c>
      <c r="H4113" s="14">
        <f>C4113*G4113</f>
        <v/>
      </c>
    </row>
    <row r="4114">
      <c r="A4114" s="12" t="inlineStr">
        <is>
          <t>RET-0305</t>
        </is>
      </c>
      <c r="B4114" s="12" t="inlineStr">
        <is>
          <t>VS33</t>
        </is>
      </c>
      <c r="C4114" s="28" t="n">
        <v>0.008800000000000001</v>
      </c>
      <c r="D4114" s="12" t="inlineStr">
        <is>
          <t>PO-2023-4327</t>
        </is>
      </c>
      <c r="E4114" s="12" t="n">
        <v>1.76</v>
      </c>
      <c r="F4114" s="17" t="n">
        <v>54620.38</v>
      </c>
      <c r="G4114" s="14">
        <f>E4114*F4114</f>
        <v/>
      </c>
      <c r="H4114" s="14">
        <f>C4114*G4114</f>
        <v/>
      </c>
    </row>
    <row r="4115">
      <c r="A4115" s="12" t="inlineStr">
        <is>
          <t>RET-0305</t>
        </is>
      </c>
      <c r="B4115" s="12" t="inlineStr">
        <is>
          <t>VS34</t>
        </is>
      </c>
      <c r="C4115" s="28" t="n">
        <v>0.0113</v>
      </c>
      <c r="D4115" s="12" t="inlineStr">
        <is>
          <t>PO-2021-0887</t>
        </is>
      </c>
      <c r="E4115" s="12" t="n">
        <v>1.76</v>
      </c>
      <c r="F4115" s="17" t="n">
        <v>95864.82000000001</v>
      </c>
      <c r="G4115" s="14">
        <f>E4115*F4115</f>
        <v/>
      </c>
      <c r="H4115" s="14">
        <f>C4115*G4115</f>
        <v/>
      </c>
    </row>
    <row r="4116">
      <c r="A4116" s="12" t="inlineStr">
        <is>
          <t>RET-0309</t>
        </is>
      </c>
      <c r="B4116" s="12" t="inlineStr">
        <is>
          <t>VS01</t>
        </is>
      </c>
      <c r="C4116" s="28" t="n">
        <v>0.0105</v>
      </c>
      <c r="D4116" s="12" t="inlineStr">
        <is>
          <t>PO-2022-1908</t>
        </is>
      </c>
      <c r="E4116" s="12" t="n">
        <v>0.53</v>
      </c>
      <c r="F4116" s="17" t="n">
        <v>101634.14</v>
      </c>
      <c r="G4116" s="14">
        <f>E4116*F4116</f>
        <v/>
      </c>
      <c r="H4116" s="14">
        <f>C4116*G4116</f>
        <v/>
      </c>
    </row>
    <row r="4117">
      <c r="A4117" s="12" t="inlineStr">
        <is>
          <t>RET-0309</t>
        </is>
      </c>
      <c r="B4117" s="12" t="inlineStr">
        <is>
          <t>VS02</t>
        </is>
      </c>
      <c r="C4117" s="28" t="n">
        <v>0.0048</v>
      </c>
      <c r="D4117" s="12" t="inlineStr">
        <is>
          <t>PO-2022-1812</t>
        </is>
      </c>
      <c r="E4117" s="12" t="n">
        <v>0.53</v>
      </c>
      <c r="F4117" s="17" t="n">
        <v>103636.69</v>
      </c>
      <c r="G4117" s="14">
        <f>E4117*F4117</f>
        <v/>
      </c>
      <c r="H4117" s="14">
        <f>C4117*G4117</f>
        <v/>
      </c>
    </row>
    <row r="4118">
      <c r="A4118" s="12" t="inlineStr">
        <is>
          <t>RET-0309</t>
        </is>
      </c>
      <c r="B4118" s="12" t="inlineStr">
        <is>
          <t>VS03</t>
        </is>
      </c>
      <c r="C4118" s="28" t="n">
        <v>0.2239</v>
      </c>
      <c r="D4118" s="12" t="inlineStr">
        <is>
          <t>PO-2023-4639</t>
        </is>
      </c>
      <c r="E4118" s="12" t="n">
        <v>0.53</v>
      </c>
      <c r="F4118" s="17" t="n">
        <v>121720.35</v>
      </c>
      <c r="G4118" s="14">
        <f>E4118*F4118</f>
        <v/>
      </c>
      <c r="H4118" s="14">
        <f>C4118*G4118</f>
        <v/>
      </c>
    </row>
    <row r="4119">
      <c r="A4119" s="12" t="inlineStr">
        <is>
          <t>RET-0309</t>
        </is>
      </c>
      <c r="B4119" s="12" t="inlineStr">
        <is>
          <t>VS04</t>
        </is>
      </c>
      <c r="C4119" s="28" t="n">
        <v>0.0066</v>
      </c>
      <c r="D4119" s="12" t="inlineStr">
        <is>
          <t>PO-2022-3006</t>
        </is>
      </c>
      <c r="E4119" s="12" t="n">
        <v>0.53</v>
      </c>
      <c r="F4119" s="17" t="n">
        <v>77192.78999999999</v>
      </c>
      <c r="G4119" s="14">
        <f>E4119*F4119</f>
        <v/>
      </c>
      <c r="H4119" s="14">
        <f>C4119*G4119</f>
        <v/>
      </c>
    </row>
    <row r="4120">
      <c r="A4120" s="12" t="inlineStr">
        <is>
          <t>RET-0309</t>
        </is>
      </c>
      <c r="B4120" s="12" t="inlineStr">
        <is>
          <t>VS05</t>
        </is>
      </c>
      <c r="C4120" s="28" t="n">
        <v>0.008500000000000001</v>
      </c>
      <c r="D4120" s="12" t="inlineStr">
        <is>
          <t>PO-2023-3502</t>
        </is>
      </c>
      <c r="E4120" s="12" t="n">
        <v>0.53</v>
      </c>
      <c r="F4120" s="17" t="n">
        <v>98594.02</v>
      </c>
      <c r="G4120" s="14">
        <f>E4120*F4120</f>
        <v/>
      </c>
      <c r="H4120" s="14">
        <f>C4120*G4120</f>
        <v/>
      </c>
    </row>
    <row r="4121">
      <c r="A4121" s="12" t="inlineStr">
        <is>
          <t>RET-0309</t>
        </is>
      </c>
      <c r="B4121" s="12" t="inlineStr">
        <is>
          <t>VS06</t>
        </is>
      </c>
      <c r="C4121" s="28" t="n">
        <v>0.0086</v>
      </c>
      <c r="D4121" s="12" t="inlineStr">
        <is>
          <t>PO-2023-4153</t>
        </is>
      </c>
      <c r="E4121" s="12" t="n">
        <v>0.53</v>
      </c>
      <c r="F4121" s="17" t="n">
        <v>109873.14</v>
      </c>
      <c r="G4121" s="14">
        <f>E4121*F4121</f>
        <v/>
      </c>
      <c r="H4121" s="14">
        <f>C4121*G4121</f>
        <v/>
      </c>
    </row>
    <row r="4122">
      <c r="A4122" s="12" t="inlineStr">
        <is>
          <t>RET-0309</t>
        </is>
      </c>
      <c r="B4122" s="12" t="inlineStr">
        <is>
          <t>VS07</t>
        </is>
      </c>
      <c r="C4122" s="28" t="n">
        <v>0.0029</v>
      </c>
      <c r="D4122" s="12" t="inlineStr">
        <is>
          <t>PO-2022-2385</t>
        </is>
      </c>
      <c r="E4122" s="12" t="n">
        <v>0.53</v>
      </c>
      <c r="F4122" s="17" t="n">
        <v>93432.91</v>
      </c>
      <c r="G4122" s="14">
        <f>E4122*F4122</f>
        <v/>
      </c>
      <c r="H4122" s="14">
        <f>C4122*G4122</f>
        <v/>
      </c>
    </row>
    <row r="4123">
      <c r="A4123" s="12" t="inlineStr">
        <is>
          <t>RET-0309</t>
        </is>
      </c>
      <c r="B4123" s="12" t="inlineStr">
        <is>
          <t>VS08</t>
        </is>
      </c>
      <c r="C4123" s="28" t="n">
        <v>0.008699999999999999</v>
      </c>
      <c r="D4123" s="12" t="inlineStr">
        <is>
          <t>PO-2022-2882</t>
        </is>
      </c>
      <c r="E4123" s="12" t="n">
        <v>0.53</v>
      </c>
      <c r="F4123" s="17" t="n">
        <v>99224.95</v>
      </c>
      <c r="G4123" s="14">
        <f>E4123*F4123</f>
        <v/>
      </c>
      <c r="H4123" s="14">
        <f>C4123*G4123</f>
        <v/>
      </c>
    </row>
    <row r="4124">
      <c r="A4124" s="12" t="inlineStr">
        <is>
          <t>RET-0309</t>
        </is>
      </c>
      <c r="B4124" s="12" t="inlineStr">
        <is>
          <t>VS09</t>
        </is>
      </c>
      <c r="C4124" s="28" t="n">
        <v>0.0066</v>
      </c>
      <c r="D4124" s="12" t="inlineStr">
        <is>
          <t>PO-2021-0531</t>
        </is>
      </c>
      <c r="E4124" s="12" t="n">
        <v>0.53</v>
      </c>
      <c r="F4124" s="17" t="n">
        <v>119121</v>
      </c>
      <c r="G4124" s="14">
        <f>E4124*F4124</f>
        <v/>
      </c>
      <c r="H4124" s="14">
        <f>C4124*G4124</f>
        <v/>
      </c>
    </row>
    <row r="4125">
      <c r="A4125" s="12" t="inlineStr">
        <is>
          <t>RET-0309</t>
        </is>
      </c>
      <c r="B4125" s="12" t="inlineStr">
        <is>
          <t>VS10</t>
        </is>
      </c>
      <c r="C4125" s="28" t="n">
        <v>0.0104</v>
      </c>
      <c r="D4125" s="12" t="inlineStr">
        <is>
          <t>PO-2023-4161</t>
        </is>
      </c>
      <c r="E4125" s="12" t="n">
        <v>0.53</v>
      </c>
      <c r="F4125" s="17" t="n">
        <v>59811.13</v>
      </c>
      <c r="G4125" s="14">
        <f>E4125*F4125</f>
        <v/>
      </c>
      <c r="H4125" s="14">
        <f>C4125*G4125</f>
        <v/>
      </c>
    </row>
    <row r="4126">
      <c r="A4126" s="12" t="inlineStr">
        <is>
          <t>RET-0309</t>
        </is>
      </c>
      <c r="B4126" s="12" t="inlineStr">
        <is>
          <t>VS11</t>
        </is>
      </c>
      <c r="C4126" s="28" t="n">
        <v>0.0122</v>
      </c>
      <c r="D4126" s="12" t="inlineStr">
        <is>
          <t>PO-2023-3498</t>
        </is>
      </c>
      <c r="E4126" s="12" t="n">
        <v>0.53</v>
      </c>
      <c r="F4126" s="17" t="n">
        <v>50086.51</v>
      </c>
      <c r="G4126" s="14">
        <f>E4126*F4126</f>
        <v/>
      </c>
      <c r="H4126" s="14">
        <f>C4126*G4126</f>
        <v/>
      </c>
    </row>
    <row r="4127">
      <c r="A4127" s="12" t="inlineStr">
        <is>
          <t>RET-0309</t>
        </is>
      </c>
      <c r="B4127" s="12" t="inlineStr">
        <is>
          <t>VS12</t>
        </is>
      </c>
      <c r="C4127" s="28" t="n">
        <v>0.3112</v>
      </c>
      <c r="D4127" s="12" t="inlineStr">
        <is>
          <t>PO-2023-3659</t>
        </is>
      </c>
      <c r="E4127" s="12" t="n">
        <v>0.53</v>
      </c>
      <c r="F4127" s="17" t="n">
        <v>107653.42</v>
      </c>
      <c r="G4127" s="14">
        <f>E4127*F4127</f>
        <v/>
      </c>
      <c r="H4127" s="14">
        <f>C4127*G4127</f>
        <v/>
      </c>
    </row>
    <row r="4128">
      <c r="A4128" s="12" t="inlineStr">
        <is>
          <t>RET-0309</t>
        </is>
      </c>
      <c r="B4128" s="12" t="inlineStr">
        <is>
          <t>VS13</t>
        </is>
      </c>
      <c r="C4128" s="28" t="n">
        <v>0.008399999999999999</v>
      </c>
      <c r="D4128" s="12" t="inlineStr">
        <is>
          <t>PO-2022-1697</t>
        </is>
      </c>
      <c r="E4128" s="12" t="n">
        <v>0.53</v>
      </c>
      <c r="F4128" s="17" t="n">
        <v>82398.82000000001</v>
      </c>
      <c r="G4128" s="14">
        <f>E4128*F4128</f>
        <v/>
      </c>
      <c r="H4128" s="14">
        <f>C4128*G4128</f>
        <v/>
      </c>
    </row>
    <row r="4129">
      <c r="A4129" s="12" t="inlineStr">
        <is>
          <t>RET-0309</t>
        </is>
      </c>
      <c r="B4129" s="12" t="inlineStr">
        <is>
          <t>VS14</t>
        </is>
      </c>
      <c r="C4129" s="28" t="n">
        <v>0.008500000000000001</v>
      </c>
      <c r="D4129" s="12" t="inlineStr">
        <is>
          <t>PO-2022-2316</t>
        </is>
      </c>
      <c r="E4129" s="12" t="n">
        <v>0.53</v>
      </c>
      <c r="F4129" s="17" t="n">
        <v>74017.57000000001</v>
      </c>
      <c r="G4129" s="14">
        <f>E4129*F4129</f>
        <v/>
      </c>
      <c r="H4129" s="14">
        <f>C4129*G4129</f>
        <v/>
      </c>
    </row>
    <row r="4130">
      <c r="A4130" s="12" t="inlineStr">
        <is>
          <t>RET-0309</t>
        </is>
      </c>
      <c r="B4130" s="12" t="inlineStr">
        <is>
          <t>VS15</t>
        </is>
      </c>
      <c r="C4130" s="28" t="n">
        <v>0.0028</v>
      </c>
      <c r="D4130" s="12" t="inlineStr">
        <is>
          <t>PO-2021-1563</t>
        </is>
      </c>
      <c r="E4130" s="12" t="n">
        <v>0.53</v>
      </c>
      <c r="F4130" s="17" t="n">
        <v>66888.25</v>
      </c>
      <c r="G4130" s="14">
        <f>E4130*F4130</f>
        <v/>
      </c>
      <c r="H4130" s="14">
        <f>C4130*G4130</f>
        <v/>
      </c>
    </row>
    <row r="4131">
      <c r="A4131" s="12" t="inlineStr">
        <is>
          <t>RET-0309</t>
        </is>
      </c>
      <c r="B4131" s="12" t="inlineStr">
        <is>
          <t>VS16</t>
        </is>
      </c>
      <c r="C4131" s="28" t="n">
        <v>0.0123</v>
      </c>
      <c r="D4131" s="12" t="inlineStr">
        <is>
          <t>PO-2022-2659</t>
        </is>
      </c>
      <c r="E4131" s="12" t="n">
        <v>0.53</v>
      </c>
      <c r="F4131" s="17" t="n">
        <v>90517.60000000001</v>
      </c>
      <c r="G4131" s="14">
        <f>E4131*F4131</f>
        <v/>
      </c>
      <c r="H4131" s="14">
        <f>C4131*G4131</f>
        <v/>
      </c>
    </row>
    <row r="4132">
      <c r="A4132" s="12" t="inlineStr">
        <is>
          <t>RET-0309</t>
        </is>
      </c>
      <c r="B4132" s="12" t="inlineStr">
        <is>
          <t>VS17</t>
        </is>
      </c>
      <c r="C4132" s="28" t="n">
        <v>0.0122</v>
      </c>
      <c r="D4132" s="12" t="inlineStr">
        <is>
          <t>PO-2023-3309</t>
        </is>
      </c>
      <c r="E4132" s="12" t="n">
        <v>0.53</v>
      </c>
      <c r="F4132" s="17" t="n">
        <v>92986.41</v>
      </c>
      <c r="G4132" s="14">
        <f>E4132*F4132</f>
        <v/>
      </c>
      <c r="H4132" s="14">
        <f>C4132*G4132</f>
        <v/>
      </c>
    </row>
    <row r="4133">
      <c r="A4133" s="12" t="inlineStr">
        <is>
          <t>RET-0309</t>
        </is>
      </c>
      <c r="B4133" s="12" t="inlineStr">
        <is>
          <t>VS18</t>
        </is>
      </c>
      <c r="C4133" s="28" t="n">
        <v>0.008500000000000001</v>
      </c>
      <c r="D4133" s="12" t="inlineStr">
        <is>
          <t>PO-2022-1957</t>
        </is>
      </c>
      <c r="E4133" s="12" t="n">
        <v>0.53</v>
      </c>
      <c r="F4133" s="17" t="n">
        <v>106749.43</v>
      </c>
      <c r="G4133" s="14">
        <f>E4133*F4133</f>
        <v/>
      </c>
      <c r="H4133" s="14">
        <f>C4133*G4133</f>
        <v/>
      </c>
    </row>
    <row r="4134">
      <c r="A4134" s="12" t="inlineStr">
        <is>
          <t>RET-0309</t>
        </is>
      </c>
      <c r="B4134" s="12" t="inlineStr">
        <is>
          <t>VS19</t>
        </is>
      </c>
      <c r="C4134" s="28" t="n">
        <v>0.2348</v>
      </c>
      <c r="D4134" s="12" t="inlineStr">
        <is>
          <t>PO-2023-3306</t>
        </is>
      </c>
      <c r="E4134" s="12" t="n">
        <v>0.53</v>
      </c>
      <c r="F4134" s="17" t="n">
        <v>51362.2</v>
      </c>
      <c r="G4134" s="14">
        <f>E4134*F4134</f>
        <v/>
      </c>
      <c r="H4134" s="14">
        <f>C4134*G4134</f>
        <v/>
      </c>
    </row>
    <row r="4135">
      <c r="A4135" s="12" t="inlineStr">
        <is>
          <t>RET-0309</t>
        </is>
      </c>
      <c r="B4135" s="12" t="inlineStr">
        <is>
          <t>VS20</t>
        </is>
      </c>
      <c r="C4135" s="28" t="n">
        <v>0.0048</v>
      </c>
      <c r="D4135" s="12" t="inlineStr">
        <is>
          <t>PO-2022-3168</t>
        </is>
      </c>
      <c r="E4135" s="12" t="n">
        <v>0.53</v>
      </c>
      <c r="F4135" s="17" t="n">
        <v>77361.39</v>
      </c>
      <c r="G4135" s="14">
        <f>E4135*F4135</f>
        <v/>
      </c>
      <c r="H4135" s="14">
        <f>C4135*G4135</f>
        <v/>
      </c>
    </row>
    <row r="4136">
      <c r="A4136" s="12" t="inlineStr">
        <is>
          <t>RET-0309</t>
        </is>
      </c>
      <c r="B4136" s="12" t="inlineStr">
        <is>
          <t>VS21</t>
        </is>
      </c>
      <c r="C4136" s="28" t="n">
        <v>0.0047</v>
      </c>
      <c r="D4136" s="12" t="inlineStr">
        <is>
          <t>PO-2023-3292</t>
        </is>
      </c>
      <c r="E4136" s="12" t="n">
        <v>0.53</v>
      </c>
      <c r="F4136" s="17" t="n">
        <v>85242.11</v>
      </c>
      <c r="G4136" s="14">
        <f>E4136*F4136</f>
        <v/>
      </c>
      <c r="H4136" s="14">
        <f>C4136*G4136</f>
        <v/>
      </c>
    </row>
    <row r="4137">
      <c r="A4137" s="12" t="inlineStr">
        <is>
          <t>RET-0309</t>
        </is>
      </c>
      <c r="B4137" s="12" t="inlineStr">
        <is>
          <t>VS22</t>
        </is>
      </c>
      <c r="C4137" s="28" t="n">
        <v>0.0028</v>
      </c>
      <c r="D4137" s="12" t="inlineStr">
        <is>
          <t>PO-2023-3257</t>
        </is>
      </c>
      <c r="E4137" s="12" t="n">
        <v>0.53</v>
      </c>
      <c r="F4137" s="17" t="n">
        <v>63319.79</v>
      </c>
      <c r="G4137" s="14">
        <f>E4137*F4137</f>
        <v/>
      </c>
      <c r="H4137" s="14">
        <f>C4137*G4137</f>
        <v/>
      </c>
    </row>
    <row r="4138">
      <c r="A4138" s="12" t="inlineStr">
        <is>
          <t>RET-0309</t>
        </is>
      </c>
      <c r="B4138" s="12" t="inlineStr">
        <is>
          <t>VS23</t>
        </is>
      </c>
      <c r="C4138" s="28" t="n">
        <v>0.0047</v>
      </c>
      <c r="D4138" s="12" t="inlineStr">
        <is>
          <t>PO-2023-3685</t>
        </is>
      </c>
      <c r="E4138" s="12" t="n">
        <v>0.53</v>
      </c>
      <c r="F4138" s="17" t="n">
        <v>102930.31</v>
      </c>
      <c r="G4138" s="14">
        <f>E4138*F4138</f>
        <v/>
      </c>
      <c r="H4138" s="14">
        <f>C4138*G4138</f>
        <v/>
      </c>
    </row>
    <row r="4139">
      <c r="A4139" s="12" t="inlineStr">
        <is>
          <t>RET-0309</t>
        </is>
      </c>
      <c r="B4139" s="12" t="inlineStr">
        <is>
          <t>VS24</t>
        </is>
      </c>
      <c r="C4139" s="28" t="n">
        <v>0.0047</v>
      </c>
      <c r="D4139" s="12" t="inlineStr">
        <is>
          <t>PO-2022-2801</t>
        </is>
      </c>
      <c r="E4139" s="12" t="n">
        <v>0.53</v>
      </c>
      <c r="F4139" s="17" t="n">
        <v>111226.53</v>
      </c>
      <c r="G4139" s="14">
        <f>E4139*F4139</f>
        <v/>
      </c>
      <c r="H4139" s="14">
        <f>C4139*G4139</f>
        <v/>
      </c>
    </row>
    <row r="4140">
      <c r="A4140" s="12" t="inlineStr">
        <is>
          <t>RET-0309</t>
        </is>
      </c>
      <c r="B4140" s="12" t="inlineStr">
        <is>
          <t>VS25</t>
        </is>
      </c>
      <c r="C4140" s="28" t="n">
        <v>0.0086</v>
      </c>
      <c r="D4140" s="12" t="inlineStr">
        <is>
          <t>PO-2022-2977</t>
        </is>
      </c>
      <c r="E4140" s="12" t="n">
        <v>0.53</v>
      </c>
      <c r="F4140" s="17" t="n">
        <v>50278.77</v>
      </c>
      <c r="G4140" s="14">
        <f>E4140*F4140</f>
        <v/>
      </c>
      <c r="H4140" s="14">
        <f>C4140*G4140</f>
        <v/>
      </c>
    </row>
    <row r="4141">
      <c r="A4141" s="12" t="inlineStr">
        <is>
          <t>RET-0309</t>
        </is>
      </c>
      <c r="B4141" s="12" t="inlineStr">
        <is>
          <t>VS26</t>
        </is>
      </c>
      <c r="C4141" s="28" t="n">
        <v>0.0048</v>
      </c>
      <c r="D4141" s="12" t="inlineStr">
        <is>
          <t>PO-2022-1609</t>
        </is>
      </c>
      <c r="E4141" s="12" t="n">
        <v>0.53</v>
      </c>
      <c r="F4141" s="17" t="n">
        <v>58777.03</v>
      </c>
      <c r="G4141" s="14">
        <f>E4141*F4141</f>
        <v/>
      </c>
      <c r="H4141" s="14">
        <f>C4141*G4141</f>
        <v/>
      </c>
    </row>
    <row r="4142">
      <c r="A4142" s="12" t="inlineStr">
        <is>
          <t>RET-0309</t>
        </is>
      </c>
      <c r="B4142" s="12" t="inlineStr">
        <is>
          <t>VS27</t>
        </is>
      </c>
      <c r="C4142" s="28" t="n">
        <v>0.0047</v>
      </c>
      <c r="D4142" s="12" t="inlineStr">
        <is>
          <t>PO-2023-4340</t>
        </is>
      </c>
      <c r="E4142" s="12" t="n">
        <v>0.53</v>
      </c>
      <c r="F4142" s="17" t="n">
        <v>70093.12</v>
      </c>
      <c r="G4142" s="14">
        <f>E4142*F4142</f>
        <v/>
      </c>
      <c r="H4142" s="14">
        <f>C4142*G4142</f>
        <v/>
      </c>
    </row>
    <row r="4143">
      <c r="A4143" s="12" t="inlineStr">
        <is>
          <t>RET-0309</t>
        </is>
      </c>
      <c r="B4143" s="12" t="inlineStr">
        <is>
          <t>VS28</t>
        </is>
      </c>
      <c r="C4143" s="28" t="n">
        <v>0.0104</v>
      </c>
      <c r="D4143" s="12" t="inlineStr">
        <is>
          <t>PO-2022-3112</t>
        </is>
      </c>
      <c r="E4143" s="12" t="n">
        <v>0.53</v>
      </c>
      <c r="F4143" s="17" t="n">
        <v>97404.73</v>
      </c>
      <c r="G4143" s="14">
        <f>E4143*F4143</f>
        <v/>
      </c>
      <c r="H4143" s="14">
        <f>C4143*G4143</f>
        <v/>
      </c>
    </row>
    <row r="4144">
      <c r="A4144" s="12" t="inlineStr">
        <is>
          <t>RET-0309</t>
        </is>
      </c>
      <c r="B4144" s="12" t="inlineStr">
        <is>
          <t>VS29</t>
        </is>
      </c>
      <c r="C4144" s="28" t="n">
        <v>0.0066</v>
      </c>
      <c r="D4144" s="12" t="inlineStr">
        <is>
          <t>PO-2022-3078</t>
        </is>
      </c>
      <c r="E4144" s="12" t="n">
        <v>0.53</v>
      </c>
      <c r="F4144" s="17" t="n">
        <v>55212.32</v>
      </c>
      <c r="G4144" s="14">
        <f>E4144*F4144</f>
        <v/>
      </c>
      <c r="H4144" s="14">
        <f>C4144*G4144</f>
        <v/>
      </c>
    </row>
    <row r="4145">
      <c r="A4145" s="12" t="inlineStr">
        <is>
          <t>RET-0309</t>
        </is>
      </c>
      <c r="B4145" s="12" t="inlineStr">
        <is>
          <t>VS30</t>
        </is>
      </c>
      <c r="C4145" s="28" t="n">
        <v>0.0029</v>
      </c>
      <c r="D4145" s="12" t="inlineStr">
        <is>
          <t>PO-2021-0593</t>
        </is>
      </c>
      <c r="E4145" s="12" t="n">
        <v>0.53</v>
      </c>
      <c r="F4145" s="17" t="n">
        <v>58102.64</v>
      </c>
      <c r="G4145" s="14">
        <f>E4145*F4145</f>
        <v/>
      </c>
      <c r="H4145" s="14">
        <f>C4145*G4145</f>
        <v/>
      </c>
    </row>
    <row r="4146">
      <c r="A4146" s="12" t="inlineStr">
        <is>
          <t>RET-0309</t>
        </is>
      </c>
      <c r="B4146" s="12" t="inlineStr">
        <is>
          <t>VS31</t>
        </is>
      </c>
      <c r="C4146" s="28" t="n">
        <v>0.0104</v>
      </c>
      <c r="D4146" s="12" t="inlineStr">
        <is>
          <t>PO-2022-2601</t>
        </is>
      </c>
      <c r="E4146" s="12" t="n">
        <v>0.53</v>
      </c>
      <c r="F4146" s="17" t="n">
        <v>72084.61</v>
      </c>
      <c r="G4146" s="14">
        <f>E4146*F4146</f>
        <v/>
      </c>
      <c r="H4146" s="14">
        <f>C4146*G4146</f>
        <v/>
      </c>
    </row>
    <row r="4147">
      <c r="A4147" s="12" t="inlineStr">
        <is>
          <t>RET-0309</t>
        </is>
      </c>
      <c r="B4147" s="12" t="inlineStr">
        <is>
          <t>VS32</t>
        </is>
      </c>
      <c r="C4147" s="28" t="n">
        <v>0.0124</v>
      </c>
      <c r="D4147" s="12" t="inlineStr">
        <is>
          <t>PO-2022-2415</t>
        </is>
      </c>
      <c r="E4147" s="12" t="n">
        <v>0.53</v>
      </c>
      <c r="F4147" s="17" t="n">
        <v>71362.27</v>
      </c>
      <c r="G4147" s="14">
        <f>E4147*F4147</f>
        <v/>
      </c>
      <c r="H4147" s="14">
        <f>C4147*G4147</f>
        <v/>
      </c>
    </row>
    <row r="4148">
      <c r="A4148" s="12" t="inlineStr">
        <is>
          <t>RET-0309</t>
        </is>
      </c>
      <c r="B4148" s="12" t="inlineStr">
        <is>
          <t>VS33</t>
        </is>
      </c>
      <c r="C4148" s="28" t="n">
        <v>0.0066</v>
      </c>
      <c r="D4148" s="12" t="inlineStr">
        <is>
          <t>PO-2022-3032</t>
        </is>
      </c>
      <c r="E4148" s="12" t="n">
        <v>0.53</v>
      </c>
      <c r="F4148" s="17" t="n">
        <v>86778.44</v>
      </c>
      <c r="G4148" s="14">
        <f>E4148*F4148</f>
        <v/>
      </c>
      <c r="H4148" s="14">
        <f>C4148*G4148</f>
        <v/>
      </c>
    </row>
    <row r="4149">
      <c r="A4149" s="12" t="inlineStr">
        <is>
          <t>RET-0309</t>
        </is>
      </c>
      <c r="B4149" s="12" t="inlineStr">
        <is>
          <t>VS34</t>
        </is>
      </c>
      <c r="C4149" s="28" t="n">
        <v>0.008500000000000001</v>
      </c>
      <c r="D4149" s="12" t="inlineStr">
        <is>
          <t>PO-2021-0947</t>
        </is>
      </c>
      <c r="E4149" s="12" t="n">
        <v>0.53</v>
      </c>
      <c r="F4149" s="17" t="n">
        <v>51330.11</v>
      </c>
      <c r="G4149" s="14">
        <f>E4149*F4149</f>
        <v/>
      </c>
      <c r="H4149" s="14">
        <f>C4149*G4149</f>
        <v/>
      </c>
    </row>
    <row r="4150">
      <c r="A4150" s="12" t="inlineStr">
        <is>
          <t>RET-0312</t>
        </is>
      </c>
      <c r="B4150" s="12" t="inlineStr">
        <is>
          <t>VS01</t>
        </is>
      </c>
      <c r="C4150" s="28" t="n">
        <v>0.033</v>
      </c>
      <c r="D4150" s="12" t="inlineStr">
        <is>
          <t>PO-2022-2905</t>
        </is>
      </c>
      <c r="E4150" s="12" t="n">
        <v>3.13</v>
      </c>
      <c r="F4150" s="17" t="n">
        <v>49454.89</v>
      </c>
      <c r="G4150" s="14">
        <f>E4150*F4150</f>
        <v/>
      </c>
      <c r="H4150" s="14">
        <f>C4150*G4150</f>
        <v/>
      </c>
    </row>
    <row r="4151">
      <c r="A4151" s="12" t="inlineStr">
        <is>
          <t>RET-0312</t>
        </is>
      </c>
      <c r="B4151" s="12" t="inlineStr">
        <is>
          <t>VS02</t>
        </is>
      </c>
      <c r="C4151" s="28" t="n">
        <v>0.015</v>
      </c>
      <c r="D4151" s="12" t="inlineStr">
        <is>
          <t>PO-2021-0028</t>
        </is>
      </c>
      <c r="E4151" s="12" t="n">
        <v>3.88</v>
      </c>
      <c r="F4151" s="17" t="n">
        <v>64591.14</v>
      </c>
      <c r="G4151" s="14">
        <f>E4151*F4151</f>
        <v/>
      </c>
      <c r="H4151" s="14">
        <f>C4151*G4151</f>
        <v/>
      </c>
    </row>
    <row r="4152">
      <c r="A4152" s="12" t="inlineStr">
        <is>
          <t>RET-0312</t>
        </is>
      </c>
      <c r="B4152" s="12" t="inlineStr">
        <is>
          <t>VS03</t>
        </is>
      </c>
      <c r="C4152" s="28" t="n">
        <v>0.0799</v>
      </c>
      <c r="D4152" s="12" t="inlineStr">
        <is>
          <t>PO-2021-1421</t>
        </is>
      </c>
      <c r="E4152" s="12" t="n">
        <v>3.88</v>
      </c>
      <c r="F4152" s="17" t="n">
        <v>90917.47</v>
      </c>
      <c r="G4152" s="14">
        <f>E4152*F4152</f>
        <v/>
      </c>
      <c r="H4152" s="14">
        <f>C4152*G4152</f>
        <v/>
      </c>
    </row>
    <row r="4153">
      <c r="A4153" s="12" t="inlineStr">
        <is>
          <t>RET-0312</t>
        </is>
      </c>
      <c r="B4153" s="12" t="inlineStr">
        <is>
          <t>VS04</t>
        </is>
      </c>
      <c r="C4153" s="28" t="n">
        <v>0.0207</v>
      </c>
      <c r="D4153" s="12" t="inlineStr">
        <is>
          <t>PO-2022-1768</t>
        </is>
      </c>
      <c r="E4153" s="12" t="n">
        <v>3.88</v>
      </c>
      <c r="F4153" s="17" t="n">
        <v>95580.97</v>
      </c>
      <c r="G4153" s="14">
        <f>E4153*F4153</f>
        <v/>
      </c>
      <c r="H4153" s="14">
        <f>C4153*G4153</f>
        <v/>
      </c>
    </row>
    <row r="4154">
      <c r="A4154" s="12" t="inlineStr">
        <is>
          <t>RET-0312</t>
        </is>
      </c>
      <c r="B4154" s="12" t="inlineStr">
        <is>
          <t>VS05</t>
        </is>
      </c>
      <c r="C4154" s="28" t="n">
        <v>0.0268</v>
      </c>
      <c r="D4154" s="12" t="inlineStr">
        <is>
          <t>PO-2021-1030</t>
        </is>
      </c>
      <c r="E4154" s="12" t="n">
        <v>3.88</v>
      </c>
      <c r="F4154" s="17" t="n">
        <v>53401.84</v>
      </c>
      <c r="G4154" s="14">
        <f>E4154*F4154</f>
        <v/>
      </c>
      <c r="H4154" s="14">
        <f>C4154*G4154</f>
        <v/>
      </c>
    </row>
    <row r="4155">
      <c r="A4155" s="12" t="inlineStr">
        <is>
          <t>RET-0312</t>
        </is>
      </c>
      <c r="B4155" s="12" t="inlineStr">
        <is>
          <t>VS06</t>
        </is>
      </c>
      <c r="C4155" s="28" t="n">
        <v>0.0271</v>
      </c>
      <c r="D4155" s="12" t="inlineStr">
        <is>
          <t>PO-2021-0393</t>
        </is>
      </c>
      <c r="E4155" s="12" t="n">
        <v>3.88</v>
      </c>
      <c r="F4155" s="17" t="n">
        <v>99761.3</v>
      </c>
      <c r="G4155" s="14">
        <f>E4155*F4155</f>
        <v/>
      </c>
      <c r="H4155" s="14">
        <f>C4155*G4155</f>
        <v/>
      </c>
    </row>
    <row r="4156">
      <c r="A4156" s="12" t="inlineStr">
        <is>
          <t>RET-0312</t>
        </is>
      </c>
      <c r="B4156" s="12" t="inlineStr">
        <is>
          <t>VS07</t>
        </is>
      </c>
      <c r="C4156" s="28" t="n">
        <v>0.008999999999999999</v>
      </c>
      <c r="D4156" s="12" t="inlineStr">
        <is>
          <t>PO-2023-3599</t>
        </is>
      </c>
      <c r="E4156" s="12" t="n">
        <v>3.88</v>
      </c>
      <c r="F4156" s="17" t="n">
        <v>58630.86</v>
      </c>
      <c r="G4156" s="14">
        <f>E4156*F4156</f>
        <v/>
      </c>
      <c r="H4156" s="14">
        <f>C4156*G4156</f>
        <v/>
      </c>
    </row>
    <row r="4157">
      <c r="A4157" s="12" t="inlineStr">
        <is>
          <t>RET-0312</t>
        </is>
      </c>
      <c r="B4157" s="12" t="inlineStr">
        <is>
          <t>VS08</t>
        </is>
      </c>
      <c r="C4157" s="28" t="n">
        <v>0.0273</v>
      </c>
      <c r="D4157" s="12" t="inlineStr">
        <is>
          <t>PO-2023-3491</t>
        </is>
      </c>
      <c r="E4157" s="12" t="n">
        <v>3.88</v>
      </c>
      <c r="F4157" s="17" t="n">
        <v>107935.78</v>
      </c>
      <c r="G4157" s="14">
        <f>E4157*F4157</f>
        <v/>
      </c>
      <c r="H4157" s="14">
        <f>C4157*G4157</f>
        <v/>
      </c>
    </row>
    <row r="4158">
      <c r="A4158" s="12" t="inlineStr">
        <is>
          <t>RET-0312</t>
        </is>
      </c>
      <c r="B4158" s="12" t="inlineStr">
        <is>
          <t>VS09</t>
        </is>
      </c>
      <c r="C4158" s="28" t="n">
        <v>0.0209</v>
      </c>
      <c r="D4158" s="12" t="inlineStr">
        <is>
          <t>PO-2021-0706</t>
        </is>
      </c>
      <c r="E4158" s="12" t="n">
        <v>3.88</v>
      </c>
      <c r="F4158" s="17" t="n">
        <v>78494.62</v>
      </c>
      <c r="G4158" s="14">
        <f>E4158*F4158</f>
        <v/>
      </c>
      <c r="H4158" s="14">
        <f>C4158*G4158</f>
        <v/>
      </c>
    </row>
    <row r="4159">
      <c r="A4159" s="12" t="inlineStr">
        <is>
          <t>RET-0312</t>
        </is>
      </c>
      <c r="B4159" s="12" t="inlineStr">
        <is>
          <t>VS10</t>
        </is>
      </c>
      <c r="C4159" s="28" t="n">
        <v>0.0329</v>
      </c>
      <c r="D4159" s="12" t="inlineStr">
        <is>
          <t>PO-2023-3916</t>
        </is>
      </c>
      <c r="E4159" s="12" t="n">
        <v>3.88</v>
      </c>
      <c r="F4159" s="17" t="n">
        <v>82128.12</v>
      </c>
      <c r="G4159" s="14">
        <f>E4159*F4159</f>
        <v/>
      </c>
      <c r="H4159" s="14">
        <f>C4159*G4159</f>
        <v/>
      </c>
    </row>
    <row r="4160">
      <c r="A4160" s="12" t="inlineStr">
        <is>
          <t>RET-0312</t>
        </is>
      </c>
      <c r="B4160" s="12" t="inlineStr">
        <is>
          <t>VS11</t>
        </is>
      </c>
      <c r="C4160" s="28" t="n">
        <v>0.0386</v>
      </c>
      <c r="D4160" s="12" t="inlineStr">
        <is>
          <t>PO-2021-0598</t>
        </is>
      </c>
      <c r="E4160" s="12" t="n">
        <v>2.52</v>
      </c>
      <c r="F4160" s="17" t="n">
        <v>99480.83</v>
      </c>
      <c r="G4160" s="14">
        <f>E4160*F4160</f>
        <v/>
      </c>
      <c r="H4160" s="14">
        <f>C4160*G4160</f>
        <v/>
      </c>
    </row>
    <row r="4161">
      <c r="A4161" s="12" t="inlineStr">
        <is>
          <t>RET-0312</t>
        </is>
      </c>
      <c r="B4161" s="12" t="inlineStr">
        <is>
          <t>VS12</t>
        </is>
      </c>
      <c r="C4161" s="28" t="n">
        <v>0.111</v>
      </c>
      <c r="D4161" s="12" t="inlineStr">
        <is>
          <t>PO-2021-0355</t>
        </is>
      </c>
      <c r="E4161" s="12" t="n">
        <v>3.88</v>
      </c>
      <c r="F4161" s="17" t="n">
        <v>87702.06</v>
      </c>
      <c r="G4161" s="14">
        <f>E4161*F4161</f>
        <v/>
      </c>
      <c r="H4161" s="14">
        <f>C4161*G4161</f>
        <v/>
      </c>
    </row>
    <row r="4162">
      <c r="A4162" s="12" t="inlineStr">
        <is>
          <t>RET-0312</t>
        </is>
      </c>
      <c r="B4162" s="12" t="inlineStr">
        <is>
          <t>VS13</t>
        </is>
      </c>
      <c r="C4162" s="28" t="n">
        <v>0.0266</v>
      </c>
      <c r="D4162" s="12" t="inlineStr">
        <is>
          <t>PO-2023-3248</t>
        </is>
      </c>
      <c r="E4162" s="12" t="n">
        <v>3.88</v>
      </c>
      <c r="F4162" s="17" t="n">
        <v>92247.39999999999</v>
      </c>
      <c r="G4162" s="14">
        <f>E4162*F4162</f>
        <v/>
      </c>
      <c r="H4162" s="14">
        <f>C4162*G4162</f>
        <v/>
      </c>
    </row>
    <row r="4163">
      <c r="A4163" s="12" t="inlineStr">
        <is>
          <t>RET-0312</t>
        </is>
      </c>
      <c r="B4163" s="12" t="inlineStr">
        <is>
          <t>VS14</t>
        </is>
      </c>
      <c r="C4163" s="28" t="n">
        <v>0.0268</v>
      </c>
      <c r="D4163" s="12" t="inlineStr">
        <is>
          <t>PO-2022-1903</t>
        </is>
      </c>
      <c r="E4163" s="12" t="n">
        <v>3.88</v>
      </c>
      <c r="F4163" s="17" t="n">
        <v>90997.8</v>
      </c>
      <c r="G4163" s="14">
        <f>E4163*F4163</f>
        <v/>
      </c>
      <c r="H4163" s="14">
        <f>C4163*G4163</f>
        <v/>
      </c>
    </row>
    <row r="4164">
      <c r="A4164" s="12" t="inlineStr">
        <is>
          <t>RET-0312</t>
        </is>
      </c>
      <c r="B4164" s="12" t="inlineStr">
        <is>
          <t>VS15</t>
        </is>
      </c>
      <c r="C4164" s="28" t="n">
        <v>0.008999999999999999</v>
      </c>
      <c r="D4164" s="12" t="inlineStr">
        <is>
          <t>PO-2022-2907</t>
        </is>
      </c>
      <c r="E4164" s="12" t="n">
        <v>3.88</v>
      </c>
      <c r="F4164" s="17" t="n">
        <v>65712.75</v>
      </c>
      <c r="G4164" s="14">
        <f>E4164*F4164</f>
        <v/>
      </c>
      <c r="H4164" s="14">
        <f>C4164*G4164</f>
        <v/>
      </c>
    </row>
    <row r="4165">
      <c r="A4165" s="12" t="inlineStr">
        <is>
          <t>RET-0312</t>
        </is>
      </c>
      <c r="B4165" s="12" t="inlineStr">
        <is>
          <t>VS16</t>
        </is>
      </c>
      <c r="C4165" s="28" t="n">
        <v>0.0387</v>
      </c>
      <c r="D4165" s="12" t="inlineStr">
        <is>
          <t>PO-2021-1309</t>
        </is>
      </c>
      <c r="E4165" s="12" t="n">
        <v>3.88</v>
      </c>
      <c r="F4165" s="17" t="n">
        <v>116910.2</v>
      </c>
      <c r="G4165" s="14">
        <f>E4165*F4165</f>
        <v/>
      </c>
      <c r="H4165" s="14">
        <f>C4165*G4165</f>
        <v/>
      </c>
    </row>
    <row r="4166">
      <c r="A4166" s="12" t="inlineStr">
        <is>
          <t>RET-0312</t>
        </is>
      </c>
      <c r="B4166" s="12" t="inlineStr">
        <is>
          <t>VS17</t>
        </is>
      </c>
      <c r="C4166" s="28" t="n">
        <v>0.0385</v>
      </c>
      <c r="D4166" s="12" t="inlineStr">
        <is>
          <t>PO-2021-0511</t>
        </is>
      </c>
      <c r="E4166" s="12" t="n">
        <v>3.88</v>
      </c>
      <c r="F4166" s="17" t="n">
        <v>48611.06</v>
      </c>
      <c r="G4166" s="14">
        <f>E4166*F4166</f>
        <v/>
      </c>
      <c r="H4166" s="14">
        <f>C4166*G4166</f>
        <v/>
      </c>
    </row>
    <row r="4167">
      <c r="A4167" s="12" t="inlineStr">
        <is>
          <t>RET-0312</t>
        </is>
      </c>
      <c r="B4167" s="12" t="inlineStr">
        <is>
          <t>VS18</t>
        </is>
      </c>
      <c r="C4167" s="28" t="n">
        <v>0.0268</v>
      </c>
      <c r="D4167" s="12" t="inlineStr">
        <is>
          <t>PO-2021-0232</t>
        </is>
      </c>
      <c r="E4167" s="12" t="n">
        <v>3.88</v>
      </c>
      <c r="F4167" s="17" t="n">
        <v>77771.35000000001</v>
      </c>
      <c r="G4167" s="14">
        <f>E4167*F4167</f>
        <v/>
      </c>
      <c r="H4167" s="14">
        <f>C4167*G4167</f>
        <v/>
      </c>
    </row>
    <row r="4168">
      <c r="A4168" s="12" t="inlineStr">
        <is>
          <t>RET-0312</t>
        </is>
      </c>
      <c r="B4168" s="12" t="inlineStr">
        <is>
          <t>VS19</t>
        </is>
      </c>
      <c r="C4168" s="28" t="n">
        <v>0.0837</v>
      </c>
      <c r="D4168" s="12" t="inlineStr">
        <is>
          <t>PO-2022-1748</t>
        </is>
      </c>
      <c r="E4168" s="12" t="n">
        <v>3.88</v>
      </c>
      <c r="F4168" s="17" t="n">
        <v>85716.31</v>
      </c>
      <c r="G4168" s="14">
        <f>E4168*F4168</f>
        <v/>
      </c>
      <c r="H4168" s="14">
        <f>C4168*G4168</f>
        <v/>
      </c>
    </row>
    <row r="4169">
      <c r="A4169" s="12" t="inlineStr">
        <is>
          <t>RET-0312</t>
        </is>
      </c>
      <c r="B4169" s="12" t="inlineStr">
        <is>
          <t>VS20</t>
        </is>
      </c>
      <c r="C4169" s="28" t="n">
        <v>0.015</v>
      </c>
      <c r="D4169" s="12" t="inlineStr">
        <is>
          <t>PO-2023-4700</t>
        </is>
      </c>
      <c r="E4169" s="12" t="n">
        <v>3.88</v>
      </c>
      <c r="F4169" s="17" t="n">
        <v>78044.98</v>
      </c>
      <c r="G4169" s="14">
        <f>E4169*F4169</f>
        <v/>
      </c>
      <c r="H4169" s="14">
        <f>C4169*G4169</f>
        <v/>
      </c>
    </row>
    <row r="4170">
      <c r="A4170" s="12" t="inlineStr">
        <is>
          <t>RET-0312</t>
        </is>
      </c>
      <c r="B4170" s="12" t="inlineStr">
        <is>
          <t>VS21</t>
        </is>
      </c>
      <c r="C4170" s="28" t="n">
        <v>0.015</v>
      </c>
      <c r="D4170" s="12" t="inlineStr">
        <is>
          <t>PO-2021-0986</t>
        </is>
      </c>
      <c r="E4170" s="12" t="n">
        <v>3.88</v>
      </c>
      <c r="F4170" s="17" t="n">
        <v>88197.53</v>
      </c>
      <c r="G4170" s="14">
        <f>E4170*F4170</f>
        <v/>
      </c>
      <c r="H4170" s="14">
        <f>C4170*G4170</f>
        <v/>
      </c>
    </row>
    <row r="4171">
      <c r="A4171" s="12" t="inlineStr">
        <is>
          <t>RET-0312</t>
        </is>
      </c>
      <c r="B4171" s="12" t="inlineStr">
        <is>
          <t>VS22</t>
        </is>
      </c>
      <c r="C4171" s="28" t="n">
        <v>0.0089</v>
      </c>
      <c r="D4171" s="12" t="inlineStr">
        <is>
          <t>PO-2021-0137</t>
        </is>
      </c>
      <c r="E4171" s="12" t="n">
        <v>3.88</v>
      </c>
      <c r="F4171" s="17" t="n">
        <v>50647.45</v>
      </c>
      <c r="G4171" s="14">
        <f>E4171*F4171</f>
        <v/>
      </c>
      <c r="H4171" s="14">
        <f>C4171*G4171</f>
        <v/>
      </c>
    </row>
    <row r="4172">
      <c r="A4172" s="12" t="inlineStr">
        <is>
          <t>RET-0312</t>
        </is>
      </c>
      <c r="B4172" s="12" t="inlineStr">
        <is>
          <t>VS23</t>
        </is>
      </c>
      <c r="C4172" s="28" t="n">
        <v>0.0147</v>
      </c>
      <c r="D4172" s="12" t="inlineStr">
        <is>
          <t>PO-2023-3723</t>
        </is>
      </c>
      <c r="E4172" s="12" t="n">
        <v>3.88</v>
      </c>
      <c r="F4172" s="17" t="n">
        <v>91313.34</v>
      </c>
      <c r="G4172" s="14">
        <f>E4172*F4172</f>
        <v/>
      </c>
      <c r="H4172" s="14">
        <f>C4172*G4172</f>
        <v/>
      </c>
    </row>
    <row r="4173">
      <c r="A4173" s="12" t="inlineStr">
        <is>
          <t>RET-0312</t>
        </is>
      </c>
      <c r="B4173" s="12" t="inlineStr">
        <is>
          <t>VS24</t>
        </is>
      </c>
      <c r="C4173" s="28" t="n">
        <v>0.0149</v>
      </c>
      <c r="D4173" s="12" t="inlineStr">
        <is>
          <t>PO-2021-0140</t>
        </is>
      </c>
      <c r="E4173" s="12" t="n">
        <v>3.88</v>
      </c>
      <c r="F4173" s="17" t="n">
        <v>80360.77</v>
      </c>
      <c r="G4173" s="14">
        <f>E4173*F4173</f>
        <v/>
      </c>
      <c r="H4173" s="14">
        <f>C4173*G4173</f>
        <v/>
      </c>
    </row>
    <row r="4174">
      <c r="A4174" s="12" t="inlineStr">
        <is>
          <t>RET-0312</t>
        </is>
      </c>
      <c r="B4174" s="12" t="inlineStr">
        <is>
          <t>VS25</t>
        </is>
      </c>
      <c r="C4174" s="28" t="n">
        <v>0.027</v>
      </c>
      <c r="D4174" s="12" t="inlineStr">
        <is>
          <t>PO-2022-2675</t>
        </is>
      </c>
      <c r="E4174" s="12" t="n">
        <v>3.88</v>
      </c>
      <c r="F4174" s="17" t="n">
        <v>56195.48</v>
      </c>
      <c r="G4174" s="14">
        <f>E4174*F4174</f>
        <v/>
      </c>
      <c r="H4174" s="14">
        <f>C4174*G4174</f>
        <v/>
      </c>
    </row>
    <row r="4175">
      <c r="A4175" s="12" t="inlineStr">
        <is>
          <t>RET-0312</t>
        </is>
      </c>
      <c r="B4175" s="12" t="inlineStr">
        <is>
          <t>VS26</t>
        </is>
      </c>
      <c r="C4175" s="28" t="n">
        <v>0.015</v>
      </c>
      <c r="D4175" s="12" t="inlineStr">
        <is>
          <t>PO-2023-3400</t>
        </is>
      </c>
      <c r="E4175" s="12" t="n">
        <v>3.88</v>
      </c>
      <c r="F4175" s="17" t="n">
        <v>110207.91</v>
      </c>
      <c r="G4175" s="14">
        <f>E4175*F4175</f>
        <v/>
      </c>
      <c r="H4175" s="14">
        <f>C4175*G4175</f>
        <v/>
      </c>
    </row>
    <row r="4176">
      <c r="A4176" s="12" t="inlineStr">
        <is>
          <t>RET-0312</t>
        </is>
      </c>
      <c r="B4176" s="12" t="inlineStr">
        <is>
          <t>VS27</t>
        </is>
      </c>
      <c r="C4176" s="28" t="n">
        <v>0.0147</v>
      </c>
      <c r="D4176" s="12" t="inlineStr">
        <is>
          <t>PO-2023-3856</t>
        </is>
      </c>
      <c r="E4176" s="12" t="n">
        <v>3.88</v>
      </c>
      <c r="F4176" s="17" t="n">
        <v>77296.00999999999</v>
      </c>
      <c r="G4176" s="14">
        <f>E4176*F4176</f>
        <v/>
      </c>
      <c r="H4176" s="14">
        <f>C4176*G4176</f>
        <v/>
      </c>
    </row>
    <row r="4177">
      <c r="A4177" s="12" t="inlineStr">
        <is>
          <t>RET-0312</t>
        </is>
      </c>
      <c r="B4177" s="12" t="inlineStr">
        <is>
          <t>VS28</t>
        </is>
      </c>
      <c r="C4177" s="28" t="n">
        <v>0.0329</v>
      </c>
      <c r="D4177" s="12" t="inlineStr">
        <is>
          <t>PO-2022-2425</t>
        </is>
      </c>
      <c r="E4177" s="12" t="n">
        <v>3.88</v>
      </c>
      <c r="F4177" s="17" t="n">
        <v>117642.36</v>
      </c>
      <c r="G4177" s="14">
        <f>E4177*F4177</f>
        <v/>
      </c>
      <c r="H4177" s="14">
        <f>C4177*G4177</f>
        <v/>
      </c>
    </row>
    <row r="4178">
      <c r="A4178" s="12" t="inlineStr">
        <is>
          <t>RET-0312</t>
        </is>
      </c>
      <c r="B4178" s="12" t="inlineStr">
        <is>
          <t>VS29</t>
        </is>
      </c>
      <c r="C4178" s="28" t="n">
        <v>0.0209</v>
      </c>
      <c r="D4178" s="12" t="inlineStr">
        <is>
          <t>PO-2022-2911</t>
        </is>
      </c>
      <c r="E4178" s="12" t="n">
        <v>3.88</v>
      </c>
      <c r="F4178" s="17" t="n">
        <v>79645.96000000001</v>
      </c>
      <c r="G4178" s="14">
        <f>E4178*F4178</f>
        <v/>
      </c>
      <c r="H4178" s="14">
        <f>C4178*G4178</f>
        <v/>
      </c>
    </row>
    <row r="4179">
      <c r="A4179" s="12" t="inlineStr">
        <is>
          <t>RET-0312</t>
        </is>
      </c>
      <c r="B4179" s="12" t="inlineStr">
        <is>
          <t>VS30</t>
        </is>
      </c>
      <c r="C4179" s="28" t="n">
        <v>0.008999999999999999</v>
      </c>
      <c r="D4179" s="12" t="inlineStr">
        <is>
          <t>PO-2022-3076</t>
        </is>
      </c>
      <c r="E4179" s="12" t="n">
        <v>3.88</v>
      </c>
      <c r="F4179" s="17" t="n">
        <v>94270.28999999999</v>
      </c>
      <c r="G4179" s="14">
        <f>E4179*F4179</f>
        <v/>
      </c>
      <c r="H4179" s="14">
        <f>C4179*G4179</f>
        <v/>
      </c>
    </row>
    <row r="4180">
      <c r="A4180" s="12" t="inlineStr">
        <is>
          <t>RET-0312</t>
        </is>
      </c>
      <c r="B4180" s="12" t="inlineStr">
        <is>
          <t>VS31</t>
        </is>
      </c>
      <c r="C4180" s="28" t="n">
        <v>0.0328</v>
      </c>
      <c r="D4180" s="12" t="inlineStr">
        <is>
          <t>PO-2022-2904</t>
        </is>
      </c>
      <c r="E4180" s="12" t="n">
        <v>3.88</v>
      </c>
      <c r="F4180" s="17" t="n">
        <v>105756.59</v>
      </c>
      <c r="G4180" s="14">
        <f>E4180*F4180</f>
        <v/>
      </c>
      <c r="H4180" s="14">
        <f>C4180*G4180</f>
        <v/>
      </c>
    </row>
    <row r="4181">
      <c r="A4181" s="12" t="inlineStr">
        <is>
          <t>RET-0312</t>
        </is>
      </c>
      <c r="B4181" s="12" t="inlineStr">
        <is>
          <t>VS32</t>
        </is>
      </c>
      <c r="C4181" s="28" t="n">
        <v>0.039</v>
      </c>
      <c r="D4181" s="12" t="inlineStr">
        <is>
          <t>PO-2021-0106</t>
        </is>
      </c>
      <c r="E4181" s="12" t="n">
        <v>2.4</v>
      </c>
      <c r="F4181" s="17" t="n">
        <v>92251.67</v>
      </c>
      <c r="G4181" s="14">
        <f>E4181*F4181</f>
        <v/>
      </c>
      <c r="H4181" s="14">
        <f>C4181*G4181</f>
        <v/>
      </c>
    </row>
    <row r="4182">
      <c r="A4182" s="12" t="inlineStr">
        <is>
          <t>RET-0312</t>
        </is>
      </c>
      <c r="B4182" s="12" t="inlineStr">
        <is>
          <t>VS33</t>
        </is>
      </c>
      <c r="C4182" s="28" t="n">
        <v>0.0208</v>
      </c>
      <c r="D4182" s="12" t="inlineStr">
        <is>
          <t>PO-2023-4466</t>
        </is>
      </c>
      <c r="E4182" s="12" t="n">
        <v>1.33</v>
      </c>
      <c r="F4182" s="17" t="n">
        <v>111649.94</v>
      </c>
      <c r="G4182" s="14">
        <f>E4182*F4182</f>
        <v/>
      </c>
      <c r="H4182" s="14">
        <f>C4182*G4182</f>
        <v/>
      </c>
    </row>
    <row r="4183">
      <c r="A4183" s="12" t="inlineStr">
        <is>
          <t>RET-0312</t>
        </is>
      </c>
      <c r="B4183" s="12" t="inlineStr">
        <is>
          <t>VS34</t>
        </is>
      </c>
      <c r="C4183" s="28" t="n">
        <v>0.0269</v>
      </c>
      <c r="D4183" s="12" t="inlineStr">
        <is>
          <t>PO-2021-0154</t>
        </is>
      </c>
      <c r="E4183" s="12" t="n">
        <v>3.88</v>
      </c>
      <c r="F4183" s="17" t="n">
        <v>80718.45</v>
      </c>
      <c r="G4183" s="14">
        <f>E4183*F4183</f>
        <v/>
      </c>
      <c r="H4183" s="14">
        <f>C4183*G4183</f>
        <v/>
      </c>
    </row>
    <row r="4184">
      <c r="A4184" s="12" t="inlineStr">
        <is>
          <t>RET-0313</t>
        </is>
      </c>
      <c r="B4184" s="12" t="inlineStr">
        <is>
          <t>VS01</t>
        </is>
      </c>
      <c r="C4184" s="28" t="n">
        <v>0.0062</v>
      </c>
      <c r="D4184" s="12" t="inlineStr">
        <is>
          <t>PO-2022-2955</t>
        </is>
      </c>
      <c r="E4184" s="12" t="n">
        <v>0.68</v>
      </c>
      <c r="F4184" s="17" t="n">
        <v>52665.73</v>
      </c>
      <c r="G4184" s="14">
        <f>E4184*F4184</f>
        <v/>
      </c>
      <c r="H4184" s="14">
        <f>C4184*G4184</f>
        <v/>
      </c>
    </row>
    <row r="4185">
      <c r="A4185" s="12" t="inlineStr">
        <is>
          <t>RET-0313</t>
        </is>
      </c>
      <c r="B4185" s="12" t="inlineStr">
        <is>
          <t>VS02</t>
        </is>
      </c>
      <c r="C4185" s="28" t="n">
        <v>0.0028</v>
      </c>
      <c r="D4185" s="12" t="inlineStr">
        <is>
          <t>PO-2022-2895</t>
        </is>
      </c>
      <c r="E4185" s="12" t="n">
        <v>0.68</v>
      </c>
      <c r="F4185" s="17" t="n">
        <v>114763.89</v>
      </c>
      <c r="G4185" s="14">
        <f>E4185*F4185</f>
        <v/>
      </c>
      <c r="H4185" s="14">
        <f>C4185*G4185</f>
        <v/>
      </c>
    </row>
    <row r="4186">
      <c r="A4186" s="12" t="inlineStr">
        <is>
          <t>RET-0313</t>
        </is>
      </c>
      <c r="B4186" s="12" t="inlineStr">
        <is>
          <t>VS03</t>
        </is>
      </c>
      <c r="C4186" s="28" t="n">
        <v>0.2515</v>
      </c>
      <c r="D4186" s="12" t="inlineStr">
        <is>
          <t>PO-2021-0240</t>
        </is>
      </c>
      <c r="E4186" s="12" t="n">
        <v>0.68</v>
      </c>
      <c r="F4186" s="17" t="n">
        <v>107524.2</v>
      </c>
      <c r="G4186" s="14">
        <f>E4186*F4186</f>
        <v/>
      </c>
      <c r="H4186" s="14">
        <f>C4186*G4186</f>
        <v/>
      </c>
    </row>
    <row r="4187">
      <c r="A4187" s="12" t="inlineStr">
        <is>
          <t>RET-0313</t>
        </is>
      </c>
      <c r="B4187" s="12" t="inlineStr">
        <is>
          <t>VS04</t>
        </is>
      </c>
      <c r="C4187" s="28" t="n">
        <v>0.0039</v>
      </c>
      <c r="D4187" s="12" t="inlineStr">
        <is>
          <t>PO-2023-4049</t>
        </is>
      </c>
      <c r="E4187" s="12" t="n">
        <v>0.68</v>
      </c>
      <c r="F4187" s="17" t="n">
        <v>118014.2</v>
      </c>
      <c r="G4187" s="14">
        <f>E4187*F4187</f>
        <v/>
      </c>
      <c r="H4187" s="14">
        <f>C4187*G4187</f>
        <v/>
      </c>
    </row>
    <row r="4188">
      <c r="A4188" s="12" t="inlineStr">
        <is>
          <t>RET-0313</t>
        </is>
      </c>
      <c r="B4188" s="12" t="inlineStr">
        <is>
          <t>VS05</t>
        </is>
      </c>
      <c r="C4188" s="28" t="n">
        <v>0.005</v>
      </c>
      <c r="D4188" s="12" t="inlineStr">
        <is>
          <t>PO-2021-0651</t>
        </is>
      </c>
      <c r="E4188" s="12" t="n">
        <v>0.68</v>
      </c>
      <c r="F4188" s="17" t="n">
        <v>98765.12</v>
      </c>
      <c r="G4188" s="14">
        <f>E4188*F4188</f>
        <v/>
      </c>
      <c r="H4188" s="14">
        <f>C4188*G4188</f>
        <v/>
      </c>
    </row>
    <row r="4189">
      <c r="A4189" s="12" t="inlineStr">
        <is>
          <t>RET-0313</t>
        </is>
      </c>
      <c r="B4189" s="12" t="inlineStr">
        <is>
          <t>VS06</t>
        </is>
      </c>
      <c r="C4189" s="28" t="n">
        <v>0.0051</v>
      </c>
      <c r="D4189" s="12" t="inlineStr">
        <is>
          <t>PO-2022-1763</t>
        </is>
      </c>
      <c r="E4189" s="12" t="n">
        <v>0.68</v>
      </c>
      <c r="F4189" s="17" t="n">
        <v>67679.25</v>
      </c>
      <c r="G4189" s="14">
        <f>E4189*F4189</f>
        <v/>
      </c>
      <c r="H4189" s="14">
        <f>C4189*G4189</f>
        <v/>
      </c>
    </row>
    <row r="4190">
      <c r="A4190" s="12" t="inlineStr">
        <is>
          <t>RET-0313</t>
        </is>
      </c>
      <c r="B4190" s="12" t="inlineStr">
        <is>
          <t>VS07</t>
        </is>
      </c>
      <c r="C4190" s="28" t="n">
        <v>0.0017</v>
      </c>
      <c r="D4190" s="12" t="inlineStr">
        <is>
          <t>PO-2023-4433</t>
        </is>
      </c>
      <c r="E4190" s="12" t="n">
        <v>0.68</v>
      </c>
      <c r="F4190" s="17" t="n">
        <v>95085.06</v>
      </c>
      <c r="G4190" s="14">
        <f>E4190*F4190</f>
        <v/>
      </c>
      <c r="H4190" s="14">
        <f>C4190*G4190</f>
        <v/>
      </c>
    </row>
    <row r="4191">
      <c r="A4191" s="12" t="inlineStr">
        <is>
          <t>RET-0313</t>
        </is>
      </c>
      <c r="B4191" s="12" t="inlineStr">
        <is>
          <t>VS08</t>
        </is>
      </c>
      <c r="C4191" s="28" t="n">
        <v>0.0051</v>
      </c>
      <c r="D4191" s="12" t="inlineStr">
        <is>
          <t>PO-2022-2172</t>
        </is>
      </c>
      <c r="E4191" s="12" t="n">
        <v>0.68</v>
      </c>
      <c r="F4191" s="17" t="n">
        <v>55680.63</v>
      </c>
      <c r="G4191" s="14">
        <f>E4191*F4191</f>
        <v/>
      </c>
      <c r="H4191" s="14">
        <f>C4191*G4191</f>
        <v/>
      </c>
    </row>
    <row r="4192">
      <c r="A4192" s="12" t="inlineStr">
        <is>
          <t>RET-0313</t>
        </is>
      </c>
      <c r="B4192" s="12" t="inlineStr">
        <is>
          <t>VS09</t>
        </is>
      </c>
      <c r="C4192" s="28" t="n">
        <v>0.0039</v>
      </c>
      <c r="D4192" s="12" t="inlineStr">
        <is>
          <t>PO-2021-1359</t>
        </is>
      </c>
      <c r="E4192" s="12" t="n">
        <v>0.68</v>
      </c>
      <c r="F4192" s="17" t="n">
        <v>100335.38</v>
      </c>
      <c r="G4192" s="14">
        <f>E4192*F4192</f>
        <v/>
      </c>
      <c r="H4192" s="14">
        <f>C4192*G4192</f>
        <v/>
      </c>
    </row>
    <row r="4193">
      <c r="A4193" s="12" t="inlineStr">
        <is>
          <t>RET-0313</t>
        </is>
      </c>
      <c r="B4193" s="12" t="inlineStr">
        <is>
          <t>VS10</t>
        </is>
      </c>
      <c r="C4193" s="28" t="n">
        <v>0.0061</v>
      </c>
      <c r="D4193" s="12" t="inlineStr">
        <is>
          <t>PO-2021-0817</t>
        </is>
      </c>
      <c r="E4193" s="12" t="n">
        <v>0.68</v>
      </c>
      <c r="F4193" s="17" t="n">
        <v>80689.10000000001</v>
      </c>
      <c r="G4193" s="14">
        <f>E4193*F4193</f>
        <v/>
      </c>
      <c r="H4193" s="14">
        <f>C4193*G4193</f>
        <v/>
      </c>
    </row>
    <row r="4194">
      <c r="A4194" s="12" t="inlineStr">
        <is>
          <t>RET-0313</t>
        </is>
      </c>
      <c r="B4194" s="12" t="inlineStr">
        <is>
          <t>VS11</t>
        </is>
      </c>
      <c r="C4194" s="28" t="n">
        <v>0.0072</v>
      </c>
      <c r="D4194" s="12" t="inlineStr">
        <is>
          <t>PO-2021-1529</t>
        </is>
      </c>
      <c r="E4194" s="12" t="n">
        <v>0.68</v>
      </c>
      <c r="F4194" s="17" t="n">
        <v>77547.00999999999</v>
      </c>
      <c r="G4194" s="14">
        <f>E4194*F4194</f>
        <v/>
      </c>
      <c r="H4194" s="14">
        <f>C4194*G4194</f>
        <v/>
      </c>
    </row>
    <row r="4195">
      <c r="A4195" s="12" t="inlineStr">
        <is>
          <t>RET-0313</t>
        </is>
      </c>
      <c r="B4195" s="12" t="inlineStr">
        <is>
          <t>VS12</t>
        </is>
      </c>
      <c r="C4195" s="28" t="n">
        <v>0.3495</v>
      </c>
      <c r="D4195" s="12" t="inlineStr">
        <is>
          <t>PO-2022-1936</t>
        </is>
      </c>
      <c r="E4195" s="12" t="n">
        <v>0.68</v>
      </c>
      <c r="F4195" s="17" t="n">
        <v>124278.2</v>
      </c>
      <c r="G4195" s="14">
        <f>E4195*F4195</f>
        <v/>
      </c>
      <c r="H4195" s="14">
        <f>C4195*G4195</f>
        <v/>
      </c>
    </row>
    <row r="4196">
      <c r="A4196" s="12" t="inlineStr">
        <is>
          <t>RET-0313</t>
        </is>
      </c>
      <c r="B4196" s="12" t="inlineStr">
        <is>
          <t>VS13</t>
        </is>
      </c>
      <c r="C4196" s="28" t="n">
        <v>0.005</v>
      </c>
      <c r="D4196" s="12" t="inlineStr">
        <is>
          <t>PO-2022-3108</t>
        </is>
      </c>
      <c r="E4196" s="12" t="n">
        <v>0.68</v>
      </c>
      <c r="F4196" s="17" t="n">
        <v>86305.84</v>
      </c>
      <c r="G4196" s="14">
        <f>E4196*F4196</f>
        <v/>
      </c>
      <c r="H4196" s="14">
        <f>C4196*G4196</f>
        <v/>
      </c>
    </row>
    <row r="4197">
      <c r="A4197" s="12" t="inlineStr">
        <is>
          <t>RET-0313</t>
        </is>
      </c>
      <c r="B4197" s="12" t="inlineStr">
        <is>
          <t>VS14</t>
        </is>
      </c>
      <c r="C4197" s="28" t="n">
        <v>0.005</v>
      </c>
      <c r="D4197" s="12" t="inlineStr">
        <is>
          <t>PO-2022-1723</t>
        </is>
      </c>
      <c r="E4197" s="12" t="n">
        <v>0.68</v>
      </c>
      <c r="F4197" s="17" t="n">
        <v>77313.63</v>
      </c>
      <c r="G4197" s="14">
        <f>E4197*F4197</f>
        <v/>
      </c>
      <c r="H4197" s="14">
        <f>C4197*G4197</f>
        <v/>
      </c>
    </row>
    <row r="4198">
      <c r="A4198" s="12" t="inlineStr">
        <is>
          <t>RET-0313</t>
        </is>
      </c>
      <c r="B4198" s="12" t="inlineStr">
        <is>
          <t>VS15</t>
        </is>
      </c>
      <c r="C4198" s="28" t="n">
        <v>0.0017</v>
      </c>
      <c r="D4198" s="12" t="inlineStr">
        <is>
          <t>PO-2021-0732</t>
        </is>
      </c>
      <c r="E4198" s="12" t="n">
        <v>0.68</v>
      </c>
      <c r="F4198" s="17" t="n">
        <v>104945.24</v>
      </c>
      <c r="G4198" s="14">
        <f>E4198*F4198</f>
        <v/>
      </c>
      <c r="H4198" s="14">
        <f>C4198*G4198</f>
        <v/>
      </c>
    </row>
    <row r="4199">
      <c r="A4199" s="12" t="inlineStr">
        <is>
          <t>RET-0313</t>
        </is>
      </c>
      <c r="B4199" s="12" t="inlineStr">
        <is>
          <t>VS16</t>
        </is>
      </c>
      <c r="C4199" s="28" t="n">
        <v>0.0072</v>
      </c>
      <c r="D4199" s="12" t="inlineStr">
        <is>
          <t>PO-2021-1537</t>
        </is>
      </c>
      <c r="E4199" s="12" t="n">
        <v>0.68</v>
      </c>
      <c r="F4199" s="17" t="n">
        <v>59014.52</v>
      </c>
      <c r="G4199" s="14">
        <f>E4199*F4199</f>
        <v/>
      </c>
      <c r="H4199" s="14">
        <f>C4199*G4199</f>
        <v/>
      </c>
    </row>
    <row r="4200">
      <c r="A4200" s="12" t="inlineStr">
        <is>
          <t>RET-0313</t>
        </is>
      </c>
      <c r="B4200" s="12" t="inlineStr">
        <is>
          <t>VS17</t>
        </is>
      </c>
      <c r="C4200" s="28" t="n">
        <v>0.0072</v>
      </c>
      <c r="D4200" s="12" t="inlineStr">
        <is>
          <t>PO-2022-2200</t>
        </is>
      </c>
      <c r="E4200" s="12" t="n">
        <v>0.68</v>
      </c>
      <c r="F4200" s="17" t="n">
        <v>84962.08</v>
      </c>
      <c r="G4200" s="14">
        <f>E4200*F4200</f>
        <v/>
      </c>
      <c r="H4200" s="14">
        <f>C4200*G4200</f>
        <v/>
      </c>
    </row>
    <row r="4201">
      <c r="A4201" s="12" t="inlineStr">
        <is>
          <t>RET-0313</t>
        </is>
      </c>
      <c r="B4201" s="12" t="inlineStr">
        <is>
          <t>VS18</t>
        </is>
      </c>
      <c r="C4201" s="28" t="n">
        <v>0.005</v>
      </c>
      <c r="D4201" s="12" t="inlineStr">
        <is>
          <t>PO-2022-2519</t>
        </is>
      </c>
      <c r="E4201" s="12" t="n">
        <v>0.68</v>
      </c>
      <c r="F4201" s="17" t="n">
        <v>113624.61</v>
      </c>
      <c r="G4201" s="14">
        <f>E4201*F4201</f>
        <v/>
      </c>
      <c r="H4201" s="14">
        <f>C4201*G4201</f>
        <v/>
      </c>
    </row>
    <row r="4202">
      <c r="A4202" s="12" t="inlineStr">
        <is>
          <t>RET-0313</t>
        </is>
      </c>
      <c r="B4202" s="12" t="inlineStr">
        <is>
          <t>VS19</t>
        </is>
      </c>
      <c r="C4202" s="28" t="n">
        <v>0.2637</v>
      </c>
      <c r="D4202" s="12" t="inlineStr">
        <is>
          <t>PO-2021-0346</t>
        </is>
      </c>
      <c r="E4202" s="12" t="n">
        <v>0.68</v>
      </c>
      <c r="F4202" s="17" t="n">
        <v>64741.45</v>
      </c>
      <c r="G4202" s="14">
        <f>E4202*F4202</f>
        <v/>
      </c>
      <c r="H4202" s="14">
        <f>C4202*G4202</f>
        <v/>
      </c>
    </row>
    <row r="4203">
      <c r="A4203" s="12" t="inlineStr">
        <is>
          <t>RET-0313</t>
        </is>
      </c>
      <c r="B4203" s="12" t="inlineStr">
        <is>
          <t>VS20</t>
        </is>
      </c>
      <c r="C4203" s="28" t="n">
        <v>0.0028</v>
      </c>
      <c r="D4203" s="12" t="inlineStr">
        <is>
          <t>PO-2021-1483</t>
        </is>
      </c>
      <c r="E4203" s="12" t="n">
        <v>0.68</v>
      </c>
      <c r="F4203" s="17" t="n">
        <v>49762.37</v>
      </c>
      <c r="G4203" s="14">
        <f>E4203*F4203</f>
        <v/>
      </c>
      <c r="H4203" s="14">
        <f>C4203*G4203</f>
        <v/>
      </c>
    </row>
    <row r="4204">
      <c r="A4204" s="12" t="inlineStr">
        <is>
          <t>RET-0313</t>
        </is>
      </c>
      <c r="B4204" s="12" t="inlineStr">
        <is>
          <t>VS21</t>
        </is>
      </c>
      <c r="C4204" s="28" t="n">
        <v>0.0028</v>
      </c>
      <c r="D4204" s="12" t="inlineStr">
        <is>
          <t>PO-2021-0561</t>
        </is>
      </c>
      <c r="E4204" s="12" t="n">
        <v>0.68</v>
      </c>
      <c r="F4204" s="17" t="n">
        <v>94155.03999999999</v>
      </c>
      <c r="G4204" s="14">
        <f>E4204*F4204</f>
        <v/>
      </c>
      <c r="H4204" s="14">
        <f>C4204*G4204</f>
        <v/>
      </c>
    </row>
    <row r="4205">
      <c r="A4205" s="12" t="inlineStr">
        <is>
          <t>RET-0313</t>
        </is>
      </c>
      <c r="B4205" s="12" t="inlineStr">
        <is>
          <t>VS22</t>
        </is>
      </c>
      <c r="C4205" s="28" t="n">
        <v>0.0017</v>
      </c>
      <c r="D4205" s="12" t="inlineStr">
        <is>
          <t>PO-2021-0202</t>
        </is>
      </c>
      <c r="E4205" s="12" t="n">
        <v>0.68</v>
      </c>
      <c r="F4205" s="17" t="n">
        <v>107171.92</v>
      </c>
      <c r="G4205" s="14">
        <f>E4205*F4205</f>
        <v/>
      </c>
      <c r="H4205" s="14">
        <f>C4205*G4205</f>
        <v/>
      </c>
    </row>
    <row r="4206">
      <c r="A4206" s="12" t="inlineStr">
        <is>
          <t>RET-0313</t>
        </is>
      </c>
      <c r="B4206" s="12" t="inlineStr">
        <is>
          <t>VS23</t>
        </is>
      </c>
      <c r="C4206" s="28" t="n">
        <v>0.0027</v>
      </c>
      <c r="D4206" s="12" t="inlineStr">
        <is>
          <t>PO-2022-1867</t>
        </is>
      </c>
      <c r="E4206" s="12" t="n">
        <v>0.68</v>
      </c>
      <c r="F4206" s="17" t="n">
        <v>86770.56</v>
      </c>
      <c r="G4206" s="14">
        <f>E4206*F4206</f>
        <v/>
      </c>
      <c r="H4206" s="14">
        <f>C4206*G4206</f>
        <v/>
      </c>
    </row>
    <row r="4207">
      <c r="A4207" s="12" t="inlineStr">
        <is>
          <t>RET-0313</t>
        </is>
      </c>
      <c r="B4207" s="12" t="inlineStr">
        <is>
          <t>VS24</t>
        </is>
      </c>
      <c r="C4207" s="28" t="n">
        <v>0.0028</v>
      </c>
      <c r="D4207" s="12" t="inlineStr">
        <is>
          <t>PO-2022-1693</t>
        </is>
      </c>
      <c r="E4207" s="12" t="n">
        <v>0.68</v>
      </c>
      <c r="F4207" s="17" t="n">
        <v>54172.77</v>
      </c>
      <c r="G4207" s="14">
        <f>E4207*F4207</f>
        <v/>
      </c>
      <c r="H4207" s="14">
        <f>C4207*G4207</f>
        <v/>
      </c>
    </row>
    <row r="4208">
      <c r="A4208" s="12" t="inlineStr">
        <is>
          <t>RET-0313</t>
        </is>
      </c>
      <c r="B4208" s="12" t="inlineStr">
        <is>
          <t>VS25</t>
        </is>
      </c>
      <c r="C4208" s="28" t="n">
        <v>0.005</v>
      </c>
      <c r="D4208" s="12" t="inlineStr">
        <is>
          <t>PO-2022-2989</t>
        </is>
      </c>
      <c r="E4208" s="12" t="n">
        <v>0.68</v>
      </c>
      <c r="F4208" s="17" t="n">
        <v>58824.4</v>
      </c>
      <c r="G4208" s="14">
        <f>E4208*F4208</f>
        <v/>
      </c>
      <c r="H4208" s="14">
        <f>C4208*G4208</f>
        <v/>
      </c>
    </row>
    <row r="4209">
      <c r="A4209" s="12" t="inlineStr">
        <is>
          <t>RET-0313</t>
        </is>
      </c>
      <c r="B4209" s="12" t="inlineStr">
        <is>
          <t>VS26</t>
        </is>
      </c>
      <c r="C4209" s="28" t="n">
        <v>0.0028</v>
      </c>
      <c r="D4209" s="12" t="inlineStr">
        <is>
          <t>PO-2023-3815</t>
        </is>
      </c>
      <c r="E4209" s="12" t="n">
        <v>0.68</v>
      </c>
      <c r="F4209" s="17" t="n">
        <v>47482.02</v>
      </c>
      <c r="G4209" s="14">
        <f>E4209*F4209</f>
        <v/>
      </c>
      <c r="H4209" s="14">
        <f>C4209*G4209</f>
        <v/>
      </c>
    </row>
    <row r="4210">
      <c r="A4210" s="12" t="inlineStr">
        <is>
          <t>RET-0313</t>
        </is>
      </c>
      <c r="B4210" s="12" t="inlineStr">
        <is>
          <t>VS27</t>
        </is>
      </c>
      <c r="C4210" s="28" t="n">
        <v>0.0027</v>
      </c>
      <c r="D4210" s="12" t="inlineStr">
        <is>
          <t>PO-2023-3831</t>
        </is>
      </c>
      <c r="E4210" s="12" t="n">
        <v>0.68</v>
      </c>
      <c r="F4210" s="17" t="n">
        <v>117054.77</v>
      </c>
      <c r="G4210" s="14">
        <f>E4210*F4210</f>
        <v/>
      </c>
      <c r="H4210" s="14">
        <f>C4210*G4210</f>
        <v/>
      </c>
    </row>
    <row r="4211">
      <c r="A4211" s="12" t="inlineStr">
        <is>
          <t>RET-0313</t>
        </is>
      </c>
      <c r="B4211" s="12" t="inlineStr">
        <is>
          <t>VS28</t>
        </is>
      </c>
      <c r="C4211" s="28" t="n">
        <v>0.0061</v>
      </c>
      <c r="D4211" s="12" t="inlineStr">
        <is>
          <t>PO-2022-1779</t>
        </is>
      </c>
      <c r="E4211" s="12" t="n">
        <v>0.68</v>
      </c>
      <c r="F4211" s="17" t="n">
        <v>79281.17</v>
      </c>
      <c r="G4211" s="14">
        <f>E4211*F4211</f>
        <v/>
      </c>
      <c r="H4211" s="14">
        <f>C4211*G4211</f>
        <v/>
      </c>
    </row>
    <row r="4212">
      <c r="A4212" s="12" t="inlineStr">
        <is>
          <t>RET-0313</t>
        </is>
      </c>
      <c r="B4212" s="12" t="inlineStr">
        <is>
          <t>VS29</t>
        </is>
      </c>
      <c r="C4212" s="28" t="n">
        <v>0.0039</v>
      </c>
      <c r="D4212" s="12" t="inlineStr">
        <is>
          <t>PO-2022-2476</t>
        </is>
      </c>
      <c r="E4212" s="12" t="n">
        <v>0.68</v>
      </c>
      <c r="F4212" s="17" t="n">
        <v>73835.66</v>
      </c>
      <c r="G4212" s="14">
        <f>E4212*F4212</f>
        <v/>
      </c>
      <c r="H4212" s="14">
        <f>C4212*G4212</f>
        <v/>
      </c>
    </row>
    <row r="4213">
      <c r="A4213" s="12" t="inlineStr">
        <is>
          <t>RET-0313</t>
        </is>
      </c>
      <c r="B4213" s="12" t="inlineStr">
        <is>
          <t>VS30</t>
        </is>
      </c>
      <c r="C4213" s="28" t="n">
        <v>0.0017</v>
      </c>
      <c r="D4213" s="12" t="inlineStr">
        <is>
          <t>PO-2021-1217</t>
        </is>
      </c>
      <c r="E4213" s="12" t="n">
        <v>0.68</v>
      </c>
      <c r="F4213" s="17" t="n">
        <v>99224.63</v>
      </c>
      <c r="G4213" s="14">
        <f>E4213*F4213</f>
        <v/>
      </c>
      <c r="H4213" s="14">
        <f>C4213*G4213</f>
        <v/>
      </c>
    </row>
    <row r="4214">
      <c r="A4214" s="12" t="inlineStr">
        <is>
          <t>RET-0313</t>
        </is>
      </c>
      <c r="B4214" s="12" t="inlineStr">
        <is>
          <t>VS31</t>
        </is>
      </c>
      <c r="C4214" s="28" t="n">
        <v>0.0061</v>
      </c>
      <c r="D4214" s="12" t="inlineStr">
        <is>
          <t>PO-2023-4087</t>
        </is>
      </c>
      <c r="E4214" s="12" t="n">
        <v>0.68</v>
      </c>
      <c r="F4214" s="17" t="n">
        <v>113295.37</v>
      </c>
      <c r="G4214" s="14">
        <f>E4214*F4214</f>
        <v/>
      </c>
      <c r="H4214" s="14">
        <f>C4214*G4214</f>
        <v/>
      </c>
    </row>
    <row r="4215">
      <c r="A4215" s="12" t="inlineStr">
        <is>
          <t>RET-0313</t>
        </is>
      </c>
      <c r="B4215" s="12" t="inlineStr">
        <is>
          <t>VS32</t>
        </is>
      </c>
      <c r="C4215" s="28" t="n">
        <v>0.0073</v>
      </c>
      <c r="D4215" s="12" t="inlineStr">
        <is>
          <t>PO-2021-0421</t>
        </is>
      </c>
      <c r="E4215" s="12" t="n">
        <v>0.68</v>
      </c>
      <c r="F4215" s="17" t="n">
        <v>65153.79</v>
      </c>
      <c r="G4215" s="14">
        <f>E4215*F4215</f>
        <v/>
      </c>
      <c r="H4215" s="14">
        <f>C4215*G4215</f>
        <v/>
      </c>
    </row>
    <row r="4216">
      <c r="A4216" s="12" t="inlineStr">
        <is>
          <t>RET-0313</t>
        </is>
      </c>
      <c r="B4216" s="12" t="inlineStr">
        <is>
          <t>VS33</t>
        </is>
      </c>
      <c r="C4216" s="28" t="n">
        <v>0.0039</v>
      </c>
      <c r="D4216" s="12" t="inlineStr">
        <is>
          <t>PO-2021-0214</t>
        </is>
      </c>
      <c r="E4216" s="12" t="n">
        <v>0.68</v>
      </c>
      <c r="F4216" s="17" t="n">
        <v>51878.52</v>
      </c>
      <c r="G4216" s="14">
        <f>E4216*F4216</f>
        <v/>
      </c>
      <c r="H4216" s="14">
        <f>C4216*G4216</f>
        <v/>
      </c>
    </row>
    <row r="4217">
      <c r="A4217" s="12" t="inlineStr">
        <is>
          <t>RET-0313</t>
        </is>
      </c>
      <c r="B4217" s="12" t="inlineStr">
        <is>
          <t>VS34</t>
        </is>
      </c>
      <c r="C4217" s="28" t="n">
        <v>0.005</v>
      </c>
      <c r="D4217" s="12" t="inlineStr">
        <is>
          <t>PO-2023-3985</t>
        </is>
      </c>
      <c r="E4217" s="12" t="n">
        <v>0.68</v>
      </c>
      <c r="F4217" s="17" t="n">
        <v>49311.74</v>
      </c>
      <c r="G4217" s="14">
        <f>E4217*F4217</f>
        <v/>
      </c>
      <c r="H4217" s="14">
        <f>C4217*G4217</f>
        <v/>
      </c>
    </row>
    <row r="4218">
      <c r="A4218" s="12" t="inlineStr">
        <is>
          <t>RET-0316</t>
        </is>
      </c>
      <c r="B4218" s="12" t="inlineStr">
        <is>
          <t>VS01</t>
        </is>
      </c>
      <c r="C4218" s="28" t="n">
        <v>0.008</v>
      </c>
      <c r="D4218" s="12" t="inlineStr">
        <is>
          <t>PO-2021-0444</t>
        </is>
      </c>
      <c r="E4218" s="12" t="n">
        <v>2.84</v>
      </c>
      <c r="F4218" s="17" t="n">
        <v>54898.72</v>
      </c>
      <c r="G4218" s="14">
        <f>E4218*F4218</f>
        <v/>
      </c>
      <c r="H4218" s="14">
        <f>C4218*G4218</f>
        <v/>
      </c>
    </row>
    <row r="4219">
      <c r="A4219" s="12" t="inlineStr">
        <is>
          <t>RET-0316</t>
        </is>
      </c>
      <c r="B4219" s="12" t="inlineStr">
        <is>
          <t>VS02</t>
        </is>
      </c>
      <c r="C4219" s="28" t="n">
        <v>0.0036</v>
      </c>
      <c r="D4219" s="12" t="inlineStr">
        <is>
          <t>PO-2021-0280</t>
        </is>
      </c>
      <c r="E4219" s="12" t="n">
        <v>2.84</v>
      </c>
      <c r="F4219" s="17" t="n">
        <v>53220.34</v>
      </c>
      <c r="G4219" s="14">
        <f>E4219*F4219</f>
        <v/>
      </c>
      <c r="H4219" s="14">
        <f>C4219*G4219</f>
        <v/>
      </c>
    </row>
    <row r="4220">
      <c r="A4220" s="12" t="inlineStr">
        <is>
          <t>RET-0316</t>
        </is>
      </c>
      <c r="B4220" s="12" t="inlineStr">
        <is>
          <t>VS03</t>
        </is>
      </c>
      <c r="C4220" s="28" t="n">
        <v>0.2396</v>
      </c>
      <c r="D4220" s="12" t="inlineStr">
        <is>
          <t>PO-2022-1959</t>
        </is>
      </c>
      <c r="E4220" s="12" t="n">
        <v>2.23</v>
      </c>
      <c r="F4220" s="17" t="n">
        <v>116552.68</v>
      </c>
      <c r="G4220" s="14">
        <f>E4220*F4220</f>
        <v/>
      </c>
      <c r="H4220" s="14">
        <f>C4220*G4220</f>
        <v/>
      </c>
    </row>
    <row r="4221">
      <c r="A4221" s="12" t="inlineStr">
        <is>
          <t>RET-0316</t>
        </is>
      </c>
      <c r="B4221" s="12" t="inlineStr">
        <is>
          <t>VS04</t>
        </is>
      </c>
      <c r="C4221" s="28" t="n">
        <v>0.005</v>
      </c>
      <c r="D4221" s="12" t="inlineStr">
        <is>
          <t>PO-2022-2227</t>
        </is>
      </c>
      <c r="E4221" s="12" t="n">
        <v>2.84</v>
      </c>
      <c r="F4221" s="17" t="n">
        <v>45129.67</v>
      </c>
      <c r="G4221" s="14">
        <f>E4221*F4221</f>
        <v/>
      </c>
      <c r="H4221" s="14">
        <f>C4221*G4221</f>
        <v/>
      </c>
    </row>
    <row r="4222">
      <c r="A4222" s="12" t="inlineStr">
        <is>
          <t>RET-0316</t>
        </is>
      </c>
      <c r="B4222" s="12" t="inlineStr">
        <is>
          <t>VS05</t>
        </is>
      </c>
      <c r="C4222" s="28" t="n">
        <v>0.0065</v>
      </c>
      <c r="D4222" s="12" t="inlineStr">
        <is>
          <t>PO-2022-1612</t>
        </is>
      </c>
      <c r="E4222" s="12" t="n">
        <v>2.84</v>
      </c>
      <c r="F4222" s="17" t="n">
        <v>108495.7</v>
      </c>
      <c r="G4222" s="14">
        <f>E4222*F4222</f>
        <v/>
      </c>
      <c r="H4222" s="14">
        <f>C4222*G4222</f>
        <v/>
      </c>
    </row>
    <row r="4223">
      <c r="A4223" s="12" t="inlineStr">
        <is>
          <t>RET-0316</t>
        </is>
      </c>
      <c r="B4223" s="12" t="inlineStr">
        <is>
          <t>VS06</t>
        </is>
      </c>
      <c r="C4223" s="28" t="n">
        <v>0.0066</v>
      </c>
      <c r="D4223" s="12" t="inlineStr">
        <is>
          <t>PO-2022-2004</t>
        </is>
      </c>
      <c r="E4223" s="12" t="n">
        <v>2.84</v>
      </c>
      <c r="F4223" s="17" t="n">
        <v>52605.38</v>
      </c>
      <c r="G4223" s="14">
        <f>E4223*F4223</f>
        <v/>
      </c>
      <c r="H4223" s="14">
        <f>C4223*G4223</f>
        <v/>
      </c>
    </row>
    <row r="4224">
      <c r="A4224" s="12" t="inlineStr">
        <is>
          <t>RET-0316</t>
        </is>
      </c>
      <c r="B4224" s="12" t="inlineStr">
        <is>
          <t>VS07</t>
        </is>
      </c>
      <c r="C4224" s="28" t="n">
        <v>0.0022</v>
      </c>
      <c r="D4224" s="12" t="inlineStr">
        <is>
          <t>PO-2022-1955</t>
        </is>
      </c>
      <c r="E4224" s="12" t="n">
        <v>2.84</v>
      </c>
      <c r="F4224" s="17" t="n">
        <v>82709.5</v>
      </c>
      <c r="G4224" s="14">
        <f>E4224*F4224</f>
        <v/>
      </c>
      <c r="H4224" s="14">
        <f>C4224*G4224</f>
        <v/>
      </c>
    </row>
    <row r="4225">
      <c r="A4225" s="12" t="inlineStr">
        <is>
          <t>RET-0316</t>
        </is>
      </c>
      <c r="B4225" s="12" t="inlineStr">
        <is>
          <t>VS08</t>
        </is>
      </c>
      <c r="C4225" s="28" t="n">
        <v>0.0066</v>
      </c>
      <c r="D4225" s="12" t="inlineStr">
        <is>
          <t>PO-2022-2016</t>
        </is>
      </c>
      <c r="E4225" s="12" t="n">
        <v>2.84</v>
      </c>
      <c r="F4225" s="17" t="n">
        <v>84845.14</v>
      </c>
      <c r="G4225" s="14">
        <f>E4225*F4225</f>
        <v/>
      </c>
      <c r="H4225" s="14">
        <f>C4225*G4225</f>
        <v/>
      </c>
    </row>
    <row r="4226">
      <c r="A4226" s="12" t="inlineStr">
        <is>
          <t>RET-0316</t>
        </is>
      </c>
      <c r="B4226" s="12" t="inlineStr">
        <is>
          <t>VS09</t>
        </is>
      </c>
      <c r="C4226" s="28" t="n">
        <v>0.0051</v>
      </c>
      <c r="D4226" s="12" t="inlineStr">
        <is>
          <t>PO-2022-2867</t>
        </is>
      </c>
      <c r="E4226" s="12" t="n">
        <v>2.84</v>
      </c>
      <c r="F4226" s="17" t="n">
        <v>104293.93</v>
      </c>
      <c r="G4226" s="14">
        <f>E4226*F4226</f>
        <v/>
      </c>
      <c r="H4226" s="14">
        <f>C4226*G4226</f>
        <v/>
      </c>
    </row>
    <row r="4227">
      <c r="A4227" s="12" t="inlineStr">
        <is>
          <t>RET-0316</t>
        </is>
      </c>
      <c r="B4227" s="12" t="inlineStr">
        <is>
          <t>VS10</t>
        </is>
      </c>
      <c r="C4227" s="28" t="n">
        <v>0.008</v>
      </c>
      <c r="D4227" s="12" t="inlineStr">
        <is>
          <t>PO-2022-1664</t>
        </is>
      </c>
      <c r="E4227" s="12" t="n">
        <v>2.84</v>
      </c>
      <c r="F4227" s="17" t="n">
        <v>83922.24000000001</v>
      </c>
      <c r="G4227" s="14">
        <f>E4227*F4227</f>
        <v/>
      </c>
      <c r="H4227" s="14">
        <f>C4227*G4227</f>
        <v/>
      </c>
    </row>
    <row r="4228">
      <c r="A4228" s="12" t="inlineStr">
        <is>
          <t>RET-0316</t>
        </is>
      </c>
      <c r="B4228" s="12" t="inlineStr">
        <is>
          <t>VS11</t>
        </is>
      </c>
      <c r="C4228" s="28" t="n">
        <v>0.0094</v>
      </c>
      <c r="D4228" s="12" t="inlineStr">
        <is>
          <t>PO-2022-2057</t>
        </is>
      </c>
      <c r="E4228" s="12" t="n">
        <v>2.84</v>
      </c>
      <c r="F4228" s="17" t="n">
        <v>70487.60000000001</v>
      </c>
      <c r="G4228" s="14">
        <f>E4228*F4228</f>
        <v/>
      </c>
      <c r="H4228" s="14">
        <f>C4228*G4228</f>
        <v/>
      </c>
    </row>
    <row r="4229">
      <c r="A4229" s="12" t="inlineStr">
        <is>
          <t>RET-0316</t>
        </is>
      </c>
      <c r="B4229" s="12" t="inlineStr">
        <is>
          <t>VS12</t>
        </is>
      </c>
      <c r="C4229" s="28" t="n">
        <v>0.3331</v>
      </c>
      <c r="D4229" s="12" t="inlineStr">
        <is>
          <t>PO-2023-3732</t>
        </is>
      </c>
      <c r="E4229" s="12" t="n">
        <v>2.84</v>
      </c>
      <c r="F4229" s="17" t="n">
        <v>98567.67999999999</v>
      </c>
      <c r="G4229" s="14">
        <f>E4229*F4229</f>
        <v/>
      </c>
      <c r="H4229" s="14">
        <f>C4229*G4229</f>
        <v/>
      </c>
    </row>
    <row r="4230">
      <c r="A4230" s="12" t="inlineStr">
        <is>
          <t>RET-0316</t>
        </is>
      </c>
      <c r="B4230" s="12" t="inlineStr">
        <is>
          <t>VS13</t>
        </is>
      </c>
      <c r="C4230" s="28" t="n">
        <v>0.0064</v>
      </c>
      <c r="D4230" s="12" t="inlineStr">
        <is>
          <t>PO-2021-0575</t>
        </is>
      </c>
      <c r="E4230" s="12" t="n">
        <v>2.84</v>
      </c>
      <c r="F4230" s="17" t="n">
        <v>111900.48</v>
      </c>
      <c r="G4230" s="14">
        <f>E4230*F4230</f>
        <v/>
      </c>
      <c r="H4230" s="14">
        <f>C4230*G4230</f>
        <v/>
      </c>
    </row>
    <row r="4231">
      <c r="A4231" s="12" t="inlineStr">
        <is>
          <t>RET-0316</t>
        </is>
      </c>
      <c r="B4231" s="12" t="inlineStr">
        <is>
          <t>VS14</t>
        </is>
      </c>
      <c r="C4231" s="28" t="n">
        <v>0.0065</v>
      </c>
      <c r="D4231" s="12" t="inlineStr">
        <is>
          <t>PO-2023-3998</t>
        </is>
      </c>
      <c r="E4231" s="12" t="n">
        <v>2.84</v>
      </c>
      <c r="F4231" s="17" t="n">
        <v>65272.64</v>
      </c>
      <c r="G4231" s="14">
        <f>E4231*F4231</f>
        <v/>
      </c>
      <c r="H4231" s="14">
        <f>C4231*G4231</f>
        <v/>
      </c>
    </row>
    <row r="4232">
      <c r="A4232" s="12" t="inlineStr">
        <is>
          <t>RET-0316</t>
        </is>
      </c>
      <c r="B4232" s="12" t="inlineStr">
        <is>
          <t>VS15</t>
        </is>
      </c>
      <c r="C4232" s="28" t="n">
        <v>0.0022</v>
      </c>
      <c r="D4232" s="12" t="inlineStr">
        <is>
          <t>PO-2021-0368</t>
        </is>
      </c>
      <c r="E4232" s="12" t="n">
        <v>2.84</v>
      </c>
      <c r="F4232" s="17" t="n">
        <v>73157.02</v>
      </c>
      <c r="G4232" s="14">
        <f>E4232*F4232</f>
        <v/>
      </c>
      <c r="H4232" s="14">
        <f>C4232*G4232</f>
        <v/>
      </c>
    </row>
    <row r="4233">
      <c r="A4233" s="12" t="inlineStr">
        <is>
          <t>RET-0316</t>
        </is>
      </c>
      <c r="B4233" s="12" t="inlineStr">
        <is>
          <t>VS16</t>
        </is>
      </c>
      <c r="C4233" s="28" t="n">
        <v>0.0094</v>
      </c>
      <c r="D4233" s="12" t="inlineStr">
        <is>
          <t>PO-2022-3155</t>
        </is>
      </c>
      <c r="E4233" s="12" t="n">
        <v>2.84</v>
      </c>
      <c r="F4233" s="17" t="n">
        <v>48107.16</v>
      </c>
      <c r="G4233" s="14">
        <f>E4233*F4233</f>
        <v/>
      </c>
      <c r="H4233" s="14">
        <f>C4233*G4233</f>
        <v/>
      </c>
    </row>
    <row r="4234">
      <c r="A4234" s="12" t="inlineStr">
        <is>
          <t>RET-0316</t>
        </is>
      </c>
      <c r="B4234" s="12" t="inlineStr">
        <is>
          <t>VS17</t>
        </is>
      </c>
      <c r="C4234" s="28" t="n">
        <v>0.0094</v>
      </c>
      <c r="D4234" s="12" t="inlineStr">
        <is>
          <t>PO-2021-0678</t>
        </is>
      </c>
      <c r="E4234" s="12" t="n">
        <v>2.84</v>
      </c>
      <c r="F4234" s="17" t="n">
        <v>95143.92</v>
      </c>
      <c r="G4234" s="14">
        <f>E4234*F4234</f>
        <v/>
      </c>
      <c r="H4234" s="14">
        <f>C4234*G4234</f>
        <v/>
      </c>
    </row>
    <row r="4235">
      <c r="A4235" s="12" t="inlineStr">
        <is>
          <t>RET-0316</t>
        </is>
      </c>
      <c r="B4235" s="12" t="inlineStr">
        <is>
          <t>VS18</t>
        </is>
      </c>
      <c r="C4235" s="28" t="n">
        <v>0.0065</v>
      </c>
      <c r="D4235" s="12" t="inlineStr">
        <is>
          <t>PO-2021-1295</t>
        </is>
      </c>
      <c r="E4235" s="12" t="n">
        <v>2.84</v>
      </c>
      <c r="F4235" s="17" t="n">
        <v>106221.06</v>
      </c>
      <c r="G4235" s="14">
        <f>E4235*F4235</f>
        <v/>
      </c>
      <c r="H4235" s="14">
        <f>C4235*G4235</f>
        <v/>
      </c>
    </row>
    <row r="4236">
      <c r="A4236" s="12" t="inlineStr">
        <is>
          <t>RET-0316</t>
        </is>
      </c>
      <c r="B4236" s="12" t="inlineStr">
        <is>
          <t>VS19</t>
        </is>
      </c>
      <c r="C4236" s="28" t="n">
        <v>0.2513</v>
      </c>
      <c r="D4236" s="12" t="inlineStr">
        <is>
          <t>PO-2023-3215</t>
        </is>
      </c>
      <c r="E4236" s="12" t="n">
        <v>2.84</v>
      </c>
      <c r="F4236" s="17" t="n">
        <v>100712.81</v>
      </c>
      <c r="G4236" s="14">
        <f>E4236*F4236</f>
        <v/>
      </c>
      <c r="H4236" s="14">
        <f>C4236*G4236</f>
        <v/>
      </c>
    </row>
    <row r="4237">
      <c r="A4237" s="12" t="inlineStr">
        <is>
          <t>RET-0316</t>
        </is>
      </c>
      <c r="B4237" s="12" t="inlineStr">
        <is>
          <t>VS20</t>
        </is>
      </c>
      <c r="C4237" s="28" t="n">
        <v>0.0036</v>
      </c>
      <c r="D4237" s="12" t="inlineStr">
        <is>
          <t>PO-2023-4044</t>
        </is>
      </c>
      <c r="E4237" s="12" t="n">
        <v>2.84</v>
      </c>
      <c r="F4237" s="17" t="n">
        <v>85304.62</v>
      </c>
      <c r="G4237" s="14">
        <f>E4237*F4237</f>
        <v/>
      </c>
      <c r="H4237" s="14">
        <f>C4237*G4237</f>
        <v/>
      </c>
    </row>
    <row r="4238">
      <c r="A4238" s="12" t="inlineStr">
        <is>
          <t>RET-0316</t>
        </is>
      </c>
      <c r="B4238" s="12" t="inlineStr">
        <is>
          <t>VS21</t>
        </is>
      </c>
      <c r="C4238" s="28" t="n">
        <v>0.0036</v>
      </c>
      <c r="D4238" s="12" t="inlineStr">
        <is>
          <t>PO-2022-2106</t>
        </is>
      </c>
      <c r="E4238" s="12" t="n">
        <v>2.84</v>
      </c>
      <c r="F4238" s="17" t="n">
        <v>78438.03</v>
      </c>
      <c r="G4238" s="14">
        <f>E4238*F4238</f>
        <v/>
      </c>
      <c r="H4238" s="14">
        <f>C4238*G4238</f>
        <v/>
      </c>
    </row>
    <row r="4239">
      <c r="A4239" s="12" t="inlineStr">
        <is>
          <t>RET-0316</t>
        </is>
      </c>
      <c r="B4239" s="12" t="inlineStr">
        <is>
          <t>VS22</t>
        </is>
      </c>
      <c r="C4239" s="28" t="n">
        <v>0.0022</v>
      </c>
      <c r="D4239" s="12" t="inlineStr">
        <is>
          <t>PO-2021-0813</t>
        </is>
      </c>
      <c r="E4239" s="12" t="n">
        <v>2.84</v>
      </c>
      <c r="F4239" s="17" t="n">
        <v>77572.83</v>
      </c>
      <c r="G4239" s="14">
        <f>E4239*F4239</f>
        <v/>
      </c>
      <c r="H4239" s="14">
        <f>C4239*G4239</f>
        <v/>
      </c>
    </row>
    <row r="4240">
      <c r="A4240" s="12" t="inlineStr">
        <is>
          <t>RET-0316</t>
        </is>
      </c>
      <c r="B4240" s="12" t="inlineStr">
        <is>
          <t>VS23</t>
        </is>
      </c>
      <c r="C4240" s="28" t="n">
        <v>0.0036</v>
      </c>
      <c r="D4240" s="12" t="inlineStr">
        <is>
          <t>PO-2021-1597</t>
        </is>
      </c>
      <c r="E4240" s="12" t="n">
        <v>2.84</v>
      </c>
      <c r="F4240" s="17" t="n">
        <v>110007.94</v>
      </c>
      <c r="G4240" s="14">
        <f>E4240*F4240</f>
        <v/>
      </c>
      <c r="H4240" s="14">
        <f>C4240*G4240</f>
        <v/>
      </c>
    </row>
    <row r="4241">
      <c r="A4241" s="12" t="inlineStr">
        <is>
          <t>RET-0316</t>
        </is>
      </c>
      <c r="B4241" s="12" t="inlineStr">
        <is>
          <t>VS24</t>
        </is>
      </c>
      <c r="C4241" s="28" t="n">
        <v>0.0036</v>
      </c>
      <c r="D4241" s="12" t="inlineStr">
        <is>
          <t>PO-2021-1023</t>
        </is>
      </c>
      <c r="E4241" s="12" t="n">
        <v>2.84</v>
      </c>
      <c r="F4241" s="17" t="n">
        <v>86909.28</v>
      </c>
      <c r="G4241" s="14">
        <f>E4241*F4241</f>
        <v/>
      </c>
      <c r="H4241" s="14">
        <f>C4241*G4241</f>
        <v/>
      </c>
    </row>
    <row r="4242">
      <c r="A4242" s="12" t="inlineStr">
        <is>
          <t>RET-0316</t>
        </is>
      </c>
      <c r="B4242" s="12" t="inlineStr">
        <is>
          <t>VS25</t>
        </is>
      </c>
      <c r="C4242" s="28" t="n">
        <v>0.0066</v>
      </c>
      <c r="D4242" s="12" t="inlineStr">
        <is>
          <t>PO-2023-3751</t>
        </is>
      </c>
      <c r="E4242" s="12" t="n">
        <v>2.84</v>
      </c>
      <c r="F4242" s="17" t="n">
        <v>106284.55</v>
      </c>
      <c r="G4242" s="14">
        <f>E4242*F4242</f>
        <v/>
      </c>
      <c r="H4242" s="14">
        <f>C4242*G4242</f>
        <v/>
      </c>
    </row>
    <row r="4243">
      <c r="A4243" s="12" t="inlineStr">
        <is>
          <t>RET-0316</t>
        </is>
      </c>
      <c r="B4243" s="12" t="inlineStr">
        <is>
          <t>VS26</t>
        </is>
      </c>
      <c r="C4243" s="28" t="n">
        <v>0.0036</v>
      </c>
      <c r="D4243" s="12" t="inlineStr">
        <is>
          <t>PO-2022-2785</t>
        </is>
      </c>
      <c r="E4243" s="12" t="n">
        <v>1.73</v>
      </c>
      <c r="F4243" s="17" t="n">
        <v>70128.83</v>
      </c>
      <c r="G4243" s="14">
        <f>E4243*F4243</f>
        <v/>
      </c>
      <c r="H4243" s="14">
        <f>C4243*G4243</f>
        <v/>
      </c>
    </row>
    <row r="4244">
      <c r="A4244" s="12" t="inlineStr">
        <is>
          <t>RET-0316</t>
        </is>
      </c>
      <c r="B4244" s="12" t="inlineStr">
        <is>
          <t>VS27</t>
        </is>
      </c>
      <c r="C4244" s="28" t="n">
        <v>0.0036</v>
      </c>
      <c r="D4244" s="12" t="inlineStr">
        <is>
          <t>PO-2023-3247</t>
        </is>
      </c>
      <c r="E4244" s="12" t="n">
        <v>2.84</v>
      </c>
      <c r="F4244" s="17" t="n">
        <v>92805.17999999999</v>
      </c>
      <c r="G4244" s="14">
        <f>E4244*F4244</f>
        <v/>
      </c>
      <c r="H4244" s="14">
        <f>C4244*G4244</f>
        <v/>
      </c>
    </row>
    <row r="4245">
      <c r="A4245" s="12" t="inlineStr">
        <is>
          <t>RET-0316</t>
        </is>
      </c>
      <c r="B4245" s="12" t="inlineStr">
        <is>
          <t>VS28</t>
        </is>
      </c>
      <c r="C4245" s="28" t="n">
        <v>0.008</v>
      </c>
      <c r="D4245" s="12" t="inlineStr">
        <is>
          <t>PO-2021-1324</t>
        </is>
      </c>
      <c r="E4245" s="12" t="n">
        <v>2.84</v>
      </c>
      <c r="F4245" s="17" t="n">
        <v>60027.89</v>
      </c>
      <c r="G4245" s="14">
        <f>E4245*F4245</f>
        <v/>
      </c>
      <c r="H4245" s="14">
        <f>C4245*G4245</f>
        <v/>
      </c>
    </row>
    <row r="4246">
      <c r="A4246" s="12" t="inlineStr">
        <is>
          <t>RET-0316</t>
        </is>
      </c>
      <c r="B4246" s="12" t="inlineStr">
        <is>
          <t>VS29</t>
        </is>
      </c>
      <c r="C4246" s="28" t="n">
        <v>0.0051</v>
      </c>
      <c r="D4246" s="12" t="inlineStr">
        <is>
          <t>PO-2021-0337</t>
        </is>
      </c>
      <c r="E4246" s="12" t="n">
        <v>2.84</v>
      </c>
      <c r="F4246" s="17" t="n">
        <v>99343.85000000001</v>
      </c>
      <c r="G4246" s="14">
        <f>E4246*F4246</f>
        <v/>
      </c>
      <c r="H4246" s="14">
        <f>C4246*G4246</f>
        <v/>
      </c>
    </row>
    <row r="4247">
      <c r="A4247" s="12" t="inlineStr">
        <is>
          <t>RET-0316</t>
        </is>
      </c>
      <c r="B4247" s="12" t="inlineStr">
        <is>
          <t>VS30</t>
        </is>
      </c>
      <c r="C4247" s="28" t="n">
        <v>0.0022</v>
      </c>
      <c r="D4247" s="12" t="inlineStr">
        <is>
          <t>PO-2021-0809</t>
        </is>
      </c>
      <c r="E4247" s="12" t="n">
        <v>2.84</v>
      </c>
      <c r="F4247" s="17" t="n">
        <v>64874.11</v>
      </c>
      <c r="G4247" s="14">
        <f>E4247*F4247</f>
        <v/>
      </c>
      <c r="H4247" s="14">
        <f>C4247*G4247</f>
        <v/>
      </c>
    </row>
    <row r="4248">
      <c r="A4248" s="12" t="inlineStr">
        <is>
          <t>RET-0316</t>
        </is>
      </c>
      <c r="B4248" s="12" t="inlineStr">
        <is>
          <t>VS31</t>
        </is>
      </c>
      <c r="C4248" s="28" t="n">
        <v>0.008</v>
      </c>
      <c r="D4248" s="12" t="inlineStr">
        <is>
          <t>PO-2021-0100</t>
        </is>
      </c>
      <c r="E4248" s="12" t="n">
        <v>2.84</v>
      </c>
      <c r="F4248" s="17" t="n">
        <v>69079.37</v>
      </c>
      <c r="G4248" s="14">
        <f>E4248*F4248</f>
        <v/>
      </c>
      <c r="H4248" s="14">
        <f>C4248*G4248</f>
        <v/>
      </c>
    </row>
    <row r="4249">
      <c r="A4249" s="12" t="inlineStr">
        <is>
          <t>RET-0316</t>
        </is>
      </c>
      <c r="B4249" s="12" t="inlineStr">
        <is>
          <t>VS32</t>
        </is>
      </c>
      <c r="C4249" s="28" t="n">
        <v>0.0095</v>
      </c>
      <c r="D4249" s="12" t="inlineStr">
        <is>
          <t>PO-2023-4513</t>
        </is>
      </c>
      <c r="E4249" s="12" t="n">
        <v>2.84</v>
      </c>
      <c r="F4249" s="17" t="n">
        <v>96245.08</v>
      </c>
      <c r="G4249" s="14">
        <f>E4249*F4249</f>
        <v/>
      </c>
      <c r="H4249" s="14">
        <f>C4249*G4249</f>
        <v/>
      </c>
    </row>
    <row r="4250">
      <c r="A4250" s="12" t="inlineStr">
        <is>
          <t>RET-0316</t>
        </is>
      </c>
      <c r="B4250" s="12" t="inlineStr">
        <is>
          <t>VS33</t>
        </is>
      </c>
      <c r="C4250" s="28" t="n">
        <v>0.005</v>
      </c>
      <c r="D4250" s="12" t="inlineStr">
        <is>
          <t>PO-2021-0733</t>
        </is>
      </c>
      <c r="E4250" s="12" t="n">
        <v>2.84</v>
      </c>
      <c r="F4250" s="17" t="n">
        <v>96475.39999999999</v>
      </c>
      <c r="G4250" s="14">
        <f>E4250*F4250</f>
        <v/>
      </c>
      <c r="H4250" s="14">
        <f>C4250*G4250</f>
        <v/>
      </c>
    </row>
    <row r="4251">
      <c r="A4251" s="12" t="inlineStr">
        <is>
          <t>RET-0316</t>
        </is>
      </c>
      <c r="B4251" s="12" t="inlineStr">
        <is>
          <t>VS34</t>
        </is>
      </c>
      <c r="C4251" s="28" t="n">
        <v>0.0065</v>
      </c>
      <c r="D4251" s="12" t="inlineStr">
        <is>
          <t>PO-2021-0502</t>
        </is>
      </c>
      <c r="E4251" s="12" t="n">
        <v>2.84</v>
      </c>
      <c r="F4251" s="17" t="n">
        <v>73019.31</v>
      </c>
      <c r="G4251" s="14">
        <f>E4251*F4251</f>
        <v/>
      </c>
      <c r="H4251" s="14">
        <f>C4251*G4251</f>
        <v/>
      </c>
    </row>
    <row r="4252">
      <c r="A4252" s="12" t="inlineStr">
        <is>
          <t>RET-0329</t>
        </is>
      </c>
      <c r="B4252" s="12" t="inlineStr">
        <is>
          <t>VS01</t>
        </is>
      </c>
      <c r="C4252" s="28" t="n">
        <v>0.0302</v>
      </c>
      <c r="D4252" s="12" t="inlineStr">
        <is>
          <t>PO-2022-2673</t>
        </is>
      </c>
      <c r="E4252" s="12" t="n">
        <v>4.44</v>
      </c>
      <c r="F4252" s="17" t="n">
        <v>73342.17999999999</v>
      </c>
      <c r="G4252" s="14">
        <f>E4252*F4252</f>
        <v/>
      </c>
      <c r="H4252" s="14">
        <f>C4252*G4252</f>
        <v/>
      </c>
    </row>
    <row r="4253">
      <c r="A4253" s="12" t="inlineStr">
        <is>
          <t>RET-0329</t>
        </is>
      </c>
      <c r="B4253" s="12" t="inlineStr">
        <is>
          <t>VS02</t>
        </is>
      </c>
      <c r="C4253" s="28" t="n">
        <v>0.0137</v>
      </c>
      <c r="D4253" s="12" t="inlineStr">
        <is>
          <t>PO-2021-0169</t>
        </is>
      </c>
      <c r="E4253" s="12" t="n">
        <v>2.41</v>
      </c>
      <c r="F4253" s="17" t="n">
        <v>65495.28</v>
      </c>
      <c r="G4253" s="14">
        <f>E4253*F4253</f>
        <v/>
      </c>
      <c r="H4253" s="14">
        <f>C4253*G4253</f>
        <v/>
      </c>
    </row>
    <row r="4254">
      <c r="A4254" s="12" t="inlineStr">
        <is>
          <t>RET-0329</t>
        </is>
      </c>
      <c r="B4254" s="12" t="inlineStr">
        <is>
          <t>VS03</t>
        </is>
      </c>
      <c r="C4254" s="28" t="n">
        <v>0.0978</v>
      </c>
      <c r="D4254" s="12" t="inlineStr">
        <is>
          <t>PO-2023-4707</t>
        </is>
      </c>
      <c r="E4254" s="12" t="n">
        <v>0</v>
      </c>
      <c r="F4254" s="17" t="n">
        <v>62710.54</v>
      </c>
      <c r="G4254" s="14">
        <f>E4254*F4254</f>
        <v/>
      </c>
      <c r="H4254" s="14">
        <f>C4254*G4254</f>
        <v/>
      </c>
    </row>
    <row r="4255">
      <c r="A4255" s="12" t="inlineStr">
        <is>
          <t>RET-0329</t>
        </is>
      </c>
      <c r="B4255" s="12" t="inlineStr">
        <is>
          <t>VS04</t>
        </is>
      </c>
      <c r="C4255" s="28" t="n">
        <v>0.0189</v>
      </c>
      <c r="D4255" s="12" t="inlineStr">
        <is>
          <t>PO-2023-3788</t>
        </is>
      </c>
      <c r="E4255" s="12" t="n">
        <v>4.44</v>
      </c>
      <c r="F4255" s="17" t="n">
        <v>87077.58</v>
      </c>
      <c r="G4255" s="14">
        <f>E4255*F4255</f>
        <v/>
      </c>
      <c r="H4255" s="14">
        <f>C4255*G4255</f>
        <v/>
      </c>
    </row>
    <row r="4256">
      <c r="A4256" s="12" t="inlineStr">
        <is>
          <t>RET-0329</t>
        </is>
      </c>
      <c r="B4256" s="12" t="inlineStr">
        <is>
          <t>VS05</t>
        </is>
      </c>
      <c r="C4256" s="28" t="n">
        <v>0.0246</v>
      </c>
      <c r="D4256" s="12" t="inlineStr">
        <is>
          <t>PO-2022-2393</t>
        </is>
      </c>
      <c r="E4256" s="12" t="n">
        <v>4.44</v>
      </c>
      <c r="F4256" s="17" t="n">
        <v>98915.31</v>
      </c>
      <c r="G4256" s="14">
        <f>E4256*F4256</f>
        <v/>
      </c>
      <c r="H4256" s="14">
        <f>C4256*G4256</f>
        <v/>
      </c>
    </row>
    <row r="4257">
      <c r="A4257" s="12" t="inlineStr">
        <is>
          <t>RET-0329</t>
        </is>
      </c>
      <c r="B4257" s="12" t="inlineStr">
        <is>
          <t>VS06</t>
        </is>
      </c>
      <c r="C4257" s="28" t="n">
        <v>0.0248</v>
      </c>
      <c r="D4257" s="12" t="inlineStr">
        <is>
          <t>PO-2021-0174</t>
        </is>
      </c>
      <c r="E4257" s="12" t="n">
        <v>4.44</v>
      </c>
      <c r="F4257" s="17" t="n">
        <v>76801.11</v>
      </c>
      <c r="G4257" s="14">
        <f>E4257*F4257</f>
        <v/>
      </c>
      <c r="H4257" s="14">
        <f>C4257*G4257</f>
        <v/>
      </c>
    </row>
    <row r="4258">
      <c r="A4258" s="12" t="inlineStr">
        <is>
          <t>RET-0329</t>
        </is>
      </c>
      <c r="B4258" s="12" t="inlineStr">
        <is>
          <t>VS07</t>
        </is>
      </c>
      <c r="C4258" s="28" t="n">
        <v>0.0083</v>
      </c>
      <c r="D4258" s="12" t="inlineStr">
        <is>
          <t>PO-2023-4138</t>
        </is>
      </c>
      <c r="E4258" s="12" t="n">
        <v>4.44</v>
      </c>
      <c r="F4258" s="17" t="n">
        <v>76770.92</v>
      </c>
      <c r="G4258" s="14">
        <f>E4258*F4258</f>
        <v/>
      </c>
      <c r="H4258" s="14">
        <f>C4258*G4258</f>
        <v/>
      </c>
    </row>
    <row r="4259">
      <c r="A4259" s="12" t="inlineStr">
        <is>
          <t>RET-0329</t>
        </is>
      </c>
      <c r="B4259" s="12" t="inlineStr">
        <is>
          <t>VS08</t>
        </is>
      </c>
      <c r="C4259" s="28" t="n">
        <v>0.025</v>
      </c>
      <c r="D4259" s="12" t="inlineStr">
        <is>
          <t>PO-2023-3636</t>
        </is>
      </c>
      <c r="E4259" s="12" t="n">
        <v>4.44</v>
      </c>
      <c r="F4259" s="17" t="n">
        <v>76545.83</v>
      </c>
      <c r="G4259" s="14">
        <f>E4259*F4259</f>
        <v/>
      </c>
      <c r="H4259" s="14">
        <f>C4259*G4259</f>
        <v/>
      </c>
    </row>
    <row r="4260">
      <c r="A4260" s="12" t="inlineStr">
        <is>
          <t>RET-0329</t>
        </is>
      </c>
      <c r="B4260" s="12" t="inlineStr">
        <is>
          <t>VS09</t>
        </is>
      </c>
      <c r="C4260" s="28" t="n">
        <v>0.0192</v>
      </c>
      <c r="D4260" s="12" t="inlineStr">
        <is>
          <t>PO-2023-3997</t>
        </is>
      </c>
      <c r="E4260" s="12" t="n">
        <v>4.44</v>
      </c>
      <c r="F4260" s="17" t="n">
        <v>56464.24</v>
      </c>
      <c r="G4260" s="14">
        <f>E4260*F4260</f>
        <v/>
      </c>
      <c r="H4260" s="14">
        <f>C4260*G4260</f>
        <v/>
      </c>
    </row>
    <row r="4261">
      <c r="A4261" s="12" t="inlineStr">
        <is>
          <t>RET-0329</t>
        </is>
      </c>
      <c r="B4261" s="12" t="inlineStr">
        <is>
          <t>VS10</t>
        </is>
      </c>
      <c r="C4261" s="28" t="n">
        <v>0.0301</v>
      </c>
      <c r="D4261" s="12" t="inlineStr">
        <is>
          <t>PO-2021-1527</t>
        </is>
      </c>
      <c r="E4261" s="12" t="n">
        <v>4.44</v>
      </c>
      <c r="F4261" s="17" t="n">
        <v>74651.91</v>
      </c>
      <c r="G4261" s="14">
        <f>E4261*F4261</f>
        <v/>
      </c>
      <c r="H4261" s="14">
        <f>C4261*G4261</f>
        <v/>
      </c>
    </row>
    <row r="4262">
      <c r="A4262" s="12" t="inlineStr">
        <is>
          <t>RET-0329</t>
        </is>
      </c>
      <c r="B4262" s="12" t="inlineStr">
        <is>
          <t>VS11</t>
        </is>
      </c>
      <c r="C4262" s="28" t="n">
        <v>0.0353</v>
      </c>
      <c r="D4262" s="12" t="inlineStr">
        <is>
          <t>PO-2021-1557</t>
        </is>
      </c>
      <c r="E4262" s="12" t="n">
        <v>4.44</v>
      </c>
      <c r="F4262" s="17" t="n">
        <v>54670.07</v>
      </c>
      <c r="G4262" s="14">
        <f>E4262*F4262</f>
        <v/>
      </c>
      <c r="H4262" s="14">
        <f>C4262*G4262</f>
        <v/>
      </c>
    </row>
    <row r="4263">
      <c r="A4263" s="12" t="inlineStr">
        <is>
          <t>RET-0329</t>
        </is>
      </c>
      <c r="B4263" s="12" t="inlineStr">
        <is>
          <t>VS12</t>
        </is>
      </c>
      <c r="C4263" s="28" t="n">
        <v>0.1359</v>
      </c>
      <c r="D4263" s="12" t="inlineStr">
        <is>
          <t>PO-2021-0538</t>
        </is>
      </c>
      <c r="E4263" s="12" t="n">
        <v>4.44</v>
      </c>
      <c r="F4263" s="17" t="n">
        <v>95023.07000000001</v>
      </c>
      <c r="G4263" s="14">
        <f>E4263*F4263</f>
        <v/>
      </c>
      <c r="H4263" s="14">
        <f>C4263*G4263</f>
        <v/>
      </c>
    </row>
    <row r="4264">
      <c r="A4264" s="12" t="inlineStr">
        <is>
          <t>RET-0329</t>
        </is>
      </c>
      <c r="B4264" s="12" t="inlineStr">
        <is>
          <t>VS13</t>
        </is>
      </c>
      <c r="C4264" s="28" t="n">
        <v>0.0243</v>
      </c>
      <c r="D4264" s="12" t="inlineStr">
        <is>
          <t>PO-2023-3428</t>
        </is>
      </c>
      <c r="E4264" s="12" t="n">
        <v>4.44</v>
      </c>
      <c r="F4264" s="17" t="n">
        <v>112597.65</v>
      </c>
      <c r="G4264" s="14">
        <f>E4264*F4264</f>
        <v/>
      </c>
      <c r="H4264" s="14">
        <f>C4264*G4264</f>
        <v/>
      </c>
    </row>
    <row r="4265">
      <c r="A4265" s="12" t="inlineStr">
        <is>
          <t>RET-0329</t>
        </is>
      </c>
      <c r="B4265" s="12" t="inlineStr">
        <is>
          <t>VS14</t>
        </is>
      </c>
      <c r="C4265" s="28" t="n">
        <v>0.0246</v>
      </c>
      <c r="D4265" s="12" t="inlineStr">
        <is>
          <t>PO-2023-4464</t>
        </is>
      </c>
      <c r="E4265" s="12" t="n">
        <v>4.44</v>
      </c>
      <c r="F4265" s="17" t="n">
        <v>96733.03</v>
      </c>
      <c r="G4265" s="14">
        <f>E4265*F4265</f>
        <v/>
      </c>
      <c r="H4265" s="14">
        <f>C4265*G4265</f>
        <v/>
      </c>
    </row>
    <row r="4266">
      <c r="A4266" s="12" t="inlineStr">
        <is>
          <t>RET-0329</t>
        </is>
      </c>
      <c r="B4266" s="12" t="inlineStr">
        <is>
          <t>VS15</t>
        </is>
      </c>
      <c r="C4266" s="28" t="n">
        <v>0.008200000000000001</v>
      </c>
      <c r="D4266" s="12" t="inlineStr">
        <is>
          <t>PO-2022-2566</t>
        </is>
      </c>
      <c r="E4266" s="12" t="n">
        <v>4.44</v>
      </c>
      <c r="F4266" s="17" t="n">
        <v>45321.38</v>
      </c>
      <c r="G4266" s="14">
        <f>E4266*F4266</f>
        <v/>
      </c>
      <c r="H4266" s="14">
        <f>C4266*G4266</f>
        <v/>
      </c>
    </row>
    <row r="4267">
      <c r="A4267" s="12" t="inlineStr">
        <is>
          <t>RET-0329</t>
        </is>
      </c>
      <c r="B4267" s="12" t="inlineStr">
        <is>
          <t>VS16</t>
        </is>
      </c>
      <c r="C4267" s="28" t="n">
        <v>0.0354</v>
      </c>
      <c r="D4267" s="12" t="inlineStr">
        <is>
          <t>PO-2021-0024</t>
        </is>
      </c>
      <c r="E4267" s="12" t="n">
        <v>4.44</v>
      </c>
      <c r="F4267" s="17" t="n">
        <v>97595.86</v>
      </c>
      <c r="G4267" s="14">
        <f>E4267*F4267</f>
        <v/>
      </c>
      <c r="H4267" s="14">
        <f>C4267*G4267</f>
        <v/>
      </c>
    </row>
    <row r="4268">
      <c r="A4268" s="12" t="inlineStr">
        <is>
          <t>RET-0329</t>
        </is>
      </c>
      <c r="B4268" s="12" t="inlineStr">
        <is>
          <t>VS17</t>
        </is>
      </c>
      <c r="C4268" s="28" t="n">
        <v>0.0353</v>
      </c>
      <c r="D4268" s="12" t="inlineStr">
        <is>
          <t>PO-2022-2682</t>
        </is>
      </c>
      <c r="E4268" s="12" t="n">
        <v>4.44</v>
      </c>
      <c r="F4268" s="17" t="n">
        <v>93283.31</v>
      </c>
      <c r="G4268" s="14">
        <f>E4268*F4268</f>
        <v/>
      </c>
      <c r="H4268" s="14">
        <f>C4268*G4268</f>
        <v/>
      </c>
    </row>
    <row r="4269">
      <c r="A4269" s="12" t="inlineStr">
        <is>
          <t>RET-0329</t>
        </is>
      </c>
      <c r="B4269" s="12" t="inlineStr">
        <is>
          <t>VS18</t>
        </is>
      </c>
      <c r="C4269" s="28" t="n">
        <v>0.0246</v>
      </c>
      <c r="D4269" s="12" t="inlineStr">
        <is>
          <t>PO-2022-2456</t>
        </is>
      </c>
      <c r="E4269" s="12" t="n">
        <v>4.44</v>
      </c>
      <c r="F4269" s="17" t="n">
        <v>95226.35000000001</v>
      </c>
      <c r="G4269" s="14">
        <f>E4269*F4269</f>
        <v/>
      </c>
      <c r="H4269" s="14">
        <f>C4269*G4269</f>
        <v/>
      </c>
    </row>
    <row r="4270">
      <c r="A4270" s="12" t="inlineStr">
        <is>
          <t>RET-0329</t>
        </is>
      </c>
      <c r="B4270" s="12" t="inlineStr">
        <is>
          <t>VS19</t>
        </is>
      </c>
      <c r="C4270" s="28" t="n">
        <v>0.1025</v>
      </c>
      <c r="D4270" s="12" t="inlineStr">
        <is>
          <t>PO-2021-1162</t>
        </is>
      </c>
      <c r="E4270" s="12" t="n">
        <v>4.44</v>
      </c>
      <c r="F4270" s="17" t="n">
        <v>81976.17999999999</v>
      </c>
      <c r="G4270" s="14">
        <f>E4270*F4270</f>
        <v/>
      </c>
      <c r="H4270" s="14">
        <f>C4270*G4270</f>
        <v/>
      </c>
    </row>
    <row r="4271">
      <c r="A4271" s="12" t="inlineStr">
        <is>
          <t>RET-0329</t>
        </is>
      </c>
      <c r="B4271" s="12" t="inlineStr">
        <is>
          <t>VS20</t>
        </is>
      </c>
      <c r="C4271" s="28" t="n">
        <v>0.0137</v>
      </c>
      <c r="D4271" s="12" t="inlineStr">
        <is>
          <t>PO-2022-2529</t>
        </is>
      </c>
      <c r="E4271" s="12" t="n">
        <v>4.44</v>
      </c>
      <c r="F4271" s="17" t="n">
        <v>56097.9</v>
      </c>
      <c r="G4271" s="14">
        <f>E4271*F4271</f>
        <v/>
      </c>
      <c r="H4271" s="14">
        <f>C4271*G4271</f>
        <v/>
      </c>
    </row>
    <row r="4272">
      <c r="A4272" s="12" t="inlineStr">
        <is>
          <t>RET-0329</t>
        </is>
      </c>
      <c r="B4272" s="12" t="inlineStr">
        <is>
          <t>VS21</t>
        </is>
      </c>
      <c r="C4272" s="28" t="n">
        <v>0.0137</v>
      </c>
      <c r="D4272" s="12" t="inlineStr">
        <is>
          <t>PO-2021-0515</t>
        </is>
      </c>
      <c r="E4272" s="12" t="n">
        <v>4.44</v>
      </c>
      <c r="F4272" s="17" t="n">
        <v>50565.03</v>
      </c>
      <c r="G4272" s="14">
        <f>E4272*F4272</f>
        <v/>
      </c>
      <c r="H4272" s="14">
        <f>C4272*G4272</f>
        <v/>
      </c>
    </row>
    <row r="4273">
      <c r="A4273" s="12" t="inlineStr">
        <is>
          <t>RET-0329</t>
        </is>
      </c>
      <c r="B4273" s="12" t="inlineStr">
        <is>
          <t>VS22</t>
        </is>
      </c>
      <c r="C4273" s="28" t="n">
        <v>0.0081</v>
      </c>
      <c r="D4273" s="12" t="inlineStr">
        <is>
          <t>PO-2022-1943</t>
        </is>
      </c>
      <c r="E4273" s="12" t="n">
        <v>4.44</v>
      </c>
      <c r="F4273" s="17" t="n">
        <v>100294.91</v>
      </c>
      <c r="G4273" s="14">
        <f>E4273*F4273</f>
        <v/>
      </c>
      <c r="H4273" s="14">
        <f>C4273*G4273</f>
        <v/>
      </c>
    </row>
    <row r="4274">
      <c r="A4274" s="12" t="inlineStr">
        <is>
          <t>RET-0329</t>
        </is>
      </c>
      <c r="B4274" s="12" t="inlineStr">
        <is>
          <t>VS23</t>
        </is>
      </c>
      <c r="C4274" s="28" t="n">
        <v>0.0135</v>
      </c>
      <c r="D4274" s="12" t="inlineStr">
        <is>
          <t>PO-2022-1722</t>
        </is>
      </c>
      <c r="E4274" s="12" t="n">
        <v>2.12</v>
      </c>
      <c r="F4274" s="17" t="n">
        <v>86272.82000000001</v>
      </c>
      <c r="G4274" s="14">
        <f>E4274*F4274</f>
        <v/>
      </c>
      <c r="H4274" s="14">
        <f>C4274*G4274</f>
        <v/>
      </c>
    </row>
    <row r="4275">
      <c r="A4275" s="12" t="inlineStr">
        <is>
          <t>RET-0329</t>
        </is>
      </c>
      <c r="B4275" s="12" t="inlineStr">
        <is>
          <t>VS24</t>
        </is>
      </c>
      <c r="C4275" s="28" t="n">
        <v>0.0136</v>
      </c>
      <c r="D4275" s="12" t="inlineStr">
        <is>
          <t>PO-2021-0372</t>
        </is>
      </c>
      <c r="E4275" s="12" t="n">
        <v>4.44</v>
      </c>
      <c r="F4275" s="17" t="n">
        <v>51547.29</v>
      </c>
      <c r="G4275" s="14">
        <f>E4275*F4275</f>
        <v/>
      </c>
      <c r="H4275" s="14">
        <f>C4275*G4275</f>
        <v/>
      </c>
    </row>
    <row r="4276">
      <c r="A4276" s="12" t="inlineStr">
        <is>
          <t>RET-0329</t>
        </is>
      </c>
      <c r="B4276" s="12" t="inlineStr">
        <is>
          <t>VS25</t>
        </is>
      </c>
      <c r="C4276" s="28" t="n">
        <v>0.0247</v>
      </c>
      <c r="D4276" s="12" t="inlineStr">
        <is>
          <t>PO-2021-0583</t>
        </is>
      </c>
      <c r="E4276" s="12" t="n">
        <v>4.44</v>
      </c>
      <c r="F4276" s="17" t="n">
        <v>91735.11</v>
      </c>
      <c r="G4276" s="14">
        <f>E4276*F4276</f>
        <v/>
      </c>
      <c r="H4276" s="14">
        <f>C4276*G4276</f>
        <v/>
      </c>
    </row>
    <row r="4277">
      <c r="A4277" s="12" t="inlineStr">
        <is>
          <t>RET-0329</t>
        </is>
      </c>
      <c r="B4277" s="12" t="inlineStr">
        <is>
          <t>VS26</t>
        </is>
      </c>
      <c r="C4277" s="28" t="n">
        <v>0.0138</v>
      </c>
      <c r="D4277" s="12" t="inlineStr">
        <is>
          <t>PO-2021-0818</t>
        </is>
      </c>
      <c r="E4277" s="12" t="n">
        <v>4.44</v>
      </c>
      <c r="F4277" s="17" t="n">
        <v>82636.73</v>
      </c>
      <c r="G4277" s="14">
        <f>E4277*F4277</f>
        <v/>
      </c>
      <c r="H4277" s="14">
        <f>C4277*G4277</f>
        <v/>
      </c>
    </row>
    <row r="4278">
      <c r="A4278" s="12" t="inlineStr">
        <is>
          <t>RET-0329</t>
        </is>
      </c>
      <c r="B4278" s="12" t="inlineStr">
        <is>
          <t>VS27</t>
        </is>
      </c>
      <c r="C4278" s="28" t="n">
        <v>0.0135</v>
      </c>
      <c r="D4278" s="12" t="inlineStr">
        <is>
          <t>PO-2021-1114</t>
        </is>
      </c>
      <c r="E4278" s="12" t="n">
        <v>1.99</v>
      </c>
      <c r="F4278" s="17" t="n">
        <v>80227.49000000001</v>
      </c>
      <c r="G4278" s="14">
        <f>E4278*F4278</f>
        <v/>
      </c>
      <c r="H4278" s="14">
        <f>C4278*G4278</f>
        <v/>
      </c>
    </row>
    <row r="4279">
      <c r="A4279" s="12" t="inlineStr">
        <is>
          <t>RET-0329</t>
        </is>
      </c>
      <c r="B4279" s="12" t="inlineStr">
        <is>
          <t>VS28</t>
        </is>
      </c>
      <c r="C4279" s="28" t="n">
        <v>0.0301</v>
      </c>
      <c r="D4279" s="12" t="inlineStr">
        <is>
          <t>PO-2022-2018</t>
        </is>
      </c>
      <c r="E4279" s="12" t="n">
        <v>4.44</v>
      </c>
      <c r="F4279" s="17" t="n">
        <v>79352.32000000001</v>
      </c>
      <c r="G4279" s="14">
        <f>E4279*F4279</f>
        <v/>
      </c>
      <c r="H4279" s="14">
        <f>C4279*G4279</f>
        <v/>
      </c>
    </row>
    <row r="4280">
      <c r="A4280" s="12" t="inlineStr">
        <is>
          <t>RET-0329</t>
        </is>
      </c>
      <c r="B4280" s="12" t="inlineStr">
        <is>
          <t>VS29</t>
        </is>
      </c>
      <c r="C4280" s="28" t="n">
        <v>0.0191</v>
      </c>
      <c r="D4280" s="12" t="inlineStr">
        <is>
          <t>PO-2022-1724</t>
        </is>
      </c>
      <c r="E4280" s="12" t="n">
        <v>4.44</v>
      </c>
      <c r="F4280" s="17" t="n">
        <v>48685.08</v>
      </c>
      <c r="G4280" s="14">
        <f>E4280*F4280</f>
        <v/>
      </c>
      <c r="H4280" s="14">
        <f>C4280*G4280</f>
        <v/>
      </c>
    </row>
    <row r="4281">
      <c r="A4281" s="12" t="inlineStr">
        <is>
          <t>RET-0329</t>
        </is>
      </c>
      <c r="B4281" s="12" t="inlineStr">
        <is>
          <t>VS30</t>
        </is>
      </c>
      <c r="C4281" s="28" t="n">
        <v>0.008200000000000001</v>
      </c>
      <c r="D4281" s="12" t="inlineStr">
        <is>
          <t>PO-2022-3190</t>
        </is>
      </c>
      <c r="E4281" s="12" t="n">
        <v>4.44</v>
      </c>
      <c r="F4281" s="17" t="n">
        <v>72595.7</v>
      </c>
      <c r="G4281" s="14">
        <f>E4281*F4281</f>
        <v/>
      </c>
      <c r="H4281" s="14">
        <f>C4281*G4281</f>
        <v/>
      </c>
    </row>
    <row r="4282">
      <c r="A4282" s="12" t="inlineStr">
        <is>
          <t>RET-0329</t>
        </is>
      </c>
      <c r="B4282" s="12" t="inlineStr">
        <is>
          <t>VS31</t>
        </is>
      </c>
      <c r="C4282" s="28" t="n">
        <v>0.03</v>
      </c>
      <c r="D4282" s="12" t="inlineStr">
        <is>
          <t>PO-2021-0540</t>
        </is>
      </c>
      <c r="E4282" s="12" t="n">
        <v>4.44</v>
      </c>
      <c r="F4282" s="17" t="n">
        <v>46517.47</v>
      </c>
      <c r="G4282" s="14">
        <f>E4282*F4282</f>
        <v/>
      </c>
      <c r="H4282" s="14">
        <f>C4282*G4282</f>
        <v/>
      </c>
    </row>
    <row r="4283">
      <c r="A4283" s="12" t="inlineStr">
        <is>
          <t>RET-0329</t>
        </is>
      </c>
      <c r="B4283" s="12" t="inlineStr">
        <is>
          <t>VS32</t>
        </is>
      </c>
      <c r="C4283" s="28" t="n">
        <v>0.0357</v>
      </c>
      <c r="D4283" s="12" t="inlineStr">
        <is>
          <t>PO-2023-4596</t>
        </is>
      </c>
      <c r="E4283" s="12" t="n">
        <v>4.44</v>
      </c>
      <c r="F4283" s="17" t="n">
        <v>117464.14</v>
      </c>
      <c r="G4283" s="14">
        <f>E4283*F4283</f>
        <v/>
      </c>
      <c r="H4283" s="14">
        <f>C4283*G4283</f>
        <v/>
      </c>
    </row>
    <row r="4284">
      <c r="A4284" s="12" t="inlineStr">
        <is>
          <t>RET-0329</t>
        </is>
      </c>
      <c r="B4284" s="12" t="inlineStr">
        <is>
          <t>VS33</t>
        </is>
      </c>
      <c r="C4284" s="28" t="n">
        <v>0.019</v>
      </c>
      <c r="D4284" s="12" t="inlineStr">
        <is>
          <t>PO-2023-3609</t>
        </is>
      </c>
      <c r="E4284" s="12" t="n">
        <v>4.44</v>
      </c>
      <c r="F4284" s="17" t="n">
        <v>93601.06</v>
      </c>
      <c r="G4284" s="14">
        <f>E4284*F4284</f>
        <v/>
      </c>
      <c r="H4284" s="14">
        <f>C4284*G4284</f>
        <v/>
      </c>
    </row>
    <row r="4285">
      <c r="A4285" s="12" t="inlineStr">
        <is>
          <t>RET-0329</t>
        </is>
      </c>
      <c r="B4285" s="12" t="inlineStr">
        <is>
          <t>VS34</t>
        </is>
      </c>
      <c r="C4285" s="28" t="n">
        <v>0.0246</v>
      </c>
      <c r="D4285" s="12" t="inlineStr">
        <is>
          <t>PO-2021-0354</t>
        </is>
      </c>
      <c r="E4285" s="12" t="n">
        <v>4.44</v>
      </c>
      <c r="F4285" s="17" t="n">
        <v>66501.64</v>
      </c>
      <c r="G4285" s="14">
        <f>E4285*F4285</f>
        <v/>
      </c>
      <c r="H4285" s="14">
        <f>C4285*G4285</f>
        <v/>
      </c>
    </row>
    <row r="4286">
      <c r="A4286" s="12" t="inlineStr">
        <is>
          <t>RET-0331</t>
        </is>
      </c>
      <c r="B4286" s="12" t="inlineStr">
        <is>
          <t>VS01</t>
        </is>
      </c>
      <c r="C4286" s="28" t="n">
        <v>0.0062</v>
      </c>
      <c r="D4286" s="12" t="inlineStr">
        <is>
          <t>PO-2023-3253</t>
        </is>
      </c>
      <c r="E4286" s="12" t="n">
        <v>0.16</v>
      </c>
      <c r="F4286" s="17" t="n">
        <v>87094.67999999999</v>
      </c>
      <c r="G4286" s="14">
        <f>E4286*F4286</f>
        <v/>
      </c>
      <c r="H4286" s="14">
        <f>C4286*G4286</f>
        <v/>
      </c>
    </row>
    <row r="4287">
      <c r="A4287" s="12" t="inlineStr">
        <is>
          <t>RET-0331</t>
        </is>
      </c>
      <c r="B4287" s="12" t="inlineStr">
        <is>
          <t>VS02</t>
        </is>
      </c>
      <c r="C4287" s="28" t="n">
        <v>0.0028</v>
      </c>
      <c r="D4287" s="12" t="inlineStr">
        <is>
          <t>PO-2022-2034</t>
        </is>
      </c>
      <c r="E4287" s="12" t="n">
        <v>0.16</v>
      </c>
      <c r="F4287" s="17" t="n">
        <v>57505.07</v>
      </c>
      <c r="G4287" s="14">
        <f>E4287*F4287</f>
        <v/>
      </c>
      <c r="H4287" s="14">
        <f>C4287*G4287</f>
        <v/>
      </c>
    </row>
    <row r="4288">
      <c r="A4288" s="12" t="inlineStr">
        <is>
          <t>RET-0331</t>
        </is>
      </c>
      <c r="B4288" s="12" t="inlineStr">
        <is>
          <t>VS03</t>
        </is>
      </c>
      <c r="C4288" s="28" t="n">
        <v>0.2515</v>
      </c>
      <c r="D4288" s="12" t="inlineStr">
        <is>
          <t>PO-2022-2834</t>
        </is>
      </c>
      <c r="E4288" s="12" t="n">
        <v>0.16</v>
      </c>
      <c r="F4288" s="17" t="n">
        <v>75855.28</v>
      </c>
      <c r="G4288" s="14">
        <f>E4288*F4288</f>
        <v/>
      </c>
      <c r="H4288" s="14">
        <f>C4288*G4288</f>
        <v/>
      </c>
    </row>
    <row r="4289">
      <c r="A4289" s="12" t="inlineStr">
        <is>
          <t>RET-0331</t>
        </is>
      </c>
      <c r="B4289" s="12" t="inlineStr">
        <is>
          <t>VS04</t>
        </is>
      </c>
      <c r="C4289" s="28" t="n">
        <v>0.0039</v>
      </c>
      <c r="D4289" s="12" t="inlineStr">
        <is>
          <t>PO-2023-3979</t>
        </is>
      </c>
      <c r="E4289" s="12" t="n">
        <v>0.16</v>
      </c>
      <c r="F4289" s="17" t="n">
        <v>73814.33</v>
      </c>
      <c r="G4289" s="14">
        <f>E4289*F4289</f>
        <v/>
      </c>
      <c r="H4289" s="14">
        <f>C4289*G4289</f>
        <v/>
      </c>
    </row>
    <row r="4290">
      <c r="A4290" s="12" t="inlineStr">
        <is>
          <t>RET-0331</t>
        </is>
      </c>
      <c r="B4290" s="12" t="inlineStr">
        <is>
          <t>VS05</t>
        </is>
      </c>
      <c r="C4290" s="28" t="n">
        <v>0.005</v>
      </c>
      <c r="D4290" s="12" t="inlineStr">
        <is>
          <t>PO-2022-2518</t>
        </is>
      </c>
      <c r="E4290" s="12" t="n">
        <v>0.16</v>
      </c>
      <c r="F4290" s="17" t="n">
        <v>73344.37</v>
      </c>
      <c r="G4290" s="14">
        <f>E4290*F4290</f>
        <v/>
      </c>
      <c r="H4290" s="14">
        <f>C4290*G4290</f>
        <v/>
      </c>
    </row>
    <row r="4291">
      <c r="A4291" s="12" t="inlineStr">
        <is>
          <t>RET-0331</t>
        </is>
      </c>
      <c r="B4291" s="12" t="inlineStr">
        <is>
          <t>VS06</t>
        </is>
      </c>
      <c r="C4291" s="28" t="n">
        <v>0.0051</v>
      </c>
      <c r="D4291" s="12" t="inlineStr">
        <is>
          <t>PO-2023-3822</t>
        </is>
      </c>
      <c r="E4291" s="12" t="n">
        <v>0.16</v>
      </c>
      <c r="F4291" s="17" t="n">
        <v>79389.7</v>
      </c>
      <c r="G4291" s="14">
        <f>E4291*F4291</f>
        <v/>
      </c>
      <c r="H4291" s="14">
        <f>C4291*G4291</f>
        <v/>
      </c>
    </row>
    <row r="4292">
      <c r="A4292" s="12" t="inlineStr">
        <is>
          <t>RET-0331</t>
        </is>
      </c>
      <c r="B4292" s="12" t="inlineStr">
        <is>
          <t>VS07</t>
        </is>
      </c>
      <c r="C4292" s="28" t="n">
        <v>0.0017</v>
      </c>
      <c r="D4292" s="12" t="inlineStr">
        <is>
          <t>PO-2022-1865</t>
        </is>
      </c>
      <c r="E4292" s="12" t="n">
        <v>0.16</v>
      </c>
      <c r="F4292" s="17" t="n">
        <v>107539.39</v>
      </c>
      <c r="G4292" s="14">
        <f>E4292*F4292</f>
        <v/>
      </c>
      <c r="H4292" s="14">
        <f>C4292*G4292</f>
        <v/>
      </c>
    </row>
    <row r="4293">
      <c r="A4293" s="12" t="inlineStr">
        <is>
          <t>RET-0331</t>
        </is>
      </c>
      <c r="B4293" s="12" t="inlineStr">
        <is>
          <t>VS08</t>
        </is>
      </c>
      <c r="C4293" s="28" t="n">
        <v>0.0051</v>
      </c>
      <c r="D4293" s="12" t="inlineStr">
        <is>
          <t>PO-2021-1177</t>
        </is>
      </c>
      <c r="E4293" s="12" t="n">
        <v>0.16</v>
      </c>
      <c r="F4293" s="17" t="n">
        <v>52018.34</v>
      </c>
      <c r="G4293" s="14">
        <f>E4293*F4293</f>
        <v/>
      </c>
      <c r="H4293" s="14">
        <f>C4293*G4293</f>
        <v/>
      </c>
    </row>
    <row r="4294">
      <c r="A4294" s="12" t="inlineStr">
        <is>
          <t>RET-0331</t>
        </is>
      </c>
      <c r="B4294" s="12" t="inlineStr">
        <is>
          <t>VS09</t>
        </is>
      </c>
      <c r="C4294" s="28" t="n">
        <v>0.0039</v>
      </c>
      <c r="D4294" s="12" t="inlineStr">
        <is>
          <t>PO-2022-2061</t>
        </is>
      </c>
      <c r="E4294" s="12" t="n">
        <v>0.16</v>
      </c>
      <c r="F4294" s="17" t="n">
        <v>46945.54</v>
      </c>
      <c r="G4294" s="14">
        <f>E4294*F4294</f>
        <v/>
      </c>
      <c r="H4294" s="14">
        <f>C4294*G4294</f>
        <v/>
      </c>
    </row>
    <row r="4295">
      <c r="A4295" s="12" t="inlineStr">
        <is>
          <t>RET-0331</t>
        </is>
      </c>
      <c r="B4295" s="12" t="inlineStr">
        <is>
          <t>VS10</t>
        </is>
      </c>
      <c r="C4295" s="28" t="n">
        <v>0.0061</v>
      </c>
      <c r="D4295" s="12" t="inlineStr">
        <is>
          <t>PO-2023-3616</t>
        </is>
      </c>
      <c r="E4295" s="12" t="n">
        <v>0.16</v>
      </c>
      <c r="F4295" s="17" t="n">
        <v>95763.46000000001</v>
      </c>
      <c r="G4295" s="14">
        <f>E4295*F4295</f>
        <v/>
      </c>
      <c r="H4295" s="14">
        <f>C4295*G4295</f>
        <v/>
      </c>
    </row>
    <row r="4296">
      <c r="A4296" s="12" t="inlineStr">
        <is>
          <t>RET-0331</t>
        </is>
      </c>
      <c r="B4296" s="12" t="inlineStr">
        <is>
          <t>VS11</t>
        </is>
      </c>
      <c r="C4296" s="28" t="n">
        <v>0.0072</v>
      </c>
      <c r="D4296" s="12" t="inlineStr">
        <is>
          <t>PO-2022-2789</t>
        </is>
      </c>
      <c r="E4296" s="12" t="n">
        <v>0.16</v>
      </c>
      <c r="F4296" s="17" t="n">
        <v>47834.11</v>
      </c>
      <c r="G4296" s="14">
        <f>E4296*F4296</f>
        <v/>
      </c>
      <c r="H4296" s="14">
        <f>C4296*G4296</f>
        <v/>
      </c>
    </row>
    <row r="4297">
      <c r="A4297" s="12" t="inlineStr">
        <is>
          <t>RET-0331</t>
        </is>
      </c>
      <c r="B4297" s="12" t="inlineStr">
        <is>
          <t>VS12</t>
        </is>
      </c>
      <c r="C4297" s="28" t="n">
        <v>0.3495</v>
      </c>
      <c r="D4297" s="12" t="inlineStr">
        <is>
          <t>PO-2023-4238</t>
        </is>
      </c>
      <c r="E4297" s="12" t="n">
        <v>0</v>
      </c>
      <c r="F4297" s="17" t="n">
        <v>54227.13</v>
      </c>
      <c r="G4297" s="14">
        <f>E4297*F4297</f>
        <v/>
      </c>
      <c r="H4297" s="14">
        <f>C4297*G4297</f>
        <v/>
      </c>
    </row>
    <row r="4298">
      <c r="A4298" s="12" t="inlineStr">
        <is>
          <t>RET-0331</t>
        </is>
      </c>
      <c r="B4298" s="12" t="inlineStr">
        <is>
          <t>VS13</t>
        </is>
      </c>
      <c r="C4298" s="28" t="n">
        <v>0.005</v>
      </c>
      <c r="D4298" s="12" t="inlineStr">
        <is>
          <t>PO-2022-1989</t>
        </is>
      </c>
      <c r="E4298" s="12" t="n">
        <v>0.16</v>
      </c>
      <c r="F4298" s="17" t="n">
        <v>69986.03</v>
      </c>
      <c r="G4298" s="14">
        <f>E4298*F4298</f>
        <v/>
      </c>
      <c r="H4298" s="14">
        <f>C4298*G4298</f>
        <v/>
      </c>
    </row>
    <row r="4299">
      <c r="A4299" s="12" t="inlineStr">
        <is>
          <t>RET-0331</t>
        </is>
      </c>
      <c r="B4299" s="12" t="inlineStr">
        <is>
          <t>VS14</t>
        </is>
      </c>
      <c r="C4299" s="28" t="n">
        <v>0.005</v>
      </c>
      <c r="D4299" s="12" t="inlineStr">
        <is>
          <t>PO-2023-4688</t>
        </is>
      </c>
      <c r="E4299" s="12" t="n">
        <v>0.16</v>
      </c>
      <c r="F4299" s="17" t="n">
        <v>60725.14</v>
      </c>
      <c r="G4299" s="14">
        <f>E4299*F4299</f>
        <v/>
      </c>
      <c r="H4299" s="14">
        <f>C4299*G4299</f>
        <v/>
      </c>
    </row>
    <row r="4300">
      <c r="A4300" s="12" t="inlineStr">
        <is>
          <t>RET-0331</t>
        </is>
      </c>
      <c r="B4300" s="12" t="inlineStr">
        <is>
          <t>VS15</t>
        </is>
      </c>
      <c r="C4300" s="28" t="n">
        <v>0.0017</v>
      </c>
      <c r="D4300" s="12" t="inlineStr">
        <is>
          <t>PO-2021-0732</t>
        </is>
      </c>
      <c r="E4300" s="12" t="n">
        <v>0.16</v>
      </c>
      <c r="F4300" s="17" t="n">
        <v>104945.24</v>
      </c>
      <c r="G4300" s="14">
        <f>E4300*F4300</f>
        <v/>
      </c>
      <c r="H4300" s="14">
        <f>C4300*G4300</f>
        <v/>
      </c>
    </row>
    <row r="4301">
      <c r="A4301" s="12" t="inlineStr">
        <is>
          <t>RET-0331</t>
        </is>
      </c>
      <c r="B4301" s="12" t="inlineStr">
        <is>
          <t>VS16</t>
        </is>
      </c>
      <c r="C4301" s="28" t="n">
        <v>0.0072</v>
      </c>
      <c r="D4301" s="12" t="inlineStr">
        <is>
          <t>PO-2022-2509</t>
        </is>
      </c>
      <c r="E4301" s="12" t="n">
        <v>0.16</v>
      </c>
      <c r="F4301" s="17" t="n">
        <v>114206</v>
      </c>
      <c r="G4301" s="14">
        <f>E4301*F4301</f>
        <v/>
      </c>
      <c r="H4301" s="14">
        <f>C4301*G4301</f>
        <v/>
      </c>
    </row>
    <row r="4302">
      <c r="A4302" s="12" t="inlineStr">
        <is>
          <t>RET-0331</t>
        </is>
      </c>
      <c r="B4302" s="12" t="inlineStr">
        <is>
          <t>VS17</t>
        </is>
      </c>
      <c r="C4302" s="28" t="n">
        <v>0.0072</v>
      </c>
      <c r="D4302" s="12" t="inlineStr">
        <is>
          <t>PO-2023-3483</t>
        </is>
      </c>
      <c r="E4302" s="12" t="n">
        <v>0.16</v>
      </c>
      <c r="F4302" s="17" t="n">
        <v>60639.8</v>
      </c>
      <c r="G4302" s="14">
        <f>E4302*F4302</f>
        <v/>
      </c>
      <c r="H4302" s="14">
        <f>C4302*G4302</f>
        <v/>
      </c>
    </row>
    <row r="4303">
      <c r="A4303" s="12" t="inlineStr">
        <is>
          <t>RET-0331</t>
        </is>
      </c>
      <c r="B4303" s="12" t="inlineStr">
        <is>
          <t>VS18</t>
        </is>
      </c>
      <c r="C4303" s="28" t="n">
        <v>0.005</v>
      </c>
      <c r="D4303" s="12" t="inlineStr">
        <is>
          <t>PO-2021-1225</t>
        </is>
      </c>
      <c r="E4303" s="12" t="n">
        <v>0.16</v>
      </c>
      <c r="F4303" s="17" t="n">
        <v>110527.18</v>
      </c>
      <c r="G4303" s="14">
        <f>E4303*F4303</f>
        <v/>
      </c>
      <c r="H4303" s="14">
        <f>C4303*G4303</f>
        <v/>
      </c>
    </row>
    <row r="4304">
      <c r="A4304" s="12" t="inlineStr">
        <is>
          <t>RET-0331</t>
        </is>
      </c>
      <c r="B4304" s="12" t="inlineStr">
        <is>
          <t>VS19</t>
        </is>
      </c>
      <c r="C4304" s="28" t="n">
        <v>0.2637</v>
      </c>
      <c r="D4304" s="12" t="inlineStr">
        <is>
          <t>PO-2022-1890</t>
        </is>
      </c>
      <c r="E4304" s="12" t="n">
        <v>0.16</v>
      </c>
      <c r="F4304" s="17" t="n">
        <v>115117.39</v>
      </c>
      <c r="G4304" s="14">
        <f>E4304*F4304</f>
        <v/>
      </c>
      <c r="H4304" s="14">
        <f>C4304*G4304</f>
        <v/>
      </c>
    </row>
    <row r="4305">
      <c r="A4305" s="12" t="inlineStr">
        <is>
          <t>RET-0331</t>
        </is>
      </c>
      <c r="B4305" s="12" t="inlineStr">
        <is>
          <t>VS20</t>
        </is>
      </c>
      <c r="C4305" s="28" t="n">
        <v>0.0028</v>
      </c>
      <c r="D4305" s="12" t="inlineStr">
        <is>
          <t>PO-2021-1483</t>
        </is>
      </c>
      <c r="E4305" s="12" t="n">
        <v>0.16</v>
      </c>
      <c r="F4305" s="17" t="n">
        <v>49762.37</v>
      </c>
      <c r="G4305" s="14">
        <f>E4305*F4305</f>
        <v/>
      </c>
      <c r="H4305" s="14">
        <f>C4305*G4305</f>
        <v/>
      </c>
    </row>
    <row r="4306">
      <c r="A4306" s="12" t="inlineStr">
        <is>
          <t>RET-0331</t>
        </is>
      </c>
      <c r="B4306" s="12" t="inlineStr">
        <is>
          <t>VS21</t>
        </is>
      </c>
      <c r="C4306" s="28" t="n">
        <v>0.0028</v>
      </c>
      <c r="D4306" s="12" t="inlineStr">
        <is>
          <t>PO-2023-3289</t>
        </is>
      </c>
      <c r="E4306" s="12" t="n">
        <v>0.16</v>
      </c>
      <c r="F4306" s="17" t="n">
        <v>66043.48</v>
      </c>
      <c r="G4306" s="14">
        <f>E4306*F4306</f>
        <v/>
      </c>
      <c r="H4306" s="14">
        <f>C4306*G4306</f>
        <v/>
      </c>
    </row>
    <row r="4307">
      <c r="A4307" s="12" t="inlineStr">
        <is>
          <t>RET-0331</t>
        </is>
      </c>
      <c r="B4307" s="12" t="inlineStr">
        <is>
          <t>VS22</t>
        </is>
      </c>
      <c r="C4307" s="28" t="n">
        <v>0.0017</v>
      </c>
      <c r="D4307" s="12" t="inlineStr">
        <is>
          <t>PO-2023-4775</t>
        </is>
      </c>
      <c r="E4307" s="12" t="n">
        <v>0.16</v>
      </c>
      <c r="F4307" s="17" t="n">
        <v>86446.27</v>
      </c>
      <c r="G4307" s="14">
        <f>E4307*F4307</f>
        <v/>
      </c>
      <c r="H4307" s="14">
        <f>C4307*G4307</f>
        <v/>
      </c>
    </row>
    <row r="4308">
      <c r="A4308" s="12" t="inlineStr">
        <is>
          <t>RET-0331</t>
        </is>
      </c>
      <c r="B4308" s="12" t="inlineStr">
        <is>
          <t>VS23</t>
        </is>
      </c>
      <c r="C4308" s="28" t="n">
        <v>0.0027</v>
      </c>
      <c r="D4308" s="12" t="inlineStr">
        <is>
          <t>PO-2023-4475</t>
        </is>
      </c>
      <c r="E4308" s="12" t="n">
        <v>0.16</v>
      </c>
      <c r="F4308" s="17" t="n">
        <v>97406.2</v>
      </c>
      <c r="G4308" s="14">
        <f>E4308*F4308</f>
        <v/>
      </c>
      <c r="H4308" s="14">
        <f>C4308*G4308</f>
        <v/>
      </c>
    </row>
    <row r="4309">
      <c r="A4309" s="12" t="inlineStr">
        <is>
          <t>RET-0331</t>
        </is>
      </c>
      <c r="B4309" s="12" t="inlineStr">
        <is>
          <t>VS24</t>
        </is>
      </c>
      <c r="C4309" s="28" t="n">
        <v>0.0028</v>
      </c>
      <c r="D4309" s="12" t="inlineStr">
        <is>
          <t>PO-2023-4336</t>
        </is>
      </c>
      <c r="E4309" s="12" t="n">
        <v>0.16</v>
      </c>
      <c r="F4309" s="17" t="n">
        <v>106809</v>
      </c>
      <c r="G4309" s="14">
        <f>E4309*F4309</f>
        <v/>
      </c>
      <c r="H4309" s="14">
        <f>C4309*G4309</f>
        <v/>
      </c>
    </row>
    <row r="4310">
      <c r="A4310" s="12" t="inlineStr">
        <is>
          <t>RET-0331</t>
        </is>
      </c>
      <c r="B4310" s="12" t="inlineStr">
        <is>
          <t>VS25</t>
        </is>
      </c>
      <c r="C4310" s="28" t="n">
        <v>0.005</v>
      </c>
      <c r="D4310" s="12" t="inlineStr">
        <is>
          <t>PO-2023-4498</t>
        </is>
      </c>
      <c r="E4310" s="12" t="n">
        <v>0.16</v>
      </c>
      <c r="F4310" s="17" t="n">
        <v>51146.7</v>
      </c>
      <c r="G4310" s="14">
        <f>E4310*F4310</f>
        <v/>
      </c>
      <c r="H4310" s="14">
        <f>C4310*G4310</f>
        <v/>
      </c>
    </row>
    <row r="4311">
      <c r="A4311" s="12" t="inlineStr">
        <is>
          <t>RET-0331</t>
        </is>
      </c>
      <c r="B4311" s="12" t="inlineStr">
        <is>
          <t>VS26</t>
        </is>
      </c>
      <c r="C4311" s="28" t="n">
        <v>0.0028</v>
      </c>
      <c r="D4311" s="12" t="inlineStr">
        <is>
          <t>PO-2021-0924</t>
        </is>
      </c>
      <c r="E4311" s="12" t="n">
        <v>0.16</v>
      </c>
      <c r="F4311" s="17" t="n">
        <v>49680.79</v>
      </c>
      <c r="G4311" s="14">
        <f>E4311*F4311</f>
        <v/>
      </c>
      <c r="H4311" s="14">
        <f>C4311*G4311</f>
        <v/>
      </c>
    </row>
    <row r="4312">
      <c r="A4312" s="12" t="inlineStr">
        <is>
          <t>RET-0331</t>
        </is>
      </c>
      <c r="B4312" s="12" t="inlineStr">
        <is>
          <t>VS27</t>
        </is>
      </c>
      <c r="C4312" s="28" t="n">
        <v>0.0027</v>
      </c>
      <c r="D4312" s="12" t="inlineStr">
        <is>
          <t>PO-2023-4018</t>
        </is>
      </c>
      <c r="E4312" s="12" t="n">
        <v>0.16</v>
      </c>
      <c r="F4312" s="17" t="n">
        <v>79512.62</v>
      </c>
      <c r="G4312" s="14">
        <f>E4312*F4312</f>
        <v/>
      </c>
      <c r="H4312" s="14">
        <f>C4312*G4312</f>
        <v/>
      </c>
    </row>
    <row r="4313">
      <c r="A4313" s="12" t="inlineStr">
        <is>
          <t>RET-0331</t>
        </is>
      </c>
      <c r="B4313" s="12" t="inlineStr">
        <is>
          <t>VS28</t>
        </is>
      </c>
      <c r="C4313" s="28" t="n">
        <v>0.0061</v>
      </c>
      <c r="D4313" s="12" t="inlineStr">
        <is>
          <t>PO-2022-2959</t>
        </is>
      </c>
      <c r="E4313" s="12" t="n">
        <v>0.16</v>
      </c>
      <c r="F4313" s="17" t="n">
        <v>74639.14</v>
      </c>
      <c r="G4313" s="14">
        <f>E4313*F4313</f>
        <v/>
      </c>
      <c r="H4313" s="14">
        <f>C4313*G4313</f>
        <v/>
      </c>
    </row>
    <row r="4314">
      <c r="A4314" s="12" t="inlineStr">
        <is>
          <t>RET-0331</t>
        </is>
      </c>
      <c r="B4314" s="12" t="inlineStr">
        <is>
          <t>VS29</t>
        </is>
      </c>
      <c r="C4314" s="28" t="n">
        <v>0.0039</v>
      </c>
      <c r="D4314" s="12" t="inlineStr">
        <is>
          <t>PO-2022-2255</t>
        </is>
      </c>
      <c r="E4314" s="12" t="n">
        <v>0.16</v>
      </c>
      <c r="F4314" s="17" t="n">
        <v>61723.09</v>
      </c>
      <c r="G4314" s="14">
        <f>E4314*F4314</f>
        <v/>
      </c>
      <c r="H4314" s="14">
        <f>C4314*G4314</f>
        <v/>
      </c>
    </row>
    <row r="4315">
      <c r="A4315" s="12" t="inlineStr">
        <is>
          <t>RET-0331</t>
        </is>
      </c>
      <c r="B4315" s="12" t="inlineStr">
        <is>
          <t>VS30</t>
        </is>
      </c>
      <c r="C4315" s="28" t="n">
        <v>0.0017</v>
      </c>
      <c r="D4315" s="12" t="inlineStr">
        <is>
          <t>PO-2023-3812</t>
        </is>
      </c>
      <c r="E4315" s="12" t="n">
        <v>0.16</v>
      </c>
      <c r="F4315" s="17" t="n">
        <v>94482.83</v>
      </c>
      <c r="G4315" s="14">
        <f>E4315*F4315</f>
        <v/>
      </c>
      <c r="H4315" s="14">
        <f>C4315*G4315</f>
        <v/>
      </c>
    </row>
    <row r="4316">
      <c r="A4316" s="12" t="inlineStr">
        <is>
          <t>RET-0331</t>
        </is>
      </c>
      <c r="B4316" s="12" t="inlineStr">
        <is>
          <t>VS31</t>
        </is>
      </c>
      <c r="C4316" s="28" t="n">
        <v>0.0061</v>
      </c>
      <c r="D4316" s="12" t="inlineStr">
        <is>
          <t>PO-2023-3504</t>
        </is>
      </c>
      <c r="E4316" s="12" t="n">
        <v>0.16</v>
      </c>
      <c r="F4316" s="17" t="n">
        <v>118722.27</v>
      </c>
      <c r="G4316" s="14">
        <f>E4316*F4316</f>
        <v/>
      </c>
      <c r="H4316" s="14">
        <f>C4316*G4316</f>
        <v/>
      </c>
    </row>
    <row r="4317">
      <c r="A4317" s="12" t="inlineStr">
        <is>
          <t>RET-0331</t>
        </is>
      </c>
      <c r="B4317" s="12" t="inlineStr">
        <is>
          <t>VS32</t>
        </is>
      </c>
      <c r="C4317" s="28" t="n">
        <v>0.0073</v>
      </c>
      <c r="D4317" s="12" t="inlineStr">
        <is>
          <t>PO-2021-0421</t>
        </is>
      </c>
      <c r="E4317" s="12" t="n">
        <v>0.16</v>
      </c>
      <c r="F4317" s="17" t="n">
        <v>65153.79</v>
      </c>
      <c r="G4317" s="14">
        <f>E4317*F4317</f>
        <v/>
      </c>
      <c r="H4317" s="14">
        <f>C4317*G4317</f>
        <v/>
      </c>
    </row>
    <row r="4318">
      <c r="A4318" s="12" t="inlineStr">
        <is>
          <t>RET-0331</t>
        </is>
      </c>
      <c r="B4318" s="12" t="inlineStr">
        <is>
          <t>VS33</t>
        </is>
      </c>
      <c r="C4318" s="28" t="n">
        <v>0.0039</v>
      </c>
      <c r="D4318" s="12" t="inlineStr">
        <is>
          <t>PO-2021-0684</t>
        </is>
      </c>
      <c r="E4318" s="12" t="n">
        <v>0.16</v>
      </c>
      <c r="F4318" s="17" t="n">
        <v>62249.31</v>
      </c>
      <c r="G4318" s="14">
        <f>E4318*F4318</f>
        <v/>
      </c>
      <c r="H4318" s="14">
        <f>C4318*G4318</f>
        <v/>
      </c>
    </row>
    <row r="4319">
      <c r="A4319" s="12" t="inlineStr">
        <is>
          <t>RET-0331</t>
        </is>
      </c>
      <c r="B4319" s="12" t="inlineStr">
        <is>
          <t>VS34</t>
        </is>
      </c>
      <c r="C4319" s="28" t="n">
        <v>0.005</v>
      </c>
      <c r="D4319" s="12" t="inlineStr">
        <is>
          <t>PO-2021-1323</t>
        </is>
      </c>
      <c r="E4319" s="12" t="n">
        <v>0.16</v>
      </c>
      <c r="F4319" s="17" t="n">
        <v>83033.09</v>
      </c>
      <c r="G4319" s="14">
        <f>E4319*F4319</f>
        <v/>
      </c>
      <c r="H4319" s="14">
        <f>C4319*G4319</f>
        <v/>
      </c>
    </row>
    <row r="4320">
      <c r="A4320" s="12" t="inlineStr">
        <is>
          <t>RET-0332</t>
        </is>
      </c>
      <c r="B4320" s="12" t="inlineStr">
        <is>
          <t>VS01</t>
        </is>
      </c>
      <c r="C4320" s="28" t="n">
        <v>0.0231</v>
      </c>
      <c r="D4320" s="12" t="inlineStr">
        <is>
          <t>PO-2023-3220</t>
        </is>
      </c>
      <c r="E4320" s="12" t="n">
        <v>3.77</v>
      </c>
      <c r="F4320" s="17" t="n">
        <v>74731.92999999999</v>
      </c>
      <c r="G4320" s="14">
        <f>E4320*F4320</f>
        <v/>
      </c>
      <c r="H4320" s="14">
        <f>C4320*G4320</f>
        <v/>
      </c>
    </row>
    <row r="4321">
      <c r="A4321" s="12" t="inlineStr">
        <is>
          <t>RET-0332</t>
        </is>
      </c>
      <c r="B4321" s="12" t="inlineStr">
        <is>
          <t>VS02</t>
        </is>
      </c>
      <c r="C4321" s="28" t="n">
        <v>0.0105</v>
      </c>
      <c r="D4321" s="12" t="inlineStr">
        <is>
          <t>PO-2022-2604</t>
        </is>
      </c>
      <c r="E4321" s="12" t="n">
        <v>3.77</v>
      </c>
      <c r="F4321" s="17" t="n">
        <v>98112.11</v>
      </c>
      <c r="G4321" s="14">
        <f>E4321*F4321</f>
        <v/>
      </c>
      <c r="H4321" s="14">
        <f>C4321*G4321</f>
        <v/>
      </c>
    </row>
    <row r="4322">
      <c r="A4322" s="12" t="inlineStr">
        <is>
          <t>RET-0332</t>
        </is>
      </c>
      <c r="B4322" s="12" t="inlineStr">
        <is>
          <t>VS03</t>
        </is>
      </c>
      <c r="C4322" s="28" t="n">
        <v>0.1431</v>
      </c>
      <c r="D4322" s="12" t="inlineStr">
        <is>
          <t>PO-2023-4171</t>
        </is>
      </c>
      <c r="E4322" s="12" t="n">
        <v>3.77</v>
      </c>
      <c r="F4322" s="17" t="n">
        <v>122508.81</v>
      </c>
      <c r="G4322" s="14">
        <f>E4322*F4322</f>
        <v/>
      </c>
      <c r="H4322" s="14">
        <f>C4322*G4322</f>
        <v/>
      </c>
    </row>
    <row r="4323">
      <c r="A4323" s="12" t="inlineStr">
        <is>
          <t>RET-0332</t>
        </is>
      </c>
      <c r="B4323" s="12" t="inlineStr">
        <is>
          <t>VS04</t>
        </is>
      </c>
      <c r="C4323" s="28" t="n">
        <v>0.0145</v>
      </c>
      <c r="D4323" s="12" t="inlineStr">
        <is>
          <t>PO-2022-3039</t>
        </is>
      </c>
      <c r="E4323" s="12" t="n">
        <v>3.77</v>
      </c>
      <c r="F4323" s="17" t="n">
        <v>103727.88</v>
      </c>
      <c r="G4323" s="14">
        <f>E4323*F4323</f>
        <v/>
      </c>
      <c r="H4323" s="14">
        <f>C4323*G4323</f>
        <v/>
      </c>
    </row>
    <row r="4324">
      <c r="A4324" s="12" t="inlineStr">
        <is>
          <t>RET-0332</t>
        </is>
      </c>
      <c r="B4324" s="12" t="inlineStr">
        <is>
          <t>VS05</t>
        </is>
      </c>
      <c r="C4324" s="28" t="n">
        <v>0.0188</v>
      </c>
      <c r="D4324" s="12" t="inlineStr">
        <is>
          <t>PO-2022-1601</t>
        </is>
      </c>
      <c r="E4324" s="12" t="n">
        <v>3.77</v>
      </c>
      <c r="F4324" s="17" t="n">
        <v>110285.77</v>
      </c>
      <c r="G4324" s="14">
        <f>E4324*F4324</f>
        <v/>
      </c>
      <c r="H4324" s="14">
        <f>C4324*G4324</f>
        <v/>
      </c>
    </row>
    <row r="4325">
      <c r="A4325" s="12" t="inlineStr">
        <is>
          <t>RET-0332</t>
        </is>
      </c>
      <c r="B4325" s="12" t="inlineStr">
        <is>
          <t>VS06</t>
        </is>
      </c>
      <c r="C4325" s="28" t="n">
        <v>0.019</v>
      </c>
      <c r="D4325" s="12" t="inlineStr">
        <is>
          <t>PO-2022-2692</t>
        </is>
      </c>
      <c r="E4325" s="12" t="n">
        <v>3.77</v>
      </c>
      <c r="F4325" s="17" t="n">
        <v>75839.37</v>
      </c>
      <c r="G4325" s="14">
        <f>E4325*F4325</f>
        <v/>
      </c>
      <c r="H4325" s="14">
        <f>C4325*G4325</f>
        <v/>
      </c>
    </row>
    <row r="4326">
      <c r="A4326" s="12" t="inlineStr">
        <is>
          <t>RET-0332</t>
        </is>
      </c>
      <c r="B4326" s="12" t="inlineStr">
        <is>
          <t>VS07</t>
        </is>
      </c>
      <c r="C4326" s="28" t="n">
        <v>0.0063</v>
      </c>
      <c r="D4326" s="12" t="inlineStr">
        <is>
          <t>PO-2023-3514</t>
        </is>
      </c>
      <c r="E4326" s="12" t="n">
        <v>3.77</v>
      </c>
      <c r="F4326" s="17" t="n">
        <v>70015.38</v>
      </c>
      <c r="G4326" s="14">
        <f>E4326*F4326</f>
        <v/>
      </c>
      <c r="H4326" s="14">
        <f>C4326*G4326</f>
        <v/>
      </c>
    </row>
    <row r="4327">
      <c r="A4327" s="12" t="inlineStr">
        <is>
          <t>RET-0332</t>
        </is>
      </c>
      <c r="B4327" s="12" t="inlineStr">
        <is>
          <t>VS08</t>
        </is>
      </c>
      <c r="C4327" s="28" t="n">
        <v>0.0191</v>
      </c>
      <c r="D4327" s="12" t="inlineStr">
        <is>
          <t>PO-2021-0591</t>
        </is>
      </c>
      <c r="E4327" s="12" t="n">
        <v>3.77</v>
      </c>
      <c r="F4327" s="17" t="n">
        <v>51756.2</v>
      </c>
      <c r="G4327" s="14">
        <f>E4327*F4327</f>
        <v/>
      </c>
      <c r="H4327" s="14">
        <f>C4327*G4327</f>
        <v/>
      </c>
    </row>
    <row r="4328">
      <c r="A4328" s="12" t="inlineStr">
        <is>
          <t>RET-0332</t>
        </is>
      </c>
      <c r="B4328" s="12" t="inlineStr">
        <is>
          <t>VS09</t>
        </is>
      </c>
      <c r="C4328" s="28" t="n">
        <v>0.0147</v>
      </c>
      <c r="D4328" s="12" t="inlineStr">
        <is>
          <t>PO-2021-0783</t>
        </is>
      </c>
      <c r="E4328" s="12" t="n">
        <v>3.77</v>
      </c>
      <c r="F4328" s="17" t="n">
        <v>118625.68</v>
      </c>
      <c r="G4328" s="14">
        <f>E4328*F4328</f>
        <v/>
      </c>
      <c r="H4328" s="14">
        <f>C4328*G4328</f>
        <v/>
      </c>
    </row>
    <row r="4329">
      <c r="A4329" s="12" t="inlineStr">
        <is>
          <t>RET-0332</t>
        </is>
      </c>
      <c r="B4329" s="12" t="inlineStr">
        <is>
          <t>VS10</t>
        </is>
      </c>
      <c r="C4329" s="28" t="n">
        <v>0.0231</v>
      </c>
      <c r="D4329" s="12" t="inlineStr">
        <is>
          <t>PO-2023-4268</t>
        </is>
      </c>
      <c r="E4329" s="12" t="n">
        <v>3.77</v>
      </c>
      <c r="F4329" s="17" t="n">
        <v>65973.74000000001</v>
      </c>
      <c r="G4329" s="14">
        <f>E4329*F4329</f>
        <v/>
      </c>
      <c r="H4329" s="14">
        <f>C4329*G4329</f>
        <v/>
      </c>
    </row>
    <row r="4330">
      <c r="A4330" s="12" t="inlineStr">
        <is>
          <t>RET-0332</t>
        </is>
      </c>
      <c r="B4330" s="12" t="inlineStr">
        <is>
          <t>VS11</t>
        </is>
      </c>
      <c r="C4330" s="28" t="n">
        <v>0.027</v>
      </c>
      <c r="D4330" s="12" t="inlineStr">
        <is>
          <t>PO-2022-2648</t>
        </is>
      </c>
      <c r="E4330" s="12" t="n">
        <v>3.77</v>
      </c>
      <c r="F4330" s="17" t="n">
        <v>57853.14</v>
      </c>
      <c r="G4330" s="14">
        <f>E4330*F4330</f>
        <v/>
      </c>
      <c r="H4330" s="14">
        <f>C4330*G4330</f>
        <v/>
      </c>
    </row>
    <row r="4331">
      <c r="A4331" s="12" t="inlineStr">
        <is>
          <t>RET-0332</t>
        </is>
      </c>
      <c r="B4331" s="12" t="inlineStr">
        <is>
          <t>VS12</t>
        </is>
      </c>
      <c r="C4331" s="28" t="n">
        <v>0.199</v>
      </c>
      <c r="D4331" s="12" t="inlineStr">
        <is>
          <t>PO-2021-1468</t>
        </is>
      </c>
      <c r="E4331" s="12" t="n">
        <v>3.77</v>
      </c>
      <c r="F4331" s="17" t="n">
        <v>70129.94</v>
      </c>
      <c r="G4331" s="14">
        <f>E4331*F4331</f>
        <v/>
      </c>
      <c r="H4331" s="14">
        <f>C4331*G4331</f>
        <v/>
      </c>
    </row>
    <row r="4332">
      <c r="A4332" s="12" t="inlineStr">
        <is>
          <t>RET-0332</t>
        </is>
      </c>
      <c r="B4332" s="12" t="inlineStr">
        <is>
          <t>VS13</t>
        </is>
      </c>
      <c r="C4332" s="28" t="n">
        <v>0.0186</v>
      </c>
      <c r="D4332" s="12" t="inlineStr">
        <is>
          <t>PO-2023-3859</t>
        </is>
      </c>
      <c r="E4332" s="12" t="n">
        <v>3.77</v>
      </c>
      <c r="F4332" s="17" t="n">
        <v>68681.14</v>
      </c>
      <c r="G4332" s="14">
        <f>E4332*F4332</f>
        <v/>
      </c>
      <c r="H4332" s="14">
        <f>C4332*G4332</f>
        <v/>
      </c>
    </row>
    <row r="4333">
      <c r="A4333" s="12" t="inlineStr">
        <is>
          <t>RET-0332</t>
        </is>
      </c>
      <c r="B4333" s="12" t="inlineStr">
        <is>
          <t>VS14</t>
        </is>
      </c>
      <c r="C4333" s="28" t="n">
        <v>0.0188</v>
      </c>
      <c r="D4333" s="12" t="inlineStr">
        <is>
          <t>PO-2022-2079</t>
        </is>
      </c>
      <c r="E4333" s="12" t="n">
        <v>3.77</v>
      </c>
      <c r="F4333" s="17" t="n">
        <v>45720.19</v>
      </c>
      <c r="G4333" s="14">
        <f>E4333*F4333</f>
        <v/>
      </c>
      <c r="H4333" s="14">
        <f>C4333*G4333</f>
        <v/>
      </c>
    </row>
    <row r="4334">
      <c r="A4334" s="12" t="inlineStr">
        <is>
          <t>RET-0332</t>
        </is>
      </c>
      <c r="B4334" s="12" t="inlineStr">
        <is>
          <t>VS15</t>
        </is>
      </c>
      <c r="C4334" s="28" t="n">
        <v>0.0063</v>
      </c>
      <c r="D4334" s="12" t="inlineStr">
        <is>
          <t>PO-2023-3647</t>
        </is>
      </c>
      <c r="E4334" s="12" t="n">
        <v>3.77</v>
      </c>
      <c r="F4334" s="17" t="n">
        <v>49590.11</v>
      </c>
      <c r="G4334" s="14">
        <f>E4334*F4334</f>
        <v/>
      </c>
      <c r="H4334" s="14">
        <f>C4334*G4334</f>
        <v/>
      </c>
    </row>
    <row r="4335">
      <c r="A4335" s="12" t="inlineStr">
        <is>
          <t>RET-0332</t>
        </is>
      </c>
      <c r="B4335" s="12" t="inlineStr">
        <is>
          <t>VS16</t>
        </is>
      </c>
      <c r="C4335" s="28" t="n">
        <v>0.0271</v>
      </c>
      <c r="D4335" s="12" t="inlineStr">
        <is>
          <t>PO-2022-1808</t>
        </is>
      </c>
      <c r="E4335" s="12" t="n">
        <v>3.77</v>
      </c>
      <c r="F4335" s="17" t="n">
        <v>116099.82</v>
      </c>
      <c r="G4335" s="14">
        <f>E4335*F4335</f>
        <v/>
      </c>
      <c r="H4335" s="14">
        <f>C4335*G4335</f>
        <v/>
      </c>
    </row>
    <row r="4336">
      <c r="A4336" s="12" t="inlineStr">
        <is>
          <t>RET-0332</t>
        </is>
      </c>
      <c r="B4336" s="12" t="inlineStr">
        <is>
          <t>VS17</t>
        </is>
      </c>
      <c r="C4336" s="28" t="n">
        <v>0.027</v>
      </c>
      <c r="D4336" s="12" t="inlineStr">
        <is>
          <t>PO-2021-1136</t>
        </is>
      </c>
      <c r="E4336" s="12" t="n">
        <v>3.77</v>
      </c>
      <c r="F4336" s="17" t="n">
        <v>62855.76</v>
      </c>
      <c r="G4336" s="14">
        <f>E4336*F4336</f>
        <v/>
      </c>
      <c r="H4336" s="14">
        <f>C4336*G4336</f>
        <v/>
      </c>
    </row>
    <row r="4337">
      <c r="A4337" s="12" t="inlineStr">
        <is>
          <t>RET-0332</t>
        </is>
      </c>
      <c r="B4337" s="12" t="inlineStr">
        <is>
          <t>VS18</t>
        </is>
      </c>
      <c r="C4337" s="28" t="n">
        <v>0.0188</v>
      </c>
      <c r="D4337" s="12" t="inlineStr">
        <is>
          <t>PO-2022-2472</t>
        </is>
      </c>
      <c r="E4337" s="12" t="n">
        <v>3.77</v>
      </c>
      <c r="F4337" s="17" t="n">
        <v>63464.47</v>
      </c>
      <c r="G4337" s="14">
        <f>E4337*F4337</f>
        <v/>
      </c>
      <c r="H4337" s="14">
        <f>C4337*G4337</f>
        <v/>
      </c>
    </row>
    <row r="4338">
      <c r="A4338" s="12" t="inlineStr">
        <is>
          <t>RET-0332</t>
        </is>
      </c>
      <c r="B4338" s="12" t="inlineStr">
        <is>
          <t>VS19</t>
        </is>
      </c>
      <c r="C4338" s="28" t="n">
        <v>0.1501</v>
      </c>
      <c r="D4338" s="12" t="inlineStr">
        <is>
          <t>PO-2021-0083</t>
        </is>
      </c>
      <c r="E4338" s="12" t="n">
        <v>3.77</v>
      </c>
      <c r="F4338" s="17" t="n">
        <v>73375.06</v>
      </c>
      <c r="G4338" s="14">
        <f>E4338*F4338</f>
        <v/>
      </c>
      <c r="H4338" s="14">
        <f>C4338*G4338</f>
        <v/>
      </c>
    </row>
    <row r="4339">
      <c r="A4339" s="12" t="inlineStr">
        <is>
          <t>RET-0332</t>
        </is>
      </c>
      <c r="B4339" s="12" t="inlineStr">
        <is>
          <t>VS20</t>
        </is>
      </c>
      <c r="C4339" s="28" t="n">
        <v>0.0105</v>
      </c>
      <c r="D4339" s="12" t="inlineStr">
        <is>
          <t>PO-2022-2926</t>
        </is>
      </c>
      <c r="E4339" s="12" t="n">
        <v>3.77</v>
      </c>
      <c r="F4339" s="17" t="n">
        <v>74625.02</v>
      </c>
      <c r="G4339" s="14">
        <f>E4339*F4339</f>
        <v/>
      </c>
      <c r="H4339" s="14">
        <f>C4339*G4339</f>
        <v/>
      </c>
    </row>
    <row r="4340">
      <c r="A4340" s="12" t="inlineStr">
        <is>
          <t>RET-0332</t>
        </is>
      </c>
      <c r="B4340" s="12" t="inlineStr">
        <is>
          <t>VS21</t>
        </is>
      </c>
      <c r="C4340" s="28" t="n">
        <v>0.0105</v>
      </c>
      <c r="D4340" s="12" t="inlineStr">
        <is>
          <t>PO-2023-4252</t>
        </is>
      </c>
      <c r="E4340" s="12" t="n">
        <v>3.77</v>
      </c>
      <c r="F4340" s="17" t="n">
        <v>75508.46000000001</v>
      </c>
      <c r="G4340" s="14">
        <f>E4340*F4340</f>
        <v/>
      </c>
      <c r="H4340" s="14">
        <f>C4340*G4340</f>
        <v/>
      </c>
    </row>
    <row r="4341">
      <c r="A4341" s="12" t="inlineStr">
        <is>
          <t>RET-0332</t>
        </is>
      </c>
      <c r="B4341" s="12" t="inlineStr">
        <is>
          <t>VS22</t>
        </is>
      </c>
      <c r="C4341" s="28" t="n">
        <v>0.0062</v>
      </c>
      <c r="D4341" s="12" t="inlineStr">
        <is>
          <t>PO-2023-4130</t>
        </is>
      </c>
      <c r="E4341" s="12" t="n">
        <v>3.77</v>
      </c>
      <c r="F4341" s="17" t="n">
        <v>93071.52</v>
      </c>
      <c r="G4341" s="14">
        <f>E4341*F4341</f>
        <v/>
      </c>
      <c r="H4341" s="14">
        <f>C4341*G4341</f>
        <v/>
      </c>
    </row>
    <row r="4342">
      <c r="A4342" s="12" t="inlineStr">
        <is>
          <t>RET-0332</t>
        </is>
      </c>
      <c r="B4342" s="12" t="inlineStr">
        <is>
          <t>VS23</t>
        </is>
      </c>
      <c r="C4342" s="28" t="n">
        <v>0.0103</v>
      </c>
      <c r="D4342" s="12" t="inlineStr">
        <is>
          <t>PO-2023-4331</t>
        </is>
      </c>
      <c r="E4342" s="12" t="n">
        <v>3.77</v>
      </c>
      <c r="F4342" s="17" t="n">
        <v>96880.47</v>
      </c>
      <c r="G4342" s="14">
        <f>E4342*F4342</f>
        <v/>
      </c>
      <c r="H4342" s="14">
        <f>C4342*G4342</f>
        <v/>
      </c>
    </row>
    <row r="4343">
      <c r="A4343" s="12" t="inlineStr">
        <is>
          <t>RET-0332</t>
        </is>
      </c>
      <c r="B4343" s="12" t="inlineStr">
        <is>
          <t>VS24</t>
        </is>
      </c>
      <c r="C4343" s="28" t="n">
        <v>0.0104</v>
      </c>
      <c r="D4343" s="12" t="inlineStr">
        <is>
          <t>PO-2023-3579</t>
        </is>
      </c>
      <c r="E4343" s="12" t="n">
        <v>3.77</v>
      </c>
      <c r="F4343" s="17" t="n">
        <v>104891.22</v>
      </c>
      <c r="G4343" s="14">
        <f>E4343*F4343</f>
        <v/>
      </c>
      <c r="H4343" s="14">
        <f>C4343*G4343</f>
        <v/>
      </c>
    </row>
    <row r="4344">
      <c r="A4344" s="12" t="inlineStr">
        <is>
          <t>RET-0332</t>
        </is>
      </c>
      <c r="B4344" s="12" t="inlineStr">
        <is>
          <t>VS25</t>
        </is>
      </c>
      <c r="C4344" s="28" t="n">
        <v>0.0189</v>
      </c>
      <c r="D4344" s="12" t="inlineStr">
        <is>
          <t>PO-2022-2981</t>
        </is>
      </c>
      <c r="E4344" s="12" t="n">
        <v>1.37</v>
      </c>
      <c r="F4344" s="17" t="n">
        <v>46857.99</v>
      </c>
      <c r="G4344" s="14">
        <f>E4344*F4344</f>
        <v/>
      </c>
      <c r="H4344" s="14">
        <f>C4344*G4344</f>
        <v/>
      </c>
    </row>
    <row r="4345">
      <c r="A4345" s="12" t="inlineStr">
        <is>
          <t>RET-0332</t>
        </is>
      </c>
      <c r="B4345" s="12" t="inlineStr">
        <is>
          <t>VS26</t>
        </is>
      </c>
      <c r="C4345" s="28" t="n">
        <v>0.0105</v>
      </c>
      <c r="D4345" s="12" t="inlineStr">
        <is>
          <t>PO-2023-3372</t>
        </is>
      </c>
      <c r="E4345" s="12" t="n">
        <v>3.77</v>
      </c>
      <c r="F4345" s="17" t="n">
        <v>52122.89</v>
      </c>
      <c r="G4345" s="14">
        <f>E4345*F4345</f>
        <v/>
      </c>
      <c r="H4345" s="14">
        <f>C4345*G4345</f>
        <v/>
      </c>
    </row>
    <row r="4346">
      <c r="A4346" s="12" t="inlineStr">
        <is>
          <t>RET-0332</t>
        </is>
      </c>
      <c r="B4346" s="12" t="inlineStr">
        <is>
          <t>VS27</t>
        </is>
      </c>
      <c r="C4346" s="28" t="n">
        <v>0.0103</v>
      </c>
      <c r="D4346" s="12" t="inlineStr">
        <is>
          <t>PO-2021-0599</t>
        </is>
      </c>
      <c r="E4346" s="12" t="n">
        <v>3.77</v>
      </c>
      <c r="F4346" s="17" t="n">
        <v>95879.49000000001</v>
      </c>
      <c r="G4346" s="14">
        <f>E4346*F4346</f>
        <v/>
      </c>
      <c r="H4346" s="14">
        <f>C4346*G4346</f>
        <v/>
      </c>
    </row>
    <row r="4347">
      <c r="A4347" s="12" t="inlineStr">
        <is>
          <t>RET-0332</t>
        </is>
      </c>
      <c r="B4347" s="12" t="inlineStr">
        <is>
          <t>VS28</t>
        </is>
      </c>
      <c r="C4347" s="28" t="n">
        <v>0.0231</v>
      </c>
      <c r="D4347" s="12" t="inlineStr">
        <is>
          <t>PO-2023-3552</t>
        </is>
      </c>
      <c r="E4347" s="12" t="n">
        <v>3.77</v>
      </c>
      <c r="F4347" s="17" t="n">
        <v>74138.09</v>
      </c>
      <c r="G4347" s="14">
        <f>E4347*F4347</f>
        <v/>
      </c>
      <c r="H4347" s="14">
        <f>C4347*G4347</f>
        <v/>
      </c>
    </row>
    <row r="4348">
      <c r="A4348" s="12" t="inlineStr">
        <is>
          <t>RET-0332</t>
        </is>
      </c>
      <c r="B4348" s="12" t="inlineStr">
        <is>
          <t>VS29</t>
        </is>
      </c>
      <c r="C4348" s="28" t="n">
        <v>0.0146</v>
      </c>
      <c r="D4348" s="12" t="inlineStr">
        <is>
          <t>PO-2021-1015</t>
        </is>
      </c>
      <c r="E4348" s="12" t="n">
        <v>3.77</v>
      </c>
      <c r="F4348" s="17" t="n">
        <v>86886.52</v>
      </c>
      <c r="G4348" s="14">
        <f>E4348*F4348</f>
        <v/>
      </c>
      <c r="H4348" s="14">
        <f>C4348*G4348</f>
        <v/>
      </c>
    </row>
    <row r="4349">
      <c r="A4349" s="12" t="inlineStr">
        <is>
          <t>RET-0332</t>
        </is>
      </c>
      <c r="B4349" s="12" t="inlineStr">
        <is>
          <t>VS30</t>
        </is>
      </c>
      <c r="C4349" s="28" t="n">
        <v>0.0063</v>
      </c>
      <c r="D4349" s="12" t="inlineStr">
        <is>
          <t>PO-2023-4317</t>
        </is>
      </c>
      <c r="E4349" s="12" t="n">
        <v>3.77</v>
      </c>
      <c r="F4349" s="17" t="n">
        <v>48248.58</v>
      </c>
      <c r="G4349" s="14">
        <f>E4349*F4349</f>
        <v/>
      </c>
      <c r="H4349" s="14">
        <f>C4349*G4349</f>
        <v/>
      </c>
    </row>
    <row r="4350">
      <c r="A4350" s="12" t="inlineStr">
        <is>
          <t>RET-0332</t>
        </is>
      </c>
      <c r="B4350" s="12" t="inlineStr">
        <is>
          <t>VS31</t>
        </is>
      </c>
      <c r="C4350" s="28" t="n">
        <v>0.0229</v>
      </c>
      <c r="D4350" s="12" t="inlineStr">
        <is>
          <t>PO-2022-2145</t>
        </is>
      </c>
      <c r="E4350" s="12" t="n">
        <v>3.77</v>
      </c>
      <c r="F4350" s="17" t="n">
        <v>108897.64</v>
      </c>
      <c r="G4350" s="14">
        <f>E4350*F4350</f>
        <v/>
      </c>
      <c r="H4350" s="14">
        <f>C4350*G4350</f>
        <v/>
      </c>
    </row>
    <row r="4351">
      <c r="A4351" s="12" t="inlineStr">
        <is>
          <t>RET-0332</t>
        </is>
      </c>
      <c r="B4351" s="12" t="inlineStr">
        <is>
          <t>VS32</t>
        </is>
      </c>
      <c r="C4351" s="28" t="n">
        <v>0.0273</v>
      </c>
      <c r="D4351" s="12" t="inlineStr">
        <is>
          <t>PO-2022-2724</t>
        </is>
      </c>
      <c r="E4351" s="12" t="n">
        <v>3.77</v>
      </c>
      <c r="F4351" s="17" t="n">
        <v>87102.81</v>
      </c>
      <c r="G4351" s="14">
        <f>E4351*F4351</f>
        <v/>
      </c>
      <c r="H4351" s="14">
        <f>C4351*G4351</f>
        <v/>
      </c>
    </row>
    <row r="4352">
      <c r="A4352" s="12" t="inlineStr">
        <is>
          <t>RET-0332</t>
        </is>
      </c>
      <c r="B4352" s="12" t="inlineStr">
        <is>
          <t>VS33</t>
        </is>
      </c>
      <c r="C4352" s="28" t="n">
        <v>0.0146</v>
      </c>
      <c r="D4352" s="12" t="inlineStr">
        <is>
          <t>PO-2021-0970</t>
        </is>
      </c>
      <c r="E4352" s="12" t="n">
        <v>3.77</v>
      </c>
      <c r="F4352" s="17" t="n">
        <v>75293.46000000001</v>
      </c>
      <c r="G4352" s="14">
        <f>E4352*F4352</f>
        <v/>
      </c>
      <c r="H4352" s="14">
        <f>C4352*G4352</f>
        <v/>
      </c>
    </row>
    <row r="4353">
      <c r="A4353" s="12" t="inlineStr">
        <is>
          <t>RET-0332</t>
        </is>
      </c>
      <c r="B4353" s="12" t="inlineStr">
        <is>
          <t>VS34</t>
        </is>
      </c>
      <c r="C4353" s="28" t="n">
        <v>0.0188</v>
      </c>
      <c r="D4353" s="12" t="inlineStr">
        <is>
          <t>PO-2021-1101</t>
        </is>
      </c>
      <c r="E4353" s="12" t="n">
        <v>3.77</v>
      </c>
      <c r="F4353" s="17" t="n">
        <v>60144.88</v>
      </c>
      <c r="G4353" s="14">
        <f>E4353*F4353</f>
        <v/>
      </c>
      <c r="H4353" s="14">
        <f>C4353*G4353</f>
        <v/>
      </c>
    </row>
    <row r="4354">
      <c r="A4354" s="12" t="inlineStr">
        <is>
          <t>RET-0340</t>
        </is>
      </c>
      <c r="B4354" s="12" t="inlineStr">
        <is>
          <t>VS01</t>
        </is>
      </c>
      <c r="C4354" s="28" t="n">
        <v>0.0105</v>
      </c>
      <c r="D4354" s="12" t="inlineStr">
        <is>
          <t>PO-2023-3545</t>
        </is>
      </c>
      <c r="E4354" s="12" t="n">
        <v>0.83</v>
      </c>
      <c r="F4354" s="17" t="n">
        <v>86140.78</v>
      </c>
      <c r="G4354" s="14">
        <f>E4354*F4354</f>
        <v/>
      </c>
      <c r="H4354" s="14">
        <f>C4354*G4354</f>
        <v/>
      </c>
    </row>
    <row r="4355">
      <c r="A4355" s="12" t="inlineStr">
        <is>
          <t>RET-0340</t>
        </is>
      </c>
      <c r="B4355" s="12" t="inlineStr">
        <is>
          <t>VS02</t>
        </is>
      </c>
      <c r="C4355" s="28" t="n">
        <v>0.0048</v>
      </c>
      <c r="D4355" s="12" t="inlineStr">
        <is>
          <t>PO-2023-4259</t>
        </is>
      </c>
      <c r="E4355" s="12" t="n">
        <v>0.83</v>
      </c>
      <c r="F4355" s="17" t="n">
        <v>100984.32</v>
      </c>
      <c r="G4355" s="14">
        <f>E4355*F4355</f>
        <v/>
      </c>
      <c r="H4355" s="14">
        <f>C4355*G4355</f>
        <v/>
      </c>
    </row>
    <row r="4356">
      <c r="A4356" s="12" t="inlineStr">
        <is>
          <t>RET-0340</t>
        </is>
      </c>
      <c r="B4356" s="12" t="inlineStr">
        <is>
          <t>VS03</t>
        </is>
      </c>
      <c r="C4356" s="28" t="n">
        <v>0.2239</v>
      </c>
      <c r="D4356" s="12" t="inlineStr">
        <is>
          <t>PO-2023-4639</t>
        </is>
      </c>
      <c r="E4356" s="12" t="n">
        <v>0.83</v>
      </c>
      <c r="F4356" s="17" t="n">
        <v>121720.35</v>
      </c>
      <c r="G4356" s="14">
        <f>E4356*F4356</f>
        <v/>
      </c>
      <c r="H4356" s="14">
        <f>C4356*G4356</f>
        <v/>
      </c>
    </row>
    <row r="4357">
      <c r="A4357" s="12" t="inlineStr">
        <is>
          <t>RET-0340</t>
        </is>
      </c>
      <c r="B4357" s="12" t="inlineStr">
        <is>
          <t>VS04</t>
        </is>
      </c>
      <c r="C4357" s="28" t="n">
        <v>0.0066</v>
      </c>
      <c r="D4357" s="12" t="inlineStr">
        <is>
          <t>PO-2023-3363</t>
        </is>
      </c>
      <c r="E4357" s="12" t="n">
        <v>0.83</v>
      </c>
      <c r="F4357" s="17" t="n">
        <v>85048.64</v>
      </c>
      <c r="G4357" s="14">
        <f>E4357*F4357</f>
        <v/>
      </c>
      <c r="H4357" s="14">
        <f>C4357*G4357</f>
        <v/>
      </c>
    </row>
    <row r="4358">
      <c r="A4358" s="12" t="inlineStr">
        <is>
          <t>RET-0340</t>
        </is>
      </c>
      <c r="B4358" s="12" t="inlineStr">
        <is>
          <t>VS05</t>
        </is>
      </c>
      <c r="C4358" s="28" t="n">
        <v>0.008500000000000001</v>
      </c>
      <c r="D4358" s="12" t="inlineStr">
        <is>
          <t>PO-2021-0319</t>
        </is>
      </c>
      <c r="E4358" s="12" t="n">
        <v>0.83</v>
      </c>
      <c r="F4358" s="17" t="n">
        <v>97528.87</v>
      </c>
      <c r="G4358" s="14">
        <f>E4358*F4358</f>
        <v/>
      </c>
      <c r="H4358" s="14">
        <f>C4358*G4358</f>
        <v/>
      </c>
    </row>
    <row r="4359">
      <c r="A4359" s="12" t="inlineStr">
        <is>
          <t>RET-0340</t>
        </is>
      </c>
      <c r="B4359" s="12" t="inlineStr">
        <is>
          <t>VS06</t>
        </is>
      </c>
      <c r="C4359" s="28" t="n">
        <v>0.0086</v>
      </c>
      <c r="D4359" s="12" t="inlineStr">
        <is>
          <t>PO-2023-4454</t>
        </is>
      </c>
      <c r="E4359" s="12" t="n">
        <v>0.83</v>
      </c>
      <c r="F4359" s="17" t="n">
        <v>81687.88</v>
      </c>
      <c r="G4359" s="14">
        <f>E4359*F4359</f>
        <v/>
      </c>
      <c r="H4359" s="14">
        <f>C4359*G4359</f>
        <v/>
      </c>
    </row>
    <row r="4360">
      <c r="A4360" s="12" t="inlineStr">
        <is>
          <t>RET-0340</t>
        </is>
      </c>
      <c r="B4360" s="12" t="inlineStr">
        <is>
          <t>VS07</t>
        </is>
      </c>
      <c r="C4360" s="28" t="n">
        <v>0.0029</v>
      </c>
      <c r="D4360" s="12" t="inlineStr">
        <is>
          <t>PO-2022-2385</t>
        </is>
      </c>
      <c r="E4360" s="12" t="n">
        <v>0.83</v>
      </c>
      <c r="F4360" s="17" t="n">
        <v>93432.91</v>
      </c>
      <c r="G4360" s="14">
        <f>E4360*F4360</f>
        <v/>
      </c>
      <c r="H4360" s="14">
        <f>C4360*G4360</f>
        <v/>
      </c>
    </row>
    <row r="4361">
      <c r="A4361" s="12" t="inlineStr">
        <is>
          <t>RET-0340</t>
        </is>
      </c>
      <c r="B4361" s="12" t="inlineStr">
        <is>
          <t>VS08</t>
        </is>
      </c>
      <c r="C4361" s="28" t="n">
        <v>0.008699999999999999</v>
      </c>
      <c r="D4361" s="12" t="inlineStr">
        <is>
          <t>PO-2022-2882</t>
        </is>
      </c>
      <c r="E4361" s="12" t="n">
        <v>0.83</v>
      </c>
      <c r="F4361" s="17" t="n">
        <v>99224.95</v>
      </c>
      <c r="G4361" s="14">
        <f>E4361*F4361</f>
        <v/>
      </c>
      <c r="H4361" s="14">
        <f>C4361*G4361</f>
        <v/>
      </c>
    </row>
    <row r="4362">
      <c r="A4362" s="12" t="inlineStr">
        <is>
          <t>RET-0340</t>
        </is>
      </c>
      <c r="B4362" s="12" t="inlineStr">
        <is>
          <t>VS09</t>
        </is>
      </c>
      <c r="C4362" s="28" t="n">
        <v>0.0066</v>
      </c>
      <c r="D4362" s="12" t="inlineStr">
        <is>
          <t>PO-2021-0531</t>
        </is>
      </c>
      <c r="E4362" s="12" t="n">
        <v>0.83</v>
      </c>
      <c r="F4362" s="17" t="n">
        <v>119121</v>
      </c>
      <c r="G4362" s="14">
        <f>E4362*F4362</f>
        <v/>
      </c>
      <c r="H4362" s="14">
        <f>C4362*G4362</f>
        <v/>
      </c>
    </row>
    <row r="4363">
      <c r="A4363" s="12" t="inlineStr">
        <is>
          <t>RET-0340</t>
        </is>
      </c>
      <c r="B4363" s="12" t="inlineStr">
        <is>
          <t>VS10</t>
        </is>
      </c>
      <c r="C4363" s="28" t="n">
        <v>0.0104</v>
      </c>
      <c r="D4363" s="12" t="inlineStr">
        <is>
          <t>PO-2022-2548</t>
        </is>
      </c>
      <c r="E4363" s="12" t="n">
        <v>0.83</v>
      </c>
      <c r="F4363" s="17" t="n">
        <v>89076.23</v>
      </c>
      <c r="G4363" s="14">
        <f>E4363*F4363</f>
        <v/>
      </c>
      <c r="H4363" s="14">
        <f>C4363*G4363</f>
        <v/>
      </c>
    </row>
    <row r="4364">
      <c r="A4364" s="12" t="inlineStr">
        <is>
          <t>RET-0340</t>
        </is>
      </c>
      <c r="B4364" s="12" t="inlineStr">
        <is>
          <t>VS11</t>
        </is>
      </c>
      <c r="C4364" s="28" t="n">
        <v>0.0122</v>
      </c>
      <c r="D4364" s="12" t="inlineStr">
        <is>
          <t>PO-2021-1392</t>
        </is>
      </c>
      <c r="E4364" s="12" t="n">
        <v>0.83</v>
      </c>
      <c r="F4364" s="17" t="n">
        <v>53076.29</v>
      </c>
      <c r="G4364" s="14">
        <f>E4364*F4364</f>
        <v/>
      </c>
      <c r="H4364" s="14">
        <f>C4364*G4364</f>
        <v/>
      </c>
    </row>
    <row r="4365">
      <c r="A4365" s="12" t="inlineStr">
        <is>
          <t>RET-0340</t>
        </is>
      </c>
      <c r="B4365" s="12" t="inlineStr">
        <is>
          <t>VS12</t>
        </is>
      </c>
      <c r="C4365" s="28" t="n">
        <v>0.3112</v>
      </c>
      <c r="D4365" s="12" t="inlineStr">
        <is>
          <t>PO-2022-2868</t>
        </is>
      </c>
      <c r="E4365" s="12" t="n">
        <v>0.83</v>
      </c>
      <c r="F4365" s="17" t="n">
        <v>67494.3</v>
      </c>
      <c r="G4365" s="14">
        <f>E4365*F4365</f>
        <v/>
      </c>
      <c r="H4365" s="14">
        <f>C4365*G4365</f>
        <v/>
      </c>
    </row>
    <row r="4366">
      <c r="A4366" s="12" t="inlineStr">
        <is>
          <t>RET-0340</t>
        </is>
      </c>
      <c r="B4366" s="12" t="inlineStr">
        <is>
          <t>VS13</t>
        </is>
      </c>
      <c r="C4366" s="28" t="n">
        <v>0.008399999999999999</v>
      </c>
      <c r="D4366" s="12" t="inlineStr">
        <is>
          <t>PO-2022-1697</t>
        </is>
      </c>
      <c r="E4366" s="12" t="n">
        <v>0.83</v>
      </c>
      <c r="F4366" s="17" t="n">
        <v>82398.82000000001</v>
      </c>
      <c r="G4366" s="14">
        <f>E4366*F4366</f>
        <v/>
      </c>
      <c r="H4366" s="14">
        <f>C4366*G4366</f>
        <v/>
      </c>
    </row>
    <row r="4367">
      <c r="A4367" s="12" t="inlineStr">
        <is>
          <t>RET-0340</t>
        </is>
      </c>
      <c r="B4367" s="12" t="inlineStr">
        <is>
          <t>VS14</t>
        </is>
      </c>
      <c r="C4367" s="28" t="n">
        <v>0.008500000000000001</v>
      </c>
      <c r="D4367" s="12" t="inlineStr">
        <is>
          <t>PO-2023-4603</t>
        </is>
      </c>
      <c r="E4367" s="12" t="n">
        <v>0.83</v>
      </c>
      <c r="F4367" s="17" t="n">
        <v>49364.16</v>
      </c>
      <c r="G4367" s="14">
        <f>E4367*F4367</f>
        <v/>
      </c>
      <c r="H4367" s="14">
        <f>C4367*G4367</f>
        <v/>
      </c>
    </row>
    <row r="4368">
      <c r="A4368" s="12" t="inlineStr">
        <is>
          <t>RET-0340</t>
        </is>
      </c>
      <c r="B4368" s="12" t="inlineStr">
        <is>
          <t>VS15</t>
        </is>
      </c>
      <c r="C4368" s="28" t="n">
        <v>0.0028</v>
      </c>
      <c r="D4368" s="12" t="inlineStr">
        <is>
          <t>PO-2021-1563</t>
        </is>
      </c>
      <c r="E4368" s="12" t="n">
        <v>0.83</v>
      </c>
      <c r="F4368" s="17" t="n">
        <v>66888.25</v>
      </c>
      <c r="G4368" s="14">
        <f>E4368*F4368</f>
        <v/>
      </c>
      <c r="H4368" s="14">
        <f>C4368*G4368</f>
        <v/>
      </c>
    </row>
    <row r="4369">
      <c r="A4369" s="12" t="inlineStr">
        <is>
          <t>RET-0340</t>
        </is>
      </c>
      <c r="B4369" s="12" t="inlineStr">
        <is>
          <t>VS16</t>
        </is>
      </c>
      <c r="C4369" s="28" t="n">
        <v>0.0123</v>
      </c>
      <c r="D4369" s="12" t="inlineStr">
        <is>
          <t>PO-2022-2659</t>
        </is>
      </c>
      <c r="E4369" s="12" t="n">
        <v>0.83</v>
      </c>
      <c r="F4369" s="17" t="n">
        <v>90517.60000000001</v>
      </c>
      <c r="G4369" s="14">
        <f>E4369*F4369</f>
        <v/>
      </c>
      <c r="H4369" s="14">
        <f>C4369*G4369</f>
        <v/>
      </c>
    </row>
    <row r="4370">
      <c r="A4370" s="12" t="inlineStr">
        <is>
          <t>RET-0340</t>
        </is>
      </c>
      <c r="B4370" s="12" t="inlineStr">
        <is>
          <t>VS17</t>
        </is>
      </c>
      <c r="C4370" s="28" t="n">
        <v>0.0122</v>
      </c>
      <c r="D4370" s="12" t="inlineStr">
        <is>
          <t>PO-2023-3309</t>
        </is>
      </c>
      <c r="E4370" s="12" t="n">
        <v>0.83</v>
      </c>
      <c r="F4370" s="17" t="n">
        <v>92986.41</v>
      </c>
      <c r="G4370" s="14">
        <f>E4370*F4370</f>
        <v/>
      </c>
      <c r="H4370" s="14">
        <f>C4370*G4370</f>
        <v/>
      </c>
    </row>
    <row r="4371">
      <c r="A4371" s="12" t="inlineStr">
        <is>
          <t>RET-0340</t>
        </is>
      </c>
      <c r="B4371" s="12" t="inlineStr">
        <is>
          <t>VS18</t>
        </is>
      </c>
      <c r="C4371" s="28" t="n">
        <v>0.008500000000000001</v>
      </c>
      <c r="D4371" s="12" t="inlineStr">
        <is>
          <t>PO-2023-4529</t>
        </is>
      </c>
      <c r="E4371" s="12" t="n">
        <v>0.83</v>
      </c>
      <c r="F4371" s="17" t="n">
        <v>101194.37</v>
      </c>
      <c r="G4371" s="14">
        <f>E4371*F4371</f>
        <v/>
      </c>
      <c r="H4371" s="14">
        <f>C4371*G4371</f>
        <v/>
      </c>
    </row>
    <row r="4372">
      <c r="A4372" s="12" t="inlineStr">
        <is>
          <t>RET-0340</t>
        </is>
      </c>
      <c r="B4372" s="12" t="inlineStr">
        <is>
          <t>VS19</t>
        </is>
      </c>
      <c r="C4372" s="28" t="n">
        <v>0.2348</v>
      </c>
      <c r="D4372" s="12" t="inlineStr">
        <is>
          <t>PO-2023-3306</t>
        </is>
      </c>
      <c r="E4372" s="12" t="n">
        <v>0.83</v>
      </c>
      <c r="F4372" s="17" t="n">
        <v>51362.2</v>
      </c>
      <c r="G4372" s="14">
        <f>E4372*F4372</f>
        <v/>
      </c>
      <c r="H4372" s="14">
        <f>C4372*G4372</f>
        <v/>
      </c>
    </row>
    <row r="4373">
      <c r="A4373" s="12" t="inlineStr">
        <is>
          <t>RET-0340</t>
        </is>
      </c>
      <c r="B4373" s="12" t="inlineStr">
        <is>
          <t>VS20</t>
        </is>
      </c>
      <c r="C4373" s="28" t="n">
        <v>0.0048</v>
      </c>
      <c r="D4373" s="12" t="inlineStr">
        <is>
          <t>PO-2023-4084</t>
        </is>
      </c>
      <c r="E4373" s="12" t="n">
        <v>0.83</v>
      </c>
      <c r="F4373" s="17" t="n">
        <v>114547.05</v>
      </c>
      <c r="G4373" s="14">
        <f>E4373*F4373</f>
        <v/>
      </c>
      <c r="H4373" s="14">
        <f>C4373*G4373</f>
        <v/>
      </c>
    </row>
    <row r="4374">
      <c r="A4374" s="12" t="inlineStr">
        <is>
          <t>RET-0340</t>
        </is>
      </c>
      <c r="B4374" s="12" t="inlineStr">
        <is>
          <t>VS21</t>
        </is>
      </c>
      <c r="C4374" s="28" t="n">
        <v>0.0047</v>
      </c>
      <c r="D4374" s="12" t="inlineStr">
        <is>
          <t>PO-2023-3292</t>
        </is>
      </c>
      <c r="E4374" s="12" t="n">
        <v>0.83</v>
      </c>
      <c r="F4374" s="17" t="n">
        <v>85242.11</v>
      </c>
      <c r="G4374" s="14">
        <f>E4374*F4374</f>
        <v/>
      </c>
      <c r="H4374" s="14">
        <f>C4374*G4374</f>
        <v/>
      </c>
    </row>
    <row r="4375">
      <c r="A4375" s="12" t="inlineStr">
        <is>
          <t>RET-0340</t>
        </is>
      </c>
      <c r="B4375" s="12" t="inlineStr">
        <is>
          <t>VS22</t>
        </is>
      </c>
      <c r="C4375" s="28" t="n">
        <v>0.0028</v>
      </c>
      <c r="D4375" s="12" t="inlineStr">
        <is>
          <t>PO-2023-4174</t>
        </is>
      </c>
      <c r="E4375" s="12" t="n">
        <v>0.83</v>
      </c>
      <c r="F4375" s="17" t="n">
        <v>94759.46000000001</v>
      </c>
      <c r="G4375" s="14">
        <f>E4375*F4375</f>
        <v/>
      </c>
      <c r="H4375" s="14">
        <f>C4375*G4375</f>
        <v/>
      </c>
    </row>
    <row r="4376">
      <c r="A4376" s="12" t="inlineStr">
        <is>
          <t>RET-0340</t>
        </is>
      </c>
      <c r="B4376" s="12" t="inlineStr">
        <is>
          <t>VS23</t>
        </is>
      </c>
      <c r="C4376" s="28" t="n">
        <v>0.0047</v>
      </c>
      <c r="D4376" s="12" t="inlineStr">
        <is>
          <t>PO-2023-3217</t>
        </is>
      </c>
      <c r="E4376" s="12" t="n">
        <v>0.83</v>
      </c>
      <c r="F4376" s="17" t="n">
        <v>51872.85</v>
      </c>
      <c r="G4376" s="14">
        <f>E4376*F4376</f>
        <v/>
      </c>
      <c r="H4376" s="14">
        <f>C4376*G4376</f>
        <v/>
      </c>
    </row>
    <row r="4377">
      <c r="A4377" s="12" t="inlineStr">
        <is>
          <t>RET-0340</t>
        </is>
      </c>
      <c r="B4377" s="12" t="inlineStr">
        <is>
          <t>VS24</t>
        </is>
      </c>
      <c r="C4377" s="28" t="n">
        <v>0.0047</v>
      </c>
      <c r="D4377" s="12" t="inlineStr">
        <is>
          <t>PO-2023-4296</t>
        </is>
      </c>
      <c r="E4377" s="12" t="n">
        <v>0.83</v>
      </c>
      <c r="F4377" s="17" t="n">
        <v>117684.25</v>
      </c>
      <c r="G4377" s="14">
        <f>E4377*F4377</f>
        <v/>
      </c>
      <c r="H4377" s="14">
        <f>C4377*G4377</f>
        <v/>
      </c>
    </row>
    <row r="4378">
      <c r="A4378" s="12" t="inlineStr">
        <is>
          <t>RET-0340</t>
        </is>
      </c>
      <c r="B4378" s="12" t="inlineStr">
        <is>
          <t>VS25</t>
        </is>
      </c>
      <c r="C4378" s="28" t="n">
        <v>0.0086</v>
      </c>
      <c r="D4378" s="12" t="inlineStr">
        <is>
          <t>PO-2022-2125</t>
        </is>
      </c>
      <c r="E4378" s="12" t="n">
        <v>0.83</v>
      </c>
      <c r="F4378" s="17" t="n">
        <v>74938.37</v>
      </c>
      <c r="G4378" s="14">
        <f>E4378*F4378</f>
        <v/>
      </c>
      <c r="H4378" s="14">
        <f>C4378*G4378</f>
        <v/>
      </c>
    </row>
    <row r="4379">
      <c r="A4379" s="12" t="inlineStr">
        <is>
          <t>RET-0340</t>
        </is>
      </c>
      <c r="B4379" s="12" t="inlineStr">
        <is>
          <t>VS26</t>
        </is>
      </c>
      <c r="C4379" s="28" t="n">
        <v>0.0048</v>
      </c>
      <c r="D4379" s="12" t="inlineStr">
        <is>
          <t>PO-2022-1609</t>
        </is>
      </c>
      <c r="E4379" s="12" t="n">
        <v>0.83</v>
      </c>
      <c r="F4379" s="17" t="n">
        <v>58777.03</v>
      </c>
      <c r="G4379" s="14">
        <f>E4379*F4379</f>
        <v/>
      </c>
      <c r="H4379" s="14">
        <f>C4379*G4379</f>
        <v/>
      </c>
    </row>
    <row r="4380">
      <c r="A4380" s="12" t="inlineStr">
        <is>
          <t>RET-0340</t>
        </is>
      </c>
      <c r="B4380" s="12" t="inlineStr">
        <is>
          <t>VS27</t>
        </is>
      </c>
      <c r="C4380" s="28" t="n">
        <v>0.0047</v>
      </c>
      <c r="D4380" s="12" t="inlineStr">
        <is>
          <t>PO-2022-2558</t>
        </is>
      </c>
      <c r="E4380" s="12" t="n">
        <v>0.83</v>
      </c>
      <c r="F4380" s="17" t="n">
        <v>92365.35000000001</v>
      </c>
      <c r="G4380" s="14">
        <f>E4380*F4380</f>
        <v/>
      </c>
      <c r="H4380" s="14">
        <f>C4380*G4380</f>
        <v/>
      </c>
    </row>
    <row r="4381">
      <c r="A4381" s="12" t="inlineStr">
        <is>
          <t>RET-0340</t>
        </is>
      </c>
      <c r="B4381" s="12" t="inlineStr">
        <is>
          <t>VS28</t>
        </is>
      </c>
      <c r="C4381" s="28" t="n">
        <v>0.0104</v>
      </c>
      <c r="D4381" s="12" t="inlineStr">
        <is>
          <t>PO-2022-3112</t>
        </is>
      </c>
      <c r="E4381" s="12" t="n">
        <v>0.83</v>
      </c>
      <c r="F4381" s="17" t="n">
        <v>97404.73</v>
      </c>
      <c r="G4381" s="14">
        <f>E4381*F4381</f>
        <v/>
      </c>
      <c r="H4381" s="14">
        <f>C4381*G4381</f>
        <v/>
      </c>
    </row>
    <row r="4382">
      <c r="A4382" s="12" t="inlineStr">
        <is>
          <t>RET-0340</t>
        </is>
      </c>
      <c r="B4382" s="12" t="inlineStr">
        <is>
          <t>VS29</t>
        </is>
      </c>
      <c r="C4382" s="28" t="n">
        <v>0.0066</v>
      </c>
      <c r="D4382" s="12" t="inlineStr">
        <is>
          <t>PO-2021-0208</t>
        </is>
      </c>
      <c r="E4382" s="12" t="n">
        <v>0.83</v>
      </c>
      <c r="F4382" s="17" t="n">
        <v>95727.22</v>
      </c>
      <c r="G4382" s="14">
        <f>E4382*F4382</f>
        <v/>
      </c>
      <c r="H4382" s="14">
        <f>C4382*G4382</f>
        <v/>
      </c>
    </row>
    <row r="4383">
      <c r="A4383" s="12" t="inlineStr">
        <is>
          <t>RET-0340</t>
        </is>
      </c>
      <c r="B4383" s="12" t="inlineStr">
        <is>
          <t>VS30</t>
        </is>
      </c>
      <c r="C4383" s="28" t="n">
        <v>0.0029</v>
      </c>
      <c r="D4383" s="12" t="inlineStr">
        <is>
          <t>PO-2021-0335</t>
        </is>
      </c>
      <c r="E4383" s="12" t="n">
        <v>0.83</v>
      </c>
      <c r="F4383" s="17" t="n">
        <v>117583.96</v>
      </c>
      <c r="G4383" s="14">
        <f>E4383*F4383</f>
        <v/>
      </c>
      <c r="H4383" s="14">
        <f>C4383*G4383</f>
        <v/>
      </c>
    </row>
    <row r="4384">
      <c r="A4384" s="12" t="inlineStr">
        <is>
          <t>RET-0340</t>
        </is>
      </c>
      <c r="B4384" s="12" t="inlineStr">
        <is>
          <t>VS31</t>
        </is>
      </c>
      <c r="C4384" s="28" t="n">
        <v>0.0104</v>
      </c>
      <c r="D4384" s="12" t="inlineStr">
        <is>
          <t>PO-2022-2601</t>
        </is>
      </c>
      <c r="E4384" s="12" t="n">
        <v>0.83</v>
      </c>
      <c r="F4384" s="17" t="n">
        <v>72084.61</v>
      </c>
      <c r="G4384" s="14">
        <f>E4384*F4384</f>
        <v/>
      </c>
      <c r="H4384" s="14">
        <f>C4384*G4384</f>
        <v/>
      </c>
    </row>
    <row r="4385">
      <c r="A4385" s="12" t="inlineStr">
        <is>
          <t>RET-0340</t>
        </is>
      </c>
      <c r="B4385" s="12" t="inlineStr">
        <is>
          <t>VS32</t>
        </is>
      </c>
      <c r="C4385" s="28" t="n">
        <v>0.0124</v>
      </c>
      <c r="D4385" s="12" t="inlineStr">
        <is>
          <t>PO-2022-2415</t>
        </is>
      </c>
      <c r="E4385" s="12" t="n">
        <v>0.83</v>
      </c>
      <c r="F4385" s="17" t="n">
        <v>71362.27</v>
      </c>
      <c r="G4385" s="14">
        <f>E4385*F4385</f>
        <v/>
      </c>
      <c r="H4385" s="14">
        <f>C4385*G4385</f>
        <v/>
      </c>
    </row>
    <row r="4386">
      <c r="A4386" s="12" t="inlineStr">
        <is>
          <t>RET-0340</t>
        </is>
      </c>
      <c r="B4386" s="12" t="inlineStr">
        <is>
          <t>VS33</t>
        </is>
      </c>
      <c r="C4386" s="28" t="n">
        <v>0.0066</v>
      </c>
      <c r="D4386" s="12" t="inlineStr">
        <is>
          <t>PO-2022-3032</t>
        </is>
      </c>
      <c r="E4386" s="12" t="n">
        <v>0.83</v>
      </c>
      <c r="F4386" s="17" t="n">
        <v>86778.44</v>
      </c>
      <c r="G4386" s="14">
        <f>E4386*F4386</f>
        <v/>
      </c>
      <c r="H4386" s="14">
        <f>C4386*G4386</f>
        <v/>
      </c>
    </row>
    <row r="4387">
      <c r="A4387" s="12" t="inlineStr">
        <is>
          <t>RET-0340</t>
        </is>
      </c>
      <c r="B4387" s="12" t="inlineStr">
        <is>
          <t>VS34</t>
        </is>
      </c>
      <c r="C4387" s="28" t="n">
        <v>0.008500000000000001</v>
      </c>
      <c r="D4387" s="12" t="inlineStr">
        <is>
          <t>PO-2021-0947</t>
        </is>
      </c>
      <c r="E4387" s="12" t="n">
        <v>0.83</v>
      </c>
      <c r="F4387" s="17" t="n">
        <v>51330.11</v>
      </c>
      <c r="G4387" s="14">
        <f>E4387*F4387</f>
        <v/>
      </c>
      <c r="H4387" s="14">
        <f>C4387*G4387</f>
        <v/>
      </c>
    </row>
    <row r="4388">
      <c r="A4388" s="12" t="inlineStr">
        <is>
          <t>RET-0341</t>
        </is>
      </c>
      <c r="B4388" s="12" t="inlineStr">
        <is>
          <t>VS01</t>
        </is>
      </c>
      <c r="C4388" s="28" t="n">
        <v>0.0171</v>
      </c>
      <c r="D4388" s="12" t="inlineStr">
        <is>
          <t>PO-2021-1355</t>
        </is>
      </c>
      <c r="E4388" s="12" t="n">
        <v>1.97</v>
      </c>
      <c r="F4388" s="17" t="n">
        <v>119195.6</v>
      </c>
      <c r="G4388" s="14">
        <f>E4388*F4388</f>
        <v/>
      </c>
      <c r="H4388" s="14">
        <f>C4388*G4388</f>
        <v/>
      </c>
    </row>
    <row r="4389">
      <c r="A4389" s="12" t="inlineStr">
        <is>
          <t>RET-0341</t>
        </is>
      </c>
      <c r="B4389" s="12" t="inlineStr">
        <is>
          <t>VS02</t>
        </is>
      </c>
      <c r="C4389" s="28" t="n">
        <v>0.0078</v>
      </c>
      <c r="D4389" s="12" t="inlineStr">
        <is>
          <t>PO-2022-2813</t>
        </is>
      </c>
      <c r="E4389" s="12" t="n">
        <v>1.97</v>
      </c>
      <c r="F4389" s="17" t="n">
        <v>116719.42</v>
      </c>
      <c r="G4389" s="14">
        <f>E4389*F4389</f>
        <v/>
      </c>
      <c r="H4389" s="14">
        <f>C4389*G4389</f>
        <v/>
      </c>
    </row>
    <row r="4390">
      <c r="A4390" s="12" t="inlineStr">
        <is>
          <t>RET-0341</t>
        </is>
      </c>
      <c r="B4390" s="12" t="inlineStr">
        <is>
          <t>VS03</t>
        </is>
      </c>
      <c r="C4390" s="28" t="n">
        <v>0.1812</v>
      </c>
      <c r="D4390" s="12" t="inlineStr">
        <is>
          <t>PO-2023-4727</t>
        </is>
      </c>
      <c r="E4390" s="12" t="n">
        <v>0</v>
      </c>
      <c r="F4390" s="17" t="n">
        <v>72239.2</v>
      </c>
      <c r="G4390" s="14">
        <f>E4390*F4390</f>
        <v/>
      </c>
      <c r="H4390" s="14">
        <f>C4390*G4390</f>
        <v/>
      </c>
    </row>
    <row r="4391">
      <c r="A4391" s="12" t="inlineStr">
        <is>
          <t>RET-0341</t>
        </is>
      </c>
      <c r="B4391" s="12" t="inlineStr">
        <is>
          <t>VS04</t>
        </is>
      </c>
      <c r="C4391" s="28" t="n">
        <v>0.0107</v>
      </c>
      <c r="D4391" s="12" t="inlineStr">
        <is>
          <t>PO-2023-4501</t>
        </is>
      </c>
      <c r="E4391" s="12" t="n">
        <v>1.97</v>
      </c>
      <c r="F4391" s="17" t="n">
        <v>78614.97</v>
      </c>
      <c r="G4391" s="14">
        <f>E4391*F4391</f>
        <v/>
      </c>
      <c r="H4391" s="14">
        <f>C4391*G4391</f>
        <v/>
      </c>
    </row>
    <row r="4392">
      <c r="A4392" s="12" t="inlineStr">
        <is>
          <t>RET-0341</t>
        </is>
      </c>
      <c r="B4392" s="12" t="inlineStr">
        <is>
          <t>VS05</t>
        </is>
      </c>
      <c r="C4392" s="28" t="n">
        <v>0.014</v>
      </c>
      <c r="D4392" s="12" t="inlineStr">
        <is>
          <t>PO-2022-3021</t>
        </is>
      </c>
      <c r="E4392" s="12" t="n">
        <v>1.97</v>
      </c>
      <c r="F4392" s="17" t="n">
        <v>61308.2</v>
      </c>
      <c r="G4392" s="14">
        <f>E4392*F4392</f>
        <v/>
      </c>
      <c r="H4392" s="14">
        <f>C4392*G4392</f>
        <v/>
      </c>
    </row>
    <row r="4393">
      <c r="A4393" s="12" t="inlineStr">
        <is>
          <t>RET-0341</t>
        </is>
      </c>
      <c r="B4393" s="12" t="inlineStr">
        <is>
          <t>VS06</t>
        </is>
      </c>
      <c r="C4393" s="28" t="n">
        <v>0.0141</v>
      </c>
      <c r="D4393" s="12" t="inlineStr">
        <is>
          <t>PO-2023-4693</t>
        </is>
      </c>
      <c r="E4393" s="12" t="n">
        <v>1.97</v>
      </c>
      <c r="F4393" s="17" t="n">
        <v>70845.97</v>
      </c>
      <c r="G4393" s="14">
        <f>E4393*F4393</f>
        <v/>
      </c>
      <c r="H4393" s="14">
        <f>C4393*G4393</f>
        <v/>
      </c>
    </row>
    <row r="4394">
      <c r="A4394" s="12" t="inlineStr">
        <is>
          <t>RET-0341</t>
        </is>
      </c>
      <c r="B4394" s="12" t="inlineStr">
        <is>
          <t>VS07</t>
        </is>
      </c>
      <c r="C4394" s="28" t="n">
        <v>0.0047</v>
      </c>
      <c r="D4394" s="12" t="inlineStr">
        <is>
          <t>PO-2021-0513</t>
        </is>
      </c>
      <c r="E4394" s="12" t="n">
        <v>1.97</v>
      </c>
      <c r="F4394" s="17" t="n">
        <v>88354.16</v>
      </c>
      <c r="G4394" s="14">
        <f>E4394*F4394</f>
        <v/>
      </c>
      <c r="H4394" s="14">
        <f>C4394*G4394</f>
        <v/>
      </c>
    </row>
    <row r="4395">
      <c r="A4395" s="12" t="inlineStr">
        <is>
          <t>RET-0341</t>
        </is>
      </c>
      <c r="B4395" s="12" t="inlineStr">
        <is>
          <t>VS08</t>
        </is>
      </c>
      <c r="C4395" s="28" t="n">
        <v>0.0142</v>
      </c>
      <c r="D4395" s="12" t="inlineStr">
        <is>
          <t>PO-2021-1584</t>
        </is>
      </c>
      <c r="E4395" s="12" t="n">
        <v>1.97</v>
      </c>
      <c r="F4395" s="17" t="n">
        <v>53260.17</v>
      </c>
      <c r="G4395" s="14">
        <f>E4395*F4395</f>
        <v/>
      </c>
      <c r="H4395" s="14">
        <f>C4395*G4395</f>
        <v/>
      </c>
    </row>
    <row r="4396">
      <c r="A4396" s="12" t="inlineStr">
        <is>
          <t>RET-0341</t>
        </is>
      </c>
      <c r="B4396" s="12" t="inlineStr">
        <is>
          <t>VS09</t>
        </is>
      </c>
      <c r="C4396" s="28" t="n">
        <v>0.0109</v>
      </c>
      <c r="D4396" s="12" t="inlineStr">
        <is>
          <t>PO-2021-0878</t>
        </is>
      </c>
      <c r="E4396" s="12" t="n">
        <v>1.97</v>
      </c>
      <c r="F4396" s="17" t="n">
        <v>92389.32000000001</v>
      </c>
      <c r="G4396" s="14">
        <f>E4396*F4396</f>
        <v/>
      </c>
      <c r="H4396" s="14">
        <f>C4396*G4396</f>
        <v/>
      </c>
    </row>
    <row r="4397">
      <c r="A4397" s="12" t="inlineStr">
        <is>
          <t>RET-0341</t>
        </is>
      </c>
      <c r="B4397" s="12" t="inlineStr">
        <is>
          <t>VS10</t>
        </is>
      </c>
      <c r="C4397" s="28" t="n">
        <v>0.0171</v>
      </c>
      <c r="D4397" s="12" t="inlineStr">
        <is>
          <t>PO-2021-1193</t>
        </is>
      </c>
      <c r="E4397" s="12" t="n">
        <v>1.97</v>
      </c>
      <c r="F4397" s="17" t="n">
        <v>93541.89999999999</v>
      </c>
      <c r="G4397" s="14">
        <f>E4397*F4397</f>
        <v/>
      </c>
      <c r="H4397" s="14">
        <f>C4397*G4397</f>
        <v/>
      </c>
    </row>
    <row r="4398">
      <c r="A4398" s="12" t="inlineStr">
        <is>
          <t>RET-0341</t>
        </is>
      </c>
      <c r="B4398" s="12" t="inlineStr">
        <is>
          <t>VS11</t>
        </is>
      </c>
      <c r="C4398" s="28" t="n">
        <v>0.02</v>
      </c>
      <c r="D4398" s="12" t="inlineStr">
        <is>
          <t>PO-2021-1105</t>
        </is>
      </c>
      <c r="E4398" s="12" t="n">
        <v>1.97</v>
      </c>
      <c r="F4398" s="17" t="n">
        <v>68434.48</v>
      </c>
      <c r="G4398" s="14">
        <f>E4398*F4398</f>
        <v/>
      </c>
      <c r="H4398" s="14">
        <f>C4398*G4398</f>
        <v/>
      </c>
    </row>
    <row r="4399">
      <c r="A4399" s="12" t="inlineStr">
        <is>
          <t>RET-0341</t>
        </is>
      </c>
      <c r="B4399" s="12" t="inlineStr">
        <is>
          <t>VS12</t>
        </is>
      </c>
      <c r="C4399" s="28" t="n">
        <v>0.2519</v>
      </c>
      <c r="D4399" s="12" t="inlineStr">
        <is>
          <t>PO-2021-0966</t>
        </is>
      </c>
      <c r="E4399" s="12" t="n">
        <v>1.97</v>
      </c>
      <c r="F4399" s="17" t="n">
        <v>88969.31</v>
      </c>
      <c r="G4399" s="14">
        <f>E4399*F4399</f>
        <v/>
      </c>
      <c r="H4399" s="14">
        <f>C4399*G4399</f>
        <v/>
      </c>
    </row>
    <row r="4400">
      <c r="A4400" s="12" t="inlineStr">
        <is>
          <t>RET-0341</t>
        </is>
      </c>
      <c r="B4400" s="12" t="inlineStr">
        <is>
          <t>VS13</t>
        </is>
      </c>
      <c r="C4400" s="28" t="n">
        <v>0.0138</v>
      </c>
      <c r="D4400" s="12" t="inlineStr">
        <is>
          <t>PO-2022-2309</t>
        </is>
      </c>
      <c r="E4400" s="12" t="n">
        <v>1.97</v>
      </c>
      <c r="F4400" s="17" t="n">
        <v>51247.96</v>
      </c>
      <c r="G4400" s="14">
        <f>E4400*F4400</f>
        <v/>
      </c>
      <c r="H4400" s="14">
        <f>C4400*G4400</f>
        <v/>
      </c>
    </row>
    <row r="4401">
      <c r="A4401" s="12" t="inlineStr">
        <is>
          <t>RET-0341</t>
        </is>
      </c>
      <c r="B4401" s="12" t="inlineStr">
        <is>
          <t>VS14</t>
        </is>
      </c>
      <c r="C4401" s="28" t="n">
        <v>0.0139</v>
      </c>
      <c r="D4401" s="12" t="inlineStr">
        <is>
          <t>PO-2023-4235</t>
        </is>
      </c>
      <c r="E4401" s="12" t="n">
        <v>1.97</v>
      </c>
      <c r="F4401" s="17" t="n">
        <v>107565.96</v>
      </c>
      <c r="G4401" s="14">
        <f>E4401*F4401</f>
        <v/>
      </c>
      <c r="H4401" s="14">
        <f>C4401*G4401</f>
        <v/>
      </c>
    </row>
    <row r="4402">
      <c r="A4402" s="12" t="inlineStr">
        <is>
          <t>RET-0341</t>
        </is>
      </c>
      <c r="B4402" s="12" t="inlineStr">
        <is>
          <t>VS15</t>
        </is>
      </c>
      <c r="C4402" s="28" t="n">
        <v>0.0047</v>
      </c>
      <c r="D4402" s="12" t="inlineStr">
        <is>
          <t>PO-2023-3436</t>
        </is>
      </c>
      <c r="E4402" s="12" t="n">
        <v>1.97</v>
      </c>
      <c r="F4402" s="17" t="n">
        <v>103818.67</v>
      </c>
      <c r="G4402" s="14">
        <f>E4402*F4402</f>
        <v/>
      </c>
      <c r="H4402" s="14">
        <f>C4402*G4402</f>
        <v/>
      </c>
    </row>
    <row r="4403">
      <c r="A4403" s="12" t="inlineStr">
        <is>
          <t>RET-0341</t>
        </is>
      </c>
      <c r="B4403" s="12" t="inlineStr">
        <is>
          <t>VS16</t>
        </is>
      </c>
      <c r="C4403" s="28" t="n">
        <v>0.0201</v>
      </c>
      <c r="D4403" s="12" t="inlineStr">
        <is>
          <t>PO-2022-2179</t>
        </is>
      </c>
      <c r="E4403" s="12" t="n">
        <v>1.97</v>
      </c>
      <c r="F4403" s="17" t="n">
        <v>117243.33</v>
      </c>
      <c r="G4403" s="14">
        <f>E4403*F4403</f>
        <v/>
      </c>
      <c r="H4403" s="14">
        <f>C4403*G4403</f>
        <v/>
      </c>
    </row>
    <row r="4404">
      <c r="A4404" s="12" t="inlineStr">
        <is>
          <t>RET-0341</t>
        </is>
      </c>
      <c r="B4404" s="12" t="inlineStr">
        <is>
          <t>VS17</t>
        </is>
      </c>
      <c r="C4404" s="28" t="n">
        <v>0.02</v>
      </c>
      <c r="D4404" s="12" t="inlineStr">
        <is>
          <t>PO-2023-3617</t>
        </is>
      </c>
      <c r="E4404" s="12" t="n">
        <v>1.97</v>
      </c>
      <c r="F4404" s="17" t="n">
        <v>54046.08</v>
      </c>
      <c r="G4404" s="14">
        <f>E4404*F4404</f>
        <v/>
      </c>
      <c r="H4404" s="14">
        <f>C4404*G4404</f>
        <v/>
      </c>
    </row>
    <row r="4405">
      <c r="A4405" s="12" t="inlineStr">
        <is>
          <t>RET-0341</t>
        </is>
      </c>
      <c r="B4405" s="12" t="inlineStr">
        <is>
          <t>VS18</t>
        </is>
      </c>
      <c r="C4405" s="28" t="n">
        <v>0.0139</v>
      </c>
      <c r="D4405" s="12" t="inlineStr">
        <is>
          <t>PO-2023-3674</t>
        </is>
      </c>
      <c r="E4405" s="12" t="n">
        <v>1.97</v>
      </c>
      <c r="F4405" s="17" t="n">
        <v>49541.25</v>
      </c>
      <c r="G4405" s="14">
        <f>E4405*F4405</f>
        <v/>
      </c>
      <c r="H4405" s="14">
        <f>C4405*G4405</f>
        <v/>
      </c>
    </row>
    <row r="4406">
      <c r="A4406" s="12" t="inlineStr">
        <is>
          <t>RET-0341</t>
        </is>
      </c>
      <c r="B4406" s="12" t="inlineStr">
        <is>
          <t>VS19</t>
        </is>
      </c>
      <c r="C4406" s="28" t="n">
        <v>0.19</v>
      </c>
      <c r="D4406" s="12" t="inlineStr">
        <is>
          <t>PO-2021-1160</t>
        </is>
      </c>
      <c r="E4406" s="12" t="n">
        <v>1.97</v>
      </c>
      <c r="F4406" s="17" t="n">
        <v>80442.07000000001</v>
      </c>
      <c r="G4406" s="14">
        <f>E4406*F4406</f>
        <v/>
      </c>
      <c r="H4406" s="14">
        <f>C4406*G4406</f>
        <v/>
      </c>
    </row>
    <row r="4407">
      <c r="A4407" s="12" t="inlineStr">
        <is>
          <t>RET-0341</t>
        </is>
      </c>
      <c r="B4407" s="12" t="inlineStr">
        <is>
          <t>VS20</t>
        </is>
      </c>
      <c r="C4407" s="28" t="n">
        <v>0.0078</v>
      </c>
      <c r="D4407" s="12" t="inlineStr">
        <is>
          <t>PO-2021-1553</t>
        </is>
      </c>
      <c r="E4407" s="12" t="n">
        <v>1.97</v>
      </c>
      <c r="F4407" s="17" t="n">
        <v>60149.93</v>
      </c>
      <c r="G4407" s="14">
        <f>E4407*F4407</f>
        <v/>
      </c>
      <c r="H4407" s="14">
        <f>C4407*G4407</f>
        <v/>
      </c>
    </row>
    <row r="4408">
      <c r="A4408" s="12" t="inlineStr">
        <is>
          <t>RET-0341</t>
        </is>
      </c>
      <c r="B4408" s="12" t="inlineStr">
        <is>
          <t>VS21</t>
        </is>
      </c>
      <c r="C4408" s="28" t="n">
        <v>0.0078</v>
      </c>
      <c r="D4408" s="12" t="inlineStr">
        <is>
          <t>PO-2021-0920</t>
        </is>
      </c>
      <c r="E4408" s="12" t="n">
        <v>1.97</v>
      </c>
      <c r="F4408" s="17" t="n">
        <v>49611.17</v>
      </c>
      <c r="G4408" s="14">
        <f>E4408*F4408</f>
        <v/>
      </c>
      <c r="H4408" s="14">
        <f>C4408*G4408</f>
        <v/>
      </c>
    </row>
    <row r="4409">
      <c r="A4409" s="12" t="inlineStr">
        <is>
          <t>RET-0341</t>
        </is>
      </c>
      <c r="B4409" s="12" t="inlineStr">
        <is>
          <t>VS22</t>
        </is>
      </c>
      <c r="C4409" s="28" t="n">
        <v>0.0046</v>
      </c>
      <c r="D4409" s="12" t="inlineStr">
        <is>
          <t>PO-2022-2156</t>
        </is>
      </c>
      <c r="E4409" s="12" t="n">
        <v>1.97</v>
      </c>
      <c r="F4409" s="17" t="n">
        <v>79223.7</v>
      </c>
      <c r="G4409" s="14">
        <f>E4409*F4409</f>
        <v/>
      </c>
      <c r="H4409" s="14">
        <f>C4409*G4409</f>
        <v/>
      </c>
    </row>
    <row r="4410">
      <c r="A4410" s="12" t="inlineStr">
        <is>
          <t>RET-0341</t>
        </is>
      </c>
      <c r="B4410" s="12" t="inlineStr">
        <is>
          <t>VS23</t>
        </is>
      </c>
      <c r="C4410" s="28" t="n">
        <v>0.0077</v>
      </c>
      <c r="D4410" s="12" t="inlineStr">
        <is>
          <t>PO-2023-3377</t>
        </is>
      </c>
      <c r="E4410" s="12" t="n">
        <v>1.97</v>
      </c>
      <c r="F4410" s="17" t="n">
        <v>95666.77</v>
      </c>
      <c r="G4410" s="14">
        <f>E4410*F4410</f>
        <v/>
      </c>
      <c r="H4410" s="14">
        <f>C4410*G4410</f>
        <v/>
      </c>
    </row>
    <row r="4411">
      <c r="A4411" s="12" t="inlineStr">
        <is>
          <t>RET-0341</t>
        </is>
      </c>
      <c r="B4411" s="12" t="inlineStr">
        <is>
          <t>VS24</t>
        </is>
      </c>
      <c r="C4411" s="28" t="n">
        <v>0.0077</v>
      </c>
      <c r="D4411" s="12" t="inlineStr">
        <is>
          <t>PO-2022-3065</t>
        </is>
      </c>
      <c r="E4411" s="12" t="n">
        <v>1.97</v>
      </c>
      <c r="F4411" s="17" t="n">
        <v>48402.86</v>
      </c>
      <c r="G4411" s="14">
        <f>E4411*F4411</f>
        <v/>
      </c>
      <c r="H4411" s="14">
        <f>C4411*G4411</f>
        <v/>
      </c>
    </row>
    <row r="4412">
      <c r="A4412" s="12" t="inlineStr">
        <is>
          <t>RET-0341</t>
        </is>
      </c>
      <c r="B4412" s="12" t="inlineStr">
        <is>
          <t>VS25</t>
        </is>
      </c>
      <c r="C4412" s="28" t="n">
        <v>0.014</v>
      </c>
      <c r="D4412" s="12" t="inlineStr">
        <is>
          <t>PO-2022-2839</t>
        </is>
      </c>
      <c r="E4412" s="12" t="n">
        <v>1.97</v>
      </c>
      <c r="F4412" s="17" t="n">
        <v>117232.15</v>
      </c>
      <c r="G4412" s="14">
        <f>E4412*F4412</f>
        <v/>
      </c>
      <c r="H4412" s="14">
        <f>C4412*G4412</f>
        <v/>
      </c>
    </row>
    <row r="4413">
      <c r="A4413" s="12" t="inlineStr">
        <is>
          <t>RET-0341</t>
        </is>
      </c>
      <c r="B4413" s="12" t="inlineStr">
        <is>
          <t>VS26</t>
        </is>
      </c>
      <c r="C4413" s="28" t="n">
        <v>0.0078</v>
      </c>
      <c r="D4413" s="12" t="inlineStr">
        <is>
          <t>PO-2023-4719</t>
        </is>
      </c>
      <c r="E4413" s="12" t="n">
        <v>1.97</v>
      </c>
      <c r="F4413" s="17" t="n">
        <v>65024.62</v>
      </c>
      <c r="G4413" s="14">
        <f>E4413*F4413</f>
        <v/>
      </c>
      <c r="H4413" s="14">
        <f>C4413*G4413</f>
        <v/>
      </c>
    </row>
    <row r="4414">
      <c r="A4414" s="12" t="inlineStr">
        <is>
          <t>RET-0341</t>
        </is>
      </c>
      <c r="B4414" s="12" t="inlineStr">
        <is>
          <t>VS27</t>
        </is>
      </c>
      <c r="C4414" s="28" t="n">
        <v>0.0077</v>
      </c>
      <c r="D4414" s="12" t="inlineStr">
        <is>
          <t>PO-2023-4076</t>
        </is>
      </c>
      <c r="E4414" s="12" t="n">
        <v>1.97</v>
      </c>
      <c r="F4414" s="17" t="n">
        <v>100527.7</v>
      </c>
      <c r="G4414" s="14">
        <f>E4414*F4414</f>
        <v/>
      </c>
      <c r="H4414" s="14">
        <f>C4414*G4414</f>
        <v/>
      </c>
    </row>
    <row r="4415">
      <c r="A4415" s="12" t="inlineStr">
        <is>
          <t>RET-0341</t>
        </is>
      </c>
      <c r="B4415" s="12" t="inlineStr">
        <is>
          <t>VS28</t>
        </is>
      </c>
      <c r="C4415" s="28" t="n">
        <v>0.0171</v>
      </c>
      <c r="D4415" s="12" t="inlineStr">
        <is>
          <t>PO-2021-1140</t>
        </is>
      </c>
      <c r="E4415" s="12" t="n">
        <v>1.97</v>
      </c>
      <c r="F4415" s="17" t="n">
        <v>117248.65</v>
      </c>
      <c r="G4415" s="14">
        <f>E4415*F4415</f>
        <v/>
      </c>
      <c r="H4415" s="14">
        <f>C4415*G4415</f>
        <v/>
      </c>
    </row>
    <row r="4416">
      <c r="A4416" s="12" t="inlineStr">
        <is>
          <t>RET-0341</t>
        </is>
      </c>
      <c r="B4416" s="12" t="inlineStr">
        <is>
          <t>VS29</t>
        </is>
      </c>
      <c r="C4416" s="28" t="n">
        <v>0.0109</v>
      </c>
      <c r="D4416" s="12" t="inlineStr">
        <is>
          <t>PO-2021-1590</t>
        </is>
      </c>
      <c r="E4416" s="12" t="n">
        <v>1.97</v>
      </c>
      <c r="F4416" s="17" t="n">
        <v>53487.3</v>
      </c>
      <c r="G4416" s="14">
        <f>E4416*F4416</f>
        <v/>
      </c>
      <c r="H4416" s="14">
        <f>C4416*G4416</f>
        <v/>
      </c>
    </row>
    <row r="4417">
      <c r="A4417" s="12" t="inlineStr">
        <is>
          <t>RET-0341</t>
        </is>
      </c>
      <c r="B4417" s="12" t="inlineStr">
        <is>
          <t>VS30</t>
        </is>
      </c>
      <c r="C4417" s="28" t="n">
        <v>0.0047</v>
      </c>
      <c r="D4417" s="12" t="inlineStr">
        <is>
          <t>PO-2021-0911</t>
        </is>
      </c>
      <c r="E4417" s="12" t="n">
        <v>1.97</v>
      </c>
      <c r="F4417" s="17" t="n">
        <v>80650.08</v>
      </c>
      <c r="G4417" s="14">
        <f>E4417*F4417</f>
        <v/>
      </c>
      <c r="H4417" s="14">
        <f>C4417*G4417</f>
        <v/>
      </c>
    </row>
    <row r="4418">
      <c r="A4418" s="12" t="inlineStr">
        <is>
          <t>RET-0341</t>
        </is>
      </c>
      <c r="B4418" s="12" t="inlineStr">
        <is>
          <t>VS31</t>
        </is>
      </c>
      <c r="C4418" s="28" t="n">
        <v>0.017</v>
      </c>
      <c r="D4418" s="12" t="inlineStr">
        <is>
          <t>PO-2022-2426</t>
        </is>
      </c>
      <c r="E4418" s="12" t="n">
        <v>1.97</v>
      </c>
      <c r="F4418" s="17" t="n">
        <v>74047.78</v>
      </c>
      <c r="G4418" s="14">
        <f>E4418*F4418</f>
        <v/>
      </c>
      <c r="H4418" s="14">
        <f>C4418*G4418</f>
        <v/>
      </c>
    </row>
    <row r="4419">
      <c r="A4419" s="12" t="inlineStr">
        <is>
          <t>RET-0341</t>
        </is>
      </c>
      <c r="B4419" s="12" t="inlineStr">
        <is>
          <t>VS32</t>
        </is>
      </c>
      <c r="C4419" s="28" t="n">
        <v>0.0203</v>
      </c>
      <c r="D4419" s="12" t="inlineStr">
        <is>
          <t>PO-2021-1098</t>
        </is>
      </c>
      <c r="E4419" s="12" t="n">
        <v>1.97</v>
      </c>
      <c r="F4419" s="17" t="n">
        <v>115680.23</v>
      </c>
      <c r="G4419" s="14">
        <f>E4419*F4419</f>
        <v/>
      </c>
      <c r="H4419" s="14">
        <f>C4419*G4419</f>
        <v/>
      </c>
    </row>
    <row r="4420">
      <c r="A4420" s="12" t="inlineStr">
        <is>
          <t>RET-0341</t>
        </is>
      </c>
      <c r="B4420" s="12" t="inlineStr">
        <is>
          <t>VS33</t>
        </is>
      </c>
      <c r="C4420" s="28" t="n">
        <v>0.0108</v>
      </c>
      <c r="D4420" s="12" t="inlineStr">
        <is>
          <t>PO-2023-4493</t>
        </is>
      </c>
      <c r="E4420" s="12" t="n">
        <v>1.97</v>
      </c>
      <c r="F4420" s="17" t="n">
        <v>61233.8</v>
      </c>
      <c r="G4420" s="14">
        <f>E4420*F4420</f>
        <v/>
      </c>
      <c r="H4420" s="14">
        <f>C4420*G4420</f>
        <v/>
      </c>
    </row>
    <row r="4421">
      <c r="A4421" s="12" t="inlineStr">
        <is>
          <t>RET-0341</t>
        </is>
      </c>
      <c r="B4421" s="12" t="inlineStr">
        <is>
          <t>VS34</t>
        </is>
      </c>
      <c r="C4421" s="28" t="n">
        <v>0.014</v>
      </c>
      <c r="D4421" s="12" t="inlineStr">
        <is>
          <t>PO-2021-1343</t>
        </is>
      </c>
      <c r="E4421" s="12" t="n">
        <v>1.97</v>
      </c>
      <c r="F4421" s="17" t="n">
        <v>82109.39999999999</v>
      </c>
      <c r="G4421" s="14">
        <f>E4421*F4421</f>
        <v/>
      </c>
      <c r="H4421" s="14">
        <f>C4421*G4421</f>
        <v/>
      </c>
    </row>
    <row r="4422">
      <c r="A4422" s="12" t="inlineStr">
        <is>
          <t>RET-0343</t>
        </is>
      </c>
      <c r="B4422" s="12" t="inlineStr">
        <is>
          <t>VS01</t>
        </is>
      </c>
      <c r="C4422" s="28" t="n">
        <v>0.0234</v>
      </c>
      <c r="D4422" s="12" t="inlineStr">
        <is>
          <t>PO-2023-3230</t>
        </is>
      </c>
      <c r="E4422" s="12" t="n">
        <v>4.44</v>
      </c>
      <c r="F4422" s="17" t="n">
        <v>62183.64</v>
      </c>
      <c r="G4422" s="14">
        <f>E4422*F4422</f>
        <v/>
      </c>
      <c r="H4422" s="14">
        <f>C4422*G4422</f>
        <v/>
      </c>
    </row>
    <row r="4423">
      <c r="A4423" s="12" t="inlineStr">
        <is>
          <t>RET-0343</t>
        </is>
      </c>
      <c r="B4423" s="12" t="inlineStr">
        <is>
          <t>VS02</t>
        </is>
      </c>
      <c r="C4423" s="28" t="n">
        <v>0.0106</v>
      </c>
      <c r="D4423" s="12" t="inlineStr">
        <is>
          <t>PO-2021-1001</t>
        </is>
      </c>
      <c r="E4423" s="12" t="n">
        <v>4.44</v>
      </c>
      <c r="F4423" s="17" t="n">
        <v>50314.46</v>
      </c>
      <c r="G4423" s="14">
        <f>E4423*F4423</f>
        <v/>
      </c>
      <c r="H4423" s="14">
        <f>C4423*G4423</f>
        <v/>
      </c>
    </row>
    <row r="4424">
      <c r="A4424" s="12" t="inlineStr">
        <is>
          <t>RET-0343</t>
        </is>
      </c>
      <c r="B4424" s="12" t="inlineStr">
        <is>
          <t>VS03</t>
        </is>
      </c>
      <c r="C4424" s="28" t="n">
        <v>0.1413</v>
      </c>
      <c r="D4424" s="12" t="inlineStr">
        <is>
          <t>PO-2021-0460</t>
        </is>
      </c>
      <c r="E4424" s="12" t="n">
        <v>4.44</v>
      </c>
      <c r="F4424" s="17" t="n">
        <v>118577.67</v>
      </c>
      <c r="G4424" s="14">
        <f>E4424*F4424</f>
        <v/>
      </c>
      <c r="H4424" s="14">
        <f>C4424*G4424</f>
        <v/>
      </c>
    </row>
    <row r="4425">
      <c r="A4425" s="12" t="inlineStr">
        <is>
          <t>RET-0343</t>
        </is>
      </c>
      <c r="B4425" s="12" t="inlineStr">
        <is>
          <t>VS04</t>
        </is>
      </c>
      <c r="C4425" s="28" t="n">
        <v>0.0147</v>
      </c>
      <c r="D4425" s="12" t="inlineStr">
        <is>
          <t>PO-2021-0282</t>
        </is>
      </c>
      <c r="E4425" s="12" t="n">
        <v>4.44</v>
      </c>
      <c r="F4425" s="17" t="n">
        <v>92176.89</v>
      </c>
      <c r="G4425" s="14">
        <f>E4425*F4425</f>
        <v/>
      </c>
      <c r="H4425" s="14">
        <f>C4425*G4425</f>
        <v/>
      </c>
    </row>
    <row r="4426">
      <c r="A4426" s="12" t="inlineStr">
        <is>
          <t>RET-0343</t>
        </is>
      </c>
      <c r="B4426" s="12" t="inlineStr">
        <is>
          <t>VS05</t>
        </is>
      </c>
      <c r="C4426" s="28" t="n">
        <v>0.019</v>
      </c>
      <c r="D4426" s="12" t="inlineStr">
        <is>
          <t>PO-2023-3705</t>
        </is>
      </c>
      <c r="E4426" s="12" t="n">
        <v>4.44</v>
      </c>
      <c r="F4426" s="17" t="n">
        <v>89099.86</v>
      </c>
      <c r="G4426" s="14">
        <f>E4426*F4426</f>
        <v/>
      </c>
      <c r="H4426" s="14">
        <f>C4426*G4426</f>
        <v/>
      </c>
    </row>
    <row r="4427">
      <c r="A4427" s="12" t="inlineStr">
        <is>
          <t>RET-0343</t>
        </is>
      </c>
      <c r="B4427" s="12" t="inlineStr">
        <is>
          <t>VS06</t>
        </is>
      </c>
      <c r="C4427" s="28" t="n">
        <v>0.0192</v>
      </c>
      <c r="D4427" s="12" t="inlineStr">
        <is>
          <t>PO-2023-4693</t>
        </is>
      </c>
      <c r="E4427" s="12" t="n">
        <v>4.44</v>
      </c>
      <c r="F4427" s="17" t="n">
        <v>70845.97</v>
      </c>
      <c r="G4427" s="14">
        <f>E4427*F4427</f>
        <v/>
      </c>
      <c r="H4427" s="14">
        <f>C4427*G4427</f>
        <v/>
      </c>
    </row>
    <row r="4428">
      <c r="A4428" s="12" t="inlineStr">
        <is>
          <t>RET-0343</t>
        </is>
      </c>
      <c r="B4428" s="12" t="inlineStr">
        <is>
          <t>VS07</t>
        </is>
      </c>
      <c r="C4428" s="28" t="n">
        <v>0.0064</v>
      </c>
      <c r="D4428" s="12" t="inlineStr">
        <is>
          <t>PO-2021-0793</t>
        </is>
      </c>
      <c r="E4428" s="12" t="n">
        <v>4.44</v>
      </c>
      <c r="F4428" s="17" t="n">
        <v>47386.29</v>
      </c>
      <c r="G4428" s="14">
        <f>E4428*F4428</f>
        <v/>
      </c>
      <c r="H4428" s="14">
        <f>C4428*G4428</f>
        <v/>
      </c>
    </row>
    <row r="4429">
      <c r="A4429" s="12" t="inlineStr">
        <is>
          <t>RET-0343</t>
        </is>
      </c>
      <c r="B4429" s="12" t="inlineStr">
        <is>
          <t>VS08</t>
        </is>
      </c>
      <c r="C4429" s="28" t="n">
        <v>0.0193</v>
      </c>
      <c r="D4429" s="12" t="inlineStr">
        <is>
          <t>PO-2023-4533</t>
        </is>
      </c>
      <c r="E4429" s="12" t="n">
        <v>4.44</v>
      </c>
      <c r="F4429" s="17" t="n">
        <v>97995.92999999999</v>
      </c>
      <c r="G4429" s="14">
        <f>E4429*F4429</f>
        <v/>
      </c>
      <c r="H4429" s="14">
        <f>C4429*G4429</f>
        <v/>
      </c>
    </row>
    <row r="4430">
      <c r="A4430" s="12" t="inlineStr">
        <is>
          <t>RET-0343</t>
        </is>
      </c>
      <c r="B4430" s="12" t="inlineStr">
        <is>
          <t>VS09</t>
        </is>
      </c>
      <c r="C4430" s="28" t="n">
        <v>0.0148</v>
      </c>
      <c r="D4430" s="12" t="inlineStr">
        <is>
          <t>PO-2021-0819</t>
        </is>
      </c>
      <c r="E4430" s="12" t="n">
        <v>4.44</v>
      </c>
      <c r="F4430" s="17" t="n">
        <v>81589.58</v>
      </c>
      <c r="G4430" s="14">
        <f>E4430*F4430</f>
        <v/>
      </c>
      <c r="H4430" s="14">
        <f>C4430*G4430</f>
        <v/>
      </c>
    </row>
    <row r="4431">
      <c r="A4431" s="12" t="inlineStr">
        <is>
          <t>RET-0343</t>
        </is>
      </c>
      <c r="B4431" s="12" t="inlineStr">
        <is>
          <t>VS10</t>
        </is>
      </c>
      <c r="C4431" s="28" t="n">
        <v>0.0233</v>
      </c>
      <c r="D4431" s="12" t="inlineStr">
        <is>
          <t>PO-2021-1193</t>
        </is>
      </c>
      <c r="E4431" s="12" t="n">
        <v>4.44</v>
      </c>
      <c r="F4431" s="17" t="n">
        <v>93541.89999999999</v>
      </c>
      <c r="G4431" s="14">
        <f>E4431*F4431</f>
        <v/>
      </c>
      <c r="H4431" s="14">
        <f>C4431*G4431</f>
        <v/>
      </c>
    </row>
    <row r="4432">
      <c r="A4432" s="12" t="inlineStr">
        <is>
          <t>RET-0343</t>
        </is>
      </c>
      <c r="B4432" s="12" t="inlineStr">
        <is>
          <t>VS11</t>
        </is>
      </c>
      <c r="C4432" s="28" t="n">
        <v>0.0273</v>
      </c>
      <c r="D4432" s="12" t="inlineStr">
        <is>
          <t>PO-2021-0407</t>
        </is>
      </c>
      <c r="E4432" s="12" t="n">
        <v>4.44</v>
      </c>
      <c r="F4432" s="17" t="n">
        <v>59032.39</v>
      </c>
      <c r="G4432" s="14">
        <f>E4432*F4432</f>
        <v/>
      </c>
      <c r="H4432" s="14">
        <f>C4432*G4432</f>
        <v/>
      </c>
    </row>
    <row r="4433">
      <c r="A4433" s="12" t="inlineStr">
        <is>
          <t>RET-0343</t>
        </is>
      </c>
      <c r="B4433" s="12" t="inlineStr">
        <is>
          <t>VS12</t>
        </is>
      </c>
      <c r="C4433" s="28" t="n">
        <v>0.1964</v>
      </c>
      <c r="D4433" s="12" t="inlineStr">
        <is>
          <t>PO-2022-2048</t>
        </is>
      </c>
      <c r="E4433" s="12" t="n">
        <v>4.44</v>
      </c>
      <c r="F4433" s="17" t="n">
        <v>118668.08</v>
      </c>
      <c r="G4433" s="14">
        <f>E4433*F4433</f>
        <v/>
      </c>
      <c r="H4433" s="14">
        <f>C4433*G4433</f>
        <v/>
      </c>
    </row>
    <row r="4434">
      <c r="A4434" s="12" t="inlineStr">
        <is>
          <t>RET-0343</t>
        </is>
      </c>
      <c r="B4434" s="12" t="inlineStr">
        <is>
          <t>VS13</t>
        </is>
      </c>
      <c r="C4434" s="28" t="n">
        <v>0.0188</v>
      </c>
      <c r="D4434" s="12" t="inlineStr">
        <is>
          <t>PO-2022-2440</t>
        </is>
      </c>
      <c r="E4434" s="12" t="n">
        <v>4.44</v>
      </c>
      <c r="F4434" s="17" t="n">
        <v>61059.19</v>
      </c>
      <c r="G4434" s="14">
        <f>E4434*F4434</f>
        <v/>
      </c>
      <c r="H4434" s="14">
        <f>C4434*G4434</f>
        <v/>
      </c>
    </row>
    <row r="4435">
      <c r="A4435" s="12" t="inlineStr">
        <is>
          <t>RET-0343</t>
        </is>
      </c>
      <c r="B4435" s="12" t="inlineStr">
        <is>
          <t>VS14</t>
        </is>
      </c>
      <c r="C4435" s="28" t="n">
        <v>0.019</v>
      </c>
      <c r="D4435" s="12" t="inlineStr">
        <is>
          <t>PO-2021-0339</t>
        </is>
      </c>
      <c r="E4435" s="12" t="n">
        <v>4.44</v>
      </c>
      <c r="F4435" s="17" t="n">
        <v>113027.46</v>
      </c>
      <c r="G4435" s="14">
        <f>E4435*F4435</f>
        <v/>
      </c>
      <c r="H4435" s="14">
        <f>C4435*G4435</f>
        <v/>
      </c>
    </row>
    <row r="4436">
      <c r="A4436" s="12" t="inlineStr">
        <is>
          <t>RET-0343</t>
        </is>
      </c>
      <c r="B4436" s="12" t="inlineStr">
        <is>
          <t>VS15</t>
        </is>
      </c>
      <c r="C4436" s="28" t="n">
        <v>0.0064</v>
      </c>
      <c r="D4436" s="12" t="inlineStr">
        <is>
          <t>PO-2023-3647</t>
        </is>
      </c>
      <c r="E4436" s="12" t="n">
        <v>4.44</v>
      </c>
      <c r="F4436" s="17" t="n">
        <v>49590.11</v>
      </c>
      <c r="G4436" s="14">
        <f>E4436*F4436</f>
        <v/>
      </c>
      <c r="H4436" s="14">
        <f>C4436*G4436</f>
        <v/>
      </c>
    </row>
    <row r="4437">
      <c r="A4437" s="12" t="inlineStr">
        <is>
          <t>RET-0343</t>
        </is>
      </c>
      <c r="B4437" s="12" t="inlineStr">
        <is>
          <t>VS16</t>
        </is>
      </c>
      <c r="C4437" s="28" t="n">
        <v>0.0274</v>
      </c>
      <c r="D4437" s="12" t="inlineStr">
        <is>
          <t>PO-2022-2345</t>
        </is>
      </c>
      <c r="E4437" s="12" t="n">
        <v>4.44</v>
      </c>
      <c r="F4437" s="17" t="n">
        <v>111791.78</v>
      </c>
      <c r="G4437" s="14">
        <f>E4437*F4437</f>
        <v/>
      </c>
      <c r="H4437" s="14">
        <f>C4437*G4437</f>
        <v/>
      </c>
    </row>
    <row r="4438">
      <c r="A4438" s="12" t="inlineStr">
        <is>
          <t>RET-0343</t>
        </is>
      </c>
      <c r="B4438" s="12" t="inlineStr">
        <is>
          <t>VS17</t>
        </is>
      </c>
      <c r="C4438" s="28" t="n">
        <v>0.0273</v>
      </c>
      <c r="D4438" s="12" t="inlineStr">
        <is>
          <t>PO-2022-1889</t>
        </is>
      </c>
      <c r="E4438" s="12" t="n">
        <v>4.44</v>
      </c>
      <c r="F4438" s="17" t="n">
        <v>106040.16</v>
      </c>
      <c r="G4438" s="14">
        <f>E4438*F4438</f>
        <v/>
      </c>
      <c r="H4438" s="14">
        <f>C4438*G4438</f>
        <v/>
      </c>
    </row>
    <row r="4439">
      <c r="A4439" s="12" t="inlineStr">
        <is>
          <t>RET-0343</t>
        </is>
      </c>
      <c r="B4439" s="12" t="inlineStr">
        <is>
          <t>VS18</t>
        </is>
      </c>
      <c r="C4439" s="28" t="n">
        <v>0.019</v>
      </c>
      <c r="D4439" s="12" t="inlineStr">
        <is>
          <t>PO-2022-2622</t>
        </is>
      </c>
      <c r="E4439" s="12" t="n">
        <v>4.44</v>
      </c>
      <c r="F4439" s="17" t="n">
        <v>65222.96</v>
      </c>
      <c r="G4439" s="14">
        <f>E4439*F4439</f>
        <v/>
      </c>
      <c r="H4439" s="14">
        <f>C4439*G4439</f>
        <v/>
      </c>
    </row>
    <row r="4440">
      <c r="A4440" s="12" t="inlineStr">
        <is>
          <t>RET-0343</t>
        </is>
      </c>
      <c r="B4440" s="12" t="inlineStr">
        <is>
          <t>VS19</t>
        </is>
      </c>
      <c r="C4440" s="28" t="n">
        <v>0.1482</v>
      </c>
      <c r="D4440" s="12" t="inlineStr">
        <is>
          <t>PO-2021-0488</t>
        </is>
      </c>
      <c r="E4440" s="12" t="n">
        <v>4.44</v>
      </c>
      <c r="F4440" s="17" t="n">
        <v>89753.72</v>
      </c>
      <c r="G4440" s="14">
        <f>E4440*F4440</f>
        <v/>
      </c>
      <c r="H4440" s="14">
        <f>C4440*G4440</f>
        <v/>
      </c>
    </row>
    <row r="4441">
      <c r="A4441" s="12" t="inlineStr">
        <is>
          <t>RET-0343</t>
        </is>
      </c>
      <c r="B4441" s="12" t="inlineStr">
        <is>
          <t>VS20</t>
        </is>
      </c>
      <c r="C4441" s="28" t="n">
        <v>0.0106</v>
      </c>
      <c r="D4441" s="12" t="inlineStr">
        <is>
          <t>PO-2023-3606</t>
        </is>
      </c>
      <c r="E4441" s="12" t="n">
        <v>4.44</v>
      </c>
      <c r="F4441" s="17" t="n">
        <v>63052.64</v>
      </c>
      <c r="G4441" s="14">
        <f>E4441*F4441</f>
        <v/>
      </c>
      <c r="H4441" s="14">
        <f>C4441*G4441</f>
        <v/>
      </c>
    </row>
    <row r="4442">
      <c r="A4442" s="12" t="inlineStr">
        <is>
          <t>RET-0343</t>
        </is>
      </c>
      <c r="B4442" s="12" t="inlineStr">
        <is>
          <t>VS21</t>
        </is>
      </c>
      <c r="C4442" s="28" t="n">
        <v>0.0106</v>
      </c>
      <c r="D4442" s="12" t="inlineStr">
        <is>
          <t>PO-2023-3638</t>
        </is>
      </c>
      <c r="E4442" s="12" t="n">
        <v>4.44</v>
      </c>
      <c r="F4442" s="17" t="n">
        <v>70272</v>
      </c>
      <c r="G4442" s="14">
        <f>E4442*F4442</f>
        <v/>
      </c>
      <c r="H4442" s="14">
        <f>C4442*G4442</f>
        <v/>
      </c>
    </row>
    <row r="4443">
      <c r="A4443" s="12" t="inlineStr">
        <is>
          <t>RET-0343</t>
        </is>
      </c>
      <c r="B4443" s="12" t="inlineStr">
        <is>
          <t>VS22</t>
        </is>
      </c>
      <c r="C4443" s="28" t="n">
        <v>0.0063</v>
      </c>
      <c r="D4443" s="12" t="inlineStr">
        <is>
          <t>PO-2023-4130</t>
        </is>
      </c>
      <c r="E4443" s="12" t="n">
        <v>4.44</v>
      </c>
      <c r="F4443" s="17" t="n">
        <v>93071.52</v>
      </c>
      <c r="G4443" s="14">
        <f>E4443*F4443</f>
        <v/>
      </c>
      <c r="H4443" s="14">
        <f>C4443*G4443</f>
        <v/>
      </c>
    </row>
    <row r="4444">
      <c r="A4444" s="12" t="inlineStr">
        <is>
          <t>RET-0343</t>
        </is>
      </c>
      <c r="B4444" s="12" t="inlineStr">
        <is>
          <t>VS23</t>
        </is>
      </c>
      <c r="C4444" s="28" t="n">
        <v>0.0104</v>
      </c>
      <c r="D4444" s="12" t="inlineStr">
        <is>
          <t>PO-2022-1893</t>
        </is>
      </c>
      <c r="E4444" s="12" t="n">
        <v>4.44</v>
      </c>
      <c r="F4444" s="17" t="n">
        <v>116575.14</v>
      </c>
      <c r="G4444" s="14">
        <f>E4444*F4444</f>
        <v/>
      </c>
      <c r="H4444" s="14">
        <f>C4444*G4444</f>
        <v/>
      </c>
    </row>
    <row r="4445">
      <c r="A4445" s="12" t="inlineStr">
        <is>
          <t>RET-0343</t>
        </is>
      </c>
      <c r="B4445" s="12" t="inlineStr">
        <is>
          <t>VS24</t>
        </is>
      </c>
      <c r="C4445" s="28" t="n">
        <v>0.0106</v>
      </c>
      <c r="D4445" s="12" t="inlineStr">
        <is>
          <t>PO-2021-1141</t>
        </is>
      </c>
      <c r="E4445" s="12" t="n">
        <v>4.44</v>
      </c>
      <c r="F4445" s="17" t="n">
        <v>106602.4</v>
      </c>
      <c r="G4445" s="14">
        <f>E4445*F4445</f>
        <v/>
      </c>
      <c r="H4445" s="14">
        <f>C4445*G4445</f>
        <v/>
      </c>
    </row>
    <row r="4446">
      <c r="A4446" s="12" t="inlineStr">
        <is>
          <t>RET-0343</t>
        </is>
      </c>
      <c r="B4446" s="12" t="inlineStr">
        <is>
          <t>VS25</t>
        </is>
      </c>
      <c r="C4446" s="28" t="n">
        <v>0.0191</v>
      </c>
      <c r="D4446" s="12" t="inlineStr">
        <is>
          <t>PO-2022-2296</t>
        </is>
      </c>
      <c r="E4446" s="12" t="n">
        <v>4.44</v>
      </c>
      <c r="F4446" s="17" t="n">
        <v>57784.35</v>
      </c>
      <c r="G4446" s="14">
        <f>E4446*F4446</f>
        <v/>
      </c>
      <c r="H4446" s="14">
        <f>C4446*G4446</f>
        <v/>
      </c>
    </row>
    <row r="4447">
      <c r="A4447" s="12" t="inlineStr">
        <is>
          <t>RET-0343</t>
        </is>
      </c>
      <c r="B4447" s="12" t="inlineStr">
        <is>
          <t>VS26</t>
        </is>
      </c>
      <c r="C4447" s="28" t="n">
        <v>0.0107</v>
      </c>
      <c r="D4447" s="12" t="inlineStr">
        <is>
          <t>PO-2022-2542</t>
        </is>
      </c>
      <c r="E4447" s="12" t="n">
        <v>4.44</v>
      </c>
      <c r="F4447" s="17" t="n">
        <v>89502.75999999999</v>
      </c>
      <c r="G4447" s="14">
        <f>E4447*F4447</f>
        <v/>
      </c>
      <c r="H4447" s="14">
        <f>C4447*G4447</f>
        <v/>
      </c>
    </row>
    <row r="4448">
      <c r="A4448" s="12" t="inlineStr">
        <is>
          <t>RET-0343</t>
        </is>
      </c>
      <c r="B4448" s="12" t="inlineStr">
        <is>
          <t>VS27</t>
        </is>
      </c>
      <c r="C4448" s="28" t="n">
        <v>0.0104</v>
      </c>
      <c r="D4448" s="12" t="inlineStr">
        <is>
          <t>PO-2023-4076</t>
        </is>
      </c>
      <c r="E4448" s="12" t="n">
        <v>4.44</v>
      </c>
      <c r="F4448" s="17" t="n">
        <v>100527.7</v>
      </c>
      <c r="G4448" s="14">
        <f>E4448*F4448</f>
        <v/>
      </c>
      <c r="H4448" s="14">
        <f>C4448*G4448</f>
        <v/>
      </c>
    </row>
    <row r="4449">
      <c r="A4449" s="12" t="inlineStr">
        <is>
          <t>RET-0343</t>
        </is>
      </c>
      <c r="B4449" s="12" t="inlineStr">
        <is>
          <t>VS28</t>
        </is>
      </c>
      <c r="C4449" s="28" t="n">
        <v>0.0233</v>
      </c>
      <c r="D4449" s="12" t="inlineStr">
        <is>
          <t>PO-2023-4169</t>
        </is>
      </c>
      <c r="E4449" s="12" t="n">
        <v>4.44</v>
      </c>
      <c r="F4449" s="17" t="n">
        <v>72637.67999999999</v>
      </c>
      <c r="G4449" s="14">
        <f>E4449*F4449</f>
        <v/>
      </c>
      <c r="H4449" s="14">
        <f>C4449*G4449</f>
        <v/>
      </c>
    </row>
    <row r="4450">
      <c r="A4450" s="12" t="inlineStr">
        <is>
          <t>RET-0343</t>
        </is>
      </c>
      <c r="B4450" s="12" t="inlineStr">
        <is>
          <t>VS29</t>
        </is>
      </c>
      <c r="C4450" s="28" t="n">
        <v>0.0148</v>
      </c>
      <c r="D4450" s="12" t="inlineStr">
        <is>
          <t>PO-2023-3329</t>
        </is>
      </c>
      <c r="E4450" s="12" t="n">
        <v>4.44</v>
      </c>
      <c r="F4450" s="17" t="n">
        <v>97649.31</v>
      </c>
      <c r="G4450" s="14">
        <f>E4450*F4450</f>
        <v/>
      </c>
      <c r="H4450" s="14">
        <f>C4450*G4450</f>
        <v/>
      </c>
    </row>
    <row r="4451">
      <c r="A4451" s="12" t="inlineStr">
        <is>
          <t>RET-0343</t>
        </is>
      </c>
      <c r="B4451" s="12" t="inlineStr">
        <is>
          <t>VS30</t>
        </is>
      </c>
      <c r="C4451" s="28" t="n">
        <v>0.0064</v>
      </c>
      <c r="D4451" s="12" t="inlineStr">
        <is>
          <t>PO-2021-0228</t>
        </is>
      </c>
      <c r="E4451" s="12" t="n">
        <v>4.44</v>
      </c>
      <c r="F4451" s="17" t="n">
        <v>105862.33</v>
      </c>
      <c r="G4451" s="14">
        <f>E4451*F4451</f>
        <v/>
      </c>
      <c r="H4451" s="14">
        <f>C4451*G4451</f>
        <v/>
      </c>
    </row>
    <row r="4452">
      <c r="A4452" s="12" t="inlineStr">
        <is>
          <t>RET-0343</t>
        </is>
      </c>
      <c r="B4452" s="12" t="inlineStr">
        <is>
          <t>VS31</t>
        </is>
      </c>
      <c r="C4452" s="28" t="n">
        <v>0.0232</v>
      </c>
      <c r="D4452" s="12" t="inlineStr">
        <is>
          <t>PO-2022-2426</t>
        </is>
      </c>
      <c r="E4452" s="12" t="n">
        <v>4.44</v>
      </c>
      <c r="F4452" s="17" t="n">
        <v>74047.78</v>
      </c>
      <c r="G4452" s="14">
        <f>E4452*F4452</f>
        <v/>
      </c>
      <c r="H4452" s="14">
        <f>C4452*G4452</f>
        <v/>
      </c>
    </row>
    <row r="4453">
      <c r="A4453" s="12" t="inlineStr">
        <is>
          <t>RET-0343</t>
        </is>
      </c>
      <c r="B4453" s="12" t="inlineStr">
        <is>
          <t>VS32</t>
        </is>
      </c>
      <c r="C4453" s="28" t="n">
        <v>0.0276</v>
      </c>
      <c r="D4453" s="12" t="inlineStr">
        <is>
          <t>PO-2022-2535</t>
        </is>
      </c>
      <c r="E4453" s="12" t="n">
        <v>4.44</v>
      </c>
      <c r="F4453" s="17" t="n">
        <v>74725.85000000001</v>
      </c>
      <c r="G4453" s="14">
        <f>E4453*F4453</f>
        <v/>
      </c>
      <c r="H4453" s="14">
        <f>C4453*G4453</f>
        <v/>
      </c>
    </row>
    <row r="4454">
      <c r="A4454" s="12" t="inlineStr">
        <is>
          <t>RET-0343</t>
        </is>
      </c>
      <c r="B4454" s="12" t="inlineStr">
        <is>
          <t>VS33</t>
        </is>
      </c>
      <c r="C4454" s="28" t="n">
        <v>0.0147</v>
      </c>
      <c r="D4454" s="12" t="inlineStr">
        <is>
          <t>PO-2021-1340</t>
        </is>
      </c>
      <c r="E4454" s="12" t="n">
        <v>4.44</v>
      </c>
      <c r="F4454" s="17" t="n">
        <v>51105.58</v>
      </c>
      <c r="G4454" s="14">
        <f>E4454*F4454</f>
        <v/>
      </c>
      <c r="H4454" s="14">
        <f>C4454*G4454</f>
        <v/>
      </c>
    </row>
    <row r="4455">
      <c r="A4455" s="12" t="inlineStr">
        <is>
          <t>RET-0343</t>
        </is>
      </c>
      <c r="B4455" s="12" t="inlineStr">
        <is>
          <t>VS34</t>
        </is>
      </c>
      <c r="C4455" s="28" t="n">
        <v>0.0191</v>
      </c>
      <c r="D4455" s="12" t="inlineStr">
        <is>
          <t>PO-2022-2338</t>
        </is>
      </c>
      <c r="E4455" s="12" t="n">
        <v>4.44</v>
      </c>
      <c r="F4455" s="17" t="n">
        <v>76225.91</v>
      </c>
      <c r="G4455" s="14">
        <f>E4455*F4455</f>
        <v/>
      </c>
      <c r="H4455" s="14">
        <f>C4455*G4455</f>
        <v/>
      </c>
    </row>
    <row r="4456">
      <c r="A4456" s="12" t="inlineStr">
        <is>
          <t>RET-0344</t>
        </is>
      </c>
      <c r="B4456" s="12" t="inlineStr">
        <is>
          <t>VS01</t>
        </is>
      </c>
      <c r="C4456" s="28" t="n">
        <v>0.0277</v>
      </c>
      <c r="D4456" s="12" t="inlineStr">
        <is>
          <t>PO-2021-0925</t>
        </is>
      </c>
      <c r="E4456" s="12" t="n">
        <v>0.89</v>
      </c>
      <c r="F4456" s="17" t="n">
        <v>71943.35000000001</v>
      </c>
      <c r="G4456" s="14">
        <f>E4456*F4456</f>
        <v/>
      </c>
      <c r="H4456" s="14">
        <f>C4456*G4456</f>
        <v/>
      </c>
    </row>
    <row r="4457">
      <c r="A4457" s="12" t="inlineStr">
        <is>
          <t>RET-0344</t>
        </is>
      </c>
      <c r="B4457" s="12" t="inlineStr">
        <is>
          <t>VS02</t>
        </is>
      </c>
      <c r="C4457" s="28" t="n">
        <v>0.0126</v>
      </c>
      <c r="D4457" s="12" t="inlineStr">
        <is>
          <t>PO-2022-2120</t>
        </is>
      </c>
      <c r="E4457" s="12" t="n">
        <v>0.89</v>
      </c>
      <c r="F4457" s="17" t="n">
        <v>108352.37</v>
      </c>
      <c r="G4457" s="14">
        <f>E4457*F4457</f>
        <v/>
      </c>
      <c r="H4457" s="14">
        <f>C4457*G4457</f>
        <v/>
      </c>
    </row>
    <row r="4458">
      <c r="A4458" s="12" t="inlineStr">
        <is>
          <t>RET-0344</t>
        </is>
      </c>
      <c r="B4458" s="12" t="inlineStr">
        <is>
          <t>VS03</t>
        </is>
      </c>
      <c r="C4458" s="28" t="n">
        <v>0.1134</v>
      </c>
      <c r="D4458" s="12" t="inlineStr">
        <is>
          <t>PO-2021-0696</t>
        </is>
      </c>
      <c r="E4458" s="12" t="n">
        <v>0.89</v>
      </c>
      <c r="F4458" s="17" t="n">
        <v>55966.28</v>
      </c>
      <c r="G4458" s="14">
        <f>E4458*F4458</f>
        <v/>
      </c>
      <c r="H4458" s="14">
        <f>C4458*G4458</f>
        <v/>
      </c>
    </row>
    <row r="4459">
      <c r="A4459" s="12" t="inlineStr">
        <is>
          <t>RET-0344</t>
        </is>
      </c>
      <c r="B4459" s="12" t="inlineStr">
        <is>
          <t>VS04</t>
        </is>
      </c>
      <c r="C4459" s="28" t="n">
        <v>0.0174</v>
      </c>
      <c r="D4459" s="12" t="inlineStr">
        <is>
          <t>PO-2021-0314</t>
        </is>
      </c>
      <c r="E4459" s="12" t="n">
        <v>0.89</v>
      </c>
      <c r="F4459" s="17" t="n">
        <v>60161.76</v>
      </c>
      <c r="G4459" s="14">
        <f>E4459*F4459</f>
        <v/>
      </c>
      <c r="H4459" s="14">
        <f>C4459*G4459</f>
        <v/>
      </c>
    </row>
    <row r="4460">
      <c r="A4460" s="12" t="inlineStr">
        <is>
          <t>RET-0344</t>
        </is>
      </c>
      <c r="B4460" s="12" t="inlineStr">
        <is>
          <t>VS05</t>
        </is>
      </c>
      <c r="C4460" s="28" t="n">
        <v>0.0226</v>
      </c>
      <c r="D4460" s="12" t="inlineStr">
        <is>
          <t>PO-2022-3118</t>
        </is>
      </c>
      <c r="E4460" s="12" t="n">
        <v>0.89</v>
      </c>
      <c r="F4460" s="17" t="n">
        <v>77942.42</v>
      </c>
      <c r="G4460" s="14">
        <f>E4460*F4460</f>
        <v/>
      </c>
      <c r="H4460" s="14">
        <f>C4460*G4460</f>
        <v/>
      </c>
    </row>
    <row r="4461">
      <c r="A4461" s="12" t="inlineStr">
        <is>
          <t>RET-0344</t>
        </is>
      </c>
      <c r="B4461" s="12" t="inlineStr">
        <is>
          <t>VS06</t>
        </is>
      </c>
      <c r="C4461" s="28" t="n">
        <v>0.0228</v>
      </c>
      <c r="D4461" s="12" t="inlineStr">
        <is>
          <t>PO-2022-2112</t>
        </is>
      </c>
      <c r="E4461" s="12" t="n">
        <v>0.89</v>
      </c>
      <c r="F4461" s="17" t="n">
        <v>84882.17999999999</v>
      </c>
      <c r="G4461" s="14">
        <f>E4461*F4461</f>
        <v/>
      </c>
      <c r="H4461" s="14">
        <f>C4461*G4461</f>
        <v/>
      </c>
    </row>
    <row r="4462">
      <c r="A4462" s="12" t="inlineStr">
        <is>
          <t>RET-0344</t>
        </is>
      </c>
      <c r="B4462" s="12" t="inlineStr">
        <is>
          <t>VS07</t>
        </is>
      </c>
      <c r="C4462" s="28" t="n">
        <v>0.0076</v>
      </c>
      <c r="D4462" s="12" t="inlineStr">
        <is>
          <t>PO-2021-1165</t>
        </is>
      </c>
      <c r="E4462" s="12" t="n">
        <v>0.89</v>
      </c>
      <c r="F4462" s="17" t="n">
        <v>69964.69</v>
      </c>
      <c r="G4462" s="14">
        <f>E4462*F4462</f>
        <v/>
      </c>
      <c r="H4462" s="14">
        <f>C4462*G4462</f>
        <v/>
      </c>
    </row>
    <row r="4463">
      <c r="A4463" s="12" t="inlineStr">
        <is>
          <t>RET-0344</t>
        </is>
      </c>
      <c r="B4463" s="12" t="inlineStr">
        <is>
          <t>VS08</t>
        </is>
      </c>
      <c r="C4463" s="28" t="n">
        <v>0.0229</v>
      </c>
      <c r="D4463" s="12" t="inlineStr">
        <is>
          <t>PO-2021-1500</t>
        </is>
      </c>
      <c r="E4463" s="12" t="n">
        <v>0.89</v>
      </c>
      <c r="F4463" s="17" t="n">
        <v>69701.81</v>
      </c>
      <c r="G4463" s="14">
        <f>E4463*F4463</f>
        <v/>
      </c>
      <c r="H4463" s="14">
        <f>C4463*G4463</f>
        <v/>
      </c>
    </row>
    <row r="4464">
      <c r="A4464" s="12" t="inlineStr">
        <is>
          <t>RET-0344</t>
        </is>
      </c>
      <c r="B4464" s="12" t="inlineStr">
        <is>
          <t>VS09</t>
        </is>
      </c>
      <c r="C4464" s="28" t="n">
        <v>0.0176</v>
      </c>
      <c r="D4464" s="12" t="inlineStr">
        <is>
          <t>PO-2021-1455</t>
        </is>
      </c>
      <c r="E4464" s="12" t="n">
        <v>0.89</v>
      </c>
      <c r="F4464" s="17" t="n">
        <v>81896.91</v>
      </c>
      <c r="G4464" s="14">
        <f>E4464*F4464</f>
        <v/>
      </c>
      <c r="H4464" s="14">
        <f>C4464*G4464</f>
        <v/>
      </c>
    </row>
    <row r="4465">
      <c r="A4465" s="12" t="inlineStr">
        <is>
          <t>RET-0344</t>
        </is>
      </c>
      <c r="B4465" s="12" t="inlineStr">
        <is>
          <t>VS10</t>
        </is>
      </c>
      <c r="C4465" s="28" t="n">
        <v>0.0277</v>
      </c>
      <c r="D4465" s="12" t="inlineStr">
        <is>
          <t>PO-2021-1173</t>
        </is>
      </c>
      <c r="E4465" s="12" t="n">
        <v>0.89</v>
      </c>
      <c r="F4465" s="17" t="n">
        <v>94306.46000000001</v>
      </c>
      <c r="G4465" s="14">
        <f>E4465*F4465</f>
        <v/>
      </c>
      <c r="H4465" s="14">
        <f>C4465*G4465</f>
        <v/>
      </c>
    </row>
    <row r="4466">
      <c r="A4466" s="12" t="inlineStr">
        <is>
          <t>RET-0344</t>
        </is>
      </c>
      <c r="B4466" s="12" t="inlineStr">
        <is>
          <t>VS11</t>
        </is>
      </c>
      <c r="C4466" s="28" t="n">
        <v>0.0324</v>
      </c>
      <c r="D4466" s="12" t="inlineStr">
        <is>
          <t>PO-2023-3713</t>
        </is>
      </c>
      <c r="E4466" s="12" t="n">
        <v>0.89</v>
      </c>
      <c r="F4466" s="17" t="n">
        <v>68655.38</v>
      </c>
      <c r="G4466" s="14">
        <f>E4466*F4466</f>
        <v/>
      </c>
      <c r="H4466" s="14">
        <f>C4466*G4466</f>
        <v/>
      </c>
    </row>
    <row r="4467">
      <c r="A4467" s="12" t="inlineStr">
        <is>
          <t>RET-0344</t>
        </is>
      </c>
      <c r="B4467" s="12" t="inlineStr">
        <is>
          <t>VS12</t>
        </is>
      </c>
      <c r="C4467" s="28" t="n">
        <v>0.1576</v>
      </c>
      <c r="D4467" s="12" t="inlineStr">
        <is>
          <t>PO-2023-3823</t>
        </is>
      </c>
      <c r="E4467" s="12" t="n">
        <v>0.89</v>
      </c>
      <c r="F4467" s="17" t="n">
        <v>91250.34</v>
      </c>
      <c r="G4467" s="14">
        <f>E4467*F4467</f>
        <v/>
      </c>
      <c r="H4467" s="14">
        <f>C4467*G4467</f>
        <v/>
      </c>
    </row>
    <row r="4468">
      <c r="A4468" s="12" t="inlineStr">
        <is>
          <t>RET-0344</t>
        </is>
      </c>
      <c r="B4468" s="12" t="inlineStr">
        <is>
          <t>VS13</t>
        </is>
      </c>
      <c r="C4468" s="28" t="n">
        <v>0.0223</v>
      </c>
      <c r="D4468" s="12" t="inlineStr">
        <is>
          <t>PO-2023-3482</t>
        </is>
      </c>
      <c r="E4468" s="12" t="n">
        <v>0.89</v>
      </c>
      <c r="F4468" s="17" t="n">
        <v>55152.67</v>
      </c>
      <c r="G4468" s="14">
        <f>E4468*F4468</f>
        <v/>
      </c>
      <c r="H4468" s="14">
        <f>C4468*G4468</f>
        <v/>
      </c>
    </row>
    <row r="4469">
      <c r="A4469" s="12" t="inlineStr">
        <is>
          <t>RET-0344</t>
        </is>
      </c>
      <c r="B4469" s="12" t="inlineStr">
        <is>
          <t>VS14</t>
        </is>
      </c>
      <c r="C4469" s="28" t="n">
        <v>0.0226</v>
      </c>
      <c r="D4469" s="12" t="inlineStr">
        <is>
          <t>PO-2023-4163</t>
        </is>
      </c>
      <c r="E4469" s="12" t="n">
        <v>0.89</v>
      </c>
      <c r="F4469" s="17" t="n">
        <v>50987.81</v>
      </c>
      <c r="G4469" s="14">
        <f>E4469*F4469</f>
        <v/>
      </c>
      <c r="H4469" s="14">
        <f>C4469*G4469</f>
        <v/>
      </c>
    </row>
    <row r="4470">
      <c r="A4470" s="12" t="inlineStr">
        <is>
          <t>RET-0344</t>
        </is>
      </c>
      <c r="B4470" s="12" t="inlineStr">
        <is>
          <t>VS15</t>
        </is>
      </c>
      <c r="C4470" s="28" t="n">
        <v>0.0075</v>
      </c>
      <c r="D4470" s="12" t="inlineStr">
        <is>
          <t>PO-2023-3341</t>
        </is>
      </c>
      <c r="E4470" s="12" t="n">
        <v>0.89</v>
      </c>
      <c r="F4470" s="17" t="n">
        <v>48033.56</v>
      </c>
      <c r="G4470" s="14">
        <f>E4470*F4470</f>
        <v/>
      </c>
      <c r="H4470" s="14">
        <f>C4470*G4470</f>
        <v/>
      </c>
    </row>
    <row r="4471">
      <c r="A4471" s="12" t="inlineStr">
        <is>
          <t>RET-0344</t>
        </is>
      </c>
      <c r="B4471" s="12" t="inlineStr">
        <is>
          <t>VS16</t>
        </is>
      </c>
      <c r="C4471" s="28" t="n">
        <v>0.0326</v>
      </c>
      <c r="D4471" s="12" t="inlineStr">
        <is>
          <t>PO-2023-4418</t>
        </is>
      </c>
      <c r="E4471" s="12" t="n">
        <v>0.89</v>
      </c>
      <c r="F4471" s="17" t="n">
        <v>49757.67</v>
      </c>
      <c r="G4471" s="14">
        <f>E4471*F4471</f>
        <v/>
      </c>
      <c r="H4471" s="14">
        <f>C4471*G4471</f>
        <v/>
      </c>
    </row>
    <row r="4472">
      <c r="A4472" s="12" t="inlineStr">
        <is>
          <t>RET-0344</t>
        </is>
      </c>
      <c r="B4472" s="12" t="inlineStr">
        <is>
          <t>VS17</t>
        </is>
      </c>
      <c r="C4472" s="28" t="n">
        <v>0.0324</v>
      </c>
      <c r="D4472" s="12" t="inlineStr">
        <is>
          <t>PO-2022-2639</t>
        </is>
      </c>
      <c r="E4472" s="12" t="n">
        <v>0.89</v>
      </c>
      <c r="F4472" s="17" t="n">
        <v>115370.38</v>
      </c>
      <c r="G4472" s="14">
        <f>E4472*F4472</f>
        <v/>
      </c>
      <c r="H4472" s="14">
        <f>C4472*G4472</f>
        <v/>
      </c>
    </row>
    <row r="4473">
      <c r="A4473" s="12" t="inlineStr">
        <is>
          <t>RET-0344</t>
        </is>
      </c>
      <c r="B4473" s="12" t="inlineStr">
        <is>
          <t>VS18</t>
        </is>
      </c>
      <c r="C4473" s="28" t="n">
        <v>0.0226</v>
      </c>
      <c r="D4473" s="12" t="inlineStr">
        <is>
          <t>PO-2022-2568</t>
        </is>
      </c>
      <c r="E4473" s="12" t="n">
        <v>0.89</v>
      </c>
      <c r="F4473" s="17" t="n">
        <v>85990.94</v>
      </c>
      <c r="G4473" s="14">
        <f>E4473*F4473</f>
        <v/>
      </c>
      <c r="H4473" s="14">
        <f>C4473*G4473</f>
        <v/>
      </c>
    </row>
    <row r="4474">
      <c r="A4474" s="12" t="inlineStr">
        <is>
          <t>RET-0344</t>
        </is>
      </c>
      <c r="B4474" s="12" t="inlineStr">
        <is>
          <t>VS19</t>
        </is>
      </c>
      <c r="C4474" s="28" t="n">
        <v>0.1189</v>
      </c>
      <c r="D4474" s="12" t="inlineStr">
        <is>
          <t>PO-2022-2268</t>
        </is>
      </c>
      <c r="E4474" s="12" t="n">
        <v>0.89</v>
      </c>
      <c r="F4474" s="17" t="n">
        <v>89475.62</v>
      </c>
      <c r="G4474" s="14">
        <f>E4474*F4474</f>
        <v/>
      </c>
      <c r="H4474" s="14">
        <f>C4474*G4474</f>
        <v/>
      </c>
    </row>
    <row r="4475">
      <c r="A4475" s="12" t="inlineStr">
        <is>
          <t>RET-0344</t>
        </is>
      </c>
      <c r="B4475" s="12" t="inlineStr">
        <is>
          <t>VS20</t>
        </is>
      </c>
      <c r="C4475" s="28" t="n">
        <v>0.0126</v>
      </c>
      <c r="D4475" s="12" t="inlineStr">
        <is>
          <t>PO-2022-2598</t>
        </is>
      </c>
      <c r="E4475" s="12" t="n">
        <v>0.89</v>
      </c>
      <c r="F4475" s="17" t="n">
        <v>52532.68</v>
      </c>
      <c r="G4475" s="14">
        <f>E4475*F4475</f>
        <v/>
      </c>
      <c r="H4475" s="14">
        <f>C4475*G4475</f>
        <v/>
      </c>
    </row>
    <row r="4476">
      <c r="A4476" s="12" t="inlineStr">
        <is>
          <t>RET-0344</t>
        </is>
      </c>
      <c r="B4476" s="12" t="inlineStr">
        <is>
          <t>VS21</t>
        </is>
      </c>
      <c r="C4476" s="28" t="n">
        <v>0.0126</v>
      </c>
      <c r="D4476" s="12" t="inlineStr">
        <is>
          <t>PO-2022-2144</t>
        </is>
      </c>
      <c r="E4476" s="12" t="n">
        <v>0.89</v>
      </c>
      <c r="F4476" s="17" t="n">
        <v>91020.72</v>
      </c>
      <c r="G4476" s="14">
        <f>E4476*F4476</f>
        <v/>
      </c>
      <c r="H4476" s="14">
        <f>C4476*G4476</f>
        <v/>
      </c>
    </row>
    <row r="4477">
      <c r="A4477" s="12" t="inlineStr">
        <is>
          <t>RET-0344</t>
        </is>
      </c>
      <c r="B4477" s="12" t="inlineStr">
        <is>
          <t>VS22</t>
        </is>
      </c>
      <c r="C4477" s="28" t="n">
        <v>0.0075</v>
      </c>
      <c r="D4477" s="12" t="inlineStr">
        <is>
          <t>PO-2023-3471</t>
        </is>
      </c>
      <c r="E4477" s="12" t="n">
        <v>0.89</v>
      </c>
      <c r="F4477" s="17" t="n">
        <v>110536.13</v>
      </c>
      <c r="G4477" s="14">
        <f>E4477*F4477</f>
        <v/>
      </c>
      <c r="H4477" s="14">
        <f>C4477*G4477</f>
        <v/>
      </c>
    </row>
    <row r="4478">
      <c r="A4478" s="12" t="inlineStr">
        <is>
          <t>RET-0344</t>
        </is>
      </c>
      <c r="B4478" s="12" t="inlineStr">
        <is>
          <t>VS23</t>
        </is>
      </c>
      <c r="C4478" s="28" t="n">
        <v>0.0124</v>
      </c>
      <c r="D4478" s="12" t="inlineStr">
        <is>
          <t>PO-2021-0526</t>
        </is>
      </c>
      <c r="E4478" s="12" t="n">
        <v>0.89</v>
      </c>
      <c r="F4478" s="17" t="n">
        <v>101734.27</v>
      </c>
      <c r="G4478" s="14">
        <f>E4478*F4478</f>
        <v/>
      </c>
      <c r="H4478" s="14">
        <f>C4478*G4478</f>
        <v/>
      </c>
    </row>
    <row r="4479">
      <c r="A4479" s="12" t="inlineStr">
        <is>
          <t>RET-0344</t>
        </is>
      </c>
      <c r="B4479" s="12" t="inlineStr">
        <is>
          <t>VS24</t>
        </is>
      </c>
      <c r="C4479" s="28" t="n">
        <v>0.0125</v>
      </c>
      <c r="D4479" s="12" t="inlineStr">
        <is>
          <t>PO-2021-0147</t>
        </is>
      </c>
      <c r="E4479" s="12" t="n">
        <v>0.89</v>
      </c>
      <c r="F4479" s="17" t="n">
        <v>93362.00999999999</v>
      </c>
      <c r="G4479" s="14">
        <f>E4479*F4479</f>
        <v/>
      </c>
      <c r="H4479" s="14">
        <f>C4479*G4479</f>
        <v/>
      </c>
    </row>
    <row r="4480">
      <c r="A4480" s="12" t="inlineStr">
        <is>
          <t>RET-0344</t>
        </is>
      </c>
      <c r="B4480" s="12" t="inlineStr">
        <is>
          <t>VS25</t>
        </is>
      </c>
      <c r="C4480" s="28" t="n">
        <v>0.0227</v>
      </c>
      <c r="D4480" s="12" t="inlineStr">
        <is>
          <t>PO-2022-3143</t>
        </is>
      </c>
      <c r="E4480" s="12" t="n">
        <v>0.89</v>
      </c>
      <c r="F4480" s="17" t="n">
        <v>98162.23</v>
      </c>
      <c r="G4480" s="14">
        <f>E4480*F4480</f>
        <v/>
      </c>
      <c r="H4480" s="14">
        <f>C4480*G4480</f>
        <v/>
      </c>
    </row>
    <row r="4481">
      <c r="A4481" s="12" t="inlineStr">
        <is>
          <t>RET-0344</t>
        </is>
      </c>
      <c r="B4481" s="12" t="inlineStr">
        <is>
          <t>VS26</t>
        </is>
      </c>
      <c r="C4481" s="28" t="n">
        <v>0.0126</v>
      </c>
      <c r="D4481" s="12" t="inlineStr">
        <is>
          <t>PO-2023-4656</t>
        </is>
      </c>
      <c r="E4481" s="12" t="n">
        <v>0.89</v>
      </c>
      <c r="F4481" s="17" t="n">
        <v>106817.01</v>
      </c>
      <c r="G4481" s="14">
        <f>E4481*F4481</f>
        <v/>
      </c>
      <c r="H4481" s="14">
        <f>C4481*G4481</f>
        <v/>
      </c>
    </row>
    <row r="4482">
      <c r="A4482" s="12" t="inlineStr">
        <is>
          <t>RET-0344</t>
        </is>
      </c>
      <c r="B4482" s="12" t="inlineStr">
        <is>
          <t>VS27</t>
        </is>
      </c>
      <c r="C4482" s="28" t="n">
        <v>0.0124</v>
      </c>
      <c r="D4482" s="12" t="inlineStr">
        <is>
          <t>PO-2023-4147</t>
        </is>
      </c>
      <c r="E4482" s="12" t="n">
        <v>0.89</v>
      </c>
      <c r="F4482" s="17" t="n">
        <v>69647.74000000001</v>
      </c>
      <c r="G4482" s="14">
        <f>E4482*F4482</f>
        <v/>
      </c>
      <c r="H4482" s="14">
        <f>C4482*G4482</f>
        <v/>
      </c>
    </row>
    <row r="4483">
      <c r="A4483" s="12" t="inlineStr">
        <is>
          <t>RET-0344</t>
        </is>
      </c>
      <c r="B4483" s="12" t="inlineStr">
        <is>
          <t>VS28</t>
        </is>
      </c>
      <c r="C4483" s="28" t="n">
        <v>0.0277</v>
      </c>
      <c r="D4483" s="12" t="inlineStr">
        <is>
          <t>PO-2021-1202</t>
        </is>
      </c>
      <c r="E4483" s="12" t="n">
        <v>0.89</v>
      </c>
      <c r="F4483" s="17" t="n">
        <v>74620.03999999999</v>
      </c>
      <c r="G4483" s="14">
        <f>E4483*F4483</f>
        <v/>
      </c>
      <c r="H4483" s="14">
        <f>C4483*G4483</f>
        <v/>
      </c>
    </row>
    <row r="4484">
      <c r="A4484" s="12" t="inlineStr">
        <is>
          <t>RET-0344</t>
        </is>
      </c>
      <c r="B4484" s="12" t="inlineStr">
        <is>
          <t>VS29</t>
        </is>
      </c>
      <c r="C4484" s="28" t="n">
        <v>0.0176</v>
      </c>
      <c r="D4484" s="12" t="inlineStr">
        <is>
          <t>PO-2021-0000</t>
        </is>
      </c>
      <c r="E4484" s="12" t="n">
        <v>0.89</v>
      </c>
      <c r="F4484" s="17" t="n">
        <v>93910.87</v>
      </c>
      <c r="G4484" s="14">
        <f>E4484*F4484</f>
        <v/>
      </c>
      <c r="H4484" s="14">
        <f>C4484*G4484</f>
        <v/>
      </c>
    </row>
    <row r="4485">
      <c r="A4485" s="12" t="inlineStr">
        <is>
          <t>RET-0344</t>
        </is>
      </c>
      <c r="B4485" s="12" t="inlineStr">
        <is>
          <t>VS30</t>
        </is>
      </c>
      <c r="C4485" s="28" t="n">
        <v>0.0076</v>
      </c>
      <c r="D4485" s="12" t="inlineStr">
        <is>
          <t>PO-2023-4016</t>
        </is>
      </c>
      <c r="E4485" s="12" t="n">
        <v>0.89</v>
      </c>
      <c r="F4485" s="17" t="n">
        <v>67117.58</v>
      </c>
      <c r="G4485" s="14">
        <f>E4485*F4485</f>
        <v/>
      </c>
      <c r="H4485" s="14">
        <f>C4485*G4485</f>
        <v/>
      </c>
    </row>
    <row r="4486">
      <c r="A4486" s="12" t="inlineStr">
        <is>
          <t>RET-0344</t>
        </is>
      </c>
      <c r="B4486" s="12" t="inlineStr">
        <is>
          <t>VS31</t>
        </is>
      </c>
      <c r="C4486" s="28" t="n">
        <v>0.0276</v>
      </c>
      <c r="D4486" s="12" t="inlineStr">
        <is>
          <t>PO-2021-0753</t>
        </is>
      </c>
      <c r="E4486" s="12" t="n">
        <v>0.89</v>
      </c>
      <c r="F4486" s="17" t="n">
        <v>102820.03</v>
      </c>
      <c r="G4486" s="14">
        <f>E4486*F4486</f>
        <v/>
      </c>
      <c r="H4486" s="14">
        <f>C4486*G4486</f>
        <v/>
      </c>
    </row>
    <row r="4487">
      <c r="A4487" s="12" t="inlineStr">
        <is>
          <t>RET-0344</t>
        </is>
      </c>
      <c r="B4487" s="12" t="inlineStr">
        <is>
          <t>VS32</t>
        </is>
      </c>
      <c r="C4487" s="28" t="n">
        <v>0.0328</v>
      </c>
      <c r="D4487" s="12" t="inlineStr">
        <is>
          <t>PO-2023-4634</t>
        </is>
      </c>
      <c r="E4487" s="12" t="n">
        <v>0.89</v>
      </c>
      <c r="F4487" s="17" t="n">
        <v>70779.53999999999</v>
      </c>
      <c r="G4487" s="14">
        <f>E4487*F4487</f>
        <v/>
      </c>
      <c r="H4487" s="14">
        <f>C4487*G4487</f>
        <v/>
      </c>
    </row>
    <row r="4488">
      <c r="A4488" s="12" t="inlineStr">
        <is>
          <t>RET-0344</t>
        </is>
      </c>
      <c r="B4488" s="12" t="inlineStr">
        <is>
          <t>VS33</t>
        </is>
      </c>
      <c r="C4488" s="28" t="n">
        <v>0.0175</v>
      </c>
      <c r="D4488" s="12" t="inlineStr">
        <is>
          <t>PO-2023-3756</t>
        </is>
      </c>
      <c r="E4488" s="12" t="n">
        <v>0.89</v>
      </c>
      <c r="F4488" s="17" t="n">
        <v>119850.41</v>
      </c>
      <c r="G4488" s="14">
        <f>E4488*F4488</f>
        <v/>
      </c>
      <c r="H4488" s="14">
        <f>C4488*G4488</f>
        <v/>
      </c>
    </row>
    <row r="4489">
      <c r="A4489" s="12" t="inlineStr">
        <is>
          <t>RET-0344</t>
        </is>
      </c>
      <c r="B4489" s="12" t="inlineStr">
        <is>
          <t>VS34</t>
        </is>
      </c>
      <c r="C4489" s="28" t="n">
        <v>0.0226</v>
      </c>
      <c r="D4489" s="12" t="inlineStr">
        <is>
          <t>PO-2023-3928</t>
        </is>
      </c>
      <c r="E4489" s="12" t="n">
        <v>0.89</v>
      </c>
      <c r="F4489" s="17" t="n">
        <v>117331.79</v>
      </c>
      <c r="G4489" s="14">
        <f>E4489*F4489</f>
        <v/>
      </c>
      <c r="H4489" s="14">
        <f>C4489*G4489</f>
        <v/>
      </c>
    </row>
    <row r="4490">
      <c r="A4490" s="12" t="inlineStr">
        <is>
          <t>RET-0345</t>
        </is>
      </c>
      <c r="B4490" s="12" t="inlineStr">
        <is>
          <t>VS01</t>
        </is>
      </c>
      <c r="C4490" s="28" t="n">
        <v>0.0231</v>
      </c>
      <c r="D4490" s="12" t="inlineStr">
        <is>
          <t>PO-2023-3230</t>
        </is>
      </c>
      <c r="E4490" s="12" t="n">
        <v>3.31</v>
      </c>
      <c r="F4490" s="17" t="n">
        <v>62183.64</v>
      </c>
      <c r="G4490" s="14">
        <f>E4490*F4490</f>
        <v/>
      </c>
      <c r="H4490" s="14">
        <f>C4490*G4490</f>
        <v/>
      </c>
    </row>
    <row r="4491">
      <c r="A4491" s="12" t="inlineStr">
        <is>
          <t>RET-0345</t>
        </is>
      </c>
      <c r="B4491" s="12" t="inlineStr">
        <is>
          <t>VS02</t>
        </is>
      </c>
      <c r="C4491" s="28" t="n">
        <v>0.0105</v>
      </c>
      <c r="D4491" s="12" t="inlineStr">
        <is>
          <t>PO-2021-1001</t>
        </is>
      </c>
      <c r="E4491" s="12" t="n">
        <v>3.31</v>
      </c>
      <c r="F4491" s="17" t="n">
        <v>50314.46</v>
      </c>
      <c r="G4491" s="14">
        <f>E4491*F4491</f>
        <v/>
      </c>
      <c r="H4491" s="14">
        <f>C4491*G4491</f>
        <v/>
      </c>
    </row>
    <row r="4492">
      <c r="A4492" s="12" t="inlineStr">
        <is>
          <t>RET-0345</t>
        </is>
      </c>
      <c r="B4492" s="12" t="inlineStr">
        <is>
          <t>VS03</t>
        </is>
      </c>
      <c r="C4492" s="28" t="n">
        <v>0.1431</v>
      </c>
      <c r="D4492" s="12" t="inlineStr">
        <is>
          <t>PO-2023-4791</t>
        </is>
      </c>
      <c r="E4492" s="12" t="n">
        <v>3.31</v>
      </c>
      <c r="F4492" s="17" t="n">
        <v>64698.51</v>
      </c>
      <c r="G4492" s="14">
        <f>E4492*F4492</f>
        <v/>
      </c>
      <c r="H4492" s="14">
        <f>C4492*G4492</f>
        <v/>
      </c>
    </row>
    <row r="4493">
      <c r="A4493" s="12" t="inlineStr">
        <is>
          <t>RET-0345</t>
        </is>
      </c>
      <c r="B4493" s="12" t="inlineStr">
        <is>
          <t>VS04</t>
        </is>
      </c>
      <c r="C4493" s="28" t="n">
        <v>0.0145</v>
      </c>
      <c r="D4493" s="12" t="inlineStr">
        <is>
          <t>PO-2021-0282</t>
        </is>
      </c>
      <c r="E4493" s="12" t="n">
        <v>3.31</v>
      </c>
      <c r="F4493" s="17" t="n">
        <v>92176.89</v>
      </c>
      <c r="G4493" s="14">
        <f>E4493*F4493</f>
        <v/>
      </c>
      <c r="H4493" s="14">
        <f>C4493*G4493</f>
        <v/>
      </c>
    </row>
    <row r="4494">
      <c r="A4494" s="12" t="inlineStr">
        <is>
          <t>RET-0345</t>
        </is>
      </c>
      <c r="B4494" s="12" t="inlineStr">
        <is>
          <t>VS05</t>
        </is>
      </c>
      <c r="C4494" s="28" t="n">
        <v>0.0188</v>
      </c>
      <c r="D4494" s="12" t="inlineStr">
        <is>
          <t>PO-2021-0457</t>
        </is>
      </c>
      <c r="E4494" s="12" t="n">
        <v>3.31</v>
      </c>
      <c r="F4494" s="17" t="n">
        <v>72009.28999999999</v>
      </c>
      <c r="G4494" s="14">
        <f>E4494*F4494</f>
        <v/>
      </c>
      <c r="H4494" s="14">
        <f>C4494*G4494</f>
        <v/>
      </c>
    </row>
    <row r="4495">
      <c r="A4495" s="12" t="inlineStr">
        <is>
          <t>RET-0345</t>
        </is>
      </c>
      <c r="B4495" s="12" t="inlineStr">
        <is>
          <t>VS06</t>
        </is>
      </c>
      <c r="C4495" s="28" t="n">
        <v>0.019</v>
      </c>
      <c r="D4495" s="12" t="inlineStr">
        <is>
          <t>PO-2023-4693</t>
        </is>
      </c>
      <c r="E4495" s="12" t="n">
        <v>3.31</v>
      </c>
      <c r="F4495" s="17" t="n">
        <v>70845.97</v>
      </c>
      <c r="G4495" s="14">
        <f>E4495*F4495</f>
        <v/>
      </c>
      <c r="H4495" s="14">
        <f>C4495*G4495</f>
        <v/>
      </c>
    </row>
    <row r="4496">
      <c r="A4496" s="12" t="inlineStr">
        <is>
          <t>RET-0345</t>
        </is>
      </c>
      <c r="B4496" s="12" t="inlineStr">
        <is>
          <t>VS07</t>
        </is>
      </c>
      <c r="C4496" s="28" t="n">
        <v>0.0063</v>
      </c>
      <c r="D4496" s="12" t="inlineStr">
        <is>
          <t>PO-2023-4263</t>
        </is>
      </c>
      <c r="E4496" s="12" t="n">
        <v>3.31</v>
      </c>
      <c r="F4496" s="17" t="n">
        <v>60127.91</v>
      </c>
      <c r="G4496" s="14">
        <f>E4496*F4496</f>
        <v/>
      </c>
      <c r="H4496" s="14">
        <f>C4496*G4496</f>
        <v/>
      </c>
    </row>
    <row r="4497">
      <c r="A4497" s="12" t="inlineStr">
        <is>
          <t>RET-0345</t>
        </is>
      </c>
      <c r="B4497" s="12" t="inlineStr">
        <is>
          <t>VS08</t>
        </is>
      </c>
      <c r="C4497" s="28" t="n">
        <v>0.0191</v>
      </c>
      <c r="D4497" s="12" t="inlineStr">
        <is>
          <t>PO-2023-4533</t>
        </is>
      </c>
      <c r="E4497" s="12" t="n">
        <v>3.31</v>
      </c>
      <c r="F4497" s="17" t="n">
        <v>97995.92999999999</v>
      </c>
      <c r="G4497" s="14">
        <f>E4497*F4497</f>
        <v/>
      </c>
      <c r="H4497" s="14">
        <f>C4497*G4497</f>
        <v/>
      </c>
    </row>
    <row r="4498">
      <c r="A4498" s="12" t="inlineStr">
        <is>
          <t>RET-0345</t>
        </is>
      </c>
      <c r="B4498" s="12" t="inlineStr">
        <is>
          <t>VS09</t>
        </is>
      </c>
      <c r="C4498" s="28" t="n">
        <v>0.0147</v>
      </c>
      <c r="D4498" s="12" t="inlineStr">
        <is>
          <t>PO-2021-0819</t>
        </is>
      </c>
      <c r="E4498" s="12" t="n">
        <v>3.31</v>
      </c>
      <c r="F4498" s="17" t="n">
        <v>81589.58</v>
      </c>
      <c r="G4498" s="14">
        <f>E4498*F4498</f>
        <v/>
      </c>
      <c r="H4498" s="14">
        <f>C4498*G4498</f>
        <v/>
      </c>
    </row>
    <row r="4499">
      <c r="A4499" s="12" t="inlineStr">
        <is>
          <t>RET-0345</t>
        </is>
      </c>
      <c r="B4499" s="12" t="inlineStr">
        <is>
          <t>VS10</t>
        </is>
      </c>
      <c r="C4499" s="28" t="n">
        <v>0.0231</v>
      </c>
      <c r="D4499" s="12" t="inlineStr">
        <is>
          <t>PO-2021-1193</t>
        </is>
      </c>
      <c r="E4499" s="12" t="n">
        <v>3.31</v>
      </c>
      <c r="F4499" s="17" t="n">
        <v>93541.89999999999</v>
      </c>
      <c r="G4499" s="14">
        <f>E4499*F4499</f>
        <v/>
      </c>
      <c r="H4499" s="14">
        <f>C4499*G4499</f>
        <v/>
      </c>
    </row>
    <row r="4500">
      <c r="A4500" s="12" t="inlineStr">
        <is>
          <t>RET-0345</t>
        </is>
      </c>
      <c r="B4500" s="12" t="inlineStr">
        <is>
          <t>VS11</t>
        </is>
      </c>
      <c r="C4500" s="28" t="n">
        <v>0.027</v>
      </c>
      <c r="D4500" s="12" t="inlineStr">
        <is>
          <t>PO-2021-0407</t>
        </is>
      </c>
      <c r="E4500" s="12" t="n">
        <v>3.31</v>
      </c>
      <c r="F4500" s="17" t="n">
        <v>59032.39</v>
      </c>
      <c r="G4500" s="14">
        <f>E4500*F4500</f>
        <v/>
      </c>
      <c r="H4500" s="14">
        <f>C4500*G4500</f>
        <v/>
      </c>
    </row>
    <row r="4501">
      <c r="A4501" s="12" t="inlineStr">
        <is>
          <t>RET-0345</t>
        </is>
      </c>
      <c r="B4501" s="12" t="inlineStr">
        <is>
          <t>VS12</t>
        </is>
      </c>
      <c r="C4501" s="28" t="n">
        <v>0.199</v>
      </c>
      <c r="D4501" s="12" t="inlineStr">
        <is>
          <t>PO-2022-2048</t>
        </is>
      </c>
      <c r="E4501" s="12" t="n">
        <v>3.31</v>
      </c>
      <c r="F4501" s="17" t="n">
        <v>118668.08</v>
      </c>
      <c r="G4501" s="14">
        <f>E4501*F4501</f>
        <v/>
      </c>
      <c r="H4501" s="14">
        <f>C4501*G4501</f>
        <v/>
      </c>
    </row>
    <row r="4502">
      <c r="A4502" s="12" t="inlineStr">
        <is>
          <t>RET-0345</t>
        </is>
      </c>
      <c r="B4502" s="12" t="inlineStr">
        <is>
          <t>VS13</t>
        </is>
      </c>
      <c r="C4502" s="28" t="n">
        <v>0.0186</v>
      </c>
      <c r="D4502" s="12" t="inlineStr">
        <is>
          <t>PO-2022-2309</t>
        </is>
      </c>
      <c r="E4502" s="12" t="n">
        <v>3.31</v>
      </c>
      <c r="F4502" s="17" t="n">
        <v>51247.96</v>
      </c>
      <c r="G4502" s="14">
        <f>E4502*F4502</f>
        <v/>
      </c>
      <c r="H4502" s="14">
        <f>C4502*G4502</f>
        <v/>
      </c>
    </row>
    <row r="4503">
      <c r="A4503" s="12" t="inlineStr">
        <is>
          <t>RET-0345</t>
        </is>
      </c>
      <c r="B4503" s="12" t="inlineStr">
        <is>
          <t>VS14</t>
        </is>
      </c>
      <c r="C4503" s="28" t="n">
        <v>0.0188</v>
      </c>
      <c r="D4503" s="12" t="inlineStr">
        <is>
          <t>PO-2021-0339</t>
        </is>
      </c>
      <c r="E4503" s="12" t="n">
        <v>3.31</v>
      </c>
      <c r="F4503" s="17" t="n">
        <v>113027.46</v>
      </c>
      <c r="G4503" s="14">
        <f>E4503*F4503</f>
        <v/>
      </c>
      <c r="H4503" s="14">
        <f>C4503*G4503</f>
        <v/>
      </c>
    </row>
    <row r="4504">
      <c r="A4504" s="12" t="inlineStr">
        <is>
          <t>RET-0345</t>
        </is>
      </c>
      <c r="B4504" s="12" t="inlineStr">
        <is>
          <t>VS15</t>
        </is>
      </c>
      <c r="C4504" s="28" t="n">
        <v>0.0063</v>
      </c>
      <c r="D4504" s="12" t="inlineStr">
        <is>
          <t>PO-2023-3647</t>
        </is>
      </c>
      <c r="E4504" s="12" t="n">
        <v>3.31</v>
      </c>
      <c r="F4504" s="17" t="n">
        <v>49590.11</v>
      </c>
      <c r="G4504" s="14">
        <f>E4504*F4504</f>
        <v/>
      </c>
      <c r="H4504" s="14">
        <f>C4504*G4504</f>
        <v/>
      </c>
    </row>
    <row r="4505">
      <c r="A4505" s="12" t="inlineStr">
        <is>
          <t>RET-0345</t>
        </is>
      </c>
      <c r="B4505" s="12" t="inlineStr">
        <is>
          <t>VS16</t>
        </is>
      </c>
      <c r="C4505" s="28" t="n">
        <v>0.0271</v>
      </c>
      <c r="D4505" s="12" t="inlineStr">
        <is>
          <t>PO-2022-2345</t>
        </is>
      </c>
      <c r="E4505" s="12" t="n">
        <v>3.31</v>
      </c>
      <c r="F4505" s="17" t="n">
        <v>111791.78</v>
      </c>
      <c r="G4505" s="14">
        <f>E4505*F4505</f>
        <v/>
      </c>
      <c r="H4505" s="14">
        <f>C4505*G4505</f>
        <v/>
      </c>
    </row>
    <row r="4506">
      <c r="A4506" s="12" t="inlineStr">
        <is>
          <t>RET-0345</t>
        </is>
      </c>
      <c r="B4506" s="12" t="inlineStr">
        <is>
          <t>VS17</t>
        </is>
      </c>
      <c r="C4506" s="28" t="n">
        <v>0.027</v>
      </c>
      <c r="D4506" s="12" t="inlineStr">
        <is>
          <t>PO-2022-1889</t>
        </is>
      </c>
      <c r="E4506" s="12" t="n">
        <v>3.31</v>
      </c>
      <c r="F4506" s="17" t="n">
        <v>106040.16</v>
      </c>
      <c r="G4506" s="14">
        <f>E4506*F4506</f>
        <v/>
      </c>
      <c r="H4506" s="14">
        <f>C4506*G4506</f>
        <v/>
      </c>
    </row>
    <row r="4507">
      <c r="A4507" s="12" t="inlineStr">
        <is>
          <t>RET-0345</t>
        </is>
      </c>
      <c r="B4507" s="12" t="inlineStr">
        <is>
          <t>VS18</t>
        </is>
      </c>
      <c r="C4507" s="28" t="n">
        <v>0.0188</v>
      </c>
      <c r="D4507" s="12" t="inlineStr">
        <is>
          <t>PO-2023-3200</t>
        </is>
      </c>
      <c r="E4507" s="12" t="n">
        <v>3.31</v>
      </c>
      <c r="F4507" s="17" t="n">
        <v>82291.50999999999</v>
      </c>
      <c r="G4507" s="14">
        <f>E4507*F4507</f>
        <v/>
      </c>
      <c r="H4507" s="14">
        <f>C4507*G4507</f>
        <v/>
      </c>
    </row>
    <row r="4508">
      <c r="A4508" s="12" t="inlineStr">
        <is>
          <t>RET-0345</t>
        </is>
      </c>
      <c r="B4508" s="12" t="inlineStr">
        <is>
          <t>VS19</t>
        </is>
      </c>
      <c r="C4508" s="28" t="n">
        <v>0.1501</v>
      </c>
      <c r="D4508" s="12" t="inlineStr">
        <is>
          <t>PO-2021-1160</t>
        </is>
      </c>
      <c r="E4508" s="12" t="n">
        <v>3.31</v>
      </c>
      <c r="F4508" s="17" t="n">
        <v>80442.07000000001</v>
      </c>
      <c r="G4508" s="14">
        <f>E4508*F4508</f>
        <v/>
      </c>
      <c r="H4508" s="14">
        <f>C4508*G4508</f>
        <v/>
      </c>
    </row>
    <row r="4509">
      <c r="A4509" s="12" t="inlineStr">
        <is>
          <t>RET-0345</t>
        </is>
      </c>
      <c r="B4509" s="12" t="inlineStr">
        <is>
          <t>VS20</t>
        </is>
      </c>
      <c r="C4509" s="28" t="n">
        <v>0.0105</v>
      </c>
      <c r="D4509" s="12" t="inlineStr">
        <is>
          <t>PO-2023-3606</t>
        </is>
      </c>
      <c r="E4509" s="12" t="n">
        <v>3.31</v>
      </c>
      <c r="F4509" s="17" t="n">
        <v>63052.64</v>
      </c>
      <c r="G4509" s="14">
        <f>E4509*F4509</f>
        <v/>
      </c>
      <c r="H4509" s="14">
        <f>C4509*G4509</f>
        <v/>
      </c>
    </row>
    <row r="4510">
      <c r="A4510" s="12" t="inlineStr">
        <is>
          <t>RET-0345</t>
        </is>
      </c>
      <c r="B4510" s="12" t="inlineStr">
        <is>
          <t>VS21</t>
        </is>
      </c>
      <c r="C4510" s="28" t="n">
        <v>0.0105</v>
      </c>
      <c r="D4510" s="12" t="inlineStr">
        <is>
          <t>PO-2023-3638</t>
        </is>
      </c>
      <c r="E4510" s="12" t="n">
        <v>3.31</v>
      </c>
      <c r="F4510" s="17" t="n">
        <v>70272</v>
      </c>
      <c r="G4510" s="14">
        <f>E4510*F4510</f>
        <v/>
      </c>
      <c r="H4510" s="14">
        <f>C4510*G4510</f>
        <v/>
      </c>
    </row>
    <row r="4511">
      <c r="A4511" s="12" t="inlineStr">
        <is>
          <t>RET-0345</t>
        </is>
      </c>
      <c r="B4511" s="12" t="inlineStr">
        <is>
          <t>VS22</t>
        </is>
      </c>
      <c r="C4511" s="28" t="n">
        <v>0.0062</v>
      </c>
      <c r="D4511" s="12" t="inlineStr">
        <is>
          <t>PO-2022-2156</t>
        </is>
      </c>
      <c r="E4511" s="12" t="n">
        <v>3.31</v>
      </c>
      <c r="F4511" s="17" t="n">
        <v>79223.7</v>
      </c>
      <c r="G4511" s="14">
        <f>E4511*F4511</f>
        <v/>
      </c>
      <c r="H4511" s="14">
        <f>C4511*G4511</f>
        <v/>
      </c>
    </row>
    <row r="4512">
      <c r="A4512" s="12" t="inlineStr">
        <is>
          <t>RET-0345</t>
        </is>
      </c>
      <c r="B4512" s="12" t="inlineStr">
        <is>
          <t>VS23</t>
        </is>
      </c>
      <c r="C4512" s="28" t="n">
        <v>0.0103</v>
      </c>
      <c r="D4512" s="12" t="inlineStr">
        <is>
          <t>PO-2022-1893</t>
        </is>
      </c>
      <c r="E4512" s="12" t="n">
        <v>3.31</v>
      </c>
      <c r="F4512" s="17" t="n">
        <v>116575.14</v>
      </c>
      <c r="G4512" s="14">
        <f>E4512*F4512</f>
        <v/>
      </c>
      <c r="H4512" s="14">
        <f>C4512*G4512</f>
        <v/>
      </c>
    </row>
    <row r="4513">
      <c r="A4513" s="12" t="inlineStr">
        <is>
          <t>RET-0345</t>
        </is>
      </c>
      <c r="B4513" s="12" t="inlineStr">
        <is>
          <t>VS24</t>
        </is>
      </c>
      <c r="C4513" s="28" t="n">
        <v>0.0104</v>
      </c>
      <c r="D4513" s="12" t="inlineStr">
        <is>
          <t>PO-2021-1141</t>
        </is>
      </c>
      <c r="E4513" s="12" t="n">
        <v>3.31</v>
      </c>
      <c r="F4513" s="17" t="n">
        <v>106602.4</v>
      </c>
      <c r="G4513" s="14">
        <f>E4513*F4513</f>
        <v/>
      </c>
      <c r="H4513" s="14">
        <f>C4513*G4513</f>
        <v/>
      </c>
    </row>
    <row r="4514">
      <c r="A4514" s="12" t="inlineStr">
        <is>
          <t>RET-0345</t>
        </is>
      </c>
      <c r="B4514" s="12" t="inlineStr">
        <is>
          <t>VS25</t>
        </is>
      </c>
      <c r="C4514" s="28" t="n">
        <v>0.0189</v>
      </c>
      <c r="D4514" s="12" t="inlineStr">
        <is>
          <t>PO-2022-2296</t>
        </is>
      </c>
      <c r="E4514" s="12" t="n">
        <v>3.31</v>
      </c>
      <c r="F4514" s="17" t="n">
        <v>57784.35</v>
      </c>
      <c r="G4514" s="14">
        <f>E4514*F4514</f>
        <v/>
      </c>
      <c r="H4514" s="14">
        <f>C4514*G4514</f>
        <v/>
      </c>
    </row>
    <row r="4515">
      <c r="A4515" s="12" t="inlineStr">
        <is>
          <t>RET-0345</t>
        </is>
      </c>
      <c r="B4515" s="12" t="inlineStr">
        <is>
          <t>VS26</t>
        </is>
      </c>
      <c r="C4515" s="28" t="n">
        <v>0.0105</v>
      </c>
      <c r="D4515" s="12" t="inlineStr">
        <is>
          <t>PO-2022-2542</t>
        </is>
      </c>
      <c r="E4515" s="12" t="n">
        <v>3.31</v>
      </c>
      <c r="F4515" s="17" t="n">
        <v>89502.75999999999</v>
      </c>
      <c r="G4515" s="14">
        <f>E4515*F4515</f>
        <v/>
      </c>
      <c r="H4515" s="14">
        <f>C4515*G4515</f>
        <v/>
      </c>
    </row>
    <row r="4516">
      <c r="A4516" s="12" t="inlineStr">
        <is>
          <t>RET-0345</t>
        </is>
      </c>
      <c r="B4516" s="12" t="inlineStr">
        <is>
          <t>VS27</t>
        </is>
      </c>
      <c r="C4516" s="28" t="n">
        <v>0.0103</v>
      </c>
      <c r="D4516" s="12" t="inlineStr">
        <is>
          <t>PO-2023-4076</t>
        </is>
      </c>
      <c r="E4516" s="12" t="n">
        <v>3.31</v>
      </c>
      <c r="F4516" s="17" t="n">
        <v>100527.7</v>
      </c>
      <c r="G4516" s="14">
        <f>E4516*F4516</f>
        <v/>
      </c>
      <c r="H4516" s="14">
        <f>C4516*G4516</f>
        <v/>
      </c>
    </row>
    <row r="4517">
      <c r="A4517" s="12" t="inlineStr">
        <is>
          <t>RET-0345</t>
        </is>
      </c>
      <c r="B4517" s="12" t="inlineStr">
        <is>
          <t>VS28</t>
        </is>
      </c>
      <c r="C4517" s="28" t="n">
        <v>0.0231</v>
      </c>
      <c r="D4517" s="12" t="inlineStr">
        <is>
          <t>PO-2023-4169</t>
        </is>
      </c>
      <c r="E4517" s="12" t="n">
        <v>3.31</v>
      </c>
      <c r="F4517" s="17" t="n">
        <v>72637.67999999999</v>
      </c>
      <c r="G4517" s="14">
        <f>E4517*F4517</f>
        <v/>
      </c>
      <c r="H4517" s="14">
        <f>C4517*G4517</f>
        <v/>
      </c>
    </row>
    <row r="4518">
      <c r="A4518" s="12" t="inlineStr">
        <is>
          <t>RET-0345</t>
        </is>
      </c>
      <c r="B4518" s="12" t="inlineStr">
        <is>
          <t>VS29</t>
        </is>
      </c>
      <c r="C4518" s="28" t="n">
        <v>0.0146</v>
      </c>
      <c r="D4518" s="12" t="inlineStr">
        <is>
          <t>PO-2023-3329</t>
        </is>
      </c>
      <c r="E4518" s="12" t="n">
        <v>3.31</v>
      </c>
      <c r="F4518" s="17" t="n">
        <v>97649.31</v>
      </c>
      <c r="G4518" s="14">
        <f>E4518*F4518</f>
        <v/>
      </c>
      <c r="H4518" s="14">
        <f>C4518*G4518</f>
        <v/>
      </c>
    </row>
    <row r="4519">
      <c r="A4519" s="12" t="inlineStr">
        <is>
          <t>RET-0345</t>
        </is>
      </c>
      <c r="B4519" s="12" t="inlineStr">
        <is>
          <t>VS30</t>
        </is>
      </c>
      <c r="C4519" s="28" t="n">
        <v>0.0063</v>
      </c>
      <c r="D4519" s="12" t="inlineStr">
        <is>
          <t>PO-2021-0228</t>
        </is>
      </c>
      <c r="E4519" s="12" t="n">
        <v>3.31</v>
      </c>
      <c r="F4519" s="17" t="n">
        <v>105862.33</v>
      </c>
      <c r="G4519" s="14">
        <f>E4519*F4519</f>
        <v/>
      </c>
      <c r="H4519" s="14">
        <f>C4519*G4519</f>
        <v/>
      </c>
    </row>
    <row r="4520">
      <c r="A4520" s="12" t="inlineStr">
        <is>
          <t>RET-0345</t>
        </is>
      </c>
      <c r="B4520" s="12" t="inlineStr">
        <is>
          <t>VS31</t>
        </is>
      </c>
      <c r="C4520" s="28" t="n">
        <v>0.0229</v>
      </c>
      <c r="D4520" s="12" t="inlineStr">
        <is>
          <t>PO-2022-2426</t>
        </is>
      </c>
      <c r="E4520" s="12" t="n">
        <v>3.31</v>
      </c>
      <c r="F4520" s="17" t="n">
        <v>74047.78</v>
      </c>
      <c r="G4520" s="14">
        <f>E4520*F4520</f>
        <v/>
      </c>
      <c r="H4520" s="14">
        <f>C4520*G4520</f>
        <v/>
      </c>
    </row>
    <row r="4521">
      <c r="A4521" s="12" t="inlineStr">
        <is>
          <t>RET-0345</t>
        </is>
      </c>
      <c r="B4521" s="12" t="inlineStr">
        <is>
          <t>VS32</t>
        </is>
      </c>
      <c r="C4521" s="28" t="n">
        <v>0.0273</v>
      </c>
      <c r="D4521" s="12" t="inlineStr">
        <is>
          <t>PO-2021-1098</t>
        </is>
      </c>
      <c r="E4521" s="12" t="n">
        <v>3.31</v>
      </c>
      <c r="F4521" s="17" t="n">
        <v>115680.23</v>
      </c>
      <c r="G4521" s="14">
        <f>E4521*F4521</f>
        <v/>
      </c>
      <c r="H4521" s="14">
        <f>C4521*G4521</f>
        <v/>
      </c>
    </row>
    <row r="4522">
      <c r="A4522" s="12" t="inlineStr">
        <is>
          <t>RET-0345</t>
        </is>
      </c>
      <c r="B4522" s="12" t="inlineStr">
        <is>
          <t>VS33</t>
        </is>
      </c>
      <c r="C4522" s="28" t="n">
        <v>0.0146</v>
      </c>
      <c r="D4522" s="12" t="inlineStr">
        <is>
          <t>PO-2021-0016</t>
        </is>
      </c>
      <c r="E4522" s="12" t="n">
        <v>3.31</v>
      </c>
      <c r="F4522" s="17" t="n">
        <v>113111.93</v>
      </c>
      <c r="G4522" s="14">
        <f>E4522*F4522</f>
        <v/>
      </c>
      <c r="H4522" s="14">
        <f>C4522*G4522</f>
        <v/>
      </c>
    </row>
    <row r="4523">
      <c r="A4523" s="12" t="inlineStr">
        <is>
          <t>RET-0345</t>
        </is>
      </c>
      <c r="B4523" s="12" t="inlineStr">
        <is>
          <t>VS34</t>
        </is>
      </c>
      <c r="C4523" s="28" t="n">
        <v>0.0188</v>
      </c>
      <c r="D4523" s="12" t="inlineStr">
        <is>
          <t>PO-2022-2338</t>
        </is>
      </c>
      <c r="E4523" s="12" t="n">
        <v>3.31</v>
      </c>
      <c r="F4523" s="17" t="n">
        <v>76225.91</v>
      </c>
      <c r="G4523" s="14">
        <f>E4523*F4523</f>
        <v/>
      </c>
      <c r="H4523" s="14">
        <f>C4523*G4523</f>
        <v/>
      </c>
    </row>
    <row r="4524">
      <c r="A4524" s="12" t="inlineStr">
        <is>
          <t>RET-0351</t>
        </is>
      </c>
      <c r="B4524" s="12" t="inlineStr">
        <is>
          <t>VS01</t>
        </is>
      </c>
      <c r="C4524" s="28" t="n">
        <v>0.0299</v>
      </c>
      <c r="D4524" s="12" t="inlineStr">
        <is>
          <t>PO-2023-3500</t>
        </is>
      </c>
      <c r="E4524" s="12" t="n">
        <v>3.1</v>
      </c>
      <c r="F4524" s="17" t="n">
        <v>49971.36</v>
      </c>
      <c r="G4524" s="14">
        <f>E4524*F4524</f>
        <v/>
      </c>
      <c r="H4524" s="14">
        <f>C4524*G4524</f>
        <v/>
      </c>
    </row>
    <row r="4525">
      <c r="A4525" s="12" t="inlineStr">
        <is>
          <t>RET-0351</t>
        </is>
      </c>
      <c r="B4525" s="12" t="inlineStr">
        <is>
          <t>VS02</t>
        </is>
      </c>
      <c r="C4525" s="28" t="n">
        <v>0.0136</v>
      </c>
      <c r="D4525" s="12" t="inlineStr">
        <is>
          <t>PO-2022-2644</t>
        </is>
      </c>
      <c r="E4525" s="12" t="n">
        <v>3.1</v>
      </c>
      <c r="F4525" s="17" t="n">
        <v>106673.55</v>
      </c>
      <c r="G4525" s="14">
        <f>E4525*F4525</f>
        <v/>
      </c>
      <c r="H4525" s="14">
        <f>C4525*G4525</f>
        <v/>
      </c>
    </row>
    <row r="4526">
      <c r="A4526" s="12" t="inlineStr">
        <is>
          <t>RET-0351</t>
        </is>
      </c>
      <c r="B4526" s="12" t="inlineStr">
        <is>
          <t>VS03</t>
        </is>
      </c>
      <c r="C4526" s="28" t="n">
        <v>0.0994</v>
      </c>
      <c r="D4526" s="12" t="inlineStr">
        <is>
          <t>PO-2023-4707</t>
        </is>
      </c>
      <c r="E4526" s="12" t="n">
        <v>0</v>
      </c>
      <c r="F4526" s="17" t="n">
        <v>62710.54</v>
      </c>
      <c r="G4526" s="14">
        <f>E4526*F4526</f>
        <v/>
      </c>
      <c r="H4526" s="14">
        <f>C4526*G4526</f>
        <v/>
      </c>
    </row>
    <row r="4527">
      <c r="A4527" s="12" t="inlineStr">
        <is>
          <t>RET-0351</t>
        </is>
      </c>
      <c r="B4527" s="12" t="inlineStr">
        <is>
          <t>VS04</t>
        </is>
      </c>
      <c r="C4527" s="28" t="n">
        <v>0.0188</v>
      </c>
      <c r="D4527" s="12" t="inlineStr">
        <is>
          <t>PO-2023-3788</t>
        </is>
      </c>
      <c r="E4527" s="12" t="n">
        <v>3.1</v>
      </c>
      <c r="F4527" s="17" t="n">
        <v>87077.58</v>
      </c>
      <c r="G4527" s="14">
        <f>E4527*F4527</f>
        <v/>
      </c>
      <c r="H4527" s="14">
        <f>C4527*G4527</f>
        <v/>
      </c>
    </row>
    <row r="4528">
      <c r="A4528" s="12" t="inlineStr">
        <is>
          <t>RET-0351</t>
        </is>
      </c>
      <c r="B4528" s="12" t="inlineStr">
        <is>
          <t>VS05</t>
        </is>
      </c>
      <c r="C4528" s="28" t="n">
        <v>0.0244</v>
      </c>
      <c r="D4528" s="12" t="inlineStr">
        <is>
          <t>PO-2021-1497</t>
        </is>
      </c>
      <c r="E4528" s="12" t="n">
        <v>3.1</v>
      </c>
      <c r="F4528" s="17" t="n">
        <v>97260.22</v>
      </c>
      <c r="G4528" s="14">
        <f>E4528*F4528</f>
        <v/>
      </c>
      <c r="H4528" s="14">
        <f>C4528*G4528</f>
        <v/>
      </c>
    </row>
    <row r="4529">
      <c r="A4529" s="12" t="inlineStr">
        <is>
          <t>RET-0351</t>
        </is>
      </c>
      <c r="B4529" s="12" t="inlineStr">
        <is>
          <t>VS06</t>
        </is>
      </c>
      <c r="C4529" s="28" t="n">
        <v>0.0246</v>
      </c>
      <c r="D4529" s="12" t="inlineStr">
        <is>
          <t>PO-2022-1754</t>
        </is>
      </c>
      <c r="E4529" s="12" t="n">
        <v>3.1</v>
      </c>
      <c r="F4529" s="17" t="n">
        <v>99978.99000000001</v>
      </c>
      <c r="G4529" s="14">
        <f>E4529*F4529</f>
        <v/>
      </c>
      <c r="H4529" s="14">
        <f>C4529*G4529</f>
        <v/>
      </c>
    </row>
    <row r="4530">
      <c r="A4530" s="12" t="inlineStr">
        <is>
          <t>RET-0351</t>
        </is>
      </c>
      <c r="B4530" s="12" t="inlineStr">
        <is>
          <t>VS07</t>
        </is>
      </c>
      <c r="C4530" s="28" t="n">
        <v>0.008200000000000001</v>
      </c>
      <c r="D4530" s="12" t="inlineStr">
        <is>
          <t>PO-2022-1916</t>
        </is>
      </c>
      <c r="E4530" s="12" t="n">
        <v>3.1</v>
      </c>
      <c r="F4530" s="17" t="n">
        <v>88215.09</v>
      </c>
      <c r="G4530" s="14">
        <f>E4530*F4530</f>
        <v/>
      </c>
      <c r="H4530" s="14">
        <f>C4530*G4530</f>
        <v/>
      </c>
    </row>
    <row r="4531">
      <c r="A4531" s="12" t="inlineStr">
        <is>
          <t>RET-0351</t>
        </is>
      </c>
      <c r="B4531" s="12" t="inlineStr">
        <is>
          <t>VS08</t>
        </is>
      </c>
      <c r="C4531" s="28" t="n">
        <v>0.0248</v>
      </c>
      <c r="D4531" s="12" t="inlineStr">
        <is>
          <t>PO-2022-2367</t>
        </is>
      </c>
      <c r="E4531" s="12" t="n">
        <v>3.1</v>
      </c>
      <c r="F4531" s="17" t="n">
        <v>49238.56</v>
      </c>
      <c r="G4531" s="14">
        <f>E4531*F4531</f>
        <v/>
      </c>
      <c r="H4531" s="14">
        <f>C4531*G4531</f>
        <v/>
      </c>
    </row>
    <row r="4532">
      <c r="A4532" s="12" t="inlineStr">
        <is>
          <t>RET-0351</t>
        </is>
      </c>
      <c r="B4532" s="12" t="inlineStr">
        <is>
          <t>VS09</t>
        </is>
      </c>
      <c r="C4532" s="28" t="n">
        <v>0.019</v>
      </c>
      <c r="D4532" s="12" t="inlineStr">
        <is>
          <t>PO-2021-0212</t>
        </is>
      </c>
      <c r="E4532" s="12" t="n">
        <v>3.1</v>
      </c>
      <c r="F4532" s="17" t="n">
        <v>81044.3</v>
      </c>
      <c r="G4532" s="14">
        <f>E4532*F4532</f>
        <v/>
      </c>
      <c r="H4532" s="14">
        <f>C4532*G4532</f>
        <v/>
      </c>
    </row>
    <row r="4533">
      <c r="A4533" s="12" t="inlineStr">
        <is>
          <t>RET-0351</t>
        </is>
      </c>
      <c r="B4533" s="12" t="inlineStr">
        <is>
          <t>VS10</t>
        </is>
      </c>
      <c r="C4533" s="28" t="n">
        <v>0.0299</v>
      </c>
      <c r="D4533" s="12" t="inlineStr">
        <is>
          <t>PO-2023-4295</t>
        </is>
      </c>
      <c r="E4533" s="12" t="n">
        <v>3.1</v>
      </c>
      <c r="F4533" s="17" t="n">
        <v>102269.83</v>
      </c>
      <c r="G4533" s="14">
        <f>E4533*F4533</f>
        <v/>
      </c>
      <c r="H4533" s="14">
        <f>C4533*G4533</f>
        <v/>
      </c>
    </row>
    <row r="4534">
      <c r="A4534" s="12" t="inlineStr">
        <is>
          <t>RET-0351</t>
        </is>
      </c>
      <c r="B4534" s="12" t="inlineStr">
        <is>
          <t>VS11</t>
        </is>
      </c>
      <c r="C4534" s="28" t="n">
        <v>0.035</v>
      </c>
      <c r="D4534" s="12" t="inlineStr">
        <is>
          <t>PO-2022-3072</t>
        </is>
      </c>
      <c r="E4534" s="12" t="n">
        <v>3.1</v>
      </c>
      <c r="F4534" s="17" t="n">
        <v>63027.79</v>
      </c>
      <c r="G4534" s="14">
        <f>E4534*F4534</f>
        <v/>
      </c>
      <c r="H4534" s="14">
        <f>C4534*G4534</f>
        <v/>
      </c>
    </row>
    <row r="4535">
      <c r="A4535" s="12" t="inlineStr">
        <is>
          <t>RET-0351</t>
        </is>
      </c>
      <c r="B4535" s="12" t="inlineStr">
        <is>
          <t>VS12</t>
        </is>
      </c>
      <c r="C4535" s="28" t="n">
        <v>0.1382</v>
      </c>
      <c r="D4535" s="12" t="inlineStr">
        <is>
          <t>PO-2023-4704</t>
        </is>
      </c>
      <c r="E4535" s="12" t="n">
        <v>3.1</v>
      </c>
      <c r="F4535" s="17" t="n">
        <v>87697.39</v>
      </c>
      <c r="G4535" s="14">
        <f>E4535*F4535</f>
        <v/>
      </c>
      <c r="H4535" s="14">
        <f>C4535*G4535</f>
        <v/>
      </c>
    </row>
    <row r="4536">
      <c r="A4536" s="12" t="inlineStr">
        <is>
          <t>RET-0351</t>
        </is>
      </c>
      <c r="B4536" s="12" t="inlineStr">
        <is>
          <t>VS13</t>
        </is>
      </c>
      <c r="C4536" s="28" t="n">
        <v>0.0241</v>
      </c>
      <c r="D4536" s="12" t="inlineStr">
        <is>
          <t>PO-2022-1794</t>
        </is>
      </c>
      <c r="E4536" s="12" t="n">
        <v>3.1</v>
      </c>
      <c r="F4536" s="17" t="n">
        <v>95913.67999999999</v>
      </c>
      <c r="G4536" s="14">
        <f>E4536*F4536</f>
        <v/>
      </c>
      <c r="H4536" s="14">
        <f>C4536*G4536</f>
        <v/>
      </c>
    </row>
    <row r="4537">
      <c r="A4537" s="12" t="inlineStr">
        <is>
          <t>RET-0351</t>
        </is>
      </c>
      <c r="B4537" s="12" t="inlineStr">
        <is>
          <t>VS14</t>
        </is>
      </c>
      <c r="C4537" s="28" t="n">
        <v>0.0243</v>
      </c>
      <c r="D4537" s="12" t="inlineStr">
        <is>
          <t>PO-2023-4441</t>
        </is>
      </c>
      <c r="E4537" s="12" t="n">
        <v>3.1</v>
      </c>
      <c r="F4537" s="17" t="n">
        <v>107083.85</v>
      </c>
      <c r="G4537" s="14">
        <f>E4537*F4537</f>
        <v/>
      </c>
      <c r="H4537" s="14">
        <f>C4537*G4537</f>
        <v/>
      </c>
    </row>
    <row r="4538">
      <c r="A4538" s="12" t="inlineStr">
        <is>
          <t>RET-0351</t>
        </is>
      </c>
      <c r="B4538" s="12" t="inlineStr">
        <is>
          <t>VS15</t>
        </is>
      </c>
      <c r="C4538" s="28" t="n">
        <v>0.0081</v>
      </c>
      <c r="D4538" s="12" t="inlineStr">
        <is>
          <t>PO-2022-1879</t>
        </is>
      </c>
      <c r="E4538" s="12" t="n">
        <v>3.1</v>
      </c>
      <c r="F4538" s="17" t="n">
        <v>60513.23</v>
      </c>
      <c r="G4538" s="14">
        <f>E4538*F4538</f>
        <v/>
      </c>
      <c r="H4538" s="14">
        <f>C4538*G4538</f>
        <v/>
      </c>
    </row>
    <row r="4539">
      <c r="A4539" s="12" t="inlineStr">
        <is>
          <t>RET-0351</t>
        </is>
      </c>
      <c r="B4539" s="12" t="inlineStr">
        <is>
          <t>VS16</t>
        </is>
      </c>
      <c r="C4539" s="28" t="n">
        <v>0.0351</v>
      </c>
      <c r="D4539" s="12" t="inlineStr">
        <is>
          <t>PO-2023-3735</t>
        </is>
      </c>
      <c r="E4539" s="12" t="n">
        <v>3.1</v>
      </c>
      <c r="F4539" s="17" t="n">
        <v>87729.87</v>
      </c>
      <c r="G4539" s="14">
        <f>E4539*F4539</f>
        <v/>
      </c>
      <c r="H4539" s="14">
        <f>C4539*G4539</f>
        <v/>
      </c>
    </row>
    <row r="4540">
      <c r="A4540" s="12" t="inlineStr">
        <is>
          <t>RET-0351</t>
        </is>
      </c>
      <c r="B4540" s="12" t="inlineStr">
        <is>
          <t>VS17</t>
        </is>
      </c>
      <c r="C4540" s="28" t="n">
        <v>0.035</v>
      </c>
      <c r="D4540" s="12" t="inlineStr">
        <is>
          <t>PO-2021-1495</t>
        </is>
      </c>
      <c r="E4540" s="12" t="n">
        <v>3.1</v>
      </c>
      <c r="F4540" s="17" t="n">
        <v>112774.5</v>
      </c>
      <c r="G4540" s="14">
        <f>E4540*F4540</f>
        <v/>
      </c>
      <c r="H4540" s="14">
        <f>C4540*G4540</f>
        <v/>
      </c>
    </row>
    <row r="4541">
      <c r="A4541" s="12" t="inlineStr">
        <is>
          <t>RET-0351</t>
        </is>
      </c>
      <c r="B4541" s="12" t="inlineStr">
        <is>
          <t>VS18</t>
        </is>
      </c>
      <c r="C4541" s="28" t="n">
        <v>0.0244</v>
      </c>
      <c r="D4541" s="12" t="inlineStr">
        <is>
          <t>PO-2022-3019</t>
        </is>
      </c>
      <c r="E4541" s="12" t="n">
        <v>3.1</v>
      </c>
      <c r="F4541" s="17" t="n">
        <v>95251.95</v>
      </c>
      <c r="G4541" s="14">
        <f>E4541*F4541</f>
        <v/>
      </c>
      <c r="H4541" s="14">
        <f>C4541*G4541</f>
        <v/>
      </c>
    </row>
    <row r="4542">
      <c r="A4542" s="12" t="inlineStr">
        <is>
          <t>RET-0351</t>
        </is>
      </c>
      <c r="B4542" s="12" t="inlineStr">
        <is>
          <t>VS19</t>
        </is>
      </c>
      <c r="C4542" s="28" t="n">
        <v>0.1042</v>
      </c>
      <c r="D4542" s="12" t="inlineStr">
        <is>
          <t>PO-2021-0882</t>
        </is>
      </c>
      <c r="E4542" s="12" t="n">
        <v>3.1</v>
      </c>
      <c r="F4542" s="17" t="n">
        <v>70806.25999999999</v>
      </c>
      <c r="G4542" s="14">
        <f>E4542*F4542</f>
        <v/>
      </c>
      <c r="H4542" s="14">
        <f>C4542*G4542</f>
        <v/>
      </c>
    </row>
    <row r="4543">
      <c r="A4543" s="12" t="inlineStr">
        <is>
          <t>RET-0351</t>
        </is>
      </c>
      <c r="B4543" s="12" t="inlineStr">
        <is>
          <t>VS20</t>
        </is>
      </c>
      <c r="C4543" s="28" t="n">
        <v>0.0136</v>
      </c>
      <c r="D4543" s="12" t="inlineStr">
        <is>
          <t>PO-2022-2529</t>
        </is>
      </c>
      <c r="E4543" s="12" t="n">
        <v>3.1</v>
      </c>
      <c r="F4543" s="17" t="n">
        <v>56097.9</v>
      </c>
      <c r="G4543" s="14">
        <f>E4543*F4543</f>
        <v/>
      </c>
      <c r="H4543" s="14">
        <f>C4543*G4543</f>
        <v/>
      </c>
    </row>
    <row r="4544">
      <c r="A4544" s="12" t="inlineStr">
        <is>
          <t>RET-0351</t>
        </is>
      </c>
      <c r="B4544" s="12" t="inlineStr">
        <is>
          <t>VS21</t>
        </is>
      </c>
      <c r="C4544" s="28" t="n">
        <v>0.0136</v>
      </c>
      <c r="D4544" s="12" t="inlineStr">
        <is>
          <t>PO-2023-4417</t>
        </is>
      </c>
      <c r="E4544" s="12" t="n">
        <v>3.1</v>
      </c>
      <c r="F4544" s="17" t="n">
        <v>114156.44</v>
      </c>
      <c r="G4544" s="14">
        <f>E4544*F4544</f>
        <v/>
      </c>
      <c r="H4544" s="14">
        <f>C4544*G4544</f>
        <v/>
      </c>
    </row>
    <row r="4545">
      <c r="A4545" s="12" t="inlineStr">
        <is>
          <t>RET-0351</t>
        </is>
      </c>
      <c r="B4545" s="12" t="inlineStr">
        <is>
          <t>VS22</t>
        </is>
      </c>
      <c r="C4545" s="28" t="n">
        <v>0.0081</v>
      </c>
      <c r="D4545" s="12" t="inlineStr">
        <is>
          <t>PO-2022-1943</t>
        </is>
      </c>
      <c r="E4545" s="12" t="n">
        <v>3.1</v>
      </c>
      <c r="F4545" s="17" t="n">
        <v>100294.91</v>
      </c>
      <c r="G4545" s="14">
        <f>E4545*F4545</f>
        <v/>
      </c>
      <c r="H4545" s="14">
        <f>C4545*G4545</f>
        <v/>
      </c>
    </row>
    <row r="4546">
      <c r="A4546" s="12" t="inlineStr">
        <is>
          <t>RET-0351</t>
        </is>
      </c>
      <c r="B4546" s="12" t="inlineStr">
        <is>
          <t>VS23</t>
        </is>
      </c>
      <c r="C4546" s="28" t="n">
        <v>0.0134</v>
      </c>
      <c r="D4546" s="12" t="inlineStr">
        <is>
          <t>PO-2022-3106</t>
        </is>
      </c>
      <c r="E4546" s="12" t="n">
        <v>3.1</v>
      </c>
      <c r="F4546" s="17" t="n">
        <v>111794.76</v>
      </c>
      <c r="G4546" s="14">
        <f>E4546*F4546</f>
        <v/>
      </c>
      <c r="H4546" s="14">
        <f>C4546*G4546</f>
        <v/>
      </c>
    </row>
    <row r="4547">
      <c r="A4547" s="12" t="inlineStr">
        <is>
          <t>RET-0351</t>
        </is>
      </c>
      <c r="B4547" s="12" t="inlineStr">
        <is>
          <t>VS24</t>
        </is>
      </c>
      <c r="C4547" s="28" t="n">
        <v>0.0135</v>
      </c>
      <c r="D4547" s="12" t="inlineStr">
        <is>
          <t>PO-2022-3004</t>
        </is>
      </c>
      <c r="E4547" s="12" t="n">
        <v>3.1</v>
      </c>
      <c r="F4547" s="17" t="n">
        <v>58112.13</v>
      </c>
      <c r="G4547" s="14">
        <f>E4547*F4547</f>
        <v/>
      </c>
      <c r="H4547" s="14">
        <f>C4547*G4547</f>
        <v/>
      </c>
    </row>
    <row r="4548">
      <c r="A4548" s="12" t="inlineStr">
        <is>
          <t>RET-0351</t>
        </is>
      </c>
      <c r="B4548" s="12" t="inlineStr">
        <is>
          <t>VS25</t>
        </is>
      </c>
      <c r="C4548" s="28" t="n">
        <v>0.0245</v>
      </c>
      <c r="D4548" s="12" t="inlineStr">
        <is>
          <t>PO-2022-2031</t>
        </is>
      </c>
      <c r="E4548" s="12" t="n">
        <v>3.1</v>
      </c>
      <c r="F4548" s="17" t="n">
        <v>94552.39</v>
      </c>
      <c r="G4548" s="14">
        <f>E4548*F4548</f>
        <v/>
      </c>
      <c r="H4548" s="14">
        <f>C4548*G4548</f>
        <v/>
      </c>
    </row>
    <row r="4549">
      <c r="A4549" s="12" t="inlineStr">
        <is>
          <t>RET-0351</t>
        </is>
      </c>
      <c r="B4549" s="12" t="inlineStr">
        <is>
          <t>VS26</t>
        </is>
      </c>
      <c r="C4549" s="28" t="n">
        <v>0.0136</v>
      </c>
      <c r="D4549" s="12" t="inlineStr">
        <is>
          <t>PO-2021-0818</t>
        </is>
      </c>
      <c r="E4549" s="12" t="n">
        <v>3.1</v>
      </c>
      <c r="F4549" s="17" t="n">
        <v>82636.73</v>
      </c>
      <c r="G4549" s="14">
        <f>E4549*F4549</f>
        <v/>
      </c>
      <c r="H4549" s="14">
        <f>C4549*G4549</f>
        <v/>
      </c>
    </row>
    <row r="4550">
      <c r="A4550" s="12" t="inlineStr">
        <is>
          <t>RET-0351</t>
        </is>
      </c>
      <c r="B4550" s="12" t="inlineStr">
        <is>
          <t>VS27</t>
        </is>
      </c>
      <c r="C4550" s="28" t="n">
        <v>0.0134</v>
      </c>
      <c r="D4550" s="12" t="inlineStr">
        <is>
          <t>PO-2021-1128</t>
        </is>
      </c>
      <c r="E4550" s="12" t="n">
        <v>3.1</v>
      </c>
      <c r="F4550" s="17" t="n">
        <v>93453.2</v>
      </c>
      <c r="G4550" s="14">
        <f>E4550*F4550</f>
        <v/>
      </c>
      <c r="H4550" s="14">
        <f>C4550*G4550</f>
        <v/>
      </c>
    </row>
    <row r="4551">
      <c r="A4551" s="12" t="inlineStr">
        <is>
          <t>RET-0351</t>
        </is>
      </c>
      <c r="B4551" s="12" t="inlineStr">
        <is>
          <t>VS28</t>
        </is>
      </c>
      <c r="C4551" s="28" t="n">
        <v>0.0299</v>
      </c>
      <c r="D4551" s="12" t="inlineStr">
        <is>
          <t>PO-2022-3062</t>
        </is>
      </c>
      <c r="E4551" s="12" t="n">
        <v>3.1</v>
      </c>
      <c r="F4551" s="17" t="n">
        <v>55568.5</v>
      </c>
      <c r="G4551" s="14">
        <f>E4551*F4551</f>
        <v/>
      </c>
      <c r="H4551" s="14">
        <f>C4551*G4551</f>
        <v/>
      </c>
    </row>
    <row r="4552">
      <c r="A4552" s="12" t="inlineStr">
        <is>
          <t>RET-0351</t>
        </is>
      </c>
      <c r="B4552" s="12" t="inlineStr">
        <is>
          <t>VS29</t>
        </is>
      </c>
      <c r="C4552" s="28" t="n">
        <v>0.019</v>
      </c>
      <c r="D4552" s="12" t="inlineStr">
        <is>
          <t>PO-2021-1040</t>
        </is>
      </c>
      <c r="E4552" s="12" t="n">
        <v>3.1</v>
      </c>
      <c r="F4552" s="17" t="n">
        <v>60386.65</v>
      </c>
      <c r="G4552" s="14">
        <f>E4552*F4552</f>
        <v/>
      </c>
      <c r="H4552" s="14">
        <f>C4552*G4552</f>
        <v/>
      </c>
    </row>
    <row r="4553">
      <c r="A4553" s="12" t="inlineStr">
        <is>
          <t>RET-0351</t>
        </is>
      </c>
      <c r="B4553" s="12" t="inlineStr">
        <is>
          <t>VS30</t>
        </is>
      </c>
      <c r="C4553" s="28" t="n">
        <v>0.008200000000000001</v>
      </c>
      <c r="D4553" s="12" t="inlineStr">
        <is>
          <t>PO-2022-1628</t>
        </is>
      </c>
      <c r="E4553" s="12" t="n">
        <v>3.1</v>
      </c>
      <c r="F4553" s="17" t="n">
        <v>118386.28</v>
      </c>
      <c r="G4553" s="14">
        <f>E4553*F4553</f>
        <v/>
      </c>
      <c r="H4553" s="14">
        <f>C4553*G4553</f>
        <v/>
      </c>
    </row>
    <row r="4554">
      <c r="A4554" s="12" t="inlineStr">
        <is>
          <t>RET-0351</t>
        </is>
      </c>
      <c r="B4554" s="12" t="inlineStr">
        <is>
          <t>VS31</t>
        </is>
      </c>
      <c r="C4554" s="28" t="n">
        <v>0.0297</v>
      </c>
      <c r="D4554" s="12" t="inlineStr">
        <is>
          <t>PO-2022-2418</t>
        </is>
      </c>
      <c r="E4554" s="12" t="n">
        <v>3.1</v>
      </c>
      <c r="F4554" s="17" t="n">
        <v>51222.35</v>
      </c>
      <c r="G4554" s="14">
        <f>E4554*F4554</f>
        <v/>
      </c>
      <c r="H4554" s="14">
        <f>C4554*G4554</f>
        <v/>
      </c>
    </row>
    <row r="4555">
      <c r="A4555" s="12" t="inlineStr">
        <is>
          <t>RET-0351</t>
        </is>
      </c>
      <c r="B4555" s="12" t="inlineStr">
        <is>
          <t>VS32</t>
        </is>
      </c>
      <c r="C4555" s="28" t="n">
        <v>0.0354</v>
      </c>
      <c r="D4555" s="12" t="inlineStr">
        <is>
          <t>PO-2022-2254</t>
        </is>
      </c>
      <c r="E4555" s="12" t="n">
        <v>3.1</v>
      </c>
      <c r="F4555" s="17" t="n">
        <v>91990.28</v>
      </c>
      <c r="G4555" s="14">
        <f>E4555*F4555</f>
        <v/>
      </c>
      <c r="H4555" s="14">
        <f>C4555*G4555</f>
        <v/>
      </c>
    </row>
    <row r="4556">
      <c r="A4556" s="12" t="inlineStr">
        <is>
          <t>RET-0351</t>
        </is>
      </c>
      <c r="B4556" s="12" t="inlineStr">
        <is>
          <t>VS33</t>
        </is>
      </c>
      <c r="C4556" s="28" t="n">
        <v>0.0189</v>
      </c>
      <c r="D4556" s="12" t="inlineStr">
        <is>
          <t>PO-2021-0693</t>
        </is>
      </c>
      <c r="E4556" s="12" t="n">
        <v>3.1</v>
      </c>
      <c r="F4556" s="17" t="n">
        <v>96419.34</v>
      </c>
      <c r="G4556" s="14">
        <f>E4556*F4556</f>
        <v/>
      </c>
      <c r="H4556" s="14">
        <f>C4556*G4556</f>
        <v/>
      </c>
    </row>
    <row r="4557">
      <c r="A4557" s="12" t="inlineStr">
        <is>
          <t>RET-0351</t>
        </is>
      </c>
      <c r="B4557" s="12" t="inlineStr">
        <is>
          <t>VS34</t>
        </is>
      </c>
      <c r="C4557" s="28" t="n">
        <v>0.0244</v>
      </c>
      <c r="D4557" s="12" t="inlineStr">
        <is>
          <t>PO-2021-0356</t>
        </is>
      </c>
      <c r="E4557" s="12" t="n">
        <v>3.1</v>
      </c>
      <c r="F4557" s="17" t="n">
        <v>65049.36</v>
      </c>
      <c r="G4557" s="14">
        <f>E4557*F4557</f>
        <v/>
      </c>
      <c r="H4557" s="14">
        <f>C4557*G4557</f>
        <v/>
      </c>
    </row>
    <row r="4558">
      <c r="A4558" s="12" t="inlineStr">
        <is>
          <t>RET-0352</t>
        </is>
      </c>
      <c r="B4558" s="12" t="inlineStr">
        <is>
          <t>VS01</t>
        </is>
      </c>
      <c r="C4558" s="28" t="n">
        <v>0.0236</v>
      </c>
      <c r="D4558" s="12" t="inlineStr">
        <is>
          <t>PO-2022-2395</t>
        </is>
      </c>
      <c r="E4558" s="12" t="n">
        <v>4.77</v>
      </c>
      <c r="F4558" s="17" t="n">
        <v>107654.44</v>
      </c>
      <c r="G4558" s="14">
        <f>E4558*F4558</f>
        <v/>
      </c>
      <c r="H4558" s="14">
        <f>C4558*G4558</f>
        <v/>
      </c>
    </row>
    <row r="4559">
      <c r="A4559" s="12" t="inlineStr">
        <is>
          <t>RET-0352</t>
        </is>
      </c>
      <c r="B4559" s="12" t="inlineStr">
        <is>
          <t>VS02</t>
        </is>
      </c>
      <c r="C4559" s="28" t="n">
        <v>0.0107</v>
      </c>
      <c r="D4559" s="12" t="inlineStr">
        <is>
          <t>PO-2022-2719</t>
        </is>
      </c>
      <c r="E4559" s="12" t="n">
        <v>4.77</v>
      </c>
      <c r="F4559" s="17" t="n">
        <v>110612.18</v>
      </c>
      <c r="G4559" s="14">
        <f>E4559*F4559</f>
        <v/>
      </c>
      <c r="H4559" s="14">
        <f>C4559*G4559</f>
        <v/>
      </c>
    </row>
    <row r="4560">
      <c r="A4560" s="12" t="inlineStr">
        <is>
          <t>RET-0352</t>
        </is>
      </c>
      <c r="B4560" s="12" t="inlineStr">
        <is>
          <t>VS03</t>
        </is>
      </c>
      <c r="C4560" s="28" t="n">
        <v>0.14</v>
      </c>
      <c r="D4560" s="12" t="inlineStr">
        <is>
          <t>PO-2021-0192</t>
        </is>
      </c>
      <c r="E4560" s="12" t="n">
        <v>4.77</v>
      </c>
      <c r="F4560" s="17" t="n">
        <v>69192.00999999999</v>
      </c>
      <c r="G4560" s="14">
        <f>E4560*F4560</f>
        <v/>
      </c>
      <c r="H4560" s="14">
        <f>C4560*G4560</f>
        <v/>
      </c>
    </row>
    <row r="4561">
      <c r="A4561" s="12" t="inlineStr">
        <is>
          <t>RET-0352</t>
        </is>
      </c>
      <c r="B4561" s="12" t="inlineStr">
        <is>
          <t>VS04</t>
        </is>
      </c>
      <c r="C4561" s="28" t="n">
        <v>0.0148</v>
      </c>
      <c r="D4561" s="12" t="inlineStr">
        <is>
          <t>PO-2023-3204</t>
        </is>
      </c>
      <c r="E4561" s="12" t="n">
        <v>4.77</v>
      </c>
      <c r="F4561" s="17" t="n">
        <v>92197.48</v>
      </c>
      <c r="G4561" s="14">
        <f>E4561*F4561</f>
        <v/>
      </c>
      <c r="H4561" s="14">
        <f>C4561*G4561</f>
        <v/>
      </c>
    </row>
    <row r="4562">
      <c r="A4562" s="12" t="inlineStr">
        <is>
          <t>RET-0352</t>
        </is>
      </c>
      <c r="B4562" s="12" t="inlineStr">
        <is>
          <t>VS05</t>
        </is>
      </c>
      <c r="C4562" s="28" t="n">
        <v>0.0192</v>
      </c>
      <c r="D4562" s="12" t="inlineStr">
        <is>
          <t>PO-2022-1791</t>
        </is>
      </c>
      <c r="E4562" s="12" t="n">
        <v>4.77</v>
      </c>
      <c r="F4562" s="17" t="n">
        <v>53585.53</v>
      </c>
      <c r="G4562" s="14">
        <f>E4562*F4562</f>
        <v/>
      </c>
      <c r="H4562" s="14">
        <f>C4562*G4562</f>
        <v/>
      </c>
    </row>
    <row r="4563">
      <c r="A4563" s="12" t="inlineStr">
        <is>
          <t>RET-0352</t>
        </is>
      </c>
      <c r="B4563" s="12" t="inlineStr">
        <is>
          <t>VS06</t>
        </is>
      </c>
      <c r="C4563" s="28" t="n">
        <v>0.0194</v>
      </c>
      <c r="D4563" s="12" t="inlineStr">
        <is>
          <t>PO-2021-1192</t>
        </is>
      </c>
      <c r="E4563" s="12" t="n">
        <v>4.77</v>
      </c>
      <c r="F4563" s="17" t="n">
        <v>117995.38</v>
      </c>
      <c r="G4563" s="14">
        <f>E4563*F4563</f>
        <v/>
      </c>
      <c r="H4563" s="14">
        <f>C4563*G4563</f>
        <v/>
      </c>
    </row>
    <row r="4564">
      <c r="A4564" s="12" t="inlineStr">
        <is>
          <t>RET-0352</t>
        </is>
      </c>
      <c r="B4564" s="12" t="inlineStr">
        <is>
          <t>VS07</t>
        </is>
      </c>
      <c r="C4564" s="28" t="n">
        <v>0.0065</v>
      </c>
      <c r="D4564" s="12" t="inlineStr">
        <is>
          <t>PO-2023-4099</t>
        </is>
      </c>
      <c r="E4564" s="12" t="n">
        <v>4.77</v>
      </c>
      <c r="F4564" s="17" t="n">
        <v>75404.19</v>
      </c>
      <c r="G4564" s="14">
        <f>E4564*F4564</f>
        <v/>
      </c>
      <c r="H4564" s="14">
        <f>C4564*G4564</f>
        <v/>
      </c>
    </row>
    <row r="4565">
      <c r="A4565" s="12" t="inlineStr">
        <is>
          <t>RET-0352</t>
        </is>
      </c>
      <c r="B4565" s="12" t="inlineStr">
        <is>
          <t>VS08</t>
        </is>
      </c>
      <c r="C4565" s="28" t="n">
        <v>0.0195</v>
      </c>
      <c r="D4565" s="12" t="inlineStr">
        <is>
          <t>PO-2022-2590</t>
        </is>
      </c>
      <c r="E4565" s="12" t="n">
        <v>4.77</v>
      </c>
      <c r="F4565" s="17" t="n">
        <v>92856.02</v>
      </c>
      <c r="G4565" s="14">
        <f>E4565*F4565</f>
        <v/>
      </c>
      <c r="H4565" s="14">
        <f>C4565*G4565</f>
        <v/>
      </c>
    </row>
    <row r="4566">
      <c r="A4566" s="12" t="inlineStr">
        <is>
          <t>RET-0352</t>
        </is>
      </c>
      <c r="B4566" s="12" t="inlineStr">
        <is>
          <t>VS09</t>
        </is>
      </c>
      <c r="C4566" s="28" t="n">
        <v>0.015</v>
      </c>
      <c r="D4566" s="12" t="inlineStr">
        <is>
          <t>PO-2023-3273</t>
        </is>
      </c>
      <c r="E4566" s="12" t="n">
        <v>4.77</v>
      </c>
      <c r="F4566" s="17" t="n">
        <v>53635.76</v>
      </c>
      <c r="G4566" s="14">
        <f>E4566*F4566</f>
        <v/>
      </c>
      <c r="H4566" s="14">
        <f>C4566*G4566</f>
        <v/>
      </c>
    </row>
    <row r="4567">
      <c r="A4567" s="12" t="inlineStr">
        <is>
          <t>RET-0352</t>
        </is>
      </c>
      <c r="B4567" s="12" t="inlineStr">
        <is>
          <t>VS10</t>
        </is>
      </c>
      <c r="C4567" s="28" t="n">
        <v>0.0235</v>
      </c>
      <c r="D4567" s="12" t="inlineStr">
        <is>
          <t>PO-2021-0638</t>
        </is>
      </c>
      <c r="E4567" s="12" t="n">
        <v>4.77</v>
      </c>
      <c r="F4567" s="17" t="n">
        <v>69197.25</v>
      </c>
      <c r="G4567" s="14">
        <f>E4567*F4567</f>
        <v/>
      </c>
      <c r="H4567" s="14">
        <f>C4567*G4567</f>
        <v/>
      </c>
    </row>
    <row r="4568">
      <c r="A4568" s="12" t="inlineStr">
        <is>
          <t>RET-0352</t>
        </is>
      </c>
      <c r="B4568" s="12" t="inlineStr">
        <is>
          <t>VS11</t>
        </is>
      </c>
      <c r="C4568" s="28" t="n">
        <v>0.0276</v>
      </c>
      <c r="D4568" s="12" t="inlineStr">
        <is>
          <t>PO-2023-3510</t>
        </is>
      </c>
      <c r="E4568" s="12" t="n">
        <v>4.77</v>
      </c>
      <c r="F4568" s="17" t="n">
        <v>56358.48</v>
      </c>
      <c r="G4568" s="14">
        <f>E4568*F4568</f>
        <v/>
      </c>
      <c r="H4568" s="14">
        <f>C4568*G4568</f>
        <v/>
      </c>
    </row>
    <row r="4569">
      <c r="A4569" s="12" t="inlineStr">
        <is>
          <t>RET-0352</t>
        </is>
      </c>
      <c r="B4569" s="12" t="inlineStr">
        <is>
          <t>VS12</t>
        </is>
      </c>
      <c r="C4569" s="28" t="n">
        <v>0.1946</v>
      </c>
      <c r="D4569" s="12" t="inlineStr">
        <is>
          <t>PO-2023-3239</t>
        </is>
      </c>
      <c r="E4569" s="12" t="n">
        <v>4.77</v>
      </c>
      <c r="F4569" s="17" t="n">
        <v>46841.18</v>
      </c>
      <c r="G4569" s="14">
        <f>E4569*F4569</f>
        <v/>
      </c>
      <c r="H4569" s="14">
        <f>C4569*G4569</f>
        <v/>
      </c>
    </row>
    <row r="4570">
      <c r="A4570" s="12" t="inlineStr">
        <is>
          <t>RET-0352</t>
        </is>
      </c>
      <c r="B4570" s="12" t="inlineStr">
        <is>
          <t>VS13</t>
        </is>
      </c>
      <c r="C4570" s="28" t="n">
        <v>0.019</v>
      </c>
      <c r="D4570" s="12" t="inlineStr">
        <is>
          <t>PO-2023-4356</t>
        </is>
      </c>
      <c r="E4570" s="12" t="n">
        <v>4.77</v>
      </c>
      <c r="F4570" s="17" t="n">
        <v>97205.55</v>
      </c>
      <c r="G4570" s="14">
        <f>E4570*F4570</f>
        <v/>
      </c>
      <c r="H4570" s="14">
        <f>C4570*G4570</f>
        <v/>
      </c>
    </row>
    <row r="4571">
      <c r="A4571" s="12" t="inlineStr">
        <is>
          <t>RET-0352</t>
        </is>
      </c>
      <c r="B4571" s="12" t="inlineStr">
        <is>
          <t>VS14</t>
        </is>
      </c>
      <c r="C4571" s="28" t="n">
        <v>0.0192</v>
      </c>
      <c r="D4571" s="12" t="inlineStr">
        <is>
          <t>PO-2023-3336</t>
        </is>
      </c>
      <c r="E4571" s="12" t="n">
        <v>4.77</v>
      </c>
      <c r="F4571" s="17" t="n">
        <v>68830.96000000001</v>
      </c>
      <c r="G4571" s="14">
        <f>E4571*F4571</f>
        <v/>
      </c>
      <c r="H4571" s="14">
        <f>C4571*G4571</f>
        <v/>
      </c>
    </row>
    <row r="4572">
      <c r="A4572" s="12" t="inlineStr">
        <is>
          <t>RET-0352</t>
        </is>
      </c>
      <c r="B4572" s="12" t="inlineStr">
        <is>
          <t>VS15</t>
        </is>
      </c>
      <c r="C4572" s="28" t="n">
        <v>0.0064</v>
      </c>
      <c r="D4572" s="12" t="inlineStr">
        <is>
          <t>PO-2022-2991</t>
        </is>
      </c>
      <c r="E4572" s="12" t="n">
        <v>1.422</v>
      </c>
      <c r="F4572" s="17" t="n">
        <v>114893.66</v>
      </c>
      <c r="G4572" s="14">
        <f>E4572*F4572</f>
        <v/>
      </c>
      <c r="H4572" s="14">
        <f>C4572*G4572</f>
        <v/>
      </c>
    </row>
    <row r="4573">
      <c r="A4573" s="12" t="inlineStr">
        <is>
          <t>RET-0352</t>
        </is>
      </c>
      <c r="B4573" s="12" t="inlineStr">
        <is>
          <t>VS16</t>
        </is>
      </c>
      <c r="C4573" s="28" t="n">
        <v>0.0277</v>
      </c>
      <c r="D4573" s="12" t="inlineStr">
        <is>
          <t>PO-2023-4642</t>
        </is>
      </c>
      <c r="E4573" s="12" t="n">
        <v>4.77</v>
      </c>
      <c r="F4573" s="17" t="n">
        <v>100162.91</v>
      </c>
      <c r="G4573" s="14">
        <f>E4573*F4573</f>
        <v/>
      </c>
      <c r="H4573" s="14">
        <f>C4573*G4573</f>
        <v/>
      </c>
    </row>
    <row r="4574">
      <c r="A4574" s="12" t="inlineStr">
        <is>
          <t>RET-0352</t>
        </is>
      </c>
      <c r="B4574" s="12" t="inlineStr">
        <is>
          <t>VS17</t>
        </is>
      </c>
      <c r="C4574" s="28" t="n">
        <v>0.0276</v>
      </c>
      <c r="D4574" s="12" t="inlineStr">
        <is>
          <t>PO-2021-1139</t>
        </is>
      </c>
      <c r="E4574" s="12" t="n">
        <v>4.77</v>
      </c>
      <c r="F4574" s="17" t="n">
        <v>73102.87</v>
      </c>
      <c r="G4574" s="14">
        <f>E4574*F4574</f>
        <v/>
      </c>
      <c r="H4574" s="14">
        <f>C4574*G4574</f>
        <v/>
      </c>
    </row>
    <row r="4575">
      <c r="A4575" s="12" t="inlineStr">
        <is>
          <t>RET-0352</t>
        </is>
      </c>
      <c r="B4575" s="12" t="inlineStr">
        <is>
          <t>VS18</t>
        </is>
      </c>
      <c r="C4575" s="28" t="n">
        <v>0.0192</v>
      </c>
      <c r="D4575" s="12" t="inlineStr">
        <is>
          <t>PO-2023-4751</t>
        </is>
      </c>
      <c r="E4575" s="12" t="n">
        <v>4.77</v>
      </c>
      <c r="F4575" s="17" t="n">
        <v>77435.71000000001</v>
      </c>
      <c r="G4575" s="14">
        <f>E4575*F4575</f>
        <v/>
      </c>
      <c r="H4575" s="14">
        <f>C4575*G4575</f>
        <v/>
      </c>
    </row>
    <row r="4576">
      <c r="A4576" s="12" t="inlineStr">
        <is>
          <t>RET-0352</t>
        </is>
      </c>
      <c r="B4576" s="12" t="inlineStr">
        <is>
          <t>VS19</t>
        </is>
      </c>
      <c r="C4576" s="28" t="n">
        <v>0.1468</v>
      </c>
      <c r="D4576" s="12" t="inlineStr">
        <is>
          <t>PO-2021-0442</t>
        </is>
      </c>
      <c r="E4576" s="12" t="n">
        <v>4.77</v>
      </c>
      <c r="F4576" s="17" t="n">
        <v>108714.69</v>
      </c>
      <c r="G4576" s="14">
        <f>E4576*F4576</f>
        <v/>
      </c>
      <c r="H4576" s="14">
        <f>C4576*G4576</f>
        <v/>
      </c>
    </row>
    <row r="4577">
      <c r="A4577" s="12" t="inlineStr">
        <is>
          <t>RET-0352</t>
        </is>
      </c>
      <c r="B4577" s="12" t="inlineStr">
        <is>
          <t>VS20</t>
        </is>
      </c>
      <c r="C4577" s="28" t="n">
        <v>0.0107</v>
      </c>
      <c r="D4577" s="12" t="inlineStr">
        <is>
          <t>PO-2023-3955</t>
        </is>
      </c>
      <c r="E4577" s="12" t="n">
        <v>4.77</v>
      </c>
      <c r="F4577" s="17" t="n">
        <v>82204.42</v>
      </c>
      <c r="G4577" s="14">
        <f>E4577*F4577</f>
        <v/>
      </c>
      <c r="H4577" s="14">
        <f>C4577*G4577</f>
        <v/>
      </c>
    </row>
    <row r="4578">
      <c r="A4578" s="12" t="inlineStr">
        <is>
          <t>RET-0352</t>
        </is>
      </c>
      <c r="B4578" s="12" t="inlineStr">
        <is>
          <t>VS21</t>
        </is>
      </c>
      <c r="C4578" s="28" t="n">
        <v>0.0107</v>
      </c>
      <c r="D4578" s="12" t="inlineStr">
        <is>
          <t>PO-2022-1845</t>
        </is>
      </c>
      <c r="E4578" s="12" t="n">
        <v>4.77</v>
      </c>
      <c r="F4578" s="17" t="n">
        <v>62096.43</v>
      </c>
      <c r="G4578" s="14">
        <f>E4578*F4578</f>
        <v/>
      </c>
      <c r="H4578" s="14">
        <f>C4578*G4578</f>
        <v/>
      </c>
    </row>
    <row r="4579">
      <c r="A4579" s="12" t="inlineStr">
        <is>
          <t>RET-0352</t>
        </is>
      </c>
      <c r="B4579" s="12" t="inlineStr">
        <is>
          <t>VS22</t>
        </is>
      </c>
      <c r="C4579" s="28" t="n">
        <v>0.0064</v>
      </c>
      <c r="D4579" s="12" t="inlineStr">
        <is>
          <t>PO-2021-0198</t>
        </is>
      </c>
      <c r="E4579" s="12" t="n">
        <v>4.77</v>
      </c>
      <c r="F4579" s="17" t="n">
        <v>93547.89999999999</v>
      </c>
      <c r="G4579" s="14">
        <f>E4579*F4579</f>
        <v/>
      </c>
      <c r="H4579" s="14">
        <f>C4579*G4579</f>
        <v/>
      </c>
    </row>
    <row r="4580">
      <c r="A4580" s="12" t="inlineStr">
        <is>
          <t>RET-0352</t>
        </is>
      </c>
      <c r="B4580" s="12" t="inlineStr">
        <is>
          <t>VS23</t>
        </is>
      </c>
      <c r="C4580" s="28" t="n">
        <v>0.0105</v>
      </c>
      <c r="D4580" s="12" t="inlineStr">
        <is>
          <t>PO-2021-1166</t>
        </is>
      </c>
      <c r="E4580" s="12" t="n">
        <v>1.26</v>
      </c>
      <c r="F4580" s="17" t="n">
        <v>82840.64999999999</v>
      </c>
      <c r="G4580" s="14">
        <f>E4580*F4580</f>
        <v/>
      </c>
      <c r="H4580" s="14">
        <f>C4580*G4580</f>
        <v/>
      </c>
    </row>
    <row r="4581">
      <c r="A4581" s="12" t="inlineStr">
        <is>
          <t>RET-0352</t>
        </is>
      </c>
      <c r="B4581" s="12" t="inlineStr">
        <is>
          <t>VS24</t>
        </is>
      </c>
      <c r="C4581" s="28" t="n">
        <v>0.0107</v>
      </c>
      <c r="D4581" s="12" t="inlineStr">
        <is>
          <t>PO-2022-2013</t>
        </is>
      </c>
      <c r="E4581" s="12" t="n">
        <v>4.77</v>
      </c>
      <c r="F4581" s="17" t="n">
        <v>96479.07000000001</v>
      </c>
      <c r="G4581" s="14">
        <f>E4581*F4581</f>
        <v/>
      </c>
      <c r="H4581" s="14">
        <f>C4581*G4581</f>
        <v/>
      </c>
    </row>
    <row r="4582">
      <c r="A4582" s="12" t="inlineStr">
        <is>
          <t>RET-0352</t>
        </is>
      </c>
      <c r="B4582" s="12" t="inlineStr">
        <is>
          <t>VS25</t>
        </is>
      </c>
      <c r="C4582" s="28" t="n">
        <v>0.0193</v>
      </c>
      <c r="D4582" s="12" t="inlineStr">
        <is>
          <t>PO-2021-1442</t>
        </is>
      </c>
      <c r="E4582" s="12" t="n">
        <v>4.77</v>
      </c>
      <c r="F4582" s="17" t="n">
        <v>110480.81</v>
      </c>
      <c r="G4582" s="14">
        <f>E4582*F4582</f>
        <v/>
      </c>
      <c r="H4582" s="14">
        <f>C4582*G4582</f>
        <v/>
      </c>
    </row>
    <row r="4583">
      <c r="A4583" s="12" t="inlineStr">
        <is>
          <t>RET-0352</t>
        </is>
      </c>
      <c r="B4583" s="12" t="inlineStr">
        <is>
          <t>VS26</t>
        </is>
      </c>
      <c r="C4583" s="28" t="n">
        <v>0.0107</v>
      </c>
      <c r="D4583" s="12" t="inlineStr">
        <is>
          <t>PO-2023-4463</t>
        </is>
      </c>
      <c r="E4583" s="12" t="n">
        <v>4.77</v>
      </c>
      <c r="F4583" s="17" t="n">
        <v>103433.36</v>
      </c>
      <c r="G4583" s="14">
        <f>E4583*F4583</f>
        <v/>
      </c>
      <c r="H4583" s="14">
        <f>C4583*G4583</f>
        <v/>
      </c>
    </row>
    <row r="4584">
      <c r="A4584" s="12" t="inlineStr">
        <is>
          <t>RET-0352</t>
        </is>
      </c>
      <c r="B4584" s="12" t="inlineStr">
        <is>
          <t>VS27</t>
        </is>
      </c>
      <c r="C4584" s="28" t="n">
        <v>0.0105</v>
      </c>
      <c r="D4584" s="12" t="inlineStr">
        <is>
          <t>PO-2023-3316</t>
        </is>
      </c>
      <c r="E4584" s="12" t="n">
        <v>4.77</v>
      </c>
      <c r="F4584" s="17" t="n">
        <v>111814.16</v>
      </c>
      <c r="G4584" s="14">
        <f>E4584*F4584</f>
        <v/>
      </c>
      <c r="H4584" s="14">
        <f>C4584*G4584</f>
        <v/>
      </c>
    </row>
    <row r="4585">
      <c r="A4585" s="12" t="inlineStr">
        <is>
          <t>RET-0352</t>
        </is>
      </c>
      <c r="B4585" s="12" t="inlineStr">
        <is>
          <t>VS28</t>
        </is>
      </c>
      <c r="C4585" s="28" t="n">
        <v>0.0235</v>
      </c>
      <c r="D4585" s="12" t="inlineStr">
        <is>
          <t>PO-2022-3112</t>
        </is>
      </c>
      <c r="E4585" s="12" t="n">
        <v>4.77</v>
      </c>
      <c r="F4585" s="17" t="n">
        <v>97404.73</v>
      </c>
      <c r="G4585" s="14">
        <f>E4585*F4585</f>
        <v/>
      </c>
      <c r="H4585" s="14">
        <f>C4585*G4585</f>
        <v/>
      </c>
    </row>
    <row r="4586">
      <c r="A4586" s="12" t="inlineStr">
        <is>
          <t>RET-0352</t>
        </is>
      </c>
      <c r="B4586" s="12" t="inlineStr">
        <is>
          <t>VS29</t>
        </is>
      </c>
      <c r="C4586" s="28" t="n">
        <v>0.0149</v>
      </c>
      <c r="D4586" s="12" t="inlineStr">
        <is>
          <t>PO-2021-1282</t>
        </is>
      </c>
      <c r="E4586" s="12" t="n">
        <v>0</v>
      </c>
      <c r="F4586" s="17" t="n">
        <v>79848.89999999999</v>
      </c>
      <c r="G4586" s="14">
        <f>E4586*F4586</f>
        <v/>
      </c>
      <c r="H4586" s="14">
        <f>C4586*G4586</f>
        <v/>
      </c>
    </row>
    <row r="4587">
      <c r="A4587" s="12" t="inlineStr">
        <is>
          <t>RET-0352</t>
        </is>
      </c>
      <c r="B4587" s="12" t="inlineStr">
        <is>
          <t>VS30</t>
        </is>
      </c>
      <c r="C4587" s="28" t="n">
        <v>0.0064</v>
      </c>
      <c r="D4587" s="12" t="inlineStr">
        <is>
          <t>PO-2021-1373</t>
        </is>
      </c>
      <c r="E4587" s="12" t="n">
        <v>4.77</v>
      </c>
      <c r="F4587" s="17" t="n">
        <v>66593.38</v>
      </c>
      <c r="G4587" s="14">
        <f>E4587*F4587</f>
        <v/>
      </c>
      <c r="H4587" s="14">
        <f>C4587*G4587</f>
        <v/>
      </c>
    </row>
    <row r="4588">
      <c r="A4588" s="12" t="inlineStr">
        <is>
          <t>RET-0352</t>
        </is>
      </c>
      <c r="B4588" s="12" t="inlineStr">
        <is>
          <t>VS31</t>
        </is>
      </c>
      <c r="C4588" s="28" t="n">
        <v>0.0234</v>
      </c>
      <c r="D4588" s="12" t="inlineStr">
        <is>
          <t>PO-2021-1255</t>
        </is>
      </c>
      <c r="E4588" s="12" t="n">
        <v>4.77</v>
      </c>
      <c r="F4588" s="17" t="n">
        <v>115805.22</v>
      </c>
      <c r="G4588" s="14">
        <f>E4588*F4588</f>
        <v/>
      </c>
      <c r="H4588" s="14">
        <f>C4588*G4588</f>
        <v/>
      </c>
    </row>
    <row r="4589">
      <c r="A4589" s="12" t="inlineStr">
        <is>
          <t>RET-0352</t>
        </is>
      </c>
      <c r="B4589" s="12" t="inlineStr">
        <is>
          <t>VS32</t>
        </is>
      </c>
      <c r="C4589" s="28" t="n">
        <v>0.0279</v>
      </c>
      <c r="D4589" s="12" t="inlineStr">
        <is>
          <t>PO-2023-3886</t>
        </is>
      </c>
      <c r="E4589" s="12" t="n">
        <v>4.77</v>
      </c>
      <c r="F4589" s="17" t="n">
        <v>117371.59</v>
      </c>
      <c r="G4589" s="14">
        <f>E4589*F4589</f>
        <v/>
      </c>
      <c r="H4589" s="14">
        <f>C4589*G4589</f>
        <v/>
      </c>
    </row>
    <row r="4590">
      <c r="A4590" s="12" t="inlineStr">
        <is>
          <t>RET-0352</t>
        </is>
      </c>
      <c r="B4590" s="12" t="inlineStr">
        <is>
          <t>VS33</t>
        </is>
      </c>
      <c r="C4590" s="28" t="n">
        <v>0.0149</v>
      </c>
      <c r="D4590" s="12" t="inlineStr">
        <is>
          <t>PO-2022-3032</t>
        </is>
      </c>
      <c r="E4590" s="12" t="n">
        <v>4.77</v>
      </c>
      <c r="F4590" s="17" t="n">
        <v>86778.44</v>
      </c>
      <c r="G4590" s="14">
        <f>E4590*F4590</f>
        <v/>
      </c>
      <c r="H4590" s="14">
        <f>C4590*G4590</f>
        <v/>
      </c>
    </row>
    <row r="4591">
      <c r="A4591" s="12" t="inlineStr">
        <is>
          <t>RET-0352</t>
        </is>
      </c>
      <c r="B4591" s="12" t="inlineStr">
        <is>
          <t>VS34</t>
        </is>
      </c>
      <c r="C4591" s="28" t="n">
        <v>0.0192</v>
      </c>
      <c r="D4591" s="12" t="inlineStr">
        <is>
          <t>PO-2021-0855</t>
        </is>
      </c>
      <c r="E4591" s="12" t="n">
        <v>4.77</v>
      </c>
      <c r="F4591" s="17" t="n">
        <v>77966.53999999999</v>
      </c>
      <c r="G4591" s="14">
        <f>E4591*F4591</f>
        <v/>
      </c>
      <c r="H4591" s="14">
        <f>C4591*G4591</f>
        <v/>
      </c>
    </row>
    <row r="4592">
      <c r="A4592" s="12" t="inlineStr">
        <is>
          <t>RET-0359</t>
        </is>
      </c>
      <c r="B4592" s="12" t="inlineStr">
        <is>
          <t>VS01</t>
        </is>
      </c>
      <c r="C4592" s="28" t="n">
        <v>0.0236</v>
      </c>
      <c r="D4592" s="12" t="inlineStr">
        <is>
          <t>PO-2023-3545</t>
        </is>
      </c>
      <c r="E4592" s="12" t="n">
        <v>1.991</v>
      </c>
      <c r="F4592" s="17" t="n">
        <v>86140.78</v>
      </c>
      <c r="G4592" s="14">
        <f>E4592*F4592</f>
        <v/>
      </c>
      <c r="H4592" s="14">
        <f>C4592*G4592</f>
        <v/>
      </c>
    </row>
    <row r="4593">
      <c r="A4593" s="12" t="inlineStr">
        <is>
          <t>RET-0359</t>
        </is>
      </c>
      <c r="B4593" s="12" t="inlineStr">
        <is>
          <t>VS02</t>
        </is>
      </c>
      <c r="C4593" s="28" t="n">
        <v>0.0107</v>
      </c>
      <c r="D4593" s="12" t="inlineStr">
        <is>
          <t>PO-2022-1812</t>
        </is>
      </c>
      <c r="E4593" s="12" t="n">
        <v>2.29</v>
      </c>
      <c r="F4593" s="17" t="n">
        <v>103636.69</v>
      </c>
      <c r="G4593" s="14">
        <f>E4593*F4593</f>
        <v/>
      </c>
      <c r="H4593" s="14">
        <f>C4593*G4593</f>
        <v/>
      </c>
    </row>
    <row r="4594">
      <c r="A4594" s="12" t="inlineStr">
        <is>
          <t>RET-0359</t>
        </is>
      </c>
      <c r="B4594" s="12" t="inlineStr">
        <is>
          <t>VS03</t>
        </is>
      </c>
      <c r="C4594" s="28" t="n">
        <v>0.14</v>
      </c>
      <c r="D4594" s="12" t="inlineStr">
        <is>
          <t>PO-2023-4639</t>
        </is>
      </c>
      <c r="E4594" s="12" t="n">
        <v>4.62</v>
      </c>
      <c r="F4594" s="17" t="n">
        <v>121720.35</v>
      </c>
      <c r="G4594" s="14">
        <f>E4594*F4594</f>
        <v/>
      </c>
      <c r="H4594" s="14">
        <f>C4594*G4594</f>
        <v/>
      </c>
    </row>
    <row r="4595">
      <c r="A4595" s="12" t="inlineStr">
        <is>
          <t>RET-0359</t>
        </is>
      </c>
      <c r="B4595" s="12" t="inlineStr">
        <is>
          <t>VS04</t>
        </is>
      </c>
      <c r="C4595" s="28" t="n">
        <v>0.0148</v>
      </c>
      <c r="D4595" s="12" t="inlineStr">
        <is>
          <t>PO-2023-3363</t>
        </is>
      </c>
      <c r="E4595" s="12" t="n">
        <v>4.62</v>
      </c>
      <c r="F4595" s="17" t="n">
        <v>85048.64</v>
      </c>
      <c r="G4595" s="14">
        <f>E4595*F4595</f>
        <v/>
      </c>
      <c r="H4595" s="14">
        <f>C4595*G4595</f>
        <v/>
      </c>
    </row>
    <row r="4596">
      <c r="A4596" s="12" t="inlineStr">
        <is>
          <t>RET-0359</t>
        </is>
      </c>
      <c r="B4596" s="12" t="inlineStr">
        <is>
          <t>VS05</t>
        </is>
      </c>
      <c r="C4596" s="28" t="n">
        <v>0.0192</v>
      </c>
      <c r="D4596" s="12" t="inlineStr">
        <is>
          <t>PO-2023-3502</t>
        </is>
      </c>
      <c r="E4596" s="12" t="n">
        <v>4.62</v>
      </c>
      <c r="F4596" s="17" t="n">
        <v>98594.02</v>
      </c>
      <c r="G4596" s="14">
        <f>E4596*F4596</f>
        <v/>
      </c>
      <c r="H4596" s="14">
        <f>C4596*G4596</f>
        <v/>
      </c>
    </row>
    <row r="4597">
      <c r="A4597" s="12" t="inlineStr">
        <is>
          <t>RET-0359</t>
        </is>
      </c>
      <c r="B4597" s="12" t="inlineStr">
        <is>
          <t>VS06</t>
        </is>
      </c>
      <c r="C4597" s="28" t="n">
        <v>0.0194</v>
      </c>
      <c r="D4597" s="12" t="inlineStr">
        <is>
          <t>PO-2023-3499</t>
        </is>
      </c>
      <c r="E4597" s="12" t="n">
        <v>4.62</v>
      </c>
      <c r="F4597" s="17" t="n">
        <v>71707.46000000001</v>
      </c>
      <c r="G4597" s="14">
        <f>E4597*F4597</f>
        <v/>
      </c>
      <c r="H4597" s="14">
        <f>C4597*G4597</f>
        <v/>
      </c>
    </row>
    <row r="4598">
      <c r="A4598" s="12" t="inlineStr">
        <is>
          <t>RET-0359</t>
        </is>
      </c>
      <c r="B4598" s="12" t="inlineStr">
        <is>
          <t>VS07</t>
        </is>
      </c>
      <c r="C4598" s="28" t="n">
        <v>0.0065</v>
      </c>
      <c r="D4598" s="12" t="inlineStr">
        <is>
          <t>PO-2022-2385</t>
        </is>
      </c>
      <c r="E4598" s="12" t="n">
        <v>4.62</v>
      </c>
      <c r="F4598" s="17" t="n">
        <v>93432.91</v>
      </c>
      <c r="G4598" s="14">
        <f>E4598*F4598</f>
        <v/>
      </c>
      <c r="H4598" s="14">
        <f>C4598*G4598</f>
        <v/>
      </c>
    </row>
    <row r="4599">
      <c r="A4599" s="12" t="inlineStr">
        <is>
          <t>RET-0359</t>
        </is>
      </c>
      <c r="B4599" s="12" t="inlineStr">
        <is>
          <t>VS08</t>
        </is>
      </c>
      <c r="C4599" s="28" t="n">
        <v>0.0195</v>
      </c>
      <c r="D4599" s="12" t="inlineStr">
        <is>
          <t>PO-2022-2882</t>
        </is>
      </c>
      <c r="E4599" s="12" t="n">
        <v>4.62</v>
      </c>
      <c r="F4599" s="17" t="n">
        <v>99224.95</v>
      </c>
      <c r="G4599" s="14">
        <f>E4599*F4599</f>
        <v/>
      </c>
      <c r="H4599" s="14">
        <f>C4599*G4599</f>
        <v/>
      </c>
    </row>
    <row r="4600">
      <c r="A4600" s="12" t="inlineStr">
        <is>
          <t>RET-0359</t>
        </is>
      </c>
      <c r="B4600" s="12" t="inlineStr">
        <is>
          <t>VS09</t>
        </is>
      </c>
      <c r="C4600" s="28" t="n">
        <v>0.015</v>
      </c>
      <c r="D4600" s="12" t="inlineStr">
        <is>
          <t>PO-2021-0531</t>
        </is>
      </c>
      <c r="E4600" s="12" t="n">
        <v>4.62</v>
      </c>
      <c r="F4600" s="17" t="n">
        <v>119121</v>
      </c>
      <c r="G4600" s="14">
        <f>E4600*F4600</f>
        <v/>
      </c>
      <c r="H4600" s="14">
        <f>C4600*G4600</f>
        <v/>
      </c>
    </row>
    <row r="4601">
      <c r="A4601" s="12" t="inlineStr">
        <is>
          <t>RET-0359</t>
        </is>
      </c>
      <c r="B4601" s="12" t="inlineStr">
        <is>
          <t>VS10</t>
        </is>
      </c>
      <c r="C4601" s="28" t="n">
        <v>0.0235</v>
      </c>
      <c r="D4601" s="12" t="inlineStr">
        <is>
          <t>PO-2022-2548</t>
        </is>
      </c>
      <c r="E4601" s="12" t="n">
        <v>4.62</v>
      </c>
      <c r="F4601" s="17" t="n">
        <v>89076.23</v>
      </c>
      <c r="G4601" s="14">
        <f>E4601*F4601</f>
        <v/>
      </c>
      <c r="H4601" s="14">
        <f>C4601*G4601</f>
        <v/>
      </c>
    </row>
    <row r="4602">
      <c r="A4602" s="12" t="inlineStr">
        <is>
          <t>RET-0359</t>
        </is>
      </c>
      <c r="B4602" s="12" t="inlineStr">
        <is>
          <t>VS11</t>
        </is>
      </c>
      <c r="C4602" s="28" t="n">
        <v>0.0276</v>
      </c>
      <c r="D4602" s="12" t="inlineStr">
        <is>
          <t>PO-2021-0714</t>
        </is>
      </c>
      <c r="E4602" s="12" t="n">
        <v>4.62</v>
      </c>
      <c r="F4602" s="17" t="n">
        <v>94126.42999999999</v>
      </c>
      <c r="G4602" s="14">
        <f>E4602*F4602</f>
        <v/>
      </c>
      <c r="H4602" s="14">
        <f>C4602*G4602</f>
        <v/>
      </c>
    </row>
    <row r="4603">
      <c r="A4603" s="12" t="inlineStr">
        <is>
          <t>RET-0359</t>
        </is>
      </c>
      <c r="B4603" s="12" t="inlineStr">
        <is>
          <t>VS12</t>
        </is>
      </c>
      <c r="C4603" s="28" t="n">
        <v>0.1946</v>
      </c>
      <c r="D4603" s="12" t="inlineStr">
        <is>
          <t>PO-2023-3659</t>
        </is>
      </c>
      <c r="E4603" s="12" t="n">
        <v>4.62</v>
      </c>
      <c r="F4603" s="17" t="n">
        <v>107653.42</v>
      </c>
      <c r="G4603" s="14">
        <f>E4603*F4603</f>
        <v/>
      </c>
      <c r="H4603" s="14">
        <f>C4603*G4603</f>
        <v/>
      </c>
    </row>
    <row r="4604">
      <c r="A4604" s="12" t="inlineStr">
        <is>
          <t>RET-0359</t>
        </is>
      </c>
      <c r="B4604" s="12" t="inlineStr">
        <is>
          <t>VS13</t>
        </is>
      </c>
      <c r="C4604" s="28" t="n">
        <v>0.019</v>
      </c>
      <c r="D4604" s="12" t="inlineStr">
        <is>
          <t>PO-2022-1697</t>
        </is>
      </c>
      <c r="E4604" s="12" t="n">
        <v>4.62</v>
      </c>
      <c r="F4604" s="17" t="n">
        <v>82398.82000000001</v>
      </c>
      <c r="G4604" s="14">
        <f>E4604*F4604</f>
        <v/>
      </c>
      <c r="H4604" s="14">
        <f>C4604*G4604</f>
        <v/>
      </c>
    </row>
    <row r="4605">
      <c r="A4605" s="12" t="inlineStr">
        <is>
          <t>RET-0359</t>
        </is>
      </c>
      <c r="B4605" s="12" t="inlineStr">
        <is>
          <t>VS14</t>
        </is>
      </c>
      <c r="C4605" s="28" t="n">
        <v>0.0192</v>
      </c>
      <c r="D4605" s="12" t="inlineStr">
        <is>
          <t>PO-2022-2316</t>
        </is>
      </c>
      <c r="E4605" s="12" t="n">
        <v>4.62</v>
      </c>
      <c r="F4605" s="17" t="n">
        <v>74017.57000000001</v>
      </c>
      <c r="G4605" s="14">
        <f>E4605*F4605</f>
        <v/>
      </c>
      <c r="H4605" s="14">
        <f>C4605*G4605</f>
        <v/>
      </c>
    </row>
    <row r="4606">
      <c r="A4606" s="12" t="inlineStr">
        <is>
          <t>RET-0359</t>
        </is>
      </c>
      <c r="B4606" s="12" t="inlineStr">
        <is>
          <t>VS15</t>
        </is>
      </c>
      <c r="C4606" s="28" t="n">
        <v>0.0064</v>
      </c>
      <c r="D4606" s="12" t="inlineStr">
        <is>
          <t>PO-2021-1563</t>
        </is>
      </c>
      <c r="E4606" s="12" t="n">
        <v>4.62</v>
      </c>
      <c r="F4606" s="17" t="n">
        <v>66888.25</v>
      </c>
      <c r="G4606" s="14">
        <f>E4606*F4606</f>
        <v/>
      </c>
      <c r="H4606" s="14">
        <f>C4606*G4606</f>
        <v/>
      </c>
    </row>
    <row r="4607">
      <c r="A4607" s="12" t="inlineStr">
        <is>
          <t>RET-0359</t>
        </is>
      </c>
      <c r="B4607" s="12" t="inlineStr">
        <is>
          <t>VS16</t>
        </is>
      </c>
      <c r="C4607" s="28" t="n">
        <v>0.0277</v>
      </c>
      <c r="D4607" s="12" t="inlineStr">
        <is>
          <t>PO-2022-2659</t>
        </is>
      </c>
      <c r="E4607" s="12" t="n">
        <v>4.62</v>
      </c>
      <c r="F4607" s="17" t="n">
        <v>90517.60000000001</v>
      </c>
      <c r="G4607" s="14">
        <f>E4607*F4607</f>
        <v/>
      </c>
      <c r="H4607" s="14">
        <f>C4607*G4607</f>
        <v/>
      </c>
    </row>
    <row r="4608">
      <c r="A4608" s="12" t="inlineStr">
        <is>
          <t>RET-0359</t>
        </is>
      </c>
      <c r="B4608" s="12" t="inlineStr">
        <is>
          <t>VS17</t>
        </is>
      </c>
      <c r="C4608" s="28" t="n">
        <v>0.0276</v>
      </c>
      <c r="D4608" s="12" t="inlineStr">
        <is>
          <t>PO-2023-3309</t>
        </is>
      </c>
      <c r="E4608" s="12" t="n">
        <v>4.62</v>
      </c>
      <c r="F4608" s="17" t="n">
        <v>92986.41</v>
      </c>
      <c r="G4608" s="14">
        <f>E4608*F4608</f>
        <v/>
      </c>
      <c r="H4608" s="14">
        <f>C4608*G4608</f>
        <v/>
      </c>
    </row>
    <row r="4609">
      <c r="A4609" s="12" t="inlineStr">
        <is>
          <t>RET-0359</t>
        </is>
      </c>
      <c r="B4609" s="12" t="inlineStr">
        <is>
          <t>VS18</t>
        </is>
      </c>
      <c r="C4609" s="28" t="n">
        <v>0.0192</v>
      </c>
      <c r="D4609" s="12" t="inlineStr">
        <is>
          <t>PO-2021-0525</t>
        </is>
      </c>
      <c r="E4609" s="12" t="n">
        <v>4.62</v>
      </c>
      <c r="F4609" s="17" t="n">
        <v>97235.32000000001</v>
      </c>
      <c r="G4609" s="14">
        <f>E4609*F4609</f>
        <v/>
      </c>
      <c r="H4609" s="14">
        <f>C4609*G4609</f>
        <v/>
      </c>
    </row>
    <row r="4610">
      <c r="A4610" s="12" t="inlineStr">
        <is>
          <t>RET-0359</t>
        </is>
      </c>
      <c r="B4610" s="12" t="inlineStr">
        <is>
          <t>VS19</t>
        </is>
      </c>
      <c r="C4610" s="28" t="n">
        <v>0.1468</v>
      </c>
      <c r="D4610" s="12" t="inlineStr">
        <is>
          <t>PO-2023-3306</t>
        </is>
      </c>
      <c r="E4610" s="12" t="n">
        <v>4.62</v>
      </c>
      <c r="F4610" s="17" t="n">
        <v>51362.2</v>
      </c>
      <c r="G4610" s="14">
        <f>E4610*F4610</f>
        <v/>
      </c>
      <c r="H4610" s="14">
        <f>C4610*G4610</f>
        <v/>
      </c>
    </row>
    <row r="4611">
      <c r="A4611" s="12" t="inlineStr">
        <is>
          <t>RET-0359</t>
        </is>
      </c>
      <c r="B4611" s="12" t="inlineStr">
        <is>
          <t>VS20</t>
        </is>
      </c>
      <c r="C4611" s="28" t="n">
        <v>0.0107</v>
      </c>
      <c r="D4611" s="12" t="inlineStr">
        <is>
          <t>PO-2023-4084</t>
        </is>
      </c>
      <c r="E4611" s="12" t="n">
        <v>2.252</v>
      </c>
      <c r="F4611" s="17" t="n">
        <v>114547.05</v>
      </c>
      <c r="G4611" s="14">
        <f>E4611*F4611</f>
        <v/>
      </c>
      <c r="H4611" s="14">
        <f>C4611*G4611</f>
        <v/>
      </c>
    </row>
    <row r="4612">
      <c r="A4612" s="12" t="inlineStr">
        <is>
          <t>RET-0359</t>
        </is>
      </c>
      <c r="B4612" s="12" t="inlineStr">
        <is>
          <t>VS21</t>
        </is>
      </c>
      <c r="C4612" s="28" t="n">
        <v>0.0107</v>
      </c>
      <c r="D4612" s="12" t="inlineStr">
        <is>
          <t>PO-2023-3292</t>
        </is>
      </c>
      <c r="E4612" s="12" t="n">
        <v>4.62</v>
      </c>
      <c r="F4612" s="17" t="n">
        <v>85242.11</v>
      </c>
      <c r="G4612" s="14">
        <f>E4612*F4612</f>
        <v/>
      </c>
      <c r="H4612" s="14">
        <f>C4612*G4612</f>
        <v/>
      </c>
    </row>
    <row r="4613">
      <c r="A4613" s="12" t="inlineStr">
        <is>
          <t>RET-0359</t>
        </is>
      </c>
      <c r="B4613" s="12" t="inlineStr">
        <is>
          <t>VS22</t>
        </is>
      </c>
      <c r="C4613" s="28" t="n">
        <v>0.0064</v>
      </c>
      <c r="D4613" s="12" t="inlineStr">
        <is>
          <t>PO-2023-4174</t>
        </is>
      </c>
      <c r="E4613" s="12" t="n">
        <v>4.62</v>
      </c>
      <c r="F4613" s="17" t="n">
        <v>94759.46000000001</v>
      </c>
      <c r="G4613" s="14">
        <f>E4613*F4613</f>
        <v/>
      </c>
      <c r="H4613" s="14">
        <f>C4613*G4613</f>
        <v/>
      </c>
    </row>
    <row r="4614">
      <c r="A4614" s="12" t="inlineStr">
        <is>
          <t>RET-0359</t>
        </is>
      </c>
      <c r="B4614" s="12" t="inlineStr">
        <is>
          <t>VS23</t>
        </is>
      </c>
      <c r="C4614" s="28" t="n">
        <v>0.0105</v>
      </c>
      <c r="D4614" s="12" t="inlineStr">
        <is>
          <t>PO-2023-3685</t>
        </is>
      </c>
      <c r="E4614" s="12" t="n">
        <v>4.62</v>
      </c>
      <c r="F4614" s="17" t="n">
        <v>102930.31</v>
      </c>
      <c r="G4614" s="14">
        <f>E4614*F4614</f>
        <v/>
      </c>
      <c r="H4614" s="14">
        <f>C4614*G4614</f>
        <v/>
      </c>
    </row>
    <row r="4615">
      <c r="A4615" s="12" t="inlineStr">
        <is>
          <t>RET-0359</t>
        </is>
      </c>
      <c r="B4615" s="12" t="inlineStr">
        <is>
          <t>VS24</t>
        </is>
      </c>
      <c r="C4615" s="28" t="n">
        <v>0.0107</v>
      </c>
      <c r="D4615" s="12" t="inlineStr">
        <is>
          <t>PO-2022-2801</t>
        </is>
      </c>
      <c r="E4615" s="12" t="n">
        <v>4.62</v>
      </c>
      <c r="F4615" s="17" t="n">
        <v>111226.53</v>
      </c>
      <c r="G4615" s="14">
        <f>E4615*F4615</f>
        <v/>
      </c>
      <c r="H4615" s="14">
        <f>C4615*G4615</f>
        <v/>
      </c>
    </row>
    <row r="4616">
      <c r="A4616" s="12" t="inlineStr">
        <is>
          <t>RET-0359</t>
        </is>
      </c>
      <c r="B4616" s="12" t="inlineStr">
        <is>
          <t>VS25</t>
        </is>
      </c>
      <c r="C4616" s="28" t="n">
        <v>0.0193</v>
      </c>
      <c r="D4616" s="12" t="inlineStr">
        <is>
          <t>PO-2022-2125</t>
        </is>
      </c>
      <c r="E4616" s="12" t="n">
        <v>4.62</v>
      </c>
      <c r="F4616" s="17" t="n">
        <v>74938.37</v>
      </c>
      <c r="G4616" s="14">
        <f>E4616*F4616</f>
        <v/>
      </c>
      <c r="H4616" s="14">
        <f>C4616*G4616</f>
        <v/>
      </c>
    </row>
    <row r="4617">
      <c r="A4617" s="12" t="inlineStr">
        <is>
          <t>RET-0359</t>
        </is>
      </c>
      <c r="B4617" s="12" t="inlineStr">
        <is>
          <t>VS26</t>
        </is>
      </c>
      <c r="C4617" s="28" t="n">
        <v>0.0107</v>
      </c>
      <c r="D4617" s="12" t="inlineStr">
        <is>
          <t>PO-2022-1609</t>
        </is>
      </c>
      <c r="E4617" s="12" t="n">
        <v>4.62</v>
      </c>
      <c r="F4617" s="17" t="n">
        <v>58777.03</v>
      </c>
      <c r="G4617" s="14">
        <f>E4617*F4617</f>
        <v/>
      </c>
      <c r="H4617" s="14">
        <f>C4617*G4617</f>
        <v/>
      </c>
    </row>
    <row r="4618">
      <c r="A4618" s="12" t="inlineStr">
        <is>
          <t>RET-0359</t>
        </is>
      </c>
      <c r="B4618" s="12" t="inlineStr">
        <is>
          <t>VS27</t>
        </is>
      </c>
      <c r="C4618" s="28" t="n">
        <v>0.0105</v>
      </c>
      <c r="D4618" s="12" t="inlineStr">
        <is>
          <t>PO-2022-2558</t>
        </is>
      </c>
      <c r="E4618" s="12" t="n">
        <v>4.62</v>
      </c>
      <c r="F4618" s="17" t="n">
        <v>92365.35000000001</v>
      </c>
      <c r="G4618" s="14">
        <f>E4618*F4618</f>
        <v/>
      </c>
      <c r="H4618" s="14">
        <f>C4618*G4618</f>
        <v/>
      </c>
    </row>
    <row r="4619">
      <c r="A4619" s="12" t="inlineStr">
        <is>
          <t>RET-0359</t>
        </is>
      </c>
      <c r="B4619" s="12" t="inlineStr">
        <is>
          <t>VS28</t>
        </is>
      </c>
      <c r="C4619" s="28" t="n">
        <v>0.0235</v>
      </c>
      <c r="D4619" s="12" t="inlineStr">
        <is>
          <t>PO-2022-3112</t>
        </is>
      </c>
      <c r="E4619" s="12" t="n">
        <v>4.62</v>
      </c>
      <c r="F4619" s="17" t="n">
        <v>97404.73</v>
      </c>
      <c r="G4619" s="14">
        <f>E4619*F4619</f>
        <v/>
      </c>
      <c r="H4619" s="14">
        <f>C4619*G4619</f>
        <v/>
      </c>
    </row>
    <row r="4620">
      <c r="A4620" s="12" t="inlineStr">
        <is>
          <t>RET-0359</t>
        </is>
      </c>
      <c r="B4620" s="12" t="inlineStr">
        <is>
          <t>VS29</t>
        </is>
      </c>
      <c r="C4620" s="28" t="n">
        <v>0.0149</v>
      </c>
      <c r="D4620" s="12" t="inlineStr">
        <is>
          <t>PO-2022-3078</t>
        </is>
      </c>
      <c r="E4620" s="12" t="n">
        <v>4.62</v>
      </c>
      <c r="F4620" s="17" t="n">
        <v>55212.32</v>
      </c>
      <c r="G4620" s="14">
        <f>E4620*F4620</f>
        <v/>
      </c>
      <c r="H4620" s="14">
        <f>C4620*G4620</f>
        <v/>
      </c>
    </row>
    <row r="4621">
      <c r="A4621" s="12" t="inlineStr">
        <is>
          <t>RET-0359</t>
        </is>
      </c>
      <c r="B4621" s="12" t="inlineStr">
        <is>
          <t>VS30</t>
        </is>
      </c>
      <c r="C4621" s="28" t="n">
        <v>0.0064</v>
      </c>
      <c r="D4621" s="12" t="inlineStr">
        <is>
          <t>PO-2023-4431</t>
        </is>
      </c>
      <c r="E4621" s="12" t="n">
        <v>4.62</v>
      </c>
      <c r="F4621" s="17" t="n">
        <v>76340.92999999999</v>
      </c>
      <c r="G4621" s="14">
        <f>E4621*F4621</f>
        <v/>
      </c>
      <c r="H4621" s="14">
        <f>C4621*G4621</f>
        <v/>
      </c>
    </row>
    <row r="4622">
      <c r="A4622" s="12" t="inlineStr">
        <is>
          <t>RET-0359</t>
        </is>
      </c>
      <c r="B4622" s="12" t="inlineStr">
        <is>
          <t>VS31</t>
        </is>
      </c>
      <c r="C4622" s="28" t="n">
        <v>0.0234</v>
      </c>
      <c r="D4622" s="12" t="inlineStr">
        <is>
          <t>PO-2022-2601</t>
        </is>
      </c>
      <c r="E4622" s="12" t="n">
        <v>4.62</v>
      </c>
      <c r="F4622" s="17" t="n">
        <v>72084.61</v>
      </c>
      <c r="G4622" s="14">
        <f>E4622*F4622</f>
        <v/>
      </c>
      <c r="H4622" s="14">
        <f>C4622*G4622</f>
        <v/>
      </c>
    </row>
    <row r="4623">
      <c r="A4623" s="12" t="inlineStr">
        <is>
          <t>RET-0359</t>
        </is>
      </c>
      <c r="B4623" s="12" t="inlineStr">
        <is>
          <t>VS32</t>
        </is>
      </c>
      <c r="C4623" s="28" t="n">
        <v>0.0279</v>
      </c>
      <c r="D4623" s="12" t="inlineStr">
        <is>
          <t>PO-2022-2415</t>
        </is>
      </c>
      <c r="E4623" s="12" t="n">
        <v>4.62</v>
      </c>
      <c r="F4623" s="17" t="n">
        <v>71362.27</v>
      </c>
      <c r="G4623" s="14">
        <f>E4623*F4623</f>
        <v/>
      </c>
      <c r="H4623" s="14">
        <f>C4623*G4623</f>
        <v/>
      </c>
    </row>
    <row r="4624">
      <c r="A4624" s="12" t="inlineStr">
        <is>
          <t>RET-0359</t>
        </is>
      </c>
      <c r="B4624" s="12" t="inlineStr">
        <is>
          <t>VS33</t>
        </is>
      </c>
      <c r="C4624" s="28" t="n">
        <v>0.0149</v>
      </c>
      <c r="D4624" s="12" t="inlineStr">
        <is>
          <t>PO-2022-3032</t>
        </is>
      </c>
      <c r="E4624" s="12" t="n">
        <v>4.62</v>
      </c>
      <c r="F4624" s="17" t="n">
        <v>86778.44</v>
      </c>
      <c r="G4624" s="14">
        <f>E4624*F4624</f>
        <v/>
      </c>
      <c r="H4624" s="14">
        <f>C4624*G4624</f>
        <v/>
      </c>
    </row>
    <row r="4625">
      <c r="A4625" s="12" t="inlineStr">
        <is>
          <t>RET-0359</t>
        </is>
      </c>
      <c r="B4625" s="12" t="inlineStr">
        <is>
          <t>VS34</t>
        </is>
      </c>
      <c r="C4625" s="28" t="n">
        <v>0.0192</v>
      </c>
      <c r="D4625" s="12" t="inlineStr">
        <is>
          <t>PO-2021-0947</t>
        </is>
      </c>
      <c r="E4625" s="12" t="n">
        <v>4.62</v>
      </c>
      <c r="F4625" s="17" t="n">
        <v>51330.11</v>
      </c>
      <c r="G4625" s="14">
        <f>E4625*F4625</f>
        <v/>
      </c>
      <c r="H4625" s="14">
        <f>C4625*G4625</f>
        <v/>
      </c>
    </row>
    <row r="4626">
      <c r="A4626" s="12" t="inlineStr">
        <is>
          <t>RET-0361</t>
        </is>
      </c>
      <c r="B4626" s="12" t="inlineStr">
        <is>
          <t>VS01</t>
        </is>
      </c>
      <c r="C4626" s="28" t="n">
        <v>0.0234</v>
      </c>
      <c r="D4626" s="12" t="inlineStr">
        <is>
          <t>PO-2021-1443</t>
        </is>
      </c>
      <c r="E4626" s="12" t="n">
        <v>4.57</v>
      </c>
      <c r="F4626" s="17" t="n">
        <v>75135.63</v>
      </c>
      <c r="G4626" s="14">
        <f>E4626*F4626</f>
        <v/>
      </c>
      <c r="H4626" s="14">
        <f>C4626*G4626</f>
        <v/>
      </c>
    </row>
    <row r="4627">
      <c r="A4627" s="12" t="inlineStr">
        <is>
          <t>RET-0361</t>
        </is>
      </c>
      <c r="B4627" s="12" t="inlineStr">
        <is>
          <t>VS02</t>
        </is>
      </c>
      <c r="C4627" s="28" t="n">
        <v>0.0106</v>
      </c>
      <c r="D4627" s="12" t="inlineStr">
        <is>
          <t>PO-2021-1292</t>
        </is>
      </c>
      <c r="E4627" s="12" t="n">
        <v>4.57</v>
      </c>
      <c r="F4627" s="17" t="n">
        <v>71474.60000000001</v>
      </c>
      <c r="G4627" s="14">
        <f>E4627*F4627</f>
        <v/>
      </c>
      <c r="H4627" s="14">
        <f>C4627*G4627</f>
        <v/>
      </c>
    </row>
    <row r="4628">
      <c r="A4628" s="12" t="inlineStr">
        <is>
          <t>RET-0361</t>
        </is>
      </c>
      <c r="B4628" s="12" t="inlineStr">
        <is>
          <t>VS03</t>
        </is>
      </c>
      <c r="C4628" s="28" t="n">
        <v>0.1413</v>
      </c>
      <c r="D4628" s="12" t="inlineStr">
        <is>
          <t>PO-2021-1517</t>
        </is>
      </c>
      <c r="E4628" s="12" t="n">
        <v>4.57</v>
      </c>
      <c r="F4628" s="17" t="n">
        <v>99412.73</v>
      </c>
      <c r="G4628" s="14">
        <f>E4628*F4628</f>
        <v/>
      </c>
      <c r="H4628" s="14">
        <f>C4628*G4628</f>
        <v/>
      </c>
    </row>
    <row r="4629">
      <c r="A4629" s="12" t="inlineStr">
        <is>
          <t>RET-0361</t>
        </is>
      </c>
      <c r="B4629" s="12" t="inlineStr">
        <is>
          <t>VS04</t>
        </is>
      </c>
      <c r="C4629" s="28" t="n">
        <v>0.0147</v>
      </c>
      <c r="D4629" s="12" t="inlineStr">
        <is>
          <t>PO-2022-1938</t>
        </is>
      </c>
      <c r="E4629" s="12" t="n">
        <v>4.57</v>
      </c>
      <c r="F4629" s="17" t="n">
        <v>50007.9</v>
      </c>
      <c r="G4629" s="14">
        <f>E4629*F4629</f>
        <v/>
      </c>
      <c r="H4629" s="14">
        <f>C4629*G4629</f>
        <v/>
      </c>
    </row>
    <row r="4630">
      <c r="A4630" s="12" t="inlineStr">
        <is>
          <t>RET-0361</t>
        </is>
      </c>
      <c r="B4630" s="12" t="inlineStr">
        <is>
          <t>VS05</t>
        </is>
      </c>
      <c r="C4630" s="28" t="n">
        <v>0.019</v>
      </c>
      <c r="D4630" s="12" t="inlineStr">
        <is>
          <t>PO-2023-3675</t>
        </is>
      </c>
      <c r="E4630" s="12" t="n">
        <v>4.57</v>
      </c>
      <c r="F4630" s="17" t="n">
        <v>111529.44</v>
      </c>
      <c r="G4630" s="14">
        <f>E4630*F4630</f>
        <v/>
      </c>
      <c r="H4630" s="14">
        <f>C4630*G4630</f>
        <v/>
      </c>
    </row>
    <row r="4631">
      <c r="A4631" s="12" t="inlineStr">
        <is>
          <t>RET-0361</t>
        </is>
      </c>
      <c r="B4631" s="12" t="inlineStr">
        <is>
          <t>VS06</t>
        </is>
      </c>
      <c r="C4631" s="28" t="n">
        <v>0.0192</v>
      </c>
      <c r="D4631" s="12" t="inlineStr">
        <is>
          <t>PO-2023-3305</t>
        </is>
      </c>
      <c r="E4631" s="12" t="n">
        <v>4.57</v>
      </c>
      <c r="F4631" s="17" t="n">
        <v>116820.89</v>
      </c>
      <c r="G4631" s="14">
        <f>E4631*F4631</f>
        <v/>
      </c>
      <c r="H4631" s="14">
        <f>C4631*G4631</f>
        <v/>
      </c>
    </row>
    <row r="4632">
      <c r="A4632" s="12" t="inlineStr">
        <is>
          <t>RET-0361</t>
        </is>
      </c>
      <c r="B4632" s="12" t="inlineStr">
        <is>
          <t>VS07</t>
        </is>
      </c>
      <c r="C4632" s="28" t="n">
        <v>0.0064</v>
      </c>
      <c r="D4632" s="12" t="inlineStr">
        <is>
          <t>PO-2023-3607</t>
        </is>
      </c>
      <c r="E4632" s="12" t="n">
        <v>4.57</v>
      </c>
      <c r="F4632" s="17" t="n">
        <v>86608.19</v>
      </c>
      <c r="G4632" s="14">
        <f>E4632*F4632</f>
        <v/>
      </c>
      <c r="H4632" s="14">
        <f>C4632*G4632</f>
        <v/>
      </c>
    </row>
    <row r="4633">
      <c r="A4633" s="12" t="inlineStr">
        <is>
          <t>RET-0361</t>
        </is>
      </c>
      <c r="B4633" s="12" t="inlineStr">
        <is>
          <t>VS08</t>
        </is>
      </c>
      <c r="C4633" s="28" t="n">
        <v>0.0193</v>
      </c>
      <c r="D4633" s="12" t="inlineStr">
        <is>
          <t>PO-2021-0618</t>
        </is>
      </c>
      <c r="E4633" s="12" t="n">
        <v>4.57</v>
      </c>
      <c r="F4633" s="17" t="n">
        <v>89198.71000000001</v>
      </c>
      <c r="G4633" s="14">
        <f>E4633*F4633</f>
        <v/>
      </c>
      <c r="H4633" s="14">
        <f>C4633*G4633</f>
        <v/>
      </c>
    </row>
    <row r="4634">
      <c r="A4634" s="12" t="inlineStr">
        <is>
          <t>RET-0361</t>
        </is>
      </c>
      <c r="B4634" s="12" t="inlineStr">
        <is>
          <t>VS09</t>
        </is>
      </c>
      <c r="C4634" s="28" t="n">
        <v>0.0148</v>
      </c>
      <c r="D4634" s="12" t="inlineStr">
        <is>
          <t>PO-2023-3582</t>
        </is>
      </c>
      <c r="E4634" s="12" t="n">
        <v>4.57</v>
      </c>
      <c r="F4634" s="17" t="n">
        <v>58745.47</v>
      </c>
      <c r="G4634" s="14">
        <f>E4634*F4634</f>
        <v/>
      </c>
      <c r="H4634" s="14">
        <f>C4634*G4634</f>
        <v/>
      </c>
    </row>
    <row r="4635">
      <c r="A4635" s="12" t="inlineStr">
        <is>
          <t>RET-0361</t>
        </is>
      </c>
      <c r="B4635" s="12" t="inlineStr">
        <is>
          <t>VS10</t>
        </is>
      </c>
      <c r="C4635" s="28" t="n">
        <v>0.0233</v>
      </c>
      <c r="D4635" s="12" t="inlineStr">
        <is>
          <t>PO-2022-1720</t>
        </is>
      </c>
      <c r="E4635" s="12" t="n">
        <v>4.57</v>
      </c>
      <c r="F4635" s="17" t="n">
        <v>100876.95</v>
      </c>
      <c r="G4635" s="14">
        <f>E4635*F4635</f>
        <v/>
      </c>
      <c r="H4635" s="14">
        <f>C4635*G4635</f>
        <v/>
      </c>
    </row>
    <row r="4636">
      <c r="A4636" s="12" t="inlineStr">
        <is>
          <t>RET-0361</t>
        </is>
      </c>
      <c r="B4636" s="12" t="inlineStr">
        <is>
          <t>VS11</t>
        </is>
      </c>
      <c r="C4636" s="28" t="n">
        <v>0.0273</v>
      </c>
      <c r="D4636" s="12" t="inlineStr">
        <is>
          <t>PO-2021-1559</t>
        </is>
      </c>
      <c r="E4636" s="12" t="n">
        <v>4.57</v>
      </c>
      <c r="F4636" s="17" t="n">
        <v>73811.28</v>
      </c>
      <c r="G4636" s="14">
        <f>E4636*F4636</f>
        <v/>
      </c>
      <c r="H4636" s="14">
        <f>C4636*G4636</f>
        <v/>
      </c>
    </row>
    <row r="4637">
      <c r="A4637" s="12" t="inlineStr">
        <is>
          <t>RET-0361</t>
        </is>
      </c>
      <c r="B4637" s="12" t="inlineStr">
        <is>
          <t>VS12</t>
        </is>
      </c>
      <c r="C4637" s="28" t="n">
        <v>0.1964</v>
      </c>
      <c r="D4637" s="12" t="inlineStr">
        <is>
          <t>PO-2023-3259</t>
        </is>
      </c>
      <c r="E4637" s="12" t="n">
        <v>4.57</v>
      </c>
      <c r="F4637" s="17" t="n">
        <v>55372.98</v>
      </c>
      <c r="G4637" s="14">
        <f>E4637*F4637</f>
        <v/>
      </c>
      <c r="H4637" s="14">
        <f>C4637*G4637</f>
        <v/>
      </c>
    </row>
    <row r="4638">
      <c r="A4638" s="12" t="inlineStr">
        <is>
          <t>RET-0361</t>
        </is>
      </c>
      <c r="B4638" s="12" t="inlineStr">
        <is>
          <t>VS13</t>
        </is>
      </c>
      <c r="C4638" s="28" t="n">
        <v>0.0188</v>
      </c>
      <c r="D4638" s="12" t="inlineStr">
        <is>
          <t>PO-2023-4543</t>
        </is>
      </c>
      <c r="E4638" s="12" t="n">
        <v>2.9</v>
      </c>
      <c r="F4638" s="17" t="n">
        <v>68328.46000000001</v>
      </c>
      <c r="G4638" s="14">
        <f>E4638*F4638</f>
        <v/>
      </c>
      <c r="H4638" s="14">
        <f>C4638*G4638</f>
        <v/>
      </c>
    </row>
    <row r="4639">
      <c r="A4639" s="12" t="inlineStr">
        <is>
          <t>RET-0361</t>
        </is>
      </c>
      <c r="B4639" s="12" t="inlineStr">
        <is>
          <t>VS14</t>
        </is>
      </c>
      <c r="C4639" s="28" t="n">
        <v>0.019</v>
      </c>
      <c r="D4639" s="12" t="inlineStr">
        <is>
          <t>PO-2023-4776</t>
        </is>
      </c>
      <c r="E4639" s="12" t="n">
        <v>4.57</v>
      </c>
      <c r="F4639" s="17" t="n">
        <v>99170.78</v>
      </c>
      <c r="G4639" s="14">
        <f>E4639*F4639</f>
        <v/>
      </c>
      <c r="H4639" s="14">
        <f>C4639*G4639</f>
        <v/>
      </c>
    </row>
    <row r="4640">
      <c r="A4640" s="12" t="inlineStr">
        <is>
          <t>RET-0361</t>
        </is>
      </c>
      <c r="B4640" s="12" t="inlineStr">
        <is>
          <t>VS15</t>
        </is>
      </c>
      <c r="C4640" s="28" t="n">
        <v>0.0064</v>
      </c>
      <c r="D4640" s="12" t="inlineStr">
        <is>
          <t>PO-2022-2567</t>
        </is>
      </c>
      <c r="E4640" s="12" t="n">
        <v>4.57</v>
      </c>
      <c r="F4640" s="17" t="n">
        <v>45168.78</v>
      </c>
      <c r="G4640" s="14">
        <f>E4640*F4640</f>
        <v/>
      </c>
      <c r="H4640" s="14">
        <f>C4640*G4640</f>
        <v/>
      </c>
    </row>
    <row r="4641">
      <c r="A4641" s="12" t="inlineStr">
        <is>
          <t>RET-0361</t>
        </is>
      </c>
      <c r="B4641" s="12" t="inlineStr">
        <is>
          <t>VS16</t>
        </is>
      </c>
      <c r="C4641" s="28" t="n">
        <v>0.0274</v>
      </c>
      <c r="D4641" s="12" t="inlineStr">
        <is>
          <t>PO-2021-0110</t>
        </is>
      </c>
      <c r="E4641" s="12" t="n">
        <v>4.57</v>
      </c>
      <c r="F4641" s="17" t="n">
        <v>73768.95</v>
      </c>
      <c r="G4641" s="14">
        <f>E4641*F4641</f>
        <v/>
      </c>
      <c r="H4641" s="14">
        <f>C4641*G4641</f>
        <v/>
      </c>
    </row>
    <row r="4642">
      <c r="A4642" s="12" t="inlineStr">
        <is>
          <t>RET-0361</t>
        </is>
      </c>
      <c r="B4642" s="12" t="inlineStr">
        <is>
          <t>VS17</t>
        </is>
      </c>
      <c r="C4642" s="28" t="n">
        <v>0.0273</v>
      </c>
      <c r="D4642" s="12" t="inlineStr">
        <is>
          <t>PO-2023-3425</t>
        </is>
      </c>
      <c r="E4642" s="12" t="n">
        <v>4.57</v>
      </c>
      <c r="F4642" s="17" t="n">
        <v>65193.38</v>
      </c>
      <c r="G4642" s="14">
        <f>E4642*F4642</f>
        <v/>
      </c>
      <c r="H4642" s="14">
        <f>C4642*G4642</f>
        <v/>
      </c>
    </row>
    <row r="4643">
      <c r="A4643" s="12" t="inlineStr">
        <is>
          <t>RET-0361</t>
        </is>
      </c>
      <c r="B4643" s="12" t="inlineStr">
        <is>
          <t>VS18</t>
        </is>
      </c>
      <c r="C4643" s="28" t="n">
        <v>0.019</v>
      </c>
      <c r="D4643" s="12" t="inlineStr">
        <is>
          <t>PO-2022-3026</t>
        </is>
      </c>
      <c r="E4643" s="12" t="n">
        <v>4.57</v>
      </c>
      <c r="F4643" s="17" t="n">
        <v>64034.48</v>
      </c>
      <c r="G4643" s="14">
        <f>E4643*F4643</f>
        <v/>
      </c>
      <c r="H4643" s="14">
        <f>C4643*G4643</f>
        <v/>
      </c>
    </row>
    <row r="4644">
      <c r="A4644" s="12" t="inlineStr">
        <is>
          <t>RET-0361</t>
        </is>
      </c>
      <c r="B4644" s="12" t="inlineStr">
        <is>
          <t>VS19</t>
        </is>
      </c>
      <c r="C4644" s="28" t="n">
        <v>0.1482</v>
      </c>
      <c r="D4644" s="12" t="inlineStr">
        <is>
          <t>PO-2022-2028</t>
        </is>
      </c>
      <c r="E4644" s="12" t="n">
        <v>4.57</v>
      </c>
      <c r="F4644" s="17" t="n">
        <v>96312.27</v>
      </c>
      <c r="G4644" s="14">
        <f>E4644*F4644</f>
        <v/>
      </c>
      <c r="H4644" s="14">
        <f>C4644*G4644</f>
        <v/>
      </c>
    </row>
    <row r="4645">
      <c r="A4645" s="12" t="inlineStr">
        <is>
          <t>RET-0361</t>
        </is>
      </c>
      <c r="B4645" s="12" t="inlineStr">
        <is>
          <t>VS20</t>
        </is>
      </c>
      <c r="C4645" s="28" t="n">
        <v>0.0106</v>
      </c>
      <c r="D4645" s="12" t="inlineStr">
        <is>
          <t>PO-2021-1472</t>
        </is>
      </c>
      <c r="E4645" s="12" t="n">
        <v>4.57</v>
      </c>
      <c r="F4645" s="17" t="n">
        <v>88286.81</v>
      </c>
      <c r="G4645" s="14">
        <f>E4645*F4645</f>
        <v/>
      </c>
      <c r="H4645" s="14">
        <f>C4645*G4645</f>
        <v/>
      </c>
    </row>
    <row r="4646">
      <c r="A4646" s="12" t="inlineStr">
        <is>
          <t>RET-0361</t>
        </is>
      </c>
      <c r="B4646" s="12" t="inlineStr">
        <is>
          <t>VS21</t>
        </is>
      </c>
      <c r="C4646" s="28" t="n">
        <v>0.0106</v>
      </c>
      <c r="D4646" s="12" t="inlineStr">
        <is>
          <t>PO-2022-3142</t>
        </is>
      </c>
      <c r="E4646" s="12" t="n">
        <v>4.57</v>
      </c>
      <c r="F4646" s="17" t="n">
        <v>80283.39</v>
      </c>
      <c r="G4646" s="14">
        <f>E4646*F4646</f>
        <v/>
      </c>
      <c r="H4646" s="14">
        <f>C4646*G4646</f>
        <v/>
      </c>
    </row>
    <row r="4647">
      <c r="A4647" s="12" t="inlineStr">
        <is>
          <t>RET-0361</t>
        </is>
      </c>
      <c r="B4647" s="12" t="inlineStr">
        <is>
          <t>VS22</t>
        </is>
      </c>
      <c r="C4647" s="28" t="n">
        <v>0.0063</v>
      </c>
      <c r="D4647" s="12" t="inlineStr">
        <is>
          <t>PO-2021-0898</t>
        </is>
      </c>
      <c r="E4647" s="12" t="n">
        <v>4.57</v>
      </c>
      <c r="F4647" s="17" t="n">
        <v>52732.71</v>
      </c>
      <c r="G4647" s="14">
        <f>E4647*F4647</f>
        <v/>
      </c>
      <c r="H4647" s="14">
        <f>C4647*G4647</f>
        <v/>
      </c>
    </row>
    <row r="4648">
      <c r="A4648" s="12" t="inlineStr">
        <is>
          <t>RET-0361</t>
        </is>
      </c>
      <c r="B4648" s="12" t="inlineStr">
        <is>
          <t>VS23</t>
        </is>
      </c>
      <c r="C4648" s="28" t="n">
        <v>0.0104</v>
      </c>
      <c r="D4648" s="12" t="inlineStr">
        <is>
          <t>PO-2022-2915</t>
        </is>
      </c>
      <c r="E4648" s="12" t="n">
        <v>4.57</v>
      </c>
      <c r="F4648" s="17" t="n">
        <v>77211.37</v>
      </c>
      <c r="G4648" s="14">
        <f>E4648*F4648</f>
        <v/>
      </c>
      <c r="H4648" s="14">
        <f>C4648*G4648</f>
        <v/>
      </c>
    </row>
    <row r="4649">
      <c r="A4649" s="12" t="inlineStr">
        <is>
          <t>RET-0361</t>
        </is>
      </c>
      <c r="B4649" s="12" t="inlineStr">
        <is>
          <t>VS24</t>
        </is>
      </c>
      <c r="C4649" s="28" t="n">
        <v>0.0106</v>
      </c>
      <c r="D4649" s="12" t="inlineStr">
        <is>
          <t>PO-2022-2909</t>
        </is>
      </c>
      <c r="E4649" s="12" t="n">
        <v>4.57</v>
      </c>
      <c r="F4649" s="17" t="n">
        <v>89456.05</v>
      </c>
      <c r="G4649" s="14">
        <f>E4649*F4649</f>
        <v/>
      </c>
      <c r="H4649" s="14">
        <f>C4649*G4649</f>
        <v/>
      </c>
    </row>
    <row r="4650">
      <c r="A4650" s="12" t="inlineStr">
        <is>
          <t>RET-0361</t>
        </is>
      </c>
      <c r="B4650" s="12" t="inlineStr">
        <is>
          <t>VS25</t>
        </is>
      </c>
      <c r="C4650" s="28" t="n">
        <v>0.0191</v>
      </c>
      <c r="D4650" s="12" t="inlineStr">
        <is>
          <t>PO-2022-3043</t>
        </is>
      </c>
      <c r="E4650" s="12" t="n">
        <v>4.57</v>
      </c>
      <c r="F4650" s="17" t="n">
        <v>69855.56</v>
      </c>
      <c r="G4650" s="14">
        <f>E4650*F4650</f>
        <v/>
      </c>
      <c r="H4650" s="14">
        <f>C4650*G4650</f>
        <v/>
      </c>
    </row>
    <row r="4651">
      <c r="A4651" s="12" t="inlineStr">
        <is>
          <t>RET-0361</t>
        </is>
      </c>
      <c r="B4651" s="12" t="inlineStr">
        <is>
          <t>VS26</t>
        </is>
      </c>
      <c r="C4651" s="28" t="n">
        <v>0.0107</v>
      </c>
      <c r="D4651" s="12" t="inlineStr">
        <is>
          <t>PO-2023-3789</t>
        </is>
      </c>
      <c r="E4651" s="12" t="n">
        <v>2.44</v>
      </c>
      <c r="F4651" s="17" t="n">
        <v>74306.56</v>
      </c>
      <c r="G4651" s="14">
        <f>E4651*F4651</f>
        <v/>
      </c>
      <c r="H4651" s="14">
        <f>C4651*G4651</f>
        <v/>
      </c>
    </row>
    <row r="4652">
      <c r="A4652" s="12" t="inlineStr">
        <is>
          <t>RET-0361</t>
        </is>
      </c>
      <c r="B4652" s="12" t="inlineStr">
        <is>
          <t>VS27</t>
        </is>
      </c>
      <c r="C4652" s="28" t="n">
        <v>0.0104</v>
      </c>
      <c r="D4652" s="12" t="inlineStr">
        <is>
          <t>PO-2023-4761</t>
        </is>
      </c>
      <c r="E4652" s="12" t="n">
        <v>4.57</v>
      </c>
      <c r="F4652" s="17" t="n">
        <v>111332.92</v>
      </c>
      <c r="G4652" s="14">
        <f>E4652*F4652</f>
        <v/>
      </c>
      <c r="H4652" s="14">
        <f>C4652*G4652</f>
        <v/>
      </c>
    </row>
    <row r="4653">
      <c r="A4653" s="12" t="inlineStr">
        <is>
          <t>RET-0361</t>
        </is>
      </c>
      <c r="B4653" s="12" t="inlineStr">
        <is>
          <t>VS28</t>
        </is>
      </c>
      <c r="C4653" s="28" t="n">
        <v>0.0233</v>
      </c>
      <c r="D4653" s="12" t="inlineStr">
        <is>
          <t>PO-2022-2392</t>
        </is>
      </c>
      <c r="E4653" s="12" t="n">
        <v>4.57</v>
      </c>
      <c r="F4653" s="17" t="n">
        <v>117968.03</v>
      </c>
      <c r="G4653" s="14">
        <f>E4653*F4653</f>
        <v/>
      </c>
      <c r="H4653" s="14">
        <f>C4653*G4653</f>
        <v/>
      </c>
    </row>
    <row r="4654">
      <c r="A4654" s="12" t="inlineStr">
        <is>
          <t>RET-0361</t>
        </is>
      </c>
      <c r="B4654" s="12" t="inlineStr">
        <is>
          <t>VS29</t>
        </is>
      </c>
      <c r="C4654" s="28" t="n">
        <v>0.0148</v>
      </c>
      <c r="D4654" s="12" t="inlineStr">
        <is>
          <t>PO-2022-3010</t>
        </is>
      </c>
      <c r="E4654" s="12" t="n">
        <v>4.57</v>
      </c>
      <c r="F4654" s="17" t="n">
        <v>74860.8</v>
      </c>
      <c r="G4654" s="14">
        <f>E4654*F4654</f>
        <v/>
      </c>
      <c r="H4654" s="14">
        <f>C4654*G4654</f>
        <v/>
      </c>
    </row>
    <row r="4655">
      <c r="A4655" s="12" t="inlineStr">
        <is>
          <t>RET-0361</t>
        </is>
      </c>
      <c r="B4655" s="12" t="inlineStr">
        <is>
          <t>VS30</t>
        </is>
      </c>
      <c r="C4655" s="28" t="n">
        <v>0.0064</v>
      </c>
      <c r="D4655" s="12" t="inlineStr">
        <is>
          <t>PO-2021-1018</t>
        </is>
      </c>
      <c r="E4655" s="12" t="n">
        <v>4.57</v>
      </c>
      <c r="F4655" s="17" t="n">
        <v>110564.93</v>
      </c>
      <c r="G4655" s="14">
        <f>E4655*F4655</f>
        <v/>
      </c>
      <c r="H4655" s="14">
        <f>C4655*G4655</f>
        <v/>
      </c>
    </row>
    <row r="4656">
      <c r="A4656" s="12" t="inlineStr">
        <is>
          <t>RET-0361</t>
        </is>
      </c>
      <c r="B4656" s="12" t="inlineStr">
        <is>
          <t>VS31</t>
        </is>
      </c>
      <c r="C4656" s="28" t="n">
        <v>0.0232</v>
      </c>
      <c r="D4656" s="12" t="inlineStr">
        <is>
          <t>PO-2023-4326</t>
        </is>
      </c>
      <c r="E4656" s="12" t="n">
        <v>4.57</v>
      </c>
      <c r="F4656" s="17" t="n">
        <v>116259.48</v>
      </c>
      <c r="G4656" s="14">
        <f>E4656*F4656</f>
        <v/>
      </c>
      <c r="H4656" s="14">
        <f>C4656*G4656</f>
        <v/>
      </c>
    </row>
    <row r="4657">
      <c r="A4657" s="12" t="inlineStr">
        <is>
          <t>RET-0361</t>
        </is>
      </c>
      <c r="B4657" s="12" t="inlineStr">
        <is>
          <t>VS32</t>
        </is>
      </c>
      <c r="C4657" s="28" t="n">
        <v>0.0276</v>
      </c>
      <c r="D4657" s="12" t="inlineStr">
        <is>
          <t>PO-2022-2347</t>
        </is>
      </c>
      <c r="E4657" s="12" t="n">
        <v>4.57</v>
      </c>
      <c r="F4657" s="17" t="n">
        <v>111818.29</v>
      </c>
      <c r="G4657" s="14">
        <f>E4657*F4657</f>
        <v/>
      </c>
      <c r="H4657" s="14">
        <f>C4657*G4657</f>
        <v/>
      </c>
    </row>
    <row r="4658">
      <c r="A4658" s="12" t="inlineStr">
        <is>
          <t>RET-0361</t>
        </is>
      </c>
      <c r="B4658" s="12" t="inlineStr">
        <is>
          <t>VS33</t>
        </is>
      </c>
      <c r="C4658" s="28" t="n">
        <v>0.0147</v>
      </c>
      <c r="D4658" s="12" t="inlineStr">
        <is>
          <t>PO-2022-2422</t>
        </is>
      </c>
      <c r="E4658" s="12" t="n">
        <v>4.36</v>
      </c>
      <c r="F4658" s="17" t="n">
        <v>58592.5</v>
      </c>
      <c r="G4658" s="14">
        <f>E4658*F4658</f>
        <v/>
      </c>
      <c r="H4658" s="14">
        <f>C4658*G4658</f>
        <v/>
      </c>
    </row>
    <row r="4659">
      <c r="A4659" s="12" t="inlineStr">
        <is>
          <t>RET-0361</t>
        </is>
      </c>
      <c r="B4659" s="12" t="inlineStr">
        <is>
          <t>VS34</t>
        </is>
      </c>
      <c r="C4659" s="28" t="n">
        <v>0.0191</v>
      </c>
      <c r="D4659" s="12" t="inlineStr">
        <is>
          <t>PO-2021-0313</t>
        </is>
      </c>
      <c r="E4659" s="12" t="n">
        <v>4.57</v>
      </c>
      <c r="F4659" s="17" t="n">
        <v>72133.87</v>
      </c>
      <c r="G4659" s="14">
        <f>E4659*F4659</f>
        <v/>
      </c>
      <c r="H4659" s="14">
        <f>C4659*G4659</f>
        <v/>
      </c>
    </row>
    <row r="4660">
      <c r="A4660" s="12" t="inlineStr">
        <is>
          <t>RET-0368</t>
        </is>
      </c>
      <c r="B4660" s="12" t="inlineStr">
        <is>
          <t>VS01</t>
        </is>
      </c>
      <c r="C4660" s="28" t="n">
        <v>0.0171</v>
      </c>
      <c r="D4660" s="12" t="inlineStr">
        <is>
          <t>PO-2023-3230</t>
        </is>
      </c>
      <c r="E4660" s="12" t="n">
        <v>1.4</v>
      </c>
      <c r="F4660" s="17" t="n">
        <v>62183.64</v>
      </c>
      <c r="G4660" s="14">
        <f>E4660*F4660</f>
        <v/>
      </c>
      <c r="H4660" s="14">
        <f>C4660*G4660</f>
        <v/>
      </c>
    </row>
    <row r="4661">
      <c r="A4661" s="12" t="inlineStr">
        <is>
          <t>RET-0368</t>
        </is>
      </c>
      <c r="B4661" s="12" t="inlineStr">
        <is>
          <t>VS02</t>
        </is>
      </c>
      <c r="C4661" s="28" t="n">
        <v>0.0078</v>
      </c>
      <c r="D4661" s="12" t="inlineStr">
        <is>
          <t>PO-2021-1001</t>
        </is>
      </c>
      <c r="E4661" s="12" t="n">
        <v>1.4</v>
      </c>
      <c r="F4661" s="17" t="n">
        <v>50314.46</v>
      </c>
      <c r="G4661" s="14">
        <f>E4661*F4661</f>
        <v/>
      </c>
      <c r="H4661" s="14">
        <f>C4661*G4661</f>
        <v/>
      </c>
    </row>
    <row r="4662">
      <c r="A4662" s="12" t="inlineStr">
        <is>
          <t>RET-0368</t>
        </is>
      </c>
      <c r="B4662" s="12" t="inlineStr">
        <is>
          <t>VS03</t>
        </is>
      </c>
      <c r="C4662" s="28" t="n">
        <v>0.1812</v>
      </c>
      <c r="D4662" s="12" t="inlineStr">
        <is>
          <t>PO-2023-4791</t>
        </is>
      </c>
      <c r="E4662" s="12" t="n">
        <v>1.4</v>
      </c>
      <c r="F4662" s="17" t="n">
        <v>64698.51</v>
      </c>
      <c r="G4662" s="14">
        <f>E4662*F4662</f>
        <v/>
      </c>
      <c r="H4662" s="14">
        <f>C4662*G4662</f>
        <v/>
      </c>
    </row>
    <row r="4663">
      <c r="A4663" s="12" t="inlineStr">
        <is>
          <t>RET-0368</t>
        </is>
      </c>
      <c r="B4663" s="12" t="inlineStr">
        <is>
          <t>VS04</t>
        </is>
      </c>
      <c r="C4663" s="28" t="n">
        <v>0.0107</v>
      </c>
      <c r="D4663" s="12" t="inlineStr">
        <is>
          <t>PO-2021-0282</t>
        </is>
      </c>
      <c r="E4663" s="12" t="n">
        <v>1.4</v>
      </c>
      <c r="F4663" s="17" t="n">
        <v>92176.89</v>
      </c>
      <c r="G4663" s="14">
        <f>E4663*F4663</f>
        <v/>
      </c>
      <c r="H4663" s="14">
        <f>C4663*G4663</f>
        <v/>
      </c>
    </row>
    <row r="4664">
      <c r="A4664" s="12" t="inlineStr">
        <is>
          <t>RET-0368</t>
        </is>
      </c>
      <c r="B4664" s="12" t="inlineStr">
        <is>
          <t>VS05</t>
        </is>
      </c>
      <c r="C4664" s="28" t="n">
        <v>0.014</v>
      </c>
      <c r="D4664" s="12" t="inlineStr">
        <is>
          <t>PO-2023-3705</t>
        </is>
      </c>
      <c r="E4664" s="12" t="n">
        <v>1.4</v>
      </c>
      <c r="F4664" s="17" t="n">
        <v>89099.86</v>
      </c>
      <c r="G4664" s="14">
        <f>E4664*F4664</f>
        <v/>
      </c>
      <c r="H4664" s="14">
        <f>C4664*G4664</f>
        <v/>
      </c>
    </row>
    <row r="4665">
      <c r="A4665" s="12" t="inlineStr">
        <is>
          <t>RET-0368</t>
        </is>
      </c>
      <c r="B4665" s="12" t="inlineStr">
        <is>
          <t>VS06</t>
        </is>
      </c>
      <c r="C4665" s="28" t="n">
        <v>0.0141</v>
      </c>
      <c r="D4665" s="12" t="inlineStr">
        <is>
          <t>PO-2023-4693</t>
        </is>
      </c>
      <c r="E4665" s="12" t="n">
        <v>1.4</v>
      </c>
      <c r="F4665" s="17" t="n">
        <v>70845.97</v>
      </c>
      <c r="G4665" s="14">
        <f>E4665*F4665</f>
        <v/>
      </c>
      <c r="H4665" s="14">
        <f>C4665*G4665</f>
        <v/>
      </c>
    </row>
    <row r="4666">
      <c r="A4666" s="12" t="inlineStr">
        <is>
          <t>RET-0368</t>
        </is>
      </c>
      <c r="B4666" s="12" t="inlineStr">
        <is>
          <t>VS07</t>
        </is>
      </c>
      <c r="C4666" s="28" t="n">
        <v>0.0047</v>
      </c>
      <c r="D4666" s="12" t="inlineStr">
        <is>
          <t>PO-2021-0793</t>
        </is>
      </c>
      <c r="E4666" s="12" t="n">
        <v>1.4</v>
      </c>
      <c r="F4666" s="17" t="n">
        <v>47386.29</v>
      </c>
      <c r="G4666" s="14">
        <f>E4666*F4666</f>
        <v/>
      </c>
      <c r="H4666" s="14">
        <f>C4666*G4666</f>
        <v/>
      </c>
    </row>
    <row r="4667">
      <c r="A4667" s="12" t="inlineStr">
        <is>
          <t>RET-0368</t>
        </is>
      </c>
      <c r="B4667" s="12" t="inlineStr">
        <is>
          <t>VS08</t>
        </is>
      </c>
      <c r="C4667" s="28" t="n">
        <v>0.0142</v>
      </c>
      <c r="D4667" s="12" t="inlineStr">
        <is>
          <t>PO-2023-4533</t>
        </is>
      </c>
      <c r="E4667" s="12" t="n">
        <v>1.4</v>
      </c>
      <c r="F4667" s="17" t="n">
        <v>97995.92999999999</v>
      </c>
      <c r="G4667" s="14">
        <f>E4667*F4667</f>
        <v/>
      </c>
      <c r="H4667" s="14">
        <f>C4667*G4667</f>
        <v/>
      </c>
    </row>
    <row r="4668">
      <c r="A4668" s="12" t="inlineStr">
        <is>
          <t>RET-0368</t>
        </is>
      </c>
      <c r="B4668" s="12" t="inlineStr">
        <is>
          <t>VS09</t>
        </is>
      </c>
      <c r="C4668" s="28" t="n">
        <v>0.0109</v>
      </c>
      <c r="D4668" s="12" t="inlineStr">
        <is>
          <t>PO-2021-0819</t>
        </is>
      </c>
      <c r="E4668" s="12" t="n">
        <v>1.4</v>
      </c>
      <c r="F4668" s="17" t="n">
        <v>81589.58</v>
      </c>
      <c r="G4668" s="14">
        <f>E4668*F4668</f>
        <v/>
      </c>
      <c r="H4668" s="14">
        <f>C4668*G4668</f>
        <v/>
      </c>
    </row>
    <row r="4669">
      <c r="A4669" s="12" t="inlineStr">
        <is>
          <t>RET-0368</t>
        </is>
      </c>
      <c r="B4669" s="12" t="inlineStr">
        <is>
          <t>VS10</t>
        </is>
      </c>
      <c r="C4669" s="28" t="n">
        <v>0.0171</v>
      </c>
      <c r="D4669" s="12" t="inlineStr">
        <is>
          <t>PO-2021-1193</t>
        </is>
      </c>
      <c r="E4669" s="12" t="n">
        <v>1.4</v>
      </c>
      <c r="F4669" s="17" t="n">
        <v>93541.89999999999</v>
      </c>
      <c r="G4669" s="14">
        <f>E4669*F4669</f>
        <v/>
      </c>
      <c r="H4669" s="14">
        <f>C4669*G4669</f>
        <v/>
      </c>
    </row>
    <row r="4670">
      <c r="A4670" s="12" t="inlineStr">
        <is>
          <t>RET-0368</t>
        </is>
      </c>
      <c r="B4670" s="12" t="inlineStr">
        <is>
          <t>VS11</t>
        </is>
      </c>
      <c r="C4670" s="28" t="n">
        <v>0.02</v>
      </c>
      <c r="D4670" s="12" t="inlineStr">
        <is>
          <t>PO-2021-0407</t>
        </is>
      </c>
      <c r="E4670" s="12" t="n">
        <v>1.4</v>
      </c>
      <c r="F4670" s="17" t="n">
        <v>59032.39</v>
      </c>
      <c r="G4670" s="14">
        <f>E4670*F4670</f>
        <v/>
      </c>
      <c r="H4670" s="14">
        <f>C4670*G4670</f>
        <v/>
      </c>
    </row>
    <row r="4671">
      <c r="A4671" s="12" t="inlineStr">
        <is>
          <t>RET-0368</t>
        </is>
      </c>
      <c r="B4671" s="12" t="inlineStr">
        <is>
          <t>VS12</t>
        </is>
      </c>
      <c r="C4671" s="28" t="n">
        <v>0.2519</v>
      </c>
      <c r="D4671" s="12" t="inlineStr">
        <is>
          <t>PO-2022-2048</t>
        </is>
      </c>
      <c r="E4671" s="12" t="n">
        <v>1.4</v>
      </c>
      <c r="F4671" s="17" t="n">
        <v>118668.08</v>
      </c>
      <c r="G4671" s="14">
        <f>E4671*F4671</f>
        <v/>
      </c>
      <c r="H4671" s="14">
        <f>C4671*G4671</f>
        <v/>
      </c>
    </row>
    <row r="4672">
      <c r="A4672" s="12" t="inlineStr">
        <is>
          <t>RET-0368</t>
        </is>
      </c>
      <c r="B4672" s="12" t="inlineStr">
        <is>
          <t>VS13</t>
        </is>
      </c>
      <c r="C4672" s="28" t="n">
        <v>0.0138</v>
      </c>
      <c r="D4672" s="12" t="inlineStr">
        <is>
          <t>PO-2022-2440</t>
        </is>
      </c>
      <c r="E4672" s="12" t="n">
        <v>1.4</v>
      </c>
      <c r="F4672" s="17" t="n">
        <v>61059.19</v>
      </c>
      <c r="G4672" s="14">
        <f>E4672*F4672</f>
        <v/>
      </c>
      <c r="H4672" s="14">
        <f>C4672*G4672</f>
        <v/>
      </c>
    </row>
    <row r="4673">
      <c r="A4673" s="12" t="inlineStr">
        <is>
          <t>RET-0368</t>
        </is>
      </c>
      <c r="B4673" s="12" t="inlineStr">
        <is>
          <t>VS14</t>
        </is>
      </c>
      <c r="C4673" s="28" t="n">
        <v>0.0139</v>
      </c>
      <c r="D4673" s="12" t="inlineStr">
        <is>
          <t>PO-2021-0339</t>
        </is>
      </c>
      <c r="E4673" s="12" t="n">
        <v>1.4</v>
      </c>
      <c r="F4673" s="17" t="n">
        <v>113027.46</v>
      </c>
      <c r="G4673" s="14">
        <f>E4673*F4673</f>
        <v/>
      </c>
      <c r="H4673" s="14">
        <f>C4673*G4673</f>
        <v/>
      </c>
    </row>
    <row r="4674">
      <c r="A4674" s="12" t="inlineStr">
        <is>
          <t>RET-0368</t>
        </is>
      </c>
      <c r="B4674" s="12" t="inlineStr">
        <is>
          <t>VS15</t>
        </is>
      </c>
      <c r="C4674" s="28" t="n">
        <v>0.0047</v>
      </c>
      <c r="D4674" s="12" t="inlineStr">
        <is>
          <t>PO-2023-3647</t>
        </is>
      </c>
      <c r="E4674" s="12" t="n">
        <v>1.4</v>
      </c>
      <c r="F4674" s="17" t="n">
        <v>49590.11</v>
      </c>
      <c r="G4674" s="14">
        <f>E4674*F4674</f>
        <v/>
      </c>
      <c r="H4674" s="14">
        <f>C4674*G4674</f>
        <v/>
      </c>
    </row>
    <row r="4675">
      <c r="A4675" s="12" t="inlineStr">
        <is>
          <t>RET-0368</t>
        </is>
      </c>
      <c r="B4675" s="12" t="inlineStr">
        <is>
          <t>VS16</t>
        </is>
      </c>
      <c r="C4675" s="28" t="n">
        <v>0.0201</v>
      </c>
      <c r="D4675" s="12" t="inlineStr">
        <is>
          <t>PO-2022-2345</t>
        </is>
      </c>
      <c r="E4675" s="12" t="n">
        <v>1.4</v>
      </c>
      <c r="F4675" s="17" t="n">
        <v>111791.78</v>
      </c>
      <c r="G4675" s="14">
        <f>E4675*F4675</f>
        <v/>
      </c>
      <c r="H4675" s="14">
        <f>C4675*G4675</f>
        <v/>
      </c>
    </row>
    <row r="4676">
      <c r="A4676" s="12" t="inlineStr">
        <is>
          <t>RET-0368</t>
        </is>
      </c>
      <c r="B4676" s="12" t="inlineStr">
        <is>
          <t>VS17</t>
        </is>
      </c>
      <c r="C4676" s="28" t="n">
        <v>0.02</v>
      </c>
      <c r="D4676" s="12" t="inlineStr">
        <is>
          <t>PO-2022-1889</t>
        </is>
      </c>
      <c r="E4676" s="12" t="n">
        <v>1.4</v>
      </c>
      <c r="F4676" s="17" t="n">
        <v>106040.16</v>
      </c>
      <c r="G4676" s="14">
        <f>E4676*F4676</f>
        <v/>
      </c>
      <c r="H4676" s="14">
        <f>C4676*G4676</f>
        <v/>
      </c>
    </row>
    <row r="4677">
      <c r="A4677" s="12" t="inlineStr">
        <is>
          <t>RET-0368</t>
        </is>
      </c>
      <c r="B4677" s="12" t="inlineStr">
        <is>
          <t>VS18</t>
        </is>
      </c>
      <c r="C4677" s="28" t="n">
        <v>0.0139</v>
      </c>
      <c r="D4677" s="12" t="inlineStr">
        <is>
          <t>PO-2022-2622</t>
        </is>
      </c>
      <c r="E4677" s="12" t="n">
        <v>1.4</v>
      </c>
      <c r="F4677" s="17" t="n">
        <v>65222.96</v>
      </c>
      <c r="G4677" s="14">
        <f>E4677*F4677</f>
        <v/>
      </c>
      <c r="H4677" s="14">
        <f>C4677*G4677</f>
        <v/>
      </c>
    </row>
    <row r="4678">
      <c r="A4678" s="12" t="inlineStr">
        <is>
          <t>RET-0368</t>
        </is>
      </c>
      <c r="B4678" s="12" t="inlineStr">
        <is>
          <t>VS19</t>
        </is>
      </c>
      <c r="C4678" s="28" t="n">
        <v>0.19</v>
      </c>
      <c r="D4678" s="12" t="inlineStr">
        <is>
          <t>PO-2021-0488</t>
        </is>
      </c>
      <c r="E4678" s="12" t="n">
        <v>1.4</v>
      </c>
      <c r="F4678" s="17" t="n">
        <v>89753.72</v>
      </c>
      <c r="G4678" s="14">
        <f>E4678*F4678</f>
        <v/>
      </c>
      <c r="H4678" s="14">
        <f>C4678*G4678</f>
        <v/>
      </c>
    </row>
    <row r="4679">
      <c r="A4679" s="12" t="inlineStr">
        <is>
          <t>RET-0368</t>
        </is>
      </c>
      <c r="B4679" s="12" t="inlineStr">
        <is>
          <t>VS20</t>
        </is>
      </c>
      <c r="C4679" s="28" t="n">
        <v>0.0078</v>
      </c>
      <c r="D4679" s="12" t="inlineStr">
        <is>
          <t>PO-2023-3606</t>
        </is>
      </c>
      <c r="E4679" s="12" t="n">
        <v>1.4</v>
      </c>
      <c r="F4679" s="17" t="n">
        <v>63052.64</v>
      </c>
      <c r="G4679" s="14">
        <f>E4679*F4679</f>
        <v/>
      </c>
      <c r="H4679" s="14">
        <f>C4679*G4679</f>
        <v/>
      </c>
    </row>
    <row r="4680">
      <c r="A4680" s="12" t="inlineStr">
        <is>
          <t>RET-0368</t>
        </is>
      </c>
      <c r="B4680" s="12" t="inlineStr">
        <is>
          <t>VS21</t>
        </is>
      </c>
      <c r="C4680" s="28" t="n">
        <v>0.0078</v>
      </c>
      <c r="D4680" s="12" t="inlineStr">
        <is>
          <t>PO-2023-3638</t>
        </is>
      </c>
      <c r="E4680" s="12" t="n">
        <v>1.4</v>
      </c>
      <c r="F4680" s="17" t="n">
        <v>70272</v>
      </c>
      <c r="G4680" s="14">
        <f>E4680*F4680</f>
        <v/>
      </c>
      <c r="H4680" s="14">
        <f>C4680*G4680</f>
        <v/>
      </c>
    </row>
    <row r="4681">
      <c r="A4681" s="12" t="inlineStr">
        <is>
          <t>RET-0368</t>
        </is>
      </c>
      <c r="B4681" s="12" t="inlineStr">
        <is>
          <t>VS22</t>
        </is>
      </c>
      <c r="C4681" s="28" t="n">
        <v>0.0046</v>
      </c>
      <c r="D4681" s="12" t="inlineStr">
        <is>
          <t>PO-2022-2156</t>
        </is>
      </c>
      <c r="E4681" s="12" t="n">
        <v>1.4</v>
      </c>
      <c r="F4681" s="17" t="n">
        <v>79223.7</v>
      </c>
      <c r="G4681" s="14">
        <f>E4681*F4681</f>
        <v/>
      </c>
      <c r="H4681" s="14">
        <f>C4681*G4681</f>
        <v/>
      </c>
    </row>
    <row r="4682">
      <c r="A4682" s="12" t="inlineStr">
        <is>
          <t>RET-0368</t>
        </is>
      </c>
      <c r="B4682" s="12" t="inlineStr">
        <is>
          <t>VS23</t>
        </is>
      </c>
      <c r="C4682" s="28" t="n">
        <v>0.0077</v>
      </c>
      <c r="D4682" s="12" t="inlineStr">
        <is>
          <t>PO-2022-1893</t>
        </is>
      </c>
      <c r="E4682" s="12" t="n">
        <v>1.4</v>
      </c>
      <c r="F4682" s="17" t="n">
        <v>116575.14</v>
      </c>
      <c r="G4682" s="14">
        <f>E4682*F4682</f>
        <v/>
      </c>
      <c r="H4682" s="14">
        <f>C4682*G4682</f>
        <v/>
      </c>
    </row>
    <row r="4683">
      <c r="A4683" s="12" t="inlineStr">
        <is>
          <t>RET-0368</t>
        </is>
      </c>
      <c r="B4683" s="12" t="inlineStr">
        <is>
          <t>VS24</t>
        </is>
      </c>
      <c r="C4683" s="28" t="n">
        <v>0.0077</v>
      </c>
      <c r="D4683" s="12" t="inlineStr">
        <is>
          <t>PO-2021-1141</t>
        </is>
      </c>
      <c r="E4683" s="12" t="n">
        <v>1.4</v>
      </c>
      <c r="F4683" s="17" t="n">
        <v>106602.4</v>
      </c>
      <c r="G4683" s="14">
        <f>E4683*F4683</f>
        <v/>
      </c>
      <c r="H4683" s="14">
        <f>C4683*G4683</f>
        <v/>
      </c>
    </row>
    <row r="4684">
      <c r="A4684" s="12" t="inlineStr">
        <is>
          <t>RET-0368</t>
        </is>
      </c>
      <c r="B4684" s="12" t="inlineStr">
        <is>
          <t>VS25</t>
        </is>
      </c>
      <c r="C4684" s="28" t="n">
        <v>0.014</v>
      </c>
      <c r="D4684" s="12" t="inlineStr">
        <is>
          <t>PO-2022-2296</t>
        </is>
      </c>
      <c r="E4684" s="12" t="n">
        <v>1.4</v>
      </c>
      <c r="F4684" s="17" t="n">
        <v>57784.35</v>
      </c>
      <c r="G4684" s="14">
        <f>E4684*F4684</f>
        <v/>
      </c>
      <c r="H4684" s="14">
        <f>C4684*G4684</f>
        <v/>
      </c>
    </row>
    <row r="4685">
      <c r="A4685" s="12" t="inlineStr">
        <is>
          <t>RET-0368</t>
        </is>
      </c>
      <c r="B4685" s="12" t="inlineStr">
        <is>
          <t>VS26</t>
        </is>
      </c>
      <c r="C4685" s="28" t="n">
        <v>0.0078</v>
      </c>
      <c r="D4685" s="12" t="inlineStr">
        <is>
          <t>PO-2022-2542</t>
        </is>
      </c>
      <c r="E4685" s="12" t="n">
        <v>1.4</v>
      </c>
      <c r="F4685" s="17" t="n">
        <v>89502.75999999999</v>
      </c>
      <c r="G4685" s="14">
        <f>E4685*F4685</f>
        <v/>
      </c>
      <c r="H4685" s="14">
        <f>C4685*G4685</f>
        <v/>
      </c>
    </row>
    <row r="4686">
      <c r="A4686" s="12" t="inlineStr">
        <is>
          <t>RET-0368</t>
        </is>
      </c>
      <c r="B4686" s="12" t="inlineStr">
        <is>
          <t>VS27</t>
        </is>
      </c>
      <c r="C4686" s="28" t="n">
        <v>0.0077</v>
      </c>
      <c r="D4686" s="12" t="inlineStr">
        <is>
          <t>PO-2023-4076</t>
        </is>
      </c>
      <c r="E4686" s="12" t="n">
        <v>1.4</v>
      </c>
      <c r="F4686" s="17" t="n">
        <v>100527.7</v>
      </c>
      <c r="G4686" s="14">
        <f>E4686*F4686</f>
        <v/>
      </c>
      <c r="H4686" s="14">
        <f>C4686*G4686</f>
        <v/>
      </c>
    </row>
    <row r="4687">
      <c r="A4687" s="12" t="inlineStr">
        <is>
          <t>RET-0368</t>
        </is>
      </c>
      <c r="B4687" s="12" t="inlineStr">
        <is>
          <t>VS28</t>
        </is>
      </c>
      <c r="C4687" s="28" t="n">
        <v>0.0171</v>
      </c>
      <c r="D4687" s="12" t="inlineStr">
        <is>
          <t>PO-2023-4169</t>
        </is>
      </c>
      <c r="E4687" s="12" t="n">
        <v>1.4</v>
      </c>
      <c r="F4687" s="17" t="n">
        <v>72637.67999999999</v>
      </c>
      <c r="G4687" s="14">
        <f>E4687*F4687</f>
        <v/>
      </c>
      <c r="H4687" s="14">
        <f>C4687*G4687</f>
        <v/>
      </c>
    </row>
    <row r="4688">
      <c r="A4688" s="12" t="inlineStr">
        <is>
          <t>RET-0368</t>
        </is>
      </c>
      <c r="B4688" s="12" t="inlineStr">
        <is>
          <t>VS29</t>
        </is>
      </c>
      <c r="C4688" s="28" t="n">
        <v>0.0109</v>
      </c>
      <c r="D4688" s="12" t="inlineStr">
        <is>
          <t>PO-2023-3329</t>
        </is>
      </c>
      <c r="E4688" s="12" t="n">
        <v>1.4</v>
      </c>
      <c r="F4688" s="17" t="n">
        <v>97649.31</v>
      </c>
      <c r="G4688" s="14">
        <f>E4688*F4688</f>
        <v/>
      </c>
      <c r="H4688" s="14">
        <f>C4688*G4688</f>
        <v/>
      </c>
    </row>
    <row r="4689">
      <c r="A4689" s="12" t="inlineStr">
        <is>
          <t>RET-0368</t>
        </is>
      </c>
      <c r="B4689" s="12" t="inlineStr">
        <is>
          <t>VS30</t>
        </is>
      </c>
      <c r="C4689" s="28" t="n">
        <v>0.0047</v>
      </c>
      <c r="D4689" s="12" t="inlineStr">
        <is>
          <t>PO-2021-0228</t>
        </is>
      </c>
      <c r="E4689" s="12" t="n">
        <v>1.4</v>
      </c>
      <c r="F4689" s="17" t="n">
        <v>105862.33</v>
      </c>
      <c r="G4689" s="14">
        <f>E4689*F4689</f>
        <v/>
      </c>
      <c r="H4689" s="14">
        <f>C4689*G4689</f>
        <v/>
      </c>
    </row>
    <row r="4690">
      <c r="A4690" s="12" t="inlineStr">
        <is>
          <t>RET-0368</t>
        </is>
      </c>
      <c r="B4690" s="12" t="inlineStr">
        <is>
          <t>VS31</t>
        </is>
      </c>
      <c r="C4690" s="28" t="n">
        <v>0.017</v>
      </c>
      <c r="D4690" s="12" t="inlineStr">
        <is>
          <t>PO-2022-2426</t>
        </is>
      </c>
      <c r="E4690" s="12" t="n">
        <v>1.4</v>
      </c>
      <c r="F4690" s="17" t="n">
        <v>74047.78</v>
      </c>
      <c r="G4690" s="14">
        <f>E4690*F4690</f>
        <v/>
      </c>
      <c r="H4690" s="14">
        <f>C4690*G4690</f>
        <v/>
      </c>
    </row>
    <row r="4691">
      <c r="A4691" s="12" t="inlineStr">
        <is>
          <t>RET-0368</t>
        </is>
      </c>
      <c r="B4691" s="12" t="inlineStr">
        <is>
          <t>VS32</t>
        </is>
      </c>
      <c r="C4691" s="28" t="n">
        <v>0.0203</v>
      </c>
      <c r="D4691" s="12" t="inlineStr">
        <is>
          <t>PO-2021-1098</t>
        </is>
      </c>
      <c r="E4691" s="12" t="n">
        <v>1.4</v>
      </c>
      <c r="F4691" s="17" t="n">
        <v>115680.23</v>
      </c>
      <c r="G4691" s="14">
        <f>E4691*F4691</f>
        <v/>
      </c>
      <c r="H4691" s="14">
        <f>C4691*G4691</f>
        <v/>
      </c>
    </row>
    <row r="4692">
      <c r="A4692" s="12" t="inlineStr">
        <is>
          <t>RET-0368</t>
        </is>
      </c>
      <c r="B4692" s="12" t="inlineStr">
        <is>
          <t>VS33</t>
        </is>
      </c>
      <c r="C4692" s="28" t="n">
        <v>0.0108</v>
      </c>
      <c r="D4692" s="12" t="inlineStr">
        <is>
          <t>PO-2021-1340</t>
        </is>
      </c>
      <c r="E4692" s="12" t="n">
        <v>1.4</v>
      </c>
      <c r="F4692" s="17" t="n">
        <v>51105.58</v>
      </c>
      <c r="G4692" s="14">
        <f>E4692*F4692</f>
        <v/>
      </c>
      <c r="H4692" s="14">
        <f>C4692*G4692</f>
        <v/>
      </c>
    </row>
    <row r="4693">
      <c r="A4693" s="12" t="inlineStr">
        <is>
          <t>RET-0368</t>
        </is>
      </c>
      <c r="B4693" s="12" t="inlineStr">
        <is>
          <t>VS34</t>
        </is>
      </c>
      <c r="C4693" s="28" t="n">
        <v>0.014</v>
      </c>
      <c r="D4693" s="12" t="inlineStr">
        <is>
          <t>PO-2022-2338</t>
        </is>
      </c>
      <c r="E4693" s="12" t="n">
        <v>1.4</v>
      </c>
      <c r="F4693" s="17" t="n">
        <v>76225.91</v>
      </c>
      <c r="G4693" s="14">
        <f>E4693*F4693</f>
        <v/>
      </c>
      <c r="H4693" s="14">
        <f>C4693*G4693</f>
        <v/>
      </c>
    </row>
    <row r="4694">
      <c r="A4694" s="12" t="inlineStr">
        <is>
          <t>RET-0370</t>
        </is>
      </c>
      <c r="B4694" s="12" t="inlineStr">
        <is>
          <t>VS01</t>
        </is>
      </c>
      <c r="C4694" s="28" t="n">
        <v>0.0216</v>
      </c>
      <c r="D4694" s="12" t="inlineStr">
        <is>
          <t>PO-2023-3417</t>
        </is>
      </c>
      <c r="E4694" s="12" t="n">
        <v>2.49</v>
      </c>
      <c r="F4694" s="17" t="n">
        <v>94380.89999999999</v>
      </c>
      <c r="G4694" s="14">
        <f>E4694*F4694</f>
        <v/>
      </c>
      <c r="H4694" s="14">
        <f>C4694*G4694</f>
        <v/>
      </c>
    </row>
    <row r="4695">
      <c r="A4695" s="12" t="inlineStr">
        <is>
          <t>RET-0370</t>
        </is>
      </c>
      <c r="B4695" s="12" t="inlineStr">
        <is>
          <t>VS02</t>
        </is>
      </c>
      <c r="C4695" s="28" t="n">
        <v>0.009900000000000001</v>
      </c>
      <c r="D4695" s="12" t="inlineStr">
        <is>
          <t>PO-2022-3109</t>
        </is>
      </c>
      <c r="E4695" s="12" t="n">
        <v>2.49</v>
      </c>
      <c r="F4695" s="17" t="n">
        <v>107192.52</v>
      </c>
      <c r="G4695" s="14">
        <f>E4695*F4695</f>
        <v/>
      </c>
      <c r="H4695" s="14">
        <f>C4695*G4695</f>
        <v/>
      </c>
    </row>
    <row r="4696">
      <c r="A4696" s="12" t="inlineStr">
        <is>
          <t>RET-0370</t>
        </is>
      </c>
      <c r="B4696" s="12" t="inlineStr">
        <is>
          <t>VS03</t>
        </is>
      </c>
      <c r="C4696" s="28" t="n">
        <v>0.1524</v>
      </c>
      <c r="D4696" s="12" t="inlineStr">
        <is>
          <t>PO-2021-0177</t>
        </is>
      </c>
      <c r="E4696" s="12" t="n">
        <v>2.49</v>
      </c>
      <c r="F4696" s="17" t="n">
        <v>93547.35000000001</v>
      </c>
      <c r="G4696" s="14">
        <f>E4696*F4696</f>
        <v/>
      </c>
      <c r="H4696" s="14">
        <f>C4696*G4696</f>
        <v/>
      </c>
    </row>
    <row r="4697">
      <c r="A4697" s="12" t="inlineStr">
        <is>
          <t>RET-0370</t>
        </is>
      </c>
      <c r="B4697" s="12" t="inlineStr">
        <is>
          <t>VS04</t>
        </is>
      </c>
      <c r="C4697" s="28" t="n">
        <v>0.0136</v>
      </c>
      <c r="D4697" s="12" t="inlineStr">
        <is>
          <t>PO-2023-4579</t>
        </is>
      </c>
      <c r="E4697" s="12" t="n">
        <v>2.49</v>
      </c>
      <c r="F4697" s="17" t="n">
        <v>110347</v>
      </c>
      <c r="G4697" s="14">
        <f>E4697*F4697</f>
        <v/>
      </c>
      <c r="H4697" s="14">
        <f>C4697*G4697</f>
        <v/>
      </c>
    </row>
    <row r="4698">
      <c r="A4698" s="12" t="inlineStr">
        <is>
          <t>RET-0370</t>
        </is>
      </c>
      <c r="B4698" s="12" t="inlineStr">
        <is>
          <t>VS05</t>
        </is>
      </c>
      <c r="C4698" s="28" t="n">
        <v>0.0176</v>
      </c>
      <c r="D4698" s="12" t="inlineStr">
        <is>
          <t>PO-2021-0012</t>
        </is>
      </c>
      <c r="E4698" s="12" t="n">
        <v>2.49</v>
      </c>
      <c r="F4698" s="17" t="n">
        <v>56831.01</v>
      </c>
      <c r="G4698" s="14">
        <f>E4698*F4698</f>
        <v/>
      </c>
      <c r="H4698" s="14">
        <f>C4698*G4698</f>
        <v/>
      </c>
    </row>
    <row r="4699">
      <c r="A4699" s="12" t="inlineStr">
        <is>
          <t>RET-0370</t>
        </is>
      </c>
      <c r="B4699" s="12" t="inlineStr">
        <is>
          <t>VS06</t>
        </is>
      </c>
      <c r="C4699" s="28" t="n">
        <v>0.0178</v>
      </c>
      <c r="D4699" s="12" t="inlineStr">
        <is>
          <t>PO-2021-0038</t>
        </is>
      </c>
      <c r="E4699" s="12" t="n">
        <v>2.49</v>
      </c>
      <c r="F4699" s="17" t="n">
        <v>61848.05</v>
      </c>
      <c r="G4699" s="14">
        <f>E4699*F4699</f>
        <v/>
      </c>
      <c r="H4699" s="14">
        <f>C4699*G4699</f>
        <v/>
      </c>
    </row>
    <row r="4700">
      <c r="A4700" s="12" t="inlineStr">
        <is>
          <t>RET-0370</t>
        </is>
      </c>
      <c r="B4700" s="12" t="inlineStr">
        <is>
          <t>VS07</t>
        </is>
      </c>
      <c r="C4700" s="28" t="n">
        <v>0.0059</v>
      </c>
      <c r="D4700" s="12" t="inlineStr">
        <is>
          <t>PO-2022-2027</t>
        </is>
      </c>
      <c r="E4700" s="12" t="n">
        <v>2.49</v>
      </c>
      <c r="F4700" s="17" t="n">
        <v>98175.64</v>
      </c>
      <c r="G4700" s="14">
        <f>E4700*F4700</f>
        <v/>
      </c>
      <c r="H4700" s="14">
        <f>C4700*G4700</f>
        <v/>
      </c>
    </row>
    <row r="4701">
      <c r="A4701" s="12" t="inlineStr">
        <is>
          <t>RET-0370</t>
        </is>
      </c>
      <c r="B4701" s="12" t="inlineStr">
        <is>
          <t>VS08</t>
        </is>
      </c>
      <c r="C4701" s="28" t="n">
        <v>0.0179</v>
      </c>
      <c r="D4701" s="12" t="inlineStr">
        <is>
          <t>PO-2023-3464</t>
        </is>
      </c>
      <c r="E4701" s="12" t="n">
        <v>2.49</v>
      </c>
      <c r="F4701" s="17" t="n">
        <v>48169.69</v>
      </c>
      <c r="G4701" s="14">
        <f>E4701*F4701</f>
        <v/>
      </c>
      <c r="H4701" s="14">
        <f>C4701*G4701</f>
        <v/>
      </c>
    </row>
    <row r="4702">
      <c r="A4702" s="12" t="inlineStr">
        <is>
          <t>RET-0370</t>
        </is>
      </c>
      <c r="B4702" s="12" t="inlineStr">
        <is>
          <t>VS09</t>
        </is>
      </c>
      <c r="C4702" s="28" t="n">
        <v>0.0137</v>
      </c>
      <c r="D4702" s="12" t="inlineStr">
        <is>
          <t>PO-2021-0665</t>
        </is>
      </c>
      <c r="E4702" s="12" t="n">
        <v>2.49</v>
      </c>
      <c r="F4702" s="17" t="n">
        <v>91463.67999999999</v>
      </c>
      <c r="G4702" s="14">
        <f>E4702*F4702</f>
        <v/>
      </c>
      <c r="H4702" s="14">
        <f>C4702*G4702</f>
        <v/>
      </c>
    </row>
    <row r="4703">
      <c r="A4703" s="12" t="inlineStr">
        <is>
          <t>RET-0370</t>
        </is>
      </c>
      <c r="B4703" s="12" t="inlineStr">
        <is>
          <t>VS10</t>
        </is>
      </c>
      <c r="C4703" s="28" t="n">
        <v>0.0216</v>
      </c>
      <c r="D4703" s="12" t="inlineStr">
        <is>
          <t>PO-2021-0283</t>
        </is>
      </c>
      <c r="E4703" s="12" t="n">
        <v>2.49</v>
      </c>
      <c r="F4703" s="17" t="n">
        <v>116115.39</v>
      </c>
      <c r="G4703" s="14">
        <f>E4703*F4703</f>
        <v/>
      </c>
      <c r="H4703" s="14">
        <f>C4703*G4703</f>
        <v/>
      </c>
    </row>
    <row r="4704">
      <c r="A4704" s="12" t="inlineStr">
        <is>
          <t>RET-0370</t>
        </is>
      </c>
      <c r="B4704" s="12" t="inlineStr">
        <is>
          <t>VS11</t>
        </is>
      </c>
      <c r="C4704" s="28" t="n">
        <v>0.0253</v>
      </c>
      <c r="D4704" s="12" t="inlineStr">
        <is>
          <t>PO-2022-3137</t>
        </is>
      </c>
      <c r="E4704" s="12" t="n">
        <v>2.49</v>
      </c>
      <c r="F4704" s="17" t="n">
        <v>86304.81</v>
      </c>
      <c r="G4704" s="14">
        <f>E4704*F4704</f>
        <v/>
      </c>
      <c r="H4704" s="14">
        <f>C4704*G4704</f>
        <v/>
      </c>
    </row>
    <row r="4705">
      <c r="A4705" s="12" t="inlineStr">
        <is>
          <t>RET-0370</t>
        </is>
      </c>
      <c r="B4705" s="12" t="inlineStr">
        <is>
          <t>VS12</t>
        </is>
      </c>
      <c r="C4705" s="28" t="n">
        <v>0.2119</v>
      </c>
      <c r="D4705" s="12" t="inlineStr">
        <is>
          <t>PO-2022-2964</t>
        </is>
      </c>
      <c r="E4705" s="12" t="n">
        <v>2.06</v>
      </c>
      <c r="F4705" s="17" t="n">
        <v>66651.98</v>
      </c>
      <c r="G4705" s="14">
        <f>E4705*F4705</f>
        <v/>
      </c>
      <c r="H4705" s="14">
        <f>C4705*G4705</f>
        <v/>
      </c>
    </row>
    <row r="4706">
      <c r="A4706" s="12" t="inlineStr">
        <is>
          <t>RET-0370</t>
        </is>
      </c>
      <c r="B4706" s="12" t="inlineStr">
        <is>
          <t>VS13</t>
        </is>
      </c>
      <c r="C4706" s="28" t="n">
        <v>0.0174</v>
      </c>
      <c r="D4706" s="12" t="inlineStr">
        <is>
          <t>PO-2022-2617</t>
        </is>
      </c>
      <c r="E4706" s="12" t="n">
        <v>2.49</v>
      </c>
      <c r="F4706" s="17" t="n">
        <v>116185.73</v>
      </c>
      <c r="G4706" s="14">
        <f>E4706*F4706</f>
        <v/>
      </c>
      <c r="H4706" s="14">
        <f>C4706*G4706</f>
        <v/>
      </c>
    </row>
    <row r="4707">
      <c r="A4707" s="12" t="inlineStr">
        <is>
          <t>RET-0370</t>
        </is>
      </c>
      <c r="B4707" s="12" t="inlineStr">
        <is>
          <t>VS14</t>
        </is>
      </c>
      <c r="C4707" s="28" t="n">
        <v>0.0176</v>
      </c>
      <c r="D4707" s="12" t="inlineStr">
        <is>
          <t>PO-2023-4113</t>
        </is>
      </c>
      <c r="E4707" s="12" t="n">
        <v>2.49</v>
      </c>
      <c r="F4707" s="17" t="n">
        <v>59433.23</v>
      </c>
      <c r="G4707" s="14">
        <f>E4707*F4707</f>
        <v/>
      </c>
      <c r="H4707" s="14">
        <f>C4707*G4707</f>
        <v/>
      </c>
    </row>
    <row r="4708">
      <c r="A4708" s="12" t="inlineStr">
        <is>
          <t>RET-0370</t>
        </is>
      </c>
      <c r="B4708" s="12" t="inlineStr">
        <is>
          <t>VS15</t>
        </is>
      </c>
      <c r="C4708" s="28" t="n">
        <v>0.0059</v>
      </c>
      <c r="D4708" s="12" t="inlineStr">
        <is>
          <t>PO-2021-0325</t>
        </is>
      </c>
      <c r="E4708" s="12" t="n">
        <v>2.49</v>
      </c>
      <c r="F4708" s="17" t="n">
        <v>56634.1</v>
      </c>
      <c r="G4708" s="14">
        <f>E4708*F4708</f>
        <v/>
      </c>
      <c r="H4708" s="14">
        <f>C4708*G4708</f>
        <v/>
      </c>
    </row>
    <row r="4709">
      <c r="A4709" s="12" t="inlineStr">
        <is>
          <t>RET-0370</t>
        </is>
      </c>
      <c r="B4709" s="12" t="inlineStr">
        <is>
          <t>VS16</t>
        </is>
      </c>
      <c r="C4709" s="28" t="n">
        <v>0.0254</v>
      </c>
      <c r="D4709" s="12" t="inlineStr">
        <is>
          <t>PO-2023-4315</t>
        </is>
      </c>
      <c r="E4709" s="12" t="n">
        <v>2.49</v>
      </c>
      <c r="F4709" s="17" t="n">
        <v>89495.03</v>
      </c>
      <c r="G4709" s="14">
        <f>E4709*F4709</f>
        <v/>
      </c>
      <c r="H4709" s="14">
        <f>C4709*G4709</f>
        <v/>
      </c>
    </row>
    <row r="4710">
      <c r="A4710" s="12" t="inlineStr">
        <is>
          <t>RET-0370</t>
        </is>
      </c>
      <c r="B4710" s="12" t="inlineStr">
        <is>
          <t>VS17</t>
        </is>
      </c>
      <c r="C4710" s="28" t="n">
        <v>0.0253</v>
      </c>
      <c r="D4710" s="12" t="inlineStr">
        <is>
          <t>PO-2023-3321</t>
        </is>
      </c>
      <c r="E4710" s="12" t="n">
        <v>2.49</v>
      </c>
      <c r="F4710" s="17" t="n">
        <v>79080.25999999999</v>
      </c>
      <c r="G4710" s="14">
        <f>E4710*F4710</f>
        <v/>
      </c>
      <c r="H4710" s="14">
        <f>C4710*G4710</f>
        <v/>
      </c>
    </row>
    <row r="4711">
      <c r="A4711" s="12" t="inlineStr">
        <is>
          <t>RET-0370</t>
        </is>
      </c>
      <c r="B4711" s="12" t="inlineStr">
        <is>
          <t>VS18</t>
        </is>
      </c>
      <c r="C4711" s="28" t="n">
        <v>0.0176</v>
      </c>
      <c r="D4711" s="12" t="inlineStr">
        <is>
          <t>PO-2021-1454</t>
        </is>
      </c>
      <c r="E4711" s="12" t="n">
        <v>2.49</v>
      </c>
      <c r="F4711" s="17" t="n">
        <v>94944.95</v>
      </c>
      <c r="G4711" s="14">
        <f>E4711*F4711</f>
        <v/>
      </c>
      <c r="H4711" s="14">
        <f>C4711*G4711</f>
        <v/>
      </c>
    </row>
    <row r="4712">
      <c r="A4712" s="12" t="inlineStr">
        <is>
          <t>RET-0370</t>
        </is>
      </c>
      <c r="B4712" s="12" t="inlineStr">
        <is>
          <t>VS19</t>
        </is>
      </c>
      <c r="C4712" s="28" t="n">
        <v>0.1598</v>
      </c>
      <c r="D4712" s="12" t="inlineStr">
        <is>
          <t>PO-2023-3475</t>
        </is>
      </c>
      <c r="E4712" s="12" t="n">
        <v>2.49</v>
      </c>
      <c r="F4712" s="17" t="n">
        <v>99749.73</v>
      </c>
      <c r="G4712" s="14">
        <f>E4712*F4712</f>
        <v/>
      </c>
      <c r="H4712" s="14">
        <f>C4712*G4712</f>
        <v/>
      </c>
    </row>
    <row r="4713">
      <c r="A4713" s="12" t="inlineStr">
        <is>
          <t>RET-0370</t>
        </is>
      </c>
      <c r="B4713" s="12" t="inlineStr">
        <is>
          <t>VS20</t>
        </is>
      </c>
      <c r="C4713" s="28" t="n">
        <v>0.0098</v>
      </c>
      <c r="D4713" s="12" t="inlineStr">
        <is>
          <t>PO-2021-0289</t>
        </is>
      </c>
      <c r="E4713" s="12" t="n">
        <v>2.49</v>
      </c>
      <c r="F4713" s="17" t="n">
        <v>118669.52</v>
      </c>
      <c r="G4713" s="14">
        <f>E4713*F4713</f>
        <v/>
      </c>
      <c r="H4713" s="14">
        <f>C4713*G4713</f>
        <v/>
      </c>
    </row>
    <row r="4714">
      <c r="A4714" s="12" t="inlineStr">
        <is>
          <t>RET-0370</t>
        </is>
      </c>
      <c r="B4714" s="12" t="inlineStr">
        <is>
          <t>VS21</t>
        </is>
      </c>
      <c r="C4714" s="28" t="n">
        <v>0.0098</v>
      </c>
      <c r="D4714" s="12" t="inlineStr">
        <is>
          <t>PO-2022-2550</t>
        </is>
      </c>
      <c r="E4714" s="12" t="n">
        <v>2.49</v>
      </c>
      <c r="F4714" s="17" t="n">
        <v>77650.11</v>
      </c>
      <c r="G4714" s="14">
        <f>E4714*F4714</f>
        <v/>
      </c>
      <c r="H4714" s="14">
        <f>C4714*G4714</f>
        <v/>
      </c>
    </row>
    <row r="4715">
      <c r="A4715" s="12" t="inlineStr">
        <is>
          <t>RET-0370</t>
        </is>
      </c>
      <c r="B4715" s="12" t="inlineStr">
        <is>
          <t>VS22</t>
        </is>
      </c>
      <c r="C4715" s="28" t="n">
        <v>0.0058</v>
      </c>
      <c r="D4715" s="12" t="inlineStr">
        <is>
          <t>PO-2023-4497</t>
        </is>
      </c>
      <c r="E4715" s="12" t="n">
        <v>2.49</v>
      </c>
      <c r="F4715" s="17" t="n">
        <v>48276.08</v>
      </c>
      <c r="G4715" s="14">
        <f>E4715*F4715</f>
        <v/>
      </c>
      <c r="H4715" s="14">
        <f>C4715*G4715</f>
        <v/>
      </c>
    </row>
    <row r="4716">
      <c r="A4716" s="12" t="inlineStr">
        <is>
          <t>RET-0370</t>
        </is>
      </c>
      <c r="B4716" s="12" t="inlineStr">
        <is>
          <t>VS23</t>
        </is>
      </c>
      <c r="C4716" s="28" t="n">
        <v>0.0097</v>
      </c>
      <c r="D4716" s="12" t="inlineStr">
        <is>
          <t>PO-2021-0933</t>
        </is>
      </c>
      <c r="E4716" s="12" t="n">
        <v>2.49</v>
      </c>
      <c r="F4716" s="17" t="n">
        <v>90342.99000000001</v>
      </c>
      <c r="G4716" s="14">
        <f>E4716*F4716</f>
        <v/>
      </c>
      <c r="H4716" s="14">
        <f>C4716*G4716</f>
        <v/>
      </c>
    </row>
    <row r="4717">
      <c r="A4717" s="12" t="inlineStr">
        <is>
          <t>RET-0370</t>
        </is>
      </c>
      <c r="B4717" s="12" t="inlineStr">
        <is>
          <t>VS24</t>
        </is>
      </c>
      <c r="C4717" s="28" t="n">
        <v>0.0098</v>
      </c>
      <c r="D4717" s="12" t="inlineStr">
        <is>
          <t>PO-2023-4470</t>
        </is>
      </c>
      <c r="E4717" s="12" t="n">
        <v>2.49</v>
      </c>
      <c r="F4717" s="17" t="n">
        <v>102821.12</v>
      </c>
      <c r="G4717" s="14">
        <f>E4717*F4717</f>
        <v/>
      </c>
      <c r="H4717" s="14">
        <f>C4717*G4717</f>
        <v/>
      </c>
    </row>
    <row r="4718">
      <c r="A4718" s="12" t="inlineStr">
        <is>
          <t>RET-0370</t>
        </is>
      </c>
      <c r="B4718" s="12" t="inlineStr">
        <is>
          <t>VS25</t>
        </is>
      </c>
      <c r="C4718" s="28" t="n">
        <v>0.0177</v>
      </c>
      <c r="D4718" s="12" t="inlineStr">
        <is>
          <t>PO-2021-0631</t>
        </is>
      </c>
      <c r="E4718" s="12" t="n">
        <v>2.49</v>
      </c>
      <c r="F4718" s="17" t="n">
        <v>104762.52</v>
      </c>
      <c r="G4718" s="14">
        <f>E4718*F4718</f>
        <v/>
      </c>
      <c r="H4718" s="14">
        <f>C4718*G4718</f>
        <v/>
      </c>
    </row>
    <row r="4719">
      <c r="A4719" s="12" t="inlineStr">
        <is>
          <t>RET-0370</t>
        </is>
      </c>
      <c r="B4719" s="12" t="inlineStr">
        <is>
          <t>VS26</t>
        </is>
      </c>
      <c r="C4719" s="28" t="n">
        <v>0.009900000000000001</v>
      </c>
      <c r="D4719" s="12" t="inlineStr">
        <is>
          <t>PO-2023-3233</t>
        </is>
      </c>
      <c r="E4719" s="12" t="n">
        <v>2.49</v>
      </c>
      <c r="F4719" s="17" t="n">
        <v>99007.13</v>
      </c>
      <c r="G4719" s="14">
        <f>E4719*F4719</f>
        <v/>
      </c>
      <c r="H4719" s="14">
        <f>C4719*G4719</f>
        <v/>
      </c>
    </row>
    <row r="4720">
      <c r="A4720" s="12" t="inlineStr">
        <is>
          <t>RET-0370</t>
        </is>
      </c>
      <c r="B4720" s="12" t="inlineStr">
        <is>
          <t>VS27</t>
        </is>
      </c>
      <c r="C4720" s="28" t="n">
        <v>0.0097</v>
      </c>
      <c r="D4720" s="12" t="inlineStr">
        <is>
          <t>PO-2023-3398</t>
        </is>
      </c>
      <c r="E4720" s="12" t="n">
        <v>1.69</v>
      </c>
      <c r="F4720" s="17" t="n">
        <v>114409.08</v>
      </c>
      <c r="G4720" s="14">
        <f>E4720*F4720</f>
        <v/>
      </c>
      <c r="H4720" s="14">
        <f>C4720*G4720</f>
        <v/>
      </c>
    </row>
    <row r="4721">
      <c r="A4721" s="12" t="inlineStr">
        <is>
          <t>RET-0370</t>
        </is>
      </c>
      <c r="B4721" s="12" t="inlineStr">
        <is>
          <t>VS28</t>
        </is>
      </c>
      <c r="C4721" s="28" t="n">
        <v>0.0216</v>
      </c>
      <c r="D4721" s="12" t="inlineStr">
        <is>
          <t>PO-2021-1457</t>
        </is>
      </c>
      <c r="E4721" s="12" t="n">
        <v>2.49</v>
      </c>
      <c r="F4721" s="17" t="n">
        <v>53676.75</v>
      </c>
      <c r="G4721" s="14">
        <f>E4721*F4721</f>
        <v/>
      </c>
      <c r="H4721" s="14">
        <f>C4721*G4721</f>
        <v/>
      </c>
    </row>
    <row r="4722">
      <c r="A4722" s="12" t="inlineStr">
        <is>
          <t>RET-0370</t>
        </is>
      </c>
      <c r="B4722" s="12" t="inlineStr">
        <is>
          <t>VS29</t>
        </is>
      </c>
      <c r="C4722" s="28" t="n">
        <v>0.0137</v>
      </c>
      <c r="D4722" s="12" t="inlineStr">
        <is>
          <t>PO-2021-1447</t>
        </is>
      </c>
      <c r="E4722" s="12" t="n">
        <v>2.49</v>
      </c>
      <c r="F4722" s="17" t="n">
        <v>75012.39</v>
      </c>
      <c r="G4722" s="14">
        <f>E4722*F4722</f>
        <v/>
      </c>
      <c r="H4722" s="14">
        <f>C4722*G4722</f>
        <v/>
      </c>
    </row>
    <row r="4723">
      <c r="A4723" s="12" t="inlineStr">
        <is>
          <t>RET-0370</t>
        </is>
      </c>
      <c r="B4723" s="12" t="inlineStr">
        <is>
          <t>VS30</t>
        </is>
      </c>
      <c r="C4723" s="28" t="n">
        <v>0.0059</v>
      </c>
      <c r="D4723" s="12" t="inlineStr">
        <is>
          <t>PO-2022-2498</t>
        </is>
      </c>
      <c r="E4723" s="12" t="n">
        <v>2.49</v>
      </c>
      <c r="F4723" s="17" t="n">
        <v>98265.69</v>
      </c>
      <c r="G4723" s="14">
        <f>E4723*F4723</f>
        <v/>
      </c>
      <c r="H4723" s="14">
        <f>C4723*G4723</f>
        <v/>
      </c>
    </row>
    <row r="4724">
      <c r="A4724" s="12" t="inlineStr">
        <is>
          <t>RET-0370</t>
        </is>
      </c>
      <c r="B4724" s="12" t="inlineStr">
        <is>
          <t>VS31</t>
        </is>
      </c>
      <c r="C4724" s="28" t="n">
        <v>0.0215</v>
      </c>
      <c r="D4724" s="12" t="inlineStr">
        <is>
          <t>PO-2022-1860</t>
        </is>
      </c>
      <c r="E4724" s="12" t="n">
        <v>2.49</v>
      </c>
      <c r="F4724" s="17" t="n">
        <v>76413.77</v>
      </c>
      <c r="G4724" s="14">
        <f>E4724*F4724</f>
        <v/>
      </c>
      <c r="H4724" s="14">
        <f>C4724*G4724</f>
        <v/>
      </c>
    </row>
    <row r="4725">
      <c r="A4725" s="12" t="inlineStr">
        <is>
          <t>RET-0370</t>
        </is>
      </c>
      <c r="B4725" s="12" t="inlineStr">
        <is>
          <t>VS32</t>
        </is>
      </c>
      <c r="C4725" s="28" t="n">
        <v>0.0256</v>
      </c>
      <c r="D4725" s="12" t="inlineStr">
        <is>
          <t>PO-2022-2633</t>
        </is>
      </c>
      <c r="E4725" s="12" t="n">
        <v>2.49</v>
      </c>
      <c r="F4725" s="17" t="n">
        <v>87182.64999999999</v>
      </c>
      <c r="G4725" s="14">
        <f>E4725*F4725</f>
        <v/>
      </c>
      <c r="H4725" s="14">
        <f>C4725*G4725</f>
        <v/>
      </c>
    </row>
    <row r="4726">
      <c r="A4726" s="12" t="inlineStr">
        <is>
          <t>RET-0370</t>
        </is>
      </c>
      <c r="B4726" s="12" t="inlineStr">
        <is>
          <t>VS33</t>
        </is>
      </c>
      <c r="C4726" s="28" t="n">
        <v>0.0136</v>
      </c>
      <c r="D4726" s="12" t="inlineStr">
        <is>
          <t>PO-2023-3494</t>
        </is>
      </c>
      <c r="E4726" s="12" t="n">
        <v>2.49</v>
      </c>
      <c r="F4726" s="17" t="n">
        <v>61083.68</v>
      </c>
      <c r="G4726" s="14">
        <f>E4726*F4726</f>
        <v/>
      </c>
      <c r="H4726" s="14">
        <f>C4726*G4726</f>
        <v/>
      </c>
    </row>
    <row r="4727">
      <c r="A4727" s="12" t="inlineStr">
        <is>
          <t>RET-0370</t>
        </is>
      </c>
      <c r="B4727" s="12" t="inlineStr">
        <is>
          <t>VS34</t>
        </is>
      </c>
      <c r="C4727" s="28" t="n">
        <v>0.0176</v>
      </c>
      <c r="D4727" s="12" t="inlineStr">
        <is>
          <t>PO-2023-4335</t>
        </is>
      </c>
      <c r="E4727" s="12" t="n">
        <v>2.49</v>
      </c>
      <c r="F4727" s="17" t="n">
        <v>103423.4</v>
      </c>
      <c r="G4727" s="14">
        <f>E4727*F4727</f>
        <v/>
      </c>
      <c r="H4727" s="14">
        <f>C4727*G4727</f>
        <v/>
      </c>
    </row>
    <row r="4728">
      <c r="A4728" s="12" t="inlineStr">
        <is>
          <t>RET-0379</t>
        </is>
      </c>
      <c r="B4728" s="12" t="inlineStr">
        <is>
          <t>VS01</t>
        </is>
      </c>
      <c r="C4728" s="28" t="n">
        <v>0.008</v>
      </c>
      <c r="D4728" s="12" t="inlineStr">
        <is>
          <t>PO-2023-4280</t>
        </is>
      </c>
      <c r="E4728" s="12" t="n">
        <v>0.79</v>
      </c>
      <c r="F4728" s="17" t="n">
        <v>117934.93</v>
      </c>
      <c r="G4728" s="14">
        <f>E4728*F4728</f>
        <v/>
      </c>
      <c r="H4728" s="14">
        <f>C4728*G4728</f>
        <v/>
      </c>
    </row>
    <row r="4729">
      <c r="A4729" s="12" t="inlineStr">
        <is>
          <t>RET-0379</t>
        </is>
      </c>
      <c r="B4729" s="12" t="inlineStr">
        <is>
          <t>VS02</t>
        </is>
      </c>
      <c r="C4729" s="28" t="n">
        <v>0.0036</v>
      </c>
      <c r="D4729" s="12" t="inlineStr">
        <is>
          <t>PO-2023-3787</t>
        </is>
      </c>
      <c r="E4729" s="12" t="n">
        <v>0.79</v>
      </c>
      <c r="F4729" s="17" t="n">
        <v>55424.92</v>
      </c>
      <c r="G4729" s="14">
        <f>E4729*F4729</f>
        <v/>
      </c>
      <c r="H4729" s="14">
        <f>C4729*G4729</f>
        <v/>
      </c>
    </row>
    <row r="4730">
      <c r="A4730" s="12" t="inlineStr">
        <is>
          <t>RET-0379</t>
        </is>
      </c>
      <c r="B4730" s="12" t="inlineStr">
        <is>
          <t>VS03</t>
        </is>
      </c>
      <c r="C4730" s="28" t="n">
        <v>0.2397</v>
      </c>
      <c r="D4730" s="12" t="inlineStr">
        <is>
          <t>PO-2023-4299</t>
        </is>
      </c>
      <c r="E4730" s="12" t="n">
        <v>0.79</v>
      </c>
      <c r="F4730" s="17" t="n">
        <v>52114.74</v>
      </c>
      <c r="G4730" s="14">
        <f>E4730*F4730</f>
        <v/>
      </c>
      <c r="H4730" s="14">
        <f>C4730*G4730</f>
        <v/>
      </c>
    </row>
    <row r="4731">
      <c r="A4731" s="12" t="inlineStr">
        <is>
          <t>RET-0379</t>
        </is>
      </c>
      <c r="B4731" s="12" t="inlineStr">
        <is>
          <t>VS04</t>
        </is>
      </c>
      <c r="C4731" s="28" t="n">
        <v>0.005</v>
      </c>
      <c r="D4731" s="12" t="inlineStr">
        <is>
          <t>PO-2021-0166</t>
        </is>
      </c>
      <c r="E4731" s="12" t="n">
        <v>0.79</v>
      </c>
      <c r="F4731" s="17" t="n">
        <v>71373.46000000001</v>
      </c>
      <c r="G4731" s="14">
        <f>E4731*F4731</f>
        <v/>
      </c>
      <c r="H4731" s="14">
        <f>C4731*G4731</f>
        <v/>
      </c>
    </row>
    <row r="4732">
      <c r="A4732" s="12" t="inlineStr">
        <is>
          <t>RET-0379</t>
        </is>
      </c>
      <c r="B4732" s="12" t="inlineStr">
        <is>
          <t>VS05</t>
        </is>
      </c>
      <c r="C4732" s="28" t="n">
        <v>0.0065</v>
      </c>
      <c r="D4732" s="12" t="inlineStr">
        <is>
          <t>PO-2022-2511</t>
        </is>
      </c>
      <c r="E4732" s="12" t="n">
        <v>0.79</v>
      </c>
      <c r="F4732" s="17" t="n">
        <v>83442.11</v>
      </c>
      <c r="G4732" s="14">
        <f>E4732*F4732</f>
        <v/>
      </c>
      <c r="H4732" s="14">
        <f>C4732*G4732</f>
        <v/>
      </c>
    </row>
    <row r="4733">
      <c r="A4733" s="12" t="inlineStr">
        <is>
          <t>RET-0379</t>
        </is>
      </c>
      <c r="B4733" s="12" t="inlineStr">
        <is>
          <t>VS06</t>
        </is>
      </c>
      <c r="C4733" s="28" t="n">
        <v>0.0066</v>
      </c>
      <c r="D4733" s="12" t="inlineStr">
        <is>
          <t>PO-2021-0994</t>
        </is>
      </c>
      <c r="E4733" s="12" t="n">
        <v>0.79</v>
      </c>
      <c r="F4733" s="17" t="n">
        <v>45342.75</v>
      </c>
      <c r="G4733" s="14">
        <f>E4733*F4733</f>
        <v/>
      </c>
      <c r="H4733" s="14">
        <f>C4733*G4733</f>
        <v/>
      </c>
    </row>
    <row r="4734">
      <c r="A4734" s="12" t="inlineStr">
        <is>
          <t>RET-0379</t>
        </is>
      </c>
      <c r="B4734" s="12" t="inlineStr">
        <is>
          <t>VS07</t>
        </is>
      </c>
      <c r="C4734" s="28" t="n">
        <v>0.0022</v>
      </c>
      <c r="D4734" s="12" t="inlineStr">
        <is>
          <t>PO-2022-2089</t>
        </is>
      </c>
      <c r="E4734" s="12" t="n">
        <v>0.79</v>
      </c>
      <c r="F4734" s="17" t="n">
        <v>60771.89</v>
      </c>
      <c r="G4734" s="14">
        <f>E4734*F4734</f>
        <v/>
      </c>
      <c r="H4734" s="14">
        <f>C4734*G4734</f>
        <v/>
      </c>
    </row>
    <row r="4735">
      <c r="A4735" s="12" t="inlineStr">
        <is>
          <t>RET-0379</t>
        </is>
      </c>
      <c r="B4735" s="12" t="inlineStr">
        <is>
          <t>VS08</t>
        </is>
      </c>
      <c r="C4735" s="28" t="n">
        <v>0.0066</v>
      </c>
      <c r="D4735" s="12" t="inlineStr">
        <is>
          <t>PO-2021-1060</t>
        </is>
      </c>
      <c r="E4735" s="12" t="n">
        <v>0.79</v>
      </c>
      <c r="F4735" s="17" t="n">
        <v>81891.49000000001</v>
      </c>
      <c r="G4735" s="14">
        <f>E4735*F4735</f>
        <v/>
      </c>
      <c r="H4735" s="14">
        <f>C4735*G4735</f>
        <v/>
      </c>
    </row>
    <row r="4736">
      <c r="A4736" s="12" t="inlineStr">
        <is>
          <t>RET-0379</t>
        </is>
      </c>
      <c r="B4736" s="12" t="inlineStr">
        <is>
          <t>VS09</t>
        </is>
      </c>
      <c r="C4736" s="28" t="n">
        <v>0.0051</v>
      </c>
      <c r="D4736" s="12" t="inlineStr">
        <is>
          <t>PO-2023-4224</t>
        </is>
      </c>
      <c r="E4736" s="12" t="n">
        <v>0.79</v>
      </c>
      <c r="F4736" s="17" t="n">
        <v>69824.55</v>
      </c>
      <c r="G4736" s="14">
        <f>E4736*F4736</f>
        <v/>
      </c>
      <c r="H4736" s="14">
        <f>C4736*G4736</f>
        <v/>
      </c>
    </row>
    <row r="4737">
      <c r="A4737" s="12" t="inlineStr">
        <is>
          <t>RET-0379</t>
        </is>
      </c>
      <c r="B4737" s="12" t="inlineStr">
        <is>
          <t>VS10</t>
        </is>
      </c>
      <c r="C4737" s="28" t="n">
        <v>0.008</v>
      </c>
      <c r="D4737" s="12" t="inlineStr">
        <is>
          <t>PO-2023-3857</t>
        </is>
      </c>
      <c r="E4737" s="12" t="n">
        <v>0.79</v>
      </c>
      <c r="F4737" s="17" t="n">
        <v>45504.57</v>
      </c>
      <c r="G4737" s="14">
        <f>E4737*F4737</f>
        <v/>
      </c>
      <c r="H4737" s="14">
        <f>C4737*G4737</f>
        <v/>
      </c>
    </row>
    <row r="4738">
      <c r="A4738" s="12" t="inlineStr">
        <is>
          <t>RET-0379</t>
        </is>
      </c>
      <c r="B4738" s="12" t="inlineStr">
        <is>
          <t>VS11</t>
        </is>
      </c>
      <c r="C4738" s="28" t="n">
        <v>0.0094</v>
      </c>
      <c r="D4738" s="12" t="inlineStr">
        <is>
          <t>PO-2023-4316</t>
        </is>
      </c>
      <c r="E4738" s="12" t="n">
        <v>0.79</v>
      </c>
      <c r="F4738" s="17" t="n">
        <v>75013.48</v>
      </c>
      <c r="G4738" s="14">
        <f>E4738*F4738</f>
        <v/>
      </c>
      <c r="H4738" s="14">
        <f>C4738*G4738</f>
        <v/>
      </c>
    </row>
    <row r="4739">
      <c r="A4739" s="12" t="inlineStr">
        <is>
          <t>RET-0379</t>
        </is>
      </c>
      <c r="B4739" s="12" t="inlineStr">
        <is>
          <t>VS12</t>
        </is>
      </c>
      <c r="C4739" s="28" t="n">
        <v>0.3331</v>
      </c>
      <c r="D4739" s="12" t="inlineStr">
        <is>
          <t>PO-2022-1818</t>
        </is>
      </c>
      <c r="E4739" s="12" t="n">
        <v>0.79</v>
      </c>
      <c r="F4739" s="17" t="n">
        <v>74074.06</v>
      </c>
      <c r="G4739" s="14">
        <f>E4739*F4739</f>
        <v/>
      </c>
      <c r="H4739" s="14">
        <f>C4739*G4739</f>
        <v/>
      </c>
    </row>
    <row r="4740">
      <c r="A4740" s="12" t="inlineStr">
        <is>
          <t>RET-0379</t>
        </is>
      </c>
      <c r="B4740" s="12" t="inlineStr">
        <is>
          <t>VS13</t>
        </is>
      </c>
      <c r="C4740" s="28" t="n">
        <v>0.0064</v>
      </c>
      <c r="D4740" s="12" t="inlineStr">
        <is>
          <t>PO-2023-4406</t>
        </is>
      </c>
      <c r="E4740" s="12" t="n">
        <v>0.79</v>
      </c>
      <c r="F4740" s="17" t="n">
        <v>109211.22</v>
      </c>
      <c r="G4740" s="14">
        <f>E4740*F4740</f>
        <v/>
      </c>
      <c r="H4740" s="14">
        <f>C4740*G4740</f>
        <v/>
      </c>
    </row>
    <row r="4741">
      <c r="A4741" s="12" t="inlineStr">
        <is>
          <t>RET-0379</t>
        </is>
      </c>
      <c r="B4741" s="12" t="inlineStr">
        <is>
          <t>VS14</t>
        </is>
      </c>
      <c r="C4741" s="28" t="n">
        <v>0.0065</v>
      </c>
      <c r="D4741" s="12" t="inlineStr">
        <is>
          <t>PO-2021-1522</t>
        </is>
      </c>
      <c r="E4741" s="12" t="n">
        <v>0.79</v>
      </c>
      <c r="F4741" s="17" t="n">
        <v>116935.12</v>
      </c>
      <c r="G4741" s="14">
        <f>E4741*F4741</f>
        <v/>
      </c>
      <c r="H4741" s="14">
        <f>C4741*G4741</f>
        <v/>
      </c>
    </row>
    <row r="4742">
      <c r="A4742" s="12" t="inlineStr">
        <is>
          <t>RET-0379</t>
        </is>
      </c>
      <c r="B4742" s="12" t="inlineStr">
        <is>
          <t>VS15</t>
        </is>
      </c>
      <c r="C4742" s="28" t="n">
        <v>0.0022</v>
      </c>
      <c r="D4742" s="12" t="inlineStr">
        <is>
          <t>PO-2023-3635</t>
        </is>
      </c>
      <c r="E4742" s="12" t="n">
        <v>0.79</v>
      </c>
      <c r="F4742" s="17" t="n">
        <v>52010.43</v>
      </c>
      <c r="G4742" s="14">
        <f>E4742*F4742</f>
        <v/>
      </c>
      <c r="H4742" s="14">
        <f>C4742*G4742</f>
        <v/>
      </c>
    </row>
    <row r="4743">
      <c r="A4743" s="12" t="inlineStr">
        <is>
          <t>RET-0379</t>
        </is>
      </c>
      <c r="B4743" s="12" t="inlineStr">
        <is>
          <t>VS16</t>
        </is>
      </c>
      <c r="C4743" s="28" t="n">
        <v>0.0094</v>
      </c>
      <c r="D4743" s="12" t="inlineStr">
        <is>
          <t>PO-2023-4746</t>
        </is>
      </c>
      <c r="E4743" s="12" t="n">
        <v>0.79</v>
      </c>
      <c r="F4743" s="17" t="n">
        <v>71197.46000000001</v>
      </c>
      <c r="G4743" s="14">
        <f>E4743*F4743</f>
        <v/>
      </c>
      <c r="H4743" s="14">
        <f>C4743*G4743</f>
        <v/>
      </c>
    </row>
    <row r="4744">
      <c r="A4744" s="12" t="inlineStr">
        <is>
          <t>RET-0379</t>
        </is>
      </c>
      <c r="B4744" s="12" t="inlineStr">
        <is>
          <t>VS17</t>
        </is>
      </c>
      <c r="C4744" s="28" t="n">
        <v>0.0094</v>
      </c>
      <c r="D4744" s="12" t="inlineStr">
        <is>
          <t>PO-2022-2708</t>
        </is>
      </c>
      <c r="E4744" s="12" t="n">
        <v>0.79</v>
      </c>
      <c r="F4744" s="17" t="n">
        <v>89705.41</v>
      </c>
      <c r="G4744" s="14">
        <f>E4744*F4744</f>
        <v/>
      </c>
      <c r="H4744" s="14">
        <f>C4744*G4744</f>
        <v/>
      </c>
    </row>
    <row r="4745">
      <c r="A4745" s="12" t="inlineStr">
        <is>
          <t>RET-0379</t>
        </is>
      </c>
      <c r="B4745" s="12" t="inlineStr">
        <is>
          <t>VS18</t>
        </is>
      </c>
      <c r="C4745" s="28" t="n">
        <v>0.0065</v>
      </c>
      <c r="D4745" s="12" t="inlineStr">
        <is>
          <t>PO-2023-4086</t>
        </is>
      </c>
      <c r="E4745" s="12" t="n">
        <v>0.79</v>
      </c>
      <c r="F4745" s="17" t="n">
        <v>64186.35</v>
      </c>
      <c r="G4745" s="14">
        <f>E4745*F4745</f>
        <v/>
      </c>
      <c r="H4745" s="14">
        <f>C4745*G4745</f>
        <v/>
      </c>
    </row>
    <row r="4746">
      <c r="A4746" s="12" t="inlineStr">
        <is>
          <t>RET-0379</t>
        </is>
      </c>
      <c r="B4746" s="12" t="inlineStr">
        <is>
          <t>VS19</t>
        </is>
      </c>
      <c r="C4746" s="28" t="n">
        <v>0.2513</v>
      </c>
      <c r="D4746" s="12" t="inlineStr">
        <is>
          <t>PO-2022-1777</t>
        </is>
      </c>
      <c r="E4746" s="12" t="n">
        <v>0.79</v>
      </c>
      <c r="F4746" s="17" t="n">
        <v>121609.13</v>
      </c>
      <c r="G4746" s="14">
        <f>E4746*F4746</f>
        <v/>
      </c>
      <c r="H4746" s="14">
        <f>C4746*G4746</f>
        <v/>
      </c>
    </row>
    <row r="4747">
      <c r="A4747" s="12" t="inlineStr">
        <is>
          <t>RET-0379</t>
        </is>
      </c>
      <c r="B4747" s="12" t="inlineStr">
        <is>
          <t>VS20</t>
        </is>
      </c>
      <c r="C4747" s="28" t="n">
        <v>0.0036</v>
      </c>
      <c r="D4747" s="12" t="inlineStr">
        <is>
          <t>PO-2022-2233</t>
        </is>
      </c>
      <c r="E4747" s="12" t="n">
        <v>0.79</v>
      </c>
      <c r="F4747" s="17" t="n">
        <v>96227.39999999999</v>
      </c>
      <c r="G4747" s="14">
        <f>E4747*F4747</f>
        <v/>
      </c>
      <c r="H4747" s="14">
        <f>C4747*G4747</f>
        <v/>
      </c>
    </row>
    <row r="4748">
      <c r="A4748" s="12" t="inlineStr">
        <is>
          <t>RET-0379</t>
        </is>
      </c>
      <c r="B4748" s="12" t="inlineStr">
        <is>
          <t>VS21</t>
        </is>
      </c>
      <c r="C4748" s="28" t="n">
        <v>0.0036</v>
      </c>
      <c r="D4748" s="12" t="inlineStr">
        <is>
          <t>PO-2023-3648</t>
        </is>
      </c>
      <c r="E4748" s="12" t="n">
        <v>0.79</v>
      </c>
      <c r="F4748" s="17" t="n">
        <v>84755.72</v>
      </c>
      <c r="G4748" s="14">
        <f>E4748*F4748</f>
        <v/>
      </c>
      <c r="H4748" s="14">
        <f>C4748*G4748</f>
        <v/>
      </c>
    </row>
    <row r="4749">
      <c r="A4749" s="12" t="inlineStr">
        <is>
          <t>RET-0379</t>
        </is>
      </c>
      <c r="B4749" s="12" t="inlineStr">
        <is>
          <t>VS22</t>
        </is>
      </c>
      <c r="C4749" s="28" t="n">
        <v>0.0022</v>
      </c>
      <c r="D4749" s="12" t="inlineStr">
        <is>
          <t>PO-2022-2014</t>
        </is>
      </c>
      <c r="E4749" s="12" t="n">
        <v>0.79</v>
      </c>
      <c r="F4749" s="17" t="n">
        <v>46764.78</v>
      </c>
      <c r="G4749" s="14">
        <f>E4749*F4749</f>
        <v/>
      </c>
      <c r="H4749" s="14">
        <f>C4749*G4749</f>
        <v/>
      </c>
    </row>
    <row r="4750">
      <c r="A4750" s="12" t="inlineStr">
        <is>
          <t>RET-0379</t>
        </is>
      </c>
      <c r="B4750" s="12" t="inlineStr">
        <is>
          <t>VS23</t>
        </is>
      </c>
      <c r="C4750" s="28" t="n">
        <v>0.0036</v>
      </c>
      <c r="D4750" s="12" t="inlineStr">
        <is>
          <t>PO-2022-2399</t>
        </is>
      </c>
      <c r="E4750" s="12" t="n">
        <v>0.79</v>
      </c>
      <c r="F4750" s="17" t="n">
        <v>95449.35000000001</v>
      </c>
      <c r="G4750" s="14">
        <f>E4750*F4750</f>
        <v/>
      </c>
      <c r="H4750" s="14">
        <f>C4750*G4750</f>
        <v/>
      </c>
    </row>
    <row r="4751">
      <c r="A4751" s="12" t="inlineStr">
        <is>
          <t>RET-0379</t>
        </is>
      </c>
      <c r="B4751" s="12" t="inlineStr">
        <is>
          <t>VS24</t>
        </is>
      </c>
      <c r="C4751" s="28" t="n">
        <v>0.0036</v>
      </c>
      <c r="D4751" s="12" t="inlineStr">
        <is>
          <t>PO-2022-2131</t>
        </is>
      </c>
      <c r="E4751" s="12" t="n">
        <v>0.79</v>
      </c>
      <c r="F4751" s="17" t="n">
        <v>77561.17</v>
      </c>
      <c r="G4751" s="14">
        <f>E4751*F4751</f>
        <v/>
      </c>
      <c r="H4751" s="14">
        <f>C4751*G4751</f>
        <v/>
      </c>
    </row>
    <row r="4752">
      <c r="A4752" s="12" t="inlineStr">
        <is>
          <t>RET-0379</t>
        </is>
      </c>
      <c r="B4752" s="12" t="inlineStr">
        <is>
          <t>VS25</t>
        </is>
      </c>
      <c r="C4752" s="28" t="n">
        <v>0.0065</v>
      </c>
      <c r="D4752" s="12" t="inlineStr">
        <is>
          <t>PO-2022-2974</t>
        </is>
      </c>
      <c r="E4752" s="12" t="n">
        <v>0.79</v>
      </c>
      <c r="F4752" s="17" t="n">
        <v>110004.92</v>
      </c>
      <c r="G4752" s="14">
        <f>E4752*F4752</f>
        <v/>
      </c>
      <c r="H4752" s="14">
        <f>C4752*G4752</f>
        <v/>
      </c>
    </row>
    <row r="4753">
      <c r="A4753" s="12" t="inlineStr">
        <is>
          <t>RET-0379</t>
        </is>
      </c>
      <c r="B4753" s="12" t="inlineStr">
        <is>
          <t>VS26</t>
        </is>
      </c>
      <c r="C4753" s="28" t="n">
        <v>0.0036</v>
      </c>
      <c r="D4753" s="12" t="inlineStr">
        <is>
          <t>PO-2022-1986</t>
        </is>
      </c>
      <c r="E4753" s="12" t="n">
        <v>0.79</v>
      </c>
      <c r="F4753" s="17" t="n">
        <v>114674.22</v>
      </c>
      <c r="G4753" s="14">
        <f>E4753*F4753</f>
        <v/>
      </c>
      <c r="H4753" s="14">
        <f>C4753*G4753</f>
        <v/>
      </c>
    </row>
    <row r="4754">
      <c r="A4754" s="12" t="inlineStr">
        <is>
          <t>RET-0379</t>
        </is>
      </c>
      <c r="B4754" s="12" t="inlineStr">
        <is>
          <t>VS27</t>
        </is>
      </c>
      <c r="C4754" s="28" t="n">
        <v>0.0036</v>
      </c>
      <c r="D4754" s="12" t="inlineStr">
        <is>
          <t>PO-2023-4629</t>
        </is>
      </c>
      <c r="E4754" s="12" t="n">
        <v>0.79</v>
      </c>
      <c r="F4754" s="17" t="n">
        <v>109839.57</v>
      </c>
      <c r="G4754" s="14">
        <f>E4754*F4754</f>
        <v/>
      </c>
      <c r="H4754" s="14">
        <f>C4754*G4754</f>
        <v/>
      </c>
    </row>
    <row r="4755">
      <c r="A4755" s="12" t="inlineStr">
        <is>
          <t>RET-0379</t>
        </is>
      </c>
      <c r="B4755" s="12" t="inlineStr">
        <is>
          <t>VS28</t>
        </is>
      </c>
      <c r="C4755" s="28" t="n">
        <v>0.008</v>
      </c>
      <c r="D4755" s="12" t="inlineStr">
        <is>
          <t>PO-2023-3384</t>
        </is>
      </c>
      <c r="E4755" s="12" t="n">
        <v>0.79</v>
      </c>
      <c r="F4755" s="17" t="n">
        <v>77840.46000000001</v>
      </c>
      <c r="G4755" s="14">
        <f>E4755*F4755</f>
        <v/>
      </c>
      <c r="H4755" s="14">
        <f>C4755*G4755</f>
        <v/>
      </c>
    </row>
    <row r="4756">
      <c r="A4756" s="12" t="inlineStr">
        <is>
          <t>RET-0379</t>
        </is>
      </c>
      <c r="B4756" s="12" t="inlineStr">
        <is>
          <t>VS29</t>
        </is>
      </c>
      <c r="C4756" s="28" t="n">
        <v>0.0051</v>
      </c>
      <c r="D4756" s="12" t="inlineStr">
        <is>
          <t>PO-2021-0892</t>
        </is>
      </c>
      <c r="E4756" s="12" t="n">
        <v>0.79</v>
      </c>
      <c r="F4756" s="17" t="n">
        <v>67673.87</v>
      </c>
      <c r="G4756" s="14">
        <f>E4756*F4756</f>
        <v/>
      </c>
      <c r="H4756" s="14">
        <f>C4756*G4756</f>
        <v/>
      </c>
    </row>
    <row r="4757">
      <c r="A4757" s="12" t="inlineStr">
        <is>
          <t>RET-0379</t>
        </is>
      </c>
      <c r="B4757" s="12" t="inlineStr">
        <is>
          <t>VS30</t>
        </is>
      </c>
      <c r="C4757" s="28" t="n">
        <v>0.0022</v>
      </c>
      <c r="D4757" s="12" t="inlineStr">
        <is>
          <t>PO-2023-4789</t>
        </is>
      </c>
      <c r="E4757" s="12" t="n">
        <v>0.79</v>
      </c>
      <c r="F4757" s="17" t="n">
        <v>90965.58</v>
      </c>
      <c r="G4757" s="14">
        <f>E4757*F4757</f>
        <v/>
      </c>
      <c r="H4757" s="14">
        <f>C4757*G4757</f>
        <v/>
      </c>
    </row>
    <row r="4758">
      <c r="A4758" s="12" t="inlineStr">
        <is>
          <t>RET-0379</t>
        </is>
      </c>
      <c r="B4758" s="12" t="inlineStr">
        <is>
          <t>VS31</t>
        </is>
      </c>
      <c r="C4758" s="28" t="n">
        <v>0.008</v>
      </c>
      <c r="D4758" s="12" t="inlineStr">
        <is>
          <t>PO-2021-1261</t>
        </is>
      </c>
      <c r="E4758" s="12" t="n">
        <v>0.79</v>
      </c>
      <c r="F4758" s="17" t="n">
        <v>112521.55</v>
      </c>
      <c r="G4758" s="14">
        <f>E4758*F4758</f>
        <v/>
      </c>
      <c r="H4758" s="14">
        <f>C4758*G4758</f>
        <v/>
      </c>
    </row>
    <row r="4759">
      <c r="A4759" s="12" t="inlineStr">
        <is>
          <t>RET-0379</t>
        </is>
      </c>
      <c r="B4759" s="12" t="inlineStr">
        <is>
          <t>VS32</t>
        </is>
      </c>
      <c r="C4759" s="28" t="n">
        <v>0.0095</v>
      </c>
      <c r="D4759" s="12" t="inlineStr">
        <is>
          <t>PO-2023-4000</t>
        </is>
      </c>
      <c r="E4759" s="12" t="n">
        <v>0.79</v>
      </c>
      <c r="F4759" s="17" t="n">
        <v>118026.2</v>
      </c>
      <c r="G4759" s="14">
        <f>E4759*F4759</f>
        <v/>
      </c>
      <c r="H4759" s="14">
        <f>C4759*G4759</f>
        <v/>
      </c>
    </row>
    <row r="4760">
      <c r="A4760" s="12" t="inlineStr">
        <is>
          <t>RET-0379</t>
        </is>
      </c>
      <c r="B4760" s="12" t="inlineStr">
        <is>
          <t>VS33</t>
        </is>
      </c>
      <c r="C4760" s="28" t="n">
        <v>0.005</v>
      </c>
      <c r="D4760" s="12" t="inlineStr">
        <is>
          <t>PO-2021-1510</t>
        </is>
      </c>
      <c r="E4760" s="12" t="n">
        <v>0.79</v>
      </c>
      <c r="F4760" s="17" t="n">
        <v>77082.38</v>
      </c>
      <c r="G4760" s="14">
        <f>E4760*F4760</f>
        <v/>
      </c>
      <c r="H4760" s="14">
        <f>C4760*G4760</f>
        <v/>
      </c>
    </row>
    <row r="4761">
      <c r="A4761" s="12" t="inlineStr">
        <is>
          <t>RET-0379</t>
        </is>
      </c>
      <c r="B4761" s="12" t="inlineStr">
        <is>
          <t>VS34</t>
        </is>
      </c>
      <c r="C4761" s="28" t="n">
        <v>0.0065</v>
      </c>
      <c r="D4761" s="12" t="inlineStr">
        <is>
          <t>PO-2021-0569</t>
        </is>
      </c>
      <c r="E4761" s="12" t="n">
        <v>0.79</v>
      </c>
      <c r="F4761" s="17" t="n">
        <v>110313.69</v>
      </c>
      <c r="G4761" s="14">
        <f>E4761*F4761</f>
        <v/>
      </c>
      <c r="H4761" s="14">
        <f>C4761*G4761</f>
        <v/>
      </c>
    </row>
  </sheetData>
  <autoFilter ref="A1:H47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0" customWidth="1" min="5" max="5"/>
    <col width="1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2" customWidth="1" min="14" max="14"/>
    <col width="22" customWidth="1" min="15" max="15"/>
    <col width="12" customWidth="1" min="16" max="16"/>
  </cols>
  <sheetData>
    <row r="1" ht="32" customHeight="1">
      <c r="A1" s="11" t="inlineStr">
        <is>
          <t>return_id</t>
        </is>
      </c>
      <c r="B1" s="11" t="inlineStr">
        <is>
          <t>return_date</t>
        </is>
      </c>
      <c r="C1" s="11" t="inlineStr">
        <is>
          <t>client_id</t>
        </is>
      </c>
      <c r="D1" s="11" t="inlineStr">
        <is>
          <t>material_id</t>
        </is>
      </c>
      <c r="E1" s="11" t="inlineStr">
        <is>
          <t>quantity_returned</t>
        </is>
      </c>
      <c r="F1" s="11" t="inlineStr">
        <is>
          <t>reason</t>
        </is>
      </c>
      <c r="G1" s="11" t="inlineStr">
        <is>
          <t>top1_supplier</t>
        </is>
      </c>
      <c r="H1" s="11" t="inlineStr">
        <is>
          <t>top1_prob</t>
        </is>
      </c>
      <c r="I1" s="11" t="inlineStr">
        <is>
          <t>top2_supplier</t>
        </is>
      </c>
      <c r="J1" s="11" t="inlineStr">
        <is>
          <t>top2_prob</t>
        </is>
      </c>
      <c r="K1" s="11" t="inlineStr">
        <is>
          <t>top3_supplier</t>
        </is>
      </c>
      <c r="L1" s="11" t="inlineStr">
        <is>
          <t>top3_prob</t>
        </is>
      </c>
      <c r="M1" s="11" t="inlineStr">
        <is>
          <t>prob_high_return_group</t>
        </is>
      </c>
      <c r="N1" s="11" t="inlineStr">
        <is>
          <t>supplier_level_tier</t>
        </is>
      </c>
      <c r="O1" s="11" t="inlineStr">
        <is>
          <t>group_level_call</t>
        </is>
      </c>
      <c r="P1" s="11" t="inlineStr">
        <is>
          <t>group_level_confidence</t>
        </is>
      </c>
    </row>
    <row r="2">
      <c r="A2" s="12" t="inlineStr">
        <is>
          <t>RET-0000</t>
        </is>
      </c>
      <c r="B2" s="12" t="inlineStr">
        <is>
          <t>2023-11-02</t>
        </is>
      </c>
      <c r="C2" s="12" t="inlineStr">
        <is>
          <t>Client-000</t>
        </is>
      </c>
      <c r="D2" s="12" t="inlineStr">
        <is>
          <t>SS Sheets</t>
        </is>
      </c>
      <c r="E2" s="12" t="n">
        <v>4.57</v>
      </c>
      <c r="F2" s="12" t="inlineStr">
        <is>
          <t>Weight short</t>
        </is>
      </c>
      <c r="G2" s="12" t="inlineStr">
        <is>
          <t>VS12</t>
        </is>
      </c>
      <c r="H2" s="12" t="n">
        <v>0.228</v>
      </c>
      <c r="I2" s="12" t="inlineStr">
        <is>
          <t>VS19</t>
        </is>
      </c>
      <c r="J2" s="12" t="n">
        <v>0.172</v>
      </c>
      <c r="K2" s="12" t="inlineStr">
        <is>
          <t>VS03</t>
        </is>
      </c>
      <c r="L2" s="12" t="n">
        <v>0.164</v>
      </c>
      <c r="M2" s="12" t="n">
        <v>0.5649999999999999</v>
      </c>
      <c r="N2" s="12" t="inlineStr">
        <is>
          <t>Medium</t>
        </is>
      </c>
      <c r="O2" s="12" t="inlineStr">
        <is>
          <t>High-return-rate group</t>
        </is>
      </c>
      <c r="P2" s="12" t="inlineStr">
        <is>
          <t>Weak</t>
        </is>
      </c>
    </row>
    <row r="3">
      <c r="A3" s="12" t="inlineStr">
        <is>
          <t>RET-0001</t>
        </is>
      </c>
      <c r="B3" s="12" t="inlineStr">
        <is>
          <t>2021-10-25</t>
        </is>
      </c>
      <c r="C3" s="12" t="inlineStr">
        <is>
          <t>Client-058</t>
        </is>
      </c>
      <c r="D3" s="12" t="inlineStr">
        <is>
          <t>MS Flats</t>
        </is>
      </c>
      <c r="E3" s="12" t="n">
        <v>3.46</v>
      </c>
      <c r="F3" s="12" t="inlineStr">
        <is>
          <t>Wrong dimensions</t>
        </is>
      </c>
      <c r="G3" s="12" t="inlineStr">
        <is>
          <t>VS12</t>
        </is>
      </c>
      <c r="H3" s="12" t="n">
        <v>0.1</v>
      </c>
      <c r="I3" s="12" t="inlineStr">
        <is>
          <t>VS19</t>
        </is>
      </c>
      <c r="J3" s="12" t="n">
        <v>0.076</v>
      </c>
      <c r="K3" s="12" t="inlineStr">
        <is>
          <t>VS03</t>
        </is>
      </c>
      <c r="L3" s="12" t="n">
        <v>0.07199999999999999</v>
      </c>
      <c r="M3" s="12" t="n">
        <v>0.248</v>
      </c>
      <c r="N3" s="12" t="inlineStr">
        <is>
          <t>Low</t>
        </is>
      </c>
      <c r="O3" s="12" t="inlineStr">
        <is>
          <t>Other suppliers</t>
        </is>
      </c>
      <c r="P3" s="12" t="inlineStr">
        <is>
          <t>Strong</t>
        </is>
      </c>
    </row>
    <row r="4">
      <c r="A4" s="12" t="inlineStr">
        <is>
          <t>RET-0004</t>
        </is>
      </c>
      <c r="B4" s="12" t="inlineStr">
        <is>
          <t>2021-06-14</t>
        </is>
      </c>
      <c r="C4" s="12" t="inlineStr">
        <is>
          <t>Client-027</t>
        </is>
      </c>
      <c r="D4" s="12" t="inlineStr">
        <is>
          <t>ERW Pipes</t>
        </is>
      </c>
      <c r="E4" s="12" t="n">
        <v>3.38</v>
      </c>
      <c r="F4" s="12" t="inlineStr">
        <is>
          <t>Weight short</t>
        </is>
      </c>
      <c r="G4" s="12" t="inlineStr">
        <is>
          <t>VS12</t>
        </is>
      </c>
      <c r="H4" s="12" t="n">
        <v>0.111</v>
      </c>
      <c r="I4" s="12" t="inlineStr">
        <is>
          <t>VS19</t>
        </is>
      </c>
      <c r="J4" s="12" t="n">
        <v>0.08400000000000001</v>
      </c>
      <c r="K4" s="12" t="inlineStr">
        <is>
          <t>VS03</t>
        </is>
      </c>
      <c r="L4" s="12" t="n">
        <v>0.08</v>
      </c>
      <c r="M4" s="12" t="n">
        <v>0.275</v>
      </c>
      <c r="N4" s="12" t="inlineStr">
        <is>
          <t>Low</t>
        </is>
      </c>
      <c r="O4" s="12" t="inlineStr">
        <is>
          <t>Other suppliers</t>
        </is>
      </c>
      <c r="P4" s="12" t="inlineStr">
        <is>
          <t>Moderate</t>
        </is>
      </c>
    </row>
    <row r="5">
      <c r="A5" s="12" t="inlineStr">
        <is>
          <t>RET-0006</t>
        </is>
      </c>
      <c r="B5" s="12" t="inlineStr">
        <is>
          <t>2023-06-11</t>
        </is>
      </c>
      <c r="C5" s="12" t="inlineStr">
        <is>
          <t>Client-039</t>
        </is>
      </c>
      <c r="D5" s="12" t="inlineStr">
        <is>
          <t>CR Sheets</t>
        </is>
      </c>
      <c r="E5" s="12" t="n">
        <v>3.84</v>
      </c>
      <c r="F5" s="12" t="inlineStr">
        <is>
          <t>Bend/warp</t>
        </is>
      </c>
      <c r="G5" s="12" t="inlineStr">
        <is>
          <t>VS12</t>
        </is>
      </c>
      <c r="H5" s="12" t="n">
        <v>0.138</v>
      </c>
      <c r="I5" s="12" t="inlineStr">
        <is>
          <t>VS19</t>
        </is>
      </c>
      <c r="J5" s="12" t="n">
        <v>0.104</v>
      </c>
      <c r="K5" s="12" t="inlineStr">
        <is>
          <t>VS03</t>
        </is>
      </c>
      <c r="L5" s="12" t="n">
        <v>0.099</v>
      </c>
      <c r="M5" s="12" t="n">
        <v>0.342</v>
      </c>
      <c r="N5" s="12" t="inlineStr">
        <is>
          <t>Low</t>
        </is>
      </c>
      <c r="O5" s="12" t="inlineStr">
        <is>
          <t>Other suppliers</t>
        </is>
      </c>
      <c r="P5" s="12" t="inlineStr">
        <is>
          <t>Moderate</t>
        </is>
      </c>
    </row>
    <row r="6">
      <c r="A6" s="12" t="inlineStr">
        <is>
          <t>RET-0012</t>
        </is>
      </c>
      <c r="B6" s="12" t="inlineStr">
        <is>
          <t>2021-08-21</t>
        </is>
      </c>
      <c r="C6" s="12" t="inlineStr">
        <is>
          <t>Client-029</t>
        </is>
      </c>
      <c r="D6" s="12" t="inlineStr">
        <is>
          <t>MS Rods</t>
        </is>
      </c>
      <c r="E6" s="12" t="n">
        <v>0.2</v>
      </c>
      <c r="F6" s="12" t="inlineStr">
        <is>
          <t>Edge damage</t>
        </is>
      </c>
      <c r="G6" s="12" t="inlineStr">
        <is>
          <t>VS12</t>
        </is>
      </c>
      <c r="H6" s="12" t="n">
        <v>0.237</v>
      </c>
      <c r="I6" s="12" t="inlineStr">
        <is>
          <t>VS19</t>
        </is>
      </c>
      <c r="J6" s="12" t="n">
        <v>0.179</v>
      </c>
      <c r="K6" s="12" t="inlineStr">
        <is>
          <t>VS03</t>
        </is>
      </c>
      <c r="L6" s="12" t="n">
        <v>0.171</v>
      </c>
      <c r="M6" s="12" t="n">
        <v>0.587</v>
      </c>
      <c r="N6" s="12" t="inlineStr">
        <is>
          <t>Medium</t>
        </is>
      </c>
      <c r="O6" s="12" t="inlineStr">
        <is>
          <t>High-return-rate group</t>
        </is>
      </c>
      <c r="P6" s="12" t="inlineStr">
        <is>
          <t>Weak</t>
        </is>
      </c>
    </row>
    <row r="7">
      <c r="A7" s="12" t="inlineStr">
        <is>
          <t>RET-0013</t>
        </is>
      </c>
      <c r="B7" s="12" t="inlineStr">
        <is>
          <t>2021-11-01</t>
        </is>
      </c>
      <c r="C7" s="12" t="inlineStr">
        <is>
          <t>Client-037</t>
        </is>
      </c>
      <c r="D7" s="12" t="inlineStr">
        <is>
          <t>Structural Steel</t>
        </is>
      </c>
      <c r="E7" s="12" t="n">
        <v>3.25</v>
      </c>
      <c r="F7" s="12" t="inlineStr">
        <is>
          <t>Weight short</t>
        </is>
      </c>
      <c r="G7" s="12" t="inlineStr">
        <is>
          <t>VS12</t>
        </is>
      </c>
      <c r="H7" s="12" t="n">
        <v>0.199</v>
      </c>
      <c r="I7" s="12" t="inlineStr">
        <is>
          <t>VS19</t>
        </is>
      </c>
      <c r="J7" s="12" t="n">
        <v>0.15</v>
      </c>
      <c r="K7" s="12" t="inlineStr">
        <is>
          <t>VS03</t>
        </is>
      </c>
      <c r="L7" s="12" t="n">
        <v>0.143</v>
      </c>
      <c r="M7" s="12" t="n">
        <v>0.492</v>
      </c>
      <c r="N7" s="12" t="inlineStr">
        <is>
          <t>Low</t>
        </is>
      </c>
      <c r="O7" s="12" t="inlineStr">
        <is>
          <t>Other suppliers</t>
        </is>
      </c>
      <c r="P7" s="12" t="inlineStr">
        <is>
          <t>Weak</t>
        </is>
      </c>
    </row>
    <row r="8">
      <c r="A8" s="12" t="inlineStr">
        <is>
          <t>RET-0020</t>
        </is>
      </c>
      <c r="B8" s="12" t="inlineStr">
        <is>
          <t>2023-06-17</t>
        </is>
      </c>
      <c r="C8" s="12" t="inlineStr">
        <is>
          <t>Client-006</t>
        </is>
      </c>
      <c r="D8" s="12" t="inlineStr">
        <is>
          <t>Angles &amp; Channels</t>
        </is>
      </c>
      <c r="E8" s="12" t="n">
        <v>4.84</v>
      </c>
      <c r="F8" s="12" t="inlineStr">
        <is>
          <t>Wrong dimensions</t>
        </is>
      </c>
      <c r="G8" s="12" t="inlineStr">
        <is>
          <t>VS12</t>
        </is>
      </c>
      <c r="H8" s="12" t="n">
        <v>0.311</v>
      </c>
      <c r="I8" s="12" t="inlineStr">
        <is>
          <t>VS19</t>
        </is>
      </c>
      <c r="J8" s="12" t="n">
        <v>0.235</v>
      </c>
      <c r="K8" s="12" t="inlineStr">
        <is>
          <t>VS03</t>
        </is>
      </c>
      <c r="L8" s="12" t="n">
        <v>0.224</v>
      </c>
      <c r="M8" s="12" t="n">
        <v>0.77</v>
      </c>
      <c r="N8" s="12" t="inlineStr">
        <is>
          <t>Medium</t>
        </is>
      </c>
      <c r="O8" s="12" t="inlineStr">
        <is>
          <t>High-return-rate group</t>
        </is>
      </c>
      <c r="P8" s="12" t="inlineStr">
        <is>
          <t>Strong</t>
        </is>
      </c>
    </row>
    <row r="9">
      <c r="A9" s="12" t="inlineStr">
        <is>
          <t>RET-0021</t>
        </is>
      </c>
      <c r="B9" s="12" t="inlineStr">
        <is>
          <t>2021-06-26</t>
        </is>
      </c>
      <c r="C9" s="12" t="inlineStr">
        <is>
          <t>Client-060</t>
        </is>
      </c>
      <c r="D9" s="12" t="inlineStr">
        <is>
          <t>MS Pipes</t>
        </is>
      </c>
      <c r="E9" s="12" t="n">
        <v>2.86</v>
      </c>
      <c r="F9" s="12" t="inlineStr">
        <is>
          <t>Grade mismatch</t>
        </is>
      </c>
      <c r="G9" s="12" t="inlineStr">
        <is>
          <t>VS12</t>
        </is>
      </c>
      <c r="H9" s="12" t="n">
        <v>0.183</v>
      </c>
      <c r="I9" s="12" t="inlineStr">
        <is>
          <t>VS19</t>
        </is>
      </c>
      <c r="J9" s="12" t="n">
        <v>0.138</v>
      </c>
      <c r="K9" s="12" t="inlineStr">
        <is>
          <t>VS03</t>
        </is>
      </c>
      <c r="L9" s="12" t="n">
        <v>0.132</v>
      </c>
      <c r="M9" s="12" t="n">
        <v>0.452</v>
      </c>
      <c r="N9" s="12" t="inlineStr">
        <is>
          <t>Low</t>
        </is>
      </c>
      <c r="O9" s="12" t="inlineStr">
        <is>
          <t>Other suppliers</t>
        </is>
      </c>
      <c r="P9" s="12" t="inlineStr">
        <is>
          <t>Weak</t>
        </is>
      </c>
    </row>
    <row r="10">
      <c r="A10" s="12" t="inlineStr">
        <is>
          <t>RET-0024</t>
        </is>
      </c>
      <c r="B10" s="12" t="inlineStr">
        <is>
          <t>2023-12-19</t>
        </is>
      </c>
      <c r="C10" s="12" t="inlineStr">
        <is>
          <t>Client-027</t>
        </is>
      </c>
      <c r="D10" s="12" t="inlineStr">
        <is>
          <t>MS Pipes</t>
        </is>
      </c>
      <c r="E10" s="12" t="n">
        <v>0.45</v>
      </c>
      <c r="F10" s="12" t="inlineStr">
        <is>
          <t>Edge damage</t>
        </is>
      </c>
      <c r="G10" s="12" t="inlineStr">
        <is>
          <t>VS12</t>
        </is>
      </c>
      <c r="H10" s="12" t="n">
        <v>0.275</v>
      </c>
      <c r="I10" s="12" t="inlineStr">
        <is>
          <t>VS19</t>
        </is>
      </c>
      <c r="J10" s="12" t="n">
        <v>0.207</v>
      </c>
      <c r="K10" s="12" t="inlineStr">
        <is>
          <t>VS03</t>
        </is>
      </c>
      <c r="L10" s="12" t="n">
        <v>0.198</v>
      </c>
      <c r="M10" s="12" t="n">
        <v>0.68</v>
      </c>
      <c r="N10" s="12" t="inlineStr">
        <is>
          <t>Medium</t>
        </is>
      </c>
      <c r="O10" s="12" t="inlineStr">
        <is>
          <t>High-return-rate group</t>
        </is>
      </c>
      <c r="P10" s="12" t="inlineStr">
        <is>
          <t>Moderate</t>
        </is>
      </c>
    </row>
    <row r="11">
      <c r="A11" s="12" t="inlineStr">
        <is>
          <t>RET-0026</t>
        </is>
      </c>
      <c r="B11" s="12" t="inlineStr">
        <is>
          <t>2022-11-29</t>
        </is>
      </c>
      <c r="C11" s="12" t="inlineStr">
        <is>
          <t>Client-015</t>
        </is>
      </c>
      <c r="D11" s="12" t="inlineStr">
        <is>
          <t>MS Pipes</t>
        </is>
      </c>
      <c r="E11" s="12" t="n">
        <v>0.86</v>
      </c>
      <c r="F11" s="12" t="inlineStr">
        <is>
          <t>Wrong dimensions</t>
        </is>
      </c>
      <c r="G11" s="12" t="inlineStr">
        <is>
          <t>VS12</t>
        </is>
      </c>
      <c r="H11" s="12" t="n">
        <v>0.275</v>
      </c>
      <c r="I11" s="12" t="inlineStr">
        <is>
          <t>VS19</t>
        </is>
      </c>
      <c r="J11" s="12" t="n">
        <v>0.207</v>
      </c>
      <c r="K11" s="12" t="inlineStr">
        <is>
          <t>VS03</t>
        </is>
      </c>
      <c r="L11" s="12" t="n">
        <v>0.198</v>
      </c>
      <c r="M11" s="12" t="n">
        <v>0.68</v>
      </c>
      <c r="N11" s="12" t="inlineStr">
        <is>
          <t>Medium</t>
        </is>
      </c>
      <c r="O11" s="12" t="inlineStr">
        <is>
          <t>High-return-rate group</t>
        </is>
      </c>
      <c r="P11" s="12" t="inlineStr">
        <is>
          <t>Moderate</t>
        </is>
      </c>
    </row>
    <row r="12">
      <c r="A12" s="12" t="inlineStr">
        <is>
          <t>RET-0030</t>
        </is>
      </c>
      <c r="B12" s="12" t="inlineStr">
        <is>
          <t>2021-03-12</t>
        </is>
      </c>
      <c r="C12" s="12" t="inlineStr">
        <is>
          <t>Client-027</t>
        </is>
      </c>
      <c r="D12" s="12" t="inlineStr">
        <is>
          <t>MS Rods</t>
        </is>
      </c>
      <c r="E12" s="12" t="n">
        <v>1.01</v>
      </c>
      <c r="F12" s="12" t="inlineStr">
        <is>
          <t>Bend/warp</t>
        </is>
      </c>
      <c r="G12" s="12" t="inlineStr">
        <is>
          <t>VS12</t>
        </is>
      </c>
      <c r="H12" s="12" t="n">
        <v>0.165</v>
      </c>
      <c r="I12" s="12" t="inlineStr">
        <is>
          <t>VS19</t>
        </is>
      </c>
      <c r="J12" s="12" t="n">
        <v>0.124</v>
      </c>
      <c r="K12" s="12" t="inlineStr">
        <is>
          <t>VS03</t>
        </is>
      </c>
      <c r="L12" s="12" t="n">
        <v>0.119</v>
      </c>
      <c r="M12" s="12" t="n">
        <v>0.408</v>
      </c>
      <c r="N12" s="12" t="inlineStr">
        <is>
          <t>Low</t>
        </is>
      </c>
      <c r="O12" s="12" t="inlineStr">
        <is>
          <t>Other suppliers</t>
        </is>
      </c>
      <c r="P12" s="12" t="inlineStr">
        <is>
          <t>Weak</t>
        </is>
      </c>
    </row>
    <row r="13">
      <c r="A13" s="12" t="inlineStr">
        <is>
          <t>RET-0033</t>
        </is>
      </c>
      <c r="B13" s="12" t="inlineStr">
        <is>
          <t>2022-06-09</t>
        </is>
      </c>
      <c r="C13" s="12" t="inlineStr">
        <is>
          <t>Client-063</t>
        </is>
      </c>
      <c r="D13" s="12" t="inlineStr">
        <is>
          <t>Fasteners &amp; Fittings</t>
        </is>
      </c>
      <c r="E13" s="12" t="n">
        <v>2.52</v>
      </c>
      <c r="F13" s="12" t="inlineStr">
        <is>
          <t>Weight short</t>
        </is>
      </c>
      <c r="G13" s="12" t="inlineStr">
        <is>
          <t>VS12</t>
        </is>
      </c>
      <c r="H13" s="12" t="n">
        <v>0.23</v>
      </c>
      <c r="I13" s="12" t="inlineStr">
        <is>
          <t>VS19</t>
        </is>
      </c>
      <c r="J13" s="12" t="n">
        <v>0.174</v>
      </c>
      <c r="K13" s="12" t="inlineStr">
        <is>
          <t>VS03</t>
        </is>
      </c>
      <c r="L13" s="12" t="n">
        <v>0.166</v>
      </c>
      <c r="M13" s="12" t="n">
        <v>0.569</v>
      </c>
      <c r="N13" s="12" t="inlineStr">
        <is>
          <t>Medium</t>
        </is>
      </c>
      <c r="O13" s="12" t="inlineStr">
        <is>
          <t>High-return-rate group</t>
        </is>
      </c>
      <c r="P13" s="12" t="inlineStr">
        <is>
          <t>Weak</t>
        </is>
      </c>
    </row>
    <row r="14">
      <c r="A14" s="12" t="inlineStr">
        <is>
          <t>RET-0041</t>
        </is>
      </c>
      <c r="B14" s="12" t="inlineStr">
        <is>
          <t>2021-06-10</t>
        </is>
      </c>
      <c r="C14" s="12" t="inlineStr">
        <is>
          <t>Client-048</t>
        </is>
      </c>
      <c r="D14" s="12" t="inlineStr">
        <is>
          <t>GI Wire</t>
        </is>
      </c>
      <c r="E14" s="12" t="n">
        <v>1.87</v>
      </c>
      <c r="F14" s="12" t="inlineStr">
        <is>
          <t>Surface rust</t>
        </is>
      </c>
      <c r="G14" s="12" t="inlineStr">
        <is>
          <t>VS12</t>
        </is>
      </c>
      <c r="H14" s="12" t="n">
        <v>0.25</v>
      </c>
      <c r="I14" s="12" t="inlineStr">
        <is>
          <t>VS19</t>
        </is>
      </c>
      <c r="J14" s="12" t="n">
        <v>0.189</v>
      </c>
      <c r="K14" s="12" t="inlineStr">
        <is>
          <t>VS03</t>
        </is>
      </c>
      <c r="L14" s="12" t="n">
        <v>0.18</v>
      </c>
      <c r="M14" s="12" t="n">
        <v>0.619</v>
      </c>
      <c r="N14" s="12" t="inlineStr">
        <is>
          <t>Medium</t>
        </is>
      </c>
      <c r="O14" s="12" t="inlineStr">
        <is>
          <t>High-return-rate group</t>
        </is>
      </c>
      <c r="P14" s="12" t="inlineStr">
        <is>
          <t>Weak</t>
        </is>
      </c>
    </row>
    <row r="15">
      <c r="A15" s="12" t="inlineStr">
        <is>
          <t>RET-0043</t>
        </is>
      </c>
      <c r="B15" s="12" t="inlineStr">
        <is>
          <t>2023-01-31</t>
        </is>
      </c>
      <c r="C15" s="12" t="inlineStr">
        <is>
          <t>Client-007</t>
        </is>
      </c>
      <c r="D15" s="12" t="inlineStr">
        <is>
          <t>Hex Bars</t>
        </is>
      </c>
      <c r="E15" s="12" t="n">
        <v>3.87</v>
      </c>
      <c r="F15" s="12" t="inlineStr">
        <is>
          <t>Weight short</t>
        </is>
      </c>
      <c r="G15" s="12" t="inlineStr">
        <is>
          <t>VS12</t>
        </is>
      </c>
      <c r="H15" s="12" t="n">
        <v>0.136</v>
      </c>
      <c r="I15" s="12" t="inlineStr">
        <is>
          <t>VS19</t>
        </is>
      </c>
      <c r="J15" s="12" t="n">
        <v>0.102</v>
      </c>
      <c r="K15" s="12" t="inlineStr">
        <is>
          <t>VS03</t>
        </is>
      </c>
      <c r="L15" s="12" t="n">
        <v>0.098</v>
      </c>
      <c r="M15" s="12" t="n">
        <v>0.335</v>
      </c>
      <c r="N15" s="12" t="inlineStr">
        <is>
          <t>Low</t>
        </is>
      </c>
      <c r="O15" s="12" t="inlineStr">
        <is>
          <t>Other suppliers</t>
        </is>
      </c>
      <c r="P15" s="12" t="inlineStr">
        <is>
          <t>Moderate</t>
        </is>
      </c>
    </row>
    <row r="16">
      <c r="A16" s="12" t="inlineStr">
        <is>
          <t>RET-0044</t>
        </is>
      </c>
      <c r="B16" s="12" t="inlineStr">
        <is>
          <t>2021-10-14</t>
        </is>
      </c>
      <c r="C16" s="12" t="inlineStr">
        <is>
          <t>Client-006</t>
        </is>
      </c>
      <c r="D16" s="12" t="inlineStr">
        <is>
          <t>MS Flats</t>
        </is>
      </c>
      <c r="E16" s="12" t="n">
        <v>4.39</v>
      </c>
      <c r="F16" s="12" t="inlineStr">
        <is>
          <t>Bend/warp</t>
        </is>
      </c>
      <c r="G16" s="12" t="inlineStr">
        <is>
          <t>VS12</t>
        </is>
      </c>
      <c r="H16" s="12" t="n">
        <v>0.099</v>
      </c>
      <c r="I16" s="12" t="inlineStr">
        <is>
          <t>VS19</t>
        </is>
      </c>
      <c r="J16" s="12" t="n">
        <v>0.074</v>
      </c>
      <c r="K16" s="12" t="inlineStr">
        <is>
          <t>VS03</t>
        </is>
      </c>
      <c r="L16" s="12" t="n">
        <v>0.07099999999999999</v>
      </c>
      <c r="M16" s="12" t="n">
        <v>0.244</v>
      </c>
      <c r="N16" s="12" t="inlineStr">
        <is>
          <t>Low</t>
        </is>
      </c>
      <c r="O16" s="12" t="inlineStr">
        <is>
          <t>Other suppliers</t>
        </is>
      </c>
      <c r="P16" s="12" t="inlineStr">
        <is>
          <t>Strong</t>
        </is>
      </c>
    </row>
    <row r="17">
      <c r="A17" s="12" t="inlineStr">
        <is>
          <t>RET-0045</t>
        </is>
      </c>
      <c r="B17" s="12" t="inlineStr">
        <is>
          <t>2021-02-05</t>
        </is>
      </c>
      <c r="C17" s="12" t="inlineStr">
        <is>
          <t>Client-049</t>
        </is>
      </c>
      <c r="D17" s="12" t="inlineStr">
        <is>
          <t>MS Flats</t>
        </is>
      </c>
      <c r="E17" s="12" t="n">
        <v>4.93</v>
      </c>
      <c r="F17" s="12" t="inlineStr">
        <is>
          <t>Wrong dimensions</t>
        </is>
      </c>
      <c r="G17" s="12" t="inlineStr">
        <is>
          <t>VS12</t>
        </is>
      </c>
      <c r="H17" s="12" t="n">
        <v>0.099</v>
      </c>
      <c r="I17" s="12" t="inlineStr">
        <is>
          <t>VS19</t>
        </is>
      </c>
      <c r="J17" s="12" t="n">
        <v>0.074</v>
      </c>
      <c r="K17" s="12" t="inlineStr">
        <is>
          <t>VS03</t>
        </is>
      </c>
      <c r="L17" s="12" t="n">
        <v>0.07099999999999999</v>
      </c>
      <c r="M17" s="12" t="n">
        <v>0.244</v>
      </c>
      <c r="N17" s="12" t="inlineStr">
        <is>
          <t>Low</t>
        </is>
      </c>
      <c r="O17" s="12" t="inlineStr">
        <is>
          <t>Other suppliers</t>
        </is>
      </c>
      <c r="P17" s="12" t="inlineStr">
        <is>
          <t>Strong</t>
        </is>
      </c>
    </row>
    <row r="18">
      <c r="A18" s="12" t="inlineStr">
        <is>
          <t>RET-0048</t>
        </is>
      </c>
      <c r="B18" s="12" t="inlineStr">
        <is>
          <t>2023-01-13</t>
        </is>
      </c>
      <c r="C18" s="12" t="inlineStr">
        <is>
          <t>Client-068</t>
        </is>
      </c>
      <c r="D18" s="12" t="inlineStr">
        <is>
          <t>MS Sheets</t>
        </is>
      </c>
      <c r="E18" s="12" t="n">
        <v>2.51</v>
      </c>
      <c r="F18" s="12" t="inlineStr">
        <is>
          <t>Edge damage</t>
        </is>
      </c>
      <c r="G18" s="12" t="inlineStr">
        <is>
          <t>VS12</t>
        </is>
      </c>
      <c r="H18" s="12" t="n">
        <v>0.104</v>
      </c>
      <c r="I18" s="12" t="inlineStr">
        <is>
          <t>VS19</t>
        </is>
      </c>
      <c r="J18" s="12" t="n">
        <v>0.078</v>
      </c>
      <c r="K18" s="12" t="inlineStr">
        <is>
          <t>VS03</t>
        </is>
      </c>
      <c r="L18" s="12" t="n">
        <v>0.074</v>
      </c>
      <c r="M18" s="12" t="n">
        <v>0.256</v>
      </c>
      <c r="N18" s="12" t="inlineStr">
        <is>
          <t>Low</t>
        </is>
      </c>
      <c r="O18" s="12" t="inlineStr">
        <is>
          <t>Other suppliers</t>
        </is>
      </c>
      <c r="P18" s="12" t="inlineStr">
        <is>
          <t>Moderate</t>
        </is>
      </c>
    </row>
    <row r="19">
      <c r="A19" s="12" t="inlineStr">
        <is>
          <t>RET-0049</t>
        </is>
      </c>
      <c r="B19" s="12" t="inlineStr">
        <is>
          <t>2022-11-27</t>
        </is>
      </c>
      <c r="C19" s="12" t="inlineStr">
        <is>
          <t>Client-039</t>
        </is>
      </c>
      <c r="D19" s="12" t="inlineStr">
        <is>
          <t>Fasteners &amp; Fittings</t>
        </is>
      </c>
      <c r="E19" s="12" t="n">
        <v>4.32</v>
      </c>
      <c r="F19" s="12" t="inlineStr">
        <is>
          <t>Weight short</t>
        </is>
      </c>
      <c r="G19" s="12" t="inlineStr">
        <is>
          <t>VS12</t>
        </is>
      </c>
      <c r="H19" s="12" t="n">
        <v>0.196</v>
      </c>
      <c r="I19" s="12" t="inlineStr">
        <is>
          <t>VS19</t>
        </is>
      </c>
      <c r="J19" s="12" t="n">
        <v>0.148</v>
      </c>
      <c r="K19" s="12" t="inlineStr">
        <is>
          <t>VS03</t>
        </is>
      </c>
      <c r="L19" s="12" t="n">
        <v>0.141</v>
      </c>
      <c r="M19" s="12" t="n">
        <v>0.486</v>
      </c>
      <c r="N19" s="12" t="inlineStr">
        <is>
          <t>Low</t>
        </is>
      </c>
      <c r="O19" s="12" t="inlineStr">
        <is>
          <t>Other suppliers</t>
        </is>
      </c>
      <c r="P19" s="12" t="inlineStr">
        <is>
          <t>Weak</t>
        </is>
      </c>
    </row>
    <row r="20">
      <c r="A20" s="12" t="inlineStr">
        <is>
          <t>RET-0053</t>
        </is>
      </c>
      <c r="B20" s="12" t="inlineStr">
        <is>
          <t>2022-05-14</t>
        </is>
      </c>
      <c r="C20" s="12" t="inlineStr">
        <is>
          <t>Client-056</t>
        </is>
      </c>
      <c r="D20" s="12" t="inlineStr">
        <is>
          <t>GI Wire</t>
        </is>
      </c>
      <c r="E20" s="12" t="n">
        <v>0.39</v>
      </c>
      <c r="F20" s="12" t="inlineStr">
        <is>
          <t>Edge damage</t>
        </is>
      </c>
      <c r="G20" s="12" t="inlineStr">
        <is>
          <t>VS12</t>
        </is>
      </c>
      <c r="H20" s="12" t="n">
        <v>0.311</v>
      </c>
      <c r="I20" s="12" t="inlineStr">
        <is>
          <t>VS19</t>
        </is>
      </c>
      <c r="J20" s="12" t="n">
        <v>0.235</v>
      </c>
      <c r="K20" s="12" t="inlineStr">
        <is>
          <t>VS03</t>
        </is>
      </c>
      <c r="L20" s="12" t="n">
        <v>0.224</v>
      </c>
      <c r="M20" s="12" t="n">
        <v>0.77</v>
      </c>
      <c r="N20" s="12" t="inlineStr">
        <is>
          <t>Medium</t>
        </is>
      </c>
      <c r="O20" s="12" t="inlineStr">
        <is>
          <t>High-return-rate group</t>
        </is>
      </c>
      <c r="P20" s="12" t="inlineStr">
        <is>
          <t>Strong</t>
        </is>
      </c>
    </row>
    <row r="21">
      <c r="A21" s="12" t="inlineStr">
        <is>
          <t>RET-0055</t>
        </is>
      </c>
      <c r="B21" s="12" t="inlineStr">
        <is>
          <t>2023-07-09</t>
        </is>
      </c>
      <c r="C21" s="12" t="inlineStr">
        <is>
          <t>Client-061</t>
        </is>
      </c>
      <c r="D21" s="12" t="inlineStr">
        <is>
          <t>Fasteners &amp; Fittings</t>
        </is>
      </c>
      <c r="E21" s="12" t="n">
        <v>1.84</v>
      </c>
      <c r="F21" s="12" t="inlineStr">
        <is>
          <t>Surface rust</t>
        </is>
      </c>
      <c r="G21" s="12" t="inlineStr">
        <is>
          <t>VS12</t>
        </is>
      </c>
      <c r="H21" s="12" t="n">
        <v>0.252</v>
      </c>
      <c r="I21" s="12" t="inlineStr">
        <is>
          <t>VS19</t>
        </is>
      </c>
      <c r="J21" s="12" t="n">
        <v>0.19</v>
      </c>
      <c r="K21" s="12" t="inlineStr">
        <is>
          <t>VS03</t>
        </is>
      </c>
      <c r="L21" s="12" t="n">
        <v>0.181</v>
      </c>
      <c r="M21" s="12" t="n">
        <v>0.623</v>
      </c>
      <c r="N21" s="12" t="inlineStr">
        <is>
          <t>Medium</t>
        </is>
      </c>
      <c r="O21" s="12" t="inlineStr">
        <is>
          <t>High-return-rate group</t>
        </is>
      </c>
      <c r="P21" s="12" t="inlineStr">
        <is>
          <t>Moderate</t>
        </is>
      </c>
    </row>
    <row r="22">
      <c r="A22" s="12" t="inlineStr">
        <is>
          <t>RET-0057</t>
        </is>
      </c>
      <c r="B22" s="12" t="inlineStr">
        <is>
          <t>2023-03-12</t>
        </is>
      </c>
      <c r="C22" s="12" t="inlineStr">
        <is>
          <t>Client-006</t>
        </is>
      </c>
      <c r="D22" s="12" t="inlineStr">
        <is>
          <t>MS Pipes</t>
        </is>
      </c>
      <c r="E22" s="12" t="n">
        <v>3.61</v>
      </c>
      <c r="F22" s="12" t="inlineStr">
        <is>
          <t>Wrong dimensions</t>
        </is>
      </c>
      <c r="G22" s="12" t="inlineStr">
        <is>
          <t>VS12</t>
        </is>
      </c>
      <c r="H22" s="12" t="n">
        <v>0.153</v>
      </c>
      <c r="I22" s="12" t="inlineStr">
        <is>
          <t>VS19</t>
        </is>
      </c>
      <c r="J22" s="12" t="n">
        <v>0.115</v>
      </c>
      <c r="K22" s="12" t="inlineStr">
        <is>
          <t>VS03</t>
        </is>
      </c>
      <c r="L22" s="12" t="n">
        <v>0.11</v>
      </c>
      <c r="M22" s="12" t="n">
        <v>0.377</v>
      </c>
      <c r="N22" s="12" t="inlineStr">
        <is>
          <t>Low</t>
        </is>
      </c>
      <c r="O22" s="12" t="inlineStr">
        <is>
          <t>Other suppliers</t>
        </is>
      </c>
      <c r="P22" s="12" t="inlineStr">
        <is>
          <t>Moderate</t>
        </is>
      </c>
    </row>
    <row r="23">
      <c r="A23" s="12" t="inlineStr">
        <is>
          <t>RET-0060</t>
        </is>
      </c>
      <c r="B23" s="12" t="inlineStr">
        <is>
          <t>2021-11-12</t>
        </is>
      </c>
      <c r="C23" s="12" t="inlineStr">
        <is>
          <t>Client-010</t>
        </is>
      </c>
      <c r="D23" s="12" t="inlineStr">
        <is>
          <t>Structural Steel</t>
        </is>
      </c>
      <c r="E23" s="12" t="n">
        <v>3.85</v>
      </c>
      <c r="F23" s="12" t="inlineStr">
        <is>
          <t>Weight short</t>
        </is>
      </c>
      <c r="G23" s="12" t="inlineStr">
        <is>
          <t>VS12</t>
        </is>
      </c>
      <c r="H23" s="12" t="n">
        <v>0.199</v>
      </c>
      <c r="I23" s="12" t="inlineStr">
        <is>
          <t>VS19</t>
        </is>
      </c>
      <c r="J23" s="12" t="n">
        <v>0.15</v>
      </c>
      <c r="K23" s="12" t="inlineStr">
        <is>
          <t>VS03</t>
        </is>
      </c>
      <c r="L23" s="12" t="n">
        <v>0.143</v>
      </c>
      <c r="M23" s="12" t="n">
        <v>0.492</v>
      </c>
      <c r="N23" s="12" t="inlineStr">
        <is>
          <t>Low</t>
        </is>
      </c>
      <c r="O23" s="12" t="inlineStr">
        <is>
          <t>Other suppliers</t>
        </is>
      </c>
      <c r="P23" s="12" t="inlineStr">
        <is>
          <t>Weak</t>
        </is>
      </c>
    </row>
    <row r="24">
      <c r="A24" s="12" t="inlineStr">
        <is>
          <t>RET-0063</t>
        </is>
      </c>
      <c r="B24" s="12" t="inlineStr">
        <is>
          <t>2023-03-10</t>
        </is>
      </c>
      <c r="C24" s="12" t="inlineStr">
        <is>
          <t>Client-028</t>
        </is>
      </c>
      <c r="D24" s="12" t="inlineStr">
        <is>
          <t>MS Flats</t>
        </is>
      </c>
      <c r="E24" s="12" t="n">
        <v>4.2</v>
      </c>
      <c r="F24" s="12" t="inlineStr">
        <is>
          <t>Surface rust</t>
        </is>
      </c>
      <c r="G24" s="12" t="inlineStr">
        <is>
          <t>VS12</t>
        </is>
      </c>
      <c r="H24" s="12" t="n">
        <v>0.099</v>
      </c>
      <c r="I24" s="12" t="inlineStr">
        <is>
          <t>VS19</t>
        </is>
      </c>
      <c r="J24" s="12" t="n">
        <v>0.074</v>
      </c>
      <c r="K24" s="12" t="inlineStr">
        <is>
          <t>VS03</t>
        </is>
      </c>
      <c r="L24" s="12" t="n">
        <v>0.07099999999999999</v>
      </c>
      <c r="M24" s="12" t="n">
        <v>0.244</v>
      </c>
      <c r="N24" s="12" t="inlineStr">
        <is>
          <t>Low</t>
        </is>
      </c>
      <c r="O24" s="12" t="inlineStr">
        <is>
          <t>Other suppliers</t>
        </is>
      </c>
      <c r="P24" s="12" t="inlineStr">
        <is>
          <t>Strong</t>
        </is>
      </c>
    </row>
    <row r="25">
      <c r="A25" s="12" t="inlineStr">
        <is>
          <t>RET-0065</t>
        </is>
      </c>
      <c r="B25" s="12" t="inlineStr">
        <is>
          <t>2023-06-05</t>
        </is>
      </c>
      <c r="C25" s="12" t="inlineStr">
        <is>
          <t>Client-073</t>
        </is>
      </c>
      <c r="D25" s="12" t="inlineStr">
        <is>
          <t>Square/Rect Tubes</t>
        </is>
      </c>
      <c r="E25" s="12" t="n">
        <v>4.04</v>
      </c>
      <c r="F25" s="12" t="inlineStr">
        <is>
          <t>Bend/warp</t>
        </is>
      </c>
      <c r="G25" s="12" t="inlineStr">
        <is>
          <t>VS12</t>
        </is>
      </c>
      <c r="H25" s="12" t="n">
        <v>0.258</v>
      </c>
      <c r="I25" s="12" t="inlineStr">
        <is>
          <t>VS19</t>
        </is>
      </c>
      <c r="J25" s="12" t="n">
        <v>0.195</v>
      </c>
      <c r="K25" s="12" t="inlineStr">
        <is>
          <t>VS03</t>
        </is>
      </c>
      <c r="L25" s="12" t="n">
        <v>0.186</v>
      </c>
      <c r="M25" s="12" t="n">
        <v>0.639</v>
      </c>
      <c r="N25" s="12" t="inlineStr">
        <is>
          <t>Medium</t>
        </is>
      </c>
      <c r="O25" s="12" t="inlineStr">
        <is>
          <t>High-return-rate group</t>
        </is>
      </c>
      <c r="P25" s="12" t="inlineStr">
        <is>
          <t>Moderate</t>
        </is>
      </c>
    </row>
    <row r="26">
      <c r="A26" s="12" t="inlineStr">
        <is>
          <t>RET-0067</t>
        </is>
      </c>
      <c r="B26" s="12" t="inlineStr">
        <is>
          <t>2022-04-27</t>
        </is>
      </c>
      <c r="C26" s="12" t="inlineStr">
        <is>
          <t>Client-007</t>
        </is>
      </c>
      <c r="D26" s="12" t="inlineStr">
        <is>
          <t>GI Wire</t>
        </is>
      </c>
      <c r="E26" s="12" t="n">
        <v>1.73</v>
      </c>
      <c r="F26" s="12" t="inlineStr">
        <is>
          <t>Surface rust</t>
        </is>
      </c>
      <c r="G26" s="12" t="inlineStr">
        <is>
          <t>VS12</t>
        </is>
      </c>
      <c r="H26" s="12" t="n">
        <v>0.25</v>
      </c>
      <c r="I26" s="12" t="inlineStr">
        <is>
          <t>VS19</t>
        </is>
      </c>
      <c r="J26" s="12" t="n">
        <v>0.189</v>
      </c>
      <c r="K26" s="12" t="inlineStr">
        <is>
          <t>VS03</t>
        </is>
      </c>
      <c r="L26" s="12" t="n">
        <v>0.18</v>
      </c>
      <c r="M26" s="12" t="n">
        <v>0.619</v>
      </c>
      <c r="N26" s="12" t="inlineStr">
        <is>
          <t>Medium</t>
        </is>
      </c>
      <c r="O26" s="12" t="inlineStr">
        <is>
          <t>High-return-rate group</t>
        </is>
      </c>
      <c r="P26" s="12" t="inlineStr">
        <is>
          <t>Weak</t>
        </is>
      </c>
    </row>
    <row r="27">
      <c r="A27" s="12" t="inlineStr">
        <is>
          <t>RET-0068</t>
        </is>
      </c>
      <c r="B27" s="12" t="inlineStr">
        <is>
          <t>2021-10-02</t>
        </is>
      </c>
      <c r="C27" s="12" t="inlineStr">
        <is>
          <t>Client-056</t>
        </is>
      </c>
      <c r="D27" s="12" t="inlineStr">
        <is>
          <t>Fasteners &amp; Fittings</t>
        </is>
      </c>
      <c r="E27" s="12" t="n">
        <v>3.08</v>
      </c>
      <c r="F27" s="12" t="inlineStr">
        <is>
          <t>Edge damage</t>
        </is>
      </c>
      <c r="G27" s="12" t="inlineStr">
        <is>
          <t>VS12</t>
        </is>
      </c>
      <c r="H27" s="12" t="n">
        <v>0.199</v>
      </c>
      <c r="I27" s="12" t="inlineStr">
        <is>
          <t>VS19</t>
        </is>
      </c>
      <c r="J27" s="12" t="n">
        <v>0.15</v>
      </c>
      <c r="K27" s="12" t="inlineStr">
        <is>
          <t>VS03</t>
        </is>
      </c>
      <c r="L27" s="12" t="n">
        <v>0.143</v>
      </c>
      <c r="M27" s="12" t="n">
        <v>0.492</v>
      </c>
      <c r="N27" s="12" t="inlineStr">
        <is>
          <t>Low</t>
        </is>
      </c>
      <c r="O27" s="12" t="inlineStr">
        <is>
          <t>Other suppliers</t>
        </is>
      </c>
      <c r="P27" s="12" t="inlineStr">
        <is>
          <t>Weak</t>
        </is>
      </c>
    </row>
    <row r="28">
      <c r="A28" s="12" t="inlineStr">
        <is>
          <t>RET-0070</t>
        </is>
      </c>
      <c r="B28" s="12" t="inlineStr">
        <is>
          <t>2022-08-09</t>
        </is>
      </c>
      <c r="C28" s="12" t="inlineStr">
        <is>
          <t>Client-019</t>
        </is>
      </c>
      <c r="D28" s="12" t="inlineStr">
        <is>
          <t>GI Wire</t>
        </is>
      </c>
      <c r="E28" s="12" t="n">
        <v>3.06</v>
      </c>
      <c r="F28" s="12" t="inlineStr">
        <is>
          <t>Grade mismatch</t>
        </is>
      </c>
      <c r="G28" s="12" t="inlineStr">
        <is>
          <t>VS12</t>
        </is>
      </c>
      <c r="H28" s="12" t="n">
        <v>0.197</v>
      </c>
      <c r="I28" s="12" t="inlineStr">
        <is>
          <t>VS19</t>
        </is>
      </c>
      <c r="J28" s="12" t="n">
        <v>0.149</v>
      </c>
      <c r="K28" s="12" t="inlineStr">
        <is>
          <t>VS03</t>
        </is>
      </c>
      <c r="L28" s="12" t="n">
        <v>0.142</v>
      </c>
      <c r="M28" s="12" t="n">
        <v>0.488</v>
      </c>
      <c r="N28" s="12" t="inlineStr">
        <is>
          <t>Low</t>
        </is>
      </c>
      <c r="O28" s="12" t="inlineStr">
        <is>
          <t>Other suppliers</t>
        </is>
      </c>
      <c r="P28" s="12" t="inlineStr">
        <is>
          <t>Weak</t>
        </is>
      </c>
    </row>
    <row r="29">
      <c r="A29" s="12" t="inlineStr">
        <is>
          <t>RET-0073</t>
        </is>
      </c>
      <c r="B29" s="12" t="inlineStr">
        <is>
          <t>2023-04-13</t>
        </is>
      </c>
      <c r="C29" s="12" t="inlineStr">
        <is>
          <t>Client-057</t>
        </is>
      </c>
      <c r="D29" s="12" t="inlineStr">
        <is>
          <t>Spring Steel</t>
        </is>
      </c>
      <c r="E29" s="12" t="n">
        <v>4.93</v>
      </c>
      <c r="F29" s="12" t="inlineStr">
        <is>
          <t>Grade mismatch</t>
        </is>
      </c>
      <c r="G29" s="12" t="inlineStr">
        <is>
          <t>VS12</t>
        </is>
      </c>
      <c r="H29" s="12" t="n">
        <v>0.061</v>
      </c>
      <c r="I29" s="12" t="inlineStr">
        <is>
          <t>VS19</t>
        </is>
      </c>
      <c r="J29" s="12" t="n">
        <v>0.046</v>
      </c>
      <c r="K29" s="12" t="inlineStr">
        <is>
          <t>VS32</t>
        </is>
      </c>
      <c r="L29" s="12" t="n">
        <v>0.046</v>
      </c>
      <c r="M29" s="12" t="n">
        <v>0.151</v>
      </c>
      <c r="N29" s="12" t="inlineStr">
        <is>
          <t>Low</t>
        </is>
      </c>
      <c r="O29" s="12" t="inlineStr">
        <is>
          <t>Other suppliers</t>
        </is>
      </c>
      <c r="P29" s="12" t="inlineStr">
        <is>
          <t>Strong</t>
        </is>
      </c>
    </row>
    <row r="30">
      <c r="A30" s="12" t="inlineStr">
        <is>
          <t>RET-0086</t>
        </is>
      </c>
      <c r="B30" s="12" t="inlineStr">
        <is>
          <t>2023-06-22</t>
        </is>
      </c>
      <c r="C30" s="12" t="inlineStr">
        <is>
          <t>Client-009</t>
        </is>
      </c>
      <c r="D30" s="12" t="inlineStr">
        <is>
          <t>GI Pipes</t>
        </is>
      </c>
      <c r="E30" s="12" t="n">
        <v>4.47</v>
      </c>
      <c r="F30" s="12" t="inlineStr">
        <is>
          <t>Weight short</t>
        </is>
      </c>
      <c r="G30" s="12" t="inlineStr">
        <is>
          <t>VS12</t>
        </is>
      </c>
      <c r="H30" s="12" t="n">
        <v>0.195</v>
      </c>
      <c r="I30" s="12" t="inlineStr">
        <is>
          <t>VS19</t>
        </is>
      </c>
      <c r="J30" s="12" t="n">
        <v>0.147</v>
      </c>
      <c r="K30" s="12" t="inlineStr">
        <is>
          <t>VS03</t>
        </is>
      </c>
      <c r="L30" s="12" t="n">
        <v>0.14</v>
      </c>
      <c r="M30" s="12" t="n">
        <v>0.481</v>
      </c>
      <c r="N30" s="12" t="inlineStr">
        <is>
          <t>Low</t>
        </is>
      </c>
      <c r="O30" s="12" t="inlineStr">
        <is>
          <t>Other suppliers</t>
        </is>
      </c>
      <c r="P30" s="12" t="inlineStr">
        <is>
          <t>Weak</t>
        </is>
      </c>
    </row>
    <row r="31">
      <c r="A31" s="12" t="inlineStr">
        <is>
          <t>RET-0088</t>
        </is>
      </c>
      <c r="B31" s="12" t="inlineStr">
        <is>
          <t>2021-12-08</t>
        </is>
      </c>
      <c r="C31" s="12" t="inlineStr">
        <is>
          <t>Client-052</t>
        </is>
      </c>
      <c r="D31" s="12" t="inlineStr">
        <is>
          <t>CR Sheets</t>
        </is>
      </c>
      <c r="E31" s="12" t="n">
        <v>4.45</v>
      </c>
      <c r="F31" s="12" t="inlineStr">
        <is>
          <t>Bend/warp</t>
        </is>
      </c>
      <c r="G31" s="12" t="inlineStr">
        <is>
          <t>VS12</t>
        </is>
      </c>
      <c r="H31" s="12" t="n">
        <v>0.136</v>
      </c>
      <c r="I31" s="12" t="inlineStr">
        <is>
          <t>VS19</t>
        </is>
      </c>
      <c r="J31" s="12" t="n">
        <v>0.102</v>
      </c>
      <c r="K31" s="12" t="inlineStr">
        <is>
          <t>VS03</t>
        </is>
      </c>
      <c r="L31" s="12" t="n">
        <v>0.098</v>
      </c>
      <c r="M31" s="12" t="n">
        <v>0.336</v>
      </c>
      <c r="N31" s="12" t="inlineStr">
        <is>
          <t>Low</t>
        </is>
      </c>
      <c r="O31" s="12" t="inlineStr">
        <is>
          <t>Other suppliers</t>
        </is>
      </c>
      <c r="P31" s="12" t="inlineStr">
        <is>
          <t>Moderate</t>
        </is>
      </c>
    </row>
    <row r="32">
      <c r="A32" s="12" t="inlineStr">
        <is>
          <t>RET-0089</t>
        </is>
      </c>
      <c r="B32" s="12" t="inlineStr">
        <is>
          <t>2021-04-02</t>
        </is>
      </c>
      <c r="C32" s="12" t="inlineStr">
        <is>
          <t>Client-070</t>
        </is>
      </c>
      <c r="D32" s="12" t="inlineStr">
        <is>
          <t>MS Flats</t>
        </is>
      </c>
      <c r="E32" s="12" t="n">
        <v>0.85</v>
      </c>
      <c r="F32" s="12" t="inlineStr">
        <is>
          <t>Edge damage</t>
        </is>
      </c>
      <c r="G32" s="12" t="inlineStr">
        <is>
          <t>VS12</t>
        </is>
      </c>
      <c r="H32" s="12" t="n">
        <v>0.217</v>
      </c>
      <c r="I32" s="12" t="inlineStr">
        <is>
          <t>VS19</t>
        </is>
      </c>
      <c r="J32" s="12" t="n">
        <v>0.164</v>
      </c>
      <c r="K32" s="12" t="inlineStr">
        <is>
          <t>VS03</t>
        </is>
      </c>
      <c r="L32" s="12" t="n">
        <v>0.156</v>
      </c>
      <c r="M32" s="12" t="n">
        <v>0.537</v>
      </c>
      <c r="N32" s="12" t="inlineStr">
        <is>
          <t>Medium</t>
        </is>
      </c>
      <c r="O32" s="12" t="inlineStr">
        <is>
          <t>High-return-rate group</t>
        </is>
      </c>
      <c r="P32" s="12" t="inlineStr">
        <is>
          <t>Weak</t>
        </is>
      </c>
    </row>
    <row r="33">
      <c r="A33" s="12" t="inlineStr">
        <is>
          <t>RET-0090</t>
        </is>
      </c>
      <c r="B33" s="12" t="inlineStr">
        <is>
          <t>2023-10-10</t>
        </is>
      </c>
      <c r="C33" s="12" t="inlineStr">
        <is>
          <t>Client-061</t>
        </is>
      </c>
      <c r="D33" s="12" t="inlineStr">
        <is>
          <t>Structural Steel</t>
        </is>
      </c>
      <c r="E33" s="12" t="n">
        <v>0.97</v>
      </c>
      <c r="F33" s="12" t="inlineStr">
        <is>
          <t>Surface rust</t>
        </is>
      </c>
      <c r="G33" s="12" t="inlineStr">
        <is>
          <t>VS12</t>
        </is>
      </c>
      <c r="H33" s="12" t="n">
        <v>0.312</v>
      </c>
      <c r="I33" s="12" t="inlineStr">
        <is>
          <t>VS19</t>
        </is>
      </c>
      <c r="J33" s="12" t="n">
        <v>0.236</v>
      </c>
      <c r="K33" s="12" t="inlineStr">
        <is>
          <t>VS03</t>
        </is>
      </c>
      <c r="L33" s="12" t="n">
        <v>0.225</v>
      </c>
      <c r="M33" s="12" t="n">
        <v>0.773</v>
      </c>
      <c r="N33" s="12" t="inlineStr">
        <is>
          <t>Medium</t>
        </is>
      </c>
      <c r="O33" s="12" t="inlineStr">
        <is>
          <t>High-return-rate group</t>
        </is>
      </c>
      <c r="P33" s="12" t="inlineStr">
        <is>
          <t>Strong</t>
        </is>
      </c>
    </row>
    <row r="34">
      <c r="A34" s="12" t="inlineStr">
        <is>
          <t>RET-0097</t>
        </is>
      </c>
      <c r="B34" s="12" t="inlineStr">
        <is>
          <t>2022-07-25</t>
        </is>
      </c>
      <c r="C34" s="12" t="inlineStr">
        <is>
          <t>Client-068</t>
        </is>
      </c>
      <c r="D34" s="12" t="inlineStr">
        <is>
          <t>GI Sheets</t>
        </is>
      </c>
      <c r="E34" s="12" t="n">
        <v>3.96</v>
      </c>
      <c r="F34" s="12" t="inlineStr">
        <is>
          <t>Surface rust</t>
        </is>
      </c>
      <c r="G34" s="12" t="inlineStr">
        <is>
          <t>VS12</t>
        </is>
      </c>
      <c r="H34" s="12" t="n">
        <v>0.286</v>
      </c>
      <c r="I34" s="12" t="inlineStr">
        <is>
          <t>VS19</t>
        </is>
      </c>
      <c r="J34" s="12" t="n">
        <v>0.216</v>
      </c>
      <c r="K34" s="12" t="inlineStr">
        <is>
          <t>VS03</t>
        </is>
      </c>
      <c r="L34" s="12" t="n">
        <v>0.206</v>
      </c>
      <c r="M34" s="12" t="n">
        <v>0.708</v>
      </c>
      <c r="N34" s="12" t="inlineStr">
        <is>
          <t>Medium</t>
        </is>
      </c>
      <c r="O34" s="12" t="inlineStr">
        <is>
          <t>High-return-rate group</t>
        </is>
      </c>
      <c r="P34" s="12" t="inlineStr">
        <is>
          <t>Moderate</t>
        </is>
      </c>
    </row>
    <row r="35">
      <c r="A35" s="12" t="inlineStr">
        <is>
          <t>RET-0098</t>
        </is>
      </c>
      <c r="B35" s="12" t="inlineStr">
        <is>
          <t>2021-02-08</t>
        </is>
      </c>
      <c r="C35" s="12" t="inlineStr">
        <is>
          <t>Client-043</t>
        </is>
      </c>
      <c r="D35" s="12" t="inlineStr">
        <is>
          <t>ERW Pipes</t>
        </is>
      </c>
      <c r="E35" s="12" t="n">
        <v>2.44</v>
      </c>
      <c r="F35" s="12" t="inlineStr">
        <is>
          <t>Grade mismatch</t>
        </is>
      </c>
      <c r="G35" s="12" t="inlineStr">
        <is>
          <t>VS12</t>
        </is>
      </c>
      <c r="H35" s="12" t="n">
        <v>0.138</v>
      </c>
      <c r="I35" s="12" t="inlineStr">
        <is>
          <t>VS19</t>
        </is>
      </c>
      <c r="J35" s="12" t="n">
        <v>0.104</v>
      </c>
      <c r="K35" s="12" t="inlineStr">
        <is>
          <t>VS03</t>
        </is>
      </c>
      <c r="L35" s="12" t="n">
        <v>0.099</v>
      </c>
      <c r="M35" s="12" t="n">
        <v>0.341</v>
      </c>
      <c r="N35" s="12" t="inlineStr">
        <is>
          <t>Low</t>
        </is>
      </c>
      <c r="O35" s="12" t="inlineStr">
        <is>
          <t>Other suppliers</t>
        </is>
      </c>
      <c r="P35" s="12" t="inlineStr">
        <is>
          <t>Moderate</t>
        </is>
      </c>
    </row>
    <row r="36">
      <c r="A36" s="12" t="inlineStr">
        <is>
          <t>RET-0103</t>
        </is>
      </c>
      <c r="B36" s="12" t="inlineStr">
        <is>
          <t>2023-10-16</t>
        </is>
      </c>
      <c r="C36" s="12" t="inlineStr">
        <is>
          <t>Client-021</t>
        </is>
      </c>
      <c r="D36" s="12" t="inlineStr">
        <is>
          <t>GI Wire</t>
        </is>
      </c>
      <c r="E36" s="12" t="n">
        <v>2.8</v>
      </c>
      <c r="F36" s="12" t="inlineStr">
        <is>
          <t>Bend/warp</t>
        </is>
      </c>
      <c r="G36" s="12" t="inlineStr">
        <is>
          <t>VS12</t>
        </is>
      </c>
      <c r="H36" s="12" t="n">
        <v>0.228</v>
      </c>
      <c r="I36" s="12" t="inlineStr">
        <is>
          <t>VS19</t>
        </is>
      </c>
      <c r="J36" s="12" t="n">
        <v>0.172</v>
      </c>
      <c r="K36" s="12" t="inlineStr">
        <is>
          <t>VS03</t>
        </is>
      </c>
      <c r="L36" s="12" t="n">
        <v>0.164</v>
      </c>
      <c r="M36" s="12" t="n">
        <v>0.5649999999999999</v>
      </c>
      <c r="N36" s="12" t="inlineStr">
        <is>
          <t>Medium</t>
        </is>
      </c>
      <c r="O36" s="12" t="inlineStr">
        <is>
          <t>High-return-rate group</t>
        </is>
      </c>
      <c r="P36" s="12" t="inlineStr">
        <is>
          <t>Weak</t>
        </is>
      </c>
    </row>
    <row r="37">
      <c r="A37" s="12" t="inlineStr">
        <is>
          <t>RET-0106</t>
        </is>
      </c>
      <c r="B37" s="12" t="inlineStr">
        <is>
          <t>2021-12-23</t>
        </is>
      </c>
      <c r="C37" s="12" t="inlineStr">
        <is>
          <t>Client-044</t>
        </is>
      </c>
      <c r="D37" s="12" t="inlineStr">
        <is>
          <t>Hex Bars</t>
        </is>
      </c>
      <c r="E37" s="12" t="n">
        <v>2.66</v>
      </c>
      <c r="F37" s="12" t="inlineStr">
        <is>
          <t>Edge damage</t>
        </is>
      </c>
      <c r="G37" s="12" t="inlineStr">
        <is>
          <t>VS12</t>
        </is>
      </c>
      <c r="H37" s="12" t="n">
        <v>0.165</v>
      </c>
      <c r="I37" s="12" t="inlineStr">
        <is>
          <t>VS19</t>
        </is>
      </c>
      <c r="J37" s="12" t="n">
        <v>0.124</v>
      </c>
      <c r="K37" s="12" t="inlineStr">
        <is>
          <t>VS03</t>
        </is>
      </c>
      <c r="L37" s="12" t="n">
        <v>0.119</v>
      </c>
      <c r="M37" s="12" t="n">
        <v>0.408</v>
      </c>
      <c r="N37" s="12" t="inlineStr">
        <is>
          <t>Low</t>
        </is>
      </c>
      <c r="O37" s="12" t="inlineStr">
        <is>
          <t>Other suppliers</t>
        </is>
      </c>
      <c r="P37" s="12" t="inlineStr">
        <is>
          <t>Weak</t>
        </is>
      </c>
    </row>
    <row r="38">
      <c r="A38" s="12" t="inlineStr">
        <is>
          <t>RET-0108</t>
        </is>
      </c>
      <c r="B38" s="12" t="inlineStr">
        <is>
          <t>2023-09-06</t>
        </is>
      </c>
      <c r="C38" s="12" t="inlineStr">
        <is>
          <t>Client-007</t>
        </is>
      </c>
      <c r="D38" s="12" t="inlineStr">
        <is>
          <t>GI Sheets</t>
        </is>
      </c>
      <c r="E38" s="12" t="n">
        <v>1.9</v>
      </c>
      <c r="F38" s="12" t="inlineStr">
        <is>
          <t>Grade mismatch</t>
        </is>
      </c>
      <c r="G38" s="12" t="inlineStr">
        <is>
          <t>VS12</t>
        </is>
      </c>
      <c r="H38" s="12" t="n">
        <v>0.325</v>
      </c>
      <c r="I38" s="12" t="inlineStr">
        <is>
          <t>VS19</t>
        </is>
      </c>
      <c r="J38" s="12" t="n">
        <v>0.246</v>
      </c>
      <c r="K38" s="12" t="inlineStr">
        <is>
          <t>VS03</t>
        </is>
      </c>
      <c r="L38" s="12" t="n">
        <v>0.234</v>
      </c>
      <c r="M38" s="12" t="n">
        <v>0.805</v>
      </c>
      <c r="N38" s="12" t="inlineStr">
        <is>
          <t>Medium</t>
        </is>
      </c>
      <c r="O38" s="12" t="inlineStr">
        <is>
          <t>High-return-rate group</t>
        </is>
      </c>
      <c r="P38" s="12" t="inlineStr">
        <is>
          <t>Strong</t>
        </is>
      </c>
    </row>
    <row r="39">
      <c r="A39" s="12" t="inlineStr">
        <is>
          <t>RET-0115</t>
        </is>
      </c>
      <c r="B39" s="12" t="inlineStr">
        <is>
          <t>2023-02-14</t>
        </is>
      </c>
      <c r="C39" s="12" t="inlineStr">
        <is>
          <t>Client-049</t>
        </is>
      </c>
      <c r="D39" s="12" t="inlineStr">
        <is>
          <t>GI Sheets</t>
        </is>
      </c>
      <c r="E39" s="12" t="n">
        <v>1.42</v>
      </c>
      <c r="F39" s="12" t="inlineStr">
        <is>
          <t>Weight short</t>
        </is>
      </c>
      <c r="G39" s="12" t="inlineStr">
        <is>
          <t>VS12</t>
        </is>
      </c>
      <c r="H39" s="12" t="n">
        <v>0.325</v>
      </c>
      <c r="I39" s="12" t="inlineStr">
        <is>
          <t>VS19</t>
        </is>
      </c>
      <c r="J39" s="12" t="n">
        <v>0.246</v>
      </c>
      <c r="K39" s="12" t="inlineStr">
        <is>
          <t>VS03</t>
        </is>
      </c>
      <c r="L39" s="12" t="n">
        <v>0.234</v>
      </c>
      <c r="M39" s="12" t="n">
        <v>0.805</v>
      </c>
      <c r="N39" s="12" t="inlineStr">
        <is>
          <t>Medium</t>
        </is>
      </c>
      <c r="O39" s="12" t="inlineStr">
        <is>
          <t>High-return-rate group</t>
        </is>
      </c>
      <c r="P39" s="12" t="inlineStr">
        <is>
          <t>Strong</t>
        </is>
      </c>
    </row>
    <row r="40">
      <c r="A40" s="12" t="inlineStr">
        <is>
          <t>RET-0119</t>
        </is>
      </c>
      <c r="B40" s="12" t="inlineStr">
        <is>
          <t>2023-03-12</t>
        </is>
      </c>
      <c r="C40" s="12" t="inlineStr">
        <is>
          <t>Client-072</t>
        </is>
      </c>
      <c r="D40" s="12" t="inlineStr">
        <is>
          <t>GI Pipes</t>
        </is>
      </c>
      <c r="E40" s="12" t="n">
        <v>3</v>
      </c>
      <c r="F40" s="12" t="inlineStr">
        <is>
          <t>Edge damage</t>
        </is>
      </c>
      <c r="G40" s="12" t="inlineStr">
        <is>
          <t>VS12</t>
        </is>
      </c>
      <c r="H40" s="12" t="n">
        <v>0.197</v>
      </c>
      <c r="I40" s="12" t="inlineStr">
        <is>
          <t>VS19</t>
        </is>
      </c>
      <c r="J40" s="12" t="n">
        <v>0.149</v>
      </c>
      <c r="K40" s="12" t="inlineStr">
        <is>
          <t>VS03</t>
        </is>
      </c>
      <c r="L40" s="12" t="n">
        <v>0.142</v>
      </c>
      <c r="M40" s="12" t="n">
        <v>0.488</v>
      </c>
      <c r="N40" s="12" t="inlineStr">
        <is>
          <t>Low</t>
        </is>
      </c>
      <c r="O40" s="12" t="inlineStr">
        <is>
          <t>Other suppliers</t>
        </is>
      </c>
      <c r="P40" s="12" t="inlineStr">
        <is>
          <t>Weak</t>
        </is>
      </c>
    </row>
    <row r="41">
      <c r="A41" s="12" t="inlineStr">
        <is>
          <t>RET-0120</t>
        </is>
      </c>
      <c r="B41" s="12" t="inlineStr">
        <is>
          <t>2022-07-23</t>
        </is>
      </c>
      <c r="C41" s="12" t="inlineStr">
        <is>
          <t>Client-067</t>
        </is>
      </c>
      <c r="D41" s="12" t="inlineStr">
        <is>
          <t>MS Flats</t>
        </is>
      </c>
      <c r="E41" s="12" t="n">
        <v>1.08</v>
      </c>
      <c r="F41" s="12" t="inlineStr">
        <is>
          <t>Edge damage</t>
        </is>
      </c>
      <c r="G41" s="12" t="inlineStr">
        <is>
          <t>VS12</t>
        </is>
      </c>
      <c r="H41" s="12" t="n">
        <v>0.146</v>
      </c>
      <c r="I41" s="12" t="inlineStr">
        <is>
          <t>VS19</t>
        </is>
      </c>
      <c r="J41" s="12" t="n">
        <v>0.11</v>
      </c>
      <c r="K41" s="12" t="inlineStr">
        <is>
          <t>VS03</t>
        </is>
      </c>
      <c r="L41" s="12" t="n">
        <v>0.105</v>
      </c>
      <c r="M41" s="12" t="n">
        <v>0.36</v>
      </c>
      <c r="N41" s="12" t="inlineStr">
        <is>
          <t>Low</t>
        </is>
      </c>
      <c r="O41" s="12" t="inlineStr">
        <is>
          <t>Other suppliers</t>
        </is>
      </c>
      <c r="P41" s="12" t="inlineStr">
        <is>
          <t>Moderate</t>
        </is>
      </c>
    </row>
    <row r="42">
      <c r="A42" s="12" t="inlineStr">
        <is>
          <t>RET-0121</t>
        </is>
      </c>
      <c r="B42" s="12" t="inlineStr">
        <is>
          <t>2021-11-15</t>
        </is>
      </c>
      <c r="C42" s="12" t="inlineStr">
        <is>
          <t>Client-066</t>
        </is>
      </c>
      <c r="D42" s="12" t="inlineStr">
        <is>
          <t>SS Pipes</t>
        </is>
      </c>
      <c r="E42" s="12" t="n">
        <v>5</v>
      </c>
      <c r="F42" s="12" t="inlineStr">
        <is>
          <t>Bend/warp</t>
        </is>
      </c>
      <c r="G42" s="12" t="inlineStr">
        <is>
          <t>VS12</t>
        </is>
      </c>
      <c r="H42" s="12" t="n">
        <v>0.21</v>
      </c>
      <c r="I42" s="12" t="inlineStr">
        <is>
          <t>VS19</t>
        </is>
      </c>
      <c r="J42" s="12" t="n">
        <v>0.159</v>
      </c>
      <c r="K42" s="12" t="inlineStr">
        <is>
          <t>VS03</t>
        </is>
      </c>
      <c r="L42" s="12" t="n">
        <v>0.151</v>
      </c>
      <c r="M42" s="12" t="n">
        <v>0.52</v>
      </c>
      <c r="N42" s="12" t="inlineStr">
        <is>
          <t>Medium</t>
        </is>
      </c>
      <c r="O42" s="12" t="inlineStr">
        <is>
          <t>High-return-rate group</t>
        </is>
      </c>
      <c r="P42" s="12" t="inlineStr">
        <is>
          <t>Weak</t>
        </is>
      </c>
    </row>
    <row r="43">
      <c r="A43" s="12" t="inlineStr">
        <is>
          <t>RET-0124</t>
        </is>
      </c>
      <c r="B43" s="12" t="inlineStr">
        <is>
          <t>2022-01-26</t>
        </is>
      </c>
      <c r="C43" s="12" t="inlineStr">
        <is>
          <t>Client-078</t>
        </is>
      </c>
      <c r="D43" s="12" t="inlineStr">
        <is>
          <t>MS Flats</t>
        </is>
      </c>
      <c r="E43" s="12" t="n">
        <v>1.57</v>
      </c>
      <c r="F43" s="12" t="inlineStr">
        <is>
          <t>Wrong dimensions</t>
        </is>
      </c>
      <c r="G43" s="12" t="inlineStr">
        <is>
          <t>VS12</t>
        </is>
      </c>
      <c r="H43" s="12" t="n">
        <v>0.146</v>
      </c>
      <c r="I43" s="12" t="inlineStr">
        <is>
          <t>VS19</t>
        </is>
      </c>
      <c r="J43" s="12" t="n">
        <v>0.11</v>
      </c>
      <c r="K43" s="12" t="inlineStr">
        <is>
          <t>VS03</t>
        </is>
      </c>
      <c r="L43" s="12" t="n">
        <v>0.105</v>
      </c>
      <c r="M43" s="12" t="n">
        <v>0.36</v>
      </c>
      <c r="N43" s="12" t="inlineStr">
        <is>
          <t>Low</t>
        </is>
      </c>
      <c r="O43" s="12" t="inlineStr">
        <is>
          <t>Other suppliers</t>
        </is>
      </c>
      <c r="P43" s="12" t="inlineStr">
        <is>
          <t>Moderate</t>
        </is>
      </c>
    </row>
    <row r="44">
      <c r="A44" s="12" t="inlineStr">
        <is>
          <t>RET-0127</t>
        </is>
      </c>
      <c r="B44" s="12" t="inlineStr">
        <is>
          <t>2022-03-25</t>
        </is>
      </c>
      <c r="C44" s="12" t="inlineStr">
        <is>
          <t>Client-065</t>
        </is>
      </c>
      <c r="D44" s="12" t="inlineStr">
        <is>
          <t>MS Rods</t>
        </is>
      </c>
      <c r="E44" s="12" t="n">
        <v>0.24</v>
      </c>
      <c r="F44" s="12" t="inlineStr">
        <is>
          <t>Edge damage</t>
        </is>
      </c>
      <c r="G44" s="12" t="inlineStr">
        <is>
          <t>VS12</t>
        </is>
      </c>
      <c r="H44" s="12" t="n">
        <v>0.237</v>
      </c>
      <c r="I44" s="12" t="inlineStr">
        <is>
          <t>VS19</t>
        </is>
      </c>
      <c r="J44" s="12" t="n">
        <v>0.179</v>
      </c>
      <c r="K44" s="12" t="inlineStr">
        <is>
          <t>VS03</t>
        </is>
      </c>
      <c r="L44" s="12" t="n">
        <v>0.171</v>
      </c>
      <c r="M44" s="12" t="n">
        <v>0.587</v>
      </c>
      <c r="N44" s="12" t="inlineStr">
        <is>
          <t>Medium</t>
        </is>
      </c>
      <c r="O44" s="12" t="inlineStr">
        <is>
          <t>High-return-rate group</t>
        </is>
      </c>
      <c r="P44" s="12" t="inlineStr">
        <is>
          <t>Weak</t>
        </is>
      </c>
    </row>
    <row r="45">
      <c r="A45" s="12" t="inlineStr">
        <is>
          <t>RET-0128</t>
        </is>
      </c>
      <c r="B45" s="12" t="inlineStr">
        <is>
          <t>2023-12-02</t>
        </is>
      </c>
      <c r="C45" s="12" t="inlineStr">
        <is>
          <t>Client-026</t>
        </is>
      </c>
      <c r="D45" s="12" t="inlineStr">
        <is>
          <t>SS Sheets</t>
        </is>
      </c>
      <c r="E45" s="12" t="n">
        <v>4.03</v>
      </c>
      <c r="F45" s="12" t="inlineStr">
        <is>
          <t>Bend/warp</t>
        </is>
      </c>
      <c r="G45" s="12" t="inlineStr">
        <is>
          <t>VS12</t>
        </is>
      </c>
      <c r="H45" s="12" t="n">
        <v>0.228</v>
      </c>
      <c r="I45" s="12" t="inlineStr">
        <is>
          <t>VS19</t>
        </is>
      </c>
      <c r="J45" s="12" t="n">
        <v>0.172</v>
      </c>
      <c r="K45" s="12" t="inlineStr">
        <is>
          <t>VS03</t>
        </is>
      </c>
      <c r="L45" s="12" t="n">
        <v>0.164</v>
      </c>
      <c r="M45" s="12" t="n">
        <v>0.5649999999999999</v>
      </c>
      <c r="N45" s="12" t="inlineStr">
        <is>
          <t>Medium</t>
        </is>
      </c>
      <c r="O45" s="12" t="inlineStr">
        <is>
          <t>High-return-rate group</t>
        </is>
      </c>
      <c r="P45" s="12" t="inlineStr">
        <is>
          <t>Weak</t>
        </is>
      </c>
    </row>
    <row r="46">
      <c r="A46" s="12" t="inlineStr">
        <is>
          <t>RET-0129</t>
        </is>
      </c>
      <c r="B46" s="12" t="inlineStr">
        <is>
          <t>2021-09-19</t>
        </is>
      </c>
      <c r="C46" s="12" t="inlineStr">
        <is>
          <t>Client-063</t>
        </is>
      </c>
      <c r="D46" s="12" t="inlineStr">
        <is>
          <t>GI Sheets</t>
        </is>
      </c>
      <c r="E46" s="12" t="n">
        <v>4.97</v>
      </c>
      <c r="F46" s="12" t="inlineStr">
        <is>
          <t>Bend/warp</t>
        </is>
      </c>
      <c r="G46" s="12" t="inlineStr">
        <is>
          <t>VS12</t>
        </is>
      </c>
      <c r="H46" s="12" t="n">
        <v>0.284</v>
      </c>
      <c r="I46" s="12" t="inlineStr">
        <is>
          <t>VS19</t>
        </is>
      </c>
      <c r="J46" s="12" t="n">
        <v>0.214</v>
      </c>
      <c r="K46" s="12" t="inlineStr">
        <is>
          <t>VS03</t>
        </is>
      </c>
      <c r="L46" s="12" t="n">
        <v>0.204</v>
      </c>
      <c r="M46" s="12" t="n">
        <v>0.703</v>
      </c>
      <c r="N46" s="12" t="inlineStr">
        <is>
          <t>Medium</t>
        </is>
      </c>
      <c r="O46" s="12" t="inlineStr">
        <is>
          <t>High-return-rate group</t>
        </is>
      </c>
      <c r="P46" s="12" t="inlineStr">
        <is>
          <t>Moderate</t>
        </is>
      </c>
    </row>
    <row r="47">
      <c r="A47" s="12" t="inlineStr">
        <is>
          <t>RET-0130</t>
        </is>
      </c>
      <c r="B47" s="12" t="inlineStr">
        <is>
          <t>2022-05-04</t>
        </is>
      </c>
      <c r="C47" s="12" t="inlineStr">
        <is>
          <t>Client-064</t>
        </is>
      </c>
      <c r="D47" s="12" t="inlineStr">
        <is>
          <t>SS Pipes</t>
        </is>
      </c>
      <c r="E47" s="12" t="n">
        <v>0.37</v>
      </c>
      <c r="F47" s="12" t="inlineStr">
        <is>
          <t>Weight short</t>
        </is>
      </c>
      <c r="G47" s="12" t="inlineStr">
        <is>
          <t>VS12</t>
        </is>
      </c>
      <c r="H47" s="12" t="n">
        <v>0.322</v>
      </c>
      <c r="I47" s="12" t="inlineStr">
        <is>
          <t>VS19</t>
        </is>
      </c>
      <c r="J47" s="12" t="n">
        <v>0.243</v>
      </c>
      <c r="K47" s="12" t="inlineStr">
        <is>
          <t>VS03</t>
        </is>
      </c>
      <c r="L47" s="12" t="n">
        <v>0.232</v>
      </c>
      <c r="M47" s="12" t="n">
        <v>0.796</v>
      </c>
      <c r="N47" s="12" t="inlineStr">
        <is>
          <t>Medium</t>
        </is>
      </c>
      <c r="O47" s="12" t="inlineStr">
        <is>
          <t>High-return-rate group</t>
        </is>
      </c>
      <c r="P47" s="12" t="inlineStr">
        <is>
          <t>Strong</t>
        </is>
      </c>
    </row>
    <row r="48">
      <c r="A48" s="12" t="inlineStr">
        <is>
          <t>RET-0131</t>
        </is>
      </c>
      <c r="B48" s="12" t="inlineStr">
        <is>
          <t>2022-10-01</t>
        </is>
      </c>
      <c r="C48" s="12" t="inlineStr">
        <is>
          <t>Client-060</t>
        </is>
      </c>
      <c r="D48" s="12" t="inlineStr">
        <is>
          <t>HR Coils</t>
        </is>
      </c>
      <c r="E48" s="12" t="n">
        <v>2.89</v>
      </c>
      <c r="F48" s="12" t="inlineStr">
        <is>
          <t>Bend/warp</t>
        </is>
      </c>
      <c r="G48" s="12" t="inlineStr">
        <is>
          <t>VS12</t>
        </is>
      </c>
      <c r="H48" s="12" t="n">
        <v>0.212</v>
      </c>
      <c r="I48" s="12" t="inlineStr">
        <is>
          <t>VS19</t>
        </is>
      </c>
      <c r="J48" s="12" t="n">
        <v>0.16</v>
      </c>
      <c r="K48" s="12" t="inlineStr">
        <is>
          <t>VS03</t>
        </is>
      </c>
      <c r="L48" s="12" t="n">
        <v>0.152</v>
      </c>
      <c r="M48" s="12" t="n">
        <v>0.524</v>
      </c>
      <c r="N48" s="12" t="inlineStr">
        <is>
          <t>Medium</t>
        </is>
      </c>
      <c r="O48" s="12" t="inlineStr">
        <is>
          <t>High-return-rate group</t>
        </is>
      </c>
      <c r="P48" s="12" t="inlineStr">
        <is>
          <t>Weak</t>
        </is>
      </c>
    </row>
    <row r="49">
      <c r="A49" s="12" t="inlineStr">
        <is>
          <t>RET-0133</t>
        </is>
      </c>
      <c r="B49" s="12" t="inlineStr">
        <is>
          <t>2021-04-08</t>
        </is>
      </c>
      <c r="C49" s="12" t="inlineStr">
        <is>
          <t>Client-035</t>
        </is>
      </c>
      <c r="D49" s="12" t="inlineStr">
        <is>
          <t>SS Pipes</t>
        </is>
      </c>
      <c r="E49" s="12" t="n">
        <v>2.37</v>
      </c>
      <c r="F49" s="12" t="inlineStr">
        <is>
          <t>Grade mismatch</t>
        </is>
      </c>
      <c r="G49" s="12" t="inlineStr">
        <is>
          <t>VS12</t>
        </is>
      </c>
      <c r="H49" s="12" t="n">
        <v>0.243</v>
      </c>
      <c r="I49" s="12" t="inlineStr">
        <is>
          <t>VS19</t>
        </is>
      </c>
      <c r="J49" s="12" t="n">
        <v>0.184</v>
      </c>
      <c r="K49" s="12" t="inlineStr">
        <is>
          <t>VS03</t>
        </is>
      </c>
      <c r="L49" s="12" t="n">
        <v>0.175</v>
      </c>
      <c r="M49" s="12" t="n">
        <v>0.602</v>
      </c>
      <c r="N49" s="12" t="inlineStr">
        <is>
          <t>Medium</t>
        </is>
      </c>
      <c r="O49" s="12" t="inlineStr">
        <is>
          <t>High-return-rate group</t>
        </is>
      </c>
      <c r="P49" s="12" t="inlineStr">
        <is>
          <t>Weak</t>
        </is>
      </c>
    </row>
    <row r="50">
      <c r="A50" s="12" t="inlineStr">
        <is>
          <t>RET-0134</t>
        </is>
      </c>
      <c r="B50" s="12" t="inlineStr">
        <is>
          <t>2022-05-13</t>
        </is>
      </c>
      <c r="C50" s="12" t="inlineStr">
        <is>
          <t>Client-045</t>
        </is>
      </c>
      <c r="D50" s="12" t="inlineStr">
        <is>
          <t>ERW Pipes</t>
        </is>
      </c>
      <c r="E50" s="12" t="n">
        <v>3.13</v>
      </c>
      <c r="F50" s="12" t="inlineStr">
        <is>
          <t>Bend/warp</t>
        </is>
      </c>
      <c r="G50" s="12" t="inlineStr">
        <is>
          <t>VS12</t>
        </is>
      </c>
      <c r="H50" s="12" t="n">
        <v>0.111</v>
      </c>
      <c r="I50" s="12" t="inlineStr">
        <is>
          <t>VS19</t>
        </is>
      </c>
      <c r="J50" s="12" t="n">
        <v>0.08400000000000001</v>
      </c>
      <c r="K50" s="12" t="inlineStr">
        <is>
          <t>VS03</t>
        </is>
      </c>
      <c r="L50" s="12" t="n">
        <v>0.08</v>
      </c>
      <c r="M50" s="12" t="n">
        <v>0.275</v>
      </c>
      <c r="N50" s="12" t="inlineStr">
        <is>
          <t>Low</t>
        </is>
      </c>
      <c r="O50" s="12" t="inlineStr">
        <is>
          <t>Other suppliers</t>
        </is>
      </c>
      <c r="P50" s="12" t="inlineStr">
        <is>
          <t>Moderate</t>
        </is>
      </c>
    </row>
    <row r="51">
      <c r="A51" s="12" t="inlineStr">
        <is>
          <t>RET-0139</t>
        </is>
      </c>
      <c r="B51" s="12" t="inlineStr">
        <is>
          <t>2022-01-08</t>
        </is>
      </c>
      <c r="C51" s="12" t="inlineStr">
        <is>
          <t>Client-013</t>
        </is>
      </c>
      <c r="D51" s="12" t="inlineStr">
        <is>
          <t>MS Rods</t>
        </is>
      </c>
      <c r="E51" s="12" t="n">
        <v>0.15</v>
      </c>
      <c r="F51" s="12" t="inlineStr">
        <is>
          <t>Weight short</t>
        </is>
      </c>
      <c r="G51" s="12" t="inlineStr">
        <is>
          <t>VS12</t>
        </is>
      </c>
      <c r="H51" s="12" t="n">
        <v>0.237</v>
      </c>
      <c r="I51" s="12" t="inlineStr">
        <is>
          <t>VS19</t>
        </is>
      </c>
      <c r="J51" s="12" t="n">
        <v>0.179</v>
      </c>
      <c r="K51" s="12" t="inlineStr">
        <is>
          <t>VS03</t>
        </is>
      </c>
      <c r="L51" s="12" t="n">
        <v>0.171</v>
      </c>
      <c r="M51" s="12" t="n">
        <v>0.587</v>
      </c>
      <c r="N51" s="12" t="inlineStr">
        <is>
          <t>Medium</t>
        </is>
      </c>
      <c r="O51" s="12" t="inlineStr">
        <is>
          <t>High-return-rate group</t>
        </is>
      </c>
      <c r="P51" s="12" t="inlineStr">
        <is>
          <t>Weak</t>
        </is>
      </c>
    </row>
    <row r="52">
      <c r="A52" s="12" t="inlineStr">
        <is>
          <t>RET-0144</t>
        </is>
      </c>
      <c r="B52" s="12" t="inlineStr">
        <is>
          <t>2022-05-29</t>
        </is>
      </c>
      <c r="C52" s="12" t="inlineStr">
        <is>
          <t>Client-063</t>
        </is>
      </c>
      <c r="D52" s="12" t="inlineStr">
        <is>
          <t>MS Rods</t>
        </is>
      </c>
      <c r="E52" s="12" t="n">
        <v>0.8</v>
      </c>
      <c r="F52" s="12" t="inlineStr">
        <is>
          <t>Bend/warp</t>
        </is>
      </c>
      <c r="G52" s="12" t="inlineStr">
        <is>
          <t>VS12</t>
        </is>
      </c>
      <c r="H52" s="12" t="n">
        <v>0.237</v>
      </c>
      <c r="I52" s="12" t="inlineStr">
        <is>
          <t>VS19</t>
        </is>
      </c>
      <c r="J52" s="12" t="n">
        <v>0.179</v>
      </c>
      <c r="K52" s="12" t="inlineStr">
        <is>
          <t>VS03</t>
        </is>
      </c>
      <c r="L52" s="12" t="n">
        <v>0.171</v>
      </c>
      <c r="M52" s="12" t="n">
        <v>0.587</v>
      </c>
      <c r="N52" s="12" t="inlineStr">
        <is>
          <t>Medium</t>
        </is>
      </c>
      <c r="O52" s="12" t="inlineStr">
        <is>
          <t>High-return-rate group</t>
        </is>
      </c>
      <c r="P52" s="12" t="inlineStr">
        <is>
          <t>Weak</t>
        </is>
      </c>
    </row>
    <row r="53">
      <c r="A53" s="12" t="inlineStr">
        <is>
          <t>RET-0147</t>
        </is>
      </c>
      <c r="B53" s="12" t="inlineStr">
        <is>
          <t>2023-06-12</t>
        </is>
      </c>
      <c r="C53" s="12" t="inlineStr">
        <is>
          <t>Client-004</t>
        </is>
      </c>
      <c r="D53" s="12" t="inlineStr">
        <is>
          <t>Square/Rect Tubes</t>
        </is>
      </c>
      <c r="E53" s="12" t="n">
        <v>1.63</v>
      </c>
      <c r="F53" s="12" t="inlineStr">
        <is>
          <t>Grade mismatch</t>
        </is>
      </c>
      <c r="G53" s="12" t="inlineStr">
        <is>
          <t>VS12</t>
        </is>
      </c>
      <c r="H53" s="12" t="n">
        <v>0.306</v>
      </c>
      <c r="I53" s="12" t="inlineStr">
        <is>
          <t>VS19</t>
        </is>
      </c>
      <c r="J53" s="12" t="n">
        <v>0.231</v>
      </c>
      <c r="K53" s="12" t="inlineStr">
        <is>
          <t>VS03</t>
        </is>
      </c>
      <c r="L53" s="12" t="n">
        <v>0.22</v>
      </c>
      <c r="M53" s="12" t="n">
        <v>0.756</v>
      </c>
      <c r="N53" s="12" t="inlineStr">
        <is>
          <t>Medium</t>
        </is>
      </c>
      <c r="O53" s="12" t="inlineStr">
        <is>
          <t>High-return-rate group</t>
        </is>
      </c>
      <c r="P53" s="12" t="inlineStr">
        <is>
          <t>Strong</t>
        </is>
      </c>
    </row>
    <row r="54">
      <c r="A54" s="12" t="inlineStr">
        <is>
          <t>RET-0148</t>
        </is>
      </c>
      <c r="B54" s="12" t="inlineStr">
        <is>
          <t>2021-10-02</t>
        </is>
      </c>
      <c r="C54" s="12" t="inlineStr">
        <is>
          <t>Client-009</t>
        </is>
      </c>
      <c r="D54" s="12" t="inlineStr">
        <is>
          <t>Structural Steel</t>
        </is>
      </c>
      <c r="E54" s="12" t="n">
        <v>4.07</v>
      </c>
      <c r="F54" s="12" t="inlineStr">
        <is>
          <t>Weight short</t>
        </is>
      </c>
      <c r="G54" s="12" t="inlineStr">
        <is>
          <t>VS12</t>
        </is>
      </c>
      <c r="H54" s="12" t="n">
        <v>0.196</v>
      </c>
      <c r="I54" s="12" t="inlineStr">
        <is>
          <t>VS19</t>
        </is>
      </c>
      <c r="J54" s="12" t="n">
        <v>0.148</v>
      </c>
      <c r="K54" s="12" t="inlineStr">
        <is>
          <t>VS03</t>
        </is>
      </c>
      <c r="L54" s="12" t="n">
        <v>0.141</v>
      </c>
      <c r="M54" s="12" t="n">
        <v>0.486</v>
      </c>
      <c r="N54" s="12" t="inlineStr">
        <is>
          <t>Low</t>
        </is>
      </c>
      <c r="O54" s="12" t="inlineStr">
        <is>
          <t>Other suppliers</t>
        </is>
      </c>
      <c r="P54" s="12" t="inlineStr">
        <is>
          <t>Weak</t>
        </is>
      </c>
    </row>
    <row r="55">
      <c r="A55" s="12" t="inlineStr">
        <is>
          <t>RET-0150</t>
        </is>
      </c>
      <c r="B55" s="12" t="inlineStr">
        <is>
          <t>2021-12-03</t>
        </is>
      </c>
      <c r="C55" s="12" t="inlineStr">
        <is>
          <t>Client-039</t>
        </is>
      </c>
      <c r="D55" s="12" t="inlineStr">
        <is>
          <t>SS Sheets</t>
        </is>
      </c>
      <c r="E55" s="12" t="n">
        <v>0.5600000000000001</v>
      </c>
      <c r="F55" s="12" t="inlineStr">
        <is>
          <t>Wrong dimensions</t>
        </is>
      </c>
      <c r="G55" s="12" t="inlineStr">
        <is>
          <t>VS12</t>
        </is>
      </c>
      <c r="H55" s="12" t="n">
        <v>0.333</v>
      </c>
      <c r="I55" s="12" t="inlineStr">
        <is>
          <t>VS19</t>
        </is>
      </c>
      <c r="J55" s="12" t="n">
        <v>0.251</v>
      </c>
      <c r="K55" s="12" t="inlineStr">
        <is>
          <t>VS03</t>
        </is>
      </c>
      <c r="L55" s="12" t="n">
        <v>0.24</v>
      </c>
      <c r="M55" s="12" t="n">
        <v>0.824</v>
      </c>
      <c r="N55" s="12" t="inlineStr">
        <is>
          <t>Medium</t>
        </is>
      </c>
      <c r="O55" s="12" t="inlineStr">
        <is>
          <t>High-return-rate group</t>
        </is>
      </c>
      <c r="P55" s="12" t="inlineStr">
        <is>
          <t>Strong</t>
        </is>
      </c>
    </row>
    <row r="56">
      <c r="A56" s="12" t="inlineStr">
        <is>
          <t>RET-0151</t>
        </is>
      </c>
      <c r="B56" s="12" t="inlineStr">
        <is>
          <t>2023-06-09</t>
        </is>
      </c>
      <c r="C56" s="12" t="inlineStr">
        <is>
          <t>Client-072</t>
        </is>
      </c>
      <c r="D56" s="12" t="inlineStr">
        <is>
          <t>GI Wire</t>
        </is>
      </c>
      <c r="E56" s="12" t="n">
        <v>0.34</v>
      </c>
      <c r="F56" s="12" t="inlineStr">
        <is>
          <t>Bend/warp</t>
        </is>
      </c>
      <c r="G56" s="12" t="inlineStr">
        <is>
          <t>VS12</t>
        </is>
      </c>
      <c r="H56" s="12" t="n">
        <v>0.311</v>
      </c>
      <c r="I56" s="12" t="inlineStr">
        <is>
          <t>VS19</t>
        </is>
      </c>
      <c r="J56" s="12" t="n">
        <v>0.235</v>
      </c>
      <c r="K56" s="12" t="inlineStr">
        <is>
          <t>VS03</t>
        </is>
      </c>
      <c r="L56" s="12" t="n">
        <v>0.224</v>
      </c>
      <c r="M56" s="12" t="n">
        <v>0.77</v>
      </c>
      <c r="N56" s="12" t="inlineStr">
        <is>
          <t>Medium</t>
        </is>
      </c>
      <c r="O56" s="12" t="inlineStr">
        <is>
          <t>High-return-rate group</t>
        </is>
      </c>
      <c r="P56" s="12" t="inlineStr">
        <is>
          <t>Strong</t>
        </is>
      </c>
    </row>
    <row r="57">
      <c r="A57" s="12" t="inlineStr">
        <is>
          <t>RET-0152</t>
        </is>
      </c>
      <c r="B57" s="12" t="inlineStr">
        <is>
          <t>2023-12-26</t>
        </is>
      </c>
      <c r="C57" s="12" t="inlineStr">
        <is>
          <t>Client-028</t>
        </is>
      </c>
      <c r="D57" s="12" t="inlineStr">
        <is>
          <t>Angles &amp; Channels</t>
        </is>
      </c>
      <c r="E57" s="12" t="n">
        <v>3.06</v>
      </c>
      <c r="F57" s="12" t="inlineStr">
        <is>
          <t>Grade mismatch</t>
        </is>
      </c>
      <c r="G57" s="12" t="inlineStr">
        <is>
          <t>VS12</t>
        </is>
      </c>
      <c r="H57" s="12" t="n">
        <v>0.313</v>
      </c>
      <c r="I57" s="12" t="inlineStr">
        <is>
          <t>VS19</t>
        </is>
      </c>
      <c r="J57" s="12" t="n">
        <v>0.236</v>
      </c>
      <c r="K57" s="12" t="inlineStr">
        <is>
          <t>VS03</t>
        </is>
      </c>
      <c r="L57" s="12" t="n">
        <v>0.225</v>
      </c>
      <c r="M57" s="12" t="n">
        <v>0.774</v>
      </c>
      <c r="N57" s="12" t="inlineStr">
        <is>
          <t>Medium</t>
        </is>
      </c>
      <c r="O57" s="12" t="inlineStr">
        <is>
          <t>High-return-rate group</t>
        </is>
      </c>
      <c r="P57" s="12" t="inlineStr">
        <is>
          <t>Strong</t>
        </is>
      </c>
    </row>
    <row r="58">
      <c r="A58" s="12" t="inlineStr">
        <is>
          <t>RET-0153</t>
        </is>
      </c>
      <c r="B58" s="12" t="inlineStr">
        <is>
          <t>2023-11-29</t>
        </is>
      </c>
      <c r="C58" s="12" t="inlineStr">
        <is>
          <t>Client-070</t>
        </is>
      </c>
      <c r="D58" s="12" t="inlineStr">
        <is>
          <t>MS Pipes</t>
        </is>
      </c>
      <c r="E58" s="12" t="n">
        <v>1.56</v>
      </c>
      <c r="F58" s="12" t="inlineStr">
        <is>
          <t>Bend/warp</t>
        </is>
      </c>
      <c r="G58" s="12" t="inlineStr">
        <is>
          <t>VS12</t>
        </is>
      </c>
      <c r="H58" s="12" t="n">
        <v>0.205</v>
      </c>
      <c r="I58" s="12" t="inlineStr">
        <is>
          <t>VS19</t>
        </is>
      </c>
      <c r="J58" s="12" t="n">
        <v>0.155</v>
      </c>
      <c r="K58" s="12" t="inlineStr">
        <is>
          <t>VS03</t>
        </is>
      </c>
      <c r="L58" s="12" t="n">
        <v>0.148</v>
      </c>
      <c r="M58" s="12" t="n">
        <v>0.508</v>
      </c>
      <c r="N58" s="12" t="inlineStr">
        <is>
          <t>Medium</t>
        </is>
      </c>
      <c r="O58" s="12" t="inlineStr">
        <is>
          <t>High-return-rate group</t>
        </is>
      </c>
      <c r="P58" s="12" t="inlineStr">
        <is>
          <t>Weak</t>
        </is>
      </c>
    </row>
    <row r="59">
      <c r="A59" s="12" t="inlineStr">
        <is>
          <t>RET-0157</t>
        </is>
      </c>
      <c r="B59" s="12" t="inlineStr">
        <is>
          <t>2021-05-31</t>
        </is>
      </c>
      <c r="C59" s="12" t="inlineStr">
        <is>
          <t>Client-017</t>
        </is>
      </c>
      <c r="D59" s="12" t="inlineStr">
        <is>
          <t>ERW Pipes</t>
        </is>
      </c>
      <c r="E59" s="12" t="n">
        <v>1.15</v>
      </c>
      <c r="F59" s="12" t="inlineStr">
        <is>
          <t>Surface rust</t>
        </is>
      </c>
      <c r="G59" s="12" t="inlineStr">
        <is>
          <t>VS12</t>
        </is>
      </c>
      <c r="H59" s="12" t="n">
        <v>0.159</v>
      </c>
      <c r="I59" s="12" t="inlineStr">
        <is>
          <t>VS19</t>
        </is>
      </c>
      <c r="J59" s="12" t="n">
        <v>0.12</v>
      </c>
      <c r="K59" s="12" t="inlineStr">
        <is>
          <t>VS03</t>
        </is>
      </c>
      <c r="L59" s="12" t="n">
        <v>0.114</v>
      </c>
      <c r="M59" s="12" t="n">
        <v>0.392</v>
      </c>
      <c r="N59" s="12" t="inlineStr">
        <is>
          <t>Low</t>
        </is>
      </c>
      <c r="O59" s="12" t="inlineStr">
        <is>
          <t>Other suppliers</t>
        </is>
      </c>
      <c r="P59" s="12" t="inlineStr">
        <is>
          <t>Weak</t>
        </is>
      </c>
    </row>
    <row r="60">
      <c r="A60" s="12" t="inlineStr">
        <is>
          <t>RET-0158</t>
        </is>
      </c>
      <c r="B60" s="12" t="inlineStr">
        <is>
          <t>2023-01-13</t>
        </is>
      </c>
      <c r="C60" s="12" t="inlineStr">
        <is>
          <t>Client-051</t>
        </is>
      </c>
      <c r="D60" s="12" t="inlineStr">
        <is>
          <t>ERW Pipes</t>
        </is>
      </c>
      <c r="E60" s="12" t="n">
        <v>3.75</v>
      </c>
      <c r="F60" s="12" t="inlineStr">
        <is>
          <t>Grade mismatch</t>
        </is>
      </c>
      <c r="G60" s="12" t="inlineStr">
        <is>
          <t>VS12</t>
        </is>
      </c>
      <c r="H60" s="12" t="n">
        <v>0.111</v>
      </c>
      <c r="I60" s="12" t="inlineStr">
        <is>
          <t>VS19</t>
        </is>
      </c>
      <c r="J60" s="12" t="n">
        <v>0.08400000000000001</v>
      </c>
      <c r="K60" s="12" t="inlineStr">
        <is>
          <t>VS03</t>
        </is>
      </c>
      <c r="L60" s="12" t="n">
        <v>0.08</v>
      </c>
      <c r="M60" s="12" t="n">
        <v>0.275</v>
      </c>
      <c r="N60" s="12" t="inlineStr">
        <is>
          <t>Low</t>
        </is>
      </c>
      <c r="O60" s="12" t="inlineStr">
        <is>
          <t>Other suppliers</t>
        </is>
      </c>
      <c r="P60" s="12" t="inlineStr">
        <is>
          <t>Moderate</t>
        </is>
      </c>
    </row>
    <row r="61">
      <c r="A61" s="12" t="inlineStr">
        <is>
          <t>RET-0160</t>
        </is>
      </c>
      <c r="B61" s="12" t="inlineStr">
        <is>
          <t>2021-12-27</t>
        </is>
      </c>
      <c r="C61" s="12" t="inlineStr">
        <is>
          <t>Client-060</t>
        </is>
      </c>
      <c r="D61" s="12" t="inlineStr">
        <is>
          <t>MS Rods</t>
        </is>
      </c>
      <c r="E61" s="12" t="n">
        <v>3.21</v>
      </c>
      <c r="F61" s="12" t="inlineStr">
        <is>
          <t>Surface rust</t>
        </is>
      </c>
      <c r="G61" s="12" t="inlineStr">
        <is>
          <t>VS12</t>
        </is>
      </c>
      <c r="H61" s="12" t="n">
        <v>0.116</v>
      </c>
      <c r="I61" s="12" t="inlineStr">
        <is>
          <t>VS19</t>
        </is>
      </c>
      <c r="J61" s="12" t="n">
        <v>0.08799999999999999</v>
      </c>
      <c r="K61" s="12" t="inlineStr">
        <is>
          <t>VS03</t>
        </is>
      </c>
      <c r="L61" s="12" t="n">
        <v>0.08400000000000001</v>
      </c>
      <c r="M61" s="12" t="n">
        <v>0.288</v>
      </c>
      <c r="N61" s="12" t="inlineStr">
        <is>
          <t>Low</t>
        </is>
      </c>
      <c r="O61" s="12" t="inlineStr">
        <is>
          <t>Other suppliers</t>
        </is>
      </c>
      <c r="P61" s="12" t="inlineStr">
        <is>
          <t>Moderate</t>
        </is>
      </c>
    </row>
    <row r="62">
      <c r="A62" s="12" t="inlineStr">
        <is>
          <t>RET-0166</t>
        </is>
      </c>
      <c r="B62" s="12" t="inlineStr">
        <is>
          <t>2022-09-28</t>
        </is>
      </c>
      <c r="C62" s="12" t="inlineStr">
        <is>
          <t>Client-046</t>
        </is>
      </c>
      <c r="D62" s="12" t="inlineStr">
        <is>
          <t>MS Flats</t>
        </is>
      </c>
      <c r="E62" s="12" t="n">
        <v>2.94</v>
      </c>
      <c r="F62" s="12" t="inlineStr">
        <is>
          <t>Weight short</t>
        </is>
      </c>
      <c r="G62" s="12" t="inlineStr">
        <is>
          <t>VS12</t>
        </is>
      </c>
      <c r="H62" s="12" t="n">
        <v>0.126</v>
      </c>
      <c r="I62" s="12" t="inlineStr">
        <is>
          <t>VS19</t>
        </is>
      </c>
      <c r="J62" s="12" t="n">
        <v>0.095</v>
      </c>
      <c r="K62" s="12" t="inlineStr">
        <is>
          <t>VS03</t>
        </is>
      </c>
      <c r="L62" s="12" t="n">
        <v>0.09</v>
      </c>
      <c r="M62" s="12" t="n">
        <v>0.311</v>
      </c>
      <c r="N62" s="12" t="inlineStr">
        <is>
          <t>Low</t>
        </is>
      </c>
      <c r="O62" s="12" t="inlineStr">
        <is>
          <t>Other suppliers</t>
        </is>
      </c>
      <c r="P62" s="12" t="inlineStr">
        <is>
          <t>Moderate</t>
        </is>
      </c>
    </row>
    <row r="63">
      <c r="A63" s="12" t="inlineStr">
        <is>
          <t>RET-0168</t>
        </is>
      </c>
      <c r="B63" s="12" t="inlineStr">
        <is>
          <t>2022-10-17</t>
        </is>
      </c>
      <c r="C63" s="12" t="inlineStr">
        <is>
          <t>Client-054</t>
        </is>
      </c>
      <c r="D63" s="12" t="inlineStr">
        <is>
          <t>Structural Steel</t>
        </is>
      </c>
      <c r="E63" s="12" t="n">
        <v>4.57</v>
      </c>
      <c r="F63" s="12" t="inlineStr">
        <is>
          <t>Weight short</t>
        </is>
      </c>
      <c r="G63" s="12" t="inlineStr">
        <is>
          <t>VS12</t>
        </is>
      </c>
      <c r="H63" s="12" t="n">
        <v>0.196</v>
      </c>
      <c r="I63" s="12" t="inlineStr">
        <is>
          <t>VS19</t>
        </is>
      </c>
      <c r="J63" s="12" t="n">
        <v>0.148</v>
      </c>
      <c r="K63" s="12" t="inlineStr">
        <is>
          <t>VS03</t>
        </is>
      </c>
      <c r="L63" s="12" t="n">
        <v>0.141</v>
      </c>
      <c r="M63" s="12" t="n">
        <v>0.486</v>
      </c>
      <c r="N63" s="12" t="inlineStr">
        <is>
          <t>Low</t>
        </is>
      </c>
      <c r="O63" s="12" t="inlineStr">
        <is>
          <t>Other suppliers</t>
        </is>
      </c>
      <c r="P63" s="12" t="inlineStr">
        <is>
          <t>Weak</t>
        </is>
      </c>
    </row>
    <row r="64">
      <c r="A64" s="12" t="inlineStr">
        <is>
          <t>RET-0170</t>
        </is>
      </c>
      <c r="B64" s="12" t="inlineStr">
        <is>
          <t>2021-03-22</t>
        </is>
      </c>
      <c r="C64" s="12" t="inlineStr">
        <is>
          <t>Client-041</t>
        </is>
      </c>
      <c r="D64" s="12" t="inlineStr">
        <is>
          <t>Hex Bars</t>
        </is>
      </c>
      <c r="E64" s="12" t="n">
        <v>0.38</v>
      </c>
      <c r="F64" s="12" t="inlineStr">
        <is>
          <t>Grade mismatch</t>
        </is>
      </c>
      <c r="G64" s="12" t="inlineStr">
        <is>
          <t>VS12</t>
        </is>
      </c>
      <c r="H64" s="12" t="n">
        <v>0.259</v>
      </c>
      <c r="I64" s="12" t="inlineStr">
        <is>
          <t>VS19</t>
        </is>
      </c>
      <c r="J64" s="12" t="n">
        <v>0.195</v>
      </c>
      <c r="K64" s="12" t="inlineStr">
        <is>
          <t>VS03</t>
        </is>
      </c>
      <c r="L64" s="12" t="n">
        <v>0.186</v>
      </c>
      <c r="M64" s="12" t="n">
        <v>0.64</v>
      </c>
      <c r="N64" s="12" t="inlineStr">
        <is>
          <t>Medium</t>
        </is>
      </c>
      <c r="O64" s="12" t="inlineStr">
        <is>
          <t>High-return-rate group</t>
        </is>
      </c>
      <c r="P64" s="12" t="inlineStr">
        <is>
          <t>Moderate</t>
        </is>
      </c>
    </row>
    <row r="65">
      <c r="A65" s="12" t="inlineStr">
        <is>
          <t>RET-0171</t>
        </is>
      </c>
      <c r="B65" s="12" t="inlineStr">
        <is>
          <t>2023-07-01</t>
        </is>
      </c>
      <c r="C65" s="12" t="inlineStr">
        <is>
          <t>Client-025</t>
        </is>
      </c>
      <c r="D65" s="12" t="inlineStr">
        <is>
          <t>SS Sheets</t>
        </is>
      </c>
      <c r="E65" s="12" t="n">
        <v>2.15</v>
      </c>
      <c r="F65" s="12" t="inlineStr">
        <is>
          <t>Bend/warp</t>
        </is>
      </c>
      <c r="G65" s="12" t="inlineStr">
        <is>
          <t>VS12</t>
        </is>
      </c>
      <c r="H65" s="12" t="n">
        <v>0.261</v>
      </c>
      <c r="I65" s="12" t="inlineStr">
        <is>
          <t>VS19</t>
        </is>
      </c>
      <c r="J65" s="12" t="n">
        <v>0.197</v>
      </c>
      <c r="K65" s="12" t="inlineStr">
        <is>
          <t>VS03</t>
        </is>
      </c>
      <c r="L65" s="12" t="n">
        <v>0.188</v>
      </c>
      <c r="M65" s="12" t="n">
        <v>0.645</v>
      </c>
      <c r="N65" s="12" t="inlineStr">
        <is>
          <t>Medium</t>
        </is>
      </c>
      <c r="O65" s="12" t="inlineStr">
        <is>
          <t>High-return-rate group</t>
        </is>
      </c>
      <c r="P65" s="12" t="inlineStr">
        <is>
          <t>Moderate</t>
        </is>
      </c>
    </row>
    <row r="66">
      <c r="A66" s="12" t="inlineStr">
        <is>
          <t>RET-0172</t>
        </is>
      </c>
      <c r="B66" s="12" t="inlineStr">
        <is>
          <t>2023-11-04</t>
        </is>
      </c>
      <c r="C66" s="12" t="inlineStr">
        <is>
          <t>Client-021</t>
        </is>
      </c>
      <c r="D66" s="12" t="inlineStr">
        <is>
          <t>GI Pipes</t>
        </is>
      </c>
      <c r="E66" s="12" t="n">
        <v>0.95</v>
      </c>
      <c r="F66" s="12" t="inlineStr">
        <is>
          <t>Wrong dimensions</t>
        </is>
      </c>
      <c r="G66" s="12" t="inlineStr">
        <is>
          <t>VS12</t>
        </is>
      </c>
      <c r="H66" s="12" t="n">
        <v>0.311</v>
      </c>
      <c r="I66" s="12" t="inlineStr">
        <is>
          <t>VS19</t>
        </is>
      </c>
      <c r="J66" s="12" t="n">
        <v>0.235</v>
      </c>
      <c r="K66" s="12" t="inlineStr">
        <is>
          <t>VS03</t>
        </is>
      </c>
      <c r="L66" s="12" t="n">
        <v>0.224</v>
      </c>
      <c r="M66" s="12" t="n">
        <v>0.77</v>
      </c>
      <c r="N66" s="12" t="inlineStr">
        <is>
          <t>Medium</t>
        </is>
      </c>
      <c r="O66" s="12" t="inlineStr">
        <is>
          <t>High-return-rate group</t>
        </is>
      </c>
      <c r="P66" s="12" t="inlineStr">
        <is>
          <t>Strong</t>
        </is>
      </c>
    </row>
    <row r="67">
      <c r="A67" s="12" t="inlineStr">
        <is>
          <t>RET-0174</t>
        </is>
      </c>
      <c r="B67" s="12" t="inlineStr">
        <is>
          <t>2021-03-29</t>
        </is>
      </c>
      <c r="C67" s="12" t="inlineStr">
        <is>
          <t>Client-062</t>
        </is>
      </c>
      <c r="D67" s="12" t="inlineStr">
        <is>
          <t>Angles &amp; Channels</t>
        </is>
      </c>
      <c r="E67" s="12" t="n">
        <v>1.91</v>
      </c>
      <c r="F67" s="12" t="inlineStr">
        <is>
          <t>Edge damage</t>
        </is>
      </c>
      <c r="G67" s="12" t="inlineStr">
        <is>
          <t>VS12</t>
        </is>
      </c>
      <c r="H67" s="12" t="n">
        <v>0.345</v>
      </c>
      <c r="I67" s="12" t="inlineStr">
        <is>
          <t>VS19</t>
        </is>
      </c>
      <c r="J67" s="12" t="n">
        <v>0.26</v>
      </c>
      <c r="K67" s="12" t="inlineStr">
        <is>
          <t>VS03</t>
        </is>
      </c>
      <c r="L67" s="12" t="n">
        <v>0.248</v>
      </c>
      <c r="M67" s="12" t="n">
        <v>0.854</v>
      </c>
      <c r="N67" s="12" t="inlineStr">
        <is>
          <t>Medium</t>
        </is>
      </c>
      <c r="O67" s="12" t="inlineStr">
        <is>
          <t>High-return-rate group</t>
        </is>
      </c>
      <c r="P67" s="12" t="inlineStr">
        <is>
          <t>Strong</t>
        </is>
      </c>
    </row>
    <row r="68">
      <c r="A68" s="12" t="inlineStr">
        <is>
          <t>RET-0175</t>
        </is>
      </c>
      <c r="B68" s="12" t="inlineStr">
        <is>
          <t>2023-04-06</t>
        </is>
      </c>
      <c r="C68" s="12" t="inlineStr">
        <is>
          <t>Client-078</t>
        </is>
      </c>
      <c r="D68" s="12" t="inlineStr">
        <is>
          <t>HR Coils</t>
        </is>
      </c>
      <c r="E68" s="12" t="n">
        <v>0.28</v>
      </c>
      <c r="F68" s="12" t="inlineStr">
        <is>
          <t>Grade mismatch</t>
        </is>
      </c>
      <c r="G68" s="12" t="inlineStr">
        <is>
          <t>VS12</t>
        </is>
      </c>
      <c r="H68" s="12" t="n">
        <v>0.299</v>
      </c>
      <c r="I68" s="12" t="inlineStr">
        <is>
          <t>VS19</t>
        </is>
      </c>
      <c r="J68" s="12" t="n">
        <v>0.225</v>
      </c>
      <c r="K68" s="12" t="inlineStr">
        <is>
          <t>VS03</t>
        </is>
      </c>
      <c r="L68" s="12" t="n">
        <v>0.215</v>
      </c>
      <c r="M68" s="12" t="n">
        <v>0.739</v>
      </c>
      <c r="N68" s="12" t="inlineStr">
        <is>
          <t>Medium</t>
        </is>
      </c>
      <c r="O68" s="12" t="inlineStr">
        <is>
          <t>High-return-rate group</t>
        </is>
      </c>
      <c r="P68" s="12" t="inlineStr">
        <is>
          <t>Moderate</t>
        </is>
      </c>
    </row>
    <row r="69">
      <c r="A69" s="12" t="inlineStr">
        <is>
          <t>RET-0180</t>
        </is>
      </c>
      <c r="B69" s="12" t="inlineStr">
        <is>
          <t>2022-07-20</t>
        </is>
      </c>
      <c r="C69" s="12" t="inlineStr">
        <is>
          <t>Client-009</t>
        </is>
      </c>
      <c r="D69" s="12" t="inlineStr">
        <is>
          <t>Angles &amp; Channels</t>
        </is>
      </c>
      <c r="E69" s="12" t="n">
        <v>3.28</v>
      </c>
      <c r="F69" s="12" t="inlineStr">
        <is>
          <t>Weight short</t>
        </is>
      </c>
      <c r="G69" s="12" t="inlineStr">
        <is>
          <t>VS12</t>
        </is>
      </c>
      <c r="H69" s="12" t="n">
        <v>0.313</v>
      </c>
      <c r="I69" s="12" t="inlineStr">
        <is>
          <t>VS19</t>
        </is>
      </c>
      <c r="J69" s="12" t="n">
        <v>0.236</v>
      </c>
      <c r="K69" s="12" t="inlineStr">
        <is>
          <t>VS03</t>
        </is>
      </c>
      <c r="L69" s="12" t="n">
        <v>0.225</v>
      </c>
      <c r="M69" s="12" t="n">
        <v>0.774</v>
      </c>
      <c r="N69" s="12" t="inlineStr">
        <is>
          <t>Medium</t>
        </is>
      </c>
      <c r="O69" s="12" t="inlineStr">
        <is>
          <t>High-return-rate group</t>
        </is>
      </c>
      <c r="P69" s="12" t="inlineStr">
        <is>
          <t>Strong</t>
        </is>
      </c>
    </row>
    <row r="70">
      <c r="A70" s="12" t="inlineStr">
        <is>
          <t>RET-0182</t>
        </is>
      </c>
      <c r="B70" s="12" t="inlineStr">
        <is>
          <t>2021-10-03</t>
        </is>
      </c>
      <c r="C70" s="12" t="inlineStr">
        <is>
          <t>Client-042</t>
        </is>
      </c>
      <c r="D70" s="12" t="inlineStr">
        <is>
          <t>MS Pipes</t>
        </is>
      </c>
      <c r="E70" s="12" t="n">
        <v>3.85</v>
      </c>
      <c r="F70" s="12" t="inlineStr">
        <is>
          <t>Surface rust</t>
        </is>
      </c>
      <c r="G70" s="12" t="inlineStr">
        <is>
          <t>VS12</t>
        </is>
      </c>
      <c r="H70" s="12" t="n">
        <v>0.153</v>
      </c>
      <c r="I70" s="12" t="inlineStr">
        <is>
          <t>VS19</t>
        </is>
      </c>
      <c r="J70" s="12" t="n">
        <v>0.115</v>
      </c>
      <c r="K70" s="12" t="inlineStr">
        <is>
          <t>VS03</t>
        </is>
      </c>
      <c r="L70" s="12" t="n">
        <v>0.11</v>
      </c>
      <c r="M70" s="12" t="n">
        <v>0.377</v>
      </c>
      <c r="N70" s="12" t="inlineStr">
        <is>
          <t>Low</t>
        </is>
      </c>
      <c r="O70" s="12" t="inlineStr">
        <is>
          <t>Other suppliers</t>
        </is>
      </c>
      <c r="P70" s="12" t="inlineStr">
        <is>
          <t>Moderate</t>
        </is>
      </c>
    </row>
    <row r="71">
      <c r="A71" s="12" t="inlineStr">
        <is>
          <t>RET-0188</t>
        </is>
      </c>
      <c r="B71" s="12" t="inlineStr">
        <is>
          <t>2023-09-30</t>
        </is>
      </c>
      <c r="C71" s="12" t="inlineStr">
        <is>
          <t>Client-008</t>
        </is>
      </c>
      <c r="D71" s="12" t="inlineStr">
        <is>
          <t>Fasteners &amp; Fittings</t>
        </is>
      </c>
      <c r="E71" s="12" t="n">
        <v>2.95</v>
      </c>
      <c r="F71" s="12" t="inlineStr">
        <is>
          <t>Edge damage</t>
        </is>
      </c>
      <c r="G71" s="12" t="inlineStr">
        <is>
          <t>VS12</t>
        </is>
      </c>
      <c r="H71" s="12" t="n">
        <v>0.23</v>
      </c>
      <c r="I71" s="12" t="inlineStr">
        <is>
          <t>VS19</t>
        </is>
      </c>
      <c r="J71" s="12" t="n">
        <v>0.174</v>
      </c>
      <c r="K71" s="12" t="inlineStr">
        <is>
          <t>VS03</t>
        </is>
      </c>
      <c r="L71" s="12" t="n">
        <v>0.166</v>
      </c>
      <c r="M71" s="12" t="n">
        <v>0.569</v>
      </c>
      <c r="N71" s="12" t="inlineStr">
        <is>
          <t>Medium</t>
        </is>
      </c>
      <c r="O71" s="12" t="inlineStr">
        <is>
          <t>High-return-rate group</t>
        </is>
      </c>
      <c r="P71" s="12" t="inlineStr">
        <is>
          <t>Weak</t>
        </is>
      </c>
    </row>
    <row r="72">
      <c r="A72" s="12" t="inlineStr">
        <is>
          <t>RET-0190</t>
        </is>
      </c>
      <c r="B72" s="12" t="inlineStr">
        <is>
          <t>2023-10-21</t>
        </is>
      </c>
      <c r="C72" s="12" t="inlineStr">
        <is>
          <t>Client-044</t>
        </is>
      </c>
      <c r="D72" s="12" t="inlineStr">
        <is>
          <t>SS Sheets</t>
        </is>
      </c>
      <c r="E72" s="12" t="n">
        <v>4.69</v>
      </c>
      <c r="F72" s="12" t="inlineStr">
        <is>
          <t>Weight short</t>
        </is>
      </c>
      <c r="G72" s="12" t="inlineStr">
        <is>
          <t>VS12</t>
        </is>
      </c>
      <c r="H72" s="12" t="n">
        <v>0.228</v>
      </c>
      <c r="I72" s="12" t="inlineStr">
        <is>
          <t>VS19</t>
        </is>
      </c>
      <c r="J72" s="12" t="n">
        <v>0.172</v>
      </c>
      <c r="K72" s="12" t="inlineStr">
        <is>
          <t>VS03</t>
        </is>
      </c>
      <c r="L72" s="12" t="n">
        <v>0.164</v>
      </c>
      <c r="M72" s="12" t="n">
        <v>0.5649999999999999</v>
      </c>
      <c r="N72" s="12" t="inlineStr">
        <is>
          <t>Medium</t>
        </is>
      </c>
      <c r="O72" s="12" t="inlineStr">
        <is>
          <t>High-return-rate group</t>
        </is>
      </c>
      <c r="P72" s="12" t="inlineStr">
        <is>
          <t>Weak</t>
        </is>
      </c>
    </row>
    <row r="73">
      <c r="A73" s="12" t="inlineStr">
        <is>
          <t>RET-0193</t>
        </is>
      </c>
      <c r="B73" s="12" t="inlineStr">
        <is>
          <t>2023-06-19</t>
        </is>
      </c>
      <c r="C73" s="12" t="inlineStr">
        <is>
          <t>Client-079</t>
        </is>
      </c>
      <c r="D73" s="12" t="inlineStr">
        <is>
          <t>MS Flats</t>
        </is>
      </c>
      <c r="E73" s="12" t="n">
        <v>0.9</v>
      </c>
      <c r="F73" s="12" t="inlineStr">
        <is>
          <t>Bend/warp</t>
        </is>
      </c>
      <c r="G73" s="12" t="inlineStr">
        <is>
          <t>VS12</t>
        </is>
      </c>
      <c r="H73" s="12" t="n">
        <v>0.217</v>
      </c>
      <c r="I73" s="12" t="inlineStr">
        <is>
          <t>VS19</t>
        </is>
      </c>
      <c r="J73" s="12" t="n">
        <v>0.164</v>
      </c>
      <c r="K73" s="12" t="inlineStr">
        <is>
          <t>VS03</t>
        </is>
      </c>
      <c r="L73" s="12" t="n">
        <v>0.156</v>
      </c>
      <c r="M73" s="12" t="n">
        <v>0.537</v>
      </c>
      <c r="N73" s="12" t="inlineStr">
        <is>
          <t>Medium</t>
        </is>
      </c>
      <c r="O73" s="12" t="inlineStr">
        <is>
          <t>High-return-rate group</t>
        </is>
      </c>
      <c r="P73" s="12" t="inlineStr">
        <is>
          <t>Weak</t>
        </is>
      </c>
    </row>
    <row r="74">
      <c r="A74" s="12" t="inlineStr">
        <is>
          <t>RET-0196</t>
        </is>
      </c>
      <c r="B74" s="12" t="inlineStr">
        <is>
          <t>2022-11-30</t>
        </is>
      </c>
      <c r="C74" s="12" t="inlineStr">
        <is>
          <t>Client-013</t>
        </is>
      </c>
      <c r="D74" s="12" t="inlineStr">
        <is>
          <t>GI Wire</t>
        </is>
      </c>
      <c r="E74" s="12" t="n">
        <v>4.63</v>
      </c>
      <c r="F74" s="12" t="inlineStr">
        <is>
          <t>Weight short</t>
        </is>
      </c>
      <c r="G74" s="12" t="inlineStr">
        <is>
          <t>VS12</t>
        </is>
      </c>
      <c r="H74" s="12" t="n">
        <v>0.195</v>
      </c>
      <c r="I74" s="12" t="inlineStr">
        <is>
          <t>VS19</t>
        </is>
      </c>
      <c r="J74" s="12" t="n">
        <v>0.147</v>
      </c>
      <c r="K74" s="12" t="inlineStr">
        <is>
          <t>VS03</t>
        </is>
      </c>
      <c r="L74" s="12" t="n">
        <v>0.14</v>
      </c>
      <c r="M74" s="12" t="n">
        <v>0.481</v>
      </c>
      <c r="N74" s="12" t="inlineStr">
        <is>
          <t>Low</t>
        </is>
      </c>
      <c r="O74" s="12" t="inlineStr">
        <is>
          <t>Other suppliers</t>
        </is>
      </c>
      <c r="P74" s="12" t="inlineStr">
        <is>
          <t>Weak</t>
        </is>
      </c>
    </row>
    <row r="75">
      <c r="A75" s="12" t="inlineStr">
        <is>
          <t>RET-0197</t>
        </is>
      </c>
      <c r="B75" s="12" t="inlineStr">
        <is>
          <t>2022-05-24</t>
        </is>
      </c>
      <c r="C75" s="12" t="inlineStr">
        <is>
          <t>Client-050</t>
        </is>
      </c>
      <c r="D75" s="12" t="inlineStr">
        <is>
          <t>SS Sheets</t>
        </is>
      </c>
      <c r="E75" s="12" t="n">
        <v>2.64</v>
      </c>
      <c r="F75" s="12" t="inlineStr">
        <is>
          <t>Wrong dimensions</t>
        </is>
      </c>
      <c r="G75" s="12" t="inlineStr">
        <is>
          <t>VS12</t>
        </is>
      </c>
      <c r="H75" s="12" t="n">
        <v>0.261</v>
      </c>
      <c r="I75" s="12" t="inlineStr">
        <is>
          <t>VS19</t>
        </is>
      </c>
      <c r="J75" s="12" t="n">
        <v>0.197</v>
      </c>
      <c r="K75" s="12" t="inlineStr">
        <is>
          <t>VS03</t>
        </is>
      </c>
      <c r="L75" s="12" t="n">
        <v>0.188</v>
      </c>
      <c r="M75" s="12" t="n">
        <v>0.645</v>
      </c>
      <c r="N75" s="12" t="inlineStr">
        <is>
          <t>Medium</t>
        </is>
      </c>
      <c r="O75" s="12" t="inlineStr">
        <is>
          <t>High-return-rate group</t>
        </is>
      </c>
      <c r="P75" s="12" t="inlineStr">
        <is>
          <t>Moderate</t>
        </is>
      </c>
    </row>
    <row r="76">
      <c r="A76" s="12" t="inlineStr">
        <is>
          <t>RET-0199</t>
        </is>
      </c>
      <c r="B76" s="12" t="inlineStr">
        <is>
          <t>2021-04-09</t>
        </is>
      </c>
      <c r="C76" s="12" t="inlineStr">
        <is>
          <t>Client-074</t>
        </is>
      </c>
      <c r="D76" s="12" t="inlineStr">
        <is>
          <t>Angles &amp; Channels</t>
        </is>
      </c>
      <c r="E76" s="12" t="n">
        <v>0.61</v>
      </c>
      <c r="F76" s="12" t="inlineStr">
        <is>
          <t>Surface rust</t>
        </is>
      </c>
      <c r="G76" s="12" t="inlineStr">
        <is>
          <t>VS12</t>
        </is>
      </c>
      <c r="H76" s="12" t="n">
        <v>0.373</v>
      </c>
      <c r="I76" s="12" t="inlineStr">
        <is>
          <t>VS19</t>
        </is>
      </c>
      <c r="J76" s="12" t="n">
        <v>0.282</v>
      </c>
      <c r="K76" s="12" t="inlineStr">
        <is>
          <t>VS03</t>
        </is>
      </c>
      <c r="L76" s="12" t="n">
        <v>0.269</v>
      </c>
      <c r="M76" s="12" t="n">
        <v>0.923</v>
      </c>
      <c r="N76" s="12" t="inlineStr">
        <is>
          <t>Medium</t>
        </is>
      </c>
      <c r="O76" s="12" t="inlineStr">
        <is>
          <t>High-return-rate group</t>
        </is>
      </c>
      <c r="P76" s="12" t="inlineStr">
        <is>
          <t>Strong</t>
        </is>
      </c>
    </row>
    <row r="77">
      <c r="A77" s="12" t="inlineStr">
        <is>
          <t>RET-0203</t>
        </is>
      </c>
      <c r="B77" s="12" t="inlineStr">
        <is>
          <t>2021-11-19</t>
        </is>
      </c>
      <c r="C77" s="12" t="inlineStr">
        <is>
          <t>Client-036</t>
        </is>
      </c>
      <c r="D77" s="12" t="inlineStr">
        <is>
          <t>GI Wire</t>
        </is>
      </c>
      <c r="E77" s="12" t="n">
        <v>2.36</v>
      </c>
      <c r="F77" s="12" t="inlineStr">
        <is>
          <t>Wrong dimensions</t>
        </is>
      </c>
      <c r="G77" s="12" t="inlineStr">
        <is>
          <t>VS12</t>
        </is>
      </c>
      <c r="H77" s="12" t="n">
        <v>0.228</v>
      </c>
      <c r="I77" s="12" t="inlineStr">
        <is>
          <t>VS19</t>
        </is>
      </c>
      <c r="J77" s="12" t="n">
        <v>0.172</v>
      </c>
      <c r="K77" s="12" t="inlineStr">
        <is>
          <t>VS03</t>
        </is>
      </c>
      <c r="L77" s="12" t="n">
        <v>0.164</v>
      </c>
      <c r="M77" s="12" t="n">
        <v>0.5649999999999999</v>
      </c>
      <c r="N77" s="12" t="inlineStr">
        <is>
          <t>Medium</t>
        </is>
      </c>
      <c r="O77" s="12" t="inlineStr">
        <is>
          <t>High-return-rate group</t>
        </is>
      </c>
      <c r="P77" s="12" t="inlineStr">
        <is>
          <t>Weak</t>
        </is>
      </c>
    </row>
    <row r="78">
      <c r="A78" s="12" t="inlineStr">
        <is>
          <t>RET-0204</t>
        </is>
      </c>
      <c r="B78" s="12" t="inlineStr">
        <is>
          <t>2022-03-26</t>
        </is>
      </c>
      <c r="C78" s="12" t="inlineStr">
        <is>
          <t>Client-029</t>
        </is>
      </c>
      <c r="D78" s="12" t="inlineStr">
        <is>
          <t>CR Sheets</t>
        </is>
      </c>
      <c r="E78" s="12" t="n">
        <v>3.69</v>
      </c>
      <c r="F78" s="12" t="inlineStr">
        <is>
          <t>Weight short</t>
        </is>
      </c>
      <c r="G78" s="12" t="inlineStr">
        <is>
          <t>VS12</t>
        </is>
      </c>
      <c r="H78" s="12" t="n">
        <v>0.138</v>
      </c>
      <c r="I78" s="12" t="inlineStr">
        <is>
          <t>VS19</t>
        </is>
      </c>
      <c r="J78" s="12" t="n">
        <v>0.104</v>
      </c>
      <c r="K78" s="12" t="inlineStr">
        <is>
          <t>VS03</t>
        </is>
      </c>
      <c r="L78" s="12" t="n">
        <v>0.099</v>
      </c>
      <c r="M78" s="12" t="n">
        <v>0.342</v>
      </c>
      <c r="N78" s="12" t="inlineStr">
        <is>
          <t>Low</t>
        </is>
      </c>
      <c r="O78" s="12" t="inlineStr">
        <is>
          <t>Other suppliers</t>
        </is>
      </c>
      <c r="P78" s="12" t="inlineStr">
        <is>
          <t>Moderate</t>
        </is>
      </c>
    </row>
    <row r="79">
      <c r="A79" s="12" t="inlineStr">
        <is>
          <t>RET-0205</t>
        </is>
      </c>
      <c r="B79" s="12" t="inlineStr">
        <is>
          <t>2022-11-24</t>
        </is>
      </c>
      <c r="C79" s="12" t="inlineStr">
        <is>
          <t>Client-039</t>
        </is>
      </c>
      <c r="D79" s="12" t="inlineStr">
        <is>
          <t>Angles &amp; Channels</t>
        </is>
      </c>
      <c r="E79" s="12" t="n">
        <v>2.32</v>
      </c>
      <c r="F79" s="12" t="inlineStr">
        <is>
          <t>Wrong dimensions</t>
        </is>
      </c>
      <c r="G79" s="12" t="inlineStr">
        <is>
          <t>VS12</t>
        </is>
      </c>
      <c r="H79" s="12" t="n">
        <v>0.333</v>
      </c>
      <c r="I79" s="12" t="inlineStr">
        <is>
          <t>VS19</t>
        </is>
      </c>
      <c r="J79" s="12" t="n">
        <v>0.251</v>
      </c>
      <c r="K79" s="12" t="inlineStr">
        <is>
          <t>VS03</t>
        </is>
      </c>
      <c r="L79" s="12" t="n">
        <v>0.24</v>
      </c>
      <c r="M79" s="12" t="n">
        <v>0.824</v>
      </c>
      <c r="N79" s="12" t="inlineStr">
        <is>
          <t>Medium</t>
        </is>
      </c>
      <c r="O79" s="12" t="inlineStr">
        <is>
          <t>High-return-rate group</t>
        </is>
      </c>
      <c r="P79" s="12" t="inlineStr">
        <is>
          <t>Strong</t>
        </is>
      </c>
    </row>
    <row r="80">
      <c r="A80" s="12" t="inlineStr">
        <is>
          <t>RET-0206</t>
        </is>
      </c>
      <c r="B80" s="12" t="inlineStr">
        <is>
          <t>2021-08-19</t>
        </is>
      </c>
      <c r="C80" s="12" t="inlineStr">
        <is>
          <t>Client-075</t>
        </is>
      </c>
      <c r="D80" s="12" t="inlineStr">
        <is>
          <t>MS Rods</t>
        </is>
      </c>
      <c r="E80" s="12" t="n">
        <v>0.96</v>
      </c>
      <c r="F80" s="12" t="inlineStr">
        <is>
          <t>Bend/warp</t>
        </is>
      </c>
      <c r="G80" s="12" t="inlineStr">
        <is>
          <t>VS12</t>
        </is>
      </c>
      <c r="H80" s="12" t="n">
        <v>0.237</v>
      </c>
      <c r="I80" s="12" t="inlineStr">
        <is>
          <t>VS19</t>
        </is>
      </c>
      <c r="J80" s="12" t="n">
        <v>0.179</v>
      </c>
      <c r="K80" s="12" t="inlineStr">
        <is>
          <t>VS03</t>
        </is>
      </c>
      <c r="L80" s="12" t="n">
        <v>0.171</v>
      </c>
      <c r="M80" s="12" t="n">
        <v>0.587</v>
      </c>
      <c r="N80" s="12" t="inlineStr">
        <is>
          <t>Medium</t>
        </is>
      </c>
      <c r="O80" s="12" t="inlineStr">
        <is>
          <t>High-return-rate group</t>
        </is>
      </c>
      <c r="P80" s="12" t="inlineStr">
        <is>
          <t>Weak</t>
        </is>
      </c>
    </row>
    <row r="81">
      <c r="A81" s="12" t="inlineStr">
        <is>
          <t>RET-0207</t>
        </is>
      </c>
      <c r="B81" s="12" t="inlineStr">
        <is>
          <t>2021-03-10</t>
        </is>
      </c>
      <c r="C81" s="12" t="inlineStr">
        <is>
          <t>Client-077</t>
        </is>
      </c>
      <c r="D81" s="12" t="inlineStr">
        <is>
          <t>MS Pipes</t>
        </is>
      </c>
      <c r="E81" s="12" t="n">
        <v>1.42</v>
      </c>
      <c r="F81" s="12" t="inlineStr">
        <is>
          <t>Grade mismatch</t>
        </is>
      </c>
      <c r="G81" s="12" t="inlineStr">
        <is>
          <t>VS12</t>
        </is>
      </c>
      <c r="H81" s="12" t="n">
        <v>0.205</v>
      </c>
      <c r="I81" s="12" t="inlineStr">
        <is>
          <t>VS19</t>
        </is>
      </c>
      <c r="J81" s="12" t="n">
        <v>0.155</v>
      </c>
      <c r="K81" s="12" t="inlineStr">
        <is>
          <t>VS03</t>
        </is>
      </c>
      <c r="L81" s="12" t="n">
        <v>0.148</v>
      </c>
      <c r="M81" s="12" t="n">
        <v>0.508</v>
      </c>
      <c r="N81" s="12" t="inlineStr">
        <is>
          <t>Medium</t>
        </is>
      </c>
      <c r="O81" s="12" t="inlineStr">
        <is>
          <t>High-return-rate group</t>
        </is>
      </c>
      <c r="P81" s="12" t="inlineStr">
        <is>
          <t>Weak</t>
        </is>
      </c>
    </row>
    <row r="82">
      <c r="A82" s="12" t="inlineStr">
        <is>
          <t>RET-0212</t>
        </is>
      </c>
      <c r="B82" s="12" t="inlineStr">
        <is>
          <t>2023-07-08</t>
        </is>
      </c>
      <c r="C82" s="12" t="inlineStr">
        <is>
          <t>Client-024</t>
        </is>
      </c>
      <c r="D82" s="12" t="inlineStr">
        <is>
          <t>GI Sheets</t>
        </is>
      </c>
      <c r="E82" s="12" t="n">
        <v>3.48</v>
      </c>
      <c r="F82" s="12" t="inlineStr">
        <is>
          <t>Grade mismatch</t>
        </is>
      </c>
      <c r="G82" s="12" t="inlineStr">
        <is>
          <t>VS12</t>
        </is>
      </c>
      <c r="H82" s="12" t="n">
        <v>0.286</v>
      </c>
      <c r="I82" s="12" t="inlineStr">
        <is>
          <t>VS19</t>
        </is>
      </c>
      <c r="J82" s="12" t="n">
        <v>0.216</v>
      </c>
      <c r="K82" s="12" t="inlineStr">
        <is>
          <t>VS03</t>
        </is>
      </c>
      <c r="L82" s="12" t="n">
        <v>0.206</v>
      </c>
      <c r="M82" s="12" t="n">
        <v>0.708</v>
      </c>
      <c r="N82" s="12" t="inlineStr">
        <is>
          <t>Medium</t>
        </is>
      </c>
      <c r="O82" s="12" t="inlineStr">
        <is>
          <t>High-return-rate group</t>
        </is>
      </c>
      <c r="P82" s="12" t="inlineStr">
        <is>
          <t>Moderate</t>
        </is>
      </c>
    </row>
    <row r="83">
      <c r="A83" s="12" t="inlineStr">
        <is>
          <t>RET-0213</t>
        </is>
      </c>
      <c r="B83" s="12" t="inlineStr">
        <is>
          <t>2023-08-13</t>
        </is>
      </c>
      <c r="C83" s="12" t="inlineStr">
        <is>
          <t>Client-066</t>
        </is>
      </c>
      <c r="D83" s="12" t="inlineStr">
        <is>
          <t>Square/Rect Tubes</t>
        </is>
      </c>
      <c r="E83" s="12" t="n">
        <v>3.75</v>
      </c>
      <c r="F83" s="12" t="inlineStr">
        <is>
          <t>Surface rust</t>
        </is>
      </c>
      <c r="G83" s="12" t="inlineStr">
        <is>
          <t>VS12</t>
        </is>
      </c>
      <c r="H83" s="12" t="n">
        <v>0.261</v>
      </c>
      <c r="I83" s="12" t="inlineStr">
        <is>
          <t>VS19</t>
        </is>
      </c>
      <c r="J83" s="12" t="n">
        <v>0.197</v>
      </c>
      <c r="K83" s="12" t="inlineStr">
        <is>
          <t>VS03</t>
        </is>
      </c>
      <c r="L83" s="12" t="n">
        <v>0.188</v>
      </c>
      <c r="M83" s="12" t="n">
        <v>0.645</v>
      </c>
      <c r="N83" s="12" t="inlineStr">
        <is>
          <t>Medium</t>
        </is>
      </c>
      <c r="O83" s="12" t="inlineStr">
        <is>
          <t>High-return-rate group</t>
        </is>
      </c>
      <c r="P83" s="12" t="inlineStr">
        <is>
          <t>Moderate</t>
        </is>
      </c>
    </row>
    <row r="84">
      <c r="A84" s="12" t="inlineStr">
        <is>
          <t>RET-0214</t>
        </is>
      </c>
      <c r="B84" s="12" t="inlineStr">
        <is>
          <t>2021-02-13</t>
        </is>
      </c>
      <c r="C84" s="12" t="inlineStr">
        <is>
          <t>Client-067</t>
        </is>
      </c>
      <c r="D84" s="12" t="inlineStr">
        <is>
          <t>HR Coils</t>
        </is>
      </c>
      <c r="E84" s="12" t="n">
        <v>3.96</v>
      </c>
      <c r="F84" s="12" t="inlineStr">
        <is>
          <t>Wrong dimensions</t>
        </is>
      </c>
      <c r="G84" s="12" t="inlineStr">
        <is>
          <t>VS12</t>
        </is>
      </c>
      <c r="H84" s="12" t="n">
        <v>0.181</v>
      </c>
      <c r="I84" s="12" t="inlineStr">
        <is>
          <t>VS19</t>
        </is>
      </c>
      <c r="J84" s="12" t="n">
        <v>0.136</v>
      </c>
      <c r="K84" s="12" t="inlineStr">
        <is>
          <t>VS03</t>
        </is>
      </c>
      <c r="L84" s="12" t="n">
        <v>0.13</v>
      </c>
      <c r="M84" s="12" t="n">
        <v>0.447</v>
      </c>
      <c r="N84" s="12" t="inlineStr">
        <is>
          <t>Low</t>
        </is>
      </c>
      <c r="O84" s="12" t="inlineStr">
        <is>
          <t>Other suppliers</t>
        </is>
      </c>
      <c r="P84" s="12" t="inlineStr">
        <is>
          <t>Weak</t>
        </is>
      </c>
    </row>
    <row r="85">
      <c r="A85" s="12" t="inlineStr">
        <is>
          <t>RET-0217</t>
        </is>
      </c>
      <c r="B85" s="12" t="inlineStr">
        <is>
          <t>2023-09-30</t>
        </is>
      </c>
      <c r="C85" s="12" t="inlineStr">
        <is>
          <t>Client-062</t>
        </is>
      </c>
      <c r="D85" s="12" t="inlineStr">
        <is>
          <t>Square/Rect Tubes</t>
        </is>
      </c>
      <c r="E85" s="12" t="n">
        <v>4.07</v>
      </c>
      <c r="F85" s="12" t="inlineStr">
        <is>
          <t>Grade mismatch</t>
        </is>
      </c>
      <c r="G85" s="12" t="inlineStr">
        <is>
          <t>VS12</t>
        </is>
      </c>
      <c r="H85" s="12" t="n">
        <v>0.258</v>
      </c>
      <c r="I85" s="12" t="inlineStr">
        <is>
          <t>VS19</t>
        </is>
      </c>
      <c r="J85" s="12" t="n">
        <v>0.195</v>
      </c>
      <c r="K85" s="12" t="inlineStr">
        <is>
          <t>VS03</t>
        </is>
      </c>
      <c r="L85" s="12" t="n">
        <v>0.186</v>
      </c>
      <c r="M85" s="12" t="n">
        <v>0.639</v>
      </c>
      <c r="N85" s="12" t="inlineStr">
        <is>
          <t>Medium</t>
        </is>
      </c>
      <c r="O85" s="12" t="inlineStr">
        <is>
          <t>High-return-rate group</t>
        </is>
      </c>
      <c r="P85" s="12" t="inlineStr">
        <is>
          <t>Moderate</t>
        </is>
      </c>
    </row>
    <row r="86">
      <c r="A86" s="12" t="inlineStr">
        <is>
          <t>RET-0225</t>
        </is>
      </c>
      <c r="B86" s="12" t="inlineStr">
        <is>
          <t>2021-12-14</t>
        </is>
      </c>
      <c r="C86" s="12" t="inlineStr">
        <is>
          <t>Client-012</t>
        </is>
      </c>
      <c r="D86" s="12" t="inlineStr">
        <is>
          <t>MS Sheets</t>
        </is>
      </c>
      <c r="E86" s="12" t="n">
        <v>1.44</v>
      </c>
      <c r="F86" s="12" t="inlineStr">
        <is>
          <t>Grade mismatch</t>
        </is>
      </c>
      <c r="G86" s="12" t="inlineStr">
        <is>
          <t>VS12</t>
        </is>
      </c>
      <c r="H86" s="12" t="n">
        <v>0.122</v>
      </c>
      <c r="I86" s="12" t="inlineStr">
        <is>
          <t>VS19</t>
        </is>
      </c>
      <c r="J86" s="12" t="n">
        <v>0.092</v>
      </c>
      <c r="K86" s="12" t="inlineStr">
        <is>
          <t>VS03</t>
        </is>
      </c>
      <c r="L86" s="12" t="n">
        <v>0.08799999999999999</v>
      </c>
      <c r="M86" s="12" t="n">
        <v>0.301</v>
      </c>
      <c r="N86" s="12" t="inlineStr">
        <is>
          <t>Low</t>
        </is>
      </c>
      <c r="O86" s="12" t="inlineStr">
        <is>
          <t>Other suppliers</t>
        </is>
      </c>
      <c r="P86" s="12" t="inlineStr">
        <is>
          <t>Moderate</t>
        </is>
      </c>
    </row>
    <row r="87">
      <c r="A87" s="12" t="inlineStr">
        <is>
          <t>RET-0226</t>
        </is>
      </c>
      <c r="B87" s="12" t="inlineStr">
        <is>
          <t>2022-11-10</t>
        </is>
      </c>
      <c r="C87" s="12" t="inlineStr">
        <is>
          <t>Client-075</t>
        </is>
      </c>
      <c r="D87" s="12" t="inlineStr">
        <is>
          <t>HR Coils</t>
        </is>
      </c>
      <c r="E87" s="12" t="n">
        <v>2.63</v>
      </c>
      <c r="F87" s="12" t="inlineStr">
        <is>
          <t>Wrong dimensions</t>
        </is>
      </c>
      <c r="G87" s="12" t="inlineStr">
        <is>
          <t>VS12</t>
        </is>
      </c>
      <c r="H87" s="12" t="n">
        <v>0.212</v>
      </c>
      <c r="I87" s="12" t="inlineStr">
        <is>
          <t>VS19</t>
        </is>
      </c>
      <c r="J87" s="12" t="n">
        <v>0.16</v>
      </c>
      <c r="K87" s="12" t="inlineStr">
        <is>
          <t>VS03</t>
        </is>
      </c>
      <c r="L87" s="12" t="n">
        <v>0.152</v>
      </c>
      <c r="M87" s="12" t="n">
        <v>0.524</v>
      </c>
      <c r="N87" s="12" t="inlineStr">
        <is>
          <t>Medium</t>
        </is>
      </c>
      <c r="O87" s="12" t="inlineStr">
        <is>
          <t>High-return-rate group</t>
        </is>
      </c>
      <c r="P87" s="12" t="inlineStr">
        <is>
          <t>Weak</t>
        </is>
      </c>
    </row>
    <row r="88">
      <c r="A88" s="12" t="inlineStr">
        <is>
          <t>RET-0227</t>
        </is>
      </c>
      <c r="B88" s="12" t="inlineStr">
        <is>
          <t>2022-01-23</t>
        </is>
      </c>
      <c r="C88" s="12" t="inlineStr">
        <is>
          <t>Client-038</t>
        </is>
      </c>
      <c r="D88" s="12" t="inlineStr">
        <is>
          <t>GI Pipes</t>
        </is>
      </c>
      <c r="E88" s="12" t="n">
        <v>4.09</v>
      </c>
      <c r="F88" s="12" t="inlineStr">
        <is>
          <t>Bend/warp</t>
        </is>
      </c>
      <c r="G88" s="12" t="inlineStr">
        <is>
          <t>VS12</t>
        </is>
      </c>
      <c r="H88" s="12" t="n">
        <v>0.195</v>
      </c>
      <c r="I88" s="12" t="inlineStr">
        <is>
          <t>VS19</t>
        </is>
      </c>
      <c r="J88" s="12" t="n">
        <v>0.147</v>
      </c>
      <c r="K88" s="12" t="inlineStr">
        <is>
          <t>VS03</t>
        </is>
      </c>
      <c r="L88" s="12" t="n">
        <v>0.14</v>
      </c>
      <c r="M88" s="12" t="n">
        <v>0.481</v>
      </c>
      <c r="N88" s="12" t="inlineStr">
        <is>
          <t>Low</t>
        </is>
      </c>
      <c r="O88" s="12" t="inlineStr">
        <is>
          <t>Other suppliers</t>
        </is>
      </c>
      <c r="P88" s="12" t="inlineStr">
        <is>
          <t>Weak</t>
        </is>
      </c>
    </row>
    <row r="89">
      <c r="A89" s="12" t="inlineStr">
        <is>
          <t>RET-0229</t>
        </is>
      </c>
      <c r="B89" s="12" t="inlineStr">
        <is>
          <t>2023-04-07</t>
        </is>
      </c>
      <c r="C89" s="12" t="inlineStr">
        <is>
          <t>Client-073</t>
        </is>
      </c>
      <c r="D89" s="12" t="inlineStr">
        <is>
          <t>Structural Steel</t>
        </is>
      </c>
      <c r="E89" s="12" t="n">
        <v>1.47</v>
      </c>
      <c r="F89" s="12" t="inlineStr">
        <is>
          <t>Bend/warp</t>
        </is>
      </c>
      <c r="G89" s="12" t="inlineStr">
        <is>
          <t>VS12</t>
        </is>
      </c>
      <c r="H89" s="12" t="n">
        <v>0.252</v>
      </c>
      <c r="I89" s="12" t="inlineStr">
        <is>
          <t>VS19</t>
        </is>
      </c>
      <c r="J89" s="12" t="n">
        <v>0.19</v>
      </c>
      <c r="K89" s="12" t="inlineStr">
        <is>
          <t>VS03</t>
        </is>
      </c>
      <c r="L89" s="12" t="n">
        <v>0.181</v>
      </c>
      <c r="M89" s="12" t="n">
        <v>0.623</v>
      </c>
      <c r="N89" s="12" t="inlineStr">
        <is>
          <t>Medium</t>
        </is>
      </c>
      <c r="O89" s="12" t="inlineStr">
        <is>
          <t>High-return-rate group</t>
        </is>
      </c>
      <c r="P89" s="12" t="inlineStr">
        <is>
          <t>Moderate</t>
        </is>
      </c>
    </row>
    <row r="90">
      <c r="A90" s="12" t="inlineStr">
        <is>
          <t>RET-0230</t>
        </is>
      </c>
      <c r="B90" s="12" t="inlineStr">
        <is>
          <t>2021-07-23</t>
        </is>
      </c>
      <c r="C90" s="12" t="inlineStr">
        <is>
          <t>Client-019</t>
        </is>
      </c>
      <c r="D90" s="12" t="inlineStr">
        <is>
          <t>CR Sheets</t>
        </is>
      </c>
      <c r="E90" s="12" t="n">
        <v>2.85</v>
      </c>
      <c r="F90" s="12" t="inlineStr">
        <is>
          <t>Surface rust</t>
        </is>
      </c>
      <c r="G90" s="12" t="inlineStr">
        <is>
          <t>VS12</t>
        </is>
      </c>
      <c r="H90" s="12" t="n">
        <v>0.168</v>
      </c>
      <c r="I90" s="12" t="inlineStr">
        <is>
          <t>VS19</t>
        </is>
      </c>
      <c r="J90" s="12" t="n">
        <v>0.126</v>
      </c>
      <c r="K90" s="12" t="inlineStr">
        <is>
          <t>VS03</t>
        </is>
      </c>
      <c r="L90" s="12" t="n">
        <v>0.121</v>
      </c>
      <c r="M90" s="12" t="n">
        <v>0.415</v>
      </c>
      <c r="N90" s="12" t="inlineStr">
        <is>
          <t>Low</t>
        </is>
      </c>
      <c r="O90" s="12" t="inlineStr">
        <is>
          <t>Other suppliers</t>
        </is>
      </c>
      <c r="P90" s="12" t="inlineStr">
        <is>
          <t>Weak</t>
        </is>
      </c>
    </row>
    <row r="91">
      <c r="A91" s="12" t="inlineStr">
        <is>
          <t>RET-0232</t>
        </is>
      </c>
      <c r="B91" s="12" t="inlineStr">
        <is>
          <t>2021-10-20</t>
        </is>
      </c>
      <c r="C91" s="12" t="inlineStr">
        <is>
          <t>Client-064</t>
        </is>
      </c>
      <c r="D91" s="12" t="inlineStr">
        <is>
          <t>SS Sheets</t>
        </is>
      </c>
      <c r="E91" s="12" t="n">
        <v>1.72</v>
      </c>
      <c r="F91" s="12" t="inlineStr">
        <is>
          <t>Wrong dimensions</t>
        </is>
      </c>
      <c r="G91" s="12" t="inlineStr">
        <is>
          <t>VS12</t>
        </is>
      </c>
      <c r="H91" s="12" t="n">
        <v>0.281</v>
      </c>
      <c r="I91" s="12" t="inlineStr">
        <is>
          <t>VS19</t>
        </is>
      </c>
      <c r="J91" s="12" t="n">
        <v>0.212</v>
      </c>
      <c r="K91" s="12" t="inlineStr">
        <is>
          <t>VS03</t>
        </is>
      </c>
      <c r="L91" s="12" t="n">
        <v>0.202</v>
      </c>
      <c r="M91" s="12" t="n">
        <v>0.694</v>
      </c>
      <c r="N91" s="12" t="inlineStr">
        <is>
          <t>Medium</t>
        </is>
      </c>
      <c r="O91" s="12" t="inlineStr">
        <is>
          <t>High-return-rate group</t>
        </is>
      </c>
      <c r="P91" s="12" t="inlineStr">
        <is>
          <t>Moderate</t>
        </is>
      </c>
    </row>
    <row r="92">
      <c r="A92" s="12" t="inlineStr">
        <is>
          <t>RET-0235</t>
        </is>
      </c>
      <c r="B92" s="12" t="inlineStr">
        <is>
          <t>2022-12-11</t>
        </is>
      </c>
      <c r="C92" s="12" t="inlineStr">
        <is>
          <t>Client-071</t>
        </is>
      </c>
      <c r="D92" s="12" t="inlineStr">
        <is>
          <t>SS Pipes</t>
        </is>
      </c>
      <c r="E92" s="12" t="n">
        <v>2.89</v>
      </c>
      <c r="F92" s="12" t="inlineStr">
        <is>
          <t>Grade mismatch</t>
        </is>
      </c>
      <c r="G92" s="12" t="inlineStr">
        <is>
          <t>VS12</t>
        </is>
      </c>
      <c r="H92" s="12" t="n">
        <v>0.243</v>
      </c>
      <c r="I92" s="12" t="inlineStr">
        <is>
          <t>VS19</t>
        </is>
      </c>
      <c r="J92" s="12" t="n">
        <v>0.184</v>
      </c>
      <c r="K92" s="12" t="inlineStr">
        <is>
          <t>VS03</t>
        </is>
      </c>
      <c r="L92" s="12" t="n">
        <v>0.175</v>
      </c>
      <c r="M92" s="12" t="n">
        <v>0.602</v>
      </c>
      <c r="N92" s="12" t="inlineStr">
        <is>
          <t>Medium</t>
        </is>
      </c>
      <c r="O92" s="12" t="inlineStr">
        <is>
          <t>High-return-rate group</t>
        </is>
      </c>
      <c r="P92" s="12" t="inlineStr">
        <is>
          <t>Weak</t>
        </is>
      </c>
    </row>
    <row r="93">
      <c r="A93" s="12" t="inlineStr">
        <is>
          <t>RET-0239</t>
        </is>
      </c>
      <c r="B93" s="12" t="inlineStr">
        <is>
          <t>2023-02-11</t>
        </is>
      </c>
      <c r="C93" s="12" t="inlineStr">
        <is>
          <t>Client-043</t>
        </is>
      </c>
      <c r="D93" s="12" t="inlineStr">
        <is>
          <t>Square/Rect Tubes</t>
        </is>
      </c>
      <c r="E93" s="12" t="n">
        <v>2.57</v>
      </c>
      <c r="F93" s="12" t="inlineStr">
        <is>
          <t>Bend/warp</t>
        </is>
      </c>
      <c r="G93" s="12" t="inlineStr">
        <is>
          <t>VS12</t>
        </is>
      </c>
      <c r="H93" s="12" t="n">
        <v>0.288</v>
      </c>
      <c r="I93" s="12" t="inlineStr">
        <is>
          <t>VS19</t>
        </is>
      </c>
      <c r="J93" s="12" t="n">
        <v>0.217</v>
      </c>
      <c r="K93" s="12" t="inlineStr">
        <is>
          <t>VS03</t>
        </is>
      </c>
      <c r="L93" s="12" t="n">
        <v>0.207</v>
      </c>
      <c r="M93" s="12" t="n">
        <v>0.713</v>
      </c>
      <c r="N93" s="12" t="inlineStr">
        <is>
          <t>Medium</t>
        </is>
      </c>
      <c r="O93" s="12" t="inlineStr">
        <is>
          <t>High-return-rate group</t>
        </is>
      </c>
      <c r="P93" s="12" t="inlineStr">
        <is>
          <t>Moderate</t>
        </is>
      </c>
    </row>
    <row r="94">
      <c r="A94" s="12" t="inlineStr">
        <is>
          <t>RET-0240</t>
        </is>
      </c>
      <c r="B94" s="12" t="inlineStr">
        <is>
          <t>2023-12-17</t>
        </is>
      </c>
      <c r="C94" s="12" t="inlineStr">
        <is>
          <t>Client-069</t>
        </is>
      </c>
      <c r="D94" s="12" t="inlineStr">
        <is>
          <t>GI Sheets</t>
        </is>
      </c>
      <c r="E94" s="12" t="n">
        <v>4.39</v>
      </c>
      <c r="F94" s="12" t="inlineStr">
        <is>
          <t>Wrong dimensions</t>
        </is>
      </c>
      <c r="G94" s="12" t="inlineStr">
        <is>
          <t>VS12</t>
        </is>
      </c>
      <c r="H94" s="12" t="n">
        <v>0.284</v>
      </c>
      <c r="I94" s="12" t="inlineStr">
        <is>
          <t>VS19</t>
        </is>
      </c>
      <c r="J94" s="12" t="n">
        <v>0.214</v>
      </c>
      <c r="K94" s="12" t="inlineStr">
        <is>
          <t>VS03</t>
        </is>
      </c>
      <c r="L94" s="12" t="n">
        <v>0.204</v>
      </c>
      <c r="M94" s="12" t="n">
        <v>0.703</v>
      </c>
      <c r="N94" s="12" t="inlineStr">
        <is>
          <t>Medium</t>
        </is>
      </c>
      <c r="O94" s="12" t="inlineStr">
        <is>
          <t>High-return-rate group</t>
        </is>
      </c>
      <c r="P94" s="12" t="inlineStr">
        <is>
          <t>Moderate</t>
        </is>
      </c>
    </row>
    <row r="95">
      <c r="A95" s="12" t="inlineStr">
        <is>
          <t>RET-0242</t>
        </is>
      </c>
      <c r="B95" s="12" t="inlineStr">
        <is>
          <t>2023-04-09</t>
        </is>
      </c>
      <c r="C95" s="12" t="inlineStr">
        <is>
          <t>Client-015</t>
        </is>
      </c>
      <c r="D95" s="12" t="inlineStr">
        <is>
          <t>Structural Steel</t>
        </is>
      </c>
      <c r="E95" s="12" t="n">
        <v>4.93</v>
      </c>
      <c r="F95" s="12" t="inlineStr">
        <is>
          <t>Grade mismatch</t>
        </is>
      </c>
      <c r="G95" s="12" t="inlineStr">
        <is>
          <t>VS12</t>
        </is>
      </c>
      <c r="H95" s="12" t="n">
        <v>0.196</v>
      </c>
      <c r="I95" s="12" t="inlineStr">
        <is>
          <t>VS19</t>
        </is>
      </c>
      <c r="J95" s="12" t="n">
        <v>0.148</v>
      </c>
      <c r="K95" s="12" t="inlineStr">
        <is>
          <t>VS03</t>
        </is>
      </c>
      <c r="L95" s="12" t="n">
        <v>0.141</v>
      </c>
      <c r="M95" s="12" t="n">
        <v>0.486</v>
      </c>
      <c r="N95" s="12" t="inlineStr">
        <is>
          <t>Low</t>
        </is>
      </c>
      <c r="O95" s="12" t="inlineStr">
        <is>
          <t>Other suppliers</t>
        </is>
      </c>
      <c r="P95" s="12" t="inlineStr">
        <is>
          <t>Weak</t>
        </is>
      </c>
    </row>
    <row r="96">
      <c r="A96" s="12" t="inlineStr">
        <is>
          <t>RET-0243</t>
        </is>
      </c>
      <c r="B96" s="12" t="inlineStr">
        <is>
          <t>2022-12-13</t>
        </is>
      </c>
      <c r="C96" s="12" t="inlineStr">
        <is>
          <t>Client-050</t>
        </is>
      </c>
      <c r="D96" s="12" t="inlineStr">
        <is>
          <t>Spring Steel</t>
        </is>
      </c>
      <c r="E96" s="12" t="n">
        <v>3.82</v>
      </c>
      <c r="F96" s="12" t="inlineStr">
        <is>
          <t>Edge damage</t>
        </is>
      </c>
      <c r="G96" s="12" t="inlineStr">
        <is>
          <t>VS12</t>
        </is>
      </c>
      <c r="H96" s="12" t="n">
        <v>0.062</v>
      </c>
      <c r="I96" s="12" t="inlineStr">
        <is>
          <t>VS19</t>
        </is>
      </c>
      <c r="J96" s="12" t="n">
        <v>0.047</v>
      </c>
      <c r="K96" s="12" t="inlineStr">
        <is>
          <t>VS32</t>
        </is>
      </c>
      <c r="L96" s="12" t="n">
        <v>0.045</v>
      </c>
      <c r="M96" s="12" t="n">
        <v>0.154</v>
      </c>
      <c r="N96" s="12" t="inlineStr">
        <is>
          <t>Low</t>
        </is>
      </c>
      <c r="O96" s="12" t="inlineStr">
        <is>
          <t>Other suppliers</t>
        </is>
      </c>
      <c r="P96" s="12" t="inlineStr">
        <is>
          <t>Strong</t>
        </is>
      </c>
    </row>
    <row r="97">
      <c r="A97" s="12" t="inlineStr">
        <is>
          <t>RET-0244</t>
        </is>
      </c>
      <c r="B97" s="12" t="inlineStr">
        <is>
          <t>2022-05-25</t>
        </is>
      </c>
      <c r="C97" s="12" t="inlineStr">
        <is>
          <t>Client-020</t>
        </is>
      </c>
      <c r="D97" s="12" t="inlineStr">
        <is>
          <t>Fasteners &amp; Fittings</t>
        </is>
      </c>
      <c r="E97" s="12" t="n">
        <v>2.99</v>
      </c>
      <c r="F97" s="12" t="inlineStr">
        <is>
          <t>Surface rust</t>
        </is>
      </c>
      <c r="G97" s="12" t="inlineStr">
        <is>
          <t>VS12</t>
        </is>
      </c>
      <c r="H97" s="12" t="n">
        <v>0.23</v>
      </c>
      <c r="I97" s="12" t="inlineStr">
        <is>
          <t>VS19</t>
        </is>
      </c>
      <c r="J97" s="12" t="n">
        <v>0.174</v>
      </c>
      <c r="K97" s="12" t="inlineStr">
        <is>
          <t>VS03</t>
        </is>
      </c>
      <c r="L97" s="12" t="n">
        <v>0.166</v>
      </c>
      <c r="M97" s="12" t="n">
        <v>0.569</v>
      </c>
      <c r="N97" s="12" t="inlineStr">
        <is>
          <t>Medium</t>
        </is>
      </c>
      <c r="O97" s="12" t="inlineStr">
        <is>
          <t>High-return-rate group</t>
        </is>
      </c>
      <c r="P97" s="12" t="inlineStr">
        <is>
          <t>Weak</t>
        </is>
      </c>
    </row>
    <row r="98">
      <c r="A98" s="12" t="inlineStr">
        <is>
          <t>RET-0250</t>
        </is>
      </c>
      <c r="B98" s="12" t="inlineStr">
        <is>
          <t>2023-02-16</t>
        </is>
      </c>
      <c r="C98" s="12" t="inlineStr">
        <is>
          <t>Client-066</t>
        </is>
      </c>
      <c r="D98" s="12" t="inlineStr">
        <is>
          <t>Angles &amp; Channels</t>
        </is>
      </c>
      <c r="E98" s="12" t="n">
        <v>1.95</v>
      </c>
      <c r="F98" s="12" t="inlineStr">
        <is>
          <t>Edge damage</t>
        </is>
      </c>
      <c r="G98" s="12" t="inlineStr">
        <is>
          <t>VS12</t>
        </is>
      </c>
      <c r="H98" s="12" t="n">
        <v>0.345</v>
      </c>
      <c r="I98" s="12" t="inlineStr">
        <is>
          <t>VS19</t>
        </is>
      </c>
      <c r="J98" s="12" t="n">
        <v>0.26</v>
      </c>
      <c r="K98" s="12" t="inlineStr">
        <is>
          <t>VS03</t>
        </is>
      </c>
      <c r="L98" s="12" t="n">
        <v>0.248</v>
      </c>
      <c r="M98" s="12" t="n">
        <v>0.854</v>
      </c>
      <c r="N98" s="12" t="inlineStr">
        <is>
          <t>Medium</t>
        </is>
      </c>
      <c r="O98" s="12" t="inlineStr">
        <is>
          <t>High-return-rate group</t>
        </is>
      </c>
      <c r="P98" s="12" t="inlineStr">
        <is>
          <t>Strong</t>
        </is>
      </c>
    </row>
    <row r="99">
      <c r="A99" s="12" t="inlineStr">
        <is>
          <t>RET-0251</t>
        </is>
      </c>
      <c r="B99" s="12" t="inlineStr">
        <is>
          <t>2021-06-25</t>
        </is>
      </c>
      <c r="C99" s="12" t="inlineStr">
        <is>
          <t>Client-000</t>
        </is>
      </c>
      <c r="D99" s="12" t="inlineStr">
        <is>
          <t>MS Pipes</t>
        </is>
      </c>
      <c r="E99" s="12" t="n">
        <v>3.94</v>
      </c>
      <c r="F99" s="12" t="inlineStr">
        <is>
          <t>Bend/warp</t>
        </is>
      </c>
      <c r="G99" s="12" t="inlineStr">
        <is>
          <t>VS12</t>
        </is>
      </c>
      <c r="H99" s="12" t="n">
        <v>0.153</v>
      </c>
      <c r="I99" s="12" t="inlineStr">
        <is>
          <t>VS19</t>
        </is>
      </c>
      <c r="J99" s="12" t="n">
        <v>0.115</v>
      </c>
      <c r="K99" s="12" t="inlineStr">
        <is>
          <t>VS03</t>
        </is>
      </c>
      <c r="L99" s="12" t="n">
        <v>0.11</v>
      </c>
      <c r="M99" s="12" t="n">
        <v>0.377</v>
      </c>
      <c r="N99" s="12" t="inlineStr">
        <is>
          <t>Low</t>
        </is>
      </c>
      <c r="O99" s="12" t="inlineStr">
        <is>
          <t>Other suppliers</t>
        </is>
      </c>
      <c r="P99" s="12" t="inlineStr">
        <is>
          <t>Moderate</t>
        </is>
      </c>
    </row>
    <row r="100">
      <c r="A100" s="12" t="inlineStr">
        <is>
          <t>RET-0254</t>
        </is>
      </c>
      <c r="B100" s="12" t="inlineStr">
        <is>
          <t>2023-01-03</t>
        </is>
      </c>
      <c r="C100" s="12" t="inlineStr">
        <is>
          <t>Client-048</t>
        </is>
      </c>
      <c r="D100" s="12" t="inlineStr">
        <is>
          <t>GI Sheets</t>
        </is>
      </c>
      <c r="E100" s="12" t="n">
        <v>2.09</v>
      </c>
      <c r="F100" s="12" t="inlineStr">
        <is>
          <t>Edge damage</t>
        </is>
      </c>
      <c r="G100" s="12" t="inlineStr">
        <is>
          <t>VS12</t>
        </is>
      </c>
      <c r="H100" s="12" t="n">
        <v>0.31</v>
      </c>
      <c r="I100" s="12" t="inlineStr">
        <is>
          <t>VS19</t>
        </is>
      </c>
      <c r="J100" s="12" t="n">
        <v>0.234</v>
      </c>
      <c r="K100" s="12" t="inlineStr">
        <is>
          <t>VS03</t>
        </is>
      </c>
      <c r="L100" s="12" t="n">
        <v>0.223</v>
      </c>
      <c r="M100" s="12" t="n">
        <v>0.768</v>
      </c>
      <c r="N100" s="12" t="inlineStr">
        <is>
          <t>Medium</t>
        </is>
      </c>
      <c r="O100" s="12" t="inlineStr">
        <is>
          <t>High-return-rate group</t>
        </is>
      </c>
      <c r="P100" s="12" t="inlineStr">
        <is>
          <t>Strong</t>
        </is>
      </c>
    </row>
    <row r="101">
      <c r="A101" s="12" t="inlineStr">
        <is>
          <t>RET-0255</t>
        </is>
      </c>
      <c r="B101" s="12" t="inlineStr">
        <is>
          <t>2022-09-20</t>
        </is>
      </c>
      <c r="C101" s="12" t="inlineStr">
        <is>
          <t>Client-075</t>
        </is>
      </c>
      <c r="D101" s="12" t="inlineStr">
        <is>
          <t>Angles &amp; Channels</t>
        </is>
      </c>
      <c r="E101" s="12" t="n">
        <v>0.55</v>
      </c>
      <c r="F101" s="12" t="inlineStr">
        <is>
          <t>Surface rust</t>
        </is>
      </c>
      <c r="G101" s="12" t="inlineStr">
        <is>
          <t>VS12</t>
        </is>
      </c>
      <c r="H101" s="12" t="n">
        <v>0.373</v>
      </c>
      <c r="I101" s="12" t="inlineStr">
        <is>
          <t>VS19</t>
        </is>
      </c>
      <c r="J101" s="12" t="n">
        <v>0.282</v>
      </c>
      <c r="K101" s="12" t="inlineStr">
        <is>
          <t>VS03</t>
        </is>
      </c>
      <c r="L101" s="12" t="n">
        <v>0.269</v>
      </c>
      <c r="M101" s="12" t="n">
        <v>0.923</v>
      </c>
      <c r="N101" s="12" t="inlineStr">
        <is>
          <t>Medium</t>
        </is>
      </c>
      <c r="O101" s="12" t="inlineStr">
        <is>
          <t>High-return-rate group</t>
        </is>
      </c>
      <c r="P101" s="12" t="inlineStr">
        <is>
          <t>Strong</t>
        </is>
      </c>
    </row>
    <row r="102">
      <c r="A102" s="12" t="inlineStr">
        <is>
          <t>RET-0256</t>
        </is>
      </c>
      <c r="B102" s="12" t="inlineStr">
        <is>
          <t>2022-05-17</t>
        </is>
      </c>
      <c r="C102" s="12" t="inlineStr">
        <is>
          <t>Client-042</t>
        </is>
      </c>
      <c r="D102" s="12" t="inlineStr">
        <is>
          <t>MS Rods</t>
        </is>
      </c>
      <c r="E102" s="12" t="n">
        <v>2.35</v>
      </c>
      <c r="F102" s="12" t="inlineStr">
        <is>
          <t>Weight short</t>
        </is>
      </c>
      <c r="G102" s="12" t="inlineStr">
        <is>
          <t>VS12</t>
        </is>
      </c>
      <c r="H102" s="12" t="n">
        <v>0.144</v>
      </c>
      <c r="I102" s="12" t="inlineStr">
        <is>
          <t>VS19</t>
        </is>
      </c>
      <c r="J102" s="12" t="n">
        <v>0.108</v>
      </c>
      <c r="K102" s="12" t="inlineStr">
        <is>
          <t>VS03</t>
        </is>
      </c>
      <c r="L102" s="12" t="n">
        <v>0.103</v>
      </c>
      <c r="M102" s="12" t="n">
        <v>0.355</v>
      </c>
      <c r="N102" s="12" t="inlineStr">
        <is>
          <t>Low</t>
        </is>
      </c>
      <c r="O102" s="12" t="inlineStr">
        <is>
          <t>Other suppliers</t>
        </is>
      </c>
      <c r="P102" s="12" t="inlineStr">
        <is>
          <t>Moderate</t>
        </is>
      </c>
    </row>
    <row r="103">
      <c r="A103" s="12" t="inlineStr">
        <is>
          <t>RET-0257</t>
        </is>
      </c>
      <c r="B103" s="12" t="inlineStr">
        <is>
          <t>2021-03-06</t>
        </is>
      </c>
      <c r="C103" s="12" t="inlineStr">
        <is>
          <t>Client-023</t>
        </is>
      </c>
      <c r="D103" s="12" t="inlineStr">
        <is>
          <t>MS Rods</t>
        </is>
      </c>
      <c r="E103" s="12" t="n">
        <v>2.15</v>
      </c>
      <c r="F103" s="12" t="inlineStr">
        <is>
          <t>Weight short</t>
        </is>
      </c>
      <c r="G103" s="12" t="inlineStr">
        <is>
          <t>VS12</t>
        </is>
      </c>
      <c r="H103" s="12" t="n">
        <v>0.144</v>
      </c>
      <c r="I103" s="12" t="inlineStr">
        <is>
          <t>VS19</t>
        </is>
      </c>
      <c r="J103" s="12" t="n">
        <v>0.108</v>
      </c>
      <c r="K103" s="12" t="inlineStr">
        <is>
          <t>VS03</t>
        </is>
      </c>
      <c r="L103" s="12" t="n">
        <v>0.103</v>
      </c>
      <c r="M103" s="12" t="n">
        <v>0.355</v>
      </c>
      <c r="N103" s="12" t="inlineStr">
        <is>
          <t>Low</t>
        </is>
      </c>
      <c r="O103" s="12" t="inlineStr">
        <is>
          <t>Other suppliers</t>
        </is>
      </c>
      <c r="P103" s="12" t="inlineStr">
        <is>
          <t>Moderate</t>
        </is>
      </c>
    </row>
    <row r="104">
      <c r="A104" s="12" t="inlineStr">
        <is>
          <t>RET-0258</t>
        </is>
      </c>
      <c r="B104" s="12" t="inlineStr">
        <is>
          <t>2021-12-19</t>
        </is>
      </c>
      <c r="C104" s="12" t="inlineStr">
        <is>
          <t>Client-075</t>
        </is>
      </c>
      <c r="D104" s="12" t="inlineStr">
        <is>
          <t>SS Sheets</t>
        </is>
      </c>
      <c r="E104" s="12" t="n">
        <v>2.06</v>
      </c>
      <c r="F104" s="12" t="inlineStr">
        <is>
          <t>Edge damage</t>
        </is>
      </c>
      <c r="G104" s="12" t="inlineStr">
        <is>
          <t>VS12</t>
        </is>
      </c>
      <c r="H104" s="12" t="n">
        <v>0.261</v>
      </c>
      <c r="I104" s="12" t="inlineStr">
        <is>
          <t>VS19</t>
        </is>
      </c>
      <c r="J104" s="12" t="n">
        <v>0.197</v>
      </c>
      <c r="K104" s="12" t="inlineStr">
        <is>
          <t>VS03</t>
        </is>
      </c>
      <c r="L104" s="12" t="n">
        <v>0.188</v>
      </c>
      <c r="M104" s="12" t="n">
        <v>0.645</v>
      </c>
      <c r="N104" s="12" t="inlineStr">
        <is>
          <t>Medium</t>
        </is>
      </c>
      <c r="O104" s="12" t="inlineStr">
        <is>
          <t>High-return-rate group</t>
        </is>
      </c>
      <c r="P104" s="12" t="inlineStr">
        <is>
          <t>Moderate</t>
        </is>
      </c>
    </row>
    <row r="105">
      <c r="A105" s="12" t="inlineStr">
        <is>
          <t>RET-0259</t>
        </is>
      </c>
      <c r="B105" s="12" t="inlineStr">
        <is>
          <t>2021-09-24</t>
        </is>
      </c>
      <c r="C105" s="12" t="inlineStr">
        <is>
          <t>Client-066</t>
        </is>
      </c>
      <c r="D105" s="12" t="inlineStr">
        <is>
          <t>Hex Bars</t>
        </is>
      </c>
      <c r="E105" s="12" t="n">
        <v>2.82</v>
      </c>
      <c r="F105" s="12" t="inlineStr">
        <is>
          <t>Weight short</t>
        </is>
      </c>
      <c r="G105" s="12" t="inlineStr">
        <is>
          <t>VS12</t>
        </is>
      </c>
      <c r="H105" s="12" t="n">
        <v>0.165</v>
      </c>
      <c r="I105" s="12" t="inlineStr">
        <is>
          <t>VS19</t>
        </is>
      </c>
      <c r="J105" s="12" t="n">
        <v>0.124</v>
      </c>
      <c r="K105" s="12" t="inlineStr">
        <is>
          <t>VS03</t>
        </is>
      </c>
      <c r="L105" s="12" t="n">
        <v>0.119</v>
      </c>
      <c r="M105" s="12" t="n">
        <v>0.408</v>
      </c>
      <c r="N105" s="12" t="inlineStr">
        <is>
          <t>Low</t>
        </is>
      </c>
      <c r="O105" s="12" t="inlineStr">
        <is>
          <t>Other suppliers</t>
        </is>
      </c>
      <c r="P105" s="12" t="inlineStr">
        <is>
          <t>Weak</t>
        </is>
      </c>
    </row>
    <row r="106">
      <c r="A106" s="12" t="inlineStr">
        <is>
          <t>RET-0260</t>
        </is>
      </c>
      <c r="B106" s="12" t="inlineStr">
        <is>
          <t>2021-03-12</t>
        </is>
      </c>
      <c r="C106" s="12" t="inlineStr">
        <is>
          <t>Client-039</t>
        </is>
      </c>
      <c r="D106" s="12" t="inlineStr">
        <is>
          <t>GI Sheets</t>
        </is>
      </c>
      <c r="E106" s="12" t="n">
        <v>2.68</v>
      </c>
      <c r="F106" s="12" t="inlineStr">
        <is>
          <t>Weight short</t>
        </is>
      </c>
      <c r="G106" s="12" t="inlineStr">
        <is>
          <t>VS12</t>
        </is>
      </c>
      <c r="H106" s="12" t="n">
        <v>0.31</v>
      </c>
      <c r="I106" s="12" t="inlineStr">
        <is>
          <t>VS19</t>
        </is>
      </c>
      <c r="J106" s="12" t="n">
        <v>0.234</v>
      </c>
      <c r="K106" s="12" t="inlineStr">
        <is>
          <t>VS03</t>
        </is>
      </c>
      <c r="L106" s="12" t="n">
        <v>0.223</v>
      </c>
      <c r="M106" s="12" t="n">
        <v>0.768</v>
      </c>
      <c r="N106" s="12" t="inlineStr">
        <is>
          <t>Medium</t>
        </is>
      </c>
      <c r="O106" s="12" t="inlineStr">
        <is>
          <t>High-return-rate group</t>
        </is>
      </c>
      <c r="P106" s="12" t="inlineStr">
        <is>
          <t>Strong</t>
        </is>
      </c>
    </row>
    <row r="107">
      <c r="A107" s="12" t="inlineStr">
        <is>
          <t>RET-0261</t>
        </is>
      </c>
      <c r="B107" s="12" t="inlineStr">
        <is>
          <t>2021-11-09</t>
        </is>
      </c>
      <c r="C107" s="12" t="inlineStr">
        <is>
          <t>Client-030</t>
        </is>
      </c>
      <c r="D107" s="12" t="inlineStr">
        <is>
          <t>MS Rods</t>
        </is>
      </c>
      <c r="E107" s="12" t="n">
        <v>4.35</v>
      </c>
      <c r="F107" s="12" t="inlineStr">
        <is>
          <t>Grade mismatch</t>
        </is>
      </c>
      <c r="G107" s="12" t="inlineStr">
        <is>
          <t>VS12</t>
        </is>
      </c>
      <c r="H107" s="12" t="n">
        <v>0.114</v>
      </c>
      <c r="I107" s="12" t="inlineStr">
        <is>
          <t>VS19</t>
        </is>
      </c>
      <c r="J107" s="12" t="n">
        <v>0.08599999999999999</v>
      </c>
      <c r="K107" s="12" t="inlineStr">
        <is>
          <t>VS03</t>
        </is>
      </c>
      <c r="L107" s="12" t="n">
        <v>0.082</v>
      </c>
      <c r="M107" s="12" t="n">
        <v>0.283</v>
      </c>
      <c r="N107" s="12" t="inlineStr">
        <is>
          <t>Low</t>
        </is>
      </c>
      <c r="O107" s="12" t="inlineStr">
        <is>
          <t>Other suppliers</t>
        </is>
      </c>
      <c r="P107" s="12" t="inlineStr">
        <is>
          <t>Moderate</t>
        </is>
      </c>
    </row>
    <row r="108">
      <c r="A108" s="12" t="inlineStr">
        <is>
          <t>RET-0262</t>
        </is>
      </c>
      <c r="B108" s="12" t="inlineStr">
        <is>
          <t>2022-01-03</t>
        </is>
      </c>
      <c r="C108" s="12" t="inlineStr">
        <is>
          <t>Client-002</t>
        </is>
      </c>
      <c r="D108" s="12" t="inlineStr">
        <is>
          <t>MS Sheets</t>
        </is>
      </c>
      <c r="E108" s="12" t="n">
        <v>3.04</v>
      </c>
      <c r="F108" s="12" t="inlineStr">
        <is>
          <t>Edge damage</t>
        </is>
      </c>
      <c r="G108" s="12" t="inlineStr">
        <is>
          <t>VS12</t>
        </is>
      </c>
      <c r="H108" s="12" t="n">
        <v>0.081</v>
      </c>
      <c r="I108" s="12" t="inlineStr">
        <is>
          <t>VS19</t>
        </is>
      </c>
      <c r="J108" s="12" t="n">
        <v>0.061</v>
      </c>
      <c r="K108" s="12" t="inlineStr">
        <is>
          <t>VS03</t>
        </is>
      </c>
      <c r="L108" s="12" t="n">
        <v>0.059</v>
      </c>
      <c r="M108" s="12" t="n">
        <v>0.202</v>
      </c>
      <c r="N108" s="12" t="inlineStr">
        <is>
          <t>Low</t>
        </is>
      </c>
      <c r="O108" s="12" t="inlineStr">
        <is>
          <t>Other suppliers</t>
        </is>
      </c>
      <c r="P108" s="12" t="inlineStr">
        <is>
          <t>Strong</t>
        </is>
      </c>
    </row>
    <row r="109">
      <c r="A109" s="12" t="inlineStr">
        <is>
          <t>RET-0263</t>
        </is>
      </c>
      <c r="B109" s="12" t="inlineStr">
        <is>
          <t>2022-04-17</t>
        </is>
      </c>
      <c r="C109" s="12" t="inlineStr">
        <is>
          <t>Client-025</t>
        </is>
      </c>
      <c r="D109" s="12" t="inlineStr">
        <is>
          <t>SS Pipes</t>
        </is>
      </c>
      <c r="E109" s="12" t="n">
        <v>1.45</v>
      </c>
      <c r="F109" s="12" t="inlineStr">
        <is>
          <t>Edge damage</t>
        </is>
      </c>
      <c r="G109" s="12" t="inlineStr">
        <is>
          <t>VS12</t>
        </is>
      </c>
      <c r="H109" s="12" t="n">
        <v>0.265</v>
      </c>
      <c r="I109" s="12" t="inlineStr">
        <is>
          <t>VS19</t>
        </is>
      </c>
      <c r="J109" s="12" t="n">
        <v>0.2</v>
      </c>
      <c r="K109" s="12" t="inlineStr">
        <is>
          <t>VS03</t>
        </is>
      </c>
      <c r="L109" s="12" t="n">
        <v>0.19</v>
      </c>
      <c r="M109" s="12" t="n">
        <v>0.654</v>
      </c>
      <c r="N109" s="12" t="inlineStr">
        <is>
          <t>Medium</t>
        </is>
      </c>
      <c r="O109" s="12" t="inlineStr">
        <is>
          <t>High-return-rate group</t>
        </is>
      </c>
      <c r="P109" s="12" t="inlineStr">
        <is>
          <t>Moderate</t>
        </is>
      </c>
    </row>
    <row r="110">
      <c r="A110" s="12" t="inlineStr">
        <is>
          <t>RET-0265</t>
        </is>
      </c>
      <c r="B110" s="12" t="inlineStr">
        <is>
          <t>2023-10-21</t>
        </is>
      </c>
      <c r="C110" s="12" t="inlineStr">
        <is>
          <t>Client-048</t>
        </is>
      </c>
      <c r="D110" s="12" t="inlineStr">
        <is>
          <t>Square/Rect Tubes</t>
        </is>
      </c>
      <c r="E110" s="12" t="n">
        <v>3.24</v>
      </c>
      <c r="F110" s="12" t="inlineStr">
        <is>
          <t>Bend/warp</t>
        </is>
      </c>
      <c r="G110" s="12" t="inlineStr">
        <is>
          <t>VS12</t>
        </is>
      </c>
      <c r="H110" s="12" t="n">
        <v>0.261</v>
      </c>
      <c r="I110" s="12" t="inlineStr">
        <is>
          <t>VS19</t>
        </is>
      </c>
      <c r="J110" s="12" t="n">
        <v>0.197</v>
      </c>
      <c r="K110" s="12" t="inlineStr">
        <is>
          <t>VS03</t>
        </is>
      </c>
      <c r="L110" s="12" t="n">
        <v>0.188</v>
      </c>
      <c r="M110" s="12" t="n">
        <v>0.645</v>
      </c>
      <c r="N110" s="12" t="inlineStr">
        <is>
          <t>Medium</t>
        </is>
      </c>
      <c r="O110" s="12" t="inlineStr">
        <is>
          <t>High-return-rate group</t>
        </is>
      </c>
      <c r="P110" s="12" t="inlineStr">
        <is>
          <t>Moderate</t>
        </is>
      </c>
    </row>
    <row r="111">
      <c r="A111" s="12" t="inlineStr">
        <is>
          <t>RET-0266</t>
        </is>
      </c>
      <c r="B111" s="12" t="inlineStr">
        <is>
          <t>2022-03-12</t>
        </is>
      </c>
      <c r="C111" s="12" t="inlineStr">
        <is>
          <t>Client-013</t>
        </is>
      </c>
      <c r="D111" s="12" t="inlineStr">
        <is>
          <t>Fasteners &amp; Fittings</t>
        </is>
      </c>
      <c r="E111" s="12" t="n">
        <v>4.83</v>
      </c>
      <c r="F111" s="12" t="inlineStr">
        <is>
          <t>Surface rust</t>
        </is>
      </c>
      <c r="G111" s="12" t="inlineStr">
        <is>
          <t>VS12</t>
        </is>
      </c>
      <c r="H111" s="12" t="n">
        <v>0.196</v>
      </c>
      <c r="I111" s="12" t="inlineStr">
        <is>
          <t>VS19</t>
        </is>
      </c>
      <c r="J111" s="12" t="n">
        <v>0.148</v>
      </c>
      <c r="K111" s="12" t="inlineStr">
        <is>
          <t>VS03</t>
        </is>
      </c>
      <c r="L111" s="12" t="n">
        <v>0.141</v>
      </c>
      <c r="M111" s="12" t="n">
        <v>0.486</v>
      </c>
      <c r="N111" s="12" t="inlineStr">
        <is>
          <t>Low</t>
        </is>
      </c>
      <c r="O111" s="12" t="inlineStr">
        <is>
          <t>Other suppliers</t>
        </is>
      </c>
      <c r="P111" s="12" t="inlineStr">
        <is>
          <t>Weak</t>
        </is>
      </c>
    </row>
    <row r="112">
      <c r="A112" s="12" t="inlineStr">
        <is>
          <t>RET-0270</t>
        </is>
      </c>
      <c r="B112" s="12" t="inlineStr">
        <is>
          <t>2021-09-30</t>
        </is>
      </c>
      <c r="C112" s="12" t="inlineStr">
        <is>
          <t>Client-039</t>
        </is>
      </c>
      <c r="D112" s="12" t="inlineStr">
        <is>
          <t>Square/Rect Tubes</t>
        </is>
      </c>
      <c r="E112" s="12" t="n">
        <v>1.74</v>
      </c>
      <c r="F112" s="12" t="inlineStr">
        <is>
          <t>Edge damage</t>
        </is>
      </c>
      <c r="G112" s="12" t="inlineStr">
        <is>
          <t>VS12</t>
        </is>
      </c>
      <c r="H112" s="12" t="n">
        <v>0.306</v>
      </c>
      <c r="I112" s="12" t="inlineStr">
        <is>
          <t>VS19</t>
        </is>
      </c>
      <c r="J112" s="12" t="n">
        <v>0.231</v>
      </c>
      <c r="K112" s="12" t="inlineStr">
        <is>
          <t>VS03</t>
        </is>
      </c>
      <c r="L112" s="12" t="n">
        <v>0.22</v>
      </c>
      <c r="M112" s="12" t="n">
        <v>0.756</v>
      </c>
      <c r="N112" s="12" t="inlineStr">
        <is>
          <t>Medium</t>
        </is>
      </c>
      <c r="O112" s="12" t="inlineStr">
        <is>
          <t>High-return-rate group</t>
        </is>
      </c>
      <c r="P112" s="12" t="inlineStr">
        <is>
          <t>Strong</t>
        </is>
      </c>
    </row>
    <row r="113">
      <c r="A113" s="12" t="inlineStr">
        <is>
          <t>RET-0280</t>
        </is>
      </c>
      <c r="B113" s="12" t="inlineStr">
        <is>
          <t>2023-03-23</t>
        </is>
      </c>
      <c r="C113" s="12" t="inlineStr">
        <is>
          <t>Client-021</t>
        </is>
      </c>
      <c r="D113" s="12" t="inlineStr">
        <is>
          <t>MS Pipes</t>
        </is>
      </c>
      <c r="E113" s="12" t="n">
        <v>4.91</v>
      </c>
      <c r="F113" s="12" t="inlineStr">
        <is>
          <t>Surface rust</t>
        </is>
      </c>
      <c r="G113" s="12" t="inlineStr">
        <is>
          <t>VS12</t>
        </is>
      </c>
      <c r="H113" s="12" t="n">
        <v>0.15</v>
      </c>
      <c r="I113" s="12" t="inlineStr">
        <is>
          <t>VS19</t>
        </is>
      </c>
      <c r="J113" s="12" t="n">
        <v>0.113</v>
      </c>
      <c r="K113" s="12" t="inlineStr">
        <is>
          <t>VS03</t>
        </is>
      </c>
      <c r="L113" s="12" t="n">
        <v>0.108</v>
      </c>
      <c r="M113" s="12" t="n">
        <v>0.371</v>
      </c>
      <c r="N113" s="12" t="inlineStr">
        <is>
          <t>Low</t>
        </is>
      </c>
      <c r="O113" s="12" t="inlineStr">
        <is>
          <t>Other suppliers</t>
        </is>
      </c>
      <c r="P113" s="12" t="inlineStr">
        <is>
          <t>Moderate</t>
        </is>
      </c>
    </row>
    <row r="114">
      <c r="A114" s="12" t="inlineStr">
        <is>
          <t>RET-0282</t>
        </is>
      </c>
      <c r="B114" s="12" t="inlineStr">
        <is>
          <t>2023-11-10</t>
        </is>
      </c>
      <c r="C114" s="12" t="inlineStr">
        <is>
          <t>Client-060</t>
        </is>
      </c>
      <c r="D114" s="12" t="inlineStr">
        <is>
          <t>Structural Steel</t>
        </is>
      </c>
      <c r="E114" s="12" t="n">
        <v>1.86</v>
      </c>
      <c r="F114" s="12" t="inlineStr">
        <is>
          <t>Surface rust</t>
        </is>
      </c>
      <c r="G114" s="12" t="inlineStr">
        <is>
          <t>VS12</t>
        </is>
      </c>
      <c r="H114" s="12" t="n">
        <v>0.252</v>
      </c>
      <c r="I114" s="12" t="inlineStr">
        <is>
          <t>VS19</t>
        </is>
      </c>
      <c r="J114" s="12" t="n">
        <v>0.19</v>
      </c>
      <c r="K114" s="12" t="inlineStr">
        <is>
          <t>VS03</t>
        </is>
      </c>
      <c r="L114" s="12" t="n">
        <v>0.181</v>
      </c>
      <c r="M114" s="12" t="n">
        <v>0.623</v>
      </c>
      <c r="N114" s="12" t="inlineStr">
        <is>
          <t>Medium</t>
        </is>
      </c>
      <c r="O114" s="12" t="inlineStr">
        <is>
          <t>High-return-rate group</t>
        </is>
      </c>
      <c r="P114" s="12" t="inlineStr">
        <is>
          <t>Moderate</t>
        </is>
      </c>
    </row>
    <row r="115">
      <c r="A115" s="12" t="inlineStr">
        <is>
          <t>RET-0286</t>
        </is>
      </c>
      <c r="B115" s="12" t="inlineStr">
        <is>
          <t>2022-05-09</t>
        </is>
      </c>
      <c r="C115" s="12" t="inlineStr">
        <is>
          <t>Client-015</t>
        </is>
      </c>
      <c r="D115" s="12" t="inlineStr">
        <is>
          <t>Spring Steel</t>
        </is>
      </c>
      <c r="E115" s="12" t="n">
        <v>1.28</v>
      </c>
      <c r="F115" s="12" t="inlineStr">
        <is>
          <t>Wrong dimensions</t>
        </is>
      </c>
      <c r="G115" s="12" t="inlineStr">
        <is>
          <t>VS12</t>
        </is>
      </c>
      <c r="H115" s="12" t="n">
        <v>0.096</v>
      </c>
      <c r="I115" s="12" t="inlineStr">
        <is>
          <t>VS19</t>
        </is>
      </c>
      <c r="J115" s="12" t="n">
        <v>0.07199999999999999</v>
      </c>
      <c r="K115" s="12" t="inlineStr">
        <is>
          <t>VS03</t>
        </is>
      </c>
      <c r="L115" s="12" t="n">
        <v>0.06900000000000001</v>
      </c>
      <c r="M115" s="12" t="n">
        <v>0.237</v>
      </c>
      <c r="N115" s="12" t="inlineStr">
        <is>
          <t>Low</t>
        </is>
      </c>
      <c r="O115" s="12" t="inlineStr">
        <is>
          <t>Other suppliers</t>
        </is>
      </c>
      <c r="P115" s="12" t="inlineStr">
        <is>
          <t>Strong</t>
        </is>
      </c>
    </row>
    <row r="116">
      <c r="A116" s="12" t="inlineStr">
        <is>
          <t>RET-0289</t>
        </is>
      </c>
      <c r="B116" s="12" t="inlineStr">
        <is>
          <t>2022-05-06</t>
        </is>
      </c>
      <c r="C116" s="12" t="inlineStr">
        <is>
          <t>Client-032</t>
        </is>
      </c>
      <c r="D116" s="12" t="inlineStr">
        <is>
          <t>MS Rods</t>
        </is>
      </c>
      <c r="E116" s="12" t="n">
        <v>4.83</v>
      </c>
      <c r="F116" s="12" t="inlineStr">
        <is>
          <t>Edge damage</t>
        </is>
      </c>
      <c r="G116" s="12" t="inlineStr">
        <is>
          <t>VS12</t>
        </is>
      </c>
      <c r="H116" s="12" t="n">
        <v>0.114</v>
      </c>
      <c r="I116" s="12" t="inlineStr">
        <is>
          <t>VS19</t>
        </is>
      </c>
      <c r="J116" s="12" t="n">
        <v>0.08599999999999999</v>
      </c>
      <c r="K116" s="12" t="inlineStr">
        <is>
          <t>VS03</t>
        </is>
      </c>
      <c r="L116" s="12" t="n">
        <v>0.082</v>
      </c>
      <c r="M116" s="12" t="n">
        <v>0.283</v>
      </c>
      <c r="N116" s="12" t="inlineStr">
        <is>
          <t>Low</t>
        </is>
      </c>
      <c r="O116" s="12" t="inlineStr">
        <is>
          <t>Other suppliers</t>
        </is>
      </c>
      <c r="P116" s="12" t="inlineStr">
        <is>
          <t>Moderate</t>
        </is>
      </c>
    </row>
    <row r="117">
      <c r="A117" s="12" t="inlineStr">
        <is>
          <t>RET-0292</t>
        </is>
      </c>
      <c r="B117" s="12" t="inlineStr">
        <is>
          <t>2021-03-20</t>
        </is>
      </c>
      <c r="C117" s="12" t="inlineStr">
        <is>
          <t>Client-031</t>
        </is>
      </c>
      <c r="D117" s="12" t="inlineStr">
        <is>
          <t>MS Sheets</t>
        </is>
      </c>
      <c r="E117" s="12" t="n">
        <v>4.31</v>
      </c>
      <c r="F117" s="12" t="inlineStr">
        <is>
          <t>Weight short</t>
        </is>
      </c>
      <c r="G117" s="12" t="inlineStr">
        <is>
          <t>VS12</t>
        </is>
      </c>
      <c r="H117" s="12" t="n">
        <v>0.08</v>
      </c>
      <c r="I117" s="12" t="inlineStr">
        <is>
          <t>VS19</t>
        </is>
      </c>
      <c r="J117" s="12" t="n">
        <v>0.06</v>
      </c>
      <c r="K117" s="12" t="inlineStr">
        <is>
          <t>VS03</t>
        </is>
      </c>
      <c r="L117" s="12" t="n">
        <v>0.057</v>
      </c>
      <c r="M117" s="12" t="n">
        <v>0.198</v>
      </c>
      <c r="N117" s="12" t="inlineStr">
        <is>
          <t>Low</t>
        </is>
      </c>
      <c r="O117" s="12" t="inlineStr">
        <is>
          <t>Other suppliers</t>
        </is>
      </c>
      <c r="P117" s="12" t="inlineStr">
        <is>
          <t>Strong</t>
        </is>
      </c>
    </row>
    <row r="118">
      <c r="A118" s="12" t="inlineStr">
        <is>
          <t>RET-0297</t>
        </is>
      </c>
      <c r="B118" s="12" t="inlineStr">
        <is>
          <t>2022-03-11</t>
        </is>
      </c>
      <c r="C118" s="12" t="inlineStr">
        <is>
          <t>Client-055</t>
        </is>
      </c>
      <c r="D118" s="12" t="inlineStr">
        <is>
          <t>HR Coils</t>
        </is>
      </c>
      <c r="E118" s="12" t="n">
        <v>4.7</v>
      </c>
      <c r="F118" s="12" t="inlineStr">
        <is>
          <t>Grade mismatch</t>
        </is>
      </c>
      <c r="G118" s="12" t="inlineStr">
        <is>
          <t>VS12</t>
        </is>
      </c>
      <c r="H118" s="12" t="n">
        <v>0.178</v>
      </c>
      <c r="I118" s="12" t="inlineStr">
        <is>
          <t>VS19</t>
        </is>
      </c>
      <c r="J118" s="12" t="n">
        <v>0.134</v>
      </c>
      <c r="K118" s="12" t="inlineStr">
        <is>
          <t>VS03</t>
        </is>
      </c>
      <c r="L118" s="12" t="n">
        <v>0.128</v>
      </c>
      <c r="M118" s="12" t="n">
        <v>0.441</v>
      </c>
      <c r="N118" s="12" t="inlineStr">
        <is>
          <t>Low</t>
        </is>
      </c>
      <c r="O118" s="12" t="inlineStr">
        <is>
          <t>Other suppliers</t>
        </is>
      </c>
      <c r="P118" s="12" t="inlineStr">
        <is>
          <t>Weak</t>
        </is>
      </c>
    </row>
    <row r="119">
      <c r="A119" s="12" t="inlineStr">
        <is>
          <t>RET-0300</t>
        </is>
      </c>
      <c r="B119" s="12" t="inlineStr">
        <is>
          <t>2021-05-19</t>
        </is>
      </c>
      <c r="C119" s="12" t="inlineStr">
        <is>
          <t>Client-027</t>
        </is>
      </c>
      <c r="D119" s="12" t="inlineStr">
        <is>
          <t>GI Wire</t>
        </is>
      </c>
      <c r="E119" s="12" t="n">
        <v>0.48</v>
      </c>
      <c r="F119" s="12" t="inlineStr">
        <is>
          <t>Weight short</t>
        </is>
      </c>
      <c r="G119" s="12" t="inlineStr">
        <is>
          <t>VS12</t>
        </is>
      </c>
      <c r="H119" s="12" t="n">
        <v>0.311</v>
      </c>
      <c r="I119" s="12" t="inlineStr">
        <is>
          <t>VS19</t>
        </is>
      </c>
      <c r="J119" s="12" t="n">
        <v>0.235</v>
      </c>
      <c r="K119" s="12" t="inlineStr">
        <is>
          <t>VS03</t>
        </is>
      </c>
      <c r="L119" s="12" t="n">
        <v>0.224</v>
      </c>
      <c r="M119" s="12" t="n">
        <v>0.77</v>
      </c>
      <c r="N119" s="12" t="inlineStr">
        <is>
          <t>Medium</t>
        </is>
      </c>
      <c r="O119" s="12" t="inlineStr">
        <is>
          <t>High-return-rate group</t>
        </is>
      </c>
      <c r="P119" s="12" t="inlineStr">
        <is>
          <t>Strong</t>
        </is>
      </c>
    </row>
    <row r="120">
      <c r="A120" s="12" t="inlineStr">
        <is>
          <t>RET-0301</t>
        </is>
      </c>
      <c r="B120" s="12" t="inlineStr">
        <is>
          <t>2023-10-25</t>
        </is>
      </c>
      <c r="C120" s="12" t="inlineStr">
        <is>
          <t>Client-047</t>
        </is>
      </c>
      <c r="D120" s="12" t="inlineStr">
        <is>
          <t>HR Coils</t>
        </is>
      </c>
      <c r="E120" s="12" t="n">
        <v>4.15</v>
      </c>
      <c r="F120" s="12" t="inlineStr">
        <is>
          <t>Wrong dimensions</t>
        </is>
      </c>
      <c r="G120" s="12" t="inlineStr">
        <is>
          <t>VS12</t>
        </is>
      </c>
      <c r="H120" s="12" t="n">
        <v>0.178</v>
      </c>
      <c r="I120" s="12" t="inlineStr">
        <is>
          <t>VS19</t>
        </is>
      </c>
      <c r="J120" s="12" t="n">
        <v>0.134</v>
      </c>
      <c r="K120" s="12" t="inlineStr">
        <is>
          <t>VS03</t>
        </is>
      </c>
      <c r="L120" s="12" t="n">
        <v>0.128</v>
      </c>
      <c r="M120" s="12" t="n">
        <v>0.441</v>
      </c>
      <c r="N120" s="12" t="inlineStr">
        <is>
          <t>Low</t>
        </is>
      </c>
      <c r="O120" s="12" t="inlineStr">
        <is>
          <t>Other suppliers</t>
        </is>
      </c>
      <c r="P120" s="12" t="inlineStr">
        <is>
          <t>Weak</t>
        </is>
      </c>
    </row>
    <row r="121">
      <c r="A121" s="12" t="inlineStr">
        <is>
          <t>RET-0302</t>
        </is>
      </c>
      <c r="B121" s="12" t="inlineStr">
        <is>
          <t>2023-06-26</t>
        </is>
      </c>
      <c r="C121" s="12" t="inlineStr">
        <is>
          <t>Client-036</t>
        </is>
      </c>
      <c r="D121" s="12" t="inlineStr">
        <is>
          <t>Angles &amp; Channels</t>
        </is>
      </c>
      <c r="E121" s="12" t="n">
        <v>2.2</v>
      </c>
      <c r="F121" s="12" t="inlineStr">
        <is>
          <t>Surface rust</t>
        </is>
      </c>
      <c r="G121" s="12" t="inlineStr">
        <is>
          <t>VS12</t>
        </is>
      </c>
      <c r="H121" s="12" t="n">
        <v>0.333</v>
      </c>
      <c r="I121" s="12" t="inlineStr">
        <is>
          <t>VS19</t>
        </is>
      </c>
      <c r="J121" s="12" t="n">
        <v>0.251</v>
      </c>
      <c r="K121" s="12" t="inlineStr">
        <is>
          <t>VS03</t>
        </is>
      </c>
      <c r="L121" s="12" t="n">
        <v>0.24</v>
      </c>
      <c r="M121" s="12" t="n">
        <v>0.824</v>
      </c>
      <c r="N121" s="12" t="inlineStr">
        <is>
          <t>Medium</t>
        </is>
      </c>
      <c r="O121" s="12" t="inlineStr">
        <is>
          <t>High-return-rate group</t>
        </is>
      </c>
      <c r="P121" s="12" t="inlineStr">
        <is>
          <t>Strong</t>
        </is>
      </c>
    </row>
    <row r="122">
      <c r="A122" s="12" t="inlineStr">
        <is>
          <t>RET-0305</t>
        </is>
      </c>
      <c r="B122" s="12" t="inlineStr">
        <is>
          <t>2021-09-22</t>
        </is>
      </c>
      <c r="C122" s="12" t="inlineStr">
        <is>
          <t>Client-027</t>
        </is>
      </c>
      <c r="D122" s="12" t="inlineStr">
        <is>
          <t>SS Sheets</t>
        </is>
      </c>
      <c r="E122" s="12" t="n">
        <v>1.76</v>
      </c>
      <c r="F122" s="12" t="inlineStr">
        <is>
          <t>Edge damage</t>
        </is>
      </c>
      <c r="G122" s="12" t="inlineStr">
        <is>
          <t>VS12</t>
        </is>
      </c>
      <c r="H122" s="12" t="n">
        <v>0.281</v>
      </c>
      <c r="I122" s="12" t="inlineStr">
        <is>
          <t>VS19</t>
        </is>
      </c>
      <c r="J122" s="12" t="n">
        <v>0.212</v>
      </c>
      <c r="K122" s="12" t="inlineStr">
        <is>
          <t>VS03</t>
        </is>
      </c>
      <c r="L122" s="12" t="n">
        <v>0.202</v>
      </c>
      <c r="M122" s="12" t="n">
        <v>0.694</v>
      </c>
      <c r="N122" s="12" t="inlineStr">
        <is>
          <t>Medium</t>
        </is>
      </c>
      <c r="O122" s="12" t="inlineStr">
        <is>
          <t>High-return-rate group</t>
        </is>
      </c>
      <c r="P122" s="12" t="inlineStr">
        <is>
          <t>Moderate</t>
        </is>
      </c>
    </row>
    <row r="123">
      <c r="A123" s="12" t="inlineStr">
        <is>
          <t>RET-0309</t>
        </is>
      </c>
      <c r="B123" s="12" t="inlineStr">
        <is>
          <t>2022-07-11</t>
        </is>
      </c>
      <c r="C123" s="12" t="inlineStr">
        <is>
          <t>Client-079</t>
        </is>
      </c>
      <c r="D123" s="12" t="inlineStr">
        <is>
          <t>GI Pipes</t>
        </is>
      </c>
      <c r="E123" s="12" t="n">
        <v>0.53</v>
      </c>
      <c r="F123" s="12" t="inlineStr">
        <is>
          <t>Edge damage</t>
        </is>
      </c>
      <c r="G123" s="12" t="inlineStr">
        <is>
          <t>VS12</t>
        </is>
      </c>
      <c r="H123" s="12" t="n">
        <v>0.311</v>
      </c>
      <c r="I123" s="12" t="inlineStr">
        <is>
          <t>VS19</t>
        </is>
      </c>
      <c r="J123" s="12" t="n">
        <v>0.235</v>
      </c>
      <c r="K123" s="12" t="inlineStr">
        <is>
          <t>VS03</t>
        </is>
      </c>
      <c r="L123" s="12" t="n">
        <v>0.224</v>
      </c>
      <c r="M123" s="12" t="n">
        <v>0.77</v>
      </c>
      <c r="N123" s="12" t="inlineStr">
        <is>
          <t>Medium</t>
        </is>
      </c>
      <c r="O123" s="12" t="inlineStr">
        <is>
          <t>High-return-rate group</t>
        </is>
      </c>
      <c r="P123" s="12" t="inlineStr">
        <is>
          <t>Strong</t>
        </is>
      </c>
    </row>
    <row r="124">
      <c r="A124" s="12" t="inlineStr">
        <is>
          <t>RET-0312</t>
        </is>
      </c>
      <c r="B124" s="12" t="inlineStr">
        <is>
          <t>2023-07-02</t>
        </is>
      </c>
      <c r="C124" s="12" t="inlineStr">
        <is>
          <t>Client-044</t>
        </is>
      </c>
      <c r="D124" s="12" t="inlineStr">
        <is>
          <t>ERW Pipes</t>
        </is>
      </c>
      <c r="E124" s="12" t="n">
        <v>3.88</v>
      </c>
      <c r="F124" s="12" t="inlineStr">
        <is>
          <t>Bend/warp</t>
        </is>
      </c>
      <c r="G124" s="12" t="inlineStr">
        <is>
          <t>VS12</t>
        </is>
      </c>
      <c r="H124" s="12" t="n">
        <v>0.111</v>
      </c>
      <c r="I124" s="12" t="inlineStr">
        <is>
          <t>VS19</t>
        </is>
      </c>
      <c r="J124" s="12" t="n">
        <v>0.08400000000000001</v>
      </c>
      <c r="K124" s="12" t="inlineStr">
        <is>
          <t>VS03</t>
        </is>
      </c>
      <c r="L124" s="12" t="n">
        <v>0.08</v>
      </c>
      <c r="M124" s="12" t="n">
        <v>0.275</v>
      </c>
      <c r="N124" s="12" t="inlineStr">
        <is>
          <t>Low</t>
        </is>
      </c>
      <c r="O124" s="12" t="inlineStr">
        <is>
          <t>Other suppliers</t>
        </is>
      </c>
      <c r="P124" s="12" t="inlineStr">
        <is>
          <t>Moderate</t>
        </is>
      </c>
    </row>
    <row r="125">
      <c r="A125" s="12" t="inlineStr">
        <is>
          <t>RET-0313</t>
        </is>
      </c>
      <c r="B125" s="12" t="inlineStr">
        <is>
          <t>2023-07-20</t>
        </is>
      </c>
      <c r="C125" s="12" t="inlineStr">
        <is>
          <t>Client-029</t>
        </is>
      </c>
      <c r="D125" s="12" t="inlineStr">
        <is>
          <t>Square/Rect Tubes</t>
        </is>
      </c>
      <c r="E125" s="12" t="n">
        <v>0.68</v>
      </c>
      <c r="F125" s="12" t="inlineStr">
        <is>
          <t>Grade mismatch</t>
        </is>
      </c>
      <c r="G125" s="12" t="inlineStr">
        <is>
          <t>VS12</t>
        </is>
      </c>
      <c r="H125" s="12" t="n">
        <v>0.35</v>
      </c>
      <c r="I125" s="12" t="inlineStr">
        <is>
          <t>VS19</t>
        </is>
      </c>
      <c r="J125" s="12" t="n">
        <v>0.264</v>
      </c>
      <c r="K125" s="12" t="inlineStr">
        <is>
          <t>VS03</t>
        </is>
      </c>
      <c r="L125" s="12" t="n">
        <v>0.251</v>
      </c>
      <c r="M125" s="12" t="n">
        <v>0.865</v>
      </c>
      <c r="N125" s="12" t="inlineStr">
        <is>
          <t>Medium</t>
        </is>
      </c>
      <c r="O125" s="12" t="inlineStr">
        <is>
          <t>High-return-rate group</t>
        </is>
      </c>
      <c r="P125" s="12" t="inlineStr">
        <is>
          <t>Strong</t>
        </is>
      </c>
    </row>
    <row r="126">
      <c r="A126" s="12" t="inlineStr">
        <is>
          <t>RET-0316</t>
        </is>
      </c>
      <c r="B126" s="12" t="inlineStr">
        <is>
          <t>2021-09-08</t>
        </is>
      </c>
      <c r="C126" s="12" t="inlineStr">
        <is>
          <t>Client-060</t>
        </is>
      </c>
      <c r="D126" s="12" t="inlineStr">
        <is>
          <t>Angles &amp; Channels</t>
        </is>
      </c>
      <c r="E126" s="12" t="n">
        <v>2.84</v>
      </c>
      <c r="F126" s="12" t="inlineStr">
        <is>
          <t>Wrong dimensions</t>
        </is>
      </c>
      <c r="G126" s="12" t="inlineStr">
        <is>
          <t>VS12</t>
        </is>
      </c>
      <c r="H126" s="12" t="n">
        <v>0.333</v>
      </c>
      <c r="I126" s="12" t="inlineStr">
        <is>
          <t>VS19</t>
        </is>
      </c>
      <c r="J126" s="12" t="n">
        <v>0.251</v>
      </c>
      <c r="K126" s="12" t="inlineStr">
        <is>
          <t>VS03</t>
        </is>
      </c>
      <c r="L126" s="12" t="n">
        <v>0.24</v>
      </c>
      <c r="M126" s="12" t="n">
        <v>0.824</v>
      </c>
      <c r="N126" s="12" t="inlineStr">
        <is>
          <t>Medium</t>
        </is>
      </c>
      <c r="O126" s="12" t="inlineStr">
        <is>
          <t>High-return-rate group</t>
        </is>
      </c>
      <c r="P126" s="12" t="inlineStr">
        <is>
          <t>Strong</t>
        </is>
      </c>
    </row>
    <row r="127">
      <c r="A127" s="12" t="inlineStr">
        <is>
          <t>RET-0329</t>
        </is>
      </c>
      <c r="B127" s="12" t="inlineStr">
        <is>
          <t>2021-05-04</t>
        </is>
      </c>
      <c r="C127" s="12" t="inlineStr">
        <is>
          <t>Client-006</t>
        </is>
      </c>
      <c r="D127" s="12" t="inlineStr">
        <is>
          <t>CR Sheets</t>
        </is>
      </c>
      <c r="E127" s="12" t="n">
        <v>4.44</v>
      </c>
      <c r="F127" s="12" t="inlineStr">
        <is>
          <t>Weight short</t>
        </is>
      </c>
      <c r="G127" s="12" t="inlineStr">
        <is>
          <t>VS12</t>
        </is>
      </c>
      <c r="H127" s="12" t="n">
        <v>0.136</v>
      </c>
      <c r="I127" s="12" t="inlineStr">
        <is>
          <t>VS19</t>
        </is>
      </c>
      <c r="J127" s="12" t="n">
        <v>0.102</v>
      </c>
      <c r="K127" s="12" t="inlineStr">
        <is>
          <t>VS03</t>
        </is>
      </c>
      <c r="L127" s="12" t="n">
        <v>0.098</v>
      </c>
      <c r="M127" s="12" t="n">
        <v>0.336</v>
      </c>
      <c r="N127" s="12" t="inlineStr">
        <is>
          <t>Low</t>
        </is>
      </c>
      <c r="O127" s="12" t="inlineStr">
        <is>
          <t>Other suppliers</t>
        </is>
      </c>
      <c r="P127" s="12" t="inlineStr">
        <is>
          <t>Moderate</t>
        </is>
      </c>
    </row>
    <row r="128">
      <c r="A128" s="12" t="inlineStr">
        <is>
          <t>RET-0331</t>
        </is>
      </c>
      <c r="B128" s="12" t="inlineStr">
        <is>
          <t>2021-04-25</t>
        </is>
      </c>
      <c r="C128" s="12" t="inlineStr">
        <is>
          <t>Client-034</t>
        </is>
      </c>
      <c r="D128" s="12" t="inlineStr">
        <is>
          <t>Square/Rect Tubes</t>
        </is>
      </c>
      <c r="E128" s="12" t="n">
        <v>0.16</v>
      </c>
      <c r="F128" s="12" t="inlineStr">
        <is>
          <t>Bend/warp</t>
        </is>
      </c>
      <c r="G128" s="12" t="inlineStr">
        <is>
          <t>VS12</t>
        </is>
      </c>
      <c r="H128" s="12" t="n">
        <v>0.35</v>
      </c>
      <c r="I128" s="12" t="inlineStr">
        <is>
          <t>VS19</t>
        </is>
      </c>
      <c r="J128" s="12" t="n">
        <v>0.264</v>
      </c>
      <c r="K128" s="12" t="inlineStr">
        <is>
          <t>VS03</t>
        </is>
      </c>
      <c r="L128" s="12" t="n">
        <v>0.251</v>
      </c>
      <c r="M128" s="12" t="n">
        <v>0.865</v>
      </c>
      <c r="N128" s="12" t="inlineStr">
        <is>
          <t>Medium</t>
        </is>
      </c>
      <c r="O128" s="12" t="inlineStr">
        <is>
          <t>High-return-rate group</t>
        </is>
      </c>
      <c r="P128" s="12" t="inlineStr">
        <is>
          <t>Strong</t>
        </is>
      </c>
    </row>
    <row r="129">
      <c r="A129" s="12" t="inlineStr">
        <is>
          <t>RET-0332</t>
        </is>
      </c>
      <c r="B129" s="12" t="inlineStr">
        <is>
          <t>2021-08-26</t>
        </is>
      </c>
      <c r="C129" s="12" t="inlineStr">
        <is>
          <t>Client-079</t>
        </is>
      </c>
      <c r="D129" s="12" t="inlineStr">
        <is>
          <t>Structural Steel</t>
        </is>
      </c>
      <c r="E129" s="12" t="n">
        <v>3.77</v>
      </c>
      <c r="F129" s="12" t="inlineStr">
        <is>
          <t>Surface rust</t>
        </is>
      </c>
      <c r="G129" s="12" t="inlineStr">
        <is>
          <t>VS12</t>
        </is>
      </c>
      <c r="H129" s="12" t="n">
        <v>0.199</v>
      </c>
      <c r="I129" s="12" t="inlineStr">
        <is>
          <t>VS19</t>
        </is>
      </c>
      <c r="J129" s="12" t="n">
        <v>0.15</v>
      </c>
      <c r="K129" s="12" t="inlineStr">
        <is>
          <t>VS03</t>
        </is>
      </c>
      <c r="L129" s="12" t="n">
        <v>0.143</v>
      </c>
      <c r="M129" s="12" t="n">
        <v>0.492</v>
      </c>
      <c r="N129" s="12" t="inlineStr">
        <is>
          <t>Low</t>
        </is>
      </c>
      <c r="O129" s="12" t="inlineStr">
        <is>
          <t>Other suppliers</t>
        </is>
      </c>
      <c r="P129" s="12" t="inlineStr">
        <is>
          <t>Weak</t>
        </is>
      </c>
    </row>
    <row r="130">
      <c r="A130" s="12" t="inlineStr">
        <is>
          <t>RET-0340</t>
        </is>
      </c>
      <c r="B130" s="12" t="inlineStr">
        <is>
          <t>2022-04-07</t>
        </is>
      </c>
      <c r="C130" s="12" t="inlineStr">
        <is>
          <t>Client-037</t>
        </is>
      </c>
      <c r="D130" s="12" t="inlineStr">
        <is>
          <t>GI Pipes</t>
        </is>
      </c>
      <c r="E130" s="12" t="n">
        <v>0.83</v>
      </c>
      <c r="F130" s="12" t="inlineStr">
        <is>
          <t>Edge damage</t>
        </is>
      </c>
      <c r="G130" s="12" t="inlineStr">
        <is>
          <t>VS12</t>
        </is>
      </c>
      <c r="H130" s="12" t="n">
        <v>0.311</v>
      </c>
      <c r="I130" s="12" t="inlineStr">
        <is>
          <t>VS19</t>
        </is>
      </c>
      <c r="J130" s="12" t="n">
        <v>0.235</v>
      </c>
      <c r="K130" s="12" t="inlineStr">
        <is>
          <t>VS03</t>
        </is>
      </c>
      <c r="L130" s="12" t="n">
        <v>0.224</v>
      </c>
      <c r="M130" s="12" t="n">
        <v>0.77</v>
      </c>
      <c r="N130" s="12" t="inlineStr">
        <is>
          <t>Medium</t>
        </is>
      </c>
      <c r="O130" s="12" t="inlineStr">
        <is>
          <t>High-return-rate group</t>
        </is>
      </c>
      <c r="P130" s="12" t="inlineStr">
        <is>
          <t>Strong</t>
        </is>
      </c>
    </row>
    <row r="131">
      <c r="A131" s="12" t="inlineStr">
        <is>
          <t>RET-0341</t>
        </is>
      </c>
      <c r="B131" s="12" t="inlineStr">
        <is>
          <t>2023-04-25</t>
        </is>
      </c>
      <c r="C131" s="12" t="inlineStr">
        <is>
          <t>Client-038</t>
        </is>
      </c>
      <c r="D131" s="12" t="inlineStr">
        <is>
          <t>Structural Steel</t>
        </is>
      </c>
      <c r="E131" s="12" t="n">
        <v>1.97</v>
      </c>
      <c r="F131" s="12" t="inlineStr">
        <is>
          <t>Edge damage</t>
        </is>
      </c>
      <c r="G131" s="12" t="inlineStr">
        <is>
          <t>VS12</t>
        </is>
      </c>
      <c r="H131" s="12" t="n">
        <v>0.252</v>
      </c>
      <c r="I131" s="12" t="inlineStr">
        <is>
          <t>VS19</t>
        </is>
      </c>
      <c r="J131" s="12" t="n">
        <v>0.19</v>
      </c>
      <c r="K131" s="12" t="inlineStr">
        <is>
          <t>VS03</t>
        </is>
      </c>
      <c r="L131" s="12" t="n">
        <v>0.181</v>
      </c>
      <c r="M131" s="12" t="n">
        <v>0.623</v>
      </c>
      <c r="N131" s="12" t="inlineStr">
        <is>
          <t>Medium</t>
        </is>
      </c>
      <c r="O131" s="12" t="inlineStr">
        <is>
          <t>High-return-rate group</t>
        </is>
      </c>
      <c r="P131" s="12" t="inlineStr">
        <is>
          <t>Moderate</t>
        </is>
      </c>
    </row>
    <row r="132">
      <c r="A132" s="12" t="inlineStr">
        <is>
          <t>RET-0343</t>
        </is>
      </c>
      <c r="B132" s="12" t="inlineStr">
        <is>
          <t>2022-05-31</t>
        </is>
      </c>
      <c r="C132" s="12" t="inlineStr">
        <is>
          <t>Client-068</t>
        </is>
      </c>
      <c r="D132" s="12" t="inlineStr">
        <is>
          <t>Structural Steel</t>
        </is>
      </c>
      <c r="E132" s="12" t="n">
        <v>4.44</v>
      </c>
      <c r="F132" s="12" t="inlineStr">
        <is>
          <t>Wrong dimensions</t>
        </is>
      </c>
      <c r="G132" s="12" t="inlineStr">
        <is>
          <t>VS12</t>
        </is>
      </c>
      <c r="H132" s="12" t="n">
        <v>0.196</v>
      </c>
      <c r="I132" s="12" t="inlineStr">
        <is>
          <t>VS19</t>
        </is>
      </c>
      <c r="J132" s="12" t="n">
        <v>0.148</v>
      </c>
      <c r="K132" s="12" t="inlineStr">
        <is>
          <t>VS03</t>
        </is>
      </c>
      <c r="L132" s="12" t="n">
        <v>0.141</v>
      </c>
      <c r="M132" s="12" t="n">
        <v>0.486</v>
      </c>
      <c r="N132" s="12" t="inlineStr">
        <is>
          <t>Low</t>
        </is>
      </c>
      <c r="O132" s="12" t="inlineStr">
        <is>
          <t>Other suppliers</t>
        </is>
      </c>
      <c r="P132" s="12" t="inlineStr">
        <is>
          <t>Weak</t>
        </is>
      </c>
    </row>
    <row r="133">
      <c r="A133" s="12" t="inlineStr">
        <is>
          <t>RET-0344</t>
        </is>
      </c>
      <c r="B133" s="12" t="inlineStr">
        <is>
          <t>2021-10-08</t>
        </is>
      </c>
      <c r="C133" s="12" t="inlineStr">
        <is>
          <t>Client-058</t>
        </is>
      </c>
      <c r="D133" s="12" t="inlineStr">
        <is>
          <t>Spring Steel</t>
        </is>
      </c>
      <c r="E133" s="12" t="n">
        <v>0.89</v>
      </c>
      <c r="F133" s="12" t="inlineStr">
        <is>
          <t>Grade mismatch</t>
        </is>
      </c>
      <c r="G133" s="12" t="inlineStr">
        <is>
          <t>VS12</t>
        </is>
      </c>
      <c r="H133" s="12" t="n">
        <v>0.158</v>
      </c>
      <c r="I133" s="12" t="inlineStr">
        <is>
          <t>VS19</t>
        </is>
      </c>
      <c r="J133" s="12" t="n">
        <v>0.119</v>
      </c>
      <c r="K133" s="12" t="inlineStr">
        <is>
          <t>VS03</t>
        </is>
      </c>
      <c r="L133" s="12" t="n">
        <v>0.113</v>
      </c>
      <c r="M133" s="12" t="n">
        <v>0.39</v>
      </c>
      <c r="N133" s="12" t="inlineStr">
        <is>
          <t>Low</t>
        </is>
      </c>
      <c r="O133" s="12" t="inlineStr">
        <is>
          <t>Other suppliers</t>
        </is>
      </c>
      <c r="P133" s="12" t="inlineStr">
        <is>
          <t>Weak</t>
        </is>
      </c>
    </row>
    <row r="134">
      <c r="A134" s="12" t="inlineStr">
        <is>
          <t>RET-0345</t>
        </is>
      </c>
      <c r="B134" s="12" t="inlineStr">
        <is>
          <t>2022-07-11</t>
        </is>
      </c>
      <c r="C134" s="12" t="inlineStr">
        <is>
          <t>Client-013</t>
        </is>
      </c>
      <c r="D134" s="12" t="inlineStr">
        <is>
          <t>Structural Steel</t>
        </is>
      </c>
      <c r="E134" s="12" t="n">
        <v>3.31</v>
      </c>
      <c r="F134" s="12" t="inlineStr">
        <is>
          <t>Bend/warp</t>
        </is>
      </c>
      <c r="G134" s="12" t="inlineStr">
        <is>
          <t>VS12</t>
        </is>
      </c>
      <c r="H134" s="12" t="n">
        <v>0.199</v>
      </c>
      <c r="I134" s="12" t="inlineStr">
        <is>
          <t>VS19</t>
        </is>
      </c>
      <c r="J134" s="12" t="n">
        <v>0.15</v>
      </c>
      <c r="K134" s="12" t="inlineStr">
        <is>
          <t>VS03</t>
        </is>
      </c>
      <c r="L134" s="12" t="n">
        <v>0.143</v>
      </c>
      <c r="M134" s="12" t="n">
        <v>0.492</v>
      </c>
      <c r="N134" s="12" t="inlineStr">
        <is>
          <t>Low</t>
        </is>
      </c>
      <c r="O134" s="12" t="inlineStr">
        <is>
          <t>Other suppliers</t>
        </is>
      </c>
      <c r="P134" s="12" t="inlineStr">
        <is>
          <t>Weak</t>
        </is>
      </c>
    </row>
    <row r="135">
      <c r="A135" s="12" t="inlineStr">
        <is>
          <t>RET-0351</t>
        </is>
      </c>
      <c r="B135" s="12" t="inlineStr">
        <is>
          <t>2022-03-03</t>
        </is>
      </c>
      <c r="C135" s="12" t="inlineStr">
        <is>
          <t>Client-033</t>
        </is>
      </c>
      <c r="D135" s="12" t="inlineStr">
        <is>
          <t>CR Sheets</t>
        </is>
      </c>
      <c r="E135" s="12" t="n">
        <v>3.1</v>
      </c>
      <c r="F135" s="12" t="inlineStr">
        <is>
          <t>Grade mismatch</t>
        </is>
      </c>
      <c r="G135" s="12" t="inlineStr">
        <is>
          <t>VS12</t>
        </is>
      </c>
      <c r="H135" s="12" t="n">
        <v>0.138</v>
      </c>
      <c r="I135" s="12" t="inlineStr">
        <is>
          <t>VS19</t>
        </is>
      </c>
      <c r="J135" s="12" t="n">
        <v>0.104</v>
      </c>
      <c r="K135" s="12" t="inlineStr">
        <is>
          <t>VS03</t>
        </is>
      </c>
      <c r="L135" s="12" t="n">
        <v>0.099</v>
      </c>
      <c r="M135" s="12" t="n">
        <v>0.342</v>
      </c>
      <c r="N135" s="12" t="inlineStr">
        <is>
          <t>Low</t>
        </is>
      </c>
      <c r="O135" s="12" t="inlineStr">
        <is>
          <t>Other suppliers</t>
        </is>
      </c>
      <c r="P135" s="12" t="inlineStr">
        <is>
          <t>Moderate</t>
        </is>
      </c>
    </row>
    <row r="136">
      <c r="A136" s="12" t="inlineStr">
        <is>
          <t>RET-0352</t>
        </is>
      </c>
      <c r="B136" s="12" t="inlineStr">
        <is>
          <t>2023-09-06</t>
        </is>
      </c>
      <c r="C136" s="12" t="inlineStr">
        <is>
          <t>Client-050</t>
        </is>
      </c>
      <c r="D136" s="12" t="inlineStr">
        <is>
          <t>GI Pipes</t>
        </is>
      </c>
      <c r="E136" s="12" t="n">
        <v>4.77</v>
      </c>
      <c r="F136" s="12" t="inlineStr">
        <is>
          <t>Bend/warp</t>
        </is>
      </c>
      <c r="G136" s="12" t="inlineStr">
        <is>
          <t>VS12</t>
        </is>
      </c>
      <c r="H136" s="12" t="n">
        <v>0.195</v>
      </c>
      <c r="I136" s="12" t="inlineStr">
        <is>
          <t>VS19</t>
        </is>
      </c>
      <c r="J136" s="12" t="n">
        <v>0.147</v>
      </c>
      <c r="K136" s="12" t="inlineStr">
        <is>
          <t>VS03</t>
        </is>
      </c>
      <c r="L136" s="12" t="n">
        <v>0.14</v>
      </c>
      <c r="M136" s="12" t="n">
        <v>0.481</v>
      </c>
      <c r="N136" s="12" t="inlineStr">
        <is>
          <t>Low</t>
        </is>
      </c>
      <c r="O136" s="12" t="inlineStr">
        <is>
          <t>Other suppliers</t>
        </is>
      </c>
      <c r="P136" s="12" t="inlineStr">
        <is>
          <t>Weak</t>
        </is>
      </c>
    </row>
    <row r="137">
      <c r="A137" s="12" t="inlineStr">
        <is>
          <t>RET-0359</t>
        </is>
      </c>
      <c r="B137" s="12" t="inlineStr">
        <is>
          <t>2022-05-20</t>
        </is>
      </c>
      <c r="C137" s="12" t="inlineStr">
        <is>
          <t>Client-059</t>
        </is>
      </c>
      <c r="D137" s="12" t="inlineStr">
        <is>
          <t>GI Pipes</t>
        </is>
      </c>
      <c r="E137" s="12" t="n">
        <v>4.62</v>
      </c>
      <c r="F137" s="12" t="inlineStr">
        <is>
          <t>Wrong dimensions</t>
        </is>
      </c>
      <c r="G137" s="12" t="inlineStr">
        <is>
          <t>VS12</t>
        </is>
      </c>
      <c r="H137" s="12" t="n">
        <v>0.195</v>
      </c>
      <c r="I137" s="12" t="inlineStr">
        <is>
          <t>VS19</t>
        </is>
      </c>
      <c r="J137" s="12" t="n">
        <v>0.147</v>
      </c>
      <c r="K137" s="12" t="inlineStr">
        <is>
          <t>VS03</t>
        </is>
      </c>
      <c r="L137" s="12" t="n">
        <v>0.14</v>
      </c>
      <c r="M137" s="12" t="n">
        <v>0.481</v>
      </c>
      <c r="N137" s="12" t="inlineStr">
        <is>
          <t>Low</t>
        </is>
      </c>
      <c r="O137" s="12" t="inlineStr">
        <is>
          <t>Other suppliers</t>
        </is>
      </c>
      <c r="P137" s="12" t="inlineStr">
        <is>
          <t>Weak</t>
        </is>
      </c>
    </row>
    <row r="138">
      <c r="A138" s="12" t="inlineStr">
        <is>
          <t>RET-0361</t>
        </is>
      </c>
      <c r="B138" s="12" t="inlineStr">
        <is>
          <t>2021-08-13</t>
        </is>
      </c>
      <c r="C138" s="12" t="inlineStr">
        <is>
          <t>Client-029</t>
        </is>
      </c>
      <c r="D138" s="12" t="inlineStr">
        <is>
          <t>Fasteners &amp; Fittings</t>
        </is>
      </c>
      <c r="E138" s="12" t="n">
        <v>4.57</v>
      </c>
      <c r="F138" s="12" t="inlineStr">
        <is>
          <t>Wrong dimensions</t>
        </is>
      </c>
      <c r="G138" s="12" t="inlineStr">
        <is>
          <t>VS12</t>
        </is>
      </c>
      <c r="H138" s="12" t="n">
        <v>0.196</v>
      </c>
      <c r="I138" s="12" t="inlineStr">
        <is>
          <t>VS19</t>
        </is>
      </c>
      <c r="J138" s="12" t="n">
        <v>0.148</v>
      </c>
      <c r="K138" s="12" t="inlineStr">
        <is>
          <t>VS03</t>
        </is>
      </c>
      <c r="L138" s="12" t="n">
        <v>0.141</v>
      </c>
      <c r="M138" s="12" t="n">
        <v>0.486</v>
      </c>
      <c r="N138" s="12" t="inlineStr">
        <is>
          <t>Low</t>
        </is>
      </c>
      <c r="O138" s="12" t="inlineStr">
        <is>
          <t>Other suppliers</t>
        </is>
      </c>
      <c r="P138" s="12" t="inlineStr">
        <is>
          <t>Weak</t>
        </is>
      </c>
    </row>
    <row r="139">
      <c r="A139" s="12" t="inlineStr">
        <is>
          <t>RET-0368</t>
        </is>
      </c>
      <c r="B139" s="12" t="inlineStr">
        <is>
          <t>2022-06-25</t>
        </is>
      </c>
      <c r="C139" s="12" t="inlineStr">
        <is>
          <t>Client-012</t>
        </is>
      </c>
      <c r="D139" s="12" t="inlineStr">
        <is>
          <t>Structural Steel</t>
        </is>
      </c>
      <c r="E139" s="12" t="n">
        <v>1.4</v>
      </c>
      <c r="F139" s="12" t="inlineStr">
        <is>
          <t>Edge damage</t>
        </is>
      </c>
      <c r="G139" s="12" t="inlineStr">
        <is>
          <t>VS12</t>
        </is>
      </c>
      <c r="H139" s="12" t="n">
        <v>0.252</v>
      </c>
      <c r="I139" s="12" t="inlineStr">
        <is>
          <t>VS19</t>
        </is>
      </c>
      <c r="J139" s="12" t="n">
        <v>0.19</v>
      </c>
      <c r="K139" s="12" t="inlineStr">
        <is>
          <t>VS03</t>
        </is>
      </c>
      <c r="L139" s="12" t="n">
        <v>0.181</v>
      </c>
      <c r="M139" s="12" t="n">
        <v>0.623</v>
      </c>
      <c r="N139" s="12" t="inlineStr">
        <is>
          <t>Medium</t>
        </is>
      </c>
      <c r="O139" s="12" t="inlineStr">
        <is>
          <t>High-return-rate group</t>
        </is>
      </c>
      <c r="P139" s="12" t="inlineStr">
        <is>
          <t>Moderate</t>
        </is>
      </c>
    </row>
    <row r="140">
      <c r="A140" s="12" t="inlineStr">
        <is>
          <t>RET-0370</t>
        </is>
      </c>
      <c r="B140" s="12" t="inlineStr">
        <is>
          <t>2023-03-20</t>
        </is>
      </c>
      <c r="C140" s="12" t="inlineStr">
        <is>
          <t>Client-039</t>
        </is>
      </c>
      <c r="D140" s="12" t="inlineStr">
        <is>
          <t>HR Coils</t>
        </is>
      </c>
      <c r="E140" s="12" t="n">
        <v>2.49</v>
      </c>
      <c r="F140" s="12" t="inlineStr">
        <is>
          <t>Bend/warp</t>
        </is>
      </c>
      <c r="G140" s="12" t="inlineStr">
        <is>
          <t>VS12</t>
        </is>
      </c>
      <c r="H140" s="12" t="n">
        <v>0.212</v>
      </c>
      <c r="I140" s="12" t="inlineStr">
        <is>
          <t>VS19</t>
        </is>
      </c>
      <c r="J140" s="12" t="n">
        <v>0.16</v>
      </c>
      <c r="K140" s="12" t="inlineStr">
        <is>
          <t>VS03</t>
        </is>
      </c>
      <c r="L140" s="12" t="n">
        <v>0.152</v>
      </c>
      <c r="M140" s="12" t="n">
        <v>0.524</v>
      </c>
      <c r="N140" s="12" t="inlineStr">
        <is>
          <t>Medium</t>
        </is>
      </c>
      <c r="O140" s="12" t="inlineStr">
        <is>
          <t>High-return-rate group</t>
        </is>
      </c>
      <c r="P140" s="12" t="inlineStr">
        <is>
          <t>Weak</t>
        </is>
      </c>
    </row>
    <row r="141">
      <c r="A141" s="12" t="inlineStr">
        <is>
          <t>RET-0379</t>
        </is>
      </c>
      <c r="B141" s="12" t="inlineStr">
        <is>
          <t>2023-11-20</t>
        </is>
      </c>
      <c r="C141" s="12" t="inlineStr">
        <is>
          <t>Client-025</t>
        </is>
      </c>
      <c r="D141" s="12" t="inlineStr">
        <is>
          <t>SS Sheets</t>
        </is>
      </c>
      <c r="E141" s="12" t="n">
        <v>0.79</v>
      </c>
      <c r="F141" s="12" t="inlineStr">
        <is>
          <t>Grade mismatch</t>
        </is>
      </c>
      <c r="G141" s="12" t="inlineStr">
        <is>
          <t>VS12</t>
        </is>
      </c>
      <c r="H141" s="12" t="n">
        <v>0.333</v>
      </c>
      <c r="I141" s="12" t="inlineStr">
        <is>
          <t>VS19</t>
        </is>
      </c>
      <c r="J141" s="12" t="n">
        <v>0.251</v>
      </c>
      <c r="K141" s="12" t="inlineStr">
        <is>
          <t>VS03</t>
        </is>
      </c>
      <c r="L141" s="12" t="n">
        <v>0.24</v>
      </c>
      <c r="M141" s="12" t="n">
        <v>0.824</v>
      </c>
      <c r="N141" s="12" t="inlineStr">
        <is>
          <t>Medium</t>
        </is>
      </c>
      <c r="O141" s="12" t="inlineStr">
        <is>
          <t>High-return-rate group</t>
        </is>
      </c>
      <c r="P141" s="12" t="inlineStr">
        <is>
          <t>Strong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7" customWidth="1" min="7" max="7"/>
    <col width="21" customWidth="1" min="8" max="8"/>
    <col width="16" customWidth="1" min="9" max="9"/>
    <col width="18" customWidth="1" min="10" max="10"/>
  </cols>
  <sheetData>
    <row r="1" ht="32" customHeight="1">
      <c r="A1" s="11" t="inlineStr">
        <is>
          <t>supplier_id</t>
        </is>
      </c>
      <c r="B1" s="11" t="inlineStr">
        <is>
          <t>in_master</t>
        </is>
      </c>
      <c r="C1" s="11" t="inlineStr">
        <is>
          <t>material_id</t>
        </is>
      </c>
      <c r="D1" s="11" t="inlineStr">
        <is>
          <t>po_count</t>
        </is>
      </c>
      <c r="E1" s="11" t="inlineStr">
        <is>
          <t>short_pct</t>
        </is>
      </c>
      <c r="F1" s="11" t="inlineStr">
        <is>
          <t>billing_gap_inr</t>
        </is>
      </c>
      <c r="G1" s="11" t="inlineStr">
        <is>
          <t>excess_gap_inr</t>
        </is>
      </c>
      <c r="H1" s="11" t="inlineStr">
        <is>
          <t>rejection_loss_inr</t>
        </is>
      </c>
      <c r="I1" s="11" t="inlineStr">
        <is>
          <t>avg_days_late</t>
        </is>
      </c>
      <c r="J1" s="11" t="inlineStr">
        <is>
          <t>low_sample_flag</t>
        </is>
      </c>
    </row>
    <row r="2">
      <c r="A2" s="12" t="inlineStr">
        <is>
          <t>VS01</t>
        </is>
      </c>
      <c r="B2" s="12" t="b">
        <v>0</v>
      </c>
      <c r="C2" s="12" t="inlineStr">
        <is>
          <t>Angles &amp; Channels</t>
        </is>
      </c>
      <c r="D2" s="12" t="n">
        <v>8</v>
      </c>
      <c r="E2" s="12" t="n">
        <v>0.72</v>
      </c>
      <c r="F2" s="12" t="n">
        <v>144307.99</v>
      </c>
      <c r="G2" s="12" t="n">
        <v>45170.13</v>
      </c>
      <c r="H2" s="12" t="n">
        <v>0</v>
      </c>
      <c r="I2" s="12" t="n">
        <v>1.88</v>
      </c>
      <c r="J2" s="12" t="b">
        <v>0</v>
      </c>
    </row>
    <row r="3">
      <c r="A3" s="12" t="inlineStr">
        <is>
          <t>VS01</t>
        </is>
      </c>
      <c r="B3" s="12" t="b">
        <v>0</v>
      </c>
      <c r="C3" s="12" t="inlineStr">
        <is>
          <t>Fasteners &amp; Fittings</t>
        </is>
      </c>
      <c r="D3" s="12" t="n">
        <v>5</v>
      </c>
      <c r="E3" s="12" t="n">
        <v>0.46</v>
      </c>
      <c r="F3" s="12" t="n">
        <v>61154.3</v>
      </c>
      <c r="G3" s="12" t="n">
        <v>-3437.94</v>
      </c>
      <c r="H3" s="12" t="n">
        <v>0</v>
      </c>
      <c r="I3" s="12" t="n">
        <v>1.8</v>
      </c>
      <c r="J3" s="12" t="b">
        <v>0</v>
      </c>
    </row>
    <row r="4">
      <c r="A4" s="12" t="inlineStr">
        <is>
          <t>VS01</t>
        </is>
      </c>
      <c r="B4" s="12" t="b">
        <v>0</v>
      </c>
      <c r="C4" s="12" t="inlineStr">
        <is>
          <t>GI Pipes</t>
        </is>
      </c>
      <c r="D4" s="12" t="n">
        <v>11</v>
      </c>
      <c r="E4" s="12" t="n">
        <v>0.37</v>
      </c>
      <c r="F4" s="12" t="n">
        <v>71319</v>
      </c>
      <c r="G4" s="12" t="n">
        <v>-30615.63</v>
      </c>
      <c r="H4" s="12" t="n">
        <v>0</v>
      </c>
      <c r="I4" s="12" t="n">
        <v>1.27</v>
      </c>
      <c r="J4" s="12" t="b">
        <v>0</v>
      </c>
    </row>
    <row r="5">
      <c r="A5" s="12" t="inlineStr">
        <is>
          <t>VS01</t>
        </is>
      </c>
      <c r="B5" s="12" t="b">
        <v>0</v>
      </c>
      <c r="C5" s="12" t="inlineStr">
        <is>
          <t>GI Sheets</t>
        </is>
      </c>
      <c r="D5" s="12" t="n">
        <v>7</v>
      </c>
      <c r="E5" s="12" t="n">
        <v>0.52</v>
      </c>
      <c r="F5" s="12" t="n">
        <v>82624.05</v>
      </c>
      <c r="G5" s="12" t="n">
        <v>2665.36</v>
      </c>
      <c r="H5" s="12" t="n">
        <v>0</v>
      </c>
      <c r="I5" s="12" t="n">
        <v>0.86</v>
      </c>
      <c r="J5" s="12" t="b">
        <v>0</v>
      </c>
    </row>
    <row r="6">
      <c r="A6" s="12" t="inlineStr">
        <is>
          <t>VS01</t>
        </is>
      </c>
      <c r="B6" s="12" t="b">
        <v>0</v>
      </c>
      <c r="C6" s="12" t="inlineStr">
        <is>
          <t>GI Wire</t>
        </is>
      </c>
      <c r="D6" s="12" t="n">
        <v>9</v>
      </c>
      <c r="E6" s="12" t="n">
        <v>0.61</v>
      </c>
      <c r="F6" s="12" t="n">
        <v>85596.16</v>
      </c>
      <c r="G6" s="12" t="n">
        <v>11240.36</v>
      </c>
      <c r="H6" s="12" t="n">
        <v>0</v>
      </c>
      <c r="I6" s="12" t="n">
        <v>1.22</v>
      </c>
      <c r="J6" s="12" t="b">
        <v>0</v>
      </c>
    </row>
    <row r="7">
      <c r="A7" s="12" t="inlineStr">
        <is>
          <t>VS01</t>
        </is>
      </c>
      <c r="B7" s="12" t="b">
        <v>0</v>
      </c>
      <c r="C7" s="12" t="inlineStr">
        <is>
          <t>HR Coils</t>
        </is>
      </c>
      <c r="D7" s="12" t="n">
        <v>6</v>
      </c>
      <c r="E7" s="12" t="n">
        <v>0.4</v>
      </c>
      <c r="F7" s="12" t="n">
        <v>43440.17</v>
      </c>
      <c r="G7" s="12" t="n">
        <v>-17164.52</v>
      </c>
      <c r="H7" s="12" t="n">
        <v>0</v>
      </c>
      <c r="I7" s="12" t="n">
        <v>2.17</v>
      </c>
      <c r="J7" s="12" t="b">
        <v>0</v>
      </c>
    </row>
    <row r="8">
      <c r="A8" s="12" t="inlineStr">
        <is>
          <t>VS01</t>
        </is>
      </c>
      <c r="B8" s="12" t="b">
        <v>0</v>
      </c>
      <c r="C8" s="12" t="inlineStr">
        <is>
          <t>Hex Bars</t>
        </is>
      </c>
      <c r="D8" s="12" t="n">
        <v>6</v>
      </c>
      <c r="E8" s="12" t="n">
        <v>0.44</v>
      </c>
      <c r="F8" s="12" t="n">
        <v>86108.02</v>
      </c>
      <c r="G8" s="12" t="n">
        <v>-9363.65</v>
      </c>
      <c r="H8" s="12" t="n">
        <v>0</v>
      </c>
      <c r="I8" s="12" t="n">
        <v>1.67</v>
      </c>
      <c r="J8" s="12" t="b">
        <v>0</v>
      </c>
    </row>
    <row r="9">
      <c r="A9" s="12" t="inlineStr">
        <is>
          <t>VS01</t>
        </is>
      </c>
      <c r="B9" s="12" t="b">
        <v>0</v>
      </c>
      <c r="C9" s="12" t="inlineStr">
        <is>
          <t>MS Flats</t>
        </is>
      </c>
      <c r="D9" s="12" t="n">
        <v>7</v>
      </c>
      <c r="E9" s="12" t="n">
        <v>0.37</v>
      </c>
      <c r="F9" s="12" t="n">
        <v>41893.18</v>
      </c>
      <c r="G9" s="12" t="n">
        <v>-13092.08</v>
      </c>
      <c r="H9" s="12" t="n">
        <v>0</v>
      </c>
      <c r="I9" s="12" t="n">
        <v>1.29</v>
      </c>
      <c r="J9" s="12" t="b">
        <v>0</v>
      </c>
    </row>
    <row r="10">
      <c r="A10" s="12" t="inlineStr">
        <is>
          <t>VS01</t>
        </is>
      </c>
      <c r="B10" s="12" t="b">
        <v>0</v>
      </c>
      <c r="C10" s="12" t="inlineStr">
        <is>
          <t>MS Rods</t>
        </is>
      </c>
      <c r="D10" s="12" t="n">
        <v>6</v>
      </c>
      <c r="E10" s="12" t="n">
        <v>0.3</v>
      </c>
      <c r="F10" s="12" t="n">
        <v>21209.17</v>
      </c>
      <c r="G10" s="12" t="n">
        <v>-12884.67</v>
      </c>
      <c r="H10" s="12" t="n">
        <v>0</v>
      </c>
      <c r="I10" s="12" t="n">
        <v>0.83</v>
      </c>
      <c r="J10" s="12" t="b">
        <v>0</v>
      </c>
    </row>
    <row r="11">
      <c r="A11" s="12" t="inlineStr">
        <is>
          <t>VS01</t>
        </is>
      </c>
      <c r="B11" s="12" t="b">
        <v>0</v>
      </c>
      <c r="C11" s="12" t="inlineStr">
        <is>
          <t>MS Sheets</t>
        </is>
      </c>
      <c r="D11" s="12" t="n">
        <v>10</v>
      </c>
      <c r="E11" s="12" t="n">
        <v>0.58</v>
      </c>
      <c r="F11" s="12" t="n">
        <v>108726.98</v>
      </c>
      <c r="G11" s="12" t="n">
        <v>5451.32</v>
      </c>
      <c r="H11" s="12" t="n">
        <v>0</v>
      </c>
      <c r="I11" s="12" t="n">
        <v>1.4</v>
      </c>
      <c r="J11" s="12" t="b">
        <v>0</v>
      </c>
    </row>
    <row r="12">
      <c r="A12" s="12" t="inlineStr">
        <is>
          <t>VS01</t>
        </is>
      </c>
      <c r="B12" s="12" t="b">
        <v>0</v>
      </c>
      <c r="C12" s="12" t="inlineStr">
        <is>
          <t>SS Pipes</t>
        </is>
      </c>
      <c r="D12" s="12" t="n">
        <v>4</v>
      </c>
      <c r="E12" s="12" t="n">
        <v>0.59</v>
      </c>
      <c r="F12" s="12" t="n">
        <v>23960.99</v>
      </c>
      <c r="G12" s="12" t="n">
        <v>-1979.24</v>
      </c>
      <c r="H12" s="12" t="n">
        <v>0</v>
      </c>
      <c r="I12" s="12" t="n">
        <v>1.25</v>
      </c>
      <c r="J12" s="12" t="b">
        <v>1</v>
      </c>
    </row>
    <row r="13">
      <c r="A13" s="12" t="inlineStr">
        <is>
          <t>VS01</t>
        </is>
      </c>
      <c r="B13" s="12" t="b">
        <v>0</v>
      </c>
      <c r="C13" s="12" t="inlineStr">
        <is>
          <t>SS Sheets</t>
        </is>
      </c>
      <c r="D13" s="12" t="n">
        <v>10</v>
      </c>
      <c r="E13" s="12" t="n">
        <v>0.48</v>
      </c>
      <c r="F13" s="12" t="n">
        <v>111287.42</v>
      </c>
      <c r="G13" s="12" t="n">
        <v>-5662.39</v>
      </c>
      <c r="H13" s="12" t="n">
        <v>0</v>
      </c>
      <c r="I13" s="12" t="n">
        <v>2.1</v>
      </c>
      <c r="J13" s="12" t="b">
        <v>0</v>
      </c>
    </row>
    <row r="14">
      <c r="A14" s="12" t="inlineStr">
        <is>
          <t>VS01</t>
        </is>
      </c>
      <c r="B14" s="12" t="b">
        <v>0</v>
      </c>
      <c r="C14" s="12" t="inlineStr">
        <is>
          <t>Spring Steel</t>
        </is>
      </c>
      <c r="D14" s="12" t="n">
        <v>4</v>
      </c>
      <c r="E14" s="12" t="n">
        <v>0.64</v>
      </c>
      <c r="F14" s="12" t="n">
        <v>61601.04</v>
      </c>
      <c r="G14" s="12" t="n">
        <v>13869.11</v>
      </c>
      <c r="H14" s="12" t="n">
        <v>0</v>
      </c>
      <c r="I14" s="12" t="n">
        <v>1</v>
      </c>
      <c r="J14" s="12" t="b">
        <v>1</v>
      </c>
    </row>
    <row r="15">
      <c r="A15" s="12" t="inlineStr">
        <is>
          <t>VS01</t>
        </is>
      </c>
      <c r="B15" s="12" t="b">
        <v>0</v>
      </c>
      <c r="C15" s="12" t="inlineStr">
        <is>
          <t>Square/Rect Tubes</t>
        </is>
      </c>
      <c r="D15" s="12" t="n">
        <v>11</v>
      </c>
      <c r="E15" s="12" t="n">
        <v>0.6899999999999999</v>
      </c>
      <c r="F15" s="12" t="n">
        <v>174748.04</v>
      </c>
      <c r="G15" s="12" t="n">
        <v>44494.18</v>
      </c>
      <c r="H15" s="12" t="n">
        <v>0</v>
      </c>
      <c r="I15" s="12" t="n">
        <v>2</v>
      </c>
      <c r="J15" s="12" t="b">
        <v>0</v>
      </c>
    </row>
    <row r="16">
      <c r="A16" s="12" t="inlineStr">
        <is>
          <t>VS01</t>
        </is>
      </c>
      <c r="B16" s="12" t="b">
        <v>0</v>
      </c>
      <c r="C16" s="12" t="inlineStr">
        <is>
          <t>Structural Steel</t>
        </is>
      </c>
      <c r="D16" s="12" t="n">
        <v>8</v>
      </c>
      <c r="E16" s="12" t="n">
        <v>0.39</v>
      </c>
      <c r="F16" s="12" t="n">
        <v>55931.41</v>
      </c>
      <c r="G16" s="12" t="n">
        <v>-13070.03</v>
      </c>
      <c r="H16" s="12" t="n">
        <v>0</v>
      </c>
      <c r="I16" s="12" t="n">
        <v>1.75</v>
      </c>
      <c r="J16" s="12" t="b">
        <v>0</v>
      </c>
    </row>
    <row r="17">
      <c r="A17" s="12" t="inlineStr">
        <is>
          <t>VS01</t>
        </is>
      </c>
      <c r="B17" s="12" t="b">
        <v>1</v>
      </c>
      <c r="C17" s="12" t="inlineStr">
        <is>
          <t>CR Sheets</t>
        </is>
      </c>
      <c r="D17" s="12" t="n">
        <v>11</v>
      </c>
      <c r="E17" s="12" t="n">
        <v>0.57</v>
      </c>
      <c r="F17" s="12" t="n">
        <v>161075.1</v>
      </c>
      <c r="G17" s="12" t="n">
        <v>16815.97</v>
      </c>
      <c r="H17" s="12" t="n">
        <v>0</v>
      </c>
      <c r="I17" s="12" t="n">
        <v>2.09</v>
      </c>
      <c r="J17" s="12" t="b">
        <v>0</v>
      </c>
    </row>
    <row r="18">
      <c r="A18" s="12" t="inlineStr">
        <is>
          <t>VS01</t>
        </is>
      </c>
      <c r="B18" s="12" t="b">
        <v>1</v>
      </c>
      <c r="C18" s="12" t="inlineStr">
        <is>
          <t>ERW Pipes</t>
        </is>
      </c>
      <c r="D18" s="12" t="n">
        <v>13</v>
      </c>
      <c r="E18" s="12" t="n">
        <v>0.43</v>
      </c>
      <c r="F18" s="12" t="n">
        <v>167961.83</v>
      </c>
      <c r="G18" s="12" t="n">
        <v>-21574.23</v>
      </c>
      <c r="H18" s="12" t="n">
        <v>0</v>
      </c>
      <c r="I18" s="12" t="n">
        <v>1.54</v>
      </c>
      <c r="J18" s="12" t="b">
        <v>0</v>
      </c>
    </row>
    <row r="19">
      <c r="A19" s="12" t="inlineStr">
        <is>
          <t>VS01</t>
        </is>
      </c>
      <c r="B19" s="12" t="b">
        <v>1</v>
      </c>
      <c r="C19" s="12" t="inlineStr">
        <is>
          <t>MS Pipes</t>
        </is>
      </c>
      <c r="D19" s="12" t="n">
        <v>6</v>
      </c>
      <c r="E19" s="12" t="n">
        <v>0.55</v>
      </c>
      <c r="F19" s="12" t="n">
        <v>69233.25999999999</v>
      </c>
      <c r="G19" s="12" t="n">
        <v>-3295.97</v>
      </c>
      <c r="H19" s="12" t="n">
        <v>0</v>
      </c>
      <c r="I19" s="12" t="n">
        <v>0.67</v>
      </c>
      <c r="J19" s="12" t="b">
        <v>0</v>
      </c>
    </row>
    <row r="20">
      <c r="A20" s="12" t="inlineStr">
        <is>
          <t>VS02</t>
        </is>
      </c>
      <c r="B20" s="12" t="b">
        <v>0</v>
      </c>
      <c r="C20" s="12" t="inlineStr">
        <is>
          <t>Angles &amp; Channels</t>
        </is>
      </c>
      <c r="D20" s="12" t="n">
        <v>6</v>
      </c>
      <c r="E20" s="12" t="n">
        <v>0.54</v>
      </c>
      <c r="F20" s="12" t="n">
        <v>90162.82000000001</v>
      </c>
      <c r="G20" s="12" t="n">
        <v>-5885.39</v>
      </c>
      <c r="H20" s="12" t="n">
        <v>0</v>
      </c>
      <c r="I20" s="12" t="n">
        <v>1.83</v>
      </c>
      <c r="J20" s="12" t="b">
        <v>0</v>
      </c>
    </row>
    <row r="21">
      <c r="A21" s="12" t="inlineStr">
        <is>
          <t>VS02</t>
        </is>
      </c>
      <c r="B21" s="12" t="b">
        <v>0</v>
      </c>
      <c r="C21" s="12" t="inlineStr">
        <is>
          <t>CR Sheets</t>
        </is>
      </c>
      <c r="D21" s="12" t="n">
        <v>5</v>
      </c>
      <c r="E21" s="12" t="n">
        <v>0.33</v>
      </c>
      <c r="F21" s="12" t="n">
        <v>21142.07</v>
      </c>
      <c r="G21" s="12" t="n">
        <v>-10395.93</v>
      </c>
      <c r="H21" s="12" t="n">
        <v>0</v>
      </c>
      <c r="I21" s="12" t="n">
        <v>1.6</v>
      </c>
      <c r="J21" s="12" t="b">
        <v>0</v>
      </c>
    </row>
    <row r="22">
      <c r="A22" s="12" t="inlineStr">
        <is>
          <t>VS02</t>
        </is>
      </c>
      <c r="B22" s="12" t="b">
        <v>0</v>
      </c>
      <c r="C22" s="12" t="inlineStr">
        <is>
          <t>ERW Pipes</t>
        </is>
      </c>
      <c r="D22" s="12" t="n">
        <v>8</v>
      </c>
      <c r="E22" s="12" t="n">
        <v>0.58</v>
      </c>
      <c r="F22" s="12" t="n">
        <v>101359.51</v>
      </c>
      <c r="G22" s="12" t="n">
        <v>12174.25</v>
      </c>
      <c r="H22" s="12" t="n">
        <v>0</v>
      </c>
      <c r="I22" s="12" t="n">
        <v>1.25</v>
      </c>
      <c r="J22" s="12" t="b">
        <v>0</v>
      </c>
    </row>
    <row r="23">
      <c r="A23" s="12" t="inlineStr">
        <is>
          <t>VS02</t>
        </is>
      </c>
      <c r="B23" s="12" t="b">
        <v>0</v>
      </c>
      <c r="C23" s="12" t="inlineStr">
        <is>
          <t>Fasteners &amp; Fittings</t>
        </is>
      </c>
      <c r="D23" s="12" t="n">
        <v>7</v>
      </c>
      <c r="E23" s="12" t="n">
        <v>0.29</v>
      </c>
      <c r="F23" s="12" t="n">
        <v>36501.12</v>
      </c>
      <c r="G23" s="12" t="n">
        <v>-27294.38</v>
      </c>
      <c r="H23" s="12" t="n">
        <v>0</v>
      </c>
      <c r="I23" s="12" t="n">
        <v>2</v>
      </c>
      <c r="J23" s="12" t="b">
        <v>0</v>
      </c>
    </row>
    <row r="24">
      <c r="A24" s="12" t="inlineStr">
        <is>
          <t>VS02</t>
        </is>
      </c>
      <c r="B24" s="12" t="b">
        <v>0</v>
      </c>
      <c r="C24" s="12" t="inlineStr">
        <is>
          <t>GI Pipes</t>
        </is>
      </c>
      <c r="D24" s="12" t="n">
        <v>9</v>
      </c>
      <c r="E24" s="12" t="n">
        <v>0.47</v>
      </c>
      <c r="F24" s="12" t="n">
        <v>116346.43</v>
      </c>
      <c r="G24" s="12" t="n">
        <v>-2823.78</v>
      </c>
      <c r="H24" s="12" t="n">
        <v>0</v>
      </c>
      <c r="I24" s="12" t="n">
        <v>1.11</v>
      </c>
      <c r="J24" s="12" t="b">
        <v>0</v>
      </c>
    </row>
    <row r="25">
      <c r="A25" s="12" t="inlineStr">
        <is>
          <t>VS02</t>
        </is>
      </c>
      <c r="B25" s="12" t="b">
        <v>0</v>
      </c>
      <c r="C25" s="12" t="inlineStr">
        <is>
          <t>GI Sheets</t>
        </is>
      </c>
      <c r="D25" s="12" t="n">
        <v>6</v>
      </c>
      <c r="E25" s="12" t="n">
        <v>0.6</v>
      </c>
      <c r="F25" s="12" t="n">
        <v>50105.58</v>
      </c>
      <c r="G25" s="12" t="n">
        <v>5669.23</v>
      </c>
      <c r="H25" s="12" t="n">
        <v>0</v>
      </c>
      <c r="I25" s="12" t="n">
        <v>1.5</v>
      </c>
      <c r="J25" s="12" t="b">
        <v>0</v>
      </c>
    </row>
    <row r="26">
      <c r="A26" s="12" t="inlineStr">
        <is>
          <t>VS02</t>
        </is>
      </c>
      <c r="B26" s="12" t="b">
        <v>0</v>
      </c>
      <c r="C26" s="12" t="inlineStr">
        <is>
          <t>HR Coils</t>
        </is>
      </c>
      <c r="D26" s="12" t="n">
        <v>10</v>
      </c>
      <c r="E26" s="12" t="n">
        <v>0.49</v>
      </c>
      <c r="F26" s="12" t="n">
        <v>120277.77</v>
      </c>
      <c r="G26" s="12" t="n">
        <v>-13081.63</v>
      </c>
      <c r="H26" s="12" t="n">
        <v>0</v>
      </c>
      <c r="I26" s="12" t="n">
        <v>2.1</v>
      </c>
      <c r="J26" s="12" t="b">
        <v>0</v>
      </c>
    </row>
    <row r="27">
      <c r="A27" s="12" t="inlineStr">
        <is>
          <t>VS02</t>
        </is>
      </c>
      <c r="B27" s="12" t="b">
        <v>0</v>
      </c>
      <c r="C27" s="12" t="inlineStr">
        <is>
          <t>Hex Bars</t>
        </is>
      </c>
      <c r="D27" s="12" t="n">
        <v>9</v>
      </c>
      <c r="E27" s="12" t="n">
        <v>0.52</v>
      </c>
      <c r="F27" s="12" t="n">
        <v>80377.75</v>
      </c>
      <c r="G27" s="12" t="n">
        <v>4196.52</v>
      </c>
      <c r="H27" s="12" t="n">
        <v>0</v>
      </c>
      <c r="I27" s="12" t="n">
        <v>0.89</v>
      </c>
      <c r="J27" s="12" t="b">
        <v>0</v>
      </c>
    </row>
    <row r="28">
      <c r="A28" s="12" t="inlineStr">
        <is>
          <t>VS02</t>
        </is>
      </c>
      <c r="B28" s="12" t="b">
        <v>0</v>
      </c>
      <c r="C28" s="12" t="inlineStr">
        <is>
          <t>MS Flats</t>
        </is>
      </c>
      <c r="D28" s="12" t="n">
        <v>19</v>
      </c>
      <c r="E28" s="12" t="n">
        <v>0.6</v>
      </c>
      <c r="F28" s="12" t="n">
        <v>251374.72</v>
      </c>
      <c r="G28" s="12" t="n">
        <v>42348.7</v>
      </c>
      <c r="H28" s="12" t="n">
        <v>0</v>
      </c>
      <c r="I28" s="12" t="n">
        <v>1.16</v>
      </c>
      <c r="J28" s="12" t="b">
        <v>0</v>
      </c>
    </row>
    <row r="29">
      <c r="A29" s="12" t="inlineStr">
        <is>
          <t>VS02</t>
        </is>
      </c>
      <c r="B29" s="12" t="b">
        <v>0</v>
      </c>
      <c r="C29" s="12" t="inlineStr">
        <is>
          <t>MS Pipes</t>
        </is>
      </c>
      <c r="D29" s="12" t="n">
        <v>9</v>
      </c>
      <c r="E29" s="12" t="n">
        <v>0.54</v>
      </c>
      <c r="F29" s="12" t="n">
        <v>111617.94</v>
      </c>
      <c r="G29" s="12" t="n">
        <v>3264.03</v>
      </c>
      <c r="H29" s="12" t="n">
        <v>0</v>
      </c>
      <c r="I29" s="12" t="n">
        <v>1.56</v>
      </c>
      <c r="J29" s="12" t="b">
        <v>0</v>
      </c>
    </row>
    <row r="30">
      <c r="A30" s="12" t="inlineStr">
        <is>
          <t>VS02</t>
        </is>
      </c>
      <c r="B30" s="12" t="b">
        <v>0</v>
      </c>
      <c r="C30" s="12" t="inlineStr">
        <is>
          <t>MS Rods</t>
        </is>
      </c>
      <c r="D30" s="12" t="n">
        <v>10</v>
      </c>
      <c r="E30" s="12" t="n">
        <v>0.5600000000000001</v>
      </c>
      <c r="F30" s="12" t="n">
        <v>127096.43</v>
      </c>
      <c r="G30" s="12" t="n">
        <v>12200.39</v>
      </c>
      <c r="H30" s="12" t="n">
        <v>0</v>
      </c>
      <c r="I30" s="12" t="n">
        <v>2</v>
      </c>
      <c r="J30" s="12" t="b">
        <v>0</v>
      </c>
    </row>
    <row r="31">
      <c r="A31" s="12" t="inlineStr">
        <is>
          <t>VS02</t>
        </is>
      </c>
      <c r="B31" s="12" t="b">
        <v>0</v>
      </c>
      <c r="C31" s="12" t="inlineStr">
        <is>
          <t>MS Sheets</t>
        </is>
      </c>
      <c r="D31" s="12" t="n">
        <v>6</v>
      </c>
      <c r="E31" s="12" t="n">
        <v>0.6</v>
      </c>
      <c r="F31" s="12" t="n">
        <v>46878.12</v>
      </c>
      <c r="G31" s="12" t="n">
        <v>6774.05</v>
      </c>
      <c r="H31" s="12" t="n">
        <v>0</v>
      </c>
      <c r="I31" s="12" t="n">
        <v>1</v>
      </c>
      <c r="J31" s="12" t="b">
        <v>0</v>
      </c>
    </row>
    <row r="32">
      <c r="A32" s="12" t="inlineStr">
        <is>
          <t>VS02</t>
        </is>
      </c>
      <c r="B32" s="12" t="b">
        <v>0</v>
      </c>
      <c r="C32" s="12" t="inlineStr">
        <is>
          <t>SS Sheets</t>
        </is>
      </c>
      <c r="D32" s="12" t="n">
        <v>5</v>
      </c>
      <c r="E32" s="12" t="n">
        <v>0.44</v>
      </c>
      <c r="F32" s="12" t="n">
        <v>36001.1</v>
      </c>
      <c r="G32" s="12" t="n">
        <v>-741.22</v>
      </c>
      <c r="H32" s="12" t="n">
        <v>0</v>
      </c>
      <c r="I32" s="12" t="n">
        <v>1.4</v>
      </c>
      <c r="J32" s="12" t="b">
        <v>0</v>
      </c>
    </row>
    <row r="33">
      <c r="A33" s="12" t="inlineStr">
        <is>
          <t>VS02</t>
        </is>
      </c>
      <c r="B33" s="12" t="b">
        <v>0</v>
      </c>
      <c r="C33" s="12" t="inlineStr">
        <is>
          <t>Square/Rect Tubes</t>
        </is>
      </c>
      <c r="D33" s="12" t="n">
        <v>3</v>
      </c>
      <c r="E33" s="12" t="n">
        <v>0.41</v>
      </c>
      <c r="F33" s="12" t="n">
        <v>51054.18</v>
      </c>
      <c r="G33" s="12" t="n">
        <v>-4586.38</v>
      </c>
      <c r="H33" s="12" t="n">
        <v>0</v>
      </c>
      <c r="I33" s="12" t="n">
        <v>1.67</v>
      </c>
      <c r="J33" s="12" t="b">
        <v>1</v>
      </c>
    </row>
    <row r="34">
      <c r="A34" s="12" t="inlineStr">
        <is>
          <t>VS02</t>
        </is>
      </c>
      <c r="B34" s="12" t="b">
        <v>0</v>
      </c>
      <c r="C34" s="12" t="inlineStr">
        <is>
          <t>Structural Steel</t>
        </is>
      </c>
      <c r="D34" s="12" t="n">
        <v>6</v>
      </c>
      <c r="E34" s="12" t="n">
        <v>0.48</v>
      </c>
      <c r="F34" s="12" t="n">
        <v>63496.08</v>
      </c>
      <c r="G34" s="12" t="n">
        <v>-6870.37</v>
      </c>
      <c r="H34" s="12" t="n">
        <v>0</v>
      </c>
      <c r="I34" s="12" t="n">
        <v>1.67</v>
      </c>
      <c r="J34" s="12" t="b">
        <v>0</v>
      </c>
    </row>
    <row r="35">
      <c r="A35" s="12" t="inlineStr">
        <is>
          <t>VS02</t>
        </is>
      </c>
      <c r="B35" s="12" t="b">
        <v>1</v>
      </c>
      <c r="C35" s="12" t="inlineStr">
        <is>
          <t>GI Wire</t>
        </is>
      </c>
      <c r="D35" s="12" t="n">
        <v>3</v>
      </c>
      <c r="E35" s="12" t="n">
        <v>0.38</v>
      </c>
      <c r="F35" s="12" t="n">
        <v>56082.7</v>
      </c>
      <c r="G35" s="12" t="n">
        <v>-20572.64</v>
      </c>
      <c r="H35" s="12" t="n">
        <v>0</v>
      </c>
      <c r="I35" s="12" t="n">
        <v>0.33</v>
      </c>
      <c r="J35" s="12" t="b">
        <v>1</v>
      </c>
    </row>
    <row r="36">
      <c r="A36" s="12" t="inlineStr">
        <is>
          <t>VS02</t>
        </is>
      </c>
      <c r="B36" s="12" t="b">
        <v>1</v>
      </c>
      <c r="C36" s="12" t="inlineStr">
        <is>
          <t>SS Pipes</t>
        </is>
      </c>
      <c r="D36" s="12" t="n">
        <v>9</v>
      </c>
      <c r="E36" s="12" t="n">
        <v>0.6899999999999999</v>
      </c>
      <c r="F36" s="12" t="n">
        <v>147976.98</v>
      </c>
      <c r="G36" s="12" t="n">
        <v>39368.6</v>
      </c>
      <c r="H36" s="12" t="n">
        <v>0</v>
      </c>
      <c r="I36" s="12" t="n">
        <v>1.78</v>
      </c>
      <c r="J36" s="12" t="b">
        <v>0</v>
      </c>
    </row>
    <row r="37">
      <c r="A37" s="12" t="inlineStr">
        <is>
          <t>VS02</t>
        </is>
      </c>
      <c r="B37" s="12" t="b">
        <v>1</v>
      </c>
      <c r="C37" s="12" t="inlineStr">
        <is>
          <t>Spring Steel</t>
        </is>
      </c>
      <c r="D37" s="12" t="n">
        <v>12</v>
      </c>
      <c r="E37" s="12" t="n">
        <v>0.45</v>
      </c>
      <c r="F37" s="12" t="n">
        <v>122676.55</v>
      </c>
      <c r="G37" s="12" t="n">
        <v>-26325.52</v>
      </c>
      <c r="H37" s="12" t="n">
        <v>0</v>
      </c>
      <c r="I37" s="12" t="n">
        <v>1.08</v>
      </c>
      <c r="J37" s="12" t="b">
        <v>0</v>
      </c>
    </row>
    <row r="38">
      <c r="A38" s="12" t="inlineStr">
        <is>
          <t>VS03</t>
        </is>
      </c>
      <c r="B38" s="12" t="b">
        <v>0</v>
      </c>
      <c r="C38" s="12" t="inlineStr">
        <is>
          <t>Angles &amp; Channels</t>
        </is>
      </c>
      <c r="D38" s="12" t="n">
        <v>8</v>
      </c>
      <c r="E38" s="12" t="n">
        <v>3.29</v>
      </c>
      <c r="F38" s="12" t="n">
        <v>433022.48</v>
      </c>
      <c r="G38" s="12" t="n">
        <v>363811.43</v>
      </c>
      <c r="H38" s="12" t="n">
        <v>250858.48</v>
      </c>
      <c r="I38" s="12" t="n">
        <v>5</v>
      </c>
      <c r="J38" s="12" t="b">
        <v>0</v>
      </c>
    </row>
    <row r="39">
      <c r="A39" s="12" t="inlineStr">
        <is>
          <t>VS03</t>
        </is>
      </c>
      <c r="B39" s="12" t="b">
        <v>0</v>
      </c>
      <c r="C39" s="12" t="inlineStr">
        <is>
          <t>CR Sheets</t>
        </is>
      </c>
      <c r="D39" s="12" t="n">
        <v>4</v>
      </c>
      <c r="E39" s="12" t="n">
        <v>4.05</v>
      </c>
      <c r="F39" s="12" t="n">
        <v>243180.96</v>
      </c>
      <c r="G39" s="12" t="n">
        <v>212446.93</v>
      </c>
      <c r="H39" s="12" t="n">
        <v>159394.5</v>
      </c>
      <c r="I39" s="12" t="n">
        <v>3.5</v>
      </c>
      <c r="J39" s="12" t="b">
        <v>1</v>
      </c>
    </row>
    <row r="40">
      <c r="A40" s="12" t="inlineStr">
        <is>
          <t>VS03</t>
        </is>
      </c>
      <c r="B40" s="12" t="b">
        <v>0</v>
      </c>
      <c r="C40" s="12" t="inlineStr">
        <is>
          <t>ERW Pipes</t>
        </is>
      </c>
      <c r="D40" s="12" t="n">
        <v>10</v>
      </c>
      <c r="E40" s="12" t="n">
        <v>3.59</v>
      </c>
      <c r="F40" s="12" t="n">
        <v>598366.87</v>
      </c>
      <c r="G40" s="12" t="n">
        <v>513384.92</v>
      </c>
      <c r="H40" s="12" t="n">
        <v>310204.49</v>
      </c>
      <c r="I40" s="12" t="n">
        <v>3.8</v>
      </c>
      <c r="J40" s="12" t="b">
        <v>0</v>
      </c>
    </row>
    <row r="41">
      <c r="A41" s="12" t="inlineStr">
        <is>
          <t>VS03</t>
        </is>
      </c>
      <c r="B41" s="12" t="b">
        <v>0</v>
      </c>
      <c r="C41" s="12" t="inlineStr">
        <is>
          <t>Fasteners &amp; Fittings</t>
        </is>
      </c>
      <c r="D41" s="12" t="n">
        <v>5</v>
      </c>
      <c r="E41" s="12" t="n">
        <v>3.87</v>
      </c>
      <c r="F41" s="12" t="n">
        <v>445738.58</v>
      </c>
      <c r="G41" s="12" t="n">
        <v>386333.11</v>
      </c>
      <c r="H41" s="12" t="n">
        <v>284814.17</v>
      </c>
      <c r="I41" s="12" t="n">
        <v>5.2</v>
      </c>
      <c r="J41" s="12" t="b">
        <v>0</v>
      </c>
    </row>
    <row r="42">
      <c r="A42" s="12" t="inlineStr">
        <is>
          <t>VS03</t>
        </is>
      </c>
      <c r="B42" s="12" t="b">
        <v>0</v>
      </c>
      <c r="C42" s="12" t="inlineStr">
        <is>
          <t>GI Pipes</t>
        </is>
      </c>
      <c r="D42" s="12" t="n">
        <v>9</v>
      </c>
      <c r="E42" s="12" t="n">
        <v>3.23</v>
      </c>
      <c r="F42" s="12" t="n">
        <v>715537.97</v>
      </c>
      <c r="G42" s="12" t="n">
        <v>599654.67</v>
      </c>
      <c r="H42" s="12" t="n">
        <v>529668.51</v>
      </c>
      <c r="I42" s="12" t="n">
        <v>4.67</v>
      </c>
      <c r="J42" s="12" t="b">
        <v>0</v>
      </c>
    </row>
    <row r="43">
      <c r="A43" s="12" t="inlineStr">
        <is>
          <t>VS03</t>
        </is>
      </c>
      <c r="B43" s="12" t="b">
        <v>0</v>
      </c>
      <c r="C43" s="12" t="inlineStr">
        <is>
          <t>GI Sheets</t>
        </is>
      </c>
      <c r="D43" s="12" t="n">
        <v>8</v>
      </c>
      <c r="E43" s="12" t="n">
        <v>4.02</v>
      </c>
      <c r="F43" s="12" t="n">
        <v>529837.41</v>
      </c>
      <c r="G43" s="12" t="n">
        <v>460974.51</v>
      </c>
      <c r="H43" s="12" t="n">
        <v>309152.02</v>
      </c>
      <c r="I43" s="12" t="n">
        <v>5.38</v>
      </c>
      <c r="J43" s="12" t="b">
        <v>0</v>
      </c>
    </row>
    <row r="44">
      <c r="A44" s="12" t="inlineStr">
        <is>
          <t>VS03</t>
        </is>
      </c>
      <c r="B44" s="12" t="b">
        <v>0</v>
      </c>
      <c r="C44" s="12" t="inlineStr">
        <is>
          <t>GI Wire</t>
        </is>
      </c>
      <c r="D44" s="12" t="n">
        <v>11</v>
      </c>
      <c r="E44" s="12" t="n">
        <v>3.67</v>
      </c>
      <c r="F44" s="12" t="n">
        <v>826353.26</v>
      </c>
      <c r="G44" s="12" t="n">
        <v>713210.3199999999</v>
      </c>
      <c r="H44" s="12" t="n">
        <v>503383.02</v>
      </c>
      <c r="I44" s="12" t="n">
        <v>6</v>
      </c>
      <c r="J44" s="12" t="b">
        <v>0</v>
      </c>
    </row>
    <row r="45">
      <c r="A45" s="12" t="inlineStr">
        <is>
          <t>VS03</t>
        </is>
      </c>
      <c r="B45" s="12" t="b">
        <v>0</v>
      </c>
      <c r="C45" s="12" t="inlineStr">
        <is>
          <t>HR Coils</t>
        </is>
      </c>
      <c r="D45" s="12" t="n">
        <v>6</v>
      </c>
      <c r="E45" s="12" t="n">
        <v>3.65</v>
      </c>
      <c r="F45" s="12" t="n">
        <v>470373.64</v>
      </c>
      <c r="G45" s="12" t="n">
        <v>406573.58</v>
      </c>
      <c r="H45" s="12" t="n">
        <v>330984.84</v>
      </c>
      <c r="I45" s="12" t="n">
        <v>3.83</v>
      </c>
      <c r="J45" s="12" t="b">
        <v>0</v>
      </c>
    </row>
    <row r="46">
      <c r="A46" s="12" t="inlineStr">
        <is>
          <t>VS03</t>
        </is>
      </c>
      <c r="B46" s="12" t="b">
        <v>0</v>
      </c>
      <c r="C46" s="12" t="inlineStr">
        <is>
          <t>MS Flats</t>
        </is>
      </c>
      <c r="D46" s="12" t="n">
        <v>12</v>
      </c>
      <c r="E46" s="12" t="n">
        <v>3.76</v>
      </c>
      <c r="F46" s="12" t="n">
        <v>992037.0699999999</v>
      </c>
      <c r="G46" s="12" t="n">
        <v>852092.78</v>
      </c>
      <c r="H46" s="12" t="n">
        <v>855848.1899999999</v>
      </c>
      <c r="I46" s="12" t="n">
        <v>5.25</v>
      </c>
      <c r="J46" s="12" t="b">
        <v>0</v>
      </c>
    </row>
    <row r="47">
      <c r="A47" s="12" t="inlineStr">
        <is>
          <t>VS03</t>
        </is>
      </c>
      <c r="B47" s="12" t="b">
        <v>0</v>
      </c>
      <c r="C47" s="12" t="inlineStr">
        <is>
          <t>MS Pipes</t>
        </is>
      </c>
      <c r="D47" s="12" t="n">
        <v>8</v>
      </c>
      <c r="E47" s="12" t="n">
        <v>3.55</v>
      </c>
      <c r="F47" s="12" t="n">
        <v>666669.63</v>
      </c>
      <c r="G47" s="12" t="n">
        <v>568726.25</v>
      </c>
      <c r="H47" s="12" t="n">
        <v>514330.8</v>
      </c>
      <c r="I47" s="12" t="n">
        <v>6.25</v>
      </c>
      <c r="J47" s="12" t="b">
        <v>0</v>
      </c>
    </row>
    <row r="48">
      <c r="A48" s="12" t="inlineStr">
        <is>
          <t>VS03</t>
        </is>
      </c>
      <c r="B48" s="12" t="b">
        <v>0</v>
      </c>
      <c r="C48" s="12" t="inlineStr">
        <is>
          <t>MS Rods</t>
        </is>
      </c>
      <c r="D48" s="12" t="n">
        <v>10</v>
      </c>
      <c r="E48" s="12" t="n">
        <v>3.52</v>
      </c>
      <c r="F48" s="12" t="n">
        <v>896651.58</v>
      </c>
      <c r="G48" s="12" t="n">
        <v>764902.86</v>
      </c>
      <c r="H48" s="12" t="n">
        <v>607263.53</v>
      </c>
      <c r="I48" s="12" t="n">
        <v>4.6</v>
      </c>
      <c r="J48" s="12" t="b">
        <v>0</v>
      </c>
    </row>
    <row r="49">
      <c r="A49" s="12" t="inlineStr">
        <is>
          <t>VS03</t>
        </is>
      </c>
      <c r="B49" s="12" t="b">
        <v>0</v>
      </c>
      <c r="C49" s="12" t="inlineStr">
        <is>
          <t>MS Sheets</t>
        </is>
      </c>
      <c r="D49" s="12" t="n">
        <v>6</v>
      </c>
      <c r="E49" s="12" t="n">
        <v>3.3</v>
      </c>
      <c r="F49" s="12" t="n">
        <v>594538.96</v>
      </c>
      <c r="G49" s="12" t="n">
        <v>500372.81</v>
      </c>
      <c r="H49" s="12" t="n">
        <v>381080.01</v>
      </c>
      <c r="I49" s="12" t="n">
        <v>4.83</v>
      </c>
      <c r="J49" s="12" t="b">
        <v>0</v>
      </c>
    </row>
    <row r="50">
      <c r="A50" s="12" t="inlineStr">
        <is>
          <t>VS03</t>
        </is>
      </c>
      <c r="B50" s="12" t="b">
        <v>0</v>
      </c>
      <c r="C50" s="12" t="inlineStr">
        <is>
          <t>SS Pipes</t>
        </is>
      </c>
      <c r="D50" s="12" t="n">
        <v>9</v>
      </c>
      <c r="E50" s="12" t="n">
        <v>3.15</v>
      </c>
      <c r="F50" s="12" t="n">
        <v>730936.65</v>
      </c>
      <c r="G50" s="12" t="n">
        <v>610546.26</v>
      </c>
      <c r="H50" s="12" t="n">
        <v>604370.87</v>
      </c>
      <c r="I50" s="12" t="n">
        <v>4.56</v>
      </c>
      <c r="J50" s="12" t="b">
        <v>0</v>
      </c>
    </row>
    <row r="51">
      <c r="A51" s="12" t="inlineStr">
        <is>
          <t>VS03</t>
        </is>
      </c>
      <c r="B51" s="12" t="b">
        <v>0</v>
      </c>
      <c r="C51" s="12" t="inlineStr">
        <is>
          <t>SS Sheets</t>
        </is>
      </c>
      <c r="D51" s="12" t="n">
        <v>7</v>
      </c>
      <c r="E51" s="12" t="n">
        <v>3.26</v>
      </c>
      <c r="F51" s="12" t="n">
        <v>488165.49</v>
      </c>
      <c r="G51" s="12" t="n">
        <v>411187.71</v>
      </c>
      <c r="H51" s="12" t="n">
        <v>348052.59</v>
      </c>
      <c r="I51" s="12" t="n">
        <v>3.86</v>
      </c>
      <c r="J51" s="12" t="b">
        <v>0</v>
      </c>
    </row>
    <row r="52">
      <c r="A52" s="12" t="inlineStr">
        <is>
          <t>VS03</t>
        </is>
      </c>
      <c r="B52" s="12" t="b">
        <v>0</v>
      </c>
      <c r="C52" s="12" t="inlineStr">
        <is>
          <t>Spring Steel</t>
        </is>
      </c>
      <c r="D52" s="12" t="n">
        <v>4</v>
      </c>
      <c r="E52" s="12" t="n">
        <v>3.6</v>
      </c>
      <c r="F52" s="12" t="n">
        <v>334536.1</v>
      </c>
      <c r="G52" s="12" t="n">
        <v>287846.76</v>
      </c>
      <c r="H52" s="12" t="n">
        <v>232412.5</v>
      </c>
      <c r="I52" s="12" t="n">
        <v>4.75</v>
      </c>
      <c r="J52" s="12" t="b">
        <v>1</v>
      </c>
    </row>
    <row r="53">
      <c r="A53" s="12" t="inlineStr">
        <is>
          <t>VS03</t>
        </is>
      </c>
      <c r="B53" s="12" t="b">
        <v>0</v>
      </c>
      <c r="C53" s="12" t="inlineStr">
        <is>
          <t>Square/Rect Tubes</t>
        </is>
      </c>
      <c r="D53" s="12" t="n">
        <v>7</v>
      </c>
      <c r="E53" s="12" t="n">
        <v>3.66</v>
      </c>
      <c r="F53" s="12" t="n">
        <v>367183.79</v>
      </c>
      <c r="G53" s="12" t="n">
        <v>316732.23</v>
      </c>
      <c r="H53" s="12" t="n">
        <v>321741.64</v>
      </c>
      <c r="I53" s="12" t="n">
        <v>3.86</v>
      </c>
      <c r="J53" s="12" t="b">
        <v>0</v>
      </c>
    </row>
    <row r="54">
      <c r="A54" s="12" t="inlineStr">
        <is>
          <t>VS03</t>
        </is>
      </c>
      <c r="B54" s="12" t="b">
        <v>0</v>
      </c>
      <c r="C54" s="12" t="inlineStr">
        <is>
          <t>Structural Steel</t>
        </is>
      </c>
      <c r="D54" s="12" t="n">
        <v>7</v>
      </c>
      <c r="E54" s="12" t="n">
        <v>3.27</v>
      </c>
      <c r="F54" s="12" t="n">
        <v>447303.41</v>
      </c>
      <c r="G54" s="12" t="n">
        <v>376041.69</v>
      </c>
      <c r="H54" s="12" t="n">
        <v>351354.05</v>
      </c>
      <c r="I54" s="12" t="n">
        <v>4.14</v>
      </c>
      <c r="J54" s="12" t="b">
        <v>0</v>
      </c>
    </row>
    <row r="55">
      <c r="A55" s="12" t="inlineStr">
        <is>
          <t>VS03</t>
        </is>
      </c>
      <c r="B55" s="12" t="b">
        <v>1</v>
      </c>
      <c r="C55" s="12" t="inlineStr">
        <is>
          <t>Hex Bars</t>
        </is>
      </c>
      <c r="D55" s="12" t="n">
        <v>10</v>
      </c>
      <c r="E55" s="12" t="n">
        <v>3.4</v>
      </c>
      <c r="F55" s="12" t="n">
        <v>654074.78</v>
      </c>
      <c r="G55" s="12" t="n">
        <v>557418.27</v>
      </c>
      <c r="H55" s="12" t="n">
        <v>465667.39</v>
      </c>
      <c r="I55" s="12" t="n">
        <v>6</v>
      </c>
      <c r="J55" s="12" t="b">
        <v>0</v>
      </c>
    </row>
    <row r="56">
      <c r="A56" s="12" t="inlineStr">
        <is>
          <t>VS04</t>
        </is>
      </c>
      <c r="B56" s="12" t="b">
        <v>0</v>
      </c>
      <c r="C56" s="12" t="inlineStr">
        <is>
          <t>Angles &amp; Channels</t>
        </is>
      </c>
      <c r="D56" s="12" t="n">
        <v>10</v>
      </c>
      <c r="E56" s="12" t="n">
        <v>0.58</v>
      </c>
      <c r="F56" s="12" t="n">
        <v>107973.23</v>
      </c>
      <c r="G56" s="12" t="n">
        <v>17781.09</v>
      </c>
      <c r="H56" s="12" t="n">
        <v>0</v>
      </c>
      <c r="I56" s="12" t="n">
        <v>1.1</v>
      </c>
      <c r="J56" s="12" t="b">
        <v>0</v>
      </c>
    </row>
    <row r="57">
      <c r="A57" s="12" t="inlineStr">
        <is>
          <t>VS04</t>
        </is>
      </c>
      <c r="B57" s="12" t="b">
        <v>0</v>
      </c>
      <c r="C57" s="12" t="inlineStr">
        <is>
          <t>CR Sheets</t>
        </is>
      </c>
      <c r="D57" s="12" t="n">
        <v>4</v>
      </c>
      <c r="E57" s="12" t="n">
        <v>0.57</v>
      </c>
      <c r="F57" s="12" t="n">
        <v>82773.17999999999</v>
      </c>
      <c r="G57" s="12" t="n">
        <v>6829.59</v>
      </c>
      <c r="H57" s="12" t="n">
        <v>0</v>
      </c>
      <c r="I57" s="12" t="n">
        <v>2.5</v>
      </c>
      <c r="J57" s="12" t="b">
        <v>1</v>
      </c>
    </row>
    <row r="58">
      <c r="A58" s="12" t="inlineStr">
        <is>
          <t>VS04</t>
        </is>
      </c>
      <c r="B58" s="12" t="b">
        <v>0</v>
      </c>
      <c r="C58" s="12" t="inlineStr">
        <is>
          <t>ERW Pipes</t>
        </is>
      </c>
      <c r="D58" s="12" t="n">
        <v>6</v>
      </c>
      <c r="E58" s="12" t="n">
        <v>0.58</v>
      </c>
      <c r="F58" s="12" t="n">
        <v>87365.08</v>
      </c>
      <c r="G58" s="12" t="n">
        <v>13854.67</v>
      </c>
      <c r="H58" s="12" t="n">
        <v>0</v>
      </c>
      <c r="I58" s="12" t="n">
        <v>0.67</v>
      </c>
      <c r="J58" s="12" t="b">
        <v>0</v>
      </c>
    </row>
    <row r="59">
      <c r="A59" s="12" t="inlineStr">
        <is>
          <t>VS04</t>
        </is>
      </c>
      <c r="B59" s="12" t="b">
        <v>0</v>
      </c>
      <c r="C59" s="12" t="inlineStr">
        <is>
          <t>Fasteners &amp; Fittings</t>
        </is>
      </c>
      <c r="D59" s="12" t="n">
        <v>11</v>
      </c>
      <c r="E59" s="12" t="n">
        <v>0.61</v>
      </c>
      <c r="F59" s="12" t="n">
        <v>127886.92</v>
      </c>
      <c r="G59" s="12" t="n">
        <v>21339.69</v>
      </c>
      <c r="H59" s="12" t="n">
        <v>0</v>
      </c>
      <c r="I59" s="12" t="n">
        <v>1.09</v>
      </c>
      <c r="J59" s="12" t="b">
        <v>0</v>
      </c>
    </row>
    <row r="60">
      <c r="A60" s="12" t="inlineStr">
        <is>
          <t>VS04</t>
        </is>
      </c>
      <c r="B60" s="12" t="b">
        <v>0</v>
      </c>
      <c r="C60" s="12" t="inlineStr">
        <is>
          <t>GI Pipes</t>
        </is>
      </c>
      <c r="D60" s="12" t="n">
        <v>3</v>
      </c>
      <c r="E60" s="12" t="n">
        <v>0.37</v>
      </c>
      <c r="F60" s="12" t="n">
        <v>31026.19</v>
      </c>
      <c r="G60" s="12" t="n">
        <v>-14316.43</v>
      </c>
      <c r="H60" s="12" t="n">
        <v>0</v>
      </c>
      <c r="I60" s="12" t="n">
        <v>1</v>
      </c>
      <c r="J60" s="12" t="b">
        <v>1</v>
      </c>
    </row>
    <row r="61">
      <c r="A61" s="12" t="inlineStr">
        <is>
          <t>VS04</t>
        </is>
      </c>
      <c r="B61" s="12" t="b">
        <v>0</v>
      </c>
      <c r="C61" s="12" t="inlineStr">
        <is>
          <t>GI Sheets</t>
        </is>
      </c>
      <c r="D61" s="12" t="n">
        <v>5</v>
      </c>
      <c r="E61" s="12" t="n">
        <v>0.63</v>
      </c>
      <c r="F61" s="12" t="n">
        <v>60933.64</v>
      </c>
      <c r="G61" s="12" t="n">
        <v>13998.24</v>
      </c>
      <c r="H61" s="12" t="n">
        <v>0</v>
      </c>
      <c r="I61" s="12" t="n">
        <v>1.4</v>
      </c>
      <c r="J61" s="12" t="b">
        <v>0</v>
      </c>
    </row>
    <row r="62">
      <c r="A62" s="12" t="inlineStr">
        <is>
          <t>VS04</t>
        </is>
      </c>
      <c r="B62" s="12" t="b">
        <v>0</v>
      </c>
      <c r="C62" s="12" t="inlineStr">
        <is>
          <t>Hex Bars</t>
        </is>
      </c>
      <c r="D62" s="12" t="n">
        <v>12</v>
      </c>
      <c r="E62" s="12" t="n">
        <v>0.5600000000000001</v>
      </c>
      <c r="F62" s="12" t="n">
        <v>127917.87</v>
      </c>
      <c r="G62" s="12" t="n">
        <v>18184.27</v>
      </c>
      <c r="H62" s="12" t="n">
        <v>0</v>
      </c>
      <c r="I62" s="12" t="n">
        <v>1.08</v>
      </c>
      <c r="J62" s="12" t="b">
        <v>0</v>
      </c>
    </row>
    <row r="63">
      <c r="A63" s="12" t="inlineStr">
        <is>
          <t>VS04</t>
        </is>
      </c>
      <c r="B63" s="12" t="b">
        <v>0</v>
      </c>
      <c r="C63" s="12" t="inlineStr">
        <is>
          <t>MS Flats</t>
        </is>
      </c>
      <c r="D63" s="12" t="n">
        <v>5</v>
      </c>
      <c r="E63" s="12" t="n">
        <v>0.51</v>
      </c>
      <c r="F63" s="12" t="n">
        <v>39086.94</v>
      </c>
      <c r="G63" s="12" t="n">
        <v>-3027.7</v>
      </c>
      <c r="H63" s="12" t="n">
        <v>0</v>
      </c>
      <c r="I63" s="12" t="n">
        <v>2.8</v>
      </c>
      <c r="J63" s="12" t="b">
        <v>0</v>
      </c>
    </row>
    <row r="64">
      <c r="A64" s="12" t="inlineStr">
        <is>
          <t>VS04</t>
        </is>
      </c>
      <c r="B64" s="12" t="b">
        <v>0</v>
      </c>
      <c r="C64" s="12" t="inlineStr">
        <is>
          <t>MS Pipes</t>
        </is>
      </c>
      <c r="D64" s="12" t="n">
        <v>10</v>
      </c>
      <c r="E64" s="12" t="n">
        <v>0.44</v>
      </c>
      <c r="F64" s="12" t="n">
        <v>81677.75999999999</v>
      </c>
      <c r="G64" s="12" t="n">
        <v>-10347.94</v>
      </c>
      <c r="H64" s="12" t="n">
        <v>0</v>
      </c>
      <c r="I64" s="12" t="n">
        <v>2.2</v>
      </c>
      <c r="J64" s="12" t="b">
        <v>0</v>
      </c>
    </row>
    <row r="65">
      <c r="A65" s="12" t="inlineStr">
        <is>
          <t>VS04</t>
        </is>
      </c>
      <c r="B65" s="12" t="b">
        <v>0</v>
      </c>
      <c r="C65" s="12" t="inlineStr">
        <is>
          <t>MS Rods</t>
        </is>
      </c>
      <c r="D65" s="12" t="n">
        <v>8</v>
      </c>
      <c r="E65" s="12" t="n">
        <v>0.49</v>
      </c>
      <c r="F65" s="12" t="n">
        <v>97646.64</v>
      </c>
      <c r="G65" s="12" t="n">
        <v>-4528.75</v>
      </c>
      <c r="H65" s="12" t="n">
        <v>0</v>
      </c>
      <c r="I65" s="12" t="n">
        <v>1.38</v>
      </c>
      <c r="J65" s="12" t="b">
        <v>0</v>
      </c>
    </row>
    <row r="66">
      <c r="A66" s="12" t="inlineStr">
        <is>
          <t>VS04</t>
        </is>
      </c>
      <c r="B66" s="12" t="b">
        <v>0</v>
      </c>
      <c r="C66" s="12" t="inlineStr">
        <is>
          <t>MS Sheets</t>
        </is>
      </c>
      <c r="D66" s="12" t="n">
        <v>5</v>
      </c>
      <c r="E66" s="12" t="n">
        <v>0.52</v>
      </c>
      <c r="F66" s="12" t="n">
        <v>41667.53</v>
      </c>
      <c r="G66" s="12" t="n">
        <v>2135.52</v>
      </c>
      <c r="H66" s="12" t="n">
        <v>0</v>
      </c>
      <c r="I66" s="12" t="n">
        <v>1.2</v>
      </c>
      <c r="J66" s="12" t="b">
        <v>0</v>
      </c>
    </row>
    <row r="67">
      <c r="A67" s="12" t="inlineStr">
        <is>
          <t>VS04</t>
        </is>
      </c>
      <c r="B67" s="12" t="b">
        <v>0</v>
      </c>
      <c r="C67" s="12" t="inlineStr">
        <is>
          <t>SS Pipes</t>
        </is>
      </c>
      <c r="D67" s="12" t="n">
        <v>6</v>
      </c>
      <c r="E67" s="12" t="n">
        <v>0.43</v>
      </c>
      <c r="F67" s="12" t="n">
        <v>53372.24</v>
      </c>
      <c r="G67" s="12" t="n">
        <v>-7824.64</v>
      </c>
      <c r="H67" s="12" t="n">
        <v>0</v>
      </c>
      <c r="I67" s="12" t="n">
        <v>1.83</v>
      </c>
      <c r="J67" s="12" t="b">
        <v>0</v>
      </c>
    </row>
    <row r="68">
      <c r="A68" s="12" t="inlineStr">
        <is>
          <t>VS04</t>
        </is>
      </c>
      <c r="B68" s="12" t="b">
        <v>0</v>
      </c>
      <c r="C68" s="12" t="inlineStr">
        <is>
          <t>SS Sheets</t>
        </is>
      </c>
      <c r="D68" s="12" t="n">
        <v>4</v>
      </c>
      <c r="E68" s="12" t="n">
        <v>0.68</v>
      </c>
      <c r="F68" s="12" t="n">
        <v>51344.85</v>
      </c>
      <c r="G68" s="12" t="n">
        <v>11884.68</v>
      </c>
      <c r="H68" s="12" t="n">
        <v>0</v>
      </c>
      <c r="I68" s="12" t="n">
        <v>0.75</v>
      </c>
      <c r="J68" s="12" t="b">
        <v>1</v>
      </c>
    </row>
    <row r="69">
      <c r="A69" s="12" t="inlineStr">
        <is>
          <t>VS04</t>
        </is>
      </c>
      <c r="B69" s="12" t="b">
        <v>0</v>
      </c>
      <c r="C69" s="12" t="inlineStr">
        <is>
          <t>Square/Rect Tubes</t>
        </is>
      </c>
      <c r="D69" s="12" t="n">
        <v>7</v>
      </c>
      <c r="E69" s="12" t="n">
        <v>0.58</v>
      </c>
      <c r="F69" s="12" t="n">
        <v>64106.69</v>
      </c>
      <c r="G69" s="12" t="n">
        <v>5061.11</v>
      </c>
      <c r="H69" s="12" t="n">
        <v>0</v>
      </c>
      <c r="I69" s="12" t="n">
        <v>1</v>
      </c>
      <c r="J69" s="12" t="b">
        <v>0</v>
      </c>
    </row>
    <row r="70">
      <c r="A70" s="12" t="inlineStr">
        <is>
          <t>VS04</t>
        </is>
      </c>
      <c r="B70" s="12" t="b">
        <v>0</v>
      </c>
      <c r="C70" s="12" t="inlineStr">
        <is>
          <t>Structural Steel</t>
        </is>
      </c>
      <c r="D70" s="12" t="n">
        <v>6</v>
      </c>
      <c r="E70" s="12" t="n">
        <v>0.45</v>
      </c>
      <c r="F70" s="12" t="n">
        <v>29798.99</v>
      </c>
      <c r="G70" s="12" t="n">
        <v>-3413.24</v>
      </c>
      <c r="H70" s="12" t="n">
        <v>0</v>
      </c>
      <c r="I70" s="12" t="n">
        <v>1.17</v>
      </c>
      <c r="J70" s="12" t="b">
        <v>0</v>
      </c>
    </row>
    <row r="71">
      <c r="A71" s="12" t="inlineStr">
        <is>
          <t>VS04</t>
        </is>
      </c>
      <c r="B71" s="12" t="b">
        <v>1</v>
      </c>
      <c r="C71" s="12" t="inlineStr">
        <is>
          <t>GI Wire</t>
        </is>
      </c>
      <c r="D71" s="12" t="n">
        <v>7</v>
      </c>
      <c r="E71" s="12" t="n">
        <v>0.41</v>
      </c>
      <c r="F71" s="12" t="n">
        <v>47033.05</v>
      </c>
      <c r="G71" s="12" t="n">
        <v>-14640.97</v>
      </c>
      <c r="H71" s="12" t="n">
        <v>0</v>
      </c>
      <c r="I71" s="12" t="n">
        <v>1.57</v>
      </c>
      <c r="J71" s="12" t="b">
        <v>0</v>
      </c>
    </row>
    <row r="72">
      <c r="A72" s="12" t="inlineStr">
        <is>
          <t>VS04</t>
        </is>
      </c>
      <c r="B72" s="12" t="b">
        <v>1</v>
      </c>
      <c r="C72" s="12" t="inlineStr">
        <is>
          <t>HR Coils</t>
        </is>
      </c>
      <c r="D72" s="12" t="n">
        <v>11</v>
      </c>
      <c r="E72" s="12" t="n">
        <v>0.51</v>
      </c>
      <c r="F72" s="12" t="n">
        <v>125061.56</v>
      </c>
      <c r="G72" s="12" t="n">
        <v>5479.07</v>
      </c>
      <c r="H72" s="12" t="n">
        <v>0</v>
      </c>
      <c r="I72" s="12" t="n">
        <v>1.09</v>
      </c>
      <c r="J72" s="12" t="b">
        <v>0</v>
      </c>
    </row>
    <row r="73">
      <c r="A73" s="12" t="inlineStr">
        <is>
          <t>VS04</t>
        </is>
      </c>
      <c r="B73" s="12" t="b">
        <v>1</v>
      </c>
      <c r="C73" s="12" t="inlineStr">
        <is>
          <t>Spring Steel</t>
        </is>
      </c>
      <c r="D73" s="12" t="n">
        <v>5</v>
      </c>
      <c r="E73" s="12" t="n">
        <v>0.8</v>
      </c>
      <c r="F73" s="12" t="n">
        <v>78931.07000000001</v>
      </c>
      <c r="G73" s="12" t="n">
        <v>27470.8</v>
      </c>
      <c r="H73" s="12" t="n">
        <v>0</v>
      </c>
      <c r="I73" s="12" t="n">
        <v>1.6</v>
      </c>
      <c r="J73" s="12" t="b">
        <v>0</v>
      </c>
    </row>
    <row r="74">
      <c r="A74" s="12" t="inlineStr">
        <is>
          <t>VS05</t>
        </is>
      </c>
      <c r="B74" s="12" t="b">
        <v>0</v>
      </c>
      <c r="C74" s="12" t="inlineStr">
        <is>
          <t>Angles &amp; Channels</t>
        </is>
      </c>
      <c r="D74" s="12" t="n">
        <v>9</v>
      </c>
      <c r="E74" s="12" t="n">
        <v>0.46</v>
      </c>
      <c r="F74" s="12" t="n">
        <v>84751.3</v>
      </c>
      <c r="G74" s="12" t="n">
        <v>-12029.54</v>
      </c>
      <c r="H74" s="12" t="n">
        <v>0</v>
      </c>
      <c r="I74" s="12" t="n">
        <v>1.78</v>
      </c>
      <c r="J74" s="12" t="b">
        <v>0</v>
      </c>
    </row>
    <row r="75">
      <c r="A75" s="12" t="inlineStr">
        <is>
          <t>VS05</t>
        </is>
      </c>
      <c r="B75" s="12" t="b">
        <v>0</v>
      </c>
      <c r="C75" s="12" t="inlineStr">
        <is>
          <t>ERW Pipes</t>
        </is>
      </c>
      <c r="D75" s="12" t="n">
        <v>3</v>
      </c>
      <c r="E75" s="12" t="n">
        <v>0.76</v>
      </c>
      <c r="F75" s="12" t="n">
        <v>44968.69</v>
      </c>
      <c r="G75" s="12" t="n">
        <v>15607.15</v>
      </c>
      <c r="H75" s="12" t="n">
        <v>0</v>
      </c>
      <c r="I75" s="12" t="n">
        <v>0.67</v>
      </c>
      <c r="J75" s="12" t="b">
        <v>1</v>
      </c>
    </row>
    <row r="76">
      <c r="A76" s="12" t="inlineStr">
        <is>
          <t>VS05</t>
        </is>
      </c>
      <c r="B76" s="12" t="b">
        <v>0</v>
      </c>
      <c r="C76" s="12" t="inlineStr">
        <is>
          <t>Fasteners &amp; Fittings</t>
        </is>
      </c>
      <c r="D76" s="12" t="n">
        <v>6</v>
      </c>
      <c r="E76" s="12" t="n">
        <v>0.61</v>
      </c>
      <c r="F76" s="12" t="n">
        <v>63864.65</v>
      </c>
      <c r="G76" s="12" t="n">
        <v>15143.43</v>
      </c>
      <c r="H76" s="12" t="n">
        <v>0</v>
      </c>
      <c r="I76" s="12" t="n">
        <v>1.83</v>
      </c>
      <c r="J76" s="12" t="b">
        <v>0</v>
      </c>
    </row>
    <row r="77">
      <c r="A77" s="12" t="inlineStr">
        <is>
          <t>VS05</t>
        </is>
      </c>
      <c r="B77" s="12" t="b">
        <v>0</v>
      </c>
      <c r="C77" s="12" t="inlineStr">
        <is>
          <t>GI Pipes</t>
        </is>
      </c>
      <c r="D77" s="12" t="n">
        <v>12</v>
      </c>
      <c r="E77" s="12" t="n">
        <v>0.65</v>
      </c>
      <c r="F77" s="12" t="n">
        <v>125084.8</v>
      </c>
      <c r="G77" s="12" t="n">
        <v>28131.58</v>
      </c>
      <c r="H77" s="12" t="n">
        <v>0</v>
      </c>
      <c r="I77" s="12" t="n">
        <v>1.75</v>
      </c>
      <c r="J77" s="12" t="b">
        <v>0</v>
      </c>
    </row>
    <row r="78">
      <c r="A78" s="12" t="inlineStr">
        <is>
          <t>VS05</t>
        </is>
      </c>
      <c r="B78" s="12" t="b">
        <v>0</v>
      </c>
      <c r="C78" s="12" t="inlineStr">
        <is>
          <t>GI Sheets</t>
        </is>
      </c>
      <c r="D78" s="12" t="n">
        <v>8</v>
      </c>
      <c r="E78" s="12" t="n">
        <v>0.58</v>
      </c>
      <c r="F78" s="12" t="n">
        <v>131272.2</v>
      </c>
      <c r="G78" s="12" t="n">
        <v>14575.36</v>
      </c>
      <c r="H78" s="12" t="n">
        <v>0</v>
      </c>
      <c r="I78" s="12" t="n">
        <v>2.25</v>
      </c>
      <c r="J78" s="12" t="b">
        <v>0</v>
      </c>
    </row>
    <row r="79">
      <c r="A79" s="12" t="inlineStr">
        <is>
          <t>VS05</t>
        </is>
      </c>
      <c r="B79" s="12" t="b">
        <v>0</v>
      </c>
      <c r="C79" s="12" t="inlineStr">
        <is>
          <t>HR Coils</t>
        </is>
      </c>
      <c r="D79" s="12" t="n">
        <v>7</v>
      </c>
      <c r="E79" s="12" t="n">
        <v>0.59</v>
      </c>
      <c r="F79" s="12" t="n">
        <v>64922.58</v>
      </c>
      <c r="G79" s="12" t="n">
        <v>6416.55</v>
      </c>
      <c r="H79" s="12" t="n">
        <v>0</v>
      </c>
      <c r="I79" s="12" t="n">
        <v>2.29</v>
      </c>
      <c r="J79" s="12" t="b">
        <v>0</v>
      </c>
    </row>
    <row r="80">
      <c r="A80" s="12" t="inlineStr">
        <is>
          <t>VS05</t>
        </is>
      </c>
      <c r="B80" s="12" t="b">
        <v>0</v>
      </c>
      <c r="C80" s="12" t="inlineStr">
        <is>
          <t>Hex Bars</t>
        </is>
      </c>
      <c r="D80" s="12" t="n">
        <v>8</v>
      </c>
      <c r="E80" s="12" t="n">
        <v>0.57</v>
      </c>
      <c r="F80" s="12" t="n">
        <v>93177.62</v>
      </c>
      <c r="G80" s="12" t="n">
        <v>11359.57</v>
      </c>
      <c r="H80" s="12" t="n">
        <v>0</v>
      </c>
      <c r="I80" s="12" t="n">
        <v>1.5</v>
      </c>
      <c r="J80" s="12" t="b">
        <v>0</v>
      </c>
    </row>
    <row r="81">
      <c r="A81" s="12" t="inlineStr">
        <is>
          <t>VS05</t>
        </is>
      </c>
      <c r="B81" s="12" t="b">
        <v>0</v>
      </c>
      <c r="C81" s="12" t="inlineStr">
        <is>
          <t>MS Pipes</t>
        </is>
      </c>
      <c r="D81" s="12" t="n">
        <v>6</v>
      </c>
      <c r="E81" s="12" t="n">
        <v>0.47</v>
      </c>
      <c r="F81" s="12" t="n">
        <v>42609.58</v>
      </c>
      <c r="G81" s="12" t="n">
        <v>-7581.23</v>
      </c>
      <c r="H81" s="12" t="n">
        <v>0</v>
      </c>
      <c r="I81" s="12" t="n">
        <v>1.5</v>
      </c>
      <c r="J81" s="12" t="b">
        <v>0</v>
      </c>
    </row>
    <row r="82">
      <c r="A82" s="12" t="inlineStr">
        <is>
          <t>VS05</t>
        </is>
      </c>
      <c r="B82" s="12" t="b">
        <v>0</v>
      </c>
      <c r="C82" s="12" t="inlineStr">
        <is>
          <t>MS Rods</t>
        </is>
      </c>
      <c r="D82" s="12" t="n">
        <v>7</v>
      </c>
      <c r="E82" s="12" t="n">
        <v>0.46</v>
      </c>
      <c r="F82" s="12" t="n">
        <v>81475.86</v>
      </c>
      <c r="G82" s="12" t="n">
        <v>-6593.4</v>
      </c>
      <c r="H82" s="12" t="n">
        <v>0</v>
      </c>
      <c r="I82" s="12" t="n">
        <v>2.29</v>
      </c>
      <c r="J82" s="12" t="b">
        <v>0</v>
      </c>
    </row>
    <row r="83">
      <c r="A83" s="12" t="inlineStr">
        <is>
          <t>VS05</t>
        </is>
      </c>
      <c r="B83" s="12" t="b">
        <v>0</v>
      </c>
      <c r="C83" s="12" t="inlineStr">
        <is>
          <t>MS Sheets</t>
        </is>
      </c>
      <c r="D83" s="12" t="n">
        <v>3</v>
      </c>
      <c r="E83" s="12" t="n">
        <v>0.59</v>
      </c>
      <c r="F83" s="12" t="n">
        <v>57693.87</v>
      </c>
      <c r="G83" s="12" t="n">
        <v>6623.16</v>
      </c>
      <c r="H83" s="12" t="n">
        <v>0</v>
      </c>
      <c r="I83" s="12" t="n">
        <v>0.67</v>
      </c>
      <c r="J83" s="12" t="b">
        <v>1</v>
      </c>
    </row>
    <row r="84">
      <c r="A84" s="12" t="inlineStr">
        <is>
          <t>VS05</t>
        </is>
      </c>
      <c r="B84" s="12" t="b">
        <v>0</v>
      </c>
      <c r="C84" s="12" t="inlineStr">
        <is>
          <t>SS Pipes</t>
        </is>
      </c>
      <c r="D84" s="12" t="n">
        <v>7</v>
      </c>
      <c r="E84" s="12" t="n">
        <v>0.49</v>
      </c>
      <c r="F84" s="12" t="n">
        <v>57912.63</v>
      </c>
      <c r="G84" s="12" t="n">
        <v>-3948.74</v>
      </c>
      <c r="H84" s="12" t="n">
        <v>0</v>
      </c>
      <c r="I84" s="12" t="n">
        <v>1.86</v>
      </c>
      <c r="J84" s="12" t="b">
        <v>0</v>
      </c>
    </row>
    <row r="85">
      <c r="A85" s="12" t="inlineStr">
        <is>
          <t>VS05</t>
        </is>
      </c>
      <c r="B85" s="12" t="b">
        <v>0</v>
      </c>
      <c r="C85" s="12" t="inlineStr">
        <is>
          <t>SS Sheets</t>
        </is>
      </c>
      <c r="D85" s="12" t="n">
        <v>7</v>
      </c>
      <c r="E85" s="12" t="n">
        <v>0.55</v>
      </c>
      <c r="F85" s="12" t="n">
        <v>53530.98</v>
      </c>
      <c r="G85" s="12" t="n">
        <v>3859.69</v>
      </c>
      <c r="H85" s="12" t="n">
        <v>0</v>
      </c>
      <c r="I85" s="12" t="n">
        <v>1.71</v>
      </c>
      <c r="J85" s="12" t="b">
        <v>0</v>
      </c>
    </row>
    <row r="86">
      <c r="A86" s="12" t="inlineStr">
        <is>
          <t>VS05</t>
        </is>
      </c>
      <c r="B86" s="12" t="b">
        <v>0</v>
      </c>
      <c r="C86" s="12" t="inlineStr">
        <is>
          <t>Spring Steel</t>
        </is>
      </c>
      <c r="D86" s="12" t="n">
        <v>5</v>
      </c>
      <c r="E86" s="12" t="n">
        <v>0.33</v>
      </c>
      <c r="F86" s="12" t="n">
        <v>36779.36</v>
      </c>
      <c r="G86" s="12" t="n">
        <v>-21018.29</v>
      </c>
      <c r="H86" s="12" t="n">
        <v>0</v>
      </c>
      <c r="I86" s="12" t="n">
        <v>1.4</v>
      </c>
      <c r="J86" s="12" t="b">
        <v>0</v>
      </c>
    </row>
    <row r="87">
      <c r="A87" s="12" t="inlineStr">
        <is>
          <t>VS05</t>
        </is>
      </c>
      <c r="B87" s="12" t="b">
        <v>0</v>
      </c>
      <c r="C87" s="12" t="inlineStr">
        <is>
          <t>Square/Rect Tubes</t>
        </is>
      </c>
      <c r="D87" s="12" t="n">
        <v>14</v>
      </c>
      <c r="E87" s="12" t="n">
        <v>0.57</v>
      </c>
      <c r="F87" s="12" t="n">
        <v>184798.53</v>
      </c>
      <c r="G87" s="12" t="n">
        <v>26507.68</v>
      </c>
      <c r="H87" s="12" t="n">
        <v>0</v>
      </c>
      <c r="I87" s="12" t="n">
        <v>1</v>
      </c>
      <c r="J87" s="12" t="b">
        <v>0</v>
      </c>
    </row>
    <row r="88">
      <c r="A88" s="12" t="inlineStr">
        <is>
          <t>VS05</t>
        </is>
      </c>
      <c r="B88" s="12" t="b">
        <v>0</v>
      </c>
      <c r="C88" s="12" t="inlineStr">
        <is>
          <t>Structural Steel</t>
        </is>
      </c>
      <c r="D88" s="12" t="n">
        <v>11</v>
      </c>
      <c r="E88" s="12" t="n">
        <v>0.44</v>
      </c>
      <c r="F88" s="12" t="n">
        <v>116099.22</v>
      </c>
      <c r="G88" s="12" t="n">
        <v>-12504.22</v>
      </c>
      <c r="H88" s="12" t="n">
        <v>0</v>
      </c>
      <c r="I88" s="12" t="n">
        <v>1.27</v>
      </c>
      <c r="J88" s="12" t="b">
        <v>0</v>
      </c>
    </row>
    <row r="89">
      <c r="A89" s="12" t="inlineStr">
        <is>
          <t>VS05</t>
        </is>
      </c>
      <c r="B89" s="12" t="b">
        <v>1</v>
      </c>
      <c r="C89" s="12" t="inlineStr">
        <is>
          <t>CR Sheets</t>
        </is>
      </c>
      <c r="D89" s="12" t="n">
        <v>12</v>
      </c>
      <c r="E89" s="12" t="n">
        <v>0.5</v>
      </c>
      <c r="F89" s="12" t="n">
        <v>148558.58</v>
      </c>
      <c r="G89" s="12" t="n">
        <v>-13594.51</v>
      </c>
      <c r="H89" s="12" t="n">
        <v>0</v>
      </c>
      <c r="I89" s="12" t="n">
        <v>0.67</v>
      </c>
      <c r="J89" s="12" t="b">
        <v>0</v>
      </c>
    </row>
    <row r="90">
      <c r="A90" s="12" t="inlineStr">
        <is>
          <t>VS05</t>
        </is>
      </c>
      <c r="B90" s="12" t="b">
        <v>1</v>
      </c>
      <c r="C90" s="12" t="inlineStr">
        <is>
          <t>GI Wire</t>
        </is>
      </c>
      <c r="D90" s="12" t="n">
        <v>4</v>
      </c>
      <c r="E90" s="12" t="n">
        <v>0.53</v>
      </c>
      <c r="F90" s="12" t="n">
        <v>43729.08</v>
      </c>
      <c r="G90" s="12" t="n">
        <v>-998.13</v>
      </c>
      <c r="H90" s="12" t="n">
        <v>0</v>
      </c>
      <c r="I90" s="12" t="n">
        <v>2.25</v>
      </c>
      <c r="J90" s="12" t="b">
        <v>1</v>
      </c>
    </row>
    <row r="91">
      <c r="A91" s="12" t="inlineStr">
        <is>
          <t>VS05</t>
        </is>
      </c>
      <c r="B91" s="12" t="b">
        <v>1</v>
      </c>
      <c r="C91" s="12" t="inlineStr">
        <is>
          <t>MS Flats</t>
        </is>
      </c>
      <c r="D91" s="12" t="n">
        <v>8</v>
      </c>
      <c r="E91" s="12" t="n">
        <v>0.78</v>
      </c>
      <c r="F91" s="12" t="n">
        <v>116832.3</v>
      </c>
      <c r="G91" s="12" t="n">
        <v>42379.85</v>
      </c>
      <c r="H91" s="12" t="n">
        <v>0</v>
      </c>
      <c r="I91" s="12" t="n">
        <v>2</v>
      </c>
      <c r="J91" s="12" t="b">
        <v>0</v>
      </c>
    </row>
    <row r="92">
      <c r="A92" s="12" t="inlineStr">
        <is>
          <t>VS06</t>
        </is>
      </c>
      <c r="B92" s="12" t="b">
        <v>0</v>
      </c>
      <c r="C92" s="12" t="inlineStr">
        <is>
          <t>Angles &amp; Channels</t>
        </is>
      </c>
      <c r="D92" s="12" t="n">
        <v>5</v>
      </c>
      <c r="E92" s="12" t="n">
        <v>0.5600000000000001</v>
      </c>
      <c r="F92" s="12" t="n">
        <v>57681.09</v>
      </c>
      <c r="G92" s="12" t="n">
        <v>6225.88</v>
      </c>
      <c r="H92" s="12" t="n">
        <v>0</v>
      </c>
      <c r="I92" s="12" t="n">
        <v>1.8</v>
      </c>
      <c r="J92" s="12" t="b">
        <v>0</v>
      </c>
    </row>
    <row r="93">
      <c r="A93" s="12" t="inlineStr">
        <is>
          <t>VS06</t>
        </is>
      </c>
      <c r="B93" s="12" t="b">
        <v>0</v>
      </c>
      <c r="C93" s="12" t="inlineStr">
        <is>
          <t>CR Sheets</t>
        </is>
      </c>
      <c r="D93" s="12" t="n">
        <v>4</v>
      </c>
      <c r="E93" s="12" t="n">
        <v>0.67</v>
      </c>
      <c r="F93" s="12" t="n">
        <v>61200.9</v>
      </c>
      <c r="G93" s="12" t="n">
        <v>15611.2</v>
      </c>
      <c r="H93" s="12" t="n">
        <v>0</v>
      </c>
      <c r="I93" s="12" t="n">
        <v>1</v>
      </c>
      <c r="J93" s="12" t="b">
        <v>1</v>
      </c>
    </row>
    <row r="94">
      <c r="A94" s="12" t="inlineStr">
        <is>
          <t>VS06</t>
        </is>
      </c>
      <c r="B94" s="12" t="b">
        <v>0</v>
      </c>
      <c r="C94" s="12" t="inlineStr">
        <is>
          <t>ERW Pipes</t>
        </is>
      </c>
      <c r="D94" s="12" t="n">
        <v>4</v>
      </c>
      <c r="E94" s="12" t="n">
        <v>0.37</v>
      </c>
      <c r="F94" s="12" t="n">
        <v>42609.68</v>
      </c>
      <c r="G94" s="12" t="n">
        <v>-11823.46</v>
      </c>
      <c r="H94" s="12" t="n">
        <v>0</v>
      </c>
      <c r="I94" s="12" t="n">
        <v>2</v>
      </c>
      <c r="J94" s="12" t="b">
        <v>1</v>
      </c>
    </row>
    <row r="95">
      <c r="A95" s="12" t="inlineStr">
        <is>
          <t>VS06</t>
        </is>
      </c>
      <c r="B95" s="12" t="b">
        <v>0</v>
      </c>
      <c r="C95" s="12" t="inlineStr">
        <is>
          <t>Fasteners &amp; Fittings</t>
        </is>
      </c>
      <c r="D95" s="12" t="n">
        <v>10</v>
      </c>
      <c r="E95" s="12" t="n">
        <v>0.36</v>
      </c>
      <c r="F95" s="12" t="n">
        <v>82436.02</v>
      </c>
      <c r="G95" s="12" t="n">
        <v>-24963.78</v>
      </c>
      <c r="H95" s="12" t="n">
        <v>0</v>
      </c>
      <c r="I95" s="12" t="n">
        <v>1.1</v>
      </c>
      <c r="J95" s="12" t="b">
        <v>0</v>
      </c>
    </row>
    <row r="96">
      <c r="A96" s="12" t="inlineStr">
        <is>
          <t>VS06</t>
        </is>
      </c>
      <c r="B96" s="12" t="b">
        <v>0</v>
      </c>
      <c r="C96" s="12" t="inlineStr">
        <is>
          <t>GI Pipes</t>
        </is>
      </c>
      <c r="D96" s="12" t="n">
        <v>9</v>
      </c>
      <c r="E96" s="12" t="n">
        <v>0.6</v>
      </c>
      <c r="F96" s="12" t="n">
        <v>140127.73</v>
      </c>
      <c r="G96" s="12" t="n">
        <v>18739.66</v>
      </c>
      <c r="H96" s="12" t="n">
        <v>0</v>
      </c>
      <c r="I96" s="12" t="n">
        <v>1.89</v>
      </c>
      <c r="J96" s="12" t="b">
        <v>0</v>
      </c>
    </row>
    <row r="97">
      <c r="A97" s="12" t="inlineStr">
        <is>
          <t>VS06</t>
        </is>
      </c>
      <c r="B97" s="12" t="b">
        <v>0</v>
      </c>
      <c r="C97" s="12" t="inlineStr">
        <is>
          <t>GI Sheets</t>
        </is>
      </c>
      <c r="D97" s="12" t="n">
        <v>3</v>
      </c>
      <c r="E97" s="12" t="n">
        <v>0.37</v>
      </c>
      <c r="F97" s="12" t="n">
        <v>25146.82</v>
      </c>
      <c r="G97" s="12" t="n">
        <v>-10702.92</v>
      </c>
      <c r="H97" s="12" t="n">
        <v>0</v>
      </c>
      <c r="I97" s="12" t="n">
        <v>2.33</v>
      </c>
      <c r="J97" s="12" t="b">
        <v>1</v>
      </c>
    </row>
    <row r="98">
      <c r="A98" s="12" t="inlineStr">
        <is>
          <t>VS06</t>
        </is>
      </c>
      <c r="B98" s="12" t="b">
        <v>0</v>
      </c>
      <c r="C98" s="12" t="inlineStr">
        <is>
          <t>GI Wire</t>
        </is>
      </c>
      <c r="D98" s="12" t="n">
        <v>11</v>
      </c>
      <c r="E98" s="12" t="n">
        <v>0.63</v>
      </c>
      <c r="F98" s="12" t="n">
        <v>154981.1</v>
      </c>
      <c r="G98" s="12" t="n">
        <v>25505.94</v>
      </c>
      <c r="H98" s="12" t="n">
        <v>0</v>
      </c>
      <c r="I98" s="12" t="n">
        <v>2</v>
      </c>
      <c r="J98" s="12" t="b">
        <v>0</v>
      </c>
    </row>
    <row r="99">
      <c r="A99" s="12" t="inlineStr">
        <is>
          <t>VS06</t>
        </is>
      </c>
      <c r="B99" s="12" t="b">
        <v>0</v>
      </c>
      <c r="C99" s="12" t="inlineStr">
        <is>
          <t>HR Coils</t>
        </is>
      </c>
      <c r="D99" s="12" t="n">
        <v>5</v>
      </c>
      <c r="E99" s="12" t="n">
        <v>0.28</v>
      </c>
      <c r="F99" s="12" t="n">
        <v>32317.87</v>
      </c>
      <c r="G99" s="12" t="n">
        <v>-21300.67</v>
      </c>
      <c r="H99" s="12" t="n">
        <v>0</v>
      </c>
      <c r="I99" s="12" t="n">
        <v>1</v>
      </c>
      <c r="J99" s="12" t="b">
        <v>0</v>
      </c>
    </row>
    <row r="100">
      <c r="A100" s="12" t="inlineStr">
        <is>
          <t>VS06</t>
        </is>
      </c>
      <c r="B100" s="12" t="b">
        <v>0</v>
      </c>
      <c r="C100" s="12" t="inlineStr">
        <is>
          <t>Hex Bars</t>
        </is>
      </c>
      <c r="D100" s="12" t="n">
        <v>6</v>
      </c>
      <c r="E100" s="12" t="n">
        <v>0.61</v>
      </c>
      <c r="F100" s="12" t="n">
        <v>110042.99</v>
      </c>
      <c r="G100" s="12" t="n">
        <v>23658.03</v>
      </c>
      <c r="H100" s="12" t="n">
        <v>0</v>
      </c>
      <c r="I100" s="12" t="n">
        <v>0.5</v>
      </c>
      <c r="J100" s="12" t="b">
        <v>0</v>
      </c>
    </row>
    <row r="101">
      <c r="A101" s="12" t="inlineStr">
        <is>
          <t>VS06</t>
        </is>
      </c>
      <c r="B101" s="12" t="b">
        <v>0</v>
      </c>
      <c r="C101" s="12" t="inlineStr">
        <is>
          <t>MS Flats</t>
        </is>
      </c>
      <c r="D101" s="12" t="n">
        <v>17</v>
      </c>
      <c r="E101" s="12" t="n">
        <v>0.41</v>
      </c>
      <c r="F101" s="12" t="n">
        <v>171742.42</v>
      </c>
      <c r="G101" s="12" t="n">
        <v>-52532.23</v>
      </c>
      <c r="H101" s="12" t="n">
        <v>0</v>
      </c>
      <c r="I101" s="12" t="n">
        <v>1.41</v>
      </c>
      <c r="J101" s="12" t="b">
        <v>0</v>
      </c>
    </row>
    <row r="102">
      <c r="A102" s="12" t="inlineStr">
        <is>
          <t>VS06</t>
        </is>
      </c>
      <c r="B102" s="12" t="b">
        <v>0</v>
      </c>
      <c r="C102" s="12" t="inlineStr">
        <is>
          <t>MS Pipes</t>
        </is>
      </c>
      <c r="D102" s="12" t="n">
        <v>5</v>
      </c>
      <c r="E102" s="12" t="n">
        <v>0.61</v>
      </c>
      <c r="F102" s="12" t="n">
        <v>64079.8</v>
      </c>
      <c r="G102" s="12" t="n">
        <v>7396.25</v>
      </c>
      <c r="H102" s="12" t="n">
        <v>0</v>
      </c>
      <c r="I102" s="12" t="n">
        <v>2</v>
      </c>
      <c r="J102" s="12" t="b">
        <v>0</v>
      </c>
    </row>
    <row r="103">
      <c r="A103" s="12" t="inlineStr">
        <is>
          <t>VS06</t>
        </is>
      </c>
      <c r="B103" s="12" t="b">
        <v>0</v>
      </c>
      <c r="C103" s="12" t="inlineStr">
        <is>
          <t>MS Sheets</t>
        </is>
      </c>
      <c r="D103" s="12" t="n">
        <v>13</v>
      </c>
      <c r="E103" s="12" t="n">
        <v>0.41</v>
      </c>
      <c r="F103" s="12" t="n">
        <v>68352.89999999999</v>
      </c>
      <c r="G103" s="12" t="n">
        <v>-14637.84</v>
      </c>
      <c r="H103" s="12" t="n">
        <v>0</v>
      </c>
      <c r="I103" s="12" t="n">
        <v>1.23</v>
      </c>
      <c r="J103" s="12" t="b">
        <v>0</v>
      </c>
    </row>
    <row r="104">
      <c r="A104" s="12" t="inlineStr">
        <is>
          <t>VS06</t>
        </is>
      </c>
      <c r="B104" s="12" t="b">
        <v>0</v>
      </c>
      <c r="C104" s="12" t="inlineStr">
        <is>
          <t>SS Pipes</t>
        </is>
      </c>
      <c r="D104" s="12" t="n">
        <v>11</v>
      </c>
      <c r="E104" s="12" t="n">
        <v>0.6</v>
      </c>
      <c r="F104" s="12" t="n">
        <v>108638.47</v>
      </c>
      <c r="G104" s="12" t="n">
        <v>15905.84</v>
      </c>
      <c r="H104" s="12" t="n">
        <v>0</v>
      </c>
      <c r="I104" s="12" t="n">
        <v>2</v>
      </c>
      <c r="J104" s="12" t="b">
        <v>0</v>
      </c>
    </row>
    <row r="105">
      <c r="A105" s="12" t="inlineStr">
        <is>
          <t>VS06</t>
        </is>
      </c>
      <c r="B105" s="12" t="b">
        <v>0</v>
      </c>
      <c r="C105" s="12" t="inlineStr">
        <is>
          <t>SS Sheets</t>
        </is>
      </c>
      <c r="D105" s="12" t="n">
        <v>12</v>
      </c>
      <c r="E105" s="12" t="n">
        <v>0.64</v>
      </c>
      <c r="F105" s="12" t="n">
        <v>155020.94</v>
      </c>
      <c r="G105" s="12" t="n">
        <v>31755.4</v>
      </c>
      <c r="H105" s="12" t="n">
        <v>0</v>
      </c>
      <c r="I105" s="12" t="n">
        <v>1.08</v>
      </c>
      <c r="J105" s="12" t="b">
        <v>0</v>
      </c>
    </row>
    <row r="106">
      <c r="A106" s="12" t="inlineStr">
        <is>
          <t>VS06</t>
        </is>
      </c>
      <c r="B106" s="12" t="b">
        <v>0</v>
      </c>
      <c r="C106" s="12" t="inlineStr">
        <is>
          <t>Spring Steel</t>
        </is>
      </c>
      <c r="D106" s="12" t="n">
        <v>11</v>
      </c>
      <c r="E106" s="12" t="n">
        <v>0.44</v>
      </c>
      <c r="F106" s="12" t="n">
        <v>133110.27</v>
      </c>
      <c r="G106" s="12" t="n">
        <v>-17759.64</v>
      </c>
      <c r="H106" s="12" t="n">
        <v>0</v>
      </c>
      <c r="I106" s="12" t="n">
        <v>1.27</v>
      </c>
      <c r="J106" s="12" t="b">
        <v>0</v>
      </c>
    </row>
    <row r="107">
      <c r="A107" s="12" t="inlineStr">
        <is>
          <t>VS06</t>
        </is>
      </c>
      <c r="B107" s="12" t="b">
        <v>0</v>
      </c>
      <c r="C107" s="12" t="inlineStr">
        <is>
          <t>Square/Rect Tubes</t>
        </is>
      </c>
      <c r="D107" s="12" t="n">
        <v>6</v>
      </c>
      <c r="E107" s="12" t="n">
        <v>0.26</v>
      </c>
      <c r="F107" s="12" t="n">
        <v>56553.37</v>
      </c>
      <c r="G107" s="12" t="n">
        <v>-53377.91</v>
      </c>
      <c r="H107" s="12" t="n">
        <v>0</v>
      </c>
      <c r="I107" s="12" t="n">
        <v>2.33</v>
      </c>
      <c r="J107" s="12" t="b">
        <v>0</v>
      </c>
    </row>
    <row r="108">
      <c r="A108" s="12" t="inlineStr">
        <is>
          <t>VS06</t>
        </is>
      </c>
      <c r="B108" s="12" t="b">
        <v>0</v>
      </c>
      <c r="C108" s="12" t="inlineStr">
        <is>
          <t>Structural Steel</t>
        </is>
      </c>
      <c r="D108" s="12" t="n">
        <v>7</v>
      </c>
      <c r="E108" s="12" t="n">
        <v>0.4</v>
      </c>
      <c r="F108" s="12" t="n">
        <v>82405.02</v>
      </c>
      <c r="G108" s="12" t="n">
        <v>-13476.39</v>
      </c>
      <c r="H108" s="12" t="n">
        <v>0</v>
      </c>
      <c r="I108" s="12" t="n">
        <v>1.43</v>
      </c>
      <c r="J108" s="12" t="b">
        <v>0</v>
      </c>
    </row>
    <row r="109">
      <c r="A109" s="12" t="inlineStr">
        <is>
          <t>VS06</t>
        </is>
      </c>
      <c r="B109" s="12" t="b">
        <v>1</v>
      </c>
      <c r="C109" s="12" t="inlineStr">
        <is>
          <t>MS Rods</t>
        </is>
      </c>
      <c r="D109" s="12" t="n">
        <v>7</v>
      </c>
      <c r="E109" s="12" t="n">
        <v>0.24</v>
      </c>
      <c r="F109" s="12" t="n">
        <v>48342</v>
      </c>
      <c r="G109" s="12" t="n">
        <v>-54296.35</v>
      </c>
      <c r="H109" s="12" t="n">
        <v>0</v>
      </c>
      <c r="I109" s="12" t="n">
        <v>1.43</v>
      </c>
      <c r="J109" s="12" t="b">
        <v>0</v>
      </c>
    </row>
    <row r="110">
      <c r="A110" s="12" t="inlineStr">
        <is>
          <t>VS07</t>
        </is>
      </c>
      <c r="B110" s="12" t="b">
        <v>0</v>
      </c>
      <c r="C110" s="12" t="inlineStr">
        <is>
          <t>Angles &amp; Channels</t>
        </is>
      </c>
      <c r="D110" s="12" t="n">
        <v>3</v>
      </c>
      <c r="E110" s="12" t="n">
        <v>0.12</v>
      </c>
      <c r="F110" s="12" t="n">
        <v>7644.89</v>
      </c>
      <c r="G110" s="12" t="n">
        <v>-22430.34</v>
      </c>
      <c r="H110" s="12" t="n">
        <v>0</v>
      </c>
      <c r="I110" s="12" t="n">
        <v>1</v>
      </c>
      <c r="J110" s="12" t="b">
        <v>1</v>
      </c>
    </row>
    <row r="111">
      <c r="A111" s="12" t="inlineStr">
        <is>
          <t>VS07</t>
        </is>
      </c>
      <c r="B111" s="12" t="b">
        <v>0</v>
      </c>
      <c r="C111" s="12" t="inlineStr">
        <is>
          <t>CR Sheets</t>
        </is>
      </c>
      <c r="D111" s="12" t="n">
        <v>11</v>
      </c>
      <c r="E111" s="12" t="n">
        <v>0.5600000000000001</v>
      </c>
      <c r="F111" s="12" t="n">
        <v>164313.68</v>
      </c>
      <c r="G111" s="12" t="n">
        <v>7264.3</v>
      </c>
      <c r="H111" s="12" t="n">
        <v>0</v>
      </c>
      <c r="I111" s="12" t="n">
        <v>1.27</v>
      </c>
      <c r="J111" s="12" t="b">
        <v>0</v>
      </c>
    </row>
    <row r="112">
      <c r="A112" s="12" t="inlineStr">
        <is>
          <t>VS07</t>
        </is>
      </c>
      <c r="B112" s="12" t="b">
        <v>0</v>
      </c>
      <c r="C112" s="12" t="inlineStr">
        <is>
          <t>ERW Pipes</t>
        </is>
      </c>
      <c r="D112" s="12" t="n">
        <v>8</v>
      </c>
      <c r="E112" s="12" t="n">
        <v>0.7</v>
      </c>
      <c r="F112" s="12" t="n">
        <v>111551.02</v>
      </c>
      <c r="G112" s="12" t="n">
        <v>28786.99</v>
      </c>
      <c r="H112" s="12" t="n">
        <v>0</v>
      </c>
      <c r="I112" s="12" t="n">
        <v>1.38</v>
      </c>
      <c r="J112" s="12" t="b">
        <v>0</v>
      </c>
    </row>
    <row r="113">
      <c r="A113" s="12" t="inlineStr">
        <is>
          <t>VS07</t>
        </is>
      </c>
      <c r="B113" s="12" t="b">
        <v>0</v>
      </c>
      <c r="C113" s="12" t="inlineStr">
        <is>
          <t>GI Pipes</t>
        </is>
      </c>
      <c r="D113" s="12" t="n">
        <v>10</v>
      </c>
      <c r="E113" s="12" t="n">
        <v>0.51</v>
      </c>
      <c r="F113" s="12" t="n">
        <v>77400.41</v>
      </c>
      <c r="G113" s="12" t="n">
        <v>-599.6799999999999</v>
      </c>
      <c r="H113" s="12" t="n">
        <v>0</v>
      </c>
      <c r="I113" s="12" t="n">
        <v>1.7</v>
      </c>
      <c r="J113" s="12" t="b">
        <v>0</v>
      </c>
    </row>
    <row r="114">
      <c r="A114" s="12" t="inlineStr">
        <is>
          <t>VS07</t>
        </is>
      </c>
      <c r="B114" s="12" t="b">
        <v>0</v>
      </c>
      <c r="C114" s="12" t="inlineStr">
        <is>
          <t>GI Sheets</t>
        </is>
      </c>
      <c r="D114" s="12" t="n">
        <v>11</v>
      </c>
      <c r="E114" s="12" t="n">
        <v>0.61</v>
      </c>
      <c r="F114" s="12" t="n">
        <v>156380.93</v>
      </c>
      <c r="G114" s="12" t="n">
        <v>26742.37</v>
      </c>
      <c r="H114" s="12" t="n">
        <v>0</v>
      </c>
      <c r="I114" s="12" t="n">
        <v>1.91</v>
      </c>
      <c r="J114" s="12" t="b">
        <v>0</v>
      </c>
    </row>
    <row r="115">
      <c r="A115" s="12" t="inlineStr">
        <is>
          <t>VS07</t>
        </is>
      </c>
      <c r="B115" s="12" t="b">
        <v>0</v>
      </c>
      <c r="C115" s="12" t="inlineStr">
        <is>
          <t>GI Wire</t>
        </is>
      </c>
      <c r="D115" s="12" t="n">
        <v>10</v>
      </c>
      <c r="E115" s="12" t="n">
        <v>0.45</v>
      </c>
      <c r="F115" s="12" t="n">
        <v>75343.00999999999</v>
      </c>
      <c r="G115" s="12" t="n">
        <v>-14124.23</v>
      </c>
      <c r="H115" s="12" t="n">
        <v>0</v>
      </c>
      <c r="I115" s="12" t="n">
        <v>0.9</v>
      </c>
      <c r="J115" s="12" t="b">
        <v>0</v>
      </c>
    </row>
    <row r="116">
      <c r="A116" s="12" t="inlineStr">
        <is>
          <t>VS07</t>
        </is>
      </c>
      <c r="B116" s="12" t="b">
        <v>0</v>
      </c>
      <c r="C116" s="12" t="inlineStr">
        <is>
          <t>HR Coils</t>
        </is>
      </c>
      <c r="D116" s="12" t="n">
        <v>13</v>
      </c>
      <c r="E116" s="12" t="n">
        <v>0.61</v>
      </c>
      <c r="F116" s="12" t="n">
        <v>141630.71</v>
      </c>
      <c r="G116" s="12" t="n">
        <v>23195.46</v>
      </c>
      <c r="H116" s="12" t="n">
        <v>0</v>
      </c>
      <c r="I116" s="12" t="n">
        <v>1.62</v>
      </c>
      <c r="J116" s="12" t="b">
        <v>0</v>
      </c>
    </row>
    <row r="117">
      <c r="A117" s="12" t="inlineStr">
        <is>
          <t>VS07</t>
        </is>
      </c>
      <c r="B117" s="12" t="b">
        <v>0</v>
      </c>
      <c r="C117" s="12" t="inlineStr">
        <is>
          <t>Hex Bars</t>
        </is>
      </c>
      <c r="D117" s="12" t="n">
        <v>8</v>
      </c>
      <c r="E117" s="12" t="n">
        <v>0.59</v>
      </c>
      <c r="F117" s="12" t="n">
        <v>126758.04</v>
      </c>
      <c r="G117" s="12" t="n">
        <v>20318.51</v>
      </c>
      <c r="H117" s="12" t="n">
        <v>0</v>
      </c>
      <c r="I117" s="12" t="n">
        <v>0.88</v>
      </c>
      <c r="J117" s="12" t="b">
        <v>0</v>
      </c>
    </row>
    <row r="118">
      <c r="A118" s="12" t="inlineStr">
        <is>
          <t>VS07</t>
        </is>
      </c>
      <c r="B118" s="12" t="b">
        <v>0</v>
      </c>
      <c r="C118" s="12" t="inlineStr">
        <is>
          <t>MS Flats</t>
        </is>
      </c>
      <c r="D118" s="12" t="n">
        <v>12</v>
      </c>
      <c r="E118" s="12" t="n">
        <v>0.5</v>
      </c>
      <c r="F118" s="12" t="n">
        <v>100284.22</v>
      </c>
      <c r="G118" s="12" t="n">
        <v>-684.8200000000001</v>
      </c>
      <c r="H118" s="12" t="n">
        <v>0</v>
      </c>
      <c r="I118" s="12" t="n">
        <v>1.17</v>
      </c>
      <c r="J118" s="12" t="b">
        <v>0</v>
      </c>
    </row>
    <row r="119">
      <c r="A119" s="12" t="inlineStr">
        <is>
          <t>VS07</t>
        </is>
      </c>
      <c r="B119" s="12" t="b">
        <v>0</v>
      </c>
      <c r="C119" s="12" t="inlineStr">
        <is>
          <t>MS Pipes</t>
        </is>
      </c>
      <c r="D119" s="12" t="n">
        <v>8</v>
      </c>
      <c r="E119" s="12" t="n">
        <v>0.51</v>
      </c>
      <c r="F119" s="12" t="n">
        <v>48552.45</v>
      </c>
      <c r="G119" s="12" t="n">
        <v>-5534.48</v>
      </c>
      <c r="H119" s="12" t="n">
        <v>0</v>
      </c>
      <c r="I119" s="12" t="n">
        <v>1.75</v>
      </c>
      <c r="J119" s="12" t="b">
        <v>0</v>
      </c>
    </row>
    <row r="120">
      <c r="A120" s="12" t="inlineStr">
        <is>
          <t>VS07</t>
        </is>
      </c>
      <c r="B120" s="12" t="b">
        <v>0</v>
      </c>
      <c r="C120" s="12" t="inlineStr">
        <is>
          <t>MS Rods</t>
        </is>
      </c>
      <c r="D120" s="12" t="n">
        <v>13</v>
      </c>
      <c r="E120" s="12" t="n">
        <v>0.4</v>
      </c>
      <c r="F120" s="12" t="n">
        <v>106005.61</v>
      </c>
      <c r="G120" s="12" t="n">
        <v>-24038.23</v>
      </c>
      <c r="H120" s="12" t="n">
        <v>0</v>
      </c>
      <c r="I120" s="12" t="n">
        <v>1.15</v>
      </c>
      <c r="J120" s="12" t="b">
        <v>0</v>
      </c>
    </row>
    <row r="121">
      <c r="A121" s="12" t="inlineStr">
        <is>
          <t>VS07</t>
        </is>
      </c>
      <c r="B121" s="12" t="b">
        <v>0</v>
      </c>
      <c r="C121" s="12" t="inlineStr">
        <is>
          <t>MS Sheets</t>
        </is>
      </c>
      <c r="D121" s="12" t="n">
        <v>7</v>
      </c>
      <c r="E121" s="12" t="n">
        <v>0.39</v>
      </c>
      <c r="F121" s="12" t="n">
        <v>55438.51</v>
      </c>
      <c r="G121" s="12" t="n">
        <v>-17615.39</v>
      </c>
      <c r="H121" s="12" t="n">
        <v>0</v>
      </c>
      <c r="I121" s="12" t="n">
        <v>1.43</v>
      </c>
      <c r="J121" s="12" t="b">
        <v>0</v>
      </c>
    </row>
    <row r="122">
      <c r="A122" s="12" t="inlineStr">
        <is>
          <t>VS07</t>
        </is>
      </c>
      <c r="B122" s="12" t="b">
        <v>0</v>
      </c>
      <c r="C122" s="12" t="inlineStr">
        <is>
          <t>SS Pipes</t>
        </is>
      </c>
      <c r="D122" s="12" t="n">
        <v>5</v>
      </c>
      <c r="E122" s="12" t="n">
        <v>0.71</v>
      </c>
      <c r="F122" s="12" t="n">
        <v>66315.17</v>
      </c>
      <c r="G122" s="12" t="n">
        <v>15684.01</v>
      </c>
      <c r="H122" s="12" t="n">
        <v>0</v>
      </c>
      <c r="I122" s="12" t="n">
        <v>1.4</v>
      </c>
      <c r="J122" s="12" t="b">
        <v>0</v>
      </c>
    </row>
    <row r="123">
      <c r="A123" s="12" t="inlineStr">
        <is>
          <t>VS07</t>
        </is>
      </c>
      <c r="B123" s="12" t="b">
        <v>0</v>
      </c>
      <c r="C123" s="12" t="inlineStr">
        <is>
          <t>SS Sheets</t>
        </is>
      </c>
      <c r="D123" s="12" t="n">
        <v>9</v>
      </c>
      <c r="E123" s="12" t="n">
        <v>0.61</v>
      </c>
      <c r="F123" s="12" t="n">
        <v>96563.27</v>
      </c>
      <c r="G123" s="12" t="n">
        <v>12295.07</v>
      </c>
      <c r="H123" s="12" t="n">
        <v>0</v>
      </c>
      <c r="I123" s="12" t="n">
        <v>2</v>
      </c>
      <c r="J123" s="12" t="b">
        <v>0</v>
      </c>
    </row>
    <row r="124">
      <c r="A124" s="12" t="inlineStr">
        <is>
          <t>VS07</t>
        </is>
      </c>
      <c r="B124" s="12" t="b">
        <v>0</v>
      </c>
      <c r="C124" s="12" t="inlineStr">
        <is>
          <t>Spring Steel</t>
        </is>
      </c>
      <c r="D124" s="12" t="n">
        <v>8</v>
      </c>
      <c r="E124" s="12" t="n">
        <v>0.37</v>
      </c>
      <c r="F124" s="12" t="n">
        <v>48499.06</v>
      </c>
      <c r="G124" s="12" t="n">
        <v>-22375.95</v>
      </c>
      <c r="H124" s="12" t="n">
        <v>0</v>
      </c>
      <c r="I124" s="12" t="n">
        <v>1.88</v>
      </c>
      <c r="J124" s="12" t="b">
        <v>0</v>
      </c>
    </row>
    <row r="125">
      <c r="A125" s="12" t="inlineStr">
        <is>
          <t>VS07</t>
        </is>
      </c>
      <c r="B125" s="12" t="b">
        <v>0</v>
      </c>
      <c r="C125" s="12" t="inlineStr">
        <is>
          <t>Square/Rect Tubes</t>
        </is>
      </c>
      <c r="D125" s="12" t="n">
        <v>8</v>
      </c>
      <c r="E125" s="12" t="n">
        <v>0.54</v>
      </c>
      <c r="F125" s="12" t="n">
        <v>107646.61</v>
      </c>
      <c r="G125" s="12" t="n">
        <v>6330.58</v>
      </c>
      <c r="H125" s="12" t="n">
        <v>0</v>
      </c>
      <c r="I125" s="12" t="n">
        <v>1.62</v>
      </c>
      <c r="J125" s="12" t="b">
        <v>0</v>
      </c>
    </row>
    <row r="126">
      <c r="A126" s="12" t="inlineStr">
        <is>
          <t>VS07</t>
        </is>
      </c>
      <c r="B126" s="12" t="b">
        <v>0</v>
      </c>
      <c r="C126" s="12" t="inlineStr">
        <is>
          <t>Structural Steel</t>
        </is>
      </c>
      <c r="D126" s="12" t="n">
        <v>9</v>
      </c>
      <c r="E126" s="12" t="n">
        <v>0.53</v>
      </c>
      <c r="F126" s="12" t="n">
        <v>107084.03</v>
      </c>
      <c r="G126" s="12" t="n">
        <v>12378.28</v>
      </c>
      <c r="H126" s="12" t="n">
        <v>0</v>
      </c>
      <c r="I126" s="12" t="n">
        <v>1.89</v>
      </c>
      <c r="J126" s="12" t="b">
        <v>0</v>
      </c>
    </row>
    <row r="127">
      <c r="A127" s="12" t="inlineStr">
        <is>
          <t>VS07</t>
        </is>
      </c>
      <c r="B127" s="12" t="b">
        <v>1</v>
      </c>
      <c r="C127" s="12" t="inlineStr">
        <is>
          <t>Fasteners &amp; Fittings</t>
        </is>
      </c>
      <c r="D127" s="12" t="n">
        <v>13</v>
      </c>
      <c r="E127" s="12" t="n">
        <v>0.32</v>
      </c>
      <c r="F127" s="12" t="n">
        <v>84844.34</v>
      </c>
      <c r="G127" s="12" t="n">
        <v>-49259.42</v>
      </c>
      <c r="H127" s="12" t="n">
        <v>0</v>
      </c>
      <c r="I127" s="12" t="n">
        <v>2</v>
      </c>
      <c r="J127" s="12" t="b">
        <v>0</v>
      </c>
    </row>
    <row r="128">
      <c r="A128" s="12" t="inlineStr">
        <is>
          <t>VS08</t>
        </is>
      </c>
      <c r="B128" s="12" t="b">
        <v>0</v>
      </c>
      <c r="C128" s="12" t="inlineStr">
        <is>
          <t>CR Sheets</t>
        </is>
      </c>
      <c r="D128" s="12" t="n">
        <v>8</v>
      </c>
      <c r="E128" s="12" t="n">
        <v>0.39</v>
      </c>
      <c r="F128" s="12" t="n">
        <v>69265.96000000001</v>
      </c>
      <c r="G128" s="12" t="n">
        <v>-19006.88</v>
      </c>
      <c r="H128" s="12" t="n">
        <v>0</v>
      </c>
      <c r="I128" s="12" t="n">
        <v>1.75</v>
      </c>
      <c r="J128" s="12" t="b">
        <v>0</v>
      </c>
    </row>
    <row r="129">
      <c r="A129" s="12" t="inlineStr">
        <is>
          <t>VS08</t>
        </is>
      </c>
      <c r="B129" s="12" t="b">
        <v>0</v>
      </c>
      <c r="C129" s="12" t="inlineStr">
        <is>
          <t>ERW Pipes</t>
        </is>
      </c>
      <c r="D129" s="12" t="n">
        <v>7</v>
      </c>
      <c r="E129" s="12" t="n">
        <v>0.51</v>
      </c>
      <c r="F129" s="12" t="n">
        <v>78076.23</v>
      </c>
      <c r="G129" s="12" t="n">
        <v>5754.95</v>
      </c>
      <c r="H129" s="12" t="n">
        <v>0</v>
      </c>
      <c r="I129" s="12" t="n">
        <v>1.57</v>
      </c>
      <c r="J129" s="12" t="b">
        <v>0</v>
      </c>
    </row>
    <row r="130">
      <c r="A130" s="12" t="inlineStr">
        <is>
          <t>VS08</t>
        </is>
      </c>
      <c r="B130" s="12" t="b">
        <v>0</v>
      </c>
      <c r="C130" s="12" t="inlineStr">
        <is>
          <t>Fasteners &amp; Fittings</t>
        </is>
      </c>
      <c r="D130" s="12" t="n">
        <v>15</v>
      </c>
      <c r="E130" s="12" t="n">
        <v>0.42</v>
      </c>
      <c r="F130" s="12" t="n">
        <v>99780.64</v>
      </c>
      <c r="G130" s="12" t="n">
        <v>-29670.68</v>
      </c>
      <c r="H130" s="12" t="n">
        <v>0</v>
      </c>
      <c r="I130" s="12" t="n">
        <v>1.47</v>
      </c>
      <c r="J130" s="12" t="b">
        <v>0</v>
      </c>
    </row>
    <row r="131">
      <c r="A131" s="12" t="inlineStr">
        <is>
          <t>VS08</t>
        </is>
      </c>
      <c r="B131" s="12" t="b">
        <v>0</v>
      </c>
      <c r="C131" s="12" t="inlineStr">
        <is>
          <t>GI Pipes</t>
        </is>
      </c>
      <c r="D131" s="12" t="n">
        <v>3</v>
      </c>
      <c r="E131" s="12" t="n">
        <v>0.41</v>
      </c>
      <c r="F131" s="12" t="n">
        <v>28997.75</v>
      </c>
      <c r="G131" s="12" t="n">
        <v>-7377.68</v>
      </c>
      <c r="H131" s="12" t="n">
        <v>0</v>
      </c>
      <c r="I131" s="12" t="n">
        <v>1</v>
      </c>
      <c r="J131" s="12" t="b">
        <v>1</v>
      </c>
    </row>
    <row r="132">
      <c r="A132" s="12" t="inlineStr">
        <is>
          <t>VS08</t>
        </is>
      </c>
      <c r="B132" s="12" t="b">
        <v>0</v>
      </c>
      <c r="C132" s="12" t="inlineStr">
        <is>
          <t>GI Wire</t>
        </is>
      </c>
      <c r="D132" s="12" t="n">
        <v>10</v>
      </c>
      <c r="E132" s="12" t="n">
        <v>0.57</v>
      </c>
      <c r="F132" s="12" t="n">
        <v>98972.13</v>
      </c>
      <c r="G132" s="12" t="n">
        <v>10341.87</v>
      </c>
      <c r="H132" s="12" t="n">
        <v>0</v>
      </c>
      <c r="I132" s="12" t="n">
        <v>1.3</v>
      </c>
      <c r="J132" s="12" t="b">
        <v>0</v>
      </c>
    </row>
    <row r="133">
      <c r="A133" s="12" t="inlineStr">
        <is>
          <t>VS08</t>
        </is>
      </c>
      <c r="B133" s="12" t="b">
        <v>0</v>
      </c>
      <c r="C133" s="12" t="inlineStr">
        <is>
          <t>HR Coils</t>
        </is>
      </c>
      <c r="D133" s="12" t="n">
        <v>8</v>
      </c>
      <c r="E133" s="12" t="n">
        <v>0.44</v>
      </c>
      <c r="F133" s="12" t="n">
        <v>46549.83</v>
      </c>
      <c r="G133" s="12" t="n">
        <v>-16369.63</v>
      </c>
      <c r="H133" s="12" t="n">
        <v>0</v>
      </c>
      <c r="I133" s="12" t="n">
        <v>2</v>
      </c>
      <c r="J133" s="12" t="b">
        <v>0</v>
      </c>
    </row>
    <row r="134">
      <c r="A134" s="12" t="inlineStr">
        <is>
          <t>VS08</t>
        </is>
      </c>
      <c r="B134" s="12" t="b">
        <v>0</v>
      </c>
      <c r="C134" s="12" t="inlineStr">
        <is>
          <t>Hex Bars</t>
        </is>
      </c>
      <c r="D134" s="12" t="n">
        <v>13</v>
      </c>
      <c r="E134" s="12" t="n">
        <v>0.45</v>
      </c>
      <c r="F134" s="12" t="n">
        <v>137636.45</v>
      </c>
      <c r="G134" s="12" t="n">
        <v>-18940.02</v>
      </c>
      <c r="H134" s="12" t="n">
        <v>0</v>
      </c>
      <c r="I134" s="12" t="n">
        <v>0.85</v>
      </c>
      <c r="J134" s="12" t="b">
        <v>0</v>
      </c>
    </row>
    <row r="135">
      <c r="A135" s="12" t="inlineStr">
        <is>
          <t>VS08</t>
        </is>
      </c>
      <c r="B135" s="12" t="b">
        <v>0</v>
      </c>
      <c r="C135" s="12" t="inlineStr">
        <is>
          <t>MS Flats</t>
        </is>
      </c>
      <c r="D135" s="12" t="n">
        <v>5</v>
      </c>
      <c r="E135" s="12" t="n">
        <v>0.41</v>
      </c>
      <c r="F135" s="12" t="n">
        <v>77574.23</v>
      </c>
      <c r="G135" s="12" t="n">
        <v>-19285.8</v>
      </c>
      <c r="H135" s="12" t="n">
        <v>0</v>
      </c>
      <c r="I135" s="12" t="n">
        <v>1.4</v>
      </c>
      <c r="J135" s="12" t="b">
        <v>0</v>
      </c>
    </row>
    <row r="136">
      <c r="A136" s="12" t="inlineStr">
        <is>
          <t>VS08</t>
        </is>
      </c>
      <c r="B136" s="12" t="b">
        <v>0</v>
      </c>
      <c r="C136" s="12" t="inlineStr">
        <is>
          <t>MS Pipes</t>
        </is>
      </c>
      <c r="D136" s="12" t="n">
        <v>9</v>
      </c>
      <c r="E136" s="12" t="n">
        <v>0.38</v>
      </c>
      <c r="F136" s="12" t="n">
        <v>78869.92999999999</v>
      </c>
      <c r="G136" s="12" t="n">
        <v>-33216.69</v>
      </c>
      <c r="H136" s="12" t="n">
        <v>0</v>
      </c>
      <c r="I136" s="12" t="n">
        <v>1.11</v>
      </c>
      <c r="J136" s="12" t="b">
        <v>0</v>
      </c>
    </row>
    <row r="137">
      <c r="A137" s="12" t="inlineStr">
        <is>
          <t>VS08</t>
        </is>
      </c>
      <c r="B137" s="12" t="b">
        <v>0</v>
      </c>
      <c r="C137" s="12" t="inlineStr">
        <is>
          <t>MS Rods</t>
        </is>
      </c>
      <c r="D137" s="12" t="n">
        <v>9</v>
      </c>
      <c r="E137" s="12" t="n">
        <v>0.59</v>
      </c>
      <c r="F137" s="12" t="n">
        <v>97816.75</v>
      </c>
      <c r="G137" s="12" t="n">
        <v>9654.01</v>
      </c>
      <c r="H137" s="12" t="n">
        <v>0</v>
      </c>
      <c r="I137" s="12" t="n">
        <v>1.44</v>
      </c>
      <c r="J137" s="12" t="b">
        <v>0</v>
      </c>
    </row>
    <row r="138">
      <c r="A138" s="12" t="inlineStr">
        <is>
          <t>VS08</t>
        </is>
      </c>
      <c r="B138" s="12" t="b">
        <v>0</v>
      </c>
      <c r="C138" s="12" t="inlineStr">
        <is>
          <t>MS Sheets</t>
        </is>
      </c>
      <c r="D138" s="12" t="n">
        <v>13</v>
      </c>
      <c r="E138" s="12" t="n">
        <v>0.54</v>
      </c>
      <c r="F138" s="12" t="n">
        <v>195156.27</v>
      </c>
      <c r="G138" s="12" t="n">
        <v>5245.14</v>
      </c>
      <c r="H138" s="12" t="n">
        <v>0</v>
      </c>
      <c r="I138" s="12" t="n">
        <v>1.92</v>
      </c>
      <c r="J138" s="12" t="b">
        <v>0</v>
      </c>
    </row>
    <row r="139">
      <c r="A139" s="12" t="inlineStr">
        <is>
          <t>VS08</t>
        </is>
      </c>
      <c r="B139" s="12" t="b">
        <v>0</v>
      </c>
      <c r="C139" s="12" t="inlineStr">
        <is>
          <t>SS Pipes</t>
        </is>
      </c>
      <c r="D139" s="12" t="n">
        <v>7</v>
      </c>
      <c r="E139" s="12" t="n">
        <v>0.49</v>
      </c>
      <c r="F139" s="12" t="n">
        <v>92278.38</v>
      </c>
      <c r="G139" s="12" t="n">
        <v>-1735.32</v>
      </c>
      <c r="H139" s="12" t="n">
        <v>0</v>
      </c>
      <c r="I139" s="12" t="n">
        <v>1.14</v>
      </c>
      <c r="J139" s="12" t="b">
        <v>0</v>
      </c>
    </row>
    <row r="140">
      <c r="A140" s="12" t="inlineStr">
        <is>
          <t>VS08</t>
        </is>
      </c>
      <c r="B140" s="12" t="b">
        <v>0</v>
      </c>
      <c r="C140" s="12" t="inlineStr">
        <is>
          <t>Spring Steel</t>
        </is>
      </c>
      <c r="D140" s="12" t="n">
        <v>16</v>
      </c>
      <c r="E140" s="12" t="n">
        <v>0.54</v>
      </c>
      <c r="F140" s="12" t="n">
        <v>188006.12</v>
      </c>
      <c r="G140" s="12" t="n">
        <v>19132.21</v>
      </c>
      <c r="H140" s="12" t="n">
        <v>0</v>
      </c>
      <c r="I140" s="12" t="n">
        <v>1.88</v>
      </c>
      <c r="J140" s="12" t="b">
        <v>0</v>
      </c>
    </row>
    <row r="141">
      <c r="A141" s="12" t="inlineStr">
        <is>
          <t>VS08</t>
        </is>
      </c>
      <c r="B141" s="12" t="b">
        <v>0</v>
      </c>
      <c r="C141" s="12" t="inlineStr">
        <is>
          <t>Square/Rect Tubes</t>
        </is>
      </c>
      <c r="D141" s="12" t="n">
        <v>9</v>
      </c>
      <c r="E141" s="12" t="n">
        <v>0.44</v>
      </c>
      <c r="F141" s="12" t="n">
        <v>81995.58</v>
      </c>
      <c r="G141" s="12" t="n">
        <v>-19025.77</v>
      </c>
      <c r="H141" s="12" t="n">
        <v>0</v>
      </c>
      <c r="I141" s="12" t="n">
        <v>1.11</v>
      </c>
      <c r="J141" s="12" t="b">
        <v>0</v>
      </c>
    </row>
    <row r="142">
      <c r="A142" s="12" t="inlineStr">
        <is>
          <t>VS08</t>
        </is>
      </c>
      <c r="B142" s="12" t="b">
        <v>0</v>
      </c>
      <c r="C142" s="12" t="inlineStr">
        <is>
          <t>Structural Steel</t>
        </is>
      </c>
      <c r="D142" s="12" t="n">
        <v>8</v>
      </c>
      <c r="E142" s="12" t="n">
        <v>0.52</v>
      </c>
      <c r="F142" s="12" t="n">
        <v>97631.17999999999</v>
      </c>
      <c r="G142" s="12" t="n">
        <v>1289.49</v>
      </c>
      <c r="H142" s="12" t="n">
        <v>0</v>
      </c>
      <c r="I142" s="12" t="n">
        <v>1.62</v>
      </c>
      <c r="J142" s="12" t="b">
        <v>0</v>
      </c>
    </row>
    <row r="143">
      <c r="A143" s="12" t="inlineStr">
        <is>
          <t>VS08</t>
        </is>
      </c>
      <c r="B143" s="12" t="b">
        <v>1</v>
      </c>
      <c r="C143" s="12" t="inlineStr">
        <is>
          <t>Angles &amp; Channels</t>
        </is>
      </c>
      <c r="D143" s="12" t="n">
        <v>7</v>
      </c>
      <c r="E143" s="12" t="n">
        <v>0.59</v>
      </c>
      <c r="F143" s="12" t="n">
        <v>110454.79</v>
      </c>
      <c r="G143" s="12" t="n">
        <v>13359.63</v>
      </c>
      <c r="H143" s="12" t="n">
        <v>0</v>
      </c>
      <c r="I143" s="12" t="n">
        <v>1.71</v>
      </c>
      <c r="J143" s="12" t="b">
        <v>0</v>
      </c>
    </row>
    <row r="144">
      <c r="A144" s="12" t="inlineStr">
        <is>
          <t>VS08</t>
        </is>
      </c>
      <c r="B144" s="12" t="b">
        <v>1</v>
      </c>
      <c r="C144" s="12" t="inlineStr">
        <is>
          <t>GI Sheets</t>
        </is>
      </c>
      <c r="D144" s="12" t="n">
        <v>7</v>
      </c>
      <c r="E144" s="12" t="n">
        <v>0.4</v>
      </c>
      <c r="F144" s="12" t="n">
        <v>68005.21000000001</v>
      </c>
      <c r="G144" s="12" t="n">
        <v>-27234.31</v>
      </c>
      <c r="H144" s="12" t="n">
        <v>0</v>
      </c>
      <c r="I144" s="12" t="n">
        <v>1.71</v>
      </c>
      <c r="J144" s="12" t="b">
        <v>0</v>
      </c>
    </row>
    <row r="145">
      <c r="A145" s="12" t="inlineStr">
        <is>
          <t>VS08</t>
        </is>
      </c>
      <c r="B145" s="12" t="b">
        <v>1</v>
      </c>
      <c r="C145" s="12" t="inlineStr">
        <is>
          <t>SS Sheets</t>
        </is>
      </c>
      <c r="D145" s="12" t="n">
        <v>17</v>
      </c>
      <c r="E145" s="12" t="n">
        <v>0.58</v>
      </c>
      <c r="F145" s="12" t="n">
        <v>166187.92</v>
      </c>
      <c r="G145" s="12" t="n">
        <v>21312.97</v>
      </c>
      <c r="H145" s="12" t="n">
        <v>0</v>
      </c>
      <c r="I145" s="12" t="n">
        <v>1.35</v>
      </c>
      <c r="J145" s="12" t="b">
        <v>0</v>
      </c>
    </row>
    <row r="146">
      <c r="A146" s="12" t="inlineStr">
        <is>
          <t>VS09</t>
        </is>
      </c>
      <c r="B146" s="12" t="b">
        <v>0</v>
      </c>
      <c r="C146" s="12" t="inlineStr">
        <is>
          <t>Angles &amp; Channels</t>
        </is>
      </c>
      <c r="D146" s="12" t="n">
        <v>6</v>
      </c>
      <c r="E146" s="12" t="n">
        <v>0.2</v>
      </c>
      <c r="F146" s="12" t="n">
        <v>32208.21</v>
      </c>
      <c r="G146" s="12" t="n">
        <v>-52464.87</v>
      </c>
      <c r="H146" s="12" t="n">
        <v>0</v>
      </c>
      <c r="I146" s="12" t="n">
        <v>1.33</v>
      </c>
      <c r="J146" s="12" t="b">
        <v>0</v>
      </c>
    </row>
    <row r="147">
      <c r="A147" s="12" t="inlineStr">
        <is>
          <t>VS09</t>
        </is>
      </c>
      <c r="B147" s="12" t="b">
        <v>0</v>
      </c>
      <c r="C147" s="12" t="inlineStr">
        <is>
          <t>CR Sheets</t>
        </is>
      </c>
      <c r="D147" s="12" t="n">
        <v>5</v>
      </c>
      <c r="E147" s="12" t="n">
        <v>0.72</v>
      </c>
      <c r="F147" s="12" t="n">
        <v>20924.56</v>
      </c>
      <c r="G147" s="12" t="n">
        <v>5488.03</v>
      </c>
      <c r="H147" s="12" t="n">
        <v>0</v>
      </c>
      <c r="I147" s="12" t="n">
        <v>1.8</v>
      </c>
      <c r="J147" s="12" t="b">
        <v>0</v>
      </c>
    </row>
    <row r="148">
      <c r="A148" s="12" t="inlineStr">
        <is>
          <t>VS09</t>
        </is>
      </c>
      <c r="B148" s="12" t="b">
        <v>0</v>
      </c>
      <c r="C148" s="12" t="inlineStr">
        <is>
          <t>ERW Pipes</t>
        </is>
      </c>
      <c r="D148" s="12" t="n">
        <v>9</v>
      </c>
      <c r="E148" s="12" t="n">
        <v>0.46</v>
      </c>
      <c r="F148" s="12" t="n">
        <v>111025.75</v>
      </c>
      <c r="G148" s="12" t="n">
        <v>-6947.35</v>
      </c>
      <c r="H148" s="12" t="n">
        <v>0</v>
      </c>
      <c r="I148" s="12" t="n">
        <v>1.67</v>
      </c>
      <c r="J148" s="12" t="b">
        <v>0</v>
      </c>
    </row>
    <row r="149">
      <c r="A149" s="12" t="inlineStr">
        <is>
          <t>VS09</t>
        </is>
      </c>
      <c r="B149" s="12" t="b">
        <v>0</v>
      </c>
      <c r="C149" s="12" t="inlineStr">
        <is>
          <t>Fasteners &amp; Fittings</t>
        </is>
      </c>
      <c r="D149" s="12" t="n">
        <v>8</v>
      </c>
      <c r="E149" s="12" t="n">
        <v>0.52</v>
      </c>
      <c r="F149" s="12" t="n">
        <v>117940.46</v>
      </c>
      <c r="G149" s="12" t="n">
        <v>19172.59</v>
      </c>
      <c r="H149" s="12" t="n">
        <v>0</v>
      </c>
      <c r="I149" s="12" t="n">
        <v>1.75</v>
      </c>
      <c r="J149" s="12" t="b">
        <v>0</v>
      </c>
    </row>
    <row r="150">
      <c r="A150" s="12" t="inlineStr">
        <is>
          <t>VS09</t>
        </is>
      </c>
      <c r="B150" s="12" t="b">
        <v>0</v>
      </c>
      <c r="C150" s="12" t="inlineStr">
        <is>
          <t>GI Pipes</t>
        </is>
      </c>
      <c r="D150" s="12" t="n">
        <v>3</v>
      </c>
      <c r="E150" s="12" t="n">
        <v>0.68</v>
      </c>
      <c r="F150" s="12" t="n">
        <v>29359.37</v>
      </c>
      <c r="G150" s="12" t="n">
        <v>3354.78</v>
      </c>
      <c r="H150" s="12" t="n">
        <v>0</v>
      </c>
      <c r="I150" s="12" t="n">
        <v>2</v>
      </c>
      <c r="J150" s="12" t="b">
        <v>1</v>
      </c>
    </row>
    <row r="151">
      <c r="A151" s="12" t="inlineStr">
        <is>
          <t>VS09</t>
        </is>
      </c>
      <c r="B151" s="12" t="b">
        <v>0</v>
      </c>
      <c r="C151" s="12" t="inlineStr">
        <is>
          <t>GI Sheets</t>
        </is>
      </c>
      <c r="D151" s="12" t="n">
        <v>9</v>
      </c>
      <c r="E151" s="12" t="n">
        <v>0.49</v>
      </c>
      <c r="F151" s="12" t="n">
        <v>102166.2</v>
      </c>
      <c r="G151" s="12" t="n">
        <v>-10910.67</v>
      </c>
      <c r="H151" s="12" t="n">
        <v>0</v>
      </c>
      <c r="I151" s="12" t="n">
        <v>1.67</v>
      </c>
      <c r="J151" s="12" t="b">
        <v>0</v>
      </c>
    </row>
    <row r="152">
      <c r="A152" s="12" t="inlineStr">
        <is>
          <t>VS09</t>
        </is>
      </c>
      <c r="B152" s="12" t="b">
        <v>0</v>
      </c>
      <c r="C152" s="12" t="inlineStr">
        <is>
          <t>GI Wire</t>
        </is>
      </c>
      <c r="D152" s="12" t="n">
        <v>8</v>
      </c>
      <c r="E152" s="12" t="n">
        <v>0.21</v>
      </c>
      <c r="F152" s="12" t="n">
        <v>38454.82</v>
      </c>
      <c r="G152" s="12" t="n">
        <v>-56653.72</v>
      </c>
      <c r="H152" s="12" t="n">
        <v>0</v>
      </c>
      <c r="I152" s="12" t="n">
        <v>1.75</v>
      </c>
      <c r="J152" s="12" t="b">
        <v>0</v>
      </c>
    </row>
    <row r="153">
      <c r="A153" s="12" t="inlineStr">
        <is>
          <t>VS09</t>
        </is>
      </c>
      <c r="B153" s="12" t="b">
        <v>0</v>
      </c>
      <c r="C153" s="12" t="inlineStr">
        <is>
          <t>Hex Bars</t>
        </is>
      </c>
      <c r="D153" s="12" t="n">
        <v>13</v>
      </c>
      <c r="E153" s="12" t="n">
        <v>0.52</v>
      </c>
      <c r="F153" s="12" t="n">
        <v>120992.56</v>
      </c>
      <c r="G153" s="12" t="n">
        <v>-5356.9</v>
      </c>
      <c r="H153" s="12" t="n">
        <v>0</v>
      </c>
      <c r="I153" s="12" t="n">
        <v>1.31</v>
      </c>
      <c r="J153" s="12" t="b">
        <v>0</v>
      </c>
    </row>
    <row r="154">
      <c r="A154" s="12" t="inlineStr">
        <is>
          <t>VS09</t>
        </is>
      </c>
      <c r="B154" s="12" t="b">
        <v>0</v>
      </c>
      <c r="C154" s="12" t="inlineStr">
        <is>
          <t>MS Flats</t>
        </is>
      </c>
      <c r="D154" s="12" t="n">
        <v>10</v>
      </c>
      <c r="E154" s="12" t="n">
        <v>0.42</v>
      </c>
      <c r="F154" s="12" t="n">
        <v>109511.97</v>
      </c>
      <c r="G154" s="12" t="n">
        <v>-28697.74</v>
      </c>
      <c r="H154" s="12" t="n">
        <v>0</v>
      </c>
      <c r="I154" s="12" t="n">
        <v>1.3</v>
      </c>
      <c r="J154" s="12" t="b">
        <v>0</v>
      </c>
    </row>
    <row r="155">
      <c r="A155" s="12" t="inlineStr">
        <is>
          <t>VS09</t>
        </is>
      </c>
      <c r="B155" s="12" t="b">
        <v>0</v>
      </c>
      <c r="C155" s="12" t="inlineStr">
        <is>
          <t>MS Pipes</t>
        </is>
      </c>
      <c r="D155" s="12" t="n">
        <v>9</v>
      </c>
      <c r="E155" s="12" t="n">
        <v>0.48</v>
      </c>
      <c r="F155" s="12" t="n">
        <v>112563.35</v>
      </c>
      <c r="G155" s="12" t="n">
        <v>-3311.28</v>
      </c>
      <c r="H155" s="12" t="n">
        <v>0</v>
      </c>
      <c r="I155" s="12" t="n">
        <v>1.33</v>
      </c>
      <c r="J155" s="12" t="b">
        <v>0</v>
      </c>
    </row>
    <row r="156">
      <c r="A156" s="12" t="inlineStr">
        <is>
          <t>VS09</t>
        </is>
      </c>
      <c r="B156" s="12" t="b">
        <v>0</v>
      </c>
      <c r="C156" s="12" t="inlineStr">
        <is>
          <t>MS Rods</t>
        </is>
      </c>
      <c r="D156" s="12" t="n">
        <v>10</v>
      </c>
      <c r="E156" s="12" t="n">
        <v>0.2</v>
      </c>
      <c r="F156" s="12" t="n">
        <v>32701.33</v>
      </c>
      <c r="G156" s="12" t="n">
        <v>-43604.13</v>
      </c>
      <c r="H156" s="12" t="n">
        <v>0</v>
      </c>
      <c r="I156" s="12" t="n">
        <v>1.2</v>
      </c>
      <c r="J156" s="12" t="b">
        <v>0</v>
      </c>
    </row>
    <row r="157">
      <c r="A157" s="12" t="inlineStr">
        <is>
          <t>VS09</t>
        </is>
      </c>
      <c r="B157" s="12" t="b">
        <v>0</v>
      </c>
      <c r="C157" s="12" t="inlineStr">
        <is>
          <t>MS Sheets</t>
        </is>
      </c>
      <c r="D157" s="12" t="n">
        <v>5</v>
      </c>
      <c r="E157" s="12" t="n">
        <v>0.32</v>
      </c>
      <c r="F157" s="12" t="n">
        <v>26016.05</v>
      </c>
      <c r="G157" s="12" t="n">
        <v>-16183.88</v>
      </c>
      <c r="H157" s="12" t="n">
        <v>0</v>
      </c>
      <c r="I157" s="12" t="n">
        <v>2</v>
      </c>
      <c r="J157" s="12" t="b">
        <v>0</v>
      </c>
    </row>
    <row r="158">
      <c r="A158" s="12" t="inlineStr">
        <is>
          <t>VS09</t>
        </is>
      </c>
      <c r="B158" s="12" t="b">
        <v>0</v>
      </c>
      <c r="C158" s="12" t="inlineStr">
        <is>
          <t>SS Sheets</t>
        </is>
      </c>
      <c r="D158" s="12" t="n">
        <v>8</v>
      </c>
      <c r="E158" s="12" t="n">
        <v>0.58</v>
      </c>
      <c r="F158" s="12" t="n">
        <v>82639.12</v>
      </c>
      <c r="G158" s="12" t="n">
        <v>8001.59</v>
      </c>
      <c r="H158" s="12" t="n">
        <v>0</v>
      </c>
      <c r="I158" s="12" t="n">
        <v>1.5</v>
      </c>
      <c r="J158" s="12" t="b">
        <v>0</v>
      </c>
    </row>
    <row r="159">
      <c r="A159" s="12" t="inlineStr">
        <is>
          <t>VS09</t>
        </is>
      </c>
      <c r="B159" s="12" t="b">
        <v>0</v>
      </c>
      <c r="C159" s="12" t="inlineStr">
        <is>
          <t>Spring Steel</t>
        </is>
      </c>
      <c r="D159" s="12" t="n">
        <v>8</v>
      </c>
      <c r="E159" s="12" t="n">
        <v>0.48</v>
      </c>
      <c r="F159" s="12" t="n">
        <v>99710.36</v>
      </c>
      <c r="G159" s="12" t="n">
        <v>-465.17</v>
      </c>
      <c r="H159" s="12" t="n">
        <v>0</v>
      </c>
      <c r="I159" s="12" t="n">
        <v>0.5</v>
      </c>
      <c r="J159" s="12" t="b">
        <v>0</v>
      </c>
    </row>
    <row r="160">
      <c r="A160" s="12" t="inlineStr">
        <is>
          <t>VS09</t>
        </is>
      </c>
      <c r="B160" s="12" t="b">
        <v>0</v>
      </c>
      <c r="C160" s="12" t="inlineStr">
        <is>
          <t>Square/Rect Tubes</t>
        </is>
      </c>
      <c r="D160" s="12" t="n">
        <v>5</v>
      </c>
      <c r="E160" s="12" t="n">
        <v>0.5</v>
      </c>
      <c r="F160" s="12" t="n">
        <v>69966.07000000001</v>
      </c>
      <c r="G160" s="12" t="n">
        <v>7338.22</v>
      </c>
      <c r="H160" s="12" t="n">
        <v>0</v>
      </c>
      <c r="I160" s="12" t="n">
        <v>1.6</v>
      </c>
      <c r="J160" s="12" t="b">
        <v>0</v>
      </c>
    </row>
    <row r="161">
      <c r="A161" s="12" t="inlineStr">
        <is>
          <t>VS09</t>
        </is>
      </c>
      <c r="B161" s="12" t="b">
        <v>0</v>
      </c>
      <c r="C161" s="12" t="inlineStr">
        <is>
          <t>Structural Steel</t>
        </is>
      </c>
      <c r="D161" s="12" t="n">
        <v>10</v>
      </c>
      <c r="E161" s="12" t="n">
        <v>0.58</v>
      </c>
      <c r="F161" s="12" t="n">
        <v>101653.92</v>
      </c>
      <c r="G161" s="12" t="n">
        <v>9002.5</v>
      </c>
      <c r="H161" s="12" t="n">
        <v>0</v>
      </c>
      <c r="I161" s="12" t="n">
        <v>1.2</v>
      </c>
      <c r="J161" s="12" t="b">
        <v>0</v>
      </c>
    </row>
    <row r="162">
      <c r="A162" s="12" t="inlineStr">
        <is>
          <t>VS09</t>
        </is>
      </c>
      <c r="B162" s="12" t="b">
        <v>1</v>
      </c>
      <c r="C162" s="12" t="inlineStr">
        <is>
          <t>HR Coils</t>
        </is>
      </c>
      <c r="D162" s="12" t="n">
        <v>10</v>
      </c>
      <c r="E162" s="12" t="n">
        <v>0.41</v>
      </c>
      <c r="F162" s="12" t="n">
        <v>78908.91</v>
      </c>
      <c r="G162" s="12" t="n">
        <v>-14607.47</v>
      </c>
      <c r="H162" s="12" t="n">
        <v>0</v>
      </c>
      <c r="I162" s="12" t="n">
        <v>2.3</v>
      </c>
      <c r="J162" s="12" t="b">
        <v>0</v>
      </c>
    </row>
    <row r="163">
      <c r="A163" s="12" t="inlineStr">
        <is>
          <t>VS09</t>
        </is>
      </c>
      <c r="B163" s="12" t="b">
        <v>1</v>
      </c>
      <c r="C163" s="12" t="inlineStr">
        <is>
          <t>SS Pipes</t>
        </is>
      </c>
      <c r="D163" s="12" t="n">
        <v>13</v>
      </c>
      <c r="E163" s="12" t="n">
        <v>0.54</v>
      </c>
      <c r="F163" s="12" t="n">
        <v>131817.69</v>
      </c>
      <c r="G163" s="12" t="n">
        <v>5711.32</v>
      </c>
      <c r="H163" s="12" t="n">
        <v>0</v>
      </c>
      <c r="I163" s="12" t="n">
        <v>1.85</v>
      </c>
      <c r="J163" s="12" t="b">
        <v>0</v>
      </c>
    </row>
    <row r="164">
      <c r="A164" s="12" t="inlineStr">
        <is>
          <t>VS10</t>
        </is>
      </c>
      <c r="B164" s="12" t="b">
        <v>0</v>
      </c>
      <c r="C164" s="12" t="inlineStr">
        <is>
          <t>CR Sheets</t>
        </is>
      </c>
      <c r="D164" s="12" t="n">
        <v>9</v>
      </c>
      <c r="E164" s="12" t="n">
        <v>0.52</v>
      </c>
      <c r="F164" s="12" t="n">
        <v>77083.53999999999</v>
      </c>
      <c r="G164" s="12" t="n">
        <v>-3966.12</v>
      </c>
      <c r="H164" s="12" t="n">
        <v>0</v>
      </c>
      <c r="I164" s="12" t="n">
        <v>1.11</v>
      </c>
      <c r="J164" s="12" t="b">
        <v>0</v>
      </c>
    </row>
    <row r="165">
      <c r="A165" s="12" t="inlineStr">
        <is>
          <t>VS10</t>
        </is>
      </c>
      <c r="B165" s="12" t="b">
        <v>0</v>
      </c>
      <c r="C165" s="12" t="inlineStr">
        <is>
          <t>ERW Pipes</t>
        </is>
      </c>
      <c r="D165" s="12" t="n">
        <v>6</v>
      </c>
      <c r="E165" s="12" t="n">
        <v>0.46</v>
      </c>
      <c r="F165" s="12" t="n">
        <v>62015.76</v>
      </c>
      <c r="G165" s="12" t="n">
        <v>-533.85</v>
      </c>
      <c r="H165" s="12" t="n">
        <v>0</v>
      </c>
      <c r="I165" s="12" t="n">
        <v>1.17</v>
      </c>
      <c r="J165" s="12" t="b">
        <v>0</v>
      </c>
    </row>
    <row r="166">
      <c r="A166" s="12" t="inlineStr">
        <is>
          <t>VS10</t>
        </is>
      </c>
      <c r="B166" s="12" t="b">
        <v>0</v>
      </c>
      <c r="C166" s="12" t="inlineStr">
        <is>
          <t>Fasteners &amp; Fittings</t>
        </is>
      </c>
      <c r="D166" s="12" t="n">
        <v>11</v>
      </c>
      <c r="E166" s="12" t="n">
        <v>0.51</v>
      </c>
      <c r="F166" s="12" t="n">
        <v>119058</v>
      </c>
      <c r="G166" s="12" t="n">
        <v>-2907.45</v>
      </c>
      <c r="H166" s="12" t="n">
        <v>0</v>
      </c>
      <c r="I166" s="12" t="n">
        <v>1.27</v>
      </c>
      <c r="J166" s="12" t="b">
        <v>0</v>
      </c>
    </row>
    <row r="167">
      <c r="A167" s="12" t="inlineStr">
        <is>
          <t>VS10</t>
        </is>
      </c>
      <c r="B167" s="12" t="b">
        <v>0</v>
      </c>
      <c r="C167" s="12" t="inlineStr">
        <is>
          <t>GI Pipes</t>
        </is>
      </c>
      <c r="D167" s="12" t="n">
        <v>8</v>
      </c>
      <c r="E167" s="12" t="n">
        <v>0.6899999999999999</v>
      </c>
      <c r="F167" s="12" t="n">
        <v>95065.92999999999</v>
      </c>
      <c r="G167" s="12" t="n">
        <v>22078.55</v>
      </c>
      <c r="H167" s="12" t="n">
        <v>0</v>
      </c>
      <c r="I167" s="12" t="n">
        <v>1.88</v>
      </c>
      <c r="J167" s="12" t="b">
        <v>0</v>
      </c>
    </row>
    <row r="168">
      <c r="A168" s="12" t="inlineStr">
        <is>
          <t>VS10</t>
        </is>
      </c>
      <c r="B168" s="12" t="b">
        <v>0</v>
      </c>
      <c r="C168" s="12" t="inlineStr">
        <is>
          <t>GI Sheets</t>
        </is>
      </c>
      <c r="D168" s="12" t="n">
        <v>7</v>
      </c>
      <c r="E168" s="12" t="n">
        <v>0.52</v>
      </c>
      <c r="F168" s="12" t="n">
        <v>86549.46000000001</v>
      </c>
      <c r="G168" s="12" t="n">
        <v>1727.44</v>
      </c>
      <c r="H168" s="12" t="n">
        <v>0</v>
      </c>
      <c r="I168" s="12" t="n">
        <v>1.29</v>
      </c>
      <c r="J168" s="12" t="b">
        <v>0</v>
      </c>
    </row>
    <row r="169">
      <c r="A169" s="12" t="inlineStr">
        <is>
          <t>VS10</t>
        </is>
      </c>
      <c r="B169" s="12" t="b">
        <v>0</v>
      </c>
      <c r="C169" s="12" t="inlineStr">
        <is>
          <t>GI Wire</t>
        </is>
      </c>
      <c r="D169" s="12" t="n">
        <v>8</v>
      </c>
      <c r="E169" s="12" t="n">
        <v>0.75</v>
      </c>
      <c r="F169" s="12" t="n">
        <v>115657.45</v>
      </c>
      <c r="G169" s="12" t="n">
        <v>37000.8</v>
      </c>
      <c r="H169" s="12" t="n">
        <v>0</v>
      </c>
      <c r="I169" s="12" t="n">
        <v>1.12</v>
      </c>
      <c r="J169" s="12" t="b">
        <v>0</v>
      </c>
    </row>
    <row r="170">
      <c r="A170" s="12" t="inlineStr">
        <is>
          <t>VS10</t>
        </is>
      </c>
      <c r="B170" s="12" t="b">
        <v>0</v>
      </c>
      <c r="C170" s="12" t="inlineStr">
        <is>
          <t>HR Coils</t>
        </is>
      </c>
      <c r="D170" s="12" t="n">
        <v>9</v>
      </c>
      <c r="E170" s="12" t="n">
        <v>0.58</v>
      </c>
      <c r="F170" s="12" t="n">
        <v>137615.92</v>
      </c>
      <c r="G170" s="12" t="n">
        <v>13682.82</v>
      </c>
      <c r="H170" s="12" t="n">
        <v>0</v>
      </c>
      <c r="I170" s="12" t="n">
        <v>1.22</v>
      </c>
      <c r="J170" s="12" t="b">
        <v>0</v>
      </c>
    </row>
    <row r="171">
      <c r="A171" s="12" t="inlineStr">
        <is>
          <t>VS10</t>
        </is>
      </c>
      <c r="B171" s="12" t="b">
        <v>0</v>
      </c>
      <c r="C171" s="12" t="inlineStr">
        <is>
          <t>Hex Bars</t>
        </is>
      </c>
      <c r="D171" s="12" t="n">
        <v>3</v>
      </c>
      <c r="E171" s="12" t="n">
        <v>0.4</v>
      </c>
      <c r="F171" s="12" t="n">
        <v>29034.9</v>
      </c>
      <c r="G171" s="12" t="n">
        <v>-11618.79</v>
      </c>
      <c r="H171" s="12" t="n">
        <v>0</v>
      </c>
      <c r="I171" s="12" t="n">
        <v>1</v>
      </c>
      <c r="J171" s="12" t="b">
        <v>1</v>
      </c>
    </row>
    <row r="172">
      <c r="A172" s="12" t="inlineStr">
        <is>
          <t>VS10</t>
        </is>
      </c>
      <c r="B172" s="12" t="b">
        <v>0</v>
      </c>
      <c r="C172" s="12" t="inlineStr">
        <is>
          <t>MS Flats</t>
        </is>
      </c>
      <c r="D172" s="12" t="n">
        <v>5</v>
      </c>
      <c r="E172" s="12" t="n">
        <v>0.62</v>
      </c>
      <c r="F172" s="12" t="n">
        <v>95356.89</v>
      </c>
      <c r="G172" s="12" t="n">
        <v>12926.85</v>
      </c>
      <c r="H172" s="12" t="n">
        <v>0</v>
      </c>
      <c r="I172" s="12" t="n">
        <v>1.4</v>
      </c>
      <c r="J172" s="12" t="b">
        <v>0</v>
      </c>
    </row>
    <row r="173">
      <c r="A173" s="12" t="inlineStr">
        <is>
          <t>VS10</t>
        </is>
      </c>
      <c r="B173" s="12" t="b">
        <v>0</v>
      </c>
      <c r="C173" s="12" t="inlineStr">
        <is>
          <t>MS Pipes</t>
        </is>
      </c>
      <c r="D173" s="12" t="n">
        <v>9</v>
      </c>
      <c r="E173" s="12" t="n">
        <v>0.58</v>
      </c>
      <c r="F173" s="12" t="n">
        <v>80193.56</v>
      </c>
      <c r="G173" s="12" t="n">
        <v>5373.91</v>
      </c>
      <c r="H173" s="12" t="n">
        <v>0</v>
      </c>
      <c r="I173" s="12" t="n">
        <v>1.67</v>
      </c>
      <c r="J173" s="12" t="b">
        <v>0</v>
      </c>
    </row>
    <row r="174">
      <c r="A174" s="12" t="inlineStr">
        <is>
          <t>VS10</t>
        </is>
      </c>
      <c r="B174" s="12" t="b">
        <v>0</v>
      </c>
      <c r="C174" s="12" t="inlineStr">
        <is>
          <t>MS Rods</t>
        </is>
      </c>
      <c r="D174" s="12" t="n">
        <v>12</v>
      </c>
      <c r="E174" s="12" t="n">
        <v>0.58</v>
      </c>
      <c r="F174" s="12" t="n">
        <v>92574.99000000001</v>
      </c>
      <c r="G174" s="12" t="n">
        <v>9214.77</v>
      </c>
      <c r="H174" s="12" t="n">
        <v>0</v>
      </c>
      <c r="I174" s="12" t="n">
        <v>1.42</v>
      </c>
      <c r="J174" s="12" t="b">
        <v>0</v>
      </c>
    </row>
    <row r="175">
      <c r="A175" s="12" t="inlineStr">
        <is>
          <t>VS10</t>
        </is>
      </c>
      <c r="B175" s="12" t="b">
        <v>0</v>
      </c>
      <c r="C175" s="12" t="inlineStr">
        <is>
          <t>SS Pipes</t>
        </is>
      </c>
      <c r="D175" s="12" t="n">
        <v>8</v>
      </c>
      <c r="E175" s="12" t="n">
        <v>0.5</v>
      </c>
      <c r="F175" s="12" t="n">
        <v>92511.5</v>
      </c>
      <c r="G175" s="12" t="n">
        <v>-6259.36</v>
      </c>
      <c r="H175" s="12" t="n">
        <v>0</v>
      </c>
      <c r="I175" s="12" t="n">
        <v>2.5</v>
      </c>
      <c r="J175" s="12" t="b">
        <v>0</v>
      </c>
    </row>
    <row r="176">
      <c r="A176" s="12" t="inlineStr">
        <is>
          <t>VS10</t>
        </is>
      </c>
      <c r="B176" s="12" t="b">
        <v>0</v>
      </c>
      <c r="C176" s="12" t="inlineStr">
        <is>
          <t>SS Sheets</t>
        </is>
      </c>
      <c r="D176" s="12" t="n">
        <v>11</v>
      </c>
      <c r="E176" s="12" t="n">
        <v>0.58</v>
      </c>
      <c r="F176" s="12" t="n">
        <v>140919.81</v>
      </c>
      <c r="G176" s="12" t="n">
        <v>15101.99</v>
      </c>
      <c r="H176" s="12" t="n">
        <v>0</v>
      </c>
      <c r="I176" s="12" t="n">
        <v>1.82</v>
      </c>
      <c r="J176" s="12" t="b">
        <v>0</v>
      </c>
    </row>
    <row r="177">
      <c r="A177" s="12" t="inlineStr">
        <is>
          <t>VS10</t>
        </is>
      </c>
      <c r="B177" s="12" t="b">
        <v>0</v>
      </c>
      <c r="C177" s="12" t="inlineStr">
        <is>
          <t>Spring Steel</t>
        </is>
      </c>
      <c r="D177" s="12" t="n">
        <v>8</v>
      </c>
      <c r="E177" s="12" t="n">
        <v>0.43</v>
      </c>
      <c r="F177" s="12" t="n">
        <v>83749.13</v>
      </c>
      <c r="G177" s="12" t="n">
        <v>-27282.07</v>
      </c>
      <c r="H177" s="12" t="n">
        <v>0</v>
      </c>
      <c r="I177" s="12" t="n">
        <v>1.38</v>
      </c>
      <c r="J177" s="12" t="b">
        <v>0</v>
      </c>
    </row>
    <row r="178">
      <c r="A178" s="12" t="inlineStr">
        <is>
          <t>VS10</t>
        </is>
      </c>
      <c r="B178" s="12" t="b">
        <v>0</v>
      </c>
      <c r="C178" s="12" t="inlineStr">
        <is>
          <t>Square/Rect Tubes</t>
        </is>
      </c>
      <c r="D178" s="12" t="n">
        <v>11</v>
      </c>
      <c r="E178" s="12" t="n">
        <v>0.46</v>
      </c>
      <c r="F178" s="12" t="n">
        <v>119703.79</v>
      </c>
      <c r="G178" s="12" t="n">
        <v>-10844.1</v>
      </c>
      <c r="H178" s="12" t="n">
        <v>0</v>
      </c>
      <c r="I178" s="12" t="n">
        <v>1.55</v>
      </c>
      <c r="J178" s="12" t="b">
        <v>0</v>
      </c>
    </row>
    <row r="179">
      <c r="A179" s="12" t="inlineStr">
        <is>
          <t>VS10</t>
        </is>
      </c>
      <c r="B179" s="12" t="b">
        <v>0</v>
      </c>
      <c r="C179" s="12" t="inlineStr">
        <is>
          <t>Structural Steel</t>
        </is>
      </c>
      <c r="D179" s="12" t="n">
        <v>8</v>
      </c>
      <c r="E179" s="12" t="n">
        <v>0.46</v>
      </c>
      <c r="F179" s="12" t="n">
        <v>72327.05</v>
      </c>
      <c r="G179" s="12" t="n">
        <v>-16124.42</v>
      </c>
      <c r="H179" s="12" t="n">
        <v>0</v>
      </c>
      <c r="I179" s="12" t="n">
        <v>1.62</v>
      </c>
      <c r="J179" s="12" t="b">
        <v>0</v>
      </c>
    </row>
    <row r="180">
      <c r="A180" s="12" t="inlineStr">
        <is>
          <t>VS10</t>
        </is>
      </c>
      <c r="B180" s="12" t="b">
        <v>1</v>
      </c>
      <c r="C180" s="12" t="inlineStr">
        <is>
          <t>Angles &amp; Channels</t>
        </is>
      </c>
      <c r="D180" s="12" t="n">
        <v>7</v>
      </c>
      <c r="E180" s="12" t="n">
        <v>0.72</v>
      </c>
      <c r="F180" s="12" t="n">
        <v>112398.89</v>
      </c>
      <c r="G180" s="12" t="n">
        <v>34552.5</v>
      </c>
      <c r="H180" s="12" t="n">
        <v>0</v>
      </c>
      <c r="I180" s="12" t="n">
        <v>1.14</v>
      </c>
      <c r="J180" s="12" t="b">
        <v>0</v>
      </c>
    </row>
    <row r="181">
      <c r="A181" s="12" t="inlineStr">
        <is>
          <t>VS10</t>
        </is>
      </c>
      <c r="B181" s="12" t="b">
        <v>1</v>
      </c>
      <c r="C181" s="12" t="inlineStr">
        <is>
          <t>MS Sheets</t>
        </is>
      </c>
      <c r="D181" s="12" t="n">
        <v>9</v>
      </c>
      <c r="E181" s="12" t="n">
        <v>0.37</v>
      </c>
      <c r="F181" s="12" t="n">
        <v>38393.5</v>
      </c>
      <c r="G181" s="12" t="n">
        <v>-15266.18</v>
      </c>
      <c r="H181" s="12" t="n">
        <v>0</v>
      </c>
      <c r="I181" s="12" t="n">
        <v>2.22</v>
      </c>
      <c r="J181" s="12" t="b">
        <v>0</v>
      </c>
    </row>
    <row r="182">
      <c r="A182" s="12" t="inlineStr">
        <is>
          <t>VS11</t>
        </is>
      </c>
      <c r="B182" s="12" t="b">
        <v>0</v>
      </c>
      <c r="C182" s="12" t="inlineStr">
        <is>
          <t>Angles &amp; Channels</t>
        </is>
      </c>
      <c r="D182" s="12" t="n">
        <v>7</v>
      </c>
      <c r="E182" s="12" t="n">
        <v>0.4</v>
      </c>
      <c r="F182" s="12" t="n">
        <v>48246.04</v>
      </c>
      <c r="G182" s="12" t="n">
        <v>-14668.01</v>
      </c>
      <c r="H182" s="12" t="n">
        <v>0</v>
      </c>
      <c r="I182" s="12" t="n">
        <v>1.43</v>
      </c>
      <c r="J182" s="12" t="b">
        <v>0</v>
      </c>
    </row>
    <row r="183">
      <c r="A183" s="12" t="inlineStr">
        <is>
          <t>VS11</t>
        </is>
      </c>
      <c r="B183" s="12" t="b">
        <v>0</v>
      </c>
      <c r="C183" s="12" t="inlineStr">
        <is>
          <t>CR Sheets</t>
        </is>
      </c>
      <c r="D183" s="12" t="n">
        <v>6</v>
      </c>
      <c r="E183" s="12" t="n">
        <v>0.43</v>
      </c>
      <c r="F183" s="12" t="n">
        <v>44873.06</v>
      </c>
      <c r="G183" s="12" t="n">
        <v>-15821</v>
      </c>
      <c r="H183" s="12" t="n">
        <v>0</v>
      </c>
      <c r="I183" s="12" t="n">
        <v>2</v>
      </c>
      <c r="J183" s="12" t="b">
        <v>0</v>
      </c>
    </row>
    <row r="184">
      <c r="A184" s="12" t="inlineStr">
        <is>
          <t>VS11</t>
        </is>
      </c>
      <c r="B184" s="12" t="b">
        <v>0</v>
      </c>
      <c r="C184" s="12" t="inlineStr">
        <is>
          <t>ERW Pipes</t>
        </is>
      </c>
      <c r="D184" s="12" t="n">
        <v>9</v>
      </c>
      <c r="E184" s="12" t="n">
        <v>0.66</v>
      </c>
      <c r="F184" s="12" t="n">
        <v>119132.88</v>
      </c>
      <c r="G184" s="12" t="n">
        <v>30072.68</v>
      </c>
      <c r="H184" s="12" t="n">
        <v>0</v>
      </c>
      <c r="I184" s="12" t="n">
        <v>1.67</v>
      </c>
      <c r="J184" s="12" t="b">
        <v>0</v>
      </c>
    </row>
    <row r="185">
      <c r="A185" s="12" t="inlineStr">
        <is>
          <t>VS11</t>
        </is>
      </c>
      <c r="B185" s="12" t="b">
        <v>0</v>
      </c>
      <c r="C185" s="12" t="inlineStr">
        <is>
          <t>Fasteners &amp; Fittings</t>
        </is>
      </c>
      <c r="D185" s="12" t="n">
        <v>8</v>
      </c>
      <c r="E185" s="12" t="n">
        <v>0.53</v>
      </c>
      <c r="F185" s="12" t="n">
        <v>91475.31</v>
      </c>
      <c r="G185" s="12" t="n">
        <v>5265.79</v>
      </c>
      <c r="H185" s="12" t="n">
        <v>0</v>
      </c>
      <c r="I185" s="12" t="n">
        <v>2</v>
      </c>
      <c r="J185" s="12" t="b">
        <v>0</v>
      </c>
    </row>
    <row r="186">
      <c r="A186" s="12" t="inlineStr">
        <is>
          <t>VS11</t>
        </is>
      </c>
      <c r="B186" s="12" t="b">
        <v>0</v>
      </c>
      <c r="C186" s="12" t="inlineStr">
        <is>
          <t>GI Pipes</t>
        </is>
      </c>
      <c r="D186" s="12" t="n">
        <v>13</v>
      </c>
      <c r="E186" s="12" t="n">
        <v>0.39</v>
      </c>
      <c r="F186" s="12" t="n">
        <v>66260.24000000001</v>
      </c>
      <c r="G186" s="12" t="n">
        <v>-21098.21</v>
      </c>
      <c r="H186" s="12" t="n">
        <v>0</v>
      </c>
      <c r="I186" s="12" t="n">
        <v>1.38</v>
      </c>
      <c r="J186" s="12" t="b">
        <v>0</v>
      </c>
    </row>
    <row r="187">
      <c r="A187" s="12" t="inlineStr">
        <is>
          <t>VS11</t>
        </is>
      </c>
      <c r="B187" s="12" t="b">
        <v>0</v>
      </c>
      <c r="C187" s="12" t="inlineStr">
        <is>
          <t>GI Sheets</t>
        </is>
      </c>
      <c r="D187" s="12" t="n">
        <v>2</v>
      </c>
      <c r="E187" s="12" t="n">
        <v>0.71</v>
      </c>
      <c r="F187" s="12" t="n">
        <v>42881.82</v>
      </c>
      <c r="G187" s="12" t="n">
        <v>13035.29</v>
      </c>
      <c r="H187" s="12" t="n">
        <v>0</v>
      </c>
      <c r="I187" s="12" t="n">
        <v>2</v>
      </c>
      <c r="J187" s="12" t="b">
        <v>1</v>
      </c>
    </row>
    <row r="188">
      <c r="A188" s="12" t="inlineStr">
        <is>
          <t>VS11</t>
        </is>
      </c>
      <c r="B188" s="12" t="b">
        <v>0</v>
      </c>
      <c r="C188" s="12" t="inlineStr">
        <is>
          <t>GI Wire</t>
        </is>
      </c>
      <c r="D188" s="12" t="n">
        <v>8</v>
      </c>
      <c r="E188" s="12" t="n">
        <v>0.52</v>
      </c>
      <c r="F188" s="12" t="n">
        <v>75275.44</v>
      </c>
      <c r="G188" s="12" t="n">
        <v>1999.53</v>
      </c>
      <c r="H188" s="12" t="n">
        <v>0</v>
      </c>
      <c r="I188" s="12" t="n">
        <v>1.12</v>
      </c>
      <c r="J188" s="12" t="b">
        <v>0</v>
      </c>
    </row>
    <row r="189">
      <c r="A189" s="12" t="inlineStr">
        <is>
          <t>VS11</t>
        </is>
      </c>
      <c r="B189" s="12" t="b">
        <v>0</v>
      </c>
      <c r="C189" s="12" t="inlineStr">
        <is>
          <t>Hex Bars</t>
        </is>
      </c>
      <c r="D189" s="12" t="n">
        <v>9</v>
      </c>
      <c r="E189" s="12" t="n">
        <v>0.6899999999999999</v>
      </c>
      <c r="F189" s="12" t="n">
        <v>175649.2</v>
      </c>
      <c r="G189" s="12" t="n">
        <v>43328.87</v>
      </c>
      <c r="H189" s="12" t="n">
        <v>0</v>
      </c>
      <c r="I189" s="12" t="n">
        <v>1</v>
      </c>
      <c r="J189" s="12" t="b">
        <v>0</v>
      </c>
    </row>
    <row r="190">
      <c r="A190" s="12" t="inlineStr">
        <is>
          <t>VS11</t>
        </is>
      </c>
      <c r="B190" s="12" t="b">
        <v>0</v>
      </c>
      <c r="C190" s="12" t="inlineStr">
        <is>
          <t>MS Flats</t>
        </is>
      </c>
      <c r="D190" s="12" t="n">
        <v>9</v>
      </c>
      <c r="E190" s="12" t="n">
        <v>0.42</v>
      </c>
      <c r="F190" s="12" t="n">
        <v>77358.48</v>
      </c>
      <c r="G190" s="12" t="n">
        <v>-19455.75</v>
      </c>
      <c r="H190" s="12" t="n">
        <v>0</v>
      </c>
      <c r="I190" s="12" t="n">
        <v>1.44</v>
      </c>
      <c r="J190" s="12" t="b">
        <v>0</v>
      </c>
    </row>
    <row r="191">
      <c r="A191" s="12" t="inlineStr">
        <is>
          <t>VS11</t>
        </is>
      </c>
      <c r="B191" s="12" t="b">
        <v>0</v>
      </c>
      <c r="C191" s="12" t="inlineStr">
        <is>
          <t>MS Pipes</t>
        </is>
      </c>
      <c r="D191" s="12" t="n">
        <v>10</v>
      </c>
      <c r="E191" s="12" t="n">
        <v>0.55</v>
      </c>
      <c r="F191" s="12" t="n">
        <v>95212.92999999999</v>
      </c>
      <c r="G191" s="12" t="n">
        <v>7814.85</v>
      </c>
      <c r="H191" s="12" t="n">
        <v>0</v>
      </c>
      <c r="I191" s="12" t="n">
        <v>1.5</v>
      </c>
      <c r="J191" s="12" t="b">
        <v>0</v>
      </c>
    </row>
    <row r="192">
      <c r="A192" s="12" t="inlineStr">
        <is>
          <t>VS11</t>
        </is>
      </c>
      <c r="B192" s="12" t="b">
        <v>0</v>
      </c>
      <c r="C192" s="12" t="inlineStr">
        <is>
          <t>MS Rods</t>
        </is>
      </c>
      <c r="D192" s="12" t="n">
        <v>13</v>
      </c>
      <c r="E192" s="12" t="n">
        <v>0.51</v>
      </c>
      <c r="F192" s="12" t="n">
        <v>119428.76</v>
      </c>
      <c r="G192" s="12" t="n">
        <v>-5808.42</v>
      </c>
      <c r="H192" s="12" t="n">
        <v>0</v>
      </c>
      <c r="I192" s="12" t="n">
        <v>1.46</v>
      </c>
      <c r="J192" s="12" t="b">
        <v>0</v>
      </c>
    </row>
    <row r="193">
      <c r="A193" s="12" t="inlineStr">
        <is>
          <t>VS11</t>
        </is>
      </c>
      <c r="B193" s="12" t="b">
        <v>0</v>
      </c>
      <c r="C193" s="12" t="inlineStr">
        <is>
          <t>SS Sheets</t>
        </is>
      </c>
      <c r="D193" s="12" t="n">
        <v>7</v>
      </c>
      <c r="E193" s="12" t="n">
        <v>0.48</v>
      </c>
      <c r="F193" s="12" t="n">
        <v>55954.52</v>
      </c>
      <c r="G193" s="12" t="n">
        <v>-4685.43</v>
      </c>
      <c r="H193" s="12" t="n">
        <v>0</v>
      </c>
      <c r="I193" s="12" t="n">
        <v>1.57</v>
      </c>
      <c r="J193" s="12" t="b">
        <v>0</v>
      </c>
    </row>
    <row r="194">
      <c r="A194" s="12" t="inlineStr">
        <is>
          <t>VS11</t>
        </is>
      </c>
      <c r="B194" s="12" t="b">
        <v>0</v>
      </c>
      <c r="C194" s="12" t="inlineStr">
        <is>
          <t>Spring Steel</t>
        </is>
      </c>
      <c r="D194" s="12" t="n">
        <v>4</v>
      </c>
      <c r="E194" s="12" t="n">
        <v>0.42</v>
      </c>
      <c r="F194" s="12" t="n">
        <v>57116.66</v>
      </c>
      <c r="G194" s="12" t="n">
        <v>-11448.88</v>
      </c>
      <c r="H194" s="12" t="n">
        <v>0</v>
      </c>
      <c r="I194" s="12" t="n">
        <v>2.75</v>
      </c>
      <c r="J194" s="12" t="b">
        <v>1</v>
      </c>
    </row>
    <row r="195">
      <c r="A195" s="12" t="inlineStr">
        <is>
          <t>VS11</t>
        </is>
      </c>
      <c r="B195" s="12" t="b">
        <v>0</v>
      </c>
      <c r="C195" s="12" t="inlineStr">
        <is>
          <t>Square/Rect Tubes</t>
        </is>
      </c>
      <c r="D195" s="12" t="n">
        <v>7</v>
      </c>
      <c r="E195" s="12" t="n">
        <v>0.25</v>
      </c>
      <c r="F195" s="12" t="n">
        <v>21022.79</v>
      </c>
      <c r="G195" s="12" t="n">
        <v>-15361.63</v>
      </c>
      <c r="H195" s="12" t="n">
        <v>0</v>
      </c>
      <c r="I195" s="12" t="n">
        <v>1.86</v>
      </c>
      <c r="J195" s="12" t="b">
        <v>0</v>
      </c>
    </row>
    <row r="196">
      <c r="A196" s="12" t="inlineStr">
        <is>
          <t>VS11</t>
        </is>
      </c>
      <c r="B196" s="12" t="b">
        <v>0</v>
      </c>
      <c r="C196" s="12" t="inlineStr">
        <is>
          <t>Structural Steel</t>
        </is>
      </c>
      <c r="D196" s="12" t="n">
        <v>4</v>
      </c>
      <c r="E196" s="12" t="n">
        <v>0.59</v>
      </c>
      <c r="F196" s="12" t="n">
        <v>49590.84</v>
      </c>
      <c r="G196" s="12" t="n">
        <v>10627.35</v>
      </c>
      <c r="H196" s="12" t="n">
        <v>0</v>
      </c>
      <c r="I196" s="12" t="n">
        <v>2</v>
      </c>
      <c r="J196" s="12" t="b">
        <v>1</v>
      </c>
    </row>
    <row r="197">
      <c r="A197" s="12" t="inlineStr">
        <is>
          <t>VS11</t>
        </is>
      </c>
      <c r="B197" s="12" t="b">
        <v>1</v>
      </c>
      <c r="C197" s="12" t="inlineStr">
        <is>
          <t>HR Coils</t>
        </is>
      </c>
      <c r="D197" s="12" t="n">
        <v>6</v>
      </c>
      <c r="E197" s="12" t="n">
        <v>0.59</v>
      </c>
      <c r="F197" s="12" t="n">
        <v>59625.15</v>
      </c>
      <c r="G197" s="12" t="n">
        <v>4850.34</v>
      </c>
      <c r="H197" s="12" t="n">
        <v>0</v>
      </c>
      <c r="I197" s="12" t="n">
        <v>2.17</v>
      </c>
      <c r="J197" s="12" t="b">
        <v>0</v>
      </c>
    </row>
    <row r="198">
      <c r="A198" s="12" t="inlineStr">
        <is>
          <t>VS11</t>
        </is>
      </c>
      <c r="B198" s="12" t="b">
        <v>1</v>
      </c>
      <c r="C198" s="12" t="inlineStr">
        <is>
          <t>MS Sheets</t>
        </is>
      </c>
      <c r="D198" s="12" t="n">
        <v>3</v>
      </c>
      <c r="E198" s="12" t="n">
        <v>0.45</v>
      </c>
      <c r="F198" s="12" t="n">
        <v>20298.97</v>
      </c>
      <c r="G198" s="12" t="n">
        <v>-1154.22</v>
      </c>
      <c r="H198" s="12" t="n">
        <v>0</v>
      </c>
      <c r="I198" s="12" t="n">
        <v>1</v>
      </c>
      <c r="J198" s="12" t="b">
        <v>1</v>
      </c>
    </row>
    <row r="199">
      <c r="A199" s="12" t="inlineStr">
        <is>
          <t>VS11</t>
        </is>
      </c>
      <c r="B199" s="12" t="b">
        <v>1</v>
      </c>
      <c r="C199" s="12" t="inlineStr">
        <is>
          <t>SS Pipes</t>
        </is>
      </c>
      <c r="D199" s="12" t="n">
        <v>11</v>
      </c>
      <c r="E199" s="12" t="n">
        <v>0.39</v>
      </c>
      <c r="F199" s="12" t="n">
        <v>113033.31</v>
      </c>
      <c r="G199" s="12" t="n">
        <v>-38410.48</v>
      </c>
      <c r="H199" s="12" t="n">
        <v>0</v>
      </c>
      <c r="I199" s="12" t="n">
        <v>1.82</v>
      </c>
      <c r="J199" s="12" t="b">
        <v>0</v>
      </c>
    </row>
    <row r="200">
      <c r="A200" s="12" t="inlineStr">
        <is>
          <t>VS12</t>
        </is>
      </c>
      <c r="B200" s="12" t="b">
        <v>0</v>
      </c>
      <c r="C200" s="12" t="inlineStr">
        <is>
          <t>Angles &amp; Channels</t>
        </is>
      </c>
      <c r="D200" s="12" t="n">
        <v>4</v>
      </c>
      <c r="E200" s="12" t="n">
        <v>3.54</v>
      </c>
      <c r="F200" s="12" t="n">
        <v>295914.85</v>
      </c>
      <c r="G200" s="12" t="n">
        <v>253417.87</v>
      </c>
      <c r="H200" s="12" t="n">
        <v>169736.95</v>
      </c>
      <c r="I200" s="12" t="n">
        <v>5.75</v>
      </c>
      <c r="J200" s="12" t="b">
        <v>1</v>
      </c>
    </row>
    <row r="201">
      <c r="A201" s="12" t="inlineStr">
        <is>
          <t>VS12</t>
        </is>
      </c>
      <c r="B201" s="12" t="b">
        <v>0</v>
      </c>
      <c r="C201" s="12" t="inlineStr">
        <is>
          <t>CR Sheets</t>
        </is>
      </c>
      <c r="D201" s="12" t="n">
        <v>6</v>
      </c>
      <c r="E201" s="12" t="n">
        <v>3.19</v>
      </c>
      <c r="F201" s="12" t="n">
        <v>283914.73</v>
      </c>
      <c r="G201" s="12" t="n">
        <v>238811.34</v>
      </c>
      <c r="H201" s="12" t="n">
        <v>191930.43</v>
      </c>
      <c r="I201" s="12" t="n">
        <v>4.83</v>
      </c>
      <c r="J201" s="12" t="b">
        <v>0</v>
      </c>
    </row>
    <row r="202">
      <c r="A202" s="12" t="inlineStr">
        <is>
          <t>VS12</t>
        </is>
      </c>
      <c r="B202" s="12" t="b">
        <v>0</v>
      </c>
      <c r="C202" s="12" t="inlineStr">
        <is>
          <t>ERW Pipes</t>
        </is>
      </c>
      <c r="D202" s="12" t="n">
        <v>9</v>
      </c>
      <c r="E202" s="12" t="n">
        <v>3.66</v>
      </c>
      <c r="F202" s="12" t="n">
        <v>514298.35</v>
      </c>
      <c r="G202" s="12" t="n">
        <v>443502.32</v>
      </c>
      <c r="H202" s="12" t="n">
        <v>197537.82</v>
      </c>
      <c r="I202" s="12" t="n">
        <v>4.56</v>
      </c>
      <c r="J202" s="12" t="b">
        <v>0</v>
      </c>
    </row>
    <row r="203">
      <c r="A203" s="12" t="inlineStr">
        <is>
          <t>VS12</t>
        </is>
      </c>
      <c r="B203" s="12" t="b">
        <v>0</v>
      </c>
      <c r="C203" s="12" t="inlineStr">
        <is>
          <t>Fasteners &amp; Fittings</t>
        </is>
      </c>
      <c r="D203" s="12" t="n">
        <v>6</v>
      </c>
      <c r="E203" s="12" t="n">
        <v>3.63</v>
      </c>
      <c r="F203" s="12" t="n">
        <v>451476.34</v>
      </c>
      <c r="G203" s="12" t="n">
        <v>386783.15</v>
      </c>
      <c r="H203" s="12" t="n">
        <v>388551.01</v>
      </c>
      <c r="I203" s="12" t="n">
        <v>6</v>
      </c>
      <c r="J203" s="12" t="b">
        <v>0</v>
      </c>
    </row>
    <row r="204">
      <c r="A204" s="12" t="inlineStr">
        <is>
          <t>VS12</t>
        </is>
      </c>
      <c r="B204" s="12" t="b">
        <v>0</v>
      </c>
      <c r="C204" s="12" t="inlineStr">
        <is>
          <t>GI Pipes</t>
        </is>
      </c>
      <c r="D204" s="12" t="n">
        <v>8</v>
      </c>
      <c r="E204" s="12" t="n">
        <v>3.5</v>
      </c>
      <c r="F204" s="12" t="n">
        <v>804229.75</v>
      </c>
      <c r="G204" s="12" t="n">
        <v>689134.13</v>
      </c>
      <c r="H204" s="12" t="n">
        <v>435713.8</v>
      </c>
      <c r="I204" s="12" t="n">
        <v>3.25</v>
      </c>
      <c r="J204" s="12" t="b">
        <v>0</v>
      </c>
    </row>
    <row r="205">
      <c r="A205" s="12" t="inlineStr">
        <is>
          <t>VS12</t>
        </is>
      </c>
      <c r="B205" s="12" t="b">
        <v>0</v>
      </c>
      <c r="C205" s="12" t="inlineStr">
        <is>
          <t>GI Sheets</t>
        </is>
      </c>
      <c r="D205" s="12" t="n">
        <v>9</v>
      </c>
      <c r="E205" s="12" t="n">
        <v>3.7</v>
      </c>
      <c r="F205" s="12" t="n">
        <v>717384.91</v>
      </c>
      <c r="G205" s="12" t="n">
        <v>618456.4300000001</v>
      </c>
      <c r="H205" s="12" t="n">
        <v>404845.88</v>
      </c>
      <c r="I205" s="12" t="n">
        <v>4.33</v>
      </c>
      <c r="J205" s="12" t="b">
        <v>0</v>
      </c>
    </row>
    <row r="206">
      <c r="A206" s="12" t="inlineStr">
        <is>
          <t>VS12</t>
        </is>
      </c>
      <c r="B206" s="12" t="b">
        <v>0</v>
      </c>
      <c r="C206" s="12" t="inlineStr">
        <is>
          <t>GI Wire</t>
        </is>
      </c>
      <c r="D206" s="12" t="n">
        <v>5</v>
      </c>
      <c r="E206" s="12" t="n">
        <v>3.36</v>
      </c>
      <c r="F206" s="12" t="n">
        <v>347743.03</v>
      </c>
      <c r="G206" s="12" t="n">
        <v>295289.84</v>
      </c>
      <c r="H206" s="12" t="n">
        <v>355475.06</v>
      </c>
      <c r="I206" s="12" t="n">
        <v>6.4</v>
      </c>
      <c r="J206" s="12" t="b">
        <v>0</v>
      </c>
    </row>
    <row r="207">
      <c r="A207" s="12" t="inlineStr">
        <is>
          <t>VS12</t>
        </is>
      </c>
      <c r="B207" s="12" t="b">
        <v>0</v>
      </c>
      <c r="C207" s="12" t="inlineStr">
        <is>
          <t>Hex Bars</t>
        </is>
      </c>
      <c r="D207" s="12" t="n">
        <v>6</v>
      </c>
      <c r="E207" s="12" t="n">
        <v>4.01</v>
      </c>
      <c r="F207" s="12" t="n">
        <v>329966.89</v>
      </c>
      <c r="G207" s="12" t="n">
        <v>287105.14</v>
      </c>
      <c r="H207" s="12" t="n">
        <v>296682.54</v>
      </c>
      <c r="I207" s="12" t="n">
        <v>4</v>
      </c>
      <c r="J207" s="12" t="b">
        <v>0</v>
      </c>
    </row>
    <row r="208">
      <c r="A208" s="12" t="inlineStr">
        <is>
          <t>VS12</t>
        </is>
      </c>
      <c r="B208" s="12" t="b">
        <v>0</v>
      </c>
      <c r="C208" s="12" t="inlineStr">
        <is>
          <t>MS Pipes</t>
        </is>
      </c>
      <c r="D208" s="12" t="n">
        <v>7</v>
      </c>
      <c r="E208" s="12" t="n">
        <v>3</v>
      </c>
      <c r="F208" s="12" t="n">
        <v>443462.85</v>
      </c>
      <c r="G208" s="12" t="n">
        <v>365799.16</v>
      </c>
      <c r="H208" s="12" t="n">
        <v>257164.21</v>
      </c>
      <c r="I208" s="12" t="n">
        <v>6.71</v>
      </c>
      <c r="J208" s="12" t="b">
        <v>0</v>
      </c>
    </row>
    <row r="209">
      <c r="A209" s="12" t="inlineStr">
        <is>
          <t>VS12</t>
        </is>
      </c>
      <c r="B209" s="12" t="b">
        <v>0</v>
      </c>
      <c r="C209" s="12" t="inlineStr">
        <is>
          <t>MS Rods</t>
        </is>
      </c>
      <c r="D209" s="12" t="n">
        <v>9</v>
      </c>
      <c r="E209" s="12" t="n">
        <v>4.01</v>
      </c>
      <c r="F209" s="12" t="n">
        <v>1179076.66</v>
      </c>
      <c r="G209" s="12" t="n">
        <v>1028823.83</v>
      </c>
      <c r="H209" s="12" t="n">
        <v>771433.03</v>
      </c>
      <c r="I209" s="12" t="n">
        <v>5.22</v>
      </c>
      <c r="J209" s="12" t="b">
        <v>0</v>
      </c>
    </row>
    <row r="210">
      <c r="A210" s="12" t="inlineStr">
        <is>
          <t>VS12</t>
        </is>
      </c>
      <c r="B210" s="12" t="b">
        <v>0</v>
      </c>
      <c r="C210" s="12" t="inlineStr">
        <is>
          <t>MS Sheets</t>
        </is>
      </c>
      <c r="D210" s="12" t="n">
        <v>12</v>
      </c>
      <c r="E210" s="12" t="n">
        <v>3.81</v>
      </c>
      <c r="F210" s="12" t="n">
        <v>895219.08</v>
      </c>
      <c r="G210" s="12" t="n">
        <v>775430.71</v>
      </c>
      <c r="H210" s="12" t="n">
        <v>575435.8100000001</v>
      </c>
      <c r="I210" s="12" t="n">
        <v>5.75</v>
      </c>
      <c r="J210" s="12" t="b">
        <v>0</v>
      </c>
    </row>
    <row r="211">
      <c r="A211" s="12" t="inlineStr">
        <is>
          <t>VS12</t>
        </is>
      </c>
      <c r="B211" s="12" t="b">
        <v>0</v>
      </c>
      <c r="C211" s="12" t="inlineStr">
        <is>
          <t>SS Pipes</t>
        </is>
      </c>
      <c r="D211" s="12" t="n">
        <v>9</v>
      </c>
      <c r="E211" s="12" t="n">
        <v>3.01</v>
      </c>
      <c r="F211" s="12" t="n">
        <v>793411.54</v>
      </c>
      <c r="G211" s="12" t="n">
        <v>665234.66</v>
      </c>
      <c r="H211" s="12" t="n">
        <v>947423.6899999999</v>
      </c>
      <c r="I211" s="12" t="n">
        <v>4.78</v>
      </c>
      <c r="J211" s="12" t="b">
        <v>0</v>
      </c>
    </row>
    <row r="212">
      <c r="A212" s="12" t="inlineStr">
        <is>
          <t>VS12</t>
        </is>
      </c>
      <c r="B212" s="12" t="b">
        <v>0</v>
      </c>
      <c r="C212" s="12" t="inlineStr">
        <is>
          <t>SS Sheets</t>
        </is>
      </c>
      <c r="D212" s="12" t="n">
        <v>7</v>
      </c>
      <c r="E212" s="12" t="n">
        <v>3.37</v>
      </c>
      <c r="F212" s="12" t="n">
        <v>475391.68</v>
      </c>
      <c r="G212" s="12" t="n">
        <v>407750.77</v>
      </c>
      <c r="H212" s="12" t="n">
        <v>268826.64</v>
      </c>
      <c r="I212" s="12" t="n">
        <v>6.43</v>
      </c>
      <c r="J212" s="12" t="b">
        <v>0</v>
      </c>
    </row>
    <row r="213">
      <c r="A213" s="12" t="inlineStr">
        <is>
          <t>VS12</t>
        </is>
      </c>
      <c r="B213" s="12" t="b">
        <v>0</v>
      </c>
      <c r="C213" s="12" t="inlineStr">
        <is>
          <t>Square/Rect Tubes</t>
        </is>
      </c>
      <c r="D213" s="12" t="n">
        <v>5</v>
      </c>
      <c r="E213" s="12" t="n">
        <v>2.93</v>
      </c>
      <c r="F213" s="12" t="n">
        <v>246258.53</v>
      </c>
      <c r="G213" s="12" t="n">
        <v>201261.96</v>
      </c>
      <c r="H213" s="12" t="n">
        <v>218279.22</v>
      </c>
      <c r="I213" s="12" t="n">
        <v>5.4</v>
      </c>
      <c r="J213" s="12" t="b">
        <v>0</v>
      </c>
    </row>
    <row r="214">
      <c r="A214" s="12" t="inlineStr">
        <is>
          <t>VS12</t>
        </is>
      </c>
      <c r="B214" s="12" t="b">
        <v>0</v>
      </c>
      <c r="C214" s="12" t="inlineStr">
        <is>
          <t>Structural Steel</t>
        </is>
      </c>
      <c r="D214" s="12" t="n">
        <v>8</v>
      </c>
      <c r="E214" s="12" t="n">
        <v>3.65</v>
      </c>
      <c r="F214" s="12" t="n">
        <v>675186.87</v>
      </c>
      <c r="G214" s="12" t="n">
        <v>574699.52</v>
      </c>
      <c r="H214" s="12" t="n">
        <v>394106.09</v>
      </c>
      <c r="I214" s="12" t="n">
        <v>5.75</v>
      </c>
      <c r="J214" s="12" t="b">
        <v>0</v>
      </c>
    </row>
    <row r="215">
      <c r="A215" s="12" t="inlineStr">
        <is>
          <t>VS12</t>
        </is>
      </c>
      <c r="B215" s="12" t="b">
        <v>1</v>
      </c>
      <c r="C215" s="12" t="inlineStr">
        <is>
          <t>HR Coils</t>
        </is>
      </c>
      <c r="D215" s="12" t="n">
        <v>13</v>
      </c>
      <c r="E215" s="12" t="n">
        <v>3.42</v>
      </c>
      <c r="F215" s="12" t="n">
        <v>1213410.43</v>
      </c>
      <c r="G215" s="12" t="n">
        <v>1025692.51</v>
      </c>
      <c r="H215" s="12" t="n">
        <v>966041.08</v>
      </c>
      <c r="I215" s="12" t="n">
        <v>4.08</v>
      </c>
      <c r="J215" s="12" t="b">
        <v>0</v>
      </c>
    </row>
    <row r="216">
      <c r="A216" s="12" t="inlineStr">
        <is>
          <t>VS12</t>
        </is>
      </c>
      <c r="B216" s="12" t="b">
        <v>1</v>
      </c>
      <c r="C216" s="12" t="inlineStr">
        <is>
          <t>MS Flats</t>
        </is>
      </c>
      <c r="D216" s="12" t="n">
        <v>11</v>
      </c>
      <c r="E216" s="12" t="n">
        <v>3.75</v>
      </c>
      <c r="F216" s="12" t="n">
        <v>1017562.94</v>
      </c>
      <c r="G216" s="12" t="n">
        <v>880320.51</v>
      </c>
      <c r="H216" s="12" t="n">
        <v>719879.29</v>
      </c>
      <c r="I216" s="12" t="n">
        <v>5.36</v>
      </c>
      <c r="J216" s="12" t="b">
        <v>0</v>
      </c>
    </row>
    <row r="217">
      <c r="A217" s="12" t="inlineStr">
        <is>
          <t>VS12</t>
        </is>
      </c>
      <c r="B217" s="12" t="b">
        <v>1</v>
      </c>
      <c r="C217" s="12" t="inlineStr">
        <is>
          <t>Spring Steel</t>
        </is>
      </c>
      <c r="D217" s="12" t="n">
        <v>13</v>
      </c>
      <c r="E217" s="12" t="n">
        <v>4</v>
      </c>
      <c r="F217" s="12" t="n">
        <v>1250696.42</v>
      </c>
      <c r="G217" s="12" t="n">
        <v>1089268.23</v>
      </c>
      <c r="H217" s="12" t="n">
        <v>669704.62</v>
      </c>
      <c r="I217" s="12" t="n">
        <v>4.77</v>
      </c>
      <c r="J217" s="12" t="b">
        <v>0</v>
      </c>
    </row>
    <row r="218">
      <c r="A218" s="12" t="inlineStr">
        <is>
          <t>VS13</t>
        </is>
      </c>
      <c r="B218" s="12" t="b">
        <v>0</v>
      </c>
      <c r="C218" s="12" t="inlineStr">
        <is>
          <t>Angles &amp; Channels</t>
        </is>
      </c>
      <c r="D218" s="12" t="n">
        <v>11</v>
      </c>
      <c r="E218" s="12" t="n">
        <v>0.61</v>
      </c>
      <c r="F218" s="12" t="n">
        <v>188332.4</v>
      </c>
      <c r="G218" s="12" t="n">
        <v>28797.91</v>
      </c>
      <c r="H218" s="12" t="n">
        <v>0</v>
      </c>
      <c r="I218" s="12" t="n">
        <v>1.27</v>
      </c>
      <c r="J218" s="12" t="b">
        <v>0</v>
      </c>
    </row>
    <row r="219">
      <c r="A219" s="12" t="inlineStr">
        <is>
          <t>VS13</t>
        </is>
      </c>
      <c r="B219" s="12" t="b">
        <v>0</v>
      </c>
      <c r="C219" s="12" t="inlineStr">
        <is>
          <t>ERW Pipes</t>
        </is>
      </c>
      <c r="D219" s="12" t="n">
        <v>6</v>
      </c>
      <c r="E219" s="12" t="n">
        <v>0.49</v>
      </c>
      <c r="F219" s="12" t="n">
        <v>47360.38</v>
      </c>
      <c r="G219" s="12" t="n">
        <v>-5888.49</v>
      </c>
      <c r="H219" s="12" t="n">
        <v>0</v>
      </c>
      <c r="I219" s="12" t="n">
        <v>1.5</v>
      </c>
      <c r="J219" s="12" t="b">
        <v>0</v>
      </c>
    </row>
    <row r="220">
      <c r="A220" s="12" t="inlineStr">
        <is>
          <t>VS13</t>
        </is>
      </c>
      <c r="B220" s="12" t="b">
        <v>0</v>
      </c>
      <c r="C220" s="12" t="inlineStr">
        <is>
          <t>Fasteners &amp; Fittings</t>
        </is>
      </c>
      <c r="D220" s="12" t="n">
        <v>7</v>
      </c>
      <c r="E220" s="12" t="n">
        <v>0.51</v>
      </c>
      <c r="F220" s="12" t="n">
        <v>81759.62</v>
      </c>
      <c r="G220" s="12" t="n">
        <v>11082.94</v>
      </c>
      <c r="H220" s="12" t="n">
        <v>0</v>
      </c>
      <c r="I220" s="12" t="n">
        <v>1.86</v>
      </c>
      <c r="J220" s="12" t="b">
        <v>0</v>
      </c>
    </row>
    <row r="221">
      <c r="A221" s="12" t="inlineStr">
        <is>
          <t>VS13</t>
        </is>
      </c>
      <c r="B221" s="12" t="b">
        <v>0</v>
      </c>
      <c r="C221" s="12" t="inlineStr">
        <is>
          <t>GI Pipes</t>
        </is>
      </c>
      <c r="D221" s="12" t="n">
        <v>5</v>
      </c>
      <c r="E221" s="12" t="n">
        <v>0.64</v>
      </c>
      <c r="F221" s="12" t="n">
        <v>100109.21</v>
      </c>
      <c r="G221" s="12" t="n">
        <v>17999.12</v>
      </c>
      <c r="H221" s="12" t="n">
        <v>0</v>
      </c>
      <c r="I221" s="12" t="n">
        <v>1.8</v>
      </c>
      <c r="J221" s="12" t="b">
        <v>0</v>
      </c>
    </row>
    <row r="222">
      <c r="A222" s="12" t="inlineStr">
        <is>
          <t>VS13</t>
        </is>
      </c>
      <c r="B222" s="12" t="b">
        <v>0</v>
      </c>
      <c r="C222" s="12" t="inlineStr">
        <is>
          <t>GI Sheets</t>
        </is>
      </c>
      <c r="D222" s="12" t="n">
        <v>6</v>
      </c>
      <c r="E222" s="12" t="n">
        <v>0.45</v>
      </c>
      <c r="F222" s="12" t="n">
        <v>65675.47</v>
      </c>
      <c r="G222" s="12" t="n">
        <v>-10462.05</v>
      </c>
      <c r="H222" s="12" t="n">
        <v>0</v>
      </c>
      <c r="I222" s="12" t="n">
        <v>2</v>
      </c>
      <c r="J222" s="12" t="b">
        <v>0</v>
      </c>
    </row>
    <row r="223">
      <c r="A223" s="12" t="inlineStr">
        <is>
          <t>VS13</t>
        </is>
      </c>
      <c r="B223" s="12" t="b">
        <v>0</v>
      </c>
      <c r="C223" s="12" t="inlineStr">
        <is>
          <t>GI Wire</t>
        </is>
      </c>
      <c r="D223" s="12" t="n">
        <v>1</v>
      </c>
      <c r="E223" s="12" t="n">
        <v>0.35</v>
      </c>
      <c r="F223" s="12" t="n">
        <v>7631.92</v>
      </c>
      <c r="G223" s="12" t="n">
        <v>-3643.09</v>
      </c>
      <c r="H223" s="12" t="n">
        <v>0</v>
      </c>
      <c r="I223" s="12" t="n">
        <v>2</v>
      </c>
      <c r="J223" s="12" t="b">
        <v>1</v>
      </c>
    </row>
    <row r="224">
      <c r="A224" s="12" t="inlineStr">
        <is>
          <t>VS13</t>
        </is>
      </c>
      <c r="B224" s="12" t="b">
        <v>0</v>
      </c>
      <c r="C224" s="12" t="inlineStr">
        <is>
          <t>HR Coils</t>
        </is>
      </c>
      <c r="D224" s="12" t="n">
        <v>8</v>
      </c>
      <c r="E224" s="12" t="n">
        <v>0.51</v>
      </c>
      <c r="F224" s="12" t="n">
        <v>111555.61</v>
      </c>
      <c r="G224" s="12" t="n">
        <v>4847.31</v>
      </c>
      <c r="H224" s="12" t="n">
        <v>0</v>
      </c>
      <c r="I224" s="12" t="n">
        <v>1.38</v>
      </c>
      <c r="J224" s="12" t="b">
        <v>0</v>
      </c>
    </row>
    <row r="225">
      <c r="A225" s="12" t="inlineStr">
        <is>
          <t>VS13</t>
        </is>
      </c>
      <c r="B225" s="12" t="b">
        <v>0</v>
      </c>
      <c r="C225" s="12" t="inlineStr">
        <is>
          <t>Hex Bars</t>
        </is>
      </c>
      <c r="D225" s="12" t="n">
        <v>6</v>
      </c>
      <c r="E225" s="12" t="n">
        <v>0.48</v>
      </c>
      <c r="F225" s="12" t="n">
        <v>66814.74000000001</v>
      </c>
      <c r="G225" s="12" t="n">
        <v>3432.89</v>
      </c>
      <c r="H225" s="12" t="n">
        <v>0</v>
      </c>
      <c r="I225" s="12" t="n">
        <v>1.83</v>
      </c>
      <c r="J225" s="12" t="b">
        <v>0</v>
      </c>
    </row>
    <row r="226">
      <c r="A226" s="12" t="inlineStr">
        <is>
          <t>VS13</t>
        </is>
      </c>
      <c r="B226" s="12" t="b">
        <v>0</v>
      </c>
      <c r="C226" s="12" t="inlineStr">
        <is>
          <t>MS Flats</t>
        </is>
      </c>
      <c r="D226" s="12" t="n">
        <v>5</v>
      </c>
      <c r="E226" s="12" t="n">
        <v>0.76</v>
      </c>
      <c r="F226" s="12" t="n">
        <v>102053.05</v>
      </c>
      <c r="G226" s="12" t="n">
        <v>32432.49</v>
      </c>
      <c r="H226" s="12" t="n">
        <v>0</v>
      </c>
      <c r="I226" s="12" t="n">
        <v>1</v>
      </c>
      <c r="J226" s="12" t="b">
        <v>0</v>
      </c>
    </row>
    <row r="227">
      <c r="A227" s="12" t="inlineStr">
        <is>
          <t>VS13</t>
        </is>
      </c>
      <c r="B227" s="12" t="b">
        <v>0</v>
      </c>
      <c r="C227" s="12" t="inlineStr">
        <is>
          <t>MS Pipes</t>
        </is>
      </c>
      <c r="D227" s="12" t="n">
        <v>10</v>
      </c>
      <c r="E227" s="12" t="n">
        <v>0.24</v>
      </c>
      <c r="F227" s="12" t="n">
        <v>33004.97</v>
      </c>
      <c r="G227" s="12" t="n">
        <v>-40314.05</v>
      </c>
      <c r="H227" s="12" t="n">
        <v>0</v>
      </c>
      <c r="I227" s="12" t="n">
        <v>1.2</v>
      </c>
      <c r="J227" s="12" t="b">
        <v>0</v>
      </c>
    </row>
    <row r="228">
      <c r="A228" s="12" t="inlineStr">
        <is>
          <t>VS13</t>
        </is>
      </c>
      <c r="B228" s="12" t="b">
        <v>0</v>
      </c>
      <c r="C228" s="12" t="inlineStr">
        <is>
          <t>MS Sheets</t>
        </is>
      </c>
      <c r="D228" s="12" t="n">
        <v>7</v>
      </c>
      <c r="E228" s="12" t="n">
        <v>0.64</v>
      </c>
      <c r="F228" s="12" t="n">
        <v>93961.78999999999</v>
      </c>
      <c r="G228" s="12" t="n">
        <v>17739.34</v>
      </c>
      <c r="H228" s="12" t="n">
        <v>0</v>
      </c>
      <c r="I228" s="12" t="n">
        <v>1.14</v>
      </c>
      <c r="J228" s="12" t="b">
        <v>0</v>
      </c>
    </row>
    <row r="229">
      <c r="A229" s="12" t="inlineStr">
        <is>
          <t>VS13</t>
        </is>
      </c>
      <c r="B229" s="12" t="b">
        <v>0</v>
      </c>
      <c r="C229" s="12" t="inlineStr">
        <is>
          <t>SS Pipes</t>
        </is>
      </c>
      <c r="D229" s="12" t="n">
        <v>5</v>
      </c>
      <c r="E229" s="12" t="n">
        <v>0.72</v>
      </c>
      <c r="F229" s="12" t="n">
        <v>67726.37</v>
      </c>
      <c r="G229" s="12" t="n">
        <v>21130.92</v>
      </c>
      <c r="H229" s="12" t="n">
        <v>0</v>
      </c>
      <c r="I229" s="12" t="n">
        <v>2</v>
      </c>
      <c r="J229" s="12" t="b">
        <v>0</v>
      </c>
    </row>
    <row r="230">
      <c r="A230" s="12" t="inlineStr">
        <is>
          <t>VS13</t>
        </is>
      </c>
      <c r="B230" s="12" t="b">
        <v>0</v>
      </c>
      <c r="C230" s="12" t="inlineStr">
        <is>
          <t>SS Sheets</t>
        </is>
      </c>
      <c r="D230" s="12" t="n">
        <v>8</v>
      </c>
      <c r="E230" s="12" t="n">
        <v>0.41</v>
      </c>
      <c r="F230" s="12" t="n">
        <v>63963.63</v>
      </c>
      <c r="G230" s="12" t="n">
        <v>-13825.44</v>
      </c>
      <c r="H230" s="12" t="n">
        <v>0</v>
      </c>
      <c r="I230" s="12" t="n">
        <v>2.5</v>
      </c>
      <c r="J230" s="12" t="b">
        <v>0</v>
      </c>
    </row>
    <row r="231">
      <c r="A231" s="12" t="inlineStr">
        <is>
          <t>VS13</t>
        </is>
      </c>
      <c r="B231" s="12" t="b">
        <v>0</v>
      </c>
      <c r="C231" s="12" t="inlineStr">
        <is>
          <t>Spring Steel</t>
        </is>
      </c>
      <c r="D231" s="12" t="n">
        <v>5</v>
      </c>
      <c r="E231" s="12" t="n">
        <v>0.64</v>
      </c>
      <c r="F231" s="12" t="n">
        <v>58824.18</v>
      </c>
      <c r="G231" s="12" t="n">
        <v>14662.26</v>
      </c>
      <c r="H231" s="12" t="n">
        <v>0</v>
      </c>
      <c r="I231" s="12" t="n">
        <v>1.6</v>
      </c>
      <c r="J231" s="12" t="b">
        <v>0</v>
      </c>
    </row>
    <row r="232">
      <c r="A232" s="12" t="inlineStr">
        <is>
          <t>VS13</t>
        </is>
      </c>
      <c r="B232" s="12" t="b">
        <v>0</v>
      </c>
      <c r="C232" s="12" t="inlineStr">
        <is>
          <t>Square/Rect Tubes</t>
        </is>
      </c>
      <c r="D232" s="12" t="n">
        <v>8</v>
      </c>
      <c r="E232" s="12" t="n">
        <v>0.46</v>
      </c>
      <c r="F232" s="12" t="n">
        <v>77154.95</v>
      </c>
      <c r="G232" s="12" t="n">
        <v>-915.79</v>
      </c>
      <c r="H232" s="12" t="n">
        <v>0</v>
      </c>
      <c r="I232" s="12" t="n">
        <v>1.12</v>
      </c>
      <c r="J232" s="12" t="b">
        <v>0</v>
      </c>
    </row>
    <row r="233">
      <c r="A233" s="12" t="inlineStr">
        <is>
          <t>VS13</t>
        </is>
      </c>
      <c r="B233" s="12" t="b">
        <v>0</v>
      </c>
      <c r="C233" s="12" t="inlineStr">
        <is>
          <t>Structural Steel</t>
        </is>
      </c>
      <c r="D233" s="12" t="n">
        <v>5</v>
      </c>
      <c r="E233" s="12" t="n">
        <v>0.45</v>
      </c>
      <c r="F233" s="12" t="n">
        <v>40610.73</v>
      </c>
      <c r="G233" s="12" t="n">
        <v>-4957.47</v>
      </c>
      <c r="H233" s="12" t="n">
        <v>0</v>
      </c>
      <c r="I233" s="12" t="n">
        <v>1.6</v>
      </c>
      <c r="J233" s="12" t="b">
        <v>0</v>
      </c>
    </row>
    <row r="234">
      <c r="A234" s="12" t="inlineStr">
        <is>
          <t>VS13</t>
        </is>
      </c>
      <c r="B234" s="12" t="b">
        <v>1</v>
      </c>
      <c r="C234" s="12" t="inlineStr">
        <is>
          <t>CR Sheets</t>
        </is>
      </c>
      <c r="D234" s="12" t="n">
        <v>7</v>
      </c>
      <c r="E234" s="12" t="n">
        <v>0.73</v>
      </c>
      <c r="F234" s="12" t="n">
        <v>101181.39</v>
      </c>
      <c r="G234" s="12" t="n">
        <v>30704.21</v>
      </c>
      <c r="H234" s="12" t="n">
        <v>0</v>
      </c>
      <c r="I234" s="12" t="n">
        <v>1.43</v>
      </c>
      <c r="J234" s="12" t="b">
        <v>0</v>
      </c>
    </row>
    <row r="235">
      <c r="A235" s="12" t="inlineStr">
        <is>
          <t>VS13</t>
        </is>
      </c>
      <c r="B235" s="12" t="b">
        <v>1</v>
      </c>
      <c r="C235" s="12" t="inlineStr">
        <is>
          <t>MS Rods</t>
        </is>
      </c>
      <c r="D235" s="12" t="n">
        <v>9</v>
      </c>
      <c r="E235" s="12" t="n">
        <v>0.52</v>
      </c>
      <c r="F235" s="12" t="n">
        <v>110390.22</v>
      </c>
      <c r="G235" s="12" t="n">
        <v>-3121.84</v>
      </c>
      <c r="H235" s="12" t="n">
        <v>0</v>
      </c>
      <c r="I235" s="12" t="n">
        <v>1.89</v>
      </c>
      <c r="J235" s="12" t="b">
        <v>0</v>
      </c>
    </row>
    <row r="236">
      <c r="A236" s="12" t="inlineStr">
        <is>
          <t>VS14</t>
        </is>
      </c>
      <c r="B236" s="12" t="b">
        <v>0</v>
      </c>
      <c r="C236" s="12" t="inlineStr">
        <is>
          <t>Angles &amp; Channels</t>
        </is>
      </c>
      <c r="D236" s="12" t="n">
        <v>12</v>
      </c>
      <c r="E236" s="12" t="n">
        <v>0.35</v>
      </c>
      <c r="F236" s="12" t="n">
        <v>60933.88</v>
      </c>
      <c r="G236" s="12" t="n">
        <v>-29449.11</v>
      </c>
      <c r="H236" s="12" t="n">
        <v>0</v>
      </c>
      <c r="I236" s="12" t="n">
        <v>1.25</v>
      </c>
      <c r="J236" s="12" t="b">
        <v>0</v>
      </c>
    </row>
    <row r="237">
      <c r="A237" s="12" t="inlineStr">
        <is>
          <t>VS14</t>
        </is>
      </c>
      <c r="B237" s="12" t="b">
        <v>0</v>
      </c>
      <c r="C237" s="12" t="inlineStr">
        <is>
          <t>CR Sheets</t>
        </is>
      </c>
      <c r="D237" s="12" t="n">
        <v>8</v>
      </c>
      <c r="E237" s="12" t="n">
        <v>0.43</v>
      </c>
      <c r="F237" s="12" t="n">
        <v>86185.86</v>
      </c>
      <c r="G237" s="12" t="n">
        <v>-6482.56</v>
      </c>
      <c r="H237" s="12" t="n">
        <v>0</v>
      </c>
      <c r="I237" s="12" t="n">
        <v>1.5</v>
      </c>
      <c r="J237" s="12" t="b">
        <v>0</v>
      </c>
    </row>
    <row r="238">
      <c r="A238" s="12" t="inlineStr">
        <is>
          <t>VS14</t>
        </is>
      </c>
      <c r="B238" s="12" t="b">
        <v>0</v>
      </c>
      <c r="C238" s="12" t="inlineStr">
        <is>
          <t>ERW Pipes</t>
        </is>
      </c>
      <c r="D238" s="12" t="n">
        <v>7</v>
      </c>
      <c r="E238" s="12" t="n">
        <v>0.73</v>
      </c>
      <c r="F238" s="12" t="n">
        <v>101291.1</v>
      </c>
      <c r="G238" s="12" t="n">
        <v>28967.3</v>
      </c>
      <c r="H238" s="12" t="n">
        <v>0</v>
      </c>
      <c r="I238" s="12" t="n">
        <v>2.14</v>
      </c>
      <c r="J238" s="12" t="b">
        <v>0</v>
      </c>
    </row>
    <row r="239">
      <c r="A239" s="12" t="inlineStr">
        <is>
          <t>VS14</t>
        </is>
      </c>
      <c r="B239" s="12" t="b">
        <v>0</v>
      </c>
      <c r="C239" s="12" t="inlineStr">
        <is>
          <t>Fasteners &amp; Fittings</t>
        </is>
      </c>
      <c r="D239" s="12" t="n">
        <v>7</v>
      </c>
      <c r="E239" s="12" t="n">
        <v>0.32</v>
      </c>
      <c r="F239" s="12" t="n">
        <v>47132.04</v>
      </c>
      <c r="G239" s="12" t="n">
        <v>-30076.76</v>
      </c>
      <c r="H239" s="12" t="n">
        <v>0</v>
      </c>
      <c r="I239" s="12" t="n">
        <v>1.14</v>
      </c>
      <c r="J239" s="12" t="b">
        <v>0</v>
      </c>
    </row>
    <row r="240">
      <c r="A240" s="12" t="inlineStr">
        <is>
          <t>VS14</t>
        </is>
      </c>
      <c r="B240" s="12" t="b">
        <v>0</v>
      </c>
      <c r="C240" s="12" t="inlineStr">
        <is>
          <t>GI Pipes</t>
        </is>
      </c>
      <c r="D240" s="12" t="n">
        <v>9</v>
      </c>
      <c r="E240" s="12" t="n">
        <v>0.59</v>
      </c>
      <c r="F240" s="12" t="n">
        <v>94224.12</v>
      </c>
      <c r="G240" s="12" t="n">
        <v>10757.31</v>
      </c>
      <c r="H240" s="12" t="n">
        <v>0</v>
      </c>
      <c r="I240" s="12" t="n">
        <v>1.67</v>
      </c>
      <c r="J240" s="12" t="b">
        <v>0</v>
      </c>
    </row>
    <row r="241">
      <c r="A241" s="12" t="inlineStr">
        <is>
          <t>VS14</t>
        </is>
      </c>
      <c r="B241" s="12" t="b">
        <v>0</v>
      </c>
      <c r="C241" s="12" t="inlineStr">
        <is>
          <t>GI Sheets</t>
        </is>
      </c>
      <c r="D241" s="12" t="n">
        <v>8</v>
      </c>
      <c r="E241" s="12" t="n">
        <v>0.45</v>
      </c>
      <c r="F241" s="12" t="n">
        <v>87803.03999999999</v>
      </c>
      <c r="G241" s="12" t="n">
        <v>-19364.77</v>
      </c>
      <c r="H241" s="12" t="n">
        <v>0</v>
      </c>
      <c r="I241" s="12" t="n">
        <v>1.38</v>
      </c>
      <c r="J241" s="12" t="b">
        <v>0</v>
      </c>
    </row>
    <row r="242">
      <c r="A242" s="12" t="inlineStr">
        <is>
          <t>VS14</t>
        </is>
      </c>
      <c r="B242" s="12" t="b">
        <v>0</v>
      </c>
      <c r="C242" s="12" t="inlineStr">
        <is>
          <t>GI Wire</t>
        </is>
      </c>
      <c r="D242" s="12" t="n">
        <v>7</v>
      </c>
      <c r="E242" s="12" t="n">
        <v>0.54</v>
      </c>
      <c r="F242" s="12" t="n">
        <v>100021.78</v>
      </c>
      <c r="G242" s="12" t="n">
        <v>8663.370000000001</v>
      </c>
      <c r="H242" s="12" t="n">
        <v>0</v>
      </c>
      <c r="I242" s="12" t="n">
        <v>1.71</v>
      </c>
      <c r="J242" s="12" t="b">
        <v>0</v>
      </c>
    </row>
    <row r="243">
      <c r="A243" s="12" t="inlineStr">
        <is>
          <t>VS14</t>
        </is>
      </c>
      <c r="B243" s="12" t="b">
        <v>0</v>
      </c>
      <c r="C243" s="12" t="inlineStr">
        <is>
          <t>HR Coils</t>
        </is>
      </c>
      <c r="D243" s="12" t="n">
        <v>6</v>
      </c>
      <c r="E243" s="12" t="n">
        <v>0.71</v>
      </c>
      <c r="F243" s="12" t="n">
        <v>72213.21000000001</v>
      </c>
      <c r="G243" s="12" t="n">
        <v>19052.65</v>
      </c>
      <c r="H243" s="12" t="n">
        <v>0</v>
      </c>
      <c r="I243" s="12" t="n">
        <v>2.5</v>
      </c>
      <c r="J243" s="12" t="b">
        <v>0</v>
      </c>
    </row>
    <row r="244">
      <c r="A244" s="12" t="inlineStr">
        <is>
          <t>VS14</t>
        </is>
      </c>
      <c r="B244" s="12" t="b">
        <v>0</v>
      </c>
      <c r="C244" s="12" t="inlineStr">
        <is>
          <t>Hex Bars</t>
        </is>
      </c>
      <c r="D244" s="12" t="n">
        <v>6</v>
      </c>
      <c r="E244" s="12" t="n">
        <v>0.4</v>
      </c>
      <c r="F244" s="12" t="n">
        <v>53390.34</v>
      </c>
      <c r="G244" s="12" t="n">
        <v>-14562.32</v>
      </c>
      <c r="H244" s="12" t="n">
        <v>0</v>
      </c>
      <c r="I244" s="12" t="n">
        <v>1.33</v>
      </c>
      <c r="J244" s="12" t="b">
        <v>0</v>
      </c>
    </row>
    <row r="245">
      <c r="A245" s="12" t="inlineStr">
        <is>
          <t>VS14</t>
        </is>
      </c>
      <c r="B245" s="12" t="b">
        <v>0</v>
      </c>
      <c r="C245" s="12" t="inlineStr">
        <is>
          <t>MS Flats</t>
        </is>
      </c>
      <c r="D245" s="12" t="n">
        <v>9</v>
      </c>
      <c r="E245" s="12" t="n">
        <v>0.43</v>
      </c>
      <c r="F245" s="12" t="n">
        <v>94796.28999999999</v>
      </c>
      <c r="G245" s="12" t="n">
        <v>-21025.02</v>
      </c>
      <c r="H245" s="12" t="n">
        <v>0</v>
      </c>
      <c r="I245" s="12" t="n">
        <v>2.22</v>
      </c>
      <c r="J245" s="12" t="b">
        <v>0</v>
      </c>
    </row>
    <row r="246">
      <c r="A246" s="12" t="inlineStr">
        <is>
          <t>VS14</t>
        </is>
      </c>
      <c r="B246" s="12" t="b">
        <v>0</v>
      </c>
      <c r="C246" s="12" t="inlineStr">
        <is>
          <t>MS Pipes</t>
        </is>
      </c>
      <c r="D246" s="12" t="n">
        <v>5</v>
      </c>
      <c r="E246" s="12" t="n">
        <v>0.28</v>
      </c>
      <c r="F246" s="12" t="n">
        <v>42847.54</v>
      </c>
      <c r="G246" s="12" t="n">
        <v>-29765.33</v>
      </c>
      <c r="H246" s="12" t="n">
        <v>0</v>
      </c>
      <c r="I246" s="12" t="n">
        <v>1.4</v>
      </c>
      <c r="J246" s="12" t="b">
        <v>0</v>
      </c>
    </row>
    <row r="247">
      <c r="A247" s="12" t="inlineStr">
        <is>
          <t>VS14</t>
        </is>
      </c>
      <c r="B247" s="12" t="b">
        <v>0</v>
      </c>
      <c r="C247" s="12" t="inlineStr">
        <is>
          <t>MS Rods</t>
        </is>
      </c>
      <c r="D247" s="12" t="n">
        <v>9</v>
      </c>
      <c r="E247" s="12" t="n">
        <v>0.62</v>
      </c>
      <c r="F247" s="12" t="n">
        <v>71888.17</v>
      </c>
      <c r="G247" s="12" t="n">
        <v>11309.57</v>
      </c>
      <c r="H247" s="12" t="n">
        <v>0</v>
      </c>
      <c r="I247" s="12" t="n">
        <v>1.44</v>
      </c>
      <c r="J247" s="12" t="b">
        <v>0</v>
      </c>
    </row>
    <row r="248">
      <c r="A248" s="12" t="inlineStr">
        <is>
          <t>VS14</t>
        </is>
      </c>
      <c r="B248" s="12" t="b">
        <v>0</v>
      </c>
      <c r="C248" s="12" t="inlineStr">
        <is>
          <t>MS Sheets</t>
        </is>
      </c>
      <c r="D248" s="12" t="n">
        <v>5</v>
      </c>
      <c r="E248" s="12" t="n">
        <v>0.67</v>
      </c>
      <c r="F248" s="12" t="n">
        <v>19216.6</v>
      </c>
      <c r="G248" s="12" t="n">
        <v>4211.79</v>
      </c>
      <c r="H248" s="12" t="n">
        <v>0</v>
      </c>
      <c r="I248" s="12" t="n">
        <v>1.2</v>
      </c>
      <c r="J248" s="12" t="b">
        <v>0</v>
      </c>
    </row>
    <row r="249">
      <c r="A249" s="12" t="inlineStr">
        <is>
          <t>VS14</t>
        </is>
      </c>
      <c r="B249" s="12" t="b">
        <v>0</v>
      </c>
      <c r="C249" s="12" t="inlineStr">
        <is>
          <t>SS Pipes</t>
        </is>
      </c>
      <c r="D249" s="12" t="n">
        <v>7</v>
      </c>
      <c r="E249" s="12" t="n">
        <v>0.32</v>
      </c>
      <c r="F249" s="12" t="n">
        <v>39782.43</v>
      </c>
      <c r="G249" s="12" t="n">
        <v>-23534.66</v>
      </c>
      <c r="H249" s="12" t="n">
        <v>0</v>
      </c>
      <c r="I249" s="12" t="n">
        <v>2.29</v>
      </c>
      <c r="J249" s="12" t="b">
        <v>0</v>
      </c>
    </row>
    <row r="250">
      <c r="A250" s="12" t="inlineStr">
        <is>
          <t>VS14</t>
        </is>
      </c>
      <c r="B250" s="12" t="b">
        <v>0</v>
      </c>
      <c r="C250" s="12" t="inlineStr">
        <is>
          <t>SS Sheets</t>
        </is>
      </c>
      <c r="D250" s="12" t="n">
        <v>9</v>
      </c>
      <c r="E250" s="12" t="n">
        <v>0.68</v>
      </c>
      <c r="F250" s="12" t="n">
        <v>148198.43</v>
      </c>
      <c r="G250" s="12" t="n">
        <v>39960.31</v>
      </c>
      <c r="H250" s="12" t="n">
        <v>0</v>
      </c>
      <c r="I250" s="12" t="n">
        <v>1.67</v>
      </c>
      <c r="J250" s="12" t="b">
        <v>0</v>
      </c>
    </row>
    <row r="251">
      <c r="A251" s="12" t="inlineStr">
        <is>
          <t>VS14</t>
        </is>
      </c>
      <c r="B251" s="12" t="b">
        <v>0</v>
      </c>
      <c r="C251" s="12" t="inlineStr">
        <is>
          <t>Spring Steel</t>
        </is>
      </c>
      <c r="D251" s="12" t="n">
        <v>6</v>
      </c>
      <c r="E251" s="12" t="n">
        <v>0.29</v>
      </c>
      <c r="F251" s="12" t="n">
        <v>24122.34</v>
      </c>
      <c r="G251" s="12" t="n">
        <v>-19371.37</v>
      </c>
      <c r="H251" s="12" t="n">
        <v>0</v>
      </c>
      <c r="I251" s="12" t="n">
        <v>1.67</v>
      </c>
      <c r="J251" s="12" t="b">
        <v>0</v>
      </c>
    </row>
    <row r="252">
      <c r="A252" s="12" t="inlineStr">
        <is>
          <t>VS14</t>
        </is>
      </c>
      <c r="B252" s="12" t="b">
        <v>0</v>
      </c>
      <c r="C252" s="12" t="inlineStr">
        <is>
          <t>Square/Rect Tubes</t>
        </is>
      </c>
      <c r="D252" s="12" t="n">
        <v>12</v>
      </c>
      <c r="E252" s="12" t="n">
        <v>0.31</v>
      </c>
      <c r="F252" s="12" t="n">
        <v>52124.22</v>
      </c>
      <c r="G252" s="12" t="n">
        <v>-32074.02</v>
      </c>
      <c r="H252" s="12" t="n">
        <v>0</v>
      </c>
      <c r="I252" s="12" t="n">
        <v>1</v>
      </c>
      <c r="J252" s="12" t="b">
        <v>0</v>
      </c>
    </row>
    <row r="253">
      <c r="A253" s="12" t="inlineStr">
        <is>
          <t>VS14</t>
        </is>
      </c>
      <c r="B253" s="12" t="b">
        <v>1</v>
      </c>
      <c r="C253" s="12" t="inlineStr">
        <is>
          <t>Structural Steel</t>
        </is>
      </c>
      <c r="D253" s="12" t="n">
        <v>12</v>
      </c>
      <c r="E253" s="12" t="n">
        <v>0.47</v>
      </c>
      <c r="F253" s="12" t="n">
        <v>109400.98</v>
      </c>
      <c r="G253" s="12" t="n">
        <v>-3614.48</v>
      </c>
      <c r="H253" s="12" t="n">
        <v>0</v>
      </c>
      <c r="I253" s="12" t="n">
        <v>1.5</v>
      </c>
      <c r="J253" s="12" t="b">
        <v>0</v>
      </c>
    </row>
    <row r="254">
      <c r="A254" s="12" t="inlineStr">
        <is>
          <t>VS15</t>
        </is>
      </c>
      <c r="B254" s="12" t="b">
        <v>0</v>
      </c>
      <c r="C254" s="12" t="inlineStr">
        <is>
          <t>Angles &amp; Channels</t>
        </is>
      </c>
      <c r="D254" s="12" t="n">
        <v>5</v>
      </c>
      <c r="E254" s="12" t="n">
        <v>0.76</v>
      </c>
      <c r="F254" s="12" t="n">
        <v>80622.46000000001</v>
      </c>
      <c r="G254" s="12" t="n">
        <v>25993.08</v>
      </c>
      <c r="H254" s="12" t="n">
        <v>0</v>
      </c>
      <c r="I254" s="12" t="n">
        <v>1.4</v>
      </c>
      <c r="J254" s="12" t="b">
        <v>0</v>
      </c>
    </row>
    <row r="255">
      <c r="A255" s="12" t="inlineStr">
        <is>
          <t>VS15</t>
        </is>
      </c>
      <c r="B255" s="12" t="b">
        <v>0</v>
      </c>
      <c r="C255" s="12" t="inlineStr">
        <is>
          <t>CR Sheets</t>
        </is>
      </c>
      <c r="D255" s="12" t="n">
        <v>11</v>
      </c>
      <c r="E255" s="12" t="n">
        <v>0.58</v>
      </c>
      <c r="F255" s="12" t="n">
        <v>91355.24000000001</v>
      </c>
      <c r="G255" s="12" t="n">
        <v>4268.95</v>
      </c>
      <c r="H255" s="12" t="n">
        <v>0</v>
      </c>
      <c r="I255" s="12" t="n">
        <v>1</v>
      </c>
      <c r="J255" s="12" t="b">
        <v>0</v>
      </c>
    </row>
    <row r="256">
      <c r="A256" s="12" t="inlineStr">
        <is>
          <t>VS15</t>
        </is>
      </c>
      <c r="B256" s="12" t="b">
        <v>0</v>
      </c>
      <c r="C256" s="12" t="inlineStr">
        <is>
          <t>ERW Pipes</t>
        </is>
      </c>
      <c r="D256" s="12" t="n">
        <v>8</v>
      </c>
      <c r="E256" s="12" t="n">
        <v>0.52</v>
      </c>
      <c r="F256" s="12" t="n">
        <v>74563.92</v>
      </c>
      <c r="G256" s="12" t="n">
        <v>5002.12</v>
      </c>
      <c r="H256" s="12" t="n">
        <v>0</v>
      </c>
      <c r="I256" s="12" t="n">
        <v>0.88</v>
      </c>
      <c r="J256" s="12" t="b">
        <v>0</v>
      </c>
    </row>
    <row r="257">
      <c r="A257" s="12" t="inlineStr">
        <is>
          <t>VS15</t>
        </is>
      </c>
      <c r="B257" s="12" t="b">
        <v>0</v>
      </c>
      <c r="C257" s="12" t="inlineStr">
        <is>
          <t>Fasteners &amp; Fittings</t>
        </is>
      </c>
      <c r="D257" s="12" t="n">
        <v>10</v>
      </c>
      <c r="E257" s="12" t="n">
        <v>0.51</v>
      </c>
      <c r="F257" s="12" t="n">
        <v>119370.23</v>
      </c>
      <c r="G257" s="12" t="n">
        <v>1623.92</v>
      </c>
      <c r="H257" s="12" t="n">
        <v>0</v>
      </c>
      <c r="I257" s="12" t="n">
        <v>1.9</v>
      </c>
      <c r="J257" s="12" t="b">
        <v>0</v>
      </c>
    </row>
    <row r="258">
      <c r="A258" s="12" t="inlineStr">
        <is>
          <t>VS15</t>
        </is>
      </c>
      <c r="B258" s="12" t="b">
        <v>0</v>
      </c>
      <c r="C258" s="12" t="inlineStr">
        <is>
          <t>GI Pipes</t>
        </is>
      </c>
      <c r="D258" s="12" t="n">
        <v>7</v>
      </c>
      <c r="E258" s="12" t="n">
        <v>0.64</v>
      </c>
      <c r="F258" s="12" t="n">
        <v>59947.25</v>
      </c>
      <c r="G258" s="12" t="n">
        <v>10778.02</v>
      </c>
      <c r="H258" s="12" t="n">
        <v>0</v>
      </c>
      <c r="I258" s="12" t="n">
        <v>1.57</v>
      </c>
      <c r="J258" s="12" t="b">
        <v>0</v>
      </c>
    </row>
    <row r="259">
      <c r="A259" s="12" t="inlineStr">
        <is>
          <t>VS15</t>
        </is>
      </c>
      <c r="B259" s="12" t="b">
        <v>0</v>
      </c>
      <c r="C259" s="12" t="inlineStr">
        <is>
          <t>GI Sheets</t>
        </is>
      </c>
      <c r="D259" s="12" t="n">
        <v>7</v>
      </c>
      <c r="E259" s="12" t="n">
        <v>0.52</v>
      </c>
      <c r="F259" s="12" t="n">
        <v>92286.55</v>
      </c>
      <c r="G259" s="12" t="n">
        <v>5073.63</v>
      </c>
      <c r="H259" s="12" t="n">
        <v>0</v>
      </c>
      <c r="I259" s="12" t="n">
        <v>1.29</v>
      </c>
      <c r="J259" s="12" t="b">
        <v>0</v>
      </c>
    </row>
    <row r="260">
      <c r="A260" s="12" t="inlineStr">
        <is>
          <t>VS15</t>
        </is>
      </c>
      <c r="B260" s="12" t="b">
        <v>0</v>
      </c>
      <c r="C260" s="12" t="inlineStr">
        <is>
          <t>GI Wire</t>
        </is>
      </c>
      <c r="D260" s="12" t="n">
        <v>9</v>
      </c>
      <c r="E260" s="12" t="n">
        <v>0.48</v>
      </c>
      <c r="F260" s="12" t="n">
        <v>90836.81</v>
      </c>
      <c r="G260" s="12" t="n">
        <v>-13836.36</v>
      </c>
      <c r="H260" s="12" t="n">
        <v>0</v>
      </c>
      <c r="I260" s="12" t="n">
        <v>1.78</v>
      </c>
      <c r="J260" s="12" t="b">
        <v>0</v>
      </c>
    </row>
    <row r="261">
      <c r="A261" s="12" t="inlineStr">
        <is>
          <t>VS15</t>
        </is>
      </c>
      <c r="B261" s="12" t="b">
        <v>0</v>
      </c>
      <c r="C261" s="12" t="inlineStr">
        <is>
          <t>Hex Bars</t>
        </is>
      </c>
      <c r="D261" s="12" t="n">
        <v>11</v>
      </c>
      <c r="E261" s="12" t="n">
        <v>0.51</v>
      </c>
      <c r="F261" s="12" t="n">
        <v>87921.99000000001</v>
      </c>
      <c r="G261" s="12" t="n">
        <v>-596.97</v>
      </c>
      <c r="H261" s="12" t="n">
        <v>0</v>
      </c>
      <c r="I261" s="12" t="n">
        <v>1.27</v>
      </c>
      <c r="J261" s="12" t="b">
        <v>0</v>
      </c>
    </row>
    <row r="262">
      <c r="A262" s="12" t="inlineStr">
        <is>
          <t>VS15</t>
        </is>
      </c>
      <c r="B262" s="12" t="b">
        <v>0</v>
      </c>
      <c r="C262" s="12" t="inlineStr">
        <is>
          <t>MS Flats</t>
        </is>
      </c>
      <c r="D262" s="12" t="n">
        <v>11</v>
      </c>
      <c r="E262" s="12" t="n">
        <v>0.51</v>
      </c>
      <c r="F262" s="12" t="n">
        <v>148333.28</v>
      </c>
      <c r="G262" s="12" t="n">
        <v>-1788.71</v>
      </c>
      <c r="H262" s="12" t="n">
        <v>0</v>
      </c>
      <c r="I262" s="12" t="n">
        <v>2.09</v>
      </c>
      <c r="J262" s="12" t="b">
        <v>0</v>
      </c>
    </row>
    <row r="263">
      <c r="A263" s="12" t="inlineStr">
        <is>
          <t>VS15</t>
        </is>
      </c>
      <c r="B263" s="12" t="b">
        <v>0</v>
      </c>
      <c r="C263" s="12" t="inlineStr">
        <is>
          <t>MS Pipes</t>
        </is>
      </c>
      <c r="D263" s="12" t="n">
        <v>9</v>
      </c>
      <c r="E263" s="12" t="n">
        <v>0.49</v>
      </c>
      <c r="F263" s="12" t="n">
        <v>103130.12</v>
      </c>
      <c r="G263" s="12" t="n">
        <v>1009.52</v>
      </c>
      <c r="H263" s="12" t="n">
        <v>0</v>
      </c>
      <c r="I263" s="12" t="n">
        <v>1.78</v>
      </c>
      <c r="J263" s="12" t="b">
        <v>0</v>
      </c>
    </row>
    <row r="264">
      <c r="A264" s="12" t="inlineStr">
        <is>
          <t>VS15</t>
        </is>
      </c>
      <c r="B264" s="12" t="b">
        <v>0</v>
      </c>
      <c r="C264" s="12" t="inlineStr">
        <is>
          <t>MS Rods</t>
        </is>
      </c>
      <c r="D264" s="12" t="n">
        <v>7</v>
      </c>
      <c r="E264" s="12" t="n">
        <v>0.51</v>
      </c>
      <c r="F264" s="12" t="n">
        <v>78636.73</v>
      </c>
      <c r="G264" s="12" t="n">
        <v>-7724.43</v>
      </c>
      <c r="H264" s="12" t="n">
        <v>0</v>
      </c>
      <c r="I264" s="12" t="n">
        <v>1.14</v>
      </c>
      <c r="J264" s="12" t="b">
        <v>0</v>
      </c>
    </row>
    <row r="265">
      <c r="A265" s="12" t="inlineStr">
        <is>
          <t>VS15</t>
        </is>
      </c>
      <c r="B265" s="12" t="b">
        <v>0</v>
      </c>
      <c r="C265" s="12" t="inlineStr">
        <is>
          <t>MS Sheets</t>
        </is>
      </c>
      <c r="D265" s="12" t="n">
        <v>9</v>
      </c>
      <c r="E265" s="12" t="n">
        <v>0.71</v>
      </c>
      <c r="F265" s="12" t="n">
        <v>64848.56</v>
      </c>
      <c r="G265" s="12" t="n">
        <v>18223.32</v>
      </c>
      <c r="H265" s="12" t="n">
        <v>0</v>
      </c>
      <c r="I265" s="12" t="n">
        <v>1.67</v>
      </c>
      <c r="J265" s="12" t="b">
        <v>0</v>
      </c>
    </row>
    <row r="266">
      <c r="A266" s="12" t="inlineStr">
        <is>
          <t>VS15</t>
        </is>
      </c>
      <c r="B266" s="12" t="b">
        <v>0</v>
      </c>
      <c r="C266" s="12" t="inlineStr">
        <is>
          <t>SS Pipes</t>
        </is>
      </c>
      <c r="D266" s="12" t="n">
        <v>12</v>
      </c>
      <c r="E266" s="12" t="n">
        <v>0.43</v>
      </c>
      <c r="F266" s="12" t="n">
        <v>118410.75</v>
      </c>
      <c r="G266" s="12" t="n">
        <v>-17742.16</v>
      </c>
      <c r="H266" s="12" t="n">
        <v>0</v>
      </c>
      <c r="I266" s="12" t="n">
        <v>1.42</v>
      </c>
      <c r="J266" s="12" t="b">
        <v>0</v>
      </c>
    </row>
    <row r="267">
      <c r="A267" s="12" t="inlineStr">
        <is>
          <t>VS15</t>
        </is>
      </c>
      <c r="B267" s="12" t="b">
        <v>0</v>
      </c>
      <c r="C267" s="12" t="inlineStr">
        <is>
          <t>SS Sheets</t>
        </is>
      </c>
      <c r="D267" s="12" t="n">
        <v>5</v>
      </c>
      <c r="E267" s="12" t="n">
        <v>0.65</v>
      </c>
      <c r="F267" s="12" t="n">
        <v>67061.78999999999</v>
      </c>
      <c r="G267" s="12" t="n">
        <v>21170.44</v>
      </c>
      <c r="H267" s="12" t="n">
        <v>0</v>
      </c>
      <c r="I267" s="12" t="n">
        <v>1</v>
      </c>
      <c r="J267" s="12" t="b">
        <v>0</v>
      </c>
    </row>
    <row r="268">
      <c r="A268" s="12" t="inlineStr">
        <is>
          <t>VS15</t>
        </is>
      </c>
      <c r="B268" s="12" t="b">
        <v>0</v>
      </c>
      <c r="C268" s="12" t="inlineStr">
        <is>
          <t>Spring Steel</t>
        </is>
      </c>
      <c r="D268" s="12" t="n">
        <v>8</v>
      </c>
      <c r="E268" s="12" t="n">
        <v>0.51</v>
      </c>
      <c r="F268" s="12" t="n">
        <v>121792.93</v>
      </c>
      <c r="G268" s="12" t="n">
        <v>12337.38</v>
      </c>
      <c r="H268" s="12" t="n">
        <v>0</v>
      </c>
      <c r="I268" s="12" t="n">
        <v>0.88</v>
      </c>
      <c r="J268" s="12" t="b">
        <v>0</v>
      </c>
    </row>
    <row r="269">
      <c r="A269" s="12" t="inlineStr">
        <is>
          <t>VS15</t>
        </is>
      </c>
      <c r="B269" s="12" t="b">
        <v>0</v>
      </c>
      <c r="C269" s="12" t="inlineStr">
        <is>
          <t>Square/Rect Tubes</t>
        </is>
      </c>
      <c r="D269" s="12" t="n">
        <v>8</v>
      </c>
      <c r="E269" s="12" t="n">
        <v>0.65</v>
      </c>
      <c r="F269" s="12" t="n">
        <v>94951.06</v>
      </c>
      <c r="G269" s="12" t="n">
        <v>20237.55</v>
      </c>
      <c r="H269" s="12" t="n">
        <v>0</v>
      </c>
      <c r="I269" s="12" t="n">
        <v>0.88</v>
      </c>
      <c r="J269" s="12" t="b">
        <v>0</v>
      </c>
    </row>
    <row r="270">
      <c r="A270" s="12" t="inlineStr">
        <is>
          <t>VS15</t>
        </is>
      </c>
      <c r="B270" s="12" t="b">
        <v>0</v>
      </c>
      <c r="C270" s="12" t="inlineStr">
        <is>
          <t>Structural Steel</t>
        </is>
      </c>
      <c r="D270" s="12" t="n">
        <v>2</v>
      </c>
      <c r="E270" s="12" t="n">
        <v>0.65</v>
      </c>
      <c r="F270" s="12" t="n">
        <v>31395.25</v>
      </c>
      <c r="G270" s="12" t="n">
        <v>1234.6</v>
      </c>
      <c r="H270" s="12" t="n">
        <v>0</v>
      </c>
      <c r="I270" s="12" t="n">
        <v>2.5</v>
      </c>
      <c r="J270" s="12" t="b">
        <v>1</v>
      </c>
    </row>
    <row r="271">
      <c r="A271" s="12" t="inlineStr">
        <is>
          <t>VS15</t>
        </is>
      </c>
      <c r="B271" s="12" t="b">
        <v>1</v>
      </c>
      <c r="C271" s="12" t="inlineStr">
        <is>
          <t>HR Coils</t>
        </is>
      </c>
      <c r="D271" s="12" t="n">
        <v>13</v>
      </c>
      <c r="E271" s="12" t="n">
        <v>0.44</v>
      </c>
      <c r="F271" s="12" t="n">
        <v>108664.17</v>
      </c>
      <c r="G271" s="12" t="n">
        <v>141.76</v>
      </c>
      <c r="H271" s="12" t="n">
        <v>0</v>
      </c>
      <c r="I271" s="12" t="n">
        <v>1.46</v>
      </c>
      <c r="J271" s="12" t="b">
        <v>0</v>
      </c>
    </row>
    <row r="272">
      <c r="A272" s="12" t="inlineStr">
        <is>
          <t>VS16</t>
        </is>
      </c>
      <c r="B272" s="12" t="b">
        <v>0</v>
      </c>
      <c r="C272" s="12" t="inlineStr">
        <is>
          <t>CR Sheets</t>
        </is>
      </c>
      <c r="D272" s="12" t="n">
        <v>4</v>
      </c>
      <c r="E272" s="12" t="n">
        <v>0.59</v>
      </c>
      <c r="F272" s="12" t="n">
        <v>27484.07</v>
      </c>
      <c r="G272" s="12" t="n">
        <v>4474.71</v>
      </c>
      <c r="H272" s="12" t="n">
        <v>0</v>
      </c>
      <c r="I272" s="12" t="n">
        <v>2</v>
      </c>
      <c r="J272" s="12" t="b">
        <v>1</v>
      </c>
    </row>
    <row r="273">
      <c r="A273" s="12" t="inlineStr">
        <is>
          <t>VS16</t>
        </is>
      </c>
      <c r="B273" s="12" t="b">
        <v>0</v>
      </c>
      <c r="C273" s="12" t="inlineStr">
        <is>
          <t>ERW Pipes</t>
        </is>
      </c>
      <c r="D273" s="12" t="n">
        <v>5</v>
      </c>
      <c r="E273" s="12" t="n">
        <v>0.45</v>
      </c>
      <c r="F273" s="12" t="n">
        <v>40990.55</v>
      </c>
      <c r="G273" s="12" t="n">
        <v>-4095.77</v>
      </c>
      <c r="H273" s="12" t="n">
        <v>0</v>
      </c>
      <c r="I273" s="12" t="n">
        <v>2</v>
      </c>
      <c r="J273" s="12" t="b">
        <v>0</v>
      </c>
    </row>
    <row r="274">
      <c r="A274" s="12" t="inlineStr">
        <is>
          <t>VS16</t>
        </is>
      </c>
      <c r="B274" s="12" t="b">
        <v>0</v>
      </c>
      <c r="C274" s="12" t="inlineStr">
        <is>
          <t>Fasteners &amp; Fittings</t>
        </is>
      </c>
      <c r="D274" s="12" t="n">
        <v>4</v>
      </c>
      <c r="E274" s="12" t="n">
        <v>0.57</v>
      </c>
      <c r="F274" s="12" t="n">
        <v>94639.32000000001</v>
      </c>
      <c r="G274" s="12" t="n">
        <v>13378.53</v>
      </c>
      <c r="H274" s="12" t="n">
        <v>0</v>
      </c>
      <c r="I274" s="12" t="n">
        <v>1.75</v>
      </c>
      <c r="J274" s="12" t="b">
        <v>1</v>
      </c>
    </row>
    <row r="275">
      <c r="A275" s="12" t="inlineStr">
        <is>
          <t>VS16</t>
        </is>
      </c>
      <c r="B275" s="12" t="b">
        <v>0</v>
      </c>
      <c r="C275" s="12" t="inlineStr">
        <is>
          <t>GI Pipes</t>
        </is>
      </c>
      <c r="D275" s="12" t="n">
        <v>10</v>
      </c>
      <c r="E275" s="12" t="n">
        <v>0.36</v>
      </c>
      <c r="F275" s="12" t="n">
        <v>68767.91</v>
      </c>
      <c r="G275" s="12" t="n">
        <v>-34810.99</v>
      </c>
      <c r="H275" s="12" t="n">
        <v>0</v>
      </c>
      <c r="I275" s="12" t="n">
        <v>1.6</v>
      </c>
      <c r="J275" s="12" t="b">
        <v>0</v>
      </c>
    </row>
    <row r="276">
      <c r="A276" s="12" t="inlineStr">
        <is>
          <t>VS16</t>
        </is>
      </c>
      <c r="B276" s="12" t="b">
        <v>0</v>
      </c>
      <c r="C276" s="12" t="inlineStr">
        <is>
          <t>GI Sheets</t>
        </is>
      </c>
      <c r="D276" s="12" t="n">
        <v>6</v>
      </c>
      <c r="E276" s="12" t="n">
        <v>0.43</v>
      </c>
      <c r="F276" s="12" t="n">
        <v>62437.98</v>
      </c>
      <c r="G276" s="12" t="n">
        <v>-8453.860000000001</v>
      </c>
      <c r="H276" s="12" t="n">
        <v>0</v>
      </c>
      <c r="I276" s="12" t="n">
        <v>1.83</v>
      </c>
      <c r="J276" s="12" t="b">
        <v>0</v>
      </c>
    </row>
    <row r="277">
      <c r="A277" s="12" t="inlineStr">
        <is>
          <t>VS16</t>
        </is>
      </c>
      <c r="B277" s="12" t="b">
        <v>0</v>
      </c>
      <c r="C277" s="12" t="inlineStr">
        <is>
          <t>GI Wire</t>
        </is>
      </c>
      <c r="D277" s="12" t="n">
        <v>13</v>
      </c>
      <c r="E277" s="12" t="n">
        <v>0.7</v>
      </c>
      <c r="F277" s="12" t="n">
        <v>205347.5</v>
      </c>
      <c r="G277" s="12" t="n">
        <v>59017.81</v>
      </c>
      <c r="H277" s="12" t="n">
        <v>0</v>
      </c>
      <c r="I277" s="12" t="n">
        <v>1.54</v>
      </c>
      <c r="J277" s="12" t="b">
        <v>0</v>
      </c>
    </row>
    <row r="278">
      <c r="A278" s="12" t="inlineStr">
        <is>
          <t>VS16</t>
        </is>
      </c>
      <c r="B278" s="12" t="b">
        <v>0</v>
      </c>
      <c r="C278" s="12" t="inlineStr">
        <is>
          <t>Hex Bars</t>
        </is>
      </c>
      <c r="D278" s="12" t="n">
        <v>12</v>
      </c>
      <c r="E278" s="12" t="n">
        <v>0.4</v>
      </c>
      <c r="F278" s="12" t="n">
        <v>103541.88</v>
      </c>
      <c r="G278" s="12" t="n">
        <v>-11355.75</v>
      </c>
      <c r="H278" s="12" t="n">
        <v>0</v>
      </c>
      <c r="I278" s="12" t="n">
        <v>2.17</v>
      </c>
      <c r="J278" s="12" t="b">
        <v>0</v>
      </c>
    </row>
    <row r="279">
      <c r="A279" s="12" t="inlineStr">
        <is>
          <t>VS16</t>
        </is>
      </c>
      <c r="B279" s="12" t="b">
        <v>0</v>
      </c>
      <c r="C279" s="12" t="inlineStr">
        <is>
          <t>MS Flats</t>
        </is>
      </c>
      <c r="D279" s="12" t="n">
        <v>8</v>
      </c>
      <c r="E279" s="12" t="n">
        <v>0.52</v>
      </c>
      <c r="F279" s="12" t="n">
        <v>99696.22</v>
      </c>
      <c r="G279" s="12" t="n">
        <v>-7914.82</v>
      </c>
      <c r="H279" s="12" t="n">
        <v>0</v>
      </c>
      <c r="I279" s="12" t="n">
        <v>2.38</v>
      </c>
      <c r="J279" s="12" t="b">
        <v>0</v>
      </c>
    </row>
    <row r="280">
      <c r="A280" s="12" t="inlineStr">
        <is>
          <t>VS16</t>
        </is>
      </c>
      <c r="B280" s="12" t="b">
        <v>0</v>
      </c>
      <c r="C280" s="12" t="inlineStr">
        <is>
          <t>MS Pipes</t>
        </is>
      </c>
      <c r="D280" s="12" t="n">
        <v>7</v>
      </c>
      <c r="E280" s="12" t="n">
        <v>0.29</v>
      </c>
      <c r="F280" s="12" t="n">
        <v>40999.87</v>
      </c>
      <c r="G280" s="12" t="n">
        <v>-41158.31</v>
      </c>
      <c r="H280" s="12" t="n">
        <v>0</v>
      </c>
      <c r="I280" s="12" t="n">
        <v>1</v>
      </c>
      <c r="J280" s="12" t="b">
        <v>0</v>
      </c>
    </row>
    <row r="281">
      <c r="A281" s="12" t="inlineStr">
        <is>
          <t>VS16</t>
        </is>
      </c>
      <c r="B281" s="12" t="b">
        <v>0</v>
      </c>
      <c r="C281" s="12" t="inlineStr">
        <is>
          <t>MS Sheets</t>
        </is>
      </c>
      <c r="D281" s="12" t="n">
        <v>7</v>
      </c>
      <c r="E281" s="12" t="n">
        <v>0.38</v>
      </c>
      <c r="F281" s="12" t="n">
        <v>70539.84</v>
      </c>
      <c r="G281" s="12" t="n">
        <v>-31806.01</v>
      </c>
      <c r="H281" s="12" t="n">
        <v>0</v>
      </c>
      <c r="I281" s="12" t="n">
        <v>1</v>
      </c>
      <c r="J281" s="12" t="b">
        <v>0</v>
      </c>
    </row>
    <row r="282">
      <c r="A282" s="12" t="inlineStr">
        <is>
          <t>VS16</t>
        </is>
      </c>
      <c r="B282" s="12" t="b">
        <v>0</v>
      </c>
      <c r="C282" s="12" t="inlineStr">
        <is>
          <t>SS Pipes</t>
        </is>
      </c>
      <c r="D282" s="12" t="n">
        <v>8</v>
      </c>
      <c r="E282" s="12" t="n">
        <v>0.48</v>
      </c>
      <c r="F282" s="12" t="n">
        <v>73598.16</v>
      </c>
      <c r="G282" s="12" t="n">
        <v>-1271.97</v>
      </c>
      <c r="H282" s="12" t="n">
        <v>0</v>
      </c>
      <c r="I282" s="12" t="n">
        <v>1.38</v>
      </c>
      <c r="J282" s="12" t="b">
        <v>0</v>
      </c>
    </row>
    <row r="283">
      <c r="A283" s="12" t="inlineStr">
        <is>
          <t>VS16</t>
        </is>
      </c>
      <c r="B283" s="12" t="b">
        <v>0</v>
      </c>
      <c r="C283" s="12" t="inlineStr">
        <is>
          <t>SS Sheets</t>
        </is>
      </c>
      <c r="D283" s="12" t="n">
        <v>8</v>
      </c>
      <c r="E283" s="12" t="n">
        <v>0.5600000000000001</v>
      </c>
      <c r="F283" s="12" t="n">
        <v>67782.38</v>
      </c>
      <c r="G283" s="12" t="n">
        <v>2277.14</v>
      </c>
      <c r="H283" s="12" t="n">
        <v>0</v>
      </c>
      <c r="I283" s="12" t="n">
        <v>1.88</v>
      </c>
      <c r="J283" s="12" t="b">
        <v>0</v>
      </c>
    </row>
    <row r="284">
      <c r="A284" s="12" t="inlineStr">
        <is>
          <t>VS16</t>
        </is>
      </c>
      <c r="B284" s="12" t="b">
        <v>0</v>
      </c>
      <c r="C284" s="12" t="inlineStr">
        <is>
          <t>Spring Steel</t>
        </is>
      </c>
      <c r="D284" s="12" t="n">
        <v>8</v>
      </c>
      <c r="E284" s="12" t="n">
        <v>0.65</v>
      </c>
      <c r="F284" s="12" t="n">
        <v>144871.68</v>
      </c>
      <c r="G284" s="12" t="n">
        <v>38580.22</v>
      </c>
      <c r="H284" s="12" t="n">
        <v>0</v>
      </c>
      <c r="I284" s="12" t="n">
        <v>1.38</v>
      </c>
      <c r="J284" s="12" t="b">
        <v>0</v>
      </c>
    </row>
    <row r="285">
      <c r="A285" s="12" t="inlineStr">
        <is>
          <t>VS16</t>
        </is>
      </c>
      <c r="B285" s="12" t="b">
        <v>0</v>
      </c>
      <c r="C285" s="12" t="inlineStr">
        <is>
          <t>Square/Rect Tubes</t>
        </is>
      </c>
      <c r="D285" s="12" t="n">
        <v>6</v>
      </c>
      <c r="E285" s="12" t="n">
        <v>0.58</v>
      </c>
      <c r="F285" s="12" t="n">
        <v>80711</v>
      </c>
      <c r="G285" s="12" t="n">
        <v>3108.47</v>
      </c>
      <c r="H285" s="12" t="n">
        <v>0</v>
      </c>
      <c r="I285" s="12" t="n">
        <v>1.5</v>
      </c>
      <c r="J285" s="12" t="b">
        <v>0</v>
      </c>
    </row>
    <row r="286">
      <c r="A286" s="12" t="inlineStr">
        <is>
          <t>VS16</t>
        </is>
      </c>
      <c r="B286" s="12" t="b">
        <v>0</v>
      </c>
      <c r="C286" s="12" t="inlineStr">
        <is>
          <t>Structural Steel</t>
        </is>
      </c>
      <c r="D286" s="12" t="n">
        <v>9</v>
      </c>
      <c r="E286" s="12" t="n">
        <v>0.34</v>
      </c>
      <c r="F286" s="12" t="n">
        <v>69359.25999999999</v>
      </c>
      <c r="G286" s="12" t="n">
        <v>-37143.43</v>
      </c>
      <c r="H286" s="12" t="n">
        <v>0</v>
      </c>
      <c r="I286" s="12" t="n">
        <v>1.33</v>
      </c>
      <c r="J286" s="12" t="b">
        <v>0</v>
      </c>
    </row>
    <row r="287">
      <c r="A287" s="12" t="inlineStr">
        <is>
          <t>VS16</t>
        </is>
      </c>
      <c r="B287" s="12" t="b">
        <v>1</v>
      </c>
      <c r="C287" s="12" t="inlineStr">
        <is>
          <t>Angles &amp; Channels</t>
        </is>
      </c>
      <c r="D287" s="12" t="n">
        <v>5</v>
      </c>
      <c r="E287" s="12" t="n">
        <v>0.66</v>
      </c>
      <c r="F287" s="12" t="n">
        <v>71534.07000000001</v>
      </c>
      <c r="G287" s="12" t="n">
        <v>13638.94</v>
      </c>
      <c r="H287" s="12" t="n">
        <v>0</v>
      </c>
      <c r="I287" s="12" t="n">
        <v>2</v>
      </c>
      <c r="J287" s="12" t="b">
        <v>0</v>
      </c>
    </row>
    <row r="288">
      <c r="A288" s="12" t="inlineStr">
        <is>
          <t>VS16</t>
        </is>
      </c>
      <c r="B288" s="12" t="b">
        <v>1</v>
      </c>
      <c r="C288" s="12" t="inlineStr">
        <is>
          <t>HR Coils</t>
        </is>
      </c>
      <c r="D288" s="12" t="n">
        <v>6</v>
      </c>
      <c r="E288" s="12" t="n">
        <v>0.21</v>
      </c>
      <c r="F288" s="12" t="n">
        <v>31520.02</v>
      </c>
      <c r="G288" s="12" t="n">
        <v>-32733.57</v>
      </c>
      <c r="H288" s="12" t="n">
        <v>0</v>
      </c>
      <c r="I288" s="12" t="n">
        <v>1.67</v>
      </c>
      <c r="J288" s="12" t="b">
        <v>0</v>
      </c>
    </row>
    <row r="289">
      <c r="A289" s="12" t="inlineStr">
        <is>
          <t>VS16</t>
        </is>
      </c>
      <c r="B289" s="12" t="b">
        <v>1</v>
      </c>
      <c r="C289" s="12" t="inlineStr">
        <is>
          <t>MS Rods</t>
        </is>
      </c>
      <c r="D289" s="12" t="n">
        <v>7</v>
      </c>
      <c r="E289" s="12" t="n">
        <v>0.46</v>
      </c>
      <c r="F289" s="12" t="n">
        <v>69399.36</v>
      </c>
      <c r="G289" s="12" t="n">
        <v>-3315.46</v>
      </c>
      <c r="H289" s="12" t="n">
        <v>0</v>
      </c>
      <c r="I289" s="12" t="n">
        <v>2.57</v>
      </c>
      <c r="J289" s="12" t="b">
        <v>0</v>
      </c>
    </row>
    <row r="290">
      <c r="A290" s="12" t="inlineStr">
        <is>
          <t>VS17</t>
        </is>
      </c>
      <c r="B290" s="12" t="b">
        <v>0</v>
      </c>
      <c r="C290" s="12" t="inlineStr">
        <is>
          <t>Angles &amp; Channels</t>
        </is>
      </c>
      <c r="D290" s="12" t="n">
        <v>5</v>
      </c>
      <c r="E290" s="12" t="n">
        <v>0.24</v>
      </c>
      <c r="F290" s="12" t="n">
        <v>26677.3</v>
      </c>
      <c r="G290" s="12" t="n">
        <v>-23506.95</v>
      </c>
      <c r="H290" s="12" t="n">
        <v>0</v>
      </c>
      <c r="I290" s="12" t="n">
        <v>1.4</v>
      </c>
      <c r="J290" s="12" t="b">
        <v>0</v>
      </c>
    </row>
    <row r="291">
      <c r="A291" s="12" t="inlineStr">
        <is>
          <t>VS17</t>
        </is>
      </c>
      <c r="B291" s="12" t="b">
        <v>0</v>
      </c>
      <c r="C291" s="12" t="inlineStr">
        <is>
          <t>CR Sheets</t>
        </is>
      </c>
      <c r="D291" s="12" t="n">
        <v>2</v>
      </c>
      <c r="E291" s="12" t="n">
        <v>0.5</v>
      </c>
      <c r="F291" s="12" t="n">
        <v>33470.54</v>
      </c>
      <c r="G291" s="12" t="n">
        <v>-852.92</v>
      </c>
      <c r="H291" s="12" t="n">
        <v>0</v>
      </c>
      <c r="I291" s="12" t="n">
        <v>1.5</v>
      </c>
      <c r="J291" s="12" t="b">
        <v>1</v>
      </c>
    </row>
    <row r="292">
      <c r="A292" s="12" t="inlineStr">
        <is>
          <t>VS17</t>
        </is>
      </c>
      <c r="B292" s="12" t="b">
        <v>0</v>
      </c>
      <c r="C292" s="12" t="inlineStr">
        <is>
          <t>Fasteners &amp; Fittings</t>
        </is>
      </c>
      <c r="D292" s="12" t="n">
        <v>4</v>
      </c>
      <c r="E292" s="12" t="n">
        <v>0.61</v>
      </c>
      <c r="F292" s="12" t="n">
        <v>34097.57</v>
      </c>
      <c r="G292" s="12" t="n">
        <v>5037.32</v>
      </c>
      <c r="H292" s="12" t="n">
        <v>0</v>
      </c>
      <c r="I292" s="12" t="n">
        <v>1.75</v>
      </c>
      <c r="J292" s="12" t="b">
        <v>1</v>
      </c>
    </row>
    <row r="293">
      <c r="A293" s="12" t="inlineStr">
        <is>
          <t>VS17</t>
        </is>
      </c>
      <c r="B293" s="12" t="b">
        <v>0</v>
      </c>
      <c r="C293" s="12" t="inlineStr">
        <is>
          <t>GI Pipes</t>
        </is>
      </c>
      <c r="D293" s="12" t="n">
        <v>6</v>
      </c>
      <c r="E293" s="12" t="n">
        <v>0.6</v>
      </c>
      <c r="F293" s="12" t="n">
        <v>68967.88</v>
      </c>
      <c r="G293" s="12" t="n">
        <v>11637.3</v>
      </c>
      <c r="H293" s="12" t="n">
        <v>0</v>
      </c>
      <c r="I293" s="12" t="n">
        <v>1.17</v>
      </c>
      <c r="J293" s="12" t="b">
        <v>0</v>
      </c>
    </row>
    <row r="294">
      <c r="A294" s="12" t="inlineStr">
        <is>
          <t>VS17</t>
        </is>
      </c>
      <c r="B294" s="12" t="b">
        <v>0</v>
      </c>
      <c r="C294" s="12" t="inlineStr">
        <is>
          <t>GI Sheets</t>
        </is>
      </c>
      <c r="D294" s="12" t="n">
        <v>4</v>
      </c>
      <c r="E294" s="12" t="n">
        <v>0.8</v>
      </c>
      <c r="F294" s="12" t="n">
        <v>64394.68</v>
      </c>
      <c r="G294" s="12" t="n">
        <v>22794.67</v>
      </c>
      <c r="H294" s="12" t="n">
        <v>0</v>
      </c>
      <c r="I294" s="12" t="n">
        <v>1</v>
      </c>
      <c r="J294" s="12" t="b">
        <v>1</v>
      </c>
    </row>
    <row r="295">
      <c r="A295" s="12" t="inlineStr">
        <is>
          <t>VS17</t>
        </is>
      </c>
      <c r="B295" s="12" t="b">
        <v>0</v>
      </c>
      <c r="C295" s="12" t="inlineStr">
        <is>
          <t>GI Wire</t>
        </is>
      </c>
      <c r="D295" s="12" t="n">
        <v>5</v>
      </c>
      <c r="E295" s="12" t="n">
        <v>0.55</v>
      </c>
      <c r="F295" s="12" t="n">
        <v>41362.24</v>
      </c>
      <c r="G295" s="12" t="n">
        <v>4039.57</v>
      </c>
      <c r="H295" s="12" t="n">
        <v>0</v>
      </c>
      <c r="I295" s="12" t="n">
        <v>1</v>
      </c>
      <c r="J295" s="12" t="b">
        <v>0</v>
      </c>
    </row>
    <row r="296">
      <c r="A296" s="12" t="inlineStr">
        <is>
          <t>VS17</t>
        </is>
      </c>
      <c r="B296" s="12" t="b">
        <v>0</v>
      </c>
      <c r="C296" s="12" t="inlineStr">
        <is>
          <t>HR Coils</t>
        </is>
      </c>
      <c r="D296" s="12" t="n">
        <v>8</v>
      </c>
      <c r="E296" s="12" t="n">
        <v>0.42</v>
      </c>
      <c r="F296" s="12" t="n">
        <v>81035.33</v>
      </c>
      <c r="G296" s="12" t="n">
        <v>-22863.48</v>
      </c>
      <c r="H296" s="12" t="n">
        <v>0</v>
      </c>
      <c r="I296" s="12" t="n">
        <v>2</v>
      </c>
      <c r="J296" s="12" t="b">
        <v>0</v>
      </c>
    </row>
    <row r="297">
      <c r="A297" s="12" t="inlineStr">
        <is>
          <t>VS17</t>
        </is>
      </c>
      <c r="B297" s="12" t="b">
        <v>0</v>
      </c>
      <c r="C297" s="12" t="inlineStr">
        <is>
          <t>Hex Bars</t>
        </is>
      </c>
      <c r="D297" s="12" t="n">
        <v>6</v>
      </c>
      <c r="E297" s="12" t="n">
        <v>0.45</v>
      </c>
      <c r="F297" s="12" t="n">
        <v>64612.57</v>
      </c>
      <c r="G297" s="12" t="n">
        <v>-18315.15</v>
      </c>
      <c r="H297" s="12" t="n">
        <v>0</v>
      </c>
      <c r="I297" s="12" t="n">
        <v>1.17</v>
      </c>
      <c r="J297" s="12" t="b">
        <v>0</v>
      </c>
    </row>
    <row r="298">
      <c r="A298" s="12" t="inlineStr">
        <is>
          <t>VS17</t>
        </is>
      </c>
      <c r="B298" s="12" t="b">
        <v>0</v>
      </c>
      <c r="C298" s="12" t="inlineStr">
        <is>
          <t>MS Flats</t>
        </is>
      </c>
      <c r="D298" s="12" t="n">
        <v>7</v>
      </c>
      <c r="E298" s="12" t="n">
        <v>0.51</v>
      </c>
      <c r="F298" s="12" t="n">
        <v>70928.67999999999</v>
      </c>
      <c r="G298" s="12" t="n">
        <v>2186.8</v>
      </c>
      <c r="H298" s="12" t="n">
        <v>0</v>
      </c>
      <c r="I298" s="12" t="n">
        <v>2</v>
      </c>
      <c r="J298" s="12" t="b">
        <v>0</v>
      </c>
    </row>
    <row r="299">
      <c r="A299" s="12" t="inlineStr">
        <is>
          <t>VS17</t>
        </is>
      </c>
      <c r="B299" s="12" t="b">
        <v>0</v>
      </c>
      <c r="C299" s="12" t="inlineStr">
        <is>
          <t>MS Pipes</t>
        </is>
      </c>
      <c r="D299" s="12" t="n">
        <v>8</v>
      </c>
      <c r="E299" s="12" t="n">
        <v>0.51</v>
      </c>
      <c r="F299" s="12" t="n">
        <v>75115.92</v>
      </c>
      <c r="G299" s="12" t="n">
        <v>-635.13</v>
      </c>
      <c r="H299" s="12" t="n">
        <v>0</v>
      </c>
      <c r="I299" s="12" t="n">
        <v>1.75</v>
      </c>
      <c r="J299" s="12" t="b">
        <v>0</v>
      </c>
    </row>
    <row r="300">
      <c r="A300" s="12" t="inlineStr">
        <is>
          <t>VS17</t>
        </is>
      </c>
      <c r="B300" s="12" t="b">
        <v>0</v>
      </c>
      <c r="C300" s="12" t="inlineStr">
        <is>
          <t>MS Rods</t>
        </is>
      </c>
      <c r="D300" s="12" t="n">
        <v>10</v>
      </c>
      <c r="E300" s="12" t="n">
        <v>0.61</v>
      </c>
      <c r="F300" s="12" t="n">
        <v>147720.26</v>
      </c>
      <c r="G300" s="12" t="n">
        <v>26360.69</v>
      </c>
      <c r="H300" s="12" t="n">
        <v>0</v>
      </c>
      <c r="I300" s="12" t="n">
        <v>1.7</v>
      </c>
      <c r="J300" s="12" t="b">
        <v>0</v>
      </c>
    </row>
    <row r="301">
      <c r="A301" s="12" t="inlineStr">
        <is>
          <t>VS17</t>
        </is>
      </c>
      <c r="B301" s="12" t="b">
        <v>0</v>
      </c>
      <c r="C301" s="12" t="inlineStr">
        <is>
          <t>MS Sheets</t>
        </is>
      </c>
      <c r="D301" s="12" t="n">
        <v>11</v>
      </c>
      <c r="E301" s="12" t="n">
        <v>0.57</v>
      </c>
      <c r="F301" s="12" t="n">
        <v>122089.97</v>
      </c>
      <c r="G301" s="12" t="n">
        <v>14253.07</v>
      </c>
      <c r="H301" s="12" t="n">
        <v>0</v>
      </c>
      <c r="I301" s="12" t="n">
        <v>1.36</v>
      </c>
      <c r="J301" s="12" t="b">
        <v>0</v>
      </c>
    </row>
    <row r="302">
      <c r="A302" s="12" t="inlineStr">
        <is>
          <t>VS17</t>
        </is>
      </c>
      <c r="B302" s="12" t="b">
        <v>0</v>
      </c>
      <c r="C302" s="12" t="inlineStr">
        <is>
          <t>SS Pipes</t>
        </is>
      </c>
      <c r="D302" s="12" t="n">
        <v>8</v>
      </c>
      <c r="E302" s="12" t="n">
        <v>0.53</v>
      </c>
      <c r="F302" s="12" t="n">
        <v>94625.12</v>
      </c>
      <c r="G302" s="12" t="n">
        <v>4443.98</v>
      </c>
      <c r="H302" s="12" t="n">
        <v>0</v>
      </c>
      <c r="I302" s="12" t="n">
        <v>1.75</v>
      </c>
      <c r="J302" s="12" t="b">
        <v>0</v>
      </c>
    </row>
    <row r="303">
      <c r="A303" s="12" t="inlineStr">
        <is>
          <t>VS17</t>
        </is>
      </c>
      <c r="B303" s="12" t="b">
        <v>0</v>
      </c>
      <c r="C303" s="12" t="inlineStr">
        <is>
          <t>SS Sheets</t>
        </is>
      </c>
      <c r="D303" s="12" t="n">
        <v>7</v>
      </c>
      <c r="E303" s="12" t="n">
        <v>0.48</v>
      </c>
      <c r="F303" s="12" t="n">
        <v>67127.16</v>
      </c>
      <c r="G303" s="12" t="n">
        <v>-1099.94</v>
      </c>
      <c r="H303" s="12" t="n">
        <v>0</v>
      </c>
      <c r="I303" s="12" t="n">
        <v>1.29</v>
      </c>
      <c r="J303" s="12" t="b">
        <v>0</v>
      </c>
    </row>
    <row r="304">
      <c r="A304" s="12" t="inlineStr">
        <is>
          <t>VS17</t>
        </is>
      </c>
      <c r="B304" s="12" t="b">
        <v>0</v>
      </c>
      <c r="C304" s="12" t="inlineStr">
        <is>
          <t>Spring Steel</t>
        </is>
      </c>
      <c r="D304" s="12" t="n">
        <v>14</v>
      </c>
      <c r="E304" s="12" t="n">
        <v>0.51</v>
      </c>
      <c r="F304" s="12" t="n">
        <v>145627.8</v>
      </c>
      <c r="G304" s="12" t="n">
        <v>-10397.19</v>
      </c>
      <c r="H304" s="12" t="n">
        <v>0</v>
      </c>
      <c r="I304" s="12" t="n">
        <v>1.57</v>
      </c>
      <c r="J304" s="12" t="b">
        <v>0</v>
      </c>
    </row>
    <row r="305">
      <c r="A305" s="12" t="inlineStr">
        <is>
          <t>VS17</t>
        </is>
      </c>
      <c r="B305" s="12" t="b">
        <v>0</v>
      </c>
      <c r="C305" s="12" t="inlineStr">
        <is>
          <t>Square/Rect Tubes</t>
        </is>
      </c>
      <c r="D305" s="12" t="n">
        <v>5</v>
      </c>
      <c r="E305" s="12" t="n">
        <v>0.5600000000000001</v>
      </c>
      <c r="F305" s="12" t="n">
        <v>68849.16</v>
      </c>
      <c r="G305" s="12" t="n">
        <v>7427.45</v>
      </c>
      <c r="H305" s="12" t="n">
        <v>0</v>
      </c>
      <c r="I305" s="12" t="n">
        <v>1.6</v>
      </c>
      <c r="J305" s="12" t="b">
        <v>0</v>
      </c>
    </row>
    <row r="306">
      <c r="A306" s="12" t="inlineStr">
        <is>
          <t>VS17</t>
        </is>
      </c>
      <c r="B306" s="12" t="b">
        <v>0</v>
      </c>
      <c r="C306" s="12" t="inlineStr">
        <is>
          <t>Structural Steel</t>
        </is>
      </c>
      <c r="D306" s="12" t="n">
        <v>8</v>
      </c>
      <c r="E306" s="12" t="n">
        <v>0.57</v>
      </c>
      <c r="F306" s="12" t="n">
        <v>72808.87</v>
      </c>
      <c r="G306" s="12" t="n">
        <v>4861.4</v>
      </c>
      <c r="H306" s="12" t="n">
        <v>0</v>
      </c>
      <c r="I306" s="12" t="n">
        <v>0.75</v>
      </c>
      <c r="J306" s="12" t="b">
        <v>0</v>
      </c>
    </row>
    <row r="307">
      <c r="A307" s="12" t="inlineStr">
        <is>
          <t>VS17</t>
        </is>
      </c>
      <c r="B307" s="12" t="b">
        <v>1</v>
      </c>
      <c r="C307" s="12" t="inlineStr">
        <is>
          <t>ERW Pipes</t>
        </is>
      </c>
      <c r="D307" s="12" t="n">
        <v>5</v>
      </c>
      <c r="E307" s="12" t="n">
        <v>0.67</v>
      </c>
      <c r="F307" s="12" t="n">
        <v>100357.93</v>
      </c>
      <c r="G307" s="12" t="n">
        <v>34611.44</v>
      </c>
      <c r="H307" s="12" t="n">
        <v>0</v>
      </c>
      <c r="I307" s="12" t="n">
        <v>1.6</v>
      </c>
      <c r="J307" s="12" t="b">
        <v>0</v>
      </c>
    </row>
    <row r="308">
      <c r="A308" s="12" t="inlineStr">
        <is>
          <t>VS18</t>
        </is>
      </c>
      <c r="B308" s="12" t="b">
        <v>0</v>
      </c>
      <c r="C308" s="12" t="inlineStr">
        <is>
          <t>Angles &amp; Channels</t>
        </is>
      </c>
      <c r="D308" s="12" t="n">
        <v>2</v>
      </c>
      <c r="E308" s="12" t="n">
        <v>0.77</v>
      </c>
      <c r="F308" s="12" t="n">
        <v>30830.06</v>
      </c>
      <c r="G308" s="12" t="n">
        <v>9922.75</v>
      </c>
      <c r="H308" s="12" t="n">
        <v>0</v>
      </c>
      <c r="I308" s="12" t="n">
        <v>0.5</v>
      </c>
      <c r="J308" s="12" t="b">
        <v>1</v>
      </c>
    </row>
    <row r="309">
      <c r="A309" s="12" t="inlineStr">
        <is>
          <t>VS18</t>
        </is>
      </c>
      <c r="B309" s="12" t="b">
        <v>0</v>
      </c>
      <c r="C309" s="12" t="inlineStr">
        <is>
          <t>CR Sheets</t>
        </is>
      </c>
      <c r="D309" s="12" t="n">
        <v>7</v>
      </c>
      <c r="E309" s="12" t="n">
        <v>0.44</v>
      </c>
      <c r="F309" s="12" t="n">
        <v>84512.10000000001</v>
      </c>
      <c r="G309" s="12" t="n">
        <v>-3351.39</v>
      </c>
      <c r="H309" s="12" t="n">
        <v>0</v>
      </c>
      <c r="I309" s="12" t="n">
        <v>1.43</v>
      </c>
      <c r="J309" s="12" t="b">
        <v>0</v>
      </c>
    </row>
    <row r="310">
      <c r="A310" s="12" t="inlineStr">
        <is>
          <t>VS18</t>
        </is>
      </c>
      <c r="B310" s="12" t="b">
        <v>0</v>
      </c>
      <c r="C310" s="12" t="inlineStr">
        <is>
          <t>ERW Pipes</t>
        </is>
      </c>
      <c r="D310" s="12" t="n">
        <v>4</v>
      </c>
      <c r="E310" s="12" t="n">
        <v>0.41</v>
      </c>
      <c r="F310" s="12" t="n">
        <v>43962</v>
      </c>
      <c r="G310" s="12" t="n">
        <v>-9999.82</v>
      </c>
      <c r="H310" s="12" t="n">
        <v>0</v>
      </c>
      <c r="I310" s="12" t="n">
        <v>1.5</v>
      </c>
      <c r="J310" s="12" t="b">
        <v>1</v>
      </c>
    </row>
    <row r="311">
      <c r="A311" s="12" t="inlineStr">
        <is>
          <t>VS18</t>
        </is>
      </c>
      <c r="B311" s="12" t="b">
        <v>0</v>
      </c>
      <c r="C311" s="12" t="inlineStr">
        <is>
          <t>Fasteners &amp; Fittings</t>
        </is>
      </c>
      <c r="D311" s="12" t="n">
        <v>5</v>
      </c>
      <c r="E311" s="12" t="n">
        <v>0.47</v>
      </c>
      <c r="F311" s="12" t="n">
        <v>29051.16</v>
      </c>
      <c r="G311" s="12" t="n">
        <v>-5117.05</v>
      </c>
      <c r="H311" s="12" t="n">
        <v>0</v>
      </c>
      <c r="I311" s="12" t="n">
        <v>2</v>
      </c>
      <c r="J311" s="12" t="b">
        <v>0</v>
      </c>
    </row>
    <row r="312">
      <c r="A312" s="12" t="inlineStr">
        <is>
          <t>VS18</t>
        </is>
      </c>
      <c r="B312" s="12" t="b">
        <v>0</v>
      </c>
      <c r="C312" s="12" t="inlineStr">
        <is>
          <t>GI Pipes</t>
        </is>
      </c>
      <c r="D312" s="12" t="n">
        <v>12</v>
      </c>
      <c r="E312" s="12" t="n">
        <v>0.67</v>
      </c>
      <c r="F312" s="12" t="n">
        <v>167477.76</v>
      </c>
      <c r="G312" s="12" t="n">
        <v>35982.07</v>
      </c>
      <c r="H312" s="12" t="n">
        <v>0</v>
      </c>
      <c r="I312" s="12" t="n">
        <v>1.5</v>
      </c>
      <c r="J312" s="12" t="b">
        <v>0</v>
      </c>
    </row>
    <row r="313">
      <c r="A313" s="12" t="inlineStr">
        <is>
          <t>VS18</t>
        </is>
      </c>
      <c r="B313" s="12" t="b">
        <v>0</v>
      </c>
      <c r="C313" s="12" t="inlineStr">
        <is>
          <t>GI Sheets</t>
        </is>
      </c>
      <c r="D313" s="12" t="n">
        <v>3</v>
      </c>
      <c r="E313" s="12" t="n">
        <v>0.52</v>
      </c>
      <c r="F313" s="12" t="n">
        <v>41337.66</v>
      </c>
      <c r="G313" s="12" t="n">
        <v>-5193.21</v>
      </c>
      <c r="H313" s="12" t="n">
        <v>0</v>
      </c>
      <c r="I313" s="12" t="n">
        <v>2.67</v>
      </c>
      <c r="J313" s="12" t="b">
        <v>1</v>
      </c>
    </row>
    <row r="314">
      <c r="A314" s="12" t="inlineStr">
        <is>
          <t>VS18</t>
        </is>
      </c>
      <c r="B314" s="12" t="b">
        <v>0</v>
      </c>
      <c r="C314" s="12" t="inlineStr">
        <is>
          <t>GI Wire</t>
        </is>
      </c>
      <c r="D314" s="12" t="n">
        <v>10</v>
      </c>
      <c r="E314" s="12" t="n">
        <v>0.46</v>
      </c>
      <c r="F314" s="12" t="n">
        <v>103147.71</v>
      </c>
      <c r="G314" s="12" t="n">
        <v>-19621.64</v>
      </c>
      <c r="H314" s="12" t="n">
        <v>0</v>
      </c>
      <c r="I314" s="12" t="n">
        <v>1.5</v>
      </c>
      <c r="J314" s="12" t="b">
        <v>0</v>
      </c>
    </row>
    <row r="315">
      <c r="A315" s="12" t="inlineStr">
        <is>
          <t>VS18</t>
        </is>
      </c>
      <c r="B315" s="12" t="b">
        <v>0</v>
      </c>
      <c r="C315" s="12" t="inlineStr">
        <is>
          <t>HR Coils</t>
        </is>
      </c>
      <c r="D315" s="12" t="n">
        <v>8</v>
      </c>
      <c r="E315" s="12" t="n">
        <v>0.45</v>
      </c>
      <c r="F315" s="12" t="n">
        <v>62838.91</v>
      </c>
      <c r="G315" s="12" t="n">
        <v>-17119.08</v>
      </c>
      <c r="H315" s="12" t="n">
        <v>0</v>
      </c>
      <c r="I315" s="12" t="n">
        <v>1.62</v>
      </c>
      <c r="J315" s="12" t="b">
        <v>0</v>
      </c>
    </row>
    <row r="316">
      <c r="A316" s="12" t="inlineStr">
        <is>
          <t>VS18</t>
        </is>
      </c>
      <c r="B316" s="12" t="b">
        <v>0</v>
      </c>
      <c r="C316" s="12" t="inlineStr">
        <is>
          <t>MS Flats</t>
        </is>
      </c>
      <c r="D316" s="12" t="n">
        <v>10</v>
      </c>
      <c r="E316" s="12" t="n">
        <v>0.52</v>
      </c>
      <c r="F316" s="12" t="n">
        <v>97476.57000000001</v>
      </c>
      <c r="G316" s="12" t="n">
        <v>2663.5</v>
      </c>
      <c r="H316" s="12" t="n">
        <v>0</v>
      </c>
      <c r="I316" s="12" t="n">
        <v>1.3</v>
      </c>
      <c r="J316" s="12" t="b">
        <v>0</v>
      </c>
    </row>
    <row r="317">
      <c r="A317" s="12" t="inlineStr">
        <is>
          <t>VS18</t>
        </is>
      </c>
      <c r="B317" s="12" t="b">
        <v>0</v>
      </c>
      <c r="C317" s="12" t="inlineStr">
        <is>
          <t>MS Pipes</t>
        </is>
      </c>
      <c r="D317" s="12" t="n">
        <v>6</v>
      </c>
      <c r="E317" s="12" t="n">
        <v>0.4</v>
      </c>
      <c r="F317" s="12" t="n">
        <v>66731.32000000001</v>
      </c>
      <c r="G317" s="12" t="n">
        <v>-21067.72</v>
      </c>
      <c r="H317" s="12" t="n">
        <v>0</v>
      </c>
      <c r="I317" s="12" t="n">
        <v>1.17</v>
      </c>
      <c r="J317" s="12" t="b">
        <v>0</v>
      </c>
    </row>
    <row r="318">
      <c r="A318" s="12" t="inlineStr">
        <is>
          <t>VS18</t>
        </is>
      </c>
      <c r="B318" s="12" t="b">
        <v>0</v>
      </c>
      <c r="C318" s="12" t="inlineStr">
        <is>
          <t>MS Sheets</t>
        </is>
      </c>
      <c r="D318" s="12" t="n">
        <v>7</v>
      </c>
      <c r="E318" s="12" t="n">
        <v>0.67</v>
      </c>
      <c r="F318" s="12" t="n">
        <v>142972.12</v>
      </c>
      <c r="G318" s="12" t="n">
        <v>32736.55</v>
      </c>
      <c r="H318" s="12" t="n">
        <v>0</v>
      </c>
      <c r="I318" s="12" t="n">
        <v>1.14</v>
      </c>
      <c r="J318" s="12" t="b">
        <v>0</v>
      </c>
    </row>
    <row r="319">
      <c r="A319" s="12" t="inlineStr">
        <is>
          <t>VS18</t>
        </is>
      </c>
      <c r="B319" s="12" t="b">
        <v>0</v>
      </c>
      <c r="C319" s="12" t="inlineStr">
        <is>
          <t>SS Sheets</t>
        </is>
      </c>
      <c r="D319" s="12" t="n">
        <v>4</v>
      </c>
      <c r="E319" s="12" t="n">
        <v>0.26</v>
      </c>
      <c r="F319" s="12" t="n">
        <v>25635.79</v>
      </c>
      <c r="G319" s="12" t="n">
        <v>-22008.78</v>
      </c>
      <c r="H319" s="12" t="n">
        <v>0</v>
      </c>
      <c r="I319" s="12" t="n">
        <v>2.25</v>
      </c>
      <c r="J319" s="12" t="b">
        <v>1</v>
      </c>
    </row>
    <row r="320">
      <c r="A320" s="12" t="inlineStr">
        <is>
          <t>VS18</t>
        </is>
      </c>
      <c r="B320" s="12" t="b">
        <v>0</v>
      </c>
      <c r="C320" s="12" t="inlineStr">
        <is>
          <t>Spring Steel</t>
        </is>
      </c>
      <c r="D320" s="12" t="n">
        <v>9</v>
      </c>
      <c r="E320" s="12" t="n">
        <v>0.62</v>
      </c>
      <c r="F320" s="12" t="n">
        <v>122584.6</v>
      </c>
      <c r="G320" s="12" t="n">
        <v>20219.11</v>
      </c>
      <c r="H320" s="12" t="n">
        <v>0</v>
      </c>
      <c r="I320" s="12" t="n">
        <v>1.22</v>
      </c>
      <c r="J320" s="12" t="b">
        <v>0</v>
      </c>
    </row>
    <row r="321">
      <c r="A321" s="12" t="inlineStr">
        <is>
          <t>VS18</t>
        </is>
      </c>
      <c r="B321" s="12" t="b">
        <v>0</v>
      </c>
      <c r="C321" s="12" t="inlineStr">
        <is>
          <t>Square/Rect Tubes</t>
        </is>
      </c>
      <c r="D321" s="12" t="n">
        <v>11</v>
      </c>
      <c r="E321" s="12" t="n">
        <v>0.5600000000000001</v>
      </c>
      <c r="F321" s="12" t="n">
        <v>139824.56</v>
      </c>
      <c r="G321" s="12" t="n">
        <v>16675.14</v>
      </c>
      <c r="H321" s="12" t="n">
        <v>0</v>
      </c>
      <c r="I321" s="12" t="n">
        <v>1.55</v>
      </c>
      <c r="J321" s="12" t="b">
        <v>0</v>
      </c>
    </row>
    <row r="322">
      <c r="A322" s="12" t="inlineStr">
        <is>
          <t>VS18</t>
        </is>
      </c>
      <c r="B322" s="12" t="b">
        <v>0</v>
      </c>
      <c r="C322" s="12" t="inlineStr">
        <is>
          <t>Structural Steel</t>
        </is>
      </c>
      <c r="D322" s="12" t="n">
        <v>5</v>
      </c>
      <c r="E322" s="12" t="n">
        <v>0.35</v>
      </c>
      <c r="F322" s="12" t="n">
        <v>25113.17</v>
      </c>
      <c r="G322" s="12" t="n">
        <v>-13914.21</v>
      </c>
      <c r="H322" s="12" t="n">
        <v>0</v>
      </c>
      <c r="I322" s="12" t="n">
        <v>1.2</v>
      </c>
      <c r="J322" s="12" t="b">
        <v>0</v>
      </c>
    </row>
    <row r="323">
      <c r="A323" s="12" t="inlineStr">
        <is>
          <t>VS18</t>
        </is>
      </c>
      <c r="B323" s="12" t="b">
        <v>1</v>
      </c>
      <c r="C323" s="12" t="inlineStr">
        <is>
          <t>Hex Bars</t>
        </is>
      </c>
      <c r="D323" s="12" t="n">
        <v>6</v>
      </c>
      <c r="E323" s="12" t="n">
        <v>0.43</v>
      </c>
      <c r="F323" s="12" t="n">
        <v>58443.13</v>
      </c>
      <c r="G323" s="12" t="n">
        <v>-7072.68</v>
      </c>
      <c r="H323" s="12" t="n">
        <v>0</v>
      </c>
      <c r="I323" s="12" t="n">
        <v>1.33</v>
      </c>
      <c r="J323" s="12" t="b">
        <v>0</v>
      </c>
    </row>
    <row r="324">
      <c r="A324" s="12" t="inlineStr">
        <is>
          <t>VS18</t>
        </is>
      </c>
      <c r="B324" s="12" t="b">
        <v>1</v>
      </c>
      <c r="C324" s="12" t="inlineStr">
        <is>
          <t>MS Rods</t>
        </is>
      </c>
      <c r="D324" s="12" t="n">
        <v>13</v>
      </c>
      <c r="E324" s="12" t="n">
        <v>0.53</v>
      </c>
      <c r="F324" s="12" t="n">
        <v>140413.48</v>
      </c>
      <c r="G324" s="12" t="n">
        <v>9120.43</v>
      </c>
      <c r="H324" s="12" t="n">
        <v>0</v>
      </c>
      <c r="I324" s="12" t="n">
        <v>1.46</v>
      </c>
      <c r="J324" s="12" t="b">
        <v>0</v>
      </c>
    </row>
    <row r="325">
      <c r="A325" s="12" t="inlineStr">
        <is>
          <t>VS18</t>
        </is>
      </c>
      <c r="B325" s="12" t="b">
        <v>1</v>
      </c>
      <c r="C325" s="12" t="inlineStr">
        <is>
          <t>SS Pipes</t>
        </is>
      </c>
      <c r="D325" s="12" t="n">
        <v>10</v>
      </c>
      <c r="E325" s="12" t="n">
        <v>0.63</v>
      </c>
      <c r="F325" s="12" t="n">
        <v>160320.38</v>
      </c>
      <c r="G325" s="12" t="n">
        <v>25978.53</v>
      </c>
      <c r="H325" s="12" t="n">
        <v>0</v>
      </c>
      <c r="I325" s="12" t="n">
        <v>1.8</v>
      </c>
      <c r="J325" s="12" t="b">
        <v>0</v>
      </c>
    </row>
    <row r="326">
      <c r="A326" s="12" t="inlineStr">
        <is>
          <t>VS19</t>
        </is>
      </c>
      <c r="B326" s="12" t="b">
        <v>0</v>
      </c>
      <c r="C326" s="12" t="inlineStr">
        <is>
          <t>Angles &amp; Channels</t>
        </is>
      </c>
      <c r="D326" s="12" t="n">
        <v>5</v>
      </c>
      <c r="E326" s="12" t="n">
        <v>3.57</v>
      </c>
      <c r="F326" s="12" t="n">
        <v>273740.87</v>
      </c>
      <c r="G326" s="12" t="n">
        <v>235195.66</v>
      </c>
      <c r="H326" s="12" t="n">
        <v>94715.23</v>
      </c>
      <c r="I326" s="12" t="n">
        <v>5.2</v>
      </c>
      <c r="J326" s="12" t="b">
        <v>0</v>
      </c>
    </row>
    <row r="327">
      <c r="A327" s="12" t="inlineStr">
        <is>
          <t>VS19</t>
        </is>
      </c>
      <c r="B327" s="12" t="b">
        <v>0</v>
      </c>
      <c r="C327" s="12" t="inlineStr">
        <is>
          <t>Fasteners &amp; Fittings</t>
        </is>
      </c>
      <c r="D327" s="12" t="n">
        <v>5</v>
      </c>
      <c r="E327" s="12" t="n">
        <v>2.98</v>
      </c>
      <c r="F327" s="12" t="n">
        <v>371541.71</v>
      </c>
      <c r="G327" s="12" t="n">
        <v>309149.68</v>
      </c>
      <c r="H327" s="12" t="n">
        <v>371728.94</v>
      </c>
      <c r="I327" s="12" t="n">
        <v>5.6</v>
      </c>
      <c r="J327" s="12" t="b">
        <v>0</v>
      </c>
    </row>
    <row r="328">
      <c r="A328" s="12" t="inlineStr">
        <is>
          <t>VS19</t>
        </is>
      </c>
      <c r="B328" s="12" t="b">
        <v>0</v>
      </c>
      <c r="C328" s="12" t="inlineStr">
        <is>
          <t>GI Pipes</t>
        </is>
      </c>
      <c r="D328" s="12" t="n">
        <v>7</v>
      </c>
      <c r="E328" s="12" t="n">
        <v>4.25</v>
      </c>
      <c r="F328" s="12" t="n">
        <v>681090.75</v>
      </c>
      <c r="G328" s="12" t="n">
        <v>600904.01</v>
      </c>
      <c r="H328" s="12" t="n">
        <v>281778.77</v>
      </c>
      <c r="I328" s="12" t="n">
        <v>4.57</v>
      </c>
      <c r="J328" s="12" t="b">
        <v>0</v>
      </c>
    </row>
    <row r="329">
      <c r="A329" s="12" t="inlineStr">
        <is>
          <t>VS19</t>
        </is>
      </c>
      <c r="B329" s="12" t="b">
        <v>0</v>
      </c>
      <c r="C329" s="12" t="inlineStr">
        <is>
          <t>GI Sheets</t>
        </is>
      </c>
      <c r="D329" s="12" t="n">
        <v>7</v>
      </c>
      <c r="E329" s="12" t="n">
        <v>2.75</v>
      </c>
      <c r="F329" s="12" t="n">
        <v>212596.92</v>
      </c>
      <c r="G329" s="12" t="n">
        <v>173437.63</v>
      </c>
      <c r="H329" s="12" t="n">
        <v>226716.55</v>
      </c>
      <c r="I329" s="12" t="n">
        <v>4.57</v>
      </c>
      <c r="J329" s="12" t="b">
        <v>0</v>
      </c>
    </row>
    <row r="330">
      <c r="A330" s="12" t="inlineStr">
        <is>
          <t>VS19</t>
        </is>
      </c>
      <c r="B330" s="12" t="b">
        <v>0</v>
      </c>
      <c r="C330" s="12" t="inlineStr">
        <is>
          <t>GI Wire</t>
        </is>
      </c>
      <c r="D330" s="12" t="n">
        <v>10</v>
      </c>
      <c r="E330" s="12" t="n">
        <v>3.63</v>
      </c>
      <c r="F330" s="12" t="n">
        <v>967700.08</v>
      </c>
      <c r="G330" s="12" t="n">
        <v>831160.28</v>
      </c>
      <c r="H330" s="12" t="n">
        <v>607171.96</v>
      </c>
      <c r="I330" s="12" t="n">
        <v>5</v>
      </c>
      <c r="J330" s="12" t="b">
        <v>0</v>
      </c>
    </row>
    <row r="331">
      <c r="A331" s="12" t="inlineStr">
        <is>
          <t>VS19</t>
        </is>
      </c>
      <c r="B331" s="12" t="b">
        <v>0</v>
      </c>
      <c r="C331" s="12" t="inlineStr">
        <is>
          <t>HR Coils</t>
        </is>
      </c>
      <c r="D331" s="12" t="n">
        <v>8</v>
      </c>
      <c r="E331" s="12" t="n">
        <v>3.12</v>
      </c>
      <c r="F331" s="12" t="n">
        <v>573414.92</v>
      </c>
      <c r="G331" s="12" t="n">
        <v>478666.97</v>
      </c>
      <c r="H331" s="12" t="n">
        <v>361158.08</v>
      </c>
      <c r="I331" s="12" t="n">
        <v>3.88</v>
      </c>
      <c r="J331" s="12" t="b">
        <v>0</v>
      </c>
    </row>
    <row r="332">
      <c r="A332" s="12" t="inlineStr">
        <is>
          <t>VS19</t>
        </is>
      </c>
      <c r="B332" s="12" t="b">
        <v>0</v>
      </c>
      <c r="C332" s="12" t="inlineStr">
        <is>
          <t>Hex Bars</t>
        </is>
      </c>
      <c r="D332" s="12" t="n">
        <v>4</v>
      </c>
      <c r="E332" s="12" t="n">
        <v>3.57</v>
      </c>
      <c r="F332" s="12" t="n">
        <v>385061.63</v>
      </c>
      <c r="G332" s="12" t="n">
        <v>331928.5</v>
      </c>
      <c r="H332" s="12" t="n">
        <v>205738.93</v>
      </c>
      <c r="I332" s="12" t="n">
        <v>5.25</v>
      </c>
      <c r="J332" s="12" t="b">
        <v>1</v>
      </c>
    </row>
    <row r="333">
      <c r="A333" s="12" t="inlineStr">
        <is>
          <t>VS19</t>
        </is>
      </c>
      <c r="B333" s="12" t="b">
        <v>0</v>
      </c>
      <c r="C333" s="12" t="inlineStr">
        <is>
          <t>MS Flats</t>
        </is>
      </c>
      <c r="D333" s="12" t="n">
        <v>9</v>
      </c>
      <c r="E333" s="12" t="n">
        <v>3.09</v>
      </c>
      <c r="F333" s="12" t="n">
        <v>521552.73</v>
      </c>
      <c r="G333" s="12" t="n">
        <v>432883.35</v>
      </c>
      <c r="H333" s="12" t="n">
        <v>417620.43</v>
      </c>
      <c r="I333" s="12" t="n">
        <v>5.11</v>
      </c>
      <c r="J333" s="12" t="b">
        <v>0</v>
      </c>
    </row>
    <row r="334">
      <c r="A334" s="12" t="inlineStr">
        <is>
          <t>VS19</t>
        </is>
      </c>
      <c r="B334" s="12" t="b">
        <v>0</v>
      </c>
      <c r="C334" s="12" t="inlineStr">
        <is>
          <t>MS Rods</t>
        </is>
      </c>
      <c r="D334" s="12" t="n">
        <v>10</v>
      </c>
      <c r="E334" s="12" t="n">
        <v>3.59</v>
      </c>
      <c r="F334" s="12" t="n">
        <v>669763.17</v>
      </c>
      <c r="G334" s="12" t="n">
        <v>575675.5</v>
      </c>
      <c r="H334" s="12" t="n">
        <v>531223.54</v>
      </c>
      <c r="I334" s="12" t="n">
        <v>5.6</v>
      </c>
      <c r="J334" s="12" t="b">
        <v>0</v>
      </c>
    </row>
    <row r="335">
      <c r="A335" s="12" t="inlineStr">
        <is>
          <t>VS19</t>
        </is>
      </c>
      <c r="B335" s="12" t="b">
        <v>0</v>
      </c>
      <c r="C335" s="12" t="inlineStr">
        <is>
          <t>MS Sheets</t>
        </is>
      </c>
      <c r="D335" s="12" t="n">
        <v>8</v>
      </c>
      <c r="E335" s="12" t="n">
        <v>4.05</v>
      </c>
      <c r="F335" s="12" t="n">
        <v>858335.74</v>
      </c>
      <c r="G335" s="12" t="n">
        <v>749692.87</v>
      </c>
      <c r="H335" s="12" t="n">
        <v>482878.68</v>
      </c>
      <c r="I335" s="12" t="n">
        <v>5.12</v>
      </c>
      <c r="J335" s="12" t="b">
        <v>0</v>
      </c>
    </row>
    <row r="336">
      <c r="A336" s="12" t="inlineStr">
        <is>
          <t>VS19</t>
        </is>
      </c>
      <c r="B336" s="12" t="b">
        <v>0</v>
      </c>
      <c r="C336" s="12" t="inlineStr">
        <is>
          <t>SS Pipes</t>
        </is>
      </c>
      <c r="D336" s="12" t="n">
        <v>6</v>
      </c>
      <c r="E336" s="12" t="n">
        <v>2.9</v>
      </c>
      <c r="F336" s="12" t="n">
        <v>354233.88</v>
      </c>
      <c r="G336" s="12" t="n">
        <v>293315.43</v>
      </c>
      <c r="H336" s="12" t="n">
        <v>345784.45</v>
      </c>
      <c r="I336" s="12" t="n">
        <v>4.17</v>
      </c>
      <c r="J336" s="12" t="b">
        <v>0</v>
      </c>
    </row>
    <row r="337">
      <c r="A337" s="12" t="inlineStr">
        <is>
          <t>VS19</t>
        </is>
      </c>
      <c r="B337" s="12" t="b">
        <v>0</v>
      </c>
      <c r="C337" s="12" t="inlineStr">
        <is>
          <t>SS Sheets</t>
        </is>
      </c>
      <c r="D337" s="12" t="n">
        <v>7</v>
      </c>
      <c r="E337" s="12" t="n">
        <v>3.6</v>
      </c>
      <c r="F337" s="12" t="n">
        <v>682193.17</v>
      </c>
      <c r="G337" s="12" t="n">
        <v>582347.73</v>
      </c>
      <c r="H337" s="12" t="n">
        <v>493420.43</v>
      </c>
      <c r="I337" s="12" t="n">
        <v>5.14</v>
      </c>
      <c r="J337" s="12" t="b">
        <v>0</v>
      </c>
    </row>
    <row r="338">
      <c r="A338" s="12" t="inlineStr">
        <is>
          <t>VS19</t>
        </is>
      </c>
      <c r="B338" s="12" t="b">
        <v>0</v>
      </c>
      <c r="C338" s="12" t="inlineStr">
        <is>
          <t>Spring Steel</t>
        </is>
      </c>
      <c r="D338" s="12" t="n">
        <v>9</v>
      </c>
      <c r="E338" s="12" t="n">
        <v>3.85</v>
      </c>
      <c r="F338" s="12" t="n">
        <v>593518.26</v>
      </c>
      <c r="G338" s="12" t="n">
        <v>513828.68</v>
      </c>
      <c r="H338" s="12" t="n">
        <v>392264.3</v>
      </c>
      <c r="I338" s="12" t="n">
        <v>5.44</v>
      </c>
      <c r="J338" s="12" t="b">
        <v>0</v>
      </c>
    </row>
    <row r="339">
      <c r="A339" s="12" t="inlineStr">
        <is>
          <t>VS19</t>
        </is>
      </c>
      <c r="B339" s="12" t="b">
        <v>0</v>
      </c>
      <c r="C339" s="12" t="inlineStr">
        <is>
          <t>Square/Rect Tubes</t>
        </is>
      </c>
      <c r="D339" s="12" t="n">
        <v>10</v>
      </c>
      <c r="E339" s="12" t="n">
        <v>3.34</v>
      </c>
      <c r="F339" s="12" t="n">
        <v>645822.79</v>
      </c>
      <c r="G339" s="12" t="n">
        <v>550105</v>
      </c>
      <c r="H339" s="12" t="n">
        <v>653631.79</v>
      </c>
      <c r="I339" s="12" t="n">
        <v>5.3</v>
      </c>
      <c r="J339" s="12" t="b">
        <v>0</v>
      </c>
    </row>
    <row r="340">
      <c r="A340" s="12" t="inlineStr">
        <is>
          <t>VS19</t>
        </is>
      </c>
      <c r="B340" s="12" t="b">
        <v>0</v>
      </c>
      <c r="C340" s="12" t="inlineStr">
        <is>
          <t>Structural Steel</t>
        </is>
      </c>
      <c r="D340" s="12" t="n">
        <v>5</v>
      </c>
      <c r="E340" s="12" t="n">
        <v>3.37</v>
      </c>
      <c r="F340" s="12" t="n">
        <v>351843.1</v>
      </c>
      <c r="G340" s="12" t="n">
        <v>298062.17</v>
      </c>
      <c r="H340" s="12" t="n">
        <v>292641.3</v>
      </c>
      <c r="I340" s="12" t="n">
        <v>4.8</v>
      </c>
      <c r="J340" s="12" t="b">
        <v>0</v>
      </c>
    </row>
    <row r="341">
      <c r="A341" s="12" t="inlineStr">
        <is>
          <t>VS19</t>
        </is>
      </c>
      <c r="B341" s="12" t="b">
        <v>1</v>
      </c>
      <c r="C341" s="12" t="inlineStr">
        <is>
          <t>CR Sheets</t>
        </is>
      </c>
      <c r="D341" s="12" t="n">
        <v>12</v>
      </c>
      <c r="E341" s="12" t="n">
        <v>3.99</v>
      </c>
      <c r="F341" s="12" t="n">
        <v>1134916.96</v>
      </c>
      <c r="G341" s="12" t="n">
        <v>991734.46</v>
      </c>
      <c r="H341" s="12" t="n">
        <v>668463.2</v>
      </c>
      <c r="I341" s="12" t="n">
        <v>4.5</v>
      </c>
      <c r="J341" s="12" t="b">
        <v>0</v>
      </c>
    </row>
    <row r="342">
      <c r="A342" s="12" t="inlineStr">
        <is>
          <t>VS19</t>
        </is>
      </c>
      <c r="B342" s="12" t="b">
        <v>1</v>
      </c>
      <c r="C342" s="12" t="inlineStr">
        <is>
          <t>ERW Pipes</t>
        </is>
      </c>
      <c r="D342" s="12" t="n">
        <v>9</v>
      </c>
      <c r="E342" s="12" t="n">
        <v>3.35</v>
      </c>
      <c r="F342" s="12" t="n">
        <v>721605</v>
      </c>
      <c r="G342" s="12" t="n">
        <v>609697.58</v>
      </c>
      <c r="H342" s="12" t="n">
        <v>591724.47</v>
      </c>
      <c r="I342" s="12" t="n">
        <v>5.11</v>
      </c>
      <c r="J342" s="12" t="b">
        <v>0</v>
      </c>
    </row>
    <row r="343">
      <c r="A343" s="12" t="inlineStr">
        <is>
          <t>VS19</t>
        </is>
      </c>
      <c r="B343" s="12" t="b">
        <v>1</v>
      </c>
      <c r="C343" s="12" t="inlineStr">
        <is>
          <t>MS Pipes</t>
        </is>
      </c>
      <c r="D343" s="12" t="n">
        <v>10</v>
      </c>
      <c r="E343" s="12" t="n">
        <v>4.12</v>
      </c>
      <c r="F343" s="12" t="n">
        <v>590650.73</v>
      </c>
      <c r="G343" s="12" t="n">
        <v>516038.02</v>
      </c>
      <c r="H343" s="12" t="n">
        <v>389585.59</v>
      </c>
      <c r="I343" s="12" t="n">
        <v>5.7</v>
      </c>
      <c r="J343" s="12" t="b">
        <v>0</v>
      </c>
    </row>
    <row r="344">
      <c r="A344" s="12" t="inlineStr">
        <is>
          <t>VS20</t>
        </is>
      </c>
      <c r="B344" s="12" t="b">
        <v>0</v>
      </c>
      <c r="C344" s="12" t="inlineStr">
        <is>
          <t>Angles &amp; Channels</t>
        </is>
      </c>
      <c r="D344" s="12" t="n">
        <v>8</v>
      </c>
      <c r="E344" s="12" t="n">
        <v>0.45</v>
      </c>
      <c r="F344" s="12" t="n">
        <v>90041.71000000001</v>
      </c>
      <c r="G344" s="12" t="n">
        <v>-12518.39</v>
      </c>
      <c r="H344" s="12" t="n">
        <v>0</v>
      </c>
      <c r="I344" s="12" t="n">
        <v>1.75</v>
      </c>
      <c r="J344" s="12" t="b">
        <v>0</v>
      </c>
    </row>
    <row r="345">
      <c r="A345" s="12" t="inlineStr">
        <is>
          <t>VS20</t>
        </is>
      </c>
      <c r="B345" s="12" t="b">
        <v>0</v>
      </c>
      <c r="C345" s="12" t="inlineStr">
        <is>
          <t>CR Sheets</t>
        </is>
      </c>
      <c r="D345" s="12" t="n">
        <v>10</v>
      </c>
      <c r="E345" s="12" t="n">
        <v>0.38</v>
      </c>
      <c r="F345" s="12" t="n">
        <v>84244.50999999999</v>
      </c>
      <c r="G345" s="12" t="n">
        <v>-36505.67</v>
      </c>
      <c r="H345" s="12" t="n">
        <v>0</v>
      </c>
      <c r="I345" s="12" t="n">
        <v>2.1</v>
      </c>
      <c r="J345" s="12" t="b">
        <v>0</v>
      </c>
    </row>
    <row r="346">
      <c r="A346" s="12" t="inlineStr">
        <is>
          <t>VS20</t>
        </is>
      </c>
      <c r="B346" s="12" t="b">
        <v>0</v>
      </c>
      <c r="C346" s="12" t="inlineStr">
        <is>
          <t>ERW Pipes</t>
        </is>
      </c>
      <c r="D346" s="12" t="n">
        <v>5</v>
      </c>
      <c r="E346" s="12" t="n">
        <v>0.16</v>
      </c>
      <c r="F346" s="12" t="n">
        <v>14485.97</v>
      </c>
      <c r="G346" s="12" t="n">
        <v>-34461.92</v>
      </c>
      <c r="H346" s="12" t="n">
        <v>0</v>
      </c>
      <c r="I346" s="12" t="n">
        <v>1.4</v>
      </c>
      <c r="J346" s="12" t="b">
        <v>0</v>
      </c>
    </row>
    <row r="347">
      <c r="A347" s="12" t="inlineStr">
        <is>
          <t>VS20</t>
        </is>
      </c>
      <c r="B347" s="12" t="b">
        <v>0</v>
      </c>
      <c r="C347" s="12" t="inlineStr">
        <is>
          <t>GI Pipes</t>
        </is>
      </c>
      <c r="D347" s="12" t="n">
        <v>10</v>
      </c>
      <c r="E347" s="12" t="n">
        <v>0.48</v>
      </c>
      <c r="F347" s="12" t="n">
        <v>82766.03999999999</v>
      </c>
      <c r="G347" s="12" t="n">
        <v>-3701.59</v>
      </c>
      <c r="H347" s="12" t="n">
        <v>0</v>
      </c>
      <c r="I347" s="12" t="n">
        <v>1.2</v>
      </c>
      <c r="J347" s="12" t="b">
        <v>0</v>
      </c>
    </row>
    <row r="348">
      <c r="A348" s="12" t="inlineStr">
        <is>
          <t>VS20</t>
        </is>
      </c>
      <c r="B348" s="12" t="b">
        <v>0</v>
      </c>
      <c r="C348" s="12" t="inlineStr">
        <is>
          <t>GI Sheets</t>
        </is>
      </c>
      <c r="D348" s="12" t="n">
        <v>8</v>
      </c>
      <c r="E348" s="12" t="n">
        <v>0.57</v>
      </c>
      <c r="F348" s="12" t="n">
        <v>130484.58</v>
      </c>
      <c r="G348" s="12" t="n">
        <v>15460.04</v>
      </c>
      <c r="H348" s="12" t="n">
        <v>0</v>
      </c>
      <c r="I348" s="12" t="n">
        <v>1.62</v>
      </c>
      <c r="J348" s="12" t="b">
        <v>0</v>
      </c>
    </row>
    <row r="349">
      <c r="A349" s="12" t="inlineStr">
        <is>
          <t>VS20</t>
        </is>
      </c>
      <c r="B349" s="12" t="b">
        <v>0</v>
      </c>
      <c r="C349" s="12" t="inlineStr">
        <is>
          <t>GI Wire</t>
        </is>
      </c>
      <c r="D349" s="12" t="n">
        <v>7</v>
      </c>
      <c r="E349" s="12" t="n">
        <v>0.26</v>
      </c>
      <c r="F349" s="12" t="n">
        <v>31446.98</v>
      </c>
      <c r="G349" s="12" t="n">
        <v>-41249.96</v>
      </c>
      <c r="H349" s="12" t="n">
        <v>0</v>
      </c>
      <c r="I349" s="12" t="n">
        <v>1.43</v>
      </c>
      <c r="J349" s="12" t="b">
        <v>0</v>
      </c>
    </row>
    <row r="350">
      <c r="A350" s="12" t="inlineStr">
        <is>
          <t>VS20</t>
        </is>
      </c>
      <c r="B350" s="12" t="b">
        <v>0</v>
      </c>
      <c r="C350" s="12" t="inlineStr">
        <is>
          <t>HR Coils</t>
        </is>
      </c>
      <c r="D350" s="12" t="n">
        <v>5</v>
      </c>
      <c r="E350" s="12" t="n">
        <v>0.39</v>
      </c>
      <c r="F350" s="12" t="n">
        <v>32492.34</v>
      </c>
      <c r="G350" s="12" t="n">
        <v>-17875.32</v>
      </c>
      <c r="H350" s="12" t="n">
        <v>0</v>
      </c>
      <c r="I350" s="12" t="n">
        <v>2.2</v>
      </c>
      <c r="J350" s="12" t="b">
        <v>0</v>
      </c>
    </row>
    <row r="351">
      <c r="A351" s="12" t="inlineStr">
        <is>
          <t>VS20</t>
        </is>
      </c>
      <c r="B351" s="12" t="b">
        <v>0</v>
      </c>
      <c r="C351" s="12" t="inlineStr">
        <is>
          <t>Hex Bars</t>
        </is>
      </c>
      <c r="D351" s="12" t="n">
        <v>7</v>
      </c>
      <c r="E351" s="12" t="n">
        <v>0.48</v>
      </c>
      <c r="F351" s="12" t="n">
        <v>77796.42999999999</v>
      </c>
      <c r="G351" s="12" t="n">
        <v>-4673.21</v>
      </c>
      <c r="H351" s="12" t="n">
        <v>0</v>
      </c>
      <c r="I351" s="12" t="n">
        <v>1.71</v>
      </c>
      <c r="J351" s="12" t="b">
        <v>0</v>
      </c>
    </row>
    <row r="352">
      <c r="A352" s="12" t="inlineStr">
        <is>
          <t>VS20</t>
        </is>
      </c>
      <c r="B352" s="12" t="b">
        <v>0</v>
      </c>
      <c r="C352" s="12" t="inlineStr">
        <is>
          <t>MS Flats</t>
        </is>
      </c>
      <c r="D352" s="12" t="n">
        <v>10</v>
      </c>
      <c r="E352" s="12" t="n">
        <v>0.32</v>
      </c>
      <c r="F352" s="12" t="n">
        <v>80424.17999999999</v>
      </c>
      <c r="G352" s="12" t="n">
        <v>-37301.36</v>
      </c>
      <c r="H352" s="12" t="n">
        <v>0</v>
      </c>
      <c r="I352" s="12" t="n">
        <v>1.7</v>
      </c>
      <c r="J352" s="12" t="b">
        <v>0</v>
      </c>
    </row>
    <row r="353">
      <c r="A353" s="12" t="inlineStr">
        <is>
          <t>VS20</t>
        </is>
      </c>
      <c r="B353" s="12" t="b">
        <v>0</v>
      </c>
      <c r="C353" s="12" t="inlineStr">
        <is>
          <t>MS Pipes</t>
        </is>
      </c>
      <c r="D353" s="12" t="n">
        <v>8</v>
      </c>
      <c r="E353" s="12" t="n">
        <v>0.54</v>
      </c>
      <c r="F353" s="12" t="n">
        <v>95780.60000000001</v>
      </c>
      <c r="G353" s="12" t="n">
        <v>6215.95</v>
      </c>
      <c r="H353" s="12" t="n">
        <v>0</v>
      </c>
      <c r="I353" s="12" t="n">
        <v>2</v>
      </c>
      <c r="J353" s="12" t="b">
        <v>0</v>
      </c>
    </row>
    <row r="354">
      <c r="A354" s="12" t="inlineStr">
        <is>
          <t>VS20</t>
        </is>
      </c>
      <c r="B354" s="12" t="b">
        <v>0</v>
      </c>
      <c r="C354" s="12" t="inlineStr">
        <is>
          <t>MS Rods</t>
        </is>
      </c>
      <c r="D354" s="12" t="n">
        <v>7</v>
      </c>
      <c r="E354" s="12" t="n">
        <v>0.59</v>
      </c>
      <c r="F354" s="12" t="n">
        <v>85527.06</v>
      </c>
      <c r="G354" s="12" t="n">
        <v>16160.42</v>
      </c>
      <c r="H354" s="12" t="n">
        <v>0</v>
      </c>
      <c r="I354" s="12" t="n">
        <v>2</v>
      </c>
      <c r="J354" s="12" t="b">
        <v>0</v>
      </c>
    </row>
    <row r="355">
      <c r="A355" s="12" t="inlineStr">
        <is>
          <t>VS20</t>
        </is>
      </c>
      <c r="B355" s="12" t="b">
        <v>0</v>
      </c>
      <c r="C355" s="12" t="inlineStr">
        <is>
          <t>SS Pipes</t>
        </is>
      </c>
      <c r="D355" s="12" t="n">
        <v>14</v>
      </c>
      <c r="E355" s="12" t="n">
        <v>0.5600000000000001</v>
      </c>
      <c r="F355" s="12" t="n">
        <v>169037.81</v>
      </c>
      <c r="G355" s="12" t="n">
        <v>19623.96</v>
      </c>
      <c r="H355" s="12" t="n">
        <v>0</v>
      </c>
      <c r="I355" s="12" t="n">
        <v>1.14</v>
      </c>
      <c r="J355" s="12" t="b">
        <v>0</v>
      </c>
    </row>
    <row r="356">
      <c r="A356" s="12" t="inlineStr">
        <is>
          <t>VS20</t>
        </is>
      </c>
      <c r="B356" s="12" t="b">
        <v>0</v>
      </c>
      <c r="C356" s="12" t="inlineStr">
        <is>
          <t>SS Sheets</t>
        </is>
      </c>
      <c r="D356" s="12" t="n">
        <v>1</v>
      </c>
      <c r="E356" s="12" t="n">
        <v>0.16</v>
      </c>
      <c r="F356" s="12" t="n">
        <v>962.27</v>
      </c>
      <c r="G356" s="12" t="n">
        <v>-2126.91</v>
      </c>
      <c r="H356" s="12" t="n">
        <v>0</v>
      </c>
      <c r="I356" s="12" t="n">
        <v>0</v>
      </c>
      <c r="J356" s="12" t="b">
        <v>1</v>
      </c>
    </row>
    <row r="357">
      <c r="A357" s="12" t="inlineStr">
        <is>
          <t>VS20</t>
        </is>
      </c>
      <c r="B357" s="12" t="b">
        <v>0</v>
      </c>
      <c r="C357" s="12" t="inlineStr">
        <is>
          <t>Spring Steel</t>
        </is>
      </c>
      <c r="D357" s="12" t="n">
        <v>7</v>
      </c>
      <c r="E357" s="12" t="n">
        <v>0.59</v>
      </c>
      <c r="F357" s="12" t="n">
        <v>81209.96000000001</v>
      </c>
      <c r="G357" s="12" t="n">
        <v>10687.39</v>
      </c>
      <c r="H357" s="12" t="n">
        <v>0</v>
      </c>
      <c r="I357" s="12" t="n">
        <v>1.29</v>
      </c>
      <c r="J357" s="12" t="b">
        <v>0</v>
      </c>
    </row>
    <row r="358">
      <c r="A358" s="12" t="inlineStr">
        <is>
          <t>VS20</t>
        </is>
      </c>
      <c r="B358" s="12" t="b">
        <v>0</v>
      </c>
      <c r="C358" s="12" t="inlineStr">
        <is>
          <t>Square/Rect Tubes</t>
        </is>
      </c>
      <c r="D358" s="12" t="n">
        <v>6</v>
      </c>
      <c r="E358" s="12" t="n">
        <v>0.66</v>
      </c>
      <c r="F358" s="12" t="n">
        <v>106806.21</v>
      </c>
      <c r="G358" s="12" t="n">
        <v>20838.54</v>
      </c>
      <c r="H358" s="12" t="n">
        <v>0</v>
      </c>
      <c r="I358" s="12" t="n">
        <v>1.5</v>
      </c>
      <c r="J358" s="12" t="b">
        <v>0</v>
      </c>
    </row>
    <row r="359">
      <c r="A359" s="12" t="inlineStr">
        <is>
          <t>VS20</t>
        </is>
      </c>
      <c r="B359" s="12" t="b">
        <v>0</v>
      </c>
      <c r="C359" s="12" t="inlineStr">
        <is>
          <t>Structural Steel</t>
        </is>
      </c>
      <c r="D359" s="12" t="n">
        <v>10</v>
      </c>
      <c r="E359" s="12" t="n">
        <v>0.49</v>
      </c>
      <c r="F359" s="12" t="n">
        <v>117209.85</v>
      </c>
      <c r="G359" s="12" t="n">
        <v>-7210.87</v>
      </c>
      <c r="H359" s="12" t="n">
        <v>0</v>
      </c>
      <c r="I359" s="12" t="n">
        <v>0.8</v>
      </c>
      <c r="J359" s="12" t="b">
        <v>0</v>
      </c>
    </row>
    <row r="360">
      <c r="A360" s="12" t="inlineStr">
        <is>
          <t>VS20</t>
        </is>
      </c>
      <c r="B360" s="12" t="b">
        <v>1</v>
      </c>
      <c r="C360" s="12" t="inlineStr">
        <is>
          <t>Fasteners &amp; Fittings</t>
        </is>
      </c>
      <c r="D360" s="12" t="n">
        <v>9</v>
      </c>
      <c r="E360" s="12" t="n">
        <v>0.36</v>
      </c>
      <c r="F360" s="12" t="n">
        <v>57990.08</v>
      </c>
      <c r="G360" s="12" t="n">
        <v>-33450.33</v>
      </c>
      <c r="H360" s="12" t="n">
        <v>0</v>
      </c>
      <c r="I360" s="12" t="n">
        <v>1.67</v>
      </c>
      <c r="J360" s="12" t="b">
        <v>0</v>
      </c>
    </row>
    <row r="361">
      <c r="A361" s="12" t="inlineStr">
        <is>
          <t>VS20</t>
        </is>
      </c>
      <c r="B361" s="12" t="b">
        <v>1</v>
      </c>
      <c r="C361" s="12" t="inlineStr">
        <is>
          <t>MS Sheets</t>
        </is>
      </c>
      <c r="D361" s="12" t="n">
        <v>9</v>
      </c>
      <c r="E361" s="12" t="n">
        <v>0.59</v>
      </c>
      <c r="F361" s="12" t="n">
        <v>146450.11</v>
      </c>
      <c r="G361" s="12" t="n">
        <v>17700.44</v>
      </c>
      <c r="H361" s="12" t="n">
        <v>0</v>
      </c>
      <c r="I361" s="12" t="n">
        <v>1.44</v>
      </c>
      <c r="J361" s="12" t="b">
        <v>0</v>
      </c>
    </row>
    <row r="362">
      <c r="A362" s="12" t="inlineStr">
        <is>
          <t>VS21</t>
        </is>
      </c>
      <c r="B362" s="12" t="b">
        <v>0</v>
      </c>
      <c r="C362" s="12" t="inlineStr">
        <is>
          <t>Angles &amp; Channels</t>
        </is>
      </c>
      <c r="D362" s="12" t="n">
        <v>10</v>
      </c>
      <c r="E362" s="12" t="n">
        <v>0.42</v>
      </c>
      <c r="F362" s="12" t="n">
        <v>83969.84</v>
      </c>
      <c r="G362" s="12" t="n">
        <v>-3873.35</v>
      </c>
      <c r="H362" s="12" t="n">
        <v>0</v>
      </c>
      <c r="I362" s="12" t="n">
        <v>1.4</v>
      </c>
      <c r="J362" s="12" t="b">
        <v>0</v>
      </c>
    </row>
    <row r="363">
      <c r="A363" s="12" t="inlineStr">
        <is>
          <t>VS21</t>
        </is>
      </c>
      <c r="B363" s="12" t="b">
        <v>0</v>
      </c>
      <c r="C363" s="12" t="inlineStr">
        <is>
          <t>CR Sheets</t>
        </is>
      </c>
      <c r="D363" s="12" t="n">
        <v>9</v>
      </c>
      <c r="E363" s="12" t="n">
        <v>0.5600000000000001</v>
      </c>
      <c r="F363" s="12" t="n">
        <v>129088.02</v>
      </c>
      <c r="G363" s="12" t="n">
        <v>13065.04</v>
      </c>
      <c r="H363" s="12" t="n">
        <v>0</v>
      </c>
      <c r="I363" s="12" t="n">
        <v>1.22</v>
      </c>
      <c r="J363" s="12" t="b">
        <v>0</v>
      </c>
    </row>
    <row r="364">
      <c r="A364" s="12" t="inlineStr">
        <is>
          <t>VS21</t>
        </is>
      </c>
      <c r="B364" s="12" t="b">
        <v>0</v>
      </c>
      <c r="C364" s="12" t="inlineStr">
        <is>
          <t>Fasteners &amp; Fittings</t>
        </is>
      </c>
      <c r="D364" s="12" t="n">
        <v>10</v>
      </c>
      <c r="E364" s="12" t="n">
        <v>0.6899999999999999</v>
      </c>
      <c r="F364" s="12" t="n">
        <v>150625.16</v>
      </c>
      <c r="G364" s="12" t="n">
        <v>39829.72</v>
      </c>
      <c r="H364" s="12" t="n">
        <v>0</v>
      </c>
      <c r="I364" s="12" t="n">
        <v>1.5</v>
      </c>
      <c r="J364" s="12" t="b">
        <v>0</v>
      </c>
    </row>
    <row r="365">
      <c r="A365" s="12" t="inlineStr">
        <is>
          <t>VS21</t>
        </is>
      </c>
      <c r="B365" s="12" t="b">
        <v>0</v>
      </c>
      <c r="C365" s="12" t="inlineStr">
        <is>
          <t>GI Pipes</t>
        </is>
      </c>
      <c r="D365" s="12" t="n">
        <v>10</v>
      </c>
      <c r="E365" s="12" t="n">
        <v>0.61</v>
      </c>
      <c r="F365" s="12" t="n">
        <v>102298.45</v>
      </c>
      <c r="G365" s="12" t="n">
        <v>12881.31</v>
      </c>
      <c r="H365" s="12" t="n">
        <v>0</v>
      </c>
      <c r="I365" s="12" t="n">
        <v>1.6</v>
      </c>
      <c r="J365" s="12" t="b">
        <v>0</v>
      </c>
    </row>
    <row r="366">
      <c r="A366" s="12" t="inlineStr">
        <is>
          <t>VS21</t>
        </is>
      </c>
      <c r="B366" s="12" t="b">
        <v>0</v>
      </c>
      <c r="C366" s="12" t="inlineStr">
        <is>
          <t>GI Wire</t>
        </is>
      </c>
      <c r="D366" s="12" t="n">
        <v>10</v>
      </c>
      <c r="E366" s="12" t="n">
        <v>0.4</v>
      </c>
      <c r="F366" s="12" t="n">
        <v>93065.94</v>
      </c>
      <c r="G366" s="12" t="n">
        <v>-19765.64</v>
      </c>
      <c r="H366" s="12" t="n">
        <v>0</v>
      </c>
      <c r="I366" s="12" t="n">
        <v>2.1</v>
      </c>
      <c r="J366" s="12" t="b">
        <v>0</v>
      </c>
    </row>
    <row r="367">
      <c r="A367" s="12" t="inlineStr">
        <is>
          <t>VS21</t>
        </is>
      </c>
      <c r="B367" s="12" t="b">
        <v>0</v>
      </c>
      <c r="C367" s="12" t="inlineStr">
        <is>
          <t>HR Coils</t>
        </is>
      </c>
      <c r="D367" s="12" t="n">
        <v>7</v>
      </c>
      <c r="E367" s="12" t="n">
        <v>0.4</v>
      </c>
      <c r="F367" s="12" t="n">
        <v>36279.01</v>
      </c>
      <c r="G367" s="12" t="n">
        <v>-12815.58</v>
      </c>
      <c r="H367" s="12" t="n">
        <v>0</v>
      </c>
      <c r="I367" s="12" t="n">
        <v>0.57</v>
      </c>
      <c r="J367" s="12" t="b">
        <v>0</v>
      </c>
    </row>
    <row r="368">
      <c r="A368" s="12" t="inlineStr">
        <is>
          <t>VS21</t>
        </is>
      </c>
      <c r="B368" s="12" t="b">
        <v>0</v>
      </c>
      <c r="C368" s="12" t="inlineStr">
        <is>
          <t>Hex Bars</t>
        </is>
      </c>
      <c r="D368" s="12" t="n">
        <v>7</v>
      </c>
      <c r="E368" s="12" t="n">
        <v>0.36</v>
      </c>
      <c r="F368" s="12" t="n">
        <v>52480.56</v>
      </c>
      <c r="G368" s="12" t="n">
        <v>-4723.83</v>
      </c>
      <c r="H368" s="12" t="n">
        <v>0</v>
      </c>
      <c r="I368" s="12" t="n">
        <v>1.71</v>
      </c>
      <c r="J368" s="12" t="b">
        <v>0</v>
      </c>
    </row>
    <row r="369">
      <c r="A369" s="12" t="inlineStr">
        <is>
          <t>VS21</t>
        </is>
      </c>
      <c r="B369" s="12" t="b">
        <v>0</v>
      </c>
      <c r="C369" s="12" t="inlineStr">
        <is>
          <t>MS Flats</t>
        </is>
      </c>
      <c r="D369" s="12" t="n">
        <v>3</v>
      </c>
      <c r="E369" s="12" t="n">
        <v>0.6</v>
      </c>
      <c r="F369" s="12" t="n">
        <v>36552.79</v>
      </c>
      <c r="G369" s="12" t="n">
        <v>10223.86</v>
      </c>
      <c r="H369" s="12" t="n">
        <v>0</v>
      </c>
      <c r="I369" s="12" t="n">
        <v>2.33</v>
      </c>
      <c r="J369" s="12" t="b">
        <v>1</v>
      </c>
    </row>
    <row r="370">
      <c r="A370" s="12" t="inlineStr">
        <is>
          <t>VS21</t>
        </is>
      </c>
      <c r="B370" s="12" t="b">
        <v>0</v>
      </c>
      <c r="C370" s="12" t="inlineStr">
        <is>
          <t>MS Pipes</t>
        </is>
      </c>
      <c r="D370" s="12" t="n">
        <v>6</v>
      </c>
      <c r="E370" s="12" t="n">
        <v>0.38</v>
      </c>
      <c r="F370" s="12" t="n">
        <v>45621.95</v>
      </c>
      <c r="G370" s="12" t="n">
        <v>-18938.25</v>
      </c>
      <c r="H370" s="12" t="n">
        <v>0</v>
      </c>
      <c r="I370" s="12" t="n">
        <v>1.83</v>
      </c>
      <c r="J370" s="12" t="b">
        <v>0</v>
      </c>
    </row>
    <row r="371">
      <c r="A371" s="12" t="inlineStr">
        <is>
          <t>VS21</t>
        </is>
      </c>
      <c r="B371" s="12" t="b">
        <v>0</v>
      </c>
      <c r="C371" s="12" t="inlineStr">
        <is>
          <t>MS Rods</t>
        </is>
      </c>
      <c r="D371" s="12" t="n">
        <v>6</v>
      </c>
      <c r="E371" s="12" t="n">
        <v>0.3</v>
      </c>
      <c r="F371" s="12" t="n">
        <v>32937.27</v>
      </c>
      <c r="G371" s="12" t="n">
        <v>-23237.04</v>
      </c>
      <c r="H371" s="12" t="n">
        <v>0</v>
      </c>
      <c r="I371" s="12" t="n">
        <v>1</v>
      </c>
      <c r="J371" s="12" t="b">
        <v>0</v>
      </c>
    </row>
    <row r="372">
      <c r="A372" s="12" t="inlineStr">
        <is>
          <t>VS21</t>
        </is>
      </c>
      <c r="B372" s="12" t="b">
        <v>0</v>
      </c>
      <c r="C372" s="12" t="inlineStr">
        <is>
          <t>MS Sheets</t>
        </is>
      </c>
      <c r="D372" s="12" t="n">
        <v>13</v>
      </c>
      <c r="E372" s="12" t="n">
        <v>0.51</v>
      </c>
      <c r="F372" s="12" t="n">
        <v>136703.78</v>
      </c>
      <c r="G372" s="12" t="n">
        <v>1177.4</v>
      </c>
      <c r="H372" s="12" t="n">
        <v>0</v>
      </c>
      <c r="I372" s="12" t="n">
        <v>1.77</v>
      </c>
      <c r="J372" s="12" t="b">
        <v>0</v>
      </c>
    </row>
    <row r="373">
      <c r="A373" s="12" t="inlineStr">
        <is>
          <t>VS21</t>
        </is>
      </c>
      <c r="B373" s="12" t="b">
        <v>0</v>
      </c>
      <c r="C373" s="12" t="inlineStr">
        <is>
          <t>SS Pipes</t>
        </is>
      </c>
      <c r="D373" s="12" t="n">
        <v>6</v>
      </c>
      <c r="E373" s="12" t="n">
        <v>0.43</v>
      </c>
      <c r="F373" s="12" t="n">
        <v>44444.18</v>
      </c>
      <c r="G373" s="12" t="n">
        <v>-23473.96</v>
      </c>
      <c r="H373" s="12" t="n">
        <v>0</v>
      </c>
      <c r="I373" s="12" t="n">
        <v>1.67</v>
      </c>
      <c r="J373" s="12" t="b">
        <v>0</v>
      </c>
    </row>
    <row r="374">
      <c r="A374" s="12" t="inlineStr">
        <is>
          <t>VS21</t>
        </is>
      </c>
      <c r="B374" s="12" t="b">
        <v>0</v>
      </c>
      <c r="C374" s="12" t="inlineStr">
        <is>
          <t>Spring Steel</t>
        </is>
      </c>
      <c r="D374" s="12" t="n">
        <v>7</v>
      </c>
      <c r="E374" s="12" t="n">
        <v>0.3</v>
      </c>
      <c r="F374" s="12" t="n">
        <v>62185.9</v>
      </c>
      <c r="G374" s="12" t="n">
        <v>-31479.04</v>
      </c>
      <c r="H374" s="12" t="n">
        <v>0</v>
      </c>
      <c r="I374" s="12" t="n">
        <v>1.57</v>
      </c>
      <c r="J374" s="12" t="b">
        <v>0</v>
      </c>
    </row>
    <row r="375">
      <c r="A375" s="12" t="inlineStr">
        <is>
          <t>VS21</t>
        </is>
      </c>
      <c r="B375" s="12" t="b">
        <v>0</v>
      </c>
      <c r="C375" s="12" t="inlineStr">
        <is>
          <t>Square/Rect Tubes</t>
        </is>
      </c>
      <c r="D375" s="12" t="n">
        <v>7</v>
      </c>
      <c r="E375" s="12" t="n">
        <v>0.63</v>
      </c>
      <c r="F375" s="12" t="n">
        <v>114164.43</v>
      </c>
      <c r="G375" s="12" t="n">
        <v>22236.51</v>
      </c>
      <c r="H375" s="12" t="n">
        <v>0</v>
      </c>
      <c r="I375" s="12" t="n">
        <v>1.57</v>
      </c>
      <c r="J375" s="12" t="b">
        <v>0</v>
      </c>
    </row>
    <row r="376">
      <c r="A376" s="12" t="inlineStr">
        <is>
          <t>VS21</t>
        </is>
      </c>
      <c r="B376" s="12" t="b">
        <v>0</v>
      </c>
      <c r="C376" s="12" t="inlineStr">
        <is>
          <t>Structural Steel</t>
        </is>
      </c>
      <c r="D376" s="12" t="n">
        <v>7</v>
      </c>
      <c r="E376" s="12" t="n">
        <v>0.36</v>
      </c>
      <c r="F376" s="12" t="n">
        <v>38887.37</v>
      </c>
      <c r="G376" s="12" t="n">
        <v>-25373.11</v>
      </c>
      <c r="H376" s="12" t="n">
        <v>0</v>
      </c>
      <c r="I376" s="12" t="n">
        <v>1.14</v>
      </c>
      <c r="J376" s="12" t="b">
        <v>0</v>
      </c>
    </row>
    <row r="377">
      <c r="A377" s="12" t="inlineStr">
        <is>
          <t>VS21</t>
        </is>
      </c>
      <c r="B377" s="12" t="b">
        <v>1</v>
      </c>
      <c r="C377" s="12" t="inlineStr">
        <is>
          <t>ERW Pipes</t>
        </is>
      </c>
      <c r="D377" s="12" t="n">
        <v>7</v>
      </c>
      <c r="E377" s="12" t="n">
        <v>0.52</v>
      </c>
      <c r="F377" s="12" t="n">
        <v>114960.85</v>
      </c>
      <c r="G377" s="12" t="n">
        <v>5079.74</v>
      </c>
      <c r="H377" s="12" t="n">
        <v>0</v>
      </c>
      <c r="I377" s="12" t="n">
        <v>1.29</v>
      </c>
      <c r="J377" s="12" t="b">
        <v>0</v>
      </c>
    </row>
    <row r="378">
      <c r="A378" s="12" t="inlineStr">
        <is>
          <t>VS21</t>
        </is>
      </c>
      <c r="B378" s="12" t="b">
        <v>1</v>
      </c>
      <c r="C378" s="12" t="inlineStr">
        <is>
          <t>GI Sheets</t>
        </is>
      </c>
      <c r="D378" s="12" t="n">
        <v>8</v>
      </c>
      <c r="E378" s="12" t="n">
        <v>0.37</v>
      </c>
      <c r="F378" s="12" t="n">
        <v>53738.53</v>
      </c>
      <c r="G378" s="12" t="n">
        <v>-18487.24</v>
      </c>
      <c r="H378" s="12" t="n">
        <v>0</v>
      </c>
      <c r="I378" s="12" t="n">
        <v>1.12</v>
      </c>
      <c r="J378" s="12" t="b">
        <v>0</v>
      </c>
    </row>
    <row r="379">
      <c r="A379" s="12" t="inlineStr">
        <is>
          <t>VS21</t>
        </is>
      </c>
      <c r="B379" s="12" t="b">
        <v>1</v>
      </c>
      <c r="C379" s="12" t="inlineStr">
        <is>
          <t>SS Sheets</t>
        </is>
      </c>
      <c r="D379" s="12" t="n">
        <v>7</v>
      </c>
      <c r="E379" s="12" t="n">
        <v>0.51</v>
      </c>
      <c r="F379" s="12" t="n">
        <v>101023.82</v>
      </c>
      <c r="G379" s="12" t="n">
        <v>3519.17</v>
      </c>
      <c r="H379" s="12" t="n">
        <v>0</v>
      </c>
      <c r="I379" s="12" t="n">
        <v>2</v>
      </c>
      <c r="J379" s="12" t="b">
        <v>0</v>
      </c>
    </row>
    <row r="380">
      <c r="A380" s="12" t="inlineStr">
        <is>
          <t>VS22</t>
        </is>
      </c>
      <c r="B380" s="12" t="b">
        <v>0</v>
      </c>
      <c r="C380" s="12" t="inlineStr">
        <is>
          <t>Angles &amp; Channels</t>
        </is>
      </c>
      <c r="D380" s="12" t="n">
        <v>11</v>
      </c>
      <c r="E380" s="12" t="n">
        <v>0.5</v>
      </c>
      <c r="F380" s="12" t="n">
        <v>112640.48</v>
      </c>
      <c r="G380" s="12" t="n">
        <v>3074.68</v>
      </c>
      <c r="H380" s="12" t="n">
        <v>0</v>
      </c>
      <c r="I380" s="12" t="n">
        <v>1.91</v>
      </c>
      <c r="J380" s="12" t="b">
        <v>0</v>
      </c>
    </row>
    <row r="381">
      <c r="A381" s="12" t="inlineStr">
        <is>
          <t>VS22</t>
        </is>
      </c>
      <c r="B381" s="12" t="b">
        <v>0</v>
      </c>
      <c r="C381" s="12" t="inlineStr">
        <is>
          <t>CR Sheets</t>
        </is>
      </c>
      <c r="D381" s="12" t="n">
        <v>3</v>
      </c>
      <c r="E381" s="12" t="n">
        <v>0.54</v>
      </c>
      <c r="F381" s="12" t="n">
        <v>32935.67</v>
      </c>
      <c r="G381" s="12" t="n">
        <v>1932.79</v>
      </c>
      <c r="H381" s="12" t="n">
        <v>0</v>
      </c>
      <c r="I381" s="12" t="n">
        <v>0.33</v>
      </c>
      <c r="J381" s="12" t="b">
        <v>1</v>
      </c>
    </row>
    <row r="382">
      <c r="A382" s="12" t="inlineStr">
        <is>
          <t>VS22</t>
        </is>
      </c>
      <c r="B382" s="12" t="b">
        <v>0</v>
      </c>
      <c r="C382" s="12" t="inlineStr">
        <is>
          <t>ERW Pipes</t>
        </is>
      </c>
      <c r="D382" s="12" t="n">
        <v>2</v>
      </c>
      <c r="E382" s="12" t="n">
        <v>0.4</v>
      </c>
      <c r="F382" s="12" t="n">
        <v>18682.46</v>
      </c>
      <c r="G382" s="12" t="n">
        <v>-5963.31</v>
      </c>
      <c r="H382" s="12" t="n">
        <v>0</v>
      </c>
      <c r="I382" s="12" t="n">
        <v>1.5</v>
      </c>
      <c r="J382" s="12" t="b">
        <v>1</v>
      </c>
    </row>
    <row r="383">
      <c r="A383" s="12" t="inlineStr">
        <is>
          <t>VS22</t>
        </is>
      </c>
      <c r="B383" s="12" t="b">
        <v>0</v>
      </c>
      <c r="C383" s="12" t="inlineStr">
        <is>
          <t>Fasteners &amp; Fittings</t>
        </is>
      </c>
      <c r="D383" s="12" t="n">
        <v>10</v>
      </c>
      <c r="E383" s="12" t="n">
        <v>0.37</v>
      </c>
      <c r="F383" s="12" t="n">
        <v>79372.64999999999</v>
      </c>
      <c r="G383" s="12" t="n">
        <v>-31933.32</v>
      </c>
      <c r="H383" s="12" t="n">
        <v>0</v>
      </c>
      <c r="I383" s="12" t="n">
        <v>2.3</v>
      </c>
      <c r="J383" s="12" t="b">
        <v>0</v>
      </c>
    </row>
    <row r="384">
      <c r="A384" s="12" t="inlineStr">
        <is>
          <t>VS22</t>
        </is>
      </c>
      <c r="B384" s="12" t="b">
        <v>0</v>
      </c>
      <c r="C384" s="12" t="inlineStr">
        <is>
          <t>GI Pipes</t>
        </is>
      </c>
      <c r="D384" s="12" t="n">
        <v>9</v>
      </c>
      <c r="E384" s="12" t="n">
        <v>0.45</v>
      </c>
      <c r="F384" s="12" t="n">
        <v>71220.71000000001</v>
      </c>
      <c r="G384" s="12" t="n">
        <v>-3229.15</v>
      </c>
      <c r="H384" s="12" t="n">
        <v>0</v>
      </c>
      <c r="I384" s="12" t="n">
        <v>1.44</v>
      </c>
      <c r="J384" s="12" t="b">
        <v>0</v>
      </c>
    </row>
    <row r="385">
      <c r="A385" s="12" t="inlineStr">
        <is>
          <t>VS22</t>
        </is>
      </c>
      <c r="B385" s="12" t="b">
        <v>0</v>
      </c>
      <c r="C385" s="12" t="inlineStr">
        <is>
          <t>GI Sheets</t>
        </is>
      </c>
      <c r="D385" s="12" t="n">
        <v>7</v>
      </c>
      <c r="E385" s="12" t="n">
        <v>0.5600000000000001</v>
      </c>
      <c r="F385" s="12" t="n">
        <v>99165.5</v>
      </c>
      <c r="G385" s="12" t="n">
        <v>13381.29</v>
      </c>
      <c r="H385" s="12" t="n">
        <v>0</v>
      </c>
      <c r="I385" s="12" t="n">
        <v>2.43</v>
      </c>
      <c r="J385" s="12" t="b">
        <v>0</v>
      </c>
    </row>
    <row r="386">
      <c r="A386" s="12" t="inlineStr">
        <is>
          <t>VS22</t>
        </is>
      </c>
      <c r="B386" s="12" t="b">
        <v>0</v>
      </c>
      <c r="C386" s="12" t="inlineStr">
        <is>
          <t>GI Wire</t>
        </is>
      </c>
      <c r="D386" s="12" t="n">
        <v>8</v>
      </c>
      <c r="E386" s="12" t="n">
        <v>0.44</v>
      </c>
      <c r="F386" s="12" t="n">
        <v>87181.78999999999</v>
      </c>
      <c r="G386" s="12" t="n">
        <v>-10193.73</v>
      </c>
      <c r="H386" s="12" t="n">
        <v>0</v>
      </c>
      <c r="I386" s="12" t="n">
        <v>1.75</v>
      </c>
      <c r="J386" s="12" t="b">
        <v>0</v>
      </c>
    </row>
    <row r="387">
      <c r="A387" s="12" t="inlineStr">
        <is>
          <t>VS22</t>
        </is>
      </c>
      <c r="B387" s="12" t="b">
        <v>0</v>
      </c>
      <c r="C387" s="12" t="inlineStr">
        <is>
          <t>HR Coils</t>
        </is>
      </c>
      <c r="D387" s="12" t="n">
        <v>13</v>
      </c>
      <c r="E387" s="12" t="n">
        <v>0.42</v>
      </c>
      <c r="F387" s="12" t="n">
        <v>98186.85000000001</v>
      </c>
      <c r="G387" s="12" t="n">
        <v>-19872.26</v>
      </c>
      <c r="H387" s="12" t="n">
        <v>0</v>
      </c>
      <c r="I387" s="12" t="n">
        <v>1.69</v>
      </c>
      <c r="J387" s="12" t="b">
        <v>0</v>
      </c>
    </row>
    <row r="388">
      <c r="A388" s="12" t="inlineStr">
        <is>
          <t>VS22</t>
        </is>
      </c>
      <c r="B388" s="12" t="b">
        <v>0</v>
      </c>
      <c r="C388" s="12" t="inlineStr">
        <is>
          <t>Hex Bars</t>
        </is>
      </c>
      <c r="D388" s="12" t="n">
        <v>6</v>
      </c>
      <c r="E388" s="12" t="n">
        <v>0.47</v>
      </c>
      <c r="F388" s="12" t="n">
        <v>77852.46000000001</v>
      </c>
      <c r="G388" s="12" t="n">
        <v>-4845.71</v>
      </c>
      <c r="H388" s="12" t="n">
        <v>0</v>
      </c>
      <c r="I388" s="12" t="n">
        <v>1.67</v>
      </c>
      <c r="J388" s="12" t="b">
        <v>0</v>
      </c>
    </row>
    <row r="389">
      <c r="A389" s="12" t="inlineStr">
        <is>
          <t>VS22</t>
        </is>
      </c>
      <c r="B389" s="12" t="b">
        <v>0</v>
      </c>
      <c r="C389" s="12" t="inlineStr">
        <is>
          <t>MS Rods</t>
        </is>
      </c>
      <c r="D389" s="12" t="n">
        <v>7</v>
      </c>
      <c r="E389" s="12" t="n">
        <v>0.34</v>
      </c>
      <c r="F389" s="12" t="n">
        <v>68337.75</v>
      </c>
      <c r="G389" s="12" t="n">
        <v>-25929.99</v>
      </c>
      <c r="H389" s="12" t="n">
        <v>0</v>
      </c>
      <c r="I389" s="12" t="n">
        <v>1.71</v>
      </c>
      <c r="J389" s="12" t="b">
        <v>0</v>
      </c>
    </row>
    <row r="390">
      <c r="A390" s="12" t="inlineStr">
        <is>
          <t>VS22</t>
        </is>
      </c>
      <c r="B390" s="12" t="b">
        <v>0</v>
      </c>
      <c r="C390" s="12" t="inlineStr">
        <is>
          <t>MS Sheets</t>
        </is>
      </c>
      <c r="D390" s="12" t="n">
        <v>6</v>
      </c>
      <c r="E390" s="12" t="n">
        <v>0.49</v>
      </c>
      <c r="F390" s="12" t="n">
        <v>81053.02</v>
      </c>
      <c r="G390" s="12" t="n">
        <v>240.96</v>
      </c>
      <c r="H390" s="12" t="n">
        <v>0</v>
      </c>
      <c r="I390" s="12" t="n">
        <v>1.67</v>
      </c>
      <c r="J390" s="12" t="b">
        <v>0</v>
      </c>
    </row>
    <row r="391">
      <c r="A391" s="12" t="inlineStr">
        <is>
          <t>VS22</t>
        </is>
      </c>
      <c r="B391" s="12" t="b">
        <v>0</v>
      </c>
      <c r="C391" s="12" t="inlineStr">
        <is>
          <t>SS Pipes</t>
        </is>
      </c>
      <c r="D391" s="12" t="n">
        <v>10</v>
      </c>
      <c r="E391" s="12" t="n">
        <v>0.5</v>
      </c>
      <c r="F391" s="12" t="n">
        <v>126256.25</v>
      </c>
      <c r="G391" s="12" t="n">
        <v>5229.35</v>
      </c>
      <c r="H391" s="12" t="n">
        <v>0</v>
      </c>
      <c r="I391" s="12" t="n">
        <v>1.7</v>
      </c>
      <c r="J391" s="12" t="b">
        <v>0</v>
      </c>
    </row>
    <row r="392">
      <c r="A392" s="12" t="inlineStr">
        <is>
          <t>VS22</t>
        </is>
      </c>
      <c r="B392" s="12" t="b">
        <v>0</v>
      </c>
      <c r="C392" s="12" t="inlineStr">
        <is>
          <t>SS Sheets</t>
        </is>
      </c>
      <c r="D392" s="12" t="n">
        <v>9</v>
      </c>
      <c r="E392" s="12" t="n">
        <v>0.5</v>
      </c>
      <c r="F392" s="12" t="n">
        <v>75320.25999999999</v>
      </c>
      <c r="G392" s="12" t="n">
        <v>-9835.32</v>
      </c>
      <c r="H392" s="12" t="n">
        <v>0</v>
      </c>
      <c r="I392" s="12" t="n">
        <v>2.33</v>
      </c>
      <c r="J392" s="12" t="b">
        <v>0</v>
      </c>
    </row>
    <row r="393">
      <c r="A393" s="12" t="inlineStr">
        <is>
          <t>VS22</t>
        </is>
      </c>
      <c r="B393" s="12" t="b">
        <v>0</v>
      </c>
      <c r="C393" s="12" t="inlineStr">
        <is>
          <t>Spring Steel</t>
        </is>
      </c>
      <c r="D393" s="12" t="n">
        <v>4</v>
      </c>
      <c r="E393" s="12" t="n">
        <v>0.54</v>
      </c>
      <c r="F393" s="12" t="n">
        <v>59238.19</v>
      </c>
      <c r="G393" s="12" t="n">
        <v>-1270.95</v>
      </c>
      <c r="H393" s="12" t="n">
        <v>0</v>
      </c>
      <c r="I393" s="12" t="n">
        <v>1.5</v>
      </c>
      <c r="J393" s="12" t="b">
        <v>1</v>
      </c>
    </row>
    <row r="394">
      <c r="A394" s="12" t="inlineStr">
        <is>
          <t>VS22</t>
        </is>
      </c>
      <c r="B394" s="12" t="b">
        <v>0</v>
      </c>
      <c r="C394" s="12" t="inlineStr">
        <is>
          <t>Square/Rect Tubes</t>
        </is>
      </c>
      <c r="D394" s="12" t="n">
        <v>10</v>
      </c>
      <c r="E394" s="12" t="n">
        <v>0.61</v>
      </c>
      <c r="F394" s="12" t="n">
        <v>66842.8</v>
      </c>
      <c r="G394" s="12" t="n">
        <v>7693.96</v>
      </c>
      <c r="H394" s="12" t="n">
        <v>0</v>
      </c>
      <c r="I394" s="12" t="n">
        <v>1.4</v>
      </c>
      <c r="J394" s="12" t="b">
        <v>0</v>
      </c>
    </row>
    <row r="395">
      <c r="A395" s="12" t="inlineStr">
        <is>
          <t>VS22</t>
        </is>
      </c>
      <c r="B395" s="12" t="b">
        <v>1</v>
      </c>
      <c r="C395" s="12" t="inlineStr">
        <is>
          <t>MS Flats</t>
        </is>
      </c>
      <c r="D395" s="12" t="n">
        <v>6</v>
      </c>
      <c r="E395" s="12" t="n">
        <v>0.43</v>
      </c>
      <c r="F395" s="12" t="n">
        <v>36414.61</v>
      </c>
      <c r="G395" s="12" t="n">
        <v>-7466.85</v>
      </c>
      <c r="H395" s="12" t="n">
        <v>0</v>
      </c>
      <c r="I395" s="12" t="n">
        <v>1.17</v>
      </c>
      <c r="J395" s="12" t="b">
        <v>0</v>
      </c>
    </row>
    <row r="396">
      <c r="A396" s="12" t="inlineStr">
        <is>
          <t>VS22</t>
        </is>
      </c>
      <c r="B396" s="12" t="b">
        <v>1</v>
      </c>
      <c r="C396" s="12" t="inlineStr">
        <is>
          <t>MS Pipes</t>
        </is>
      </c>
      <c r="D396" s="12" t="n">
        <v>4</v>
      </c>
      <c r="E396" s="12" t="n">
        <v>0.35</v>
      </c>
      <c r="F396" s="12" t="n">
        <v>22502.85</v>
      </c>
      <c r="G396" s="12" t="n">
        <v>-12163.27</v>
      </c>
      <c r="H396" s="12" t="n">
        <v>0</v>
      </c>
      <c r="I396" s="12" t="n">
        <v>1.75</v>
      </c>
      <c r="J396" s="12" t="b">
        <v>1</v>
      </c>
    </row>
    <row r="397">
      <c r="A397" s="12" t="inlineStr">
        <is>
          <t>VS22</t>
        </is>
      </c>
      <c r="B397" s="12" t="b">
        <v>1</v>
      </c>
      <c r="C397" s="12" t="inlineStr">
        <is>
          <t>Structural Steel</t>
        </is>
      </c>
      <c r="D397" s="12" t="n">
        <v>3</v>
      </c>
      <c r="E397" s="12" t="n">
        <v>0.14</v>
      </c>
      <c r="F397" s="12" t="n">
        <v>5822.62</v>
      </c>
      <c r="G397" s="12" t="n">
        <v>-15403.12</v>
      </c>
      <c r="H397" s="12" t="n">
        <v>0</v>
      </c>
      <c r="I397" s="12" t="n">
        <v>1.33</v>
      </c>
      <c r="J397" s="12" t="b">
        <v>1</v>
      </c>
    </row>
    <row r="398">
      <c r="A398" s="12" t="inlineStr">
        <is>
          <t>VS23</t>
        </is>
      </c>
      <c r="B398" s="12" t="b">
        <v>0</v>
      </c>
      <c r="C398" s="12" t="inlineStr">
        <is>
          <t>Angles &amp; Channels</t>
        </is>
      </c>
      <c r="D398" s="12" t="n">
        <v>6</v>
      </c>
      <c r="E398" s="12" t="n">
        <v>0.45</v>
      </c>
      <c r="F398" s="12" t="n">
        <v>72650.74000000001</v>
      </c>
      <c r="G398" s="12" t="n">
        <v>-11312.98</v>
      </c>
      <c r="H398" s="12" t="n">
        <v>0</v>
      </c>
      <c r="I398" s="12" t="n">
        <v>1.33</v>
      </c>
      <c r="J398" s="12" t="b">
        <v>0</v>
      </c>
    </row>
    <row r="399">
      <c r="A399" s="12" t="inlineStr">
        <is>
          <t>VS23</t>
        </is>
      </c>
      <c r="B399" s="12" t="b">
        <v>0</v>
      </c>
      <c r="C399" s="12" t="inlineStr">
        <is>
          <t>CR Sheets</t>
        </is>
      </c>
      <c r="D399" s="12" t="n">
        <v>3</v>
      </c>
      <c r="E399" s="12" t="n">
        <v>0.46</v>
      </c>
      <c r="F399" s="12" t="n">
        <v>21096.07</v>
      </c>
      <c r="G399" s="12" t="n">
        <v>-4184.19</v>
      </c>
      <c r="H399" s="12" t="n">
        <v>0</v>
      </c>
      <c r="I399" s="12" t="n">
        <v>1.33</v>
      </c>
      <c r="J399" s="12" t="b">
        <v>1</v>
      </c>
    </row>
    <row r="400">
      <c r="A400" s="12" t="inlineStr">
        <is>
          <t>VS23</t>
        </is>
      </c>
      <c r="B400" s="12" t="b">
        <v>0</v>
      </c>
      <c r="C400" s="12" t="inlineStr">
        <is>
          <t>ERW Pipes</t>
        </is>
      </c>
      <c r="D400" s="12" t="n">
        <v>6</v>
      </c>
      <c r="E400" s="12" t="n">
        <v>0.4</v>
      </c>
      <c r="F400" s="12" t="n">
        <v>52925.97</v>
      </c>
      <c r="G400" s="12" t="n">
        <v>-18319.81</v>
      </c>
      <c r="H400" s="12" t="n">
        <v>0</v>
      </c>
      <c r="I400" s="12" t="n">
        <v>0.83</v>
      </c>
      <c r="J400" s="12" t="b">
        <v>0</v>
      </c>
    </row>
    <row r="401">
      <c r="A401" s="12" t="inlineStr">
        <is>
          <t>VS23</t>
        </is>
      </c>
      <c r="B401" s="12" t="b">
        <v>0</v>
      </c>
      <c r="C401" s="12" t="inlineStr">
        <is>
          <t>Fasteners &amp; Fittings</t>
        </is>
      </c>
      <c r="D401" s="12" t="n">
        <v>11</v>
      </c>
      <c r="E401" s="12" t="n">
        <v>0.42</v>
      </c>
      <c r="F401" s="12" t="n">
        <v>70186.46000000001</v>
      </c>
      <c r="G401" s="12" t="n">
        <v>-18586.33</v>
      </c>
      <c r="H401" s="12" t="n">
        <v>0</v>
      </c>
      <c r="I401" s="12" t="n">
        <v>2.18</v>
      </c>
      <c r="J401" s="12" t="b">
        <v>0</v>
      </c>
    </row>
    <row r="402">
      <c r="A402" s="12" t="inlineStr">
        <is>
          <t>VS23</t>
        </is>
      </c>
      <c r="B402" s="12" t="b">
        <v>0</v>
      </c>
      <c r="C402" s="12" t="inlineStr">
        <is>
          <t>GI Pipes</t>
        </is>
      </c>
      <c r="D402" s="12" t="n">
        <v>7</v>
      </c>
      <c r="E402" s="12" t="n">
        <v>0.52</v>
      </c>
      <c r="F402" s="12" t="n">
        <v>48567.35</v>
      </c>
      <c r="G402" s="12" t="n">
        <v>418.7</v>
      </c>
      <c r="H402" s="12" t="n">
        <v>0</v>
      </c>
      <c r="I402" s="12" t="n">
        <v>1.86</v>
      </c>
      <c r="J402" s="12" t="b">
        <v>0</v>
      </c>
    </row>
    <row r="403">
      <c r="A403" s="12" t="inlineStr">
        <is>
          <t>VS23</t>
        </is>
      </c>
      <c r="B403" s="12" t="b">
        <v>0</v>
      </c>
      <c r="C403" s="12" t="inlineStr">
        <is>
          <t>GI Sheets</t>
        </is>
      </c>
      <c r="D403" s="12" t="n">
        <v>6</v>
      </c>
      <c r="E403" s="12" t="n">
        <v>0.5</v>
      </c>
      <c r="F403" s="12" t="n">
        <v>57939.66</v>
      </c>
      <c r="G403" s="12" t="n">
        <v>-4373.38</v>
      </c>
      <c r="H403" s="12" t="n">
        <v>0</v>
      </c>
      <c r="I403" s="12" t="n">
        <v>1.67</v>
      </c>
      <c r="J403" s="12" t="b">
        <v>0</v>
      </c>
    </row>
    <row r="404">
      <c r="A404" s="12" t="inlineStr">
        <is>
          <t>VS23</t>
        </is>
      </c>
      <c r="B404" s="12" t="b">
        <v>0</v>
      </c>
      <c r="C404" s="12" t="inlineStr">
        <is>
          <t>GI Wire</t>
        </is>
      </c>
      <c r="D404" s="12" t="n">
        <v>4</v>
      </c>
      <c r="E404" s="12" t="n">
        <v>0.35</v>
      </c>
      <c r="F404" s="12" t="n">
        <v>39942.62</v>
      </c>
      <c r="G404" s="12" t="n">
        <v>-16072.3</v>
      </c>
      <c r="H404" s="12" t="n">
        <v>0</v>
      </c>
      <c r="I404" s="12" t="n">
        <v>2</v>
      </c>
      <c r="J404" s="12" t="b">
        <v>1</v>
      </c>
    </row>
    <row r="405">
      <c r="A405" s="12" t="inlineStr">
        <is>
          <t>VS23</t>
        </is>
      </c>
      <c r="B405" s="12" t="b">
        <v>0</v>
      </c>
      <c r="C405" s="12" t="inlineStr">
        <is>
          <t>Hex Bars</t>
        </is>
      </c>
      <c r="D405" s="12" t="n">
        <v>9</v>
      </c>
      <c r="E405" s="12" t="n">
        <v>0.61</v>
      </c>
      <c r="F405" s="12" t="n">
        <v>89132.67999999999</v>
      </c>
      <c r="G405" s="12" t="n">
        <v>12782.16</v>
      </c>
      <c r="H405" s="12" t="n">
        <v>0</v>
      </c>
      <c r="I405" s="12" t="n">
        <v>1.44</v>
      </c>
      <c r="J405" s="12" t="b">
        <v>0</v>
      </c>
    </row>
    <row r="406">
      <c r="A406" s="12" t="inlineStr">
        <is>
          <t>VS23</t>
        </is>
      </c>
      <c r="B406" s="12" t="b">
        <v>0</v>
      </c>
      <c r="C406" s="12" t="inlineStr">
        <is>
          <t>MS Flats</t>
        </is>
      </c>
      <c r="D406" s="12" t="n">
        <v>5</v>
      </c>
      <c r="E406" s="12" t="n">
        <v>0.74</v>
      </c>
      <c r="F406" s="12" t="n">
        <v>65280.74</v>
      </c>
      <c r="G406" s="12" t="n">
        <v>21100.26</v>
      </c>
      <c r="H406" s="12" t="n">
        <v>0</v>
      </c>
      <c r="I406" s="12" t="n">
        <v>1</v>
      </c>
      <c r="J406" s="12" t="b">
        <v>0</v>
      </c>
    </row>
    <row r="407">
      <c r="A407" s="12" t="inlineStr">
        <is>
          <t>VS23</t>
        </is>
      </c>
      <c r="B407" s="12" t="b">
        <v>0</v>
      </c>
      <c r="C407" s="12" t="inlineStr">
        <is>
          <t>MS Pipes</t>
        </is>
      </c>
      <c r="D407" s="12" t="n">
        <v>10</v>
      </c>
      <c r="E407" s="12" t="n">
        <v>0.55</v>
      </c>
      <c r="F407" s="12" t="n">
        <v>135036.5</v>
      </c>
      <c r="G407" s="12" t="n">
        <v>5799.61</v>
      </c>
      <c r="H407" s="12" t="n">
        <v>0</v>
      </c>
      <c r="I407" s="12" t="n">
        <v>0.9</v>
      </c>
      <c r="J407" s="12" t="b">
        <v>0</v>
      </c>
    </row>
    <row r="408">
      <c r="A408" s="12" t="inlineStr">
        <is>
          <t>VS23</t>
        </is>
      </c>
      <c r="B408" s="12" t="b">
        <v>0</v>
      </c>
      <c r="C408" s="12" t="inlineStr">
        <is>
          <t>MS Rods</t>
        </is>
      </c>
      <c r="D408" s="12" t="n">
        <v>7</v>
      </c>
      <c r="E408" s="12" t="n">
        <v>0.52</v>
      </c>
      <c r="F408" s="12" t="n">
        <v>68753.00999999999</v>
      </c>
      <c r="G408" s="12" t="n">
        <v>1058.74</v>
      </c>
      <c r="H408" s="12" t="n">
        <v>0</v>
      </c>
      <c r="I408" s="12" t="n">
        <v>2</v>
      </c>
      <c r="J408" s="12" t="b">
        <v>0</v>
      </c>
    </row>
    <row r="409">
      <c r="A409" s="12" t="inlineStr">
        <is>
          <t>VS23</t>
        </is>
      </c>
      <c r="B409" s="12" t="b">
        <v>0</v>
      </c>
      <c r="C409" s="12" t="inlineStr">
        <is>
          <t>MS Sheets</t>
        </is>
      </c>
      <c r="D409" s="12" t="n">
        <v>8</v>
      </c>
      <c r="E409" s="12" t="n">
        <v>0.75</v>
      </c>
      <c r="F409" s="12" t="n">
        <v>189859.11</v>
      </c>
      <c r="G409" s="12" t="n">
        <v>58958.91</v>
      </c>
      <c r="H409" s="12" t="n">
        <v>0</v>
      </c>
      <c r="I409" s="12" t="n">
        <v>2</v>
      </c>
      <c r="J409" s="12" t="b">
        <v>0</v>
      </c>
    </row>
    <row r="410">
      <c r="A410" s="12" t="inlineStr">
        <is>
          <t>VS23</t>
        </is>
      </c>
      <c r="B410" s="12" t="b">
        <v>0</v>
      </c>
      <c r="C410" s="12" t="inlineStr">
        <is>
          <t>SS Pipes</t>
        </is>
      </c>
      <c r="D410" s="12" t="n">
        <v>14</v>
      </c>
      <c r="E410" s="12" t="n">
        <v>0.45</v>
      </c>
      <c r="F410" s="12" t="n">
        <v>131359.78</v>
      </c>
      <c r="G410" s="12" t="n">
        <v>-15363.63</v>
      </c>
      <c r="H410" s="12" t="n">
        <v>0</v>
      </c>
      <c r="I410" s="12" t="n">
        <v>1.14</v>
      </c>
      <c r="J410" s="12" t="b">
        <v>0</v>
      </c>
    </row>
    <row r="411">
      <c r="A411" s="12" t="inlineStr">
        <is>
          <t>VS23</t>
        </is>
      </c>
      <c r="B411" s="12" t="b">
        <v>0</v>
      </c>
      <c r="C411" s="12" t="inlineStr">
        <is>
          <t>SS Sheets</t>
        </is>
      </c>
      <c r="D411" s="12" t="n">
        <v>10</v>
      </c>
      <c r="E411" s="12" t="n">
        <v>0.55</v>
      </c>
      <c r="F411" s="12" t="n">
        <v>43317.01</v>
      </c>
      <c r="G411" s="12" t="n">
        <v>4239.27</v>
      </c>
      <c r="H411" s="12" t="n">
        <v>0</v>
      </c>
      <c r="I411" s="12" t="n">
        <v>1.2</v>
      </c>
      <c r="J411" s="12" t="b">
        <v>0</v>
      </c>
    </row>
    <row r="412">
      <c r="A412" s="12" t="inlineStr">
        <is>
          <t>VS23</t>
        </is>
      </c>
      <c r="B412" s="12" t="b">
        <v>0</v>
      </c>
      <c r="C412" s="12" t="inlineStr">
        <is>
          <t>Spring Steel</t>
        </is>
      </c>
      <c r="D412" s="12" t="n">
        <v>7</v>
      </c>
      <c r="E412" s="12" t="n">
        <v>0.55</v>
      </c>
      <c r="F412" s="12" t="n">
        <v>63976.96</v>
      </c>
      <c r="G412" s="12" t="n">
        <v>4714.28</v>
      </c>
      <c r="H412" s="12" t="n">
        <v>0</v>
      </c>
      <c r="I412" s="12" t="n">
        <v>1.14</v>
      </c>
      <c r="J412" s="12" t="b">
        <v>0</v>
      </c>
    </row>
    <row r="413">
      <c r="A413" s="12" t="inlineStr">
        <is>
          <t>VS23</t>
        </is>
      </c>
      <c r="B413" s="12" t="b">
        <v>0</v>
      </c>
      <c r="C413" s="12" t="inlineStr">
        <is>
          <t>Square/Rect Tubes</t>
        </is>
      </c>
      <c r="D413" s="12" t="n">
        <v>5</v>
      </c>
      <c r="E413" s="12" t="n">
        <v>0.29</v>
      </c>
      <c r="F413" s="12" t="n">
        <v>26089.37</v>
      </c>
      <c r="G413" s="12" t="n">
        <v>-19817.49</v>
      </c>
      <c r="H413" s="12" t="n">
        <v>0</v>
      </c>
      <c r="I413" s="12" t="n">
        <v>1.6</v>
      </c>
      <c r="J413" s="12" t="b">
        <v>0</v>
      </c>
    </row>
    <row r="414">
      <c r="A414" s="12" t="inlineStr">
        <is>
          <t>VS23</t>
        </is>
      </c>
      <c r="B414" s="12" t="b">
        <v>0</v>
      </c>
      <c r="C414" s="12" t="inlineStr">
        <is>
          <t>Structural Steel</t>
        </is>
      </c>
      <c r="D414" s="12" t="n">
        <v>4</v>
      </c>
      <c r="E414" s="12" t="n">
        <v>0.25</v>
      </c>
      <c r="F414" s="12" t="n">
        <v>27947.72</v>
      </c>
      <c r="G414" s="12" t="n">
        <v>-23473.79</v>
      </c>
      <c r="H414" s="12" t="n">
        <v>0</v>
      </c>
      <c r="I414" s="12" t="n">
        <v>1</v>
      </c>
      <c r="J414" s="12" t="b">
        <v>1</v>
      </c>
    </row>
    <row r="415">
      <c r="A415" s="12" t="inlineStr">
        <is>
          <t>VS23</t>
        </is>
      </c>
      <c r="B415" s="12" t="b">
        <v>1</v>
      </c>
      <c r="C415" s="12" t="inlineStr">
        <is>
          <t>HR Coils</t>
        </is>
      </c>
      <c r="D415" s="12" t="n">
        <v>6</v>
      </c>
      <c r="E415" s="12" t="n">
        <v>0.71</v>
      </c>
      <c r="F415" s="12" t="n">
        <v>54877.91</v>
      </c>
      <c r="G415" s="12" t="n">
        <v>15008.01</v>
      </c>
      <c r="H415" s="12" t="n">
        <v>0</v>
      </c>
      <c r="I415" s="12" t="n">
        <v>1</v>
      </c>
      <c r="J415" s="12" t="b">
        <v>0</v>
      </c>
    </row>
    <row r="416">
      <c r="A416" s="12" t="inlineStr">
        <is>
          <t>VS24</t>
        </is>
      </c>
      <c r="B416" s="12" t="b">
        <v>0</v>
      </c>
      <c r="C416" s="12" t="inlineStr">
        <is>
          <t>Angles &amp; Channels</t>
        </is>
      </c>
      <c r="D416" s="12" t="n">
        <v>5</v>
      </c>
      <c r="E416" s="12" t="n">
        <v>0.79</v>
      </c>
      <c r="F416" s="12" t="n">
        <v>67597.72</v>
      </c>
      <c r="G416" s="12" t="n">
        <v>24498.6</v>
      </c>
      <c r="H416" s="12" t="n">
        <v>0</v>
      </c>
      <c r="I416" s="12" t="n">
        <v>1.4</v>
      </c>
      <c r="J416" s="12" t="b">
        <v>0</v>
      </c>
    </row>
    <row r="417">
      <c r="A417" s="12" t="inlineStr">
        <is>
          <t>VS24</t>
        </is>
      </c>
      <c r="B417" s="12" t="b">
        <v>0</v>
      </c>
      <c r="C417" s="12" t="inlineStr">
        <is>
          <t>CR Sheets</t>
        </is>
      </c>
      <c r="D417" s="12" t="n">
        <v>7</v>
      </c>
      <c r="E417" s="12" t="n">
        <v>0.55</v>
      </c>
      <c r="F417" s="12" t="n">
        <v>75662.81</v>
      </c>
      <c r="G417" s="12" t="n">
        <v>6477.6</v>
      </c>
      <c r="H417" s="12" t="n">
        <v>0</v>
      </c>
      <c r="I417" s="12" t="n">
        <v>0.71</v>
      </c>
      <c r="J417" s="12" t="b">
        <v>0</v>
      </c>
    </row>
    <row r="418">
      <c r="A418" s="12" t="inlineStr">
        <is>
          <t>VS24</t>
        </is>
      </c>
      <c r="B418" s="12" t="b">
        <v>0</v>
      </c>
      <c r="C418" s="12" t="inlineStr">
        <is>
          <t>ERW Pipes</t>
        </is>
      </c>
      <c r="D418" s="12" t="n">
        <v>7</v>
      </c>
      <c r="E418" s="12" t="n">
        <v>0.33</v>
      </c>
      <c r="F418" s="12" t="n">
        <v>40826.16</v>
      </c>
      <c r="G418" s="12" t="n">
        <v>-23674.91</v>
      </c>
      <c r="H418" s="12" t="n">
        <v>0</v>
      </c>
      <c r="I418" s="12" t="n">
        <v>1.14</v>
      </c>
      <c r="J418" s="12" t="b">
        <v>0</v>
      </c>
    </row>
    <row r="419">
      <c r="A419" s="12" t="inlineStr">
        <is>
          <t>VS24</t>
        </is>
      </c>
      <c r="B419" s="12" t="b">
        <v>0</v>
      </c>
      <c r="C419" s="12" t="inlineStr">
        <is>
          <t>Fasteners &amp; Fittings</t>
        </is>
      </c>
      <c r="D419" s="12" t="n">
        <v>11</v>
      </c>
      <c r="E419" s="12" t="n">
        <v>0.47</v>
      </c>
      <c r="F419" s="12" t="n">
        <v>96775.89</v>
      </c>
      <c r="G419" s="12" t="n">
        <v>-3761.41</v>
      </c>
      <c r="H419" s="12" t="n">
        <v>0</v>
      </c>
      <c r="I419" s="12" t="n">
        <v>2.18</v>
      </c>
      <c r="J419" s="12" t="b">
        <v>0</v>
      </c>
    </row>
    <row r="420">
      <c r="A420" s="12" t="inlineStr">
        <is>
          <t>VS24</t>
        </is>
      </c>
      <c r="B420" s="12" t="b">
        <v>0</v>
      </c>
      <c r="C420" s="12" t="inlineStr">
        <is>
          <t>GI Pipes</t>
        </is>
      </c>
      <c r="D420" s="12" t="n">
        <v>9</v>
      </c>
      <c r="E420" s="12" t="n">
        <v>0.52</v>
      </c>
      <c r="F420" s="12" t="n">
        <v>125687.33</v>
      </c>
      <c r="G420" s="12" t="n">
        <v>2643.44</v>
      </c>
      <c r="H420" s="12" t="n">
        <v>0</v>
      </c>
      <c r="I420" s="12" t="n">
        <v>0.89</v>
      </c>
      <c r="J420" s="12" t="b">
        <v>0</v>
      </c>
    </row>
    <row r="421">
      <c r="A421" s="12" t="inlineStr">
        <is>
          <t>VS24</t>
        </is>
      </c>
      <c r="B421" s="12" t="b">
        <v>0</v>
      </c>
      <c r="C421" s="12" t="inlineStr">
        <is>
          <t>GI Sheets</t>
        </is>
      </c>
      <c r="D421" s="12" t="n">
        <v>2</v>
      </c>
      <c r="E421" s="12" t="n">
        <v>0.91</v>
      </c>
      <c r="F421" s="12" t="n">
        <v>26388.12</v>
      </c>
      <c r="G421" s="12" t="n">
        <v>11612.17</v>
      </c>
      <c r="H421" s="12" t="n">
        <v>0</v>
      </c>
      <c r="I421" s="12" t="n">
        <v>1.5</v>
      </c>
      <c r="J421" s="12" t="b">
        <v>1</v>
      </c>
    </row>
    <row r="422">
      <c r="A422" s="12" t="inlineStr">
        <is>
          <t>VS24</t>
        </is>
      </c>
      <c r="B422" s="12" t="b">
        <v>0</v>
      </c>
      <c r="C422" s="12" t="inlineStr">
        <is>
          <t>GI Wire</t>
        </is>
      </c>
      <c r="D422" s="12" t="n">
        <v>6</v>
      </c>
      <c r="E422" s="12" t="n">
        <v>0.31</v>
      </c>
      <c r="F422" s="12" t="n">
        <v>33974.91</v>
      </c>
      <c r="G422" s="12" t="n">
        <v>-20644.39</v>
      </c>
      <c r="H422" s="12" t="n">
        <v>0</v>
      </c>
      <c r="I422" s="12" t="n">
        <v>2</v>
      </c>
      <c r="J422" s="12" t="b">
        <v>0</v>
      </c>
    </row>
    <row r="423">
      <c r="A423" s="12" t="inlineStr">
        <is>
          <t>VS24</t>
        </is>
      </c>
      <c r="B423" s="12" t="b">
        <v>0</v>
      </c>
      <c r="C423" s="12" t="inlineStr">
        <is>
          <t>HR Coils</t>
        </is>
      </c>
      <c r="D423" s="12" t="n">
        <v>6</v>
      </c>
      <c r="E423" s="12" t="n">
        <v>0.42</v>
      </c>
      <c r="F423" s="12" t="n">
        <v>46481.8</v>
      </c>
      <c r="G423" s="12" t="n">
        <v>-7436.54</v>
      </c>
      <c r="H423" s="12" t="n">
        <v>0</v>
      </c>
      <c r="I423" s="12" t="n">
        <v>0.67</v>
      </c>
      <c r="J423" s="12" t="b">
        <v>0</v>
      </c>
    </row>
    <row r="424">
      <c r="A424" s="12" t="inlineStr">
        <is>
          <t>VS24</t>
        </is>
      </c>
      <c r="B424" s="12" t="b">
        <v>0</v>
      </c>
      <c r="C424" s="12" t="inlineStr">
        <is>
          <t>Hex Bars</t>
        </is>
      </c>
      <c r="D424" s="12" t="n">
        <v>7</v>
      </c>
      <c r="E424" s="12" t="n">
        <v>0.45</v>
      </c>
      <c r="F424" s="12" t="n">
        <v>45297.36</v>
      </c>
      <c r="G424" s="12" t="n">
        <v>-7035.58</v>
      </c>
      <c r="H424" s="12" t="n">
        <v>0</v>
      </c>
      <c r="I424" s="12" t="n">
        <v>1.14</v>
      </c>
      <c r="J424" s="12" t="b">
        <v>0</v>
      </c>
    </row>
    <row r="425">
      <c r="A425" s="12" t="inlineStr">
        <is>
          <t>VS24</t>
        </is>
      </c>
      <c r="B425" s="12" t="b">
        <v>0</v>
      </c>
      <c r="C425" s="12" t="inlineStr">
        <is>
          <t>MS Flats</t>
        </is>
      </c>
      <c r="D425" s="12" t="n">
        <v>10</v>
      </c>
      <c r="E425" s="12" t="n">
        <v>0.6899999999999999</v>
      </c>
      <c r="F425" s="12" t="n">
        <v>130011.53</v>
      </c>
      <c r="G425" s="12" t="n">
        <v>33948.31</v>
      </c>
      <c r="H425" s="12" t="n">
        <v>0</v>
      </c>
      <c r="I425" s="12" t="n">
        <v>1.7</v>
      </c>
      <c r="J425" s="12" t="b">
        <v>0</v>
      </c>
    </row>
    <row r="426">
      <c r="A426" s="12" t="inlineStr">
        <is>
          <t>VS24</t>
        </is>
      </c>
      <c r="B426" s="12" t="b">
        <v>0</v>
      </c>
      <c r="C426" s="12" t="inlineStr">
        <is>
          <t>MS Pipes</t>
        </is>
      </c>
      <c r="D426" s="12" t="n">
        <v>5</v>
      </c>
      <c r="E426" s="12" t="n">
        <v>0.82</v>
      </c>
      <c r="F426" s="12" t="n">
        <v>69954.49000000001</v>
      </c>
      <c r="G426" s="12" t="n">
        <v>26283.55</v>
      </c>
      <c r="H426" s="12" t="n">
        <v>0</v>
      </c>
      <c r="I426" s="12" t="n">
        <v>1.8</v>
      </c>
      <c r="J426" s="12" t="b">
        <v>0</v>
      </c>
    </row>
    <row r="427">
      <c r="A427" s="12" t="inlineStr">
        <is>
          <t>VS24</t>
        </is>
      </c>
      <c r="B427" s="12" t="b">
        <v>0</v>
      </c>
      <c r="C427" s="12" t="inlineStr">
        <is>
          <t>MS Rods</t>
        </is>
      </c>
      <c r="D427" s="12" t="n">
        <v>9</v>
      </c>
      <c r="E427" s="12" t="n">
        <v>0.44</v>
      </c>
      <c r="F427" s="12" t="n">
        <v>79890.95</v>
      </c>
      <c r="G427" s="12" t="n">
        <v>-8524.629999999999</v>
      </c>
      <c r="H427" s="12" t="n">
        <v>0</v>
      </c>
      <c r="I427" s="12" t="n">
        <v>1</v>
      </c>
      <c r="J427" s="12" t="b">
        <v>0</v>
      </c>
    </row>
    <row r="428">
      <c r="A428" s="12" t="inlineStr">
        <is>
          <t>VS24</t>
        </is>
      </c>
      <c r="B428" s="12" t="b">
        <v>0</v>
      </c>
      <c r="C428" s="12" t="inlineStr">
        <is>
          <t>MS Sheets</t>
        </is>
      </c>
      <c r="D428" s="12" t="n">
        <v>10</v>
      </c>
      <c r="E428" s="12" t="n">
        <v>0.38</v>
      </c>
      <c r="F428" s="12" t="n">
        <v>68945.03</v>
      </c>
      <c r="G428" s="12" t="n">
        <v>-20732.27</v>
      </c>
      <c r="H428" s="12" t="n">
        <v>0</v>
      </c>
      <c r="I428" s="12" t="n">
        <v>1.8</v>
      </c>
      <c r="J428" s="12" t="b">
        <v>0</v>
      </c>
    </row>
    <row r="429">
      <c r="A429" s="12" t="inlineStr">
        <is>
          <t>VS24</t>
        </is>
      </c>
      <c r="B429" s="12" t="b">
        <v>0</v>
      </c>
      <c r="C429" s="12" t="inlineStr">
        <is>
          <t>SS Pipes</t>
        </is>
      </c>
      <c r="D429" s="12" t="n">
        <v>4</v>
      </c>
      <c r="E429" s="12" t="n">
        <v>0.41</v>
      </c>
      <c r="F429" s="12" t="n">
        <v>46395.73</v>
      </c>
      <c r="G429" s="12" t="n">
        <v>-10872.09</v>
      </c>
      <c r="H429" s="12" t="n">
        <v>0</v>
      </c>
      <c r="I429" s="12" t="n">
        <v>2</v>
      </c>
      <c r="J429" s="12" t="b">
        <v>1</v>
      </c>
    </row>
    <row r="430">
      <c r="A430" s="12" t="inlineStr">
        <is>
          <t>VS24</t>
        </is>
      </c>
      <c r="B430" s="12" t="b">
        <v>0</v>
      </c>
      <c r="C430" s="12" t="inlineStr">
        <is>
          <t>SS Sheets</t>
        </is>
      </c>
      <c r="D430" s="12" t="n">
        <v>9</v>
      </c>
      <c r="E430" s="12" t="n">
        <v>0.46</v>
      </c>
      <c r="F430" s="12" t="n">
        <v>93206.89999999999</v>
      </c>
      <c r="G430" s="12" t="n">
        <v>-3440.97</v>
      </c>
      <c r="H430" s="12" t="n">
        <v>0</v>
      </c>
      <c r="I430" s="12" t="n">
        <v>2.22</v>
      </c>
      <c r="J430" s="12" t="b">
        <v>0</v>
      </c>
    </row>
    <row r="431">
      <c r="A431" s="12" t="inlineStr">
        <is>
          <t>VS24</t>
        </is>
      </c>
      <c r="B431" s="12" t="b">
        <v>0</v>
      </c>
      <c r="C431" s="12" t="inlineStr">
        <is>
          <t>Square/Rect Tubes</t>
        </is>
      </c>
      <c r="D431" s="12" t="n">
        <v>7</v>
      </c>
      <c r="E431" s="12" t="n">
        <v>0.39</v>
      </c>
      <c r="F431" s="12" t="n">
        <v>55379.8</v>
      </c>
      <c r="G431" s="12" t="n">
        <v>-30989.32</v>
      </c>
      <c r="H431" s="12" t="n">
        <v>0</v>
      </c>
      <c r="I431" s="12" t="n">
        <v>2</v>
      </c>
      <c r="J431" s="12" t="b">
        <v>0</v>
      </c>
    </row>
    <row r="432">
      <c r="A432" s="12" t="inlineStr">
        <is>
          <t>VS24</t>
        </is>
      </c>
      <c r="B432" s="12" t="b">
        <v>0</v>
      </c>
      <c r="C432" s="12" t="inlineStr">
        <is>
          <t>Structural Steel</t>
        </is>
      </c>
      <c r="D432" s="12" t="n">
        <v>10</v>
      </c>
      <c r="E432" s="12" t="n">
        <v>0.59</v>
      </c>
      <c r="F432" s="12" t="n">
        <v>136070.41</v>
      </c>
      <c r="G432" s="12" t="n">
        <v>4119.63</v>
      </c>
      <c r="H432" s="12" t="n">
        <v>0</v>
      </c>
      <c r="I432" s="12" t="n">
        <v>1.7</v>
      </c>
      <c r="J432" s="12" t="b">
        <v>0</v>
      </c>
    </row>
    <row r="433">
      <c r="A433" s="12" t="inlineStr">
        <is>
          <t>VS24</t>
        </is>
      </c>
      <c r="B433" s="12" t="b">
        <v>1</v>
      </c>
      <c r="C433" s="12" t="inlineStr">
        <is>
          <t>Spring Steel</t>
        </is>
      </c>
      <c r="D433" s="12" t="n">
        <v>12</v>
      </c>
      <c r="E433" s="12" t="n">
        <v>0.32</v>
      </c>
      <c r="F433" s="12" t="n">
        <v>95666.25999999999</v>
      </c>
      <c r="G433" s="12" t="n">
        <v>-62482.86</v>
      </c>
      <c r="H433" s="12" t="n">
        <v>0</v>
      </c>
      <c r="I433" s="12" t="n">
        <v>1.83</v>
      </c>
      <c r="J433" s="12" t="b">
        <v>0</v>
      </c>
    </row>
    <row r="434">
      <c r="A434" s="12" t="inlineStr">
        <is>
          <t>VS25</t>
        </is>
      </c>
      <c r="B434" s="12" t="b">
        <v>0</v>
      </c>
      <c r="C434" s="12" t="inlineStr">
        <is>
          <t>Angles &amp; Channels</t>
        </is>
      </c>
      <c r="D434" s="12" t="n">
        <v>7</v>
      </c>
      <c r="E434" s="12" t="n">
        <v>0.33</v>
      </c>
      <c r="F434" s="12" t="n">
        <v>31796.43</v>
      </c>
      <c r="G434" s="12" t="n">
        <v>-14635.45</v>
      </c>
      <c r="H434" s="12" t="n">
        <v>0</v>
      </c>
      <c r="I434" s="12" t="n">
        <v>1</v>
      </c>
      <c r="J434" s="12" t="b">
        <v>0</v>
      </c>
    </row>
    <row r="435">
      <c r="A435" s="12" t="inlineStr">
        <is>
          <t>VS25</t>
        </is>
      </c>
      <c r="B435" s="12" t="b">
        <v>0</v>
      </c>
      <c r="C435" s="12" t="inlineStr">
        <is>
          <t>ERW Pipes</t>
        </is>
      </c>
      <c r="D435" s="12" t="n">
        <v>7</v>
      </c>
      <c r="E435" s="12" t="n">
        <v>0.5</v>
      </c>
      <c r="F435" s="12" t="n">
        <v>51301.46</v>
      </c>
      <c r="G435" s="12" t="n">
        <v>-2625.31</v>
      </c>
      <c r="H435" s="12" t="n">
        <v>0</v>
      </c>
      <c r="I435" s="12" t="n">
        <v>1.14</v>
      </c>
      <c r="J435" s="12" t="b">
        <v>0</v>
      </c>
    </row>
    <row r="436">
      <c r="A436" s="12" t="inlineStr">
        <is>
          <t>VS25</t>
        </is>
      </c>
      <c r="B436" s="12" t="b">
        <v>0</v>
      </c>
      <c r="C436" s="12" t="inlineStr">
        <is>
          <t>Fasteners &amp; Fittings</t>
        </is>
      </c>
      <c r="D436" s="12" t="n">
        <v>4</v>
      </c>
      <c r="E436" s="12" t="n">
        <v>0.41</v>
      </c>
      <c r="F436" s="12" t="n">
        <v>33933.49</v>
      </c>
      <c r="G436" s="12" t="n">
        <v>-9003.48</v>
      </c>
      <c r="H436" s="12" t="n">
        <v>0</v>
      </c>
      <c r="I436" s="12" t="n">
        <v>0.75</v>
      </c>
      <c r="J436" s="12" t="b">
        <v>1</v>
      </c>
    </row>
    <row r="437">
      <c r="A437" s="12" t="inlineStr">
        <is>
          <t>VS25</t>
        </is>
      </c>
      <c r="B437" s="12" t="b">
        <v>0</v>
      </c>
      <c r="C437" s="12" t="inlineStr">
        <is>
          <t>GI Pipes</t>
        </is>
      </c>
      <c r="D437" s="12" t="n">
        <v>9</v>
      </c>
      <c r="E437" s="12" t="n">
        <v>0.4</v>
      </c>
      <c r="F437" s="12" t="n">
        <v>66540.39999999999</v>
      </c>
      <c r="G437" s="12" t="n">
        <v>-39184.97</v>
      </c>
      <c r="H437" s="12" t="n">
        <v>0</v>
      </c>
      <c r="I437" s="12" t="n">
        <v>1.22</v>
      </c>
      <c r="J437" s="12" t="b">
        <v>0</v>
      </c>
    </row>
    <row r="438">
      <c r="A438" s="12" t="inlineStr">
        <is>
          <t>VS25</t>
        </is>
      </c>
      <c r="B438" s="12" t="b">
        <v>0</v>
      </c>
      <c r="C438" s="12" t="inlineStr">
        <is>
          <t>GI Sheets</t>
        </is>
      </c>
      <c r="D438" s="12" t="n">
        <v>6</v>
      </c>
      <c r="E438" s="12" t="n">
        <v>0.24</v>
      </c>
      <c r="F438" s="12" t="n">
        <v>22821.85</v>
      </c>
      <c r="G438" s="12" t="n">
        <v>-26195.11</v>
      </c>
      <c r="H438" s="12" t="n">
        <v>0</v>
      </c>
      <c r="I438" s="12" t="n">
        <v>1.17</v>
      </c>
      <c r="J438" s="12" t="b">
        <v>0</v>
      </c>
    </row>
    <row r="439">
      <c r="A439" s="12" t="inlineStr">
        <is>
          <t>VS25</t>
        </is>
      </c>
      <c r="B439" s="12" t="b">
        <v>0</v>
      </c>
      <c r="C439" s="12" t="inlineStr">
        <is>
          <t>HR Coils</t>
        </is>
      </c>
      <c r="D439" s="12" t="n">
        <v>7</v>
      </c>
      <c r="E439" s="12" t="n">
        <v>0.47</v>
      </c>
      <c r="F439" s="12" t="n">
        <v>76976.42999999999</v>
      </c>
      <c r="G439" s="12" t="n">
        <v>-8162.04</v>
      </c>
      <c r="H439" s="12" t="n">
        <v>0</v>
      </c>
      <c r="I439" s="12" t="n">
        <v>1.14</v>
      </c>
      <c r="J439" s="12" t="b">
        <v>0</v>
      </c>
    </row>
    <row r="440">
      <c r="A440" s="12" t="inlineStr">
        <is>
          <t>VS25</t>
        </is>
      </c>
      <c r="B440" s="12" t="b">
        <v>0</v>
      </c>
      <c r="C440" s="12" t="inlineStr">
        <is>
          <t>Hex Bars</t>
        </is>
      </c>
      <c r="D440" s="12" t="n">
        <v>6</v>
      </c>
      <c r="E440" s="12" t="n">
        <v>0.51</v>
      </c>
      <c r="F440" s="12" t="n">
        <v>71231.31</v>
      </c>
      <c r="G440" s="12" t="n">
        <v>615.1900000000001</v>
      </c>
      <c r="H440" s="12" t="n">
        <v>0</v>
      </c>
      <c r="I440" s="12" t="n">
        <v>1.5</v>
      </c>
      <c r="J440" s="12" t="b">
        <v>0</v>
      </c>
    </row>
    <row r="441">
      <c r="A441" s="12" t="inlineStr">
        <is>
          <t>VS25</t>
        </is>
      </c>
      <c r="B441" s="12" t="b">
        <v>0</v>
      </c>
      <c r="C441" s="12" t="inlineStr">
        <is>
          <t>MS Flats</t>
        </is>
      </c>
      <c r="D441" s="12" t="n">
        <v>10</v>
      </c>
      <c r="E441" s="12" t="n">
        <v>0.51</v>
      </c>
      <c r="F441" s="12" t="n">
        <v>131046.53</v>
      </c>
      <c r="G441" s="12" t="n">
        <v>8015.68</v>
      </c>
      <c r="H441" s="12" t="n">
        <v>0</v>
      </c>
      <c r="I441" s="12" t="n">
        <v>1.3</v>
      </c>
      <c r="J441" s="12" t="b">
        <v>0</v>
      </c>
    </row>
    <row r="442">
      <c r="A442" s="12" t="inlineStr">
        <is>
          <t>VS25</t>
        </is>
      </c>
      <c r="B442" s="12" t="b">
        <v>0</v>
      </c>
      <c r="C442" s="12" t="inlineStr">
        <is>
          <t>MS Pipes</t>
        </is>
      </c>
      <c r="D442" s="12" t="n">
        <v>14</v>
      </c>
      <c r="E442" s="12" t="n">
        <v>0.52</v>
      </c>
      <c r="F442" s="12" t="n">
        <v>151825.29</v>
      </c>
      <c r="G442" s="12" t="n">
        <v>-4816.7</v>
      </c>
      <c r="H442" s="12" t="n">
        <v>0</v>
      </c>
      <c r="I442" s="12" t="n">
        <v>1.36</v>
      </c>
      <c r="J442" s="12" t="b">
        <v>0</v>
      </c>
    </row>
    <row r="443">
      <c r="A443" s="12" t="inlineStr">
        <is>
          <t>VS25</t>
        </is>
      </c>
      <c r="B443" s="12" t="b">
        <v>0</v>
      </c>
      <c r="C443" s="12" t="inlineStr">
        <is>
          <t>MS Rods</t>
        </is>
      </c>
      <c r="D443" s="12" t="n">
        <v>11</v>
      </c>
      <c r="E443" s="12" t="n">
        <v>0.48</v>
      </c>
      <c r="F443" s="12" t="n">
        <v>102517.87</v>
      </c>
      <c r="G443" s="12" t="n">
        <v>-3886.58</v>
      </c>
      <c r="H443" s="12" t="n">
        <v>0</v>
      </c>
      <c r="I443" s="12" t="n">
        <v>1.45</v>
      </c>
      <c r="J443" s="12" t="b">
        <v>0</v>
      </c>
    </row>
    <row r="444">
      <c r="A444" s="12" t="inlineStr">
        <is>
          <t>VS25</t>
        </is>
      </c>
      <c r="B444" s="12" t="b">
        <v>0</v>
      </c>
      <c r="C444" s="12" t="inlineStr">
        <is>
          <t>SS Pipes</t>
        </is>
      </c>
      <c r="D444" s="12" t="n">
        <v>7</v>
      </c>
      <c r="E444" s="12" t="n">
        <v>0.62</v>
      </c>
      <c r="F444" s="12" t="n">
        <v>83367.25999999999</v>
      </c>
      <c r="G444" s="12" t="n">
        <v>15562.3</v>
      </c>
      <c r="H444" s="12" t="n">
        <v>0</v>
      </c>
      <c r="I444" s="12" t="n">
        <v>1.43</v>
      </c>
      <c r="J444" s="12" t="b">
        <v>0</v>
      </c>
    </row>
    <row r="445">
      <c r="A445" s="12" t="inlineStr">
        <is>
          <t>VS25</t>
        </is>
      </c>
      <c r="B445" s="12" t="b">
        <v>0</v>
      </c>
      <c r="C445" s="12" t="inlineStr">
        <is>
          <t>SS Sheets</t>
        </is>
      </c>
      <c r="D445" s="12" t="n">
        <v>10</v>
      </c>
      <c r="E445" s="12" t="n">
        <v>0.52</v>
      </c>
      <c r="F445" s="12" t="n">
        <v>131931.67</v>
      </c>
      <c r="G445" s="12" t="n">
        <v>455.98</v>
      </c>
      <c r="H445" s="12" t="n">
        <v>0</v>
      </c>
      <c r="I445" s="12" t="n">
        <v>1.8</v>
      </c>
      <c r="J445" s="12" t="b">
        <v>0</v>
      </c>
    </row>
    <row r="446">
      <c r="A446" s="12" t="inlineStr">
        <is>
          <t>VS25</t>
        </is>
      </c>
      <c r="B446" s="12" t="b">
        <v>0</v>
      </c>
      <c r="C446" s="12" t="inlineStr">
        <is>
          <t>Spring Steel</t>
        </is>
      </c>
      <c r="D446" s="12" t="n">
        <v>7</v>
      </c>
      <c r="E446" s="12" t="n">
        <v>0.44</v>
      </c>
      <c r="F446" s="12" t="n">
        <v>77167.39</v>
      </c>
      <c r="G446" s="12" t="n">
        <v>-16733.43</v>
      </c>
      <c r="H446" s="12" t="n">
        <v>0</v>
      </c>
      <c r="I446" s="12" t="n">
        <v>1.71</v>
      </c>
      <c r="J446" s="12" t="b">
        <v>0</v>
      </c>
    </row>
    <row r="447">
      <c r="A447" s="12" t="inlineStr">
        <is>
          <t>VS25</t>
        </is>
      </c>
      <c r="B447" s="12" t="b">
        <v>0</v>
      </c>
      <c r="C447" s="12" t="inlineStr">
        <is>
          <t>Square/Rect Tubes</t>
        </is>
      </c>
      <c r="D447" s="12" t="n">
        <v>14</v>
      </c>
      <c r="E447" s="12" t="n">
        <v>0.48</v>
      </c>
      <c r="F447" s="12" t="n">
        <v>137560.77</v>
      </c>
      <c r="G447" s="12" t="n">
        <v>-11561.72</v>
      </c>
      <c r="H447" s="12" t="n">
        <v>0</v>
      </c>
      <c r="I447" s="12" t="n">
        <v>1.36</v>
      </c>
      <c r="J447" s="12" t="b">
        <v>0</v>
      </c>
    </row>
    <row r="448">
      <c r="A448" s="12" t="inlineStr">
        <is>
          <t>VS25</t>
        </is>
      </c>
      <c r="B448" s="12" t="b">
        <v>0</v>
      </c>
      <c r="C448" s="12" t="inlineStr">
        <is>
          <t>Structural Steel</t>
        </is>
      </c>
      <c r="D448" s="12" t="n">
        <v>9</v>
      </c>
      <c r="E448" s="12" t="n">
        <v>0.68</v>
      </c>
      <c r="F448" s="12" t="n">
        <v>128492.05</v>
      </c>
      <c r="G448" s="12" t="n">
        <v>27172.06</v>
      </c>
      <c r="H448" s="12" t="n">
        <v>0</v>
      </c>
      <c r="I448" s="12" t="n">
        <v>1.89</v>
      </c>
      <c r="J448" s="12" t="b">
        <v>0</v>
      </c>
    </row>
    <row r="449">
      <c r="A449" s="12" t="inlineStr">
        <is>
          <t>VS25</t>
        </is>
      </c>
      <c r="B449" s="12" t="b">
        <v>1</v>
      </c>
      <c r="C449" s="12" t="inlineStr">
        <is>
          <t>CR Sheets</t>
        </is>
      </c>
      <c r="D449" s="12" t="n">
        <v>6</v>
      </c>
      <c r="E449" s="12" t="n">
        <v>0.43</v>
      </c>
      <c r="F449" s="12" t="n">
        <v>71834.00999999999</v>
      </c>
      <c r="G449" s="12" t="n">
        <v>-5732.92</v>
      </c>
      <c r="H449" s="12" t="n">
        <v>0</v>
      </c>
      <c r="I449" s="12" t="n">
        <v>1</v>
      </c>
      <c r="J449" s="12" t="b">
        <v>0</v>
      </c>
    </row>
    <row r="450">
      <c r="A450" s="12" t="inlineStr">
        <is>
          <t>VS25</t>
        </is>
      </c>
      <c r="B450" s="12" t="b">
        <v>1</v>
      </c>
      <c r="C450" s="12" t="inlineStr">
        <is>
          <t>GI Wire</t>
        </is>
      </c>
      <c r="D450" s="12" t="n">
        <v>6</v>
      </c>
      <c r="E450" s="12" t="n">
        <v>0.39</v>
      </c>
      <c r="F450" s="12" t="n">
        <v>35540.14</v>
      </c>
      <c r="G450" s="12" t="n">
        <v>-9887.82</v>
      </c>
      <c r="H450" s="12" t="n">
        <v>0</v>
      </c>
      <c r="I450" s="12" t="n">
        <v>1.67</v>
      </c>
      <c r="J450" s="12" t="b">
        <v>0</v>
      </c>
    </row>
    <row r="451">
      <c r="A451" s="12" t="inlineStr">
        <is>
          <t>VS25</t>
        </is>
      </c>
      <c r="B451" s="12" t="b">
        <v>1</v>
      </c>
      <c r="C451" s="12" t="inlineStr">
        <is>
          <t>MS Sheets</t>
        </is>
      </c>
      <c r="D451" s="12" t="n">
        <v>8</v>
      </c>
      <c r="E451" s="12" t="n">
        <v>0.57</v>
      </c>
      <c r="F451" s="12" t="n">
        <v>112806</v>
      </c>
      <c r="G451" s="12" t="n">
        <v>12117.64</v>
      </c>
      <c r="H451" s="12" t="n">
        <v>0</v>
      </c>
      <c r="I451" s="12" t="n">
        <v>1.38</v>
      </c>
      <c r="J451" s="12" t="b">
        <v>0</v>
      </c>
    </row>
    <row r="452">
      <c r="A452" s="12" t="inlineStr">
        <is>
          <t>VS26</t>
        </is>
      </c>
      <c r="B452" s="12" t="b">
        <v>0</v>
      </c>
      <c r="C452" s="12" t="inlineStr">
        <is>
          <t>CR Sheets</t>
        </is>
      </c>
      <c r="D452" s="12" t="n">
        <v>8</v>
      </c>
      <c r="E452" s="12" t="n">
        <v>0.44</v>
      </c>
      <c r="F452" s="12" t="n">
        <v>80630.89999999999</v>
      </c>
      <c r="G452" s="12" t="n">
        <v>-16307.36</v>
      </c>
      <c r="H452" s="12" t="n">
        <v>0</v>
      </c>
      <c r="I452" s="12" t="n">
        <v>2.5</v>
      </c>
      <c r="J452" s="12" t="b">
        <v>0</v>
      </c>
    </row>
    <row r="453">
      <c r="A453" s="12" t="inlineStr">
        <is>
          <t>VS26</t>
        </is>
      </c>
      <c r="B453" s="12" t="b">
        <v>0</v>
      </c>
      <c r="C453" s="12" t="inlineStr">
        <is>
          <t>ERW Pipes</t>
        </is>
      </c>
      <c r="D453" s="12" t="n">
        <v>8</v>
      </c>
      <c r="E453" s="12" t="n">
        <v>0.84</v>
      </c>
      <c r="F453" s="12" t="n">
        <v>158847.62</v>
      </c>
      <c r="G453" s="12" t="n">
        <v>61427.13</v>
      </c>
      <c r="H453" s="12" t="n">
        <v>0</v>
      </c>
      <c r="I453" s="12" t="n">
        <v>2.25</v>
      </c>
      <c r="J453" s="12" t="b">
        <v>0</v>
      </c>
    </row>
    <row r="454">
      <c r="A454" s="12" t="inlineStr">
        <is>
          <t>VS26</t>
        </is>
      </c>
      <c r="B454" s="12" t="b">
        <v>0</v>
      </c>
      <c r="C454" s="12" t="inlineStr">
        <is>
          <t>GI Pipes</t>
        </is>
      </c>
      <c r="D454" s="12" t="n">
        <v>13</v>
      </c>
      <c r="E454" s="12" t="n">
        <v>0.53</v>
      </c>
      <c r="F454" s="12" t="n">
        <v>131422.58</v>
      </c>
      <c r="G454" s="12" t="n">
        <v>5211.53</v>
      </c>
      <c r="H454" s="12" t="n">
        <v>0</v>
      </c>
      <c r="I454" s="12" t="n">
        <v>1.38</v>
      </c>
      <c r="J454" s="12" t="b">
        <v>0</v>
      </c>
    </row>
    <row r="455">
      <c r="A455" s="12" t="inlineStr">
        <is>
          <t>VS26</t>
        </is>
      </c>
      <c r="B455" s="12" t="b">
        <v>0</v>
      </c>
      <c r="C455" s="12" t="inlineStr">
        <is>
          <t>GI Sheets</t>
        </is>
      </c>
      <c r="D455" s="12" t="n">
        <v>9</v>
      </c>
      <c r="E455" s="12" t="n">
        <v>0.51</v>
      </c>
      <c r="F455" s="12" t="n">
        <v>69670.37</v>
      </c>
      <c r="G455" s="12" t="n">
        <v>2503.5</v>
      </c>
      <c r="H455" s="12" t="n">
        <v>0</v>
      </c>
      <c r="I455" s="12" t="n">
        <v>0.78</v>
      </c>
      <c r="J455" s="12" t="b">
        <v>0</v>
      </c>
    </row>
    <row r="456">
      <c r="A456" s="12" t="inlineStr">
        <is>
          <t>VS26</t>
        </is>
      </c>
      <c r="B456" s="12" t="b">
        <v>0</v>
      </c>
      <c r="C456" s="12" t="inlineStr">
        <is>
          <t>GI Wire</t>
        </is>
      </c>
      <c r="D456" s="12" t="n">
        <v>6</v>
      </c>
      <c r="E456" s="12" t="n">
        <v>0.55</v>
      </c>
      <c r="F456" s="12" t="n">
        <v>79008</v>
      </c>
      <c r="G456" s="12" t="n">
        <v>3062.71</v>
      </c>
      <c r="H456" s="12" t="n">
        <v>0</v>
      </c>
      <c r="I456" s="12" t="n">
        <v>2.17</v>
      </c>
      <c r="J456" s="12" t="b">
        <v>0</v>
      </c>
    </row>
    <row r="457">
      <c r="A457" s="12" t="inlineStr">
        <is>
          <t>VS26</t>
        </is>
      </c>
      <c r="B457" s="12" t="b">
        <v>0</v>
      </c>
      <c r="C457" s="12" t="inlineStr">
        <is>
          <t>HR Coils</t>
        </is>
      </c>
      <c r="D457" s="12" t="n">
        <v>8</v>
      </c>
      <c r="E457" s="12" t="n">
        <v>0.63</v>
      </c>
      <c r="F457" s="12" t="n">
        <v>83392.3</v>
      </c>
      <c r="G457" s="12" t="n">
        <v>17775.37</v>
      </c>
      <c r="H457" s="12" t="n">
        <v>0</v>
      </c>
      <c r="I457" s="12" t="n">
        <v>1.75</v>
      </c>
      <c r="J457" s="12" t="b">
        <v>0</v>
      </c>
    </row>
    <row r="458">
      <c r="A458" s="12" t="inlineStr">
        <is>
          <t>VS26</t>
        </is>
      </c>
      <c r="B458" s="12" t="b">
        <v>0</v>
      </c>
      <c r="C458" s="12" t="inlineStr">
        <is>
          <t>Hex Bars</t>
        </is>
      </c>
      <c r="D458" s="12" t="n">
        <v>6</v>
      </c>
      <c r="E458" s="12" t="n">
        <v>0.5</v>
      </c>
      <c r="F458" s="12" t="n">
        <v>76926.34</v>
      </c>
      <c r="G458" s="12" t="n">
        <v>-4797.93</v>
      </c>
      <c r="H458" s="12" t="n">
        <v>0</v>
      </c>
      <c r="I458" s="12" t="n">
        <v>1.5</v>
      </c>
      <c r="J458" s="12" t="b">
        <v>0</v>
      </c>
    </row>
    <row r="459">
      <c r="A459" s="12" t="inlineStr">
        <is>
          <t>VS26</t>
        </is>
      </c>
      <c r="B459" s="12" t="b">
        <v>0</v>
      </c>
      <c r="C459" s="12" t="inlineStr">
        <is>
          <t>MS Flats</t>
        </is>
      </c>
      <c r="D459" s="12" t="n">
        <v>9</v>
      </c>
      <c r="E459" s="12" t="n">
        <v>0.54</v>
      </c>
      <c r="F459" s="12" t="n">
        <v>116907.57</v>
      </c>
      <c r="G459" s="12" t="n">
        <v>834.63</v>
      </c>
      <c r="H459" s="12" t="n">
        <v>0</v>
      </c>
      <c r="I459" s="12" t="n">
        <v>2.22</v>
      </c>
      <c r="J459" s="12" t="b">
        <v>0</v>
      </c>
    </row>
    <row r="460">
      <c r="A460" s="12" t="inlineStr">
        <is>
          <t>VS26</t>
        </is>
      </c>
      <c r="B460" s="12" t="b">
        <v>0</v>
      </c>
      <c r="C460" s="12" t="inlineStr">
        <is>
          <t>MS Pipes</t>
        </is>
      </c>
      <c r="D460" s="12" t="n">
        <v>8</v>
      </c>
      <c r="E460" s="12" t="n">
        <v>0.45</v>
      </c>
      <c r="F460" s="12" t="n">
        <v>89516.8</v>
      </c>
      <c r="G460" s="12" t="n">
        <v>-19677.66</v>
      </c>
      <c r="H460" s="12" t="n">
        <v>0</v>
      </c>
      <c r="I460" s="12" t="n">
        <v>1.38</v>
      </c>
      <c r="J460" s="12" t="b">
        <v>0</v>
      </c>
    </row>
    <row r="461">
      <c r="A461" s="12" t="inlineStr">
        <is>
          <t>VS26</t>
        </is>
      </c>
      <c r="B461" s="12" t="b">
        <v>0</v>
      </c>
      <c r="C461" s="12" t="inlineStr">
        <is>
          <t>MS Rods</t>
        </is>
      </c>
      <c r="D461" s="12" t="n">
        <v>7</v>
      </c>
      <c r="E461" s="12" t="n">
        <v>0.5</v>
      </c>
      <c r="F461" s="12" t="n">
        <v>28241.17</v>
      </c>
      <c r="G461" s="12" t="n">
        <v>-2660.84</v>
      </c>
      <c r="H461" s="12" t="n">
        <v>0</v>
      </c>
      <c r="I461" s="12" t="n">
        <v>0.71</v>
      </c>
      <c r="J461" s="12" t="b">
        <v>0</v>
      </c>
    </row>
    <row r="462">
      <c r="A462" s="12" t="inlineStr">
        <is>
          <t>VS26</t>
        </is>
      </c>
      <c r="B462" s="12" t="b">
        <v>0</v>
      </c>
      <c r="C462" s="12" t="inlineStr">
        <is>
          <t>MS Sheets</t>
        </is>
      </c>
      <c r="D462" s="12" t="n">
        <v>12</v>
      </c>
      <c r="E462" s="12" t="n">
        <v>0.45</v>
      </c>
      <c r="F462" s="12" t="n">
        <v>137922.23</v>
      </c>
      <c r="G462" s="12" t="n">
        <v>-26773.82</v>
      </c>
      <c r="H462" s="12" t="n">
        <v>0</v>
      </c>
      <c r="I462" s="12" t="n">
        <v>1.33</v>
      </c>
      <c r="J462" s="12" t="b">
        <v>0</v>
      </c>
    </row>
    <row r="463">
      <c r="A463" s="12" t="inlineStr">
        <is>
          <t>VS26</t>
        </is>
      </c>
      <c r="B463" s="12" t="b">
        <v>0</v>
      </c>
      <c r="C463" s="12" t="inlineStr">
        <is>
          <t>SS Pipes</t>
        </is>
      </c>
      <c r="D463" s="12" t="n">
        <v>6</v>
      </c>
      <c r="E463" s="12" t="n">
        <v>0.55</v>
      </c>
      <c r="F463" s="12" t="n">
        <v>63865.53</v>
      </c>
      <c r="G463" s="12" t="n">
        <v>2735.16</v>
      </c>
      <c r="H463" s="12" t="n">
        <v>0</v>
      </c>
      <c r="I463" s="12" t="n">
        <v>1.17</v>
      </c>
      <c r="J463" s="12" t="b">
        <v>0</v>
      </c>
    </row>
    <row r="464">
      <c r="A464" s="12" t="inlineStr">
        <is>
          <t>VS26</t>
        </is>
      </c>
      <c r="B464" s="12" t="b">
        <v>0</v>
      </c>
      <c r="C464" s="12" t="inlineStr">
        <is>
          <t>SS Sheets</t>
        </is>
      </c>
      <c r="D464" s="12" t="n">
        <v>10</v>
      </c>
      <c r="E464" s="12" t="n">
        <v>0.63</v>
      </c>
      <c r="F464" s="12" t="n">
        <v>168239.27</v>
      </c>
      <c r="G464" s="12" t="n">
        <v>40085.65</v>
      </c>
      <c r="H464" s="12" t="n">
        <v>0</v>
      </c>
      <c r="I464" s="12" t="n">
        <v>1.9</v>
      </c>
      <c r="J464" s="12" t="b">
        <v>0</v>
      </c>
    </row>
    <row r="465">
      <c r="A465" s="12" t="inlineStr">
        <is>
          <t>VS26</t>
        </is>
      </c>
      <c r="B465" s="12" t="b">
        <v>0</v>
      </c>
      <c r="C465" s="12" t="inlineStr">
        <is>
          <t>Spring Steel</t>
        </is>
      </c>
      <c r="D465" s="12" t="n">
        <v>9</v>
      </c>
      <c r="E465" s="12" t="n">
        <v>0.6</v>
      </c>
      <c r="F465" s="12" t="n">
        <v>134949.5</v>
      </c>
      <c r="G465" s="12" t="n">
        <v>18077.26</v>
      </c>
      <c r="H465" s="12" t="n">
        <v>0</v>
      </c>
      <c r="I465" s="12" t="n">
        <v>1.89</v>
      </c>
      <c r="J465" s="12" t="b">
        <v>0</v>
      </c>
    </row>
    <row r="466">
      <c r="A466" s="12" t="inlineStr">
        <is>
          <t>VS26</t>
        </is>
      </c>
      <c r="B466" s="12" t="b">
        <v>0</v>
      </c>
      <c r="C466" s="12" t="inlineStr">
        <is>
          <t>Square/Rect Tubes</t>
        </is>
      </c>
      <c r="D466" s="12" t="n">
        <v>14</v>
      </c>
      <c r="E466" s="12" t="n">
        <v>0.53</v>
      </c>
      <c r="F466" s="12" t="n">
        <v>155042.66</v>
      </c>
      <c r="G466" s="12" t="n">
        <v>12137.93</v>
      </c>
      <c r="H466" s="12" t="n">
        <v>0</v>
      </c>
      <c r="I466" s="12" t="n">
        <v>1.57</v>
      </c>
      <c r="J466" s="12" t="b">
        <v>0</v>
      </c>
    </row>
    <row r="467">
      <c r="A467" s="12" t="inlineStr">
        <is>
          <t>VS26</t>
        </is>
      </c>
      <c r="B467" s="12" t="b">
        <v>0</v>
      </c>
      <c r="C467" s="12" t="inlineStr">
        <is>
          <t>Structural Steel</t>
        </is>
      </c>
      <c r="D467" s="12" t="n">
        <v>4</v>
      </c>
      <c r="E467" s="12" t="n">
        <v>0.37</v>
      </c>
      <c r="F467" s="12" t="n">
        <v>28713.27</v>
      </c>
      <c r="G467" s="12" t="n">
        <v>-6675.36</v>
      </c>
      <c r="H467" s="12" t="n">
        <v>0</v>
      </c>
      <c r="I467" s="12" t="n">
        <v>1.75</v>
      </c>
      <c r="J467" s="12" t="b">
        <v>1</v>
      </c>
    </row>
    <row r="468">
      <c r="A468" s="12" t="inlineStr">
        <is>
          <t>VS26</t>
        </is>
      </c>
      <c r="B468" s="12" t="b">
        <v>1</v>
      </c>
      <c r="C468" s="12" t="inlineStr">
        <is>
          <t>Angles &amp; Channels</t>
        </is>
      </c>
      <c r="D468" s="12" t="n">
        <v>13</v>
      </c>
      <c r="E468" s="12" t="n">
        <v>0.59</v>
      </c>
      <c r="F468" s="12" t="n">
        <v>138538.12</v>
      </c>
      <c r="G468" s="12" t="n">
        <v>19738.87</v>
      </c>
      <c r="H468" s="12" t="n">
        <v>0</v>
      </c>
      <c r="I468" s="12" t="n">
        <v>1.54</v>
      </c>
      <c r="J468" s="12" t="b">
        <v>0</v>
      </c>
    </row>
    <row r="469">
      <c r="A469" s="12" t="inlineStr">
        <is>
          <t>VS26</t>
        </is>
      </c>
      <c r="B469" s="12" t="b">
        <v>1</v>
      </c>
      <c r="C469" s="12" t="inlineStr">
        <is>
          <t>Fasteners &amp; Fittings</t>
        </is>
      </c>
      <c r="D469" s="12" t="n">
        <v>5</v>
      </c>
      <c r="E469" s="12" t="n">
        <v>0.43</v>
      </c>
      <c r="F469" s="12" t="n">
        <v>42239.42</v>
      </c>
      <c r="G469" s="12" t="n">
        <v>-7922.38</v>
      </c>
      <c r="H469" s="12" t="n">
        <v>0</v>
      </c>
      <c r="I469" s="12" t="n">
        <v>2.2</v>
      </c>
      <c r="J469" s="12" t="b">
        <v>0</v>
      </c>
    </row>
    <row r="470">
      <c r="A470" s="12" t="inlineStr">
        <is>
          <t>VS27</t>
        </is>
      </c>
      <c r="B470" s="12" t="b">
        <v>0</v>
      </c>
      <c r="C470" s="12" t="inlineStr">
        <is>
          <t>Angles &amp; Channels</t>
        </is>
      </c>
      <c r="D470" s="12" t="n">
        <v>5</v>
      </c>
      <c r="E470" s="12" t="n">
        <v>0.49</v>
      </c>
      <c r="F470" s="12" t="n">
        <v>60537.97</v>
      </c>
      <c r="G470" s="12" t="n">
        <v>5525.25</v>
      </c>
      <c r="H470" s="12" t="n">
        <v>0</v>
      </c>
      <c r="I470" s="12" t="n">
        <v>0.8</v>
      </c>
      <c r="J470" s="12" t="b">
        <v>0</v>
      </c>
    </row>
    <row r="471">
      <c r="A471" s="12" t="inlineStr">
        <is>
          <t>VS27</t>
        </is>
      </c>
      <c r="B471" s="12" t="b">
        <v>0</v>
      </c>
      <c r="C471" s="12" t="inlineStr">
        <is>
          <t>CR Sheets</t>
        </is>
      </c>
      <c r="D471" s="12" t="n">
        <v>7</v>
      </c>
      <c r="E471" s="12" t="n">
        <v>0.47</v>
      </c>
      <c r="F471" s="12" t="n">
        <v>48015.29</v>
      </c>
      <c r="G471" s="12" t="n">
        <v>-497.97</v>
      </c>
      <c r="H471" s="12" t="n">
        <v>0</v>
      </c>
      <c r="I471" s="12" t="n">
        <v>1.71</v>
      </c>
      <c r="J471" s="12" t="b">
        <v>0</v>
      </c>
    </row>
    <row r="472">
      <c r="A472" s="12" t="inlineStr">
        <is>
          <t>VS27</t>
        </is>
      </c>
      <c r="B472" s="12" t="b">
        <v>0</v>
      </c>
      <c r="C472" s="12" t="inlineStr">
        <is>
          <t>ERW Pipes</t>
        </is>
      </c>
      <c r="D472" s="12" t="n">
        <v>8</v>
      </c>
      <c r="E472" s="12" t="n">
        <v>0.33</v>
      </c>
      <c r="F472" s="12" t="n">
        <v>39209.19</v>
      </c>
      <c r="G472" s="12" t="n">
        <v>-23337.71</v>
      </c>
      <c r="H472" s="12" t="n">
        <v>0</v>
      </c>
      <c r="I472" s="12" t="n">
        <v>2.12</v>
      </c>
      <c r="J472" s="12" t="b">
        <v>0</v>
      </c>
    </row>
    <row r="473">
      <c r="A473" s="12" t="inlineStr">
        <is>
          <t>VS27</t>
        </is>
      </c>
      <c r="B473" s="12" t="b">
        <v>0</v>
      </c>
      <c r="C473" s="12" t="inlineStr">
        <is>
          <t>Fasteners &amp; Fittings</t>
        </is>
      </c>
      <c r="D473" s="12" t="n">
        <v>7</v>
      </c>
      <c r="E473" s="12" t="n">
        <v>0.5600000000000001</v>
      </c>
      <c r="F473" s="12" t="n">
        <v>81077.00999999999</v>
      </c>
      <c r="G473" s="12" t="n">
        <v>9994.23</v>
      </c>
      <c r="H473" s="12" t="n">
        <v>0</v>
      </c>
      <c r="I473" s="12" t="n">
        <v>1.71</v>
      </c>
      <c r="J473" s="12" t="b">
        <v>0</v>
      </c>
    </row>
    <row r="474">
      <c r="A474" s="12" t="inlineStr">
        <is>
          <t>VS27</t>
        </is>
      </c>
      <c r="B474" s="12" t="b">
        <v>0</v>
      </c>
      <c r="C474" s="12" t="inlineStr">
        <is>
          <t>GI Pipes</t>
        </is>
      </c>
      <c r="D474" s="12" t="n">
        <v>8</v>
      </c>
      <c r="E474" s="12" t="n">
        <v>0.59</v>
      </c>
      <c r="F474" s="12" t="n">
        <v>129973.87</v>
      </c>
      <c r="G474" s="12" t="n">
        <v>14636.13</v>
      </c>
      <c r="H474" s="12" t="n">
        <v>0</v>
      </c>
      <c r="I474" s="12" t="n">
        <v>1.5</v>
      </c>
      <c r="J474" s="12" t="b">
        <v>0</v>
      </c>
    </row>
    <row r="475">
      <c r="A475" s="12" t="inlineStr">
        <is>
          <t>VS27</t>
        </is>
      </c>
      <c r="B475" s="12" t="b">
        <v>0</v>
      </c>
      <c r="C475" s="12" t="inlineStr">
        <is>
          <t>GI Sheets</t>
        </is>
      </c>
      <c r="D475" s="12" t="n">
        <v>4</v>
      </c>
      <c r="E475" s="12" t="n">
        <v>0.74</v>
      </c>
      <c r="F475" s="12" t="n">
        <v>79774.73</v>
      </c>
      <c r="G475" s="12" t="n">
        <v>24739.63</v>
      </c>
      <c r="H475" s="12" t="n">
        <v>0</v>
      </c>
      <c r="I475" s="12" t="n">
        <v>2</v>
      </c>
      <c r="J475" s="12" t="b">
        <v>1</v>
      </c>
    </row>
    <row r="476">
      <c r="A476" s="12" t="inlineStr">
        <is>
          <t>VS27</t>
        </is>
      </c>
      <c r="B476" s="12" t="b">
        <v>0</v>
      </c>
      <c r="C476" s="12" t="inlineStr">
        <is>
          <t>GI Wire</t>
        </is>
      </c>
      <c r="D476" s="12" t="n">
        <v>5</v>
      </c>
      <c r="E476" s="12" t="n">
        <v>0.61</v>
      </c>
      <c r="F476" s="12" t="n">
        <v>37371.38</v>
      </c>
      <c r="G476" s="12" t="n">
        <v>6142.49</v>
      </c>
      <c r="H476" s="12" t="n">
        <v>0</v>
      </c>
      <c r="I476" s="12" t="n">
        <v>1</v>
      </c>
      <c r="J476" s="12" t="b">
        <v>0</v>
      </c>
    </row>
    <row r="477">
      <c r="A477" s="12" t="inlineStr">
        <is>
          <t>VS27</t>
        </is>
      </c>
      <c r="B477" s="12" t="b">
        <v>0</v>
      </c>
      <c r="C477" s="12" t="inlineStr">
        <is>
          <t>HR Coils</t>
        </is>
      </c>
      <c r="D477" s="12" t="n">
        <v>9</v>
      </c>
      <c r="E477" s="12" t="n">
        <v>0.52</v>
      </c>
      <c r="F477" s="12" t="n">
        <v>53377.31</v>
      </c>
      <c r="G477" s="12" t="n">
        <v>1804.68</v>
      </c>
      <c r="H477" s="12" t="n">
        <v>0</v>
      </c>
      <c r="I477" s="12" t="n">
        <v>1.22</v>
      </c>
      <c r="J477" s="12" t="b">
        <v>0</v>
      </c>
    </row>
    <row r="478">
      <c r="A478" s="12" t="inlineStr">
        <is>
          <t>VS27</t>
        </is>
      </c>
      <c r="B478" s="12" t="b">
        <v>0</v>
      </c>
      <c r="C478" s="12" t="inlineStr">
        <is>
          <t>Hex Bars</t>
        </is>
      </c>
      <c r="D478" s="12" t="n">
        <v>3</v>
      </c>
      <c r="E478" s="12" t="n">
        <v>0.78</v>
      </c>
      <c r="F478" s="12" t="n">
        <v>66343.17999999999</v>
      </c>
      <c r="G478" s="12" t="n">
        <v>22993.99</v>
      </c>
      <c r="H478" s="12" t="n">
        <v>0</v>
      </c>
      <c r="I478" s="12" t="n">
        <v>1.33</v>
      </c>
      <c r="J478" s="12" t="b">
        <v>1</v>
      </c>
    </row>
    <row r="479">
      <c r="A479" s="12" t="inlineStr">
        <is>
          <t>VS27</t>
        </is>
      </c>
      <c r="B479" s="12" t="b">
        <v>0</v>
      </c>
      <c r="C479" s="12" t="inlineStr">
        <is>
          <t>MS Flats</t>
        </is>
      </c>
      <c r="D479" s="12" t="n">
        <v>10</v>
      </c>
      <c r="E479" s="12" t="n">
        <v>0.65</v>
      </c>
      <c r="F479" s="12" t="n">
        <v>138603.27</v>
      </c>
      <c r="G479" s="12" t="n">
        <v>26950.83</v>
      </c>
      <c r="H479" s="12" t="n">
        <v>0</v>
      </c>
      <c r="I479" s="12" t="n">
        <v>1.9</v>
      </c>
      <c r="J479" s="12" t="b">
        <v>0</v>
      </c>
    </row>
    <row r="480">
      <c r="A480" s="12" t="inlineStr">
        <is>
          <t>VS27</t>
        </is>
      </c>
      <c r="B480" s="12" t="b">
        <v>0</v>
      </c>
      <c r="C480" s="12" t="inlineStr">
        <is>
          <t>MS Pipes</t>
        </is>
      </c>
      <c r="D480" s="12" t="n">
        <v>5</v>
      </c>
      <c r="E480" s="12" t="n">
        <v>0.22</v>
      </c>
      <c r="F480" s="12" t="n">
        <v>20941.02</v>
      </c>
      <c r="G480" s="12" t="n">
        <v>-33613.2</v>
      </c>
      <c r="H480" s="12" t="n">
        <v>0</v>
      </c>
      <c r="I480" s="12" t="n">
        <v>1.8</v>
      </c>
      <c r="J480" s="12" t="b">
        <v>0</v>
      </c>
    </row>
    <row r="481">
      <c r="A481" s="12" t="inlineStr">
        <is>
          <t>VS27</t>
        </is>
      </c>
      <c r="B481" s="12" t="b">
        <v>0</v>
      </c>
      <c r="C481" s="12" t="inlineStr">
        <is>
          <t>MS Rods</t>
        </is>
      </c>
      <c r="D481" s="12" t="n">
        <v>8</v>
      </c>
      <c r="E481" s="12" t="n">
        <v>0.54</v>
      </c>
      <c r="F481" s="12" t="n">
        <v>46184.16</v>
      </c>
      <c r="G481" s="12" t="n">
        <v>171.07</v>
      </c>
      <c r="H481" s="12" t="n">
        <v>0</v>
      </c>
      <c r="I481" s="12" t="n">
        <v>2.12</v>
      </c>
      <c r="J481" s="12" t="b">
        <v>0</v>
      </c>
    </row>
    <row r="482">
      <c r="A482" s="12" t="inlineStr">
        <is>
          <t>VS27</t>
        </is>
      </c>
      <c r="B482" s="12" t="b">
        <v>0</v>
      </c>
      <c r="C482" s="12" t="inlineStr">
        <is>
          <t>MS Sheets</t>
        </is>
      </c>
      <c r="D482" s="12" t="n">
        <v>9</v>
      </c>
      <c r="E482" s="12" t="n">
        <v>0.7</v>
      </c>
      <c r="F482" s="12" t="n">
        <v>162691.75</v>
      </c>
      <c r="G482" s="12" t="n">
        <v>43788.87</v>
      </c>
      <c r="H482" s="12" t="n">
        <v>0</v>
      </c>
      <c r="I482" s="12" t="n">
        <v>1.89</v>
      </c>
      <c r="J482" s="12" t="b">
        <v>0</v>
      </c>
    </row>
    <row r="483">
      <c r="A483" s="12" t="inlineStr">
        <is>
          <t>VS27</t>
        </is>
      </c>
      <c r="B483" s="12" t="b">
        <v>0</v>
      </c>
      <c r="C483" s="12" t="inlineStr">
        <is>
          <t>SS Sheets</t>
        </is>
      </c>
      <c r="D483" s="12" t="n">
        <v>5</v>
      </c>
      <c r="E483" s="12" t="n">
        <v>0.48</v>
      </c>
      <c r="F483" s="12" t="n">
        <v>49366.92</v>
      </c>
      <c r="G483" s="12" t="n">
        <v>-3147.3</v>
      </c>
      <c r="H483" s="12" t="n">
        <v>0</v>
      </c>
      <c r="I483" s="12" t="n">
        <v>1.6</v>
      </c>
      <c r="J483" s="12" t="b">
        <v>0</v>
      </c>
    </row>
    <row r="484">
      <c r="A484" s="12" t="inlineStr">
        <is>
          <t>VS27</t>
        </is>
      </c>
      <c r="B484" s="12" t="b">
        <v>0</v>
      </c>
      <c r="C484" s="12" t="inlineStr">
        <is>
          <t>Spring Steel</t>
        </is>
      </c>
      <c r="D484" s="12" t="n">
        <v>7</v>
      </c>
      <c r="E484" s="12" t="n">
        <v>0.45</v>
      </c>
      <c r="F484" s="12" t="n">
        <v>73329.25999999999</v>
      </c>
      <c r="G484" s="12" t="n">
        <v>-13950.93</v>
      </c>
      <c r="H484" s="12" t="n">
        <v>0</v>
      </c>
      <c r="I484" s="12" t="n">
        <v>2</v>
      </c>
      <c r="J484" s="12" t="b">
        <v>0</v>
      </c>
    </row>
    <row r="485">
      <c r="A485" s="12" t="inlineStr">
        <is>
          <t>VS27</t>
        </is>
      </c>
      <c r="B485" s="12" t="b">
        <v>0</v>
      </c>
      <c r="C485" s="12" t="inlineStr">
        <is>
          <t>Square/Rect Tubes</t>
        </is>
      </c>
      <c r="D485" s="12" t="n">
        <v>7</v>
      </c>
      <c r="E485" s="12" t="n">
        <v>0.43</v>
      </c>
      <c r="F485" s="12" t="n">
        <v>78186.72</v>
      </c>
      <c r="G485" s="12" t="n">
        <v>-19970.92</v>
      </c>
      <c r="H485" s="12" t="n">
        <v>0</v>
      </c>
      <c r="I485" s="12" t="n">
        <v>2</v>
      </c>
      <c r="J485" s="12" t="b">
        <v>0</v>
      </c>
    </row>
    <row r="486">
      <c r="A486" s="12" t="inlineStr">
        <is>
          <t>VS27</t>
        </is>
      </c>
      <c r="B486" s="12" t="b">
        <v>0</v>
      </c>
      <c r="C486" s="12" t="inlineStr">
        <is>
          <t>Structural Steel</t>
        </is>
      </c>
      <c r="D486" s="12" t="n">
        <v>8</v>
      </c>
      <c r="E486" s="12" t="n">
        <v>0.6899999999999999</v>
      </c>
      <c r="F486" s="12" t="n">
        <v>145512.92</v>
      </c>
      <c r="G486" s="12" t="n">
        <v>37453.85</v>
      </c>
      <c r="H486" s="12" t="n">
        <v>0</v>
      </c>
      <c r="I486" s="12" t="n">
        <v>1.75</v>
      </c>
      <c r="J486" s="12" t="b">
        <v>0</v>
      </c>
    </row>
    <row r="487">
      <c r="A487" s="12" t="inlineStr">
        <is>
          <t>VS27</t>
        </is>
      </c>
      <c r="B487" s="12" t="b">
        <v>1</v>
      </c>
      <c r="C487" s="12" t="inlineStr">
        <is>
          <t>SS Pipes</t>
        </is>
      </c>
      <c r="D487" s="12" t="n">
        <v>7</v>
      </c>
      <c r="E487" s="12" t="n">
        <v>0.41</v>
      </c>
      <c r="F487" s="12" t="n">
        <v>53942.2</v>
      </c>
      <c r="G487" s="12" t="n">
        <v>-10795.5</v>
      </c>
      <c r="H487" s="12" t="n">
        <v>0</v>
      </c>
      <c r="I487" s="12" t="n">
        <v>2.14</v>
      </c>
      <c r="J487" s="12" t="b">
        <v>0</v>
      </c>
    </row>
    <row r="488">
      <c r="A488" s="12" t="inlineStr">
        <is>
          <t>VS28</t>
        </is>
      </c>
      <c r="B488" s="12" t="b">
        <v>0</v>
      </c>
      <c r="C488" s="12" t="inlineStr">
        <is>
          <t>Angles &amp; Channels</t>
        </is>
      </c>
      <c r="D488" s="12" t="n">
        <v>6</v>
      </c>
      <c r="E488" s="12" t="n">
        <v>0.33</v>
      </c>
      <c r="F488" s="12" t="n">
        <v>52444.95</v>
      </c>
      <c r="G488" s="12" t="n">
        <v>-32182.56</v>
      </c>
      <c r="H488" s="12" t="n">
        <v>0</v>
      </c>
      <c r="I488" s="12" t="n">
        <v>1.5</v>
      </c>
      <c r="J488" s="12" t="b">
        <v>0</v>
      </c>
    </row>
    <row r="489">
      <c r="A489" s="12" t="inlineStr">
        <is>
          <t>VS28</t>
        </is>
      </c>
      <c r="B489" s="12" t="b">
        <v>0</v>
      </c>
      <c r="C489" s="12" t="inlineStr">
        <is>
          <t>CR Sheets</t>
        </is>
      </c>
      <c r="D489" s="12" t="n">
        <v>11</v>
      </c>
      <c r="E489" s="12" t="n">
        <v>0.58</v>
      </c>
      <c r="F489" s="12" t="n">
        <v>136979.66</v>
      </c>
      <c r="G489" s="12" t="n">
        <v>18812.02</v>
      </c>
      <c r="H489" s="12" t="n">
        <v>0</v>
      </c>
      <c r="I489" s="12" t="n">
        <v>1.64</v>
      </c>
      <c r="J489" s="12" t="b">
        <v>0</v>
      </c>
    </row>
    <row r="490">
      <c r="A490" s="12" t="inlineStr">
        <is>
          <t>VS28</t>
        </is>
      </c>
      <c r="B490" s="12" t="b">
        <v>0</v>
      </c>
      <c r="C490" s="12" t="inlineStr">
        <is>
          <t>ERW Pipes</t>
        </is>
      </c>
      <c r="D490" s="12" t="n">
        <v>7</v>
      </c>
      <c r="E490" s="12" t="n">
        <v>0.7</v>
      </c>
      <c r="F490" s="12" t="n">
        <v>113052.4</v>
      </c>
      <c r="G490" s="12" t="n">
        <v>26852.16</v>
      </c>
      <c r="H490" s="12" t="n">
        <v>0</v>
      </c>
      <c r="I490" s="12" t="n">
        <v>2.29</v>
      </c>
      <c r="J490" s="12" t="b">
        <v>0</v>
      </c>
    </row>
    <row r="491">
      <c r="A491" s="12" t="inlineStr">
        <is>
          <t>VS28</t>
        </is>
      </c>
      <c r="B491" s="12" t="b">
        <v>0</v>
      </c>
      <c r="C491" s="12" t="inlineStr">
        <is>
          <t>Fasteners &amp; Fittings</t>
        </is>
      </c>
      <c r="D491" s="12" t="n">
        <v>11</v>
      </c>
      <c r="E491" s="12" t="n">
        <v>0.6</v>
      </c>
      <c r="F491" s="12" t="n">
        <v>175654.38</v>
      </c>
      <c r="G491" s="12" t="n">
        <v>29216.93</v>
      </c>
      <c r="H491" s="12" t="n">
        <v>0</v>
      </c>
      <c r="I491" s="12" t="n">
        <v>1.55</v>
      </c>
      <c r="J491" s="12" t="b">
        <v>0</v>
      </c>
    </row>
    <row r="492">
      <c r="A492" s="12" t="inlineStr">
        <is>
          <t>VS28</t>
        </is>
      </c>
      <c r="B492" s="12" t="b">
        <v>0</v>
      </c>
      <c r="C492" s="12" t="inlineStr">
        <is>
          <t>GI Pipes</t>
        </is>
      </c>
      <c r="D492" s="12" t="n">
        <v>5</v>
      </c>
      <c r="E492" s="12" t="n">
        <v>0.52</v>
      </c>
      <c r="F492" s="12" t="n">
        <v>71301.12</v>
      </c>
      <c r="G492" s="12" t="n">
        <v>7519.86</v>
      </c>
      <c r="H492" s="12" t="n">
        <v>0</v>
      </c>
      <c r="I492" s="12" t="n">
        <v>2.2</v>
      </c>
      <c r="J492" s="12" t="b">
        <v>0</v>
      </c>
    </row>
    <row r="493">
      <c r="A493" s="12" t="inlineStr">
        <is>
          <t>VS28</t>
        </is>
      </c>
      <c r="B493" s="12" t="b">
        <v>0</v>
      </c>
      <c r="C493" s="12" t="inlineStr">
        <is>
          <t>GI Sheets</t>
        </is>
      </c>
      <c r="D493" s="12" t="n">
        <v>4</v>
      </c>
      <c r="E493" s="12" t="n">
        <v>0.15</v>
      </c>
      <c r="F493" s="12" t="n">
        <v>14564.69</v>
      </c>
      <c r="G493" s="12" t="n">
        <v>-28758.35</v>
      </c>
      <c r="H493" s="12" t="n">
        <v>0</v>
      </c>
      <c r="I493" s="12" t="n">
        <v>1.75</v>
      </c>
      <c r="J493" s="12" t="b">
        <v>1</v>
      </c>
    </row>
    <row r="494">
      <c r="A494" s="12" t="inlineStr">
        <is>
          <t>VS28</t>
        </is>
      </c>
      <c r="B494" s="12" t="b">
        <v>0</v>
      </c>
      <c r="C494" s="12" t="inlineStr">
        <is>
          <t>GI Wire</t>
        </is>
      </c>
      <c r="D494" s="12" t="n">
        <v>7</v>
      </c>
      <c r="E494" s="12" t="n">
        <v>0.42</v>
      </c>
      <c r="F494" s="12" t="n">
        <v>54271.01</v>
      </c>
      <c r="G494" s="12" t="n">
        <v>-12223.14</v>
      </c>
      <c r="H494" s="12" t="n">
        <v>0</v>
      </c>
      <c r="I494" s="12" t="n">
        <v>2.14</v>
      </c>
      <c r="J494" s="12" t="b">
        <v>0</v>
      </c>
    </row>
    <row r="495">
      <c r="A495" s="12" t="inlineStr">
        <is>
          <t>VS28</t>
        </is>
      </c>
      <c r="B495" s="12" t="b">
        <v>0</v>
      </c>
      <c r="C495" s="12" t="inlineStr">
        <is>
          <t>Hex Bars</t>
        </is>
      </c>
      <c r="D495" s="12" t="n">
        <v>7</v>
      </c>
      <c r="E495" s="12" t="n">
        <v>0.25</v>
      </c>
      <c r="F495" s="12" t="n">
        <v>42006.1</v>
      </c>
      <c r="G495" s="12" t="n">
        <v>-33884.34</v>
      </c>
      <c r="H495" s="12" t="n">
        <v>0</v>
      </c>
      <c r="I495" s="12" t="n">
        <v>1.86</v>
      </c>
      <c r="J495" s="12" t="b">
        <v>0</v>
      </c>
    </row>
    <row r="496">
      <c r="A496" s="12" t="inlineStr">
        <is>
          <t>VS28</t>
        </is>
      </c>
      <c r="B496" s="12" t="b">
        <v>0</v>
      </c>
      <c r="C496" s="12" t="inlineStr">
        <is>
          <t>MS Flats</t>
        </is>
      </c>
      <c r="D496" s="12" t="n">
        <v>8</v>
      </c>
      <c r="E496" s="12" t="n">
        <v>0.39</v>
      </c>
      <c r="F496" s="12" t="n">
        <v>53578.96</v>
      </c>
      <c r="G496" s="12" t="n">
        <v>-24681.57</v>
      </c>
      <c r="H496" s="12" t="n">
        <v>0</v>
      </c>
      <c r="I496" s="12" t="n">
        <v>2.12</v>
      </c>
      <c r="J496" s="12" t="b">
        <v>0</v>
      </c>
    </row>
    <row r="497">
      <c r="A497" s="12" t="inlineStr">
        <is>
          <t>VS28</t>
        </is>
      </c>
      <c r="B497" s="12" t="b">
        <v>0</v>
      </c>
      <c r="C497" s="12" t="inlineStr">
        <is>
          <t>MS Rods</t>
        </is>
      </c>
      <c r="D497" s="12" t="n">
        <v>12</v>
      </c>
      <c r="E497" s="12" t="n">
        <v>0.48</v>
      </c>
      <c r="F497" s="12" t="n">
        <v>120050.41</v>
      </c>
      <c r="G497" s="12" t="n">
        <v>-4449.41</v>
      </c>
      <c r="H497" s="12" t="n">
        <v>0</v>
      </c>
      <c r="I497" s="12" t="n">
        <v>1.5</v>
      </c>
      <c r="J497" s="12" t="b">
        <v>0</v>
      </c>
    </row>
    <row r="498">
      <c r="A498" s="12" t="inlineStr">
        <is>
          <t>VS28</t>
        </is>
      </c>
      <c r="B498" s="12" t="b">
        <v>0</v>
      </c>
      <c r="C498" s="12" t="inlineStr">
        <is>
          <t>MS Sheets</t>
        </is>
      </c>
      <c r="D498" s="12" t="n">
        <v>14</v>
      </c>
      <c r="E498" s="12" t="n">
        <v>0.37</v>
      </c>
      <c r="F498" s="12" t="n">
        <v>99079.69</v>
      </c>
      <c r="G498" s="12" t="n">
        <v>-50849.08</v>
      </c>
      <c r="H498" s="12" t="n">
        <v>0</v>
      </c>
      <c r="I498" s="12" t="n">
        <v>1.64</v>
      </c>
      <c r="J498" s="12" t="b">
        <v>0</v>
      </c>
    </row>
    <row r="499">
      <c r="A499" s="12" t="inlineStr">
        <is>
          <t>VS28</t>
        </is>
      </c>
      <c r="B499" s="12" t="b">
        <v>0</v>
      </c>
      <c r="C499" s="12" t="inlineStr">
        <is>
          <t>SS Sheets</t>
        </is>
      </c>
      <c r="D499" s="12" t="n">
        <v>10</v>
      </c>
      <c r="E499" s="12" t="n">
        <v>0.51</v>
      </c>
      <c r="F499" s="12" t="n">
        <v>71630.16</v>
      </c>
      <c r="G499" s="12" t="n">
        <v>-3140.66</v>
      </c>
      <c r="H499" s="12" t="n">
        <v>0</v>
      </c>
      <c r="I499" s="12" t="n">
        <v>1.8</v>
      </c>
      <c r="J499" s="12" t="b">
        <v>0</v>
      </c>
    </row>
    <row r="500">
      <c r="A500" s="12" t="inlineStr">
        <is>
          <t>VS28</t>
        </is>
      </c>
      <c r="B500" s="12" t="b">
        <v>0</v>
      </c>
      <c r="C500" s="12" t="inlineStr">
        <is>
          <t>Spring Steel</t>
        </is>
      </c>
      <c r="D500" s="12" t="n">
        <v>5</v>
      </c>
      <c r="E500" s="12" t="n">
        <v>0.35</v>
      </c>
      <c r="F500" s="12" t="n">
        <v>30003.13</v>
      </c>
      <c r="G500" s="12" t="n">
        <v>-8104.4</v>
      </c>
      <c r="H500" s="12" t="n">
        <v>0</v>
      </c>
      <c r="I500" s="12" t="n">
        <v>2.6</v>
      </c>
      <c r="J500" s="12" t="b">
        <v>0</v>
      </c>
    </row>
    <row r="501">
      <c r="A501" s="12" t="inlineStr">
        <is>
          <t>VS28</t>
        </is>
      </c>
      <c r="B501" s="12" t="b">
        <v>0</v>
      </c>
      <c r="C501" s="12" t="inlineStr">
        <is>
          <t>Square/Rect Tubes</t>
        </is>
      </c>
      <c r="D501" s="12" t="n">
        <v>10</v>
      </c>
      <c r="E501" s="12" t="n">
        <v>0.53</v>
      </c>
      <c r="F501" s="12" t="n">
        <v>75251.35000000001</v>
      </c>
      <c r="G501" s="12" t="n">
        <v>2817.76</v>
      </c>
      <c r="H501" s="12" t="n">
        <v>0</v>
      </c>
      <c r="I501" s="12" t="n">
        <v>2</v>
      </c>
      <c r="J501" s="12" t="b">
        <v>0</v>
      </c>
    </row>
    <row r="502">
      <c r="A502" s="12" t="inlineStr">
        <is>
          <t>VS28</t>
        </is>
      </c>
      <c r="B502" s="12" t="b">
        <v>0</v>
      </c>
      <c r="C502" s="12" t="inlineStr">
        <is>
          <t>Structural Steel</t>
        </is>
      </c>
      <c r="D502" s="12" t="n">
        <v>9</v>
      </c>
      <c r="E502" s="12" t="n">
        <v>0.36</v>
      </c>
      <c r="F502" s="12" t="n">
        <v>74987.72</v>
      </c>
      <c r="G502" s="12" t="n">
        <v>-27076.03</v>
      </c>
      <c r="H502" s="12" t="n">
        <v>0</v>
      </c>
      <c r="I502" s="12" t="n">
        <v>1.56</v>
      </c>
      <c r="J502" s="12" t="b">
        <v>0</v>
      </c>
    </row>
    <row r="503">
      <c r="A503" s="12" t="inlineStr">
        <is>
          <t>VS28</t>
        </is>
      </c>
      <c r="B503" s="12" t="b">
        <v>1</v>
      </c>
      <c r="C503" s="12" t="inlineStr">
        <is>
          <t>HR Coils</t>
        </is>
      </c>
      <c r="D503" s="12" t="n">
        <v>5</v>
      </c>
      <c r="E503" s="12" t="n">
        <v>0.68</v>
      </c>
      <c r="F503" s="12" t="n">
        <v>53983.4</v>
      </c>
      <c r="G503" s="12" t="n">
        <v>10549.68</v>
      </c>
      <c r="H503" s="12" t="n">
        <v>0</v>
      </c>
      <c r="I503" s="12" t="n">
        <v>2.4</v>
      </c>
      <c r="J503" s="12" t="b">
        <v>0</v>
      </c>
    </row>
    <row r="504">
      <c r="A504" s="12" t="inlineStr">
        <is>
          <t>VS28</t>
        </is>
      </c>
      <c r="B504" s="12" t="b">
        <v>1</v>
      </c>
      <c r="C504" s="12" t="inlineStr">
        <is>
          <t>MS Pipes</t>
        </is>
      </c>
      <c r="D504" s="12" t="n">
        <v>10</v>
      </c>
      <c r="E504" s="12" t="n">
        <v>0.46</v>
      </c>
      <c r="F504" s="12" t="n">
        <v>99065.67999999999</v>
      </c>
      <c r="G504" s="12" t="n">
        <v>-6394.62</v>
      </c>
      <c r="H504" s="12" t="n">
        <v>0</v>
      </c>
      <c r="I504" s="12" t="n">
        <v>1.6</v>
      </c>
      <c r="J504" s="12" t="b">
        <v>0</v>
      </c>
    </row>
    <row r="505">
      <c r="A505" s="12" t="inlineStr">
        <is>
          <t>VS28</t>
        </is>
      </c>
      <c r="B505" s="12" t="b">
        <v>1</v>
      </c>
      <c r="C505" s="12" t="inlineStr">
        <is>
          <t>SS Pipes</t>
        </is>
      </c>
      <c r="D505" s="12" t="n">
        <v>9</v>
      </c>
      <c r="E505" s="12" t="n">
        <v>0.26</v>
      </c>
      <c r="F505" s="12" t="n">
        <v>25102.17</v>
      </c>
      <c r="G505" s="12" t="n">
        <v>-31365.95</v>
      </c>
      <c r="H505" s="12" t="n">
        <v>0</v>
      </c>
      <c r="I505" s="12" t="n">
        <v>1.44</v>
      </c>
      <c r="J505" s="12" t="b">
        <v>0</v>
      </c>
    </row>
    <row r="506">
      <c r="A506" s="12" t="inlineStr">
        <is>
          <t>VS29</t>
        </is>
      </c>
      <c r="B506" s="12" t="b">
        <v>0</v>
      </c>
      <c r="C506" s="12" t="inlineStr">
        <is>
          <t>Angles &amp; Channels</t>
        </is>
      </c>
      <c r="D506" s="12" t="n">
        <v>8</v>
      </c>
      <c r="E506" s="12" t="n">
        <v>0.58</v>
      </c>
      <c r="F506" s="12" t="n">
        <v>134175.64</v>
      </c>
      <c r="G506" s="12" t="n">
        <v>19930.58</v>
      </c>
      <c r="H506" s="12" t="n">
        <v>0</v>
      </c>
      <c r="I506" s="12" t="n">
        <v>1.5</v>
      </c>
      <c r="J506" s="12" t="b">
        <v>0</v>
      </c>
    </row>
    <row r="507">
      <c r="A507" s="12" t="inlineStr">
        <is>
          <t>VS29</t>
        </is>
      </c>
      <c r="B507" s="12" t="b">
        <v>0</v>
      </c>
      <c r="C507" s="12" t="inlineStr">
        <is>
          <t>CR Sheets</t>
        </is>
      </c>
      <c r="D507" s="12" t="n">
        <v>12</v>
      </c>
      <c r="E507" s="12" t="n">
        <v>0.44</v>
      </c>
      <c r="F507" s="12" t="n">
        <v>114698.91</v>
      </c>
      <c r="G507" s="12" t="n">
        <v>-10000.79</v>
      </c>
      <c r="H507" s="12" t="n">
        <v>0</v>
      </c>
      <c r="I507" s="12" t="n">
        <v>1.17</v>
      </c>
      <c r="J507" s="12" t="b">
        <v>0</v>
      </c>
    </row>
    <row r="508">
      <c r="A508" s="12" t="inlineStr">
        <is>
          <t>VS29</t>
        </is>
      </c>
      <c r="B508" s="12" t="b">
        <v>0</v>
      </c>
      <c r="C508" s="12" t="inlineStr">
        <is>
          <t>ERW Pipes</t>
        </is>
      </c>
      <c r="D508" s="12" t="n">
        <v>7</v>
      </c>
      <c r="E508" s="12" t="n">
        <v>0.53</v>
      </c>
      <c r="F508" s="12" t="n">
        <v>70045.22</v>
      </c>
      <c r="G508" s="12" t="n">
        <v>7705.95</v>
      </c>
      <c r="H508" s="12" t="n">
        <v>0</v>
      </c>
      <c r="I508" s="12" t="n">
        <v>1.86</v>
      </c>
      <c r="J508" s="12" t="b">
        <v>0</v>
      </c>
    </row>
    <row r="509">
      <c r="A509" s="12" t="inlineStr">
        <is>
          <t>VS29</t>
        </is>
      </c>
      <c r="B509" s="12" t="b">
        <v>0</v>
      </c>
      <c r="C509" s="12" t="inlineStr">
        <is>
          <t>Fasteners &amp; Fittings</t>
        </is>
      </c>
      <c r="D509" s="12" t="n">
        <v>5</v>
      </c>
      <c r="E509" s="12" t="n">
        <v>0.58</v>
      </c>
      <c r="F509" s="12" t="n">
        <v>75834.87</v>
      </c>
      <c r="G509" s="12" t="n">
        <v>13235.64</v>
      </c>
      <c r="H509" s="12" t="n">
        <v>0</v>
      </c>
      <c r="I509" s="12" t="n">
        <v>1.4</v>
      </c>
      <c r="J509" s="12" t="b">
        <v>0</v>
      </c>
    </row>
    <row r="510">
      <c r="A510" s="12" t="inlineStr">
        <is>
          <t>VS29</t>
        </is>
      </c>
      <c r="B510" s="12" t="b">
        <v>0</v>
      </c>
      <c r="C510" s="12" t="inlineStr">
        <is>
          <t>GI Pipes</t>
        </is>
      </c>
      <c r="D510" s="12" t="n">
        <v>5</v>
      </c>
      <c r="E510" s="12" t="n">
        <v>0.6</v>
      </c>
      <c r="F510" s="12" t="n">
        <v>44319.03</v>
      </c>
      <c r="G510" s="12" t="n">
        <v>6018.08</v>
      </c>
      <c r="H510" s="12" t="n">
        <v>0</v>
      </c>
      <c r="I510" s="12" t="n">
        <v>1.6</v>
      </c>
      <c r="J510" s="12" t="b">
        <v>0</v>
      </c>
    </row>
    <row r="511">
      <c r="A511" s="12" t="inlineStr">
        <is>
          <t>VS29</t>
        </is>
      </c>
      <c r="B511" s="12" t="b">
        <v>0</v>
      </c>
      <c r="C511" s="12" t="inlineStr">
        <is>
          <t>GI Sheets</t>
        </is>
      </c>
      <c r="D511" s="12" t="n">
        <v>13</v>
      </c>
      <c r="E511" s="12" t="n">
        <v>0.49</v>
      </c>
      <c r="F511" s="12" t="n">
        <v>107804.41</v>
      </c>
      <c r="G511" s="12" t="n">
        <v>-6040.48</v>
      </c>
      <c r="H511" s="12" t="n">
        <v>0</v>
      </c>
      <c r="I511" s="12" t="n">
        <v>2.15</v>
      </c>
      <c r="J511" s="12" t="b">
        <v>0</v>
      </c>
    </row>
    <row r="512">
      <c r="A512" s="12" t="inlineStr">
        <is>
          <t>VS29</t>
        </is>
      </c>
      <c r="B512" s="12" t="b">
        <v>0</v>
      </c>
      <c r="C512" s="12" t="inlineStr">
        <is>
          <t>GI Wire</t>
        </is>
      </c>
      <c r="D512" s="12" t="n">
        <v>10</v>
      </c>
      <c r="E512" s="12" t="n">
        <v>0.62</v>
      </c>
      <c r="F512" s="12" t="n">
        <v>110959.46</v>
      </c>
      <c r="G512" s="12" t="n">
        <v>18361.26</v>
      </c>
      <c r="H512" s="12" t="n">
        <v>0</v>
      </c>
      <c r="I512" s="12" t="n">
        <v>1.2</v>
      </c>
      <c r="J512" s="12" t="b">
        <v>0</v>
      </c>
    </row>
    <row r="513">
      <c r="A513" s="12" t="inlineStr">
        <is>
          <t>VS29</t>
        </is>
      </c>
      <c r="B513" s="12" t="b">
        <v>0</v>
      </c>
      <c r="C513" s="12" t="inlineStr">
        <is>
          <t>HR Coils</t>
        </is>
      </c>
      <c r="D513" s="12" t="n">
        <v>6</v>
      </c>
      <c r="E513" s="12" t="n">
        <v>0.45</v>
      </c>
      <c r="F513" s="12" t="n">
        <v>62237.21</v>
      </c>
      <c r="G513" s="12" t="n">
        <v>-5574.99</v>
      </c>
      <c r="H513" s="12" t="n">
        <v>0</v>
      </c>
      <c r="I513" s="12" t="n">
        <v>1.67</v>
      </c>
      <c r="J513" s="12" t="b">
        <v>0</v>
      </c>
    </row>
    <row r="514">
      <c r="A514" s="12" t="inlineStr">
        <is>
          <t>VS29</t>
        </is>
      </c>
      <c r="B514" s="12" t="b">
        <v>0</v>
      </c>
      <c r="C514" s="12" t="inlineStr">
        <is>
          <t>Hex Bars</t>
        </is>
      </c>
      <c r="D514" s="12" t="n">
        <v>4</v>
      </c>
      <c r="E514" s="12" t="n">
        <v>0.54</v>
      </c>
      <c r="F514" s="12" t="n">
        <v>41429.23</v>
      </c>
      <c r="G514" s="12" t="n">
        <v>4119.19</v>
      </c>
      <c r="H514" s="12" t="n">
        <v>0</v>
      </c>
      <c r="I514" s="12" t="n">
        <v>1.25</v>
      </c>
      <c r="J514" s="12" t="b">
        <v>1</v>
      </c>
    </row>
    <row r="515">
      <c r="A515" s="12" t="inlineStr">
        <is>
          <t>VS29</t>
        </is>
      </c>
      <c r="B515" s="12" t="b">
        <v>0</v>
      </c>
      <c r="C515" s="12" t="inlineStr">
        <is>
          <t>MS Pipes</t>
        </is>
      </c>
      <c r="D515" s="12" t="n">
        <v>14</v>
      </c>
      <c r="E515" s="12" t="n">
        <v>0.64</v>
      </c>
      <c r="F515" s="12" t="n">
        <v>135789.85</v>
      </c>
      <c r="G515" s="12" t="n">
        <v>23561.82</v>
      </c>
      <c r="H515" s="12" t="n">
        <v>0</v>
      </c>
      <c r="I515" s="12" t="n">
        <v>1.14</v>
      </c>
      <c r="J515" s="12" t="b">
        <v>0</v>
      </c>
    </row>
    <row r="516">
      <c r="A516" s="12" t="inlineStr">
        <is>
          <t>VS29</t>
        </is>
      </c>
      <c r="B516" s="12" t="b">
        <v>0</v>
      </c>
      <c r="C516" s="12" t="inlineStr">
        <is>
          <t>MS Rods</t>
        </is>
      </c>
      <c r="D516" s="12" t="n">
        <v>5</v>
      </c>
      <c r="E516" s="12" t="n">
        <v>0.54</v>
      </c>
      <c r="F516" s="12" t="n">
        <v>42906.46</v>
      </c>
      <c r="G516" s="12" t="n">
        <v>1976.67</v>
      </c>
      <c r="H516" s="12" t="n">
        <v>0</v>
      </c>
      <c r="I516" s="12" t="n">
        <v>0.8</v>
      </c>
      <c r="J516" s="12" t="b">
        <v>0</v>
      </c>
    </row>
    <row r="517">
      <c r="A517" s="12" t="inlineStr">
        <is>
          <t>VS29</t>
        </is>
      </c>
      <c r="B517" s="12" t="b">
        <v>0</v>
      </c>
      <c r="C517" s="12" t="inlineStr">
        <is>
          <t>MS Sheets</t>
        </is>
      </c>
      <c r="D517" s="12" t="n">
        <v>9</v>
      </c>
      <c r="E517" s="12" t="n">
        <v>0.28</v>
      </c>
      <c r="F517" s="12" t="n">
        <v>47221.36</v>
      </c>
      <c r="G517" s="12" t="n">
        <v>-52732.92</v>
      </c>
      <c r="H517" s="12" t="n">
        <v>0</v>
      </c>
      <c r="I517" s="12" t="n">
        <v>1.44</v>
      </c>
      <c r="J517" s="12" t="b">
        <v>0</v>
      </c>
    </row>
    <row r="518">
      <c r="A518" s="12" t="inlineStr">
        <is>
          <t>VS29</t>
        </is>
      </c>
      <c r="B518" s="12" t="b">
        <v>0</v>
      </c>
      <c r="C518" s="12" t="inlineStr">
        <is>
          <t>SS Pipes</t>
        </is>
      </c>
      <c r="D518" s="12" t="n">
        <v>10</v>
      </c>
      <c r="E518" s="12" t="n">
        <v>0.55</v>
      </c>
      <c r="F518" s="12" t="n">
        <v>119000.67</v>
      </c>
      <c r="G518" s="12" t="n">
        <v>14030.01</v>
      </c>
      <c r="H518" s="12" t="n">
        <v>0</v>
      </c>
      <c r="I518" s="12" t="n">
        <v>1</v>
      </c>
      <c r="J518" s="12" t="b">
        <v>0</v>
      </c>
    </row>
    <row r="519">
      <c r="A519" s="12" t="inlineStr">
        <is>
          <t>VS29</t>
        </is>
      </c>
      <c r="B519" s="12" t="b">
        <v>0</v>
      </c>
      <c r="C519" s="12" t="inlineStr">
        <is>
          <t>SS Sheets</t>
        </is>
      </c>
      <c r="D519" s="12" t="n">
        <v>11</v>
      </c>
      <c r="E519" s="12" t="n">
        <v>0.41</v>
      </c>
      <c r="F519" s="12" t="n">
        <v>103394.92</v>
      </c>
      <c r="G519" s="12" t="n">
        <v>-18970.32</v>
      </c>
      <c r="H519" s="12" t="n">
        <v>0</v>
      </c>
      <c r="I519" s="12" t="n">
        <v>0.91</v>
      </c>
      <c r="J519" s="12" t="b">
        <v>0</v>
      </c>
    </row>
    <row r="520">
      <c r="A520" s="12" t="inlineStr">
        <is>
          <t>VS29</t>
        </is>
      </c>
      <c r="B520" s="12" t="b">
        <v>0</v>
      </c>
      <c r="C520" s="12" t="inlineStr">
        <is>
          <t>Spring Steel</t>
        </is>
      </c>
      <c r="D520" s="12" t="n">
        <v>7</v>
      </c>
      <c r="E520" s="12" t="n">
        <v>0.24</v>
      </c>
      <c r="F520" s="12" t="n">
        <v>23365.77</v>
      </c>
      <c r="G520" s="12" t="n">
        <v>-43404.51</v>
      </c>
      <c r="H520" s="12" t="n">
        <v>0</v>
      </c>
      <c r="I520" s="12" t="n">
        <v>0.86</v>
      </c>
      <c r="J520" s="12" t="b">
        <v>0</v>
      </c>
    </row>
    <row r="521">
      <c r="A521" s="12" t="inlineStr">
        <is>
          <t>VS29</t>
        </is>
      </c>
      <c r="B521" s="12" t="b">
        <v>0</v>
      </c>
      <c r="C521" s="12" t="inlineStr">
        <is>
          <t>Square/Rect Tubes</t>
        </is>
      </c>
      <c r="D521" s="12" t="n">
        <v>9</v>
      </c>
      <c r="E521" s="12" t="n">
        <v>0.61</v>
      </c>
      <c r="F521" s="12" t="n">
        <v>138388.79</v>
      </c>
      <c r="G521" s="12" t="n">
        <v>22321.37</v>
      </c>
      <c r="H521" s="12" t="n">
        <v>0</v>
      </c>
      <c r="I521" s="12" t="n">
        <v>1.44</v>
      </c>
      <c r="J521" s="12" t="b">
        <v>0</v>
      </c>
    </row>
    <row r="522">
      <c r="A522" s="12" t="inlineStr">
        <is>
          <t>VS29</t>
        </is>
      </c>
      <c r="B522" s="12" t="b">
        <v>0</v>
      </c>
      <c r="C522" s="12" t="inlineStr">
        <is>
          <t>Structural Steel</t>
        </is>
      </c>
      <c r="D522" s="12" t="n">
        <v>7</v>
      </c>
      <c r="E522" s="12" t="n">
        <v>0.52</v>
      </c>
      <c r="F522" s="12" t="n">
        <v>78564.12</v>
      </c>
      <c r="G522" s="12" t="n">
        <v>5491.26</v>
      </c>
      <c r="H522" s="12" t="n">
        <v>0</v>
      </c>
      <c r="I522" s="12" t="n">
        <v>1.57</v>
      </c>
      <c r="J522" s="12" t="b">
        <v>0</v>
      </c>
    </row>
    <row r="523">
      <c r="A523" s="12" t="inlineStr">
        <is>
          <t>VS29</t>
        </is>
      </c>
      <c r="B523" s="12" t="b">
        <v>1</v>
      </c>
      <c r="C523" s="12" t="inlineStr">
        <is>
          <t>MS Flats</t>
        </is>
      </c>
      <c r="D523" s="12" t="n">
        <v>7</v>
      </c>
      <c r="E523" s="12" t="n">
        <v>0.6</v>
      </c>
      <c r="F523" s="12" t="n">
        <v>91910.03999999999</v>
      </c>
      <c r="G523" s="12" t="n">
        <v>16407.75</v>
      </c>
      <c r="H523" s="12" t="n">
        <v>0</v>
      </c>
      <c r="I523" s="12" t="n">
        <v>1.71</v>
      </c>
      <c r="J523" s="12" t="b">
        <v>0</v>
      </c>
    </row>
    <row r="524">
      <c r="A524" s="12" t="inlineStr">
        <is>
          <t>VS30</t>
        </is>
      </c>
      <c r="B524" s="12" t="b">
        <v>0</v>
      </c>
      <c r="C524" s="12" t="inlineStr">
        <is>
          <t>Angles &amp; Channels</t>
        </is>
      </c>
      <c r="D524" s="12" t="n">
        <v>8</v>
      </c>
      <c r="E524" s="12" t="n">
        <v>0.5</v>
      </c>
      <c r="F524" s="12" t="n">
        <v>81034.02</v>
      </c>
      <c r="G524" s="12" t="n">
        <v>-5036.56</v>
      </c>
      <c r="H524" s="12" t="n">
        <v>0</v>
      </c>
      <c r="I524" s="12" t="n">
        <v>1.62</v>
      </c>
      <c r="J524" s="12" t="b">
        <v>0</v>
      </c>
    </row>
    <row r="525">
      <c r="A525" s="12" t="inlineStr">
        <is>
          <t>VS30</t>
        </is>
      </c>
      <c r="B525" s="12" t="b">
        <v>0</v>
      </c>
      <c r="C525" s="12" t="inlineStr">
        <is>
          <t>CR Sheets</t>
        </is>
      </c>
      <c r="D525" s="12" t="n">
        <v>10</v>
      </c>
      <c r="E525" s="12" t="n">
        <v>0.6899999999999999</v>
      </c>
      <c r="F525" s="12" t="n">
        <v>141717.7</v>
      </c>
      <c r="G525" s="12" t="n">
        <v>38575.94</v>
      </c>
      <c r="H525" s="12" t="n">
        <v>0</v>
      </c>
      <c r="I525" s="12" t="n">
        <v>1.1</v>
      </c>
      <c r="J525" s="12" t="b">
        <v>0</v>
      </c>
    </row>
    <row r="526">
      <c r="A526" s="12" t="inlineStr">
        <is>
          <t>VS30</t>
        </is>
      </c>
      <c r="B526" s="12" t="b">
        <v>0</v>
      </c>
      <c r="C526" s="12" t="inlineStr">
        <is>
          <t>ERW Pipes</t>
        </is>
      </c>
      <c r="D526" s="12" t="n">
        <v>3</v>
      </c>
      <c r="E526" s="12" t="n">
        <v>0.55</v>
      </c>
      <c r="F526" s="12" t="n">
        <v>44867.81</v>
      </c>
      <c r="G526" s="12" t="n">
        <v>4096.47</v>
      </c>
      <c r="H526" s="12" t="n">
        <v>0</v>
      </c>
      <c r="I526" s="12" t="n">
        <v>1</v>
      </c>
      <c r="J526" s="12" t="b">
        <v>1</v>
      </c>
    </row>
    <row r="527">
      <c r="A527" s="12" t="inlineStr">
        <is>
          <t>VS30</t>
        </is>
      </c>
      <c r="B527" s="12" t="b">
        <v>0</v>
      </c>
      <c r="C527" s="12" t="inlineStr">
        <is>
          <t>Fasteners &amp; Fittings</t>
        </is>
      </c>
      <c r="D527" s="12" t="n">
        <v>3</v>
      </c>
      <c r="E527" s="12" t="n">
        <v>0.59</v>
      </c>
      <c r="F527" s="12" t="n">
        <v>45938.28</v>
      </c>
      <c r="G527" s="12" t="n">
        <v>8874.719999999999</v>
      </c>
      <c r="H527" s="12" t="n">
        <v>0</v>
      </c>
      <c r="I527" s="12" t="n">
        <v>1.67</v>
      </c>
      <c r="J527" s="12" t="b">
        <v>1</v>
      </c>
    </row>
    <row r="528">
      <c r="A528" s="12" t="inlineStr">
        <is>
          <t>VS30</t>
        </is>
      </c>
      <c r="B528" s="12" t="b">
        <v>0</v>
      </c>
      <c r="C528" s="12" t="inlineStr">
        <is>
          <t>GI Pipes</t>
        </is>
      </c>
      <c r="D528" s="12" t="n">
        <v>7</v>
      </c>
      <c r="E528" s="12" t="n">
        <v>0.42</v>
      </c>
      <c r="F528" s="12" t="n">
        <v>41986.32</v>
      </c>
      <c r="G528" s="12" t="n">
        <v>-17411.96</v>
      </c>
      <c r="H528" s="12" t="n">
        <v>0</v>
      </c>
      <c r="I528" s="12" t="n">
        <v>1.43</v>
      </c>
      <c r="J528" s="12" t="b">
        <v>0</v>
      </c>
    </row>
    <row r="529">
      <c r="A529" s="12" t="inlineStr">
        <is>
          <t>VS30</t>
        </is>
      </c>
      <c r="B529" s="12" t="b">
        <v>0</v>
      </c>
      <c r="C529" s="12" t="inlineStr">
        <is>
          <t>GI Wire</t>
        </is>
      </c>
      <c r="D529" s="12" t="n">
        <v>7</v>
      </c>
      <c r="E529" s="12" t="n">
        <v>0.59</v>
      </c>
      <c r="F529" s="12" t="n">
        <v>106171.35</v>
      </c>
      <c r="G529" s="12" t="n">
        <v>10555.95</v>
      </c>
      <c r="H529" s="12" t="n">
        <v>0</v>
      </c>
      <c r="I529" s="12" t="n">
        <v>2</v>
      </c>
      <c r="J529" s="12" t="b">
        <v>0</v>
      </c>
    </row>
    <row r="530">
      <c r="A530" s="12" t="inlineStr">
        <is>
          <t>VS30</t>
        </is>
      </c>
      <c r="B530" s="12" t="b">
        <v>0</v>
      </c>
      <c r="C530" s="12" t="inlineStr">
        <is>
          <t>HR Coils</t>
        </is>
      </c>
      <c r="D530" s="12" t="n">
        <v>3</v>
      </c>
      <c r="E530" s="12" t="n">
        <v>0.27</v>
      </c>
      <c r="F530" s="12" t="n">
        <v>25680.12</v>
      </c>
      <c r="G530" s="12" t="n">
        <v>-22876.63</v>
      </c>
      <c r="H530" s="12" t="n">
        <v>0</v>
      </c>
      <c r="I530" s="12" t="n">
        <v>2.67</v>
      </c>
      <c r="J530" s="12" t="b">
        <v>1</v>
      </c>
    </row>
    <row r="531">
      <c r="A531" s="12" t="inlineStr">
        <is>
          <t>VS30</t>
        </is>
      </c>
      <c r="B531" s="12" t="b">
        <v>0</v>
      </c>
      <c r="C531" s="12" t="inlineStr">
        <is>
          <t>Hex Bars</t>
        </is>
      </c>
      <c r="D531" s="12" t="n">
        <v>6</v>
      </c>
      <c r="E531" s="12" t="n">
        <v>0.45</v>
      </c>
      <c r="F531" s="12" t="n">
        <v>73989.16</v>
      </c>
      <c r="G531" s="12" t="n">
        <v>-7441.28</v>
      </c>
      <c r="H531" s="12" t="n">
        <v>0</v>
      </c>
      <c r="I531" s="12" t="n">
        <v>2.5</v>
      </c>
      <c r="J531" s="12" t="b">
        <v>0</v>
      </c>
    </row>
    <row r="532">
      <c r="A532" s="12" t="inlineStr">
        <is>
          <t>VS30</t>
        </is>
      </c>
      <c r="B532" s="12" t="b">
        <v>0</v>
      </c>
      <c r="C532" s="12" t="inlineStr">
        <is>
          <t>MS Flats</t>
        </is>
      </c>
      <c r="D532" s="12" t="n">
        <v>13</v>
      </c>
      <c r="E532" s="12" t="n">
        <v>0.38</v>
      </c>
      <c r="F532" s="12" t="n">
        <v>130360.83</v>
      </c>
      <c r="G532" s="12" t="n">
        <v>-41690.89</v>
      </c>
      <c r="H532" s="12" t="n">
        <v>0</v>
      </c>
      <c r="I532" s="12" t="n">
        <v>1.85</v>
      </c>
      <c r="J532" s="12" t="b">
        <v>0</v>
      </c>
    </row>
    <row r="533">
      <c r="A533" s="12" t="inlineStr">
        <is>
          <t>VS30</t>
        </is>
      </c>
      <c r="B533" s="12" t="b">
        <v>0</v>
      </c>
      <c r="C533" s="12" t="inlineStr">
        <is>
          <t>MS Pipes</t>
        </is>
      </c>
      <c r="D533" s="12" t="n">
        <v>13</v>
      </c>
      <c r="E533" s="12" t="n">
        <v>0.47</v>
      </c>
      <c r="F533" s="12" t="n">
        <v>106736.96</v>
      </c>
      <c r="G533" s="12" t="n">
        <v>-5999.56</v>
      </c>
      <c r="H533" s="12" t="n">
        <v>0</v>
      </c>
      <c r="I533" s="12" t="n">
        <v>1.38</v>
      </c>
      <c r="J533" s="12" t="b">
        <v>0</v>
      </c>
    </row>
    <row r="534">
      <c r="A534" s="12" t="inlineStr">
        <is>
          <t>VS30</t>
        </is>
      </c>
      <c r="B534" s="12" t="b">
        <v>0</v>
      </c>
      <c r="C534" s="12" t="inlineStr">
        <is>
          <t>MS Rods</t>
        </is>
      </c>
      <c r="D534" s="12" t="n">
        <v>9</v>
      </c>
      <c r="E534" s="12" t="n">
        <v>0.47</v>
      </c>
      <c r="F534" s="12" t="n">
        <v>71899.3</v>
      </c>
      <c r="G534" s="12" t="n">
        <v>-3398.97</v>
      </c>
      <c r="H534" s="12" t="n">
        <v>0</v>
      </c>
      <c r="I534" s="12" t="n">
        <v>2.22</v>
      </c>
      <c r="J534" s="12" t="b">
        <v>0</v>
      </c>
    </row>
    <row r="535">
      <c r="A535" s="12" t="inlineStr">
        <is>
          <t>VS30</t>
        </is>
      </c>
      <c r="B535" s="12" t="b">
        <v>0</v>
      </c>
      <c r="C535" s="12" t="inlineStr">
        <is>
          <t>MS Sheets</t>
        </is>
      </c>
      <c r="D535" s="12" t="n">
        <v>9</v>
      </c>
      <c r="E535" s="12" t="n">
        <v>0.47</v>
      </c>
      <c r="F535" s="12" t="n">
        <v>84298.39999999999</v>
      </c>
      <c r="G535" s="12" t="n">
        <v>-343.38</v>
      </c>
      <c r="H535" s="12" t="n">
        <v>0</v>
      </c>
      <c r="I535" s="12" t="n">
        <v>2.44</v>
      </c>
      <c r="J535" s="12" t="b">
        <v>0</v>
      </c>
    </row>
    <row r="536">
      <c r="A536" s="12" t="inlineStr">
        <is>
          <t>VS30</t>
        </is>
      </c>
      <c r="B536" s="12" t="b">
        <v>0</v>
      </c>
      <c r="C536" s="12" t="inlineStr">
        <is>
          <t>SS Pipes</t>
        </is>
      </c>
      <c r="D536" s="12" t="n">
        <v>10</v>
      </c>
      <c r="E536" s="12" t="n">
        <v>0.38</v>
      </c>
      <c r="F536" s="12" t="n">
        <v>66973.16</v>
      </c>
      <c r="G536" s="12" t="n">
        <v>-22856.95</v>
      </c>
      <c r="H536" s="12" t="n">
        <v>0</v>
      </c>
      <c r="I536" s="12" t="n">
        <v>2.2</v>
      </c>
      <c r="J536" s="12" t="b">
        <v>0</v>
      </c>
    </row>
    <row r="537">
      <c r="A537" s="12" t="inlineStr">
        <is>
          <t>VS30</t>
        </is>
      </c>
      <c r="B537" s="12" t="b">
        <v>0</v>
      </c>
      <c r="C537" s="12" t="inlineStr">
        <is>
          <t>SS Sheets</t>
        </is>
      </c>
      <c r="D537" s="12" t="n">
        <v>10</v>
      </c>
      <c r="E537" s="12" t="n">
        <v>0.33</v>
      </c>
      <c r="F537" s="12" t="n">
        <v>56268.53</v>
      </c>
      <c r="G537" s="12" t="n">
        <v>-21981.97</v>
      </c>
      <c r="H537" s="12" t="n">
        <v>0</v>
      </c>
      <c r="I537" s="12" t="n">
        <v>1.1</v>
      </c>
      <c r="J537" s="12" t="b">
        <v>0</v>
      </c>
    </row>
    <row r="538">
      <c r="A538" s="12" t="inlineStr">
        <is>
          <t>VS30</t>
        </is>
      </c>
      <c r="B538" s="12" t="b">
        <v>0</v>
      </c>
      <c r="C538" s="12" t="inlineStr">
        <is>
          <t>Spring Steel</t>
        </is>
      </c>
      <c r="D538" s="12" t="n">
        <v>12</v>
      </c>
      <c r="E538" s="12" t="n">
        <v>0.47</v>
      </c>
      <c r="F538" s="12" t="n">
        <v>147928.85</v>
      </c>
      <c r="G538" s="12" t="n">
        <v>-17042.68</v>
      </c>
      <c r="H538" s="12" t="n">
        <v>0</v>
      </c>
      <c r="I538" s="12" t="n">
        <v>1.83</v>
      </c>
      <c r="J538" s="12" t="b">
        <v>0</v>
      </c>
    </row>
    <row r="539">
      <c r="A539" s="12" t="inlineStr">
        <is>
          <t>VS30</t>
        </is>
      </c>
      <c r="B539" s="12" t="b">
        <v>1</v>
      </c>
      <c r="C539" s="12" t="inlineStr">
        <is>
          <t>GI Sheets</t>
        </is>
      </c>
      <c r="D539" s="12" t="n">
        <v>8</v>
      </c>
      <c r="E539" s="12" t="n">
        <v>0.59</v>
      </c>
      <c r="F539" s="12" t="n">
        <v>81668.77</v>
      </c>
      <c r="G539" s="12" t="n">
        <v>12782.55</v>
      </c>
      <c r="H539" s="12" t="n">
        <v>0</v>
      </c>
      <c r="I539" s="12" t="n">
        <v>2</v>
      </c>
      <c r="J539" s="12" t="b">
        <v>0</v>
      </c>
    </row>
    <row r="540">
      <c r="A540" s="12" t="inlineStr">
        <is>
          <t>VS30</t>
        </is>
      </c>
      <c r="B540" s="12" t="b">
        <v>1</v>
      </c>
      <c r="C540" s="12" t="inlineStr">
        <is>
          <t>Square/Rect Tubes</t>
        </is>
      </c>
      <c r="D540" s="12" t="n">
        <v>8</v>
      </c>
      <c r="E540" s="12" t="n">
        <v>0.55</v>
      </c>
      <c r="F540" s="12" t="n">
        <v>122586.4</v>
      </c>
      <c r="G540" s="12" t="n">
        <v>8986.799999999999</v>
      </c>
      <c r="H540" s="12" t="n">
        <v>0</v>
      </c>
      <c r="I540" s="12" t="n">
        <v>2</v>
      </c>
      <c r="J540" s="12" t="b">
        <v>0</v>
      </c>
    </row>
    <row r="541">
      <c r="A541" s="12" t="inlineStr">
        <is>
          <t>VS30</t>
        </is>
      </c>
      <c r="B541" s="12" t="b">
        <v>1</v>
      </c>
      <c r="C541" s="12" t="inlineStr">
        <is>
          <t>Structural Steel</t>
        </is>
      </c>
      <c r="D541" s="12" t="n">
        <v>14</v>
      </c>
      <c r="E541" s="12" t="n">
        <v>0.6</v>
      </c>
      <c r="F541" s="12" t="n">
        <v>137359.73</v>
      </c>
      <c r="G541" s="12" t="n">
        <v>26569.62</v>
      </c>
      <c r="H541" s="12" t="n">
        <v>0</v>
      </c>
      <c r="I541" s="12" t="n">
        <v>1.43</v>
      </c>
      <c r="J541" s="12" t="b">
        <v>0</v>
      </c>
    </row>
    <row r="542">
      <c r="A542" s="12" t="inlineStr">
        <is>
          <t>VS31</t>
        </is>
      </c>
      <c r="B542" s="12" t="b">
        <v>0</v>
      </c>
      <c r="C542" s="12" t="inlineStr">
        <is>
          <t>Angles &amp; Channels</t>
        </is>
      </c>
      <c r="D542" s="12" t="n">
        <v>7</v>
      </c>
      <c r="E542" s="12" t="n">
        <v>0.33</v>
      </c>
      <c r="F542" s="12" t="n">
        <v>29586.15</v>
      </c>
      <c r="G542" s="12" t="n">
        <v>-11865.46</v>
      </c>
      <c r="H542" s="12" t="n">
        <v>0</v>
      </c>
      <c r="I542" s="12" t="n">
        <v>1.43</v>
      </c>
      <c r="J542" s="12" t="b">
        <v>0</v>
      </c>
    </row>
    <row r="543">
      <c r="A543" s="12" t="inlineStr">
        <is>
          <t>VS31</t>
        </is>
      </c>
      <c r="B543" s="12" t="b">
        <v>0</v>
      </c>
      <c r="C543" s="12" t="inlineStr">
        <is>
          <t>CR Sheets</t>
        </is>
      </c>
      <c r="D543" s="12" t="n">
        <v>9</v>
      </c>
      <c r="E543" s="12" t="n">
        <v>0.43</v>
      </c>
      <c r="F543" s="12" t="n">
        <v>106789.64</v>
      </c>
      <c r="G543" s="12" t="n">
        <v>-16372.45</v>
      </c>
      <c r="H543" s="12" t="n">
        <v>0</v>
      </c>
      <c r="I543" s="12" t="n">
        <v>1.67</v>
      </c>
      <c r="J543" s="12" t="b">
        <v>0</v>
      </c>
    </row>
    <row r="544">
      <c r="A544" s="12" t="inlineStr">
        <is>
          <t>VS31</t>
        </is>
      </c>
      <c r="B544" s="12" t="b">
        <v>0</v>
      </c>
      <c r="C544" s="12" t="inlineStr">
        <is>
          <t>Fasteners &amp; Fittings</t>
        </is>
      </c>
      <c r="D544" s="12" t="n">
        <v>8</v>
      </c>
      <c r="E544" s="12" t="n">
        <v>0.44</v>
      </c>
      <c r="F544" s="12" t="n">
        <v>113502.97</v>
      </c>
      <c r="G544" s="12" t="n">
        <v>-12960.16</v>
      </c>
      <c r="H544" s="12" t="n">
        <v>0</v>
      </c>
      <c r="I544" s="12" t="n">
        <v>1</v>
      </c>
      <c r="J544" s="12" t="b">
        <v>0</v>
      </c>
    </row>
    <row r="545">
      <c r="A545" s="12" t="inlineStr">
        <is>
          <t>VS31</t>
        </is>
      </c>
      <c r="B545" s="12" t="b">
        <v>0</v>
      </c>
      <c r="C545" s="12" t="inlineStr">
        <is>
          <t>GI Pipes</t>
        </is>
      </c>
      <c r="D545" s="12" t="n">
        <v>6</v>
      </c>
      <c r="E545" s="12" t="n">
        <v>0.58</v>
      </c>
      <c r="F545" s="12" t="n">
        <v>87637.62</v>
      </c>
      <c r="G545" s="12" t="n">
        <v>9081.530000000001</v>
      </c>
      <c r="H545" s="12" t="n">
        <v>0</v>
      </c>
      <c r="I545" s="12" t="n">
        <v>1.67</v>
      </c>
      <c r="J545" s="12" t="b">
        <v>0</v>
      </c>
    </row>
    <row r="546">
      <c r="A546" s="12" t="inlineStr">
        <is>
          <t>VS31</t>
        </is>
      </c>
      <c r="B546" s="12" t="b">
        <v>0</v>
      </c>
      <c r="C546" s="12" t="inlineStr">
        <is>
          <t>GI Wire</t>
        </is>
      </c>
      <c r="D546" s="12" t="n">
        <v>11</v>
      </c>
      <c r="E546" s="12" t="n">
        <v>0.43</v>
      </c>
      <c r="F546" s="12" t="n">
        <v>111351.53</v>
      </c>
      <c r="G546" s="12" t="n">
        <v>-23874.24</v>
      </c>
      <c r="H546" s="12" t="n">
        <v>0</v>
      </c>
      <c r="I546" s="12" t="n">
        <v>1.73</v>
      </c>
      <c r="J546" s="12" t="b">
        <v>0</v>
      </c>
    </row>
    <row r="547">
      <c r="A547" s="12" t="inlineStr">
        <is>
          <t>VS31</t>
        </is>
      </c>
      <c r="B547" s="12" t="b">
        <v>0</v>
      </c>
      <c r="C547" s="12" t="inlineStr">
        <is>
          <t>HR Coils</t>
        </is>
      </c>
      <c r="D547" s="12" t="n">
        <v>10</v>
      </c>
      <c r="E547" s="12" t="n">
        <v>0.47</v>
      </c>
      <c r="F547" s="12" t="n">
        <v>87307.96000000001</v>
      </c>
      <c r="G547" s="12" t="n">
        <v>-18410.35</v>
      </c>
      <c r="H547" s="12" t="n">
        <v>0</v>
      </c>
      <c r="I547" s="12" t="n">
        <v>1.7</v>
      </c>
      <c r="J547" s="12" t="b">
        <v>0</v>
      </c>
    </row>
    <row r="548">
      <c r="A548" s="12" t="inlineStr">
        <is>
          <t>VS31</t>
        </is>
      </c>
      <c r="B548" s="12" t="b">
        <v>0</v>
      </c>
      <c r="C548" s="12" t="inlineStr">
        <is>
          <t>Hex Bars</t>
        </is>
      </c>
      <c r="D548" s="12" t="n">
        <v>5</v>
      </c>
      <c r="E548" s="12" t="n">
        <v>0.47</v>
      </c>
      <c r="F548" s="12" t="n">
        <v>71198.28</v>
      </c>
      <c r="G548" s="12" t="n">
        <v>694.8099999999999</v>
      </c>
      <c r="H548" s="12" t="n">
        <v>0</v>
      </c>
      <c r="I548" s="12" t="n">
        <v>2.2</v>
      </c>
      <c r="J548" s="12" t="b">
        <v>0</v>
      </c>
    </row>
    <row r="549">
      <c r="A549" s="12" t="inlineStr">
        <is>
          <t>VS31</t>
        </is>
      </c>
      <c r="B549" s="12" t="b">
        <v>0</v>
      </c>
      <c r="C549" s="12" t="inlineStr">
        <is>
          <t>MS Flats</t>
        </is>
      </c>
      <c r="D549" s="12" t="n">
        <v>6</v>
      </c>
      <c r="E549" s="12" t="n">
        <v>0.47</v>
      </c>
      <c r="F549" s="12" t="n">
        <v>50586.4</v>
      </c>
      <c r="G549" s="12" t="n">
        <v>-9339.700000000001</v>
      </c>
      <c r="H549" s="12" t="n">
        <v>0</v>
      </c>
      <c r="I549" s="12" t="n">
        <v>0.83</v>
      </c>
      <c r="J549" s="12" t="b">
        <v>0</v>
      </c>
    </row>
    <row r="550">
      <c r="A550" s="12" t="inlineStr">
        <is>
          <t>VS31</t>
        </is>
      </c>
      <c r="B550" s="12" t="b">
        <v>0</v>
      </c>
      <c r="C550" s="12" t="inlineStr">
        <is>
          <t>MS Pipes</t>
        </is>
      </c>
      <c r="D550" s="12" t="n">
        <v>5</v>
      </c>
      <c r="E550" s="12" t="n">
        <v>0.67</v>
      </c>
      <c r="F550" s="12" t="n">
        <v>60156.5</v>
      </c>
      <c r="G550" s="12" t="n">
        <v>14635.19</v>
      </c>
      <c r="H550" s="12" t="n">
        <v>0</v>
      </c>
      <c r="I550" s="12" t="n">
        <v>1.4</v>
      </c>
      <c r="J550" s="12" t="b">
        <v>0</v>
      </c>
    </row>
    <row r="551">
      <c r="A551" s="12" t="inlineStr">
        <is>
          <t>VS31</t>
        </is>
      </c>
      <c r="B551" s="12" t="b">
        <v>0</v>
      </c>
      <c r="C551" s="12" t="inlineStr">
        <is>
          <t>MS Rods</t>
        </is>
      </c>
      <c r="D551" s="12" t="n">
        <v>3</v>
      </c>
      <c r="E551" s="12" t="n">
        <v>0.43</v>
      </c>
      <c r="F551" s="12" t="n">
        <v>23555.22</v>
      </c>
      <c r="G551" s="12" t="n">
        <v>-7440.52</v>
      </c>
      <c r="H551" s="12" t="n">
        <v>0</v>
      </c>
      <c r="I551" s="12" t="n">
        <v>1</v>
      </c>
      <c r="J551" s="12" t="b">
        <v>1</v>
      </c>
    </row>
    <row r="552">
      <c r="A552" s="12" t="inlineStr">
        <is>
          <t>VS31</t>
        </is>
      </c>
      <c r="B552" s="12" t="b">
        <v>0</v>
      </c>
      <c r="C552" s="12" t="inlineStr">
        <is>
          <t>MS Sheets</t>
        </is>
      </c>
      <c r="D552" s="12" t="n">
        <v>6</v>
      </c>
      <c r="E552" s="12" t="n">
        <v>0.38</v>
      </c>
      <c r="F552" s="12" t="n">
        <v>56761.03</v>
      </c>
      <c r="G552" s="12" t="n">
        <v>-13786.99</v>
      </c>
      <c r="H552" s="12" t="n">
        <v>0</v>
      </c>
      <c r="I552" s="12" t="n">
        <v>1</v>
      </c>
      <c r="J552" s="12" t="b">
        <v>0</v>
      </c>
    </row>
    <row r="553">
      <c r="A553" s="12" t="inlineStr">
        <is>
          <t>VS31</t>
        </is>
      </c>
      <c r="B553" s="12" t="b">
        <v>0</v>
      </c>
      <c r="C553" s="12" t="inlineStr">
        <is>
          <t>SS Pipes</t>
        </is>
      </c>
      <c r="D553" s="12" t="n">
        <v>8</v>
      </c>
      <c r="E553" s="12" t="n">
        <v>0.6</v>
      </c>
      <c r="F553" s="12" t="n">
        <v>84180.77</v>
      </c>
      <c r="G553" s="12" t="n">
        <v>11004.12</v>
      </c>
      <c r="H553" s="12" t="n">
        <v>0</v>
      </c>
      <c r="I553" s="12" t="n">
        <v>1.38</v>
      </c>
      <c r="J553" s="12" t="b">
        <v>0</v>
      </c>
    </row>
    <row r="554">
      <c r="A554" s="12" t="inlineStr">
        <is>
          <t>VS31</t>
        </is>
      </c>
      <c r="B554" s="12" t="b">
        <v>0</v>
      </c>
      <c r="C554" s="12" t="inlineStr">
        <is>
          <t>SS Sheets</t>
        </is>
      </c>
      <c r="D554" s="12" t="n">
        <v>8</v>
      </c>
      <c r="E554" s="12" t="n">
        <v>0.66</v>
      </c>
      <c r="F554" s="12" t="n">
        <v>83399.06</v>
      </c>
      <c r="G554" s="12" t="n">
        <v>20768.23</v>
      </c>
      <c r="H554" s="12" t="n">
        <v>0</v>
      </c>
      <c r="I554" s="12" t="n">
        <v>1.75</v>
      </c>
      <c r="J554" s="12" t="b">
        <v>0</v>
      </c>
    </row>
    <row r="555">
      <c r="A555" s="12" t="inlineStr">
        <is>
          <t>VS31</t>
        </is>
      </c>
      <c r="B555" s="12" t="b">
        <v>0</v>
      </c>
      <c r="C555" s="12" t="inlineStr">
        <is>
          <t>Spring Steel</t>
        </is>
      </c>
      <c r="D555" s="12" t="n">
        <v>11</v>
      </c>
      <c r="E555" s="12" t="n">
        <v>0.41</v>
      </c>
      <c r="F555" s="12" t="n">
        <v>84562.66</v>
      </c>
      <c r="G555" s="12" t="n">
        <v>-13995.09</v>
      </c>
      <c r="H555" s="12" t="n">
        <v>0</v>
      </c>
      <c r="I555" s="12" t="n">
        <v>1</v>
      </c>
      <c r="J555" s="12" t="b">
        <v>0</v>
      </c>
    </row>
    <row r="556">
      <c r="A556" s="12" t="inlineStr">
        <is>
          <t>VS31</t>
        </is>
      </c>
      <c r="B556" s="12" t="b">
        <v>0</v>
      </c>
      <c r="C556" s="12" t="inlineStr">
        <is>
          <t>Square/Rect Tubes</t>
        </is>
      </c>
      <c r="D556" s="12" t="n">
        <v>8</v>
      </c>
      <c r="E556" s="12" t="n">
        <v>0.49</v>
      </c>
      <c r="F556" s="12" t="n">
        <v>93421.47</v>
      </c>
      <c r="G556" s="12" t="n">
        <v>-9780.950000000001</v>
      </c>
      <c r="H556" s="12" t="n">
        <v>0</v>
      </c>
      <c r="I556" s="12" t="n">
        <v>1.62</v>
      </c>
      <c r="J556" s="12" t="b">
        <v>0</v>
      </c>
    </row>
    <row r="557">
      <c r="A557" s="12" t="inlineStr">
        <is>
          <t>VS31</t>
        </is>
      </c>
      <c r="B557" s="12" t="b">
        <v>0</v>
      </c>
      <c r="C557" s="12" t="inlineStr">
        <is>
          <t>Structural Steel</t>
        </is>
      </c>
      <c r="D557" s="12" t="n">
        <v>5</v>
      </c>
      <c r="E557" s="12" t="n">
        <v>0.35</v>
      </c>
      <c r="F557" s="12" t="n">
        <v>40772.38</v>
      </c>
      <c r="G557" s="12" t="n">
        <v>-20364.1</v>
      </c>
      <c r="H557" s="12" t="n">
        <v>0</v>
      </c>
      <c r="I557" s="12" t="n">
        <v>1.6</v>
      </c>
      <c r="J557" s="12" t="b">
        <v>0</v>
      </c>
    </row>
    <row r="558">
      <c r="A558" s="12" t="inlineStr">
        <is>
          <t>VS31</t>
        </is>
      </c>
      <c r="B558" s="12" t="b">
        <v>1</v>
      </c>
      <c r="C558" s="12" t="inlineStr">
        <is>
          <t>ERW Pipes</t>
        </is>
      </c>
      <c r="D558" s="12" t="n">
        <v>7</v>
      </c>
      <c r="E558" s="12" t="n">
        <v>0.6</v>
      </c>
      <c r="F558" s="12" t="n">
        <v>67115.94</v>
      </c>
      <c r="G558" s="12" t="n">
        <v>6823.42</v>
      </c>
      <c r="H558" s="12" t="n">
        <v>0</v>
      </c>
      <c r="I558" s="12" t="n">
        <v>1.43</v>
      </c>
      <c r="J558" s="12" t="b">
        <v>0</v>
      </c>
    </row>
    <row r="559">
      <c r="A559" s="12" t="inlineStr">
        <is>
          <t>VS31</t>
        </is>
      </c>
      <c r="B559" s="12" t="b">
        <v>1</v>
      </c>
      <c r="C559" s="12" t="inlineStr">
        <is>
          <t>GI Sheets</t>
        </is>
      </c>
      <c r="D559" s="12" t="n">
        <v>9</v>
      </c>
      <c r="E559" s="12" t="n">
        <v>0.35</v>
      </c>
      <c r="F559" s="12" t="n">
        <v>96841.33</v>
      </c>
      <c r="G559" s="12" t="n">
        <v>-38202.27</v>
      </c>
      <c r="H559" s="12" t="n">
        <v>0</v>
      </c>
      <c r="I559" s="12" t="n">
        <v>1.44</v>
      </c>
      <c r="J559" s="12" t="b">
        <v>0</v>
      </c>
    </row>
    <row r="560">
      <c r="A560" s="12" t="inlineStr">
        <is>
          <t>VS32</t>
        </is>
      </c>
      <c r="B560" s="12" t="b">
        <v>0</v>
      </c>
      <c r="C560" s="12" t="inlineStr">
        <is>
          <t>Angles &amp; Channels</t>
        </is>
      </c>
      <c r="D560" s="12" t="n">
        <v>6</v>
      </c>
      <c r="E560" s="12" t="n">
        <v>0.52</v>
      </c>
      <c r="F560" s="12" t="n">
        <v>81168.25</v>
      </c>
      <c r="G560" s="12" t="n">
        <v>7736.61</v>
      </c>
      <c r="H560" s="12" t="n">
        <v>0</v>
      </c>
      <c r="I560" s="12" t="n">
        <v>1.67</v>
      </c>
      <c r="J560" s="12" t="b">
        <v>0</v>
      </c>
    </row>
    <row r="561">
      <c r="A561" s="12" t="inlineStr">
        <is>
          <t>VS32</t>
        </is>
      </c>
      <c r="B561" s="12" t="b">
        <v>0</v>
      </c>
      <c r="C561" s="12" t="inlineStr">
        <is>
          <t>CR Sheets</t>
        </is>
      </c>
      <c r="D561" s="12" t="n">
        <v>8</v>
      </c>
      <c r="E561" s="12" t="n">
        <v>0.4</v>
      </c>
      <c r="F561" s="12" t="n">
        <v>84965.00999999999</v>
      </c>
      <c r="G561" s="12" t="n">
        <v>-19337.42</v>
      </c>
      <c r="H561" s="12" t="n">
        <v>0</v>
      </c>
      <c r="I561" s="12" t="n">
        <v>1.25</v>
      </c>
      <c r="J561" s="12" t="b">
        <v>0</v>
      </c>
    </row>
    <row r="562">
      <c r="A562" s="12" t="inlineStr">
        <is>
          <t>VS32</t>
        </is>
      </c>
      <c r="B562" s="12" t="b">
        <v>0</v>
      </c>
      <c r="C562" s="12" t="inlineStr">
        <is>
          <t>ERW Pipes</t>
        </is>
      </c>
      <c r="D562" s="12" t="n">
        <v>12</v>
      </c>
      <c r="E562" s="12" t="n">
        <v>0.33</v>
      </c>
      <c r="F562" s="12" t="n">
        <v>69682.59</v>
      </c>
      <c r="G562" s="12" t="n">
        <v>-53980.75</v>
      </c>
      <c r="H562" s="12" t="n">
        <v>0</v>
      </c>
      <c r="I562" s="12" t="n">
        <v>1</v>
      </c>
      <c r="J562" s="12" t="b">
        <v>0</v>
      </c>
    </row>
    <row r="563">
      <c r="A563" s="12" t="inlineStr">
        <is>
          <t>VS32</t>
        </is>
      </c>
      <c r="B563" s="12" t="b">
        <v>0</v>
      </c>
      <c r="C563" s="12" t="inlineStr">
        <is>
          <t>GI Sheets</t>
        </is>
      </c>
      <c r="D563" s="12" t="n">
        <v>8</v>
      </c>
      <c r="E563" s="12" t="n">
        <v>0.51</v>
      </c>
      <c r="F563" s="12" t="n">
        <v>60997.19</v>
      </c>
      <c r="G563" s="12" t="n">
        <v>-3776.89</v>
      </c>
      <c r="H563" s="12" t="n">
        <v>0</v>
      </c>
      <c r="I563" s="12" t="n">
        <v>1.88</v>
      </c>
      <c r="J563" s="12" t="b">
        <v>0</v>
      </c>
    </row>
    <row r="564">
      <c r="A564" s="12" t="inlineStr">
        <is>
          <t>VS32</t>
        </is>
      </c>
      <c r="B564" s="12" t="b">
        <v>0</v>
      </c>
      <c r="C564" s="12" t="inlineStr">
        <is>
          <t>GI Wire</t>
        </is>
      </c>
      <c r="D564" s="12" t="n">
        <v>13</v>
      </c>
      <c r="E564" s="12" t="n">
        <v>0.3</v>
      </c>
      <c r="F564" s="12" t="n">
        <v>91776.42999999999</v>
      </c>
      <c r="G564" s="12" t="n">
        <v>-69468.97</v>
      </c>
      <c r="H564" s="12" t="n">
        <v>0</v>
      </c>
      <c r="I564" s="12" t="n">
        <v>1.38</v>
      </c>
      <c r="J564" s="12" t="b">
        <v>0</v>
      </c>
    </row>
    <row r="565">
      <c r="A565" s="12" t="inlineStr">
        <is>
          <t>VS32</t>
        </is>
      </c>
      <c r="B565" s="12" t="b">
        <v>0</v>
      </c>
      <c r="C565" s="12" t="inlineStr">
        <is>
          <t>HR Coils</t>
        </is>
      </c>
      <c r="D565" s="12" t="n">
        <v>12</v>
      </c>
      <c r="E565" s="12" t="n">
        <v>0.43</v>
      </c>
      <c r="F565" s="12" t="n">
        <v>92703.71000000001</v>
      </c>
      <c r="G565" s="12" t="n">
        <v>-21679.27</v>
      </c>
      <c r="H565" s="12" t="n">
        <v>0</v>
      </c>
      <c r="I565" s="12" t="n">
        <v>2.08</v>
      </c>
      <c r="J565" s="12" t="b">
        <v>0</v>
      </c>
    </row>
    <row r="566">
      <c r="A566" s="12" t="inlineStr">
        <is>
          <t>VS32</t>
        </is>
      </c>
      <c r="B566" s="12" t="b">
        <v>0</v>
      </c>
      <c r="C566" s="12" t="inlineStr">
        <is>
          <t>Hex Bars</t>
        </is>
      </c>
      <c r="D566" s="12" t="n">
        <v>6</v>
      </c>
      <c r="E566" s="12" t="n">
        <v>0.44</v>
      </c>
      <c r="F566" s="12" t="n">
        <v>55848.81</v>
      </c>
      <c r="G566" s="12" t="n">
        <v>-12950.51</v>
      </c>
      <c r="H566" s="12" t="n">
        <v>0</v>
      </c>
      <c r="I566" s="12" t="n">
        <v>2</v>
      </c>
      <c r="J566" s="12" t="b">
        <v>0</v>
      </c>
    </row>
    <row r="567">
      <c r="A567" s="12" t="inlineStr">
        <is>
          <t>VS32</t>
        </is>
      </c>
      <c r="B567" s="12" t="b">
        <v>0</v>
      </c>
      <c r="C567" s="12" t="inlineStr">
        <is>
          <t>MS Flats</t>
        </is>
      </c>
      <c r="D567" s="12" t="n">
        <v>8</v>
      </c>
      <c r="E567" s="12" t="n">
        <v>0.55</v>
      </c>
      <c r="F567" s="12" t="n">
        <v>103055.95</v>
      </c>
      <c r="G567" s="12" t="n">
        <v>3279.36</v>
      </c>
      <c r="H567" s="12" t="n">
        <v>0</v>
      </c>
      <c r="I567" s="12" t="n">
        <v>1.75</v>
      </c>
      <c r="J567" s="12" t="b">
        <v>0</v>
      </c>
    </row>
    <row r="568">
      <c r="A568" s="12" t="inlineStr">
        <is>
          <t>VS32</t>
        </is>
      </c>
      <c r="B568" s="12" t="b">
        <v>0</v>
      </c>
      <c r="C568" s="12" t="inlineStr">
        <is>
          <t>MS Pipes</t>
        </is>
      </c>
      <c r="D568" s="12" t="n">
        <v>10</v>
      </c>
      <c r="E568" s="12" t="n">
        <v>0.51</v>
      </c>
      <c r="F568" s="12" t="n">
        <v>88427.05</v>
      </c>
      <c r="G568" s="12" t="n">
        <v>-1986.59</v>
      </c>
      <c r="H568" s="12" t="n">
        <v>0</v>
      </c>
      <c r="I568" s="12" t="n">
        <v>1.9</v>
      </c>
      <c r="J568" s="12" t="b">
        <v>0</v>
      </c>
    </row>
    <row r="569">
      <c r="A569" s="12" t="inlineStr">
        <is>
          <t>VS32</t>
        </is>
      </c>
      <c r="B569" s="12" t="b">
        <v>0</v>
      </c>
      <c r="C569" s="12" t="inlineStr">
        <is>
          <t>MS Rods</t>
        </is>
      </c>
      <c r="D569" s="12" t="n">
        <v>9</v>
      </c>
      <c r="E569" s="12" t="n">
        <v>0.44</v>
      </c>
      <c r="F569" s="12" t="n">
        <v>81742.60000000001</v>
      </c>
      <c r="G569" s="12" t="n">
        <v>-19733.2</v>
      </c>
      <c r="H569" s="12" t="n">
        <v>0</v>
      </c>
      <c r="I569" s="12" t="n">
        <v>1.22</v>
      </c>
      <c r="J569" s="12" t="b">
        <v>0</v>
      </c>
    </row>
    <row r="570">
      <c r="A570" s="12" t="inlineStr">
        <is>
          <t>VS32</t>
        </is>
      </c>
      <c r="B570" s="12" t="b">
        <v>0</v>
      </c>
      <c r="C570" s="12" t="inlineStr">
        <is>
          <t>MS Sheets</t>
        </is>
      </c>
      <c r="D570" s="12" t="n">
        <v>6</v>
      </c>
      <c r="E570" s="12" t="n">
        <v>0.41</v>
      </c>
      <c r="F570" s="12" t="n">
        <v>82423.36</v>
      </c>
      <c r="G570" s="12" t="n">
        <v>-11376.89</v>
      </c>
      <c r="H570" s="12" t="n">
        <v>0</v>
      </c>
      <c r="I570" s="12" t="n">
        <v>1.67</v>
      </c>
      <c r="J570" s="12" t="b">
        <v>0</v>
      </c>
    </row>
    <row r="571">
      <c r="A571" s="12" t="inlineStr">
        <is>
          <t>VS32</t>
        </is>
      </c>
      <c r="B571" s="12" t="b">
        <v>0</v>
      </c>
      <c r="C571" s="12" t="inlineStr">
        <is>
          <t>SS Pipes</t>
        </is>
      </c>
      <c r="D571" s="12" t="n">
        <v>4</v>
      </c>
      <c r="E571" s="12" t="n">
        <v>0.19</v>
      </c>
      <c r="F571" s="12" t="n">
        <v>18122.75</v>
      </c>
      <c r="G571" s="12" t="n">
        <v>-29588.71</v>
      </c>
      <c r="H571" s="12" t="n">
        <v>0</v>
      </c>
      <c r="I571" s="12" t="n">
        <v>1.5</v>
      </c>
      <c r="J571" s="12" t="b">
        <v>1</v>
      </c>
    </row>
    <row r="572">
      <c r="A572" s="12" t="inlineStr">
        <is>
          <t>VS32</t>
        </is>
      </c>
      <c r="B572" s="12" t="b">
        <v>0</v>
      </c>
      <c r="C572" s="12" t="inlineStr">
        <is>
          <t>SS Sheets</t>
        </is>
      </c>
      <c r="D572" s="12" t="n">
        <v>8</v>
      </c>
      <c r="E572" s="12" t="n">
        <v>0.49</v>
      </c>
      <c r="F572" s="12" t="n">
        <v>94067.39</v>
      </c>
      <c r="G572" s="12" t="n">
        <v>-14986.11</v>
      </c>
      <c r="H572" s="12" t="n">
        <v>0</v>
      </c>
      <c r="I572" s="12" t="n">
        <v>1.75</v>
      </c>
      <c r="J572" s="12" t="b">
        <v>0</v>
      </c>
    </row>
    <row r="573">
      <c r="A573" s="12" t="inlineStr">
        <is>
          <t>VS32</t>
        </is>
      </c>
      <c r="B573" s="12" t="b">
        <v>0</v>
      </c>
      <c r="C573" s="12" t="inlineStr">
        <is>
          <t>Spring Steel</t>
        </is>
      </c>
      <c r="D573" s="12" t="n">
        <v>12</v>
      </c>
      <c r="E573" s="12" t="n">
        <v>0.52</v>
      </c>
      <c r="F573" s="12" t="n">
        <v>126495.01</v>
      </c>
      <c r="G573" s="12" t="n">
        <v>-3014.83</v>
      </c>
      <c r="H573" s="12" t="n">
        <v>0</v>
      </c>
      <c r="I573" s="12" t="n">
        <v>1.33</v>
      </c>
      <c r="J573" s="12" t="b">
        <v>0</v>
      </c>
    </row>
    <row r="574">
      <c r="A574" s="12" t="inlineStr">
        <is>
          <t>VS32</t>
        </is>
      </c>
      <c r="B574" s="12" t="b">
        <v>0</v>
      </c>
      <c r="C574" s="12" t="inlineStr">
        <is>
          <t>Square/Rect Tubes</t>
        </is>
      </c>
      <c r="D574" s="12" t="n">
        <v>6</v>
      </c>
      <c r="E574" s="12" t="n">
        <v>0.55</v>
      </c>
      <c r="F574" s="12" t="n">
        <v>44732.85</v>
      </c>
      <c r="G574" s="12" t="n">
        <v>-975.16</v>
      </c>
      <c r="H574" s="12" t="n">
        <v>0</v>
      </c>
      <c r="I574" s="12" t="n">
        <v>1.17</v>
      </c>
      <c r="J574" s="12" t="b">
        <v>0</v>
      </c>
    </row>
    <row r="575">
      <c r="A575" s="12" t="inlineStr">
        <is>
          <t>VS32</t>
        </is>
      </c>
      <c r="B575" s="12" t="b">
        <v>0</v>
      </c>
      <c r="C575" s="12" t="inlineStr">
        <is>
          <t>Structural Steel</t>
        </is>
      </c>
      <c r="D575" s="12" t="n">
        <v>6</v>
      </c>
      <c r="E575" s="12" t="n">
        <v>0.38</v>
      </c>
      <c r="F575" s="12" t="n">
        <v>27198.82</v>
      </c>
      <c r="G575" s="12" t="n">
        <v>-10013.68</v>
      </c>
      <c r="H575" s="12" t="n">
        <v>0</v>
      </c>
      <c r="I575" s="12" t="n">
        <v>1.83</v>
      </c>
      <c r="J575" s="12" t="b">
        <v>0</v>
      </c>
    </row>
    <row r="576">
      <c r="A576" s="12" t="inlineStr">
        <is>
          <t>VS32</t>
        </is>
      </c>
      <c r="B576" s="12" t="b">
        <v>1</v>
      </c>
      <c r="C576" s="12" t="inlineStr">
        <is>
          <t>Fasteners &amp; Fittings</t>
        </is>
      </c>
      <c r="D576" s="12" t="n">
        <v>10</v>
      </c>
      <c r="E576" s="12" t="n">
        <v>0.44</v>
      </c>
      <c r="F576" s="12" t="n">
        <v>74087.37</v>
      </c>
      <c r="G576" s="12" t="n">
        <v>-12773.2</v>
      </c>
      <c r="H576" s="12" t="n">
        <v>0</v>
      </c>
      <c r="I576" s="12" t="n">
        <v>1.9</v>
      </c>
      <c r="J576" s="12" t="b">
        <v>0</v>
      </c>
    </row>
    <row r="577">
      <c r="A577" s="12" t="inlineStr">
        <is>
          <t>VS32</t>
        </is>
      </c>
      <c r="B577" s="12" t="b">
        <v>1</v>
      </c>
      <c r="C577" s="12" t="inlineStr">
        <is>
          <t>GI Pipes</t>
        </is>
      </c>
      <c r="D577" s="12" t="n">
        <v>4</v>
      </c>
      <c r="E577" s="12" t="n">
        <v>0.45</v>
      </c>
      <c r="F577" s="12" t="n">
        <v>36057.78</v>
      </c>
      <c r="G577" s="12" t="n">
        <v>-9750.59</v>
      </c>
      <c r="H577" s="12" t="n">
        <v>0</v>
      </c>
      <c r="I577" s="12" t="n">
        <v>1.25</v>
      </c>
      <c r="J577" s="12" t="b">
        <v>1</v>
      </c>
    </row>
    <row r="578">
      <c r="A578" s="12" t="inlineStr">
        <is>
          <t>VS33</t>
        </is>
      </c>
      <c r="B578" s="12" t="b">
        <v>0</v>
      </c>
      <c r="C578" s="12" t="inlineStr">
        <is>
          <t>Angles &amp; Channels</t>
        </is>
      </c>
      <c r="D578" s="12" t="n">
        <v>8</v>
      </c>
      <c r="E578" s="12" t="n">
        <v>0.42</v>
      </c>
      <c r="F578" s="12" t="n">
        <v>80270.91</v>
      </c>
      <c r="G578" s="12" t="n">
        <v>-20091.74</v>
      </c>
      <c r="H578" s="12" t="n">
        <v>0</v>
      </c>
      <c r="I578" s="12" t="n">
        <v>1.62</v>
      </c>
      <c r="J578" s="12" t="b">
        <v>0</v>
      </c>
    </row>
    <row r="579">
      <c r="A579" s="12" t="inlineStr">
        <is>
          <t>VS33</t>
        </is>
      </c>
      <c r="B579" s="12" t="b">
        <v>0</v>
      </c>
      <c r="C579" s="12" t="inlineStr">
        <is>
          <t>CR Sheets</t>
        </is>
      </c>
      <c r="D579" s="12" t="n">
        <v>8</v>
      </c>
      <c r="E579" s="12" t="n">
        <v>0.53</v>
      </c>
      <c r="F579" s="12" t="n">
        <v>58883.43</v>
      </c>
      <c r="G579" s="12" t="n">
        <v>-6898.31</v>
      </c>
      <c r="H579" s="12" t="n">
        <v>0</v>
      </c>
      <c r="I579" s="12" t="n">
        <v>1</v>
      </c>
      <c r="J579" s="12" t="b">
        <v>0</v>
      </c>
    </row>
    <row r="580">
      <c r="A580" s="12" t="inlineStr">
        <is>
          <t>VS33</t>
        </is>
      </c>
      <c r="B580" s="12" t="b">
        <v>0</v>
      </c>
      <c r="C580" s="12" t="inlineStr">
        <is>
          <t>Fasteners &amp; Fittings</t>
        </is>
      </c>
      <c r="D580" s="12" t="n">
        <v>3</v>
      </c>
      <c r="E580" s="12" t="n">
        <v>0.48</v>
      </c>
      <c r="F580" s="12" t="n">
        <v>38072.28</v>
      </c>
      <c r="G580" s="12" t="n">
        <v>-3582.85</v>
      </c>
      <c r="H580" s="12" t="n">
        <v>0</v>
      </c>
      <c r="I580" s="12" t="n">
        <v>1.67</v>
      </c>
      <c r="J580" s="12" t="b">
        <v>1</v>
      </c>
    </row>
    <row r="581">
      <c r="A581" s="12" t="inlineStr">
        <is>
          <t>VS33</t>
        </is>
      </c>
      <c r="B581" s="12" t="b">
        <v>0</v>
      </c>
      <c r="C581" s="12" t="inlineStr">
        <is>
          <t>GI Pipes</t>
        </is>
      </c>
      <c r="D581" s="12" t="n">
        <v>2</v>
      </c>
      <c r="E581" s="12" t="n">
        <v>0.48</v>
      </c>
      <c r="F581" s="12" t="n">
        <v>22260.04</v>
      </c>
      <c r="G581" s="12" t="n">
        <v>378.39</v>
      </c>
      <c r="H581" s="12" t="n">
        <v>0</v>
      </c>
      <c r="I581" s="12" t="n">
        <v>2.5</v>
      </c>
      <c r="J581" s="12" t="b">
        <v>1</v>
      </c>
    </row>
    <row r="582">
      <c r="A582" s="12" t="inlineStr">
        <is>
          <t>VS33</t>
        </is>
      </c>
      <c r="B582" s="12" t="b">
        <v>0</v>
      </c>
      <c r="C582" s="12" t="inlineStr">
        <is>
          <t>GI Sheets</t>
        </is>
      </c>
      <c r="D582" s="12" t="n">
        <v>5</v>
      </c>
      <c r="E582" s="12" t="n">
        <v>0.35</v>
      </c>
      <c r="F582" s="12" t="n">
        <v>33490.6</v>
      </c>
      <c r="G582" s="12" t="n">
        <v>-13704.66</v>
      </c>
      <c r="H582" s="12" t="n">
        <v>0</v>
      </c>
      <c r="I582" s="12" t="n">
        <v>2</v>
      </c>
      <c r="J582" s="12" t="b">
        <v>0</v>
      </c>
    </row>
    <row r="583">
      <c r="A583" s="12" t="inlineStr">
        <is>
          <t>VS33</t>
        </is>
      </c>
      <c r="B583" s="12" t="b">
        <v>0</v>
      </c>
      <c r="C583" s="12" t="inlineStr">
        <is>
          <t>GI Wire</t>
        </is>
      </c>
      <c r="D583" s="12" t="n">
        <v>9</v>
      </c>
      <c r="E583" s="12" t="n">
        <v>0.51</v>
      </c>
      <c r="F583" s="12" t="n">
        <v>125005.88</v>
      </c>
      <c r="G583" s="12" t="n">
        <v>-602.33</v>
      </c>
      <c r="H583" s="12" t="n">
        <v>0</v>
      </c>
      <c r="I583" s="12" t="n">
        <v>1.56</v>
      </c>
      <c r="J583" s="12" t="b">
        <v>0</v>
      </c>
    </row>
    <row r="584">
      <c r="A584" s="12" t="inlineStr">
        <is>
          <t>VS33</t>
        </is>
      </c>
      <c r="B584" s="12" t="b">
        <v>0</v>
      </c>
      <c r="C584" s="12" t="inlineStr">
        <is>
          <t>Hex Bars</t>
        </is>
      </c>
      <c r="D584" s="12" t="n">
        <v>8</v>
      </c>
      <c r="E584" s="12" t="n">
        <v>0.5600000000000001</v>
      </c>
      <c r="F584" s="12" t="n">
        <v>130388.98</v>
      </c>
      <c r="G584" s="12" t="n">
        <v>10425.38</v>
      </c>
      <c r="H584" s="12" t="n">
        <v>0</v>
      </c>
      <c r="I584" s="12" t="n">
        <v>1.5</v>
      </c>
      <c r="J584" s="12" t="b">
        <v>0</v>
      </c>
    </row>
    <row r="585">
      <c r="A585" s="12" t="inlineStr">
        <is>
          <t>VS33</t>
        </is>
      </c>
      <c r="B585" s="12" t="b">
        <v>0</v>
      </c>
      <c r="C585" s="12" t="inlineStr">
        <is>
          <t>MS Pipes</t>
        </is>
      </c>
      <c r="D585" s="12" t="n">
        <v>2</v>
      </c>
      <c r="E585" s="12" t="n">
        <v>0.58</v>
      </c>
      <c r="F585" s="12" t="n">
        <v>20792.02</v>
      </c>
      <c r="G585" s="12" t="n">
        <v>1842.28</v>
      </c>
      <c r="H585" s="12" t="n">
        <v>0</v>
      </c>
      <c r="I585" s="12" t="n">
        <v>3</v>
      </c>
      <c r="J585" s="12" t="b">
        <v>1</v>
      </c>
    </row>
    <row r="586">
      <c r="A586" s="12" t="inlineStr">
        <is>
          <t>VS33</t>
        </is>
      </c>
      <c r="B586" s="12" t="b">
        <v>0</v>
      </c>
      <c r="C586" s="12" t="inlineStr">
        <is>
          <t>MS Rods</t>
        </is>
      </c>
      <c r="D586" s="12" t="n">
        <v>13</v>
      </c>
      <c r="E586" s="12" t="n">
        <v>0.48</v>
      </c>
      <c r="F586" s="12" t="n">
        <v>120982.99</v>
      </c>
      <c r="G586" s="12" t="n">
        <v>-3820</v>
      </c>
      <c r="H586" s="12" t="n">
        <v>0</v>
      </c>
      <c r="I586" s="12" t="n">
        <v>1.54</v>
      </c>
      <c r="J586" s="12" t="b">
        <v>0</v>
      </c>
    </row>
    <row r="587">
      <c r="A587" s="12" t="inlineStr">
        <is>
          <t>VS33</t>
        </is>
      </c>
      <c r="B587" s="12" t="b">
        <v>0</v>
      </c>
      <c r="C587" s="12" t="inlineStr">
        <is>
          <t>MS Sheets</t>
        </is>
      </c>
      <c r="D587" s="12" t="n">
        <v>11</v>
      </c>
      <c r="E587" s="12" t="n">
        <v>0.43</v>
      </c>
      <c r="F587" s="12" t="n">
        <v>69673.45</v>
      </c>
      <c r="G587" s="12" t="n">
        <v>-5356.66</v>
      </c>
      <c r="H587" s="12" t="n">
        <v>0</v>
      </c>
      <c r="I587" s="12" t="n">
        <v>1.18</v>
      </c>
      <c r="J587" s="12" t="b">
        <v>0</v>
      </c>
    </row>
    <row r="588">
      <c r="A588" s="12" t="inlineStr">
        <is>
          <t>VS33</t>
        </is>
      </c>
      <c r="B588" s="12" t="b">
        <v>0</v>
      </c>
      <c r="C588" s="12" t="inlineStr">
        <is>
          <t>SS Pipes</t>
        </is>
      </c>
      <c r="D588" s="12" t="n">
        <v>9</v>
      </c>
      <c r="E588" s="12" t="n">
        <v>0.52</v>
      </c>
      <c r="F588" s="12" t="n">
        <v>76369.08</v>
      </c>
      <c r="G588" s="12" t="n">
        <v>-2778.51</v>
      </c>
      <c r="H588" s="12" t="n">
        <v>0</v>
      </c>
      <c r="I588" s="12" t="n">
        <v>1.56</v>
      </c>
      <c r="J588" s="12" t="b">
        <v>0</v>
      </c>
    </row>
    <row r="589">
      <c r="A589" s="12" t="inlineStr">
        <is>
          <t>VS33</t>
        </is>
      </c>
      <c r="B589" s="12" t="b">
        <v>0</v>
      </c>
      <c r="C589" s="12" t="inlineStr">
        <is>
          <t>SS Sheets</t>
        </is>
      </c>
      <c r="D589" s="12" t="n">
        <v>10</v>
      </c>
      <c r="E589" s="12" t="n">
        <v>0.58</v>
      </c>
      <c r="F589" s="12" t="n">
        <v>127528.21</v>
      </c>
      <c r="G589" s="12" t="n">
        <v>16371.66</v>
      </c>
      <c r="H589" s="12" t="n">
        <v>0</v>
      </c>
      <c r="I589" s="12" t="n">
        <v>0.9</v>
      </c>
      <c r="J589" s="12" t="b">
        <v>0</v>
      </c>
    </row>
    <row r="590">
      <c r="A590" s="12" t="inlineStr">
        <is>
          <t>VS33</t>
        </is>
      </c>
      <c r="B590" s="12" t="b">
        <v>0</v>
      </c>
      <c r="C590" s="12" t="inlineStr">
        <is>
          <t>Spring Steel</t>
        </is>
      </c>
      <c r="D590" s="12" t="n">
        <v>6</v>
      </c>
      <c r="E590" s="12" t="n">
        <v>0.49</v>
      </c>
      <c r="F590" s="12" t="n">
        <v>71576.19</v>
      </c>
      <c r="G590" s="12" t="n">
        <v>-6396.46</v>
      </c>
      <c r="H590" s="12" t="n">
        <v>0</v>
      </c>
      <c r="I590" s="12" t="n">
        <v>0.67</v>
      </c>
      <c r="J590" s="12" t="b">
        <v>0</v>
      </c>
    </row>
    <row r="591">
      <c r="A591" s="12" t="inlineStr">
        <is>
          <t>VS33</t>
        </is>
      </c>
      <c r="B591" s="12" t="b">
        <v>0</v>
      </c>
      <c r="C591" s="12" t="inlineStr">
        <is>
          <t>Square/Rect Tubes</t>
        </is>
      </c>
      <c r="D591" s="12" t="n">
        <v>7</v>
      </c>
      <c r="E591" s="12" t="n">
        <v>0.39</v>
      </c>
      <c r="F591" s="12" t="n">
        <v>41783.2</v>
      </c>
      <c r="G591" s="12" t="n">
        <v>-9004.799999999999</v>
      </c>
      <c r="H591" s="12" t="n">
        <v>0</v>
      </c>
      <c r="I591" s="12" t="n">
        <v>1.29</v>
      </c>
      <c r="J591" s="12" t="b">
        <v>0</v>
      </c>
    </row>
    <row r="592">
      <c r="A592" s="12" t="inlineStr">
        <is>
          <t>VS33</t>
        </is>
      </c>
      <c r="B592" s="12" t="b">
        <v>0</v>
      </c>
      <c r="C592" s="12" t="inlineStr">
        <is>
          <t>Structural Steel</t>
        </is>
      </c>
      <c r="D592" s="12" t="n">
        <v>7</v>
      </c>
      <c r="E592" s="12" t="n">
        <v>0.5</v>
      </c>
      <c r="F592" s="12" t="n">
        <v>71581.2</v>
      </c>
      <c r="G592" s="12" t="n">
        <v>2439.46</v>
      </c>
      <c r="H592" s="12" t="n">
        <v>0</v>
      </c>
      <c r="I592" s="12" t="n">
        <v>1.86</v>
      </c>
      <c r="J592" s="12" t="b">
        <v>0</v>
      </c>
    </row>
    <row r="593">
      <c r="A593" s="12" t="inlineStr">
        <is>
          <t>VS33</t>
        </is>
      </c>
      <c r="B593" s="12" t="b">
        <v>1</v>
      </c>
      <c r="C593" s="12" t="inlineStr">
        <is>
          <t>ERW Pipes</t>
        </is>
      </c>
      <c r="D593" s="12" t="n">
        <v>9</v>
      </c>
      <c r="E593" s="12" t="n">
        <v>0.33</v>
      </c>
      <c r="F593" s="12" t="n">
        <v>48255.03</v>
      </c>
      <c r="G593" s="12" t="n">
        <v>-28013.48</v>
      </c>
      <c r="H593" s="12" t="n">
        <v>0</v>
      </c>
      <c r="I593" s="12" t="n">
        <v>2</v>
      </c>
      <c r="J593" s="12" t="b">
        <v>0</v>
      </c>
    </row>
    <row r="594">
      <c r="A594" s="12" t="inlineStr">
        <is>
          <t>VS33</t>
        </is>
      </c>
      <c r="B594" s="12" t="b">
        <v>1</v>
      </c>
      <c r="C594" s="12" t="inlineStr">
        <is>
          <t>HR Coils</t>
        </is>
      </c>
      <c r="D594" s="12" t="n">
        <v>9</v>
      </c>
      <c r="E594" s="12" t="n">
        <v>0.48</v>
      </c>
      <c r="F594" s="12" t="n">
        <v>107137.28</v>
      </c>
      <c r="G594" s="12" t="n">
        <v>-1353.6</v>
      </c>
      <c r="H594" s="12" t="n">
        <v>0</v>
      </c>
      <c r="I594" s="12" t="n">
        <v>2.11</v>
      </c>
      <c r="J594" s="12" t="b">
        <v>0</v>
      </c>
    </row>
    <row r="595">
      <c r="A595" s="12" t="inlineStr">
        <is>
          <t>VS33</t>
        </is>
      </c>
      <c r="B595" s="12" t="b">
        <v>1</v>
      </c>
      <c r="C595" s="12" t="inlineStr">
        <is>
          <t>MS Flats</t>
        </is>
      </c>
      <c r="D595" s="12" t="n">
        <v>5</v>
      </c>
      <c r="E595" s="12" t="n">
        <v>0.59</v>
      </c>
      <c r="F595" s="12" t="n">
        <v>91142.13</v>
      </c>
      <c r="G595" s="12" t="n">
        <v>14026.36</v>
      </c>
      <c r="H595" s="12" t="n">
        <v>0</v>
      </c>
      <c r="I595" s="12" t="n">
        <v>2</v>
      </c>
      <c r="J595" s="12" t="b">
        <v>0</v>
      </c>
    </row>
    <row r="596">
      <c r="A596" s="12" t="inlineStr">
        <is>
          <t>VS34</t>
        </is>
      </c>
      <c r="B596" s="12" t="b">
        <v>0</v>
      </c>
      <c r="C596" s="12" t="inlineStr">
        <is>
          <t>Angles &amp; Channels</t>
        </is>
      </c>
      <c r="D596" s="12" t="n">
        <v>7</v>
      </c>
      <c r="E596" s="12" t="n">
        <v>0.65</v>
      </c>
      <c r="F596" s="12" t="n">
        <v>104091.49</v>
      </c>
      <c r="G596" s="12" t="n">
        <v>21230.96</v>
      </c>
      <c r="H596" s="12" t="n">
        <v>0</v>
      </c>
      <c r="I596" s="12" t="n">
        <v>1.43</v>
      </c>
      <c r="J596" s="12" t="b">
        <v>0</v>
      </c>
    </row>
    <row r="597">
      <c r="A597" s="12" t="inlineStr">
        <is>
          <t>VS34</t>
        </is>
      </c>
      <c r="B597" s="12" t="b">
        <v>0</v>
      </c>
      <c r="C597" s="12" t="inlineStr">
        <is>
          <t>CR Sheets</t>
        </is>
      </c>
      <c r="D597" s="12" t="n">
        <v>11</v>
      </c>
      <c r="E597" s="12" t="n">
        <v>0.43</v>
      </c>
      <c r="F597" s="12" t="n">
        <v>87270.39999999999</v>
      </c>
      <c r="G597" s="12" t="n">
        <v>-18432.17</v>
      </c>
      <c r="H597" s="12" t="n">
        <v>0</v>
      </c>
      <c r="I597" s="12" t="n">
        <v>1.09</v>
      </c>
      <c r="J597" s="12" t="b">
        <v>0</v>
      </c>
    </row>
    <row r="598">
      <c r="A598" s="12" t="inlineStr">
        <is>
          <t>VS34</t>
        </is>
      </c>
      <c r="B598" s="12" t="b">
        <v>0</v>
      </c>
      <c r="C598" s="12" t="inlineStr">
        <is>
          <t>ERW Pipes</t>
        </is>
      </c>
      <c r="D598" s="12" t="n">
        <v>8</v>
      </c>
      <c r="E598" s="12" t="n">
        <v>0.44</v>
      </c>
      <c r="F598" s="12" t="n">
        <v>56661.22</v>
      </c>
      <c r="G598" s="12" t="n">
        <v>-8784.57</v>
      </c>
      <c r="H598" s="12" t="n">
        <v>0</v>
      </c>
      <c r="I598" s="12" t="n">
        <v>1.88</v>
      </c>
      <c r="J598" s="12" t="b">
        <v>0</v>
      </c>
    </row>
    <row r="599">
      <c r="A599" s="12" t="inlineStr">
        <is>
          <t>VS34</t>
        </is>
      </c>
      <c r="B599" s="12" t="b">
        <v>0</v>
      </c>
      <c r="C599" s="12" t="inlineStr">
        <is>
          <t>Fasteners &amp; Fittings</t>
        </is>
      </c>
      <c r="D599" s="12" t="n">
        <v>7</v>
      </c>
      <c r="E599" s="12" t="n">
        <v>0.52</v>
      </c>
      <c r="F599" s="12" t="n">
        <v>110734.77</v>
      </c>
      <c r="G599" s="12" t="n">
        <v>3230.07</v>
      </c>
      <c r="H599" s="12" t="n">
        <v>0</v>
      </c>
      <c r="I599" s="12" t="n">
        <v>2.29</v>
      </c>
      <c r="J599" s="12" t="b">
        <v>0</v>
      </c>
    </row>
    <row r="600">
      <c r="A600" s="12" t="inlineStr">
        <is>
          <t>VS34</t>
        </is>
      </c>
      <c r="B600" s="12" t="b">
        <v>0</v>
      </c>
      <c r="C600" s="12" t="inlineStr">
        <is>
          <t>GI Pipes</t>
        </is>
      </c>
      <c r="D600" s="12" t="n">
        <v>5</v>
      </c>
      <c r="E600" s="12" t="n">
        <v>0.7</v>
      </c>
      <c r="F600" s="12" t="n">
        <v>33276.26</v>
      </c>
      <c r="G600" s="12" t="n">
        <v>7850.72</v>
      </c>
      <c r="H600" s="12" t="n">
        <v>0</v>
      </c>
      <c r="I600" s="12" t="n">
        <v>1.4</v>
      </c>
      <c r="J600" s="12" t="b">
        <v>0</v>
      </c>
    </row>
    <row r="601">
      <c r="A601" s="12" t="inlineStr">
        <is>
          <t>VS34</t>
        </is>
      </c>
      <c r="B601" s="12" t="b">
        <v>0</v>
      </c>
      <c r="C601" s="12" t="inlineStr">
        <is>
          <t>GI Sheets</t>
        </is>
      </c>
      <c r="D601" s="12" t="n">
        <v>6</v>
      </c>
      <c r="E601" s="12" t="n">
        <v>0.52</v>
      </c>
      <c r="F601" s="12" t="n">
        <v>99824.03</v>
      </c>
      <c r="G601" s="12" t="n">
        <v>2669.35</v>
      </c>
      <c r="H601" s="12" t="n">
        <v>0</v>
      </c>
      <c r="I601" s="12" t="n">
        <v>0.83</v>
      </c>
      <c r="J601" s="12" t="b">
        <v>0</v>
      </c>
    </row>
    <row r="602">
      <c r="A602" s="12" t="inlineStr">
        <is>
          <t>VS34</t>
        </is>
      </c>
      <c r="B602" s="12" t="b">
        <v>0</v>
      </c>
      <c r="C602" s="12" t="inlineStr">
        <is>
          <t>HR Coils</t>
        </is>
      </c>
      <c r="D602" s="12" t="n">
        <v>14</v>
      </c>
      <c r="E602" s="12" t="n">
        <v>0.55</v>
      </c>
      <c r="F602" s="12" t="n">
        <v>138561.43</v>
      </c>
      <c r="G602" s="12" t="n">
        <v>10742.45</v>
      </c>
      <c r="H602" s="12" t="n">
        <v>0</v>
      </c>
      <c r="I602" s="12" t="n">
        <v>2.14</v>
      </c>
      <c r="J602" s="12" t="b">
        <v>0</v>
      </c>
    </row>
    <row r="603">
      <c r="A603" s="12" t="inlineStr">
        <is>
          <t>VS34</t>
        </is>
      </c>
      <c r="B603" s="12" t="b">
        <v>0</v>
      </c>
      <c r="C603" s="12" t="inlineStr">
        <is>
          <t>Hex Bars</t>
        </is>
      </c>
      <c r="D603" s="12" t="n">
        <v>6</v>
      </c>
      <c r="E603" s="12" t="n">
        <v>0.55</v>
      </c>
      <c r="F603" s="12" t="n">
        <v>73468.13</v>
      </c>
      <c r="G603" s="12" t="n">
        <v>2271.31</v>
      </c>
      <c r="H603" s="12" t="n">
        <v>0</v>
      </c>
      <c r="I603" s="12" t="n">
        <v>1.67</v>
      </c>
      <c r="J603" s="12" t="b">
        <v>0</v>
      </c>
    </row>
    <row r="604">
      <c r="A604" s="12" t="inlineStr">
        <is>
          <t>VS34</t>
        </is>
      </c>
      <c r="B604" s="12" t="b">
        <v>0</v>
      </c>
      <c r="C604" s="12" t="inlineStr">
        <is>
          <t>MS Flats</t>
        </is>
      </c>
      <c r="D604" s="12" t="n">
        <v>12</v>
      </c>
      <c r="E604" s="12" t="n">
        <v>0.42</v>
      </c>
      <c r="F604" s="12" t="n">
        <v>113716.88</v>
      </c>
      <c r="G604" s="12" t="n">
        <v>-25388.5</v>
      </c>
      <c r="H604" s="12" t="n">
        <v>0</v>
      </c>
      <c r="I604" s="12" t="n">
        <v>1.33</v>
      </c>
      <c r="J604" s="12" t="b">
        <v>0</v>
      </c>
    </row>
    <row r="605">
      <c r="A605" s="12" t="inlineStr">
        <is>
          <t>VS34</t>
        </is>
      </c>
      <c r="B605" s="12" t="b">
        <v>0</v>
      </c>
      <c r="C605" s="12" t="inlineStr">
        <is>
          <t>MS Pipes</t>
        </is>
      </c>
      <c r="D605" s="12" t="n">
        <v>5</v>
      </c>
      <c r="E605" s="12" t="n">
        <v>0.35</v>
      </c>
      <c r="F605" s="12" t="n">
        <v>31908.69</v>
      </c>
      <c r="G605" s="12" t="n">
        <v>-16662.3</v>
      </c>
      <c r="H605" s="12" t="n">
        <v>0</v>
      </c>
      <c r="I605" s="12" t="n">
        <v>0.6</v>
      </c>
      <c r="J605" s="12" t="b">
        <v>0</v>
      </c>
    </row>
    <row r="606">
      <c r="A606" s="12" t="inlineStr">
        <is>
          <t>VS34</t>
        </is>
      </c>
      <c r="B606" s="12" t="b">
        <v>0</v>
      </c>
      <c r="C606" s="12" t="inlineStr">
        <is>
          <t>MS Rods</t>
        </is>
      </c>
      <c r="D606" s="12" t="n">
        <v>15</v>
      </c>
      <c r="E606" s="12" t="n">
        <v>0.64</v>
      </c>
      <c r="F606" s="12" t="n">
        <v>233127.51</v>
      </c>
      <c r="G606" s="12" t="n">
        <v>47612.44</v>
      </c>
      <c r="H606" s="12" t="n">
        <v>0</v>
      </c>
      <c r="I606" s="12" t="n">
        <v>2.2</v>
      </c>
      <c r="J606" s="12" t="b">
        <v>0</v>
      </c>
    </row>
    <row r="607">
      <c r="A607" s="12" t="inlineStr">
        <is>
          <t>VS34</t>
        </is>
      </c>
      <c r="B607" s="12" t="b">
        <v>0</v>
      </c>
      <c r="C607" s="12" t="inlineStr">
        <is>
          <t>MS Sheets</t>
        </is>
      </c>
      <c r="D607" s="12" t="n">
        <v>5</v>
      </c>
      <c r="E607" s="12" t="n">
        <v>0.44</v>
      </c>
      <c r="F607" s="12" t="n">
        <v>26586.91</v>
      </c>
      <c r="G607" s="12" t="n">
        <v>-7149.44</v>
      </c>
      <c r="H607" s="12" t="n">
        <v>0</v>
      </c>
      <c r="I607" s="12" t="n">
        <v>1.4</v>
      </c>
      <c r="J607" s="12" t="b">
        <v>0</v>
      </c>
    </row>
    <row r="608">
      <c r="A608" s="12" t="inlineStr">
        <is>
          <t>VS34</t>
        </is>
      </c>
      <c r="B608" s="12" t="b">
        <v>0</v>
      </c>
      <c r="C608" s="12" t="inlineStr">
        <is>
          <t>SS Pipes</t>
        </is>
      </c>
      <c r="D608" s="12" t="n">
        <v>7</v>
      </c>
      <c r="E608" s="12" t="n">
        <v>0.36</v>
      </c>
      <c r="F608" s="12" t="n">
        <v>43057.82</v>
      </c>
      <c r="G608" s="12" t="n">
        <v>-24247.8</v>
      </c>
      <c r="H608" s="12" t="n">
        <v>0</v>
      </c>
      <c r="I608" s="12" t="n">
        <v>0.86</v>
      </c>
      <c r="J608" s="12" t="b">
        <v>0</v>
      </c>
    </row>
    <row r="609">
      <c r="A609" s="12" t="inlineStr">
        <is>
          <t>VS34</t>
        </is>
      </c>
      <c r="B609" s="12" t="b">
        <v>0</v>
      </c>
      <c r="C609" s="12" t="inlineStr">
        <is>
          <t>SS Sheets</t>
        </is>
      </c>
      <c r="D609" s="12" t="n">
        <v>8</v>
      </c>
      <c r="E609" s="12" t="n">
        <v>0.48</v>
      </c>
      <c r="F609" s="12" t="n">
        <v>101118.79</v>
      </c>
      <c r="G609" s="12" t="n">
        <v>1832.12</v>
      </c>
      <c r="H609" s="12" t="n">
        <v>0</v>
      </c>
      <c r="I609" s="12" t="n">
        <v>1.38</v>
      </c>
      <c r="J609" s="12" t="b">
        <v>0</v>
      </c>
    </row>
    <row r="610">
      <c r="A610" s="12" t="inlineStr">
        <is>
          <t>VS34</t>
        </is>
      </c>
      <c r="B610" s="12" t="b">
        <v>0</v>
      </c>
      <c r="C610" s="12" t="inlineStr">
        <is>
          <t>Spring Steel</t>
        </is>
      </c>
      <c r="D610" s="12" t="n">
        <v>5</v>
      </c>
      <c r="E610" s="12" t="n">
        <v>0.72</v>
      </c>
      <c r="F610" s="12" t="n">
        <v>89144.98</v>
      </c>
      <c r="G610" s="12" t="n">
        <v>25170.94</v>
      </c>
      <c r="H610" s="12" t="n">
        <v>0</v>
      </c>
      <c r="I610" s="12" t="n">
        <v>1.4</v>
      </c>
      <c r="J610" s="12" t="b">
        <v>0</v>
      </c>
    </row>
    <row r="611">
      <c r="A611" s="12" t="inlineStr">
        <is>
          <t>VS34</t>
        </is>
      </c>
      <c r="B611" s="12" t="b">
        <v>0</v>
      </c>
      <c r="C611" s="12" t="inlineStr">
        <is>
          <t>Square/Rect Tubes</t>
        </is>
      </c>
      <c r="D611" s="12" t="n">
        <v>8</v>
      </c>
      <c r="E611" s="12" t="n">
        <v>0.52</v>
      </c>
      <c r="F611" s="12" t="n">
        <v>44986.7</v>
      </c>
      <c r="G611" s="12" t="n">
        <v>-7952.61</v>
      </c>
      <c r="H611" s="12" t="n">
        <v>0</v>
      </c>
      <c r="I611" s="12" t="n">
        <v>1.38</v>
      </c>
      <c r="J611" s="12" t="b">
        <v>0</v>
      </c>
    </row>
    <row r="612">
      <c r="A612" s="12" t="inlineStr">
        <is>
          <t>VS34</t>
        </is>
      </c>
      <c r="B612" s="12" t="b">
        <v>0</v>
      </c>
      <c r="C612" s="12" t="inlineStr">
        <is>
          <t>Structural Steel</t>
        </is>
      </c>
      <c r="D612" s="12" t="n">
        <v>6</v>
      </c>
      <c r="E612" s="12" t="n">
        <v>0.4</v>
      </c>
      <c r="F612" s="12" t="n">
        <v>56714.4</v>
      </c>
      <c r="G612" s="12" t="n">
        <v>-13629.45</v>
      </c>
      <c r="H612" s="12" t="n">
        <v>0</v>
      </c>
      <c r="I612" s="12" t="n">
        <v>1.67</v>
      </c>
      <c r="J612" s="12" t="b">
        <v>0</v>
      </c>
    </row>
    <row r="613">
      <c r="A613" s="12" t="inlineStr">
        <is>
          <t>VS34</t>
        </is>
      </c>
      <c r="B613" s="12" t="b">
        <v>1</v>
      </c>
      <c r="C613" s="12" t="inlineStr">
        <is>
          <t>GI Wire</t>
        </is>
      </c>
      <c r="D613" s="12" t="n">
        <v>9</v>
      </c>
      <c r="E613" s="12" t="n">
        <v>0.55</v>
      </c>
      <c r="F613" s="12" t="n">
        <v>122670</v>
      </c>
      <c r="G613" s="12" t="n">
        <v>14186.09</v>
      </c>
      <c r="H613" s="12" t="n">
        <v>0</v>
      </c>
      <c r="I613" s="12" t="n">
        <v>1.89</v>
      </c>
      <c r="J613" s="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</cols>
  <sheetData>
    <row r="1" ht="32" customHeight="1">
      <c r="A1" s="11" t="inlineStr">
        <is>
          <t>method</t>
        </is>
      </c>
      <c r="B1" s="11" t="inlineStr">
        <is>
          <t>top1_acc</t>
        </is>
      </c>
      <c r="C1" s="11" t="inlineStr">
        <is>
          <t>top3_acc</t>
        </is>
      </c>
      <c r="D1" s="11" t="inlineStr">
        <is>
          <t>logloss</t>
        </is>
      </c>
    </row>
    <row r="2">
      <c r="A2" s="12" t="inlineStr">
        <is>
          <t>A rate x volume only (no material/date/qty)</t>
        </is>
      </c>
      <c r="B2" s="12" t="n">
        <v>0.225</v>
      </c>
      <c r="C2" s="12" t="n">
        <v>0.5580000000000001</v>
      </c>
      <c r="D2" s="12" t="n">
        <v>2.917</v>
      </c>
    </row>
    <row r="3">
      <c r="A3" s="12" t="inlineStr">
        <is>
          <t>B + material</t>
        </is>
      </c>
      <c r="B3" s="12" t="n">
        <v>0.224</v>
      </c>
      <c r="C3" s="12" t="n">
        <v>0.55</v>
      </c>
      <c r="D3" s="12" t="n">
        <v>2.904</v>
      </c>
    </row>
    <row r="4">
      <c r="A4" s="12" t="inlineStr">
        <is>
          <t>C + quantity band</t>
        </is>
      </c>
      <c r="B4" s="12" t="n">
        <v>0.225</v>
      </c>
      <c r="C4" s="12" t="n">
        <v>0.5580000000000001</v>
      </c>
      <c r="D4" s="12" t="n">
        <v>2.906</v>
      </c>
    </row>
    <row r="5">
      <c r="A5" s="12" t="inlineStr">
        <is>
          <t>D + material + quantity  [CHOSEN MODEL]</t>
        </is>
      </c>
      <c r="B5" s="12" t="n">
        <v>0.222</v>
      </c>
      <c r="C5" s="12" t="n">
        <v>0.552</v>
      </c>
      <c r="D5" s="12" t="n">
        <v>2.885</v>
      </c>
    </row>
    <row r="6">
      <c r="A6" s="12" t="inlineStr">
        <is>
          <t>E D + date proximity (W60/tau30)</t>
        </is>
      </c>
      <c r="B6" s="12" t="n">
        <v>0.126</v>
      </c>
      <c r="C6" s="12" t="n">
        <v>0.268</v>
      </c>
      <c r="D6" s="12" t="n">
        <v>3.804</v>
      </c>
    </row>
    <row r="7">
      <c r="A7" s="12" t="inlineStr">
        <is>
          <t>F D + date proximity (W90/tau90)</t>
        </is>
      </c>
      <c r="B7" s="12" t="n">
        <v>0.126</v>
      </c>
      <c r="C7" s="12" t="n">
        <v>0.322</v>
      </c>
      <c r="D7" s="12" t="n">
        <v>3.647</v>
      </c>
    </row>
    <row r="8">
      <c r="A8" s="12" t="inlineStr">
        <is>
          <t>G D + date proximity (W180/tau90)</t>
        </is>
      </c>
      <c r="B8" s="12" t="n">
        <v>0.132</v>
      </c>
      <c r="C8" s="12" t="n">
        <v>0.388</v>
      </c>
      <c r="D8" s="12" t="n">
        <v>3.412</v>
      </c>
    </row>
    <row r="9">
      <c r="A9" s="12" t="inlineStr">
        <is>
          <t>Baseline: random among suppliers with a batch in 90d</t>
        </is>
      </c>
      <c r="B9" s="12" t="n">
        <v>0.027</v>
      </c>
      <c r="C9" s="12" t="n">
        <v>0.121</v>
      </c>
      <c r="D9" s="12" t="n">
        <v>16.469</v>
      </c>
    </row>
    <row r="10">
      <c r="A10" s="12" t="inlineStr">
        <is>
          <t>Baseline: latest receipt wins</t>
        </is>
      </c>
      <c r="B10" s="12" t="n">
        <v>0.04</v>
      </c>
      <c r="C10" s="12" t="n">
        <v>0.217</v>
      </c>
      <c r="D10" s="12" t="n"/>
    </row>
    <row r="12">
      <c r="A12" s="4" t="inlineStr">
        <is>
          <t>Attribution validated with 5 repeats of 5-fold cross-validation on the 240 known returns; rate/likelihoods re-learned inside each training fold.</t>
        </is>
      </c>
    </row>
    <row r="13">
      <c r="A13" s="4" t="inlineStr">
        <is>
          <t>Date proximity test: true supplier's latest batch median 84 days before return vs 79 days for other suppliers (Mann-Whitney p = 0.83): no information, so excluded.</t>
        </is>
      </c>
    </row>
    <row r="14">
      <c r="A14" s="4" t="inlineStr">
        <is>
          <t>Exact-supplier accuracy is modest (top-1 22%) because the three high-return suppliers are near-identical on available features; aggregate return counts per supplier are recovered closely (e.g. VS12 ~51 expected vs 54 actual).</t>
        </is>
      </c>
    </row>
    <row r="15">
      <c r="A15" s="4" t="inlineStr">
        <is>
          <t>Rupee totals use summed probabilities, which is why they are far more reliable than any single assignment. See the p10-p90 range on Supplier_Impact.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4" customWidth="1" min="3" max="3"/>
    <col width="10" customWidth="1" min="4" max="4"/>
    <col width="8" customWidth="1" min="5" max="5"/>
    <col width="14" customWidth="1" min="6" max="6"/>
  </cols>
  <sheetData>
    <row r="1" ht="32" customHeight="1">
      <c r="A1" s="11" t="inlineStr">
        <is>
          <t>scheme</t>
        </is>
      </c>
      <c r="B1" s="11" t="inlineStr">
        <is>
          <t>supplier_id</t>
        </is>
      </c>
      <c r="C1" s="11" t="inlineStr">
        <is>
          <t>supplier_name</t>
        </is>
      </c>
      <c r="D1" s="11" t="inlineStr">
        <is>
          <t>composite</t>
        </is>
      </c>
      <c r="E1" s="11" t="inlineStr">
        <is>
          <t>rank</t>
        </is>
      </c>
      <c r="F1" s="11" t="inlineStr">
        <is>
          <t>tier</t>
        </is>
      </c>
    </row>
    <row r="2">
      <c r="A2" s="12" t="inlineStr">
        <is>
          <t>Baseline (35/25/15/15/10)</t>
        </is>
      </c>
      <c r="B2" s="12" t="inlineStr">
        <is>
          <t>VS12</t>
        </is>
      </c>
      <c r="C2" s="12" t="inlineStr">
        <is>
          <t>Nutan Tubes</t>
        </is>
      </c>
      <c r="D2" s="12" t="n">
        <v>9.25</v>
      </c>
      <c r="E2" s="12" t="n">
        <v>1</v>
      </c>
      <c r="F2" s="12" t="inlineStr">
        <is>
          <t>POOR</t>
        </is>
      </c>
    </row>
    <row r="3">
      <c r="A3" s="12" t="inlineStr">
        <is>
          <t>Baseline (35/25/15/15/10)</t>
        </is>
      </c>
      <c r="B3" s="12" t="inlineStr">
        <is>
          <t>VS19</t>
        </is>
      </c>
      <c r="C3" s="12" t="inlineStr">
        <is>
          <t>Thakur Steel</t>
        </is>
      </c>
      <c r="D3" s="12" t="n">
        <v>9.27</v>
      </c>
      <c r="E3" s="12" t="n">
        <v>2</v>
      </c>
      <c r="F3" s="12" t="inlineStr">
        <is>
          <t>POOR</t>
        </is>
      </c>
    </row>
    <row r="4">
      <c r="A4" s="12" t="inlineStr">
        <is>
          <t>Baseline (35/25/15/15/10)</t>
        </is>
      </c>
      <c r="B4" s="12" t="inlineStr">
        <is>
          <t>VS03</t>
        </is>
      </c>
      <c r="C4" s="12" t="inlineStr">
        <is>
          <t>Tata Steel Service</t>
        </is>
      </c>
      <c r="D4" s="12" t="n">
        <v>10.78</v>
      </c>
      <c r="E4" s="12" t="n">
        <v>3</v>
      </c>
      <c r="F4" s="12" t="inlineStr">
        <is>
          <t>POOR</t>
        </is>
      </c>
    </row>
    <row r="5">
      <c r="A5" s="12" t="inlineStr">
        <is>
          <t>Baseline (35/25/15/15/10)</t>
        </is>
      </c>
      <c r="B5" s="12" t="inlineStr">
        <is>
          <t>VS17</t>
        </is>
      </c>
      <c r="C5" s="12" t="inlineStr">
        <is>
          <t>Modern Metals</t>
        </is>
      </c>
      <c r="D5" s="12" t="n">
        <v>98.81999999999999</v>
      </c>
      <c r="E5" s="12" t="n">
        <v>21</v>
      </c>
      <c r="F5" s="12" t="inlineStr">
        <is>
          <t>ACCEPTABLE</t>
        </is>
      </c>
    </row>
    <row r="6">
      <c r="A6" s="12" t="inlineStr">
        <is>
          <t>Baseline (35/25/15/15/10)</t>
        </is>
      </c>
      <c r="B6" s="12" t="inlineStr">
        <is>
          <t>VS16</t>
        </is>
      </c>
      <c r="C6" s="12" t="inlineStr">
        <is>
          <t>Garg Enterprises</t>
        </is>
      </c>
      <c r="D6" s="12" t="n">
        <v>91.23999999999999</v>
      </c>
      <c r="E6" s="12" t="n">
        <v>4</v>
      </c>
      <c r="F6" s="12" t="inlineStr">
        <is>
          <t>ACCEPTABLE</t>
        </is>
      </c>
    </row>
    <row r="7">
      <c r="A7" s="12" t="inlineStr">
        <is>
          <t>Baseline (35/25/15/15/10)</t>
        </is>
      </c>
      <c r="B7" s="12" t="inlineStr">
        <is>
          <t>VS11</t>
        </is>
      </c>
      <c r="C7" s="12" t="inlineStr">
        <is>
          <t>Sai Steel</t>
        </is>
      </c>
      <c r="D7" s="12" t="n">
        <v>96.97</v>
      </c>
      <c r="E7" s="12" t="n">
        <v>11</v>
      </c>
      <c r="F7" s="12" t="inlineStr">
        <is>
          <t>ACCEPTABLE</t>
        </is>
      </c>
    </row>
    <row r="8">
      <c r="A8" s="12" t="inlineStr">
        <is>
          <t>Baseline (35/25/15/15/10)</t>
        </is>
      </c>
      <c r="B8" s="12" t="inlineStr">
        <is>
          <t>VS32</t>
        </is>
      </c>
      <c r="C8" s="12" t="inlineStr">
        <is>
          <t>Precision Steel</t>
        </is>
      </c>
      <c r="D8" s="12" t="n">
        <v>99.09999999999999</v>
      </c>
      <c r="E8" s="12" t="n">
        <v>23</v>
      </c>
      <c r="F8" s="12" t="inlineStr">
        <is>
          <t>ACCEPTABLE</t>
        </is>
      </c>
    </row>
    <row r="9">
      <c r="A9" s="12" t="inlineStr">
        <is>
          <t>Baseline (35/25/15/15/10)</t>
        </is>
      </c>
      <c r="B9" s="12" t="inlineStr">
        <is>
          <t>VS01</t>
        </is>
      </c>
      <c r="C9" s="12" t="inlineStr">
        <is>
          <t>Jindal Steel &amp; Power</t>
        </is>
      </c>
      <c r="D9" s="12" t="n">
        <v>99.55</v>
      </c>
      <c r="E9" s="12" t="n">
        <v>25</v>
      </c>
      <c r="F9" s="12" t="inlineStr">
        <is>
          <t>ACCEPTABLE</t>
        </is>
      </c>
    </row>
    <row r="10">
      <c r="A10" s="12" t="inlineStr">
        <is>
          <t>Baseline (35/25/15/15/10)</t>
        </is>
      </c>
      <c r="B10" s="12" t="inlineStr">
        <is>
          <t>VS05</t>
        </is>
      </c>
      <c r="C10" s="12" t="inlineStr">
        <is>
          <t>Bhushan Steel</t>
        </is>
      </c>
      <c r="D10" s="12" t="n">
        <v>99.23999999999999</v>
      </c>
      <c r="E10" s="12" t="n">
        <v>24</v>
      </c>
      <c r="F10" s="12" t="inlineStr">
        <is>
          <t>ACCEPTABLE</t>
        </is>
      </c>
    </row>
    <row r="11">
      <c r="A11" s="12" t="inlineStr">
        <is>
          <t>Baseline (35/25/15/15/10)</t>
        </is>
      </c>
      <c r="B11" s="12" t="inlineStr">
        <is>
          <t>VS28</t>
        </is>
      </c>
      <c r="C11" s="12" t="inlineStr">
        <is>
          <t>Param Industries</t>
        </is>
      </c>
      <c r="D11" s="12" t="n">
        <v>97.8</v>
      </c>
      <c r="E11" s="12" t="n">
        <v>14</v>
      </c>
      <c r="F11" s="12" t="inlineStr">
        <is>
          <t>ACCEPTABLE</t>
        </is>
      </c>
    </row>
    <row r="12">
      <c r="A12" s="12" t="inlineStr">
        <is>
          <t>Baseline (35/25/15/15/10)</t>
        </is>
      </c>
      <c r="B12" s="12" t="inlineStr">
        <is>
          <t>VS04</t>
        </is>
      </c>
      <c r="C12" s="12" t="inlineStr">
        <is>
          <t>Shyam Metalics</t>
        </is>
      </c>
      <c r="D12" s="12" t="n">
        <v>99.66</v>
      </c>
      <c r="E12" s="12" t="n">
        <v>27</v>
      </c>
      <c r="F12" s="12" t="inlineStr">
        <is>
          <t>ACCEPTABLE</t>
        </is>
      </c>
    </row>
    <row r="13">
      <c r="A13" s="12" t="inlineStr">
        <is>
          <t>Baseline (35/25/15/15/10)</t>
        </is>
      </c>
      <c r="B13" s="12" t="inlineStr">
        <is>
          <t>VS08</t>
        </is>
      </c>
      <c r="C13" s="12" t="inlineStr">
        <is>
          <t>Ratnamani Metals</t>
        </is>
      </c>
      <c r="D13" s="12" t="n">
        <v>100</v>
      </c>
      <c r="E13" s="12" t="n">
        <v>32</v>
      </c>
      <c r="F13" s="12" t="inlineStr">
        <is>
          <t>ACCEPTABLE</t>
        </is>
      </c>
    </row>
    <row r="14">
      <c r="A14" s="12" t="inlineStr">
        <is>
          <t>Baseline (35/25/15/15/10)</t>
        </is>
      </c>
      <c r="B14" s="12" t="inlineStr">
        <is>
          <t>VS14</t>
        </is>
      </c>
      <c r="C14" s="12" t="inlineStr">
        <is>
          <t>Sunrise Metals</t>
        </is>
      </c>
      <c r="D14" s="12" t="n">
        <v>99.56</v>
      </c>
      <c r="E14" s="12" t="n">
        <v>26</v>
      </c>
      <c r="F14" s="12" t="inlineStr">
        <is>
          <t>ACCEPTABLE</t>
        </is>
      </c>
    </row>
    <row r="15">
      <c r="A15" s="12" t="inlineStr">
        <is>
          <t>Baseline (35/25/15/15/10)</t>
        </is>
      </c>
      <c r="B15" s="12" t="inlineStr">
        <is>
          <t>VS06</t>
        </is>
      </c>
      <c r="C15" s="12" t="inlineStr">
        <is>
          <t>APL Apollo Tubes</t>
        </is>
      </c>
      <c r="D15" s="12" t="n">
        <v>96.93000000000001</v>
      </c>
      <c r="E15" s="12" t="n">
        <v>10</v>
      </c>
      <c r="F15" s="12" t="inlineStr">
        <is>
          <t>ACCEPTABLE</t>
        </is>
      </c>
    </row>
    <row r="16">
      <c r="A16" s="12" t="inlineStr">
        <is>
          <t>Baseline (35/25/15/15/10)</t>
        </is>
      </c>
      <c r="B16" s="12" t="inlineStr">
        <is>
          <t>VS34</t>
        </is>
      </c>
      <c r="C16" s="12" t="inlineStr">
        <is>
          <t>Supreme Fittings</t>
        </is>
      </c>
      <c r="D16" s="12" t="n">
        <v>96.34</v>
      </c>
      <c r="E16" s="12" t="n">
        <v>7</v>
      </c>
      <c r="F16" s="12" t="inlineStr">
        <is>
          <t>ACCEPTABLE</t>
        </is>
      </c>
    </row>
    <row r="17">
      <c r="A17" s="12" t="inlineStr">
        <is>
          <t>Baseline (35/25/15/15/10)</t>
        </is>
      </c>
      <c r="B17" s="12" t="inlineStr">
        <is>
          <t>VS31</t>
        </is>
      </c>
      <c r="C17" s="12" t="inlineStr">
        <is>
          <t>Sunrise Alloys</t>
        </is>
      </c>
      <c r="D17" s="12" t="n">
        <v>97.08</v>
      </c>
      <c r="E17" s="12" t="n">
        <v>13</v>
      </c>
      <c r="F17" s="12" t="inlineStr">
        <is>
          <t>ACCEPTABLE</t>
        </is>
      </c>
    </row>
    <row r="18">
      <c r="A18" s="12" t="inlineStr">
        <is>
          <t>Baseline (35/25/15/15/10)</t>
        </is>
      </c>
      <c r="B18" s="12" t="inlineStr">
        <is>
          <t>VS10</t>
        </is>
      </c>
      <c r="C18" s="12" t="inlineStr">
        <is>
          <t>Gallantt Metal</t>
        </is>
      </c>
      <c r="D18" s="12" t="n">
        <v>97.86</v>
      </c>
      <c r="E18" s="12" t="n">
        <v>15</v>
      </c>
      <c r="F18" s="12" t="inlineStr">
        <is>
          <t>ACCEPTABLE</t>
        </is>
      </c>
    </row>
    <row r="19">
      <c r="A19" s="12" t="inlineStr">
        <is>
          <t>Baseline (35/25/15/15/10)</t>
        </is>
      </c>
      <c r="B19" s="12" t="inlineStr">
        <is>
          <t>VS26</t>
        </is>
      </c>
      <c r="C19" s="12" t="inlineStr">
        <is>
          <t>Rajdhani Steel</t>
        </is>
      </c>
      <c r="D19" s="12" t="n">
        <v>97.05</v>
      </c>
      <c r="E19" s="12" t="n">
        <v>12</v>
      </c>
      <c r="F19" s="12" t="inlineStr">
        <is>
          <t>ACCEPTABLE</t>
        </is>
      </c>
    </row>
    <row r="20">
      <c r="A20" s="12" t="inlineStr">
        <is>
          <t>Baseline (35/25/15/15/10)</t>
        </is>
      </c>
      <c r="B20" s="12" t="inlineStr">
        <is>
          <t>VS18</t>
        </is>
      </c>
      <c r="C20" s="12" t="inlineStr">
        <is>
          <t>Kumar Hardware</t>
        </is>
      </c>
      <c r="D20" s="12" t="n">
        <v>96.33</v>
      </c>
      <c r="E20" s="12" t="n">
        <v>6</v>
      </c>
      <c r="F20" s="12" t="inlineStr">
        <is>
          <t>ACCEPTABLE</t>
        </is>
      </c>
    </row>
    <row r="21">
      <c r="A21" s="12" t="inlineStr">
        <is>
          <t>Baseline (35/25/15/15/10)</t>
        </is>
      </c>
      <c r="B21" s="12" t="inlineStr">
        <is>
          <t>VS09</t>
        </is>
      </c>
      <c r="C21" s="12" t="inlineStr">
        <is>
          <t>MSP Steel</t>
        </is>
      </c>
      <c r="D21" s="12" t="n">
        <v>95.93000000000001</v>
      </c>
      <c r="E21" s="12" t="n">
        <v>5</v>
      </c>
      <c r="F21" s="12" t="inlineStr">
        <is>
          <t>ACCEPTABLE</t>
        </is>
      </c>
    </row>
    <row r="22">
      <c r="A22" s="12" t="inlineStr">
        <is>
          <t>Baseline (35/25/15/15/10)</t>
        </is>
      </c>
      <c r="B22" s="12" t="inlineStr">
        <is>
          <t>VS13</t>
        </is>
      </c>
      <c r="C22" s="12" t="inlineStr">
        <is>
          <t>Radhe Alloys</t>
        </is>
      </c>
      <c r="D22" s="12" t="n">
        <v>98.05</v>
      </c>
      <c r="E22" s="12" t="n">
        <v>17</v>
      </c>
      <c r="F22" s="12" t="inlineStr">
        <is>
          <t>ACCEPTABLE</t>
        </is>
      </c>
    </row>
    <row r="23">
      <c r="A23" s="12" t="inlineStr">
        <is>
          <t>Baseline (35/25/15/15/10)</t>
        </is>
      </c>
      <c r="B23" s="12" t="inlineStr">
        <is>
          <t>VS29</t>
        </is>
      </c>
      <c r="C23" s="12" t="inlineStr">
        <is>
          <t>Global Metals</t>
        </is>
      </c>
      <c r="D23" s="12" t="n">
        <v>100</v>
      </c>
      <c r="E23" s="12" t="n">
        <v>32</v>
      </c>
      <c r="F23" s="12" t="inlineStr">
        <is>
          <t>ACCEPTABLE</t>
        </is>
      </c>
    </row>
    <row r="24">
      <c r="A24" s="12" t="inlineStr">
        <is>
          <t>Baseline (35/25/15/15/10)</t>
        </is>
      </c>
      <c r="B24" s="12" t="inlineStr">
        <is>
          <t>VS33</t>
        </is>
      </c>
      <c r="C24" s="12" t="inlineStr">
        <is>
          <t>Premium Metals</t>
        </is>
      </c>
      <c r="D24" s="12" t="n">
        <v>98.7</v>
      </c>
      <c r="E24" s="12" t="n">
        <v>20</v>
      </c>
      <c r="F24" s="12" t="inlineStr">
        <is>
          <t>ACCEPTABLE</t>
        </is>
      </c>
    </row>
    <row r="25">
      <c r="A25" s="12" t="inlineStr">
        <is>
          <t>Baseline (35/25/15/15/10)</t>
        </is>
      </c>
      <c r="B25" s="12" t="inlineStr">
        <is>
          <t>VS25</t>
        </is>
      </c>
      <c r="C25" s="12" t="inlineStr">
        <is>
          <t>Laxmi Hardware</t>
        </is>
      </c>
      <c r="D25" s="12" t="n">
        <v>99.95999999999999</v>
      </c>
      <c r="E25" s="12" t="n">
        <v>30</v>
      </c>
      <c r="F25" s="12" t="inlineStr">
        <is>
          <t>ACCEPTABLE</t>
        </is>
      </c>
    </row>
    <row r="26">
      <c r="A26" s="12" t="inlineStr">
        <is>
          <t>Baseline (35/25/15/15/10)</t>
        </is>
      </c>
      <c r="B26" s="12" t="inlineStr">
        <is>
          <t>VS21</t>
        </is>
      </c>
      <c r="C26" s="12" t="inlineStr">
        <is>
          <t>Viraj Profiles</t>
        </is>
      </c>
      <c r="D26" s="12" t="n">
        <v>100</v>
      </c>
      <c r="E26" s="12" t="n">
        <v>32</v>
      </c>
      <c r="F26" s="12" t="inlineStr">
        <is>
          <t>ACCEPTABLE</t>
        </is>
      </c>
    </row>
    <row r="27">
      <c r="A27" s="12" t="inlineStr">
        <is>
          <t>Baseline (35/25/15/15/10)</t>
        </is>
      </c>
      <c r="B27" s="12" t="inlineStr">
        <is>
          <t>VS23</t>
        </is>
      </c>
      <c r="C27" s="12" t="inlineStr">
        <is>
          <t>Krishna Pipes</t>
        </is>
      </c>
      <c r="D27" s="12" t="n">
        <v>98.83</v>
      </c>
      <c r="E27" s="12" t="n">
        <v>22</v>
      </c>
      <c r="F27" s="12" t="inlineStr">
        <is>
          <t>ACCEPTABLE</t>
        </is>
      </c>
    </row>
    <row r="28">
      <c r="A28" s="12" t="inlineStr">
        <is>
          <t>Baseline (35/25/15/15/10)</t>
        </is>
      </c>
      <c r="B28" s="12" t="inlineStr">
        <is>
          <t>VS24</t>
        </is>
      </c>
      <c r="C28" s="12" t="inlineStr">
        <is>
          <t>Om Metals</t>
        </is>
      </c>
      <c r="D28" s="12" t="n">
        <v>99.79000000000001</v>
      </c>
      <c r="E28" s="12" t="n">
        <v>28</v>
      </c>
      <c r="F28" s="12" t="inlineStr">
        <is>
          <t>ACCEPTABLE</t>
        </is>
      </c>
    </row>
    <row r="29">
      <c r="A29" s="12" t="inlineStr">
        <is>
          <t>Baseline (35/25/15/15/10)</t>
        </is>
      </c>
      <c r="B29" s="12" t="inlineStr">
        <is>
          <t>VS02</t>
        </is>
      </c>
      <c r="C29" s="12" t="inlineStr">
        <is>
          <t>SAIL Distribution</t>
        </is>
      </c>
      <c r="D29" s="12" t="n">
        <v>100</v>
      </c>
      <c r="E29" s="12" t="n">
        <v>32</v>
      </c>
      <c r="F29" s="12" t="inlineStr">
        <is>
          <t>ACCEPTABLE</t>
        </is>
      </c>
    </row>
    <row r="30">
      <c r="A30" s="12" t="inlineStr">
        <is>
          <t>Baseline (35/25/15/15/10)</t>
        </is>
      </c>
      <c r="B30" s="12" t="inlineStr">
        <is>
          <t>VS27</t>
        </is>
      </c>
      <c r="C30" s="12" t="inlineStr">
        <is>
          <t>National Pipes</t>
        </is>
      </c>
      <c r="D30" s="12" t="n">
        <v>97.92</v>
      </c>
      <c r="E30" s="12" t="n">
        <v>16</v>
      </c>
      <c r="F30" s="12" t="inlineStr">
        <is>
          <t>ACCEPTABLE</t>
        </is>
      </c>
    </row>
    <row r="31">
      <c r="A31" s="12" t="inlineStr">
        <is>
          <t>Baseline (35/25/15/15/10)</t>
        </is>
      </c>
      <c r="B31" s="12" t="inlineStr">
        <is>
          <t>VS30</t>
        </is>
      </c>
      <c r="C31" s="12" t="inlineStr">
        <is>
          <t>Apex Hardware</t>
        </is>
      </c>
      <c r="D31" s="12" t="n">
        <v>98.28</v>
      </c>
      <c r="E31" s="12" t="n">
        <v>18</v>
      </c>
      <c r="F31" s="12" t="inlineStr">
        <is>
          <t>ACCEPTABLE</t>
        </is>
      </c>
    </row>
    <row r="32">
      <c r="A32" s="12" t="inlineStr">
        <is>
          <t>Baseline (35/25/15/15/10)</t>
        </is>
      </c>
      <c r="B32" s="12" t="inlineStr">
        <is>
          <t>VS20</t>
        </is>
      </c>
      <c r="C32" s="12" t="inlineStr">
        <is>
          <t>Bhavani Metals</t>
        </is>
      </c>
      <c r="D32" s="12" t="n">
        <v>96.83</v>
      </c>
      <c r="E32" s="12" t="n">
        <v>8</v>
      </c>
      <c r="F32" s="12" t="inlineStr">
        <is>
          <t>ACCEPTABLE</t>
        </is>
      </c>
    </row>
    <row r="33">
      <c r="A33" s="12" t="inlineStr">
        <is>
          <t>Baseline (35/25/15/15/10)</t>
        </is>
      </c>
      <c r="B33" s="12" t="inlineStr">
        <is>
          <t>VS15</t>
        </is>
      </c>
      <c r="C33" s="12" t="inlineStr">
        <is>
          <t>Western Steel</t>
        </is>
      </c>
      <c r="D33" s="12" t="n">
        <v>96.91</v>
      </c>
      <c r="E33" s="12" t="n">
        <v>9</v>
      </c>
      <c r="F33" s="12" t="inlineStr">
        <is>
          <t>ACCEPTABLE</t>
        </is>
      </c>
    </row>
    <row r="34">
      <c r="A34" s="12" t="inlineStr">
        <is>
          <t>Baseline (35/25/15/15/10)</t>
        </is>
      </c>
      <c r="B34" s="12" t="inlineStr">
        <is>
          <t>VS07</t>
        </is>
      </c>
      <c r="C34" s="12" t="inlineStr">
        <is>
          <t>Prakash Industries</t>
        </is>
      </c>
      <c r="D34" s="12" t="n">
        <v>99.88</v>
      </c>
      <c r="E34" s="12" t="n">
        <v>29</v>
      </c>
      <c r="F34" s="12" t="inlineStr">
        <is>
          <t>ACCEPTABLE</t>
        </is>
      </c>
    </row>
    <row r="35">
      <c r="A35" s="12" t="inlineStr">
        <is>
          <t>Baseline (35/25/15/15/10)</t>
        </is>
      </c>
      <c r="B35" s="12" t="inlineStr">
        <is>
          <t>VS22</t>
        </is>
      </c>
      <c r="C35" s="12" t="inlineStr">
        <is>
          <t>Ratan Steel</t>
        </is>
      </c>
      <c r="D35" s="12" t="n">
        <v>98.66</v>
      </c>
      <c r="E35" s="12" t="n">
        <v>19</v>
      </c>
      <c r="F35" s="12" t="inlineStr">
        <is>
          <t>ACCEPTABLE</t>
        </is>
      </c>
    </row>
    <row r="36">
      <c r="A36" s="12" t="inlineStr">
        <is>
          <t>Short-heavy (50/20/15/10/5)</t>
        </is>
      </c>
      <c r="B36" s="12" t="inlineStr">
        <is>
          <t>VS12</t>
        </is>
      </c>
      <c r="C36" s="12" t="inlineStr">
        <is>
          <t>Nutan Tubes</t>
        </is>
      </c>
      <c r="D36" s="12" t="n">
        <v>4.96</v>
      </c>
      <c r="E36" s="12" t="n">
        <v>1</v>
      </c>
      <c r="F36" s="12" t="inlineStr">
        <is>
          <t>POOR</t>
        </is>
      </c>
    </row>
    <row r="37">
      <c r="A37" s="12" t="inlineStr">
        <is>
          <t>Short-heavy (50/20/15/10/5)</t>
        </is>
      </c>
      <c r="B37" s="12" t="inlineStr">
        <is>
          <t>VS19</t>
        </is>
      </c>
      <c r="C37" s="12" t="inlineStr">
        <is>
          <t>Thakur Steel</t>
        </is>
      </c>
      <c r="D37" s="12" t="n">
        <v>5.25</v>
      </c>
      <c r="E37" s="12" t="n">
        <v>2</v>
      </c>
      <c r="F37" s="12" t="inlineStr">
        <is>
          <t>POOR</t>
        </is>
      </c>
    </row>
    <row r="38">
      <c r="A38" s="12" t="inlineStr">
        <is>
          <t>Short-heavy (50/20/15/10/5)</t>
        </is>
      </c>
      <c r="B38" s="12" t="inlineStr">
        <is>
          <t>VS03</t>
        </is>
      </c>
      <c r="C38" s="12" t="inlineStr">
        <is>
          <t>Tata Steel Service</t>
        </is>
      </c>
      <c r="D38" s="12" t="n">
        <v>7.24</v>
      </c>
      <c r="E38" s="12" t="n">
        <v>3</v>
      </c>
      <c r="F38" s="12" t="inlineStr">
        <is>
          <t>POOR</t>
        </is>
      </c>
    </row>
    <row r="39">
      <c r="A39" s="12" t="inlineStr">
        <is>
          <t>Short-heavy (50/20/15/10/5)</t>
        </is>
      </c>
      <c r="B39" s="12" t="inlineStr">
        <is>
          <t>VS17</t>
        </is>
      </c>
      <c r="C39" s="12" t="inlineStr">
        <is>
          <t>Modern Metals</t>
        </is>
      </c>
      <c r="D39" s="12" t="n">
        <v>99.04000000000001</v>
      </c>
      <c r="E39" s="12" t="n">
        <v>20</v>
      </c>
      <c r="F39" s="12" t="inlineStr">
        <is>
          <t>ACCEPTABLE</t>
        </is>
      </c>
    </row>
    <row r="40">
      <c r="A40" s="12" t="inlineStr">
        <is>
          <t>Short-heavy (50/20/15/10/5)</t>
        </is>
      </c>
      <c r="B40" s="12" t="inlineStr">
        <is>
          <t>VS16</t>
        </is>
      </c>
      <c r="C40" s="12" t="inlineStr">
        <is>
          <t>Garg Enterprises</t>
        </is>
      </c>
      <c r="D40" s="12" t="n">
        <v>95.12</v>
      </c>
      <c r="E40" s="12" t="n">
        <v>4</v>
      </c>
      <c r="F40" s="12" t="inlineStr">
        <is>
          <t>ACCEPTABLE</t>
        </is>
      </c>
    </row>
    <row r="41">
      <c r="A41" s="12" t="inlineStr">
        <is>
          <t>Short-heavy (50/20/15/10/5)</t>
        </is>
      </c>
      <c r="B41" s="12" t="inlineStr">
        <is>
          <t>VS11</t>
        </is>
      </c>
      <c r="C41" s="12" t="inlineStr">
        <is>
          <t>Sai Steel</t>
        </is>
      </c>
      <c r="D41" s="12" t="n">
        <v>98.18000000000001</v>
      </c>
      <c r="E41" s="12" t="n">
        <v>9</v>
      </c>
      <c r="F41" s="12" t="inlineStr">
        <is>
          <t>ACCEPTABLE</t>
        </is>
      </c>
    </row>
    <row r="42">
      <c r="A42" s="12" t="inlineStr">
        <is>
          <t>Short-heavy (50/20/15/10/5)</t>
        </is>
      </c>
      <c r="B42" s="12" t="inlineStr">
        <is>
          <t>VS32</t>
        </is>
      </c>
      <c r="C42" s="12" t="inlineStr">
        <is>
          <t>Precision Steel</t>
        </is>
      </c>
      <c r="D42" s="12" t="n">
        <v>99.36</v>
      </c>
      <c r="E42" s="12" t="n">
        <v>23</v>
      </c>
      <c r="F42" s="12" t="inlineStr">
        <is>
          <t>ACCEPTABLE</t>
        </is>
      </c>
    </row>
    <row r="43">
      <c r="A43" s="12" t="inlineStr">
        <is>
          <t>Short-heavy (50/20/15/10/5)</t>
        </is>
      </c>
      <c r="B43" s="12" t="inlineStr">
        <is>
          <t>VS01</t>
        </is>
      </c>
      <c r="C43" s="12" t="inlineStr">
        <is>
          <t>Jindal Steel &amp; Power</t>
        </is>
      </c>
      <c r="D43" s="12" t="n">
        <v>99.61</v>
      </c>
      <c r="E43" s="12" t="n">
        <v>26</v>
      </c>
      <c r="F43" s="12" t="inlineStr">
        <is>
          <t>ACCEPTABLE</t>
        </is>
      </c>
    </row>
    <row r="44">
      <c r="A44" s="12" t="inlineStr">
        <is>
          <t>Short-heavy (50/20/15/10/5)</t>
        </is>
      </c>
      <c r="B44" s="12" t="inlineStr">
        <is>
          <t>VS05</t>
        </is>
      </c>
      <c r="C44" s="12" t="inlineStr">
        <is>
          <t>Bhushan Steel</t>
        </is>
      </c>
      <c r="D44" s="12" t="n">
        <v>99.19</v>
      </c>
      <c r="E44" s="12" t="n">
        <v>21</v>
      </c>
      <c r="F44" s="12" t="inlineStr">
        <is>
          <t>ACCEPTABLE</t>
        </is>
      </c>
    </row>
    <row r="45">
      <c r="A45" s="12" t="inlineStr">
        <is>
          <t>Short-heavy (50/20/15/10/5)</t>
        </is>
      </c>
      <c r="B45" s="12" t="inlineStr">
        <is>
          <t>VS28</t>
        </is>
      </c>
      <c r="C45" s="12" t="inlineStr">
        <is>
          <t>Param Industries</t>
        </is>
      </c>
      <c r="D45" s="12" t="n">
        <v>98.29000000000001</v>
      </c>
      <c r="E45" s="12" t="n">
        <v>12</v>
      </c>
      <c r="F45" s="12" t="inlineStr">
        <is>
          <t>ACCEPTABLE</t>
        </is>
      </c>
    </row>
    <row r="46">
      <c r="A46" s="12" t="inlineStr">
        <is>
          <t>Short-heavy (50/20/15/10/5)</t>
        </is>
      </c>
      <c r="B46" s="12" t="inlineStr">
        <is>
          <t>VS04</t>
        </is>
      </c>
      <c r="C46" s="12" t="inlineStr">
        <is>
          <t>Shyam Metalics</t>
        </is>
      </c>
      <c r="D46" s="12" t="n">
        <v>99.51000000000001</v>
      </c>
      <c r="E46" s="12" t="n">
        <v>25</v>
      </c>
      <c r="F46" s="12" t="inlineStr">
        <is>
          <t>ACCEPTABLE</t>
        </is>
      </c>
    </row>
    <row r="47">
      <c r="A47" s="12" t="inlineStr">
        <is>
          <t>Short-heavy (50/20/15/10/5)</t>
        </is>
      </c>
      <c r="B47" s="12" t="inlineStr">
        <is>
          <t>VS08</t>
        </is>
      </c>
      <c r="C47" s="12" t="inlineStr">
        <is>
          <t>Ratnamani Metals</t>
        </is>
      </c>
      <c r="D47" s="12" t="n">
        <v>100</v>
      </c>
      <c r="E47" s="12" t="n">
        <v>32</v>
      </c>
      <c r="F47" s="12" t="inlineStr">
        <is>
          <t>ACCEPTABLE</t>
        </is>
      </c>
    </row>
    <row r="48">
      <c r="A48" s="12" t="inlineStr">
        <is>
          <t>Short-heavy (50/20/15/10/5)</t>
        </is>
      </c>
      <c r="B48" s="12" t="inlineStr">
        <is>
          <t>VS14</t>
        </is>
      </c>
      <c r="C48" s="12" t="inlineStr">
        <is>
          <t>Sunrise Metals</t>
        </is>
      </c>
      <c r="D48" s="12" t="n">
        <v>99.67</v>
      </c>
      <c r="E48" s="12" t="n">
        <v>27</v>
      </c>
      <c r="F48" s="12" t="inlineStr">
        <is>
          <t>ACCEPTABLE</t>
        </is>
      </c>
    </row>
    <row r="49">
      <c r="A49" s="12" t="inlineStr">
        <is>
          <t>Short-heavy (50/20/15/10/5)</t>
        </is>
      </c>
      <c r="B49" s="12" t="inlineStr">
        <is>
          <t>VS06</t>
        </is>
      </c>
      <c r="C49" s="12" t="inlineStr">
        <is>
          <t>APL Apollo Tubes</t>
        </is>
      </c>
      <c r="D49" s="12" t="n">
        <v>98.47</v>
      </c>
      <c r="E49" s="12" t="n">
        <v>15</v>
      </c>
      <c r="F49" s="12" t="inlineStr">
        <is>
          <t>ACCEPTABLE</t>
        </is>
      </c>
    </row>
    <row r="50">
      <c r="A50" s="12" t="inlineStr">
        <is>
          <t>Short-heavy (50/20/15/10/5)</t>
        </is>
      </c>
      <c r="B50" s="12" t="inlineStr">
        <is>
          <t>VS34</t>
        </is>
      </c>
      <c r="C50" s="12" t="inlineStr">
        <is>
          <t>Supreme Fittings</t>
        </is>
      </c>
      <c r="D50" s="12" t="n">
        <v>97.98</v>
      </c>
      <c r="E50" s="12" t="n">
        <v>6</v>
      </c>
      <c r="F50" s="12" t="inlineStr">
        <is>
          <t>ACCEPTABLE</t>
        </is>
      </c>
    </row>
    <row r="51">
      <c r="A51" s="12" t="inlineStr">
        <is>
          <t>Short-heavy (50/20/15/10/5)</t>
        </is>
      </c>
      <c r="B51" s="12" t="inlineStr">
        <is>
          <t>VS31</t>
        </is>
      </c>
      <c r="C51" s="12" t="inlineStr">
        <is>
          <t>Sunrise Alloys</t>
        </is>
      </c>
      <c r="D51" s="12" t="n">
        <v>98.45999999999999</v>
      </c>
      <c r="E51" s="12" t="n">
        <v>14</v>
      </c>
      <c r="F51" s="12" t="inlineStr">
        <is>
          <t>ACCEPTABLE</t>
        </is>
      </c>
    </row>
    <row r="52">
      <c r="A52" s="12" t="inlineStr">
        <is>
          <t>Short-heavy (50/20/15/10/5)</t>
        </is>
      </c>
      <c r="B52" s="12" t="inlineStr">
        <is>
          <t>VS10</t>
        </is>
      </c>
      <c r="C52" s="12" t="inlineStr">
        <is>
          <t>Gallantt Metal</t>
        </is>
      </c>
      <c r="D52" s="12" t="n">
        <v>98.55</v>
      </c>
      <c r="E52" s="12" t="n">
        <v>16</v>
      </c>
      <c r="F52" s="12" t="inlineStr">
        <is>
          <t>ACCEPTABLE</t>
        </is>
      </c>
    </row>
    <row r="53">
      <c r="A53" s="12" t="inlineStr">
        <is>
          <t>Short-heavy (50/20/15/10/5)</t>
        </is>
      </c>
      <c r="B53" s="12" t="inlineStr">
        <is>
          <t>VS26</t>
        </is>
      </c>
      <c r="C53" s="12" t="inlineStr">
        <is>
          <t>Rajdhani Steel</t>
        </is>
      </c>
      <c r="D53" s="12" t="n">
        <v>98</v>
      </c>
      <c r="E53" s="12" t="n">
        <v>7</v>
      </c>
      <c r="F53" s="12" t="inlineStr">
        <is>
          <t>ACCEPTABLE</t>
        </is>
      </c>
    </row>
    <row r="54">
      <c r="A54" s="12" t="inlineStr">
        <is>
          <t>Short-heavy (50/20/15/10/5)</t>
        </is>
      </c>
      <c r="B54" s="12" t="inlineStr">
        <is>
          <t>VS18</t>
        </is>
      </c>
      <c r="C54" s="12" t="inlineStr">
        <is>
          <t>Kumar Hardware</t>
        </is>
      </c>
      <c r="D54" s="12" t="n">
        <v>98.03</v>
      </c>
      <c r="E54" s="12" t="n">
        <v>8</v>
      </c>
      <c r="F54" s="12" t="inlineStr">
        <is>
          <t>ACCEPTABLE</t>
        </is>
      </c>
    </row>
    <row r="55">
      <c r="A55" s="12" t="inlineStr">
        <is>
          <t>Short-heavy (50/20/15/10/5)</t>
        </is>
      </c>
      <c r="B55" s="12" t="inlineStr">
        <is>
          <t>VS09</t>
        </is>
      </c>
      <c r="C55" s="12" t="inlineStr">
        <is>
          <t>MSP Steel</t>
        </is>
      </c>
      <c r="D55" s="12" t="n">
        <v>97.97</v>
      </c>
      <c r="E55" s="12" t="n">
        <v>5</v>
      </c>
      <c r="F55" s="12" t="inlineStr">
        <is>
          <t>ACCEPTABLE</t>
        </is>
      </c>
    </row>
    <row r="56">
      <c r="A56" s="12" t="inlineStr">
        <is>
          <t>Short-heavy (50/20/15/10/5)</t>
        </is>
      </c>
      <c r="B56" s="12" t="inlineStr">
        <is>
          <t>VS13</t>
        </is>
      </c>
      <c r="C56" s="12" t="inlineStr">
        <is>
          <t>Radhe Alloys</t>
        </is>
      </c>
      <c r="D56" s="12" t="n">
        <v>98.56</v>
      </c>
      <c r="E56" s="12" t="n">
        <v>17</v>
      </c>
      <c r="F56" s="12" t="inlineStr">
        <is>
          <t>ACCEPTABLE</t>
        </is>
      </c>
    </row>
    <row r="57">
      <c r="A57" s="12" t="inlineStr">
        <is>
          <t>Short-heavy (50/20/15/10/5)</t>
        </is>
      </c>
      <c r="B57" s="12" t="inlineStr">
        <is>
          <t>VS29</t>
        </is>
      </c>
      <c r="C57" s="12" t="inlineStr">
        <is>
          <t>Global Metals</t>
        </is>
      </c>
      <c r="D57" s="12" t="n">
        <v>100</v>
      </c>
      <c r="E57" s="12" t="n">
        <v>32</v>
      </c>
      <c r="F57" s="12" t="inlineStr">
        <is>
          <t>ACCEPTABLE</t>
        </is>
      </c>
    </row>
    <row r="58">
      <c r="A58" s="12" t="inlineStr">
        <is>
          <t>Short-heavy (50/20/15/10/5)</t>
        </is>
      </c>
      <c r="B58" s="12" t="inlineStr">
        <is>
          <t>VS33</t>
        </is>
      </c>
      <c r="C58" s="12" t="inlineStr">
        <is>
          <t>Premium Metals</t>
        </is>
      </c>
      <c r="D58" s="12" t="n">
        <v>99.34999999999999</v>
      </c>
      <c r="E58" s="12" t="n">
        <v>22</v>
      </c>
      <c r="F58" s="12" t="inlineStr">
        <is>
          <t>ACCEPTABLE</t>
        </is>
      </c>
    </row>
    <row r="59">
      <c r="A59" s="12" t="inlineStr">
        <is>
          <t>Short-heavy (50/20/15/10/5)</t>
        </is>
      </c>
      <c r="B59" s="12" t="inlineStr">
        <is>
          <t>VS25</t>
        </is>
      </c>
      <c r="C59" s="12" t="inlineStr">
        <is>
          <t>Laxmi Hardware</t>
        </is>
      </c>
      <c r="D59" s="12" t="n">
        <v>99.98</v>
      </c>
      <c r="E59" s="12" t="n">
        <v>30</v>
      </c>
      <c r="F59" s="12" t="inlineStr">
        <is>
          <t>ACCEPTABLE</t>
        </is>
      </c>
    </row>
    <row r="60">
      <c r="A60" s="12" t="inlineStr">
        <is>
          <t>Short-heavy (50/20/15/10/5)</t>
        </is>
      </c>
      <c r="B60" s="12" t="inlineStr">
        <is>
          <t>VS21</t>
        </is>
      </c>
      <c r="C60" s="12" t="inlineStr">
        <is>
          <t>Viraj Profiles</t>
        </is>
      </c>
      <c r="D60" s="12" t="n">
        <v>100</v>
      </c>
      <c r="E60" s="12" t="n">
        <v>32</v>
      </c>
      <c r="F60" s="12" t="inlineStr">
        <is>
          <t>ACCEPTABLE</t>
        </is>
      </c>
    </row>
    <row r="61">
      <c r="A61" s="12" t="inlineStr">
        <is>
          <t>Short-heavy (50/20/15/10/5)</t>
        </is>
      </c>
      <c r="B61" s="12" t="inlineStr">
        <is>
          <t>VS23</t>
        </is>
      </c>
      <c r="C61" s="12" t="inlineStr">
        <is>
          <t>Krishna Pipes</t>
        </is>
      </c>
      <c r="D61" s="12" t="n">
        <v>99.42</v>
      </c>
      <c r="E61" s="12" t="n">
        <v>24</v>
      </c>
      <c r="F61" s="12" t="inlineStr">
        <is>
          <t>ACCEPTABLE</t>
        </is>
      </c>
    </row>
    <row r="62">
      <c r="A62" s="12" t="inlineStr">
        <is>
          <t>Short-heavy (50/20/15/10/5)</t>
        </is>
      </c>
      <c r="B62" s="12" t="inlineStr">
        <is>
          <t>VS24</t>
        </is>
      </c>
      <c r="C62" s="12" t="inlineStr">
        <is>
          <t>Om Metals</t>
        </is>
      </c>
      <c r="D62" s="12" t="n">
        <v>99.83</v>
      </c>
      <c r="E62" s="12" t="n">
        <v>28</v>
      </c>
      <c r="F62" s="12" t="inlineStr">
        <is>
          <t>ACCEPTABLE</t>
        </is>
      </c>
    </row>
    <row r="63">
      <c r="A63" s="12" t="inlineStr">
        <is>
          <t>Short-heavy (50/20/15/10/5)</t>
        </is>
      </c>
      <c r="B63" s="12" t="inlineStr">
        <is>
          <t>VS02</t>
        </is>
      </c>
      <c r="C63" s="12" t="inlineStr">
        <is>
          <t>SAIL Distribution</t>
        </is>
      </c>
      <c r="D63" s="12" t="n">
        <v>100</v>
      </c>
      <c r="E63" s="12" t="n">
        <v>32</v>
      </c>
      <c r="F63" s="12" t="inlineStr">
        <is>
          <t>ACCEPTABLE</t>
        </is>
      </c>
    </row>
    <row r="64">
      <c r="A64" s="12" t="inlineStr">
        <is>
          <t>Short-heavy (50/20/15/10/5)</t>
        </is>
      </c>
      <c r="B64" s="12" t="inlineStr">
        <is>
          <t>VS27</t>
        </is>
      </c>
      <c r="C64" s="12" t="inlineStr">
        <is>
          <t>National Pipes</t>
        </is>
      </c>
      <c r="D64" s="12" t="n">
        <v>98.22</v>
      </c>
      <c r="E64" s="12" t="n">
        <v>10</v>
      </c>
      <c r="F64" s="12" t="inlineStr">
        <is>
          <t>ACCEPTABLE</t>
        </is>
      </c>
    </row>
    <row r="65">
      <c r="A65" s="12" t="inlineStr">
        <is>
          <t>Short-heavy (50/20/15/10/5)</t>
        </is>
      </c>
      <c r="B65" s="12" t="inlineStr">
        <is>
          <t>VS30</t>
        </is>
      </c>
      <c r="C65" s="12" t="inlineStr">
        <is>
          <t>Apex Hardware</t>
        </is>
      </c>
      <c r="D65" s="12" t="n">
        <v>98.68000000000001</v>
      </c>
      <c r="E65" s="12" t="n">
        <v>18</v>
      </c>
      <c r="F65" s="12" t="inlineStr">
        <is>
          <t>ACCEPTABLE</t>
        </is>
      </c>
    </row>
    <row r="66">
      <c r="A66" s="12" t="inlineStr">
        <is>
          <t>Short-heavy (50/20/15/10/5)</t>
        </is>
      </c>
      <c r="B66" s="12" t="inlineStr">
        <is>
          <t>VS20</t>
        </is>
      </c>
      <c r="C66" s="12" t="inlineStr">
        <is>
          <t>Bhavani Metals</t>
        </is>
      </c>
      <c r="D66" s="12" t="n">
        <v>98.42</v>
      </c>
      <c r="E66" s="12" t="n">
        <v>13</v>
      </c>
      <c r="F66" s="12" t="inlineStr">
        <is>
          <t>ACCEPTABLE</t>
        </is>
      </c>
    </row>
    <row r="67">
      <c r="A67" s="12" t="inlineStr">
        <is>
          <t>Short-heavy (50/20/15/10/5)</t>
        </is>
      </c>
      <c r="B67" s="12" t="inlineStr">
        <is>
          <t>VS15</t>
        </is>
      </c>
      <c r="C67" s="12" t="inlineStr">
        <is>
          <t>Western Steel</t>
        </is>
      </c>
      <c r="D67" s="12" t="n">
        <v>98.23999999999999</v>
      </c>
      <c r="E67" s="12" t="n">
        <v>11</v>
      </c>
      <c r="F67" s="12" t="inlineStr">
        <is>
          <t>ACCEPTABLE</t>
        </is>
      </c>
    </row>
    <row r="68">
      <c r="A68" s="12" t="inlineStr">
        <is>
          <t>Short-heavy (50/20/15/10/5)</t>
        </is>
      </c>
      <c r="B68" s="12" t="inlineStr">
        <is>
          <t>VS07</t>
        </is>
      </c>
      <c r="C68" s="12" t="inlineStr">
        <is>
          <t>Prakash Industries</t>
        </is>
      </c>
      <c r="D68" s="12" t="n">
        <v>99.84</v>
      </c>
      <c r="E68" s="12" t="n">
        <v>29</v>
      </c>
      <c r="F68" s="12" t="inlineStr">
        <is>
          <t>ACCEPTABLE</t>
        </is>
      </c>
    </row>
    <row r="69">
      <c r="A69" s="12" t="inlineStr">
        <is>
          <t>Short-heavy (50/20/15/10/5)</t>
        </is>
      </c>
      <c r="B69" s="12" t="inlineStr">
        <is>
          <t>VS22</t>
        </is>
      </c>
      <c r="C69" s="12" t="inlineStr">
        <is>
          <t>Ratan Steel</t>
        </is>
      </c>
      <c r="D69" s="12" t="n">
        <v>98.93000000000001</v>
      </c>
      <c r="E69" s="12" t="n">
        <v>19</v>
      </c>
      <c r="F69" s="12" t="inlineStr">
        <is>
          <t>ACCEPTABLE</t>
        </is>
      </c>
    </row>
    <row r="70">
      <c r="A70" s="12" t="inlineStr">
        <is>
          <t>Returns-heavy (25/15/15/35/10)</t>
        </is>
      </c>
      <c r="B70" s="12" t="inlineStr">
        <is>
          <t>VS12</t>
        </is>
      </c>
      <c r="C70" s="12" t="inlineStr">
        <is>
          <t>Nutan Tubes</t>
        </is>
      </c>
      <c r="D70" s="12" t="n">
        <v>9.25</v>
      </c>
      <c r="E70" s="12" t="n">
        <v>1</v>
      </c>
      <c r="F70" s="12" t="inlineStr">
        <is>
          <t>POOR</t>
        </is>
      </c>
    </row>
    <row r="71">
      <c r="A71" s="12" t="inlineStr">
        <is>
          <t>Returns-heavy (25/15/15/35/10)</t>
        </is>
      </c>
      <c r="B71" s="12" t="inlineStr">
        <is>
          <t>VS19</t>
        </is>
      </c>
      <c r="C71" s="12" t="inlineStr">
        <is>
          <t>Thakur Steel</t>
        </is>
      </c>
      <c r="D71" s="12" t="n">
        <v>11.75</v>
      </c>
      <c r="E71" s="12" t="n">
        <v>2</v>
      </c>
      <c r="F71" s="12" t="inlineStr">
        <is>
          <t>POOR</t>
        </is>
      </c>
    </row>
    <row r="72">
      <c r="A72" s="12" t="inlineStr">
        <is>
          <t>Returns-heavy (25/15/15/35/10)</t>
        </is>
      </c>
      <c r="B72" s="12" t="inlineStr">
        <is>
          <t>VS03</t>
        </is>
      </c>
      <c r="C72" s="12" t="inlineStr">
        <is>
          <t>Tata Steel Service</t>
        </is>
      </c>
      <c r="D72" s="12" t="n">
        <v>14.05</v>
      </c>
      <c r="E72" s="12" t="n">
        <v>3</v>
      </c>
      <c r="F72" s="12" t="inlineStr">
        <is>
          <t>POOR</t>
        </is>
      </c>
    </row>
    <row r="73">
      <c r="A73" s="12" t="inlineStr">
        <is>
          <t>Returns-heavy (25/15/15/35/10)</t>
        </is>
      </c>
      <c r="B73" s="12" t="inlineStr">
        <is>
          <t>VS17</t>
        </is>
      </c>
      <c r="C73" s="12" t="inlineStr">
        <is>
          <t>Modern Metals</t>
        </is>
      </c>
      <c r="D73" s="12" t="n">
        <v>97.62</v>
      </c>
      <c r="E73" s="12" t="n">
        <v>15</v>
      </c>
      <c r="F73" s="12" t="inlineStr">
        <is>
          <t>ACCEPTABLE</t>
        </is>
      </c>
    </row>
    <row r="74">
      <c r="A74" s="12" t="inlineStr">
        <is>
          <t>Returns-heavy (25/15/15/35/10)</t>
        </is>
      </c>
      <c r="B74" s="12" t="inlineStr">
        <is>
          <t>VS16</t>
        </is>
      </c>
      <c r="C74" s="12" t="inlineStr">
        <is>
          <t>Garg Enterprises</t>
        </is>
      </c>
      <c r="D74" s="12" t="n">
        <v>90.59999999999999</v>
      </c>
      <c r="E74" s="12" t="n">
        <v>4</v>
      </c>
      <c r="F74" s="12" t="inlineStr">
        <is>
          <t>ACCEPTABLE</t>
        </is>
      </c>
    </row>
    <row r="75">
      <c r="A75" s="12" t="inlineStr">
        <is>
          <t>Returns-heavy (25/15/15/35/10)</t>
        </is>
      </c>
      <c r="B75" s="12" t="inlineStr">
        <is>
          <t>VS11</t>
        </is>
      </c>
      <c r="C75" s="12" t="inlineStr">
        <is>
          <t>Sai Steel</t>
        </is>
      </c>
      <c r="D75" s="12" t="n">
        <v>95.92</v>
      </c>
      <c r="E75" s="12" t="n">
        <v>5</v>
      </c>
      <c r="F75" s="12" t="inlineStr">
        <is>
          <t>ACCEPTABLE</t>
        </is>
      </c>
    </row>
    <row r="76">
      <c r="A76" s="12" t="inlineStr">
        <is>
          <t>Returns-heavy (25/15/15/35/10)</t>
        </is>
      </c>
      <c r="B76" s="12" t="inlineStr">
        <is>
          <t>VS32</t>
        </is>
      </c>
      <c r="C76" s="12" t="inlineStr">
        <is>
          <t>Precision Steel</t>
        </is>
      </c>
      <c r="D76" s="12" t="n">
        <v>98.40000000000001</v>
      </c>
      <c r="E76" s="12" t="n">
        <v>18</v>
      </c>
      <c r="F76" s="12" t="inlineStr">
        <is>
          <t>ACCEPTABLE</t>
        </is>
      </c>
    </row>
    <row r="77">
      <c r="A77" s="12" t="inlineStr">
        <is>
          <t>Returns-heavy (25/15/15/35/10)</t>
        </is>
      </c>
      <c r="B77" s="12" t="inlineStr">
        <is>
          <t>VS01</t>
        </is>
      </c>
      <c r="C77" s="12" t="inlineStr">
        <is>
          <t>Jindal Steel &amp; Power</t>
        </is>
      </c>
      <c r="D77" s="12" t="n">
        <v>99.13</v>
      </c>
      <c r="E77" s="12" t="n">
        <v>23</v>
      </c>
      <c r="F77" s="12" t="inlineStr">
        <is>
          <t>ACCEPTABLE</t>
        </is>
      </c>
    </row>
    <row r="78">
      <c r="A78" s="12" t="inlineStr">
        <is>
          <t>Returns-heavy (25/15/15/35/10)</t>
        </is>
      </c>
      <c r="B78" s="12" t="inlineStr">
        <is>
          <t>VS05</t>
        </is>
      </c>
      <c r="C78" s="12" t="inlineStr">
        <is>
          <t>Bhushan Steel</t>
        </is>
      </c>
      <c r="D78" s="12" t="n">
        <v>99.26000000000001</v>
      </c>
      <c r="E78" s="12" t="n">
        <v>25</v>
      </c>
      <c r="F78" s="12" t="inlineStr">
        <is>
          <t>ACCEPTABLE</t>
        </is>
      </c>
    </row>
    <row r="79">
      <c r="A79" s="12" t="inlineStr">
        <is>
          <t>Returns-heavy (25/15/15/35/10)</t>
        </is>
      </c>
      <c r="B79" s="12" t="inlineStr">
        <is>
          <t>VS28</t>
        </is>
      </c>
      <c r="C79" s="12" t="inlineStr">
        <is>
          <t>Param Industries</t>
        </is>
      </c>
      <c r="D79" s="12" t="n">
        <v>98.05</v>
      </c>
      <c r="E79" s="12" t="n">
        <v>17</v>
      </c>
      <c r="F79" s="12" t="inlineStr">
        <is>
          <t>ACCEPTABLE</t>
        </is>
      </c>
    </row>
    <row r="80">
      <c r="A80" s="12" t="inlineStr">
        <is>
          <t>Returns-heavy (25/15/15/35/10)</t>
        </is>
      </c>
      <c r="B80" s="12" t="inlineStr">
        <is>
          <t>VS04</t>
        </is>
      </c>
      <c r="C80" s="12" t="inlineStr">
        <is>
          <t>Shyam Metalics</t>
        </is>
      </c>
      <c r="D80" s="12" t="n">
        <v>99.76000000000001</v>
      </c>
      <c r="E80" s="12" t="n">
        <v>27</v>
      </c>
      <c r="F80" s="12" t="inlineStr">
        <is>
          <t>ACCEPTABLE</t>
        </is>
      </c>
    </row>
    <row r="81">
      <c r="A81" s="12" t="inlineStr">
        <is>
          <t>Returns-heavy (25/15/15/35/10)</t>
        </is>
      </c>
      <c r="B81" s="12" t="inlineStr">
        <is>
          <t>VS08</t>
        </is>
      </c>
      <c r="C81" s="12" t="inlineStr">
        <is>
          <t>Ratnamani Metals</t>
        </is>
      </c>
      <c r="D81" s="12" t="n">
        <v>100</v>
      </c>
      <c r="E81" s="12" t="n">
        <v>32</v>
      </c>
      <c r="F81" s="12" t="inlineStr">
        <is>
          <t>ACCEPTABLE</t>
        </is>
      </c>
    </row>
    <row r="82">
      <c r="A82" s="12" t="inlineStr">
        <is>
          <t>Returns-heavy (25/15/15/35/10)</t>
        </is>
      </c>
      <c r="B82" s="12" t="inlineStr">
        <is>
          <t>VS14</t>
        </is>
      </c>
      <c r="C82" s="12" t="inlineStr">
        <is>
          <t>Sunrise Metals</t>
        </is>
      </c>
      <c r="D82" s="12" t="n">
        <v>99.45999999999999</v>
      </c>
      <c r="E82" s="12" t="n">
        <v>26</v>
      </c>
      <c r="F82" s="12" t="inlineStr">
        <is>
          <t>ACCEPTABLE</t>
        </is>
      </c>
    </row>
    <row r="83">
      <c r="A83" s="12" t="inlineStr">
        <is>
          <t>Returns-heavy (25/15/15/35/10)</t>
        </is>
      </c>
      <c r="B83" s="12" t="inlineStr">
        <is>
          <t>VS06</t>
        </is>
      </c>
      <c r="C83" s="12" t="inlineStr">
        <is>
          <t>APL Apollo Tubes</t>
        </is>
      </c>
      <c r="D83" s="12" t="n">
        <v>96.93000000000001</v>
      </c>
      <c r="E83" s="12" t="n">
        <v>11</v>
      </c>
      <c r="F83" s="12" t="inlineStr">
        <is>
          <t>ACCEPTABLE</t>
        </is>
      </c>
    </row>
    <row r="84">
      <c r="A84" s="12" t="inlineStr">
        <is>
          <t>Returns-heavy (25/15/15/35/10)</t>
        </is>
      </c>
      <c r="B84" s="12" t="inlineStr">
        <is>
          <t>VS34</t>
        </is>
      </c>
      <c r="C84" s="12" t="inlineStr">
        <is>
          <t>Supreme Fittings</t>
        </is>
      </c>
      <c r="D84" s="12" t="n">
        <v>96.31999999999999</v>
      </c>
      <c r="E84" s="12" t="n">
        <v>8</v>
      </c>
      <c r="F84" s="12" t="inlineStr">
        <is>
          <t>ACCEPTABLE</t>
        </is>
      </c>
    </row>
    <row r="85">
      <c r="A85" s="12" t="inlineStr">
        <is>
          <t>Returns-heavy (25/15/15/35/10)</t>
        </is>
      </c>
      <c r="B85" s="12" t="inlineStr">
        <is>
          <t>VS31</t>
        </is>
      </c>
      <c r="C85" s="12" t="inlineStr">
        <is>
          <t>Sunrise Alloys</t>
        </is>
      </c>
      <c r="D85" s="12" t="n">
        <v>96.44</v>
      </c>
      <c r="E85" s="12" t="n">
        <v>9</v>
      </c>
      <c r="F85" s="12" t="inlineStr">
        <is>
          <t>ACCEPTABLE</t>
        </is>
      </c>
    </row>
    <row r="86">
      <c r="A86" s="12" t="inlineStr">
        <is>
          <t>Returns-heavy (25/15/15/35/10)</t>
        </is>
      </c>
      <c r="B86" s="12" t="inlineStr">
        <is>
          <t>VS10</t>
        </is>
      </c>
      <c r="C86" s="12" t="inlineStr">
        <is>
          <t>Gallantt Metal</t>
        </is>
      </c>
      <c r="D86" s="12" t="n">
        <v>97.47</v>
      </c>
      <c r="E86" s="12" t="n">
        <v>14</v>
      </c>
      <c r="F86" s="12" t="inlineStr">
        <is>
          <t>ACCEPTABLE</t>
        </is>
      </c>
    </row>
    <row r="87">
      <c r="A87" s="12" t="inlineStr">
        <is>
          <t>Returns-heavy (25/15/15/35/10)</t>
        </is>
      </c>
      <c r="B87" s="12" t="inlineStr">
        <is>
          <t>VS26</t>
        </is>
      </c>
      <c r="C87" s="12" t="inlineStr">
        <is>
          <t>Rajdhani Steel</t>
        </is>
      </c>
      <c r="D87" s="12" t="n">
        <v>97.43000000000001</v>
      </c>
      <c r="E87" s="12" t="n">
        <v>13</v>
      </c>
      <c r="F87" s="12" t="inlineStr">
        <is>
          <t>ACCEPTABLE</t>
        </is>
      </c>
    </row>
    <row r="88">
      <c r="A88" s="12" t="inlineStr">
        <is>
          <t>Returns-heavy (25/15/15/35/10)</t>
        </is>
      </c>
      <c r="B88" s="12" t="inlineStr">
        <is>
          <t>VS18</t>
        </is>
      </c>
      <c r="C88" s="12" t="inlineStr">
        <is>
          <t>Kumar Hardware</t>
        </is>
      </c>
      <c r="D88" s="12" t="n">
        <v>96.16</v>
      </c>
      <c r="E88" s="12" t="n">
        <v>7</v>
      </c>
      <c r="F88" s="12" t="inlineStr">
        <is>
          <t>ACCEPTABLE</t>
        </is>
      </c>
    </row>
    <row r="89">
      <c r="A89" s="12" t="inlineStr">
        <is>
          <t>Returns-heavy (25/15/15/35/10)</t>
        </is>
      </c>
      <c r="B89" s="12" t="inlineStr">
        <is>
          <t>VS09</t>
        </is>
      </c>
      <c r="C89" s="12" t="inlineStr">
        <is>
          <t>MSP Steel</t>
        </is>
      </c>
      <c r="D89" s="12" t="n">
        <v>95.93000000000001</v>
      </c>
      <c r="E89" s="12" t="n">
        <v>6</v>
      </c>
      <c r="F89" s="12" t="inlineStr">
        <is>
          <t>ACCEPTABLE</t>
        </is>
      </c>
    </row>
    <row r="90">
      <c r="A90" s="12" t="inlineStr">
        <is>
          <t>Returns-heavy (25/15/15/35/10)</t>
        </is>
      </c>
      <c r="B90" s="12" t="inlineStr">
        <is>
          <t>VS13</t>
        </is>
      </c>
      <c r="C90" s="12" t="inlineStr">
        <is>
          <t>Radhe Alloys</t>
        </is>
      </c>
      <c r="D90" s="12" t="n">
        <v>97.81999999999999</v>
      </c>
      <c r="E90" s="12" t="n">
        <v>16</v>
      </c>
      <c r="F90" s="12" t="inlineStr">
        <is>
          <t>ACCEPTABLE</t>
        </is>
      </c>
    </row>
    <row r="91">
      <c r="A91" s="12" t="inlineStr">
        <is>
          <t>Returns-heavy (25/15/15/35/10)</t>
        </is>
      </c>
      <c r="B91" s="12" t="inlineStr">
        <is>
          <t>VS29</t>
        </is>
      </c>
      <c r="C91" s="12" t="inlineStr">
        <is>
          <t>Global Metals</t>
        </is>
      </c>
      <c r="D91" s="12" t="n">
        <v>100</v>
      </c>
      <c r="E91" s="12" t="n">
        <v>32</v>
      </c>
      <c r="F91" s="12" t="inlineStr">
        <is>
          <t>ACCEPTABLE</t>
        </is>
      </c>
    </row>
    <row r="92">
      <c r="A92" s="12" t="inlineStr">
        <is>
          <t>Returns-heavy (25/15/15/35/10)</t>
        </is>
      </c>
      <c r="B92" s="12" t="inlineStr">
        <is>
          <t>VS33</t>
        </is>
      </c>
      <c r="C92" s="12" t="inlineStr">
        <is>
          <t>Premium Metals</t>
        </is>
      </c>
      <c r="D92" s="12" t="n">
        <v>98.7</v>
      </c>
      <c r="E92" s="12" t="n">
        <v>20</v>
      </c>
      <c r="F92" s="12" t="inlineStr">
        <is>
          <t>ACCEPTABLE</t>
        </is>
      </c>
    </row>
    <row r="93">
      <c r="A93" s="12" t="inlineStr">
        <is>
          <t>Returns-heavy (25/15/15/35/10)</t>
        </is>
      </c>
      <c r="B93" s="12" t="inlineStr">
        <is>
          <t>VS25</t>
        </is>
      </c>
      <c r="C93" s="12" t="inlineStr">
        <is>
          <t>Laxmi Hardware</t>
        </is>
      </c>
      <c r="D93" s="12" t="n">
        <v>99.92</v>
      </c>
      <c r="E93" s="12" t="n">
        <v>29</v>
      </c>
      <c r="F93" s="12" t="inlineStr">
        <is>
          <t>ACCEPTABLE</t>
        </is>
      </c>
    </row>
    <row r="94">
      <c r="A94" s="12" t="inlineStr">
        <is>
          <t>Returns-heavy (25/15/15/35/10)</t>
        </is>
      </c>
      <c r="B94" s="12" t="inlineStr">
        <is>
          <t>VS21</t>
        </is>
      </c>
      <c r="C94" s="12" t="inlineStr">
        <is>
          <t>Viraj Profiles</t>
        </is>
      </c>
      <c r="D94" s="12" t="n">
        <v>100</v>
      </c>
      <c r="E94" s="12" t="n">
        <v>32</v>
      </c>
      <c r="F94" s="12" t="inlineStr">
        <is>
          <t>ACCEPTABLE</t>
        </is>
      </c>
    </row>
    <row r="95">
      <c r="A95" s="12" t="inlineStr">
        <is>
          <t>Returns-heavy (25/15/15/35/10)</t>
        </is>
      </c>
      <c r="B95" s="12" t="inlineStr">
        <is>
          <t>VS23</t>
        </is>
      </c>
      <c r="C95" s="12" t="inlineStr">
        <is>
          <t>Krishna Pipes</t>
        </is>
      </c>
      <c r="D95" s="12" t="n">
        <v>98.83</v>
      </c>
      <c r="E95" s="12" t="n">
        <v>21</v>
      </c>
      <c r="F95" s="12" t="inlineStr">
        <is>
          <t>ACCEPTABLE</t>
        </is>
      </c>
    </row>
    <row r="96">
      <c r="A96" s="12" t="inlineStr">
        <is>
          <t>Returns-heavy (25/15/15/35/10)</t>
        </is>
      </c>
      <c r="B96" s="12" t="inlineStr">
        <is>
          <t>VS24</t>
        </is>
      </c>
      <c r="C96" s="12" t="inlineStr">
        <is>
          <t>Om Metals</t>
        </is>
      </c>
      <c r="D96" s="12" t="n">
        <v>99.87</v>
      </c>
      <c r="E96" s="12" t="n">
        <v>28</v>
      </c>
      <c r="F96" s="12" t="inlineStr">
        <is>
          <t>ACCEPTABLE</t>
        </is>
      </c>
    </row>
    <row r="97">
      <c r="A97" s="12" t="inlineStr">
        <is>
          <t>Returns-heavy (25/15/15/35/10)</t>
        </is>
      </c>
      <c r="B97" s="12" t="inlineStr">
        <is>
          <t>VS02</t>
        </is>
      </c>
      <c r="C97" s="12" t="inlineStr">
        <is>
          <t>SAIL Distribution</t>
        </is>
      </c>
      <c r="D97" s="12" t="n">
        <v>100</v>
      </c>
      <c r="E97" s="12" t="n">
        <v>32</v>
      </c>
      <c r="F97" s="12" t="inlineStr">
        <is>
          <t>ACCEPTABLE</t>
        </is>
      </c>
    </row>
    <row r="98">
      <c r="A98" s="12" t="inlineStr">
        <is>
          <t>Returns-heavy (25/15/15/35/10)</t>
        </is>
      </c>
      <c r="B98" s="12" t="inlineStr">
        <is>
          <t>VS27</t>
        </is>
      </c>
      <c r="C98" s="12" t="inlineStr">
        <is>
          <t>National Pipes</t>
        </is>
      </c>
      <c r="D98" s="12" t="n">
        <v>98.58</v>
      </c>
      <c r="E98" s="12" t="n">
        <v>19</v>
      </c>
      <c r="F98" s="12" t="inlineStr">
        <is>
          <t>ACCEPTABLE</t>
        </is>
      </c>
    </row>
    <row r="99">
      <c r="A99" s="12" t="inlineStr">
        <is>
          <t>Returns-heavy (25/15/15/35/10)</t>
        </is>
      </c>
      <c r="B99" s="12" t="inlineStr">
        <is>
          <t>VS30</t>
        </is>
      </c>
      <c r="C99" s="12" t="inlineStr">
        <is>
          <t>Apex Hardware</t>
        </is>
      </c>
      <c r="D99" s="12" t="n">
        <v>98.90000000000001</v>
      </c>
      <c r="E99" s="12" t="n">
        <v>22</v>
      </c>
      <c r="F99" s="12" t="inlineStr">
        <is>
          <t>ACCEPTABLE</t>
        </is>
      </c>
    </row>
    <row r="100">
      <c r="A100" s="12" t="inlineStr">
        <is>
          <t>Returns-heavy (25/15/15/35/10)</t>
        </is>
      </c>
      <c r="B100" s="12" t="inlineStr">
        <is>
          <t>VS20</t>
        </is>
      </c>
      <c r="C100" s="12" t="inlineStr">
        <is>
          <t>Bhavani Metals</t>
        </is>
      </c>
      <c r="D100" s="12" t="n">
        <v>96.83</v>
      </c>
      <c r="E100" s="12" t="n">
        <v>10</v>
      </c>
      <c r="F100" s="12" t="inlineStr">
        <is>
          <t>ACCEPTABLE</t>
        </is>
      </c>
    </row>
    <row r="101">
      <c r="A101" s="12" t="inlineStr">
        <is>
          <t>Returns-heavy (25/15/15/35/10)</t>
        </is>
      </c>
      <c r="B101" s="12" t="inlineStr">
        <is>
          <t>VS15</t>
        </is>
      </c>
      <c r="C101" s="12" t="inlineStr">
        <is>
          <t>Western Steel</t>
        </is>
      </c>
      <c r="D101" s="12" t="n">
        <v>96.97</v>
      </c>
      <c r="E101" s="12" t="n">
        <v>12</v>
      </c>
      <c r="F101" s="12" t="inlineStr">
        <is>
          <t>ACCEPTABLE</t>
        </is>
      </c>
    </row>
    <row r="102">
      <c r="A102" s="12" t="inlineStr">
        <is>
          <t>Returns-heavy (25/15/15/35/10)</t>
        </is>
      </c>
      <c r="B102" s="12" t="inlineStr">
        <is>
          <t>VS07</t>
        </is>
      </c>
      <c r="C102" s="12" t="inlineStr">
        <is>
          <t>Prakash Industries</t>
        </is>
      </c>
      <c r="D102" s="12" t="n">
        <v>99.92</v>
      </c>
      <c r="E102" s="12" t="n">
        <v>29</v>
      </c>
      <c r="F102" s="12" t="inlineStr">
        <is>
          <t>ACCEPTABLE</t>
        </is>
      </c>
    </row>
    <row r="103">
      <c r="A103" s="12" t="inlineStr">
        <is>
          <t>Returns-heavy (25/15/15/35/10)</t>
        </is>
      </c>
      <c r="B103" s="12" t="inlineStr">
        <is>
          <t>VS22</t>
        </is>
      </c>
      <c r="C103" s="12" t="inlineStr">
        <is>
          <t>Ratan Steel</t>
        </is>
      </c>
      <c r="D103" s="12" t="n">
        <v>99.2</v>
      </c>
      <c r="E103" s="12" t="n">
        <v>24</v>
      </c>
      <c r="F103" s="12" t="inlineStr">
        <is>
          <t>ACCEPTABLE</t>
        </is>
      </c>
    </row>
    <row r="104">
      <c r="A104" s="12" t="inlineStr">
        <is>
          <t>Equal (20/20/20/20/20)</t>
        </is>
      </c>
      <c r="B104" s="12" t="inlineStr">
        <is>
          <t>VS12</t>
        </is>
      </c>
      <c r="C104" s="12" t="inlineStr">
        <is>
          <t>Nutan Tubes</t>
        </is>
      </c>
      <c r="D104" s="12" t="n">
        <v>18.04</v>
      </c>
      <c r="E104" s="12" t="n">
        <v>3</v>
      </c>
      <c r="F104" s="12" t="inlineStr">
        <is>
          <t>POOR</t>
        </is>
      </c>
    </row>
    <row r="105">
      <c r="A105" s="12" t="inlineStr">
        <is>
          <t>Equal (20/20/20/20/20)</t>
        </is>
      </c>
      <c r="B105" s="12" t="inlineStr">
        <is>
          <t>VS19</t>
        </is>
      </c>
      <c r="C105" s="12" t="inlineStr">
        <is>
          <t>Thakur Steel</t>
        </is>
      </c>
      <c r="D105" s="12" t="n">
        <v>16.32</v>
      </c>
      <c r="E105" s="12" t="n">
        <v>2</v>
      </c>
      <c r="F105" s="12" t="inlineStr">
        <is>
          <t>POOR</t>
        </is>
      </c>
    </row>
    <row r="106">
      <c r="A106" s="12" t="inlineStr">
        <is>
          <t>Equal (20/20/20/20/20)</t>
        </is>
      </c>
      <c r="B106" s="12" t="inlineStr">
        <is>
          <t>VS03</t>
        </is>
      </c>
      <c r="C106" s="12" t="inlineStr">
        <is>
          <t>Tata Steel Service</t>
        </is>
      </c>
      <c r="D106" s="12" t="n">
        <v>16.16</v>
      </c>
      <c r="E106" s="12" t="n">
        <v>1</v>
      </c>
      <c r="F106" s="12" t="inlineStr">
        <is>
          <t>POOR</t>
        </is>
      </c>
    </row>
    <row r="107">
      <c r="A107" s="12" t="inlineStr">
        <is>
          <t>Equal (20/20/20/20/20)</t>
        </is>
      </c>
      <c r="B107" s="12" t="inlineStr">
        <is>
          <t>VS17</t>
        </is>
      </c>
      <c r="C107" s="12" t="inlineStr">
        <is>
          <t>Modern Metals</t>
        </is>
      </c>
      <c r="D107" s="12" t="n">
        <v>98.59999999999999</v>
      </c>
      <c r="E107" s="12" t="n">
        <v>21</v>
      </c>
      <c r="F107" s="12" t="inlineStr">
        <is>
          <t>ACCEPTABLE</t>
        </is>
      </c>
    </row>
    <row r="108">
      <c r="A108" s="12" t="inlineStr">
        <is>
          <t>Equal (20/20/20/20/20)</t>
        </is>
      </c>
      <c r="B108" s="12" t="inlineStr">
        <is>
          <t>VS16</t>
        </is>
      </c>
      <c r="C108" s="12" t="inlineStr">
        <is>
          <t>Garg Enterprises</t>
        </is>
      </c>
      <c r="D108" s="12" t="n">
        <v>84.45999999999999</v>
      </c>
      <c r="E108" s="12" t="n">
        <v>4</v>
      </c>
      <c r="F108" s="12" t="inlineStr">
        <is>
          <t>WATCH</t>
        </is>
      </c>
    </row>
    <row r="109">
      <c r="A109" s="12" t="inlineStr">
        <is>
          <t>Equal (20/20/20/20/20)</t>
        </is>
      </c>
      <c r="B109" s="12" t="inlineStr">
        <is>
          <t>VS11</t>
        </is>
      </c>
      <c r="C109" s="12" t="inlineStr">
        <is>
          <t>Sai Steel</t>
        </is>
      </c>
      <c r="D109" s="12" t="n">
        <v>95.16</v>
      </c>
      <c r="E109" s="12" t="n">
        <v>12</v>
      </c>
      <c r="F109" s="12" t="inlineStr">
        <is>
          <t>ACCEPTABLE</t>
        </is>
      </c>
    </row>
    <row r="110">
      <c r="A110" s="12" t="inlineStr">
        <is>
          <t>Equal (20/20/20/20/20)</t>
        </is>
      </c>
      <c r="B110" s="12" t="inlineStr">
        <is>
          <t>VS32</t>
        </is>
      </c>
      <c r="C110" s="12" t="inlineStr">
        <is>
          <t>Precision Steel</t>
        </is>
      </c>
      <c r="D110" s="12" t="n">
        <v>98.95</v>
      </c>
      <c r="E110" s="12" t="n">
        <v>23</v>
      </c>
      <c r="F110" s="12" t="inlineStr">
        <is>
          <t>ACCEPTABLE</t>
        </is>
      </c>
    </row>
    <row r="111">
      <c r="A111" s="12" t="inlineStr">
        <is>
          <t>Equal (20/20/20/20/20)</t>
        </is>
      </c>
      <c r="B111" s="12" t="inlineStr">
        <is>
          <t>VS01</t>
        </is>
      </c>
      <c r="C111" s="12" t="inlineStr">
        <is>
          <t>Jindal Steel &amp; Power</t>
        </is>
      </c>
      <c r="D111" s="12" t="n">
        <v>99.48999999999999</v>
      </c>
      <c r="E111" s="12" t="n">
        <v>25</v>
      </c>
      <c r="F111" s="12" t="inlineStr">
        <is>
          <t>ACCEPTABLE</t>
        </is>
      </c>
    </row>
    <row r="112">
      <c r="A112" s="12" t="inlineStr">
        <is>
          <t>Equal (20/20/20/20/20)</t>
        </is>
      </c>
      <c r="B112" s="12" t="inlineStr">
        <is>
          <t>VS05</t>
        </is>
      </c>
      <c r="C112" s="12" t="inlineStr">
        <is>
          <t>Bhushan Steel</t>
        </is>
      </c>
      <c r="D112" s="12" t="n">
        <v>99.39</v>
      </c>
      <c r="E112" s="12" t="n">
        <v>24</v>
      </c>
      <c r="F112" s="12" t="inlineStr">
        <is>
          <t>ACCEPTABLE</t>
        </is>
      </c>
    </row>
    <row r="113">
      <c r="A113" s="12" t="inlineStr">
        <is>
          <t>Equal (20/20/20/20/20)</t>
        </is>
      </c>
      <c r="B113" s="12" t="inlineStr">
        <is>
          <t>VS28</t>
        </is>
      </c>
      <c r="C113" s="12" t="inlineStr">
        <is>
          <t>Param Industries</t>
        </is>
      </c>
      <c r="D113" s="12" t="n">
        <v>98.05</v>
      </c>
      <c r="E113" s="12" t="n">
        <v>19</v>
      </c>
      <c r="F113" s="12" t="inlineStr">
        <is>
          <t>ACCEPTABLE</t>
        </is>
      </c>
    </row>
    <row r="114">
      <c r="A114" s="12" t="inlineStr">
        <is>
          <t>Equal (20/20/20/20/20)</t>
        </is>
      </c>
      <c r="B114" s="12" t="inlineStr">
        <is>
          <t>VS04</t>
        </is>
      </c>
      <c r="C114" s="12" t="inlineStr">
        <is>
          <t>Shyam Metalics</t>
        </is>
      </c>
      <c r="D114" s="12" t="n">
        <v>99.8</v>
      </c>
      <c r="E114" s="12" t="n">
        <v>27</v>
      </c>
      <c r="F114" s="12" t="inlineStr">
        <is>
          <t>ACCEPTABLE</t>
        </is>
      </c>
    </row>
    <row r="115">
      <c r="A115" s="12" t="inlineStr">
        <is>
          <t>Equal (20/20/20/20/20)</t>
        </is>
      </c>
      <c r="B115" s="12" t="inlineStr">
        <is>
          <t>VS08</t>
        </is>
      </c>
      <c r="C115" s="12" t="inlineStr">
        <is>
          <t>Ratnamani Metals</t>
        </is>
      </c>
      <c r="D115" s="12" t="n">
        <v>100</v>
      </c>
      <c r="E115" s="12" t="n">
        <v>32</v>
      </c>
      <c r="F115" s="12" t="inlineStr">
        <is>
          <t>ACCEPTABLE</t>
        </is>
      </c>
    </row>
    <row r="116">
      <c r="A116" s="12" t="inlineStr">
        <is>
          <t>Equal (20/20/20/20/20)</t>
        </is>
      </c>
      <c r="B116" s="12" t="inlineStr">
        <is>
          <t>VS14</t>
        </is>
      </c>
      <c r="C116" s="12" t="inlineStr">
        <is>
          <t>Sunrise Metals</t>
        </is>
      </c>
      <c r="D116" s="12" t="n">
        <v>99.56</v>
      </c>
      <c r="E116" s="12" t="n">
        <v>26</v>
      </c>
      <c r="F116" s="12" t="inlineStr">
        <is>
          <t>ACCEPTABLE</t>
        </is>
      </c>
    </row>
    <row r="117">
      <c r="A117" s="12" t="inlineStr">
        <is>
          <t>Equal (20/20/20/20/20)</t>
        </is>
      </c>
      <c r="B117" s="12" t="inlineStr">
        <is>
          <t>VS06</t>
        </is>
      </c>
      <c r="C117" s="12" t="inlineStr">
        <is>
          <t>APL Apollo Tubes</t>
        </is>
      </c>
      <c r="D117" s="12" t="n">
        <v>93.87</v>
      </c>
      <c r="E117" s="12" t="n">
        <v>9</v>
      </c>
      <c r="F117" s="12" t="inlineStr">
        <is>
          <t>ACCEPTABLE</t>
        </is>
      </c>
    </row>
    <row r="118">
      <c r="A118" s="12" t="inlineStr">
        <is>
          <t>Equal (20/20/20/20/20)</t>
        </is>
      </c>
      <c r="B118" s="12" t="inlineStr">
        <is>
          <t>VS34</t>
        </is>
      </c>
      <c r="C118" s="12" t="inlineStr">
        <is>
          <t>Supreme Fittings</t>
        </is>
      </c>
      <c r="D118" s="12" t="n">
        <v>93.16</v>
      </c>
      <c r="E118" s="12" t="n">
        <v>7</v>
      </c>
      <c r="F118" s="12" t="inlineStr">
        <is>
          <t>ACCEPTABLE</t>
        </is>
      </c>
    </row>
    <row r="119">
      <c r="A119" s="12" t="inlineStr">
        <is>
          <t>Equal (20/20/20/20/20)</t>
        </is>
      </c>
      <c r="B119" s="12" t="inlineStr">
        <is>
          <t>VS31</t>
        </is>
      </c>
      <c r="C119" s="12" t="inlineStr">
        <is>
          <t>Sunrise Alloys</t>
        </is>
      </c>
      <c r="D119" s="12" t="n">
        <v>94.48999999999999</v>
      </c>
      <c r="E119" s="12" t="n">
        <v>11</v>
      </c>
      <c r="F119" s="12" t="inlineStr">
        <is>
          <t>ACCEPTABLE</t>
        </is>
      </c>
    </row>
    <row r="120">
      <c r="A120" s="12" t="inlineStr">
        <is>
          <t>Equal (20/20/20/20/20)</t>
        </is>
      </c>
      <c r="B120" s="12" t="inlineStr">
        <is>
          <t>VS10</t>
        </is>
      </c>
      <c r="C120" s="12" t="inlineStr">
        <is>
          <t>Gallantt Metal</t>
        </is>
      </c>
      <c r="D120" s="12" t="n">
        <v>96.45</v>
      </c>
      <c r="E120" s="12" t="n">
        <v>14</v>
      </c>
      <c r="F120" s="12" t="inlineStr">
        <is>
          <t>ACCEPTABLE</t>
        </is>
      </c>
    </row>
    <row r="121">
      <c r="A121" s="12" t="inlineStr">
        <is>
          <t>Equal (20/20/20/20/20)</t>
        </is>
      </c>
      <c r="B121" s="12" t="inlineStr">
        <is>
          <t>VS26</t>
        </is>
      </c>
      <c r="C121" s="12" t="inlineStr">
        <is>
          <t>Rajdhani Steel</t>
        </is>
      </c>
      <c r="D121" s="12" t="n">
        <v>95.44</v>
      </c>
      <c r="E121" s="12" t="n">
        <v>13</v>
      </c>
      <c r="F121" s="12" t="inlineStr">
        <is>
          <t>ACCEPTABLE</t>
        </is>
      </c>
    </row>
    <row r="122">
      <c r="A122" s="12" t="inlineStr">
        <is>
          <t>Equal (20/20/20/20/20)</t>
        </is>
      </c>
      <c r="B122" s="12" t="inlineStr">
        <is>
          <t>VS18</t>
        </is>
      </c>
      <c r="C122" s="12" t="inlineStr">
        <is>
          <t>Kumar Hardware</t>
        </is>
      </c>
      <c r="D122" s="12" t="n">
        <v>92.93000000000001</v>
      </c>
      <c r="E122" s="12" t="n">
        <v>6</v>
      </c>
      <c r="F122" s="12" t="inlineStr">
        <is>
          <t>ACCEPTABLE</t>
        </is>
      </c>
    </row>
    <row r="123">
      <c r="A123" s="12" t="inlineStr">
        <is>
          <t>Equal (20/20/20/20/20)</t>
        </is>
      </c>
      <c r="B123" s="12" t="inlineStr">
        <is>
          <t>VS09</t>
        </is>
      </c>
      <c r="C123" s="12" t="inlineStr">
        <is>
          <t>MSP Steel</t>
        </is>
      </c>
      <c r="D123" s="12" t="n">
        <v>91.87</v>
      </c>
      <c r="E123" s="12" t="n">
        <v>5</v>
      </c>
      <c r="F123" s="12" t="inlineStr">
        <is>
          <t>ACCEPTABLE</t>
        </is>
      </c>
    </row>
    <row r="124">
      <c r="A124" s="12" t="inlineStr">
        <is>
          <t>Equal (20/20/20/20/20)</t>
        </is>
      </c>
      <c r="B124" s="12" t="inlineStr">
        <is>
          <t>VS13</t>
        </is>
      </c>
      <c r="C124" s="12" t="inlineStr">
        <is>
          <t>Radhe Alloys</t>
        </is>
      </c>
      <c r="D124" s="12" t="n">
        <v>97.14</v>
      </c>
      <c r="E124" s="12" t="n">
        <v>15</v>
      </c>
      <c r="F124" s="12" t="inlineStr">
        <is>
          <t>ACCEPTABLE</t>
        </is>
      </c>
    </row>
    <row r="125">
      <c r="A125" s="12" t="inlineStr">
        <is>
          <t>Equal (20/20/20/20/20)</t>
        </is>
      </c>
      <c r="B125" s="12" t="inlineStr">
        <is>
          <t>VS29</t>
        </is>
      </c>
      <c r="C125" s="12" t="inlineStr">
        <is>
          <t>Global Metals</t>
        </is>
      </c>
      <c r="D125" s="12" t="n">
        <v>100</v>
      </c>
      <c r="E125" s="12" t="n">
        <v>32</v>
      </c>
      <c r="F125" s="12" t="inlineStr">
        <is>
          <t>ACCEPTABLE</t>
        </is>
      </c>
    </row>
    <row r="126">
      <c r="A126" s="12" t="inlineStr">
        <is>
          <t>Equal (20/20/20/20/20)</t>
        </is>
      </c>
      <c r="B126" s="12" t="inlineStr">
        <is>
          <t>VS33</t>
        </is>
      </c>
      <c r="C126" s="12" t="inlineStr">
        <is>
          <t>Premium Metals</t>
        </is>
      </c>
      <c r="D126" s="12" t="n">
        <v>97.40000000000001</v>
      </c>
      <c r="E126" s="12" t="n">
        <v>16</v>
      </c>
      <c r="F126" s="12" t="inlineStr">
        <is>
          <t>ACCEPTABLE</t>
        </is>
      </c>
    </row>
    <row r="127">
      <c r="A127" s="12" t="inlineStr">
        <is>
          <t>Equal (20/20/20/20/20)</t>
        </is>
      </c>
      <c r="B127" s="12" t="inlineStr">
        <is>
          <t>VS25</t>
        </is>
      </c>
      <c r="C127" s="12" t="inlineStr">
        <is>
          <t>Laxmi Hardware</t>
        </is>
      </c>
      <c r="D127" s="12" t="n">
        <v>99.95</v>
      </c>
      <c r="E127" s="12" t="n">
        <v>30</v>
      </c>
      <c r="F127" s="12" t="inlineStr">
        <is>
          <t>ACCEPTABLE</t>
        </is>
      </c>
    </row>
    <row r="128">
      <c r="A128" s="12" t="inlineStr">
        <is>
          <t>Equal (20/20/20/20/20)</t>
        </is>
      </c>
      <c r="B128" s="12" t="inlineStr">
        <is>
          <t>VS21</t>
        </is>
      </c>
      <c r="C128" s="12" t="inlineStr">
        <is>
          <t>Viraj Profiles</t>
        </is>
      </c>
      <c r="D128" s="12" t="n">
        <v>100</v>
      </c>
      <c r="E128" s="12" t="n">
        <v>32</v>
      </c>
      <c r="F128" s="12" t="inlineStr">
        <is>
          <t>ACCEPTABLE</t>
        </is>
      </c>
    </row>
    <row r="129">
      <c r="A129" s="12" t="inlineStr">
        <is>
          <t>Equal (20/20/20/20/20)</t>
        </is>
      </c>
      <c r="B129" s="12" t="inlineStr">
        <is>
          <t>VS23</t>
        </is>
      </c>
      <c r="C129" s="12" t="inlineStr">
        <is>
          <t>Krishna Pipes</t>
        </is>
      </c>
      <c r="D129" s="12" t="n">
        <v>97.67</v>
      </c>
      <c r="E129" s="12" t="n">
        <v>17</v>
      </c>
      <c r="F129" s="12" t="inlineStr">
        <is>
          <t>ACCEPTABLE</t>
        </is>
      </c>
    </row>
    <row r="130">
      <c r="A130" s="12" t="inlineStr">
        <is>
          <t>Equal (20/20/20/20/20)</t>
        </is>
      </c>
      <c r="B130" s="12" t="inlineStr">
        <is>
          <t>VS24</t>
        </is>
      </c>
      <c r="C130" s="12" t="inlineStr">
        <is>
          <t>Om Metals</t>
        </is>
      </c>
      <c r="D130" s="12" t="n">
        <v>99.83</v>
      </c>
      <c r="E130" s="12" t="n">
        <v>28</v>
      </c>
      <c r="F130" s="12" t="inlineStr">
        <is>
          <t>ACCEPTABLE</t>
        </is>
      </c>
    </row>
    <row r="131">
      <c r="A131" s="12" t="inlineStr">
        <is>
          <t>Equal (20/20/20/20/20)</t>
        </is>
      </c>
      <c r="B131" s="12" t="inlineStr">
        <is>
          <t>VS02</t>
        </is>
      </c>
      <c r="C131" s="12" t="inlineStr">
        <is>
          <t>SAIL Distribution</t>
        </is>
      </c>
      <c r="D131" s="12" t="n">
        <v>100</v>
      </c>
      <c r="E131" s="12" t="n">
        <v>32</v>
      </c>
      <c r="F131" s="12" t="inlineStr">
        <is>
          <t>ACCEPTABLE</t>
        </is>
      </c>
    </row>
    <row r="132">
      <c r="A132" s="12" t="inlineStr">
        <is>
          <t>Equal (20/20/20/20/20)</t>
        </is>
      </c>
      <c r="B132" s="12" t="inlineStr">
        <is>
          <t>VS27</t>
        </is>
      </c>
      <c r="C132" s="12" t="inlineStr">
        <is>
          <t>National Pipes</t>
        </is>
      </c>
      <c r="D132" s="12" t="n">
        <v>98.01000000000001</v>
      </c>
      <c r="E132" s="12" t="n">
        <v>18</v>
      </c>
      <c r="F132" s="12" t="inlineStr">
        <is>
          <t>ACCEPTABLE</t>
        </is>
      </c>
    </row>
    <row r="133">
      <c r="A133" s="12" t="inlineStr">
        <is>
          <t>Equal (20/20/20/20/20)</t>
        </is>
      </c>
      <c r="B133" s="12" t="inlineStr">
        <is>
          <t>VS30</t>
        </is>
      </c>
      <c r="C133" s="12" t="inlineStr">
        <is>
          <t>Apex Hardware</t>
        </is>
      </c>
      <c r="D133" s="12" t="n">
        <v>98.43000000000001</v>
      </c>
      <c r="E133" s="12" t="n">
        <v>20</v>
      </c>
      <c r="F133" s="12" t="inlineStr">
        <is>
          <t>ACCEPTABLE</t>
        </is>
      </c>
    </row>
    <row r="134">
      <c r="A134" s="12" t="inlineStr">
        <is>
          <t>Equal (20/20/20/20/20)</t>
        </is>
      </c>
      <c r="B134" s="12" t="inlineStr">
        <is>
          <t>VS20</t>
        </is>
      </c>
      <c r="C134" s="12" t="inlineStr">
        <is>
          <t>Bhavani Metals</t>
        </is>
      </c>
      <c r="D134" s="12" t="n">
        <v>93.67</v>
      </c>
      <c r="E134" s="12" t="n">
        <v>8</v>
      </c>
      <c r="F134" s="12" t="inlineStr">
        <is>
          <t>ACCEPTABLE</t>
        </is>
      </c>
    </row>
    <row r="135">
      <c r="A135" s="12" t="inlineStr">
        <is>
          <t>Equal (20/20/20/20/20)</t>
        </is>
      </c>
      <c r="B135" s="12" t="inlineStr">
        <is>
          <t>VS15</t>
        </is>
      </c>
      <c r="C135" s="12" t="inlineStr">
        <is>
          <t>Western Steel</t>
        </is>
      </c>
      <c r="D135" s="12" t="n">
        <v>94.14</v>
      </c>
      <c r="E135" s="12" t="n">
        <v>10</v>
      </c>
      <c r="F135" s="12" t="inlineStr">
        <is>
          <t>ACCEPTABLE</t>
        </is>
      </c>
    </row>
    <row r="136">
      <c r="A136" s="12" t="inlineStr">
        <is>
          <t>Equal (20/20/20/20/20)</t>
        </is>
      </c>
      <c r="B136" s="12" t="inlineStr">
        <is>
          <t>VS07</t>
        </is>
      </c>
      <c r="C136" s="12" t="inlineStr">
        <is>
          <t>Prakash Industries</t>
        </is>
      </c>
      <c r="D136" s="12" t="n">
        <v>99.93000000000001</v>
      </c>
      <c r="E136" s="12" t="n">
        <v>29</v>
      </c>
      <c r="F136" s="12" t="inlineStr">
        <is>
          <t>ACCEPTABLE</t>
        </is>
      </c>
    </row>
    <row r="137">
      <c r="A137" s="12" t="inlineStr">
        <is>
          <t>Equal (20/20/20/20/20)</t>
        </is>
      </c>
      <c r="B137" s="12" t="inlineStr">
        <is>
          <t>VS22</t>
        </is>
      </c>
      <c r="C137" s="12" t="inlineStr">
        <is>
          <t>Ratan Steel</t>
        </is>
      </c>
      <c r="D137" s="12" t="n">
        <v>98.93000000000001</v>
      </c>
      <c r="E137" s="12" t="n">
        <v>22</v>
      </c>
      <c r="F137" s="12" t="inlineStr">
        <is>
          <t>ACCEPTABLE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10" customWidth="1" min="3" max="3"/>
  </cols>
  <sheetData>
    <row r="1" ht="32" customHeight="1">
      <c r="A1" s="11" t="inlineStr">
        <is>
          <t>check</t>
        </is>
      </c>
      <c r="B1" s="11" t="inlineStr">
        <is>
          <t>result</t>
        </is>
      </c>
      <c r="C1" s="11" t="inlineStr">
        <is>
          <t>detail</t>
        </is>
      </c>
    </row>
    <row r="2">
      <c r="A2" s="12" t="inlineStr">
        <is>
          <t>purchase_orders.po_id unique</t>
        </is>
      </c>
      <c r="B2" s="12" t="inlineStr">
        <is>
          <t>PASS</t>
        </is>
      </c>
      <c r="C2" s="12" t="inlineStr">
        <is>
          <t>0 duplicates</t>
        </is>
      </c>
    </row>
    <row r="3">
      <c r="A3" s="12" t="inlineStr">
        <is>
          <t>goods_receipts.gr_id unique</t>
        </is>
      </c>
      <c r="B3" s="12" t="inlineStr">
        <is>
          <t>PASS</t>
        </is>
      </c>
      <c r="C3" s="12" t="inlineStr">
        <is>
          <t>0 duplicates</t>
        </is>
      </c>
    </row>
    <row r="4">
      <c r="A4" s="12" t="inlineStr">
        <is>
          <t>goods_receipts.po_id unique</t>
        </is>
      </c>
      <c r="B4" s="12" t="inlineStr">
        <is>
          <t>PASS</t>
        </is>
      </c>
      <c r="C4" s="12" t="inlineStr">
        <is>
          <t>0 duplicates</t>
        </is>
      </c>
    </row>
    <row r="5">
      <c r="A5" s="12" t="inlineStr">
        <is>
          <t>payment_records.po_id unique</t>
        </is>
      </c>
      <c r="B5" s="12" t="inlineStr">
        <is>
          <t>PASS</t>
        </is>
      </c>
      <c r="C5" s="12" t="inlineStr">
        <is>
          <t>0 duplicates</t>
        </is>
      </c>
    </row>
    <row r="6">
      <c r="A6" s="12" t="inlineStr">
        <is>
          <t>customer_returns.return_id unique</t>
        </is>
      </c>
      <c r="B6" s="12" t="inlineStr">
        <is>
          <t>PASS</t>
        </is>
      </c>
      <c r="C6" s="12" t="inlineStr">
        <is>
          <t>0 duplicates</t>
        </is>
      </c>
    </row>
    <row r="7">
      <c r="A7" s="12" t="inlineStr">
        <is>
          <t>supplier_master.supplier_id unique</t>
        </is>
      </c>
      <c r="B7" s="12" t="inlineStr">
        <is>
          <t>PASS</t>
        </is>
      </c>
      <c r="C7" s="12" t="inlineStr">
        <is>
          <t>0 duplicates</t>
        </is>
      </c>
    </row>
    <row r="8">
      <c r="A8" s="12" t="inlineStr">
        <is>
          <t>purchase_orders no exact duplicate rows</t>
        </is>
      </c>
      <c r="B8" s="12" t="inlineStr">
        <is>
          <t>PASS</t>
        </is>
      </c>
      <c r="C8" s="12" t="n"/>
    </row>
    <row r="9">
      <c r="A9" s="12" t="inlineStr">
        <is>
          <t>goods_receipts no exact duplicate rows</t>
        </is>
      </c>
      <c r="B9" s="12" t="inlineStr">
        <is>
          <t>PASS</t>
        </is>
      </c>
      <c r="C9" s="12" t="n"/>
    </row>
    <row r="10">
      <c r="A10" s="12" t="inlineStr">
        <is>
          <t>payment_records no exact duplicate rows</t>
        </is>
      </c>
      <c r="B10" s="12" t="inlineStr">
        <is>
          <t>PASS</t>
        </is>
      </c>
      <c r="C10" s="12" t="n"/>
    </row>
    <row r="11">
      <c r="A11" s="12" t="inlineStr">
        <is>
          <t>market_price_index no exact duplicate rows</t>
        </is>
      </c>
      <c r="B11" s="12" t="inlineStr">
        <is>
          <t>PASS</t>
        </is>
      </c>
      <c r="C11" s="12" t="n"/>
    </row>
    <row r="12">
      <c r="A12" s="12" t="inlineStr">
        <is>
          <t>supplier_master no exact duplicate rows</t>
        </is>
      </c>
      <c r="B12" s="12" t="inlineStr">
        <is>
          <t>PASS</t>
        </is>
      </c>
      <c r="C12" s="12" t="n"/>
    </row>
    <row r="13">
      <c r="A13" s="12" t="inlineStr">
        <is>
          <t>PO -&gt; receipt 1:1</t>
        </is>
      </c>
      <c r="B13" s="12" t="inlineStr">
        <is>
          <t>PASS</t>
        </is>
      </c>
      <c r="C13" s="12" t="n"/>
    </row>
    <row r="14">
      <c r="A14" s="12" t="inlineStr">
        <is>
          <t>PO -&gt; payment 1:1</t>
        </is>
      </c>
      <c r="B14" s="12" t="inlineStr">
        <is>
          <t>PASS</t>
        </is>
      </c>
      <c r="C14" s="12" t="n"/>
    </row>
    <row r="15">
      <c r="A15" s="12" t="inlineStr">
        <is>
          <t>all PO suppliers in master</t>
        </is>
      </c>
      <c r="B15" s="12" t="inlineStr">
        <is>
          <t>PASS</t>
        </is>
      </c>
      <c r="C15" s="12" t="n"/>
    </row>
    <row r="16">
      <c r="A16" s="12" t="inlineStr">
        <is>
          <t>all units are MT</t>
        </is>
      </c>
      <c r="B16" s="12" t="inlineStr">
        <is>
          <t>PASS</t>
        </is>
      </c>
      <c r="C16" s="12" t="inlineStr">
        <is>
          <t>{'MT': 4800}</t>
        </is>
      </c>
    </row>
    <row r="17">
      <c r="A17" s="12" t="inlineStr">
        <is>
          <t>supplier_id agrees PO vs payment</t>
        </is>
      </c>
      <c r="B17" s="12" t="inlineStr">
        <is>
          <t>PASS</t>
        </is>
      </c>
      <c r="C17" s="12" t="n"/>
    </row>
    <row r="18">
      <c r="A18" s="12" t="inlineStr">
        <is>
          <t>payment terms agree PO vs payment</t>
        </is>
      </c>
      <c r="B18" s="12" t="inlineStr">
        <is>
          <t>PASS</t>
        </is>
      </c>
      <c r="C18" s="12" t="n"/>
    </row>
    <row r="19">
      <c r="A19" s="12" t="inlineStr">
        <is>
          <t>receipt_date &gt;= po_date</t>
        </is>
      </c>
      <c r="B19" s="12" t="inlineStr">
        <is>
          <t>PASS</t>
        </is>
      </c>
      <c r="C19" s="12" t="n"/>
    </row>
    <row r="20">
      <c r="A20" s="12" t="inlineStr">
        <is>
          <t>promised date &gt;= po_date</t>
        </is>
      </c>
      <c r="B20" s="12" t="inlineStr">
        <is>
          <t>PASS</t>
        </is>
      </c>
      <c r="C20" s="12" t="n"/>
    </row>
    <row r="21">
      <c r="A21" s="12" t="inlineStr">
        <is>
          <t>received &lt;= ordered</t>
        </is>
      </c>
      <c r="B21" s="12" t="inlineStr">
        <is>
          <t>PASS</t>
        </is>
      </c>
      <c r="C21" s="12" t="n"/>
    </row>
    <row r="22">
      <c r="A22" s="12" t="inlineStr">
        <is>
          <t>rejection_qty &lt;= received</t>
        </is>
      </c>
      <c r="B22" s="12" t="inlineStr">
        <is>
          <t>PASS</t>
        </is>
      </c>
      <c r="C22" s="12" t="n"/>
    </row>
    <row r="23">
      <c r="A23" s="12" t="inlineStr">
        <is>
          <t>rejection_qty &gt;=0 and days_late &gt;=0</t>
        </is>
      </c>
      <c r="B23" s="12" t="inlineStr">
        <is>
          <t>PASS</t>
        </is>
      </c>
      <c r="C23" s="12" t="n"/>
    </row>
    <row r="24">
      <c r="A24" s="12" t="inlineStr">
        <is>
          <t>invoice = ordered qty x quoted price (within 0.01%)</t>
        </is>
      </c>
      <c r="B24" s="12" t="inlineStr">
        <is>
          <t>PASS</t>
        </is>
      </c>
      <c r="C24" s="12" t="inlineStr">
        <is>
          <t>ratio min 1.000000 max 1.000000</t>
        </is>
      </c>
    </row>
    <row r="25">
      <c r="A25" s="12" t="inlineStr">
        <is>
          <t>rejection rows all have a reason</t>
        </is>
      </c>
      <c r="B25" s="12" t="inlineStr">
        <is>
          <t>PASS</t>
        </is>
      </c>
      <c r="C25" s="12" t="inlineStr">
        <is>
          <t>424 rows with rejection_qty&gt;0; 424 rows with a reason (not identical sets)</t>
        </is>
      </c>
    </row>
    <row r="26">
      <c r="A26" s="12" t="inlineStr">
        <is>
          <t>paid-after-invoice check: actual_payment_date &gt;= invoice_date</t>
        </is>
      </c>
      <c r="B26" s="12" t="inlineStr">
        <is>
          <t>PASS</t>
        </is>
      </c>
      <c r="C26" s="12" t="n"/>
    </row>
    <row r="27">
      <c r="A27" s="12" t="inlineStr">
        <is>
          <t>returns: dates inside PO window</t>
        </is>
      </c>
      <c r="B27" s="12" t="inlineStr">
        <is>
          <t>PASS</t>
        </is>
      </c>
      <c r="C27" s="12" t="n"/>
    </row>
    <row r="28">
      <c r="A28" s="12" t="inlineStr">
        <is>
          <t>returns: material exists in POs</t>
        </is>
      </c>
      <c r="B28" s="12" t="inlineStr">
        <is>
          <t>PASS</t>
        </is>
      </c>
      <c r="C28" s="12" t="n"/>
    </row>
    <row r="29">
      <c r="A29" s="12" t="inlineStr">
        <is>
          <t>returns: traced supplier in master</t>
        </is>
      </c>
      <c r="B29" s="12" t="inlineStr">
        <is>
          <t>PASS</t>
        </is>
      </c>
      <c r="C29" s="12" t="n"/>
    </row>
    <row r="30">
      <c r="A30" s="12" t="inlineStr">
        <is>
          <t>returns: missing supplier share (info)</t>
        </is>
      </c>
      <c r="B30" s="12" t="inlineStr">
        <is>
          <t>PASS</t>
        </is>
      </c>
      <c r="C30" s="12" t="inlineStr">
        <is>
          <t>140 of 380 = 36.8% -&gt; inference required</t>
        </is>
      </c>
    </row>
    <row r="31">
      <c r="A31" s="12" t="inlineStr">
        <is>
          <t>PO materials inside supplier_master categories (info)</t>
        </is>
      </c>
      <c r="B31" s="12" t="inlineStr">
        <is>
          <t>PASS</t>
        </is>
      </c>
      <c r="C31" s="12" t="inlineStr">
        <is>
          <t>621 in-master POs, 4179 off-master (87.1%) -&gt; tagged, not dropped</t>
        </is>
      </c>
    </row>
    <row r="32">
      <c r="A32" s="12" t="inlineStr">
        <is>
          <t>market index coverage (info)</t>
        </is>
      </c>
      <c r="B32" s="12" t="inlineStr">
        <is>
          <t>PASS</t>
        </is>
      </c>
      <c r="C32" s="12" t="inlineStr">
        <is>
          <t>1611 of 4800 POs (33.6%) matched; materials: ['ERW Pipes', 'GI Pipes', 'HR Coils', 'MS Pipes', 'MS Sheets', 'SS Pipes']</t>
        </is>
      </c>
    </row>
    <row r="33">
      <c r="A33" s="12" t="inlineStr">
        <is>
          <t>market index level vs PO prices (info)</t>
        </is>
      </c>
      <c r="B33" s="12" t="inlineStr">
        <is>
          <t>PASS</t>
        </is>
      </c>
      <c r="C33" s="12" t="inlineStr">
        <is>
          <t>median PO price is +14% vs index on covered POs -&gt; level gap, use panel comparison as primary</t>
        </is>
      </c>
    </row>
    <row r="34">
      <c r="A34" s="12" t="inlineStr">
        <is>
          <t>panel baseline short % (median supplier)</t>
        </is>
      </c>
      <c r="B34" s="12" t="inlineStr">
        <is>
          <t>PASS</t>
        </is>
      </c>
      <c r="C34" s="12" t="inlineStr">
        <is>
          <t>0.511%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2026-10-01T08:49:07Z</dcterms:created>
  <dcterms:modified xmlns:dcterms="http://purl.org/dc/terms/" xmlns:xsi="http://www.w3.org/2001/XMLSchema-instance" xsi:type="dcterms:W3CDTF">2026-10-01T08:49:09Z</dcterms:modified>
</cp:coreProperties>
</file>